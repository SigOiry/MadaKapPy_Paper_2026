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mon\Nextcloud\Project\Madagascar\NBS_Mada\Data\Biomass_estimations\Harvested_measurment\"/>
    </mc:Choice>
  </mc:AlternateContent>
  <xr:revisionPtr revIDLastSave="0" documentId="13_ncr:1_{3C667074-E0D7-40DD-854F-CE020072CC9D}" xr6:coauthVersionLast="47" xr6:coauthVersionMax="47" xr10:uidLastSave="{00000000-0000-0000-0000-000000000000}"/>
  <bookViews>
    <workbookView xWindow="-98" yWindow="-98" windowWidth="28996" windowHeight="17475" xr2:uid="{95745450-688A-4172-8E5D-E7193DAD7707}"/>
  </bookViews>
  <sheets>
    <sheet name="Copie base donnée" sheetId="1" r:id="rId1"/>
  </sheets>
  <definedNames>
    <definedName name="Filtr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69" i="1" l="1"/>
  <c r="K5669" i="1"/>
  <c r="L5669" i="1"/>
  <c r="M5669" i="1"/>
  <c r="N5669" i="1"/>
  <c r="O5669" i="1"/>
  <c r="P5669" i="1" s="1"/>
  <c r="I5668" i="1"/>
  <c r="K5668" i="1"/>
  <c r="L5668" i="1"/>
  <c r="M5668" i="1"/>
  <c r="N5668" i="1"/>
  <c r="O5668" i="1"/>
  <c r="P5668" i="1" s="1"/>
  <c r="I5667" i="1"/>
  <c r="K5667" i="1"/>
  <c r="L5667" i="1"/>
  <c r="M5667" i="1"/>
  <c r="N5667" i="1"/>
  <c r="O5667" i="1"/>
  <c r="P5667" i="1" s="1"/>
  <c r="I5665" i="1"/>
  <c r="I5666" i="1"/>
  <c r="K5665" i="1"/>
  <c r="K5666" i="1"/>
  <c r="L5665" i="1"/>
  <c r="L5666" i="1"/>
  <c r="M5665" i="1"/>
  <c r="M5666" i="1"/>
  <c r="N5665" i="1"/>
  <c r="N5666" i="1"/>
  <c r="O5665" i="1"/>
  <c r="P5665" i="1" s="1"/>
  <c r="O5666" i="1"/>
  <c r="P5666" i="1" s="1"/>
  <c r="I5664" i="1"/>
  <c r="K5664" i="1"/>
  <c r="L5664" i="1"/>
  <c r="M5664" i="1"/>
  <c r="N5664" i="1"/>
  <c r="O5664" i="1"/>
  <c r="P5664" i="1" s="1"/>
  <c r="I5662" i="1"/>
  <c r="I5663" i="1"/>
  <c r="K5662" i="1"/>
  <c r="K5663" i="1"/>
  <c r="L5662" i="1"/>
  <c r="L5663" i="1"/>
  <c r="M5662" i="1"/>
  <c r="M5663" i="1"/>
  <c r="N5662" i="1"/>
  <c r="N5663" i="1"/>
  <c r="O5662" i="1"/>
  <c r="P5662" i="1" s="1"/>
  <c r="O5663" i="1"/>
  <c r="P5663" i="1" s="1"/>
  <c r="I5661" i="1"/>
  <c r="K5661" i="1"/>
  <c r="L5661" i="1"/>
  <c r="M5661" i="1"/>
  <c r="N5661" i="1"/>
  <c r="O5661" i="1"/>
  <c r="P5661" i="1" s="1"/>
  <c r="I5660" i="1"/>
  <c r="K5660" i="1"/>
  <c r="L5660" i="1"/>
  <c r="M5660" i="1"/>
  <c r="N5660" i="1"/>
  <c r="O5660" i="1"/>
  <c r="P5660" i="1" s="1"/>
  <c r="I5659" i="1"/>
  <c r="K5659" i="1"/>
  <c r="L5659" i="1"/>
  <c r="M5659" i="1"/>
  <c r="N5659" i="1"/>
  <c r="O5659" i="1"/>
  <c r="P5659" i="1" s="1"/>
  <c r="I5658" i="1"/>
  <c r="K5658" i="1"/>
  <c r="L5658" i="1"/>
  <c r="M5658" i="1"/>
  <c r="N5658" i="1"/>
  <c r="O5658" i="1"/>
  <c r="P5658" i="1" s="1"/>
  <c r="I5655" i="1"/>
  <c r="I5656" i="1"/>
  <c r="I5657" i="1"/>
  <c r="K5655" i="1"/>
  <c r="K5656" i="1"/>
  <c r="K5657" i="1"/>
  <c r="L5655" i="1"/>
  <c r="L5656" i="1"/>
  <c r="L5657" i="1"/>
  <c r="M5655" i="1"/>
  <c r="M5656" i="1"/>
  <c r="M5657" i="1"/>
  <c r="N5655" i="1"/>
  <c r="N5656" i="1"/>
  <c r="N5657" i="1"/>
  <c r="O5655" i="1"/>
  <c r="P5655" i="1" s="1"/>
  <c r="O5656" i="1"/>
  <c r="P5656" i="1" s="1"/>
  <c r="O5657" i="1"/>
  <c r="P5657" i="1" s="1"/>
  <c r="I5653" i="1"/>
  <c r="I5654" i="1"/>
  <c r="K5653" i="1"/>
  <c r="K5654" i="1"/>
  <c r="L5653" i="1"/>
  <c r="L5654" i="1"/>
  <c r="M5653" i="1"/>
  <c r="M5654" i="1"/>
  <c r="N5653" i="1"/>
  <c r="N5654" i="1"/>
  <c r="O5653" i="1"/>
  <c r="P5653" i="1" s="1"/>
  <c r="O5654" i="1"/>
  <c r="P5654" i="1" s="1"/>
  <c r="I5651" i="1"/>
  <c r="I5652" i="1"/>
  <c r="K5651" i="1"/>
  <c r="K5652" i="1"/>
  <c r="L5651" i="1"/>
  <c r="L5652" i="1"/>
  <c r="M5651" i="1"/>
  <c r="M5652" i="1"/>
  <c r="N5651" i="1"/>
  <c r="N5652" i="1"/>
  <c r="O5651" i="1"/>
  <c r="P5651" i="1" s="1"/>
  <c r="O5652" i="1"/>
  <c r="P5652" i="1" s="1"/>
  <c r="I5650" i="1"/>
  <c r="K5650" i="1"/>
  <c r="L5650" i="1"/>
  <c r="M5650" i="1"/>
  <c r="N5650" i="1"/>
  <c r="O5650" i="1"/>
  <c r="P5650" i="1" s="1"/>
  <c r="I5648" i="1"/>
  <c r="I5649" i="1"/>
  <c r="K5648" i="1"/>
  <c r="K5649" i="1"/>
  <c r="L5648" i="1"/>
  <c r="L5649" i="1"/>
  <c r="M5648" i="1"/>
  <c r="M5649" i="1"/>
  <c r="N5648" i="1"/>
  <c r="N5649" i="1"/>
  <c r="O5648" i="1"/>
  <c r="P5648" i="1" s="1"/>
  <c r="O5649" i="1"/>
  <c r="P5649" i="1" s="1"/>
  <c r="I5644" i="1"/>
  <c r="I5645" i="1"/>
  <c r="I5646" i="1"/>
  <c r="I5647" i="1"/>
  <c r="K5644" i="1"/>
  <c r="K5645" i="1"/>
  <c r="K5646" i="1"/>
  <c r="K5647" i="1"/>
  <c r="L5644" i="1"/>
  <c r="L5645" i="1"/>
  <c r="L5646" i="1"/>
  <c r="L5647" i="1"/>
  <c r="M5644" i="1"/>
  <c r="M5645" i="1"/>
  <c r="M5646" i="1"/>
  <c r="M5647" i="1"/>
  <c r="N5644" i="1"/>
  <c r="N5645" i="1"/>
  <c r="N5646" i="1"/>
  <c r="N5647" i="1"/>
  <c r="O5644" i="1"/>
  <c r="P5644" i="1" s="1"/>
  <c r="O5645" i="1"/>
  <c r="P5645" i="1" s="1"/>
  <c r="O5646" i="1"/>
  <c r="P5646" i="1" s="1"/>
  <c r="O5647" i="1"/>
  <c r="P5647" i="1" s="1"/>
  <c r="I5643" i="1"/>
  <c r="K5643" i="1"/>
  <c r="L5643" i="1"/>
  <c r="M5643" i="1"/>
  <c r="N5643" i="1"/>
  <c r="O5643" i="1"/>
  <c r="P5643" i="1" s="1"/>
  <c r="I5641" i="1"/>
  <c r="I5642" i="1"/>
  <c r="K5641" i="1"/>
  <c r="K5642" i="1"/>
  <c r="L5641" i="1"/>
  <c r="L5642" i="1"/>
  <c r="M5641" i="1"/>
  <c r="M5642" i="1"/>
  <c r="N5641" i="1"/>
  <c r="N5642" i="1"/>
  <c r="O5641" i="1"/>
  <c r="P5641" i="1" s="1"/>
  <c r="O5642" i="1"/>
  <c r="P5642" i="1" s="1"/>
  <c r="I5640" i="1"/>
  <c r="K5640" i="1"/>
  <c r="L5640" i="1"/>
  <c r="M5640" i="1"/>
  <c r="N5640" i="1"/>
  <c r="O5640" i="1"/>
  <c r="P5640" i="1" s="1"/>
  <c r="I5629" i="1"/>
  <c r="I5630" i="1"/>
  <c r="I5631" i="1"/>
  <c r="I5632" i="1"/>
  <c r="I5633" i="1"/>
  <c r="I5634" i="1"/>
  <c r="I5635" i="1"/>
  <c r="I5636" i="1"/>
  <c r="I5637" i="1"/>
  <c r="I5638" i="1"/>
  <c r="I5639" i="1"/>
  <c r="K5629" i="1"/>
  <c r="K5630" i="1"/>
  <c r="K5631" i="1"/>
  <c r="K5632" i="1"/>
  <c r="K5633" i="1"/>
  <c r="K5634" i="1"/>
  <c r="K5635" i="1"/>
  <c r="K5636" i="1"/>
  <c r="K5637" i="1"/>
  <c r="K5638" i="1"/>
  <c r="K5639" i="1"/>
  <c r="L5629" i="1"/>
  <c r="L5630" i="1"/>
  <c r="L5631" i="1"/>
  <c r="L5632" i="1"/>
  <c r="L5633" i="1"/>
  <c r="L5634" i="1"/>
  <c r="L5635" i="1"/>
  <c r="L5636" i="1"/>
  <c r="L5637" i="1"/>
  <c r="L5638" i="1"/>
  <c r="L5639" i="1"/>
  <c r="M5629" i="1"/>
  <c r="M5630" i="1"/>
  <c r="M5631" i="1"/>
  <c r="M5632" i="1"/>
  <c r="M5633" i="1"/>
  <c r="M5634" i="1"/>
  <c r="M5635" i="1"/>
  <c r="M5636" i="1"/>
  <c r="M5637" i="1"/>
  <c r="M5638" i="1"/>
  <c r="M5639" i="1"/>
  <c r="N5629" i="1"/>
  <c r="N5630" i="1"/>
  <c r="N5631" i="1"/>
  <c r="N5632" i="1"/>
  <c r="N5633" i="1"/>
  <c r="N5634" i="1"/>
  <c r="N5635" i="1"/>
  <c r="N5636" i="1"/>
  <c r="N5637" i="1"/>
  <c r="N5638" i="1"/>
  <c r="N5639" i="1"/>
  <c r="O5629" i="1"/>
  <c r="P5629" i="1" s="1"/>
  <c r="O5630" i="1"/>
  <c r="P5630" i="1" s="1"/>
  <c r="O5631" i="1"/>
  <c r="P5631" i="1" s="1"/>
  <c r="O5632" i="1"/>
  <c r="P5632" i="1" s="1"/>
  <c r="O5633" i="1"/>
  <c r="P5633" i="1" s="1"/>
  <c r="O5634" i="1"/>
  <c r="P5634" i="1" s="1"/>
  <c r="O5635" i="1"/>
  <c r="P5635" i="1" s="1"/>
  <c r="O5636" i="1"/>
  <c r="P5636" i="1" s="1"/>
  <c r="O5637" i="1"/>
  <c r="P5637" i="1" s="1"/>
  <c r="O5638" i="1"/>
  <c r="P5638" i="1" s="1"/>
  <c r="O5639" i="1"/>
  <c r="P5639" i="1" s="1"/>
  <c r="I5623" i="1"/>
  <c r="I5624" i="1"/>
  <c r="I5625" i="1"/>
  <c r="I5626" i="1"/>
  <c r="I5627" i="1"/>
  <c r="I5628" i="1"/>
  <c r="K5623" i="1"/>
  <c r="K5624" i="1"/>
  <c r="K5625" i="1"/>
  <c r="K5626" i="1"/>
  <c r="K5627" i="1"/>
  <c r="K5628" i="1"/>
  <c r="L5623" i="1"/>
  <c r="L5624" i="1"/>
  <c r="L5625" i="1"/>
  <c r="L5626" i="1"/>
  <c r="L5627" i="1"/>
  <c r="L5628" i="1"/>
  <c r="M5623" i="1"/>
  <c r="M5624" i="1"/>
  <c r="M5625" i="1"/>
  <c r="M5626" i="1"/>
  <c r="M5627" i="1"/>
  <c r="M5628" i="1"/>
  <c r="N5623" i="1"/>
  <c r="N5624" i="1"/>
  <c r="N5625" i="1"/>
  <c r="N5626" i="1"/>
  <c r="N5627" i="1"/>
  <c r="N5628" i="1"/>
  <c r="O5623" i="1"/>
  <c r="P5623" i="1" s="1"/>
  <c r="O5624" i="1"/>
  <c r="P5624" i="1" s="1"/>
  <c r="O5625" i="1"/>
  <c r="P5625" i="1" s="1"/>
  <c r="O5626" i="1"/>
  <c r="P5626" i="1" s="1"/>
  <c r="O5627" i="1"/>
  <c r="P5627" i="1" s="1"/>
  <c r="O5628" i="1"/>
  <c r="P5628" i="1" s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O5608" i="1"/>
  <c r="P5608" i="1" s="1"/>
  <c r="O5609" i="1"/>
  <c r="P5609" i="1" s="1"/>
  <c r="O5610" i="1"/>
  <c r="P5610" i="1" s="1"/>
  <c r="O5611" i="1"/>
  <c r="P5611" i="1" s="1"/>
  <c r="O5612" i="1"/>
  <c r="P5612" i="1" s="1"/>
  <c r="O5613" i="1"/>
  <c r="P5613" i="1" s="1"/>
  <c r="O5614" i="1"/>
  <c r="P5614" i="1" s="1"/>
  <c r="O5615" i="1"/>
  <c r="P5615" i="1" s="1"/>
  <c r="O5616" i="1"/>
  <c r="P5616" i="1" s="1"/>
  <c r="O5617" i="1"/>
  <c r="P5617" i="1" s="1"/>
  <c r="O5618" i="1"/>
  <c r="P5618" i="1" s="1"/>
  <c r="O5619" i="1"/>
  <c r="P5619" i="1" s="1"/>
  <c r="O5620" i="1"/>
  <c r="P5620" i="1" s="1"/>
  <c r="O5621" i="1"/>
  <c r="P5621" i="1" s="1"/>
  <c r="O5622" i="1"/>
  <c r="P5622" i="1" s="1"/>
  <c r="I5607" i="1"/>
  <c r="K5607" i="1"/>
  <c r="L5607" i="1"/>
  <c r="M5607" i="1"/>
  <c r="N5607" i="1"/>
  <c r="O5607" i="1"/>
  <c r="P5607" i="1" s="1"/>
  <c r="I5606" i="1"/>
  <c r="K5606" i="1"/>
  <c r="L5606" i="1"/>
  <c r="M5606" i="1"/>
  <c r="N5606" i="1"/>
  <c r="O5606" i="1"/>
  <c r="P5606" i="1" s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O4720" i="1"/>
  <c r="P4720" i="1" s="1"/>
  <c r="O4721" i="1"/>
  <c r="P4721" i="1" s="1"/>
  <c r="O4722" i="1"/>
  <c r="P4722" i="1" s="1"/>
  <c r="O4723" i="1"/>
  <c r="P4723" i="1" s="1"/>
  <c r="O4724" i="1"/>
  <c r="P4724" i="1" s="1"/>
  <c r="O4725" i="1"/>
  <c r="P4725" i="1" s="1"/>
  <c r="O4726" i="1"/>
  <c r="P4726" i="1" s="1"/>
  <c r="O4727" i="1"/>
  <c r="P4727" i="1" s="1"/>
  <c r="O4728" i="1"/>
  <c r="P4728" i="1" s="1"/>
  <c r="O4729" i="1"/>
  <c r="P4729" i="1" s="1"/>
  <c r="O4730" i="1"/>
  <c r="P4730" i="1" s="1"/>
  <c r="O4731" i="1"/>
  <c r="P4731" i="1" s="1"/>
  <c r="O4732" i="1"/>
  <c r="P4732" i="1" s="1"/>
  <c r="O4733" i="1"/>
  <c r="P4733" i="1" s="1"/>
  <c r="O4734" i="1"/>
  <c r="P4734" i="1" s="1"/>
  <c r="O4735" i="1"/>
  <c r="P4735" i="1" s="1"/>
  <c r="O4736" i="1"/>
  <c r="P4736" i="1" s="1"/>
  <c r="O4737" i="1"/>
  <c r="P4737" i="1" s="1"/>
  <c r="O4738" i="1"/>
  <c r="P4738" i="1" s="1"/>
  <c r="O4739" i="1"/>
  <c r="P4739" i="1" s="1"/>
  <c r="O4740" i="1"/>
  <c r="P4740" i="1" s="1"/>
  <c r="O4741" i="1"/>
  <c r="P4741" i="1" s="1"/>
  <c r="O4742" i="1"/>
  <c r="P4742" i="1" s="1"/>
  <c r="O4743" i="1"/>
  <c r="P4743" i="1" s="1"/>
  <c r="O4744" i="1"/>
  <c r="P4744" i="1" s="1"/>
  <c r="O4745" i="1"/>
  <c r="P4745" i="1" s="1"/>
  <c r="O4746" i="1"/>
  <c r="P4746" i="1" s="1"/>
  <c r="O4747" i="1"/>
  <c r="P4747" i="1" s="1"/>
  <c r="O4748" i="1"/>
  <c r="P4748" i="1" s="1"/>
  <c r="O4749" i="1"/>
  <c r="P4749" i="1" s="1"/>
  <c r="O4750" i="1"/>
  <c r="P4750" i="1" s="1"/>
  <c r="O4751" i="1"/>
  <c r="P4751" i="1" s="1"/>
  <c r="O4752" i="1"/>
  <c r="P4752" i="1" s="1"/>
  <c r="O4753" i="1"/>
  <c r="P4753" i="1" s="1"/>
  <c r="O4754" i="1"/>
  <c r="P4754" i="1" s="1"/>
  <c r="O4755" i="1"/>
  <c r="P4755" i="1" s="1"/>
  <c r="O4756" i="1"/>
  <c r="P4756" i="1" s="1"/>
  <c r="O4757" i="1"/>
  <c r="P4757" i="1" s="1"/>
  <c r="O4758" i="1"/>
  <c r="P4758" i="1" s="1"/>
  <c r="O4759" i="1"/>
  <c r="P4759" i="1" s="1"/>
  <c r="O4760" i="1"/>
  <c r="P4760" i="1" s="1"/>
  <c r="O4761" i="1"/>
  <c r="P4761" i="1" s="1"/>
  <c r="O4762" i="1"/>
  <c r="P4762" i="1" s="1"/>
  <c r="O4763" i="1"/>
  <c r="P4763" i="1" s="1"/>
  <c r="O4764" i="1"/>
  <c r="P4764" i="1" s="1"/>
  <c r="O4765" i="1"/>
  <c r="P4765" i="1" s="1"/>
  <c r="O4766" i="1"/>
  <c r="P4766" i="1" s="1"/>
  <c r="O4767" i="1"/>
  <c r="P4767" i="1" s="1"/>
  <c r="O4768" i="1"/>
  <c r="P4768" i="1" s="1"/>
  <c r="O4769" i="1"/>
  <c r="P4769" i="1" s="1"/>
  <c r="O4770" i="1"/>
  <c r="P4770" i="1" s="1"/>
  <c r="O4771" i="1"/>
  <c r="P4771" i="1" s="1"/>
  <c r="O4772" i="1"/>
  <c r="P4772" i="1" s="1"/>
  <c r="O4773" i="1"/>
  <c r="P4773" i="1" s="1"/>
  <c r="O4774" i="1"/>
  <c r="P4774" i="1" s="1"/>
  <c r="O4775" i="1"/>
  <c r="P4775" i="1" s="1"/>
  <c r="O4776" i="1"/>
  <c r="P4776" i="1" s="1"/>
  <c r="O4777" i="1"/>
  <c r="P4777" i="1" s="1"/>
  <c r="O4778" i="1"/>
  <c r="P4778" i="1" s="1"/>
  <c r="O4779" i="1"/>
  <c r="P4779" i="1" s="1"/>
  <c r="O4780" i="1"/>
  <c r="P4780" i="1" s="1"/>
  <c r="O4781" i="1"/>
  <c r="P4781" i="1" s="1"/>
  <c r="O4782" i="1"/>
  <c r="P4782" i="1" s="1"/>
  <c r="O4783" i="1"/>
  <c r="P4783" i="1" s="1"/>
  <c r="O4784" i="1"/>
  <c r="P4784" i="1" s="1"/>
  <c r="O4785" i="1"/>
  <c r="P4785" i="1" s="1"/>
  <c r="O4786" i="1"/>
  <c r="P4786" i="1" s="1"/>
  <c r="O4787" i="1"/>
  <c r="P4787" i="1" s="1"/>
  <c r="O4788" i="1"/>
  <c r="P4788" i="1" s="1"/>
  <c r="O4789" i="1"/>
  <c r="P4789" i="1" s="1"/>
  <c r="O4790" i="1"/>
  <c r="P4790" i="1" s="1"/>
  <c r="O4791" i="1"/>
  <c r="P4791" i="1" s="1"/>
  <c r="O4792" i="1"/>
  <c r="P4792" i="1" s="1"/>
  <c r="O4793" i="1"/>
  <c r="P4793" i="1" s="1"/>
  <c r="O4794" i="1"/>
  <c r="P4794" i="1" s="1"/>
  <c r="O4795" i="1"/>
  <c r="P4795" i="1" s="1"/>
  <c r="O4796" i="1"/>
  <c r="P4796" i="1" s="1"/>
  <c r="O4797" i="1"/>
  <c r="P4797" i="1" s="1"/>
  <c r="O4798" i="1"/>
  <c r="P4798" i="1" s="1"/>
  <c r="O4799" i="1"/>
  <c r="P4799" i="1" s="1"/>
  <c r="O4800" i="1"/>
  <c r="P4800" i="1" s="1"/>
  <c r="O4801" i="1"/>
  <c r="P4801" i="1" s="1"/>
  <c r="O4802" i="1"/>
  <c r="P4802" i="1" s="1"/>
  <c r="O4803" i="1"/>
  <c r="P4803" i="1" s="1"/>
  <c r="O4804" i="1"/>
  <c r="P4804" i="1" s="1"/>
  <c r="O4805" i="1"/>
  <c r="P4805" i="1" s="1"/>
  <c r="O4806" i="1"/>
  <c r="P4806" i="1" s="1"/>
  <c r="O4807" i="1"/>
  <c r="P4807" i="1" s="1"/>
  <c r="O4808" i="1"/>
  <c r="P4808" i="1" s="1"/>
  <c r="O4809" i="1"/>
  <c r="P4809" i="1" s="1"/>
  <c r="O4810" i="1"/>
  <c r="P4810" i="1" s="1"/>
  <c r="O4811" i="1"/>
  <c r="P4811" i="1" s="1"/>
  <c r="O4812" i="1"/>
  <c r="P4812" i="1" s="1"/>
  <c r="O4813" i="1"/>
  <c r="P4813" i="1" s="1"/>
  <c r="O4814" i="1"/>
  <c r="P4814" i="1" s="1"/>
  <c r="O4815" i="1"/>
  <c r="P4815" i="1" s="1"/>
  <c r="O4816" i="1"/>
  <c r="P4816" i="1" s="1"/>
  <c r="O4817" i="1"/>
  <c r="P4817" i="1" s="1"/>
  <c r="O4818" i="1"/>
  <c r="P4818" i="1" s="1"/>
  <c r="O4819" i="1"/>
  <c r="P4819" i="1" s="1"/>
  <c r="O4820" i="1"/>
  <c r="P4820" i="1" s="1"/>
  <c r="O4821" i="1"/>
  <c r="P4821" i="1" s="1"/>
  <c r="O4822" i="1"/>
  <c r="P4822" i="1" s="1"/>
  <c r="O4823" i="1"/>
  <c r="P4823" i="1" s="1"/>
  <c r="O4824" i="1"/>
  <c r="P4824" i="1" s="1"/>
  <c r="O4825" i="1"/>
  <c r="P4825" i="1" s="1"/>
  <c r="O4826" i="1"/>
  <c r="P4826" i="1" s="1"/>
  <c r="O4827" i="1"/>
  <c r="P4827" i="1" s="1"/>
  <c r="O4828" i="1"/>
  <c r="P4828" i="1" s="1"/>
  <c r="O4829" i="1"/>
  <c r="P4829" i="1" s="1"/>
  <c r="O4830" i="1"/>
  <c r="P4830" i="1" s="1"/>
  <c r="O4831" i="1"/>
  <c r="P4831" i="1" s="1"/>
  <c r="O4832" i="1"/>
  <c r="P4832" i="1" s="1"/>
  <c r="O4833" i="1"/>
  <c r="P4833" i="1" s="1"/>
  <c r="O4834" i="1"/>
  <c r="P4834" i="1" s="1"/>
  <c r="O4835" i="1"/>
  <c r="P4835" i="1" s="1"/>
  <c r="O4836" i="1"/>
  <c r="P4836" i="1" s="1"/>
  <c r="O4837" i="1"/>
  <c r="P4837" i="1" s="1"/>
  <c r="O4838" i="1"/>
  <c r="P4838" i="1" s="1"/>
  <c r="O4839" i="1"/>
  <c r="P4839" i="1" s="1"/>
  <c r="O4840" i="1"/>
  <c r="P4840" i="1" s="1"/>
  <c r="O4841" i="1"/>
  <c r="P4841" i="1" s="1"/>
  <c r="O4842" i="1"/>
  <c r="P4842" i="1" s="1"/>
  <c r="O4843" i="1"/>
  <c r="P4843" i="1" s="1"/>
  <c r="O4844" i="1"/>
  <c r="P4844" i="1" s="1"/>
  <c r="O4845" i="1"/>
  <c r="P4845" i="1" s="1"/>
  <c r="O4846" i="1"/>
  <c r="P4846" i="1" s="1"/>
  <c r="O4847" i="1"/>
  <c r="P4847" i="1" s="1"/>
  <c r="O4848" i="1"/>
  <c r="P4848" i="1" s="1"/>
  <c r="O4849" i="1"/>
  <c r="P4849" i="1" s="1"/>
  <c r="O4850" i="1"/>
  <c r="P4850" i="1" s="1"/>
  <c r="O4851" i="1"/>
  <c r="P4851" i="1" s="1"/>
  <c r="O4852" i="1"/>
  <c r="P4852" i="1" s="1"/>
  <c r="O4853" i="1"/>
  <c r="P4853" i="1" s="1"/>
  <c r="O4854" i="1"/>
  <c r="P4854" i="1" s="1"/>
  <c r="O4855" i="1"/>
  <c r="P4855" i="1" s="1"/>
  <c r="O4856" i="1"/>
  <c r="P4856" i="1" s="1"/>
  <c r="O4857" i="1"/>
  <c r="P4857" i="1" s="1"/>
  <c r="O4858" i="1"/>
  <c r="P4858" i="1" s="1"/>
  <c r="O4859" i="1"/>
  <c r="P4859" i="1" s="1"/>
  <c r="O4860" i="1"/>
  <c r="P4860" i="1" s="1"/>
  <c r="O4861" i="1"/>
  <c r="P4861" i="1" s="1"/>
  <c r="O4862" i="1"/>
  <c r="P4862" i="1" s="1"/>
  <c r="O4863" i="1"/>
  <c r="P4863" i="1" s="1"/>
  <c r="O4864" i="1"/>
  <c r="P4864" i="1" s="1"/>
  <c r="O4865" i="1"/>
  <c r="P4865" i="1" s="1"/>
  <c r="O4866" i="1"/>
  <c r="P4866" i="1" s="1"/>
  <c r="O4867" i="1"/>
  <c r="P4867" i="1" s="1"/>
  <c r="O4868" i="1"/>
  <c r="P4868" i="1" s="1"/>
  <c r="O4869" i="1"/>
  <c r="P4869" i="1" s="1"/>
  <c r="O4870" i="1"/>
  <c r="P4870" i="1" s="1"/>
  <c r="O4871" i="1"/>
  <c r="P4871" i="1" s="1"/>
  <c r="O4872" i="1"/>
  <c r="P4872" i="1" s="1"/>
  <c r="O4873" i="1"/>
  <c r="P4873" i="1" s="1"/>
  <c r="O4874" i="1"/>
  <c r="P4874" i="1" s="1"/>
  <c r="O4875" i="1"/>
  <c r="P4875" i="1" s="1"/>
  <c r="O4876" i="1"/>
  <c r="P4876" i="1" s="1"/>
  <c r="O4877" i="1"/>
  <c r="P4877" i="1" s="1"/>
  <c r="O4878" i="1"/>
  <c r="P4878" i="1" s="1"/>
  <c r="O4879" i="1"/>
  <c r="P4879" i="1" s="1"/>
  <c r="O4880" i="1"/>
  <c r="P4880" i="1" s="1"/>
  <c r="O4881" i="1"/>
  <c r="P4881" i="1" s="1"/>
  <c r="O4882" i="1"/>
  <c r="P4882" i="1" s="1"/>
  <c r="O4883" i="1"/>
  <c r="P4883" i="1" s="1"/>
  <c r="O4884" i="1"/>
  <c r="P4884" i="1" s="1"/>
  <c r="O4885" i="1"/>
  <c r="P4885" i="1" s="1"/>
  <c r="O4886" i="1"/>
  <c r="P4886" i="1" s="1"/>
  <c r="O4887" i="1"/>
  <c r="P4887" i="1" s="1"/>
  <c r="O4888" i="1"/>
  <c r="P4888" i="1" s="1"/>
  <c r="O4889" i="1"/>
  <c r="P4889" i="1" s="1"/>
  <c r="O4890" i="1"/>
  <c r="P4890" i="1" s="1"/>
  <c r="O4891" i="1"/>
  <c r="P4891" i="1" s="1"/>
  <c r="O4892" i="1"/>
  <c r="P4892" i="1" s="1"/>
  <c r="O4893" i="1"/>
  <c r="P4893" i="1" s="1"/>
  <c r="O4894" i="1"/>
  <c r="P4894" i="1" s="1"/>
  <c r="O4895" i="1"/>
  <c r="P4895" i="1" s="1"/>
  <c r="O4896" i="1"/>
  <c r="P4896" i="1" s="1"/>
  <c r="O4897" i="1"/>
  <c r="P4897" i="1" s="1"/>
  <c r="O4898" i="1"/>
  <c r="P4898" i="1" s="1"/>
  <c r="O4899" i="1"/>
  <c r="P4899" i="1" s="1"/>
  <c r="O4900" i="1"/>
  <c r="P4900" i="1" s="1"/>
  <c r="O4901" i="1"/>
  <c r="P4901" i="1" s="1"/>
  <c r="O4902" i="1"/>
  <c r="P4902" i="1" s="1"/>
  <c r="O4903" i="1"/>
  <c r="P4903" i="1" s="1"/>
  <c r="O4904" i="1"/>
  <c r="P4904" i="1" s="1"/>
  <c r="O4905" i="1"/>
  <c r="P4905" i="1" s="1"/>
  <c r="O4906" i="1"/>
  <c r="P4906" i="1" s="1"/>
  <c r="O4907" i="1"/>
  <c r="P4907" i="1" s="1"/>
  <c r="O4908" i="1"/>
  <c r="P4908" i="1" s="1"/>
  <c r="O4909" i="1"/>
  <c r="P4909" i="1" s="1"/>
  <c r="O4910" i="1"/>
  <c r="P4910" i="1" s="1"/>
  <c r="O4911" i="1"/>
  <c r="P4911" i="1" s="1"/>
  <c r="O4912" i="1"/>
  <c r="P4912" i="1" s="1"/>
  <c r="O4913" i="1"/>
  <c r="P4913" i="1" s="1"/>
  <c r="O4914" i="1"/>
  <c r="P4914" i="1" s="1"/>
  <c r="O4915" i="1"/>
  <c r="P4915" i="1" s="1"/>
  <c r="O4916" i="1"/>
  <c r="P4916" i="1" s="1"/>
  <c r="O4917" i="1"/>
  <c r="P4917" i="1" s="1"/>
  <c r="O4918" i="1"/>
  <c r="P4918" i="1" s="1"/>
  <c r="O4919" i="1"/>
  <c r="P4919" i="1" s="1"/>
  <c r="O4920" i="1"/>
  <c r="P4920" i="1" s="1"/>
  <c r="O4921" i="1"/>
  <c r="P4921" i="1" s="1"/>
  <c r="O4922" i="1"/>
  <c r="P4922" i="1" s="1"/>
  <c r="O4923" i="1"/>
  <c r="P4923" i="1" s="1"/>
  <c r="O4924" i="1"/>
  <c r="P4924" i="1" s="1"/>
  <c r="O4925" i="1"/>
  <c r="P4925" i="1" s="1"/>
  <c r="O4926" i="1"/>
  <c r="P4926" i="1" s="1"/>
  <c r="O4927" i="1"/>
  <c r="P4927" i="1" s="1"/>
  <c r="O4928" i="1"/>
  <c r="P4928" i="1" s="1"/>
  <c r="O4929" i="1"/>
  <c r="P4929" i="1" s="1"/>
  <c r="O4930" i="1"/>
  <c r="P4930" i="1" s="1"/>
  <c r="O4931" i="1"/>
  <c r="P4931" i="1" s="1"/>
  <c r="O4932" i="1"/>
  <c r="P4932" i="1" s="1"/>
  <c r="O4933" i="1"/>
  <c r="P4933" i="1" s="1"/>
  <c r="O4934" i="1"/>
  <c r="P4934" i="1" s="1"/>
  <c r="O4935" i="1"/>
  <c r="P4935" i="1" s="1"/>
  <c r="O4936" i="1"/>
  <c r="P4936" i="1" s="1"/>
  <c r="O4937" i="1"/>
  <c r="P4937" i="1" s="1"/>
  <c r="O4938" i="1"/>
  <c r="P4938" i="1" s="1"/>
  <c r="O4939" i="1"/>
  <c r="P4939" i="1" s="1"/>
  <c r="O4940" i="1"/>
  <c r="P4940" i="1" s="1"/>
  <c r="O4941" i="1"/>
  <c r="P4941" i="1" s="1"/>
  <c r="O4942" i="1"/>
  <c r="P4942" i="1" s="1"/>
  <c r="O4943" i="1"/>
  <c r="P4943" i="1" s="1"/>
  <c r="O4944" i="1"/>
  <c r="P4944" i="1" s="1"/>
  <c r="O4945" i="1"/>
  <c r="P4945" i="1" s="1"/>
  <c r="O4946" i="1"/>
  <c r="P4946" i="1" s="1"/>
  <c r="O4947" i="1"/>
  <c r="P4947" i="1" s="1"/>
  <c r="O4948" i="1"/>
  <c r="P4948" i="1" s="1"/>
  <c r="O4949" i="1"/>
  <c r="P4949" i="1" s="1"/>
  <c r="O4950" i="1"/>
  <c r="P4950" i="1" s="1"/>
  <c r="O4951" i="1"/>
  <c r="P4951" i="1" s="1"/>
  <c r="O4952" i="1"/>
  <c r="P4952" i="1" s="1"/>
  <c r="O4953" i="1"/>
  <c r="P4953" i="1" s="1"/>
  <c r="O4954" i="1"/>
  <c r="P4954" i="1" s="1"/>
  <c r="O4955" i="1"/>
  <c r="P4955" i="1" s="1"/>
  <c r="O4956" i="1"/>
  <c r="P4956" i="1" s="1"/>
  <c r="O4957" i="1"/>
  <c r="P4957" i="1" s="1"/>
  <c r="O4958" i="1"/>
  <c r="P4958" i="1" s="1"/>
  <c r="O4959" i="1"/>
  <c r="P4959" i="1" s="1"/>
  <c r="O4960" i="1"/>
  <c r="P4960" i="1" s="1"/>
  <c r="O4961" i="1"/>
  <c r="P4961" i="1" s="1"/>
  <c r="O4962" i="1"/>
  <c r="P4962" i="1" s="1"/>
  <c r="O4963" i="1"/>
  <c r="P4963" i="1" s="1"/>
  <c r="O4964" i="1"/>
  <c r="P4964" i="1" s="1"/>
  <c r="O4965" i="1"/>
  <c r="P4965" i="1" s="1"/>
  <c r="O4966" i="1"/>
  <c r="P4966" i="1" s="1"/>
  <c r="O4967" i="1"/>
  <c r="P4967" i="1" s="1"/>
  <c r="O4968" i="1"/>
  <c r="P4968" i="1" s="1"/>
  <c r="O4969" i="1"/>
  <c r="P4969" i="1" s="1"/>
  <c r="O4970" i="1"/>
  <c r="P4970" i="1" s="1"/>
  <c r="O4971" i="1"/>
  <c r="P4971" i="1" s="1"/>
  <c r="O4972" i="1"/>
  <c r="P4972" i="1" s="1"/>
  <c r="O4973" i="1"/>
  <c r="P4973" i="1" s="1"/>
  <c r="O4974" i="1"/>
  <c r="P4974" i="1" s="1"/>
  <c r="O4975" i="1"/>
  <c r="P4975" i="1" s="1"/>
  <c r="O4976" i="1"/>
  <c r="P4976" i="1" s="1"/>
  <c r="O4977" i="1"/>
  <c r="P4977" i="1" s="1"/>
  <c r="O4978" i="1"/>
  <c r="P4978" i="1" s="1"/>
  <c r="O4979" i="1"/>
  <c r="P4979" i="1" s="1"/>
  <c r="O4980" i="1"/>
  <c r="P4980" i="1" s="1"/>
  <c r="O4981" i="1"/>
  <c r="P4981" i="1" s="1"/>
  <c r="O4982" i="1"/>
  <c r="P4982" i="1" s="1"/>
  <c r="O4983" i="1"/>
  <c r="P4983" i="1" s="1"/>
  <c r="O4984" i="1"/>
  <c r="P4984" i="1" s="1"/>
  <c r="O4985" i="1"/>
  <c r="P4985" i="1" s="1"/>
  <c r="O4986" i="1"/>
  <c r="P4986" i="1" s="1"/>
  <c r="O4987" i="1"/>
  <c r="P4987" i="1" s="1"/>
  <c r="O4988" i="1"/>
  <c r="P4988" i="1" s="1"/>
  <c r="O4989" i="1"/>
  <c r="P4989" i="1" s="1"/>
  <c r="O4990" i="1"/>
  <c r="P4990" i="1" s="1"/>
  <c r="O4991" i="1"/>
  <c r="P4991" i="1" s="1"/>
  <c r="O4992" i="1"/>
  <c r="P4992" i="1" s="1"/>
  <c r="O4993" i="1"/>
  <c r="P4993" i="1" s="1"/>
  <c r="O4994" i="1"/>
  <c r="P4994" i="1" s="1"/>
  <c r="O4995" i="1"/>
  <c r="P4995" i="1" s="1"/>
  <c r="O4996" i="1"/>
  <c r="P4996" i="1" s="1"/>
  <c r="O4997" i="1"/>
  <c r="P4997" i="1" s="1"/>
  <c r="O4998" i="1"/>
  <c r="P4998" i="1" s="1"/>
  <c r="O4999" i="1"/>
  <c r="P4999" i="1" s="1"/>
  <c r="O5000" i="1"/>
  <c r="P5000" i="1" s="1"/>
  <c r="O5001" i="1"/>
  <c r="P5001" i="1" s="1"/>
  <c r="O5002" i="1"/>
  <c r="P5002" i="1" s="1"/>
  <c r="O5003" i="1"/>
  <c r="P5003" i="1" s="1"/>
  <c r="O5004" i="1"/>
  <c r="P5004" i="1" s="1"/>
  <c r="O5005" i="1"/>
  <c r="P5005" i="1" s="1"/>
  <c r="O5006" i="1"/>
  <c r="P5006" i="1" s="1"/>
  <c r="O5007" i="1"/>
  <c r="P5007" i="1" s="1"/>
  <c r="O5008" i="1"/>
  <c r="P5008" i="1" s="1"/>
  <c r="O5009" i="1"/>
  <c r="P5009" i="1" s="1"/>
  <c r="O5010" i="1"/>
  <c r="P5010" i="1" s="1"/>
  <c r="O5011" i="1"/>
  <c r="P5011" i="1" s="1"/>
  <c r="O5012" i="1"/>
  <c r="P5012" i="1" s="1"/>
  <c r="O5013" i="1"/>
  <c r="P5013" i="1" s="1"/>
  <c r="O5014" i="1"/>
  <c r="P5014" i="1" s="1"/>
  <c r="O5015" i="1"/>
  <c r="P5015" i="1" s="1"/>
  <c r="O5016" i="1"/>
  <c r="P5016" i="1" s="1"/>
  <c r="O5017" i="1"/>
  <c r="P5017" i="1" s="1"/>
  <c r="O5018" i="1"/>
  <c r="P5018" i="1" s="1"/>
  <c r="O5019" i="1"/>
  <c r="P5019" i="1" s="1"/>
  <c r="O5020" i="1"/>
  <c r="P5020" i="1" s="1"/>
  <c r="O5021" i="1"/>
  <c r="P5021" i="1" s="1"/>
  <c r="O5022" i="1"/>
  <c r="P5022" i="1" s="1"/>
  <c r="O5023" i="1"/>
  <c r="P5023" i="1" s="1"/>
  <c r="O5024" i="1"/>
  <c r="P5024" i="1" s="1"/>
  <c r="O5025" i="1"/>
  <c r="P5025" i="1" s="1"/>
  <c r="O5026" i="1"/>
  <c r="P5026" i="1" s="1"/>
  <c r="O5027" i="1"/>
  <c r="P5027" i="1" s="1"/>
  <c r="O5028" i="1"/>
  <c r="P5028" i="1" s="1"/>
  <c r="O5029" i="1"/>
  <c r="P5029" i="1" s="1"/>
  <c r="O5030" i="1"/>
  <c r="P5030" i="1" s="1"/>
  <c r="O5031" i="1"/>
  <c r="P5031" i="1" s="1"/>
  <c r="O5032" i="1"/>
  <c r="P5032" i="1" s="1"/>
  <c r="O5033" i="1"/>
  <c r="P5033" i="1" s="1"/>
  <c r="O5034" i="1"/>
  <c r="P5034" i="1" s="1"/>
  <c r="O5035" i="1"/>
  <c r="P5035" i="1" s="1"/>
  <c r="O5036" i="1"/>
  <c r="P5036" i="1" s="1"/>
  <c r="O5037" i="1"/>
  <c r="P5037" i="1" s="1"/>
  <c r="O5038" i="1"/>
  <c r="P5038" i="1" s="1"/>
  <c r="O5039" i="1"/>
  <c r="P5039" i="1" s="1"/>
  <c r="O5040" i="1"/>
  <c r="P5040" i="1" s="1"/>
  <c r="O5041" i="1"/>
  <c r="P5041" i="1" s="1"/>
  <c r="O5042" i="1"/>
  <c r="P5042" i="1" s="1"/>
  <c r="O5043" i="1"/>
  <c r="P5043" i="1" s="1"/>
  <c r="O5044" i="1"/>
  <c r="P5044" i="1" s="1"/>
  <c r="O5045" i="1"/>
  <c r="P5045" i="1" s="1"/>
  <c r="O5046" i="1"/>
  <c r="P5046" i="1" s="1"/>
  <c r="O5047" i="1"/>
  <c r="P5047" i="1" s="1"/>
  <c r="O5048" i="1"/>
  <c r="P5048" i="1" s="1"/>
  <c r="O5049" i="1"/>
  <c r="P5049" i="1" s="1"/>
  <c r="O5050" i="1"/>
  <c r="P5050" i="1" s="1"/>
  <c r="O5051" i="1"/>
  <c r="P5051" i="1" s="1"/>
  <c r="O5052" i="1"/>
  <c r="P5052" i="1" s="1"/>
  <c r="O5053" i="1"/>
  <c r="P5053" i="1" s="1"/>
  <c r="O5054" i="1"/>
  <c r="P5054" i="1" s="1"/>
  <c r="O5055" i="1"/>
  <c r="P5055" i="1" s="1"/>
  <c r="O5056" i="1"/>
  <c r="P5056" i="1" s="1"/>
  <c r="O5057" i="1"/>
  <c r="P5057" i="1" s="1"/>
  <c r="O5058" i="1"/>
  <c r="P5058" i="1" s="1"/>
  <c r="O5059" i="1"/>
  <c r="P5059" i="1" s="1"/>
  <c r="O5060" i="1"/>
  <c r="P5060" i="1" s="1"/>
  <c r="O5061" i="1"/>
  <c r="P5061" i="1" s="1"/>
  <c r="O5062" i="1"/>
  <c r="P5062" i="1" s="1"/>
  <c r="O5063" i="1"/>
  <c r="P5063" i="1" s="1"/>
  <c r="O5064" i="1"/>
  <c r="P5064" i="1" s="1"/>
  <c r="O5065" i="1"/>
  <c r="P5065" i="1" s="1"/>
  <c r="O5066" i="1"/>
  <c r="P5066" i="1" s="1"/>
  <c r="O5067" i="1"/>
  <c r="P5067" i="1" s="1"/>
  <c r="O5068" i="1"/>
  <c r="P5068" i="1" s="1"/>
  <c r="O5069" i="1"/>
  <c r="P5069" i="1" s="1"/>
  <c r="O5070" i="1"/>
  <c r="P5070" i="1" s="1"/>
  <c r="O5071" i="1"/>
  <c r="P5071" i="1" s="1"/>
  <c r="O5072" i="1"/>
  <c r="P5072" i="1" s="1"/>
  <c r="O5073" i="1"/>
  <c r="P5073" i="1" s="1"/>
  <c r="O5074" i="1"/>
  <c r="P5074" i="1" s="1"/>
  <c r="O5075" i="1"/>
  <c r="P5075" i="1" s="1"/>
  <c r="O5076" i="1"/>
  <c r="P5076" i="1" s="1"/>
  <c r="O5077" i="1"/>
  <c r="P5077" i="1" s="1"/>
  <c r="O5078" i="1"/>
  <c r="P5078" i="1" s="1"/>
  <c r="O5079" i="1"/>
  <c r="P5079" i="1" s="1"/>
  <c r="O5080" i="1"/>
  <c r="P5080" i="1" s="1"/>
  <c r="O5081" i="1"/>
  <c r="P5081" i="1" s="1"/>
  <c r="O5082" i="1"/>
  <c r="P5082" i="1" s="1"/>
  <c r="O5083" i="1"/>
  <c r="P5083" i="1" s="1"/>
  <c r="O5084" i="1"/>
  <c r="P5084" i="1" s="1"/>
  <c r="O5085" i="1"/>
  <c r="P5085" i="1" s="1"/>
  <c r="O5086" i="1"/>
  <c r="P5086" i="1" s="1"/>
  <c r="O5087" i="1"/>
  <c r="P5087" i="1" s="1"/>
  <c r="O5088" i="1"/>
  <c r="P5088" i="1" s="1"/>
  <c r="O5089" i="1"/>
  <c r="P5089" i="1" s="1"/>
  <c r="O5090" i="1"/>
  <c r="P5090" i="1" s="1"/>
  <c r="O5091" i="1"/>
  <c r="P5091" i="1" s="1"/>
  <c r="O5092" i="1"/>
  <c r="P5092" i="1" s="1"/>
  <c r="O5093" i="1"/>
  <c r="P5093" i="1" s="1"/>
  <c r="O5094" i="1"/>
  <c r="P5094" i="1" s="1"/>
  <c r="O5095" i="1"/>
  <c r="P5095" i="1" s="1"/>
  <c r="O5096" i="1"/>
  <c r="P5096" i="1" s="1"/>
  <c r="O5097" i="1"/>
  <c r="P5097" i="1" s="1"/>
  <c r="O5098" i="1"/>
  <c r="P5098" i="1" s="1"/>
  <c r="O5099" i="1"/>
  <c r="P5099" i="1" s="1"/>
  <c r="O5100" i="1"/>
  <c r="P5100" i="1" s="1"/>
  <c r="O5101" i="1"/>
  <c r="P5101" i="1" s="1"/>
  <c r="O5102" i="1"/>
  <c r="P5102" i="1" s="1"/>
  <c r="O5103" i="1"/>
  <c r="P5103" i="1" s="1"/>
  <c r="O5104" i="1"/>
  <c r="P5104" i="1" s="1"/>
  <c r="O5105" i="1"/>
  <c r="P5105" i="1" s="1"/>
  <c r="O5106" i="1"/>
  <c r="P5106" i="1" s="1"/>
  <c r="O5107" i="1"/>
  <c r="P5107" i="1" s="1"/>
  <c r="O5108" i="1"/>
  <c r="P5108" i="1" s="1"/>
  <c r="O5109" i="1"/>
  <c r="P5109" i="1" s="1"/>
  <c r="O5110" i="1"/>
  <c r="P5110" i="1" s="1"/>
  <c r="O5111" i="1"/>
  <c r="P5111" i="1" s="1"/>
  <c r="O5112" i="1"/>
  <c r="P5112" i="1" s="1"/>
  <c r="O5113" i="1"/>
  <c r="P5113" i="1" s="1"/>
  <c r="O5114" i="1"/>
  <c r="P5114" i="1" s="1"/>
  <c r="O5115" i="1"/>
  <c r="P5115" i="1" s="1"/>
  <c r="O5116" i="1"/>
  <c r="P5116" i="1" s="1"/>
  <c r="O5117" i="1"/>
  <c r="P5117" i="1" s="1"/>
  <c r="O5118" i="1"/>
  <c r="P5118" i="1" s="1"/>
  <c r="O5119" i="1"/>
  <c r="P5119" i="1" s="1"/>
  <c r="O5120" i="1"/>
  <c r="P5120" i="1" s="1"/>
  <c r="O5121" i="1"/>
  <c r="P5121" i="1" s="1"/>
  <c r="O5122" i="1"/>
  <c r="P5122" i="1" s="1"/>
  <c r="O5123" i="1"/>
  <c r="P5123" i="1" s="1"/>
  <c r="O5124" i="1"/>
  <c r="P5124" i="1" s="1"/>
  <c r="O5125" i="1"/>
  <c r="P5125" i="1" s="1"/>
  <c r="O5126" i="1"/>
  <c r="P5126" i="1" s="1"/>
  <c r="O5127" i="1"/>
  <c r="P5127" i="1" s="1"/>
  <c r="O5128" i="1"/>
  <c r="P5128" i="1" s="1"/>
  <c r="O5129" i="1"/>
  <c r="P5129" i="1" s="1"/>
  <c r="O5130" i="1"/>
  <c r="P5130" i="1" s="1"/>
  <c r="O5131" i="1"/>
  <c r="P5131" i="1" s="1"/>
  <c r="O5132" i="1"/>
  <c r="P5132" i="1" s="1"/>
  <c r="O5133" i="1"/>
  <c r="P5133" i="1" s="1"/>
  <c r="O5134" i="1"/>
  <c r="P5134" i="1" s="1"/>
  <c r="O5135" i="1"/>
  <c r="P5135" i="1" s="1"/>
  <c r="O5136" i="1"/>
  <c r="P5136" i="1" s="1"/>
  <c r="O5137" i="1"/>
  <c r="P5137" i="1" s="1"/>
  <c r="O5138" i="1"/>
  <c r="P5138" i="1" s="1"/>
  <c r="O5139" i="1"/>
  <c r="P5139" i="1" s="1"/>
  <c r="O5140" i="1"/>
  <c r="P5140" i="1" s="1"/>
  <c r="O5141" i="1"/>
  <c r="P5141" i="1" s="1"/>
  <c r="O5142" i="1"/>
  <c r="P5142" i="1" s="1"/>
  <c r="O5143" i="1"/>
  <c r="P5143" i="1" s="1"/>
  <c r="O5144" i="1"/>
  <c r="P5144" i="1" s="1"/>
  <c r="O5145" i="1"/>
  <c r="P5145" i="1" s="1"/>
  <c r="O5146" i="1"/>
  <c r="P5146" i="1" s="1"/>
  <c r="O5147" i="1"/>
  <c r="P5147" i="1" s="1"/>
  <c r="O5148" i="1"/>
  <c r="P5148" i="1" s="1"/>
  <c r="O5149" i="1"/>
  <c r="P5149" i="1" s="1"/>
  <c r="O5150" i="1"/>
  <c r="P5150" i="1" s="1"/>
  <c r="O5151" i="1"/>
  <c r="P5151" i="1" s="1"/>
  <c r="O5152" i="1"/>
  <c r="P5152" i="1" s="1"/>
  <c r="O5153" i="1"/>
  <c r="P5153" i="1" s="1"/>
  <c r="O5154" i="1"/>
  <c r="P5154" i="1" s="1"/>
  <c r="O5155" i="1"/>
  <c r="P5155" i="1" s="1"/>
  <c r="O5156" i="1"/>
  <c r="P5156" i="1" s="1"/>
  <c r="O5157" i="1"/>
  <c r="P5157" i="1" s="1"/>
  <c r="O5158" i="1"/>
  <c r="P5158" i="1" s="1"/>
  <c r="O5159" i="1"/>
  <c r="P5159" i="1" s="1"/>
  <c r="O5160" i="1"/>
  <c r="P5160" i="1" s="1"/>
  <c r="O5161" i="1"/>
  <c r="P5161" i="1" s="1"/>
  <c r="O5162" i="1"/>
  <c r="P5162" i="1" s="1"/>
  <c r="O5163" i="1"/>
  <c r="P5163" i="1" s="1"/>
  <c r="O5164" i="1"/>
  <c r="P5164" i="1" s="1"/>
  <c r="O5165" i="1"/>
  <c r="P5165" i="1" s="1"/>
  <c r="O5166" i="1"/>
  <c r="P5166" i="1" s="1"/>
  <c r="O5167" i="1"/>
  <c r="P5167" i="1" s="1"/>
  <c r="O5168" i="1"/>
  <c r="P5168" i="1" s="1"/>
  <c r="O5169" i="1"/>
  <c r="P5169" i="1" s="1"/>
  <c r="O5170" i="1"/>
  <c r="P5170" i="1" s="1"/>
  <c r="O5171" i="1"/>
  <c r="P5171" i="1" s="1"/>
  <c r="O5172" i="1"/>
  <c r="P5172" i="1" s="1"/>
  <c r="O5173" i="1"/>
  <c r="P5173" i="1" s="1"/>
  <c r="O5174" i="1"/>
  <c r="P5174" i="1" s="1"/>
  <c r="O5175" i="1"/>
  <c r="P5175" i="1" s="1"/>
  <c r="O5176" i="1"/>
  <c r="P5176" i="1" s="1"/>
  <c r="O5177" i="1"/>
  <c r="P5177" i="1" s="1"/>
  <c r="O5178" i="1"/>
  <c r="P5178" i="1" s="1"/>
  <c r="O5179" i="1"/>
  <c r="P5179" i="1" s="1"/>
  <c r="O5180" i="1"/>
  <c r="P5180" i="1" s="1"/>
  <c r="O5181" i="1"/>
  <c r="P5181" i="1" s="1"/>
  <c r="O5182" i="1"/>
  <c r="P5182" i="1" s="1"/>
  <c r="O5183" i="1"/>
  <c r="P5183" i="1" s="1"/>
  <c r="O5184" i="1"/>
  <c r="P5184" i="1" s="1"/>
  <c r="O5185" i="1"/>
  <c r="P5185" i="1" s="1"/>
  <c r="O5186" i="1"/>
  <c r="P5186" i="1" s="1"/>
  <c r="O5187" i="1"/>
  <c r="P5187" i="1" s="1"/>
  <c r="O5188" i="1"/>
  <c r="P5188" i="1" s="1"/>
  <c r="O5189" i="1"/>
  <c r="P5189" i="1" s="1"/>
  <c r="O5190" i="1"/>
  <c r="P5190" i="1" s="1"/>
  <c r="O5191" i="1"/>
  <c r="P5191" i="1" s="1"/>
  <c r="O5192" i="1"/>
  <c r="P5192" i="1" s="1"/>
  <c r="O5193" i="1"/>
  <c r="P5193" i="1" s="1"/>
  <c r="O5194" i="1"/>
  <c r="P5194" i="1" s="1"/>
  <c r="O5195" i="1"/>
  <c r="P5195" i="1" s="1"/>
  <c r="O5196" i="1"/>
  <c r="P5196" i="1" s="1"/>
  <c r="O5197" i="1"/>
  <c r="P5197" i="1" s="1"/>
  <c r="O5198" i="1"/>
  <c r="P5198" i="1" s="1"/>
  <c r="O5199" i="1"/>
  <c r="P5199" i="1" s="1"/>
  <c r="O5200" i="1"/>
  <c r="P5200" i="1" s="1"/>
  <c r="O5201" i="1"/>
  <c r="P5201" i="1" s="1"/>
  <c r="O5202" i="1"/>
  <c r="P5202" i="1" s="1"/>
  <c r="O5203" i="1"/>
  <c r="P5203" i="1" s="1"/>
  <c r="O5204" i="1"/>
  <c r="P5204" i="1" s="1"/>
  <c r="O5205" i="1"/>
  <c r="P5205" i="1" s="1"/>
  <c r="O5206" i="1"/>
  <c r="P5206" i="1" s="1"/>
  <c r="O5207" i="1"/>
  <c r="P5207" i="1" s="1"/>
  <c r="O5208" i="1"/>
  <c r="P5208" i="1" s="1"/>
  <c r="O5209" i="1"/>
  <c r="P5209" i="1" s="1"/>
  <c r="O5210" i="1"/>
  <c r="P5210" i="1" s="1"/>
  <c r="O5211" i="1"/>
  <c r="P5211" i="1" s="1"/>
  <c r="O5212" i="1"/>
  <c r="P5212" i="1" s="1"/>
  <c r="O5213" i="1"/>
  <c r="P5213" i="1" s="1"/>
  <c r="O5214" i="1"/>
  <c r="P5214" i="1" s="1"/>
  <c r="O5215" i="1"/>
  <c r="P5215" i="1" s="1"/>
  <c r="O5216" i="1"/>
  <c r="P5216" i="1" s="1"/>
  <c r="O5217" i="1"/>
  <c r="P5217" i="1" s="1"/>
  <c r="O5218" i="1"/>
  <c r="P5218" i="1" s="1"/>
  <c r="O5219" i="1"/>
  <c r="P5219" i="1" s="1"/>
  <c r="O5220" i="1"/>
  <c r="P5220" i="1" s="1"/>
  <c r="O5221" i="1"/>
  <c r="P5221" i="1" s="1"/>
  <c r="O5222" i="1"/>
  <c r="P5222" i="1" s="1"/>
  <c r="O5223" i="1"/>
  <c r="P5223" i="1" s="1"/>
  <c r="O5224" i="1"/>
  <c r="P5224" i="1" s="1"/>
  <c r="O5225" i="1"/>
  <c r="P5225" i="1" s="1"/>
  <c r="O5226" i="1"/>
  <c r="P5226" i="1" s="1"/>
  <c r="O5227" i="1"/>
  <c r="P5227" i="1" s="1"/>
  <c r="O5228" i="1"/>
  <c r="P5228" i="1" s="1"/>
  <c r="O5229" i="1"/>
  <c r="P5229" i="1" s="1"/>
  <c r="O5230" i="1"/>
  <c r="P5230" i="1" s="1"/>
  <c r="O5231" i="1"/>
  <c r="P5231" i="1" s="1"/>
  <c r="O5232" i="1"/>
  <c r="P5232" i="1" s="1"/>
  <c r="O5233" i="1"/>
  <c r="P5233" i="1" s="1"/>
  <c r="O5234" i="1"/>
  <c r="P5234" i="1" s="1"/>
  <c r="O5235" i="1"/>
  <c r="P5235" i="1" s="1"/>
  <c r="O5236" i="1"/>
  <c r="P5236" i="1" s="1"/>
  <c r="O5237" i="1"/>
  <c r="P5237" i="1" s="1"/>
  <c r="O5238" i="1"/>
  <c r="P5238" i="1" s="1"/>
  <c r="O5239" i="1"/>
  <c r="P5239" i="1" s="1"/>
  <c r="O5240" i="1"/>
  <c r="P5240" i="1" s="1"/>
  <c r="O5241" i="1"/>
  <c r="P5241" i="1" s="1"/>
  <c r="O5242" i="1"/>
  <c r="P5242" i="1" s="1"/>
  <c r="O5243" i="1"/>
  <c r="P5243" i="1" s="1"/>
  <c r="O5244" i="1"/>
  <c r="P5244" i="1" s="1"/>
  <c r="O5245" i="1"/>
  <c r="P5245" i="1" s="1"/>
  <c r="O5246" i="1"/>
  <c r="P5246" i="1" s="1"/>
  <c r="O5247" i="1"/>
  <c r="P5247" i="1" s="1"/>
  <c r="O5248" i="1"/>
  <c r="P5248" i="1" s="1"/>
  <c r="O5249" i="1"/>
  <c r="P5249" i="1" s="1"/>
  <c r="O5250" i="1"/>
  <c r="P5250" i="1" s="1"/>
  <c r="O5251" i="1"/>
  <c r="P5251" i="1" s="1"/>
  <c r="O5252" i="1"/>
  <c r="P5252" i="1" s="1"/>
  <c r="O5253" i="1"/>
  <c r="P5253" i="1" s="1"/>
  <c r="O5254" i="1"/>
  <c r="P5254" i="1" s="1"/>
  <c r="O5255" i="1"/>
  <c r="P5255" i="1" s="1"/>
  <c r="O5256" i="1"/>
  <c r="P5256" i="1" s="1"/>
  <c r="O5257" i="1"/>
  <c r="P5257" i="1" s="1"/>
  <c r="O5258" i="1"/>
  <c r="P5258" i="1" s="1"/>
  <c r="O5259" i="1"/>
  <c r="P5259" i="1" s="1"/>
  <c r="O5260" i="1"/>
  <c r="P5260" i="1" s="1"/>
  <c r="O5261" i="1"/>
  <c r="P5261" i="1" s="1"/>
  <c r="O5262" i="1"/>
  <c r="P5262" i="1" s="1"/>
  <c r="O5263" i="1"/>
  <c r="P5263" i="1" s="1"/>
  <c r="O5264" i="1"/>
  <c r="P5264" i="1" s="1"/>
  <c r="O5265" i="1"/>
  <c r="P5265" i="1" s="1"/>
  <c r="O5266" i="1"/>
  <c r="P5266" i="1" s="1"/>
  <c r="O5267" i="1"/>
  <c r="P5267" i="1" s="1"/>
  <c r="O5268" i="1"/>
  <c r="P5268" i="1" s="1"/>
  <c r="O5269" i="1"/>
  <c r="P5269" i="1" s="1"/>
  <c r="O5270" i="1"/>
  <c r="P5270" i="1" s="1"/>
  <c r="O5271" i="1"/>
  <c r="P5271" i="1" s="1"/>
  <c r="O5272" i="1"/>
  <c r="P5272" i="1" s="1"/>
  <c r="O5273" i="1"/>
  <c r="P5273" i="1" s="1"/>
  <c r="O5274" i="1"/>
  <c r="P5274" i="1" s="1"/>
  <c r="O5275" i="1"/>
  <c r="P5275" i="1" s="1"/>
  <c r="O5276" i="1"/>
  <c r="P5276" i="1" s="1"/>
  <c r="O5277" i="1"/>
  <c r="P5277" i="1" s="1"/>
  <c r="O5278" i="1"/>
  <c r="P5278" i="1" s="1"/>
  <c r="O5279" i="1"/>
  <c r="P5279" i="1" s="1"/>
  <c r="O5280" i="1"/>
  <c r="P5280" i="1" s="1"/>
  <c r="O5281" i="1"/>
  <c r="P5281" i="1" s="1"/>
  <c r="O5282" i="1"/>
  <c r="P5282" i="1" s="1"/>
  <c r="O5283" i="1"/>
  <c r="P5283" i="1" s="1"/>
  <c r="O5284" i="1"/>
  <c r="P5284" i="1" s="1"/>
  <c r="O5285" i="1"/>
  <c r="P5285" i="1" s="1"/>
  <c r="O5286" i="1"/>
  <c r="P5286" i="1" s="1"/>
  <c r="O5287" i="1"/>
  <c r="P5287" i="1" s="1"/>
  <c r="O5288" i="1"/>
  <c r="P5288" i="1" s="1"/>
  <c r="O5289" i="1"/>
  <c r="P5289" i="1" s="1"/>
  <c r="O5290" i="1"/>
  <c r="P5290" i="1" s="1"/>
  <c r="O5291" i="1"/>
  <c r="P5291" i="1" s="1"/>
  <c r="O5292" i="1"/>
  <c r="P5292" i="1" s="1"/>
  <c r="O5293" i="1"/>
  <c r="P5293" i="1" s="1"/>
  <c r="O5294" i="1"/>
  <c r="P5294" i="1" s="1"/>
  <c r="O5295" i="1"/>
  <c r="P5295" i="1" s="1"/>
  <c r="O5296" i="1"/>
  <c r="P5296" i="1" s="1"/>
  <c r="O5297" i="1"/>
  <c r="P5297" i="1" s="1"/>
  <c r="O5298" i="1"/>
  <c r="P5298" i="1" s="1"/>
  <c r="O5299" i="1"/>
  <c r="P5299" i="1" s="1"/>
  <c r="O5300" i="1"/>
  <c r="P5300" i="1" s="1"/>
  <c r="O5301" i="1"/>
  <c r="P5301" i="1" s="1"/>
  <c r="O5302" i="1"/>
  <c r="P5302" i="1" s="1"/>
  <c r="O5303" i="1"/>
  <c r="P5303" i="1" s="1"/>
  <c r="O5304" i="1"/>
  <c r="P5304" i="1" s="1"/>
  <c r="O5305" i="1"/>
  <c r="P5305" i="1" s="1"/>
  <c r="O5306" i="1"/>
  <c r="P5306" i="1" s="1"/>
  <c r="O5307" i="1"/>
  <c r="P5307" i="1" s="1"/>
  <c r="O5308" i="1"/>
  <c r="P5308" i="1" s="1"/>
  <c r="O5309" i="1"/>
  <c r="P5309" i="1" s="1"/>
  <c r="O5310" i="1"/>
  <c r="P5310" i="1" s="1"/>
  <c r="O5311" i="1"/>
  <c r="P5311" i="1" s="1"/>
  <c r="O5312" i="1"/>
  <c r="P5312" i="1" s="1"/>
  <c r="O5313" i="1"/>
  <c r="P5313" i="1" s="1"/>
  <c r="O5314" i="1"/>
  <c r="P5314" i="1" s="1"/>
  <c r="O5315" i="1"/>
  <c r="P5315" i="1" s="1"/>
  <c r="O5316" i="1"/>
  <c r="P5316" i="1" s="1"/>
  <c r="O5317" i="1"/>
  <c r="P5317" i="1" s="1"/>
  <c r="O5318" i="1"/>
  <c r="P5318" i="1" s="1"/>
  <c r="O5319" i="1"/>
  <c r="P5319" i="1" s="1"/>
  <c r="O5320" i="1"/>
  <c r="P5320" i="1" s="1"/>
  <c r="O5321" i="1"/>
  <c r="P5321" i="1" s="1"/>
  <c r="O5322" i="1"/>
  <c r="P5322" i="1" s="1"/>
  <c r="O5323" i="1"/>
  <c r="P5323" i="1" s="1"/>
  <c r="O5324" i="1"/>
  <c r="P5324" i="1" s="1"/>
  <c r="O5325" i="1"/>
  <c r="P5325" i="1" s="1"/>
  <c r="O5326" i="1"/>
  <c r="P5326" i="1" s="1"/>
  <c r="O5327" i="1"/>
  <c r="P5327" i="1" s="1"/>
  <c r="O5328" i="1"/>
  <c r="P5328" i="1" s="1"/>
  <c r="O5329" i="1"/>
  <c r="P5329" i="1" s="1"/>
  <c r="O5330" i="1"/>
  <c r="P5330" i="1" s="1"/>
  <c r="O5331" i="1"/>
  <c r="P5331" i="1" s="1"/>
  <c r="O5332" i="1"/>
  <c r="P5332" i="1" s="1"/>
  <c r="O5333" i="1"/>
  <c r="P5333" i="1" s="1"/>
  <c r="O5334" i="1"/>
  <c r="P5334" i="1" s="1"/>
  <c r="O5335" i="1"/>
  <c r="P5335" i="1" s="1"/>
  <c r="O5336" i="1"/>
  <c r="P5336" i="1" s="1"/>
  <c r="O5337" i="1"/>
  <c r="P5337" i="1" s="1"/>
  <c r="O5338" i="1"/>
  <c r="P5338" i="1" s="1"/>
  <c r="O5339" i="1"/>
  <c r="P5339" i="1" s="1"/>
  <c r="O5340" i="1"/>
  <c r="P5340" i="1" s="1"/>
  <c r="O5341" i="1"/>
  <c r="P5341" i="1" s="1"/>
  <c r="O5342" i="1"/>
  <c r="P5342" i="1" s="1"/>
  <c r="O5343" i="1"/>
  <c r="P5343" i="1" s="1"/>
  <c r="O5344" i="1"/>
  <c r="P5344" i="1" s="1"/>
  <c r="O5345" i="1"/>
  <c r="P5345" i="1" s="1"/>
  <c r="O5346" i="1"/>
  <c r="P5346" i="1" s="1"/>
  <c r="O5347" i="1"/>
  <c r="P5347" i="1" s="1"/>
  <c r="O5348" i="1"/>
  <c r="P5348" i="1" s="1"/>
  <c r="O5349" i="1"/>
  <c r="P5349" i="1" s="1"/>
  <c r="O5350" i="1"/>
  <c r="P5350" i="1" s="1"/>
  <c r="O5351" i="1"/>
  <c r="P5351" i="1" s="1"/>
  <c r="O5352" i="1"/>
  <c r="P5352" i="1" s="1"/>
  <c r="O5353" i="1"/>
  <c r="P5353" i="1" s="1"/>
  <c r="O5354" i="1"/>
  <c r="P5354" i="1" s="1"/>
  <c r="O5355" i="1"/>
  <c r="P5355" i="1" s="1"/>
  <c r="O5356" i="1"/>
  <c r="P5356" i="1" s="1"/>
  <c r="O5357" i="1"/>
  <c r="P5357" i="1" s="1"/>
  <c r="O5358" i="1"/>
  <c r="P5358" i="1" s="1"/>
  <c r="O5359" i="1"/>
  <c r="P5359" i="1" s="1"/>
  <c r="O5360" i="1"/>
  <c r="P5360" i="1" s="1"/>
  <c r="O5361" i="1"/>
  <c r="P5361" i="1" s="1"/>
  <c r="O5362" i="1"/>
  <c r="P5362" i="1" s="1"/>
  <c r="O5363" i="1"/>
  <c r="P5363" i="1" s="1"/>
  <c r="O5364" i="1"/>
  <c r="P5364" i="1" s="1"/>
  <c r="O5365" i="1"/>
  <c r="P5365" i="1" s="1"/>
  <c r="O5366" i="1"/>
  <c r="P5366" i="1" s="1"/>
  <c r="O5367" i="1"/>
  <c r="P5367" i="1" s="1"/>
  <c r="O5368" i="1"/>
  <c r="P5368" i="1" s="1"/>
  <c r="O5369" i="1"/>
  <c r="P5369" i="1" s="1"/>
  <c r="O5370" i="1"/>
  <c r="P5370" i="1" s="1"/>
  <c r="O5371" i="1"/>
  <c r="P5371" i="1" s="1"/>
  <c r="O5372" i="1"/>
  <c r="P5372" i="1" s="1"/>
  <c r="O5373" i="1"/>
  <c r="P5373" i="1" s="1"/>
  <c r="O5374" i="1"/>
  <c r="P5374" i="1" s="1"/>
  <c r="O5375" i="1"/>
  <c r="P5375" i="1" s="1"/>
  <c r="O5376" i="1"/>
  <c r="P5376" i="1" s="1"/>
  <c r="O5377" i="1"/>
  <c r="P5377" i="1" s="1"/>
  <c r="O5378" i="1"/>
  <c r="P5378" i="1" s="1"/>
  <c r="O5379" i="1"/>
  <c r="P5379" i="1" s="1"/>
  <c r="O5380" i="1"/>
  <c r="P5380" i="1" s="1"/>
  <c r="O5381" i="1"/>
  <c r="P5381" i="1" s="1"/>
  <c r="O5382" i="1"/>
  <c r="P5382" i="1" s="1"/>
  <c r="O5383" i="1"/>
  <c r="P5383" i="1" s="1"/>
  <c r="O5384" i="1"/>
  <c r="P5384" i="1" s="1"/>
  <c r="O5385" i="1"/>
  <c r="P5385" i="1" s="1"/>
  <c r="O5386" i="1"/>
  <c r="P5386" i="1" s="1"/>
  <c r="O5387" i="1"/>
  <c r="P5387" i="1" s="1"/>
  <c r="O5388" i="1"/>
  <c r="P5388" i="1" s="1"/>
  <c r="O5389" i="1"/>
  <c r="P5389" i="1" s="1"/>
  <c r="O5390" i="1"/>
  <c r="P5390" i="1" s="1"/>
  <c r="O5391" i="1"/>
  <c r="P5391" i="1" s="1"/>
  <c r="O5392" i="1"/>
  <c r="P5392" i="1" s="1"/>
  <c r="O5393" i="1"/>
  <c r="P5393" i="1" s="1"/>
  <c r="O5394" i="1"/>
  <c r="P5394" i="1" s="1"/>
  <c r="O5395" i="1"/>
  <c r="P5395" i="1" s="1"/>
  <c r="O5396" i="1"/>
  <c r="P5396" i="1" s="1"/>
  <c r="O5397" i="1"/>
  <c r="P5397" i="1" s="1"/>
  <c r="O5398" i="1"/>
  <c r="P5398" i="1" s="1"/>
  <c r="O5399" i="1"/>
  <c r="P5399" i="1" s="1"/>
  <c r="O5400" i="1"/>
  <c r="P5400" i="1" s="1"/>
  <c r="O5401" i="1"/>
  <c r="P5401" i="1" s="1"/>
  <c r="O5402" i="1"/>
  <c r="P5402" i="1" s="1"/>
  <c r="O5403" i="1"/>
  <c r="P5403" i="1" s="1"/>
  <c r="O5404" i="1"/>
  <c r="P5404" i="1" s="1"/>
  <c r="O5405" i="1"/>
  <c r="P5405" i="1" s="1"/>
  <c r="O5406" i="1"/>
  <c r="P5406" i="1" s="1"/>
  <c r="O5407" i="1"/>
  <c r="P5407" i="1" s="1"/>
  <c r="O5408" i="1"/>
  <c r="P5408" i="1" s="1"/>
  <c r="O5409" i="1"/>
  <c r="P5409" i="1" s="1"/>
  <c r="O5410" i="1"/>
  <c r="P5410" i="1" s="1"/>
  <c r="O5411" i="1"/>
  <c r="P5411" i="1" s="1"/>
  <c r="O5412" i="1"/>
  <c r="P5412" i="1" s="1"/>
  <c r="O5413" i="1"/>
  <c r="P5413" i="1" s="1"/>
  <c r="O5414" i="1"/>
  <c r="P5414" i="1" s="1"/>
  <c r="O5415" i="1"/>
  <c r="P5415" i="1" s="1"/>
  <c r="O5416" i="1"/>
  <c r="P5416" i="1" s="1"/>
  <c r="O5417" i="1"/>
  <c r="P5417" i="1" s="1"/>
  <c r="O5418" i="1"/>
  <c r="P5418" i="1" s="1"/>
  <c r="O5419" i="1"/>
  <c r="P5419" i="1" s="1"/>
  <c r="O5420" i="1"/>
  <c r="P5420" i="1" s="1"/>
  <c r="O5421" i="1"/>
  <c r="P5421" i="1" s="1"/>
  <c r="O5422" i="1"/>
  <c r="P5422" i="1" s="1"/>
  <c r="O5423" i="1"/>
  <c r="P5423" i="1" s="1"/>
  <c r="O5424" i="1"/>
  <c r="P5424" i="1" s="1"/>
  <c r="O5425" i="1"/>
  <c r="P5425" i="1" s="1"/>
  <c r="O5426" i="1"/>
  <c r="P5426" i="1" s="1"/>
  <c r="O5427" i="1"/>
  <c r="P5427" i="1" s="1"/>
  <c r="O5428" i="1"/>
  <c r="P5428" i="1" s="1"/>
  <c r="O5429" i="1"/>
  <c r="P5429" i="1" s="1"/>
  <c r="O5430" i="1"/>
  <c r="P5430" i="1" s="1"/>
  <c r="O5431" i="1"/>
  <c r="P5431" i="1" s="1"/>
  <c r="O5432" i="1"/>
  <c r="P5432" i="1" s="1"/>
  <c r="O5433" i="1"/>
  <c r="P5433" i="1" s="1"/>
  <c r="O5434" i="1"/>
  <c r="P5434" i="1" s="1"/>
  <c r="O5435" i="1"/>
  <c r="P5435" i="1" s="1"/>
  <c r="O5436" i="1"/>
  <c r="P5436" i="1" s="1"/>
  <c r="O5437" i="1"/>
  <c r="P5437" i="1" s="1"/>
  <c r="O5438" i="1"/>
  <c r="P5438" i="1" s="1"/>
  <c r="O5439" i="1"/>
  <c r="P5439" i="1" s="1"/>
  <c r="O5440" i="1"/>
  <c r="P5440" i="1" s="1"/>
  <c r="O5441" i="1"/>
  <c r="P5441" i="1" s="1"/>
  <c r="O5442" i="1"/>
  <c r="P5442" i="1" s="1"/>
  <c r="O5443" i="1"/>
  <c r="P5443" i="1" s="1"/>
  <c r="O5444" i="1"/>
  <c r="P5444" i="1" s="1"/>
  <c r="O5445" i="1"/>
  <c r="P5445" i="1" s="1"/>
  <c r="O5446" i="1"/>
  <c r="P5446" i="1" s="1"/>
  <c r="O5447" i="1"/>
  <c r="P5447" i="1" s="1"/>
  <c r="O5448" i="1"/>
  <c r="P5448" i="1" s="1"/>
  <c r="O5449" i="1"/>
  <c r="P5449" i="1" s="1"/>
  <c r="O5450" i="1"/>
  <c r="P5450" i="1" s="1"/>
  <c r="O5451" i="1"/>
  <c r="P5451" i="1" s="1"/>
  <c r="O5452" i="1"/>
  <c r="P5452" i="1" s="1"/>
  <c r="O5453" i="1"/>
  <c r="P5453" i="1" s="1"/>
  <c r="O5454" i="1"/>
  <c r="P5454" i="1" s="1"/>
  <c r="O5455" i="1"/>
  <c r="P5455" i="1" s="1"/>
  <c r="O5456" i="1"/>
  <c r="P5456" i="1" s="1"/>
  <c r="O5457" i="1"/>
  <c r="P5457" i="1" s="1"/>
  <c r="O5458" i="1"/>
  <c r="P5458" i="1" s="1"/>
  <c r="O5459" i="1"/>
  <c r="P5459" i="1" s="1"/>
  <c r="O5460" i="1"/>
  <c r="P5460" i="1" s="1"/>
  <c r="O5461" i="1"/>
  <c r="P5461" i="1" s="1"/>
  <c r="O5462" i="1"/>
  <c r="P5462" i="1" s="1"/>
  <c r="O5463" i="1"/>
  <c r="P5463" i="1" s="1"/>
  <c r="O5464" i="1"/>
  <c r="P5464" i="1" s="1"/>
  <c r="O5465" i="1"/>
  <c r="P5465" i="1" s="1"/>
  <c r="O5466" i="1"/>
  <c r="P5466" i="1" s="1"/>
  <c r="O5467" i="1"/>
  <c r="P5467" i="1" s="1"/>
  <c r="O5468" i="1"/>
  <c r="P5468" i="1" s="1"/>
  <c r="O5469" i="1"/>
  <c r="P5469" i="1" s="1"/>
  <c r="O5470" i="1"/>
  <c r="P5470" i="1" s="1"/>
  <c r="O5471" i="1"/>
  <c r="P5471" i="1" s="1"/>
  <c r="O5472" i="1"/>
  <c r="P5472" i="1" s="1"/>
  <c r="O5473" i="1"/>
  <c r="P5473" i="1" s="1"/>
  <c r="O5474" i="1"/>
  <c r="P5474" i="1" s="1"/>
  <c r="O5475" i="1"/>
  <c r="P5475" i="1" s="1"/>
  <c r="O5476" i="1"/>
  <c r="P5476" i="1" s="1"/>
  <c r="O5477" i="1"/>
  <c r="P5477" i="1" s="1"/>
  <c r="O5478" i="1"/>
  <c r="P5478" i="1" s="1"/>
  <c r="O5479" i="1"/>
  <c r="P5479" i="1" s="1"/>
  <c r="O5480" i="1"/>
  <c r="P5480" i="1" s="1"/>
  <c r="O5481" i="1"/>
  <c r="P5481" i="1" s="1"/>
  <c r="O5482" i="1"/>
  <c r="P5482" i="1" s="1"/>
  <c r="O5483" i="1"/>
  <c r="P5483" i="1" s="1"/>
  <c r="O5484" i="1"/>
  <c r="P5484" i="1" s="1"/>
  <c r="O5485" i="1"/>
  <c r="P5485" i="1" s="1"/>
  <c r="O5486" i="1"/>
  <c r="P5486" i="1" s="1"/>
  <c r="O5487" i="1"/>
  <c r="P5487" i="1" s="1"/>
  <c r="O5488" i="1"/>
  <c r="P5488" i="1" s="1"/>
  <c r="O5489" i="1"/>
  <c r="P5489" i="1" s="1"/>
  <c r="O5490" i="1"/>
  <c r="P5490" i="1" s="1"/>
  <c r="O5491" i="1"/>
  <c r="P5491" i="1" s="1"/>
  <c r="O5492" i="1"/>
  <c r="P5492" i="1" s="1"/>
  <c r="O5493" i="1"/>
  <c r="P5493" i="1" s="1"/>
  <c r="O5494" i="1"/>
  <c r="P5494" i="1" s="1"/>
  <c r="O5495" i="1"/>
  <c r="P5495" i="1" s="1"/>
  <c r="O5496" i="1"/>
  <c r="P5496" i="1" s="1"/>
  <c r="O5497" i="1"/>
  <c r="P5497" i="1" s="1"/>
  <c r="O5498" i="1"/>
  <c r="P5498" i="1" s="1"/>
  <c r="O5499" i="1"/>
  <c r="P5499" i="1" s="1"/>
  <c r="O5500" i="1"/>
  <c r="P5500" i="1" s="1"/>
  <c r="O5501" i="1"/>
  <c r="P5501" i="1" s="1"/>
  <c r="O5502" i="1"/>
  <c r="P5502" i="1" s="1"/>
  <c r="O5503" i="1"/>
  <c r="P5503" i="1" s="1"/>
  <c r="O5504" i="1"/>
  <c r="P5504" i="1" s="1"/>
  <c r="O5505" i="1"/>
  <c r="P5505" i="1" s="1"/>
  <c r="O5506" i="1"/>
  <c r="P5506" i="1" s="1"/>
  <c r="O5507" i="1"/>
  <c r="P5507" i="1" s="1"/>
  <c r="O5508" i="1"/>
  <c r="P5508" i="1" s="1"/>
  <c r="O5509" i="1"/>
  <c r="P5509" i="1" s="1"/>
  <c r="O5510" i="1"/>
  <c r="P5510" i="1" s="1"/>
  <c r="O5511" i="1"/>
  <c r="P5511" i="1" s="1"/>
  <c r="O5512" i="1"/>
  <c r="P5512" i="1" s="1"/>
  <c r="O5513" i="1"/>
  <c r="P5513" i="1" s="1"/>
  <c r="O5514" i="1"/>
  <c r="P5514" i="1" s="1"/>
  <c r="O5515" i="1"/>
  <c r="P5515" i="1" s="1"/>
  <c r="O5516" i="1"/>
  <c r="P5516" i="1" s="1"/>
  <c r="O5517" i="1"/>
  <c r="P5517" i="1" s="1"/>
  <c r="O5518" i="1"/>
  <c r="P5518" i="1" s="1"/>
  <c r="O5519" i="1"/>
  <c r="P5519" i="1" s="1"/>
  <c r="O5520" i="1"/>
  <c r="P5520" i="1" s="1"/>
  <c r="O5521" i="1"/>
  <c r="P5521" i="1" s="1"/>
  <c r="O5522" i="1"/>
  <c r="P5522" i="1" s="1"/>
  <c r="O5523" i="1"/>
  <c r="P5523" i="1" s="1"/>
  <c r="O5524" i="1"/>
  <c r="P5524" i="1" s="1"/>
  <c r="O5525" i="1"/>
  <c r="P5525" i="1" s="1"/>
  <c r="O5526" i="1"/>
  <c r="P5526" i="1" s="1"/>
  <c r="O5527" i="1"/>
  <c r="P5527" i="1" s="1"/>
  <c r="O5528" i="1"/>
  <c r="P5528" i="1" s="1"/>
  <c r="O5529" i="1"/>
  <c r="P5529" i="1" s="1"/>
  <c r="O5530" i="1"/>
  <c r="P5530" i="1" s="1"/>
  <c r="O5531" i="1"/>
  <c r="P5531" i="1" s="1"/>
  <c r="O5532" i="1"/>
  <c r="P5532" i="1" s="1"/>
  <c r="O5533" i="1"/>
  <c r="P5533" i="1" s="1"/>
  <c r="O5534" i="1"/>
  <c r="P5534" i="1" s="1"/>
  <c r="O5535" i="1"/>
  <c r="P5535" i="1" s="1"/>
  <c r="O5536" i="1"/>
  <c r="P5536" i="1" s="1"/>
  <c r="O5537" i="1"/>
  <c r="P5537" i="1" s="1"/>
  <c r="O5538" i="1"/>
  <c r="P5538" i="1" s="1"/>
  <c r="O5539" i="1"/>
  <c r="P5539" i="1" s="1"/>
  <c r="O5540" i="1"/>
  <c r="P5540" i="1" s="1"/>
  <c r="O5541" i="1"/>
  <c r="P5541" i="1" s="1"/>
  <c r="O5542" i="1"/>
  <c r="P5542" i="1" s="1"/>
  <c r="O5543" i="1"/>
  <c r="P5543" i="1" s="1"/>
  <c r="O5544" i="1"/>
  <c r="P5544" i="1" s="1"/>
  <c r="O5545" i="1"/>
  <c r="P5545" i="1" s="1"/>
  <c r="O5546" i="1"/>
  <c r="P5546" i="1" s="1"/>
  <c r="O5547" i="1"/>
  <c r="P5547" i="1" s="1"/>
  <c r="O5548" i="1"/>
  <c r="P5548" i="1" s="1"/>
  <c r="O5549" i="1"/>
  <c r="P5549" i="1" s="1"/>
  <c r="O5550" i="1"/>
  <c r="P5550" i="1" s="1"/>
  <c r="O5551" i="1"/>
  <c r="P5551" i="1" s="1"/>
  <c r="O5552" i="1"/>
  <c r="P5552" i="1" s="1"/>
  <c r="O5553" i="1"/>
  <c r="P5553" i="1" s="1"/>
  <c r="O5554" i="1"/>
  <c r="P5554" i="1" s="1"/>
  <c r="O5555" i="1"/>
  <c r="P5555" i="1" s="1"/>
  <c r="O5556" i="1"/>
  <c r="P5556" i="1" s="1"/>
  <c r="O5557" i="1"/>
  <c r="P5557" i="1" s="1"/>
  <c r="O5558" i="1"/>
  <c r="P5558" i="1" s="1"/>
  <c r="O5559" i="1"/>
  <c r="P5559" i="1" s="1"/>
  <c r="O5560" i="1"/>
  <c r="P5560" i="1" s="1"/>
  <c r="O5561" i="1"/>
  <c r="P5561" i="1" s="1"/>
  <c r="O5562" i="1"/>
  <c r="P5562" i="1" s="1"/>
  <c r="O5563" i="1"/>
  <c r="P5563" i="1" s="1"/>
  <c r="O5564" i="1"/>
  <c r="P5564" i="1" s="1"/>
  <c r="O5565" i="1"/>
  <c r="P5565" i="1" s="1"/>
  <c r="O5566" i="1"/>
  <c r="P5566" i="1" s="1"/>
  <c r="O5567" i="1"/>
  <c r="P5567" i="1" s="1"/>
  <c r="O5568" i="1"/>
  <c r="P5568" i="1" s="1"/>
  <c r="O5569" i="1"/>
  <c r="P5569" i="1" s="1"/>
  <c r="O5570" i="1"/>
  <c r="P5570" i="1" s="1"/>
  <c r="O5571" i="1"/>
  <c r="P5571" i="1" s="1"/>
  <c r="O5572" i="1"/>
  <c r="P5572" i="1" s="1"/>
  <c r="O5573" i="1"/>
  <c r="P5573" i="1" s="1"/>
  <c r="O5574" i="1"/>
  <c r="P5574" i="1" s="1"/>
  <c r="O5575" i="1"/>
  <c r="P5575" i="1" s="1"/>
  <c r="O5576" i="1"/>
  <c r="P5576" i="1" s="1"/>
  <c r="O5577" i="1"/>
  <c r="P5577" i="1" s="1"/>
  <c r="O5578" i="1"/>
  <c r="P5578" i="1" s="1"/>
  <c r="O5579" i="1"/>
  <c r="P5579" i="1" s="1"/>
  <c r="O5580" i="1"/>
  <c r="P5580" i="1" s="1"/>
  <c r="O5581" i="1"/>
  <c r="P5581" i="1" s="1"/>
  <c r="O5582" i="1"/>
  <c r="P5582" i="1" s="1"/>
  <c r="O5583" i="1"/>
  <c r="P5583" i="1" s="1"/>
  <c r="O5584" i="1"/>
  <c r="P5584" i="1" s="1"/>
  <c r="O5585" i="1"/>
  <c r="P5585" i="1" s="1"/>
  <c r="O5586" i="1"/>
  <c r="P5586" i="1" s="1"/>
  <c r="O5587" i="1"/>
  <c r="P5587" i="1" s="1"/>
  <c r="O5588" i="1"/>
  <c r="P5588" i="1" s="1"/>
  <c r="O5589" i="1"/>
  <c r="P5589" i="1" s="1"/>
  <c r="O5590" i="1"/>
  <c r="P5590" i="1" s="1"/>
  <c r="O5591" i="1"/>
  <c r="P5591" i="1" s="1"/>
  <c r="O5592" i="1"/>
  <c r="P5592" i="1" s="1"/>
  <c r="O5593" i="1"/>
  <c r="P5593" i="1" s="1"/>
  <c r="O5594" i="1"/>
  <c r="P5594" i="1" s="1"/>
  <c r="O5595" i="1"/>
  <c r="P5595" i="1" s="1"/>
  <c r="O5596" i="1"/>
  <c r="P5596" i="1" s="1"/>
  <c r="O5597" i="1"/>
  <c r="P5597" i="1" s="1"/>
  <c r="O5598" i="1"/>
  <c r="P5598" i="1" s="1"/>
  <c r="O5599" i="1"/>
  <c r="P5599" i="1" s="1"/>
  <c r="O5600" i="1"/>
  <c r="P5600" i="1" s="1"/>
  <c r="O5601" i="1"/>
  <c r="P5601" i="1" s="1"/>
  <c r="O5602" i="1"/>
  <c r="P5602" i="1" s="1"/>
  <c r="O5603" i="1"/>
  <c r="P5603" i="1" s="1"/>
  <c r="O5604" i="1"/>
  <c r="P5604" i="1" s="1"/>
  <c r="O5605" i="1"/>
  <c r="P5605" i="1" s="1"/>
  <c r="O4719" i="1"/>
  <c r="P4719" i="1" s="1"/>
  <c r="N4719" i="1"/>
  <c r="M4719" i="1"/>
  <c r="L4719" i="1"/>
  <c r="K4719" i="1"/>
  <c r="I4719" i="1"/>
  <c r="O4718" i="1"/>
  <c r="P4718" i="1" s="1"/>
  <c r="N4718" i="1"/>
  <c r="M4718" i="1"/>
  <c r="L4718" i="1"/>
  <c r="K4718" i="1"/>
  <c r="I4718" i="1"/>
  <c r="O4717" i="1"/>
  <c r="P4717" i="1" s="1"/>
  <c r="N4717" i="1"/>
  <c r="M4717" i="1"/>
  <c r="L4717" i="1"/>
  <c r="K4717" i="1"/>
  <c r="I4717" i="1"/>
  <c r="O4716" i="1"/>
  <c r="P4716" i="1" s="1"/>
  <c r="N4716" i="1"/>
  <c r="M4716" i="1"/>
  <c r="L4716" i="1"/>
  <c r="K4716" i="1"/>
  <c r="I4716" i="1"/>
  <c r="O4715" i="1"/>
  <c r="P4715" i="1" s="1"/>
  <c r="N4715" i="1"/>
  <c r="M4715" i="1"/>
  <c r="L4715" i="1"/>
  <c r="K4715" i="1"/>
  <c r="I4715" i="1"/>
  <c r="O4714" i="1"/>
  <c r="P4714" i="1" s="1"/>
  <c r="N4714" i="1"/>
  <c r="M4714" i="1"/>
  <c r="L4714" i="1"/>
  <c r="K4714" i="1"/>
  <c r="I4714" i="1"/>
  <c r="O4713" i="1"/>
  <c r="P4713" i="1" s="1"/>
  <c r="N4713" i="1"/>
  <c r="M4713" i="1"/>
  <c r="L4713" i="1"/>
  <c r="K4713" i="1"/>
  <c r="I4713" i="1"/>
  <c r="O4712" i="1"/>
  <c r="P4712" i="1" s="1"/>
  <c r="N4712" i="1"/>
  <c r="M4712" i="1"/>
  <c r="L4712" i="1"/>
  <c r="K4712" i="1"/>
  <c r="I4712" i="1"/>
  <c r="O4711" i="1"/>
  <c r="P4711" i="1" s="1"/>
  <c r="N4711" i="1"/>
  <c r="M4711" i="1"/>
  <c r="L4711" i="1"/>
  <c r="K4711" i="1"/>
  <c r="I4711" i="1"/>
  <c r="O4710" i="1"/>
  <c r="P4710" i="1" s="1"/>
  <c r="N4710" i="1"/>
  <c r="M4710" i="1"/>
  <c r="L4710" i="1"/>
  <c r="K4710" i="1"/>
  <c r="I4710" i="1"/>
  <c r="O4709" i="1"/>
  <c r="P4709" i="1" s="1"/>
  <c r="N4709" i="1"/>
  <c r="M4709" i="1"/>
  <c r="L4709" i="1"/>
  <c r="K4709" i="1"/>
  <c r="I4709" i="1"/>
  <c r="O4708" i="1"/>
  <c r="P4708" i="1" s="1"/>
  <c r="N4708" i="1"/>
  <c r="M4708" i="1"/>
  <c r="L4708" i="1"/>
  <c r="K4708" i="1"/>
  <c r="I4708" i="1"/>
  <c r="O4707" i="1"/>
  <c r="P4707" i="1" s="1"/>
  <c r="N4707" i="1"/>
  <c r="M4707" i="1"/>
  <c r="L4707" i="1"/>
  <c r="K4707" i="1"/>
  <c r="I4707" i="1"/>
  <c r="O4706" i="1"/>
  <c r="P4706" i="1" s="1"/>
  <c r="N4706" i="1"/>
  <c r="M4706" i="1"/>
  <c r="L4706" i="1"/>
  <c r="K4706" i="1"/>
  <c r="I4706" i="1"/>
  <c r="O4705" i="1"/>
  <c r="P4705" i="1" s="1"/>
  <c r="N4705" i="1"/>
  <c r="M4705" i="1"/>
  <c r="L4705" i="1"/>
  <c r="K4705" i="1"/>
  <c r="I4705" i="1"/>
  <c r="O4704" i="1"/>
  <c r="P4704" i="1" s="1"/>
  <c r="N4704" i="1"/>
  <c r="M4704" i="1"/>
  <c r="L4704" i="1"/>
  <c r="K4704" i="1"/>
  <c r="I4704" i="1"/>
  <c r="O4703" i="1"/>
  <c r="P4703" i="1" s="1"/>
  <c r="N4703" i="1"/>
  <c r="M4703" i="1"/>
  <c r="L4703" i="1"/>
  <c r="K4703" i="1"/>
  <c r="I4703" i="1"/>
  <c r="O4702" i="1"/>
  <c r="P4702" i="1" s="1"/>
  <c r="N4702" i="1"/>
  <c r="M4702" i="1"/>
  <c r="L4702" i="1"/>
  <c r="K4702" i="1"/>
  <c r="I4702" i="1"/>
  <c r="O4701" i="1"/>
  <c r="P4701" i="1" s="1"/>
  <c r="N4701" i="1"/>
  <c r="M4701" i="1"/>
  <c r="L4701" i="1"/>
  <c r="K4701" i="1"/>
  <c r="I4701" i="1"/>
  <c r="O4700" i="1"/>
  <c r="P4700" i="1" s="1"/>
  <c r="N4700" i="1"/>
  <c r="M4700" i="1"/>
  <c r="L4700" i="1"/>
  <c r="K4700" i="1"/>
  <c r="I4700" i="1"/>
  <c r="O4699" i="1"/>
  <c r="P4699" i="1" s="1"/>
  <c r="N4699" i="1"/>
  <c r="M4699" i="1"/>
  <c r="L4699" i="1"/>
  <c r="K4699" i="1"/>
  <c r="I4699" i="1"/>
  <c r="O4698" i="1"/>
  <c r="P4698" i="1" s="1"/>
  <c r="N4698" i="1"/>
  <c r="M4698" i="1"/>
  <c r="L4698" i="1"/>
  <c r="K4698" i="1"/>
  <c r="I4698" i="1"/>
  <c r="O4697" i="1"/>
  <c r="P4697" i="1" s="1"/>
  <c r="N4697" i="1"/>
  <c r="M4697" i="1"/>
  <c r="L4697" i="1"/>
  <c r="K4697" i="1"/>
  <c r="I4697" i="1"/>
  <c r="O4696" i="1"/>
  <c r="P4696" i="1" s="1"/>
  <c r="N4696" i="1"/>
  <c r="M4696" i="1"/>
  <c r="L4696" i="1"/>
  <c r="K4696" i="1"/>
  <c r="I4696" i="1"/>
  <c r="O4695" i="1"/>
  <c r="P4695" i="1" s="1"/>
  <c r="N4695" i="1"/>
  <c r="M4695" i="1"/>
  <c r="L4695" i="1"/>
  <c r="K4695" i="1"/>
  <c r="I4695" i="1"/>
  <c r="O4694" i="1"/>
  <c r="P4694" i="1" s="1"/>
  <c r="N4694" i="1"/>
  <c r="M4694" i="1"/>
  <c r="L4694" i="1"/>
  <c r="K4694" i="1"/>
  <c r="I4694" i="1"/>
  <c r="O4693" i="1"/>
  <c r="P4693" i="1" s="1"/>
  <c r="N4693" i="1"/>
  <c r="M4693" i="1"/>
  <c r="L4693" i="1"/>
  <c r="K4693" i="1"/>
  <c r="I4693" i="1"/>
  <c r="O4692" i="1"/>
  <c r="P4692" i="1" s="1"/>
  <c r="N4692" i="1"/>
  <c r="M4692" i="1"/>
  <c r="L4692" i="1"/>
  <c r="K4692" i="1"/>
  <c r="I4692" i="1"/>
  <c r="O4691" i="1"/>
  <c r="P4691" i="1" s="1"/>
  <c r="N4691" i="1"/>
  <c r="M4691" i="1"/>
  <c r="L4691" i="1"/>
  <c r="K4691" i="1"/>
  <c r="I4691" i="1"/>
  <c r="O4690" i="1"/>
  <c r="P4690" i="1" s="1"/>
  <c r="N4690" i="1"/>
  <c r="M4690" i="1"/>
  <c r="L4690" i="1"/>
  <c r="K4690" i="1"/>
  <c r="I4690" i="1"/>
  <c r="O4689" i="1"/>
  <c r="P4689" i="1" s="1"/>
  <c r="N4689" i="1"/>
  <c r="M4689" i="1"/>
  <c r="L4689" i="1"/>
  <c r="K4689" i="1"/>
  <c r="I4689" i="1"/>
  <c r="O4688" i="1"/>
  <c r="P4688" i="1" s="1"/>
  <c r="N4688" i="1"/>
  <c r="M4688" i="1"/>
  <c r="L4688" i="1"/>
  <c r="K4688" i="1"/>
  <c r="I4688" i="1"/>
  <c r="O4687" i="1"/>
  <c r="P4687" i="1" s="1"/>
  <c r="N4687" i="1"/>
  <c r="M4687" i="1"/>
  <c r="L4687" i="1"/>
  <c r="K4687" i="1"/>
  <c r="I4687" i="1"/>
  <c r="O4686" i="1"/>
  <c r="P4686" i="1" s="1"/>
  <c r="N4686" i="1"/>
  <c r="M4686" i="1"/>
  <c r="L4686" i="1"/>
  <c r="K4686" i="1"/>
  <c r="I4686" i="1"/>
  <c r="O4685" i="1"/>
  <c r="P4685" i="1" s="1"/>
  <c r="N4685" i="1"/>
  <c r="M4685" i="1"/>
  <c r="L4685" i="1"/>
  <c r="K4685" i="1"/>
  <c r="I4685" i="1"/>
  <c r="O4684" i="1"/>
  <c r="P4684" i="1" s="1"/>
  <c r="N4684" i="1"/>
  <c r="M4684" i="1"/>
  <c r="L4684" i="1"/>
  <c r="K4684" i="1"/>
  <c r="I4684" i="1"/>
  <c r="O4683" i="1"/>
  <c r="P4683" i="1" s="1"/>
  <c r="N4683" i="1"/>
  <c r="M4683" i="1"/>
  <c r="L4683" i="1"/>
  <c r="K4683" i="1"/>
  <c r="I4683" i="1"/>
  <c r="O4682" i="1"/>
  <c r="P4682" i="1" s="1"/>
  <c r="N4682" i="1"/>
  <c r="M4682" i="1"/>
  <c r="L4682" i="1"/>
  <c r="K4682" i="1"/>
  <c r="I4682" i="1"/>
  <c r="O4681" i="1"/>
  <c r="P4681" i="1" s="1"/>
  <c r="N4681" i="1"/>
  <c r="M4681" i="1"/>
  <c r="L4681" i="1"/>
  <c r="K4681" i="1"/>
  <c r="I4681" i="1"/>
  <c r="O4680" i="1"/>
  <c r="P4680" i="1" s="1"/>
  <c r="N4680" i="1"/>
  <c r="M4680" i="1"/>
  <c r="L4680" i="1"/>
  <c r="K4680" i="1"/>
  <c r="I4680" i="1"/>
  <c r="O4679" i="1"/>
  <c r="P4679" i="1" s="1"/>
  <c r="N4679" i="1"/>
  <c r="M4679" i="1"/>
  <c r="L4679" i="1"/>
  <c r="K4679" i="1"/>
  <c r="I4679" i="1"/>
  <c r="O4678" i="1"/>
  <c r="P4678" i="1" s="1"/>
  <c r="N4678" i="1"/>
  <c r="M4678" i="1"/>
  <c r="L4678" i="1"/>
  <c r="K4678" i="1"/>
  <c r="I4678" i="1"/>
  <c r="O4677" i="1"/>
  <c r="P4677" i="1" s="1"/>
  <c r="N4677" i="1"/>
  <c r="M4677" i="1"/>
  <c r="L4677" i="1"/>
  <c r="K4677" i="1"/>
  <c r="I4677" i="1"/>
  <c r="O4676" i="1"/>
  <c r="P4676" i="1" s="1"/>
  <c r="N4676" i="1"/>
  <c r="M4676" i="1"/>
  <c r="L4676" i="1"/>
  <c r="K4676" i="1"/>
  <c r="I4676" i="1"/>
  <c r="O4675" i="1"/>
  <c r="P4675" i="1" s="1"/>
  <c r="N4675" i="1"/>
  <c r="M4675" i="1"/>
  <c r="L4675" i="1"/>
  <c r="K4675" i="1"/>
  <c r="I4675" i="1"/>
  <c r="O4674" i="1"/>
  <c r="P4674" i="1" s="1"/>
  <c r="N4674" i="1"/>
  <c r="M4674" i="1"/>
  <c r="L4674" i="1"/>
  <c r="K4674" i="1"/>
  <c r="I4674" i="1"/>
  <c r="O4673" i="1"/>
  <c r="P4673" i="1" s="1"/>
  <c r="N4673" i="1"/>
  <c r="M4673" i="1"/>
  <c r="L4673" i="1"/>
  <c r="K4673" i="1"/>
  <c r="I4673" i="1"/>
  <c r="O4672" i="1"/>
  <c r="P4672" i="1" s="1"/>
  <c r="N4672" i="1"/>
  <c r="M4672" i="1"/>
  <c r="L4672" i="1"/>
  <c r="K4672" i="1"/>
  <c r="I4672" i="1"/>
  <c r="O4671" i="1"/>
  <c r="P4671" i="1" s="1"/>
  <c r="N4671" i="1"/>
  <c r="M4671" i="1"/>
  <c r="L4671" i="1"/>
  <c r="K4671" i="1"/>
  <c r="I4671" i="1"/>
  <c r="O4670" i="1"/>
  <c r="P4670" i="1" s="1"/>
  <c r="N4670" i="1"/>
  <c r="M4670" i="1"/>
  <c r="L4670" i="1"/>
  <c r="K4670" i="1"/>
  <c r="I4670" i="1"/>
  <c r="O4669" i="1"/>
  <c r="P4669" i="1" s="1"/>
  <c r="N4669" i="1"/>
  <c r="M4669" i="1"/>
  <c r="L4669" i="1"/>
  <c r="K4669" i="1"/>
  <c r="I4669" i="1"/>
  <c r="O4668" i="1"/>
  <c r="P4668" i="1" s="1"/>
  <c r="N4668" i="1"/>
  <c r="M4668" i="1"/>
  <c r="L4668" i="1"/>
  <c r="K4668" i="1"/>
  <c r="I4668" i="1"/>
  <c r="O4667" i="1"/>
  <c r="P4667" i="1" s="1"/>
  <c r="N4667" i="1"/>
  <c r="M4667" i="1"/>
  <c r="L4667" i="1"/>
  <c r="K4667" i="1"/>
  <c r="I4667" i="1"/>
  <c r="O4666" i="1"/>
  <c r="P4666" i="1" s="1"/>
  <c r="N4666" i="1"/>
  <c r="M4666" i="1"/>
  <c r="L4666" i="1"/>
  <c r="K4666" i="1"/>
  <c r="I4666" i="1"/>
  <c r="O4665" i="1"/>
  <c r="P4665" i="1" s="1"/>
  <c r="N4665" i="1"/>
  <c r="M4665" i="1"/>
  <c r="L4665" i="1"/>
  <c r="K4665" i="1"/>
  <c r="I4665" i="1"/>
  <c r="O4664" i="1"/>
  <c r="P4664" i="1" s="1"/>
  <c r="N4664" i="1"/>
  <c r="M4664" i="1"/>
  <c r="L4664" i="1"/>
  <c r="K4664" i="1"/>
  <c r="I4664" i="1"/>
  <c r="O4663" i="1"/>
  <c r="P4663" i="1" s="1"/>
  <c r="N4663" i="1"/>
  <c r="M4663" i="1"/>
  <c r="L4663" i="1"/>
  <c r="K4663" i="1"/>
  <c r="I4663" i="1"/>
  <c r="O4662" i="1"/>
  <c r="P4662" i="1" s="1"/>
  <c r="N4662" i="1"/>
  <c r="M4662" i="1"/>
  <c r="L4662" i="1"/>
  <c r="K4662" i="1"/>
  <c r="I4662" i="1"/>
  <c r="O4661" i="1"/>
  <c r="P4661" i="1" s="1"/>
  <c r="N4661" i="1"/>
  <c r="M4661" i="1"/>
  <c r="L4661" i="1"/>
  <c r="K4661" i="1"/>
  <c r="I4661" i="1"/>
  <c r="O4660" i="1"/>
  <c r="P4660" i="1" s="1"/>
  <c r="N4660" i="1"/>
  <c r="M4660" i="1"/>
  <c r="L4660" i="1"/>
  <c r="K4660" i="1"/>
  <c r="I4660" i="1"/>
  <c r="O4659" i="1"/>
  <c r="P4659" i="1" s="1"/>
  <c r="N4659" i="1"/>
  <c r="M4659" i="1"/>
  <c r="L4659" i="1"/>
  <c r="K4659" i="1"/>
  <c r="I4659" i="1"/>
  <c r="O4658" i="1"/>
  <c r="P4658" i="1" s="1"/>
  <c r="N4658" i="1"/>
  <c r="M4658" i="1"/>
  <c r="L4658" i="1"/>
  <c r="K4658" i="1"/>
  <c r="I4658" i="1"/>
  <c r="O4657" i="1"/>
  <c r="P4657" i="1" s="1"/>
  <c r="N4657" i="1"/>
  <c r="M4657" i="1"/>
  <c r="L4657" i="1"/>
  <c r="K4657" i="1"/>
  <c r="I4657" i="1"/>
  <c r="O4656" i="1"/>
  <c r="P4656" i="1" s="1"/>
  <c r="N4656" i="1"/>
  <c r="M4656" i="1"/>
  <c r="L4656" i="1"/>
  <c r="K4656" i="1"/>
  <c r="I4656" i="1"/>
  <c r="O4655" i="1"/>
  <c r="P4655" i="1" s="1"/>
  <c r="N4655" i="1"/>
  <c r="M4655" i="1"/>
  <c r="L4655" i="1"/>
  <c r="K4655" i="1"/>
  <c r="I4655" i="1"/>
  <c r="O4654" i="1"/>
  <c r="P4654" i="1" s="1"/>
  <c r="N4654" i="1"/>
  <c r="M4654" i="1"/>
  <c r="L4654" i="1"/>
  <c r="K4654" i="1"/>
  <c r="I4654" i="1"/>
  <c r="O4653" i="1"/>
  <c r="P4653" i="1" s="1"/>
  <c r="N4653" i="1"/>
  <c r="M4653" i="1"/>
  <c r="L4653" i="1"/>
  <c r="K4653" i="1"/>
  <c r="I4653" i="1"/>
  <c r="O4652" i="1"/>
  <c r="P4652" i="1" s="1"/>
  <c r="N4652" i="1"/>
  <c r="M4652" i="1"/>
  <c r="L4652" i="1"/>
  <c r="K4652" i="1"/>
  <c r="I4652" i="1"/>
  <c r="O4651" i="1"/>
  <c r="P4651" i="1" s="1"/>
  <c r="N4651" i="1"/>
  <c r="M4651" i="1"/>
  <c r="L4651" i="1"/>
  <c r="K4651" i="1"/>
  <c r="I4651" i="1"/>
  <c r="O4650" i="1"/>
  <c r="P4650" i="1" s="1"/>
  <c r="N4650" i="1"/>
  <c r="M4650" i="1"/>
  <c r="L4650" i="1"/>
  <c r="K4650" i="1"/>
  <c r="I4650" i="1"/>
  <c r="O4649" i="1"/>
  <c r="P4649" i="1" s="1"/>
  <c r="N4649" i="1"/>
  <c r="M4649" i="1"/>
  <c r="L4649" i="1"/>
  <c r="K4649" i="1"/>
  <c r="I4649" i="1"/>
  <c r="O4648" i="1"/>
  <c r="P4648" i="1" s="1"/>
  <c r="N4648" i="1"/>
  <c r="M4648" i="1"/>
  <c r="L4648" i="1"/>
  <c r="K4648" i="1"/>
  <c r="I4648" i="1"/>
  <c r="O4647" i="1"/>
  <c r="P4647" i="1" s="1"/>
  <c r="N4647" i="1"/>
  <c r="M4647" i="1"/>
  <c r="L4647" i="1"/>
  <c r="K4647" i="1"/>
  <c r="I4647" i="1"/>
  <c r="O4646" i="1"/>
  <c r="P4646" i="1" s="1"/>
  <c r="N4646" i="1"/>
  <c r="M4646" i="1"/>
  <c r="L4646" i="1"/>
  <c r="K4646" i="1"/>
  <c r="I4646" i="1"/>
  <c r="O4645" i="1"/>
  <c r="P4645" i="1" s="1"/>
  <c r="N4645" i="1"/>
  <c r="M4645" i="1"/>
  <c r="L4645" i="1"/>
  <c r="K4645" i="1"/>
  <c r="I4645" i="1"/>
  <c r="O4644" i="1"/>
  <c r="P4644" i="1" s="1"/>
  <c r="N4644" i="1"/>
  <c r="M4644" i="1"/>
  <c r="L4644" i="1"/>
  <c r="K4644" i="1"/>
  <c r="I4644" i="1"/>
  <c r="O4643" i="1"/>
  <c r="P4643" i="1" s="1"/>
  <c r="N4643" i="1"/>
  <c r="M4643" i="1"/>
  <c r="L4643" i="1"/>
  <c r="K4643" i="1"/>
  <c r="I4643" i="1"/>
  <c r="O4642" i="1"/>
  <c r="P4642" i="1" s="1"/>
  <c r="N4642" i="1"/>
  <c r="M4642" i="1"/>
  <c r="L4642" i="1"/>
  <c r="K4642" i="1"/>
  <c r="I4642" i="1"/>
  <c r="O4641" i="1"/>
  <c r="P4641" i="1" s="1"/>
  <c r="N4641" i="1"/>
  <c r="M4641" i="1"/>
  <c r="L4641" i="1"/>
  <c r="K4641" i="1"/>
  <c r="I4641" i="1"/>
  <c r="O4640" i="1"/>
  <c r="P4640" i="1" s="1"/>
  <c r="N4640" i="1"/>
  <c r="M4640" i="1"/>
  <c r="L4640" i="1"/>
  <c r="K4640" i="1"/>
  <c r="I4640" i="1"/>
  <c r="O4639" i="1"/>
  <c r="P4639" i="1" s="1"/>
  <c r="N4639" i="1"/>
  <c r="M4639" i="1"/>
  <c r="L4639" i="1"/>
  <c r="K4639" i="1"/>
  <c r="I4639" i="1"/>
  <c r="O4638" i="1"/>
  <c r="P4638" i="1" s="1"/>
  <c r="N4638" i="1"/>
  <c r="M4638" i="1"/>
  <c r="L4638" i="1"/>
  <c r="K4638" i="1"/>
  <c r="I4638" i="1"/>
  <c r="O4637" i="1"/>
  <c r="P4637" i="1" s="1"/>
  <c r="N4637" i="1"/>
  <c r="M4637" i="1"/>
  <c r="L4637" i="1"/>
  <c r="K4637" i="1"/>
  <c r="I4637" i="1"/>
  <c r="O4636" i="1"/>
  <c r="P4636" i="1" s="1"/>
  <c r="N4636" i="1"/>
  <c r="M4636" i="1"/>
  <c r="L4636" i="1"/>
  <c r="K4636" i="1"/>
  <c r="I4636" i="1"/>
  <c r="O4635" i="1"/>
  <c r="P4635" i="1" s="1"/>
  <c r="N4635" i="1"/>
  <c r="M4635" i="1"/>
  <c r="L4635" i="1"/>
  <c r="K4635" i="1"/>
  <c r="I4635" i="1"/>
  <c r="O4634" i="1"/>
  <c r="P4634" i="1" s="1"/>
  <c r="N4634" i="1"/>
  <c r="M4634" i="1"/>
  <c r="L4634" i="1"/>
  <c r="K4634" i="1"/>
  <c r="I4634" i="1"/>
  <c r="O4633" i="1"/>
  <c r="P4633" i="1" s="1"/>
  <c r="N4633" i="1"/>
  <c r="M4633" i="1"/>
  <c r="L4633" i="1"/>
  <c r="K4633" i="1"/>
  <c r="I4633" i="1"/>
  <c r="O4632" i="1"/>
  <c r="P4632" i="1" s="1"/>
  <c r="N4632" i="1"/>
  <c r="M4632" i="1"/>
  <c r="L4632" i="1"/>
  <c r="K4632" i="1"/>
  <c r="I4632" i="1"/>
  <c r="O4631" i="1"/>
  <c r="P4631" i="1" s="1"/>
  <c r="N4631" i="1"/>
  <c r="M4631" i="1"/>
  <c r="L4631" i="1"/>
  <c r="K4631" i="1"/>
  <c r="I4631" i="1"/>
  <c r="O4630" i="1"/>
  <c r="P4630" i="1" s="1"/>
  <c r="N4630" i="1"/>
  <c r="M4630" i="1"/>
  <c r="L4630" i="1"/>
  <c r="K4630" i="1"/>
  <c r="I4630" i="1"/>
  <c r="O4629" i="1"/>
  <c r="P4629" i="1" s="1"/>
  <c r="N4629" i="1"/>
  <c r="M4629" i="1"/>
  <c r="L4629" i="1"/>
  <c r="K4629" i="1"/>
  <c r="I4629" i="1"/>
  <c r="O4628" i="1"/>
  <c r="P4628" i="1" s="1"/>
  <c r="N4628" i="1"/>
  <c r="M4628" i="1"/>
  <c r="L4628" i="1"/>
  <c r="K4628" i="1"/>
  <c r="I4628" i="1"/>
  <c r="O4627" i="1"/>
  <c r="P4627" i="1" s="1"/>
  <c r="N4627" i="1"/>
  <c r="M4627" i="1"/>
  <c r="L4627" i="1"/>
  <c r="K4627" i="1"/>
  <c r="I4627" i="1"/>
  <c r="O4626" i="1"/>
  <c r="P4626" i="1" s="1"/>
  <c r="N4626" i="1"/>
  <c r="M4626" i="1"/>
  <c r="L4626" i="1"/>
  <c r="K4626" i="1"/>
  <c r="I4626" i="1"/>
  <c r="O4625" i="1"/>
  <c r="P4625" i="1" s="1"/>
  <c r="N4625" i="1"/>
  <c r="M4625" i="1"/>
  <c r="L4625" i="1"/>
  <c r="K4625" i="1"/>
  <c r="I4625" i="1"/>
  <c r="O4624" i="1"/>
  <c r="P4624" i="1" s="1"/>
  <c r="N4624" i="1"/>
  <c r="M4624" i="1"/>
  <c r="L4624" i="1"/>
  <c r="K4624" i="1"/>
  <c r="I4624" i="1"/>
  <c r="O4623" i="1"/>
  <c r="P4623" i="1" s="1"/>
  <c r="N4623" i="1"/>
  <c r="M4623" i="1"/>
  <c r="L4623" i="1"/>
  <c r="K4623" i="1"/>
  <c r="I4623" i="1"/>
  <c r="O4622" i="1"/>
  <c r="P4622" i="1" s="1"/>
  <c r="N4622" i="1"/>
  <c r="M4622" i="1"/>
  <c r="L4622" i="1"/>
  <c r="K4622" i="1"/>
  <c r="I4622" i="1"/>
  <c r="O4621" i="1"/>
  <c r="P4621" i="1" s="1"/>
  <c r="N4621" i="1"/>
  <c r="M4621" i="1"/>
  <c r="L4621" i="1"/>
  <c r="K4621" i="1"/>
  <c r="I4621" i="1"/>
  <c r="O4620" i="1"/>
  <c r="P4620" i="1" s="1"/>
  <c r="N4620" i="1"/>
  <c r="M4620" i="1"/>
  <c r="L4620" i="1"/>
  <c r="K4620" i="1"/>
  <c r="I4620" i="1"/>
  <c r="O4619" i="1"/>
  <c r="P4619" i="1" s="1"/>
  <c r="N4619" i="1"/>
  <c r="M4619" i="1"/>
  <c r="L4619" i="1"/>
  <c r="K4619" i="1"/>
  <c r="I4619" i="1"/>
  <c r="O4618" i="1"/>
  <c r="P4618" i="1" s="1"/>
  <c r="N4618" i="1"/>
  <c r="M4618" i="1"/>
  <c r="L4618" i="1"/>
  <c r="K4618" i="1"/>
  <c r="I4618" i="1"/>
  <c r="O4617" i="1"/>
  <c r="P4617" i="1" s="1"/>
  <c r="N4617" i="1"/>
  <c r="M4617" i="1"/>
  <c r="L4617" i="1"/>
  <c r="K4617" i="1"/>
  <c r="I4617" i="1"/>
  <c r="O4616" i="1"/>
  <c r="P4616" i="1" s="1"/>
  <c r="N4616" i="1"/>
  <c r="M4616" i="1"/>
  <c r="L4616" i="1"/>
  <c r="K4616" i="1"/>
  <c r="I4616" i="1"/>
  <c r="O4615" i="1"/>
  <c r="P4615" i="1" s="1"/>
  <c r="N4615" i="1"/>
  <c r="M4615" i="1"/>
  <c r="L4615" i="1"/>
  <c r="K4615" i="1"/>
  <c r="I4615" i="1"/>
  <c r="O4614" i="1"/>
  <c r="P4614" i="1" s="1"/>
  <c r="N4614" i="1"/>
  <c r="M4614" i="1"/>
  <c r="L4614" i="1"/>
  <c r="K4614" i="1"/>
  <c r="I4614" i="1"/>
  <c r="O4613" i="1"/>
  <c r="P4613" i="1" s="1"/>
  <c r="N4613" i="1"/>
  <c r="M4613" i="1"/>
  <c r="L4613" i="1"/>
  <c r="K4613" i="1"/>
  <c r="I4613" i="1"/>
  <c r="O4612" i="1"/>
  <c r="P4612" i="1" s="1"/>
  <c r="N4612" i="1"/>
  <c r="M4612" i="1"/>
  <c r="L4612" i="1"/>
  <c r="K4612" i="1"/>
  <c r="I4612" i="1"/>
  <c r="O4611" i="1"/>
  <c r="P4611" i="1" s="1"/>
  <c r="N4611" i="1"/>
  <c r="M4611" i="1"/>
  <c r="L4611" i="1"/>
  <c r="K4611" i="1"/>
  <c r="I4611" i="1"/>
  <c r="O4610" i="1"/>
  <c r="P4610" i="1" s="1"/>
  <c r="N4610" i="1"/>
  <c r="M4610" i="1"/>
  <c r="L4610" i="1"/>
  <c r="K4610" i="1"/>
  <c r="I4610" i="1"/>
  <c r="O4609" i="1"/>
  <c r="P4609" i="1" s="1"/>
  <c r="N4609" i="1"/>
  <c r="M4609" i="1"/>
  <c r="L4609" i="1"/>
  <c r="K4609" i="1"/>
  <c r="I4609" i="1"/>
  <c r="O4608" i="1"/>
  <c r="P4608" i="1" s="1"/>
  <c r="N4608" i="1"/>
  <c r="M4608" i="1"/>
  <c r="L4608" i="1"/>
  <c r="K4608" i="1"/>
  <c r="I4608" i="1"/>
  <c r="O4607" i="1"/>
  <c r="P4607" i="1" s="1"/>
  <c r="N4607" i="1"/>
  <c r="M4607" i="1"/>
  <c r="L4607" i="1"/>
  <c r="K4607" i="1"/>
  <c r="I4607" i="1"/>
  <c r="O4606" i="1"/>
  <c r="P4606" i="1" s="1"/>
  <c r="N4606" i="1"/>
  <c r="M4606" i="1"/>
  <c r="L4606" i="1"/>
  <c r="K4606" i="1"/>
  <c r="I4606" i="1"/>
  <c r="O4605" i="1"/>
  <c r="P4605" i="1" s="1"/>
  <c r="N4605" i="1"/>
  <c r="M4605" i="1"/>
  <c r="L4605" i="1"/>
  <c r="K4605" i="1"/>
  <c r="I4605" i="1"/>
  <c r="O4604" i="1"/>
  <c r="P4604" i="1" s="1"/>
  <c r="N4604" i="1"/>
  <c r="M4604" i="1"/>
  <c r="L4604" i="1"/>
  <c r="K4604" i="1"/>
  <c r="I4604" i="1"/>
  <c r="O4603" i="1"/>
  <c r="P4603" i="1" s="1"/>
  <c r="N4603" i="1"/>
  <c r="M4603" i="1"/>
  <c r="L4603" i="1"/>
  <c r="K4603" i="1"/>
  <c r="I4603" i="1"/>
  <c r="O4602" i="1"/>
  <c r="P4602" i="1" s="1"/>
  <c r="N4602" i="1"/>
  <c r="M4602" i="1"/>
  <c r="L4602" i="1"/>
  <c r="K4602" i="1"/>
  <c r="I4602" i="1"/>
  <c r="O4601" i="1"/>
  <c r="P4601" i="1" s="1"/>
  <c r="N4601" i="1"/>
  <c r="M4601" i="1"/>
  <c r="L4601" i="1"/>
  <c r="K4601" i="1"/>
  <c r="I4601" i="1"/>
  <c r="O4600" i="1"/>
  <c r="P4600" i="1" s="1"/>
  <c r="N4600" i="1"/>
  <c r="M4600" i="1"/>
  <c r="L4600" i="1"/>
  <c r="K4600" i="1"/>
  <c r="I4600" i="1"/>
  <c r="O4599" i="1"/>
  <c r="P4599" i="1" s="1"/>
  <c r="N4599" i="1"/>
  <c r="M4599" i="1"/>
  <c r="L4599" i="1"/>
  <c r="K4599" i="1"/>
  <c r="I4599" i="1"/>
  <c r="O4598" i="1"/>
  <c r="P4598" i="1" s="1"/>
  <c r="N4598" i="1"/>
  <c r="M4598" i="1"/>
  <c r="L4598" i="1"/>
  <c r="K4598" i="1"/>
  <c r="I4598" i="1"/>
  <c r="O4597" i="1"/>
  <c r="P4597" i="1" s="1"/>
  <c r="N4597" i="1"/>
  <c r="M4597" i="1"/>
  <c r="L4597" i="1"/>
  <c r="K4597" i="1"/>
  <c r="I4597" i="1"/>
  <c r="O4596" i="1"/>
  <c r="P4596" i="1" s="1"/>
  <c r="N4596" i="1"/>
  <c r="M4596" i="1"/>
  <c r="L4596" i="1"/>
  <c r="K4596" i="1"/>
  <c r="I4596" i="1"/>
  <c r="O4595" i="1"/>
  <c r="P4595" i="1" s="1"/>
  <c r="N4595" i="1"/>
  <c r="M4595" i="1"/>
  <c r="L4595" i="1"/>
  <c r="K4595" i="1"/>
  <c r="I4595" i="1"/>
  <c r="O4594" i="1"/>
  <c r="P4594" i="1" s="1"/>
  <c r="N4594" i="1"/>
  <c r="M4594" i="1"/>
  <c r="L4594" i="1"/>
  <c r="K4594" i="1"/>
  <c r="I4594" i="1"/>
  <c r="O4593" i="1"/>
  <c r="P4593" i="1" s="1"/>
  <c r="N4593" i="1"/>
  <c r="M4593" i="1"/>
  <c r="L4593" i="1"/>
  <c r="K4593" i="1"/>
  <c r="I4593" i="1"/>
  <c r="O4592" i="1"/>
  <c r="P4592" i="1" s="1"/>
  <c r="N4592" i="1"/>
  <c r="M4592" i="1"/>
  <c r="L4592" i="1"/>
  <c r="K4592" i="1"/>
  <c r="I4592" i="1"/>
  <c r="O4591" i="1"/>
  <c r="P4591" i="1" s="1"/>
  <c r="N4591" i="1"/>
  <c r="M4591" i="1"/>
  <c r="L4591" i="1"/>
  <c r="K4591" i="1"/>
  <c r="I4591" i="1"/>
  <c r="O4590" i="1"/>
  <c r="P4590" i="1" s="1"/>
  <c r="N4590" i="1"/>
  <c r="M4590" i="1"/>
  <c r="L4590" i="1"/>
  <c r="K4590" i="1"/>
  <c r="I4590" i="1"/>
  <c r="O4589" i="1"/>
  <c r="P4589" i="1" s="1"/>
  <c r="N4589" i="1"/>
  <c r="M4589" i="1"/>
  <c r="L4589" i="1"/>
  <c r="K4589" i="1"/>
  <c r="I4589" i="1"/>
  <c r="O4588" i="1"/>
  <c r="P4588" i="1" s="1"/>
  <c r="N4588" i="1"/>
  <c r="M4588" i="1"/>
  <c r="L4588" i="1"/>
  <c r="K4588" i="1"/>
  <c r="I4588" i="1"/>
  <c r="O4587" i="1"/>
  <c r="P4587" i="1" s="1"/>
  <c r="N4587" i="1"/>
  <c r="M4587" i="1"/>
  <c r="L4587" i="1"/>
  <c r="K4587" i="1"/>
  <c r="I4587" i="1"/>
  <c r="O4586" i="1"/>
  <c r="P4586" i="1" s="1"/>
  <c r="N4586" i="1"/>
  <c r="M4586" i="1"/>
  <c r="L4586" i="1"/>
  <c r="K4586" i="1"/>
  <c r="I4586" i="1"/>
  <c r="O4585" i="1"/>
  <c r="P4585" i="1" s="1"/>
  <c r="N4585" i="1"/>
  <c r="M4585" i="1"/>
  <c r="L4585" i="1"/>
  <c r="K4585" i="1"/>
  <c r="I4585" i="1"/>
  <c r="O4584" i="1"/>
  <c r="P4584" i="1" s="1"/>
  <c r="N4584" i="1"/>
  <c r="M4584" i="1"/>
  <c r="L4584" i="1"/>
  <c r="K4584" i="1"/>
  <c r="I4584" i="1"/>
  <c r="O4583" i="1"/>
  <c r="P4583" i="1" s="1"/>
  <c r="N4583" i="1"/>
  <c r="M4583" i="1"/>
  <c r="L4583" i="1"/>
  <c r="K4583" i="1"/>
  <c r="I4583" i="1"/>
  <c r="O4582" i="1"/>
  <c r="P4582" i="1" s="1"/>
  <c r="N4582" i="1"/>
  <c r="M4582" i="1"/>
  <c r="L4582" i="1"/>
  <c r="K4582" i="1"/>
  <c r="I4582" i="1"/>
  <c r="O4581" i="1"/>
  <c r="P4581" i="1" s="1"/>
  <c r="N4581" i="1"/>
  <c r="M4581" i="1"/>
  <c r="L4581" i="1"/>
  <c r="K4581" i="1"/>
  <c r="I4581" i="1"/>
  <c r="O4580" i="1"/>
  <c r="P4580" i="1" s="1"/>
  <c r="N4580" i="1"/>
  <c r="M4580" i="1"/>
  <c r="L4580" i="1"/>
  <c r="K4580" i="1"/>
  <c r="I4580" i="1"/>
  <c r="O4579" i="1"/>
  <c r="P4579" i="1" s="1"/>
  <c r="N4579" i="1"/>
  <c r="M4579" i="1"/>
  <c r="L4579" i="1"/>
  <c r="K4579" i="1"/>
  <c r="I4579" i="1"/>
  <c r="O4578" i="1"/>
  <c r="P4578" i="1" s="1"/>
  <c r="N4578" i="1"/>
  <c r="M4578" i="1"/>
  <c r="L4578" i="1"/>
  <c r="K4578" i="1"/>
  <c r="I4578" i="1"/>
  <c r="O4577" i="1"/>
  <c r="P4577" i="1" s="1"/>
  <c r="N4577" i="1"/>
  <c r="M4577" i="1"/>
  <c r="L4577" i="1"/>
  <c r="K4577" i="1"/>
  <c r="I4577" i="1"/>
  <c r="O4576" i="1"/>
  <c r="P4576" i="1" s="1"/>
  <c r="N4576" i="1"/>
  <c r="M4576" i="1"/>
  <c r="L4576" i="1"/>
  <c r="K4576" i="1"/>
  <c r="I4576" i="1"/>
  <c r="O4575" i="1"/>
  <c r="P4575" i="1" s="1"/>
  <c r="N4575" i="1"/>
  <c r="M4575" i="1"/>
  <c r="L4575" i="1"/>
  <c r="K4575" i="1"/>
  <c r="I4575" i="1"/>
  <c r="O4574" i="1"/>
  <c r="P4574" i="1" s="1"/>
  <c r="N4574" i="1"/>
  <c r="M4574" i="1"/>
  <c r="L4574" i="1"/>
  <c r="K4574" i="1"/>
  <c r="I4574" i="1"/>
  <c r="O4573" i="1"/>
  <c r="P4573" i="1" s="1"/>
  <c r="N4573" i="1"/>
  <c r="M4573" i="1"/>
  <c r="L4573" i="1"/>
  <c r="K4573" i="1"/>
  <c r="I4573" i="1"/>
  <c r="O4572" i="1"/>
  <c r="P4572" i="1" s="1"/>
  <c r="N4572" i="1"/>
  <c r="M4572" i="1"/>
  <c r="L4572" i="1"/>
  <c r="K4572" i="1"/>
  <c r="I4572" i="1"/>
  <c r="O4571" i="1"/>
  <c r="P4571" i="1" s="1"/>
  <c r="N4571" i="1"/>
  <c r="M4571" i="1"/>
  <c r="L4571" i="1"/>
  <c r="K4571" i="1"/>
  <c r="I4571" i="1"/>
  <c r="O4570" i="1"/>
  <c r="P4570" i="1" s="1"/>
  <c r="N4570" i="1"/>
  <c r="M4570" i="1"/>
  <c r="L4570" i="1"/>
  <c r="K4570" i="1"/>
  <c r="I4570" i="1"/>
  <c r="O4569" i="1"/>
  <c r="P4569" i="1" s="1"/>
  <c r="N4569" i="1"/>
  <c r="M4569" i="1"/>
  <c r="L4569" i="1"/>
  <c r="K4569" i="1"/>
  <c r="I4569" i="1"/>
  <c r="O4568" i="1"/>
  <c r="P4568" i="1" s="1"/>
  <c r="N4568" i="1"/>
  <c r="M4568" i="1"/>
  <c r="L4568" i="1"/>
  <c r="K4568" i="1"/>
  <c r="I4568" i="1"/>
  <c r="O4567" i="1"/>
  <c r="P4567" i="1" s="1"/>
  <c r="N4567" i="1"/>
  <c r="M4567" i="1"/>
  <c r="L4567" i="1"/>
  <c r="K4567" i="1"/>
  <c r="I4567" i="1"/>
  <c r="O4566" i="1"/>
  <c r="P4566" i="1" s="1"/>
  <c r="N4566" i="1"/>
  <c r="M4566" i="1"/>
  <c r="L4566" i="1"/>
  <c r="K4566" i="1"/>
  <c r="I4566" i="1"/>
  <c r="O4565" i="1"/>
  <c r="P4565" i="1" s="1"/>
  <c r="N4565" i="1"/>
  <c r="M4565" i="1"/>
  <c r="L4565" i="1"/>
  <c r="K4565" i="1"/>
  <c r="I4565" i="1"/>
  <c r="O4564" i="1"/>
  <c r="P4564" i="1" s="1"/>
  <c r="N4564" i="1"/>
  <c r="M4564" i="1"/>
  <c r="L4564" i="1"/>
  <c r="K4564" i="1"/>
  <c r="I4564" i="1"/>
  <c r="O4563" i="1"/>
  <c r="P4563" i="1" s="1"/>
  <c r="N4563" i="1"/>
  <c r="M4563" i="1"/>
  <c r="L4563" i="1"/>
  <c r="K4563" i="1"/>
  <c r="I4563" i="1"/>
  <c r="O4562" i="1"/>
  <c r="P4562" i="1" s="1"/>
  <c r="N4562" i="1"/>
  <c r="M4562" i="1"/>
  <c r="L4562" i="1"/>
  <c r="K4562" i="1"/>
  <c r="I4562" i="1"/>
  <c r="O4561" i="1"/>
  <c r="P4561" i="1" s="1"/>
  <c r="N4561" i="1"/>
  <c r="M4561" i="1"/>
  <c r="L4561" i="1"/>
  <c r="K4561" i="1"/>
  <c r="I4561" i="1"/>
  <c r="O4560" i="1"/>
  <c r="P4560" i="1" s="1"/>
  <c r="N4560" i="1"/>
  <c r="M4560" i="1"/>
  <c r="L4560" i="1"/>
  <c r="K4560" i="1"/>
  <c r="I4560" i="1"/>
  <c r="O4559" i="1"/>
  <c r="P4559" i="1" s="1"/>
  <c r="N4559" i="1"/>
  <c r="M4559" i="1"/>
  <c r="L4559" i="1"/>
  <c r="K4559" i="1"/>
  <c r="I4559" i="1"/>
  <c r="O4558" i="1"/>
  <c r="P4558" i="1" s="1"/>
  <c r="N4558" i="1"/>
  <c r="M4558" i="1"/>
  <c r="L4558" i="1"/>
  <c r="K4558" i="1"/>
  <c r="I4558" i="1"/>
  <c r="O4557" i="1"/>
  <c r="P4557" i="1" s="1"/>
  <c r="N4557" i="1"/>
  <c r="M4557" i="1"/>
  <c r="L4557" i="1"/>
  <c r="K4557" i="1"/>
  <c r="I4557" i="1"/>
  <c r="O4556" i="1"/>
  <c r="P4556" i="1" s="1"/>
  <c r="N4556" i="1"/>
  <c r="M4556" i="1"/>
  <c r="L4556" i="1"/>
  <c r="K4556" i="1"/>
  <c r="I4556" i="1"/>
  <c r="O4555" i="1"/>
  <c r="P4555" i="1" s="1"/>
  <c r="N4555" i="1"/>
  <c r="M4555" i="1"/>
  <c r="L4555" i="1"/>
  <c r="K4555" i="1"/>
  <c r="I4555" i="1"/>
  <c r="O4554" i="1"/>
  <c r="P4554" i="1" s="1"/>
  <c r="N4554" i="1"/>
  <c r="M4554" i="1"/>
  <c r="L4554" i="1"/>
  <c r="K4554" i="1"/>
  <c r="I4554" i="1"/>
  <c r="O4553" i="1"/>
  <c r="P4553" i="1" s="1"/>
  <c r="N4553" i="1"/>
  <c r="M4553" i="1"/>
  <c r="L4553" i="1"/>
  <c r="K4553" i="1"/>
  <c r="I4553" i="1"/>
  <c r="O4552" i="1"/>
  <c r="P4552" i="1" s="1"/>
  <c r="N4552" i="1"/>
  <c r="M4552" i="1"/>
  <c r="L4552" i="1"/>
  <c r="K4552" i="1"/>
  <c r="I4552" i="1"/>
  <c r="O4551" i="1"/>
  <c r="P4551" i="1" s="1"/>
  <c r="N4551" i="1"/>
  <c r="M4551" i="1"/>
  <c r="L4551" i="1"/>
  <c r="K4551" i="1"/>
  <c r="I4551" i="1"/>
  <c r="O4550" i="1"/>
  <c r="P4550" i="1" s="1"/>
  <c r="N4550" i="1"/>
  <c r="M4550" i="1"/>
  <c r="L4550" i="1"/>
  <c r="K4550" i="1"/>
  <c r="I4550" i="1"/>
  <c r="O4549" i="1"/>
  <c r="P4549" i="1" s="1"/>
  <c r="N4549" i="1"/>
  <c r="M4549" i="1"/>
  <c r="L4549" i="1"/>
  <c r="K4549" i="1"/>
  <c r="I4549" i="1"/>
  <c r="O4548" i="1"/>
  <c r="P4548" i="1" s="1"/>
  <c r="N4548" i="1"/>
  <c r="M4548" i="1"/>
  <c r="L4548" i="1"/>
  <c r="K4548" i="1"/>
  <c r="I4548" i="1"/>
  <c r="O4547" i="1"/>
  <c r="P4547" i="1" s="1"/>
  <c r="N4547" i="1"/>
  <c r="M4547" i="1"/>
  <c r="L4547" i="1"/>
  <c r="K4547" i="1"/>
  <c r="I4547" i="1"/>
  <c r="O4546" i="1"/>
  <c r="P4546" i="1" s="1"/>
  <c r="N4546" i="1"/>
  <c r="M4546" i="1"/>
  <c r="L4546" i="1"/>
  <c r="K4546" i="1"/>
  <c r="I4546" i="1"/>
  <c r="O4545" i="1"/>
  <c r="P4545" i="1" s="1"/>
  <c r="N4545" i="1"/>
  <c r="M4545" i="1"/>
  <c r="L4545" i="1"/>
  <c r="K4545" i="1"/>
  <c r="I4545" i="1"/>
  <c r="O4544" i="1"/>
  <c r="P4544" i="1" s="1"/>
  <c r="N4544" i="1"/>
  <c r="M4544" i="1"/>
  <c r="L4544" i="1"/>
  <c r="K4544" i="1"/>
  <c r="I4544" i="1"/>
  <c r="O4543" i="1"/>
  <c r="P4543" i="1" s="1"/>
  <c r="N4543" i="1"/>
  <c r="M4543" i="1"/>
  <c r="L4543" i="1"/>
  <c r="K4543" i="1"/>
  <c r="I4543" i="1"/>
  <c r="O4542" i="1"/>
  <c r="P4542" i="1" s="1"/>
  <c r="N4542" i="1"/>
  <c r="M4542" i="1"/>
  <c r="L4542" i="1"/>
  <c r="K4542" i="1"/>
  <c r="I4542" i="1"/>
  <c r="O4541" i="1"/>
  <c r="P4541" i="1" s="1"/>
  <c r="N4541" i="1"/>
  <c r="M4541" i="1"/>
  <c r="L4541" i="1"/>
  <c r="K4541" i="1"/>
  <c r="I4541" i="1"/>
  <c r="O4540" i="1"/>
  <c r="P4540" i="1" s="1"/>
  <c r="N4540" i="1"/>
  <c r="M4540" i="1"/>
  <c r="L4540" i="1"/>
  <c r="K4540" i="1"/>
  <c r="I4540" i="1"/>
  <c r="O4539" i="1"/>
  <c r="P4539" i="1" s="1"/>
  <c r="N4539" i="1"/>
  <c r="M4539" i="1"/>
  <c r="L4539" i="1"/>
  <c r="K4539" i="1"/>
  <c r="I4539" i="1"/>
  <c r="O4538" i="1"/>
  <c r="P4538" i="1" s="1"/>
  <c r="N4538" i="1"/>
  <c r="M4538" i="1"/>
  <c r="L4538" i="1"/>
  <c r="K4538" i="1"/>
  <c r="I4538" i="1"/>
  <c r="O4537" i="1"/>
  <c r="P4537" i="1" s="1"/>
  <c r="N4537" i="1"/>
  <c r="M4537" i="1"/>
  <c r="L4537" i="1"/>
  <c r="K4537" i="1"/>
  <c r="I4537" i="1"/>
  <c r="O4536" i="1"/>
  <c r="P4536" i="1" s="1"/>
  <c r="N4536" i="1"/>
  <c r="M4536" i="1"/>
  <c r="L4536" i="1"/>
  <c r="K4536" i="1"/>
  <c r="I4536" i="1"/>
  <c r="O4535" i="1"/>
  <c r="P4535" i="1" s="1"/>
  <c r="N4535" i="1"/>
  <c r="M4535" i="1"/>
  <c r="L4535" i="1"/>
  <c r="K4535" i="1"/>
  <c r="I4535" i="1"/>
  <c r="O4534" i="1"/>
  <c r="P4534" i="1" s="1"/>
  <c r="N4534" i="1"/>
  <c r="M4534" i="1"/>
  <c r="L4534" i="1"/>
  <c r="K4534" i="1"/>
  <c r="I4534" i="1"/>
  <c r="O4533" i="1"/>
  <c r="P4533" i="1" s="1"/>
  <c r="N4533" i="1"/>
  <c r="M4533" i="1"/>
  <c r="L4533" i="1"/>
  <c r="K4533" i="1"/>
  <c r="I4533" i="1"/>
  <c r="O4532" i="1"/>
  <c r="P4532" i="1" s="1"/>
  <c r="N4532" i="1"/>
  <c r="M4532" i="1"/>
  <c r="L4532" i="1"/>
  <c r="K4532" i="1"/>
  <c r="I4532" i="1"/>
  <c r="O4531" i="1"/>
  <c r="P4531" i="1" s="1"/>
  <c r="N4531" i="1"/>
  <c r="M4531" i="1"/>
  <c r="L4531" i="1"/>
  <c r="K4531" i="1"/>
  <c r="I4531" i="1"/>
  <c r="O4530" i="1"/>
  <c r="P4530" i="1" s="1"/>
  <c r="N4530" i="1"/>
  <c r="M4530" i="1"/>
  <c r="L4530" i="1"/>
  <c r="K4530" i="1"/>
  <c r="I4530" i="1"/>
  <c r="O4529" i="1"/>
  <c r="P4529" i="1" s="1"/>
  <c r="N4529" i="1"/>
  <c r="M4529" i="1"/>
  <c r="L4529" i="1"/>
  <c r="K4529" i="1"/>
  <c r="I4529" i="1"/>
  <c r="O4528" i="1"/>
  <c r="P4528" i="1" s="1"/>
  <c r="N4528" i="1"/>
  <c r="M4528" i="1"/>
  <c r="L4528" i="1"/>
  <c r="K4528" i="1"/>
  <c r="I4528" i="1"/>
  <c r="O4527" i="1"/>
  <c r="P4527" i="1" s="1"/>
  <c r="N4527" i="1"/>
  <c r="M4527" i="1"/>
  <c r="L4527" i="1"/>
  <c r="K4527" i="1"/>
  <c r="I4527" i="1"/>
  <c r="O4526" i="1"/>
  <c r="P4526" i="1" s="1"/>
  <c r="N4526" i="1"/>
  <c r="M4526" i="1"/>
  <c r="L4526" i="1"/>
  <c r="K4526" i="1"/>
  <c r="I4526" i="1"/>
  <c r="O4525" i="1"/>
  <c r="P4525" i="1" s="1"/>
  <c r="N4525" i="1"/>
  <c r="M4525" i="1"/>
  <c r="L4525" i="1"/>
  <c r="K4525" i="1"/>
  <c r="I4525" i="1"/>
  <c r="O4524" i="1"/>
  <c r="P4524" i="1" s="1"/>
  <c r="N4524" i="1"/>
  <c r="M4524" i="1"/>
  <c r="L4524" i="1"/>
  <c r="K4524" i="1"/>
  <c r="I4524" i="1"/>
  <c r="O4523" i="1"/>
  <c r="P4523" i="1" s="1"/>
  <c r="N4523" i="1"/>
  <c r="M4523" i="1"/>
  <c r="L4523" i="1"/>
  <c r="K4523" i="1"/>
  <c r="I4523" i="1"/>
  <c r="O4522" i="1"/>
  <c r="P4522" i="1" s="1"/>
  <c r="N4522" i="1"/>
  <c r="M4522" i="1"/>
  <c r="L4522" i="1"/>
  <c r="K4522" i="1"/>
  <c r="I4522" i="1"/>
  <c r="O4521" i="1"/>
  <c r="P4521" i="1" s="1"/>
  <c r="N4521" i="1"/>
  <c r="M4521" i="1"/>
  <c r="L4521" i="1"/>
  <c r="K4521" i="1"/>
  <c r="I4521" i="1"/>
  <c r="O4520" i="1"/>
  <c r="P4520" i="1" s="1"/>
  <c r="N4520" i="1"/>
  <c r="M4520" i="1"/>
  <c r="L4520" i="1"/>
  <c r="K4520" i="1"/>
  <c r="I4520" i="1"/>
  <c r="O4519" i="1"/>
  <c r="P4519" i="1" s="1"/>
  <c r="N4519" i="1"/>
  <c r="M4519" i="1"/>
  <c r="L4519" i="1"/>
  <c r="K4519" i="1"/>
  <c r="I4519" i="1"/>
  <c r="O4518" i="1"/>
  <c r="P4518" i="1" s="1"/>
  <c r="N4518" i="1"/>
  <c r="M4518" i="1"/>
  <c r="L4518" i="1"/>
  <c r="K4518" i="1"/>
  <c r="I4518" i="1"/>
  <c r="O4517" i="1"/>
  <c r="P4517" i="1" s="1"/>
  <c r="N4517" i="1"/>
  <c r="M4517" i="1"/>
  <c r="L4517" i="1"/>
  <c r="K4517" i="1"/>
  <c r="I4517" i="1"/>
  <c r="O4516" i="1"/>
  <c r="P4516" i="1" s="1"/>
  <c r="N4516" i="1"/>
  <c r="M4516" i="1"/>
  <c r="L4516" i="1"/>
  <c r="K4516" i="1"/>
  <c r="I4516" i="1"/>
  <c r="O4515" i="1"/>
  <c r="P4515" i="1" s="1"/>
  <c r="N4515" i="1"/>
  <c r="M4515" i="1"/>
  <c r="L4515" i="1"/>
  <c r="K4515" i="1"/>
  <c r="I4515" i="1"/>
  <c r="O4514" i="1"/>
  <c r="P4514" i="1" s="1"/>
  <c r="N4514" i="1"/>
  <c r="M4514" i="1"/>
  <c r="L4514" i="1"/>
  <c r="K4514" i="1"/>
  <c r="I4514" i="1"/>
  <c r="O4513" i="1"/>
  <c r="P4513" i="1" s="1"/>
  <c r="N4513" i="1"/>
  <c r="M4513" i="1"/>
  <c r="L4513" i="1"/>
  <c r="K4513" i="1"/>
  <c r="I4513" i="1"/>
  <c r="O4512" i="1"/>
  <c r="P4512" i="1" s="1"/>
  <c r="N4512" i="1"/>
  <c r="M4512" i="1"/>
  <c r="L4512" i="1"/>
  <c r="K4512" i="1"/>
  <c r="I4512" i="1"/>
  <c r="O4511" i="1"/>
  <c r="P4511" i="1" s="1"/>
  <c r="N4511" i="1"/>
  <c r="M4511" i="1"/>
  <c r="L4511" i="1"/>
  <c r="K4511" i="1"/>
  <c r="I4511" i="1"/>
  <c r="O4510" i="1"/>
  <c r="P4510" i="1" s="1"/>
  <c r="N4510" i="1"/>
  <c r="M4510" i="1"/>
  <c r="L4510" i="1"/>
  <c r="K4510" i="1"/>
  <c r="I4510" i="1"/>
  <c r="O4509" i="1"/>
  <c r="P4509" i="1" s="1"/>
  <c r="N4509" i="1"/>
  <c r="M4509" i="1"/>
  <c r="L4509" i="1"/>
  <c r="K4509" i="1"/>
  <c r="I4509" i="1"/>
  <c r="O4508" i="1"/>
  <c r="P4508" i="1" s="1"/>
  <c r="N4508" i="1"/>
  <c r="M4508" i="1"/>
  <c r="L4508" i="1"/>
  <c r="K4508" i="1"/>
  <c r="I4508" i="1"/>
  <c r="O4507" i="1"/>
  <c r="P4507" i="1" s="1"/>
  <c r="N4507" i="1"/>
  <c r="M4507" i="1"/>
  <c r="L4507" i="1"/>
  <c r="K4507" i="1"/>
  <c r="I4507" i="1"/>
  <c r="O4506" i="1"/>
  <c r="P4506" i="1" s="1"/>
  <c r="N4506" i="1"/>
  <c r="M4506" i="1"/>
  <c r="L4506" i="1"/>
  <c r="K4506" i="1"/>
  <c r="I4506" i="1"/>
  <c r="O4505" i="1"/>
  <c r="P4505" i="1" s="1"/>
  <c r="N4505" i="1"/>
  <c r="M4505" i="1"/>
  <c r="L4505" i="1"/>
  <c r="K4505" i="1"/>
  <c r="I4505" i="1"/>
  <c r="O4504" i="1"/>
  <c r="P4504" i="1" s="1"/>
  <c r="N4504" i="1"/>
  <c r="M4504" i="1"/>
  <c r="L4504" i="1"/>
  <c r="K4504" i="1"/>
  <c r="I4504" i="1"/>
  <c r="O4503" i="1"/>
  <c r="P4503" i="1" s="1"/>
  <c r="N4503" i="1"/>
  <c r="M4503" i="1"/>
  <c r="L4503" i="1"/>
  <c r="K4503" i="1"/>
  <c r="I4503" i="1"/>
  <c r="O4502" i="1"/>
  <c r="P4502" i="1" s="1"/>
  <c r="N4502" i="1"/>
  <c r="M4502" i="1"/>
  <c r="L4502" i="1"/>
  <c r="K4502" i="1"/>
  <c r="I4502" i="1"/>
  <c r="O4501" i="1"/>
  <c r="P4501" i="1" s="1"/>
  <c r="N4501" i="1"/>
  <c r="M4501" i="1"/>
  <c r="L4501" i="1"/>
  <c r="K4501" i="1"/>
  <c r="I4501" i="1"/>
  <c r="O4500" i="1"/>
  <c r="P4500" i="1" s="1"/>
  <c r="N4500" i="1"/>
  <c r="M4500" i="1"/>
  <c r="L4500" i="1"/>
  <c r="K4500" i="1"/>
  <c r="I4500" i="1"/>
  <c r="O4499" i="1"/>
  <c r="P4499" i="1" s="1"/>
  <c r="N4499" i="1"/>
  <c r="M4499" i="1"/>
  <c r="L4499" i="1"/>
  <c r="K4499" i="1"/>
  <c r="I4499" i="1"/>
  <c r="O4498" i="1"/>
  <c r="P4498" i="1" s="1"/>
  <c r="N4498" i="1"/>
  <c r="M4498" i="1"/>
  <c r="L4498" i="1"/>
  <c r="K4498" i="1"/>
  <c r="I4498" i="1"/>
  <c r="O4497" i="1"/>
  <c r="P4497" i="1" s="1"/>
  <c r="N4497" i="1"/>
  <c r="M4497" i="1"/>
  <c r="L4497" i="1"/>
  <c r="K4497" i="1"/>
  <c r="I4497" i="1"/>
  <c r="O4496" i="1"/>
  <c r="P4496" i="1" s="1"/>
  <c r="N4496" i="1"/>
  <c r="M4496" i="1"/>
  <c r="L4496" i="1"/>
  <c r="K4496" i="1"/>
  <c r="I4496" i="1"/>
  <c r="O4495" i="1"/>
  <c r="P4495" i="1" s="1"/>
  <c r="N4495" i="1"/>
  <c r="M4495" i="1"/>
  <c r="L4495" i="1"/>
  <c r="K4495" i="1"/>
  <c r="I4495" i="1"/>
  <c r="O4494" i="1"/>
  <c r="P4494" i="1" s="1"/>
  <c r="N4494" i="1"/>
  <c r="M4494" i="1"/>
  <c r="L4494" i="1"/>
  <c r="K4494" i="1"/>
  <c r="I4494" i="1"/>
  <c r="O4493" i="1"/>
  <c r="P4493" i="1" s="1"/>
  <c r="N4493" i="1"/>
  <c r="M4493" i="1"/>
  <c r="L4493" i="1"/>
  <c r="K4493" i="1"/>
  <c r="I4493" i="1"/>
  <c r="O4492" i="1"/>
  <c r="P4492" i="1" s="1"/>
  <c r="N4492" i="1"/>
  <c r="M4492" i="1"/>
  <c r="L4492" i="1"/>
  <c r="K4492" i="1"/>
  <c r="I4492" i="1"/>
  <c r="O4491" i="1"/>
  <c r="P4491" i="1" s="1"/>
  <c r="N4491" i="1"/>
  <c r="M4491" i="1"/>
  <c r="L4491" i="1"/>
  <c r="K4491" i="1"/>
  <c r="I4491" i="1"/>
  <c r="O4490" i="1"/>
  <c r="P4490" i="1" s="1"/>
  <c r="N4490" i="1"/>
  <c r="M4490" i="1"/>
  <c r="L4490" i="1"/>
  <c r="K4490" i="1"/>
  <c r="I4490" i="1"/>
  <c r="O4489" i="1"/>
  <c r="P4489" i="1" s="1"/>
  <c r="N4489" i="1"/>
  <c r="M4489" i="1"/>
  <c r="L4489" i="1"/>
  <c r="K4489" i="1"/>
  <c r="I4489" i="1"/>
  <c r="O4488" i="1"/>
  <c r="P4488" i="1" s="1"/>
  <c r="N4488" i="1"/>
  <c r="M4488" i="1"/>
  <c r="L4488" i="1"/>
  <c r="K4488" i="1"/>
  <c r="I4488" i="1"/>
  <c r="O4487" i="1"/>
  <c r="P4487" i="1" s="1"/>
  <c r="N4487" i="1"/>
  <c r="M4487" i="1"/>
  <c r="L4487" i="1"/>
  <c r="K4487" i="1"/>
  <c r="I4487" i="1"/>
  <c r="O4486" i="1"/>
  <c r="P4486" i="1" s="1"/>
  <c r="N4486" i="1"/>
  <c r="M4486" i="1"/>
  <c r="L4486" i="1"/>
  <c r="K4486" i="1"/>
  <c r="I4486" i="1"/>
  <c r="O4485" i="1"/>
  <c r="P4485" i="1" s="1"/>
  <c r="N4485" i="1"/>
  <c r="M4485" i="1"/>
  <c r="L4485" i="1"/>
  <c r="K4485" i="1"/>
  <c r="I4485" i="1"/>
  <c r="O4484" i="1"/>
  <c r="P4484" i="1" s="1"/>
  <c r="N4484" i="1"/>
  <c r="M4484" i="1"/>
  <c r="L4484" i="1"/>
  <c r="K4484" i="1"/>
  <c r="I4484" i="1"/>
  <c r="O4483" i="1"/>
  <c r="P4483" i="1" s="1"/>
  <c r="N4483" i="1"/>
  <c r="M4483" i="1"/>
  <c r="L4483" i="1"/>
  <c r="K4483" i="1"/>
  <c r="I4483" i="1"/>
  <c r="O4482" i="1"/>
  <c r="P4482" i="1" s="1"/>
  <c r="N4482" i="1"/>
  <c r="M4482" i="1"/>
  <c r="L4482" i="1"/>
  <c r="K4482" i="1"/>
  <c r="I4482" i="1"/>
  <c r="O4481" i="1"/>
  <c r="P4481" i="1" s="1"/>
  <c r="N4481" i="1"/>
  <c r="M4481" i="1"/>
  <c r="L4481" i="1"/>
  <c r="K4481" i="1"/>
  <c r="I4481" i="1"/>
  <c r="O4480" i="1"/>
  <c r="P4480" i="1" s="1"/>
  <c r="N4480" i="1"/>
  <c r="M4480" i="1"/>
  <c r="L4480" i="1"/>
  <c r="K4480" i="1"/>
  <c r="I4480" i="1"/>
  <c r="O4479" i="1"/>
  <c r="P4479" i="1" s="1"/>
  <c r="N4479" i="1"/>
  <c r="M4479" i="1"/>
  <c r="L4479" i="1"/>
  <c r="K4479" i="1"/>
  <c r="I4479" i="1"/>
  <c r="O4478" i="1"/>
  <c r="P4478" i="1" s="1"/>
  <c r="N4478" i="1"/>
  <c r="M4478" i="1"/>
  <c r="L4478" i="1"/>
  <c r="K4478" i="1"/>
  <c r="I4478" i="1"/>
  <c r="O4477" i="1"/>
  <c r="P4477" i="1" s="1"/>
  <c r="N4477" i="1"/>
  <c r="M4477" i="1"/>
  <c r="L4477" i="1"/>
  <c r="K4477" i="1"/>
  <c r="I4477" i="1"/>
  <c r="O4476" i="1"/>
  <c r="P4476" i="1" s="1"/>
  <c r="N4476" i="1"/>
  <c r="M4476" i="1"/>
  <c r="L4476" i="1"/>
  <c r="K4476" i="1"/>
  <c r="I4476" i="1"/>
  <c r="O4475" i="1"/>
  <c r="P4475" i="1" s="1"/>
  <c r="N4475" i="1"/>
  <c r="M4475" i="1"/>
  <c r="L4475" i="1"/>
  <c r="K4475" i="1"/>
  <c r="I4475" i="1"/>
  <c r="O4474" i="1"/>
  <c r="P4474" i="1" s="1"/>
  <c r="N4474" i="1"/>
  <c r="M4474" i="1"/>
  <c r="L4474" i="1"/>
  <c r="K4474" i="1"/>
  <c r="I4474" i="1"/>
  <c r="O4473" i="1"/>
  <c r="P4473" i="1" s="1"/>
  <c r="N4473" i="1"/>
  <c r="M4473" i="1"/>
  <c r="L4473" i="1"/>
  <c r="K4473" i="1"/>
  <c r="I4473" i="1"/>
  <c r="O4472" i="1"/>
  <c r="P4472" i="1" s="1"/>
  <c r="N4472" i="1"/>
  <c r="M4472" i="1"/>
  <c r="L4472" i="1"/>
  <c r="K4472" i="1"/>
  <c r="I4472" i="1"/>
  <c r="O4471" i="1"/>
  <c r="P4471" i="1" s="1"/>
  <c r="N4471" i="1"/>
  <c r="M4471" i="1"/>
  <c r="L4471" i="1"/>
  <c r="K4471" i="1"/>
  <c r="I4471" i="1"/>
  <c r="O4470" i="1"/>
  <c r="P4470" i="1" s="1"/>
  <c r="N4470" i="1"/>
  <c r="M4470" i="1"/>
  <c r="L4470" i="1"/>
  <c r="K4470" i="1"/>
  <c r="I4470" i="1"/>
  <c r="O4469" i="1"/>
  <c r="P4469" i="1" s="1"/>
  <c r="N4469" i="1"/>
  <c r="M4469" i="1"/>
  <c r="L4469" i="1"/>
  <c r="K4469" i="1"/>
  <c r="I4469" i="1"/>
  <c r="O4468" i="1"/>
  <c r="P4468" i="1" s="1"/>
  <c r="N4468" i="1"/>
  <c r="M4468" i="1"/>
  <c r="L4468" i="1"/>
  <c r="K4468" i="1"/>
  <c r="I4468" i="1"/>
  <c r="O4467" i="1"/>
  <c r="P4467" i="1" s="1"/>
  <c r="N4467" i="1"/>
  <c r="M4467" i="1"/>
  <c r="L4467" i="1"/>
  <c r="K4467" i="1"/>
  <c r="I4467" i="1"/>
  <c r="O4466" i="1"/>
  <c r="P4466" i="1" s="1"/>
  <c r="N4466" i="1"/>
  <c r="M4466" i="1"/>
  <c r="L4466" i="1"/>
  <c r="K4466" i="1"/>
  <c r="I4466" i="1"/>
  <c r="O4465" i="1"/>
  <c r="P4465" i="1" s="1"/>
  <c r="N4465" i="1"/>
  <c r="M4465" i="1"/>
  <c r="L4465" i="1"/>
  <c r="K4465" i="1"/>
  <c r="I4465" i="1"/>
  <c r="O4464" i="1"/>
  <c r="P4464" i="1" s="1"/>
  <c r="N4464" i="1"/>
  <c r="M4464" i="1"/>
  <c r="L4464" i="1"/>
  <c r="K4464" i="1"/>
  <c r="I4464" i="1"/>
  <c r="O4463" i="1"/>
  <c r="P4463" i="1" s="1"/>
  <c r="N4463" i="1"/>
  <c r="M4463" i="1"/>
  <c r="L4463" i="1"/>
  <c r="K4463" i="1"/>
  <c r="I4463" i="1"/>
  <c r="O4462" i="1"/>
  <c r="P4462" i="1" s="1"/>
  <c r="N4462" i="1"/>
  <c r="M4462" i="1"/>
  <c r="L4462" i="1"/>
  <c r="K4462" i="1"/>
  <c r="I4462" i="1"/>
  <c r="O4461" i="1"/>
  <c r="P4461" i="1" s="1"/>
  <c r="N4461" i="1"/>
  <c r="M4461" i="1"/>
  <c r="L4461" i="1"/>
  <c r="K4461" i="1"/>
  <c r="I4461" i="1"/>
  <c r="O4460" i="1"/>
  <c r="P4460" i="1" s="1"/>
  <c r="N4460" i="1"/>
  <c r="M4460" i="1"/>
  <c r="L4460" i="1"/>
  <c r="K4460" i="1"/>
  <c r="I4460" i="1"/>
  <c r="O4459" i="1"/>
  <c r="P4459" i="1" s="1"/>
  <c r="N4459" i="1"/>
  <c r="M4459" i="1"/>
  <c r="L4459" i="1"/>
  <c r="K4459" i="1"/>
  <c r="I4459" i="1"/>
  <c r="O4458" i="1"/>
  <c r="P4458" i="1" s="1"/>
  <c r="N4458" i="1"/>
  <c r="M4458" i="1"/>
  <c r="L4458" i="1"/>
  <c r="K4458" i="1"/>
  <c r="I4458" i="1"/>
  <c r="O4457" i="1"/>
  <c r="P4457" i="1" s="1"/>
  <c r="N4457" i="1"/>
  <c r="M4457" i="1"/>
  <c r="L4457" i="1"/>
  <c r="K4457" i="1"/>
  <c r="I4457" i="1"/>
  <c r="O4456" i="1"/>
  <c r="P4456" i="1" s="1"/>
  <c r="N4456" i="1"/>
  <c r="M4456" i="1"/>
  <c r="L4456" i="1"/>
  <c r="K4456" i="1"/>
  <c r="I4456" i="1"/>
  <c r="O4455" i="1"/>
  <c r="P4455" i="1" s="1"/>
  <c r="N4455" i="1"/>
  <c r="M4455" i="1"/>
  <c r="L4455" i="1"/>
  <c r="K4455" i="1"/>
  <c r="I4455" i="1"/>
  <c r="O4454" i="1"/>
  <c r="P4454" i="1" s="1"/>
  <c r="N4454" i="1"/>
  <c r="M4454" i="1"/>
  <c r="L4454" i="1"/>
  <c r="K4454" i="1"/>
  <c r="I4454" i="1"/>
  <c r="O4453" i="1"/>
  <c r="P4453" i="1" s="1"/>
  <c r="N4453" i="1"/>
  <c r="M4453" i="1"/>
  <c r="L4453" i="1"/>
  <c r="K4453" i="1"/>
  <c r="I4453" i="1"/>
  <c r="O4452" i="1"/>
  <c r="P4452" i="1" s="1"/>
  <c r="N4452" i="1"/>
  <c r="M4452" i="1"/>
  <c r="L4452" i="1"/>
  <c r="K4452" i="1"/>
  <c r="I4452" i="1"/>
  <c r="O4451" i="1"/>
  <c r="P4451" i="1" s="1"/>
  <c r="N4451" i="1"/>
  <c r="M4451" i="1"/>
  <c r="L4451" i="1"/>
  <c r="K4451" i="1"/>
  <c r="I4451" i="1"/>
  <c r="O4450" i="1"/>
  <c r="P4450" i="1" s="1"/>
  <c r="N4450" i="1"/>
  <c r="M4450" i="1"/>
  <c r="L4450" i="1"/>
  <c r="K4450" i="1"/>
  <c r="I4450" i="1"/>
  <c r="O4449" i="1"/>
  <c r="P4449" i="1" s="1"/>
  <c r="N4449" i="1"/>
  <c r="M4449" i="1"/>
  <c r="L4449" i="1"/>
  <c r="K4449" i="1"/>
  <c r="I4449" i="1"/>
  <c r="O4448" i="1"/>
  <c r="P4448" i="1" s="1"/>
  <c r="N4448" i="1"/>
  <c r="M4448" i="1"/>
  <c r="L4448" i="1"/>
  <c r="K4448" i="1"/>
  <c r="I4448" i="1"/>
  <c r="O4447" i="1"/>
  <c r="P4447" i="1" s="1"/>
  <c r="N4447" i="1"/>
  <c r="M4447" i="1"/>
  <c r="L4447" i="1"/>
  <c r="K4447" i="1"/>
  <c r="I4447" i="1"/>
  <c r="O4446" i="1"/>
  <c r="P4446" i="1" s="1"/>
  <c r="N4446" i="1"/>
  <c r="M4446" i="1"/>
  <c r="L4446" i="1"/>
  <c r="K4446" i="1"/>
  <c r="I4446" i="1"/>
  <c r="O4445" i="1"/>
  <c r="P4445" i="1" s="1"/>
  <c r="N4445" i="1"/>
  <c r="M4445" i="1"/>
  <c r="L4445" i="1"/>
  <c r="K4445" i="1"/>
  <c r="I4445" i="1"/>
  <c r="O4444" i="1"/>
  <c r="P4444" i="1" s="1"/>
  <c r="N4444" i="1"/>
  <c r="M4444" i="1"/>
  <c r="L4444" i="1"/>
  <c r="K4444" i="1"/>
  <c r="I4444" i="1"/>
  <c r="O4443" i="1"/>
  <c r="P4443" i="1" s="1"/>
  <c r="N4443" i="1"/>
  <c r="M4443" i="1"/>
  <c r="L4443" i="1"/>
  <c r="K4443" i="1"/>
  <c r="I4443" i="1"/>
  <c r="O4442" i="1"/>
  <c r="P4442" i="1" s="1"/>
  <c r="N4442" i="1"/>
  <c r="M4442" i="1"/>
  <c r="L4442" i="1"/>
  <c r="K4442" i="1"/>
  <c r="I4442" i="1"/>
  <c r="O4441" i="1"/>
  <c r="P4441" i="1" s="1"/>
  <c r="N4441" i="1"/>
  <c r="M4441" i="1"/>
  <c r="L4441" i="1"/>
  <c r="K4441" i="1"/>
  <c r="I4441" i="1"/>
  <c r="O4440" i="1"/>
  <c r="P4440" i="1" s="1"/>
  <c r="N4440" i="1"/>
  <c r="M4440" i="1"/>
  <c r="L4440" i="1"/>
  <c r="K4440" i="1"/>
  <c r="I4440" i="1"/>
  <c r="O4439" i="1"/>
  <c r="P4439" i="1" s="1"/>
  <c r="N4439" i="1"/>
  <c r="M4439" i="1"/>
  <c r="L4439" i="1"/>
  <c r="K4439" i="1"/>
  <c r="I4439" i="1"/>
  <c r="O4438" i="1"/>
  <c r="P4438" i="1" s="1"/>
  <c r="N4438" i="1"/>
  <c r="M4438" i="1"/>
  <c r="L4438" i="1"/>
  <c r="K4438" i="1"/>
  <c r="I4438" i="1"/>
  <c r="O4437" i="1"/>
  <c r="P4437" i="1" s="1"/>
  <c r="N4437" i="1"/>
  <c r="M4437" i="1"/>
  <c r="L4437" i="1"/>
  <c r="K4437" i="1"/>
  <c r="I4437" i="1"/>
  <c r="O4436" i="1"/>
  <c r="P4436" i="1" s="1"/>
  <c r="N4436" i="1"/>
  <c r="M4436" i="1"/>
  <c r="L4436" i="1"/>
  <c r="K4436" i="1"/>
  <c r="I4436" i="1"/>
  <c r="O4435" i="1"/>
  <c r="P4435" i="1" s="1"/>
  <c r="N4435" i="1"/>
  <c r="M4435" i="1"/>
  <c r="L4435" i="1"/>
  <c r="K4435" i="1"/>
  <c r="I4435" i="1"/>
  <c r="O4434" i="1"/>
  <c r="P4434" i="1" s="1"/>
  <c r="N4434" i="1"/>
  <c r="M4434" i="1"/>
  <c r="L4434" i="1"/>
  <c r="K4434" i="1"/>
  <c r="I4434" i="1"/>
  <c r="O4433" i="1"/>
  <c r="P4433" i="1" s="1"/>
  <c r="N4433" i="1"/>
  <c r="M4433" i="1"/>
  <c r="L4433" i="1"/>
  <c r="K4433" i="1"/>
  <c r="I4433" i="1"/>
  <c r="O4432" i="1"/>
  <c r="P4432" i="1" s="1"/>
  <c r="N4432" i="1"/>
  <c r="M4432" i="1"/>
  <c r="L4432" i="1"/>
  <c r="K4432" i="1"/>
  <c r="I4432" i="1"/>
  <c r="O4431" i="1"/>
  <c r="P4431" i="1" s="1"/>
  <c r="N4431" i="1"/>
  <c r="M4431" i="1"/>
  <c r="L4431" i="1"/>
  <c r="K4431" i="1"/>
  <c r="I4431" i="1"/>
  <c r="O4430" i="1"/>
  <c r="P4430" i="1" s="1"/>
  <c r="N4430" i="1"/>
  <c r="M4430" i="1"/>
  <c r="L4430" i="1"/>
  <c r="K4430" i="1"/>
  <c r="I4430" i="1"/>
  <c r="O4429" i="1"/>
  <c r="P4429" i="1" s="1"/>
  <c r="N4429" i="1"/>
  <c r="M4429" i="1"/>
  <c r="L4429" i="1"/>
  <c r="K4429" i="1"/>
  <c r="I4429" i="1"/>
  <c r="O4428" i="1"/>
  <c r="P4428" i="1" s="1"/>
  <c r="N4428" i="1"/>
  <c r="M4428" i="1"/>
  <c r="L4428" i="1"/>
  <c r="K4428" i="1"/>
  <c r="I4428" i="1"/>
  <c r="O4427" i="1"/>
  <c r="P4427" i="1" s="1"/>
  <c r="N4427" i="1"/>
  <c r="M4427" i="1"/>
  <c r="L4427" i="1"/>
  <c r="K4427" i="1"/>
  <c r="I4427" i="1"/>
  <c r="O4426" i="1"/>
  <c r="P4426" i="1" s="1"/>
  <c r="N4426" i="1"/>
  <c r="M4426" i="1"/>
  <c r="L4426" i="1"/>
  <c r="K4426" i="1"/>
  <c r="I4426" i="1"/>
  <c r="O4425" i="1"/>
  <c r="P4425" i="1" s="1"/>
  <c r="N4425" i="1"/>
  <c r="M4425" i="1"/>
  <c r="L4425" i="1"/>
  <c r="K4425" i="1"/>
  <c r="I4425" i="1"/>
  <c r="O4424" i="1"/>
  <c r="P4424" i="1" s="1"/>
  <c r="N4424" i="1"/>
  <c r="M4424" i="1"/>
  <c r="L4424" i="1"/>
  <c r="K4424" i="1"/>
  <c r="I4424" i="1"/>
  <c r="O4423" i="1"/>
  <c r="P4423" i="1" s="1"/>
  <c r="N4423" i="1"/>
  <c r="M4423" i="1"/>
  <c r="L4423" i="1"/>
  <c r="K4423" i="1"/>
  <c r="I4423" i="1"/>
  <c r="O4422" i="1"/>
  <c r="P4422" i="1" s="1"/>
  <c r="N4422" i="1"/>
  <c r="M4422" i="1"/>
  <c r="L4422" i="1"/>
  <c r="K4422" i="1"/>
  <c r="I4422" i="1"/>
  <c r="O4421" i="1"/>
  <c r="P4421" i="1" s="1"/>
  <c r="N4421" i="1"/>
  <c r="M4421" i="1"/>
  <c r="L4421" i="1"/>
  <c r="K4421" i="1"/>
  <c r="I4421" i="1"/>
  <c r="O4420" i="1"/>
  <c r="P4420" i="1" s="1"/>
  <c r="N4420" i="1"/>
  <c r="M4420" i="1"/>
  <c r="L4420" i="1"/>
  <c r="K4420" i="1"/>
  <c r="I4420" i="1"/>
  <c r="O4419" i="1"/>
  <c r="P4419" i="1" s="1"/>
  <c r="N4419" i="1"/>
  <c r="M4419" i="1"/>
  <c r="L4419" i="1"/>
  <c r="K4419" i="1"/>
  <c r="I4419" i="1"/>
  <c r="O4418" i="1"/>
  <c r="P4418" i="1" s="1"/>
  <c r="N4418" i="1"/>
  <c r="M4418" i="1"/>
  <c r="L4418" i="1"/>
  <c r="K4418" i="1"/>
  <c r="I4418" i="1"/>
  <c r="O4417" i="1"/>
  <c r="P4417" i="1" s="1"/>
  <c r="N4417" i="1"/>
  <c r="M4417" i="1"/>
  <c r="L4417" i="1"/>
  <c r="K4417" i="1"/>
  <c r="I4417" i="1"/>
  <c r="O4416" i="1"/>
  <c r="P4416" i="1" s="1"/>
  <c r="N4416" i="1"/>
  <c r="M4416" i="1"/>
  <c r="L4416" i="1"/>
  <c r="K4416" i="1"/>
  <c r="I4416" i="1"/>
  <c r="O4415" i="1"/>
  <c r="P4415" i="1" s="1"/>
  <c r="N4415" i="1"/>
  <c r="M4415" i="1"/>
  <c r="L4415" i="1"/>
  <c r="K4415" i="1"/>
  <c r="I4415" i="1"/>
  <c r="O4414" i="1"/>
  <c r="P4414" i="1" s="1"/>
  <c r="N4414" i="1"/>
  <c r="M4414" i="1"/>
  <c r="L4414" i="1"/>
  <c r="K4414" i="1"/>
  <c r="I4414" i="1"/>
  <c r="O4413" i="1"/>
  <c r="P4413" i="1" s="1"/>
  <c r="N4413" i="1"/>
  <c r="M4413" i="1"/>
  <c r="L4413" i="1"/>
  <c r="K4413" i="1"/>
  <c r="I4413" i="1"/>
  <c r="O4412" i="1"/>
  <c r="P4412" i="1" s="1"/>
  <c r="N4412" i="1"/>
  <c r="M4412" i="1"/>
  <c r="L4412" i="1"/>
  <c r="K4412" i="1"/>
  <c r="I4412" i="1"/>
  <c r="O4411" i="1"/>
  <c r="P4411" i="1" s="1"/>
  <c r="N4411" i="1"/>
  <c r="M4411" i="1"/>
  <c r="L4411" i="1"/>
  <c r="K4411" i="1"/>
  <c r="I4411" i="1"/>
  <c r="O4410" i="1"/>
  <c r="P4410" i="1" s="1"/>
  <c r="N4410" i="1"/>
  <c r="M4410" i="1"/>
  <c r="L4410" i="1"/>
  <c r="K4410" i="1"/>
  <c r="I4410" i="1"/>
  <c r="O4409" i="1"/>
  <c r="P4409" i="1" s="1"/>
  <c r="N4409" i="1"/>
  <c r="M4409" i="1"/>
  <c r="L4409" i="1"/>
  <c r="K4409" i="1"/>
  <c r="I4409" i="1"/>
  <c r="O4408" i="1"/>
  <c r="P4408" i="1" s="1"/>
  <c r="N4408" i="1"/>
  <c r="M4408" i="1"/>
  <c r="L4408" i="1"/>
  <c r="K4408" i="1"/>
  <c r="I4408" i="1"/>
  <c r="O4407" i="1"/>
  <c r="P4407" i="1" s="1"/>
  <c r="N4407" i="1"/>
  <c r="M4407" i="1"/>
  <c r="L4407" i="1"/>
  <c r="K4407" i="1"/>
  <c r="I4407" i="1"/>
  <c r="O4406" i="1"/>
  <c r="P4406" i="1" s="1"/>
  <c r="N4406" i="1"/>
  <c r="M4406" i="1"/>
  <c r="L4406" i="1"/>
  <c r="K4406" i="1"/>
  <c r="I4406" i="1"/>
  <c r="O4405" i="1"/>
  <c r="P4405" i="1" s="1"/>
  <c r="N4405" i="1"/>
  <c r="M4405" i="1"/>
  <c r="L4405" i="1"/>
  <c r="K4405" i="1"/>
  <c r="I4405" i="1"/>
  <c r="O4404" i="1"/>
  <c r="P4404" i="1" s="1"/>
  <c r="N4404" i="1"/>
  <c r="M4404" i="1"/>
  <c r="L4404" i="1"/>
  <c r="K4404" i="1"/>
  <c r="I4404" i="1"/>
  <c r="O4403" i="1"/>
  <c r="P4403" i="1" s="1"/>
  <c r="N4403" i="1"/>
  <c r="M4403" i="1"/>
  <c r="L4403" i="1"/>
  <c r="K4403" i="1"/>
  <c r="I4403" i="1"/>
  <c r="O4402" i="1"/>
  <c r="P4402" i="1" s="1"/>
  <c r="N4402" i="1"/>
  <c r="M4402" i="1"/>
  <c r="L4402" i="1"/>
  <c r="K4402" i="1"/>
  <c r="I4402" i="1"/>
  <c r="O4401" i="1"/>
  <c r="P4401" i="1" s="1"/>
  <c r="N4401" i="1"/>
  <c r="M4401" i="1"/>
  <c r="L4401" i="1"/>
  <c r="K4401" i="1"/>
  <c r="I4401" i="1"/>
  <c r="O4400" i="1"/>
  <c r="P4400" i="1" s="1"/>
  <c r="N4400" i="1"/>
  <c r="M4400" i="1"/>
  <c r="L4400" i="1"/>
  <c r="K4400" i="1"/>
  <c r="I4400" i="1"/>
  <c r="O4399" i="1"/>
  <c r="P4399" i="1" s="1"/>
  <c r="N4399" i="1"/>
  <c r="M4399" i="1"/>
  <c r="L4399" i="1"/>
  <c r="K4399" i="1"/>
  <c r="I4399" i="1"/>
  <c r="O4398" i="1"/>
  <c r="P4398" i="1" s="1"/>
  <c r="N4398" i="1"/>
  <c r="M4398" i="1"/>
  <c r="L4398" i="1"/>
  <c r="K4398" i="1"/>
  <c r="I4398" i="1"/>
  <c r="O4397" i="1"/>
  <c r="P4397" i="1" s="1"/>
  <c r="N4397" i="1"/>
  <c r="M4397" i="1"/>
  <c r="L4397" i="1"/>
  <c r="K4397" i="1"/>
  <c r="I4397" i="1"/>
  <c r="O4396" i="1"/>
  <c r="P4396" i="1" s="1"/>
  <c r="N4396" i="1"/>
  <c r="M4396" i="1"/>
  <c r="L4396" i="1"/>
  <c r="K4396" i="1"/>
  <c r="I4396" i="1"/>
  <c r="O4395" i="1"/>
  <c r="P4395" i="1" s="1"/>
  <c r="N4395" i="1"/>
  <c r="M4395" i="1"/>
  <c r="L4395" i="1"/>
  <c r="K4395" i="1"/>
  <c r="I4395" i="1"/>
  <c r="O4394" i="1"/>
  <c r="P4394" i="1" s="1"/>
  <c r="N4394" i="1"/>
  <c r="M4394" i="1"/>
  <c r="L4394" i="1"/>
  <c r="K4394" i="1"/>
  <c r="I4394" i="1"/>
  <c r="O4393" i="1"/>
  <c r="P4393" i="1" s="1"/>
  <c r="N4393" i="1"/>
  <c r="M4393" i="1"/>
  <c r="L4393" i="1"/>
  <c r="K4393" i="1"/>
  <c r="I4393" i="1"/>
  <c r="O4392" i="1"/>
  <c r="P4392" i="1" s="1"/>
  <c r="N4392" i="1"/>
  <c r="M4392" i="1"/>
  <c r="L4392" i="1"/>
  <c r="K4392" i="1"/>
  <c r="I4392" i="1"/>
  <c r="O4391" i="1"/>
  <c r="P4391" i="1" s="1"/>
  <c r="N4391" i="1"/>
  <c r="M4391" i="1"/>
  <c r="L4391" i="1"/>
  <c r="K4391" i="1"/>
  <c r="I4391" i="1"/>
  <c r="O4390" i="1"/>
  <c r="P4390" i="1" s="1"/>
  <c r="N4390" i="1"/>
  <c r="M4390" i="1"/>
  <c r="L4390" i="1"/>
  <c r="K4390" i="1"/>
  <c r="I4390" i="1"/>
  <c r="O4389" i="1"/>
  <c r="P4389" i="1" s="1"/>
  <c r="N4389" i="1"/>
  <c r="M4389" i="1"/>
  <c r="L4389" i="1"/>
  <c r="K4389" i="1"/>
  <c r="I4389" i="1"/>
  <c r="O4388" i="1"/>
  <c r="P4388" i="1" s="1"/>
  <c r="N4388" i="1"/>
  <c r="M4388" i="1"/>
  <c r="L4388" i="1"/>
  <c r="K4388" i="1"/>
  <c r="I4388" i="1"/>
  <c r="O4387" i="1"/>
  <c r="P4387" i="1" s="1"/>
  <c r="N4387" i="1"/>
  <c r="M4387" i="1"/>
  <c r="L4387" i="1"/>
  <c r="K4387" i="1"/>
  <c r="I4387" i="1"/>
  <c r="O4386" i="1"/>
  <c r="P4386" i="1" s="1"/>
  <c r="N4386" i="1"/>
  <c r="M4386" i="1"/>
  <c r="L4386" i="1"/>
  <c r="K4386" i="1"/>
  <c r="I4386" i="1"/>
  <c r="O4385" i="1"/>
  <c r="P4385" i="1" s="1"/>
  <c r="N4385" i="1"/>
  <c r="M4385" i="1"/>
  <c r="L4385" i="1"/>
  <c r="K4385" i="1"/>
  <c r="I4385" i="1"/>
  <c r="O4384" i="1"/>
  <c r="P4384" i="1" s="1"/>
  <c r="N4384" i="1"/>
  <c r="M4384" i="1"/>
  <c r="L4384" i="1"/>
  <c r="K4384" i="1"/>
  <c r="I4384" i="1"/>
  <c r="O4383" i="1"/>
  <c r="P4383" i="1" s="1"/>
  <c r="N4383" i="1"/>
  <c r="M4383" i="1"/>
  <c r="L4383" i="1"/>
  <c r="K4383" i="1"/>
  <c r="I4383" i="1"/>
  <c r="O4382" i="1"/>
  <c r="P4382" i="1" s="1"/>
  <c r="N4382" i="1"/>
  <c r="M4382" i="1"/>
  <c r="L4382" i="1"/>
  <c r="K4382" i="1"/>
  <c r="I4382" i="1"/>
  <c r="O4381" i="1"/>
  <c r="P4381" i="1" s="1"/>
  <c r="N4381" i="1"/>
  <c r="M4381" i="1"/>
  <c r="L4381" i="1"/>
  <c r="K4381" i="1"/>
  <c r="I4381" i="1"/>
  <c r="O4380" i="1"/>
  <c r="P4380" i="1" s="1"/>
  <c r="N4380" i="1"/>
  <c r="M4380" i="1"/>
  <c r="L4380" i="1"/>
  <c r="K4380" i="1"/>
  <c r="I4380" i="1"/>
  <c r="O4379" i="1"/>
  <c r="P4379" i="1" s="1"/>
  <c r="N4379" i="1"/>
  <c r="M4379" i="1"/>
  <c r="L4379" i="1"/>
  <c r="K4379" i="1"/>
  <c r="I4379" i="1"/>
  <c r="O4378" i="1"/>
  <c r="P4378" i="1" s="1"/>
  <c r="N4378" i="1"/>
  <c r="M4378" i="1"/>
  <c r="L4378" i="1"/>
  <c r="K4378" i="1"/>
  <c r="I4378" i="1"/>
  <c r="O4377" i="1"/>
  <c r="P4377" i="1" s="1"/>
  <c r="N4377" i="1"/>
  <c r="M4377" i="1"/>
  <c r="L4377" i="1"/>
  <c r="K4377" i="1"/>
  <c r="I4377" i="1"/>
  <c r="O4376" i="1"/>
  <c r="P4376" i="1" s="1"/>
  <c r="N4376" i="1"/>
  <c r="M4376" i="1"/>
  <c r="L4376" i="1"/>
  <c r="K4376" i="1"/>
  <c r="I4376" i="1"/>
  <c r="O4375" i="1"/>
  <c r="P4375" i="1" s="1"/>
  <c r="N4375" i="1"/>
  <c r="M4375" i="1"/>
  <c r="L4375" i="1"/>
  <c r="K4375" i="1"/>
  <c r="I4375" i="1"/>
  <c r="O4374" i="1"/>
  <c r="P4374" i="1" s="1"/>
  <c r="N4374" i="1"/>
  <c r="M4374" i="1"/>
  <c r="L4374" i="1"/>
  <c r="K4374" i="1"/>
  <c r="I4374" i="1"/>
  <c r="O4373" i="1"/>
  <c r="P4373" i="1" s="1"/>
  <c r="N4373" i="1"/>
  <c r="M4373" i="1"/>
  <c r="L4373" i="1"/>
  <c r="K4373" i="1"/>
  <c r="I4373" i="1"/>
  <c r="O4372" i="1"/>
  <c r="P4372" i="1" s="1"/>
  <c r="N4372" i="1"/>
  <c r="M4372" i="1"/>
  <c r="L4372" i="1"/>
  <c r="K4372" i="1"/>
  <c r="I4372" i="1"/>
  <c r="O4371" i="1"/>
  <c r="P4371" i="1" s="1"/>
  <c r="N4371" i="1"/>
  <c r="M4371" i="1"/>
  <c r="L4371" i="1"/>
  <c r="K4371" i="1"/>
  <c r="I4371" i="1"/>
  <c r="O4370" i="1"/>
  <c r="P4370" i="1" s="1"/>
  <c r="N4370" i="1"/>
  <c r="M4370" i="1"/>
  <c r="L4370" i="1"/>
  <c r="K4370" i="1"/>
  <c r="I4370" i="1"/>
  <c r="O4369" i="1"/>
  <c r="P4369" i="1" s="1"/>
  <c r="N4369" i="1"/>
  <c r="M4369" i="1"/>
  <c r="L4369" i="1"/>
  <c r="K4369" i="1"/>
  <c r="I4369" i="1"/>
  <c r="O4368" i="1"/>
  <c r="P4368" i="1" s="1"/>
  <c r="N4368" i="1"/>
  <c r="M4368" i="1"/>
  <c r="L4368" i="1"/>
  <c r="K4368" i="1"/>
  <c r="I4368" i="1"/>
  <c r="O4367" i="1"/>
  <c r="P4367" i="1" s="1"/>
  <c r="N4367" i="1"/>
  <c r="M4367" i="1"/>
  <c r="L4367" i="1"/>
  <c r="K4367" i="1"/>
  <c r="I4367" i="1"/>
  <c r="O4366" i="1"/>
  <c r="P4366" i="1" s="1"/>
  <c r="N4366" i="1"/>
  <c r="M4366" i="1"/>
  <c r="L4366" i="1"/>
  <c r="K4366" i="1"/>
  <c r="I4366" i="1"/>
  <c r="O4365" i="1"/>
  <c r="P4365" i="1" s="1"/>
  <c r="N4365" i="1"/>
  <c r="M4365" i="1"/>
  <c r="L4365" i="1"/>
  <c r="K4365" i="1"/>
  <c r="I4365" i="1"/>
  <c r="O4364" i="1"/>
  <c r="P4364" i="1" s="1"/>
  <c r="N4364" i="1"/>
  <c r="M4364" i="1"/>
  <c r="L4364" i="1"/>
  <c r="K4364" i="1"/>
  <c r="I4364" i="1"/>
  <c r="O4363" i="1"/>
  <c r="P4363" i="1" s="1"/>
  <c r="N4363" i="1"/>
  <c r="M4363" i="1"/>
  <c r="L4363" i="1"/>
  <c r="K4363" i="1"/>
  <c r="I4363" i="1"/>
  <c r="O4362" i="1"/>
  <c r="P4362" i="1" s="1"/>
  <c r="N4362" i="1"/>
  <c r="M4362" i="1"/>
  <c r="L4362" i="1"/>
  <c r="K4362" i="1"/>
  <c r="I4362" i="1"/>
  <c r="O4361" i="1"/>
  <c r="P4361" i="1" s="1"/>
  <c r="N4361" i="1"/>
  <c r="M4361" i="1"/>
  <c r="L4361" i="1"/>
  <c r="K4361" i="1"/>
  <c r="I4361" i="1"/>
  <c r="O4360" i="1"/>
  <c r="P4360" i="1" s="1"/>
  <c r="N4360" i="1"/>
  <c r="M4360" i="1"/>
  <c r="L4360" i="1"/>
  <c r="K4360" i="1"/>
  <c r="I4360" i="1"/>
  <c r="O4359" i="1"/>
  <c r="P4359" i="1" s="1"/>
  <c r="N4359" i="1"/>
  <c r="M4359" i="1"/>
  <c r="L4359" i="1"/>
  <c r="K4359" i="1"/>
  <c r="I4359" i="1"/>
  <c r="O4358" i="1"/>
  <c r="P4358" i="1" s="1"/>
  <c r="N4358" i="1"/>
  <c r="M4358" i="1"/>
  <c r="L4358" i="1"/>
  <c r="K4358" i="1"/>
  <c r="I4358" i="1"/>
  <c r="O4357" i="1"/>
  <c r="P4357" i="1" s="1"/>
  <c r="N4357" i="1"/>
  <c r="M4357" i="1"/>
  <c r="L4357" i="1"/>
  <c r="K4357" i="1"/>
  <c r="I4357" i="1"/>
  <c r="O4356" i="1"/>
  <c r="P4356" i="1" s="1"/>
  <c r="N4356" i="1"/>
  <c r="M4356" i="1"/>
  <c r="L4356" i="1"/>
  <c r="K4356" i="1"/>
  <c r="I4356" i="1"/>
  <c r="O4355" i="1"/>
  <c r="P4355" i="1" s="1"/>
  <c r="N4355" i="1"/>
  <c r="M4355" i="1"/>
  <c r="L4355" i="1"/>
  <c r="K4355" i="1"/>
  <c r="I4355" i="1"/>
  <c r="O4354" i="1"/>
  <c r="P4354" i="1" s="1"/>
  <c r="N4354" i="1"/>
  <c r="M4354" i="1"/>
  <c r="L4354" i="1"/>
  <c r="K4354" i="1"/>
  <c r="I4354" i="1"/>
  <c r="O4353" i="1"/>
  <c r="P4353" i="1" s="1"/>
  <c r="N4353" i="1"/>
  <c r="M4353" i="1"/>
  <c r="L4353" i="1"/>
  <c r="K4353" i="1"/>
  <c r="I4353" i="1"/>
  <c r="O4352" i="1"/>
  <c r="P4352" i="1" s="1"/>
  <c r="N4352" i="1"/>
  <c r="M4352" i="1"/>
  <c r="L4352" i="1"/>
  <c r="K4352" i="1"/>
  <c r="I4352" i="1"/>
  <c r="O4351" i="1"/>
  <c r="P4351" i="1" s="1"/>
  <c r="N4351" i="1"/>
  <c r="M4351" i="1"/>
  <c r="L4351" i="1"/>
  <c r="K4351" i="1"/>
  <c r="I4351" i="1"/>
  <c r="O4350" i="1"/>
  <c r="P4350" i="1" s="1"/>
  <c r="N4350" i="1"/>
  <c r="M4350" i="1"/>
  <c r="L4350" i="1"/>
  <c r="K4350" i="1"/>
  <c r="I4350" i="1"/>
  <c r="O4349" i="1"/>
  <c r="P4349" i="1" s="1"/>
  <c r="N4349" i="1"/>
  <c r="M4349" i="1"/>
  <c r="L4349" i="1"/>
  <c r="K4349" i="1"/>
  <c r="I4349" i="1"/>
  <c r="O4348" i="1"/>
  <c r="P4348" i="1" s="1"/>
  <c r="N4348" i="1"/>
  <c r="M4348" i="1"/>
  <c r="L4348" i="1"/>
  <c r="K4348" i="1"/>
  <c r="I4348" i="1"/>
  <c r="O4347" i="1"/>
  <c r="P4347" i="1" s="1"/>
  <c r="N4347" i="1"/>
  <c r="M4347" i="1"/>
  <c r="L4347" i="1"/>
  <c r="K4347" i="1"/>
  <c r="I4347" i="1"/>
  <c r="O4346" i="1"/>
  <c r="P4346" i="1" s="1"/>
  <c r="N4346" i="1"/>
  <c r="M4346" i="1"/>
  <c r="L4346" i="1"/>
  <c r="K4346" i="1"/>
  <c r="I4346" i="1"/>
  <c r="O4345" i="1"/>
  <c r="P4345" i="1" s="1"/>
  <c r="N4345" i="1"/>
  <c r="M4345" i="1"/>
  <c r="L4345" i="1"/>
  <c r="K4345" i="1"/>
  <c r="I4345" i="1"/>
  <c r="O4344" i="1"/>
  <c r="P4344" i="1" s="1"/>
  <c r="N4344" i="1"/>
  <c r="M4344" i="1"/>
  <c r="L4344" i="1"/>
  <c r="K4344" i="1"/>
  <c r="I4344" i="1"/>
  <c r="O4343" i="1"/>
  <c r="P4343" i="1" s="1"/>
  <c r="N4343" i="1"/>
  <c r="M4343" i="1"/>
  <c r="L4343" i="1"/>
  <c r="K4343" i="1"/>
  <c r="I4343" i="1"/>
  <c r="O4342" i="1"/>
  <c r="P4342" i="1" s="1"/>
  <c r="N4342" i="1"/>
  <c r="M4342" i="1"/>
  <c r="L4342" i="1"/>
  <c r="K4342" i="1"/>
  <c r="I4342" i="1"/>
  <c r="O4341" i="1"/>
  <c r="P4341" i="1" s="1"/>
  <c r="N4341" i="1"/>
  <c r="M4341" i="1"/>
  <c r="L4341" i="1"/>
  <c r="K4341" i="1"/>
  <c r="I4341" i="1"/>
  <c r="O4340" i="1"/>
  <c r="P4340" i="1" s="1"/>
  <c r="N4340" i="1"/>
  <c r="M4340" i="1"/>
  <c r="L4340" i="1"/>
  <c r="K4340" i="1"/>
  <c r="I4340" i="1"/>
  <c r="O4339" i="1"/>
  <c r="P4339" i="1" s="1"/>
  <c r="N4339" i="1"/>
  <c r="M4339" i="1"/>
  <c r="L4339" i="1"/>
  <c r="K4339" i="1"/>
  <c r="I4339" i="1"/>
  <c r="O4338" i="1"/>
  <c r="P4338" i="1" s="1"/>
  <c r="N4338" i="1"/>
  <c r="M4338" i="1"/>
  <c r="L4338" i="1"/>
  <c r="K4338" i="1"/>
  <c r="I4338" i="1"/>
  <c r="O4337" i="1"/>
  <c r="P4337" i="1" s="1"/>
  <c r="N4337" i="1"/>
  <c r="M4337" i="1"/>
  <c r="L4337" i="1"/>
  <c r="K4337" i="1"/>
  <c r="I4337" i="1"/>
  <c r="O4336" i="1"/>
  <c r="P4336" i="1" s="1"/>
  <c r="N4336" i="1"/>
  <c r="M4336" i="1"/>
  <c r="L4336" i="1"/>
  <c r="K4336" i="1"/>
  <c r="I4336" i="1"/>
  <c r="O4335" i="1"/>
  <c r="P4335" i="1" s="1"/>
  <c r="N4335" i="1"/>
  <c r="M4335" i="1"/>
  <c r="L4335" i="1"/>
  <c r="K4335" i="1"/>
  <c r="I4335" i="1"/>
  <c r="O4334" i="1"/>
  <c r="P4334" i="1" s="1"/>
  <c r="N4334" i="1"/>
  <c r="M4334" i="1"/>
  <c r="L4334" i="1"/>
  <c r="K4334" i="1"/>
  <c r="I4334" i="1"/>
  <c r="O4333" i="1"/>
  <c r="P4333" i="1" s="1"/>
  <c r="N4333" i="1"/>
  <c r="M4333" i="1"/>
  <c r="L4333" i="1"/>
  <c r="K4333" i="1"/>
  <c r="I4333" i="1"/>
  <c r="O4332" i="1"/>
  <c r="P4332" i="1" s="1"/>
  <c r="N4332" i="1"/>
  <c r="M4332" i="1"/>
  <c r="L4332" i="1"/>
  <c r="K4332" i="1"/>
  <c r="I4332" i="1"/>
  <c r="O4331" i="1"/>
  <c r="P4331" i="1" s="1"/>
  <c r="N4331" i="1"/>
  <c r="M4331" i="1"/>
  <c r="L4331" i="1"/>
  <c r="K4331" i="1"/>
  <c r="I4331" i="1"/>
  <c r="O4330" i="1"/>
  <c r="P4330" i="1" s="1"/>
  <c r="N4330" i="1"/>
  <c r="M4330" i="1"/>
  <c r="L4330" i="1"/>
  <c r="K4330" i="1"/>
  <c r="I4330" i="1"/>
  <c r="O4329" i="1"/>
  <c r="P4329" i="1" s="1"/>
  <c r="N4329" i="1"/>
  <c r="M4329" i="1"/>
  <c r="L4329" i="1"/>
  <c r="K4329" i="1"/>
  <c r="I4329" i="1"/>
  <c r="O4328" i="1"/>
  <c r="P4328" i="1" s="1"/>
  <c r="N4328" i="1"/>
  <c r="M4328" i="1"/>
  <c r="L4328" i="1"/>
  <c r="K4328" i="1"/>
  <c r="I4328" i="1"/>
  <c r="O4327" i="1"/>
  <c r="P4327" i="1" s="1"/>
  <c r="N4327" i="1"/>
  <c r="M4327" i="1"/>
  <c r="L4327" i="1"/>
  <c r="K4327" i="1"/>
  <c r="I4327" i="1"/>
  <c r="O4326" i="1"/>
  <c r="P4326" i="1" s="1"/>
  <c r="N4326" i="1"/>
  <c r="M4326" i="1"/>
  <c r="L4326" i="1"/>
  <c r="K4326" i="1"/>
  <c r="I4326" i="1"/>
  <c r="O4325" i="1"/>
  <c r="P4325" i="1" s="1"/>
  <c r="N4325" i="1"/>
  <c r="M4325" i="1"/>
  <c r="L4325" i="1"/>
  <c r="K4325" i="1"/>
  <c r="I4325" i="1"/>
  <c r="O4324" i="1"/>
  <c r="P4324" i="1" s="1"/>
  <c r="N4324" i="1"/>
  <c r="M4324" i="1"/>
  <c r="L4324" i="1"/>
  <c r="K4324" i="1"/>
  <c r="I4324" i="1"/>
  <c r="O4323" i="1"/>
  <c r="P4323" i="1" s="1"/>
  <c r="N4323" i="1"/>
  <c r="M4323" i="1"/>
  <c r="L4323" i="1"/>
  <c r="K4323" i="1"/>
  <c r="I4323" i="1"/>
  <c r="O4322" i="1"/>
  <c r="P4322" i="1" s="1"/>
  <c r="N4322" i="1"/>
  <c r="M4322" i="1"/>
  <c r="L4322" i="1"/>
  <c r="K4322" i="1"/>
  <c r="I4322" i="1"/>
  <c r="O4321" i="1"/>
  <c r="P4321" i="1" s="1"/>
  <c r="N4321" i="1"/>
  <c r="M4321" i="1"/>
  <c r="L4321" i="1"/>
  <c r="K4321" i="1"/>
  <c r="I4321" i="1"/>
  <c r="O4320" i="1"/>
  <c r="P4320" i="1" s="1"/>
  <c r="N4320" i="1"/>
  <c r="M4320" i="1"/>
  <c r="L4320" i="1"/>
  <c r="K4320" i="1"/>
  <c r="I4320" i="1"/>
  <c r="O4319" i="1"/>
  <c r="P4319" i="1" s="1"/>
  <c r="N4319" i="1"/>
  <c r="M4319" i="1"/>
  <c r="L4319" i="1"/>
  <c r="K4319" i="1"/>
  <c r="I4319" i="1"/>
  <c r="O4318" i="1"/>
  <c r="P4318" i="1" s="1"/>
  <c r="N4318" i="1"/>
  <c r="M4318" i="1"/>
  <c r="L4318" i="1"/>
  <c r="K4318" i="1"/>
  <c r="I4318" i="1"/>
  <c r="O4317" i="1"/>
  <c r="P4317" i="1" s="1"/>
  <c r="N4317" i="1"/>
  <c r="M4317" i="1"/>
  <c r="L4317" i="1"/>
  <c r="K4317" i="1"/>
  <c r="I4317" i="1"/>
  <c r="O4316" i="1"/>
  <c r="P4316" i="1" s="1"/>
  <c r="N4316" i="1"/>
  <c r="M4316" i="1"/>
  <c r="L4316" i="1"/>
  <c r="K4316" i="1"/>
  <c r="I4316" i="1"/>
  <c r="O4315" i="1"/>
  <c r="P4315" i="1" s="1"/>
  <c r="N4315" i="1"/>
  <c r="M4315" i="1"/>
  <c r="L4315" i="1"/>
  <c r="K4315" i="1"/>
  <c r="I4315" i="1"/>
  <c r="O4314" i="1"/>
  <c r="P4314" i="1" s="1"/>
  <c r="N4314" i="1"/>
  <c r="M4314" i="1"/>
  <c r="L4314" i="1"/>
  <c r="K4314" i="1"/>
  <c r="I4314" i="1"/>
  <c r="O4313" i="1"/>
  <c r="P4313" i="1" s="1"/>
  <c r="N4313" i="1"/>
  <c r="M4313" i="1"/>
  <c r="L4313" i="1"/>
  <c r="K4313" i="1"/>
  <c r="I4313" i="1"/>
  <c r="O4312" i="1"/>
  <c r="P4312" i="1" s="1"/>
  <c r="N4312" i="1"/>
  <c r="M4312" i="1"/>
  <c r="L4312" i="1"/>
  <c r="K4312" i="1"/>
  <c r="I4312" i="1"/>
  <c r="O4311" i="1"/>
  <c r="P4311" i="1" s="1"/>
  <c r="N4311" i="1"/>
  <c r="M4311" i="1"/>
  <c r="L4311" i="1"/>
  <c r="K4311" i="1"/>
  <c r="I4311" i="1"/>
  <c r="O4310" i="1"/>
  <c r="P4310" i="1" s="1"/>
  <c r="N4310" i="1"/>
  <c r="M4310" i="1"/>
  <c r="L4310" i="1"/>
  <c r="K4310" i="1"/>
  <c r="I4310" i="1"/>
  <c r="O4309" i="1"/>
  <c r="P4309" i="1" s="1"/>
  <c r="N4309" i="1"/>
  <c r="M4309" i="1"/>
  <c r="L4309" i="1"/>
  <c r="K4309" i="1"/>
  <c r="I4309" i="1"/>
  <c r="O4308" i="1"/>
  <c r="P4308" i="1" s="1"/>
  <c r="N4308" i="1"/>
  <c r="M4308" i="1"/>
  <c r="L4308" i="1"/>
  <c r="K4308" i="1"/>
  <c r="I4308" i="1"/>
  <c r="O4307" i="1"/>
  <c r="P4307" i="1" s="1"/>
  <c r="N4307" i="1"/>
  <c r="M4307" i="1"/>
  <c r="L4307" i="1"/>
  <c r="K4307" i="1"/>
  <c r="I4307" i="1"/>
  <c r="O4306" i="1"/>
  <c r="P4306" i="1" s="1"/>
  <c r="N4306" i="1"/>
  <c r="M4306" i="1"/>
  <c r="L4306" i="1"/>
  <c r="K4306" i="1"/>
  <c r="I4306" i="1"/>
  <c r="O4305" i="1"/>
  <c r="P4305" i="1" s="1"/>
  <c r="N4305" i="1"/>
  <c r="M4305" i="1"/>
  <c r="L4305" i="1"/>
  <c r="K4305" i="1"/>
  <c r="I4305" i="1"/>
  <c r="O4304" i="1"/>
  <c r="P4304" i="1" s="1"/>
  <c r="N4304" i="1"/>
  <c r="M4304" i="1"/>
  <c r="L4304" i="1"/>
  <c r="K4304" i="1"/>
  <c r="I4304" i="1"/>
  <c r="O4303" i="1"/>
  <c r="P4303" i="1" s="1"/>
  <c r="N4303" i="1"/>
  <c r="M4303" i="1"/>
  <c r="L4303" i="1"/>
  <c r="K4303" i="1"/>
  <c r="I4303" i="1"/>
  <c r="O4302" i="1"/>
  <c r="P4302" i="1" s="1"/>
  <c r="N4302" i="1"/>
  <c r="M4302" i="1"/>
  <c r="L4302" i="1"/>
  <c r="K4302" i="1"/>
  <c r="I4302" i="1"/>
  <c r="O4301" i="1"/>
  <c r="P4301" i="1" s="1"/>
  <c r="N4301" i="1"/>
  <c r="M4301" i="1"/>
  <c r="L4301" i="1"/>
  <c r="K4301" i="1"/>
  <c r="I4301" i="1"/>
  <c r="O4300" i="1"/>
  <c r="P4300" i="1" s="1"/>
  <c r="N4300" i="1"/>
  <c r="M4300" i="1"/>
  <c r="L4300" i="1"/>
  <c r="K4300" i="1"/>
  <c r="I4300" i="1"/>
  <c r="O4299" i="1"/>
  <c r="P4299" i="1" s="1"/>
  <c r="N4299" i="1"/>
  <c r="M4299" i="1"/>
  <c r="L4299" i="1"/>
  <c r="K4299" i="1"/>
  <c r="I4299" i="1"/>
  <c r="O4298" i="1"/>
  <c r="P4298" i="1" s="1"/>
  <c r="N4298" i="1"/>
  <c r="M4298" i="1"/>
  <c r="L4298" i="1"/>
  <c r="K4298" i="1"/>
  <c r="I4298" i="1"/>
  <c r="O4297" i="1"/>
  <c r="P4297" i="1" s="1"/>
  <c r="N4297" i="1"/>
  <c r="M4297" i="1"/>
  <c r="L4297" i="1"/>
  <c r="K4297" i="1"/>
  <c r="I4297" i="1"/>
  <c r="O4296" i="1"/>
  <c r="P4296" i="1" s="1"/>
  <c r="N4296" i="1"/>
  <c r="M4296" i="1"/>
  <c r="L4296" i="1"/>
  <c r="K4296" i="1"/>
  <c r="I4296" i="1"/>
  <c r="O4295" i="1"/>
  <c r="P4295" i="1" s="1"/>
  <c r="N4295" i="1"/>
  <c r="M4295" i="1"/>
  <c r="L4295" i="1"/>
  <c r="K4295" i="1"/>
  <c r="I4295" i="1"/>
  <c r="O4294" i="1"/>
  <c r="P4294" i="1" s="1"/>
  <c r="N4294" i="1"/>
  <c r="M4294" i="1"/>
  <c r="L4294" i="1"/>
  <c r="K4294" i="1"/>
  <c r="I4294" i="1"/>
  <c r="O4293" i="1"/>
  <c r="P4293" i="1" s="1"/>
  <c r="N4293" i="1"/>
  <c r="M4293" i="1"/>
  <c r="L4293" i="1"/>
  <c r="K4293" i="1"/>
  <c r="I4293" i="1"/>
  <c r="O4292" i="1"/>
  <c r="P4292" i="1" s="1"/>
  <c r="N4292" i="1"/>
  <c r="M4292" i="1"/>
  <c r="L4292" i="1"/>
  <c r="K4292" i="1"/>
  <c r="I4292" i="1"/>
  <c r="O4291" i="1"/>
  <c r="P4291" i="1" s="1"/>
  <c r="N4291" i="1"/>
  <c r="M4291" i="1"/>
  <c r="L4291" i="1"/>
  <c r="K4291" i="1"/>
  <c r="I4291" i="1"/>
  <c r="O4290" i="1"/>
  <c r="P4290" i="1" s="1"/>
  <c r="N4290" i="1"/>
  <c r="M4290" i="1"/>
  <c r="L4290" i="1"/>
  <c r="K4290" i="1"/>
  <c r="I4290" i="1"/>
  <c r="O4289" i="1"/>
  <c r="P4289" i="1" s="1"/>
  <c r="N4289" i="1"/>
  <c r="M4289" i="1"/>
  <c r="L4289" i="1"/>
  <c r="K4289" i="1"/>
  <c r="I4289" i="1"/>
  <c r="O4288" i="1"/>
  <c r="P4288" i="1" s="1"/>
  <c r="N4288" i="1"/>
  <c r="M4288" i="1"/>
  <c r="L4288" i="1"/>
  <c r="K4288" i="1"/>
  <c r="I4288" i="1"/>
  <c r="O4287" i="1"/>
  <c r="P4287" i="1" s="1"/>
  <c r="N4287" i="1"/>
  <c r="M4287" i="1"/>
  <c r="L4287" i="1"/>
  <c r="K4287" i="1"/>
  <c r="I4287" i="1"/>
  <c r="O4286" i="1"/>
  <c r="P4286" i="1" s="1"/>
  <c r="N4286" i="1"/>
  <c r="M4286" i="1"/>
  <c r="L4286" i="1"/>
  <c r="K4286" i="1"/>
  <c r="I4286" i="1"/>
  <c r="O4285" i="1"/>
  <c r="P4285" i="1" s="1"/>
  <c r="N4285" i="1"/>
  <c r="M4285" i="1"/>
  <c r="L4285" i="1"/>
  <c r="K4285" i="1"/>
  <c r="I4285" i="1"/>
  <c r="O4284" i="1"/>
  <c r="P4284" i="1" s="1"/>
  <c r="N4284" i="1"/>
  <c r="M4284" i="1"/>
  <c r="L4284" i="1"/>
  <c r="K4284" i="1"/>
  <c r="I4284" i="1"/>
  <c r="O4283" i="1"/>
  <c r="P4283" i="1" s="1"/>
  <c r="N4283" i="1"/>
  <c r="M4283" i="1"/>
  <c r="L4283" i="1"/>
  <c r="K4283" i="1"/>
  <c r="I4283" i="1"/>
  <c r="O4282" i="1"/>
  <c r="P4282" i="1" s="1"/>
  <c r="N4282" i="1"/>
  <c r="M4282" i="1"/>
  <c r="L4282" i="1"/>
  <c r="K4282" i="1"/>
  <c r="I4282" i="1"/>
  <c r="O4281" i="1"/>
  <c r="P4281" i="1" s="1"/>
  <c r="N4281" i="1"/>
  <c r="M4281" i="1"/>
  <c r="L4281" i="1"/>
  <c r="K4281" i="1"/>
  <c r="I4281" i="1"/>
  <c r="O4280" i="1"/>
  <c r="P4280" i="1" s="1"/>
  <c r="N4280" i="1"/>
  <c r="M4280" i="1"/>
  <c r="L4280" i="1"/>
  <c r="K4280" i="1"/>
  <c r="I4280" i="1"/>
  <c r="O4279" i="1"/>
  <c r="P4279" i="1" s="1"/>
  <c r="N4279" i="1"/>
  <c r="M4279" i="1"/>
  <c r="L4279" i="1"/>
  <c r="K4279" i="1"/>
  <c r="I4279" i="1"/>
  <c r="O4278" i="1"/>
  <c r="P4278" i="1" s="1"/>
  <c r="N4278" i="1"/>
  <c r="M4278" i="1"/>
  <c r="L4278" i="1"/>
  <c r="K4278" i="1"/>
  <c r="I4278" i="1"/>
  <c r="O4277" i="1"/>
  <c r="P4277" i="1" s="1"/>
  <c r="N4277" i="1"/>
  <c r="M4277" i="1"/>
  <c r="L4277" i="1"/>
  <c r="K4277" i="1"/>
  <c r="I4277" i="1"/>
  <c r="O4276" i="1"/>
  <c r="P4276" i="1" s="1"/>
  <c r="N4276" i="1"/>
  <c r="M4276" i="1"/>
  <c r="L4276" i="1"/>
  <c r="K4276" i="1"/>
  <c r="I4276" i="1"/>
  <c r="O4275" i="1"/>
  <c r="P4275" i="1" s="1"/>
  <c r="N4275" i="1"/>
  <c r="M4275" i="1"/>
  <c r="L4275" i="1"/>
  <c r="K4275" i="1"/>
  <c r="I4275" i="1"/>
  <c r="O4274" i="1"/>
  <c r="P4274" i="1" s="1"/>
  <c r="N4274" i="1"/>
  <c r="M4274" i="1"/>
  <c r="L4274" i="1"/>
  <c r="K4274" i="1"/>
  <c r="I4274" i="1"/>
  <c r="O4273" i="1"/>
  <c r="P4273" i="1" s="1"/>
  <c r="N4273" i="1"/>
  <c r="M4273" i="1"/>
  <c r="L4273" i="1"/>
  <c r="K4273" i="1"/>
  <c r="I4273" i="1"/>
  <c r="O4272" i="1"/>
  <c r="P4272" i="1" s="1"/>
  <c r="N4272" i="1"/>
  <c r="M4272" i="1"/>
  <c r="L4272" i="1"/>
  <c r="K4272" i="1"/>
  <c r="I4272" i="1"/>
  <c r="O4271" i="1"/>
  <c r="P4271" i="1" s="1"/>
  <c r="N4271" i="1"/>
  <c r="M4271" i="1"/>
  <c r="L4271" i="1"/>
  <c r="K4271" i="1"/>
  <c r="I4271" i="1"/>
  <c r="O4270" i="1"/>
  <c r="P4270" i="1" s="1"/>
  <c r="N4270" i="1"/>
  <c r="M4270" i="1"/>
  <c r="L4270" i="1"/>
  <c r="K4270" i="1"/>
  <c r="I4270" i="1"/>
  <c r="O4269" i="1"/>
  <c r="P4269" i="1" s="1"/>
  <c r="N4269" i="1"/>
  <c r="M4269" i="1"/>
  <c r="L4269" i="1"/>
  <c r="K4269" i="1"/>
  <c r="I4269" i="1"/>
  <c r="O4268" i="1"/>
  <c r="P4268" i="1" s="1"/>
  <c r="N4268" i="1"/>
  <c r="M4268" i="1"/>
  <c r="L4268" i="1"/>
  <c r="K4268" i="1"/>
  <c r="I4268" i="1"/>
  <c r="O4267" i="1"/>
  <c r="P4267" i="1" s="1"/>
  <c r="N4267" i="1"/>
  <c r="M4267" i="1"/>
  <c r="L4267" i="1"/>
  <c r="K4267" i="1"/>
  <c r="I4267" i="1"/>
  <c r="O4266" i="1"/>
  <c r="P4266" i="1" s="1"/>
  <c r="N4266" i="1"/>
  <c r="M4266" i="1"/>
  <c r="L4266" i="1"/>
  <c r="K4266" i="1"/>
  <c r="I4266" i="1"/>
  <c r="O4265" i="1"/>
  <c r="P4265" i="1" s="1"/>
  <c r="N4265" i="1"/>
  <c r="M4265" i="1"/>
  <c r="L4265" i="1"/>
  <c r="K4265" i="1"/>
  <c r="I4265" i="1"/>
  <c r="O4264" i="1"/>
  <c r="P4264" i="1" s="1"/>
  <c r="N4264" i="1"/>
  <c r="M4264" i="1"/>
  <c r="L4264" i="1"/>
  <c r="K4264" i="1"/>
  <c r="I4264" i="1"/>
  <c r="O4263" i="1"/>
  <c r="P4263" i="1" s="1"/>
  <c r="N4263" i="1"/>
  <c r="M4263" i="1"/>
  <c r="L4263" i="1"/>
  <c r="K4263" i="1"/>
  <c r="I4263" i="1"/>
  <c r="O4262" i="1"/>
  <c r="P4262" i="1" s="1"/>
  <c r="N4262" i="1"/>
  <c r="M4262" i="1"/>
  <c r="L4262" i="1"/>
  <c r="K4262" i="1"/>
  <c r="I4262" i="1"/>
  <c r="O4261" i="1"/>
  <c r="P4261" i="1" s="1"/>
  <c r="N4261" i="1"/>
  <c r="M4261" i="1"/>
  <c r="L4261" i="1"/>
  <c r="K4261" i="1"/>
  <c r="I4261" i="1"/>
  <c r="O4260" i="1"/>
  <c r="P4260" i="1" s="1"/>
  <c r="N4260" i="1"/>
  <c r="M4260" i="1"/>
  <c r="L4260" i="1"/>
  <c r="K4260" i="1"/>
  <c r="I4260" i="1"/>
  <c r="O4259" i="1"/>
  <c r="P4259" i="1" s="1"/>
  <c r="N4259" i="1"/>
  <c r="M4259" i="1"/>
  <c r="L4259" i="1"/>
  <c r="K4259" i="1"/>
  <c r="I4259" i="1"/>
  <c r="O4258" i="1"/>
  <c r="P4258" i="1" s="1"/>
  <c r="N4258" i="1"/>
  <c r="M4258" i="1"/>
  <c r="L4258" i="1"/>
  <c r="K4258" i="1"/>
  <c r="I4258" i="1"/>
  <c r="O4257" i="1"/>
  <c r="P4257" i="1" s="1"/>
  <c r="N4257" i="1"/>
  <c r="M4257" i="1"/>
  <c r="L4257" i="1"/>
  <c r="K4257" i="1"/>
  <c r="I4257" i="1"/>
  <c r="O4256" i="1"/>
  <c r="P4256" i="1" s="1"/>
  <c r="N4256" i="1"/>
  <c r="M4256" i="1"/>
  <c r="L4256" i="1"/>
  <c r="K4256" i="1"/>
  <c r="I4256" i="1"/>
  <c r="O4255" i="1"/>
  <c r="P4255" i="1" s="1"/>
  <c r="N4255" i="1"/>
  <c r="M4255" i="1"/>
  <c r="L4255" i="1"/>
  <c r="K4255" i="1"/>
  <c r="I4255" i="1"/>
  <c r="O4254" i="1"/>
  <c r="P4254" i="1" s="1"/>
  <c r="N4254" i="1"/>
  <c r="M4254" i="1"/>
  <c r="L4254" i="1"/>
  <c r="K4254" i="1"/>
  <c r="I4254" i="1"/>
  <c r="O4253" i="1"/>
  <c r="P4253" i="1" s="1"/>
  <c r="N4253" i="1"/>
  <c r="M4253" i="1"/>
  <c r="L4253" i="1"/>
  <c r="K4253" i="1"/>
  <c r="I4253" i="1"/>
  <c r="O4252" i="1"/>
  <c r="P4252" i="1" s="1"/>
  <c r="N4252" i="1"/>
  <c r="M4252" i="1"/>
  <c r="L4252" i="1"/>
  <c r="K4252" i="1"/>
  <c r="I4252" i="1"/>
  <c r="O4251" i="1"/>
  <c r="P4251" i="1" s="1"/>
  <c r="N4251" i="1"/>
  <c r="M4251" i="1"/>
  <c r="L4251" i="1"/>
  <c r="K4251" i="1"/>
  <c r="I4251" i="1"/>
  <c r="O4250" i="1"/>
  <c r="P4250" i="1" s="1"/>
  <c r="N4250" i="1"/>
  <c r="M4250" i="1"/>
  <c r="L4250" i="1"/>
  <c r="K4250" i="1"/>
  <c r="I4250" i="1"/>
  <c r="O4249" i="1"/>
  <c r="P4249" i="1" s="1"/>
  <c r="N4249" i="1"/>
  <c r="M4249" i="1"/>
  <c r="L4249" i="1"/>
  <c r="K4249" i="1"/>
  <c r="I4249" i="1"/>
  <c r="O4248" i="1"/>
  <c r="P4248" i="1" s="1"/>
  <c r="N4248" i="1"/>
  <c r="M4248" i="1"/>
  <c r="L4248" i="1"/>
  <c r="K4248" i="1"/>
  <c r="I4248" i="1"/>
  <c r="O4247" i="1"/>
  <c r="P4247" i="1" s="1"/>
  <c r="N4247" i="1"/>
  <c r="M4247" i="1"/>
  <c r="L4247" i="1"/>
  <c r="K4247" i="1"/>
  <c r="I4247" i="1"/>
  <c r="O4246" i="1"/>
  <c r="P4246" i="1" s="1"/>
  <c r="N4246" i="1"/>
  <c r="M4246" i="1"/>
  <c r="L4246" i="1"/>
  <c r="K4246" i="1"/>
  <c r="I4246" i="1"/>
  <c r="O4245" i="1"/>
  <c r="P4245" i="1" s="1"/>
  <c r="N4245" i="1"/>
  <c r="M4245" i="1"/>
  <c r="L4245" i="1"/>
  <c r="K4245" i="1"/>
  <c r="I4245" i="1"/>
  <c r="O4244" i="1"/>
  <c r="P4244" i="1" s="1"/>
  <c r="N4244" i="1"/>
  <c r="M4244" i="1"/>
  <c r="L4244" i="1"/>
  <c r="K4244" i="1"/>
  <c r="I4244" i="1"/>
  <c r="O4243" i="1"/>
  <c r="P4243" i="1" s="1"/>
  <c r="N4243" i="1"/>
  <c r="M4243" i="1"/>
  <c r="L4243" i="1"/>
  <c r="K4243" i="1"/>
  <c r="I4243" i="1"/>
  <c r="O4242" i="1"/>
  <c r="P4242" i="1" s="1"/>
  <c r="N4242" i="1"/>
  <c r="M4242" i="1"/>
  <c r="L4242" i="1"/>
  <c r="K4242" i="1"/>
  <c r="I4242" i="1"/>
  <c r="O4241" i="1"/>
  <c r="P4241" i="1" s="1"/>
  <c r="N4241" i="1"/>
  <c r="M4241" i="1"/>
  <c r="L4241" i="1"/>
  <c r="K4241" i="1"/>
  <c r="I4241" i="1"/>
  <c r="O4240" i="1"/>
  <c r="P4240" i="1" s="1"/>
  <c r="N4240" i="1"/>
  <c r="M4240" i="1"/>
  <c r="L4240" i="1"/>
  <c r="K4240" i="1"/>
  <c r="I4240" i="1"/>
  <c r="O4239" i="1"/>
  <c r="P4239" i="1" s="1"/>
  <c r="N4239" i="1"/>
  <c r="M4239" i="1"/>
  <c r="L4239" i="1"/>
  <c r="K4239" i="1"/>
  <c r="I4239" i="1"/>
  <c r="O4238" i="1"/>
  <c r="P4238" i="1" s="1"/>
  <c r="N4238" i="1"/>
  <c r="M4238" i="1"/>
  <c r="L4238" i="1"/>
  <c r="K4238" i="1"/>
  <c r="I4238" i="1"/>
  <c r="O4237" i="1"/>
  <c r="P4237" i="1" s="1"/>
  <c r="N4237" i="1"/>
  <c r="M4237" i="1"/>
  <c r="L4237" i="1"/>
  <c r="K4237" i="1"/>
  <c r="I4237" i="1"/>
  <c r="O4236" i="1"/>
  <c r="P4236" i="1" s="1"/>
  <c r="N4236" i="1"/>
  <c r="M4236" i="1"/>
  <c r="L4236" i="1"/>
  <c r="K4236" i="1"/>
  <c r="I4236" i="1"/>
  <c r="O4235" i="1"/>
  <c r="P4235" i="1" s="1"/>
  <c r="N4235" i="1"/>
  <c r="M4235" i="1"/>
  <c r="L4235" i="1"/>
  <c r="K4235" i="1"/>
  <c r="I4235" i="1"/>
  <c r="O4234" i="1"/>
  <c r="P4234" i="1" s="1"/>
  <c r="N4234" i="1"/>
  <c r="M4234" i="1"/>
  <c r="L4234" i="1"/>
  <c r="K4234" i="1"/>
  <c r="I4234" i="1"/>
  <c r="O4233" i="1"/>
  <c r="P4233" i="1" s="1"/>
  <c r="N4233" i="1"/>
  <c r="M4233" i="1"/>
  <c r="L4233" i="1"/>
  <c r="K4233" i="1"/>
  <c r="I4233" i="1"/>
  <c r="O4232" i="1"/>
  <c r="P4232" i="1" s="1"/>
  <c r="N4232" i="1"/>
  <c r="M4232" i="1"/>
  <c r="L4232" i="1"/>
  <c r="K4232" i="1"/>
  <c r="I4232" i="1"/>
  <c r="O4231" i="1"/>
  <c r="P4231" i="1" s="1"/>
  <c r="N4231" i="1"/>
  <c r="M4231" i="1"/>
  <c r="L4231" i="1"/>
  <c r="K4231" i="1"/>
  <c r="I4231" i="1"/>
  <c r="O4230" i="1"/>
  <c r="P4230" i="1" s="1"/>
  <c r="N4230" i="1"/>
  <c r="M4230" i="1"/>
  <c r="L4230" i="1"/>
  <c r="K4230" i="1"/>
  <c r="I4230" i="1"/>
  <c r="O4229" i="1"/>
  <c r="P4229" i="1" s="1"/>
  <c r="N4229" i="1"/>
  <c r="M4229" i="1"/>
  <c r="L4229" i="1"/>
  <c r="K4229" i="1"/>
  <c r="I4229" i="1"/>
  <c r="O4228" i="1"/>
  <c r="P4228" i="1" s="1"/>
  <c r="N4228" i="1"/>
  <c r="M4228" i="1"/>
  <c r="L4228" i="1"/>
  <c r="K4228" i="1"/>
  <c r="I4228" i="1"/>
  <c r="O4227" i="1"/>
  <c r="P4227" i="1" s="1"/>
  <c r="N4227" i="1"/>
  <c r="M4227" i="1"/>
  <c r="L4227" i="1"/>
  <c r="K4227" i="1"/>
  <c r="I4227" i="1"/>
  <c r="O4226" i="1"/>
  <c r="P4226" i="1" s="1"/>
  <c r="N4226" i="1"/>
  <c r="M4226" i="1"/>
  <c r="L4226" i="1"/>
  <c r="K4226" i="1"/>
  <c r="I4226" i="1"/>
  <c r="O4225" i="1"/>
  <c r="P4225" i="1" s="1"/>
  <c r="N4225" i="1"/>
  <c r="M4225" i="1"/>
  <c r="L4225" i="1"/>
  <c r="K4225" i="1"/>
  <c r="I4225" i="1"/>
  <c r="O4224" i="1"/>
  <c r="P4224" i="1" s="1"/>
  <c r="N4224" i="1"/>
  <c r="M4224" i="1"/>
  <c r="L4224" i="1"/>
  <c r="K4224" i="1"/>
  <c r="I4224" i="1"/>
  <c r="O4223" i="1"/>
  <c r="P4223" i="1" s="1"/>
  <c r="N4223" i="1"/>
  <c r="M4223" i="1"/>
  <c r="L4223" i="1"/>
  <c r="K4223" i="1"/>
  <c r="I4223" i="1"/>
  <c r="O4222" i="1"/>
  <c r="P4222" i="1" s="1"/>
  <c r="N4222" i="1"/>
  <c r="M4222" i="1"/>
  <c r="L4222" i="1"/>
  <c r="K4222" i="1"/>
  <c r="I4222" i="1"/>
  <c r="O4221" i="1"/>
  <c r="P4221" i="1" s="1"/>
  <c r="N4221" i="1"/>
  <c r="M4221" i="1"/>
  <c r="L4221" i="1"/>
  <c r="K4221" i="1"/>
  <c r="I4221" i="1"/>
  <c r="O4220" i="1"/>
  <c r="P4220" i="1" s="1"/>
  <c r="N4220" i="1"/>
  <c r="M4220" i="1"/>
  <c r="L4220" i="1"/>
  <c r="K4220" i="1"/>
  <c r="I4220" i="1"/>
  <c r="O4219" i="1"/>
  <c r="P4219" i="1" s="1"/>
  <c r="N4219" i="1"/>
  <c r="M4219" i="1"/>
  <c r="L4219" i="1"/>
  <c r="K4219" i="1"/>
  <c r="I4219" i="1"/>
  <c r="O4218" i="1"/>
  <c r="P4218" i="1" s="1"/>
  <c r="N4218" i="1"/>
  <c r="M4218" i="1"/>
  <c r="L4218" i="1"/>
  <c r="K4218" i="1"/>
  <c r="I4218" i="1"/>
  <c r="O4217" i="1"/>
  <c r="P4217" i="1" s="1"/>
  <c r="N4217" i="1"/>
  <c r="M4217" i="1"/>
  <c r="L4217" i="1"/>
  <c r="K4217" i="1"/>
  <c r="I4217" i="1"/>
  <c r="O4216" i="1"/>
  <c r="P4216" i="1" s="1"/>
  <c r="N4216" i="1"/>
  <c r="M4216" i="1"/>
  <c r="L4216" i="1"/>
  <c r="K4216" i="1"/>
  <c r="I4216" i="1"/>
  <c r="O4215" i="1"/>
  <c r="P4215" i="1" s="1"/>
  <c r="N4215" i="1"/>
  <c r="M4215" i="1"/>
  <c r="L4215" i="1"/>
  <c r="K4215" i="1"/>
  <c r="I4215" i="1"/>
  <c r="O4214" i="1"/>
  <c r="P4214" i="1" s="1"/>
  <c r="N4214" i="1"/>
  <c r="M4214" i="1"/>
  <c r="L4214" i="1"/>
  <c r="K4214" i="1"/>
  <c r="I4214" i="1"/>
  <c r="O4213" i="1"/>
  <c r="P4213" i="1" s="1"/>
  <c r="N4213" i="1"/>
  <c r="M4213" i="1"/>
  <c r="L4213" i="1"/>
  <c r="K4213" i="1"/>
  <c r="I4213" i="1"/>
  <c r="O4212" i="1"/>
  <c r="P4212" i="1" s="1"/>
  <c r="N4212" i="1"/>
  <c r="M4212" i="1"/>
  <c r="L4212" i="1"/>
  <c r="K4212" i="1"/>
  <c r="I4212" i="1"/>
  <c r="O4211" i="1"/>
  <c r="P4211" i="1" s="1"/>
  <c r="N4211" i="1"/>
  <c r="M4211" i="1"/>
  <c r="L4211" i="1"/>
  <c r="K4211" i="1"/>
  <c r="I4211" i="1"/>
  <c r="O4210" i="1"/>
  <c r="P4210" i="1" s="1"/>
  <c r="N4210" i="1"/>
  <c r="M4210" i="1"/>
  <c r="L4210" i="1"/>
  <c r="K4210" i="1"/>
  <c r="I4210" i="1"/>
  <c r="O4209" i="1"/>
  <c r="P4209" i="1" s="1"/>
  <c r="N4209" i="1"/>
  <c r="M4209" i="1"/>
  <c r="L4209" i="1"/>
  <c r="K4209" i="1"/>
  <c r="I4209" i="1"/>
  <c r="O4208" i="1"/>
  <c r="P4208" i="1" s="1"/>
  <c r="N4208" i="1"/>
  <c r="M4208" i="1"/>
  <c r="L4208" i="1"/>
  <c r="K4208" i="1"/>
  <c r="I4208" i="1"/>
  <c r="O4207" i="1"/>
  <c r="P4207" i="1" s="1"/>
  <c r="N4207" i="1"/>
  <c r="M4207" i="1"/>
  <c r="L4207" i="1"/>
  <c r="K4207" i="1"/>
  <c r="I4207" i="1"/>
  <c r="O4206" i="1"/>
  <c r="P4206" i="1" s="1"/>
  <c r="N4206" i="1"/>
  <c r="M4206" i="1"/>
  <c r="L4206" i="1"/>
  <c r="K4206" i="1"/>
  <c r="I4206" i="1"/>
  <c r="O4205" i="1"/>
  <c r="P4205" i="1" s="1"/>
  <c r="N4205" i="1"/>
  <c r="M4205" i="1"/>
  <c r="L4205" i="1"/>
  <c r="K4205" i="1"/>
  <c r="I4205" i="1"/>
  <c r="O4204" i="1"/>
  <c r="P4204" i="1" s="1"/>
  <c r="N4204" i="1"/>
  <c r="M4204" i="1"/>
  <c r="L4204" i="1"/>
  <c r="K4204" i="1"/>
  <c r="I4204" i="1"/>
  <c r="O4203" i="1"/>
  <c r="P4203" i="1" s="1"/>
  <c r="N4203" i="1"/>
  <c r="M4203" i="1"/>
  <c r="L4203" i="1"/>
  <c r="K4203" i="1"/>
  <c r="I4203" i="1"/>
  <c r="O4202" i="1"/>
  <c r="P4202" i="1" s="1"/>
  <c r="N4202" i="1"/>
  <c r="M4202" i="1"/>
  <c r="L4202" i="1"/>
  <c r="K4202" i="1"/>
  <c r="I4202" i="1"/>
  <c r="O4201" i="1"/>
  <c r="P4201" i="1" s="1"/>
  <c r="N4201" i="1"/>
  <c r="M4201" i="1"/>
  <c r="L4201" i="1"/>
  <c r="K4201" i="1"/>
  <c r="I4201" i="1"/>
  <c r="O4200" i="1"/>
  <c r="P4200" i="1" s="1"/>
  <c r="N4200" i="1"/>
  <c r="M4200" i="1"/>
  <c r="L4200" i="1"/>
  <c r="K4200" i="1"/>
  <c r="I4200" i="1"/>
  <c r="O4199" i="1"/>
  <c r="P4199" i="1" s="1"/>
  <c r="N4199" i="1"/>
  <c r="M4199" i="1"/>
  <c r="L4199" i="1"/>
  <c r="K4199" i="1"/>
  <c r="I4199" i="1"/>
  <c r="O4198" i="1"/>
  <c r="P4198" i="1" s="1"/>
  <c r="N4198" i="1"/>
  <c r="M4198" i="1"/>
  <c r="L4198" i="1"/>
  <c r="K4198" i="1"/>
  <c r="I4198" i="1"/>
  <c r="O4197" i="1"/>
  <c r="P4197" i="1" s="1"/>
  <c r="N4197" i="1"/>
  <c r="M4197" i="1"/>
  <c r="L4197" i="1"/>
  <c r="K4197" i="1"/>
  <c r="I4197" i="1"/>
  <c r="O4196" i="1"/>
  <c r="P4196" i="1" s="1"/>
  <c r="N4196" i="1"/>
  <c r="M4196" i="1"/>
  <c r="L4196" i="1"/>
  <c r="K4196" i="1"/>
  <c r="I4196" i="1"/>
  <c r="O4195" i="1"/>
  <c r="P4195" i="1" s="1"/>
  <c r="N4195" i="1"/>
  <c r="M4195" i="1"/>
  <c r="L4195" i="1"/>
  <c r="K4195" i="1"/>
  <c r="I4195" i="1"/>
  <c r="O4194" i="1"/>
  <c r="P4194" i="1" s="1"/>
  <c r="N4194" i="1"/>
  <c r="M4194" i="1"/>
  <c r="L4194" i="1"/>
  <c r="K4194" i="1"/>
  <c r="I4194" i="1"/>
  <c r="O4193" i="1"/>
  <c r="P4193" i="1" s="1"/>
  <c r="N4193" i="1"/>
  <c r="M4193" i="1"/>
  <c r="L4193" i="1"/>
  <c r="K4193" i="1"/>
  <c r="I4193" i="1"/>
  <c r="O4192" i="1"/>
  <c r="P4192" i="1" s="1"/>
  <c r="N4192" i="1"/>
  <c r="M4192" i="1"/>
  <c r="L4192" i="1"/>
  <c r="K4192" i="1"/>
  <c r="I4192" i="1"/>
  <c r="O4191" i="1"/>
  <c r="P4191" i="1" s="1"/>
  <c r="N4191" i="1"/>
  <c r="M4191" i="1"/>
  <c r="L4191" i="1"/>
  <c r="K4191" i="1"/>
  <c r="I4191" i="1"/>
  <c r="O4190" i="1"/>
  <c r="P4190" i="1" s="1"/>
  <c r="N4190" i="1"/>
  <c r="M4190" i="1"/>
  <c r="L4190" i="1"/>
  <c r="K4190" i="1"/>
  <c r="I4190" i="1"/>
  <c r="O4189" i="1"/>
  <c r="P4189" i="1" s="1"/>
  <c r="N4189" i="1"/>
  <c r="M4189" i="1"/>
  <c r="L4189" i="1"/>
  <c r="K4189" i="1"/>
  <c r="I4189" i="1"/>
  <c r="O4188" i="1"/>
  <c r="P4188" i="1" s="1"/>
  <c r="N4188" i="1"/>
  <c r="M4188" i="1"/>
  <c r="L4188" i="1"/>
  <c r="K4188" i="1"/>
  <c r="I4188" i="1"/>
  <c r="O4187" i="1"/>
  <c r="P4187" i="1" s="1"/>
  <c r="N4187" i="1"/>
  <c r="M4187" i="1"/>
  <c r="L4187" i="1"/>
  <c r="K4187" i="1"/>
  <c r="I4187" i="1"/>
  <c r="O4186" i="1"/>
  <c r="P4186" i="1" s="1"/>
  <c r="N4186" i="1"/>
  <c r="M4186" i="1"/>
  <c r="L4186" i="1"/>
  <c r="K4186" i="1"/>
  <c r="I4186" i="1"/>
  <c r="O4185" i="1"/>
  <c r="P4185" i="1" s="1"/>
  <c r="N4185" i="1"/>
  <c r="M4185" i="1"/>
  <c r="L4185" i="1"/>
  <c r="K4185" i="1"/>
  <c r="I4185" i="1"/>
  <c r="O4184" i="1"/>
  <c r="P4184" i="1" s="1"/>
  <c r="N4184" i="1"/>
  <c r="M4184" i="1"/>
  <c r="L4184" i="1"/>
  <c r="K4184" i="1"/>
  <c r="I4184" i="1"/>
  <c r="O4183" i="1"/>
  <c r="P4183" i="1" s="1"/>
  <c r="N4183" i="1"/>
  <c r="M4183" i="1"/>
  <c r="L4183" i="1"/>
  <c r="K4183" i="1"/>
  <c r="I4183" i="1"/>
  <c r="O4182" i="1"/>
  <c r="P4182" i="1" s="1"/>
  <c r="N4182" i="1"/>
  <c r="M4182" i="1"/>
  <c r="L4182" i="1"/>
  <c r="K4182" i="1"/>
  <c r="I4182" i="1"/>
  <c r="O4181" i="1"/>
  <c r="P4181" i="1" s="1"/>
  <c r="N4181" i="1"/>
  <c r="M4181" i="1"/>
  <c r="L4181" i="1"/>
  <c r="K4181" i="1"/>
  <c r="I4181" i="1"/>
  <c r="O4180" i="1"/>
  <c r="P4180" i="1" s="1"/>
  <c r="N4180" i="1"/>
  <c r="M4180" i="1"/>
  <c r="L4180" i="1"/>
  <c r="K4180" i="1"/>
  <c r="I4180" i="1"/>
  <c r="O4179" i="1"/>
  <c r="P4179" i="1" s="1"/>
  <c r="N4179" i="1"/>
  <c r="M4179" i="1"/>
  <c r="L4179" i="1"/>
  <c r="K4179" i="1"/>
  <c r="I4179" i="1"/>
  <c r="O4178" i="1"/>
  <c r="P4178" i="1" s="1"/>
  <c r="N4178" i="1"/>
  <c r="M4178" i="1"/>
  <c r="L4178" i="1"/>
  <c r="K4178" i="1"/>
  <c r="I4178" i="1"/>
  <c r="O4177" i="1"/>
  <c r="P4177" i="1" s="1"/>
  <c r="N4177" i="1"/>
  <c r="M4177" i="1"/>
  <c r="L4177" i="1"/>
  <c r="K4177" i="1"/>
  <c r="I4177" i="1"/>
  <c r="O4176" i="1"/>
  <c r="P4176" i="1" s="1"/>
  <c r="N4176" i="1"/>
  <c r="M4176" i="1"/>
  <c r="L4176" i="1"/>
  <c r="K4176" i="1"/>
  <c r="I4176" i="1"/>
  <c r="O4175" i="1"/>
  <c r="P4175" i="1" s="1"/>
  <c r="N4175" i="1"/>
  <c r="M4175" i="1"/>
  <c r="L4175" i="1"/>
  <c r="K4175" i="1"/>
  <c r="I4175" i="1"/>
  <c r="O4174" i="1"/>
  <c r="P4174" i="1" s="1"/>
  <c r="N4174" i="1"/>
  <c r="M4174" i="1"/>
  <c r="L4174" i="1"/>
  <c r="K4174" i="1"/>
  <c r="I4174" i="1"/>
  <c r="O4173" i="1"/>
  <c r="P4173" i="1" s="1"/>
  <c r="N4173" i="1"/>
  <c r="M4173" i="1"/>
  <c r="L4173" i="1"/>
  <c r="K4173" i="1"/>
  <c r="I4173" i="1"/>
  <c r="O4172" i="1"/>
  <c r="P4172" i="1" s="1"/>
  <c r="N4172" i="1"/>
  <c r="M4172" i="1"/>
  <c r="L4172" i="1"/>
  <c r="K4172" i="1"/>
  <c r="I4172" i="1"/>
  <c r="O4171" i="1"/>
  <c r="P4171" i="1" s="1"/>
  <c r="N4171" i="1"/>
  <c r="M4171" i="1"/>
  <c r="L4171" i="1"/>
  <c r="K4171" i="1"/>
  <c r="I4171" i="1"/>
  <c r="O4170" i="1"/>
  <c r="P4170" i="1" s="1"/>
  <c r="N4170" i="1"/>
  <c r="M4170" i="1"/>
  <c r="L4170" i="1"/>
  <c r="K4170" i="1"/>
  <c r="I4170" i="1"/>
  <c r="O4169" i="1"/>
  <c r="P4169" i="1" s="1"/>
  <c r="N4169" i="1"/>
  <c r="M4169" i="1"/>
  <c r="L4169" i="1"/>
  <c r="K4169" i="1"/>
  <c r="I4169" i="1"/>
  <c r="O4168" i="1"/>
  <c r="P4168" i="1" s="1"/>
  <c r="N4168" i="1"/>
  <c r="M4168" i="1"/>
  <c r="L4168" i="1"/>
  <c r="K4168" i="1"/>
  <c r="I4168" i="1"/>
  <c r="O4167" i="1"/>
  <c r="P4167" i="1" s="1"/>
  <c r="N4167" i="1"/>
  <c r="M4167" i="1"/>
  <c r="L4167" i="1"/>
  <c r="K4167" i="1"/>
  <c r="I4167" i="1"/>
  <c r="O4166" i="1"/>
  <c r="P4166" i="1" s="1"/>
  <c r="N4166" i="1"/>
  <c r="M4166" i="1"/>
  <c r="L4166" i="1"/>
  <c r="K4166" i="1"/>
  <c r="I4166" i="1"/>
  <c r="O4165" i="1"/>
  <c r="P4165" i="1" s="1"/>
  <c r="N4165" i="1"/>
  <c r="M4165" i="1"/>
  <c r="L4165" i="1"/>
  <c r="K4165" i="1"/>
  <c r="I4165" i="1"/>
  <c r="O4164" i="1"/>
  <c r="P4164" i="1" s="1"/>
  <c r="N4164" i="1"/>
  <c r="M4164" i="1"/>
  <c r="L4164" i="1"/>
  <c r="K4164" i="1"/>
  <c r="I4164" i="1"/>
  <c r="O4163" i="1"/>
  <c r="P4163" i="1" s="1"/>
  <c r="N4163" i="1"/>
  <c r="M4163" i="1"/>
  <c r="L4163" i="1"/>
  <c r="K4163" i="1"/>
  <c r="I4163" i="1"/>
  <c r="O4162" i="1"/>
  <c r="P4162" i="1" s="1"/>
  <c r="N4162" i="1"/>
  <c r="M4162" i="1"/>
  <c r="L4162" i="1"/>
  <c r="K4162" i="1"/>
  <c r="I4162" i="1"/>
  <c r="O4161" i="1"/>
  <c r="P4161" i="1" s="1"/>
  <c r="N4161" i="1"/>
  <c r="M4161" i="1"/>
  <c r="L4161" i="1"/>
  <c r="K4161" i="1"/>
  <c r="I4161" i="1"/>
  <c r="O4160" i="1"/>
  <c r="P4160" i="1" s="1"/>
  <c r="N4160" i="1"/>
  <c r="M4160" i="1"/>
  <c r="L4160" i="1"/>
  <c r="K4160" i="1"/>
  <c r="I4160" i="1"/>
  <c r="O4159" i="1"/>
  <c r="P4159" i="1" s="1"/>
  <c r="N4159" i="1"/>
  <c r="M4159" i="1"/>
  <c r="L4159" i="1"/>
  <c r="K4159" i="1"/>
  <c r="I4159" i="1"/>
  <c r="O4158" i="1"/>
  <c r="P4158" i="1" s="1"/>
  <c r="N4158" i="1"/>
  <c r="M4158" i="1"/>
  <c r="L4158" i="1"/>
  <c r="K4158" i="1"/>
  <c r="I4158" i="1"/>
  <c r="O4157" i="1"/>
  <c r="P4157" i="1" s="1"/>
  <c r="N4157" i="1"/>
  <c r="M4157" i="1"/>
  <c r="L4157" i="1"/>
  <c r="K4157" i="1"/>
  <c r="I4157" i="1"/>
  <c r="O4156" i="1"/>
  <c r="P4156" i="1" s="1"/>
  <c r="N4156" i="1"/>
  <c r="M4156" i="1"/>
  <c r="L4156" i="1"/>
  <c r="K4156" i="1"/>
  <c r="I4156" i="1"/>
  <c r="O4155" i="1"/>
  <c r="P4155" i="1" s="1"/>
  <c r="N4155" i="1"/>
  <c r="M4155" i="1"/>
  <c r="L4155" i="1"/>
  <c r="K4155" i="1"/>
  <c r="I4155" i="1"/>
  <c r="O4154" i="1"/>
  <c r="P4154" i="1" s="1"/>
  <c r="N4154" i="1"/>
  <c r="M4154" i="1"/>
  <c r="L4154" i="1"/>
  <c r="K4154" i="1"/>
  <c r="I4154" i="1"/>
  <c r="O4153" i="1"/>
  <c r="P4153" i="1" s="1"/>
  <c r="N4153" i="1"/>
  <c r="M4153" i="1"/>
  <c r="L4153" i="1"/>
  <c r="K4153" i="1"/>
  <c r="I4153" i="1"/>
  <c r="O4152" i="1"/>
  <c r="P4152" i="1" s="1"/>
  <c r="N4152" i="1"/>
  <c r="M4152" i="1"/>
  <c r="L4152" i="1"/>
  <c r="K4152" i="1"/>
  <c r="I4152" i="1"/>
  <c r="O4151" i="1"/>
  <c r="P4151" i="1" s="1"/>
  <c r="N4151" i="1"/>
  <c r="M4151" i="1"/>
  <c r="L4151" i="1"/>
  <c r="K4151" i="1"/>
  <c r="I4151" i="1"/>
  <c r="O4150" i="1"/>
  <c r="P4150" i="1" s="1"/>
  <c r="N4150" i="1"/>
  <c r="M4150" i="1"/>
  <c r="L4150" i="1"/>
  <c r="K4150" i="1"/>
  <c r="I4150" i="1"/>
  <c r="O4149" i="1"/>
  <c r="P4149" i="1" s="1"/>
  <c r="N4149" i="1"/>
  <c r="M4149" i="1"/>
  <c r="L4149" i="1"/>
  <c r="K4149" i="1"/>
  <c r="I4149" i="1"/>
  <c r="O4148" i="1"/>
  <c r="P4148" i="1" s="1"/>
  <c r="N4148" i="1"/>
  <c r="M4148" i="1"/>
  <c r="L4148" i="1"/>
  <c r="K4148" i="1"/>
  <c r="I4148" i="1"/>
  <c r="O4147" i="1"/>
  <c r="P4147" i="1" s="1"/>
  <c r="N4147" i="1"/>
  <c r="M4147" i="1"/>
  <c r="L4147" i="1"/>
  <c r="K4147" i="1"/>
  <c r="I4147" i="1"/>
  <c r="O4146" i="1"/>
  <c r="P4146" i="1" s="1"/>
  <c r="N4146" i="1"/>
  <c r="M4146" i="1"/>
  <c r="L4146" i="1"/>
  <c r="K4146" i="1"/>
  <c r="I4146" i="1"/>
  <c r="O4145" i="1"/>
  <c r="P4145" i="1" s="1"/>
  <c r="N4145" i="1"/>
  <c r="M4145" i="1"/>
  <c r="L4145" i="1"/>
  <c r="K4145" i="1"/>
  <c r="I4145" i="1"/>
  <c r="O4144" i="1"/>
  <c r="P4144" i="1" s="1"/>
  <c r="N4144" i="1"/>
  <c r="M4144" i="1"/>
  <c r="L4144" i="1"/>
  <c r="K4144" i="1"/>
  <c r="I4144" i="1"/>
  <c r="O4143" i="1"/>
  <c r="P4143" i="1" s="1"/>
  <c r="N4143" i="1"/>
  <c r="M4143" i="1"/>
  <c r="L4143" i="1"/>
  <c r="K4143" i="1"/>
  <c r="I4143" i="1"/>
  <c r="O4142" i="1"/>
  <c r="P4142" i="1" s="1"/>
  <c r="N4142" i="1"/>
  <c r="M4142" i="1"/>
  <c r="L4142" i="1"/>
  <c r="K4142" i="1"/>
  <c r="I4142" i="1"/>
  <c r="O4141" i="1"/>
  <c r="P4141" i="1" s="1"/>
  <c r="N4141" i="1"/>
  <c r="M4141" i="1"/>
  <c r="L4141" i="1"/>
  <c r="K4141" i="1"/>
  <c r="I4141" i="1"/>
  <c r="O4140" i="1"/>
  <c r="P4140" i="1" s="1"/>
  <c r="N4140" i="1"/>
  <c r="M4140" i="1"/>
  <c r="L4140" i="1"/>
  <c r="K4140" i="1"/>
  <c r="I4140" i="1"/>
  <c r="O4139" i="1"/>
  <c r="P4139" i="1" s="1"/>
  <c r="N4139" i="1"/>
  <c r="M4139" i="1"/>
  <c r="L4139" i="1"/>
  <c r="K4139" i="1"/>
  <c r="I4139" i="1"/>
  <c r="O4138" i="1"/>
  <c r="P4138" i="1" s="1"/>
  <c r="N4138" i="1"/>
  <c r="M4138" i="1"/>
  <c r="L4138" i="1"/>
  <c r="K4138" i="1"/>
  <c r="I4138" i="1"/>
  <c r="O4137" i="1"/>
  <c r="P4137" i="1" s="1"/>
  <c r="N4137" i="1"/>
  <c r="M4137" i="1"/>
  <c r="L4137" i="1"/>
  <c r="K4137" i="1"/>
  <c r="I4137" i="1"/>
  <c r="O4136" i="1"/>
  <c r="P4136" i="1" s="1"/>
  <c r="N4136" i="1"/>
  <c r="M4136" i="1"/>
  <c r="L4136" i="1"/>
  <c r="K4136" i="1"/>
  <c r="I4136" i="1"/>
  <c r="O4135" i="1"/>
  <c r="P4135" i="1" s="1"/>
  <c r="N4135" i="1"/>
  <c r="M4135" i="1"/>
  <c r="L4135" i="1"/>
  <c r="K4135" i="1"/>
  <c r="I4135" i="1"/>
  <c r="O4134" i="1"/>
  <c r="P4134" i="1" s="1"/>
  <c r="N4134" i="1"/>
  <c r="M4134" i="1"/>
  <c r="L4134" i="1"/>
  <c r="K4134" i="1"/>
  <c r="I4134" i="1"/>
  <c r="O4133" i="1"/>
  <c r="P4133" i="1" s="1"/>
  <c r="N4133" i="1"/>
  <c r="M4133" i="1"/>
  <c r="L4133" i="1"/>
  <c r="K4133" i="1"/>
  <c r="I4133" i="1"/>
  <c r="O4132" i="1"/>
  <c r="P4132" i="1" s="1"/>
  <c r="N4132" i="1"/>
  <c r="M4132" i="1"/>
  <c r="L4132" i="1"/>
  <c r="K4132" i="1"/>
  <c r="I4132" i="1"/>
  <c r="O4131" i="1"/>
  <c r="P4131" i="1" s="1"/>
  <c r="N4131" i="1"/>
  <c r="M4131" i="1"/>
  <c r="L4131" i="1"/>
  <c r="K4131" i="1"/>
  <c r="I4131" i="1"/>
  <c r="O4130" i="1"/>
  <c r="P4130" i="1" s="1"/>
  <c r="N4130" i="1"/>
  <c r="M4130" i="1"/>
  <c r="L4130" i="1"/>
  <c r="K4130" i="1"/>
  <c r="I4130" i="1"/>
  <c r="O4129" i="1"/>
  <c r="P4129" i="1" s="1"/>
  <c r="N4129" i="1"/>
  <c r="M4129" i="1"/>
  <c r="L4129" i="1"/>
  <c r="K4129" i="1"/>
  <c r="I4129" i="1"/>
  <c r="O4128" i="1"/>
  <c r="P4128" i="1" s="1"/>
  <c r="N4128" i="1"/>
  <c r="M4128" i="1"/>
  <c r="L4128" i="1"/>
  <c r="K4128" i="1"/>
  <c r="I4128" i="1"/>
  <c r="O4127" i="1"/>
  <c r="P4127" i="1" s="1"/>
  <c r="N4127" i="1"/>
  <c r="M4127" i="1"/>
  <c r="L4127" i="1"/>
  <c r="K4127" i="1"/>
  <c r="I4127" i="1"/>
  <c r="O4126" i="1"/>
  <c r="P4126" i="1" s="1"/>
  <c r="N4126" i="1"/>
  <c r="M4126" i="1"/>
  <c r="L4126" i="1"/>
  <c r="K4126" i="1"/>
  <c r="I4126" i="1"/>
  <c r="O4125" i="1"/>
  <c r="P4125" i="1" s="1"/>
  <c r="N4125" i="1"/>
  <c r="M4125" i="1"/>
  <c r="L4125" i="1"/>
  <c r="K4125" i="1"/>
  <c r="I4125" i="1"/>
  <c r="O4124" i="1"/>
  <c r="P4124" i="1" s="1"/>
  <c r="N4124" i="1"/>
  <c r="M4124" i="1"/>
  <c r="L4124" i="1"/>
  <c r="K4124" i="1"/>
  <c r="I4124" i="1"/>
  <c r="O4123" i="1"/>
  <c r="P4123" i="1" s="1"/>
  <c r="N4123" i="1"/>
  <c r="M4123" i="1"/>
  <c r="L4123" i="1"/>
  <c r="K4123" i="1"/>
  <c r="I4123" i="1"/>
  <c r="O4122" i="1"/>
  <c r="P4122" i="1" s="1"/>
  <c r="N4122" i="1"/>
  <c r="M4122" i="1"/>
  <c r="L4122" i="1"/>
  <c r="K4122" i="1"/>
  <c r="I4122" i="1"/>
  <c r="O4121" i="1"/>
  <c r="P4121" i="1" s="1"/>
  <c r="N4121" i="1"/>
  <c r="M4121" i="1"/>
  <c r="L4121" i="1"/>
  <c r="K4121" i="1"/>
  <c r="I4121" i="1"/>
  <c r="O4120" i="1"/>
  <c r="P4120" i="1" s="1"/>
  <c r="N4120" i="1"/>
  <c r="M4120" i="1"/>
  <c r="L4120" i="1"/>
  <c r="K4120" i="1"/>
  <c r="I4120" i="1"/>
  <c r="O4119" i="1"/>
  <c r="P4119" i="1" s="1"/>
  <c r="N4119" i="1"/>
  <c r="M4119" i="1"/>
  <c r="L4119" i="1"/>
  <c r="K4119" i="1"/>
  <c r="I4119" i="1"/>
  <c r="O4118" i="1"/>
  <c r="P4118" i="1" s="1"/>
  <c r="N4118" i="1"/>
  <c r="M4118" i="1"/>
  <c r="L4118" i="1"/>
  <c r="K4118" i="1"/>
  <c r="I4118" i="1"/>
  <c r="O4117" i="1"/>
  <c r="P4117" i="1" s="1"/>
  <c r="N4117" i="1"/>
  <c r="M4117" i="1"/>
  <c r="L4117" i="1"/>
  <c r="K4117" i="1"/>
  <c r="I4117" i="1"/>
  <c r="O4116" i="1"/>
  <c r="P4116" i="1" s="1"/>
  <c r="N4116" i="1"/>
  <c r="M4116" i="1"/>
  <c r="L4116" i="1"/>
  <c r="K4116" i="1"/>
  <c r="I4116" i="1"/>
  <c r="O4115" i="1"/>
  <c r="P4115" i="1" s="1"/>
  <c r="N4115" i="1"/>
  <c r="M4115" i="1"/>
  <c r="L4115" i="1"/>
  <c r="K4115" i="1"/>
  <c r="I4115" i="1"/>
  <c r="O4114" i="1"/>
  <c r="P4114" i="1" s="1"/>
  <c r="N4114" i="1"/>
  <c r="M4114" i="1"/>
  <c r="L4114" i="1"/>
  <c r="K4114" i="1"/>
  <c r="I4114" i="1"/>
  <c r="O4113" i="1"/>
  <c r="P4113" i="1" s="1"/>
  <c r="N4113" i="1"/>
  <c r="M4113" i="1"/>
  <c r="L4113" i="1"/>
  <c r="K4113" i="1"/>
  <c r="I4113" i="1"/>
  <c r="O4112" i="1"/>
  <c r="P4112" i="1" s="1"/>
  <c r="N4112" i="1"/>
  <c r="M4112" i="1"/>
  <c r="L4112" i="1"/>
  <c r="K4112" i="1"/>
  <c r="I4112" i="1"/>
  <c r="O4111" i="1"/>
  <c r="P4111" i="1" s="1"/>
  <c r="N4111" i="1"/>
  <c r="M4111" i="1"/>
  <c r="L4111" i="1"/>
  <c r="K4111" i="1"/>
  <c r="I4111" i="1"/>
  <c r="O4110" i="1"/>
  <c r="P4110" i="1" s="1"/>
  <c r="N4110" i="1"/>
  <c r="M4110" i="1"/>
  <c r="L4110" i="1"/>
  <c r="K4110" i="1"/>
  <c r="I4110" i="1"/>
  <c r="O4109" i="1"/>
  <c r="P4109" i="1" s="1"/>
  <c r="N4109" i="1"/>
  <c r="M4109" i="1"/>
  <c r="L4109" i="1"/>
  <c r="K4109" i="1"/>
  <c r="I4109" i="1"/>
  <c r="O4108" i="1"/>
  <c r="P4108" i="1" s="1"/>
  <c r="N4108" i="1"/>
  <c r="M4108" i="1"/>
  <c r="L4108" i="1"/>
  <c r="K4108" i="1"/>
  <c r="I4108" i="1"/>
  <c r="O4107" i="1"/>
  <c r="P4107" i="1" s="1"/>
  <c r="N4107" i="1"/>
  <c r="M4107" i="1"/>
  <c r="L4107" i="1"/>
  <c r="K4107" i="1"/>
  <c r="I4107" i="1"/>
  <c r="O4106" i="1"/>
  <c r="P4106" i="1" s="1"/>
  <c r="N4106" i="1"/>
  <c r="M4106" i="1"/>
  <c r="L4106" i="1"/>
  <c r="K4106" i="1"/>
  <c r="I4106" i="1"/>
  <c r="O4105" i="1"/>
  <c r="P4105" i="1" s="1"/>
  <c r="N4105" i="1"/>
  <c r="M4105" i="1"/>
  <c r="L4105" i="1"/>
  <c r="K4105" i="1"/>
  <c r="I4105" i="1"/>
  <c r="O4104" i="1"/>
  <c r="P4104" i="1" s="1"/>
  <c r="N4104" i="1"/>
  <c r="M4104" i="1"/>
  <c r="L4104" i="1"/>
  <c r="K4104" i="1"/>
  <c r="I4104" i="1"/>
  <c r="O4103" i="1"/>
  <c r="P4103" i="1" s="1"/>
  <c r="N4103" i="1"/>
  <c r="M4103" i="1"/>
  <c r="L4103" i="1"/>
  <c r="K4103" i="1"/>
  <c r="I4103" i="1"/>
  <c r="O4102" i="1"/>
  <c r="P4102" i="1" s="1"/>
  <c r="N4102" i="1"/>
  <c r="M4102" i="1"/>
  <c r="L4102" i="1"/>
  <c r="K4102" i="1"/>
  <c r="I4102" i="1"/>
  <c r="O4101" i="1"/>
  <c r="P4101" i="1" s="1"/>
  <c r="N4101" i="1"/>
  <c r="M4101" i="1"/>
  <c r="L4101" i="1"/>
  <c r="K4101" i="1"/>
  <c r="I4101" i="1"/>
  <c r="O4100" i="1"/>
  <c r="P4100" i="1" s="1"/>
  <c r="N4100" i="1"/>
  <c r="M4100" i="1"/>
  <c r="L4100" i="1"/>
  <c r="K4100" i="1"/>
  <c r="I4100" i="1"/>
  <c r="O4099" i="1"/>
  <c r="P4099" i="1" s="1"/>
  <c r="N4099" i="1"/>
  <c r="M4099" i="1"/>
  <c r="L4099" i="1"/>
  <c r="K4099" i="1"/>
  <c r="I4099" i="1"/>
  <c r="O4098" i="1"/>
  <c r="P4098" i="1" s="1"/>
  <c r="N4098" i="1"/>
  <c r="M4098" i="1"/>
  <c r="L4098" i="1"/>
  <c r="K4098" i="1"/>
  <c r="I4098" i="1"/>
  <c r="O4097" i="1"/>
  <c r="P4097" i="1" s="1"/>
  <c r="N4097" i="1"/>
  <c r="M4097" i="1"/>
  <c r="L4097" i="1"/>
  <c r="K4097" i="1"/>
  <c r="I4097" i="1"/>
  <c r="O4096" i="1"/>
  <c r="P4096" i="1" s="1"/>
  <c r="N4096" i="1"/>
  <c r="M4096" i="1"/>
  <c r="L4096" i="1"/>
  <c r="K4096" i="1"/>
  <c r="I4096" i="1"/>
  <c r="O4095" i="1"/>
  <c r="P4095" i="1" s="1"/>
  <c r="N4095" i="1"/>
  <c r="M4095" i="1"/>
  <c r="L4095" i="1"/>
  <c r="K4095" i="1"/>
  <c r="I4095" i="1"/>
  <c r="O4094" i="1"/>
  <c r="P4094" i="1" s="1"/>
  <c r="N4094" i="1"/>
  <c r="M4094" i="1"/>
  <c r="L4094" i="1"/>
  <c r="K4094" i="1"/>
  <c r="I4094" i="1"/>
  <c r="O4093" i="1"/>
  <c r="P4093" i="1" s="1"/>
  <c r="N4093" i="1"/>
  <c r="M4093" i="1"/>
  <c r="L4093" i="1"/>
  <c r="K4093" i="1"/>
  <c r="I4093" i="1"/>
  <c r="O4092" i="1"/>
  <c r="P4092" i="1" s="1"/>
  <c r="N4092" i="1"/>
  <c r="M4092" i="1"/>
  <c r="L4092" i="1"/>
  <c r="K4092" i="1"/>
  <c r="I4092" i="1"/>
  <c r="O4091" i="1"/>
  <c r="P4091" i="1" s="1"/>
  <c r="N4091" i="1"/>
  <c r="M4091" i="1"/>
  <c r="L4091" i="1"/>
  <c r="K4091" i="1"/>
  <c r="I4091" i="1"/>
  <c r="O4090" i="1"/>
  <c r="P4090" i="1" s="1"/>
  <c r="N4090" i="1"/>
  <c r="M4090" i="1"/>
  <c r="L4090" i="1"/>
  <c r="K4090" i="1"/>
  <c r="I4090" i="1"/>
  <c r="O4089" i="1"/>
  <c r="P4089" i="1" s="1"/>
  <c r="N4089" i="1"/>
  <c r="M4089" i="1"/>
  <c r="L4089" i="1"/>
  <c r="K4089" i="1"/>
  <c r="I4089" i="1"/>
  <c r="O4088" i="1"/>
  <c r="P4088" i="1" s="1"/>
  <c r="N4088" i="1"/>
  <c r="M4088" i="1"/>
  <c r="L4088" i="1"/>
  <c r="K4088" i="1"/>
  <c r="I4088" i="1"/>
  <c r="O4087" i="1"/>
  <c r="P4087" i="1" s="1"/>
  <c r="N4087" i="1"/>
  <c r="M4087" i="1"/>
  <c r="L4087" i="1"/>
  <c r="K4087" i="1"/>
  <c r="I4087" i="1"/>
  <c r="O4086" i="1"/>
  <c r="P4086" i="1" s="1"/>
  <c r="N4086" i="1"/>
  <c r="M4086" i="1"/>
  <c r="L4086" i="1"/>
  <c r="K4086" i="1"/>
  <c r="I4086" i="1"/>
  <c r="O4085" i="1"/>
  <c r="P4085" i="1" s="1"/>
  <c r="N4085" i="1"/>
  <c r="M4085" i="1"/>
  <c r="L4085" i="1"/>
  <c r="K4085" i="1"/>
  <c r="I4085" i="1"/>
  <c r="O4084" i="1"/>
  <c r="P4084" i="1" s="1"/>
  <c r="N4084" i="1"/>
  <c r="M4084" i="1"/>
  <c r="L4084" i="1"/>
  <c r="K4084" i="1"/>
  <c r="I4084" i="1"/>
  <c r="O4083" i="1"/>
  <c r="P4083" i="1" s="1"/>
  <c r="N4083" i="1"/>
  <c r="M4083" i="1"/>
  <c r="L4083" i="1"/>
  <c r="K4083" i="1"/>
  <c r="I4083" i="1"/>
  <c r="O4082" i="1"/>
  <c r="P4082" i="1" s="1"/>
  <c r="N4082" i="1"/>
  <c r="M4082" i="1"/>
  <c r="L4082" i="1"/>
  <c r="K4082" i="1"/>
  <c r="I4082" i="1"/>
  <c r="O4081" i="1"/>
  <c r="P4081" i="1" s="1"/>
  <c r="N4081" i="1"/>
  <c r="M4081" i="1"/>
  <c r="L4081" i="1"/>
  <c r="K4081" i="1"/>
  <c r="I4081" i="1"/>
  <c r="O4080" i="1"/>
  <c r="P4080" i="1" s="1"/>
  <c r="N4080" i="1"/>
  <c r="M4080" i="1"/>
  <c r="L4080" i="1"/>
  <c r="K4080" i="1"/>
  <c r="I4080" i="1"/>
  <c r="O4079" i="1"/>
  <c r="P4079" i="1" s="1"/>
  <c r="N4079" i="1"/>
  <c r="M4079" i="1"/>
  <c r="L4079" i="1"/>
  <c r="K4079" i="1"/>
  <c r="I4079" i="1"/>
  <c r="O4078" i="1"/>
  <c r="P4078" i="1" s="1"/>
  <c r="N4078" i="1"/>
  <c r="M4078" i="1"/>
  <c r="L4078" i="1"/>
  <c r="K4078" i="1"/>
  <c r="I4078" i="1"/>
  <c r="O4077" i="1"/>
  <c r="P4077" i="1" s="1"/>
  <c r="N4077" i="1"/>
  <c r="M4077" i="1"/>
  <c r="L4077" i="1"/>
  <c r="K4077" i="1"/>
  <c r="I4077" i="1"/>
  <c r="O4076" i="1"/>
  <c r="P4076" i="1" s="1"/>
  <c r="N4076" i="1"/>
  <c r="M4076" i="1"/>
  <c r="L4076" i="1"/>
  <c r="K4076" i="1"/>
  <c r="I4076" i="1"/>
  <c r="O4075" i="1"/>
  <c r="P4075" i="1" s="1"/>
  <c r="N4075" i="1"/>
  <c r="M4075" i="1"/>
  <c r="L4075" i="1"/>
  <c r="K4075" i="1"/>
  <c r="I4075" i="1"/>
  <c r="O4074" i="1"/>
  <c r="P4074" i="1" s="1"/>
  <c r="N4074" i="1"/>
  <c r="M4074" i="1"/>
  <c r="L4074" i="1"/>
  <c r="K4074" i="1"/>
  <c r="I4074" i="1"/>
  <c r="O4073" i="1"/>
  <c r="P4073" i="1" s="1"/>
  <c r="N4073" i="1"/>
  <c r="M4073" i="1"/>
  <c r="L4073" i="1"/>
  <c r="K4073" i="1"/>
  <c r="I4073" i="1"/>
  <c r="O4072" i="1"/>
  <c r="P4072" i="1" s="1"/>
  <c r="N4072" i="1"/>
  <c r="M4072" i="1"/>
  <c r="L4072" i="1"/>
  <c r="K4072" i="1"/>
  <c r="I4072" i="1"/>
  <c r="O4071" i="1"/>
  <c r="P4071" i="1" s="1"/>
  <c r="N4071" i="1"/>
  <c r="M4071" i="1"/>
  <c r="L4071" i="1"/>
  <c r="K4071" i="1"/>
  <c r="I4071" i="1"/>
  <c r="O4070" i="1"/>
  <c r="P4070" i="1" s="1"/>
  <c r="N4070" i="1"/>
  <c r="M4070" i="1"/>
  <c r="L4070" i="1"/>
  <c r="K4070" i="1"/>
  <c r="I4070" i="1"/>
  <c r="O4069" i="1"/>
  <c r="P4069" i="1" s="1"/>
  <c r="N4069" i="1"/>
  <c r="M4069" i="1"/>
  <c r="L4069" i="1"/>
  <c r="K4069" i="1"/>
  <c r="I4069" i="1"/>
  <c r="O4068" i="1"/>
  <c r="P4068" i="1" s="1"/>
  <c r="N4068" i="1"/>
  <c r="M4068" i="1"/>
  <c r="L4068" i="1"/>
  <c r="K4068" i="1"/>
  <c r="I4068" i="1"/>
  <c r="O4067" i="1"/>
  <c r="P4067" i="1" s="1"/>
  <c r="N4067" i="1"/>
  <c r="M4067" i="1"/>
  <c r="L4067" i="1"/>
  <c r="K4067" i="1"/>
  <c r="I4067" i="1"/>
  <c r="O4066" i="1"/>
  <c r="P4066" i="1" s="1"/>
  <c r="N4066" i="1"/>
  <c r="M4066" i="1"/>
  <c r="L4066" i="1"/>
  <c r="K4066" i="1"/>
  <c r="I4066" i="1"/>
  <c r="O4065" i="1"/>
  <c r="P4065" i="1" s="1"/>
  <c r="N4065" i="1"/>
  <c r="M4065" i="1"/>
  <c r="L4065" i="1"/>
  <c r="K4065" i="1"/>
  <c r="I4065" i="1"/>
  <c r="O4064" i="1"/>
  <c r="P4064" i="1" s="1"/>
  <c r="N4064" i="1"/>
  <c r="M4064" i="1"/>
  <c r="L4064" i="1"/>
  <c r="K4064" i="1"/>
  <c r="I4064" i="1"/>
  <c r="O4063" i="1"/>
  <c r="P4063" i="1" s="1"/>
  <c r="N4063" i="1"/>
  <c r="M4063" i="1"/>
  <c r="L4063" i="1"/>
  <c r="K4063" i="1"/>
  <c r="I4063" i="1"/>
  <c r="O4062" i="1"/>
  <c r="P4062" i="1" s="1"/>
  <c r="N4062" i="1"/>
  <c r="M4062" i="1"/>
  <c r="L4062" i="1"/>
  <c r="K4062" i="1"/>
  <c r="I4062" i="1"/>
  <c r="O4061" i="1"/>
  <c r="P4061" i="1" s="1"/>
  <c r="N4061" i="1"/>
  <c r="M4061" i="1"/>
  <c r="L4061" i="1"/>
  <c r="K4061" i="1"/>
  <c r="I4061" i="1"/>
  <c r="O4060" i="1"/>
  <c r="P4060" i="1" s="1"/>
  <c r="N4060" i="1"/>
  <c r="M4060" i="1"/>
  <c r="L4060" i="1"/>
  <c r="K4060" i="1"/>
  <c r="I4060" i="1"/>
  <c r="O4059" i="1"/>
  <c r="P4059" i="1" s="1"/>
  <c r="N4059" i="1"/>
  <c r="M4059" i="1"/>
  <c r="L4059" i="1"/>
  <c r="K4059" i="1"/>
  <c r="I4059" i="1"/>
  <c r="O4058" i="1"/>
  <c r="P4058" i="1" s="1"/>
  <c r="N4058" i="1"/>
  <c r="M4058" i="1"/>
  <c r="L4058" i="1"/>
  <c r="K4058" i="1"/>
  <c r="I4058" i="1"/>
  <c r="O4057" i="1"/>
  <c r="P4057" i="1" s="1"/>
  <c r="N4057" i="1"/>
  <c r="M4057" i="1"/>
  <c r="L4057" i="1"/>
  <c r="K4057" i="1"/>
  <c r="I4057" i="1"/>
  <c r="O4056" i="1"/>
  <c r="P4056" i="1" s="1"/>
  <c r="N4056" i="1"/>
  <c r="M4056" i="1"/>
  <c r="L4056" i="1"/>
  <c r="K4056" i="1"/>
  <c r="I4056" i="1"/>
  <c r="O4055" i="1"/>
  <c r="P4055" i="1" s="1"/>
  <c r="N4055" i="1"/>
  <c r="M4055" i="1"/>
  <c r="L4055" i="1"/>
  <c r="K4055" i="1"/>
  <c r="I4055" i="1"/>
  <c r="O4054" i="1"/>
  <c r="P4054" i="1" s="1"/>
  <c r="N4054" i="1"/>
  <c r="M4054" i="1"/>
  <c r="L4054" i="1"/>
  <c r="K4054" i="1"/>
  <c r="I4054" i="1"/>
  <c r="O4053" i="1"/>
  <c r="P4053" i="1" s="1"/>
  <c r="N4053" i="1"/>
  <c r="M4053" i="1"/>
  <c r="L4053" i="1"/>
  <c r="K4053" i="1"/>
  <c r="I4053" i="1"/>
  <c r="O4052" i="1"/>
  <c r="P4052" i="1" s="1"/>
  <c r="N4052" i="1"/>
  <c r="M4052" i="1"/>
  <c r="L4052" i="1"/>
  <c r="K4052" i="1"/>
  <c r="I4052" i="1"/>
  <c r="O4051" i="1"/>
  <c r="P4051" i="1" s="1"/>
  <c r="N4051" i="1"/>
  <c r="M4051" i="1"/>
  <c r="L4051" i="1"/>
  <c r="K4051" i="1"/>
  <c r="I4051" i="1"/>
  <c r="O4050" i="1"/>
  <c r="P4050" i="1" s="1"/>
  <c r="N4050" i="1"/>
  <c r="M4050" i="1"/>
  <c r="L4050" i="1"/>
  <c r="K4050" i="1"/>
  <c r="I4050" i="1"/>
  <c r="O4049" i="1"/>
  <c r="P4049" i="1" s="1"/>
  <c r="N4049" i="1"/>
  <c r="M4049" i="1"/>
  <c r="L4049" i="1"/>
  <c r="K4049" i="1"/>
  <c r="I4049" i="1"/>
  <c r="O4048" i="1"/>
  <c r="P4048" i="1" s="1"/>
  <c r="N4048" i="1"/>
  <c r="M4048" i="1"/>
  <c r="L4048" i="1"/>
  <c r="K4048" i="1"/>
  <c r="I4048" i="1"/>
  <c r="O4047" i="1"/>
  <c r="P4047" i="1" s="1"/>
  <c r="N4047" i="1"/>
  <c r="M4047" i="1"/>
  <c r="L4047" i="1"/>
  <c r="K4047" i="1"/>
  <c r="I4047" i="1"/>
  <c r="O4046" i="1"/>
  <c r="P4046" i="1" s="1"/>
  <c r="N4046" i="1"/>
  <c r="M4046" i="1"/>
  <c r="L4046" i="1"/>
  <c r="K4046" i="1"/>
  <c r="I4046" i="1"/>
  <c r="O4045" i="1"/>
  <c r="P4045" i="1" s="1"/>
  <c r="N4045" i="1"/>
  <c r="M4045" i="1"/>
  <c r="L4045" i="1"/>
  <c r="K4045" i="1"/>
  <c r="I4045" i="1"/>
  <c r="O4044" i="1"/>
  <c r="P4044" i="1" s="1"/>
  <c r="N4044" i="1"/>
  <c r="M4044" i="1"/>
  <c r="L4044" i="1"/>
  <c r="K4044" i="1"/>
  <c r="I4044" i="1"/>
  <c r="O4043" i="1"/>
  <c r="P4043" i="1" s="1"/>
  <c r="N4043" i="1"/>
  <c r="M4043" i="1"/>
  <c r="L4043" i="1"/>
  <c r="K4043" i="1"/>
  <c r="I4043" i="1"/>
  <c r="O4042" i="1"/>
  <c r="P4042" i="1" s="1"/>
  <c r="N4042" i="1"/>
  <c r="M4042" i="1"/>
  <c r="L4042" i="1"/>
  <c r="K4042" i="1"/>
  <c r="I4042" i="1"/>
  <c r="O4041" i="1"/>
  <c r="P4041" i="1" s="1"/>
  <c r="N4041" i="1"/>
  <c r="M4041" i="1"/>
  <c r="L4041" i="1"/>
  <c r="K4041" i="1"/>
  <c r="I4041" i="1"/>
  <c r="O4040" i="1"/>
  <c r="P4040" i="1" s="1"/>
  <c r="N4040" i="1"/>
  <c r="M4040" i="1"/>
  <c r="L4040" i="1"/>
  <c r="K4040" i="1"/>
  <c r="I4040" i="1"/>
  <c r="O4039" i="1"/>
  <c r="P4039" i="1" s="1"/>
  <c r="N4039" i="1"/>
  <c r="M4039" i="1"/>
  <c r="L4039" i="1"/>
  <c r="K4039" i="1"/>
  <c r="I4039" i="1"/>
  <c r="O4038" i="1"/>
  <c r="P4038" i="1" s="1"/>
  <c r="N4038" i="1"/>
  <c r="M4038" i="1"/>
  <c r="L4038" i="1"/>
  <c r="K4038" i="1"/>
  <c r="I4038" i="1"/>
  <c r="O4037" i="1"/>
  <c r="P4037" i="1" s="1"/>
  <c r="N4037" i="1"/>
  <c r="M4037" i="1"/>
  <c r="L4037" i="1"/>
  <c r="K4037" i="1"/>
  <c r="I4037" i="1"/>
  <c r="O4036" i="1"/>
  <c r="P4036" i="1" s="1"/>
  <c r="N4036" i="1"/>
  <c r="M4036" i="1"/>
  <c r="L4036" i="1"/>
  <c r="K4036" i="1"/>
  <c r="I4036" i="1"/>
  <c r="O4035" i="1"/>
  <c r="P4035" i="1" s="1"/>
  <c r="N4035" i="1"/>
  <c r="M4035" i="1"/>
  <c r="L4035" i="1"/>
  <c r="K4035" i="1"/>
  <c r="I4035" i="1"/>
  <c r="O4034" i="1"/>
  <c r="P4034" i="1" s="1"/>
  <c r="N4034" i="1"/>
  <c r="M4034" i="1"/>
  <c r="L4034" i="1"/>
  <c r="K4034" i="1"/>
  <c r="I4034" i="1"/>
  <c r="O4033" i="1"/>
  <c r="P4033" i="1" s="1"/>
  <c r="N4033" i="1"/>
  <c r="M4033" i="1"/>
  <c r="L4033" i="1"/>
  <c r="K4033" i="1"/>
  <c r="I4033" i="1"/>
  <c r="O4032" i="1"/>
  <c r="P4032" i="1" s="1"/>
  <c r="N4032" i="1"/>
  <c r="M4032" i="1"/>
  <c r="L4032" i="1"/>
  <c r="K4032" i="1"/>
  <c r="I4032" i="1"/>
  <c r="O4031" i="1"/>
  <c r="P4031" i="1" s="1"/>
  <c r="N4031" i="1"/>
  <c r="M4031" i="1"/>
  <c r="L4031" i="1"/>
  <c r="K4031" i="1"/>
  <c r="I4031" i="1"/>
  <c r="O4030" i="1"/>
  <c r="P4030" i="1" s="1"/>
  <c r="N4030" i="1"/>
  <c r="M4030" i="1"/>
  <c r="L4030" i="1"/>
  <c r="K4030" i="1"/>
  <c r="I4030" i="1"/>
  <c r="O4029" i="1"/>
  <c r="P4029" i="1" s="1"/>
  <c r="N4029" i="1"/>
  <c r="M4029" i="1"/>
  <c r="L4029" i="1"/>
  <c r="K4029" i="1"/>
  <c r="I4029" i="1"/>
  <c r="O4028" i="1"/>
  <c r="P4028" i="1" s="1"/>
  <c r="N4028" i="1"/>
  <c r="M4028" i="1"/>
  <c r="L4028" i="1"/>
  <c r="K4028" i="1"/>
  <c r="I4028" i="1"/>
  <c r="O4027" i="1"/>
  <c r="P4027" i="1" s="1"/>
  <c r="N4027" i="1"/>
  <c r="M4027" i="1"/>
  <c r="L4027" i="1"/>
  <c r="K4027" i="1"/>
  <c r="I4027" i="1"/>
  <c r="O4026" i="1"/>
  <c r="P4026" i="1" s="1"/>
  <c r="N4026" i="1"/>
  <c r="M4026" i="1"/>
  <c r="L4026" i="1"/>
  <c r="K4026" i="1"/>
  <c r="I4026" i="1"/>
  <c r="O4025" i="1"/>
  <c r="P4025" i="1" s="1"/>
  <c r="N4025" i="1"/>
  <c r="M4025" i="1"/>
  <c r="L4025" i="1"/>
  <c r="K4025" i="1"/>
  <c r="I4025" i="1"/>
  <c r="O4024" i="1"/>
  <c r="P4024" i="1" s="1"/>
  <c r="N4024" i="1"/>
  <c r="M4024" i="1"/>
  <c r="L4024" i="1"/>
  <c r="K4024" i="1"/>
  <c r="I4024" i="1"/>
  <c r="O4023" i="1"/>
  <c r="P4023" i="1" s="1"/>
  <c r="N4023" i="1"/>
  <c r="M4023" i="1"/>
  <c r="L4023" i="1"/>
  <c r="K4023" i="1"/>
  <c r="I4023" i="1"/>
  <c r="O4022" i="1"/>
  <c r="P4022" i="1" s="1"/>
  <c r="N4022" i="1"/>
  <c r="M4022" i="1"/>
  <c r="L4022" i="1"/>
  <c r="K4022" i="1"/>
  <c r="I4022" i="1"/>
  <c r="O4021" i="1"/>
  <c r="P4021" i="1" s="1"/>
  <c r="N4021" i="1"/>
  <c r="M4021" i="1"/>
  <c r="L4021" i="1"/>
  <c r="K4021" i="1"/>
  <c r="I4021" i="1"/>
  <c r="O4020" i="1"/>
  <c r="P4020" i="1" s="1"/>
  <c r="N4020" i="1"/>
  <c r="M4020" i="1"/>
  <c r="L4020" i="1"/>
  <c r="K4020" i="1"/>
  <c r="I4020" i="1"/>
  <c r="O4019" i="1"/>
  <c r="P4019" i="1" s="1"/>
  <c r="N4019" i="1"/>
  <c r="M4019" i="1"/>
  <c r="L4019" i="1"/>
  <c r="K4019" i="1"/>
  <c r="I4019" i="1"/>
  <c r="O4018" i="1"/>
  <c r="P4018" i="1" s="1"/>
  <c r="N4018" i="1"/>
  <c r="M4018" i="1"/>
  <c r="L4018" i="1"/>
  <c r="K4018" i="1"/>
  <c r="I4018" i="1"/>
  <c r="O4017" i="1"/>
  <c r="P4017" i="1" s="1"/>
  <c r="N4017" i="1"/>
  <c r="M4017" i="1"/>
  <c r="L4017" i="1"/>
  <c r="K4017" i="1"/>
  <c r="I4017" i="1"/>
  <c r="O4016" i="1"/>
  <c r="P4016" i="1" s="1"/>
  <c r="N4016" i="1"/>
  <c r="M4016" i="1"/>
  <c r="L4016" i="1"/>
  <c r="K4016" i="1"/>
  <c r="I4016" i="1"/>
  <c r="O4015" i="1"/>
  <c r="P4015" i="1" s="1"/>
  <c r="N4015" i="1"/>
  <c r="M4015" i="1"/>
  <c r="L4015" i="1"/>
  <c r="K4015" i="1"/>
  <c r="I4015" i="1"/>
  <c r="O4014" i="1"/>
  <c r="P4014" i="1" s="1"/>
  <c r="N4014" i="1"/>
  <c r="M4014" i="1"/>
  <c r="L4014" i="1"/>
  <c r="K4014" i="1"/>
  <c r="I4014" i="1"/>
  <c r="O4013" i="1"/>
  <c r="P4013" i="1" s="1"/>
  <c r="N4013" i="1"/>
  <c r="M4013" i="1"/>
  <c r="L4013" i="1"/>
  <c r="K4013" i="1"/>
  <c r="I4013" i="1"/>
  <c r="O4012" i="1"/>
  <c r="P4012" i="1" s="1"/>
  <c r="N4012" i="1"/>
  <c r="M4012" i="1"/>
  <c r="L4012" i="1"/>
  <c r="K4012" i="1"/>
  <c r="I4012" i="1"/>
  <c r="O4011" i="1"/>
  <c r="P4011" i="1" s="1"/>
  <c r="N4011" i="1"/>
  <c r="M4011" i="1"/>
  <c r="L4011" i="1"/>
  <c r="K4011" i="1"/>
  <c r="I4011" i="1"/>
  <c r="O4010" i="1"/>
  <c r="P4010" i="1" s="1"/>
  <c r="N4010" i="1"/>
  <c r="M4010" i="1"/>
  <c r="L4010" i="1"/>
  <c r="K4010" i="1"/>
  <c r="I4010" i="1"/>
  <c r="O4009" i="1"/>
  <c r="P4009" i="1" s="1"/>
  <c r="N4009" i="1"/>
  <c r="M4009" i="1"/>
  <c r="L4009" i="1"/>
  <c r="K4009" i="1"/>
  <c r="I4009" i="1"/>
  <c r="O4008" i="1"/>
  <c r="P4008" i="1" s="1"/>
  <c r="N4008" i="1"/>
  <c r="M4008" i="1"/>
  <c r="L4008" i="1"/>
  <c r="K4008" i="1"/>
  <c r="I4008" i="1"/>
  <c r="O4007" i="1"/>
  <c r="P4007" i="1" s="1"/>
  <c r="N4007" i="1"/>
  <c r="M4007" i="1"/>
  <c r="L4007" i="1"/>
  <c r="K4007" i="1"/>
  <c r="I4007" i="1"/>
  <c r="O4006" i="1"/>
  <c r="P4006" i="1" s="1"/>
  <c r="N4006" i="1"/>
  <c r="M4006" i="1"/>
  <c r="L4006" i="1"/>
  <c r="K4006" i="1"/>
  <c r="I4006" i="1"/>
  <c r="O4005" i="1"/>
  <c r="P4005" i="1" s="1"/>
  <c r="N4005" i="1"/>
  <c r="M4005" i="1"/>
  <c r="L4005" i="1"/>
  <c r="K4005" i="1"/>
  <c r="I4005" i="1"/>
  <c r="O4004" i="1"/>
  <c r="P4004" i="1" s="1"/>
  <c r="N4004" i="1"/>
  <c r="M4004" i="1"/>
  <c r="L4004" i="1"/>
  <c r="K4004" i="1"/>
  <c r="I4004" i="1"/>
  <c r="O4003" i="1"/>
  <c r="P4003" i="1" s="1"/>
  <c r="N4003" i="1"/>
  <c r="M4003" i="1"/>
  <c r="L4003" i="1"/>
  <c r="K4003" i="1"/>
  <c r="I4003" i="1"/>
  <c r="O4002" i="1"/>
  <c r="P4002" i="1" s="1"/>
  <c r="N4002" i="1"/>
  <c r="M4002" i="1"/>
  <c r="L4002" i="1"/>
  <c r="K4002" i="1"/>
  <c r="I4002" i="1"/>
  <c r="O4001" i="1"/>
  <c r="P4001" i="1" s="1"/>
  <c r="N4001" i="1"/>
  <c r="M4001" i="1"/>
  <c r="L4001" i="1"/>
  <c r="K4001" i="1"/>
  <c r="I4001" i="1"/>
  <c r="O4000" i="1"/>
  <c r="P4000" i="1" s="1"/>
  <c r="N4000" i="1"/>
  <c r="M4000" i="1"/>
  <c r="L4000" i="1"/>
  <c r="K4000" i="1"/>
  <c r="I4000" i="1"/>
  <c r="O3999" i="1"/>
  <c r="P3999" i="1" s="1"/>
  <c r="N3999" i="1"/>
  <c r="M3999" i="1"/>
  <c r="L3999" i="1"/>
  <c r="K3999" i="1"/>
  <c r="I3999" i="1"/>
  <c r="O3998" i="1"/>
  <c r="P3998" i="1" s="1"/>
  <c r="N3998" i="1"/>
  <c r="M3998" i="1"/>
  <c r="L3998" i="1"/>
  <c r="K3998" i="1"/>
  <c r="I3998" i="1"/>
  <c r="O3997" i="1"/>
  <c r="P3997" i="1" s="1"/>
  <c r="N3997" i="1"/>
  <c r="M3997" i="1"/>
  <c r="L3997" i="1"/>
  <c r="K3997" i="1"/>
  <c r="I3997" i="1"/>
  <c r="O3996" i="1"/>
  <c r="P3996" i="1" s="1"/>
  <c r="N3996" i="1"/>
  <c r="M3996" i="1"/>
  <c r="L3996" i="1"/>
  <c r="K3996" i="1"/>
  <c r="I3996" i="1"/>
  <c r="O3995" i="1"/>
  <c r="P3995" i="1" s="1"/>
  <c r="N3995" i="1"/>
  <c r="M3995" i="1"/>
  <c r="L3995" i="1"/>
  <c r="K3995" i="1"/>
  <c r="I3995" i="1"/>
  <c r="O3994" i="1"/>
  <c r="P3994" i="1" s="1"/>
  <c r="N3994" i="1"/>
  <c r="M3994" i="1"/>
  <c r="L3994" i="1"/>
  <c r="K3994" i="1"/>
  <c r="I3994" i="1"/>
  <c r="O3993" i="1"/>
  <c r="P3993" i="1" s="1"/>
  <c r="N3993" i="1"/>
  <c r="M3993" i="1"/>
  <c r="L3993" i="1"/>
  <c r="K3993" i="1"/>
  <c r="I3993" i="1"/>
  <c r="O3992" i="1"/>
  <c r="P3992" i="1" s="1"/>
  <c r="N3992" i="1"/>
  <c r="M3992" i="1"/>
  <c r="L3992" i="1"/>
  <c r="K3992" i="1"/>
  <c r="I3992" i="1"/>
  <c r="O3991" i="1"/>
  <c r="P3991" i="1" s="1"/>
  <c r="N3991" i="1"/>
  <c r="M3991" i="1"/>
  <c r="L3991" i="1"/>
  <c r="K3991" i="1"/>
  <c r="I3991" i="1"/>
  <c r="O3990" i="1"/>
  <c r="P3990" i="1" s="1"/>
  <c r="N3990" i="1"/>
  <c r="M3990" i="1"/>
  <c r="L3990" i="1"/>
  <c r="K3990" i="1"/>
  <c r="I3990" i="1"/>
  <c r="O3989" i="1"/>
  <c r="P3989" i="1" s="1"/>
  <c r="N3989" i="1"/>
  <c r="M3989" i="1"/>
  <c r="L3989" i="1"/>
  <c r="K3989" i="1"/>
  <c r="I3989" i="1"/>
  <c r="O3988" i="1"/>
  <c r="P3988" i="1" s="1"/>
  <c r="N3988" i="1"/>
  <c r="M3988" i="1"/>
  <c r="L3988" i="1"/>
  <c r="K3988" i="1"/>
  <c r="I3988" i="1"/>
  <c r="O3987" i="1"/>
  <c r="P3987" i="1" s="1"/>
  <c r="N3987" i="1"/>
  <c r="M3987" i="1"/>
  <c r="L3987" i="1"/>
  <c r="K3987" i="1"/>
  <c r="I3987" i="1"/>
  <c r="O3986" i="1"/>
  <c r="P3986" i="1" s="1"/>
  <c r="N3986" i="1"/>
  <c r="M3986" i="1"/>
  <c r="L3986" i="1"/>
  <c r="K3986" i="1"/>
  <c r="I3986" i="1"/>
  <c r="O3985" i="1"/>
  <c r="P3985" i="1" s="1"/>
  <c r="N3985" i="1"/>
  <c r="M3985" i="1"/>
  <c r="L3985" i="1"/>
  <c r="K3985" i="1"/>
  <c r="I3985" i="1"/>
  <c r="O3984" i="1"/>
  <c r="P3984" i="1" s="1"/>
  <c r="N3984" i="1"/>
  <c r="M3984" i="1"/>
  <c r="L3984" i="1"/>
  <c r="K3984" i="1"/>
  <c r="I3984" i="1"/>
  <c r="O3983" i="1"/>
  <c r="P3983" i="1" s="1"/>
  <c r="N3983" i="1"/>
  <c r="M3983" i="1"/>
  <c r="L3983" i="1"/>
  <c r="K3983" i="1"/>
  <c r="I3983" i="1"/>
  <c r="O3982" i="1"/>
  <c r="P3982" i="1" s="1"/>
  <c r="N3982" i="1"/>
  <c r="M3982" i="1"/>
  <c r="L3982" i="1"/>
  <c r="K3982" i="1"/>
  <c r="I3982" i="1"/>
  <c r="O3981" i="1"/>
  <c r="P3981" i="1" s="1"/>
  <c r="N3981" i="1"/>
  <c r="M3981" i="1"/>
  <c r="L3981" i="1"/>
  <c r="K3981" i="1"/>
  <c r="I3981" i="1"/>
  <c r="O3980" i="1"/>
  <c r="P3980" i="1" s="1"/>
  <c r="N3980" i="1"/>
  <c r="M3980" i="1"/>
  <c r="L3980" i="1"/>
  <c r="K3980" i="1"/>
  <c r="I3980" i="1"/>
  <c r="O3979" i="1"/>
  <c r="P3979" i="1" s="1"/>
  <c r="N3979" i="1"/>
  <c r="M3979" i="1"/>
  <c r="L3979" i="1"/>
  <c r="K3979" i="1"/>
  <c r="I3979" i="1"/>
  <c r="O3978" i="1"/>
  <c r="P3978" i="1" s="1"/>
  <c r="N3978" i="1"/>
  <c r="M3978" i="1"/>
  <c r="L3978" i="1"/>
  <c r="K3978" i="1"/>
  <c r="I3978" i="1"/>
  <c r="O3977" i="1"/>
  <c r="P3977" i="1" s="1"/>
  <c r="N3977" i="1"/>
  <c r="M3977" i="1"/>
  <c r="L3977" i="1"/>
  <c r="K3977" i="1"/>
  <c r="I3977" i="1"/>
  <c r="O3976" i="1"/>
  <c r="P3976" i="1" s="1"/>
  <c r="N3976" i="1"/>
  <c r="M3976" i="1"/>
  <c r="L3976" i="1"/>
  <c r="K3976" i="1"/>
  <c r="I3976" i="1"/>
  <c r="O3975" i="1"/>
  <c r="P3975" i="1" s="1"/>
  <c r="N3975" i="1"/>
  <c r="M3975" i="1"/>
  <c r="L3975" i="1"/>
  <c r="K3975" i="1"/>
  <c r="I3975" i="1"/>
  <c r="O3974" i="1"/>
  <c r="P3974" i="1" s="1"/>
  <c r="N3974" i="1"/>
  <c r="M3974" i="1"/>
  <c r="L3974" i="1"/>
  <c r="K3974" i="1"/>
  <c r="I3974" i="1"/>
  <c r="O3973" i="1"/>
  <c r="P3973" i="1" s="1"/>
  <c r="N3973" i="1"/>
  <c r="M3973" i="1"/>
  <c r="L3973" i="1"/>
  <c r="K3973" i="1"/>
  <c r="I3973" i="1"/>
  <c r="O3972" i="1"/>
  <c r="P3972" i="1" s="1"/>
  <c r="N3972" i="1"/>
  <c r="M3972" i="1"/>
  <c r="L3972" i="1"/>
  <c r="K3972" i="1"/>
  <c r="I3972" i="1"/>
  <c r="O3971" i="1"/>
  <c r="P3971" i="1" s="1"/>
  <c r="N3971" i="1"/>
  <c r="M3971" i="1"/>
  <c r="L3971" i="1"/>
  <c r="K3971" i="1"/>
  <c r="I3971" i="1"/>
  <c r="O3970" i="1"/>
  <c r="P3970" i="1" s="1"/>
  <c r="N3970" i="1"/>
  <c r="M3970" i="1"/>
  <c r="L3970" i="1"/>
  <c r="K3970" i="1"/>
  <c r="I3970" i="1"/>
  <c r="O3969" i="1"/>
  <c r="P3969" i="1" s="1"/>
  <c r="N3969" i="1"/>
  <c r="M3969" i="1"/>
  <c r="L3969" i="1"/>
  <c r="K3969" i="1"/>
  <c r="I3969" i="1"/>
  <c r="O3968" i="1"/>
  <c r="P3968" i="1" s="1"/>
  <c r="N3968" i="1"/>
  <c r="M3968" i="1"/>
  <c r="L3968" i="1"/>
  <c r="K3968" i="1"/>
  <c r="I3968" i="1"/>
  <c r="O3967" i="1"/>
  <c r="P3967" i="1" s="1"/>
  <c r="N3967" i="1"/>
  <c r="M3967" i="1"/>
  <c r="L3967" i="1"/>
  <c r="K3967" i="1"/>
  <c r="I3967" i="1"/>
  <c r="O3966" i="1"/>
  <c r="P3966" i="1" s="1"/>
  <c r="N3966" i="1"/>
  <c r="M3966" i="1"/>
  <c r="L3966" i="1"/>
  <c r="K3966" i="1"/>
  <c r="I3966" i="1"/>
  <c r="O3965" i="1"/>
  <c r="P3965" i="1" s="1"/>
  <c r="N3965" i="1"/>
  <c r="M3965" i="1"/>
  <c r="L3965" i="1"/>
  <c r="K3965" i="1"/>
  <c r="I3965" i="1"/>
  <c r="O3964" i="1"/>
  <c r="P3964" i="1" s="1"/>
  <c r="N3964" i="1"/>
  <c r="M3964" i="1"/>
  <c r="L3964" i="1"/>
  <c r="K3964" i="1"/>
  <c r="I3964" i="1"/>
  <c r="O3963" i="1"/>
  <c r="P3963" i="1" s="1"/>
  <c r="N3963" i="1"/>
  <c r="M3963" i="1"/>
  <c r="L3963" i="1"/>
  <c r="K3963" i="1"/>
  <c r="I3963" i="1"/>
  <c r="O3962" i="1"/>
  <c r="P3962" i="1" s="1"/>
  <c r="N3962" i="1"/>
  <c r="M3962" i="1"/>
  <c r="L3962" i="1"/>
  <c r="K3962" i="1"/>
  <c r="I3962" i="1"/>
  <c r="O3961" i="1"/>
  <c r="P3961" i="1" s="1"/>
  <c r="N3961" i="1"/>
  <c r="M3961" i="1"/>
  <c r="L3961" i="1"/>
  <c r="K3961" i="1"/>
  <c r="I3961" i="1"/>
  <c r="O3960" i="1"/>
  <c r="P3960" i="1" s="1"/>
  <c r="N3960" i="1"/>
  <c r="M3960" i="1"/>
  <c r="L3960" i="1"/>
  <c r="K3960" i="1"/>
  <c r="I3960" i="1"/>
  <c r="O3959" i="1"/>
  <c r="P3959" i="1" s="1"/>
  <c r="N3959" i="1"/>
  <c r="M3959" i="1"/>
  <c r="L3959" i="1"/>
  <c r="K3959" i="1"/>
  <c r="I3959" i="1"/>
  <c r="O3958" i="1"/>
  <c r="P3958" i="1" s="1"/>
  <c r="N3958" i="1"/>
  <c r="M3958" i="1"/>
  <c r="L3958" i="1"/>
  <c r="K3958" i="1"/>
  <c r="I3958" i="1"/>
  <c r="O3957" i="1"/>
  <c r="P3957" i="1" s="1"/>
  <c r="N3957" i="1"/>
  <c r="M3957" i="1"/>
  <c r="L3957" i="1"/>
  <c r="K3957" i="1"/>
  <c r="I3957" i="1"/>
  <c r="O3956" i="1"/>
  <c r="P3956" i="1" s="1"/>
  <c r="N3956" i="1"/>
  <c r="M3956" i="1"/>
  <c r="L3956" i="1"/>
  <c r="K3956" i="1"/>
  <c r="I3956" i="1"/>
  <c r="O3955" i="1"/>
  <c r="P3955" i="1" s="1"/>
  <c r="N3955" i="1"/>
  <c r="M3955" i="1"/>
  <c r="L3955" i="1"/>
  <c r="K3955" i="1"/>
  <c r="I3955" i="1"/>
  <c r="O3954" i="1"/>
  <c r="P3954" i="1" s="1"/>
  <c r="N3954" i="1"/>
  <c r="M3954" i="1"/>
  <c r="L3954" i="1"/>
  <c r="K3954" i="1"/>
  <c r="I3954" i="1"/>
  <c r="O3953" i="1"/>
  <c r="P3953" i="1" s="1"/>
  <c r="N3953" i="1"/>
  <c r="M3953" i="1"/>
  <c r="L3953" i="1"/>
  <c r="K3953" i="1"/>
  <c r="I3953" i="1"/>
  <c r="O3952" i="1"/>
  <c r="P3952" i="1" s="1"/>
  <c r="N3952" i="1"/>
  <c r="M3952" i="1"/>
  <c r="L3952" i="1"/>
  <c r="K3952" i="1"/>
  <c r="I3952" i="1"/>
  <c r="O3951" i="1"/>
  <c r="P3951" i="1" s="1"/>
  <c r="N3951" i="1"/>
  <c r="M3951" i="1"/>
  <c r="L3951" i="1"/>
  <c r="K3951" i="1"/>
  <c r="I3951" i="1"/>
  <c r="O3950" i="1"/>
  <c r="P3950" i="1" s="1"/>
  <c r="N3950" i="1"/>
  <c r="M3950" i="1"/>
  <c r="L3950" i="1"/>
  <c r="K3950" i="1"/>
  <c r="I3950" i="1"/>
  <c r="O3949" i="1"/>
  <c r="P3949" i="1" s="1"/>
  <c r="N3949" i="1"/>
  <c r="M3949" i="1"/>
  <c r="L3949" i="1"/>
  <c r="K3949" i="1"/>
  <c r="I3949" i="1"/>
  <c r="O3948" i="1"/>
  <c r="P3948" i="1" s="1"/>
  <c r="N3948" i="1"/>
  <c r="M3948" i="1"/>
  <c r="L3948" i="1"/>
  <c r="K3948" i="1"/>
  <c r="I3948" i="1"/>
  <c r="O3947" i="1"/>
  <c r="P3947" i="1" s="1"/>
  <c r="N3947" i="1"/>
  <c r="M3947" i="1"/>
  <c r="L3947" i="1"/>
  <c r="K3947" i="1"/>
  <c r="I3947" i="1"/>
  <c r="O3946" i="1"/>
  <c r="P3946" i="1" s="1"/>
  <c r="N3946" i="1"/>
  <c r="M3946" i="1"/>
  <c r="L3946" i="1"/>
  <c r="K3946" i="1"/>
  <c r="I3946" i="1"/>
  <c r="O3945" i="1"/>
  <c r="P3945" i="1" s="1"/>
  <c r="N3945" i="1"/>
  <c r="M3945" i="1"/>
  <c r="L3945" i="1"/>
  <c r="K3945" i="1"/>
  <c r="I3945" i="1"/>
  <c r="O3944" i="1"/>
  <c r="P3944" i="1" s="1"/>
  <c r="N3944" i="1"/>
  <c r="M3944" i="1"/>
  <c r="L3944" i="1"/>
  <c r="K3944" i="1"/>
  <c r="I3944" i="1"/>
  <c r="O3943" i="1"/>
  <c r="P3943" i="1" s="1"/>
  <c r="N3943" i="1"/>
  <c r="M3943" i="1"/>
  <c r="L3943" i="1"/>
  <c r="K3943" i="1"/>
  <c r="I3943" i="1"/>
  <c r="O3942" i="1"/>
  <c r="P3942" i="1" s="1"/>
  <c r="N3942" i="1"/>
  <c r="M3942" i="1"/>
  <c r="L3942" i="1"/>
  <c r="K3942" i="1"/>
  <c r="I3942" i="1"/>
  <c r="O3941" i="1"/>
  <c r="P3941" i="1" s="1"/>
  <c r="N3941" i="1"/>
  <c r="M3941" i="1"/>
  <c r="L3941" i="1"/>
  <c r="K3941" i="1"/>
  <c r="I3941" i="1"/>
  <c r="O3940" i="1"/>
  <c r="P3940" i="1" s="1"/>
  <c r="N3940" i="1"/>
  <c r="M3940" i="1"/>
  <c r="L3940" i="1"/>
  <c r="K3940" i="1"/>
  <c r="I3940" i="1"/>
  <c r="O3939" i="1"/>
  <c r="P3939" i="1" s="1"/>
  <c r="N3939" i="1"/>
  <c r="M3939" i="1"/>
  <c r="L3939" i="1"/>
  <c r="K3939" i="1"/>
  <c r="I3939" i="1"/>
  <c r="O3938" i="1"/>
  <c r="P3938" i="1" s="1"/>
  <c r="N3938" i="1"/>
  <c r="M3938" i="1"/>
  <c r="L3938" i="1"/>
  <c r="K3938" i="1"/>
  <c r="I3938" i="1"/>
  <c r="O3937" i="1"/>
  <c r="P3937" i="1" s="1"/>
  <c r="N3937" i="1"/>
  <c r="M3937" i="1"/>
  <c r="L3937" i="1"/>
  <c r="K3937" i="1"/>
  <c r="I3937" i="1"/>
  <c r="O3936" i="1"/>
  <c r="P3936" i="1" s="1"/>
  <c r="N3936" i="1"/>
  <c r="M3936" i="1"/>
  <c r="L3936" i="1"/>
  <c r="K3936" i="1"/>
  <c r="I3936" i="1"/>
  <c r="O3935" i="1"/>
  <c r="P3935" i="1" s="1"/>
  <c r="N3935" i="1"/>
  <c r="M3935" i="1"/>
  <c r="L3935" i="1"/>
  <c r="K3935" i="1"/>
  <c r="I3935" i="1"/>
  <c r="O3934" i="1"/>
  <c r="P3934" i="1" s="1"/>
  <c r="N3934" i="1"/>
  <c r="M3934" i="1"/>
  <c r="L3934" i="1"/>
  <c r="K3934" i="1"/>
  <c r="I3934" i="1"/>
  <c r="O3933" i="1"/>
  <c r="P3933" i="1" s="1"/>
  <c r="N3933" i="1"/>
  <c r="M3933" i="1"/>
  <c r="L3933" i="1"/>
  <c r="K3933" i="1"/>
  <c r="I3933" i="1"/>
  <c r="O3932" i="1"/>
  <c r="P3932" i="1" s="1"/>
  <c r="N3932" i="1"/>
  <c r="M3932" i="1"/>
  <c r="L3932" i="1"/>
  <c r="K3932" i="1"/>
  <c r="I3932" i="1"/>
  <c r="O3931" i="1"/>
  <c r="P3931" i="1" s="1"/>
  <c r="N3931" i="1"/>
  <c r="M3931" i="1"/>
  <c r="L3931" i="1"/>
  <c r="K3931" i="1"/>
  <c r="I3931" i="1"/>
  <c r="O3930" i="1"/>
  <c r="P3930" i="1" s="1"/>
  <c r="N3930" i="1"/>
  <c r="M3930" i="1"/>
  <c r="L3930" i="1"/>
  <c r="K3930" i="1"/>
  <c r="I3930" i="1"/>
  <c r="O3929" i="1"/>
  <c r="P3929" i="1" s="1"/>
  <c r="N3929" i="1"/>
  <c r="M3929" i="1"/>
  <c r="L3929" i="1"/>
  <c r="K3929" i="1"/>
  <c r="I3929" i="1"/>
  <c r="O3928" i="1"/>
  <c r="P3928" i="1" s="1"/>
  <c r="N3928" i="1"/>
  <c r="M3928" i="1"/>
  <c r="L3928" i="1"/>
  <c r="K3928" i="1"/>
  <c r="I3928" i="1"/>
  <c r="O3927" i="1"/>
  <c r="P3927" i="1" s="1"/>
  <c r="N3927" i="1"/>
  <c r="M3927" i="1"/>
  <c r="L3927" i="1"/>
  <c r="K3927" i="1"/>
  <c r="I3927" i="1"/>
  <c r="O3926" i="1"/>
  <c r="P3926" i="1" s="1"/>
  <c r="N3926" i="1"/>
  <c r="M3926" i="1"/>
  <c r="L3926" i="1"/>
  <c r="K3926" i="1"/>
  <c r="I3926" i="1"/>
  <c r="O3925" i="1"/>
  <c r="P3925" i="1" s="1"/>
  <c r="N3925" i="1"/>
  <c r="M3925" i="1"/>
  <c r="L3925" i="1"/>
  <c r="K3925" i="1"/>
  <c r="I3925" i="1"/>
  <c r="O3924" i="1"/>
  <c r="P3924" i="1" s="1"/>
  <c r="N3924" i="1"/>
  <c r="M3924" i="1"/>
  <c r="L3924" i="1"/>
  <c r="K3924" i="1"/>
  <c r="I3924" i="1"/>
  <c r="O3923" i="1"/>
  <c r="P3923" i="1" s="1"/>
  <c r="N3923" i="1"/>
  <c r="M3923" i="1"/>
  <c r="L3923" i="1"/>
  <c r="K3923" i="1"/>
  <c r="I3923" i="1"/>
  <c r="O3922" i="1"/>
  <c r="P3922" i="1" s="1"/>
  <c r="N3922" i="1"/>
  <c r="M3922" i="1"/>
  <c r="L3922" i="1"/>
  <c r="K3922" i="1"/>
  <c r="I3922" i="1"/>
  <c r="O3921" i="1"/>
  <c r="P3921" i="1" s="1"/>
  <c r="N3921" i="1"/>
  <c r="M3921" i="1"/>
  <c r="L3921" i="1"/>
  <c r="K3921" i="1"/>
  <c r="I3921" i="1"/>
  <c r="O3920" i="1"/>
  <c r="P3920" i="1" s="1"/>
  <c r="N3920" i="1"/>
  <c r="M3920" i="1"/>
  <c r="L3920" i="1"/>
  <c r="K3920" i="1"/>
  <c r="I3920" i="1"/>
  <c r="O3919" i="1"/>
  <c r="P3919" i="1" s="1"/>
  <c r="N3919" i="1"/>
  <c r="M3919" i="1"/>
  <c r="L3919" i="1"/>
  <c r="K3919" i="1"/>
  <c r="I3919" i="1"/>
  <c r="O3918" i="1"/>
  <c r="P3918" i="1" s="1"/>
  <c r="N3918" i="1"/>
  <c r="M3918" i="1"/>
  <c r="L3918" i="1"/>
  <c r="K3918" i="1"/>
  <c r="I3918" i="1"/>
  <c r="O3917" i="1"/>
  <c r="P3917" i="1" s="1"/>
  <c r="N3917" i="1"/>
  <c r="M3917" i="1"/>
  <c r="L3917" i="1"/>
  <c r="K3917" i="1"/>
  <c r="I3917" i="1"/>
  <c r="O3916" i="1"/>
  <c r="P3916" i="1" s="1"/>
  <c r="N3916" i="1"/>
  <c r="M3916" i="1"/>
  <c r="L3916" i="1"/>
  <c r="K3916" i="1"/>
  <c r="I3916" i="1"/>
  <c r="O3915" i="1"/>
  <c r="P3915" i="1" s="1"/>
  <c r="N3915" i="1"/>
  <c r="M3915" i="1"/>
  <c r="L3915" i="1"/>
  <c r="K3915" i="1"/>
  <c r="I3915" i="1"/>
  <c r="O3914" i="1"/>
  <c r="P3914" i="1" s="1"/>
  <c r="N3914" i="1"/>
  <c r="M3914" i="1"/>
  <c r="L3914" i="1"/>
  <c r="K3914" i="1"/>
  <c r="I3914" i="1"/>
  <c r="O3913" i="1"/>
  <c r="P3913" i="1" s="1"/>
  <c r="N3913" i="1"/>
  <c r="M3913" i="1"/>
  <c r="L3913" i="1"/>
  <c r="K3913" i="1"/>
  <c r="I3913" i="1"/>
  <c r="O3912" i="1"/>
  <c r="P3912" i="1" s="1"/>
  <c r="N3912" i="1"/>
  <c r="M3912" i="1"/>
  <c r="L3912" i="1"/>
  <c r="K3912" i="1"/>
  <c r="I3912" i="1"/>
  <c r="O3911" i="1"/>
  <c r="P3911" i="1" s="1"/>
  <c r="N3911" i="1"/>
  <c r="M3911" i="1"/>
  <c r="L3911" i="1"/>
  <c r="K3911" i="1"/>
  <c r="I3911" i="1"/>
  <c r="O3910" i="1"/>
  <c r="P3910" i="1" s="1"/>
  <c r="N3910" i="1"/>
  <c r="M3910" i="1"/>
  <c r="L3910" i="1"/>
  <c r="K3910" i="1"/>
  <c r="I3910" i="1"/>
  <c r="O3909" i="1"/>
  <c r="P3909" i="1" s="1"/>
  <c r="N3909" i="1"/>
  <c r="M3909" i="1"/>
  <c r="L3909" i="1"/>
  <c r="K3909" i="1"/>
  <c r="I3909" i="1"/>
  <c r="O3908" i="1"/>
  <c r="P3908" i="1" s="1"/>
  <c r="N3908" i="1"/>
  <c r="M3908" i="1"/>
  <c r="L3908" i="1"/>
  <c r="K3908" i="1"/>
  <c r="I3908" i="1"/>
  <c r="O3907" i="1"/>
  <c r="P3907" i="1" s="1"/>
  <c r="N3907" i="1"/>
  <c r="M3907" i="1"/>
  <c r="L3907" i="1"/>
  <c r="K3907" i="1"/>
  <c r="I3907" i="1"/>
  <c r="O3906" i="1"/>
  <c r="P3906" i="1" s="1"/>
  <c r="N3906" i="1"/>
  <c r="M3906" i="1"/>
  <c r="L3906" i="1"/>
  <c r="K3906" i="1"/>
  <c r="I3906" i="1"/>
  <c r="O3905" i="1"/>
  <c r="P3905" i="1" s="1"/>
  <c r="N3905" i="1"/>
  <c r="M3905" i="1"/>
  <c r="L3905" i="1"/>
  <c r="K3905" i="1"/>
  <c r="I3905" i="1"/>
  <c r="O3904" i="1"/>
  <c r="P3904" i="1" s="1"/>
  <c r="N3904" i="1"/>
  <c r="M3904" i="1"/>
  <c r="L3904" i="1"/>
  <c r="K3904" i="1"/>
  <c r="I3904" i="1"/>
  <c r="O3903" i="1"/>
  <c r="P3903" i="1" s="1"/>
  <c r="N3903" i="1"/>
  <c r="M3903" i="1"/>
  <c r="L3903" i="1"/>
  <c r="K3903" i="1"/>
  <c r="I3903" i="1"/>
  <c r="O3902" i="1"/>
  <c r="P3902" i="1" s="1"/>
  <c r="N3902" i="1"/>
  <c r="M3902" i="1"/>
  <c r="L3902" i="1"/>
  <c r="K3902" i="1"/>
  <c r="I3902" i="1"/>
  <c r="O3901" i="1"/>
  <c r="P3901" i="1" s="1"/>
  <c r="N3901" i="1"/>
  <c r="M3901" i="1"/>
  <c r="L3901" i="1"/>
  <c r="K3901" i="1"/>
  <c r="I3901" i="1"/>
  <c r="O3900" i="1"/>
  <c r="P3900" i="1" s="1"/>
  <c r="N3900" i="1"/>
  <c r="M3900" i="1"/>
  <c r="L3900" i="1"/>
  <c r="K3900" i="1"/>
  <c r="I3900" i="1"/>
  <c r="O3899" i="1"/>
  <c r="P3899" i="1" s="1"/>
  <c r="N3899" i="1"/>
  <c r="M3899" i="1"/>
  <c r="L3899" i="1"/>
  <c r="K3899" i="1"/>
  <c r="I3899" i="1"/>
  <c r="O3898" i="1"/>
  <c r="P3898" i="1" s="1"/>
  <c r="N3898" i="1"/>
  <c r="M3898" i="1"/>
  <c r="L3898" i="1"/>
  <c r="K3898" i="1"/>
  <c r="I3898" i="1"/>
  <c r="O3897" i="1"/>
  <c r="P3897" i="1" s="1"/>
  <c r="N3897" i="1"/>
  <c r="M3897" i="1"/>
  <c r="L3897" i="1"/>
  <c r="K3897" i="1"/>
  <c r="I3897" i="1"/>
  <c r="O3896" i="1"/>
  <c r="P3896" i="1" s="1"/>
  <c r="N3896" i="1"/>
  <c r="M3896" i="1"/>
  <c r="L3896" i="1"/>
  <c r="K3896" i="1"/>
  <c r="I3896" i="1"/>
  <c r="O3895" i="1"/>
  <c r="P3895" i="1" s="1"/>
  <c r="N3895" i="1"/>
  <c r="M3895" i="1"/>
  <c r="L3895" i="1"/>
  <c r="K3895" i="1"/>
  <c r="I3895" i="1"/>
  <c r="O3894" i="1"/>
  <c r="P3894" i="1" s="1"/>
  <c r="N3894" i="1"/>
  <c r="M3894" i="1"/>
  <c r="L3894" i="1"/>
  <c r="K3894" i="1"/>
  <c r="I3894" i="1"/>
  <c r="O3893" i="1"/>
  <c r="P3893" i="1" s="1"/>
  <c r="N3893" i="1"/>
  <c r="M3893" i="1"/>
  <c r="L3893" i="1"/>
  <c r="K3893" i="1"/>
  <c r="I3893" i="1"/>
  <c r="O3892" i="1"/>
  <c r="P3892" i="1" s="1"/>
  <c r="N3892" i="1"/>
  <c r="M3892" i="1"/>
  <c r="L3892" i="1"/>
  <c r="K3892" i="1"/>
  <c r="I3892" i="1"/>
  <c r="O3891" i="1"/>
  <c r="P3891" i="1" s="1"/>
  <c r="N3891" i="1"/>
  <c r="M3891" i="1"/>
  <c r="L3891" i="1"/>
  <c r="K3891" i="1"/>
  <c r="I3891" i="1"/>
  <c r="O3890" i="1"/>
  <c r="P3890" i="1" s="1"/>
  <c r="N3890" i="1"/>
  <c r="M3890" i="1"/>
  <c r="L3890" i="1"/>
  <c r="K3890" i="1"/>
  <c r="I3890" i="1"/>
  <c r="O3889" i="1"/>
  <c r="P3889" i="1" s="1"/>
  <c r="N3889" i="1"/>
  <c r="M3889" i="1"/>
  <c r="L3889" i="1"/>
  <c r="K3889" i="1"/>
  <c r="I3889" i="1"/>
  <c r="O3888" i="1"/>
  <c r="P3888" i="1" s="1"/>
  <c r="N3888" i="1"/>
  <c r="M3888" i="1"/>
  <c r="L3888" i="1"/>
  <c r="K3888" i="1"/>
  <c r="I3888" i="1"/>
  <c r="O3887" i="1"/>
  <c r="P3887" i="1" s="1"/>
  <c r="N3887" i="1"/>
  <c r="M3887" i="1"/>
  <c r="L3887" i="1"/>
  <c r="K3887" i="1"/>
  <c r="I3887" i="1"/>
  <c r="O3886" i="1"/>
  <c r="P3886" i="1" s="1"/>
  <c r="N3886" i="1"/>
  <c r="M3886" i="1"/>
  <c r="L3886" i="1"/>
  <c r="K3886" i="1"/>
  <c r="I3886" i="1"/>
  <c r="O3885" i="1"/>
  <c r="P3885" i="1" s="1"/>
  <c r="N3885" i="1"/>
  <c r="M3885" i="1"/>
  <c r="L3885" i="1"/>
  <c r="K3885" i="1"/>
  <c r="I3885" i="1"/>
  <c r="O3884" i="1"/>
  <c r="P3884" i="1" s="1"/>
  <c r="N3884" i="1"/>
  <c r="M3884" i="1"/>
  <c r="L3884" i="1"/>
  <c r="K3884" i="1"/>
  <c r="I3884" i="1"/>
  <c r="O3883" i="1"/>
  <c r="P3883" i="1" s="1"/>
  <c r="N3883" i="1"/>
  <c r="M3883" i="1"/>
  <c r="L3883" i="1"/>
  <c r="K3883" i="1"/>
  <c r="I3883" i="1"/>
  <c r="O3882" i="1"/>
  <c r="P3882" i="1" s="1"/>
  <c r="N3882" i="1"/>
  <c r="M3882" i="1"/>
  <c r="L3882" i="1"/>
  <c r="K3882" i="1"/>
  <c r="I3882" i="1"/>
  <c r="O3881" i="1"/>
  <c r="P3881" i="1" s="1"/>
  <c r="N3881" i="1"/>
  <c r="M3881" i="1"/>
  <c r="L3881" i="1"/>
  <c r="K3881" i="1"/>
  <c r="I3881" i="1"/>
  <c r="O3880" i="1"/>
  <c r="P3880" i="1" s="1"/>
  <c r="N3880" i="1"/>
  <c r="M3880" i="1"/>
  <c r="L3880" i="1"/>
  <c r="K3880" i="1"/>
  <c r="I3880" i="1"/>
  <c r="O3879" i="1"/>
  <c r="P3879" i="1" s="1"/>
  <c r="N3879" i="1"/>
  <c r="M3879" i="1"/>
  <c r="L3879" i="1"/>
  <c r="K3879" i="1"/>
  <c r="I3879" i="1"/>
  <c r="O3878" i="1"/>
  <c r="P3878" i="1" s="1"/>
  <c r="N3878" i="1"/>
  <c r="M3878" i="1"/>
  <c r="L3878" i="1"/>
  <c r="K3878" i="1"/>
  <c r="I3878" i="1"/>
  <c r="O3877" i="1"/>
  <c r="P3877" i="1" s="1"/>
  <c r="N3877" i="1"/>
  <c r="M3877" i="1"/>
  <c r="L3877" i="1"/>
  <c r="K3877" i="1"/>
  <c r="I3877" i="1"/>
  <c r="O3876" i="1"/>
  <c r="P3876" i="1" s="1"/>
  <c r="N3876" i="1"/>
  <c r="M3876" i="1"/>
  <c r="L3876" i="1"/>
  <c r="K3876" i="1"/>
  <c r="I3876" i="1"/>
  <c r="O3875" i="1"/>
  <c r="P3875" i="1" s="1"/>
  <c r="N3875" i="1"/>
  <c r="M3875" i="1"/>
  <c r="L3875" i="1"/>
  <c r="K3875" i="1"/>
  <c r="I3875" i="1"/>
  <c r="O3874" i="1"/>
  <c r="P3874" i="1" s="1"/>
  <c r="N3874" i="1"/>
  <c r="M3874" i="1"/>
  <c r="L3874" i="1"/>
  <c r="K3874" i="1"/>
  <c r="I3874" i="1"/>
  <c r="O3873" i="1"/>
  <c r="P3873" i="1" s="1"/>
  <c r="N3873" i="1"/>
  <c r="M3873" i="1"/>
  <c r="L3873" i="1"/>
  <c r="K3873" i="1"/>
  <c r="I3873" i="1"/>
  <c r="O3872" i="1"/>
  <c r="P3872" i="1" s="1"/>
  <c r="N3872" i="1"/>
  <c r="M3872" i="1"/>
  <c r="L3872" i="1"/>
  <c r="K3872" i="1"/>
  <c r="I3872" i="1"/>
  <c r="O3871" i="1"/>
  <c r="P3871" i="1" s="1"/>
  <c r="N3871" i="1"/>
  <c r="M3871" i="1"/>
  <c r="L3871" i="1"/>
  <c r="K3871" i="1"/>
  <c r="I3871" i="1"/>
  <c r="O3870" i="1"/>
  <c r="P3870" i="1" s="1"/>
  <c r="N3870" i="1"/>
  <c r="M3870" i="1"/>
  <c r="L3870" i="1"/>
  <c r="K3870" i="1"/>
  <c r="I3870" i="1"/>
  <c r="O3869" i="1"/>
  <c r="P3869" i="1" s="1"/>
  <c r="N3869" i="1"/>
  <c r="M3869" i="1"/>
  <c r="L3869" i="1"/>
  <c r="K3869" i="1"/>
  <c r="I3869" i="1"/>
  <c r="O3868" i="1"/>
  <c r="P3868" i="1" s="1"/>
  <c r="N3868" i="1"/>
  <c r="M3868" i="1"/>
  <c r="L3868" i="1"/>
  <c r="K3868" i="1"/>
  <c r="I3868" i="1"/>
  <c r="O3867" i="1"/>
  <c r="P3867" i="1" s="1"/>
  <c r="N3867" i="1"/>
  <c r="M3867" i="1"/>
  <c r="L3867" i="1"/>
  <c r="K3867" i="1"/>
  <c r="I3867" i="1"/>
  <c r="O3866" i="1"/>
  <c r="P3866" i="1" s="1"/>
  <c r="N3866" i="1"/>
  <c r="M3866" i="1"/>
  <c r="L3866" i="1"/>
  <c r="K3866" i="1"/>
  <c r="I3866" i="1"/>
  <c r="O3865" i="1"/>
  <c r="P3865" i="1" s="1"/>
  <c r="N3865" i="1"/>
  <c r="M3865" i="1"/>
  <c r="L3865" i="1"/>
  <c r="K3865" i="1"/>
  <c r="I3865" i="1"/>
  <c r="O3864" i="1"/>
  <c r="P3864" i="1" s="1"/>
  <c r="N3864" i="1"/>
  <c r="M3864" i="1"/>
  <c r="L3864" i="1"/>
  <c r="K3864" i="1"/>
  <c r="I3864" i="1"/>
  <c r="O3863" i="1"/>
  <c r="P3863" i="1" s="1"/>
  <c r="N3863" i="1"/>
  <c r="M3863" i="1"/>
  <c r="L3863" i="1"/>
  <c r="K3863" i="1"/>
  <c r="I3863" i="1"/>
  <c r="O3862" i="1"/>
  <c r="P3862" i="1" s="1"/>
  <c r="N3862" i="1"/>
  <c r="M3862" i="1"/>
  <c r="L3862" i="1"/>
  <c r="K3862" i="1"/>
  <c r="I3862" i="1"/>
  <c r="O3861" i="1"/>
  <c r="P3861" i="1" s="1"/>
  <c r="N3861" i="1"/>
  <c r="M3861" i="1"/>
  <c r="L3861" i="1"/>
  <c r="K3861" i="1"/>
  <c r="I3861" i="1"/>
  <c r="O3860" i="1"/>
  <c r="P3860" i="1" s="1"/>
  <c r="N3860" i="1"/>
  <c r="M3860" i="1"/>
  <c r="L3860" i="1"/>
  <c r="K3860" i="1"/>
  <c r="I3860" i="1"/>
  <c r="O3859" i="1"/>
  <c r="P3859" i="1" s="1"/>
  <c r="N3859" i="1"/>
  <c r="M3859" i="1"/>
  <c r="L3859" i="1"/>
  <c r="K3859" i="1"/>
  <c r="I3859" i="1"/>
  <c r="O3858" i="1"/>
  <c r="P3858" i="1" s="1"/>
  <c r="N3858" i="1"/>
  <c r="M3858" i="1"/>
  <c r="L3858" i="1"/>
  <c r="K3858" i="1"/>
  <c r="I3858" i="1"/>
  <c r="O3857" i="1"/>
  <c r="P3857" i="1" s="1"/>
  <c r="N3857" i="1"/>
  <c r="M3857" i="1"/>
  <c r="L3857" i="1"/>
  <c r="K3857" i="1"/>
  <c r="I3857" i="1"/>
  <c r="O3856" i="1"/>
  <c r="P3856" i="1" s="1"/>
  <c r="N3856" i="1"/>
  <c r="M3856" i="1"/>
  <c r="L3856" i="1"/>
  <c r="K3856" i="1"/>
  <c r="I3856" i="1"/>
  <c r="O3855" i="1"/>
  <c r="P3855" i="1" s="1"/>
  <c r="N3855" i="1"/>
  <c r="M3855" i="1"/>
  <c r="L3855" i="1"/>
  <c r="K3855" i="1"/>
  <c r="I3855" i="1"/>
  <c r="O3854" i="1"/>
  <c r="P3854" i="1" s="1"/>
  <c r="N3854" i="1"/>
  <c r="M3854" i="1"/>
  <c r="L3854" i="1"/>
  <c r="K3854" i="1"/>
  <c r="I3854" i="1"/>
  <c r="O3853" i="1"/>
  <c r="P3853" i="1" s="1"/>
  <c r="N3853" i="1"/>
  <c r="M3853" i="1"/>
  <c r="L3853" i="1"/>
  <c r="K3853" i="1"/>
  <c r="I3853" i="1"/>
  <c r="O3852" i="1"/>
  <c r="P3852" i="1" s="1"/>
  <c r="N3852" i="1"/>
  <c r="M3852" i="1"/>
  <c r="L3852" i="1"/>
  <c r="K3852" i="1"/>
  <c r="I3852" i="1"/>
  <c r="O3851" i="1"/>
  <c r="P3851" i="1" s="1"/>
  <c r="N3851" i="1"/>
  <c r="M3851" i="1"/>
  <c r="L3851" i="1"/>
  <c r="K3851" i="1"/>
  <c r="I3851" i="1"/>
  <c r="O3850" i="1"/>
  <c r="P3850" i="1" s="1"/>
  <c r="N3850" i="1"/>
  <c r="M3850" i="1"/>
  <c r="L3850" i="1"/>
  <c r="K3850" i="1"/>
  <c r="I3850" i="1"/>
  <c r="O3849" i="1"/>
  <c r="P3849" i="1" s="1"/>
  <c r="N3849" i="1"/>
  <c r="M3849" i="1"/>
  <c r="L3849" i="1"/>
  <c r="K3849" i="1"/>
  <c r="I3849" i="1"/>
  <c r="O3848" i="1"/>
  <c r="P3848" i="1" s="1"/>
  <c r="N3848" i="1"/>
  <c r="M3848" i="1"/>
  <c r="L3848" i="1"/>
  <c r="K3848" i="1"/>
  <c r="I3848" i="1"/>
  <c r="O3847" i="1"/>
  <c r="P3847" i="1" s="1"/>
  <c r="N3847" i="1"/>
  <c r="M3847" i="1"/>
  <c r="L3847" i="1"/>
  <c r="K3847" i="1"/>
  <c r="I3847" i="1"/>
  <c r="O3846" i="1"/>
  <c r="P3846" i="1" s="1"/>
  <c r="N3846" i="1"/>
  <c r="M3846" i="1"/>
  <c r="L3846" i="1"/>
  <c r="K3846" i="1"/>
  <c r="I3846" i="1"/>
  <c r="O3845" i="1"/>
  <c r="P3845" i="1" s="1"/>
  <c r="N3845" i="1"/>
  <c r="M3845" i="1"/>
  <c r="L3845" i="1"/>
  <c r="K3845" i="1"/>
  <c r="I3845" i="1"/>
  <c r="O3844" i="1"/>
  <c r="P3844" i="1" s="1"/>
  <c r="N3844" i="1"/>
  <c r="M3844" i="1"/>
  <c r="L3844" i="1"/>
  <c r="K3844" i="1"/>
  <c r="I3844" i="1"/>
  <c r="O3843" i="1"/>
  <c r="P3843" i="1" s="1"/>
  <c r="N3843" i="1"/>
  <c r="M3843" i="1"/>
  <c r="L3843" i="1"/>
  <c r="K3843" i="1"/>
  <c r="I3843" i="1"/>
  <c r="O3842" i="1"/>
  <c r="P3842" i="1" s="1"/>
  <c r="N3842" i="1"/>
  <c r="M3842" i="1"/>
  <c r="L3842" i="1"/>
  <c r="K3842" i="1"/>
  <c r="I3842" i="1"/>
  <c r="O3841" i="1"/>
  <c r="P3841" i="1" s="1"/>
  <c r="N3841" i="1"/>
  <c r="M3841" i="1"/>
  <c r="L3841" i="1"/>
  <c r="K3841" i="1"/>
  <c r="I3841" i="1"/>
  <c r="O3840" i="1"/>
  <c r="P3840" i="1" s="1"/>
  <c r="N3840" i="1"/>
  <c r="M3840" i="1"/>
  <c r="L3840" i="1"/>
  <c r="K3840" i="1"/>
  <c r="I3840" i="1"/>
  <c r="O3839" i="1"/>
  <c r="P3839" i="1" s="1"/>
  <c r="N3839" i="1"/>
  <c r="M3839" i="1"/>
  <c r="L3839" i="1"/>
  <c r="K3839" i="1"/>
  <c r="I3839" i="1"/>
  <c r="O3838" i="1"/>
  <c r="P3838" i="1" s="1"/>
  <c r="N3838" i="1"/>
  <c r="M3838" i="1"/>
  <c r="L3838" i="1"/>
  <c r="K3838" i="1"/>
  <c r="I3838" i="1"/>
  <c r="O3837" i="1"/>
  <c r="P3837" i="1" s="1"/>
  <c r="N3837" i="1"/>
  <c r="M3837" i="1"/>
  <c r="L3837" i="1"/>
  <c r="K3837" i="1"/>
  <c r="I3837" i="1"/>
  <c r="O3836" i="1"/>
  <c r="P3836" i="1" s="1"/>
  <c r="N3836" i="1"/>
  <c r="M3836" i="1"/>
  <c r="L3836" i="1"/>
  <c r="K3836" i="1"/>
  <c r="I3836" i="1"/>
  <c r="O3835" i="1"/>
  <c r="P3835" i="1" s="1"/>
  <c r="N3835" i="1"/>
  <c r="M3835" i="1"/>
  <c r="L3835" i="1"/>
  <c r="K3835" i="1"/>
  <c r="I3835" i="1"/>
  <c r="O3834" i="1"/>
  <c r="P3834" i="1" s="1"/>
  <c r="N3834" i="1"/>
  <c r="M3834" i="1"/>
  <c r="L3834" i="1"/>
  <c r="K3834" i="1"/>
  <c r="I3834" i="1"/>
  <c r="O3833" i="1"/>
  <c r="P3833" i="1" s="1"/>
  <c r="N3833" i="1"/>
  <c r="M3833" i="1"/>
  <c r="L3833" i="1"/>
  <c r="K3833" i="1"/>
  <c r="I3833" i="1"/>
  <c r="O3832" i="1"/>
  <c r="P3832" i="1" s="1"/>
  <c r="N3832" i="1"/>
  <c r="M3832" i="1"/>
  <c r="L3832" i="1"/>
  <c r="K3832" i="1"/>
  <c r="I3832" i="1"/>
  <c r="O3831" i="1"/>
  <c r="P3831" i="1" s="1"/>
  <c r="N3831" i="1"/>
  <c r="M3831" i="1"/>
  <c r="L3831" i="1"/>
  <c r="K3831" i="1"/>
  <c r="I3831" i="1"/>
  <c r="O3830" i="1"/>
  <c r="P3830" i="1" s="1"/>
  <c r="N3830" i="1"/>
  <c r="M3830" i="1"/>
  <c r="L3830" i="1"/>
  <c r="K3830" i="1"/>
  <c r="I3830" i="1"/>
  <c r="O3829" i="1"/>
  <c r="P3829" i="1" s="1"/>
  <c r="N3829" i="1"/>
  <c r="M3829" i="1"/>
  <c r="L3829" i="1"/>
  <c r="K3829" i="1"/>
  <c r="I3829" i="1"/>
  <c r="O3828" i="1"/>
  <c r="P3828" i="1" s="1"/>
  <c r="N3828" i="1"/>
  <c r="M3828" i="1"/>
  <c r="L3828" i="1"/>
  <c r="K3828" i="1"/>
  <c r="I3828" i="1"/>
  <c r="O3827" i="1"/>
  <c r="P3827" i="1" s="1"/>
  <c r="N3827" i="1"/>
  <c r="M3827" i="1"/>
  <c r="L3827" i="1"/>
  <c r="K3827" i="1"/>
  <c r="I3827" i="1"/>
  <c r="O3826" i="1"/>
  <c r="P3826" i="1" s="1"/>
  <c r="N3826" i="1"/>
  <c r="M3826" i="1"/>
  <c r="L3826" i="1"/>
  <c r="K3826" i="1"/>
  <c r="I3826" i="1"/>
  <c r="O3825" i="1"/>
  <c r="P3825" i="1" s="1"/>
  <c r="N3825" i="1"/>
  <c r="M3825" i="1"/>
  <c r="L3825" i="1"/>
  <c r="K3825" i="1"/>
  <c r="I3825" i="1"/>
  <c r="O3824" i="1"/>
  <c r="P3824" i="1" s="1"/>
  <c r="N3824" i="1"/>
  <c r="M3824" i="1"/>
  <c r="L3824" i="1"/>
  <c r="K3824" i="1"/>
  <c r="I3824" i="1"/>
  <c r="O3823" i="1"/>
  <c r="P3823" i="1" s="1"/>
  <c r="N3823" i="1"/>
  <c r="M3823" i="1"/>
  <c r="L3823" i="1"/>
  <c r="K3823" i="1"/>
  <c r="I3823" i="1"/>
  <c r="O3822" i="1"/>
  <c r="P3822" i="1" s="1"/>
  <c r="N3822" i="1"/>
  <c r="M3822" i="1"/>
  <c r="L3822" i="1"/>
  <c r="K3822" i="1"/>
  <c r="I3822" i="1"/>
  <c r="O3821" i="1"/>
  <c r="P3821" i="1" s="1"/>
  <c r="N3821" i="1"/>
  <c r="M3821" i="1"/>
  <c r="L3821" i="1"/>
  <c r="K3821" i="1"/>
  <c r="I3821" i="1"/>
  <c r="O3820" i="1"/>
  <c r="P3820" i="1" s="1"/>
  <c r="N3820" i="1"/>
  <c r="M3820" i="1"/>
  <c r="L3820" i="1"/>
  <c r="K3820" i="1"/>
  <c r="I3820" i="1"/>
  <c r="O3819" i="1"/>
  <c r="P3819" i="1" s="1"/>
  <c r="N3819" i="1"/>
  <c r="M3819" i="1"/>
  <c r="L3819" i="1"/>
  <c r="K3819" i="1"/>
  <c r="I3819" i="1"/>
  <c r="O3818" i="1"/>
  <c r="P3818" i="1" s="1"/>
  <c r="N3818" i="1"/>
  <c r="M3818" i="1"/>
  <c r="L3818" i="1"/>
  <c r="K3818" i="1"/>
  <c r="I3818" i="1"/>
  <c r="O3817" i="1"/>
  <c r="P3817" i="1" s="1"/>
  <c r="N3817" i="1"/>
  <c r="M3817" i="1"/>
  <c r="L3817" i="1"/>
  <c r="K3817" i="1"/>
  <c r="I3817" i="1"/>
  <c r="O3816" i="1"/>
  <c r="P3816" i="1" s="1"/>
  <c r="N3816" i="1"/>
  <c r="M3816" i="1"/>
  <c r="L3816" i="1"/>
  <c r="K3816" i="1"/>
  <c r="I3816" i="1"/>
  <c r="O3815" i="1"/>
  <c r="P3815" i="1" s="1"/>
  <c r="N3815" i="1"/>
  <c r="M3815" i="1"/>
  <c r="L3815" i="1"/>
  <c r="K3815" i="1"/>
  <c r="I3815" i="1"/>
  <c r="O3814" i="1"/>
  <c r="P3814" i="1" s="1"/>
  <c r="N3814" i="1"/>
  <c r="M3814" i="1"/>
  <c r="L3814" i="1"/>
  <c r="K3814" i="1"/>
  <c r="I3814" i="1"/>
  <c r="O3813" i="1"/>
  <c r="P3813" i="1" s="1"/>
  <c r="N3813" i="1"/>
  <c r="M3813" i="1"/>
  <c r="L3813" i="1"/>
  <c r="K3813" i="1"/>
  <c r="I3813" i="1"/>
  <c r="O3812" i="1"/>
  <c r="P3812" i="1" s="1"/>
  <c r="N3812" i="1"/>
  <c r="M3812" i="1"/>
  <c r="L3812" i="1"/>
  <c r="K3812" i="1"/>
  <c r="I3812" i="1"/>
  <c r="O3811" i="1"/>
  <c r="P3811" i="1" s="1"/>
  <c r="N3811" i="1"/>
  <c r="M3811" i="1"/>
  <c r="L3811" i="1"/>
  <c r="K3811" i="1"/>
  <c r="I3811" i="1"/>
  <c r="O3810" i="1"/>
  <c r="P3810" i="1" s="1"/>
  <c r="N3810" i="1"/>
  <c r="M3810" i="1"/>
  <c r="L3810" i="1"/>
  <c r="K3810" i="1"/>
  <c r="I3810" i="1"/>
  <c r="O3809" i="1"/>
  <c r="P3809" i="1" s="1"/>
  <c r="N3809" i="1"/>
  <c r="M3809" i="1"/>
  <c r="L3809" i="1"/>
  <c r="K3809" i="1"/>
  <c r="I3809" i="1"/>
  <c r="O3808" i="1"/>
  <c r="P3808" i="1" s="1"/>
  <c r="N3808" i="1"/>
  <c r="M3808" i="1"/>
  <c r="L3808" i="1"/>
  <c r="K3808" i="1"/>
  <c r="I3808" i="1"/>
  <c r="O3807" i="1"/>
  <c r="P3807" i="1" s="1"/>
  <c r="N3807" i="1"/>
  <c r="M3807" i="1"/>
  <c r="L3807" i="1"/>
  <c r="K3807" i="1"/>
  <c r="I3807" i="1"/>
  <c r="O3806" i="1"/>
  <c r="P3806" i="1" s="1"/>
  <c r="N3806" i="1"/>
  <c r="M3806" i="1"/>
  <c r="L3806" i="1"/>
  <c r="K3806" i="1"/>
  <c r="I3806" i="1"/>
  <c r="O3805" i="1"/>
  <c r="P3805" i="1" s="1"/>
  <c r="N3805" i="1"/>
  <c r="M3805" i="1"/>
  <c r="L3805" i="1"/>
  <c r="K3805" i="1"/>
  <c r="I3805" i="1"/>
  <c r="O3804" i="1"/>
  <c r="P3804" i="1" s="1"/>
  <c r="N3804" i="1"/>
  <c r="M3804" i="1"/>
  <c r="L3804" i="1"/>
  <c r="K3804" i="1"/>
  <c r="I3804" i="1"/>
  <c r="O3803" i="1"/>
  <c r="P3803" i="1" s="1"/>
  <c r="N3803" i="1"/>
  <c r="M3803" i="1"/>
  <c r="L3803" i="1"/>
  <c r="K3803" i="1"/>
  <c r="I3803" i="1"/>
  <c r="O3802" i="1"/>
  <c r="P3802" i="1" s="1"/>
  <c r="N3802" i="1"/>
  <c r="M3802" i="1"/>
  <c r="L3802" i="1"/>
  <c r="K3802" i="1"/>
  <c r="I3802" i="1"/>
  <c r="O3801" i="1"/>
  <c r="P3801" i="1" s="1"/>
  <c r="N3801" i="1"/>
  <c r="M3801" i="1"/>
  <c r="L3801" i="1"/>
  <c r="K3801" i="1"/>
  <c r="I3801" i="1"/>
  <c r="O3800" i="1"/>
  <c r="P3800" i="1" s="1"/>
  <c r="N3800" i="1"/>
  <c r="M3800" i="1"/>
  <c r="L3800" i="1"/>
  <c r="K3800" i="1"/>
  <c r="I3800" i="1"/>
  <c r="O3799" i="1"/>
  <c r="P3799" i="1" s="1"/>
  <c r="N3799" i="1"/>
  <c r="M3799" i="1"/>
  <c r="L3799" i="1"/>
  <c r="K3799" i="1"/>
  <c r="I3799" i="1"/>
  <c r="O3798" i="1"/>
  <c r="P3798" i="1" s="1"/>
  <c r="N3798" i="1"/>
  <c r="M3798" i="1"/>
  <c r="L3798" i="1"/>
  <c r="K3798" i="1"/>
  <c r="I3798" i="1"/>
  <c r="O3797" i="1"/>
  <c r="P3797" i="1" s="1"/>
  <c r="N3797" i="1"/>
  <c r="M3797" i="1"/>
  <c r="L3797" i="1"/>
  <c r="K3797" i="1"/>
  <c r="I3797" i="1"/>
  <c r="O3796" i="1"/>
  <c r="P3796" i="1" s="1"/>
  <c r="N3796" i="1"/>
  <c r="M3796" i="1"/>
  <c r="L3796" i="1"/>
  <c r="K3796" i="1"/>
  <c r="I3796" i="1"/>
  <c r="O3795" i="1"/>
  <c r="P3795" i="1" s="1"/>
  <c r="N3795" i="1"/>
  <c r="M3795" i="1"/>
  <c r="L3795" i="1"/>
  <c r="K3795" i="1"/>
  <c r="I3795" i="1"/>
  <c r="O3794" i="1"/>
  <c r="P3794" i="1" s="1"/>
  <c r="N3794" i="1"/>
  <c r="M3794" i="1"/>
  <c r="L3794" i="1"/>
  <c r="K3794" i="1"/>
  <c r="I3794" i="1"/>
  <c r="O3793" i="1"/>
  <c r="P3793" i="1" s="1"/>
  <c r="N3793" i="1"/>
  <c r="M3793" i="1"/>
  <c r="L3793" i="1"/>
  <c r="K3793" i="1"/>
  <c r="I3793" i="1"/>
  <c r="O3792" i="1"/>
  <c r="P3792" i="1" s="1"/>
  <c r="N3792" i="1"/>
  <c r="M3792" i="1"/>
  <c r="L3792" i="1"/>
  <c r="K3792" i="1"/>
  <c r="I3792" i="1"/>
  <c r="O3791" i="1"/>
  <c r="P3791" i="1" s="1"/>
  <c r="N3791" i="1"/>
  <c r="M3791" i="1"/>
  <c r="L3791" i="1"/>
  <c r="K3791" i="1"/>
  <c r="I3791" i="1"/>
  <c r="O3790" i="1"/>
  <c r="P3790" i="1" s="1"/>
  <c r="N3790" i="1"/>
  <c r="M3790" i="1"/>
  <c r="L3790" i="1"/>
  <c r="K3790" i="1"/>
  <c r="I3790" i="1"/>
  <c r="O3789" i="1"/>
  <c r="P3789" i="1" s="1"/>
  <c r="N3789" i="1"/>
  <c r="M3789" i="1"/>
  <c r="L3789" i="1"/>
  <c r="K3789" i="1"/>
  <c r="I3789" i="1"/>
  <c r="O3788" i="1"/>
  <c r="P3788" i="1" s="1"/>
  <c r="N3788" i="1"/>
  <c r="M3788" i="1"/>
  <c r="L3788" i="1"/>
  <c r="K3788" i="1"/>
  <c r="I3788" i="1"/>
  <c r="O3787" i="1"/>
  <c r="P3787" i="1" s="1"/>
  <c r="N3787" i="1"/>
  <c r="M3787" i="1"/>
  <c r="L3787" i="1"/>
  <c r="K3787" i="1"/>
  <c r="I3787" i="1"/>
  <c r="O3786" i="1"/>
  <c r="P3786" i="1" s="1"/>
  <c r="N3786" i="1"/>
  <c r="M3786" i="1"/>
  <c r="L3786" i="1"/>
  <c r="K3786" i="1"/>
  <c r="I3786" i="1"/>
  <c r="O3785" i="1"/>
  <c r="P3785" i="1" s="1"/>
  <c r="N3785" i="1"/>
  <c r="M3785" i="1"/>
  <c r="L3785" i="1"/>
  <c r="K3785" i="1"/>
  <c r="I3785" i="1"/>
  <c r="O3784" i="1"/>
  <c r="P3784" i="1" s="1"/>
  <c r="N3784" i="1"/>
  <c r="M3784" i="1"/>
  <c r="L3784" i="1"/>
  <c r="K3784" i="1"/>
  <c r="I3784" i="1"/>
  <c r="O3783" i="1"/>
  <c r="P3783" i="1" s="1"/>
  <c r="N3783" i="1"/>
  <c r="M3783" i="1"/>
  <c r="L3783" i="1"/>
  <c r="K3783" i="1"/>
  <c r="I3783" i="1"/>
  <c r="O3782" i="1"/>
  <c r="P3782" i="1" s="1"/>
  <c r="N3782" i="1"/>
  <c r="M3782" i="1"/>
  <c r="L3782" i="1"/>
  <c r="K3782" i="1"/>
  <c r="I3782" i="1"/>
  <c r="O3781" i="1"/>
  <c r="P3781" i="1" s="1"/>
  <c r="N3781" i="1"/>
  <c r="M3781" i="1"/>
  <c r="L3781" i="1"/>
  <c r="K3781" i="1"/>
  <c r="I3781" i="1"/>
  <c r="O3780" i="1"/>
  <c r="P3780" i="1" s="1"/>
  <c r="N3780" i="1"/>
  <c r="M3780" i="1"/>
  <c r="L3780" i="1"/>
  <c r="K3780" i="1"/>
  <c r="I3780" i="1"/>
  <c r="O3779" i="1"/>
  <c r="P3779" i="1" s="1"/>
  <c r="N3779" i="1"/>
  <c r="M3779" i="1"/>
  <c r="L3779" i="1"/>
  <c r="K3779" i="1"/>
  <c r="I3779" i="1"/>
  <c r="O3778" i="1"/>
  <c r="P3778" i="1" s="1"/>
  <c r="N3778" i="1"/>
  <c r="M3778" i="1"/>
  <c r="L3778" i="1"/>
  <c r="K3778" i="1"/>
  <c r="I3778" i="1"/>
  <c r="O3777" i="1"/>
  <c r="P3777" i="1" s="1"/>
  <c r="N3777" i="1"/>
  <c r="M3777" i="1"/>
  <c r="L3777" i="1"/>
  <c r="K3777" i="1"/>
  <c r="I3777" i="1"/>
  <c r="O3776" i="1"/>
  <c r="P3776" i="1" s="1"/>
  <c r="N3776" i="1"/>
  <c r="M3776" i="1"/>
  <c r="L3776" i="1"/>
  <c r="K3776" i="1"/>
  <c r="I3776" i="1"/>
  <c r="O3775" i="1"/>
  <c r="P3775" i="1" s="1"/>
  <c r="N3775" i="1"/>
  <c r="M3775" i="1"/>
  <c r="L3775" i="1"/>
  <c r="K3775" i="1"/>
  <c r="I3775" i="1"/>
  <c r="O3774" i="1"/>
  <c r="P3774" i="1" s="1"/>
  <c r="N3774" i="1"/>
  <c r="M3774" i="1"/>
  <c r="L3774" i="1"/>
  <c r="K3774" i="1"/>
  <c r="I3774" i="1"/>
  <c r="O3773" i="1"/>
  <c r="P3773" i="1" s="1"/>
  <c r="N3773" i="1"/>
  <c r="M3773" i="1"/>
  <c r="L3773" i="1"/>
  <c r="K3773" i="1"/>
  <c r="I3773" i="1"/>
  <c r="O3772" i="1"/>
  <c r="P3772" i="1" s="1"/>
  <c r="N3772" i="1"/>
  <c r="M3772" i="1"/>
  <c r="L3772" i="1"/>
  <c r="K3772" i="1"/>
  <c r="I3772" i="1"/>
  <c r="O3771" i="1"/>
  <c r="P3771" i="1" s="1"/>
  <c r="N3771" i="1"/>
  <c r="M3771" i="1"/>
  <c r="L3771" i="1"/>
  <c r="K3771" i="1"/>
  <c r="I3771" i="1"/>
  <c r="O3770" i="1"/>
  <c r="P3770" i="1" s="1"/>
  <c r="N3770" i="1"/>
  <c r="M3770" i="1"/>
  <c r="L3770" i="1"/>
  <c r="K3770" i="1"/>
  <c r="I3770" i="1"/>
  <c r="O3769" i="1"/>
  <c r="P3769" i="1" s="1"/>
  <c r="N3769" i="1"/>
  <c r="M3769" i="1"/>
  <c r="L3769" i="1"/>
  <c r="K3769" i="1"/>
  <c r="I3769" i="1"/>
  <c r="O3768" i="1"/>
  <c r="P3768" i="1" s="1"/>
  <c r="N3768" i="1"/>
  <c r="M3768" i="1"/>
  <c r="L3768" i="1"/>
  <c r="K3768" i="1"/>
  <c r="I3768" i="1"/>
  <c r="O3767" i="1"/>
  <c r="P3767" i="1" s="1"/>
  <c r="N3767" i="1"/>
  <c r="M3767" i="1"/>
  <c r="L3767" i="1"/>
  <c r="K3767" i="1"/>
  <c r="I3767" i="1"/>
  <c r="O3766" i="1"/>
  <c r="P3766" i="1" s="1"/>
  <c r="N3766" i="1"/>
  <c r="M3766" i="1"/>
  <c r="L3766" i="1"/>
  <c r="K3766" i="1"/>
  <c r="I3766" i="1"/>
  <c r="O3765" i="1"/>
  <c r="P3765" i="1" s="1"/>
  <c r="N3765" i="1"/>
  <c r="M3765" i="1"/>
  <c r="L3765" i="1"/>
  <c r="K3765" i="1"/>
  <c r="I3765" i="1"/>
  <c r="O3764" i="1"/>
  <c r="P3764" i="1" s="1"/>
  <c r="N3764" i="1"/>
  <c r="M3764" i="1"/>
  <c r="L3764" i="1"/>
  <c r="K3764" i="1"/>
  <c r="I3764" i="1"/>
  <c r="O3763" i="1"/>
  <c r="P3763" i="1" s="1"/>
  <c r="N3763" i="1"/>
  <c r="M3763" i="1"/>
  <c r="L3763" i="1"/>
  <c r="K3763" i="1"/>
  <c r="I3763" i="1"/>
  <c r="O3762" i="1"/>
  <c r="P3762" i="1" s="1"/>
  <c r="N3762" i="1"/>
  <c r="M3762" i="1"/>
  <c r="L3762" i="1"/>
  <c r="K3762" i="1"/>
  <c r="I3762" i="1"/>
  <c r="O3761" i="1"/>
  <c r="P3761" i="1" s="1"/>
  <c r="N3761" i="1"/>
  <c r="M3761" i="1"/>
  <c r="L3761" i="1"/>
  <c r="K3761" i="1"/>
  <c r="I3761" i="1"/>
  <c r="O3760" i="1"/>
  <c r="P3760" i="1" s="1"/>
  <c r="N3760" i="1"/>
  <c r="M3760" i="1"/>
  <c r="L3760" i="1"/>
  <c r="K3760" i="1"/>
  <c r="I3760" i="1"/>
  <c r="O3759" i="1"/>
  <c r="P3759" i="1" s="1"/>
  <c r="N3759" i="1"/>
  <c r="M3759" i="1"/>
  <c r="L3759" i="1"/>
  <c r="K3759" i="1"/>
  <c r="I3759" i="1"/>
  <c r="O3758" i="1"/>
  <c r="P3758" i="1" s="1"/>
  <c r="N3758" i="1"/>
  <c r="M3758" i="1"/>
  <c r="L3758" i="1"/>
  <c r="K3758" i="1"/>
  <c r="I3758" i="1"/>
  <c r="O3757" i="1"/>
  <c r="P3757" i="1" s="1"/>
  <c r="N3757" i="1"/>
  <c r="M3757" i="1"/>
  <c r="L3757" i="1"/>
  <c r="K3757" i="1"/>
  <c r="I3757" i="1"/>
  <c r="O3756" i="1"/>
  <c r="P3756" i="1" s="1"/>
  <c r="N3756" i="1"/>
  <c r="M3756" i="1"/>
  <c r="L3756" i="1"/>
  <c r="K3756" i="1"/>
  <c r="I3756" i="1"/>
  <c r="O3755" i="1"/>
  <c r="P3755" i="1" s="1"/>
  <c r="N3755" i="1"/>
  <c r="M3755" i="1"/>
  <c r="L3755" i="1"/>
  <c r="K3755" i="1"/>
  <c r="I3755" i="1"/>
  <c r="O3754" i="1"/>
  <c r="P3754" i="1" s="1"/>
  <c r="N3754" i="1"/>
  <c r="M3754" i="1"/>
  <c r="L3754" i="1"/>
  <c r="K3754" i="1"/>
  <c r="I3754" i="1"/>
  <c r="O3753" i="1"/>
  <c r="P3753" i="1" s="1"/>
  <c r="N3753" i="1"/>
  <c r="M3753" i="1"/>
  <c r="L3753" i="1"/>
  <c r="K3753" i="1"/>
  <c r="I3753" i="1"/>
  <c r="O3752" i="1"/>
  <c r="P3752" i="1" s="1"/>
  <c r="N3752" i="1"/>
  <c r="M3752" i="1"/>
  <c r="L3752" i="1"/>
  <c r="K3752" i="1"/>
  <c r="I3752" i="1"/>
  <c r="O3751" i="1"/>
  <c r="P3751" i="1" s="1"/>
  <c r="N3751" i="1"/>
  <c r="M3751" i="1"/>
  <c r="L3751" i="1"/>
  <c r="K3751" i="1"/>
  <c r="I3751" i="1"/>
  <c r="O3750" i="1"/>
  <c r="P3750" i="1" s="1"/>
  <c r="N3750" i="1"/>
  <c r="M3750" i="1"/>
  <c r="L3750" i="1"/>
  <c r="K3750" i="1"/>
  <c r="I3750" i="1"/>
  <c r="O3749" i="1"/>
  <c r="P3749" i="1" s="1"/>
  <c r="N3749" i="1"/>
  <c r="M3749" i="1"/>
  <c r="L3749" i="1"/>
  <c r="K3749" i="1"/>
  <c r="I3749" i="1"/>
  <c r="O3748" i="1"/>
  <c r="P3748" i="1" s="1"/>
  <c r="N3748" i="1"/>
  <c r="M3748" i="1"/>
  <c r="L3748" i="1"/>
  <c r="K3748" i="1"/>
  <c r="I3748" i="1"/>
  <c r="O3747" i="1"/>
  <c r="P3747" i="1" s="1"/>
  <c r="N3747" i="1"/>
  <c r="M3747" i="1"/>
  <c r="L3747" i="1"/>
  <c r="K3747" i="1"/>
  <c r="I3747" i="1"/>
  <c r="O3746" i="1"/>
  <c r="P3746" i="1" s="1"/>
  <c r="N3746" i="1"/>
  <c r="M3746" i="1"/>
  <c r="L3746" i="1"/>
  <c r="K3746" i="1"/>
  <c r="I3746" i="1"/>
  <c r="O3745" i="1"/>
  <c r="P3745" i="1" s="1"/>
  <c r="N3745" i="1"/>
  <c r="M3745" i="1"/>
  <c r="L3745" i="1"/>
  <c r="K3745" i="1"/>
  <c r="I3745" i="1"/>
  <c r="O3744" i="1"/>
  <c r="P3744" i="1" s="1"/>
  <c r="N3744" i="1"/>
  <c r="M3744" i="1"/>
  <c r="L3744" i="1"/>
  <c r="K3744" i="1"/>
  <c r="I3744" i="1"/>
  <c r="O3743" i="1"/>
  <c r="P3743" i="1" s="1"/>
  <c r="N3743" i="1"/>
  <c r="M3743" i="1"/>
  <c r="L3743" i="1"/>
  <c r="K3743" i="1"/>
  <c r="I3743" i="1"/>
  <c r="O3742" i="1"/>
  <c r="P3742" i="1" s="1"/>
  <c r="N3742" i="1"/>
  <c r="M3742" i="1"/>
  <c r="L3742" i="1"/>
  <c r="K3742" i="1"/>
  <c r="I3742" i="1"/>
  <c r="O3741" i="1"/>
  <c r="P3741" i="1" s="1"/>
  <c r="N3741" i="1"/>
  <c r="M3741" i="1"/>
  <c r="L3741" i="1"/>
  <c r="K3741" i="1"/>
  <c r="I3741" i="1"/>
  <c r="O3740" i="1"/>
  <c r="P3740" i="1" s="1"/>
  <c r="N3740" i="1"/>
  <c r="M3740" i="1"/>
  <c r="L3740" i="1"/>
  <c r="K3740" i="1"/>
  <c r="I3740" i="1"/>
  <c r="O3739" i="1"/>
  <c r="P3739" i="1" s="1"/>
  <c r="N3739" i="1"/>
  <c r="M3739" i="1"/>
  <c r="L3739" i="1"/>
  <c r="K3739" i="1"/>
  <c r="I3739" i="1"/>
  <c r="O3738" i="1"/>
  <c r="P3738" i="1" s="1"/>
  <c r="N3738" i="1"/>
  <c r="M3738" i="1"/>
  <c r="L3738" i="1"/>
  <c r="K3738" i="1"/>
  <c r="I3738" i="1"/>
  <c r="O3737" i="1"/>
  <c r="P3737" i="1" s="1"/>
  <c r="N3737" i="1"/>
  <c r="M3737" i="1"/>
  <c r="L3737" i="1"/>
  <c r="K3737" i="1"/>
  <c r="I3737" i="1"/>
  <c r="O3736" i="1"/>
  <c r="P3736" i="1" s="1"/>
  <c r="N3736" i="1"/>
  <c r="M3736" i="1"/>
  <c r="L3736" i="1"/>
  <c r="K3736" i="1"/>
  <c r="I3736" i="1"/>
  <c r="O3735" i="1"/>
  <c r="P3735" i="1" s="1"/>
  <c r="N3735" i="1"/>
  <c r="M3735" i="1"/>
  <c r="L3735" i="1"/>
  <c r="K3735" i="1"/>
  <c r="I3735" i="1"/>
  <c r="O3734" i="1"/>
  <c r="P3734" i="1" s="1"/>
  <c r="N3734" i="1"/>
  <c r="M3734" i="1"/>
  <c r="L3734" i="1"/>
  <c r="K3734" i="1"/>
  <c r="I3734" i="1"/>
  <c r="O3733" i="1"/>
  <c r="P3733" i="1" s="1"/>
  <c r="N3733" i="1"/>
  <c r="M3733" i="1"/>
  <c r="L3733" i="1"/>
  <c r="K3733" i="1"/>
  <c r="I3733" i="1"/>
  <c r="O3732" i="1"/>
  <c r="P3732" i="1" s="1"/>
  <c r="N3732" i="1"/>
  <c r="M3732" i="1"/>
  <c r="L3732" i="1"/>
  <c r="K3732" i="1"/>
  <c r="I3732" i="1"/>
  <c r="O3731" i="1"/>
  <c r="P3731" i="1" s="1"/>
  <c r="N3731" i="1"/>
  <c r="M3731" i="1"/>
  <c r="L3731" i="1"/>
  <c r="K3731" i="1"/>
  <c r="I3731" i="1"/>
  <c r="O3730" i="1"/>
  <c r="P3730" i="1" s="1"/>
  <c r="N3730" i="1"/>
  <c r="M3730" i="1"/>
  <c r="L3730" i="1"/>
  <c r="K3730" i="1"/>
  <c r="I3730" i="1"/>
  <c r="O3729" i="1"/>
  <c r="P3729" i="1" s="1"/>
  <c r="N3729" i="1"/>
  <c r="M3729" i="1"/>
  <c r="L3729" i="1"/>
  <c r="K3729" i="1"/>
  <c r="I3729" i="1"/>
  <c r="O3728" i="1"/>
  <c r="P3728" i="1" s="1"/>
  <c r="N3728" i="1"/>
  <c r="M3728" i="1"/>
  <c r="L3728" i="1"/>
  <c r="K3728" i="1"/>
  <c r="I3728" i="1"/>
  <c r="O3727" i="1"/>
  <c r="P3727" i="1" s="1"/>
  <c r="N3727" i="1"/>
  <c r="M3727" i="1"/>
  <c r="L3727" i="1"/>
  <c r="K3727" i="1"/>
  <c r="I3727" i="1"/>
  <c r="O3726" i="1"/>
  <c r="P3726" i="1" s="1"/>
  <c r="N3726" i="1"/>
  <c r="M3726" i="1"/>
  <c r="L3726" i="1"/>
  <c r="K3726" i="1"/>
  <c r="I3726" i="1"/>
  <c r="O3725" i="1"/>
  <c r="P3725" i="1" s="1"/>
  <c r="N3725" i="1"/>
  <c r="M3725" i="1"/>
  <c r="L3725" i="1"/>
  <c r="K3725" i="1"/>
  <c r="I3725" i="1"/>
  <c r="O3724" i="1"/>
  <c r="P3724" i="1" s="1"/>
  <c r="N3724" i="1"/>
  <c r="M3724" i="1"/>
  <c r="L3724" i="1"/>
  <c r="K3724" i="1"/>
  <c r="I3724" i="1"/>
  <c r="O3723" i="1"/>
  <c r="P3723" i="1" s="1"/>
  <c r="N3723" i="1"/>
  <c r="M3723" i="1"/>
  <c r="L3723" i="1"/>
  <c r="K3723" i="1"/>
  <c r="I3723" i="1"/>
  <c r="O3722" i="1"/>
  <c r="P3722" i="1" s="1"/>
  <c r="N3722" i="1"/>
  <c r="M3722" i="1"/>
  <c r="L3722" i="1"/>
  <c r="K3722" i="1"/>
  <c r="I3722" i="1"/>
  <c r="O3721" i="1"/>
  <c r="P3721" i="1" s="1"/>
  <c r="N3721" i="1"/>
  <c r="M3721" i="1"/>
  <c r="L3721" i="1"/>
  <c r="K3721" i="1"/>
  <c r="I3721" i="1"/>
  <c r="O3720" i="1"/>
  <c r="P3720" i="1" s="1"/>
  <c r="N3720" i="1"/>
  <c r="M3720" i="1"/>
  <c r="L3720" i="1"/>
  <c r="K3720" i="1"/>
  <c r="I3720" i="1"/>
  <c r="O3719" i="1"/>
  <c r="P3719" i="1" s="1"/>
  <c r="N3719" i="1"/>
  <c r="M3719" i="1"/>
  <c r="L3719" i="1"/>
  <c r="K3719" i="1"/>
  <c r="I3719" i="1"/>
  <c r="O3718" i="1"/>
  <c r="P3718" i="1" s="1"/>
  <c r="N3718" i="1"/>
  <c r="M3718" i="1"/>
  <c r="L3718" i="1"/>
  <c r="K3718" i="1"/>
  <c r="I3718" i="1"/>
  <c r="O3717" i="1"/>
  <c r="P3717" i="1" s="1"/>
  <c r="N3717" i="1"/>
  <c r="M3717" i="1"/>
  <c r="L3717" i="1"/>
  <c r="K3717" i="1"/>
  <c r="I3717" i="1"/>
  <c r="O3716" i="1"/>
  <c r="P3716" i="1" s="1"/>
  <c r="N3716" i="1"/>
  <c r="M3716" i="1"/>
  <c r="L3716" i="1"/>
  <c r="K3716" i="1"/>
  <c r="I3716" i="1"/>
  <c r="O3715" i="1"/>
  <c r="P3715" i="1" s="1"/>
  <c r="N3715" i="1"/>
  <c r="M3715" i="1"/>
  <c r="L3715" i="1"/>
  <c r="K3715" i="1"/>
  <c r="I3715" i="1"/>
  <c r="O3714" i="1"/>
  <c r="P3714" i="1" s="1"/>
  <c r="N3714" i="1"/>
  <c r="M3714" i="1"/>
  <c r="L3714" i="1"/>
  <c r="K3714" i="1"/>
  <c r="I3714" i="1"/>
  <c r="O3713" i="1"/>
  <c r="P3713" i="1" s="1"/>
  <c r="N3713" i="1"/>
  <c r="M3713" i="1"/>
  <c r="L3713" i="1"/>
  <c r="K3713" i="1"/>
  <c r="I3713" i="1"/>
  <c r="O3712" i="1"/>
  <c r="P3712" i="1" s="1"/>
  <c r="N3712" i="1"/>
  <c r="M3712" i="1"/>
  <c r="L3712" i="1"/>
  <c r="K3712" i="1"/>
  <c r="I3712" i="1"/>
  <c r="O3711" i="1"/>
  <c r="P3711" i="1" s="1"/>
  <c r="N3711" i="1"/>
  <c r="M3711" i="1"/>
  <c r="L3711" i="1"/>
  <c r="K3711" i="1"/>
  <c r="I3711" i="1"/>
  <c r="O3710" i="1"/>
  <c r="P3710" i="1" s="1"/>
  <c r="N3710" i="1"/>
  <c r="M3710" i="1"/>
  <c r="L3710" i="1"/>
  <c r="K3710" i="1"/>
  <c r="I3710" i="1"/>
  <c r="O3709" i="1"/>
  <c r="P3709" i="1" s="1"/>
  <c r="N3709" i="1"/>
  <c r="M3709" i="1"/>
  <c r="L3709" i="1"/>
  <c r="K3709" i="1"/>
  <c r="I3709" i="1"/>
  <c r="O3708" i="1"/>
  <c r="P3708" i="1" s="1"/>
  <c r="N3708" i="1"/>
  <c r="M3708" i="1"/>
  <c r="L3708" i="1"/>
  <c r="K3708" i="1"/>
  <c r="I3708" i="1"/>
  <c r="O3707" i="1"/>
  <c r="P3707" i="1" s="1"/>
  <c r="N3707" i="1"/>
  <c r="M3707" i="1"/>
  <c r="L3707" i="1"/>
  <c r="K3707" i="1"/>
  <c r="I3707" i="1"/>
  <c r="O3706" i="1"/>
  <c r="P3706" i="1" s="1"/>
  <c r="N3706" i="1"/>
  <c r="M3706" i="1"/>
  <c r="L3706" i="1"/>
  <c r="K3706" i="1"/>
  <c r="I3706" i="1"/>
  <c r="O3705" i="1"/>
  <c r="P3705" i="1" s="1"/>
  <c r="N3705" i="1"/>
  <c r="M3705" i="1"/>
  <c r="L3705" i="1"/>
  <c r="K3705" i="1"/>
  <c r="I3705" i="1"/>
  <c r="O3704" i="1"/>
  <c r="P3704" i="1" s="1"/>
  <c r="N3704" i="1"/>
  <c r="M3704" i="1"/>
  <c r="L3704" i="1"/>
  <c r="K3704" i="1"/>
  <c r="I3704" i="1"/>
  <c r="O3703" i="1"/>
  <c r="P3703" i="1" s="1"/>
  <c r="N3703" i="1"/>
  <c r="M3703" i="1"/>
  <c r="L3703" i="1"/>
  <c r="K3703" i="1"/>
  <c r="I3703" i="1"/>
  <c r="O3702" i="1"/>
  <c r="P3702" i="1" s="1"/>
  <c r="N3702" i="1"/>
  <c r="M3702" i="1"/>
  <c r="L3702" i="1"/>
  <c r="K3702" i="1"/>
  <c r="I3702" i="1"/>
  <c r="O3701" i="1"/>
  <c r="P3701" i="1" s="1"/>
  <c r="N3701" i="1"/>
  <c r="M3701" i="1"/>
  <c r="L3701" i="1"/>
  <c r="K3701" i="1"/>
  <c r="I3701" i="1"/>
  <c r="O3700" i="1"/>
  <c r="P3700" i="1" s="1"/>
  <c r="N3700" i="1"/>
  <c r="M3700" i="1"/>
  <c r="L3700" i="1"/>
  <c r="K3700" i="1"/>
  <c r="I3700" i="1"/>
  <c r="O3699" i="1"/>
  <c r="P3699" i="1" s="1"/>
  <c r="N3699" i="1"/>
  <c r="M3699" i="1"/>
  <c r="L3699" i="1"/>
  <c r="K3699" i="1"/>
  <c r="I3699" i="1"/>
  <c r="O3698" i="1"/>
  <c r="P3698" i="1" s="1"/>
  <c r="N3698" i="1"/>
  <c r="M3698" i="1"/>
  <c r="L3698" i="1"/>
  <c r="K3698" i="1"/>
  <c r="I3698" i="1"/>
  <c r="O3697" i="1"/>
  <c r="P3697" i="1" s="1"/>
  <c r="N3697" i="1"/>
  <c r="M3697" i="1"/>
  <c r="L3697" i="1"/>
  <c r="K3697" i="1"/>
  <c r="I3697" i="1"/>
  <c r="O3696" i="1"/>
  <c r="P3696" i="1" s="1"/>
  <c r="N3696" i="1"/>
  <c r="M3696" i="1"/>
  <c r="L3696" i="1"/>
  <c r="K3696" i="1"/>
  <c r="I3696" i="1"/>
  <c r="O3695" i="1"/>
  <c r="P3695" i="1" s="1"/>
  <c r="N3695" i="1"/>
  <c r="M3695" i="1"/>
  <c r="L3695" i="1"/>
  <c r="K3695" i="1"/>
  <c r="I3695" i="1"/>
  <c r="O3694" i="1"/>
  <c r="P3694" i="1" s="1"/>
  <c r="N3694" i="1"/>
  <c r="M3694" i="1"/>
  <c r="L3694" i="1"/>
  <c r="K3694" i="1"/>
  <c r="I3694" i="1"/>
  <c r="O3693" i="1"/>
  <c r="P3693" i="1" s="1"/>
  <c r="N3693" i="1"/>
  <c r="M3693" i="1"/>
  <c r="L3693" i="1"/>
  <c r="K3693" i="1"/>
  <c r="I3693" i="1"/>
  <c r="O3692" i="1"/>
  <c r="P3692" i="1" s="1"/>
  <c r="N3692" i="1"/>
  <c r="M3692" i="1"/>
  <c r="L3692" i="1"/>
  <c r="K3692" i="1"/>
  <c r="I3692" i="1"/>
  <c r="O3691" i="1"/>
  <c r="P3691" i="1" s="1"/>
  <c r="N3691" i="1"/>
  <c r="M3691" i="1"/>
  <c r="L3691" i="1"/>
  <c r="K3691" i="1"/>
  <c r="I3691" i="1"/>
  <c r="O3690" i="1"/>
  <c r="P3690" i="1" s="1"/>
  <c r="N3690" i="1"/>
  <c r="M3690" i="1"/>
  <c r="L3690" i="1"/>
  <c r="K3690" i="1"/>
  <c r="I3690" i="1"/>
  <c r="O3689" i="1"/>
  <c r="P3689" i="1" s="1"/>
  <c r="N3689" i="1"/>
  <c r="M3689" i="1"/>
  <c r="L3689" i="1"/>
  <c r="K3689" i="1"/>
  <c r="I3689" i="1"/>
  <c r="O3688" i="1"/>
  <c r="P3688" i="1" s="1"/>
  <c r="N3688" i="1"/>
  <c r="M3688" i="1"/>
  <c r="L3688" i="1"/>
  <c r="K3688" i="1"/>
  <c r="I3688" i="1"/>
  <c r="O3687" i="1"/>
  <c r="P3687" i="1" s="1"/>
  <c r="N3687" i="1"/>
  <c r="M3687" i="1"/>
  <c r="L3687" i="1"/>
  <c r="K3687" i="1"/>
  <c r="I3687" i="1"/>
  <c r="O3686" i="1"/>
  <c r="P3686" i="1" s="1"/>
  <c r="N3686" i="1"/>
  <c r="M3686" i="1"/>
  <c r="L3686" i="1"/>
  <c r="K3686" i="1"/>
  <c r="I3686" i="1"/>
  <c r="O3685" i="1"/>
  <c r="P3685" i="1" s="1"/>
  <c r="N3685" i="1"/>
  <c r="M3685" i="1"/>
  <c r="L3685" i="1"/>
  <c r="K3685" i="1"/>
  <c r="I3685" i="1"/>
  <c r="O3684" i="1"/>
  <c r="P3684" i="1" s="1"/>
  <c r="N3684" i="1"/>
  <c r="M3684" i="1"/>
  <c r="L3684" i="1"/>
  <c r="K3684" i="1"/>
  <c r="I3684" i="1"/>
  <c r="O3683" i="1"/>
  <c r="P3683" i="1" s="1"/>
  <c r="N3683" i="1"/>
  <c r="M3683" i="1"/>
  <c r="L3683" i="1"/>
  <c r="K3683" i="1"/>
  <c r="I3683" i="1"/>
  <c r="O3682" i="1"/>
  <c r="P3682" i="1" s="1"/>
  <c r="N3682" i="1"/>
  <c r="M3682" i="1"/>
  <c r="L3682" i="1"/>
  <c r="K3682" i="1"/>
  <c r="I3682" i="1"/>
  <c r="O3681" i="1"/>
  <c r="P3681" i="1" s="1"/>
  <c r="N3681" i="1"/>
  <c r="M3681" i="1"/>
  <c r="L3681" i="1"/>
  <c r="K3681" i="1"/>
  <c r="I3681" i="1"/>
  <c r="O3680" i="1"/>
  <c r="P3680" i="1" s="1"/>
  <c r="N3680" i="1"/>
  <c r="M3680" i="1"/>
  <c r="L3680" i="1"/>
  <c r="K3680" i="1"/>
  <c r="I3680" i="1"/>
  <c r="O3679" i="1"/>
  <c r="P3679" i="1" s="1"/>
  <c r="N3679" i="1"/>
  <c r="M3679" i="1"/>
  <c r="L3679" i="1"/>
  <c r="K3679" i="1"/>
  <c r="I3679" i="1"/>
  <c r="O3678" i="1"/>
  <c r="P3678" i="1" s="1"/>
  <c r="N3678" i="1"/>
  <c r="M3678" i="1"/>
  <c r="L3678" i="1"/>
  <c r="K3678" i="1"/>
  <c r="I3678" i="1"/>
  <c r="O3677" i="1"/>
  <c r="P3677" i="1" s="1"/>
  <c r="N3677" i="1"/>
  <c r="M3677" i="1"/>
  <c r="L3677" i="1"/>
  <c r="K3677" i="1"/>
  <c r="I3677" i="1"/>
  <c r="O3676" i="1"/>
  <c r="P3676" i="1" s="1"/>
  <c r="N3676" i="1"/>
  <c r="M3676" i="1"/>
  <c r="L3676" i="1"/>
  <c r="K3676" i="1"/>
  <c r="I3676" i="1"/>
  <c r="O3675" i="1"/>
  <c r="P3675" i="1" s="1"/>
  <c r="N3675" i="1"/>
  <c r="M3675" i="1"/>
  <c r="L3675" i="1"/>
  <c r="K3675" i="1"/>
  <c r="I3675" i="1"/>
  <c r="O3674" i="1"/>
  <c r="P3674" i="1" s="1"/>
  <c r="N3674" i="1"/>
  <c r="M3674" i="1"/>
  <c r="L3674" i="1"/>
  <c r="K3674" i="1"/>
  <c r="I3674" i="1"/>
  <c r="O3673" i="1"/>
  <c r="P3673" i="1" s="1"/>
  <c r="N3673" i="1"/>
  <c r="M3673" i="1"/>
  <c r="L3673" i="1"/>
  <c r="K3673" i="1"/>
  <c r="I3673" i="1"/>
  <c r="O3672" i="1"/>
  <c r="P3672" i="1" s="1"/>
  <c r="N3672" i="1"/>
  <c r="M3672" i="1"/>
  <c r="L3672" i="1"/>
  <c r="K3672" i="1"/>
  <c r="I3672" i="1"/>
  <c r="O3671" i="1"/>
  <c r="P3671" i="1" s="1"/>
  <c r="N3671" i="1"/>
  <c r="M3671" i="1"/>
  <c r="L3671" i="1"/>
  <c r="K3671" i="1"/>
  <c r="I3671" i="1"/>
  <c r="O3670" i="1"/>
  <c r="P3670" i="1" s="1"/>
  <c r="N3670" i="1"/>
  <c r="M3670" i="1"/>
  <c r="L3670" i="1"/>
  <c r="K3670" i="1"/>
  <c r="I3670" i="1"/>
  <c r="O3669" i="1"/>
  <c r="P3669" i="1" s="1"/>
  <c r="N3669" i="1"/>
  <c r="M3669" i="1"/>
  <c r="L3669" i="1"/>
  <c r="K3669" i="1"/>
  <c r="I3669" i="1"/>
  <c r="O3668" i="1"/>
  <c r="P3668" i="1" s="1"/>
  <c r="N3668" i="1"/>
  <c r="M3668" i="1"/>
  <c r="L3668" i="1"/>
  <c r="K3668" i="1"/>
  <c r="I3668" i="1"/>
  <c r="O3667" i="1"/>
  <c r="P3667" i="1" s="1"/>
  <c r="N3667" i="1"/>
  <c r="M3667" i="1"/>
  <c r="L3667" i="1"/>
  <c r="K3667" i="1"/>
  <c r="I3667" i="1"/>
  <c r="O3666" i="1"/>
  <c r="P3666" i="1" s="1"/>
  <c r="N3666" i="1"/>
  <c r="M3666" i="1"/>
  <c r="L3666" i="1"/>
  <c r="K3666" i="1"/>
  <c r="I3666" i="1"/>
  <c r="O3665" i="1"/>
  <c r="P3665" i="1" s="1"/>
  <c r="N3665" i="1"/>
  <c r="M3665" i="1"/>
  <c r="L3665" i="1"/>
  <c r="K3665" i="1"/>
  <c r="I3665" i="1"/>
  <c r="O3664" i="1"/>
  <c r="P3664" i="1" s="1"/>
  <c r="N3664" i="1"/>
  <c r="M3664" i="1"/>
  <c r="L3664" i="1"/>
  <c r="K3664" i="1"/>
  <c r="I3664" i="1"/>
  <c r="O3663" i="1"/>
  <c r="P3663" i="1" s="1"/>
  <c r="N3663" i="1"/>
  <c r="M3663" i="1"/>
  <c r="L3663" i="1"/>
  <c r="K3663" i="1"/>
  <c r="I3663" i="1"/>
  <c r="O3662" i="1"/>
  <c r="P3662" i="1" s="1"/>
  <c r="N3662" i="1"/>
  <c r="M3662" i="1"/>
  <c r="L3662" i="1"/>
  <c r="K3662" i="1"/>
  <c r="I3662" i="1"/>
  <c r="O3661" i="1"/>
  <c r="P3661" i="1" s="1"/>
  <c r="N3661" i="1"/>
  <c r="M3661" i="1"/>
  <c r="L3661" i="1"/>
  <c r="K3661" i="1"/>
  <c r="I3661" i="1"/>
  <c r="O3660" i="1"/>
  <c r="P3660" i="1" s="1"/>
  <c r="N3660" i="1"/>
  <c r="M3660" i="1"/>
  <c r="L3660" i="1"/>
  <c r="K3660" i="1"/>
  <c r="I3660" i="1"/>
  <c r="O3659" i="1"/>
  <c r="P3659" i="1" s="1"/>
  <c r="N3659" i="1"/>
  <c r="M3659" i="1"/>
  <c r="L3659" i="1"/>
  <c r="K3659" i="1"/>
  <c r="I3659" i="1"/>
  <c r="O3658" i="1"/>
  <c r="P3658" i="1" s="1"/>
  <c r="N3658" i="1"/>
  <c r="M3658" i="1"/>
  <c r="L3658" i="1"/>
  <c r="K3658" i="1"/>
  <c r="I3658" i="1"/>
  <c r="O3657" i="1"/>
  <c r="P3657" i="1" s="1"/>
  <c r="N3657" i="1"/>
  <c r="M3657" i="1"/>
  <c r="L3657" i="1"/>
  <c r="K3657" i="1"/>
  <c r="I3657" i="1"/>
  <c r="O3656" i="1"/>
  <c r="P3656" i="1" s="1"/>
  <c r="N3656" i="1"/>
  <c r="M3656" i="1"/>
  <c r="L3656" i="1"/>
  <c r="K3656" i="1"/>
  <c r="I3656" i="1"/>
  <c r="O3655" i="1"/>
  <c r="P3655" i="1" s="1"/>
  <c r="N3655" i="1"/>
  <c r="M3655" i="1"/>
  <c r="L3655" i="1"/>
  <c r="K3655" i="1"/>
  <c r="I3655" i="1"/>
  <c r="O3654" i="1"/>
  <c r="P3654" i="1" s="1"/>
  <c r="N3654" i="1"/>
  <c r="M3654" i="1"/>
  <c r="L3654" i="1"/>
  <c r="K3654" i="1"/>
  <c r="I3654" i="1"/>
  <c r="O3653" i="1"/>
  <c r="P3653" i="1" s="1"/>
  <c r="N3653" i="1"/>
  <c r="M3653" i="1"/>
  <c r="L3653" i="1"/>
  <c r="K3653" i="1"/>
  <c r="I3653" i="1"/>
  <c r="O3652" i="1"/>
  <c r="P3652" i="1" s="1"/>
  <c r="N3652" i="1"/>
  <c r="M3652" i="1"/>
  <c r="L3652" i="1"/>
  <c r="K3652" i="1"/>
  <c r="I3652" i="1"/>
  <c r="O3651" i="1"/>
  <c r="P3651" i="1" s="1"/>
  <c r="N3651" i="1"/>
  <c r="M3651" i="1"/>
  <c r="L3651" i="1"/>
  <c r="K3651" i="1"/>
  <c r="I3651" i="1"/>
  <c r="O3650" i="1"/>
  <c r="P3650" i="1" s="1"/>
  <c r="N3650" i="1"/>
  <c r="M3650" i="1"/>
  <c r="L3650" i="1"/>
  <c r="K3650" i="1"/>
  <c r="I3650" i="1"/>
  <c r="O3649" i="1"/>
  <c r="P3649" i="1" s="1"/>
  <c r="N3649" i="1"/>
  <c r="M3649" i="1"/>
  <c r="L3649" i="1"/>
  <c r="K3649" i="1"/>
  <c r="I3649" i="1"/>
  <c r="O3648" i="1"/>
  <c r="P3648" i="1" s="1"/>
  <c r="N3648" i="1"/>
  <c r="M3648" i="1"/>
  <c r="L3648" i="1"/>
  <c r="K3648" i="1"/>
  <c r="I3648" i="1"/>
  <c r="O3647" i="1"/>
  <c r="P3647" i="1" s="1"/>
  <c r="N3647" i="1"/>
  <c r="M3647" i="1"/>
  <c r="L3647" i="1"/>
  <c r="K3647" i="1"/>
  <c r="I3647" i="1"/>
  <c r="O3646" i="1"/>
  <c r="P3646" i="1" s="1"/>
  <c r="N3646" i="1"/>
  <c r="M3646" i="1"/>
  <c r="L3646" i="1"/>
  <c r="K3646" i="1"/>
  <c r="I3646" i="1"/>
  <c r="O3645" i="1"/>
  <c r="P3645" i="1" s="1"/>
  <c r="N3645" i="1"/>
  <c r="M3645" i="1"/>
  <c r="L3645" i="1"/>
  <c r="K3645" i="1"/>
  <c r="I3645" i="1"/>
  <c r="O3644" i="1"/>
  <c r="P3644" i="1" s="1"/>
  <c r="N3644" i="1"/>
  <c r="M3644" i="1"/>
  <c r="L3644" i="1"/>
  <c r="K3644" i="1"/>
  <c r="I3644" i="1"/>
  <c r="O3643" i="1"/>
  <c r="P3643" i="1" s="1"/>
  <c r="N3643" i="1"/>
  <c r="M3643" i="1"/>
  <c r="L3643" i="1"/>
  <c r="K3643" i="1"/>
  <c r="I3643" i="1"/>
  <c r="O3642" i="1"/>
  <c r="P3642" i="1" s="1"/>
  <c r="N3642" i="1"/>
  <c r="M3642" i="1"/>
  <c r="L3642" i="1"/>
  <c r="K3642" i="1"/>
  <c r="I3642" i="1"/>
  <c r="O3641" i="1"/>
  <c r="P3641" i="1" s="1"/>
  <c r="N3641" i="1"/>
  <c r="M3641" i="1"/>
  <c r="L3641" i="1"/>
  <c r="K3641" i="1"/>
  <c r="I3641" i="1"/>
  <c r="O3640" i="1"/>
  <c r="P3640" i="1" s="1"/>
  <c r="N3640" i="1"/>
  <c r="M3640" i="1"/>
  <c r="L3640" i="1"/>
  <c r="K3640" i="1"/>
  <c r="I3640" i="1"/>
  <c r="O3639" i="1"/>
  <c r="P3639" i="1" s="1"/>
  <c r="N3639" i="1"/>
  <c r="M3639" i="1"/>
  <c r="L3639" i="1"/>
  <c r="K3639" i="1"/>
  <c r="I3639" i="1"/>
  <c r="O3638" i="1"/>
  <c r="P3638" i="1" s="1"/>
  <c r="N3638" i="1"/>
  <c r="M3638" i="1"/>
  <c r="L3638" i="1"/>
  <c r="K3638" i="1"/>
  <c r="I3638" i="1"/>
  <c r="O3637" i="1"/>
  <c r="P3637" i="1" s="1"/>
  <c r="N3637" i="1"/>
  <c r="M3637" i="1"/>
  <c r="L3637" i="1"/>
  <c r="K3637" i="1"/>
  <c r="I3637" i="1"/>
  <c r="O3636" i="1"/>
  <c r="P3636" i="1" s="1"/>
  <c r="N3636" i="1"/>
  <c r="M3636" i="1"/>
  <c r="L3636" i="1"/>
  <c r="K3636" i="1"/>
  <c r="I3636" i="1"/>
  <c r="O3635" i="1"/>
  <c r="P3635" i="1" s="1"/>
  <c r="N3635" i="1"/>
  <c r="M3635" i="1"/>
  <c r="L3635" i="1"/>
  <c r="K3635" i="1"/>
  <c r="I3635" i="1"/>
  <c r="O3634" i="1"/>
  <c r="P3634" i="1" s="1"/>
  <c r="N3634" i="1"/>
  <c r="M3634" i="1"/>
  <c r="L3634" i="1"/>
  <c r="K3634" i="1"/>
  <c r="I3634" i="1"/>
  <c r="O3633" i="1"/>
  <c r="P3633" i="1" s="1"/>
  <c r="N3633" i="1"/>
  <c r="M3633" i="1"/>
  <c r="L3633" i="1"/>
  <c r="K3633" i="1"/>
  <c r="I3633" i="1"/>
  <c r="O3632" i="1"/>
  <c r="P3632" i="1" s="1"/>
  <c r="N3632" i="1"/>
  <c r="M3632" i="1"/>
  <c r="L3632" i="1"/>
  <c r="K3632" i="1"/>
  <c r="I3632" i="1"/>
  <c r="O3631" i="1"/>
  <c r="P3631" i="1" s="1"/>
  <c r="N3631" i="1"/>
  <c r="M3631" i="1"/>
  <c r="L3631" i="1"/>
  <c r="K3631" i="1"/>
  <c r="I3631" i="1"/>
  <c r="O3630" i="1"/>
  <c r="P3630" i="1" s="1"/>
  <c r="N3630" i="1"/>
  <c r="M3630" i="1"/>
  <c r="L3630" i="1"/>
  <c r="K3630" i="1"/>
  <c r="I3630" i="1"/>
  <c r="O3629" i="1"/>
  <c r="P3629" i="1" s="1"/>
  <c r="N3629" i="1"/>
  <c r="M3629" i="1"/>
  <c r="L3629" i="1"/>
  <c r="K3629" i="1"/>
  <c r="I3629" i="1"/>
  <c r="O3628" i="1"/>
  <c r="P3628" i="1" s="1"/>
  <c r="N3628" i="1"/>
  <c r="M3628" i="1"/>
  <c r="L3628" i="1"/>
  <c r="K3628" i="1"/>
  <c r="I3628" i="1"/>
  <c r="O3627" i="1"/>
  <c r="P3627" i="1" s="1"/>
  <c r="N3627" i="1"/>
  <c r="M3627" i="1"/>
  <c r="L3627" i="1"/>
  <c r="K3627" i="1"/>
  <c r="I3627" i="1"/>
  <c r="O3626" i="1"/>
  <c r="P3626" i="1" s="1"/>
  <c r="N3626" i="1"/>
  <c r="M3626" i="1"/>
  <c r="L3626" i="1"/>
  <c r="K3626" i="1"/>
  <c r="I3626" i="1"/>
  <c r="O3625" i="1"/>
  <c r="P3625" i="1" s="1"/>
  <c r="N3625" i="1"/>
  <c r="M3625" i="1"/>
  <c r="L3625" i="1"/>
  <c r="K3625" i="1"/>
  <c r="I3625" i="1"/>
  <c r="O3624" i="1"/>
  <c r="P3624" i="1" s="1"/>
  <c r="N3624" i="1"/>
  <c r="M3624" i="1"/>
  <c r="L3624" i="1"/>
  <c r="K3624" i="1"/>
  <c r="I3624" i="1"/>
  <c r="O3623" i="1"/>
  <c r="P3623" i="1" s="1"/>
  <c r="N3623" i="1"/>
  <c r="M3623" i="1"/>
  <c r="L3623" i="1"/>
  <c r="K3623" i="1"/>
  <c r="I3623" i="1"/>
  <c r="O3622" i="1"/>
  <c r="P3622" i="1" s="1"/>
  <c r="N3622" i="1"/>
  <c r="M3622" i="1"/>
  <c r="L3622" i="1"/>
  <c r="K3622" i="1"/>
  <c r="I3622" i="1"/>
  <c r="O3621" i="1"/>
  <c r="P3621" i="1" s="1"/>
  <c r="N3621" i="1"/>
  <c r="M3621" i="1"/>
  <c r="L3621" i="1"/>
  <c r="K3621" i="1"/>
  <c r="I3621" i="1"/>
  <c r="O3620" i="1"/>
  <c r="P3620" i="1" s="1"/>
  <c r="N3620" i="1"/>
  <c r="M3620" i="1"/>
  <c r="L3620" i="1"/>
  <c r="K3620" i="1"/>
  <c r="I3620" i="1"/>
  <c r="O3619" i="1"/>
  <c r="P3619" i="1" s="1"/>
  <c r="N3619" i="1"/>
  <c r="M3619" i="1"/>
  <c r="L3619" i="1"/>
  <c r="K3619" i="1"/>
  <c r="I3619" i="1"/>
  <c r="O3618" i="1"/>
  <c r="P3618" i="1" s="1"/>
  <c r="N3618" i="1"/>
  <c r="M3618" i="1"/>
  <c r="L3618" i="1"/>
  <c r="K3618" i="1"/>
  <c r="I3618" i="1"/>
  <c r="O3617" i="1"/>
  <c r="P3617" i="1" s="1"/>
  <c r="N3617" i="1"/>
  <c r="M3617" i="1"/>
  <c r="L3617" i="1"/>
  <c r="K3617" i="1"/>
  <c r="I3617" i="1"/>
  <c r="O3616" i="1"/>
  <c r="P3616" i="1" s="1"/>
  <c r="N3616" i="1"/>
  <c r="M3616" i="1"/>
  <c r="L3616" i="1"/>
  <c r="K3616" i="1"/>
  <c r="I3616" i="1"/>
  <c r="O3615" i="1"/>
  <c r="P3615" i="1" s="1"/>
  <c r="N3615" i="1"/>
  <c r="M3615" i="1"/>
  <c r="L3615" i="1"/>
  <c r="K3615" i="1"/>
  <c r="I3615" i="1"/>
  <c r="O3614" i="1"/>
  <c r="P3614" i="1" s="1"/>
  <c r="N3614" i="1"/>
  <c r="M3614" i="1"/>
  <c r="L3614" i="1"/>
  <c r="K3614" i="1"/>
  <c r="I3614" i="1"/>
  <c r="O3613" i="1"/>
  <c r="P3613" i="1" s="1"/>
  <c r="N3613" i="1"/>
  <c r="M3613" i="1"/>
  <c r="L3613" i="1"/>
  <c r="K3613" i="1"/>
  <c r="I3613" i="1"/>
  <c r="O3612" i="1"/>
  <c r="P3612" i="1" s="1"/>
  <c r="N3612" i="1"/>
  <c r="M3612" i="1"/>
  <c r="L3612" i="1"/>
  <c r="K3612" i="1"/>
  <c r="I3612" i="1"/>
  <c r="O3611" i="1"/>
  <c r="P3611" i="1" s="1"/>
  <c r="N3611" i="1"/>
  <c r="M3611" i="1"/>
  <c r="L3611" i="1"/>
  <c r="K3611" i="1"/>
  <c r="I3611" i="1"/>
  <c r="O3610" i="1"/>
  <c r="P3610" i="1" s="1"/>
  <c r="N3610" i="1"/>
  <c r="M3610" i="1"/>
  <c r="L3610" i="1"/>
  <c r="K3610" i="1"/>
  <c r="I3610" i="1"/>
  <c r="O3609" i="1"/>
  <c r="P3609" i="1" s="1"/>
  <c r="N3609" i="1"/>
  <c r="M3609" i="1"/>
  <c r="L3609" i="1"/>
  <c r="K3609" i="1"/>
  <c r="I3609" i="1"/>
  <c r="O3608" i="1"/>
  <c r="P3608" i="1" s="1"/>
  <c r="N3608" i="1"/>
  <c r="M3608" i="1"/>
  <c r="L3608" i="1"/>
  <c r="K3608" i="1"/>
  <c r="I3608" i="1"/>
  <c r="O3607" i="1"/>
  <c r="P3607" i="1" s="1"/>
  <c r="N3607" i="1"/>
  <c r="M3607" i="1"/>
  <c r="L3607" i="1"/>
  <c r="K3607" i="1"/>
  <c r="I3607" i="1"/>
  <c r="O3606" i="1"/>
  <c r="P3606" i="1" s="1"/>
  <c r="N3606" i="1"/>
  <c r="M3606" i="1"/>
  <c r="L3606" i="1"/>
  <c r="K3606" i="1"/>
  <c r="I3606" i="1"/>
  <c r="O3605" i="1"/>
  <c r="P3605" i="1" s="1"/>
  <c r="N3605" i="1"/>
  <c r="M3605" i="1"/>
  <c r="L3605" i="1"/>
  <c r="K3605" i="1"/>
  <c r="I3605" i="1"/>
  <c r="O3604" i="1"/>
  <c r="P3604" i="1" s="1"/>
  <c r="N3604" i="1"/>
  <c r="M3604" i="1"/>
  <c r="L3604" i="1"/>
  <c r="K3604" i="1"/>
  <c r="I3604" i="1"/>
  <c r="O3603" i="1"/>
  <c r="P3603" i="1" s="1"/>
  <c r="N3603" i="1"/>
  <c r="M3603" i="1"/>
  <c r="L3603" i="1"/>
  <c r="K3603" i="1"/>
  <c r="I3603" i="1"/>
  <c r="O3602" i="1"/>
  <c r="P3602" i="1" s="1"/>
  <c r="N3602" i="1"/>
  <c r="M3602" i="1"/>
  <c r="L3602" i="1"/>
  <c r="K3602" i="1"/>
  <c r="I3602" i="1"/>
  <c r="O3601" i="1"/>
  <c r="P3601" i="1" s="1"/>
  <c r="N3601" i="1"/>
  <c r="M3601" i="1"/>
  <c r="L3601" i="1"/>
  <c r="K3601" i="1"/>
  <c r="I3601" i="1"/>
  <c r="O3600" i="1"/>
  <c r="P3600" i="1" s="1"/>
  <c r="N3600" i="1"/>
  <c r="M3600" i="1"/>
  <c r="L3600" i="1"/>
  <c r="K3600" i="1"/>
  <c r="I3600" i="1"/>
  <c r="O3599" i="1"/>
  <c r="P3599" i="1" s="1"/>
  <c r="N3599" i="1"/>
  <c r="M3599" i="1"/>
  <c r="L3599" i="1"/>
  <c r="K3599" i="1"/>
  <c r="I3599" i="1"/>
  <c r="O3598" i="1"/>
  <c r="P3598" i="1" s="1"/>
  <c r="N3598" i="1"/>
  <c r="M3598" i="1"/>
  <c r="L3598" i="1"/>
  <c r="K3598" i="1"/>
  <c r="I3598" i="1"/>
  <c r="O3597" i="1"/>
  <c r="P3597" i="1" s="1"/>
  <c r="N3597" i="1"/>
  <c r="M3597" i="1"/>
  <c r="L3597" i="1"/>
  <c r="K3597" i="1"/>
  <c r="I3597" i="1"/>
  <c r="O3596" i="1"/>
  <c r="P3596" i="1" s="1"/>
  <c r="N3596" i="1"/>
  <c r="M3596" i="1"/>
  <c r="L3596" i="1"/>
  <c r="K3596" i="1"/>
  <c r="I3596" i="1"/>
  <c r="O3595" i="1"/>
  <c r="P3595" i="1" s="1"/>
  <c r="N3595" i="1"/>
  <c r="M3595" i="1"/>
  <c r="L3595" i="1"/>
  <c r="K3595" i="1"/>
  <c r="I3595" i="1"/>
  <c r="O3594" i="1"/>
  <c r="P3594" i="1" s="1"/>
  <c r="N3594" i="1"/>
  <c r="M3594" i="1"/>
  <c r="L3594" i="1"/>
  <c r="K3594" i="1"/>
  <c r="I3594" i="1"/>
  <c r="O3593" i="1"/>
  <c r="P3593" i="1" s="1"/>
  <c r="N3593" i="1"/>
  <c r="M3593" i="1"/>
  <c r="L3593" i="1"/>
  <c r="K3593" i="1"/>
  <c r="I3593" i="1"/>
  <c r="O3592" i="1"/>
  <c r="P3592" i="1" s="1"/>
  <c r="N3592" i="1"/>
  <c r="M3592" i="1"/>
  <c r="L3592" i="1"/>
  <c r="K3592" i="1"/>
  <c r="I3592" i="1"/>
  <c r="O3591" i="1"/>
  <c r="P3591" i="1" s="1"/>
  <c r="N3591" i="1"/>
  <c r="M3591" i="1"/>
  <c r="L3591" i="1"/>
  <c r="K3591" i="1"/>
  <c r="I3591" i="1"/>
  <c r="O3590" i="1"/>
  <c r="P3590" i="1" s="1"/>
  <c r="N3590" i="1"/>
  <c r="M3590" i="1"/>
  <c r="L3590" i="1"/>
  <c r="K3590" i="1"/>
  <c r="I3590" i="1"/>
  <c r="O3589" i="1"/>
  <c r="P3589" i="1" s="1"/>
  <c r="N3589" i="1"/>
  <c r="M3589" i="1"/>
  <c r="L3589" i="1"/>
  <c r="K3589" i="1"/>
  <c r="I3589" i="1"/>
  <c r="O3588" i="1"/>
  <c r="P3588" i="1" s="1"/>
  <c r="N3588" i="1"/>
  <c r="M3588" i="1"/>
  <c r="L3588" i="1"/>
  <c r="K3588" i="1"/>
  <c r="I3588" i="1"/>
  <c r="O3587" i="1"/>
  <c r="P3587" i="1" s="1"/>
  <c r="N3587" i="1"/>
  <c r="M3587" i="1"/>
  <c r="L3587" i="1"/>
  <c r="K3587" i="1"/>
  <c r="I3587" i="1"/>
  <c r="O3586" i="1"/>
  <c r="P3586" i="1" s="1"/>
  <c r="N3586" i="1"/>
  <c r="M3586" i="1"/>
  <c r="L3586" i="1"/>
  <c r="K3586" i="1"/>
  <c r="I3586" i="1"/>
  <c r="O3585" i="1"/>
  <c r="P3585" i="1" s="1"/>
  <c r="N3585" i="1"/>
  <c r="M3585" i="1"/>
  <c r="L3585" i="1"/>
  <c r="K3585" i="1"/>
  <c r="I3585" i="1"/>
  <c r="O3584" i="1"/>
  <c r="P3584" i="1" s="1"/>
  <c r="N3584" i="1"/>
  <c r="M3584" i="1"/>
  <c r="L3584" i="1"/>
  <c r="K3584" i="1"/>
  <c r="I3584" i="1"/>
  <c r="O3583" i="1"/>
  <c r="P3583" i="1" s="1"/>
  <c r="N3583" i="1"/>
  <c r="M3583" i="1"/>
  <c r="L3583" i="1"/>
  <c r="K3583" i="1"/>
  <c r="I3583" i="1"/>
  <c r="O3582" i="1"/>
  <c r="P3582" i="1" s="1"/>
  <c r="N3582" i="1"/>
  <c r="M3582" i="1"/>
  <c r="L3582" i="1"/>
  <c r="K3582" i="1"/>
  <c r="I3582" i="1"/>
  <c r="O3581" i="1"/>
  <c r="P3581" i="1" s="1"/>
  <c r="N3581" i="1"/>
  <c r="M3581" i="1"/>
  <c r="L3581" i="1"/>
  <c r="K3581" i="1"/>
  <c r="I3581" i="1"/>
  <c r="O3580" i="1"/>
  <c r="P3580" i="1" s="1"/>
  <c r="N3580" i="1"/>
  <c r="M3580" i="1"/>
  <c r="L3580" i="1"/>
  <c r="K3580" i="1"/>
  <c r="I3580" i="1"/>
  <c r="O3579" i="1"/>
  <c r="P3579" i="1" s="1"/>
  <c r="N3579" i="1"/>
  <c r="M3579" i="1"/>
  <c r="L3579" i="1"/>
  <c r="K3579" i="1"/>
  <c r="I3579" i="1"/>
  <c r="O3578" i="1"/>
  <c r="P3578" i="1" s="1"/>
  <c r="N3578" i="1"/>
  <c r="M3578" i="1"/>
  <c r="L3578" i="1"/>
  <c r="K3578" i="1"/>
  <c r="I3578" i="1"/>
  <c r="O3577" i="1"/>
  <c r="P3577" i="1" s="1"/>
  <c r="N3577" i="1"/>
  <c r="M3577" i="1"/>
  <c r="L3577" i="1"/>
  <c r="K3577" i="1"/>
  <c r="I3577" i="1"/>
  <c r="O3576" i="1"/>
  <c r="P3576" i="1" s="1"/>
  <c r="N3576" i="1"/>
  <c r="M3576" i="1"/>
  <c r="L3576" i="1"/>
  <c r="K3576" i="1"/>
  <c r="I3576" i="1"/>
  <c r="O3575" i="1"/>
  <c r="P3575" i="1" s="1"/>
  <c r="N3575" i="1"/>
  <c r="M3575" i="1"/>
  <c r="L3575" i="1"/>
  <c r="K3575" i="1"/>
  <c r="I3575" i="1"/>
  <c r="O3574" i="1"/>
  <c r="P3574" i="1" s="1"/>
  <c r="N3574" i="1"/>
  <c r="M3574" i="1"/>
  <c r="L3574" i="1"/>
  <c r="K3574" i="1"/>
  <c r="I3574" i="1"/>
  <c r="O3573" i="1"/>
  <c r="P3573" i="1" s="1"/>
  <c r="N3573" i="1"/>
  <c r="M3573" i="1"/>
  <c r="L3573" i="1"/>
  <c r="K3573" i="1"/>
  <c r="I3573" i="1"/>
  <c r="O3572" i="1"/>
  <c r="P3572" i="1" s="1"/>
  <c r="N3572" i="1"/>
  <c r="M3572" i="1"/>
  <c r="L3572" i="1"/>
  <c r="K3572" i="1"/>
  <c r="I3572" i="1"/>
  <c r="O3571" i="1"/>
  <c r="P3571" i="1" s="1"/>
  <c r="N3571" i="1"/>
  <c r="M3571" i="1"/>
  <c r="L3571" i="1"/>
  <c r="K3571" i="1"/>
  <c r="I3571" i="1"/>
  <c r="O3570" i="1"/>
  <c r="P3570" i="1" s="1"/>
  <c r="N3570" i="1"/>
  <c r="M3570" i="1"/>
  <c r="L3570" i="1"/>
  <c r="K3570" i="1"/>
  <c r="I3570" i="1"/>
  <c r="O3569" i="1"/>
  <c r="P3569" i="1" s="1"/>
  <c r="N3569" i="1"/>
  <c r="M3569" i="1"/>
  <c r="L3569" i="1"/>
  <c r="K3569" i="1"/>
  <c r="I3569" i="1"/>
  <c r="O3568" i="1"/>
  <c r="P3568" i="1" s="1"/>
  <c r="N3568" i="1"/>
  <c r="M3568" i="1"/>
  <c r="L3568" i="1"/>
  <c r="K3568" i="1"/>
  <c r="I3568" i="1"/>
  <c r="O3567" i="1"/>
  <c r="P3567" i="1" s="1"/>
  <c r="N3567" i="1"/>
  <c r="M3567" i="1"/>
  <c r="L3567" i="1"/>
  <c r="K3567" i="1"/>
  <c r="I3567" i="1"/>
  <c r="O3566" i="1"/>
  <c r="P3566" i="1" s="1"/>
  <c r="N3566" i="1"/>
  <c r="M3566" i="1"/>
  <c r="L3566" i="1"/>
  <c r="K3566" i="1"/>
  <c r="I3566" i="1"/>
  <c r="O3565" i="1"/>
  <c r="P3565" i="1" s="1"/>
  <c r="N3565" i="1"/>
  <c r="M3565" i="1"/>
  <c r="L3565" i="1"/>
  <c r="K3565" i="1"/>
  <c r="I3565" i="1"/>
  <c r="O3564" i="1"/>
  <c r="P3564" i="1" s="1"/>
  <c r="N3564" i="1"/>
  <c r="M3564" i="1"/>
  <c r="L3564" i="1"/>
  <c r="K3564" i="1"/>
  <c r="I3564" i="1"/>
  <c r="O3563" i="1"/>
  <c r="P3563" i="1" s="1"/>
  <c r="N3563" i="1"/>
  <c r="M3563" i="1"/>
  <c r="L3563" i="1"/>
  <c r="K3563" i="1"/>
  <c r="I3563" i="1"/>
  <c r="O3562" i="1"/>
  <c r="P3562" i="1" s="1"/>
  <c r="N3562" i="1"/>
  <c r="M3562" i="1"/>
  <c r="L3562" i="1"/>
  <c r="K3562" i="1"/>
  <c r="I3562" i="1"/>
  <c r="O3561" i="1"/>
  <c r="P3561" i="1" s="1"/>
  <c r="N3561" i="1"/>
  <c r="M3561" i="1"/>
  <c r="L3561" i="1"/>
  <c r="K3561" i="1"/>
  <c r="I3561" i="1"/>
  <c r="O3560" i="1"/>
  <c r="P3560" i="1" s="1"/>
  <c r="N3560" i="1"/>
  <c r="M3560" i="1"/>
  <c r="L3560" i="1"/>
  <c r="K3560" i="1"/>
  <c r="I3560" i="1"/>
  <c r="O3559" i="1"/>
  <c r="P3559" i="1" s="1"/>
  <c r="N3559" i="1"/>
  <c r="M3559" i="1"/>
  <c r="L3559" i="1"/>
  <c r="K3559" i="1"/>
  <c r="I3559" i="1"/>
  <c r="O3558" i="1"/>
  <c r="P3558" i="1" s="1"/>
  <c r="N3558" i="1"/>
  <c r="M3558" i="1"/>
  <c r="L3558" i="1"/>
  <c r="K3558" i="1"/>
  <c r="I3558" i="1"/>
  <c r="O3557" i="1"/>
  <c r="P3557" i="1" s="1"/>
  <c r="N3557" i="1"/>
  <c r="M3557" i="1"/>
  <c r="L3557" i="1"/>
  <c r="K3557" i="1"/>
  <c r="I3557" i="1"/>
  <c r="O3556" i="1"/>
  <c r="P3556" i="1" s="1"/>
  <c r="N3556" i="1"/>
  <c r="M3556" i="1"/>
  <c r="L3556" i="1"/>
  <c r="K3556" i="1"/>
  <c r="I3556" i="1"/>
  <c r="O3555" i="1"/>
  <c r="P3555" i="1" s="1"/>
  <c r="N3555" i="1"/>
  <c r="M3555" i="1"/>
  <c r="L3555" i="1"/>
  <c r="K3555" i="1"/>
  <c r="I3555" i="1"/>
  <c r="O3554" i="1"/>
  <c r="P3554" i="1" s="1"/>
  <c r="N3554" i="1"/>
  <c r="M3554" i="1"/>
  <c r="L3554" i="1"/>
  <c r="K3554" i="1"/>
  <c r="I3554" i="1"/>
  <c r="O3553" i="1"/>
  <c r="P3553" i="1" s="1"/>
  <c r="N3553" i="1"/>
  <c r="M3553" i="1"/>
  <c r="L3553" i="1"/>
  <c r="K3553" i="1"/>
  <c r="I3553" i="1"/>
  <c r="O3552" i="1"/>
  <c r="P3552" i="1" s="1"/>
  <c r="N3552" i="1"/>
  <c r="M3552" i="1"/>
  <c r="L3552" i="1"/>
  <c r="K3552" i="1"/>
  <c r="I3552" i="1"/>
  <c r="O3551" i="1"/>
  <c r="P3551" i="1" s="1"/>
  <c r="N3551" i="1"/>
  <c r="M3551" i="1"/>
  <c r="L3551" i="1"/>
  <c r="K3551" i="1"/>
  <c r="I3551" i="1"/>
  <c r="O3550" i="1"/>
  <c r="P3550" i="1" s="1"/>
  <c r="N3550" i="1"/>
  <c r="M3550" i="1"/>
  <c r="L3550" i="1"/>
  <c r="K3550" i="1"/>
  <c r="I3550" i="1"/>
  <c r="O3549" i="1"/>
  <c r="P3549" i="1" s="1"/>
  <c r="N3549" i="1"/>
  <c r="M3549" i="1"/>
  <c r="L3549" i="1"/>
  <c r="K3549" i="1"/>
  <c r="I3549" i="1"/>
  <c r="O3548" i="1"/>
  <c r="P3548" i="1" s="1"/>
  <c r="N3548" i="1"/>
  <c r="M3548" i="1"/>
  <c r="L3548" i="1"/>
  <c r="K3548" i="1"/>
  <c r="I3548" i="1"/>
  <c r="O3547" i="1"/>
  <c r="P3547" i="1" s="1"/>
  <c r="N3547" i="1"/>
  <c r="M3547" i="1"/>
  <c r="L3547" i="1"/>
  <c r="K3547" i="1"/>
  <c r="I3547" i="1"/>
  <c r="O3546" i="1"/>
  <c r="P3546" i="1" s="1"/>
  <c r="N3546" i="1"/>
  <c r="M3546" i="1"/>
  <c r="L3546" i="1"/>
  <c r="K3546" i="1"/>
  <c r="I3546" i="1"/>
  <c r="O3545" i="1"/>
  <c r="P3545" i="1" s="1"/>
  <c r="N3545" i="1"/>
  <c r="M3545" i="1"/>
  <c r="L3545" i="1"/>
  <c r="K3545" i="1"/>
  <c r="I3545" i="1"/>
  <c r="O3544" i="1"/>
  <c r="P3544" i="1" s="1"/>
  <c r="N3544" i="1"/>
  <c r="M3544" i="1"/>
  <c r="L3544" i="1"/>
  <c r="K3544" i="1"/>
  <c r="I3544" i="1"/>
  <c r="O3543" i="1"/>
  <c r="P3543" i="1" s="1"/>
  <c r="N3543" i="1"/>
  <c r="M3543" i="1"/>
  <c r="L3543" i="1"/>
  <c r="K3543" i="1"/>
  <c r="I3543" i="1"/>
  <c r="O3542" i="1"/>
  <c r="P3542" i="1" s="1"/>
  <c r="N3542" i="1"/>
  <c r="M3542" i="1"/>
  <c r="L3542" i="1"/>
  <c r="K3542" i="1"/>
  <c r="I3542" i="1"/>
  <c r="O3541" i="1"/>
  <c r="P3541" i="1" s="1"/>
  <c r="N3541" i="1"/>
  <c r="M3541" i="1"/>
  <c r="L3541" i="1"/>
  <c r="K3541" i="1"/>
  <c r="I3541" i="1"/>
  <c r="O3540" i="1"/>
  <c r="P3540" i="1" s="1"/>
  <c r="N3540" i="1"/>
  <c r="M3540" i="1"/>
  <c r="L3540" i="1"/>
  <c r="K3540" i="1"/>
  <c r="I3540" i="1"/>
  <c r="O3539" i="1"/>
  <c r="P3539" i="1" s="1"/>
  <c r="N3539" i="1"/>
  <c r="M3539" i="1"/>
  <c r="L3539" i="1"/>
  <c r="K3539" i="1"/>
  <c r="I3539" i="1"/>
  <c r="O3538" i="1"/>
  <c r="P3538" i="1" s="1"/>
  <c r="N3538" i="1"/>
  <c r="M3538" i="1"/>
  <c r="L3538" i="1"/>
  <c r="K3538" i="1"/>
  <c r="I3538" i="1"/>
  <c r="O3537" i="1"/>
  <c r="P3537" i="1" s="1"/>
  <c r="N3537" i="1"/>
  <c r="M3537" i="1"/>
  <c r="L3537" i="1"/>
  <c r="K3537" i="1"/>
  <c r="I3537" i="1"/>
  <c r="O3536" i="1"/>
  <c r="P3536" i="1" s="1"/>
  <c r="N3536" i="1"/>
  <c r="M3536" i="1"/>
  <c r="L3536" i="1"/>
  <c r="K3536" i="1"/>
  <c r="I3536" i="1"/>
  <c r="O3535" i="1"/>
  <c r="P3535" i="1" s="1"/>
  <c r="N3535" i="1"/>
  <c r="M3535" i="1"/>
  <c r="L3535" i="1"/>
  <c r="K3535" i="1"/>
  <c r="I3535" i="1"/>
  <c r="O3534" i="1"/>
  <c r="P3534" i="1" s="1"/>
  <c r="N3534" i="1"/>
  <c r="M3534" i="1"/>
  <c r="L3534" i="1"/>
  <c r="K3534" i="1"/>
  <c r="I3534" i="1"/>
  <c r="O3533" i="1"/>
  <c r="P3533" i="1" s="1"/>
  <c r="N3533" i="1"/>
  <c r="M3533" i="1"/>
  <c r="L3533" i="1"/>
  <c r="K3533" i="1"/>
  <c r="I3533" i="1"/>
  <c r="O3532" i="1"/>
  <c r="P3532" i="1" s="1"/>
  <c r="N3532" i="1"/>
  <c r="M3532" i="1"/>
  <c r="L3532" i="1"/>
  <c r="K3532" i="1"/>
  <c r="I3532" i="1"/>
  <c r="O3531" i="1"/>
  <c r="P3531" i="1" s="1"/>
  <c r="N3531" i="1"/>
  <c r="M3531" i="1"/>
  <c r="L3531" i="1"/>
  <c r="K3531" i="1"/>
  <c r="I3531" i="1"/>
  <c r="O3530" i="1"/>
  <c r="P3530" i="1" s="1"/>
  <c r="N3530" i="1"/>
  <c r="M3530" i="1"/>
  <c r="L3530" i="1"/>
  <c r="K3530" i="1"/>
  <c r="I3530" i="1"/>
  <c r="O3529" i="1"/>
  <c r="P3529" i="1" s="1"/>
  <c r="N3529" i="1"/>
  <c r="M3529" i="1"/>
  <c r="L3529" i="1"/>
  <c r="K3529" i="1"/>
  <c r="I3529" i="1"/>
  <c r="O3528" i="1"/>
  <c r="P3528" i="1" s="1"/>
  <c r="N3528" i="1"/>
  <c r="M3528" i="1"/>
  <c r="L3528" i="1"/>
  <c r="K3528" i="1"/>
  <c r="I3528" i="1"/>
  <c r="O3527" i="1"/>
  <c r="P3527" i="1" s="1"/>
  <c r="N3527" i="1"/>
  <c r="M3527" i="1"/>
  <c r="L3527" i="1"/>
  <c r="K3527" i="1"/>
  <c r="I3527" i="1"/>
  <c r="O3526" i="1"/>
  <c r="P3526" i="1" s="1"/>
  <c r="N3526" i="1"/>
  <c r="M3526" i="1"/>
  <c r="L3526" i="1"/>
  <c r="K3526" i="1"/>
  <c r="I3526" i="1"/>
  <c r="O3525" i="1"/>
  <c r="P3525" i="1" s="1"/>
  <c r="N3525" i="1"/>
  <c r="M3525" i="1"/>
  <c r="L3525" i="1"/>
  <c r="K3525" i="1"/>
  <c r="I3525" i="1"/>
  <c r="O3524" i="1"/>
  <c r="P3524" i="1" s="1"/>
  <c r="N3524" i="1"/>
  <c r="M3524" i="1"/>
  <c r="L3524" i="1"/>
  <c r="K3524" i="1"/>
  <c r="I3524" i="1"/>
  <c r="O3523" i="1"/>
  <c r="P3523" i="1" s="1"/>
  <c r="N3523" i="1"/>
  <c r="M3523" i="1"/>
  <c r="L3523" i="1"/>
  <c r="K3523" i="1"/>
  <c r="I3523" i="1"/>
  <c r="O3522" i="1"/>
  <c r="P3522" i="1" s="1"/>
  <c r="N3522" i="1"/>
  <c r="M3522" i="1"/>
  <c r="L3522" i="1"/>
  <c r="K3522" i="1"/>
  <c r="I3522" i="1"/>
  <c r="O3521" i="1"/>
  <c r="P3521" i="1" s="1"/>
  <c r="N3521" i="1"/>
  <c r="M3521" i="1"/>
  <c r="L3521" i="1"/>
  <c r="K3521" i="1"/>
  <c r="I3521" i="1"/>
  <c r="O3520" i="1"/>
  <c r="P3520" i="1" s="1"/>
  <c r="N3520" i="1"/>
  <c r="M3520" i="1"/>
  <c r="L3520" i="1"/>
  <c r="K3520" i="1"/>
  <c r="I3520" i="1"/>
  <c r="O3519" i="1"/>
  <c r="P3519" i="1" s="1"/>
  <c r="N3519" i="1"/>
  <c r="M3519" i="1"/>
  <c r="L3519" i="1"/>
  <c r="K3519" i="1"/>
  <c r="I3519" i="1"/>
  <c r="O3518" i="1"/>
  <c r="P3518" i="1" s="1"/>
  <c r="N3518" i="1"/>
  <c r="M3518" i="1"/>
  <c r="L3518" i="1"/>
  <c r="K3518" i="1"/>
  <c r="I3518" i="1"/>
  <c r="O3517" i="1"/>
  <c r="P3517" i="1" s="1"/>
  <c r="N3517" i="1"/>
  <c r="M3517" i="1"/>
  <c r="L3517" i="1"/>
  <c r="K3517" i="1"/>
  <c r="I3517" i="1"/>
  <c r="O3516" i="1"/>
  <c r="P3516" i="1" s="1"/>
  <c r="N3516" i="1"/>
  <c r="M3516" i="1"/>
  <c r="L3516" i="1"/>
  <c r="K3516" i="1"/>
  <c r="I3516" i="1"/>
  <c r="O3515" i="1"/>
  <c r="P3515" i="1" s="1"/>
  <c r="N3515" i="1"/>
  <c r="M3515" i="1"/>
  <c r="L3515" i="1"/>
  <c r="K3515" i="1"/>
  <c r="I3515" i="1"/>
  <c r="O3514" i="1"/>
  <c r="P3514" i="1" s="1"/>
  <c r="N3514" i="1"/>
  <c r="M3514" i="1"/>
  <c r="L3514" i="1"/>
  <c r="K3514" i="1"/>
  <c r="I3514" i="1"/>
  <c r="O3513" i="1"/>
  <c r="P3513" i="1" s="1"/>
  <c r="N3513" i="1"/>
  <c r="M3513" i="1"/>
  <c r="L3513" i="1"/>
  <c r="K3513" i="1"/>
  <c r="I3513" i="1"/>
  <c r="O3512" i="1"/>
  <c r="P3512" i="1" s="1"/>
  <c r="N3512" i="1"/>
  <c r="M3512" i="1"/>
  <c r="L3512" i="1"/>
  <c r="K3512" i="1"/>
  <c r="I3512" i="1"/>
  <c r="O3511" i="1"/>
  <c r="P3511" i="1" s="1"/>
  <c r="N3511" i="1"/>
  <c r="M3511" i="1"/>
  <c r="L3511" i="1"/>
  <c r="K3511" i="1"/>
  <c r="I3511" i="1"/>
  <c r="O3510" i="1"/>
  <c r="P3510" i="1" s="1"/>
  <c r="N3510" i="1"/>
  <c r="M3510" i="1"/>
  <c r="L3510" i="1"/>
  <c r="K3510" i="1"/>
  <c r="I3510" i="1"/>
  <c r="O3509" i="1"/>
  <c r="P3509" i="1" s="1"/>
  <c r="N3509" i="1"/>
  <c r="M3509" i="1"/>
  <c r="L3509" i="1"/>
  <c r="K3509" i="1"/>
  <c r="I3509" i="1"/>
  <c r="O3508" i="1"/>
  <c r="P3508" i="1" s="1"/>
  <c r="N3508" i="1"/>
  <c r="M3508" i="1"/>
  <c r="L3508" i="1"/>
  <c r="K3508" i="1"/>
  <c r="I3508" i="1"/>
  <c r="O3507" i="1"/>
  <c r="P3507" i="1" s="1"/>
  <c r="N3507" i="1"/>
  <c r="M3507" i="1"/>
  <c r="L3507" i="1"/>
  <c r="K3507" i="1"/>
  <c r="I3507" i="1"/>
  <c r="O3506" i="1"/>
  <c r="P3506" i="1" s="1"/>
  <c r="N3506" i="1"/>
  <c r="M3506" i="1"/>
  <c r="L3506" i="1"/>
  <c r="K3506" i="1"/>
  <c r="I3506" i="1"/>
  <c r="O3505" i="1"/>
  <c r="P3505" i="1" s="1"/>
  <c r="N3505" i="1"/>
  <c r="M3505" i="1"/>
  <c r="L3505" i="1"/>
  <c r="K3505" i="1"/>
  <c r="I3505" i="1"/>
  <c r="O3504" i="1"/>
  <c r="P3504" i="1" s="1"/>
  <c r="N3504" i="1"/>
  <c r="M3504" i="1"/>
  <c r="L3504" i="1"/>
  <c r="K3504" i="1"/>
  <c r="I3504" i="1"/>
  <c r="O3503" i="1"/>
  <c r="P3503" i="1" s="1"/>
  <c r="N3503" i="1"/>
  <c r="M3503" i="1"/>
  <c r="L3503" i="1"/>
  <c r="K3503" i="1"/>
  <c r="I3503" i="1"/>
  <c r="O3502" i="1"/>
  <c r="P3502" i="1" s="1"/>
  <c r="N3502" i="1"/>
  <c r="M3502" i="1"/>
  <c r="L3502" i="1"/>
  <c r="K3502" i="1"/>
  <c r="I3502" i="1"/>
  <c r="O3501" i="1"/>
  <c r="P3501" i="1" s="1"/>
  <c r="N3501" i="1"/>
  <c r="M3501" i="1"/>
  <c r="L3501" i="1"/>
  <c r="K3501" i="1"/>
  <c r="I3501" i="1"/>
  <c r="O3500" i="1"/>
  <c r="P3500" i="1" s="1"/>
  <c r="N3500" i="1"/>
  <c r="M3500" i="1"/>
  <c r="L3500" i="1"/>
  <c r="K3500" i="1"/>
  <c r="I3500" i="1"/>
  <c r="O3499" i="1"/>
  <c r="P3499" i="1" s="1"/>
  <c r="N3499" i="1"/>
  <c r="M3499" i="1"/>
  <c r="L3499" i="1"/>
  <c r="K3499" i="1"/>
  <c r="I3499" i="1"/>
  <c r="O3498" i="1"/>
  <c r="P3498" i="1" s="1"/>
  <c r="N3498" i="1"/>
  <c r="M3498" i="1"/>
  <c r="L3498" i="1"/>
  <c r="K3498" i="1"/>
  <c r="I3498" i="1"/>
  <c r="O3497" i="1"/>
  <c r="P3497" i="1" s="1"/>
  <c r="N3497" i="1"/>
  <c r="M3497" i="1"/>
  <c r="L3497" i="1"/>
  <c r="K3497" i="1"/>
  <c r="I3497" i="1"/>
  <c r="O3496" i="1"/>
  <c r="P3496" i="1" s="1"/>
  <c r="N3496" i="1"/>
  <c r="M3496" i="1"/>
  <c r="L3496" i="1"/>
  <c r="K3496" i="1"/>
  <c r="I3496" i="1"/>
  <c r="O3495" i="1"/>
  <c r="P3495" i="1" s="1"/>
  <c r="N3495" i="1"/>
  <c r="M3495" i="1"/>
  <c r="L3495" i="1"/>
  <c r="K3495" i="1"/>
  <c r="I3495" i="1"/>
  <c r="O3494" i="1"/>
  <c r="P3494" i="1" s="1"/>
  <c r="N3494" i="1"/>
  <c r="M3494" i="1"/>
  <c r="L3494" i="1"/>
  <c r="K3494" i="1"/>
  <c r="I3494" i="1"/>
  <c r="O3493" i="1"/>
  <c r="P3493" i="1" s="1"/>
  <c r="N3493" i="1"/>
  <c r="M3493" i="1"/>
  <c r="L3493" i="1"/>
  <c r="K3493" i="1"/>
  <c r="I3493" i="1"/>
  <c r="O3492" i="1"/>
  <c r="P3492" i="1" s="1"/>
  <c r="N3492" i="1"/>
  <c r="M3492" i="1"/>
  <c r="L3492" i="1"/>
  <c r="K3492" i="1"/>
  <c r="I3492" i="1"/>
  <c r="O3491" i="1"/>
  <c r="P3491" i="1" s="1"/>
  <c r="N3491" i="1"/>
  <c r="M3491" i="1"/>
  <c r="L3491" i="1"/>
  <c r="K3491" i="1"/>
  <c r="I3491" i="1"/>
  <c r="O3490" i="1"/>
  <c r="P3490" i="1" s="1"/>
  <c r="N3490" i="1"/>
  <c r="M3490" i="1"/>
  <c r="L3490" i="1"/>
  <c r="K3490" i="1"/>
  <c r="I3490" i="1"/>
  <c r="O3489" i="1"/>
  <c r="P3489" i="1" s="1"/>
  <c r="N3489" i="1"/>
  <c r="M3489" i="1"/>
  <c r="L3489" i="1"/>
  <c r="K3489" i="1"/>
  <c r="I3489" i="1"/>
  <c r="O3488" i="1"/>
  <c r="P3488" i="1" s="1"/>
  <c r="N3488" i="1"/>
  <c r="M3488" i="1"/>
  <c r="L3488" i="1"/>
  <c r="K3488" i="1"/>
  <c r="I3488" i="1"/>
  <c r="O3487" i="1"/>
  <c r="P3487" i="1" s="1"/>
  <c r="N3487" i="1"/>
  <c r="M3487" i="1"/>
  <c r="L3487" i="1"/>
  <c r="K3487" i="1"/>
  <c r="I3487" i="1"/>
  <c r="O3486" i="1"/>
  <c r="P3486" i="1" s="1"/>
  <c r="N3486" i="1"/>
  <c r="M3486" i="1"/>
  <c r="L3486" i="1"/>
  <c r="K3486" i="1"/>
  <c r="I3486" i="1"/>
  <c r="O3485" i="1"/>
  <c r="P3485" i="1" s="1"/>
  <c r="N3485" i="1"/>
  <c r="M3485" i="1"/>
  <c r="L3485" i="1"/>
  <c r="K3485" i="1"/>
  <c r="I3485" i="1"/>
  <c r="O3484" i="1"/>
  <c r="P3484" i="1" s="1"/>
  <c r="N3484" i="1"/>
  <c r="M3484" i="1"/>
  <c r="L3484" i="1"/>
  <c r="K3484" i="1"/>
  <c r="I3484" i="1"/>
  <c r="O3483" i="1"/>
  <c r="P3483" i="1" s="1"/>
  <c r="N3483" i="1"/>
  <c r="M3483" i="1"/>
  <c r="L3483" i="1"/>
  <c r="K3483" i="1"/>
  <c r="I3483" i="1"/>
  <c r="O3482" i="1"/>
  <c r="P3482" i="1" s="1"/>
  <c r="N3482" i="1"/>
  <c r="M3482" i="1"/>
  <c r="L3482" i="1"/>
  <c r="K3482" i="1"/>
  <c r="I3482" i="1"/>
  <c r="O3481" i="1"/>
  <c r="P3481" i="1" s="1"/>
  <c r="N3481" i="1"/>
  <c r="M3481" i="1"/>
  <c r="L3481" i="1"/>
  <c r="K3481" i="1"/>
  <c r="I3481" i="1"/>
  <c r="O3480" i="1"/>
  <c r="P3480" i="1" s="1"/>
  <c r="N3480" i="1"/>
  <c r="M3480" i="1"/>
  <c r="L3480" i="1"/>
  <c r="K3480" i="1"/>
  <c r="I3480" i="1"/>
  <c r="O3479" i="1"/>
  <c r="P3479" i="1" s="1"/>
  <c r="N3479" i="1"/>
  <c r="M3479" i="1"/>
  <c r="L3479" i="1"/>
  <c r="K3479" i="1"/>
  <c r="I3479" i="1"/>
  <c r="O3478" i="1"/>
  <c r="P3478" i="1" s="1"/>
  <c r="N3478" i="1"/>
  <c r="M3478" i="1"/>
  <c r="L3478" i="1"/>
  <c r="K3478" i="1"/>
  <c r="I3478" i="1"/>
  <c r="O3477" i="1"/>
  <c r="P3477" i="1" s="1"/>
  <c r="N3477" i="1"/>
  <c r="M3477" i="1"/>
  <c r="L3477" i="1"/>
  <c r="K3477" i="1"/>
  <c r="I3477" i="1"/>
  <c r="O3476" i="1"/>
  <c r="P3476" i="1" s="1"/>
  <c r="N3476" i="1"/>
  <c r="M3476" i="1"/>
  <c r="L3476" i="1"/>
  <c r="K3476" i="1"/>
  <c r="I3476" i="1"/>
  <c r="O3475" i="1"/>
  <c r="P3475" i="1" s="1"/>
  <c r="N3475" i="1"/>
  <c r="M3475" i="1"/>
  <c r="L3475" i="1"/>
  <c r="K3475" i="1"/>
  <c r="I3475" i="1"/>
  <c r="O3474" i="1"/>
  <c r="P3474" i="1" s="1"/>
  <c r="N3474" i="1"/>
  <c r="M3474" i="1"/>
  <c r="L3474" i="1"/>
  <c r="K3474" i="1"/>
  <c r="I3474" i="1"/>
  <c r="O3473" i="1"/>
  <c r="P3473" i="1" s="1"/>
  <c r="N3473" i="1"/>
  <c r="M3473" i="1"/>
  <c r="L3473" i="1"/>
  <c r="K3473" i="1"/>
  <c r="I3473" i="1"/>
  <c r="O3472" i="1"/>
  <c r="P3472" i="1" s="1"/>
  <c r="N3472" i="1"/>
  <c r="M3472" i="1"/>
  <c r="L3472" i="1"/>
  <c r="K3472" i="1"/>
  <c r="I3472" i="1"/>
  <c r="O3471" i="1"/>
  <c r="P3471" i="1" s="1"/>
  <c r="N3471" i="1"/>
  <c r="M3471" i="1"/>
  <c r="L3471" i="1"/>
  <c r="K3471" i="1"/>
  <c r="I3471" i="1"/>
  <c r="O3470" i="1"/>
  <c r="P3470" i="1" s="1"/>
  <c r="N3470" i="1"/>
  <c r="M3470" i="1"/>
  <c r="L3470" i="1"/>
  <c r="K3470" i="1"/>
  <c r="I3470" i="1"/>
  <c r="O3469" i="1"/>
  <c r="P3469" i="1" s="1"/>
  <c r="N3469" i="1"/>
  <c r="M3469" i="1"/>
  <c r="L3469" i="1"/>
  <c r="K3469" i="1"/>
  <c r="I3469" i="1"/>
  <c r="O3468" i="1"/>
  <c r="P3468" i="1" s="1"/>
  <c r="N3468" i="1"/>
  <c r="M3468" i="1"/>
  <c r="L3468" i="1"/>
  <c r="K3468" i="1"/>
  <c r="I3468" i="1"/>
  <c r="O3467" i="1"/>
  <c r="P3467" i="1" s="1"/>
  <c r="N3467" i="1"/>
  <c r="M3467" i="1"/>
  <c r="L3467" i="1"/>
  <c r="K3467" i="1"/>
  <c r="I3467" i="1"/>
  <c r="O3466" i="1"/>
  <c r="P3466" i="1" s="1"/>
  <c r="N3466" i="1"/>
  <c r="M3466" i="1"/>
  <c r="L3466" i="1"/>
  <c r="K3466" i="1"/>
  <c r="I3466" i="1"/>
  <c r="O3465" i="1"/>
  <c r="P3465" i="1" s="1"/>
  <c r="N3465" i="1"/>
  <c r="M3465" i="1"/>
  <c r="L3465" i="1"/>
  <c r="K3465" i="1"/>
  <c r="I3465" i="1"/>
  <c r="O3464" i="1"/>
  <c r="P3464" i="1" s="1"/>
  <c r="N3464" i="1"/>
  <c r="M3464" i="1"/>
  <c r="L3464" i="1"/>
  <c r="K3464" i="1"/>
  <c r="I3464" i="1"/>
  <c r="O3463" i="1"/>
  <c r="P3463" i="1" s="1"/>
  <c r="N3463" i="1"/>
  <c r="M3463" i="1"/>
  <c r="L3463" i="1"/>
  <c r="K3463" i="1"/>
  <c r="I3463" i="1"/>
  <c r="O3462" i="1"/>
  <c r="P3462" i="1" s="1"/>
  <c r="N3462" i="1"/>
  <c r="M3462" i="1"/>
  <c r="L3462" i="1"/>
  <c r="K3462" i="1"/>
  <c r="I3462" i="1"/>
  <c r="O3461" i="1"/>
  <c r="P3461" i="1" s="1"/>
  <c r="N3461" i="1"/>
  <c r="M3461" i="1"/>
  <c r="L3461" i="1"/>
  <c r="K3461" i="1"/>
  <c r="I3461" i="1"/>
  <c r="O3460" i="1"/>
  <c r="P3460" i="1" s="1"/>
  <c r="N3460" i="1"/>
  <c r="M3460" i="1"/>
  <c r="L3460" i="1"/>
  <c r="K3460" i="1"/>
  <c r="I3460" i="1"/>
  <c r="O3459" i="1"/>
  <c r="P3459" i="1" s="1"/>
  <c r="N3459" i="1"/>
  <c r="M3459" i="1"/>
  <c r="L3459" i="1"/>
  <c r="K3459" i="1"/>
  <c r="I3459" i="1"/>
  <c r="O3458" i="1"/>
  <c r="P3458" i="1" s="1"/>
  <c r="N3458" i="1"/>
  <c r="M3458" i="1"/>
  <c r="L3458" i="1"/>
  <c r="K3458" i="1"/>
  <c r="I3458" i="1"/>
  <c r="O3457" i="1"/>
  <c r="P3457" i="1" s="1"/>
  <c r="N3457" i="1"/>
  <c r="M3457" i="1"/>
  <c r="L3457" i="1"/>
  <c r="K3457" i="1"/>
  <c r="I3457" i="1"/>
  <c r="O3456" i="1"/>
  <c r="P3456" i="1" s="1"/>
  <c r="N3456" i="1"/>
  <c r="M3456" i="1"/>
  <c r="L3456" i="1"/>
  <c r="K3456" i="1"/>
  <c r="I3456" i="1"/>
  <c r="O3455" i="1"/>
  <c r="P3455" i="1" s="1"/>
  <c r="N3455" i="1"/>
  <c r="M3455" i="1"/>
  <c r="L3455" i="1"/>
  <c r="K3455" i="1"/>
  <c r="I3455" i="1"/>
  <c r="O3454" i="1"/>
  <c r="P3454" i="1" s="1"/>
  <c r="N3454" i="1"/>
  <c r="M3454" i="1"/>
  <c r="L3454" i="1"/>
  <c r="K3454" i="1"/>
  <c r="I3454" i="1"/>
  <c r="O3453" i="1"/>
  <c r="P3453" i="1" s="1"/>
  <c r="N3453" i="1"/>
  <c r="M3453" i="1"/>
  <c r="L3453" i="1"/>
  <c r="K3453" i="1"/>
  <c r="I3453" i="1"/>
  <c r="O3452" i="1"/>
  <c r="P3452" i="1" s="1"/>
  <c r="N3452" i="1"/>
  <c r="M3452" i="1"/>
  <c r="L3452" i="1"/>
  <c r="K3452" i="1"/>
  <c r="I3452" i="1"/>
  <c r="O3451" i="1"/>
  <c r="P3451" i="1" s="1"/>
  <c r="N3451" i="1"/>
  <c r="M3451" i="1"/>
  <c r="L3451" i="1"/>
  <c r="K3451" i="1"/>
  <c r="I3451" i="1"/>
  <c r="O3450" i="1"/>
  <c r="P3450" i="1" s="1"/>
  <c r="N3450" i="1"/>
  <c r="M3450" i="1"/>
  <c r="L3450" i="1"/>
  <c r="K3450" i="1"/>
  <c r="I3450" i="1"/>
  <c r="O3449" i="1"/>
  <c r="P3449" i="1" s="1"/>
  <c r="N3449" i="1"/>
  <c r="M3449" i="1"/>
  <c r="L3449" i="1"/>
  <c r="K3449" i="1"/>
  <c r="I3449" i="1"/>
  <c r="O3448" i="1"/>
  <c r="P3448" i="1" s="1"/>
  <c r="N3448" i="1"/>
  <c r="M3448" i="1"/>
  <c r="L3448" i="1"/>
  <c r="K3448" i="1"/>
  <c r="I3448" i="1"/>
  <c r="O3447" i="1"/>
  <c r="P3447" i="1" s="1"/>
  <c r="N3447" i="1"/>
  <c r="M3447" i="1"/>
  <c r="L3447" i="1"/>
  <c r="K3447" i="1"/>
  <c r="I3447" i="1"/>
  <c r="O3446" i="1"/>
  <c r="P3446" i="1" s="1"/>
  <c r="N3446" i="1"/>
  <c r="M3446" i="1"/>
  <c r="L3446" i="1"/>
  <c r="K3446" i="1"/>
  <c r="I3446" i="1"/>
  <c r="O3445" i="1"/>
  <c r="P3445" i="1" s="1"/>
  <c r="N3445" i="1"/>
  <c r="M3445" i="1"/>
  <c r="L3445" i="1"/>
  <c r="K3445" i="1"/>
  <c r="I3445" i="1"/>
  <c r="O3444" i="1"/>
  <c r="P3444" i="1" s="1"/>
  <c r="N3444" i="1"/>
  <c r="M3444" i="1"/>
  <c r="L3444" i="1"/>
  <c r="K3444" i="1"/>
  <c r="I3444" i="1"/>
  <c r="O3443" i="1"/>
  <c r="P3443" i="1" s="1"/>
  <c r="N3443" i="1"/>
  <c r="M3443" i="1"/>
  <c r="L3443" i="1"/>
  <c r="K3443" i="1"/>
  <c r="I3443" i="1"/>
  <c r="O3442" i="1"/>
  <c r="P3442" i="1" s="1"/>
  <c r="N3442" i="1"/>
  <c r="M3442" i="1"/>
  <c r="L3442" i="1"/>
  <c r="K3442" i="1"/>
  <c r="I3442" i="1"/>
  <c r="O3441" i="1"/>
  <c r="P3441" i="1" s="1"/>
  <c r="N3441" i="1"/>
  <c r="M3441" i="1"/>
  <c r="L3441" i="1"/>
  <c r="K3441" i="1"/>
  <c r="I3441" i="1"/>
  <c r="O3440" i="1"/>
  <c r="P3440" i="1" s="1"/>
  <c r="N3440" i="1"/>
  <c r="M3440" i="1"/>
  <c r="L3440" i="1"/>
  <c r="K3440" i="1"/>
  <c r="I3440" i="1"/>
  <c r="O3439" i="1"/>
  <c r="P3439" i="1" s="1"/>
  <c r="N3439" i="1"/>
  <c r="M3439" i="1"/>
  <c r="L3439" i="1"/>
  <c r="K3439" i="1"/>
  <c r="I3439" i="1"/>
  <c r="O3438" i="1"/>
  <c r="P3438" i="1" s="1"/>
  <c r="N3438" i="1"/>
  <c r="M3438" i="1"/>
  <c r="L3438" i="1"/>
  <c r="K3438" i="1"/>
  <c r="I3438" i="1"/>
  <c r="O3437" i="1"/>
  <c r="P3437" i="1" s="1"/>
  <c r="N3437" i="1"/>
  <c r="M3437" i="1"/>
  <c r="L3437" i="1"/>
  <c r="K3437" i="1"/>
  <c r="I3437" i="1"/>
  <c r="O3436" i="1"/>
  <c r="P3436" i="1" s="1"/>
  <c r="N3436" i="1"/>
  <c r="M3436" i="1"/>
  <c r="L3436" i="1"/>
  <c r="K3436" i="1"/>
  <c r="I3436" i="1"/>
  <c r="O3435" i="1"/>
  <c r="P3435" i="1" s="1"/>
  <c r="N3435" i="1"/>
  <c r="M3435" i="1"/>
  <c r="L3435" i="1"/>
  <c r="K3435" i="1"/>
  <c r="I3435" i="1"/>
  <c r="O3434" i="1"/>
  <c r="P3434" i="1" s="1"/>
  <c r="N3434" i="1"/>
  <c r="M3434" i="1"/>
  <c r="L3434" i="1"/>
  <c r="K3434" i="1"/>
  <c r="I3434" i="1"/>
  <c r="O3433" i="1"/>
  <c r="P3433" i="1" s="1"/>
  <c r="N3433" i="1"/>
  <c r="M3433" i="1"/>
  <c r="L3433" i="1"/>
  <c r="K3433" i="1"/>
  <c r="I3433" i="1"/>
  <c r="O3432" i="1"/>
  <c r="P3432" i="1" s="1"/>
  <c r="N3432" i="1"/>
  <c r="M3432" i="1"/>
  <c r="L3432" i="1"/>
  <c r="K3432" i="1"/>
  <c r="I3432" i="1"/>
  <c r="O3431" i="1"/>
  <c r="P3431" i="1" s="1"/>
  <c r="N3431" i="1"/>
  <c r="M3431" i="1"/>
  <c r="L3431" i="1"/>
  <c r="K3431" i="1"/>
  <c r="I3431" i="1"/>
  <c r="O3430" i="1"/>
  <c r="P3430" i="1" s="1"/>
  <c r="N3430" i="1"/>
  <c r="M3430" i="1"/>
  <c r="L3430" i="1"/>
  <c r="K3430" i="1"/>
  <c r="I3430" i="1"/>
  <c r="O3429" i="1"/>
  <c r="P3429" i="1" s="1"/>
  <c r="N3429" i="1"/>
  <c r="M3429" i="1"/>
  <c r="L3429" i="1"/>
  <c r="K3429" i="1"/>
  <c r="I3429" i="1"/>
  <c r="O3428" i="1"/>
  <c r="P3428" i="1" s="1"/>
  <c r="N3428" i="1"/>
  <c r="M3428" i="1"/>
  <c r="L3428" i="1"/>
  <c r="K3428" i="1"/>
  <c r="I3428" i="1"/>
  <c r="O3427" i="1"/>
  <c r="P3427" i="1" s="1"/>
  <c r="N3427" i="1"/>
  <c r="M3427" i="1"/>
  <c r="L3427" i="1"/>
  <c r="K3427" i="1"/>
  <c r="I3427" i="1"/>
  <c r="O3426" i="1"/>
  <c r="P3426" i="1" s="1"/>
  <c r="N3426" i="1"/>
  <c r="M3426" i="1"/>
  <c r="L3426" i="1"/>
  <c r="K3426" i="1"/>
  <c r="I3426" i="1"/>
  <c r="O3425" i="1"/>
  <c r="P3425" i="1" s="1"/>
  <c r="N3425" i="1"/>
  <c r="M3425" i="1"/>
  <c r="L3425" i="1"/>
  <c r="K3425" i="1"/>
  <c r="I3425" i="1"/>
  <c r="O3424" i="1"/>
  <c r="P3424" i="1" s="1"/>
  <c r="N3424" i="1"/>
  <c r="M3424" i="1"/>
  <c r="L3424" i="1"/>
  <c r="K3424" i="1"/>
  <c r="I3424" i="1"/>
  <c r="O3423" i="1"/>
  <c r="P3423" i="1" s="1"/>
  <c r="N3423" i="1"/>
  <c r="M3423" i="1"/>
  <c r="L3423" i="1"/>
  <c r="K3423" i="1"/>
  <c r="I3423" i="1"/>
  <c r="O3422" i="1"/>
  <c r="P3422" i="1" s="1"/>
  <c r="N3422" i="1"/>
  <c r="M3422" i="1"/>
  <c r="L3422" i="1"/>
  <c r="K3422" i="1"/>
  <c r="I3422" i="1"/>
  <c r="O3421" i="1"/>
  <c r="P3421" i="1" s="1"/>
  <c r="N3421" i="1"/>
  <c r="M3421" i="1"/>
  <c r="L3421" i="1"/>
  <c r="K3421" i="1"/>
  <c r="I3421" i="1"/>
  <c r="O3420" i="1"/>
  <c r="P3420" i="1" s="1"/>
  <c r="N3420" i="1"/>
  <c r="M3420" i="1"/>
  <c r="L3420" i="1"/>
  <c r="K3420" i="1"/>
  <c r="I3420" i="1"/>
  <c r="O3419" i="1"/>
  <c r="P3419" i="1" s="1"/>
  <c r="N3419" i="1"/>
  <c r="M3419" i="1"/>
  <c r="L3419" i="1"/>
  <c r="K3419" i="1"/>
  <c r="I3419" i="1"/>
  <c r="O3418" i="1"/>
  <c r="P3418" i="1" s="1"/>
  <c r="N3418" i="1"/>
  <c r="M3418" i="1"/>
  <c r="L3418" i="1"/>
  <c r="K3418" i="1"/>
  <c r="I3418" i="1"/>
  <c r="O3417" i="1"/>
  <c r="P3417" i="1" s="1"/>
  <c r="N3417" i="1"/>
  <c r="M3417" i="1"/>
  <c r="L3417" i="1"/>
  <c r="K3417" i="1"/>
  <c r="I3417" i="1"/>
  <c r="O3416" i="1"/>
  <c r="P3416" i="1" s="1"/>
  <c r="N3416" i="1"/>
  <c r="M3416" i="1"/>
  <c r="L3416" i="1"/>
  <c r="K3416" i="1"/>
  <c r="I3416" i="1"/>
  <c r="O3415" i="1"/>
  <c r="P3415" i="1" s="1"/>
  <c r="N3415" i="1"/>
  <c r="M3415" i="1"/>
  <c r="L3415" i="1"/>
  <c r="K3415" i="1"/>
  <c r="I3415" i="1"/>
  <c r="O3414" i="1"/>
  <c r="P3414" i="1" s="1"/>
  <c r="N3414" i="1"/>
  <c r="M3414" i="1"/>
  <c r="L3414" i="1"/>
  <c r="K3414" i="1"/>
  <c r="I3414" i="1"/>
  <c r="O3413" i="1"/>
  <c r="P3413" i="1" s="1"/>
  <c r="N3413" i="1"/>
  <c r="M3413" i="1"/>
  <c r="L3413" i="1"/>
  <c r="K3413" i="1"/>
  <c r="I3413" i="1"/>
  <c r="O3412" i="1"/>
  <c r="P3412" i="1" s="1"/>
  <c r="N3412" i="1"/>
  <c r="M3412" i="1"/>
  <c r="L3412" i="1"/>
  <c r="K3412" i="1"/>
  <c r="I3412" i="1"/>
  <c r="O3411" i="1"/>
  <c r="P3411" i="1" s="1"/>
  <c r="N3411" i="1"/>
  <c r="M3411" i="1"/>
  <c r="L3411" i="1"/>
  <c r="K3411" i="1"/>
  <c r="I3411" i="1"/>
  <c r="O3410" i="1"/>
  <c r="P3410" i="1" s="1"/>
  <c r="N3410" i="1"/>
  <c r="M3410" i="1"/>
  <c r="L3410" i="1"/>
  <c r="K3410" i="1"/>
  <c r="I3410" i="1"/>
  <c r="O3409" i="1"/>
  <c r="P3409" i="1" s="1"/>
  <c r="N3409" i="1"/>
  <c r="M3409" i="1"/>
  <c r="L3409" i="1"/>
  <c r="K3409" i="1"/>
  <c r="I3409" i="1"/>
  <c r="O3408" i="1"/>
  <c r="P3408" i="1" s="1"/>
  <c r="N3408" i="1"/>
  <c r="M3408" i="1"/>
  <c r="L3408" i="1"/>
  <c r="K3408" i="1"/>
  <c r="I3408" i="1"/>
  <c r="O3407" i="1"/>
  <c r="P3407" i="1" s="1"/>
  <c r="N3407" i="1"/>
  <c r="M3407" i="1"/>
  <c r="L3407" i="1"/>
  <c r="K3407" i="1"/>
  <c r="I3407" i="1"/>
  <c r="O3406" i="1"/>
  <c r="P3406" i="1" s="1"/>
  <c r="N3406" i="1"/>
  <c r="M3406" i="1"/>
  <c r="L3406" i="1"/>
  <c r="K3406" i="1"/>
  <c r="I3406" i="1"/>
  <c r="O3405" i="1"/>
  <c r="P3405" i="1" s="1"/>
  <c r="N3405" i="1"/>
  <c r="M3405" i="1"/>
  <c r="L3405" i="1"/>
  <c r="K3405" i="1"/>
  <c r="I3405" i="1"/>
  <c r="O3404" i="1"/>
  <c r="P3404" i="1" s="1"/>
  <c r="N3404" i="1"/>
  <c r="M3404" i="1"/>
  <c r="L3404" i="1"/>
  <c r="K3404" i="1"/>
  <c r="I3404" i="1"/>
  <c r="O3403" i="1"/>
  <c r="P3403" i="1" s="1"/>
  <c r="N3403" i="1"/>
  <c r="M3403" i="1"/>
  <c r="L3403" i="1"/>
  <c r="K3403" i="1"/>
  <c r="I3403" i="1"/>
  <c r="O3402" i="1"/>
  <c r="P3402" i="1" s="1"/>
  <c r="N3402" i="1"/>
  <c r="M3402" i="1"/>
  <c r="L3402" i="1"/>
  <c r="K3402" i="1"/>
  <c r="I3402" i="1"/>
  <c r="O3401" i="1"/>
  <c r="P3401" i="1" s="1"/>
  <c r="N3401" i="1"/>
  <c r="M3401" i="1"/>
  <c r="L3401" i="1"/>
  <c r="K3401" i="1"/>
  <c r="I3401" i="1"/>
  <c r="O3400" i="1"/>
  <c r="P3400" i="1" s="1"/>
  <c r="N3400" i="1"/>
  <c r="M3400" i="1"/>
  <c r="L3400" i="1"/>
  <c r="K3400" i="1"/>
  <c r="I3400" i="1"/>
  <c r="O3399" i="1"/>
  <c r="P3399" i="1" s="1"/>
  <c r="N3399" i="1"/>
  <c r="M3399" i="1"/>
  <c r="L3399" i="1"/>
  <c r="K3399" i="1"/>
  <c r="I3399" i="1"/>
  <c r="O3398" i="1"/>
  <c r="P3398" i="1" s="1"/>
  <c r="N3398" i="1"/>
  <c r="M3398" i="1"/>
  <c r="L3398" i="1"/>
  <c r="K3398" i="1"/>
  <c r="I3398" i="1"/>
  <c r="O3397" i="1"/>
  <c r="P3397" i="1" s="1"/>
  <c r="N3397" i="1"/>
  <c r="M3397" i="1"/>
  <c r="L3397" i="1"/>
  <c r="K3397" i="1"/>
  <c r="I3397" i="1"/>
  <c r="O3396" i="1"/>
  <c r="P3396" i="1" s="1"/>
  <c r="N3396" i="1"/>
  <c r="M3396" i="1"/>
  <c r="L3396" i="1"/>
  <c r="K3396" i="1"/>
  <c r="I3396" i="1"/>
  <c r="O3395" i="1"/>
  <c r="P3395" i="1" s="1"/>
  <c r="N3395" i="1"/>
  <c r="M3395" i="1"/>
  <c r="L3395" i="1"/>
  <c r="K3395" i="1"/>
  <c r="I3395" i="1"/>
  <c r="O3394" i="1"/>
  <c r="P3394" i="1" s="1"/>
  <c r="N3394" i="1"/>
  <c r="M3394" i="1"/>
  <c r="L3394" i="1"/>
  <c r="K3394" i="1"/>
  <c r="I3394" i="1"/>
  <c r="O3393" i="1"/>
  <c r="P3393" i="1" s="1"/>
  <c r="N3393" i="1"/>
  <c r="M3393" i="1"/>
  <c r="L3393" i="1"/>
  <c r="K3393" i="1"/>
  <c r="I3393" i="1"/>
  <c r="O3392" i="1"/>
  <c r="P3392" i="1" s="1"/>
  <c r="N3392" i="1"/>
  <c r="M3392" i="1"/>
  <c r="L3392" i="1"/>
  <c r="K3392" i="1"/>
  <c r="I3392" i="1"/>
  <c r="O3391" i="1"/>
  <c r="P3391" i="1" s="1"/>
  <c r="N3391" i="1"/>
  <c r="M3391" i="1"/>
  <c r="L3391" i="1"/>
  <c r="K3391" i="1"/>
  <c r="I3391" i="1"/>
  <c r="O3390" i="1"/>
  <c r="P3390" i="1" s="1"/>
  <c r="N3390" i="1"/>
  <c r="M3390" i="1"/>
  <c r="L3390" i="1"/>
  <c r="K3390" i="1"/>
  <c r="I3390" i="1"/>
  <c r="O3389" i="1"/>
  <c r="P3389" i="1" s="1"/>
  <c r="N3389" i="1"/>
  <c r="M3389" i="1"/>
  <c r="L3389" i="1"/>
  <c r="K3389" i="1"/>
  <c r="I3389" i="1"/>
  <c r="O3388" i="1"/>
  <c r="P3388" i="1" s="1"/>
  <c r="N3388" i="1"/>
  <c r="M3388" i="1"/>
  <c r="L3388" i="1"/>
  <c r="K3388" i="1"/>
  <c r="I3388" i="1"/>
  <c r="O3387" i="1"/>
  <c r="P3387" i="1" s="1"/>
  <c r="N3387" i="1"/>
  <c r="M3387" i="1"/>
  <c r="L3387" i="1"/>
  <c r="K3387" i="1"/>
  <c r="I3387" i="1"/>
  <c r="O3386" i="1"/>
  <c r="P3386" i="1" s="1"/>
  <c r="N3386" i="1"/>
  <c r="M3386" i="1"/>
  <c r="L3386" i="1"/>
  <c r="K3386" i="1"/>
  <c r="I3386" i="1"/>
  <c r="O3385" i="1"/>
  <c r="P3385" i="1" s="1"/>
  <c r="N3385" i="1"/>
  <c r="M3385" i="1"/>
  <c r="L3385" i="1"/>
  <c r="K3385" i="1"/>
  <c r="I3385" i="1"/>
  <c r="O3384" i="1"/>
  <c r="P3384" i="1" s="1"/>
  <c r="N3384" i="1"/>
  <c r="M3384" i="1"/>
  <c r="L3384" i="1"/>
  <c r="K3384" i="1"/>
  <c r="I3384" i="1"/>
  <c r="O3383" i="1"/>
  <c r="P3383" i="1" s="1"/>
  <c r="N3383" i="1"/>
  <c r="M3383" i="1"/>
  <c r="L3383" i="1"/>
  <c r="K3383" i="1"/>
  <c r="I3383" i="1"/>
  <c r="O3382" i="1"/>
  <c r="P3382" i="1" s="1"/>
  <c r="N3382" i="1"/>
  <c r="M3382" i="1"/>
  <c r="L3382" i="1"/>
  <c r="K3382" i="1"/>
  <c r="I3382" i="1"/>
  <c r="O3381" i="1"/>
  <c r="P3381" i="1" s="1"/>
  <c r="N3381" i="1"/>
  <c r="M3381" i="1"/>
  <c r="L3381" i="1"/>
  <c r="K3381" i="1"/>
  <c r="I3381" i="1"/>
  <c r="O3380" i="1"/>
  <c r="P3380" i="1" s="1"/>
  <c r="N3380" i="1"/>
  <c r="M3380" i="1"/>
  <c r="L3380" i="1"/>
  <c r="K3380" i="1"/>
  <c r="I3380" i="1"/>
  <c r="O3379" i="1"/>
  <c r="P3379" i="1" s="1"/>
  <c r="N3379" i="1"/>
  <c r="M3379" i="1"/>
  <c r="L3379" i="1"/>
  <c r="K3379" i="1"/>
  <c r="I3379" i="1"/>
  <c r="O3378" i="1"/>
  <c r="P3378" i="1" s="1"/>
  <c r="N3378" i="1"/>
  <c r="M3378" i="1"/>
  <c r="L3378" i="1"/>
  <c r="K3378" i="1"/>
  <c r="I3378" i="1"/>
  <c r="O3377" i="1"/>
  <c r="P3377" i="1" s="1"/>
  <c r="N3377" i="1"/>
  <c r="M3377" i="1"/>
  <c r="L3377" i="1"/>
  <c r="K3377" i="1"/>
  <c r="I3377" i="1"/>
  <c r="O3376" i="1"/>
  <c r="P3376" i="1" s="1"/>
  <c r="N3376" i="1"/>
  <c r="M3376" i="1"/>
  <c r="L3376" i="1"/>
  <c r="K3376" i="1"/>
  <c r="I3376" i="1"/>
  <c r="O3375" i="1"/>
  <c r="P3375" i="1" s="1"/>
  <c r="N3375" i="1"/>
  <c r="M3375" i="1"/>
  <c r="L3375" i="1"/>
  <c r="K3375" i="1"/>
  <c r="I3375" i="1"/>
  <c r="O3374" i="1"/>
  <c r="P3374" i="1" s="1"/>
  <c r="N3374" i="1"/>
  <c r="M3374" i="1"/>
  <c r="L3374" i="1"/>
  <c r="K3374" i="1"/>
  <c r="I3374" i="1"/>
  <c r="O3373" i="1"/>
  <c r="P3373" i="1" s="1"/>
  <c r="N3373" i="1"/>
  <c r="M3373" i="1"/>
  <c r="L3373" i="1"/>
  <c r="K3373" i="1"/>
  <c r="I3373" i="1"/>
  <c r="O3372" i="1"/>
  <c r="P3372" i="1" s="1"/>
  <c r="N3372" i="1"/>
  <c r="M3372" i="1"/>
  <c r="L3372" i="1"/>
  <c r="K3372" i="1"/>
  <c r="I3372" i="1"/>
  <c r="O3371" i="1"/>
  <c r="P3371" i="1" s="1"/>
  <c r="N3371" i="1"/>
  <c r="M3371" i="1"/>
  <c r="L3371" i="1"/>
  <c r="K3371" i="1"/>
  <c r="I3371" i="1"/>
  <c r="O3370" i="1"/>
  <c r="P3370" i="1" s="1"/>
  <c r="N3370" i="1"/>
  <c r="M3370" i="1"/>
  <c r="L3370" i="1"/>
  <c r="K3370" i="1"/>
  <c r="I3370" i="1"/>
  <c r="O3369" i="1"/>
  <c r="P3369" i="1" s="1"/>
  <c r="N3369" i="1"/>
  <c r="M3369" i="1"/>
  <c r="L3369" i="1"/>
  <c r="K3369" i="1"/>
  <c r="I3369" i="1"/>
  <c r="O3368" i="1"/>
  <c r="P3368" i="1" s="1"/>
  <c r="N3368" i="1"/>
  <c r="M3368" i="1"/>
  <c r="L3368" i="1"/>
  <c r="K3368" i="1"/>
  <c r="I3368" i="1"/>
  <c r="O3367" i="1"/>
  <c r="P3367" i="1" s="1"/>
  <c r="N3367" i="1"/>
  <c r="M3367" i="1"/>
  <c r="L3367" i="1"/>
  <c r="K3367" i="1"/>
  <c r="I3367" i="1"/>
  <c r="O3366" i="1"/>
  <c r="P3366" i="1" s="1"/>
  <c r="N3366" i="1"/>
  <c r="M3366" i="1"/>
  <c r="L3366" i="1"/>
  <c r="K3366" i="1"/>
  <c r="I3366" i="1"/>
  <c r="O3365" i="1"/>
  <c r="P3365" i="1" s="1"/>
  <c r="N3365" i="1"/>
  <c r="M3365" i="1"/>
  <c r="L3365" i="1"/>
  <c r="K3365" i="1"/>
  <c r="I3365" i="1"/>
  <c r="O3364" i="1"/>
  <c r="P3364" i="1" s="1"/>
  <c r="N3364" i="1"/>
  <c r="M3364" i="1"/>
  <c r="L3364" i="1"/>
  <c r="K3364" i="1"/>
  <c r="I3364" i="1"/>
  <c r="O3363" i="1"/>
  <c r="P3363" i="1" s="1"/>
  <c r="N3363" i="1"/>
  <c r="M3363" i="1"/>
  <c r="L3363" i="1"/>
  <c r="K3363" i="1"/>
  <c r="I3363" i="1"/>
  <c r="O3362" i="1"/>
  <c r="P3362" i="1" s="1"/>
  <c r="N3362" i="1"/>
  <c r="M3362" i="1"/>
  <c r="L3362" i="1"/>
  <c r="K3362" i="1"/>
  <c r="I3362" i="1"/>
  <c r="O3361" i="1"/>
  <c r="P3361" i="1" s="1"/>
  <c r="N3361" i="1"/>
  <c r="M3361" i="1"/>
  <c r="L3361" i="1"/>
  <c r="K3361" i="1"/>
  <c r="I3361" i="1"/>
  <c r="O3360" i="1"/>
  <c r="P3360" i="1" s="1"/>
  <c r="N3360" i="1"/>
  <c r="M3360" i="1"/>
  <c r="L3360" i="1"/>
  <c r="K3360" i="1"/>
  <c r="I3360" i="1"/>
  <c r="O3359" i="1"/>
  <c r="P3359" i="1" s="1"/>
  <c r="N3359" i="1"/>
  <c r="M3359" i="1"/>
  <c r="L3359" i="1"/>
  <c r="K3359" i="1"/>
  <c r="I3359" i="1"/>
  <c r="O3358" i="1"/>
  <c r="P3358" i="1" s="1"/>
  <c r="N3358" i="1"/>
  <c r="M3358" i="1"/>
  <c r="L3358" i="1"/>
  <c r="K3358" i="1"/>
  <c r="I3358" i="1"/>
  <c r="O3357" i="1"/>
  <c r="P3357" i="1" s="1"/>
  <c r="N3357" i="1"/>
  <c r="M3357" i="1"/>
  <c r="L3357" i="1"/>
  <c r="K3357" i="1"/>
  <c r="I3357" i="1"/>
  <c r="O3356" i="1"/>
  <c r="P3356" i="1" s="1"/>
  <c r="N3356" i="1"/>
  <c r="M3356" i="1"/>
  <c r="L3356" i="1"/>
  <c r="K3356" i="1"/>
  <c r="I3356" i="1"/>
  <c r="O3355" i="1"/>
  <c r="P3355" i="1" s="1"/>
  <c r="N3355" i="1"/>
  <c r="M3355" i="1"/>
  <c r="L3355" i="1"/>
  <c r="K3355" i="1"/>
  <c r="I3355" i="1"/>
  <c r="O3354" i="1"/>
  <c r="P3354" i="1" s="1"/>
  <c r="N3354" i="1"/>
  <c r="M3354" i="1"/>
  <c r="L3354" i="1"/>
  <c r="K3354" i="1"/>
  <c r="I3354" i="1"/>
  <c r="O3353" i="1"/>
  <c r="P3353" i="1" s="1"/>
  <c r="N3353" i="1"/>
  <c r="M3353" i="1"/>
  <c r="L3353" i="1"/>
  <c r="K3353" i="1"/>
  <c r="I3353" i="1"/>
  <c r="O3352" i="1"/>
  <c r="P3352" i="1" s="1"/>
  <c r="N3352" i="1"/>
  <c r="M3352" i="1"/>
  <c r="L3352" i="1"/>
  <c r="K3352" i="1"/>
  <c r="I3352" i="1"/>
  <c r="O3351" i="1"/>
  <c r="P3351" i="1" s="1"/>
  <c r="N3351" i="1"/>
  <c r="M3351" i="1"/>
  <c r="L3351" i="1"/>
  <c r="K3351" i="1"/>
  <c r="I3351" i="1"/>
  <c r="O3350" i="1"/>
  <c r="P3350" i="1" s="1"/>
  <c r="N3350" i="1"/>
  <c r="M3350" i="1"/>
  <c r="L3350" i="1"/>
  <c r="K3350" i="1"/>
  <c r="I3350" i="1"/>
  <c r="O3349" i="1"/>
  <c r="P3349" i="1" s="1"/>
  <c r="N3349" i="1"/>
  <c r="M3349" i="1"/>
  <c r="L3349" i="1"/>
  <c r="K3349" i="1"/>
  <c r="I3349" i="1"/>
  <c r="O3348" i="1"/>
  <c r="P3348" i="1" s="1"/>
  <c r="N3348" i="1"/>
  <c r="M3348" i="1"/>
  <c r="L3348" i="1"/>
  <c r="K3348" i="1"/>
  <c r="I3348" i="1"/>
  <c r="O3347" i="1"/>
  <c r="P3347" i="1" s="1"/>
  <c r="N3347" i="1"/>
  <c r="M3347" i="1"/>
  <c r="L3347" i="1"/>
  <c r="K3347" i="1"/>
  <c r="I3347" i="1"/>
  <c r="O3346" i="1"/>
  <c r="P3346" i="1" s="1"/>
  <c r="N3346" i="1"/>
  <c r="M3346" i="1"/>
  <c r="L3346" i="1"/>
  <c r="K3346" i="1"/>
  <c r="I3346" i="1"/>
  <c r="O3345" i="1"/>
  <c r="P3345" i="1" s="1"/>
  <c r="N3345" i="1"/>
  <c r="M3345" i="1"/>
  <c r="L3345" i="1"/>
  <c r="K3345" i="1"/>
  <c r="I3345" i="1"/>
  <c r="O3344" i="1"/>
  <c r="P3344" i="1" s="1"/>
  <c r="N3344" i="1"/>
  <c r="M3344" i="1"/>
  <c r="L3344" i="1"/>
  <c r="K3344" i="1"/>
  <c r="I3344" i="1"/>
  <c r="O3343" i="1"/>
  <c r="P3343" i="1" s="1"/>
  <c r="N3343" i="1"/>
  <c r="M3343" i="1"/>
  <c r="L3343" i="1"/>
  <c r="K3343" i="1"/>
  <c r="I3343" i="1"/>
  <c r="O3342" i="1"/>
  <c r="P3342" i="1" s="1"/>
  <c r="N3342" i="1"/>
  <c r="M3342" i="1"/>
  <c r="L3342" i="1"/>
  <c r="K3342" i="1"/>
  <c r="I3342" i="1"/>
  <c r="O3341" i="1"/>
  <c r="P3341" i="1" s="1"/>
  <c r="N3341" i="1"/>
  <c r="M3341" i="1"/>
  <c r="L3341" i="1"/>
  <c r="K3341" i="1"/>
  <c r="I3341" i="1"/>
  <c r="O3340" i="1"/>
  <c r="P3340" i="1" s="1"/>
  <c r="N3340" i="1"/>
  <c r="M3340" i="1"/>
  <c r="L3340" i="1"/>
  <c r="K3340" i="1"/>
  <c r="I3340" i="1"/>
  <c r="O3339" i="1"/>
  <c r="P3339" i="1" s="1"/>
  <c r="N3339" i="1"/>
  <c r="M3339" i="1"/>
  <c r="L3339" i="1"/>
  <c r="K3339" i="1"/>
  <c r="I3339" i="1"/>
  <c r="O3338" i="1"/>
  <c r="P3338" i="1" s="1"/>
  <c r="N3338" i="1"/>
  <c r="M3338" i="1"/>
  <c r="L3338" i="1"/>
  <c r="K3338" i="1"/>
  <c r="I3338" i="1"/>
  <c r="O3337" i="1"/>
  <c r="P3337" i="1" s="1"/>
  <c r="N3337" i="1"/>
  <c r="M3337" i="1"/>
  <c r="L3337" i="1"/>
  <c r="K3337" i="1"/>
  <c r="I3337" i="1"/>
  <c r="O3336" i="1"/>
  <c r="P3336" i="1" s="1"/>
  <c r="N3336" i="1"/>
  <c r="M3336" i="1"/>
  <c r="L3336" i="1"/>
  <c r="K3336" i="1"/>
  <c r="I3336" i="1"/>
  <c r="O3335" i="1"/>
  <c r="P3335" i="1" s="1"/>
  <c r="N3335" i="1"/>
  <c r="M3335" i="1"/>
  <c r="L3335" i="1"/>
  <c r="K3335" i="1"/>
  <c r="I3335" i="1"/>
  <c r="O3334" i="1"/>
  <c r="P3334" i="1" s="1"/>
  <c r="N3334" i="1"/>
  <c r="M3334" i="1"/>
  <c r="L3334" i="1"/>
  <c r="K3334" i="1"/>
  <c r="I3334" i="1"/>
  <c r="O3333" i="1"/>
  <c r="P3333" i="1" s="1"/>
  <c r="N3333" i="1"/>
  <c r="M3333" i="1"/>
  <c r="L3333" i="1"/>
  <c r="K3333" i="1"/>
  <c r="I3333" i="1"/>
  <c r="O3332" i="1"/>
  <c r="P3332" i="1" s="1"/>
  <c r="N3332" i="1"/>
  <c r="M3332" i="1"/>
  <c r="L3332" i="1"/>
  <c r="K3332" i="1"/>
  <c r="I3332" i="1"/>
  <c r="O3331" i="1"/>
  <c r="P3331" i="1" s="1"/>
  <c r="N3331" i="1"/>
  <c r="M3331" i="1"/>
  <c r="L3331" i="1"/>
  <c r="K3331" i="1"/>
  <c r="I3331" i="1"/>
  <c r="O3330" i="1"/>
  <c r="P3330" i="1" s="1"/>
  <c r="N3330" i="1"/>
  <c r="M3330" i="1"/>
  <c r="L3330" i="1"/>
  <c r="K3330" i="1"/>
  <c r="I3330" i="1"/>
  <c r="O3329" i="1"/>
  <c r="P3329" i="1" s="1"/>
  <c r="N3329" i="1"/>
  <c r="M3329" i="1"/>
  <c r="L3329" i="1"/>
  <c r="K3329" i="1"/>
  <c r="I3329" i="1"/>
  <c r="O3328" i="1"/>
  <c r="P3328" i="1" s="1"/>
  <c r="N3328" i="1"/>
  <c r="M3328" i="1"/>
  <c r="L3328" i="1"/>
  <c r="K3328" i="1"/>
  <c r="I3328" i="1"/>
  <c r="O3327" i="1"/>
  <c r="P3327" i="1" s="1"/>
  <c r="N3327" i="1"/>
  <c r="M3327" i="1"/>
  <c r="L3327" i="1"/>
  <c r="K3327" i="1"/>
  <c r="I3327" i="1"/>
  <c r="O3326" i="1"/>
  <c r="P3326" i="1" s="1"/>
  <c r="N3326" i="1"/>
  <c r="M3326" i="1"/>
  <c r="L3326" i="1"/>
  <c r="K3326" i="1"/>
  <c r="I3326" i="1"/>
  <c r="O3325" i="1"/>
  <c r="P3325" i="1" s="1"/>
  <c r="N3325" i="1"/>
  <c r="M3325" i="1"/>
  <c r="L3325" i="1"/>
  <c r="K3325" i="1"/>
  <c r="I3325" i="1"/>
  <c r="O3324" i="1"/>
  <c r="P3324" i="1" s="1"/>
  <c r="N3324" i="1"/>
  <c r="M3324" i="1"/>
  <c r="L3324" i="1"/>
  <c r="K3324" i="1"/>
  <c r="I3324" i="1"/>
  <c r="O3323" i="1"/>
  <c r="P3323" i="1" s="1"/>
  <c r="N3323" i="1"/>
  <c r="M3323" i="1"/>
  <c r="L3323" i="1"/>
  <c r="K3323" i="1"/>
  <c r="I3323" i="1"/>
  <c r="O3322" i="1"/>
  <c r="P3322" i="1" s="1"/>
  <c r="N3322" i="1"/>
  <c r="M3322" i="1"/>
  <c r="L3322" i="1"/>
  <c r="K3322" i="1"/>
  <c r="I3322" i="1"/>
  <c r="O3321" i="1"/>
  <c r="P3321" i="1" s="1"/>
  <c r="N3321" i="1"/>
  <c r="M3321" i="1"/>
  <c r="L3321" i="1"/>
  <c r="K3321" i="1"/>
  <c r="I3321" i="1"/>
  <c r="O3320" i="1"/>
  <c r="P3320" i="1" s="1"/>
  <c r="N3320" i="1"/>
  <c r="M3320" i="1"/>
  <c r="L3320" i="1"/>
  <c r="K3320" i="1"/>
  <c r="I3320" i="1"/>
  <c r="O3319" i="1"/>
  <c r="P3319" i="1" s="1"/>
  <c r="N3319" i="1"/>
  <c r="M3319" i="1"/>
  <c r="L3319" i="1"/>
  <c r="K3319" i="1"/>
  <c r="I3319" i="1"/>
  <c r="O3318" i="1"/>
  <c r="P3318" i="1" s="1"/>
  <c r="N3318" i="1"/>
  <c r="M3318" i="1"/>
  <c r="L3318" i="1"/>
  <c r="K3318" i="1"/>
  <c r="I3318" i="1"/>
  <c r="O3317" i="1"/>
  <c r="P3317" i="1" s="1"/>
  <c r="N3317" i="1"/>
  <c r="M3317" i="1"/>
  <c r="L3317" i="1"/>
  <c r="K3317" i="1"/>
  <c r="I3317" i="1"/>
  <c r="O3316" i="1"/>
  <c r="P3316" i="1" s="1"/>
  <c r="N3316" i="1"/>
  <c r="M3316" i="1"/>
  <c r="L3316" i="1"/>
  <c r="K3316" i="1"/>
  <c r="I3316" i="1"/>
  <c r="O3315" i="1"/>
  <c r="P3315" i="1" s="1"/>
  <c r="N3315" i="1"/>
  <c r="M3315" i="1"/>
  <c r="L3315" i="1"/>
  <c r="K3315" i="1"/>
  <c r="I3315" i="1"/>
  <c r="O3314" i="1"/>
  <c r="P3314" i="1" s="1"/>
  <c r="N3314" i="1"/>
  <c r="M3314" i="1"/>
  <c r="L3314" i="1"/>
  <c r="K3314" i="1"/>
  <c r="I3314" i="1"/>
  <c r="O3313" i="1"/>
  <c r="P3313" i="1" s="1"/>
  <c r="N3313" i="1"/>
  <c r="M3313" i="1"/>
  <c r="L3313" i="1"/>
  <c r="K3313" i="1"/>
  <c r="I3313" i="1"/>
  <c r="O3312" i="1"/>
  <c r="P3312" i="1" s="1"/>
  <c r="N3312" i="1"/>
  <c r="M3312" i="1"/>
  <c r="L3312" i="1"/>
  <c r="K3312" i="1"/>
  <c r="I3312" i="1"/>
  <c r="O3311" i="1"/>
  <c r="P3311" i="1" s="1"/>
  <c r="N3311" i="1"/>
  <c r="M3311" i="1"/>
  <c r="L3311" i="1"/>
  <c r="K3311" i="1"/>
  <c r="I3311" i="1"/>
  <c r="O3310" i="1"/>
  <c r="P3310" i="1" s="1"/>
  <c r="N3310" i="1"/>
  <c r="M3310" i="1"/>
  <c r="L3310" i="1"/>
  <c r="K3310" i="1"/>
  <c r="I3310" i="1"/>
  <c r="O3309" i="1"/>
  <c r="P3309" i="1" s="1"/>
  <c r="N3309" i="1"/>
  <c r="M3309" i="1"/>
  <c r="L3309" i="1"/>
  <c r="K3309" i="1"/>
  <c r="I3309" i="1"/>
  <c r="O3308" i="1"/>
  <c r="P3308" i="1" s="1"/>
  <c r="N3308" i="1"/>
  <c r="M3308" i="1"/>
  <c r="L3308" i="1"/>
  <c r="K3308" i="1"/>
  <c r="I3308" i="1"/>
  <c r="O3307" i="1"/>
  <c r="P3307" i="1" s="1"/>
  <c r="N3307" i="1"/>
  <c r="M3307" i="1"/>
  <c r="L3307" i="1"/>
  <c r="K3307" i="1"/>
  <c r="I3307" i="1"/>
  <c r="O3306" i="1"/>
  <c r="P3306" i="1" s="1"/>
  <c r="N3306" i="1"/>
  <c r="M3306" i="1"/>
  <c r="L3306" i="1"/>
  <c r="K3306" i="1"/>
  <c r="I3306" i="1"/>
  <c r="O3305" i="1"/>
  <c r="P3305" i="1" s="1"/>
  <c r="N3305" i="1"/>
  <c r="M3305" i="1"/>
  <c r="L3305" i="1"/>
  <c r="K3305" i="1"/>
  <c r="I3305" i="1"/>
  <c r="O3304" i="1"/>
  <c r="P3304" i="1" s="1"/>
  <c r="N3304" i="1"/>
  <c r="M3304" i="1"/>
  <c r="L3304" i="1"/>
  <c r="K3304" i="1"/>
  <c r="I3304" i="1"/>
  <c r="O3303" i="1"/>
  <c r="P3303" i="1" s="1"/>
  <c r="N3303" i="1"/>
  <c r="M3303" i="1"/>
  <c r="L3303" i="1"/>
  <c r="K3303" i="1"/>
  <c r="I3303" i="1"/>
  <c r="O3302" i="1"/>
  <c r="P3302" i="1" s="1"/>
  <c r="N3302" i="1"/>
  <c r="M3302" i="1"/>
  <c r="L3302" i="1"/>
  <c r="K3302" i="1"/>
  <c r="I3302" i="1"/>
  <c r="O3301" i="1"/>
  <c r="P3301" i="1" s="1"/>
  <c r="N3301" i="1"/>
  <c r="M3301" i="1"/>
  <c r="L3301" i="1"/>
  <c r="K3301" i="1"/>
  <c r="I3301" i="1"/>
  <c r="O3300" i="1"/>
  <c r="P3300" i="1" s="1"/>
  <c r="N3300" i="1"/>
  <c r="M3300" i="1"/>
  <c r="L3300" i="1"/>
  <c r="K3300" i="1"/>
  <c r="I3300" i="1"/>
  <c r="O3299" i="1"/>
  <c r="P3299" i="1" s="1"/>
  <c r="N3299" i="1"/>
  <c r="M3299" i="1"/>
  <c r="L3299" i="1"/>
  <c r="K3299" i="1"/>
  <c r="I3299" i="1"/>
  <c r="O3298" i="1"/>
  <c r="P3298" i="1" s="1"/>
  <c r="N3298" i="1"/>
  <c r="M3298" i="1"/>
  <c r="L3298" i="1"/>
  <c r="K3298" i="1"/>
  <c r="I3298" i="1"/>
  <c r="O3297" i="1"/>
  <c r="P3297" i="1" s="1"/>
  <c r="N3297" i="1"/>
  <c r="M3297" i="1"/>
  <c r="L3297" i="1"/>
  <c r="K3297" i="1"/>
  <c r="I3297" i="1"/>
  <c r="O3296" i="1"/>
  <c r="P3296" i="1" s="1"/>
  <c r="N3296" i="1"/>
  <c r="M3296" i="1"/>
  <c r="L3296" i="1"/>
  <c r="K3296" i="1"/>
  <c r="I3296" i="1"/>
  <c r="O3295" i="1"/>
  <c r="P3295" i="1" s="1"/>
  <c r="N3295" i="1"/>
  <c r="M3295" i="1"/>
  <c r="L3295" i="1"/>
  <c r="K3295" i="1"/>
  <c r="I3295" i="1"/>
  <c r="O3294" i="1"/>
  <c r="P3294" i="1" s="1"/>
  <c r="N3294" i="1"/>
  <c r="M3294" i="1"/>
  <c r="L3294" i="1"/>
  <c r="K3294" i="1"/>
  <c r="I3294" i="1"/>
  <c r="O3293" i="1"/>
  <c r="P3293" i="1" s="1"/>
  <c r="N3293" i="1"/>
  <c r="M3293" i="1"/>
  <c r="L3293" i="1"/>
  <c r="K3293" i="1"/>
  <c r="I3293" i="1"/>
  <c r="O3292" i="1"/>
  <c r="P3292" i="1" s="1"/>
  <c r="N3292" i="1"/>
  <c r="M3292" i="1"/>
  <c r="L3292" i="1"/>
  <c r="K3292" i="1"/>
  <c r="I3292" i="1"/>
  <c r="O3291" i="1"/>
  <c r="P3291" i="1" s="1"/>
  <c r="N3291" i="1"/>
  <c r="M3291" i="1"/>
  <c r="L3291" i="1"/>
  <c r="K3291" i="1"/>
  <c r="I3291" i="1"/>
  <c r="O3290" i="1"/>
  <c r="P3290" i="1" s="1"/>
  <c r="N3290" i="1"/>
  <c r="M3290" i="1"/>
  <c r="L3290" i="1"/>
  <c r="K3290" i="1"/>
  <c r="I3290" i="1"/>
  <c r="O3289" i="1"/>
  <c r="P3289" i="1" s="1"/>
  <c r="N3289" i="1"/>
  <c r="M3289" i="1"/>
  <c r="L3289" i="1"/>
  <c r="K3289" i="1"/>
  <c r="I3289" i="1"/>
  <c r="O3288" i="1"/>
  <c r="P3288" i="1" s="1"/>
  <c r="N3288" i="1"/>
  <c r="M3288" i="1"/>
  <c r="L3288" i="1"/>
  <c r="K3288" i="1"/>
  <c r="I3288" i="1"/>
  <c r="O3287" i="1"/>
  <c r="P3287" i="1" s="1"/>
  <c r="N3287" i="1"/>
  <c r="M3287" i="1"/>
  <c r="L3287" i="1"/>
  <c r="K3287" i="1"/>
  <c r="I3287" i="1"/>
  <c r="O3286" i="1"/>
  <c r="P3286" i="1" s="1"/>
  <c r="N3286" i="1"/>
  <c r="M3286" i="1"/>
  <c r="L3286" i="1"/>
  <c r="K3286" i="1"/>
  <c r="I3286" i="1"/>
  <c r="O3285" i="1"/>
  <c r="P3285" i="1" s="1"/>
  <c r="N3285" i="1"/>
  <c r="M3285" i="1"/>
  <c r="L3285" i="1"/>
  <c r="K3285" i="1"/>
  <c r="I3285" i="1"/>
  <c r="O3284" i="1"/>
  <c r="P3284" i="1" s="1"/>
  <c r="N3284" i="1"/>
  <c r="M3284" i="1"/>
  <c r="L3284" i="1"/>
  <c r="K3284" i="1"/>
  <c r="I3284" i="1"/>
  <c r="O3283" i="1"/>
  <c r="P3283" i="1" s="1"/>
  <c r="N3283" i="1"/>
  <c r="M3283" i="1"/>
  <c r="L3283" i="1"/>
  <c r="K3283" i="1"/>
  <c r="I3283" i="1"/>
  <c r="O3282" i="1"/>
  <c r="P3282" i="1" s="1"/>
  <c r="N3282" i="1"/>
  <c r="M3282" i="1"/>
  <c r="L3282" i="1"/>
  <c r="K3282" i="1"/>
  <c r="I3282" i="1"/>
  <c r="O3281" i="1"/>
  <c r="P3281" i="1" s="1"/>
  <c r="N3281" i="1"/>
  <c r="M3281" i="1"/>
  <c r="L3281" i="1"/>
  <c r="K3281" i="1"/>
  <c r="I3281" i="1"/>
  <c r="O3280" i="1"/>
  <c r="P3280" i="1" s="1"/>
  <c r="N3280" i="1"/>
  <c r="M3280" i="1"/>
  <c r="L3280" i="1"/>
  <c r="K3280" i="1"/>
  <c r="I3280" i="1"/>
  <c r="O3279" i="1"/>
  <c r="P3279" i="1" s="1"/>
  <c r="N3279" i="1"/>
  <c r="M3279" i="1"/>
  <c r="L3279" i="1"/>
  <c r="K3279" i="1"/>
  <c r="I3279" i="1"/>
  <c r="O3278" i="1"/>
  <c r="P3278" i="1" s="1"/>
  <c r="N3278" i="1"/>
  <c r="M3278" i="1"/>
  <c r="L3278" i="1"/>
  <c r="K3278" i="1"/>
  <c r="I3278" i="1"/>
  <c r="O3277" i="1"/>
  <c r="P3277" i="1" s="1"/>
  <c r="N3277" i="1"/>
  <c r="M3277" i="1"/>
  <c r="L3277" i="1"/>
  <c r="K3277" i="1"/>
  <c r="I3277" i="1"/>
  <c r="O3276" i="1"/>
  <c r="P3276" i="1" s="1"/>
  <c r="N3276" i="1"/>
  <c r="M3276" i="1"/>
  <c r="L3276" i="1"/>
  <c r="K3276" i="1"/>
  <c r="I3276" i="1"/>
  <c r="O3275" i="1"/>
  <c r="P3275" i="1" s="1"/>
  <c r="N3275" i="1"/>
  <c r="M3275" i="1"/>
  <c r="L3275" i="1"/>
  <c r="K3275" i="1"/>
  <c r="I3275" i="1"/>
  <c r="O3274" i="1"/>
  <c r="P3274" i="1" s="1"/>
  <c r="N3274" i="1"/>
  <c r="M3274" i="1"/>
  <c r="L3274" i="1"/>
  <c r="K3274" i="1"/>
  <c r="I3274" i="1"/>
  <c r="O3273" i="1"/>
  <c r="P3273" i="1" s="1"/>
  <c r="N3273" i="1"/>
  <c r="M3273" i="1"/>
  <c r="L3273" i="1"/>
  <c r="K3273" i="1"/>
  <c r="I3273" i="1"/>
  <c r="O3272" i="1"/>
  <c r="P3272" i="1" s="1"/>
  <c r="N3272" i="1"/>
  <c r="M3272" i="1"/>
  <c r="L3272" i="1"/>
  <c r="K3272" i="1"/>
  <c r="I3272" i="1"/>
  <c r="O3271" i="1"/>
  <c r="P3271" i="1" s="1"/>
  <c r="N3271" i="1"/>
  <c r="M3271" i="1"/>
  <c r="L3271" i="1"/>
  <c r="K3271" i="1"/>
  <c r="I3271" i="1"/>
  <c r="O3270" i="1"/>
  <c r="P3270" i="1" s="1"/>
  <c r="N3270" i="1"/>
  <c r="M3270" i="1"/>
  <c r="L3270" i="1"/>
  <c r="K3270" i="1"/>
  <c r="I3270" i="1"/>
  <c r="O3269" i="1"/>
  <c r="P3269" i="1" s="1"/>
  <c r="N3269" i="1"/>
  <c r="M3269" i="1"/>
  <c r="L3269" i="1"/>
  <c r="K3269" i="1"/>
  <c r="I3269" i="1"/>
  <c r="O3268" i="1"/>
  <c r="P3268" i="1" s="1"/>
  <c r="N3268" i="1"/>
  <c r="M3268" i="1"/>
  <c r="L3268" i="1"/>
  <c r="K3268" i="1"/>
  <c r="I3268" i="1"/>
  <c r="O3267" i="1"/>
  <c r="P3267" i="1" s="1"/>
  <c r="N3267" i="1"/>
  <c r="M3267" i="1"/>
  <c r="L3267" i="1"/>
  <c r="K3267" i="1"/>
  <c r="I3267" i="1"/>
  <c r="O3266" i="1"/>
  <c r="P3266" i="1" s="1"/>
  <c r="N3266" i="1"/>
  <c r="M3266" i="1"/>
  <c r="L3266" i="1"/>
  <c r="K3266" i="1"/>
  <c r="I3266" i="1"/>
  <c r="O3265" i="1"/>
  <c r="P3265" i="1" s="1"/>
  <c r="N3265" i="1"/>
  <c r="M3265" i="1"/>
  <c r="L3265" i="1"/>
  <c r="K3265" i="1"/>
  <c r="I3265" i="1"/>
  <c r="O3264" i="1"/>
  <c r="P3264" i="1" s="1"/>
  <c r="N3264" i="1"/>
  <c r="M3264" i="1"/>
  <c r="L3264" i="1"/>
  <c r="K3264" i="1"/>
  <c r="I3264" i="1"/>
  <c r="O3263" i="1"/>
  <c r="P3263" i="1" s="1"/>
  <c r="N3263" i="1"/>
  <c r="M3263" i="1"/>
  <c r="L3263" i="1"/>
  <c r="K3263" i="1"/>
  <c r="I3263" i="1"/>
  <c r="O3262" i="1"/>
  <c r="P3262" i="1" s="1"/>
  <c r="N3262" i="1"/>
  <c r="M3262" i="1"/>
  <c r="L3262" i="1"/>
  <c r="K3262" i="1"/>
  <c r="I3262" i="1"/>
  <c r="O3261" i="1"/>
  <c r="P3261" i="1" s="1"/>
  <c r="N3261" i="1"/>
  <c r="M3261" i="1"/>
  <c r="L3261" i="1"/>
  <c r="K3261" i="1"/>
  <c r="I3261" i="1"/>
  <c r="O3260" i="1"/>
  <c r="P3260" i="1" s="1"/>
  <c r="N3260" i="1"/>
  <c r="M3260" i="1"/>
  <c r="L3260" i="1"/>
  <c r="K3260" i="1"/>
  <c r="I3260" i="1"/>
  <c r="O3259" i="1"/>
  <c r="P3259" i="1" s="1"/>
  <c r="N3259" i="1"/>
  <c r="M3259" i="1"/>
  <c r="L3259" i="1"/>
  <c r="K3259" i="1"/>
  <c r="I3259" i="1"/>
  <c r="O3258" i="1"/>
  <c r="P3258" i="1" s="1"/>
  <c r="N3258" i="1"/>
  <c r="M3258" i="1"/>
  <c r="L3258" i="1"/>
  <c r="K3258" i="1"/>
  <c r="I3258" i="1"/>
  <c r="O3257" i="1"/>
  <c r="P3257" i="1" s="1"/>
  <c r="N3257" i="1"/>
  <c r="M3257" i="1"/>
  <c r="L3257" i="1"/>
  <c r="K3257" i="1"/>
  <c r="I3257" i="1"/>
  <c r="O3256" i="1"/>
  <c r="P3256" i="1" s="1"/>
  <c r="N3256" i="1"/>
  <c r="M3256" i="1"/>
  <c r="L3256" i="1"/>
  <c r="K3256" i="1"/>
  <c r="I3256" i="1"/>
  <c r="O3255" i="1"/>
  <c r="P3255" i="1" s="1"/>
  <c r="N3255" i="1"/>
  <c r="M3255" i="1"/>
  <c r="L3255" i="1"/>
  <c r="K3255" i="1"/>
  <c r="I3255" i="1"/>
  <c r="O3254" i="1"/>
  <c r="P3254" i="1" s="1"/>
  <c r="N3254" i="1"/>
  <c r="M3254" i="1"/>
  <c r="L3254" i="1"/>
  <c r="K3254" i="1"/>
  <c r="I3254" i="1"/>
  <c r="O3253" i="1"/>
  <c r="P3253" i="1" s="1"/>
  <c r="N3253" i="1"/>
  <c r="M3253" i="1"/>
  <c r="L3253" i="1"/>
  <c r="K3253" i="1"/>
  <c r="I3253" i="1"/>
  <c r="O3252" i="1"/>
  <c r="P3252" i="1" s="1"/>
  <c r="N3252" i="1"/>
  <c r="M3252" i="1"/>
  <c r="L3252" i="1"/>
  <c r="K3252" i="1"/>
  <c r="I3252" i="1"/>
  <c r="O3251" i="1"/>
  <c r="P3251" i="1" s="1"/>
  <c r="N3251" i="1"/>
  <c r="M3251" i="1"/>
  <c r="L3251" i="1"/>
  <c r="K3251" i="1"/>
  <c r="I3251" i="1"/>
  <c r="O3250" i="1"/>
  <c r="P3250" i="1" s="1"/>
  <c r="N3250" i="1"/>
  <c r="M3250" i="1"/>
  <c r="L3250" i="1"/>
  <c r="K3250" i="1"/>
  <c r="I3250" i="1"/>
  <c r="O3249" i="1"/>
  <c r="P3249" i="1" s="1"/>
  <c r="N3249" i="1"/>
  <c r="M3249" i="1"/>
  <c r="L3249" i="1"/>
  <c r="K3249" i="1"/>
  <c r="I3249" i="1"/>
  <c r="O3248" i="1"/>
  <c r="P3248" i="1" s="1"/>
  <c r="N3248" i="1"/>
  <c r="M3248" i="1"/>
  <c r="L3248" i="1"/>
  <c r="K3248" i="1"/>
  <c r="I3248" i="1"/>
  <c r="O3247" i="1"/>
  <c r="P3247" i="1" s="1"/>
  <c r="N3247" i="1"/>
  <c r="M3247" i="1"/>
  <c r="L3247" i="1"/>
  <c r="K3247" i="1"/>
  <c r="I3247" i="1"/>
  <c r="O3246" i="1"/>
  <c r="P3246" i="1" s="1"/>
  <c r="N3246" i="1"/>
  <c r="M3246" i="1"/>
  <c r="L3246" i="1"/>
  <c r="K3246" i="1"/>
  <c r="I3246" i="1"/>
  <c r="O3245" i="1"/>
  <c r="P3245" i="1" s="1"/>
  <c r="N3245" i="1"/>
  <c r="M3245" i="1"/>
  <c r="L3245" i="1"/>
  <c r="K3245" i="1"/>
  <c r="I3245" i="1"/>
  <c r="O3244" i="1"/>
  <c r="P3244" i="1" s="1"/>
  <c r="N3244" i="1"/>
  <c r="M3244" i="1"/>
  <c r="L3244" i="1"/>
  <c r="K3244" i="1"/>
  <c r="I3244" i="1"/>
  <c r="O3243" i="1"/>
  <c r="P3243" i="1" s="1"/>
  <c r="N3243" i="1"/>
  <c r="M3243" i="1"/>
  <c r="L3243" i="1"/>
  <c r="K3243" i="1"/>
  <c r="I3243" i="1"/>
  <c r="O3242" i="1"/>
  <c r="P3242" i="1" s="1"/>
  <c r="N3242" i="1"/>
  <c r="M3242" i="1"/>
  <c r="L3242" i="1"/>
  <c r="K3242" i="1"/>
  <c r="I3242" i="1"/>
  <c r="O3241" i="1"/>
  <c r="P3241" i="1" s="1"/>
  <c r="N3241" i="1"/>
  <c r="M3241" i="1"/>
  <c r="L3241" i="1"/>
  <c r="K3241" i="1"/>
  <c r="I3241" i="1"/>
  <c r="O3240" i="1"/>
  <c r="P3240" i="1" s="1"/>
  <c r="N3240" i="1"/>
  <c r="M3240" i="1"/>
  <c r="L3240" i="1"/>
  <c r="K3240" i="1"/>
  <c r="I3240" i="1"/>
  <c r="O3239" i="1"/>
  <c r="P3239" i="1" s="1"/>
  <c r="N3239" i="1"/>
  <c r="M3239" i="1"/>
  <c r="L3239" i="1"/>
  <c r="K3239" i="1"/>
  <c r="I3239" i="1"/>
  <c r="O3238" i="1"/>
  <c r="P3238" i="1" s="1"/>
  <c r="N3238" i="1"/>
  <c r="M3238" i="1"/>
  <c r="L3238" i="1"/>
  <c r="K3238" i="1"/>
  <c r="I3238" i="1"/>
  <c r="O3237" i="1"/>
  <c r="P3237" i="1" s="1"/>
  <c r="N3237" i="1"/>
  <c r="M3237" i="1"/>
  <c r="L3237" i="1"/>
  <c r="K3237" i="1"/>
  <c r="I3237" i="1"/>
  <c r="O3236" i="1"/>
  <c r="P3236" i="1" s="1"/>
  <c r="N3236" i="1"/>
  <c r="M3236" i="1"/>
  <c r="L3236" i="1"/>
  <c r="K3236" i="1"/>
  <c r="I3236" i="1"/>
  <c r="O3235" i="1"/>
  <c r="P3235" i="1" s="1"/>
  <c r="N3235" i="1"/>
  <c r="M3235" i="1"/>
  <c r="L3235" i="1"/>
  <c r="K3235" i="1"/>
  <c r="I3235" i="1"/>
  <c r="O3234" i="1"/>
  <c r="P3234" i="1" s="1"/>
  <c r="N3234" i="1"/>
  <c r="M3234" i="1"/>
  <c r="L3234" i="1"/>
  <c r="K3234" i="1"/>
  <c r="I3234" i="1"/>
  <c r="O3233" i="1"/>
  <c r="P3233" i="1" s="1"/>
  <c r="N3233" i="1"/>
  <c r="M3233" i="1"/>
  <c r="L3233" i="1"/>
  <c r="K3233" i="1"/>
  <c r="I3233" i="1"/>
  <c r="O3232" i="1"/>
  <c r="P3232" i="1" s="1"/>
  <c r="N3232" i="1"/>
  <c r="M3232" i="1"/>
  <c r="L3232" i="1"/>
  <c r="K3232" i="1"/>
  <c r="I3232" i="1"/>
  <c r="O3231" i="1"/>
  <c r="P3231" i="1" s="1"/>
  <c r="N3231" i="1"/>
  <c r="M3231" i="1"/>
  <c r="L3231" i="1"/>
  <c r="K3231" i="1"/>
  <c r="I3231" i="1"/>
  <c r="O3230" i="1"/>
  <c r="P3230" i="1" s="1"/>
  <c r="N3230" i="1"/>
  <c r="M3230" i="1"/>
  <c r="L3230" i="1"/>
  <c r="K3230" i="1"/>
  <c r="I3230" i="1"/>
  <c r="O3229" i="1"/>
  <c r="P3229" i="1" s="1"/>
  <c r="N3229" i="1"/>
  <c r="M3229" i="1"/>
  <c r="L3229" i="1"/>
  <c r="K3229" i="1"/>
  <c r="I3229" i="1"/>
  <c r="O3228" i="1"/>
  <c r="P3228" i="1" s="1"/>
  <c r="N3228" i="1"/>
  <c r="M3228" i="1"/>
  <c r="L3228" i="1"/>
  <c r="K3228" i="1"/>
  <c r="I3228" i="1"/>
  <c r="O3227" i="1"/>
  <c r="P3227" i="1" s="1"/>
  <c r="N3227" i="1"/>
  <c r="M3227" i="1"/>
  <c r="L3227" i="1"/>
  <c r="K3227" i="1"/>
  <c r="I3227" i="1"/>
  <c r="O3226" i="1"/>
  <c r="P3226" i="1" s="1"/>
  <c r="N3226" i="1"/>
  <c r="M3226" i="1"/>
  <c r="L3226" i="1"/>
  <c r="K3226" i="1"/>
  <c r="I3226" i="1"/>
  <c r="O3225" i="1"/>
  <c r="P3225" i="1" s="1"/>
  <c r="N3225" i="1"/>
  <c r="M3225" i="1"/>
  <c r="L3225" i="1"/>
  <c r="K3225" i="1"/>
  <c r="I3225" i="1"/>
  <c r="O3224" i="1"/>
  <c r="P3224" i="1" s="1"/>
  <c r="N3224" i="1"/>
  <c r="M3224" i="1"/>
  <c r="L3224" i="1"/>
  <c r="K3224" i="1"/>
  <c r="I3224" i="1"/>
  <c r="O3223" i="1"/>
  <c r="P3223" i="1" s="1"/>
  <c r="N3223" i="1"/>
  <c r="M3223" i="1"/>
  <c r="L3223" i="1"/>
  <c r="K3223" i="1"/>
  <c r="I3223" i="1"/>
  <c r="O3222" i="1"/>
  <c r="P3222" i="1" s="1"/>
  <c r="N3222" i="1"/>
  <c r="M3222" i="1"/>
  <c r="L3222" i="1"/>
  <c r="K3222" i="1"/>
  <c r="I3222" i="1"/>
  <c r="O3221" i="1"/>
  <c r="P3221" i="1" s="1"/>
  <c r="N3221" i="1"/>
  <c r="M3221" i="1"/>
  <c r="L3221" i="1"/>
  <c r="K3221" i="1"/>
  <c r="I3221" i="1"/>
  <c r="O3220" i="1"/>
  <c r="P3220" i="1" s="1"/>
  <c r="N3220" i="1"/>
  <c r="M3220" i="1"/>
  <c r="L3220" i="1"/>
  <c r="K3220" i="1"/>
  <c r="I3220" i="1"/>
  <c r="O3219" i="1"/>
  <c r="P3219" i="1" s="1"/>
  <c r="N3219" i="1"/>
  <c r="M3219" i="1"/>
  <c r="L3219" i="1"/>
  <c r="K3219" i="1"/>
  <c r="I3219" i="1"/>
  <c r="O3218" i="1"/>
  <c r="P3218" i="1" s="1"/>
  <c r="N3218" i="1"/>
  <c r="M3218" i="1"/>
  <c r="L3218" i="1"/>
  <c r="K3218" i="1"/>
  <c r="I3218" i="1"/>
  <c r="O3217" i="1"/>
  <c r="P3217" i="1" s="1"/>
  <c r="N3217" i="1"/>
  <c r="M3217" i="1"/>
  <c r="L3217" i="1"/>
  <c r="K3217" i="1"/>
  <c r="I3217" i="1"/>
  <c r="O3216" i="1"/>
  <c r="P3216" i="1" s="1"/>
  <c r="N3216" i="1"/>
  <c r="M3216" i="1"/>
  <c r="L3216" i="1"/>
  <c r="K3216" i="1"/>
  <c r="I3216" i="1"/>
  <c r="O3215" i="1"/>
  <c r="P3215" i="1" s="1"/>
  <c r="N3215" i="1"/>
  <c r="M3215" i="1"/>
  <c r="L3215" i="1"/>
  <c r="K3215" i="1"/>
  <c r="I3215" i="1"/>
  <c r="O3214" i="1"/>
  <c r="P3214" i="1" s="1"/>
  <c r="N3214" i="1"/>
  <c r="M3214" i="1"/>
  <c r="L3214" i="1"/>
  <c r="K3214" i="1"/>
  <c r="I3214" i="1"/>
  <c r="O3213" i="1"/>
  <c r="P3213" i="1" s="1"/>
  <c r="N3213" i="1"/>
  <c r="M3213" i="1"/>
  <c r="L3213" i="1"/>
  <c r="K3213" i="1"/>
  <c r="I3213" i="1"/>
  <c r="O3212" i="1"/>
  <c r="P3212" i="1" s="1"/>
  <c r="N3212" i="1"/>
  <c r="M3212" i="1"/>
  <c r="L3212" i="1"/>
  <c r="K3212" i="1"/>
  <c r="I3212" i="1"/>
  <c r="O3211" i="1"/>
  <c r="P3211" i="1" s="1"/>
  <c r="N3211" i="1"/>
  <c r="M3211" i="1"/>
  <c r="L3211" i="1"/>
  <c r="K3211" i="1"/>
  <c r="I3211" i="1"/>
  <c r="O3210" i="1"/>
  <c r="P3210" i="1" s="1"/>
  <c r="N3210" i="1"/>
  <c r="M3210" i="1"/>
  <c r="L3210" i="1"/>
  <c r="K3210" i="1"/>
  <c r="I3210" i="1"/>
  <c r="O3209" i="1"/>
  <c r="P3209" i="1" s="1"/>
  <c r="N3209" i="1"/>
  <c r="M3209" i="1"/>
  <c r="L3209" i="1"/>
  <c r="K3209" i="1"/>
  <c r="I3209" i="1"/>
  <c r="O3208" i="1"/>
  <c r="P3208" i="1" s="1"/>
  <c r="N3208" i="1"/>
  <c r="M3208" i="1"/>
  <c r="L3208" i="1"/>
  <c r="K3208" i="1"/>
  <c r="I3208" i="1"/>
  <c r="O3207" i="1"/>
  <c r="P3207" i="1" s="1"/>
  <c r="N3207" i="1"/>
  <c r="M3207" i="1"/>
  <c r="L3207" i="1"/>
  <c r="K3207" i="1"/>
  <c r="I3207" i="1"/>
  <c r="O3206" i="1"/>
  <c r="P3206" i="1" s="1"/>
  <c r="N3206" i="1"/>
  <c r="M3206" i="1"/>
  <c r="L3206" i="1"/>
  <c r="K3206" i="1"/>
  <c r="I3206" i="1"/>
  <c r="O3205" i="1"/>
  <c r="P3205" i="1" s="1"/>
  <c r="N3205" i="1"/>
  <c r="M3205" i="1"/>
  <c r="L3205" i="1"/>
  <c r="K3205" i="1"/>
  <c r="I3205" i="1"/>
  <c r="O3204" i="1"/>
  <c r="P3204" i="1" s="1"/>
  <c r="N3204" i="1"/>
  <c r="M3204" i="1"/>
  <c r="L3204" i="1"/>
  <c r="K3204" i="1"/>
  <c r="I3204" i="1"/>
  <c r="O3203" i="1"/>
  <c r="P3203" i="1" s="1"/>
  <c r="N3203" i="1"/>
  <c r="M3203" i="1"/>
  <c r="L3203" i="1"/>
  <c r="K3203" i="1"/>
  <c r="I3203" i="1"/>
  <c r="O3202" i="1"/>
  <c r="P3202" i="1" s="1"/>
  <c r="N3202" i="1"/>
  <c r="M3202" i="1"/>
  <c r="L3202" i="1"/>
  <c r="K3202" i="1"/>
  <c r="I3202" i="1"/>
  <c r="O3201" i="1"/>
  <c r="P3201" i="1" s="1"/>
  <c r="N3201" i="1"/>
  <c r="M3201" i="1"/>
  <c r="L3201" i="1"/>
  <c r="K3201" i="1"/>
  <c r="I3201" i="1"/>
  <c r="O3200" i="1"/>
  <c r="P3200" i="1" s="1"/>
  <c r="N3200" i="1"/>
  <c r="M3200" i="1"/>
  <c r="L3200" i="1"/>
  <c r="K3200" i="1"/>
  <c r="I3200" i="1"/>
  <c r="O3199" i="1"/>
  <c r="P3199" i="1" s="1"/>
  <c r="N3199" i="1"/>
  <c r="M3199" i="1"/>
  <c r="L3199" i="1"/>
  <c r="K3199" i="1"/>
  <c r="I3199" i="1"/>
  <c r="O3198" i="1"/>
  <c r="P3198" i="1" s="1"/>
  <c r="N3198" i="1"/>
  <c r="M3198" i="1"/>
  <c r="L3198" i="1"/>
  <c r="K3198" i="1"/>
  <c r="I3198" i="1"/>
  <c r="O3197" i="1"/>
  <c r="P3197" i="1" s="1"/>
  <c r="N3197" i="1"/>
  <c r="M3197" i="1"/>
  <c r="L3197" i="1"/>
  <c r="K3197" i="1"/>
  <c r="I3197" i="1"/>
  <c r="O3196" i="1"/>
  <c r="P3196" i="1" s="1"/>
  <c r="N3196" i="1"/>
  <c r="M3196" i="1"/>
  <c r="L3196" i="1"/>
  <c r="K3196" i="1"/>
  <c r="I3196" i="1"/>
  <c r="O3195" i="1"/>
  <c r="P3195" i="1" s="1"/>
  <c r="N3195" i="1"/>
  <c r="M3195" i="1"/>
  <c r="L3195" i="1"/>
  <c r="K3195" i="1"/>
  <c r="I3195" i="1"/>
  <c r="O3194" i="1"/>
  <c r="P3194" i="1" s="1"/>
  <c r="N3194" i="1"/>
  <c r="M3194" i="1"/>
  <c r="L3194" i="1"/>
  <c r="K3194" i="1"/>
  <c r="I3194" i="1"/>
  <c r="O3193" i="1"/>
  <c r="P3193" i="1" s="1"/>
  <c r="N3193" i="1"/>
  <c r="M3193" i="1"/>
  <c r="L3193" i="1"/>
  <c r="K3193" i="1"/>
  <c r="I3193" i="1"/>
  <c r="O3192" i="1"/>
  <c r="P3192" i="1" s="1"/>
  <c r="N3192" i="1"/>
  <c r="M3192" i="1"/>
  <c r="L3192" i="1"/>
  <c r="K3192" i="1"/>
  <c r="I3192" i="1"/>
  <c r="O3191" i="1"/>
  <c r="P3191" i="1" s="1"/>
  <c r="N3191" i="1"/>
  <c r="M3191" i="1"/>
  <c r="L3191" i="1"/>
  <c r="K3191" i="1"/>
  <c r="I3191" i="1"/>
  <c r="O3190" i="1"/>
  <c r="P3190" i="1" s="1"/>
  <c r="N3190" i="1"/>
  <c r="M3190" i="1"/>
  <c r="L3190" i="1"/>
  <c r="K3190" i="1"/>
  <c r="I3190" i="1"/>
  <c r="O3189" i="1"/>
  <c r="P3189" i="1" s="1"/>
  <c r="N3189" i="1"/>
  <c r="M3189" i="1"/>
  <c r="L3189" i="1"/>
  <c r="K3189" i="1"/>
  <c r="I3189" i="1"/>
  <c r="O3188" i="1"/>
  <c r="P3188" i="1" s="1"/>
  <c r="N3188" i="1"/>
  <c r="M3188" i="1"/>
  <c r="L3188" i="1"/>
  <c r="K3188" i="1"/>
  <c r="I3188" i="1"/>
  <c r="O3187" i="1"/>
  <c r="P3187" i="1" s="1"/>
  <c r="N3187" i="1"/>
  <c r="M3187" i="1"/>
  <c r="L3187" i="1"/>
  <c r="K3187" i="1"/>
  <c r="I3187" i="1"/>
  <c r="O3186" i="1"/>
  <c r="P3186" i="1" s="1"/>
  <c r="N3186" i="1"/>
  <c r="M3186" i="1"/>
  <c r="L3186" i="1"/>
  <c r="K3186" i="1"/>
  <c r="I3186" i="1"/>
  <c r="O3185" i="1"/>
  <c r="P3185" i="1" s="1"/>
  <c r="N3185" i="1"/>
  <c r="M3185" i="1"/>
  <c r="L3185" i="1"/>
  <c r="K3185" i="1"/>
  <c r="I3185" i="1"/>
  <c r="O3184" i="1"/>
  <c r="P3184" i="1" s="1"/>
  <c r="N3184" i="1"/>
  <c r="M3184" i="1"/>
  <c r="L3184" i="1"/>
  <c r="K3184" i="1"/>
  <c r="I3184" i="1"/>
  <c r="O3183" i="1"/>
  <c r="P3183" i="1" s="1"/>
  <c r="N3183" i="1"/>
  <c r="M3183" i="1"/>
  <c r="L3183" i="1"/>
  <c r="K3183" i="1"/>
  <c r="I3183" i="1"/>
  <c r="O3182" i="1"/>
  <c r="P3182" i="1" s="1"/>
  <c r="N3182" i="1"/>
  <c r="M3182" i="1"/>
  <c r="L3182" i="1"/>
  <c r="K3182" i="1"/>
  <c r="I3182" i="1"/>
  <c r="O3181" i="1"/>
  <c r="P3181" i="1" s="1"/>
  <c r="N3181" i="1"/>
  <c r="M3181" i="1"/>
  <c r="L3181" i="1"/>
  <c r="K3181" i="1"/>
  <c r="I3181" i="1"/>
  <c r="O3180" i="1"/>
  <c r="P3180" i="1" s="1"/>
  <c r="N3180" i="1"/>
  <c r="M3180" i="1"/>
  <c r="L3180" i="1"/>
  <c r="K3180" i="1"/>
  <c r="I3180" i="1"/>
  <c r="O3179" i="1"/>
  <c r="P3179" i="1" s="1"/>
  <c r="N3179" i="1"/>
  <c r="M3179" i="1"/>
  <c r="L3179" i="1"/>
  <c r="K3179" i="1"/>
  <c r="I3179" i="1"/>
  <c r="O3178" i="1"/>
  <c r="P3178" i="1" s="1"/>
  <c r="N3178" i="1"/>
  <c r="M3178" i="1"/>
  <c r="L3178" i="1"/>
  <c r="K3178" i="1"/>
  <c r="I3178" i="1"/>
  <c r="O3177" i="1"/>
  <c r="P3177" i="1" s="1"/>
  <c r="N3177" i="1"/>
  <c r="M3177" i="1"/>
  <c r="L3177" i="1"/>
  <c r="K3177" i="1"/>
  <c r="I3177" i="1"/>
  <c r="O3176" i="1"/>
  <c r="P3176" i="1" s="1"/>
  <c r="N3176" i="1"/>
  <c r="M3176" i="1"/>
  <c r="L3176" i="1"/>
  <c r="K3176" i="1"/>
  <c r="I3176" i="1"/>
  <c r="O3175" i="1"/>
  <c r="P3175" i="1" s="1"/>
  <c r="N3175" i="1"/>
  <c r="M3175" i="1"/>
  <c r="L3175" i="1"/>
  <c r="K3175" i="1"/>
  <c r="I3175" i="1"/>
  <c r="O3174" i="1"/>
  <c r="P3174" i="1" s="1"/>
  <c r="N3174" i="1"/>
  <c r="M3174" i="1"/>
  <c r="L3174" i="1"/>
  <c r="K3174" i="1"/>
  <c r="I3174" i="1"/>
  <c r="O3173" i="1"/>
  <c r="P3173" i="1" s="1"/>
  <c r="N3173" i="1"/>
  <c r="M3173" i="1"/>
  <c r="L3173" i="1"/>
  <c r="K3173" i="1"/>
  <c r="I3173" i="1"/>
  <c r="O3172" i="1"/>
  <c r="P3172" i="1" s="1"/>
  <c r="N3172" i="1"/>
  <c r="M3172" i="1"/>
  <c r="L3172" i="1"/>
  <c r="K3172" i="1"/>
  <c r="I3172" i="1"/>
  <c r="O3171" i="1"/>
  <c r="P3171" i="1" s="1"/>
  <c r="N3171" i="1"/>
  <c r="M3171" i="1"/>
  <c r="L3171" i="1"/>
  <c r="K3171" i="1"/>
  <c r="I3171" i="1"/>
  <c r="O3170" i="1"/>
  <c r="P3170" i="1" s="1"/>
  <c r="N3170" i="1"/>
  <c r="M3170" i="1"/>
  <c r="L3170" i="1"/>
  <c r="K3170" i="1"/>
  <c r="I3170" i="1"/>
  <c r="O3169" i="1"/>
  <c r="P3169" i="1" s="1"/>
  <c r="N3169" i="1"/>
  <c r="M3169" i="1"/>
  <c r="L3169" i="1"/>
  <c r="K3169" i="1"/>
  <c r="I3169" i="1"/>
  <c r="O3168" i="1"/>
  <c r="P3168" i="1" s="1"/>
  <c r="N3168" i="1"/>
  <c r="M3168" i="1"/>
  <c r="L3168" i="1"/>
  <c r="K3168" i="1"/>
  <c r="I3168" i="1"/>
  <c r="O3167" i="1"/>
  <c r="P3167" i="1" s="1"/>
  <c r="N3167" i="1"/>
  <c r="M3167" i="1"/>
  <c r="L3167" i="1"/>
  <c r="K3167" i="1"/>
  <c r="I3167" i="1"/>
  <c r="O3166" i="1"/>
  <c r="P3166" i="1" s="1"/>
  <c r="N3166" i="1"/>
  <c r="M3166" i="1"/>
  <c r="L3166" i="1"/>
  <c r="K3166" i="1"/>
  <c r="I3166" i="1"/>
  <c r="O3165" i="1"/>
  <c r="P3165" i="1" s="1"/>
  <c r="N3165" i="1"/>
  <c r="M3165" i="1"/>
  <c r="L3165" i="1"/>
  <c r="K3165" i="1"/>
  <c r="I3165" i="1"/>
  <c r="O3164" i="1"/>
  <c r="P3164" i="1" s="1"/>
  <c r="N3164" i="1"/>
  <c r="M3164" i="1"/>
  <c r="L3164" i="1"/>
  <c r="K3164" i="1"/>
  <c r="I3164" i="1"/>
  <c r="O3163" i="1"/>
  <c r="P3163" i="1" s="1"/>
  <c r="N3163" i="1"/>
  <c r="M3163" i="1"/>
  <c r="L3163" i="1"/>
  <c r="K3163" i="1"/>
  <c r="I3163" i="1"/>
  <c r="O3162" i="1"/>
  <c r="P3162" i="1" s="1"/>
  <c r="N3162" i="1"/>
  <c r="M3162" i="1"/>
  <c r="L3162" i="1"/>
  <c r="K3162" i="1"/>
  <c r="I3162" i="1"/>
  <c r="O3161" i="1"/>
  <c r="P3161" i="1" s="1"/>
  <c r="N3161" i="1"/>
  <c r="M3161" i="1"/>
  <c r="L3161" i="1"/>
  <c r="K3161" i="1"/>
  <c r="I3161" i="1"/>
  <c r="O3160" i="1"/>
  <c r="P3160" i="1" s="1"/>
  <c r="N3160" i="1"/>
  <c r="M3160" i="1"/>
  <c r="L3160" i="1"/>
  <c r="K3160" i="1"/>
  <c r="I3160" i="1"/>
  <c r="O3159" i="1"/>
  <c r="P3159" i="1" s="1"/>
  <c r="N3159" i="1"/>
  <c r="M3159" i="1"/>
  <c r="L3159" i="1"/>
  <c r="K3159" i="1"/>
  <c r="I3159" i="1"/>
  <c r="O3158" i="1"/>
  <c r="P3158" i="1" s="1"/>
  <c r="N3158" i="1"/>
  <c r="M3158" i="1"/>
  <c r="L3158" i="1"/>
  <c r="K3158" i="1"/>
  <c r="I3158" i="1"/>
  <c r="O3157" i="1"/>
  <c r="P3157" i="1" s="1"/>
  <c r="N3157" i="1"/>
  <c r="M3157" i="1"/>
  <c r="L3157" i="1"/>
  <c r="K3157" i="1"/>
  <c r="I3157" i="1"/>
  <c r="O3156" i="1"/>
  <c r="P3156" i="1" s="1"/>
  <c r="N3156" i="1"/>
  <c r="M3156" i="1"/>
  <c r="L3156" i="1"/>
  <c r="K3156" i="1"/>
  <c r="I3156" i="1"/>
  <c r="O3155" i="1"/>
  <c r="P3155" i="1" s="1"/>
  <c r="N3155" i="1"/>
  <c r="M3155" i="1"/>
  <c r="L3155" i="1"/>
  <c r="K3155" i="1"/>
  <c r="I3155" i="1"/>
  <c r="O3154" i="1"/>
  <c r="P3154" i="1" s="1"/>
  <c r="N3154" i="1"/>
  <c r="M3154" i="1"/>
  <c r="L3154" i="1"/>
  <c r="K3154" i="1"/>
  <c r="I3154" i="1"/>
  <c r="O3153" i="1"/>
  <c r="P3153" i="1" s="1"/>
  <c r="N3153" i="1"/>
  <c r="M3153" i="1"/>
  <c r="L3153" i="1"/>
  <c r="K3153" i="1"/>
  <c r="I3153" i="1"/>
  <c r="O3152" i="1"/>
  <c r="P3152" i="1" s="1"/>
  <c r="N3152" i="1"/>
  <c r="M3152" i="1"/>
  <c r="L3152" i="1"/>
  <c r="K3152" i="1"/>
  <c r="I3152" i="1"/>
  <c r="O3151" i="1"/>
  <c r="P3151" i="1" s="1"/>
  <c r="N3151" i="1"/>
  <c r="M3151" i="1"/>
  <c r="L3151" i="1"/>
  <c r="K3151" i="1"/>
  <c r="I3151" i="1"/>
  <c r="O3150" i="1"/>
  <c r="P3150" i="1" s="1"/>
  <c r="N3150" i="1"/>
  <c r="M3150" i="1"/>
  <c r="L3150" i="1"/>
  <c r="K3150" i="1"/>
  <c r="I3150" i="1"/>
  <c r="O3149" i="1"/>
  <c r="P3149" i="1" s="1"/>
  <c r="N3149" i="1"/>
  <c r="M3149" i="1"/>
  <c r="L3149" i="1"/>
  <c r="K3149" i="1"/>
  <c r="I3149" i="1"/>
  <c r="O3148" i="1"/>
  <c r="P3148" i="1" s="1"/>
  <c r="N3148" i="1"/>
  <c r="M3148" i="1"/>
  <c r="L3148" i="1"/>
  <c r="K3148" i="1"/>
  <c r="I3148" i="1"/>
  <c r="O3147" i="1"/>
  <c r="P3147" i="1" s="1"/>
  <c r="N3147" i="1"/>
  <c r="M3147" i="1"/>
  <c r="L3147" i="1"/>
  <c r="K3147" i="1"/>
  <c r="I3147" i="1"/>
  <c r="O3146" i="1"/>
  <c r="P3146" i="1" s="1"/>
  <c r="N3146" i="1"/>
  <c r="M3146" i="1"/>
  <c r="L3146" i="1"/>
  <c r="K3146" i="1"/>
  <c r="I3146" i="1"/>
  <c r="O3145" i="1"/>
  <c r="P3145" i="1" s="1"/>
  <c r="N3145" i="1"/>
  <c r="M3145" i="1"/>
  <c r="L3145" i="1"/>
  <c r="K3145" i="1"/>
  <c r="I3145" i="1"/>
  <c r="O3144" i="1"/>
  <c r="P3144" i="1" s="1"/>
  <c r="N3144" i="1"/>
  <c r="M3144" i="1"/>
  <c r="L3144" i="1"/>
  <c r="K3144" i="1"/>
  <c r="I3144" i="1"/>
  <c r="O3143" i="1"/>
  <c r="P3143" i="1" s="1"/>
  <c r="N3143" i="1"/>
  <c r="M3143" i="1"/>
  <c r="L3143" i="1"/>
  <c r="K3143" i="1"/>
  <c r="I3143" i="1"/>
  <c r="O3142" i="1"/>
  <c r="P3142" i="1" s="1"/>
  <c r="N3142" i="1"/>
  <c r="M3142" i="1"/>
  <c r="L3142" i="1"/>
  <c r="K3142" i="1"/>
  <c r="I3142" i="1"/>
  <c r="O3141" i="1"/>
  <c r="P3141" i="1" s="1"/>
  <c r="N3141" i="1"/>
  <c r="M3141" i="1"/>
  <c r="L3141" i="1"/>
  <c r="K3141" i="1"/>
  <c r="I3141" i="1"/>
  <c r="O3140" i="1"/>
  <c r="P3140" i="1" s="1"/>
  <c r="N3140" i="1"/>
  <c r="M3140" i="1"/>
  <c r="L3140" i="1"/>
  <c r="K3140" i="1"/>
  <c r="I3140" i="1"/>
  <c r="O3139" i="1"/>
  <c r="P3139" i="1" s="1"/>
  <c r="N3139" i="1"/>
  <c r="M3139" i="1"/>
  <c r="L3139" i="1"/>
  <c r="K3139" i="1"/>
  <c r="I3139" i="1"/>
  <c r="O3138" i="1"/>
  <c r="P3138" i="1" s="1"/>
  <c r="N3138" i="1"/>
  <c r="M3138" i="1"/>
  <c r="L3138" i="1"/>
  <c r="K3138" i="1"/>
  <c r="I3138" i="1"/>
  <c r="O3137" i="1"/>
  <c r="P3137" i="1" s="1"/>
  <c r="N3137" i="1"/>
  <c r="M3137" i="1"/>
  <c r="L3137" i="1"/>
  <c r="K3137" i="1"/>
  <c r="I3137" i="1"/>
  <c r="O3136" i="1"/>
  <c r="P3136" i="1" s="1"/>
  <c r="N3136" i="1"/>
  <c r="M3136" i="1"/>
  <c r="L3136" i="1"/>
  <c r="K3136" i="1"/>
  <c r="I3136" i="1"/>
  <c r="O3135" i="1"/>
  <c r="P3135" i="1" s="1"/>
  <c r="N3135" i="1"/>
  <c r="M3135" i="1"/>
  <c r="L3135" i="1"/>
  <c r="K3135" i="1"/>
  <c r="I3135" i="1"/>
  <c r="O3134" i="1"/>
  <c r="P3134" i="1" s="1"/>
  <c r="N3134" i="1"/>
  <c r="M3134" i="1"/>
  <c r="L3134" i="1"/>
  <c r="K3134" i="1"/>
  <c r="I3134" i="1"/>
  <c r="O3133" i="1"/>
  <c r="P3133" i="1" s="1"/>
  <c r="N3133" i="1"/>
  <c r="M3133" i="1"/>
  <c r="L3133" i="1"/>
  <c r="K3133" i="1"/>
  <c r="I3133" i="1"/>
  <c r="O3132" i="1"/>
  <c r="P3132" i="1" s="1"/>
  <c r="N3132" i="1"/>
  <c r="M3132" i="1"/>
  <c r="L3132" i="1"/>
  <c r="K3132" i="1"/>
  <c r="I3132" i="1"/>
  <c r="O3131" i="1"/>
  <c r="P3131" i="1" s="1"/>
  <c r="N3131" i="1"/>
  <c r="M3131" i="1"/>
  <c r="L3131" i="1"/>
  <c r="K3131" i="1"/>
  <c r="I3131" i="1"/>
  <c r="O3130" i="1"/>
  <c r="P3130" i="1" s="1"/>
  <c r="N3130" i="1"/>
  <c r="M3130" i="1"/>
  <c r="L3130" i="1"/>
  <c r="K3130" i="1"/>
  <c r="I3130" i="1"/>
  <c r="O3129" i="1"/>
  <c r="P3129" i="1" s="1"/>
  <c r="N3129" i="1"/>
  <c r="M3129" i="1"/>
  <c r="L3129" i="1"/>
  <c r="K3129" i="1"/>
  <c r="I3129" i="1"/>
  <c r="O3128" i="1"/>
  <c r="P3128" i="1" s="1"/>
  <c r="N3128" i="1"/>
  <c r="M3128" i="1"/>
  <c r="L3128" i="1"/>
  <c r="K3128" i="1"/>
  <c r="I3128" i="1"/>
  <c r="O3127" i="1"/>
  <c r="P3127" i="1" s="1"/>
  <c r="N3127" i="1"/>
  <c r="M3127" i="1"/>
  <c r="L3127" i="1"/>
  <c r="K3127" i="1"/>
  <c r="I3127" i="1"/>
  <c r="O3126" i="1"/>
  <c r="P3126" i="1" s="1"/>
  <c r="N3126" i="1"/>
  <c r="M3126" i="1"/>
  <c r="L3126" i="1"/>
  <c r="K3126" i="1"/>
  <c r="I3126" i="1"/>
  <c r="O3125" i="1"/>
  <c r="P3125" i="1" s="1"/>
  <c r="N3125" i="1"/>
  <c r="M3125" i="1"/>
  <c r="L3125" i="1"/>
  <c r="K3125" i="1"/>
  <c r="I3125" i="1"/>
  <c r="O3124" i="1"/>
  <c r="P3124" i="1" s="1"/>
  <c r="N3124" i="1"/>
  <c r="M3124" i="1"/>
  <c r="L3124" i="1"/>
  <c r="K3124" i="1"/>
  <c r="I3124" i="1"/>
  <c r="O3123" i="1"/>
  <c r="P3123" i="1" s="1"/>
  <c r="N3123" i="1"/>
  <c r="M3123" i="1"/>
  <c r="L3123" i="1"/>
  <c r="K3123" i="1"/>
  <c r="I3123" i="1"/>
  <c r="O3122" i="1"/>
  <c r="P3122" i="1" s="1"/>
  <c r="N3122" i="1"/>
  <c r="M3122" i="1"/>
  <c r="L3122" i="1"/>
  <c r="K3122" i="1"/>
  <c r="I3122" i="1"/>
  <c r="O3121" i="1"/>
  <c r="P3121" i="1" s="1"/>
  <c r="N3121" i="1"/>
  <c r="M3121" i="1"/>
  <c r="L3121" i="1"/>
  <c r="K3121" i="1"/>
  <c r="I3121" i="1"/>
  <c r="O3120" i="1"/>
  <c r="P3120" i="1" s="1"/>
  <c r="N3120" i="1"/>
  <c r="M3120" i="1"/>
  <c r="L3120" i="1"/>
  <c r="K3120" i="1"/>
  <c r="I3120" i="1"/>
  <c r="O3119" i="1"/>
  <c r="P3119" i="1" s="1"/>
  <c r="N3119" i="1"/>
  <c r="M3119" i="1"/>
  <c r="L3119" i="1"/>
  <c r="K3119" i="1"/>
  <c r="I3119" i="1"/>
  <c r="O3118" i="1"/>
  <c r="P3118" i="1" s="1"/>
  <c r="N3118" i="1"/>
  <c r="M3118" i="1"/>
  <c r="L3118" i="1"/>
  <c r="K3118" i="1"/>
  <c r="I3118" i="1"/>
  <c r="O3117" i="1"/>
  <c r="P3117" i="1" s="1"/>
  <c r="N3117" i="1"/>
  <c r="M3117" i="1"/>
  <c r="L3117" i="1"/>
  <c r="K3117" i="1"/>
  <c r="I3117" i="1"/>
  <c r="O3116" i="1"/>
  <c r="P3116" i="1" s="1"/>
  <c r="N3116" i="1"/>
  <c r="M3116" i="1"/>
  <c r="L3116" i="1"/>
  <c r="K3116" i="1"/>
  <c r="I3116" i="1"/>
  <c r="O3115" i="1"/>
  <c r="P3115" i="1" s="1"/>
  <c r="N3115" i="1"/>
  <c r="M3115" i="1"/>
  <c r="L3115" i="1"/>
  <c r="K3115" i="1"/>
  <c r="I3115" i="1"/>
  <c r="O3114" i="1"/>
  <c r="P3114" i="1" s="1"/>
  <c r="N3114" i="1"/>
  <c r="M3114" i="1"/>
  <c r="L3114" i="1"/>
  <c r="K3114" i="1"/>
  <c r="I3114" i="1"/>
  <c r="O3113" i="1"/>
  <c r="P3113" i="1" s="1"/>
  <c r="N3113" i="1"/>
  <c r="M3113" i="1"/>
  <c r="L3113" i="1"/>
  <c r="K3113" i="1"/>
  <c r="I3113" i="1"/>
  <c r="O3112" i="1"/>
  <c r="P3112" i="1" s="1"/>
  <c r="N3112" i="1"/>
  <c r="M3112" i="1"/>
  <c r="L3112" i="1"/>
  <c r="K3112" i="1"/>
  <c r="I3112" i="1"/>
  <c r="O3111" i="1"/>
  <c r="P3111" i="1" s="1"/>
  <c r="N3111" i="1"/>
  <c r="M3111" i="1"/>
  <c r="L3111" i="1"/>
  <c r="K3111" i="1"/>
  <c r="I3111" i="1"/>
  <c r="O3110" i="1"/>
  <c r="P3110" i="1" s="1"/>
  <c r="N3110" i="1"/>
  <c r="M3110" i="1"/>
  <c r="L3110" i="1"/>
  <c r="K3110" i="1"/>
  <c r="I3110" i="1"/>
  <c r="O3109" i="1"/>
  <c r="P3109" i="1" s="1"/>
  <c r="N3109" i="1"/>
  <c r="M3109" i="1"/>
  <c r="L3109" i="1"/>
  <c r="K3109" i="1"/>
  <c r="I3109" i="1"/>
  <c r="O3108" i="1"/>
  <c r="P3108" i="1" s="1"/>
  <c r="N3108" i="1"/>
  <c r="M3108" i="1"/>
  <c r="L3108" i="1"/>
  <c r="K3108" i="1"/>
  <c r="I3108" i="1"/>
  <c r="O3107" i="1"/>
  <c r="P3107" i="1" s="1"/>
  <c r="N3107" i="1"/>
  <c r="M3107" i="1"/>
  <c r="L3107" i="1"/>
  <c r="K3107" i="1"/>
  <c r="I3107" i="1"/>
  <c r="O3106" i="1"/>
  <c r="P3106" i="1" s="1"/>
  <c r="N3106" i="1"/>
  <c r="M3106" i="1"/>
  <c r="L3106" i="1"/>
  <c r="K3106" i="1"/>
  <c r="I3106" i="1"/>
  <c r="O3105" i="1"/>
  <c r="P3105" i="1" s="1"/>
  <c r="N3105" i="1"/>
  <c r="M3105" i="1"/>
  <c r="L3105" i="1"/>
  <c r="K3105" i="1"/>
  <c r="I3105" i="1"/>
  <c r="O3104" i="1"/>
  <c r="P3104" i="1" s="1"/>
  <c r="N3104" i="1"/>
  <c r="M3104" i="1"/>
  <c r="L3104" i="1"/>
  <c r="K3104" i="1"/>
  <c r="I3104" i="1"/>
  <c r="O3103" i="1"/>
  <c r="P3103" i="1" s="1"/>
  <c r="N3103" i="1"/>
  <c r="M3103" i="1"/>
  <c r="L3103" i="1"/>
  <c r="K3103" i="1"/>
  <c r="I3103" i="1"/>
  <c r="O3102" i="1"/>
  <c r="P3102" i="1" s="1"/>
  <c r="N3102" i="1"/>
  <c r="M3102" i="1"/>
  <c r="L3102" i="1"/>
  <c r="K3102" i="1"/>
  <c r="I3102" i="1"/>
  <c r="O3101" i="1"/>
  <c r="P3101" i="1" s="1"/>
  <c r="N3101" i="1"/>
  <c r="M3101" i="1"/>
  <c r="L3101" i="1"/>
  <c r="K3101" i="1"/>
  <c r="I3101" i="1"/>
  <c r="O3100" i="1"/>
  <c r="P3100" i="1" s="1"/>
  <c r="N3100" i="1"/>
  <c r="M3100" i="1"/>
  <c r="L3100" i="1"/>
  <c r="K3100" i="1"/>
  <c r="I3100" i="1"/>
  <c r="O3099" i="1"/>
  <c r="P3099" i="1" s="1"/>
  <c r="N3099" i="1"/>
  <c r="M3099" i="1"/>
  <c r="L3099" i="1"/>
  <c r="K3099" i="1"/>
  <c r="I3099" i="1"/>
  <c r="O3098" i="1"/>
  <c r="P3098" i="1" s="1"/>
  <c r="N3098" i="1"/>
  <c r="M3098" i="1"/>
  <c r="L3098" i="1"/>
  <c r="K3098" i="1"/>
  <c r="I3098" i="1"/>
  <c r="O3097" i="1"/>
  <c r="P3097" i="1" s="1"/>
  <c r="N3097" i="1"/>
  <c r="M3097" i="1"/>
  <c r="L3097" i="1"/>
  <c r="K3097" i="1"/>
  <c r="I3097" i="1"/>
  <c r="O3096" i="1"/>
  <c r="P3096" i="1" s="1"/>
  <c r="N3096" i="1"/>
  <c r="M3096" i="1"/>
  <c r="L3096" i="1"/>
  <c r="K3096" i="1"/>
  <c r="I3096" i="1"/>
  <c r="O3095" i="1"/>
  <c r="P3095" i="1" s="1"/>
  <c r="N3095" i="1"/>
  <c r="M3095" i="1"/>
  <c r="L3095" i="1"/>
  <c r="K3095" i="1"/>
  <c r="I3095" i="1"/>
  <c r="O3094" i="1"/>
  <c r="P3094" i="1" s="1"/>
  <c r="N3094" i="1"/>
  <c r="M3094" i="1"/>
  <c r="L3094" i="1"/>
  <c r="K3094" i="1"/>
  <c r="I3094" i="1"/>
  <c r="O3093" i="1"/>
  <c r="P3093" i="1" s="1"/>
  <c r="N3093" i="1"/>
  <c r="M3093" i="1"/>
  <c r="L3093" i="1"/>
  <c r="K3093" i="1"/>
  <c r="I3093" i="1"/>
  <c r="O3092" i="1"/>
  <c r="P3092" i="1" s="1"/>
  <c r="N3092" i="1"/>
  <c r="M3092" i="1"/>
  <c r="L3092" i="1"/>
  <c r="K3092" i="1"/>
  <c r="I3092" i="1"/>
  <c r="O3091" i="1"/>
  <c r="P3091" i="1" s="1"/>
  <c r="N3091" i="1"/>
  <c r="M3091" i="1"/>
  <c r="L3091" i="1"/>
  <c r="K3091" i="1"/>
  <c r="I3091" i="1"/>
  <c r="O3090" i="1"/>
  <c r="P3090" i="1" s="1"/>
  <c r="N3090" i="1"/>
  <c r="M3090" i="1"/>
  <c r="L3090" i="1"/>
  <c r="K3090" i="1"/>
  <c r="I3090" i="1"/>
  <c r="O3089" i="1"/>
  <c r="P3089" i="1" s="1"/>
  <c r="N3089" i="1"/>
  <c r="M3089" i="1"/>
  <c r="L3089" i="1"/>
  <c r="K3089" i="1"/>
  <c r="I3089" i="1"/>
  <c r="O3088" i="1"/>
  <c r="P3088" i="1" s="1"/>
  <c r="N3088" i="1"/>
  <c r="M3088" i="1"/>
  <c r="L3088" i="1"/>
  <c r="K3088" i="1"/>
  <c r="I3088" i="1"/>
  <c r="O3087" i="1"/>
  <c r="P3087" i="1" s="1"/>
  <c r="N3087" i="1"/>
  <c r="M3087" i="1"/>
  <c r="L3087" i="1"/>
  <c r="K3087" i="1"/>
  <c r="I3087" i="1"/>
  <c r="O3086" i="1"/>
  <c r="P3086" i="1" s="1"/>
  <c r="N3086" i="1"/>
  <c r="M3086" i="1"/>
  <c r="L3086" i="1"/>
  <c r="K3086" i="1"/>
  <c r="I3086" i="1"/>
  <c r="O3085" i="1"/>
  <c r="P3085" i="1" s="1"/>
  <c r="N3085" i="1"/>
  <c r="M3085" i="1"/>
  <c r="L3085" i="1"/>
  <c r="K3085" i="1"/>
  <c r="I3085" i="1"/>
  <c r="O3084" i="1"/>
  <c r="P3084" i="1" s="1"/>
  <c r="N3084" i="1"/>
  <c r="M3084" i="1"/>
  <c r="L3084" i="1"/>
  <c r="K3084" i="1"/>
  <c r="I3084" i="1"/>
  <c r="O3083" i="1"/>
  <c r="P3083" i="1" s="1"/>
  <c r="N3083" i="1"/>
  <c r="M3083" i="1"/>
  <c r="L3083" i="1"/>
  <c r="K3083" i="1"/>
  <c r="I3083" i="1"/>
  <c r="O3082" i="1"/>
  <c r="P3082" i="1" s="1"/>
  <c r="N3082" i="1"/>
  <c r="M3082" i="1"/>
  <c r="L3082" i="1"/>
  <c r="K3082" i="1"/>
  <c r="I3082" i="1"/>
  <c r="O3081" i="1"/>
  <c r="P3081" i="1" s="1"/>
  <c r="N3081" i="1"/>
  <c r="M3081" i="1"/>
  <c r="L3081" i="1"/>
  <c r="K3081" i="1"/>
  <c r="I3081" i="1"/>
  <c r="O3080" i="1"/>
  <c r="P3080" i="1" s="1"/>
  <c r="N3080" i="1"/>
  <c r="M3080" i="1"/>
  <c r="L3080" i="1"/>
  <c r="K3080" i="1"/>
  <c r="I3080" i="1"/>
  <c r="O3079" i="1"/>
  <c r="P3079" i="1" s="1"/>
  <c r="N3079" i="1"/>
  <c r="M3079" i="1"/>
  <c r="L3079" i="1"/>
  <c r="K3079" i="1"/>
  <c r="I3079" i="1"/>
  <c r="O3078" i="1"/>
  <c r="P3078" i="1" s="1"/>
  <c r="N3078" i="1"/>
  <c r="M3078" i="1"/>
  <c r="L3078" i="1"/>
  <c r="K3078" i="1"/>
  <c r="I3078" i="1"/>
  <c r="O3077" i="1"/>
  <c r="P3077" i="1" s="1"/>
  <c r="N3077" i="1"/>
  <c r="M3077" i="1"/>
  <c r="L3077" i="1"/>
  <c r="K3077" i="1"/>
  <c r="I3077" i="1"/>
  <c r="O3076" i="1"/>
  <c r="P3076" i="1" s="1"/>
  <c r="N3076" i="1"/>
  <c r="M3076" i="1"/>
  <c r="L3076" i="1"/>
  <c r="K3076" i="1"/>
  <c r="I3076" i="1"/>
  <c r="O3075" i="1"/>
  <c r="P3075" i="1" s="1"/>
  <c r="N3075" i="1"/>
  <c r="M3075" i="1"/>
  <c r="L3075" i="1"/>
  <c r="K3075" i="1"/>
  <c r="I3075" i="1"/>
  <c r="O3074" i="1"/>
  <c r="P3074" i="1" s="1"/>
  <c r="N3074" i="1"/>
  <c r="M3074" i="1"/>
  <c r="L3074" i="1"/>
  <c r="K3074" i="1"/>
  <c r="I3074" i="1"/>
  <c r="O3073" i="1"/>
  <c r="P3073" i="1" s="1"/>
  <c r="N3073" i="1"/>
  <c r="M3073" i="1"/>
  <c r="L3073" i="1"/>
  <c r="K3073" i="1"/>
  <c r="I3073" i="1"/>
  <c r="O3072" i="1"/>
  <c r="P3072" i="1" s="1"/>
  <c r="N3072" i="1"/>
  <c r="M3072" i="1"/>
  <c r="L3072" i="1"/>
  <c r="K3072" i="1"/>
  <c r="I3072" i="1"/>
  <c r="O3071" i="1"/>
  <c r="P3071" i="1" s="1"/>
  <c r="N3071" i="1"/>
  <c r="M3071" i="1"/>
  <c r="L3071" i="1"/>
  <c r="K3071" i="1"/>
  <c r="I3071" i="1"/>
  <c r="O3070" i="1"/>
  <c r="P3070" i="1" s="1"/>
  <c r="N3070" i="1"/>
  <c r="M3070" i="1"/>
  <c r="L3070" i="1"/>
  <c r="K3070" i="1"/>
  <c r="I3070" i="1"/>
  <c r="O3069" i="1"/>
  <c r="P3069" i="1" s="1"/>
  <c r="N3069" i="1"/>
  <c r="M3069" i="1"/>
  <c r="L3069" i="1"/>
  <c r="K3069" i="1"/>
  <c r="I3069" i="1"/>
  <c r="O3068" i="1"/>
  <c r="P3068" i="1" s="1"/>
  <c r="N3068" i="1"/>
  <c r="M3068" i="1"/>
  <c r="L3068" i="1"/>
  <c r="K3068" i="1"/>
  <c r="I3068" i="1"/>
  <c r="O3067" i="1"/>
  <c r="P3067" i="1" s="1"/>
  <c r="N3067" i="1"/>
  <c r="M3067" i="1"/>
  <c r="L3067" i="1"/>
  <c r="K3067" i="1"/>
  <c r="I3067" i="1"/>
  <c r="O3066" i="1"/>
  <c r="P3066" i="1" s="1"/>
  <c r="N3066" i="1"/>
  <c r="M3066" i="1"/>
  <c r="L3066" i="1"/>
  <c r="K3066" i="1"/>
  <c r="I3066" i="1"/>
  <c r="O3065" i="1"/>
  <c r="P3065" i="1" s="1"/>
  <c r="N3065" i="1"/>
  <c r="M3065" i="1"/>
  <c r="L3065" i="1"/>
  <c r="K3065" i="1"/>
  <c r="I3065" i="1"/>
  <c r="O3064" i="1"/>
  <c r="P3064" i="1" s="1"/>
  <c r="N3064" i="1"/>
  <c r="M3064" i="1"/>
  <c r="L3064" i="1"/>
  <c r="K3064" i="1"/>
  <c r="I3064" i="1"/>
  <c r="O3063" i="1"/>
  <c r="P3063" i="1" s="1"/>
  <c r="N3063" i="1"/>
  <c r="M3063" i="1"/>
  <c r="L3063" i="1"/>
  <c r="K3063" i="1"/>
  <c r="I3063" i="1"/>
  <c r="O3062" i="1"/>
  <c r="P3062" i="1" s="1"/>
  <c r="N3062" i="1"/>
  <c r="M3062" i="1"/>
  <c r="L3062" i="1"/>
  <c r="K3062" i="1"/>
  <c r="I3062" i="1"/>
  <c r="O3061" i="1"/>
  <c r="P3061" i="1" s="1"/>
  <c r="N3061" i="1"/>
  <c r="M3061" i="1"/>
  <c r="L3061" i="1"/>
  <c r="K3061" i="1"/>
  <c r="I3061" i="1"/>
  <c r="O3060" i="1"/>
  <c r="P3060" i="1" s="1"/>
  <c r="N3060" i="1"/>
  <c r="M3060" i="1"/>
  <c r="L3060" i="1"/>
  <c r="K3060" i="1"/>
  <c r="I3060" i="1"/>
  <c r="O3059" i="1"/>
  <c r="P3059" i="1" s="1"/>
  <c r="N3059" i="1"/>
  <c r="M3059" i="1"/>
  <c r="L3059" i="1"/>
  <c r="K3059" i="1"/>
  <c r="I3059" i="1"/>
  <c r="O3058" i="1"/>
  <c r="P3058" i="1" s="1"/>
  <c r="N3058" i="1"/>
  <c r="M3058" i="1"/>
  <c r="L3058" i="1"/>
  <c r="K3058" i="1"/>
  <c r="I3058" i="1"/>
  <c r="O3057" i="1"/>
  <c r="P3057" i="1" s="1"/>
  <c r="N3057" i="1"/>
  <c r="M3057" i="1"/>
  <c r="L3057" i="1"/>
  <c r="K3057" i="1"/>
  <c r="I3057" i="1"/>
  <c r="O3056" i="1"/>
  <c r="P3056" i="1" s="1"/>
  <c r="N3056" i="1"/>
  <c r="M3056" i="1"/>
  <c r="L3056" i="1"/>
  <c r="K3056" i="1"/>
  <c r="I3056" i="1"/>
  <c r="O3055" i="1"/>
  <c r="P3055" i="1" s="1"/>
  <c r="N3055" i="1"/>
  <c r="M3055" i="1"/>
  <c r="L3055" i="1"/>
  <c r="K3055" i="1"/>
  <c r="I3055" i="1"/>
  <c r="O3054" i="1"/>
  <c r="P3054" i="1" s="1"/>
  <c r="N3054" i="1"/>
  <c r="M3054" i="1"/>
  <c r="L3054" i="1"/>
  <c r="K3054" i="1"/>
  <c r="I3054" i="1"/>
  <c r="O3053" i="1"/>
  <c r="P3053" i="1" s="1"/>
  <c r="N3053" i="1"/>
  <c r="M3053" i="1"/>
  <c r="L3053" i="1"/>
  <c r="K3053" i="1"/>
  <c r="I3053" i="1"/>
  <c r="O3052" i="1"/>
  <c r="P3052" i="1" s="1"/>
  <c r="N3052" i="1"/>
  <c r="M3052" i="1"/>
  <c r="L3052" i="1"/>
  <c r="K3052" i="1"/>
  <c r="I3052" i="1"/>
  <c r="O3051" i="1"/>
  <c r="P3051" i="1" s="1"/>
  <c r="N3051" i="1"/>
  <c r="M3051" i="1"/>
  <c r="L3051" i="1"/>
  <c r="K3051" i="1"/>
  <c r="I3051" i="1"/>
  <c r="O3050" i="1"/>
  <c r="P3050" i="1" s="1"/>
  <c r="N3050" i="1"/>
  <c r="M3050" i="1"/>
  <c r="L3050" i="1"/>
  <c r="K3050" i="1"/>
  <c r="I3050" i="1"/>
  <c r="O3049" i="1"/>
  <c r="P3049" i="1" s="1"/>
  <c r="N3049" i="1"/>
  <c r="M3049" i="1"/>
  <c r="L3049" i="1"/>
  <c r="K3049" i="1"/>
  <c r="I3049" i="1"/>
  <c r="O3048" i="1"/>
  <c r="P3048" i="1" s="1"/>
  <c r="N3048" i="1"/>
  <c r="M3048" i="1"/>
  <c r="L3048" i="1"/>
  <c r="K3048" i="1"/>
  <c r="I3048" i="1"/>
  <c r="O3047" i="1"/>
  <c r="P3047" i="1" s="1"/>
  <c r="N3047" i="1"/>
  <c r="M3047" i="1"/>
  <c r="L3047" i="1"/>
  <c r="K3047" i="1"/>
  <c r="I3047" i="1"/>
  <c r="O3046" i="1"/>
  <c r="P3046" i="1" s="1"/>
  <c r="N3046" i="1"/>
  <c r="M3046" i="1"/>
  <c r="L3046" i="1"/>
  <c r="K3046" i="1"/>
  <c r="I3046" i="1"/>
  <c r="O3045" i="1"/>
  <c r="P3045" i="1" s="1"/>
  <c r="N3045" i="1"/>
  <c r="M3045" i="1"/>
  <c r="L3045" i="1"/>
  <c r="K3045" i="1"/>
  <c r="I3045" i="1"/>
  <c r="O3044" i="1"/>
  <c r="P3044" i="1" s="1"/>
  <c r="N3044" i="1"/>
  <c r="M3044" i="1"/>
  <c r="L3044" i="1"/>
  <c r="K3044" i="1"/>
  <c r="I3044" i="1"/>
  <c r="O3043" i="1"/>
  <c r="P3043" i="1" s="1"/>
  <c r="N3043" i="1"/>
  <c r="M3043" i="1"/>
  <c r="L3043" i="1"/>
  <c r="K3043" i="1"/>
  <c r="I3043" i="1"/>
  <c r="O3042" i="1"/>
  <c r="P3042" i="1" s="1"/>
  <c r="N3042" i="1"/>
  <c r="M3042" i="1"/>
  <c r="L3042" i="1"/>
  <c r="K3042" i="1"/>
  <c r="I3042" i="1"/>
  <c r="O3041" i="1"/>
  <c r="P3041" i="1" s="1"/>
  <c r="N3041" i="1"/>
  <c r="M3041" i="1"/>
  <c r="L3041" i="1"/>
  <c r="K3041" i="1"/>
  <c r="I3041" i="1"/>
  <c r="O3040" i="1"/>
  <c r="P3040" i="1" s="1"/>
  <c r="N3040" i="1"/>
  <c r="M3040" i="1"/>
  <c r="L3040" i="1"/>
  <c r="K3040" i="1"/>
  <c r="I3040" i="1"/>
  <c r="O3039" i="1"/>
  <c r="P3039" i="1" s="1"/>
  <c r="N3039" i="1"/>
  <c r="M3039" i="1"/>
  <c r="L3039" i="1"/>
  <c r="K3039" i="1"/>
  <c r="I3039" i="1"/>
  <c r="O3038" i="1"/>
  <c r="P3038" i="1" s="1"/>
  <c r="N3038" i="1"/>
  <c r="M3038" i="1"/>
  <c r="L3038" i="1"/>
  <c r="K3038" i="1"/>
  <c r="I3038" i="1"/>
  <c r="O3037" i="1"/>
  <c r="P3037" i="1" s="1"/>
  <c r="N3037" i="1"/>
  <c r="M3037" i="1"/>
  <c r="L3037" i="1"/>
  <c r="K3037" i="1"/>
  <c r="I3037" i="1"/>
  <c r="O3036" i="1"/>
  <c r="P3036" i="1" s="1"/>
  <c r="N3036" i="1"/>
  <c r="M3036" i="1"/>
  <c r="L3036" i="1"/>
  <c r="K3036" i="1"/>
  <c r="I3036" i="1"/>
  <c r="O3035" i="1"/>
  <c r="P3035" i="1" s="1"/>
  <c r="N3035" i="1"/>
  <c r="M3035" i="1"/>
  <c r="L3035" i="1"/>
  <c r="K3035" i="1"/>
  <c r="I3035" i="1"/>
  <c r="O3034" i="1"/>
  <c r="P3034" i="1" s="1"/>
  <c r="N3034" i="1"/>
  <c r="M3034" i="1"/>
  <c r="L3034" i="1"/>
  <c r="K3034" i="1"/>
  <c r="I3034" i="1"/>
  <c r="O3033" i="1"/>
  <c r="P3033" i="1" s="1"/>
  <c r="N3033" i="1"/>
  <c r="M3033" i="1"/>
  <c r="L3033" i="1"/>
  <c r="K3033" i="1"/>
  <c r="I3033" i="1"/>
  <c r="O3032" i="1"/>
  <c r="P3032" i="1" s="1"/>
  <c r="N3032" i="1"/>
  <c r="M3032" i="1"/>
  <c r="L3032" i="1"/>
  <c r="K3032" i="1"/>
  <c r="I3032" i="1"/>
  <c r="O3031" i="1"/>
  <c r="P3031" i="1" s="1"/>
  <c r="N3031" i="1"/>
  <c r="M3031" i="1"/>
  <c r="L3031" i="1"/>
  <c r="K3031" i="1"/>
  <c r="I3031" i="1"/>
  <c r="O3030" i="1"/>
  <c r="P3030" i="1" s="1"/>
  <c r="N3030" i="1"/>
  <c r="M3030" i="1"/>
  <c r="L3030" i="1"/>
  <c r="K3030" i="1"/>
  <c r="I3030" i="1"/>
  <c r="O3029" i="1"/>
  <c r="P3029" i="1" s="1"/>
  <c r="N3029" i="1"/>
  <c r="M3029" i="1"/>
  <c r="L3029" i="1"/>
  <c r="K3029" i="1"/>
  <c r="I3029" i="1"/>
  <c r="O3028" i="1"/>
  <c r="P3028" i="1" s="1"/>
  <c r="N3028" i="1"/>
  <c r="M3028" i="1"/>
  <c r="L3028" i="1"/>
  <c r="K3028" i="1"/>
  <c r="I3028" i="1"/>
  <c r="O3027" i="1"/>
  <c r="P3027" i="1" s="1"/>
  <c r="N3027" i="1"/>
  <c r="M3027" i="1"/>
  <c r="L3027" i="1"/>
  <c r="K3027" i="1"/>
  <c r="I3027" i="1"/>
  <c r="O3026" i="1"/>
  <c r="P3026" i="1" s="1"/>
  <c r="N3026" i="1"/>
  <c r="M3026" i="1"/>
  <c r="L3026" i="1"/>
  <c r="K3026" i="1"/>
  <c r="I3026" i="1"/>
  <c r="O3025" i="1"/>
  <c r="P3025" i="1" s="1"/>
  <c r="N3025" i="1"/>
  <c r="M3025" i="1"/>
  <c r="L3025" i="1"/>
  <c r="K3025" i="1"/>
  <c r="I3025" i="1"/>
  <c r="O3024" i="1"/>
  <c r="P3024" i="1" s="1"/>
  <c r="N3024" i="1"/>
  <c r="M3024" i="1"/>
  <c r="L3024" i="1"/>
  <c r="K3024" i="1"/>
  <c r="I3024" i="1"/>
  <c r="O3023" i="1"/>
  <c r="P3023" i="1" s="1"/>
  <c r="N3023" i="1"/>
  <c r="M3023" i="1"/>
  <c r="L3023" i="1"/>
  <c r="K3023" i="1"/>
  <c r="I3023" i="1"/>
  <c r="O3022" i="1"/>
  <c r="P3022" i="1" s="1"/>
  <c r="N3022" i="1"/>
  <c r="M3022" i="1"/>
  <c r="L3022" i="1"/>
  <c r="K3022" i="1"/>
  <c r="I3022" i="1"/>
  <c r="O3021" i="1"/>
  <c r="P3021" i="1" s="1"/>
  <c r="N3021" i="1"/>
  <c r="M3021" i="1"/>
  <c r="L3021" i="1"/>
  <c r="K3021" i="1"/>
  <c r="I3021" i="1"/>
  <c r="O3020" i="1"/>
  <c r="P3020" i="1" s="1"/>
  <c r="N3020" i="1"/>
  <c r="M3020" i="1"/>
  <c r="L3020" i="1"/>
  <c r="K3020" i="1"/>
  <c r="I3020" i="1"/>
  <c r="O3019" i="1"/>
  <c r="P3019" i="1" s="1"/>
  <c r="N3019" i="1"/>
  <c r="M3019" i="1"/>
  <c r="L3019" i="1"/>
  <c r="K3019" i="1"/>
  <c r="I3019" i="1"/>
  <c r="O3018" i="1"/>
  <c r="P3018" i="1" s="1"/>
  <c r="N3018" i="1"/>
  <c r="M3018" i="1"/>
  <c r="L3018" i="1"/>
  <c r="K3018" i="1"/>
  <c r="I3018" i="1"/>
  <c r="O3017" i="1"/>
  <c r="P3017" i="1" s="1"/>
  <c r="N3017" i="1"/>
  <c r="M3017" i="1"/>
  <c r="L3017" i="1"/>
  <c r="K3017" i="1"/>
  <c r="I3017" i="1"/>
  <c r="O3016" i="1"/>
  <c r="P3016" i="1" s="1"/>
  <c r="N3016" i="1"/>
  <c r="M3016" i="1"/>
  <c r="L3016" i="1"/>
  <c r="K3016" i="1"/>
  <c r="I3016" i="1"/>
  <c r="O3015" i="1"/>
  <c r="P3015" i="1" s="1"/>
  <c r="N3015" i="1"/>
  <c r="M3015" i="1"/>
  <c r="L3015" i="1"/>
  <c r="K3015" i="1"/>
  <c r="I3015" i="1"/>
  <c r="O3014" i="1"/>
  <c r="P3014" i="1" s="1"/>
  <c r="N3014" i="1"/>
  <c r="M3014" i="1"/>
  <c r="L3014" i="1"/>
  <c r="K3014" i="1"/>
  <c r="I3014" i="1"/>
  <c r="O3013" i="1"/>
  <c r="P3013" i="1" s="1"/>
  <c r="N3013" i="1"/>
  <c r="M3013" i="1"/>
  <c r="L3013" i="1"/>
  <c r="K3013" i="1"/>
  <c r="I3013" i="1"/>
  <c r="O3012" i="1"/>
  <c r="P3012" i="1" s="1"/>
  <c r="N3012" i="1"/>
  <c r="M3012" i="1"/>
  <c r="L3012" i="1"/>
  <c r="K3012" i="1"/>
  <c r="I3012" i="1"/>
  <c r="O3011" i="1"/>
  <c r="P3011" i="1" s="1"/>
  <c r="N3011" i="1"/>
  <c r="M3011" i="1"/>
  <c r="L3011" i="1"/>
  <c r="K3011" i="1"/>
  <c r="I3011" i="1"/>
  <c r="O3010" i="1"/>
  <c r="P3010" i="1" s="1"/>
  <c r="N3010" i="1"/>
  <c r="M3010" i="1"/>
  <c r="L3010" i="1"/>
  <c r="K3010" i="1"/>
  <c r="I3010" i="1"/>
  <c r="O3009" i="1"/>
  <c r="P3009" i="1" s="1"/>
  <c r="N3009" i="1"/>
  <c r="M3009" i="1"/>
  <c r="L3009" i="1"/>
  <c r="K3009" i="1"/>
  <c r="I3009" i="1"/>
  <c r="O3008" i="1"/>
  <c r="P3008" i="1" s="1"/>
  <c r="N3008" i="1"/>
  <c r="M3008" i="1"/>
  <c r="L3008" i="1"/>
  <c r="K3008" i="1"/>
  <c r="I3008" i="1"/>
  <c r="O3007" i="1"/>
  <c r="P3007" i="1" s="1"/>
  <c r="N3007" i="1"/>
  <c r="M3007" i="1"/>
  <c r="L3007" i="1"/>
  <c r="K3007" i="1"/>
  <c r="I3007" i="1"/>
  <c r="O3006" i="1"/>
  <c r="P3006" i="1" s="1"/>
  <c r="N3006" i="1"/>
  <c r="M3006" i="1"/>
  <c r="L3006" i="1"/>
  <c r="K3006" i="1"/>
  <c r="I3006" i="1"/>
  <c r="O3005" i="1"/>
  <c r="P3005" i="1" s="1"/>
  <c r="N3005" i="1"/>
  <c r="M3005" i="1"/>
  <c r="L3005" i="1"/>
  <c r="K3005" i="1"/>
  <c r="I3005" i="1"/>
  <c r="O3004" i="1"/>
  <c r="P3004" i="1" s="1"/>
  <c r="N3004" i="1"/>
  <c r="M3004" i="1"/>
  <c r="L3004" i="1"/>
  <c r="K3004" i="1"/>
  <c r="I3004" i="1"/>
  <c r="O3003" i="1"/>
  <c r="P3003" i="1" s="1"/>
  <c r="N3003" i="1"/>
  <c r="M3003" i="1"/>
  <c r="L3003" i="1"/>
  <c r="K3003" i="1"/>
  <c r="I3003" i="1"/>
  <c r="O3002" i="1"/>
  <c r="P3002" i="1" s="1"/>
  <c r="N3002" i="1"/>
  <c r="M3002" i="1"/>
  <c r="L3002" i="1"/>
  <c r="K3002" i="1"/>
  <c r="I3002" i="1"/>
  <c r="O3001" i="1"/>
  <c r="P3001" i="1" s="1"/>
  <c r="N3001" i="1"/>
  <c r="M3001" i="1"/>
  <c r="L3001" i="1"/>
  <c r="K3001" i="1"/>
  <c r="I3001" i="1"/>
  <c r="O3000" i="1"/>
  <c r="P3000" i="1" s="1"/>
  <c r="N3000" i="1"/>
  <c r="M3000" i="1"/>
  <c r="L3000" i="1"/>
  <c r="K3000" i="1"/>
  <c r="I3000" i="1"/>
  <c r="O2999" i="1"/>
  <c r="P2999" i="1" s="1"/>
  <c r="N2999" i="1"/>
  <c r="M2999" i="1"/>
  <c r="L2999" i="1"/>
  <c r="K2999" i="1"/>
  <c r="I2999" i="1"/>
  <c r="O2998" i="1"/>
  <c r="P2998" i="1" s="1"/>
  <c r="N2998" i="1"/>
  <c r="M2998" i="1"/>
  <c r="L2998" i="1"/>
  <c r="K2998" i="1"/>
  <c r="I2998" i="1"/>
  <c r="O2997" i="1"/>
  <c r="P2997" i="1" s="1"/>
  <c r="N2997" i="1"/>
  <c r="M2997" i="1"/>
  <c r="L2997" i="1"/>
  <c r="K2997" i="1"/>
  <c r="I2997" i="1"/>
  <c r="O2996" i="1"/>
  <c r="P2996" i="1" s="1"/>
  <c r="N2996" i="1"/>
  <c r="M2996" i="1"/>
  <c r="L2996" i="1"/>
  <c r="K2996" i="1"/>
  <c r="I2996" i="1"/>
  <c r="O2995" i="1"/>
  <c r="P2995" i="1" s="1"/>
  <c r="N2995" i="1"/>
  <c r="M2995" i="1"/>
  <c r="L2995" i="1"/>
  <c r="K2995" i="1"/>
  <c r="I2995" i="1"/>
  <c r="O2994" i="1"/>
  <c r="P2994" i="1" s="1"/>
  <c r="N2994" i="1"/>
  <c r="M2994" i="1"/>
  <c r="L2994" i="1"/>
  <c r="K2994" i="1"/>
  <c r="I2994" i="1"/>
  <c r="O2993" i="1"/>
  <c r="P2993" i="1" s="1"/>
  <c r="N2993" i="1"/>
  <c r="M2993" i="1"/>
  <c r="L2993" i="1"/>
  <c r="K2993" i="1"/>
  <c r="I2993" i="1"/>
  <c r="O2992" i="1"/>
  <c r="P2992" i="1" s="1"/>
  <c r="N2992" i="1"/>
  <c r="M2992" i="1"/>
  <c r="L2992" i="1"/>
  <c r="K2992" i="1"/>
  <c r="I2992" i="1"/>
  <c r="O2991" i="1"/>
  <c r="P2991" i="1" s="1"/>
  <c r="N2991" i="1"/>
  <c r="M2991" i="1"/>
  <c r="L2991" i="1"/>
  <c r="K2991" i="1"/>
  <c r="I2991" i="1"/>
  <c r="O2990" i="1"/>
  <c r="P2990" i="1" s="1"/>
  <c r="N2990" i="1"/>
  <c r="M2990" i="1"/>
  <c r="L2990" i="1"/>
  <c r="K2990" i="1"/>
  <c r="I2990" i="1"/>
  <c r="O2989" i="1"/>
  <c r="P2989" i="1" s="1"/>
  <c r="N2989" i="1"/>
  <c r="M2989" i="1"/>
  <c r="L2989" i="1"/>
  <c r="K2989" i="1"/>
  <c r="I2989" i="1"/>
  <c r="O2988" i="1"/>
  <c r="P2988" i="1" s="1"/>
  <c r="N2988" i="1"/>
  <c r="M2988" i="1"/>
  <c r="L2988" i="1"/>
  <c r="K2988" i="1"/>
  <c r="I2988" i="1"/>
  <c r="O2987" i="1"/>
  <c r="P2987" i="1" s="1"/>
  <c r="N2987" i="1"/>
  <c r="M2987" i="1"/>
  <c r="L2987" i="1"/>
  <c r="K2987" i="1"/>
  <c r="I2987" i="1"/>
  <c r="O2986" i="1"/>
  <c r="P2986" i="1" s="1"/>
  <c r="N2986" i="1"/>
  <c r="M2986" i="1"/>
  <c r="L2986" i="1"/>
  <c r="K2986" i="1"/>
  <c r="I2986" i="1"/>
  <c r="O2985" i="1"/>
  <c r="P2985" i="1" s="1"/>
  <c r="N2985" i="1"/>
  <c r="M2985" i="1"/>
  <c r="L2985" i="1"/>
  <c r="K2985" i="1"/>
  <c r="I2985" i="1"/>
  <c r="O2984" i="1"/>
  <c r="P2984" i="1" s="1"/>
  <c r="N2984" i="1"/>
  <c r="M2984" i="1"/>
  <c r="L2984" i="1"/>
  <c r="K2984" i="1"/>
  <c r="I2984" i="1"/>
  <c r="O2983" i="1"/>
  <c r="P2983" i="1" s="1"/>
  <c r="N2983" i="1"/>
  <c r="M2983" i="1"/>
  <c r="L2983" i="1"/>
  <c r="K2983" i="1"/>
  <c r="I2983" i="1"/>
  <c r="O2982" i="1"/>
  <c r="P2982" i="1" s="1"/>
  <c r="N2982" i="1"/>
  <c r="M2982" i="1"/>
  <c r="L2982" i="1"/>
  <c r="K2982" i="1"/>
  <c r="I2982" i="1"/>
  <c r="O2981" i="1"/>
  <c r="P2981" i="1" s="1"/>
  <c r="N2981" i="1"/>
  <c r="M2981" i="1"/>
  <c r="L2981" i="1"/>
  <c r="K2981" i="1"/>
  <c r="I2981" i="1"/>
  <c r="O2980" i="1"/>
  <c r="P2980" i="1" s="1"/>
  <c r="N2980" i="1"/>
  <c r="M2980" i="1"/>
  <c r="L2980" i="1"/>
  <c r="K2980" i="1"/>
  <c r="I2980" i="1"/>
  <c r="O2979" i="1"/>
  <c r="P2979" i="1" s="1"/>
  <c r="N2979" i="1"/>
  <c r="M2979" i="1"/>
  <c r="L2979" i="1"/>
  <c r="K2979" i="1"/>
  <c r="I2979" i="1"/>
  <c r="O2978" i="1"/>
  <c r="P2978" i="1" s="1"/>
  <c r="N2978" i="1"/>
  <c r="M2978" i="1"/>
  <c r="L2978" i="1"/>
  <c r="K2978" i="1"/>
  <c r="I2978" i="1"/>
  <c r="O2977" i="1"/>
  <c r="P2977" i="1" s="1"/>
  <c r="N2977" i="1"/>
  <c r="M2977" i="1"/>
  <c r="L2977" i="1"/>
  <c r="K2977" i="1"/>
  <c r="I2977" i="1"/>
  <c r="O2976" i="1"/>
  <c r="P2976" i="1" s="1"/>
  <c r="N2976" i="1"/>
  <c r="M2976" i="1"/>
  <c r="L2976" i="1"/>
  <c r="K2976" i="1"/>
  <c r="I2976" i="1"/>
  <c r="O2975" i="1"/>
  <c r="P2975" i="1" s="1"/>
  <c r="N2975" i="1"/>
  <c r="M2975" i="1"/>
  <c r="L2975" i="1"/>
  <c r="K2975" i="1"/>
  <c r="I2975" i="1"/>
  <c r="O2974" i="1"/>
  <c r="P2974" i="1" s="1"/>
  <c r="N2974" i="1"/>
  <c r="M2974" i="1"/>
  <c r="L2974" i="1"/>
  <c r="K2974" i="1"/>
  <c r="I2974" i="1"/>
  <c r="O2973" i="1"/>
  <c r="P2973" i="1" s="1"/>
  <c r="N2973" i="1"/>
  <c r="M2973" i="1"/>
  <c r="L2973" i="1"/>
  <c r="K2973" i="1"/>
  <c r="I2973" i="1"/>
  <c r="O2972" i="1"/>
  <c r="P2972" i="1" s="1"/>
  <c r="N2972" i="1"/>
  <c r="M2972" i="1"/>
  <c r="L2972" i="1"/>
  <c r="K2972" i="1"/>
  <c r="I2972" i="1"/>
  <c r="O2971" i="1"/>
  <c r="P2971" i="1" s="1"/>
  <c r="N2971" i="1"/>
  <c r="M2971" i="1"/>
  <c r="L2971" i="1"/>
  <c r="K2971" i="1"/>
  <c r="I2971" i="1"/>
  <c r="O2970" i="1"/>
  <c r="P2970" i="1" s="1"/>
  <c r="N2970" i="1"/>
  <c r="M2970" i="1"/>
  <c r="L2970" i="1"/>
  <c r="K2970" i="1"/>
  <c r="I2970" i="1"/>
  <c r="O2969" i="1"/>
  <c r="P2969" i="1" s="1"/>
  <c r="N2969" i="1"/>
  <c r="M2969" i="1"/>
  <c r="L2969" i="1"/>
  <c r="K2969" i="1"/>
  <c r="I2969" i="1"/>
  <c r="O2968" i="1"/>
  <c r="P2968" i="1" s="1"/>
  <c r="N2968" i="1"/>
  <c r="M2968" i="1"/>
  <c r="L2968" i="1"/>
  <c r="K2968" i="1"/>
  <c r="I2968" i="1"/>
  <c r="O2967" i="1"/>
  <c r="P2967" i="1" s="1"/>
  <c r="N2967" i="1"/>
  <c r="M2967" i="1"/>
  <c r="L2967" i="1"/>
  <c r="K2967" i="1"/>
  <c r="I2967" i="1"/>
  <c r="O2966" i="1"/>
  <c r="P2966" i="1" s="1"/>
  <c r="N2966" i="1"/>
  <c r="M2966" i="1"/>
  <c r="L2966" i="1"/>
  <c r="K2966" i="1"/>
  <c r="I2966" i="1"/>
  <c r="O2965" i="1"/>
  <c r="P2965" i="1" s="1"/>
  <c r="N2965" i="1"/>
  <c r="M2965" i="1"/>
  <c r="L2965" i="1"/>
  <c r="K2965" i="1"/>
  <c r="I2965" i="1"/>
  <c r="O2964" i="1"/>
  <c r="P2964" i="1" s="1"/>
  <c r="N2964" i="1"/>
  <c r="M2964" i="1"/>
  <c r="L2964" i="1"/>
  <c r="K2964" i="1"/>
  <c r="I2964" i="1"/>
  <c r="O2963" i="1"/>
  <c r="P2963" i="1" s="1"/>
  <c r="N2963" i="1"/>
  <c r="M2963" i="1"/>
  <c r="L2963" i="1"/>
  <c r="K2963" i="1"/>
  <c r="I2963" i="1"/>
  <c r="O2962" i="1"/>
  <c r="P2962" i="1" s="1"/>
  <c r="N2962" i="1"/>
  <c r="M2962" i="1"/>
  <c r="L2962" i="1"/>
  <c r="K2962" i="1"/>
  <c r="I2962" i="1"/>
  <c r="O2961" i="1"/>
  <c r="P2961" i="1" s="1"/>
  <c r="N2961" i="1"/>
  <c r="M2961" i="1"/>
  <c r="L2961" i="1"/>
  <c r="K2961" i="1"/>
  <c r="I2961" i="1"/>
  <c r="O2960" i="1"/>
  <c r="P2960" i="1" s="1"/>
  <c r="N2960" i="1"/>
  <c r="M2960" i="1"/>
  <c r="L2960" i="1"/>
  <c r="K2960" i="1"/>
  <c r="I2960" i="1"/>
  <c r="O2959" i="1"/>
  <c r="P2959" i="1" s="1"/>
  <c r="N2959" i="1"/>
  <c r="M2959" i="1"/>
  <c r="L2959" i="1"/>
  <c r="K2959" i="1"/>
  <c r="I2959" i="1"/>
  <c r="O2958" i="1"/>
  <c r="P2958" i="1" s="1"/>
  <c r="N2958" i="1"/>
  <c r="M2958" i="1"/>
  <c r="L2958" i="1"/>
  <c r="K2958" i="1"/>
  <c r="I2958" i="1"/>
  <c r="O2957" i="1"/>
  <c r="P2957" i="1" s="1"/>
  <c r="N2957" i="1"/>
  <c r="M2957" i="1"/>
  <c r="L2957" i="1"/>
  <c r="K2957" i="1"/>
  <c r="I2957" i="1"/>
  <c r="O2956" i="1"/>
  <c r="P2956" i="1" s="1"/>
  <c r="N2956" i="1"/>
  <c r="M2956" i="1"/>
  <c r="L2956" i="1"/>
  <c r="K2956" i="1"/>
  <c r="I2956" i="1"/>
  <c r="O2955" i="1"/>
  <c r="P2955" i="1" s="1"/>
  <c r="N2955" i="1"/>
  <c r="M2955" i="1"/>
  <c r="L2955" i="1"/>
  <c r="K2955" i="1"/>
  <c r="I2955" i="1"/>
  <c r="O2954" i="1"/>
  <c r="P2954" i="1" s="1"/>
  <c r="N2954" i="1"/>
  <c r="M2954" i="1"/>
  <c r="L2954" i="1"/>
  <c r="K2954" i="1"/>
  <c r="I2954" i="1"/>
  <c r="O2953" i="1"/>
  <c r="P2953" i="1" s="1"/>
  <c r="N2953" i="1"/>
  <c r="M2953" i="1"/>
  <c r="L2953" i="1"/>
  <c r="K2953" i="1"/>
  <c r="I2953" i="1"/>
  <c r="O2952" i="1"/>
  <c r="P2952" i="1" s="1"/>
  <c r="N2952" i="1"/>
  <c r="M2952" i="1"/>
  <c r="L2952" i="1"/>
  <c r="K2952" i="1"/>
  <c r="I2952" i="1"/>
  <c r="O2951" i="1"/>
  <c r="P2951" i="1" s="1"/>
  <c r="N2951" i="1"/>
  <c r="M2951" i="1"/>
  <c r="L2951" i="1"/>
  <c r="K2951" i="1"/>
  <c r="I2951" i="1"/>
  <c r="O2950" i="1"/>
  <c r="P2950" i="1" s="1"/>
  <c r="N2950" i="1"/>
  <c r="M2950" i="1"/>
  <c r="L2950" i="1"/>
  <c r="K2950" i="1"/>
  <c r="I2950" i="1"/>
  <c r="O2949" i="1"/>
  <c r="P2949" i="1" s="1"/>
  <c r="N2949" i="1"/>
  <c r="M2949" i="1"/>
  <c r="L2949" i="1"/>
  <c r="K2949" i="1"/>
  <c r="I2949" i="1"/>
  <c r="O2948" i="1"/>
  <c r="P2948" i="1" s="1"/>
  <c r="N2948" i="1"/>
  <c r="M2948" i="1"/>
  <c r="L2948" i="1"/>
  <c r="K2948" i="1"/>
  <c r="I2948" i="1"/>
  <c r="O2947" i="1"/>
  <c r="P2947" i="1" s="1"/>
  <c r="N2947" i="1"/>
  <c r="M2947" i="1"/>
  <c r="L2947" i="1"/>
  <c r="K2947" i="1"/>
  <c r="I2947" i="1"/>
  <c r="O2946" i="1"/>
  <c r="P2946" i="1" s="1"/>
  <c r="N2946" i="1"/>
  <c r="M2946" i="1"/>
  <c r="L2946" i="1"/>
  <c r="K2946" i="1"/>
  <c r="I2946" i="1"/>
  <c r="O2945" i="1"/>
  <c r="P2945" i="1" s="1"/>
  <c r="N2945" i="1"/>
  <c r="M2945" i="1"/>
  <c r="L2945" i="1"/>
  <c r="K2945" i="1"/>
  <c r="I2945" i="1"/>
  <c r="O2944" i="1"/>
  <c r="P2944" i="1" s="1"/>
  <c r="N2944" i="1"/>
  <c r="M2944" i="1"/>
  <c r="L2944" i="1"/>
  <c r="K2944" i="1"/>
  <c r="I2944" i="1"/>
  <c r="O2943" i="1"/>
  <c r="P2943" i="1" s="1"/>
  <c r="N2943" i="1"/>
  <c r="M2943" i="1"/>
  <c r="L2943" i="1"/>
  <c r="K2943" i="1"/>
  <c r="I2943" i="1"/>
  <c r="O2942" i="1"/>
  <c r="P2942" i="1" s="1"/>
  <c r="N2942" i="1"/>
  <c r="M2942" i="1"/>
  <c r="L2942" i="1"/>
  <c r="K2942" i="1"/>
  <c r="I2942" i="1"/>
  <c r="O2941" i="1"/>
  <c r="P2941" i="1" s="1"/>
  <c r="N2941" i="1"/>
  <c r="M2941" i="1"/>
  <c r="L2941" i="1"/>
  <c r="K2941" i="1"/>
  <c r="I2941" i="1"/>
  <c r="O2940" i="1"/>
  <c r="P2940" i="1" s="1"/>
  <c r="N2940" i="1"/>
  <c r="M2940" i="1"/>
  <c r="L2940" i="1"/>
  <c r="K2940" i="1"/>
  <c r="I2940" i="1"/>
  <c r="O2939" i="1"/>
  <c r="P2939" i="1" s="1"/>
  <c r="N2939" i="1"/>
  <c r="M2939" i="1"/>
  <c r="L2939" i="1"/>
  <c r="K2939" i="1"/>
  <c r="I2939" i="1"/>
  <c r="O2938" i="1"/>
  <c r="P2938" i="1" s="1"/>
  <c r="N2938" i="1"/>
  <c r="M2938" i="1"/>
  <c r="L2938" i="1"/>
  <c r="K2938" i="1"/>
  <c r="I2938" i="1"/>
  <c r="O2937" i="1"/>
  <c r="P2937" i="1" s="1"/>
  <c r="N2937" i="1"/>
  <c r="M2937" i="1"/>
  <c r="L2937" i="1"/>
  <c r="K2937" i="1"/>
  <c r="I2937" i="1"/>
  <c r="O2936" i="1"/>
  <c r="P2936" i="1" s="1"/>
  <c r="N2936" i="1"/>
  <c r="M2936" i="1"/>
  <c r="L2936" i="1"/>
  <c r="K2936" i="1"/>
  <c r="I2936" i="1"/>
  <c r="O2935" i="1"/>
  <c r="P2935" i="1" s="1"/>
  <c r="N2935" i="1"/>
  <c r="M2935" i="1"/>
  <c r="L2935" i="1"/>
  <c r="K2935" i="1"/>
  <c r="I2935" i="1"/>
  <c r="O2934" i="1"/>
  <c r="P2934" i="1" s="1"/>
  <c r="N2934" i="1"/>
  <c r="M2934" i="1"/>
  <c r="L2934" i="1"/>
  <c r="K2934" i="1"/>
  <c r="I2934" i="1"/>
  <c r="O2933" i="1"/>
  <c r="P2933" i="1" s="1"/>
  <c r="N2933" i="1"/>
  <c r="M2933" i="1"/>
  <c r="L2933" i="1"/>
  <c r="K2933" i="1"/>
  <c r="I2933" i="1"/>
  <c r="O2932" i="1"/>
  <c r="P2932" i="1" s="1"/>
  <c r="N2932" i="1"/>
  <c r="M2932" i="1"/>
  <c r="L2932" i="1"/>
  <c r="K2932" i="1"/>
  <c r="I2932" i="1"/>
  <c r="O2931" i="1"/>
  <c r="P2931" i="1" s="1"/>
  <c r="N2931" i="1"/>
  <c r="M2931" i="1"/>
  <c r="L2931" i="1"/>
  <c r="K2931" i="1"/>
  <c r="I2931" i="1"/>
  <c r="O2930" i="1"/>
  <c r="P2930" i="1" s="1"/>
  <c r="N2930" i="1"/>
  <c r="M2930" i="1"/>
  <c r="L2930" i="1"/>
  <c r="K2930" i="1"/>
  <c r="I2930" i="1"/>
  <c r="O2929" i="1"/>
  <c r="P2929" i="1" s="1"/>
  <c r="N2929" i="1"/>
  <c r="M2929" i="1"/>
  <c r="L2929" i="1"/>
  <c r="K2929" i="1"/>
  <c r="I2929" i="1"/>
  <c r="O2928" i="1"/>
  <c r="P2928" i="1" s="1"/>
  <c r="N2928" i="1"/>
  <c r="M2928" i="1"/>
  <c r="L2928" i="1"/>
  <c r="K2928" i="1"/>
  <c r="I2928" i="1"/>
  <c r="O2927" i="1"/>
  <c r="P2927" i="1" s="1"/>
  <c r="N2927" i="1"/>
  <c r="M2927" i="1"/>
  <c r="L2927" i="1"/>
  <c r="K2927" i="1"/>
  <c r="I2927" i="1"/>
  <c r="O2926" i="1"/>
  <c r="P2926" i="1" s="1"/>
  <c r="N2926" i="1"/>
  <c r="M2926" i="1"/>
  <c r="L2926" i="1"/>
  <c r="K2926" i="1"/>
  <c r="I2926" i="1"/>
  <c r="O2925" i="1"/>
  <c r="P2925" i="1" s="1"/>
  <c r="N2925" i="1"/>
  <c r="M2925" i="1"/>
  <c r="L2925" i="1"/>
  <c r="K2925" i="1"/>
  <c r="I2925" i="1"/>
  <c r="O2924" i="1"/>
  <c r="P2924" i="1" s="1"/>
  <c r="N2924" i="1"/>
  <c r="M2924" i="1"/>
  <c r="L2924" i="1"/>
  <c r="K2924" i="1"/>
  <c r="I2924" i="1"/>
  <c r="O2923" i="1"/>
  <c r="P2923" i="1" s="1"/>
  <c r="N2923" i="1"/>
  <c r="M2923" i="1"/>
  <c r="L2923" i="1"/>
  <c r="K2923" i="1"/>
  <c r="I2923" i="1"/>
  <c r="O2922" i="1"/>
  <c r="P2922" i="1" s="1"/>
  <c r="N2922" i="1"/>
  <c r="M2922" i="1"/>
  <c r="L2922" i="1"/>
  <c r="K2922" i="1"/>
  <c r="I2922" i="1"/>
  <c r="O2921" i="1"/>
  <c r="P2921" i="1" s="1"/>
  <c r="N2921" i="1"/>
  <c r="M2921" i="1"/>
  <c r="L2921" i="1"/>
  <c r="K2921" i="1"/>
  <c r="I2921" i="1"/>
  <c r="O2920" i="1"/>
  <c r="P2920" i="1" s="1"/>
  <c r="N2920" i="1"/>
  <c r="M2920" i="1"/>
  <c r="L2920" i="1"/>
  <c r="K2920" i="1"/>
  <c r="I2920" i="1"/>
  <c r="O2919" i="1"/>
  <c r="P2919" i="1" s="1"/>
  <c r="N2919" i="1"/>
  <c r="M2919" i="1"/>
  <c r="L2919" i="1"/>
  <c r="K2919" i="1"/>
  <c r="I2919" i="1"/>
  <c r="O2918" i="1"/>
  <c r="P2918" i="1" s="1"/>
  <c r="N2918" i="1"/>
  <c r="M2918" i="1"/>
  <c r="L2918" i="1"/>
  <c r="K2918" i="1"/>
  <c r="I2918" i="1"/>
  <c r="O2917" i="1"/>
  <c r="P2917" i="1" s="1"/>
  <c r="N2917" i="1"/>
  <c r="M2917" i="1"/>
  <c r="L2917" i="1"/>
  <c r="K2917" i="1"/>
  <c r="I2917" i="1"/>
  <c r="O2916" i="1"/>
  <c r="P2916" i="1" s="1"/>
  <c r="N2916" i="1"/>
  <c r="M2916" i="1"/>
  <c r="L2916" i="1"/>
  <c r="K2916" i="1"/>
  <c r="I2916" i="1"/>
  <c r="O2915" i="1"/>
  <c r="P2915" i="1" s="1"/>
  <c r="N2915" i="1"/>
  <c r="M2915" i="1"/>
  <c r="L2915" i="1"/>
  <c r="K2915" i="1"/>
  <c r="I2915" i="1"/>
  <c r="O2914" i="1"/>
  <c r="P2914" i="1" s="1"/>
  <c r="N2914" i="1"/>
  <c r="M2914" i="1"/>
  <c r="L2914" i="1"/>
  <c r="K2914" i="1"/>
  <c r="I2914" i="1"/>
  <c r="O2913" i="1"/>
  <c r="P2913" i="1" s="1"/>
  <c r="N2913" i="1"/>
  <c r="M2913" i="1"/>
  <c r="L2913" i="1"/>
  <c r="K2913" i="1"/>
  <c r="I2913" i="1"/>
  <c r="O2912" i="1"/>
  <c r="P2912" i="1" s="1"/>
  <c r="N2912" i="1"/>
  <c r="M2912" i="1"/>
  <c r="L2912" i="1"/>
  <c r="K2912" i="1"/>
  <c r="I2912" i="1"/>
  <c r="O2911" i="1"/>
  <c r="P2911" i="1" s="1"/>
  <c r="N2911" i="1"/>
  <c r="M2911" i="1"/>
  <c r="L2911" i="1"/>
  <c r="K2911" i="1"/>
  <c r="I2911" i="1"/>
  <c r="O2910" i="1"/>
  <c r="P2910" i="1" s="1"/>
  <c r="N2910" i="1"/>
  <c r="M2910" i="1"/>
  <c r="L2910" i="1"/>
  <c r="K2910" i="1"/>
  <c r="I2910" i="1"/>
  <c r="O2909" i="1"/>
  <c r="P2909" i="1" s="1"/>
  <c r="N2909" i="1"/>
  <c r="M2909" i="1"/>
  <c r="L2909" i="1"/>
  <c r="K2909" i="1"/>
  <c r="I2909" i="1"/>
  <c r="O2908" i="1"/>
  <c r="P2908" i="1" s="1"/>
  <c r="N2908" i="1"/>
  <c r="M2908" i="1"/>
  <c r="L2908" i="1"/>
  <c r="K2908" i="1"/>
  <c r="I2908" i="1"/>
  <c r="O2907" i="1"/>
  <c r="P2907" i="1" s="1"/>
  <c r="N2907" i="1"/>
  <c r="M2907" i="1"/>
  <c r="L2907" i="1"/>
  <c r="K2907" i="1"/>
  <c r="I2907" i="1"/>
  <c r="O2906" i="1"/>
  <c r="P2906" i="1" s="1"/>
  <c r="N2906" i="1"/>
  <c r="M2906" i="1"/>
  <c r="L2906" i="1"/>
  <c r="K2906" i="1"/>
  <c r="I2906" i="1"/>
  <c r="O2905" i="1"/>
  <c r="P2905" i="1" s="1"/>
  <c r="N2905" i="1"/>
  <c r="M2905" i="1"/>
  <c r="L2905" i="1"/>
  <c r="K2905" i="1"/>
  <c r="I2905" i="1"/>
  <c r="O2904" i="1"/>
  <c r="P2904" i="1" s="1"/>
  <c r="N2904" i="1"/>
  <c r="M2904" i="1"/>
  <c r="L2904" i="1"/>
  <c r="K2904" i="1"/>
  <c r="I2904" i="1"/>
  <c r="O2903" i="1"/>
  <c r="P2903" i="1" s="1"/>
  <c r="N2903" i="1"/>
  <c r="M2903" i="1"/>
  <c r="L2903" i="1"/>
  <c r="K2903" i="1"/>
  <c r="I2903" i="1"/>
  <c r="O2902" i="1"/>
  <c r="P2902" i="1" s="1"/>
  <c r="N2902" i="1"/>
  <c r="M2902" i="1"/>
  <c r="L2902" i="1"/>
  <c r="K2902" i="1"/>
  <c r="I2902" i="1"/>
  <c r="O2901" i="1"/>
  <c r="P2901" i="1" s="1"/>
  <c r="N2901" i="1"/>
  <c r="M2901" i="1"/>
  <c r="L2901" i="1"/>
  <c r="K2901" i="1"/>
  <c r="I2901" i="1"/>
  <c r="O2900" i="1"/>
  <c r="P2900" i="1" s="1"/>
  <c r="N2900" i="1"/>
  <c r="M2900" i="1"/>
  <c r="L2900" i="1"/>
  <c r="K2900" i="1"/>
  <c r="I2900" i="1"/>
  <c r="O2899" i="1"/>
  <c r="P2899" i="1" s="1"/>
  <c r="N2899" i="1"/>
  <c r="M2899" i="1"/>
  <c r="L2899" i="1"/>
  <c r="K2899" i="1"/>
  <c r="I2899" i="1"/>
  <c r="O2898" i="1"/>
  <c r="P2898" i="1" s="1"/>
  <c r="N2898" i="1"/>
  <c r="M2898" i="1"/>
  <c r="L2898" i="1"/>
  <c r="K2898" i="1"/>
  <c r="I2898" i="1"/>
  <c r="O2897" i="1"/>
  <c r="P2897" i="1" s="1"/>
  <c r="N2897" i="1"/>
  <c r="M2897" i="1"/>
  <c r="L2897" i="1"/>
  <c r="K2897" i="1"/>
  <c r="I2897" i="1"/>
  <c r="O2896" i="1"/>
  <c r="P2896" i="1" s="1"/>
  <c r="N2896" i="1"/>
  <c r="M2896" i="1"/>
  <c r="L2896" i="1"/>
  <c r="K2896" i="1"/>
  <c r="I2896" i="1"/>
  <c r="O2895" i="1"/>
  <c r="P2895" i="1" s="1"/>
  <c r="N2895" i="1"/>
  <c r="M2895" i="1"/>
  <c r="L2895" i="1"/>
  <c r="K2895" i="1"/>
  <c r="I2895" i="1"/>
  <c r="O2894" i="1"/>
  <c r="P2894" i="1" s="1"/>
  <c r="N2894" i="1"/>
  <c r="M2894" i="1"/>
  <c r="L2894" i="1"/>
  <c r="K2894" i="1"/>
  <c r="I2894" i="1"/>
  <c r="O2893" i="1"/>
  <c r="P2893" i="1" s="1"/>
  <c r="N2893" i="1"/>
  <c r="M2893" i="1"/>
  <c r="L2893" i="1"/>
  <c r="K2893" i="1"/>
  <c r="I2893" i="1"/>
  <c r="O2892" i="1"/>
  <c r="P2892" i="1" s="1"/>
  <c r="N2892" i="1"/>
  <c r="M2892" i="1"/>
  <c r="L2892" i="1"/>
  <c r="K2892" i="1"/>
  <c r="I2892" i="1"/>
  <c r="O2891" i="1"/>
  <c r="P2891" i="1" s="1"/>
  <c r="N2891" i="1"/>
  <c r="M2891" i="1"/>
  <c r="L2891" i="1"/>
  <c r="K2891" i="1"/>
  <c r="I2891" i="1"/>
  <c r="O2890" i="1"/>
  <c r="P2890" i="1" s="1"/>
  <c r="N2890" i="1"/>
  <c r="M2890" i="1"/>
  <c r="L2890" i="1"/>
  <c r="K2890" i="1"/>
  <c r="I2890" i="1"/>
  <c r="O2889" i="1"/>
  <c r="P2889" i="1" s="1"/>
  <c r="N2889" i="1"/>
  <c r="M2889" i="1"/>
  <c r="L2889" i="1"/>
  <c r="K2889" i="1"/>
  <c r="I2889" i="1"/>
  <c r="O2888" i="1"/>
  <c r="P2888" i="1" s="1"/>
  <c r="N2888" i="1"/>
  <c r="M2888" i="1"/>
  <c r="L2888" i="1"/>
  <c r="K2888" i="1"/>
  <c r="I2888" i="1"/>
  <c r="O2887" i="1"/>
  <c r="P2887" i="1" s="1"/>
  <c r="N2887" i="1"/>
  <c r="M2887" i="1"/>
  <c r="L2887" i="1"/>
  <c r="K2887" i="1"/>
  <c r="I2887" i="1"/>
  <c r="O2886" i="1"/>
  <c r="P2886" i="1" s="1"/>
  <c r="N2886" i="1"/>
  <c r="M2886" i="1"/>
  <c r="L2886" i="1"/>
  <c r="K2886" i="1"/>
  <c r="I2886" i="1"/>
  <c r="O2885" i="1"/>
  <c r="P2885" i="1" s="1"/>
  <c r="N2885" i="1"/>
  <c r="M2885" i="1"/>
  <c r="L2885" i="1"/>
  <c r="K2885" i="1"/>
  <c r="I2885" i="1"/>
  <c r="O2884" i="1"/>
  <c r="P2884" i="1" s="1"/>
  <c r="N2884" i="1"/>
  <c r="M2884" i="1"/>
  <c r="L2884" i="1"/>
  <c r="K2884" i="1"/>
  <c r="I2884" i="1"/>
  <c r="O2883" i="1"/>
  <c r="P2883" i="1" s="1"/>
  <c r="N2883" i="1"/>
  <c r="M2883" i="1"/>
  <c r="L2883" i="1"/>
  <c r="K2883" i="1"/>
  <c r="I2883" i="1"/>
  <c r="O2882" i="1"/>
  <c r="P2882" i="1" s="1"/>
  <c r="N2882" i="1"/>
  <c r="M2882" i="1"/>
  <c r="L2882" i="1"/>
  <c r="K2882" i="1"/>
  <c r="I2882" i="1"/>
  <c r="O2881" i="1"/>
  <c r="P2881" i="1" s="1"/>
  <c r="N2881" i="1"/>
  <c r="M2881" i="1"/>
  <c r="L2881" i="1"/>
  <c r="K2881" i="1"/>
  <c r="I2881" i="1"/>
  <c r="O2880" i="1"/>
  <c r="P2880" i="1" s="1"/>
  <c r="N2880" i="1"/>
  <c r="M2880" i="1"/>
  <c r="L2880" i="1"/>
  <c r="K2880" i="1"/>
  <c r="I2880" i="1"/>
  <c r="O2879" i="1"/>
  <c r="P2879" i="1" s="1"/>
  <c r="N2879" i="1"/>
  <c r="M2879" i="1"/>
  <c r="L2879" i="1"/>
  <c r="K2879" i="1"/>
  <c r="I2879" i="1"/>
  <c r="O2878" i="1"/>
  <c r="P2878" i="1" s="1"/>
  <c r="N2878" i="1"/>
  <c r="M2878" i="1"/>
  <c r="L2878" i="1"/>
  <c r="K2878" i="1"/>
  <c r="I2878" i="1"/>
  <c r="O2877" i="1"/>
  <c r="P2877" i="1" s="1"/>
  <c r="N2877" i="1"/>
  <c r="M2877" i="1"/>
  <c r="L2877" i="1"/>
  <c r="K2877" i="1"/>
  <c r="I2877" i="1"/>
  <c r="O2876" i="1"/>
  <c r="P2876" i="1" s="1"/>
  <c r="N2876" i="1"/>
  <c r="M2876" i="1"/>
  <c r="L2876" i="1"/>
  <c r="K2876" i="1"/>
  <c r="I2876" i="1"/>
  <c r="O2875" i="1"/>
  <c r="P2875" i="1" s="1"/>
  <c r="N2875" i="1"/>
  <c r="M2875" i="1"/>
  <c r="L2875" i="1"/>
  <c r="K2875" i="1"/>
  <c r="I2875" i="1"/>
  <c r="O2874" i="1"/>
  <c r="P2874" i="1" s="1"/>
  <c r="N2874" i="1"/>
  <c r="M2874" i="1"/>
  <c r="L2874" i="1"/>
  <c r="K2874" i="1"/>
  <c r="I2874" i="1"/>
  <c r="O2873" i="1"/>
  <c r="P2873" i="1" s="1"/>
  <c r="N2873" i="1"/>
  <c r="M2873" i="1"/>
  <c r="L2873" i="1"/>
  <c r="K2873" i="1"/>
  <c r="I2873" i="1"/>
  <c r="O2872" i="1"/>
  <c r="P2872" i="1" s="1"/>
  <c r="N2872" i="1"/>
  <c r="M2872" i="1"/>
  <c r="L2872" i="1"/>
  <c r="K2872" i="1"/>
  <c r="I2872" i="1"/>
  <c r="O2871" i="1"/>
  <c r="P2871" i="1" s="1"/>
  <c r="N2871" i="1"/>
  <c r="M2871" i="1"/>
  <c r="L2871" i="1"/>
  <c r="K2871" i="1"/>
  <c r="I2871" i="1"/>
  <c r="O2870" i="1"/>
  <c r="P2870" i="1" s="1"/>
  <c r="N2870" i="1"/>
  <c r="M2870" i="1"/>
  <c r="L2870" i="1"/>
  <c r="K2870" i="1"/>
  <c r="I2870" i="1"/>
  <c r="O2869" i="1"/>
  <c r="P2869" i="1" s="1"/>
  <c r="N2869" i="1"/>
  <c r="M2869" i="1"/>
  <c r="L2869" i="1"/>
  <c r="K2869" i="1"/>
  <c r="I2869" i="1"/>
  <c r="O2868" i="1"/>
  <c r="P2868" i="1" s="1"/>
  <c r="N2868" i="1"/>
  <c r="M2868" i="1"/>
  <c r="L2868" i="1"/>
  <c r="K2868" i="1"/>
  <c r="I2868" i="1"/>
  <c r="O2867" i="1"/>
  <c r="P2867" i="1" s="1"/>
  <c r="N2867" i="1"/>
  <c r="M2867" i="1"/>
  <c r="L2867" i="1"/>
  <c r="K2867" i="1"/>
  <c r="I2867" i="1"/>
  <c r="O2866" i="1"/>
  <c r="P2866" i="1" s="1"/>
  <c r="N2866" i="1"/>
  <c r="M2866" i="1"/>
  <c r="L2866" i="1"/>
  <c r="K2866" i="1"/>
  <c r="I2866" i="1"/>
  <c r="O2865" i="1"/>
  <c r="P2865" i="1" s="1"/>
  <c r="N2865" i="1"/>
  <c r="M2865" i="1"/>
  <c r="L2865" i="1"/>
  <c r="K2865" i="1"/>
  <c r="I2865" i="1"/>
  <c r="O2864" i="1"/>
  <c r="P2864" i="1" s="1"/>
  <c r="N2864" i="1"/>
  <c r="M2864" i="1"/>
  <c r="L2864" i="1"/>
  <c r="K2864" i="1"/>
  <c r="I2864" i="1"/>
  <c r="O2863" i="1"/>
  <c r="P2863" i="1" s="1"/>
  <c r="N2863" i="1"/>
  <c r="M2863" i="1"/>
  <c r="L2863" i="1"/>
  <c r="K2863" i="1"/>
  <c r="I2863" i="1"/>
  <c r="O2862" i="1"/>
  <c r="P2862" i="1" s="1"/>
  <c r="N2862" i="1"/>
  <c r="M2862" i="1"/>
  <c r="L2862" i="1"/>
  <c r="K2862" i="1"/>
  <c r="I2862" i="1"/>
  <c r="O2861" i="1"/>
  <c r="P2861" i="1" s="1"/>
  <c r="N2861" i="1"/>
  <c r="M2861" i="1"/>
  <c r="L2861" i="1"/>
  <c r="K2861" i="1"/>
  <c r="I2861" i="1"/>
  <c r="O2860" i="1"/>
  <c r="P2860" i="1" s="1"/>
  <c r="N2860" i="1"/>
  <c r="M2860" i="1"/>
  <c r="L2860" i="1"/>
  <c r="K2860" i="1"/>
  <c r="I2860" i="1"/>
  <c r="O2859" i="1"/>
  <c r="P2859" i="1" s="1"/>
  <c r="N2859" i="1"/>
  <c r="M2859" i="1"/>
  <c r="L2859" i="1"/>
  <c r="K2859" i="1"/>
  <c r="I2859" i="1"/>
  <c r="O2858" i="1"/>
  <c r="P2858" i="1" s="1"/>
  <c r="N2858" i="1"/>
  <c r="M2858" i="1"/>
  <c r="L2858" i="1"/>
  <c r="K2858" i="1"/>
  <c r="I2858" i="1"/>
  <c r="O2857" i="1"/>
  <c r="P2857" i="1" s="1"/>
  <c r="N2857" i="1"/>
  <c r="M2857" i="1"/>
  <c r="L2857" i="1"/>
  <c r="K2857" i="1"/>
  <c r="I2857" i="1"/>
  <c r="O2856" i="1"/>
  <c r="P2856" i="1" s="1"/>
  <c r="N2856" i="1"/>
  <c r="M2856" i="1"/>
  <c r="L2856" i="1"/>
  <c r="K2856" i="1"/>
  <c r="I2856" i="1"/>
  <c r="O2855" i="1"/>
  <c r="P2855" i="1" s="1"/>
  <c r="N2855" i="1"/>
  <c r="M2855" i="1"/>
  <c r="L2855" i="1"/>
  <c r="K2855" i="1"/>
  <c r="I2855" i="1"/>
  <c r="O2854" i="1"/>
  <c r="P2854" i="1" s="1"/>
  <c r="N2854" i="1"/>
  <c r="M2854" i="1"/>
  <c r="L2854" i="1"/>
  <c r="K2854" i="1"/>
  <c r="I2854" i="1"/>
  <c r="O2853" i="1"/>
  <c r="P2853" i="1" s="1"/>
  <c r="N2853" i="1"/>
  <c r="M2853" i="1"/>
  <c r="L2853" i="1"/>
  <c r="K2853" i="1"/>
  <c r="I2853" i="1"/>
  <c r="O2852" i="1"/>
  <c r="P2852" i="1" s="1"/>
  <c r="N2852" i="1"/>
  <c r="M2852" i="1"/>
  <c r="L2852" i="1"/>
  <c r="K2852" i="1"/>
  <c r="I2852" i="1"/>
  <c r="O2851" i="1"/>
  <c r="P2851" i="1" s="1"/>
  <c r="N2851" i="1"/>
  <c r="M2851" i="1"/>
  <c r="L2851" i="1"/>
  <c r="K2851" i="1"/>
  <c r="I2851" i="1"/>
  <c r="O2850" i="1"/>
  <c r="P2850" i="1" s="1"/>
  <c r="N2850" i="1"/>
  <c r="M2850" i="1"/>
  <c r="L2850" i="1"/>
  <c r="K2850" i="1"/>
  <c r="I2850" i="1"/>
  <c r="O2849" i="1"/>
  <c r="P2849" i="1" s="1"/>
  <c r="N2849" i="1"/>
  <c r="M2849" i="1"/>
  <c r="L2849" i="1"/>
  <c r="K2849" i="1"/>
  <c r="I2849" i="1"/>
  <c r="O2848" i="1"/>
  <c r="P2848" i="1" s="1"/>
  <c r="N2848" i="1"/>
  <c r="M2848" i="1"/>
  <c r="L2848" i="1"/>
  <c r="K2848" i="1"/>
  <c r="I2848" i="1"/>
  <c r="O2847" i="1"/>
  <c r="P2847" i="1" s="1"/>
  <c r="N2847" i="1"/>
  <c r="M2847" i="1"/>
  <c r="L2847" i="1"/>
  <c r="K2847" i="1"/>
  <c r="I2847" i="1"/>
  <c r="O2846" i="1"/>
  <c r="P2846" i="1" s="1"/>
  <c r="N2846" i="1"/>
  <c r="M2846" i="1"/>
  <c r="L2846" i="1"/>
  <c r="K2846" i="1"/>
  <c r="I2846" i="1"/>
  <c r="O2845" i="1"/>
  <c r="P2845" i="1" s="1"/>
  <c r="N2845" i="1"/>
  <c r="M2845" i="1"/>
  <c r="L2845" i="1"/>
  <c r="K2845" i="1"/>
  <c r="I2845" i="1"/>
  <c r="O2844" i="1"/>
  <c r="P2844" i="1" s="1"/>
  <c r="N2844" i="1"/>
  <c r="M2844" i="1"/>
  <c r="L2844" i="1"/>
  <c r="K2844" i="1"/>
  <c r="I2844" i="1"/>
  <c r="O2843" i="1"/>
  <c r="P2843" i="1" s="1"/>
  <c r="N2843" i="1"/>
  <c r="M2843" i="1"/>
  <c r="L2843" i="1"/>
  <c r="K2843" i="1"/>
  <c r="I2843" i="1"/>
  <c r="O2842" i="1"/>
  <c r="P2842" i="1" s="1"/>
  <c r="N2842" i="1"/>
  <c r="M2842" i="1"/>
  <c r="L2842" i="1"/>
  <c r="K2842" i="1"/>
  <c r="I2842" i="1"/>
  <c r="O2841" i="1"/>
  <c r="P2841" i="1" s="1"/>
  <c r="N2841" i="1"/>
  <c r="M2841" i="1"/>
  <c r="L2841" i="1"/>
  <c r="K2841" i="1"/>
  <c r="I2841" i="1"/>
  <c r="O2840" i="1"/>
  <c r="P2840" i="1" s="1"/>
  <c r="N2840" i="1"/>
  <c r="M2840" i="1"/>
  <c r="L2840" i="1"/>
  <c r="K2840" i="1"/>
  <c r="I2840" i="1"/>
  <c r="O2839" i="1"/>
  <c r="P2839" i="1" s="1"/>
  <c r="N2839" i="1"/>
  <c r="M2839" i="1"/>
  <c r="L2839" i="1"/>
  <c r="K2839" i="1"/>
  <c r="I2839" i="1"/>
  <c r="O2838" i="1"/>
  <c r="P2838" i="1" s="1"/>
  <c r="N2838" i="1"/>
  <c r="M2838" i="1"/>
  <c r="L2838" i="1"/>
  <c r="K2838" i="1"/>
  <c r="I2838" i="1"/>
  <c r="O2837" i="1"/>
  <c r="P2837" i="1" s="1"/>
  <c r="N2837" i="1"/>
  <c r="M2837" i="1"/>
  <c r="L2837" i="1"/>
  <c r="K2837" i="1"/>
  <c r="I2837" i="1"/>
  <c r="O2836" i="1"/>
  <c r="P2836" i="1" s="1"/>
  <c r="N2836" i="1"/>
  <c r="M2836" i="1"/>
  <c r="L2836" i="1"/>
  <c r="K2836" i="1"/>
  <c r="I2836" i="1"/>
  <c r="O2835" i="1"/>
  <c r="P2835" i="1" s="1"/>
  <c r="N2835" i="1"/>
  <c r="M2835" i="1"/>
  <c r="L2835" i="1"/>
  <c r="K2835" i="1"/>
  <c r="I2835" i="1"/>
  <c r="O2834" i="1"/>
  <c r="P2834" i="1" s="1"/>
  <c r="N2834" i="1"/>
  <c r="M2834" i="1"/>
  <c r="L2834" i="1"/>
  <c r="K2834" i="1"/>
  <c r="I2834" i="1"/>
  <c r="O2833" i="1"/>
  <c r="P2833" i="1" s="1"/>
  <c r="N2833" i="1"/>
  <c r="M2833" i="1"/>
  <c r="L2833" i="1"/>
  <c r="K2833" i="1"/>
  <c r="I2833" i="1"/>
  <c r="O2832" i="1"/>
  <c r="P2832" i="1" s="1"/>
  <c r="N2832" i="1"/>
  <c r="M2832" i="1"/>
  <c r="L2832" i="1"/>
  <c r="K2832" i="1"/>
  <c r="I2832" i="1"/>
  <c r="O2831" i="1"/>
  <c r="P2831" i="1" s="1"/>
  <c r="N2831" i="1"/>
  <c r="M2831" i="1"/>
  <c r="L2831" i="1"/>
  <c r="K2831" i="1"/>
  <c r="I2831" i="1"/>
  <c r="O2830" i="1"/>
  <c r="P2830" i="1" s="1"/>
  <c r="N2830" i="1"/>
  <c r="M2830" i="1"/>
  <c r="L2830" i="1"/>
  <c r="K2830" i="1"/>
  <c r="I2830" i="1"/>
  <c r="O2829" i="1"/>
  <c r="P2829" i="1" s="1"/>
  <c r="N2829" i="1"/>
  <c r="M2829" i="1"/>
  <c r="L2829" i="1"/>
  <c r="K2829" i="1"/>
  <c r="I2829" i="1"/>
  <c r="O2828" i="1"/>
  <c r="P2828" i="1" s="1"/>
  <c r="N2828" i="1"/>
  <c r="M2828" i="1"/>
  <c r="L2828" i="1"/>
  <c r="K2828" i="1"/>
  <c r="I2828" i="1"/>
  <c r="O2827" i="1"/>
  <c r="P2827" i="1" s="1"/>
  <c r="N2827" i="1"/>
  <c r="M2827" i="1"/>
  <c r="L2827" i="1"/>
  <c r="K2827" i="1"/>
  <c r="I2827" i="1"/>
  <c r="O2826" i="1"/>
  <c r="P2826" i="1" s="1"/>
  <c r="N2826" i="1"/>
  <c r="M2826" i="1"/>
  <c r="L2826" i="1"/>
  <c r="K2826" i="1"/>
  <c r="I2826" i="1"/>
  <c r="O2825" i="1"/>
  <c r="P2825" i="1" s="1"/>
  <c r="N2825" i="1"/>
  <c r="M2825" i="1"/>
  <c r="L2825" i="1"/>
  <c r="K2825" i="1"/>
  <c r="I2825" i="1"/>
  <c r="O2824" i="1"/>
  <c r="P2824" i="1" s="1"/>
  <c r="N2824" i="1"/>
  <c r="M2824" i="1"/>
  <c r="L2824" i="1"/>
  <c r="K2824" i="1"/>
  <c r="I2824" i="1"/>
  <c r="O2823" i="1"/>
  <c r="P2823" i="1" s="1"/>
  <c r="N2823" i="1"/>
  <c r="M2823" i="1"/>
  <c r="L2823" i="1"/>
  <c r="K2823" i="1"/>
  <c r="I2823" i="1"/>
  <c r="O2822" i="1"/>
  <c r="P2822" i="1" s="1"/>
  <c r="N2822" i="1"/>
  <c r="M2822" i="1"/>
  <c r="L2822" i="1"/>
  <c r="K2822" i="1"/>
  <c r="I2822" i="1"/>
  <c r="O2821" i="1"/>
  <c r="P2821" i="1" s="1"/>
  <c r="N2821" i="1"/>
  <c r="M2821" i="1"/>
  <c r="L2821" i="1"/>
  <c r="K2821" i="1"/>
  <c r="I2821" i="1"/>
  <c r="O2820" i="1"/>
  <c r="P2820" i="1" s="1"/>
  <c r="N2820" i="1"/>
  <c r="M2820" i="1"/>
  <c r="L2820" i="1"/>
  <c r="K2820" i="1"/>
  <c r="I2820" i="1"/>
  <c r="O2819" i="1"/>
  <c r="P2819" i="1" s="1"/>
  <c r="N2819" i="1"/>
  <c r="M2819" i="1"/>
  <c r="L2819" i="1"/>
  <c r="K2819" i="1"/>
  <c r="I2819" i="1"/>
  <c r="O2818" i="1"/>
  <c r="P2818" i="1" s="1"/>
  <c r="N2818" i="1"/>
  <c r="M2818" i="1"/>
  <c r="L2818" i="1"/>
  <c r="K2818" i="1"/>
  <c r="I2818" i="1"/>
  <c r="O2817" i="1"/>
  <c r="P2817" i="1" s="1"/>
  <c r="N2817" i="1"/>
  <c r="M2817" i="1"/>
  <c r="L2817" i="1"/>
  <c r="K2817" i="1"/>
  <c r="I2817" i="1"/>
  <c r="O2816" i="1"/>
  <c r="P2816" i="1" s="1"/>
  <c r="N2816" i="1"/>
  <c r="M2816" i="1"/>
  <c r="L2816" i="1"/>
  <c r="K2816" i="1"/>
  <c r="I2816" i="1"/>
  <c r="O2815" i="1"/>
  <c r="P2815" i="1" s="1"/>
  <c r="N2815" i="1"/>
  <c r="M2815" i="1"/>
  <c r="L2815" i="1"/>
  <c r="K2815" i="1"/>
  <c r="I2815" i="1"/>
  <c r="O2814" i="1"/>
  <c r="P2814" i="1" s="1"/>
  <c r="N2814" i="1"/>
  <c r="M2814" i="1"/>
  <c r="L2814" i="1"/>
  <c r="K2814" i="1"/>
  <c r="I2814" i="1"/>
  <c r="O2813" i="1"/>
  <c r="P2813" i="1" s="1"/>
  <c r="N2813" i="1"/>
  <c r="M2813" i="1"/>
  <c r="L2813" i="1"/>
  <c r="K2813" i="1"/>
  <c r="I2813" i="1"/>
  <c r="O2812" i="1"/>
  <c r="P2812" i="1" s="1"/>
  <c r="N2812" i="1"/>
  <c r="M2812" i="1"/>
  <c r="L2812" i="1"/>
  <c r="K2812" i="1"/>
  <c r="I2812" i="1"/>
  <c r="O2811" i="1"/>
  <c r="P2811" i="1" s="1"/>
  <c r="N2811" i="1"/>
  <c r="M2811" i="1"/>
  <c r="L2811" i="1"/>
  <c r="K2811" i="1"/>
  <c r="I2811" i="1"/>
  <c r="O2810" i="1"/>
  <c r="P2810" i="1" s="1"/>
  <c r="N2810" i="1"/>
  <c r="M2810" i="1"/>
  <c r="L2810" i="1"/>
  <c r="K2810" i="1"/>
  <c r="I2810" i="1"/>
  <c r="O2809" i="1"/>
  <c r="P2809" i="1" s="1"/>
  <c r="N2809" i="1"/>
  <c r="M2809" i="1"/>
  <c r="L2809" i="1"/>
  <c r="K2809" i="1"/>
  <c r="I2809" i="1"/>
  <c r="O2808" i="1"/>
  <c r="P2808" i="1" s="1"/>
  <c r="N2808" i="1"/>
  <c r="M2808" i="1"/>
  <c r="L2808" i="1"/>
  <c r="K2808" i="1"/>
  <c r="I2808" i="1"/>
  <c r="O2807" i="1"/>
  <c r="P2807" i="1" s="1"/>
  <c r="N2807" i="1"/>
  <c r="M2807" i="1"/>
  <c r="L2807" i="1"/>
  <c r="K2807" i="1"/>
  <c r="I2807" i="1"/>
  <c r="O2806" i="1"/>
  <c r="P2806" i="1" s="1"/>
  <c r="N2806" i="1"/>
  <c r="M2806" i="1"/>
  <c r="L2806" i="1"/>
  <c r="K2806" i="1"/>
  <c r="I2806" i="1"/>
  <c r="O2805" i="1"/>
  <c r="P2805" i="1" s="1"/>
  <c r="N2805" i="1"/>
  <c r="M2805" i="1"/>
  <c r="L2805" i="1"/>
  <c r="K2805" i="1"/>
  <c r="I2805" i="1"/>
  <c r="O2804" i="1"/>
  <c r="P2804" i="1" s="1"/>
  <c r="N2804" i="1"/>
  <c r="M2804" i="1"/>
  <c r="L2804" i="1"/>
  <c r="K2804" i="1"/>
  <c r="I2804" i="1"/>
  <c r="O2803" i="1"/>
  <c r="P2803" i="1" s="1"/>
  <c r="N2803" i="1"/>
  <c r="M2803" i="1"/>
  <c r="L2803" i="1"/>
  <c r="K2803" i="1"/>
  <c r="I2803" i="1"/>
  <c r="O2802" i="1"/>
  <c r="P2802" i="1" s="1"/>
  <c r="N2802" i="1"/>
  <c r="M2802" i="1"/>
  <c r="L2802" i="1"/>
  <c r="K2802" i="1"/>
  <c r="I2802" i="1"/>
  <c r="O2801" i="1"/>
  <c r="P2801" i="1" s="1"/>
  <c r="N2801" i="1"/>
  <c r="M2801" i="1"/>
  <c r="L2801" i="1"/>
  <c r="K2801" i="1"/>
  <c r="I2801" i="1"/>
  <c r="O2800" i="1"/>
  <c r="P2800" i="1" s="1"/>
  <c r="N2800" i="1"/>
  <c r="M2800" i="1"/>
  <c r="L2800" i="1"/>
  <c r="K2800" i="1"/>
  <c r="I2800" i="1"/>
  <c r="O2799" i="1"/>
  <c r="P2799" i="1" s="1"/>
  <c r="N2799" i="1"/>
  <c r="M2799" i="1"/>
  <c r="L2799" i="1"/>
  <c r="K2799" i="1"/>
  <c r="I2799" i="1"/>
  <c r="O2798" i="1"/>
  <c r="P2798" i="1" s="1"/>
  <c r="N2798" i="1"/>
  <c r="M2798" i="1"/>
  <c r="L2798" i="1"/>
  <c r="K2798" i="1"/>
  <c r="I2798" i="1"/>
  <c r="O2797" i="1"/>
  <c r="P2797" i="1" s="1"/>
  <c r="N2797" i="1"/>
  <c r="M2797" i="1"/>
  <c r="L2797" i="1"/>
  <c r="K2797" i="1"/>
  <c r="I2797" i="1"/>
  <c r="O2796" i="1"/>
  <c r="P2796" i="1" s="1"/>
  <c r="N2796" i="1"/>
  <c r="M2796" i="1"/>
  <c r="L2796" i="1"/>
  <c r="K2796" i="1"/>
  <c r="I2796" i="1"/>
  <c r="O2795" i="1"/>
  <c r="P2795" i="1" s="1"/>
  <c r="N2795" i="1"/>
  <c r="M2795" i="1"/>
  <c r="L2795" i="1"/>
  <c r="K2795" i="1"/>
  <c r="I2795" i="1"/>
  <c r="O2794" i="1"/>
  <c r="P2794" i="1" s="1"/>
  <c r="N2794" i="1"/>
  <c r="M2794" i="1"/>
  <c r="L2794" i="1"/>
  <c r="K2794" i="1"/>
  <c r="I2794" i="1"/>
  <c r="O2793" i="1"/>
  <c r="P2793" i="1" s="1"/>
  <c r="N2793" i="1"/>
  <c r="M2793" i="1"/>
  <c r="L2793" i="1"/>
  <c r="K2793" i="1"/>
  <c r="I2793" i="1"/>
  <c r="O2792" i="1"/>
  <c r="P2792" i="1" s="1"/>
  <c r="N2792" i="1"/>
  <c r="M2792" i="1"/>
  <c r="L2792" i="1"/>
  <c r="K2792" i="1"/>
  <c r="I2792" i="1"/>
  <c r="O2791" i="1"/>
  <c r="P2791" i="1" s="1"/>
  <c r="N2791" i="1"/>
  <c r="M2791" i="1"/>
  <c r="L2791" i="1"/>
  <c r="K2791" i="1"/>
  <c r="I2791" i="1"/>
  <c r="O2790" i="1"/>
  <c r="P2790" i="1" s="1"/>
  <c r="N2790" i="1"/>
  <c r="M2790" i="1"/>
  <c r="L2790" i="1"/>
  <c r="K2790" i="1"/>
  <c r="I2790" i="1"/>
  <c r="O2789" i="1"/>
  <c r="P2789" i="1" s="1"/>
  <c r="N2789" i="1"/>
  <c r="M2789" i="1"/>
  <c r="L2789" i="1"/>
  <c r="K2789" i="1"/>
  <c r="I2789" i="1"/>
  <c r="O2788" i="1"/>
  <c r="P2788" i="1" s="1"/>
  <c r="N2788" i="1"/>
  <c r="M2788" i="1"/>
  <c r="L2788" i="1"/>
  <c r="K2788" i="1"/>
  <c r="I2788" i="1"/>
  <c r="O2787" i="1"/>
  <c r="P2787" i="1" s="1"/>
  <c r="N2787" i="1"/>
  <c r="M2787" i="1"/>
  <c r="L2787" i="1"/>
  <c r="K2787" i="1"/>
  <c r="I2787" i="1"/>
  <c r="O2786" i="1"/>
  <c r="P2786" i="1" s="1"/>
  <c r="N2786" i="1"/>
  <c r="M2786" i="1"/>
  <c r="L2786" i="1"/>
  <c r="K2786" i="1"/>
  <c r="I2786" i="1"/>
  <c r="O2785" i="1"/>
  <c r="P2785" i="1" s="1"/>
  <c r="N2785" i="1"/>
  <c r="M2785" i="1"/>
  <c r="L2785" i="1"/>
  <c r="K2785" i="1"/>
  <c r="I2785" i="1"/>
  <c r="O2784" i="1"/>
  <c r="P2784" i="1" s="1"/>
  <c r="N2784" i="1"/>
  <c r="M2784" i="1"/>
  <c r="L2784" i="1"/>
  <c r="K2784" i="1"/>
  <c r="I2784" i="1"/>
  <c r="O2783" i="1"/>
  <c r="P2783" i="1" s="1"/>
  <c r="N2783" i="1"/>
  <c r="M2783" i="1"/>
  <c r="L2783" i="1"/>
  <c r="K2783" i="1"/>
  <c r="I2783" i="1"/>
  <c r="O2782" i="1"/>
  <c r="P2782" i="1" s="1"/>
  <c r="N2782" i="1"/>
  <c r="M2782" i="1"/>
  <c r="L2782" i="1"/>
  <c r="K2782" i="1"/>
  <c r="I2782" i="1"/>
  <c r="O2781" i="1"/>
  <c r="P2781" i="1" s="1"/>
  <c r="N2781" i="1"/>
  <c r="M2781" i="1"/>
  <c r="L2781" i="1"/>
  <c r="K2781" i="1"/>
  <c r="I2781" i="1"/>
  <c r="O2780" i="1"/>
  <c r="P2780" i="1" s="1"/>
  <c r="N2780" i="1"/>
  <c r="M2780" i="1"/>
  <c r="L2780" i="1"/>
  <c r="K2780" i="1"/>
  <c r="I2780" i="1"/>
  <c r="O2779" i="1"/>
  <c r="P2779" i="1" s="1"/>
  <c r="N2779" i="1"/>
  <c r="M2779" i="1"/>
  <c r="L2779" i="1"/>
  <c r="K2779" i="1"/>
  <c r="I2779" i="1"/>
  <c r="O2778" i="1"/>
  <c r="P2778" i="1" s="1"/>
  <c r="N2778" i="1"/>
  <c r="M2778" i="1"/>
  <c r="L2778" i="1"/>
  <c r="K2778" i="1"/>
  <c r="I2778" i="1"/>
  <c r="O2777" i="1"/>
  <c r="P2777" i="1" s="1"/>
  <c r="N2777" i="1"/>
  <c r="M2777" i="1"/>
  <c r="L2777" i="1"/>
  <c r="K2777" i="1"/>
  <c r="I2777" i="1"/>
  <c r="O2776" i="1"/>
  <c r="P2776" i="1" s="1"/>
  <c r="N2776" i="1"/>
  <c r="M2776" i="1"/>
  <c r="L2776" i="1"/>
  <c r="K2776" i="1"/>
  <c r="I2776" i="1"/>
  <c r="O2775" i="1"/>
  <c r="P2775" i="1" s="1"/>
  <c r="N2775" i="1"/>
  <c r="M2775" i="1"/>
  <c r="L2775" i="1"/>
  <c r="K2775" i="1"/>
  <c r="I2775" i="1"/>
  <c r="O2774" i="1"/>
  <c r="P2774" i="1" s="1"/>
  <c r="N2774" i="1"/>
  <c r="M2774" i="1"/>
  <c r="L2774" i="1"/>
  <c r="K2774" i="1"/>
  <c r="I2774" i="1"/>
  <c r="O2773" i="1"/>
  <c r="P2773" i="1" s="1"/>
  <c r="N2773" i="1"/>
  <c r="M2773" i="1"/>
  <c r="L2773" i="1"/>
  <c r="K2773" i="1"/>
  <c r="I2773" i="1"/>
  <c r="O2772" i="1"/>
  <c r="P2772" i="1" s="1"/>
  <c r="N2772" i="1"/>
  <c r="M2772" i="1"/>
  <c r="L2772" i="1"/>
  <c r="K2772" i="1"/>
  <c r="I2772" i="1"/>
  <c r="O2771" i="1"/>
  <c r="P2771" i="1" s="1"/>
  <c r="N2771" i="1"/>
  <c r="M2771" i="1"/>
  <c r="L2771" i="1"/>
  <c r="K2771" i="1"/>
  <c r="I2771" i="1"/>
  <c r="O2770" i="1"/>
  <c r="P2770" i="1" s="1"/>
  <c r="N2770" i="1"/>
  <c r="M2770" i="1"/>
  <c r="L2770" i="1"/>
  <c r="K2770" i="1"/>
  <c r="I2770" i="1"/>
  <c r="O2769" i="1"/>
  <c r="P2769" i="1" s="1"/>
  <c r="N2769" i="1"/>
  <c r="M2769" i="1"/>
  <c r="L2769" i="1"/>
  <c r="K2769" i="1"/>
  <c r="I2769" i="1"/>
  <c r="O2768" i="1"/>
  <c r="P2768" i="1" s="1"/>
  <c r="N2768" i="1"/>
  <c r="M2768" i="1"/>
  <c r="L2768" i="1"/>
  <c r="K2768" i="1"/>
  <c r="I2768" i="1"/>
  <c r="O2767" i="1"/>
  <c r="P2767" i="1" s="1"/>
  <c r="N2767" i="1"/>
  <c r="M2767" i="1"/>
  <c r="L2767" i="1"/>
  <c r="K2767" i="1"/>
  <c r="I2767" i="1"/>
  <c r="O2766" i="1"/>
  <c r="P2766" i="1" s="1"/>
  <c r="N2766" i="1"/>
  <c r="M2766" i="1"/>
  <c r="L2766" i="1"/>
  <c r="K2766" i="1"/>
  <c r="I2766" i="1"/>
  <c r="O2765" i="1"/>
  <c r="P2765" i="1" s="1"/>
  <c r="N2765" i="1"/>
  <c r="M2765" i="1"/>
  <c r="L2765" i="1"/>
  <c r="K2765" i="1"/>
  <c r="I2765" i="1"/>
  <c r="O2764" i="1"/>
  <c r="P2764" i="1" s="1"/>
  <c r="N2764" i="1"/>
  <c r="M2764" i="1"/>
  <c r="L2764" i="1"/>
  <c r="K2764" i="1"/>
  <c r="I2764" i="1"/>
  <c r="O2763" i="1"/>
  <c r="P2763" i="1" s="1"/>
  <c r="N2763" i="1"/>
  <c r="M2763" i="1"/>
  <c r="L2763" i="1"/>
  <c r="K2763" i="1"/>
  <c r="I2763" i="1"/>
  <c r="O2762" i="1"/>
  <c r="P2762" i="1" s="1"/>
  <c r="N2762" i="1"/>
  <c r="M2762" i="1"/>
  <c r="L2762" i="1"/>
  <c r="K2762" i="1"/>
  <c r="I2762" i="1"/>
  <c r="O2761" i="1"/>
  <c r="P2761" i="1" s="1"/>
  <c r="N2761" i="1"/>
  <c r="M2761" i="1"/>
  <c r="L2761" i="1"/>
  <c r="K2761" i="1"/>
  <c r="I2761" i="1"/>
  <c r="O2760" i="1"/>
  <c r="P2760" i="1" s="1"/>
  <c r="N2760" i="1"/>
  <c r="M2760" i="1"/>
  <c r="L2760" i="1"/>
  <c r="K2760" i="1"/>
  <c r="I2760" i="1"/>
  <c r="O2759" i="1"/>
  <c r="P2759" i="1" s="1"/>
  <c r="N2759" i="1"/>
  <c r="M2759" i="1"/>
  <c r="L2759" i="1"/>
  <c r="K2759" i="1"/>
  <c r="I2759" i="1"/>
  <c r="O2758" i="1"/>
  <c r="P2758" i="1" s="1"/>
  <c r="N2758" i="1"/>
  <c r="M2758" i="1"/>
  <c r="L2758" i="1"/>
  <c r="K2758" i="1"/>
  <c r="I2758" i="1"/>
  <c r="O2757" i="1"/>
  <c r="P2757" i="1" s="1"/>
  <c r="N2757" i="1"/>
  <c r="M2757" i="1"/>
  <c r="L2757" i="1"/>
  <c r="K2757" i="1"/>
  <c r="I2757" i="1"/>
  <c r="O2756" i="1"/>
  <c r="P2756" i="1" s="1"/>
  <c r="N2756" i="1"/>
  <c r="M2756" i="1"/>
  <c r="L2756" i="1"/>
  <c r="K2756" i="1"/>
  <c r="I2756" i="1"/>
  <c r="O2755" i="1"/>
  <c r="P2755" i="1" s="1"/>
  <c r="N2755" i="1"/>
  <c r="M2755" i="1"/>
  <c r="L2755" i="1"/>
  <c r="K2755" i="1"/>
  <c r="I2755" i="1"/>
  <c r="O2754" i="1"/>
  <c r="P2754" i="1" s="1"/>
  <c r="N2754" i="1"/>
  <c r="M2754" i="1"/>
  <c r="L2754" i="1"/>
  <c r="K2754" i="1"/>
  <c r="I2754" i="1"/>
  <c r="O2753" i="1"/>
  <c r="P2753" i="1" s="1"/>
  <c r="N2753" i="1"/>
  <c r="M2753" i="1"/>
  <c r="L2753" i="1"/>
  <c r="K2753" i="1"/>
  <c r="I2753" i="1"/>
  <c r="O2752" i="1"/>
  <c r="P2752" i="1" s="1"/>
  <c r="N2752" i="1"/>
  <c r="M2752" i="1"/>
  <c r="L2752" i="1"/>
  <c r="K2752" i="1"/>
  <c r="I2752" i="1"/>
  <c r="O2751" i="1"/>
  <c r="P2751" i="1" s="1"/>
  <c r="N2751" i="1"/>
  <c r="M2751" i="1"/>
  <c r="L2751" i="1"/>
  <c r="K2751" i="1"/>
  <c r="I2751" i="1"/>
  <c r="O2750" i="1"/>
  <c r="P2750" i="1" s="1"/>
  <c r="N2750" i="1"/>
  <c r="M2750" i="1"/>
  <c r="L2750" i="1"/>
  <c r="K2750" i="1"/>
  <c r="I2750" i="1"/>
  <c r="O2749" i="1"/>
  <c r="P2749" i="1" s="1"/>
  <c r="N2749" i="1"/>
  <c r="M2749" i="1"/>
  <c r="L2749" i="1"/>
  <c r="K2749" i="1"/>
  <c r="I2749" i="1"/>
  <c r="O2748" i="1"/>
  <c r="P2748" i="1" s="1"/>
  <c r="N2748" i="1"/>
  <c r="M2748" i="1"/>
  <c r="L2748" i="1"/>
  <c r="K2748" i="1"/>
  <c r="I2748" i="1"/>
  <c r="O2747" i="1"/>
  <c r="P2747" i="1" s="1"/>
  <c r="N2747" i="1"/>
  <c r="M2747" i="1"/>
  <c r="L2747" i="1"/>
  <c r="K2747" i="1"/>
  <c r="I2747" i="1"/>
  <c r="O2746" i="1"/>
  <c r="P2746" i="1" s="1"/>
  <c r="N2746" i="1"/>
  <c r="M2746" i="1"/>
  <c r="L2746" i="1"/>
  <c r="K2746" i="1"/>
  <c r="I2746" i="1"/>
  <c r="O2745" i="1"/>
  <c r="P2745" i="1" s="1"/>
  <c r="N2745" i="1"/>
  <c r="M2745" i="1"/>
  <c r="L2745" i="1"/>
  <c r="K2745" i="1"/>
  <c r="I2745" i="1"/>
  <c r="O2744" i="1"/>
  <c r="P2744" i="1" s="1"/>
  <c r="N2744" i="1"/>
  <c r="M2744" i="1"/>
  <c r="L2744" i="1"/>
  <c r="K2744" i="1"/>
  <c r="I2744" i="1"/>
  <c r="O2743" i="1"/>
  <c r="P2743" i="1" s="1"/>
  <c r="N2743" i="1"/>
  <c r="M2743" i="1"/>
  <c r="L2743" i="1"/>
  <c r="K2743" i="1"/>
  <c r="I2743" i="1"/>
  <c r="O2742" i="1"/>
  <c r="P2742" i="1" s="1"/>
  <c r="N2742" i="1"/>
  <c r="M2742" i="1"/>
  <c r="L2742" i="1"/>
  <c r="K2742" i="1"/>
  <c r="I2742" i="1"/>
  <c r="O2741" i="1"/>
  <c r="P2741" i="1" s="1"/>
  <c r="N2741" i="1"/>
  <c r="M2741" i="1"/>
  <c r="L2741" i="1"/>
  <c r="K2741" i="1"/>
  <c r="I2741" i="1"/>
  <c r="O2740" i="1"/>
  <c r="P2740" i="1" s="1"/>
  <c r="N2740" i="1"/>
  <c r="M2740" i="1"/>
  <c r="L2740" i="1"/>
  <c r="K2740" i="1"/>
  <c r="I2740" i="1"/>
  <c r="O2739" i="1"/>
  <c r="P2739" i="1" s="1"/>
  <c r="N2739" i="1"/>
  <c r="M2739" i="1"/>
  <c r="L2739" i="1"/>
  <c r="K2739" i="1"/>
  <c r="I2739" i="1"/>
  <c r="O2738" i="1"/>
  <c r="P2738" i="1" s="1"/>
  <c r="N2738" i="1"/>
  <c r="M2738" i="1"/>
  <c r="L2738" i="1"/>
  <c r="K2738" i="1"/>
  <c r="I2738" i="1"/>
  <c r="O2737" i="1"/>
  <c r="P2737" i="1" s="1"/>
  <c r="N2737" i="1"/>
  <c r="M2737" i="1"/>
  <c r="L2737" i="1"/>
  <c r="K2737" i="1"/>
  <c r="I2737" i="1"/>
  <c r="O2736" i="1"/>
  <c r="P2736" i="1" s="1"/>
  <c r="N2736" i="1"/>
  <c r="M2736" i="1"/>
  <c r="L2736" i="1"/>
  <c r="K2736" i="1"/>
  <c r="I2736" i="1"/>
  <c r="O2735" i="1"/>
  <c r="P2735" i="1" s="1"/>
  <c r="N2735" i="1"/>
  <c r="M2735" i="1"/>
  <c r="L2735" i="1"/>
  <c r="K2735" i="1"/>
  <c r="I2735" i="1"/>
  <c r="O2734" i="1"/>
  <c r="P2734" i="1" s="1"/>
  <c r="N2734" i="1"/>
  <c r="M2734" i="1"/>
  <c r="L2734" i="1"/>
  <c r="K2734" i="1"/>
  <c r="I2734" i="1"/>
  <c r="O2733" i="1"/>
  <c r="P2733" i="1" s="1"/>
  <c r="N2733" i="1"/>
  <c r="M2733" i="1"/>
  <c r="L2733" i="1"/>
  <c r="K2733" i="1"/>
  <c r="I2733" i="1"/>
  <c r="O2732" i="1"/>
  <c r="P2732" i="1" s="1"/>
  <c r="N2732" i="1"/>
  <c r="M2732" i="1"/>
  <c r="L2732" i="1"/>
  <c r="K2732" i="1"/>
  <c r="I2732" i="1"/>
  <c r="O2731" i="1"/>
  <c r="P2731" i="1" s="1"/>
  <c r="N2731" i="1"/>
  <c r="M2731" i="1"/>
  <c r="L2731" i="1"/>
  <c r="K2731" i="1"/>
  <c r="I2731" i="1"/>
  <c r="O2730" i="1"/>
  <c r="P2730" i="1" s="1"/>
  <c r="N2730" i="1"/>
  <c r="M2730" i="1"/>
  <c r="L2730" i="1"/>
  <c r="K2730" i="1"/>
  <c r="I2730" i="1"/>
  <c r="O2729" i="1"/>
  <c r="P2729" i="1" s="1"/>
  <c r="N2729" i="1"/>
  <c r="M2729" i="1"/>
  <c r="L2729" i="1"/>
  <c r="K2729" i="1"/>
  <c r="I2729" i="1"/>
  <c r="O2728" i="1"/>
  <c r="P2728" i="1" s="1"/>
  <c r="N2728" i="1"/>
  <c r="M2728" i="1"/>
  <c r="L2728" i="1"/>
  <c r="K2728" i="1"/>
  <c r="I2728" i="1"/>
  <c r="O2727" i="1"/>
  <c r="P2727" i="1" s="1"/>
  <c r="N2727" i="1"/>
  <c r="M2727" i="1"/>
  <c r="L2727" i="1"/>
  <c r="K2727" i="1"/>
  <c r="I2727" i="1"/>
  <c r="O2726" i="1"/>
  <c r="P2726" i="1" s="1"/>
  <c r="N2726" i="1"/>
  <c r="M2726" i="1"/>
  <c r="L2726" i="1"/>
  <c r="K2726" i="1"/>
  <c r="I2726" i="1"/>
  <c r="O2725" i="1"/>
  <c r="P2725" i="1" s="1"/>
  <c r="N2725" i="1"/>
  <c r="M2725" i="1"/>
  <c r="L2725" i="1"/>
  <c r="K2725" i="1"/>
  <c r="I2725" i="1"/>
  <c r="O2724" i="1"/>
  <c r="P2724" i="1" s="1"/>
  <c r="N2724" i="1"/>
  <c r="M2724" i="1"/>
  <c r="L2724" i="1"/>
  <c r="K2724" i="1"/>
  <c r="I2724" i="1"/>
  <c r="O2723" i="1"/>
  <c r="P2723" i="1" s="1"/>
  <c r="N2723" i="1"/>
  <c r="M2723" i="1"/>
  <c r="L2723" i="1"/>
  <c r="K2723" i="1"/>
  <c r="I2723" i="1"/>
  <c r="O2722" i="1"/>
  <c r="P2722" i="1" s="1"/>
  <c r="N2722" i="1"/>
  <c r="M2722" i="1"/>
  <c r="L2722" i="1"/>
  <c r="K2722" i="1"/>
  <c r="I2722" i="1"/>
  <c r="O2721" i="1"/>
  <c r="P2721" i="1" s="1"/>
  <c r="N2721" i="1"/>
  <c r="M2721" i="1"/>
  <c r="L2721" i="1"/>
  <c r="K2721" i="1"/>
  <c r="I2721" i="1"/>
  <c r="O2720" i="1"/>
  <c r="P2720" i="1" s="1"/>
  <c r="N2720" i="1"/>
  <c r="M2720" i="1"/>
  <c r="L2720" i="1"/>
  <c r="K2720" i="1"/>
  <c r="I2720" i="1"/>
  <c r="O2719" i="1"/>
  <c r="P2719" i="1" s="1"/>
  <c r="N2719" i="1"/>
  <c r="M2719" i="1"/>
  <c r="L2719" i="1"/>
  <c r="K2719" i="1"/>
  <c r="I2719" i="1"/>
  <c r="O2718" i="1"/>
  <c r="P2718" i="1" s="1"/>
  <c r="N2718" i="1"/>
  <c r="M2718" i="1"/>
  <c r="L2718" i="1"/>
  <c r="K2718" i="1"/>
  <c r="I2718" i="1"/>
  <c r="O2717" i="1"/>
  <c r="P2717" i="1" s="1"/>
  <c r="N2717" i="1"/>
  <c r="M2717" i="1"/>
  <c r="L2717" i="1"/>
  <c r="K2717" i="1"/>
  <c r="I2717" i="1"/>
  <c r="O2716" i="1"/>
  <c r="P2716" i="1" s="1"/>
  <c r="N2716" i="1"/>
  <c r="M2716" i="1"/>
  <c r="L2716" i="1"/>
  <c r="K2716" i="1"/>
  <c r="I2716" i="1"/>
  <c r="O2715" i="1"/>
  <c r="P2715" i="1" s="1"/>
  <c r="N2715" i="1"/>
  <c r="M2715" i="1"/>
  <c r="L2715" i="1"/>
  <c r="K2715" i="1"/>
  <c r="I2715" i="1"/>
  <c r="O2714" i="1"/>
  <c r="P2714" i="1" s="1"/>
  <c r="N2714" i="1"/>
  <c r="M2714" i="1"/>
  <c r="L2714" i="1"/>
  <c r="K2714" i="1"/>
  <c r="I2714" i="1"/>
  <c r="O2713" i="1"/>
  <c r="P2713" i="1" s="1"/>
  <c r="N2713" i="1"/>
  <c r="M2713" i="1"/>
  <c r="L2713" i="1"/>
  <c r="K2713" i="1"/>
  <c r="I2713" i="1"/>
  <c r="O2712" i="1"/>
  <c r="P2712" i="1" s="1"/>
  <c r="N2712" i="1"/>
  <c r="M2712" i="1"/>
  <c r="L2712" i="1"/>
  <c r="K2712" i="1"/>
  <c r="I2712" i="1"/>
  <c r="O2711" i="1"/>
  <c r="P2711" i="1" s="1"/>
  <c r="N2711" i="1"/>
  <c r="M2711" i="1"/>
  <c r="L2711" i="1"/>
  <c r="K2711" i="1"/>
  <c r="I2711" i="1"/>
  <c r="O2710" i="1"/>
  <c r="P2710" i="1" s="1"/>
  <c r="N2710" i="1"/>
  <c r="M2710" i="1"/>
  <c r="L2710" i="1"/>
  <c r="K2710" i="1"/>
  <c r="I2710" i="1"/>
  <c r="O2709" i="1"/>
  <c r="P2709" i="1" s="1"/>
  <c r="N2709" i="1"/>
  <c r="M2709" i="1"/>
  <c r="L2709" i="1"/>
  <c r="K2709" i="1"/>
  <c r="I2709" i="1"/>
  <c r="O2708" i="1"/>
  <c r="P2708" i="1" s="1"/>
  <c r="N2708" i="1"/>
  <c r="M2708" i="1"/>
  <c r="L2708" i="1"/>
  <c r="K2708" i="1"/>
  <c r="I2708" i="1"/>
  <c r="O2707" i="1"/>
  <c r="P2707" i="1" s="1"/>
  <c r="N2707" i="1"/>
  <c r="M2707" i="1"/>
  <c r="L2707" i="1"/>
  <c r="K2707" i="1"/>
  <c r="I2707" i="1"/>
  <c r="O2706" i="1"/>
  <c r="P2706" i="1" s="1"/>
  <c r="N2706" i="1"/>
  <c r="M2706" i="1"/>
  <c r="L2706" i="1"/>
  <c r="K2706" i="1"/>
  <c r="I2706" i="1"/>
  <c r="O2705" i="1"/>
  <c r="P2705" i="1" s="1"/>
  <c r="N2705" i="1"/>
  <c r="M2705" i="1"/>
  <c r="L2705" i="1"/>
  <c r="K2705" i="1"/>
  <c r="I2705" i="1"/>
  <c r="O2704" i="1"/>
  <c r="P2704" i="1" s="1"/>
  <c r="N2704" i="1"/>
  <c r="M2704" i="1"/>
  <c r="L2704" i="1"/>
  <c r="K2704" i="1"/>
  <c r="I2704" i="1"/>
  <c r="O2703" i="1"/>
  <c r="P2703" i="1" s="1"/>
  <c r="N2703" i="1"/>
  <c r="M2703" i="1"/>
  <c r="L2703" i="1"/>
  <c r="K2703" i="1"/>
  <c r="I2703" i="1"/>
  <c r="O2702" i="1"/>
  <c r="P2702" i="1" s="1"/>
  <c r="N2702" i="1"/>
  <c r="M2702" i="1"/>
  <c r="L2702" i="1"/>
  <c r="K2702" i="1"/>
  <c r="I2702" i="1"/>
  <c r="O2701" i="1"/>
  <c r="P2701" i="1" s="1"/>
  <c r="N2701" i="1"/>
  <c r="M2701" i="1"/>
  <c r="L2701" i="1"/>
  <c r="K2701" i="1"/>
  <c r="I2701" i="1"/>
  <c r="O2700" i="1"/>
  <c r="P2700" i="1" s="1"/>
  <c r="N2700" i="1"/>
  <c r="M2700" i="1"/>
  <c r="L2700" i="1"/>
  <c r="K2700" i="1"/>
  <c r="I2700" i="1"/>
  <c r="O2699" i="1"/>
  <c r="P2699" i="1" s="1"/>
  <c r="N2699" i="1"/>
  <c r="M2699" i="1"/>
  <c r="L2699" i="1"/>
  <c r="K2699" i="1"/>
  <c r="I2699" i="1"/>
  <c r="O2698" i="1"/>
  <c r="P2698" i="1" s="1"/>
  <c r="N2698" i="1"/>
  <c r="M2698" i="1"/>
  <c r="L2698" i="1"/>
  <c r="K2698" i="1"/>
  <c r="I2698" i="1"/>
  <c r="O2697" i="1"/>
  <c r="P2697" i="1" s="1"/>
  <c r="N2697" i="1"/>
  <c r="M2697" i="1"/>
  <c r="L2697" i="1"/>
  <c r="K2697" i="1"/>
  <c r="I2697" i="1"/>
  <c r="O2696" i="1"/>
  <c r="P2696" i="1" s="1"/>
  <c r="N2696" i="1"/>
  <c r="M2696" i="1"/>
  <c r="L2696" i="1"/>
  <c r="K2696" i="1"/>
  <c r="I2696" i="1"/>
  <c r="O2695" i="1"/>
  <c r="P2695" i="1" s="1"/>
  <c r="N2695" i="1"/>
  <c r="M2695" i="1"/>
  <c r="L2695" i="1"/>
  <c r="K2695" i="1"/>
  <c r="I2695" i="1"/>
  <c r="O2694" i="1"/>
  <c r="P2694" i="1" s="1"/>
  <c r="N2694" i="1"/>
  <c r="M2694" i="1"/>
  <c r="L2694" i="1"/>
  <c r="K2694" i="1"/>
  <c r="I2694" i="1"/>
  <c r="O2693" i="1"/>
  <c r="P2693" i="1" s="1"/>
  <c r="N2693" i="1"/>
  <c r="M2693" i="1"/>
  <c r="L2693" i="1"/>
  <c r="K2693" i="1"/>
  <c r="I2693" i="1"/>
  <c r="O2692" i="1"/>
  <c r="P2692" i="1" s="1"/>
  <c r="N2692" i="1"/>
  <c r="M2692" i="1"/>
  <c r="L2692" i="1"/>
  <c r="K2692" i="1"/>
  <c r="I2692" i="1"/>
  <c r="O2691" i="1"/>
  <c r="P2691" i="1" s="1"/>
  <c r="N2691" i="1"/>
  <c r="M2691" i="1"/>
  <c r="L2691" i="1"/>
  <c r="K2691" i="1"/>
  <c r="I2691" i="1"/>
  <c r="O2690" i="1"/>
  <c r="P2690" i="1" s="1"/>
  <c r="N2690" i="1"/>
  <c r="M2690" i="1"/>
  <c r="L2690" i="1"/>
  <c r="K2690" i="1"/>
  <c r="I2690" i="1"/>
  <c r="O2689" i="1"/>
  <c r="P2689" i="1" s="1"/>
  <c r="N2689" i="1"/>
  <c r="M2689" i="1"/>
  <c r="L2689" i="1"/>
  <c r="K2689" i="1"/>
  <c r="I2689" i="1"/>
  <c r="O2688" i="1"/>
  <c r="P2688" i="1" s="1"/>
  <c r="N2688" i="1"/>
  <c r="M2688" i="1"/>
  <c r="L2688" i="1"/>
  <c r="K2688" i="1"/>
  <c r="I2688" i="1"/>
  <c r="O2687" i="1"/>
  <c r="P2687" i="1" s="1"/>
  <c r="N2687" i="1"/>
  <c r="M2687" i="1"/>
  <c r="L2687" i="1"/>
  <c r="K2687" i="1"/>
  <c r="I2687" i="1"/>
  <c r="O2686" i="1"/>
  <c r="P2686" i="1" s="1"/>
  <c r="N2686" i="1"/>
  <c r="M2686" i="1"/>
  <c r="L2686" i="1"/>
  <c r="K2686" i="1"/>
  <c r="I2686" i="1"/>
  <c r="O2685" i="1"/>
  <c r="P2685" i="1" s="1"/>
  <c r="N2685" i="1"/>
  <c r="M2685" i="1"/>
  <c r="L2685" i="1"/>
  <c r="K2685" i="1"/>
  <c r="I2685" i="1"/>
  <c r="O2684" i="1"/>
  <c r="P2684" i="1" s="1"/>
  <c r="N2684" i="1"/>
  <c r="M2684" i="1"/>
  <c r="L2684" i="1"/>
  <c r="K2684" i="1"/>
  <c r="I2684" i="1"/>
  <c r="O2683" i="1"/>
  <c r="P2683" i="1" s="1"/>
  <c r="N2683" i="1"/>
  <c r="M2683" i="1"/>
  <c r="L2683" i="1"/>
  <c r="K2683" i="1"/>
  <c r="I2683" i="1"/>
  <c r="O2682" i="1"/>
  <c r="P2682" i="1" s="1"/>
  <c r="N2682" i="1"/>
  <c r="M2682" i="1"/>
  <c r="L2682" i="1"/>
  <c r="K2682" i="1"/>
  <c r="I2682" i="1"/>
  <c r="O2681" i="1"/>
  <c r="P2681" i="1" s="1"/>
  <c r="N2681" i="1"/>
  <c r="M2681" i="1"/>
  <c r="L2681" i="1"/>
  <c r="K2681" i="1"/>
  <c r="I2681" i="1"/>
  <c r="O2680" i="1"/>
  <c r="P2680" i="1" s="1"/>
  <c r="N2680" i="1"/>
  <c r="M2680" i="1"/>
  <c r="L2680" i="1"/>
  <c r="K2680" i="1"/>
  <c r="I2680" i="1"/>
  <c r="O2679" i="1"/>
  <c r="P2679" i="1" s="1"/>
  <c r="N2679" i="1"/>
  <c r="M2679" i="1"/>
  <c r="L2679" i="1"/>
  <c r="K2679" i="1"/>
  <c r="I2679" i="1"/>
  <c r="O2678" i="1"/>
  <c r="P2678" i="1" s="1"/>
  <c r="N2678" i="1"/>
  <c r="M2678" i="1"/>
  <c r="L2678" i="1"/>
  <c r="K2678" i="1"/>
  <c r="I2678" i="1"/>
  <c r="O2677" i="1"/>
  <c r="P2677" i="1" s="1"/>
  <c r="N2677" i="1"/>
  <c r="M2677" i="1"/>
  <c r="L2677" i="1"/>
  <c r="K2677" i="1"/>
  <c r="I2677" i="1"/>
  <c r="O2676" i="1"/>
  <c r="P2676" i="1" s="1"/>
  <c r="N2676" i="1"/>
  <c r="M2676" i="1"/>
  <c r="L2676" i="1"/>
  <c r="K2676" i="1"/>
  <c r="I2676" i="1"/>
  <c r="O2675" i="1"/>
  <c r="P2675" i="1" s="1"/>
  <c r="N2675" i="1"/>
  <c r="M2675" i="1"/>
  <c r="L2675" i="1"/>
  <c r="K2675" i="1"/>
  <c r="I2675" i="1"/>
  <c r="O2674" i="1"/>
  <c r="P2674" i="1" s="1"/>
  <c r="N2674" i="1"/>
  <c r="M2674" i="1"/>
  <c r="L2674" i="1"/>
  <c r="K2674" i="1"/>
  <c r="I2674" i="1"/>
  <c r="O2673" i="1"/>
  <c r="P2673" i="1" s="1"/>
  <c r="N2673" i="1"/>
  <c r="M2673" i="1"/>
  <c r="L2673" i="1"/>
  <c r="K2673" i="1"/>
  <c r="I2673" i="1"/>
  <c r="O2672" i="1"/>
  <c r="P2672" i="1" s="1"/>
  <c r="N2672" i="1"/>
  <c r="M2672" i="1"/>
  <c r="L2672" i="1"/>
  <c r="K2672" i="1"/>
  <c r="I2672" i="1"/>
  <c r="O2671" i="1"/>
  <c r="P2671" i="1" s="1"/>
  <c r="N2671" i="1"/>
  <c r="M2671" i="1"/>
  <c r="L2671" i="1"/>
  <c r="K2671" i="1"/>
  <c r="I2671" i="1"/>
  <c r="O2670" i="1"/>
  <c r="P2670" i="1" s="1"/>
  <c r="N2670" i="1"/>
  <c r="M2670" i="1"/>
  <c r="L2670" i="1"/>
  <c r="K2670" i="1"/>
  <c r="I2670" i="1"/>
  <c r="O2669" i="1"/>
  <c r="P2669" i="1" s="1"/>
  <c r="N2669" i="1"/>
  <c r="M2669" i="1"/>
  <c r="L2669" i="1"/>
  <c r="K2669" i="1"/>
  <c r="I2669" i="1"/>
  <c r="O2668" i="1"/>
  <c r="P2668" i="1" s="1"/>
  <c r="N2668" i="1"/>
  <c r="M2668" i="1"/>
  <c r="L2668" i="1"/>
  <c r="K2668" i="1"/>
  <c r="I2668" i="1"/>
  <c r="O2667" i="1"/>
  <c r="P2667" i="1" s="1"/>
  <c r="N2667" i="1"/>
  <c r="M2667" i="1"/>
  <c r="L2667" i="1"/>
  <c r="K2667" i="1"/>
  <c r="I2667" i="1"/>
  <c r="O2666" i="1"/>
  <c r="P2666" i="1" s="1"/>
  <c r="N2666" i="1"/>
  <c r="M2666" i="1"/>
  <c r="L2666" i="1"/>
  <c r="K2666" i="1"/>
  <c r="I2666" i="1"/>
  <c r="O2665" i="1"/>
  <c r="P2665" i="1" s="1"/>
  <c r="N2665" i="1"/>
  <c r="M2665" i="1"/>
  <c r="L2665" i="1"/>
  <c r="K2665" i="1"/>
  <c r="I2665" i="1"/>
  <c r="O2664" i="1"/>
  <c r="P2664" i="1" s="1"/>
  <c r="N2664" i="1"/>
  <c r="M2664" i="1"/>
  <c r="L2664" i="1"/>
  <c r="K2664" i="1"/>
  <c r="I2664" i="1"/>
  <c r="O2663" i="1"/>
  <c r="P2663" i="1" s="1"/>
  <c r="N2663" i="1"/>
  <c r="M2663" i="1"/>
  <c r="L2663" i="1"/>
  <c r="K2663" i="1"/>
  <c r="I2663" i="1"/>
  <c r="O2662" i="1"/>
  <c r="P2662" i="1" s="1"/>
  <c r="N2662" i="1"/>
  <c r="M2662" i="1"/>
  <c r="L2662" i="1"/>
  <c r="K2662" i="1"/>
  <c r="I2662" i="1"/>
  <c r="O2661" i="1"/>
  <c r="P2661" i="1" s="1"/>
  <c r="N2661" i="1"/>
  <c r="M2661" i="1"/>
  <c r="L2661" i="1"/>
  <c r="K2661" i="1"/>
  <c r="I2661" i="1"/>
  <c r="O2660" i="1"/>
  <c r="P2660" i="1" s="1"/>
  <c r="N2660" i="1"/>
  <c r="M2660" i="1"/>
  <c r="L2660" i="1"/>
  <c r="K2660" i="1"/>
  <c r="I2660" i="1"/>
  <c r="O2659" i="1"/>
  <c r="P2659" i="1" s="1"/>
  <c r="N2659" i="1"/>
  <c r="M2659" i="1"/>
  <c r="L2659" i="1"/>
  <c r="K2659" i="1"/>
  <c r="I2659" i="1"/>
  <c r="O2658" i="1"/>
  <c r="P2658" i="1" s="1"/>
  <c r="N2658" i="1"/>
  <c r="M2658" i="1"/>
  <c r="L2658" i="1"/>
  <c r="K2658" i="1"/>
  <c r="I2658" i="1"/>
  <c r="O2657" i="1"/>
  <c r="P2657" i="1" s="1"/>
  <c r="N2657" i="1"/>
  <c r="M2657" i="1"/>
  <c r="L2657" i="1"/>
  <c r="K2657" i="1"/>
  <c r="I2657" i="1"/>
  <c r="O2656" i="1"/>
  <c r="P2656" i="1" s="1"/>
  <c r="N2656" i="1"/>
  <c r="M2656" i="1"/>
  <c r="L2656" i="1"/>
  <c r="K2656" i="1"/>
  <c r="I2656" i="1"/>
  <c r="O2655" i="1"/>
  <c r="P2655" i="1" s="1"/>
  <c r="N2655" i="1"/>
  <c r="M2655" i="1"/>
  <c r="L2655" i="1"/>
  <c r="K2655" i="1"/>
  <c r="I2655" i="1"/>
  <c r="O2654" i="1"/>
  <c r="P2654" i="1" s="1"/>
  <c r="N2654" i="1"/>
  <c r="M2654" i="1"/>
  <c r="L2654" i="1"/>
  <c r="K2654" i="1"/>
  <c r="I2654" i="1"/>
  <c r="O2653" i="1"/>
  <c r="P2653" i="1" s="1"/>
  <c r="N2653" i="1"/>
  <c r="M2653" i="1"/>
  <c r="L2653" i="1"/>
  <c r="K2653" i="1"/>
  <c r="I2653" i="1"/>
  <c r="O2652" i="1"/>
  <c r="P2652" i="1" s="1"/>
  <c r="N2652" i="1"/>
  <c r="M2652" i="1"/>
  <c r="L2652" i="1"/>
  <c r="K2652" i="1"/>
  <c r="I2652" i="1"/>
  <c r="O2651" i="1"/>
  <c r="P2651" i="1" s="1"/>
  <c r="N2651" i="1"/>
  <c r="M2651" i="1"/>
  <c r="L2651" i="1"/>
  <c r="K2651" i="1"/>
  <c r="I2651" i="1"/>
  <c r="O2650" i="1"/>
  <c r="P2650" i="1" s="1"/>
  <c r="N2650" i="1"/>
  <c r="M2650" i="1"/>
  <c r="L2650" i="1"/>
  <c r="K2650" i="1"/>
  <c r="I2650" i="1"/>
  <c r="O2649" i="1"/>
  <c r="P2649" i="1" s="1"/>
  <c r="N2649" i="1"/>
  <c r="M2649" i="1"/>
  <c r="L2649" i="1"/>
  <c r="K2649" i="1"/>
  <c r="I2649" i="1"/>
  <c r="O2648" i="1"/>
  <c r="P2648" i="1" s="1"/>
  <c r="N2648" i="1"/>
  <c r="M2648" i="1"/>
  <c r="L2648" i="1"/>
  <c r="K2648" i="1"/>
  <c r="I2648" i="1"/>
  <c r="O2647" i="1"/>
  <c r="P2647" i="1" s="1"/>
  <c r="N2647" i="1"/>
  <c r="M2647" i="1"/>
  <c r="L2647" i="1"/>
  <c r="K2647" i="1"/>
  <c r="I2647" i="1"/>
  <c r="O2646" i="1"/>
  <c r="P2646" i="1" s="1"/>
  <c r="N2646" i="1"/>
  <c r="M2646" i="1"/>
  <c r="L2646" i="1"/>
  <c r="K2646" i="1"/>
  <c r="I2646" i="1"/>
  <c r="O2645" i="1"/>
  <c r="P2645" i="1" s="1"/>
  <c r="N2645" i="1"/>
  <c r="M2645" i="1"/>
  <c r="L2645" i="1"/>
  <c r="K2645" i="1"/>
  <c r="I2645" i="1"/>
  <c r="O2644" i="1"/>
  <c r="P2644" i="1" s="1"/>
  <c r="N2644" i="1"/>
  <c r="M2644" i="1"/>
  <c r="L2644" i="1"/>
  <c r="K2644" i="1"/>
  <c r="I2644" i="1"/>
  <c r="O2643" i="1"/>
  <c r="P2643" i="1" s="1"/>
  <c r="N2643" i="1"/>
  <c r="M2643" i="1"/>
  <c r="L2643" i="1"/>
  <c r="K2643" i="1"/>
  <c r="I2643" i="1"/>
  <c r="O2642" i="1"/>
  <c r="P2642" i="1" s="1"/>
  <c r="N2642" i="1"/>
  <c r="M2642" i="1"/>
  <c r="L2642" i="1"/>
  <c r="K2642" i="1"/>
  <c r="I2642" i="1"/>
  <c r="O2641" i="1"/>
  <c r="P2641" i="1" s="1"/>
  <c r="N2641" i="1"/>
  <c r="M2641" i="1"/>
  <c r="L2641" i="1"/>
  <c r="K2641" i="1"/>
  <c r="I2641" i="1"/>
  <c r="O2640" i="1"/>
  <c r="P2640" i="1" s="1"/>
  <c r="N2640" i="1"/>
  <c r="M2640" i="1"/>
  <c r="L2640" i="1"/>
  <c r="K2640" i="1"/>
  <c r="I2640" i="1"/>
  <c r="O2639" i="1"/>
  <c r="P2639" i="1" s="1"/>
  <c r="N2639" i="1"/>
  <c r="M2639" i="1"/>
  <c r="L2639" i="1"/>
  <c r="K2639" i="1"/>
  <c r="I2639" i="1"/>
  <c r="O2638" i="1"/>
  <c r="P2638" i="1" s="1"/>
  <c r="N2638" i="1"/>
  <c r="M2638" i="1"/>
  <c r="L2638" i="1"/>
  <c r="K2638" i="1"/>
  <c r="I2638" i="1"/>
  <c r="O2637" i="1"/>
  <c r="P2637" i="1" s="1"/>
  <c r="N2637" i="1"/>
  <c r="M2637" i="1"/>
  <c r="L2637" i="1"/>
  <c r="K2637" i="1"/>
  <c r="I2637" i="1"/>
  <c r="O2636" i="1"/>
  <c r="P2636" i="1" s="1"/>
  <c r="N2636" i="1"/>
  <c r="M2636" i="1"/>
  <c r="L2636" i="1"/>
  <c r="K2636" i="1"/>
  <c r="I2636" i="1"/>
  <c r="O2635" i="1"/>
  <c r="P2635" i="1" s="1"/>
  <c r="N2635" i="1"/>
  <c r="M2635" i="1"/>
  <c r="L2635" i="1"/>
  <c r="K2635" i="1"/>
  <c r="I2635" i="1"/>
  <c r="O2634" i="1"/>
  <c r="P2634" i="1" s="1"/>
  <c r="N2634" i="1"/>
  <c r="M2634" i="1"/>
  <c r="L2634" i="1"/>
  <c r="K2634" i="1"/>
  <c r="I2634" i="1"/>
  <c r="O2633" i="1"/>
  <c r="P2633" i="1" s="1"/>
  <c r="N2633" i="1"/>
  <c r="M2633" i="1"/>
  <c r="L2633" i="1"/>
  <c r="K2633" i="1"/>
  <c r="I2633" i="1"/>
  <c r="O2632" i="1"/>
  <c r="P2632" i="1" s="1"/>
  <c r="N2632" i="1"/>
  <c r="M2632" i="1"/>
  <c r="L2632" i="1"/>
  <c r="K2632" i="1"/>
  <c r="I2632" i="1"/>
  <c r="O2631" i="1"/>
  <c r="P2631" i="1" s="1"/>
  <c r="N2631" i="1"/>
  <c r="M2631" i="1"/>
  <c r="L2631" i="1"/>
  <c r="K2631" i="1"/>
  <c r="I2631" i="1"/>
  <c r="O2630" i="1"/>
  <c r="P2630" i="1" s="1"/>
  <c r="N2630" i="1"/>
  <c r="M2630" i="1"/>
  <c r="L2630" i="1"/>
  <c r="K2630" i="1"/>
  <c r="I2630" i="1"/>
  <c r="O2629" i="1"/>
  <c r="P2629" i="1" s="1"/>
  <c r="N2629" i="1"/>
  <c r="M2629" i="1"/>
  <c r="L2629" i="1"/>
  <c r="K2629" i="1"/>
  <c r="I2629" i="1"/>
  <c r="O2628" i="1"/>
  <c r="P2628" i="1" s="1"/>
  <c r="N2628" i="1"/>
  <c r="M2628" i="1"/>
  <c r="L2628" i="1"/>
  <c r="K2628" i="1"/>
  <c r="I2628" i="1"/>
  <c r="O2627" i="1"/>
  <c r="P2627" i="1" s="1"/>
  <c r="N2627" i="1"/>
  <c r="M2627" i="1"/>
  <c r="L2627" i="1"/>
  <c r="K2627" i="1"/>
  <c r="I2627" i="1"/>
  <c r="O2626" i="1"/>
  <c r="P2626" i="1" s="1"/>
  <c r="N2626" i="1"/>
  <c r="M2626" i="1"/>
  <c r="L2626" i="1"/>
  <c r="K2626" i="1"/>
  <c r="I2626" i="1"/>
  <c r="O2625" i="1"/>
  <c r="P2625" i="1" s="1"/>
  <c r="N2625" i="1"/>
  <c r="M2625" i="1"/>
  <c r="L2625" i="1"/>
  <c r="K2625" i="1"/>
  <c r="I2625" i="1"/>
  <c r="O2624" i="1"/>
  <c r="P2624" i="1" s="1"/>
  <c r="N2624" i="1"/>
  <c r="M2624" i="1"/>
  <c r="L2624" i="1"/>
  <c r="K2624" i="1"/>
  <c r="I2624" i="1"/>
  <c r="O2623" i="1"/>
  <c r="P2623" i="1" s="1"/>
  <c r="N2623" i="1"/>
  <c r="M2623" i="1"/>
  <c r="L2623" i="1"/>
  <c r="K2623" i="1"/>
  <c r="I2623" i="1"/>
  <c r="O2622" i="1"/>
  <c r="P2622" i="1" s="1"/>
  <c r="N2622" i="1"/>
  <c r="M2622" i="1"/>
  <c r="L2622" i="1"/>
  <c r="K2622" i="1"/>
  <c r="I2622" i="1"/>
  <c r="O2621" i="1"/>
  <c r="P2621" i="1" s="1"/>
  <c r="N2621" i="1"/>
  <c r="M2621" i="1"/>
  <c r="L2621" i="1"/>
  <c r="K2621" i="1"/>
  <c r="I2621" i="1"/>
  <c r="O2620" i="1"/>
  <c r="P2620" i="1" s="1"/>
  <c r="N2620" i="1"/>
  <c r="M2620" i="1"/>
  <c r="L2620" i="1"/>
  <c r="K2620" i="1"/>
  <c r="I2620" i="1"/>
  <c r="O2619" i="1"/>
  <c r="P2619" i="1" s="1"/>
  <c r="N2619" i="1"/>
  <c r="M2619" i="1"/>
  <c r="L2619" i="1"/>
  <c r="K2619" i="1"/>
  <c r="I2619" i="1"/>
  <c r="O2618" i="1"/>
  <c r="P2618" i="1" s="1"/>
  <c r="N2618" i="1"/>
  <c r="M2618" i="1"/>
  <c r="L2618" i="1"/>
  <c r="K2618" i="1"/>
  <c r="I2618" i="1"/>
  <c r="O2617" i="1"/>
  <c r="P2617" i="1" s="1"/>
  <c r="N2617" i="1"/>
  <c r="M2617" i="1"/>
  <c r="L2617" i="1"/>
  <c r="K2617" i="1"/>
  <c r="I2617" i="1"/>
  <c r="O2616" i="1"/>
  <c r="P2616" i="1" s="1"/>
  <c r="N2616" i="1"/>
  <c r="M2616" i="1"/>
  <c r="L2616" i="1"/>
  <c r="K2616" i="1"/>
  <c r="I2616" i="1"/>
  <c r="O2615" i="1"/>
  <c r="P2615" i="1" s="1"/>
  <c r="N2615" i="1"/>
  <c r="M2615" i="1"/>
  <c r="L2615" i="1"/>
  <c r="K2615" i="1"/>
  <c r="I2615" i="1"/>
  <c r="O2614" i="1"/>
  <c r="P2614" i="1" s="1"/>
  <c r="N2614" i="1"/>
  <c r="M2614" i="1"/>
  <c r="L2614" i="1"/>
  <c r="K2614" i="1"/>
  <c r="I2614" i="1"/>
  <c r="O2613" i="1"/>
  <c r="P2613" i="1" s="1"/>
  <c r="N2613" i="1"/>
  <c r="M2613" i="1"/>
  <c r="L2613" i="1"/>
  <c r="K2613" i="1"/>
  <c r="I2613" i="1"/>
  <c r="O2612" i="1"/>
  <c r="P2612" i="1" s="1"/>
  <c r="N2612" i="1"/>
  <c r="M2612" i="1"/>
  <c r="L2612" i="1"/>
  <c r="K2612" i="1"/>
  <c r="I2612" i="1"/>
  <c r="O2611" i="1"/>
  <c r="P2611" i="1" s="1"/>
  <c r="N2611" i="1"/>
  <c r="M2611" i="1"/>
  <c r="L2611" i="1"/>
  <c r="K2611" i="1"/>
  <c r="I2611" i="1"/>
  <c r="O2610" i="1"/>
  <c r="P2610" i="1" s="1"/>
  <c r="N2610" i="1"/>
  <c r="M2610" i="1"/>
  <c r="L2610" i="1"/>
  <c r="K2610" i="1"/>
  <c r="I2610" i="1"/>
  <c r="O2609" i="1"/>
  <c r="P2609" i="1" s="1"/>
  <c r="N2609" i="1"/>
  <c r="M2609" i="1"/>
  <c r="L2609" i="1"/>
  <c r="K2609" i="1"/>
  <c r="I2609" i="1"/>
  <c r="O2608" i="1"/>
  <c r="P2608" i="1" s="1"/>
  <c r="N2608" i="1"/>
  <c r="M2608" i="1"/>
  <c r="L2608" i="1"/>
  <c r="K2608" i="1"/>
  <c r="I2608" i="1"/>
  <c r="O2607" i="1"/>
  <c r="P2607" i="1" s="1"/>
  <c r="N2607" i="1"/>
  <c r="M2607" i="1"/>
  <c r="L2607" i="1"/>
  <c r="K2607" i="1"/>
  <c r="I2607" i="1"/>
  <c r="O2606" i="1"/>
  <c r="P2606" i="1" s="1"/>
  <c r="N2606" i="1"/>
  <c r="M2606" i="1"/>
  <c r="L2606" i="1"/>
  <c r="K2606" i="1"/>
  <c r="I2606" i="1"/>
  <c r="O2605" i="1"/>
  <c r="P2605" i="1" s="1"/>
  <c r="N2605" i="1"/>
  <c r="M2605" i="1"/>
  <c r="L2605" i="1"/>
  <c r="K2605" i="1"/>
  <c r="I2605" i="1"/>
  <c r="O2604" i="1"/>
  <c r="P2604" i="1" s="1"/>
  <c r="N2604" i="1"/>
  <c r="M2604" i="1"/>
  <c r="L2604" i="1"/>
  <c r="K2604" i="1"/>
  <c r="I2604" i="1"/>
  <c r="O2603" i="1"/>
  <c r="P2603" i="1" s="1"/>
  <c r="N2603" i="1"/>
  <c r="M2603" i="1"/>
  <c r="L2603" i="1"/>
  <c r="K2603" i="1"/>
  <c r="I2603" i="1"/>
  <c r="O2602" i="1"/>
  <c r="P2602" i="1" s="1"/>
  <c r="N2602" i="1"/>
  <c r="M2602" i="1"/>
  <c r="L2602" i="1"/>
  <c r="K2602" i="1"/>
  <c r="I2602" i="1"/>
  <c r="O2601" i="1"/>
  <c r="P2601" i="1" s="1"/>
  <c r="N2601" i="1"/>
  <c r="M2601" i="1"/>
  <c r="L2601" i="1"/>
  <c r="K2601" i="1"/>
  <c r="I2601" i="1"/>
  <c r="O2600" i="1"/>
  <c r="P2600" i="1" s="1"/>
  <c r="N2600" i="1"/>
  <c r="M2600" i="1"/>
  <c r="L2600" i="1"/>
  <c r="K2600" i="1"/>
  <c r="I2600" i="1"/>
  <c r="O2599" i="1"/>
  <c r="P2599" i="1" s="1"/>
  <c r="N2599" i="1"/>
  <c r="M2599" i="1"/>
  <c r="L2599" i="1"/>
  <c r="K2599" i="1"/>
  <c r="I2599" i="1"/>
  <c r="O2598" i="1"/>
  <c r="P2598" i="1" s="1"/>
  <c r="N2598" i="1"/>
  <c r="M2598" i="1"/>
  <c r="L2598" i="1"/>
  <c r="K2598" i="1"/>
  <c r="I2598" i="1"/>
  <c r="O2597" i="1"/>
  <c r="P2597" i="1" s="1"/>
  <c r="N2597" i="1"/>
  <c r="M2597" i="1"/>
  <c r="L2597" i="1"/>
  <c r="K2597" i="1"/>
  <c r="I2597" i="1"/>
  <c r="O2596" i="1"/>
  <c r="P2596" i="1" s="1"/>
  <c r="N2596" i="1"/>
  <c r="M2596" i="1"/>
  <c r="L2596" i="1"/>
  <c r="K2596" i="1"/>
  <c r="I2596" i="1"/>
  <c r="O2595" i="1"/>
  <c r="P2595" i="1" s="1"/>
  <c r="N2595" i="1"/>
  <c r="M2595" i="1"/>
  <c r="L2595" i="1"/>
  <c r="K2595" i="1"/>
  <c r="I2595" i="1"/>
  <c r="O2594" i="1"/>
  <c r="P2594" i="1" s="1"/>
  <c r="N2594" i="1"/>
  <c r="M2594" i="1"/>
  <c r="L2594" i="1"/>
  <c r="K2594" i="1"/>
  <c r="I2594" i="1"/>
  <c r="O2593" i="1"/>
  <c r="P2593" i="1" s="1"/>
  <c r="N2593" i="1"/>
  <c r="M2593" i="1"/>
  <c r="L2593" i="1"/>
  <c r="K2593" i="1"/>
  <c r="I2593" i="1"/>
  <c r="O2592" i="1"/>
  <c r="P2592" i="1" s="1"/>
  <c r="N2592" i="1"/>
  <c r="M2592" i="1"/>
  <c r="L2592" i="1"/>
  <c r="K2592" i="1"/>
  <c r="I2592" i="1"/>
  <c r="O2591" i="1"/>
  <c r="P2591" i="1" s="1"/>
  <c r="N2591" i="1"/>
  <c r="M2591" i="1"/>
  <c r="L2591" i="1"/>
  <c r="K2591" i="1"/>
  <c r="I2591" i="1"/>
  <c r="O2590" i="1"/>
  <c r="P2590" i="1" s="1"/>
  <c r="N2590" i="1"/>
  <c r="M2590" i="1"/>
  <c r="L2590" i="1"/>
  <c r="K2590" i="1"/>
  <c r="I2590" i="1"/>
  <c r="O2589" i="1"/>
  <c r="P2589" i="1" s="1"/>
  <c r="N2589" i="1"/>
  <c r="M2589" i="1"/>
  <c r="L2589" i="1"/>
  <c r="K2589" i="1"/>
  <c r="I2589" i="1"/>
  <c r="O2588" i="1"/>
  <c r="P2588" i="1" s="1"/>
  <c r="N2588" i="1"/>
  <c r="M2588" i="1"/>
  <c r="L2588" i="1"/>
  <c r="K2588" i="1"/>
  <c r="I2588" i="1"/>
  <c r="O2587" i="1"/>
  <c r="P2587" i="1" s="1"/>
  <c r="N2587" i="1"/>
  <c r="M2587" i="1"/>
  <c r="L2587" i="1"/>
  <c r="K2587" i="1"/>
  <c r="I2587" i="1"/>
  <c r="O2586" i="1"/>
  <c r="P2586" i="1" s="1"/>
  <c r="N2586" i="1"/>
  <c r="M2586" i="1"/>
  <c r="L2586" i="1"/>
  <c r="K2586" i="1"/>
  <c r="I2586" i="1"/>
  <c r="O2585" i="1"/>
  <c r="P2585" i="1" s="1"/>
  <c r="N2585" i="1"/>
  <c r="M2585" i="1"/>
  <c r="L2585" i="1"/>
  <c r="K2585" i="1"/>
  <c r="I2585" i="1"/>
  <c r="O2584" i="1"/>
  <c r="P2584" i="1" s="1"/>
  <c r="N2584" i="1"/>
  <c r="M2584" i="1"/>
  <c r="L2584" i="1"/>
  <c r="K2584" i="1"/>
  <c r="I2584" i="1"/>
  <c r="O2583" i="1"/>
  <c r="P2583" i="1" s="1"/>
  <c r="N2583" i="1"/>
  <c r="M2583" i="1"/>
  <c r="L2583" i="1"/>
  <c r="K2583" i="1"/>
  <c r="I2583" i="1"/>
  <c r="O2582" i="1"/>
  <c r="P2582" i="1" s="1"/>
  <c r="N2582" i="1"/>
  <c r="M2582" i="1"/>
  <c r="L2582" i="1"/>
  <c r="K2582" i="1"/>
  <c r="I2582" i="1"/>
  <c r="O2581" i="1"/>
  <c r="P2581" i="1" s="1"/>
  <c r="N2581" i="1"/>
  <c r="M2581" i="1"/>
  <c r="L2581" i="1"/>
  <c r="K2581" i="1"/>
  <c r="I2581" i="1"/>
  <c r="O2580" i="1"/>
  <c r="P2580" i="1" s="1"/>
  <c r="N2580" i="1"/>
  <c r="M2580" i="1"/>
  <c r="L2580" i="1"/>
  <c r="K2580" i="1"/>
  <c r="I2580" i="1"/>
  <c r="O2579" i="1"/>
  <c r="P2579" i="1" s="1"/>
  <c r="N2579" i="1"/>
  <c r="M2579" i="1"/>
  <c r="L2579" i="1"/>
  <c r="K2579" i="1"/>
  <c r="I2579" i="1"/>
  <c r="O2578" i="1"/>
  <c r="P2578" i="1" s="1"/>
  <c r="N2578" i="1"/>
  <c r="M2578" i="1"/>
  <c r="L2578" i="1"/>
  <c r="K2578" i="1"/>
  <c r="I2578" i="1"/>
  <c r="O2577" i="1"/>
  <c r="P2577" i="1" s="1"/>
  <c r="N2577" i="1"/>
  <c r="M2577" i="1"/>
  <c r="L2577" i="1"/>
  <c r="K2577" i="1"/>
  <c r="I2577" i="1"/>
  <c r="O2576" i="1"/>
  <c r="P2576" i="1" s="1"/>
  <c r="N2576" i="1"/>
  <c r="M2576" i="1"/>
  <c r="L2576" i="1"/>
  <c r="K2576" i="1"/>
  <c r="I2576" i="1"/>
  <c r="O2575" i="1"/>
  <c r="P2575" i="1" s="1"/>
  <c r="N2575" i="1"/>
  <c r="M2575" i="1"/>
  <c r="L2575" i="1"/>
  <c r="K2575" i="1"/>
  <c r="I2575" i="1"/>
  <c r="O2574" i="1"/>
  <c r="P2574" i="1" s="1"/>
  <c r="N2574" i="1"/>
  <c r="M2574" i="1"/>
  <c r="L2574" i="1"/>
  <c r="K2574" i="1"/>
  <c r="I2574" i="1"/>
  <c r="O2573" i="1"/>
  <c r="P2573" i="1" s="1"/>
  <c r="N2573" i="1"/>
  <c r="M2573" i="1"/>
  <c r="L2573" i="1"/>
  <c r="K2573" i="1"/>
  <c r="I2573" i="1"/>
  <c r="O2572" i="1"/>
  <c r="P2572" i="1" s="1"/>
  <c r="N2572" i="1"/>
  <c r="M2572" i="1"/>
  <c r="L2572" i="1"/>
  <c r="K2572" i="1"/>
  <c r="I2572" i="1"/>
  <c r="O2571" i="1"/>
  <c r="P2571" i="1" s="1"/>
  <c r="N2571" i="1"/>
  <c r="M2571" i="1"/>
  <c r="L2571" i="1"/>
  <c r="K2571" i="1"/>
  <c r="I2571" i="1"/>
  <c r="O2570" i="1"/>
  <c r="P2570" i="1" s="1"/>
  <c r="N2570" i="1"/>
  <c r="M2570" i="1"/>
  <c r="L2570" i="1"/>
  <c r="K2570" i="1"/>
  <c r="I2570" i="1"/>
  <c r="O2569" i="1"/>
  <c r="P2569" i="1" s="1"/>
  <c r="N2569" i="1"/>
  <c r="M2569" i="1"/>
  <c r="L2569" i="1"/>
  <c r="K2569" i="1"/>
  <c r="I2569" i="1"/>
  <c r="O2568" i="1"/>
  <c r="P2568" i="1" s="1"/>
  <c r="N2568" i="1"/>
  <c r="M2568" i="1"/>
  <c r="L2568" i="1"/>
  <c r="K2568" i="1"/>
  <c r="I2568" i="1"/>
  <c r="O2567" i="1"/>
  <c r="P2567" i="1" s="1"/>
  <c r="N2567" i="1"/>
  <c r="M2567" i="1"/>
  <c r="L2567" i="1"/>
  <c r="K2567" i="1"/>
  <c r="I2567" i="1"/>
  <c r="O2566" i="1"/>
  <c r="P2566" i="1" s="1"/>
  <c r="N2566" i="1"/>
  <c r="M2566" i="1"/>
  <c r="L2566" i="1"/>
  <c r="K2566" i="1"/>
  <c r="I2566" i="1"/>
  <c r="O2565" i="1"/>
  <c r="P2565" i="1" s="1"/>
  <c r="N2565" i="1"/>
  <c r="M2565" i="1"/>
  <c r="L2565" i="1"/>
  <c r="K2565" i="1"/>
  <c r="I2565" i="1"/>
  <c r="O2564" i="1"/>
  <c r="P2564" i="1" s="1"/>
  <c r="N2564" i="1"/>
  <c r="M2564" i="1"/>
  <c r="L2564" i="1"/>
  <c r="K2564" i="1"/>
  <c r="I2564" i="1"/>
  <c r="O2563" i="1"/>
  <c r="P2563" i="1" s="1"/>
  <c r="N2563" i="1"/>
  <c r="M2563" i="1"/>
  <c r="L2563" i="1"/>
  <c r="K2563" i="1"/>
  <c r="I2563" i="1"/>
  <c r="O2562" i="1"/>
  <c r="P2562" i="1" s="1"/>
  <c r="N2562" i="1"/>
  <c r="M2562" i="1"/>
  <c r="L2562" i="1"/>
  <c r="K2562" i="1"/>
  <c r="I2562" i="1"/>
  <c r="O2561" i="1"/>
  <c r="P2561" i="1" s="1"/>
  <c r="N2561" i="1"/>
  <c r="M2561" i="1"/>
  <c r="L2561" i="1"/>
  <c r="K2561" i="1"/>
  <c r="I2561" i="1"/>
  <c r="O2560" i="1"/>
  <c r="P2560" i="1" s="1"/>
  <c r="N2560" i="1"/>
  <c r="M2560" i="1"/>
  <c r="L2560" i="1"/>
  <c r="K2560" i="1"/>
  <c r="I2560" i="1"/>
  <c r="O2559" i="1"/>
  <c r="P2559" i="1" s="1"/>
  <c r="N2559" i="1"/>
  <c r="M2559" i="1"/>
  <c r="L2559" i="1"/>
  <c r="K2559" i="1"/>
  <c r="I2559" i="1"/>
  <c r="O2558" i="1"/>
  <c r="P2558" i="1" s="1"/>
  <c r="N2558" i="1"/>
  <c r="M2558" i="1"/>
  <c r="L2558" i="1"/>
  <c r="K2558" i="1"/>
  <c r="I2558" i="1"/>
  <c r="O2557" i="1"/>
  <c r="P2557" i="1" s="1"/>
  <c r="N2557" i="1"/>
  <c r="M2557" i="1"/>
  <c r="L2557" i="1"/>
  <c r="K2557" i="1"/>
  <c r="I2557" i="1"/>
  <c r="O2556" i="1"/>
  <c r="P2556" i="1" s="1"/>
  <c r="N2556" i="1"/>
  <c r="M2556" i="1"/>
  <c r="L2556" i="1"/>
  <c r="K2556" i="1"/>
  <c r="I2556" i="1"/>
  <c r="O2555" i="1"/>
  <c r="P2555" i="1" s="1"/>
  <c r="N2555" i="1"/>
  <c r="M2555" i="1"/>
  <c r="L2555" i="1"/>
  <c r="K2555" i="1"/>
  <c r="I2555" i="1"/>
  <c r="O2554" i="1"/>
  <c r="P2554" i="1" s="1"/>
  <c r="N2554" i="1"/>
  <c r="M2554" i="1"/>
  <c r="L2554" i="1"/>
  <c r="K2554" i="1"/>
  <c r="I2554" i="1"/>
  <c r="O2553" i="1"/>
  <c r="P2553" i="1" s="1"/>
  <c r="N2553" i="1"/>
  <c r="M2553" i="1"/>
  <c r="L2553" i="1"/>
  <c r="K2553" i="1"/>
  <c r="I2553" i="1"/>
  <c r="O2552" i="1"/>
  <c r="P2552" i="1" s="1"/>
  <c r="N2552" i="1"/>
  <c r="M2552" i="1"/>
  <c r="L2552" i="1"/>
  <c r="K2552" i="1"/>
  <c r="I2552" i="1"/>
  <c r="O2551" i="1"/>
  <c r="P2551" i="1" s="1"/>
  <c r="N2551" i="1"/>
  <c r="M2551" i="1"/>
  <c r="L2551" i="1"/>
  <c r="K2551" i="1"/>
  <c r="I2551" i="1"/>
  <c r="O2550" i="1"/>
  <c r="P2550" i="1" s="1"/>
  <c r="N2550" i="1"/>
  <c r="M2550" i="1"/>
  <c r="L2550" i="1"/>
  <c r="K2550" i="1"/>
  <c r="I2550" i="1"/>
  <c r="O2549" i="1"/>
  <c r="P2549" i="1" s="1"/>
  <c r="N2549" i="1"/>
  <c r="M2549" i="1"/>
  <c r="L2549" i="1"/>
  <c r="K2549" i="1"/>
  <c r="I2549" i="1"/>
  <c r="O2548" i="1"/>
  <c r="P2548" i="1" s="1"/>
  <c r="N2548" i="1"/>
  <c r="M2548" i="1"/>
  <c r="L2548" i="1"/>
  <c r="K2548" i="1"/>
  <c r="I2548" i="1"/>
  <c r="O2547" i="1"/>
  <c r="P2547" i="1" s="1"/>
  <c r="N2547" i="1"/>
  <c r="M2547" i="1"/>
  <c r="L2547" i="1"/>
  <c r="K2547" i="1"/>
  <c r="I2547" i="1"/>
  <c r="O2546" i="1"/>
  <c r="P2546" i="1" s="1"/>
  <c r="N2546" i="1"/>
  <c r="M2546" i="1"/>
  <c r="L2546" i="1"/>
  <c r="K2546" i="1"/>
  <c r="I2546" i="1"/>
  <c r="O2545" i="1"/>
  <c r="P2545" i="1" s="1"/>
  <c r="N2545" i="1"/>
  <c r="M2545" i="1"/>
  <c r="L2545" i="1"/>
  <c r="K2545" i="1"/>
  <c r="I2545" i="1"/>
  <c r="O2544" i="1"/>
  <c r="P2544" i="1" s="1"/>
  <c r="N2544" i="1"/>
  <c r="M2544" i="1"/>
  <c r="L2544" i="1"/>
  <c r="K2544" i="1"/>
  <c r="I2544" i="1"/>
  <c r="O2543" i="1"/>
  <c r="P2543" i="1" s="1"/>
  <c r="N2543" i="1"/>
  <c r="M2543" i="1"/>
  <c r="L2543" i="1"/>
  <c r="K2543" i="1"/>
  <c r="I2543" i="1"/>
  <c r="O2542" i="1"/>
  <c r="P2542" i="1" s="1"/>
  <c r="N2542" i="1"/>
  <c r="M2542" i="1"/>
  <c r="L2542" i="1"/>
  <c r="K2542" i="1"/>
  <c r="I2542" i="1"/>
  <c r="O2541" i="1"/>
  <c r="P2541" i="1" s="1"/>
  <c r="N2541" i="1"/>
  <c r="M2541" i="1"/>
  <c r="L2541" i="1"/>
  <c r="K2541" i="1"/>
  <c r="I2541" i="1"/>
  <c r="O2540" i="1"/>
  <c r="P2540" i="1" s="1"/>
  <c r="N2540" i="1"/>
  <c r="M2540" i="1"/>
  <c r="L2540" i="1"/>
  <c r="K2540" i="1"/>
  <c r="I2540" i="1"/>
  <c r="O2539" i="1"/>
  <c r="P2539" i="1" s="1"/>
  <c r="N2539" i="1"/>
  <c r="M2539" i="1"/>
  <c r="L2539" i="1"/>
  <c r="K2539" i="1"/>
  <c r="I2539" i="1"/>
  <c r="O2538" i="1"/>
  <c r="P2538" i="1" s="1"/>
  <c r="N2538" i="1"/>
  <c r="M2538" i="1"/>
  <c r="L2538" i="1"/>
  <c r="K2538" i="1"/>
  <c r="I2538" i="1"/>
  <c r="O2537" i="1"/>
  <c r="P2537" i="1" s="1"/>
  <c r="N2537" i="1"/>
  <c r="M2537" i="1"/>
  <c r="L2537" i="1"/>
  <c r="K2537" i="1"/>
  <c r="I2537" i="1"/>
  <c r="O2536" i="1"/>
  <c r="P2536" i="1" s="1"/>
  <c r="N2536" i="1"/>
  <c r="M2536" i="1"/>
  <c r="L2536" i="1"/>
  <c r="K2536" i="1"/>
  <c r="I2536" i="1"/>
  <c r="O2535" i="1"/>
  <c r="P2535" i="1" s="1"/>
  <c r="N2535" i="1"/>
  <c r="M2535" i="1"/>
  <c r="L2535" i="1"/>
  <c r="K2535" i="1"/>
  <c r="I2535" i="1"/>
  <c r="O2534" i="1"/>
  <c r="P2534" i="1" s="1"/>
  <c r="N2534" i="1"/>
  <c r="M2534" i="1"/>
  <c r="L2534" i="1"/>
  <c r="K2534" i="1"/>
  <c r="I2534" i="1"/>
  <c r="O2533" i="1"/>
  <c r="P2533" i="1" s="1"/>
  <c r="N2533" i="1"/>
  <c r="M2533" i="1"/>
  <c r="L2533" i="1"/>
  <c r="K2533" i="1"/>
  <c r="I2533" i="1"/>
  <c r="O2532" i="1"/>
  <c r="P2532" i="1" s="1"/>
  <c r="N2532" i="1"/>
  <c r="M2532" i="1"/>
  <c r="L2532" i="1"/>
  <c r="K2532" i="1"/>
  <c r="I2532" i="1"/>
  <c r="O2531" i="1"/>
  <c r="P2531" i="1" s="1"/>
  <c r="N2531" i="1"/>
  <c r="M2531" i="1"/>
  <c r="L2531" i="1"/>
  <c r="K2531" i="1"/>
  <c r="I2531" i="1"/>
  <c r="O2530" i="1"/>
  <c r="P2530" i="1" s="1"/>
  <c r="N2530" i="1"/>
  <c r="M2530" i="1"/>
  <c r="L2530" i="1"/>
  <c r="K2530" i="1"/>
  <c r="I2530" i="1"/>
  <c r="O2529" i="1"/>
  <c r="P2529" i="1" s="1"/>
  <c r="N2529" i="1"/>
  <c r="M2529" i="1"/>
  <c r="L2529" i="1"/>
  <c r="K2529" i="1"/>
  <c r="I2529" i="1"/>
  <c r="O2528" i="1"/>
  <c r="P2528" i="1" s="1"/>
  <c r="N2528" i="1"/>
  <c r="M2528" i="1"/>
  <c r="L2528" i="1"/>
  <c r="K2528" i="1"/>
  <c r="I2528" i="1"/>
  <c r="O2527" i="1"/>
  <c r="P2527" i="1" s="1"/>
  <c r="N2527" i="1"/>
  <c r="M2527" i="1"/>
  <c r="L2527" i="1"/>
  <c r="K2527" i="1"/>
  <c r="I2527" i="1"/>
  <c r="O2526" i="1"/>
  <c r="P2526" i="1" s="1"/>
  <c r="N2526" i="1"/>
  <c r="M2526" i="1"/>
  <c r="L2526" i="1"/>
  <c r="K2526" i="1"/>
  <c r="I2526" i="1"/>
  <c r="O2525" i="1"/>
  <c r="P2525" i="1" s="1"/>
  <c r="N2525" i="1"/>
  <c r="M2525" i="1"/>
  <c r="L2525" i="1"/>
  <c r="K2525" i="1"/>
  <c r="I2525" i="1"/>
  <c r="O2524" i="1"/>
  <c r="P2524" i="1" s="1"/>
  <c r="N2524" i="1"/>
  <c r="M2524" i="1"/>
  <c r="L2524" i="1"/>
  <c r="K2524" i="1"/>
  <c r="I2524" i="1"/>
  <c r="O2523" i="1"/>
  <c r="P2523" i="1" s="1"/>
  <c r="N2523" i="1"/>
  <c r="M2523" i="1"/>
  <c r="L2523" i="1"/>
  <c r="K2523" i="1"/>
  <c r="I2523" i="1"/>
  <c r="O2522" i="1"/>
  <c r="P2522" i="1" s="1"/>
  <c r="N2522" i="1"/>
  <c r="M2522" i="1"/>
  <c r="L2522" i="1"/>
  <c r="K2522" i="1"/>
  <c r="I2522" i="1"/>
  <c r="O2521" i="1"/>
  <c r="P2521" i="1" s="1"/>
  <c r="N2521" i="1"/>
  <c r="M2521" i="1"/>
  <c r="L2521" i="1"/>
  <c r="K2521" i="1"/>
  <c r="I2521" i="1"/>
  <c r="O2520" i="1"/>
  <c r="P2520" i="1" s="1"/>
  <c r="N2520" i="1"/>
  <c r="M2520" i="1"/>
  <c r="L2520" i="1"/>
  <c r="K2520" i="1"/>
  <c r="I2520" i="1"/>
  <c r="O2519" i="1"/>
  <c r="P2519" i="1" s="1"/>
  <c r="N2519" i="1"/>
  <c r="M2519" i="1"/>
  <c r="L2519" i="1"/>
  <c r="K2519" i="1"/>
  <c r="I2519" i="1"/>
  <c r="O2518" i="1"/>
  <c r="P2518" i="1" s="1"/>
  <c r="N2518" i="1"/>
  <c r="M2518" i="1"/>
  <c r="L2518" i="1"/>
  <c r="K2518" i="1"/>
  <c r="I2518" i="1"/>
  <c r="O2517" i="1"/>
  <c r="P2517" i="1" s="1"/>
  <c r="N2517" i="1"/>
  <c r="M2517" i="1"/>
  <c r="L2517" i="1"/>
  <c r="K2517" i="1"/>
  <c r="I2517" i="1"/>
  <c r="O2516" i="1"/>
  <c r="P2516" i="1" s="1"/>
  <c r="N2516" i="1"/>
  <c r="M2516" i="1"/>
  <c r="L2516" i="1"/>
  <c r="K2516" i="1"/>
  <c r="I2516" i="1"/>
  <c r="O2515" i="1"/>
  <c r="P2515" i="1" s="1"/>
  <c r="N2515" i="1"/>
  <c r="M2515" i="1"/>
  <c r="L2515" i="1"/>
  <c r="K2515" i="1"/>
  <c r="I2515" i="1"/>
  <c r="O2514" i="1"/>
  <c r="P2514" i="1" s="1"/>
  <c r="N2514" i="1"/>
  <c r="M2514" i="1"/>
  <c r="L2514" i="1"/>
  <c r="K2514" i="1"/>
  <c r="I2514" i="1"/>
  <c r="O2513" i="1"/>
  <c r="P2513" i="1" s="1"/>
  <c r="N2513" i="1"/>
  <c r="M2513" i="1"/>
  <c r="L2513" i="1"/>
  <c r="K2513" i="1"/>
  <c r="I2513" i="1"/>
  <c r="O2512" i="1"/>
  <c r="P2512" i="1" s="1"/>
  <c r="N2512" i="1"/>
  <c r="M2512" i="1"/>
  <c r="L2512" i="1"/>
  <c r="K2512" i="1"/>
  <c r="I2512" i="1"/>
  <c r="O2511" i="1"/>
  <c r="P2511" i="1" s="1"/>
  <c r="N2511" i="1"/>
  <c r="M2511" i="1"/>
  <c r="L2511" i="1"/>
  <c r="K2511" i="1"/>
  <c r="I2511" i="1"/>
  <c r="O2510" i="1"/>
  <c r="P2510" i="1" s="1"/>
  <c r="N2510" i="1"/>
  <c r="M2510" i="1"/>
  <c r="L2510" i="1"/>
  <c r="K2510" i="1"/>
  <c r="I2510" i="1"/>
  <c r="O2509" i="1"/>
  <c r="P2509" i="1" s="1"/>
  <c r="N2509" i="1"/>
  <c r="M2509" i="1"/>
  <c r="L2509" i="1"/>
  <c r="K2509" i="1"/>
  <c r="I2509" i="1"/>
  <c r="O2508" i="1"/>
  <c r="P2508" i="1" s="1"/>
  <c r="N2508" i="1"/>
  <c r="M2508" i="1"/>
  <c r="L2508" i="1"/>
  <c r="K2508" i="1"/>
  <c r="I2508" i="1"/>
  <c r="O2507" i="1"/>
  <c r="P2507" i="1" s="1"/>
  <c r="N2507" i="1"/>
  <c r="M2507" i="1"/>
  <c r="L2507" i="1"/>
  <c r="K2507" i="1"/>
  <c r="I2507" i="1"/>
  <c r="O2506" i="1"/>
  <c r="P2506" i="1" s="1"/>
  <c r="N2506" i="1"/>
  <c r="M2506" i="1"/>
  <c r="L2506" i="1"/>
  <c r="K2506" i="1"/>
  <c r="I2506" i="1"/>
  <c r="O2505" i="1"/>
  <c r="P2505" i="1" s="1"/>
  <c r="N2505" i="1"/>
  <c r="M2505" i="1"/>
  <c r="L2505" i="1"/>
  <c r="K2505" i="1"/>
  <c r="I2505" i="1"/>
  <c r="O2504" i="1"/>
  <c r="P2504" i="1" s="1"/>
  <c r="N2504" i="1"/>
  <c r="M2504" i="1"/>
  <c r="L2504" i="1"/>
  <c r="K2504" i="1"/>
  <c r="I2504" i="1"/>
  <c r="O2503" i="1"/>
  <c r="P2503" i="1" s="1"/>
  <c r="N2503" i="1"/>
  <c r="M2503" i="1"/>
  <c r="L2503" i="1"/>
  <c r="K2503" i="1"/>
  <c r="I2503" i="1"/>
  <c r="O2502" i="1"/>
  <c r="P2502" i="1" s="1"/>
  <c r="N2502" i="1"/>
  <c r="M2502" i="1"/>
  <c r="L2502" i="1"/>
  <c r="K2502" i="1"/>
  <c r="I2502" i="1"/>
  <c r="O2501" i="1"/>
  <c r="P2501" i="1" s="1"/>
  <c r="N2501" i="1"/>
  <c r="M2501" i="1"/>
  <c r="L2501" i="1"/>
  <c r="K2501" i="1"/>
  <c r="I2501" i="1"/>
  <c r="O2500" i="1"/>
  <c r="P2500" i="1" s="1"/>
  <c r="N2500" i="1"/>
  <c r="M2500" i="1"/>
  <c r="L2500" i="1"/>
  <c r="K2500" i="1"/>
  <c r="I2500" i="1"/>
  <c r="O2499" i="1"/>
  <c r="P2499" i="1" s="1"/>
  <c r="N2499" i="1"/>
  <c r="M2499" i="1"/>
  <c r="L2499" i="1"/>
  <c r="K2499" i="1"/>
  <c r="I2499" i="1"/>
  <c r="O2498" i="1"/>
  <c r="P2498" i="1" s="1"/>
  <c r="N2498" i="1"/>
  <c r="M2498" i="1"/>
  <c r="L2498" i="1"/>
  <c r="K2498" i="1"/>
  <c r="I2498" i="1"/>
  <c r="O2497" i="1"/>
  <c r="P2497" i="1" s="1"/>
  <c r="N2497" i="1"/>
  <c r="M2497" i="1"/>
  <c r="L2497" i="1"/>
  <c r="K2497" i="1"/>
  <c r="I2497" i="1"/>
  <c r="O2496" i="1"/>
  <c r="P2496" i="1" s="1"/>
  <c r="N2496" i="1"/>
  <c r="M2496" i="1"/>
  <c r="L2496" i="1"/>
  <c r="K2496" i="1"/>
  <c r="I2496" i="1"/>
  <c r="O2495" i="1"/>
  <c r="P2495" i="1" s="1"/>
  <c r="N2495" i="1"/>
  <c r="M2495" i="1"/>
  <c r="L2495" i="1"/>
  <c r="K2495" i="1"/>
  <c r="I2495" i="1"/>
  <c r="O2494" i="1"/>
  <c r="P2494" i="1" s="1"/>
  <c r="N2494" i="1"/>
  <c r="M2494" i="1"/>
  <c r="L2494" i="1"/>
  <c r="K2494" i="1"/>
  <c r="I2494" i="1"/>
  <c r="O2493" i="1"/>
  <c r="P2493" i="1" s="1"/>
  <c r="N2493" i="1"/>
  <c r="M2493" i="1"/>
  <c r="L2493" i="1"/>
  <c r="K2493" i="1"/>
  <c r="I2493" i="1"/>
  <c r="O2492" i="1"/>
  <c r="P2492" i="1" s="1"/>
  <c r="N2492" i="1"/>
  <c r="M2492" i="1"/>
  <c r="L2492" i="1"/>
  <c r="K2492" i="1"/>
  <c r="I2492" i="1"/>
  <c r="O2491" i="1"/>
  <c r="P2491" i="1" s="1"/>
  <c r="N2491" i="1"/>
  <c r="M2491" i="1"/>
  <c r="L2491" i="1"/>
  <c r="K2491" i="1"/>
  <c r="I2491" i="1"/>
  <c r="O2490" i="1"/>
  <c r="P2490" i="1" s="1"/>
  <c r="N2490" i="1"/>
  <c r="M2490" i="1"/>
  <c r="L2490" i="1"/>
  <c r="K2490" i="1"/>
  <c r="I2490" i="1"/>
  <c r="O2489" i="1"/>
  <c r="P2489" i="1" s="1"/>
  <c r="N2489" i="1"/>
  <c r="M2489" i="1"/>
  <c r="L2489" i="1"/>
  <c r="K2489" i="1"/>
  <c r="I2489" i="1"/>
  <c r="O2488" i="1"/>
  <c r="P2488" i="1" s="1"/>
  <c r="N2488" i="1"/>
  <c r="M2488" i="1"/>
  <c r="L2488" i="1"/>
  <c r="K2488" i="1"/>
  <c r="I2488" i="1"/>
  <c r="O2487" i="1"/>
  <c r="P2487" i="1" s="1"/>
  <c r="N2487" i="1"/>
  <c r="M2487" i="1"/>
  <c r="L2487" i="1"/>
  <c r="K2487" i="1"/>
  <c r="I2487" i="1"/>
  <c r="O2486" i="1"/>
  <c r="P2486" i="1" s="1"/>
  <c r="N2486" i="1"/>
  <c r="M2486" i="1"/>
  <c r="L2486" i="1"/>
  <c r="K2486" i="1"/>
  <c r="I2486" i="1"/>
  <c r="O2485" i="1"/>
  <c r="P2485" i="1" s="1"/>
  <c r="N2485" i="1"/>
  <c r="M2485" i="1"/>
  <c r="L2485" i="1"/>
  <c r="K2485" i="1"/>
  <c r="I2485" i="1"/>
  <c r="O2484" i="1"/>
  <c r="P2484" i="1" s="1"/>
  <c r="N2484" i="1"/>
  <c r="M2484" i="1"/>
  <c r="L2484" i="1"/>
  <c r="K2484" i="1"/>
  <c r="I2484" i="1"/>
  <c r="O2483" i="1"/>
  <c r="P2483" i="1" s="1"/>
  <c r="N2483" i="1"/>
  <c r="M2483" i="1"/>
  <c r="L2483" i="1"/>
  <c r="K2483" i="1"/>
  <c r="I2483" i="1"/>
  <c r="O2482" i="1"/>
  <c r="P2482" i="1" s="1"/>
  <c r="N2482" i="1"/>
  <c r="M2482" i="1"/>
  <c r="L2482" i="1"/>
  <c r="K2482" i="1"/>
  <c r="I2482" i="1"/>
  <c r="O2481" i="1"/>
  <c r="P2481" i="1" s="1"/>
  <c r="N2481" i="1"/>
  <c r="M2481" i="1"/>
  <c r="L2481" i="1"/>
  <c r="K2481" i="1"/>
  <c r="I2481" i="1"/>
  <c r="O2480" i="1"/>
  <c r="P2480" i="1" s="1"/>
  <c r="N2480" i="1"/>
  <c r="M2480" i="1"/>
  <c r="L2480" i="1"/>
  <c r="K2480" i="1"/>
  <c r="I2480" i="1"/>
  <c r="O2479" i="1"/>
  <c r="P2479" i="1" s="1"/>
  <c r="N2479" i="1"/>
  <c r="M2479" i="1"/>
  <c r="L2479" i="1"/>
  <c r="K2479" i="1"/>
  <c r="I2479" i="1"/>
  <c r="O2478" i="1"/>
  <c r="P2478" i="1" s="1"/>
  <c r="N2478" i="1"/>
  <c r="M2478" i="1"/>
  <c r="L2478" i="1"/>
  <c r="K2478" i="1"/>
  <c r="I2478" i="1"/>
  <c r="O2477" i="1"/>
  <c r="P2477" i="1" s="1"/>
  <c r="N2477" i="1"/>
  <c r="M2477" i="1"/>
  <c r="L2477" i="1"/>
  <c r="K2477" i="1"/>
  <c r="I2477" i="1"/>
  <c r="O2476" i="1"/>
  <c r="P2476" i="1" s="1"/>
  <c r="N2476" i="1"/>
  <c r="M2476" i="1"/>
  <c r="L2476" i="1"/>
  <c r="K2476" i="1"/>
  <c r="I2476" i="1"/>
  <c r="O2475" i="1"/>
  <c r="P2475" i="1" s="1"/>
  <c r="N2475" i="1"/>
  <c r="M2475" i="1"/>
  <c r="L2475" i="1"/>
  <c r="K2475" i="1"/>
  <c r="I2475" i="1"/>
  <c r="O2474" i="1"/>
  <c r="P2474" i="1" s="1"/>
  <c r="N2474" i="1"/>
  <c r="M2474" i="1"/>
  <c r="L2474" i="1"/>
  <c r="K2474" i="1"/>
  <c r="I2474" i="1"/>
  <c r="O2473" i="1"/>
  <c r="P2473" i="1" s="1"/>
  <c r="N2473" i="1"/>
  <c r="M2473" i="1"/>
  <c r="L2473" i="1"/>
  <c r="K2473" i="1"/>
  <c r="I2473" i="1"/>
  <c r="O2472" i="1"/>
  <c r="P2472" i="1" s="1"/>
  <c r="N2472" i="1"/>
  <c r="M2472" i="1"/>
  <c r="L2472" i="1"/>
  <c r="K2472" i="1"/>
  <c r="I2472" i="1"/>
  <c r="O2471" i="1"/>
  <c r="P2471" i="1" s="1"/>
  <c r="N2471" i="1"/>
  <c r="M2471" i="1"/>
  <c r="L2471" i="1"/>
  <c r="K2471" i="1"/>
  <c r="I2471" i="1"/>
  <c r="O2470" i="1"/>
  <c r="P2470" i="1" s="1"/>
  <c r="N2470" i="1"/>
  <c r="M2470" i="1"/>
  <c r="L2470" i="1"/>
  <c r="K2470" i="1"/>
  <c r="I2470" i="1"/>
  <c r="O2469" i="1"/>
  <c r="P2469" i="1" s="1"/>
  <c r="N2469" i="1"/>
  <c r="M2469" i="1"/>
  <c r="L2469" i="1"/>
  <c r="K2469" i="1"/>
  <c r="I2469" i="1"/>
  <c r="O2468" i="1"/>
  <c r="P2468" i="1" s="1"/>
  <c r="N2468" i="1"/>
  <c r="M2468" i="1"/>
  <c r="L2468" i="1"/>
  <c r="K2468" i="1"/>
  <c r="I2468" i="1"/>
  <c r="O2467" i="1"/>
  <c r="P2467" i="1" s="1"/>
  <c r="N2467" i="1"/>
  <c r="M2467" i="1"/>
  <c r="L2467" i="1"/>
  <c r="K2467" i="1"/>
  <c r="I2467" i="1"/>
  <c r="O2466" i="1"/>
  <c r="P2466" i="1" s="1"/>
  <c r="N2466" i="1"/>
  <c r="M2466" i="1"/>
  <c r="L2466" i="1"/>
  <c r="K2466" i="1"/>
  <c r="I2466" i="1"/>
  <c r="O2465" i="1"/>
  <c r="P2465" i="1" s="1"/>
  <c r="N2465" i="1"/>
  <c r="M2465" i="1"/>
  <c r="L2465" i="1"/>
  <c r="K2465" i="1"/>
  <c r="I2465" i="1"/>
  <c r="O2464" i="1"/>
  <c r="P2464" i="1" s="1"/>
  <c r="N2464" i="1"/>
  <c r="M2464" i="1"/>
  <c r="L2464" i="1"/>
  <c r="K2464" i="1"/>
  <c r="I2464" i="1"/>
  <c r="O2463" i="1"/>
  <c r="P2463" i="1" s="1"/>
  <c r="N2463" i="1"/>
  <c r="M2463" i="1"/>
  <c r="L2463" i="1"/>
  <c r="K2463" i="1"/>
  <c r="I2463" i="1"/>
  <c r="O2462" i="1"/>
  <c r="P2462" i="1" s="1"/>
  <c r="N2462" i="1"/>
  <c r="M2462" i="1"/>
  <c r="L2462" i="1"/>
  <c r="K2462" i="1"/>
  <c r="I2462" i="1"/>
  <c r="O2461" i="1"/>
  <c r="P2461" i="1" s="1"/>
  <c r="N2461" i="1"/>
  <c r="M2461" i="1"/>
  <c r="L2461" i="1"/>
  <c r="K2461" i="1"/>
  <c r="I2461" i="1"/>
  <c r="O2460" i="1"/>
  <c r="P2460" i="1" s="1"/>
  <c r="N2460" i="1"/>
  <c r="M2460" i="1"/>
  <c r="L2460" i="1"/>
  <c r="K2460" i="1"/>
  <c r="I2460" i="1"/>
  <c r="O2459" i="1"/>
  <c r="P2459" i="1" s="1"/>
  <c r="N2459" i="1"/>
  <c r="M2459" i="1"/>
  <c r="L2459" i="1"/>
  <c r="K2459" i="1"/>
  <c r="I2459" i="1"/>
  <c r="O2458" i="1"/>
  <c r="P2458" i="1" s="1"/>
  <c r="N2458" i="1"/>
  <c r="M2458" i="1"/>
  <c r="L2458" i="1"/>
  <c r="K2458" i="1"/>
  <c r="I2458" i="1"/>
  <c r="O2457" i="1"/>
  <c r="P2457" i="1" s="1"/>
  <c r="N2457" i="1"/>
  <c r="M2457" i="1"/>
  <c r="L2457" i="1"/>
  <c r="K2457" i="1"/>
  <c r="I2457" i="1"/>
  <c r="O2456" i="1"/>
  <c r="P2456" i="1" s="1"/>
  <c r="N2456" i="1"/>
  <c r="M2456" i="1"/>
  <c r="L2456" i="1"/>
  <c r="K2456" i="1"/>
  <c r="I2456" i="1"/>
  <c r="O2455" i="1"/>
  <c r="P2455" i="1" s="1"/>
  <c r="N2455" i="1"/>
  <c r="M2455" i="1"/>
  <c r="L2455" i="1"/>
  <c r="K2455" i="1"/>
  <c r="I2455" i="1"/>
  <c r="O2454" i="1"/>
  <c r="P2454" i="1" s="1"/>
  <c r="N2454" i="1"/>
  <c r="M2454" i="1"/>
  <c r="L2454" i="1"/>
  <c r="K2454" i="1"/>
  <c r="I2454" i="1"/>
  <c r="O2453" i="1"/>
  <c r="P2453" i="1" s="1"/>
  <c r="N2453" i="1"/>
  <c r="M2453" i="1"/>
  <c r="L2453" i="1"/>
  <c r="K2453" i="1"/>
  <c r="I2453" i="1"/>
  <c r="O2452" i="1"/>
  <c r="P2452" i="1" s="1"/>
  <c r="N2452" i="1"/>
  <c r="M2452" i="1"/>
  <c r="L2452" i="1"/>
  <c r="K2452" i="1"/>
  <c r="I2452" i="1"/>
  <c r="O2451" i="1"/>
  <c r="P2451" i="1" s="1"/>
  <c r="N2451" i="1"/>
  <c r="M2451" i="1"/>
  <c r="L2451" i="1"/>
  <c r="K2451" i="1"/>
  <c r="I2451" i="1"/>
  <c r="O2450" i="1"/>
  <c r="P2450" i="1" s="1"/>
  <c r="N2450" i="1"/>
  <c r="M2450" i="1"/>
  <c r="L2450" i="1"/>
  <c r="K2450" i="1"/>
  <c r="I2450" i="1"/>
  <c r="O2449" i="1"/>
  <c r="P2449" i="1" s="1"/>
  <c r="N2449" i="1"/>
  <c r="M2449" i="1"/>
  <c r="L2449" i="1"/>
  <c r="K2449" i="1"/>
  <c r="I2449" i="1"/>
  <c r="O2448" i="1"/>
  <c r="P2448" i="1" s="1"/>
  <c r="N2448" i="1"/>
  <c r="M2448" i="1"/>
  <c r="L2448" i="1"/>
  <c r="K2448" i="1"/>
  <c r="I2448" i="1"/>
  <c r="O2447" i="1"/>
  <c r="P2447" i="1" s="1"/>
  <c r="N2447" i="1"/>
  <c r="M2447" i="1"/>
  <c r="L2447" i="1"/>
  <c r="K2447" i="1"/>
  <c r="I2447" i="1"/>
  <c r="O2446" i="1"/>
  <c r="P2446" i="1" s="1"/>
  <c r="N2446" i="1"/>
  <c r="M2446" i="1"/>
  <c r="L2446" i="1"/>
  <c r="K2446" i="1"/>
  <c r="I2446" i="1"/>
  <c r="O2445" i="1"/>
  <c r="P2445" i="1" s="1"/>
  <c r="N2445" i="1"/>
  <c r="M2445" i="1"/>
  <c r="L2445" i="1"/>
  <c r="K2445" i="1"/>
  <c r="I2445" i="1"/>
  <c r="O2444" i="1"/>
  <c r="P2444" i="1" s="1"/>
  <c r="N2444" i="1"/>
  <c r="M2444" i="1"/>
  <c r="L2444" i="1"/>
  <c r="K2444" i="1"/>
  <c r="I2444" i="1"/>
  <c r="O2443" i="1"/>
  <c r="P2443" i="1" s="1"/>
  <c r="N2443" i="1"/>
  <c r="M2443" i="1"/>
  <c r="L2443" i="1"/>
  <c r="K2443" i="1"/>
  <c r="I2443" i="1"/>
  <c r="O2442" i="1"/>
  <c r="P2442" i="1" s="1"/>
  <c r="N2442" i="1"/>
  <c r="M2442" i="1"/>
  <c r="L2442" i="1"/>
  <c r="K2442" i="1"/>
  <c r="I2442" i="1"/>
  <c r="O2441" i="1"/>
  <c r="P2441" i="1" s="1"/>
  <c r="N2441" i="1"/>
  <c r="M2441" i="1"/>
  <c r="L2441" i="1"/>
  <c r="K2441" i="1"/>
  <c r="I2441" i="1"/>
  <c r="O2440" i="1"/>
  <c r="P2440" i="1" s="1"/>
  <c r="N2440" i="1"/>
  <c r="M2440" i="1"/>
  <c r="L2440" i="1"/>
  <c r="K2440" i="1"/>
  <c r="I2440" i="1"/>
  <c r="O2439" i="1"/>
  <c r="P2439" i="1" s="1"/>
  <c r="N2439" i="1"/>
  <c r="M2439" i="1"/>
  <c r="L2439" i="1"/>
  <c r="K2439" i="1"/>
  <c r="I2439" i="1"/>
  <c r="O2438" i="1"/>
  <c r="P2438" i="1" s="1"/>
  <c r="N2438" i="1"/>
  <c r="M2438" i="1"/>
  <c r="L2438" i="1"/>
  <c r="K2438" i="1"/>
  <c r="I2438" i="1"/>
  <c r="O2437" i="1"/>
  <c r="P2437" i="1" s="1"/>
  <c r="N2437" i="1"/>
  <c r="M2437" i="1"/>
  <c r="L2437" i="1"/>
  <c r="K2437" i="1"/>
  <c r="I2437" i="1"/>
  <c r="O2436" i="1"/>
  <c r="P2436" i="1" s="1"/>
  <c r="N2436" i="1"/>
  <c r="M2436" i="1"/>
  <c r="L2436" i="1"/>
  <c r="K2436" i="1"/>
  <c r="I2436" i="1"/>
  <c r="O2435" i="1"/>
  <c r="P2435" i="1" s="1"/>
  <c r="N2435" i="1"/>
  <c r="M2435" i="1"/>
  <c r="L2435" i="1"/>
  <c r="K2435" i="1"/>
  <c r="I2435" i="1"/>
  <c r="O2434" i="1"/>
  <c r="P2434" i="1" s="1"/>
  <c r="N2434" i="1"/>
  <c r="M2434" i="1"/>
  <c r="L2434" i="1"/>
  <c r="K2434" i="1"/>
  <c r="I2434" i="1"/>
  <c r="O2433" i="1"/>
  <c r="P2433" i="1" s="1"/>
  <c r="N2433" i="1"/>
  <c r="M2433" i="1"/>
  <c r="L2433" i="1"/>
  <c r="K2433" i="1"/>
  <c r="I2433" i="1"/>
  <c r="O2432" i="1"/>
  <c r="P2432" i="1" s="1"/>
  <c r="N2432" i="1"/>
  <c r="M2432" i="1"/>
  <c r="L2432" i="1"/>
  <c r="K2432" i="1"/>
  <c r="I2432" i="1"/>
  <c r="O2431" i="1"/>
  <c r="P2431" i="1" s="1"/>
  <c r="N2431" i="1"/>
  <c r="M2431" i="1"/>
  <c r="L2431" i="1"/>
  <c r="K2431" i="1"/>
  <c r="I2431" i="1"/>
  <c r="O2430" i="1"/>
  <c r="P2430" i="1" s="1"/>
  <c r="N2430" i="1"/>
  <c r="M2430" i="1"/>
  <c r="L2430" i="1"/>
  <c r="K2430" i="1"/>
  <c r="I2430" i="1"/>
  <c r="O2429" i="1"/>
  <c r="P2429" i="1" s="1"/>
  <c r="N2429" i="1"/>
  <c r="M2429" i="1"/>
  <c r="L2429" i="1"/>
  <c r="K2429" i="1"/>
  <c r="I2429" i="1"/>
  <c r="O2428" i="1"/>
  <c r="P2428" i="1" s="1"/>
  <c r="N2428" i="1"/>
  <c r="M2428" i="1"/>
  <c r="L2428" i="1"/>
  <c r="K2428" i="1"/>
  <c r="I2428" i="1"/>
  <c r="O2427" i="1"/>
  <c r="P2427" i="1" s="1"/>
  <c r="N2427" i="1"/>
  <c r="M2427" i="1"/>
  <c r="L2427" i="1"/>
  <c r="K2427" i="1"/>
  <c r="I2427" i="1"/>
  <c r="O2426" i="1"/>
  <c r="P2426" i="1" s="1"/>
  <c r="N2426" i="1"/>
  <c r="M2426" i="1"/>
  <c r="L2426" i="1"/>
  <c r="K2426" i="1"/>
  <c r="I2426" i="1"/>
  <c r="O2425" i="1"/>
  <c r="P2425" i="1" s="1"/>
  <c r="N2425" i="1"/>
  <c r="M2425" i="1"/>
  <c r="L2425" i="1"/>
  <c r="K2425" i="1"/>
  <c r="I2425" i="1"/>
  <c r="O2424" i="1"/>
  <c r="P2424" i="1" s="1"/>
  <c r="N2424" i="1"/>
  <c r="M2424" i="1"/>
  <c r="L2424" i="1"/>
  <c r="K2424" i="1"/>
  <c r="I2424" i="1"/>
  <c r="O2423" i="1"/>
  <c r="P2423" i="1" s="1"/>
  <c r="N2423" i="1"/>
  <c r="M2423" i="1"/>
  <c r="L2423" i="1"/>
  <c r="K2423" i="1"/>
  <c r="I2423" i="1"/>
  <c r="O2422" i="1"/>
  <c r="P2422" i="1" s="1"/>
  <c r="N2422" i="1"/>
  <c r="M2422" i="1"/>
  <c r="L2422" i="1"/>
  <c r="K2422" i="1"/>
  <c r="I2422" i="1"/>
  <c r="O2421" i="1"/>
  <c r="P2421" i="1" s="1"/>
  <c r="N2421" i="1"/>
  <c r="M2421" i="1"/>
  <c r="L2421" i="1"/>
  <c r="K2421" i="1"/>
  <c r="I2421" i="1"/>
  <c r="O2420" i="1"/>
  <c r="P2420" i="1" s="1"/>
  <c r="N2420" i="1"/>
  <c r="M2420" i="1"/>
  <c r="L2420" i="1"/>
  <c r="K2420" i="1"/>
  <c r="I2420" i="1"/>
  <c r="O2419" i="1"/>
  <c r="P2419" i="1" s="1"/>
  <c r="N2419" i="1"/>
  <c r="M2419" i="1"/>
  <c r="L2419" i="1"/>
  <c r="K2419" i="1"/>
  <c r="I2419" i="1"/>
  <c r="O2418" i="1"/>
  <c r="P2418" i="1" s="1"/>
  <c r="N2418" i="1"/>
  <c r="M2418" i="1"/>
  <c r="L2418" i="1"/>
  <c r="K2418" i="1"/>
  <c r="I2418" i="1"/>
  <c r="O2417" i="1"/>
  <c r="P2417" i="1" s="1"/>
  <c r="N2417" i="1"/>
  <c r="M2417" i="1"/>
  <c r="L2417" i="1"/>
  <c r="K2417" i="1"/>
  <c r="I2417" i="1"/>
  <c r="O2416" i="1"/>
  <c r="P2416" i="1" s="1"/>
  <c r="N2416" i="1"/>
  <c r="M2416" i="1"/>
  <c r="L2416" i="1"/>
  <c r="K2416" i="1"/>
  <c r="I2416" i="1"/>
  <c r="O2415" i="1"/>
  <c r="P2415" i="1" s="1"/>
  <c r="N2415" i="1"/>
  <c r="M2415" i="1"/>
  <c r="L2415" i="1"/>
  <c r="K2415" i="1"/>
  <c r="I2415" i="1"/>
  <c r="O2414" i="1"/>
  <c r="P2414" i="1" s="1"/>
  <c r="N2414" i="1"/>
  <c r="M2414" i="1"/>
  <c r="L2414" i="1"/>
  <c r="K2414" i="1"/>
  <c r="I2414" i="1"/>
  <c r="O2413" i="1"/>
  <c r="P2413" i="1" s="1"/>
  <c r="N2413" i="1"/>
  <c r="M2413" i="1"/>
  <c r="L2413" i="1"/>
  <c r="K2413" i="1"/>
  <c r="I2413" i="1"/>
  <c r="O2412" i="1"/>
  <c r="P2412" i="1" s="1"/>
  <c r="N2412" i="1"/>
  <c r="M2412" i="1"/>
  <c r="L2412" i="1"/>
  <c r="K2412" i="1"/>
  <c r="I2412" i="1"/>
  <c r="O2411" i="1"/>
  <c r="P2411" i="1" s="1"/>
  <c r="N2411" i="1"/>
  <c r="M2411" i="1"/>
  <c r="L2411" i="1"/>
  <c r="K2411" i="1"/>
  <c r="I2411" i="1"/>
  <c r="O2410" i="1"/>
  <c r="P2410" i="1" s="1"/>
  <c r="N2410" i="1"/>
  <c r="M2410" i="1"/>
  <c r="L2410" i="1"/>
  <c r="K2410" i="1"/>
  <c r="I2410" i="1"/>
  <c r="O2409" i="1"/>
  <c r="P2409" i="1" s="1"/>
  <c r="N2409" i="1"/>
  <c r="M2409" i="1"/>
  <c r="L2409" i="1"/>
  <c r="K2409" i="1"/>
  <c r="I2409" i="1"/>
  <c r="O2408" i="1"/>
  <c r="P2408" i="1" s="1"/>
  <c r="N2408" i="1"/>
  <c r="M2408" i="1"/>
  <c r="L2408" i="1"/>
  <c r="K2408" i="1"/>
  <c r="I2408" i="1"/>
  <c r="O2407" i="1"/>
  <c r="P2407" i="1" s="1"/>
  <c r="N2407" i="1"/>
  <c r="M2407" i="1"/>
  <c r="L2407" i="1"/>
  <c r="K2407" i="1"/>
  <c r="I2407" i="1"/>
  <c r="O2406" i="1"/>
  <c r="P2406" i="1" s="1"/>
  <c r="N2406" i="1"/>
  <c r="M2406" i="1"/>
  <c r="L2406" i="1"/>
  <c r="K2406" i="1"/>
  <c r="I2406" i="1"/>
  <c r="O2405" i="1"/>
  <c r="P2405" i="1" s="1"/>
  <c r="N2405" i="1"/>
  <c r="M2405" i="1"/>
  <c r="L2405" i="1"/>
  <c r="K2405" i="1"/>
  <c r="I2405" i="1"/>
  <c r="O2404" i="1"/>
  <c r="P2404" i="1" s="1"/>
  <c r="N2404" i="1"/>
  <c r="M2404" i="1"/>
  <c r="L2404" i="1"/>
  <c r="K2404" i="1"/>
  <c r="I2404" i="1"/>
  <c r="O2403" i="1"/>
  <c r="P2403" i="1" s="1"/>
  <c r="N2403" i="1"/>
  <c r="M2403" i="1"/>
  <c r="L2403" i="1"/>
  <c r="K2403" i="1"/>
  <c r="I2403" i="1"/>
  <c r="O2402" i="1"/>
  <c r="P2402" i="1" s="1"/>
  <c r="N2402" i="1"/>
  <c r="M2402" i="1"/>
  <c r="L2402" i="1"/>
  <c r="K2402" i="1"/>
  <c r="I2402" i="1"/>
  <c r="O2401" i="1"/>
  <c r="P2401" i="1" s="1"/>
  <c r="N2401" i="1"/>
  <c r="M2401" i="1"/>
  <c r="L2401" i="1"/>
  <c r="K2401" i="1"/>
  <c r="I2401" i="1"/>
  <c r="O2400" i="1"/>
  <c r="P2400" i="1" s="1"/>
  <c r="N2400" i="1"/>
  <c r="M2400" i="1"/>
  <c r="L2400" i="1"/>
  <c r="K2400" i="1"/>
  <c r="I2400" i="1"/>
  <c r="O2399" i="1"/>
  <c r="P2399" i="1" s="1"/>
  <c r="N2399" i="1"/>
  <c r="M2399" i="1"/>
  <c r="L2399" i="1"/>
  <c r="K2399" i="1"/>
  <c r="I2399" i="1"/>
  <c r="O2398" i="1"/>
  <c r="P2398" i="1" s="1"/>
  <c r="N2398" i="1"/>
  <c r="M2398" i="1"/>
  <c r="L2398" i="1"/>
  <c r="K2398" i="1"/>
  <c r="I2398" i="1"/>
  <c r="O2397" i="1"/>
  <c r="P2397" i="1" s="1"/>
  <c r="N2397" i="1"/>
  <c r="M2397" i="1"/>
  <c r="L2397" i="1"/>
  <c r="K2397" i="1"/>
  <c r="I2397" i="1"/>
  <c r="O2396" i="1"/>
  <c r="P2396" i="1" s="1"/>
  <c r="N2396" i="1"/>
  <c r="M2396" i="1"/>
  <c r="L2396" i="1"/>
  <c r="K2396" i="1"/>
  <c r="I2396" i="1"/>
  <c r="O2395" i="1"/>
  <c r="P2395" i="1" s="1"/>
  <c r="N2395" i="1"/>
  <c r="M2395" i="1"/>
  <c r="L2395" i="1"/>
  <c r="K2395" i="1"/>
  <c r="I2395" i="1"/>
  <c r="O2394" i="1"/>
  <c r="P2394" i="1" s="1"/>
  <c r="N2394" i="1"/>
  <c r="M2394" i="1"/>
  <c r="L2394" i="1"/>
  <c r="K2394" i="1"/>
  <c r="I2394" i="1"/>
  <c r="O2393" i="1"/>
  <c r="P2393" i="1" s="1"/>
  <c r="N2393" i="1"/>
  <c r="M2393" i="1"/>
  <c r="L2393" i="1"/>
  <c r="K2393" i="1"/>
  <c r="I2393" i="1"/>
  <c r="O2392" i="1"/>
  <c r="P2392" i="1" s="1"/>
  <c r="N2392" i="1"/>
  <c r="M2392" i="1"/>
  <c r="L2392" i="1"/>
  <c r="K2392" i="1"/>
  <c r="I2392" i="1"/>
  <c r="O2391" i="1"/>
  <c r="P2391" i="1" s="1"/>
  <c r="N2391" i="1"/>
  <c r="M2391" i="1"/>
  <c r="L2391" i="1"/>
  <c r="K2391" i="1"/>
  <c r="I2391" i="1"/>
  <c r="O2390" i="1"/>
  <c r="P2390" i="1" s="1"/>
  <c r="N2390" i="1"/>
  <c r="M2390" i="1"/>
  <c r="L2390" i="1"/>
  <c r="K2390" i="1"/>
  <c r="I2390" i="1"/>
  <c r="O2389" i="1"/>
  <c r="P2389" i="1" s="1"/>
  <c r="N2389" i="1"/>
  <c r="M2389" i="1"/>
  <c r="L2389" i="1"/>
  <c r="K2389" i="1"/>
  <c r="I2389" i="1"/>
  <c r="O2388" i="1"/>
  <c r="P2388" i="1" s="1"/>
  <c r="N2388" i="1"/>
  <c r="M2388" i="1"/>
  <c r="L2388" i="1"/>
  <c r="K2388" i="1"/>
  <c r="I2388" i="1"/>
  <c r="O2387" i="1"/>
  <c r="P2387" i="1" s="1"/>
  <c r="N2387" i="1"/>
  <c r="M2387" i="1"/>
  <c r="L2387" i="1"/>
  <c r="K2387" i="1"/>
  <c r="I2387" i="1"/>
  <c r="O2386" i="1"/>
  <c r="P2386" i="1" s="1"/>
  <c r="N2386" i="1"/>
  <c r="M2386" i="1"/>
  <c r="L2386" i="1"/>
  <c r="K2386" i="1"/>
  <c r="I2386" i="1"/>
  <c r="O2385" i="1"/>
  <c r="P2385" i="1" s="1"/>
  <c r="N2385" i="1"/>
  <c r="M2385" i="1"/>
  <c r="L2385" i="1"/>
  <c r="K2385" i="1"/>
  <c r="I2385" i="1"/>
  <c r="O2384" i="1"/>
  <c r="P2384" i="1" s="1"/>
  <c r="N2384" i="1"/>
  <c r="M2384" i="1"/>
  <c r="L2384" i="1"/>
  <c r="K2384" i="1"/>
  <c r="I2384" i="1"/>
  <c r="O2383" i="1"/>
  <c r="P2383" i="1" s="1"/>
  <c r="N2383" i="1"/>
  <c r="M2383" i="1"/>
  <c r="L2383" i="1"/>
  <c r="K2383" i="1"/>
  <c r="I2383" i="1"/>
  <c r="O2382" i="1"/>
  <c r="P2382" i="1" s="1"/>
  <c r="N2382" i="1"/>
  <c r="M2382" i="1"/>
  <c r="L2382" i="1"/>
  <c r="K2382" i="1"/>
  <c r="I2382" i="1"/>
  <c r="O2381" i="1"/>
  <c r="P2381" i="1" s="1"/>
  <c r="N2381" i="1"/>
  <c r="M2381" i="1"/>
  <c r="L2381" i="1"/>
  <c r="K2381" i="1"/>
  <c r="I2381" i="1"/>
  <c r="O2380" i="1"/>
  <c r="P2380" i="1" s="1"/>
  <c r="N2380" i="1"/>
  <c r="M2380" i="1"/>
  <c r="L2380" i="1"/>
  <c r="K2380" i="1"/>
  <c r="I2380" i="1"/>
  <c r="O2379" i="1"/>
  <c r="P2379" i="1" s="1"/>
  <c r="N2379" i="1"/>
  <c r="M2379" i="1"/>
  <c r="L2379" i="1"/>
  <c r="K2379" i="1"/>
  <c r="I2379" i="1"/>
  <c r="O2378" i="1"/>
  <c r="P2378" i="1" s="1"/>
  <c r="N2378" i="1"/>
  <c r="M2378" i="1"/>
  <c r="L2378" i="1"/>
  <c r="K2378" i="1"/>
  <c r="I2378" i="1"/>
  <c r="O2377" i="1"/>
  <c r="P2377" i="1" s="1"/>
  <c r="N2377" i="1"/>
  <c r="M2377" i="1"/>
  <c r="L2377" i="1"/>
  <c r="K2377" i="1"/>
  <c r="I2377" i="1"/>
  <c r="O2376" i="1"/>
  <c r="P2376" i="1" s="1"/>
  <c r="N2376" i="1"/>
  <c r="M2376" i="1"/>
  <c r="L2376" i="1"/>
  <c r="K2376" i="1"/>
  <c r="I2376" i="1"/>
  <c r="O2375" i="1"/>
  <c r="P2375" i="1" s="1"/>
  <c r="N2375" i="1"/>
  <c r="M2375" i="1"/>
  <c r="L2375" i="1"/>
  <c r="K2375" i="1"/>
  <c r="I2375" i="1"/>
  <c r="O2374" i="1"/>
  <c r="P2374" i="1" s="1"/>
  <c r="N2374" i="1"/>
  <c r="M2374" i="1"/>
  <c r="L2374" i="1"/>
  <c r="K2374" i="1"/>
  <c r="I2374" i="1"/>
  <c r="O2373" i="1"/>
  <c r="P2373" i="1" s="1"/>
  <c r="N2373" i="1"/>
  <c r="M2373" i="1"/>
  <c r="L2373" i="1"/>
  <c r="K2373" i="1"/>
  <c r="I2373" i="1"/>
  <c r="O2372" i="1"/>
  <c r="P2372" i="1" s="1"/>
  <c r="N2372" i="1"/>
  <c r="M2372" i="1"/>
  <c r="L2372" i="1"/>
  <c r="K2372" i="1"/>
  <c r="I2372" i="1"/>
  <c r="O2371" i="1"/>
  <c r="P2371" i="1" s="1"/>
  <c r="N2371" i="1"/>
  <c r="M2371" i="1"/>
  <c r="L2371" i="1"/>
  <c r="K2371" i="1"/>
  <c r="I2371" i="1"/>
  <c r="O2370" i="1"/>
  <c r="P2370" i="1" s="1"/>
  <c r="N2370" i="1"/>
  <c r="M2370" i="1"/>
  <c r="L2370" i="1"/>
  <c r="K2370" i="1"/>
  <c r="I2370" i="1"/>
  <c r="O2369" i="1"/>
  <c r="P2369" i="1" s="1"/>
  <c r="N2369" i="1"/>
  <c r="M2369" i="1"/>
  <c r="L2369" i="1"/>
  <c r="K2369" i="1"/>
  <c r="I2369" i="1"/>
  <c r="O2368" i="1"/>
  <c r="P2368" i="1" s="1"/>
  <c r="N2368" i="1"/>
  <c r="M2368" i="1"/>
  <c r="L2368" i="1"/>
  <c r="K2368" i="1"/>
  <c r="I2368" i="1"/>
  <c r="O2367" i="1"/>
  <c r="P2367" i="1" s="1"/>
  <c r="N2367" i="1"/>
  <c r="M2367" i="1"/>
  <c r="L2367" i="1"/>
  <c r="K2367" i="1"/>
  <c r="I2367" i="1"/>
  <c r="O2366" i="1"/>
  <c r="P2366" i="1" s="1"/>
  <c r="N2366" i="1"/>
  <c r="M2366" i="1"/>
  <c r="L2366" i="1"/>
  <c r="K2366" i="1"/>
  <c r="I2366" i="1"/>
  <c r="O2365" i="1"/>
  <c r="P2365" i="1" s="1"/>
  <c r="N2365" i="1"/>
  <c r="M2365" i="1"/>
  <c r="L2365" i="1"/>
  <c r="K2365" i="1"/>
  <c r="I2365" i="1"/>
  <c r="O2364" i="1"/>
  <c r="P2364" i="1" s="1"/>
  <c r="N2364" i="1"/>
  <c r="M2364" i="1"/>
  <c r="L2364" i="1"/>
  <c r="K2364" i="1"/>
  <c r="I2364" i="1"/>
  <c r="O2363" i="1"/>
  <c r="P2363" i="1" s="1"/>
  <c r="N2363" i="1"/>
  <c r="M2363" i="1"/>
  <c r="L2363" i="1"/>
  <c r="K2363" i="1"/>
  <c r="I2363" i="1"/>
  <c r="O2362" i="1"/>
  <c r="P2362" i="1" s="1"/>
  <c r="N2362" i="1"/>
  <c r="M2362" i="1"/>
  <c r="L2362" i="1"/>
  <c r="K2362" i="1"/>
  <c r="I2362" i="1"/>
  <c r="O2361" i="1"/>
  <c r="P2361" i="1" s="1"/>
  <c r="N2361" i="1"/>
  <c r="M2361" i="1"/>
  <c r="L2361" i="1"/>
  <c r="K2361" i="1"/>
  <c r="I2361" i="1"/>
  <c r="O2360" i="1"/>
  <c r="P2360" i="1" s="1"/>
  <c r="N2360" i="1"/>
  <c r="M2360" i="1"/>
  <c r="L2360" i="1"/>
  <c r="K2360" i="1"/>
  <c r="I2360" i="1"/>
  <c r="O2359" i="1"/>
  <c r="P2359" i="1" s="1"/>
  <c r="N2359" i="1"/>
  <c r="M2359" i="1"/>
  <c r="L2359" i="1"/>
  <c r="K2359" i="1"/>
  <c r="I2359" i="1"/>
  <c r="O2358" i="1"/>
  <c r="P2358" i="1" s="1"/>
  <c r="N2358" i="1"/>
  <c r="M2358" i="1"/>
  <c r="L2358" i="1"/>
  <c r="K2358" i="1"/>
  <c r="I2358" i="1"/>
  <c r="O2357" i="1"/>
  <c r="P2357" i="1" s="1"/>
  <c r="N2357" i="1"/>
  <c r="M2357" i="1"/>
  <c r="L2357" i="1"/>
  <c r="K2357" i="1"/>
  <c r="I2357" i="1"/>
  <c r="O2356" i="1"/>
  <c r="P2356" i="1" s="1"/>
  <c r="N2356" i="1"/>
  <c r="M2356" i="1"/>
  <c r="L2356" i="1"/>
  <c r="K2356" i="1"/>
  <c r="I2356" i="1"/>
  <c r="O2355" i="1"/>
  <c r="P2355" i="1" s="1"/>
  <c r="N2355" i="1"/>
  <c r="M2355" i="1"/>
  <c r="L2355" i="1"/>
  <c r="K2355" i="1"/>
  <c r="I2355" i="1"/>
  <c r="O2354" i="1"/>
  <c r="P2354" i="1" s="1"/>
  <c r="N2354" i="1"/>
  <c r="M2354" i="1"/>
  <c r="L2354" i="1"/>
  <c r="K2354" i="1"/>
  <c r="I2354" i="1"/>
  <c r="O2353" i="1"/>
  <c r="P2353" i="1" s="1"/>
  <c r="N2353" i="1"/>
  <c r="M2353" i="1"/>
  <c r="L2353" i="1"/>
  <c r="K2353" i="1"/>
  <c r="I2353" i="1"/>
  <c r="O2352" i="1"/>
  <c r="P2352" i="1" s="1"/>
  <c r="N2352" i="1"/>
  <c r="M2352" i="1"/>
  <c r="L2352" i="1"/>
  <c r="K2352" i="1"/>
  <c r="I2352" i="1"/>
  <c r="O2351" i="1"/>
  <c r="P2351" i="1" s="1"/>
  <c r="N2351" i="1"/>
  <c r="M2351" i="1"/>
  <c r="L2351" i="1"/>
  <c r="K2351" i="1"/>
  <c r="I2351" i="1"/>
  <c r="O2350" i="1"/>
  <c r="P2350" i="1" s="1"/>
  <c r="N2350" i="1"/>
  <c r="M2350" i="1"/>
  <c r="L2350" i="1"/>
  <c r="K2350" i="1"/>
  <c r="I2350" i="1"/>
  <c r="O2349" i="1"/>
  <c r="P2349" i="1" s="1"/>
  <c r="N2349" i="1"/>
  <c r="M2349" i="1"/>
  <c r="L2349" i="1"/>
  <c r="K2349" i="1"/>
  <c r="I2349" i="1"/>
  <c r="O2348" i="1"/>
  <c r="P2348" i="1" s="1"/>
  <c r="N2348" i="1"/>
  <c r="M2348" i="1"/>
  <c r="L2348" i="1"/>
  <c r="K2348" i="1"/>
  <c r="I2348" i="1"/>
  <c r="O2347" i="1"/>
  <c r="P2347" i="1" s="1"/>
  <c r="N2347" i="1"/>
  <c r="M2347" i="1"/>
  <c r="L2347" i="1"/>
  <c r="K2347" i="1"/>
  <c r="I2347" i="1"/>
  <c r="O2346" i="1"/>
  <c r="P2346" i="1" s="1"/>
  <c r="N2346" i="1"/>
  <c r="M2346" i="1"/>
  <c r="L2346" i="1"/>
  <c r="K2346" i="1"/>
  <c r="I2346" i="1"/>
  <c r="O2345" i="1"/>
  <c r="P2345" i="1" s="1"/>
  <c r="N2345" i="1"/>
  <c r="M2345" i="1"/>
  <c r="L2345" i="1"/>
  <c r="K2345" i="1"/>
  <c r="I2345" i="1"/>
  <c r="O2344" i="1"/>
  <c r="P2344" i="1" s="1"/>
  <c r="N2344" i="1"/>
  <c r="M2344" i="1"/>
  <c r="L2344" i="1"/>
  <c r="K2344" i="1"/>
  <c r="I2344" i="1"/>
  <c r="O2343" i="1"/>
  <c r="P2343" i="1" s="1"/>
  <c r="N2343" i="1"/>
  <c r="M2343" i="1"/>
  <c r="L2343" i="1"/>
  <c r="K2343" i="1"/>
  <c r="I2343" i="1"/>
  <c r="O2342" i="1"/>
  <c r="P2342" i="1" s="1"/>
  <c r="N2342" i="1"/>
  <c r="M2342" i="1"/>
  <c r="L2342" i="1"/>
  <c r="K2342" i="1"/>
  <c r="I2342" i="1"/>
  <c r="O2341" i="1"/>
  <c r="P2341" i="1" s="1"/>
  <c r="N2341" i="1"/>
  <c r="M2341" i="1"/>
  <c r="L2341" i="1"/>
  <c r="K2341" i="1"/>
  <c r="I2341" i="1"/>
  <c r="O2340" i="1"/>
  <c r="P2340" i="1" s="1"/>
  <c r="N2340" i="1"/>
  <c r="M2340" i="1"/>
  <c r="L2340" i="1"/>
  <c r="K2340" i="1"/>
  <c r="I2340" i="1"/>
  <c r="O2339" i="1"/>
  <c r="P2339" i="1" s="1"/>
  <c r="N2339" i="1"/>
  <c r="M2339" i="1"/>
  <c r="L2339" i="1"/>
  <c r="K2339" i="1"/>
  <c r="I2339" i="1"/>
  <c r="O2338" i="1"/>
  <c r="P2338" i="1" s="1"/>
  <c r="N2338" i="1"/>
  <c r="M2338" i="1"/>
  <c r="L2338" i="1"/>
  <c r="K2338" i="1"/>
  <c r="I2338" i="1"/>
  <c r="O2337" i="1"/>
  <c r="P2337" i="1" s="1"/>
  <c r="N2337" i="1"/>
  <c r="M2337" i="1"/>
  <c r="L2337" i="1"/>
  <c r="K2337" i="1"/>
  <c r="I2337" i="1"/>
  <c r="O2336" i="1"/>
  <c r="P2336" i="1" s="1"/>
  <c r="N2336" i="1"/>
  <c r="M2336" i="1"/>
  <c r="L2336" i="1"/>
  <c r="K2336" i="1"/>
  <c r="I2336" i="1"/>
  <c r="O2335" i="1"/>
  <c r="P2335" i="1" s="1"/>
  <c r="N2335" i="1"/>
  <c r="M2335" i="1"/>
  <c r="L2335" i="1"/>
  <c r="K2335" i="1"/>
  <c r="I2335" i="1"/>
  <c r="O2334" i="1"/>
  <c r="P2334" i="1" s="1"/>
  <c r="N2334" i="1"/>
  <c r="M2334" i="1"/>
  <c r="L2334" i="1"/>
  <c r="K2334" i="1"/>
  <c r="I2334" i="1"/>
  <c r="O2333" i="1"/>
  <c r="P2333" i="1" s="1"/>
  <c r="N2333" i="1"/>
  <c r="M2333" i="1"/>
  <c r="L2333" i="1"/>
  <c r="K2333" i="1"/>
  <c r="I2333" i="1"/>
  <c r="O2332" i="1"/>
  <c r="P2332" i="1" s="1"/>
  <c r="N2332" i="1"/>
  <c r="M2332" i="1"/>
  <c r="L2332" i="1"/>
  <c r="K2332" i="1"/>
  <c r="I2332" i="1"/>
  <c r="O2331" i="1"/>
  <c r="P2331" i="1" s="1"/>
  <c r="N2331" i="1"/>
  <c r="M2331" i="1"/>
  <c r="L2331" i="1"/>
  <c r="K2331" i="1"/>
  <c r="I2331" i="1"/>
  <c r="O2330" i="1"/>
  <c r="P2330" i="1" s="1"/>
  <c r="N2330" i="1"/>
  <c r="M2330" i="1"/>
  <c r="L2330" i="1"/>
  <c r="K2330" i="1"/>
  <c r="I2330" i="1"/>
  <c r="O2329" i="1"/>
  <c r="P2329" i="1" s="1"/>
  <c r="N2329" i="1"/>
  <c r="M2329" i="1"/>
  <c r="L2329" i="1"/>
  <c r="K2329" i="1"/>
  <c r="I2329" i="1"/>
  <c r="O2328" i="1"/>
  <c r="P2328" i="1" s="1"/>
  <c r="N2328" i="1"/>
  <c r="M2328" i="1"/>
  <c r="L2328" i="1"/>
  <c r="K2328" i="1"/>
  <c r="I2328" i="1"/>
  <c r="O2327" i="1"/>
  <c r="P2327" i="1" s="1"/>
  <c r="N2327" i="1"/>
  <c r="M2327" i="1"/>
  <c r="L2327" i="1"/>
  <c r="K2327" i="1"/>
  <c r="I2327" i="1"/>
  <c r="O2326" i="1"/>
  <c r="P2326" i="1" s="1"/>
  <c r="N2326" i="1"/>
  <c r="M2326" i="1"/>
  <c r="L2326" i="1"/>
  <c r="K2326" i="1"/>
  <c r="I2326" i="1"/>
  <c r="O2325" i="1"/>
  <c r="P2325" i="1" s="1"/>
  <c r="N2325" i="1"/>
  <c r="M2325" i="1"/>
  <c r="L2325" i="1"/>
  <c r="K2325" i="1"/>
  <c r="I2325" i="1"/>
  <c r="O2324" i="1"/>
  <c r="P2324" i="1" s="1"/>
  <c r="N2324" i="1"/>
  <c r="M2324" i="1"/>
  <c r="L2324" i="1"/>
  <c r="K2324" i="1"/>
  <c r="I2324" i="1"/>
  <c r="O2323" i="1"/>
  <c r="P2323" i="1" s="1"/>
  <c r="N2323" i="1"/>
  <c r="M2323" i="1"/>
  <c r="L2323" i="1"/>
  <c r="K2323" i="1"/>
  <c r="I2323" i="1"/>
  <c r="O2322" i="1"/>
  <c r="P2322" i="1" s="1"/>
  <c r="N2322" i="1"/>
  <c r="M2322" i="1"/>
  <c r="L2322" i="1"/>
  <c r="K2322" i="1"/>
  <c r="I2322" i="1"/>
  <c r="O2321" i="1"/>
  <c r="P2321" i="1" s="1"/>
  <c r="N2321" i="1"/>
  <c r="M2321" i="1"/>
  <c r="L2321" i="1"/>
  <c r="K2321" i="1"/>
  <c r="I2321" i="1"/>
  <c r="O2320" i="1"/>
  <c r="P2320" i="1" s="1"/>
  <c r="N2320" i="1"/>
  <c r="M2320" i="1"/>
  <c r="L2320" i="1"/>
  <c r="K2320" i="1"/>
  <c r="I2320" i="1"/>
  <c r="O2319" i="1"/>
  <c r="P2319" i="1" s="1"/>
  <c r="N2319" i="1"/>
  <c r="M2319" i="1"/>
  <c r="L2319" i="1"/>
  <c r="K2319" i="1"/>
  <c r="I2319" i="1"/>
  <c r="O2318" i="1"/>
  <c r="P2318" i="1" s="1"/>
  <c r="N2318" i="1"/>
  <c r="M2318" i="1"/>
  <c r="L2318" i="1"/>
  <c r="K2318" i="1"/>
  <c r="I2318" i="1"/>
  <c r="O2317" i="1"/>
  <c r="P2317" i="1" s="1"/>
  <c r="N2317" i="1"/>
  <c r="M2317" i="1"/>
  <c r="L2317" i="1"/>
  <c r="K2317" i="1"/>
  <c r="I2317" i="1"/>
  <c r="O2316" i="1"/>
  <c r="P2316" i="1" s="1"/>
  <c r="N2316" i="1"/>
  <c r="M2316" i="1"/>
  <c r="L2316" i="1"/>
  <c r="K2316" i="1"/>
  <c r="I2316" i="1"/>
  <c r="O2315" i="1"/>
  <c r="P2315" i="1" s="1"/>
  <c r="N2315" i="1"/>
  <c r="M2315" i="1"/>
  <c r="L2315" i="1"/>
  <c r="K2315" i="1"/>
  <c r="I2315" i="1"/>
  <c r="O2314" i="1"/>
  <c r="P2314" i="1" s="1"/>
  <c r="N2314" i="1"/>
  <c r="M2314" i="1"/>
  <c r="L2314" i="1"/>
  <c r="K2314" i="1"/>
  <c r="I2314" i="1"/>
  <c r="O2313" i="1"/>
  <c r="P2313" i="1" s="1"/>
  <c r="N2313" i="1"/>
  <c r="M2313" i="1"/>
  <c r="L2313" i="1"/>
  <c r="K2313" i="1"/>
  <c r="I2313" i="1"/>
  <c r="O2312" i="1"/>
  <c r="P2312" i="1" s="1"/>
  <c r="N2312" i="1"/>
  <c r="M2312" i="1"/>
  <c r="L2312" i="1"/>
  <c r="K2312" i="1"/>
  <c r="I2312" i="1"/>
  <c r="O2311" i="1"/>
  <c r="P2311" i="1" s="1"/>
  <c r="N2311" i="1"/>
  <c r="M2311" i="1"/>
  <c r="L2311" i="1"/>
  <c r="K2311" i="1"/>
  <c r="I2311" i="1"/>
  <c r="O2310" i="1"/>
  <c r="P2310" i="1" s="1"/>
  <c r="N2310" i="1"/>
  <c r="M2310" i="1"/>
  <c r="L2310" i="1"/>
  <c r="K2310" i="1"/>
  <c r="I2310" i="1"/>
  <c r="O2309" i="1"/>
  <c r="P2309" i="1" s="1"/>
  <c r="N2309" i="1"/>
  <c r="M2309" i="1"/>
  <c r="L2309" i="1"/>
  <c r="K2309" i="1"/>
  <c r="I2309" i="1"/>
  <c r="O2308" i="1"/>
  <c r="P2308" i="1" s="1"/>
  <c r="N2308" i="1"/>
  <c r="M2308" i="1"/>
  <c r="L2308" i="1"/>
  <c r="K2308" i="1"/>
  <c r="I2308" i="1"/>
  <c r="O2307" i="1"/>
  <c r="P2307" i="1" s="1"/>
  <c r="N2307" i="1"/>
  <c r="M2307" i="1"/>
  <c r="L2307" i="1"/>
  <c r="K2307" i="1"/>
  <c r="I2307" i="1"/>
  <c r="O2306" i="1"/>
  <c r="P2306" i="1" s="1"/>
  <c r="N2306" i="1"/>
  <c r="M2306" i="1"/>
  <c r="L2306" i="1"/>
  <c r="K2306" i="1"/>
  <c r="I2306" i="1"/>
  <c r="O2305" i="1"/>
  <c r="P2305" i="1" s="1"/>
  <c r="N2305" i="1"/>
  <c r="M2305" i="1"/>
  <c r="L2305" i="1"/>
  <c r="K2305" i="1"/>
  <c r="I2305" i="1"/>
  <c r="O2304" i="1"/>
  <c r="P2304" i="1" s="1"/>
  <c r="N2304" i="1"/>
  <c r="M2304" i="1"/>
  <c r="L2304" i="1"/>
  <c r="K2304" i="1"/>
  <c r="I2304" i="1"/>
  <c r="O2303" i="1"/>
  <c r="P2303" i="1" s="1"/>
  <c r="N2303" i="1"/>
  <c r="M2303" i="1"/>
  <c r="L2303" i="1"/>
  <c r="K2303" i="1"/>
  <c r="I2303" i="1"/>
  <c r="O2302" i="1"/>
  <c r="P2302" i="1" s="1"/>
  <c r="N2302" i="1"/>
  <c r="M2302" i="1"/>
  <c r="L2302" i="1"/>
  <c r="K2302" i="1"/>
  <c r="I2302" i="1"/>
  <c r="O2301" i="1"/>
  <c r="P2301" i="1" s="1"/>
  <c r="N2301" i="1"/>
  <c r="M2301" i="1"/>
  <c r="L2301" i="1"/>
  <c r="K2301" i="1"/>
  <c r="I2301" i="1"/>
  <c r="O2300" i="1"/>
  <c r="P2300" i="1" s="1"/>
  <c r="N2300" i="1"/>
  <c r="M2300" i="1"/>
  <c r="L2300" i="1"/>
  <c r="K2300" i="1"/>
  <c r="I2300" i="1"/>
  <c r="O2299" i="1"/>
  <c r="P2299" i="1" s="1"/>
  <c r="N2299" i="1"/>
  <c r="M2299" i="1"/>
  <c r="L2299" i="1"/>
  <c r="K2299" i="1"/>
  <c r="I2299" i="1"/>
  <c r="O2298" i="1"/>
  <c r="P2298" i="1" s="1"/>
  <c r="N2298" i="1"/>
  <c r="M2298" i="1"/>
  <c r="L2298" i="1"/>
  <c r="K2298" i="1"/>
  <c r="I2298" i="1"/>
  <c r="O2297" i="1"/>
  <c r="P2297" i="1" s="1"/>
  <c r="N2297" i="1"/>
  <c r="M2297" i="1"/>
  <c r="L2297" i="1"/>
  <c r="K2297" i="1"/>
  <c r="I2297" i="1"/>
  <c r="O2296" i="1"/>
  <c r="P2296" i="1" s="1"/>
  <c r="N2296" i="1"/>
  <c r="M2296" i="1"/>
  <c r="L2296" i="1"/>
  <c r="K2296" i="1"/>
  <c r="I2296" i="1"/>
  <c r="O2295" i="1"/>
  <c r="P2295" i="1" s="1"/>
  <c r="N2295" i="1"/>
  <c r="M2295" i="1"/>
  <c r="L2295" i="1"/>
  <c r="K2295" i="1"/>
  <c r="I2295" i="1"/>
  <c r="O2294" i="1"/>
  <c r="P2294" i="1" s="1"/>
  <c r="N2294" i="1"/>
  <c r="M2294" i="1"/>
  <c r="L2294" i="1"/>
  <c r="K2294" i="1"/>
  <c r="I2294" i="1"/>
  <c r="O2293" i="1"/>
  <c r="P2293" i="1" s="1"/>
  <c r="N2293" i="1"/>
  <c r="M2293" i="1"/>
  <c r="L2293" i="1"/>
  <c r="K2293" i="1"/>
  <c r="I2293" i="1"/>
  <c r="O2292" i="1"/>
  <c r="P2292" i="1" s="1"/>
  <c r="N2292" i="1"/>
  <c r="M2292" i="1"/>
  <c r="L2292" i="1"/>
  <c r="K2292" i="1"/>
  <c r="I2292" i="1"/>
  <c r="O2291" i="1"/>
  <c r="P2291" i="1" s="1"/>
  <c r="N2291" i="1"/>
  <c r="M2291" i="1"/>
  <c r="L2291" i="1"/>
  <c r="K2291" i="1"/>
  <c r="I2291" i="1"/>
  <c r="O2290" i="1"/>
  <c r="P2290" i="1" s="1"/>
  <c r="N2290" i="1"/>
  <c r="M2290" i="1"/>
  <c r="L2290" i="1"/>
  <c r="K2290" i="1"/>
  <c r="I2290" i="1"/>
  <c r="O2289" i="1"/>
  <c r="P2289" i="1" s="1"/>
  <c r="N2289" i="1"/>
  <c r="M2289" i="1"/>
  <c r="L2289" i="1"/>
  <c r="K2289" i="1"/>
  <c r="I2289" i="1"/>
  <c r="O2288" i="1"/>
  <c r="P2288" i="1" s="1"/>
  <c r="N2288" i="1"/>
  <c r="M2288" i="1"/>
  <c r="L2288" i="1"/>
  <c r="K2288" i="1"/>
  <c r="I2288" i="1"/>
  <c r="O2287" i="1"/>
  <c r="P2287" i="1" s="1"/>
  <c r="N2287" i="1"/>
  <c r="M2287" i="1"/>
  <c r="L2287" i="1"/>
  <c r="K2287" i="1"/>
  <c r="I2287" i="1"/>
  <c r="O2286" i="1"/>
  <c r="P2286" i="1" s="1"/>
  <c r="N2286" i="1"/>
  <c r="M2286" i="1"/>
  <c r="L2286" i="1"/>
  <c r="K2286" i="1"/>
  <c r="I2286" i="1"/>
  <c r="O2285" i="1"/>
  <c r="P2285" i="1" s="1"/>
  <c r="N2285" i="1"/>
  <c r="M2285" i="1"/>
  <c r="L2285" i="1"/>
  <c r="K2285" i="1"/>
  <c r="I2285" i="1"/>
  <c r="O2284" i="1"/>
  <c r="P2284" i="1" s="1"/>
  <c r="N2284" i="1"/>
  <c r="M2284" i="1"/>
  <c r="L2284" i="1"/>
  <c r="K2284" i="1"/>
  <c r="I2284" i="1"/>
  <c r="O2283" i="1"/>
  <c r="P2283" i="1" s="1"/>
  <c r="N2283" i="1"/>
  <c r="M2283" i="1"/>
  <c r="L2283" i="1"/>
  <c r="K2283" i="1"/>
  <c r="I2283" i="1"/>
  <c r="O2282" i="1"/>
  <c r="P2282" i="1" s="1"/>
  <c r="N2282" i="1"/>
  <c r="M2282" i="1"/>
  <c r="L2282" i="1"/>
  <c r="K2282" i="1"/>
  <c r="I2282" i="1"/>
  <c r="O2281" i="1"/>
  <c r="P2281" i="1" s="1"/>
  <c r="N2281" i="1"/>
  <c r="M2281" i="1"/>
  <c r="L2281" i="1"/>
  <c r="K2281" i="1"/>
  <c r="I2281" i="1"/>
  <c r="O2280" i="1"/>
  <c r="P2280" i="1" s="1"/>
  <c r="N2280" i="1"/>
  <c r="M2280" i="1"/>
  <c r="L2280" i="1"/>
  <c r="K2280" i="1"/>
  <c r="I2280" i="1"/>
  <c r="O2279" i="1"/>
  <c r="P2279" i="1" s="1"/>
  <c r="N2279" i="1"/>
  <c r="M2279" i="1"/>
  <c r="L2279" i="1"/>
  <c r="K2279" i="1"/>
  <c r="I2279" i="1"/>
  <c r="O2278" i="1"/>
  <c r="P2278" i="1" s="1"/>
  <c r="N2278" i="1"/>
  <c r="M2278" i="1"/>
  <c r="L2278" i="1"/>
  <c r="K2278" i="1"/>
  <c r="I2278" i="1"/>
  <c r="O2277" i="1"/>
  <c r="P2277" i="1" s="1"/>
  <c r="N2277" i="1"/>
  <c r="M2277" i="1"/>
  <c r="L2277" i="1"/>
  <c r="K2277" i="1"/>
  <c r="I2277" i="1"/>
  <c r="O2276" i="1"/>
  <c r="P2276" i="1" s="1"/>
  <c r="N2276" i="1"/>
  <c r="M2276" i="1"/>
  <c r="L2276" i="1"/>
  <c r="K2276" i="1"/>
  <c r="I2276" i="1"/>
  <c r="O2275" i="1"/>
  <c r="P2275" i="1" s="1"/>
  <c r="N2275" i="1"/>
  <c r="M2275" i="1"/>
  <c r="L2275" i="1"/>
  <c r="K2275" i="1"/>
  <c r="I2275" i="1"/>
  <c r="O2274" i="1"/>
  <c r="P2274" i="1" s="1"/>
  <c r="N2274" i="1"/>
  <c r="M2274" i="1"/>
  <c r="L2274" i="1"/>
  <c r="K2274" i="1"/>
  <c r="I2274" i="1"/>
  <c r="O2273" i="1"/>
  <c r="P2273" i="1" s="1"/>
  <c r="N2273" i="1"/>
  <c r="M2273" i="1"/>
  <c r="L2273" i="1"/>
  <c r="K2273" i="1"/>
  <c r="I2273" i="1"/>
  <c r="O2272" i="1"/>
  <c r="P2272" i="1" s="1"/>
  <c r="N2272" i="1"/>
  <c r="M2272" i="1"/>
  <c r="L2272" i="1"/>
  <c r="K2272" i="1"/>
  <c r="I2272" i="1"/>
  <c r="O2271" i="1"/>
  <c r="P2271" i="1" s="1"/>
  <c r="N2271" i="1"/>
  <c r="M2271" i="1"/>
  <c r="L2271" i="1"/>
  <c r="K2271" i="1"/>
  <c r="I2271" i="1"/>
  <c r="O2270" i="1"/>
  <c r="P2270" i="1" s="1"/>
  <c r="N2270" i="1"/>
  <c r="M2270" i="1"/>
  <c r="L2270" i="1"/>
  <c r="K2270" i="1"/>
  <c r="I2270" i="1"/>
  <c r="O2269" i="1"/>
  <c r="P2269" i="1" s="1"/>
  <c r="N2269" i="1"/>
  <c r="M2269" i="1"/>
  <c r="L2269" i="1"/>
  <c r="K2269" i="1"/>
  <c r="I2269" i="1"/>
  <c r="O2268" i="1"/>
  <c r="P2268" i="1" s="1"/>
  <c r="N2268" i="1"/>
  <c r="M2268" i="1"/>
  <c r="L2268" i="1"/>
  <c r="K2268" i="1"/>
  <c r="I2268" i="1"/>
  <c r="O2267" i="1"/>
  <c r="P2267" i="1" s="1"/>
  <c r="N2267" i="1"/>
  <c r="M2267" i="1"/>
  <c r="L2267" i="1"/>
  <c r="K2267" i="1"/>
  <c r="I2267" i="1"/>
  <c r="O2266" i="1"/>
  <c r="P2266" i="1" s="1"/>
  <c r="N2266" i="1"/>
  <c r="M2266" i="1"/>
  <c r="L2266" i="1"/>
  <c r="K2266" i="1"/>
  <c r="I2266" i="1"/>
  <c r="O2265" i="1"/>
  <c r="P2265" i="1" s="1"/>
  <c r="N2265" i="1"/>
  <c r="M2265" i="1"/>
  <c r="L2265" i="1"/>
  <c r="K2265" i="1"/>
  <c r="I2265" i="1"/>
  <c r="O2264" i="1"/>
  <c r="P2264" i="1" s="1"/>
  <c r="N2264" i="1"/>
  <c r="M2264" i="1"/>
  <c r="L2264" i="1"/>
  <c r="K2264" i="1"/>
  <c r="I2264" i="1"/>
  <c r="O2263" i="1"/>
  <c r="P2263" i="1" s="1"/>
  <c r="N2263" i="1"/>
  <c r="M2263" i="1"/>
  <c r="L2263" i="1"/>
  <c r="K2263" i="1"/>
  <c r="I2263" i="1"/>
  <c r="O2262" i="1"/>
  <c r="P2262" i="1" s="1"/>
  <c r="N2262" i="1"/>
  <c r="M2262" i="1"/>
  <c r="L2262" i="1"/>
  <c r="K2262" i="1"/>
  <c r="I2262" i="1"/>
  <c r="O2261" i="1"/>
  <c r="P2261" i="1" s="1"/>
  <c r="N2261" i="1"/>
  <c r="M2261" i="1"/>
  <c r="L2261" i="1"/>
  <c r="K2261" i="1"/>
  <c r="I2261" i="1"/>
  <c r="O2260" i="1"/>
  <c r="P2260" i="1" s="1"/>
  <c r="N2260" i="1"/>
  <c r="M2260" i="1"/>
  <c r="L2260" i="1"/>
  <c r="K2260" i="1"/>
  <c r="I2260" i="1"/>
  <c r="O2259" i="1"/>
  <c r="P2259" i="1" s="1"/>
  <c r="N2259" i="1"/>
  <c r="M2259" i="1"/>
  <c r="L2259" i="1"/>
  <c r="K2259" i="1"/>
  <c r="I2259" i="1"/>
  <c r="O2258" i="1"/>
  <c r="P2258" i="1" s="1"/>
  <c r="N2258" i="1"/>
  <c r="M2258" i="1"/>
  <c r="L2258" i="1"/>
  <c r="K2258" i="1"/>
  <c r="I2258" i="1"/>
  <c r="O2257" i="1"/>
  <c r="P2257" i="1" s="1"/>
  <c r="N2257" i="1"/>
  <c r="M2257" i="1"/>
  <c r="L2257" i="1"/>
  <c r="K2257" i="1"/>
  <c r="I2257" i="1"/>
  <c r="O2256" i="1"/>
  <c r="P2256" i="1" s="1"/>
  <c r="N2256" i="1"/>
  <c r="M2256" i="1"/>
  <c r="L2256" i="1"/>
  <c r="K2256" i="1"/>
  <c r="I2256" i="1"/>
  <c r="O2255" i="1"/>
  <c r="P2255" i="1" s="1"/>
  <c r="N2255" i="1"/>
  <c r="M2255" i="1"/>
  <c r="L2255" i="1"/>
  <c r="K2255" i="1"/>
  <c r="I2255" i="1"/>
  <c r="O2254" i="1"/>
  <c r="P2254" i="1" s="1"/>
  <c r="N2254" i="1"/>
  <c r="M2254" i="1"/>
  <c r="L2254" i="1"/>
  <c r="K2254" i="1"/>
  <c r="I2254" i="1"/>
  <c r="O2253" i="1"/>
  <c r="P2253" i="1" s="1"/>
  <c r="N2253" i="1"/>
  <c r="M2253" i="1"/>
  <c r="L2253" i="1"/>
  <c r="K2253" i="1"/>
  <c r="I2253" i="1"/>
  <c r="O2252" i="1"/>
  <c r="P2252" i="1" s="1"/>
  <c r="N2252" i="1"/>
  <c r="M2252" i="1"/>
  <c r="L2252" i="1"/>
  <c r="K2252" i="1"/>
  <c r="I2252" i="1"/>
  <c r="O2251" i="1"/>
  <c r="P2251" i="1" s="1"/>
  <c r="N2251" i="1"/>
  <c r="M2251" i="1"/>
  <c r="L2251" i="1"/>
  <c r="K2251" i="1"/>
  <c r="I2251" i="1"/>
  <c r="O2250" i="1"/>
  <c r="P2250" i="1" s="1"/>
  <c r="N2250" i="1"/>
  <c r="M2250" i="1"/>
  <c r="L2250" i="1"/>
  <c r="K2250" i="1"/>
  <c r="I2250" i="1"/>
  <c r="O2249" i="1"/>
  <c r="P2249" i="1" s="1"/>
  <c r="N2249" i="1"/>
  <c r="M2249" i="1"/>
  <c r="L2249" i="1"/>
  <c r="K2249" i="1"/>
  <c r="I2249" i="1"/>
  <c r="O2248" i="1"/>
  <c r="P2248" i="1" s="1"/>
  <c r="N2248" i="1"/>
  <c r="M2248" i="1"/>
  <c r="L2248" i="1"/>
  <c r="K2248" i="1"/>
  <c r="I2248" i="1"/>
  <c r="O2247" i="1"/>
  <c r="P2247" i="1" s="1"/>
  <c r="N2247" i="1"/>
  <c r="M2247" i="1"/>
  <c r="L2247" i="1"/>
  <c r="K2247" i="1"/>
  <c r="I2247" i="1"/>
  <c r="O2246" i="1"/>
  <c r="P2246" i="1" s="1"/>
  <c r="N2246" i="1"/>
  <c r="M2246" i="1"/>
  <c r="L2246" i="1"/>
  <c r="K2246" i="1"/>
  <c r="I2246" i="1"/>
  <c r="O2245" i="1"/>
  <c r="P2245" i="1" s="1"/>
  <c r="N2245" i="1"/>
  <c r="M2245" i="1"/>
  <c r="L2245" i="1"/>
  <c r="K2245" i="1"/>
  <c r="I2245" i="1"/>
  <c r="O2244" i="1"/>
  <c r="P2244" i="1" s="1"/>
  <c r="N2244" i="1"/>
  <c r="M2244" i="1"/>
  <c r="L2244" i="1"/>
  <c r="K2244" i="1"/>
  <c r="I2244" i="1"/>
  <c r="O2243" i="1"/>
  <c r="P2243" i="1" s="1"/>
  <c r="N2243" i="1"/>
  <c r="M2243" i="1"/>
  <c r="L2243" i="1"/>
  <c r="K2243" i="1"/>
  <c r="I2243" i="1"/>
  <c r="O2242" i="1"/>
  <c r="P2242" i="1" s="1"/>
  <c r="N2242" i="1"/>
  <c r="M2242" i="1"/>
  <c r="L2242" i="1"/>
  <c r="K2242" i="1"/>
  <c r="I2242" i="1"/>
  <c r="O2241" i="1"/>
  <c r="P2241" i="1" s="1"/>
  <c r="N2241" i="1"/>
  <c r="M2241" i="1"/>
  <c r="L2241" i="1"/>
  <c r="K2241" i="1"/>
  <c r="I2241" i="1"/>
  <c r="O2240" i="1"/>
  <c r="P2240" i="1" s="1"/>
  <c r="N2240" i="1"/>
  <c r="M2240" i="1"/>
  <c r="L2240" i="1"/>
  <c r="K2240" i="1"/>
  <c r="I2240" i="1"/>
  <c r="O2239" i="1"/>
  <c r="P2239" i="1" s="1"/>
  <c r="N2239" i="1"/>
  <c r="M2239" i="1"/>
  <c r="L2239" i="1"/>
  <c r="K2239" i="1"/>
  <c r="I2239" i="1"/>
  <c r="O2238" i="1"/>
  <c r="P2238" i="1" s="1"/>
  <c r="N2238" i="1"/>
  <c r="M2238" i="1"/>
  <c r="L2238" i="1"/>
  <c r="K2238" i="1"/>
  <c r="I2238" i="1"/>
  <c r="O2237" i="1"/>
  <c r="P2237" i="1" s="1"/>
  <c r="N2237" i="1"/>
  <c r="M2237" i="1"/>
  <c r="L2237" i="1"/>
  <c r="K2237" i="1"/>
  <c r="I2237" i="1"/>
  <c r="O2236" i="1"/>
  <c r="P2236" i="1" s="1"/>
  <c r="N2236" i="1"/>
  <c r="M2236" i="1"/>
  <c r="L2236" i="1"/>
  <c r="K2236" i="1"/>
  <c r="I2236" i="1"/>
  <c r="O2235" i="1"/>
  <c r="P2235" i="1" s="1"/>
  <c r="N2235" i="1"/>
  <c r="M2235" i="1"/>
  <c r="L2235" i="1"/>
  <c r="K2235" i="1"/>
  <c r="I2235" i="1"/>
  <c r="O2234" i="1"/>
  <c r="P2234" i="1" s="1"/>
  <c r="N2234" i="1"/>
  <c r="M2234" i="1"/>
  <c r="L2234" i="1"/>
  <c r="K2234" i="1"/>
  <c r="I2234" i="1"/>
  <c r="O2233" i="1"/>
  <c r="P2233" i="1" s="1"/>
  <c r="N2233" i="1"/>
  <c r="M2233" i="1"/>
  <c r="L2233" i="1"/>
  <c r="K2233" i="1"/>
  <c r="I2233" i="1"/>
  <c r="O2232" i="1"/>
  <c r="P2232" i="1" s="1"/>
  <c r="N2232" i="1"/>
  <c r="M2232" i="1"/>
  <c r="L2232" i="1"/>
  <c r="K2232" i="1"/>
  <c r="I2232" i="1"/>
  <c r="O2231" i="1"/>
  <c r="P2231" i="1" s="1"/>
  <c r="N2231" i="1"/>
  <c r="M2231" i="1"/>
  <c r="L2231" i="1"/>
  <c r="K2231" i="1"/>
  <c r="I2231" i="1"/>
  <c r="O2230" i="1"/>
  <c r="P2230" i="1" s="1"/>
  <c r="N2230" i="1"/>
  <c r="M2230" i="1"/>
  <c r="L2230" i="1"/>
  <c r="K2230" i="1"/>
  <c r="I2230" i="1"/>
  <c r="O2229" i="1"/>
  <c r="P2229" i="1" s="1"/>
  <c r="N2229" i="1"/>
  <c r="M2229" i="1"/>
  <c r="L2229" i="1"/>
  <c r="K2229" i="1"/>
  <c r="I2229" i="1"/>
  <c r="O2228" i="1"/>
  <c r="P2228" i="1" s="1"/>
  <c r="N2228" i="1"/>
  <c r="M2228" i="1"/>
  <c r="L2228" i="1"/>
  <c r="K2228" i="1"/>
  <c r="I2228" i="1"/>
  <c r="O2227" i="1"/>
  <c r="P2227" i="1" s="1"/>
  <c r="N2227" i="1"/>
  <c r="M2227" i="1"/>
  <c r="L2227" i="1"/>
  <c r="K2227" i="1"/>
  <c r="I2227" i="1"/>
  <c r="O2226" i="1"/>
  <c r="P2226" i="1" s="1"/>
  <c r="N2226" i="1"/>
  <c r="M2226" i="1"/>
  <c r="L2226" i="1"/>
  <c r="K2226" i="1"/>
  <c r="I2226" i="1"/>
  <c r="O2225" i="1"/>
  <c r="P2225" i="1" s="1"/>
  <c r="N2225" i="1"/>
  <c r="M2225" i="1"/>
  <c r="L2225" i="1"/>
  <c r="K2225" i="1"/>
  <c r="I2225" i="1"/>
  <c r="O2224" i="1"/>
  <c r="P2224" i="1" s="1"/>
  <c r="N2224" i="1"/>
  <c r="M2224" i="1"/>
  <c r="L2224" i="1"/>
  <c r="K2224" i="1"/>
  <c r="I2224" i="1"/>
  <c r="O2223" i="1"/>
  <c r="P2223" i="1" s="1"/>
  <c r="N2223" i="1"/>
  <c r="M2223" i="1"/>
  <c r="L2223" i="1"/>
  <c r="K2223" i="1"/>
  <c r="I2223" i="1"/>
  <c r="O2222" i="1"/>
  <c r="P2222" i="1" s="1"/>
  <c r="N2222" i="1"/>
  <c r="M2222" i="1"/>
  <c r="L2222" i="1"/>
  <c r="K2222" i="1"/>
  <c r="I2222" i="1"/>
  <c r="O2221" i="1"/>
  <c r="P2221" i="1" s="1"/>
  <c r="N2221" i="1"/>
  <c r="M2221" i="1"/>
  <c r="L2221" i="1"/>
  <c r="K2221" i="1"/>
  <c r="I2221" i="1"/>
  <c r="O2220" i="1"/>
  <c r="P2220" i="1" s="1"/>
  <c r="N2220" i="1"/>
  <c r="M2220" i="1"/>
  <c r="L2220" i="1"/>
  <c r="K2220" i="1"/>
  <c r="I2220" i="1"/>
  <c r="O2219" i="1"/>
  <c r="P2219" i="1" s="1"/>
  <c r="N2219" i="1"/>
  <c r="M2219" i="1"/>
  <c r="L2219" i="1"/>
  <c r="K2219" i="1"/>
  <c r="I2219" i="1"/>
  <c r="O2218" i="1"/>
  <c r="P2218" i="1" s="1"/>
  <c r="N2218" i="1"/>
  <c r="M2218" i="1"/>
  <c r="L2218" i="1"/>
  <c r="K2218" i="1"/>
  <c r="I2218" i="1"/>
  <c r="O2217" i="1"/>
  <c r="P2217" i="1" s="1"/>
  <c r="N2217" i="1"/>
  <c r="M2217" i="1"/>
  <c r="L2217" i="1"/>
  <c r="K2217" i="1"/>
  <c r="I2217" i="1"/>
  <c r="O2216" i="1"/>
  <c r="P2216" i="1" s="1"/>
  <c r="N2216" i="1"/>
  <c r="M2216" i="1"/>
  <c r="L2216" i="1"/>
  <c r="K2216" i="1"/>
  <c r="I2216" i="1"/>
  <c r="O2215" i="1"/>
  <c r="P2215" i="1" s="1"/>
  <c r="N2215" i="1"/>
  <c r="M2215" i="1"/>
  <c r="L2215" i="1"/>
  <c r="K2215" i="1"/>
  <c r="I2215" i="1"/>
  <c r="O2214" i="1"/>
  <c r="P2214" i="1" s="1"/>
  <c r="N2214" i="1"/>
  <c r="M2214" i="1"/>
  <c r="L2214" i="1"/>
  <c r="K2214" i="1"/>
  <c r="I2214" i="1"/>
  <c r="O2213" i="1"/>
  <c r="P2213" i="1" s="1"/>
  <c r="N2213" i="1"/>
  <c r="M2213" i="1"/>
  <c r="L2213" i="1"/>
  <c r="K2213" i="1"/>
  <c r="I2213" i="1"/>
  <c r="O2212" i="1"/>
  <c r="P2212" i="1" s="1"/>
  <c r="N2212" i="1"/>
  <c r="M2212" i="1"/>
  <c r="L2212" i="1"/>
  <c r="K2212" i="1"/>
  <c r="I2212" i="1"/>
  <c r="O2211" i="1"/>
  <c r="P2211" i="1" s="1"/>
  <c r="N2211" i="1"/>
  <c r="M2211" i="1"/>
  <c r="L2211" i="1"/>
  <c r="K2211" i="1"/>
  <c r="I2211" i="1"/>
  <c r="O2210" i="1"/>
  <c r="P2210" i="1" s="1"/>
  <c r="N2210" i="1"/>
  <c r="M2210" i="1"/>
  <c r="L2210" i="1"/>
  <c r="K2210" i="1"/>
  <c r="I2210" i="1"/>
  <c r="O2209" i="1"/>
  <c r="P2209" i="1" s="1"/>
  <c r="N2209" i="1"/>
  <c r="M2209" i="1"/>
  <c r="L2209" i="1"/>
  <c r="K2209" i="1"/>
  <c r="I2209" i="1"/>
  <c r="O2208" i="1"/>
  <c r="P2208" i="1" s="1"/>
  <c r="N2208" i="1"/>
  <c r="M2208" i="1"/>
  <c r="L2208" i="1"/>
  <c r="K2208" i="1"/>
  <c r="I2208" i="1"/>
  <c r="O2207" i="1"/>
  <c r="P2207" i="1" s="1"/>
  <c r="N2207" i="1"/>
  <c r="M2207" i="1"/>
  <c r="L2207" i="1"/>
  <c r="K2207" i="1"/>
  <c r="I2207" i="1"/>
  <c r="O2206" i="1"/>
  <c r="P2206" i="1" s="1"/>
  <c r="N2206" i="1"/>
  <c r="M2206" i="1"/>
  <c r="L2206" i="1"/>
  <c r="K2206" i="1"/>
  <c r="I2206" i="1"/>
  <c r="O2205" i="1"/>
  <c r="P2205" i="1" s="1"/>
  <c r="N2205" i="1"/>
  <c r="M2205" i="1"/>
  <c r="L2205" i="1"/>
  <c r="K2205" i="1"/>
  <c r="I2205" i="1"/>
  <c r="O2204" i="1"/>
  <c r="P2204" i="1" s="1"/>
  <c r="N2204" i="1"/>
  <c r="M2204" i="1"/>
  <c r="L2204" i="1"/>
  <c r="K2204" i="1"/>
  <c r="I2204" i="1"/>
  <c r="O2203" i="1"/>
  <c r="P2203" i="1" s="1"/>
  <c r="N2203" i="1"/>
  <c r="M2203" i="1"/>
  <c r="L2203" i="1"/>
  <c r="K2203" i="1"/>
  <c r="I2203" i="1"/>
  <c r="O2202" i="1"/>
  <c r="P2202" i="1" s="1"/>
  <c r="N2202" i="1"/>
  <c r="M2202" i="1"/>
  <c r="L2202" i="1"/>
  <c r="K2202" i="1"/>
  <c r="I2202" i="1"/>
  <c r="O2201" i="1"/>
  <c r="P2201" i="1" s="1"/>
  <c r="N2201" i="1"/>
  <c r="M2201" i="1"/>
  <c r="L2201" i="1"/>
  <c r="K2201" i="1"/>
  <c r="I2201" i="1"/>
  <c r="O2200" i="1"/>
  <c r="P2200" i="1" s="1"/>
  <c r="N2200" i="1"/>
  <c r="M2200" i="1"/>
  <c r="L2200" i="1"/>
  <c r="K2200" i="1"/>
  <c r="I2200" i="1"/>
  <c r="O2199" i="1"/>
  <c r="P2199" i="1" s="1"/>
  <c r="N2199" i="1"/>
  <c r="M2199" i="1"/>
  <c r="L2199" i="1"/>
  <c r="K2199" i="1"/>
  <c r="I2199" i="1"/>
  <c r="O2198" i="1"/>
  <c r="P2198" i="1" s="1"/>
  <c r="N2198" i="1"/>
  <c r="M2198" i="1"/>
  <c r="L2198" i="1"/>
  <c r="K2198" i="1"/>
  <c r="I2198" i="1"/>
  <c r="O2197" i="1"/>
  <c r="P2197" i="1" s="1"/>
  <c r="N2197" i="1"/>
  <c r="M2197" i="1"/>
  <c r="L2197" i="1"/>
  <c r="K2197" i="1"/>
  <c r="I2197" i="1"/>
  <c r="O2196" i="1"/>
  <c r="P2196" i="1" s="1"/>
  <c r="N2196" i="1"/>
  <c r="M2196" i="1"/>
  <c r="L2196" i="1"/>
  <c r="K2196" i="1"/>
  <c r="I2196" i="1"/>
  <c r="O2195" i="1"/>
  <c r="P2195" i="1" s="1"/>
  <c r="N2195" i="1"/>
  <c r="M2195" i="1"/>
  <c r="L2195" i="1"/>
  <c r="K2195" i="1"/>
  <c r="I2195" i="1"/>
  <c r="O2194" i="1"/>
  <c r="P2194" i="1" s="1"/>
  <c r="N2194" i="1"/>
  <c r="M2194" i="1"/>
  <c r="L2194" i="1"/>
  <c r="K2194" i="1"/>
  <c r="I2194" i="1"/>
  <c r="O2193" i="1"/>
  <c r="P2193" i="1" s="1"/>
  <c r="N2193" i="1"/>
  <c r="M2193" i="1"/>
  <c r="L2193" i="1"/>
  <c r="K2193" i="1"/>
  <c r="I2193" i="1"/>
  <c r="O2192" i="1"/>
  <c r="P2192" i="1" s="1"/>
  <c r="N2192" i="1"/>
  <c r="M2192" i="1"/>
  <c r="L2192" i="1"/>
  <c r="K2192" i="1"/>
  <c r="I2192" i="1"/>
  <c r="O2191" i="1"/>
  <c r="P2191" i="1" s="1"/>
  <c r="N2191" i="1"/>
  <c r="M2191" i="1"/>
  <c r="L2191" i="1"/>
  <c r="K2191" i="1"/>
  <c r="I2191" i="1"/>
  <c r="O2190" i="1"/>
  <c r="P2190" i="1" s="1"/>
  <c r="N2190" i="1"/>
  <c r="M2190" i="1"/>
  <c r="L2190" i="1"/>
  <c r="K2190" i="1"/>
  <c r="I2190" i="1"/>
  <c r="O2189" i="1"/>
  <c r="P2189" i="1" s="1"/>
  <c r="N2189" i="1"/>
  <c r="M2189" i="1"/>
  <c r="L2189" i="1"/>
  <c r="K2189" i="1"/>
  <c r="I2189" i="1"/>
  <c r="O2188" i="1"/>
  <c r="P2188" i="1" s="1"/>
  <c r="N2188" i="1"/>
  <c r="M2188" i="1"/>
  <c r="L2188" i="1"/>
  <c r="K2188" i="1"/>
  <c r="I2188" i="1"/>
  <c r="O2187" i="1"/>
  <c r="P2187" i="1" s="1"/>
  <c r="N2187" i="1"/>
  <c r="M2187" i="1"/>
  <c r="L2187" i="1"/>
  <c r="K2187" i="1"/>
  <c r="I2187" i="1"/>
  <c r="O2186" i="1"/>
  <c r="P2186" i="1" s="1"/>
  <c r="N2186" i="1"/>
  <c r="M2186" i="1"/>
  <c r="L2186" i="1"/>
  <c r="K2186" i="1"/>
  <c r="I2186" i="1"/>
  <c r="O2185" i="1"/>
  <c r="P2185" i="1" s="1"/>
  <c r="N2185" i="1"/>
  <c r="M2185" i="1"/>
  <c r="L2185" i="1"/>
  <c r="K2185" i="1"/>
  <c r="I2185" i="1"/>
  <c r="O2184" i="1"/>
  <c r="P2184" i="1" s="1"/>
  <c r="N2184" i="1"/>
  <c r="M2184" i="1"/>
  <c r="L2184" i="1"/>
  <c r="K2184" i="1"/>
  <c r="I2184" i="1"/>
  <c r="O2183" i="1"/>
  <c r="P2183" i="1" s="1"/>
  <c r="N2183" i="1"/>
  <c r="M2183" i="1"/>
  <c r="L2183" i="1"/>
  <c r="K2183" i="1"/>
  <c r="I2183" i="1"/>
  <c r="O2182" i="1"/>
  <c r="P2182" i="1" s="1"/>
  <c r="N2182" i="1"/>
  <c r="M2182" i="1"/>
  <c r="L2182" i="1"/>
  <c r="K2182" i="1"/>
  <c r="I2182" i="1"/>
  <c r="O2181" i="1"/>
  <c r="P2181" i="1" s="1"/>
  <c r="N2181" i="1"/>
  <c r="M2181" i="1"/>
  <c r="L2181" i="1"/>
  <c r="K2181" i="1"/>
  <c r="I2181" i="1"/>
  <c r="O2180" i="1"/>
  <c r="P2180" i="1" s="1"/>
  <c r="N2180" i="1"/>
  <c r="M2180" i="1"/>
  <c r="L2180" i="1"/>
  <c r="K2180" i="1"/>
  <c r="I2180" i="1"/>
  <c r="O2179" i="1"/>
  <c r="P2179" i="1" s="1"/>
  <c r="N2179" i="1"/>
  <c r="M2179" i="1"/>
  <c r="L2179" i="1"/>
  <c r="K2179" i="1"/>
  <c r="I2179" i="1"/>
  <c r="O2178" i="1"/>
  <c r="P2178" i="1" s="1"/>
  <c r="N2178" i="1"/>
  <c r="M2178" i="1"/>
  <c r="L2178" i="1"/>
  <c r="K2178" i="1"/>
  <c r="I2178" i="1"/>
  <c r="O2177" i="1"/>
  <c r="P2177" i="1" s="1"/>
  <c r="N2177" i="1"/>
  <c r="M2177" i="1"/>
  <c r="L2177" i="1"/>
  <c r="K2177" i="1"/>
  <c r="I2177" i="1"/>
  <c r="O2176" i="1"/>
  <c r="P2176" i="1" s="1"/>
  <c r="N2176" i="1"/>
  <c r="M2176" i="1"/>
  <c r="L2176" i="1"/>
  <c r="K2176" i="1"/>
  <c r="I2176" i="1"/>
  <c r="O2175" i="1"/>
  <c r="P2175" i="1" s="1"/>
  <c r="N2175" i="1"/>
  <c r="M2175" i="1"/>
  <c r="L2175" i="1"/>
  <c r="K2175" i="1"/>
  <c r="I2175" i="1"/>
  <c r="O2174" i="1"/>
  <c r="P2174" i="1" s="1"/>
  <c r="N2174" i="1"/>
  <c r="M2174" i="1"/>
  <c r="L2174" i="1"/>
  <c r="K2174" i="1"/>
  <c r="I2174" i="1"/>
  <c r="O2173" i="1"/>
  <c r="P2173" i="1" s="1"/>
  <c r="N2173" i="1"/>
  <c r="M2173" i="1"/>
  <c r="L2173" i="1"/>
  <c r="K2173" i="1"/>
  <c r="I2173" i="1"/>
  <c r="O2172" i="1"/>
  <c r="P2172" i="1" s="1"/>
  <c r="N2172" i="1"/>
  <c r="M2172" i="1"/>
  <c r="L2172" i="1"/>
  <c r="K2172" i="1"/>
  <c r="I2172" i="1"/>
  <c r="O2171" i="1"/>
  <c r="P2171" i="1" s="1"/>
  <c r="N2171" i="1"/>
  <c r="M2171" i="1"/>
  <c r="L2171" i="1"/>
  <c r="K2171" i="1"/>
  <c r="I2171" i="1"/>
  <c r="O2170" i="1"/>
  <c r="P2170" i="1" s="1"/>
  <c r="N2170" i="1"/>
  <c r="M2170" i="1"/>
  <c r="L2170" i="1"/>
  <c r="K2170" i="1"/>
  <c r="I2170" i="1"/>
  <c r="O2169" i="1"/>
  <c r="P2169" i="1" s="1"/>
  <c r="N2169" i="1"/>
  <c r="M2169" i="1"/>
  <c r="L2169" i="1"/>
  <c r="K2169" i="1"/>
  <c r="I2169" i="1"/>
  <c r="O2168" i="1"/>
  <c r="P2168" i="1" s="1"/>
  <c r="N2168" i="1"/>
  <c r="M2168" i="1"/>
  <c r="L2168" i="1"/>
  <c r="K2168" i="1"/>
  <c r="I2168" i="1"/>
  <c r="O2167" i="1"/>
  <c r="P2167" i="1" s="1"/>
  <c r="N2167" i="1"/>
  <c r="M2167" i="1"/>
  <c r="L2167" i="1"/>
  <c r="K2167" i="1"/>
  <c r="I2167" i="1"/>
  <c r="O2166" i="1"/>
  <c r="P2166" i="1" s="1"/>
  <c r="N2166" i="1"/>
  <c r="M2166" i="1"/>
  <c r="L2166" i="1"/>
  <c r="K2166" i="1"/>
  <c r="I2166" i="1"/>
  <c r="O2165" i="1"/>
  <c r="P2165" i="1" s="1"/>
  <c r="N2165" i="1"/>
  <c r="M2165" i="1"/>
  <c r="L2165" i="1"/>
  <c r="K2165" i="1"/>
  <c r="I2165" i="1"/>
  <c r="O2164" i="1"/>
  <c r="P2164" i="1" s="1"/>
  <c r="N2164" i="1"/>
  <c r="M2164" i="1"/>
  <c r="L2164" i="1"/>
  <c r="K2164" i="1"/>
  <c r="I2164" i="1"/>
  <c r="O2163" i="1"/>
  <c r="P2163" i="1" s="1"/>
  <c r="N2163" i="1"/>
  <c r="M2163" i="1"/>
  <c r="L2163" i="1"/>
  <c r="K2163" i="1"/>
  <c r="I2163" i="1"/>
  <c r="O2162" i="1"/>
  <c r="P2162" i="1" s="1"/>
  <c r="N2162" i="1"/>
  <c r="M2162" i="1"/>
  <c r="L2162" i="1"/>
  <c r="K2162" i="1"/>
  <c r="I2162" i="1"/>
  <c r="O2161" i="1"/>
  <c r="P2161" i="1" s="1"/>
  <c r="N2161" i="1"/>
  <c r="M2161" i="1"/>
  <c r="L2161" i="1"/>
  <c r="K2161" i="1"/>
  <c r="I2161" i="1"/>
  <c r="O2160" i="1"/>
  <c r="P2160" i="1" s="1"/>
  <c r="N2160" i="1"/>
  <c r="M2160" i="1"/>
  <c r="L2160" i="1"/>
  <c r="K2160" i="1"/>
  <c r="I2160" i="1"/>
  <c r="O2159" i="1"/>
  <c r="P2159" i="1" s="1"/>
  <c r="N2159" i="1"/>
  <c r="M2159" i="1"/>
  <c r="L2159" i="1"/>
  <c r="K2159" i="1"/>
  <c r="I2159" i="1"/>
  <c r="O2158" i="1"/>
  <c r="P2158" i="1" s="1"/>
  <c r="N2158" i="1"/>
  <c r="M2158" i="1"/>
  <c r="L2158" i="1"/>
  <c r="K2158" i="1"/>
  <c r="I2158" i="1"/>
  <c r="O2157" i="1"/>
  <c r="P2157" i="1" s="1"/>
  <c r="N2157" i="1"/>
  <c r="M2157" i="1"/>
  <c r="L2157" i="1"/>
  <c r="K2157" i="1"/>
  <c r="I2157" i="1"/>
  <c r="O2156" i="1"/>
  <c r="P2156" i="1" s="1"/>
  <c r="N2156" i="1"/>
  <c r="M2156" i="1"/>
  <c r="L2156" i="1"/>
  <c r="K2156" i="1"/>
  <c r="I2156" i="1"/>
  <c r="O2155" i="1"/>
  <c r="P2155" i="1" s="1"/>
  <c r="N2155" i="1"/>
  <c r="M2155" i="1"/>
  <c r="L2155" i="1"/>
  <c r="K2155" i="1"/>
  <c r="I2155" i="1"/>
  <c r="O2154" i="1"/>
  <c r="P2154" i="1" s="1"/>
  <c r="N2154" i="1"/>
  <c r="M2154" i="1"/>
  <c r="L2154" i="1"/>
  <c r="K2154" i="1"/>
  <c r="I2154" i="1"/>
  <c r="O2153" i="1"/>
  <c r="P2153" i="1" s="1"/>
  <c r="N2153" i="1"/>
  <c r="M2153" i="1"/>
  <c r="L2153" i="1"/>
  <c r="K2153" i="1"/>
  <c r="I2153" i="1"/>
  <c r="O2152" i="1"/>
  <c r="P2152" i="1" s="1"/>
  <c r="N2152" i="1"/>
  <c r="M2152" i="1"/>
  <c r="L2152" i="1"/>
  <c r="K2152" i="1"/>
  <c r="I2152" i="1"/>
  <c r="O2151" i="1"/>
  <c r="P2151" i="1" s="1"/>
  <c r="N2151" i="1"/>
  <c r="M2151" i="1"/>
  <c r="L2151" i="1"/>
  <c r="K2151" i="1"/>
  <c r="I2151" i="1"/>
  <c r="O2150" i="1"/>
  <c r="P2150" i="1" s="1"/>
  <c r="N2150" i="1"/>
  <c r="M2150" i="1"/>
  <c r="L2150" i="1"/>
  <c r="K2150" i="1"/>
  <c r="I2150" i="1"/>
  <c r="O2149" i="1"/>
  <c r="P2149" i="1" s="1"/>
  <c r="N2149" i="1"/>
  <c r="M2149" i="1"/>
  <c r="L2149" i="1"/>
  <c r="K2149" i="1"/>
  <c r="I2149" i="1"/>
  <c r="O2148" i="1"/>
  <c r="P2148" i="1" s="1"/>
  <c r="N2148" i="1"/>
  <c r="M2148" i="1"/>
  <c r="L2148" i="1"/>
  <c r="K2148" i="1"/>
  <c r="I2148" i="1"/>
  <c r="O2147" i="1"/>
  <c r="P2147" i="1" s="1"/>
  <c r="N2147" i="1"/>
  <c r="M2147" i="1"/>
  <c r="L2147" i="1"/>
  <c r="K2147" i="1"/>
  <c r="I2147" i="1"/>
  <c r="O2146" i="1"/>
  <c r="P2146" i="1" s="1"/>
  <c r="N2146" i="1"/>
  <c r="M2146" i="1"/>
  <c r="L2146" i="1"/>
  <c r="K2146" i="1"/>
  <c r="I2146" i="1"/>
  <c r="O2145" i="1"/>
  <c r="P2145" i="1" s="1"/>
  <c r="N2145" i="1"/>
  <c r="M2145" i="1"/>
  <c r="L2145" i="1"/>
  <c r="K2145" i="1"/>
  <c r="I2145" i="1"/>
  <c r="O2144" i="1"/>
  <c r="P2144" i="1" s="1"/>
  <c r="N2144" i="1"/>
  <c r="M2144" i="1"/>
  <c r="L2144" i="1"/>
  <c r="K2144" i="1"/>
  <c r="I2144" i="1"/>
  <c r="O2143" i="1"/>
  <c r="P2143" i="1" s="1"/>
  <c r="N2143" i="1"/>
  <c r="M2143" i="1"/>
  <c r="L2143" i="1"/>
  <c r="K2143" i="1"/>
  <c r="I2143" i="1"/>
  <c r="O2142" i="1"/>
  <c r="P2142" i="1" s="1"/>
  <c r="N2142" i="1"/>
  <c r="M2142" i="1"/>
  <c r="L2142" i="1"/>
  <c r="K2142" i="1"/>
  <c r="I2142" i="1"/>
  <c r="O2141" i="1"/>
  <c r="P2141" i="1" s="1"/>
  <c r="N2141" i="1"/>
  <c r="M2141" i="1"/>
  <c r="L2141" i="1"/>
  <c r="K2141" i="1"/>
  <c r="I2141" i="1"/>
  <c r="O2140" i="1"/>
  <c r="P2140" i="1" s="1"/>
  <c r="N2140" i="1"/>
  <c r="M2140" i="1"/>
  <c r="L2140" i="1"/>
  <c r="K2140" i="1"/>
  <c r="I2140" i="1"/>
  <c r="O2139" i="1"/>
  <c r="P2139" i="1" s="1"/>
  <c r="N2139" i="1"/>
  <c r="M2139" i="1"/>
  <c r="L2139" i="1"/>
  <c r="K2139" i="1"/>
  <c r="I2139" i="1"/>
  <c r="O2138" i="1"/>
  <c r="P2138" i="1" s="1"/>
  <c r="N2138" i="1"/>
  <c r="M2138" i="1"/>
  <c r="L2138" i="1"/>
  <c r="K2138" i="1"/>
  <c r="I2138" i="1"/>
  <c r="O2137" i="1"/>
  <c r="P2137" i="1" s="1"/>
  <c r="N2137" i="1"/>
  <c r="M2137" i="1"/>
  <c r="L2137" i="1"/>
  <c r="K2137" i="1"/>
  <c r="I2137" i="1"/>
  <c r="O2136" i="1"/>
  <c r="P2136" i="1" s="1"/>
  <c r="N2136" i="1"/>
  <c r="M2136" i="1"/>
  <c r="L2136" i="1"/>
  <c r="K2136" i="1"/>
  <c r="I2136" i="1"/>
  <c r="O2135" i="1"/>
  <c r="P2135" i="1" s="1"/>
  <c r="N2135" i="1"/>
  <c r="M2135" i="1"/>
  <c r="L2135" i="1"/>
  <c r="K2135" i="1"/>
  <c r="I2135" i="1"/>
  <c r="O2134" i="1"/>
  <c r="P2134" i="1" s="1"/>
  <c r="N2134" i="1"/>
  <c r="M2134" i="1"/>
  <c r="L2134" i="1"/>
  <c r="K2134" i="1"/>
  <c r="I2134" i="1"/>
  <c r="O2133" i="1"/>
  <c r="P2133" i="1" s="1"/>
  <c r="N2133" i="1"/>
  <c r="M2133" i="1"/>
  <c r="L2133" i="1"/>
  <c r="K2133" i="1"/>
  <c r="I2133" i="1"/>
  <c r="O2132" i="1"/>
  <c r="P2132" i="1" s="1"/>
  <c r="N2132" i="1"/>
  <c r="M2132" i="1"/>
  <c r="L2132" i="1"/>
  <c r="K2132" i="1"/>
  <c r="I2132" i="1"/>
  <c r="O2131" i="1"/>
  <c r="P2131" i="1" s="1"/>
  <c r="N2131" i="1"/>
  <c r="M2131" i="1"/>
  <c r="L2131" i="1"/>
  <c r="K2131" i="1"/>
  <c r="I2131" i="1"/>
  <c r="O2130" i="1"/>
  <c r="P2130" i="1" s="1"/>
  <c r="N2130" i="1"/>
  <c r="M2130" i="1"/>
  <c r="L2130" i="1"/>
  <c r="K2130" i="1"/>
  <c r="I2130" i="1"/>
  <c r="O2129" i="1"/>
  <c r="P2129" i="1" s="1"/>
  <c r="N2129" i="1"/>
  <c r="M2129" i="1"/>
  <c r="L2129" i="1"/>
  <c r="K2129" i="1"/>
  <c r="I2129" i="1"/>
  <c r="O2128" i="1"/>
  <c r="P2128" i="1" s="1"/>
  <c r="N2128" i="1"/>
  <c r="M2128" i="1"/>
  <c r="L2128" i="1"/>
  <c r="K2128" i="1"/>
  <c r="I2128" i="1"/>
  <c r="O2127" i="1"/>
  <c r="P2127" i="1" s="1"/>
  <c r="N2127" i="1"/>
  <c r="M2127" i="1"/>
  <c r="L2127" i="1"/>
  <c r="K2127" i="1"/>
  <c r="I2127" i="1"/>
  <c r="O2126" i="1"/>
  <c r="P2126" i="1" s="1"/>
  <c r="N2126" i="1"/>
  <c r="M2126" i="1"/>
  <c r="L2126" i="1"/>
  <c r="K2126" i="1"/>
  <c r="I2126" i="1"/>
  <c r="O2125" i="1"/>
  <c r="P2125" i="1" s="1"/>
  <c r="N2125" i="1"/>
  <c r="M2125" i="1"/>
  <c r="L2125" i="1"/>
  <c r="K2125" i="1"/>
  <c r="I2125" i="1"/>
  <c r="O2124" i="1"/>
  <c r="P2124" i="1" s="1"/>
  <c r="N2124" i="1"/>
  <c r="M2124" i="1"/>
  <c r="L2124" i="1"/>
  <c r="K2124" i="1"/>
  <c r="I2124" i="1"/>
  <c r="O2123" i="1"/>
  <c r="P2123" i="1" s="1"/>
  <c r="N2123" i="1"/>
  <c r="M2123" i="1"/>
  <c r="L2123" i="1"/>
  <c r="K2123" i="1"/>
  <c r="I2123" i="1"/>
  <c r="O2122" i="1"/>
  <c r="P2122" i="1" s="1"/>
  <c r="N2122" i="1"/>
  <c r="M2122" i="1"/>
  <c r="L2122" i="1"/>
  <c r="K2122" i="1"/>
  <c r="I2122" i="1"/>
  <c r="O2121" i="1"/>
  <c r="P2121" i="1" s="1"/>
  <c r="N2121" i="1"/>
  <c r="M2121" i="1"/>
  <c r="L2121" i="1"/>
  <c r="K2121" i="1"/>
  <c r="I2121" i="1"/>
  <c r="O2120" i="1"/>
  <c r="P2120" i="1" s="1"/>
  <c r="N2120" i="1"/>
  <c r="M2120" i="1"/>
  <c r="L2120" i="1"/>
  <c r="K2120" i="1"/>
  <c r="I2120" i="1"/>
  <c r="O2119" i="1"/>
  <c r="P2119" i="1" s="1"/>
  <c r="N2119" i="1"/>
  <c r="M2119" i="1"/>
  <c r="L2119" i="1"/>
  <c r="K2119" i="1"/>
  <c r="I2119" i="1"/>
  <c r="O2118" i="1"/>
  <c r="P2118" i="1" s="1"/>
  <c r="N2118" i="1"/>
  <c r="M2118" i="1"/>
  <c r="L2118" i="1"/>
  <c r="K2118" i="1"/>
  <c r="I2118" i="1"/>
  <c r="O2117" i="1"/>
  <c r="P2117" i="1" s="1"/>
  <c r="N2117" i="1"/>
  <c r="M2117" i="1"/>
  <c r="L2117" i="1"/>
  <c r="K2117" i="1"/>
  <c r="I2117" i="1"/>
  <c r="O2116" i="1"/>
  <c r="P2116" i="1" s="1"/>
  <c r="N2116" i="1"/>
  <c r="M2116" i="1"/>
  <c r="L2116" i="1"/>
  <c r="K2116" i="1"/>
  <c r="I2116" i="1"/>
  <c r="O2115" i="1"/>
  <c r="P2115" i="1" s="1"/>
  <c r="N2115" i="1"/>
  <c r="M2115" i="1"/>
  <c r="L2115" i="1"/>
  <c r="K2115" i="1"/>
  <c r="I2115" i="1"/>
  <c r="O2114" i="1"/>
  <c r="P2114" i="1" s="1"/>
  <c r="N2114" i="1"/>
  <c r="M2114" i="1"/>
  <c r="L2114" i="1"/>
  <c r="K2114" i="1"/>
  <c r="I2114" i="1"/>
  <c r="O2113" i="1"/>
  <c r="P2113" i="1" s="1"/>
  <c r="N2113" i="1"/>
  <c r="M2113" i="1"/>
  <c r="L2113" i="1"/>
  <c r="K2113" i="1"/>
  <c r="I2113" i="1"/>
  <c r="O2112" i="1"/>
  <c r="P2112" i="1" s="1"/>
  <c r="N2112" i="1"/>
  <c r="M2112" i="1"/>
  <c r="L2112" i="1"/>
  <c r="K2112" i="1"/>
  <c r="I2112" i="1"/>
  <c r="O2111" i="1"/>
  <c r="P2111" i="1" s="1"/>
  <c r="N2111" i="1"/>
  <c r="M2111" i="1"/>
  <c r="L2111" i="1"/>
  <c r="K2111" i="1"/>
  <c r="I2111" i="1"/>
  <c r="O2110" i="1"/>
  <c r="P2110" i="1" s="1"/>
  <c r="N2110" i="1"/>
  <c r="M2110" i="1"/>
  <c r="L2110" i="1"/>
  <c r="K2110" i="1"/>
  <c r="I2110" i="1"/>
  <c r="O2109" i="1"/>
  <c r="P2109" i="1" s="1"/>
  <c r="N2109" i="1"/>
  <c r="M2109" i="1"/>
  <c r="L2109" i="1"/>
  <c r="K2109" i="1"/>
  <c r="I2109" i="1"/>
  <c r="O2108" i="1"/>
  <c r="P2108" i="1" s="1"/>
  <c r="N2108" i="1"/>
  <c r="M2108" i="1"/>
  <c r="L2108" i="1"/>
  <c r="K2108" i="1"/>
  <c r="I2108" i="1"/>
  <c r="O2107" i="1"/>
  <c r="P2107" i="1" s="1"/>
  <c r="N2107" i="1"/>
  <c r="M2107" i="1"/>
  <c r="L2107" i="1"/>
  <c r="K2107" i="1"/>
  <c r="I2107" i="1"/>
  <c r="O2106" i="1"/>
  <c r="P2106" i="1" s="1"/>
  <c r="N2106" i="1"/>
  <c r="M2106" i="1"/>
  <c r="L2106" i="1"/>
  <c r="K2106" i="1"/>
  <c r="I2106" i="1"/>
  <c r="O2105" i="1"/>
  <c r="P2105" i="1" s="1"/>
  <c r="N2105" i="1"/>
  <c r="M2105" i="1"/>
  <c r="L2105" i="1"/>
  <c r="K2105" i="1"/>
  <c r="I2105" i="1"/>
  <c r="O2104" i="1"/>
  <c r="P2104" i="1" s="1"/>
  <c r="N2104" i="1"/>
  <c r="M2104" i="1"/>
  <c r="L2104" i="1"/>
  <c r="K2104" i="1"/>
  <c r="I2104" i="1"/>
  <c r="O2103" i="1"/>
  <c r="P2103" i="1" s="1"/>
  <c r="N2103" i="1"/>
  <c r="M2103" i="1"/>
  <c r="L2103" i="1"/>
  <c r="K2103" i="1"/>
  <c r="I2103" i="1"/>
  <c r="O2102" i="1"/>
  <c r="P2102" i="1" s="1"/>
  <c r="N2102" i="1"/>
  <c r="M2102" i="1"/>
  <c r="L2102" i="1"/>
  <c r="K2102" i="1"/>
  <c r="I2102" i="1"/>
  <c r="O2101" i="1"/>
  <c r="P2101" i="1" s="1"/>
  <c r="N2101" i="1"/>
  <c r="M2101" i="1"/>
  <c r="L2101" i="1"/>
  <c r="K2101" i="1"/>
  <c r="I2101" i="1"/>
  <c r="O2100" i="1"/>
  <c r="P2100" i="1" s="1"/>
  <c r="N2100" i="1"/>
  <c r="M2100" i="1"/>
  <c r="L2100" i="1"/>
  <c r="K2100" i="1"/>
  <c r="I2100" i="1"/>
  <c r="O2099" i="1"/>
  <c r="P2099" i="1" s="1"/>
  <c r="N2099" i="1"/>
  <c r="M2099" i="1"/>
  <c r="L2099" i="1"/>
  <c r="K2099" i="1"/>
  <c r="I2099" i="1"/>
  <c r="O2098" i="1"/>
  <c r="P2098" i="1" s="1"/>
  <c r="N2098" i="1"/>
  <c r="M2098" i="1"/>
  <c r="L2098" i="1"/>
  <c r="K2098" i="1"/>
  <c r="I2098" i="1"/>
  <c r="O2097" i="1"/>
  <c r="P2097" i="1" s="1"/>
  <c r="N2097" i="1"/>
  <c r="M2097" i="1"/>
  <c r="L2097" i="1"/>
  <c r="K2097" i="1"/>
  <c r="I2097" i="1"/>
  <c r="O2096" i="1"/>
  <c r="P2096" i="1" s="1"/>
  <c r="N2096" i="1"/>
  <c r="M2096" i="1"/>
  <c r="L2096" i="1"/>
  <c r="K2096" i="1"/>
  <c r="I2096" i="1"/>
  <c r="O2095" i="1"/>
  <c r="P2095" i="1" s="1"/>
  <c r="N2095" i="1"/>
  <c r="M2095" i="1"/>
  <c r="L2095" i="1"/>
  <c r="K2095" i="1"/>
  <c r="I2095" i="1"/>
  <c r="O2094" i="1"/>
  <c r="P2094" i="1" s="1"/>
  <c r="N2094" i="1"/>
  <c r="M2094" i="1"/>
  <c r="L2094" i="1"/>
  <c r="K2094" i="1"/>
  <c r="I2094" i="1"/>
  <c r="O2093" i="1"/>
  <c r="P2093" i="1" s="1"/>
  <c r="N2093" i="1"/>
  <c r="M2093" i="1"/>
  <c r="L2093" i="1"/>
  <c r="K2093" i="1"/>
  <c r="I2093" i="1"/>
  <c r="O2092" i="1"/>
  <c r="P2092" i="1" s="1"/>
  <c r="N2092" i="1"/>
  <c r="M2092" i="1"/>
  <c r="L2092" i="1"/>
  <c r="K2092" i="1"/>
  <c r="I2092" i="1"/>
  <c r="O2091" i="1"/>
  <c r="P2091" i="1" s="1"/>
  <c r="N2091" i="1"/>
  <c r="M2091" i="1"/>
  <c r="L2091" i="1"/>
  <c r="K2091" i="1"/>
  <c r="I2091" i="1"/>
  <c r="O2090" i="1"/>
  <c r="P2090" i="1" s="1"/>
  <c r="N2090" i="1"/>
  <c r="M2090" i="1"/>
  <c r="L2090" i="1"/>
  <c r="K2090" i="1"/>
  <c r="I2090" i="1"/>
  <c r="O2089" i="1"/>
  <c r="P2089" i="1" s="1"/>
  <c r="N2089" i="1"/>
  <c r="M2089" i="1"/>
  <c r="L2089" i="1"/>
  <c r="K2089" i="1"/>
  <c r="I2089" i="1"/>
  <c r="O2088" i="1"/>
  <c r="P2088" i="1" s="1"/>
  <c r="N2088" i="1"/>
  <c r="M2088" i="1"/>
  <c r="L2088" i="1"/>
  <c r="K2088" i="1"/>
  <c r="I2088" i="1"/>
  <c r="O2087" i="1"/>
  <c r="P2087" i="1" s="1"/>
  <c r="N2087" i="1"/>
  <c r="M2087" i="1"/>
  <c r="L2087" i="1"/>
  <c r="K2087" i="1"/>
  <c r="I2087" i="1"/>
  <c r="O2086" i="1"/>
  <c r="P2086" i="1" s="1"/>
  <c r="N2086" i="1"/>
  <c r="M2086" i="1"/>
  <c r="L2086" i="1"/>
  <c r="K2086" i="1"/>
  <c r="I2086" i="1"/>
  <c r="O2085" i="1"/>
  <c r="P2085" i="1" s="1"/>
  <c r="N2085" i="1"/>
  <c r="M2085" i="1"/>
  <c r="L2085" i="1"/>
  <c r="K2085" i="1"/>
  <c r="I2085" i="1"/>
  <c r="O2084" i="1"/>
  <c r="P2084" i="1" s="1"/>
  <c r="N2084" i="1"/>
  <c r="M2084" i="1"/>
  <c r="L2084" i="1"/>
  <c r="K2084" i="1"/>
  <c r="I2084" i="1"/>
  <c r="O2083" i="1"/>
  <c r="P2083" i="1" s="1"/>
  <c r="N2083" i="1"/>
  <c r="M2083" i="1"/>
  <c r="L2083" i="1"/>
  <c r="K2083" i="1"/>
  <c r="I2083" i="1"/>
  <c r="O2082" i="1"/>
  <c r="P2082" i="1" s="1"/>
  <c r="N2082" i="1"/>
  <c r="M2082" i="1"/>
  <c r="L2082" i="1"/>
  <c r="K2082" i="1"/>
  <c r="I2082" i="1"/>
  <c r="O2081" i="1"/>
  <c r="P2081" i="1" s="1"/>
  <c r="N2081" i="1"/>
  <c r="M2081" i="1"/>
  <c r="L2081" i="1"/>
  <c r="K2081" i="1"/>
  <c r="I2081" i="1"/>
  <c r="O2080" i="1"/>
  <c r="P2080" i="1" s="1"/>
  <c r="N2080" i="1"/>
  <c r="M2080" i="1"/>
  <c r="L2080" i="1"/>
  <c r="K2080" i="1"/>
  <c r="I2080" i="1"/>
  <c r="O2079" i="1"/>
  <c r="P2079" i="1" s="1"/>
  <c r="N2079" i="1"/>
  <c r="M2079" i="1"/>
  <c r="L2079" i="1"/>
  <c r="K2079" i="1"/>
  <c r="I2079" i="1"/>
  <c r="O2078" i="1"/>
  <c r="P2078" i="1" s="1"/>
  <c r="N2078" i="1"/>
  <c r="M2078" i="1"/>
  <c r="L2078" i="1"/>
  <c r="K2078" i="1"/>
  <c r="I2078" i="1"/>
  <c r="O2077" i="1"/>
  <c r="P2077" i="1" s="1"/>
  <c r="N2077" i="1"/>
  <c r="M2077" i="1"/>
  <c r="L2077" i="1"/>
  <c r="K2077" i="1"/>
  <c r="I2077" i="1"/>
  <c r="O2076" i="1"/>
  <c r="P2076" i="1" s="1"/>
  <c r="N2076" i="1"/>
  <c r="M2076" i="1"/>
  <c r="L2076" i="1"/>
  <c r="K2076" i="1"/>
  <c r="I2076" i="1"/>
  <c r="O2075" i="1"/>
  <c r="P2075" i="1" s="1"/>
  <c r="N2075" i="1"/>
  <c r="M2075" i="1"/>
  <c r="L2075" i="1"/>
  <c r="K2075" i="1"/>
  <c r="I2075" i="1"/>
  <c r="O2074" i="1"/>
  <c r="P2074" i="1" s="1"/>
  <c r="N2074" i="1"/>
  <c r="M2074" i="1"/>
  <c r="L2074" i="1"/>
  <c r="K2074" i="1"/>
  <c r="I2074" i="1"/>
  <c r="O2073" i="1"/>
  <c r="P2073" i="1" s="1"/>
  <c r="N2073" i="1"/>
  <c r="M2073" i="1"/>
  <c r="L2073" i="1"/>
  <c r="K2073" i="1"/>
  <c r="I2073" i="1"/>
  <c r="O2072" i="1"/>
  <c r="P2072" i="1" s="1"/>
  <c r="N2072" i="1"/>
  <c r="M2072" i="1"/>
  <c r="L2072" i="1"/>
  <c r="K2072" i="1"/>
  <c r="I2072" i="1"/>
  <c r="O2071" i="1"/>
  <c r="P2071" i="1" s="1"/>
  <c r="N2071" i="1"/>
  <c r="M2071" i="1"/>
  <c r="L2071" i="1"/>
  <c r="K2071" i="1"/>
  <c r="I2071" i="1"/>
  <c r="O2070" i="1"/>
  <c r="P2070" i="1" s="1"/>
  <c r="N2070" i="1"/>
  <c r="M2070" i="1"/>
  <c r="L2070" i="1"/>
  <c r="K2070" i="1"/>
  <c r="I2070" i="1"/>
  <c r="O2069" i="1"/>
  <c r="P2069" i="1" s="1"/>
  <c r="N2069" i="1"/>
  <c r="M2069" i="1"/>
  <c r="L2069" i="1"/>
  <c r="K2069" i="1"/>
  <c r="I2069" i="1"/>
  <c r="O2068" i="1"/>
  <c r="P2068" i="1" s="1"/>
  <c r="N2068" i="1"/>
  <c r="M2068" i="1"/>
  <c r="L2068" i="1"/>
  <c r="K2068" i="1"/>
  <c r="I2068" i="1"/>
  <c r="O2067" i="1"/>
  <c r="P2067" i="1" s="1"/>
  <c r="N2067" i="1"/>
  <c r="M2067" i="1"/>
  <c r="L2067" i="1"/>
  <c r="K2067" i="1"/>
  <c r="I2067" i="1"/>
  <c r="O2066" i="1"/>
  <c r="P2066" i="1" s="1"/>
  <c r="N2066" i="1"/>
  <c r="M2066" i="1"/>
  <c r="L2066" i="1"/>
  <c r="K2066" i="1"/>
  <c r="I2066" i="1"/>
  <c r="O2065" i="1"/>
  <c r="P2065" i="1" s="1"/>
  <c r="N2065" i="1"/>
  <c r="M2065" i="1"/>
  <c r="L2065" i="1"/>
  <c r="K2065" i="1"/>
  <c r="I2065" i="1"/>
  <c r="O2064" i="1"/>
  <c r="P2064" i="1" s="1"/>
  <c r="N2064" i="1"/>
  <c r="M2064" i="1"/>
  <c r="L2064" i="1"/>
  <c r="K2064" i="1"/>
  <c r="I2064" i="1"/>
  <c r="O2063" i="1"/>
  <c r="P2063" i="1" s="1"/>
  <c r="N2063" i="1"/>
  <c r="M2063" i="1"/>
  <c r="L2063" i="1"/>
  <c r="K2063" i="1"/>
  <c r="I2063" i="1"/>
  <c r="O2062" i="1"/>
  <c r="P2062" i="1" s="1"/>
  <c r="N2062" i="1"/>
  <c r="M2062" i="1"/>
  <c r="L2062" i="1"/>
  <c r="K2062" i="1"/>
  <c r="I2062" i="1"/>
  <c r="O2061" i="1"/>
  <c r="P2061" i="1" s="1"/>
  <c r="N2061" i="1"/>
  <c r="M2061" i="1"/>
  <c r="L2061" i="1"/>
  <c r="K2061" i="1"/>
  <c r="I2061" i="1"/>
  <c r="O2060" i="1"/>
  <c r="P2060" i="1" s="1"/>
  <c r="N2060" i="1"/>
  <c r="M2060" i="1"/>
  <c r="L2060" i="1"/>
  <c r="K2060" i="1"/>
  <c r="I2060" i="1"/>
  <c r="O2059" i="1"/>
  <c r="P2059" i="1" s="1"/>
  <c r="N2059" i="1"/>
  <c r="M2059" i="1"/>
  <c r="L2059" i="1"/>
  <c r="K2059" i="1"/>
  <c r="I2059" i="1"/>
  <c r="O2058" i="1"/>
  <c r="P2058" i="1" s="1"/>
  <c r="N2058" i="1"/>
  <c r="M2058" i="1"/>
  <c r="L2058" i="1"/>
  <c r="K2058" i="1"/>
  <c r="I2058" i="1"/>
  <c r="O2057" i="1"/>
  <c r="P2057" i="1" s="1"/>
  <c r="N2057" i="1"/>
  <c r="M2057" i="1"/>
  <c r="L2057" i="1"/>
  <c r="K2057" i="1"/>
  <c r="I2057" i="1"/>
  <c r="O2056" i="1"/>
  <c r="P2056" i="1" s="1"/>
  <c r="N2056" i="1"/>
  <c r="M2056" i="1"/>
  <c r="L2056" i="1"/>
  <c r="K2056" i="1"/>
  <c r="I2056" i="1"/>
  <c r="O2055" i="1"/>
  <c r="P2055" i="1" s="1"/>
  <c r="N2055" i="1"/>
  <c r="M2055" i="1"/>
  <c r="L2055" i="1"/>
  <c r="K2055" i="1"/>
  <c r="I2055" i="1"/>
  <c r="O2054" i="1"/>
  <c r="P2054" i="1" s="1"/>
  <c r="N2054" i="1"/>
  <c r="M2054" i="1"/>
  <c r="L2054" i="1"/>
  <c r="K2054" i="1"/>
  <c r="I2054" i="1"/>
  <c r="O2053" i="1"/>
  <c r="P2053" i="1" s="1"/>
  <c r="N2053" i="1"/>
  <c r="M2053" i="1"/>
  <c r="L2053" i="1"/>
  <c r="K2053" i="1"/>
  <c r="I2053" i="1"/>
  <c r="O2052" i="1"/>
  <c r="P2052" i="1" s="1"/>
  <c r="N2052" i="1"/>
  <c r="M2052" i="1"/>
  <c r="L2052" i="1"/>
  <c r="K2052" i="1"/>
  <c r="I2052" i="1"/>
  <c r="O2051" i="1"/>
  <c r="P2051" i="1" s="1"/>
  <c r="N2051" i="1"/>
  <c r="M2051" i="1"/>
  <c r="L2051" i="1"/>
  <c r="K2051" i="1"/>
  <c r="I2051" i="1"/>
  <c r="O2050" i="1"/>
  <c r="P2050" i="1" s="1"/>
  <c r="N2050" i="1"/>
  <c r="M2050" i="1"/>
  <c r="L2050" i="1"/>
  <c r="K2050" i="1"/>
  <c r="I2050" i="1"/>
  <c r="O2049" i="1"/>
  <c r="P2049" i="1" s="1"/>
  <c r="N2049" i="1"/>
  <c r="M2049" i="1"/>
  <c r="L2049" i="1"/>
  <c r="K2049" i="1"/>
  <c r="I2049" i="1"/>
  <c r="O2048" i="1"/>
  <c r="P2048" i="1" s="1"/>
  <c r="N2048" i="1"/>
  <c r="M2048" i="1"/>
  <c r="L2048" i="1"/>
  <c r="K2048" i="1"/>
  <c r="I2048" i="1"/>
  <c r="O2047" i="1"/>
  <c r="P2047" i="1" s="1"/>
  <c r="N2047" i="1"/>
  <c r="M2047" i="1"/>
  <c r="L2047" i="1"/>
  <c r="K2047" i="1"/>
  <c r="I2047" i="1"/>
  <c r="O2046" i="1"/>
  <c r="P2046" i="1" s="1"/>
  <c r="N2046" i="1"/>
  <c r="M2046" i="1"/>
  <c r="L2046" i="1"/>
  <c r="K2046" i="1"/>
  <c r="I2046" i="1"/>
  <c r="O2045" i="1"/>
  <c r="P2045" i="1" s="1"/>
  <c r="N2045" i="1"/>
  <c r="M2045" i="1"/>
  <c r="L2045" i="1"/>
  <c r="K2045" i="1"/>
  <c r="I2045" i="1"/>
  <c r="O2044" i="1"/>
  <c r="P2044" i="1" s="1"/>
  <c r="N2044" i="1"/>
  <c r="M2044" i="1"/>
  <c r="L2044" i="1"/>
  <c r="K2044" i="1"/>
  <c r="I2044" i="1"/>
  <c r="O2043" i="1"/>
  <c r="P2043" i="1" s="1"/>
  <c r="N2043" i="1"/>
  <c r="M2043" i="1"/>
  <c r="L2043" i="1"/>
  <c r="K2043" i="1"/>
  <c r="I2043" i="1"/>
  <c r="O2042" i="1"/>
  <c r="P2042" i="1" s="1"/>
  <c r="N2042" i="1"/>
  <c r="M2042" i="1"/>
  <c r="L2042" i="1"/>
  <c r="K2042" i="1"/>
  <c r="I2042" i="1"/>
  <c r="O2041" i="1"/>
  <c r="P2041" i="1" s="1"/>
  <c r="N2041" i="1"/>
  <c r="M2041" i="1"/>
  <c r="L2041" i="1"/>
  <c r="K2041" i="1"/>
  <c r="I2041" i="1"/>
  <c r="O2040" i="1"/>
  <c r="P2040" i="1" s="1"/>
  <c r="N2040" i="1"/>
  <c r="M2040" i="1"/>
  <c r="L2040" i="1"/>
  <c r="K2040" i="1"/>
  <c r="I2040" i="1"/>
  <c r="O2039" i="1"/>
  <c r="P2039" i="1" s="1"/>
  <c r="N2039" i="1"/>
  <c r="M2039" i="1"/>
  <c r="L2039" i="1"/>
  <c r="K2039" i="1"/>
  <c r="I2039" i="1"/>
  <c r="O2038" i="1"/>
  <c r="P2038" i="1" s="1"/>
  <c r="N2038" i="1"/>
  <c r="M2038" i="1"/>
  <c r="L2038" i="1"/>
  <c r="K2038" i="1"/>
  <c r="I2038" i="1"/>
  <c r="O2037" i="1"/>
  <c r="P2037" i="1" s="1"/>
  <c r="N2037" i="1"/>
  <c r="M2037" i="1"/>
  <c r="L2037" i="1"/>
  <c r="K2037" i="1"/>
  <c r="I2037" i="1"/>
  <c r="O2036" i="1"/>
  <c r="P2036" i="1" s="1"/>
  <c r="N2036" i="1"/>
  <c r="M2036" i="1"/>
  <c r="L2036" i="1"/>
  <c r="K2036" i="1"/>
  <c r="I2036" i="1"/>
  <c r="O2035" i="1"/>
  <c r="P2035" i="1" s="1"/>
  <c r="N2035" i="1"/>
  <c r="M2035" i="1"/>
  <c r="L2035" i="1"/>
  <c r="K2035" i="1"/>
  <c r="I2035" i="1"/>
  <c r="O2034" i="1"/>
  <c r="P2034" i="1" s="1"/>
  <c r="N2034" i="1"/>
  <c r="M2034" i="1"/>
  <c r="L2034" i="1"/>
  <c r="K2034" i="1"/>
  <c r="I2034" i="1"/>
  <c r="O2033" i="1"/>
  <c r="P2033" i="1" s="1"/>
  <c r="N2033" i="1"/>
  <c r="M2033" i="1"/>
  <c r="L2033" i="1"/>
  <c r="K2033" i="1"/>
  <c r="I2033" i="1"/>
  <c r="O2032" i="1"/>
  <c r="P2032" i="1" s="1"/>
  <c r="N2032" i="1"/>
  <c r="M2032" i="1"/>
  <c r="L2032" i="1"/>
  <c r="K2032" i="1"/>
  <c r="I2032" i="1"/>
  <c r="O2031" i="1"/>
  <c r="P2031" i="1" s="1"/>
  <c r="N2031" i="1"/>
  <c r="M2031" i="1"/>
  <c r="L2031" i="1"/>
  <c r="K2031" i="1"/>
  <c r="I2031" i="1"/>
  <c r="O2030" i="1"/>
  <c r="P2030" i="1" s="1"/>
  <c r="N2030" i="1"/>
  <c r="M2030" i="1"/>
  <c r="L2030" i="1"/>
  <c r="K2030" i="1"/>
  <c r="I2030" i="1"/>
  <c r="O2029" i="1"/>
  <c r="P2029" i="1" s="1"/>
  <c r="N2029" i="1"/>
  <c r="M2029" i="1"/>
  <c r="L2029" i="1"/>
  <c r="K2029" i="1"/>
  <c r="I2029" i="1"/>
  <c r="O2028" i="1"/>
  <c r="P2028" i="1" s="1"/>
  <c r="N2028" i="1"/>
  <c r="M2028" i="1"/>
  <c r="L2028" i="1"/>
  <c r="K2028" i="1"/>
  <c r="I2028" i="1"/>
  <c r="O2027" i="1"/>
  <c r="P2027" i="1" s="1"/>
  <c r="N2027" i="1"/>
  <c r="M2027" i="1"/>
  <c r="L2027" i="1"/>
  <c r="K2027" i="1"/>
  <c r="I2027" i="1"/>
  <c r="O2026" i="1"/>
  <c r="P2026" i="1" s="1"/>
  <c r="N2026" i="1"/>
  <c r="M2026" i="1"/>
  <c r="L2026" i="1"/>
  <c r="K2026" i="1"/>
  <c r="I2026" i="1"/>
  <c r="O2025" i="1"/>
  <c r="P2025" i="1" s="1"/>
  <c r="N2025" i="1"/>
  <c r="M2025" i="1"/>
  <c r="L2025" i="1"/>
  <c r="K2025" i="1"/>
  <c r="I2025" i="1"/>
  <c r="O2024" i="1"/>
  <c r="P2024" i="1" s="1"/>
  <c r="N2024" i="1"/>
  <c r="M2024" i="1"/>
  <c r="L2024" i="1"/>
  <c r="K2024" i="1"/>
  <c r="I2024" i="1"/>
  <c r="O2023" i="1"/>
  <c r="P2023" i="1" s="1"/>
  <c r="N2023" i="1"/>
  <c r="M2023" i="1"/>
  <c r="L2023" i="1"/>
  <c r="K2023" i="1"/>
  <c r="I2023" i="1"/>
  <c r="O2022" i="1"/>
  <c r="P2022" i="1" s="1"/>
  <c r="N2022" i="1"/>
  <c r="M2022" i="1"/>
  <c r="L2022" i="1"/>
  <c r="K2022" i="1"/>
  <c r="I2022" i="1"/>
  <c r="O2021" i="1"/>
  <c r="P2021" i="1" s="1"/>
  <c r="N2021" i="1"/>
  <c r="M2021" i="1"/>
  <c r="L2021" i="1"/>
  <c r="K2021" i="1"/>
  <c r="I2021" i="1"/>
  <c r="O2020" i="1"/>
  <c r="P2020" i="1" s="1"/>
  <c r="N2020" i="1"/>
  <c r="M2020" i="1"/>
  <c r="L2020" i="1"/>
  <c r="K2020" i="1"/>
  <c r="I2020" i="1"/>
  <c r="O2019" i="1"/>
  <c r="P2019" i="1" s="1"/>
  <c r="N2019" i="1"/>
  <c r="M2019" i="1"/>
  <c r="L2019" i="1"/>
  <c r="K2019" i="1"/>
  <c r="I2019" i="1"/>
  <c r="O2018" i="1"/>
  <c r="P2018" i="1" s="1"/>
  <c r="N2018" i="1"/>
  <c r="M2018" i="1"/>
  <c r="L2018" i="1"/>
  <c r="K2018" i="1"/>
  <c r="I2018" i="1"/>
  <c r="O2017" i="1"/>
  <c r="P2017" i="1" s="1"/>
  <c r="N2017" i="1"/>
  <c r="M2017" i="1"/>
  <c r="L2017" i="1"/>
  <c r="K2017" i="1"/>
  <c r="I2017" i="1"/>
  <c r="O2016" i="1"/>
  <c r="P2016" i="1" s="1"/>
  <c r="N2016" i="1"/>
  <c r="M2016" i="1"/>
  <c r="L2016" i="1"/>
  <c r="K2016" i="1"/>
  <c r="I2016" i="1"/>
  <c r="O2015" i="1"/>
  <c r="P2015" i="1" s="1"/>
  <c r="N2015" i="1"/>
  <c r="M2015" i="1"/>
  <c r="L2015" i="1"/>
  <c r="K2015" i="1"/>
  <c r="I2015" i="1"/>
  <c r="O2014" i="1"/>
  <c r="P2014" i="1" s="1"/>
  <c r="N2014" i="1"/>
  <c r="M2014" i="1"/>
  <c r="L2014" i="1"/>
  <c r="K2014" i="1"/>
  <c r="I2014" i="1"/>
  <c r="O2013" i="1"/>
  <c r="P2013" i="1" s="1"/>
  <c r="N2013" i="1"/>
  <c r="M2013" i="1"/>
  <c r="L2013" i="1"/>
  <c r="K2013" i="1"/>
  <c r="I2013" i="1"/>
  <c r="O2012" i="1"/>
  <c r="P2012" i="1" s="1"/>
  <c r="N2012" i="1"/>
  <c r="M2012" i="1"/>
  <c r="L2012" i="1"/>
  <c r="K2012" i="1"/>
  <c r="I2012" i="1"/>
  <c r="O2011" i="1"/>
  <c r="P2011" i="1" s="1"/>
  <c r="N2011" i="1"/>
  <c r="M2011" i="1"/>
  <c r="L2011" i="1"/>
  <c r="K2011" i="1"/>
  <c r="I2011" i="1"/>
  <c r="O2010" i="1"/>
  <c r="P2010" i="1" s="1"/>
  <c r="N2010" i="1"/>
  <c r="M2010" i="1"/>
  <c r="L2010" i="1"/>
  <c r="K2010" i="1"/>
  <c r="I2010" i="1"/>
  <c r="O2009" i="1"/>
  <c r="P2009" i="1" s="1"/>
  <c r="N2009" i="1"/>
  <c r="M2009" i="1"/>
  <c r="L2009" i="1"/>
  <c r="K2009" i="1"/>
  <c r="I2009" i="1"/>
  <c r="O2008" i="1"/>
  <c r="P2008" i="1" s="1"/>
  <c r="N2008" i="1"/>
  <c r="M2008" i="1"/>
  <c r="L2008" i="1"/>
  <c r="K2008" i="1"/>
  <c r="I2008" i="1"/>
  <c r="O2007" i="1"/>
  <c r="P2007" i="1" s="1"/>
  <c r="N2007" i="1"/>
  <c r="M2007" i="1"/>
  <c r="L2007" i="1"/>
  <c r="K2007" i="1"/>
  <c r="I2007" i="1"/>
  <c r="O2006" i="1"/>
  <c r="P2006" i="1" s="1"/>
  <c r="N2006" i="1"/>
  <c r="M2006" i="1"/>
  <c r="L2006" i="1"/>
  <c r="K2006" i="1"/>
  <c r="I2006" i="1"/>
  <c r="O2005" i="1"/>
  <c r="P2005" i="1" s="1"/>
  <c r="N2005" i="1"/>
  <c r="M2005" i="1"/>
  <c r="L2005" i="1"/>
  <c r="K2005" i="1"/>
  <c r="I2005" i="1"/>
  <c r="O2004" i="1"/>
  <c r="P2004" i="1" s="1"/>
  <c r="N2004" i="1"/>
  <c r="M2004" i="1"/>
  <c r="L2004" i="1"/>
  <c r="K2004" i="1"/>
  <c r="I2004" i="1"/>
  <c r="O2003" i="1"/>
  <c r="P2003" i="1" s="1"/>
  <c r="N2003" i="1"/>
  <c r="M2003" i="1"/>
  <c r="L2003" i="1"/>
  <c r="K2003" i="1"/>
  <c r="I2003" i="1"/>
  <c r="O2002" i="1"/>
  <c r="P2002" i="1" s="1"/>
  <c r="N2002" i="1"/>
  <c r="M2002" i="1"/>
  <c r="L2002" i="1"/>
  <c r="K2002" i="1"/>
  <c r="I2002" i="1"/>
  <c r="O2001" i="1"/>
  <c r="P2001" i="1" s="1"/>
  <c r="N2001" i="1"/>
  <c r="M2001" i="1"/>
  <c r="L2001" i="1"/>
  <c r="K2001" i="1"/>
  <c r="I2001" i="1"/>
  <c r="O2000" i="1"/>
  <c r="P2000" i="1" s="1"/>
  <c r="N2000" i="1"/>
  <c r="M2000" i="1"/>
  <c r="L2000" i="1"/>
  <c r="K2000" i="1"/>
  <c r="I2000" i="1"/>
  <c r="O1999" i="1"/>
  <c r="P1999" i="1" s="1"/>
  <c r="N1999" i="1"/>
  <c r="M1999" i="1"/>
  <c r="L1999" i="1"/>
  <c r="K1999" i="1"/>
  <c r="I1999" i="1"/>
  <c r="O1998" i="1"/>
  <c r="P1998" i="1" s="1"/>
  <c r="N1998" i="1"/>
  <c r="M1998" i="1"/>
  <c r="L1998" i="1"/>
  <c r="K1998" i="1"/>
  <c r="I1998" i="1"/>
  <c r="O1997" i="1"/>
  <c r="P1997" i="1" s="1"/>
  <c r="N1997" i="1"/>
  <c r="M1997" i="1"/>
  <c r="L1997" i="1"/>
  <c r="K1997" i="1"/>
  <c r="I1997" i="1"/>
  <c r="O1996" i="1"/>
  <c r="P1996" i="1" s="1"/>
  <c r="N1996" i="1"/>
  <c r="M1996" i="1"/>
  <c r="L1996" i="1"/>
  <c r="K1996" i="1"/>
  <c r="I1996" i="1"/>
  <c r="O1995" i="1"/>
  <c r="P1995" i="1" s="1"/>
  <c r="N1995" i="1"/>
  <c r="M1995" i="1"/>
  <c r="L1995" i="1"/>
  <c r="K1995" i="1"/>
  <c r="I1995" i="1"/>
  <c r="O1994" i="1"/>
  <c r="P1994" i="1" s="1"/>
  <c r="N1994" i="1"/>
  <c r="M1994" i="1"/>
  <c r="L1994" i="1"/>
  <c r="K1994" i="1"/>
  <c r="I1994" i="1"/>
  <c r="O1993" i="1"/>
  <c r="P1993" i="1" s="1"/>
  <c r="N1993" i="1"/>
  <c r="M1993" i="1"/>
  <c r="L1993" i="1"/>
  <c r="K1993" i="1"/>
  <c r="I1993" i="1"/>
  <c r="O1992" i="1"/>
  <c r="P1992" i="1" s="1"/>
  <c r="N1992" i="1"/>
  <c r="M1992" i="1"/>
  <c r="L1992" i="1"/>
  <c r="K1992" i="1"/>
  <c r="I1992" i="1"/>
  <c r="O1991" i="1"/>
  <c r="P1991" i="1" s="1"/>
  <c r="N1991" i="1"/>
  <c r="M1991" i="1"/>
  <c r="L1991" i="1"/>
  <c r="K1991" i="1"/>
  <c r="I1991" i="1"/>
  <c r="O1990" i="1"/>
  <c r="P1990" i="1" s="1"/>
  <c r="N1990" i="1"/>
  <c r="M1990" i="1"/>
  <c r="L1990" i="1"/>
  <c r="K1990" i="1"/>
  <c r="I1990" i="1"/>
  <c r="O1989" i="1"/>
  <c r="P1989" i="1" s="1"/>
  <c r="N1989" i="1"/>
  <c r="M1989" i="1"/>
  <c r="L1989" i="1"/>
  <c r="K1989" i="1"/>
  <c r="I1989" i="1"/>
  <c r="O1988" i="1"/>
  <c r="P1988" i="1" s="1"/>
  <c r="N1988" i="1"/>
  <c r="M1988" i="1"/>
  <c r="L1988" i="1"/>
  <c r="K1988" i="1"/>
  <c r="I1988" i="1"/>
  <c r="O1987" i="1"/>
  <c r="P1987" i="1" s="1"/>
  <c r="N1987" i="1"/>
  <c r="M1987" i="1"/>
  <c r="L1987" i="1"/>
  <c r="K1987" i="1"/>
  <c r="I1987" i="1"/>
  <c r="O1986" i="1"/>
  <c r="P1986" i="1" s="1"/>
  <c r="N1986" i="1"/>
  <c r="M1986" i="1"/>
  <c r="L1986" i="1"/>
  <c r="K1986" i="1"/>
  <c r="I1986" i="1"/>
  <c r="O1985" i="1"/>
  <c r="P1985" i="1" s="1"/>
  <c r="N1985" i="1"/>
  <c r="M1985" i="1"/>
  <c r="L1985" i="1"/>
  <c r="K1985" i="1"/>
  <c r="I1985" i="1"/>
  <c r="O1984" i="1"/>
  <c r="P1984" i="1" s="1"/>
  <c r="N1984" i="1"/>
  <c r="M1984" i="1"/>
  <c r="L1984" i="1"/>
  <c r="K1984" i="1"/>
  <c r="I1984" i="1"/>
  <c r="O1983" i="1"/>
  <c r="P1983" i="1" s="1"/>
  <c r="N1983" i="1"/>
  <c r="M1983" i="1"/>
  <c r="L1983" i="1"/>
  <c r="K1983" i="1"/>
  <c r="I1983" i="1"/>
  <c r="O1982" i="1"/>
  <c r="P1982" i="1" s="1"/>
  <c r="N1982" i="1"/>
  <c r="M1982" i="1"/>
  <c r="L1982" i="1"/>
  <c r="K1982" i="1"/>
  <c r="I1982" i="1"/>
  <c r="O1981" i="1"/>
  <c r="P1981" i="1" s="1"/>
  <c r="N1981" i="1"/>
  <c r="M1981" i="1"/>
  <c r="L1981" i="1"/>
  <c r="K1981" i="1"/>
  <c r="I1981" i="1"/>
  <c r="O1980" i="1"/>
  <c r="P1980" i="1" s="1"/>
  <c r="N1980" i="1"/>
  <c r="M1980" i="1"/>
  <c r="L1980" i="1"/>
  <c r="K1980" i="1"/>
  <c r="I1980" i="1"/>
  <c r="O1979" i="1"/>
  <c r="P1979" i="1" s="1"/>
  <c r="N1979" i="1"/>
  <c r="M1979" i="1"/>
  <c r="L1979" i="1"/>
  <c r="K1979" i="1"/>
  <c r="I1979" i="1"/>
  <c r="O1978" i="1"/>
  <c r="P1978" i="1" s="1"/>
  <c r="N1978" i="1"/>
  <c r="M1978" i="1"/>
  <c r="L1978" i="1"/>
  <c r="K1978" i="1"/>
  <c r="I1978" i="1"/>
  <c r="O1977" i="1"/>
  <c r="P1977" i="1" s="1"/>
  <c r="N1977" i="1"/>
  <c r="M1977" i="1"/>
  <c r="L1977" i="1"/>
  <c r="K1977" i="1"/>
  <c r="I1977" i="1"/>
  <c r="O1976" i="1"/>
  <c r="P1976" i="1" s="1"/>
  <c r="N1976" i="1"/>
  <c r="M1976" i="1"/>
  <c r="L1976" i="1"/>
  <c r="K1976" i="1"/>
  <c r="I1976" i="1"/>
  <c r="O1975" i="1"/>
  <c r="P1975" i="1" s="1"/>
  <c r="N1975" i="1"/>
  <c r="M1975" i="1"/>
  <c r="L1975" i="1"/>
  <c r="K1975" i="1"/>
  <c r="I1975" i="1"/>
  <c r="O1974" i="1"/>
  <c r="P1974" i="1" s="1"/>
  <c r="N1974" i="1"/>
  <c r="M1974" i="1"/>
  <c r="L1974" i="1"/>
  <c r="K1974" i="1"/>
  <c r="I1974" i="1"/>
  <c r="O1973" i="1"/>
  <c r="P1973" i="1" s="1"/>
  <c r="N1973" i="1"/>
  <c r="M1973" i="1"/>
  <c r="L1973" i="1"/>
  <c r="K1973" i="1"/>
  <c r="I1973" i="1"/>
  <c r="O1972" i="1"/>
  <c r="P1972" i="1" s="1"/>
  <c r="N1972" i="1"/>
  <c r="M1972" i="1"/>
  <c r="L1972" i="1"/>
  <c r="K1972" i="1"/>
  <c r="I1972" i="1"/>
  <c r="O1971" i="1"/>
  <c r="P1971" i="1" s="1"/>
  <c r="N1971" i="1"/>
  <c r="M1971" i="1"/>
  <c r="L1971" i="1"/>
  <c r="K1971" i="1"/>
  <c r="I1971" i="1"/>
  <c r="O1970" i="1"/>
  <c r="P1970" i="1" s="1"/>
  <c r="N1970" i="1"/>
  <c r="M1970" i="1"/>
  <c r="L1970" i="1"/>
  <c r="K1970" i="1"/>
  <c r="I1970" i="1"/>
  <c r="O1969" i="1"/>
  <c r="P1969" i="1" s="1"/>
  <c r="N1969" i="1"/>
  <c r="M1969" i="1"/>
  <c r="L1969" i="1"/>
  <c r="K1969" i="1"/>
  <c r="I1969" i="1"/>
  <c r="O1968" i="1"/>
  <c r="P1968" i="1" s="1"/>
  <c r="N1968" i="1"/>
  <c r="M1968" i="1"/>
  <c r="L1968" i="1"/>
  <c r="K1968" i="1"/>
  <c r="I1968" i="1"/>
  <c r="O1967" i="1"/>
  <c r="P1967" i="1" s="1"/>
  <c r="N1967" i="1"/>
  <c r="M1967" i="1"/>
  <c r="L1967" i="1"/>
  <c r="K1967" i="1"/>
  <c r="I1967" i="1"/>
  <c r="O1966" i="1"/>
  <c r="P1966" i="1" s="1"/>
  <c r="N1966" i="1"/>
  <c r="M1966" i="1"/>
  <c r="L1966" i="1"/>
  <c r="K1966" i="1"/>
  <c r="I1966" i="1"/>
  <c r="O1965" i="1"/>
  <c r="P1965" i="1" s="1"/>
  <c r="N1965" i="1"/>
  <c r="M1965" i="1"/>
  <c r="L1965" i="1"/>
  <c r="K1965" i="1"/>
  <c r="I1965" i="1"/>
  <c r="O1964" i="1"/>
  <c r="P1964" i="1" s="1"/>
  <c r="N1964" i="1"/>
  <c r="M1964" i="1"/>
  <c r="L1964" i="1"/>
  <c r="K1964" i="1"/>
  <c r="I1964" i="1"/>
  <c r="O1963" i="1"/>
  <c r="P1963" i="1" s="1"/>
  <c r="N1963" i="1"/>
  <c r="M1963" i="1"/>
  <c r="L1963" i="1"/>
  <c r="K1963" i="1"/>
  <c r="I1963" i="1"/>
  <c r="O1962" i="1"/>
  <c r="P1962" i="1" s="1"/>
  <c r="N1962" i="1"/>
  <c r="M1962" i="1"/>
  <c r="L1962" i="1"/>
  <c r="K1962" i="1"/>
  <c r="I1962" i="1"/>
  <c r="O1961" i="1"/>
  <c r="P1961" i="1" s="1"/>
  <c r="N1961" i="1"/>
  <c r="M1961" i="1"/>
  <c r="L1961" i="1"/>
  <c r="K1961" i="1"/>
  <c r="I1961" i="1"/>
  <c r="O1960" i="1"/>
  <c r="P1960" i="1" s="1"/>
  <c r="N1960" i="1"/>
  <c r="M1960" i="1"/>
  <c r="L1960" i="1"/>
  <c r="K1960" i="1"/>
  <c r="I1960" i="1"/>
  <c r="O1959" i="1"/>
  <c r="P1959" i="1" s="1"/>
  <c r="N1959" i="1"/>
  <c r="M1959" i="1"/>
  <c r="L1959" i="1"/>
  <c r="K1959" i="1"/>
  <c r="I1959" i="1"/>
  <c r="O1958" i="1"/>
  <c r="P1958" i="1" s="1"/>
  <c r="N1958" i="1"/>
  <c r="M1958" i="1"/>
  <c r="L1958" i="1"/>
  <c r="K1958" i="1"/>
  <c r="I1958" i="1"/>
  <c r="O1957" i="1"/>
  <c r="P1957" i="1" s="1"/>
  <c r="N1957" i="1"/>
  <c r="M1957" i="1"/>
  <c r="L1957" i="1"/>
  <c r="K1957" i="1"/>
  <c r="I1957" i="1"/>
  <c r="O1956" i="1"/>
  <c r="P1956" i="1" s="1"/>
  <c r="N1956" i="1"/>
  <c r="M1956" i="1"/>
  <c r="L1956" i="1"/>
  <c r="K1956" i="1"/>
  <c r="I1956" i="1"/>
  <c r="O1955" i="1"/>
  <c r="P1955" i="1" s="1"/>
  <c r="N1955" i="1"/>
  <c r="M1955" i="1"/>
  <c r="L1955" i="1"/>
  <c r="K1955" i="1"/>
  <c r="I1955" i="1"/>
  <c r="O1954" i="1"/>
  <c r="P1954" i="1" s="1"/>
  <c r="N1954" i="1"/>
  <c r="M1954" i="1"/>
  <c r="L1954" i="1"/>
  <c r="K1954" i="1"/>
  <c r="I1954" i="1"/>
  <c r="O1953" i="1"/>
  <c r="P1953" i="1" s="1"/>
  <c r="N1953" i="1"/>
  <c r="M1953" i="1"/>
  <c r="L1953" i="1"/>
  <c r="K1953" i="1"/>
  <c r="I1953" i="1"/>
  <c r="O1952" i="1"/>
  <c r="P1952" i="1" s="1"/>
  <c r="N1952" i="1"/>
  <c r="M1952" i="1"/>
  <c r="L1952" i="1"/>
  <c r="K1952" i="1"/>
  <c r="I1952" i="1"/>
  <c r="O1951" i="1"/>
  <c r="P1951" i="1" s="1"/>
  <c r="N1951" i="1"/>
  <c r="M1951" i="1"/>
  <c r="L1951" i="1"/>
  <c r="K1951" i="1"/>
  <c r="I1951" i="1"/>
  <c r="O1950" i="1"/>
  <c r="P1950" i="1" s="1"/>
  <c r="N1950" i="1"/>
  <c r="M1950" i="1"/>
  <c r="L1950" i="1"/>
  <c r="K1950" i="1"/>
  <c r="I1950" i="1"/>
  <c r="O1949" i="1"/>
  <c r="P1949" i="1" s="1"/>
  <c r="N1949" i="1"/>
  <c r="M1949" i="1"/>
  <c r="L1949" i="1"/>
  <c r="K1949" i="1"/>
  <c r="I1949" i="1"/>
  <c r="O1948" i="1"/>
  <c r="P1948" i="1" s="1"/>
  <c r="N1948" i="1"/>
  <c r="M1948" i="1"/>
  <c r="L1948" i="1"/>
  <c r="K1948" i="1"/>
  <c r="I1948" i="1"/>
  <c r="O1947" i="1"/>
  <c r="P1947" i="1" s="1"/>
  <c r="N1947" i="1"/>
  <c r="M1947" i="1"/>
  <c r="L1947" i="1"/>
  <c r="K1947" i="1"/>
  <c r="I1947" i="1"/>
  <c r="O1946" i="1"/>
  <c r="P1946" i="1" s="1"/>
  <c r="N1946" i="1"/>
  <c r="M1946" i="1"/>
  <c r="L1946" i="1"/>
  <c r="K1946" i="1"/>
  <c r="I1946" i="1"/>
  <c r="O1945" i="1"/>
  <c r="P1945" i="1" s="1"/>
  <c r="N1945" i="1"/>
  <c r="M1945" i="1"/>
  <c r="L1945" i="1"/>
  <c r="K1945" i="1"/>
  <c r="I1945" i="1"/>
  <c r="O1944" i="1"/>
  <c r="P1944" i="1" s="1"/>
  <c r="N1944" i="1"/>
  <c r="M1944" i="1"/>
  <c r="L1944" i="1"/>
  <c r="K1944" i="1"/>
  <c r="I1944" i="1"/>
  <c r="O1943" i="1"/>
  <c r="P1943" i="1" s="1"/>
  <c r="N1943" i="1"/>
  <c r="M1943" i="1"/>
  <c r="L1943" i="1"/>
  <c r="K1943" i="1"/>
  <c r="I1943" i="1"/>
  <c r="O1942" i="1"/>
  <c r="P1942" i="1" s="1"/>
  <c r="N1942" i="1"/>
  <c r="M1942" i="1"/>
  <c r="L1942" i="1"/>
  <c r="K1942" i="1"/>
  <c r="I1942" i="1"/>
  <c r="O1941" i="1"/>
  <c r="P1941" i="1" s="1"/>
  <c r="N1941" i="1"/>
  <c r="M1941" i="1"/>
  <c r="L1941" i="1"/>
  <c r="K1941" i="1"/>
  <c r="I1941" i="1"/>
  <c r="O1940" i="1"/>
  <c r="P1940" i="1" s="1"/>
  <c r="N1940" i="1"/>
  <c r="M1940" i="1"/>
  <c r="L1940" i="1"/>
  <c r="K1940" i="1"/>
  <c r="I1940" i="1"/>
  <c r="O1939" i="1"/>
  <c r="P1939" i="1" s="1"/>
  <c r="N1939" i="1"/>
  <c r="M1939" i="1"/>
  <c r="L1939" i="1"/>
  <c r="K1939" i="1"/>
  <c r="I1939" i="1"/>
  <c r="O1938" i="1"/>
  <c r="P1938" i="1" s="1"/>
  <c r="N1938" i="1"/>
  <c r="M1938" i="1"/>
  <c r="L1938" i="1"/>
  <c r="K1938" i="1"/>
  <c r="I1938" i="1"/>
  <c r="O1937" i="1"/>
  <c r="P1937" i="1" s="1"/>
  <c r="N1937" i="1"/>
  <c r="M1937" i="1"/>
  <c r="L1937" i="1"/>
  <c r="K1937" i="1"/>
  <c r="I1937" i="1"/>
  <c r="O1936" i="1"/>
  <c r="P1936" i="1" s="1"/>
  <c r="N1936" i="1"/>
  <c r="M1936" i="1"/>
  <c r="L1936" i="1"/>
  <c r="K1936" i="1"/>
  <c r="I1936" i="1"/>
  <c r="O1935" i="1"/>
  <c r="P1935" i="1" s="1"/>
  <c r="N1935" i="1"/>
  <c r="M1935" i="1"/>
  <c r="L1935" i="1"/>
  <c r="K1935" i="1"/>
  <c r="I1935" i="1"/>
  <c r="O1934" i="1"/>
  <c r="P1934" i="1" s="1"/>
  <c r="N1934" i="1"/>
  <c r="M1934" i="1"/>
  <c r="L1934" i="1"/>
  <c r="K1934" i="1"/>
  <c r="I1934" i="1"/>
  <c r="O1933" i="1"/>
  <c r="P1933" i="1" s="1"/>
  <c r="N1933" i="1"/>
  <c r="M1933" i="1"/>
  <c r="L1933" i="1"/>
  <c r="K1933" i="1"/>
  <c r="I1933" i="1"/>
  <c r="O1932" i="1"/>
  <c r="P1932" i="1" s="1"/>
  <c r="N1932" i="1"/>
  <c r="M1932" i="1"/>
  <c r="L1932" i="1"/>
  <c r="K1932" i="1"/>
  <c r="I1932" i="1"/>
  <c r="O1931" i="1"/>
  <c r="P1931" i="1" s="1"/>
  <c r="N1931" i="1"/>
  <c r="M1931" i="1"/>
  <c r="L1931" i="1"/>
  <c r="K1931" i="1"/>
  <c r="I1931" i="1"/>
  <c r="O1930" i="1"/>
  <c r="P1930" i="1" s="1"/>
  <c r="N1930" i="1"/>
  <c r="M1930" i="1"/>
  <c r="L1930" i="1"/>
  <c r="K1930" i="1"/>
  <c r="I1930" i="1"/>
  <c r="O1929" i="1"/>
  <c r="P1929" i="1" s="1"/>
  <c r="N1929" i="1"/>
  <c r="M1929" i="1"/>
  <c r="L1929" i="1"/>
  <c r="K1929" i="1"/>
  <c r="I1929" i="1"/>
  <c r="O1928" i="1"/>
  <c r="P1928" i="1" s="1"/>
  <c r="N1928" i="1"/>
  <c r="M1928" i="1"/>
  <c r="L1928" i="1"/>
  <c r="K1928" i="1"/>
  <c r="I1928" i="1"/>
  <c r="O1927" i="1"/>
  <c r="P1927" i="1" s="1"/>
  <c r="N1927" i="1"/>
  <c r="M1927" i="1"/>
  <c r="L1927" i="1"/>
  <c r="K1927" i="1"/>
  <c r="I1927" i="1"/>
  <c r="O1926" i="1"/>
  <c r="P1926" i="1" s="1"/>
  <c r="N1926" i="1"/>
  <c r="M1926" i="1"/>
  <c r="L1926" i="1"/>
  <c r="K1926" i="1"/>
  <c r="I1926" i="1"/>
  <c r="O1925" i="1"/>
  <c r="P1925" i="1" s="1"/>
  <c r="N1925" i="1"/>
  <c r="M1925" i="1"/>
  <c r="L1925" i="1"/>
  <c r="K1925" i="1"/>
  <c r="I1925" i="1"/>
  <c r="O1924" i="1"/>
  <c r="P1924" i="1" s="1"/>
  <c r="N1924" i="1"/>
  <c r="M1924" i="1"/>
  <c r="L1924" i="1"/>
  <c r="K1924" i="1"/>
  <c r="I1924" i="1"/>
  <c r="O1923" i="1"/>
  <c r="P1923" i="1" s="1"/>
  <c r="N1923" i="1"/>
  <c r="M1923" i="1"/>
  <c r="L1923" i="1"/>
  <c r="K1923" i="1"/>
  <c r="I1923" i="1"/>
  <c r="O1922" i="1"/>
  <c r="P1922" i="1" s="1"/>
  <c r="N1922" i="1"/>
  <c r="M1922" i="1"/>
  <c r="L1922" i="1"/>
  <c r="K1922" i="1"/>
  <c r="I1922" i="1"/>
  <c r="O1921" i="1"/>
  <c r="P1921" i="1" s="1"/>
  <c r="N1921" i="1"/>
  <c r="M1921" i="1"/>
  <c r="L1921" i="1"/>
  <c r="K1921" i="1"/>
  <c r="I1921" i="1"/>
  <c r="O1920" i="1"/>
  <c r="P1920" i="1" s="1"/>
  <c r="N1920" i="1"/>
  <c r="M1920" i="1"/>
  <c r="L1920" i="1"/>
  <c r="K1920" i="1"/>
  <c r="I1920" i="1"/>
  <c r="O1919" i="1"/>
  <c r="P1919" i="1" s="1"/>
  <c r="N1919" i="1"/>
  <c r="M1919" i="1"/>
  <c r="L1919" i="1"/>
  <c r="K1919" i="1"/>
  <c r="I1919" i="1"/>
  <c r="O1918" i="1"/>
  <c r="P1918" i="1" s="1"/>
  <c r="N1918" i="1"/>
  <c r="M1918" i="1"/>
  <c r="L1918" i="1"/>
  <c r="K1918" i="1"/>
  <c r="I1918" i="1"/>
  <c r="O1917" i="1"/>
  <c r="P1917" i="1" s="1"/>
  <c r="N1917" i="1"/>
  <c r="M1917" i="1"/>
  <c r="L1917" i="1"/>
  <c r="K1917" i="1"/>
  <c r="I1917" i="1"/>
  <c r="O1916" i="1"/>
  <c r="P1916" i="1" s="1"/>
  <c r="N1916" i="1"/>
  <c r="M1916" i="1"/>
  <c r="L1916" i="1"/>
  <c r="K1916" i="1"/>
  <c r="I1916" i="1"/>
  <c r="O1915" i="1"/>
  <c r="P1915" i="1" s="1"/>
  <c r="N1915" i="1"/>
  <c r="M1915" i="1"/>
  <c r="L1915" i="1"/>
  <c r="K1915" i="1"/>
  <c r="I1915" i="1"/>
  <c r="O1914" i="1"/>
  <c r="P1914" i="1" s="1"/>
  <c r="N1914" i="1"/>
  <c r="M1914" i="1"/>
  <c r="L1914" i="1"/>
  <c r="K1914" i="1"/>
  <c r="I1914" i="1"/>
  <c r="O1913" i="1"/>
  <c r="P1913" i="1" s="1"/>
  <c r="N1913" i="1"/>
  <c r="M1913" i="1"/>
  <c r="L1913" i="1"/>
  <c r="K1913" i="1"/>
  <c r="I1913" i="1"/>
  <c r="O1912" i="1"/>
  <c r="P1912" i="1" s="1"/>
  <c r="N1912" i="1"/>
  <c r="M1912" i="1"/>
  <c r="L1912" i="1"/>
  <c r="K1912" i="1"/>
  <c r="I1912" i="1"/>
  <c r="O1911" i="1"/>
  <c r="P1911" i="1" s="1"/>
  <c r="N1911" i="1"/>
  <c r="M1911" i="1"/>
  <c r="L1911" i="1"/>
  <c r="K1911" i="1"/>
  <c r="I1911" i="1"/>
  <c r="O1910" i="1"/>
  <c r="P1910" i="1" s="1"/>
  <c r="N1910" i="1"/>
  <c r="M1910" i="1"/>
  <c r="L1910" i="1"/>
  <c r="K1910" i="1"/>
  <c r="I1910" i="1"/>
  <c r="O1909" i="1"/>
  <c r="P1909" i="1" s="1"/>
  <c r="N1909" i="1"/>
  <c r="M1909" i="1"/>
  <c r="L1909" i="1"/>
  <c r="K1909" i="1"/>
  <c r="I1909" i="1"/>
  <c r="O1908" i="1"/>
  <c r="P1908" i="1" s="1"/>
  <c r="N1908" i="1"/>
  <c r="M1908" i="1"/>
  <c r="L1908" i="1"/>
  <c r="K1908" i="1"/>
  <c r="I1908" i="1"/>
  <c r="O1907" i="1"/>
  <c r="P1907" i="1" s="1"/>
  <c r="N1907" i="1"/>
  <c r="M1907" i="1"/>
  <c r="L1907" i="1"/>
  <c r="K1907" i="1"/>
  <c r="I1907" i="1"/>
  <c r="O1906" i="1"/>
  <c r="P1906" i="1" s="1"/>
  <c r="N1906" i="1"/>
  <c r="M1906" i="1"/>
  <c r="L1906" i="1"/>
  <c r="K1906" i="1"/>
  <c r="I1906" i="1"/>
  <c r="O1905" i="1"/>
  <c r="P1905" i="1" s="1"/>
  <c r="N1905" i="1"/>
  <c r="M1905" i="1"/>
  <c r="L1905" i="1"/>
  <c r="K1905" i="1"/>
  <c r="I1905" i="1"/>
  <c r="O1904" i="1"/>
  <c r="P1904" i="1" s="1"/>
  <c r="N1904" i="1"/>
  <c r="M1904" i="1"/>
  <c r="L1904" i="1"/>
  <c r="K1904" i="1"/>
  <c r="I1904" i="1"/>
  <c r="O1903" i="1"/>
  <c r="P1903" i="1" s="1"/>
  <c r="N1903" i="1"/>
  <c r="M1903" i="1"/>
  <c r="L1903" i="1"/>
  <c r="K1903" i="1"/>
  <c r="I1903" i="1"/>
  <c r="O1902" i="1"/>
  <c r="P1902" i="1" s="1"/>
  <c r="N1902" i="1"/>
  <c r="M1902" i="1"/>
  <c r="L1902" i="1"/>
  <c r="K1902" i="1"/>
  <c r="I1902" i="1"/>
  <c r="O1901" i="1"/>
  <c r="P1901" i="1" s="1"/>
  <c r="N1901" i="1"/>
  <c r="M1901" i="1"/>
  <c r="L1901" i="1"/>
  <c r="K1901" i="1"/>
  <c r="I1901" i="1"/>
  <c r="O1900" i="1"/>
  <c r="P1900" i="1" s="1"/>
  <c r="N1900" i="1"/>
  <c r="M1900" i="1"/>
  <c r="L1900" i="1"/>
  <c r="K1900" i="1"/>
  <c r="I1900" i="1"/>
  <c r="O1899" i="1"/>
  <c r="P1899" i="1" s="1"/>
  <c r="N1899" i="1"/>
  <c r="M1899" i="1"/>
  <c r="L1899" i="1"/>
  <c r="K1899" i="1"/>
  <c r="I1899" i="1"/>
  <c r="O1898" i="1"/>
  <c r="P1898" i="1" s="1"/>
  <c r="N1898" i="1"/>
  <c r="M1898" i="1"/>
  <c r="L1898" i="1"/>
  <c r="K1898" i="1"/>
  <c r="I1898" i="1"/>
  <c r="O1897" i="1"/>
  <c r="P1897" i="1" s="1"/>
  <c r="N1897" i="1"/>
  <c r="M1897" i="1"/>
  <c r="L1897" i="1"/>
  <c r="K1897" i="1"/>
  <c r="I1897" i="1"/>
  <c r="O1896" i="1"/>
  <c r="P1896" i="1" s="1"/>
  <c r="N1896" i="1"/>
  <c r="M1896" i="1"/>
  <c r="L1896" i="1"/>
  <c r="K1896" i="1"/>
  <c r="I1896" i="1"/>
  <c r="O1895" i="1"/>
  <c r="P1895" i="1" s="1"/>
  <c r="N1895" i="1"/>
  <c r="M1895" i="1"/>
  <c r="L1895" i="1"/>
  <c r="K1895" i="1"/>
  <c r="I1895" i="1"/>
  <c r="O1894" i="1"/>
  <c r="P1894" i="1" s="1"/>
  <c r="N1894" i="1"/>
  <c r="M1894" i="1"/>
  <c r="L1894" i="1"/>
  <c r="K1894" i="1"/>
  <c r="I1894" i="1"/>
  <c r="O1893" i="1"/>
  <c r="P1893" i="1" s="1"/>
  <c r="N1893" i="1"/>
  <c r="M1893" i="1"/>
  <c r="L1893" i="1"/>
  <c r="K1893" i="1"/>
  <c r="I1893" i="1"/>
  <c r="O1892" i="1"/>
  <c r="P1892" i="1" s="1"/>
  <c r="N1892" i="1"/>
  <c r="M1892" i="1"/>
  <c r="L1892" i="1"/>
  <c r="K1892" i="1"/>
  <c r="I1892" i="1"/>
  <c r="O1891" i="1"/>
  <c r="P1891" i="1" s="1"/>
  <c r="N1891" i="1"/>
  <c r="M1891" i="1"/>
  <c r="L1891" i="1"/>
  <c r="K1891" i="1"/>
  <c r="I1891" i="1"/>
  <c r="O1890" i="1"/>
  <c r="P1890" i="1" s="1"/>
  <c r="N1890" i="1"/>
  <c r="M1890" i="1"/>
  <c r="L1890" i="1"/>
  <c r="K1890" i="1"/>
  <c r="I1890" i="1"/>
  <c r="O1889" i="1"/>
  <c r="P1889" i="1" s="1"/>
  <c r="N1889" i="1"/>
  <c r="M1889" i="1"/>
  <c r="L1889" i="1"/>
  <c r="K1889" i="1"/>
  <c r="I1889" i="1"/>
  <c r="O1888" i="1"/>
  <c r="P1888" i="1" s="1"/>
  <c r="N1888" i="1"/>
  <c r="M1888" i="1"/>
  <c r="L1888" i="1"/>
  <c r="K1888" i="1"/>
  <c r="I1888" i="1"/>
  <c r="O1887" i="1"/>
  <c r="P1887" i="1" s="1"/>
  <c r="N1887" i="1"/>
  <c r="M1887" i="1"/>
  <c r="L1887" i="1"/>
  <c r="K1887" i="1"/>
  <c r="I1887" i="1"/>
  <c r="O1886" i="1"/>
  <c r="P1886" i="1" s="1"/>
  <c r="N1886" i="1"/>
  <c r="M1886" i="1"/>
  <c r="L1886" i="1"/>
  <c r="K1886" i="1"/>
  <c r="I1886" i="1"/>
  <c r="O1885" i="1"/>
  <c r="P1885" i="1" s="1"/>
  <c r="N1885" i="1"/>
  <c r="M1885" i="1"/>
  <c r="L1885" i="1"/>
  <c r="K1885" i="1"/>
  <c r="I1885" i="1"/>
  <c r="O1884" i="1"/>
  <c r="P1884" i="1" s="1"/>
  <c r="N1884" i="1"/>
  <c r="M1884" i="1"/>
  <c r="L1884" i="1"/>
  <c r="K1884" i="1"/>
  <c r="I1884" i="1"/>
  <c r="O1883" i="1"/>
  <c r="P1883" i="1" s="1"/>
  <c r="N1883" i="1"/>
  <c r="M1883" i="1"/>
  <c r="L1883" i="1"/>
  <c r="K1883" i="1"/>
  <c r="I1883" i="1"/>
  <c r="O1882" i="1"/>
  <c r="P1882" i="1" s="1"/>
  <c r="N1882" i="1"/>
  <c r="M1882" i="1"/>
  <c r="L1882" i="1"/>
  <c r="K1882" i="1"/>
  <c r="I1882" i="1"/>
  <c r="O1881" i="1"/>
  <c r="P1881" i="1" s="1"/>
  <c r="N1881" i="1"/>
  <c r="M1881" i="1"/>
  <c r="L1881" i="1"/>
  <c r="K1881" i="1"/>
  <c r="I1881" i="1"/>
  <c r="O1880" i="1"/>
  <c r="P1880" i="1" s="1"/>
  <c r="N1880" i="1"/>
  <c r="M1880" i="1"/>
  <c r="L1880" i="1"/>
  <c r="K1880" i="1"/>
  <c r="I1880" i="1"/>
  <c r="O1879" i="1"/>
  <c r="P1879" i="1" s="1"/>
  <c r="N1879" i="1"/>
  <c r="M1879" i="1"/>
  <c r="L1879" i="1"/>
  <c r="K1879" i="1"/>
  <c r="I1879" i="1"/>
  <c r="O1878" i="1"/>
  <c r="P1878" i="1" s="1"/>
  <c r="N1878" i="1"/>
  <c r="M1878" i="1"/>
  <c r="L1878" i="1"/>
  <c r="K1878" i="1"/>
  <c r="I1878" i="1"/>
  <c r="O1877" i="1"/>
  <c r="P1877" i="1" s="1"/>
  <c r="N1877" i="1"/>
  <c r="M1877" i="1"/>
  <c r="L1877" i="1"/>
  <c r="K1877" i="1"/>
  <c r="I1877" i="1"/>
  <c r="O1876" i="1"/>
  <c r="P1876" i="1" s="1"/>
  <c r="N1876" i="1"/>
  <c r="M1876" i="1"/>
  <c r="L1876" i="1"/>
  <c r="K1876" i="1"/>
  <c r="I1876" i="1"/>
  <c r="O1875" i="1"/>
  <c r="P1875" i="1" s="1"/>
  <c r="N1875" i="1"/>
  <c r="M1875" i="1"/>
  <c r="L1875" i="1"/>
  <c r="K1875" i="1"/>
  <c r="I1875" i="1"/>
  <c r="O1874" i="1"/>
  <c r="P1874" i="1" s="1"/>
  <c r="N1874" i="1"/>
  <c r="M1874" i="1"/>
  <c r="L1874" i="1"/>
  <c r="K1874" i="1"/>
  <c r="I1874" i="1"/>
  <c r="O1873" i="1"/>
  <c r="P1873" i="1" s="1"/>
  <c r="N1873" i="1"/>
  <c r="M1873" i="1"/>
  <c r="L1873" i="1"/>
  <c r="K1873" i="1"/>
  <c r="I1873" i="1"/>
  <c r="O1872" i="1"/>
  <c r="P1872" i="1" s="1"/>
  <c r="N1872" i="1"/>
  <c r="M1872" i="1"/>
  <c r="L1872" i="1"/>
  <c r="K1872" i="1"/>
  <c r="I1872" i="1"/>
  <c r="O1871" i="1"/>
  <c r="P1871" i="1" s="1"/>
  <c r="N1871" i="1"/>
  <c r="M1871" i="1"/>
  <c r="L1871" i="1"/>
  <c r="K1871" i="1"/>
  <c r="I1871" i="1"/>
  <c r="O1870" i="1"/>
  <c r="P1870" i="1" s="1"/>
  <c r="N1870" i="1"/>
  <c r="M1870" i="1"/>
  <c r="L1870" i="1"/>
  <c r="K1870" i="1"/>
  <c r="I1870" i="1"/>
  <c r="O1869" i="1"/>
  <c r="P1869" i="1" s="1"/>
  <c r="N1869" i="1"/>
  <c r="M1869" i="1"/>
  <c r="L1869" i="1"/>
  <c r="K1869" i="1"/>
  <c r="I1869" i="1"/>
  <c r="O1868" i="1"/>
  <c r="P1868" i="1" s="1"/>
  <c r="N1868" i="1"/>
  <c r="M1868" i="1"/>
  <c r="L1868" i="1"/>
  <c r="K1868" i="1"/>
  <c r="I1868" i="1"/>
  <c r="O1867" i="1"/>
  <c r="P1867" i="1" s="1"/>
  <c r="N1867" i="1"/>
  <c r="M1867" i="1"/>
  <c r="L1867" i="1"/>
  <c r="K1867" i="1"/>
  <c r="I1867" i="1"/>
  <c r="O1866" i="1"/>
  <c r="P1866" i="1" s="1"/>
  <c r="N1866" i="1"/>
  <c r="M1866" i="1"/>
  <c r="L1866" i="1"/>
  <c r="K1866" i="1"/>
  <c r="I1866" i="1"/>
  <c r="O1865" i="1"/>
  <c r="P1865" i="1" s="1"/>
  <c r="N1865" i="1"/>
  <c r="M1865" i="1"/>
  <c r="L1865" i="1"/>
  <c r="K1865" i="1"/>
  <c r="I1865" i="1"/>
  <c r="O1864" i="1"/>
  <c r="P1864" i="1" s="1"/>
  <c r="N1864" i="1"/>
  <c r="M1864" i="1"/>
  <c r="L1864" i="1"/>
  <c r="K1864" i="1"/>
  <c r="I1864" i="1"/>
  <c r="O1863" i="1"/>
  <c r="P1863" i="1" s="1"/>
  <c r="N1863" i="1"/>
  <c r="M1863" i="1"/>
  <c r="L1863" i="1"/>
  <c r="K1863" i="1"/>
  <c r="I1863" i="1"/>
  <c r="O1862" i="1"/>
  <c r="P1862" i="1" s="1"/>
  <c r="N1862" i="1"/>
  <c r="M1862" i="1"/>
  <c r="L1862" i="1"/>
  <c r="K1862" i="1"/>
  <c r="I1862" i="1"/>
  <c r="O1861" i="1"/>
  <c r="P1861" i="1" s="1"/>
  <c r="N1861" i="1"/>
  <c r="M1861" i="1"/>
  <c r="L1861" i="1"/>
  <c r="K1861" i="1"/>
  <c r="I1861" i="1"/>
  <c r="O1860" i="1"/>
  <c r="P1860" i="1" s="1"/>
  <c r="N1860" i="1"/>
  <c r="M1860" i="1"/>
  <c r="L1860" i="1"/>
  <c r="K1860" i="1"/>
  <c r="I1860" i="1"/>
  <c r="O1859" i="1"/>
  <c r="P1859" i="1" s="1"/>
  <c r="N1859" i="1"/>
  <c r="M1859" i="1"/>
  <c r="L1859" i="1"/>
  <c r="K1859" i="1"/>
  <c r="I1859" i="1"/>
  <c r="O1858" i="1"/>
  <c r="P1858" i="1" s="1"/>
  <c r="N1858" i="1"/>
  <c r="M1858" i="1"/>
  <c r="L1858" i="1"/>
  <c r="K1858" i="1"/>
  <c r="I1858" i="1"/>
  <c r="O1857" i="1"/>
  <c r="P1857" i="1" s="1"/>
  <c r="N1857" i="1"/>
  <c r="M1857" i="1"/>
  <c r="L1857" i="1"/>
  <c r="K1857" i="1"/>
  <c r="I1857" i="1"/>
  <c r="O1856" i="1"/>
  <c r="P1856" i="1" s="1"/>
  <c r="N1856" i="1"/>
  <c r="M1856" i="1"/>
  <c r="L1856" i="1"/>
  <c r="K1856" i="1"/>
  <c r="I1856" i="1"/>
  <c r="O1855" i="1"/>
  <c r="P1855" i="1" s="1"/>
  <c r="N1855" i="1"/>
  <c r="M1855" i="1"/>
  <c r="L1855" i="1"/>
  <c r="K1855" i="1"/>
  <c r="I1855" i="1"/>
  <c r="O1854" i="1"/>
  <c r="P1854" i="1" s="1"/>
  <c r="N1854" i="1"/>
  <c r="M1854" i="1"/>
  <c r="L1854" i="1"/>
  <c r="K1854" i="1"/>
  <c r="I1854" i="1"/>
  <c r="O1853" i="1"/>
  <c r="P1853" i="1" s="1"/>
  <c r="N1853" i="1"/>
  <c r="M1853" i="1"/>
  <c r="L1853" i="1"/>
  <c r="K1853" i="1"/>
  <c r="I1853" i="1"/>
  <c r="O1852" i="1"/>
  <c r="P1852" i="1" s="1"/>
  <c r="N1852" i="1"/>
  <c r="M1852" i="1"/>
  <c r="L1852" i="1"/>
  <c r="K1852" i="1"/>
  <c r="I1852" i="1"/>
  <c r="O1851" i="1"/>
  <c r="P1851" i="1" s="1"/>
  <c r="N1851" i="1"/>
  <c r="M1851" i="1"/>
  <c r="L1851" i="1"/>
  <c r="K1851" i="1"/>
  <c r="I1851" i="1"/>
  <c r="O1850" i="1"/>
  <c r="P1850" i="1" s="1"/>
  <c r="N1850" i="1"/>
  <c r="M1850" i="1"/>
  <c r="L1850" i="1"/>
  <c r="K1850" i="1"/>
  <c r="I1850" i="1"/>
  <c r="O1849" i="1"/>
  <c r="P1849" i="1" s="1"/>
  <c r="N1849" i="1"/>
  <c r="M1849" i="1"/>
  <c r="L1849" i="1"/>
  <c r="K1849" i="1"/>
  <c r="I1849" i="1"/>
  <c r="O1848" i="1"/>
  <c r="P1848" i="1" s="1"/>
  <c r="N1848" i="1"/>
  <c r="M1848" i="1"/>
  <c r="L1848" i="1"/>
  <c r="K1848" i="1"/>
  <c r="I1848" i="1"/>
  <c r="O1847" i="1"/>
  <c r="P1847" i="1" s="1"/>
  <c r="N1847" i="1"/>
  <c r="M1847" i="1"/>
  <c r="L1847" i="1"/>
  <c r="K1847" i="1"/>
  <c r="I1847" i="1"/>
  <c r="O1846" i="1"/>
  <c r="P1846" i="1" s="1"/>
  <c r="N1846" i="1"/>
  <c r="M1846" i="1"/>
  <c r="L1846" i="1"/>
  <c r="K1846" i="1"/>
  <c r="I1846" i="1"/>
  <c r="O1845" i="1"/>
  <c r="P1845" i="1" s="1"/>
  <c r="N1845" i="1"/>
  <c r="M1845" i="1"/>
  <c r="L1845" i="1"/>
  <c r="K1845" i="1"/>
  <c r="I1845" i="1"/>
  <c r="O1844" i="1"/>
  <c r="P1844" i="1" s="1"/>
  <c r="N1844" i="1"/>
  <c r="M1844" i="1"/>
  <c r="L1844" i="1"/>
  <c r="K1844" i="1"/>
  <c r="I1844" i="1"/>
  <c r="O1843" i="1"/>
  <c r="P1843" i="1" s="1"/>
  <c r="N1843" i="1"/>
  <c r="M1843" i="1"/>
  <c r="L1843" i="1"/>
  <c r="K1843" i="1"/>
  <c r="I1843" i="1"/>
  <c r="O1842" i="1"/>
  <c r="P1842" i="1" s="1"/>
  <c r="N1842" i="1"/>
  <c r="M1842" i="1"/>
  <c r="L1842" i="1"/>
  <c r="K1842" i="1"/>
  <c r="I1842" i="1"/>
  <c r="O1841" i="1"/>
  <c r="P1841" i="1" s="1"/>
  <c r="N1841" i="1"/>
  <c r="M1841" i="1"/>
  <c r="L1841" i="1"/>
  <c r="K1841" i="1"/>
  <c r="I1841" i="1"/>
  <c r="O1840" i="1"/>
  <c r="P1840" i="1" s="1"/>
  <c r="N1840" i="1"/>
  <c r="M1840" i="1"/>
  <c r="L1840" i="1"/>
  <c r="K1840" i="1"/>
  <c r="I1840" i="1"/>
  <c r="O1839" i="1"/>
  <c r="P1839" i="1" s="1"/>
  <c r="N1839" i="1"/>
  <c r="M1839" i="1"/>
  <c r="L1839" i="1"/>
  <c r="K1839" i="1"/>
  <c r="I1839" i="1"/>
  <c r="O1838" i="1"/>
  <c r="P1838" i="1" s="1"/>
  <c r="N1838" i="1"/>
  <c r="M1838" i="1"/>
  <c r="L1838" i="1"/>
  <c r="K1838" i="1"/>
  <c r="I1838" i="1"/>
  <c r="O1837" i="1"/>
  <c r="P1837" i="1" s="1"/>
  <c r="N1837" i="1"/>
  <c r="M1837" i="1"/>
  <c r="L1837" i="1"/>
  <c r="K1837" i="1"/>
  <c r="I1837" i="1"/>
  <c r="O1836" i="1"/>
  <c r="P1836" i="1" s="1"/>
  <c r="N1836" i="1"/>
  <c r="M1836" i="1"/>
  <c r="L1836" i="1"/>
  <c r="K1836" i="1"/>
  <c r="I1836" i="1"/>
  <c r="O1835" i="1"/>
  <c r="P1835" i="1" s="1"/>
  <c r="N1835" i="1"/>
  <c r="M1835" i="1"/>
  <c r="L1835" i="1"/>
  <c r="K1835" i="1"/>
  <c r="I1835" i="1"/>
  <c r="O1834" i="1"/>
  <c r="P1834" i="1" s="1"/>
  <c r="N1834" i="1"/>
  <c r="M1834" i="1"/>
  <c r="L1834" i="1"/>
  <c r="K1834" i="1"/>
  <c r="I1834" i="1"/>
  <c r="O1833" i="1"/>
  <c r="P1833" i="1" s="1"/>
  <c r="N1833" i="1"/>
  <c r="M1833" i="1"/>
  <c r="L1833" i="1"/>
  <c r="K1833" i="1"/>
  <c r="I1833" i="1"/>
  <c r="O1832" i="1"/>
  <c r="P1832" i="1" s="1"/>
  <c r="N1832" i="1"/>
  <c r="M1832" i="1"/>
  <c r="L1832" i="1"/>
  <c r="K1832" i="1"/>
  <c r="I1832" i="1"/>
  <c r="O1831" i="1"/>
  <c r="P1831" i="1" s="1"/>
  <c r="N1831" i="1"/>
  <c r="M1831" i="1"/>
  <c r="L1831" i="1"/>
  <c r="K1831" i="1"/>
  <c r="I1831" i="1"/>
  <c r="O1830" i="1"/>
  <c r="P1830" i="1" s="1"/>
  <c r="N1830" i="1"/>
  <c r="M1830" i="1"/>
  <c r="L1830" i="1"/>
  <c r="K1830" i="1"/>
  <c r="I1830" i="1"/>
  <c r="O1829" i="1"/>
  <c r="P1829" i="1" s="1"/>
  <c r="N1829" i="1"/>
  <c r="M1829" i="1"/>
  <c r="L1829" i="1"/>
  <c r="K1829" i="1"/>
  <c r="I1829" i="1"/>
  <c r="O1828" i="1"/>
  <c r="P1828" i="1" s="1"/>
  <c r="N1828" i="1"/>
  <c r="M1828" i="1"/>
  <c r="L1828" i="1"/>
  <c r="K1828" i="1"/>
  <c r="I1828" i="1"/>
  <c r="O1827" i="1"/>
  <c r="P1827" i="1" s="1"/>
  <c r="N1827" i="1"/>
  <c r="M1827" i="1"/>
  <c r="L1827" i="1"/>
  <c r="K1827" i="1"/>
  <c r="I1827" i="1"/>
  <c r="O1826" i="1"/>
  <c r="P1826" i="1" s="1"/>
  <c r="N1826" i="1"/>
  <c r="M1826" i="1"/>
  <c r="L1826" i="1"/>
  <c r="K1826" i="1"/>
  <c r="I1826" i="1"/>
  <c r="O1825" i="1"/>
  <c r="P1825" i="1" s="1"/>
  <c r="N1825" i="1"/>
  <c r="M1825" i="1"/>
  <c r="L1825" i="1"/>
  <c r="K1825" i="1"/>
  <c r="I1825" i="1"/>
  <c r="O1824" i="1"/>
  <c r="P1824" i="1" s="1"/>
  <c r="N1824" i="1"/>
  <c r="M1824" i="1"/>
  <c r="L1824" i="1"/>
  <c r="K1824" i="1"/>
  <c r="I1824" i="1"/>
  <c r="O1823" i="1"/>
  <c r="P1823" i="1" s="1"/>
  <c r="N1823" i="1"/>
  <c r="M1823" i="1"/>
  <c r="L1823" i="1"/>
  <c r="K1823" i="1"/>
  <c r="I1823" i="1"/>
  <c r="O1822" i="1"/>
  <c r="P1822" i="1" s="1"/>
  <c r="N1822" i="1"/>
  <c r="M1822" i="1"/>
  <c r="L1822" i="1"/>
  <c r="K1822" i="1"/>
  <c r="I1822" i="1"/>
  <c r="O1821" i="1"/>
  <c r="P1821" i="1" s="1"/>
  <c r="N1821" i="1"/>
  <c r="M1821" i="1"/>
  <c r="L1821" i="1"/>
  <c r="K1821" i="1"/>
  <c r="I1821" i="1"/>
  <c r="O1820" i="1"/>
  <c r="P1820" i="1" s="1"/>
  <c r="N1820" i="1"/>
  <c r="M1820" i="1"/>
  <c r="L1820" i="1"/>
  <c r="K1820" i="1"/>
  <c r="I1820" i="1"/>
  <c r="O1819" i="1"/>
  <c r="P1819" i="1" s="1"/>
  <c r="N1819" i="1"/>
  <c r="M1819" i="1"/>
  <c r="L1819" i="1"/>
  <c r="K1819" i="1"/>
  <c r="I1819" i="1"/>
  <c r="O1818" i="1"/>
  <c r="P1818" i="1" s="1"/>
  <c r="N1818" i="1"/>
  <c r="M1818" i="1"/>
  <c r="L1818" i="1"/>
  <c r="K1818" i="1"/>
  <c r="I1818" i="1"/>
  <c r="O1817" i="1"/>
  <c r="P1817" i="1" s="1"/>
  <c r="N1817" i="1"/>
  <c r="M1817" i="1"/>
  <c r="L1817" i="1"/>
  <c r="K1817" i="1"/>
  <c r="I1817" i="1"/>
  <c r="O1816" i="1"/>
  <c r="P1816" i="1" s="1"/>
  <c r="N1816" i="1"/>
  <c r="M1816" i="1"/>
  <c r="L1816" i="1"/>
  <c r="K1816" i="1"/>
  <c r="I1816" i="1"/>
  <c r="O1815" i="1"/>
  <c r="P1815" i="1" s="1"/>
  <c r="N1815" i="1"/>
  <c r="M1815" i="1"/>
  <c r="L1815" i="1"/>
  <c r="K1815" i="1"/>
  <c r="I1815" i="1"/>
  <c r="O1814" i="1"/>
  <c r="P1814" i="1" s="1"/>
  <c r="N1814" i="1"/>
  <c r="M1814" i="1"/>
  <c r="L1814" i="1"/>
  <c r="K1814" i="1"/>
  <c r="I1814" i="1"/>
  <c r="O1813" i="1"/>
  <c r="P1813" i="1" s="1"/>
  <c r="N1813" i="1"/>
  <c r="M1813" i="1"/>
  <c r="L1813" i="1"/>
  <c r="K1813" i="1"/>
  <c r="I1813" i="1"/>
  <c r="O1812" i="1"/>
  <c r="P1812" i="1" s="1"/>
  <c r="N1812" i="1"/>
  <c r="M1812" i="1"/>
  <c r="L1812" i="1"/>
  <c r="K1812" i="1"/>
  <c r="I1812" i="1"/>
  <c r="O1811" i="1"/>
  <c r="P1811" i="1" s="1"/>
  <c r="N1811" i="1"/>
  <c r="M1811" i="1"/>
  <c r="L1811" i="1"/>
  <c r="K1811" i="1"/>
  <c r="I1811" i="1"/>
  <c r="O1810" i="1"/>
  <c r="P1810" i="1" s="1"/>
  <c r="N1810" i="1"/>
  <c r="M1810" i="1"/>
  <c r="L1810" i="1"/>
  <c r="K1810" i="1"/>
  <c r="I1810" i="1"/>
  <c r="O1809" i="1"/>
  <c r="P1809" i="1" s="1"/>
  <c r="N1809" i="1"/>
  <c r="M1809" i="1"/>
  <c r="L1809" i="1"/>
  <c r="K1809" i="1"/>
  <c r="I1809" i="1"/>
  <c r="O1808" i="1"/>
  <c r="P1808" i="1" s="1"/>
  <c r="N1808" i="1"/>
  <c r="M1808" i="1"/>
  <c r="L1808" i="1"/>
  <c r="K1808" i="1"/>
  <c r="I1808" i="1"/>
  <c r="O1807" i="1"/>
  <c r="P1807" i="1" s="1"/>
  <c r="N1807" i="1"/>
  <c r="M1807" i="1"/>
  <c r="L1807" i="1"/>
  <c r="K1807" i="1"/>
  <c r="I1807" i="1"/>
  <c r="O1806" i="1"/>
  <c r="P1806" i="1" s="1"/>
  <c r="N1806" i="1"/>
  <c r="M1806" i="1"/>
  <c r="L1806" i="1"/>
  <c r="K1806" i="1"/>
  <c r="I1806" i="1"/>
  <c r="O1805" i="1"/>
  <c r="P1805" i="1" s="1"/>
  <c r="N1805" i="1"/>
  <c r="M1805" i="1"/>
  <c r="L1805" i="1"/>
  <c r="K1805" i="1"/>
  <c r="I1805" i="1"/>
  <c r="O1804" i="1"/>
  <c r="P1804" i="1" s="1"/>
  <c r="N1804" i="1"/>
  <c r="M1804" i="1"/>
  <c r="L1804" i="1"/>
  <c r="K1804" i="1"/>
  <c r="I1804" i="1"/>
  <c r="O1803" i="1"/>
  <c r="P1803" i="1" s="1"/>
  <c r="N1803" i="1"/>
  <c r="M1803" i="1"/>
  <c r="L1803" i="1"/>
  <c r="K1803" i="1"/>
  <c r="I1803" i="1"/>
  <c r="O1802" i="1"/>
  <c r="P1802" i="1" s="1"/>
  <c r="N1802" i="1"/>
  <c r="M1802" i="1"/>
  <c r="L1802" i="1"/>
  <c r="K1802" i="1"/>
  <c r="I1802" i="1"/>
  <c r="O1801" i="1"/>
  <c r="P1801" i="1" s="1"/>
  <c r="N1801" i="1"/>
  <c r="M1801" i="1"/>
  <c r="L1801" i="1"/>
  <c r="K1801" i="1"/>
  <c r="I1801" i="1"/>
  <c r="O1800" i="1"/>
  <c r="P1800" i="1" s="1"/>
  <c r="N1800" i="1"/>
  <c r="M1800" i="1"/>
  <c r="L1800" i="1"/>
  <c r="K1800" i="1"/>
  <c r="I1800" i="1"/>
  <c r="O1799" i="1"/>
  <c r="P1799" i="1" s="1"/>
  <c r="N1799" i="1"/>
  <c r="M1799" i="1"/>
  <c r="L1799" i="1"/>
  <c r="K1799" i="1"/>
  <c r="I1799" i="1"/>
  <c r="O1798" i="1"/>
  <c r="P1798" i="1" s="1"/>
  <c r="N1798" i="1"/>
  <c r="M1798" i="1"/>
  <c r="L1798" i="1"/>
  <c r="K1798" i="1"/>
  <c r="I1798" i="1"/>
  <c r="O1797" i="1"/>
  <c r="P1797" i="1" s="1"/>
  <c r="N1797" i="1"/>
  <c r="M1797" i="1"/>
  <c r="L1797" i="1"/>
  <c r="K1797" i="1"/>
  <c r="I1797" i="1"/>
  <c r="O1796" i="1"/>
  <c r="P1796" i="1" s="1"/>
  <c r="N1796" i="1"/>
  <c r="M1796" i="1"/>
  <c r="L1796" i="1"/>
  <c r="K1796" i="1"/>
  <c r="I1796" i="1"/>
  <c r="O1795" i="1"/>
  <c r="P1795" i="1" s="1"/>
  <c r="N1795" i="1"/>
  <c r="M1795" i="1"/>
  <c r="L1795" i="1"/>
  <c r="K1795" i="1"/>
  <c r="I1795" i="1"/>
  <c r="O1794" i="1"/>
  <c r="P1794" i="1" s="1"/>
  <c r="N1794" i="1"/>
  <c r="M1794" i="1"/>
  <c r="L1794" i="1"/>
  <c r="K1794" i="1"/>
  <c r="I1794" i="1"/>
  <c r="O1793" i="1"/>
  <c r="P1793" i="1" s="1"/>
  <c r="N1793" i="1"/>
  <c r="M1793" i="1"/>
  <c r="L1793" i="1"/>
  <c r="K1793" i="1"/>
  <c r="I1793" i="1"/>
  <c r="O1792" i="1"/>
  <c r="P1792" i="1" s="1"/>
  <c r="N1792" i="1"/>
  <c r="M1792" i="1"/>
  <c r="L1792" i="1"/>
  <c r="K1792" i="1"/>
  <c r="I1792" i="1"/>
  <c r="O1791" i="1"/>
  <c r="P1791" i="1" s="1"/>
  <c r="N1791" i="1"/>
  <c r="M1791" i="1"/>
  <c r="L1791" i="1"/>
  <c r="K1791" i="1"/>
  <c r="I1791" i="1"/>
  <c r="O1790" i="1"/>
  <c r="P1790" i="1" s="1"/>
  <c r="N1790" i="1"/>
  <c r="M1790" i="1"/>
  <c r="L1790" i="1"/>
  <c r="K1790" i="1"/>
  <c r="I1790" i="1"/>
  <c r="O1789" i="1"/>
  <c r="P1789" i="1" s="1"/>
  <c r="N1789" i="1"/>
  <c r="M1789" i="1"/>
  <c r="L1789" i="1"/>
  <c r="K1789" i="1"/>
  <c r="I1789" i="1"/>
  <c r="O1788" i="1"/>
  <c r="P1788" i="1" s="1"/>
  <c r="N1788" i="1"/>
  <c r="M1788" i="1"/>
  <c r="L1788" i="1"/>
  <c r="K1788" i="1"/>
  <c r="I1788" i="1"/>
  <c r="O1787" i="1"/>
  <c r="P1787" i="1" s="1"/>
  <c r="N1787" i="1"/>
  <c r="M1787" i="1"/>
  <c r="L1787" i="1"/>
  <c r="K1787" i="1"/>
  <c r="I1787" i="1"/>
  <c r="O1786" i="1"/>
  <c r="P1786" i="1" s="1"/>
  <c r="N1786" i="1"/>
  <c r="M1786" i="1"/>
  <c r="L1786" i="1"/>
  <c r="K1786" i="1"/>
  <c r="I1786" i="1"/>
  <c r="O1785" i="1"/>
  <c r="P1785" i="1" s="1"/>
  <c r="N1785" i="1"/>
  <c r="M1785" i="1"/>
  <c r="L1785" i="1"/>
  <c r="K1785" i="1"/>
  <c r="I1785" i="1"/>
  <c r="O1784" i="1"/>
  <c r="P1784" i="1" s="1"/>
  <c r="N1784" i="1"/>
  <c r="M1784" i="1"/>
  <c r="L1784" i="1"/>
  <c r="K1784" i="1"/>
  <c r="I1784" i="1"/>
  <c r="O1783" i="1"/>
  <c r="P1783" i="1" s="1"/>
  <c r="N1783" i="1"/>
  <c r="M1783" i="1"/>
  <c r="L1783" i="1"/>
  <c r="K1783" i="1"/>
  <c r="I1783" i="1"/>
  <c r="O1782" i="1"/>
  <c r="P1782" i="1" s="1"/>
  <c r="N1782" i="1"/>
  <c r="M1782" i="1"/>
  <c r="L1782" i="1"/>
  <c r="K1782" i="1"/>
  <c r="I1782" i="1"/>
  <c r="O1781" i="1"/>
  <c r="P1781" i="1" s="1"/>
  <c r="N1781" i="1"/>
  <c r="M1781" i="1"/>
  <c r="L1781" i="1"/>
  <c r="K1781" i="1"/>
  <c r="I1781" i="1"/>
  <c r="O1780" i="1"/>
  <c r="P1780" i="1" s="1"/>
  <c r="N1780" i="1"/>
  <c r="M1780" i="1"/>
  <c r="L1780" i="1"/>
  <c r="K1780" i="1"/>
  <c r="I1780" i="1"/>
  <c r="O1779" i="1"/>
  <c r="P1779" i="1" s="1"/>
  <c r="N1779" i="1"/>
  <c r="M1779" i="1"/>
  <c r="L1779" i="1"/>
  <c r="K1779" i="1"/>
  <c r="I1779" i="1"/>
  <c r="O1778" i="1"/>
  <c r="P1778" i="1" s="1"/>
  <c r="N1778" i="1"/>
  <c r="M1778" i="1"/>
  <c r="L1778" i="1"/>
  <c r="K1778" i="1"/>
  <c r="I1778" i="1"/>
  <c r="O1777" i="1"/>
  <c r="P1777" i="1" s="1"/>
  <c r="N1777" i="1"/>
  <c r="M1777" i="1"/>
  <c r="L1777" i="1"/>
  <c r="K1777" i="1"/>
  <c r="I1777" i="1"/>
  <c r="O1776" i="1"/>
  <c r="P1776" i="1" s="1"/>
  <c r="N1776" i="1"/>
  <c r="M1776" i="1"/>
  <c r="L1776" i="1"/>
  <c r="K1776" i="1"/>
  <c r="I1776" i="1"/>
  <c r="O1775" i="1"/>
  <c r="P1775" i="1" s="1"/>
  <c r="N1775" i="1"/>
  <c r="M1775" i="1"/>
  <c r="L1775" i="1"/>
  <c r="K1775" i="1"/>
  <c r="I1775" i="1"/>
  <c r="O1774" i="1"/>
  <c r="P1774" i="1" s="1"/>
  <c r="N1774" i="1"/>
  <c r="M1774" i="1"/>
  <c r="L1774" i="1"/>
  <c r="K1774" i="1"/>
  <c r="I1774" i="1"/>
  <c r="O1773" i="1"/>
  <c r="P1773" i="1" s="1"/>
  <c r="N1773" i="1"/>
  <c r="M1773" i="1"/>
  <c r="L1773" i="1"/>
  <c r="K1773" i="1"/>
  <c r="I1773" i="1"/>
  <c r="O1772" i="1"/>
  <c r="P1772" i="1" s="1"/>
  <c r="N1772" i="1"/>
  <c r="M1772" i="1"/>
  <c r="L1772" i="1"/>
  <c r="K1772" i="1"/>
  <c r="I1772" i="1"/>
  <c r="O1771" i="1"/>
  <c r="P1771" i="1" s="1"/>
  <c r="N1771" i="1"/>
  <c r="M1771" i="1"/>
  <c r="L1771" i="1"/>
  <c r="K1771" i="1"/>
  <c r="I1771" i="1"/>
  <c r="O1770" i="1"/>
  <c r="P1770" i="1" s="1"/>
  <c r="N1770" i="1"/>
  <c r="M1770" i="1"/>
  <c r="L1770" i="1"/>
  <c r="K1770" i="1"/>
  <c r="I1770" i="1"/>
  <c r="O1769" i="1"/>
  <c r="P1769" i="1" s="1"/>
  <c r="N1769" i="1"/>
  <c r="M1769" i="1"/>
  <c r="L1769" i="1"/>
  <c r="K1769" i="1"/>
  <c r="I1769" i="1"/>
  <c r="O1768" i="1"/>
  <c r="P1768" i="1" s="1"/>
  <c r="N1768" i="1"/>
  <c r="M1768" i="1"/>
  <c r="L1768" i="1"/>
  <c r="K1768" i="1"/>
  <c r="I1768" i="1"/>
  <c r="O1767" i="1"/>
  <c r="P1767" i="1" s="1"/>
  <c r="N1767" i="1"/>
  <c r="M1767" i="1"/>
  <c r="L1767" i="1"/>
  <c r="K1767" i="1"/>
  <c r="I1767" i="1"/>
  <c r="O1766" i="1"/>
  <c r="P1766" i="1" s="1"/>
  <c r="N1766" i="1"/>
  <c r="M1766" i="1"/>
  <c r="L1766" i="1"/>
  <c r="K1766" i="1"/>
  <c r="I1766" i="1"/>
  <c r="O1765" i="1"/>
  <c r="P1765" i="1" s="1"/>
  <c r="N1765" i="1"/>
  <c r="M1765" i="1"/>
  <c r="L1765" i="1"/>
  <c r="K1765" i="1"/>
  <c r="I1765" i="1"/>
  <c r="O1764" i="1"/>
  <c r="P1764" i="1" s="1"/>
  <c r="N1764" i="1"/>
  <c r="M1764" i="1"/>
  <c r="L1764" i="1"/>
  <c r="K1764" i="1"/>
  <c r="I1764" i="1"/>
  <c r="O1763" i="1"/>
  <c r="P1763" i="1" s="1"/>
  <c r="N1763" i="1"/>
  <c r="M1763" i="1"/>
  <c r="L1763" i="1"/>
  <c r="K1763" i="1"/>
  <c r="I1763" i="1"/>
  <c r="O1762" i="1"/>
  <c r="P1762" i="1" s="1"/>
  <c r="N1762" i="1"/>
  <c r="M1762" i="1"/>
  <c r="L1762" i="1"/>
  <c r="K1762" i="1"/>
  <c r="I1762" i="1"/>
  <c r="O1761" i="1"/>
  <c r="P1761" i="1" s="1"/>
  <c r="N1761" i="1"/>
  <c r="M1761" i="1"/>
  <c r="L1761" i="1"/>
  <c r="K1761" i="1"/>
  <c r="I1761" i="1"/>
  <c r="O1760" i="1"/>
  <c r="P1760" i="1" s="1"/>
  <c r="N1760" i="1"/>
  <c r="M1760" i="1"/>
  <c r="L1760" i="1"/>
  <c r="K1760" i="1"/>
  <c r="I1760" i="1"/>
  <c r="O1759" i="1"/>
  <c r="P1759" i="1" s="1"/>
  <c r="N1759" i="1"/>
  <c r="M1759" i="1"/>
  <c r="L1759" i="1"/>
  <c r="K1759" i="1"/>
  <c r="I1759" i="1"/>
  <c r="O1758" i="1"/>
  <c r="P1758" i="1" s="1"/>
  <c r="N1758" i="1"/>
  <c r="M1758" i="1"/>
  <c r="L1758" i="1"/>
  <c r="K1758" i="1"/>
  <c r="I1758" i="1"/>
  <c r="O1757" i="1"/>
  <c r="P1757" i="1" s="1"/>
  <c r="N1757" i="1"/>
  <c r="M1757" i="1"/>
  <c r="L1757" i="1"/>
  <c r="K1757" i="1"/>
  <c r="I1757" i="1"/>
  <c r="O1756" i="1"/>
  <c r="P1756" i="1" s="1"/>
  <c r="N1756" i="1"/>
  <c r="M1756" i="1"/>
  <c r="L1756" i="1"/>
  <c r="K1756" i="1"/>
  <c r="I1756" i="1"/>
  <c r="O1755" i="1"/>
  <c r="P1755" i="1" s="1"/>
  <c r="N1755" i="1"/>
  <c r="M1755" i="1"/>
  <c r="L1755" i="1"/>
  <c r="K1755" i="1"/>
  <c r="I1755" i="1"/>
  <c r="O1754" i="1"/>
  <c r="P1754" i="1" s="1"/>
  <c r="N1754" i="1"/>
  <c r="M1754" i="1"/>
  <c r="L1754" i="1"/>
  <c r="K1754" i="1"/>
  <c r="I1754" i="1"/>
  <c r="O1753" i="1"/>
  <c r="P1753" i="1" s="1"/>
  <c r="N1753" i="1"/>
  <c r="M1753" i="1"/>
  <c r="L1753" i="1"/>
  <c r="K1753" i="1"/>
  <c r="I1753" i="1"/>
  <c r="O1752" i="1"/>
  <c r="P1752" i="1" s="1"/>
  <c r="N1752" i="1"/>
  <c r="M1752" i="1"/>
  <c r="L1752" i="1"/>
  <c r="K1752" i="1"/>
  <c r="I1752" i="1"/>
  <c r="O1751" i="1"/>
  <c r="P1751" i="1" s="1"/>
  <c r="N1751" i="1"/>
  <c r="M1751" i="1"/>
  <c r="L1751" i="1"/>
  <c r="K1751" i="1"/>
  <c r="I1751" i="1"/>
  <c r="O1750" i="1"/>
  <c r="P1750" i="1" s="1"/>
  <c r="N1750" i="1"/>
  <c r="M1750" i="1"/>
  <c r="L1750" i="1"/>
  <c r="K1750" i="1"/>
  <c r="I1750" i="1"/>
  <c r="O1749" i="1"/>
  <c r="P1749" i="1" s="1"/>
  <c r="N1749" i="1"/>
  <c r="M1749" i="1"/>
  <c r="L1749" i="1"/>
  <c r="K1749" i="1"/>
  <c r="I1749" i="1"/>
  <c r="O1748" i="1"/>
  <c r="P1748" i="1" s="1"/>
  <c r="N1748" i="1"/>
  <c r="M1748" i="1"/>
  <c r="L1748" i="1"/>
  <c r="K1748" i="1"/>
  <c r="I1748" i="1"/>
  <c r="O1747" i="1"/>
  <c r="P1747" i="1" s="1"/>
  <c r="N1747" i="1"/>
  <c r="M1747" i="1"/>
  <c r="L1747" i="1"/>
  <c r="K1747" i="1"/>
  <c r="I1747" i="1"/>
  <c r="O1746" i="1"/>
  <c r="P1746" i="1" s="1"/>
  <c r="N1746" i="1"/>
  <c r="M1746" i="1"/>
  <c r="L1746" i="1"/>
  <c r="K1746" i="1"/>
  <c r="I1746" i="1"/>
  <c r="O1745" i="1"/>
  <c r="P1745" i="1" s="1"/>
  <c r="N1745" i="1"/>
  <c r="M1745" i="1"/>
  <c r="L1745" i="1"/>
  <c r="K1745" i="1"/>
  <c r="I1745" i="1"/>
  <c r="O1744" i="1"/>
  <c r="P1744" i="1" s="1"/>
  <c r="N1744" i="1"/>
  <c r="M1744" i="1"/>
  <c r="L1744" i="1"/>
  <c r="K1744" i="1"/>
  <c r="I1744" i="1"/>
  <c r="O1743" i="1"/>
  <c r="P1743" i="1" s="1"/>
  <c r="N1743" i="1"/>
  <c r="M1743" i="1"/>
  <c r="L1743" i="1"/>
  <c r="K1743" i="1"/>
  <c r="I1743" i="1"/>
  <c r="O1742" i="1"/>
  <c r="P1742" i="1" s="1"/>
  <c r="N1742" i="1"/>
  <c r="M1742" i="1"/>
  <c r="L1742" i="1"/>
  <c r="K1742" i="1"/>
  <c r="I1742" i="1"/>
  <c r="O1741" i="1"/>
  <c r="P1741" i="1" s="1"/>
  <c r="N1741" i="1"/>
  <c r="M1741" i="1"/>
  <c r="L1741" i="1"/>
  <c r="K1741" i="1"/>
  <c r="I1741" i="1"/>
  <c r="O1740" i="1"/>
  <c r="P1740" i="1" s="1"/>
  <c r="N1740" i="1"/>
  <c r="M1740" i="1"/>
  <c r="L1740" i="1"/>
  <c r="K1740" i="1"/>
  <c r="I1740" i="1"/>
  <c r="O1739" i="1"/>
  <c r="P1739" i="1" s="1"/>
  <c r="N1739" i="1"/>
  <c r="M1739" i="1"/>
  <c r="L1739" i="1"/>
  <c r="K1739" i="1"/>
  <c r="I1739" i="1"/>
  <c r="O1738" i="1"/>
  <c r="P1738" i="1" s="1"/>
  <c r="N1738" i="1"/>
  <c r="M1738" i="1"/>
  <c r="L1738" i="1"/>
  <c r="K1738" i="1"/>
  <c r="I1738" i="1"/>
  <c r="O1737" i="1"/>
  <c r="P1737" i="1" s="1"/>
  <c r="N1737" i="1"/>
  <c r="M1737" i="1"/>
  <c r="L1737" i="1"/>
  <c r="K1737" i="1"/>
  <c r="I1737" i="1"/>
  <c r="O1736" i="1"/>
  <c r="P1736" i="1" s="1"/>
  <c r="N1736" i="1"/>
  <c r="M1736" i="1"/>
  <c r="L1736" i="1"/>
  <c r="K1736" i="1"/>
  <c r="I1736" i="1"/>
  <c r="O1735" i="1"/>
  <c r="P1735" i="1" s="1"/>
  <c r="N1735" i="1"/>
  <c r="M1735" i="1"/>
  <c r="L1735" i="1"/>
  <c r="K1735" i="1"/>
  <c r="I1735" i="1"/>
  <c r="O1734" i="1"/>
  <c r="P1734" i="1" s="1"/>
  <c r="N1734" i="1"/>
  <c r="M1734" i="1"/>
  <c r="L1734" i="1"/>
  <c r="K1734" i="1"/>
  <c r="I1734" i="1"/>
  <c r="O1733" i="1"/>
  <c r="P1733" i="1" s="1"/>
  <c r="N1733" i="1"/>
  <c r="M1733" i="1"/>
  <c r="L1733" i="1"/>
  <c r="K1733" i="1"/>
  <c r="I1733" i="1"/>
  <c r="O1732" i="1"/>
  <c r="P1732" i="1" s="1"/>
  <c r="N1732" i="1"/>
  <c r="M1732" i="1"/>
  <c r="L1732" i="1"/>
  <c r="K1732" i="1"/>
  <c r="I1732" i="1"/>
  <c r="O1731" i="1"/>
  <c r="P1731" i="1" s="1"/>
  <c r="N1731" i="1"/>
  <c r="M1731" i="1"/>
  <c r="L1731" i="1"/>
  <c r="K1731" i="1"/>
  <c r="I1731" i="1"/>
  <c r="O1730" i="1"/>
  <c r="P1730" i="1" s="1"/>
  <c r="N1730" i="1"/>
  <c r="M1730" i="1"/>
  <c r="L1730" i="1"/>
  <c r="K1730" i="1"/>
  <c r="I1730" i="1"/>
  <c r="O1729" i="1"/>
  <c r="P1729" i="1" s="1"/>
  <c r="N1729" i="1"/>
  <c r="M1729" i="1"/>
  <c r="L1729" i="1"/>
  <c r="K1729" i="1"/>
  <c r="I1729" i="1"/>
  <c r="O1728" i="1"/>
  <c r="P1728" i="1" s="1"/>
  <c r="N1728" i="1"/>
  <c r="M1728" i="1"/>
  <c r="L1728" i="1"/>
  <c r="K1728" i="1"/>
  <c r="I1728" i="1"/>
  <c r="O1727" i="1"/>
  <c r="P1727" i="1" s="1"/>
  <c r="N1727" i="1"/>
  <c r="M1727" i="1"/>
  <c r="L1727" i="1"/>
  <c r="K1727" i="1"/>
  <c r="I1727" i="1"/>
  <c r="O1726" i="1"/>
  <c r="P1726" i="1" s="1"/>
  <c r="N1726" i="1"/>
  <c r="M1726" i="1"/>
  <c r="L1726" i="1"/>
  <c r="K1726" i="1"/>
  <c r="I1726" i="1"/>
  <c r="O1725" i="1"/>
  <c r="P1725" i="1" s="1"/>
  <c r="N1725" i="1"/>
  <c r="M1725" i="1"/>
  <c r="L1725" i="1"/>
  <c r="K1725" i="1"/>
  <c r="I1725" i="1"/>
  <c r="O1724" i="1"/>
  <c r="P1724" i="1" s="1"/>
  <c r="N1724" i="1"/>
  <c r="M1724" i="1"/>
  <c r="L1724" i="1"/>
  <c r="K1724" i="1"/>
  <c r="I1724" i="1"/>
  <c r="O1723" i="1"/>
  <c r="P1723" i="1" s="1"/>
  <c r="N1723" i="1"/>
  <c r="M1723" i="1"/>
  <c r="L1723" i="1"/>
  <c r="K1723" i="1"/>
  <c r="I1723" i="1"/>
  <c r="O1722" i="1"/>
  <c r="P1722" i="1" s="1"/>
  <c r="N1722" i="1"/>
  <c r="M1722" i="1"/>
  <c r="L1722" i="1"/>
  <c r="K1722" i="1"/>
  <c r="I1722" i="1"/>
  <c r="O1721" i="1"/>
  <c r="P1721" i="1" s="1"/>
  <c r="N1721" i="1"/>
  <c r="M1721" i="1"/>
  <c r="L1721" i="1"/>
  <c r="K1721" i="1"/>
  <c r="I1721" i="1"/>
  <c r="O1720" i="1"/>
  <c r="P1720" i="1" s="1"/>
  <c r="N1720" i="1"/>
  <c r="M1720" i="1"/>
  <c r="L1720" i="1"/>
  <c r="K1720" i="1"/>
  <c r="I1720" i="1"/>
  <c r="O1719" i="1"/>
  <c r="P1719" i="1" s="1"/>
  <c r="N1719" i="1"/>
  <c r="M1719" i="1"/>
  <c r="L1719" i="1"/>
  <c r="K1719" i="1"/>
  <c r="I1719" i="1"/>
  <c r="O1718" i="1"/>
  <c r="P1718" i="1" s="1"/>
  <c r="N1718" i="1"/>
  <c r="M1718" i="1"/>
  <c r="L1718" i="1"/>
  <c r="K1718" i="1"/>
  <c r="I1718" i="1"/>
  <c r="O1717" i="1"/>
  <c r="P1717" i="1" s="1"/>
  <c r="N1717" i="1"/>
  <c r="M1717" i="1"/>
  <c r="L1717" i="1"/>
  <c r="K1717" i="1"/>
  <c r="I1717" i="1"/>
  <c r="O1716" i="1"/>
  <c r="P1716" i="1" s="1"/>
  <c r="N1716" i="1"/>
  <c r="M1716" i="1"/>
  <c r="L1716" i="1"/>
  <c r="K1716" i="1"/>
  <c r="I1716" i="1"/>
  <c r="O1715" i="1"/>
  <c r="P1715" i="1" s="1"/>
  <c r="N1715" i="1"/>
  <c r="M1715" i="1"/>
  <c r="L1715" i="1"/>
  <c r="K1715" i="1"/>
  <c r="I1715" i="1"/>
  <c r="O1714" i="1"/>
  <c r="P1714" i="1" s="1"/>
  <c r="N1714" i="1"/>
  <c r="M1714" i="1"/>
  <c r="L1714" i="1"/>
  <c r="K1714" i="1"/>
  <c r="I1714" i="1"/>
  <c r="O1713" i="1"/>
  <c r="P1713" i="1" s="1"/>
  <c r="N1713" i="1"/>
  <c r="M1713" i="1"/>
  <c r="L1713" i="1"/>
  <c r="K1713" i="1"/>
  <c r="I1713" i="1"/>
  <c r="O1712" i="1"/>
  <c r="P1712" i="1" s="1"/>
  <c r="N1712" i="1"/>
  <c r="M1712" i="1"/>
  <c r="L1712" i="1"/>
  <c r="K1712" i="1"/>
  <c r="I1712" i="1"/>
  <c r="O1711" i="1"/>
  <c r="P1711" i="1" s="1"/>
  <c r="N1711" i="1"/>
  <c r="M1711" i="1"/>
  <c r="L1711" i="1"/>
  <c r="K1711" i="1"/>
  <c r="I1711" i="1"/>
  <c r="O1710" i="1"/>
  <c r="P1710" i="1" s="1"/>
  <c r="N1710" i="1"/>
  <c r="M1710" i="1"/>
  <c r="L1710" i="1"/>
  <c r="K1710" i="1"/>
  <c r="I1710" i="1"/>
  <c r="O1709" i="1"/>
  <c r="P1709" i="1" s="1"/>
  <c r="N1709" i="1"/>
  <c r="M1709" i="1"/>
  <c r="L1709" i="1"/>
  <c r="K1709" i="1"/>
  <c r="I1709" i="1"/>
  <c r="O1708" i="1"/>
  <c r="P1708" i="1" s="1"/>
  <c r="N1708" i="1"/>
  <c r="M1708" i="1"/>
  <c r="L1708" i="1"/>
  <c r="K1708" i="1"/>
  <c r="I1708" i="1"/>
  <c r="O1707" i="1"/>
  <c r="P1707" i="1" s="1"/>
  <c r="N1707" i="1"/>
  <c r="M1707" i="1"/>
  <c r="L1707" i="1"/>
  <c r="K1707" i="1"/>
  <c r="I1707" i="1"/>
  <c r="O1706" i="1"/>
  <c r="P1706" i="1" s="1"/>
  <c r="N1706" i="1"/>
  <c r="M1706" i="1"/>
  <c r="L1706" i="1"/>
  <c r="K1706" i="1"/>
  <c r="I1706" i="1"/>
  <c r="O1705" i="1"/>
  <c r="P1705" i="1" s="1"/>
  <c r="N1705" i="1"/>
  <c r="M1705" i="1"/>
  <c r="L1705" i="1"/>
  <c r="K1705" i="1"/>
  <c r="I1705" i="1"/>
  <c r="O1704" i="1"/>
  <c r="P1704" i="1" s="1"/>
  <c r="N1704" i="1"/>
  <c r="M1704" i="1"/>
  <c r="L1704" i="1"/>
  <c r="K1704" i="1"/>
  <c r="I1704" i="1"/>
  <c r="O1703" i="1"/>
  <c r="P1703" i="1" s="1"/>
  <c r="N1703" i="1"/>
  <c r="M1703" i="1"/>
  <c r="L1703" i="1"/>
  <c r="K1703" i="1"/>
  <c r="I1703" i="1"/>
  <c r="O1702" i="1"/>
  <c r="P1702" i="1" s="1"/>
  <c r="N1702" i="1"/>
  <c r="M1702" i="1"/>
  <c r="L1702" i="1"/>
  <c r="K1702" i="1"/>
  <c r="I1702" i="1"/>
  <c r="O1701" i="1"/>
  <c r="P1701" i="1" s="1"/>
  <c r="N1701" i="1"/>
  <c r="M1701" i="1"/>
  <c r="L1701" i="1"/>
  <c r="K1701" i="1"/>
  <c r="I1701" i="1"/>
  <c r="O1700" i="1"/>
  <c r="P1700" i="1" s="1"/>
  <c r="N1700" i="1"/>
  <c r="M1700" i="1"/>
  <c r="L1700" i="1"/>
  <c r="K1700" i="1"/>
  <c r="I1700" i="1"/>
  <c r="O1699" i="1"/>
  <c r="P1699" i="1" s="1"/>
  <c r="N1699" i="1"/>
  <c r="M1699" i="1"/>
  <c r="L1699" i="1"/>
  <c r="K1699" i="1"/>
  <c r="I1699" i="1"/>
  <c r="O1698" i="1"/>
  <c r="P1698" i="1" s="1"/>
  <c r="N1698" i="1"/>
  <c r="M1698" i="1"/>
  <c r="L1698" i="1"/>
  <c r="K1698" i="1"/>
  <c r="I1698" i="1"/>
  <c r="O1697" i="1"/>
  <c r="P1697" i="1" s="1"/>
  <c r="N1697" i="1"/>
  <c r="M1697" i="1"/>
  <c r="L1697" i="1"/>
  <c r="K1697" i="1"/>
  <c r="I1697" i="1"/>
  <c r="O1696" i="1"/>
  <c r="P1696" i="1" s="1"/>
  <c r="N1696" i="1"/>
  <c r="M1696" i="1"/>
  <c r="L1696" i="1"/>
  <c r="K1696" i="1"/>
  <c r="I1696" i="1"/>
  <c r="O1695" i="1"/>
  <c r="P1695" i="1" s="1"/>
  <c r="N1695" i="1"/>
  <c r="M1695" i="1"/>
  <c r="L1695" i="1"/>
  <c r="K1695" i="1"/>
  <c r="I1695" i="1"/>
  <c r="O1694" i="1"/>
  <c r="P1694" i="1" s="1"/>
  <c r="N1694" i="1"/>
  <c r="M1694" i="1"/>
  <c r="L1694" i="1"/>
  <c r="K1694" i="1"/>
  <c r="I1694" i="1"/>
  <c r="O1693" i="1"/>
  <c r="P1693" i="1" s="1"/>
  <c r="N1693" i="1"/>
  <c r="M1693" i="1"/>
  <c r="L1693" i="1"/>
  <c r="K1693" i="1"/>
  <c r="I1693" i="1"/>
  <c r="O1692" i="1"/>
  <c r="P1692" i="1" s="1"/>
  <c r="N1692" i="1"/>
  <c r="M1692" i="1"/>
  <c r="L1692" i="1"/>
  <c r="K1692" i="1"/>
  <c r="I1692" i="1"/>
  <c r="O1691" i="1"/>
  <c r="P1691" i="1" s="1"/>
  <c r="N1691" i="1"/>
  <c r="M1691" i="1"/>
  <c r="L1691" i="1"/>
  <c r="K1691" i="1"/>
  <c r="I1691" i="1"/>
  <c r="O1690" i="1"/>
  <c r="P1690" i="1" s="1"/>
  <c r="N1690" i="1"/>
  <c r="M1690" i="1"/>
  <c r="L1690" i="1"/>
  <c r="K1690" i="1"/>
  <c r="I1690" i="1"/>
  <c r="O1689" i="1"/>
  <c r="P1689" i="1" s="1"/>
  <c r="N1689" i="1"/>
  <c r="M1689" i="1"/>
  <c r="L1689" i="1"/>
  <c r="K1689" i="1"/>
  <c r="I1689" i="1"/>
  <c r="O1688" i="1"/>
  <c r="P1688" i="1" s="1"/>
  <c r="N1688" i="1"/>
  <c r="M1688" i="1"/>
  <c r="L1688" i="1"/>
  <c r="K1688" i="1"/>
  <c r="I1688" i="1"/>
  <c r="O1687" i="1"/>
  <c r="P1687" i="1" s="1"/>
  <c r="N1687" i="1"/>
  <c r="M1687" i="1"/>
  <c r="L1687" i="1"/>
  <c r="K1687" i="1"/>
  <c r="I1687" i="1"/>
  <c r="O1686" i="1"/>
  <c r="P1686" i="1" s="1"/>
  <c r="N1686" i="1"/>
  <c r="M1686" i="1"/>
  <c r="L1686" i="1"/>
  <c r="K1686" i="1"/>
  <c r="I1686" i="1"/>
  <c r="O1685" i="1"/>
  <c r="P1685" i="1" s="1"/>
  <c r="N1685" i="1"/>
  <c r="M1685" i="1"/>
  <c r="L1685" i="1"/>
  <c r="K1685" i="1"/>
  <c r="I1685" i="1"/>
  <c r="O1684" i="1"/>
  <c r="P1684" i="1" s="1"/>
  <c r="N1684" i="1"/>
  <c r="M1684" i="1"/>
  <c r="L1684" i="1"/>
  <c r="K1684" i="1"/>
  <c r="I1684" i="1"/>
  <c r="O1683" i="1"/>
  <c r="P1683" i="1" s="1"/>
  <c r="N1683" i="1"/>
  <c r="M1683" i="1"/>
  <c r="L1683" i="1"/>
  <c r="K1683" i="1"/>
  <c r="I1683" i="1"/>
  <c r="O1682" i="1"/>
  <c r="P1682" i="1" s="1"/>
  <c r="N1682" i="1"/>
  <c r="M1682" i="1"/>
  <c r="L1682" i="1"/>
  <c r="K1682" i="1"/>
  <c r="I1682" i="1"/>
  <c r="O1681" i="1"/>
  <c r="P1681" i="1" s="1"/>
  <c r="N1681" i="1"/>
  <c r="M1681" i="1"/>
  <c r="L1681" i="1"/>
  <c r="K1681" i="1"/>
  <c r="I1681" i="1"/>
  <c r="O1680" i="1"/>
  <c r="P1680" i="1" s="1"/>
  <c r="N1680" i="1"/>
  <c r="M1680" i="1"/>
  <c r="L1680" i="1"/>
  <c r="K1680" i="1"/>
  <c r="I1680" i="1"/>
  <c r="O1679" i="1"/>
  <c r="P1679" i="1" s="1"/>
  <c r="N1679" i="1"/>
  <c r="M1679" i="1"/>
  <c r="L1679" i="1"/>
  <c r="K1679" i="1"/>
  <c r="I1679" i="1"/>
  <c r="O1678" i="1"/>
  <c r="P1678" i="1" s="1"/>
  <c r="N1678" i="1"/>
  <c r="M1678" i="1"/>
  <c r="L1678" i="1"/>
  <c r="K1678" i="1"/>
  <c r="I1678" i="1"/>
  <c r="O1677" i="1"/>
  <c r="P1677" i="1" s="1"/>
  <c r="N1677" i="1"/>
  <c r="M1677" i="1"/>
  <c r="L1677" i="1"/>
  <c r="K1677" i="1"/>
  <c r="I1677" i="1"/>
  <c r="O1676" i="1"/>
  <c r="P1676" i="1" s="1"/>
  <c r="N1676" i="1"/>
  <c r="M1676" i="1"/>
  <c r="L1676" i="1"/>
  <c r="K1676" i="1"/>
  <c r="I1676" i="1"/>
  <c r="O1675" i="1"/>
  <c r="P1675" i="1" s="1"/>
  <c r="N1675" i="1"/>
  <c r="M1675" i="1"/>
  <c r="L1675" i="1"/>
  <c r="K1675" i="1"/>
  <c r="I1675" i="1"/>
  <c r="O1674" i="1"/>
  <c r="P1674" i="1" s="1"/>
  <c r="N1674" i="1"/>
  <c r="M1674" i="1"/>
  <c r="L1674" i="1"/>
  <c r="K1674" i="1"/>
  <c r="I1674" i="1"/>
  <c r="O1673" i="1"/>
  <c r="P1673" i="1" s="1"/>
  <c r="N1673" i="1"/>
  <c r="M1673" i="1"/>
  <c r="L1673" i="1"/>
  <c r="K1673" i="1"/>
  <c r="I1673" i="1"/>
  <c r="O1672" i="1"/>
  <c r="P1672" i="1" s="1"/>
  <c r="N1672" i="1"/>
  <c r="M1672" i="1"/>
  <c r="L1672" i="1"/>
  <c r="K1672" i="1"/>
  <c r="I1672" i="1"/>
  <c r="O1671" i="1"/>
  <c r="P1671" i="1" s="1"/>
  <c r="N1671" i="1"/>
  <c r="M1671" i="1"/>
  <c r="L1671" i="1"/>
  <c r="K1671" i="1"/>
  <c r="I1671" i="1"/>
  <c r="O1670" i="1"/>
  <c r="P1670" i="1" s="1"/>
  <c r="N1670" i="1"/>
  <c r="M1670" i="1"/>
  <c r="L1670" i="1"/>
  <c r="K1670" i="1"/>
  <c r="I1670" i="1"/>
  <c r="O1669" i="1"/>
  <c r="P1669" i="1" s="1"/>
  <c r="N1669" i="1"/>
  <c r="M1669" i="1"/>
  <c r="L1669" i="1"/>
  <c r="K1669" i="1"/>
  <c r="I1669" i="1"/>
  <c r="O1668" i="1"/>
  <c r="P1668" i="1" s="1"/>
  <c r="N1668" i="1"/>
  <c r="M1668" i="1"/>
  <c r="L1668" i="1"/>
  <c r="K1668" i="1"/>
  <c r="I1668" i="1"/>
  <c r="O1667" i="1"/>
  <c r="P1667" i="1" s="1"/>
  <c r="N1667" i="1"/>
  <c r="M1667" i="1"/>
  <c r="L1667" i="1"/>
  <c r="K1667" i="1"/>
  <c r="I1667" i="1"/>
  <c r="O1666" i="1"/>
  <c r="P1666" i="1" s="1"/>
  <c r="N1666" i="1"/>
  <c r="M1666" i="1"/>
  <c r="L1666" i="1"/>
  <c r="K1666" i="1"/>
  <c r="I1666" i="1"/>
  <c r="O1665" i="1"/>
  <c r="P1665" i="1" s="1"/>
  <c r="N1665" i="1"/>
  <c r="M1665" i="1"/>
  <c r="L1665" i="1"/>
  <c r="K1665" i="1"/>
  <c r="I1665" i="1"/>
  <c r="O1664" i="1"/>
  <c r="P1664" i="1" s="1"/>
  <c r="N1664" i="1"/>
  <c r="M1664" i="1"/>
  <c r="L1664" i="1"/>
  <c r="K1664" i="1"/>
  <c r="I1664" i="1"/>
  <c r="O1663" i="1"/>
  <c r="P1663" i="1" s="1"/>
  <c r="N1663" i="1"/>
  <c r="M1663" i="1"/>
  <c r="L1663" i="1"/>
  <c r="K1663" i="1"/>
  <c r="I1663" i="1"/>
  <c r="O1662" i="1"/>
  <c r="P1662" i="1" s="1"/>
  <c r="N1662" i="1"/>
  <c r="M1662" i="1"/>
  <c r="L1662" i="1"/>
  <c r="K1662" i="1"/>
  <c r="I1662" i="1"/>
  <c r="O1661" i="1"/>
  <c r="P1661" i="1" s="1"/>
  <c r="N1661" i="1"/>
  <c r="M1661" i="1"/>
  <c r="L1661" i="1"/>
  <c r="K1661" i="1"/>
  <c r="I1661" i="1"/>
  <c r="O1660" i="1"/>
  <c r="P1660" i="1" s="1"/>
  <c r="N1660" i="1"/>
  <c r="M1660" i="1"/>
  <c r="L1660" i="1"/>
  <c r="K1660" i="1"/>
  <c r="I1660" i="1"/>
  <c r="O1659" i="1"/>
  <c r="P1659" i="1" s="1"/>
  <c r="N1659" i="1"/>
  <c r="M1659" i="1"/>
  <c r="L1659" i="1"/>
  <c r="K1659" i="1"/>
  <c r="I1659" i="1"/>
  <c r="O1658" i="1"/>
  <c r="P1658" i="1" s="1"/>
  <c r="N1658" i="1"/>
  <c r="M1658" i="1"/>
  <c r="L1658" i="1"/>
  <c r="K1658" i="1"/>
  <c r="I1658" i="1"/>
  <c r="O1657" i="1"/>
  <c r="P1657" i="1" s="1"/>
  <c r="N1657" i="1"/>
  <c r="M1657" i="1"/>
  <c r="L1657" i="1"/>
  <c r="K1657" i="1"/>
  <c r="I1657" i="1"/>
  <c r="O1656" i="1"/>
  <c r="P1656" i="1" s="1"/>
  <c r="N1656" i="1"/>
  <c r="M1656" i="1"/>
  <c r="L1656" i="1"/>
  <c r="K1656" i="1"/>
  <c r="I1656" i="1"/>
  <c r="O1655" i="1"/>
  <c r="P1655" i="1" s="1"/>
  <c r="N1655" i="1"/>
  <c r="M1655" i="1"/>
  <c r="L1655" i="1"/>
  <c r="K1655" i="1"/>
  <c r="I1655" i="1"/>
  <c r="O1654" i="1"/>
  <c r="P1654" i="1" s="1"/>
  <c r="N1654" i="1"/>
  <c r="M1654" i="1"/>
  <c r="L1654" i="1"/>
  <c r="K1654" i="1"/>
  <c r="I1654" i="1"/>
  <c r="O1653" i="1"/>
  <c r="P1653" i="1" s="1"/>
  <c r="N1653" i="1"/>
  <c r="M1653" i="1"/>
  <c r="L1653" i="1"/>
  <c r="K1653" i="1"/>
  <c r="I1653" i="1"/>
  <c r="O1652" i="1"/>
  <c r="P1652" i="1" s="1"/>
  <c r="N1652" i="1"/>
  <c r="M1652" i="1"/>
  <c r="L1652" i="1"/>
  <c r="K1652" i="1"/>
  <c r="I1652" i="1"/>
  <c r="O1651" i="1"/>
  <c r="P1651" i="1" s="1"/>
  <c r="N1651" i="1"/>
  <c r="M1651" i="1"/>
  <c r="L1651" i="1"/>
  <c r="K1651" i="1"/>
  <c r="I1651" i="1"/>
  <c r="O1650" i="1"/>
  <c r="P1650" i="1" s="1"/>
  <c r="N1650" i="1"/>
  <c r="M1650" i="1"/>
  <c r="L1650" i="1"/>
  <c r="K1650" i="1"/>
  <c r="I1650" i="1"/>
  <c r="O1649" i="1"/>
  <c r="P1649" i="1" s="1"/>
  <c r="N1649" i="1"/>
  <c r="M1649" i="1"/>
  <c r="L1649" i="1"/>
  <c r="K1649" i="1"/>
  <c r="I1649" i="1"/>
  <c r="O1648" i="1"/>
  <c r="P1648" i="1" s="1"/>
  <c r="N1648" i="1"/>
  <c r="M1648" i="1"/>
  <c r="L1648" i="1"/>
  <c r="K1648" i="1"/>
  <c r="I1648" i="1"/>
  <c r="O1647" i="1"/>
  <c r="P1647" i="1" s="1"/>
  <c r="N1647" i="1"/>
  <c r="M1647" i="1"/>
  <c r="L1647" i="1"/>
  <c r="K1647" i="1"/>
  <c r="I1647" i="1"/>
  <c r="O1646" i="1"/>
  <c r="P1646" i="1" s="1"/>
  <c r="N1646" i="1"/>
  <c r="M1646" i="1"/>
  <c r="L1646" i="1"/>
  <c r="K1646" i="1"/>
  <c r="I1646" i="1"/>
  <c r="O1645" i="1"/>
  <c r="P1645" i="1" s="1"/>
  <c r="N1645" i="1"/>
  <c r="M1645" i="1"/>
  <c r="L1645" i="1"/>
  <c r="K1645" i="1"/>
  <c r="I1645" i="1"/>
  <c r="O1644" i="1"/>
  <c r="P1644" i="1" s="1"/>
  <c r="N1644" i="1"/>
  <c r="M1644" i="1"/>
  <c r="L1644" i="1"/>
  <c r="K1644" i="1"/>
  <c r="I1644" i="1"/>
  <c r="O1643" i="1"/>
  <c r="P1643" i="1" s="1"/>
  <c r="N1643" i="1"/>
  <c r="M1643" i="1"/>
  <c r="L1643" i="1"/>
  <c r="K1643" i="1"/>
  <c r="I1643" i="1"/>
  <c r="O1642" i="1"/>
  <c r="P1642" i="1" s="1"/>
  <c r="N1642" i="1"/>
  <c r="M1642" i="1"/>
  <c r="L1642" i="1"/>
  <c r="K1642" i="1"/>
  <c r="I1642" i="1"/>
  <c r="O1641" i="1"/>
  <c r="P1641" i="1" s="1"/>
  <c r="N1641" i="1"/>
  <c r="M1641" i="1"/>
  <c r="L1641" i="1"/>
  <c r="K1641" i="1"/>
  <c r="I1641" i="1"/>
  <c r="O1640" i="1"/>
  <c r="P1640" i="1" s="1"/>
  <c r="N1640" i="1"/>
  <c r="M1640" i="1"/>
  <c r="L1640" i="1"/>
  <c r="K1640" i="1"/>
  <c r="I1640" i="1"/>
  <c r="O1639" i="1"/>
  <c r="P1639" i="1" s="1"/>
  <c r="N1639" i="1"/>
  <c r="M1639" i="1"/>
  <c r="L1639" i="1"/>
  <c r="K1639" i="1"/>
  <c r="I1639" i="1"/>
  <c r="O1638" i="1"/>
  <c r="P1638" i="1" s="1"/>
  <c r="N1638" i="1"/>
  <c r="M1638" i="1"/>
  <c r="L1638" i="1"/>
  <c r="K1638" i="1"/>
  <c r="I1638" i="1"/>
  <c r="O1637" i="1"/>
  <c r="P1637" i="1" s="1"/>
  <c r="N1637" i="1"/>
  <c r="M1637" i="1"/>
  <c r="L1637" i="1"/>
  <c r="K1637" i="1"/>
  <c r="I1637" i="1"/>
  <c r="O1636" i="1"/>
  <c r="P1636" i="1" s="1"/>
  <c r="N1636" i="1"/>
  <c r="M1636" i="1"/>
  <c r="L1636" i="1"/>
  <c r="K1636" i="1"/>
  <c r="I1636" i="1"/>
  <c r="O1635" i="1"/>
  <c r="P1635" i="1" s="1"/>
  <c r="N1635" i="1"/>
  <c r="M1635" i="1"/>
  <c r="L1635" i="1"/>
  <c r="K1635" i="1"/>
  <c r="I1635" i="1"/>
  <c r="O1634" i="1"/>
  <c r="P1634" i="1" s="1"/>
  <c r="N1634" i="1"/>
  <c r="M1634" i="1"/>
  <c r="L1634" i="1"/>
  <c r="K1634" i="1"/>
  <c r="I1634" i="1"/>
  <c r="O1633" i="1"/>
  <c r="P1633" i="1" s="1"/>
  <c r="N1633" i="1"/>
  <c r="M1633" i="1"/>
  <c r="L1633" i="1"/>
  <c r="K1633" i="1"/>
  <c r="I1633" i="1"/>
  <c r="O1632" i="1"/>
  <c r="P1632" i="1" s="1"/>
  <c r="N1632" i="1"/>
  <c r="M1632" i="1"/>
  <c r="L1632" i="1"/>
  <c r="K1632" i="1"/>
  <c r="I1632" i="1"/>
  <c r="O1631" i="1"/>
  <c r="P1631" i="1" s="1"/>
  <c r="N1631" i="1"/>
  <c r="M1631" i="1"/>
  <c r="L1631" i="1"/>
  <c r="K1631" i="1"/>
  <c r="I1631" i="1"/>
  <c r="O1630" i="1"/>
  <c r="P1630" i="1" s="1"/>
  <c r="N1630" i="1"/>
  <c r="M1630" i="1"/>
  <c r="L1630" i="1"/>
  <c r="K1630" i="1"/>
  <c r="I1630" i="1"/>
  <c r="O1629" i="1"/>
  <c r="P1629" i="1" s="1"/>
  <c r="N1629" i="1"/>
  <c r="M1629" i="1"/>
  <c r="L1629" i="1"/>
  <c r="K1629" i="1"/>
  <c r="I1629" i="1"/>
  <c r="O1628" i="1"/>
  <c r="P1628" i="1" s="1"/>
  <c r="N1628" i="1"/>
  <c r="M1628" i="1"/>
  <c r="L1628" i="1"/>
  <c r="K1628" i="1"/>
  <c r="I1628" i="1"/>
  <c r="O1627" i="1"/>
  <c r="P1627" i="1" s="1"/>
  <c r="N1627" i="1"/>
  <c r="M1627" i="1"/>
  <c r="L1627" i="1"/>
  <c r="K1627" i="1"/>
  <c r="I1627" i="1"/>
  <c r="O1626" i="1"/>
  <c r="P1626" i="1" s="1"/>
  <c r="N1626" i="1"/>
  <c r="M1626" i="1"/>
  <c r="L1626" i="1"/>
  <c r="K1626" i="1"/>
  <c r="I1626" i="1"/>
  <c r="O1625" i="1"/>
  <c r="P1625" i="1" s="1"/>
  <c r="N1625" i="1"/>
  <c r="M1625" i="1"/>
  <c r="L1625" i="1"/>
  <c r="K1625" i="1"/>
  <c r="I1625" i="1"/>
  <c r="O1624" i="1"/>
  <c r="P1624" i="1" s="1"/>
  <c r="N1624" i="1"/>
  <c r="M1624" i="1"/>
  <c r="L1624" i="1"/>
  <c r="K1624" i="1"/>
  <c r="I1624" i="1"/>
  <c r="O1623" i="1"/>
  <c r="P1623" i="1" s="1"/>
  <c r="N1623" i="1"/>
  <c r="M1623" i="1"/>
  <c r="L1623" i="1"/>
  <c r="K1623" i="1"/>
  <c r="I1623" i="1"/>
  <c r="O1622" i="1"/>
  <c r="P1622" i="1" s="1"/>
  <c r="N1622" i="1"/>
  <c r="M1622" i="1"/>
  <c r="L1622" i="1"/>
  <c r="K1622" i="1"/>
  <c r="I1622" i="1"/>
  <c r="O1621" i="1"/>
  <c r="P1621" i="1" s="1"/>
  <c r="N1621" i="1"/>
  <c r="M1621" i="1"/>
  <c r="L1621" i="1"/>
  <c r="K1621" i="1"/>
  <c r="I1621" i="1"/>
  <c r="O1620" i="1"/>
  <c r="P1620" i="1" s="1"/>
  <c r="N1620" i="1"/>
  <c r="M1620" i="1"/>
  <c r="L1620" i="1"/>
  <c r="K1620" i="1"/>
  <c r="I1620" i="1"/>
  <c r="O1619" i="1"/>
  <c r="P1619" i="1" s="1"/>
  <c r="N1619" i="1"/>
  <c r="M1619" i="1"/>
  <c r="L1619" i="1"/>
  <c r="K1619" i="1"/>
  <c r="I1619" i="1"/>
  <c r="O1618" i="1"/>
  <c r="P1618" i="1" s="1"/>
  <c r="N1618" i="1"/>
  <c r="M1618" i="1"/>
  <c r="L1618" i="1"/>
  <c r="K1618" i="1"/>
  <c r="I1618" i="1"/>
  <c r="O1617" i="1"/>
  <c r="P1617" i="1" s="1"/>
  <c r="N1617" i="1"/>
  <c r="M1617" i="1"/>
  <c r="L1617" i="1"/>
  <c r="K1617" i="1"/>
  <c r="I1617" i="1"/>
  <c r="O1616" i="1"/>
  <c r="P1616" i="1" s="1"/>
  <c r="N1616" i="1"/>
  <c r="M1616" i="1"/>
  <c r="L1616" i="1"/>
  <c r="K1616" i="1"/>
  <c r="I1616" i="1"/>
  <c r="O1615" i="1"/>
  <c r="P1615" i="1" s="1"/>
  <c r="N1615" i="1"/>
  <c r="M1615" i="1"/>
  <c r="L1615" i="1"/>
  <c r="K1615" i="1"/>
  <c r="I1615" i="1"/>
  <c r="O1614" i="1"/>
  <c r="P1614" i="1" s="1"/>
  <c r="N1614" i="1"/>
  <c r="M1614" i="1"/>
  <c r="L1614" i="1"/>
  <c r="K1614" i="1"/>
  <c r="I1614" i="1"/>
  <c r="O1613" i="1"/>
  <c r="P1613" i="1" s="1"/>
  <c r="N1613" i="1"/>
  <c r="M1613" i="1"/>
  <c r="L1613" i="1"/>
  <c r="K1613" i="1"/>
  <c r="I1613" i="1"/>
  <c r="O1612" i="1"/>
  <c r="P1612" i="1" s="1"/>
  <c r="N1612" i="1"/>
  <c r="M1612" i="1"/>
  <c r="L1612" i="1"/>
  <c r="K1612" i="1"/>
  <c r="I1612" i="1"/>
  <c r="O1611" i="1"/>
  <c r="P1611" i="1" s="1"/>
  <c r="N1611" i="1"/>
  <c r="M1611" i="1"/>
  <c r="L1611" i="1"/>
  <c r="K1611" i="1"/>
  <c r="I1611" i="1"/>
  <c r="O1610" i="1"/>
  <c r="P1610" i="1" s="1"/>
  <c r="N1610" i="1"/>
  <c r="M1610" i="1"/>
  <c r="L1610" i="1"/>
  <c r="K1610" i="1"/>
  <c r="I1610" i="1"/>
  <c r="O1609" i="1"/>
  <c r="P1609" i="1" s="1"/>
  <c r="N1609" i="1"/>
  <c r="M1609" i="1"/>
  <c r="L1609" i="1"/>
  <c r="K1609" i="1"/>
  <c r="I1609" i="1"/>
  <c r="O1608" i="1"/>
  <c r="P1608" i="1" s="1"/>
  <c r="N1608" i="1"/>
  <c r="M1608" i="1"/>
  <c r="L1608" i="1"/>
  <c r="K1608" i="1"/>
  <c r="I1608" i="1"/>
  <c r="O1607" i="1"/>
  <c r="P1607" i="1" s="1"/>
  <c r="N1607" i="1"/>
  <c r="M1607" i="1"/>
  <c r="L1607" i="1"/>
  <c r="K1607" i="1"/>
  <c r="I1607" i="1"/>
  <c r="O1606" i="1"/>
  <c r="P1606" i="1" s="1"/>
  <c r="N1606" i="1"/>
  <c r="M1606" i="1"/>
  <c r="L1606" i="1"/>
  <c r="K1606" i="1"/>
  <c r="I1606" i="1"/>
  <c r="O1605" i="1"/>
  <c r="P1605" i="1" s="1"/>
  <c r="N1605" i="1"/>
  <c r="M1605" i="1"/>
  <c r="L1605" i="1"/>
  <c r="K1605" i="1"/>
  <c r="I1605" i="1"/>
  <c r="O1604" i="1"/>
  <c r="P1604" i="1" s="1"/>
  <c r="N1604" i="1"/>
  <c r="M1604" i="1"/>
  <c r="L1604" i="1"/>
  <c r="K1604" i="1"/>
  <c r="I1604" i="1"/>
  <c r="O1603" i="1"/>
  <c r="P1603" i="1" s="1"/>
  <c r="N1603" i="1"/>
  <c r="M1603" i="1"/>
  <c r="L1603" i="1"/>
  <c r="K1603" i="1"/>
  <c r="I1603" i="1"/>
  <c r="O1602" i="1"/>
  <c r="P1602" i="1" s="1"/>
  <c r="N1602" i="1"/>
  <c r="M1602" i="1"/>
  <c r="L1602" i="1"/>
  <c r="K1602" i="1"/>
  <c r="I1602" i="1"/>
  <c r="O1601" i="1"/>
  <c r="P1601" i="1" s="1"/>
  <c r="N1601" i="1"/>
  <c r="M1601" i="1"/>
  <c r="L1601" i="1"/>
  <c r="K1601" i="1"/>
  <c r="I1601" i="1"/>
  <c r="O1600" i="1"/>
  <c r="P1600" i="1" s="1"/>
  <c r="N1600" i="1"/>
  <c r="M1600" i="1"/>
  <c r="L1600" i="1"/>
  <c r="K1600" i="1"/>
  <c r="I1600" i="1"/>
  <c r="O1599" i="1"/>
  <c r="P1599" i="1" s="1"/>
  <c r="N1599" i="1"/>
  <c r="M1599" i="1"/>
  <c r="L1599" i="1"/>
  <c r="K1599" i="1"/>
  <c r="I1599" i="1"/>
  <c r="O1598" i="1"/>
  <c r="P1598" i="1" s="1"/>
  <c r="N1598" i="1"/>
  <c r="M1598" i="1"/>
  <c r="L1598" i="1"/>
  <c r="K1598" i="1"/>
  <c r="I1598" i="1"/>
  <c r="O1597" i="1"/>
  <c r="P1597" i="1" s="1"/>
  <c r="N1597" i="1"/>
  <c r="M1597" i="1"/>
  <c r="L1597" i="1"/>
  <c r="K1597" i="1"/>
  <c r="I1597" i="1"/>
  <c r="O1596" i="1"/>
  <c r="P1596" i="1" s="1"/>
  <c r="N1596" i="1"/>
  <c r="M1596" i="1"/>
  <c r="L1596" i="1"/>
  <c r="K1596" i="1"/>
  <c r="I1596" i="1"/>
  <c r="O1595" i="1"/>
  <c r="P1595" i="1" s="1"/>
  <c r="N1595" i="1"/>
  <c r="M1595" i="1"/>
  <c r="L1595" i="1"/>
  <c r="K1595" i="1"/>
  <c r="I1595" i="1"/>
  <c r="O1594" i="1"/>
  <c r="P1594" i="1" s="1"/>
  <c r="N1594" i="1"/>
  <c r="M1594" i="1"/>
  <c r="L1594" i="1"/>
  <c r="K1594" i="1"/>
  <c r="I1594" i="1"/>
  <c r="O1593" i="1"/>
  <c r="P1593" i="1" s="1"/>
  <c r="N1593" i="1"/>
  <c r="M1593" i="1"/>
  <c r="L1593" i="1"/>
  <c r="K1593" i="1"/>
  <c r="I1593" i="1"/>
  <c r="O1592" i="1"/>
  <c r="P1592" i="1" s="1"/>
  <c r="N1592" i="1"/>
  <c r="M1592" i="1"/>
  <c r="L1592" i="1"/>
  <c r="K1592" i="1"/>
  <c r="I1592" i="1"/>
  <c r="O1591" i="1"/>
  <c r="P1591" i="1" s="1"/>
  <c r="N1591" i="1"/>
  <c r="M1591" i="1"/>
  <c r="L1591" i="1"/>
  <c r="K1591" i="1"/>
  <c r="I1591" i="1"/>
  <c r="O1590" i="1"/>
  <c r="P1590" i="1" s="1"/>
  <c r="N1590" i="1"/>
  <c r="M1590" i="1"/>
  <c r="L1590" i="1"/>
  <c r="K1590" i="1"/>
  <c r="I1590" i="1"/>
  <c r="O1589" i="1"/>
  <c r="P1589" i="1" s="1"/>
  <c r="N1589" i="1"/>
  <c r="M1589" i="1"/>
  <c r="L1589" i="1"/>
  <c r="K1589" i="1"/>
  <c r="I1589" i="1"/>
  <c r="O1588" i="1"/>
  <c r="P1588" i="1" s="1"/>
  <c r="N1588" i="1"/>
  <c r="M1588" i="1"/>
  <c r="L1588" i="1"/>
  <c r="K1588" i="1"/>
  <c r="I1588" i="1"/>
  <c r="O1587" i="1"/>
  <c r="P1587" i="1" s="1"/>
  <c r="N1587" i="1"/>
  <c r="M1587" i="1"/>
  <c r="L1587" i="1"/>
  <c r="K1587" i="1"/>
  <c r="I1587" i="1"/>
  <c r="O1586" i="1"/>
  <c r="P1586" i="1" s="1"/>
  <c r="N1586" i="1"/>
  <c r="M1586" i="1"/>
  <c r="L1586" i="1"/>
  <c r="K1586" i="1"/>
  <c r="I1586" i="1"/>
  <c r="O1585" i="1"/>
  <c r="P1585" i="1" s="1"/>
  <c r="N1585" i="1"/>
  <c r="M1585" i="1"/>
  <c r="L1585" i="1"/>
  <c r="K1585" i="1"/>
  <c r="I1585" i="1"/>
  <c r="O1584" i="1"/>
  <c r="P1584" i="1" s="1"/>
  <c r="N1584" i="1"/>
  <c r="M1584" i="1"/>
  <c r="L1584" i="1"/>
  <c r="K1584" i="1"/>
  <c r="I1584" i="1"/>
  <c r="O1583" i="1"/>
  <c r="P1583" i="1" s="1"/>
  <c r="N1583" i="1"/>
  <c r="M1583" i="1"/>
  <c r="L1583" i="1"/>
  <c r="K1583" i="1"/>
  <c r="I1583" i="1"/>
  <c r="O1582" i="1"/>
  <c r="P1582" i="1" s="1"/>
  <c r="N1582" i="1"/>
  <c r="M1582" i="1"/>
  <c r="L1582" i="1"/>
  <c r="K1582" i="1"/>
  <c r="I1582" i="1"/>
  <c r="O1581" i="1"/>
  <c r="P1581" i="1" s="1"/>
  <c r="N1581" i="1"/>
  <c r="M1581" i="1"/>
  <c r="L1581" i="1"/>
  <c r="K1581" i="1"/>
  <c r="I1581" i="1"/>
  <c r="O1580" i="1"/>
  <c r="P1580" i="1" s="1"/>
  <c r="N1580" i="1"/>
  <c r="M1580" i="1"/>
  <c r="L1580" i="1"/>
  <c r="K1580" i="1"/>
  <c r="I1580" i="1"/>
  <c r="O1579" i="1"/>
  <c r="P1579" i="1" s="1"/>
  <c r="N1579" i="1"/>
  <c r="M1579" i="1"/>
  <c r="L1579" i="1"/>
  <c r="K1579" i="1"/>
  <c r="I1579" i="1"/>
  <c r="O1578" i="1"/>
  <c r="P1578" i="1" s="1"/>
  <c r="N1578" i="1"/>
  <c r="M1578" i="1"/>
  <c r="L1578" i="1"/>
  <c r="K1578" i="1"/>
  <c r="I1578" i="1"/>
  <c r="O1577" i="1"/>
  <c r="P1577" i="1" s="1"/>
  <c r="N1577" i="1"/>
  <c r="M1577" i="1"/>
  <c r="L1577" i="1"/>
  <c r="K1577" i="1"/>
  <c r="I1577" i="1"/>
  <c r="O1576" i="1"/>
  <c r="P1576" i="1" s="1"/>
  <c r="N1576" i="1"/>
  <c r="M1576" i="1"/>
  <c r="L1576" i="1"/>
  <c r="K1576" i="1"/>
  <c r="I1576" i="1"/>
  <c r="O1575" i="1"/>
  <c r="P1575" i="1" s="1"/>
  <c r="N1575" i="1"/>
  <c r="M1575" i="1"/>
  <c r="L1575" i="1"/>
  <c r="K1575" i="1"/>
  <c r="I1575" i="1"/>
  <c r="O1574" i="1"/>
  <c r="P1574" i="1" s="1"/>
  <c r="N1574" i="1"/>
  <c r="M1574" i="1"/>
  <c r="L1574" i="1"/>
  <c r="K1574" i="1"/>
  <c r="I1574" i="1"/>
  <c r="O1573" i="1"/>
  <c r="P1573" i="1" s="1"/>
  <c r="N1573" i="1"/>
  <c r="M1573" i="1"/>
  <c r="L1573" i="1"/>
  <c r="K1573" i="1"/>
  <c r="I1573" i="1"/>
  <c r="O1572" i="1"/>
  <c r="P1572" i="1" s="1"/>
  <c r="N1572" i="1"/>
  <c r="M1572" i="1"/>
  <c r="L1572" i="1"/>
  <c r="K1572" i="1"/>
  <c r="I1572" i="1"/>
  <c r="O1571" i="1"/>
  <c r="P1571" i="1" s="1"/>
  <c r="N1571" i="1"/>
  <c r="M1571" i="1"/>
  <c r="L1571" i="1"/>
  <c r="K1571" i="1"/>
  <c r="I1571" i="1"/>
  <c r="O1570" i="1"/>
  <c r="P1570" i="1" s="1"/>
  <c r="N1570" i="1"/>
  <c r="M1570" i="1"/>
  <c r="L1570" i="1"/>
  <c r="K1570" i="1"/>
  <c r="I1570" i="1"/>
  <c r="O1569" i="1"/>
  <c r="P1569" i="1" s="1"/>
  <c r="N1569" i="1"/>
  <c r="M1569" i="1"/>
  <c r="L1569" i="1"/>
  <c r="K1569" i="1"/>
  <c r="I1569" i="1"/>
  <c r="O1568" i="1"/>
  <c r="P1568" i="1" s="1"/>
  <c r="N1568" i="1"/>
  <c r="M1568" i="1"/>
  <c r="L1568" i="1"/>
  <c r="K1568" i="1"/>
  <c r="I1568" i="1"/>
  <c r="O1567" i="1"/>
  <c r="P1567" i="1" s="1"/>
  <c r="N1567" i="1"/>
  <c r="M1567" i="1"/>
  <c r="L1567" i="1"/>
  <c r="K1567" i="1"/>
  <c r="I1567" i="1"/>
  <c r="O1566" i="1"/>
  <c r="P1566" i="1" s="1"/>
  <c r="N1566" i="1"/>
  <c r="M1566" i="1"/>
  <c r="L1566" i="1"/>
  <c r="K1566" i="1"/>
  <c r="I1566" i="1"/>
  <c r="O1565" i="1"/>
  <c r="P1565" i="1" s="1"/>
  <c r="N1565" i="1"/>
  <c r="M1565" i="1"/>
  <c r="L1565" i="1"/>
  <c r="K1565" i="1"/>
  <c r="I1565" i="1"/>
  <c r="O1564" i="1"/>
  <c r="P1564" i="1" s="1"/>
  <c r="N1564" i="1"/>
  <c r="M1564" i="1"/>
  <c r="L1564" i="1"/>
  <c r="K1564" i="1"/>
  <c r="I1564" i="1"/>
  <c r="O1563" i="1"/>
  <c r="P1563" i="1" s="1"/>
  <c r="N1563" i="1"/>
  <c r="M1563" i="1"/>
  <c r="L1563" i="1"/>
  <c r="K1563" i="1"/>
  <c r="I1563" i="1"/>
  <c r="O1562" i="1"/>
  <c r="P1562" i="1" s="1"/>
  <c r="N1562" i="1"/>
  <c r="M1562" i="1"/>
  <c r="L1562" i="1"/>
  <c r="K1562" i="1"/>
  <c r="I1562" i="1"/>
  <c r="O1561" i="1"/>
  <c r="P1561" i="1" s="1"/>
  <c r="N1561" i="1"/>
  <c r="M1561" i="1"/>
  <c r="L1561" i="1"/>
  <c r="K1561" i="1"/>
  <c r="I1561" i="1"/>
  <c r="O1560" i="1"/>
  <c r="P1560" i="1" s="1"/>
  <c r="N1560" i="1"/>
  <c r="M1560" i="1"/>
  <c r="L1560" i="1"/>
  <c r="K1560" i="1"/>
  <c r="I1560" i="1"/>
  <c r="O1559" i="1"/>
  <c r="P1559" i="1" s="1"/>
  <c r="N1559" i="1"/>
  <c r="M1559" i="1"/>
  <c r="L1559" i="1"/>
  <c r="K1559" i="1"/>
  <c r="I1559" i="1"/>
  <c r="O1558" i="1"/>
  <c r="P1558" i="1" s="1"/>
  <c r="N1558" i="1"/>
  <c r="M1558" i="1"/>
  <c r="L1558" i="1"/>
  <c r="K1558" i="1"/>
  <c r="I1558" i="1"/>
  <c r="O1557" i="1"/>
  <c r="P1557" i="1" s="1"/>
  <c r="N1557" i="1"/>
  <c r="M1557" i="1"/>
  <c r="L1557" i="1"/>
  <c r="K1557" i="1"/>
  <c r="I1557" i="1"/>
  <c r="O1556" i="1"/>
  <c r="P1556" i="1" s="1"/>
  <c r="N1556" i="1"/>
  <c r="M1556" i="1"/>
  <c r="L1556" i="1"/>
  <c r="K1556" i="1"/>
  <c r="I1556" i="1"/>
  <c r="O1555" i="1"/>
  <c r="P1555" i="1" s="1"/>
  <c r="N1555" i="1"/>
  <c r="M1555" i="1"/>
  <c r="L1555" i="1"/>
  <c r="K1555" i="1"/>
  <c r="I1555" i="1"/>
  <c r="O1554" i="1"/>
  <c r="P1554" i="1" s="1"/>
  <c r="N1554" i="1"/>
  <c r="M1554" i="1"/>
  <c r="L1554" i="1"/>
  <c r="K1554" i="1"/>
  <c r="I1554" i="1"/>
  <c r="O1553" i="1"/>
  <c r="P1553" i="1" s="1"/>
  <c r="N1553" i="1"/>
  <c r="M1553" i="1"/>
  <c r="L1553" i="1"/>
  <c r="K1553" i="1"/>
  <c r="I1553" i="1"/>
  <c r="O1552" i="1"/>
  <c r="P1552" i="1" s="1"/>
  <c r="N1552" i="1"/>
  <c r="M1552" i="1"/>
  <c r="L1552" i="1"/>
  <c r="K1552" i="1"/>
  <c r="I1552" i="1"/>
  <c r="O1551" i="1"/>
  <c r="P1551" i="1" s="1"/>
  <c r="N1551" i="1"/>
  <c r="M1551" i="1"/>
  <c r="L1551" i="1"/>
  <c r="K1551" i="1"/>
  <c r="I1551" i="1"/>
  <c r="O1550" i="1"/>
  <c r="P1550" i="1" s="1"/>
  <c r="N1550" i="1"/>
  <c r="M1550" i="1"/>
  <c r="L1550" i="1"/>
  <c r="K1550" i="1"/>
  <c r="I1550" i="1"/>
  <c r="O1549" i="1"/>
  <c r="P1549" i="1" s="1"/>
  <c r="N1549" i="1"/>
  <c r="M1549" i="1"/>
  <c r="L1549" i="1"/>
  <c r="K1549" i="1"/>
  <c r="I1549" i="1"/>
  <c r="O1548" i="1"/>
  <c r="P1548" i="1" s="1"/>
  <c r="N1548" i="1"/>
  <c r="M1548" i="1"/>
  <c r="L1548" i="1"/>
  <c r="K1548" i="1"/>
  <c r="I1548" i="1"/>
  <c r="O1547" i="1"/>
  <c r="P1547" i="1" s="1"/>
  <c r="N1547" i="1"/>
  <c r="M1547" i="1"/>
  <c r="L1547" i="1"/>
  <c r="K1547" i="1"/>
  <c r="I1547" i="1"/>
  <c r="O1546" i="1"/>
  <c r="P1546" i="1" s="1"/>
  <c r="N1546" i="1"/>
  <c r="M1546" i="1"/>
  <c r="L1546" i="1"/>
  <c r="K1546" i="1"/>
  <c r="I1546" i="1"/>
  <c r="O1545" i="1"/>
  <c r="P1545" i="1" s="1"/>
  <c r="N1545" i="1"/>
  <c r="M1545" i="1"/>
  <c r="L1545" i="1"/>
  <c r="K1545" i="1"/>
  <c r="I1545" i="1"/>
  <c r="O1544" i="1"/>
  <c r="P1544" i="1" s="1"/>
  <c r="N1544" i="1"/>
  <c r="M1544" i="1"/>
  <c r="L1544" i="1"/>
  <c r="K1544" i="1"/>
  <c r="I1544" i="1"/>
  <c r="O1543" i="1"/>
  <c r="P1543" i="1" s="1"/>
  <c r="N1543" i="1"/>
  <c r="M1543" i="1"/>
  <c r="L1543" i="1"/>
  <c r="K1543" i="1"/>
  <c r="I1543" i="1"/>
  <c r="O1542" i="1"/>
  <c r="P1542" i="1" s="1"/>
  <c r="N1542" i="1"/>
  <c r="M1542" i="1"/>
  <c r="L1542" i="1"/>
  <c r="K1542" i="1"/>
  <c r="I1542" i="1"/>
  <c r="O1541" i="1"/>
  <c r="P1541" i="1" s="1"/>
  <c r="N1541" i="1"/>
  <c r="M1541" i="1"/>
  <c r="L1541" i="1"/>
  <c r="K1541" i="1"/>
  <c r="I1541" i="1"/>
  <c r="O1540" i="1"/>
  <c r="P1540" i="1" s="1"/>
  <c r="N1540" i="1"/>
  <c r="M1540" i="1"/>
  <c r="L1540" i="1"/>
  <c r="K1540" i="1"/>
  <c r="I1540" i="1"/>
  <c r="O1539" i="1"/>
  <c r="P1539" i="1" s="1"/>
  <c r="N1539" i="1"/>
  <c r="M1539" i="1"/>
  <c r="L1539" i="1"/>
  <c r="K1539" i="1"/>
  <c r="I1539" i="1"/>
  <c r="O1538" i="1"/>
  <c r="P1538" i="1" s="1"/>
  <c r="N1538" i="1"/>
  <c r="M1538" i="1"/>
  <c r="L1538" i="1"/>
  <c r="K1538" i="1"/>
  <c r="I1538" i="1"/>
  <c r="O1537" i="1"/>
  <c r="P1537" i="1" s="1"/>
  <c r="N1537" i="1"/>
  <c r="M1537" i="1"/>
  <c r="L1537" i="1"/>
  <c r="K1537" i="1"/>
  <c r="I1537" i="1"/>
  <c r="O1536" i="1"/>
  <c r="P1536" i="1" s="1"/>
  <c r="N1536" i="1"/>
  <c r="M1536" i="1"/>
  <c r="L1536" i="1"/>
  <c r="K1536" i="1"/>
  <c r="I1536" i="1"/>
  <c r="O1535" i="1"/>
  <c r="P1535" i="1" s="1"/>
  <c r="N1535" i="1"/>
  <c r="M1535" i="1"/>
  <c r="L1535" i="1"/>
  <c r="K1535" i="1"/>
  <c r="I1535" i="1"/>
  <c r="O1534" i="1"/>
  <c r="P1534" i="1" s="1"/>
  <c r="N1534" i="1"/>
  <c r="M1534" i="1"/>
  <c r="L1534" i="1"/>
  <c r="K1534" i="1"/>
  <c r="I1534" i="1"/>
  <c r="O1533" i="1"/>
  <c r="P1533" i="1" s="1"/>
  <c r="N1533" i="1"/>
  <c r="M1533" i="1"/>
  <c r="L1533" i="1"/>
  <c r="K1533" i="1"/>
  <c r="I1533" i="1"/>
  <c r="O1532" i="1"/>
  <c r="P1532" i="1" s="1"/>
  <c r="N1532" i="1"/>
  <c r="M1532" i="1"/>
  <c r="L1532" i="1"/>
  <c r="K1532" i="1"/>
  <c r="I1532" i="1"/>
  <c r="O1531" i="1"/>
  <c r="P1531" i="1" s="1"/>
  <c r="N1531" i="1"/>
  <c r="M1531" i="1"/>
  <c r="L1531" i="1"/>
  <c r="K1531" i="1"/>
  <c r="I1531" i="1"/>
  <c r="O1530" i="1"/>
  <c r="P1530" i="1" s="1"/>
  <c r="N1530" i="1"/>
  <c r="M1530" i="1"/>
  <c r="L1530" i="1"/>
  <c r="K1530" i="1"/>
  <c r="I1530" i="1"/>
  <c r="O1529" i="1"/>
  <c r="P1529" i="1" s="1"/>
  <c r="N1529" i="1"/>
  <c r="M1529" i="1"/>
  <c r="L1529" i="1"/>
  <c r="K1529" i="1"/>
  <c r="I1529" i="1"/>
  <c r="O1528" i="1"/>
  <c r="P1528" i="1" s="1"/>
  <c r="N1528" i="1"/>
  <c r="M1528" i="1"/>
  <c r="L1528" i="1"/>
  <c r="K1528" i="1"/>
  <c r="I1528" i="1"/>
  <c r="O1527" i="1"/>
  <c r="P1527" i="1" s="1"/>
  <c r="N1527" i="1"/>
  <c r="M1527" i="1"/>
  <c r="L1527" i="1"/>
  <c r="K1527" i="1"/>
  <c r="I1527" i="1"/>
  <c r="O1526" i="1"/>
  <c r="P1526" i="1" s="1"/>
  <c r="N1526" i="1"/>
  <c r="M1526" i="1"/>
  <c r="L1526" i="1"/>
  <c r="K1526" i="1"/>
  <c r="I1526" i="1"/>
  <c r="O1525" i="1"/>
  <c r="P1525" i="1" s="1"/>
  <c r="N1525" i="1"/>
  <c r="M1525" i="1"/>
  <c r="L1525" i="1"/>
  <c r="K1525" i="1"/>
  <c r="I1525" i="1"/>
  <c r="O1524" i="1"/>
  <c r="P1524" i="1" s="1"/>
  <c r="N1524" i="1"/>
  <c r="M1524" i="1"/>
  <c r="L1524" i="1"/>
  <c r="K1524" i="1"/>
  <c r="I1524" i="1"/>
  <c r="O1523" i="1"/>
  <c r="P1523" i="1" s="1"/>
  <c r="N1523" i="1"/>
  <c r="M1523" i="1"/>
  <c r="L1523" i="1"/>
  <c r="K1523" i="1"/>
  <c r="I1523" i="1"/>
  <c r="O1522" i="1"/>
  <c r="P1522" i="1" s="1"/>
  <c r="N1522" i="1"/>
  <c r="M1522" i="1"/>
  <c r="L1522" i="1"/>
  <c r="K1522" i="1"/>
  <c r="I1522" i="1"/>
  <c r="O1521" i="1"/>
  <c r="P1521" i="1" s="1"/>
  <c r="N1521" i="1"/>
  <c r="M1521" i="1"/>
  <c r="L1521" i="1"/>
  <c r="K1521" i="1"/>
  <c r="I1521" i="1"/>
  <c r="O1520" i="1"/>
  <c r="P1520" i="1" s="1"/>
  <c r="N1520" i="1"/>
  <c r="M1520" i="1"/>
  <c r="L1520" i="1"/>
  <c r="K1520" i="1"/>
  <c r="I1520" i="1"/>
  <c r="O1519" i="1"/>
  <c r="P1519" i="1" s="1"/>
  <c r="N1519" i="1"/>
  <c r="M1519" i="1"/>
  <c r="L1519" i="1"/>
  <c r="K1519" i="1"/>
  <c r="I1519" i="1"/>
  <c r="O1518" i="1"/>
  <c r="P1518" i="1" s="1"/>
  <c r="N1518" i="1"/>
  <c r="M1518" i="1"/>
  <c r="L1518" i="1"/>
  <c r="K1518" i="1"/>
  <c r="I1518" i="1"/>
  <c r="O1517" i="1"/>
  <c r="P1517" i="1" s="1"/>
  <c r="N1517" i="1"/>
  <c r="M1517" i="1"/>
  <c r="L1517" i="1"/>
  <c r="K1517" i="1"/>
  <c r="I1517" i="1"/>
  <c r="O1516" i="1"/>
  <c r="P1516" i="1" s="1"/>
  <c r="N1516" i="1"/>
  <c r="M1516" i="1"/>
  <c r="L1516" i="1"/>
  <c r="K1516" i="1"/>
  <c r="I1516" i="1"/>
  <c r="O1515" i="1"/>
  <c r="P1515" i="1" s="1"/>
  <c r="N1515" i="1"/>
  <c r="M1515" i="1"/>
  <c r="L1515" i="1"/>
  <c r="K1515" i="1"/>
  <c r="I1515" i="1"/>
  <c r="O1514" i="1"/>
  <c r="P1514" i="1" s="1"/>
  <c r="N1514" i="1"/>
  <c r="M1514" i="1"/>
  <c r="L1514" i="1"/>
  <c r="K1514" i="1"/>
  <c r="I1514" i="1"/>
  <c r="O1513" i="1"/>
  <c r="P1513" i="1" s="1"/>
  <c r="N1513" i="1"/>
  <c r="M1513" i="1"/>
  <c r="L1513" i="1"/>
  <c r="K1513" i="1"/>
  <c r="I1513" i="1"/>
  <c r="O1512" i="1"/>
  <c r="P1512" i="1" s="1"/>
  <c r="N1512" i="1"/>
  <c r="M1512" i="1"/>
  <c r="L1512" i="1"/>
  <c r="K1512" i="1"/>
  <c r="I1512" i="1"/>
  <c r="O1511" i="1"/>
  <c r="P1511" i="1" s="1"/>
  <c r="N1511" i="1"/>
  <c r="M1511" i="1"/>
  <c r="L1511" i="1"/>
  <c r="K1511" i="1"/>
  <c r="I1511" i="1"/>
  <c r="O1510" i="1"/>
  <c r="P1510" i="1" s="1"/>
  <c r="N1510" i="1"/>
  <c r="M1510" i="1"/>
  <c r="L1510" i="1"/>
  <c r="K1510" i="1"/>
  <c r="I1510" i="1"/>
  <c r="O1509" i="1"/>
  <c r="P1509" i="1" s="1"/>
  <c r="N1509" i="1"/>
  <c r="M1509" i="1"/>
  <c r="L1509" i="1"/>
  <c r="K1509" i="1"/>
  <c r="I1509" i="1"/>
  <c r="O1508" i="1"/>
  <c r="P1508" i="1" s="1"/>
  <c r="N1508" i="1"/>
  <c r="M1508" i="1"/>
  <c r="L1508" i="1"/>
  <c r="K1508" i="1"/>
  <c r="I1508" i="1"/>
  <c r="O1507" i="1"/>
  <c r="P1507" i="1" s="1"/>
  <c r="N1507" i="1"/>
  <c r="M1507" i="1"/>
  <c r="L1507" i="1"/>
  <c r="K1507" i="1"/>
  <c r="I1507" i="1"/>
  <c r="O1506" i="1"/>
  <c r="P1506" i="1" s="1"/>
  <c r="N1506" i="1"/>
  <c r="M1506" i="1"/>
  <c r="L1506" i="1"/>
  <c r="K1506" i="1"/>
  <c r="I1506" i="1"/>
  <c r="O1505" i="1"/>
  <c r="P1505" i="1" s="1"/>
  <c r="N1505" i="1"/>
  <c r="M1505" i="1"/>
  <c r="L1505" i="1"/>
  <c r="K1505" i="1"/>
  <c r="I1505" i="1"/>
  <c r="O1504" i="1"/>
  <c r="P1504" i="1" s="1"/>
  <c r="N1504" i="1"/>
  <c r="M1504" i="1"/>
  <c r="L1504" i="1"/>
  <c r="K1504" i="1"/>
  <c r="I1504" i="1"/>
  <c r="O1503" i="1"/>
  <c r="P1503" i="1" s="1"/>
  <c r="N1503" i="1"/>
  <c r="M1503" i="1"/>
  <c r="L1503" i="1"/>
  <c r="K1503" i="1"/>
  <c r="I1503" i="1"/>
  <c r="O1502" i="1"/>
  <c r="P1502" i="1" s="1"/>
  <c r="N1502" i="1"/>
  <c r="M1502" i="1"/>
  <c r="L1502" i="1"/>
  <c r="K1502" i="1"/>
  <c r="I1502" i="1"/>
  <c r="O1501" i="1"/>
  <c r="P1501" i="1" s="1"/>
  <c r="N1501" i="1"/>
  <c r="M1501" i="1"/>
  <c r="L1501" i="1"/>
  <c r="K1501" i="1"/>
  <c r="I1501" i="1"/>
  <c r="O1500" i="1"/>
  <c r="P1500" i="1" s="1"/>
  <c r="N1500" i="1"/>
  <c r="M1500" i="1"/>
  <c r="L1500" i="1"/>
  <c r="K1500" i="1"/>
  <c r="I1500" i="1"/>
  <c r="O1499" i="1"/>
  <c r="P1499" i="1" s="1"/>
  <c r="N1499" i="1"/>
  <c r="M1499" i="1"/>
  <c r="L1499" i="1"/>
  <c r="K1499" i="1"/>
  <c r="I1499" i="1"/>
  <c r="O1498" i="1"/>
  <c r="P1498" i="1" s="1"/>
  <c r="N1498" i="1"/>
  <c r="M1498" i="1"/>
  <c r="L1498" i="1"/>
  <c r="K1498" i="1"/>
  <c r="I1498" i="1"/>
  <c r="O1497" i="1"/>
  <c r="P1497" i="1" s="1"/>
  <c r="N1497" i="1"/>
  <c r="M1497" i="1"/>
  <c r="L1497" i="1"/>
  <c r="K1497" i="1"/>
  <c r="I1497" i="1"/>
  <c r="O1496" i="1"/>
  <c r="P1496" i="1" s="1"/>
  <c r="N1496" i="1"/>
  <c r="M1496" i="1"/>
  <c r="L1496" i="1"/>
  <c r="K1496" i="1"/>
  <c r="I1496" i="1"/>
  <c r="O1495" i="1"/>
  <c r="P1495" i="1" s="1"/>
  <c r="N1495" i="1"/>
  <c r="M1495" i="1"/>
  <c r="L1495" i="1"/>
  <c r="K1495" i="1"/>
  <c r="I1495" i="1"/>
  <c r="O1494" i="1"/>
  <c r="P1494" i="1" s="1"/>
  <c r="N1494" i="1"/>
  <c r="M1494" i="1"/>
  <c r="L1494" i="1"/>
  <c r="K1494" i="1"/>
  <c r="I1494" i="1"/>
  <c r="O1493" i="1"/>
  <c r="P1493" i="1" s="1"/>
  <c r="N1493" i="1"/>
  <c r="M1493" i="1"/>
  <c r="L1493" i="1"/>
  <c r="K1493" i="1"/>
  <c r="I1493" i="1"/>
  <c r="O1492" i="1"/>
  <c r="P1492" i="1" s="1"/>
  <c r="N1492" i="1"/>
  <c r="M1492" i="1"/>
  <c r="L1492" i="1"/>
  <c r="K1492" i="1"/>
  <c r="I1492" i="1"/>
  <c r="O1491" i="1"/>
  <c r="P1491" i="1" s="1"/>
  <c r="N1491" i="1"/>
  <c r="M1491" i="1"/>
  <c r="L1491" i="1"/>
  <c r="K1491" i="1"/>
  <c r="I1491" i="1"/>
  <c r="O1490" i="1"/>
  <c r="P1490" i="1" s="1"/>
  <c r="N1490" i="1"/>
  <c r="M1490" i="1"/>
  <c r="L1490" i="1"/>
  <c r="K1490" i="1"/>
  <c r="I1490" i="1"/>
  <c r="O1489" i="1"/>
  <c r="P1489" i="1" s="1"/>
  <c r="N1489" i="1"/>
  <c r="M1489" i="1"/>
  <c r="L1489" i="1"/>
  <c r="K1489" i="1"/>
  <c r="I1489" i="1"/>
  <c r="O1488" i="1"/>
  <c r="P1488" i="1" s="1"/>
  <c r="N1488" i="1"/>
  <c r="M1488" i="1"/>
  <c r="L1488" i="1"/>
  <c r="K1488" i="1"/>
  <c r="I1488" i="1"/>
  <c r="O1487" i="1"/>
  <c r="P1487" i="1" s="1"/>
  <c r="N1487" i="1"/>
  <c r="M1487" i="1"/>
  <c r="L1487" i="1"/>
  <c r="K1487" i="1"/>
  <c r="I1487" i="1"/>
  <c r="O1486" i="1"/>
  <c r="P1486" i="1" s="1"/>
  <c r="N1486" i="1"/>
  <c r="M1486" i="1"/>
  <c r="L1486" i="1"/>
  <c r="K1486" i="1"/>
  <c r="I1486" i="1"/>
  <c r="O1485" i="1"/>
  <c r="P1485" i="1" s="1"/>
  <c r="N1485" i="1"/>
  <c r="M1485" i="1"/>
  <c r="L1485" i="1"/>
  <c r="K1485" i="1"/>
  <c r="I1485" i="1"/>
  <c r="O1484" i="1"/>
  <c r="P1484" i="1" s="1"/>
  <c r="N1484" i="1"/>
  <c r="M1484" i="1"/>
  <c r="L1484" i="1"/>
  <c r="K1484" i="1"/>
  <c r="I1484" i="1"/>
  <c r="O1483" i="1"/>
  <c r="P1483" i="1" s="1"/>
  <c r="N1483" i="1"/>
  <c r="M1483" i="1"/>
  <c r="L1483" i="1"/>
  <c r="K1483" i="1"/>
  <c r="I1483" i="1"/>
  <c r="O1482" i="1"/>
  <c r="P1482" i="1" s="1"/>
  <c r="N1482" i="1"/>
  <c r="M1482" i="1"/>
  <c r="L1482" i="1"/>
  <c r="K1482" i="1"/>
  <c r="I1482" i="1"/>
  <c r="O1481" i="1"/>
  <c r="P1481" i="1" s="1"/>
  <c r="N1481" i="1"/>
  <c r="M1481" i="1"/>
  <c r="L1481" i="1"/>
  <c r="K1481" i="1"/>
  <c r="I1481" i="1"/>
  <c r="O1480" i="1"/>
  <c r="P1480" i="1" s="1"/>
  <c r="N1480" i="1"/>
  <c r="M1480" i="1"/>
  <c r="L1480" i="1"/>
  <c r="K1480" i="1"/>
  <c r="I1480" i="1"/>
  <c r="O1479" i="1"/>
  <c r="P1479" i="1" s="1"/>
  <c r="N1479" i="1"/>
  <c r="M1479" i="1"/>
  <c r="L1479" i="1"/>
  <c r="K1479" i="1"/>
  <c r="I1479" i="1"/>
  <c r="O1478" i="1"/>
  <c r="P1478" i="1" s="1"/>
  <c r="N1478" i="1"/>
  <c r="M1478" i="1"/>
  <c r="L1478" i="1"/>
  <c r="K1478" i="1"/>
  <c r="I1478" i="1"/>
  <c r="O1477" i="1"/>
  <c r="P1477" i="1" s="1"/>
  <c r="N1477" i="1"/>
  <c r="M1477" i="1"/>
  <c r="L1477" i="1"/>
  <c r="K1477" i="1"/>
  <c r="I1477" i="1"/>
  <c r="O1476" i="1"/>
  <c r="P1476" i="1" s="1"/>
  <c r="N1476" i="1"/>
  <c r="M1476" i="1"/>
  <c r="L1476" i="1"/>
  <c r="K1476" i="1"/>
  <c r="I1476" i="1"/>
  <c r="O1475" i="1"/>
  <c r="P1475" i="1" s="1"/>
  <c r="N1475" i="1"/>
  <c r="M1475" i="1"/>
  <c r="L1475" i="1"/>
  <c r="K1475" i="1"/>
  <c r="I1475" i="1"/>
  <c r="O1474" i="1"/>
  <c r="P1474" i="1" s="1"/>
  <c r="N1474" i="1"/>
  <c r="M1474" i="1"/>
  <c r="L1474" i="1"/>
  <c r="K1474" i="1"/>
  <c r="I1474" i="1"/>
  <c r="O1473" i="1"/>
  <c r="P1473" i="1" s="1"/>
  <c r="N1473" i="1"/>
  <c r="M1473" i="1"/>
  <c r="L1473" i="1"/>
  <c r="K1473" i="1"/>
  <c r="I1473" i="1"/>
  <c r="O1472" i="1"/>
  <c r="P1472" i="1" s="1"/>
  <c r="N1472" i="1"/>
  <c r="M1472" i="1"/>
  <c r="L1472" i="1"/>
  <c r="K1472" i="1"/>
  <c r="I1472" i="1"/>
  <c r="O1471" i="1"/>
  <c r="P1471" i="1" s="1"/>
  <c r="N1471" i="1"/>
  <c r="M1471" i="1"/>
  <c r="L1471" i="1"/>
  <c r="K1471" i="1"/>
  <c r="I1471" i="1"/>
  <c r="O1470" i="1"/>
  <c r="P1470" i="1" s="1"/>
  <c r="N1470" i="1"/>
  <c r="M1470" i="1"/>
  <c r="L1470" i="1"/>
  <c r="K1470" i="1"/>
  <c r="I1470" i="1"/>
  <c r="O1469" i="1"/>
  <c r="P1469" i="1" s="1"/>
  <c r="N1469" i="1"/>
  <c r="M1469" i="1"/>
  <c r="L1469" i="1"/>
  <c r="K1469" i="1"/>
  <c r="I1469" i="1"/>
  <c r="O1468" i="1"/>
  <c r="P1468" i="1" s="1"/>
  <c r="N1468" i="1"/>
  <c r="M1468" i="1"/>
  <c r="L1468" i="1"/>
  <c r="K1468" i="1"/>
  <c r="I1468" i="1"/>
  <c r="O1467" i="1"/>
  <c r="P1467" i="1" s="1"/>
  <c r="N1467" i="1"/>
  <c r="M1467" i="1"/>
  <c r="L1467" i="1"/>
  <c r="K1467" i="1"/>
  <c r="I1467" i="1"/>
  <c r="O1466" i="1"/>
  <c r="P1466" i="1" s="1"/>
  <c r="N1466" i="1"/>
  <c r="M1466" i="1"/>
  <c r="L1466" i="1"/>
  <c r="K1466" i="1"/>
  <c r="I1466" i="1"/>
  <c r="O1465" i="1"/>
  <c r="P1465" i="1" s="1"/>
  <c r="N1465" i="1"/>
  <c r="M1465" i="1"/>
  <c r="L1465" i="1"/>
  <c r="K1465" i="1"/>
  <c r="I1465" i="1"/>
  <c r="O1464" i="1"/>
  <c r="P1464" i="1" s="1"/>
  <c r="N1464" i="1"/>
  <c r="M1464" i="1"/>
  <c r="L1464" i="1"/>
  <c r="K1464" i="1"/>
  <c r="I1464" i="1"/>
  <c r="O1463" i="1"/>
  <c r="P1463" i="1" s="1"/>
  <c r="N1463" i="1"/>
  <c r="M1463" i="1"/>
  <c r="L1463" i="1"/>
  <c r="K1463" i="1"/>
  <c r="I1463" i="1"/>
  <c r="O1462" i="1"/>
  <c r="P1462" i="1" s="1"/>
  <c r="N1462" i="1"/>
  <c r="M1462" i="1"/>
  <c r="L1462" i="1"/>
  <c r="K1462" i="1"/>
  <c r="I1462" i="1"/>
  <c r="O1461" i="1"/>
  <c r="P1461" i="1" s="1"/>
  <c r="N1461" i="1"/>
  <c r="M1461" i="1"/>
  <c r="L1461" i="1"/>
  <c r="K1461" i="1"/>
  <c r="I1461" i="1"/>
  <c r="O1460" i="1"/>
  <c r="P1460" i="1" s="1"/>
  <c r="N1460" i="1"/>
  <c r="M1460" i="1"/>
  <c r="L1460" i="1"/>
  <c r="K1460" i="1"/>
  <c r="I1460" i="1"/>
  <c r="O1459" i="1"/>
  <c r="P1459" i="1" s="1"/>
  <c r="N1459" i="1"/>
  <c r="M1459" i="1"/>
  <c r="L1459" i="1"/>
  <c r="K1459" i="1"/>
  <c r="I1459" i="1"/>
  <c r="O1458" i="1"/>
  <c r="P1458" i="1" s="1"/>
  <c r="N1458" i="1"/>
  <c r="M1458" i="1"/>
  <c r="L1458" i="1"/>
  <c r="K1458" i="1"/>
  <c r="I1458" i="1"/>
  <c r="O1457" i="1"/>
  <c r="P1457" i="1" s="1"/>
  <c r="N1457" i="1"/>
  <c r="M1457" i="1"/>
  <c r="L1457" i="1"/>
  <c r="K1457" i="1"/>
  <c r="I1457" i="1"/>
  <c r="O1456" i="1"/>
  <c r="P1456" i="1" s="1"/>
  <c r="N1456" i="1"/>
  <c r="M1456" i="1"/>
  <c r="L1456" i="1"/>
  <c r="K1456" i="1"/>
  <c r="I1456" i="1"/>
  <c r="O1455" i="1"/>
  <c r="P1455" i="1" s="1"/>
  <c r="N1455" i="1"/>
  <c r="M1455" i="1"/>
  <c r="L1455" i="1"/>
  <c r="K1455" i="1"/>
  <c r="I1455" i="1"/>
  <c r="O1454" i="1"/>
  <c r="P1454" i="1" s="1"/>
  <c r="N1454" i="1"/>
  <c r="M1454" i="1"/>
  <c r="L1454" i="1"/>
  <c r="K1454" i="1"/>
  <c r="I1454" i="1"/>
  <c r="O1453" i="1"/>
  <c r="P1453" i="1" s="1"/>
  <c r="N1453" i="1"/>
  <c r="M1453" i="1"/>
  <c r="L1453" i="1"/>
  <c r="K1453" i="1"/>
  <c r="I1453" i="1"/>
  <c r="O1452" i="1"/>
  <c r="P1452" i="1" s="1"/>
  <c r="N1452" i="1"/>
  <c r="M1452" i="1"/>
  <c r="L1452" i="1"/>
  <c r="K1452" i="1"/>
  <c r="I1452" i="1"/>
  <c r="O1451" i="1"/>
  <c r="P1451" i="1" s="1"/>
  <c r="N1451" i="1"/>
  <c r="M1451" i="1"/>
  <c r="L1451" i="1"/>
  <c r="K1451" i="1"/>
  <c r="I1451" i="1"/>
  <c r="O1450" i="1"/>
  <c r="P1450" i="1" s="1"/>
  <c r="N1450" i="1"/>
  <c r="M1450" i="1"/>
  <c r="L1450" i="1"/>
  <c r="K1450" i="1"/>
  <c r="I1450" i="1"/>
  <c r="O1449" i="1"/>
  <c r="P1449" i="1" s="1"/>
  <c r="N1449" i="1"/>
  <c r="M1449" i="1"/>
  <c r="L1449" i="1"/>
  <c r="K1449" i="1"/>
  <c r="I1449" i="1"/>
  <c r="O1448" i="1"/>
  <c r="P1448" i="1" s="1"/>
  <c r="N1448" i="1"/>
  <c r="M1448" i="1"/>
  <c r="L1448" i="1"/>
  <c r="K1448" i="1"/>
  <c r="I1448" i="1"/>
  <c r="O1447" i="1"/>
  <c r="P1447" i="1" s="1"/>
  <c r="N1447" i="1"/>
  <c r="M1447" i="1"/>
  <c r="L1447" i="1"/>
  <c r="K1447" i="1"/>
  <c r="I1447" i="1"/>
  <c r="O1446" i="1"/>
  <c r="P1446" i="1" s="1"/>
  <c r="N1446" i="1"/>
  <c r="M1446" i="1"/>
  <c r="L1446" i="1"/>
  <c r="K1446" i="1"/>
  <c r="I1446" i="1"/>
  <c r="O1445" i="1"/>
  <c r="P1445" i="1" s="1"/>
  <c r="N1445" i="1"/>
  <c r="M1445" i="1"/>
  <c r="L1445" i="1"/>
  <c r="K1445" i="1"/>
  <c r="I1445" i="1"/>
  <c r="O1444" i="1"/>
  <c r="P1444" i="1" s="1"/>
  <c r="N1444" i="1"/>
  <c r="M1444" i="1"/>
  <c r="L1444" i="1"/>
  <c r="K1444" i="1"/>
  <c r="I1444" i="1"/>
  <c r="O1443" i="1"/>
  <c r="P1443" i="1" s="1"/>
  <c r="N1443" i="1"/>
  <c r="M1443" i="1"/>
  <c r="L1443" i="1"/>
  <c r="K1443" i="1"/>
  <c r="I1443" i="1"/>
  <c r="O1442" i="1"/>
  <c r="P1442" i="1" s="1"/>
  <c r="N1442" i="1"/>
  <c r="M1442" i="1"/>
  <c r="L1442" i="1"/>
  <c r="K1442" i="1"/>
  <c r="I1442" i="1"/>
  <c r="O1441" i="1"/>
  <c r="P1441" i="1" s="1"/>
  <c r="N1441" i="1"/>
  <c r="M1441" i="1"/>
  <c r="L1441" i="1"/>
  <c r="K1441" i="1"/>
  <c r="I1441" i="1"/>
  <c r="O1440" i="1"/>
  <c r="P1440" i="1" s="1"/>
  <c r="N1440" i="1"/>
  <c r="M1440" i="1"/>
  <c r="L1440" i="1"/>
  <c r="K1440" i="1"/>
  <c r="I1440" i="1"/>
  <c r="O1439" i="1"/>
  <c r="P1439" i="1" s="1"/>
  <c r="N1439" i="1"/>
  <c r="M1439" i="1"/>
  <c r="L1439" i="1"/>
  <c r="K1439" i="1"/>
  <c r="I1439" i="1"/>
  <c r="O1438" i="1"/>
  <c r="P1438" i="1" s="1"/>
  <c r="N1438" i="1"/>
  <c r="M1438" i="1"/>
  <c r="L1438" i="1"/>
  <c r="K1438" i="1"/>
  <c r="I1438" i="1"/>
  <c r="O1437" i="1"/>
  <c r="P1437" i="1" s="1"/>
  <c r="N1437" i="1"/>
  <c r="M1437" i="1"/>
  <c r="L1437" i="1"/>
  <c r="K1437" i="1"/>
  <c r="I1437" i="1"/>
  <c r="O1436" i="1"/>
  <c r="P1436" i="1" s="1"/>
  <c r="N1436" i="1"/>
  <c r="M1436" i="1"/>
  <c r="L1436" i="1"/>
  <c r="K1436" i="1"/>
  <c r="I1436" i="1"/>
  <c r="O1435" i="1"/>
  <c r="P1435" i="1" s="1"/>
  <c r="N1435" i="1"/>
  <c r="M1435" i="1"/>
  <c r="L1435" i="1"/>
  <c r="K1435" i="1"/>
  <c r="I1435" i="1"/>
  <c r="O1434" i="1"/>
  <c r="P1434" i="1" s="1"/>
  <c r="N1434" i="1"/>
  <c r="M1434" i="1"/>
  <c r="L1434" i="1"/>
  <c r="K1434" i="1"/>
  <c r="I1434" i="1"/>
  <c r="O1433" i="1"/>
  <c r="P1433" i="1" s="1"/>
  <c r="N1433" i="1"/>
  <c r="M1433" i="1"/>
  <c r="L1433" i="1"/>
  <c r="K1433" i="1"/>
  <c r="I1433" i="1"/>
  <c r="O1432" i="1"/>
  <c r="P1432" i="1" s="1"/>
  <c r="N1432" i="1"/>
  <c r="M1432" i="1"/>
  <c r="L1432" i="1"/>
  <c r="K1432" i="1"/>
  <c r="I1432" i="1"/>
  <c r="O1431" i="1"/>
  <c r="P1431" i="1" s="1"/>
  <c r="N1431" i="1"/>
  <c r="M1431" i="1"/>
  <c r="L1431" i="1"/>
  <c r="K1431" i="1"/>
  <c r="I1431" i="1"/>
  <c r="O1430" i="1"/>
  <c r="P1430" i="1" s="1"/>
  <c r="N1430" i="1"/>
  <c r="M1430" i="1"/>
  <c r="L1430" i="1"/>
  <c r="K1430" i="1"/>
  <c r="I1430" i="1"/>
  <c r="O1429" i="1"/>
  <c r="P1429" i="1" s="1"/>
  <c r="N1429" i="1"/>
  <c r="M1429" i="1"/>
  <c r="L1429" i="1"/>
  <c r="K1429" i="1"/>
  <c r="I1429" i="1"/>
  <c r="O1428" i="1"/>
  <c r="P1428" i="1" s="1"/>
  <c r="N1428" i="1"/>
  <c r="M1428" i="1"/>
  <c r="L1428" i="1"/>
  <c r="K1428" i="1"/>
  <c r="I1428" i="1"/>
  <c r="O1427" i="1"/>
  <c r="P1427" i="1" s="1"/>
  <c r="N1427" i="1"/>
  <c r="M1427" i="1"/>
  <c r="L1427" i="1"/>
  <c r="K1427" i="1"/>
  <c r="I1427" i="1"/>
  <c r="O1426" i="1"/>
  <c r="P1426" i="1" s="1"/>
  <c r="N1426" i="1"/>
  <c r="M1426" i="1"/>
  <c r="L1426" i="1"/>
  <c r="K1426" i="1"/>
  <c r="I1426" i="1"/>
  <c r="O1425" i="1"/>
  <c r="P1425" i="1" s="1"/>
  <c r="N1425" i="1"/>
  <c r="M1425" i="1"/>
  <c r="L1425" i="1"/>
  <c r="K1425" i="1"/>
  <c r="I1425" i="1"/>
  <c r="O1424" i="1"/>
  <c r="P1424" i="1" s="1"/>
  <c r="N1424" i="1"/>
  <c r="M1424" i="1"/>
  <c r="L1424" i="1"/>
  <c r="K1424" i="1"/>
  <c r="I1424" i="1"/>
  <c r="O1423" i="1"/>
  <c r="P1423" i="1" s="1"/>
  <c r="N1423" i="1"/>
  <c r="M1423" i="1"/>
  <c r="L1423" i="1"/>
  <c r="K1423" i="1"/>
  <c r="I1423" i="1"/>
  <c r="O1422" i="1"/>
  <c r="P1422" i="1" s="1"/>
  <c r="N1422" i="1"/>
  <c r="M1422" i="1"/>
  <c r="L1422" i="1"/>
  <c r="K1422" i="1"/>
  <c r="I1422" i="1"/>
  <c r="O1421" i="1"/>
  <c r="P1421" i="1" s="1"/>
  <c r="N1421" i="1"/>
  <c r="M1421" i="1"/>
  <c r="L1421" i="1"/>
  <c r="K1421" i="1"/>
  <c r="I1421" i="1"/>
  <c r="O1420" i="1"/>
  <c r="P1420" i="1" s="1"/>
  <c r="N1420" i="1"/>
  <c r="M1420" i="1"/>
  <c r="L1420" i="1"/>
  <c r="K1420" i="1"/>
  <c r="I1420" i="1"/>
  <c r="O1419" i="1"/>
  <c r="P1419" i="1" s="1"/>
  <c r="N1419" i="1"/>
  <c r="M1419" i="1"/>
  <c r="L1419" i="1"/>
  <c r="K1419" i="1"/>
  <c r="I1419" i="1"/>
  <c r="O1418" i="1"/>
  <c r="P1418" i="1" s="1"/>
  <c r="N1418" i="1"/>
  <c r="M1418" i="1"/>
  <c r="L1418" i="1"/>
  <c r="K1418" i="1"/>
  <c r="I1418" i="1"/>
  <c r="O1417" i="1"/>
  <c r="P1417" i="1" s="1"/>
  <c r="N1417" i="1"/>
  <c r="M1417" i="1"/>
  <c r="L1417" i="1"/>
  <c r="K1417" i="1"/>
  <c r="I1417" i="1"/>
  <c r="O1416" i="1"/>
  <c r="P1416" i="1" s="1"/>
  <c r="N1416" i="1"/>
  <c r="M1416" i="1"/>
  <c r="L1416" i="1"/>
  <c r="K1416" i="1"/>
  <c r="I1416" i="1"/>
  <c r="O1415" i="1"/>
  <c r="P1415" i="1" s="1"/>
  <c r="N1415" i="1"/>
  <c r="M1415" i="1"/>
  <c r="L1415" i="1"/>
  <c r="K1415" i="1"/>
  <c r="I1415" i="1"/>
  <c r="O1414" i="1"/>
  <c r="P1414" i="1" s="1"/>
  <c r="N1414" i="1"/>
  <c r="M1414" i="1"/>
  <c r="L1414" i="1"/>
  <c r="K1414" i="1"/>
  <c r="I1414" i="1"/>
  <c r="O1413" i="1"/>
  <c r="P1413" i="1" s="1"/>
  <c r="N1413" i="1"/>
  <c r="M1413" i="1"/>
  <c r="L1413" i="1"/>
  <c r="K1413" i="1"/>
  <c r="I1413" i="1"/>
  <c r="O1412" i="1"/>
  <c r="P1412" i="1" s="1"/>
  <c r="N1412" i="1"/>
  <c r="M1412" i="1"/>
  <c r="L1412" i="1"/>
  <c r="K1412" i="1"/>
  <c r="I1412" i="1"/>
  <c r="O1411" i="1"/>
  <c r="P1411" i="1" s="1"/>
  <c r="N1411" i="1"/>
  <c r="M1411" i="1"/>
  <c r="L1411" i="1"/>
  <c r="K1411" i="1"/>
  <c r="I1411" i="1"/>
  <c r="O1410" i="1"/>
  <c r="P1410" i="1" s="1"/>
  <c r="N1410" i="1"/>
  <c r="M1410" i="1"/>
  <c r="L1410" i="1"/>
  <c r="K1410" i="1"/>
  <c r="I1410" i="1"/>
  <c r="O1409" i="1"/>
  <c r="P1409" i="1" s="1"/>
  <c r="N1409" i="1"/>
  <c r="M1409" i="1"/>
  <c r="L1409" i="1"/>
  <c r="K1409" i="1"/>
  <c r="I1409" i="1"/>
  <c r="O1408" i="1"/>
  <c r="P1408" i="1" s="1"/>
  <c r="N1408" i="1"/>
  <c r="M1408" i="1"/>
  <c r="L1408" i="1"/>
  <c r="K1408" i="1"/>
  <c r="I1408" i="1"/>
  <c r="O1407" i="1"/>
  <c r="P1407" i="1" s="1"/>
  <c r="N1407" i="1"/>
  <c r="M1407" i="1"/>
  <c r="L1407" i="1"/>
  <c r="K1407" i="1"/>
  <c r="I1407" i="1"/>
  <c r="O1406" i="1"/>
  <c r="P1406" i="1" s="1"/>
  <c r="N1406" i="1"/>
  <c r="M1406" i="1"/>
  <c r="L1406" i="1"/>
  <c r="K1406" i="1"/>
  <c r="I1406" i="1"/>
  <c r="O1405" i="1"/>
  <c r="P1405" i="1" s="1"/>
  <c r="N1405" i="1"/>
  <c r="M1405" i="1"/>
  <c r="L1405" i="1"/>
  <c r="K1405" i="1"/>
  <c r="I1405" i="1"/>
  <c r="O1404" i="1"/>
  <c r="P1404" i="1" s="1"/>
  <c r="N1404" i="1"/>
  <c r="M1404" i="1"/>
  <c r="L1404" i="1"/>
  <c r="K1404" i="1"/>
  <c r="I1404" i="1"/>
  <c r="O1403" i="1"/>
  <c r="P1403" i="1" s="1"/>
  <c r="N1403" i="1"/>
  <c r="M1403" i="1"/>
  <c r="L1403" i="1"/>
  <c r="K1403" i="1"/>
  <c r="I1403" i="1"/>
  <c r="O1402" i="1"/>
  <c r="P1402" i="1" s="1"/>
  <c r="N1402" i="1"/>
  <c r="M1402" i="1"/>
  <c r="L1402" i="1"/>
  <c r="K1402" i="1"/>
  <c r="I1402" i="1"/>
  <c r="O1401" i="1"/>
  <c r="P1401" i="1" s="1"/>
  <c r="N1401" i="1"/>
  <c r="M1401" i="1"/>
  <c r="L1401" i="1"/>
  <c r="K1401" i="1"/>
  <c r="I1401" i="1"/>
  <c r="O1400" i="1"/>
  <c r="P1400" i="1" s="1"/>
  <c r="N1400" i="1"/>
  <c r="M1400" i="1"/>
  <c r="L1400" i="1"/>
  <c r="K1400" i="1"/>
  <c r="I1400" i="1"/>
  <c r="O1399" i="1"/>
  <c r="P1399" i="1" s="1"/>
  <c r="N1399" i="1"/>
  <c r="M1399" i="1"/>
  <c r="L1399" i="1"/>
  <c r="K1399" i="1"/>
  <c r="I1399" i="1"/>
  <c r="O1398" i="1"/>
  <c r="P1398" i="1" s="1"/>
  <c r="N1398" i="1"/>
  <c r="M1398" i="1"/>
  <c r="L1398" i="1"/>
  <c r="K1398" i="1"/>
  <c r="I1398" i="1"/>
  <c r="O1397" i="1"/>
  <c r="P1397" i="1" s="1"/>
  <c r="N1397" i="1"/>
  <c r="M1397" i="1"/>
  <c r="L1397" i="1"/>
  <c r="K1397" i="1"/>
  <c r="I1397" i="1"/>
  <c r="O1396" i="1"/>
  <c r="P1396" i="1" s="1"/>
  <c r="N1396" i="1"/>
  <c r="M1396" i="1"/>
  <c r="L1396" i="1"/>
  <c r="K1396" i="1"/>
  <c r="I1396" i="1"/>
  <c r="O1395" i="1"/>
  <c r="P1395" i="1" s="1"/>
  <c r="N1395" i="1"/>
  <c r="M1395" i="1"/>
  <c r="L1395" i="1"/>
  <c r="K1395" i="1"/>
  <c r="I1395" i="1"/>
  <c r="O1394" i="1"/>
  <c r="P1394" i="1" s="1"/>
  <c r="N1394" i="1"/>
  <c r="M1394" i="1"/>
  <c r="L1394" i="1"/>
  <c r="K1394" i="1"/>
  <c r="I1394" i="1"/>
  <c r="O1393" i="1"/>
  <c r="P1393" i="1" s="1"/>
  <c r="N1393" i="1"/>
  <c r="M1393" i="1"/>
  <c r="L1393" i="1"/>
  <c r="K1393" i="1"/>
  <c r="I1393" i="1"/>
  <c r="O1392" i="1"/>
  <c r="P1392" i="1" s="1"/>
  <c r="N1392" i="1"/>
  <c r="M1392" i="1"/>
  <c r="L1392" i="1"/>
  <c r="K1392" i="1"/>
  <c r="I1392" i="1"/>
  <c r="O1391" i="1"/>
  <c r="P1391" i="1" s="1"/>
  <c r="N1391" i="1"/>
  <c r="M1391" i="1"/>
  <c r="L1391" i="1"/>
  <c r="K1391" i="1"/>
  <c r="I1391" i="1"/>
  <c r="O1390" i="1"/>
  <c r="P1390" i="1" s="1"/>
  <c r="N1390" i="1"/>
  <c r="M1390" i="1"/>
  <c r="L1390" i="1"/>
  <c r="K1390" i="1"/>
  <c r="I1390" i="1"/>
  <c r="O1389" i="1"/>
  <c r="P1389" i="1" s="1"/>
  <c r="N1389" i="1"/>
  <c r="M1389" i="1"/>
  <c r="L1389" i="1"/>
  <c r="K1389" i="1"/>
  <c r="I1389" i="1"/>
  <c r="O1388" i="1"/>
  <c r="P1388" i="1" s="1"/>
  <c r="N1388" i="1"/>
  <c r="M1388" i="1"/>
  <c r="L1388" i="1"/>
  <c r="K1388" i="1"/>
  <c r="I1388" i="1"/>
  <c r="O1387" i="1"/>
  <c r="P1387" i="1" s="1"/>
  <c r="N1387" i="1"/>
  <c r="M1387" i="1"/>
  <c r="L1387" i="1"/>
  <c r="K1387" i="1"/>
  <c r="I1387" i="1"/>
  <c r="O1386" i="1"/>
  <c r="P1386" i="1" s="1"/>
  <c r="N1386" i="1"/>
  <c r="M1386" i="1"/>
  <c r="L1386" i="1"/>
  <c r="K1386" i="1"/>
  <c r="I1386" i="1"/>
  <c r="O1385" i="1"/>
  <c r="P1385" i="1" s="1"/>
  <c r="N1385" i="1"/>
  <c r="M1385" i="1"/>
  <c r="L1385" i="1"/>
  <c r="K1385" i="1"/>
  <c r="I1385" i="1"/>
  <c r="O1384" i="1"/>
  <c r="P1384" i="1" s="1"/>
  <c r="N1384" i="1"/>
  <c r="M1384" i="1"/>
  <c r="L1384" i="1"/>
  <c r="K1384" i="1"/>
  <c r="I1384" i="1"/>
  <c r="O1383" i="1"/>
  <c r="P1383" i="1" s="1"/>
  <c r="N1383" i="1"/>
  <c r="M1383" i="1"/>
  <c r="L1383" i="1"/>
  <c r="K1383" i="1"/>
  <c r="I1383" i="1"/>
  <c r="O1382" i="1"/>
  <c r="P1382" i="1" s="1"/>
  <c r="N1382" i="1"/>
  <c r="M1382" i="1"/>
  <c r="L1382" i="1"/>
  <c r="K1382" i="1"/>
  <c r="I1382" i="1"/>
  <c r="O1381" i="1"/>
  <c r="P1381" i="1" s="1"/>
  <c r="N1381" i="1"/>
  <c r="M1381" i="1"/>
  <c r="L1381" i="1"/>
  <c r="K1381" i="1"/>
  <c r="I1381" i="1"/>
  <c r="O1380" i="1"/>
  <c r="P1380" i="1" s="1"/>
  <c r="N1380" i="1"/>
  <c r="M1380" i="1"/>
  <c r="L1380" i="1"/>
  <c r="K1380" i="1"/>
  <c r="I1380" i="1"/>
  <c r="O1379" i="1"/>
  <c r="P1379" i="1" s="1"/>
  <c r="N1379" i="1"/>
  <c r="M1379" i="1"/>
  <c r="L1379" i="1"/>
  <c r="K1379" i="1"/>
  <c r="I1379" i="1"/>
  <c r="O1378" i="1"/>
  <c r="P1378" i="1" s="1"/>
  <c r="N1378" i="1"/>
  <c r="M1378" i="1"/>
  <c r="L1378" i="1"/>
  <c r="K1378" i="1"/>
  <c r="I1378" i="1"/>
  <c r="O1377" i="1"/>
  <c r="P1377" i="1" s="1"/>
  <c r="N1377" i="1"/>
  <c r="M1377" i="1"/>
  <c r="L1377" i="1"/>
  <c r="K1377" i="1"/>
  <c r="I1377" i="1"/>
  <c r="O1376" i="1"/>
  <c r="P1376" i="1" s="1"/>
  <c r="N1376" i="1"/>
  <c r="M1376" i="1"/>
  <c r="L1376" i="1"/>
  <c r="K1376" i="1"/>
  <c r="I1376" i="1"/>
  <c r="O1375" i="1"/>
  <c r="P1375" i="1" s="1"/>
  <c r="N1375" i="1"/>
  <c r="M1375" i="1"/>
  <c r="L1375" i="1"/>
  <c r="K1375" i="1"/>
  <c r="I1375" i="1"/>
  <c r="O1374" i="1"/>
  <c r="P1374" i="1" s="1"/>
  <c r="N1374" i="1"/>
  <c r="M1374" i="1"/>
  <c r="L1374" i="1"/>
  <c r="K1374" i="1"/>
  <c r="I1374" i="1"/>
  <c r="O1373" i="1"/>
  <c r="P1373" i="1" s="1"/>
  <c r="N1373" i="1"/>
  <c r="M1373" i="1"/>
  <c r="L1373" i="1"/>
  <c r="K1373" i="1"/>
  <c r="I1373" i="1"/>
  <c r="O1372" i="1"/>
  <c r="P1372" i="1" s="1"/>
  <c r="N1372" i="1"/>
  <c r="M1372" i="1"/>
  <c r="L1372" i="1"/>
  <c r="K1372" i="1"/>
  <c r="I1372" i="1"/>
  <c r="O1371" i="1"/>
  <c r="P1371" i="1" s="1"/>
  <c r="N1371" i="1"/>
  <c r="M1371" i="1"/>
  <c r="L1371" i="1"/>
  <c r="K1371" i="1"/>
  <c r="I1371" i="1"/>
  <c r="O1370" i="1"/>
  <c r="P1370" i="1" s="1"/>
  <c r="N1370" i="1"/>
  <c r="M1370" i="1"/>
  <c r="L1370" i="1"/>
  <c r="K1370" i="1"/>
  <c r="I1370" i="1"/>
  <c r="O1369" i="1"/>
  <c r="P1369" i="1" s="1"/>
  <c r="N1369" i="1"/>
  <c r="M1369" i="1"/>
  <c r="L1369" i="1"/>
  <c r="K1369" i="1"/>
  <c r="I1369" i="1"/>
  <c r="O1368" i="1"/>
  <c r="P1368" i="1" s="1"/>
  <c r="N1368" i="1"/>
  <c r="M1368" i="1"/>
  <c r="L1368" i="1"/>
  <c r="K1368" i="1"/>
  <c r="I1368" i="1"/>
  <c r="O1367" i="1"/>
  <c r="P1367" i="1" s="1"/>
  <c r="N1367" i="1"/>
  <c r="M1367" i="1"/>
  <c r="L1367" i="1"/>
  <c r="K1367" i="1"/>
  <c r="I1367" i="1"/>
  <c r="O1366" i="1"/>
  <c r="P1366" i="1" s="1"/>
  <c r="N1366" i="1"/>
  <c r="M1366" i="1"/>
  <c r="L1366" i="1"/>
  <c r="K1366" i="1"/>
  <c r="I1366" i="1"/>
  <c r="O1365" i="1"/>
  <c r="P1365" i="1" s="1"/>
  <c r="N1365" i="1"/>
  <c r="M1365" i="1"/>
  <c r="L1365" i="1"/>
  <c r="K1365" i="1"/>
  <c r="I1365" i="1"/>
  <c r="O1364" i="1"/>
  <c r="P1364" i="1" s="1"/>
  <c r="N1364" i="1"/>
  <c r="M1364" i="1"/>
  <c r="L1364" i="1"/>
  <c r="K1364" i="1"/>
  <c r="I1364" i="1"/>
  <c r="O1363" i="1"/>
  <c r="P1363" i="1" s="1"/>
  <c r="N1363" i="1"/>
  <c r="M1363" i="1"/>
  <c r="L1363" i="1"/>
  <c r="K1363" i="1"/>
  <c r="I1363" i="1"/>
  <c r="O1362" i="1"/>
  <c r="P1362" i="1" s="1"/>
  <c r="N1362" i="1"/>
  <c r="M1362" i="1"/>
  <c r="L1362" i="1"/>
  <c r="K1362" i="1"/>
  <c r="I1362" i="1"/>
  <c r="O1361" i="1"/>
  <c r="P1361" i="1" s="1"/>
  <c r="N1361" i="1"/>
  <c r="M1361" i="1"/>
  <c r="L1361" i="1"/>
  <c r="K1361" i="1"/>
  <c r="I1361" i="1"/>
  <c r="O1360" i="1"/>
  <c r="P1360" i="1" s="1"/>
  <c r="N1360" i="1"/>
  <c r="M1360" i="1"/>
  <c r="L1360" i="1"/>
  <c r="K1360" i="1"/>
  <c r="I1360" i="1"/>
  <c r="O1359" i="1"/>
  <c r="P1359" i="1" s="1"/>
  <c r="N1359" i="1"/>
  <c r="M1359" i="1"/>
  <c r="L1359" i="1"/>
  <c r="K1359" i="1"/>
  <c r="I1359" i="1"/>
  <c r="O1358" i="1"/>
  <c r="P1358" i="1" s="1"/>
  <c r="N1358" i="1"/>
  <c r="M1358" i="1"/>
  <c r="L1358" i="1"/>
  <c r="K1358" i="1"/>
  <c r="I1358" i="1"/>
  <c r="O1357" i="1"/>
  <c r="P1357" i="1" s="1"/>
  <c r="N1357" i="1"/>
  <c r="M1357" i="1"/>
  <c r="L1357" i="1"/>
  <c r="K1357" i="1"/>
  <c r="I1357" i="1"/>
  <c r="O1356" i="1"/>
  <c r="P1356" i="1" s="1"/>
  <c r="N1356" i="1"/>
  <c r="M1356" i="1"/>
  <c r="L1356" i="1"/>
  <c r="K1356" i="1"/>
  <c r="I1356" i="1"/>
  <c r="O1355" i="1"/>
  <c r="P1355" i="1" s="1"/>
  <c r="N1355" i="1"/>
  <c r="M1355" i="1"/>
  <c r="L1355" i="1"/>
  <c r="K1355" i="1"/>
  <c r="I1355" i="1"/>
  <c r="O1354" i="1"/>
  <c r="P1354" i="1" s="1"/>
  <c r="N1354" i="1"/>
  <c r="M1354" i="1"/>
  <c r="L1354" i="1"/>
  <c r="K1354" i="1"/>
  <c r="I1354" i="1"/>
  <c r="O1353" i="1"/>
  <c r="P1353" i="1" s="1"/>
  <c r="N1353" i="1"/>
  <c r="M1353" i="1"/>
  <c r="L1353" i="1"/>
  <c r="K1353" i="1"/>
  <c r="I1353" i="1"/>
  <c r="O1352" i="1"/>
  <c r="P1352" i="1" s="1"/>
  <c r="N1352" i="1"/>
  <c r="M1352" i="1"/>
  <c r="L1352" i="1"/>
  <c r="K1352" i="1"/>
  <c r="I1352" i="1"/>
  <c r="O1351" i="1"/>
  <c r="P1351" i="1" s="1"/>
  <c r="N1351" i="1"/>
  <c r="M1351" i="1"/>
  <c r="L1351" i="1"/>
  <c r="K1351" i="1"/>
  <c r="I1351" i="1"/>
  <c r="O1350" i="1"/>
  <c r="P1350" i="1" s="1"/>
  <c r="N1350" i="1"/>
  <c r="M1350" i="1"/>
  <c r="L1350" i="1"/>
  <c r="K1350" i="1"/>
  <c r="I1350" i="1"/>
  <c r="O1349" i="1"/>
  <c r="P1349" i="1" s="1"/>
  <c r="N1349" i="1"/>
  <c r="M1349" i="1"/>
  <c r="L1349" i="1"/>
  <c r="K1349" i="1"/>
  <c r="I1349" i="1"/>
  <c r="O1348" i="1"/>
  <c r="P1348" i="1" s="1"/>
  <c r="N1348" i="1"/>
  <c r="M1348" i="1"/>
  <c r="L1348" i="1"/>
  <c r="K1348" i="1"/>
  <c r="I1348" i="1"/>
  <c r="O1347" i="1"/>
  <c r="P1347" i="1" s="1"/>
  <c r="N1347" i="1"/>
  <c r="M1347" i="1"/>
  <c r="L1347" i="1"/>
  <c r="K1347" i="1"/>
  <c r="I1347" i="1"/>
  <c r="O1346" i="1"/>
  <c r="P1346" i="1" s="1"/>
  <c r="N1346" i="1"/>
  <c r="M1346" i="1"/>
  <c r="L1346" i="1"/>
  <c r="K1346" i="1"/>
  <c r="I1346" i="1"/>
  <c r="O1345" i="1"/>
  <c r="P1345" i="1" s="1"/>
  <c r="N1345" i="1"/>
  <c r="M1345" i="1"/>
  <c r="L1345" i="1"/>
  <c r="K1345" i="1"/>
  <c r="I1345" i="1"/>
  <c r="O1344" i="1"/>
  <c r="P1344" i="1" s="1"/>
  <c r="N1344" i="1"/>
  <c r="M1344" i="1"/>
  <c r="L1344" i="1"/>
  <c r="K1344" i="1"/>
  <c r="I1344" i="1"/>
  <c r="O1343" i="1"/>
  <c r="P1343" i="1" s="1"/>
  <c r="N1343" i="1"/>
  <c r="M1343" i="1"/>
  <c r="L1343" i="1"/>
  <c r="K1343" i="1"/>
  <c r="I1343" i="1"/>
  <c r="O1342" i="1"/>
  <c r="P1342" i="1" s="1"/>
  <c r="N1342" i="1"/>
  <c r="M1342" i="1"/>
  <c r="L1342" i="1"/>
  <c r="K1342" i="1"/>
  <c r="I1342" i="1"/>
  <c r="O1341" i="1"/>
  <c r="P1341" i="1" s="1"/>
  <c r="N1341" i="1"/>
  <c r="M1341" i="1"/>
  <c r="L1341" i="1"/>
  <c r="K1341" i="1"/>
  <c r="I1341" i="1"/>
  <c r="O1340" i="1"/>
  <c r="P1340" i="1" s="1"/>
  <c r="N1340" i="1"/>
  <c r="M1340" i="1"/>
  <c r="L1340" i="1"/>
  <c r="K1340" i="1"/>
  <c r="I1340" i="1"/>
  <c r="O1339" i="1"/>
  <c r="P1339" i="1" s="1"/>
  <c r="N1339" i="1"/>
  <c r="M1339" i="1"/>
  <c r="L1339" i="1"/>
  <c r="K1339" i="1"/>
  <c r="I1339" i="1"/>
  <c r="O1338" i="1"/>
  <c r="P1338" i="1" s="1"/>
  <c r="N1338" i="1"/>
  <c r="M1338" i="1"/>
  <c r="L1338" i="1"/>
  <c r="K1338" i="1"/>
  <c r="I1338" i="1"/>
  <c r="O1337" i="1"/>
  <c r="P1337" i="1" s="1"/>
  <c r="N1337" i="1"/>
  <c r="M1337" i="1"/>
  <c r="L1337" i="1"/>
  <c r="K1337" i="1"/>
  <c r="I1337" i="1"/>
  <c r="O1336" i="1"/>
  <c r="P1336" i="1" s="1"/>
  <c r="N1336" i="1"/>
  <c r="M1336" i="1"/>
  <c r="L1336" i="1"/>
  <c r="K1336" i="1"/>
  <c r="I1336" i="1"/>
  <c r="O1335" i="1"/>
  <c r="P1335" i="1" s="1"/>
  <c r="N1335" i="1"/>
  <c r="M1335" i="1"/>
  <c r="L1335" i="1"/>
  <c r="K1335" i="1"/>
  <c r="I1335" i="1"/>
  <c r="O1334" i="1"/>
  <c r="P1334" i="1" s="1"/>
  <c r="N1334" i="1"/>
  <c r="M1334" i="1"/>
  <c r="L1334" i="1"/>
  <c r="K1334" i="1"/>
  <c r="I1334" i="1"/>
  <c r="O1333" i="1"/>
  <c r="P1333" i="1" s="1"/>
  <c r="N1333" i="1"/>
  <c r="M1333" i="1"/>
  <c r="L1333" i="1"/>
  <c r="K1333" i="1"/>
  <c r="I1333" i="1"/>
  <c r="O1332" i="1"/>
  <c r="P1332" i="1" s="1"/>
  <c r="N1332" i="1"/>
  <c r="M1332" i="1"/>
  <c r="L1332" i="1"/>
  <c r="K1332" i="1"/>
  <c r="I1332" i="1"/>
  <c r="O1331" i="1"/>
  <c r="P1331" i="1" s="1"/>
  <c r="N1331" i="1"/>
  <c r="M1331" i="1"/>
  <c r="L1331" i="1"/>
  <c r="K1331" i="1"/>
  <c r="I1331" i="1"/>
  <c r="O1330" i="1"/>
  <c r="P1330" i="1" s="1"/>
  <c r="N1330" i="1"/>
  <c r="M1330" i="1"/>
  <c r="L1330" i="1"/>
  <c r="K1330" i="1"/>
  <c r="I1330" i="1"/>
  <c r="O1329" i="1"/>
  <c r="P1329" i="1" s="1"/>
  <c r="N1329" i="1"/>
  <c r="M1329" i="1"/>
  <c r="L1329" i="1"/>
  <c r="K1329" i="1"/>
  <c r="I1329" i="1"/>
  <c r="O1328" i="1"/>
  <c r="P1328" i="1" s="1"/>
  <c r="N1328" i="1"/>
  <c r="M1328" i="1"/>
  <c r="L1328" i="1"/>
  <c r="K1328" i="1"/>
  <c r="I1328" i="1"/>
  <c r="O1327" i="1"/>
  <c r="P1327" i="1" s="1"/>
  <c r="N1327" i="1"/>
  <c r="M1327" i="1"/>
  <c r="L1327" i="1"/>
  <c r="K1327" i="1"/>
  <c r="I1327" i="1"/>
  <c r="O1326" i="1"/>
  <c r="P1326" i="1" s="1"/>
  <c r="N1326" i="1"/>
  <c r="M1326" i="1"/>
  <c r="L1326" i="1"/>
  <c r="K1326" i="1"/>
  <c r="I1326" i="1"/>
  <c r="O1325" i="1"/>
  <c r="P1325" i="1" s="1"/>
  <c r="N1325" i="1"/>
  <c r="M1325" i="1"/>
  <c r="L1325" i="1"/>
  <c r="K1325" i="1"/>
  <c r="I1325" i="1"/>
  <c r="O1324" i="1"/>
  <c r="P1324" i="1" s="1"/>
  <c r="N1324" i="1"/>
  <c r="M1324" i="1"/>
  <c r="L1324" i="1"/>
  <c r="K1324" i="1"/>
  <c r="I1324" i="1"/>
  <c r="O1323" i="1"/>
  <c r="P1323" i="1" s="1"/>
  <c r="N1323" i="1"/>
  <c r="M1323" i="1"/>
  <c r="L1323" i="1"/>
  <c r="K1323" i="1"/>
  <c r="I1323" i="1"/>
  <c r="O1322" i="1"/>
  <c r="P1322" i="1" s="1"/>
  <c r="N1322" i="1"/>
  <c r="M1322" i="1"/>
  <c r="L1322" i="1"/>
  <c r="K1322" i="1"/>
  <c r="I1322" i="1"/>
  <c r="O1321" i="1"/>
  <c r="P1321" i="1" s="1"/>
  <c r="N1321" i="1"/>
  <c r="M1321" i="1"/>
  <c r="L1321" i="1"/>
  <c r="K1321" i="1"/>
  <c r="I1321" i="1"/>
  <c r="O1320" i="1"/>
  <c r="P1320" i="1" s="1"/>
  <c r="N1320" i="1"/>
  <c r="M1320" i="1"/>
  <c r="L1320" i="1"/>
  <c r="K1320" i="1"/>
  <c r="I1320" i="1"/>
  <c r="O1319" i="1"/>
  <c r="P1319" i="1" s="1"/>
  <c r="N1319" i="1"/>
  <c r="M1319" i="1"/>
  <c r="L1319" i="1"/>
  <c r="K1319" i="1"/>
  <c r="I1319" i="1"/>
  <c r="O1318" i="1"/>
  <c r="P1318" i="1" s="1"/>
  <c r="N1318" i="1"/>
  <c r="M1318" i="1"/>
  <c r="L1318" i="1"/>
  <c r="K1318" i="1"/>
  <c r="I1318" i="1"/>
  <c r="O1317" i="1"/>
  <c r="P1317" i="1" s="1"/>
  <c r="N1317" i="1"/>
  <c r="M1317" i="1"/>
  <c r="L1317" i="1"/>
  <c r="K1317" i="1"/>
  <c r="I1317" i="1"/>
  <c r="O1316" i="1"/>
  <c r="P1316" i="1" s="1"/>
  <c r="N1316" i="1"/>
  <c r="M1316" i="1"/>
  <c r="L1316" i="1"/>
  <c r="K1316" i="1"/>
  <c r="I1316" i="1"/>
  <c r="O1315" i="1"/>
  <c r="P1315" i="1" s="1"/>
  <c r="N1315" i="1"/>
  <c r="M1315" i="1"/>
  <c r="L1315" i="1"/>
  <c r="K1315" i="1"/>
  <c r="I1315" i="1"/>
  <c r="O1314" i="1"/>
  <c r="P1314" i="1" s="1"/>
  <c r="N1314" i="1"/>
  <c r="M1314" i="1"/>
  <c r="L1314" i="1"/>
  <c r="K1314" i="1"/>
  <c r="I1314" i="1"/>
  <c r="O1313" i="1"/>
  <c r="P1313" i="1" s="1"/>
  <c r="N1313" i="1"/>
  <c r="M1313" i="1"/>
  <c r="L1313" i="1"/>
  <c r="K1313" i="1"/>
  <c r="I1313" i="1"/>
  <c r="O1312" i="1"/>
  <c r="P1312" i="1" s="1"/>
  <c r="N1312" i="1"/>
  <c r="M1312" i="1"/>
  <c r="L1312" i="1"/>
  <c r="K1312" i="1"/>
  <c r="I1312" i="1"/>
  <c r="O1311" i="1"/>
  <c r="P1311" i="1" s="1"/>
  <c r="N1311" i="1"/>
  <c r="M1311" i="1"/>
  <c r="L1311" i="1"/>
  <c r="K1311" i="1"/>
  <c r="I1311" i="1"/>
  <c r="O1310" i="1"/>
  <c r="P1310" i="1" s="1"/>
  <c r="N1310" i="1"/>
  <c r="M1310" i="1"/>
  <c r="L1310" i="1"/>
  <c r="K1310" i="1"/>
  <c r="I1310" i="1"/>
  <c r="O1309" i="1"/>
  <c r="P1309" i="1" s="1"/>
  <c r="N1309" i="1"/>
  <c r="M1309" i="1"/>
  <c r="L1309" i="1"/>
  <c r="K1309" i="1"/>
  <c r="I1309" i="1"/>
  <c r="O1308" i="1"/>
  <c r="P1308" i="1" s="1"/>
  <c r="N1308" i="1"/>
  <c r="M1308" i="1"/>
  <c r="L1308" i="1"/>
  <c r="K1308" i="1"/>
  <c r="I1308" i="1"/>
  <c r="O1307" i="1"/>
  <c r="P1307" i="1" s="1"/>
  <c r="N1307" i="1"/>
  <c r="M1307" i="1"/>
  <c r="L1307" i="1"/>
  <c r="K1307" i="1"/>
  <c r="I1307" i="1"/>
  <c r="O1306" i="1"/>
  <c r="P1306" i="1" s="1"/>
  <c r="N1306" i="1"/>
  <c r="M1306" i="1"/>
  <c r="L1306" i="1"/>
  <c r="K1306" i="1"/>
  <c r="I1306" i="1"/>
  <c r="O1305" i="1"/>
  <c r="P1305" i="1" s="1"/>
  <c r="N1305" i="1"/>
  <c r="M1305" i="1"/>
  <c r="L1305" i="1"/>
  <c r="K1305" i="1"/>
  <c r="I1305" i="1"/>
  <c r="O1304" i="1"/>
  <c r="P1304" i="1" s="1"/>
  <c r="N1304" i="1"/>
  <c r="M1304" i="1"/>
  <c r="L1304" i="1"/>
  <c r="K1304" i="1"/>
  <c r="I1304" i="1"/>
  <c r="O1303" i="1"/>
  <c r="P1303" i="1" s="1"/>
  <c r="N1303" i="1"/>
  <c r="M1303" i="1"/>
  <c r="L1303" i="1"/>
  <c r="K1303" i="1"/>
  <c r="I1303" i="1"/>
  <c r="O1302" i="1"/>
  <c r="P1302" i="1" s="1"/>
  <c r="N1302" i="1"/>
  <c r="M1302" i="1"/>
  <c r="L1302" i="1"/>
  <c r="K1302" i="1"/>
  <c r="I1302" i="1"/>
  <c r="O1301" i="1"/>
  <c r="P1301" i="1" s="1"/>
  <c r="N1301" i="1"/>
  <c r="M1301" i="1"/>
  <c r="L1301" i="1"/>
  <c r="K1301" i="1"/>
  <c r="I1301" i="1"/>
  <c r="O1300" i="1"/>
  <c r="P1300" i="1" s="1"/>
  <c r="N1300" i="1"/>
  <c r="M1300" i="1"/>
  <c r="L1300" i="1"/>
  <c r="K1300" i="1"/>
  <c r="I1300" i="1"/>
  <c r="O1299" i="1"/>
  <c r="P1299" i="1" s="1"/>
  <c r="N1299" i="1"/>
  <c r="M1299" i="1"/>
  <c r="L1299" i="1"/>
  <c r="K1299" i="1"/>
  <c r="I1299" i="1"/>
  <c r="O1298" i="1"/>
  <c r="P1298" i="1" s="1"/>
  <c r="N1298" i="1"/>
  <c r="M1298" i="1"/>
  <c r="L1298" i="1"/>
  <c r="K1298" i="1"/>
  <c r="I1298" i="1"/>
  <c r="O1297" i="1"/>
  <c r="P1297" i="1" s="1"/>
  <c r="N1297" i="1"/>
  <c r="M1297" i="1"/>
  <c r="L1297" i="1"/>
  <c r="K1297" i="1"/>
  <c r="I1297" i="1"/>
  <c r="O1296" i="1"/>
  <c r="P1296" i="1" s="1"/>
  <c r="N1296" i="1"/>
  <c r="M1296" i="1"/>
  <c r="L1296" i="1"/>
  <c r="K1296" i="1"/>
  <c r="I1296" i="1"/>
  <c r="O1295" i="1"/>
  <c r="P1295" i="1" s="1"/>
  <c r="N1295" i="1"/>
  <c r="M1295" i="1"/>
  <c r="L1295" i="1"/>
  <c r="K1295" i="1"/>
  <c r="I1295" i="1"/>
  <c r="O1294" i="1"/>
  <c r="P1294" i="1" s="1"/>
  <c r="N1294" i="1"/>
  <c r="M1294" i="1"/>
  <c r="L1294" i="1"/>
  <c r="K1294" i="1"/>
  <c r="I1294" i="1"/>
  <c r="O1293" i="1"/>
  <c r="P1293" i="1" s="1"/>
  <c r="N1293" i="1"/>
  <c r="M1293" i="1"/>
  <c r="L1293" i="1"/>
  <c r="K1293" i="1"/>
  <c r="I1293" i="1"/>
  <c r="O1292" i="1"/>
  <c r="P1292" i="1" s="1"/>
  <c r="N1292" i="1"/>
  <c r="M1292" i="1"/>
  <c r="L1292" i="1"/>
  <c r="K1292" i="1"/>
  <c r="I1292" i="1"/>
  <c r="O1291" i="1"/>
  <c r="P1291" i="1" s="1"/>
  <c r="N1291" i="1"/>
  <c r="M1291" i="1"/>
  <c r="L1291" i="1"/>
  <c r="K1291" i="1"/>
  <c r="I1291" i="1"/>
  <c r="O1290" i="1"/>
  <c r="P1290" i="1" s="1"/>
  <c r="N1290" i="1"/>
  <c r="M1290" i="1"/>
  <c r="L1290" i="1"/>
  <c r="K1290" i="1"/>
  <c r="I1290" i="1"/>
  <c r="O1289" i="1"/>
  <c r="P1289" i="1" s="1"/>
  <c r="N1289" i="1"/>
  <c r="M1289" i="1"/>
  <c r="L1289" i="1"/>
  <c r="K1289" i="1"/>
  <c r="I1289" i="1"/>
  <c r="O1288" i="1"/>
  <c r="P1288" i="1" s="1"/>
  <c r="N1288" i="1"/>
  <c r="M1288" i="1"/>
  <c r="L1288" i="1"/>
  <c r="K1288" i="1"/>
  <c r="I1288" i="1"/>
  <c r="O1287" i="1"/>
  <c r="P1287" i="1" s="1"/>
  <c r="N1287" i="1"/>
  <c r="M1287" i="1"/>
  <c r="L1287" i="1"/>
  <c r="K1287" i="1"/>
  <c r="I1287" i="1"/>
  <c r="O1286" i="1"/>
  <c r="P1286" i="1" s="1"/>
  <c r="N1286" i="1"/>
  <c r="M1286" i="1"/>
  <c r="L1286" i="1"/>
  <c r="K1286" i="1"/>
  <c r="I1286" i="1"/>
  <c r="O1285" i="1"/>
  <c r="P1285" i="1" s="1"/>
  <c r="N1285" i="1"/>
  <c r="M1285" i="1"/>
  <c r="L1285" i="1"/>
  <c r="K1285" i="1"/>
  <c r="I1285" i="1"/>
  <c r="O1284" i="1"/>
  <c r="P1284" i="1" s="1"/>
  <c r="N1284" i="1"/>
  <c r="M1284" i="1"/>
  <c r="L1284" i="1"/>
  <c r="K1284" i="1"/>
  <c r="I1284" i="1"/>
  <c r="O1283" i="1"/>
  <c r="P1283" i="1" s="1"/>
  <c r="N1283" i="1"/>
  <c r="M1283" i="1"/>
  <c r="L1283" i="1"/>
  <c r="K1283" i="1"/>
  <c r="I1283" i="1"/>
  <c r="O1282" i="1"/>
  <c r="P1282" i="1" s="1"/>
  <c r="N1282" i="1"/>
  <c r="M1282" i="1"/>
  <c r="L1282" i="1"/>
  <c r="K1282" i="1"/>
  <c r="I1282" i="1"/>
  <c r="O1281" i="1"/>
  <c r="P1281" i="1" s="1"/>
  <c r="N1281" i="1"/>
  <c r="M1281" i="1"/>
  <c r="L1281" i="1"/>
  <c r="K1281" i="1"/>
  <c r="I1281" i="1"/>
  <c r="O1280" i="1"/>
  <c r="P1280" i="1" s="1"/>
  <c r="N1280" i="1"/>
  <c r="M1280" i="1"/>
  <c r="L1280" i="1"/>
  <c r="K1280" i="1"/>
  <c r="I1280" i="1"/>
  <c r="O1279" i="1"/>
  <c r="P1279" i="1" s="1"/>
  <c r="N1279" i="1"/>
  <c r="M1279" i="1"/>
  <c r="L1279" i="1"/>
  <c r="K1279" i="1"/>
  <c r="I1279" i="1"/>
  <c r="O1278" i="1"/>
  <c r="P1278" i="1" s="1"/>
  <c r="N1278" i="1"/>
  <c r="M1278" i="1"/>
  <c r="L1278" i="1"/>
  <c r="K1278" i="1"/>
  <c r="I1278" i="1"/>
  <c r="O1277" i="1"/>
  <c r="P1277" i="1" s="1"/>
  <c r="N1277" i="1"/>
  <c r="M1277" i="1"/>
  <c r="L1277" i="1"/>
  <c r="K1277" i="1"/>
  <c r="I1277" i="1"/>
  <c r="O1276" i="1"/>
  <c r="P1276" i="1" s="1"/>
  <c r="N1276" i="1"/>
  <c r="M1276" i="1"/>
  <c r="L1276" i="1"/>
  <c r="K1276" i="1"/>
  <c r="I1276" i="1"/>
  <c r="O1275" i="1"/>
  <c r="P1275" i="1" s="1"/>
  <c r="N1275" i="1"/>
  <c r="M1275" i="1"/>
  <c r="L1275" i="1"/>
  <c r="K1275" i="1"/>
  <c r="I1275" i="1"/>
  <c r="O1274" i="1"/>
  <c r="P1274" i="1" s="1"/>
  <c r="N1274" i="1"/>
  <c r="M1274" i="1"/>
  <c r="L1274" i="1"/>
  <c r="K1274" i="1"/>
  <c r="I1274" i="1"/>
  <c r="O1273" i="1"/>
  <c r="P1273" i="1" s="1"/>
  <c r="N1273" i="1"/>
  <c r="M1273" i="1"/>
  <c r="L1273" i="1"/>
  <c r="K1273" i="1"/>
  <c r="I1273" i="1"/>
  <c r="O1272" i="1"/>
  <c r="P1272" i="1" s="1"/>
  <c r="N1272" i="1"/>
  <c r="M1272" i="1"/>
  <c r="L1272" i="1"/>
  <c r="K1272" i="1"/>
  <c r="I1272" i="1"/>
  <c r="O1271" i="1"/>
  <c r="P1271" i="1" s="1"/>
  <c r="N1271" i="1"/>
  <c r="M1271" i="1"/>
  <c r="L1271" i="1"/>
  <c r="K1271" i="1"/>
  <c r="I1271" i="1"/>
  <c r="O1270" i="1"/>
  <c r="P1270" i="1" s="1"/>
  <c r="N1270" i="1"/>
  <c r="M1270" i="1"/>
  <c r="L1270" i="1"/>
  <c r="K1270" i="1"/>
  <c r="I1270" i="1"/>
  <c r="O1269" i="1"/>
  <c r="P1269" i="1" s="1"/>
  <c r="N1269" i="1"/>
  <c r="M1269" i="1"/>
  <c r="L1269" i="1"/>
  <c r="K1269" i="1"/>
  <c r="I1269" i="1"/>
  <c r="O1268" i="1"/>
  <c r="P1268" i="1" s="1"/>
  <c r="N1268" i="1"/>
  <c r="M1268" i="1"/>
  <c r="L1268" i="1"/>
  <c r="K1268" i="1"/>
  <c r="I1268" i="1"/>
  <c r="O1267" i="1"/>
  <c r="P1267" i="1" s="1"/>
  <c r="N1267" i="1"/>
  <c r="M1267" i="1"/>
  <c r="L1267" i="1"/>
  <c r="K1267" i="1"/>
  <c r="I1267" i="1"/>
  <c r="O1266" i="1"/>
  <c r="P1266" i="1" s="1"/>
  <c r="N1266" i="1"/>
  <c r="M1266" i="1"/>
  <c r="L1266" i="1"/>
  <c r="K1266" i="1"/>
  <c r="I1266" i="1"/>
  <c r="O1265" i="1"/>
  <c r="P1265" i="1" s="1"/>
  <c r="N1265" i="1"/>
  <c r="M1265" i="1"/>
  <c r="L1265" i="1"/>
  <c r="K1265" i="1"/>
  <c r="I1265" i="1"/>
  <c r="O1264" i="1"/>
  <c r="P1264" i="1" s="1"/>
  <c r="N1264" i="1"/>
  <c r="M1264" i="1"/>
  <c r="L1264" i="1"/>
  <c r="K1264" i="1"/>
  <c r="I1264" i="1"/>
  <c r="O1263" i="1"/>
  <c r="P1263" i="1" s="1"/>
  <c r="N1263" i="1"/>
  <c r="M1263" i="1"/>
  <c r="L1263" i="1"/>
  <c r="K1263" i="1"/>
  <c r="I1263" i="1"/>
  <c r="O1262" i="1"/>
  <c r="P1262" i="1" s="1"/>
  <c r="N1262" i="1"/>
  <c r="M1262" i="1"/>
  <c r="L1262" i="1"/>
  <c r="K1262" i="1"/>
  <c r="I1262" i="1"/>
  <c r="O1261" i="1"/>
  <c r="P1261" i="1" s="1"/>
  <c r="N1261" i="1"/>
  <c r="M1261" i="1"/>
  <c r="L1261" i="1"/>
  <c r="K1261" i="1"/>
  <c r="I1261" i="1"/>
  <c r="O1260" i="1"/>
  <c r="P1260" i="1" s="1"/>
  <c r="N1260" i="1"/>
  <c r="M1260" i="1"/>
  <c r="L1260" i="1"/>
  <c r="K1260" i="1"/>
  <c r="I1260" i="1"/>
  <c r="O1259" i="1"/>
  <c r="P1259" i="1" s="1"/>
  <c r="N1259" i="1"/>
  <c r="M1259" i="1"/>
  <c r="L1259" i="1"/>
  <c r="K1259" i="1"/>
  <c r="I1259" i="1"/>
  <c r="O1258" i="1"/>
  <c r="P1258" i="1" s="1"/>
  <c r="N1258" i="1"/>
  <c r="M1258" i="1"/>
  <c r="L1258" i="1"/>
  <c r="K1258" i="1"/>
  <c r="I1258" i="1"/>
  <c r="O1257" i="1"/>
  <c r="P1257" i="1" s="1"/>
  <c r="N1257" i="1"/>
  <c r="M1257" i="1"/>
  <c r="L1257" i="1"/>
  <c r="K1257" i="1"/>
  <c r="I1257" i="1"/>
  <c r="O1256" i="1"/>
  <c r="P1256" i="1" s="1"/>
  <c r="N1256" i="1"/>
  <c r="M1256" i="1"/>
  <c r="L1256" i="1"/>
  <c r="K1256" i="1"/>
  <c r="I1256" i="1"/>
  <c r="O1255" i="1"/>
  <c r="P1255" i="1" s="1"/>
  <c r="N1255" i="1"/>
  <c r="M1255" i="1"/>
  <c r="L1255" i="1"/>
  <c r="K1255" i="1"/>
  <c r="I1255" i="1"/>
  <c r="O1254" i="1"/>
  <c r="P1254" i="1" s="1"/>
  <c r="N1254" i="1"/>
  <c r="M1254" i="1"/>
  <c r="L1254" i="1"/>
  <c r="K1254" i="1"/>
  <c r="I1254" i="1"/>
  <c r="O1253" i="1"/>
  <c r="P1253" i="1" s="1"/>
  <c r="N1253" i="1"/>
  <c r="M1253" i="1"/>
  <c r="L1253" i="1"/>
  <c r="K1253" i="1"/>
  <c r="I1253" i="1"/>
  <c r="O1252" i="1"/>
  <c r="P1252" i="1" s="1"/>
  <c r="N1252" i="1"/>
  <c r="M1252" i="1"/>
  <c r="L1252" i="1"/>
  <c r="K1252" i="1"/>
  <c r="I1252" i="1"/>
  <c r="O1251" i="1"/>
  <c r="P1251" i="1" s="1"/>
  <c r="N1251" i="1"/>
  <c r="M1251" i="1"/>
  <c r="L1251" i="1"/>
  <c r="K1251" i="1"/>
  <c r="I1251" i="1"/>
  <c r="O1250" i="1"/>
  <c r="P1250" i="1" s="1"/>
  <c r="N1250" i="1"/>
  <c r="M1250" i="1"/>
  <c r="L1250" i="1"/>
  <c r="K1250" i="1"/>
  <c r="I1250" i="1"/>
  <c r="O1249" i="1"/>
  <c r="P1249" i="1" s="1"/>
  <c r="N1249" i="1"/>
  <c r="M1249" i="1"/>
  <c r="L1249" i="1"/>
  <c r="K1249" i="1"/>
  <c r="I1249" i="1"/>
  <c r="O1248" i="1"/>
  <c r="P1248" i="1" s="1"/>
  <c r="N1248" i="1"/>
  <c r="M1248" i="1"/>
  <c r="L1248" i="1"/>
  <c r="K1248" i="1"/>
  <c r="I1248" i="1"/>
  <c r="O1247" i="1"/>
  <c r="P1247" i="1" s="1"/>
  <c r="N1247" i="1"/>
  <c r="M1247" i="1"/>
  <c r="L1247" i="1"/>
  <c r="K1247" i="1"/>
  <c r="I1247" i="1"/>
  <c r="O1246" i="1"/>
  <c r="P1246" i="1" s="1"/>
  <c r="N1246" i="1"/>
  <c r="M1246" i="1"/>
  <c r="L1246" i="1"/>
  <c r="K1246" i="1"/>
  <c r="I1246" i="1"/>
  <c r="O1245" i="1"/>
  <c r="P1245" i="1" s="1"/>
  <c r="N1245" i="1"/>
  <c r="M1245" i="1"/>
  <c r="L1245" i="1"/>
  <c r="K1245" i="1"/>
  <c r="I1245" i="1"/>
  <c r="O1244" i="1"/>
  <c r="P1244" i="1" s="1"/>
  <c r="N1244" i="1"/>
  <c r="M1244" i="1"/>
  <c r="L1244" i="1"/>
  <c r="K1244" i="1"/>
  <c r="I1244" i="1"/>
  <c r="O1243" i="1"/>
  <c r="P1243" i="1" s="1"/>
  <c r="N1243" i="1"/>
  <c r="M1243" i="1"/>
  <c r="L1243" i="1"/>
  <c r="K1243" i="1"/>
  <c r="I1243" i="1"/>
  <c r="O1242" i="1"/>
  <c r="P1242" i="1" s="1"/>
  <c r="N1242" i="1"/>
  <c r="M1242" i="1"/>
  <c r="L1242" i="1"/>
  <c r="K1242" i="1"/>
  <c r="I1242" i="1"/>
  <c r="O1241" i="1"/>
  <c r="P1241" i="1" s="1"/>
  <c r="N1241" i="1"/>
  <c r="M1241" i="1"/>
  <c r="L1241" i="1"/>
  <c r="K1241" i="1"/>
  <c r="I1241" i="1"/>
  <c r="O1240" i="1"/>
  <c r="P1240" i="1" s="1"/>
  <c r="N1240" i="1"/>
  <c r="M1240" i="1"/>
  <c r="L1240" i="1"/>
  <c r="K1240" i="1"/>
  <c r="I1240" i="1"/>
  <c r="O1239" i="1"/>
  <c r="P1239" i="1" s="1"/>
  <c r="N1239" i="1"/>
  <c r="M1239" i="1"/>
  <c r="L1239" i="1"/>
  <c r="K1239" i="1"/>
  <c r="I1239" i="1"/>
  <c r="O1238" i="1"/>
  <c r="P1238" i="1" s="1"/>
  <c r="N1238" i="1"/>
  <c r="M1238" i="1"/>
  <c r="L1238" i="1"/>
  <c r="K1238" i="1"/>
  <c r="I1238" i="1"/>
  <c r="O1237" i="1"/>
  <c r="P1237" i="1" s="1"/>
  <c r="N1237" i="1"/>
  <c r="M1237" i="1"/>
  <c r="L1237" i="1"/>
  <c r="K1237" i="1"/>
  <c r="I1237" i="1"/>
  <c r="O1236" i="1"/>
  <c r="P1236" i="1" s="1"/>
  <c r="N1236" i="1"/>
  <c r="M1236" i="1"/>
  <c r="L1236" i="1"/>
  <c r="K1236" i="1"/>
  <c r="I1236" i="1"/>
  <c r="O1235" i="1"/>
  <c r="P1235" i="1" s="1"/>
  <c r="N1235" i="1"/>
  <c r="M1235" i="1"/>
  <c r="L1235" i="1"/>
  <c r="K1235" i="1"/>
  <c r="I1235" i="1"/>
  <c r="O1234" i="1"/>
  <c r="P1234" i="1" s="1"/>
  <c r="N1234" i="1"/>
  <c r="M1234" i="1"/>
  <c r="L1234" i="1"/>
  <c r="K1234" i="1"/>
  <c r="I1234" i="1"/>
  <c r="O1233" i="1"/>
  <c r="P1233" i="1" s="1"/>
  <c r="N1233" i="1"/>
  <c r="M1233" i="1"/>
  <c r="L1233" i="1"/>
  <c r="K1233" i="1"/>
  <c r="I1233" i="1"/>
  <c r="O1232" i="1"/>
  <c r="P1232" i="1" s="1"/>
  <c r="N1232" i="1"/>
  <c r="M1232" i="1"/>
  <c r="L1232" i="1"/>
  <c r="K1232" i="1"/>
  <c r="I1232" i="1"/>
  <c r="O1231" i="1"/>
  <c r="P1231" i="1" s="1"/>
  <c r="N1231" i="1"/>
  <c r="M1231" i="1"/>
  <c r="L1231" i="1"/>
  <c r="K1231" i="1"/>
  <c r="I1231" i="1"/>
  <c r="O1230" i="1"/>
  <c r="P1230" i="1" s="1"/>
  <c r="N1230" i="1"/>
  <c r="M1230" i="1"/>
  <c r="L1230" i="1"/>
  <c r="K1230" i="1"/>
  <c r="I1230" i="1"/>
  <c r="O1229" i="1"/>
  <c r="P1229" i="1" s="1"/>
  <c r="N1229" i="1"/>
  <c r="M1229" i="1"/>
  <c r="L1229" i="1"/>
  <c r="K1229" i="1"/>
  <c r="I1229" i="1"/>
  <c r="O1228" i="1"/>
  <c r="P1228" i="1" s="1"/>
  <c r="N1228" i="1"/>
  <c r="M1228" i="1"/>
  <c r="L1228" i="1"/>
  <c r="K1228" i="1"/>
  <c r="I1228" i="1"/>
  <c r="O1227" i="1"/>
  <c r="P1227" i="1" s="1"/>
  <c r="N1227" i="1"/>
  <c r="M1227" i="1"/>
  <c r="L1227" i="1"/>
  <c r="K1227" i="1"/>
  <c r="I1227" i="1"/>
  <c r="O1226" i="1"/>
  <c r="P1226" i="1" s="1"/>
  <c r="N1226" i="1"/>
  <c r="M1226" i="1"/>
  <c r="L1226" i="1"/>
  <c r="K1226" i="1"/>
  <c r="I1226" i="1"/>
  <c r="O1225" i="1"/>
  <c r="P1225" i="1" s="1"/>
  <c r="N1225" i="1"/>
  <c r="M1225" i="1"/>
  <c r="L1225" i="1"/>
  <c r="K1225" i="1"/>
  <c r="I1225" i="1"/>
  <c r="O1224" i="1"/>
  <c r="P1224" i="1" s="1"/>
  <c r="N1224" i="1"/>
  <c r="M1224" i="1"/>
  <c r="L1224" i="1"/>
  <c r="K1224" i="1"/>
  <c r="I1224" i="1"/>
  <c r="O1223" i="1"/>
  <c r="P1223" i="1" s="1"/>
  <c r="N1223" i="1"/>
  <c r="M1223" i="1"/>
  <c r="L1223" i="1"/>
  <c r="K1223" i="1"/>
  <c r="I1223" i="1"/>
  <c r="O1222" i="1"/>
  <c r="P1222" i="1" s="1"/>
  <c r="N1222" i="1"/>
  <c r="M1222" i="1"/>
  <c r="L1222" i="1"/>
  <c r="K1222" i="1"/>
  <c r="I1222" i="1"/>
  <c r="O1221" i="1"/>
  <c r="P1221" i="1" s="1"/>
  <c r="N1221" i="1"/>
  <c r="M1221" i="1"/>
  <c r="L1221" i="1"/>
  <c r="K1221" i="1"/>
  <c r="I1221" i="1"/>
  <c r="O1220" i="1"/>
  <c r="P1220" i="1" s="1"/>
  <c r="N1220" i="1"/>
  <c r="M1220" i="1"/>
  <c r="L1220" i="1"/>
  <c r="K1220" i="1"/>
  <c r="I1220" i="1"/>
  <c r="O1219" i="1"/>
  <c r="P1219" i="1" s="1"/>
  <c r="N1219" i="1"/>
  <c r="M1219" i="1"/>
  <c r="L1219" i="1"/>
  <c r="K1219" i="1"/>
  <c r="I1219" i="1"/>
  <c r="O1218" i="1"/>
  <c r="P1218" i="1" s="1"/>
  <c r="N1218" i="1"/>
  <c r="M1218" i="1"/>
  <c r="L1218" i="1"/>
  <c r="K1218" i="1"/>
  <c r="I1218" i="1"/>
  <c r="O1217" i="1"/>
  <c r="P1217" i="1" s="1"/>
  <c r="N1217" i="1"/>
  <c r="M1217" i="1"/>
  <c r="L1217" i="1"/>
  <c r="K1217" i="1"/>
  <c r="I1217" i="1"/>
  <c r="O1216" i="1"/>
  <c r="P1216" i="1" s="1"/>
  <c r="N1216" i="1"/>
  <c r="M1216" i="1"/>
  <c r="L1216" i="1"/>
  <c r="K1216" i="1"/>
  <c r="I1216" i="1"/>
  <c r="O1215" i="1"/>
  <c r="P1215" i="1" s="1"/>
  <c r="N1215" i="1"/>
  <c r="M1215" i="1"/>
  <c r="L1215" i="1"/>
  <c r="K1215" i="1"/>
  <c r="I1215" i="1"/>
  <c r="O1214" i="1"/>
  <c r="P1214" i="1" s="1"/>
  <c r="N1214" i="1"/>
  <c r="M1214" i="1"/>
  <c r="L1214" i="1"/>
  <c r="K1214" i="1"/>
  <c r="I1214" i="1"/>
  <c r="O1213" i="1"/>
  <c r="P1213" i="1" s="1"/>
  <c r="N1213" i="1"/>
  <c r="M1213" i="1"/>
  <c r="L1213" i="1"/>
  <c r="K1213" i="1"/>
  <c r="I1213" i="1"/>
  <c r="O1212" i="1"/>
  <c r="P1212" i="1" s="1"/>
  <c r="N1212" i="1"/>
  <c r="M1212" i="1"/>
  <c r="L1212" i="1"/>
  <c r="K1212" i="1"/>
  <c r="I1212" i="1"/>
  <c r="O1211" i="1"/>
  <c r="P1211" i="1" s="1"/>
  <c r="N1211" i="1"/>
  <c r="M1211" i="1"/>
  <c r="L1211" i="1"/>
  <c r="K1211" i="1"/>
  <c r="I1211" i="1"/>
  <c r="O1210" i="1"/>
  <c r="P1210" i="1" s="1"/>
  <c r="N1210" i="1"/>
  <c r="M1210" i="1"/>
  <c r="L1210" i="1"/>
  <c r="K1210" i="1"/>
  <c r="I1210" i="1"/>
  <c r="O1209" i="1"/>
  <c r="P1209" i="1" s="1"/>
  <c r="N1209" i="1"/>
  <c r="M1209" i="1"/>
  <c r="L1209" i="1"/>
  <c r="K1209" i="1"/>
  <c r="I1209" i="1"/>
  <c r="O1208" i="1"/>
  <c r="P1208" i="1" s="1"/>
  <c r="N1208" i="1"/>
  <c r="M1208" i="1"/>
  <c r="L1208" i="1"/>
  <c r="K1208" i="1"/>
  <c r="I1208" i="1"/>
  <c r="O1207" i="1"/>
  <c r="P1207" i="1" s="1"/>
  <c r="N1207" i="1"/>
  <c r="M1207" i="1"/>
  <c r="L1207" i="1"/>
  <c r="K1207" i="1"/>
  <c r="I1207" i="1"/>
  <c r="O1206" i="1"/>
  <c r="P1206" i="1" s="1"/>
  <c r="N1206" i="1"/>
  <c r="M1206" i="1"/>
  <c r="L1206" i="1"/>
  <c r="K1206" i="1"/>
  <c r="I1206" i="1"/>
  <c r="O1205" i="1"/>
  <c r="P1205" i="1" s="1"/>
  <c r="N1205" i="1"/>
  <c r="M1205" i="1"/>
  <c r="L1205" i="1"/>
  <c r="K1205" i="1"/>
  <c r="I1205" i="1"/>
  <c r="O1204" i="1"/>
  <c r="P1204" i="1" s="1"/>
  <c r="N1204" i="1"/>
  <c r="M1204" i="1"/>
  <c r="L1204" i="1"/>
  <c r="K1204" i="1"/>
  <c r="I1204" i="1"/>
  <c r="O1203" i="1"/>
  <c r="P1203" i="1" s="1"/>
  <c r="N1203" i="1"/>
  <c r="M1203" i="1"/>
  <c r="L1203" i="1"/>
  <c r="K1203" i="1"/>
  <c r="I1203" i="1"/>
  <c r="O1202" i="1"/>
  <c r="P1202" i="1" s="1"/>
  <c r="N1202" i="1"/>
  <c r="M1202" i="1"/>
  <c r="L1202" i="1"/>
  <c r="K1202" i="1"/>
  <c r="I1202" i="1"/>
  <c r="O1201" i="1"/>
  <c r="P1201" i="1" s="1"/>
  <c r="N1201" i="1"/>
  <c r="M1201" i="1"/>
  <c r="L1201" i="1"/>
  <c r="K1201" i="1"/>
  <c r="I1201" i="1"/>
  <c r="O1200" i="1"/>
  <c r="P1200" i="1" s="1"/>
  <c r="N1200" i="1"/>
  <c r="M1200" i="1"/>
  <c r="L1200" i="1"/>
  <c r="K1200" i="1"/>
  <c r="I1200" i="1"/>
  <c r="O1199" i="1"/>
  <c r="P1199" i="1" s="1"/>
  <c r="N1199" i="1"/>
  <c r="M1199" i="1"/>
  <c r="L1199" i="1"/>
  <c r="K1199" i="1"/>
  <c r="I1199" i="1"/>
  <c r="O1198" i="1"/>
  <c r="P1198" i="1" s="1"/>
  <c r="N1198" i="1"/>
  <c r="M1198" i="1"/>
  <c r="L1198" i="1"/>
  <c r="K1198" i="1"/>
  <c r="I1198" i="1"/>
  <c r="O1197" i="1"/>
  <c r="P1197" i="1" s="1"/>
  <c r="N1197" i="1"/>
  <c r="M1197" i="1"/>
  <c r="L1197" i="1"/>
  <c r="K1197" i="1"/>
  <c r="I1197" i="1"/>
  <c r="O1196" i="1"/>
  <c r="P1196" i="1" s="1"/>
  <c r="N1196" i="1"/>
  <c r="M1196" i="1"/>
  <c r="L1196" i="1"/>
  <c r="K1196" i="1"/>
  <c r="I1196" i="1"/>
  <c r="O1195" i="1"/>
  <c r="P1195" i="1" s="1"/>
  <c r="N1195" i="1"/>
  <c r="M1195" i="1"/>
  <c r="L1195" i="1"/>
  <c r="K1195" i="1"/>
  <c r="I1195" i="1"/>
  <c r="O1194" i="1"/>
  <c r="P1194" i="1" s="1"/>
  <c r="N1194" i="1"/>
  <c r="M1194" i="1"/>
  <c r="L1194" i="1"/>
  <c r="K1194" i="1"/>
  <c r="I1194" i="1"/>
  <c r="O1193" i="1"/>
  <c r="P1193" i="1" s="1"/>
  <c r="N1193" i="1"/>
  <c r="M1193" i="1"/>
  <c r="L1193" i="1"/>
  <c r="K1193" i="1"/>
  <c r="I1193" i="1"/>
  <c r="O1192" i="1"/>
  <c r="P1192" i="1" s="1"/>
  <c r="N1192" i="1"/>
  <c r="M1192" i="1"/>
  <c r="L1192" i="1"/>
  <c r="K1192" i="1"/>
  <c r="I1192" i="1"/>
  <c r="O1191" i="1"/>
  <c r="P1191" i="1" s="1"/>
  <c r="N1191" i="1"/>
  <c r="M1191" i="1"/>
  <c r="L1191" i="1"/>
  <c r="K1191" i="1"/>
  <c r="I1191" i="1"/>
  <c r="O1190" i="1"/>
  <c r="P1190" i="1" s="1"/>
  <c r="N1190" i="1"/>
  <c r="M1190" i="1"/>
  <c r="L1190" i="1"/>
  <c r="K1190" i="1"/>
  <c r="I1190" i="1"/>
  <c r="O1189" i="1"/>
  <c r="P1189" i="1" s="1"/>
  <c r="N1189" i="1"/>
  <c r="M1189" i="1"/>
  <c r="L1189" i="1"/>
  <c r="K1189" i="1"/>
  <c r="I1189" i="1"/>
  <c r="O1188" i="1"/>
  <c r="P1188" i="1" s="1"/>
  <c r="N1188" i="1"/>
  <c r="M1188" i="1"/>
  <c r="L1188" i="1"/>
  <c r="K1188" i="1"/>
  <c r="I1188" i="1"/>
  <c r="O1187" i="1"/>
  <c r="P1187" i="1" s="1"/>
  <c r="N1187" i="1"/>
  <c r="M1187" i="1"/>
  <c r="L1187" i="1"/>
  <c r="K1187" i="1"/>
  <c r="I1187" i="1"/>
  <c r="O1186" i="1"/>
  <c r="P1186" i="1" s="1"/>
  <c r="N1186" i="1"/>
  <c r="M1186" i="1"/>
  <c r="L1186" i="1"/>
  <c r="K1186" i="1"/>
  <c r="I1186" i="1"/>
  <c r="O1185" i="1"/>
  <c r="P1185" i="1" s="1"/>
  <c r="N1185" i="1"/>
  <c r="M1185" i="1"/>
  <c r="L1185" i="1"/>
  <c r="K1185" i="1"/>
  <c r="I1185" i="1"/>
  <c r="O1184" i="1"/>
  <c r="P1184" i="1" s="1"/>
  <c r="N1184" i="1"/>
  <c r="M1184" i="1"/>
  <c r="L1184" i="1"/>
  <c r="K1184" i="1"/>
  <c r="I1184" i="1"/>
  <c r="O1183" i="1"/>
  <c r="P1183" i="1" s="1"/>
  <c r="N1183" i="1"/>
  <c r="M1183" i="1"/>
  <c r="L1183" i="1"/>
  <c r="K1183" i="1"/>
  <c r="I1183" i="1"/>
  <c r="O1182" i="1"/>
  <c r="P1182" i="1" s="1"/>
  <c r="N1182" i="1"/>
  <c r="M1182" i="1"/>
  <c r="L1182" i="1"/>
  <c r="K1182" i="1"/>
  <c r="I1182" i="1"/>
  <c r="O1181" i="1"/>
  <c r="P1181" i="1" s="1"/>
  <c r="N1181" i="1"/>
  <c r="M1181" i="1"/>
  <c r="L1181" i="1"/>
  <c r="K1181" i="1"/>
  <c r="I1181" i="1"/>
  <c r="O1180" i="1"/>
  <c r="P1180" i="1" s="1"/>
  <c r="N1180" i="1"/>
  <c r="M1180" i="1"/>
  <c r="L1180" i="1"/>
  <c r="K1180" i="1"/>
  <c r="I1180" i="1"/>
  <c r="O1179" i="1"/>
  <c r="P1179" i="1" s="1"/>
  <c r="N1179" i="1"/>
  <c r="M1179" i="1"/>
  <c r="L1179" i="1"/>
  <c r="K1179" i="1"/>
  <c r="I1179" i="1"/>
  <c r="O1178" i="1"/>
  <c r="P1178" i="1" s="1"/>
  <c r="N1178" i="1"/>
  <c r="M1178" i="1"/>
  <c r="L1178" i="1"/>
  <c r="K1178" i="1"/>
  <c r="I1178" i="1"/>
  <c r="O1177" i="1"/>
  <c r="P1177" i="1" s="1"/>
  <c r="N1177" i="1"/>
  <c r="M1177" i="1"/>
  <c r="L1177" i="1"/>
  <c r="K1177" i="1"/>
  <c r="I1177" i="1"/>
  <c r="O1176" i="1"/>
  <c r="P1176" i="1" s="1"/>
  <c r="N1176" i="1"/>
  <c r="M1176" i="1"/>
  <c r="L1176" i="1"/>
  <c r="K1176" i="1"/>
  <c r="I1176" i="1"/>
  <c r="O1175" i="1"/>
  <c r="P1175" i="1" s="1"/>
  <c r="N1175" i="1"/>
  <c r="M1175" i="1"/>
  <c r="L1175" i="1"/>
  <c r="K1175" i="1"/>
  <c r="I1175" i="1"/>
  <c r="O1174" i="1"/>
  <c r="P1174" i="1" s="1"/>
  <c r="N1174" i="1"/>
  <c r="M1174" i="1"/>
  <c r="L1174" i="1"/>
  <c r="K1174" i="1"/>
  <c r="I1174" i="1"/>
  <c r="O1173" i="1"/>
  <c r="P1173" i="1" s="1"/>
  <c r="N1173" i="1"/>
  <c r="M1173" i="1"/>
  <c r="L1173" i="1"/>
  <c r="K1173" i="1"/>
  <c r="I1173" i="1"/>
  <c r="O1172" i="1"/>
  <c r="P1172" i="1" s="1"/>
  <c r="N1172" i="1"/>
  <c r="M1172" i="1"/>
  <c r="L1172" i="1"/>
  <c r="K1172" i="1"/>
  <c r="I1172" i="1"/>
  <c r="O1171" i="1"/>
  <c r="P1171" i="1" s="1"/>
  <c r="N1171" i="1"/>
  <c r="M1171" i="1"/>
  <c r="L1171" i="1"/>
  <c r="K1171" i="1"/>
  <c r="I1171" i="1"/>
  <c r="O1170" i="1"/>
  <c r="P1170" i="1" s="1"/>
  <c r="N1170" i="1"/>
  <c r="M1170" i="1"/>
  <c r="L1170" i="1"/>
  <c r="K1170" i="1"/>
  <c r="I1170" i="1"/>
  <c r="O1169" i="1"/>
  <c r="P1169" i="1" s="1"/>
  <c r="N1169" i="1"/>
  <c r="M1169" i="1"/>
  <c r="L1169" i="1"/>
  <c r="K1169" i="1"/>
  <c r="I1169" i="1"/>
  <c r="O1168" i="1"/>
  <c r="P1168" i="1" s="1"/>
  <c r="N1168" i="1"/>
  <c r="M1168" i="1"/>
  <c r="L1168" i="1"/>
  <c r="K1168" i="1"/>
  <c r="I1168" i="1"/>
  <c r="O1167" i="1"/>
  <c r="P1167" i="1" s="1"/>
  <c r="N1167" i="1"/>
  <c r="M1167" i="1"/>
  <c r="L1167" i="1"/>
  <c r="K1167" i="1"/>
  <c r="I1167" i="1"/>
  <c r="O1166" i="1"/>
  <c r="P1166" i="1" s="1"/>
  <c r="N1166" i="1"/>
  <c r="M1166" i="1"/>
  <c r="L1166" i="1"/>
  <c r="K1166" i="1"/>
  <c r="I1166" i="1"/>
  <c r="O1165" i="1"/>
  <c r="P1165" i="1" s="1"/>
  <c r="N1165" i="1"/>
  <c r="M1165" i="1"/>
  <c r="L1165" i="1"/>
  <c r="K1165" i="1"/>
  <c r="I1165" i="1"/>
  <c r="O1164" i="1"/>
  <c r="P1164" i="1" s="1"/>
  <c r="N1164" i="1"/>
  <c r="M1164" i="1"/>
  <c r="L1164" i="1"/>
  <c r="K1164" i="1"/>
  <c r="I1164" i="1"/>
  <c r="O1163" i="1"/>
  <c r="P1163" i="1" s="1"/>
  <c r="N1163" i="1"/>
  <c r="M1163" i="1"/>
  <c r="L1163" i="1"/>
  <c r="K1163" i="1"/>
  <c r="I1163" i="1"/>
  <c r="O1162" i="1"/>
  <c r="P1162" i="1" s="1"/>
  <c r="N1162" i="1"/>
  <c r="M1162" i="1"/>
  <c r="L1162" i="1"/>
  <c r="K1162" i="1"/>
  <c r="I1162" i="1"/>
  <c r="O1161" i="1"/>
  <c r="P1161" i="1" s="1"/>
  <c r="N1161" i="1"/>
  <c r="M1161" i="1"/>
  <c r="L1161" i="1"/>
  <c r="K1161" i="1"/>
  <c r="I1161" i="1"/>
  <c r="O1160" i="1"/>
  <c r="P1160" i="1" s="1"/>
  <c r="N1160" i="1"/>
  <c r="M1160" i="1"/>
  <c r="L1160" i="1"/>
  <c r="K1160" i="1"/>
  <c r="I1160" i="1"/>
  <c r="O1159" i="1"/>
  <c r="P1159" i="1" s="1"/>
  <c r="N1159" i="1"/>
  <c r="M1159" i="1"/>
  <c r="L1159" i="1"/>
  <c r="K1159" i="1"/>
  <c r="I1159" i="1"/>
  <c r="O1158" i="1"/>
  <c r="P1158" i="1" s="1"/>
  <c r="N1158" i="1"/>
  <c r="M1158" i="1"/>
  <c r="L1158" i="1"/>
  <c r="K1158" i="1"/>
  <c r="I1158" i="1"/>
  <c r="O1157" i="1"/>
  <c r="P1157" i="1" s="1"/>
  <c r="N1157" i="1"/>
  <c r="M1157" i="1"/>
  <c r="L1157" i="1"/>
  <c r="K1157" i="1"/>
  <c r="I1157" i="1"/>
  <c r="O1156" i="1"/>
  <c r="P1156" i="1" s="1"/>
  <c r="N1156" i="1"/>
  <c r="M1156" i="1"/>
  <c r="L1156" i="1"/>
  <c r="K1156" i="1"/>
  <c r="I1156" i="1"/>
  <c r="O1155" i="1"/>
  <c r="P1155" i="1" s="1"/>
  <c r="N1155" i="1"/>
  <c r="M1155" i="1"/>
  <c r="L1155" i="1"/>
  <c r="K1155" i="1"/>
  <c r="I1155" i="1"/>
  <c r="O1154" i="1"/>
  <c r="P1154" i="1" s="1"/>
  <c r="N1154" i="1"/>
  <c r="M1154" i="1"/>
  <c r="L1154" i="1"/>
  <c r="K1154" i="1"/>
  <c r="I1154" i="1"/>
  <c r="O1153" i="1"/>
  <c r="P1153" i="1" s="1"/>
  <c r="N1153" i="1"/>
  <c r="M1153" i="1"/>
  <c r="L1153" i="1"/>
  <c r="K1153" i="1"/>
  <c r="I1153" i="1"/>
  <c r="O1152" i="1"/>
  <c r="P1152" i="1" s="1"/>
  <c r="N1152" i="1"/>
  <c r="M1152" i="1"/>
  <c r="L1152" i="1"/>
  <c r="K1152" i="1"/>
  <c r="I1152" i="1"/>
  <c r="O1151" i="1"/>
  <c r="P1151" i="1" s="1"/>
  <c r="N1151" i="1"/>
  <c r="M1151" i="1"/>
  <c r="L1151" i="1"/>
  <c r="K1151" i="1"/>
  <c r="I1151" i="1"/>
  <c r="O1150" i="1"/>
  <c r="P1150" i="1" s="1"/>
  <c r="N1150" i="1"/>
  <c r="M1150" i="1"/>
  <c r="L1150" i="1"/>
  <c r="K1150" i="1"/>
  <c r="I1150" i="1"/>
  <c r="O1149" i="1"/>
  <c r="P1149" i="1" s="1"/>
  <c r="N1149" i="1"/>
  <c r="M1149" i="1"/>
  <c r="L1149" i="1"/>
  <c r="K1149" i="1"/>
  <c r="I1149" i="1"/>
  <c r="O1148" i="1"/>
  <c r="P1148" i="1" s="1"/>
  <c r="N1148" i="1"/>
  <c r="M1148" i="1"/>
  <c r="L1148" i="1"/>
  <c r="K1148" i="1"/>
  <c r="I1148" i="1"/>
  <c r="O1147" i="1"/>
  <c r="P1147" i="1" s="1"/>
  <c r="N1147" i="1"/>
  <c r="M1147" i="1"/>
  <c r="L1147" i="1"/>
  <c r="K1147" i="1"/>
  <c r="I1147" i="1"/>
  <c r="O1146" i="1"/>
  <c r="P1146" i="1" s="1"/>
  <c r="N1146" i="1"/>
  <c r="M1146" i="1"/>
  <c r="L1146" i="1"/>
  <c r="K1146" i="1"/>
  <c r="I1146" i="1"/>
  <c r="O1145" i="1"/>
  <c r="P1145" i="1" s="1"/>
  <c r="N1145" i="1"/>
  <c r="M1145" i="1"/>
  <c r="L1145" i="1"/>
  <c r="K1145" i="1"/>
  <c r="I1145" i="1"/>
  <c r="O1144" i="1"/>
  <c r="P1144" i="1" s="1"/>
  <c r="N1144" i="1"/>
  <c r="M1144" i="1"/>
  <c r="L1144" i="1"/>
  <c r="K1144" i="1"/>
  <c r="I1144" i="1"/>
  <c r="O1143" i="1"/>
  <c r="P1143" i="1" s="1"/>
  <c r="N1143" i="1"/>
  <c r="M1143" i="1"/>
  <c r="L1143" i="1"/>
  <c r="K1143" i="1"/>
  <c r="I1143" i="1"/>
  <c r="O1142" i="1"/>
  <c r="P1142" i="1" s="1"/>
  <c r="N1142" i="1"/>
  <c r="M1142" i="1"/>
  <c r="L1142" i="1"/>
  <c r="K1142" i="1"/>
  <c r="I1142" i="1"/>
  <c r="O1141" i="1"/>
  <c r="P1141" i="1" s="1"/>
  <c r="N1141" i="1"/>
  <c r="M1141" i="1"/>
  <c r="L1141" i="1"/>
  <c r="K1141" i="1"/>
  <c r="I1141" i="1"/>
  <c r="O1140" i="1"/>
  <c r="P1140" i="1" s="1"/>
  <c r="N1140" i="1"/>
  <c r="M1140" i="1"/>
  <c r="L1140" i="1"/>
  <c r="K1140" i="1"/>
  <c r="I1140" i="1"/>
  <c r="O1139" i="1"/>
  <c r="P1139" i="1" s="1"/>
  <c r="N1139" i="1"/>
  <c r="M1139" i="1"/>
  <c r="L1139" i="1"/>
  <c r="K1139" i="1"/>
  <c r="I1139" i="1"/>
  <c r="O1138" i="1"/>
  <c r="P1138" i="1" s="1"/>
  <c r="N1138" i="1"/>
  <c r="M1138" i="1"/>
  <c r="L1138" i="1"/>
  <c r="K1138" i="1"/>
  <c r="I1138" i="1"/>
  <c r="O1137" i="1"/>
  <c r="P1137" i="1" s="1"/>
  <c r="N1137" i="1"/>
  <c r="M1137" i="1"/>
  <c r="L1137" i="1"/>
  <c r="K1137" i="1"/>
  <c r="I1137" i="1"/>
  <c r="O1136" i="1"/>
  <c r="P1136" i="1" s="1"/>
  <c r="N1136" i="1"/>
  <c r="M1136" i="1"/>
  <c r="L1136" i="1"/>
  <c r="K1136" i="1"/>
  <c r="I1136" i="1"/>
  <c r="O1135" i="1"/>
  <c r="P1135" i="1" s="1"/>
  <c r="N1135" i="1"/>
  <c r="M1135" i="1"/>
  <c r="L1135" i="1"/>
  <c r="K1135" i="1"/>
  <c r="I1135" i="1"/>
  <c r="O1134" i="1"/>
  <c r="P1134" i="1" s="1"/>
  <c r="N1134" i="1"/>
  <c r="M1134" i="1"/>
  <c r="L1134" i="1"/>
  <c r="K1134" i="1"/>
  <c r="I1134" i="1"/>
  <c r="O1133" i="1"/>
  <c r="P1133" i="1" s="1"/>
  <c r="N1133" i="1"/>
  <c r="M1133" i="1"/>
  <c r="L1133" i="1"/>
  <c r="K1133" i="1"/>
  <c r="I1133" i="1"/>
  <c r="O1132" i="1"/>
  <c r="P1132" i="1" s="1"/>
  <c r="N1132" i="1"/>
  <c r="M1132" i="1"/>
  <c r="L1132" i="1"/>
  <c r="K1132" i="1"/>
  <c r="I1132" i="1"/>
  <c r="O1131" i="1"/>
  <c r="P1131" i="1" s="1"/>
  <c r="N1131" i="1"/>
  <c r="M1131" i="1"/>
  <c r="L1131" i="1"/>
  <c r="K1131" i="1"/>
  <c r="I1131" i="1"/>
  <c r="O1130" i="1"/>
  <c r="P1130" i="1" s="1"/>
  <c r="N1130" i="1"/>
  <c r="M1130" i="1"/>
  <c r="L1130" i="1"/>
  <c r="K1130" i="1"/>
  <c r="I1130" i="1"/>
  <c r="O1129" i="1"/>
  <c r="P1129" i="1" s="1"/>
  <c r="N1129" i="1"/>
  <c r="M1129" i="1"/>
  <c r="L1129" i="1"/>
  <c r="K1129" i="1"/>
  <c r="I1129" i="1"/>
  <c r="O1128" i="1"/>
  <c r="P1128" i="1" s="1"/>
  <c r="N1128" i="1"/>
  <c r="M1128" i="1"/>
  <c r="L1128" i="1"/>
  <c r="K1128" i="1"/>
  <c r="I1128" i="1"/>
  <c r="O1127" i="1"/>
  <c r="P1127" i="1" s="1"/>
  <c r="N1127" i="1"/>
  <c r="M1127" i="1"/>
  <c r="L1127" i="1"/>
  <c r="K1127" i="1"/>
  <c r="I1127" i="1"/>
  <c r="O1126" i="1"/>
  <c r="P1126" i="1" s="1"/>
  <c r="N1126" i="1"/>
  <c r="M1126" i="1"/>
  <c r="L1126" i="1"/>
  <c r="K1126" i="1"/>
  <c r="I1126" i="1"/>
  <c r="O1125" i="1"/>
  <c r="P1125" i="1" s="1"/>
  <c r="N1125" i="1"/>
  <c r="M1125" i="1"/>
  <c r="L1125" i="1"/>
  <c r="K1125" i="1"/>
  <c r="I1125" i="1"/>
  <c r="O1124" i="1"/>
  <c r="P1124" i="1" s="1"/>
  <c r="N1124" i="1"/>
  <c r="M1124" i="1"/>
  <c r="L1124" i="1"/>
  <c r="K1124" i="1"/>
  <c r="I1124" i="1"/>
  <c r="O1123" i="1"/>
  <c r="P1123" i="1" s="1"/>
  <c r="N1123" i="1"/>
  <c r="M1123" i="1"/>
  <c r="L1123" i="1"/>
  <c r="K1123" i="1"/>
  <c r="I1123" i="1"/>
  <c r="O1122" i="1"/>
  <c r="P1122" i="1" s="1"/>
  <c r="N1122" i="1"/>
  <c r="M1122" i="1"/>
  <c r="L1122" i="1"/>
  <c r="K1122" i="1"/>
  <c r="I1122" i="1"/>
  <c r="O1121" i="1"/>
  <c r="P1121" i="1" s="1"/>
  <c r="N1121" i="1"/>
  <c r="M1121" i="1"/>
  <c r="L1121" i="1"/>
  <c r="K1121" i="1"/>
  <c r="I1121" i="1"/>
  <c r="O1120" i="1"/>
  <c r="P1120" i="1" s="1"/>
  <c r="N1120" i="1"/>
  <c r="M1120" i="1"/>
  <c r="L1120" i="1"/>
  <c r="K1120" i="1"/>
  <c r="I1120" i="1"/>
  <c r="O1119" i="1"/>
  <c r="P1119" i="1" s="1"/>
  <c r="N1119" i="1"/>
  <c r="M1119" i="1"/>
  <c r="L1119" i="1"/>
  <c r="K1119" i="1"/>
  <c r="I1119" i="1"/>
  <c r="O1118" i="1"/>
  <c r="P1118" i="1" s="1"/>
  <c r="N1118" i="1"/>
  <c r="M1118" i="1"/>
  <c r="L1118" i="1"/>
  <c r="K1118" i="1"/>
  <c r="I1118" i="1"/>
  <c r="O1117" i="1"/>
  <c r="P1117" i="1" s="1"/>
  <c r="N1117" i="1"/>
  <c r="M1117" i="1"/>
  <c r="L1117" i="1"/>
  <c r="K1117" i="1"/>
  <c r="I1117" i="1"/>
  <c r="O1116" i="1"/>
  <c r="P1116" i="1" s="1"/>
  <c r="N1116" i="1"/>
  <c r="M1116" i="1"/>
  <c r="L1116" i="1"/>
  <c r="K1116" i="1"/>
  <c r="I1116" i="1"/>
  <c r="O1115" i="1"/>
  <c r="P1115" i="1" s="1"/>
  <c r="N1115" i="1"/>
  <c r="M1115" i="1"/>
  <c r="L1115" i="1"/>
  <c r="K1115" i="1"/>
  <c r="I1115" i="1"/>
  <c r="O1114" i="1"/>
  <c r="P1114" i="1" s="1"/>
  <c r="N1114" i="1"/>
  <c r="M1114" i="1"/>
  <c r="L1114" i="1"/>
  <c r="K1114" i="1"/>
  <c r="I1114" i="1"/>
  <c r="O1113" i="1"/>
  <c r="P1113" i="1" s="1"/>
  <c r="N1113" i="1"/>
  <c r="M1113" i="1"/>
  <c r="L1113" i="1"/>
  <c r="K1113" i="1"/>
  <c r="I1113" i="1"/>
  <c r="O1112" i="1"/>
  <c r="P1112" i="1" s="1"/>
  <c r="N1112" i="1"/>
  <c r="M1112" i="1"/>
  <c r="L1112" i="1"/>
  <c r="K1112" i="1"/>
  <c r="I1112" i="1"/>
  <c r="O1111" i="1"/>
  <c r="P1111" i="1" s="1"/>
  <c r="N1111" i="1"/>
  <c r="M1111" i="1"/>
  <c r="L1111" i="1"/>
  <c r="K1111" i="1"/>
  <c r="I1111" i="1"/>
  <c r="O1110" i="1"/>
  <c r="P1110" i="1" s="1"/>
  <c r="N1110" i="1"/>
  <c r="M1110" i="1"/>
  <c r="L1110" i="1"/>
  <c r="K1110" i="1"/>
  <c r="I1110" i="1"/>
  <c r="O1109" i="1"/>
  <c r="P1109" i="1" s="1"/>
  <c r="N1109" i="1"/>
  <c r="M1109" i="1"/>
  <c r="L1109" i="1"/>
  <c r="K1109" i="1"/>
  <c r="I1109" i="1"/>
  <c r="O1108" i="1"/>
  <c r="P1108" i="1" s="1"/>
  <c r="N1108" i="1"/>
  <c r="M1108" i="1"/>
  <c r="L1108" i="1"/>
  <c r="K1108" i="1"/>
  <c r="I1108" i="1"/>
  <c r="O1107" i="1"/>
  <c r="P1107" i="1" s="1"/>
  <c r="N1107" i="1"/>
  <c r="M1107" i="1"/>
  <c r="L1107" i="1"/>
  <c r="K1107" i="1"/>
  <c r="I1107" i="1"/>
  <c r="O1106" i="1"/>
  <c r="P1106" i="1" s="1"/>
  <c r="N1106" i="1"/>
  <c r="M1106" i="1"/>
  <c r="L1106" i="1"/>
  <c r="K1106" i="1"/>
  <c r="I1106" i="1"/>
  <c r="O1105" i="1"/>
  <c r="P1105" i="1" s="1"/>
  <c r="N1105" i="1"/>
  <c r="M1105" i="1"/>
  <c r="L1105" i="1"/>
  <c r="K1105" i="1"/>
  <c r="I1105" i="1"/>
  <c r="O1104" i="1"/>
  <c r="P1104" i="1" s="1"/>
  <c r="N1104" i="1"/>
  <c r="M1104" i="1"/>
  <c r="L1104" i="1"/>
  <c r="K1104" i="1"/>
  <c r="I1104" i="1"/>
  <c r="O1103" i="1"/>
  <c r="P1103" i="1" s="1"/>
  <c r="N1103" i="1"/>
  <c r="M1103" i="1"/>
  <c r="L1103" i="1"/>
  <c r="K1103" i="1"/>
  <c r="I1103" i="1"/>
  <c r="O1102" i="1"/>
  <c r="P1102" i="1" s="1"/>
  <c r="N1102" i="1"/>
  <c r="M1102" i="1"/>
  <c r="L1102" i="1"/>
  <c r="K1102" i="1"/>
  <c r="I1102" i="1"/>
  <c r="O1101" i="1"/>
  <c r="P1101" i="1" s="1"/>
  <c r="N1101" i="1"/>
  <c r="M1101" i="1"/>
  <c r="L1101" i="1"/>
  <c r="K1101" i="1"/>
  <c r="I1101" i="1"/>
  <c r="O1100" i="1"/>
  <c r="P1100" i="1" s="1"/>
  <c r="N1100" i="1"/>
  <c r="M1100" i="1"/>
  <c r="L1100" i="1"/>
  <c r="K1100" i="1"/>
  <c r="I1100" i="1"/>
  <c r="O1099" i="1"/>
  <c r="P1099" i="1" s="1"/>
  <c r="N1099" i="1"/>
  <c r="M1099" i="1"/>
  <c r="L1099" i="1"/>
  <c r="K1099" i="1"/>
  <c r="I1099" i="1"/>
  <c r="O1098" i="1"/>
  <c r="P1098" i="1" s="1"/>
  <c r="N1098" i="1"/>
  <c r="M1098" i="1"/>
  <c r="L1098" i="1"/>
  <c r="K1098" i="1"/>
  <c r="I1098" i="1"/>
  <c r="O1097" i="1"/>
  <c r="P1097" i="1" s="1"/>
  <c r="N1097" i="1"/>
  <c r="M1097" i="1"/>
  <c r="L1097" i="1"/>
  <c r="K1097" i="1"/>
  <c r="I1097" i="1"/>
  <c r="O1096" i="1"/>
  <c r="P1096" i="1" s="1"/>
  <c r="N1096" i="1"/>
  <c r="M1096" i="1"/>
  <c r="L1096" i="1"/>
  <c r="K1096" i="1"/>
  <c r="I1096" i="1"/>
  <c r="O1095" i="1"/>
  <c r="P1095" i="1" s="1"/>
  <c r="N1095" i="1"/>
  <c r="M1095" i="1"/>
  <c r="L1095" i="1"/>
  <c r="K1095" i="1"/>
  <c r="I1095" i="1"/>
  <c r="O1094" i="1"/>
  <c r="P1094" i="1" s="1"/>
  <c r="N1094" i="1"/>
  <c r="M1094" i="1"/>
  <c r="L1094" i="1"/>
  <c r="K1094" i="1"/>
  <c r="I1094" i="1"/>
  <c r="O1093" i="1"/>
  <c r="P1093" i="1" s="1"/>
  <c r="N1093" i="1"/>
  <c r="M1093" i="1"/>
  <c r="L1093" i="1"/>
  <c r="K1093" i="1"/>
  <c r="I1093" i="1"/>
  <c r="O1092" i="1"/>
  <c r="P1092" i="1" s="1"/>
  <c r="N1092" i="1"/>
  <c r="M1092" i="1"/>
  <c r="L1092" i="1"/>
  <c r="K1092" i="1"/>
  <c r="I1092" i="1"/>
  <c r="O1091" i="1"/>
  <c r="P1091" i="1" s="1"/>
  <c r="N1091" i="1"/>
  <c r="M1091" i="1"/>
  <c r="L1091" i="1"/>
  <c r="K1091" i="1"/>
  <c r="I1091" i="1"/>
  <c r="O1090" i="1"/>
  <c r="P1090" i="1" s="1"/>
  <c r="N1090" i="1"/>
  <c r="M1090" i="1"/>
  <c r="L1090" i="1"/>
  <c r="K1090" i="1"/>
  <c r="I1090" i="1"/>
  <c r="O1089" i="1"/>
  <c r="P1089" i="1" s="1"/>
  <c r="N1089" i="1"/>
  <c r="M1089" i="1"/>
  <c r="L1089" i="1"/>
  <c r="K1089" i="1"/>
  <c r="I1089" i="1"/>
  <c r="O1088" i="1"/>
  <c r="P1088" i="1" s="1"/>
  <c r="N1088" i="1"/>
  <c r="M1088" i="1"/>
  <c r="L1088" i="1"/>
  <c r="K1088" i="1"/>
  <c r="I1088" i="1"/>
  <c r="O1087" i="1"/>
  <c r="P1087" i="1" s="1"/>
  <c r="N1087" i="1"/>
  <c r="M1087" i="1"/>
  <c r="L1087" i="1"/>
  <c r="K1087" i="1"/>
  <c r="I1087" i="1"/>
  <c r="O1086" i="1"/>
  <c r="P1086" i="1" s="1"/>
  <c r="N1086" i="1"/>
  <c r="M1086" i="1"/>
  <c r="L1086" i="1"/>
  <c r="K1086" i="1"/>
  <c r="I1086" i="1"/>
  <c r="O1085" i="1"/>
  <c r="P1085" i="1" s="1"/>
  <c r="N1085" i="1"/>
  <c r="M1085" i="1"/>
  <c r="L1085" i="1"/>
  <c r="K1085" i="1"/>
  <c r="I1085" i="1"/>
  <c r="O1084" i="1"/>
  <c r="P1084" i="1" s="1"/>
  <c r="N1084" i="1"/>
  <c r="M1084" i="1"/>
  <c r="L1084" i="1"/>
  <c r="K1084" i="1"/>
  <c r="I1084" i="1"/>
  <c r="O1083" i="1"/>
  <c r="P1083" i="1" s="1"/>
  <c r="N1083" i="1"/>
  <c r="M1083" i="1"/>
  <c r="L1083" i="1"/>
  <c r="K1083" i="1"/>
  <c r="I1083" i="1"/>
  <c r="O1082" i="1"/>
  <c r="P1082" i="1" s="1"/>
  <c r="N1082" i="1"/>
  <c r="M1082" i="1"/>
  <c r="L1082" i="1"/>
  <c r="K1082" i="1"/>
  <c r="I1082" i="1"/>
  <c r="O1081" i="1"/>
  <c r="P1081" i="1" s="1"/>
  <c r="N1081" i="1"/>
  <c r="M1081" i="1"/>
  <c r="L1081" i="1"/>
  <c r="K1081" i="1"/>
  <c r="I1081" i="1"/>
  <c r="O1080" i="1"/>
  <c r="P1080" i="1" s="1"/>
  <c r="N1080" i="1"/>
  <c r="M1080" i="1"/>
  <c r="L1080" i="1"/>
  <c r="K1080" i="1"/>
  <c r="I1080" i="1"/>
  <c r="O1079" i="1"/>
  <c r="P1079" i="1" s="1"/>
  <c r="N1079" i="1"/>
  <c r="M1079" i="1"/>
  <c r="L1079" i="1"/>
  <c r="K1079" i="1"/>
  <c r="I1079" i="1"/>
  <c r="O1078" i="1"/>
  <c r="P1078" i="1" s="1"/>
  <c r="N1078" i="1"/>
  <c r="M1078" i="1"/>
  <c r="L1078" i="1"/>
  <c r="K1078" i="1"/>
  <c r="I1078" i="1"/>
  <c r="O1077" i="1"/>
  <c r="P1077" i="1" s="1"/>
  <c r="N1077" i="1"/>
  <c r="M1077" i="1"/>
  <c r="L1077" i="1"/>
  <c r="K1077" i="1"/>
  <c r="I1077" i="1"/>
  <c r="O1076" i="1"/>
  <c r="P1076" i="1" s="1"/>
  <c r="N1076" i="1"/>
  <c r="M1076" i="1"/>
  <c r="L1076" i="1"/>
  <c r="K1076" i="1"/>
  <c r="I1076" i="1"/>
  <c r="O1075" i="1"/>
  <c r="P1075" i="1" s="1"/>
  <c r="N1075" i="1"/>
  <c r="M1075" i="1"/>
  <c r="L1075" i="1"/>
  <c r="K1075" i="1"/>
  <c r="I1075" i="1"/>
  <c r="O1074" i="1"/>
  <c r="P1074" i="1" s="1"/>
  <c r="N1074" i="1"/>
  <c r="M1074" i="1"/>
  <c r="L1074" i="1"/>
  <c r="K1074" i="1"/>
  <c r="I1074" i="1"/>
  <c r="O1073" i="1"/>
  <c r="P1073" i="1" s="1"/>
  <c r="N1073" i="1"/>
  <c r="M1073" i="1"/>
  <c r="L1073" i="1"/>
  <c r="K1073" i="1"/>
  <c r="I1073" i="1"/>
  <c r="O1072" i="1"/>
  <c r="P1072" i="1" s="1"/>
  <c r="N1072" i="1"/>
  <c r="M1072" i="1"/>
  <c r="L1072" i="1"/>
  <c r="K1072" i="1"/>
  <c r="I1072" i="1"/>
  <c r="O1071" i="1"/>
  <c r="P1071" i="1" s="1"/>
  <c r="N1071" i="1"/>
  <c r="M1071" i="1"/>
  <c r="L1071" i="1"/>
  <c r="K1071" i="1"/>
  <c r="I1071" i="1"/>
  <c r="O1070" i="1"/>
  <c r="P1070" i="1" s="1"/>
  <c r="N1070" i="1"/>
  <c r="M1070" i="1"/>
  <c r="L1070" i="1"/>
  <c r="K1070" i="1"/>
  <c r="I1070" i="1"/>
  <c r="O1069" i="1"/>
  <c r="P1069" i="1" s="1"/>
  <c r="N1069" i="1"/>
  <c r="M1069" i="1"/>
  <c r="L1069" i="1"/>
  <c r="K1069" i="1"/>
  <c r="I1069" i="1"/>
  <c r="O1068" i="1"/>
  <c r="P1068" i="1" s="1"/>
  <c r="N1068" i="1"/>
  <c r="M1068" i="1"/>
  <c r="L1068" i="1"/>
  <c r="K1068" i="1"/>
  <c r="I1068" i="1"/>
  <c r="O1067" i="1"/>
  <c r="P1067" i="1" s="1"/>
  <c r="N1067" i="1"/>
  <c r="M1067" i="1"/>
  <c r="L1067" i="1"/>
  <c r="K1067" i="1"/>
  <c r="I1067" i="1"/>
  <c r="O1066" i="1"/>
  <c r="P1066" i="1" s="1"/>
  <c r="N1066" i="1"/>
  <c r="M1066" i="1"/>
  <c r="L1066" i="1"/>
  <c r="K1066" i="1"/>
  <c r="I1066" i="1"/>
  <c r="O1065" i="1"/>
  <c r="P1065" i="1" s="1"/>
  <c r="N1065" i="1"/>
  <c r="M1065" i="1"/>
  <c r="L1065" i="1"/>
  <c r="K1065" i="1"/>
  <c r="I1065" i="1"/>
  <c r="O1064" i="1"/>
  <c r="P1064" i="1" s="1"/>
  <c r="N1064" i="1"/>
  <c r="M1064" i="1"/>
  <c r="L1064" i="1"/>
  <c r="K1064" i="1"/>
  <c r="I1064" i="1"/>
  <c r="O1063" i="1"/>
  <c r="P1063" i="1" s="1"/>
  <c r="N1063" i="1"/>
  <c r="M1063" i="1"/>
  <c r="L1063" i="1"/>
  <c r="K1063" i="1"/>
  <c r="I1063" i="1"/>
  <c r="O1062" i="1"/>
  <c r="P1062" i="1" s="1"/>
  <c r="N1062" i="1"/>
  <c r="M1062" i="1"/>
  <c r="L1062" i="1"/>
  <c r="K1062" i="1"/>
  <c r="I1062" i="1"/>
  <c r="O1061" i="1"/>
  <c r="P1061" i="1" s="1"/>
  <c r="N1061" i="1"/>
  <c r="M1061" i="1"/>
  <c r="L1061" i="1"/>
  <c r="K1061" i="1"/>
  <c r="I1061" i="1"/>
  <c r="O1060" i="1"/>
  <c r="P1060" i="1" s="1"/>
  <c r="N1060" i="1"/>
  <c r="M1060" i="1"/>
  <c r="L1060" i="1"/>
  <c r="K1060" i="1"/>
  <c r="I1060" i="1"/>
  <c r="O1059" i="1"/>
  <c r="P1059" i="1" s="1"/>
  <c r="N1059" i="1"/>
  <c r="M1059" i="1"/>
  <c r="L1059" i="1"/>
  <c r="K1059" i="1"/>
  <c r="I1059" i="1"/>
  <c r="O1058" i="1"/>
  <c r="P1058" i="1" s="1"/>
  <c r="N1058" i="1"/>
  <c r="M1058" i="1"/>
  <c r="L1058" i="1"/>
  <c r="K1058" i="1"/>
  <c r="I1058" i="1"/>
  <c r="O1057" i="1"/>
  <c r="P1057" i="1" s="1"/>
  <c r="N1057" i="1"/>
  <c r="M1057" i="1"/>
  <c r="L1057" i="1"/>
  <c r="K1057" i="1"/>
  <c r="I1057" i="1"/>
  <c r="O1056" i="1"/>
  <c r="P1056" i="1" s="1"/>
  <c r="N1056" i="1"/>
  <c r="M1056" i="1"/>
  <c r="L1056" i="1"/>
  <c r="K1056" i="1"/>
  <c r="I1056" i="1"/>
  <c r="O1055" i="1"/>
  <c r="P1055" i="1" s="1"/>
  <c r="N1055" i="1"/>
  <c r="M1055" i="1"/>
  <c r="L1055" i="1"/>
  <c r="K1055" i="1"/>
  <c r="I1055" i="1"/>
  <c r="O1054" i="1"/>
  <c r="P1054" i="1" s="1"/>
  <c r="N1054" i="1"/>
  <c r="M1054" i="1"/>
  <c r="L1054" i="1"/>
  <c r="K1054" i="1"/>
  <c r="I1054" i="1"/>
  <c r="O1053" i="1"/>
  <c r="P1053" i="1" s="1"/>
  <c r="N1053" i="1"/>
  <c r="M1053" i="1"/>
  <c r="L1053" i="1"/>
  <c r="K1053" i="1"/>
  <c r="I1053" i="1"/>
  <c r="O1052" i="1"/>
  <c r="P1052" i="1" s="1"/>
  <c r="N1052" i="1"/>
  <c r="M1052" i="1"/>
  <c r="L1052" i="1"/>
  <c r="K1052" i="1"/>
  <c r="I1052" i="1"/>
  <c r="O1051" i="1"/>
  <c r="P1051" i="1" s="1"/>
  <c r="N1051" i="1"/>
  <c r="M1051" i="1"/>
  <c r="L1051" i="1"/>
  <c r="K1051" i="1"/>
  <c r="I1051" i="1"/>
  <c r="O1050" i="1"/>
  <c r="P1050" i="1" s="1"/>
  <c r="N1050" i="1"/>
  <c r="M1050" i="1"/>
  <c r="L1050" i="1"/>
  <c r="K1050" i="1"/>
  <c r="I1050" i="1"/>
  <c r="O1049" i="1"/>
  <c r="P1049" i="1" s="1"/>
  <c r="N1049" i="1"/>
  <c r="M1049" i="1"/>
  <c r="L1049" i="1"/>
  <c r="K1049" i="1"/>
  <c r="I1049" i="1"/>
  <c r="O1048" i="1"/>
  <c r="P1048" i="1" s="1"/>
  <c r="N1048" i="1"/>
  <c r="M1048" i="1"/>
  <c r="L1048" i="1"/>
  <c r="K1048" i="1"/>
  <c r="I1048" i="1"/>
  <c r="O1047" i="1"/>
  <c r="P1047" i="1" s="1"/>
  <c r="N1047" i="1"/>
  <c r="M1047" i="1"/>
  <c r="L1047" i="1"/>
  <c r="K1047" i="1"/>
  <c r="I1047" i="1"/>
  <c r="O1046" i="1"/>
  <c r="P1046" i="1" s="1"/>
  <c r="N1046" i="1"/>
  <c r="M1046" i="1"/>
  <c r="L1046" i="1"/>
  <c r="K1046" i="1"/>
  <c r="I1046" i="1"/>
  <c r="O1045" i="1"/>
  <c r="P1045" i="1" s="1"/>
  <c r="N1045" i="1"/>
  <c r="M1045" i="1"/>
  <c r="L1045" i="1"/>
  <c r="K1045" i="1"/>
  <c r="I1045" i="1"/>
  <c r="O1044" i="1"/>
  <c r="P1044" i="1" s="1"/>
  <c r="N1044" i="1"/>
  <c r="M1044" i="1"/>
  <c r="L1044" i="1"/>
  <c r="K1044" i="1"/>
  <c r="I1044" i="1"/>
  <c r="O1043" i="1"/>
  <c r="P1043" i="1" s="1"/>
  <c r="N1043" i="1"/>
  <c r="M1043" i="1"/>
  <c r="L1043" i="1"/>
  <c r="K1043" i="1"/>
  <c r="I1043" i="1"/>
  <c r="O1042" i="1"/>
  <c r="P1042" i="1" s="1"/>
  <c r="N1042" i="1"/>
  <c r="M1042" i="1"/>
  <c r="L1042" i="1"/>
  <c r="K1042" i="1"/>
  <c r="I1042" i="1"/>
  <c r="O1041" i="1"/>
  <c r="P1041" i="1" s="1"/>
  <c r="N1041" i="1"/>
  <c r="M1041" i="1"/>
  <c r="L1041" i="1"/>
  <c r="K1041" i="1"/>
  <c r="I1041" i="1"/>
  <c r="O1040" i="1"/>
  <c r="P1040" i="1" s="1"/>
  <c r="N1040" i="1"/>
  <c r="M1040" i="1"/>
  <c r="L1040" i="1"/>
  <c r="K1040" i="1"/>
  <c r="I1040" i="1"/>
  <c r="O1039" i="1"/>
  <c r="P1039" i="1" s="1"/>
  <c r="N1039" i="1"/>
  <c r="M1039" i="1"/>
  <c r="L1039" i="1"/>
  <c r="K1039" i="1"/>
  <c r="I1039" i="1"/>
  <c r="O1038" i="1"/>
  <c r="P1038" i="1" s="1"/>
  <c r="N1038" i="1"/>
  <c r="M1038" i="1"/>
  <c r="L1038" i="1"/>
  <c r="K1038" i="1"/>
  <c r="I1038" i="1"/>
  <c r="O1037" i="1"/>
  <c r="P1037" i="1" s="1"/>
  <c r="N1037" i="1"/>
  <c r="M1037" i="1"/>
  <c r="L1037" i="1"/>
  <c r="K1037" i="1"/>
  <c r="I1037" i="1"/>
  <c r="O1036" i="1"/>
  <c r="P1036" i="1" s="1"/>
  <c r="N1036" i="1"/>
  <c r="M1036" i="1"/>
  <c r="L1036" i="1"/>
  <c r="K1036" i="1"/>
  <c r="I1036" i="1"/>
  <c r="O1035" i="1"/>
  <c r="P1035" i="1" s="1"/>
  <c r="N1035" i="1"/>
  <c r="M1035" i="1"/>
  <c r="L1035" i="1"/>
  <c r="K1035" i="1"/>
  <c r="I1035" i="1"/>
  <c r="O1034" i="1"/>
  <c r="P1034" i="1" s="1"/>
  <c r="N1034" i="1"/>
  <c r="M1034" i="1"/>
  <c r="L1034" i="1"/>
  <c r="K1034" i="1"/>
  <c r="I1034" i="1"/>
  <c r="O1033" i="1"/>
  <c r="P1033" i="1" s="1"/>
  <c r="N1033" i="1"/>
  <c r="M1033" i="1"/>
  <c r="L1033" i="1"/>
  <c r="K1033" i="1"/>
  <c r="I1033" i="1"/>
  <c r="O1032" i="1"/>
  <c r="P1032" i="1" s="1"/>
  <c r="N1032" i="1"/>
  <c r="M1032" i="1"/>
  <c r="L1032" i="1"/>
  <c r="K1032" i="1"/>
  <c r="I1032" i="1"/>
  <c r="O1031" i="1"/>
  <c r="P1031" i="1" s="1"/>
  <c r="N1031" i="1"/>
  <c r="M1031" i="1"/>
  <c r="L1031" i="1"/>
  <c r="K1031" i="1"/>
  <c r="I1031" i="1"/>
  <c r="O1030" i="1"/>
  <c r="P1030" i="1" s="1"/>
  <c r="N1030" i="1"/>
  <c r="M1030" i="1"/>
  <c r="L1030" i="1"/>
  <c r="K1030" i="1"/>
  <c r="I1030" i="1"/>
  <c r="O1029" i="1"/>
  <c r="P1029" i="1" s="1"/>
  <c r="N1029" i="1"/>
  <c r="M1029" i="1"/>
  <c r="L1029" i="1"/>
  <c r="K1029" i="1"/>
  <c r="I1029" i="1"/>
  <c r="O1028" i="1"/>
  <c r="P1028" i="1" s="1"/>
  <c r="N1028" i="1"/>
  <c r="M1028" i="1"/>
  <c r="L1028" i="1"/>
  <c r="K1028" i="1"/>
  <c r="I1028" i="1"/>
  <c r="O1027" i="1"/>
  <c r="P1027" i="1" s="1"/>
  <c r="N1027" i="1"/>
  <c r="M1027" i="1"/>
  <c r="L1027" i="1"/>
  <c r="K1027" i="1"/>
  <c r="I1027" i="1"/>
  <c r="O1026" i="1"/>
  <c r="P1026" i="1" s="1"/>
  <c r="N1026" i="1"/>
  <c r="M1026" i="1"/>
  <c r="L1026" i="1"/>
  <c r="K1026" i="1"/>
  <c r="I1026" i="1"/>
  <c r="O1025" i="1"/>
  <c r="P1025" i="1" s="1"/>
  <c r="N1025" i="1"/>
  <c r="M1025" i="1"/>
  <c r="L1025" i="1"/>
  <c r="K1025" i="1"/>
  <c r="I1025" i="1"/>
  <c r="O1024" i="1"/>
  <c r="P1024" i="1" s="1"/>
  <c r="N1024" i="1"/>
  <c r="M1024" i="1"/>
  <c r="L1024" i="1"/>
  <c r="K1024" i="1"/>
  <c r="I1024" i="1"/>
  <c r="O1023" i="1"/>
  <c r="P1023" i="1" s="1"/>
  <c r="N1023" i="1"/>
  <c r="M1023" i="1"/>
  <c r="L1023" i="1"/>
  <c r="K1023" i="1"/>
  <c r="I1023" i="1"/>
  <c r="O1022" i="1"/>
  <c r="P1022" i="1" s="1"/>
  <c r="N1022" i="1"/>
  <c r="M1022" i="1"/>
  <c r="L1022" i="1"/>
  <c r="K1022" i="1"/>
  <c r="I1022" i="1"/>
  <c r="O1021" i="1"/>
  <c r="P1021" i="1" s="1"/>
  <c r="N1021" i="1"/>
  <c r="M1021" i="1"/>
  <c r="L1021" i="1"/>
  <c r="K1021" i="1"/>
  <c r="I1021" i="1"/>
  <c r="O1020" i="1"/>
  <c r="P1020" i="1" s="1"/>
  <c r="N1020" i="1"/>
  <c r="M1020" i="1"/>
  <c r="L1020" i="1"/>
  <c r="K1020" i="1"/>
  <c r="I1020" i="1"/>
  <c r="O1019" i="1"/>
  <c r="P1019" i="1" s="1"/>
  <c r="N1019" i="1"/>
  <c r="M1019" i="1"/>
  <c r="L1019" i="1"/>
  <c r="K1019" i="1"/>
  <c r="I1019" i="1"/>
  <c r="O1018" i="1"/>
  <c r="P1018" i="1" s="1"/>
  <c r="N1018" i="1"/>
  <c r="M1018" i="1"/>
  <c r="L1018" i="1"/>
  <c r="K1018" i="1"/>
  <c r="I1018" i="1"/>
  <c r="O1017" i="1"/>
  <c r="P1017" i="1" s="1"/>
  <c r="N1017" i="1"/>
  <c r="M1017" i="1"/>
  <c r="L1017" i="1"/>
  <c r="K1017" i="1"/>
  <c r="I1017" i="1"/>
  <c r="O1016" i="1"/>
  <c r="P1016" i="1" s="1"/>
  <c r="N1016" i="1"/>
  <c r="M1016" i="1"/>
  <c r="L1016" i="1"/>
  <c r="K1016" i="1"/>
  <c r="I1016" i="1"/>
  <c r="O1015" i="1"/>
  <c r="P1015" i="1" s="1"/>
  <c r="N1015" i="1"/>
  <c r="M1015" i="1"/>
  <c r="L1015" i="1"/>
  <c r="K1015" i="1"/>
  <c r="I1015" i="1"/>
  <c r="O1014" i="1"/>
  <c r="P1014" i="1" s="1"/>
  <c r="N1014" i="1"/>
  <c r="M1014" i="1"/>
  <c r="L1014" i="1"/>
  <c r="K1014" i="1"/>
  <c r="I1014" i="1"/>
  <c r="O1013" i="1"/>
  <c r="P1013" i="1" s="1"/>
  <c r="N1013" i="1"/>
  <c r="M1013" i="1"/>
  <c r="L1013" i="1"/>
  <c r="K1013" i="1"/>
  <c r="I1013" i="1"/>
  <c r="O1012" i="1"/>
  <c r="P1012" i="1" s="1"/>
  <c r="N1012" i="1"/>
  <c r="M1012" i="1"/>
  <c r="L1012" i="1"/>
  <c r="K1012" i="1"/>
  <c r="I1012" i="1"/>
  <c r="O1011" i="1"/>
  <c r="P1011" i="1" s="1"/>
  <c r="N1011" i="1"/>
  <c r="M1011" i="1"/>
  <c r="L1011" i="1"/>
  <c r="K1011" i="1"/>
  <c r="I1011" i="1"/>
  <c r="O1010" i="1"/>
  <c r="P1010" i="1" s="1"/>
  <c r="N1010" i="1"/>
  <c r="M1010" i="1"/>
  <c r="L1010" i="1"/>
  <c r="K1010" i="1"/>
  <c r="I1010" i="1"/>
  <c r="O1009" i="1"/>
  <c r="P1009" i="1" s="1"/>
  <c r="N1009" i="1"/>
  <c r="M1009" i="1"/>
  <c r="L1009" i="1"/>
  <c r="K1009" i="1"/>
  <c r="I1009" i="1"/>
  <c r="O1008" i="1"/>
  <c r="P1008" i="1" s="1"/>
  <c r="N1008" i="1"/>
  <c r="M1008" i="1"/>
  <c r="L1008" i="1"/>
  <c r="K1008" i="1"/>
  <c r="I1008" i="1"/>
  <c r="O1007" i="1"/>
  <c r="P1007" i="1" s="1"/>
  <c r="N1007" i="1"/>
  <c r="M1007" i="1"/>
  <c r="L1007" i="1"/>
  <c r="K1007" i="1"/>
  <c r="I1007" i="1"/>
  <c r="O1006" i="1"/>
  <c r="P1006" i="1" s="1"/>
  <c r="N1006" i="1"/>
  <c r="M1006" i="1"/>
  <c r="L1006" i="1"/>
  <c r="K1006" i="1"/>
  <c r="I1006" i="1"/>
  <c r="O1005" i="1"/>
  <c r="P1005" i="1" s="1"/>
  <c r="N1005" i="1"/>
  <c r="M1005" i="1"/>
  <c r="L1005" i="1"/>
  <c r="K1005" i="1"/>
  <c r="I1005" i="1"/>
  <c r="O1004" i="1"/>
  <c r="P1004" i="1" s="1"/>
  <c r="N1004" i="1"/>
  <c r="M1004" i="1"/>
  <c r="L1004" i="1"/>
  <c r="K1004" i="1"/>
  <c r="I1004" i="1"/>
  <c r="O1003" i="1"/>
  <c r="P1003" i="1" s="1"/>
  <c r="N1003" i="1"/>
  <c r="M1003" i="1"/>
  <c r="L1003" i="1"/>
  <c r="K1003" i="1"/>
  <c r="I1003" i="1"/>
  <c r="O1002" i="1"/>
  <c r="P1002" i="1" s="1"/>
  <c r="N1002" i="1"/>
  <c r="M1002" i="1"/>
  <c r="L1002" i="1"/>
  <c r="K1002" i="1"/>
  <c r="I1002" i="1"/>
  <c r="O1001" i="1"/>
  <c r="P1001" i="1" s="1"/>
  <c r="N1001" i="1"/>
  <c r="M1001" i="1"/>
  <c r="L1001" i="1"/>
  <c r="K1001" i="1"/>
  <c r="I1001" i="1"/>
  <c r="O1000" i="1"/>
  <c r="P1000" i="1" s="1"/>
  <c r="N1000" i="1"/>
  <c r="M1000" i="1"/>
  <c r="L1000" i="1"/>
  <c r="K1000" i="1"/>
  <c r="I1000" i="1"/>
  <c r="O999" i="1"/>
  <c r="P999" i="1" s="1"/>
  <c r="N999" i="1"/>
  <c r="M999" i="1"/>
  <c r="L999" i="1"/>
  <c r="K999" i="1"/>
  <c r="I999" i="1"/>
  <c r="O998" i="1"/>
  <c r="P998" i="1" s="1"/>
  <c r="N998" i="1"/>
  <c r="M998" i="1"/>
  <c r="L998" i="1"/>
  <c r="K998" i="1"/>
  <c r="I998" i="1"/>
  <c r="O997" i="1"/>
  <c r="P997" i="1" s="1"/>
  <c r="N997" i="1"/>
  <c r="M997" i="1"/>
  <c r="L997" i="1"/>
  <c r="K997" i="1"/>
  <c r="I997" i="1"/>
  <c r="O996" i="1"/>
  <c r="P996" i="1" s="1"/>
  <c r="N996" i="1"/>
  <c r="M996" i="1"/>
  <c r="L996" i="1"/>
  <c r="K996" i="1"/>
  <c r="I996" i="1"/>
  <c r="O995" i="1"/>
  <c r="P995" i="1" s="1"/>
  <c r="N995" i="1"/>
  <c r="M995" i="1"/>
  <c r="L995" i="1"/>
  <c r="K995" i="1"/>
  <c r="I995" i="1"/>
  <c r="O994" i="1"/>
  <c r="P994" i="1" s="1"/>
  <c r="N994" i="1"/>
  <c r="M994" i="1"/>
  <c r="L994" i="1"/>
  <c r="K994" i="1"/>
  <c r="I994" i="1"/>
  <c r="O993" i="1"/>
  <c r="P993" i="1" s="1"/>
  <c r="N993" i="1"/>
  <c r="M993" i="1"/>
  <c r="L993" i="1"/>
  <c r="K993" i="1"/>
  <c r="I993" i="1"/>
  <c r="O992" i="1"/>
  <c r="P992" i="1" s="1"/>
  <c r="N992" i="1"/>
  <c r="M992" i="1"/>
  <c r="L992" i="1"/>
  <c r="K992" i="1"/>
  <c r="I992" i="1"/>
  <c r="O991" i="1"/>
  <c r="P991" i="1" s="1"/>
  <c r="N991" i="1"/>
  <c r="M991" i="1"/>
  <c r="L991" i="1"/>
  <c r="K991" i="1"/>
  <c r="I991" i="1"/>
  <c r="O990" i="1"/>
  <c r="P990" i="1" s="1"/>
  <c r="N990" i="1"/>
  <c r="M990" i="1"/>
  <c r="L990" i="1"/>
  <c r="K990" i="1"/>
  <c r="I990" i="1"/>
  <c r="O989" i="1"/>
  <c r="P989" i="1" s="1"/>
  <c r="N989" i="1"/>
  <c r="M989" i="1"/>
  <c r="L989" i="1"/>
  <c r="K989" i="1"/>
  <c r="I989" i="1"/>
  <c r="O988" i="1"/>
  <c r="P988" i="1" s="1"/>
  <c r="N988" i="1"/>
  <c r="M988" i="1"/>
  <c r="L988" i="1"/>
  <c r="K988" i="1"/>
  <c r="I988" i="1"/>
  <c r="O987" i="1"/>
  <c r="P987" i="1" s="1"/>
  <c r="N987" i="1"/>
  <c r="M987" i="1"/>
  <c r="L987" i="1"/>
  <c r="K987" i="1"/>
  <c r="I987" i="1"/>
  <c r="O986" i="1"/>
  <c r="P986" i="1" s="1"/>
  <c r="N986" i="1"/>
  <c r="M986" i="1"/>
  <c r="L986" i="1"/>
  <c r="K986" i="1"/>
  <c r="I986" i="1"/>
  <c r="O985" i="1"/>
  <c r="P985" i="1" s="1"/>
  <c r="N985" i="1"/>
  <c r="M985" i="1"/>
  <c r="L985" i="1"/>
  <c r="K985" i="1"/>
  <c r="I985" i="1"/>
  <c r="O984" i="1"/>
  <c r="P984" i="1" s="1"/>
  <c r="N984" i="1"/>
  <c r="M984" i="1"/>
  <c r="L984" i="1"/>
  <c r="K984" i="1"/>
  <c r="I984" i="1"/>
  <c r="O983" i="1"/>
  <c r="P983" i="1" s="1"/>
  <c r="N983" i="1"/>
  <c r="M983" i="1"/>
  <c r="L983" i="1"/>
  <c r="K983" i="1"/>
  <c r="I983" i="1"/>
  <c r="O982" i="1"/>
  <c r="P982" i="1" s="1"/>
  <c r="N982" i="1"/>
  <c r="M982" i="1"/>
  <c r="L982" i="1"/>
  <c r="K982" i="1"/>
  <c r="I982" i="1"/>
  <c r="O981" i="1"/>
  <c r="P981" i="1" s="1"/>
  <c r="N981" i="1"/>
  <c r="M981" i="1"/>
  <c r="L981" i="1"/>
  <c r="K981" i="1"/>
  <c r="I981" i="1"/>
  <c r="O980" i="1"/>
  <c r="P980" i="1" s="1"/>
  <c r="N980" i="1"/>
  <c r="M980" i="1"/>
  <c r="L980" i="1"/>
  <c r="K980" i="1"/>
  <c r="I980" i="1"/>
  <c r="O979" i="1"/>
  <c r="P979" i="1" s="1"/>
  <c r="N979" i="1"/>
  <c r="M979" i="1"/>
  <c r="L979" i="1"/>
  <c r="K979" i="1"/>
  <c r="I979" i="1"/>
  <c r="O978" i="1"/>
  <c r="P978" i="1" s="1"/>
  <c r="N978" i="1"/>
  <c r="M978" i="1"/>
  <c r="L978" i="1"/>
  <c r="K978" i="1"/>
  <c r="I978" i="1"/>
  <c r="O977" i="1"/>
  <c r="P977" i="1" s="1"/>
  <c r="N977" i="1"/>
  <c r="M977" i="1"/>
  <c r="L977" i="1"/>
  <c r="K977" i="1"/>
  <c r="I977" i="1"/>
  <c r="O976" i="1"/>
  <c r="P976" i="1" s="1"/>
  <c r="N976" i="1"/>
  <c r="M976" i="1"/>
  <c r="L976" i="1"/>
  <c r="K976" i="1"/>
  <c r="I976" i="1"/>
  <c r="O975" i="1"/>
  <c r="P975" i="1" s="1"/>
  <c r="N975" i="1"/>
  <c r="M975" i="1"/>
  <c r="L975" i="1"/>
  <c r="K975" i="1"/>
  <c r="I975" i="1"/>
  <c r="O974" i="1"/>
  <c r="P974" i="1" s="1"/>
  <c r="N974" i="1"/>
  <c r="M974" i="1"/>
  <c r="L974" i="1"/>
  <c r="K974" i="1"/>
  <c r="I974" i="1"/>
  <c r="O973" i="1"/>
  <c r="P973" i="1" s="1"/>
  <c r="N973" i="1"/>
  <c r="M973" i="1"/>
  <c r="L973" i="1"/>
  <c r="K973" i="1"/>
  <c r="I973" i="1"/>
  <c r="O972" i="1"/>
  <c r="P972" i="1" s="1"/>
  <c r="N972" i="1"/>
  <c r="M972" i="1"/>
  <c r="L972" i="1"/>
  <c r="K972" i="1"/>
  <c r="I972" i="1"/>
  <c r="O971" i="1"/>
  <c r="P971" i="1" s="1"/>
  <c r="N971" i="1"/>
  <c r="M971" i="1"/>
  <c r="L971" i="1"/>
  <c r="K971" i="1"/>
  <c r="I971" i="1"/>
  <c r="O970" i="1"/>
  <c r="P970" i="1" s="1"/>
  <c r="N970" i="1"/>
  <c r="M970" i="1"/>
  <c r="L970" i="1"/>
  <c r="K970" i="1"/>
  <c r="I970" i="1"/>
  <c r="O969" i="1"/>
  <c r="P969" i="1" s="1"/>
  <c r="N969" i="1"/>
  <c r="M969" i="1"/>
  <c r="L969" i="1"/>
  <c r="K969" i="1"/>
  <c r="I969" i="1"/>
  <c r="O968" i="1"/>
  <c r="P968" i="1" s="1"/>
  <c r="N968" i="1"/>
  <c r="M968" i="1"/>
  <c r="L968" i="1"/>
  <c r="K968" i="1"/>
  <c r="I968" i="1"/>
  <c r="O967" i="1"/>
  <c r="P967" i="1" s="1"/>
  <c r="N967" i="1"/>
  <c r="M967" i="1"/>
  <c r="L967" i="1"/>
  <c r="K967" i="1"/>
  <c r="I967" i="1"/>
  <c r="O966" i="1"/>
  <c r="P966" i="1" s="1"/>
  <c r="N966" i="1"/>
  <c r="M966" i="1"/>
  <c r="L966" i="1"/>
  <c r="K966" i="1"/>
  <c r="I966" i="1"/>
  <c r="O965" i="1"/>
  <c r="P965" i="1" s="1"/>
  <c r="N965" i="1"/>
  <c r="M965" i="1"/>
  <c r="L965" i="1"/>
  <c r="K965" i="1"/>
  <c r="I965" i="1"/>
  <c r="O964" i="1"/>
  <c r="P964" i="1" s="1"/>
  <c r="N964" i="1"/>
  <c r="M964" i="1"/>
  <c r="L964" i="1"/>
  <c r="K964" i="1"/>
  <c r="I964" i="1"/>
  <c r="O963" i="1"/>
  <c r="P963" i="1" s="1"/>
  <c r="N963" i="1"/>
  <c r="M963" i="1"/>
  <c r="L963" i="1"/>
  <c r="K963" i="1"/>
  <c r="I963" i="1"/>
  <c r="O962" i="1"/>
  <c r="P962" i="1" s="1"/>
  <c r="N962" i="1"/>
  <c r="M962" i="1"/>
  <c r="L962" i="1"/>
  <c r="K962" i="1"/>
  <c r="I962" i="1"/>
  <c r="O961" i="1"/>
  <c r="P961" i="1" s="1"/>
  <c r="N961" i="1"/>
  <c r="M961" i="1"/>
  <c r="L961" i="1"/>
  <c r="K961" i="1"/>
  <c r="I961" i="1"/>
  <c r="O960" i="1"/>
  <c r="P960" i="1" s="1"/>
  <c r="N960" i="1"/>
  <c r="M960" i="1"/>
  <c r="L960" i="1"/>
  <c r="K960" i="1"/>
  <c r="I960" i="1"/>
  <c r="O959" i="1"/>
  <c r="P959" i="1" s="1"/>
  <c r="N959" i="1"/>
  <c r="M959" i="1"/>
  <c r="L959" i="1"/>
  <c r="K959" i="1"/>
  <c r="I959" i="1"/>
  <c r="O958" i="1"/>
  <c r="P958" i="1" s="1"/>
  <c r="N958" i="1"/>
  <c r="M958" i="1"/>
  <c r="L958" i="1"/>
  <c r="K958" i="1"/>
  <c r="I958" i="1"/>
  <c r="O957" i="1"/>
  <c r="P957" i="1" s="1"/>
  <c r="N957" i="1"/>
  <c r="M957" i="1"/>
  <c r="L957" i="1"/>
  <c r="K957" i="1"/>
  <c r="I957" i="1"/>
  <c r="O956" i="1"/>
  <c r="P956" i="1" s="1"/>
  <c r="N956" i="1"/>
  <c r="M956" i="1"/>
  <c r="L956" i="1"/>
  <c r="K956" i="1"/>
  <c r="I956" i="1"/>
  <c r="O955" i="1"/>
  <c r="P955" i="1" s="1"/>
  <c r="N955" i="1"/>
  <c r="M955" i="1"/>
  <c r="L955" i="1"/>
  <c r="K955" i="1"/>
  <c r="I955" i="1"/>
  <c r="O954" i="1"/>
  <c r="P954" i="1" s="1"/>
  <c r="N954" i="1"/>
  <c r="M954" i="1"/>
  <c r="L954" i="1"/>
  <c r="K954" i="1"/>
  <c r="I954" i="1"/>
  <c r="O953" i="1"/>
  <c r="P953" i="1" s="1"/>
  <c r="N953" i="1"/>
  <c r="M953" i="1"/>
  <c r="L953" i="1"/>
  <c r="K953" i="1"/>
  <c r="I953" i="1"/>
  <c r="O952" i="1"/>
  <c r="P952" i="1" s="1"/>
  <c r="N952" i="1"/>
  <c r="M952" i="1"/>
  <c r="L952" i="1"/>
  <c r="K952" i="1"/>
  <c r="I952" i="1"/>
  <c r="O951" i="1"/>
  <c r="P951" i="1" s="1"/>
  <c r="N951" i="1"/>
  <c r="M951" i="1"/>
  <c r="L951" i="1"/>
  <c r="K951" i="1"/>
  <c r="I951" i="1"/>
  <c r="O950" i="1"/>
  <c r="P950" i="1" s="1"/>
  <c r="N950" i="1"/>
  <c r="M950" i="1"/>
  <c r="L950" i="1"/>
  <c r="K950" i="1"/>
  <c r="I950" i="1"/>
  <c r="O949" i="1"/>
  <c r="P949" i="1" s="1"/>
  <c r="N949" i="1"/>
  <c r="M949" i="1"/>
  <c r="L949" i="1"/>
  <c r="K949" i="1"/>
  <c r="I949" i="1"/>
  <c r="O948" i="1"/>
  <c r="P948" i="1" s="1"/>
  <c r="N948" i="1"/>
  <c r="M948" i="1"/>
  <c r="L948" i="1"/>
  <c r="K948" i="1"/>
  <c r="I948" i="1"/>
  <c r="O947" i="1"/>
  <c r="P947" i="1" s="1"/>
  <c r="N947" i="1"/>
  <c r="M947" i="1"/>
  <c r="L947" i="1"/>
  <c r="K947" i="1"/>
  <c r="I947" i="1"/>
  <c r="O946" i="1"/>
  <c r="P946" i="1" s="1"/>
  <c r="N946" i="1"/>
  <c r="M946" i="1"/>
  <c r="L946" i="1"/>
  <c r="K946" i="1"/>
  <c r="I946" i="1"/>
  <c r="O945" i="1"/>
  <c r="P945" i="1" s="1"/>
  <c r="N945" i="1"/>
  <c r="M945" i="1"/>
  <c r="L945" i="1"/>
  <c r="K945" i="1"/>
  <c r="I945" i="1"/>
  <c r="O944" i="1"/>
  <c r="P944" i="1" s="1"/>
  <c r="N944" i="1"/>
  <c r="M944" i="1"/>
  <c r="L944" i="1"/>
  <c r="K944" i="1"/>
  <c r="I944" i="1"/>
  <c r="O943" i="1"/>
  <c r="P943" i="1" s="1"/>
  <c r="N943" i="1"/>
  <c r="M943" i="1"/>
  <c r="L943" i="1"/>
  <c r="K943" i="1"/>
  <c r="I943" i="1"/>
  <c r="O942" i="1"/>
  <c r="P942" i="1" s="1"/>
  <c r="N942" i="1"/>
  <c r="M942" i="1"/>
  <c r="L942" i="1"/>
  <c r="K942" i="1"/>
  <c r="I942" i="1"/>
  <c r="O941" i="1"/>
  <c r="P941" i="1" s="1"/>
  <c r="N941" i="1"/>
  <c r="M941" i="1"/>
  <c r="L941" i="1"/>
  <c r="K941" i="1"/>
  <c r="I941" i="1"/>
  <c r="O940" i="1"/>
  <c r="P940" i="1" s="1"/>
  <c r="N940" i="1"/>
  <c r="M940" i="1"/>
  <c r="L940" i="1"/>
  <c r="K940" i="1"/>
  <c r="I940" i="1"/>
  <c r="O939" i="1"/>
  <c r="P939" i="1" s="1"/>
  <c r="N939" i="1"/>
  <c r="M939" i="1"/>
  <c r="L939" i="1"/>
  <c r="K939" i="1"/>
  <c r="I939" i="1"/>
  <c r="O938" i="1"/>
  <c r="P938" i="1" s="1"/>
  <c r="N938" i="1"/>
  <c r="M938" i="1"/>
  <c r="L938" i="1"/>
  <c r="K938" i="1"/>
  <c r="I938" i="1"/>
  <c r="O937" i="1"/>
  <c r="P937" i="1" s="1"/>
  <c r="N937" i="1"/>
  <c r="M937" i="1"/>
  <c r="L937" i="1"/>
  <c r="K937" i="1"/>
  <c r="I937" i="1"/>
  <c r="O936" i="1"/>
  <c r="P936" i="1" s="1"/>
  <c r="N936" i="1"/>
  <c r="M936" i="1"/>
  <c r="L936" i="1"/>
  <c r="K936" i="1"/>
  <c r="I936" i="1"/>
  <c r="O935" i="1"/>
  <c r="P935" i="1" s="1"/>
  <c r="N935" i="1"/>
  <c r="M935" i="1"/>
  <c r="L935" i="1"/>
  <c r="K935" i="1"/>
  <c r="I935" i="1"/>
  <c r="O934" i="1"/>
  <c r="P934" i="1" s="1"/>
  <c r="N934" i="1"/>
  <c r="M934" i="1"/>
  <c r="L934" i="1"/>
  <c r="K934" i="1"/>
  <c r="I934" i="1"/>
  <c r="O933" i="1"/>
  <c r="P933" i="1" s="1"/>
  <c r="N933" i="1"/>
  <c r="M933" i="1"/>
  <c r="L933" i="1"/>
  <c r="K933" i="1"/>
  <c r="I933" i="1"/>
  <c r="O932" i="1"/>
  <c r="P932" i="1" s="1"/>
  <c r="N932" i="1"/>
  <c r="M932" i="1"/>
  <c r="L932" i="1"/>
  <c r="K932" i="1"/>
  <c r="I932" i="1"/>
  <c r="O931" i="1"/>
  <c r="P931" i="1" s="1"/>
  <c r="N931" i="1"/>
  <c r="M931" i="1"/>
  <c r="L931" i="1"/>
  <c r="K931" i="1"/>
  <c r="I931" i="1"/>
  <c r="O930" i="1"/>
  <c r="P930" i="1" s="1"/>
  <c r="N930" i="1"/>
  <c r="M930" i="1"/>
  <c r="L930" i="1"/>
  <c r="K930" i="1"/>
  <c r="I930" i="1"/>
  <c r="O929" i="1"/>
  <c r="P929" i="1" s="1"/>
  <c r="N929" i="1"/>
  <c r="M929" i="1"/>
  <c r="L929" i="1"/>
  <c r="K929" i="1"/>
  <c r="I929" i="1"/>
  <c r="O928" i="1"/>
  <c r="P928" i="1" s="1"/>
  <c r="N928" i="1"/>
  <c r="M928" i="1"/>
  <c r="L928" i="1"/>
  <c r="K928" i="1"/>
  <c r="I928" i="1"/>
  <c r="O927" i="1"/>
  <c r="P927" i="1" s="1"/>
  <c r="N927" i="1"/>
  <c r="M927" i="1"/>
  <c r="L927" i="1"/>
  <c r="K927" i="1"/>
  <c r="I927" i="1"/>
  <c r="O926" i="1"/>
  <c r="P926" i="1" s="1"/>
  <c r="N926" i="1"/>
  <c r="M926" i="1"/>
  <c r="L926" i="1"/>
  <c r="K926" i="1"/>
  <c r="I926" i="1"/>
  <c r="O925" i="1"/>
  <c r="P925" i="1" s="1"/>
  <c r="N925" i="1"/>
  <c r="M925" i="1"/>
  <c r="L925" i="1"/>
  <c r="K925" i="1"/>
  <c r="I925" i="1"/>
  <c r="O924" i="1"/>
  <c r="P924" i="1" s="1"/>
  <c r="N924" i="1"/>
  <c r="M924" i="1"/>
  <c r="L924" i="1"/>
  <c r="K924" i="1"/>
  <c r="I924" i="1"/>
  <c r="O923" i="1"/>
  <c r="P923" i="1" s="1"/>
  <c r="N923" i="1"/>
  <c r="M923" i="1"/>
  <c r="L923" i="1"/>
  <c r="K923" i="1"/>
  <c r="I923" i="1"/>
  <c r="O922" i="1"/>
  <c r="P922" i="1" s="1"/>
  <c r="N922" i="1"/>
  <c r="M922" i="1"/>
  <c r="L922" i="1"/>
  <c r="K922" i="1"/>
  <c r="I922" i="1"/>
  <c r="O921" i="1"/>
  <c r="P921" i="1" s="1"/>
  <c r="N921" i="1"/>
  <c r="M921" i="1"/>
  <c r="L921" i="1"/>
  <c r="K921" i="1"/>
  <c r="I921" i="1"/>
  <c r="O920" i="1"/>
  <c r="P920" i="1" s="1"/>
  <c r="N920" i="1"/>
  <c r="M920" i="1"/>
  <c r="L920" i="1"/>
  <c r="K920" i="1"/>
  <c r="I920" i="1"/>
  <c r="O919" i="1"/>
  <c r="P919" i="1" s="1"/>
  <c r="N919" i="1"/>
  <c r="M919" i="1"/>
  <c r="L919" i="1"/>
  <c r="K919" i="1"/>
  <c r="I919" i="1"/>
  <c r="O918" i="1"/>
  <c r="P918" i="1" s="1"/>
  <c r="N918" i="1"/>
  <c r="M918" i="1"/>
  <c r="L918" i="1"/>
  <c r="K918" i="1"/>
  <c r="I918" i="1"/>
  <c r="O917" i="1"/>
  <c r="P917" i="1" s="1"/>
  <c r="N917" i="1"/>
  <c r="M917" i="1"/>
  <c r="L917" i="1"/>
  <c r="K917" i="1"/>
  <c r="I917" i="1"/>
  <c r="O916" i="1"/>
  <c r="P916" i="1" s="1"/>
  <c r="N916" i="1"/>
  <c r="M916" i="1"/>
  <c r="L916" i="1"/>
  <c r="K916" i="1"/>
  <c r="I916" i="1"/>
  <c r="O915" i="1"/>
  <c r="P915" i="1" s="1"/>
  <c r="N915" i="1"/>
  <c r="M915" i="1"/>
  <c r="L915" i="1"/>
  <c r="K915" i="1"/>
  <c r="I915" i="1"/>
  <c r="O914" i="1"/>
  <c r="P914" i="1" s="1"/>
  <c r="N914" i="1"/>
  <c r="M914" i="1"/>
  <c r="L914" i="1"/>
  <c r="K914" i="1"/>
  <c r="I914" i="1"/>
  <c r="O913" i="1"/>
  <c r="P913" i="1" s="1"/>
  <c r="N913" i="1"/>
  <c r="M913" i="1"/>
  <c r="L913" i="1"/>
  <c r="K913" i="1"/>
  <c r="I913" i="1"/>
  <c r="O912" i="1"/>
  <c r="P912" i="1" s="1"/>
  <c r="N912" i="1"/>
  <c r="M912" i="1"/>
  <c r="L912" i="1"/>
  <c r="K912" i="1"/>
  <c r="I912" i="1"/>
  <c r="O911" i="1"/>
  <c r="P911" i="1" s="1"/>
  <c r="N911" i="1"/>
  <c r="M911" i="1"/>
  <c r="L911" i="1"/>
  <c r="K911" i="1"/>
  <c r="I911" i="1"/>
  <c r="O910" i="1"/>
  <c r="P910" i="1" s="1"/>
  <c r="N910" i="1"/>
  <c r="M910" i="1"/>
  <c r="L910" i="1"/>
  <c r="K910" i="1"/>
  <c r="I910" i="1"/>
  <c r="O909" i="1"/>
  <c r="P909" i="1" s="1"/>
  <c r="N909" i="1"/>
  <c r="M909" i="1"/>
  <c r="L909" i="1"/>
  <c r="K909" i="1"/>
  <c r="I909" i="1"/>
  <c r="O908" i="1"/>
  <c r="P908" i="1" s="1"/>
  <c r="N908" i="1"/>
  <c r="M908" i="1"/>
  <c r="L908" i="1"/>
  <c r="K908" i="1"/>
  <c r="I908" i="1"/>
  <c r="O907" i="1"/>
  <c r="P907" i="1" s="1"/>
  <c r="N907" i="1"/>
  <c r="M907" i="1"/>
  <c r="L907" i="1"/>
  <c r="K907" i="1"/>
  <c r="I907" i="1"/>
  <c r="O906" i="1"/>
  <c r="P906" i="1" s="1"/>
  <c r="N906" i="1"/>
  <c r="M906" i="1"/>
  <c r="L906" i="1"/>
  <c r="K906" i="1"/>
  <c r="I906" i="1"/>
  <c r="O905" i="1"/>
  <c r="P905" i="1" s="1"/>
  <c r="N905" i="1"/>
  <c r="M905" i="1"/>
  <c r="L905" i="1"/>
  <c r="K905" i="1"/>
  <c r="I905" i="1"/>
  <c r="O904" i="1"/>
  <c r="P904" i="1" s="1"/>
  <c r="N904" i="1"/>
  <c r="M904" i="1"/>
  <c r="L904" i="1"/>
  <c r="K904" i="1"/>
  <c r="I904" i="1"/>
  <c r="O903" i="1"/>
  <c r="P903" i="1" s="1"/>
  <c r="N903" i="1"/>
  <c r="M903" i="1"/>
  <c r="L903" i="1"/>
  <c r="K903" i="1"/>
  <c r="I903" i="1"/>
  <c r="O902" i="1"/>
  <c r="P902" i="1" s="1"/>
  <c r="N902" i="1"/>
  <c r="M902" i="1"/>
  <c r="L902" i="1"/>
  <c r="K902" i="1"/>
  <c r="I902" i="1"/>
  <c r="O901" i="1"/>
  <c r="P901" i="1" s="1"/>
  <c r="N901" i="1"/>
  <c r="M901" i="1"/>
  <c r="L901" i="1"/>
  <c r="K901" i="1"/>
  <c r="I901" i="1"/>
  <c r="O900" i="1"/>
  <c r="P900" i="1" s="1"/>
  <c r="N900" i="1"/>
  <c r="M900" i="1"/>
  <c r="L900" i="1"/>
  <c r="K900" i="1"/>
  <c r="I900" i="1"/>
  <c r="O899" i="1"/>
  <c r="P899" i="1" s="1"/>
  <c r="N899" i="1"/>
  <c r="M899" i="1"/>
  <c r="L899" i="1"/>
  <c r="K899" i="1"/>
  <c r="I899" i="1"/>
  <c r="O898" i="1"/>
  <c r="P898" i="1" s="1"/>
  <c r="N898" i="1"/>
  <c r="M898" i="1"/>
  <c r="L898" i="1"/>
  <c r="K898" i="1"/>
  <c r="I898" i="1"/>
  <c r="O897" i="1"/>
  <c r="P897" i="1" s="1"/>
  <c r="N897" i="1"/>
  <c r="M897" i="1"/>
  <c r="L897" i="1"/>
  <c r="K897" i="1"/>
  <c r="I897" i="1"/>
  <c r="O896" i="1"/>
  <c r="P896" i="1" s="1"/>
  <c r="N896" i="1"/>
  <c r="M896" i="1"/>
  <c r="L896" i="1"/>
  <c r="K896" i="1"/>
  <c r="I896" i="1"/>
  <c r="O895" i="1"/>
  <c r="P895" i="1" s="1"/>
  <c r="N895" i="1"/>
  <c r="M895" i="1"/>
  <c r="L895" i="1"/>
  <c r="K895" i="1"/>
  <c r="I895" i="1"/>
  <c r="O894" i="1"/>
  <c r="P894" i="1" s="1"/>
  <c r="N894" i="1"/>
  <c r="M894" i="1"/>
  <c r="L894" i="1"/>
  <c r="K894" i="1"/>
  <c r="I894" i="1"/>
  <c r="O893" i="1"/>
  <c r="P893" i="1" s="1"/>
  <c r="N893" i="1"/>
  <c r="M893" i="1"/>
  <c r="L893" i="1"/>
  <c r="K893" i="1"/>
  <c r="I893" i="1"/>
  <c r="O892" i="1"/>
  <c r="P892" i="1" s="1"/>
  <c r="N892" i="1"/>
  <c r="M892" i="1"/>
  <c r="L892" i="1"/>
  <c r="K892" i="1"/>
  <c r="I892" i="1"/>
  <c r="O891" i="1"/>
  <c r="P891" i="1" s="1"/>
  <c r="N891" i="1"/>
  <c r="M891" i="1"/>
  <c r="L891" i="1"/>
  <c r="K891" i="1"/>
  <c r="I891" i="1"/>
  <c r="O890" i="1"/>
  <c r="P890" i="1" s="1"/>
  <c r="N890" i="1"/>
  <c r="M890" i="1"/>
  <c r="L890" i="1"/>
  <c r="K890" i="1"/>
  <c r="I890" i="1"/>
  <c r="O889" i="1"/>
  <c r="P889" i="1" s="1"/>
  <c r="N889" i="1"/>
  <c r="M889" i="1"/>
  <c r="L889" i="1"/>
  <c r="K889" i="1"/>
  <c r="I889" i="1"/>
  <c r="O888" i="1"/>
  <c r="P888" i="1" s="1"/>
  <c r="N888" i="1"/>
  <c r="M888" i="1"/>
  <c r="L888" i="1"/>
  <c r="K888" i="1"/>
  <c r="I888" i="1"/>
  <c r="O887" i="1"/>
  <c r="P887" i="1" s="1"/>
  <c r="N887" i="1"/>
  <c r="M887" i="1"/>
  <c r="L887" i="1"/>
  <c r="K887" i="1"/>
  <c r="I887" i="1"/>
  <c r="O886" i="1"/>
  <c r="P886" i="1" s="1"/>
  <c r="N886" i="1"/>
  <c r="M886" i="1"/>
  <c r="L886" i="1"/>
  <c r="K886" i="1"/>
  <c r="I886" i="1"/>
  <c r="O885" i="1"/>
  <c r="P885" i="1" s="1"/>
  <c r="N885" i="1"/>
  <c r="M885" i="1"/>
  <c r="L885" i="1"/>
  <c r="K885" i="1"/>
  <c r="I885" i="1"/>
  <c r="O884" i="1"/>
  <c r="P884" i="1" s="1"/>
  <c r="N884" i="1"/>
  <c r="M884" i="1"/>
  <c r="L884" i="1"/>
  <c r="K884" i="1"/>
  <c r="I884" i="1"/>
  <c r="O883" i="1"/>
  <c r="P883" i="1" s="1"/>
  <c r="N883" i="1"/>
  <c r="M883" i="1"/>
  <c r="L883" i="1"/>
  <c r="K883" i="1"/>
  <c r="I883" i="1"/>
  <c r="O882" i="1"/>
  <c r="P882" i="1" s="1"/>
  <c r="N882" i="1"/>
  <c r="M882" i="1"/>
  <c r="L882" i="1"/>
  <c r="K882" i="1"/>
  <c r="I882" i="1"/>
  <c r="O881" i="1"/>
  <c r="P881" i="1" s="1"/>
  <c r="N881" i="1"/>
  <c r="M881" i="1"/>
  <c r="L881" i="1"/>
  <c r="K881" i="1"/>
  <c r="I881" i="1"/>
  <c r="O880" i="1"/>
  <c r="P880" i="1" s="1"/>
  <c r="N880" i="1"/>
  <c r="M880" i="1"/>
  <c r="L880" i="1"/>
  <c r="K880" i="1"/>
  <c r="I880" i="1"/>
  <c r="O879" i="1"/>
  <c r="P879" i="1" s="1"/>
  <c r="N879" i="1"/>
  <c r="M879" i="1"/>
  <c r="L879" i="1"/>
  <c r="K879" i="1"/>
  <c r="I879" i="1"/>
  <c r="O878" i="1"/>
  <c r="P878" i="1" s="1"/>
  <c r="N878" i="1"/>
  <c r="M878" i="1"/>
  <c r="L878" i="1"/>
  <c r="K878" i="1"/>
  <c r="I878" i="1"/>
  <c r="O877" i="1"/>
  <c r="P877" i="1" s="1"/>
  <c r="N877" i="1"/>
  <c r="M877" i="1"/>
  <c r="L877" i="1"/>
  <c r="K877" i="1"/>
  <c r="I877" i="1"/>
  <c r="O876" i="1"/>
  <c r="P876" i="1" s="1"/>
  <c r="N876" i="1"/>
  <c r="M876" i="1"/>
  <c r="L876" i="1"/>
  <c r="K876" i="1"/>
  <c r="I876" i="1"/>
  <c r="O875" i="1"/>
  <c r="P875" i="1" s="1"/>
  <c r="N875" i="1"/>
  <c r="M875" i="1"/>
  <c r="L875" i="1"/>
  <c r="K875" i="1"/>
  <c r="I875" i="1"/>
  <c r="O874" i="1"/>
  <c r="P874" i="1" s="1"/>
  <c r="N874" i="1"/>
  <c r="M874" i="1"/>
  <c r="L874" i="1"/>
  <c r="K874" i="1"/>
  <c r="I874" i="1"/>
  <c r="O873" i="1"/>
  <c r="P873" i="1" s="1"/>
  <c r="N873" i="1"/>
  <c r="M873" i="1"/>
  <c r="L873" i="1"/>
  <c r="K873" i="1"/>
  <c r="I873" i="1"/>
  <c r="O872" i="1"/>
  <c r="P872" i="1" s="1"/>
  <c r="N872" i="1"/>
  <c r="M872" i="1"/>
  <c r="L872" i="1"/>
  <c r="K872" i="1"/>
  <c r="I872" i="1"/>
  <c r="O871" i="1"/>
  <c r="P871" i="1" s="1"/>
  <c r="N871" i="1"/>
  <c r="M871" i="1"/>
  <c r="L871" i="1"/>
  <c r="K871" i="1"/>
  <c r="I871" i="1"/>
  <c r="O870" i="1"/>
  <c r="P870" i="1" s="1"/>
  <c r="N870" i="1"/>
  <c r="M870" i="1"/>
  <c r="L870" i="1"/>
  <c r="K870" i="1"/>
  <c r="I870" i="1"/>
  <c r="O869" i="1"/>
  <c r="P869" i="1" s="1"/>
  <c r="N869" i="1"/>
  <c r="M869" i="1"/>
  <c r="L869" i="1"/>
  <c r="K869" i="1"/>
  <c r="I869" i="1"/>
  <c r="O868" i="1"/>
  <c r="P868" i="1" s="1"/>
  <c r="N868" i="1"/>
  <c r="M868" i="1"/>
  <c r="L868" i="1"/>
  <c r="K868" i="1"/>
  <c r="I868" i="1"/>
  <c r="O867" i="1"/>
  <c r="P867" i="1" s="1"/>
  <c r="N867" i="1"/>
  <c r="M867" i="1"/>
  <c r="L867" i="1"/>
  <c r="K867" i="1"/>
  <c r="I867" i="1"/>
  <c r="O866" i="1"/>
  <c r="P866" i="1" s="1"/>
  <c r="N866" i="1"/>
  <c r="M866" i="1"/>
  <c r="L866" i="1"/>
  <c r="K866" i="1"/>
  <c r="I866" i="1"/>
  <c r="O865" i="1"/>
  <c r="P865" i="1" s="1"/>
  <c r="N865" i="1"/>
  <c r="M865" i="1"/>
  <c r="L865" i="1"/>
  <c r="K865" i="1"/>
  <c r="I865" i="1"/>
  <c r="O864" i="1"/>
  <c r="P864" i="1" s="1"/>
  <c r="N864" i="1"/>
  <c r="M864" i="1"/>
  <c r="L864" i="1"/>
  <c r="K864" i="1"/>
  <c r="I864" i="1"/>
  <c r="O863" i="1"/>
  <c r="P863" i="1" s="1"/>
  <c r="N863" i="1"/>
  <c r="M863" i="1"/>
  <c r="L863" i="1"/>
  <c r="K863" i="1"/>
  <c r="I863" i="1"/>
  <c r="O862" i="1"/>
  <c r="P862" i="1" s="1"/>
  <c r="N862" i="1"/>
  <c r="M862" i="1"/>
  <c r="L862" i="1"/>
  <c r="K862" i="1"/>
  <c r="I862" i="1"/>
  <c r="O861" i="1"/>
  <c r="P861" i="1" s="1"/>
  <c r="N861" i="1"/>
  <c r="M861" i="1"/>
  <c r="L861" i="1"/>
  <c r="K861" i="1"/>
  <c r="I861" i="1"/>
  <c r="O860" i="1"/>
  <c r="P860" i="1" s="1"/>
  <c r="N860" i="1"/>
  <c r="M860" i="1"/>
  <c r="L860" i="1"/>
  <c r="K860" i="1"/>
  <c r="I860" i="1"/>
  <c r="O859" i="1"/>
  <c r="P859" i="1" s="1"/>
  <c r="N859" i="1"/>
  <c r="M859" i="1"/>
  <c r="L859" i="1"/>
  <c r="K859" i="1"/>
  <c r="I859" i="1"/>
  <c r="O858" i="1"/>
  <c r="P858" i="1" s="1"/>
  <c r="N858" i="1"/>
  <c r="M858" i="1"/>
  <c r="L858" i="1"/>
  <c r="K858" i="1"/>
  <c r="I858" i="1"/>
  <c r="O857" i="1"/>
  <c r="P857" i="1" s="1"/>
  <c r="N857" i="1"/>
  <c r="M857" i="1"/>
  <c r="L857" i="1"/>
  <c r="K857" i="1"/>
  <c r="I857" i="1"/>
  <c r="O856" i="1"/>
  <c r="P856" i="1" s="1"/>
  <c r="N856" i="1"/>
  <c r="M856" i="1"/>
  <c r="L856" i="1"/>
  <c r="K856" i="1"/>
  <c r="I856" i="1"/>
  <c r="O855" i="1"/>
  <c r="P855" i="1" s="1"/>
  <c r="N855" i="1"/>
  <c r="M855" i="1"/>
  <c r="L855" i="1"/>
  <c r="K855" i="1"/>
  <c r="I855" i="1"/>
  <c r="O854" i="1"/>
  <c r="P854" i="1" s="1"/>
  <c r="N854" i="1"/>
  <c r="M854" i="1"/>
  <c r="L854" i="1"/>
  <c r="K854" i="1"/>
  <c r="I854" i="1"/>
  <c r="O853" i="1"/>
  <c r="P853" i="1" s="1"/>
  <c r="N853" i="1"/>
  <c r="M853" i="1"/>
  <c r="L853" i="1"/>
  <c r="K853" i="1"/>
  <c r="I853" i="1"/>
  <c r="O852" i="1"/>
  <c r="P852" i="1" s="1"/>
  <c r="N852" i="1"/>
  <c r="M852" i="1"/>
  <c r="L852" i="1"/>
  <c r="K852" i="1"/>
  <c r="I852" i="1"/>
  <c r="O851" i="1"/>
  <c r="P851" i="1" s="1"/>
  <c r="N851" i="1"/>
  <c r="M851" i="1"/>
  <c r="L851" i="1"/>
  <c r="K851" i="1"/>
  <c r="I851" i="1"/>
  <c r="O850" i="1"/>
  <c r="P850" i="1" s="1"/>
  <c r="N850" i="1"/>
  <c r="M850" i="1"/>
  <c r="L850" i="1"/>
  <c r="K850" i="1"/>
  <c r="I850" i="1"/>
  <c r="O849" i="1"/>
  <c r="P849" i="1" s="1"/>
  <c r="N849" i="1"/>
  <c r="M849" i="1"/>
  <c r="L849" i="1"/>
  <c r="K849" i="1"/>
  <c r="I849" i="1"/>
  <c r="O848" i="1"/>
  <c r="P848" i="1" s="1"/>
  <c r="N848" i="1"/>
  <c r="M848" i="1"/>
  <c r="L848" i="1"/>
  <c r="K848" i="1"/>
  <c r="I848" i="1"/>
  <c r="O847" i="1"/>
  <c r="P847" i="1" s="1"/>
  <c r="N847" i="1"/>
  <c r="M847" i="1"/>
  <c r="L847" i="1"/>
  <c r="K847" i="1"/>
  <c r="I847" i="1"/>
  <c r="O846" i="1"/>
  <c r="P846" i="1" s="1"/>
  <c r="N846" i="1"/>
  <c r="M846" i="1"/>
  <c r="L846" i="1"/>
  <c r="K846" i="1"/>
  <c r="I846" i="1"/>
  <c r="O845" i="1"/>
  <c r="P845" i="1" s="1"/>
  <c r="N845" i="1"/>
  <c r="M845" i="1"/>
  <c r="L845" i="1"/>
  <c r="K845" i="1"/>
  <c r="I845" i="1"/>
  <c r="O844" i="1"/>
  <c r="P844" i="1" s="1"/>
  <c r="N844" i="1"/>
  <c r="M844" i="1"/>
  <c r="L844" i="1"/>
  <c r="K844" i="1"/>
  <c r="I844" i="1"/>
  <c r="O843" i="1"/>
  <c r="P843" i="1" s="1"/>
  <c r="N843" i="1"/>
  <c r="M843" i="1"/>
  <c r="L843" i="1"/>
  <c r="K843" i="1"/>
  <c r="I843" i="1"/>
  <c r="O842" i="1"/>
  <c r="P842" i="1" s="1"/>
  <c r="N842" i="1"/>
  <c r="M842" i="1"/>
  <c r="L842" i="1"/>
  <c r="K842" i="1"/>
  <c r="I842" i="1"/>
  <c r="O841" i="1"/>
  <c r="P841" i="1" s="1"/>
  <c r="N841" i="1"/>
  <c r="M841" i="1"/>
  <c r="L841" i="1"/>
  <c r="K841" i="1"/>
  <c r="I841" i="1"/>
  <c r="O840" i="1"/>
  <c r="P840" i="1" s="1"/>
  <c r="N840" i="1"/>
  <c r="M840" i="1"/>
  <c r="L840" i="1"/>
  <c r="K840" i="1"/>
  <c r="I840" i="1"/>
  <c r="O839" i="1"/>
  <c r="P839" i="1" s="1"/>
  <c r="N839" i="1"/>
  <c r="M839" i="1"/>
  <c r="L839" i="1"/>
  <c r="K839" i="1"/>
  <c r="I839" i="1"/>
  <c r="O838" i="1"/>
  <c r="P838" i="1" s="1"/>
  <c r="N838" i="1"/>
  <c r="M838" i="1"/>
  <c r="L838" i="1"/>
  <c r="K838" i="1"/>
  <c r="I838" i="1"/>
  <c r="O837" i="1"/>
  <c r="P837" i="1" s="1"/>
  <c r="N837" i="1"/>
  <c r="M837" i="1"/>
  <c r="L837" i="1"/>
  <c r="K837" i="1"/>
  <c r="I837" i="1"/>
  <c r="O836" i="1"/>
  <c r="P836" i="1" s="1"/>
  <c r="N836" i="1"/>
  <c r="M836" i="1"/>
  <c r="L836" i="1"/>
  <c r="K836" i="1"/>
  <c r="I836" i="1"/>
  <c r="O835" i="1"/>
  <c r="P835" i="1" s="1"/>
  <c r="N835" i="1"/>
  <c r="M835" i="1"/>
  <c r="L835" i="1"/>
  <c r="K835" i="1"/>
  <c r="I835" i="1"/>
  <c r="O834" i="1"/>
  <c r="P834" i="1" s="1"/>
  <c r="N834" i="1"/>
  <c r="M834" i="1"/>
  <c r="L834" i="1"/>
  <c r="K834" i="1"/>
  <c r="I834" i="1"/>
  <c r="O833" i="1"/>
  <c r="P833" i="1" s="1"/>
  <c r="N833" i="1"/>
  <c r="M833" i="1"/>
  <c r="L833" i="1"/>
  <c r="K833" i="1"/>
  <c r="I833" i="1"/>
  <c r="O832" i="1"/>
  <c r="P832" i="1" s="1"/>
  <c r="N832" i="1"/>
  <c r="M832" i="1"/>
  <c r="L832" i="1"/>
  <c r="K832" i="1"/>
  <c r="I832" i="1"/>
  <c r="O831" i="1"/>
  <c r="P831" i="1" s="1"/>
  <c r="N831" i="1"/>
  <c r="M831" i="1"/>
  <c r="L831" i="1"/>
  <c r="K831" i="1"/>
  <c r="I831" i="1"/>
  <c r="O830" i="1"/>
  <c r="P830" i="1" s="1"/>
  <c r="N830" i="1"/>
  <c r="M830" i="1"/>
  <c r="L830" i="1"/>
  <c r="K830" i="1"/>
  <c r="I830" i="1"/>
  <c r="O829" i="1"/>
  <c r="P829" i="1" s="1"/>
  <c r="N829" i="1"/>
  <c r="M829" i="1"/>
  <c r="L829" i="1"/>
  <c r="K829" i="1"/>
  <c r="I829" i="1"/>
  <c r="O828" i="1"/>
  <c r="P828" i="1" s="1"/>
  <c r="N828" i="1"/>
  <c r="M828" i="1"/>
  <c r="L828" i="1"/>
  <c r="K828" i="1"/>
  <c r="I828" i="1"/>
  <c r="O827" i="1"/>
  <c r="P827" i="1" s="1"/>
  <c r="N827" i="1"/>
  <c r="M827" i="1"/>
  <c r="L827" i="1"/>
  <c r="K827" i="1"/>
  <c r="I827" i="1"/>
  <c r="O826" i="1"/>
  <c r="P826" i="1" s="1"/>
  <c r="N826" i="1"/>
  <c r="M826" i="1"/>
  <c r="L826" i="1"/>
  <c r="K826" i="1"/>
  <c r="I826" i="1"/>
  <c r="O825" i="1"/>
  <c r="P825" i="1" s="1"/>
  <c r="N825" i="1"/>
  <c r="M825" i="1"/>
  <c r="L825" i="1"/>
  <c r="K825" i="1"/>
  <c r="I825" i="1"/>
  <c r="O824" i="1"/>
  <c r="P824" i="1" s="1"/>
  <c r="N824" i="1"/>
  <c r="M824" i="1"/>
  <c r="L824" i="1"/>
  <c r="K824" i="1"/>
  <c r="I824" i="1"/>
  <c r="O823" i="1"/>
  <c r="P823" i="1" s="1"/>
  <c r="N823" i="1"/>
  <c r="M823" i="1"/>
  <c r="L823" i="1"/>
  <c r="K823" i="1"/>
  <c r="I823" i="1"/>
  <c r="O822" i="1"/>
  <c r="P822" i="1" s="1"/>
  <c r="N822" i="1"/>
  <c r="M822" i="1"/>
  <c r="L822" i="1"/>
  <c r="K822" i="1"/>
  <c r="I822" i="1"/>
  <c r="O821" i="1"/>
  <c r="P821" i="1" s="1"/>
  <c r="N821" i="1"/>
  <c r="M821" i="1"/>
  <c r="L821" i="1"/>
  <c r="K821" i="1"/>
  <c r="I821" i="1"/>
  <c r="O820" i="1"/>
  <c r="P820" i="1" s="1"/>
  <c r="N820" i="1"/>
  <c r="M820" i="1"/>
  <c r="L820" i="1"/>
  <c r="K820" i="1"/>
  <c r="I820" i="1"/>
  <c r="O819" i="1"/>
  <c r="P819" i="1" s="1"/>
  <c r="N819" i="1"/>
  <c r="M819" i="1"/>
  <c r="L819" i="1"/>
  <c r="K819" i="1"/>
  <c r="I819" i="1"/>
  <c r="O818" i="1"/>
  <c r="P818" i="1" s="1"/>
  <c r="N818" i="1"/>
  <c r="M818" i="1"/>
  <c r="L818" i="1"/>
  <c r="K818" i="1"/>
  <c r="I818" i="1"/>
  <c r="O817" i="1"/>
  <c r="P817" i="1" s="1"/>
  <c r="N817" i="1"/>
  <c r="M817" i="1"/>
  <c r="L817" i="1"/>
  <c r="K817" i="1"/>
  <c r="I817" i="1"/>
  <c r="O816" i="1"/>
  <c r="P816" i="1" s="1"/>
  <c r="N816" i="1"/>
  <c r="M816" i="1"/>
  <c r="L816" i="1"/>
  <c r="K816" i="1"/>
  <c r="I816" i="1"/>
  <c r="O815" i="1"/>
  <c r="P815" i="1" s="1"/>
  <c r="N815" i="1"/>
  <c r="M815" i="1"/>
  <c r="L815" i="1"/>
  <c r="K815" i="1"/>
  <c r="I815" i="1"/>
  <c r="O814" i="1"/>
  <c r="P814" i="1" s="1"/>
  <c r="N814" i="1"/>
  <c r="M814" i="1"/>
  <c r="L814" i="1"/>
  <c r="K814" i="1"/>
  <c r="I814" i="1"/>
  <c r="O813" i="1"/>
  <c r="P813" i="1" s="1"/>
  <c r="N813" i="1"/>
  <c r="M813" i="1"/>
  <c r="L813" i="1"/>
  <c r="K813" i="1"/>
  <c r="I813" i="1"/>
  <c r="O812" i="1"/>
  <c r="P812" i="1" s="1"/>
  <c r="N812" i="1"/>
  <c r="M812" i="1"/>
  <c r="L812" i="1"/>
  <c r="K812" i="1"/>
  <c r="I812" i="1"/>
  <c r="O811" i="1"/>
  <c r="P811" i="1" s="1"/>
  <c r="N811" i="1"/>
  <c r="M811" i="1"/>
  <c r="L811" i="1"/>
  <c r="K811" i="1"/>
  <c r="I811" i="1"/>
  <c r="O810" i="1"/>
  <c r="P810" i="1" s="1"/>
  <c r="N810" i="1"/>
  <c r="M810" i="1"/>
  <c r="L810" i="1"/>
  <c r="K810" i="1"/>
  <c r="I810" i="1"/>
  <c r="O809" i="1"/>
  <c r="P809" i="1" s="1"/>
  <c r="N809" i="1"/>
  <c r="M809" i="1"/>
  <c r="L809" i="1"/>
  <c r="K809" i="1"/>
  <c r="I809" i="1"/>
  <c r="O808" i="1"/>
  <c r="P808" i="1" s="1"/>
  <c r="N808" i="1"/>
  <c r="M808" i="1"/>
  <c r="L808" i="1"/>
  <c r="K808" i="1"/>
  <c r="I808" i="1"/>
  <c r="O807" i="1"/>
  <c r="P807" i="1" s="1"/>
  <c r="N807" i="1"/>
  <c r="M807" i="1"/>
  <c r="L807" i="1"/>
  <c r="K807" i="1"/>
  <c r="I807" i="1"/>
  <c r="O806" i="1"/>
  <c r="P806" i="1" s="1"/>
  <c r="N806" i="1"/>
  <c r="M806" i="1"/>
  <c r="L806" i="1"/>
  <c r="K806" i="1"/>
  <c r="I806" i="1"/>
  <c r="O805" i="1"/>
  <c r="P805" i="1" s="1"/>
  <c r="N805" i="1"/>
  <c r="M805" i="1"/>
  <c r="L805" i="1"/>
  <c r="K805" i="1"/>
  <c r="I805" i="1"/>
  <c r="O804" i="1"/>
  <c r="P804" i="1" s="1"/>
  <c r="N804" i="1"/>
  <c r="M804" i="1"/>
  <c r="L804" i="1"/>
  <c r="K804" i="1"/>
  <c r="I804" i="1"/>
  <c r="O803" i="1"/>
  <c r="P803" i="1" s="1"/>
  <c r="N803" i="1"/>
  <c r="M803" i="1"/>
  <c r="L803" i="1"/>
  <c r="K803" i="1"/>
  <c r="I803" i="1"/>
  <c r="O802" i="1"/>
  <c r="P802" i="1" s="1"/>
  <c r="N802" i="1"/>
  <c r="M802" i="1"/>
  <c r="L802" i="1"/>
  <c r="K802" i="1"/>
  <c r="I802" i="1"/>
  <c r="O801" i="1"/>
  <c r="P801" i="1" s="1"/>
  <c r="N801" i="1"/>
  <c r="M801" i="1"/>
  <c r="L801" i="1"/>
  <c r="K801" i="1"/>
  <c r="I801" i="1"/>
  <c r="O800" i="1"/>
  <c r="P800" i="1" s="1"/>
  <c r="N800" i="1"/>
  <c r="M800" i="1"/>
  <c r="L800" i="1"/>
  <c r="K800" i="1"/>
  <c r="I800" i="1"/>
  <c r="O799" i="1"/>
  <c r="P799" i="1" s="1"/>
  <c r="N799" i="1"/>
  <c r="M799" i="1"/>
  <c r="L799" i="1"/>
  <c r="K799" i="1"/>
  <c r="I799" i="1"/>
  <c r="O798" i="1"/>
  <c r="P798" i="1" s="1"/>
  <c r="N798" i="1"/>
  <c r="M798" i="1"/>
  <c r="L798" i="1"/>
  <c r="K798" i="1"/>
  <c r="I798" i="1"/>
  <c r="O797" i="1"/>
  <c r="P797" i="1" s="1"/>
  <c r="N797" i="1"/>
  <c r="M797" i="1"/>
  <c r="L797" i="1"/>
  <c r="K797" i="1"/>
  <c r="I797" i="1"/>
  <c r="O796" i="1"/>
  <c r="P796" i="1" s="1"/>
  <c r="N796" i="1"/>
  <c r="M796" i="1"/>
  <c r="L796" i="1"/>
  <c r="K796" i="1"/>
  <c r="I796" i="1"/>
  <c r="O795" i="1"/>
  <c r="P795" i="1" s="1"/>
  <c r="N795" i="1"/>
  <c r="M795" i="1"/>
  <c r="L795" i="1"/>
  <c r="K795" i="1"/>
  <c r="I795" i="1"/>
  <c r="O794" i="1"/>
  <c r="P794" i="1" s="1"/>
  <c r="N794" i="1"/>
  <c r="M794" i="1"/>
  <c r="L794" i="1"/>
  <c r="K794" i="1"/>
  <c r="I794" i="1"/>
  <c r="O793" i="1"/>
  <c r="P793" i="1" s="1"/>
  <c r="N793" i="1"/>
  <c r="M793" i="1"/>
  <c r="L793" i="1"/>
  <c r="K793" i="1"/>
  <c r="I793" i="1"/>
  <c r="O792" i="1"/>
  <c r="P792" i="1" s="1"/>
  <c r="N792" i="1"/>
  <c r="M792" i="1"/>
  <c r="L792" i="1"/>
  <c r="K792" i="1"/>
  <c r="I792" i="1"/>
  <c r="O791" i="1"/>
  <c r="P791" i="1" s="1"/>
  <c r="N791" i="1"/>
  <c r="M791" i="1"/>
  <c r="L791" i="1"/>
  <c r="K791" i="1"/>
  <c r="I791" i="1"/>
  <c r="O790" i="1"/>
  <c r="P790" i="1" s="1"/>
  <c r="N790" i="1"/>
  <c r="M790" i="1"/>
  <c r="L790" i="1"/>
  <c r="K790" i="1"/>
  <c r="I790" i="1"/>
  <c r="O789" i="1"/>
  <c r="P789" i="1" s="1"/>
  <c r="N789" i="1"/>
  <c r="M789" i="1"/>
  <c r="L789" i="1"/>
  <c r="K789" i="1"/>
  <c r="I789" i="1"/>
  <c r="O788" i="1"/>
  <c r="P788" i="1" s="1"/>
  <c r="N788" i="1"/>
  <c r="M788" i="1"/>
  <c r="L788" i="1"/>
  <c r="K788" i="1"/>
  <c r="I788" i="1"/>
  <c r="O787" i="1"/>
  <c r="P787" i="1" s="1"/>
  <c r="N787" i="1"/>
  <c r="M787" i="1"/>
  <c r="L787" i="1"/>
  <c r="K787" i="1"/>
  <c r="I787" i="1"/>
  <c r="O786" i="1"/>
  <c r="P786" i="1" s="1"/>
  <c r="N786" i="1"/>
  <c r="M786" i="1"/>
  <c r="L786" i="1"/>
  <c r="K786" i="1"/>
  <c r="I786" i="1"/>
  <c r="O785" i="1"/>
  <c r="P785" i="1" s="1"/>
  <c r="N785" i="1"/>
  <c r="M785" i="1"/>
  <c r="L785" i="1"/>
  <c r="K785" i="1"/>
  <c r="I785" i="1"/>
  <c r="O784" i="1"/>
  <c r="P784" i="1" s="1"/>
  <c r="N784" i="1"/>
  <c r="M784" i="1"/>
  <c r="L784" i="1"/>
  <c r="K784" i="1"/>
  <c r="I784" i="1"/>
  <c r="O783" i="1"/>
  <c r="P783" i="1" s="1"/>
  <c r="N783" i="1"/>
  <c r="M783" i="1"/>
  <c r="L783" i="1"/>
  <c r="K783" i="1"/>
  <c r="I783" i="1"/>
  <c r="O782" i="1"/>
  <c r="P782" i="1" s="1"/>
  <c r="N782" i="1"/>
  <c r="M782" i="1"/>
  <c r="L782" i="1"/>
  <c r="K782" i="1"/>
  <c r="I782" i="1"/>
  <c r="O781" i="1"/>
  <c r="P781" i="1" s="1"/>
  <c r="N781" i="1"/>
  <c r="M781" i="1"/>
  <c r="L781" i="1"/>
  <c r="K781" i="1"/>
  <c r="I781" i="1"/>
  <c r="O780" i="1"/>
  <c r="P780" i="1" s="1"/>
  <c r="N780" i="1"/>
  <c r="M780" i="1"/>
  <c r="L780" i="1"/>
  <c r="K780" i="1"/>
  <c r="I780" i="1"/>
  <c r="O779" i="1"/>
  <c r="P779" i="1" s="1"/>
  <c r="N779" i="1"/>
  <c r="M779" i="1"/>
  <c r="L779" i="1"/>
  <c r="K779" i="1"/>
  <c r="I779" i="1"/>
  <c r="O778" i="1"/>
  <c r="P778" i="1" s="1"/>
  <c r="N778" i="1"/>
  <c r="M778" i="1"/>
  <c r="L778" i="1"/>
  <c r="K778" i="1"/>
  <c r="I778" i="1"/>
  <c r="O777" i="1"/>
  <c r="P777" i="1" s="1"/>
  <c r="N777" i="1"/>
  <c r="M777" i="1"/>
  <c r="L777" i="1"/>
  <c r="K777" i="1"/>
  <c r="I777" i="1"/>
  <c r="O776" i="1"/>
  <c r="P776" i="1" s="1"/>
  <c r="N776" i="1"/>
  <c r="M776" i="1"/>
  <c r="L776" i="1"/>
  <c r="K776" i="1"/>
  <c r="I776" i="1"/>
  <c r="O775" i="1"/>
  <c r="P775" i="1" s="1"/>
  <c r="N775" i="1"/>
  <c r="M775" i="1"/>
  <c r="L775" i="1"/>
  <c r="K775" i="1"/>
  <c r="I775" i="1"/>
  <c r="O774" i="1"/>
  <c r="P774" i="1" s="1"/>
  <c r="N774" i="1"/>
  <c r="M774" i="1"/>
  <c r="L774" i="1"/>
  <c r="K774" i="1"/>
  <c r="I774" i="1"/>
  <c r="O773" i="1"/>
  <c r="P773" i="1" s="1"/>
  <c r="N773" i="1"/>
  <c r="M773" i="1"/>
  <c r="L773" i="1"/>
  <c r="K773" i="1"/>
  <c r="I773" i="1"/>
  <c r="O772" i="1"/>
  <c r="P772" i="1" s="1"/>
  <c r="N772" i="1"/>
  <c r="M772" i="1"/>
  <c r="L772" i="1"/>
  <c r="K772" i="1"/>
  <c r="I772" i="1"/>
  <c r="O771" i="1"/>
  <c r="P771" i="1" s="1"/>
  <c r="N771" i="1"/>
  <c r="M771" i="1"/>
  <c r="L771" i="1"/>
  <c r="K771" i="1"/>
  <c r="I771" i="1"/>
  <c r="O770" i="1"/>
  <c r="P770" i="1" s="1"/>
  <c r="N770" i="1"/>
  <c r="M770" i="1"/>
  <c r="L770" i="1"/>
  <c r="K770" i="1"/>
  <c r="I770" i="1"/>
  <c r="O769" i="1"/>
  <c r="P769" i="1" s="1"/>
  <c r="N769" i="1"/>
  <c r="M769" i="1"/>
  <c r="L769" i="1"/>
  <c r="K769" i="1"/>
  <c r="I769" i="1"/>
  <c r="O768" i="1"/>
  <c r="P768" i="1" s="1"/>
  <c r="N768" i="1"/>
  <c r="M768" i="1"/>
  <c r="L768" i="1"/>
  <c r="K768" i="1"/>
  <c r="I768" i="1"/>
  <c r="O767" i="1"/>
  <c r="P767" i="1" s="1"/>
  <c r="N767" i="1"/>
  <c r="M767" i="1"/>
  <c r="L767" i="1"/>
  <c r="K767" i="1"/>
  <c r="I767" i="1"/>
  <c r="O766" i="1"/>
  <c r="P766" i="1" s="1"/>
  <c r="N766" i="1"/>
  <c r="M766" i="1"/>
  <c r="L766" i="1"/>
  <c r="K766" i="1"/>
  <c r="I766" i="1"/>
  <c r="O765" i="1"/>
  <c r="P765" i="1" s="1"/>
  <c r="N765" i="1"/>
  <c r="M765" i="1"/>
  <c r="L765" i="1"/>
  <c r="K765" i="1"/>
  <c r="I765" i="1"/>
  <c r="O764" i="1"/>
  <c r="P764" i="1" s="1"/>
  <c r="N764" i="1"/>
  <c r="M764" i="1"/>
  <c r="L764" i="1"/>
  <c r="K764" i="1"/>
  <c r="I764" i="1"/>
  <c r="O763" i="1"/>
  <c r="P763" i="1" s="1"/>
  <c r="N763" i="1"/>
  <c r="M763" i="1"/>
  <c r="L763" i="1"/>
  <c r="K763" i="1"/>
  <c r="I763" i="1"/>
  <c r="O762" i="1"/>
  <c r="P762" i="1" s="1"/>
  <c r="N762" i="1"/>
  <c r="M762" i="1"/>
  <c r="L762" i="1"/>
  <c r="K762" i="1"/>
  <c r="I762" i="1"/>
  <c r="O761" i="1"/>
  <c r="P761" i="1" s="1"/>
  <c r="N761" i="1"/>
  <c r="M761" i="1"/>
  <c r="L761" i="1"/>
  <c r="K761" i="1"/>
  <c r="I761" i="1"/>
  <c r="O760" i="1"/>
  <c r="P760" i="1" s="1"/>
  <c r="N760" i="1"/>
  <c r="M760" i="1"/>
  <c r="L760" i="1"/>
  <c r="K760" i="1"/>
  <c r="I760" i="1"/>
  <c r="O759" i="1"/>
  <c r="P759" i="1" s="1"/>
  <c r="N759" i="1"/>
  <c r="M759" i="1"/>
  <c r="L759" i="1"/>
  <c r="K759" i="1"/>
  <c r="I759" i="1"/>
  <c r="O758" i="1"/>
  <c r="P758" i="1" s="1"/>
  <c r="N758" i="1"/>
  <c r="M758" i="1"/>
  <c r="L758" i="1"/>
  <c r="K758" i="1"/>
  <c r="I758" i="1"/>
  <c r="O757" i="1"/>
  <c r="P757" i="1" s="1"/>
  <c r="N757" i="1"/>
  <c r="M757" i="1"/>
  <c r="L757" i="1"/>
  <c r="K757" i="1"/>
  <c r="I757" i="1"/>
  <c r="O756" i="1"/>
  <c r="P756" i="1" s="1"/>
  <c r="N756" i="1"/>
  <c r="M756" i="1"/>
  <c r="L756" i="1"/>
  <c r="K756" i="1"/>
  <c r="I756" i="1"/>
  <c r="O755" i="1"/>
  <c r="P755" i="1" s="1"/>
  <c r="N755" i="1"/>
  <c r="M755" i="1"/>
  <c r="L755" i="1"/>
  <c r="K755" i="1"/>
  <c r="I755" i="1"/>
  <c r="O754" i="1"/>
  <c r="P754" i="1" s="1"/>
  <c r="N754" i="1"/>
  <c r="M754" i="1"/>
  <c r="L754" i="1"/>
  <c r="K754" i="1"/>
  <c r="I754" i="1"/>
  <c r="O753" i="1"/>
  <c r="P753" i="1" s="1"/>
  <c r="N753" i="1"/>
  <c r="M753" i="1"/>
  <c r="L753" i="1"/>
  <c r="K753" i="1"/>
  <c r="I753" i="1"/>
  <c r="O752" i="1"/>
  <c r="P752" i="1" s="1"/>
  <c r="N752" i="1"/>
  <c r="M752" i="1"/>
  <c r="L752" i="1"/>
  <c r="K752" i="1"/>
  <c r="I752" i="1"/>
  <c r="O751" i="1"/>
  <c r="P751" i="1" s="1"/>
  <c r="N751" i="1"/>
  <c r="M751" i="1"/>
  <c r="L751" i="1"/>
  <c r="K751" i="1"/>
  <c r="I751" i="1"/>
  <c r="O750" i="1"/>
  <c r="P750" i="1" s="1"/>
  <c r="N750" i="1"/>
  <c r="M750" i="1"/>
  <c r="L750" i="1"/>
  <c r="K750" i="1"/>
  <c r="I750" i="1"/>
  <c r="O749" i="1"/>
  <c r="P749" i="1" s="1"/>
  <c r="N749" i="1"/>
  <c r="M749" i="1"/>
  <c r="L749" i="1"/>
  <c r="K749" i="1"/>
  <c r="I749" i="1"/>
  <c r="O748" i="1"/>
  <c r="P748" i="1" s="1"/>
  <c r="N748" i="1"/>
  <c r="M748" i="1"/>
  <c r="L748" i="1"/>
  <c r="K748" i="1"/>
  <c r="I748" i="1"/>
  <c r="O747" i="1"/>
  <c r="P747" i="1" s="1"/>
  <c r="N747" i="1"/>
  <c r="M747" i="1"/>
  <c r="L747" i="1"/>
  <c r="K747" i="1"/>
  <c r="I747" i="1"/>
  <c r="O746" i="1"/>
  <c r="P746" i="1" s="1"/>
  <c r="N746" i="1"/>
  <c r="M746" i="1"/>
  <c r="L746" i="1"/>
  <c r="K746" i="1"/>
  <c r="I746" i="1"/>
  <c r="O745" i="1"/>
  <c r="P745" i="1" s="1"/>
  <c r="N745" i="1"/>
  <c r="M745" i="1"/>
  <c r="L745" i="1"/>
  <c r="K745" i="1"/>
  <c r="I745" i="1"/>
  <c r="O744" i="1"/>
  <c r="P744" i="1" s="1"/>
  <c r="N744" i="1"/>
  <c r="M744" i="1"/>
  <c r="L744" i="1"/>
  <c r="K744" i="1"/>
  <c r="I744" i="1"/>
  <c r="O743" i="1"/>
  <c r="P743" i="1" s="1"/>
  <c r="N743" i="1"/>
  <c r="M743" i="1"/>
  <c r="L743" i="1"/>
  <c r="K743" i="1"/>
  <c r="I743" i="1"/>
  <c r="O742" i="1"/>
  <c r="P742" i="1" s="1"/>
  <c r="N742" i="1"/>
  <c r="M742" i="1"/>
  <c r="L742" i="1"/>
  <c r="K742" i="1"/>
  <c r="I742" i="1"/>
  <c r="O741" i="1"/>
  <c r="P741" i="1" s="1"/>
  <c r="N741" i="1"/>
  <c r="M741" i="1"/>
  <c r="L741" i="1"/>
  <c r="K741" i="1"/>
  <c r="I741" i="1"/>
  <c r="O740" i="1"/>
  <c r="P740" i="1" s="1"/>
  <c r="N740" i="1"/>
  <c r="M740" i="1"/>
  <c r="L740" i="1"/>
  <c r="K740" i="1"/>
  <c r="I740" i="1"/>
  <c r="O739" i="1"/>
  <c r="P739" i="1" s="1"/>
  <c r="N739" i="1"/>
  <c r="M739" i="1"/>
  <c r="L739" i="1"/>
  <c r="K739" i="1"/>
  <c r="I739" i="1"/>
  <c r="O738" i="1"/>
  <c r="P738" i="1" s="1"/>
  <c r="N738" i="1"/>
  <c r="M738" i="1"/>
  <c r="L738" i="1"/>
  <c r="K738" i="1"/>
  <c r="I738" i="1"/>
  <c r="O737" i="1"/>
  <c r="P737" i="1" s="1"/>
  <c r="N737" i="1"/>
  <c r="M737" i="1"/>
  <c r="L737" i="1"/>
  <c r="K737" i="1"/>
  <c r="I737" i="1"/>
  <c r="O736" i="1"/>
  <c r="P736" i="1" s="1"/>
  <c r="N736" i="1"/>
  <c r="M736" i="1"/>
  <c r="L736" i="1"/>
  <c r="K736" i="1"/>
  <c r="I736" i="1"/>
  <c r="O735" i="1"/>
  <c r="P735" i="1" s="1"/>
  <c r="N735" i="1"/>
  <c r="M735" i="1"/>
  <c r="L735" i="1"/>
  <c r="K735" i="1"/>
  <c r="I735" i="1"/>
  <c r="O734" i="1"/>
  <c r="P734" i="1" s="1"/>
  <c r="N734" i="1"/>
  <c r="M734" i="1"/>
  <c r="L734" i="1"/>
  <c r="K734" i="1"/>
  <c r="I734" i="1"/>
  <c r="O733" i="1"/>
  <c r="P733" i="1" s="1"/>
  <c r="N733" i="1"/>
  <c r="M733" i="1"/>
  <c r="L733" i="1"/>
  <c r="K733" i="1"/>
  <c r="I733" i="1"/>
  <c r="O732" i="1"/>
  <c r="P732" i="1" s="1"/>
  <c r="N732" i="1"/>
  <c r="M732" i="1"/>
  <c r="L732" i="1"/>
  <c r="K732" i="1"/>
  <c r="I732" i="1"/>
  <c r="O731" i="1"/>
  <c r="P731" i="1" s="1"/>
  <c r="N731" i="1"/>
  <c r="M731" i="1"/>
  <c r="L731" i="1"/>
  <c r="K731" i="1"/>
  <c r="I731" i="1"/>
  <c r="O730" i="1"/>
  <c r="P730" i="1" s="1"/>
  <c r="N730" i="1"/>
  <c r="M730" i="1"/>
  <c r="L730" i="1"/>
  <c r="K730" i="1"/>
  <c r="I730" i="1"/>
  <c r="O729" i="1"/>
  <c r="P729" i="1" s="1"/>
  <c r="N729" i="1"/>
  <c r="M729" i="1"/>
  <c r="L729" i="1"/>
  <c r="K729" i="1"/>
  <c r="I729" i="1"/>
  <c r="O728" i="1"/>
  <c r="P728" i="1" s="1"/>
  <c r="N728" i="1"/>
  <c r="M728" i="1"/>
  <c r="L728" i="1"/>
  <c r="K728" i="1"/>
  <c r="I728" i="1"/>
  <c r="O727" i="1"/>
  <c r="P727" i="1" s="1"/>
  <c r="N727" i="1"/>
  <c r="M727" i="1"/>
  <c r="L727" i="1"/>
  <c r="K727" i="1"/>
  <c r="I727" i="1"/>
  <c r="O726" i="1"/>
  <c r="P726" i="1" s="1"/>
  <c r="N726" i="1"/>
  <c r="M726" i="1"/>
  <c r="L726" i="1"/>
  <c r="K726" i="1"/>
  <c r="I726" i="1"/>
  <c r="O725" i="1"/>
  <c r="P725" i="1" s="1"/>
  <c r="N725" i="1"/>
  <c r="M725" i="1"/>
  <c r="L725" i="1"/>
  <c r="K725" i="1"/>
  <c r="I725" i="1"/>
  <c r="O724" i="1"/>
  <c r="P724" i="1" s="1"/>
  <c r="N724" i="1"/>
  <c r="M724" i="1"/>
  <c r="L724" i="1"/>
  <c r="K724" i="1"/>
  <c r="I724" i="1"/>
  <c r="O723" i="1"/>
  <c r="P723" i="1" s="1"/>
  <c r="N723" i="1"/>
  <c r="M723" i="1"/>
  <c r="L723" i="1"/>
  <c r="K723" i="1"/>
  <c r="I723" i="1"/>
  <c r="O722" i="1"/>
  <c r="P722" i="1" s="1"/>
  <c r="N722" i="1"/>
  <c r="M722" i="1"/>
  <c r="L722" i="1"/>
  <c r="K722" i="1"/>
  <c r="I722" i="1"/>
  <c r="O721" i="1"/>
  <c r="P721" i="1" s="1"/>
  <c r="N721" i="1"/>
  <c r="M721" i="1"/>
  <c r="L721" i="1"/>
  <c r="K721" i="1"/>
  <c r="I721" i="1"/>
  <c r="O720" i="1"/>
  <c r="P720" i="1" s="1"/>
  <c r="N720" i="1"/>
  <c r="M720" i="1"/>
  <c r="L720" i="1"/>
  <c r="K720" i="1"/>
  <c r="I720" i="1"/>
  <c r="O719" i="1"/>
  <c r="P719" i="1" s="1"/>
  <c r="N719" i="1"/>
  <c r="M719" i="1"/>
  <c r="L719" i="1"/>
  <c r="K719" i="1"/>
  <c r="I719" i="1"/>
  <c r="O718" i="1"/>
  <c r="P718" i="1" s="1"/>
  <c r="N718" i="1"/>
  <c r="M718" i="1"/>
  <c r="L718" i="1"/>
  <c r="K718" i="1"/>
  <c r="I718" i="1"/>
  <c r="O717" i="1"/>
  <c r="P717" i="1" s="1"/>
  <c r="N717" i="1"/>
  <c r="M717" i="1"/>
  <c r="L717" i="1"/>
  <c r="K717" i="1"/>
  <c r="I717" i="1"/>
  <c r="O716" i="1"/>
  <c r="P716" i="1" s="1"/>
  <c r="N716" i="1"/>
  <c r="M716" i="1"/>
  <c r="L716" i="1"/>
  <c r="K716" i="1"/>
  <c r="I716" i="1"/>
  <c r="O715" i="1"/>
  <c r="P715" i="1" s="1"/>
  <c r="N715" i="1"/>
  <c r="M715" i="1"/>
  <c r="L715" i="1"/>
  <c r="K715" i="1"/>
  <c r="I715" i="1"/>
  <c r="O714" i="1"/>
  <c r="P714" i="1" s="1"/>
  <c r="N714" i="1"/>
  <c r="M714" i="1"/>
  <c r="L714" i="1"/>
  <c r="K714" i="1"/>
  <c r="I714" i="1"/>
  <c r="O713" i="1"/>
  <c r="P713" i="1" s="1"/>
  <c r="N713" i="1"/>
  <c r="M713" i="1"/>
  <c r="L713" i="1"/>
  <c r="K713" i="1"/>
  <c r="I713" i="1"/>
  <c r="O712" i="1"/>
  <c r="P712" i="1" s="1"/>
  <c r="N712" i="1"/>
  <c r="M712" i="1"/>
  <c r="L712" i="1"/>
  <c r="K712" i="1"/>
  <c r="I712" i="1"/>
  <c r="O711" i="1"/>
  <c r="P711" i="1" s="1"/>
  <c r="N711" i="1"/>
  <c r="M711" i="1"/>
  <c r="L711" i="1"/>
  <c r="K711" i="1"/>
  <c r="I711" i="1"/>
  <c r="O710" i="1"/>
  <c r="P710" i="1" s="1"/>
  <c r="N710" i="1"/>
  <c r="M710" i="1"/>
  <c r="L710" i="1"/>
  <c r="K710" i="1"/>
  <c r="I710" i="1"/>
  <c r="O709" i="1"/>
  <c r="P709" i="1" s="1"/>
  <c r="N709" i="1"/>
  <c r="M709" i="1"/>
  <c r="L709" i="1"/>
  <c r="K709" i="1"/>
  <c r="I709" i="1"/>
  <c r="O708" i="1"/>
  <c r="P708" i="1" s="1"/>
  <c r="N708" i="1"/>
  <c r="M708" i="1"/>
  <c r="L708" i="1"/>
  <c r="K708" i="1"/>
  <c r="I708" i="1"/>
  <c r="O707" i="1"/>
  <c r="P707" i="1" s="1"/>
  <c r="N707" i="1"/>
  <c r="M707" i="1"/>
  <c r="L707" i="1"/>
  <c r="K707" i="1"/>
  <c r="I707" i="1"/>
  <c r="O706" i="1"/>
  <c r="P706" i="1" s="1"/>
  <c r="N706" i="1"/>
  <c r="M706" i="1"/>
  <c r="L706" i="1"/>
  <c r="K706" i="1"/>
  <c r="I706" i="1"/>
  <c r="O705" i="1"/>
  <c r="P705" i="1" s="1"/>
  <c r="N705" i="1"/>
  <c r="M705" i="1"/>
  <c r="L705" i="1"/>
  <c r="K705" i="1"/>
  <c r="I705" i="1"/>
  <c r="O704" i="1"/>
  <c r="P704" i="1" s="1"/>
  <c r="N704" i="1"/>
  <c r="M704" i="1"/>
  <c r="L704" i="1"/>
  <c r="K704" i="1"/>
  <c r="I704" i="1"/>
  <c r="O703" i="1"/>
  <c r="P703" i="1" s="1"/>
  <c r="N703" i="1"/>
  <c r="M703" i="1"/>
  <c r="L703" i="1"/>
  <c r="K703" i="1"/>
  <c r="I703" i="1"/>
  <c r="O702" i="1"/>
  <c r="P702" i="1" s="1"/>
  <c r="N702" i="1"/>
  <c r="M702" i="1"/>
  <c r="L702" i="1"/>
  <c r="K702" i="1"/>
  <c r="I702" i="1"/>
  <c r="O701" i="1"/>
  <c r="P701" i="1" s="1"/>
  <c r="N701" i="1"/>
  <c r="M701" i="1"/>
  <c r="L701" i="1"/>
  <c r="K701" i="1"/>
  <c r="I701" i="1"/>
  <c r="O700" i="1"/>
  <c r="P700" i="1" s="1"/>
  <c r="N700" i="1"/>
  <c r="M700" i="1"/>
  <c r="L700" i="1"/>
  <c r="K700" i="1"/>
  <c r="I700" i="1"/>
  <c r="O699" i="1"/>
  <c r="P699" i="1" s="1"/>
  <c r="N699" i="1"/>
  <c r="M699" i="1"/>
  <c r="L699" i="1"/>
  <c r="K699" i="1"/>
  <c r="I699" i="1"/>
  <c r="O698" i="1"/>
  <c r="P698" i="1" s="1"/>
  <c r="N698" i="1"/>
  <c r="M698" i="1"/>
  <c r="L698" i="1"/>
  <c r="K698" i="1"/>
  <c r="I698" i="1"/>
  <c r="O697" i="1"/>
  <c r="P697" i="1" s="1"/>
  <c r="N697" i="1"/>
  <c r="M697" i="1"/>
  <c r="L697" i="1"/>
  <c r="K697" i="1"/>
  <c r="I697" i="1"/>
  <c r="O696" i="1"/>
  <c r="P696" i="1" s="1"/>
  <c r="N696" i="1"/>
  <c r="M696" i="1"/>
  <c r="L696" i="1"/>
  <c r="K696" i="1"/>
  <c r="I696" i="1"/>
  <c r="O695" i="1"/>
  <c r="P695" i="1" s="1"/>
  <c r="N695" i="1"/>
  <c r="M695" i="1"/>
  <c r="L695" i="1"/>
  <c r="K695" i="1"/>
  <c r="I695" i="1"/>
  <c r="O694" i="1"/>
  <c r="P694" i="1" s="1"/>
  <c r="N694" i="1"/>
  <c r="M694" i="1"/>
  <c r="L694" i="1"/>
  <c r="K694" i="1"/>
  <c r="I694" i="1"/>
  <c r="O693" i="1"/>
  <c r="P693" i="1" s="1"/>
  <c r="N693" i="1"/>
  <c r="M693" i="1"/>
  <c r="L693" i="1"/>
  <c r="K693" i="1"/>
  <c r="I693" i="1"/>
  <c r="O692" i="1"/>
  <c r="P692" i="1" s="1"/>
  <c r="N692" i="1"/>
  <c r="M692" i="1"/>
  <c r="L692" i="1"/>
  <c r="K692" i="1"/>
  <c r="I692" i="1"/>
  <c r="O691" i="1"/>
  <c r="P691" i="1" s="1"/>
  <c r="N691" i="1"/>
  <c r="M691" i="1"/>
  <c r="L691" i="1"/>
  <c r="K691" i="1"/>
  <c r="I691" i="1"/>
  <c r="O690" i="1"/>
  <c r="P690" i="1" s="1"/>
  <c r="N690" i="1"/>
  <c r="M690" i="1"/>
  <c r="L690" i="1"/>
  <c r="K690" i="1"/>
  <c r="I690" i="1"/>
  <c r="O689" i="1"/>
  <c r="P689" i="1" s="1"/>
  <c r="N689" i="1"/>
  <c r="M689" i="1"/>
  <c r="L689" i="1"/>
  <c r="K689" i="1"/>
  <c r="I689" i="1"/>
  <c r="O688" i="1"/>
  <c r="P688" i="1" s="1"/>
  <c r="N688" i="1"/>
  <c r="M688" i="1"/>
  <c r="L688" i="1"/>
  <c r="K688" i="1"/>
  <c r="I688" i="1"/>
  <c r="O687" i="1"/>
  <c r="P687" i="1" s="1"/>
  <c r="N687" i="1"/>
  <c r="M687" i="1"/>
  <c r="L687" i="1"/>
  <c r="K687" i="1"/>
  <c r="I687" i="1"/>
  <c r="O686" i="1"/>
  <c r="P686" i="1" s="1"/>
  <c r="N686" i="1"/>
  <c r="M686" i="1"/>
  <c r="L686" i="1"/>
  <c r="K686" i="1"/>
  <c r="I686" i="1"/>
  <c r="O685" i="1"/>
  <c r="P685" i="1" s="1"/>
  <c r="N685" i="1"/>
  <c r="M685" i="1"/>
  <c r="L685" i="1"/>
  <c r="K685" i="1"/>
  <c r="I685" i="1"/>
  <c r="O684" i="1"/>
  <c r="P684" i="1" s="1"/>
  <c r="N684" i="1"/>
  <c r="M684" i="1"/>
  <c r="L684" i="1"/>
  <c r="K684" i="1"/>
  <c r="I684" i="1"/>
  <c r="O683" i="1"/>
  <c r="P683" i="1" s="1"/>
  <c r="N683" i="1"/>
  <c r="M683" i="1"/>
  <c r="L683" i="1"/>
  <c r="K683" i="1"/>
  <c r="I683" i="1"/>
  <c r="O682" i="1"/>
  <c r="P682" i="1" s="1"/>
  <c r="N682" i="1"/>
  <c r="M682" i="1"/>
  <c r="L682" i="1"/>
  <c r="K682" i="1"/>
  <c r="I682" i="1"/>
  <c r="O681" i="1"/>
  <c r="P681" i="1" s="1"/>
  <c r="N681" i="1"/>
  <c r="M681" i="1"/>
  <c r="L681" i="1"/>
  <c r="K681" i="1"/>
  <c r="I681" i="1"/>
  <c r="O680" i="1"/>
  <c r="P680" i="1" s="1"/>
  <c r="N680" i="1"/>
  <c r="M680" i="1"/>
  <c r="L680" i="1"/>
  <c r="K680" i="1"/>
  <c r="I680" i="1"/>
  <c r="O679" i="1"/>
  <c r="P679" i="1" s="1"/>
  <c r="N679" i="1"/>
  <c r="M679" i="1"/>
  <c r="L679" i="1"/>
  <c r="K679" i="1"/>
  <c r="I679" i="1"/>
  <c r="O678" i="1"/>
  <c r="P678" i="1" s="1"/>
  <c r="N678" i="1"/>
  <c r="M678" i="1"/>
  <c r="L678" i="1"/>
  <c r="K678" i="1"/>
  <c r="I678" i="1"/>
  <c r="O677" i="1"/>
  <c r="P677" i="1" s="1"/>
  <c r="N677" i="1"/>
  <c r="M677" i="1"/>
  <c r="L677" i="1"/>
  <c r="K677" i="1"/>
  <c r="I677" i="1"/>
  <c r="O676" i="1"/>
  <c r="P676" i="1" s="1"/>
  <c r="N676" i="1"/>
  <c r="M676" i="1"/>
  <c r="L676" i="1"/>
  <c r="K676" i="1"/>
  <c r="I676" i="1"/>
  <c r="O675" i="1"/>
  <c r="P675" i="1" s="1"/>
  <c r="N675" i="1"/>
  <c r="M675" i="1"/>
  <c r="L675" i="1"/>
  <c r="K675" i="1"/>
  <c r="I675" i="1"/>
  <c r="O674" i="1"/>
  <c r="P674" i="1" s="1"/>
  <c r="N674" i="1"/>
  <c r="M674" i="1"/>
  <c r="L674" i="1"/>
  <c r="K674" i="1"/>
  <c r="I674" i="1"/>
  <c r="O673" i="1"/>
  <c r="P673" i="1" s="1"/>
  <c r="N673" i="1"/>
  <c r="M673" i="1"/>
  <c r="L673" i="1"/>
  <c r="K673" i="1"/>
  <c r="I673" i="1"/>
  <c r="O672" i="1"/>
  <c r="P672" i="1" s="1"/>
  <c r="N672" i="1"/>
  <c r="M672" i="1"/>
  <c r="L672" i="1"/>
  <c r="K672" i="1"/>
  <c r="I672" i="1"/>
  <c r="O671" i="1"/>
  <c r="P671" i="1" s="1"/>
  <c r="N671" i="1"/>
  <c r="M671" i="1"/>
  <c r="L671" i="1"/>
  <c r="K671" i="1"/>
  <c r="I671" i="1"/>
  <c r="O670" i="1"/>
  <c r="P670" i="1" s="1"/>
  <c r="N670" i="1"/>
  <c r="M670" i="1"/>
  <c r="L670" i="1"/>
  <c r="K670" i="1"/>
  <c r="I670" i="1"/>
  <c r="O669" i="1"/>
  <c r="P669" i="1" s="1"/>
  <c r="N669" i="1"/>
  <c r="M669" i="1"/>
  <c r="L669" i="1"/>
  <c r="K669" i="1"/>
  <c r="I669" i="1"/>
  <c r="O668" i="1"/>
  <c r="P668" i="1" s="1"/>
  <c r="N668" i="1"/>
  <c r="M668" i="1"/>
  <c r="L668" i="1"/>
  <c r="K668" i="1"/>
  <c r="I668" i="1"/>
  <c r="O667" i="1"/>
  <c r="P667" i="1" s="1"/>
  <c r="N667" i="1"/>
  <c r="M667" i="1"/>
  <c r="L667" i="1"/>
  <c r="K667" i="1"/>
  <c r="I667" i="1"/>
  <c r="O666" i="1"/>
  <c r="P666" i="1" s="1"/>
  <c r="N666" i="1"/>
  <c r="M666" i="1"/>
  <c r="L666" i="1"/>
  <c r="K666" i="1"/>
  <c r="I666" i="1"/>
  <c r="O665" i="1"/>
  <c r="P665" i="1" s="1"/>
  <c r="N665" i="1"/>
  <c r="M665" i="1"/>
  <c r="L665" i="1"/>
  <c r="K665" i="1"/>
  <c r="I665" i="1"/>
  <c r="O664" i="1"/>
  <c r="P664" i="1" s="1"/>
  <c r="N664" i="1"/>
  <c r="M664" i="1"/>
  <c r="L664" i="1"/>
  <c r="K664" i="1"/>
  <c r="I664" i="1"/>
  <c r="O663" i="1"/>
  <c r="P663" i="1" s="1"/>
  <c r="N663" i="1"/>
  <c r="M663" i="1"/>
  <c r="L663" i="1"/>
  <c r="K663" i="1"/>
  <c r="I663" i="1"/>
  <c r="O662" i="1"/>
  <c r="P662" i="1" s="1"/>
  <c r="N662" i="1"/>
  <c r="M662" i="1"/>
  <c r="L662" i="1"/>
  <c r="K662" i="1"/>
  <c r="I662" i="1"/>
  <c r="O661" i="1"/>
  <c r="P661" i="1" s="1"/>
  <c r="N661" i="1"/>
  <c r="M661" i="1"/>
  <c r="L661" i="1"/>
  <c r="K661" i="1"/>
  <c r="I661" i="1"/>
  <c r="O660" i="1"/>
  <c r="P660" i="1" s="1"/>
  <c r="N660" i="1"/>
  <c r="M660" i="1"/>
  <c r="L660" i="1"/>
  <c r="K660" i="1"/>
  <c r="I660" i="1"/>
  <c r="O659" i="1"/>
  <c r="P659" i="1" s="1"/>
  <c r="N659" i="1"/>
  <c r="M659" i="1"/>
  <c r="L659" i="1"/>
  <c r="K659" i="1"/>
  <c r="I659" i="1"/>
  <c r="O658" i="1"/>
  <c r="P658" i="1" s="1"/>
  <c r="N658" i="1"/>
  <c r="M658" i="1"/>
  <c r="L658" i="1"/>
  <c r="K658" i="1"/>
  <c r="I658" i="1"/>
  <c r="O657" i="1"/>
  <c r="P657" i="1" s="1"/>
  <c r="N657" i="1"/>
  <c r="M657" i="1"/>
  <c r="L657" i="1"/>
  <c r="K657" i="1"/>
  <c r="I657" i="1"/>
  <c r="O656" i="1"/>
  <c r="P656" i="1" s="1"/>
  <c r="N656" i="1"/>
  <c r="M656" i="1"/>
  <c r="L656" i="1"/>
  <c r="K656" i="1"/>
  <c r="I656" i="1"/>
  <c r="O655" i="1"/>
  <c r="P655" i="1" s="1"/>
  <c r="N655" i="1"/>
  <c r="M655" i="1"/>
  <c r="L655" i="1"/>
  <c r="K655" i="1"/>
  <c r="I655" i="1"/>
  <c r="O654" i="1"/>
  <c r="P654" i="1" s="1"/>
  <c r="N654" i="1"/>
  <c r="M654" i="1"/>
  <c r="L654" i="1"/>
  <c r="K654" i="1"/>
  <c r="I654" i="1"/>
  <c r="O653" i="1"/>
  <c r="P653" i="1" s="1"/>
  <c r="N653" i="1"/>
  <c r="M653" i="1"/>
  <c r="L653" i="1"/>
  <c r="K653" i="1"/>
  <c r="I653" i="1"/>
  <c r="O652" i="1"/>
  <c r="P652" i="1" s="1"/>
  <c r="N652" i="1"/>
  <c r="M652" i="1"/>
  <c r="L652" i="1"/>
  <c r="K652" i="1"/>
  <c r="I652" i="1"/>
  <c r="O651" i="1"/>
  <c r="P651" i="1" s="1"/>
  <c r="N651" i="1"/>
  <c r="M651" i="1"/>
  <c r="L651" i="1"/>
  <c r="K651" i="1"/>
  <c r="I651" i="1"/>
  <c r="O650" i="1"/>
  <c r="P650" i="1" s="1"/>
  <c r="N650" i="1"/>
  <c r="M650" i="1"/>
  <c r="L650" i="1"/>
  <c r="K650" i="1"/>
  <c r="I650" i="1"/>
  <c r="O649" i="1"/>
  <c r="P649" i="1" s="1"/>
  <c r="N649" i="1"/>
  <c r="M649" i="1"/>
  <c r="L649" i="1"/>
  <c r="K649" i="1"/>
  <c r="I649" i="1"/>
  <c r="O648" i="1"/>
  <c r="P648" i="1" s="1"/>
  <c r="N648" i="1"/>
  <c r="M648" i="1"/>
  <c r="L648" i="1"/>
  <c r="K648" i="1"/>
  <c r="I648" i="1"/>
  <c r="O647" i="1"/>
  <c r="P647" i="1" s="1"/>
  <c r="N647" i="1"/>
  <c r="M647" i="1"/>
  <c r="L647" i="1"/>
  <c r="K647" i="1"/>
  <c r="I647" i="1"/>
  <c r="O646" i="1"/>
  <c r="P646" i="1" s="1"/>
  <c r="N646" i="1"/>
  <c r="M646" i="1"/>
  <c r="L646" i="1"/>
  <c r="K646" i="1"/>
  <c r="I646" i="1"/>
  <c r="O645" i="1"/>
  <c r="P645" i="1" s="1"/>
  <c r="N645" i="1"/>
  <c r="M645" i="1"/>
  <c r="L645" i="1"/>
  <c r="K645" i="1"/>
  <c r="I645" i="1"/>
  <c r="O644" i="1"/>
  <c r="P644" i="1" s="1"/>
  <c r="N644" i="1"/>
  <c r="M644" i="1"/>
  <c r="L644" i="1"/>
  <c r="K644" i="1"/>
  <c r="I644" i="1"/>
  <c r="O643" i="1"/>
  <c r="P643" i="1" s="1"/>
  <c r="N643" i="1"/>
  <c r="M643" i="1"/>
  <c r="L643" i="1"/>
  <c r="K643" i="1"/>
  <c r="I643" i="1"/>
  <c r="O642" i="1"/>
  <c r="P642" i="1" s="1"/>
  <c r="N642" i="1"/>
  <c r="M642" i="1"/>
  <c r="L642" i="1"/>
  <c r="K642" i="1"/>
  <c r="I642" i="1"/>
  <c r="O641" i="1"/>
  <c r="P641" i="1" s="1"/>
  <c r="N641" i="1"/>
  <c r="M641" i="1"/>
  <c r="L641" i="1"/>
  <c r="K641" i="1"/>
  <c r="I641" i="1"/>
  <c r="O640" i="1"/>
  <c r="P640" i="1" s="1"/>
  <c r="N640" i="1"/>
  <c r="M640" i="1"/>
  <c r="L640" i="1"/>
  <c r="K640" i="1"/>
  <c r="I640" i="1"/>
  <c r="O639" i="1"/>
  <c r="P639" i="1" s="1"/>
  <c r="N639" i="1"/>
  <c r="M639" i="1"/>
  <c r="L639" i="1"/>
  <c r="K639" i="1"/>
  <c r="I639" i="1"/>
  <c r="O638" i="1"/>
  <c r="P638" i="1" s="1"/>
  <c r="N638" i="1"/>
  <c r="M638" i="1"/>
  <c r="L638" i="1"/>
  <c r="K638" i="1"/>
  <c r="I638" i="1"/>
  <c r="O637" i="1"/>
  <c r="P637" i="1" s="1"/>
  <c r="N637" i="1"/>
  <c r="M637" i="1"/>
  <c r="L637" i="1"/>
  <c r="K637" i="1"/>
  <c r="I637" i="1"/>
  <c r="O636" i="1"/>
  <c r="P636" i="1" s="1"/>
  <c r="N636" i="1"/>
  <c r="M636" i="1"/>
  <c r="L636" i="1"/>
  <c r="K636" i="1"/>
  <c r="I636" i="1"/>
  <c r="O635" i="1"/>
  <c r="P635" i="1" s="1"/>
  <c r="N635" i="1"/>
  <c r="M635" i="1"/>
  <c r="L635" i="1"/>
  <c r="K635" i="1"/>
  <c r="I635" i="1"/>
  <c r="O634" i="1"/>
  <c r="P634" i="1" s="1"/>
  <c r="N634" i="1"/>
  <c r="M634" i="1"/>
  <c r="L634" i="1"/>
  <c r="K634" i="1"/>
  <c r="I634" i="1"/>
  <c r="O633" i="1"/>
  <c r="P633" i="1" s="1"/>
  <c r="N633" i="1"/>
  <c r="M633" i="1"/>
  <c r="L633" i="1"/>
  <c r="K633" i="1"/>
  <c r="I633" i="1"/>
  <c r="O632" i="1"/>
  <c r="P632" i="1" s="1"/>
  <c r="N632" i="1"/>
  <c r="M632" i="1"/>
  <c r="L632" i="1"/>
  <c r="K632" i="1"/>
  <c r="I632" i="1"/>
  <c r="O631" i="1"/>
  <c r="P631" i="1" s="1"/>
  <c r="N631" i="1"/>
  <c r="M631" i="1"/>
  <c r="L631" i="1"/>
  <c r="K631" i="1"/>
  <c r="I631" i="1"/>
  <c r="O630" i="1"/>
  <c r="P630" i="1" s="1"/>
  <c r="N630" i="1"/>
  <c r="M630" i="1"/>
  <c r="L630" i="1"/>
  <c r="K630" i="1"/>
  <c r="I630" i="1"/>
  <c r="O629" i="1"/>
  <c r="P629" i="1" s="1"/>
  <c r="N629" i="1"/>
  <c r="M629" i="1"/>
  <c r="L629" i="1"/>
  <c r="K629" i="1"/>
  <c r="I629" i="1"/>
  <c r="O628" i="1"/>
  <c r="P628" i="1" s="1"/>
  <c r="N628" i="1"/>
  <c r="M628" i="1"/>
  <c r="L628" i="1"/>
  <c r="K628" i="1"/>
  <c r="I628" i="1"/>
  <c r="O627" i="1"/>
  <c r="P627" i="1" s="1"/>
  <c r="N627" i="1"/>
  <c r="M627" i="1"/>
  <c r="L627" i="1"/>
  <c r="K627" i="1"/>
  <c r="I627" i="1"/>
  <c r="O626" i="1"/>
  <c r="P626" i="1" s="1"/>
  <c r="N626" i="1"/>
  <c r="M626" i="1"/>
  <c r="L626" i="1"/>
  <c r="K626" i="1"/>
  <c r="I626" i="1"/>
  <c r="O625" i="1"/>
  <c r="P625" i="1" s="1"/>
  <c r="N625" i="1"/>
  <c r="M625" i="1"/>
  <c r="L625" i="1"/>
  <c r="K625" i="1"/>
  <c r="I625" i="1"/>
  <c r="O624" i="1"/>
  <c r="P624" i="1" s="1"/>
  <c r="N624" i="1"/>
  <c r="M624" i="1"/>
  <c r="L624" i="1"/>
  <c r="K624" i="1"/>
  <c r="I624" i="1"/>
  <c r="O623" i="1"/>
  <c r="P623" i="1" s="1"/>
  <c r="N623" i="1"/>
  <c r="M623" i="1"/>
  <c r="L623" i="1"/>
  <c r="K623" i="1"/>
  <c r="I623" i="1"/>
  <c r="O622" i="1"/>
  <c r="P622" i="1" s="1"/>
  <c r="N622" i="1"/>
  <c r="M622" i="1"/>
  <c r="L622" i="1"/>
  <c r="K622" i="1"/>
  <c r="I622" i="1"/>
  <c r="O621" i="1"/>
  <c r="P621" i="1" s="1"/>
  <c r="N621" i="1"/>
  <c r="M621" i="1"/>
  <c r="L621" i="1"/>
  <c r="K621" i="1"/>
  <c r="I621" i="1"/>
  <c r="O620" i="1"/>
  <c r="P620" i="1" s="1"/>
  <c r="N620" i="1"/>
  <c r="M620" i="1"/>
  <c r="L620" i="1"/>
  <c r="K620" i="1"/>
  <c r="I620" i="1"/>
  <c r="O619" i="1"/>
  <c r="P619" i="1" s="1"/>
  <c r="N619" i="1"/>
  <c r="M619" i="1"/>
  <c r="L619" i="1"/>
  <c r="K619" i="1"/>
  <c r="I619" i="1"/>
  <c r="O618" i="1"/>
  <c r="P618" i="1" s="1"/>
  <c r="N618" i="1"/>
  <c r="M618" i="1"/>
  <c r="L618" i="1"/>
  <c r="K618" i="1"/>
  <c r="I618" i="1"/>
  <c r="O617" i="1"/>
  <c r="P617" i="1" s="1"/>
  <c r="N617" i="1"/>
  <c r="M617" i="1"/>
  <c r="L617" i="1"/>
  <c r="K617" i="1"/>
  <c r="I617" i="1"/>
  <c r="O616" i="1"/>
  <c r="P616" i="1" s="1"/>
  <c r="N616" i="1"/>
  <c r="M616" i="1"/>
  <c r="L616" i="1"/>
  <c r="K616" i="1"/>
  <c r="I616" i="1"/>
  <c r="O615" i="1"/>
  <c r="P615" i="1" s="1"/>
  <c r="N615" i="1"/>
  <c r="M615" i="1"/>
  <c r="L615" i="1"/>
  <c r="K615" i="1"/>
  <c r="I615" i="1"/>
  <c r="O614" i="1"/>
  <c r="P614" i="1" s="1"/>
  <c r="N614" i="1"/>
  <c r="M614" i="1"/>
  <c r="L614" i="1"/>
  <c r="K614" i="1"/>
  <c r="I614" i="1"/>
  <c r="O613" i="1"/>
  <c r="P613" i="1" s="1"/>
  <c r="N613" i="1"/>
  <c r="M613" i="1"/>
  <c r="L613" i="1"/>
  <c r="K613" i="1"/>
  <c r="I613" i="1"/>
  <c r="O612" i="1"/>
  <c r="P612" i="1" s="1"/>
  <c r="N612" i="1"/>
  <c r="M612" i="1"/>
  <c r="L612" i="1"/>
  <c r="K612" i="1"/>
  <c r="I612" i="1"/>
  <c r="O611" i="1"/>
  <c r="P611" i="1" s="1"/>
  <c r="N611" i="1"/>
  <c r="M611" i="1"/>
  <c r="L611" i="1"/>
  <c r="K611" i="1"/>
  <c r="I611" i="1"/>
  <c r="O610" i="1"/>
  <c r="P610" i="1" s="1"/>
  <c r="N610" i="1"/>
  <c r="M610" i="1"/>
  <c r="L610" i="1"/>
  <c r="K610" i="1"/>
  <c r="I610" i="1"/>
  <c r="O609" i="1"/>
  <c r="P609" i="1" s="1"/>
  <c r="N609" i="1"/>
  <c r="M609" i="1"/>
  <c r="L609" i="1"/>
  <c r="K609" i="1"/>
  <c r="I609" i="1"/>
  <c r="O608" i="1"/>
  <c r="P608" i="1" s="1"/>
  <c r="N608" i="1"/>
  <c r="M608" i="1"/>
  <c r="L608" i="1"/>
  <c r="K608" i="1"/>
  <c r="I608" i="1"/>
  <c r="O607" i="1"/>
  <c r="P607" i="1" s="1"/>
  <c r="N607" i="1"/>
  <c r="M607" i="1"/>
  <c r="L607" i="1"/>
  <c r="K607" i="1"/>
  <c r="I607" i="1"/>
  <c r="O606" i="1"/>
  <c r="P606" i="1" s="1"/>
  <c r="N606" i="1"/>
  <c r="M606" i="1"/>
  <c r="L606" i="1"/>
  <c r="K606" i="1"/>
  <c r="I606" i="1"/>
  <c r="O605" i="1"/>
  <c r="P605" i="1" s="1"/>
  <c r="N605" i="1"/>
  <c r="M605" i="1"/>
  <c r="L605" i="1"/>
  <c r="K605" i="1"/>
  <c r="I605" i="1"/>
  <c r="O604" i="1"/>
  <c r="P604" i="1" s="1"/>
  <c r="N604" i="1"/>
  <c r="M604" i="1"/>
  <c r="L604" i="1"/>
  <c r="K604" i="1"/>
  <c r="I604" i="1"/>
  <c r="O603" i="1"/>
  <c r="P603" i="1" s="1"/>
  <c r="N603" i="1"/>
  <c r="M603" i="1"/>
  <c r="L603" i="1"/>
  <c r="K603" i="1"/>
  <c r="I603" i="1"/>
  <c r="O602" i="1"/>
  <c r="P602" i="1" s="1"/>
  <c r="N602" i="1"/>
  <c r="M602" i="1"/>
  <c r="L602" i="1"/>
  <c r="K602" i="1"/>
  <c r="I602" i="1"/>
  <c r="O601" i="1"/>
  <c r="P601" i="1" s="1"/>
  <c r="N601" i="1"/>
  <c r="M601" i="1"/>
  <c r="L601" i="1"/>
  <c r="K601" i="1"/>
  <c r="I601" i="1"/>
  <c r="O600" i="1"/>
  <c r="P600" i="1" s="1"/>
  <c r="N600" i="1"/>
  <c r="M600" i="1"/>
  <c r="L600" i="1"/>
  <c r="K600" i="1"/>
  <c r="I600" i="1"/>
  <c r="O599" i="1"/>
  <c r="P599" i="1" s="1"/>
  <c r="N599" i="1"/>
  <c r="M599" i="1"/>
  <c r="L599" i="1"/>
  <c r="K599" i="1"/>
  <c r="I599" i="1"/>
  <c r="O598" i="1"/>
  <c r="P598" i="1" s="1"/>
  <c r="N598" i="1"/>
  <c r="M598" i="1"/>
  <c r="L598" i="1"/>
  <c r="K598" i="1"/>
  <c r="I598" i="1"/>
  <c r="O597" i="1"/>
  <c r="P597" i="1" s="1"/>
  <c r="N597" i="1"/>
  <c r="M597" i="1"/>
  <c r="L597" i="1"/>
  <c r="K597" i="1"/>
  <c r="I597" i="1"/>
  <c r="O596" i="1"/>
  <c r="P596" i="1" s="1"/>
  <c r="N596" i="1"/>
  <c r="M596" i="1"/>
  <c r="L596" i="1"/>
  <c r="K596" i="1"/>
  <c r="I596" i="1"/>
  <c r="O595" i="1"/>
  <c r="P595" i="1" s="1"/>
  <c r="N595" i="1"/>
  <c r="M595" i="1"/>
  <c r="L595" i="1"/>
  <c r="K595" i="1"/>
  <c r="I595" i="1"/>
  <c r="O594" i="1"/>
  <c r="P594" i="1" s="1"/>
  <c r="N594" i="1"/>
  <c r="M594" i="1"/>
  <c r="L594" i="1"/>
  <c r="K594" i="1"/>
  <c r="I594" i="1"/>
  <c r="O593" i="1"/>
  <c r="P593" i="1" s="1"/>
  <c r="N593" i="1"/>
  <c r="M593" i="1"/>
  <c r="L593" i="1"/>
  <c r="K593" i="1"/>
  <c r="I593" i="1"/>
  <c r="O592" i="1"/>
  <c r="P592" i="1" s="1"/>
  <c r="N592" i="1"/>
  <c r="M592" i="1"/>
  <c r="L592" i="1"/>
  <c r="K592" i="1"/>
  <c r="I592" i="1"/>
  <c r="O591" i="1"/>
  <c r="P591" i="1" s="1"/>
  <c r="N591" i="1"/>
  <c r="M591" i="1"/>
  <c r="L591" i="1"/>
  <c r="K591" i="1"/>
  <c r="I591" i="1"/>
  <c r="O590" i="1"/>
  <c r="P590" i="1" s="1"/>
  <c r="N590" i="1"/>
  <c r="M590" i="1"/>
  <c r="L590" i="1"/>
  <c r="K590" i="1"/>
  <c r="I590" i="1"/>
  <c r="O589" i="1"/>
  <c r="P589" i="1" s="1"/>
  <c r="N589" i="1"/>
  <c r="M589" i="1"/>
  <c r="L589" i="1"/>
  <c r="K589" i="1"/>
  <c r="I589" i="1"/>
  <c r="O588" i="1"/>
  <c r="P588" i="1" s="1"/>
  <c r="N588" i="1"/>
  <c r="M588" i="1"/>
  <c r="L588" i="1"/>
  <c r="K588" i="1"/>
  <c r="I588" i="1"/>
  <c r="O587" i="1"/>
  <c r="P587" i="1" s="1"/>
  <c r="N587" i="1"/>
  <c r="M587" i="1"/>
  <c r="L587" i="1"/>
  <c r="K587" i="1"/>
  <c r="I587" i="1"/>
  <c r="O586" i="1"/>
  <c r="P586" i="1" s="1"/>
  <c r="N586" i="1"/>
  <c r="M586" i="1"/>
  <c r="L586" i="1"/>
  <c r="K586" i="1"/>
  <c r="I586" i="1"/>
  <c r="O585" i="1"/>
  <c r="P585" i="1" s="1"/>
  <c r="N585" i="1"/>
  <c r="M585" i="1"/>
  <c r="L585" i="1"/>
  <c r="K585" i="1"/>
  <c r="I585" i="1"/>
  <c r="O584" i="1"/>
  <c r="P584" i="1" s="1"/>
  <c r="N584" i="1"/>
  <c r="M584" i="1"/>
  <c r="L584" i="1"/>
  <c r="K584" i="1"/>
  <c r="I584" i="1"/>
  <c r="O583" i="1"/>
  <c r="P583" i="1" s="1"/>
  <c r="N583" i="1"/>
  <c r="M583" i="1"/>
  <c r="L583" i="1"/>
  <c r="K583" i="1"/>
  <c r="I583" i="1"/>
  <c r="O582" i="1"/>
  <c r="P582" i="1" s="1"/>
  <c r="N582" i="1"/>
  <c r="M582" i="1"/>
  <c r="L582" i="1"/>
  <c r="K582" i="1"/>
  <c r="I582" i="1"/>
  <c r="O581" i="1"/>
  <c r="P581" i="1" s="1"/>
  <c r="N581" i="1"/>
  <c r="M581" i="1"/>
  <c r="L581" i="1"/>
  <c r="K581" i="1"/>
  <c r="I581" i="1"/>
  <c r="O580" i="1"/>
  <c r="P580" i="1" s="1"/>
  <c r="N580" i="1"/>
  <c r="M580" i="1"/>
  <c r="L580" i="1"/>
  <c r="K580" i="1"/>
  <c r="I580" i="1"/>
  <c r="O579" i="1"/>
  <c r="P579" i="1" s="1"/>
  <c r="N579" i="1"/>
  <c r="M579" i="1"/>
  <c r="L579" i="1"/>
  <c r="K579" i="1"/>
  <c r="I579" i="1"/>
  <c r="O578" i="1"/>
  <c r="P578" i="1" s="1"/>
  <c r="N578" i="1"/>
  <c r="M578" i="1"/>
  <c r="L578" i="1"/>
  <c r="K578" i="1"/>
  <c r="I578" i="1"/>
  <c r="O577" i="1"/>
  <c r="P577" i="1" s="1"/>
  <c r="N577" i="1"/>
  <c r="M577" i="1"/>
  <c r="L577" i="1"/>
  <c r="K577" i="1"/>
  <c r="I577" i="1"/>
  <c r="O576" i="1"/>
  <c r="P576" i="1" s="1"/>
  <c r="N576" i="1"/>
  <c r="M576" i="1"/>
  <c r="L576" i="1"/>
  <c r="K576" i="1"/>
  <c r="I576" i="1"/>
  <c r="O575" i="1"/>
  <c r="P575" i="1" s="1"/>
  <c r="N575" i="1"/>
  <c r="M575" i="1"/>
  <c r="L575" i="1"/>
  <c r="K575" i="1"/>
  <c r="I575" i="1"/>
  <c r="O574" i="1"/>
  <c r="P574" i="1" s="1"/>
  <c r="N574" i="1"/>
  <c r="M574" i="1"/>
  <c r="L574" i="1"/>
  <c r="K574" i="1"/>
  <c r="I574" i="1"/>
  <c r="O573" i="1"/>
  <c r="P573" i="1" s="1"/>
  <c r="N573" i="1"/>
  <c r="M573" i="1"/>
  <c r="L573" i="1"/>
  <c r="K573" i="1"/>
  <c r="I573" i="1"/>
  <c r="O572" i="1"/>
  <c r="P572" i="1" s="1"/>
  <c r="N572" i="1"/>
  <c r="M572" i="1"/>
  <c r="L572" i="1"/>
  <c r="K572" i="1"/>
  <c r="I572" i="1"/>
  <c r="O571" i="1"/>
  <c r="P571" i="1" s="1"/>
  <c r="N571" i="1"/>
  <c r="M571" i="1"/>
  <c r="L571" i="1"/>
  <c r="K571" i="1"/>
  <c r="I571" i="1"/>
  <c r="O570" i="1"/>
  <c r="P570" i="1" s="1"/>
  <c r="N570" i="1"/>
  <c r="M570" i="1"/>
  <c r="L570" i="1"/>
  <c r="K570" i="1"/>
  <c r="I570" i="1"/>
  <c r="O569" i="1"/>
  <c r="P569" i="1" s="1"/>
  <c r="N569" i="1"/>
  <c r="M569" i="1"/>
  <c r="L569" i="1"/>
  <c r="K569" i="1"/>
  <c r="I569" i="1"/>
  <c r="O568" i="1"/>
  <c r="P568" i="1" s="1"/>
  <c r="N568" i="1"/>
  <c r="M568" i="1"/>
  <c r="L568" i="1"/>
  <c r="K568" i="1"/>
  <c r="I568" i="1"/>
  <c r="O567" i="1"/>
  <c r="P567" i="1" s="1"/>
  <c r="N567" i="1"/>
  <c r="M567" i="1"/>
  <c r="L567" i="1"/>
  <c r="K567" i="1"/>
  <c r="I567" i="1"/>
  <c r="O566" i="1"/>
  <c r="P566" i="1" s="1"/>
  <c r="N566" i="1"/>
  <c r="M566" i="1"/>
  <c r="L566" i="1"/>
  <c r="K566" i="1"/>
  <c r="I566" i="1"/>
  <c r="O565" i="1"/>
  <c r="P565" i="1" s="1"/>
  <c r="N565" i="1"/>
  <c r="M565" i="1"/>
  <c r="L565" i="1"/>
  <c r="K565" i="1"/>
  <c r="I565" i="1"/>
  <c r="O564" i="1"/>
  <c r="P564" i="1" s="1"/>
  <c r="N564" i="1"/>
  <c r="M564" i="1"/>
  <c r="L564" i="1"/>
  <c r="K564" i="1"/>
  <c r="I564" i="1"/>
  <c r="O563" i="1"/>
  <c r="P563" i="1" s="1"/>
  <c r="N563" i="1"/>
  <c r="M563" i="1"/>
  <c r="L563" i="1"/>
  <c r="K563" i="1"/>
  <c r="I563" i="1"/>
  <c r="O562" i="1"/>
  <c r="P562" i="1" s="1"/>
  <c r="N562" i="1"/>
  <c r="M562" i="1"/>
  <c r="L562" i="1"/>
  <c r="K562" i="1"/>
  <c r="I562" i="1"/>
  <c r="O561" i="1"/>
  <c r="P561" i="1" s="1"/>
  <c r="N561" i="1"/>
  <c r="M561" i="1"/>
  <c r="L561" i="1"/>
  <c r="K561" i="1"/>
  <c r="I561" i="1"/>
  <c r="O560" i="1"/>
  <c r="P560" i="1" s="1"/>
  <c r="N560" i="1"/>
  <c r="M560" i="1"/>
  <c r="L560" i="1"/>
  <c r="K560" i="1"/>
  <c r="I560" i="1"/>
  <c r="O559" i="1"/>
  <c r="P559" i="1" s="1"/>
  <c r="N559" i="1"/>
  <c r="M559" i="1"/>
  <c r="L559" i="1"/>
  <c r="K559" i="1"/>
  <c r="I559" i="1"/>
  <c r="O558" i="1"/>
  <c r="P558" i="1" s="1"/>
  <c r="N558" i="1"/>
  <c r="M558" i="1"/>
  <c r="L558" i="1"/>
  <c r="K558" i="1"/>
  <c r="I558" i="1"/>
  <c r="O557" i="1"/>
  <c r="P557" i="1" s="1"/>
  <c r="N557" i="1"/>
  <c r="M557" i="1"/>
  <c r="L557" i="1"/>
  <c r="K557" i="1"/>
  <c r="I557" i="1"/>
  <c r="O556" i="1"/>
  <c r="P556" i="1" s="1"/>
  <c r="N556" i="1"/>
  <c r="M556" i="1"/>
  <c r="L556" i="1"/>
  <c r="K556" i="1"/>
  <c r="I556" i="1"/>
  <c r="O555" i="1"/>
  <c r="P555" i="1" s="1"/>
  <c r="N555" i="1"/>
  <c r="M555" i="1"/>
  <c r="L555" i="1"/>
  <c r="K555" i="1"/>
  <c r="I555" i="1"/>
  <c r="O554" i="1"/>
  <c r="P554" i="1" s="1"/>
  <c r="N554" i="1"/>
  <c r="M554" i="1"/>
  <c r="L554" i="1"/>
  <c r="K554" i="1"/>
  <c r="I554" i="1"/>
  <c r="O553" i="1"/>
  <c r="P553" i="1" s="1"/>
  <c r="N553" i="1"/>
  <c r="M553" i="1"/>
  <c r="L553" i="1"/>
  <c r="K553" i="1"/>
  <c r="I553" i="1"/>
  <c r="O552" i="1"/>
  <c r="P552" i="1" s="1"/>
  <c r="N552" i="1"/>
  <c r="M552" i="1"/>
  <c r="L552" i="1"/>
  <c r="K552" i="1"/>
  <c r="I552" i="1"/>
  <c r="O551" i="1"/>
  <c r="P551" i="1" s="1"/>
  <c r="N551" i="1"/>
  <c r="M551" i="1"/>
  <c r="L551" i="1"/>
  <c r="K551" i="1"/>
  <c r="I551" i="1"/>
  <c r="O550" i="1"/>
  <c r="P550" i="1" s="1"/>
  <c r="N550" i="1"/>
  <c r="M550" i="1"/>
  <c r="L550" i="1"/>
  <c r="K550" i="1"/>
  <c r="I550" i="1"/>
  <c r="O549" i="1"/>
  <c r="P549" i="1" s="1"/>
  <c r="N549" i="1"/>
  <c r="M549" i="1"/>
  <c r="L549" i="1"/>
  <c r="K549" i="1"/>
  <c r="I549" i="1"/>
  <c r="O548" i="1"/>
  <c r="P548" i="1" s="1"/>
  <c r="N548" i="1"/>
  <c r="M548" i="1"/>
  <c r="L548" i="1"/>
  <c r="K548" i="1"/>
  <c r="I548" i="1"/>
  <c r="O547" i="1"/>
  <c r="P547" i="1" s="1"/>
  <c r="N547" i="1"/>
  <c r="M547" i="1"/>
  <c r="L547" i="1"/>
  <c r="K547" i="1"/>
  <c r="I547" i="1"/>
  <c r="O546" i="1"/>
  <c r="P546" i="1" s="1"/>
  <c r="N546" i="1"/>
  <c r="M546" i="1"/>
  <c r="L546" i="1"/>
  <c r="K546" i="1"/>
  <c r="I546" i="1"/>
  <c r="O545" i="1"/>
  <c r="P545" i="1" s="1"/>
  <c r="N545" i="1"/>
  <c r="M545" i="1"/>
  <c r="L545" i="1"/>
  <c r="K545" i="1"/>
  <c r="I545" i="1"/>
  <c r="O544" i="1"/>
  <c r="P544" i="1" s="1"/>
  <c r="N544" i="1"/>
  <c r="M544" i="1"/>
  <c r="L544" i="1"/>
  <c r="K544" i="1"/>
  <c r="I544" i="1"/>
  <c r="O543" i="1"/>
  <c r="P543" i="1" s="1"/>
  <c r="N543" i="1"/>
  <c r="M543" i="1"/>
  <c r="L543" i="1"/>
  <c r="K543" i="1"/>
  <c r="I543" i="1"/>
  <c r="O542" i="1"/>
  <c r="P542" i="1" s="1"/>
  <c r="N542" i="1"/>
  <c r="M542" i="1"/>
  <c r="L542" i="1"/>
  <c r="K542" i="1"/>
  <c r="I542" i="1"/>
  <c r="O541" i="1"/>
  <c r="P541" i="1" s="1"/>
  <c r="N541" i="1"/>
  <c r="M541" i="1"/>
  <c r="L541" i="1"/>
  <c r="K541" i="1"/>
  <c r="I541" i="1"/>
  <c r="O540" i="1"/>
  <c r="P540" i="1" s="1"/>
  <c r="N540" i="1"/>
  <c r="M540" i="1"/>
  <c r="L540" i="1"/>
  <c r="K540" i="1"/>
  <c r="I540" i="1"/>
  <c r="O539" i="1"/>
  <c r="P539" i="1" s="1"/>
  <c r="N539" i="1"/>
  <c r="M539" i="1"/>
  <c r="L539" i="1"/>
  <c r="K539" i="1"/>
  <c r="I539" i="1"/>
  <c r="O538" i="1"/>
  <c r="P538" i="1" s="1"/>
  <c r="N538" i="1"/>
  <c r="M538" i="1"/>
  <c r="L538" i="1"/>
  <c r="K538" i="1"/>
  <c r="I538" i="1"/>
  <c r="O537" i="1"/>
  <c r="P537" i="1" s="1"/>
  <c r="N537" i="1"/>
  <c r="M537" i="1"/>
  <c r="L537" i="1"/>
  <c r="K537" i="1"/>
  <c r="I537" i="1"/>
  <c r="O536" i="1"/>
  <c r="P536" i="1" s="1"/>
  <c r="N536" i="1"/>
  <c r="M536" i="1"/>
  <c r="L536" i="1"/>
  <c r="K536" i="1"/>
  <c r="I536" i="1"/>
  <c r="O535" i="1"/>
  <c r="P535" i="1" s="1"/>
  <c r="N535" i="1"/>
  <c r="M535" i="1"/>
  <c r="L535" i="1"/>
  <c r="K535" i="1"/>
  <c r="I535" i="1"/>
  <c r="O534" i="1"/>
  <c r="P534" i="1" s="1"/>
  <c r="N534" i="1"/>
  <c r="M534" i="1"/>
  <c r="L534" i="1"/>
  <c r="K534" i="1"/>
  <c r="I534" i="1"/>
  <c r="O533" i="1"/>
  <c r="P533" i="1" s="1"/>
  <c r="N533" i="1"/>
  <c r="M533" i="1"/>
  <c r="L533" i="1"/>
  <c r="K533" i="1"/>
  <c r="I533" i="1"/>
  <c r="O532" i="1"/>
  <c r="P532" i="1" s="1"/>
  <c r="N532" i="1"/>
  <c r="M532" i="1"/>
  <c r="L532" i="1"/>
  <c r="K532" i="1"/>
  <c r="I532" i="1"/>
  <c r="O531" i="1"/>
  <c r="P531" i="1" s="1"/>
  <c r="N531" i="1"/>
  <c r="M531" i="1"/>
  <c r="L531" i="1"/>
  <c r="K531" i="1"/>
  <c r="I531" i="1"/>
  <c r="O530" i="1"/>
  <c r="P530" i="1" s="1"/>
  <c r="N530" i="1"/>
  <c r="M530" i="1"/>
  <c r="L530" i="1"/>
  <c r="K530" i="1"/>
  <c r="I530" i="1"/>
  <c r="O529" i="1"/>
  <c r="P529" i="1" s="1"/>
  <c r="N529" i="1"/>
  <c r="M529" i="1"/>
  <c r="L529" i="1"/>
  <c r="K529" i="1"/>
  <c r="I529" i="1"/>
  <c r="O528" i="1"/>
  <c r="P528" i="1" s="1"/>
  <c r="N528" i="1"/>
  <c r="M528" i="1"/>
  <c r="L528" i="1"/>
  <c r="K528" i="1"/>
  <c r="I528" i="1"/>
  <c r="O527" i="1"/>
  <c r="P527" i="1" s="1"/>
  <c r="N527" i="1"/>
  <c r="M527" i="1"/>
  <c r="L527" i="1"/>
  <c r="K527" i="1"/>
  <c r="I527" i="1"/>
  <c r="O526" i="1"/>
  <c r="P526" i="1" s="1"/>
  <c r="N526" i="1"/>
  <c r="M526" i="1"/>
  <c r="L526" i="1"/>
  <c r="K526" i="1"/>
  <c r="I526" i="1"/>
  <c r="O525" i="1"/>
  <c r="P525" i="1" s="1"/>
  <c r="N525" i="1"/>
  <c r="M525" i="1"/>
  <c r="L525" i="1"/>
  <c r="K525" i="1"/>
  <c r="I525" i="1"/>
  <c r="O524" i="1"/>
  <c r="P524" i="1" s="1"/>
  <c r="N524" i="1"/>
  <c r="M524" i="1"/>
  <c r="L524" i="1"/>
  <c r="K524" i="1"/>
  <c r="I524" i="1"/>
  <c r="O523" i="1"/>
  <c r="P523" i="1" s="1"/>
  <c r="N523" i="1"/>
  <c r="M523" i="1"/>
  <c r="L523" i="1"/>
  <c r="K523" i="1"/>
  <c r="I523" i="1"/>
  <c r="O522" i="1"/>
  <c r="P522" i="1" s="1"/>
  <c r="N522" i="1"/>
  <c r="M522" i="1"/>
  <c r="L522" i="1"/>
  <c r="K522" i="1"/>
  <c r="I522" i="1"/>
  <c r="O521" i="1"/>
  <c r="P521" i="1" s="1"/>
  <c r="N521" i="1"/>
  <c r="M521" i="1"/>
  <c r="L521" i="1"/>
  <c r="K521" i="1"/>
  <c r="I521" i="1"/>
  <c r="O520" i="1"/>
  <c r="P520" i="1" s="1"/>
  <c r="N520" i="1"/>
  <c r="M520" i="1"/>
  <c r="L520" i="1"/>
  <c r="K520" i="1"/>
  <c r="I520" i="1"/>
  <c r="O519" i="1"/>
  <c r="P519" i="1" s="1"/>
  <c r="N519" i="1"/>
  <c r="M519" i="1"/>
  <c r="L519" i="1"/>
  <c r="K519" i="1"/>
  <c r="I519" i="1"/>
  <c r="O518" i="1"/>
  <c r="P518" i="1" s="1"/>
  <c r="N518" i="1"/>
  <c r="M518" i="1"/>
  <c r="L518" i="1"/>
  <c r="K518" i="1"/>
  <c r="I518" i="1"/>
  <c r="O517" i="1"/>
  <c r="P517" i="1" s="1"/>
  <c r="N517" i="1"/>
  <c r="M517" i="1"/>
  <c r="L517" i="1"/>
  <c r="K517" i="1"/>
  <c r="I517" i="1"/>
  <c r="O516" i="1"/>
  <c r="P516" i="1" s="1"/>
  <c r="N516" i="1"/>
  <c r="M516" i="1"/>
  <c r="L516" i="1"/>
  <c r="K516" i="1"/>
  <c r="I516" i="1"/>
  <c r="O515" i="1"/>
  <c r="P515" i="1" s="1"/>
  <c r="N515" i="1"/>
  <c r="M515" i="1"/>
  <c r="L515" i="1"/>
  <c r="K515" i="1"/>
  <c r="I515" i="1"/>
  <c r="O514" i="1"/>
  <c r="P514" i="1" s="1"/>
  <c r="N514" i="1"/>
  <c r="M514" i="1"/>
  <c r="L514" i="1"/>
  <c r="K514" i="1"/>
  <c r="I514" i="1"/>
  <c r="O513" i="1"/>
  <c r="P513" i="1" s="1"/>
  <c r="N513" i="1"/>
  <c r="M513" i="1"/>
  <c r="L513" i="1"/>
  <c r="K513" i="1"/>
  <c r="I513" i="1"/>
  <c r="O512" i="1"/>
  <c r="P512" i="1" s="1"/>
  <c r="N512" i="1"/>
  <c r="M512" i="1"/>
  <c r="L512" i="1"/>
  <c r="K512" i="1"/>
  <c r="I512" i="1"/>
  <c r="O511" i="1"/>
  <c r="P511" i="1" s="1"/>
  <c r="N511" i="1"/>
  <c r="M511" i="1"/>
  <c r="L511" i="1"/>
  <c r="K511" i="1"/>
  <c r="I511" i="1"/>
  <c r="O510" i="1"/>
  <c r="P510" i="1" s="1"/>
  <c r="N510" i="1"/>
  <c r="M510" i="1"/>
  <c r="L510" i="1"/>
  <c r="K510" i="1"/>
  <c r="I510" i="1"/>
  <c r="O509" i="1"/>
  <c r="P509" i="1" s="1"/>
  <c r="N509" i="1"/>
  <c r="M509" i="1"/>
  <c r="L509" i="1"/>
  <c r="K509" i="1"/>
  <c r="I509" i="1"/>
  <c r="O508" i="1"/>
  <c r="P508" i="1" s="1"/>
  <c r="N508" i="1"/>
  <c r="M508" i="1"/>
  <c r="L508" i="1"/>
  <c r="K508" i="1"/>
  <c r="I508" i="1"/>
  <c r="O507" i="1"/>
  <c r="P507" i="1" s="1"/>
  <c r="N507" i="1"/>
  <c r="M507" i="1"/>
  <c r="L507" i="1"/>
  <c r="K507" i="1"/>
  <c r="I507" i="1"/>
  <c r="O506" i="1"/>
  <c r="P506" i="1" s="1"/>
  <c r="N506" i="1"/>
  <c r="M506" i="1"/>
  <c r="L506" i="1"/>
  <c r="K506" i="1"/>
  <c r="I506" i="1"/>
  <c r="O505" i="1"/>
  <c r="P505" i="1" s="1"/>
  <c r="N505" i="1"/>
  <c r="M505" i="1"/>
  <c r="L505" i="1"/>
  <c r="K505" i="1"/>
  <c r="I505" i="1"/>
  <c r="O504" i="1"/>
  <c r="P504" i="1" s="1"/>
  <c r="N504" i="1"/>
  <c r="M504" i="1"/>
  <c r="L504" i="1"/>
  <c r="K504" i="1"/>
  <c r="I504" i="1"/>
  <c r="O503" i="1"/>
  <c r="P503" i="1" s="1"/>
  <c r="N503" i="1"/>
  <c r="M503" i="1"/>
  <c r="L503" i="1"/>
  <c r="K503" i="1"/>
  <c r="I503" i="1"/>
  <c r="O502" i="1"/>
  <c r="P502" i="1" s="1"/>
  <c r="N502" i="1"/>
  <c r="M502" i="1"/>
  <c r="L502" i="1"/>
  <c r="K502" i="1"/>
  <c r="I502" i="1"/>
  <c r="O501" i="1"/>
  <c r="P501" i="1" s="1"/>
  <c r="N501" i="1"/>
  <c r="M501" i="1"/>
  <c r="L501" i="1"/>
  <c r="K501" i="1"/>
  <c r="I501" i="1"/>
  <c r="O500" i="1"/>
  <c r="P500" i="1" s="1"/>
  <c r="N500" i="1"/>
  <c r="M500" i="1"/>
  <c r="L500" i="1"/>
  <c r="K500" i="1"/>
  <c r="I500" i="1"/>
  <c r="O499" i="1"/>
  <c r="P499" i="1" s="1"/>
  <c r="N499" i="1"/>
  <c r="M499" i="1"/>
  <c r="L499" i="1"/>
  <c r="K499" i="1"/>
  <c r="I499" i="1"/>
  <c r="O498" i="1"/>
  <c r="P498" i="1" s="1"/>
  <c r="N498" i="1"/>
  <c r="M498" i="1"/>
  <c r="L498" i="1"/>
  <c r="K498" i="1"/>
  <c r="I498" i="1"/>
  <c r="O497" i="1"/>
  <c r="P497" i="1" s="1"/>
  <c r="N497" i="1"/>
  <c r="M497" i="1"/>
  <c r="L497" i="1"/>
  <c r="K497" i="1"/>
  <c r="I497" i="1"/>
  <c r="O496" i="1"/>
  <c r="P496" i="1" s="1"/>
  <c r="N496" i="1"/>
  <c r="M496" i="1"/>
  <c r="L496" i="1"/>
  <c r="K496" i="1"/>
  <c r="I496" i="1"/>
  <c r="O495" i="1"/>
  <c r="P495" i="1" s="1"/>
  <c r="N495" i="1"/>
  <c r="M495" i="1"/>
  <c r="L495" i="1"/>
  <c r="K495" i="1"/>
  <c r="I495" i="1"/>
  <c r="O494" i="1"/>
  <c r="P494" i="1" s="1"/>
  <c r="N494" i="1"/>
  <c r="M494" i="1"/>
  <c r="L494" i="1"/>
  <c r="K494" i="1"/>
  <c r="I494" i="1"/>
  <c r="O493" i="1"/>
  <c r="P493" i="1" s="1"/>
  <c r="N493" i="1"/>
  <c r="M493" i="1"/>
  <c r="L493" i="1"/>
  <c r="K493" i="1"/>
  <c r="I493" i="1"/>
  <c r="O492" i="1"/>
  <c r="P492" i="1" s="1"/>
  <c r="N492" i="1"/>
  <c r="M492" i="1"/>
  <c r="L492" i="1"/>
  <c r="K492" i="1"/>
  <c r="I492" i="1"/>
  <c r="O491" i="1"/>
  <c r="P491" i="1" s="1"/>
  <c r="N491" i="1"/>
  <c r="M491" i="1"/>
  <c r="L491" i="1"/>
  <c r="K491" i="1"/>
  <c r="I491" i="1"/>
  <c r="O490" i="1"/>
  <c r="P490" i="1" s="1"/>
  <c r="N490" i="1"/>
  <c r="M490" i="1"/>
  <c r="L490" i="1"/>
  <c r="K490" i="1"/>
  <c r="I490" i="1"/>
  <c r="O489" i="1"/>
  <c r="P489" i="1" s="1"/>
  <c r="N489" i="1"/>
  <c r="M489" i="1"/>
  <c r="L489" i="1"/>
  <c r="K489" i="1"/>
  <c r="I489" i="1"/>
  <c r="O488" i="1"/>
  <c r="P488" i="1" s="1"/>
  <c r="N488" i="1"/>
  <c r="M488" i="1"/>
  <c r="L488" i="1"/>
  <c r="K488" i="1"/>
  <c r="I488" i="1"/>
  <c r="O487" i="1"/>
  <c r="P487" i="1" s="1"/>
  <c r="N487" i="1"/>
  <c r="M487" i="1"/>
  <c r="L487" i="1"/>
  <c r="K487" i="1"/>
  <c r="I487" i="1"/>
  <c r="O486" i="1"/>
  <c r="P486" i="1" s="1"/>
  <c r="N486" i="1"/>
  <c r="M486" i="1"/>
  <c r="L486" i="1"/>
  <c r="K486" i="1"/>
  <c r="I486" i="1"/>
  <c r="O485" i="1"/>
  <c r="P485" i="1" s="1"/>
  <c r="N485" i="1"/>
  <c r="M485" i="1"/>
  <c r="L485" i="1"/>
  <c r="K485" i="1"/>
  <c r="I485" i="1"/>
  <c r="O484" i="1"/>
  <c r="P484" i="1" s="1"/>
  <c r="N484" i="1"/>
  <c r="M484" i="1"/>
  <c r="L484" i="1"/>
  <c r="K484" i="1"/>
  <c r="I484" i="1"/>
  <c r="O483" i="1"/>
  <c r="P483" i="1" s="1"/>
  <c r="N483" i="1"/>
  <c r="M483" i="1"/>
  <c r="L483" i="1"/>
  <c r="K483" i="1"/>
  <c r="I483" i="1"/>
  <c r="O482" i="1"/>
  <c r="P482" i="1" s="1"/>
  <c r="N482" i="1"/>
  <c r="M482" i="1"/>
  <c r="L482" i="1"/>
  <c r="K482" i="1"/>
  <c r="I482" i="1"/>
  <c r="O481" i="1"/>
  <c r="P481" i="1" s="1"/>
  <c r="N481" i="1"/>
  <c r="M481" i="1"/>
  <c r="L481" i="1"/>
  <c r="K481" i="1"/>
  <c r="I481" i="1"/>
  <c r="O480" i="1"/>
  <c r="P480" i="1" s="1"/>
  <c r="N480" i="1"/>
  <c r="M480" i="1"/>
  <c r="L480" i="1"/>
  <c r="K480" i="1"/>
  <c r="I480" i="1"/>
  <c r="O479" i="1"/>
  <c r="P479" i="1" s="1"/>
  <c r="N479" i="1"/>
  <c r="M479" i="1"/>
  <c r="L479" i="1"/>
  <c r="K479" i="1"/>
  <c r="I479" i="1"/>
  <c r="O478" i="1"/>
  <c r="P478" i="1" s="1"/>
  <c r="N478" i="1"/>
  <c r="M478" i="1"/>
  <c r="L478" i="1"/>
  <c r="K478" i="1"/>
  <c r="I478" i="1"/>
  <c r="O477" i="1"/>
  <c r="P477" i="1" s="1"/>
  <c r="N477" i="1"/>
  <c r="M477" i="1"/>
  <c r="L477" i="1"/>
  <c r="K477" i="1"/>
  <c r="I477" i="1"/>
  <c r="O476" i="1"/>
  <c r="P476" i="1" s="1"/>
  <c r="N476" i="1"/>
  <c r="M476" i="1"/>
  <c r="L476" i="1"/>
  <c r="K476" i="1"/>
  <c r="I476" i="1"/>
  <c r="O475" i="1"/>
  <c r="P475" i="1" s="1"/>
  <c r="N475" i="1"/>
  <c r="M475" i="1"/>
  <c r="L475" i="1"/>
  <c r="K475" i="1"/>
  <c r="I475" i="1"/>
  <c r="O474" i="1"/>
  <c r="P474" i="1" s="1"/>
  <c r="N474" i="1"/>
  <c r="M474" i="1"/>
  <c r="L474" i="1"/>
  <c r="K474" i="1"/>
  <c r="I474" i="1"/>
  <c r="O473" i="1"/>
  <c r="P473" i="1" s="1"/>
  <c r="N473" i="1"/>
  <c r="M473" i="1"/>
  <c r="L473" i="1"/>
  <c r="K473" i="1"/>
  <c r="I473" i="1"/>
  <c r="O472" i="1"/>
  <c r="P472" i="1" s="1"/>
  <c r="N472" i="1"/>
  <c r="M472" i="1"/>
  <c r="L472" i="1"/>
  <c r="K472" i="1"/>
  <c r="I472" i="1"/>
  <c r="O471" i="1"/>
  <c r="P471" i="1" s="1"/>
  <c r="N471" i="1"/>
  <c r="M471" i="1"/>
  <c r="L471" i="1"/>
  <c r="K471" i="1"/>
  <c r="I471" i="1"/>
  <c r="O470" i="1"/>
  <c r="P470" i="1" s="1"/>
  <c r="N470" i="1"/>
  <c r="M470" i="1"/>
  <c r="L470" i="1"/>
  <c r="K470" i="1"/>
  <c r="I470" i="1"/>
  <c r="O469" i="1"/>
  <c r="P469" i="1" s="1"/>
  <c r="N469" i="1"/>
  <c r="M469" i="1"/>
  <c r="L469" i="1"/>
  <c r="K469" i="1"/>
  <c r="I469" i="1"/>
  <c r="O468" i="1"/>
  <c r="P468" i="1" s="1"/>
  <c r="N468" i="1"/>
  <c r="M468" i="1"/>
  <c r="L468" i="1"/>
  <c r="K468" i="1"/>
  <c r="I468" i="1"/>
  <c r="O467" i="1"/>
  <c r="P467" i="1" s="1"/>
  <c r="N467" i="1"/>
  <c r="M467" i="1"/>
  <c r="L467" i="1"/>
  <c r="K467" i="1"/>
  <c r="I467" i="1"/>
  <c r="O466" i="1"/>
  <c r="P466" i="1" s="1"/>
  <c r="N466" i="1"/>
  <c r="M466" i="1"/>
  <c r="L466" i="1"/>
  <c r="K466" i="1"/>
  <c r="I466" i="1"/>
  <c r="O465" i="1"/>
  <c r="P465" i="1" s="1"/>
  <c r="N465" i="1"/>
  <c r="M465" i="1"/>
  <c r="L465" i="1"/>
  <c r="K465" i="1"/>
  <c r="I465" i="1"/>
  <c r="O464" i="1"/>
  <c r="P464" i="1" s="1"/>
  <c r="N464" i="1"/>
  <c r="M464" i="1"/>
  <c r="L464" i="1"/>
  <c r="K464" i="1"/>
  <c r="I464" i="1"/>
  <c r="O463" i="1"/>
  <c r="P463" i="1" s="1"/>
  <c r="N463" i="1"/>
  <c r="M463" i="1"/>
  <c r="L463" i="1"/>
  <c r="K463" i="1"/>
  <c r="I463" i="1"/>
  <c r="O462" i="1"/>
  <c r="P462" i="1" s="1"/>
  <c r="N462" i="1"/>
  <c r="M462" i="1"/>
  <c r="L462" i="1"/>
  <c r="K462" i="1"/>
  <c r="I462" i="1"/>
  <c r="O461" i="1"/>
  <c r="P461" i="1" s="1"/>
  <c r="N461" i="1"/>
  <c r="M461" i="1"/>
  <c r="L461" i="1"/>
  <c r="K461" i="1"/>
  <c r="I461" i="1"/>
  <c r="O460" i="1"/>
  <c r="P460" i="1" s="1"/>
  <c r="N460" i="1"/>
  <c r="M460" i="1"/>
  <c r="L460" i="1"/>
  <c r="K460" i="1"/>
  <c r="I460" i="1"/>
  <c r="O459" i="1"/>
  <c r="P459" i="1" s="1"/>
  <c r="N459" i="1"/>
  <c r="M459" i="1"/>
  <c r="L459" i="1"/>
  <c r="K459" i="1"/>
  <c r="I459" i="1"/>
  <c r="O458" i="1"/>
  <c r="P458" i="1" s="1"/>
  <c r="N458" i="1"/>
  <c r="M458" i="1"/>
  <c r="L458" i="1"/>
  <c r="K458" i="1"/>
  <c r="I458" i="1"/>
  <c r="O457" i="1"/>
  <c r="P457" i="1" s="1"/>
  <c r="N457" i="1"/>
  <c r="M457" i="1"/>
  <c r="L457" i="1"/>
  <c r="K457" i="1"/>
  <c r="I457" i="1"/>
  <c r="O456" i="1"/>
  <c r="P456" i="1" s="1"/>
  <c r="N456" i="1"/>
  <c r="M456" i="1"/>
  <c r="L456" i="1"/>
  <c r="K456" i="1"/>
  <c r="I456" i="1"/>
  <c r="O455" i="1"/>
  <c r="P455" i="1" s="1"/>
  <c r="N455" i="1"/>
  <c r="M455" i="1"/>
  <c r="L455" i="1"/>
  <c r="K455" i="1"/>
  <c r="I455" i="1"/>
  <c r="O454" i="1"/>
  <c r="P454" i="1" s="1"/>
  <c r="N454" i="1"/>
  <c r="M454" i="1"/>
  <c r="L454" i="1"/>
  <c r="K454" i="1"/>
  <c r="I454" i="1"/>
  <c r="O453" i="1"/>
  <c r="P453" i="1" s="1"/>
  <c r="N453" i="1"/>
  <c r="M453" i="1"/>
  <c r="L453" i="1"/>
  <c r="K453" i="1"/>
  <c r="I453" i="1"/>
  <c r="O452" i="1"/>
  <c r="P452" i="1" s="1"/>
  <c r="N452" i="1"/>
  <c r="M452" i="1"/>
  <c r="L452" i="1"/>
  <c r="K452" i="1"/>
  <c r="I452" i="1"/>
  <c r="O451" i="1"/>
  <c r="P451" i="1" s="1"/>
  <c r="N451" i="1"/>
  <c r="M451" i="1"/>
  <c r="L451" i="1"/>
  <c r="K451" i="1"/>
  <c r="I451" i="1"/>
  <c r="O450" i="1"/>
  <c r="P450" i="1" s="1"/>
  <c r="N450" i="1"/>
  <c r="M450" i="1"/>
  <c r="L450" i="1"/>
  <c r="K450" i="1"/>
  <c r="I450" i="1"/>
  <c r="O449" i="1"/>
  <c r="P449" i="1" s="1"/>
  <c r="N449" i="1"/>
  <c r="M449" i="1"/>
  <c r="L449" i="1"/>
  <c r="K449" i="1"/>
  <c r="I449" i="1"/>
  <c r="O448" i="1"/>
  <c r="P448" i="1" s="1"/>
  <c r="N448" i="1"/>
  <c r="M448" i="1"/>
  <c r="L448" i="1"/>
  <c r="K448" i="1"/>
  <c r="I448" i="1"/>
  <c r="O447" i="1"/>
  <c r="P447" i="1" s="1"/>
  <c r="N447" i="1"/>
  <c r="M447" i="1"/>
  <c r="L447" i="1"/>
  <c r="K447" i="1"/>
  <c r="I447" i="1"/>
  <c r="O446" i="1"/>
  <c r="P446" i="1" s="1"/>
  <c r="N446" i="1"/>
  <c r="M446" i="1"/>
  <c r="L446" i="1"/>
  <c r="K446" i="1"/>
  <c r="I446" i="1"/>
  <c r="O445" i="1"/>
  <c r="P445" i="1" s="1"/>
  <c r="N445" i="1"/>
  <c r="M445" i="1"/>
  <c r="L445" i="1"/>
  <c r="K445" i="1"/>
  <c r="I445" i="1"/>
  <c r="O444" i="1"/>
  <c r="P444" i="1" s="1"/>
  <c r="N444" i="1"/>
  <c r="M444" i="1"/>
  <c r="L444" i="1"/>
  <c r="K444" i="1"/>
  <c r="I444" i="1"/>
  <c r="O443" i="1"/>
  <c r="P443" i="1" s="1"/>
  <c r="N443" i="1"/>
  <c r="M443" i="1"/>
  <c r="L443" i="1"/>
  <c r="K443" i="1"/>
  <c r="I443" i="1"/>
  <c r="O442" i="1"/>
  <c r="P442" i="1" s="1"/>
  <c r="N442" i="1"/>
  <c r="M442" i="1"/>
  <c r="L442" i="1"/>
  <c r="K442" i="1"/>
  <c r="I442" i="1"/>
  <c r="O441" i="1"/>
  <c r="P441" i="1" s="1"/>
  <c r="N441" i="1"/>
  <c r="M441" i="1"/>
  <c r="L441" i="1"/>
  <c r="K441" i="1"/>
  <c r="I441" i="1"/>
  <c r="O440" i="1"/>
  <c r="P440" i="1" s="1"/>
  <c r="N440" i="1"/>
  <c r="M440" i="1"/>
  <c r="L440" i="1"/>
  <c r="K440" i="1"/>
  <c r="I440" i="1"/>
  <c r="O439" i="1"/>
  <c r="P439" i="1" s="1"/>
  <c r="N439" i="1"/>
  <c r="M439" i="1"/>
  <c r="L439" i="1"/>
  <c r="K439" i="1"/>
  <c r="I439" i="1"/>
  <c r="O438" i="1"/>
  <c r="P438" i="1" s="1"/>
  <c r="N438" i="1"/>
  <c r="M438" i="1"/>
  <c r="L438" i="1"/>
  <c r="K438" i="1"/>
  <c r="I438" i="1"/>
  <c r="O437" i="1"/>
  <c r="P437" i="1" s="1"/>
  <c r="N437" i="1"/>
  <c r="M437" i="1"/>
  <c r="L437" i="1"/>
  <c r="K437" i="1"/>
  <c r="I437" i="1"/>
  <c r="O436" i="1"/>
  <c r="P436" i="1" s="1"/>
  <c r="N436" i="1"/>
  <c r="M436" i="1"/>
  <c r="L436" i="1"/>
  <c r="K436" i="1"/>
  <c r="I436" i="1"/>
  <c r="O435" i="1"/>
  <c r="P435" i="1" s="1"/>
  <c r="N435" i="1"/>
  <c r="M435" i="1"/>
  <c r="L435" i="1"/>
  <c r="K435" i="1"/>
  <c r="I435" i="1"/>
  <c r="O434" i="1"/>
  <c r="P434" i="1" s="1"/>
  <c r="N434" i="1"/>
  <c r="M434" i="1"/>
  <c r="L434" i="1"/>
  <c r="K434" i="1"/>
  <c r="I434" i="1"/>
  <c r="O433" i="1"/>
  <c r="P433" i="1" s="1"/>
  <c r="N433" i="1"/>
  <c r="M433" i="1"/>
  <c r="L433" i="1"/>
  <c r="K433" i="1"/>
  <c r="I433" i="1"/>
  <c r="O432" i="1"/>
  <c r="P432" i="1" s="1"/>
  <c r="N432" i="1"/>
  <c r="M432" i="1"/>
  <c r="L432" i="1"/>
  <c r="K432" i="1"/>
  <c r="I432" i="1"/>
  <c r="O431" i="1"/>
  <c r="P431" i="1" s="1"/>
  <c r="N431" i="1"/>
  <c r="M431" i="1"/>
  <c r="L431" i="1"/>
  <c r="K431" i="1"/>
  <c r="I431" i="1"/>
  <c r="O430" i="1"/>
  <c r="P430" i="1" s="1"/>
  <c r="N430" i="1"/>
  <c r="M430" i="1"/>
  <c r="L430" i="1"/>
  <c r="K430" i="1"/>
  <c r="I430" i="1"/>
  <c r="O429" i="1"/>
  <c r="P429" i="1" s="1"/>
  <c r="N429" i="1"/>
  <c r="M429" i="1"/>
  <c r="L429" i="1"/>
  <c r="K429" i="1"/>
  <c r="I429" i="1"/>
  <c r="O428" i="1"/>
  <c r="P428" i="1" s="1"/>
  <c r="N428" i="1"/>
  <c r="M428" i="1"/>
  <c r="L428" i="1"/>
  <c r="K428" i="1"/>
  <c r="I428" i="1"/>
  <c r="O427" i="1"/>
  <c r="P427" i="1" s="1"/>
  <c r="N427" i="1"/>
  <c r="M427" i="1"/>
  <c r="L427" i="1"/>
  <c r="K427" i="1"/>
  <c r="I427" i="1"/>
  <c r="O426" i="1"/>
  <c r="P426" i="1" s="1"/>
  <c r="N426" i="1"/>
  <c r="M426" i="1"/>
  <c r="L426" i="1"/>
  <c r="K426" i="1"/>
  <c r="I426" i="1"/>
  <c r="O425" i="1"/>
  <c r="P425" i="1" s="1"/>
  <c r="N425" i="1"/>
  <c r="M425" i="1"/>
  <c r="L425" i="1"/>
  <c r="K425" i="1"/>
  <c r="I425" i="1"/>
  <c r="O424" i="1"/>
  <c r="P424" i="1" s="1"/>
  <c r="N424" i="1"/>
  <c r="M424" i="1"/>
  <c r="L424" i="1"/>
  <c r="K424" i="1"/>
  <c r="I424" i="1"/>
  <c r="O423" i="1"/>
  <c r="P423" i="1" s="1"/>
  <c r="N423" i="1"/>
  <c r="M423" i="1"/>
  <c r="L423" i="1"/>
  <c r="K423" i="1"/>
  <c r="I423" i="1"/>
  <c r="O422" i="1"/>
  <c r="P422" i="1" s="1"/>
  <c r="N422" i="1"/>
  <c r="M422" i="1"/>
  <c r="L422" i="1"/>
  <c r="K422" i="1"/>
  <c r="I422" i="1"/>
  <c r="O421" i="1"/>
  <c r="P421" i="1" s="1"/>
  <c r="N421" i="1"/>
  <c r="M421" i="1"/>
  <c r="L421" i="1"/>
  <c r="K421" i="1"/>
  <c r="I421" i="1"/>
  <c r="O420" i="1"/>
  <c r="P420" i="1" s="1"/>
  <c r="N420" i="1"/>
  <c r="M420" i="1"/>
  <c r="L420" i="1"/>
  <c r="K420" i="1"/>
  <c r="I420" i="1"/>
  <c r="O419" i="1"/>
  <c r="P419" i="1" s="1"/>
  <c r="N419" i="1"/>
  <c r="M419" i="1"/>
  <c r="L419" i="1"/>
  <c r="K419" i="1"/>
  <c r="I419" i="1"/>
  <c r="O418" i="1"/>
  <c r="P418" i="1" s="1"/>
  <c r="N418" i="1"/>
  <c r="M418" i="1"/>
  <c r="L418" i="1"/>
  <c r="K418" i="1"/>
  <c r="I418" i="1"/>
  <c r="O417" i="1"/>
  <c r="P417" i="1" s="1"/>
  <c r="N417" i="1"/>
  <c r="M417" i="1"/>
  <c r="L417" i="1"/>
  <c r="K417" i="1"/>
  <c r="I417" i="1"/>
  <c r="O416" i="1"/>
  <c r="P416" i="1" s="1"/>
  <c r="N416" i="1"/>
  <c r="M416" i="1"/>
  <c r="L416" i="1"/>
  <c r="K416" i="1"/>
  <c r="I416" i="1"/>
  <c r="O415" i="1"/>
  <c r="P415" i="1" s="1"/>
  <c r="N415" i="1"/>
  <c r="M415" i="1"/>
  <c r="L415" i="1"/>
  <c r="K415" i="1"/>
  <c r="I415" i="1"/>
  <c r="O414" i="1"/>
  <c r="P414" i="1" s="1"/>
  <c r="N414" i="1"/>
  <c r="M414" i="1"/>
  <c r="L414" i="1"/>
  <c r="K414" i="1"/>
  <c r="I414" i="1"/>
  <c r="O413" i="1"/>
  <c r="P413" i="1" s="1"/>
  <c r="N413" i="1"/>
  <c r="M413" i="1"/>
  <c r="L413" i="1"/>
  <c r="K413" i="1"/>
  <c r="I413" i="1"/>
  <c r="O412" i="1"/>
  <c r="P412" i="1" s="1"/>
  <c r="N412" i="1"/>
  <c r="M412" i="1"/>
  <c r="L412" i="1"/>
  <c r="K412" i="1"/>
  <c r="I412" i="1"/>
  <c r="O411" i="1"/>
  <c r="P411" i="1" s="1"/>
  <c r="N411" i="1"/>
  <c r="M411" i="1"/>
  <c r="L411" i="1"/>
  <c r="K411" i="1"/>
  <c r="I411" i="1"/>
  <c r="O410" i="1"/>
  <c r="P410" i="1" s="1"/>
  <c r="N410" i="1"/>
  <c r="M410" i="1"/>
  <c r="L410" i="1"/>
  <c r="K410" i="1"/>
  <c r="I410" i="1"/>
  <c r="O409" i="1"/>
  <c r="P409" i="1" s="1"/>
  <c r="N409" i="1"/>
  <c r="M409" i="1"/>
  <c r="L409" i="1"/>
  <c r="K409" i="1"/>
  <c r="I409" i="1"/>
  <c r="O408" i="1"/>
  <c r="P408" i="1" s="1"/>
  <c r="N408" i="1"/>
  <c r="M408" i="1"/>
  <c r="L408" i="1"/>
  <c r="K408" i="1"/>
  <c r="I408" i="1"/>
  <c r="O407" i="1"/>
  <c r="P407" i="1" s="1"/>
  <c r="N407" i="1"/>
  <c r="M407" i="1"/>
  <c r="L407" i="1"/>
  <c r="K407" i="1"/>
  <c r="I407" i="1"/>
  <c r="O406" i="1"/>
  <c r="P406" i="1" s="1"/>
  <c r="N406" i="1"/>
  <c r="M406" i="1"/>
  <c r="L406" i="1"/>
  <c r="K406" i="1"/>
  <c r="I406" i="1"/>
  <c r="O405" i="1"/>
  <c r="P405" i="1" s="1"/>
  <c r="N405" i="1"/>
  <c r="M405" i="1"/>
  <c r="L405" i="1"/>
  <c r="K405" i="1"/>
  <c r="I405" i="1"/>
  <c r="O404" i="1"/>
  <c r="P404" i="1" s="1"/>
  <c r="N404" i="1"/>
  <c r="M404" i="1"/>
  <c r="L404" i="1"/>
  <c r="K404" i="1"/>
  <c r="I404" i="1"/>
  <c r="O403" i="1"/>
  <c r="P403" i="1" s="1"/>
  <c r="N403" i="1"/>
  <c r="M403" i="1"/>
  <c r="L403" i="1"/>
  <c r="K403" i="1"/>
  <c r="I403" i="1"/>
  <c r="O402" i="1"/>
  <c r="P402" i="1" s="1"/>
  <c r="N402" i="1"/>
  <c r="M402" i="1"/>
  <c r="L402" i="1"/>
  <c r="K402" i="1"/>
  <c r="I402" i="1"/>
  <c r="O401" i="1"/>
  <c r="P401" i="1" s="1"/>
  <c r="N401" i="1"/>
  <c r="M401" i="1"/>
  <c r="L401" i="1"/>
  <c r="K401" i="1"/>
  <c r="I401" i="1"/>
  <c r="O400" i="1"/>
  <c r="P400" i="1" s="1"/>
  <c r="N400" i="1"/>
  <c r="M400" i="1"/>
  <c r="L400" i="1"/>
  <c r="K400" i="1"/>
  <c r="I400" i="1"/>
  <c r="O399" i="1"/>
  <c r="P399" i="1" s="1"/>
  <c r="N399" i="1"/>
  <c r="M399" i="1"/>
  <c r="L399" i="1"/>
  <c r="K399" i="1"/>
  <c r="I399" i="1"/>
  <c r="O398" i="1"/>
  <c r="P398" i="1" s="1"/>
  <c r="N398" i="1"/>
  <c r="M398" i="1"/>
  <c r="L398" i="1"/>
  <c r="K398" i="1"/>
  <c r="I398" i="1"/>
  <c r="O397" i="1"/>
  <c r="P397" i="1" s="1"/>
  <c r="N397" i="1"/>
  <c r="M397" i="1"/>
  <c r="L397" i="1"/>
  <c r="K397" i="1"/>
  <c r="I397" i="1"/>
  <c r="O396" i="1"/>
  <c r="P396" i="1" s="1"/>
  <c r="N396" i="1"/>
  <c r="M396" i="1"/>
  <c r="L396" i="1"/>
  <c r="K396" i="1"/>
  <c r="I396" i="1"/>
  <c r="O395" i="1"/>
  <c r="P395" i="1" s="1"/>
  <c r="N395" i="1"/>
  <c r="M395" i="1"/>
  <c r="L395" i="1"/>
  <c r="K395" i="1"/>
  <c r="I395" i="1"/>
  <c r="O394" i="1"/>
  <c r="P394" i="1" s="1"/>
  <c r="N394" i="1"/>
  <c r="M394" i="1"/>
  <c r="L394" i="1"/>
  <c r="K394" i="1"/>
  <c r="I394" i="1"/>
  <c r="O393" i="1"/>
  <c r="P393" i="1" s="1"/>
  <c r="N393" i="1"/>
  <c r="M393" i="1"/>
  <c r="L393" i="1"/>
  <c r="K393" i="1"/>
  <c r="I393" i="1"/>
  <c r="O392" i="1"/>
  <c r="P392" i="1" s="1"/>
  <c r="N392" i="1"/>
  <c r="M392" i="1"/>
  <c r="L392" i="1"/>
  <c r="K392" i="1"/>
  <c r="I392" i="1"/>
  <c r="O391" i="1"/>
  <c r="P391" i="1" s="1"/>
  <c r="N391" i="1"/>
  <c r="M391" i="1"/>
  <c r="L391" i="1"/>
  <c r="K391" i="1"/>
  <c r="I391" i="1"/>
  <c r="O390" i="1"/>
  <c r="P390" i="1" s="1"/>
  <c r="N390" i="1"/>
  <c r="M390" i="1"/>
  <c r="L390" i="1"/>
  <c r="K390" i="1"/>
  <c r="I390" i="1"/>
  <c r="O389" i="1"/>
  <c r="P389" i="1" s="1"/>
  <c r="N389" i="1"/>
  <c r="M389" i="1"/>
  <c r="L389" i="1"/>
  <c r="K389" i="1"/>
  <c r="I389" i="1"/>
  <c r="O388" i="1"/>
  <c r="P388" i="1" s="1"/>
  <c r="N388" i="1"/>
  <c r="M388" i="1"/>
  <c r="L388" i="1"/>
  <c r="K388" i="1"/>
  <c r="I388" i="1"/>
  <c r="O387" i="1"/>
  <c r="P387" i="1" s="1"/>
  <c r="N387" i="1"/>
  <c r="M387" i="1"/>
  <c r="L387" i="1"/>
  <c r="K387" i="1"/>
  <c r="I387" i="1"/>
  <c r="O386" i="1"/>
  <c r="P386" i="1" s="1"/>
  <c r="N386" i="1"/>
  <c r="M386" i="1"/>
  <c r="L386" i="1"/>
  <c r="K386" i="1"/>
  <c r="I386" i="1"/>
  <c r="O385" i="1"/>
  <c r="P385" i="1" s="1"/>
  <c r="N385" i="1"/>
  <c r="M385" i="1"/>
  <c r="L385" i="1"/>
  <c r="K385" i="1"/>
  <c r="I385" i="1"/>
  <c r="O384" i="1"/>
  <c r="P384" i="1" s="1"/>
  <c r="N384" i="1"/>
  <c r="M384" i="1"/>
  <c r="L384" i="1"/>
  <c r="K384" i="1"/>
  <c r="I384" i="1"/>
  <c r="O383" i="1"/>
  <c r="P383" i="1" s="1"/>
  <c r="N383" i="1"/>
  <c r="M383" i="1"/>
  <c r="L383" i="1"/>
  <c r="K383" i="1"/>
  <c r="I383" i="1"/>
  <c r="O382" i="1"/>
  <c r="P382" i="1" s="1"/>
  <c r="N382" i="1"/>
  <c r="M382" i="1"/>
  <c r="L382" i="1"/>
  <c r="K382" i="1"/>
  <c r="I382" i="1"/>
  <c r="O381" i="1"/>
  <c r="P381" i="1" s="1"/>
  <c r="N381" i="1"/>
  <c r="M381" i="1"/>
  <c r="L381" i="1"/>
  <c r="K381" i="1"/>
  <c r="I381" i="1"/>
  <c r="O380" i="1"/>
  <c r="P380" i="1" s="1"/>
  <c r="N380" i="1"/>
  <c r="M380" i="1"/>
  <c r="L380" i="1"/>
  <c r="K380" i="1"/>
  <c r="I380" i="1"/>
  <c r="O379" i="1"/>
  <c r="P379" i="1" s="1"/>
  <c r="N379" i="1"/>
  <c r="M379" i="1"/>
  <c r="L379" i="1"/>
  <c r="K379" i="1"/>
  <c r="I379" i="1"/>
  <c r="O378" i="1"/>
  <c r="P378" i="1" s="1"/>
  <c r="N378" i="1"/>
  <c r="M378" i="1"/>
  <c r="L378" i="1"/>
  <c r="K378" i="1"/>
  <c r="I378" i="1"/>
  <c r="O377" i="1"/>
  <c r="P377" i="1" s="1"/>
  <c r="N377" i="1"/>
  <c r="M377" i="1"/>
  <c r="L377" i="1"/>
  <c r="K377" i="1"/>
  <c r="I377" i="1"/>
  <c r="O376" i="1"/>
  <c r="P376" i="1" s="1"/>
  <c r="N376" i="1"/>
  <c r="M376" i="1"/>
  <c r="L376" i="1"/>
  <c r="K376" i="1"/>
  <c r="I376" i="1"/>
  <c r="O375" i="1"/>
  <c r="P375" i="1" s="1"/>
  <c r="N375" i="1"/>
  <c r="M375" i="1"/>
  <c r="L375" i="1"/>
  <c r="K375" i="1"/>
  <c r="I375" i="1"/>
  <c r="O374" i="1"/>
  <c r="P374" i="1" s="1"/>
  <c r="N374" i="1"/>
  <c r="M374" i="1"/>
  <c r="L374" i="1"/>
  <c r="K374" i="1"/>
  <c r="I374" i="1"/>
  <c r="O373" i="1"/>
  <c r="P373" i="1" s="1"/>
  <c r="N373" i="1"/>
  <c r="M373" i="1"/>
  <c r="L373" i="1"/>
  <c r="K373" i="1"/>
  <c r="I373" i="1"/>
  <c r="O372" i="1"/>
  <c r="P372" i="1" s="1"/>
  <c r="N372" i="1"/>
  <c r="M372" i="1"/>
  <c r="L372" i="1"/>
  <c r="K372" i="1"/>
  <c r="I372" i="1"/>
  <c r="O371" i="1"/>
  <c r="P371" i="1" s="1"/>
  <c r="N371" i="1"/>
  <c r="M371" i="1"/>
  <c r="L371" i="1"/>
  <c r="K371" i="1"/>
  <c r="I371" i="1"/>
  <c r="O370" i="1"/>
  <c r="P370" i="1" s="1"/>
  <c r="N370" i="1"/>
  <c r="M370" i="1"/>
  <c r="L370" i="1"/>
  <c r="K370" i="1"/>
  <c r="I370" i="1"/>
  <c r="O369" i="1"/>
  <c r="P369" i="1" s="1"/>
  <c r="N369" i="1"/>
  <c r="M369" i="1"/>
  <c r="L369" i="1"/>
  <c r="K369" i="1"/>
  <c r="I369" i="1"/>
  <c r="O368" i="1"/>
  <c r="P368" i="1" s="1"/>
  <c r="N368" i="1"/>
  <c r="M368" i="1"/>
  <c r="L368" i="1"/>
  <c r="K368" i="1"/>
  <c r="I368" i="1"/>
  <c r="O367" i="1"/>
  <c r="P367" i="1" s="1"/>
  <c r="N367" i="1"/>
  <c r="M367" i="1"/>
  <c r="L367" i="1"/>
  <c r="K367" i="1"/>
  <c r="I367" i="1"/>
  <c r="O366" i="1"/>
  <c r="P366" i="1" s="1"/>
  <c r="N366" i="1"/>
  <c r="M366" i="1"/>
  <c r="L366" i="1"/>
  <c r="K366" i="1"/>
  <c r="I366" i="1"/>
  <c r="O365" i="1"/>
  <c r="P365" i="1" s="1"/>
  <c r="N365" i="1"/>
  <c r="M365" i="1"/>
  <c r="L365" i="1"/>
  <c r="K365" i="1"/>
  <c r="I365" i="1"/>
  <c r="O364" i="1"/>
  <c r="P364" i="1" s="1"/>
  <c r="N364" i="1"/>
  <c r="M364" i="1"/>
  <c r="L364" i="1"/>
  <c r="K364" i="1"/>
  <c r="I364" i="1"/>
  <c r="O363" i="1"/>
  <c r="P363" i="1" s="1"/>
  <c r="N363" i="1"/>
  <c r="M363" i="1"/>
  <c r="L363" i="1"/>
  <c r="K363" i="1"/>
  <c r="I363" i="1"/>
  <c r="O362" i="1"/>
  <c r="P362" i="1" s="1"/>
  <c r="N362" i="1"/>
  <c r="M362" i="1"/>
  <c r="L362" i="1"/>
  <c r="K362" i="1"/>
  <c r="I362" i="1"/>
  <c r="O361" i="1"/>
  <c r="P361" i="1" s="1"/>
  <c r="N361" i="1"/>
  <c r="M361" i="1"/>
  <c r="L361" i="1"/>
  <c r="K361" i="1"/>
  <c r="I361" i="1"/>
  <c r="O360" i="1"/>
  <c r="P360" i="1" s="1"/>
  <c r="N360" i="1"/>
  <c r="M360" i="1"/>
  <c r="L360" i="1"/>
  <c r="K360" i="1"/>
  <c r="I360" i="1"/>
  <c r="O359" i="1"/>
  <c r="P359" i="1" s="1"/>
  <c r="N359" i="1"/>
  <c r="M359" i="1"/>
  <c r="L359" i="1"/>
  <c r="K359" i="1"/>
  <c r="I359" i="1"/>
  <c r="O358" i="1"/>
  <c r="P358" i="1" s="1"/>
  <c r="N358" i="1"/>
  <c r="M358" i="1"/>
  <c r="L358" i="1"/>
  <c r="K358" i="1"/>
  <c r="I358" i="1"/>
  <c r="O357" i="1"/>
  <c r="P357" i="1" s="1"/>
  <c r="N357" i="1"/>
  <c r="M357" i="1"/>
  <c r="L357" i="1"/>
  <c r="K357" i="1"/>
  <c r="I357" i="1"/>
  <c r="O356" i="1"/>
  <c r="P356" i="1" s="1"/>
  <c r="N356" i="1"/>
  <c r="M356" i="1"/>
  <c r="L356" i="1"/>
  <c r="K356" i="1"/>
  <c r="I356" i="1"/>
  <c r="O355" i="1"/>
  <c r="P355" i="1" s="1"/>
  <c r="N355" i="1"/>
  <c r="M355" i="1"/>
  <c r="L355" i="1"/>
  <c r="K355" i="1"/>
  <c r="I355" i="1"/>
  <c r="O354" i="1"/>
  <c r="P354" i="1" s="1"/>
  <c r="N354" i="1"/>
  <c r="M354" i="1"/>
  <c r="L354" i="1"/>
  <c r="K354" i="1"/>
  <c r="I354" i="1"/>
  <c r="O353" i="1"/>
  <c r="P353" i="1" s="1"/>
  <c r="N353" i="1"/>
  <c r="M353" i="1"/>
  <c r="L353" i="1"/>
  <c r="K353" i="1"/>
  <c r="I353" i="1"/>
  <c r="O352" i="1"/>
  <c r="P352" i="1" s="1"/>
  <c r="N352" i="1"/>
  <c r="M352" i="1"/>
  <c r="L352" i="1"/>
  <c r="K352" i="1"/>
  <c r="I352" i="1"/>
  <c r="O351" i="1"/>
  <c r="P351" i="1" s="1"/>
  <c r="N351" i="1"/>
  <c r="M351" i="1"/>
  <c r="L351" i="1"/>
  <c r="K351" i="1"/>
  <c r="I351" i="1"/>
  <c r="O350" i="1"/>
  <c r="P350" i="1" s="1"/>
  <c r="N350" i="1"/>
  <c r="M350" i="1"/>
  <c r="L350" i="1"/>
  <c r="K350" i="1"/>
  <c r="I350" i="1"/>
  <c r="O349" i="1"/>
  <c r="P349" i="1" s="1"/>
  <c r="N349" i="1"/>
  <c r="M349" i="1"/>
  <c r="L349" i="1"/>
  <c r="K349" i="1"/>
  <c r="I349" i="1"/>
  <c r="O348" i="1"/>
  <c r="P348" i="1" s="1"/>
  <c r="N348" i="1"/>
  <c r="M348" i="1"/>
  <c r="L348" i="1"/>
  <c r="K348" i="1"/>
  <c r="I348" i="1"/>
  <c r="O347" i="1"/>
  <c r="P347" i="1" s="1"/>
  <c r="N347" i="1"/>
  <c r="M347" i="1"/>
  <c r="L347" i="1"/>
  <c r="K347" i="1"/>
  <c r="I347" i="1"/>
  <c r="O346" i="1"/>
  <c r="P346" i="1" s="1"/>
  <c r="N346" i="1"/>
  <c r="M346" i="1"/>
  <c r="L346" i="1"/>
  <c r="K346" i="1"/>
  <c r="I346" i="1"/>
  <c r="O345" i="1"/>
  <c r="P345" i="1" s="1"/>
  <c r="N345" i="1"/>
  <c r="M345" i="1"/>
  <c r="L345" i="1"/>
  <c r="K345" i="1"/>
  <c r="I345" i="1"/>
  <c r="O344" i="1"/>
  <c r="P344" i="1" s="1"/>
  <c r="N344" i="1"/>
  <c r="M344" i="1"/>
  <c r="L344" i="1"/>
  <c r="K344" i="1"/>
  <c r="I344" i="1"/>
  <c r="O343" i="1"/>
  <c r="P343" i="1" s="1"/>
  <c r="N343" i="1"/>
  <c r="M343" i="1"/>
  <c r="L343" i="1"/>
  <c r="K343" i="1"/>
  <c r="I343" i="1"/>
  <c r="O342" i="1"/>
  <c r="P342" i="1" s="1"/>
  <c r="N342" i="1"/>
  <c r="M342" i="1"/>
  <c r="L342" i="1"/>
  <c r="K342" i="1"/>
  <c r="I342" i="1"/>
  <c r="O341" i="1"/>
  <c r="P341" i="1" s="1"/>
  <c r="N341" i="1"/>
  <c r="M341" i="1"/>
  <c r="L341" i="1"/>
  <c r="K341" i="1"/>
  <c r="I341" i="1"/>
  <c r="O340" i="1"/>
  <c r="P340" i="1" s="1"/>
  <c r="N340" i="1"/>
  <c r="M340" i="1"/>
  <c r="L340" i="1"/>
  <c r="K340" i="1"/>
  <c r="I340" i="1"/>
  <c r="O339" i="1"/>
  <c r="P339" i="1" s="1"/>
  <c r="N339" i="1"/>
  <c r="M339" i="1"/>
  <c r="L339" i="1"/>
  <c r="K339" i="1"/>
  <c r="I339" i="1"/>
  <c r="O338" i="1"/>
  <c r="P338" i="1" s="1"/>
  <c r="N338" i="1"/>
  <c r="M338" i="1"/>
  <c r="L338" i="1"/>
  <c r="K338" i="1"/>
  <c r="I338" i="1"/>
  <c r="O337" i="1"/>
  <c r="P337" i="1" s="1"/>
  <c r="N337" i="1"/>
  <c r="M337" i="1"/>
  <c r="L337" i="1"/>
  <c r="K337" i="1"/>
  <c r="I337" i="1"/>
  <c r="O336" i="1"/>
  <c r="P336" i="1" s="1"/>
  <c r="N336" i="1"/>
  <c r="M336" i="1"/>
  <c r="L336" i="1"/>
  <c r="K336" i="1"/>
  <c r="I336" i="1"/>
  <c r="O335" i="1"/>
  <c r="P335" i="1" s="1"/>
  <c r="N335" i="1"/>
  <c r="M335" i="1"/>
  <c r="L335" i="1"/>
  <c r="K335" i="1"/>
  <c r="I335" i="1"/>
  <c r="O334" i="1"/>
  <c r="P334" i="1" s="1"/>
  <c r="N334" i="1"/>
  <c r="M334" i="1"/>
  <c r="L334" i="1"/>
  <c r="K334" i="1"/>
  <c r="I334" i="1"/>
  <c r="O333" i="1"/>
  <c r="P333" i="1" s="1"/>
  <c r="N333" i="1"/>
  <c r="M333" i="1"/>
  <c r="L333" i="1"/>
  <c r="K333" i="1"/>
  <c r="I333" i="1"/>
  <c r="O332" i="1"/>
  <c r="P332" i="1" s="1"/>
  <c r="N332" i="1"/>
  <c r="M332" i="1"/>
  <c r="L332" i="1"/>
  <c r="K332" i="1"/>
  <c r="I332" i="1"/>
  <c r="O331" i="1"/>
  <c r="P331" i="1" s="1"/>
  <c r="N331" i="1"/>
  <c r="M331" i="1"/>
  <c r="L331" i="1"/>
  <c r="K331" i="1"/>
  <c r="I331" i="1"/>
  <c r="O330" i="1"/>
  <c r="P330" i="1" s="1"/>
  <c r="N330" i="1"/>
  <c r="M330" i="1"/>
  <c r="L330" i="1"/>
  <c r="K330" i="1"/>
  <c r="I330" i="1"/>
  <c r="O329" i="1"/>
  <c r="P329" i="1" s="1"/>
  <c r="N329" i="1"/>
  <c r="M329" i="1"/>
  <c r="L329" i="1"/>
  <c r="K329" i="1"/>
  <c r="I329" i="1"/>
  <c r="O328" i="1"/>
  <c r="P328" i="1" s="1"/>
  <c r="N328" i="1"/>
  <c r="M328" i="1"/>
  <c r="L328" i="1"/>
  <c r="K328" i="1"/>
  <c r="I328" i="1"/>
  <c r="O327" i="1"/>
  <c r="P327" i="1" s="1"/>
  <c r="N327" i="1"/>
  <c r="M327" i="1"/>
  <c r="L327" i="1"/>
  <c r="K327" i="1"/>
  <c r="I327" i="1"/>
  <c r="O326" i="1"/>
  <c r="P326" i="1" s="1"/>
  <c r="N326" i="1"/>
  <c r="M326" i="1"/>
  <c r="L326" i="1"/>
  <c r="K326" i="1"/>
  <c r="I326" i="1"/>
  <c r="O325" i="1"/>
  <c r="P325" i="1" s="1"/>
  <c r="N325" i="1"/>
  <c r="M325" i="1"/>
  <c r="L325" i="1"/>
  <c r="K325" i="1"/>
  <c r="I325" i="1"/>
  <c r="O324" i="1"/>
  <c r="P324" i="1" s="1"/>
  <c r="N324" i="1"/>
  <c r="M324" i="1"/>
  <c r="L324" i="1"/>
  <c r="K324" i="1"/>
  <c r="I324" i="1"/>
  <c r="O323" i="1"/>
  <c r="P323" i="1" s="1"/>
  <c r="N323" i="1"/>
  <c r="M323" i="1"/>
  <c r="L323" i="1"/>
  <c r="K323" i="1"/>
  <c r="I323" i="1"/>
  <c r="O322" i="1"/>
  <c r="P322" i="1" s="1"/>
  <c r="N322" i="1"/>
  <c r="M322" i="1"/>
  <c r="L322" i="1"/>
  <c r="K322" i="1"/>
  <c r="I322" i="1"/>
  <c r="O321" i="1"/>
  <c r="P321" i="1" s="1"/>
  <c r="N321" i="1"/>
  <c r="M321" i="1"/>
  <c r="L321" i="1"/>
  <c r="K321" i="1"/>
  <c r="I321" i="1"/>
  <c r="O320" i="1"/>
  <c r="P320" i="1" s="1"/>
  <c r="N320" i="1"/>
  <c r="M320" i="1"/>
  <c r="L320" i="1"/>
  <c r="K320" i="1"/>
  <c r="I320" i="1"/>
  <c r="O319" i="1"/>
  <c r="P319" i="1" s="1"/>
  <c r="N319" i="1"/>
  <c r="M319" i="1"/>
  <c r="L319" i="1"/>
  <c r="K319" i="1"/>
  <c r="I319" i="1"/>
  <c r="O318" i="1"/>
  <c r="P318" i="1" s="1"/>
  <c r="N318" i="1"/>
  <c r="M318" i="1"/>
  <c r="L318" i="1"/>
  <c r="K318" i="1"/>
  <c r="I318" i="1"/>
  <c r="O317" i="1"/>
  <c r="P317" i="1" s="1"/>
  <c r="N317" i="1"/>
  <c r="M317" i="1"/>
  <c r="L317" i="1"/>
  <c r="K317" i="1"/>
  <c r="I317" i="1"/>
  <c r="O316" i="1"/>
  <c r="P316" i="1" s="1"/>
  <c r="N316" i="1"/>
  <c r="M316" i="1"/>
  <c r="L316" i="1"/>
  <c r="K316" i="1"/>
  <c r="I316" i="1"/>
  <c r="O315" i="1"/>
  <c r="P315" i="1" s="1"/>
  <c r="N315" i="1"/>
  <c r="M315" i="1"/>
  <c r="L315" i="1"/>
  <c r="K315" i="1"/>
  <c r="I315" i="1"/>
  <c r="O314" i="1"/>
  <c r="P314" i="1" s="1"/>
  <c r="N314" i="1"/>
  <c r="M314" i="1"/>
  <c r="L314" i="1"/>
  <c r="K314" i="1"/>
  <c r="I314" i="1"/>
  <c r="O313" i="1"/>
  <c r="P313" i="1" s="1"/>
  <c r="N313" i="1"/>
  <c r="M313" i="1"/>
  <c r="L313" i="1"/>
  <c r="K313" i="1"/>
  <c r="I313" i="1"/>
  <c r="O312" i="1"/>
  <c r="P312" i="1" s="1"/>
  <c r="N312" i="1"/>
  <c r="M312" i="1"/>
  <c r="L312" i="1"/>
  <c r="K312" i="1"/>
  <c r="I312" i="1"/>
  <c r="O311" i="1"/>
  <c r="P311" i="1" s="1"/>
  <c r="N311" i="1"/>
  <c r="M311" i="1"/>
  <c r="L311" i="1"/>
  <c r="K311" i="1"/>
  <c r="I311" i="1"/>
  <c r="O310" i="1"/>
  <c r="P310" i="1" s="1"/>
  <c r="N310" i="1"/>
  <c r="M310" i="1"/>
  <c r="L310" i="1"/>
  <c r="K310" i="1"/>
  <c r="I310" i="1"/>
  <c r="O309" i="1"/>
  <c r="P309" i="1" s="1"/>
  <c r="N309" i="1"/>
  <c r="M309" i="1"/>
  <c r="L309" i="1"/>
  <c r="K309" i="1"/>
  <c r="I309" i="1"/>
  <c r="O308" i="1"/>
  <c r="P308" i="1" s="1"/>
  <c r="N308" i="1"/>
  <c r="M308" i="1"/>
  <c r="L308" i="1"/>
  <c r="K308" i="1"/>
  <c r="I308" i="1"/>
  <c r="O307" i="1"/>
  <c r="P307" i="1" s="1"/>
  <c r="N307" i="1"/>
  <c r="M307" i="1"/>
  <c r="L307" i="1"/>
  <c r="K307" i="1"/>
  <c r="I307" i="1"/>
  <c r="O306" i="1"/>
  <c r="P306" i="1" s="1"/>
  <c r="N306" i="1"/>
  <c r="M306" i="1"/>
  <c r="L306" i="1"/>
  <c r="K306" i="1"/>
  <c r="I306" i="1"/>
  <c r="O305" i="1"/>
  <c r="P305" i="1" s="1"/>
  <c r="N305" i="1"/>
  <c r="M305" i="1"/>
  <c r="L305" i="1"/>
  <c r="K305" i="1"/>
  <c r="I305" i="1"/>
  <c r="O304" i="1"/>
  <c r="P304" i="1" s="1"/>
  <c r="N304" i="1"/>
  <c r="M304" i="1"/>
  <c r="L304" i="1"/>
  <c r="K304" i="1"/>
  <c r="I304" i="1"/>
  <c r="O303" i="1"/>
  <c r="P303" i="1" s="1"/>
  <c r="N303" i="1"/>
  <c r="M303" i="1"/>
  <c r="L303" i="1"/>
  <c r="K303" i="1"/>
  <c r="I303" i="1"/>
  <c r="O302" i="1"/>
  <c r="P302" i="1" s="1"/>
  <c r="N302" i="1"/>
  <c r="M302" i="1"/>
  <c r="L302" i="1"/>
  <c r="K302" i="1"/>
  <c r="I302" i="1"/>
  <c r="O301" i="1"/>
  <c r="P301" i="1" s="1"/>
  <c r="N301" i="1"/>
  <c r="M301" i="1"/>
  <c r="L301" i="1"/>
  <c r="K301" i="1"/>
  <c r="I301" i="1"/>
  <c r="O300" i="1"/>
  <c r="P300" i="1" s="1"/>
  <c r="N300" i="1"/>
  <c r="M300" i="1"/>
  <c r="L300" i="1"/>
  <c r="K300" i="1"/>
  <c r="I300" i="1"/>
  <c r="O299" i="1"/>
  <c r="P299" i="1" s="1"/>
  <c r="N299" i="1"/>
  <c r="M299" i="1"/>
  <c r="L299" i="1"/>
  <c r="K299" i="1"/>
  <c r="I299" i="1"/>
  <c r="O298" i="1"/>
  <c r="P298" i="1" s="1"/>
  <c r="N298" i="1"/>
  <c r="M298" i="1"/>
  <c r="L298" i="1"/>
  <c r="K298" i="1"/>
  <c r="I298" i="1"/>
  <c r="O297" i="1"/>
  <c r="P297" i="1" s="1"/>
  <c r="N297" i="1"/>
  <c r="M297" i="1"/>
  <c r="L297" i="1"/>
  <c r="K297" i="1"/>
  <c r="I297" i="1"/>
  <c r="O296" i="1"/>
  <c r="P296" i="1" s="1"/>
  <c r="N296" i="1"/>
  <c r="M296" i="1"/>
  <c r="L296" i="1"/>
  <c r="K296" i="1"/>
  <c r="I296" i="1"/>
  <c r="O295" i="1"/>
  <c r="P295" i="1" s="1"/>
  <c r="N295" i="1"/>
  <c r="M295" i="1"/>
  <c r="L295" i="1"/>
  <c r="K295" i="1"/>
  <c r="I295" i="1"/>
  <c r="O294" i="1"/>
  <c r="P294" i="1" s="1"/>
  <c r="N294" i="1"/>
  <c r="M294" i="1"/>
  <c r="L294" i="1"/>
  <c r="K294" i="1"/>
  <c r="I294" i="1"/>
  <c r="O293" i="1"/>
  <c r="P293" i="1" s="1"/>
  <c r="N293" i="1"/>
  <c r="M293" i="1"/>
  <c r="L293" i="1"/>
  <c r="K293" i="1"/>
  <c r="I293" i="1"/>
  <c r="O292" i="1"/>
  <c r="P292" i="1" s="1"/>
  <c r="N292" i="1"/>
  <c r="M292" i="1"/>
  <c r="L292" i="1"/>
  <c r="K292" i="1"/>
  <c r="I292" i="1"/>
  <c r="O291" i="1"/>
  <c r="P291" i="1" s="1"/>
  <c r="N291" i="1"/>
  <c r="M291" i="1"/>
  <c r="L291" i="1"/>
  <c r="K291" i="1"/>
  <c r="I291" i="1"/>
  <c r="O290" i="1"/>
  <c r="P290" i="1" s="1"/>
  <c r="N290" i="1"/>
  <c r="M290" i="1"/>
  <c r="L290" i="1"/>
  <c r="K290" i="1"/>
  <c r="I290" i="1"/>
  <c r="O289" i="1"/>
  <c r="P289" i="1" s="1"/>
  <c r="N289" i="1"/>
  <c r="M289" i="1"/>
  <c r="L289" i="1"/>
  <c r="K289" i="1"/>
  <c r="I289" i="1"/>
  <c r="O288" i="1"/>
  <c r="P288" i="1" s="1"/>
  <c r="N288" i="1"/>
  <c r="M288" i="1"/>
  <c r="L288" i="1"/>
  <c r="K288" i="1"/>
  <c r="I288" i="1"/>
  <c r="O287" i="1"/>
  <c r="P287" i="1" s="1"/>
  <c r="N287" i="1"/>
  <c r="M287" i="1"/>
  <c r="L287" i="1"/>
  <c r="K287" i="1"/>
  <c r="I287" i="1"/>
  <c r="O286" i="1"/>
  <c r="P286" i="1" s="1"/>
  <c r="N286" i="1"/>
  <c r="M286" i="1"/>
  <c r="L286" i="1"/>
  <c r="K286" i="1"/>
  <c r="I286" i="1"/>
  <c r="O285" i="1"/>
  <c r="P285" i="1" s="1"/>
  <c r="N285" i="1"/>
  <c r="M285" i="1"/>
  <c r="L285" i="1"/>
  <c r="K285" i="1"/>
  <c r="I285" i="1"/>
  <c r="O284" i="1"/>
  <c r="P284" i="1" s="1"/>
  <c r="N284" i="1"/>
  <c r="M284" i="1"/>
  <c r="L284" i="1"/>
  <c r="K284" i="1"/>
  <c r="I284" i="1"/>
  <c r="O283" i="1"/>
  <c r="P283" i="1" s="1"/>
  <c r="N283" i="1"/>
  <c r="M283" i="1"/>
  <c r="L283" i="1"/>
  <c r="K283" i="1"/>
  <c r="I283" i="1"/>
  <c r="O282" i="1"/>
  <c r="P282" i="1" s="1"/>
  <c r="N282" i="1"/>
  <c r="M282" i="1"/>
  <c r="L282" i="1"/>
  <c r="K282" i="1"/>
  <c r="I282" i="1"/>
  <c r="O281" i="1"/>
  <c r="P281" i="1" s="1"/>
  <c r="N281" i="1"/>
  <c r="M281" i="1"/>
  <c r="L281" i="1"/>
  <c r="K281" i="1"/>
  <c r="I281" i="1"/>
  <c r="O280" i="1"/>
  <c r="P280" i="1" s="1"/>
  <c r="N280" i="1"/>
  <c r="M280" i="1"/>
  <c r="L280" i="1"/>
  <c r="K280" i="1"/>
  <c r="I280" i="1"/>
  <c r="O279" i="1"/>
  <c r="P279" i="1" s="1"/>
  <c r="N279" i="1"/>
  <c r="M279" i="1"/>
  <c r="L279" i="1"/>
  <c r="K279" i="1"/>
  <c r="I279" i="1"/>
  <c r="O278" i="1"/>
  <c r="P278" i="1" s="1"/>
  <c r="N278" i="1"/>
  <c r="M278" i="1"/>
  <c r="L278" i="1"/>
  <c r="K278" i="1"/>
  <c r="I278" i="1"/>
  <c r="O277" i="1"/>
  <c r="P277" i="1" s="1"/>
  <c r="N277" i="1"/>
  <c r="M277" i="1"/>
  <c r="L277" i="1"/>
  <c r="K277" i="1"/>
  <c r="I277" i="1"/>
  <c r="O276" i="1"/>
  <c r="P276" i="1" s="1"/>
  <c r="N276" i="1"/>
  <c r="M276" i="1"/>
  <c r="L276" i="1"/>
  <c r="K276" i="1"/>
  <c r="I276" i="1"/>
  <c r="O275" i="1"/>
  <c r="P275" i="1" s="1"/>
  <c r="N275" i="1"/>
  <c r="M275" i="1"/>
  <c r="L275" i="1"/>
  <c r="K275" i="1"/>
  <c r="I275" i="1"/>
  <c r="O274" i="1"/>
  <c r="P274" i="1" s="1"/>
  <c r="N274" i="1"/>
  <c r="M274" i="1"/>
  <c r="L274" i="1"/>
  <c r="K274" i="1"/>
  <c r="I274" i="1"/>
  <c r="O273" i="1"/>
  <c r="P273" i="1" s="1"/>
  <c r="N273" i="1"/>
  <c r="M273" i="1"/>
  <c r="L273" i="1"/>
  <c r="K273" i="1"/>
  <c r="I273" i="1"/>
  <c r="O272" i="1"/>
  <c r="P272" i="1" s="1"/>
  <c r="N272" i="1"/>
  <c r="M272" i="1"/>
  <c r="L272" i="1"/>
  <c r="K272" i="1"/>
  <c r="I272" i="1"/>
  <c r="O271" i="1"/>
  <c r="P271" i="1" s="1"/>
  <c r="N271" i="1"/>
  <c r="M271" i="1"/>
  <c r="L271" i="1"/>
  <c r="K271" i="1"/>
  <c r="I271" i="1"/>
  <c r="O270" i="1"/>
  <c r="P270" i="1" s="1"/>
  <c r="N270" i="1"/>
  <c r="M270" i="1"/>
  <c r="L270" i="1"/>
  <c r="K270" i="1"/>
  <c r="I270" i="1"/>
  <c r="O269" i="1"/>
  <c r="P269" i="1" s="1"/>
  <c r="N269" i="1"/>
  <c r="M269" i="1"/>
  <c r="L269" i="1"/>
  <c r="K269" i="1"/>
  <c r="I269" i="1"/>
  <c r="O268" i="1"/>
  <c r="P268" i="1" s="1"/>
  <c r="N268" i="1"/>
  <c r="M268" i="1"/>
  <c r="L268" i="1"/>
  <c r="K268" i="1"/>
  <c r="I268" i="1"/>
  <c r="O267" i="1"/>
  <c r="P267" i="1" s="1"/>
  <c r="N267" i="1"/>
  <c r="M267" i="1"/>
  <c r="L267" i="1"/>
  <c r="K267" i="1"/>
  <c r="I267" i="1"/>
  <c r="O266" i="1"/>
  <c r="P266" i="1" s="1"/>
  <c r="N266" i="1"/>
  <c r="M266" i="1"/>
  <c r="L266" i="1"/>
  <c r="K266" i="1"/>
  <c r="I266" i="1"/>
  <c r="O265" i="1"/>
  <c r="P265" i="1" s="1"/>
  <c r="N265" i="1"/>
  <c r="M265" i="1"/>
  <c r="L265" i="1"/>
  <c r="K265" i="1"/>
  <c r="I265" i="1"/>
  <c r="O264" i="1"/>
  <c r="P264" i="1" s="1"/>
  <c r="N264" i="1"/>
  <c r="M264" i="1"/>
  <c r="L264" i="1"/>
  <c r="K264" i="1"/>
  <c r="I264" i="1"/>
  <c r="O263" i="1"/>
  <c r="P263" i="1" s="1"/>
  <c r="N263" i="1"/>
  <c r="M263" i="1"/>
  <c r="L263" i="1"/>
  <c r="K263" i="1"/>
  <c r="I263" i="1"/>
  <c r="O262" i="1"/>
  <c r="P262" i="1" s="1"/>
  <c r="N262" i="1"/>
  <c r="M262" i="1"/>
  <c r="L262" i="1"/>
  <c r="K262" i="1"/>
  <c r="I262" i="1"/>
  <c r="O261" i="1"/>
  <c r="P261" i="1" s="1"/>
  <c r="N261" i="1"/>
  <c r="M261" i="1"/>
  <c r="L261" i="1"/>
  <c r="K261" i="1"/>
  <c r="I261" i="1"/>
  <c r="O260" i="1"/>
  <c r="P260" i="1" s="1"/>
  <c r="N260" i="1"/>
  <c r="M260" i="1"/>
  <c r="L260" i="1"/>
  <c r="K260" i="1"/>
  <c r="I260" i="1"/>
  <c r="O259" i="1"/>
  <c r="P259" i="1" s="1"/>
  <c r="N259" i="1"/>
  <c r="M259" i="1"/>
  <c r="L259" i="1"/>
  <c r="K259" i="1"/>
  <c r="I259" i="1"/>
  <c r="O258" i="1"/>
  <c r="P258" i="1" s="1"/>
  <c r="N258" i="1"/>
  <c r="M258" i="1"/>
  <c r="L258" i="1"/>
  <c r="K258" i="1"/>
  <c r="I258" i="1"/>
  <c r="O257" i="1"/>
  <c r="P257" i="1" s="1"/>
  <c r="N257" i="1"/>
  <c r="M257" i="1"/>
  <c r="L257" i="1"/>
  <c r="K257" i="1"/>
  <c r="I257" i="1"/>
  <c r="O256" i="1"/>
  <c r="P256" i="1" s="1"/>
  <c r="N256" i="1"/>
  <c r="M256" i="1"/>
  <c r="L256" i="1"/>
  <c r="K256" i="1"/>
  <c r="I256" i="1"/>
  <c r="O255" i="1"/>
  <c r="P255" i="1" s="1"/>
  <c r="N255" i="1"/>
  <c r="M255" i="1"/>
  <c r="L255" i="1"/>
  <c r="K255" i="1"/>
  <c r="I255" i="1"/>
  <c r="O254" i="1"/>
  <c r="P254" i="1" s="1"/>
  <c r="N254" i="1"/>
  <c r="M254" i="1"/>
  <c r="L254" i="1"/>
  <c r="K254" i="1"/>
  <c r="I254" i="1"/>
  <c r="O253" i="1"/>
  <c r="P253" i="1" s="1"/>
  <c r="N253" i="1"/>
  <c r="M253" i="1"/>
  <c r="L253" i="1"/>
  <c r="K253" i="1"/>
  <c r="I253" i="1"/>
  <c r="O252" i="1"/>
  <c r="P252" i="1" s="1"/>
  <c r="N252" i="1"/>
  <c r="M252" i="1"/>
  <c r="L252" i="1"/>
  <c r="K252" i="1"/>
  <c r="I252" i="1"/>
  <c r="O251" i="1"/>
  <c r="P251" i="1" s="1"/>
  <c r="N251" i="1"/>
  <c r="M251" i="1"/>
  <c r="L251" i="1"/>
  <c r="K251" i="1"/>
  <c r="I251" i="1"/>
  <c r="O250" i="1"/>
  <c r="P250" i="1" s="1"/>
  <c r="N250" i="1"/>
  <c r="M250" i="1"/>
  <c r="L250" i="1"/>
  <c r="K250" i="1"/>
  <c r="I250" i="1"/>
  <c r="O249" i="1"/>
  <c r="P249" i="1" s="1"/>
  <c r="N249" i="1"/>
  <c r="M249" i="1"/>
  <c r="L249" i="1"/>
  <c r="K249" i="1"/>
  <c r="I249" i="1"/>
  <c r="O248" i="1"/>
  <c r="P248" i="1" s="1"/>
  <c r="N248" i="1"/>
  <c r="M248" i="1"/>
  <c r="L248" i="1"/>
  <c r="K248" i="1"/>
  <c r="I248" i="1"/>
  <c r="O247" i="1"/>
  <c r="P247" i="1" s="1"/>
  <c r="N247" i="1"/>
  <c r="M247" i="1"/>
  <c r="L247" i="1"/>
  <c r="K247" i="1"/>
  <c r="I247" i="1"/>
  <c r="O246" i="1"/>
  <c r="P246" i="1" s="1"/>
  <c r="N246" i="1"/>
  <c r="M246" i="1"/>
  <c r="L246" i="1"/>
  <c r="K246" i="1"/>
  <c r="I246" i="1"/>
  <c r="O245" i="1"/>
  <c r="P245" i="1" s="1"/>
  <c r="N245" i="1"/>
  <c r="M245" i="1"/>
  <c r="L245" i="1"/>
  <c r="K245" i="1"/>
  <c r="I245" i="1"/>
  <c r="O244" i="1"/>
  <c r="P244" i="1" s="1"/>
  <c r="N244" i="1"/>
  <c r="M244" i="1"/>
  <c r="L244" i="1"/>
  <c r="K244" i="1"/>
  <c r="I244" i="1"/>
  <c r="O243" i="1"/>
  <c r="P243" i="1" s="1"/>
  <c r="N243" i="1"/>
  <c r="M243" i="1"/>
  <c r="L243" i="1"/>
  <c r="K243" i="1"/>
  <c r="I243" i="1"/>
  <c r="O242" i="1"/>
  <c r="P242" i="1" s="1"/>
  <c r="N242" i="1"/>
  <c r="M242" i="1"/>
  <c r="L242" i="1"/>
  <c r="K242" i="1"/>
  <c r="I242" i="1"/>
  <c r="O241" i="1"/>
  <c r="P241" i="1" s="1"/>
  <c r="N241" i="1"/>
  <c r="M241" i="1"/>
  <c r="L241" i="1"/>
  <c r="K241" i="1"/>
  <c r="I241" i="1"/>
  <c r="O240" i="1"/>
  <c r="P240" i="1" s="1"/>
  <c r="N240" i="1"/>
  <c r="M240" i="1"/>
  <c r="L240" i="1"/>
  <c r="K240" i="1"/>
  <c r="I240" i="1"/>
  <c r="O239" i="1"/>
  <c r="P239" i="1" s="1"/>
  <c r="N239" i="1"/>
  <c r="M239" i="1"/>
  <c r="L239" i="1"/>
  <c r="K239" i="1"/>
  <c r="I239" i="1"/>
  <c r="O238" i="1"/>
  <c r="P238" i="1" s="1"/>
  <c r="N238" i="1"/>
  <c r="M238" i="1"/>
  <c r="L238" i="1"/>
  <c r="K238" i="1"/>
  <c r="I238" i="1"/>
  <c r="O237" i="1"/>
  <c r="P237" i="1" s="1"/>
  <c r="N237" i="1"/>
  <c r="M237" i="1"/>
  <c r="L237" i="1"/>
  <c r="K237" i="1"/>
  <c r="I237" i="1"/>
  <c r="O236" i="1"/>
  <c r="P236" i="1" s="1"/>
  <c r="N236" i="1"/>
  <c r="M236" i="1"/>
  <c r="L236" i="1"/>
  <c r="K236" i="1"/>
  <c r="I236" i="1"/>
  <c r="O235" i="1"/>
  <c r="P235" i="1" s="1"/>
  <c r="N235" i="1"/>
  <c r="M235" i="1"/>
  <c r="L235" i="1"/>
  <c r="K235" i="1"/>
  <c r="I235" i="1"/>
  <c r="O234" i="1"/>
  <c r="P234" i="1" s="1"/>
  <c r="N234" i="1"/>
  <c r="M234" i="1"/>
  <c r="L234" i="1"/>
  <c r="K234" i="1"/>
  <c r="I234" i="1"/>
  <c r="O233" i="1"/>
  <c r="P233" i="1" s="1"/>
  <c r="N233" i="1"/>
  <c r="M233" i="1"/>
  <c r="L233" i="1"/>
  <c r="K233" i="1"/>
  <c r="I233" i="1"/>
  <c r="O232" i="1"/>
  <c r="P232" i="1" s="1"/>
  <c r="N232" i="1"/>
  <c r="M232" i="1"/>
  <c r="L232" i="1"/>
  <c r="K232" i="1"/>
  <c r="I232" i="1"/>
  <c r="O231" i="1"/>
  <c r="P231" i="1" s="1"/>
  <c r="N231" i="1"/>
  <c r="M231" i="1"/>
  <c r="L231" i="1"/>
  <c r="K231" i="1"/>
  <c r="I231" i="1"/>
  <c r="O230" i="1"/>
  <c r="P230" i="1" s="1"/>
  <c r="N230" i="1"/>
  <c r="M230" i="1"/>
  <c r="L230" i="1"/>
  <c r="K230" i="1"/>
  <c r="I230" i="1"/>
  <c r="O229" i="1"/>
  <c r="P229" i="1" s="1"/>
  <c r="N229" i="1"/>
  <c r="M229" i="1"/>
  <c r="L229" i="1"/>
  <c r="K229" i="1"/>
  <c r="I229" i="1"/>
  <c r="O228" i="1"/>
  <c r="P228" i="1" s="1"/>
  <c r="N228" i="1"/>
  <c r="M228" i="1"/>
  <c r="L228" i="1"/>
  <c r="K228" i="1"/>
  <c r="I228" i="1"/>
  <c r="O227" i="1"/>
  <c r="P227" i="1" s="1"/>
  <c r="N227" i="1"/>
  <c r="M227" i="1"/>
  <c r="L227" i="1"/>
  <c r="K227" i="1"/>
  <c r="I227" i="1"/>
  <c r="O226" i="1"/>
  <c r="P226" i="1" s="1"/>
  <c r="N226" i="1"/>
  <c r="M226" i="1"/>
  <c r="L226" i="1"/>
  <c r="K226" i="1"/>
  <c r="I226" i="1"/>
  <c r="O225" i="1"/>
  <c r="P225" i="1" s="1"/>
  <c r="N225" i="1"/>
  <c r="M225" i="1"/>
  <c r="L225" i="1"/>
  <c r="K225" i="1"/>
  <c r="I225" i="1"/>
  <c r="O224" i="1"/>
  <c r="P224" i="1" s="1"/>
  <c r="N224" i="1"/>
  <c r="M224" i="1"/>
  <c r="L224" i="1"/>
  <c r="K224" i="1"/>
  <c r="I224" i="1"/>
  <c r="O223" i="1"/>
  <c r="P223" i="1" s="1"/>
  <c r="N223" i="1"/>
  <c r="M223" i="1"/>
  <c r="L223" i="1"/>
  <c r="K223" i="1"/>
  <c r="I223" i="1"/>
  <c r="O222" i="1"/>
  <c r="P222" i="1" s="1"/>
  <c r="N222" i="1"/>
  <c r="M222" i="1"/>
  <c r="L222" i="1"/>
  <c r="K222" i="1"/>
  <c r="I222" i="1"/>
  <c r="O221" i="1"/>
  <c r="P221" i="1" s="1"/>
  <c r="N221" i="1"/>
  <c r="M221" i="1"/>
  <c r="L221" i="1"/>
  <c r="K221" i="1"/>
  <c r="I221" i="1"/>
  <c r="O220" i="1"/>
  <c r="P220" i="1" s="1"/>
  <c r="N220" i="1"/>
  <c r="M220" i="1"/>
  <c r="L220" i="1"/>
  <c r="K220" i="1"/>
  <c r="I220" i="1"/>
  <c r="O219" i="1"/>
  <c r="P219" i="1" s="1"/>
  <c r="N219" i="1"/>
  <c r="M219" i="1"/>
  <c r="L219" i="1"/>
  <c r="K219" i="1"/>
  <c r="I219" i="1"/>
  <c r="O218" i="1"/>
  <c r="P218" i="1" s="1"/>
  <c r="N218" i="1"/>
  <c r="M218" i="1"/>
  <c r="L218" i="1"/>
  <c r="K218" i="1"/>
  <c r="I218" i="1"/>
  <c r="O217" i="1"/>
  <c r="P217" i="1" s="1"/>
  <c r="N217" i="1"/>
  <c r="M217" i="1"/>
  <c r="L217" i="1"/>
  <c r="K217" i="1"/>
  <c r="I217" i="1"/>
  <c r="O216" i="1"/>
  <c r="P216" i="1" s="1"/>
  <c r="N216" i="1"/>
  <c r="M216" i="1"/>
  <c r="L216" i="1"/>
  <c r="K216" i="1"/>
  <c r="I216" i="1"/>
  <c r="O215" i="1"/>
  <c r="P215" i="1" s="1"/>
  <c r="N215" i="1"/>
  <c r="M215" i="1"/>
  <c r="L215" i="1"/>
  <c r="K215" i="1"/>
  <c r="I215" i="1"/>
  <c r="O214" i="1"/>
  <c r="P214" i="1" s="1"/>
  <c r="N214" i="1"/>
  <c r="M214" i="1"/>
  <c r="L214" i="1"/>
  <c r="K214" i="1"/>
  <c r="I214" i="1"/>
  <c r="O213" i="1"/>
  <c r="P213" i="1" s="1"/>
  <c r="N213" i="1"/>
  <c r="M213" i="1"/>
  <c r="L213" i="1"/>
  <c r="K213" i="1"/>
  <c r="I213" i="1"/>
  <c r="O212" i="1"/>
  <c r="P212" i="1" s="1"/>
  <c r="N212" i="1"/>
  <c r="M212" i="1"/>
  <c r="L212" i="1"/>
  <c r="K212" i="1"/>
  <c r="I212" i="1"/>
  <c r="O211" i="1"/>
  <c r="P211" i="1" s="1"/>
  <c r="N211" i="1"/>
  <c r="M211" i="1"/>
  <c r="L211" i="1"/>
  <c r="K211" i="1"/>
  <c r="I211" i="1"/>
  <c r="O210" i="1"/>
  <c r="P210" i="1" s="1"/>
  <c r="N210" i="1"/>
  <c r="M210" i="1"/>
  <c r="L210" i="1"/>
  <c r="K210" i="1"/>
  <c r="I210" i="1"/>
  <c r="O209" i="1"/>
  <c r="P209" i="1" s="1"/>
  <c r="N209" i="1"/>
  <c r="M209" i="1"/>
  <c r="L209" i="1"/>
  <c r="K209" i="1"/>
  <c r="I209" i="1"/>
  <c r="O208" i="1"/>
  <c r="P208" i="1" s="1"/>
  <c r="N208" i="1"/>
  <c r="M208" i="1"/>
  <c r="L208" i="1"/>
  <c r="K208" i="1"/>
  <c r="I208" i="1"/>
  <c r="O207" i="1"/>
  <c r="P207" i="1" s="1"/>
  <c r="N207" i="1"/>
  <c r="M207" i="1"/>
  <c r="L207" i="1"/>
  <c r="K207" i="1"/>
  <c r="I207" i="1"/>
  <c r="O206" i="1"/>
  <c r="P206" i="1" s="1"/>
  <c r="N206" i="1"/>
  <c r="M206" i="1"/>
  <c r="L206" i="1"/>
  <c r="K206" i="1"/>
  <c r="I206" i="1"/>
  <c r="O205" i="1"/>
  <c r="P205" i="1" s="1"/>
  <c r="N205" i="1"/>
  <c r="M205" i="1"/>
  <c r="L205" i="1"/>
  <c r="K205" i="1"/>
  <c r="I205" i="1"/>
  <c r="O204" i="1"/>
  <c r="P204" i="1" s="1"/>
  <c r="N204" i="1"/>
  <c r="M204" i="1"/>
  <c r="L204" i="1"/>
  <c r="K204" i="1"/>
  <c r="I204" i="1"/>
  <c r="O203" i="1"/>
  <c r="P203" i="1" s="1"/>
  <c r="N203" i="1"/>
  <c r="M203" i="1"/>
  <c r="L203" i="1"/>
  <c r="K203" i="1"/>
  <c r="I203" i="1"/>
  <c r="O202" i="1"/>
  <c r="P202" i="1" s="1"/>
  <c r="N202" i="1"/>
  <c r="M202" i="1"/>
  <c r="L202" i="1"/>
  <c r="K202" i="1"/>
  <c r="I202" i="1"/>
  <c r="O201" i="1"/>
  <c r="P201" i="1" s="1"/>
  <c r="N201" i="1"/>
  <c r="M201" i="1"/>
  <c r="L201" i="1"/>
  <c r="K201" i="1"/>
  <c r="I201" i="1"/>
  <c r="O200" i="1"/>
  <c r="P200" i="1" s="1"/>
  <c r="N200" i="1"/>
  <c r="M200" i="1"/>
  <c r="L200" i="1"/>
  <c r="K200" i="1"/>
  <c r="I200" i="1"/>
  <c r="O199" i="1"/>
  <c r="P199" i="1" s="1"/>
  <c r="N199" i="1"/>
  <c r="M199" i="1"/>
  <c r="L199" i="1"/>
  <c r="K199" i="1"/>
  <c r="I199" i="1"/>
  <c r="O198" i="1"/>
  <c r="P198" i="1" s="1"/>
  <c r="N198" i="1"/>
  <c r="M198" i="1"/>
  <c r="L198" i="1"/>
  <c r="K198" i="1"/>
  <c r="I198" i="1"/>
  <c r="O197" i="1"/>
  <c r="P197" i="1" s="1"/>
  <c r="N197" i="1"/>
  <c r="M197" i="1"/>
  <c r="L197" i="1"/>
  <c r="K197" i="1"/>
  <c r="I197" i="1"/>
  <c r="O196" i="1"/>
  <c r="P196" i="1" s="1"/>
  <c r="N196" i="1"/>
  <c r="M196" i="1"/>
  <c r="L196" i="1"/>
  <c r="K196" i="1"/>
  <c r="I196" i="1"/>
  <c r="O195" i="1"/>
  <c r="P195" i="1" s="1"/>
  <c r="N195" i="1"/>
  <c r="M195" i="1"/>
  <c r="L195" i="1"/>
  <c r="K195" i="1"/>
  <c r="I195" i="1"/>
  <c r="O194" i="1"/>
  <c r="P194" i="1" s="1"/>
  <c r="N194" i="1"/>
  <c r="M194" i="1"/>
  <c r="L194" i="1"/>
  <c r="K194" i="1"/>
  <c r="I194" i="1"/>
  <c r="O193" i="1"/>
  <c r="P193" i="1" s="1"/>
  <c r="N193" i="1"/>
  <c r="M193" i="1"/>
  <c r="L193" i="1"/>
  <c r="K193" i="1"/>
  <c r="I193" i="1"/>
  <c r="O192" i="1"/>
  <c r="P192" i="1" s="1"/>
  <c r="N192" i="1"/>
  <c r="M192" i="1"/>
  <c r="L192" i="1"/>
  <c r="K192" i="1"/>
  <c r="I192" i="1"/>
  <c r="O191" i="1"/>
  <c r="P191" i="1" s="1"/>
  <c r="N191" i="1"/>
  <c r="M191" i="1"/>
  <c r="L191" i="1"/>
  <c r="K191" i="1"/>
  <c r="I191" i="1"/>
  <c r="O190" i="1"/>
  <c r="P190" i="1" s="1"/>
  <c r="N190" i="1"/>
  <c r="M190" i="1"/>
  <c r="L190" i="1"/>
  <c r="K190" i="1"/>
  <c r="I190" i="1"/>
  <c r="O189" i="1"/>
  <c r="P189" i="1" s="1"/>
  <c r="N189" i="1"/>
  <c r="M189" i="1"/>
  <c r="L189" i="1"/>
  <c r="K189" i="1"/>
  <c r="I189" i="1"/>
  <c r="O188" i="1"/>
  <c r="P188" i="1" s="1"/>
  <c r="N188" i="1"/>
  <c r="M188" i="1"/>
  <c r="L188" i="1"/>
  <c r="K188" i="1"/>
  <c r="I188" i="1"/>
  <c r="O187" i="1"/>
  <c r="P187" i="1" s="1"/>
  <c r="N187" i="1"/>
  <c r="M187" i="1"/>
  <c r="L187" i="1"/>
  <c r="K187" i="1"/>
  <c r="I187" i="1"/>
  <c r="O186" i="1"/>
  <c r="P186" i="1" s="1"/>
  <c r="N186" i="1"/>
  <c r="M186" i="1"/>
  <c r="L186" i="1"/>
  <c r="K186" i="1"/>
  <c r="I186" i="1"/>
  <c r="O185" i="1"/>
  <c r="P185" i="1" s="1"/>
  <c r="N185" i="1"/>
  <c r="M185" i="1"/>
  <c r="L185" i="1"/>
  <c r="K185" i="1"/>
  <c r="I185" i="1"/>
  <c r="O184" i="1"/>
  <c r="P184" i="1" s="1"/>
  <c r="N184" i="1"/>
  <c r="M184" i="1"/>
  <c r="L184" i="1"/>
  <c r="K184" i="1"/>
  <c r="I184" i="1"/>
  <c r="O183" i="1"/>
  <c r="P183" i="1" s="1"/>
  <c r="N183" i="1"/>
  <c r="M183" i="1"/>
  <c r="L183" i="1"/>
  <c r="K183" i="1"/>
  <c r="I183" i="1"/>
  <c r="O182" i="1"/>
  <c r="P182" i="1" s="1"/>
  <c r="N182" i="1"/>
  <c r="M182" i="1"/>
  <c r="L182" i="1"/>
  <c r="K182" i="1"/>
  <c r="I182" i="1"/>
  <c r="O181" i="1"/>
  <c r="P181" i="1" s="1"/>
  <c r="N181" i="1"/>
  <c r="M181" i="1"/>
  <c r="L181" i="1"/>
  <c r="K181" i="1"/>
  <c r="I181" i="1"/>
  <c r="O180" i="1"/>
  <c r="P180" i="1" s="1"/>
  <c r="N180" i="1"/>
  <c r="M180" i="1"/>
  <c r="L180" i="1"/>
  <c r="K180" i="1"/>
  <c r="I180" i="1"/>
  <c r="O179" i="1"/>
  <c r="P179" i="1" s="1"/>
  <c r="N179" i="1"/>
  <c r="M179" i="1"/>
  <c r="L179" i="1"/>
  <c r="K179" i="1"/>
  <c r="I179" i="1"/>
  <c r="O178" i="1"/>
  <c r="P178" i="1" s="1"/>
  <c r="N178" i="1"/>
  <c r="M178" i="1"/>
  <c r="L178" i="1"/>
  <c r="K178" i="1"/>
  <c r="I178" i="1"/>
  <c r="O177" i="1"/>
  <c r="P177" i="1" s="1"/>
  <c r="N177" i="1"/>
  <c r="M177" i="1"/>
  <c r="L177" i="1"/>
  <c r="K177" i="1"/>
  <c r="I177" i="1"/>
  <c r="O176" i="1"/>
  <c r="P176" i="1" s="1"/>
  <c r="N176" i="1"/>
  <c r="M176" i="1"/>
  <c r="L176" i="1"/>
  <c r="K176" i="1"/>
  <c r="I176" i="1"/>
  <c r="O175" i="1"/>
  <c r="P175" i="1" s="1"/>
  <c r="N175" i="1"/>
  <c r="M175" i="1"/>
  <c r="L175" i="1"/>
  <c r="K175" i="1"/>
  <c r="I175" i="1"/>
  <c r="O174" i="1"/>
  <c r="P174" i="1" s="1"/>
  <c r="N174" i="1"/>
  <c r="M174" i="1"/>
  <c r="L174" i="1"/>
  <c r="K174" i="1"/>
  <c r="I174" i="1"/>
  <c r="O173" i="1"/>
  <c r="P173" i="1" s="1"/>
  <c r="N173" i="1"/>
  <c r="M173" i="1"/>
  <c r="L173" i="1"/>
  <c r="K173" i="1"/>
  <c r="I173" i="1"/>
  <c r="O172" i="1"/>
  <c r="P172" i="1" s="1"/>
  <c r="N172" i="1"/>
  <c r="M172" i="1"/>
  <c r="L172" i="1"/>
  <c r="K172" i="1"/>
  <c r="I172" i="1"/>
  <c r="O171" i="1"/>
  <c r="P171" i="1" s="1"/>
  <c r="N171" i="1"/>
  <c r="M171" i="1"/>
  <c r="L171" i="1"/>
  <c r="K171" i="1"/>
  <c r="I171" i="1"/>
  <c r="O170" i="1"/>
  <c r="P170" i="1" s="1"/>
  <c r="N170" i="1"/>
  <c r="M170" i="1"/>
  <c r="L170" i="1"/>
  <c r="K170" i="1"/>
  <c r="I170" i="1"/>
  <c r="O169" i="1"/>
  <c r="P169" i="1" s="1"/>
  <c r="N169" i="1"/>
  <c r="M169" i="1"/>
  <c r="L169" i="1"/>
  <c r="K169" i="1"/>
  <c r="I169" i="1"/>
  <c r="O168" i="1"/>
  <c r="P168" i="1" s="1"/>
  <c r="N168" i="1"/>
  <c r="M168" i="1"/>
  <c r="L168" i="1"/>
  <c r="K168" i="1"/>
  <c r="I168" i="1"/>
  <c r="O167" i="1"/>
  <c r="P167" i="1" s="1"/>
  <c r="N167" i="1"/>
  <c r="M167" i="1"/>
  <c r="L167" i="1"/>
  <c r="K167" i="1"/>
  <c r="I167" i="1"/>
  <c r="O166" i="1"/>
  <c r="P166" i="1" s="1"/>
  <c r="N166" i="1"/>
  <c r="M166" i="1"/>
  <c r="L166" i="1"/>
  <c r="K166" i="1"/>
  <c r="I166" i="1"/>
  <c r="O165" i="1"/>
  <c r="P165" i="1" s="1"/>
  <c r="N165" i="1"/>
  <c r="M165" i="1"/>
  <c r="L165" i="1"/>
  <c r="K165" i="1"/>
  <c r="I165" i="1"/>
  <c r="O164" i="1"/>
  <c r="P164" i="1" s="1"/>
  <c r="N164" i="1"/>
  <c r="M164" i="1"/>
  <c r="L164" i="1"/>
  <c r="K164" i="1"/>
  <c r="I164" i="1"/>
  <c r="O163" i="1"/>
  <c r="P163" i="1" s="1"/>
  <c r="N163" i="1"/>
  <c r="M163" i="1"/>
  <c r="L163" i="1"/>
  <c r="K163" i="1"/>
  <c r="I163" i="1"/>
  <c r="O162" i="1"/>
  <c r="P162" i="1" s="1"/>
  <c r="N162" i="1"/>
  <c r="M162" i="1"/>
  <c r="L162" i="1"/>
  <c r="K162" i="1"/>
  <c r="I162" i="1"/>
  <c r="O161" i="1"/>
  <c r="P161" i="1" s="1"/>
  <c r="N161" i="1"/>
  <c r="M161" i="1"/>
  <c r="L161" i="1"/>
  <c r="K161" i="1"/>
  <c r="I161" i="1"/>
  <c r="O160" i="1"/>
  <c r="P160" i="1" s="1"/>
  <c r="N160" i="1"/>
  <c r="M160" i="1"/>
  <c r="L160" i="1"/>
  <c r="K160" i="1"/>
  <c r="I160" i="1"/>
  <c r="O159" i="1"/>
  <c r="P159" i="1" s="1"/>
  <c r="N159" i="1"/>
  <c r="M159" i="1"/>
  <c r="L159" i="1"/>
  <c r="K159" i="1"/>
  <c r="I159" i="1"/>
  <c r="O158" i="1"/>
  <c r="P158" i="1" s="1"/>
  <c r="N158" i="1"/>
  <c r="M158" i="1"/>
  <c r="L158" i="1"/>
  <c r="K158" i="1"/>
  <c r="I158" i="1"/>
  <c r="O157" i="1"/>
  <c r="P157" i="1" s="1"/>
  <c r="N157" i="1"/>
  <c r="M157" i="1"/>
  <c r="L157" i="1"/>
  <c r="K157" i="1"/>
  <c r="I157" i="1"/>
  <c r="O156" i="1"/>
  <c r="P156" i="1" s="1"/>
  <c r="N156" i="1"/>
  <c r="M156" i="1"/>
  <c r="L156" i="1"/>
  <c r="K156" i="1"/>
  <c r="I156" i="1"/>
  <c r="O155" i="1"/>
  <c r="P155" i="1" s="1"/>
  <c r="N155" i="1"/>
  <c r="M155" i="1"/>
  <c r="L155" i="1"/>
  <c r="K155" i="1"/>
  <c r="I155" i="1"/>
  <c r="O154" i="1"/>
  <c r="P154" i="1" s="1"/>
  <c r="N154" i="1"/>
  <c r="M154" i="1"/>
  <c r="L154" i="1"/>
  <c r="K154" i="1"/>
  <c r="I154" i="1"/>
  <c r="O153" i="1"/>
  <c r="P153" i="1" s="1"/>
  <c r="N153" i="1"/>
  <c r="M153" i="1"/>
  <c r="L153" i="1"/>
  <c r="K153" i="1"/>
  <c r="I153" i="1"/>
  <c r="O152" i="1"/>
  <c r="P152" i="1" s="1"/>
  <c r="N152" i="1"/>
  <c r="M152" i="1"/>
  <c r="L152" i="1"/>
  <c r="K152" i="1"/>
  <c r="I152" i="1"/>
  <c r="O151" i="1"/>
  <c r="P151" i="1" s="1"/>
  <c r="N151" i="1"/>
  <c r="M151" i="1"/>
  <c r="L151" i="1"/>
  <c r="K151" i="1"/>
  <c r="I151" i="1"/>
  <c r="O150" i="1"/>
  <c r="P150" i="1" s="1"/>
  <c r="N150" i="1"/>
  <c r="M150" i="1"/>
  <c r="L150" i="1"/>
  <c r="K150" i="1"/>
  <c r="I150" i="1"/>
  <c r="O149" i="1"/>
  <c r="P149" i="1" s="1"/>
  <c r="N149" i="1"/>
  <c r="M149" i="1"/>
  <c r="L149" i="1"/>
  <c r="K149" i="1"/>
  <c r="I149" i="1"/>
  <c r="O148" i="1"/>
  <c r="P148" i="1" s="1"/>
  <c r="N148" i="1"/>
  <c r="M148" i="1"/>
  <c r="L148" i="1"/>
  <c r="K148" i="1"/>
  <c r="I148" i="1"/>
  <c r="O147" i="1"/>
  <c r="P147" i="1" s="1"/>
  <c r="N147" i="1"/>
  <c r="M147" i="1"/>
  <c r="L147" i="1"/>
  <c r="K147" i="1"/>
  <c r="I147" i="1"/>
  <c r="O146" i="1"/>
  <c r="P146" i="1" s="1"/>
  <c r="N146" i="1"/>
  <c r="M146" i="1"/>
  <c r="L146" i="1"/>
  <c r="K146" i="1"/>
  <c r="I146" i="1"/>
  <c r="O145" i="1"/>
  <c r="P145" i="1" s="1"/>
  <c r="N145" i="1"/>
  <c r="M145" i="1"/>
  <c r="L145" i="1"/>
  <c r="K145" i="1"/>
  <c r="I145" i="1"/>
  <c r="O144" i="1"/>
  <c r="P144" i="1" s="1"/>
  <c r="N144" i="1"/>
  <c r="M144" i="1"/>
  <c r="L144" i="1"/>
  <c r="K144" i="1"/>
  <c r="I144" i="1"/>
  <c r="O143" i="1"/>
  <c r="P143" i="1" s="1"/>
  <c r="N143" i="1"/>
  <c r="M143" i="1"/>
  <c r="L143" i="1"/>
  <c r="K143" i="1"/>
  <c r="I143" i="1"/>
  <c r="O142" i="1"/>
  <c r="P142" i="1" s="1"/>
  <c r="N142" i="1"/>
  <c r="M142" i="1"/>
  <c r="L142" i="1"/>
  <c r="K142" i="1"/>
  <c r="I142" i="1"/>
  <c r="O141" i="1"/>
  <c r="P141" i="1" s="1"/>
  <c r="N141" i="1"/>
  <c r="M141" i="1"/>
  <c r="L141" i="1"/>
  <c r="K141" i="1"/>
  <c r="I141" i="1"/>
  <c r="O140" i="1"/>
  <c r="P140" i="1" s="1"/>
  <c r="N140" i="1"/>
  <c r="M140" i="1"/>
  <c r="L140" i="1"/>
  <c r="K140" i="1"/>
  <c r="I140" i="1"/>
  <c r="O139" i="1"/>
  <c r="P139" i="1" s="1"/>
  <c r="N139" i="1"/>
  <c r="M139" i="1"/>
  <c r="L139" i="1"/>
  <c r="K139" i="1"/>
  <c r="I139" i="1"/>
  <c r="O138" i="1"/>
  <c r="P138" i="1" s="1"/>
  <c r="N138" i="1"/>
  <c r="M138" i="1"/>
  <c r="L138" i="1"/>
  <c r="K138" i="1"/>
  <c r="I138" i="1"/>
  <c r="O137" i="1"/>
  <c r="P137" i="1" s="1"/>
  <c r="N137" i="1"/>
  <c r="M137" i="1"/>
  <c r="L137" i="1"/>
  <c r="K137" i="1"/>
  <c r="I137" i="1"/>
  <c r="O136" i="1"/>
  <c r="P136" i="1" s="1"/>
  <c r="N136" i="1"/>
  <c r="M136" i="1"/>
  <c r="L136" i="1"/>
  <c r="K136" i="1"/>
  <c r="I136" i="1"/>
  <c r="O135" i="1"/>
  <c r="P135" i="1" s="1"/>
  <c r="N135" i="1"/>
  <c r="M135" i="1"/>
  <c r="L135" i="1"/>
  <c r="K135" i="1"/>
  <c r="I135" i="1"/>
  <c r="O134" i="1"/>
  <c r="P134" i="1" s="1"/>
  <c r="N134" i="1"/>
  <c r="M134" i="1"/>
  <c r="L134" i="1"/>
  <c r="K134" i="1"/>
  <c r="I134" i="1"/>
  <c r="O133" i="1"/>
  <c r="P133" i="1" s="1"/>
  <c r="N133" i="1"/>
  <c r="M133" i="1"/>
  <c r="L133" i="1"/>
  <c r="K133" i="1"/>
  <c r="I133" i="1"/>
  <c r="O132" i="1"/>
  <c r="P132" i="1" s="1"/>
  <c r="N132" i="1"/>
  <c r="M132" i="1"/>
  <c r="L132" i="1"/>
  <c r="K132" i="1"/>
  <c r="I132" i="1"/>
  <c r="O131" i="1"/>
  <c r="P131" i="1" s="1"/>
  <c r="N131" i="1"/>
  <c r="M131" i="1"/>
  <c r="L131" i="1"/>
  <c r="K131" i="1"/>
  <c r="I131" i="1"/>
  <c r="O130" i="1"/>
  <c r="P130" i="1" s="1"/>
  <c r="N130" i="1"/>
  <c r="M130" i="1"/>
  <c r="L130" i="1"/>
  <c r="K130" i="1"/>
  <c r="I130" i="1"/>
  <c r="O129" i="1"/>
  <c r="P129" i="1" s="1"/>
  <c r="N129" i="1"/>
  <c r="M129" i="1"/>
  <c r="L129" i="1"/>
  <c r="K129" i="1"/>
  <c r="I129" i="1"/>
  <c r="O128" i="1"/>
  <c r="P128" i="1" s="1"/>
  <c r="N128" i="1"/>
  <c r="M128" i="1"/>
  <c r="L128" i="1"/>
  <c r="K128" i="1"/>
  <c r="I128" i="1"/>
  <c r="O127" i="1"/>
  <c r="P127" i="1" s="1"/>
  <c r="N127" i="1"/>
  <c r="M127" i="1"/>
  <c r="L127" i="1"/>
  <c r="K127" i="1"/>
  <c r="I127" i="1"/>
  <c r="O126" i="1"/>
  <c r="P126" i="1" s="1"/>
  <c r="N126" i="1"/>
  <c r="M126" i="1"/>
  <c r="L126" i="1"/>
  <c r="K126" i="1"/>
  <c r="I126" i="1"/>
  <c r="O125" i="1"/>
  <c r="P125" i="1" s="1"/>
  <c r="N125" i="1"/>
  <c r="M125" i="1"/>
  <c r="L125" i="1"/>
  <c r="K125" i="1"/>
  <c r="I125" i="1"/>
  <c r="O124" i="1"/>
  <c r="P124" i="1" s="1"/>
  <c r="N124" i="1"/>
  <c r="M124" i="1"/>
  <c r="L124" i="1"/>
  <c r="K124" i="1"/>
  <c r="I124" i="1"/>
  <c r="O123" i="1"/>
  <c r="P123" i="1" s="1"/>
  <c r="N123" i="1"/>
  <c r="M123" i="1"/>
  <c r="L123" i="1"/>
  <c r="K123" i="1"/>
  <c r="I123" i="1"/>
  <c r="O122" i="1"/>
  <c r="P122" i="1" s="1"/>
  <c r="N122" i="1"/>
  <c r="M122" i="1"/>
  <c r="L122" i="1"/>
  <c r="K122" i="1"/>
  <c r="I122" i="1"/>
  <c r="O121" i="1"/>
  <c r="P121" i="1" s="1"/>
  <c r="N121" i="1"/>
  <c r="M121" i="1"/>
  <c r="L121" i="1"/>
  <c r="K121" i="1"/>
  <c r="I121" i="1"/>
  <c r="O120" i="1"/>
  <c r="P120" i="1" s="1"/>
  <c r="N120" i="1"/>
  <c r="M120" i="1"/>
  <c r="L120" i="1"/>
  <c r="K120" i="1"/>
  <c r="I120" i="1"/>
  <c r="O119" i="1"/>
  <c r="P119" i="1" s="1"/>
  <c r="N119" i="1"/>
  <c r="M119" i="1"/>
  <c r="L119" i="1"/>
  <c r="K119" i="1"/>
  <c r="I119" i="1"/>
  <c r="O118" i="1"/>
  <c r="P118" i="1" s="1"/>
  <c r="N118" i="1"/>
  <c r="M118" i="1"/>
  <c r="L118" i="1"/>
  <c r="K118" i="1"/>
  <c r="I118" i="1"/>
  <c r="O117" i="1"/>
  <c r="P117" i="1" s="1"/>
  <c r="N117" i="1"/>
  <c r="M117" i="1"/>
  <c r="L117" i="1"/>
  <c r="K117" i="1"/>
  <c r="I117" i="1"/>
  <c r="O116" i="1"/>
  <c r="P116" i="1" s="1"/>
  <c r="N116" i="1"/>
  <c r="M116" i="1"/>
  <c r="L116" i="1"/>
  <c r="K116" i="1"/>
  <c r="I116" i="1"/>
  <c r="O115" i="1"/>
  <c r="P115" i="1" s="1"/>
  <c r="N115" i="1"/>
  <c r="M115" i="1"/>
  <c r="L115" i="1"/>
  <c r="K115" i="1"/>
  <c r="I115" i="1"/>
  <c r="O114" i="1"/>
  <c r="P114" i="1" s="1"/>
  <c r="N114" i="1"/>
  <c r="M114" i="1"/>
  <c r="L114" i="1"/>
  <c r="K114" i="1"/>
  <c r="I114" i="1"/>
  <c r="O113" i="1"/>
  <c r="P113" i="1" s="1"/>
  <c r="N113" i="1"/>
  <c r="M113" i="1"/>
  <c r="L113" i="1"/>
  <c r="K113" i="1"/>
  <c r="I113" i="1"/>
  <c r="O112" i="1"/>
  <c r="P112" i="1" s="1"/>
  <c r="N112" i="1"/>
  <c r="M112" i="1"/>
  <c r="L112" i="1"/>
  <c r="K112" i="1"/>
  <c r="I112" i="1"/>
  <c r="O111" i="1"/>
  <c r="P111" i="1" s="1"/>
  <c r="N111" i="1"/>
  <c r="M111" i="1"/>
  <c r="L111" i="1"/>
  <c r="K111" i="1"/>
  <c r="I111" i="1"/>
  <c r="O110" i="1"/>
  <c r="P110" i="1" s="1"/>
  <c r="N110" i="1"/>
  <c r="M110" i="1"/>
  <c r="L110" i="1"/>
  <c r="K110" i="1"/>
  <c r="I110" i="1"/>
  <c r="O109" i="1"/>
  <c r="P109" i="1" s="1"/>
  <c r="N109" i="1"/>
  <c r="M109" i="1"/>
  <c r="L109" i="1"/>
  <c r="K109" i="1"/>
  <c r="I109" i="1"/>
  <c r="O108" i="1"/>
  <c r="P108" i="1" s="1"/>
  <c r="N108" i="1"/>
  <c r="M108" i="1"/>
  <c r="L108" i="1"/>
  <c r="K108" i="1"/>
  <c r="I108" i="1"/>
  <c r="O107" i="1"/>
  <c r="P107" i="1" s="1"/>
  <c r="N107" i="1"/>
  <c r="M107" i="1"/>
  <c r="L107" i="1"/>
  <c r="K107" i="1"/>
  <c r="I107" i="1"/>
  <c r="O106" i="1"/>
  <c r="P106" i="1" s="1"/>
  <c r="N106" i="1"/>
  <c r="M106" i="1"/>
  <c r="L106" i="1"/>
  <c r="K106" i="1"/>
  <c r="I106" i="1"/>
  <c r="O105" i="1"/>
  <c r="P105" i="1" s="1"/>
  <c r="N105" i="1"/>
  <c r="M105" i="1"/>
  <c r="L105" i="1"/>
  <c r="K105" i="1"/>
  <c r="I105" i="1"/>
  <c r="O104" i="1"/>
  <c r="P104" i="1" s="1"/>
  <c r="N104" i="1"/>
  <c r="M104" i="1"/>
  <c r="L104" i="1"/>
  <c r="K104" i="1"/>
  <c r="I104" i="1"/>
  <c r="O103" i="1"/>
  <c r="P103" i="1" s="1"/>
  <c r="N103" i="1"/>
  <c r="M103" i="1"/>
  <c r="L103" i="1"/>
  <c r="K103" i="1"/>
  <c r="I103" i="1"/>
  <c r="O102" i="1"/>
  <c r="P102" i="1" s="1"/>
  <c r="N102" i="1"/>
  <c r="M102" i="1"/>
  <c r="L102" i="1"/>
  <c r="K102" i="1"/>
  <c r="I102" i="1"/>
  <c r="O101" i="1"/>
  <c r="P101" i="1" s="1"/>
  <c r="N101" i="1"/>
  <c r="M101" i="1"/>
  <c r="L101" i="1"/>
  <c r="K101" i="1"/>
  <c r="I101" i="1"/>
  <c r="O100" i="1"/>
  <c r="P100" i="1" s="1"/>
  <c r="N100" i="1"/>
  <c r="M100" i="1"/>
  <c r="L100" i="1"/>
  <c r="K100" i="1"/>
  <c r="I100" i="1"/>
  <c r="O99" i="1"/>
  <c r="P99" i="1" s="1"/>
  <c r="N99" i="1"/>
  <c r="M99" i="1"/>
  <c r="L99" i="1"/>
  <c r="K99" i="1"/>
  <c r="I99" i="1"/>
  <c r="O98" i="1"/>
  <c r="P98" i="1" s="1"/>
  <c r="N98" i="1"/>
  <c r="M98" i="1"/>
  <c r="L98" i="1"/>
  <c r="K98" i="1"/>
  <c r="I98" i="1"/>
  <c r="O97" i="1"/>
  <c r="P97" i="1" s="1"/>
  <c r="N97" i="1"/>
  <c r="M97" i="1"/>
  <c r="L97" i="1"/>
  <c r="K97" i="1"/>
  <c r="I97" i="1"/>
  <c r="O96" i="1"/>
  <c r="P96" i="1" s="1"/>
  <c r="N96" i="1"/>
  <c r="M96" i="1"/>
  <c r="L96" i="1"/>
  <c r="K96" i="1"/>
  <c r="I96" i="1"/>
  <c r="O95" i="1"/>
  <c r="P95" i="1" s="1"/>
  <c r="N95" i="1"/>
  <c r="M95" i="1"/>
  <c r="L95" i="1"/>
  <c r="K95" i="1"/>
  <c r="I95" i="1"/>
  <c r="O94" i="1"/>
  <c r="P94" i="1" s="1"/>
  <c r="N94" i="1"/>
  <c r="M94" i="1"/>
  <c r="L94" i="1"/>
  <c r="K94" i="1"/>
  <c r="I94" i="1"/>
  <c r="O93" i="1"/>
  <c r="P93" i="1" s="1"/>
  <c r="N93" i="1"/>
  <c r="M93" i="1"/>
  <c r="L93" i="1"/>
  <c r="K93" i="1"/>
  <c r="I93" i="1"/>
  <c r="O92" i="1"/>
  <c r="P92" i="1" s="1"/>
  <c r="N92" i="1"/>
  <c r="M92" i="1"/>
  <c r="L92" i="1"/>
  <c r="K92" i="1"/>
  <c r="I92" i="1"/>
  <c r="O91" i="1"/>
  <c r="P91" i="1" s="1"/>
  <c r="N91" i="1"/>
  <c r="M91" i="1"/>
  <c r="L91" i="1"/>
  <c r="K91" i="1"/>
  <c r="I91" i="1"/>
  <c r="O90" i="1"/>
  <c r="P90" i="1" s="1"/>
  <c r="N90" i="1"/>
  <c r="M90" i="1"/>
  <c r="L90" i="1"/>
  <c r="K90" i="1"/>
  <c r="I90" i="1"/>
  <c r="O89" i="1"/>
  <c r="P89" i="1" s="1"/>
  <c r="N89" i="1"/>
  <c r="M89" i="1"/>
  <c r="L89" i="1"/>
  <c r="K89" i="1"/>
  <c r="I89" i="1"/>
  <c r="O88" i="1"/>
  <c r="P88" i="1" s="1"/>
  <c r="N88" i="1"/>
  <c r="M88" i="1"/>
  <c r="L88" i="1"/>
  <c r="K88" i="1"/>
  <c r="I88" i="1"/>
  <c r="O87" i="1"/>
  <c r="P87" i="1" s="1"/>
  <c r="N87" i="1"/>
  <c r="M87" i="1"/>
  <c r="L87" i="1"/>
  <c r="K87" i="1"/>
  <c r="I87" i="1"/>
  <c r="O86" i="1"/>
  <c r="P86" i="1" s="1"/>
  <c r="N86" i="1"/>
  <c r="M86" i="1"/>
  <c r="L86" i="1"/>
  <c r="K86" i="1"/>
  <c r="I86" i="1"/>
  <c r="O85" i="1"/>
  <c r="P85" i="1" s="1"/>
  <c r="N85" i="1"/>
  <c r="M85" i="1"/>
  <c r="L85" i="1"/>
  <c r="K85" i="1"/>
  <c r="I85" i="1"/>
  <c r="O84" i="1"/>
  <c r="P84" i="1" s="1"/>
  <c r="N84" i="1"/>
  <c r="M84" i="1"/>
  <c r="L84" i="1"/>
  <c r="K84" i="1"/>
  <c r="I84" i="1"/>
  <c r="O83" i="1"/>
  <c r="P83" i="1" s="1"/>
  <c r="N83" i="1"/>
  <c r="M83" i="1"/>
  <c r="L83" i="1"/>
  <c r="K83" i="1"/>
  <c r="I83" i="1"/>
  <c r="O82" i="1"/>
  <c r="P82" i="1" s="1"/>
  <c r="N82" i="1"/>
  <c r="M82" i="1"/>
  <c r="L82" i="1"/>
  <c r="K82" i="1"/>
  <c r="I82" i="1"/>
  <c r="O81" i="1"/>
  <c r="P81" i="1" s="1"/>
  <c r="N81" i="1"/>
  <c r="M81" i="1"/>
  <c r="L81" i="1"/>
  <c r="K81" i="1"/>
  <c r="I81" i="1"/>
  <c r="O80" i="1"/>
  <c r="P80" i="1" s="1"/>
  <c r="N80" i="1"/>
  <c r="M80" i="1"/>
  <c r="L80" i="1"/>
  <c r="K80" i="1"/>
  <c r="I80" i="1"/>
  <c r="O79" i="1"/>
  <c r="P79" i="1" s="1"/>
  <c r="N79" i="1"/>
  <c r="M79" i="1"/>
  <c r="L79" i="1"/>
  <c r="K79" i="1"/>
  <c r="I79" i="1"/>
  <c r="O78" i="1"/>
  <c r="P78" i="1" s="1"/>
  <c r="N78" i="1"/>
  <c r="M78" i="1"/>
  <c r="L78" i="1"/>
  <c r="K78" i="1"/>
  <c r="I78" i="1"/>
  <c r="O77" i="1"/>
  <c r="P77" i="1" s="1"/>
  <c r="N77" i="1"/>
  <c r="M77" i="1"/>
  <c r="L77" i="1"/>
  <c r="K77" i="1"/>
  <c r="I77" i="1"/>
  <c r="O76" i="1"/>
  <c r="P76" i="1" s="1"/>
  <c r="N76" i="1"/>
  <c r="M76" i="1"/>
  <c r="L76" i="1"/>
  <c r="K76" i="1"/>
  <c r="I76" i="1"/>
  <c r="O75" i="1"/>
  <c r="P75" i="1" s="1"/>
  <c r="N75" i="1"/>
  <c r="M75" i="1"/>
  <c r="L75" i="1"/>
  <c r="K75" i="1"/>
  <c r="I75" i="1"/>
  <c r="O74" i="1"/>
  <c r="P74" i="1" s="1"/>
  <c r="N74" i="1"/>
  <c r="M74" i="1"/>
  <c r="L74" i="1"/>
  <c r="K74" i="1"/>
  <c r="I74" i="1"/>
  <c r="O73" i="1"/>
  <c r="P73" i="1" s="1"/>
  <c r="N73" i="1"/>
  <c r="M73" i="1"/>
  <c r="L73" i="1"/>
  <c r="K73" i="1"/>
  <c r="I73" i="1"/>
  <c r="O72" i="1"/>
  <c r="P72" i="1" s="1"/>
  <c r="N72" i="1"/>
  <c r="M72" i="1"/>
  <c r="L72" i="1"/>
  <c r="K72" i="1"/>
  <c r="I72" i="1"/>
  <c r="O71" i="1"/>
  <c r="P71" i="1" s="1"/>
  <c r="N71" i="1"/>
  <c r="M71" i="1"/>
  <c r="L71" i="1"/>
  <c r="K71" i="1"/>
  <c r="I71" i="1"/>
  <c r="O70" i="1"/>
  <c r="P70" i="1" s="1"/>
  <c r="N70" i="1"/>
  <c r="M70" i="1"/>
  <c r="L70" i="1"/>
  <c r="K70" i="1"/>
  <c r="I70" i="1"/>
  <c r="O69" i="1"/>
  <c r="P69" i="1" s="1"/>
  <c r="N69" i="1"/>
  <c r="M69" i="1"/>
  <c r="L69" i="1"/>
  <c r="K69" i="1"/>
  <c r="I69" i="1"/>
  <c r="O68" i="1"/>
  <c r="P68" i="1" s="1"/>
  <c r="N68" i="1"/>
  <c r="M68" i="1"/>
  <c r="L68" i="1"/>
  <c r="K68" i="1"/>
  <c r="I68" i="1"/>
  <c r="O67" i="1"/>
  <c r="P67" i="1" s="1"/>
  <c r="N67" i="1"/>
  <c r="M67" i="1"/>
  <c r="L67" i="1"/>
  <c r="K67" i="1"/>
  <c r="I67" i="1"/>
  <c r="O66" i="1"/>
  <c r="P66" i="1" s="1"/>
  <c r="N66" i="1"/>
  <c r="M66" i="1"/>
  <c r="L66" i="1"/>
  <c r="K66" i="1"/>
  <c r="I66" i="1"/>
  <c r="O65" i="1"/>
  <c r="P65" i="1" s="1"/>
  <c r="N65" i="1"/>
  <c r="M65" i="1"/>
  <c r="L65" i="1"/>
  <c r="K65" i="1"/>
  <c r="I65" i="1"/>
  <c r="O64" i="1"/>
  <c r="P64" i="1" s="1"/>
  <c r="N64" i="1"/>
  <c r="M64" i="1"/>
  <c r="L64" i="1"/>
  <c r="K64" i="1"/>
  <c r="I64" i="1"/>
  <c r="O63" i="1"/>
  <c r="P63" i="1" s="1"/>
  <c r="N63" i="1"/>
  <c r="M63" i="1"/>
  <c r="L63" i="1"/>
  <c r="K63" i="1"/>
  <c r="I63" i="1"/>
  <c r="O62" i="1"/>
  <c r="P62" i="1" s="1"/>
  <c r="N62" i="1"/>
  <c r="M62" i="1"/>
  <c r="L62" i="1"/>
  <c r="K62" i="1"/>
  <c r="I62" i="1"/>
  <c r="O61" i="1"/>
  <c r="P61" i="1" s="1"/>
  <c r="N61" i="1"/>
  <c r="M61" i="1"/>
  <c r="L61" i="1"/>
  <c r="K61" i="1"/>
  <c r="I61" i="1"/>
  <c r="O60" i="1"/>
  <c r="P60" i="1" s="1"/>
  <c r="N60" i="1"/>
  <c r="M60" i="1"/>
  <c r="L60" i="1"/>
  <c r="K60" i="1"/>
  <c r="I60" i="1"/>
  <c r="O59" i="1"/>
  <c r="P59" i="1" s="1"/>
  <c r="N59" i="1"/>
  <c r="M59" i="1"/>
  <c r="L59" i="1"/>
  <c r="K59" i="1"/>
  <c r="I59" i="1"/>
  <c r="O58" i="1"/>
  <c r="P58" i="1" s="1"/>
  <c r="N58" i="1"/>
  <c r="M58" i="1"/>
  <c r="L58" i="1"/>
  <c r="K58" i="1"/>
  <c r="I58" i="1"/>
  <c r="O57" i="1"/>
  <c r="P57" i="1" s="1"/>
  <c r="N57" i="1"/>
  <c r="M57" i="1"/>
  <c r="L57" i="1"/>
  <c r="K57" i="1"/>
  <c r="I57" i="1"/>
  <c r="O56" i="1"/>
  <c r="P56" i="1" s="1"/>
  <c r="N56" i="1"/>
  <c r="M56" i="1"/>
  <c r="L56" i="1"/>
  <c r="K56" i="1"/>
  <c r="I56" i="1"/>
  <c r="O55" i="1"/>
  <c r="P55" i="1" s="1"/>
  <c r="N55" i="1"/>
  <c r="M55" i="1"/>
  <c r="L55" i="1"/>
  <c r="K55" i="1"/>
  <c r="I55" i="1"/>
  <c r="O54" i="1"/>
  <c r="P54" i="1" s="1"/>
  <c r="N54" i="1"/>
  <c r="M54" i="1"/>
  <c r="L54" i="1"/>
  <c r="K54" i="1"/>
  <c r="I54" i="1"/>
  <c r="O53" i="1"/>
  <c r="P53" i="1" s="1"/>
  <c r="N53" i="1"/>
  <c r="M53" i="1"/>
  <c r="L53" i="1"/>
  <c r="K53" i="1"/>
  <c r="I53" i="1"/>
  <c r="O52" i="1"/>
  <c r="P52" i="1" s="1"/>
  <c r="N52" i="1"/>
  <c r="M52" i="1"/>
  <c r="L52" i="1"/>
  <c r="K52" i="1"/>
  <c r="I52" i="1"/>
  <c r="O51" i="1"/>
  <c r="P51" i="1" s="1"/>
  <c r="N51" i="1"/>
  <c r="M51" i="1"/>
  <c r="L51" i="1"/>
  <c r="K51" i="1"/>
  <c r="I51" i="1"/>
  <c r="O50" i="1"/>
  <c r="P50" i="1" s="1"/>
  <c r="N50" i="1"/>
  <c r="M50" i="1"/>
  <c r="L50" i="1"/>
  <c r="K50" i="1"/>
  <c r="I50" i="1"/>
  <c r="O49" i="1"/>
  <c r="P49" i="1" s="1"/>
  <c r="N49" i="1"/>
  <c r="M49" i="1"/>
  <c r="L49" i="1"/>
  <c r="K49" i="1"/>
  <c r="I49" i="1"/>
  <c r="O48" i="1"/>
  <c r="P48" i="1" s="1"/>
  <c r="N48" i="1"/>
  <c r="M48" i="1"/>
  <c r="L48" i="1"/>
  <c r="K48" i="1"/>
  <c r="I48" i="1"/>
  <c r="O47" i="1"/>
  <c r="P47" i="1" s="1"/>
  <c r="N47" i="1"/>
  <c r="M47" i="1"/>
  <c r="L47" i="1"/>
  <c r="K47" i="1"/>
  <c r="I47" i="1"/>
  <c r="O46" i="1"/>
  <c r="P46" i="1" s="1"/>
  <c r="N46" i="1"/>
  <c r="M46" i="1"/>
  <c r="L46" i="1"/>
  <c r="K46" i="1"/>
  <c r="I46" i="1"/>
  <c r="O45" i="1"/>
  <c r="P45" i="1" s="1"/>
  <c r="N45" i="1"/>
  <c r="M45" i="1"/>
  <c r="L45" i="1"/>
  <c r="K45" i="1"/>
  <c r="I45" i="1"/>
  <c r="O44" i="1"/>
  <c r="P44" i="1" s="1"/>
  <c r="N44" i="1"/>
  <c r="M44" i="1"/>
  <c r="L44" i="1"/>
  <c r="K44" i="1"/>
  <c r="I44" i="1"/>
  <c r="O43" i="1"/>
  <c r="P43" i="1" s="1"/>
  <c r="N43" i="1"/>
  <c r="M43" i="1"/>
  <c r="L43" i="1"/>
  <c r="K43" i="1"/>
  <c r="I43" i="1"/>
  <c r="O42" i="1"/>
  <c r="P42" i="1" s="1"/>
  <c r="N42" i="1"/>
  <c r="M42" i="1"/>
  <c r="L42" i="1"/>
  <c r="K42" i="1"/>
  <c r="I42" i="1"/>
  <c r="O41" i="1"/>
  <c r="P41" i="1" s="1"/>
  <c r="N41" i="1"/>
  <c r="M41" i="1"/>
  <c r="L41" i="1"/>
  <c r="K41" i="1"/>
  <c r="I41" i="1"/>
  <c r="O40" i="1"/>
  <c r="P40" i="1" s="1"/>
  <c r="N40" i="1"/>
  <c r="M40" i="1"/>
  <c r="L40" i="1"/>
  <c r="K40" i="1"/>
  <c r="I40" i="1"/>
  <c r="O39" i="1"/>
  <c r="P39" i="1" s="1"/>
  <c r="N39" i="1"/>
  <c r="M39" i="1"/>
  <c r="L39" i="1"/>
  <c r="K39" i="1"/>
  <c r="I39" i="1"/>
  <c r="O38" i="1"/>
  <c r="P38" i="1" s="1"/>
  <c r="N38" i="1"/>
  <c r="M38" i="1"/>
  <c r="L38" i="1"/>
  <c r="K38" i="1"/>
  <c r="I38" i="1"/>
  <c r="O37" i="1"/>
  <c r="P37" i="1" s="1"/>
  <c r="N37" i="1"/>
  <c r="M37" i="1"/>
  <c r="L37" i="1"/>
  <c r="K37" i="1"/>
  <c r="I37" i="1"/>
  <c r="O36" i="1"/>
  <c r="P36" i="1" s="1"/>
  <c r="N36" i="1"/>
  <c r="M36" i="1"/>
  <c r="L36" i="1"/>
  <c r="K36" i="1"/>
  <c r="I36" i="1"/>
  <c r="O35" i="1"/>
  <c r="P35" i="1" s="1"/>
  <c r="N35" i="1"/>
  <c r="M35" i="1"/>
  <c r="L35" i="1"/>
  <c r="K35" i="1"/>
  <c r="I35" i="1"/>
  <c r="O34" i="1"/>
  <c r="P34" i="1" s="1"/>
  <c r="N34" i="1"/>
  <c r="M34" i="1"/>
  <c r="L34" i="1"/>
  <c r="K34" i="1"/>
  <c r="I34" i="1"/>
  <c r="O33" i="1"/>
  <c r="P33" i="1" s="1"/>
  <c r="N33" i="1"/>
  <c r="M33" i="1"/>
  <c r="L33" i="1"/>
  <c r="K33" i="1"/>
  <c r="I33" i="1"/>
  <c r="O32" i="1"/>
  <c r="P32" i="1" s="1"/>
  <c r="N32" i="1"/>
  <c r="M32" i="1"/>
  <c r="L32" i="1"/>
  <c r="K32" i="1"/>
  <c r="I32" i="1"/>
  <c r="O31" i="1"/>
  <c r="P31" i="1" s="1"/>
  <c r="N31" i="1"/>
  <c r="M31" i="1"/>
  <c r="L31" i="1"/>
  <c r="K31" i="1"/>
  <c r="I31" i="1"/>
  <c r="O30" i="1"/>
  <c r="P30" i="1" s="1"/>
  <c r="N30" i="1"/>
  <c r="M30" i="1"/>
  <c r="L30" i="1"/>
  <c r="K30" i="1"/>
  <c r="I30" i="1"/>
  <c r="O29" i="1"/>
  <c r="P29" i="1" s="1"/>
  <c r="N29" i="1"/>
  <c r="M29" i="1"/>
  <c r="L29" i="1"/>
  <c r="K29" i="1"/>
  <c r="I29" i="1"/>
  <c r="O28" i="1"/>
  <c r="P28" i="1" s="1"/>
  <c r="N28" i="1"/>
  <c r="M28" i="1"/>
  <c r="L28" i="1"/>
  <c r="K28" i="1"/>
  <c r="I28" i="1"/>
  <c r="O27" i="1"/>
  <c r="P27" i="1" s="1"/>
  <c r="N27" i="1"/>
  <c r="M27" i="1"/>
  <c r="L27" i="1"/>
  <c r="K27" i="1"/>
  <c r="I27" i="1"/>
  <c r="O26" i="1"/>
  <c r="P26" i="1" s="1"/>
  <c r="N26" i="1"/>
  <c r="M26" i="1"/>
  <c r="L26" i="1"/>
  <c r="K26" i="1"/>
  <c r="I26" i="1"/>
  <c r="O25" i="1"/>
  <c r="P25" i="1" s="1"/>
  <c r="N25" i="1"/>
  <c r="M25" i="1"/>
  <c r="L25" i="1"/>
  <c r="K25" i="1"/>
  <c r="I25" i="1"/>
  <c r="O24" i="1"/>
  <c r="P24" i="1" s="1"/>
  <c r="N24" i="1"/>
  <c r="M24" i="1"/>
  <c r="L24" i="1"/>
  <c r="K24" i="1"/>
  <c r="I24" i="1"/>
  <c r="O23" i="1"/>
  <c r="P23" i="1" s="1"/>
  <c r="N23" i="1"/>
  <c r="M23" i="1"/>
  <c r="L23" i="1"/>
  <c r="K23" i="1"/>
  <c r="I23" i="1"/>
  <c r="O22" i="1"/>
  <c r="P22" i="1" s="1"/>
  <c r="N22" i="1"/>
  <c r="M22" i="1"/>
  <c r="L22" i="1"/>
  <c r="K22" i="1"/>
  <c r="I22" i="1"/>
  <c r="O21" i="1"/>
  <c r="P21" i="1" s="1"/>
  <c r="N21" i="1"/>
  <c r="M21" i="1"/>
  <c r="L21" i="1"/>
  <c r="K21" i="1"/>
  <c r="I21" i="1"/>
  <c r="O20" i="1"/>
  <c r="P20" i="1" s="1"/>
  <c r="N20" i="1"/>
  <c r="M20" i="1"/>
  <c r="L20" i="1"/>
  <c r="K20" i="1"/>
  <c r="I20" i="1"/>
  <c r="O19" i="1"/>
  <c r="P19" i="1" s="1"/>
  <c r="N19" i="1"/>
  <c r="M19" i="1"/>
  <c r="L19" i="1"/>
  <c r="K19" i="1"/>
  <c r="I19" i="1"/>
  <c r="O18" i="1"/>
  <c r="P18" i="1" s="1"/>
  <c r="N18" i="1"/>
  <c r="M18" i="1"/>
  <c r="L18" i="1"/>
  <c r="K18" i="1"/>
  <c r="I18" i="1"/>
  <c r="O17" i="1"/>
  <c r="P17" i="1" s="1"/>
  <c r="N17" i="1"/>
  <c r="M17" i="1"/>
  <c r="L17" i="1"/>
  <c r="K17" i="1"/>
  <c r="I17" i="1"/>
  <c r="O16" i="1"/>
  <c r="P16" i="1" s="1"/>
  <c r="N16" i="1"/>
  <c r="M16" i="1"/>
  <c r="L16" i="1"/>
  <c r="K16" i="1"/>
  <c r="I16" i="1"/>
  <c r="O15" i="1"/>
  <c r="P15" i="1" s="1"/>
  <c r="N15" i="1"/>
  <c r="M15" i="1"/>
  <c r="L15" i="1"/>
  <c r="K15" i="1"/>
  <c r="I15" i="1"/>
  <c r="O14" i="1"/>
  <c r="P14" i="1" s="1"/>
  <c r="N14" i="1"/>
  <c r="M14" i="1"/>
  <c r="L14" i="1"/>
  <c r="K14" i="1"/>
  <c r="I14" i="1"/>
  <c r="O13" i="1"/>
  <c r="P13" i="1" s="1"/>
  <c r="N13" i="1"/>
  <c r="M13" i="1"/>
  <c r="L13" i="1"/>
  <c r="K13" i="1"/>
  <c r="I13" i="1"/>
  <c r="O12" i="1"/>
  <c r="P12" i="1" s="1"/>
  <c r="N12" i="1"/>
  <c r="M12" i="1"/>
  <c r="L12" i="1"/>
  <c r="K12" i="1"/>
  <c r="I12" i="1"/>
  <c r="O11" i="1"/>
  <c r="P11" i="1" s="1"/>
  <c r="N11" i="1"/>
  <c r="M11" i="1"/>
  <c r="L11" i="1"/>
  <c r="K11" i="1"/>
  <c r="I11" i="1"/>
  <c r="O10" i="1"/>
  <c r="P10" i="1" s="1"/>
  <c r="N10" i="1"/>
  <c r="M10" i="1"/>
  <c r="L10" i="1"/>
  <c r="K10" i="1"/>
  <c r="I10" i="1"/>
  <c r="O9" i="1"/>
  <c r="P9" i="1" s="1"/>
  <c r="N9" i="1"/>
  <c r="M9" i="1"/>
  <c r="L9" i="1"/>
  <c r="K9" i="1"/>
  <c r="I9" i="1"/>
  <c r="O8" i="1"/>
  <c r="P8" i="1" s="1"/>
  <c r="N8" i="1"/>
  <c r="M8" i="1"/>
  <c r="L8" i="1"/>
  <c r="K8" i="1"/>
  <c r="I8" i="1"/>
  <c r="O7" i="1"/>
  <c r="P7" i="1" s="1"/>
  <c r="N7" i="1"/>
  <c r="M7" i="1"/>
  <c r="L7" i="1"/>
  <c r="K7" i="1"/>
  <c r="I7" i="1"/>
  <c r="O6" i="1"/>
  <c r="P6" i="1" s="1"/>
  <c r="N6" i="1"/>
  <c r="M6" i="1"/>
  <c r="L6" i="1"/>
  <c r="K6" i="1"/>
  <c r="I6" i="1"/>
  <c r="O5" i="1"/>
  <c r="P5" i="1" s="1"/>
  <c r="N5" i="1"/>
  <c r="M5" i="1"/>
  <c r="L5" i="1"/>
  <c r="K5" i="1"/>
  <c r="I5" i="1"/>
  <c r="O4" i="1"/>
  <c r="P4" i="1" s="1"/>
  <c r="N4" i="1"/>
  <c r="M4" i="1"/>
  <c r="L4" i="1"/>
  <c r="K4" i="1"/>
  <c r="I4" i="1"/>
  <c r="O3" i="1"/>
  <c r="P3" i="1" s="1"/>
  <c r="N3" i="1"/>
  <c r="M3" i="1"/>
  <c r="L3" i="1"/>
  <c r="K3" i="1"/>
  <c r="I3" i="1"/>
  <c r="O2" i="1"/>
  <c r="P2" i="1" s="1"/>
  <c r="N2" i="1"/>
  <c r="M2" i="1"/>
  <c r="L2" i="1"/>
  <c r="K2" i="1"/>
  <c r="I2" i="1"/>
</calcChain>
</file>

<file path=xl/sharedStrings.xml><?xml version="1.0" encoding="utf-8"?>
<sst xmlns="http://schemas.openxmlformats.org/spreadsheetml/2006/main" count="11352" uniqueCount="143">
  <si>
    <t>MEDALI</t>
  </si>
  <si>
    <t>Cordes</t>
  </si>
  <si>
    <t>GIRAUD</t>
  </si>
  <si>
    <t>NBS</t>
  </si>
  <si>
    <t>TALI</t>
  </si>
  <si>
    <t>ANAPERRIER</t>
  </si>
  <si>
    <t>JERRY2</t>
  </si>
  <si>
    <t>ARMANE2</t>
  </si>
  <si>
    <t>DINOT</t>
  </si>
  <si>
    <t>DOUCE</t>
  </si>
  <si>
    <t>FABRICE</t>
  </si>
  <si>
    <t>CHARLI</t>
  </si>
  <si>
    <t>PITA</t>
  </si>
  <si>
    <t>ANITA</t>
  </si>
  <si>
    <t>ROBY</t>
  </si>
  <si>
    <t>ANDRICO</t>
  </si>
  <si>
    <t>JONAH</t>
  </si>
  <si>
    <t>ANGELICA</t>
  </si>
  <si>
    <t>OLIVIER</t>
  </si>
  <si>
    <t>NONO</t>
  </si>
  <si>
    <t>JOJOBY</t>
  </si>
  <si>
    <t>NIKO</t>
  </si>
  <si>
    <t>OCLIN</t>
  </si>
  <si>
    <t>ALFANO</t>
  </si>
  <si>
    <t>ANGELO</t>
  </si>
  <si>
    <t>AUGUSTIN</t>
  </si>
  <si>
    <t>DONIA</t>
  </si>
  <si>
    <t>DEDE</t>
  </si>
  <si>
    <t>LYLIE</t>
  </si>
  <si>
    <t>CHRISTOPHE</t>
  </si>
  <si>
    <t>TATIANA</t>
  </si>
  <si>
    <t>SAMILION</t>
  </si>
  <si>
    <t>MARTIN</t>
  </si>
  <si>
    <t>TSIRAKA</t>
  </si>
  <si>
    <t>ALEXIS</t>
  </si>
  <si>
    <t>GILBERT</t>
  </si>
  <si>
    <t>KENNEDY</t>
  </si>
  <si>
    <t>MIRELLA</t>
  </si>
  <si>
    <t>CINTIA</t>
  </si>
  <si>
    <t>LETTE</t>
  </si>
  <si>
    <t>LARSE</t>
  </si>
  <si>
    <t>LUCI</t>
  </si>
  <si>
    <t>FRANCA</t>
  </si>
  <si>
    <t>OBRICE</t>
  </si>
  <si>
    <t>LOUISIANE</t>
  </si>
  <si>
    <t>JACQUOT</t>
  </si>
  <si>
    <t>ARMANDO</t>
  </si>
  <si>
    <t>BENY</t>
  </si>
  <si>
    <t>CHRISTIANO</t>
  </si>
  <si>
    <t>SASANDY</t>
  </si>
  <si>
    <t>VEZO</t>
  </si>
  <si>
    <t>SANDRIQUE</t>
  </si>
  <si>
    <t>ELIDO</t>
  </si>
  <si>
    <t>SAI</t>
  </si>
  <si>
    <t>DENIS</t>
  </si>
  <si>
    <t>ANDRONIQUE</t>
  </si>
  <si>
    <t>GLADELLE</t>
  </si>
  <si>
    <t>DIDINE</t>
  </si>
  <si>
    <t>VENO</t>
  </si>
  <si>
    <t>BABOULA</t>
  </si>
  <si>
    <t>MELINA</t>
  </si>
  <si>
    <t>GARY</t>
  </si>
  <si>
    <t>FLORIEN</t>
  </si>
  <si>
    <t>BIENE</t>
  </si>
  <si>
    <t>JERRY</t>
  </si>
  <si>
    <t>PAOLIN</t>
  </si>
  <si>
    <t>BARY</t>
  </si>
  <si>
    <t>MATHIEU2</t>
  </si>
  <si>
    <t>GABRIELE</t>
  </si>
  <si>
    <t>SISIANE</t>
  </si>
  <si>
    <t>FREDERIC</t>
  </si>
  <si>
    <t>ARLIN</t>
  </si>
  <si>
    <t>RICHAMY</t>
  </si>
  <si>
    <t>TACIA2</t>
  </si>
  <si>
    <t>BRIGITTE</t>
  </si>
  <si>
    <t>PAMELA</t>
  </si>
  <si>
    <t>TAICE</t>
  </si>
  <si>
    <t>TACIA1</t>
  </si>
  <si>
    <t>RODRIGUE</t>
  </si>
  <si>
    <t>MARTINE</t>
  </si>
  <si>
    <t>JEAN LUC</t>
  </si>
  <si>
    <t>DO</t>
  </si>
  <si>
    <t>FLORETTE</t>
  </si>
  <si>
    <t>LYSIA</t>
  </si>
  <si>
    <t>TATA</t>
  </si>
  <si>
    <t>ELIOT</t>
  </si>
  <si>
    <t>FAGELIAQUE</t>
  </si>
  <si>
    <t>SOPHIA</t>
  </si>
  <si>
    <t>SILA</t>
  </si>
  <si>
    <t>HOUSSEN</t>
  </si>
  <si>
    <t>FABRICE2</t>
  </si>
  <si>
    <t>JULIEN</t>
  </si>
  <si>
    <t>CHARLI2</t>
  </si>
  <si>
    <t>CHARLI3</t>
  </si>
  <si>
    <t>DADA</t>
  </si>
  <si>
    <t>ALEX</t>
  </si>
  <si>
    <t>LANDRICE</t>
  </si>
  <si>
    <t>ELIZE</t>
  </si>
  <si>
    <t>STEPHANO</t>
  </si>
  <si>
    <t>ERICA</t>
  </si>
  <si>
    <t>FRANCISEMANN</t>
  </si>
  <si>
    <t>BRENDO</t>
  </si>
  <si>
    <t>MATHIEU</t>
  </si>
  <si>
    <t>MICKAEL</t>
  </si>
  <si>
    <t>NORLINE</t>
  </si>
  <si>
    <t>Tubenet</t>
  </si>
  <si>
    <t>ODILON</t>
  </si>
  <si>
    <t>JOSEA</t>
  </si>
  <si>
    <t>TANGALAMENA2</t>
  </si>
  <si>
    <t>TANGALAMENA3</t>
  </si>
  <si>
    <t>TANGALAMENA6</t>
  </si>
  <si>
    <t>TANGALAMENA5</t>
  </si>
  <si>
    <t>TANGALAMENA4</t>
  </si>
  <si>
    <t>TANGALAMENA1</t>
  </si>
  <si>
    <t>PONEY</t>
  </si>
  <si>
    <t>MILIANO</t>
  </si>
  <si>
    <t>FIDELA</t>
  </si>
  <si>
    <t>LEANDRE</t>
  </si>
  <si>
    <t>SOVALG_SUD</t>
  </si>
  <si>
    <t>TANGALAMENA7</t>
  </si>
  <si>
    <t>BLACK</t>
  </si>
  <si>
    <t>DEDESS</t>
  </si>
  <si>
    <t>PAPOUSE</t>
  </si>
  <si>
    <t>TANGALAMENA8</t>
  </si>
  <si>
    <t>FRANCOIS</t>
  </si>
  <si>
    <t>THIERRY</t>
  </si>
  <si>
    <t>CISCO</t>
  </si>
  <si>
    <t>PlantationDate</t>
  </si>
  <si>
    <t>FarmID</t>
  </si>
  <si>
    <t>AlgoName</t>
  </si>
  <si>
    <t>ModuleNumber</t>
  </si>
  <si>
    <t>LinesCount</t>
  </si>
  <si>
    <t>CultureMode</t>
  </si>
  <si>
    <t>HarvestingDate</t>
  </si>
  <si>
    <t>CultureDuration_days</t>
  </si>
  <si>
    <t>CultureDuration_weeks</t>
  </si>
  <si>
    <t>Harvested_Weight</t>
  </si>
  <si>
    <t>Week_Year</t>
  </si>
  <si>
    <t>Month_Year_Plantation</t>
  </si>
  <si>
    <t>Month_Year_Harvest</t>
  </si>
  <si>
    <t>Ref_Planta</t>
  </si>
  <si>
    <t>Ref_Module</t>
  </si>
  <si>
    <t>Ref_HarstingDate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</si>
</sst>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800]dddd\,\ mmmm\ dd\,\ yyyy"/>
    </dxf>
    <dxf>
      <numFmt numFmtId="164" formatCode="[$-F800]dddd\,\ mmmm\ dd\,\ yyyy"/>
      <alignment horizontal="center" vertical="center" textRotation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396240</xdr:colOff>
      <xdr:row>0</xdr:row>
      <xdr:rowOff>0</xdr:rowOff>
    </xdr:from>
    <xdr:to>
      <xdr:col>8</xdr:col>
      <xdr:colOff>129540</xdr:colOff>
      <xdr:row>1</xdr:row>
      <xdr:rowOff>40116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3E03EB8-3F1E-4797-9FE9-CE309913B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325" y="266700"/>
          <a:ext cx="563880" cy="571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C802B7-0BA1-462D-8829-DBE188EB4886}" name="CompilDonnées" displayName="CompilDonnées" ref="A1:P5669" insertRowShift="1" totalsRowShown="0" headerRowDxfId="13">
  <autoFilter ref="A1:P5669" xr:uid="{D801EEBF-7FB2-4A81-9B90-A93F55D81A44}"/>
  <sortState xmlns:xlrd2="http://schemas.microsoft.com/office/spreadsheetml/2017/richdata2" ref="A2:J616">
    <sortCondition ref="A1:A616"/>
  </sortState>
  <tableColumns count="16">
    <tableColumn id="1" xr3:uid="{E823971C-0910-457C-A698-AB40AE1E57D8}" name="PlantationDate" dataDxfId="12"/>
    <tableColumn id="2" xr3:uid="{EF6D2200-2F2C-4E8F-A0B6-056304C3779C}" name="FarmID"/>
    <tableColumn id="3" xr3:uid="{76F9DDEE-6F0D-4120-BB07-8235CB05416B}" name="AlgoName"/>
    <tableColumn id="4" xr3:uid="{03802DEB-D6A5-4575-B5FB-0C535A43DC79}" name="ModuleNumber"/>
    <tableColumn id="5" xr3:uid="{587406C1-D094-4099-8C6A-900637EEB212}" name="LinesCount"/>
    <tableColumn id="6" xr3:uid="{991C5FAC-BD2B-4EB5-A683-8DB0ED458B1A}" name="CultureMode"/>
    <tableColumn id="7" xr3:uid="{5B204E56-9BEF-4910-9016-452C8EB53047}" name="HarvestingDate" dataDxfId="11"/>
    <tableColumn id="8" xr3:uid="{CBE22D39-B311-4960-AA0D-5DC6765141DF}" name="CultureDuration_days"/>
    <tableColumn id="13" xr3:uid="{045952F9-8398-44F0-8456-9680003BF340}" name="CultureDuration_weeks" dataDxfId="10">
      <calculatedColumnFormula>ROUND(CompilDonnées[[#This Row],[CultureDuration_days]]/7,0)</calculatedColumnFormula>
    </tableColumn>
    <tableColumn id="9" xr3:uid="{48480F94-0508-4A14-A1AA-44788E15C2D4}" name="Harvested_Weight"/>
    <tableColumn id="10" xr3:uid="{EDD72C61-D7AE-42C6-B021-3B540162A314}" name="Week_Year" dataDxfId="9">
      <calculatedColumnFormula>_xlfn.CONCAT(WEEKNUM(CompilDonnées[[#This Row],[PlantationDate]]), " ", YEAR(CompilDonnées[[#This Row],[PlantationDate]]))</calculatedColumnFormula>
    </tableColumn>
    <tableColumn id="11" xr3:uid="{F2B7D567-12E4-4762-B5FF-2AA2A43BDF31}" name="Month_Year_Plantation" dataDxfId="8">
      <calculatedColumnFormula>CONCATENATE(MONTH(CompilDonnées[[#This Row],[PlantationDate]])," ", YEAR(CompilDonnées[[#This Row],[PlantationDate]]))</calculatedColumnFormula>
    </tableColumn>
    <tableColumn id="12" xr3:uid="{6D2FB7B7-ECEB-45BA-81A0-89891F24967A}" name="Month_Year_Harvest" dataDxfId="7">
      <calculatedColumnFormula>CONCATENATE(MONTH(CompilDonnées[[#This Row],[HarvestingDate]])," ", YEAR(CompilDonnées[[#This Row],[HarvestingDate]]))</calculatedColumnFormula>
    </tableColumn>
    <tableColumn id="14" xr3:uid="{3D2C4AAA-C331-4A05-963F-DAE3A3463954}" name="Ref_Planta" dataDxfId="6">
      <calculatedColumnFormula>_xlfn.NUMBERVALUE(CompilDonnées[[#This Row],[FarmID]]&amp;CompilDonnées[[#This Row],[ModuleNumber]]&amp;CompilDonnées[[#This Row],[PlantationDate]])</calculatedColumnFormula>
    </tableColumn>
    <tableColumn id="15" xr3:uid="{8E69BA9F-1B81-438D-B061-9436FAC0631A}" name="Ref_Module" dataDxfId="5">
      <calculatedColumnFormula>CompilDonnées[[#This Row],[FarmID]]&amp;CompilDonnées[[#This Row],[ModuleNumber]]</calculatedColumnFormula>
    </tableColumn>
    <tableColumn id="16" xr3:uid="{C382346F-1688-4281-9925-8B863E1A4BB4}" name="Ref_HarstingDate" dataDxfId="4">
      <calculatedColumnFormula>CompilDonnées[[#This Row],[Ref_Module]]&amp;CompilDonnées[[#This Row],[HarvestingDate]]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171F-9BAD-4BC0-B8CF-9F4F63EDD90B}">
  <sheetPr codeName="Feuil26"/>
  <dimension ref="A1:P5669"/>
  <sheetViews>
    <sheetView tabSelected="1" zoomScale="85" zoomScaleNormal="85" workbookViewId="0">
      <selection activeCell="T13" sqref="T13"/>
    </sheetView>
  </sheetViews>
  <sheetFormatPr baseColWidth="10" defaultRowHeight="14.25"/>
  <cols>
    <col min="1" max="1" width="27.375" bestFit="1" customWidth="1"/>
    <col min="2" max="2" width="7.625" customWidth="1"/>
    <col min="3" max="3" width="17.375" bestFit="1" customWidth="1"/>
    <col min="4" max="4" width="7.6875" customWidth="1"/>
    <col min="5" max="5" width="9.1875" customWidth="1"/>
    <col min="6" max="6" width="9.6875" customWidth="1"/>
    <col min="7" max="7" width="26" bestFit="1" customWidth="1"/>
    <col min="8" max="8" width="10.875" customWidth="1"/>
    <col min="9" max="9" width="8.125" customWidth="1"/>
  </cols>
  <sheetData>
    <row r="1" spans="1:16" ht="42.7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2" t="s">
        <v>134</v>
      </c>
      <c r="I1" s="2" t="s">
        <v>135</v>
      </c>
      <c r="J1" s="1" t="s">
        <v>136</v>
      </c>
      <c r="K1" s="3" t="s">
        <v>137</v>
      </c>
      <c r="L1" s="3" t="s">
        <v>138</v>
      </c>
      <c r="M1" s="3" t="s">
        <v>139</v>
      </c>
      <c r="N1" s="3" t="s">
        <v>140</v>
      </c>
      <c r="O1" s="4" t="s">
        <v>141</v>
      </c>
      <c r="P1" s="3" t="s">
        <v>142</v>
      </c>
    </row>
    <row r="2" spans="1:16">
      <c r="A2" s="5">
        <v>45609</v>
      </c>
      <c r="B2">
        <v>110</v>
      </c>
      <c r="C2" t="s">
        <v>14</v>
      </c>
      <c r="D2">
        <v>4</v>
      </c>
      <c r="E2">
        <v>100</v>
      </c>
      <c r="F2" t="s">
        <v>1</v>
      </c>
      <c r="G2" s="6">
        <v>45666</v>
      </c>
      <c r="H2">
        <v>57</v>
      </c>
      <c r="I2">
        <f>ROUND(CompilDonnées[[#This Row],[CultureDuration_days]]/7,0)</f>
        <v>8</v>
      </c>
      <c r="J2">
        <v>2204</v>
      </c>
      <c r="K2" t="str">
        <f>_xlfn.CONCAT(WEEKNUM(CompilDonnées[[#This Row],[PlantationDate]]), " ", YEAR(CompilDonnées[[#This Row],[PlantationDate]]))</f>
        <v>46 2024</v>
      </c>
      <c r="L2" t="str">
        <f>CONCATENATE(MONTH(CompilDonnées[[#This Row],[PlantationDate]])," ", YEAR(CompilDonnées[[#This Row],[PlantationDate]]))</f>
        <v>11 2024</v>
      </c>
      <c r="M2" t="str">
        <f>CONCATENATE(MONTH(CompilDonnées[[#This Row],[HarvestingDate]])," ", YEAR(CompilDonnées[[#This Row],[HarvestingDate]]))</f>
        <v>1 2025</v>
      </c>
      <c r="N2">
        <f>_xlfn.NUMBERVALUE(CompilDonnées[[#This Row],[FarmID]]&amp;CompilDonnées[[#This Row],[ModuleNumber]]&amp;CompilDonnées[[#This Row],[PlantationDate]])</f>
        <v>110445609</v>
      </c>
      <c r="O2" t="str">
        <f>CompilDonnées[[#This Row],[FarmID]]&amp;CompilDonnées[[#This Row],[ModuleNumber]]</f>
        <v>1104</v>
      </c>
      <c r="P2" t="str">
        <f>CompilDonnées[[#This Row],[Ref_Module]]&amp;CompilDonnées[[#This Row],[HarvestingDate]]</f>
        <v>110445666</v>
      </c>
    </row>
    <row r="3" spans="1:16">
      <c r="A3" s="5">
        <v>45609</v>
      </c>
      <c r="B3">
        <v>50</v>
      </c>
      <c r="C3" t="s">
        <v>55</v>
      </c>
      <c r="D3">
        <v>3</v>
      </c>
      <c r="E3">
        <v>100</v>
      </c>
      <c r="F3" t="s">
        <v>1</v>
      </c>
      <c r="G3" s="6">
        <v>45664</v>
      </c>
      <c r="H3">
        <v>55</v>
      </c>
      <c r="I3">
        <f>ROUND(CompilDonnées[[#This Row],[CultureDuration_days]]/7,0)</f>
        <v>8</v>
      </c>
      <c r="J3">
        <v>2957</v>
      </c>
      <c r="K3" t="str">
        <f>_xlfn.CONCAT(WEEKNUM(CompilDonnées[[#This Row],[PlantationDate]]), " ", YEAR(CompilDonnées[[#This Row],[PlantationDate]]))</f>
        <v>46 2024</v>
      </c>
      <c r="L3" t="str">
        <f>CONCATENATE(MONTH(CompilDonnées[[#This Row],[PlantationDate]])," ", YEAR(CompilDonnées[[#This Row],[PlantationDate]]))</f>
        <v>11 2024</v>
      </c>
      <c r="M3" t="str">
        <f>CONCATENATE(MONTH(CompilDonnées[[#This Row],[HarvestingDate]])," ", YEAR(CompilDonnées[[#This Row],[HarvestingDate]]))</f>
        <v>1 2025</v>
      </c>
      <c r="N3">
        <f>_xlfn.NUMBERVALUE(CompilDonnées[[#This Row],[FarmID]]&amp;CompilDonnées[[#This Row],[ModuleNumber]]&amp;CompilDonnées[[#This Row],[PlantationDate]])</f>
        <v>50345609</v>
      </c>
      <c r="O3" t="str">
        <f>CompilDonnées[[#This Row],[FarmID]]&amp;CompilDonnées[[#This Row],[ModuleNumber]]</f>
        <v>503</v>
      </c>
      <c r="P3" t="str">
        <f>CompilDonnées[[#This Row],[Ref_Module]]&amp;CompilDonnées[[#This Row],[HarvestingDate]]</f>
        <v>50345664</v>
      </c>
    </row>
    <row r="4" spans="1:16">
      <c r="A4" s="5">
        <v>45609</v>
      </c>
      <c r="B4">
        <v>66</v>
      </c>
      <c r="C4" t="s">
        <v>48</v>
      </c>
      <c r="D4">
        <v>2</v>
      </c>
      <c r="E4">
        <v>100</v>
      </c>
      <c r="F4" t="s">
        <v>1</v>
      </c>
      <c r="G4" s="6">
        <v>45665</v>
      </c>
      <c r="H4">
        <v>56</v>
      </c>
      <c r="I4">
        <f>ROUND(CompilDonnées[[#This Row],[CultureDuration_days]]/7,0)</f>
        <v>8</v>
      </c>
      <c r="J4">
        <v>2762</v>
      </c>
      <c r="K4" t="str">
        <f>_xlfn.CONCAT(WEEKNUM(CompilDonnées[[#This Row],[PlantationDate]]), " ", YEAR(CompilDonnées[[#This Row],[PlantationDate]]))</f>
        <v>46 2024</v>
      </c>
      <c r="L4" t="str">
        <f>CONCATENATE(MONTH(CompilDonnées[[#This Row],[PlantationDate]])," ", YEAR(CompilDonnées[[#This Row],[PlantationDate]]))</f>
        <v>11 2024</v>
      </c>
      <c r="M4" t="str">
        <f>CONCATENATE(MONTH(CompilDonnées[[#This Row],[HarvestingDate]])," ", YEAR(CompilDonnées[[#This Row],[HarvestingDate]]))</f>
        <v>1 2025</v>
      </c>
      <c r="N4">
        <f>_xlfn.NUMBERVALUE(CompilDonnées[[#This Row],[FarmID]]&amp;CompilDonnées[[#This Row],[ModuleNumber]]&amp;CompilDonnées[[#This Row],[PlantationDate]])</f>
        <v>66245609</v>
      </c>
      <c r="O4" t="str">
        <f>CompilDonnées[[#This Row],[FarmID]]&amp;CompilDonnées[[#This Row],[ModuleNumber]]</f>
        <v>662</v>
      </c>
      <c r="P4" t="str">
        <f>CompilDonnées[[#This Row],[Ref_Module]]&amp;CompilDonnées[[#This Row],[HarvestingDate]]</f>
        <v>66245665</v>
      </c>
    </row>
    <row r="5" spans="1:16">
      <c r="A5" s="5">
        <v>45610</v>
      </c>
      <c r="B5">
        <v>43</v>
      </c>
      <c r="C5" t="s">
        <v>45</v>
      </c>
      <c r="D5">
        <v>2</v>
      </c>
      <c r="E5">
        <v>100</v>
      </c>
      <c r="F5" t="s">
        <v>1</v>
      </c>
      <c r="G5" s="6">
        <v>45664</v>
      </c>
      <c r="H5">
        <v>54</v>
      </c>
      <c r="I5">
        <f>ROUND(CompilDonnées[[#This Row],[CultureDuration_days]]/7,0)</f>
        <v>8</v>
      </c>
      <c r="J5">
        <v>2553</v>
      </c>
      <c r="K5" t="str">
        <f>_xlfn.CONCAT(WEEKNUM(CompilDonnées[[#This Row],[PlantationDate]]), " ", YEAR(CompilDonnées[[#This Row],[PlantationDate]]))</f>
        <v>46 2024</v>
      </c>
      <c r="L5" t="str">
        <f>CONCATENATE(MONTH(CompilDonnées[[#This Row],[PlantationDate]])," ", YEAR(CompilDonnées[[#This Row],[PlantationDate]]))</f>
        <v>11 2024</v>
      </c>
      <c r="M5" t="str">
        <f>CONCATENATE(MONTH(CompilDonnées[[#This Row],[HarvestingDate]])," ", YEAR(CompilDonnées[[#This Row],[HarvestingDate]]))</f>
        <v>1 2025</v>
      </c>
      <c r="N5">
        <f>_xlfn.NUMBERVALUE(CompilDonnées[[#This Row],[FarmID]]&amp;CompilDonnées[[#This Row],[ModuleNumber]]&amp;CompilDonnées[[#This Row],[PlantationDate]])</f>
        <v>43245610</v>
      </c>
      <c r="O5" t="str">
        <f>CompilDonnées[[#This Row],[FarmID]]&amp;CompilDonnées[[#This Row],[ModuleNumber]]</f>
        <v>432</v>
      </c>
      <c r="P5" t="str">
        <f>CompilDonnées[[#This Row],[Ref_Module]]&amp;CompilDonnées[[#This Row],[HarvestingDate]]</f>
        <v>43245664</v>
      </c>
    </row>
    <row r="6" spans="1:16">
      <c r="A6" s="5">
        <v>45610</v>
      </c>
      <c r="B6">
        <v>107</v>
      </c>
      <c r="C6" t="s">
        <v>23</v>
      </c>
      <c r="D6">
        <v>2</v>
      </c>
      <c r="E6">
        <v>100</v>
      </c>
      <c r="F6" t="s">
        <v>1</v>
      </c>
      <c r="G6" s="6">
        <v>45670</v>
      </c>
      <c r="H6">
        <v>60</v>
      </c>
      <c r="I6">
        <f>ROUND(CompilDonnées[[#This Row],[CultureDuration_days]]/7,0)</f>
        <v>9</v>
      </c>
      <c r="J6">
        <v>1063</v>
      </c>
      <c r="K6" t="str">
        <f>_xlfn.CONCAT(WEEKNUM(CompilDonnées[[#This Row],[PlantationDate]]), " ", YEAR(CompilDonnées[[#This Row],[PlantationDate]]))</f>
        <v>46 2024</v>
      </c>
      <c r="L6" t="str">
        <f>CONCATENATE(MONTH(CompilDonnées[[#This Row],[PlantationDate]])," ", YEAR(CompilDonnées[[#This Row],[PlantationDate]]))</f>
        <v>11 2024</v>
      </c>
      <c r="M6" t="str">
        <f>CONCATENATE(MONTH(CompilDonnées[[#This Row],[HarvestingDate]])," ", YEAR(CompilDonnées[[#This Row],[HarvestingDate]]))</f>
        <v>1 2025</v>
      </c>
      <c r="N6">
        <f>_xlfn.NUMBERVALUE(CompilDonnées[[#This Row],[FarmID]]&amp;CompilDonnées[[#This Row],[ModuleNumber]]&amp;CompilDonnées[[#This Row],[PlantationDate]])</f>
        <v>107245610</v>
      </c>
      <c r="O6" t="str">
        <f>CompilDonnées[[#This Row],[FarmID]]&amp;CompilDonnées[[#This Row],[ModuleNumber]]</f>
        <v>1072</v>
      </c>
      <c r="P6" t="str">
        <f>CompilDonnées[[#This Row],[Ref_Module]]&amp;CompilDonnées[[#This Row],[HarvestingDate]]</f>
        <v>107245670</v>
      </c>
    </row>
    <row r="7" spans="1:16">
      <c r="A7" s="5">
        <v>45610</v>
      </c>
      <c r="B7">
        <v>106</v>
      </c>
      <c r="C7" t="s">
        <v>22</v>
      </c>
      <c r="D7">
        <v>4</v>
      </c>
      <c r="E7">
        <v>100</v>
      </c>
      <c r="F7" t="s">
        <v>1</v>
      </c>
      <c r="G7" s="6">
        <v>45665</v>
      </c>
      <c r="H7">
        <v>55</v>
      </c>
      <c r="I7">
        <f>ROUND(CompilDonnées[[#This Row],[CultureDuration_days]]/7,0)</f>
        <v>8</v>
      </c>
      <c r="J7">
        <v>1510</v>
      </c>
      <c r="K7" t="str">
        <f>_xlfn.CONCAT(WEEKNUM(CompilDonnées[[#This Row],[PlantationDate]]), " ", YEAR(CompilDonnées[[#This Row],[PlantationDate]]))</f>
        <v>46 2024</v>
      </c>
      <c r="L7" t="str">
        <f>CONCATENATE(MONTH(CompilDonnées[[#This Row],[PlantationDate]])," ", YEAR(CompilDonnées[[#This Row],[PlantationDate]]))</f>
        <v>11 2024</v>
      </c>
      <c r="M7" t="str">
        <f>CONCATENATE(MONTH(CompilDonnées[[#This Row],[HarvestingDate]])," ", YEAR(CompilDonnées[[#This Row],[HarvestingDate]]))</f>
        <v>1 2025</v>
      </c>
      <c r="N7">
        <f>_xlfn.NUMBERVALUE(CompilDonnées[[#This Row],[FarmID]]&amp;CompilDonnées[[#This Row],[ModuleNumber]]&amp;CompilDonnées[[#This Row],[PlantationDate]])</f>
        <v>106445610</v>
      </c>
      <c r="O7" t="str">
        <f>CompilDonnées[[#This Row],[FarmID]]&amp;CompilDonnées[[#This Row],[ModuleNumber]]</f>
        <v>1064</v>
      </c>
      <c r="P7" t="str">
        <f>CompilDonnées[[#This Row],[Ref_Module]]&amp;CompilDonnées[[#This Row],[HarvestingDate]]</f>
        <v>106445665</v>
      </c>
    </row>
    <row r="8" spans="1:16">
      <c r="A8" s="5">
        <v>45610</v>
      </c>
      <c r="B8">
        <v>106</v>
      </c>
      <c r="C8" t="s">
        <v>22</v>
      </c>
      <c r="D8">
        <v>3</v>
      </c>
      <c r="E8">
        <v>100</v>
      </c>
      <c r="F8" t="s">
        <v>1</v>
      </c>
      <c r="G8" s="6">
        <v>45665</v>
      </c>
      <c r="H8">
        <v>55</v>
      </c>
      <c r="I8">
        <f>ROUND(CompilDonnées[[#This Row],[CultureDuration_days]]/7,0)</f>
        <v>8</v>
      </c>
      <c r="J8">
        <v>1884</v>
      </c>
      <c r="K8" t="str">
        <f>_xlfn.CONCAT(WEEKNUM(CompilDonnées[[#This Row],[PlantationDate]]), " ", YEAR(CompilDonnées[[#This Row],[PlantationDate]]))</f>
        <v>46 2024</v>
      </c>
      <c r="L8" t="str">
        <f>CONCATENATE(MONTH(CompilDonnées[[#This Row],[PlantationDate]])," ", YEAR(CompilDonnées[[#This Row],[PlantationDate]]))</f>
        <v>11 2024</v>
      </c>
      <c r="M8" t="str">
        <f>CONCATENATE(MONTH(CompilDonnées[[#This Row],[HarvestingDate]])," ", YEAR(CompilDonnées[[#This Row],[HarvestingDate]]))</f>
        <v>1 2025</v>
      </c>
      <c r="N8">
        <f>_xlfn.NUMBERVALUE(CompilDonnées[[#This Row],[FarmID]]&amp;CompilDonnées[[#This Row],[ModuleNumber]]&amp;CompilDonnées[[#This Row],[PlantationDate]])</f>
        <v>106345610</v>
      </c>
      <c r="O8" t="str">
        <f>CompilDonnées[[#This Row],[FarmID]]&amp;CompilDonnées[[#This Row],[ModuleNumber]]</f>
        <v>1063</v>
      </c>
      <c r="P8" t="str">
        <f>CompilDonnées[[#This Row],[Ref_Module]]&amp;CompilDonnées[[#This Row],[HarvestingDate]]</f>
        <v>106345665</v>
      </c>
    </row>
    <row r="9" spans="1:16">
      <c r="A9" s="5">
        <v>45610</v>
      </c>
      <c r="B9">
        <v>131</v>
      </c>
      <c r="C9" t="s">
        <v>64</v>
      </c>
      <c r="D9">
        <v>2</v>
      </c>
      <c r="E9">
        <v>100</v>
      </c>
      <c r="F9" t="s">
        <v>1</v>
      </c>
      <c r="G9" s="6">
        <v>45666</v>
      </c>
      <c r="H9">
        <v>56</v>
      </c>
      <c r="I9">
        <f>ROUND(CompilDonnées[[#This Row],[CultureDuration_days]]/7,0)</f>
        <v>8</v>
      </c>
      <c r="J9">
        <v>1846</v>
      </c>
      <c r="K9" t="str">
        <f>_xlfn.CONCAT(WEEKNUM(CompilDonnées[[#This Row],[PlantationDate]]), " ", YEAR(CompilDonnées[[#This Row],[PlantationDate]]))</f>
        <v>46 2024</v>
      </c>
      <c r="L9" t="str">
        <f>CONCATENATE(MONTH(CompilDonnées[[#This Row],[PlantationDate]])," ", YEAR(CompilDonnées[[#This Row],[PlantationDate]]))</f>
        <v>11 2024</v>
      </c>
      <c r="M9" t="str">
        <f>CONCATENATE(MONTH(CompilDonnées[[#This Row],[HarvestingDate]])," ", YEAR(CompilDonnées[[#This Row],[HarvestingDate]]))</f>
        <v>1 2025</v>
      </c>
      <c r="N9">
        <f>_xlfn.NUMBERVALUE(CompilDonnées[[#This Row],[FarmID]]&amp;CompilDonnées[[#This Row],[ModuleNumber]]&amp;CompilDonnées[[#This Row],[PlantationDate]])</f>
        <v>131245610</v>
      </c>
      <c r="O9" t="str">
        <f>CompilDonnées[[#This Row],[FarmID]]&amp;CompilDonnées[[#This Row],[ModuleNumber]]</f>
        <v>1312</v>
      </c>
      <c r="P9" t="str">
        <f>CompilDonnées[[#This Row],[Ref_Module]]&amp;CompilDonnées[[#This Row],[HarvestingDate]]</f>
        <v>131245666</v>
      </c>
    </row>
    <row r="10" spans="1:16">
      <c r="A10" s="5">
        <v>45610</v>
      </c>
      <c r="B10">
        <v>145</v>
      </c>
      <c r="C10" t="s">
        <v>88</v>
      </c>
      <c r="D10">
        <v>4</v>
      </c>
      <c r="E10">
        <v>100</v>
      </c>
      <c r="F10" t="s">
        <v>1</v>
      </c>
      <c r="G10" s="6">
        <v>45666</v>
      </c>
      <c r="H10">
        <v>56</v>
      </c>
      <c r="I10">
        <f>ROUND(CompilDonnées[[#This Row],[CultureDuration_days]]/7,0)</f>
        <v>8</v>
      </c>
      <c r="J10">
        <v>1711</v>
      </c>
      <c r="K10" t="str">
        <f>_xlfn.CONCAT(WEEKNUM(CompilDonnées[[#This Row],[PlantationDate]]), " ", YEAR(CompilDonnées[[#This Row],[PlantationDate]]))</f>
        <v>46 2024</v>
      </c>
      <c r="L10" t="str">
        <f>CONCATENATE(MONTH(CompilDonnées[[#This Row],[PlantationDate]])," ", YEAR(CompilDonnées[[#This Row],[PlantationDate]]))</f>
        <v>11 2024</v>
      </c>
      <c r="M10" t="str">
        <f>CONCATENATE(MONTH(CompilDonnées[[#This Row],[HarvestingDate]])," ", YEAR(CompilDonnées[[#This Row],[HarvestingDate]]))</f>
        <v>1 2025</v>
      </c>
      <c r="N10">
        <f>_xlfn.NUMBERVALUE(CompilDonnées[[#This Row],[FarmID]]&amp;CompilDonnées[[#This Row],[ModuleNumber]]&amp;CompilDonnées[[#This Row],[PlantationDate]])</f>
        <v>145445610</v>
      </c>
      <c r="O10" t="str">
        <f>CompilDonnées[[#This Row],[FarmID]]&amp;CompilDonnées[[#This Row],[ModuleNumber]]</f>
        <v>1454</v>
      </c>
      <c r="P10" t="str">
        <f>CompilDonnées[[#This Row],[Ref_Module]]&amp;CompilDonnées[[#This Row],[HarvestingDate]]</f>
        <v>145445666</v>
      </c>
    </row>
    <row r="11" spans="1:16">
      <c r="A11" s="5">
        <v>45610</v>
      </c>
      <c r="B11">
        <v>125</v>
      </c>
      <c r="C11" t="s">
        <v>101</v>
      </c>
      <c r="D11">
        <v>3</v>
      </c>
      <c r="E11">
        <v>100</v>
      </c>
      <c r="F11" t="s">
        <v>1</v>
      </c>
      <c r="G11" s="6">
        <v>45666</v>
      </c>
      <c r="H11">
        <v>56</v>
      </c>
      <c r="I11">
        <f>ROUND(CompilDonnées[[#This Row],[CultureDuration_days]]/7,0)</f>
        <v>8</v>
      </c>
      <c r="J11">
        <v>3300</v>
      </c>
      <c r="K11" t="str">
        <f>_xlfn.CONCAT(WEEKNUM(CompilDonnées[[#This Row],[PlantationDate]]), " ", YEAR(CompilDonnées[[#This Row],[PlantationDate]]))</f>
        <v>46 2024</v>
      </c>
      <c r="L11" t="str">
        <f>CONCATENATE(MONTH(CompilDonnées[[#This Row],[PlantationDate]])," ", YEAR(CompilDonnées[[#This Row],[PlantationDate]]))</f>
        <v>11 2024</v>
      </c>
      <c r="M11" t="str">
        <f>CONCATENATE(MONTH(CompilDonnées[[#This Row],[HarvestingDate]])," ", YEAR(CompilDonnées[[#This Row],[HarvestingDate]]))</f>
        <v>1 2025</v>
      </c>
      <c r="N11">
        <f>_xlfn.NUMBERVALUE(CompilDonnées[[#This Row],[FarmID]]&amp;CompilDonnées[[#This Row],[ModuleNumber]]&amp;CompilDonnées[[#This Row],[PlantationDate]])</f>
        <v>125345610</v>
      </c>
      <c r="O11" t="str">
        <f>CompilDonnées[[#This Row],[FarmID]]&amp;CompilDonnées[[#This Row],[ModuleNumber]]</f>
        <v>1253</v>
      </c>
      <c r="P11" t="str">
        <f>CompilDonnées[[#This Row],[Ref_Module]]&amp;CompilDonnées[[#This Row],[HarvestingDate]]</f>
        <v>125345666</v>
      </c>
    </row>
    <row r="12" spans="1:16">
      <c r="A12" s="5">
        <v>45615</v>
      </c>
      <c r="B12">
        <v>94</v>
      </c>
      <c r="C12" t="s">
        <v>40</v>
      </c>
      <c r="D12">
        <v>4</v>
      </c>
      <c r="E12">
        <v>100</v>
      </c>
      <c r="F12" t="s">
        <v>1</v>
      </c>
      <c r="G12" s="6">
        <v>45665</v>
      </c>
      <c r="H12">
        <v>50</v>
      </c>
      <c r="I12">
        <f>ROUND(CompilDonnées[[#This Row],[CultureDuration_days]]/7,0)</f>
        <v>7</v>
      </c>
      <c r="J12">
        <v>3693</v>
      </c>
      <c r="K12" t="str">
        <f>_xlfn.CONCAT(WEEKNUM(CompilDonnées[[#This Row],[PlantationDate]]), " ", YEAR(CompilDonnées[[#This Row],[PlantationDate]]))</f>
        <v>47 2024</v>
      </c>
      <c r="L12" t="str">
        <f>CONCATENATE(MONTH(CompilDonnées[[#This Row],[PlantationDate]])," ", YEAR(CompilDonnées[[#This Row],[PlantationDate]]))</f>
        <v>11 2024</v>
      </c>
      <c r="M12" t="str">
        <f>CONCATENATE(MONTH(CompilDonnées[[#This Row],[HarvestingDate]])," ", YEAR(CompilDonnées[[#This Row],[HarvestingDate]]))</f>
        <v>1 2025</v>
      </c>
      <c r="N12">
        <f>_xlfn.NUMBERVALUE(CompilDonnées[[#This Row],[FarmID]]&amp;CompilDonnées[[#This Row],[ModuleNumber]]&amp;CompilDonnées[[#This Row],[PlantationDate]])</f>
        <v>94445615</v>
      </c>
      <c r="O12" t="str">
        <f>CompilDonnées[[#This Row],[FarmID]]&amp;CompilDonnées[[#This Row],[ModuleNumber]]</f>
        <v>944</v>
      </c>
      <c r="P12" t="str">
        <f>CompilDonnées[[#This Row],[Ref_Module]]&amp;CompilDonnées[[#This Row],[HarvestingDate]]</f>
        <v>94445665</v>
      </c>
    </row>
    <row r="13" spans="1:16">
      <c r="A13" s="5">
        <v>45615</v>
      </c>
      <c r="B13">
        <v>107</v>
      </c>
      <c r="C13" t="s">
        <v>23</v>
      </c>
      <c r="D13">
        <v>3</v>
      </c>
      <c r="E13">
        <v>100</v>
      </c>
      <c r="F13" t="s">
        <v>1</v>
      </c>
      <c r="G13" s="6">
        <v>45665</v>
      </c>
      <c r="H13">
        <v>50</v>
      </c>
      <c r="I13">
        <f>ROUND(CompilDonnées[[#This Row],[CultureDuration_days]]/7,0)</f>
        <v>7</v>
      </c>
      <c r="J13">
        <v>2900</v>
      </c>
      <c r="K13" t="str">
        <f>_xlfn.CONCAT(WEEKNUM(CompilDonnées[[#This Row],[PlantationDate]]), " ", YEAR(CompilDonnées[[#This Row],[PlantationDate]]))</f>
        <v>47 2024</v>
      </c>
      <c r="L13" t="str">
        <f>CONCATENATE(MONTH(CompilDonnées[[#This Row],[PlantationDate]])," ", YEAR(CompilDonnées[[#This Row],[PlantationDate]]))</f>
        <v>11 2024</v>
      </c>
      <c r="M13" t="str">
        <f>CONCATENATE(MONTH(CompilDonnées[[#This Row],[HarvestingDate]])," ", YEAR(CompilDonnées[[#This Row],[HarvestingDate]]))</f>
        <v>1 2025</v>
      </c>
      <c r="N13">
        <f>_xlfn.NUMBERVALUE(CompilDonnées[[#This Row],[FarmID]]&amp;CompilDonnées[[#This Row],[ModuleNumber]]&amp;CompilDonnées[[#This Row],[PlantationDate]])</f>
        <v>107345615</v>
      </c>
      <c r="O13" t="str">
        <f>CompilDonnées[[#This Row],[FarmID]]&amp;CompilDonnées[[#This Row],[ModuleNumber]]</f>
        <v>1073</v>
      </c>
      <c r="P13" t="str">
        <f>CompilDonnées[[#This Row],[Ref_Module]]&amp;CompilDonnées[[#This Row],[HarvestingDate]]</f>
        <v>107345665</v>
      </c>
    </row>
    <row r="14" spans="1:16">
      <c r="A14" s="5">
        <v>45615</v>
      </c>
      <c r="B14">
        <v>106</v>
      </c>
      <c r="C14" t="s">
        <v>22</v>
      </c>
      <c r="D14">
        <v>2</v>
      </c>
      <c r="E14">
        <v>100</v>
      </c>
      <c r="F14" t="s">
        <v>1</v>
      </c>
      <c r="G14" s="6">
        <v>45670</v>
      </c>
      <c r="H14">
        <v>55</v>
      </c>
      <c r="I14">
        <f>ROUND(CompilDonnées[[#This Row],[CultureDuration_days]]/7,0)</f>
        <v>8</v>
      </c>
      <c r="J14">
        <v>1057</v>
      </c>
      <c r="K14" t="str">
        <f>_xlfn.CONCAT(WEEKNUM(CompilDonnées[[#This Row],[PlantationDate]]), " ", YEAR(CompilDonnées[[#This Row],[PlantationDate]]))</f>
        <v>47 2024</v>
      </c>
      <c r="L14" t="str">
        <f>CONCATENATE(MONTH(CompilDonnées[[#This Row],[PlantationDate]])," ", YEAR(CompilDonnées[[#This Row],[PlantationDate]]))</f>
        <v>11 2024</v>
      </c>
      <c r="M14" t="str">
        <f>CONCATENATE(MONTH(CompilDonnées[[#This Row],[HarvestingDate]])," ", YEAR(CompilDonnées[[#This Row],[HarvestingDate]]))</f>
        <v>1 2025</v>
      </c>
      <c r="N14">
        <f>_xlfn.NUMBERVALUE(CompilDonnées[[#This Row],[FarmID]]&amp;CompilDonnées[[#This Row],[ModuleNumber]]&amp;CompilDonnées[[#This Row],[PlantationDate]])</f>
        <v>106245615</v>
      </c>
      <c r="O14" t="str">
        <f>CompilDonnées[[#This Row],[FarmID]]&amp;CompilDonnées[[#This Row],[ModuleNumber]]</f>
        <v>1062</v>
      </c>
      <c r="P14" t="str">
        <f>CompilDonnées[[#This Row],[Ref_Module]]&amp;CompilDonnées[[#This Row],[HarvestingDate]]</f>
        <v>106245670</v>
      </c>
    </row>
    <row r="15" spans="1:16">
      <c r="A15" s="5">
        <v>45615</v>
      </c>
      <c r="B15">
        <v>70</v>
      </c>
      <c r="C15" t="s">
        <v>7</v>
      </c>
      <c r="D15">
        <v>1</v>
      </c>
      <c r="E15">
        <v>100</v>
      </c>
      <c r="F15" t="s">
        <v>1</v>
      </c>
      <c r="G15" s="6">
        <v>45665</v>
      </c>
      <c r="H15">
        <v>50</v>
      </c>
      <c r="I15">
        <f>ROUND(CompilDonnées[[#This Row],[CultureDuration_days]]/7,0)</f>
        <v>7</v>
      </c>
      <c r="J15">
        <v>2268</v>
      </c>
      <c r="K15" t="str">
        <f>_xlfn.CONCAT(WEEKNUM(CompilDonnées[[#This Row],[PlantationDate]]), " ", YEAR(CompilDonnées[[#This Row],[PlantationDate]]))</f>
        <v>47 2024</v>
      </c>
      <c r="L15" t="str">
        <f>CONCATENATE(MONTH(CompilDonnées[[#This Row],[PlantationDate]])," ", YEAR(CompilDonnées[[#This Row],[PlantationDate]]))</f>
        <v>11 2024</v>
      </c>
      <c r="M15" t="str">
        <f>CONCATENATE(MONTH(CompilDonnées[[#This Row],[HarvestingDate]])," ", YEAR(CompilDonnées[[#This Row],[HarvestingDate]]))</f>
        <v>1 2025</v>
      </c>
      <c r="N15">
        <f>_xlfn.NUMBERVALUE(CompilDonnées[[#This Row],[FarmID]]&amp;CompilDonnées[[#This Row],[ModuleNumber]]&amp;CompilDonnées[[#This Row],[PlantationDate]])</f>
        <v>70145615</v>
      </c>
      <c r="O15" t="str">
        <f>CompilDonnées[[#This Row],[FarmID]]&amp;CompilDonnées[[#This Row],[ModuleNumber]]</f>
        <v>701</v>
      </c>
      <c r="P15" t="str">
        <f>CompilDonnées[[#This Row],[Ref_Module]]&amp;CompilDonnées[[#This Row],[HarvestingDate]]</f>
        <v>70145665</v>
      </c>
    </row>
    <row r="16" spans="1:16">
      <c r="A16" s="5">
        <v>45615</v>
      </c>
      <c r="B16">
        <v>69</v>
      </c>
      <c r="C16" t="s">
        <v>102</v>
      </c>
      <c r="D16">
        <v>2</v>
      </c>
      <c r="E16">
        <v>100</v>
      </c>
      <c r="F16" t="s">
        <v>1</v>
      </c>
      <c r="G16" s="6">
        <v>45665</v>
      </c>
      <c r="H16">
        <v>50</v>
      </c>
      <c r="I16">
        <f>ROUND(CompilDonnées[[#This Row],[CultureDuration_days]]/7,0)</f>
        <v>7</v>
      </c>
      <c r="J16">
        <v>1932</v>
      </c>
      <c r="K16" t="str">
        <f>_xlfn.CONCAT(WEEKNUM(CompilDonnées[[#This Row],[PlantationDate]]), " ", YEAR(CompilDonnées[[#This Row],[PlantationDate]]))</f>
        <v>47 2024</v>
      </c>
      <c r="L16" t="str">
        <f>CONCATENATE(MONTH(CompilDonnées[[#This Row],[PlantationDate]])," ", YEAR(CompilDonnées[[#This Row],[PlantationDate]]))</f>
        <v>11 2024</v>
      </c>
      <c r="M16" t="str">
        <f>CONCATENATE(MONTH(CompilDonnées[[#This Row],[HarvestingDate]])," ", YEAR(CompilDonnées[[#This Row],[HarvestingDate]]))</f>
        <v>1 2025</v>
      </c>
      <c r="N16">
        <f>_xlfn.NUMBERVALUE(CompilDonnées[[#This Row],[FarmID]]&amp;CompilDonnées[[#This Row],[ModuleNumber]]&amp;CompilDonnées[[#This Row],[PlantationDate]])</f>
        <v>69245615</v>
      </c>
      <c r="O16" t="str">
        <f>CompilDonnées[[#This Row],[FarmID]]&amp;CompilDonnées[[#This Row],[ModuleNumber]]</f>
        <v>692</v>
      </c>
      <c r="P16" t="str">
        <f>CompilDonnées[[#This Row],[Ref_Module]]&amp;CompilDonnées[[#This Row],[HarvestingDate]]</f>
        <v>69245665</v>
      </c>
    </row>
    <row r="17" spans="1:16">
      <c r="A17" s="5">
        <v>45615</v>
      </c>
      <c r="B17">
        <v>63</v>
      </c>
      <c r="C17" t="s">
        <v>98</v>
      </c>
      <c r="D17">
        <v>2</v>
      </c>
      <c r="E17">
        <v>100</v>
      </c>
      <c r="F17" t="s">
        <v>1</v>
      </c>
      <c r="G17" s="6">
        <v>45664</v>
      </c>
      <c r="H17">
        <v>49</v>
      </c>
      <c r="I17">
        <f>ROUND(CompilDonnées[[#This Row],[CultureDuration_days]]/7,0)</f>
        <v>7</v>
      </c>
      <c r="J17">
        <v>2071</v>
      </c>
      <c r="K17" t="str">
        <f>_xlfn.CONCAT(WEEKNUM(CompilDonnées[[#This Row],[PlantationDate]]), " ", YEAR(CompilDonnées[[#This Row],[PlantationDate]]))</f>
        <v>47 2024</v>
      </c>
      <c r="L17" t="str">
        <f>CONCATENATE(MONTH(CompilDonnées[[#This Row],[PlantationDate]])," ", YEAR(CompilDonnées[[#This Row],[PlantationDate]]))</f>
        <v>11 2024</v>
      </c>
      <c r="M17" t="str">
        <f>CONCATENATE(MONTH(CompilDonnées[[#This Row],[HarvestingDate]])," ", YEAR(CompilDonnées[[#This Row],[HarvestingDate]]))</f>
        <v>1 2025</v>
      </c>
      <c r="N17">
        <f>_xlfn.NUMBERVALUE(CompilDonnées[[#This Row],[FarmID]]&amp;CompilDonnées[[#This Row],[ModuleNumber]]&amp;CompilDonnées[[#This Row],[PlantationDate]])</f>
        <v>63245615</v>
      </c>
      <c r="O17" t="str">
        <f>CompilDonnées[[#This Row],[FarmID]]&amp;CompilDonnées[[#This Row],[ModuleNumber]]</f>
        <v>632</v>
      </c>
      <c r="P17" t="str">
        <f>CompilDonnées[[#This Row],[Ref_Module]]&amp;CompilDonnées[[#This Row],[HarvestingDate]]</f>
        <v>63245664</v>
      </c>
    </row>
    <row r="18" spans="1:16">
      <c r="A18" s="5">
        <v>45615</v>
      </c>
      <c r="B18">
        <v>61</v>
      </c>
      <c r="C18" t="s">
        <v>95</v>
      </c>
      <c r="D18">
        <v>1</v>
      </c>
      <c r="E18">
        <v>100</v>
      </c>
      <c r="F18" t="s">
        <v>1</v>
      </c>
      <c r="G18" s="6">
        <v>45664</v>
      </c>
      <c r="H18">
        <v>49</v>
      </c>
      <c r="I18">
        <f>ROUND(CompilDonnées[[#This Row],[CultureDuration_days]]/7,0)</f>
        <v>7</v>
      </c>
      <c r="J18">
        <v>1679</v>
      </c>
      <c r="K18" t="str">
        <f>_xlfn.CONCAT(WEEKNUM(CompilDonnées[[#This Row],[PlantationDate]]), " ", YEAR(CompilDonnées[[#This Row],[PlantationDate]]))</f>
        <v>47 2024</v>
      </c>
      <c r="L18" t="str">
        <f>CONCATENATE(MONTH(CompilDonnées[[#This Row],[PlantationDate]])," ", YEAR(CompilDonnées[[#This Row],[PlantationDate]]))</f>
        <v>11 2024</v>
      </c>
      <c r="M18" t="str">
        <f>CONCATENATE(MONTH(CompilDonnées[[#This Row],[HarvestingDate]])," ", YEAR(CompilDonnées[[#This Row],[HarvestingDate]]))</f>
        <v>1 2025</v>
      </c>
      <c r="N18">
        <f>_xlfn.NUMBERVALUE(CompilDonnées[[#This Row],[FarmID]]&amp;CompilDonnées[[#This Row],[ModuleNumber]]&amp;CompilDonnées[[#This Row],[PlantationDate]])</f>
        <v>61145615</v>
      </c>
      <c r="O18" t="str">
        <f>CompilDonnées[[#This Row],[FarmID]]&amp;CompilDonnées[[#This Row],[ModuleNumber]]</f>
        <v>611</v>
      </c>
      <c r="P18" t="str">
        <f>CompilDonnées[[#This Row],[Ref_Module]]&amp;CompilDonnées[[#This Row],[HarvestingDate]]</f>
        <v>61145664</v>
      </c>
    </row>
    <row r="19" spans="1:16">
      <c r="A19" s="5">
        <v>45615</v>
      </c>
      <c r="B19">
        <v>61</v>
      </c>
      <c r="C19" t="s">
        <v>95</v>
      </c>
      <c r="D19">
        <v>2</v>
      </c>
      <c r="E19">
        <v>100</v>
      </c>
      <c r="F19" t="s">
        <v>1</v>
      </c>
      <c r="G19" s="6">
        <v>45664</v>
      </c>
      <c r="H19">
        <v>49</v>
      </c>
      <c r="I19">
        <f>ROUND(CompilDonnées[[#This Row],[CultureDuration_days]]/7,0)</f>
        <v>7</v>
      </c>
      <c r="J19">
        <v>1671</v>
      </c>
      <c r="K19" t="str">
        <f>_xlfn.CONCAT(WEEKNUM(CompilDonnées[[#This Row],[PlantationDate]]), " ", YEAR(CompilDonnées[[#This Row],[PlantationDate]]))</f>
        <v>47 2024</v>
      </c>
      <c r="L19" t="str">
        <f>CONCATENATE(MONTH(CompilDonnées[[#This Row],[PlantationDate]])," ", YEAR(CompilDonnées[[#This Row],[PlantationDate]]))</f>
        <v>11 2024</v>
      </c>
      <c r="M19" t="str">
        <f>CONCATENATE(MONTH(CompilDonnées[[#This Row],[HarvestingDate]])," ", YEAR(CompilDonnées[[#This Row],[HarvestingDate]]))</f>
        <v>1 2025</v>
      </c>
      <c r="N19">
        <f>_xlfn.NUMBERVALUE(CompilDonnées[[#This Row],[FarmID]]&amp;CompilDonnées[[#This Row],[ModuleNumber]]&amp;CompilDonnées[[#This Row],[PlantationDate]])</f>
        <v>61245615</v>
      </c>
      <c r="O19" t="str">
        <f>CompilDonnées[[#This Row],[FarmID]]&amp;CompilDonnées[[#This Row],[ModuleNumber]]</f>
        <v>612</v>
      </c>
      <c r="P19" t="str">
        <f>CompilDonnées[[#This Row],[Ref_Module]]&amp;CompilDonnées[[#This Row],[HarvestingDate]]</f>
        <v>61245664</v>
      </c>
    </row>
    <row r="20" spans="1:16">
      <c r="A20" s="5">
        <v>45615</v>
      </c>
      <c r="B20">
        <v>47</v>
      </c>
      <c r="C20" t="s">
        <v>12</v>
      </c>
      <c r="D20">
        <v>1</v>
      </c>
      <c r="E20">
        <v>100</v>
      </c>
      <c r="F20" t="s">
        <v>1</v>
      </c>
      <c r="G20" s="6">
        <v>45663</v>
      </c>
      <c r="H20">
        <v>48</v>
      </c>
      <c r="I20">
        <f>ROUND(CompilDonnées[[#This Row],[CultureDuration_days]]/7,0)</f>
        <v>7</v>
      </c>
      <c r="J20">
        <v>1646</v>
      </c>
      <c r="K20" t="str">
        <f>_xlfn.CONCAT(WEEKNUM(CompilDonnées[[#This Row],[PlantationDate]]), " ", YEAR(CompilDonnées[[#This Row],[PlantationDate]]))</f>
        <v>47 2024</v>
      </c>
      <c r="L20" t="str">
        <f>CONCATENATE(MONTH(CompilDonnées[[#This Row],[PlantationDate]])," ", YEAR(CompilDonnées[[#This Row],[PlantationDate]]))</f>
        <v>11 2024</v>
      </c>
      <c r="M20" t="str">
        <f>CONCATENATE(MONTH(CompilDonnées[[#This Row],[HarvestingDate]])," ", YEAR(CompilDonnées[[#This Row],[HarvestingDate]]))</f>
        <v>1 2025</v>
      </c>
      <c r="N20">
        <f>_xlfn.NUMBERVALUE(CompilDonnées[[#This Row],[FarmID]]&amp;CompilDonnées[[#This Row],[ModuleNumber]]&amp;CompilDonnées[[#This Row],[PlantationDate]])</f>
        <v>47145615</v>
      </c>
      <c r="O20" t="str">
        <f>CompilDonnées[[#This Row],[FarmID]]&amp;CompilDonnées[[#This Row],[ModuleNumber]]</f>
        <v>471</v>
      </c>
      <c r="P20" t="str">
        <f>CompilDonnées[[#This Row],[Ref_Module]]&amp;CompilDonnées[[#This Row],[HarvestingDate]]</f>
        <v>47145663</v>
      </c>
    </row>
    <row r="21" spans="1:16">
      <c r="A21" s="5">
        <v>45615</v>
      </c>
      <c r="B21">
        <v>40</v>
      </c>
      <c r="C21" t="s">
        <v>82</v>
      </c>
      <c r="D21">
        <v>1</v>
      </c>
      <c r="E21">
        <v>100</v>
      </c>
      <c r="F21" t="s">
        <v>1</v>
      </c>
      <c r="G21" s="6">
        <v>45663</v>
      </c>
      <c r="H21">
        <v>48</v>
      </c>
      <c r="I21">
        <f>ROUND(CompilDonnées[[#This Row],[CultureDuration_days]]/7,0)</f>
        <v>7</v>
      </c>
      <c r="J21">
        <v>600</v>
      </c>
      <c r="K21" t="str">
        <f>_xlfn.CONCAT(WEEKNUM(CompilDonnées[[#This Row],[PlantationDate]]), " ", YEAR(CompilDonnées[[#This Row],[PlantationDate]]))</f>
        <v>47 2024</v>
      </c>
      <c r="L21" t="str">
        <f>CONCATENATE(MONTH(CompilDonnées[[#This Row],[PlantationDate]])," ", YEAR(CompilDonnées[[#This Row],[PlantationDate]]))</f>
        <v>11 2024</v>
      </c>
      <c r="M21" t="str">
        <f>CONCATENATE(MONTH(CompilDonnées[[#This Row],[HarvestingDate]])," ", YEAR(CompilDonnées[[#This Row],[HarvestingDate]]))</f>
        <v>1 2025</v>
      </c>
      <c r="N21">
        <f>_xlfn.NUMBERVALUE(CompilDonnées[[#This Row],[FarmID]]&amp;CompilDonnées[[#This Row],[ModuleNumber]]&amp;CompilDonnées[[#This Row],[PlantationDate]])</f>
        <v>40145615</v>
      </c>
      <c r="O21" t="str">
        <f>CompilDonnées[[#This Row],[FarmID]]&amp;CompilDonnées[[#This Row],[ModuleNumber]]</f>
        <v>401</v>
      </c>
      <c r="P21" t="str">
        <f>CompilDonnées[[#This Row],[Ref_Module]]&amp;CompilDonnées[[#This Row],[HarvestingDate]]</f>
        <v>40145663</v>
      </c>
    </row>
    <row r="22" spans="1:16">
      <c r="A22" s="5">
        <v>45615</v>
      </c>
      <c r="B22">
        <v>39</v>
      </c>
      <c r="C22" t="s">
        <v>81</v>
      </c>
      <c r="D22">
        <v>2</v>
      </c>
      <c r="E22">
        <v>100</v>
      </c>
      <c r="F22" t="s">
        <v>1</v>
      </c>
      <c r="G22" s="6">
        <v>45663</v>
      </c>
      <c r="H22">
        <v>48</v>
      </c>
      <c r="I22">
        <f>ROUND(CompilDonnées[[#This Row],[CultureDuration_days]]/7,0)</f>
        <v>7</v>
      </c>
      <c r="J22">
        <v>549</v>
      </c>
      <c r="K22" t="str">
        <f>_xlfn.CONCAT(WEEKNUM(CompilDonnées[[#This Row],[PlantationDate]]), " ", YEAR(CompilDonnées[[#This Row],[PlantationDate]]))</f>
        <v>47 2024</v>
      </c>
      <c r="L22" t="str">
        <f>CONCATENATE(MONTH(CompilDonnées[[#This Row],[PlantationDate]])," ", YEAR(CompilDonnées[[#This Row],[PlantationDate]]))</f>
        <v>11 2024</v>
      </c>
      <c r="M22" t="str">
        <f>CONCATENATE(MONTH(CompilDonnées[[#This Row],[HarvestingDate]])," ", YEAR(CompilDonnées[[#This Row],[HarvestingDate]]))</f>
        <v>1 2025</v>
      </c>
      <c r="N22">
        <f>_xlfn.NUMBERVALUE(CompilDonnées[[#This Row],[FarmID]]&amp;CompilDonnées[[#This Row],[ModuleNumber]]&amp;CompilDonnées[[#This Row],[PlantationDate]])</f>
        <v>39245615</v>
      </c>
      <c r="O22" t="str">
        <f>CompilDonnées[[#This Row],[FarmID]]&amp;CompilDonnées[[#This Row],[ModuleNumber]]</f>
        <v>392</v>
      </c>
      <c r="P22" t="str">
        <f>CompilDonnées[[#This Row],[Ref_Module]]&amp;CompilDonnées[[#This Row],[HarvestingDate]]</f>
        <v>39245663</v>
      </c>
    </row>
    <row r="23" spans="1:16">
      <c r="A23" s="5">
        <v>45615</v>
      </c>
      <c r="B23">
        <v>33</v>
      </c>
      <c r="C23" t="s">
        <v>104</v>
      </c>
      <c r="D23">
        <v>1</v>
      </c>
      <c r="E23">
        <v>100</v>
      </c>
      <c r="F23" t="s">
        <v>1</v>
      </c>
      <c r="G23" s="6">
        <v>45663</v>
      </c>
      <c r="H23">
        <v>48</v>
      </c>
      <c r="I23">
        <f>ROUND(CompilDonnées[[#This Row],[CultureDuration_days]]/7,0)</f>
        <v>7</v>
      </c>
      <c r="J23">
        <v>579</v>
      </c>
      <c r="K23" t="str">
        <f>_xlfn.CONCAT(WEEKNUM(CompilDonnées[[#This Row],[PlantationDate]]), " ", YEAR(CompilDonnées[[#This Row],[PlantationDate]]))</f>
        <v>47 2024</v>
      </c>
      <c r="L23" t="str">
        <f>CONCATENATE(MONTH(CompilDonnées[[#This Row],[PlantationDate]])," ", YEAR(CompilDonnées[[#This Row],[PlantationDate]]))</f>
        <v>11 2024</v>
      </c>
      <c r="M23" t="str">
        <f>CONCATENATE(MONTH(CompilDonnées[[#This Row],[HarvestingDate]])," ", YEAR(CompilDonnées[[#This Row],[HarvestingDate]]))</f>
        <v>1 2025</v>
      </c>
      <c r="N23">
        <f>_xlfn.NUMBERVALUE(CompilDonnées[[#This Row],[FarmID]]&amp;CompilDonnées[[#This Row],[ModuleNumber]]&amp;CompilDonnées[[#This Row],[PlantationDate]])</f>
        <v>33145615</v>
      </c>
      <c r="O23" t="str">
        <f>CompilDonnées[[#This Row],[FarmID]]&amp;CompilDonnées[[#This Row],[ModuleNumber]]</f>
        <v>331</v>
      </c>
      <c r="P23" t="str">
        <f>CompilDonnées[[#This Row],[Ref_Module]]&amp;CompilDonnées[[#This Row],[HarvestingDate]]</f>
        <v>33145663</v>
      </c>
    </row>
    <row r="24" spans="1:16">
      <c r="A24" s="5">
        <v>45615</v>
      </c>
      <c r="B24">
        <v>28</v>
      </c>
      <c r="C24" t="s">
        <v>77</v>
      </c>
      <c r="D24">
        <v>1</v>
      </c>
      <c r="E24">
        <v>100</v>
      </c>
      <c r="F24" t="s">
        <v>1</v>
      </c>
      <c r="G24" s="6">
        <v>45663</v>
      </c>
      <c r="H24">
        <v>48</v>
      </c>
      <c r="I24">
        <f>ROUND(CompilDonnées[[#This Row],[CultureDuration_days]]/7,0)</f>
        <v>7</v>
      </c>
      <c r="J24">
        <v>583</v>
      </c>
      <c r="K24" t="str">
        <f>_xlfn.CONCAT(WEEKNUM(CompilDonnées[[#This Row],[PlantationDate]]), " ", YEAR(CompilDonnées[[#This Row],[PlantationDate]]))</f>
        <v>47 2024</v>
      </c>
      <c r="L24" t="str">
        <f>CONCATENATE(MONTH(CompilDonnées[[#This Row],[PlantationDate]])," ", YEAR(CompilDonnées[[#This Row],[PlantationDate]]))</f>
        <v>11 2024</v>
      </c>
      <c r="M24" t="str">
        <f>CONCATENATE(MONTH(CompilDonnées[[#This Row],[HarvestingDate]])," ", YEAR(CompilDonnées[[#This Row],[HarvestingDate]]))</f>
        <v>1 2025</v>
      </c>
      <c r="N24">
        <f>_xlfn.NUMBERVALUE(CompilDonnées[[#This Row],[FarmID]]&amp;CompilDonnées[[#This Row],[ModuleNumber]]&amp;CompilDonnées[[#This Row],[PlantationDate]])</f>
        <v>28145615</v>
      </c>
      <c r="O24" t="str">
        <f>CompilDonnées[[#This Row],[FarmID]]&amp;CompilDonnées[[#This Row],[ModuleNumber]]</f>
        <v>281</v>
      </c>
      <c r="P24" t="str">
        <f>CompilDonnées[[#This Row],[Ref_Module]]&amp;CompilDonnées[[#This Row],[HarvestingDate]]</f>
        <v>28145663</v>
      </c>
    </row>
    <row r="25" spans="1:16">
      <c r="A25" s="5">
        <v>45615</v>
      </c>
      <c r="B25">
        <v>57</v>
      </c>
      <c r="C25" t="s">
        <v>46</v>
      </c>
      <c r="D25">
        <v>2</v>
      </c>
      <c r="E25">
        <v>100</v>
      </c>
      <c r="F25" t="s">
        <v>1</v>
      </c>
      <c r="G25" s="6">
        <v>45664</v>
      </c>
      <c r="H25">
        <v>49</v>
      </c>
      <c r="I25">
        <f>ROUND(CompilDonnées[[#This Row],[CultureDuration_days]]/7,0)</f>
        <v>7</v>
      </c>
      <c r="J25">
        <v>3299</v>
      </c>
      <c r="K25" t="str">
        <f>_xlfn.CONCAT(WEEKNUM(CompilDonnées[[#This Row],[PlantationDate]]), " ", YEAR(CompilDonnées[[#This Row],[PlantationDate]]))</f>
        <v>47 2024</v>
      </c>
      <c r="L25" t="str">
        <f>CONCATENATE(MONTH(CompilDonnées[[#This Row],[PlantationDate]])," ", YEAR(CompilDonnées[[#This Row],[PlantationDate]]))</f>
        <v>11 2024</v>
      </c>
      <c r="M25" t="str">
        <f>CONCATENATE(MONTH(CompilDonnées[[#This Row],[HarvestingDate]])," ", YEAR(CompilDonnées[[#This Row],[HarvestingDate]]))</f>
        <v>1 2025</v>
      </c>
      <c r="N25">
        <f>_xlfn.NUMBERVALUE(CompilDonnées[[#This Row],[FarmID]]&amp;CompilDonnées[[#This Row],[ModuleNumber]]&amp;CompilDonnées[[#This Row],[PlantationDate]])</f>
        <v>57245615</v>
      </c>
      <c r="O25" t="str">
        <f>CompilDonnées[[#This Row],[FarmID]]&amp;CompilDonnées[[#This Row],[ModuleNumber]]</f>
        <v>572</v>
      </c>
      <c r="P25" t="str">
        <f>CompilDonnées[[#This Row],[Ref_Module]]&amp;CompilDonnées[[#This Row],[HarvestingDate]]</f>
        <v>57245664</v>
      </c>
    </row>
    <row r="26" spans="1:16">
      <c r="A26" s="5">
        <v>45615</v>
      </c>
      <c r="B26">
        <v>65</v>
      </c>
      <c r="C26" t="s">
        <v>36</v>
      </c>
      <c r="D26">
        <v>6</v>
      </c>
      <c r="E26">
        <v>100</v>
      </c>
      <c r="F26" t="s">
        <v>1</v>
      </c>
      <c r="G26" s="6">
        <v>45665</v>
      </c>
      <c r="H26">
        <v>50</v>
      </c>
      <c r="I26">
        <f>ROUND(CompilDonnées[[#This Row],[CultureDuration_days]]/7,0)</f>
        <v>7</v>
      </c>
      <c r="J26">
        <v>2829</v>
      </c>
      <c r="K26" t="str">
        <f>_xlfn.CONCAT(WEEKNUM(CompilDonnées[[#This Row],[PlantationDate]]), " ", YEAR(CompilDonnées[[#This Row],[PlantationDate]]))</f>
        <v>47 2024</v>
      </c>
      <c r="L26" t="str">
        <f>CONCATENATE(MONTH(CompilDonnées[[#This Row],[PlantationDate]])," ", YEAR(CompilDonnées[[#This Row],[PlantationDate]]))</f>
        <v>11 2024</v>
      </c>
      <c r="M26" t="str">
        <f>CONCATENATE(MONTH(CompilDonnées[[#This Row],[HarvestingDate]])," ", YEAR(CompilDonnées[[#This Row],[HarvestingDate]]))</f>
        <v>1 2025</v>
      </c>
      <c r="N26">
        <f>_xlfn.NUMBERVALUE(CompilDonnées[[#This Row],[FarmID]]&amp;CompilDonnées[[#This Row],[ModuleNumber]]&amp;CompilDonnées[[#This Row],[PlantationDate]])</f>
        <v>65645615</v>
      </c>
      <c r="O26" t="str">
        <f>CompilDonnées[[#This Row],[FarmID]]&amp;CompilDonnées[[#This Row],[ModuleNumber]]</f>
        <v>656</v>
      </c>
      <c r="P26" t="str">
        <f>CompilDonnées[[#This Row],[Ref_Module]]&amp;CompilDonnées[[#This Row],[HarvestingDate]]</f>
        <v>65645665</v>
      </c>
    </row>
    <row r="27" spans="1:16">
      <c r="A27" s="5">
        <v>45615</v>
      </c>
      <c r="B27">
        <v>56</v>
      </c>
      <c r="C27" t="s">
        <v>6</v>
      </c>
      <c r="D27">
        <v>6</v>
      </c>
      <c r="E27">
        <v>100</v>
      </c>
      <c r="F27" t="s">
        <v>1</v>
      </c>
      <c r="G27" s="6">
        <v>45664</v>
      </c>
      <c r="H27">
        <v>49</v>
      </c>
      <c r="I27">
        <f>ROUND(CompilDonnées[[#This Row],[CultureDuration_days]]/7,0)</f>
        <v>7</v>
      </c>
      <c r="J27">
        <v>3061</v>
      </c>
      <c r="K27" t="str">
        <f>_xlfn.CONCAT(WEEKNUM(CompilDonnées[[#This Row],[PlantationDate]]), " ", YEAR(CompilDonnées[[#This Row],[PlantationDate]]))</f>
        <v>47 2024</v>
      </c>
      <c r="L27" t="str">
        <f>CONCATENATE(MONTH(CompilDonnées[[#This Row],[PlantationDate]])," ", YEAR(CompilDonnées[[#This Row],[PlantationDate]]))</f>
        <v>11 2024</v>
      </c>
      <c r="M27" t="str">
        <f>CONCATENATE(MONTH(CompilDonnées[[#This Row],[HarvestingDate]])," ", YEAR(CompilDonnées[[#This Row],[HarvestingDate]]))</f>
        <v>1 2025</v>
      </c>
      <c r="N27">
        <f>_xlfn.NUMBERVALUE(CompilDonnées[[#This Row],[FarmID]]&amp;CompilDonnées[[#This Row],[ModuleNumber]]&amp;CompilDonnées[[#This Row],[PlantationDate]])</f>
        <v>56645615</v>
      </c>
      <c r="O27" t="str">
        <f>CompilDonnées[[#This Row],[FarmID]]&amp;CompilDonnées[[#This Row],[ModuleNumber]]</f>
        <v>566</v>
      </c>
      <c r="P27" t="str">
        <f>CompilDonnées[[#This Row],[Ref_Module]]&amp;CompilDonnées[[#This Row],[HarvestingDate]]</f>
        <v>56645664</v>
      </c>
    </row>
    <row r="28" spans="1:16">
      <c r="A28" s="5">
        <v>45615</v>
      </c>
      <c r="B28">
        <v>77</v>
      </c>
      <c r="C28" t="s">
        <v>75</v>
      </c>
      <c r="D28">
        <v>1</v>
      </c>
      <c r="E28">
        <v>100</v>
      </c>
      <c r="F28" t="s">
        <v>1</v>
      </c>
      <c r="G28" s="6">
        <v>45665</v>
      </c>
      <c r="H28">
        <v>50</v>
      </c>
      <c r="I28">
        <f>ROUND(CompilDonnées[[#This Row],[CultureDuration_days]]/7,0)</f>
        <v>7</v>
      </c>
      <c r="J28">
        <v>3546</v>
      </c>
      <c r="K28" t="str">
        <f>_xlfn.CONCAT(WEEKNUM(CompilDonnées[[#This Row],[PlantationDate]]), " ", YEAR(CompilDonnées[[#This Row],[PlantationDate]]))</f>
        <v>47 2024</v>
      </c>
      <c r="L28" t="str">
        <f>CONCATENATE(MONTH(CompilDonnées[[#This Row],[PlantationDate]])," ", YEAR(CompilDonnées[[#This Row],[PlantationDate]]))</f>
        <v>11 2024</v>
      </c>
      <c r="M28" t="str">
        <f>CONCATENATE(MONTH(CompilDonnées[[#This Row],[HarvestingDate]])," ", YEAR(CompilDonnées[[#This Row],[HarvestingDate]]))</f>
        <v>1 2025</v>
      </c>
      <c r="N28">
        <f>_xlfn.NUMBERVALUE(CompilDonnées[[#This Row],[FarmID]]&amp;CompilDonnées[[#This Row],[ModuleNumber]]&amp;CompilDonnées[[#This Row],[PlantationDate]])</f>
        <v>77145615</v>
      </c>
      <c r="O28" t="str">
        <f>CompilDonnées[[#This Row],[FarmID]]&amp;CompilDonnées[[#This Row],[ModuleNumber]]</f>
        <v>771</v>
      </c>
      <c r="P28" t="str">
        <f>CompilDonnées[[#This Row],[Ref_Module]]&amp;CompilDonnées[[#This Row],[HarvestingDate]]</f>
        <v>77145665</v>
      </c>
    </row>
    <row r="29" spans="1:16">
      <c r="A29" s="5">
        <v>45615</v>
      </c>
      <c r="B29">
        <v>31</v>
      </c>
      <c r="C29" t="s">
        <v>62</v>
      </c>
      <c r="D29">
        <v>6</v>
      </c>
      <c r="E29">
        <v>100</v>
      </c>
      <c r="F29" t="s">
        <v>1</v>
      </c>
      <c r="G29" s="6">
        <v>45663</v>
      </c>
      <c r="H29">
        <v>48</v>
      </c>
      <c r="I29">
        <f>ROUND(CompilDonnées[[#This Row],[CultureDuration_days]]/7,0)</f>
        <v>7</v>
      </c>
      <c r="J29">
        <v>3416</v>
      </c>
      <c r="K29" t="str">
        <f>_xlfn.CONCAT(WEEKNUM(CompilDonnées[[#This Row],[PlantationDate]]), " ", YEAR(CompilDonnées[[#This Row],[PlantationDate]]))</f>
        <v>47 2024</v>
      </c>
      <c r="L29" t="str">
        <f>CONCATENATE(MONTH(CompilDonnées[[#This Row],[PlantationDate]])," ", YEAR(CompilDonnées[[#This Row],[PlantationDate]]))</f>
        <v>11 2024</v>
      </c>
      <c r="M29" t="str">
        <f>CONCATENATE(MONTH(CompilDonnées[[#This Row],[HarvestingDate]])," ", YEAR(CompilDonnées[[#This Row],[HarvestingDate]]))</f>
        <v>1 2025</v>
      </c>
      <c r="N29">
        <f>_xlfn.NUMBERVALUE(CompilDonnées[[#This Row],[FarmID]]&amp;CompilDonnées[[#This Row],[ModuleNumber]]&amp;CompilDonnées[[#This Row],[PlantationDate]])</f>
        <v>31645615</v>
      </c>
      <c r="O29" t="str">
        <f>CompilDonnées[[#This Row],[FarmID]]&amp;CompilDonnées[[#This Row],[ModuleNumber]]</f>
        <v>316</v>
      </c>
      <c r="P29" t="str">
        <f>CompilDonnées[[#This Row],[Ref_Module]]&amp;CompilDonnées[[#This Row],[HarvestingDate]]</f>
        <v>31645663</v>
      </c>
    </row>
    <row r="30" spans="1:16">
      <c r="A30" s="5">
        <v>45615</v>
      </c>
      <c r="B30">
        <v>37</v>
      </c>
      <c r="C30" t="s">
        <v>26</v>
      </c>
      <c r="D30">
        <v>6</v>
      </c>
      <c r="E30">
        <v>100</v>
      </c>
      <c r="F30" t="s">
        <v>1</v>
      </c>
      <c r="G30" s="6">
        <v>45663</v>
      </c>
      <c r="H30">
        <v>48</v>
      </c>
      <c r="I30">
        <f>ROUND(CompilDonnées[[#This Row],[CultureDuration_days]]/7,0)</f>
        <v>7</v>
      </c>
      <c r="J30">
        <v>3373</v>
      </c>
      <c r="K30" t="str">
        <f>_xlfn.CONCAT(WEEKNUM(CompilDonnées[[#This Row],[PlantationDate]]), " ", YEAR(CompilDonnées[[#This Row],[PlantationDate]]))</f>
        <v>47 2024</v>
      </c>
      <c r="L30" t="str">
        <f>CONCATENATE(MONTH(CompilDonnées[[#This Row],[PlantationDate]])," ", YEAR(CompilDonnées[[#This Row],[PlantationDate]]))</f>
        <v>11 2024</v>
      </c>
      <c r="M30" t="str">
        <f>CONCATENATE(MONTH(CompilDonnées[[#This Row],[HarvestingDate]])," ", YEAR(CompilDonnées[[#This Row],[HarvestingDate]]))</f>
        <v>1 2025</v>
      </c>
      <c r="N30">
        <f>_xlfn.NUMBERVALUE(CompilDonnées[[#This Row],[FarmID]]&amp;CompilDonnées[[#This Row],[ModuleNumber]]&amp;CompilDonnées[[#This Row],[PlantationDate]])</f>
        <v>37645615</v>
      </c>
      <c r="O30" t="str">
        <f>CompilDonnées[[#This Row],[FarmID]]&amp;CompilDonnées[[#This Row],[ModuleNumber]]</f>
        <v>376</v>
      </c>
      <c r="P30" t="str">
        <f>CompilDonnées[[#This Row],[Ref_Module]]&amp;CompilDonnées[[#This Row],[HarvestingDate]]</f>
        <v>37645663</v>
      </c>
    </row>
    <row r="31" spans="1:16">
      <c r="A31" s="5">
        <v>45615</v>
      </c>
      <c r="B31">
        <v>36</v>
      </c>
      <c r="C31" t="s">
        <v>63</v>
      </c>
      <c r="D31">
        <v>2</v>
      </c>
      <c r="E31">
        <v>100</v>
      </c>
      <c r="F31" t="s">
        <v>1</v>
      </c>
      <c r="G31" s="6">
        <v>45663</v>
      </c>
      <c r="H31">
        <v>48</v>
      </c>
      <c r="I31">
        <f>ROUND(CompilDonnées[[#This Row],[CultureDuration_days]]/7,0)</f>
        <v>7</v>
      </c>
      <c r="J31">
        <v>2973</v>
      </c>
      <c r="K31" t="str">
        <f>_xlfn.CONCAT(WEEKNUM(CompilDonnées[[#This Row],[PlantationDate]]), " ", YEAR(CompilDonnées[[#This Row],[PlantationDate]]))</f>
        <v>47 2024</v>
      </c>
      <c r="L31" t="str">
        <f>CONCATENATE(MONTH(CompilDonnées[[#This Row],[PlantationDate]])," ", YEAR(CompilDonnées[[#This Row],[PlantationDate]]))</f>
        <v>11 2024</v>
      </c>
      <c r="M31" t="str">
        <f>CONCATENATE(MONTH(CompilDonnées[[#This Row],[HarvestingDate]])," ", YEAR(CompilDonnées[[#This Row],[HarvestingDate]]))</f>
        <v>1 2025</v>
      </c>
      <c r="N31">
        <f>_xlfn.NUMBERVALUE(CompilDonnées[[#This Row],[FarmID]]&amp;CompilDonnées[[#This Row],[ModuleNumber]]&amp;CompilDonnées[[#This Row],[PlantationDate]])</f>
        <v>36245615</v>
      </c>
      <c r="O31" t="str">
        <f>CompilDonnées[[#This Row],[FarmID]]&amp;CompilDonnées[[#This Row],[ModuleNumber]]</f>
        <v>362</v>
      </c>
      <c r="P31" t="str">
        <f>CompilDonnées[[#This Row],[Ref_Module]]&amp;CompilDonnées[[#This Row],[HarvestingDate]]</f>
        <v>36245663</v>
      </c>
    </row>
    <row r="32" spans="1:16">
      <c r="A32" s="5">
        <v>45615</v>
      </c>
      <c r="B32">
        <v>35</v>
      </c>
      <c r="C32" t="s">
        <v>69</v>
      </c>
      <c r="D32">
        <v>1</v>
      </c>
      <c r="E32">
        <v>100</v>
      </c>
      <c r="F32" t="s">
        <v>1</v>
      </c>
      <c r="G32" s="6">
        <v>45663</v>
      </c>
      <c r="H32">
        <v>48</v>
      </c>
      <c r="I32">
        <f>ROUND(CompilDonnées[[#This Row],[CultureDuration_days]]/7,0)</f>
        <v>7</v>
      </c>
      <c r="J32">
        <v>2065</v>
      </c>
      <c r="K32" t="str">
        <f>_xlfn.CONCAT(WEEKNUM(CompilDonnées[[#This Row],[PlantationDate]]), " ", YEAR(CompilDonnées[[#This Row],[PlantationDate]]))</f>
        <v>47 2024</v>
      </c>
      <c r="L32" t="str">
        <f>CONCATENATE(MONTH(CompilDonnées[[#This Row],[PlantationDate]])," ", YEAR(CompilDonnées[[#This Row],[PlantationDate]]))</f>
        <v>11 2024</v>
      </c>
      <c r="M32" t="str">
        <f>CONCATENATE(MONTH(CompilDonnées[[#This Row],[HarvestingDate]])," ", YEAR(CompilDonnées[[#This Row],[HarvestingDate]]))</f>
        <v>1 2025</v>
      </c>
      <c r="N32">
        <f>_xlfn.NUMBERVALUE(CompilDonnées[[#This Row],[FarmID]]&amp;CompilDonnées[[#This Row],[ModuleNumber]]&amp;CompilDonnées[[#This Row],[PlantationDate]])</f>
        <v>35145615</v>
      </c>
      <c r="O32" t="str">
        <f>CompilDonnées[[#This Row],[FarmID]]&amp;CompilDonnées[[#This Row],[ModuleNumber]]</f>
        <v>351</v>
      </c>
      <c r="P32" t="str">
        <f>CompilDonnées[[#This Row],[Ref_Module]]&amp;CompilDonnées[[#This Row],[HarvestingDate]]</f>
        <v>35145663</v>
      </c>
    </row>
    <row r="33" spans="1:16">
      <c r="A33" s="5">
        <v>45615</v>
      </c>
      <c r="B33">
        <v>43</v>
      </c>
      <c r="C33" t="s">
        <v>45</v>
      </c>
      <c r="D33">
        <v>3</v>
      </c>
      <c r="E33">
        <v>100</v>
      </c>
      <c r="F33" t="s">
        <v>1</v>
      </c>
      <c r="G33" s="6">
        <v>45664</v>
      </c>
      <c r="H33">
        <v>49</v>
      </c>
      <c r="I33">
        <f>ROUND(CompilDonnées[[#This Row],[CultureDuration_days]]/7,0)</f>
        <v>7</v>
      </c>
      <c r="J33">
        <v>2182</v>
      </c>
      <c r="K33" t="str">
        <f>_xlfn.CONCAT(WEEKNUM(CompilDonnées[[#This Row],[PlantationDate]]), " ", YEAR(CompilDonnées[[#This Row],[PlantationDate]]))</f>
        <v>47 2024</v>
      </c>
      <c r="L33" t="str">
        <f>CONCATENATE(MONTH(CompilDonnées[[#This Row],[PlantationDate]])," ", YEAR(CompilDonnées[[#This Row],[PlantationDate]]))</f>
        <v>11 2024</v>
      </c>
      <c r="M33" t="str">
        <f>CONCATENATE(MONTH(CompilDonnées[[#This Row],[HarvestingDate]])," ", YEAR(CompilDonnées[[#This Row],[HarvestingDate]]))</f>
        <v>1 2025</v>
      </c>
      <c r="N33">
        <f>_xlfn.NUMBERVALUE(CompilDonnées[[#This Row],[FarmID]]&amp;CompilDonnées[[#This Row],[ModuleNumber]]&amp;CompilDonnées[[#This Row],[PlantationDate]])</f>
        <v>43345615</v>
      </c>
      <c r="O33" t="str">
        <f>CompilDonnées[[#This Row],[FarmID]]&amp;CompilDonnées[[#This Row],[ModuleNumber]]</f>
        <v>433</v>
      </c>
      <c r="P33" t="str">
        <f>CompilDonnées[[#This Row],[Ref_Module]]&amp;CompilDonnées[[#This Row],[HarvestingDate]]</f>
        <v>43345664</v>
      </c>
    </row>
    <row r="34" spans="1:16">
      <c r="A34" s="5">
        <v>45615</v>
      </c>
      <c r="B34">
        <v>42</v>
      </c>
      <c r="C34" t="s">
        <v>89</v>
      </c>
      <c r="D34">
        <v>6</v>
      </c>
      <c r="E34">
        <v>100</v>
      </c>
      <c r="F34" t="s">
        <v>1</v>
      </c>
      <c r="G34" s="6">
        <v>45664</v>
      </c>
      <c r="H34">
        <v>49</v>
      </c>
      <c r="I34">
        <f>ROUND(CompilDonnées[[#This Row],[CultureDuration_days]]/7,0)</f>
        <v>7</v>
      </c>
      <c r="J34">
        <v>509</v>
      </c>
      <c r="K34" t="str">
        <f>_xlfn.CONCAT(WEEKNUM(CompilDonnées[[#This Row],[PlantationDate]]), " ", YEAR(CompilDonnées[[#This Row],[PlantationDate]]))</f>
        <v>47 2024</v>
      </c>
      <c r="L34" t="str">
        <f>CONCATENATE(MONTH(CompilDonnées[[#This Row],[PlantationDate]])," ", YEAR(CompilDonnées[[#This Row],[PlantationDate]]))</f>
        <v>11 2024</v>
      </c>
      <c r="M34" t="str">
        <f>CONCATENATE(MONTH(CompilDonnées[[#This Row],[HarvestingDate]])," ", YEAR(CompilDonnées[[#This Row],[HarvestingDate]]))</f>
        <v>1 2025</v>
      </c>
      <c r="N34">
        <f>_xlfn.NUMBERVALUE(CompilDonnées[[#This Row],[FarmID]]&amp;CompilDonnées[[#This Row],[ModuleNumber]]&amp;CompilDonnées[[#This Row],[PlantationDate]])</f>
        <v>42645615</v>
      </c>
      <c r="O34" t="str">
        <f>CompilDonnées[[#This Row],[FarmID]]&amp;CompilDonnées[[#This Row],[ModuleNumber]]</f>
        <v>426</v>
      </c>
      <c r="P34" t="str">
        <f>CompilDonnées[[#This Row],[Ref_Module]]&amp;CompilDonnées[[#This Row],[HarvestingDate]]</f>
        <v>42645664</v>
      </c>
    </row>
    <row r="35" spans="1:16">
      <c r="A35" s="5">
        <v>45615</v>
      </c>
      <c r="B35">
        <v>123</v>
      </c>
      <c r="C35" t="s">
        <v>13</v>
      </c>
      <c r="D35">
        <v>3</v>
      </c>
      <c r="E35">
        <v>100</v>
      </c>
      <c r="F35" t="s">
        <v>1</v>
      </c>
      <c r="G35" s="6">
        <v>45665</v>
      </c>
      <c r="H35">
        <v>50</v>
      </c>
      <c r="I35">
        <f>ROUND(CompilDonnées[[#This Row],[CultureDuration_days]]/7,0)</f>
        <v>7</v>
      </c>
      <c r="J35">
        <v>3127</v>
      </c>
      <c r="K35" t="str">
        <f>_xlfn.CONCAT(WEEKNUM(CompilDonnées[[#This Row],[PlantationDate]]), " ", YEAR(CompilDonnées[[#This Row],[PlantationDate]]))</f>
        <v>47 2024</v>
      </c>
      <c r="L35" t="str">
        <f>CONCATENATE(MONTH(CompilDonnées[[#This Row],[PlantationDate]])," ", YEAR(CompilDonnées[[#This Row],[PlantationDate]]))</f>
        <v>11 2024</v>
      </c>
      <c r="M35" t="str">
        <f>CONCATENATE(MONTH(CompilDonnées[[#This Row],[HarvestingDate]])," ", YEAR(CompilDonnées[[#This Row],[HarvestingDate]]))</f>
        <v>1 2025</v>
      </c>
      <c r="N35">
        <f>_xlfn.NUMBERVALUE(CompilDonnées[[#This Row],[FarmID]]&amp;CompilDonnées[[#This Row],[ModuleNumber]]&amp;CompilDonnées[[#This Row],[PlantationDate]])</f>
        <v>123345615</v>
      </c>
      <c r="O35" t="str">
        <f>CompilDonnées[[#This Row],[FarmID]]&amp;CompilDonnées[[#This Row],[ModuleNumber]]</f>
        <v>1233</v>
      </c>
      <c r="P35" t="str">
        <f>CompilDonnées[[#This Row],[Ref_Module]]&amp;CompilDonnées[[#This Row],[HarvestingDate]]</f>
        <v>123345665</v>
      </c>
    </row>
    <row r="36" spans="1:16">
      <c r="A36" s="5">
        <v>45615</v>
      </c>
      <c r="B36">
        <v>123</v>
      </c>
      <c r="C36" t="s">
        <v>13</v>
      </c>
      <c r="D36">
        <v>2</v>
      </c>
      <c r="E36">
        <v>100</v>
      </c>
      <c r="F36" t="s">
        <v>1</v>
      </c>
      <c r="G36" s="6">
        <v>45665</v>
      </c>
      <c r="H36">
        <v>50</v>
      </c>
      <c r="I36">
        <f>ROUND(CompilDonnées[[#This Row],[CultureDuration_days]]/7,0)</f>
        <v>7</v>
      </c>
      <c r="J36">
        <v>2901</v>
      </c>
      <c r="K36" t="str">
        <f>_xlfn.CONCAT(WEEKNUM(CompilDonnées[[#This Row],[PlantationDate]]), " ", YEAR(CompilDonnées[[#This Row],[PlantationDate]]))</f>
        <v>47 2024</v>
      </c>
      <c r="L36" t="str">
        <f>CONCATENATE(MONTH(CompilDonnées[[#This Row],[PlantationDate]])," ", YEAR(CompilDonnées[[#This Row],[PlantationDate]]))</f>
        <v>11 2024</v>
      </c>
      <c r="M36" t="str">
        <f>CONCATENATE(MONTH(CompilDonnées[[#This Row],[HarvestingDate]])," ", YEAR(CompilDonnées[[#This Row],[HarvestingDate]]))</f>
        <v>1 2025</v>
      </c>
      <c r="N36">
        <f>_xlfn.NUMBERVALUE(CompilDonnées[[#This Row],[FarmID]]&amp;CompilDonnées[[#This Row],[ModuleNumber]]&amp;CompilDonnées[[#This Row],[PlantationDate]])</f>
        <v>123245615</v>
      </c>
      <c r="O36" t="str">
        <f>CompilDonnées[[#This Row],[FarmID]]&amp;CompilDonnées[[#This Row],[ModuleNumber]]</f>
        <v>1232</v>
      </c>
      <c r="P36" t="str">
        <f>CompilDonnées[[#This Row],[Ref_Module]]&amp;CompilDonnées[[#This Row],[HarvestingDate]]</f>
        <v>123245665</v>
      </c>
    </row>
    <row r="37" spans="1:16">
      <c r="A37" s="5">
        <v>45616</v>
      </c>
      <c r="B37">
        <v>107</v>
      </c>
      <c r="C37" t="s">
        <v>23</v>
      </c>
      <c r="D37">
        <v>1</v>
      </c>
      <c r="E37">
        <v>100</v>
      </c>
      <c r="F37" t="s">
        <v>1</v>
      </c>
      <c r="G37" s="6">
        <v>45678</v>
      </c>
      <c r="H37">
        <v>62</v>
      </c>
      <c r="I37">
        <f>ROUND(CompilDonnées[[#This Row],[CultureDuration_days]]/7,0)</f>
        <v>9</v>
      </c>
      <c r="J37">
        <v>1590</v>
      </c>
      <c r="K37" t="str">
        <f>_xlfn.CONCAT(WEEKNUM(CompilDonnées[[#This Row],[PlantationDate]]), " ", YEAR(CompilDonnées[[#This Row],[PlantationDate]]))</f>
        <v>47 2024</v>
      </c>
      <c r="L37" t="str">
        <f>CONCATENATE(MONTH(CompilDonnées[[#This Row],[PlantationDate]])," ", YEAR(CompilDonnées[[#This Row],[PlantationDate]]))</f>
        <v>11 2024</v>
      </c>
      <c r="M37" t="str">
        <f>CONCATENATE(MONTH(CompilDonnées[[#This Row],[HarvestingDate]])," ", YEAR(CompilDonnées[[#This Row],[HarvestingDate]]))</f>
        <v>1 2025</v>
      </c>
      <c r="N37">
        <f>_xlfn.NUMBERVALUE(CompilDonnées[[#This Row],[FarmID]]&amp;CompilDonnées[[#This Row],[ModuleNumber]]&amp;CompilDonnées[[#This Row],[PlantationDate]])</f>
        <v>107145616</v>
      </c>
      <c r="O37" t="str">
        <f>CompilDonnées[[#This Row],[FarmID]]&amp;CompilDonnées[[#This Row],[ModuleNumber]]</f>
        <v>1071</v>
      </c>
      <c r="P37" t="str">
        <f>CompilDonnées[[#This Row],[Ref_Module]]&amp;CompilDonnées[[#This Row],[HarvestingDate]]</f>
        <v>107145678</v>
      </c>
    </row>
    <row r="38" spans="1:16">
      <c r="A38" s="5">
        <v>45616</v>
      </c>
      <c r="B38">
        <v>93</v>
      </c>
      <c r="C38" t="s">
        <v>10</v>
      </c>
      <c r="D38">
        <v>4</v>
      </c>
      <c r="E38">
        <v>100</v>
      </c>
      <c r="F38" t="s">
        <v>1</v>
      </c>
      <c r="G38" s="6">
        <v>45665</v>
      </c>
      <c r="H38">
        <v>49</v>
      </c>
      <c r="I38">
        <f>ROUND(CompilDonnées[[#This Row],[CultureDuration_days]]/7,0)</f>
        <v>7</v>
      </c>
      <c r="J38">
        <v>3526</v>
      </c>
      <c r="K38" t="str">
        <f>_xlfn.CONCAT(WEEKNUM(CompilDonnées[[#This Row],[PlantationDate]]), " ", YEAR(CompilDonnées[[#This Row],[PlantationDate]]))</f>
        <v>47 2024</v>
      </c>
      <c r="L38" t="str">
        <f>CONCATENATE(MONTH(CompilDonnées[[#This Row],[PlantationDate]])," ", YEAR(CompilDonnées[[#This Row],[PlantationDate]]))</f>
        <v>11 2024</v>
      </c>
      <c r="M38" t="str">
        <f>CONCATENATE(MONTH(CompilDonnées[[#This Row],[HarvestingDate]])," ", YEAR(CompilDonnées[[#This Row],[HarvestingDate]]))</f>
        <v>1 2025</v>
      </c>
      <c r="N38">
        <f>_xlfn.NUMBERVALUE(CompilDonnées[[#This Row],[FarmID]]&amp;CompilDonnées[[#This Row],[ModuleNumber]]&amp;CompilDonnées[[#This Row],[PlantationDate]])</f>
        <v>93445616</v>
      </c>
      <c r="O38" t="str">
        <f>CompilDonnées[[#This Row],[FarmID]]&amp;CompilDonnées[[#This Row],[ModuleNumber]]</f>
        <v>934</v>
      </c>
      <c r="P38" t="str">
        <f>CompilDonnées[[#This Row],[Ref_Module]]&amp;CompilDonnées[[#This Row],[HarvestingDate]]</f>
        <v>93445665</v>
      </c>
    </row>
    <row r="39" spans="1:16">
      <c r="A39" s="5">
        <v>45616</v>
      </c>
      <c r="B39">
        <v>125</v>
      </c>
      <c r="C39" t="s">
        <v>101</v>
      </c>
      <c r="D39">
        <v>2</v>
      </c>
      <c r="E39">
        <v>100</v>
      </c>
      <c r="F39" t="s">
        <v>1</v>
      </c>
      <c r="G39" s="6">
        <v>45666</v>
      </c>
      <c r="H39">
        <v>50</v>
      </c>
      <c r="I39">
        <f>ROUND(CompilDonnées[[#This Row],[CultureDuration_days]]/7,0)</f>
        <v>7</v>
      </c>
      <c r="J39">
        <v>2958</v>
      </c>
      <c r="K39" t="str">
        <f>_xlfn.CONCAT(WEEKNUM(CompilDonnées[[#This Row],[PlantationDate]]), " ", YEAR(CompilDonnées[[#This Row],[PlantationDate]]))</f>
        <v>47 2024</v>
      </c>
      <c r="L39" t="str">
        <f>CONCATENATE(MONTH(CompilDonnées[[#This Row],[PlantationDate]])," ", YEAR(CompilDonnées[[#This Row],[PlantationDate]]))</f>
        <v>11 2024</v>
      </c>
      <c r="M39" t="str">
        <f>CONCATENATE(MONTH(CompilDonnées[[#This Row],[HarvestingDate]])," ", YEAR(CompilDonnées[[#This Row],[HarvestingDate]]))</f>
        <v>1 2025</v>
      </c>
      <c r="N39">
        <f>_xlfn.NUMBERVALUE(CompilDonnées[[#This Row],[FarmID]]&amp;CompilDonnées[[#This Row],[ModuleNumber]]&amp;CompilDonnées[[#This Row],[PlantationDate]])</f>
        <v>125245616</v>
      </c>
      <c r="O39" t="str">
        <f>CompilDonnées[[#This Row],[FarmID]]&amp;CompilDonnées[[#This Row],[ModuleNumber]]</f>
        <v>1252</v>
      </c>
      <c r="P39" t="str">
        <f>CompilDonnées[[#This Row],[Ref_Module]]&amp;CompilDonnées[[#This Row],[HarvestingDate]]</f>
        <v>125245666</v>
      </c>
    </row>
    <row r="40" spans="1:16">
      <c r="A40" s="5">
        <v>45616</v>
      </c>
      <c r="B40">
        <v>57</v>
      </c>
      <c r="C40" t="s">
        <v>46</v>
      </c>
      <c r="D40">
        <v>1</v>
      </c>
      <c r="E40">
        <v>100</v>
      </c>
      <c r="F40" t="s">
        <v>1</v>
      </c>
      <c r="G40" s="6">
        <v>45664</v>
      </c>
      <c r="H40">
        <v>48</v>
      </c>
      <c r="I40">
        <f>ROUND(CompilDonnées[[#This Row],[CultureDuration_days]]/7,0)</f>
        <v>7</v>
      </c>
      <c r="J40">
        <v>3412</v>
      </c>
      <c r="K40" t="str">
        <f>_xlfn.CONCAT(WEEKNUM(CompilDonnées[[#This Row],[PlantationDate]]), " ", YEAR(CompilDonnées[[#This Row],[PlantationDate]]))</f>
        <v>47 2024</v>
      </c>
      <c r="L40" t="str">
        <f>CONCATENATE(MONTH(CompilDonnées[[#This Row],[PlantationDate]])," ", YEAR(CompilDonnées[[#This Row],[PlantationDate]]))</f>
        <v>11 2024</v>
      </c>
      <c r="M40" t="str">
        <f>CONCATENATE(MONTH(CompilDonnées[[#This Row],[HarvestingDate]])," ", YEAR(CompilDonnées[[#This Row],[HarvestingDate]]))</f>
        <v>1 2025</v>
      </c>
      <c r="N40">
        <f>_xlfn.NUMBERVALUE(CompilDonnées[[#This Row],[FarmID]]&amp;CompilDonnées[[#This Row],[ModuleNumber]]&amp;CompilDonnées[[#This Row],[PlantationDate]])</f>
        <v>57145616</v>
      </c>
      <c r="O40" t="str">
        <f>CompilDonnées[[#This Row],[FarmID]]&amp;CompilDonnées[[#This Row],[ModuleNumber]]</f>
        <v>571</v>
      </c>
      <c r="P40" t="str">
        <f>CompilDonnées[[#This Row],[Ref_Module]]&amp;CompilDonnées[[#This Row],[HarvestingDate]]</f>
        <v>57145664</v>
      </c>
    </row>
    <row r="41" spans="1:16">
      <c r="A41" s="5">
        <v>45616</v>
      </c>
      <c r="B41">
        <v>50</v>
      </c>
      <c r="C41" t="s">
        <v>55</v>
      </c>
      <c r="D41">
        <v>5</v>
      </c>
      <c r="E41">
        <v>100</v>
      </c>
      <c r="F41" t="s">
        <v>1</v>
      </c>
      <c r="G41" s="6">
        <v>45664</v>
      </c>
      <c r="H41">
        <v>48</v>
      </c>
      <c r="I41">
        <f>ROUND(CompilDonnées[[#This Row],[CultureDuration_days]]/7,0)</f>
        <v>7</v>
      </c>
      <c r="J41">
        <v>2854</v>
      </c>
      <c r="K41" t="str">
        <f>_xlfn.CONCAT(WEEKNUM(CompilDonnées[[#This Row],[PlantationDate]]), " ", YEAR(CompilDonnées[[#This Row],[PlantationDate]]))</f>
        <v>47 2024</v>
      </c>
      <c r="L41" t="str">
        <f>CONCATENATE(MONTH(CompilDonnées[[#This Row],[PlantationDate]])," ", YEAR(CompilDonnées[[#This Row],[PlantationDate]]))</f>
        <v>11 2024</v>
      </c>
      <c r="M41" t="str">
        <f>CONCATENATE(MONTH(CompilDonnées[[#This Row],[HarvestingDate]])," ", YEAR(CompilDonnées[[#This Row],[HarvestingDate]]))</f>
        <v>1 2025</v>
      </c>
      <c r="N41">
        <f>_xlfn.NUMBERVALUE(CompilDonnées[[#This Row],[FarmID]]&amp;CompilDonnées[[#This Row],[ModuleNumber]]&amp;CompilDonnées[[#This Row],[PlantationDate]])</f>
        <v>50545616</v>
      </c>
      <c r="O41" t="str">
        <f>CompilDonnées[[#This Row],[FarmID]]&amp;CompilDonnées[[#This Row],[ModuleNumber]]</f>
        <v>505</v>
      </c>
      <c r="P41" t="str">
        <f>CompilDonnées[[#This Row],[Ref_Module]]&amp;CompilDonnées[[#This Row],[HarvestingDate]]</f>
        <v>50545664</v>
      </c>
    </row>
    <row r="42" spans="1:16">
      <c r="A42" s="5">
        <v>45616</v>
      </c>
      <c r="B42">
        <v>50</v>
      </c>
      <c r="C42" t="s">
        <v>55</v>
      </c>
      <c r="D42">
        <v>6</v>
      </c>
      <c r="E42">
        <v>100</v>
      </c>
      <c r="F42" t="s">
        <v>1</v>
      </c>
      <c r="G42" s="6">
        <v>45667</v>
      </c>
      <c r="H42">
        <v>51</v>
      </c>
      <c r="I42">
        <f>ROUND(CompilDonnées[[#This Row],[CultureDuration_days]]/7,0)</f>
        <v>7</v>
      </c>
      <c r="J42">
        <v>4158</v>
      </c>
      <c r="K42" t="str">
        <f>_xlfn.CONCAT(WEEKNUM(CompilDonnées[[#This Row],[PlantationDate]]), " ", YEAR(CompilDonnées[[#This Row],[PlantationDate]]))</f>
        <v>47 2024</v>
      </c>
      <c r="L42" t="str">
        <f>CONCATENATE(MONTH(CompilDonnées[[#This Row],[PlantationDate]])," ", YEAR(CompilDonnées[[#This Row],[PlantationDate]]))</f>
        <v>11 2024</v>
      </c>
      <c r="M42" t="str">
        <f>CONCATENATE(MONTH(CompilDonnées[[#This Row],[HarvestingDate]])," ", YEAR(CompilDonnées[[#This Row],[HarvestingDate]]))</f>
        <v>1 2025</v>
      </c>
      <c r="N42">
        <f>_xlfn.NUMBERVALUE(CompilDonnées[[#This Row],[FarmID]]&amp;CompilDonnées[[#This Row],[ModuleNumber]]&amp;CompilDonnées[[#This Row],[PlantationDate]])</f>
        <v>50645616</v>
      </c>
      <c r="O42" t="str">
        <f>CompilDonnées[[#This Row],[FarmID]]&amp;CompilDonnées[[#This Row],[ModuleNumber]]</f>
        <v>506</v>
      </c>
      <c r="P42" t="str">
        <f>CompilDonnées[[#This Row],[Ref_Module]]&amp;CompilDonnées[[#This Row],[HarvestingDate]]</f>
        <v>50645667</v>
      </c>
    </row>
    <row r="43" spans="1:16">
      <c r="A43" s="5">
        <v>45616</v>
      </c>
      <c r="B43">
        <v>51</v>
      </c>
      <c r="C43" t="s">
        <v>27</v>
      </c>
      <c r="D43">
        <v>4</v>
      </c>
      <c r="E43">
        <v>100</v>
      </c>
      <c r="F43" t="s">
        <v>1</v>
      </c>
      <c r="G43" s="6">
        <v>45664</v>
      </c>
      <c r="H43">
        <v>48</v>
      </c>
      <c r="I43">
        <f>ROUND(CompilDonnées[[#This Row],[CultureDuration_days]]/7,0)</f>
        <v>7</v>
      </c>
      <c r="J43">
        <v>3157</v>
      </c>
      <c r="K43" t="str">
        <f>_xlfn.CONCAT(WEEKNUM(CompilDonnées[[#This Row],[PlantationDate]]), " ", YEAR(CompilDonnées[[#This Row],[PlantationDate]]))</f>
        <v>47 2024</v>
      </c>
      <c r="L43" t="str">
        <f>CONCATENATE(MONTH(CompilDonnées[[#This Row],[PlantationDate]])," ", YEAR(CompilDonnées[[#This Row],[PlantationDate]]))</f>
        <v>11 2024</v>
      </c>
      <c r="M43" t="str">
        <f>CONCATENATE(MONTH(CompilDonnées[[#This Row],[HarvestingDate]])," ", YEAR(CompilDonnées[[#This Row],[HarvestingDate]]))</f>
        <v>1 2025</v>
      </c>
      <c r="N43">
        <f>_xlfn.NUMBERVALUE(CompilDonnées[[#This Row],[FarmID]]&amp;CompilDonnées[[#This Row],[ModuleNumber]]&amp;CompilDonnées[[#This Row],[PlantationDate]])</f>
        <v>51445616</v>
      </c>
      <c r="O43" t="str">
        <f>CompilDonnées[[#This Row],[FarmID]]&amp;CompilDonnées[[#This Row],[ModuleNumber]]</f>
        <v>514</v>
      </c>
      <c r="P43" t="str">
        <f>CompilDonnées[[#This Row],[Ref_Module]]&amp;CompilDonnées[[#This Row],[HarvestingDate]]</f>
        <v>51445664</v>
      </c>
    </row>
    <row r="44" spans="1:16">
      <c r="A44" s="5">
        <v>45616</v>
      </c>
      <c r="B44">
        <v>56</v>
      </c>
      <c r="C44" t="s">
        <v>6</v>
      </c>
      <c r="D44">
        <v>5</v>
      </c>
      <c r="E44">
        <v>100</v>
      </c>
      <c r="F44" t="s">
        <v>1</v>
      </c>
      <c r="G44" s="6">
        <v>45664</v>
      </c>
      <c r="H44">
        <v>48</v>
      </c>
      <c r="I44">
        <f>ROUND(CompilDonnées[[#This Row],[CultureDuration_days]]/7,0)</f>
        <v>7</v>
      </c>
      <c r="J44">
        <v>2447</v>
      </c>
      <c r="K44" t="str">
        <f>_xlfn.CONCAT(WEEKNUM(CompilDonnées[[#This Row],[PlantationDate]]), " ", YEAR(CompilDonnées[[#This Row],[PlantationDate]]))</f>
        <v>47 2024</v>
      </c>
      <c r="L44" t="str">
        <f>CONCATENATE(MONTH(CompilDonnées[[#This Row],[PlantationDate]])," ", YEAR(CompilDonnées[[#This Row],[PlantationDate]]))</f>
        <v>11 2024</v>
      </c>
      <c r="M44" t="str">
        <f>CONCATENATE(MONTH(CompilDonnées[[#This Row],[HarvestingDate]])," ", YEAR(CompilDonnées[[#This Row],[HarvestingDate]]))</f>
        <v>1 2025</v>
      </c>
      <c r="N44">
        <f>_xlfn.NUMBERVALUE(CompilDonnées[[#This Row],[FarmID]]&amp;CompilDonnées[[#This Row],[ModuleNumber]]&amp;CompilDonnées[[#This Row],[PlantationDate]])</f>
        <v>56545616</v>
      </c>
      <c r="O44" t="str">
        <f>CompilDonnées[[#This Row],[FarmID]]&amp;CompilDonnées[[#This Row],[ModuleNumber]]</f>
        <v>565</v>
      </c>
      <c r="P44" t="str">
        <f>CompilDonnées[[#This Row],[Ref_Module]]&amp;CompilDonnées[[#This Row],[HarvestingDate]]</f>
        <v>56545664</v>
      </c>
    </row>
    <row r="45" spans="1:16">
      <c r="A45" s="5">
        <v>45616</v>
      </c>
      <c r="B45">
        <v>65</v>
      </c>
      <c r="C45" t="s">
        <v>36</v>
      </c>
      <c r="D45">
        <v>5</v>
      </c>
      <c r="E45">
        <v>100</v>
      </c>
      <c r="F45" t="s">
        <v>1</v>
      </c>
      <c r="G45" s="6">
        <v>45665</v>
      </c>
      <c r="H45">
        <v>49</v>
      </c>
      <c r="I45">
        <f>ROUND(CompilDonnées[[#This Row],[CultureDuration_days]]/7,0)</f>
        <v>7</v>
      </c>
      <c r="J45">
        <v>3203</v>
      </c>
      <c r="K45" t="str">
        <f>_xlfn.CONCAT(WEEKNUM(CompilDonnées[[#This Row],[PlantationDate]]), " ", YEAR(CompilDonnées[[#This Row],[PlantationDate]]))</f>
        <v>47 2024</v>
      </c>
      <c r="L45" t="str">
        <f>CONCATENATE(MONTH(CompilDonnées[[#This Row],[PlantationDate]])," ", YEAR(CompilDonnées[[#This Row],[PlantationDate]]))</f>
        <v>11 2024</v>
      </c>
      <c r="M45" t="str">
        <f>CONCATENATE(MONTH(CompilDonnées[[#This Row],[HarvestingDate]])," ", YEAR(CompilDonnées[[#This Row],[HarvestingDate]]))</f>
        <v>1 2025</v>
      </c>
      <c r="N45">
        <f>_xlfn.NUMBERVALUE(CompilDonnées[[#This Row],[FarmID]]&amp;CompilDonnées[[#This Row],[ModuleNumber]]&amp;CompilDonnées[[#This Row],[PlantationDate]])</f>
        <v>65545616</v>
      </c>
      <c r="O45" t="str">
        <f>CompilDonnées[[#This Row],[FarmID]]&amp;CompilDonnées[[#This Row],[ModuleNumber]]</f>
        <v>655</v>
      </c>
      <c r="P45" t="str">
        <f>CompilDonnées[[#This Row],[Ref_Module]]&amp;CompilDonnées[[#This Row],[HarvestingDate]]</f>
        <v>65545665</v>
      </c>
    </row>
    <row r="46" spans="1:16">
      <c r="A46" s="5">
        <v>45616</v>
      </c>
      <c r="B46">
        <v>63</v>
      </c>
      <c r="C46" t="s">
        <v>98</v>
      </c>
      <c r="D46">
        <v>1</v>
      </c>
      <c r="E46">
        <v>100</v>
      </c>
      <c r="F46" t="s">
        <v>1</v>
      </c>
      <c r="G46" s="6">
        <v>45664</v>
      </c>
      <c r="H46">
        <v>48</v>
      </c>
      <c r="I46">
        <f>ROUND(CompilDonnées[[#This Row],[CultureDuration_days]]/7,0)</f>
        <v>7</v>
      </c>
      <c r="J46">
        <v>1945</v>
      </c>
      <c r="K46" t="str">
        <f>_xlfn.CONCAT(WEEKNUM(CompilDonnées[[#This Row],[PlantationDate]]), " ", YEAR(CompilDonnées[[#This Row],[PlantationDate]]))</f>
        <v>47 2024</v>
      </c>
      <c r="L46" t="str">
        <f>CONCATENATE(MONTH(CompilDonnées[[#This Row],[PlantationDate]])," ", YEAR(CompilDonnées[[#This Row],[PlantationDate]]))</f>
        <v>11 2024</v>
      </c>
      <c r="M46" t="str">
        <f>CONCATENATE(MONTH(CompilDonnées[[#This Row],[HarvestingDate]])," ", YEAR(CompilDonnées[[#This Row],[HarvestingDate]]))</f>
        <v>1 2025</v>
      </c>
      <c r="N46">
        <f>_xlfn.NUMBERVALUE(CompilDonnées[[#This Row],[FarmID]]&amp;CompilDonnées[[#This Row],[ModuleNumber]]&amp;CompilDonnées[[#This Row],[PlantationDate]])</f>
        <v>63145616</v>
      </c>
      <c r="O46" t="str">
        <f>CompilDonnées[[#This Row],[FarmID]]&amp;CompilDonnées[[#This Row],[ModuleNumber]]</f>
        <v>631</v>
      </c>
      <c r="P46" t="str">
        <f>CompilDonnées[[#This Row],[Ref_Module]]&amp;CompilDonnées[[#This Row],[HarvestingDate]]</f>
        <v>63145664</v>
      </c>
    </row>
    <row r="47" spans="1:16">
      <c r="A47" s="5">
        <v>45616</v>
      </c>
      <c r="B47">
        <v>40</v>
      </c>
      <c r="C47" t="s">
        <v>82</v>
      </c>
      <c r="D47">
        <v>2</v>
      </c>
      <c r="E47">
        <v>100</v>
      </c>
      <c r="F47" t="s">
        <v>1</v>
      </c>
      <c r="G47" s="6">
        <v>45663</v>
      </c>
      <c r="H47">
        <v>47</v>
      </c>
      <c r="I47">
        <f>ROUND(CompilDonnées[[#This Row],[CultureDuration_days]]/7,0)</f>
        <v>7</v>
      </c>
      <c r="J47">
        <v>502</v>
      </c>
      <c r="K47" t="str">
        <f>_xlfn.CONCAT(WEEKNUM(CompilDonnées[[#This Row],[PlantationDate]]), " ", YEAR(CompilDonnées[[#This Row],[PlantationDate]]))</f>
        <v>47 2024</v>
      </c>
      <c r="L47" t="str">
        <f>CONCATENATE(MONTH(CompilDonnées[[#This Row],[PlantationDate]])," ", YEAR(CompilDonnées[[#This Row],[PlantationDate]]))</f>
        <v>11 2024</v>
      </c>
      <c r="M47" t="str">
        <f>CONCATENATE(MONTH(CompilDonnées[[#This Row],[HarvestingDate]])," ", YEAR(CompilDonnées[[#This Row],[HarvestingDate]]))</f>
        <v>1 2025</v>
      </c>
      <c r="N47">
        <f>_xlfn.NUMBERVALUE(CompilDonnées[[#This Row],[FarmID]]&amp;CompilDonnées[[#This Row],[ModuleNumber]]&amp;CompilDonnées[[#This Row],[PlantationDate]])</f>
        <v>40245616</v>
      </c>
      <c r="O47" t="str">
        <f>CompilDonnées[[#This Row],[FarmID]]&amp;CompilDonnées[[#This Row],[ModuleNumber]]</f>
        <v>402</v>
      </c>
      <c r="P47" t="str">
        <f>CompilDonnées[[#This Row],[Ref_Module]]&amp;CompilDonnées[[#This Row],[HarvestingDate]]</f>
        <v>40245663</v>
      </c>
    </row>
    <row r="48" spans="1:16">
      <c r="A48" s="5">
        <v>45616</v>
      </c>
      <c r="B48">
        <v>39</v>
      </c>
      <c r="C48" t="s">
        <v>81</v>
      </c>
      <c r="D48">
        <v>1</v>
      </c>
      <c r="E48">
        <v>100</v>
      </c>
      <c r="F48" t="s">
        <v>1</v>
      </c>
      <c r="G48" s="6">
        <v>45663</v>
      </c>
      <c r="H48">
        <v>47</v>
      </c>
      <c r="I48">
        <f>ROUND(CompilDonnées[[#This Row],[CultureDuration_days]]/7,0)</f>
        <v>7</v>
      </c>
      <c r="J48">
        <v>533</v>
      </c>
      <c r="K48" t="str">
        <f>_xlfn.CONCAT(WEEKNUM(CompilDonnées[[#This Row],[PlantationDate]]), " ", YEAR(CompilDonnées[[#This Row],[PlantationDate]]))</f>
        <v>47 2024</v>
      </c>
      <c r="L48" t="str">
        <f>CONCATENATE(MONTH(CompilDonnées[[#This Row],[PlantationDate]])," ", YEAR(CompilDonnées[[#This Row],[PlantationDate]]))</f>
        <v>11 2024</v>
      </c>
      <c r="M48" t="str">
        <f>CONCATENATE(MONTH(CompilDonnées[[#This Row],[HarvestingDate]])," ", YEAR(CompilDonnées[[#This Row],[HarvestingDate]]))</f>
        <v>1 2025</v>
      </c>
      <c r="N48">
        <f>_xlfn.NUMBERVALUE(CompilDonnées[[#This Row],[FarmID]]&amp;CompilDonnées[[#This Row],[ModuleNumber]]&amp;CompilDonnées[[#This Row],[PlantationDate]])</f>
        <v>39145616</v>
      </c>
      <c r="O48" t="str">
        <f>CompilDonnées[[#This Row],[FarmID]]&amp;CompilDonnées[[#This Row],[ModuleNumber]]</f>
        <v>391</v>
      </c>
      <c r="P48" t="str">
        <f>CompilDonnées[[#This Row],[Ref_Module]]&amp;CompilDonnées[[#This Row],[HarvestingDate]]</f>
        <v>39145663</v>
      </c>
    </row>
    <row r="49" spans="1:16">
      <c r="A49" s="5">
        <v>45616</v>
      </c>
      <c r="B49">
        <v>34</v>
      </c>
      <c r="C49" t="s">
        <v>68</v>
      </c>
      <c r="D49">
        <v>1</v>
      </c>
      <c r="E49">
        <v>100</v>
      </c>
      <c r="F49" t="s">
        <v>1</v>
      </c>
      <c r="G49" s="6">
        <v>45663</v>
      </c>
      <c r="H49">
        <v>47</v>
      </c>
      <c r="I49">
        <f>ROUND(CompilDonnées[[#This Row],[CultureDuration_days]]/7,0)</f>
        <v>7</v>
      </c>
      <c r="J49">
        <v>561</v>
      </c>
      <c r="K49" t="str">
        <f>_xlfn.CONCAT(WEEKNUM(CompilDonnées[[#This Row],[PlantationDate]]), " ", YEAR(CompilDonnées[[#This Row],[PlantationDate]]))</f>
        <v>47 2024</v>
      </c>
      <c r="L49" t="str">
        <f>CONCATENATE(MONTH(CompilDonnées[[#This Row],[PlantationDate]])," ", YEAR(CompilDonnées[[#This Row],[PlantationDate]]))</f>
        <v>11 2024</v>
      </c>
      <c r="M49" t="str">
        <f>CONCATENATE(MONTH(CompilDonnées[[#This Row],[HarvestingDate]])," ", YEAR(CompilDonnées[[#This Row],[HarvestingDate]]))</f>
        <v>1 2025</v>
      </c>
      <c r="N49">
        <f>_xlfn.NUMBERVALUE(CompilDonnées[[#This Row],[FarmID]]&amp;CompilDonnées[[#This Row],[ModuleNumber]]&amp;CompilDonnées[[#This Row],[PlantationDate]])</f>
        <v>34145616</v>
      </c>
      <c r="O49" t="str">
        <f>CompilDonnées[[#This Row],[FarmID]]&amp;CompilDonnées[[#This Row],[ModuleNumber]]</f>
        <v>341</v>
      </c>
      <c r="P49" t="str">
        <f>CompilDonnées[[#This Row],[Ref_Module]]&amp;CompilDonnées[[#This Row],[HarvestingDate]]</f>
        <v>34145663</v>
      </c>
    </row>
    <row r="50" spans="1:16">
      <c r="A50" s="5">
        <v>45616</v>
      </c>
      <c r="B50">
        <v>34</v>
      </c>
      <c r="C50" t="s">
        <v>68</v>
      </c>
      <c r="D50">
        <v>2</v>
      </c>
      <c r="E50">
        <v>100</v>
      </c>
      <c r="F50" t="s">
        <v>1</v>
      </c>
      <c r="G50" s="6">
        <v>45663</v>
      </c>
      <c r="H50">
        <v>47</v>
      </c>
      <c r="I50">
        <f>ROUND(CompilDonnées[[#This Row],[CultureDuration_days]]/7,0)</f>
        <v>7</v>
      </c>
      <c r="J50">
        <v>522</v>
      </c>
      <c r="K50" t="str">
        <f>_xlfn.CONCAT(WEEKNUM(CompilDonnées[[#This Row],[PlantationDate]]), " ", YEAR(CompilDonnées[[#This Row],[PlantationDate]]))</f>
        <v>47 2024</v>
      </c>
      <c r="L50" t="str">
        <f>CONCATENATE(MONTH(CompilDonnées[[#This Row],[PlantationDate]])," ", YEAR(CompilDonnées[[#This Row],[PlantationDate]]))</f>
        <v>11 2024</v>
      </c>
      <c r="M50" t="str">
        <f>CONCATENATE(MONTH(CompilDonnées[[#This Row],[HarvestingDate]])," ", YEAR(CompilDonnées[[#This Row],[HarvestingDate]]))</f>
        <v>1 2025</v>
      </c>
      <c r="N50">
        <f>_xlfn.NUMBERVALUE(CompilDonnées[[#This Row],[FarmID]]&amp;CompilDonnées[[#This Row],[ModuleNumber]]&amp;CompilDonnées[[#This Row],[PlantationDate]])</f>
        <v>34245616</v>
      </c>
      <c r="O50" t="str">
        <f>CompilDonnées[[#This Row],[FarmID]]&amp;CompilDonnées[[#This Row],[ModuleNumber]]</f>
        <v>342</v>
      </c>
      <c r="P50" t="str">
        <f>CompilDonnées[[#This Row],[Ref_Module]]&amp;CompilDonnées[[#This Row],[HarvestingDate]]</f>
        <v>34245663</v>
      </c>
    </row>
    <row r="51" spans="1:16">
      <c r="A51" s="5">
        <v>45616</v>
      </c>
      <c r="B51">
        <v>33</v>
      </c>
      <c r="C51" t="s">
        <v>104</v>
      </c>
      <c r="D51">
        <v>2</v>
      </c>
      <c r="E51">
        <v>100</v>
      </c>
      <c r="F51" t="s">
        <v>1</v>
      </c>
      <c r="G51" s="6">
        <v>45663</v>
      </c>
      <c r="H51">
        <v>47</v>
      </c>
      <c r="I51">
        <f>ROUND(CompilDonnées[[#This Row],[CultureDuration_days]]/7,0)</f>
        <v>7</v>
      </c>
      <c r="J51">
        <v>590</v>
      </c>
      <c r="K51" t="str">
        <f>_xlfn.CONCAT(WEEKNUM(CompilDonnées[[#This Row],[PlantationDate]]), " ", YEAR(CompilDonnées[[#This Row],[PlantationDate]]))</f>
        <v>47 2024</v>
      </c>
      <c r="L51" t="str">
        <f>CONCATENATE(MONTH(CompilDonnées[[#This Row],[PlantationDate]])," ", YEAR(CompilDonnées[[#This Row],[PlantationDate]]))</f>
        <v>11 2024</v>
      </c>
      <c r="M51" t="str">
        <f>CONCATENATE(MONTH(CompilDonnées[[#This Row],[HarvestingDate]])," ", YEAR(CompilDonnées[[#This Row],[HarvestingDate]]))</f>
        <v>1 2025</v>
      </c>
      <c r="N51">
        <f>_xlfn.NUMBERVALUE(CompilDonnées[[#This Row],[FarmID]]&amp;CompilDonnées[[#This Row],[ModuleNumber]]&amp;CompilDonnées[[#This Row],[PlantationDate]])</f>
        <v>33245616</v>
      </c>
      <c r="O51" t="str">
        <f>CompilDonnées[[#This Row],[FarmID]]&amp;CompilDonnées[[#This Row],[ModuleNumber]]</f>
        <v>332</v>
      </c>
      <c r="P51" t="str">
        <f>CompilDonnées[[#This Row],[Ref_Module]]&amp;CompilDonnées[[#This Row],[HarvestingDate]]</f>
        <v>33245663</v>
      </c>
    </row>
    <row r="52" spans="1:16">
      <c r="A52" s="5">
        <v>45616</v>
      </c>
      <c r="B52">
        <v>5</v>
      </c>
      <c r="C52" t="s">
        <v>32</v>
      </c>
      <c r="D52">
        <v>2</v>
      </c>
      <c r="E52">
        <v>100</v>
      </c>
      <c r="F52" t="s">
        <v>1</v>
      </c>
      <c r="G52" s="6">
        <v>45663</v>
      </c>
      <c r="H52">
        <v>47</v>
      </c>
      <c r="I52">
        <f>ROUND(CompilDonnées[[#This Row],[CultureDuration_days]]/7,0)</f>
        <v>7</v>
      </c>
      <c r="J52">
        <v>2897</v>
      </c>
      <c r="K52" t="str">
        <f>_xlfn.CONCAT(WEEKNUM(CompilDonnées[[#This Row],[PlantationDate]]), " ", YEAR(CompilDonnées[[#This Row],[PlantationDate]]))</f>
        <v>47 2024</v>
      </c>
      <c r="L52" t="str">
        <f>CONCATENATE(MONTH(CompilDonnées[[#This Row],[PlantationDate]])," ", YEAR(CompilDonnées[[#This Row],[PlantationDate]]))</f>
        <v>11 2024</v>
      </c>
      <c r="M52" t="str">
        <f>CONCATENATE(MONTH(CompilDonnées[[#This Row],[HarvestingDate]])," ", YEAR(CompilDonnées[[#This Row],[HarvestingDate]]))</f>
        <v>1 2025</v>
      </c>
      <c r="N52">
        <f>_xlfn.NUMBERVALUE(CompilDonnées[[#This Row],[FarmID]]&amp;CompilDonnées[[#This Row],[ModuleNumber]]&amp;CompilDonnées[[#This Row],[PlantationDate]])</f>
        <v>5245616</v>
      </c>
      <c r="O52" t="str">
        <f>CompilDonnées[[#This Row],[FarmID]]&amp;CompilDonnées[[#This Row],[ModuleNumber]]</f>
        <v>52</v>
      </c>
      <c r="P52" t="str">
        <f>CompilDonnées[[#This Row],[Ref_Module]]&amp;CompilDonnées[[#This Row],[HarvestingDate]]</f>
        <v>5245663</v>
      </c>
    </row>
    <row r="53" spans="1:16">
      <c r="A53" s="5">
        <v>45616</v>
      </c>
      <c r="B53">
        <v>32</v>
      </c>
      <c r="C53" t="s">
        <v>25</v>
      </c>
      <c r="D53">
        <v>5</v>
      </c>
      <c r="E53">
        <v>100</v>
      </c>
      <c r="F53" t="s">
        <v>1</v>
      </c>
      <c r="G53" s="6">
        <v>45663</v>
      </c>
      <c r="H53">
        <v>47</v>
      </c>
      <c r="I53">
        <f>ROUND(CompilDonnées[[#This Row],[CultureDuration_days]]/7,0)</f>
        <v>7</v>
      </c>
      <c r="J53">
        <v>3677</v>
      </c>
      <c r="K53" t="str">
        <f>_xlfn.CONCAT(WEEKNUM(CompilDonnées[[#This Row],[PlantationDate]]), " ", YEAR(CompilDonnées[[#This Row],[PlantationDate]]))</f>
        <v>47 2024</v>
      </c>
      <c r="L53" t="str">
        <f>CONCATENATE(MONTH(CompilDonnées[[#This Row],[PlantationDate]])," ", YEAR(CompilDonnées[[#This Row],[PlantationDate]]))</f>
        <v>11 2024</v>
      </c>
      <c r="M53" t="str">
        <f>CONCATENATE(MONTH(CompilDonnées[[#This Row],[HarvestingDate]])," ", YEAR(CompilDonnées[[#This Row],[HarvestingDate]]))</f>
        <v>1 2025</v>
      </c>
      <c r="N53">
        <f>_xlfn.NUMBERVALUE(CompilDonnées[[#This Row],[FarmID]]&amp;CompilDonnées[[#This Row],[ModuleNumber]]&amp;CompilDonnées[[#This Row],[PlantationDate]])</f>
        <v>32545616</v>
      </c>
      <c r="O53" t="str">
        <f>CompilDonnées[[#This Row],[FarmID]]&amp;CompilDonnées[[#This Row],[ModuleNumber]]</f>
        <v>325</v>
      </c>
      <c r="P53" t="str">
        <f>CompilDonnées[[#This Row],[Ref_Module]]&amp;CompilDonnées[[#This Row],[HarvestingDate]]</f>
        <v>32545663</v>
      </c>
    </row>
    <row r="54" spans="1:16">
      <c r="A54" s="5">
        <v>45616</v>
      </c>
      <c r="B54">
        <v>31</v>
      </c>
      <c r="C54" t="s">
        <v>62</v>
      </c>
      <c r="D54">
        <v>5</v>
      </c>
      <c r="E54">
        <v>100</v>
      </c>
      <c r="F54" t="s">
        <v>1</v>
      </c>
      <c r="G54" s="6">
        <v>45663</v>
      </c>
      <c r="H54">
        <v>47</v>
      </c>
      <c r="I54">
        <f>ROUND(CompilDonnées[[#This Row],[CultureDuration_days]]/7,0)</f>
        <v>7</v>
      </c>
      <c r="J54">
        <v>2959</v>
      </c>
      <c r="K54" t="str">
        <f>_xlfn.CONCAT(WEEKNUM(CompilDonnées[[#This Row],[PlantationDate]]), " ", YEAR(CompilDonnées[[#This Row],[PlantationDate]]))</f>
        <v>47 2024</v>
      </c>
      <c r="L54" t="str">
        <f>CONCATENATE(MONTH(CompilDonnées[[#This Row],[PlantationDate]])," ", YEAR(CompilDonnées[[#This Row],[PlantationDate]]))</f>
        <v>11 2024</v>
      </c>
      <c r="M54" t="str">
        <f>CONCATENATE(MONTH(CompilDonnées[[#This Row],[HarvestingDate]])," ", YEAR(CompilDonnées[[#This Row],[HarvestingDate]]))</f>
        <v>1 2025</v>
      </c>
      <c r="N54">
        <f>_xlfn.NUMBERVALUE(CompilDonnées[[#This Row],[FarmID]]&amp;CompilDonnées[[#This Row],[ModuleNumber]]&amp;CompilDonnées[[#This Row],[PlantationDate]])</f>
        <v>31545616</v>
      </c>
      <c r="O54" t="str">
        <f>CompilDonnées[[#This Row],[FarmID]]&amp;CompilDonnées[[#This Row],[ModuleNumber]]</f>
        <v>315</v>
      </c>
      <c r="P54" t="str">
        <f>CompilDonnées[[#This Row],[Ref_Module]]&amp;CompilDonnées[[#This Row],[HarvestingDate]]</f>
        <v>31545663</v>
      </c>
    </row>
    <row r="55" spans="1:16">
      <c r="A55" s="5">
        <v>45616</v>
      </c>
      <c r="B55">
        <v>37</v>
      </c>
      <c r="C55" t="s">
        <v>26</v>
      </c>
      <c r="D55">
        <v>1</v>
      </c>
      <c r="E55">
        <v>100</v>
      </c>
      <c r="F55" t="s">
        <v>1</v>
      </c>
      <c r="G55" s="6">
        <v>45663</v>
      </c>
      <c r="H55">
        <v>47</v>
      </c>
      <c r="I55">
        <f>ROUND(CompilDonnées[[#This Row],[CultureDuration_days]]/7,0)</f>
        <v>7</v>
      </c>
      <c r="J55">
        <v>4033</v>
      </c>
      <c r="K55" t="str">
        <f>_xlfn.CONCAT(WEEKNUM(CompilDonnées[[#This Row],[PlantationDate]]), " ", YEAR(CompilDonnées[[#This Row],[PlantationDate]]))</f>
        <v>47 2024</v>
      </c>
      <c r="L55" t="str">
        <f>CONCATENATE(MONTH(CompilDonnées[[#This Row],[PlantationDate]])," ", YEAR(CompilDonnées[[#This Row],[PlantationDate]]))</f>
        <v>11 2024</v>
      </c>
      <c r="M55" t="str">
        <f>CONCATENATE(MONTH(CompilDonnées[[#This Row],[HarvestingDate]])," ", YEAR(CompilDonnées[[#This Row],[HarvestingDate]]))</f>
        <v>1 2025</v>
      </c>
      <c r="N55">
        <f>_xlfn.NUMBERVALUE(CompilDonnées[[#This Row],[FarmID]]&amp;CompilDonnées[[#This Row],[ModuleNumber]]&amp;CompilDonnées[[#This Row],[PlantationDate]])</f>
        <v>37145616</v>
      </c>
      <c r="O55" t="str">
        <f>CompilDonnées[[#This Row],[FarmID]]&amp;CompilDonnées[[#This Row],[ModuleNumber]]</f>
        <v>371</v>
      </c>
      <c r="P55" t="str">
        <f>CompilDonnées[[#This Row],[Ref_Module]]&amp;CompilDonnées[[#This Row],[HarvestingDate]]</f>
        <v>37145663</v>
      </c>
    </row>
    <row r="56" spans="1:16">
      <c r="A56" s="5">
        <v>45616</v>
      </c>
      <c r="B56">
        <v>36</v>
      </c>
      <c r="C56" t="s">
        <v>63</v>
      </c>
      <c r="D56">
        <v>1</v>
      </c>
      <c r="E56">
        <v>100</v>
      </c>
      <c r="F56" t="s">
        <v>1</v>
      </c>
      <c r="G56" s="6">
        <v>45663</v>
      </c>
      <c r="H56">
        <v>47</v>
      </c>
      <c r="I56">
        <f>ROUND(CompilDonnées[[#This Row],[CultureDuration_days]]/7,0)</f>
        <v>7</v>
      </c>
      <c r="J56">
        <v>2570</v>
      </c>
      <c r="K56" t="str">
        <f>_xlfn.CONCAT(WEEKNUM(CompilDonnées[[#This Row],[PlantationDate]]), " ", YEAR(CompilDonnées[[#This Row],[PlantationDate]]))</f>
        <v>47 2024</v>
      </c>
      <c r="L56" t="str">
        <f>CONCATENATE(MONTH(CompilDonnées[[#This Row],[PlantationDate]])," ", YEAR(CompilDonnées[[#This Row],[PlantationDate]]))</f>
        <v>11 2024</v>
      </c>
      <c r="M56" t="str">
        <f>CONCATENATE(MONTH(CompilDonnées[[#This Row],[HarvestingDate]])," ", YEAR(CompilDonnées[[#This Row],[HarvestingDate]]))</f>
        <v>1 2025</v>
      </c>
      <c r="N56">
        <f>_xlfn.NUMBERVALUE(CompilDonnées[[#This Row],[FarmID]]&amp;CompilDonnées[[#This Row],[ModuleNumber]]&amp;CompilDonnées[[#This Row],[PlantationDate]])</f>
        <v>36145616</v>
      </c>
      <c r="O56" t="str">
        <f>CompilDonnées[[#This Row],[FarmID]]&amp;CompilDonnées[[#This Row],[ModuleNumber]]</f>
        <v>361</v>
      </c>
      <c r="P56" t="str">
        <f>CompilDonnées[[#This Row],[Ref_Module]]&amp;CompilDonnées[[#This Row],[HarvestingDate]]</f>
        <v>36145663</v>
      </c>
    </row>
    <row r="57" spans="1:16">
      <c r="A57" s="5">
        <v>45616</v>
      </c>
      <c r="B57">
        <v>36</v>
      </c>
      <c r="C57" t="s">
        <v>63</v>
      </c>
      <c r="D57">
        <v>3</v>
      </c>
      <c r="E57">
        <v>100</v>
      </c>
      <c r="F57" t="s">
        <v>1</v>
      </c>
      <c r="G57" s="6">
        <v>45664</v>
      </c>
      <c r="H57">
        <v>48</v>
      </c>
      <c r="I57">
        <f>ROUND(CompilDonnées[[#This Row],[CultureDuration_days]]/7,0)</f>
        <v>7</v>
      </c>
      <c r="J57">
        <v>2972</v>
      </c>
      <c r="K57" t="str">
        <f>_xlfn.CONCAT(WEEKNUM(CompilDonnées[[#This Row],[PlantationDate]]), " ", YEAR(CompilDonnées[[#This Row],[PlantationDate]]))</f>
        <v>47 2024</v>
      </c>
      <c r="L57" t="str">
        <f>CONCATENATE(MONTH(CompilDonnées[[#This Row],[PlantationDate]])," ", YEAR(CompilDonnées[[#This Row],[PlantationDate]]))</f>
        <v>11 2024</v>
      </c>
      <c r="M57" t="str">
        <f>CONCATENATE(MONTH(CompilDonnées[[#This Row],[HarvestingDate]])," ", YEAR(CompilDonnées[[#This Row],[HarvestingDate]]))</f>
        <v>1 2025</v>
      </c>
      <c r="N57">
        <f>_xlfn.NUMBERVALUE(CompilDonnées[[#This Row],[FarmID]]&amp;CompilDonnées[[#This Row],[ModuleNumber]]&amp;CompilDonnées[[#This Row],[PlantationDate]])</f>
        <v>36345616</v>
      </c>
      <c r="O57" t="str">
        <f>CompilDonnées[[#This Row],[FarmID]]&amp;CompilDonnées[[#This Row],[ModuleNumber]]</f>
        <v>363</v>
      </c>
      <c r="P57" t="str">
        <f>CompilDonnées[[#This Row],[Ref_Module]]&amp;CompilDonnées[[#This Row],[HarvestingDate]]</f>
        <v>36345664</v>
      </c>
    </row>
    <row r="58" spans="1:16">
      <c r="A58" s="5">
        <v>45616</v>
      </c>
      <c r="B58">
        <v>35</v>
      </c>
      <c r="C58" t="s">
        <v>69</v>
      </c>
      <c r="D58">
        <v>2</v>
      </c>
      <c r="E58">
        <v>100</v>
      </c>
      <c r="F58" t="s">
        <v>1</v>
      </c>
      <c r="G58" s="6">
        <v>45663</v>
      </c>
      <c r="H58">
        <v>47</v>
      </c>
      <c r="I58">
        <f>ROUND(CompilDonnées[[#This Row],[CultureDuration_days]]/7,0)</f>
        <v>7</v>
      </c>
      <c r="J58">
        <v>1821</v>
      </c>
      <c r="K58" t="str">
        <f>_xlfn.CONCAT(WEEKNUM(CompilDonnées[[#This Row],[PlantationDate]]), " ", YEAR(CompilDonnées[[#This Row],[PlantationDate]]))</f>
        <v>47 2024</v>
      </c>
      <c r="L58" t="str">
        <f>CONCATENATE(MONTH(CompilDonnées[[#This Row],[PlantationDate]])," ", YEAR(CompilDonnées[[#This Row],[PlantationDate]]))</f>
        <v>11 2024</v>
      </c>
      <c r="M58" t="str">
        <f>CONCATENATE(MONTH(CompilDonnées[[#This Row],[HarvestingDate]])," ", YEAR(CompilDonnées[[#This Row],[HarvestingDate]]))</f>
        <v>1 2025</v>
      </c>
      <c r="N58">
        <f>_xlfn.NUMBERVALUE(CompilDonnées[[#This Row],[FarmID]]&amp;CompilDonnées[[#This Row],[ModuleNumber]]&amp;CompilDonnées[[#This Row],[PlantationDate]])</f>
        <v>35245616</v>
      </c>
      <c r="O58" t="str">
        <f>CompilDonnées[[#This Row],[FarmID]]&amp;CompilDonnées[[#This Row],[ModuleNumber]]</f>
        <v>352</v>
      </c>
      <c r="P58" t="str">
        <f>CompilDonnées[[#This Row],[Ref_Module]]&amp;CompilDonnées[[#This Row],[HarvestingDate]]</f>
        <v>35245663</v>
      </c>
    </row>
    <row r="59" spans="1:16">
      <c r="A59" s="5">
        <v>45616</v>
      </c>
      <c r="B59">
        <v>35</v>
      </c>
      <c r="C59" t="s">
        <v>69</v>
      </c>
      <c r="D59">
        <v>3</v>
      </c>
      <c r="E59">
        <v>100</v>
      </c>
      <c r="F59" t="s">
        <v>1</v>
      </c>
      <c r="G59" s="6">
        <v>45664</v>
      </c>
      <c r="H59">
        <v>48</v>
      </c>
      <c r="I59">
        <f>ROUND(CompilDonnées[[#This Row],[CultureDuration_days]]/7,0)</f>
        <v>7</v>
      </c>
      <c r="J59">
        <v>2659</v>
      </c>
      <c r="K59" t="str">
        <f>_xlfn.CONCAT(WEEKNUM(CompilDonnées[[#This Row],[PlantationDate]]), " ", YEAR(CompilDonnées[[#This Row],[PlantationDate]]))</f>
        <v>47 2024</v>
      </c>
      <c r="L59" t="str">
        <f>CONCATENATE(MONTH(CompilDonnées[[#This Row],[PlantationDate]])," ", YEAR(CompilDonnées[[#This Row],[PlantationDate]]))</f>
        <v>11 2024</v>
      </c>
      <c r="M59" t="str">
        <f>CONCATENATE(MONTH(CompilDonnées[[#This Row],[HarvestingDate]])," ", YEAR(CompilDonnées[[#This Row],[HarvestingDate]]))</f>
        <v>1 2025</v>
      </c>
      <c r="N59">
        <f>_xlfn.NUMBERVALUE(CompilDonnées[[#This Row],[FarmID]]&amp;CompilDonnées[[#This Row],[ModuleNumber]]&amp;CompilDonnées[[#This Row],[PlantationDate]])</f>
        <v>35345616</v>
      </c>
      <c r="O59" t="str">
        <f>CompilDonnées[[#This Row],[FarmID]]&amp;CompilDonnées[[#This Row],[ModuleNumber]]</f>
        <v>353</v>
      </c>
      <c r="P59" t="str">
        <f>CompilDonnées[[#This Row],[Ref_Module]]&amp;CompilDonnées[[#This Row],[HarvestingDate]]</f>
        <v>35345664</v>
      </c>
    </row>
    <row r="60" spans="1:16">
      <c r="A60" s="5">
        <v>45616</v>
      </c>
      <c r="B60">
        <v>43</v>
      </c>
      <c r="C60" t="s">
        <v>45</v>
      </c>
      <c r="D60">
        <v>4</v>
      </c>
      <c r="E60">
        <v>100</v>
      </c>
      <c r="F60" t="s">
        <v>1</v>
      </c>
      <c r="G60" s="6">
        <v>45665</v>
      </c>
      <c r="H60">
        <v>49</v>
      </c>
      <c r="I60">
        <f>ROUND(CompilDonnées[[#This Row],[CultureDuration_days]]/7,0)</f>
        <v>7</v>
      </c>
      <c r="J60">
        <v>3205</v>
      </c>
      <c r="K60" t="str">
        <f>_xlfn.CONCAT(WEEKNUM(CompilDonnées[[#This Row],[PlantationDate]]), " ", YEAR(CompilDonnées[[#This Row],[PlantationDate]]))</f>
        <v>47 2024</v>
      </c>
      <c r="L60" t="str">
        <f>CONCATENATE(MONTH(CompilDonnées[[#This Row],[PlantationDate]])," ", YEAR(CompilDonnées[[#This Row],[PlantationDate]]))</f>
        <v>11 2024</v>
      </c>
      <c r="M60" t="str">
        <f>CONCATENATE(MONTH(CompilDonnées[[#This Row],[HarvestingDate]])," ", YEAR(CompilDonnées[[#This Row],[HarvestingDate]]))</f>
        <v>1 2025</v>
      </c>
      <c r="N60">
        <f>_xlfn.NUMBERVALUE(CompilDonnées[[#This Row],[FarmID]]&amp;CompilDonnées[[#This Row],[ModuleNumber]]&amp;CompilDonnées[[#This Row],[PlantationDate]])</f>
        <v>43445616</v>
      </c>
      <c r="O60" t="str">
        <f>CompilDonnées[[#This Row],[FarmID]]&amp;CompilDonnées[[#This Row],[ModuleNumber]]</f>
        <v>434</v>
      </c>
      <c r="P60" t="str">
        <f>CompilDonnées[[#This Row],[Ref_Module]]&amp;CompilDonnées[[#This Row],[HarvestingDate]]</f>
        <v>43445665</v>
      </c>
    </row>
    <row r="61" spans="1:16">
      <c r="A61" s="5">
        <v>45616</v>
      </c>
      <c r="B61">
        <v>42</v>
      </c>
      <c r="C61" t="s">
        <v>89</v>
      </c>
      <c r="D61">
        <v>5</v>
      </c>
      <c r="E61">
        <v>100</v>
      </c>
      <c r="F61" t="s">
        <v>1</v>
      </c>
      <c r="G61" s="6">
        <v>45664</v>
      </c>
      <c r="H61">
        <v>48</v>
      </c>
      <c r="I61">
        <f>ROUND(CompilDonnées[[#This Row],[CultureDuration_days]]/7,0)</f>
        <v>7</v>
      </c>
      <c r="J61">
        <v>2247</v>
      </c>
      <c r="K61" t="str">
        <f>_xlfn.CONCAT(WEEKNUM(CompilDonnées[[#This Row],[PlantationDate]]), " ", YEAR(CompilDonnées[[#This Row],[PlantationDate]]))</f>
        <v>47 2024</v>
      </c>
      <c r="L61" t="str">
        <f>CONCATENATE(MONTH(CompilDonnées[[#This Row],[PlantationDate]])," ", YEAR(CompilDonnées[[#This Row],[PlantationDate]]))</f>
        <v>11 2024</v>
      </c>
      <c r="M61" t="str">
        <f>CONCATENATE(MONTH(CompilDonnées[[#This Row],[HarvestingDate]])," ", YEAR(CompilDonnées[[#This Row],[HarvestingDate]]))</f>
        <v>1 2025</v>
      </c>
      <c r="N61">
        <f>_xlfn.NUMBERVALUE(CompilDonnées[[#This Row],[FarmID]]&amp;CompilDonnées[[#This Row],[ModuleNumber]]&amp;CompilDonnées[[#This Row],[PlantationDate]])</f>
        <v>42545616</v>
      </c>
      <c r="O61" t="str">
        <f>CompilDonnées[[#This Row],[FarmID]]&amp;CompilDonnées[[#This Row],[ModuleNumber]]</f>
        <v>425</v>
      </c>
      <c r="P61" t="str">
        <f>CompilDonnées[[#This Row],[Ref_Module]]&amp;CompilDonnées[[#This Row],[HarvestingDate]]</f>
        <v>42545664</v>
      </c>
    </row>
    <row r="62" spans="1:16">
      <c r="A62" s="5">
        <v>45616</v>
      </c>
      <c r="B62">
        <v>41</v>
      </c>
      <c r="C62" t="s">
        <v>70</v>
      </c>
      <c r="D62">
        <v>6</v>
      </c>
      <c r="E62">
        <v>100</v>
      </c>
      <c r="F62" t="s">
        <v>1</v>
      </c>
      <c r="G62" s="6">
        <v>45664</v>
      </c>
      <c r="H62">
        <v>48</v>
      </c>
      <c r="I62">
        <f>ROUND(CompilDonnées[[#This Row],[CultureDuration_days]]/7,0)</f>
        <v>7</v>
      </c>
      <c r="J62">
        <v>700</v>
      </c>
      <c r="K62" t="str">
        <f>_xlfn.CONCAT(WEEKNUM(CompilDonnées[[#This Row],[PlantationDate]]), " ", YEAR(CompilDonnées[[#This Row],[PlantationDate]]))</f>
        <v>47 2024</v>
      </c>
      <c r="L62" t="str">
        <f>CONCATENATE(MONTH(CompilDonnées[[#This Row],[PlantationDate]])," ", YEAR(CompilDonnées[[#This Row],[PlantationDate]]))</f>
        <v>11 2024</v>
      </c>
      <c r="M62" t="str">
        <f>CONCATENATE(MONTH(CompilDonnées[[#This Row],[HarvestingDate]])," ", YEAR(CompilDonnées[[#This Row],[HarvestingDate]]))</f>
        <v>1 2025</v>
      </c>
      <c r="N62">
        <f>_xlfn.NUMBERVALUE(CompilDonnées[[#This Row],[FarmID]]&amp;CompilDonnées[[#This Row],[ModuleNumber]]&amp;CompilDonnées[[#This Row],[PlantationDate]])</f>
        <v>41645616</v>
      </c>
      <c r="O62" t="str">
        <f>CompilDonnées[[#This Row],[FarmID]]&amp;CompilDonnées[[#This Row],[ModuleNumber]]</f>
        <v>416</v>
      </c>
      <c r="P62" t="str">
        <f>CompilDonnées[[#This Row],[Ref_Module]]&amp;CompilDonnées[[#This Row],[HarvestingDate]]</f>
        <v>41645664</v>
      </c>
    </row>
    <row r="63" spans="1:16">
      <c r="A63" s="5">
        <v>45622</v>
      </c>
      <c r="B63">
        <v>108</v>
      </c>
      <c r="C63" t="s">
        <v>58</v>
      </c>
      <c r="D63">
        <v>6</v>
      </c>
      <c r="E63">
        <v>100</v>
      </c>
      <c r="F63" t="s">
        <v>1</v>
      </c>
      <c r="G63" s="6">
        <v>45666</v>
      </c>
      <c r="H63">
        <v>44</v>
      </c>
      <c r="I63">
        <f>ROUND(CompilDonnées[[#This Row],[CultureDuration_days]]/7,0)</f>
        <v>6</v>
      </c>
      <c r="J63">
        <v>3706</v>
      </c>
      <c r="K63" t="str">
        <f>_xlfn.CONCAT(WEEKNUM(CompilDonnées[[#This Row],[PlantationDate]]), " ", YEAR(CompilDonnées[[#This Row],[PlantationDate]]))</f>
        <v>48 2024</v>
      </c>
      <c r="L63" t="str">
        <f>CONCATENATE(MONTH(CompilDonnées[[#This Row],[PlantationDate]])," ", YEAR(CompilDonnées[[#This Row],[PlantationDate]]))</f>
        <v>11 2024</v>
      </c>
      <c r="M63" t="str">
        <f>CONCATENATE(MONTH(CompilDonnées[[#This Row],[HarvestingDate]])," ", YEAR(CompilDonnées[[#This Row],[HarvestingDate]]))</f>
        <v>1 2025</v>
      </c>
      <c r="N63">
        <f>_xlfn.NUMBERVALUE(CompilDonnées[[#This Row],[FarmID]]&amp;CompilDonnées[[#This Row],[ModuleNumber]]&amp;CompilDonnées[[#This Row],[PlantationDate]])</f>
        <v>108645622</v>
      </c>
      <c r="O63" t="str">
        <f>CompilDonnées[[#This Row],[FarmID]]&amp;CompilDonnées[[#This Row],[ModuleNumber]]</f>
        <v>1086</v>
      </c>
      <c r="P63" t="str">
        <f>CompilDonnées[[#This Row],[Ref_Module]]&amp;CompilDonnées[[#This Row],[HarvestingDate]]</f>
        <v>108645666</v>
      </c>
    </row>
    <row r="64" spans="1:16">
      <c r="A64" s="5">
        <v>45622</v>
      </c>
      <c r="B64">
        <v>100</v>
      </c>
      <c r="C64" t="s">
        <v>84</v>
      </c>
      <c r="D64">
        <v>2</v>
      </c>
      <c r="E64">
        <v>100</v>
      </c>
      <c r="F64" t="s">
        <v>1</v>
      </c>
      <c r="G64" s="6">
        <v>45670</v>
      </c>
      <c r="H64">
        <v>48</v>
      </c>
      <c r="I64">
        <f>ROUND(CompilDonnées[[#This Row],[CultureDuration_days]]/7,0)</f>
        <v>7</v>
      </c>
      <c r="J64">
        <v>1818</v>
      </c>
      <c r="K64" t="str">
        <f>_xlfn.CONCAT(WEEKNUM(CompilDonnées[[#This Row],[PlantationDate]]), " ", YEAR(CompilDonnées[[#This Row],[PlantationDate]]))</f>
        <v>48 2024</v>
      </c>
      <c r="L64" t="str">
        <f>CONCATENATE(MONTH(CompilDonnées[[#This Row],[PlantationDate]])," ", YEAR(CompilDonnées[[#This Row],[PlantationDate]]))</f>
        <v>11 2024</v>
      </c>
      <c r="M64" t="str">
        <f>CONCATENATE(MONTH(CompilDonnées[[#This Row],[HarvestingDate]])," ", YEAR(CompilDonnées[[#This Row],[HarvestingDate]]))</f>
        <v>1 2025</v>
      </c>
      <c r="N64">
        <f>_xlfn.NUMBERVALUE(CompilDonnées[[#This Row],[FarmID]]&amp;CompilDonnées[[#This Row],[ModuleNumber]]&amp;CompilDonnées[[#This Row],[PlantationDate]])</f>
        <v>100245622</v>
      </c>
      <c r="O64" t="str">
        <f>CompilDonnées[[#This Row],[FarmID]]&amp;CompilDonnées[[#This Row],[ModuleNumber]]</f>
        <v>1002</v>
      </c>
      <c r="P64" t="str">
        <f>CompilDonnées[[#This Row],[Ref_Module]]&amp;CompilDonnées[[#This Row],[HarvestingDate]]</f>
        <v>100245670</v>
      </c>
    </row>
    <row r="65" spans="1:16">
      <c r="A65" s="5">
        <v>45622</v>
      </c>
      <c r="B65">
        <v>98</v>
      </c>
      <c r="C65" t="s">
        <v>79</v>
      </c>
      <c r="D65">
        <v>1</v>
      </c>
      <c r="E65">
        <v>100</v>
      </c>
      <c r="F65" t="s">
        <v>1</v>
      </c>
      <c r="G65" s="6">
        <v>45666</v>
      </c>
      <c r="H65">
        <v>44</v>
      </c>
      <c r="I65">
        <f>ROUND(CompilDonnées[[#This Row],[CultureDuration_days]]/7,0)</f>
        <v>6</v>
      </c>
      <c r="J65">
        <v>2693</v>
      </c>
      <c r="K65" t="str">
        <f>_xlfn.CONCAT(WEEKNUM(CompilDonnées[[#This Row],[PlantationDate]]), " ", YEAR(CompilDonnées[[#This Row],[PlantationDate]]))</f>
        <v>48 2024</v>
      </c>
      <c r="L65" t="str">
        <f>CONCATENATE(MONTH(CompilDonnées[[#This Row],[PlantationDate]])," ", YEAR(CompilDonnées[[#This Row],[PlantationDate]]))</f>
        <v>11 2024</v>
      </c>
      <c r="M65" t="str">
        <f>CONCATENATE(MONTH(CompilDonnées[[#This Row],[HarvestingDate]])," ", YEAR(CompilDonnées[[#This Row],[HarvestingDate]]))</f>
        <v>1 2025</v>
      </c>
      <c r="N65">
        <f>_xlfn.NUMBERVALUE(CompilDonnées[[#This Row],[FarmID]]&amp;CompilDonnées[[#This Row],[ModuleNumber]]&amp;CompilDonnées[[#This Row],[PlantationDate]])</f>
        <v>98145622</v>
      </c>
      <c r="O65" t="str">
        <f>CompilDonnées[[#This Row],[FarmID]]&amp;CompilDonnées[[#This Row],[ModuleNumber]]</f>
        <v>981</v>
      </c>
      <c r="P65" t="str">
        <f>CompilDonnées[[#This Row],[Ref_Module]]&amp;CompilDonnées[[#This Row],[HarvestingDate]]</f>
        <v>98145666</v>
      </c>
    </row>
    <row r="66" spans="1:16">
      <c r="A66" s="5">
        <v>45622</v>
      </c>
      <c r="B66">
        <v>94</v>
      </c>
      <c r="C66" t="s">
        <v>40</v>
      </c>
      <c r="D66">
        <v>5</v>
      </c>
      <c r="E66">
        <v>100</v>
      </c>
      <c r="F66" t="s">
        <v>1</v>
      </c>
      <c r="G66" s="6">
        <v>45665</v>
      </c>
      <c r="H66">
        <v>43</v>
      </c>
      <c r="I66">
        <f>ROUND(CompilDonnées[[#This Row],[CultureDuration_days]]/7,0)</f>
        <v>6</v>
      </c>
      <c r="J66">
        <v>3790</v>
      </c>
      <c r="K66" t="str">
        <f>_xlfn.CONCAT(WEEKNUM(CompilDonnées[[#This Row],[PlantationDate]]), " ", YEAR(CompilDonnées[[#This Row],[PlantationDate]]))</f>
        <v>48 2024</v>
      </c>
      <c r="L66" t="str">
        <f>CONCATENATE(MONTH(CompilDonnées[[#This Row],[PlantationDate]])," ", YEAR(CompilDonnées[[#This Row],[PlantationDate]]))</f>
        <v>11 2024</v>
      </c>
      <c r="M66" t="str">
        <f>CONCATENATE(MONTH(CompilDonnées[[#This Row],[HarvestingDate]])," ", YEAR(CompilDonnées[[#This Row],[HarvestingDate]]))</f>
        <v>1 2025</v>
      </c>
      <c r="N66">
        <f>_xlfn.NUMBERVALUE(CompilDonnées[[#This Row],[FarmID]]&amp;CompilDonnées[[#This Row],[ModuleNumber]]&amp;CompilDonnées[[#This Row],[PlantationDate]])</f>
        <v>94545622</v>
      </c>
      <c r="O66" t="str">
        <f>CompilDonnées[[#This Row],[FarmID]]&amp;CompilDonnées[[#This Row],[ModuleNumber]]</f>
        <v>945</v>
      </c>
      <c r="P66" t="str">
        <f>CompilDonnées[[#This Row],[Ref_Module]]&amp;CompilDonnées[[#This Row],[HarvestingDate]]</f>
        <v>94545665</v>
      </c>
    </row>
    <row r="67" spans="1:16">
      <c r="A67" s="5">
        <v>45622</v>
      </c>
      <c r="B67">
        <v>93</v>
      </c>
      <c r="C67" t="s">
        <v>10</v>
      </c>
      <c r="D67">
        <v>5</v>
      </c>
      <c r="E67">
        <v>100</v>
      </c>
      <c r="F67" t="s">
        <v>1</v>
      </c>
      <c r="G67" s="6">
        <v>45665</v>
      </c>
      <c r="H67">
        <v>43</v>
      </c>
      <c r="I67">
        <f>ROUND(CompilDonnées[[#This Row],[CultureDuration_days]]/7,0)</f>
        <v>6</v>
      </c>
      <c r="J67">
        <v>3699</v>
      </c>
      <c r="K67" t="str">
        <f>_xlfn.CONCAT(WEEKNUM(CompilDonnées[[#This Row],[PlantationDate]]), " ", YEAR(CompilDonnées[[#This Row],[PlantationDate]]))</f>
        <v>48 2024</v>
      </c>
      <c r="L67" t="str">
        <f>CONCATENATE(MONTH(CompilDonnées[[#This Row],[PlantationDate]])," ", YEAR(CompilDonnées[[#This Row],[PlantationDate]]))</f>
        <v>11 2024</v>
      </c>
      <c r="M67" t="str">
        <f>CONCATENATE(MONTH(CompilDonnées[[#This Row],[HarvestingDate]])," ", YEAR(CompilDonnées[[#This Row],[HarvestingDate]]))</f>
        <v>1 2025</v>
      </c>
      <c r="N67">
        <f>_xlfn.NUMBERVALUE(CompilDonnées[[#This Row],[FarmID]]&amp;CompilDonnées[[#This Row],[ModuleNumber]]&amp;CompilDonnées[[#This Row],[PlantationDate]])</f>
        <v>93545622</v>
      </c>
      <c r="O67" t="str">
        <f>CompilDonnées[[#This Row],[FarmID]]&amp;CompilDonnées[[#This Row],[ModuleNumber]]</f>
        <v>935</v>
      </c>
      <c r="P67" t="str">
        <f>CompilDonnées[[#This Row],[Ref_Module]]&amp;CompilDonnées[[#This Row],[HarvestingDate]]</f>
        <v>93545665</v>
      </c>
    </row>
    <row r="68" spans="1:16">
      <c r="A68" s="5">
        <v>45622</v>
      </c>
      <c r="B68">
        <v>92</v>
      </c>
      <c r="C68" t="s">
        <v>66</v>
      </c>
      <c r="D68">
        <v>5</v>
      </c>
      <c r="E68">
        <v>100</v>
      </c>
      <c r="F68" t="s">
        <v>1</v>
      </c>
      <c r="G68" s="6">
        <v>45665</v>
      </c>
      <c r="H68">
        <v>43</v>
      </c>
      <c r="I68">
        <f>ROUND(CompilDonnées[[#This Row],[CultureDuration_days]]/7,0)</f>
        <v>6</v>
      </c>
      <c r="J68">
        <v>3098</v>
      </c>
      <c r="K68" t="str">
        <f>_xlfn.CONCAT(WEEKNUM(CompilDonnées[[#This Row],[PlantationDate]]), " ", YEAR(CompilDonnées[[#This Row],[PlantationDate]]))</f>
        <v>48 2024</v>
      </c>
      <c r="L68" t="str">
        <f>CONCATENATE(MONTH(CompilDonnées[[#This Row],[PlantationDate]])," ", YEAR(CompilDonnées[[#This Row],[PlantationDate]]))</f>
        <v>11 2024</v>
      </c>
      <c r="M68" t="str">
        <f>CONCATENATE(MONTH(CompilDonnées[[#This Row],[HarvestingDate]])," ", YEAR(CompilDonnées[[#This Row],[HarvestingDate]]))</f>
        <v>1 2025</v>
      </c>
      <c r="N68">
        <f>_xlfn.NUMBERVALUE(CompilDonnées[[#This Row],[FarmID]]&amp;CompilDonnées[[#This Row],[ModuleNumber]]&amp;CompilDonnées[[#This Row],[PlantationDate]])</f>
        <v>92545622</v>
      </c>
      <c r="O68" t="str">
        <f>CompilDonnées[[#This Row],[FarmID]]&amp;CompilDonnées[[#This Row],[ModuleNumber]]</f>
        <v>925</v>
      </c>
      <c r="P68" t="str">
        <f>CompilDonnées[[#This Row],[Ref_Module]]&amp;CompilDonnées[[#This Row],[HarvestingDate]]</f>
        <v>92545665</v>
      </c>
    </row>
    <row r="69" spans="1:16">
      <c r="A69" s="5">
        <v>45622</v>
      </c>
      <c r="B69">
        <v>88</v>
      </c>
      <c r="C69" t="s">
        <v>94</v>
      </c>
      <c r="D69">
        <v>6</v>
      </c>
      <c r="E69">
        <v>100</v>
      </c>
      <c r="F69" t="s">
        <v>1</v>
      </c>
      <c r="G69" s="6">
        <v>45666</v>
      </c>
      <c r="H69">
        <v>44</v>
      </c>
      <c r="I69">
        <f>ROUND(CompilDonnées[[#This Row],[CultureDuration_days]]/7,0)</f>
        <v>6</v>
      </c>
      <c r="J69">
        <v>4228</v>
      </c>
      <c r="K69" t="str">
        <f>_xlfn.CONCAT(WEEKNUM(CompilDonnées[[#This Row],[PlantationDate]]), " ", YEAR(CompilDonnées[[#This Row],[PlantationDate]]))</f>
        <v>48 2024</v>
      </c>
      <c r="L69" t="str">
        <f>CONCATENATE(MONTH(CompilDonnées[[#This Row],[PlantationDate]])," ", YEAR(CompilDonnées[[#This Row],[PlantationDate]]))</f>
        <v>11 2024</v>
      </c>
      <c r="M69" t="str">
        <f>CONCATENATE(MONTH(CompilDonnées[[#This Row],[HarvestingDate]])," ", YEAR(CompilDonnées[[#This Row],[HarvestingDate]]))</f>
        <v>1 2025</v>
      </c>
      <c r="N69">
        <f>_xlfn.NUMBERVALUE(CompilDonnées[[#This Row],[FarmID]]&amp;CompilDonnées[[#This Row],[ModuleNumber]]&amp;CompilDonnées[[#This Row],[PlantationDate]])</f>
        <v>88645622</v>
      </c>
      <c r="O69" t="str">
        <f>CompilDonnées[[#This Row],[FarmID]]&amp;CompilDonnées[[#This Row],[ModuleNumber]]</f>
        <v>886</v>
      </c>
      <c r="P69" t="str">
        <f>CompilDonnées[[#This Row],[Ref_Module]]&amp;CompilDonnées[[#This Row],[HarvestingDate]]</f>
        <v>88645666</v>
      </c>
    </row>
    <row r="70" spans="1:16">
      <c r="A70" s="5">
        <v>45622</v>
      </c>
      <c r="B70">
        <v>87</v>
      </c>
      <c r="C70" t="s">
        <v>38</v>
      </c>
      <c r="D70">
        <v>6</v>
      </c>
      <c r="E70">
        <v>100</v>
      </c>
      <c r="F70" t="s">
        <v>1</v>
      </c>
      <c r="G70" s="6">
        <v>45665</v>
      </c>
      <c r="H70">
        <v>43</v>
      </c>
      <c r="I70">
        <f>ROUND(CompilDonnées[[#This Row],[CultureDuration_days]]/7,0)</f>
        <v>6</v>
      </c>
      <c r="J70">
        <v>2797</v>
      </c>
      <c r="K70" t="str">
        <f>_xlfn.CONCAT(WEEKNUM(CompilDonnées[[#This Row],[PlantationDate]]), " ", YEAR(CompilDonnées[[#This Row],[PlantationDate]]))</f>
        <v>48 2024</v>
      </c>
      <c r="L70" t="str">
        <f>CONCATENATE(MONTH(CompilDonnées[[#This Row],[PlantationDate]])," ", YEAR(CompilDonnées[[#This Row],[PlantationDate]]))</f>
        <v>11 2024</v>
      </c>
      <c r="M70" t="str">
        <f>CONCATENATE(MONTH(CompilDonnées[[#This Row],[HarvestingDate]])," ", YEAR(CompilDonnées[[#This Row],[HarvestingDate]]))</f>
        <v>1 2025</v>
      </c>
      <c r="N70">
        <f>_xlfn.NUMBERVALUE(CompilDonnées[[#This Row],[FarmID]]&amp;CompilDonnées[[#This Row],[ModuleNumber]]&amp;CompilDonnées[[#This Row],[PlantationDate]])</f>
        <v>87645622</v>
      </c>
      <c r="O70" t="str">
        <f>CompilDonnées[[#This Row],[FarmID]]&amp;CompilDonnées[[#This Row],[ModuleNumber]]</f>
        <v>876</v>
      </c>
      <c r="P70" t="str">
        <f>CompilDonnées[[#This Row],[Ref_Module]]&amp;CompilDonnées[[#This Row],[HarvestingDate]]</f>
        <v>87645665</v>
      </c>
    </row>
    <row r="71" spans="1:16">
      <c r="A71" s="5">
        <v>45622</v>
      </c>
      <c r="B71">
        <v>43</v>
      </c>
      <c r="C71" t="s">
        <v>45</v>
      </c>
      <c r="D71">
        <v>5</v>
      </c>
      <c r="E71">
        <v>100</v>
      </c>
      <c r="F71" t="s">
        <v>1</v>
      </c>
      <c r="G71" s="6">
        <v>45667</v>
      </c>
      <c r="H71">
        <v>45</v>
      </c>
      <c r="I71">
        <f>ROUND(CompilDonnées[[#This Row],[CultureDuration_days]]/7,0)</f>
        <v>6</v>
      </c>
      <c r="J71">
        <v>2786</v>
      </c>
      <c r="K71" t="str">
        <f>_xlfn.CONCAT(WEEKNUM(CompilDonnées[[#This Row],[PlantationDate]]), " ", YEAR(CompilDonnées[[#This Row],[PlantationDate]]))</f>
        <v>48 2024</v>
      </c>
      <c r="L71" t="str">
        <f>CONCATENATE(MONTH(CompilDonnées[[#This Row],[PlantationDate]])," ", YEAR(CompilDonnées[[#This Row],[PlantationDate]]))</f>
        <v>11 2024</v>
      </c>
      <c r="M71" t="str">
        <f>CONCATENATE(MONTH(CompilDonnées[[#This Row],[HarvestingDate]])," ", YEAR(CompilDonnées[[#This Row],[HarvestingDate]]))</f>
        <v>1 2025</v>
      </c>
      <c r="N71">
        <f>_xlfn.NUMBERVALUE(CompilDonnées[[#This Row],[FarmID]]&amp;CompilDonnées[[#This Row],[ModuleNumber]]&amp;CompilDonnées[[#This Row],[PlantationDate]])</f>
        <v>43545622</v>
      </c>
      <c r="O71" t="str">
        <f>CompilDonnées[[#This Row],[FarmID]]&amp;CompilDonnées[[#This Row],[ModuleNumber]]</f>
        <v>435</v>
      </c>
      <c r="P71" t="str">
        <f>CompilDonnées[[#This Row],[Ref_Module]]&amp;CompilDonnées[[#This Row],[HarvestingDate]]</f>
        <v>43545667</v>
      </c>
    </row>
    <row r="72" spans="1:16">
      <c r="A72" s="5">
        <v>45622</v>
      </c>
      <c r="B72">
        <v>37</v>
      </c>
      <c r="C72" t="s">
        <v>26</v>
      </c>
      <c r="D72">
        <v>5</v>
      </c>
      <c r="E72">
        <v>100</v>
      </c>
      <c r="F72" t="s">
        <v>1</v>
      </c>
      <c r="G72" s="6">
        <v>45667</v>
      </c>
      <c r="H72">
        <v>45</v>
      </c>
      <c r="I72">
        <f>ROUND(CompilDonnées[[#This Row],[CultureDuration_days]]/7,0)</f>
        <v>6</v>
      </c>
      <c r="J72">
        <v>2909</v>
      </c>
      <c r="K72" t="str">
        <f>_xlfn.CONCAT(WEEKNUM(CompilDonnées[[#This Row],[PlantationDate]]), " ", YEAR(CompilDonnées[[#This Row],[PlantationDate]]))</f>
        <v>48 2024</v>
      </c>
      <c r="L72" t="str">
        <f>CONCATENATE(MONTH(CompilDonnées[[#This Row],[PlantationDate]])," ", YEAR(CompilDonnées[[#This Row],[PlantationDate]]))</f>
        <v>11 2024</v>
      </c>
      <c r="M72" t="str">
        <f>CONCATENATE(MONTH(CompilDonnées[[#This Row],[HarvestingDate]])," ", YEAR(CompilDonnées[[#This Row],[HarvestingDate]]))</f>
        <v>1 2025</v>
      </c>
      <c r="N72">
        <f>_xlfn.NUMBERVALUE(CompilDonnées[[#This Row],[FarmID]]&amp;CompilDonnées[[#This Row],[ModuleNumber]]&amp;CompilDonnées[[#This Row],[PlantationDate]])</f>
        <v>37545622</v>
      </c>
      <c r="O72" t="str">
        <f>CompilDonnées[[#This Row],[FarmID]]&amp;CompilDonnées[[#This Row],[ModuleNumber]]</f>
        <v>375</v>
      </c>
      <c r="P72" t="str">
        <f>CompilDonnées[[#This Row],[Ref_Module]]&amp;CompilDonnées[[#This Row],[HarvestingDate]]</f>
        <v>37545667</v>
      </c>
    </row>
    <row r="73" spans="1:16">
      <c r="A73" s="5">
        <v>45622</v>
      </c>
      <c r="B73">
        <v>38</v>
      </c>
      <c r="C73" t="s">
        <v>34</v>
      </c>
      <c r="D73">
        <v>6</v>
      </c>
      <c r="E73">
        <v>100</v>
      </c>
      <c r="F73" t="s">
        <v>1</v>
      </c>
      <c r="G73" s="6">
        <v>45664</v>
      </c>
      <c r="H73">
        <v>42</v>
      </c>
      <c r="I73">
        <f>ROUND(CompilDonnées[[#This Row],[CultureDuration_days]]/7,0)</f>
        <v>6</v>
      </c>
      <c r="J73">
        <v>4879</v>
      </c>
      <c r="K73" t="str">
        <f>_xlfn.CONCAT(WEEKNUM(CompilDonnées[[#This Row],[PlantationDate]]), " ", YEAR(CompilDonnées[[#This Row],[PlantationDate]]))</f>
        <v>48 2024</v>
      </c>
      <c r="L73" t="str">
        <f>CONCATENATE(MONTH(CompilDonnées[[#This Row],[PlantationDate]])," ", YEAR(CompilDonnées[[#This Row],[PlantationDate]]))</f>
        <v>11 2024</v>
      </c>
      <c r="M73" t="str">
        <f>CONCATENATE(MONTH(CompilDonnées[[#This Row],[HarvestingDate]])," ", YEAR(CompilDonnées[[#This Row],[HarvestingDate]]))</f>
        <v>1 2025</v>
      </c>
      <c r="N73">
        <f>_xlfn.NUMBERVALUE(CompilDonnées[[#This Row],[FarmID]]&amp;CompilDonnées[[#This Row],[ModuleNumber]]&amp;CompilDonnées[[#This Row],[PlantationDate]])</f>
        <v>38645622</v>
      </c>
      <c r="O73" t="str">
        <f>CompilDonnées[[#This Row],[FarmID]]&amp;CompilDonnées[[#This Row],[ModuleNumber]]</f>
        <v>386</v>
      </c>
      <c r="P73" t="str">
        <f>CompilDonnées[[#This Row],[Ref_Module]]&amp;CompilDonnées[[#This Row],[HarvestingDate]]</f>
        <v>38645664</v>
      </c>
    </row>
    <row r="74" spans="1:16">
      <c r="A74" s="5">
        <v>45622</v>
      </c>
      <c r="B74">
        <v>32</v>
      </c>
      <c r="C74" t="s">
        <v>25</v>
      </c>
      <c r="D74">
        <v>3</v>
      </c>
      <c r="E74">
        <v>100</v>
      </c>
      <c r="F74" t="s">
        <v>1</v>
      </c>
      <c r="G74" s="6">
        <v>45663</v>
      </c>
      <c r="H74">
        <v>41</v>
      </c>
      <c r="I74">
        <f>ROUND(CompilDonnées[[#This Row],[CultureDuration_days]]/7,0)</f>
        <v>6</v>
      </c>
      <c r="J74">
        <v>3778</v>
      </c>
      <c r="K74" t="str">
        <f>_xlfn.CONCAT(WEEKNUM(CompilDonnées[[#This Row],[PlantationDate]]), " ", YEAR(CompilDonnées[[#This Row],[PlantationDate]]))</f>
        <v>48 2024</v>
      </c>
      <c r="L74" t="str">
        <f>CONCATENATE(MONTH(CompilDonnées[[#This Row],[PlantationDate]])," ", YEAR(CompilDonnées[[#This Row],[PlantationDate]]))</f>
        <v>11 2024</v>
      </c>
      <c r="M74" t="str">
        <f>CONCATENATE(MONTH(CompilDonnées[[#This Row],[HarvestingDate]])," ", YEAR(CompilDonnées[[#This Row],[HarvestingDate]]))</f>
        <v>1 2025</v>
      </c>
      <c r="N74">
        <f>_xlfn.NUMBERVALUE(CompilDonnées[[#This Row],[FarmID]]&amp;CompilDonnées[[#This Row],[ModuleNumber]]&amp;CompilDonnées[[#This Row],[PlantationDate]])</f>
        <v>32345622</v>
      </c>
      <c r="O74" t="str">
        <f>CompilDonnées[[#This Row],[FarmID]]&amp;CompilDonnées[[#This Row],[ModuleNumber]]</f>
        <v>323</v>
      </c>
      <c r="P74" t="str">
        <f>CompilDonnées[[#This Row],[Ref_Module]]&amp;CompilDonnées[[#This Row],[HarvestingDate]]</f>
        <v>32345663</v>
      </c>
    </row>
    <row r="75" spans="1:16">
      <c r="A75" s="5">
        <v>45622</v>
      </c>
      <c r="B75">
        <v>31</v>
      </c>
      <c r="C75" t="s">
        <v>62</v>
      </c>
      <c r="D75">
        <v>3</v>
      </c>
      <c r="E75">
        <v>100</v>
      </c>
      <c r="F75" t="s">
        <v>1</v>
      </c>
      <c r="G75" s="6">
        <v>45671</v>
      </c>
      <c r="H75">
        <v>49</v>
      </c>
      <c r="I75">
        <f>ROUND(CompilDonnées[[#This Row],[CultureDuration_days]]/7,0)</f>
        <v>7</v>
      </c>
      <c r="J75">
        <v>2019</v>
      </c>
      <c r="K75" t="str">
        <f>_xlfn.CONCAT(WEEKNUM(CompilDonnées[[#This Row],[PlantationDate]]), " ", YEAR(CompilDonnées[[#This Row],[PlantationDate]]))</f>
        <v>48 2024</v>
      </c>
      <c r="L75" t="str">
        <f>CONCATENATE(MONTH(CompilDonnées[[#This Row],[PlantationDate]])," ", YEAR(CompilDonnées[[#This Row],[PlantationDate]]))</f>
        <v>11 2024</v>
      </c>
      <c r="M75" t="str">
        <f>CONCATENATE(MONTH(CompilDonnées[[#This Row],[HarvestingDate]])," ", YEAR(CompilDonnées[[#This Row],[HarvestingDate]]))</f>
        <v>1 2025</v>
      </c>
      <c r="N75">
        <f>_xlfn.NUMBERVALUE(CompilDonnées[[#This Row],[FarmID]]&amp;CompilDonnées[[#This Row],[ModuleNumber]]&amp;CompilDonnées[[#This Row],[PlantationDate]])</f>
        <v>31345622</v>
      </c>
      <c r="O75" t="str">
        <f>CompilDonnées[[#This Row],[FarmID]]&amp;CompilDonnées[[#This Row],[ModuleNumber]]</f>
        <v>313</v>
      </c>
      <c r="P75" t="str">
        <f>CompilDonnées[[#This Row],[Ref_Module]]&amp;CompilDonnées[[#This Row],[HarvestingDate]]</f>
        <v>31345671</v>
      </c>
    </row>
    <row r="76" spans="1:16">
      <c r="A76" s="5">
        <v>45622</v>
      </c>
      <c r="B76">
        <v>30</v>
      </c>
      <c r="C76" t="s">
        <v>4</v>
      </c>
      <c r="D76">
        <v>6</v>
      </c>
      <c r="E76">
        <v>100</v>
      </c>
      <c r="F76" t="s">
        <v>1</v>
      </c>
      <c r="G76" s="6">
        <v>45663</v>
      </c>
      <c r="H76">
        <v>41</v>
      </c>
      <c r="I76">
        <f>ROUND(CompilDonnées[[#This Row],[CultureDuration_days]]/7,0)</f>
        <v>6</v>
      </c>
      <c r="J76">
        <v>3114</v>
      </c>
      <c r="K76" t="str">
        <f>_xlfn.CONCAT(WEEKNUM(CompilDonnées[[#This Row],[PlantationDate]]), " ", YEAR(CompilDonnées[[#This Row],[PlantationDate]]))</f>
        <v>48 2024</v>
      </c>
      <c r="L76" t="str">
        <f>CONCATENATE(MONTH(CompilDonnées[[#This Row],[PlantationDate]])," ", YEAR(CompilDonnées[[#This Row],[PlantationDate]]))</f>
        <v>11 2024</v>
      </c>
      <c r="M76" t="str">
        <f>CONCATENATE(MONTH(CompilDonnées[[#This Row],[HarvestingDate]])," ", YEAR(CompilDonnées[[#This Row],[HarvestingDate]]))</f>
        <v>1 2025</v>
      </c>
      <c r="N76">
        <f>_xlfn.NUMBERVALUE(CompilDonnées[[#This Row],[FarmID]]&amp;CompilDonnées[[#This Row],[ModuleNumber]]&amp;CompilDonnées[[#This Row],[PlantationDate]])</f>
        <v>30645622</v>
      </c>
      <c r="O76" t="str">
        <f>CompilDonnées[[#This Row],[FarmID]]&amp;CompilDonnées[[#This Row],[ModuleNumber]]</f>
        <v>306</v>
      </c>
      <c r="P76" t="str">
        <f>CompilDonnées[[#This Row],[Ref_Module]]&amp;CompilDonnées[[#This Row],[HarvestingDate]]</f>
        <v>30645663</v>
      </c>
    </row>
    <row r="77" spans="1:16">
      <c r="A77" s="5">
        <v>45622</v>
      </c>
      <c r="B77">
        <v>29</v>
      </c>
      <c r="C77" t="s">
        <v>2</v>
      </c>
      <c r="D77">
        <v>6</v>
      </c>
      <c r="E77">
        <v>100</v>
      </c>
      <c r="F77" t="s">
        <v>1</v>
      </c>
      <c r="G77" s="6">
        <v>45663</v>
      </c>
      <c r="H77">
        <v>41</v>
      </c>
      <c r="I77">
        <f>ROUND(CompilDonnées[[#This Row],[CultureDuration_days]]/7,0)</f>
        <v>6</v>
      </c>
      <c r="J77">
        <v>2687</v>
      </c>
      <c r="K77" t="str">
        <f>_xlfn.CONCAT(WEEKNUM(CompilDonnées[[#This Row],[PlantationDate]]), " ", YEAR(CompilDonnées[[#This Row],[PlantationDate]]))</f>
        <v>48 2024</v>
      </c>
      <c r="L77" t="str">
        <f>CONCATENATE(MONTH(CompilDonnées[[#This Row],[PlantationDate]])," ", YEAR(CompilDonnées[[#This Row],[PlantationDate]]))</f>
        <v>11 2024</v>
      </c>
      <c r="M77" t="str">
        <f>CONCATENATE(MONTH(CompilDonnées[[#This Row],[HarvestingDate]])," ", YEAR(CompilDonnées[[#This Row],[HarvestingDate]]))</f>
        <v>1 2025</v>
      </c>
      <c r="N77">
        <f>_xlfn.NUMBERVALUE(CompilDonnées[[#This Row],[FarmID]]&amp;CompilDonnées[[#This Row],[ModuleNumber]]&amp;CompilDonnées[[#This Row],[PlantationDate]])</f>
        <v>29645622</v>
      </c>
      <c r="O77" t="str">
        <f>CompilDonnées[[#This Row],[FarmID]]&amp;CompilDonnées[[#This Row],[ModuleNumber]]</f>
        <v>296</v>
      </c>
      <c r="P77" t="str">
        <f>CompilDonnées[[#This Row],[Ref_Module]]&amp;CompilDonnées[[#This Row],[HarvestingDate]]</f>
        <v>29645663</v>
      </c>
    </row>
    <row r="78" spans="1:16">
      <c r="A78" s="5">
        <v>45622</v>
      </c>
      <c r="B78">
        <v>24</v>
      </c>
      <c r="C78" t="s">
        <v>31</v>
      </c>
      <c r="D78">
        <v>2</v>
      </c>
      <c r="E78">
        <v>100</v>
      </c>
      <c r="F78" t="s">
        <v>1</v>
      </c>
      <c r="G78" s="6">
        <v>45663</v>
      </c>
      <c r="H78">
        <v>41</v>
      </c>
      <c r="I78">
        <f>ROUND(CompilDonnées[[#This Row],[CultureDuration_days]]/7,0)</f>
        <v>6</v>
      </c>
      <c r="J78">
        <v>4086</v>
      </c>
      <c r="K78" t="str">
        <f>_xlfn.CONCAT(WEEKNUM(CompilDonnées[[#This Row],[PlantationDate]]), " ", YEAR(CompilDonnées[[#This Row],[PlantationDate]]))</f>
        <v>48 2024</v>
      </c>
      <c r="L78" t="str">
        <f>CONCATENATE(MONTH(CompilDonnées[[#This Row],[PlantationDate]])," ", YEAR(CompilDonnées[[#This Row],[PlantationDate]]))</f>
        <v>11 2024</v>
      </c>
      <c r="M78" t="str">
        <f>CONCATENATE(MONTH(CompilDonnées[[#This Row],[HarvestingDate]])," ", YEAR(CompilDonnées[[#This Row],[HarvestingDate]]))</f>
        <v>1 2025</v>
      </c>
      <c r="N78">
        <f>_xlfn.NUMBERVALUE(CompilDonnées[[#This Row],[FarmID]]&amp;CompilDonnées[[#This Row],[ModuleNumber]]&amp;CompilDonnées[[#This Row],[PlantationDate]])</f>
        <v>24245622</v>
      </c>
      <c r="O78" t="str">
        <f>CompilDonnées[[#This Row],[FarmID]]&amp;CompilDonnées[[#This Row],[ModuleNumber]]</f>
        <v>242</v>
      </c>
      <c r="P78" t="str">
        <f>CompilDonnées[[#This Row],[Ref_Module]]&amp;CompilDonnées[[#This Row],[HarvestingDate]]</f>
        <v>24245663</v>
      </c>
    </row>
    <row r="79" spans="1:16">
      <c r="A79" s="5">
        <v>45622</v>
      </c>
      <c r="B79">
        <v>16</v>
      </c>
      <c r="C79" t="s">
        <v>112</v>
      </c>
      <c r="D79">
        <v>1</v>
      </c>
      <c r="E79">
        <v>100</v>
      </c>
      <c r="F79" t="s">
        <v>1</v>
      </c>
      <c r="G79" s="6">
        <v>45663</v>
      </c>
      <c r="H79">
        <v>41</v>
      </c>
      <c r="I79">
        <f>ROUND(CompilDonnées[[#This Row],[CultureDuration_days]]/7,0)</f>
        <v>6</v>
      </c>
      <c r="J79">
        <v>2176</v>
      </c>
      <c r="K79" t="str">
        <f>_xlfn.CONCAT(WEEKNUM(CompilDonnées[[#This Row],[PlantationDate]]), " ", YEAR(CompilDonnées[[#This Row],[PlantationDate]]))</f>
        <v>48 2024</v>
      </c>
      <c r="L79" t="str">
        <f>CONCATENATE(MONTH(CompilDonnées[[#This Row],[PlantationDate]])," ", YEAR(CompilDonnées[[#This Row],[PlantationDate]]))</f>
        <v>11 2024</v>
      </c>
      <c r="M79" t="str">
        <f>CONCATENATE(MONTH(CompilDonnées[[#This Row],[HarvestingDate]])," ", YEAR(CompilDonnées[[#This Row],[HarvestingDate]]))</f>
        <v>1 2025</v>
      </c>
      <c r="N79">
        <f>_xlfn.NUMBERVALUE(CompilDonnées[[#This Row],[FarmID]]&amp;CompilDonnées[[#This Row],[ModuleNumber]]&amp;CompilDonnées[[#This Row],[PlantationDate]])</f>
        <v>16145622</v>
      </c>
      <c r="O79" t="str">
        <f>CompilDonnées[[#This Row],[FarmID]]&amp;CompilDonnées[[#This Row],[ModuleNumber]]</f>
        <v>161</v>
      </c>
      <c r="P79" t="str">
        <f>CompilDonnées[[#This Row],[Ref_Module]]&amp;CompilDonnées[[#This Row],[HarvestingDate]]</f>
        <v>16145663</v>
      </c>
    </row>
    <row r="80" spans="1:16">
      <c r="A80" s="5">
        <v>45622</v>
      </c>
      <c r="B80">
        <v>15</v>
      </c>
      <c r="C80" t="s">
        <v>5</v>
      </c>
      <c r="D80">
        <v>6</v>
      </c>
      <c r="E80">
        <v>100</v>
      </c>
      <c r="F80" t="s">
        <v>1</v>
      </c>
      <c r="G80" s="6">
        <v>45663</v>
      </c>
      <c r="H80">
        <v>41</v>
      </c>
      <c r="I80">
        <f>ROUND(CompilDonnées[[#This Row],[CultureDuration_days]]/7,0)</f>
        <v>6</v>
      </c>
      <c r="J80">
        <v>2212</v>
      </c>
      <c r="K80" t="str">
        <f>_xlfn.CONCAT(WEEKNUM(CompilDonnées[[#This Row],[PlantationDate]]), " ", YEAR(CompilDonnées[[#This Row],[PlantationDate]]))</f>
        <v>48 2024</v>
      </c>
      <c r="L80" t="str">
        <f>CONCATENATE(MONTH(CompilDonnées[[#This Row],[PlantationDate]])," ", YEAR(CompilDonnées[[#This Row],[PlantationDate]]))</f>
        <v>11 2024</v>
      </c>
      <c r="M80" t="str">
        <f>CONCATENATE(MONTH(CompilDonnées[[#This Row],[HarvestingDate]])," ", YEAR(CompilDonnées[[#This Row],[HarvestingDate]]))</f>
        <v>1 2025</v>
      </c>
      <c r="N80">
        <f>_xlfn.NUMBERVALUE(CompilDonnées[[#This Row],[FarmID]]&amp;CompilDonnées[[#This Row],[ModuleNumber]]&amp;CompilDonnées[[#This Row],[PlantationDate]])</f>
        <v>15645622</v>
      </c>
      <c r="O80" t="str">
        <f>CompilDonnées[[#This Row],[FarmID]]&amp;CompilDonnées[[#This Row],[ModuleNumber]]</f>
        <v>156</v>
      </c>
      <c r="P80" t="str">
        <f>CompilDonnées[[#This Row],[Ref_Module]]&amp;CompilDonnées[[#This Row],[HarvestingDate]]</f>
        <v>15645663</v>
      </c>
    </row>
    <row r="81" spans="1:16">
      <c r="A81" s="5">
        <v>45622</v>
      </c>
      <c r="B81">
        <v>17</v>
      </c>
      <c r="C81" t="s">
        <v>80</v>
      </c>
      <c r="D81">
        <v>4</v>
      </c>
      <c r="E81">
        <v>100</v>
      </c>
      <c r="F81" t="s">
        <v>1</v>
      </c>
      <c r="G81" s="6">
        <v>45663</v>
      </c>
      <c r="H81">
        <v>41</v>
      </c>
      <c r="I81">
        <f>ROUND(CompilDonnées[[#This Row],[CultureDuration_days]]/7,0)</f>
        <v>6</v>
      </c>
      <c r="J81">
        <v>2508</v>
      </c>
      <c r="K81" t="str">
        <f>_xlfn.CONCAT(WEEKNUM(CompilDonnées[[#This Row],[PlantationDate]]), " ", YEAR(CompilDonnées[[#This Row],[PlantationDate]]))</f>
        <v>48 2024</v>
      </c>
      <c r="L81" t="str">
        <f>CONCATENATE(MONTH(CompilDonnées[[#This Row],[PlantationDate]])," ", YEAR(CompilDonnées[[#This Row],[PlantationDate]]))</f>
        <v>11 2024</v>
      </c>
      <c r="M81" t="str">
        <f>CONCATENATE(MONTH(CompilDonnées[[#This Row],[HarvestingDate]])," ", YEAR(CompilDonnées[[#This Row],[HarvestingDate]]))</f>
        <v>1 2025</v>
      </c>
      <c r="N81">
        <f>_xlfn.NUMBERVALUE(CompilDonnées[[#This Row],[FarmID]]&amp;CompilDonnées[[#This Row],[ModuleNumber]]&amp;CompilDonnées[[#This Row],[PlantationDate]])</f>
        <v>17445622</v>
      </c>
      <c r="O81" t="str">
        <f>CompilDonnées[[#This Row],[FarmID]]&amp;CompilDonnées[[#This Row],[ModuleNumber]]</f>
        <v>174</v>
      </c>
      <c r="P81" t="str">
        <f>CompilDonnées[[#This Row],[Ref_Module]]&amp;CompilDonnées[[#This Row],[HarvestingDate]]</f>
        <v>17445663</v>
      </c>
    </row>
    <row r="82" spans="1:16">
      <c r="A82" s="5">
        <v>45622</v>
      </c>
      <c r="B82">
        <v>18</v>
      </c>
      <c r="C82" t="s">
        <v>33</v>
      </c>
      <c r="D82">
        <v>6</v>
      </c>
      <c r="E82">
        <v>100</v>
      </c>
      <c r="F82" t="s">
        <v>1</v>
      </c>
      <c r="G82" s="6">
        <v>45663</v>
      </c>
      <c r="H82">
        <v>41</v>
      </c>
      <c r="I82">
        <f>ROUND(CompilDonnées[[#This Row],[CultureDuration_days]]/7,0)</f>
        <v>6</v>
      </c>
      <c r="J82">
        <v>3793</v>
      </c>
      <c r="K82" t="str">
        <f>_xlfn.CONCAT(WEEKNUM(CompilDonnées[[#This Row],[PlantationDate]]), " ", YEAR(CompilDonnées[[#This Row],[PlantationDate]]))</f>
        <v>48 2024</v>
      </c>
      <c r="L82" t="str">
        <f>CONCATENATE(MONTH(CompilDonnées[[#This Row],[PlantationDate]])," ", YEAR(CompilDonnées[[#This Row],[PlantationDate]]))</f>
        <v>11 2024</v>
      </c>
      <c r="M82" t="str">
        <f>CONCATENATE(MONTH(CompilDonnées[[#This Row],[HarvestingDate]])," ", YEAR(CompilDonnées[[#This Row],[HarvestingDate]]))</f>
        <v>1 2025</v>
      </c>
      <c r="N82">
        <f>_xlfn.NUMBERVALUE(CompilDonnées[[#This Row],[FarmID]]&amp;CompilDonnées[[#This Row],[ModuleNumber]]&amp;CompilDonnées[[#This Row],[PlantationDate]])</f>
        <v>18645622</v>
      </c>
      <c r="O82" t="str">
        <f>CompilDonnées[[#This Row],[FarmID]]&amp;CompilDonnées[[#This Row],[ModuleNumber]]</f>
        <v>186</v>
      </c>
      <c r="P82" t="str">
        <f>CompilDonnées[[#This Row],[Ref_Module]]&amp;CompilDonnées[[#This Row],[HarvestingDate]]</f>
        <v>18645663</v>
      </c>
    </row>
    <row r="83" spans="1:16">
      <c r="A83" s="5">
        <v>45622</v>
      </c>
      <c r="B83">
        <v>4</v>
      </c>
      <c r="C83" t="s">
        <v>74</v>
      </c>
      <c r="D83">
        <v>5</v>
      </c>
      <c r="E83">
        <v>100</v>
      </c>
      <c r="F83" t="s">
        <v>1</v>
      </c>
      <c r="G83" s="6">
        <v>45663</v>
      </c>
      <c r="H83">
        <v>41</v>
      </c>
      <c r="I83">
        <f>ROUND(CompilDonnées[[#This Row],[CultureDuration_days]]/7,0)</f>
        <v>6</v>
      </c>
      <c r="J83">
        <v>1985</v>
      </c>
      <c r="K83" t="str">
        <f>_xlfn.CONCAT(WEEKNUM(CompilDonnées[[#This Row],[PlantationDate]]), " ", YEAR(CompilDonnées[[#This Row],[PlantationDate]]))</f>
        <v>48 2024</v>
      </c>
      <c r="L83" t="str">
        <f>CONCATENATE(MONTH(CompilDonnées[[#This Row],[PlantationDate]])," ", YEAR(CompilDonnées[[#This Row],[PlantationDate]]))</f>
        <v>11 2024</v>
      </c>
      <c r="M83" t="str">
        <f>CONCATENATE(MONTH(CompilDonnées[[#This Row],[HarvestingDate]])," ", YEAR(CompilDonnées[[#This Row],[HarvestingDate]]))</f>
        <v>1 2025</v>
      </c>
      <c r="N83">
        <f>_xlfn.NUMBERVALUE(CompilDonnées[[#This Row],[FarmID]]&amp;CompilDonnées[[#This Row],[ModuleNumber]]&amp;CompilDonnées[[#This Row],[PlantationDate]])</f>
        <v>4545622</v>
      </c>
      <c r="O83" t="str">
        <f>CompilDonnées[[#This Row],[FarmID]]&amp;CompilDonnées[[#This Row],[ModuleNumber]]</f>
        <v>45</v>
      </c>
      <c r="P83" t="str">
        <f>CompilDonnées[[#This Row],[Ref_Module]]&amp;CompilDonnées[[#This Row],[HarvestingDate]]</f>
        <v>4545663</v>
      </c>
    </row>
    <row r="84" spans="1:16">
      <c r="A84" s="5">
        <v>45622</v>
      </c>
      <c r="B84">
        <v>5</v>
      </c>
      <c r="C84" t="s">
        <v>32</v>
      </c>
      <c r="D84">
        <v>3</v>
      </c>
      <c r="E84">
        <v>100</v>
      </c>
      <c r="F84" t="s">
        <v>1</v>
      </c>
      <c r="G84" s="6">
        <v>45663</v>
      </c>
      <c r="H84">
        <v>41</v>
      </c>
      <c r="I84">
        <f>ROUND(CompilDonnées[[#This Row],[CultureDuration_days]]/7,0)</f>
        <v>6</v>
      </c>
      <c r="J84">
        <v>2787</v>
      </c>
      <c r="K84" t="str">
        <f>_xlfn.CONCAT(WEEKNUM(CompilDonnées[[#This Row],[PlantationDate]]), " ", YEAR(CompilDonnées[[#This Row],[PlantationDate]]))</f>
        <v>48 2024</v>
      </c>
      <c r="L84" t="str">
        <f>CONCATENATE(MONTH(CompilDonnées[[#This Row],[PlantationDate]])," ", YEAR(CompilDonnées[[#This Row],[PlantationDate]]))</f>
        <v>11 2024</v>
      </c>
      <c r="M84" t="str">
        <f>CONCATENATE(MONTH(CompilDonnées[[#This Row],[HarvestingDate]])," ", YEAR(CompilDonnées[[#This Row],[HarvestingDate]]))</f>
        <v>1 2025</v>
      </c>
      <c r="N84">
        <f>_xlfn.NUMBERVALUE(CompilDonnées[[#This Row],[FarmID]]&amp;CompilDonnées[[#This Row],[ModuleNumber]]&amp;CompilDonnées[[#This Row],[PlantationDate]])</f>
        <v>5345622</v>
      </c>
      <c r="O84" t="str">
        <f>CompilDonnées[[#This Row],[FarmID]]&amp;CompilDonnées[[#This Row],[ModuleNumber]]</f>
        <v>53</v>
      </c>
      <c r="P84" t="str">
        <f>CompilDonnées[[#This Row],[Ref_Module]]&amp;CompilDonnées[[#This Row],[HarvestingDate]]</f>
        <v>5345663</v>
      </c>
    </row>
    <row r="85" spans="1:16">
      <c r="A85" s="5">
        <v>45622</v>
      </c>
      <c r="B85">
        <v>6</v>
      </c>
      <c r="C85" t="s">
        <v>24</v>
      </c>
      <c r="D85">
        <v>4</v>
      </c>
      <c r="E85">
        <v>100</v>
      </c>
      <c r="F85" t="s">
        <v>1</v>
      </c>
      <c r="G85" s="6">
        <v>45663</v>
      </c>
      <c r="H85">
        <v>41</v>
      </c>
      <c r="I85">
        <f>ROUND(CompilDonnées[[#This Row],[CultureDuration_days]]/7,0)</f>
        <v>6</v>
      </c>
      <c r="J85">
        <v>3123</v>
      </c>
      <c r="K85" t="str">
        <f>_xlfn.CONCAT(WEEKNUM(CompilDonnées[[#This Row],[PlantationDate]]), " ", YEAR(CompilDonnées[[#This Row],[PlantationDate]]))</f>
        <v>48 2024</v>
      </c>
      <c r="L85" t="str">
        <f>CONCATENATE(MONTH(CompilDonnées[[#This Row],[PlantationDate]])," ", YEAR(CompilDonnées[[#This Row],[PlantationDate]]))</f>
        <v>11 2024</v>
      </c>
      <c r="M85" t="str">
        <f>CONCATENATE(MONTH(CompilDonnées[[#This Row],[HarvestingDate]])," ", YEAR(CompilDonnées[[#This Row],[HarvestingDate]]))</f>
        <v>1 2025</v>
      </c>
      <c r="N85">
        <f>_xlfn.NUMBERVALUE(CompilDonnées[[#This Row],[FarmID]]&amp;CompilDonnées[[#This Row],[ModuleNumber]]&amp;CompilDonnées[[#This Row],[PlantationDate]])</f>
        <v>6445622</v>
      </c>
      <c r="O85" t="str">
        <f>CompilDonnées[[#This Row],[FarmID]]&amp;CompilDonnées[[#This Row],[ModuleNumber]]</f>
        <v>64</v>
      </c>
      <c r="P85" t="str">
        <f>CompilDonnées[[#This Row],[Ref_Module]]&amp;CompilDonnées[[#This Row],[HarvestingDate]]</f>
        <v>6445663</v>
      </c>
    </row>
    <row r="86" spans="1:16">
      <c r="A86" s="5">
        <v>45622</v>
      </c>
      <c r="B86">
        <v>54</v>
      </c>
      <c r="C86" t="s">
        <v>39</v>
      </c>
      <c r="D86">
        <v>1</v>
      </c>
      <c r="E86">
        <v>100</v>
      </c>
      <c r="F86" t="s">
        <v>1</v>
      </c>
      <c r="G86" s="6">
        <v>45664</v>
      </c>
      <c r="H86">
        <v>42</v>
      </c>
      <c r="I86">
        <f>ROUND(CompilDonnées[[#This Row],[CultureDuration_days]]/7,0)</f>
        <v>6</v>
      </c>
      <c r="J86">
        <v>1595</v>
      </c>
      <c r="K86" t="str">
        <f>_xlfn.CONCAT(WEEKNUM(CompilDonnées[[#This Row],[PlantationDate]]), " ", YEAR(CompilDonnées[[#This Row],[PlantationDate]]))</f>
        <v>48 2024</v>
      </c>
      <c r="L86" t="str">
        <f>CONCATENATE(MONTH(CompilDonnées[[#This Row],[PlantationDate]])," ", YEAR(CompilDonnées[[#This Row],[PlantationDate]]))</f>
        <v>11 2024</v>
      </c>
      <c r="M86" t="str">
        <f>CONCATENATE(MONTH(CompilDonnées[[#This Row],[HarvestingDate]])," ", YEAR(CompilDonnées[[#This Row],[HarvestingDate]]))</f>
        <v>1 2025</v>
      </c>
      <c r="N86">
        <f>_xlfn.NUMBERVALUE(CompilDonnées[[#This Row],[FarmID]]&amp;CompilDonnées[[#This Row],[ModuleNumber]]&amp;CompilDonnées[[#This Row],[PlantationDate]])</f>
        <v>54145622</v>
      </c>
      <c r="O86" t="str">
        <f>CompilDonnées[[#This Row],[FarmID]]&amp;CompilDonnées[[#This Row],[ModuleNumber]]</f>
        <v>541</v>
      </c>
      <c r="P86" t="str">
        <f>CompilDonnées[[#This Row],[Ref_Module]]&amp;CompilDonnées[[#This Row],[HarvestingDate]]</f>
        <v>54145664</v>
      </c>
    </row>
    <row r="87" spans="1:16">
      <c r="A87" s="5">
        <v>45622</v>
      </c>
      <c r="B87">
        <v>53</v>
      </c>
      <c r="C87" t="s">
        <v>83</v>
      </c>
      <c r="D87">
        <v>1</v>
      </c>
      <c r="E87">
        <v>100</v>
      </c>
      <c r="F87" t="s">
        <v>1</v>
      </c>
      <c r="G87" s="6">
        <v>45664</v>
      </c>
      <c r="H87">
        <v>42</v>
      </c>
      <c r="I87">
        <f>ROUND(CompilDonnées[[#This Row],[CultureDuration_days]]/7,0)</f>
        <v>6</v>
      </c>
      <c r="J87">
        <v>2075</v>
      </c>
      <c r="K87" t="str">
        <f>_xlfn.CONCAT(WEEKNUM(CompilDonnées[[#This Row],[PlantationDate]]), " ", YEAR(CompilDonnées[[#This Row],[PlantationDate]]))</f>
        <v>48 2024</v>
      </c>
      <c r="L87" t="str">
        <f>CONCATENATE(MONTH(CompilDonnées[[#This Row],[PlantationDate]])," ", YEAR(CompilDonnées[[#This Row],[PlantationDate]]))</f>
        <v>11 2024</v>
      </c>
      <c r="M87" t="str">
        <f>CONCATENATE(MONTH(CompilDonnées[[#This Row],[HarvestingDate]])," ", YEAR(CompilDonnées[[#This Row],[HarvestingDate]]))</f>
        <v>1 2025</v>
      </c>
      <c r="N87">
        <f>_xlfn.NUMBERVALUE(CompilDonnées[[#This Row],[FarmID]]&amp;CompilDonnées[[#This Row],[ModuleNumber]]&amp;CompilDonnées[[#This Row],[PlantationDate]])</f>
        <v>53145622</v>
      </c>
      <c r="O87" t="str">
        <f>CompilDonnées[[#This Row],[FarmID]]&amp;CompilDonnées[[#This Row],[ModuleNumber]]</f>
        <v>531</v>
      </c>
      <c r="P87" t="str">
        <f>CompilDonnées[[#This Row],[Ref_Module]]&amp;CompilDonnées[[#This Row],[HarvestingDate]]</f>
        <v>53145664</v>
      </c>
    </row>
    <row r="88" spans="1:16">
      <c r="A88" s="5">
        <v>45622</v>
      </c>
      <c r="B88">
        <v>51</v>
      </c>
      <c r="C88" t="s">
        <v>27</v>
      </c>
      <c r="D88">
        <v>3</v>
      </c>
      <c r="E88">
        <v>100</v>
      </c>
      <c r="F88" t="s">
        <v>1</v>
      </c>
      <c r="G88" s="6">
        <v>45664</v>
      </c>
      <c r="H88">
        <v>42</v>
      </c>
      <c r="I88">
        <f>ROUND(CompilDonnées[[#This Row],[CultureDuration_days]]/7,0)</f>
        <v>6</v>
      </c>
      <c r="J88">
        <v>3696</v>
      </c>
      <c r="K88" t="str">
        <f>_xlfn.CONCAT(WEEKNUM(CompilDonnées[[#This Row],[PlantationDate]]), " ", YEAR(CompilDonnées[[#This Row],[PlantationDate]]))</f>
        <v>48 2024</v>
      </c>
      <c r="L88" t="str">
        <f>CONCATENATE(MONTH(CompilDonnées[[#This Row],[PlantationDate]])," ", YEAR(CompilDonnées[[#This Row],[PlantationDate]]))</f>
        <v>11 2024</v>
      </c>
      <c r="M88" t="str">
        <f>CONCATENATE(MONTH(CompilDonnées[[#This Row],[HarvestingDate]])," ", YEAR(CompilDonnées[[#This Row],[HarvestingDate]]))</f>
        <v>1 2025</v>
      </c>
      <c r="N88">
        <f>_xlfn.NUMBERVALUE(CompilDonnées[[#This Row],[FarmID]]&amp;CompilDonnées[[#This Row],[ModuleNumber]]&amp;CompilDonnées[[#This Row],[PlantationDate]])</f>
        <v>51345622</v>
      </c>
      <c r="O88" t="str">
        <f>CompilDonnées[[#This Row],[FarmID]]&amp;CompilDonnées[[#This Row],[ModuleNumber]]</f>
        <v>513</v>
      </c>
      <c r="P88" t="str">
        <f>CompilDonnées[[#This Row],[Ref_Module]]&amp;CompilDonnées[[#This Row],[HarvestingDate]]</f>
        <v>51345664</v>
      </c>
    </row>
    <row r="89" spans="1:16">
      <c r="A89" s="5">
        <v>45622</v>
      </c>
      <c r="B89">
        <v>49</v>
      </c>
      <c r="C89" t="s">
        <v>110</v>
      </c>
      <c r="D89">
        <v>6</v>
      </c>
      <c r="E89">
        <v>100</v>
      </c>
      <c r="F89" t="s">
        <v>1</v>
      </c>
      <c r="G89" s="6">
        <v>45666</v>
      </c>
      <c r="H89">
        <v>44</v>
      </c>
      <c r="I89">
        <f>ROUND(CompilDonnées[[#This Row],[CultureDuration_days]]/7,0)</f>
        <v>6</v>
      </c>
      <c r="J89">
        <v>3111</v>
      </c>
      <c r="K89" t="str">
        <f>_xlfn.CONCAT(WEEKNUM(CompilDonnées[[#This Row],[PlantationDate]]), " ", YEAR(CompilDonnées[[#This Row],[PlantationDate]]))</f>
        <v>48 2024</v>
      </c>
      <c r="L89" t="str">
        <f>CONCATENATE(MONTH(CompilDonnées[[#This Row],[PlantationDate]])," ", YEAR(CompilDonnées[[#This Row],[PlantationDate]]))</f>
        <v>11 2024</v>
      </c>
      <c r="M89" t="str">
        <f>CONCATENATE(MONTH(CompilDonnées[[#This Row],[HarvestingDate]])," ", YEAR(CompilDonnées[[#This Row],[HarvestingDate]]))</f>
        <v>1 2025</v>
      </c>
      <c r="N89">
        <f>_xlfn.NUMBERVALUE(CompilDonnées[[#This Row],[FarmID]]&amp;CompilDonnées[[#This Row],[ModuleNumber]]&amp;CompilDonnées[[#This Row],[PlantationDate]])</f>
        <v>49645622</v>
      </c>
      <c r="O89" t="str">
        <f>CompilDonnées[[#This Row],[FarmID]]&amp;CompilDonnées[[#This Row],[ModuleNumber]]</f>
        <v>496</v>
      </c>
      <c r="P89" t="str">
        <f>CompilDonnées[[#This Row],[Ref_Module]]&amp;CompilDonnées[[#This Row],[HarvestingDate]]</f>
        <v>49645666</v>
      </c>
    </row>
    <row r="90" spans="1:16">
      <c r="A90" s="5">
        <v>45622</v>
      </c>
      <c r="B90">
        <v>48</v>
      </c>
      <c r="C90" t="s">
        <v>71</v>
      </c>
      <c r="D90">
        <v>1</v>
      </c>
      <c r="E90">
        <v>100</v>
      </c>
      <c r="F90" t="s">
        <v>1</v>
      </c>
      <c r="G90" s="6">
        <v>45664</v>
      </c>
      <c r="H90">
        <v>42</v>
      </c>
      <c r="I90">
        <f>ROUND(CompilDonnées[[#This Row],[CultureDuration_days]]/7,0)</f>
        <v>6</v>
      </c>
      <c r="J90">
        <v>1863</v>
      </c>
      <c r="K90" t="str">
        <f>_xlfn.CONCAT(WEEKNUM(CompilDonnées[[#This Row],[PlantationDate]]), " ", YEAR(CompilDonnées[[#This Row],[PlantationDate]]))</f>
        <v>48 2024</v>
      </c>
      <c r="L90" t="str">
        <f>CONCATENATE(MONTH(CompilDonnées[[#This Row],[PlantationDate]])," ", YEAR(CompilDonnées[[#This Row],[PlantationDate]]))</f>
        <v>11 2024</v>
      </c>
      <c r="M90" t="str">
        <f>CONCATENATE(MONTH(CompilDonnées[[#This Row],[HarvestingDate]])," ", YEAR(CompilDonnées[[#This Row],[HarvestingDate]]))</f>
        <v>1 2025</v>
      </c>
      <c r="N90">
        <f>_xlfn.NUMBERVALUE(CompilDonnées[[#This Row],[FarmID]]&amp;CompilDonnées[[#This Row],[ModuleNumber]]&amp;CompilDonnées[[#This Row],[PlantationDate]])</f>
        <v>48145622</v>
      </c>
      <c r="O90" t="str">
        <f>CompilDonnées[[#This Row],[FarmID]]&amp;CompilDonnées[[#This Row],[ModuleNumber]]</f>
        <v>481</v>
      </c>
      <c r="P90" t="str">
        <f>CompilDonnées[[#This Row],[Ref_Module]]&amp;CompilDonnées[[#This Row],[HarvestingDate]]</f>
        <v>48145664</v>
      </c>
    </row>
    <row r="91" spans="1:16">
      <c r="A91" s="5">
        <v>45622</v>
      </c>
      <c r="B91">
        <v>66</v>
      </c>
      <c r="C91" t="s">
        <v>48</v>
      </c>
      <c r="D91">
        <v>3</v>
      </c>
      <c r="E91">
        <v>100</v>
      </c>
      <c r="F91" t="s">
        <v>1</v>
      </c>
      <c r="G91" s="6">
        <v>45665</v>
      </c>
      <c r="H91">
        <v>43</v>
      </c>
      <c r="I91">
        <f>ROUND(CompilDonnées[[#This Row],[CultureDuration_days]]/7,0)</f>
        <v>6</v>
      </c>
      <c r="J91">
        <v>2901</v>
      </c>
      <c r="K91" t="str">
        <f>_xlfn.CONCAT(WEEKNUM(CompilDonnées[[#This Row],[PlantationDate]]), " ", YEAR(CompilDonnées[[#This Row],[PlantationDate]]))</f>
        <v>48 2024</v>
      </c>
      <c r="L91" t="str">
        <f>CONCATENATE(MONTH(CompilDonnées[[#This Row],[PlantationDate]])," ", YEAR(CompilDonnées[[#This Row],[PlantationDate]]))</f>
        <v>11 2024</v>
      </c>
      <c r="M91" t="str">
        <f>CONCATENATE(MONTH(CompilDonnées[[#This Row],[HarvestingDate]])," ", YEAR(CompilDonnées[[#This Row],[HarvestingDate]]))</f>
        <v>1 2025</v>
      </c>
      <c r="N91">
        <f>_xlfn.NUMBERVALUE(CompilDonnées[[#This Row],[FarmID]]&amp;CompilDonnées[[#This Row],[ModuleNumber]]&amp;CompilDonnées[[#This Row],[PlantationDate]])</f>
        <v>66345622</v>
      </c>
      <c r="O91" t="str">
        <f>CompilDonnées[[#This Row],[FarmID]]&amp;CompilDonnées[[#This Row],[ModuleNumber]]</f>
        <v>663</v>
      </c>
      <c r="P91" t="str">
        <f>CompilDonnées[[#This Row],[Ref_Module]]&amp;CompilDonnées[[#This Row],[HarvestingDate]]</f>
        <v>66345665</v>
      </c>
    </row>
    <row r="92" spans="1:16">
      <c r="A92" s="5">
        <v>45622</v>
      </c>
      <c r="B92">
        <v>55</v>
      </c>
      <c r="C92" t="s">
        <v>60</v>
      </c>
      <c r="D92">
        <v>6</v>
      </c>
      <c r="E92">
        <v>100</v>
      </c>
      <c r="F92" t="s">
        <v>1</v>
      </c>
      <c r="G92" s="6">
        <v>45667</v>
      </c>
      <c r="H92">
        <v>45</v>
      </c>
      <c r="I92">
        <f>ROUND(CompilDonnées[[#This Row],[CultureDuration_days]]/7,0)</f>
        <v>6</v>
      </c>
      <c r="J92">
        <v>3419</v>
      </c>
      <c r="K92" t="str">
        <f>_xlfn.CONCAT(WEEKNUM(CompilDonnées[[#This Row],[PlantationDate]]), " ", YEAR(CompilDonnées[[#This Row],[PlantationDate]]))</f>
        <v>48 2024</v>
      </c>
      <c r="L92" t="str">
        <f>CONCATENATE(MONTH(CompilDonnées[[#This Row],[PlantationDate]])," ", YEAR(CompilDonnées[[#This Row],[PlantationDate]]))</f>
        <v>11 2024</v>
      </c>
      <c r="M92" t="str">
        <f>CONCATENATE(MONTH(CompilDonnées[[#This Row],[HarvestingDate]])," ", YEAR(CompilDonnées[[#This Row],[HarvestingDate]]))</f>
        <v>1 2025</v>
      </c>
      <c r="N92">
        <f>_xlfn.NUMBERVALUE(CompilDonnées[[#This Row],[FarmID]]&amp;CompilDonnées[[#This Row],[ModuleNumber]]&amp;CompilDonnées[[#This Row],[PlantationDate]])</f>
        <v>55645622</v>
      </c>
      <c r="O92" t="str">
        <f>CompilDonnées[[#This Row],[FarmID]]&amp;CompilDonnées[[#This Row],[ModuleNumber]]</f>
        <v>556</v>
      </c>
      <c r="P92" t="str">
        <f>CompilDonnées[[#This Row],[Ref_Module]]&amp;CompilDonnées[[#This Row],[HarvestingDate]]</f>
        <v>55645667</v>
      </c>
    </row>
    <row r="93" spans="1:16">
      <c r="A93" s="5">
        <v>45622</v>
      </c>
      <c r="B93">
        <v>82</v>
      </c>
      <c r="C93" t="s">
        <v>17</v>
      </c>
      <c r="D93">
        <v>6</v>
      </c>
      <c r="E93">
        <v>100</v>
      </c>
      <c r="F93" t="s">
        <v>1</v>
      </c>
      <c r="G93" s="6">
        <v>45665</v>
      </c>
      <c r="H93">
        <v>43</v>
      </c>
      <c r="I93">
        <f>ROUND(CompilDonnées[[#This Row],[CultureDuration_days]]/7,0)</f>
        <v>6</v>
      </c>
      <c r="J93">
        <v>4113</v>
      </c>
      <c r="K93" t="str">
        <f>_xlfn.CONCAT(WEEKNUM(CompilDonnées[[#This Row],[PlantationDate]]), " ", YEAR(CompilDonnées[[#This Row],[PlantationDate]]))</f>
        <v>48 2024</v>
      </c>
      <c r="L93" t="str">
        <f>CONCATENATE(MONTH(CompilDonnées[[#This Row],[PlantationDate]])," ", YEAR(CompilDonnées[[#This Row],[PlantationDate]]))</f>
        <v>11 2024</v>
      </c>
      <c r="M93" t="str">
        <f>CONCATENATE(MONTH(CompilDonnées[[#This Row],[HarvestingDate]])," ", YEAR(CompilDonnées[[#This Row],[HarvestingDate]]))</f>
        <v>1 2025</v>
      </c>
      <c r="N93">
        <f>_xlfn.NUMBERVALUE(CompilDonnées[[#This Row],[FarmID]]&amp;CompilDonnées[[#This Row],[ModuleNumber]]&amp;CompilDonnées[[#This Row],[PlantationDate]])</f>
        <v>82645622</v>
      </c>
      <c r="O93" t="str">
        <f>CompilDonnées[[#This Row],[FarmID]]&amp;CompilDonnées[[#This Row],[ModuleNumber]]</f>
        <v>826</v>
      </c>
      <c r="P93" t="str">
        <f>CompilDonnées[[#This Row],[Ref_Module]]&amp;CompilDonnées[[#This Row],[HarvestingDate]]</f>
        <v>82645665</v>
      </c>
    </row>
    <row r="94" spans="1:16">
      <c r="A94" s="5">
        <v>45622</v>
      </c>
      <c r="B94">
        <v>81</v>
      </c>
      <c r="C94" t="s">
        <v>30</v>
      </c>
      <c r="D94">
        <v>1</v>
      </c>
      <c r="E94">
        <v>100</v>
      </c>
      <c r="F94" t="s">
        <v>1</v>
      </c>
      <c r="G94" s="6">
        <v>45665</v>
      </c>
      <c r="H94">
        <v>43</v>
      </c>
      <c r="I94">
        <f>ROUND(CompilDonnées[[#This Row],[CultureDuration_days]]/7,0)</f>
        <v>6</v>
      </c>
      <c r="J94">
        <v>3565</v>
      </c>
      <c r="K94" t="str">
        <f>_xlfn.CONCAT(WEEKNUM(CompilDonnées[[#This Row],[PlantationDate]]), " ", YEAR(CompilDonnées[[#This Row],[PlantationDate]]))</f>
        <v>48 2024</v>
      </c>
      <c r="L94" t="str">
        <f>CONCATENATE(MONTH(CompilDonnées[[#This Row],[PlantationDate]])," ", YEAR(CompilDonnées[[#This Row],[PlantationDate]]))</f>
        <v>11 2024</v>
      </c>
      <c r="M94" t="str">
        <f>CONCATENATE(MONTH(CompilDonnées[[#This Row],[HarvestingDate]])," ", YEAR(CompilDonnées[[#This Row],[HarvestingDate]]))</f>
        <v>1 2025</v>
      </c>
      <c r="N94">
        <f>_xlfn.NUMBERVALUE(CompilDonnées[[#This Row],[FarmID]]&amp;CompilDonnées[[#This Row],[ModuleNumber]]&amp;CompilDonnées[[#This Row],[PlantationDate]])</f>
        <v>81145622</v>
      </c>
      <c r="O94" t="str">
        <f>CompilDonnées[[#This Row],[FarmID]]&amp;CompilDonnées[[#This Row],[ModuleNumber]]</f>
        <v>811</v>
      </c>
      <c r="P94" t="str">
        <f>CompilDonnées[[#This Row],[Ref_Module]]&amp;CompilDonnées[[#This Row],[HarvestingDate]]</f>
        <v>81145665</v>
      </c>
    </row>
    <row r="95" spans="1:16">
      <c r="A95" s="5">
        <v>45623</v>
      </c>
      <c r="B95">
        <v>88</v>
      </c>
      <c r="C95" t="s">
        <v>94</v>
      </c>
      <c r="D95">
        <v>5</v>
      </c>
      <c r="E95">
        <v>100</v>
      </c>
      <c r="F95" t="s">
        <v>1</v>
      </c>
      <c r="G95" s="6">
        <v>45666</v>
      </c>
      <c r="H95">
        <v>43</v>
      </c>
      <c r="I95">
        <f>ROUND(CompilDonnées[[#This Row],[CultureDuration_days]]/7,0)</f>
        <v>6</v>
      </c>
      <c r="J95">
        <v>3024</v>
      </c>
      <c r="K95" t="str">
        <f>_xlfn.CONCAT(WEEKNUM(CompilDonnées[[#This Row],[PlantationDate]]), " ", YEAR(CompilDonnées[[#This Row],[PlantationDate]]))</f>
        <v>48 2024</v>
      </c>
      <c r="L95" t="str">
        <f>CONCATENATE(MONTH(CompilDonnées[[#This Row],[PlantationDate]])," ", YEAR(CompilDonnées[[#This Row],[PlantationDate]]))</f>
        <v>11 2024</v>
      </c>
      <c r="M95" t="str">
        <f>CONCATENATE(MONTH(CompilDonnées[[#This Row],[HarvestingDate]])," ", YEAR(CompilDonnées[[#This Row],[HarvestingDate]]))</f>
        <v>1 2025</v>
      </c>
      <c r="N95">
        <f>_xlfn.NUMBERVALUE(CompilDonnées[[#This Row],[FarmID]]&amp;CompilDonnées[[#This Row],[ModuleNumber]]&amp;CompilDonnées[[#This Row],[PlantationDate]])</f>
        <v>88545623</v>
      </c>
      <c r="O95" t="str">
        <f>CompilDonnées[[#This Row],[FarmID]]&amp;CompilDonnées[[#This Row],[ModuleNumber]]</f>
        <v>885</v>
      </c>
      <c r="P95" t="str">
        <f>CompilDonnées[[#This Row],[Ref_Module]]&amp;CompilDonnées[[#This Row],[HarvestingDate]]</f>
        <v>88545666</v>
      </c>
    </row>
    <row r="96" spans="1:16">
      <c r="A96" s="5">
        <v>45623</v>
      </c>
      <c r="B96">
        <v>87</v>
      </c>
      <c r="C96" t="s">
        <v>38</v>
      </c>
      <c r="D96">
        <v>5</v>
      </c>
      <c r="E96">
        <v>100</v>
      </c>
      <c r="F96" t="s">
        <v>1</v>
      </c>
      <c r="G96" s="6">
        <v>45667</v>
      </c>
      <c r="H96">
        <v>44</v>
      </c>
      <c r="I96">
        <f>ROUND(CompilDonnées[[#This Row],[CultureDuration_days]]/7,0)</f>
        <v>6</v>
      </c>
      <c r="J96">
        <v>2842</v>
      </c>
      <c r="K96" t="str">
        <f>_xlfn.CONCAT(WEEKNUM(CompilDonnées[[#This Row],[PlantationDate]]), " ", YEAR(CompilDonnées[[#This Row],[PlantationDate]]))</f>
        <v>48 2024</v>
      </c>
      <c r="L96" t="str">
        <f>CONCATENATE(MONTH(CompilDonnées[[#This Row],[PlantationDate]])," ", YEAR(CompilDonnées[[#This Row],[PlantationDate]]))</f>
        <v>11 2024</v>
      </c>
      <c r="M96" t="str">
        <f>CONCATENATE(MONTH(CompilDonnées[[#This Row],[HarvestingDate]])," ", YEAR(CompilDonnées[[#This Row],[HarvestingDate]]))</f>
        <v>1 2025</v>
      </c>
      <c r="N96">
        <f>_xlfn.NUMBERVALUE(CompilDonnées[[#This Row],[FarmID]]&amp;CompilDonnées[[#This Row],[ModuleNumber]]&amp;CompilDonnées[[#This Row],[PlantationDate]])</f>
        <v>87545623</v>
      </c>
      <c r="O96" t="str">
        <f>CompilDonnées[[#This Row],[FarmID]]&amp;CompilDonnées[[#This Row],[ModuleNumber]]</f>
        <v>875</v>
      </c>
      <c r="P96" t="str">
        <f>CompilDonnées[[#This Row],[Ref_Module]]&amp;CompilDonnées[[#This Row],[HarvestingDate]]</f>
        <v>87545667</v>
      </c>
    </row>
    <row r="97" spans="1:16">
      <c r="A97" s="5">
        <v>45623</v>
      </c>
      <c r="B97">
        <v>86</v>
      </c>
      <c r="C97" t="s">
        <v>37</v>
      </c>
      <c r="D97">
        <v>6</v>
      </c>
      <c r="E97">
        <v>100</v>
      </c>
      <c r="F97" t="s">
        <v>1</v>
      </c>
      <c r="G97" s="6">
        <v>45666</v>
      </c>
      <c r="H97">
        <v>43</v>
      </c>
      <c r="I97">
        <f>ROUND(CompilDonnées[[#This Row],[CultureDuration_days]]/7,0)</f>
        <v>6</v>
      </c>
      <c r="J97">
        <v>2433</v>
      </c>
      <c r="K97" t="str">
        <f>_xlfn.CONCAT(WEEKNUM(CompilDonnées[[#This Row],[PlantationDate]]), " ", YEAR(CompilDonnées[[#This Row],[PlantationDate]]))</f>
        <v>48 2024</v>
      </c>
      <c r="L97" t="str">
        <f>CONCATENATE(MONTH(CompilDonnées[[#This Row],[PlantationDate]])," ", YEAR(CompilDonnées[[#This Row],[PlantationDate]]))</f>
        <v>11 2024</v>
      </c>
      <c r="M97" t="str">
        <f>CONCATENATE(MONTH(CompilDonnées[[#This Row],[HarvestingDate]])," ", YEAR(CompilDonnées[[#This Row],[HarvestingDate]]))</f>
        <v>1 2025</v>
      </c>
      <c r="N97">
        <f>_xlfn.NUMBERVALUE(CompilDonnées[[#This Row],[FarmID]]&amp;CompilDonnées[[#This Row],[ModuleNumber]]&amp;CompilDonnées[[#This Row],[PlantationDate]])</f>
        <v>86645623</v>
      </c>
      <c r="O97" t="str">
        <f>CompilDonnées[[#This Row],[FarmID]]&amp;CompilDonnées[[#This Row],[ModuleNumber]]</f>
        <v>866</v>
      </c>
      <c r="P97" t="str">
        <f>CompilDonnées[[#This Row],[Ref_Module]]&amp;CompilDonnées[[#This Row],[HarvestingDate]]</f>
        <v>86645666</v>
      </c>
    </row>
    <row r="98" spans="1:16">
      <c r="A98" s="5">
        <v>45623</v>
      </c>
      <c r="B98">
        <v>98</v>
      </c>
      <c r="C98" t="s">
        <v>79</v>
      </c>
      <c r="D98">
        <v>3</v>
      </c>
      <c r="E98">
        <v>100</v>
      </c>
      <c r="F98" t="s">
        <v>1</v>
      </c>
      <c r="G98" s="6">
        <v>45670</v>
      </c>
      <c r="H98">
        <v>47</v>
      </c>
      <c r="I98">
        <f>ROUND(CompilDonnées[[#This Row],[CultureDuration_days]]/7,0)</f>
        <v>7</v>
      </c>
      <c r="J98">
        <v>1488</v>
      </c>
      <c r="K98" t="str">
        <f>_xlfn.CONCAT(WEEKNUM(CompilDonnées[[#This Row],[PlantationDate]]), " ", YEAR(CompilDonnées[[#This Row],[PlantationDate]]))</f>
        <v>48 2024</v>
      </c>
      <c r="L98" t="str">
        <f>CONCATENATE(MONTH(CompilDonnées[[#This Row],[PlantationDate]])," ", YEAR(CompilDonnées[[#This Row],[PlantationDate]]))</f>
        <v>11 2024</v>
      </c>
      <c r="M98" t="str">
        <f>CONCATENATE(MONTH(CompilDonnées[[#This Row],[HarvestingDate]])," ", YEAR(CompilDonnées[[#This Row],[HarvestingDate]]))</f>
        <v>1 2025</v>
      </c>
      <c r="N98">
        <f>_xlfn.NUMBERVALUE(CompilDonnées[[#This Row],[FarmID]]&amp;CompilDonnées[[#This Row],[ModuleNumber]]&amp;CompilDonnées[[#This Row],[PlantationDate]])</f>
        <v>98345623</v>
      </c>
      <c r="O98" t="str">
        <f>CompilDonnées[[#This Row],[FarmID]]&amp;CompilDonnées[[#This Row],[ModuleNumber]]</f>
        <v>983</v>
      </c>
      <c r="P98" t="str">
        <f>CompilDonnées[[#This Row],[Ref_Module]]&amp;CompilDonnées[[#This Row],[HarvestingDate]]</f>
        <v>98345670</v>
      </c>
    </row>
    <row r="99" spans="1:16">
      <c r="A99" s="5">
        <v>45623</v>
      </c>
      <c r="B99">
        <v>100</v>
      </c>
      <c r="C99" t="s">
        <v>84</v>
      </c>
      <c r="D99">
        <v>3</v>
      </c>
      <c r="E99">
        <v>100</v>
      </c>
      <c r="F99" t="s">
        <v>1</v>
      </c>
      <c r="G99" s="6">
        <v>45670</v>
      </c>
      <c r="H99">
        <v>47</v>
      </c>
      <c r="I99">
        <f>ROUND(CompilDonnées[[#This Row],[CultureDuration_days]]/7,0)</f>
        <v>7</v>
      </c>
      <c r="J99">
        <v>2416</v>
      </c>
      <c r="K99" t="str">
        <f>_xlfn.CONCAT(WEEKNUM(CompilDonnées[[#This Row],[PlantationDate]]), " ", YEAR(CompilDonnées[[#This Row],[PlantationDate]]))</f>
        <v>48 2024</v>
      </c>
      <c r="L99" t="str">
        <f>CONCATENATE(MONTH(CompilDonnées[[#This Row],[PlantationDate]])," ", YEAR(CompilDonnées[[#This Row],[PlantationDate]]))</f>
        <v>11 2024</v>
      </c>
      <c r="M99" t="str">
        <f>CONCATENATE(MONTH(CompilDonnées[[#This Row],[HarvestingDate]])," ", YEAR(CompilDonnées[[#This Row],[HarvestingDate]]))</f>
        <v>1 2025</v>
      </c>
      <c r="N99">
        <f>_xlfn.NUMBERVALUE(CompilDonnées[[#This Row],[FarmID]]&amp;CompilDonnées[[#This Row],[ModuleNumber]]&amp;CompilDonnées[[#This Row],[PlantationDate]])</f>
        <v>100345623</v>
      </c>
      <c r="O99" t="str">
        <f>CompilDonnées[[#This Row],[FarmID]]&amp;CompilDonnées[[#This Row],[ModuleNumber]]</f>
        <v>1003</v>
      </c>
      <c r="P99" t="str">
        <f>CompilDonnées[[#This Row],[Ref_Module]]&amp;CompilDonnées[[#This Row],[HarvestingDate]]</f>
        <v>100345670</v>
      </c>
    </row>
    <row r="100" spans="1:16">
      <c r="A100" s="5">
        <v>45623</v>
      </c>
      <c r="B100">
        <v>49</v>
      </c>
      <c r="C100" t="s">
        <v>110</v>
      </c>
      <c r="D100">
        <v>5</v>
      </c>
      <c r="E100">
        <v>100</v>
      </c>
      <c r="F100" t="s">
        <v>1</v>
      </c>
      <c r="G100" s="6">
        <v>45666</v>
      </c>
      <c r="H100">
        <v>43</v>
      </c>
      <c r="I100">
        <f>ROUND(CompilDonnées[[#This Row],[CultureDuration_days]]/7,0)</f>
        <v>6</v>
      </c>
      <c r="J100">
        <v>2726</v>
      </c>
      <c r="K100" t="str">
        <f>_xlfn.CONCAT(WEEKNUM(CompilDonnées[[#This Row],[PlantationDate]]), " ", YEAR(CompilDonnées[[#This Row],[PlantationDate]]))</f>
        <v>48 2024</v>
      </c>
      <c r="L100" t="str">
        <f>CONCATENATE(MONTH(CompilDonnées[[#This Row],[PlantationDate]])," ", YEAR(CompilDonnées[[#This Row],[PlantationDate]]))</f>
        <v>11 2024</v>
      </c>
      <c r="M100" t="str">
        <f>CONCATENATE(MONTH(CompilDonnées[[#This Row],[HarvestingDate]])," ", YEAR(CompilDonnées[[#This Row],[HarvestingDate]]))</f>
        <v>1 2025</v>
      </c>
      <c r="N100">
        <f>_xlfn.NUMBERVALUE(CompilDonnées[[#This Row],[FarmID]]&amp;CompilDonnées[[#This Row],[ModuleNumber]]&amp;CompilDonnées[[#This Row],[PlantationDate]])</f>
        <v>49545623</v>
      </c>
      <c r="O100" t="str">
        <f>CompilDonnées[[#This Row],[FarmID]]&amp;CompilDonnées[[#This Row],[ModuleNumber]]</f>
        <v>495</v>
      </c>
      <c r="P100" t="str">
        <f>CompilDonnées[[#This Row],[Ref_Module]]&amp;CompilDonnées[[#This Row],[HarvestingDate]]</f>
        <v>49545666</v>
      </c>
    </row>
    <row r="101" spans="1:16">
      <c r="A101" s="5">
        <v>45623</v>
      </c>
      <c r="B101">
        <v>48</v>
      </c>
      <c r="C101" t="s">
        <v>71</v>
      </c>
      <c r="D101">
        <v>2</v>
      </c>
      <c r="E101">
        <v>100</v>
      </c>
      <c r="F101" t="s">
        <v>1</v>
      </c>
      <c r="G101" s="6">
        <v>45664</v>
      </c>
      <c r="H101">
        <v>41</v>
      </c>
      <c r="I101">
        <f>ROUND(CompilDonnées[[#This Row],[CultureDuration_days]]/7,0)</f>
        <v>6</v>
      </c>
      <c r="J101">
        <v>1505</v>
      </c>
      <c r="K101" t="str">
        <f>_xlfn.CONCAT(WEEKNUM(CompilDonnées[[#This Row],[PlantationDate]]), " ", YEAR(CompilDonnées[[#This Row],[PlantationDate]]))</f>
        <v>48 2024</v>
      </c>
      <c r="L101" t="str">
        <f>CONCATENATE(MONTH(CompilDonnées[[#This Row],[PlantationDate]])," ", YEAR(CompilDonnées[[#This Row],[PlantationDate]]))</f>
        <v>11 2024</v>
      </c>
      <c r="M101" t="str">
        <f>CONCATENATE(MONTH(CompilDonnées[[#This Row],[HarvestingDate]])," ", YEAR(CompilDonnées[[#This Row],[HarvestingDate]]))</f>
        <v>1 2025</v>
      </c>
      <c r="N101">
        <f>_xlfn.NUMBERVALUE(CompilDonnées[[#This Row],[FarmID]]&amp;CompilDonnées[[#This Row],[ModuleNumber]]&amp;CompilDonnées[[#This Row],[PlantationDate]])</f>
        <v>48245623</v>
      </c>
      <c r="O101" t="str">
        <f>CompilDonnées[[#This Row],[FarmID]]&amp;CompilDonnées[[#This Row],[ModuleNumber]]</f>
        <v>482</v>
      </c>
      <c r="P101" t="str">
        <f>CompilDonnées[[#This Row],[Ref_Module]]&amp;CompilDonnées[[#This Row],[HarvestingDate]]</f>
        <v>48245664</v>
      </c>
    </row>
    <row r="102" spans="1:16">
      <c r="A102" s="5">
        <v>45623</v>
      </c>
      <c r="B102">
        <v>55</v>
      </c>
      <c r="C102" t="s">
        <v>60</v>
      </c>
      <c r="D102">
        <v>5</v>
      </c>
      <c r="E102">
        <v>100</v>
      </c>
      <c r="F102" t="s">
        <v>1</v>
      </c>
      <c r="G102" s="6">
        <v>45672</v>
      </c>
      <c r="H102">
        <v>49</v>
      </c>
      <c r="I102">
        <f>ROUND(CompilDonnées[[#This Row],[CultureDuration_days]]/7,0)</f>
        <v>7</v>
      </c>
      <c r="J102">
        <v>1776</v>
      </c>
      <c r="K102" t="str">
        <f>_xlfn.CONCAT(WEEKNUM(CompilDonnées[[#This Row],[PlantationDate]]), " ", YEAR(CompilDonnées[[#This Row],[PlantationDate]]))</f>
        <v>48 2024</v>
      </c>
      <c r="L102" t="str">
        <f>CONCATENATE(MONTH(CompilDonnées[[#This Row],[PlantationDate]])," ", YEAR(CompilDonnées[[#This Row],[PlantationDate]]))</f>
        <v>11 2024</v>
      </c>
      <c r="M102" t="str">
        <f>CONCATENATE(MONTH(CompilDonnées[[#This Row],[HarvestingDate]])," ", YEAR(CompilDonnées[[#This Row],[HarvestingDate]]))</f>
        <v>1 2025</v>
      </c>
      <c r="N102">
        <f>_xlfn.NUMBERVALUE(CompilDonnées[[#This Row],[FarmID]]&amp;CompilDonnées[[#This Row],[ModuleNumber]]&amp;CompilDonnées[[#This Row],[PlantationDate]])</f>
        <v>55545623</v>
      </c>
      <c r="O102" t="str">
        <f>CompilDonnées[[#This Row],[FarmID]]&amp;CompilDonnées[[#This Row],[ModuleNumber]]</f>
        <v>555</v>
      </c>
      <c r="P102" t="str">
        <f>CompilDonnées[[#This Row],[Ref_Module]]&amp;CompilDonnées[[#This Row],[HarvestingDate]]</f>
        <v>55545672</v>
      </c>
    </row>
    <row r="103" spans="1:16">
      <c r="A103" s="5">
        <v>45623</v>
      </c>
      <c r="B103">
        <v>84</v>
      </c>
      <c r="C103" t="s">
        <v>65</v>
      </c>
      <c r="D103">
        <v>1</v>
      </c>
      <c r="E103">
        <v>100</v>
      </c>
      <c r="F103" t="s">
        <v>1</v>
      </c>
      <c r="G103" s="6">
        <v>45665</v>
      </c>
      <c r="H103">
        <v>42</v>
      </c>
      <c r="I103">
        <f>ROUND(CompilDonnées[[#This Row],[CultureDuration_days]]/7,0)</f>
        <v>6</v>
      </c>
      <c r="J103">
        <v>3717</v>
      </c>
      <c r="K103" t="str">
        <f>_xlfn.CONCAT(WEEKNUM(CompilDonnées[[#This Row],[PlantationDate]]), " ", YEAR(CompilDonnées[[#This Row],[PlantationDate]]))</f>
        <v>48 2024</v>
      </c>
      <c r="L103" t="str">
        <f>CONCATENATE(MONTH(CompilDonnées[[#This Row],[PlantationDate]])," ", YEAR(CompilDonnées[[#This Row],[PlantationDate]]))</f>
        <v>11 2024</v>
      </c>
      <c r="M103" t="str">
        <f>CONCATENATE(MONTH(CompilDonnées[[#This Row],[HarvestingDate]])," ", YEAR(CompilDonnées[[#This Row],[HarvestingDate]]))</f>
        <v>1 2025</v>
      </c>
      <c r="N103">
        <f>_xlfn.NUMBERVALUE(CompilDonnées[[#This Row],[FarmID]]&amp;CompilDonnées[[#This Row],[ModuleNumber]]&amp;CompilDonnées[[#This Row],[PlantationDate]])</f>
        <v>84145623</v>
      </c>
      <c r="O103" t="str">
        <f>CompilDonnées[[#This Row],[FarmID]]&amp;CompilDonnées[[#This Row],[ModuleNumber]]</f>
        <v>841</v>
      </c>
      <c r="P103" t="str">
        <f>CompilDonnées[[#This Row],[Ref_Module]]&amp;CompilDonnées[[#This Row],[HarvestingDate]]</f>
        <v>84145665</v>
      </c>
    </row>
    <row r="104" spans="1:16">
      <c r="A104" s="5">
        <v>45623</v>
      </c>
      <c r="B104">
        <v>77</v>
      </c>
      <c r="C104" t="s">
        <v>75</v>
      </c>
      <c r="D104">
        <v>2</v>
      </c>
      <c r="E104">
        <v>100</v>
      </c>
      <c r="F104" t="s">
        <v>1</v>
      </c>
      <c r="G104" s="6">
        <v>45671</v>
      </c>
      <c r="H104">
        <v>48</v>
      </c>
      <c r="I104">
        <f>ROUND(CompilDonnées[[#This Row],[CultureDuration_days]]/7,0)</f>
        <v>7</v>
      </c>
      <c r="J104">
        <v>2604</v>
      </c>
      <c r="K104" t="str">
        <f>_xlfn.CONCAT(WEEKNUM(CompilDonnées[[#This Row],[PlantationDate]]), " ", YEAR(CompilDonnées[[#This Row],[PlantationDate]]))</f>
        <v>48 2024</v>
      </c>
      <c r="L104" t="str">
        <f>CONCATENATE(MONTH(CompilDonnées[[#This Row],[PlantationDate]])," ", YEAR(CompilDonnées[[#This Row],[PlantationDate]]))</f>
        <v>11 2024</v>
      </c>
      <c r="M104" t="str">
        <f>CONCATENATE(MONTH(CompilDonnées[[#This Row],[HarvestingDate]])," ", YEAR(CompilDonnées[[#This Row],[HarvestingDate]]))</f>
        <v>1 2025</v>
      </c>
      <c r="N104">
        <f>_xlfn.NUMBERVALUE(CompilDonnées[[#This Row],[FarmID]]&amp;CompilDonnées[[#This Row],[ModuleNumber]]&amp;CompilDonnées[[#This Row],[PlantationDate]])</f>
        <v>77245623</v>
      </c>
      <c r="O104" t="str">
        <f>CompilDonnées[[#This Row],[FarmID]]&amp;CompilDonnées[[#This Row],[ModuleNumber]]</f>
        <v>772</v>
      </c>
      <c r="P104" t="str">
        <f>CompilDonnées[[#This Row],[Ref_Module]]&amp;CompilDonnées[[#This Row],[HarvestingDate]]</f>
        <v>77245671</v>
      </c>
    </row>
    <row r="105" spans="1:16">
      <c r="A105" s="5">
        <v>45623</v>
      </c>
      <c r="B105">
        <v>80</v>
      </c>
      <c r="C105" t="s">
        <v>29</v>
      </c>
      <c r="D105">
        <v>5</v>
      </c>
      <c r="E105">
        <v>100</v>
      </c>
      <c r="F105" t="s">
        <v>1</v>
      </c>
      <c r="G105" s="6">
        <v>45665</v>
      </c>
      <c r="H105">
        <v>42</v>
      </c>
      <c r="I105">
        <f>ROUND(CompilDonnées[[#This Row],[CultureDuration_days]]/7,0)</f>
        <v>6</v>
      </c>
      <c r="J105">
        <v>4061</v>
      </c>
      <c r="K105" t="str">
        <f>_xlfn.CONCAT(WEEKNUM(CompilDonnées[[#This Row],[PlantationDate]]), " ", YEAR(CompilDonnées[[#This Row],[PlantationDate]]))</f>
        <v>48 2024</v>
      </c>
      <c r="L105" t="str">
        <f>CONCATENATE(MONTH(CompilDonnées[[#This Row],[PlantationDate]])," ", YEAR(CompilDonnées[[#This Row],[PlantationDate]]))</f>
        <v>11 2024</v>
      </c>
      <c r="M105" t="str">
        <f>CONCATENATE(MONTH(CompilDonnées[[#This Row],[HarvestingDate]])," ", YEAR(CompilDonnées[[#This Row],[HarvestingDate]]))</f>
        <v>1 2025</v>
      </c>
      <c r="N105">
        <f>_xlfn.NUMBERVALUE(CompilDonnées[[#This Row],[FarmID]]&amp;CompilDonnées[[#This Row],[ModuleNumber]]&amp;CompilDonnées[[#This Row],[PlantationDate]])</f>
        <v>80545623</v>
      </c>
      <c r="O105" t="str">
        <f>CompilDonnées[[#This Row],[FarmID]]&amp;CompilDonnées[[#This Row],[ModuleNumber]]</f>
        <v>805</v>
      </c>
      <c r="P105" t="str">
        <f>CompilDonnées[[#This Row],[Ref_Module]]&amp;CompilDonnées[[#This Row],[HarvestingDate]]</f>
        <v>80545665</v>
      </c>
    </row>
    <row r="106" spans="1:16">
      <c r="A106" s="5">
        <v>45623</v>
      </c>
      <c r="B106">
        <v>67</v>
      </c>
      <c r="C106" t="s">
        <v>28</v>
      </c>
      <c r="D106">
        <v>3</v>
      </c>
      <c r="E106">
        <v>100</v>
      </c>
      <c r="F106" t="s">
        <v>1</v>
      </c>
      <c r="G106" s="6">
        <v>45663</v>
      </c>
      <c r="H106">
        <v>40</v>
      </c>
      <c r="I106">
        <f>ROUND(CompilDonnées[[#This Row],[CultureDuration_days]]/7,0)</f>
        <v>6</v>
      </c>
      <c r="J106">
        <v>3860</v>
      </c>
      <c r="K106" t="str">
        <f>_xlfn.CONCAT(WEEKNUM(CompilDonnées[[#This Row],[PlantationDate]]), " ", YEAR(CompilDonnées[[#This Row],[PlantationDate]]))</f>
        <v>48 2024</v>
      </c>
      <c r="L106" t="str">
        <f>CONCATENATE(MONTH(CompilDonnées[[#This Row],[PlantationDate]])," ", YEAR(CompilDonnées[[#This Row],[PlantationDate]]))</f>
        <v>11 2024</v>
      </c>
      <c r="M106" t="str">
        <f>CONCATENATE(MONTH(CompilDonnées[[#This Row],[HarvestingDate]])," ", YEAR(CompilDonnées[[#This Row],[HarvestingDate]]))</f>
        <v>1 2025</v>
      </c>
      <c r="N106">
        <f>_xlfn.NUMBERVALUE(CompilDonnées[[#This Row],[FarmID]]&amp;CompilDonnées[[#This Row],[ModuleNumber]]&amp;CompilDonnées[[#This Row],[PlantationDate]])</f>
        <v>67345623</v>
      </c>
      <c r="O106" t="str">
        <f>CompilDonnées[[#This Row],[FarmID]]&amp;CompilDonnées[[#This Row],[ModuleNumber]]</f>
        <v>673</v>
      </c>
      <c r="P106" t="str">
        <f>CompilDonnées[[#This Row],[Ref_Module]]&amp;CompilDonnées[[#This Row],[HarvestingDate]]</f>
        <v>67345663</v>
      </c>
    </row>
    <row r="107" spans="1:16">
      <c r="A107" s="5">
        <v>45623</v>
      </c>
      <c r="B107">
        <v>120</v>
      </c>
      <c r="C107" t="s">
        <v>100</v>
      </c>
      <c r="D107">
        <v>6</v>
      </c>
      <c r="E107">
        <v>100</v>
      </c>
      <c r="F107" t="s">
        <v>1</v>
      </c>
      <c r="G107" s="6">
        <v>45666</v>
      </c>
      <c r="H107">
        <v>43</v>
      </c>
      <c r="I107">
        <f>ROUND(CompilDonnées[[#This Row],[CultureDuration_days]]/7,0)</f>
        <v>6</v>
      </c>
      <c r="J107">
        <v>4254</v>
      </c>
      <c r="K107" t="str">
        <f>_xlfn.CONCAT(WEEKNUM(CompilDonnées[[#This Row],[PlantationDate]]), " ", YEAR(CompilDonnées[[#This Row],[PlantationDate]]))</f>
        <v>48 2024</v>
      </c>
      <c r="L107" t="str">
        <f>CONCATENATE(MONTH(CompilDonnées[[#This Row],[PlantationDate]])," ", YEAR(CompilDonnées[[#This Row],[PlantationDate]]))</f>
        <v>11 2024</v>
      </c>
      <c r="M107" t="str">
        <f>CONCATENATE(MONTH(CompilDonnées[[#This Row],[HarvestingDate]])," ", YEAR(CompilDonnées[[#This Row],[HarvestingDate]]))</f>
        <v>1 2025</v>
      </c>
      <c r="N107">
        <f>_xlfn.NUMBERVALUE(CompilDonnées[[#This Row],[FarmID]]&amp;CompilDonnées[[#This Row],[ModuleNumber]]&amp;CompilDonnées[[#This Row],[PlantationDate]])</f>
        <v>120645623</v>
      </c>
      <c r="O107" t="str">
        <f>CompilDonnées[[#This Row],[FarmID]]&amp;CompilDonnées[[#This Row],[ModuleNumber]]</f>
        <v>1206</v>
      </c>
      <c r="P107" t="str">
        <f>CompilDonnées[[#This Row],[Ref_Module]]&amp;CompilDonnées[[#This Row],[HarvestingDate]]</f>
        <v>120645666</v>
      </c>
    </row>
    <row r="108" spans="1:16">
      <c r="A108" s="5">
        <v>45623</v>
      </c>
      <c r="B108">
        <v>119</v>
      </c>
      <c r="C108" t="s">
        <v>59</v>
      </c>
      <c r="D108">
        <v>6</v>
      </c>
      <c r="E108">
        <v>100</v>
      </c>
      <c r="F108" t="s">
        <v>1</v>
      </c>
      <c r="G108" s="6">
        <v>45666</v>
      </c>
      <c r="H108">
        <v>43</v>
      </c>
      <c r="I108">
        <f>ROUND(CompilDonnées[[#This Row],[CultureDuration_days]]/7,0)</f>
        <v>6</v>
      </c>
      <c r="J108">
        <v>3299</v>
      </c>
      <c r="K108" t="str">
        <f>_xlfn.CONCAT(WEEKNUM(CompilDonnées[[#This Row],[PlantationDate]]), " ", YEAR(CompilDonnées[[#This Row],[PlantationDate]]))</f>
        <v>48 2024</v>
      </c>
      <c r="L108" t="str">
        <f>CONCATENATE(MONTH(CompilDonnées[[#This Row],[PlantationDate]])," ", YEAR(CompilDonnées[[#This Row],[PlantationDate]]))</f>
        <v>11 2024</v>
      </c>
      <c r="M108" t="str">
        <f>CONCATENATE(MONTH(CompilDonnées[[#This Row],[HarvestingDate]])," ", YEAR(CompilDonnées[[#This Row],[HarvestingDate]]))</f>
        <v>1 2025</v>
      </c>
      <c r="N108">
        <f>_xlfn.NUMBERVALUE(CompilDonnées[[#This Row],[FarmID]]&amp;CompilDonnées[[#This Row],[ModuleNumber]]&amp;CompilDonnées[[#This Row],[PlantationDate]])</f>
        <v>119645623</v>
      </c>
      <c r="O108" t="str">
        <f>CompilDonnées[[#This Row],[FarmID]]&amp;CompilDonnées[[#This Row],[ModuleNumber]]</f>
        <v>1196</v>
      </c>
      <c r="P108" t="str">
        <f>CompilDonnées[[#This Row],[Ref_Module]]&amp;CompilDonnées[[#This Row],[HarvestingDate]]</f>
        <v>119645666</v>
      </c>
    </row>
    <row r="109" spans="1:16">
      <c r="A109" s="5">
        <v>45623</v>
      </c>
      <c r="B109">
        <v>113</v>
      </c>
      <c r="C109" t="s">
        <v>16</v>
      </c>
      <c r="D109">
        <v>5</v>
      </c>
      <c r="E109">
        <v>100</v>
      </c>
      <c r="F109" t="s">
        <v>1</v>
      </c>
      <c r="G109" s="6">
        <v>45666</v>
      </c>
      <c r="H109">
        <v>43</v>
      </c>
      <c r="I109">
        <f>ROUND(CompilDonnées[[#This Row],[CultureDuration_days]]/7,0)</f>
        <v>6</v>
      </c>
      <c r="J109">
        <v>3393</v>
      </c>
      <c r="K109" t="str">
        <f>_xlfn.CONCAT(WEEKNUM(CompilDonnées[[#This Row],[PlantationDate]]), " ", YEAR(CompilDonnées[[#This Row],[PlantationDate]]))</f>
        <v>48 2024</v>
      </c>
      <c r="L109" t="str">
        <f>CONCATENATE(MONTH(CompilDonnées[[#This Row],[PlantationDate]])," ", YEAR(CompilDonnées[[#This Row],[PlantationDate]]))</f>
        <v>11 2024</v>
      </c>
      <c r="M109" t="str">
        <f>CONCATENATE(MONTH(CompilDonnées[[#This Row],[HarvestingDate]])," ", YEAR(CompilDonnées[[#This Row],[HarvestingDate]]))</f>
        <v>1 2025</v>
      </c>
      <c r="N109">
        <f>_xlfn.NUMBERVALUE(CompilDonnées[[#This Row],[FarmID]]&amp;CompilDonnées[[#This Row],[ModuleNumber]]&amp;CompilDonnées[[#This Row],[PlantationDate]])</f>
        <v>113545623</v>
      </c>
      <c r="O109" t="str">
        <f>CompilDonnées[[#This Row],[FarmID]]&amp;CompilDonnées[[#This Row],[ModuleNumber]]</f>
        <v>1135</v>
      </c>
      <c r="P109" t="str">
        <f>CompilDonnées[[#This Row],[Ref_Module]]&amp;CompilDonnées[[#This Row],[HarvestingDate]]</f>
        <v>113545666</v>
      </c>
    </row>
    <row r="110" spans="1:16">
      <c r="A110" s="5">
        <v>45623</v>
      </c>
      <c r="B110">
        <v>126</v>
      </c>
      <c r="C110" t="s">
        <v>52</v>
      </c>
      <c r="D110">
        <v>3</v>
      </c>
      <c r="E110">
        <v>100</v>
      </c>
      <c r="F110" t="s">
        <v>1</v>
      </c>
      <c r="G110" s="6">
        <v>45667</v>
      </c>
      <c r="H110">
        <v>44</v>
      </c>
      <c r="I110">
        <f>ROUND(CompilDonnées[[#This Row],[CultureDuration_days]]/7,0)</f>
        <v>6</v>
      </c>
      <c r="J110">
        <v>2906</v>
      </c>
      <c r="K110" t="str">
        <f>_xlfn.CONCAT(WEEKNUM(CompilDonnées[[#This Row],[PlantationDate]]), " ", YEAR(CompilDonnées[[#This Row],[PlantationDate]]))</f>
        <v>48 2024</v>
      </c>
      <c r="L110" t="str">
        <f>CONCATENATE(MONTH(CompilDonnées[[#This Row],[PlantationDate]])," ", YEAR(CompilDonnées[[#This Row],[PlantationDate]]))</f>
        <v>11 2024</v>
      </c>
      <c r="M110" t="str">
        <f>CONCATENATE(MONTH(CompilDonnées[[#This Row],[HarvestingDate]])," ", YEAR(CompilDonnées[[#This Row],[HarvestingDate]]))</f>
        <v>1 2025</v>
      </c>
      <c r="N110">
        <f>_xlfn.NUMBERVALUE(CompilDonnées[[#This Row],[FarmID]]&amp;CompilDonnées[[#This Row],[ModuleNumber]]&amp;CompilDonnées[[#This Row],[PlantationDate]])</f>
        <v>126345623</v>
      </c>
      <c r="O110" t="str">
        <f>CompilDonnées[[#This Row],[FarmID]]&amp;CompilDonnées[[#This Row],[ModuleNumber]]</f>
        <v>1263</v>
      </c>
      <c r="P110" t="str">
        <f>CompilDonnées[[#This Row],[Ref_Module]]&amp;CompilDonnées[[#This Row],[HarvestingDate]]</f>
        <v>126345667</v>
      </c>
    </row>
    <row r="111" spans="1:16">
      <c r="A111" s="5">
        <v>45623</v>
      </c>
      <c r="B111">
        <v>124</v>
      </c>
      <c r="C111" t="s">
        <v>115</v>
      </c>
      <c r="D111">
        <v>1</v>
      </c>
      <c r="E111">
        <v>100</v>
      </c>
      <c r="F111" t="s">
        <v>1</v>
      </c>
      <c r="G111" s="6">
        <v>45666</v>
      </c>
      <c r="H111">
        <v>43</v>
      </c>
      <c r="I111">
        <f>ROUND(CompilDonnées[[#This Row],[CultureDuration_days]]/7,0)</f>
        <v>6</v>
      </c>
      <c r="J111">
        <v>2394</v>
      </c>
      <c r="K111" t="str">
        <f>_xlfn.CONCAT(WEEKNUM(CompilDonnées[[#This Row],[PlantationDate]]), " ", YEAR(CompilDonnées[[#This Row],[PlantationDate]]))</f>
        <v>48 2024</v>
      </c>
      <c r="L111" t="str">
        <f>CONCATENATE(MONTH(CompilDonnées[[#This Row],[PlantationDate]])," ", YEAR(CompilDonnées[[#This Row],[PlantationDate]]))</f>
        <v>11 2024</v>
      </c>
      <c r="M111" t="str">
        <f>CONCATENATE(MONTH(CompilDonnées[[#This Row],[HarvestingDate]])," ", YEAR(CompilDonnées[[#This Row],[HarvestingDate]]))</f>
        <v>1 2025</v>
      </c>
      <c r="N111">
        <f>_xlfn.NUMBERVALUE(CompilDonnées[[#This Row],[FarmID]]&amp;CompilDonnées[[#This Row],[ModuleNumber]]&amp;CompilDonnées[[#This Row],[PlantationDate]])</f>
        <v>124145623</v>
      </c>
      <c r="O111" t="str">
        <f>CompilDonnées[[#This Row],[FarmID]]&amp;CompilDonnées[[#This Row],[ModuleNumber]]</f>
        <v>1241</v>
      </c>
      <c r="P111" t="str">
        <f>CompilDonnées[[#This Row],[Ref_Module]]&amp;CompilDonnées[[#This Row],[HarvestingDate]]</f>
        <v>124145666</v>
      </c>
    </row>
    <row r="112" spans="1:16">
      <c r="A112" s="5">
        <v>45623</v>
      </c>
      <c r="B112">
        <v>130</v>
      </c>
      <c r="C112" t="s">
        <v>18</v>
      </c>
      <c r="D112">
        <v>3</v>
      </c>
      <c r="E112">
        <v>100</v>
      </c>
      <c r="F112" t="s">
        <v>1</v>
      </c>
      <c r="G112" s="6">
        <v>45666</v>
      </c>
      <c r="H112">
        <v>43</v>
      </c>
      <c r="I112">
        <f>ROUND(CompilDonnées[[#This Row],[CultureDuration_days]]/7,0)</f>
        <v>6</v>
      </c>
      <c r="J112">
        <v>1975</v>
      </c>
      <c r="K112" t="str">
        <f>_xlfn.CONCAT(WEEKNUM(CompilDonnées[[#This Row],[PlantationDate]]), " ", YEAR(CompilDonnées[[#This Row],[PlantationDate]]))</f>
        <v>48 2024</v>
      </c>
      <c r="L112" t="str">
        <f>CONCATENATE(MONTH(CompilDonnées[[#This Row],[PlantationDate]])," ", YEAR(CompilDonnées[[#This Row],[PlantationDate]]))</f>
        <v>11 2024</v>
      </c>
      <c r="M112" t="str">
        <f>CONCATENATE(MONTH(CompilDonnées[[#This Row],[HarvestingDate]])," ", YEAR(CompilDonnées[[#This Row],[HarvestingDate]]))</f>
        <v>1 2025</v>
      </c>
      <c r="N112">
        <f>_xlfn.NUMBERVALUE(CompilDonnées[[#This Row],[FarmID]]&amp;CompilDonnées[[#This Row],[ModuleNumber]]&amp;CompilDonnées[[#This Row],[PlantationDate]])</f>
        <v>130345623</v>
      </c>
      <c r="O112" t="str">
        <f>CompilDonnées[[#This Row],[FarmID]]&amp;CompilDonnées[[#This Row],[ModuleNumber]]</f>
        <v>1303</v>
      </c>
      <c r="P112" t="str">
        <f>CompilDonnées[[#This Row],[Ref_Module]]&amp;CompilDonnées[[#This Row],[HarvestingDate]]</f>
        <v>130345666</v>
      </c>
    </row>
    <row r="113" spans="1:16">
      <c r="A113" s="5">
        <v>45623</v>
      </c>
      <c r="B113">
        <v>137</v>
      </c>
      <c r="C113" t="s">
        <v>108</v>
      </c>
      <c r="D113">
        <v>3</v>
      </c>
      <c r="E113">
        <v>100</v>
      </c>
      <c r="F113" t="s">
        <v>1</v>
      </c>
      <c r="G113" s="6">
        <v>45679</v>
      </c>
      <c r="H113">
        <v>56</v>
      </c>
      <c r="I113">
        <f>ROUND(CompilDonnées[[#This Row],[CultureDuration_days]]/7,0)</f>
        <v>8</v>
      </c>
      <c r="J113">
        <v>2432</v>
      </c>
      <c r="K113" t="str">
        <f>_xlfn.CONCAT(WEEKNUM(CompilDonnées[[#This Row],[PlantationDate]]), " ", YEAR(CompilDonnées[[#This Row],[PlantationDate]]))</f>
        <v>48 2024</v>
      </c>
      <c r="L113" t="str">
        <f>CONCATENATE(MONTH(CompilDonnées[[#This Row],[PlantationDate]])," ", YEAR(CompilDonnées[[#This Row],[PlantationDate]]))</f>
        <v>11 2024</v>
      </c>
      <c r="M113" t="str">
        <f>CONCATENATE(MONTH(CompilDonnées[[#This Row],[HarvestingDate]])," ", YEAR(CompilDonnées[[#This Row],[HarvestingDate]]))</f>
        <v>1 2025</v>
      </c>
      <c r="N113">
        <f>_xlfn.NUMBERVALUE(CompilDonnées[[#This Row],[FarmID]]&amp;CompilDonnées[[#This Row],[ModuleNumber]]&amp;CompilDonnées[[#This Row],[PlantationDate]])</f>
        <v>137345623</v>
      </c>
      <c r="O113" t="str">
        <f>CompilDonnées[[#This Row],[FarmID]]&amp;CompilDonnées[[#This Row],[ModuleNumber]]</f>
        <v>1373</v>
      </c>
      <c r="P113" t="str">
        <f>CompilDonnées[[#This Row],[Ref_Module]]&amp;CompilDonnées[[#This Row],[HarvestingDate]]</f>
        <v>137345679</v>
      </c>
    </row>
    <row r="114" spans="1:16">
      <c r="A114" s="5">
        <v>45623</v>
      </c>
      <c r="B114">
        <v>138</v>
      </c>
      <c r="C114" t="s">
        <v>8</v>
      </c>
      <c r="D114">
        <v>3</v>
      </c>
      <c r="E114">
        <v>100</v>
      </c>
      <c r="F114" t="s">
        <v>1</v>
      </c>
      <c r="G114" s="6">
        <v>45666</v>
      </c>
      <c r="H114">
        <v>43</v>
      </c>
      <c r="I114">
        <f>ROUND(CompilDonnées[[#This Row],[CultureDuration_days]]/7,0)</f>
        <v>6</v>
      </c>
      <c r="J114">
        <v>2279</v>
      </c>
      <c r="K114" t="str">
        <f>_xlfn.CONCAT(WEEKNUM(CompilDonnées[[#This Row],[PlantationDate]]), " ", YEAR(CompilDonnées[[#This Row],[PlantationDate]]))</f>
        <v>48 2024</v>
      </c>
      <c r="L114" t="str">
        <f>CONCATENATE(MONTH(CompilDonnées[[#This Row],[PlantationDate]])," ", YEAR(CompilDonnées[[#This Row],[PlantationDate]]))</f>
        <v>11 2024</v>
      </c>
      <c r="M114" t="str">
        <f>CONCATENATE(MONTH(CompilDonnées[[#This Row],[HarvestingDate]])," ", YEAR(CompilDonnées[[#This Row],[HarvestingDate]]))</f>
        <v>1 2025</v>
      </c>
      <c r="N114">
        <f>_xlfn.NUMBERVALUE(CompilDonnées[[#This Row],[FarmID]]&amp;CompilDonnées[[#This Row],[ModuleNumber]]&amp;CompilDonnées[[#This Row],[PlantationDate]])</f>
        <v>138345623</v>
      </c>
      <c r="O114" t="str">
        <f>CompilDonnées[[#This Row],[FarmID]]&amp;CompilDonnées[[#This Row],[ModuleNumber]]</f>
        <v>1383</v>
      </c>
      <c r="P114" t="str">
        <f>CompilDonnées[[#This Row],[Ref_Module]]&amp;CompilDonnées[[#This Row],[HarvestingDate]]</f>
        <v>138345666</v>
      </c>
    </row>
    <row r="115" spans="1:16">
      <c r="A115" s="5">
        <v>45623</v>
      </c>
      <c r="B115">
        <v>139</v>
      </c>
      <c r="C115" t="s">
        <v>103</v>
      </c>
      <c r="D115">
        <v>6</v>
      </c>
      <c r="E115">
        <v>100</v>
      </c>
      <c r="F115" t="s">
        <v>1</v>
      </c>
      <c r="G115" s="6">
        <v>45666</v>
      </c>
      <c r="H115">
        <v>43</v>
      </c>
      <c r="I115">
        <f>ROUND(CompilDonnées[[#This Row],[CultureDuration_days]]/7,0)</f>
        <v>6</v>
      </c>
      <c r="J115">
        <v>3210</v>
      </c>
      <c r="K115" t="str">
        <f>_xlfn.CONCAT(WEEKNUM(CompilDonnées[[#This Row],[PlantationDate]]), " ", YEAR(CompilDonnées[[#This Row],[PlantationDate]]))</f>
        <v>48 2024</v>
      </c>
      <c r="L115" t="str">
        <f>CONCATENATE(MONTH(CompilDonnées[[#This Row],[PlantationDate]])," ", YEAR(CompilDonnées[[#This Row],[PlantationDate]]))</f>
        <v>11 2024</v>
      </c>
      <c r="M115" t="str">
        <f>CONCATENATE(MONTH(CompilDonnées[[#This Row],[HarvestingDate]])," ", YEAR(CompilDonnées[[#This Row],[HarvestingDate]]))</f>
        <v>1 2025</v>
      </c>
      <c r="N115">
        <f>_xlfn.NUMBERVALUE(CompilDonnées[[#This Row],[FarmID]]&amp;CompilDonnées[[#This Row],[ModuleNumber]]&amp;CompilDonnées[[#This Row],[PlantationDate]])</f>
        <v>139645623</v>
      </c>
      <c r="O115" t="str">
        <f>CompilDonnées[[#This Row],[FarmID]]&amp;CompilDonnées[[#This Row],[ModuleNumber]]</f>
        <v>1396</v>
      </c>
      <c r="P115" t="str">
        <f>CompilDonnées[[#This Row],[Ref_Module]]&amp;CompilDonnées[[#This Row],[HarvestingDate]]</f>
        <v>139645666</v>
      </c>
    </row>
    <row r="116" spans="1:16">
      <c r="A116" s="5">
        <v>45623</v>
      </c>
      <c r="B116">
        <v>140</v>
      </c>
      <c r="C116" t="s">
        <v>96</v>
      </c>
      <c r="D116">
        <v>5</v>
      </c>
      <c r="E116">
        <v>100</v>
      </c>
      <c r="F116" t="s">
        <v>1</v>
      </c>
      <c r="G116" s="6">
        <v>45666</v>
      </c>
      <c r="H116">
        <v>43</v>
      </c>
      <c r="I116">
        <f>ROUND(CompilDonnées[[#This Row],[CultureDuration_days]]/7,0)</f>
        <v>6</v>
      </c>
      <c r="J116">
        <v>3904</v>
      </c>
      <c r="K116" t="str">
        <f>_xlfn.CONCAT(WEEKNUM(CompilDonnées[[#This Row],[PlantationDate]]), " ", YEAR(CompilDonnées[[#This Row],[PlantationDate]]))</f>
        <v>48 2024</v>
      </c>
      <c r="L116" t="str">
        <f>CONCATENATE(MONTH(CompilDonnées[[#This Row],[PlantationDate]])," ", YEAR(CompilDonnées[[#This Row],[PlantationDate]]))</f>
        <v>11 2024</v>
      </c>
      <c r="M116" t="str">
        <f>CONCATENATE(MONTH(CompilDonnées[[#This Row],[HarvestingDate]])," ", YEAR(CompilDonnées[[#This Row],[HarvestingDate]]))</f>
        <v>1 2025</v>
      </c>
      <c r="N116">
        <f>_xlfn.NUMBERVALUE(CompilDonnées[[#This Row],[FarmID]]&amp;CompilDonnées[[#This Row],[ModuleNumber]]&amp;CompilDonnées[[#This Row],[PlantationDate]])</f>
        <v>140545623</v>
      </c>
      <c r="O116" t="str">
        <f>CompilDonnées[[#This Row],[FarmID]]&amp;CompilDonnées[[#This Row],[ModuleNumber]]</f>
        <v>1405</v>
      </c>
      <c r="P116" t="str">
        <f>CompilDonnées[[#This Row],[Ref_Module]]&amp;CompilDonnées[[#This Row],[HarvestingDate]]</f>
        <v>140545666</v>
      </c>
    </row>
    <row r="117" spans="1:16">
      <c r="A117" s="5">
        <v>45623</v>
      </c>
      <c r="B117">
        <v>40</v>
      </c>
      <c r="C117" t="s">
        <v>82</v>
      </c>
      <c r="D117">
        <v>3</v>
      </c>
      <c r="E117">
        <v>100</v>
      </c>
      <c r="F117" t="s">
        <v>1</v>
      </c>
      <c r="G117" s="6">
        <v>45672</v>
      </c>
      <c r="H117">
        <v>49</v>
      </c>
      <c r="I117">
        <f>ROUND(CompilDonnées[[#This Row],[CultureDuration_days]]/7,0)</f>
        <v>7</v>
      </c>
      <c r="J117">
        <v>100</v>
      </c>
      <c r="K117" t="str">
        <f>_xlfn.CONCAT(WEEKNUM(CompilDonnées[[#This Row],[PlantationDate]]), " ", YEAR(CompilDonnées[[#This Row],[PlantationDate]]))</f>
        <v>48 2024</v>
      </c>
      <c r="L117" t="str">
        <f>CONCATENATE(MONTH(CompilDonnées[[#This Row],[PlantationDate]])," ", YEAR(CompilDonnées[[#This Row],[PlantationDate]]))</f>
        <v>11 2024</v>
      </c>
      <c r="M117" t="str">
        <f>CONCATENATE(MONTH(CompilDonnées[[#This Row],[HarvestingDate]])," ", YEAR(CompilDonnées[[#This Row],[HarvestingDate]]))</f>
        <v>1 2025</v>
      </c>
      <c r="N117">
        <f>_xlfn.NUMBERVALUE(CompilDonnées[[#This Row],[FarmID]]&amp;CompilDonnées[[#This Row],[ModuleNumber]]&amp;CompilDonnées[[#This Row],[PlantationDate]])</f>
        <v>40345623</v>
      </c>
      <c r="O117" t="str">
        <f>CompilDonnées[[#This Row],[FarmID]]&amp;CompilDonnées[[#This Row],[ModuleNumber]]</f>
        <v>403</v>
      </c>
      <c r="P117" t="str">
        <f>CompilDonnées[[#This Row],[Ref_Module]]&amp;CompilDonnées[[#This Row],[HarvestingDate]]</f>
        <v>40345672</v>
      </c>
    </row>
    <row r="118" spans="1:16">
      <c r="A118" s="5">
        <v>45623</v>
      </c>
      <c r="B118">
        <v>60</v>
      </c>
      <c r="C118" t="s">
        <v>113</v>
      </c>
      <c r="D118">
        <v>1</v>
      </c>
      <c r="E118">
        <v>100</v>
      </c>
      <c r="F118" t="s">
        <v>1</v>
      </c>
      <c r="G118" s="6">
        <v>45664</v>
      </c>
      <c r="H118">
        <v>41</v>
      </c>
      <c r="I118">
        <f>ROUND(CompilDonnées[[#This Row],[CultureDuration_days]]/7,0)</f>
        <v>6</v>
      </c>
      <c r="J118">
        <v>1700</v>
      </c>
      <c r="K118" t="str">
        <f>_xlfn.CONCAT(WEEKNUM(CompilDonnées[[#This Row],[PlantationDate]]), " ", YEAR(CompilDonnées[[#This Row],[PlantationDate]]))</f>
        <v>48 2024</v>
      </c>
      <c r="L118" t="str">
        <f>CONCATENATE(MONTH(CompilDonnées[[#This Row],[PlantationDate]])," ", YEAR(CompilDonnées[[#This Row],[PlantationDate]]))</f>
        <v>11 2024</v>
      </c>
      <c r="M118" t="str">
        <f>CONCATENATE(MONTH(CompilDonnées[[#This Row],[HarvestingDate]])," ", YEAR(CompilDonnées[[#This Row],[HarvestingDate]]))</f>
        <v>1 2025</v>
      </c>
      <c r="N118">
        <f>_xlfn.NUMBERVALUE(CompilDonnées[[#This Row],[FarmID]]&amp;CompilDonnées[[#This Row],[ModuleNumber]]&amp;CompilDonnées[[#This Row],[PlantationDate]])</f>
        <v>60145623</v>
      </c>
      <c r="O118" t="str">
        <f>CompilDonnées[[#This Row],[FarmID]]&amp;CompilDonnées[[#This Row],[ModuleNumber]]</f>
        <v>601</v>
      </c>
      <c r="P118" t="str">
        <f>CompilDonnées[[#This Row],[Ref_Module]]&amp;CompilDonnées[[#This Row],[HarvestingDate]]</f>
        <v>60145664</v>
      </c>
    </row>
    <row r="119" spans="1:16">
      <c r="A119" s="5">
        <v>45623</v>
      </c>
      <c r="B119">
        <v>28</v>
      </c>
      <c r="C119" t="s">
        <v>77</v>
      </c>
      <c r="D119">
        <v>2</v>
      </c>
      <c r="E119">
        <v>100</v>
      </c>
      <c r="F119" t="s">
        <v>1</v>
      </c>
      <c r="G119" s="6">
        <v>45663</v>
      </c>
      <c r="H119">
        <v>40</v>
      </c>
      <c r="I119">
        <f>ROUND(CompilDonnées[[#This Row],[CultureDuration_days]]/7,0)</f>
        <v>6</v>
      </c>
      <c r="J119">
        <v>580</v>
      </c>
      <c r="K119" t="str">
        <f>_xlfn.CONCAT(WEEKNUM(CompilDonnées[[#This Row],[PlantationDate]]), " ", YEAR(CompilDonnées[[#This Row],[PlantationDate]]))</f>
        <v>48 2024</v>
      </c>
      <c r="L119" t="str">
        <f>CONCATENATE(MONTH(CompilDonnées[[#This Row],[PlantationDate]])," ", YEAR(CompilDonnées[[#This Row],[PlantationDate]]))</f>
        <v>11 2024</v>
      </c>
      <c r="M119" t="str">
        <f>CONCATENATE(MONTH(CompilDonnées[[#This Row],[HarvestingDate]])," ", YEAR(CompilDonnées[[#This Row],[HarvestingDate]]))</f>
        <v>1 2025</v>
      </c>
      <c r="N119">
        <f>_xlfn.NUMBERVALUE(CompilDonnées[[#This Row],[FarmID]]&amp;CompilDonnées[[#This Row],[ModuleNumber]]&amp;CompilDonnées[[#This Row],[PlantationDate]])</f>
        <v>28245623</v>
      </c>
      <c r="O119" t="str">
        <f>CompilDonnées[[#This Row],[FarmID]]&amp;CompilDonnées[[#This Row],[ModuleNumber]]</f>
        <v>282</v>
      </c>
      <c r="P119" t="str">
        <f>CompilDonnées[[#This Row],[Ref_Module]]&amp;CompilDonnées[[#This Row],[HarvestingDate]]</f>
        <v>28245663</v>
      </c>
    </row>
    <row r="120" spans="1:16">
      <c r="A120" s="5">
        <v>45623</v>
      </c>
      <c r="B120">
        <v>47</v>
      </c>
      <c r="C120" t="s">
        <v>12</v>
      </c>
      <c r="D120">
        <v>2</v>
      </c>
      <c r="E120">
        <v>100</v>
      </c>
      <c r="F120" t="s">
        <v>1</v>
      </c>
      <c r="G120" s="6">
        <v>45663</v>
      </c>
      <c r="H120">
        <v>40</v>
      </c>
      <c r="I120">
        <f>ROUND(CompilDonnées[[#This Row],[CultureDuration_days]]/7,0)</f>
        <v>6</v>
      </c>
      <c r="J120">
        <v>1231</v>
      </c>
      <c r="K120" t="str">
        <f>_xlfn.CONCAT(WEEKNUM(CompilDonnées[[#This Row],[PlantationDate]]), " ", YEAR(CompilDonnées[[#This Row],[PlantationDate]]))</f>
        <v>48 2024</v>
      </c>
      <c r="L120" t="str">
        <f>CONCATENATE(MONTH(CompilDonnées[[#This Row],[PlantationDate]])," ", YEAR(CompilDonnées[[#This Row],[PlantationDate]]))</f>
        <v>11 2024</v>
      </c>
      <c r="M120" t="str">
        <f>CONCATENATE(MONTH(CompilDonnées[[#This Row],[HarvestingDate]])," ", YEAR(CompilDonnées[[#This Row],[HarvestingDate]]))</f>
        <v>1 2025</v>
      </c>
      <c r="N120">
        <f>_xlfn.NUMBERVALUE(CompilDonnées[[#This Row],[FarmID]]&amp;CompilDonnées[[#This Row],[ModuleNumber]]&amp;CompilDonnées[[#This Row],[PlantationDate]])</f>
        <v>47245623</v>
      </c>
      <c r="O120" t="str">
        <f>CompilDonnées[[#This Row],[FarmID]]&amp;CompilDonnées[[#This Row],[ModuleNumber]]</f>
        <v>472</v>
      </c>
      <c r="P120" t="str">
        <f>CompilDonnées[[#This Row],[Ref_Module]]&amp;CompilDonnées[[#This Row],[HarvestingDate]]</f>
        <v>47245663</v>
      </c>
    </row>
    <row r="121" spans="1:16">
      <c r="A121" s="5">
        <v>45623</v>
      </c>
      <c r="B121">
        <v>53</v>
      </c>
      <c r="C121" t="s">
        <v>83</v>
      </c>
      <c r="D121">
        <v>2</v>
      </c>
      <c r="E121">
        <v>100</v>
      </c>
      <c r="F121" t="s">
        <v>1</v>
      </c>
      <c r="G121" s="6">
        <v>45664</v>
      </c>
      <c r="H121">
        <v>41</v>
      </c>
      <c r="I121">
        <f>ROUND(CompilDonnées[[#This Row],[CultureDuration_days]]/7,0)</f>
        <v>6</v>
      </c>
      <c r="J121">
        <v>1997</v>
      </c>
      <c r="K121" t="str">
        <f>_xlfn.CONCAT(WEEKNUM(CompilDonnées[[#This Row],[PlantationDate]]), " ", YEAR(CompilDonnées[[#This Row],[PlantationDate]]))</f>
        <v>48 2024</v>
      </c>
      <c r="L121" t="str">
        <f>CONCATENATE(MONTH(CompilDonnées[[#This Row],[PlantationDate]])," ", YEAR(CompilDonnées[[#This Row],[PlantationDate]]))</f>
        <v>11 2024</v>
      </c>
      <c r="M121" t="str">
        <f>CONCATENATE(MONTH(CompilDonnées[[#This Row],[HarvestingDate]])," ", YEAR(CompilDonnées[[#This Row],[HarvestingDate]]))</f>
        <v>1 2025</v>
      </c>
      <c r="N121">
        <f>_xlfn.NUMBERVALUE(CompilDonnées[[#This Row],[FarmID]]&amp;CompilDonnées[[#This Row],[ModuleNumber]]&amp;CompilDonnées[[#This Row],[PlantationDate]])</f>
        <v>53245623</v>
      </c>
      <c r="O121" t="str">
        <f>CompilDonnées[[#This Row],[FarmID]]&amp;CompilDonnées[[#This Row],[ModuleNumber]]</f>
        <v>532</v>
      </c>
      <c r="P121" t="str">
        <f>CompilDonnées[[#This Row],[Ref_Module]]&amp;CompilDonnées[[#This Row],[HarvestingDate]]</f>
        <v>53245664</v>
      </c>
    </row>
    <row r="122" spans="1:16">
      <c r="A122" s="5">
        <v>45623</v>
      </c>
      <c r="B122">
        <v>54</v>
      </c>
      <c r="C122" t="s">
        <v>39</v>
      </c>
      <c r="D122">
        <v>2</v>
      </c>
      <c r="E122">
        <v>100</v>
      </c>
      <c r="F122" t="s">
        <v>1</v>
      </c>
      <c r="G122" s="6">
        <v>45664</v>
      </c>
      <c r="H122">
        <v>41</v>
      </c>
      <c r="I122">
        <f>ROUND(CompilDonnées[[#This Row],[CultureDuration_days]]/7,0)</f>
        <v>6</v>
      </c>
      <c r="J122">
        <v>1653</v>
      </c>
      <c r="K122" t="str">
        <f>_xlfn.CONCAT(WEEKNUM(CompilDonnées[[#This Row],[PlantationDate]]), " ", YEAR(CompilDonnées[[#This Row],[PlantationDate]]))</f>
        <v>48 2024</v>
      </c>
      <c r="L122" t="str">
        <f>CONCATENATE(MONTH(CompilDonnées[[#This Row],[PlantationDate]])," ", YEAR(CompilDonnées[[#This Row],[PlantationDate]]))</f>
        <v>11 2024</v>
      </c>
      <c r="M122" t="str">
        <f>CONCATENATE(MONTH(CompilDonnées[[#This Row],[HarvestingDate]])," ", YEAR(CompilDonnées[[#This Row],[HarvestingDate]]))</f>
        <v>1 2025</v>
      </c>
      <c r="N122">
        <f>_xlfn.NUMBERVALUE(CompilDonnées[[#This Row],[FarmID]]&amp;CompilDonnées[[#This Row],[ModuleNumber]]&amp;CompilDonnées[[#This Row],[PlantationDate]])</f>
        <v>54245623</v>
      </c>
      <c r="O122" t="str">
        <f>CompilDonnées[[#This Row],[FarmID]]&amp;CompilDonnées[[#This Row],[ModuleNumber]]</f>
        <v>542</v>
      </c>
      <c r="P122" t="str">
        <f>CompilDonnées[[#This Row],[Ref_Module]]&amp;CompilDonnées[[#This Row],[HarvestingDate]]</f>
        <v>54245664</v>
      </c>
    </row>
    <row r="123" spans="1:16">
      <c r="A123" s="5">
        <v>45623</v>
      </c>
      <c r="B123">
        <v>62</v>
      </c>
      <c r="C123" t="s">
        <v>111</v>
      </c>
      <c r="D123">
        <v>2</v>
      </c>
      <c r="E123">
        <v>100</v>
      </c>
      <c r="F123" t="s">
        <v>1</v>
      </c>
      <c r="G123" s="6">
        <v>45664</v>
      </c>
      <c r="H123">
        <v>41</v>
      </c>
      <c r="I123">
        <f>ROUND(CompilDonnées[[#This Row],[CultureDuration_days]]/7,0)</f>
        <v>6</v>
      </c>
      <c r="J123">
        <v>2249</v>
      </c>
      <c r="K123" t="str">
        <f>_xlfn.CONCAT(WEEKNUM(CompilDonnées[[#This Row],[PlantationDate]]), " ", YEAR(CompilDonnées[[#This Row],[PlantationDate]]))</f>
        <v>48 2024</v>
      </c>
      <c r="L123" t="str">
        <f>CONCATENATE(MONTH(CompilDonnées[[#This Row],[PlantationDate]])," ", YEAR(CompilDonnées[[#This Row],[PlantationDate]]))</f>
        <v>11 2024</v>
      </c>
      <c r="M123" t="str">
        <f>CONCATENATE(MONTH(CompilDonnées[[#This Row],[HarvestingDate]])," ", YEAR(CompilDonnées[[#This Row],[HarvestingDate]]))</f>
        <v>1 2025</v>
      </c>
      <c r="N123">
        <f>_xlfn.NUMBERVALUE(CompilDonnées[[#This Row],[FarmID]]&amp;CompilDonnées[[#This Row],[ModuleNumber]]&amp;CompilDonnées[[#This Row],[PlantationDate]])</f>
        <v>62245623</v>
      </c>
      <c r="O123" t="str">
        <f>CompilDonnées[[#This Row],[FarmID]]&amp;CompilDonnées[[#This Row],[ModuleNumber]]</f>
        <v>622</v>
      </c>
      <c r="P123" t="str">
        <f>CompilDonnées[[#This Row],[Ref_Module]]&amp;CompilDonnées[[#This Row],[HarvestingDate]]</f>
        <v>62245664</v>
      </c>
    </row>
    <row r="124" spans="1:16">
      <c r="A124" s="5">
        <v>45623</v>
      </c>
      <c r="B124">
        <v>4</v>
      </c>
      <c r="C124" t="s">
        <v>74</v>
      </c>
      <c r="D124">
        <v>6</v>
      </c>
      <c r="E124">
        <v>100</v>
      </c>
      <c r="F124" t="s">
        <v>1</v>
      </c>
      <c r="G124" s="6">
        <v>45663</v>
      </c>
      <c r="H124">
        <v>40</v>
      </c>
      <c r="I124">
        <f>ROUND(CompilDonnées[[#This Row],[CultureDuration_days]]/7,0)</f>
        <v>6</v>
      </c>
      <c r="J124">
        <v>2024</v>
      </c>
      <c r="K124" t="str">
        <f>_xlfn.CONCAT(WEEKNUM(CompilDonnées[[#This Row],[PlantationDate]]), " ", YEAR(CompilDonnées[[#This Row],[PlantationDate]]))</f>
        <v>48 2024</v>
      </c>
      <c r="L124" t="str">
        <f>CONCATENATE(MONTH(CompilDonnées[[#This Row],[PlantationDate]])," ", YEAR(CompilDonnées[[#This Row],[PlantationDate]]))</f>
        <v>11 2024</v>
      </c>
      <c r="M124" t="str">
        <f>CONCATENATE(MONTH(CompilDonnées[[#This Row],[HarvestingDate]])," ", YEAR(CompilDonnées[[#This Row],[HarvestingDate]]))</f>
        <v>1 2025</v>
      </c>
      <c r="N124">
        <f>_xlfn.NUMBERVALUE(CompilDonnées[[#This Row],[FarmID]]&amp;CompilDonnées[[#This Row],[ModuleNumber]]&amp;CompilDonnées[[#This Row],[PlantationDate]])</f>
        <v>4645623</v>
      </c>
      <c r="O124" t="str">
        <f>CompilDonnées[[#This Row],[FarmID]]&amp;CompilDonnées[[#This Row],[ModuleNumber]]</f>
        <v>46</v>
      </c>
      <c r="P124" t="str">
        <f>CompilDonnées[[#This Row],[Ref_Module]]&amp;CompilDonnées[[#This Row],[HarvestingDate]]</f>
        <v>4645663</v>
      </c>
    </row>
    <row r="125" spans="1:16">
      <c r="A125" s="5">
        <v>45623</v>
      </c>
      <c r="B125">
        <v>16</v>
      </c>
      <c r="C125" t="s">
        <v>112</v>
      </c>
      <c r="D125">
        <v>6</v>
      </c>
      <c r="E125">
        <v>100</v>
      </c>
      <c r="F125" t="s">
        <v>1</v>
      </c>
      <c r="G125" s="6">
        <v>45663</v>
      </c>
      <c r="H125">
        <v>40</v>
      </c>
      <c r="I125">
        <f>ROUND(CompilDonnées[[#This Row],[CultureDuration_days]]/7,0)</f>
        <v>6</v>
      </c>
      <c r="J125">
        <v>2084</v>
      </c>
      <c r="K125" t="str">
        <f>_xlfn.CONCAT(WEEKNUM(CompilDonnées[[#This Row],[PlantationDate]]), " ", YEAR(CompilDonnées[[#This Row],[PlantationDate]]))</f>
        <v>48 2024</v>
      </c>
      <c r="L125" t="str">
        <f>CONCATENATE(MONTH(CompilDonnées[[#This Row],[PlantationDate]])," ", YEAR(CompilDonnées[[#This Row],[PlantationDate]]))</f>
        <v>11 2024</v>
      </c>
      <c r="M125" t="str">
        <f>CONCATENATE(MONTH(CompilDonnées[[#This Row],[HarvestingDate]])," ", YEAR(CompilDonnées[[#This Row],[HarvestingDate]]))</f>
        <v>1 2025</v>
      </c>
      <c r="N125">
        <f>_xlfn.NUMBERVALUE(CompilDonnées[[#This Row],[FarmID]]&amp;CompilDonnées[[#This Row],[ModuleNumber]]&amp;CompilDonnées[[#This Row],[PlantationDate]])</f>
        <v>16645623</v>
      </c>
      <c r="O125" t="str">
        <f>CompilDonnées[[#This Row],[FarmID]]&amp;CompilDonnées[[#This Row],[ModuleNumber]]</f>
        <v>166</v>
      </c>
      <c r="P125" t="str">
        <f>CompilDonnées[[#This Row],[Ref_Module]]&amp;CompilDonnées[[#This Row],[HarvestingDate]]</f>
        <v>16645663</v>
      </c>
    </row>
    <row r="126" spans="1:16">
      <c r="A126" s="5">
        <v>45623</v>
      </c>
      <c r="B126">
        <v>24</v>
      </c>
      <c r="C126" t="s">
        <v>31</v>
      </c>
      <c r="D126">
        <v>1</v>
      </c>
      <c r="E126">
        <v>100</v>
      </c>
      <c r="F126" t="s">
        <v>1</v>
      </c>
      <c r="G126" s="6">
        <v>45663</v>
      </c>
      <c r="H126">
        <v>40</v>
      </c>
      <c r="I126">
        <f>ROUND(CompilDonnées[[#This Row],[CultureDuration_days]]/7,0)</f>
        <v>6</v>
      </c>
      <c r="J126">
        <v>4086</v>
      </c>
      <c r="K126" t="str">
        <f>_xlfn.CONCAT(WEEKNUM(CompilDonnées[[#This Row],[PlantationDate]]), " ", YEAR(CompilDonnées[[#This Row],[PlantationDate]]))</f>
        <v>48 2024</v>
      </c>
      <c r="L126" t="str">
        <f>CONCATENATE(MONTH(CompilDonnées[[#This Row],[PlantationDate]])," ", YEAR(CompilDonnées[[#This Row],[PlantationDate]]))</f>
        <v>11 2024</v>
      </c>
      <c r="M126" t="str">
        <f>CONCATENATE(MONTH(CompilDonnées[[#This Row],[HarvestingDate]])," ", YEAR(CompilDonnées[[#This Row],[HarvestingDate]]))</f>
        <v>1 2025</v>
      </c>
      <c r="N126">
        <f>_xlfn.NUMBERVALUE(CompilDonnées[[#This Row],[FarmID]]&amp;CompilDonnées[[#This Row],[ModuleNumber]]&amp;CompilDonnées[[#This Row],[PlantationDate]])</f>
        <v>24145623</v>
      </c>
      <c r="O126" t="str">
        <f>CompilDonnées[[#This Row],[FarmID]]&amp;CompilDonnées[[#This Row],[ModuleNumber]]</f>
        <v>241</v>
      </c>
      <c r="P126" t="str">
        <f>CompilDonnées[[#This Row],[Ref_Module]]&amp;CompilDonnées[[#This Row],[HarvestingDate]]</f>
        <v>24145663</v>
      </c>
    </row>
    <row r="127" spans="1:16">
      <c r="A127" s="5">
        <v>45623</v>
      </c>
      <c r="B127">
        <v>23</v>
      </c>
      <c r="C127" t="s">
        <v>44</v>
      </c>
      <c r="D127">
        <v>1</v>
      </c>
      <c r="E127">
        <v>100</v>
      </c>
      <c r="F127" t="s">
        <v>1</v>
      </c>
      <c r="G127" s="6">
        <v>45663</v>
      </c>
      <c r="H127">
        <v>40</v>
      </c>
      <c r="I127">
        <f>ROUND(CompilDonnées[[#This Row],[CultureDuration_days]]/7,0)</f>
        <v>6</v>
      </c>
      <c r="J127">
        <v>2418</v>
      </c>
      <c r="K127" t="str">
        <f>_xlfn.CONCAT(WEEKNUM(CompilDonnées[[#This Row],[PlantationDate]]), " ", YEAR(CompilDonnées[[#This Row],[PlantationDate]]))</f>
        <v>48 2024</v>
      </c>
      <c r="L127" t="str">
        <f>CONCATENATE(MONTH(CompilDonnées[[#This Row],[PlantationDate]])," ", YEAR(CompilDonnées[[#This Row],[PlantationDate]]))</f>
        <v>11 2024</v>
      </c>
      <c r="M127" t="str">
        <f>CONCATENATE(MONTH(CompilDonnées[[#This Row],[HarvestingDate]])," ", YEAR(CompilDonnées[[#This Row],[HarvestingDate]]))</f>
        <v>1 2025</v>
      </c>
      <c r="N127">
        <f>_xlfn.NUMBERVALUE(CompilDonnées[[#This Row],[FarmID]]&amp;CompilDonnées[[#This Row],[ModuleNumber]]&amp;CompilDonnées[[#This Row],[PlantationDate]])</f>
        <v>23145623</v>
      </c>
      <c r="O127" t="str">
        <f>CompilDonnées[[#This Row],[FarmID]]&amp;CompilDonnées[[#This Row],[ModuleNumber]]</f>
        <v>231</v>
      </c>
      <c r="P127" t="str">
        <f>CompilDonnées[[#This Row],[Ref_Module]]&amp;CompilDonnées[[#This Row],[HarvestingDate]]</f>
        <v>23145663</v>
      </c>
    </row>
    <row r="128" spans="1:16">
      <c r="A128" s="5">
        <v>45623</v>
      </c>
      <c r="B128">
        <v>44</v>
      </c>
      <c r="C128" t="s">
        <v>42</v>
      </c>
      <c r="D128">
        <v>3</v>
      </c>
      <c r="E128">
        <v>100</v>
      </c>
      <c r="F128" t="s">
        <v>1</v>
      </c>
      <c r="G128" s="6">
        <v>45664</v>
      </c>
      <c r="H128">
        <v>41</v>
      </c>
      <c r="I128">
        <f>ROUND(CompilDonnées[[#This Row],[CultureDuration_days]]/7,0)</f>
        <v>6</v>
      </c>
      <c r="J128">
        <v>3013</v>
      </c>
      <c r="K128" t="str">
        <f>_xlfn.CONCAT(WEEKNUM(CompilDonnées[[#This Row],[PlantationDate]]), " ", YEAR(CompilDonnées[[#This Row],[PlantationDate]]))</f>
        <v>48 2024</v>
      </c>
      <c r="L128" t="str">
        <f>CONCATENATE(MONTH(CompilDonnées[[#This Row],[PlantationDate]])," ", YEAR(CompilDonnées[[#This Row],[PlantationDate]]))</f>
        <v>11 2024</v>
      </c>
      <c r="M128" t="str">
        <f>CONCATENATE(MONTH(CompilDonnées[[#This Row],[HarvestingDate]])," ", YEAR(CompilDonnées[[#This Row],[HarvestingDate]]))</f>
        <v>1 2025</v>
      </c>
      <c r="N128">
        <f>_xlfn.NUMBERVALUE(CompilDonnées[[#This Row],[FarmID]]&amp;CompilDonnées[[#This Row],[ModuleNumber]]&amp;CompilDonnées[[#This Row],[PlantationDate]])</f>
        <v>44345623</v>
      </c>
      <c r="O128" t="str">
        <f>CompilDonnées[[#This Row],[FarmID]]&amp;CompilDonnées[[#This Row],[ModuleNumber]]</f>
        <v>443</v>
      </c>
      <c r="P128" t="str">
        <f>CompilDonnées[[#This Row],[Ref_Module]]&amp;CompilDonnées[[#This Row],[HarvestingDate]]</f>
        <v>44345664</v>
      </c>
    </row>
    <row r="129" spans="1:16">
      <c r="A129" s="5">
        <v>45623</v>
      </c>
      <c r="B129">
        <v>42</v>
      </c>
      <c r="C129" t="s">
        <v>89</v>
      </c>
      <c r="D129">
        <v>3</v>
      </c>
      <c r="E129">
        <v>100</v>
      </c>
      <c r="F129" t="s">
        <v>1</v>
      </c>
      <c r="G129" s="6">
        <v>45671</v>
      </c>
      <c r="H129">
        <v>48</v>
      </c>
      <c r="I129">
        <f>ROUND(CompilDonnées[[#This Row],[CultureDuration_days]]/7,0)</f>
        <v>7</v>
      </c>
      <c r="J129">
        <v>1555</v>
      </c>
      <c r="K129" t="str">
        <f>_xlfn.CONCAT(WEEKNUM(CompilDonnées[[#This Row],[PlantationDate]]), " ", YEAR(CompilDonnées[[#This Row],[PlantationDate]]))</f>
        <v>48 2024</v>
      </c>
      <c r="L129" t="str">
        <f>CONCATENATE(MONTH(CompilDonnées[[#This Row],[PlantationDate]])," ", YEAR(CompilDonnées[[#This Row],[PlantationDate]]))</f>
        <v>11 2024</v>
      </c>
      <c r="M129" t="str">
        <f>CONCATENATE(MONTH(CompilDonnées[[#This Row],[HarvestingDate]])," ", YEAR(CompilDonnées[[#This Row],[HarvestingDate]]))</f>
        <v>1 2025</v>
      </c>
      <c r="N129">
        <f>_xlfn.NUMBERVALUE(CompilDonnées[[#This Row],[FarmID]]&amp;CompilDonnées[[#This Row],[ModuleNumber]]&amp;CompilDonnées[[#This Row],[PlantationDate]])</f>
        <v>42345623</v>
      </c>
      <c r="O129" t="str">
        <f>CompilDonnées[[#This Row],[FarmID]]&amp;CompilDonnées[[#This Row],[ModuleNumber]]</f>
        <v>423</v>
      </c>
      <c r="P129" t="str">
        <f>CompilDonnées[[#This Row],[Ref_Module]]&amp;CompilDonnées[[#This Row],[HarvestingDate]]</f>
        <v>42345671</v>
      </c>
    </row>
    <row r="130" spans="1:16">
      <c r="A130" s="5">
        <v>45623</v>
      </c>
      <c r="B130">
        <v>41</v>
      </c>
      <c r="C130" t="s">
        <v>70</v>
      </c>
      <c r="D130">
        <v>5</v>
      </c>
      <c r="E130">
        <v>100</v>
      </c>
      <c r="F130" t="s">
        <v>1</v>
      </c>
      <c r="G130" s="6">
        <v>45664</v>
      </c>
      <c r="H130">
        <v>41</v>
      </c>
      <c r="I130">
        <f>ROUND(CompilDonnées[[#This Row],[CultureDuration_days]]/7,0)</f>
        <v>6</v>
      </c>
      <c r="J130">
        <v>1058</v>
      </c>
      <c r="K130" t="str">
        <f>_xlfn.CONCAT(WEEKNUM(CompilDonnées[[#This Row],[PlantationDate]]), " ", YEAR(CompilDonnées[[#This Row],[PlantationDate]]))</f>
        <v>48 2024</v>
      </c>
      <c r="L130" t="str">
        <f>CONCATENATE(MONTH(CompilDonnées[[#This Row],[PlantationDate]])," ", YEAR(CompilDonnées[[#This Row],[PlantationDate]]))</f>
        <v>11 2024</v>
      </c>
      <c r="M130" t="str">
        <f>CONCATENATE(MONTH(CompilDonnées[[#This Row],[HarvestingDate]])," ", YEAR(CompilDonnées[[#This Row],[HarvestingDate]]))</f>
        <v>1 2025</v>
      </c>
      <c r="N130">
        <f>_xlfn.NUMBERVALUE(CompilDonnées[[#This Row],[FarmID]]&amp;CompilDonnées[[#This Row],[ModuleNumber]]&amp;CompilDonnées[[#This Row],[PlantationDate]])</f>
        <v>41545623</v>
      </c>
      <c r="O130" t="str">
        <f>CompilDonnées[[#This Row],[FarmID]]&amp;CompilDonnées[[#This Row],[ModuleNumber]]</f>
        <v>415</v>
      </c>
      <c r="P130" t="str">
        <f>CompilDonnées[[#This Row],[Ref_Module]]&amp;CompilDonnées[[#This Row],[HarvestingDate]]</f>
        <v>41545664</v>
      </c>
    </row>
    <row r="131" spans="1:16">
      <c r="A131" s="5">
        <v>45623</v>
      </c>
      <c r="B131">
        <v>37</v>
      </c>
      <c r="C131" t="s">
        <v>26</v>
      </c>
      <c r="D131">
        <v>2</v>
      </c>
      <c r="E131">
        <v>100</v>
      </c>
      <c r="F131" t="s">
        <v>1</v>
      </c>
      <c r="G131" s="6">
        <v>45667</v>
      </c>
      <c r="H131">
        <v>44</v>
      </c>
      <c r="I131">
        <f>ROUND(CompilDonnées[[#This Row],[CultureDuration_days]]/7,0)</f>
        <v>6</v>
      </c>
      <c r="J131">
        <v>3862</v>
      </c>
      <c r="K131" t="str">
        <f>_xlfn.CONCAT(WEEKNUM(CompilDonnées[[#This Row],[PlantationDate]]), " ", YEAR(CompilDonnées[[#This Row],[PlantationDate]]))</f>
        <v>48 2024</v>
      </c>
      <c r="L131" t="str">
        <f>CONCATENATE(MONTH(CompilDonnées[[#This Row],[PlantationDate]])," ", YEAR(CompilDonnées[[#This Row],[PlantationDate]]))</f>
        <v>11 2024</v>
      </c>
      <c r="M131" t="str">
        <f>CONCATENATE(MONTH(CompilDonnées[[#This Row],[HarvestingDate]])," ", YEAR(CompilDonnées[[#This Row],[HarvestingDate]]))</f>
        <v>1 2025</v>
      </c>
      <c r="N131">
        <f>_xlfn.NUMBERVALUE(CompilDonnées[[#This Row],[FarmID]]&amp;CompilDonnées[[#This Row],[ModuleNumber]]&amp;CompilDonnées[[#This Row],[PlantationDate]])</f>
        <v>37245623</v>
      </c>
      <c r="O131" t="str">
        <f>CompilDonnées[[#This Row],[FarmID]]&amp;CompilDonnées[[#This Row],[ModuleNumber]]</f>
        <v>372</v>
      </c>
      <c r="P131" t="str">
        <f>CompilDonnées[[#This Row],[Ref_Module]]&amp;CompilDonnées[[#This Row],[HarvestingDate]]</f>
        <v>37245667</v>
      </c>
    </row>
    <row r="132" spans="1:16">
      <c r="A132" s="5">
        <v>45623</v>
      </c>
      <c r="B132">
        <v>38</v>
      </c>
      <c r="C132" t="s">
        <v>34</v>
      </c>
      <c r="D132">
        <v>1</v>
      </c>
      <c r="E132">
        <v>100</v>
      </c>
      <c r="F132" t="s">
        <v>1</v>
      </c>
      <c r="G132" s="6">
        <v>45664</v>
      </c>
      <c r="H132">
        <v>41</v>
      </c>
      <c r="I132">
        <f>ROUND(CompilDonnées[[#This Row],[CultureDuration_days]]/7,0)</f>
        <v>6</v>
      </c>
      <c r="J132">
        <v>3440</v>
      </c>
      <c r="K132" t="str">
        <f>_xlfn.CONCAT(WEEKNUM(CompilDonnées[[#This Row],[PlantationDate]]), " ", YEAR(CompilDonnées[[#This Row],[PlantationDate]]))</f>
        <v>48 2024</v>
      </c>
      <c r="L132" t="str">
        <f>CONCATENATE(MONTH(CompilDonnées[[#This Row],[PlantationDate]])," ", YEAR(CompilDonnées[[#This Row],[PlantationDate]]))</f>
        <v>11 2024</v>
      </c>
      <c r="M132" t="str">
        <f>CONCATENATE(MONTH(CompilDonnées[[#This Row],[HarvestingDate]])," ", YEAR(CompilDonnées[[#This Row],[HarvestingDate]]))</f>
        <v>1 2025</v>
      </c>
      <c r="N132">
        <f>_xlfn.NUMBERVALUE(CompilDonnées[[#This Row],[FarmID]]&amp;CompilDonnées[[#This Row],[ModuleNumber]]&amp;CompilDonnées[[#This Row],[PlantationDate]])</f>
        <v>38145623</v>
      </c>
      <c r="O132" t="str">
        <f>CompilDonnées[[#This Row],[FarmID]]&amp;CompilDonnées[[#This Row],[ModuleNumber]]</f>
        <v>381</v>
      </c>
      <c r="P132" t="str">
        <f>CompilDonnées[[#This Row],[Ref_Module]]&amp;CompilDonnées[[#This Row],[HarvestingDate]]</f>
        <v>38145664</v>
      </c>
    </row>
    <row r="133" spans="1:16">
      <c r="A133" s="5">
        <v>45623</v>
      </c>
      <c r="B133">
        <v>36</v>
      </c>
      <c r="C133" t="s">
        <v>63</v>
      </c>
      <c r="D133">
        <v>4</v>
      </c>
      <c r="E133">
        <v>100</v>
      </c>
      <c r="F133" t="s">
        <v>1</v>
      </c>
      <c r="G133" s="6">
        <v>45672</v>
      </c>
      <c r="H133">
        <v>49</v>
      </c>
      <c r="I133">
        <f>ROUND(CompilDonnées[[#This Row],[CultureDuration_days]]/7,0)</f>
        <v>7</v>
      </c>
      <c r="J133">
        <v>2109</v>
      </c>
      <c r="K133" t="str">
        <f>_xlfn.CONCAT(WEEKNUM(CompilDonnées[[#This Row],[PlantationDate]]), " ", YEAR(CompilDonnées[[#This Row],[PlantationDate]]))</f>
        <v>48 2024</v>
      </c>
      <c r="L133" t="str">
        <f>CONCATENATE(MONTH(CompilDonnées[[#This Row],[PlantationDate]])," ", YEAR(CompilDonnées[[#This Row],[PlantationDate]]))</f>
        <v>11 2024</v>
      </c>
      <c r="M133" t="str">
        <f>CONCATENATE(MONTH(CompilDonnées[[#This Row],[HarvestingDate]])," ", YEAR(CompilDonnées[[#This Row],[HarvestingDate]]))</f>
        <v>1 2025</v>
      </c>
      <c r="N133">
        <f>_xlfn.NUMBERVALUE(CompilDonnées[[#This Row],[FarmID]]&amp;CompilDonnées[[#This Row],[ModuleNumber]]&amp;CompilDonnées[[#This Row],[PlantationDate]])</f>
        <v>36445623</v>
      </c>
      <c r="O133" t="str">
        <f>CompilDonnées[[#This Row],[FarmID]]&amp;CompilDonnées[[#This Row],[ModuleNumber]]</f>
        <v>364</v>
      </c>
      <c r="P133" t="str">
        <f>CompilDonnées[[#This Row],[Ref_Module]]&amp;CompilDonnées[[#This Row],[HarvestingDate]]</f>
        <v>36445672</v>
      </c>
    </row>
    <row r="134" spans="1:16">
      <c r="A134" s="5">
        <v>45629</v>
      </c>
      <c r="B134">
        <v>116</v>
      </c>
      <c r="C134" t="s">
        <v>93</v>
      </c>
      <c r="D134">
        <v>6</v>
      </c>
      <c r="E134">
        <v>100</v>
      </c>
      <c r="F134" t="s">
        <v>1</v>
      </c>
      <c r="G134" s="6">
        <v>45670</v>
      </c>
      <c r="H134">
        <v>41</v>
      </c>
      <c r="I134">
        <f>ROUND(CompilDonnées[[#This Row],[CultureDuration_days]]/7,0)</f>
        <v>6</v>
      </c>
      <c r="J134">
        <v>1982</v>
      </c>
      <c r="K134" t="str">
        <f>_xlfn.CONCAT(WEEKNUM(CompilDonnées[[#This Row],[PlantationDate]]), " ", YEAR(CompilDonnées[[#This Row],[PlantationDate]]))</f>
        <v>49 2024</v>
      </c>
      <c r="L134" t="str">
        <f>CONCATENATE(MONTH(CompilDonnées[[#This Row],[PlantationDate]])," ", YEAR(CompilDonnées[[#This Row],[PlantationDate]]))</f>
        <v>12 2024</v>
      </c>
      <c r="M134" t="str">
        <f>CONCATENATE(MONTH(CompilDonnées[[#This Row],[HarvestingDate]])," ", YEAR(CompilDonnées[[#This Row],[HarvestingDate]]))</f>
        <v>1 2025</v>
      </c>
      <c r="N134">
        <f>_xlfn.NUMBERVALUE(CompilDonnées[[#This Row],[FarmID]]&amp;CompilDonnées[[#This Row],[ModuleNumber]]&amp;CompilDonnées[[#This Row],[PlantationDate]])</f>
        <v>116645629</v>
      </c>
      <c r="O134" t="str">
        <f>CompilDonnées[[#This Row],[FarmID]]&amp;CompilDonnées[[#This Row],[ModuleNumber]]</f>
        <v>1166</v>
      </c>
      <c r="P134" t="str">
        <f>CompilDonnées[[#This Row],[Ref_Module]]&amp;CompilDonnées[[#This Row],[HarvestingDate]]</f>
        <v>116645670</v>
      </c>
    </row>
    <row r="135" spans="1:16">
      <c r="A135" s="5">
        <v>45629</v>
      </c>
      <c r="B135">
        <v>112</v>
      </c>
      <c r="C135" t="s">
        <v>15</v>
      </c>
      <c r="D135">
        <v>5</v>
      </c>
      <c r="E135">
        <v>100</v>
      </c>
      <c r="F135" t="s">
        <v>1</v>
      </c>
      <c r="G135" s="6">
        <v>45670</v>
      </c>
      <c r="H135">
        <v>41</v>
      </c>
      <c r="I135">
        <f>ROUND(CompilDonnées[[#This Row],[CultureDuration_days]]/7,0)</f>
        <v>6</v>
      </c>
      <c r="J135">
        <v>1787</v>
      </c>
      <c r="K135" t="str">
        <f>_xlfn.CONCAT(WEEKNUM(CompilDonnées[[#This Row],[PlantationDate]]), " ", YEAR(CompilDonnées[[#This Row],[PlantationDate]]))</f>
        <v>49 2024</v>
      </c>
      <c r="L135" t="str">
        <f>CONCATENATE(MONTH(CompilDonnées[[#This Row],[PlantationDate]])," ", YEAR(CompilDonnées[[#This Row],[PlantationDate]]))</f>
        <v>12 2024</v>
      </c>
      <c r="M135" t="str">
        <f>CONCATENATE(MONTH(CompilDonnées[[#This Row],[HarvestingDate]])," ", YEAR(CompilDonnées[[#This Row],[HarvestingDate]]))</f>
        <v>1 2025</v>
      </c>
      <c r="N135">
        <f>_xlfn.NUMBERVALUE(CompilDonnées[[#This Row],[FarmID]]&amp;CompilDonnées[[#This Row],[ModuleNumber]]&amp;CompilDonnées[[#This Row],[PlantationDate]])</f>
        <v>112545629</v>
      </c>
      <c r="O135" t="str">
        <f>CompilDonnées[[#This Row],[FarmID]]&amp;CompilDonnées[[#This Row],[ModuleNumber]]</f>
        <v>1125</v>
      </c>
      <c r="P135" t="str">
        <f>CompilDonnées[[#This Row],[Ref_Module]]&amp;CompilDonnées[[#This Row],[HarvestingDate]]</f>
        <v>112545670</v>
      </c>
    </row>
    <row r="136" spans="1:16">
      <c r="A136" s="5">
        <v>45629</v>
      </c>
      <c r="B136">
        <v>120</v>
      </c>
      <c r="C136" t="s">
        <v>100</v>
      </c>
      <c r="D136">
        <v>4</v>
      </c>
      <c r="E136">
        <v>100</v>
      </c>
      <c r="F136" t="s">
        <v>1</v>
      </c>
      <c r="G136" s="6">
        <v>45670</v>
      </c>
      <c r="H136">
        <v>41</v>
      </c>
      <c r="I136">
        <f>ROUND(CompilDonnées[[#This Row],[CultureDuration_days]]/7,0)</f>
        <v>6</v>
      </c>
      <c r="J136">
        <v>2466</v>
      </c>
      <c r="K136" t="str">
        <f>_xlfn.CONCAT(WEEKNUM(CompilDonnées[[#This Row],[PlantationDate]]), " ", YEAR(CompilDonnées[[#This Row],[PlantationDate]]))</f>
        <v>49 2024</v>
      </c>
      <c r="L136" t="str">
        <f>CONCATENATE(MONTH(CompilDonnées[[#This Row],[PlantationDate]])," ", YEAR(CompilDonnées[[#This Row],[PlantationDate]]))</f>
        <v>12 2024</v>
      </c>
      <c r="M136" t="str">
        <f>CONCATENATE(MONTH(CompilDonnées[[#This Row],[HarvestingDate]])," ", YEAR(CompilDonnées[[#This Row],[HarvestingDate]]))</f>
        <v>1 2025</v>
      </c>
      <c r="N136">
        <f>_xlfn.NUMBERVALUE(CompilDonnées[[#This Row],[FarmID]]&amp;CompilDonnées[[#This Row],[ModuleNumber]]&amp;CompilDonnées[[#This Row],[PlantationDate]])</f>
        <v>120445629</v>
      </c>
      <c r="O136" t="str">
        <f>CompilDonnées[[#This Row],[FarmID]]&amp;CompilDonnées[[#This Row],[ModuleNumber]]</f>
        <v>1204</v>
      </c>
      <c r="P136" t="str">
        <f>CompilDonnées[[#This Row],[Ref_Module]]&amp;CompilDonnées[[#This Row],[HarvestingDate]]</f>
        <v>120445670</v>
      </c>
    </row>
    <row r="137" spans="1:16">
      <c r="A137" s="5">
        <v>45629</v>
      </c>
      <c r="B137">
        <v>119</v>
      </c>
      <c r="C137" t="s">
        <v>59</v>
      </c>
      <c r="D137">
        <v>5</v>
      </c>
      <c r="E137">
        <v>100</v>
      </c>
      <c r="F137" t="s">
        <v>1</v>
      </c>
      <c r="G137" s="6">
        <v>45670</v>
      </c>
      <c r="H137">
        <v>41</v>
      </c>
      <c r="I137">
        <f>ROUND(CompilDonnées[[#This Row],[CultureDuration_days]]/7,0)</f>
        <v>6</v>
      </c>
      <c r="J137">
        <v>2003</v>
      </c>
      <c r="K137" t="str">
        <f>_xlfn.CONCAT(WEEKNUM(CompilDonnées[[#This Row],[PlantationDate]]), " ", YEAR(CompilDonnées[[#This Row],[PlantationDate]]))</f>
        <v>49 2024</v>
      </c>
      <c r="L137" t="str">
        <f>CONCATENATE(MONTH(CompilDonnées[[#This Row],[PlantationDate]])," ", YEAR(CompilDonnées[[#This Row],[PlantationDate]]))</f>
        <v>12 2024</v>
      </c>
      <c r="M137" t="str">
        <f>CONCATENATE(MONTH(CompilDonnées[[#This Row],[HarvestingDate]])," ", YEAR(CompilDonnées[[#This Row],[HarvestingDate]]))</f>
        <v>1 2025</v>
      </c>
      <c r="N137">
        <f>_xlfn.NUMBERVALUE(CompilDonnées[[#This Row],[FarmID]]&amp;CompilDonnées[[#This Row],[ModuleNumber]]&amp;CompilDonnées[[#This Row],[PlantationDate]])</f>
        <v>119545629</v>
      </c>
      <c r="O137" t="str">
        <f>CompilDonnées[[#This Row],[FarmID]]&amp;CompilDonnées[[#This Row],[ModuleNumber]]</f>
        <v>1195</v>
      </c>
      <c r="P137" t="str">
        <f>CompilDonnées[[#This Row],[Ref_Module]]&amp;CompilDonnées[[#This Row],[HarvestingDate]]</f>
        <v>119545670</v>
      </c>
    </row>
    <row r="138" spans="1:16">
      <c r="A138" s="5">
        <v>45629</v>
      </c>
      <c r="B138">
        <v>118</v>
      </c>
      <c r="C138" t="s">
        <v>51</v>
      </c>
      <c r="D138">
        <v>6</v>
      </c>
      <c r="E138">
        <v>100</v>
      </c>
      <c r="F138" t="s">
        <v>1</v>
      </c>
      <c r="G138" s="6">
        <v>45670</v>
      </c>
      <c r="H138">
        <v>41</v>
      </c>
      <c r="I138">
        <f>ROUND(CompilDonnées[[#This Row],[CultureDuration_days]]/7,0)</f>
        <v>6</v>
      </c>
      <c r="J138">
        <v>2020</v>
      </c>
      <c r="K138" t="str">
        <f>_xlfn.CONCAT(WEEKNUM(CompilDonnées[[#This Row],[PlantationDate]]), " ", YEAR(CompilDonnées[[#This Row],[PlantationDate]]))</f>
        <v>49 2024</v>
      </c>
      <c r="L138" t="str">
        <f>CONCATENATE(MONTH(CompilDonnées[[#This Row],[PlantationDate]])," ", YEAR(CompilDonnées[[#This Row],[PlantationDate]]))</f>
        <v>12 2024</v>
      </c>
      <c r="M138" t="str">
        <f>CONCATENATE(MONTH(CompilDonnées[[#This Row],[HarvestingDate]])," ", YEAR(CompilDonnées[[#This Row],[HarvestingDate]]))</f>
        <v>1 2025</v>
      </c>
      <c r="N138">
        <f>_xlfn.NUMBERVALUE(CompilDonnées[[#This Row],[FarmID]]&amp;CompilDonnées[[#This Row],[ModuleNumber]]&amp;CompilDonnées[[#This Row],[PlantationDate]])</f>
        <v>118645629</v>
      </c>
      <c r="O138" t="str">
        <f>CompilDonnées[[#This Row],[FarmID]]&amp;CompilDonnées[[#This Row],[ModuleNumber]]</f>
        <v>1186</v>
      </c>
      <c r="P138" t="str">
        <f>CompilDonnées[[#This Row],[Ref_Module]]&amp;CompilDonnées[[#This Row],[HarvestingDate]]</f>
        <v>118645670</v>
      </c>
    </row>
    <row r="139" spans="1:16">
      <c r="A139" s="5">
        <v>45629</v>
      </c>
      <c r="B139">
        <v>117</v>
      </c>
      <c r="C139" t="s">
        <v>11</v>
      </c>
      <c r="D139">
        <v>6</v>
      </c>
      <c r="E139">
        <v>100</v>
      </c>
      <c r="F139" t="s">
        <v>1</v>
      </c>
      <c r="G139" s="6">
        <v>45670</v>
      </c>
      <c r="H139">
        <v>41</v>
      </c>
      <c r="I139">
        <f>ROUND(CompilDonnées[[#This Row],[CultureDuration_days]]/7,0)</f>
        <v>6</v>
      </c>
      <c r="J139">
        <v>1397</v>
      </c>
      <c r="K139" t="str">
        <f>_xlfn.CONCAT(WEEKNUM(CompilDonnées[[#This Row],[PlantationDate]]), " ", YEAR(CompilDonnées[[#This Row],[PlantationDate]]))</f>
        <v>49 2024</v>
      </c>
      <c r="L139" t="str">
        <f>CONCATENATE(MONTH(CompilDonnées[[#This Row],[PlantationDate]])," ", YEAR(CompilDonnées[[#This Row],[PlantationDate]]))</f>
        <v>12 2024</v>
      </c>
      <c r="M139" t="str">
        <f>CONCATENATE(MONTH(CompilDonnées[[#This Row],[HarvestingDate]])," ", YEAR(CompilDonnées[[#This Row],[HarvestingDate]]))</f>
        <v>1 2025</v>
      </c>
      <c r="N139">
        <f>_xlfn.NUMBERVALUE(CompilDonnées[[#This Row],[FarmID]]&amp;CompilDonnées[[#This Row],[ModuleNumber]]&amp;CompilDonnées[[#This Row],[PlantationDate]])</f>
        <v>117645629</v>
      </c>
      <c r="O139" t="str">
        <f>CompilDonnées[[#This Row],[FarmID]]&amp;CompilDonnées[[#This Row],[ModuleNumber]]</f>
        <v>1176</v>
      </c>
      <c r="P139" t="str">
        <f>CompilDonnées[[#This Row],[Ref_Module]]&amp;CompilDonnées[[#This Row],[HarvestingDate]]</f>
        <v>117645670</v>
      </c>
    </row>
    <row r="140" spans="1:16">
      <c r="A140" s="5">
        <v>45629</v>
      </c>
      <c r="B140">
        <v>131</v>
      </c>
      <c r="C140" t="s">
        <v>64</v>
      </c>
      <c r="D140">
        <v>6</v>
      </c>
      <c r="E140">
        <v>100</v>
      </c>
      <c r="F140" t="s">
        <v>1</v>
      </c>
      <c r="G140" s="6">
        <v>45670</v>
      </c>
      <c r="H140">
        <v>41</v>
      </c>
      <c r="I140">
        <f>ROUND(CompilDonnées[[#This Row],[CultureDuration_days]]/7,0)</f>
        <v>6</v>
      </c>
      <c r="J140">
        <v>1921</v>
      </c>
      <c r="K140" t="str">
        <f>_xlfn.CONCAT(WEEKNUM(CompilDonnées[[#This Row],[PlantationDate]]), " ", YEAR(CompilDonnées[[#This Row],[PlantationDate]]))</f>
        <v>49 2024</v>
      </c>
      <c r="L140" t="str">
        <f>CONCATENATE(MONTH(CompilDonnées[[#This Row],[PlantationDate]])," ", YEAR(CompilDonnées[[#This Row],[PlantationDate]]))</f>
        <v>12 2024</v>
      </c>
      <c r="M140" t="str">
        <f>CONCATENATE(MONTH(CompilDonnées[[#This Row],[HarvestingDate]])," ", YEAR(CompilDonnées[[#This Row],[HarvestingDate]]))</f>
        <v>1 2025</v>
      </c>
      <c r="N140">
        <f>_xlfn.NUMBERVALUE(CompilDonnées[[#This Row],[FarmID]]&amp;CompilDonnées[[#This Row],[ModuleNumber]]&amp;CompilDonnées[[#This Row],[PlantationDate]])</f>
        <v>131645629</v>
      </c>
      <c r="O140" t="str">
        <f>CompilDonnées[[#This Row],[FarmID]]&amp;CompilDonnées[[#This Row],[ModuleNumber]]</f>
        <v>1316</v>
      </c>
      <c r="P140" t="str">
        <f>CompilDonnées[[#This Row],[Ref_Module]]&amp;CompilDonnées[[#This Row],[HarvestingDate]]</f>
        <v>131645670</v>
      </c>
    </row>
    <row r="141" spans="1:16">
      <c r="A141" s="5">
        <v>45629</v>
      </c>
      <c r="B141">
        <v>126</v>
      </c>
      <c r="C141" t="s">
        <v>52</v>
      </c>
      <c r="D141">
        <v>1</v>
      </c>
      <c r="E141">
        <v>100</v>
      </c>
      <c r="F141" t="s">
        <v>1</v>
      </c>
      <c r="G141" s="6">
        <v>45670</v>
      </c>
      <c r="H141">
        <v>41</v>
      </c>
      <c r="I141">
        <f>ROUND(CompilDonnées[[#This Row],[CultureDuration_days]]/7,0)</f>
        <v>6</v>
      </c>
      <c r="J141">
        <v>1879</v>
      </c>
      <c r="K141" t="str">
        <f>_xlfn.CONCAT(WEEKNUM(CompilDonnées[[#This Row],[PlantationDate]]), " ", YEAR(CompilDonnées[[#This Row],[PlantationDate]]))</f>
        <v>49 2024</v>
      </c>
      <c r="L141" t="str">
        <f>CONCATENATE(MONTH(CompilDonnées[[#This Row],[PlantationDate]])," ", YEAR(CompilDonnées[[#This Row],[PlantationDate]]))</f>
        <v>12 2024</v>
      </c>
      <c r="M141" t="str">
        <f>CONCATENATE(MONTH(CompilDonnées[[#This Row],[HarvestingDate]])," ", YEAR(CompilDonnées[[#This Row],[HarvestingDate]]))</f>
        <v>1 2025</v>
      </c>
      <c r="N141">
        <f>_xlfn.NUMBERVALUE(CompilDonnées[[#This Row],[FarmID]]&amp;CompilDonnées[[#This Row],[ModuleNumber]]&amp;CompilDonnées[[#This Row],[PlantationDate]])</f>
        <v>126145629</v>
      </c>
      <c r="O141" t="str">
        <f>CompilDonnées[[#This Row],[FarmID]]&amp;CompilDonnées[[#This Row],[ModuleNumber]]</f>
        <v>1261</v>
      </c>
      <c r="P141" t="str">
        <f>CompilDonnées[[#This Row],[Ref_Module]]&amp;CompilDonnées[[#This Row],[HarvestingDate]]</f>
        <v>126145670</v>
      </c>
    </row>
    <row r="142" spans="1:16">
      <c r="A142" s="5">
        <v>45629</v>
      </c>
      <c r="B142">
        <v>126</v>
      </c>
      <c r="C142" t="s">
        <v>52</v>
      </c>
      <c r="D142">
        <v>2</v>
      </c>
      <c r="E142">
        <v>100</v>
      </c>
      <c r="F142" t="s">
        <v>1</v>
      </c>
      <c r="G142" s="6">
        <v>45667</v>
      </c>
      <c r="H142">
        <v>38</v>
      </c>
      <c r="I142">
        <f>ROUND(CompilDonnées[[#This Row],[CultureDuration_days]]/7,0)</f>
        <v>5</v>
      </c>
      <c r="J142">
        <v>2943</v>
      </c>
      <c r="K142" t="str">
        <f>_xlfn.CONCAT(WEEKNUM(CompilDonnées[[#This Row],[PlantationDate]]), " ", YEAR(CompilDonnées[[#This Row],[PlantationDate]]))</f>
        <v>49 2024</v>
      </c>
      <c r="L142" t="str">
        <f>CONCATENATE(MONTH(CompilDonnées[[#This Row],[PlantationDate]])," ", YEAR(CompilDonnées[[#This Row],[PlantationDate]]))</f>
        <v>12 2024</v>
      </c>
      <c r="M142" t="str">
        <f>CONCATENATE(MONTH(CompilDonnées[[#This Row],[HarvestingDate]])," ", YEAR(CompilDonnées[[#This Row],[HarvestingDate]]))</f>
        <v>1 2025</v>
      </c>
      <c r="N142">
        <f>_xlfn.NUMBERVALUE(CompilDonnées[[#This Row],[FarmID]]&amp;CompilDonnées[[#This Row],[ModuleNumber]]&amp;CompilDonnées[[#This Row],[PlantationDate]])</f>
        <v>126245629</v>
      </c>
      <c r="O142" t="str">
        <f>CompilDonnées[[#This Row],[FarmID]]&amp;CompilDonnées[[#This Row],[ModuleNumber]]</f>
        <v>1262</v>
      </c>
      <c r="P142" t="str">
        <f>CompilDonnées[[#This Row],[Ref_Module]]&amp;CompilDonnées[[#This Row],[HarvestingDate]]</f>
        <v>126245667</v>
      </c>
    </row>
    <row r="143" spans="1:16">
      <c r="A143" s="5">
        <v>45629</v>
      </c>
      <c r="B143">
        <v>124</v>
      </c>
      <c r="C143" t="s">
        <v>115</v>
      </c>
      <c r="D143">
        <v>2</v>
      </c>
      <c r="E143">
        <v>100</v>
      </c>
      <c r="F143" t="s">
        <v>1</v>
      </c>
      <c r="G143" s="6">
        <v>45670</v>
      </c>
      <c r="H143">
        <v>41</v>
      </c>
      <c r="I143">
        <f>ROUND(CompilDonnées[[#This Row],[CultureDuration_days]]/7,0)</f>
        <v>6</v>
      </c>
      <c r="J143">
        <v>2037</v>
      </c>
      <c r="K143" t="str">
        <f>_xlfn.CONCAT(WEEKNUM(CompilDonnées[[#This Row],[PlantationDate]]), " ", YEAR(CompilDonnées[[#This Row],[PlantationDate]]))</f>
        <v>49 2024</v>
      </c>
      <c r="L143" t="str">
        <f>CONCATENATE(MONTH(CompilDonnées[[#This Row],[PlantationDate]])," ", YEAR(CompilDonnées[[#This Row],[PlantationDate]]))</f>
        <v>12 2024</v>
      </c>
      <c r="M143" t="str">
        <f>CONCATENATE(MONTH(CompilDonnées[[#This Row],[HarvestingDate]])," ", YEAR(CompilDonnées[[#This Row],[HarvestingDate]]))</f>
        <v>1 2025</v>
      </c>
      <c r="N143">
        <f>_xlfn.NUMBERVALUE(CompilDonnées[[#This Row],[FarmID]]&amp;CompilDonnées[[#This Row],[ModuleNumber]]&amp;CompilDonnées[[#This Row],[PlantationDate]])</f>
        <v>124245629</v>
      </c>
      <c r="O143" t="str">
        <f>CompilDonnées[[#This Row],[FarmID]]&amp;CompilDonnées[[#This Row],[ModuleNumber]]</f>
        <v>1242</v>
      </c>
      <c r="P143" t="str">
        <f>CompilDonnées[[#This Row],[Ref_Module]]&amp;CompilDonnées[[#This Row],[HarvestingDate]]</f>
        <v>124245670</v>
      </c>
    </row>
    <row r="144" spans="1:16">
      <c r="A144" s="5">
        <v>45629</v>
      </c>
      <c r="B144">
        <v>133</v>
      </c>
      <c r="C144" t="s">
        <v>99</v>
      </c>
      <c r="D144">
        <v>1</v>
      </c>
      <c r="E144">
        <v>100</v>
      </c>
      <c r="F144" t="s">
        <v>1</v>
      </c>
      <c r="G144" s="6">
        <v>45667</v>
      </c>
      <c r="H144">
        <v>38</v>
      </c>
      <c r="I144">
        <f>ROUND(CompilDonnées[[#This Row],[CultureDuration_days]]/7,0)</f>
        <v>5</v>
      </c>
      <c r="J144">
        <v>2529</v>
      </c>
      <c r="K144" t="str">
        <f>_xlfn.CONCAT(WEEKNUM(CompilDonnées[[#This Row],[PlantationDate]]), " ", YEAR(CompilDonnées[[#This Row],[PlantationDate]]))</f>
        <v>49 2024</v>
      </c>
      <c r="L144" t="str">
        <f>CONCATENATE(MONTH(CompilDonnées[[#This Row],[PlantationDate]])," ", YEAR(CompilDonnées[[#This Row],[PlantationDate]]))</f>
        <v>12 2024</v>
      </c>
      <c r="M144" t="str">
        <f>CONCATENATE(MONTH(CompilDonnées[[#This Row],[HarvestingDate]])," ", YEAR(CompilDonnées[[#This Row],[HarvestingDate]]))</f>
        <v>1 2025</v>
      </c>
      <c r="N144">
        <f>_xlfn.NUMBERVALUE(CompilDonnées[[#This Row],[FarmID]]&amp;CompilDonnées[[#This Row],[ModuleNumber]]&amp;CompilDonnées[[#This Row],[PlantationDate]])</f>
        <v>133145629</v>
      </c>
      <c r="O144" t="str">
        <f>CompilDonnées[[#This Row],[FarmID]]&amp;CompilDonnées[[#This Row],[ModuleNumber]]</f>
        <v>1331</v>
      </c>
      <c r="P144" t="str">
        <f>CompilDonnées[[#This Row],[Ref_Module]]&amp;CompilDonnées[[#This Row],[HarvestingDate]]</f>
        <v>133145667</v>
      </c>
    </row>
    <row r="145" spans="1:16">
      <c r="A145" s="5">
        <v>45629</v>
      </c>
      <c r="B145">
        <v>140</v>
      </c>
      <c r="C145" t="s">
        <v>96</v>
      </c>
      <c r="D145">
        <v>4</v>
      </c>
      <c r="E145">
        <v>100</v>
      </c>
      <c r="F145" t="s">
        <v>1</v>
      </c>
      <c r="G145" s="6">
        <v>45670</v>
      </c>
      <c r="H145">
        <v>41</v>
      </c>
      <c r="I145">
        <f>ROUND(CompilDonnées[[#This Row],[CultureDuration_days]]/7,0)</f>
        <v>6</v>
      </c>
      <c r="J145">
        <v>2036</v>
      </c>
      <c r="K145" t="str">
        <f>_xlfn.CONCAT(WEEKNUM(CompilDonnées[[#This Row],[PlantationDate]]), " ", YEAR(CompilDonnées[[#This Row],[PlantationDate]]))</f>
        <v>49 2024</v>
      </c>
      <c r="L145" t="str">
        <f>CONCATENATE(MONTH(CompilDonnées[[#This Row],[PlantationDate]])," ", YEAR(CompilDonnées[[#This Row],[PlantationDate]]))</f>
        <v>12 2024</v>
      </c>
      <c r="M145" t="str">
        <f>CONCATENATE(MONTH(CompilDonnées[[#This Row],[HarvestingDate]])," ", YEAR(CompilDonnées[[#This Row],[HarvestingDate]]))</f>
        <v>1 2025</v>
      </c>
      <c r="N145">
        <f>_xlfn.NUMBERVALUE(CompilDonnées[[#This Row],[FarmID]]&amp;CompilDonnées[[#This Row],[ModuleNumber]]&amp;CompilDonnées[[#This Row],[PlantationDate]])</f>
        <v>140445629</v>
      </c>
      <c r="O145" t="str">
        <f>CompilDonnées[[#This Row],[FarmID]]&amp;CompilDonnées[[#This Row],[ModuleNumber]]</f>
        <v>1404</v>
      </c>
      <c r="P145" t="str">
        <f>CompilDonnées[[#This Row],[Ref_Module]]&amp;CompilDonnées[[#This Row],[HarvestingDate]]</f>
        <v>140445670</v>
      </c>
    </row>
    <row r="146" spans="1:16">
      <c r="A146" s="5">
        <v>45629</v>
      </c>
      <c r="B146">
        <v>137</v>
      </c>
      <c r="C146" t="s">
        <v>108</v>
      </c>
      <c r="D146">
        <v>4</v>
      </c>
      <c r="E146">
        <v>100</v>
      </c>
      <c r="F146" t="s">
        <v>1</v>
      </c>
      <c r="G146" s="6">
        <v>45679</v>
      </c>
      <c r="H146">
        <v>50</v>
      </c>
      <c r="I146">
        <f>ROUND(CompilDonnées[[#This Row],[CultureDuration_days]]/7,0)</f>
        <v>7</v>
      </c>
      <c r="J146">
        <v>1730</v>
      </c>
      <c r="K146" t="str">
        <f>_xlfn.CONCAT(WEEKNUM(CompilDonnées[[#This Row],[PlantationDate]]), " ", YEAR(CompilDonnées[[#This Row],[PlantationDate]]))</f>
        <v>49 2024</v>
      </c>
      <c r="L146" t="str">
        <f>CONCATENATE(MONTH(CompilDonnées[[#This Row],[PlantationDate]])," ", YEAR(CompilDonnées[[#This Row],[PlantationDate]]))</f>
        <v>12 2024</v>
      </c>
      <c r="M146" t="str">
        <f>CONCATENATE(MONTH(CompilDonnées[[#This Row],[HarvestingDate]])," ", YEAR(CompilDonnées[[#This Row],[HarvestingDate]]))</f>
        <v>1 2025</v>
      </c>
      <c r="N146">
        <f>_xlfn.NUMBERVALUE(CompilDonnées[[#This Row],[FarmID]]&amp;CompilDonnées[[#This Row],[ModuleNumber]]&amp;CompilDonnées[[#This Row],[PlantationDate]])</f>
        <v>137445629</v>
      </c>
      <c r="O146" t="str">
        <f>CompilDonnées[[#This Row],[FarmID]]&amp;CompilDonnées[[#This Row],[ModuleNumber]]</f>
        <v>1374</v>
      </c>
      <c r="P146" t="str">
        <f>CompilDonnées[[#This Row],[Ref_Module]]&amp;CompilDonnées[[#This Row],[HarvestingDate]]</f>
        <v>137445679</v>
      </c>
    </row>
    <row r="147" spans="1:16">
      <c r="A147" s="5">
        <v>45629</v>
      </c>
      <c r="B147">
        <v>139</v>
      </c>
      <c r="C147" t="s">
        <v>103</v>
      </c>
      <c r="D147">
        <v>5</v>
      </c>
      <c r="E147">
        <v>100</v>
      </c>
      <c r="F147" t="s">
        <v>1</v>
      </c>
      <c r="G147" s="6">
        <v>45670</v>
      </c>
      <c r="H147">
        <v>41</v>
      </c>
      <c r="I147">
        <f>ROUND(CompilDonnées[[#This Row],[CultureDuration_days]]/7,0)</f>
        <v>6</v>
      </c>
      <c r="J147">
        <v>2123</v>
      </c>
      <c r="K147" t="str">
        <f>_xlfn.CONCAT(WEEKNUM(CompilDonnées[[#This Row],[PlantationDate]]), " ", YEAR(CompilDonnées[[#This Row],[PlantationDate]]))</f>
        <v>49 2024</v>
      </c>
      <c r="L147" t="str">
        <f>CONCATENATE(MONTH(CompilDonnées[[#This Row],[PlantationDate]])," ", YEAR(CompilDonnées[[#This Row],[PlantationDate]]))</f>
        <v>12 2024</v>
      </c>
      <c r="M147" t="str">
        <f>CONCATENATE(MONTH(CompilDonnées[[#This Row],[HarvestingDate]])," ", YEAR(CompilDonnées[[#This Row],[HarvestingDate]]))</f>
        <v>1 2025</v>
      </c>
      <c r="N147">
        <f>_xlfn.NUMBERVALUE(CompilDonnées[[#This Row],[FarmID]]&amp;CompilDonnées[[#This Row],[ModuleNumber]]&amp;CompilDonnées[[#This Row],[PlantationDate]])</f>
        <v>139545629</v>
      </c>
      <c r="O147" t="str">
        <f>CompilDonnées[[#This Row],[FarmID]]&amp;CompilDonnées[[#This Row],[ModuleNumber]]</f>
        <v>1395</v>
      </c>
      <c r="P147" t="str">
        <f>CompilDonnées[[#This Row],[Ref_Module]]&amp;CompilDonnées[[#This Row],[HarvestingDate]]</f>
        <v>139545670</v>
      </c>
    </row>
    <row r="148" spans="1:16">
      <c r="A148" s="5">
        <v>45629</v>
      </c>
      <c r="B148">
        <v>138</v>
      </c>
      <c r="C148" t="s">
        <v>8</v>
      </c>
      <c r="D148">
        <v>4</v>
      </c>
      <c r="E148">
        <v>100</v>
      </c>
      <c r="F148" t="s">
        <v>1</v>
      </c>
      <c r="G148" s="6">
        <v>45679</v>
      </c>
      <c r="H148">
        <v>50</v>
      </c>
      <c r="I148">
        <f>ROUND(CompilDonnées[[#This Row],[CultureDuration_days]]/7,0)</f>
        <v>7</v>
      </c>
      <c r="J148">
        <v>2423</v>
      </c>
      <c r="K148" t="str">
        <f>_xlfn.CONCAT(WEEKNUM(CompilDonnées[[#This Row],[PlantationDate]]), " ", YEAR(CompilDonnées[[#This Row],[PlantationDate]]))</f>
        <v>49 2024</v>
      </c>
      <c r="L148" t="str">
        <f>CONCATENATE(MONTH(CompilDonnées[[#This Row],[PlantationDate]])," ", YEAR(CompilDonnées[[#This Row],[PlantationDate]]))</f>
        <v>12 2024</v>
      </c>
      <c r="M148" t="str">
        <f>CONCATENATE(MONTH(CompilDonnées[[#This Row],[HarvestingDate]])," ", YEAR(CompilDonnées[[#This Row],[HarvestingDate]]))</f>
        <v>1 2025</v>
      </c>
      <c r="N148">
        <f>_xlfn.NUMBERVALUE(CompilDonnées[[#This Row],[FarmID]]&amp;CompilDonnées[[#This Row],[ModuleNumber]]&amp;CompilDonnées[[#This Row],[PlantationDate]])</f>
        <v>138445629</v>
      </c>
      <c r="O148" t="str">
        <f>CompilDonnées[[#This Row],[FarmID]]&amp;CompilDonnées[[#This Row],[ModuleNumber]]</f>
        <v>1384</v>
      </c>
      <c r="P148" t="str">
        <f>CompilDonnées[[#This Row],[Ref_Module]]&amp;CompilDonnées[[#This Row],[HarvestingDate]]</f>
        <v>138445679</v>
      </c>
    </row>
    <row r="149" spans="1:16">
      <c r="A149" s="5">
        <v>45629</v>
      </c>
      <c r="B149">
        <v>106</v>
      </c>
      <c r="C149" t="s">
        <v>22</v>
      </c>
      <c r="D149">
        <v>1</v>
      </c>
      <c r="E149">
        <v>100</v>
      </c>
      <c r="F149" t="s">
        <v>1</v>
      </c>
      <c r="G149" s="6">
        <v>45678</v>
      </c>
      <c r="H149">
        <v>49</v>
      </c>
      <c r="I149">
        <f>ROUND(CompilDonnées[[#This Row],[CultureDuration_days]]/7,0)</f>
        <v>7</v>
      </c>
      <c r="J149">
        <v>2129</v>
      </c>
      <c r="K149" t="str">
        <f>_xlfn.CONCAT(WEEKNUM(CompilDonnées[[#This Row],[PlantationDate]]), " ", YEAR(CompilDonnées[[#This Row],[PlantationDate]]))</f>
        <v>49 2024</v>
      </c>
      <c r="L149" t="str">
        <f>CONCATENATE(MONTH(CompilDonnées[[#This Row],[PlantationDate]])," ", YEAR(CompilDonnées[[#This Row],[PlantationDate]]))</f>
        <v>12 2024</v>
      </c>
      <c r="M149" t="str">
        <f>CONCATENATE(MONTH(CompilDonnées[[#This Row],[HarvestingDate]])," ", YEAR(CompilDonnées[[#This Row],[HarvestingDate]]))</f>
        <v>1 2025</v>
      </c>
      <c r="N149">
        <f>_xlfn.NUMBERVALUE(CompilDonnées[[#This Row],[FarmID]]&amp;CompilDonnées[[#This Row],[ModuleNumber]]&amp;CompilDonnées[[#This Row],[PlantationDate]])</f>
        <v>106145629</v>
      </c>
      <c r="O149" t="str">
        <f>CompilDonnées[[#This Row],[FarmID]]&amp;CompilDonnées[[#This Row],[ModuleNumber]]</f>
        <v>1061</v>
      </c>
      <c r="P149" t="str">
        <f>CompilDonnées[[#This Row],[Ref_Module]]&amp;CompilDonnées[[#This Row],[HarvestingDate]]</f>
        <v>106145678</v>
      </c>
    </row>
    <row r="150" spans="1:16">
      <c r="A150" s="5">
        <v>45629</v>
      </c>
      <c r="B150">
        <v>108</v>
      </c>
      <c r="C150" t="s">
        <v>58</v>
      </c>
      <c r="D150">
        <v>3</v>
      </c>
      <c r="E150">
        <v>100</v>
      </c>
      <c r="F150" t="s">
        <v>1</v>
      </c>
      <c r="G150" s="6">
        <v>45670</v>
      </c>
      <c r="H150">
        <v>41</v>
      </c>
      <c r="I150">
        <f>ROUND(CompilDonnées[[#This Row],[CultureDuration_days]]/7,0)</f>
        <v>6</v>
      </c>
      <c r="J150">
        <v>1573</v>
      </c>
      <c r="K150" t="str">
        <f>_xlfn.CONCAT(WEEKNUM(CompilDonnées[[#This Row],[PlantationDate]]), " ", YEAR(CompilDonnées[[#This Row],[PlantationDate]]))</f>
        <v>49 2024</v>
      </c>
      <c r="L150" t="str">
        <f>CONCATENATE(MONTH(CompilDonnées[[#This Row],[PlantationDate]])," ", YEAR(CompilDonnées[[#This Row],[PlantationDate]]))</f>
        <v>12 2024</v>
      </c>
      <c r="M150" t="str">
        <f>CONCATENATE(MONTH(CompilDonnées[[#This Row],[HarvestingDate]])," ", YEAR(CompilDonnées[[#This Row],[HarvestingDate]]))</f>
        <v>1 2025</v>
      </c>
      <c r="N150">
        <f>_xlfn.NUMBERVALUE(CompilDonnées[[#This Row],[FarmID]]&amp;CompilDonnées[[#This Row],[ModuleNumber]]&amp;CompilDonnées[[#This Row],[PlantationDate]])</f>
        <v>108345629</v>
      </c>
      <c r="O150" t="str">
        <f>CompilDonnées[[#This Row],[FarmID]]&amp;CompilDonnées[[#This Row],[ModuleNumber]]</f>
        <v>1083</v>
      </c>
      <c r="P150" t="str">
        <f>CompilDonnées[[#This Row],[Ref_Module]]&amp;CompilDonnées[[#This Row],[HarvestingDate]]</f>
        <v>108345670</v>
      </c>
    </row>
    <row r="151" spans="1:16">
      <c r="A151" s="5">
        <v>45629</v>
      </c>
      <c r="B151">
        <v>93</v>
      </c>
      <c r="C151" t="s">
        <v>10</v>
      </c>
      <c r="D151">
        <v>3</v>
      </c>
      <c r="E151">
        <v>100</v>
      </c>
      <c r="F151" t="s">
        <v>1</v>
      </c>
      <c r="G151" s="6">
        <v>45678</v>
      </c>
      <c r="H151">
        <v>49</v>
      </c>
      <c r="I151">
        <f>ROUND(CompilDonnées[[#This Row],[CultureDuration_days]]/7,0)</f>
        <v>7</v>
      </c>
      <c r="J151">
        <v>2965</v>
      </c>
      <c r="K151" t="str">
        <f>_xlfn.CONCAT(WEEKNUM(CompilDonnées[[#This Row],[PlantationDate]]), " ", YEAR(CompilDonnées[[#This Row],[PlantationDate]]))</f>
        <v>49 2024</v>
      </c>
      <c r="L151" t="str">
        <f>CONCATENATE(MONTH(CompilDonnées[[#This Row],[PlantationDate]])," ", YEAR(CompilDonnées[[#This Row],[PlantationDate]]))</f>
        <v>12 2024</v>
      </c>
      <c r="M151" t="str">
        <f>CONCATENATE(MONTH(CompilDonnées[[#This Row],[HarvestingDate]])," ", YEAR(CompilDonnées[[#This Row],[HarvestingDate]]))</f>
        <v>1 2025</v>
      </c>
      <c r="N151">
        <f>_xlfn.NUMBERVALUE(CompilDonnées[[#This Row],[FarmID]]&amp;CompilDonnées[[#This Row],[ModuleNumber]]&amp;CompilDonnées[[#This Row],[PlantationDate]])</f>
        <v>93345629</v>
      </c>
      <c r="O151" t="str">
        <f>CompilDonnées[[#This Row],[FarmID]]&amp;CompilDonnées[[#This Row],[ModuleNumber]]</f>
        <v>933</v>
      </c>
      <c r="P151" t="str">
        <f>CompilDonnées[[#This Row],[Ref_Module]]&amp;CompilDonnées[[#This Row],[HarvestingDate]]</f>
        <v>93345678</v>
      </c>
    </row>
    <row r="152" spans="1:16">
      <c r="A152" s="5">
        <v>45629</v>
      </c>
      <c r="B152">
        <v>100</v>
      </c>
      <c r="C152" t="s">
        <v>84</v>
      </c>
      <c r="D152">
        <v>4</v>
      </c>
      <c r="E152">
        <v>100</v>
      </c>
      <c r="F152" t="s">
        <v>1</v>
      </c>
      <c r="G152" s="6">
        <v>45685</v>
      </c>
      <c r="H152">
        <v>56</v>
      </c>
      <c r="I152">
        <f>ROUND(CompilDonnées[[#This Row],[CultureDuration_days]]/7,0)</f>
        <v>8</v>
      </c>
      <c r="J152">
        <v>3878</v>
      </c>
      <c r="K152" t="str">
        <f>_xlfn.CONCAT(WEEKNUM(CompilDonnées[[#This Row],[PlantationDate]]), " ", YEAR(CompilDonnées[[#This Row],[PlantationDate]]))</f>
        <v>49 2024</v>
      </c>
      <c r="L152" t="str">
        <f>CONCATENATE(MONTH(CompilDonnées[[#This Row],[PlantationDate]])," ", YEAR(CompilDonnées[[#This Row],[PlantationDate]]))</f>
        <v>12 2024</v>
      </c>
      <c r="M152" t="str">
        <f>CONCATENATE(MONTH(CompilDonnées[[#This Row],[HarvestingDate]])," ", YEAR(CompilDonnées[[#This Row],[HarvestingDate]]))</f>
        <v>1 2025</v>
      </c>
      <c r="N152">
        <f>_xlfn.NUMBERVALUE(CompilDonnées[[#This Row],[FarmID]]&amp;CompilDonnées[[#This Row],[ModuleNumber]]&amp;CompilDonnées[[#This Row],[PlantationDate]])</f>
        <v>100445629</v>
      </c>
      <c r="O152" t="str">
        <f>CompilDonnées[[#This Row],[FarmID]]&amp;CompilDonnées[[#This Row],[ModuleNumber]]</f>
        <v>1004</v>
      </c>
      <c r="P152" t="str">
        <f>CompilDonnées[[#This Row],[Ref_Module]]&amp;CompilDonnées[[#This Row],[HarvestingDate]]</f>
        <v>100445685</v>
      </c>
    </row>
    <row r="153" spans="1:16">
      <c r="A153" s="5">
        <v>45629</v>
      </c>
      <c r="B153">
        <v>98</v>
      </c>
      <c r="C153" t="s">
        <v>79</v>
      </c>
      <c r="D153">
        <v>4</v>
      </c>
      <c r="E153">
        <v>100</v>
      </c>
      <c r="F153" t="s">
        <v>1</v>
      </c>
      <c r="G153" s="6">
        <v>45679</v>
      </c>
      <c r="H153">
        <v>50</v>
      </c>
      <c r="I153">
        <f>ROUND(CompilDonnées[[#This Row],[CultureDuration_days]]/7,0)</f>
        <v>7</v>
      </c>
      <c r="J153">
        <v>2552</v>
      </c>
      <c r="K153" t="str">
        <f>_xlfn.CONCAT(WEEKNUM(CompilDonnées[[#This Row],[PlantationDate]]), " ", YEAR(CompilDonnées[[#This Row],[PlantationDate]]))</f>
        <v>49 2024</v>
      </c>
      <c r="L153" t="str">
        <f>CONCATENATE(MONTH(CompilDonnées[[#This Row],[PlantationDate]])," ", YEAR(CompilDonnées[[#This Row],[PlantationDate]]))</f>
        <v>12 2024</v>
      </c>
      <c r="M153" t="str">
        <f>CONCATENATE(MONTH(CompilDonnées[[#This Row],[HarvestingDate]])," ", YEAR(CompilDonnées[[#This Row],[HarvestingDate]]))</f>
        <v>1 2025</v>
      </c>
      <c r="N153">
        <f>_xlfn.NUMBERVALUE(CompilDonnées[[#This Row],[FarmID]]&amp;CompilDonnées[[#This Row],[ModuleNumber]]&amp;CompilDonnées[[#This Row],[PlantationDate]])</f>
        <v>98445629</v>
      </c>
      <c r="O153" t="str">
        <f>CompilDonnées[[#This Row],[FarmID]]&amp;CompilDonnées[[#This Row],[ModuleNumber]]</f>
        <v>984</v>
      </c>
      <c r="P153" t="str">
        <f>CompilDonnées[[#This Row],[Ref_Module]]&amp;CompilDonnées[[#This Row],[HarvestingDate]]</f>
        <v>98445679</v>
      </c>
    </row>
    <row r="154" spans="1:16">
      <c r="A154" s="5">
        <v>45629</v>
      </c>
      <c r="B154">
        <v>88</v>
      </c>
      <c r="C154" t="s">
        <v>94</v>
      </c>
      <c r="D154">
        <v>4</v>
      </c>
      <c r="E154">
        <v>100</v>
      </c>
      <c r="F154" t="s">
        <v>1</v>
      </c>
      <c r="G154" s="6">
        <v>45670</v>
      </c>
      <c r="H154">
        <v>41</v>
      </c>
      <c r="I154">
        <f>ROUND(CompilDonnées[[#This Row],[CultureDuration_days]]/7,0)</f>
        <v>6</v>
      </c>
      <c r="J154">
        <v>2585</v>
      </c>
      <c r="K154" t="str">
        <f>_xlfn.CONCAT(WEEKNUM(CompilDonnées[[#This Row],[PlantationDate]]), " ", YEAR(CompilDonnées[[#This Row],[PlantationDate]]))</f>
        <v>49 2024</v>
      </c>
      <c r="L154" t="str">
        <f>CONCATENATE(MONTH(CompilDonnées[[#This Row],[PlantationDate]])," ", YEAR(CompilDonnées[[#This Row],[PlantationDate]]))</f>
        <v>12 2024</v>
      </c>
      <c r="M154" t="str">
        <f>CONCATENATE(MONTH(CompilDonnées[[#This Row],[HarvestingDate]])," ", YEAR(CompilDonnées[[#This Row],[HarvestingDate]]))</f>
        <v>1 2025</v>
      </c>
      <c r="N154">
        <f>_xlfn.NUMBERVALUE(CompilDonnées[[#This Row],[FarmID]]&amp;CompilDonnées[[#This Row],[ModuleNumber]]&amp;CompilDonnées[[#This Row],[PlantationDate]])</f>
        <v>88445629</v>
      </c>
      <c r="O154" t="str">
        <f>CompilDonnées[[#This Row],[FarmID]]&amp;CompilDonnées[[#This Row],[ModuleNumber]]</f>
        <v>884</v>
      </c>
      <c r="P154" t="str">
        <f>CompilDonnées[[#This Row],[Ref_Module]]&amp;CompilDonnées[[#This Row],[HarvestingDate]]</f>
        <v>88445670</v>
      </c>
    </row>
    <row r="155" spans="1:16">
      <c r="A155" s="5">
        <v>45629</v>
      </c>
      <c r="B155">
        <v>86</v>
      </c>
      <c r="C155" t="s">
        <v>37</v>
      </c>
      <c r="D155">
        <v>5</v>
      </c>
      <c r="E155">
        <v>100</v>
      </c>
      <c r="F155" t="s">
        <v>1</v>
      </c>
      <c r="G155" s="6">
        <v>45678</v>
      </c>
      <c r="H155">
        <v>49</v>
      </c>
      <c r="I155">
        <f>ROUND(CompilDonnées[[#This Row],[CultureDuration_days]]/7,0)</f>
        <v>7</v>
      </c>
      <c r="J155">
        <v>2378</v>
      </c>
      <c r="K155" t="str">
        <f>_xlfn.CONCAT(WEEKNUM(CompilDonnées[[#This Row],[PlantationDate]]), " ", YEAR(CompilDonnées[[#This Row],[PlantationDate]]))</f>
        <v>49 2024</v>
      </c>
      <c r="L155" t="str">
        <f>CONCATENATE(MONTH(CompilDonnées[[#This Row],[PlantationDate]])," ", YEAR(CompilDonnées[[#This Row],[PlantationDate]]))</f>
        <v>12 2024</v>
      </c>
      <c r="M155" t="str">
        <f>CONCATENATE(MONTH(CompilDonnées[[#This Row],[HarvestingDate]])," ", YEAR(CompilDonnées[[#This Row],[HarvestingDate]]))</f>
        <v>1 2025</v>
      </c>
      <c r="N155">
        <f>_xlfn.NUMBERVALUE(CompilDonnées[[#This Row],[FarmID]]&amp;CompilDonnées[[#This Row],[ModuleNumber]]&amp;CompilDonnées[[#This Row],[PlantationDate]])</f>
        <v>86545629</v>
      </c>
      <c r="O155" t="str">
        <f>CompilDonnées[[#This Row],[FarmID]]&amp;CompilDonnées[[#This Row],[ModuleNumber]]</f>
        <v>865</v>
      </c>
      <c r="P155" t="str">
        <f>CompilDonnées[[#This Row],[Ref_Module]]&amp;CompilDonnées[[#This Row],[HarvestingDate]]</f>
        <v>86545678</v>
      </c>
    </row>
    <row r="156" spans="1:16">
      <c r="A156" s="5">
        <v>45629</v>
      </c>
      <c r="B156">
        <v>91</v>
      </c>
      <c r="C156" t="s">
        <v>9</v>
      </c>
      <c r="D156">
        <v>6</v>
      </c>
      <c r="E156">
        <v>100</v>
      </c>
      <c r="F156" t="s">
        <v>1</v>
      </c>
      <c r="G156" s="6">
        <v>45678</v>
      </c>
      <c r="H156">
        <v>49</v>
      </c>
      <c r="I156">
        <f>ROUND(CompilDonnées[[#This Row],[CultureDuration_days]]/7,0)</f>
        <v>7</v>
      </c>
      <c r="J156">
        <v>2696</v>
      </c>
      <c r="K156" t="str">
        <f>_xlfn.CONCAT(WEEKNUM(CompilDonnées[[#This Row],[PlantationDate]]), " ", YEAR(CompilDonnées[[#This Row],[PlantationDate]]))</f>
        <v>49 2024</v>
      </c>
      <c r="L156" t="str">
        <f>CONCATENATE(MONTH(CompilDonnées[[#This Row],[PlantationDate]])," ", YEAR(CompilDonnées[[#This Row],[PlantationDate]]))</f>
        <v>12 2024</v>
      </c>
      <c r="M156" t="str">
        <f>CONCATENATE(MONTH(CompilDonnées[[#This Row],[HarvestingDate]])," ", YEAR(CompilDonnées[[#This Row],[HarvestingDate]]))</f>
        <v>1 2025</v>
      </c>
      <c r="N156">
        <f>_xlfn.NUMBERVALUE(CompilDonnées[[#This Row],[FarmID]]&amp;CompilDonnées[[#This Row],[ModuleNumber]]&amp;CompilDonnées[[#This Row],[PlantationDate]])</f>
        <v>91645629</v>
      </c>
      <c r="O156" t="str">
        <f>CompilDonnées[[#This Row],[FarmID]]&amp;CompilDonnées[[#This Row],[ModuleNumber]]</f>
        <v>916</v>
      </c>
      <c r="P156" t="str">
        <f>CompilDonnées[[#This Row],[Ref_Module]]&amp;CompilDonnées[[#This Row],[HarvestingDate]]</f>
        <v>91645678</v>
      </c>
    </row>
    <row r="157" spans="1:16">
      <c r="A157" s="5">
        <v>45629</v>
      </c>
      <c r="B157">
        <v>85</v>
      </c>
      <c r="C157" t="s">
        <v>56</v>
      </c>
      <c r="D157">
        <v>6</v>
      </c>
      <c r="E157">
        <v>100</v>
      </c>
      <c r="F157" t="s">
        <v>1</v>
      </c>
      <c r="G157" s="6">
        <v>45670</v>
      </c>
      <c r="H157">
        <v>41</v>
      </c>
      <c r="I157">
        <f>ROUND(CompilDonnées[[#This Row],[CultureDuration_days]]/7,0)</f>
        <v>6</v>
      </c>
      <c r="J157">
        <v>1988</v>
      </c>
      <c r="K157" t="str">
        <f>_xlfn.CONCAT(WEEKNUM(CompilDonnées[[#This Row],[PlantationDate]]), " ", YEAR(CompilDonnées[[#This Row],[PlantationDate]]))</f>
        <v>49 2024</v>
      </c>
      <c r="L157" t="str">
        <f>CONCATENATE(MONTH(CompilDonnées[[#This Row],[PlantationDate]])," ", YEAR(CompilDonnées[[#This Row],[PlantationDate]]))</f>
        <v>12 2024</v>
      </c>
      <c r="M157" t="str">
        <f>CONCATENATE(MONTH(CompilDonnées[[#This Row],[HarvestingDate]])," ", YEAR(CompilDonnées[[#This Row],[HarvestingDate]]))</f>
        <v>1 2025</v>
      </c>
      <c r="N157">
        <f>_xlfn.NUMBERVALUE(CompilDonnées[[#This Row],[FarmID]]&amp;CompilDonnées[[#This Row],[ModuleNumber]]&amp;CompilDonnées[[#This Row],[PlantationDate]])</f>
        <v>85645629</v>
      </c>
      <c r="O157" t="str">
        <f>CompilDonnées[[#This Row],[FarmID]]&amp;CompilDonnées[[#This Row],[ModuleNumber]]</f>
        <v>856</v>
      </c>
      <c r="P157" t="str">
        <f>CompilDonnées[[#This Row],[Ref_Module]]&amp;CompilDonnées[[#This Row],[HarvestingDate]]</f>
        <v>85645670</v>
      </c>
    </row>
    <row r="158" spans="1:16">
      <c r="A158" s="5">
        <v>45629</v>
      </c>
      <c r="B158">
        <v>81</v>
      </c>
      <c r="C158" t="s">
        <v>30</v>
      </c>
      <c r="D158">
        <v>2</v>
      </c>
      <c r="E158">
        <v>100</v>
      </c>
      <c r="F158" t="s">
        <v>1</v>
      </c>
      <c r="G158" s="6">
        <v>45678</v>
      </c>
      <c r="H158">
        <v>49</v>
      </c>
      <c r="I158">
        <f>ROUND(CompilDonnées[[#This Row],[CultureDuration_days]]/7,0)</f>
        <v>7</v>
      </c>
      <c r="J158">
        <v>2857</v>
      </c>
      <c r="K158" t="str">
        <f>_xlfn.CONCAT(WEEKNUM(CompilDonnées[[#This Row],[PlantationDate]]), " ", YEAR(CompilDonnées[[#This Row],[PlantationDate]]))</f>
        <v>49 2024</v>
      </c>
      <c r="L158" t="str">
        <f>CONCATENATE(MONTH(CompilDonnées[[#This Row],[PlantationDate]])," ", YEAR(CompilDonnées[[#This Row],[PlantationDate]]))</f>
        <v>12 2024</v>
      </c>
      <c r="M158" t="str">
        <f>CONCATENATE(MONTH(CompilDonnées[[#This Row],[HarvestingDate]])," ", YEAR(CompilDonnées[[#This Row],[HarvestingDate]]))</f>
        <v>1 2025</v>
      </c>
      <c r="N158">
        <f>_xlfn.NUMBERVALUE(CompilDonnées[[#This Row],[FarmID]]&amp;CompilDonnées[[#This Row],[ModuleNumber]]&amp;CompilDonnées[[#This Row],[PlantationDate]])</f>
        <v>81245629</v>
      </c>
      <c r="O158" t="str">
        <f>CompilDonnées[[#This Row],[FarmID]]&amp;CompilDonnées[[#This Row],[ModuleNumber]]</f>
        <v>812</v>
      </c>
      <c r="P158" t="str">
        <f>CompilDonnées[[#This Row],[Ref_Module]]&amp;CompilDonnées[[#This Row],[HarvestingDate]]</f>
        <v>81245678</v>
      </c>
    </row>
    <row r="159" spans="1:16">
      <c r="A159" s="5">
        <v>45629</v>
      </c>
      <c r="B159">
        <v>79</v>
      </c>
      <c r="C159" t="s">
        <v>61</v>
      </c>
      <c r="D159">
        <v>6</v>
      </c>
      <c r="E159">
        <v>100</v>
      </c>
      <c r="F159" t="s">
        <v>1</v>
      </c>
      <c r="G159" s="6">
        <v>45671</v>
      </c>
      <c r="H159">
        <v>42</v>
      </c>
      <c r="I159">
        <f>ROUND(CompilDonnées[[#This Row],[CultureDuration_days]]/7,0)</f>
        <v>6</v>
      </c>
      <c r="J159">
        <v>2713</v>
      </c>
      <c r="K159" t="str">
        <f>_xlfn.CONCAT(WEEKNUM(CompilDonnées[[#This Row],[PlantationDate]]), " ", YEAR(CompilDonnées[[#This Row],[PlantationDate]]))</f>
        <v>49 2024</v>
      </c>
      <c r="L159" t="str">
        <f>CONCATENATE(MONTH(CompilDonnées[[#This Row],[PlantationDate]])," ", YEAR(CompilDonnées[[#This Row],[PlantationDate]]))</f>
        <v>12 2024</v>
      </c>
      <c r="M159" t="str">
        <f>CONCATENATE(MONTH(CompilDonnées[[#This Row],[HarvestingDate]])," ", YEAR(CompilDonnées[[#This Row],[HarvestingDate]]))</f>
        <v>1 2025</v>
      </c>
      <c r="N159">
        <f>_xlfn.NUMBERVALUE(CompilDonnées[[#This Row],[FarmID]]&amp;CompilDonnées[[#This Row],[ModuleNumber]]&amp;CompilDonnées[[#This Row],[PlantationDate]])</f>
        <v>79645629</v>
      </c>
      <c r="O159" t="str">
        <f>CompilDonnées[[#This Row],[FarmID]]&amp;CompilDonnées[[#This Row],[ModuleNumber]]</f>
        <v>796</v>
      </c>
      <c r="P159" t="str">
        <f>CompilDonnées[[#This Row],[Ref_Module]]&amp;CompilDonnées[[#This Row],[HarvestingDate]]</f>
        <v>79645671</v>
      </c>
    </row>
    <row r="160" spans="1:16">
      <c r="A160" s="5">
        <v>45629</v>
      </c>
      <c r="B160">
        <v>76</v>
      </c>
      <c r="C160" t="s">
        <v>18</v>
      </c>
      <c r="D160">
        <v>2</v>
      </c>
      <c r="E160">
        <v>100</v>
      </c>
      <c r="F160" t="s">
        <v>1</v>
      </c>
      <c r="G160" s="6">
        <v>45671</v>
      </c>
      <c r="H160">
        <v>42</v>
      </c>
      <c r="I160">
        <f>ROUND(CompilDonnées[[#This Row],[CultureDuration_days]]/7,0)</f>
        <v>6</v>
      </c>
      <c r="J160">
        <v>1847</v>
      </c>
      <c r="K160" t="str">
        <f>_xlfn.CONCAT(WEEKNUM(CompilDonnées[[#This Row],[PlantationDate]]), " ", YEAR(CompilDonnées[[#This Row],[PlantationDate]]))</f>
        <v>49 2024</v>
      </c>
      <c r="L160" t="str">
        <f>CONCATENATE(MONTH(CompilDonnées[[#This Row],[PlantationDate]])," ", YEAR(CompilDonnées[[#This Row],[PlantationDate]]))</f>
        <v>12 2024</v>
      </c>
      <c r="M160" t="str">
        <f>CONCATENATE(MONTH(CompilDonnées[[#This Row],[HarvestingDate]])," ", YEAR(CompilDonnées[[#This Row],[HarvestingDate]]))</f>
        <v>1 2025</v>
      </c>
      <c r="N160">
        <f>_xlfn.NUMBERVALUE(CompilDonnées[[#This Row],[FarmID]]&amp;CompilDonnées[[#This Row],[ModuleNumber]]&amp;CompilDonnées[[#This Row],[PlantationDate]])</f>
        <v>76245629</v>
      </c>
      <c r="O160" t="str">
        <f>CompilDonnées[[#This Row],[FarmID]]&amp;CompilDonnées[[#This Row],[ModuleNumber]]</f>
        <v>762</v>
      </c>
      <c r="P160" t="str">
        <f>CompilDonnées[[#This Row],[Ref_Module]]&amp;CompilDonnées[[#This Row],[HarvestingDate]]</f>
        <v>76245671</v>
      </c>
    </row>
    <row r="161" spans="1:16">
      <c r="A161" s="5">
        <v>45629</v>
      </c>
      <c r="B161">
        <v>74</v>
      </c>
      <c r="C161" t="s">
        <v>21</v>
      </c>
      <c r="D161">
        <v>1</v>
      </c>
      <c r="E161">
        <v>100</v>
      </c>
      <c r="F161" t="s">
        <v>1</v>
      </c>
      <c r="G161" s="6">
        <v>45677</v>
      </c>
      <c r="H161">
        <v>48</v>
      </c>
      <c r="I161">
        <f>ROUND(CompilDonnées[[#This Row],[CultureDuration_days]]/7,0)</f>
        <v>7</v>
      </c>
      <c r="J161">
        <v>2409</v>
      </c>
      <c r="K161" t="str">
        <f>_xlfn.CONCAT(WEEKNUM(CompilDonnées[[#This Row],[PlantationDate]]), " ", YEAR(CompilDonnées[[#This Row],[PlantationDate]]))</f>
        <v>49 2024</v>
      </c>
      <c r="L161" t="str">
        <f>CONCATENATE(MONTH(CompilDonnées[[#This Row],[PlantationDate]])," ", YEAR(CompilDonnées[[#This Row],[PlantationDate]]))</f>
        <v>12 2024</v>
      </c>
      <c r="M161" t="str">
        <f>CONCATENATE(MONTH(CompilDonnées[[#This Row],[HarvestingDate]])," ", YEAR(CompilDonnées[[#This Row],[HarvestingDate]]))</f>
        <v>1 2025</v>
      </c>
      <c r="N161">
        <f>_xlfn.NUMBERVALUE(CompilDonnées[[#This Row],[FarmID]]&amp;CompilDonnées[[#This Row],[ModuleNumber]]&amp;CompilDonnées[[#This Row],[PlantationDate]])</f>
        <v>74145629</v>
      </c>
      <c r="O161" t="str">
        <f>CompilDonnées[[#This Row],[FarmID]]&amp;CompilDonnées[[#This Row],[ModuleNumber]]</f>
        <v>741</v>
      </c>
      <c r="P161" t="str">
        <f>CompilDonnées[[#This Row],[Ref_Module]]&amp;CompilDonnées[[#This Row],[HarvestingDate]]</f>
        <v>74145677</v>
      </c>
    </row>
    <row r="162" spans="1:16">
      <c r="A162" s="5">
        <v>45629</v>
      </c>
      <c r="B162">
        <v>72</v>
      </c>
      <c r="C162" t="s">
        <v>49</v>
      </c>
      <c r="D162">
        <v>6</v>
      </c>
      <c r="E162">
        <v>100</v>
      </c>
      <c r="F162" t="s">
        <v>1</v>
      </c>
      <c r="G162" s="6">
        <v>45671</v>
      </c>
      <c r="H162">
        <v>42</v>
      </c>
      <c r="I162">
        <f>ROUND(CompilDonnées[[#This Row],[CultureDuration_days]]/7,0)</f>
        <v>6</v>
      </c>
      <c r="J162">
        <v>2106</v>
      </c>
      <c r="K162" t="str">
        <f>_xlfn.CONCAT(WEEKNUM(CompilDonnées[[#This Row],[PlantationDate]]), " ", YEAR(CompilDonnées[[#This Row],[PlantationDate]]))</f>
        <v>49 2024</v>
      </c>
      <c r="L162" t="str">
        <f>CONCATENATE(MONTH(CompilDonnées[[#This Row],[PlantationDate]])," ", YEAR(CompilDonnées[[#This Row],[PlantationDate]]))</f>
        <v>12 2024</v>
      </c>
      <c r="M162" t="str">
        <f>CONCATENATE(MONTH(CompilDonnées[[#This Row],[HarvestingDate]])," ", YEAR(CompilDonnées[[#This Row],[HarvestingDate]]))</f>
        <v>1 2025</v>
      </c>
      <c r="N162">
        <f>_xlfn.NUMBERVALUE(CompilDonnées[[#This Row],[FarmID]]&amp;CompilDonnées[[#This Row],[ModuleNumber]]&amp;CompilDonnées[[#This Row],[PlantationDate]])</f>
        <v>72645629</v>
      </c>
      <c r="O162" t="str">
        <f>CompilDonnées[[#This Row],[FarmID]]&amp;CompilDonnées[[#This Row],[ModuleNumber]]</f>
        <v>726</v>
      </c>
      <c r="P162" t="str">
        <f>CompilDonnées[[#This Row],[Ref_Module]]&amp;CompilDonnées[[#This Row],[HarvestingDate]]</f>
        <v>72645671</v>
      </c>
    </row>
    <row r="163" spans="1:16">
      <c r="A163" s="5">
        <v>45629</v>
      </c>
      <c r="B163">
        <v>71</v>
      </c>
      <c r="C163" t="s">
        <v>19</v>
      </c>
      <c r="D163">
        <v>6</v>
      </c>
      <c r="E163">
        <v>100</v>
      </c>
      <c r="F163" t="s">
        <v>1</v>
      </c>
      <c r="G163" s="6">
        <v>45671</v>
      </c>
      <c r="H163">
        <v>42</v>
      </c>
      <c r="I163">
        <f>ROUND(CompilDonnées[[#This Row],[CultureDuration_days]]/7,0)</f>
        <v>6</v>
      </c>
      <c r="J163">
        <v>2013</v>
      </c>
      <c r="K163" t="str">
        <f>_xlfn.CONCAT(WEEKNUM(CompilDonnées[[#This Row],[PlantationDate]]), " ", YEAR(CompilDonnées[[#This Row],[PlantationDate]]))</f>
        <v>49 2024</v>
      </c>
      <c r="L163" t="str">
        <f>CONCATENATE(MONTH(CompilDonnées[[#This Row],[PlantationDate]])," ", YEAR(CompilDonnées[[#This Row],[PlantationDate]]))</f>
        <v>12 2024</v>
      </c>
      <c r="M163" t="str">
        <f>CONCATENATE(MONTH(CompilDonnées[[#This Row],[HarvestingDate]])," ", YEAR(CompilDonnées[[#This Row],[HarvestingDate]]))</f>
        <v>1 2025</v>
      </c>
      <c r="N163">
        <f>_xlfn.NUMBERVALUE(CompilDonnées[[#This Row],[FarmID]]&amp;CompilDonnées[[#This Row],[ModuleNumber]]&amp;CompilDonnées[[#This Row],[PlantationDate]])</f>
        <v>71645629</v>
      </c>
      <c r="O163" t="str">
        <f>CompilDonnées[[#This Row],[FarmID]]&amp;CompilDonnées[[#This Row],[ModuleNumber]]</f>
        <v>716</v>
      </c>
      <c r="P163" t="str">
        <f>CompilDonnées[[#This Row],[Ref_Module]]&amp;CompilDonnées[[#This Row],[HarvestingDate]]</f>
        <v>71645671</v>
      </c>
    </row>
    <row r="164" spans="1:16">
      <c r="A164" s="5">
        <v>45629</v>
      </c>
      <c r="B164">
        <v>67</v>
      </c>
      <c r="C164" t="s">
        <v>28</v>
      </c>
      <c r="D164">
        <v>2</v>
      </c>
      <c r="E164">
        <v>100</v>
      </c>
      <c r="F164" t="s">
        <v>1</v>
      </c>
      <c r="G164" s="6">
        <v>45667</v>
      </c>
      <c r="H164">
        <v>38</v>
      </c>
      <c r="I164">
        <f>ROUND(CompilDonnées[[#This Row],[CultureDuration_days]]/7,0)</f>
        <v>5</v>
      </c>
      <c r="J164">
        <v>3268</v>
      </c>
      <c r="K164" t="str">
        <f>_xlfn.CONCAT(WEEKNUM(CompilDonnées[[#This Row],[PlantationDate]]), " ", YEAR(CompilDonnées[[#This Row],[PlantationDate]]))</f>
        <v>49 2024</v>
      </c>
      <c r="L164" t="str">
        <f>CONCATENATE(MONTH(CompilDonnées[[#This Row],[PlantationDate]])," ", YEAR(CompilDonnées[[#This Row],[PlantationDate]]))</f>
        <v>12 2024</v>
      </c>
      <c r="M164" t="str">
        <f>CONCATENATE(MONTH(CompilDonnées[[#This Row],[HarvestingDate]])," ", YEAR(CompilDonnées[[#This Row],[HarvestingDate]]))</f>
        <v>1 2025</v>
      </c>
      <c r="N164">
        <f>_xlfn.NUMBERVALUE(CompilDonnées[[#This Row],[FarmID]]&amp;CompilDonnées[[#This Row],[ModuleNumber]]&amp;CompilDonnées[[#This Row],[PlantationDate]])</f>
        <v>67245629</v>
      </c>
      <c r="O164" t="str">
        <f>CompilDonnées[[#This Row],[FarmID]]&amp;CompilDonnées[[#This Row],[ModuleNumber]]</f>
        <v>672</v>
      </c>
      <c r="P164" t="str">
        <f>CompilDonnées[[#This Row],[Ref_Module]]&amp;CompilDonnées[[#This Row],[HarvestingDate]]</f>
        <v>67245667</v>
      </c>
    </row>
    <row r="165" spans="1:16">
      <c r="A165" s="5">
        <v>45629</v>
      </c>
      <c r="B165">
        <v>66</v>
      </c>
      <c r="C165" t="s">
        <v>48</v>
      </c>
      <c r="D165">
        <v>4</v>
      </c>
      <c r="E165">
        <v>100</v>
      </c>
      <c r="F165" t="s">
        <v>1</v>
      </c>
      <c r="G165" s="6">
        <v>45671</v>
      </c>
      <c r="H165">
        <v>42</v>
      </c>
      <c r="I165">
        <f>ROUND(CompilDonnées[[#This Row],[CultureDuration_days]]/7,0)</f>
        <v>6</v>
      </c>
      <c r="J165">
        <v>1606</v>
      </c>
      <c r="K165" t="str">
        <f>_xlfn.CONCAT(WEEKNUM(CompilDonnées[[#This Row],[PlantationDate]]), " ", YEAR(CompilDonnées[[#This Row],[PlantationDate]]))</f>
        <v>49 2024</v>
      </c>
      <c r="L165" t="str">
        <f>CONCATENATE(MONTH(CompilDonnées[[#This Row],[PlantationDate]])," ", YEAR(CompilDonnées[[#This Row],[PlantationDate]]))</f>
        <v>12 2024</v>
      </c>
      <c r="M165" t="str">
        <f>CONCATENATE(MONTH(CompilDonnées[[#This Row],[HarvestingDate]])," ", YEAR(CompilDonnées[[#This Row],[HarvestingDate]]))</f>
        <v>1 2025</v>
      </c>
      <c r="N165">
        <f>_xlfn.NUMBERVALUE(CompilDonnées[[#This Row],[FarmID]]&amp;CompilDonnées[[#This Row],[ModuleNumber]]&amp;CompilDonnées[[#This Row],[PlantationDate]])</f>
        <v>66445629</v>
      </c>
      <c r="O165" t="str">
        <f>CompilDonnées[[#This Row],[FarmID]]&amp;CompilDonnées[[#This Row],[ModuleNumber]]</f>
        <v>664</v>
      </c>
      <c r="P165" t="str">
        <f>CompilDonnées[[#This Row],[Ref_Module]]&amp;CompilDonnées[[#This Row],[HarvestingDate]]</f>
        <v>66445671</v>
      </c>
    </row>
    <row r="166" spans="1:16">
      <c r="A166" s="5">
        <v>45629</v>
      </c>
      <c r="B166">
        <v>65</v>
      </c>
      <c r="C166" t="s">
        <v>36</v>
      </c>
      <c r="D166">
        <v>4</v>
      </c>
      <c r="E166">
        <v>100</v>
      </c>
      <c r="F166" t="s">
        <v>1</v>
      </c>
      <c r="G166" s="6">
        <v>45671</v>
      </c>
      <c r="H166">
        <v>42</v>
      </c>
      <c r="I166">
        <f>ROUND(CompilDonnées[[#This Row],[CultureDuration_days]]/7,0)</f>
        <v>6</v>
      </c>
      <c r="J166">
        <v>1889</v>
      </c>
      <c r="K166" t="str">
        <f>_xlfn.CONCAT(WEEKNUM(CompilDonnées[[#This Row],[PlantationDate]]), " ", YEAR(CompilDonnées[[#This Row],[PlantationDate]]))</f>
        <v>49 2024</v>
      </c>
      <c r="L166" t="str">
        <f>CONCATENATE(MONTH(CompilDonnées[[#This Row],[PlantationDate]])," ", YEAR(CompilDonnées[[#This Row],[PlantationDate]]))</f>
        <v>12 2024</v>
      </c>
      <c r="M166" t="str">
        <f>CONCATENATE(MONTH(CompilDonnées[[#This Row],[HarvestingDate]])," ", YEAR(CompilDonnées[[#This Row],[HarvestingDate]]))</f>
        <v>1 2025</v>
      </c>
      <c r="N166">
        <f>_xlfn.NUMBERVALUE(CompilDonnées[[#This Row],[FarmID]]&amp;CompilDonnées[[#This Row],[ModuleNumber]]&amp;CompilDonnées[[#This Row],[PlantationDate]])</f>
        <v>65445629</v>
      </c>
      <c r="O166" t="str">
        <f>CompilDonnées[[#This Row],[FarmID]]&amp;CompilDonnées[[#This Row],[ModuleNumber]]</f>
        <v>654</v>
      </c>
      <c r="P166" t="str">
        <f>CompilDonnées[[#This Row],[Ref_Module]]&amp;CompilDonnées[[#This Row],[HarvestingDate]]</f>
        <v>65445671</v>
      </c>
    </row>
    <row r="167" spans="1:16">
      <c r="A167" s="5">
        <v>45629</v>
      </c>
      <c r="B167">
        <v>64</v>
      </c>
      <c r="C167" t="s">
        <v>47</v>
      </c>
      <c r="D167">
        <v>6</v>
      </c>
      <c r="E167">
        <v>100</v>
      </c>
      <c r="F167" t="s">
        <v>1</v>
      </c>
      <c r="G167" s="6">
        <v>45671</v>
      </c>
      <c r="H167">
        <v>42</v>
      </c>
      <c r="I167">
        <f>ROUND(CompilDonnées[[#This Row],[CultureDuration_days]]/7,0)</f>
        <v>6</v>
      </c>
      <c r="J167">
        <v>1801</v>
      </c>
      <c r="K167" t="str">
        <f>_xlfn.CONCAT(WEEKNUM(CompilDonnées[[#This Row],[PlantationDate]]), " ", YEAR(CompilDonnées[[#This Row],[PlantationDate]]))</f>
        <v>49 2024</v>
      </c>
      <c r="L167" t="str">
        <f>CONCATENATE(MONTH(CompilDonnées[[#This Row],[PlantationDate]])," ", YEAR(CompilDonnées[[#This Row],[PlantationDate]]))</f>
        <v>12 2024</v>
      </c>
      <c r="M167" t="str">
        <f>CONCATENATE(MONTH(CompilDonnées[[#This Row],[HarvestingDate]])," ", YEAR(CompilDonnées[[#This Row],[HarvestingDate]]))</f>
        <v>1 2025</v>
      </c>
      <c r="N167">
        <f>_xlfn.NUMBERVALUE(CompilDonnées[[#This Row],[FarmID]]&amp;CompilDonnées[[#This Row],[ModuleNumber]]&amp;CompilDonnées[[#This Row],[PlantationDate]])</f>
        <v>64645629</v>
      </c>
      <c r="O167" t="str">
        <f>CompilDonnées[[#This Row],[FarmID]]&amp;CompilDonnées[[#This Row],[ModuleNumber]]</f>
        <v>646</v>
      </c>
      <c r="P167" t="str">
        <f>CompilDonnées[[#This Row],[Ref_Module]]&amp;CompilDonnées[[#This Row],[HarvestingDate]]</f>
        <v>64645671</v>
      </c>
    </row>
    <row r="168" spans="1:16">
      <c r="A168" s="5">
        <v>45629</v>
      </c>
      <c r="B168">
        <v>55</v>
      </c>
      <c r="C168" t="s">
        <v>60</v>
      </c>
      <c r="D168">
        <v>4</v>
      </c>
      <c r="E168">
        <v>100</v>
      </c>
      <c r="F168" t="s">
        <v>1</v>
      </c>
      <c r="G168" s="6">
        <v>45677</v>
      </c>
      <c r="H168">
        <v>48</v>
      </c>
      <c r="I168">
        <f>ROUND(CompilDonnées[[#This Row],[CultureDuration_days]]/7,0)</f>
        <v>7</v>
      </c>
      <c r="J168">
        <v>1827</v>
      </c>
      <c r="K168" t="str">
        <f>_xlfn.CONCAT(WEEKNUM(CompilDonnées[[#This Row],[PlantationDate]]), " ", YEAR(CompilDonnées[[#This Row],[PlantationDate]]))</f>
        <v>49 2024</v>
      </c>
      <c r="L168" t="str">
        <f>CONCATENATE(MONTH(CompilDonnées[[#This Row],[PlantationDate]])," ", YEAR(CompilDonnées[[#This Row],[PlantationDate]]))</f>
        <v>12 2024</v>
      </c>
      <c r="M168" t="str">
        <f>CONCATENATE(MONTH(CompilDonnées[[#This Row],[HarvestingDate]])," ", YEAR(CompilDonnées[[#This Row],[HarvestingDate]]))</f>
        <v>1 2025</v>
      </c>
      <c r="N168">
        <f>_xlfn.NUMBERVALUE(CompilDonnées[[#This Row],[FarmID]]&amp;CompilDonnées[[#This Row],[ModuleNumber]]&amp;CompilDonnées[[#This Row],[PlantationDate]])</f>
        <v>55445629</v>
      </c>
      <c r="O168" t="str">
        <f>CompilDonnées[[#This Row],[FarmID]]&amp;CompilDonnées[[#This Row],[ModuleNumber]]</f>
        <v>554</v>
      </c>
      <c r="P168" t="str">
        <f>CompilDonnées[[#This Row],[Ref_Module]]&amp;CompilDonnées[[#This Row],[HarvestingDate]]</f>
        <v>55445677</v>
      </c>
    </row>
    <row r="169" spans="1:16">
      <c r="A169" s="5">
        <v>45629</v>
      </c>
      <c r="B169">
        <v>49</v>
      </c>
      <c r="C169" t="s">
        <v>110</v>
      </c>
      <c r="D169">
        <v>4</v>
      </c>
      <c r="E169">
        <v>100</v>
      </c>
      <c r="F169" t="s">
        <v>1</v>
      </c>
      <c r="G169" s="6">
        <v>45677</v>
      </c>
      <c r="H169">
        <v>48</v>
      </c>
      <c r="I169">
        <f>ROUND(CompilDonnées[[#This Row],[CultureDuration_days]]/7,0)</f>
        <v>7</v>
      </c>
      <c r="J169">
        <v>1981</v>
      </c>
      <c r="K169" t="str">
        <f>_xlfn.CONCAT(WEEKNUM(CompilDonnées[[#This Row],[PlantationDate]]), " ", YEAR(CompilDonnées[[#This Row],[PlantationDate]]))</f>
        <v>49 2024</v>
      </c>
      <c r="L169" t="str">
        <f>CONCATENATE(MONTH(CompilDonnées[[#This Row],[PlantationDate]])," ", YEAR(CompilDonnées[[#This Row],[PlantationDate]]))</f>
        <v>12 2024</v>
      </c>
      <c r="M169" t="str">
        <f>CONCATENATE(MONTH(CompilDonnées[[#This Row],[HarvestingDate]])," ", YEAR(CompilDonnées[[#This Row],[HarvestingDate]]))</f>
        <v>1 2025</v>
      </c>
      <c r="N169">
        <f>_xlfn.NUMBERVALUE(CompilDonnées[[#This Row],[FarmID]]&amp;CompilDonnées[[#This Row],[ModuleNumber]]&amp;CompilDonnées[[#This Row],[PlantationDate]])</f>
        <v>49445629</v>
      </c>
      <c r="O169" t="str">
        <f>CompilDonnées[[#This Row],[FarmID]]&amp;CompilDonnées[[#This Row],[ModuleNumber]]</f>
        <v>494</v>
      </c>
      <c r="P169" t="str">
        <f>CompilDonnées[[#This Row],[Ref_Module]]&amp;CompilDonnées[[#This Row],[HarvestingDate]]</f>
        <v>49445677</v>
      </c>
    </row>
    <row r="170" spans="1:16">
      <c r="A170" s="5">
        <v>45630</v>
      </c>
      <c r="B170">
        <v>44</v>
      </c>
      <c r="C170" t="s">
        <v>42</v>
      </c>
      <c r="D170">
        <v>4</v>
      </c>
      <c r="E170">
        <v>100</v>
      </c>
      <c r="F170" t="s">
        <v>1</v>
      </c>
      <c r="G170" s="6">
        <v>45672</v>
      </c>
      <c r="H170">
        <v>42</v>
      </c>
      <c r="I170">
        <f>ROUND(CompilDonnées[[#This Row],[CultureDuration_days]]/7,0)</f>
        <v>6</v>
      </c>
      <c r="J170">
        <v>2222</v>
      </c>
      <c r="K170" t="str">
        <f>_xlfn.CONCAT(WEEKNUM(CompilDonnées[[#This Row],[PlantationDate]]), " ", YEAR(CompilDonnées[[#This Row],[PlantationDate]]))</f>
        <v>49 2024</v>
      </c>
      <c r="L170" t="str">
        <f>CONCATENATE(MONTH(CompilDonnées[[#This Row],[PlantationDate]])," ", YEAR(CompilDonnées[[#This Row],[PlantationDate]]))</f>
        <v>12 2024</v>
      </c>
      <c r="M170" t="str">
        <f>CONCATENATE(MONTH(CompilDonnées[[#This Row],[HarvestingDate]])," ", YEAR(CompilDonnées[[#This Row],[HarvestingDate]]))</f>
        <v>1 2025</v>
      </c>
      <c r="N170">
        <f>_xlfn.NUMBERVALUE(CompilDonnées[[#This Row],[FarmID]]&amp;CompilDonnées[[#This Row],[ModuleNumber]]&amp;CompilDonnées[[#This Row],[PlantationDate]])</f>
        <v>44445630</v>
      </c>
      <c r="O170" t="str">
        <f>CompilDonnées[[#This Row],[FarmID]]&amp;CompilDonnées[[#This Row],[ModuleNumber]]</f>
        <v>444</v>
      </c>
      <c r="P170" t="str">
        <f>CompilDonnées[[#This Row],[Ref_Module]]&amp;CompilDonnées[[#This Row],[HarvestingDate]]</f>
        <v>44445672</v>
      </c>
    </row>
    <row r="171" spans="1:16">
      <c r="A171" s="5">
        <v>45630</v>
      </c>
      <c r="B171">
        <v>35</v>
      </c>
      <c r="C171" t="s">
        <v>69</v>
      </c>
      <c r="D171">
        <v>4</v>
      </c>
      <c r="E171">
        <v>100</v>
      </c>
      <c r="F171" t="s">
        <v>1</v>
      </c>
      <c r="G171" s="6">
        <v>45671</v>
      </c>
      <c r="H171">
        <v>41</v>
      </c>
      <c r="I171">
        <f>ROUND(CompilDonnées[[#This Row],[CultureDuration_days]]/7,0)</f>
        <v>6</v>
      </c>
      <c r="J171">
        <v>1732</v>
      </c>
      <c r="K171" t="str">
        <f>_xlfn.CONCAT(WEEKNUM(CompilDonnées[[#This Row],[PlantationDate]]), " ", YEAR(CompilDonnées[[#This Row],[PlantationDate]]))</f>
        <v>49 2024</v>
      </c>
      <c r="L171" t="str">
        <f>CONCATENATE(MONTH(CompilDonnées[[#This Row],[PlantationDate]])," ", YEAR(CompilDonnées[[#This Row],[PlantationDate]]))</f>
        <v>12 2024</v>
      </c>
      <c r="M171" t="str">
        <f>CONCATENATE(MONTH(CompilDonnées[[#This Row],[HarvestingDate]])," ", YEAR(CompilDonnées[[#This Row],[HarvestingDate]]))</f>
        <v>1 2025</v>
      </c>
      <c r="N171">
        <f>_xlfn.NUMBERVALUE(CompilDonnées[[#This Row],[FarmID]]&amp;CompilDonnées[[#This Row],[ModuleNumber]]&amp;CompilDonnées[[#This Row],[PlantationDate]])</f>
        <v>35445630</v>
      </c>
      <c r="O171" t="str">
        <f>CompilDonnées[[#This Row],[FarmID]]&amp;CompilDonnées[[#This Row],[ModuleNumber]]</f>
        <v>354</v>
      </c>
      <c r="P171" t="str">
        <f>CompilDonnées[[#This Row],[Ref_Module]]&amp;CompilDonnées[[#This Row],[HarvestingDate]]</f>
        <v>35445671</v>
      </c>
    </row>
    <row r="172" spans="1:16">
      <c r="A172" s="5">
        <v>45630</v>
      </c>
      <c r="B172">
        <v>54</v>
      </c>
      <c r="C172" t="s">
        <v>39</v>
      </c>
      <c r="D172">
        <v>3</v>
      </c>
      <c r="E172">
        <v>100</v>
      </c>
      <c r="F172" t="s">
        <v>1</v>
      </c>
      <c r="G172" s="6">
        <v>45672</v>
      </c>
      <c r="H172">
        <v>42</v>
      </c>
      <c r="I172">
        <f>ROUND(CompilDonnées[[#This Row],[CultureDuration_days]]/7,0)</f>
        <v>6</v>
      </c>
      <c r="J172">
        <v>1284</v>
      </c>
      <c r="K172" t="str">
        <f>_xlfn.CONCAT(WEEKNUM(CompilDonnées[[#This Row],[PlantationDate]]), " ", YEAR(CompilDonnées[[#This Row],[PlantationDate]]))</f>
        <v>49 2024</v>
      </c>
      <c r="L172" t="str">
        <f>CONCATENATE(MONTH(CompilDonnées[[#This Row],[PlantationDate]])," ", YEAR(CompilDonnées[[#This Row],[PlantationDate]]))</f>
        <v>12 2024</v>
      </c>
      <c r="M172" t="str">
        <f>CONCATENATE(MONTH(CompilDonnées[[#This Row],[HarvestingDate]])," ", YEAR(CompilDonnées[[#This Row],[HarvestingDate]]))</f>
        <v>1 2025</v>
      </c>
      <c r="N172">
        <f>_xlfn.NUMBERVALUE(CompilDonnées[[#This Row],[FarmID]]&amp;CompilDonnées[[#This Row],[ModuleNumber]]&amp;CompilDonnées[[#This Row],[PlantationDate]])</f>
        <v>54345630</v>
      </c>
      <c r="O172" t="str">
        <f>CompilDonnées[[#This Row],[FarmID]]&amp;CompilDonnées[[#This Row],[ModuleNumber]]</f>
        <v>543</v>
      </c>
      <c r="P172" t="str">
        <f>CompilDonnées[[#This Row],[Ref_Module]]&amp;CompilDonnées[[#This Row],[HarvestingDate]]</f>
        <v>54345672</v>
      </c>
    </row>
    <row r="173" spans="1:16">
      <c r="A173" s="5">
        <v>45630</v>
      </c>
      <c r="B173">
        <v>87</v>
      </c>
      <c r="C173" t="s">
        <v>38</v>
      </c>
      <c r="D173">
        <v>4</v>
      </c>
      <c r="E173">
        <v>100</v>
      </c>
      <c r="F173" t="s">
        <v>1</v>
      </c>
      <c r="G173" s="6">
        <v>45678</v>
      </c>
      <c r="H173">
        <v>48</v>
      </c>
      <c r="I173">
        <f>ROUND(CompilDonnées[[#This Row],[CultureDuration_days]]/7,0)</f>
        <v>7</v>
      </c>
      <c r="J173">
        <v>2602</v>
      </c>
      <c r="K173" t="str">
        <f>_xlfn.CONCAT(WEEKNUM(CompilDonnées[[#This Row],[PlantationDate]]), " ", YEAR(CompilDonnées[[#This Row],[PlantationDate]]))</f>
        <v>49 2024</v>
      </c>
      <c r="L173" t="str">
        <f>CONCATENATE(MONTH(CompilDonnées[[#This Row],[PlantationDate]])," ", YEAR(CompilDonnées[[#This Row],[PlantationDate]]))</f>
        <v>12 2024</v>
      </c>
      <c r="M173" t="str">
        <f>CONCATENATE(MONTH(CompilDonnées[[#This Row],[HarvestingDate]])," ", YEAR(CompilDonnées[[#This Row],[HarvestingDate]]))</f>
        <v>1 2025</v>
      </c>
      <c r="N173">
        <f>_xlfn.NUMBERVALUE(CompilDonnées[[#This Row],[FarmID]]&amp;CompilDonnées[[#This Row],[ModuleNumber]]&amp;CompilDonnées[[#This Row],[PlantationDate]])</f>
        <v>87445630</v>
      </c>
      <c r="O173" t="str">
        <f>CompilDonnées[[#This Row],[FarmID]]&amp;CompilDonnées[[#This Row],[ModuleNumber]]</f>
        <v>874</v>
      </c>
      <c r="P173" t="str">
        <f>CompilDonnées[[#This Row],[Ref_Module]]&amp;CompilDonnées[[#This Row],[HarvestingDate]]</f>
        <v>87445678</v>
      </c>
    </row>
    <row r="174" spans="1:16">
      <c r="A174" s="5">
        <v>45630</v>
      </c>
      <c r="B174">
        <v>86</v>
      </c>
      <c r="C174" t="s">
        <v>37</v>
      </c>
      <c r="D174">
        <v>4</v>
      </c>
      <c r="E174">
        <v>100</v>
      </c>
      <c r="F174" t="s">
        <v>1</v>
      </c>
      <c r="G174" s="6">
        <v>45670</v>
      </c>
      <c r="H174">
        <v>40</v>
      </c>
      <c r="I174">
        <f>ROUND(CompilDonnées[[#This Row],[CultureDuration_days]]/7,0)</f>
        <v>6</v>
      </c>
      <c r="J174">
        <v>1738</v>
      </c>
      <c r="K174" t="str">
        <f>_xlfn.CONCAT(WEEKNUM(CompilDonnées[[#This Row],[PlantationDate]]), " ", YEAR(CompilDonnées[[#This Row],[PlantationDate]]))</f>
        <v>49 2024</v>
      </c>
      <c r="L174" t="str">
        <f>CONCATENATE(MONTH(CompilDonnées[[#This Row],[PlantationDate]])," ", YEAR(CompilDonnées[[#This Row],[PlantationDate]]))</f>
        <v>12 2024</v>
      </c>
      <c r="M174" t="str">
        <f>CONCATENATE(MONTH(CompilDonnées[[#This Row],[HarvestingDate]])," ", YEAR(CompilDonnées[[#This Row],[HarvestingDate]]))</f>
        <v>1 2025</v>
      </c>
      <c r="N174">
        <f>_xlfn.NUMBERVALUE(CompilDonnées[[#This Row],[FarmID]]&amp;CompilDonnées[[#This Row],[ModuleNumber]]&amp;CompilDonnées[[#This Row],[PlantationDate]])</f>
        <v>86445630</v>
      </c>
      <c r="O174" t="str">
        <f>CompilDonnées[[#This Row],[FarmID]]&amp;CompilDonnées[[#This Row],[ModuleNumber]]</f>
        <v>864</v>
      </c>
      <c r="P174" t="str">
        <f>CompilDonnées[[#This Row],[Ref_Module]]&amp;CompilDonnées[[#This Row],[HarvestingDate]]</f>
        <v>86445670</v>
      </c>
    </row>
    <row r="175" spans="1:16">
      <c r="A175" s="5">
        <v>45630</v>
      </c>
      <c r="B175">
        <v>93</v>
      </c>
      <c r="C175" t="s">
        <v>10</v>
      </c>
      <c r="D175">
        <v>2</v>
      </c>
      <c r="E175">
        <v>100</v>
      </c>
      <c r="F175" t="s">
        <v>1</v>
      </c>
      <c r="G175" s="6">
        <v>45678</v>
      </c>
      <c r="H175">
        <v>48</v>
      </c>
      <c r="I175">
        <f>ROUND(CompilDonnées[[#This Row],[CultureDuration_days]]/7,0)</f>
        <v>7</v>
      </c>
      <c r="J175">
        <v>2945</v>
      </c>
      <c r="K175" t="str">
        <f>_xlfn.CONCAT(WEEKNUM(CompilDonnées[[#This Row],[PlantationDate]]), " ", YEAR(CompilDonnées[[#This Row],[PlantationDate]]))</f>
        <v>49 2024</v>
      </c>
      <c r="L175" t="str">
        <f>CONCATENATE(MONTH(CompilDonnées[[#This Row],[PlantationDate]])," ", YEAR(CompilDonnées[[#This Row],[PlantationDate]]))</f>
        <v>12 2024</v>
      </c>
      <c r="M175" t="str">
        <f>CONCATENATE(MONTH(CompilDonnées[[#This Row],[HarvestingDate]])," ", YEAR(CompilDonnées[[#This Row],[HarvestingDate]]))</f>
        <v>1 2025</v>
      </c>
      <c r="N175">
        <f>_xlfn.NUMBERVALUE(CompilDonnées[[#This Row],[FarmID]]&amp;CompilDonnées[[#This Row],[ModuleNumber]]&amp;CompilDonnées[[#This Row],[PlantationDate]])</f>
        <v>93245630</v>
      </c>
      <c r="O175" t="str">
        <f>CompilDonnées[[#This Row],[FarmID]]&amp;CompilDonnées[[#This Row],[ModuleNumber]]</f>
        <v>932</v>
      </c>
      <c r="P175" t="str">
        <f>CompilDonnées[[#This Row],[Ref_Module]]&amp;CompilDonnées[[#This Row],[HarvestingDate]]</f>
        <v>93245678</v>
      </c>
    </row>
    <row r="176" spans="1:16">
      <c r="A176" s="5">
        <v>45630</v>
      </c>
      <c r="B176">
        <v>92</v>
      </c>
      <c r="C176" t="s">
        <v>66</v>
      </c>
      <c r="D176">
        <v>6</v>
      </c>
      <c r="E176">
        <v>100</v>
      </c>
      <c r="F176" t="s">
        <v>1</v>
      </c>
      <c r="G176" s="6">
        <v>45667</v>
      </c>
      <c r="H176">
        <v>37</v>
      </c>
      <c r="I176">
        <f>ROUND(CompilDonnées[[#This Row],[CultureDuration_days]]/7,0)</f>
        <v>5</v>
      </c>
      <c r="J176">
        <v>2775</v>
      </c>
      <c r="K176" t="str">
        <f>_xlfn.CONCAT(WEEKNUM(CompilDonnées[[#This Row],[PlantationDate]]), " ", YEAR(CompilDonnées[[#This Row],[PlantationDate]]))</f>
        <v>49 2024</v>
      </c>
      <c r="L176" t="str">
        <f>CONCATENATE(MONTH(CompilDonnées[[#This Row],[PlantationDate]])," ", YEAR(CompilDonnées[[#This Row],[PlantationDate]]))</f>
        <v>12 2024</v>
      </c>
      <c r="M176" t="str">
        <f>CONCATENATE(MONTH(CompilDonnées[[#This Row],[HarvestingDate]])," ", YEAR(CompilDonnées[[#This Row],[HarvestingDate]]))</f>
        <v>1 2025</v>
      </c>
      <c r="N176">
        <f>_xlfn.NUMBERVALUE(CompilDonnées[[#This Row],[FarmID]]&amp;CompilDonnées[[#This Row],[ModuleNumber]]&amp;CompilDonnées[[#This Row],[PlantationDate]])</f>
        <v>92645630</v>
      </c>
      <c r="O176" t="str">
        <f>CompilDonnées[[#This Row],[FarmID]]&amp;CompilDonnées[[#This Row],[ModuleNumber]]</f>
        <v>926</v>
      </c>
      <c r="P176" t="str">
        <f>CompilDonnées[[#This Row],[Ref_Module]]&amp;CompilDonnées[[#This Row],[HarvestingDate]]</f>
        <v>92645667</v>
      </c>
    </row>
    <row r="177" spans="1:16">
      <c r="A177" s="5">
        <v>45630</v>
      </c>
      <c r="B177">
        <v>100</v>
      </c>
      <c r="C177" t="s">
        <v>84</v>
      </c>
      <c r="D177">
        <v>5</v>
      </c>
      <c r="E177">
        <v>100</v>
      </c>
      <c r="F177" t="s">
        <v>1</v>
      </c>
      <c r="G177" s="6">
        <v>45685</v>
      </c>
      <c r="H177">
        <v>55</v>
      </c>
      <c r="I177">
        <f>ROUND(CompilDonnées[[#This Row],[CultureDuration_days]]/7,0)</f>
        <v>8</v>
      </c>
      <c r="J177">
        <v>3638</v>
      </c>
      <c r="K177" t="str">
        <f>_xlfn.CONCAT(WEEKNUM(CompilDonnées[[#This Row],[PlantationDate]]), " ", YEAR(CompilDonnées[[#This Row],[PlantationDate]]))</f>
        <v>49 2024</v>
      </c>
      <c r="L177" t="str">
        <f>CONCATENATE(MONTH(CompilDonnées[[#This Row],[PlantationDate]])," ", YEAR(CompilDonnées[[#This Row],[PlantationDate]]))</f>
        <v>12 2024</v>
      </c>
      <c r="M177" t="str">
        <f>CONCATENATE(MONTH(CompilDonnées[[#This Row],[HarvestingDate]])," ", YEAR(CompilDonnées[[#This Row],[HarvestingDate]]))</f>
        <v>1 2025</v>
      </c>
      <c r="N177">
        <f>_xlfn.NUMBERVALUE(CompilDonnées[[#This Row],[FarmID]]&amp;CompilDonnées[[#This Row],[ModuleNumber]]&amp;CompilDonnées[[#This Row],[PlantationDate]])</f>
        <v>100545630</v>
      </c>
      <c r="O177" t="str">
        <f>CompilDonnées[[#This Row],[FarmID]]&amp;CompilDonnées[[#This Row],[ModuleNumber]]</f>
        <v>1005</v>
      </c>
      <c r="P177" t="str">
        <f>CompilDonnées[[#This Row],[Ref_Module]]&amp;CompilDonnées[[#This Row],[HarvestingDate]]</f>
        <v>100545685</v>
      </c>
    </row>
    <row r="178" spans="1:16">
      <c r="A178" s="5">
        <v>45630</v>
      </c>
      <c r="B178">
        <v>98</v>
      </c>
      <c r="C178" t="s">
        <v>79</v>
      </c>
      <c r="D178">
        <v>5</v>
      </c>
      <c r="E178">
        <v>100</v>
      </c>
      <c r="F178" t="s">
        <v>1</v>
      </c>
      <c r="G178" s="6">
        <v>45684</v>
      </c>
      <c r="H178">
        <v>54</v>
      </c>
      <c r="I178">
        <f>ROUND(CompilDonnées[[#This Row],[CultureDuration_days]]/7,0)</f>
        <v>8</v>
      </c>
      <c r="J178">
        <v>3161</v>
      </c>
      <c r="K178" t="str">
        <f>_xlfn.CONCAT(WEEKNUM(CompilDonnées[[#This Row],[PlantationDate]]), " ", YEAR(CompilDonnées[[#This Row],[PlantationDate]]))</f>
        <v>49 2024</v>
      </c>
      <c r="L178" t="str">
        <f>CONCATENATE(MONTH(CompilDonnées[[#This Row],[PlantationDate]])," ", YEAR(CompilDonnées[[#This Row],[PlantationDate]]))</f>
        <v>12 2024</v>
      </c>
      <c r="M178" t="str">
        <f>CONCATENATE(MONTH(CompilDonnées[[#This Row],[HarvestingDate]])," ", YEAR(CompilDonnées[[#This Row],[HarvestingDate]]))</f>
        <v>1 2025</v>
      </c>
      <c r="N178">
        <f>_xlfn.NUMBERVALUE(CompilDonnées[[#This Row],[FarmID]]&amp;CompilDonnées[[#This Row],[ModuleNumber]]&amp;CompilDonnées[[#This Row],[PlantationDate]])</f>
        <v>98545630</v>
      </c>
      <c r="O178" t="str">
        <f>CompilDonnées[[#This Row],[FarmID]]&amp;CompilDonnées[[#This Row],[ModuleNumber]]</f>
        <v>985</v>
      </c>
      <c r="P178" t="str">
        <f>CompilDonnées[[#This Row],[Ref_Module]]&amp;CompilDonnées[[#This Row],[HarvestingDate]]</f>
        <v>98545684</v>
      </c>
    </row>
    <row r="179" spans="1:16">
      <c r="A179" s="5">
        <v>45630</v>
      </c>
      <c r="B179">
        <v>99</v>
      </c>
      <c r="C179" t="s">
        <v>117</v>
      </c>
      <c r="D179">
        <v>1</v>
      </c>
      <c r="E179">
        <v>100</v>
      </c>
      <c r="F179" t="s">
        <v>1</v>
      </c>
      <c r="G179" s="6">
        <v>45685</v>
      </c>
      <c r="H179">
        <v>55</v>
      </c>
      <c r="I179">
        <f>ROUND(CompilDonnées[[#This Row],[CultureDuration_days]]/7,0)</f>
        <v>8</v>
      </c>
      <c r="J179">
        <v>3052</v>
      </c>
      <c r="K179" t="str">
        <f>_xlfn.CONCAT(WEEKNUM(CompilDonnées[[#This Row],[PlantationDate]]), " ", YEAR(CompilDonnées[[#This Row],[PlantationDate]]))</f>
        <v>49 2024</v>
      </c>
      <c r="L179" t="str">
        <f>CONCATENATE(MONTH(CompilDonnées[[#This Row],[PlantationDate]])," ", YEAR(CompilDonnées[[#This Row],[PlantationDate]]))</f>
        <v>12 2024</v>
      </c>
      <c r="M179" t="str">
        <f>CONCATENATE(MONTH(CompilDonnées[[#This Row],[HarvestingDate]])," ", YEAR(CompilDonnées[[#This Row],[HarvestingDate]]))</f>
        <v>1 2025</v>
      </c>
      <c r="N179">
        <f>_xlfn.NUMBERVALUE(CompilDonnées[[#This Row],[FarmID]]&amp;CompilDonnées[[#This Row],[ModuleNumber]]&amp;CompilDonnées[[#This Row],[PlantationDate]])</f>
        <v>99145630</v>
      </c>
      <c r="O179" t="str">
        <f>CompilDonnées[[#This Row],[FarmID]]&amp;CompilDonnées[[#This Row],[ModuleNumber]]</f>
        <v>991</v>
      </c>
      <c r="P179" t="str">
        <f>CompilDonnées[[#This Row],[Ref_Module]]&amp;CompilDonnées[[#This Row],[HarvestingDate]]</f>
        <v>99145685</v>
      </c>
    </row>
    <row r="180" spans="1:16">
      <c r="A180" s="5">
        <v>45630</v>
      </c>
      <c r="B180">
        <v>94</v>
      </c>
      <c r="C180" t="s">
        <v>40</v>
      </c>
      <c r="D180">
        <v>1</v>
      </c>
      <c r="E180">
        <v>100</v>
      </c>
      <c r="F180" t="s">
        <v>1</v>
      </c>
      <c r="G180" s="6">
        <v>45667</v>
      </c>
      <c r="H180">
        <v>37</v>
      </c>
      <c r="I180">
        <f>ROUND(CompilDonnées[[#This Row],[CultureDuration_days]]/7,0)</f>
        <v>5</v>
      </c>
      <c r="J180">
        <v>3430</v>
      </c>
      <c r="K180" t="str">
        <f>_xlfn.CONCAT(WEEKNUM(CompilDonnées[[#This Row],[PlantationDate]]), " ", YEAR(CompilDonnées[[#This Row],[PlantationDate]]))</f>
        <v>49 2024</v>
      </c>
      <c r="L180" t="str">
        <f>CONCATENATE(MONTH(CompilDonnées[[#This Row],[PlantationDate]])," ", YEAR(CompilDonnées[[#This Row],[PlantationDate]]))</f>
        <v>12 2024</v>
      </c>
      <c r="M180" t="str">
        <f>CONCATENATE(MONTH(CompilDonnées[[#This Row],[HarvestingDate]])," ", YEAR(CompilDonnées[[#This Row],[HarvestingDate]]))</f>
        <v>1 2025</v>
      </c>
      <c r="N180">
        <f>_xlfn.NUMBERVALUE(CompilDonnées[[#This Row],[FarmID]]&amp;CompilDonnées[[#This Row],[ModuleNumber]]&amp;CompilDonnées[[#This Row],[PlantationDate]])</f>
        <v>94145630</v>
      </c>
      <c r="O180" t="str">
        <f>CompilDonnées[[#This Row],[FarmID]]&amp;CompilDonnées[[#This Row],[ModuleNumber]]</f>
        <v>941</v>
      </c>
      <c r="P180" t="str">
        <f>CompilDonnées[[#This Row],[Ref_Module]]&amp;CompilDonnées[[#This Row],[HarvestingDate]]</f>
        <v>94145667</v>
      </c>
    </row>
    <row r="181" spans="1:16">
      <c r="A181" s="5">
        <v>45630</v>
      </c>
      <c r="B181">
        <v>82</v>
      </c>
      <c r="C181" t="s">
        <v>17</v>
      </c>
      <c r="D181">
        <v>1</v>
      </c>
      <c r="E181">
        <v>100</v>
      </c>
      <c r="F181" t="s">
        <v>1</v>
      </c>
      <c r="G181" s="6">
        <v>45665</v>
      </c>
      <c r="H181">
        <v>35</v>
      </c>
      <c r="I181">
        <f>ROUND(CompilDonnées[[#This Row],[CultureDuration_days]]/7,0)</f>
        <v>5</v>
      </c>
      <c r="J181">
        <v>3124</v>
      </c>
      <c r="K181" t="str">
        <f>_xlfn.CONCAT(WEEKNUM(CompilDonnées[[#This Row],[PlantationDate]]), " ", YEAR(CompilDonnées[[#This Row],[PlantationDate]]))</f>
        <v>49 2024</v>
      </c>
      <c r="L181" t="str">
        <f>CONCATENATE(MONTH(CompilDonnées[[#This Row],[PlantationDate]])," ", YEAR(CompilDonnées[[#This Row],[PlantationDate]]))</f>
        <v>12 2024</v>
      </c>
      <c r="M181" t="str">
        <f>CONCATENATE(MONTH(CompilDonnées[[#This Row],[HarvestingDate]])," ", YEAR(CompilDonnées[[#This Row],[HarvestingDate]]))</f>
        <v>1 2025</v>
      </c>
      <c r="N181">
        <f>_xlfn.NUMBERVALUE(CompilDonnées[[#This Row],[FarmID]]&amp;CompilDonnées[[#This Row],[ModuleNumber]]&amp;CompilDonnées[[#This Row],[PlantationDate]])</f>
        <v>82145630</v>
      </c>
      <c r="O181" t="str">
        <f>CompilDonnées[[#This Row],[FarmID]]&amp;CompilDonnées[[#This Row],[ModuleNumber]]</f>
        <v>821</v>
      </c>
      <c r="P181" t="str">
        <f>CompilDonnées[[#This Row],[Ref_Module]]&amp;CompilDonnées[[#This Row],[HarvestingDate]]</f>
        <v>82145665</v>
      </c>
    </row>
    <row r="182" spans="1:16">
      <c r="A182" s="5">
        <v>45630</v>
      </c>
      <c r="B182">
        <v>80</v>
      </c>
      <c r="C182" t="s">
        <v>29</v>
      </c>
      <c r="D182">
        <v>6</v>
      </c>
      <c r="E182">
        <v>100</v>
      </c>
      <c r="F182" t="s">
        <v>1</v>
      </c>
      <c r="G182" s="6">
        <v>45667</v>
      </c>
      <c r="H182">
        <v>37</v>
      </c>
      <c r="I182">
        <f>ROUND(CompilDonnées[[#This Row],[CultureDuration_days]]/7,0)</f>
        <v>5</v>
      </c>
      <c r="J182">
        <v>4059</v>
      </c>
      <c r="K182" t="str">
        <f>_xlfn.CONCAT(WEEKNUM(CompilDonnées[[#This Row],[PlantationDate]]), " ", YEAR(CompilDonnées[[#This Row],[PlantationDate]]))</f>
        <v>49 2024</v>
      </c>
      <c r="L182" t="str">
        <f>CONCATENATE(MONTH(CompilDonnées[[#This Row],[PlantationDate]])," ", YEAR(CompilDonnées[[#This Row],[PlantationDate]]))</f>
        <v>12 2024</v>
      </c>
      <c r="M182" t="str">
        <f>CONCATENATE(MONTH(CompilDonnées[[#This Row],[HarvestingDate]])," ", YEAR(CompilDonnées[[#This Row],[HarvestingDate]]))</f>
        <v>1 2025</v>
      </c>
      <c r="N182">
        <f>_xlfn.NUMBERVALUE(CompilDonnées[[#This Row],[FarmID]]&amp;CompilDonnées[[#This Row],[ModuleNumber]]&amp;CompilDonnées[[#This Row],[PlantationDate]])</f>
        <v>80645630</v>
      </c>
      <c r="O182" t="str">
        <f>CompilDonnées[[#This Row],[FarmID]]&amp;CompilDonnées[[#This Row],[ModuleNumber]]</f>
        <v>806</v>
      </c>
      <c r="P182" t="str">
        <f>CompilDonnées[[#This Row],[Ref_Module]]&amp;CompilDonnées[[#This Row],[HarvestingDate]]</f>
        <v>80645667</v>
      </c>
    </row>
    <row r="183" spans="1:16">
      <c r="A183" s="5">
        <v>45630</v>
      </c>
      <c r="B183">
        <v>58</v>
      </c>
      <c r="C183" t="s">
        <v>35</v>
      </c>
      <c r="D183">
        <v>4</v>
      </c>
      <c r="E183">
        <v>100</v>
      </c>
      <c r="F183" t="s">
        <v>1</v>
      </c>
      <c r="G183" s="6">
        <v>45671</v>
      </c>
      <c r="H183">
        <v>41</v>
      </c>
      <c r="I183">
        <f>ROUND(CompilDonnées[[#This Row],[CultureDuration_days]]/7,0)</f>
        <v>6</v>
      </c>
      <c r="J183">
        <v>2523</v>
      </c>
      <c r="K183" t="str">
        <f>_xlfn.CONCAT(WEEKNUM(CompilDonnées[[#This Row],[PlantationDate]]), " ", YEAR(CompilDonnées[[#This Row],[PlantationDate]]))</f>
        <v>49 2024</v>
      </c>
      <c r="L183" t="str">
        <f>CONCATENATE(MONTH(CompilDonnées[[#This Row],[PlantationDate]])," ", YEAR(CompilDonnées[[#This Row],[PlantationDate]]))</f>
        <v>12 2024</v>
      </c>
      <c r="M183" t="str">
        <f>CONCATENATE(MONTH(CompilDonnées[[#This Row],[HarvestingDate]])," ", YEAR(CompilDonnées[[#This Row],[HarvestingDate]]))</f>
        <v>1 2025</v>
      </c>
      <c r="N183">
        <f>_xlfn.NUMBERVALUE(CompilDonnées[[#This Row],[FarmID]]&amp;CompilDonnées[[#This Row],[ModuleNumber]]&amp;CompilDonnées[[#This Row],[PlantationDate]])</f>
        <v>58445630</v>
      </c>
      <c r="O183" t="str">
        <f>CompilDonnées[[#This Row],[FarmID]]&amp;CompilDonnées[[#This Row],[ModuleNumber]]</f>
        <v>584</v>
      </c>
      <c r="P183" t="str">
        <f>CompilDonnées[[#This Row],[Ref_Module]]&amp;CompilDonnées[[#This Row],[HarvestingDate]]</f>
        <v>58445671</v>
      </c>
    </row>
    <row r="184" spans="1:16">
      <c r="A184" s="5">
        <v>45630</v>
      </c>
      <c r="B184">
        <v>57</v>
      </c>
      <c r="C184" t="s">
        <v>46</v>
      </c>
      <c r="D184">
        <v>6</v>
      </c>
      <c r="E184">
        <v>100</v>
      </c>
      <c r="F184" t="s">
        <v>1</v>
      </c>
      <c r="G184" s="6">
        <v>45666</v>
      </c>
      <c r="H184">
        <v>36</v>
      </c>
      <c r="I184">
        <f>ROUND(CompilDonnées[[#This Row],[CultureDuration_days]]/7,0)</f>
        <v>5</v>
      </c>
      <c r="J184">
        <v>3140</v>
      </c>
      <c r="K184" t="str">
        <f>_xlfn.CONCAT(WEEKNUM(CompilDonnées[[#This Row],[PlantationDate]]), " ", YEAR(CompilDonnées[[#This Row],[PlantationDate]]))</f>
        <v>49 2024</v>
      </c>
      <c r="L184" t="str">
        <f>CONCATENATE(MONTH(CompilDonnées[[#This Row],[PlantationDate]])," ", YEAR(CompilDonnées[[#This Row],[PlantationDate]]))</f>
        <v>12 2024</v>
      </c>
      <c r="M184" t="str">
        <f>CONCATENATE(MONTH(CompilDonnées[[#This Row],[HarvestingDate]])," ", YEAR(CompilDonnées[[#This Row],[HarvestingDate]]))</f>
        <v>1 2025</v>
      </c>
      <c r="N184">
        <f>_xlfn.NUMBERVALUE(CompilDonnées[[#This Row],[FarmID]]&amp;CompilDonnées[[#This Row],[ModuleNumber]]&amp;CompilDonnées[[#This Row],[PlantationDate]])</f>
        <v>57645630</v>
      </c>
      <c r="O184" t="str">
        <f>CompilDonnées[[#This Row],[FarmID]]&amp;CompilDonnées[[#This Row],[ModuleNumber]]</f>
        <v>576</v>
      </c>
      <c r="P184" t="str">
        <f>CompilDonnées[[#This Row],[Ref_Module]]&amp;CompilDonnées[[#This Row],[HarvestingDate]]</f>
        <v>57645666</v>
      </c>
    </row>
    <row r="185" spans="1:16">
      <c r="A185" s="5">
        <v>45630</v>
      </c>
      <c r="B185">
        <v>50</v>
      </c>
      <c r="C185" t="s">
        <v>55</v>
      </c>
      <c r="D185">
        <v>4</v>
      </c>
      <c r="E185">
        <v>100</v>
      </c>
      <c r="F185" t="s">
        <v>1</v>
      </c>
      <c r="G185" s="6">
        <v>45672</v>
      </c>
      <c r="H185">
        <v>42</v>
      </c>
      <c r="I185">
        <f>ROUND(CompilDonnées[[#This Row],[CultureDuration_days]]/7,0)</f>
        <v>6</v>
      </c>
      <c r="J185">
        <v>1963</v>
      </c>
      <c r="K185" t="str">
        <f>_xlfn.CONCAT(WEEKNUM(CompilDonnées[[#This Row],[PlantationDate]]), " ", YEAR(CompilDonnées[[#This Row],[PlantationDate]]))</f>
        <v>49 2024</v>
      </c>
      <c r="L185" t="str">
        <f>CONCATENATE(MONTH(CompilDonnées[[#This Row],[PlantationDate]])," ", YEAR(CompilDonnées[[#This Row],[PlantationDate]]))</f>
        <v>12 2024</v>
      </c>
      <c r="M185" t="str">
        <f>CONCATENATE(MONTH(CompilDonnées[[#This Row],[HarvestingDate]])," ", YEAR(CompilDonnées[[#This Row],[HarvestingDate]]))</f>
        <v>1 2025</v>
      </c>
      <c r="N185">
        <f>_xlfn.NUMBERVALUE(CompilDonnées[[#This Row],[FarmID]]&amp;CompilDonnées[[#This Row],[ModuleNumber]]&amp;CompilDonnées[[#This Row],[PlantationDate]])</f>
        <v>50445630</v>
      </c>
      <c r="O185" t="str">
        <f>CompilDonnées[[#This Row],[FarmID]]&amp;CompilDonnées[[#This Row],[ModuleNumber]]</f>
        <v>504</v>
      </c>
      <c r="P185" t="str">
        <f>CompilDonnées[[#This Row],[Ref_Module]]&amp;CompilDonnées[[#This Row],[HarvestingDate]]</f>
        <v>50445672</v>
      </c>
    </row>
    <row r="186" spans="1:16">
      <c r="A186" s="5">
        <v>45630</v>
      </c>
      <c r="B186">
        <v>81</v>
      </c>
      <c r="C186" t="s">
        <v>30</v>
      </c>
      <c r="D186">
        <v>3</v>
      </c>
      <c r="E186">
        <v>100</v>
      </c>
      <c r="F186" t="s">
        <v>1</v>
      </c>
      <c r="G186" s="6">
        <v>45671</v>
      </c>
      <c r="H186">
        <v>41</v>
      </c>
      <c r="I186">
        <f>ROUND(CompilDonnées[[#This Row],[CultureDuration_days]]/7,0)</f>
        <v>6</v>
      </c>
      <c r="J186">
        <v>2552</v>
      </c>
      <c r="K186" t="str">
        <f>_xlfn.CONCAT(WEEKNUM(CompilDonnées[[#This Row],[PlantationDate]]), " ", YEAR(CompilDonnées[[#This Row],[PlantationDate]]))</f>
        <v>49 2024</v>
      </c>
      <c r="L186" t="str">
        <f>CONCATENATE(MONTH(CompilDonnées[[#This Row],[PlantationDate]])," ", YEAR(CompilDonnées[[#This Row],[PlantationDate]]))</f>
        <v>12 2024</v>
      </c>
      <c r="M186" t="str">
        <f>CONCATENATE(MONTH(CompilDonnées[[#This Row],[HarvestingDate]])," ", YEAR(CompilDonnées[[#This Row],[HarvestingDate]]))</f>
        <v>1 2025</v>
      </c>
      <c r="N186">
        <f>_xlfn.NUMBERVALUE(CompilDonnées[[#This Row],[FarmID]]&amp;CompilDonnées[[#This Row],[ModuleNumber]]&amp;CompilDonnées[[#This Row],[PlantationDate]])</f>
        <v>81345630</v>
      </c>
      <c r="O186" t="str">
        <f>CompilDonnées[[#This Row],[FarmID]]&amp;CompilDonnées[[#This Row],[ModuleNumber]]</f>
        <v>813</v>
      </c>
      <c r="P186" t="str">
        <f>CompilDonnées[[#This Row],[Ref_Module]]&amp;CompilDonnées[[#This Row],[HarvestingDate]]</f>
        <v>81345671</v>
      </c>
    </row>
    <row r="187" spans="1:16">
      <c r="A187" s="5">
        <v>45630</v>
      </c>
      <c r="B187">
        <v>79</v>
      </c>
      <c r="C187" t="s">
        <v>61</v>
      </c>
      <c r="D187">
        <v>5</v>
      </c>
      <c r="E187">
        <v>100</v>
      </c>
      <c r="F187" t="s">
        <v>1</v>
      </c>
      <c r="G187" s="6">
        <v>45678</v>
      </c>
      <c r="H187">
        <v>48</v>
      </c>
      <c r="I187">
        <f>ROUND(CompilDonnées[[#This Row],[CultureDuration_days]]/7,0)</f>
        <v>7</v>
      </c>
      <c r="J187">
        <v>3110</v>
      </c>
      <c r="K187" t="str">
        <f>_xlfn.CONCAT(WEEKNUM(CompilDonnées[[#This Row],[PlantationDate]]), " ", YEAR(CompilDonnées[[#This Row],[PlantationDate]]))</f>
        <v>49 2024</v>
      </c>
      <c r="L187" t="str">
        <f>CONCATENATE(MONTH(CompilDonnées[[#This Row],[PlantationDate]])," ", YEAR(CompilDonnées[[#This Row],[PlantationDate]]))</f>
        <v>12 2024</v>
      </c>
      <c r="M187" t="str">
        <f>CONCATENATE(MONTH(CompilDonnées[[#This Row],[HarvestingDate]])," ", YEAR(CompilDonnées[[#This Row],[HarvestingDate]]))</f>
        <v>1 2025</v>
      </c>
      <c r="N187">
        <f>_xlfn.NUMBERVALUE(CompilDonnées[[#This Row],[FarmID]]&amp;CompilDonnées[[#This Row],[ModuleNumber]]&amp;CompilDonnées[[#This Row],[PlantationDate]])</f>
        <v>79545630</v>
      </c>
      <c r="O187" t="str">
        <f>CompilDonnées[[#This Row],[FarmID]]&amp;CompilDonnées[[#This Row],[ModuleNumber]]</f>
        <v>795</v>
      </c>
      <c r="P187" t="str">
        <f>CompilDonnées[[#This Row],[Ref_Module]]&amp;CompilDonnées[[#This Row],[HarvestingDate]]</f>
        <v>79545678</v>
      </c>
    </row>
    <row r="188" spans="1:16">
      <c r="A188" s="5">
        <v>45630</v>
      </c>
      <c r="B188">
        <v>73</v>
      </c>
      <c r="C188" t="s">
        <v>20</v>
      </c>
      <c r="D188">
        <v>1</v>
      </c>
      <c r="E188">
        <v>100</v>
      </c>
      <c r="F188" t="s">
        <v>1</v>
      </c>
      <c r="G188" s="6">
        <v>45671</v>
      </c>
      <c r="H188">
        <v>41</v>
      </c>
      <c r="I188">
        <f>ROUND(CompilDonnées[[#This Row],[CultureDuration_days]]/7,0)</f>
        <v>6</v>
      </c>
      <c r="J188">
        <v>2211</v>
      </c>
      <c r="K188" t="str">
        <f>_xlfn.CONCAT(WEEKNUM(CompilDonnées[[#This Row],[PlantationDate]]), " ", YEAR(CompilDonnées[[#This Row],[PlantationDate]]))</f>
        <v>49 2024</v>
      </c>
      <c r="L188" t="str">
        <f>CONCATENATE(MONTH(CompilDonnées[[#This Row],[PlantationDate]])," ", YEAR(CompilDonnées[[#This Row],[PlantationDate]]))</f>
        <v>12 2024</v>
      </c>
      <c r="M188" t="str">
        <f>CONCATENATE(MONTH(CompilDonnées[[#This Row],[HarvestingDate]])," ", YEAR(CompilDonnées[[#This Row],[HarvestingDate]]))</f>
        <v>1 2025</v>
      </c>
      <c r="N188">
        <f>_xlfn.NUMBERVALUE(CompilDonnées[[#This Row],[FarmID]]&amp;CompilDonnées[[#This Row],[ModuleNumber]]&amp;CompilDonnées[[#This Row],[PlantationDate]])</f>
        <v>73145630</v>
      </c>
      <c r="O188" t="str">
        <f>CompilDonnées[[#This Row],[FarmID]]&amp;CompilDonnées[[#This Row],[ModuleNumber]]</f>
        <v>731</v>
      </c>
      <c r="P188" t="str">
        <f>CompilDonnées[[#This Row],[Ref_Module]]&amp;CompilDonnées[[#This Row],[HarvestingDate]]</f>
        <v>73145671</v>
      </c>
    </row>
    <row r="189" spans="1:16">
      <c r="A189" s="5">
        <v>45630</v>
      </c>
      <c r="B189">
        <v>74</v>
      </c>
      <c r="C189" t="s">
        <v>21</v>
      </c>
      <c r="D189">
        <v>2</v>
      </c>
      <c r="E189">
        <v>100</v>
      </c>
      <c r="F189" t="s">
        <v>1</v>
      </c>
      <c r="G189" s="6">
        <v>45671</v>
      </c>
      <c r="H189">
        <v>41</v>
      </c>
      <c r="I189">
        <f>ROUND(CompilDonnées[[#This Row],[CultureDuration_days]]/7,0)</f>
        <v>6</v>
      </c>
      <c r="J189">
        <v>2622</v>
      </c>
      <c r="K189" t="str">
        <f>_xlfn.CONCAT(WEEKNUM(CompilDonnées[[#This Row],[PlantationDate]]), " ", YEAR(CompilDonnées[[#This Row],[PlantationDate]]))</f>
        <v>49 2024</v>
      </c>
      <c r="L189" t="str">
        <f>CONCATENATE(MONTH(CompilDonnées[[#This Row],[PlantationDate]])," ", YEAR(CompilDonnées[[#This Row],[PlantationDate]]))</f>
        <v>12 2024</v>
      </c>
      <c r="M189" t="str">
        <f>CONCATENATE(MONTH(CompilDonnées[[#This Row],[HarvestingDate]])," ", YEAR(CompilDonnées[[#This Row],[HarvestingDate]]))</f>
        <v>1 2025</v>
      </c>
      <c r="N189">
        <f>_xlfn.NUMBERVALUE(CompilDonnées[[#This Row],[FarmID]]&amp;CompilDonnées[[#This Row],[ModuleNumber]]&amp;CompilDonnées[[#This Row],[PlantationDate]])</f>
        <v>74245630</v>
      </c>
      <c r="O189" t="str">
        <f>CompilDonnées[[#This Row],[FarmID]]&amp;CompilDonnées[[#This Row],[ModuleNumber]]</f>
        <v>742</v>
      </c>
      <c r="P189" t="str">
        <f>CompilDonnées[[#This Row],[Ref_Module]]&amp;CompilDonnées[[#This Row],[HarvestingDate]]</f>
        <v>74245671</v>
      </c>
    </row>
    <row r="190" spans="1:16">
      <c r="A190" s="5">
        <v>45630</v>
      </c>
      <c r="B190">
        <v>72</v>
      </c>
      <c r="C190" t="s">
        <v>49</v>
      </c>
      <c r="D190">
        <v>5</v>
      </c>
      <c r="E190">
        <v>100</v>
      </c>
      <c r="F190" t="s">
        <v>1</v>
      </c>
      <c r="G190" s="6">
        <v>45678</v>
      </c>
      <c r="H190">
        <v>48</v>
      </c>
      <c r="I190">
        <f>ROUND(CompilDonnées[[#This Row],[CultureDuration_days]]/7,0)</f>
        <v>7</v>
      </c>
      <c r="J190">
        <v>2863</v>
      </c>
      <c r="K190" t="str">
        <f>_xlfn.CONCAT(WEEKNUM(CompilDonnées[[#This Row],[PlantationDate]]), " ", YEAR(CompilDonnées[[#This Row],[PlantationDate]]))</f>
        <v>49 2024</v>
      </c>
      <c r="L190" t="str">
        <f>CONCATENATE(MONTH(CompilDonnées[[#This Row],[PlantationDate]])," ", YEAR(CompilDonnées[[#This Row],[PlantationDate]]))</f>
        <v>12 2024</v>
      </c>
      <c r="M190" t="str">
        <f>CONCATENATE(MONTH(CompilDonnées[[#This Row],[HarvestingDate]])," ", YEAR(CompilDonnées[[#This Row],[HarvestingDate]]))</f>
        <v>1 2025</v>
      </c>
      <c r="N190">
        <f>_xlfn.NUMBERVALUE(CompilDonnées[[#This Row],[FarmID]]&amp;CompilDonnées[[#This Row],[ModuleNumber]]&amp;CompilDonnées[[#This Row],[PlantationDate]])</f>
        <v>72545630</v>
      </c>
      <c r="O190" t="str">
        <f>CompilDonnées[[#This Row],[FarmID]]&amp;CompilDonnées[[#This Row],[ModuleNumber]]</f>
        <v>725</v>
      </c>
      <c r="P190" t="str">
        <f>CompilDonnées[[#This Row],[Ref_Module]]&amp;CompilDonnées[[#This Row],[HarvestingDate]]</f>
        <v>72545678</v>
      </c>
    </row>
    <row r="191" spans="1:16">
      <c r="A191" s="5">
        <v>45630</v>
      </c>
      <c r="B191">
        <v>71</v>
      </c>
      <c r="C191" t="s">
        <v>19</v>
      </c>
      <c r="D191">
        <v>4</v>
      </c>
      <c r="E191">
        <v>100</v>
      </c>
      <c r="F191" t="s">
        <v>1</v>
      </c>
      <c r="G191" s="6">
        <v>45678</v>
      </c>
      <c r="H191">
        <v>48</v>
      </c>
      <c r="I191">
        <f>ROUND(CompilDonnées[[#This Row],[CultureDuration_days]]/7,0)</f>
        <v>7</v>
      </c>
      <c r="J191">
        <v>2361</v>
      </c>
      <c r="K191" t="str">
        <f>_xlfn.CONCAT(WEEKNUM(CompilDonnées[[#This Row],[PlantationDate]]), " ", YEAR(CompilDonnées[[#This Row],[PlantationDate]]))</f>
        <v>49 2024</v>
      </c>
      <c r="L191" t="str">
        <f>CONCATENATE(MONTH(CompilDonnées[[#This Row],[PlantationDate]])," ", YEAR(CompilDonnées[[#This Row],[PlantationDate]]))</f>
        <v>12 2024</v>
      </c>
      <c r="M191" t="str">
        <f>CONCATENATE(MONTH(CompilDonnées[[#This Row],[HarvestingDate]])," ", YEAR(CompilDonnées[[#This Row],[HarvestingDate]]))</f>
        <v>1 2025</v>
      </c>
      <c r="N191">
        <f>_xlfn.NUMBERVALUE(CompilDonnées[[#This Row],[FarmID]]&amp;CompilDonnées[[#This Row],[ModuleNumber]]&amp;CompilDonnées[[#This Row],[PlantationDate]])</f>
        <v>71445630</v>
      </c>
      <c r="O191" t="str">
        <f>CompilDonnées[[#This Row],[FarmID]]&amp;CompilDonnées[[#This Row],[ModuleNumber]]</f>
        <v>714</v>
      </c>
      <c r="P191" t="str">
        <f>CompilDonnées[[#This Row],[Ref_Module]]&amp;CompilDonnées[[#This Row],[HarvestingDate]]</f>
        <v>71445678</v>
      </c>
    </row>
    <row r="192" spans="1:16">
      <c r="A192" s="5">
        <v>45630</v>
      </c>
      <c r="B192">
        <v>48</v>
      </c>
      <c r="C192" t="s">
        <v>71</v>
      </c>
      <c r="D192">
        <v>3</v>
      </c>
      <c r="E192">
        <v>100</v>
      </c>
      <c r="F192" t="s">
        <v>1</v>
      </c>
      <c r="G192" s="6">
        <v>45672</v>
      </c>
      <c r="H192">
        <v>42</v>
      </c>
      <c r="I192">
        <f>ROUND(CompilDonnées[[#This Row],[CultureDuration_days]]/7,0)</f>
        <v>6</v>
      </c>
      <c r="J192">
        <v>1283</v>
      </c>
      <c r="K192" t="str">
        <f>_xlfn.CONCAT(WEEKNUM(CompilDonnées[[#This Row],[PlantationDate]]), " ", YEAR(CompilDonnées[[#This Row],[PlantationDate]]))</f>
        <v>49 2024</v>
      </c>
      <c r="L192" t="str">
        <f>CONCATENATE(MONTH(CompilDonnées[[#This Row],[PlantationDate]])," ", YEAR(CompilDonnées[[#This Row],[PlantationDate]]))</f>
        <v>12 2024</v>
      </c>
      <c r="M192" t="str">
        <f>CONCATENATE(MONTH(CompilDonnées[[#This Row],[HarvestingDate]])," ", YEAR(CompilDonnées[[#This Row],[HarvestingDate]]))</f>
        <v>1 2025</v>
      </c>
      <c r="N192">
        <f>_xlfn.NUMBERVALUE(CompilDonnées[[#This Row],[FarmID]]&amp;CompilDonnées[[#This Row],[ModuleNumber]]&amp;CompilDonnées[[#This Row],[PlantationDate]])</f>
        <v>48345630</v>
      </c>
      <c r="O192" t="str">
        <f>CompilDonnées[[#This Row],[FarmID]]&amp;CompilDonnées[[#This Row],[ModuleNumber]]</f>
        <v>483</v>
      </c>
      <c r="P192" t="str">
        <f>CompilDonnées[[#This Row],[Ref_Module]]&amp;CompilDonnées[[#This Row],[HarvestingDate]]</f>
        <v>48345672</v>
      </c>
    </row>
    <row r="193" spans="1:16">
      <c r="A193" s="5">
        <v>45630</v>
      </c>
      <c r="B193">
        <v>49</v>
      </c>
      <c r="C193" t="s">
        <v>110</v>
      </c>
      <c r="D193">
        <v>3</v>
      </c>
      <c r="E193">
        <v>100</v>
      </c>
      <c r="F193" t="s">
        <v>1</v>
      </c>
      <c r="G193" s="6">
        <v>45677</v>
      </c>
      <c r="H193">
        <v>47</v>
      </c>
      <c r="I193">
        <f>ROUND(CompilDonnées[[#This Row],[CultureDuration_days]]/7,0)</f>
        <v>7</v>
      </c>
      <c r="J193">
        <v>1682</v>
      </c>
      <c r="K193" t="str">
        <f>_xlfn.CONCAT(WEEKNUM(CompilDonnées[[#This Row],[PlantationDate]]), " ", YEAR(CompilDonnées[[#This Row],[PlantationDate]]))</f>
        <v>49 2024</v>
      </c>
      <c r="L193" t="str">
        <f>CONCATENATE(MONTH(CompilDonnées[[#This Row],[PlantationDate]])," ", YEAR(CompilDonnées[[#This Row],[PlantationDate]]))</f>
        <v>12 2024</v>
      </c>
      <c r="M193" t="str">
        <f>CONCATENATE(MONTH(CompilDonnées[[#This Row],[HarvestingDate]])," ", YEAR(CompilDonnées[[#This Row],[HarvestingDate]]))</f>
        <v>1 2025</v>
      </c>
      <c r="N193">
        <f>_xlfn.NUMBERVALUE(CompilDonnées[[#This Row],[FarmID]]&amp;CompilDonnées[[#This Row],[ModuleNumber]]&amp;CompilDonnées[[#This Row],[PlantationDate]])</f>
        <v>49345630</v>
      </c>
      <c r="O193" t="str">
        <f>CompilDonnées[[#This Row],[FarmID]]&amp;CompilDonnées[[#This Row],[ModuleNumber]]</f>
        <v>493</v>
      </c>
      <c r="P193" t="str">
        <f>CompilDonnées[[#This Row],[Ref_Module]]&amp;CompilDonnées[[#This Row],[HarvestingDate]]</f>
        <v>49345677</v>
      </c>
    </row>
    <row r="194" spans="1:16">
      <c r="A194" s="5">
        <v>45630</v>
      </c>
      <c r="B194">
        <v>56</v>
      </c>
      <c r="C194" t="s">
        <v>6</v>
      </c>
      <c r="D194">
        <v>4</v>
      </c>
      <c r="E194">
        <v>100</v>
      </c>
      <c r="F194" t="s">
        <v>1</v>
      </c>
      <c r="G194" s="6">
        <v>45672</v>
      </c>
      <c r="H194">
        <v>42</v>
      </c>
      <c r="I194">
        <f>ROUND(CompilDonnées[[#This Row],[CultureDuration_days]]/7,0)</f>
        <v>6</v>
      </c>
      <c r="J194">
        <v>2021</v>
      </c>
      <c r="K194" t="str">
        <f>_xlfn.CONCAT(WEEKNUM(CompilDonnées[[#This Row],[PlantationDate]]), " ", YEAR(CompilDonnées[[#This Row],[PlantationDate]]))</f>
        <v>49 2024</v>
      </c>
      <c r="L194" t="str">
        <f>CONCATENATE(MONTH(CompilDonnées[[#This Row],[PlantationDate]])," ", YEAR(CompilDonnées[[#This Row],[PlantationDate]]))</f>
        <v>12 2024</v>
      </c>
      <c r="M194" t="str">
        <f>CONCATENATE(MONTH(CompilDonnées[[#This Row],[HarvestingDate]])," ", YEAR(CompilDonnées[[#This Row],[HarvestingDate]]))</f>
        <v>1 2025</v>
      </c>
      <c r="N194">
        <f>_xlfn.NUMBERVALUE(CompilDonnées[[#This Row],[FarmID]]&amp;CompilDonnées[[#This Row],[ModuleNumber]]&amp;CompilDonnées[[#This Row],[PlantationDate]])</f>
        <v>56445630</v>
      </c>
      <c r="O194" t="str">
        <f>CompilDonnées[[#This Row],[FarmID]]&amp;CompilDonnées[[#This Row],[ModuleNumber]]</f>
        <v>564</v>
      </c>
      <c r="P194" t="str">
        <f>CompilDonnées[[#This Row],[Ref_Module]]&amp;CompilDonnées[[#This Row],[HarvestingDate]]</f>
        <v>56445672</v>
      </c>
    </row>
    <row r="195" spans="1:16">
      <c r="A195" s="5">
        <v>45630</v>
      </c>
      <c r="B195">
        <v>64</v>
      </c>
      <c r="C195" t="s">
        <v>47</v>
      </c>
      <c r="D195">
        <v>5</v>
      </c>
      <c r="E195">
        <v>100</v>
      </c>
      <c r="F195" t="s">
        <v>1</v>
      </c>
      <c r="G195" s="6">
        <v>45671</v>
      </c>
      <c r="H195">
        <v>41</v>
      </c>
      <c r="I195">
        <f>ROUND(CompilDonnées[[#This Row],[CultureDuration_days]]/7,0)</f>
        <v>6</v>
      </c>
      <c r="J195">
        <v>2123</v>
      </c>
      <c r="K195" t="str">
        <f>_xlfn.CONCAT(WEEKNUM(CompilDonnées[[#This Row],[PlantationDate]]), " ", YEAR(CompilDonnées[[#This Row],[PlantationDate]]))</f>
        <v>49 2024</v>
      </c>
      <c r="L195" t="str">
        <f>CONCATENATE(MONTH(CompilDonnées[[#This Row],[PlantationDate]])," ", YEAR(CompilDonnées[[#This Row],[PlantationDate]]))</f>
        <v>12 2024</v>
      </c>
      <c r="M195" t="str">
        <f>CONCATENATE(MONTH(CompilDonnées[[#This Row],[HarvestingDate]])," ", YEAR(CompilDonnées[[#This Row],[HarvestingDate]]))</f>
        <v>1 2025</v>
      </c>
      <c r="N195">
        <f>_xlfn.NUMBERVALUE(CompilDonnées[[#This Row],[FarmID]]&amp;CompilDonnées[[#This Row],[ModuleNumber]]&amp;CompilDonnées[[#This Row],[PlantationDate]])</f>
        <v>64545630</v>
      </c>
      <c r="O195" t="str">
        <f>CompilDonnées[[#This Row],[FarmID]]&amp;CompilDonnées[[#This Row],[ModuleNumber]]</f>
        <v>645</v>
      </c>
      <c r="P195" t="str">
        <f>CompilDonnées[[#This Row],[Ref_Module]]&amp;CompilDonnées[[#This Row],[HarvestingDate]]</f>
        <v>64545671</v>
      </c>
    </row>
    <row r="196" spans="1:16">
      <c r="A196" s="5">
        <v>45630</v>
      </c>
      <c r="B196">
        <v>111</v>
      </c>
      <c r="C196" t="s">
        <v>41</v>
      </c>
      <c r="D196">
        <v>5</v>
      </c>
      <c r="E196">
        <v>100</v>
      </c>
      <c r="F196" t="s">
        <v>1</v>
      </c>
      <c r="G196" s="6">
        <v>45670</v>
      </c>
      <c r="H196">
        <v>40</v>
      </c>
      <c r="I196">
        <f>ROUND(CompilDonnées[[#This Row],[CultureDuration_days]]/7,0)</f>
        <v>6</v>
      </c>
      <c r="J196">
        <v>2107</v>
      </c>
      <c r="K196" t="str">
        <f>_xlfn.CONCAT(WEEKNUM(CompilDonnées[[#This Row],[PlantationDate]]), " ", YEAR(CompilDonnées[[#This Row],[PlantationDate]]))</f>
        <v>49 2024</v>
      </c>
      <c r="L196" t="str">
        <f>CONCATENATE(MONTH(CompilDonnées[[#This Row],[PlantationDate]])," ", YEAR(CompilDonnées[[#This Row],[PlantationDate]]))</f>
        <v>12 2024</v>
      </c>
      <c r="M196" t="str">
        <f>CONCATENATE(MONTH(CompilDonnées[[#This Row],[HarvestingDate]])," ", YEAR(CompilDonnées[[#This Row],[HarvestingDate]]))</f>
        <v>1 2025</v>
      </c>
      <c r="N196">
        <f>_xlfn.NUMBERVALUE(CompilDonnées[[#This Row],[FarmID]]&amp;CompilDonnées[[#This Row],[ModuleNumber]]&amp;CompilDonnées[[#This Row],[PlantationDate]])</f>
        <v>111545630</v>
      </c>
      <c r="O196" t="str">
        <f>CompilDonnées[[#This Row],[FarmID]]&amp;CompilDonnées[[#This Row],[ModuleNumber]]</f>
        <v>1115</v>
      </c>
      <c r="P196" t="str">
        <f>CompilDonnées[[#This Row],[Ref_Module]]&amp;CompilDonnées[[#This Row],[HarvestingDate]]</f>
        <v>111545670</v>
      </c>
    </row>
    <row r="197" spans="1:16">
      <c r="A197" s="5">
        <v>45630</v>
      </c>
      <c r="B197">
        <v>113</v>
      </c>
      <c r="C197" t="s">
        <v>16</v>
      </c>
      <c r="D197">
        <v>4</v>
      </c>
      <c r="E197">
        <v>100</v>
      </c>
      <c r="F197" t="s">
        <v>1</v>
      </c>
      <c r="G197" s="6">
        <v>45666</v>
      </c>
      <c r="H197">
        <v>36</v>
      </c>
      <c r="I197">
        <f>ROUND(CompilDonnées[[#This Row],[CultureDuration_days]]/7,0)</f>
        <v>5</v>
      </c>
      <c r="J197">
        <v>3352</v>
      </c>
      <c r="K197" t="str">
        <f>_xlfn.CONCAT(WEEKNUM(CompilDonnées[[#This Row],[PlantationDate]]), " ", YEAR(CompilDonnées[[#This Row],[PlantationDate]]))</f>
        <v>49 2024</v>
      </c>
      <c r="L197" t="str">
        <f>CONCATENATE(MONTH(CompilDonnées[[#This Row],[PlantationDate]])," ", YEAR(CompilDonnées[[#This Row],[PlantationDate]]))</f>
        <v>12 2024</v>
      </c>
      <c r="M197" t="str">
        <f>CONCATENATE(MONTH(CompilDonnées[[#This Row],[HarvestingDate]])," ", YEAR(CompilDonnées[[#This Row],[HarvestingDate]]))</f>
        <v>1 2025</v>
      </c>
      <c r="N197">
        <f>_xlfn.NUMBERVALUE(CompilDonnées[[#This Row],[FarmID]]&amp;CompilDonnées[[#This Row],[ModuleNumber]]&amp;CompilDonnées[[#This Row],[PlantationDate]])</f>
        <v>113445630</v>
      </c>
      <c r="O197" t="str">
        <f>CompilDonnées[[#This Row],[FarmID]]&amp;CompilDonnées[[#This Row],[ModuleNumber]]</f>
        <v>1134</v>
      </c>
      <c r="P197" t="str">
        <f>CompilDonnées[[#This Row],[Ref_Module]]&amp;CompilDonnées[[#This Row],[HarvestingDate]]</f>
        <v>113445666</v>
      </c>
    </row>
    <row r="198" spans="1:16">
      <c r="A198" s="5">
        <v>45630</v>
      </c>
      <c r="B198">
        <v>124</v>
      </c>
      <c r="C198" t="s">
        <v>115</v>
      </c>
      <c r="D198">
        <v>3</v>
      </c>
      <c r="E198">
        <v>100</v>
      </c>
      <c r="F198" t="s">
        <v>1</v>
      </c>
      <c r="G198" s="6">
        <v>45670</v>
      </c>
      <c r="H198">
        <v>40</v>
      </c>
      <c r="I198">
        <f>ROUND(CompilDonnées[[#This Row],[CultureDuration_days]]/7,0)</f>
        <v>6</v>
      </c>
      <c r="J198">
        <v>2406</v>
      </c>
      <c r="K198" t="str">
        <f>_xlfn.CONCAT(WEEKNUM(CompilDonnées[[#This Row],[PlantationDate]]), " ", YEAR(CompilDonnées[[#This Row],[PlantationDate]]))</f>
        <v>49 2024</v>
      </c>
      <c r="L198" t="str">
        <f>CONCATENATE(MONTH(CompilDonnées[[#This Row],[PlantationDate]])," ", YEAR(CompilDonnées[[#This Row],[PlantationDate]]))</f>
        <v>12 2024</v>
      </c>
      <c r="M198" t="str">
        <f>CONCATENATE(MONTH(CompilDonnées[[#This Row],[HarvestingDate]])," ", YEAR(CompilDonnées[[#This Row],[HarvestingDate]]))</f>
        <v>1 2025</v>
      </c>
      <c r="N198">
        <f>_xlfn.NUMBERVALUE(CompilDonnées[[#This Row],[FarmID]]&amp;CompilDonnées[[#This Row],[ModuleNumber]]&amp;CompilDonnées[[#This Row],[PlantationDate]])</f>
        <v>124345630</v>
      </c>
      <c r="O198" t="str">
        <f>CompilDonnées[[#This Row],[FarmID]]&amp;CompilDonnées[[#This Row],[ModuleNumber]]</f>
        <v>1243</v>
      </c>
      <c r="P198" t="str">
        <f>CompilDonnées[[#This Row],[Ref_Module]]&amp;CompilDonnées[[#This Row],[HarvestingDate]]</f>
        <v>124345670</v>
      </c>
    </row>
    <row r="199" spans="1:16">
      <c r="A199" s="5">
        <v>45630</v>
      </c>
      <c r="B199">
        <v>123</v>
      </c>
      <c r="C199" t="s">
        <v>13</v>
      </c>
      <c r="D199">
        <v>6</v>
      </c>
      <c r="E199">
        <v>100</v>
      </c>
      <c r="F199" t="s">
        <v>1</v>
      </c>
      <c r="G199" s="6">
        <v>45672</v>
      </c>
      <c r="H199">
        <v>42</v>
      </c>
      <c r="I199">
        <f>ROUND(CompilDonnées[[#This Row],[CultureDuration_days]]/7,0)</f>
        <v>6</v>
      </c>
      <c r="J199">
        <v>3000</v>
      </c>
      <c r="K199" t="str">
        <f>_xlfn.CONCAT(WEEKNUM(CompilDonnées[[#This Row],[PlantationDate]]), " ", YEAR(CompilDonnées[[#This Row],[PlantationDate]]))</f>
        <v>49 2024</v>
      </c>
      <c r="L199" t="str">
        <f>CONCATENATE(MONTH(CompilDonnées[[#This Row],[PlantationDate]])," ", YEAR(CompilDonnées[[#This Row],[PlantationDate]]))</f>
        <v>12 2024</v>
      </c>
      <c r="M199" t="str">
        <f>CONCATENATE(MONTH(CompilDonnées[[#This Row],[HarvestingDate]])," ", YEAR(CompilDonnées[[#This Row],[HarvestingDate]]))</f>
        <v>1 2025</v>
      </c>
      <c r="N199">
        <f>_xlfn.NUMBERVALUE(CompilDonnées[[#This Row],[FarmID]]&amp;CompilDonnées[[#This Row],[ModuleNumber]]&amp;CompilDonnées[[#This Row],[PlantationDate]])</f>
        <v>123645630</v>
      </c>
      <c r="O199" t="str">
        <f>CompilDonnées[[#This Row],[FarmID]]&amp;CompilDonnées[[#This Row],[ModuleNumber]]</f>
        <v>1236</v>
      </c>
      <c r="P199" t="str">
        <f>CompilDonnées[[#This Row],[Ref_Module]]&amp;CompilDonnées[[#This Row],[HarvestingDate]]</f>
        <v>123645672</v>
      </c>
    </row>
    <row r="200" spans="1:16">
      <c r="A200" s="5">
        <v>45630</v>
      </c>
      <c r="B200">
        <v>133</v>
      </c>
      <c r="C200" t="s">
        <v>99</v>
      </c>
      <c r="D200">
        <v>2</v>
      </c>
      <c r="E200">
        <v>100</v>
      </c>
      <c r="F200" t="s">
        <v>1</v>
      </c>
      <c r="G200" s="6">
        <v>45667</v>
      </c>
      <c r="H200">
        <v>37</v>
      </c>
      <c r="I200">
        <f>ROUND(CompilDonnées[[#This Row],[CultureDuration_days]]/7,0)</f>
        <v>5</v>
      </c>
      <c r="J200">
        <v>2617</v>
      </c>
      <c r="K200" t="str">
        <f>_xlfn.CONCAT(WEEKNUM(CompilDonnées[[#This Row],[PlantationDate]]), " ", YEAR(CompilDonnées[[#This Row],[PlantationDate]]))</f>
        <v>49 2024</v>
      </c>
      <c r="L200" t="str">
        <f>CONCATENATE(MONTH(CompilDonnées[[#This Row],[PlantationDate]])," ", YEAR(CompilDonnées[[#This Row],[PlantationDate]]))</f>
        <v>12 2024</v>
      </c>
      <c r="M200" t="str">
        <f>CONCATENATE(MONTH(CompilDonnées[[#This Row],[HarvestingDate]])," ", YEAR(CompilDonnées[[#This Row],[HarvestingDate]]))</f>
        <v>1 2025</v>
      </c>
      <c r="N200">
        <f>_xlfn.NUMBERVALUE(CompilDonnées[[#This Row],[FarmID]]&amp;CompilDonnées[[#This Row],[ModuleNumber]]&amp;CompilDonnées[[#This Row],[PlantationDate]])</f>
        <v>133245630</v>
      </c>
      <c r="O200" t="str">
        <f>CompilDonnées[[#This Row],[FarmID]]&amp;CompilDonnées[[#This Row],[ModuleNumber]]</f>
        <v>1332</v>
      </c>
      <c r="P200" t="str">
        <f>CompilDonnées[[#This Row],[Ref_Module]]&amp;CompilDonnées[[#This Row],[HarvestingDate]]</f>
        <v>133245667</v>
      </c>
    </row>
    <row r="201" spans="1:16">
      <c r="A201" s="5">
        <v>45630</v>
      </c>
      <c r="B201">
        <v>140</v>
      </c>
      <c r="C201" t="s">
        <v>96</v>
      </c>
      <c r="D201">
        <v>6</v>
      </c>
      <c r="E201">
        <v>100</v>
      </c>
      <c r="F201" t="s">
        <v>1</v>
      </c>
      <c r="G201" s="6">
        <v>45670</v>
      </c>
      <c r="H201">
        <v>40</v>
      </c>
      <c r="I201">
        <f>ROUND(CompilDonnées[[#This Row],[CultureDuration_days]]/7,0)</f>
        <v>6</v>
      </c>
      <c r="J201">
        <v>2209</v>
      </c>
      <c r="K201" t="str">
        <f>_xlfn.CONCAT(WEEKNUM(CompilDonnées[[#This Row],[PlantationDate]]), " ", YEAR(CompilDonnées[[#This Row],[PlantationDate]]))</f>
        <v>49 2024</v>
      </c>
      <c r="L201" t="str">
        <f>CONCATENATE(MONTH(CompilDonnées[[#This Row],[PlantationDate]])," ", YEAR(CompilDonnées[[#This Row],[PlantationDate]]))</f>
        <v>12 2024</v>
      </c>
      <c r="M201" t="str">
        <f>CONCATENATE(MONTH(CompilDonnées[[#This Row],[HarvestingDate]])," ", YEAR(CompilDonnées[[#This Row],[HarvestingDate]]))</f>
        <v>1 2025</v>
      </c>
      <c r="N201">
        <f>_xlfn.NUMBERVALUE(CompilDonnées[[#This Row],[FarmID]]&amp;CompilDonnées[[#This Row],[ModuleNumber]]&amp;CompilDonnées[[#This Row],[PlantationDate]])</f>
        <v>140645630</v>
      </c>
      <c r="O201" t="str">
        <f>CompilDonnées[[#This Row],[FarmID]]&amp;CompilDonnées[[#This Row],[ModuleNumber]]</f>
        <v>1406</v>
      </c>
      <c r="P201" t="str">
        <f>CompilDonnées[[#This Row],[Ref_Module]]&amp;CompilDonnées[[#This Row],[HarvestingDate]]</f>
        <v>140645670</v>
      </c>
    </row>
    <row r="202" spans="1:16">
      <c r="A202" s="5">
        <v>45630</v>
      </c>
      <c r="B202">
        <v>123</v>
      </c>
      <c r="C202" t="s">
        <v>13</v>
      </c>
      <c r="D202">
        <v>1</v>
      </c>
      <c r="E202">
        <v>100</v>
      </c>
      <c r="F202" t="s">
        <v>1</v>
      </c>
      <c r="G202" s="6">
        <v>45672</v>
      </c>
      <c r="H202">
        <v>42</v>
      </c>
      <c r="I202">
        <f>ROUND(CompilDonnées[[#This Row],[CultureDuration_days]]/7,0)</f>
        <v>6</v>
      </c>
      <c r="J202">
        <v>3027</v>
      </c>
      <c r="K202" t="str">
        <f>_xlfn.CONCAT(WEEKNUM(CompilDonnées[[#This Row],[PlantationDate]]), " ", YEAR(CompilDonnées[[#This Row],[PlantationDate]]))</f>
        <v>49 2024</v>
      </c>
      <c r="L202" t="str">
        <f>CONCATENATE(MONTH(CompilDonnées[[#This Row],[PlantationDate]])," ", YEAR(CompilDonnées[[#This Row],[PlantationDate]]))</f>
        <v>12 2024</v>
      </c>
      <c r="M202" t="str">
        <f>CONCATENATE(MONTH(CompilDonnées[[#This Row],[HarvestingDate]])," ", YEAR(CompilDonnées[[#This Row],[HarvestingDate]]))</f>
        <v>1 2025</v>
      </c>
      <c r="N202">
        <f>_xlfn.NUMBERVALUE(CompilDonnées[[#This Row],[FarmID]]&amp;CompilDonnées[[#This Row],[ModuleNumber]]&amp;CompilDonnées[[#This Row],[PlantationDate]])</f>
        <v>123145630</v>
      </c>
      <c r="O202" t="str">
        <f>CompilDonnées[[#This Row],[FarmID]]&amp;CompilDonnées[[#This Row],[ModuleNumber]]</f>
        <v>1231</v>
      </c>
      <c r="P202" t="str">
        <f>CompilDonnées[[#This Row],[Ref_Module]]&amp;CompilDonnées[[#This Row],[HarvestingDate]]</f>
        <v>123145672</v>
      </c>
    </row>
    <row r="203" spans="1:16">
      <c r="A203" s="5">
        <v>45630</v>
      </c>
      <c r="B203">
        <v>78</v>
      </c>
      <c r="C203" t="s">
        <v>3</v>
      </c>
      <c r="D203">
        <v>1</v>
      </c>
      <c r="E203">
        <v>68</v>
      </c>
      <c r="F203" t="s">
        <v>1</v>
      </c>
      <c r="G203" s="6">
        <v>45671</v>
      </c>
      <c r="H203">
        <v>41</v>
      </c>
      <c r="I203">
        <f>ROUND(CompilDonnées[[#This Row],[CultureDuration_days]]/7,0)</f>
        <v>6</v>
      </c>
      <c r="J203">
        <v>1393</v>
      </c>
      <c r="K203" t="str">
        <f>_xlfn.CONCAT(WEEKNUM(CompilDonnées[[#This Row],[PlantationDate]]), " ", YEAR(CompilDonnées[[#This Row],[PlantationDate]]))</f>
        <v>49 2024</v>
      </c>
      <c r="L203" t="str">
        <f>CONCATENATE(MONTH(CompilDonnées[[#This Row],[PlantationDate]])," ", YEAR(CompilDonnées[[#This Row],[PlantationDate]]))</f>
        <v>12 2024</v>
      </c>
      <c r="M203" t="str">
        <f>CONCATENATE(MONTH(CompilDonnées[[#This Row],[HarvestingDate]])," ", YEAR(CompilDonnées[[#This Row],[HarvestingDate]]))</f>
        <v>1 2025</v>
      </c>
      <c r="N203">
        <f>_xlfn.NUMBERVALUE(CompilDonnées[[#This Row],[FarmID]]&amp;CompilDonnées[[#This Row],[ModuleNumber]]&amp;CompilDonnées[[#This Row],[PlantationDate]])</f>
        <v>78145630</v>
      </c>
      <c r="O203" t="str">
        <f>CompilDonnées[[#This Row],[FarmID]]&amp;CompilDonnées[[#This Row],[ModuleNumber]]</f>
        <v>781</v>
      </c>
      <c r="P203" t="str">
        <f>CompilDonnées[[#This Row],[Ref_Module]]&amp;CompilDonnées[[#This Row],[HarvestingDate]]</f>
        <v>78145671</v>
      </c>
    </row>
    <row r="204" spans="1:16">
      <c r="A204" s="5">
        <v>45630</v>
      </c>
      <c r="B204">
        <v>78</v>
      </c>
      <c r="C204" t="s">
        <v>3</v>
      </c>
      <c r="D204">
        <v>2</v>
      </c>
      <c r="E204">
        <v>68</v>
      </c>
      <c r="F204" t="s">
        <v>1</v>
      </c>
      <c r="G204" s="6">
        <v>45671</v>
      </c>
      <c r="H204">
        <v>41</v>
      </c>
      <c r="I204">
        <f>ROUND(CompilDonnées[[#This Row],[CultureDuration_days]]/7,0)</f>
        <v>6</v>
      </c>
      <c r="J204">
        <v>1342</v>
      </c>
      <c r="K204" t="str">
        <f>_xlfn.CONCAT(WEEKNUM(CompilDonnées[[#This Row],[PlantationDate]]), " ", YEAR(CompilDonnées[[#This Row],[PlantationDate]]))</f>
        <v>49 2024</v>
      </c>
      <c r="L204" t="str">
        <f>CONCATENATE(MONTH(CompilDonnées[[#This Row],[PlantationDate]])," ", YEAR(CompilDonnées[[#This Row],[PlantationDate]]))</f>
        <v>12 2024</v>
      </c>
      <c r="M204" t="str">
        <f>CONCATENATE(MONTH(CompilDonnées[[#This Row],[HarvestingDate]])," ", YEAR(CompilDonnées[[#This Row],[HarvestingDate]]))</f>
        <v>1 2025</v>
      </c>
      <c r="N204">
        <f>_xlfn.NUMBERVALUE(CompilDonnées[[#This Row],[FarmID]]&amp;CompilDonnées[[#This Row],[ModuleNumber]]&amp;CompilDonnées[[#This Row],[PlantationDate]])</f>
        <v>78245630</v>
      </c>
      <c r="O204" t="str">
        <f>CompilDonnées[[#This Row],[FarmID]]&amp;CompilDonnées[[#This Row],[ModuleNumber]]</f>
        <v>782</v>
      </c>
      <c r="P204" t="str">
        <f>CompilDonnées[[#This Row],[Ref_Module]]&amp;CompilDonnées[[#This Row],[HarvestingDate]]</f>
        <v>78245671</v>
      </c>
    </row>
    <row r="205" spans="1:16">
      <c r="A205" s="5">
        <v>45630</v>
      </c>
      <c r="B205">
        <v>78</v>
      </c>
      <c r="C205" t="s">
        <v>3</v>
      </c>
      <c r="D205">
        <v>3</v>
      </c>
      <c r="E205">
        <v>68</v>
      </c>
      <c r="F205" t="s">
        <v>1</v>
      </c>
      <c r="G205" s="6">
        <v>45672</v>
      </c>
      <c r="H205">
        <v>42</v>
      </c>
      <c r="I205">
        <f>ROUND(CompilDonnées[[#This Row],[CultureDuration_days]]/7,0)</f>
        <v>6</v>
      </c>
      <c r="J205">
        <v>1692</v>
      </c>
      <c r="K205" t="str">
        <f>_xlfn.CONCAT(WEEKNUM(CompilDonnées[[#This Row],[PlantationDate]]), " ", YEAR(CompilDonnées[[#This Row],[PlantationDate]]))</f>
        <v>49 2024</v>
      </c>
      <c r="L205" t="str">
        <f>CONCATENATE(MONTH(CompilDonnées[[#This Row],[PlantationDate]])," ", YEAR(CompilDonnées[[#This Row],[PlantationDate]]))</f>
        <v>12 2024</v>
      </c>
      <c r="M205" t="str">
        <f>CONCATENATE(MONTH(CompilDonnées[[#This Row],[HarvestingDate]])," ", YEAR(CompilDonnées[[#This Row],[HarvestingDate]]))</f>
        <v>1 2025</v>
      </c>
      <c r="N205">
        <f>_xlfn.NUMBERVALUE(CompilDonnées[[#This Row],[FarmID]]&amp;CompilDonnées[[#This Row],[ModuleNumber]]&amp;CompilDonnées[[#This Row],[PlantationDate]])</f>
        <v>78345630</v>
      </c>
      <c r="O205" t="str">
        <f>CompilDonnées[[#This Row],[FarmID]]&amp;CompilDonnées[[#This Row],[ModuleNumber]]</f>
        <v>783</v>
      </c>
      <c r="P205" t="str">
        <f>CompilDonnées[[#This Row],[Ref_Module]]&amp;CompilDonnées[[#This Row],[HarvestingDate]]</f>
        <v>78345672</v>
      </c>
    </row>
    <row r="206" spans="1:16">
      <c r="A206" s="5">
        <v>45631</v>
      </c>
      <c r="B206">
        <v>92</v>
      </c>
      <c r="C206" t="s">
        <v>66</v>
      </c>
      <c r="D206">
        <v>4</v>
      </c>
      <c r="E206">
        <v>100</v>
      </c>
      <c r="F206" t="s">
        <v>1</v>
      </c>
      <c r="G206" s="6">
        <v>45670</v>
      </c>
      <c r="H206">
        <v>39</v>
      </c>
      <c r="I206">
        <f>ROUND(CompilDonnées[[#This Row],[CultureDuration_days]]/7,0)</f>
        <v>6</v>
      </c>
      <c r="J206">
        <v>1767</v>
      </c>
      <c r="K206" t="str">
        <f>_xlfn.CONCAT(WEEKNUM(CompilDonnées[[#This Row],[PlantationDate]]), " ", YEAR(CompilDonnées[[#This Row],[PlantationDate]]))</f>
        <v>49 2024</v>
      </c>
      <c r="L206" t="str">
        <f>CONCATENATE(MONTH(CompilDonnées[[#This Row],[PlantationDate]])," ", YEAR(CompilDonnées[[#This Row],[PlantationDate]]))</f>
        <v>12 2024</v>
      </c>
      <c r="M206" t="str">
        <f>CONCATENATE(MONTH(CompilDonnées[[#This Row],[HarvestingDate]])," ", YEAR(CompilDonnées[[#This Row],[HarvestingDate]]))</f>
        <v>1 2025</v>
      </c>
      <c r="N206">
        <f>_xlfn.NUMBERVALUE(CompilDonnées[[#This Row],[FarmID]]&amp;CompilDonnées[[#This Row],[ModuleNumber]]&amp;CompilDonnées[[#This Row],[PlantationDate]])</f>
        <v>92445631</v>
      </c>
      <c r="O206" t="str">
        <f>CompilDonnées[[#This Row],[FarmID]]&amp;CompilDonnées[[#This Row],[ModuleNumber]]</f>
        <v>924</v>
      </c>
      <c r="P206" t="str">
        <f>CompilDonnées[[#This Row],[Ref_Module]]&amp;CompilDonnées[[#This Row],[HarvestingDate]]</f>
        <v>92445670</v>
      </c>
    </row>
    <row r="207" spans="1:16">
      <c r="A207" s="5">
        <v>45631</v>
      </c>
      <c r="B207">
        <v>47</v>
      </c>
      <c r="C207" t="s">
        <v>12</v>
      </c>
      <c r="D207">
        <v>4</v>
      </c>
      <c r="E207">
        <v>100</v>
      </c>
      <c r="F207" t="s">
        <v>1</v>
      </c>
      <c r="G207" s="6">
        <v>45672</v>
      </c>
      <c r="H207">
        <v>41</v>
      </c>
      <c r="I207">
        <f>ROUND(CompilDonnées[[#This Row],[CultureDuration_days]]/7,0)</f>
        <v>6</v>
      </c>
      <c r="J207">
        <v>200</v>
      </c>
      <c r="K207" t="str">
        <f>_xlfn.CONCAT(WEEKNUM(CompilDonnées[[#This Row],[PlantationDate]]), " ", YEAR(CompilDonnées[[#This Row],[PlantationDate]]))</f>
        <v>49 2024</v>
      </c>
      <c r="L207" t="str">
        <f>CONCATENATE(MONTH(CompilDonnées[[#This Row],[PlantationDate]])," ", YEAR(CompilDonnées[[#This Row],[PlantationDate]]))</f>
        <v>12 2024</v>
      </c>
      <c r="M207" t="str">
        <f>CONCATENATE(MONTH(CompilDonnées[[#This Row],[HarvestingDate]])," ", YEAR(CompilDonnées[[#This Row],[HarvestingDate]]))</f>
        <v>1 2025</v>
      </c>
      <c r="N207">
        <f>_xlfn.NUMBERVALUE(CompilDonnées[[#This Row],[FarmID]]&amp;CompilDonnées[[#This Row],[ModuleNumber]]&amp;CompilDonnées[[#This Row],[PlantationDate]])</f>
        <v>47445631</v>
      </c>
      <c r="O207" t="str">
        <f>CompilDonnées[[#This Row],[FarmID]]&amp;CompilDonnées[[#This Row],[ModuleNumber]]</f>
        <v>474</v>
      </c>
      <c r="P207" t="str">
        <f>CompilDonnées[[#This Row],[Ref_Module]]&amp;CompilDonnées[[#This Row],[HarvestingDate]]</f>
        <v>47445672</v>
      </c>
    </row>
    <row r="208" spans="1:16">
      <c r="A208" s="5">
        <v>45631</v>
      </c>
      <c r="B208">
        <v>39</v>
      </c>
      <c r="C208" t="s">
        <v>81</v>
      </c>
      <c r="D208">
        <v>3</v>
      </c>
      <c r="E208">
        <v>100</v>
      </c>
      <c r="F208" t="s">
        <v>1</v>
      </c>
      <c r="G208" s="6">
        <v>45672</v>
      </c>
      <c r="H208">
        <v>41</v>
      </c>
      <c r="I208">
        <f>ROUND(CompilDonnées[[#This Row],[CultureDuration_days]]/7,0)</f>
        <v>6</v>
      </c>
      <c r="J208">
        <v>1025</v>
      </c>
      <c r="K208" t="str">
        <f>_xlfn.CONCAT(WEEKNUM(CompilDonnées[[#This Row],[PlantationDate]]), " ", YEAR(CompilDonnées[[#This Row],[PlantationDate]]))</f>
        <v>49 2024</v>
      </c>
      <c r="L208" t="str">
        <f>CONCATENATE(MONTH(CompilDonnées[[#This Row],[PlantationDate]])," ", YEAR(CompilDonnées[[#This Row],[PlantationDate]]))</f>
        <v>12 2024</v>
      </c>
      <c r="M208" t="str">
        <f>CONCATENATE(MONTH(CompilDonnées[[#This Row],[HarvestingDate]])," ", YEAR(CompilDonnées[[#This Row],[HarvestingDate]]))</f>
        <v>1 2025</v>
      </c>
      <c r="N208">
        <f>_xlfn.NUMBERVALUE(CompilDonnées[[#This Row],[FarmID]]&amp;CompilDonnées[[#This Row],[ModuleNumber]]&amp;CompilDonnées[[#This Row],[PlantationDate]])</f>
        <v>39345631</v>
      </c>
      <c r="O208" t="str">
        <f>CompilDonnées[[#This Row],[FarmID]]&amp;CompilDonnées[[#This Row],[ModuleNumber]]</f>
        <v>393</v>
      </c>
      <c r="P208" t="str">
        <f>CompilDonnées[[#This Row],[Ref_Module]]&amp;CompilDonnées[[#This Row],[HarvestingDate]]</f>
        <v>39345672</v>
      </c>
    </row>
    <row r="209" spans="1:16">
      <c r="A209" s="5">
        <v>45631</v>
      </c>
      <c r="B209">
        <v>34</v>
      </c>
      <c r="C209" t="s">
        <v>68</v>
      </c>
      <c r="D209">
        <v>3</v>
      </c>
      <c r="E209">
        <v>100</v>
      </c>
      <c r="F209" t="s">
        <v>1</v>
      </c>
      <c r="G209" s="6">
        <v>45671</v>
      </c>
      <c r="H209">
        <v>40</v>
      </c>
      <c r="I209">
        <f>ROUND(CompilDonnées[[#This Row],[CultureDuration_days]]/7,0)</f>
        <v>6</v>
      </c>
      <c r="J209">
        <v>200</v>
      </c>
      <c r="K209" t="str">
        <f>_xlfn.CONCAT(WEEKNUM(CompilDonnées[[#This Row],[PlantationDate]]), " ", YEAR(CompilDonnées[[#This Row],[PlantationDate]]))</f>
        <v>49 2024</v>
      </c>
      <c r="L209" t="str">
        <f>CONCATENATE(MONTH(CompilDonnées[[#This Row],[PlantationDate]])," ", YEAR(CompilDonnées[[#This Row],[PlantationDate]]))</f>
        <v>12 2024</v>
      </c>
      <c r="M209" t="str">
        <f>CONCATENATE(MONTH(CompilDonnées[[#This Row],[HarvestingDate]])," ", YEAR(CompilDonnées[[#This Row],[HarvestingDate]]))</f>
        <v>1 2025</v>
      </c>
      <c r="N209">
        <f>_xlfn.NUMBERVALUE(CompilDonnées[[#This Row],[FarmID]]&amp;CompilDonnées[[#This Row],[ModuleNumber]]&amp;CompilDonnées[[#This Row],[PlantationDate]])</f>
        <v>34345631</v>
      </c>
      <c r="O209" t="str">
        <f>CompilDonnées[[#This Row],[FarmID]]&amp;CompilDonnées[[#This Row],[ModuleNumber]]</f>
        <v>343</v>
      </c>
      <c r="P209" t="str">
        <f>CompilDonnées[[#This Row],[Ref_Module]]&amp;CompilDonnées[[#This Row],[HarvestingDate]]</f>
        <v>34345671</v>
      </c>
    </row>
    <row r="210" spans="1:16">
      <c r="A210" s="5">
        <v>45631</v>
      </c>
      <c r="B210">
        <v>33</v>
      </c>
      <c r="C210" t="s">
        <v>104</v>
      </c>
      <c r="D210">
        <v>3</v>
      </c>
      <c r="E210">
        <v>100</v>
      </c>
      <c r="F210" t="s">
        <v>1</v>
      </c>
      <c r="G210" s="6">
        <v>45672</v>
      </c>
      <c r="H210">
        <v>41</v>
      </c>
      <c r="I210">
        <f>ROUND(CompilDonnées[[#This Row],[CultureDuration_days]]/7,0)</f>
        <v>6</v>
      </c>
      <c r="J210">
        <v>150</v>
      </c>
      <c r="K210" t="str">
        <f>_xlfn.CONCAT(WEEKNUM(CompilDonnées[[#This Row],[PlantationDate]]), " ", YEAR(CompilDonnées[[#This Row],[PlantationDate]]))</f>
        <v>49 2024</v>
      </c>
      <c r="L210" t="str">
        <f>CONCATENATE(MONTH(CompilDonnées[[#This Row],[PlantationDate]])," ", YEAR(CompilDonnées[[#This Row],[PlantationDate]]))</f>
        <v>12 2024</v>
      </c>
      <c r="M210" t="str">
        <f>CONCATENATE(MONTH(CompilDonnées[[#This Row],[HarvestingDate]])," ", YEAR(CompilDonnées[[#This Row],[HarvestingDate]]))</f>
        <v>1 2025</v>
      </c>
      <c r="N210">
        <f>_xlfn.NUMBERVALUE(CompilDonnées[[#This Row],[FarmID]]&amp;CompilDonnées[[#This Row],[ModuleNumber]]&amp;CompilDonnées[[#This Row],[PlantationDate]])</f>
        <v>33345631</v>
      </c>
      <c r="O210" t="str">
        <f>CompilDonnées[[#This Row],[FarmID]]&amp;CompilDonnées[[#This Row],[ModuleNumber]]</f>
        <v>333</v>
      </c>
      <c r="P210" t="str">
        <f>CompilDonnées[[#This Row],[Ref_Module]]&amp;CompilDonnées[[#This Row],[HarvestingDate]]</f>
        <v>33345672</v>
      </c>
    </row>
    <row r="211" spans="1:16">
      <c r="A211" s="5">
        <v>45631</v>
      </c>
      <c r="B211">
        <v>6</v>
      </c>
      <c r="C211" t="s">
        <v>24</v>
      </c>
      <c r="D211">
        <v>1</v>
      </c>
      <c r="E211">
        <v>100</v>
      </c>
      <c r="F211" t="s">
        <v>1</v>
      </c>
      <c r="G211" s="6">
        <v>45667</v>
      </c>
      <c r="H211">
        <v>36</v>
      </c>
      <c r="I211">
        <f>ROUND(CompilDonnées[[#This Row],[CultureDuration_days]]/7,0)</f>
        <v>5</v>
      </c>
      <c r="J211">
        <v>2883</v>
      </c>
      <c r="K211" t="str">
        <f>_xlfn.CONCAT(WEEKNUM(CompilDonnées[[#This Row],[PlantationDate]]), " ", YEAR(CompilDonnées[[#This Row],[PlantationDate]]))</f>
        <v>49 2024</v>
      </c>
      <c r="L211" t="str">
        <f>CONCATENATE(MONTH(CompilDonnées[[#This Row],[PlantationDate]])," ", YEAR(CompilDonnées[[#This Row],[PlantationDate]]))</f>
        <v>12 2024</v>
      </c>
      <c r="M211" t="str">
        <f>CONCATENATE(MONTH(CompilDonnées[[#This Row],[HarvestingDate]])," ", YEAR(CompilDonnées[[#This Row],[HarvestingDate]]))</f>
        <v>1 2025</v>
      </c>
      <c r="N211">
        <f>_xlfn.NUMBERVALUE(CompilDonnées[[#This Row],[FarmID]]&amp;CompilDonnées[[#This Row],[ModuleNumber]]&amp;CompilDonnées[[#This Row],[PlantationDate]])</f>
        <v>6145631</v>
      </c>
      <c r="O211" t="str">
        <f>CompilDonnées[[#This Row],[FarmID]]&amp;CompilDonnées[[#This Row],[ModuleNumber]]</f>
        <v>61</v>
      </c>
      <c r="P211" t="str">
        <f>CompilDonnées[[#This Row],[Ref_Module]]&amp;CompilDonnées[[#This Row],[HarvestingDate]]</f>
        <v>6145667</v>
      </c>
    </row>
    <row r="212" spans="1:16">
      <c r="A212" s="5">
        <v>45631</v>
      </c>
      <c r="B212">
        <v>3</v>
      </c>
      <c r="C212" t="s">
        <v>116</v>
      </c>
      <c r="D212">
        <v>1</v>
      </c>
      <c r="E212">
        <v>100</v>
      </c>
      <c r="F212" t="s">
        <v>1</v>
      </c>
      <c r="G212" s="6">
        <v>45672</v>
      </c>
      <c r="H212">
        <v>41</v>
      </c>
      <c r="I212">
        <f>ROUND(CompilDonnées[[#This Row],[CultureDuration_days]]/7,0)</f>
        <v>6</v>
      </c>
      <c r="J212">
        <v>1808</v>
      </c>
      <c r="K212" t="str">
        <f>_xlfn.CONCAT(WEEKNUM(CompilDonnées[[#This Row],[PlantationDate]]), " ", YEAR(CompilDonnées[[#This Row],[PlantationDate]]))</f>
        <v>49 2024</v>
      </c>
      <c r="L212" t="str">
        <f>CONCATENATE(MONTH(CompilDonnées[[#This Row],[PlantationDate]])," ", YEAR(CompilDonnées[[#This Row],[PlantationDate]]))</f>
        <v>12 2024</v>
      </c>
      <c r="M212" t="str">
        <f>CONCATENATE(MONTH(CompilDonnées[[#This Row],[HarvestingDate]])," ", YEAR(CompilDonnées[[#This Row],[HarvestingDate]]))</f>
        <v>1 2025</v>
      </c>
      <c r="N212">
        <f>_xlfn.NUMBERVALUE(CompilDonnées[[#This Row],[FarmID]]&amp;CompilDonnées[[#This Row],[ModuleNumber]]&amp;CompilDonnées[[#This Row],[PlantationDate]])</f>
        <v>3145631</v>
      </c>
      <c r="O212" t="str">
        <f>CompilDonnées[[#This Row],[FarmID]]&amp;CompilDonnées[[#This Row],[ModuleNumber]]</f>
        <v>31</v>
      </c>
      <c r="P212" t="str">
        <f>CompilDonnées[[#This Row],[Ref_Module]]&amp;CompilDonnées[[#This Row],[HarvestingDate]]</f>
        <v>3145672</v>
      </c>
    </row>
    <row r="213" spans="1:16">
      <c r="A213" s="5">
        <v>45631</v>
      </c>
      <c r="B213">
        <v>18</v>
      </c>
      <c r="C213" t="s">
        <v>33</v>
      </c>
      <c r="D213">
        <v>2</v>
      </c>
      <c r="E213">
        <v>100</v>
      </c>
      <c r="F213" t="s">
        <v>1</v>
      </c>
      <c r="G213" s="6">
        <v>45667</v>
      </c>
      <c r="H213">
        <v>36</v>
      </c>
      <c r="I213">
        <f>ROUND(CompilDonnées[[#This Row],[CultureDuration_days]]/7,0)</f>
        <v>5</v>
      </c>
      <c r="J213">
        <v>3396</v>
      </c>
      <c r="K213" t="str">
        <f>_xlfn.CONCAT(WEEKNUM(CompilDonnées[[#This Row],[PlantationDate]]), " ", YEAR(CompilDonnées[[#This Row],[PlantationDate]]))</f>
        <v>49 2024</v>
      </c>
      <c r="L213" t="str">
        <f>CONCATENATE(MONTH(CompilDonnées[[#This Row],[PlantationDate]])," ", YEAR(CompilDonnées[[#This Row],[PlantationDate]]))</f>
        <v>12 2024</v>
      </c>
      <c r="M213" t="str">
        <f>CONCATENATE(MONTH(CompilDonnées[[#This Row],[HarvestingDate]])," ", YEAR(CompilDonnées[[#This Row],[HarvestingDate]]))</f>
        <v>1 2025</v>
      </c>
      <c r="N213">
        <f>_xlfn.NUMBERVALUE(CompilDonnées[[#This Row],[FarmID]]&amp;CompilDonnées[[#This Row],[ModuleNumber]]&amp;CompilDonnées[[#This Row],[PlantationDate]])</f>
        <v>18245631</v>
      </c>
      <c r="O213" t="str">
        <f>CompilDonnées[[#This Row],[FarmID]]&amp;CompilDonnées[[#This Row],[ModuleNumber]]</f>
        <v>182</v>
      </c>
      <c r="P213" t="str">
        <f>CompilDonnées[[#This Row],[Ref_Module]]&amp;CompilDonnées[[#This Row],[HarvestingDate]]</f>
        <v>18245667</v>
      </c>
    </row>
    <row r="214" spans="1:16">
      <c r="A214" s="5">
        <v>45631</v>
      </c>
      <c r="B214">
        <v>17</v>
      </c>
      <c r="C214" t="s">
        <v>80</v>
      </c>
      <c r="D214">
        <v>3</v>
      </c>
      <c r="E214">
        <v>100</v>
      </c>
      <c r="F214" t="s">
        <v>1</v>
      </c>
      <c r="G214" s="6">
        <v>45672</v>
      </c>
      <c r="H214">
        <v>41</v>
      </c>
      <c r="I214">
        <f>ROUND(CompilDonnées[[#This Row],[CultureDuration_days]]/7,0)</f>
        <v>6</v>
      </c>
      <c r="J214">
        <v>2526</v>
      </c>
      <c r="K214" t="str">
        <f>_xlfn.CONCAT(WEEKNUM(CompilDonnées[[#This Row],[PlantationDate]]), " ", YEAR(CompilDonnées[[#This Row],[PlantationDate]]))</f>
        <v>49 2024</v>
      </c>
      <c r="L214" t="str">
        <f>CONCATENATE(MONTH(CompilDonnées[[#This Row],[PlantationDate]])," ", YEAR(CompilDonnées[[#This Row],[PlantationDate]]))</f>
        <v>12 2024</v>
      </c>
      <c r="M214" t="str">
        <f>CONCATENATE(MONTH(CompilDonnées[[#This Row],[HarvestingDate]])," ", YEAR(CompilDonnées[[#This Row],[HarvestingDate]]))</f>
        <v>1 2025</v>
      </c>
      <c r="N214">
        <f>_xlfn.NUMBERVALUE(CompilDonnées[[#This Row],[FarmID]]&amp;CompilDonnées[[#This Row],[ModuleNumber]]&amp;CompilDonnées[[#This Row],[PlantationDate]])</f>
        <v>17345631</v>
      </c>
      <c r="O214" t="str">
        <f>CompilDonnées[[#This Row],[FarmID]]&amp;CompilDonnées[[#This Row],[ModuleNumber]]</f>
        <v>173</v>
      </c>
      <c r="P214" t="str">
        <f>CompilDonnées[[#This Row],[Ref_Module]]&amp;CompilDonnées[[#This Row],[HarvestingDate]]</f>
        <v>17345672</v>
      </c>
    </row>
    <row r="215" spans="1:16">
      <c r="A215" s="5">
        <v>45631</v>
      </c>
      <c r="B215">
        <v>24</v>
      </c>
      <c r="C215" t="s">
        <v>31</v>
      </c>
      <c r="D215">
        <v>5</v>
      </c>
      <c r="E215">
        <v>100</v>
      </c>
      <c r="F215" t="s">
        <v>1</v>
      </c>
      <c r="G215" s="6">
        <v>45667</v>
      </c>
      <c r="H215">
        <v>36</v>
      </c>
      <c r="I215">
        <f>ROUND(CompilDonnées[[#This Row],[CultureDuration_days]]/7,0)</f>
        <v>5</v>
      </c>
      <c r="J215">
        <v>2954</v>
      </c>
      <c r="K215" t="str">
        <f>_xlfn.CONCAT(WEEKNUM(CompilDonnées[[#This Row],[PlantationDate]]), " ", YEAR(CompilDonnées[[#This Row],[PlantationDate]]))</f>
        <v>49 2024</v>
      </c>
      <c r="L215" t="str">
        <f>CONCATENATE(MONTH(CompilDonnées[[#This Row],[PlantationDate]])," ", YEAR(CompilDonnées[[#This Row],[PlantationDate]]))</f>
        <v>12 2024</v>
      </c>
      <c r="M215" t="str">
        <f>CONCATENATE(MONTH(CompilDonnées[[#This Row],[HarvestingDate]])," ", YEAR(CompilDonnées[[#This Row],[HarvestingDate]]))</f>
        <v>1 2025</v>
      </c>
      <c r="N215">
        <f>_xlfn.NUMBERVALUE(CompilDonnées[[#This Row],[FarmID]]&amp;CompilDonnées[[#This Row],[ModuleNumber]]&amp;CompilDonnées[[#This Row],[PlantationDate]])</f>
        <v>24545631</v>
      </c>
      <c r="O215" t="str">
        <f>CompilDonnées[[#This Row],[FarmID]]&amp;CompilDonnées[[#This Row],[ModuleNumber]]</f>
        <v>245</v>
      </c>
      <c r="P215" t="str">
        <f>CompilDonnées[[#This Row],[Ref_Module]]&amp;CompilDonnées[[#This Row],[HarvestingDate]]</f>
        <v>24545667</v>
      </c>
    </row>
    <row r="216" spans="1:16">
      <c r="A216" s="5">
        <v>45631</v>
      </c>
      <c r="B216">
        <v>23</v>
      </c>
      <c r="C216" t="s">
        <v>44</v>
      </c>
      <c r="D216">
        <v>6</v>
      </c>
      <c r="E216">
        <v>100</v>
      </c>
      <c r="F216" t="s">
        <v>1</v>
      </c>
      <c r="G216" s="6">
        <v>45667</v>
      </c>
      <c r="H216">
        <v>36</v>
      </c>
      <c r="I216">
        <f>ROUND(CompilDonnées[[#This Row],[CultureDuration_days]]/7,0)</f>
        <v>5</v>
      </c>
      <c r="J216">
        <v>3268</v>
      </c>
      <c r="K216" t="str">
        <f>_xlfn.CONCAT(WEEKNUM(CompilDonnées[[#This Row],[PlantationDate]]), " ", YEAR(CompilDonnées[[#This Row],[PlantationDate]]))</f>
        <v>49 2024</v>
      </c>
      <c r="L216" t="str">
        <f>CONCATENATE(MONTH(CompilDonnées[[#This Row],[PlantationDate]])," ", YEAR(CompilDonnées[[#This Row],[PlantationDate]]))</f>
        <v>12 2024</v>
      </c>
      <c r="M216" t="str">
        <f>CONCATENATE(MONTH(CompilDonnées[[#This Row],[HarvestingDate]])," ", YEAR(CompilDonnées[[#This Row],[HarvestingDate]]))</f>
        <v>1 2025</v>
      </c>
      <c r="N216">
        <f>_xlfn.NUMBERVALUE(CompilDonnées[[#This Row],[FarmID]]&amp;CompilDonnées[[#This Row],[ModuleNumber]]&amp;CompilDonnées[[#This Row],[PlantationDate]])</f>
        <v>23645631</v>
      </c>
      <c r="O216" t="str">
        <f>CompilDonnées[[#This Row],[FarmID]]&amp;CompilDonnées[[#This Row],[ModuleNumber]]</f>
        <v>236</v>
      </c>
      <c r="P216" t="str">
        <f>CompilDonnées[[#This Row],[Ref_Module]]&amp;CompilDonnées[[#This Row],[HarvestingDate]]</f>
        <v>23645667</v>
      </c>
    </row>
    <row r="217" spans="1:16">
      <c r="A217" s="5">
        <v>45631</v>
      </c>
      <c r="B217">
        <v>31</v>
      </c>
      <c r="C217" t="s">
        <v>62</v>
      </c>
      <c r="D217">
        <v>2</v>
      </c>
      <c r="E217">
        <v>100</v>
      </c>
      <c r="F217" t="s">
        <v>1</v>
      </c>
      <c r="G217" s="6">
        <v>45671</v>
      </c>
      <c r="H217">
        <v>40</v>
      </c>
      <c r="I217">
        <f>ROUND(CompilDonnées[[#This Row],[CultureDuration_days]]/7,0)</f>
        <v>6</v>
      </c>
      <c r="J217">
        <v>2052</v>
      </c>
      <c r="K217" t="str">
        <f>_xlfn.CONCAT(WEEKNUM(CompilDonnées[[#This Row],[PlantationDate]]), " ", YEAR(CompilDonnées[[#This Row],[PlantationDate]]))</f>
        <v>49 2024</v>
      </c>
      <c r="L217" t="str">
        <f>CONCATENATE(MONTH(CompilDonnées[[#This Row],[PlantationDate]])," ", YEAR(CompilDonnées[[#This Row],[PlantationDate]]))</f>
        <v>12 2024</v>
      </c>
      <c r="M217" t="str">
        <f>CONCATENATE(MONTH(CompilDonnées[[#This Row],[HarvestingDate]])," ", YEAR(CompilDonnées[[#This Row],[HarvestingDate]]))</f>
        <v>1 2025</v>
      </c>
      <c r="N217">
        <f>_xlfn.NUMBERVALUE(CompilDonnées[[#This Row],[FarmID]]&amp;CompilDonnées[[#This Row],[ModuleNumber]]&amp;CompilDonnées[[#This Row],[PlantationDate]])</f>
        <v>31245631</v>
      </c>
      <c r="O217" t="str">
        <f>CompilDonnées[[#This Row],[FarmID]]&amp;CompilDonnées[[#This Row],[ModuleNumber]]</f>
        <v>312</v>
      </c>
      <c r="P217" t="str">
        <f>CompilDonnées[[#This Row],[Ref_Module]]&amp;CompilDonnées[[#This Row],[HarvestingDate]]</f>
        <v>31245671</v>
      </c>
    </row>
    <row r="218" spans="1:16">
      <c r="A218" s="5">
        <v>45631</v>
      </c>
      <c r="B218">
        <v>30</v>
      </c>
      <c r="C218" t="s">
        <v>4</v>
      </c>
      <c r="D218">
        <v>5</v>
      </c>
      <c r="E218">
        <v>100</v>
      </c>
      <c r="F218" t="s">
        <v>1</v>
      </c>
      <c r="G218" s="6">
        <v>45672</v>
      </c>
      <c r="H218">
        <v>41</v>
      </c>
      <c r="I218">
        <f>ROUND(CompilDonnées[[#This Row],[CultureDuration_days]]/7,0)</f>
        <v>6</v>
      </c>
      <c r="J218">
        <v>2004</v>
      </c>
      <c r="K218" t="str">
        <f>_xlfn.CONCAT(WEEKNUM(CompilDonnées[[#This Row],[PlantationDate]]), " ", YEAR(CompilDonnées[[#This Row],[PlantationDate]]))</f>
        <v>49 2024</v>
      </c>
      <c r="L218" t="str">
        <f>CONCATENATE(MONTH(CompilDonnées[[#This Row],[PlantationDate]])," ", YEAR(CompilDonnées[[#This Row],[PlantationDate]]))</f>
        <v>12 2024</v>
      </c>
      <c r="M218" t="str">
        <f>CONCATENATE(MONTH(CompilDonnées[[#This Row],[HarvestingDate]])," ", YEAR(CompilDonnées[[#This Row],[HarvestingDate]]))</f>
        <v>1 2025</v>
      </c>
      <c r="N218">
        <f>_xlfn.NUMBERVALUE(CompilDonnées[[#This Row],[FarmID]]&amp;CompilDonnées[[#This Row],[ModuleNumber]]&amp;CompilDonnées[[#This Row],[PlantationDate]])</f>
        <v>30545631</v>
      </c>
      <c r="O218" t="str">
        <f>CompilDonnées[[#This Row],[FarmID]]&amp;CompilDonnées[[#This Row],[ModuleNumber]]</f>
        <v>305</v>
      </c>
      <c r="P218" t="str">
        <f>CompilDonnées[[#This Row],[Ref_Module]]&amp;CompilDonnées[[#This Row],[HarvestingDate]]</f>
        <v>30545672</v>
      </c>
    </row>
    <row r="219" spans="1:16">
      <c r="A219" s="5">
        <v>45631</v>
      </c>
      <c r="B219">
        <v>29</v>
      </c>
      <c r="C219" t="s">
        <v>2</v>
      </c>
      <c r="D219">
        <v>5</v>
      </c>
      <c r="E219">
        <v>100</v>
      </c>
      <c r="F219" t="s">
        <v>1</v>
      </c>
      <c r="G219" s="6">
        <v>45677</v>
      </c>
      <c r="H219">
        <v>46</v>
      </c>
      <c r="I219">
        <f>ROUND(CompilDonnées[[#This Row],[CultureDuration_days]]/7,0)</f>
        <v>7</v>
      </c>
      <c r="J219">
        <v>2286</v>
      </c>
      <c r="K219" t="str">
        <f>_xlfn.CONCAT(WEEKNUM(CompilDonnées[[#This Row],[PlantationDate]]), " ", YEAR(CompilDonnées[[#This Row],[PlantationDate]]))</f>
        <v>49 2024</v>
      </c>
      <c r="L219" t="str">
        <f>CONCATENATE(MONTH(CompilDonnées[[#This Row],[PlantationDate]])," ", YEAR(CompilDonnées[[#This Row],[PlantationDate]]))</f>
        <v>12 2024</v>
      </c>
      <c r="M219" t="str">
        <f>CONCATENATE(MONTH(CompilDonnées[[#This Row],[HarvestingDate]])," ", YEAR(CompilDonnées[[#This Row],[HarvestingDate]]))</f>
        <v>1 2025</v>
      </c>
      <c r="N219">
        <f>_xlfn.NUMBERVALUE(CompilDonnées[[#This Row],[FarmID]]&amp;CompilDonnées[[#This Row],[ModuleNumber]]&amp;CompilDonnées[[#This Row],[PlantationDate]])</f>
        <v>29545631</v>
      </c>
      <c r="O219" t="str">
        <f>CompilDonnées[[#This Row],[FarmID]]&amp;CompilDonnées[[#This Row],[ModuleNumber]]</f>
        <v>295</v>
      </c>
      <c r="P219" t="str">
        <f>CompilDonnées[[#This Row],[Ref_Module]]&amp;CompilDonnées[[#This Row],[HarvestingDate]]</f>
        <v>29545677</v>
      </c>
    </row>
    <row r="220" spans="1:16">
      <c r="A220" s="5">
        <v>45631</v>
      </c>
      <c r="B220">
        <v>38</v>
      </c>
      <c r="C220" t="s">
        <v>34</v>
      </c>
      <c r="D220">
        <v>3</v>
      </c>
      <c r="E220">
        <v>100</v>
      </c>
      <c r="F220" t="s">
        <v>1</v>
      </c>
      <c r="G220" s="6">
        <v>45667</v>
      </c>
      <c r="H220">
        <v>36</v>
      </c>
      <c r="I220">
        <f>ROUND(CompilDonnées[[#This Row],[CultureDuration_days]]/7,0)</f>
        <v>5</v>
      </c>
      <c r="J220">
        <v>2973</v>
      </c>
      <c r="K220" t="str">
        <f>_xlfn.CONCAT(WEEKNUM(CompilDonnées[[#This Row],[PlantationDate]]), " ", YEAR(CompilDonnées[[#This Row],[PlantationDate]]))</f>
        <v>49 2024</v>
      </c>
      <c r="L220" t="str">
        <f>CONCATENATE(MONTH(CompilDonnées[[#This Row],[PlantationDate]])," ", YEAR(CompilDonnées[[#This Row],[PlantationDate]]))</f>
        <v>12 2024</v>
      </c>
      <c r="M220" t="str">
        <f>CONCATENATE(MONTH(CompilDonnées[[#This Row],[HarvestingDate]])," ", YEAR(CompilDonnées[[#This Row],[HarvestingDate]]))</f>
        <v>1 2025</v>
      </c>
      <c r="N220">
        <f>_xlfn.NUMBERVALUE(CompilDonnées[[#This Row],[FarmID]]&amp;CompilDonnées[[#This Row],[ModuleNumber]]&amp;CompilDonnées[[#This Row],[PlantationDate]])</f>
        <v>38345631</v>
      </c>
      <c r="O220" t="str">
        <f>CompilDonnées[[#This Row],[FarmID]]&amp;CompilDonnées[[#This Row],[ModuleNumber]]</f>
        <v>383</v>
      </c>
      <c r="P220" t="str">
        <f>CompilDonnées[[#This Row],[Ref_Module]]&amp;CompilDonnées[[#This Row],[HarvestingDate]]</f>
        <v>38345667</v>
      </c>
    </row>
    <row r="221" spans="1:16">
      <c r="A221" s="5">
        <v>45631</v>
      </c>
      <c r="B221">
        <v>37</v>
      </c>
      <c r="C221" t="s">
        <v>26</v>
      </c>
      <c r="D221">
        <v>4</v>
      </c>
      <c r="E221">
        <v>100</v>
      </c>
      <c r="F221" t="s">
        <v>1</v>
      </c>
      <c r="G221" s="6">
        <v>45677</v>
      </c>
      <c r="H221">
        <v>46</v>
      </c>
      <c r="I221">
        <f>ROUND(CompilDonnées[[#This Row],[CultureDuration_days]]/7,0)</f>
        <v>7</v>
      </c>
      <c r="J221">
        <v>2700</v>
      </c>
      <c r="K221" t="str">
        <f>_xlfn.CONCAT(WEEKNUM(CompilDonnées[[#This Row],[PlantationDate]]), " ", YEAR(CompilDonnées[[#This Row],[PlantationDate]]))</f>
        <v>49 2024</v>
      </c>
      <c r="L221" t="str">
        <f>CONCATENATE(MONTH(CompilDonnées[[#This Row],[PlantationDate]])," ", YEAR(CompilDonnées[[#This Row],[PlantationDate]]))</f>
        <v>12 2024</v>
      </c>
      <c r="M221" t="str">
        <f>CONCATENATE(MONTH(CompilDonnées[[#This Row],[HarvestingDate]])," ", YEAR(CompilDonnées[[#This Row],[HarvestingDate]]))</f>
        <v>1 2025</v>
      </c>
      <c r="N221">
        <f>_xlfn.NUMBERVALUE(CompilDonnées[[#This Row],[FarmID]]&amp;CompilDonnées[[#This Row],[ModuleNumber]]&amp;CompilDonnées[[#This Row],[PlantationDate]])</f>
        <v>37445631</v>
      </c>
      <c r="O221" t="str">
        <f>CompilDonnées[[#This Row],[FarmID]]&amp;CompilDonnées[[#This Row],[ModuleNumber]]</f>
        <v>374</v>
      </c>
      <c r="P221" t="str">
        <f>CompilDonnées[[#This Row],[Ref_Module]]&amp;CompilDonnées[[#This Row],[HarvestingDate]]</f>
        <v>37445677</v>
      </c>
    </row>
    <row r="222" spans="1:16">
      <c r="A222" s="5">
        <v>45631</v>
      </c>
      <c r="B222">
        <v>36</v>
      </c>
      <c r="C222" t="s">
        <v>63</v>
      </c>
      <c r="D222">
        <v>5</v>
      </c>
      <c r="E222">
        <v>100</v>
      </c>
      <c r="F222" t="s">
        <v>1</v>
      </c>
      <c r="G222" s="6">
        <v>45677</v>
      </c>
      <c r="H222">
        <v>46</v>
      </c>
      <c r="I222">
        <f>ROUND(CompilDonnées[[#This Row],[CultureDuration_days]]/7,0)</f>
        <v>7</v>
      </c>
      <c r="J222">
        <v>2679</v>
      </c>
      <c r="K222" t="str">
        <f>_xlfn.CONCAT(WEEKNUM(CompilDonnées[[#This Row],[PlantationDate]]), " ", YEAR(CompilDonnées[[#This Row],[PlantationDate]]))</f>
        <v>49 2024</v>
      </c>
      <c r="L222" t="str">
        <f>CONCATENATE(MONTH(CompilDonnées[[#This Row],[PlantationDate]])," ", YEAR(CompilDonnées[[#This Row],[PlantationDate]]))</f>
        <v>12 2024</v>
      </c>
      <c r="M222" t="str">
        <f>CONCATENATE(MONTH(CompilDonnées[[#This Row],[HarvestingDate]])," ", YEAR(CompilDonnées[[#This Row],[HarvestingDate]]))</f>
        <v>1 2025</v>
      </c>
      <c r="N222">
        <f>_xlfn.NUMBERVALUE(CompilDonnées[[#This Row],[FarmID]]&amp;CompilDonnées[[#This Row],[ModuleNumber]]&amp;CompilDonnées[[#This Row],[PlantationDate]])</f>
        <v>36545631</v>
      </c>
      <c r="O222" t="str">
        <f>CompilDonnées[[#This Row],[FarmID]]&amp;CompilDonnées[[#This Row],[ModuleNumber]]</f>
        <v>365</v>
      </c>
      <c r="P222" t="str">
        <f>CompilDonnées[[#This Row],[Ref_Module]]&amp;CompilDonnées[[#This Row],[HarvestingDate]]</f>
        <v>36545677</v>
      </c>
    </row>
    <row r="223" spans="1:16">
      <c r="A223" s="5">
        <v>45631</v>
      </c>
      <c r="B223">
        <v>35</v>
      </c>
      <c r="C223" t="s">
        <v>69</v>
      </c>
      <c r="D223">
        <v>5</v>
      </c>
      <c r="E223">
        <v>100</v>
      </c>
      <c r="F223" t="s">
        <v>1</v>
      </c>
      <c r="G223" s="6">
        <v>45677</v>
      </c>
      <c r="H223">
        <v>46</v>
      </c>
      <c r="I223">
        <f>ROUND(CompilDonnées[[#This Row],[CultureDuration_days]]/7,0)</f>
        <v>7</v>
      </c>
      <c r="J223">
        <v>2343</v>
      </c>
      <c r="K223" t="str">
        <f>_xlfn.CONCAT(WEEKNUM(CompilDonnées[[#This Row],[PlantationDate]]), " ", YEAR(CompilDonnées[[#This Row],[PlantationDate]]))</f>
        <v>49 2024</v>
      </c>
      <c r="L223" t="str">
        <f>CONCATENATE(MONTH(CompilDonnées[[#This Row],[PlantationDate]])," ", YEAR(CompilDonnées[[#This Row],[PlantationDate]]))</f>
        <v>12 2024</v>
      </c>
      <c r="M223" t="str">
        <f>CONCATENATE(MONTH(CompilDonnées[[#This Row],[HarvestingDate]])," ", YEAR(CompilDonnées[[#This Row],[HarvestingDate]]))</f>
        <v>1 2025</v>
      </c>
      <c r="N223">
        <f>_xlfn.NUMBERVALUE(CompilDonnées[[#This Row],[FarmID]]&amp;CompilDonnées[[#This Row],[ModuleNumber]]&amp;CompilDonnées[[#This Row],[PlantationDate]])</f>
        <v>35545631</v>
      </c>
      <c r="O223" t="str">
        <f>CompilDonnées[[#This Row],[FarmID]]&amp;CompilDonnées[[#This Row],[ModuleNumber]]</f>
        <v>355</v>
      </c>
      <c r="P223" t="str">
        <f>CompilDonnées[[#This Row],[Ref_Module]]&amp;CompilDonnées[[#This Row],[HarvestingDate]]</f>
        <v>35545677</v>
      </c>
    </row>
    <row r="224" spans="1:16">
      <c r="A224" s="5">
        <v>45631</v>
      </c>
      <c r="B224">
        <v>43</v>
      </c>
      <c r="C224" t="s">
        <v>45</v>
      </c>
      <c r="D224">
        <v>6</v>
      </c>
      <c r="E224">
        <v>100</v>
      </c>
      <c r="F224" t="s">
        <v>1</v>
      </c>
      <c r="G224" s="6">
        <v>45667</v>
      </c>
      <c r="H224">
        <v>36</v>
      </c>
      <c r="I224">
        <f>ROUND(CompilDonnées[[#This Row],[CultureDuration_days]]/7,0)</f>
        <v>5</v>
      </c>
      <c r="J224">
        <v>2679</v>
      </c>
      <c r="K224" t="str">
        <f>_xlfn.CONCAT(WEEKNUM(CompilDonnées[[#This Row],[PlantationDate]]), " ", YEAR(CompilDonnées[[#This Row],[PlantationDate]]))</f>
        <v>49 2024</v>
      </c>
      <c r="L224" t="str">
        <f>CONCATENATE(MONTH(CompilDonnées[[#This Row],[PlantationDate]])," ", YEAR(CompilDonnées[[#This Row],[PlantationDate]]))</f>
        <v>12 2024</v>
      </c>
      <c r="M224" t="str">
        <f>CONCATENATE(MONTH(CompilDonnées[[#This Row],[HarvestingDate]])," ", YEAR(CompilDonnées[[#This Row],[HarvestingDate]]))</f>
        <v>1 2025</v>
      </c>
      <c r="N224">
        <f>_xlfn.NUMBERVALUE(CompilDonnées[[#This Row],[FarmID]]&amp;CompilDonnées[[#This Row],[ModuleNumber]]&amp;CompilDonnées[[#This Row],[PlantationDate]])</f>
        <v>43645631</v>
      </c>
      <c r="O224" t="str">
        <f>CompilDonnées[[#This Row],[FarmID]]&amp;CompilDonnées[[#This Row],[ModuleNumber]]</f>
        <v>436</v>
      </c>
      <c r="P224" t="str">
        <f>CompilDonnées[[#This Row],[Ref_Module]]&amp;CompilDonnées[[#This Row],[HarvestingDate]]</f>
        <v>43645667</v>
      </c>
    </row>
    <row r="225" spans="1:16">
      <c r="A225" s="5">
        <v>45631</v>
      </c>
      <c r="B225">
        <v>42</v>
      </c>
      <c r="C225" t="s">
        <v>89</v>
      </c>
      <c r="D225">
        <v>4</v>
      </c>
      <c r="E225">
        <v>100</v>
      </c>
      <c r="F225" t="s">
        <v>1</v>
      </c>
      <c r="G225" s="6">
        <v>45671</v>
      </c>
      <c r="H225">
        <v>40</v>
      </c>
      <c r="I225">
        <f>ROUND(CompilDonnées[[#This Row],[CultureDuration_days]]/7,0)</f>
        <v>6</v>
      </c>
      <c r="J225">
        <v>1194</v>
      </c>
      <c r="K225" t="str">
        <f>_xlfn.CONCAT(WEEKNUM(CompilDonnées[[#This Row],[PlantationDate]]), " ", YEAR(CompilDonnées[[#This Row],[PlantationDate]]))</f>
        <v>49 2024</v>
      </c>
      <c r="L225" t="str">
        <f>CONCATENATE(MONTH(CompilDonnées[[#This Row],[PlantationDate]])," ", YEAR(CompilDonnées[[#This Row],[PlantationDate]]))</f>
        <v>12 2024</v>
      </c>
      <c r="M225" t="str">
        <f>CONCATENATE(MONTH(CompilDonnées[[#This Row],[HarvestingDate]])," ", YEAR(CompilDonnées[[#This Row],[HarvestingDate]]))</f>
        <v>1 2025</v>
      </c>
      <c r="N225">
        <f>_xlfn.NUMBERVALUE(CompilDonnées[[#This Row],[FarmID]]&amp;CompilDonnées[[#This Row],[ModuleNumber]]&amp;CompilDonnées[[#This Row],[PlantationDate]])</f>
        <v>42445631</v>
      </c>
      <c r="O225" t="str">
        <f>CompilDonnées[[#This Row],[FarmID]]&amp;CompilDonnées[[#This Row],[ModuleNumber]]</f>
        <v>424</v>
      </c>
      <c r="P225" t="str">
        <f>CompilDonnées[[#This Row],[Ref_Module]]&amp;CompilDonnées[[#This Row],[HarvestingDate]]</f>
        <v>42445671</v>
      </c>
    </row>
    <row r="226" spans="1:16">
      <c r="A226" s="5">
        <v>45631</v>
      </c>
      <c r="B226">
        <v>41</v>
      </c>
      <c r="C226" t="s">
        <v>70</v>
      </c>
      <c r="D226">
        <v>4</v>
      </c>
      <c r="E226">
        <v>100</v>
      </c>
      <c r="F226" t="s">
        <v>1</v>
      </c>
      <c r="G226" s="6">
        <v>45671</v>
      </c>
      <c r="H226">
        <v>40</v>
      </c>
      <c r="I226">
        <f>ROUND(CompilDonnées[[#This Row],[CultureDuration_days]]/7,0)</f>
        <v>6</v>
      </c>
      <c r="J226">
        <v>1075</v>
      </c>
      <c r="K226" t="str">
        <f>_xlfn.CONCAT(WEEKNUM(CompilDonnées[[#This Row],[PlantationDate]]), " ", YEAR(CompilDonnées[[#This Row],[PlantationDate]]))</f>
        <v>49 2024</v>
      </c>
      <c r="L226" t="str">
        <f>CONCATENATE(MONTH(CompilDonnées[[#This Row],[PlantationDate]])," ", YEAR(CompilDonnées[[#This Row],[PlantationDate]]))</f>
        <v>12 2024</v>
      </c>
      <c r="M226" t="str">
        <f>CONCATENATE(MONTH(CompilDonnées[[#This Row],[HarvestingDate]])," ", YEAR(CompilDonnées[[#This Row],[HarvestingDate]]))</f>
        <v>1 2025</v>
      </c>
      <c r="N226">
        <f>_xlfn.NUMBERVALUE(CompilDonnées[[#This Row],[FarmID]]&amp;CompilDonnées[[#This Row],[ModuleNumber]]&amp;CompilDonnées[[#This Row],[PlantationDate]])</f>
        <v>41445631</v>
      </c>
      <c r="O226" t="str">
        <f>CompilDonnées[[#This Row],[FarmID]]&amp;CompilDonnées[[#This Row],[ModuleNumber]]</f>
        <v>414</v>
      </c>
      <c r="P226" t="str">
        <f>CompilDonnées[[#This Row],[Ref_Module]]&amp;CompilDonnées[[#This Row],[HarvestingDate]]</f>
        <v>41445671</v>
      </c>
    </row>
    <row r="227" spans="1:16">
      <c r="A227" s="5">
        <v>45631</v>
      </c>
      <c r="B227">
        <v>105</v>
      </c>
      <c r="C227" t="s">
        <v>3</v>
      </c>
      <c r="D227">
        <v>1</v>
      </c>
      <c r="E227">
        <v>68</v>
      </c>
      <c r="F227" t="s">
        <v>1</v>
      </c>
      <c r="G227" s="6">
        <v>45678</v>
      </c>
      <c r="H227">
        <v>47</v>
      </c>
      <c r="I227">
        <f>ROUND(CompilDonnées[[#This Row],[CultureDuration_days]]/7,0)</f>
        <v>7</v>
      </c>
      <c r="J227">
        <v>1244</v>
      </c>
      <c r="K227" t="str">
        <f>_xlfn.CONCAT(WEEKNUM(CompilDonnées[[#This Row],[PlantationDate]]), " ", YEAR(CompilDonnées[[#This Row],[PlantationDate]]))</f>
        <v>49 2024</v>
      </c>
      <c r="L227" t="str">
        <f>CONCATENATE(MONTH(CompilDonnées[[#This Row],[PlantationDate]])," ", YEAR(CompilDonnées[[#This Row],[PlantationDate]]))</f>
        <v>12 2024</v>
      </c>
      <c r="M227" t="str">
        <f>CONCATENATE(MONTH(CompilDonnées[[#This Row],[HarvestingDate]])," ", YEAR(CompilDonnées[[#This Row],[HarvestingDate]]))</f>
        <v>1 2025</v>
      </c>
      <c r="N227">
        <f>_xlfn.NUMBERVALUE(CompilDonnées[[#This Row],[FarmID]]&amp;CompilDonnées[[#This Row],[ModuleNumber]]&amp;CompilDonnées[[#This Row],[PlantationDate]])</f>
        <v>105145631</v>
      </c>
      <c r="O227" t="str">
        <f>CompilDonnées[[#This Row],[FarmID]]&amp;CompilDonnées[[#This Row],[ModuleNumber]]</f>
        <v>1051</v>
      </c>
      <c r="P227" t="str">
        <f>CompilDonnées[[#This Row],[Ref_Module]]&amp;CompilDonnées[[#This Row],[HarvestingDate]]</f>
        <v>105145678</v>
      </c>
    </row>
    <row r="228" spans="1:16">
      <c r="A228" s="5">
        <v>45631</v>
      </c>
      <c r="B228">
        <v>105</v>
      </c>
      <c r="C228" t="s">
        <v>3</v>
      </c>
      <c r="D228">
        <v>2</v>
      </c>
      <c r="E228">
        <v>68</v>
      </c>
      <c r="F228" t="s">
        <v>1</v>
      </c>
      <c r="G228" s="6">
        <v>45678</v>
      </c>
      <c r="H228">
        <v>47</v>
      </c>
      <c r="I228">
        <f>ROUND(CompilDonnées[[#This Row],[CultureDuration_days]]/7,0)</f>
        <v>7</v>
      </c>
      <c r="J228">
        <v>960</v>
      </c>
      <c r="K228" t="str">
        <f>_xlfn.CONCAT(WEEKNUM(CompilDonnées[[#This Row],[PlantationDate]]), " ", YEAR(CompilDonnées[[#This Row],[PlantationDate]]))</f>
        <v>49 2024</v>
      </c>
      <c r="L228" t="str">
        <f>CONCATENATE(MONTH(CompilDonnées[[#This Row],[PlantationDate]])," ", YEAR(CompilDonnées[[#This Row],[PlantationDate]]))</f>
        <v>12 2024</v>
      </c>
      <c r="M228" t="str">
        <f>CONCATENATE(MONTH(CompilDonnées[[#This Row],[HarvestingDate]])," ", YEAR(CompilDonnées[[#This Row],[HarvestingDate]]))</f>
        <v>1 2025</v>
      </c>
      <c r="N228">
        <f>_xlfn.NUMBERVALUE(CompilDonnées[[#This Row],[FarmID]]&amp;CompilDonnées[[#This Row],[ModuleNumber]]&amp;CompilDonnées[[#This Row],[PlantationDate]])</f>
        <v>105245631</v>
      </c>
      <c r="O228" t="str">
        <f>CompilDonnées[[#This Row],[FarmID]]&amp;CompilDonnées[[#This Row],[ModuleNumber]]</f>
        <v>1052</v>
      </c>
      <c r="P228" t="str">
        <f>CompilDonnées[[#This Row],[Ref_Module]]&amp;CompilDonnées[[#This Row],[HarvestingDate]]</f>
        <v>105245678</v>
      </c>
    </row>
    <row r="229" spans="1:16">
      <c r="A229" s="5">
        <v>45631</v>
      </c>
      <c r="B229">
        <v>105</v>
      </c>
      <c r="C229" t="s">
        <v>3</v>
      </c>
      <c r="D229">
        <v>3</v>
      </c>
      <c r="E229">
        <v>68</v>
      </c>
      <c r="F229" t="s">
        <v>1</v>
      </c>
      <c r="G229" s="6">
        <v>45678</v>
      </c>
      <c r="H229">
        <v>47</v>
      </c>
      <c r="I229">
        <f>ROUND(CompilDonnées[[#This Row],[CultureDuration_days]]/7,0)</f>
        <v>7</v>
      </c>
      <c r="J229">
        <v>1416</v>
      </c>
      <c r="K229" t="str">
        <f>_xlfn.CONCAT(WEEKNUM(CompilDonnées[[#This Row],[PlantationDate]]), " ", YEAR(CompilDonnées[[#This Row],[PlantationDate]]))</f>
        <v>49 2024</v>
      </c>
      <c r="L229" t="str">
        <f>CONCATENATE(MONTH(CompilDonnées[[#This Row],[PlantationDate]])," ", YEAR(CompilDonnées[[#This Row],[PlantationDate]]))</f>
        <v>12 2024</v>
      </c>
      <c r="M229" t="str">
        <f>CONCATENATE(MONTH(CompilDonnées[[#This Row],[HarvestingDate]])," ", YEAR(CompilDonnées[[#This Row],[HarvestingDate]]))</f>
        <v>1 2025</v>
      </c>
      <c r="N229">
        <f>_xlfn.NUMBERVALUE(CompilDonnées[[#This Row],[FarmID]]&amp;CompilDonnées[[#This Row],[ModuleNumber]]&amp;CompilDonnées[[#This Row],[PlantationDate]])</f>
        <v>105345631</v>
      </c>
      <c r="O229" t="str">
        <f>CompilDonnées[[#This Row],[FarmID]]&amp;CompilDonnées[[#This Row],[ModuleNumber]]</f>
        <v>1053</v>
      </c>
      <c r="P229" t="str">
        <f>CompilDonnées[[#This Row],[Ref_Module]]&amp;CompilDonnées[[#This Row],[HarvestingDate]]</f>
        <v>105345678</v>
      </c>
    </row>
    <row r="230" spans="1:16">
      <c r="A230" s="5">
        <v>45631</v>
      </c>
      <c r="B230">
        <v>16</v>
      </c>
      <c r="C230" t="s">
        <v>112</v>
      </c>
      <c r="D230">
        <v>4</v>
      </c>
      <c r="E230">
        <v>100</v>
      </c>
      <c r="F230" t="s">
        <v>1</v>
      </c>
      <c r="G230" s="6">
        <v>45677</v>
      </c>
      <c r="H230">
        <v>46</v>
      </c>
      <c r="I230">
        <f>ROUND(CompilDonnées[[#This Row],[CultureDuration_days]]/7,0)</f>
        <v>7</v>
      </c>
      <c r="J230">
        <v>2126</v>
      </c>
      <c r="K230" t="str">
        <f>_xlfn.CONCAT(WEEKNUM(CompilDonnées[[#This Row],[PlantationDate]]), " ", YEAR(CompilDonnées[[#This Row],[PlantationDate]]))</f>
        <v>49 2024</v>
      </c>
      <c r="L230" t="str">
        <f>CONCATENATE(MONTH(CompilDonnées[[#This Row],[PlantationDate]])," ", YEAR(CompilDonnées[[#This Row],[PlantationDate]]))</f>
        <v>12 2024</v>
      </c>
      <c r="M230" t="str">
        <f>CONCATENATE(MONTH(CompilDonnées[[#This Row],[HarvestingDate]])," ", YEAR(CompilDonnées[[#This Row],[HarvestingDate]]))</f>
        <v>1 2025</v>
      </c>
      <c r="N230">
        <f>_xlfn.NUMBERVALUE(CompilDonnées[[#This Row],[FarmID]]&amp;CompilDonnées[[#This Row],[ModuleNumber]]&amp;CompilDonnées[[#This Row],[PlantationDate]])</f>
        <v>16445631</v>
      </c>
      <c r="O230" t="str">
        <f>CompilDonnées[[#This Row],[FarmID]]&amp;CompilDonnées[[#This Row],[ModuleNumber]]</f>
        <v>164</v>
      </c>
      <c r="P230" t="str">
        <f>CompilDonnées[[#This Row],[Ref_Module]]&amp;CompilDonnées[[#This Row],[HarvestingDate]]</f>
        <v>16445677</v>
      </c>
    </row>
    <row r="231" spans="1:16">
      <c r="A231" s="5">
        <v>45636</v>
      </c>
      <c r="B231">
        <v>6</v>
      </c>
      <c r="C231" t="s">
        <v>24</v>
      </c>
      <c r="D231">
        <v>5</v>
      </c>
      <c r="E231">
        <v>100</v>
      </c>
      <c r="F231" t="s">
        <v>1</v>
      </c>
      <c r="G231" s="6">
        <v>45677</v>
      </c>
      <c r="H231">
        <v>41</v>
      </c>
      <c r="I231">
        <f>ROUND(CompilDonnées[[#This Row],[CultureDuration_days]]/7,0)</f>
        <v>6</v>
      </c>
      <c r="J231">
        <v>2852</v>
      </c>
      <c r="K231" t="str">
        <f>_xlfn.CONCAT(WEEKNUM(CompilDonnées[[#This Row],[PlantationDate]]), " ", YEAR(CompilDonnées[[#This Row],[PlantationDate]]))</f>
        <v>50 2024</v>
      </c>
      <c r="L231" t="str">
        <f>CONCATENATE(MONTH(CompilDonnées[[#This Row],[PlantationDate]])," ", YEAR(CompilDonnées[[#This Row],[PlantationDate]]))</f>
        <v>12 2024</v>
      </c>
      <c r="M231" t="str">
        <f>CONCATENATE(MONTH(CompilDonnées[[#This Row],[HarvestingDate]])," ", YEAR(CompilDonnées[[#This Row],[HarvestingDate]]))</f>
        <v>1 2025</v>
      </c>
      <c r="N231">
        <f>_xlfn.NUMBERVALUE(CompilDonnées[[#This Row],[FarmID]]&amp;CompilDonnées[[#This Row],[ModuleNumber]]&amp;CompilDonnées[[#This Row],[PlantationDate]])</f>
        <v>6545636</v>
      </c>
      <c r="O231" t="str">
        <f>CompilDonnées[[#This Row],[FarmID]]&amp;CompilDonnées[[#This Row],[ModuleNumber]]</f>
        <v>65</v>
      </c>
      <c r="P231" t="str">
        <f>CompilDonnées[[#This Row],[Ref_Module]]&amp;CompilDonnées[[#This Row],[HarvestingDate]]</f>
        <v>6545677</v>
      </c>
    </row>
    <row r="232" spans="1:16">
      <c r="A232" s="5">
        <v>45636</v>
      </c>
      <c r="B232">
        <v>5</v>
      </c>
      <c r="C232" t="s">
        <v>32</v>
      </c>
      <c r="D232">
        <v>5</v>
      </c>
      <c r="E232">
        <v>100</v>
      </c>
      <c r="F232" t="s">
        <v>1</v>
      </c>
      <c r="G232" s="6">
        <v>45677</v>
      </c>
      <c r="H232">
        <v>41</v>
      </c>
      <c r="I232">
        <f>ROUND(CompilDonnées[[#This Row],[CultureDuration_days]]/7,0)</f>
        <v>6</v>
      </c>
      <c r="J232">
        <v>2597</v>
      </c>
      <c r="K232" t="str">
        <f>_xlfn.CONCAT(WEEKNUM(CompilDonnées[[#This Row],[PlantationDate]]), " ", YEAR(CompilDonnées[[#This Row],[PlantationDate]]))</f>
        <v>50 2024</v>
      </c>
      <c r="L232" t="str">
        <f>CONCATENATE(MONTH(CompilDonnées[[#This Row],[PlantationDate]])," ", YEAR(CompilDonnées[[#This Row],[PlantationDate]]))</f>
        <v>12 2024</v>
      </c>
      <c r="M232" t="str">
        <f>CONCATENATE(MONTH(CompilDonnées[[#This Row],[HarvestingDate]])," ", YEAR(CompilDonnées[[#This Row],[HarvestingDate]]))</f>
        <v>1 2025</v>
      </c>
      <c r="N232">
        <f>_xlfn.NUMBERVALUE(CompilDonnées[[#This Row],[FarmID]]&amp;CompilDonnées[[#This Row],[ModuleNumber]]&amp;CompilDonnées[[#This Row],[PlantationDate]])</f>
        <v>5545636</v>
      </c>
      <c r="O232" t="str">
        <f>CompilDonnées[[#This Row],[FarmID]]&amp;CompilDonnées[[#This Row],[ModuleNumber]]</f>
        <v>55</v>
      </c>
      <c r="P232" t="str">
        <f>CompilDonnées[[#This Row],[Ref_Module]]&amp;CompilDonnées[[#This Row],[HarvestingDate]]</f>
        <v>5545677</v>
      </c>
    </row>
    <row r="233" spans="1:16">
      <c r="A233" s="5">
        <v>45636</v>
      </c>
      <c r="B233">
        <v>3</v>
      </c>
      <c r="C233" t="s">
        <v>116</v>
      </c>
      <c r="D233">
        <v>6</v>
      </c>
      <c r="E233">
        <v>100</v>
      </c>
      <c r="F233" t="s">
        <v>1</v>
      </c>
      <c r="G233" s="6">
        <v>45677</v>
      </c>
      <c r="H233">
        <v>41</v>
      </c>
      <c r="I233">
        <f>ROUND(CompilDonnées[[#This Row],[CultureDuration_days]]/7,0)</f>
        <v>6</v>
      </c>
      <c r="J233">
        <v>2018</v>
      </c>
      <c r="K233" t="str">
        <f>_xlfn.CONCAT(WEEKNUM(CompilDonnées[[#This Row],[PlantationDate]]), " ", YEAR(CompilDonnées[[#This Row],[PlantationDate]]))</f>
        <v>50 2024</v>
      </c>
      <c r="L233" t="str">
        <f>CONCATENATE(MONTH(CompilDonnées[[#This Row],[PlantationDate]])," ", YEAR(CompilDonnées[[#This Row],[PlantationDate]]))</f>
        <v>12 2024</v>
      </c>
      <c r="M233" t="str">
        <f>CONCATENATE(MONTH(CompilDonnées[[#This Row],[HarvestingDate]])," ", YEAR(CompilDonnées[[#This Row],[HarvestingDate]]))</f>
        <v>1 2025</v>
      </c>
      <c r="N233">
        <f>_xlfn.NUMBERVALUE(CompilDonnées[[#This Row],[FarmID]]&amp;CompilDonnées[[#This Row],[ModuleNumber]]&amp;CompilDonnées[[#This Row],[PlantationDate]])</f>
        <v>3645636</v>
      </c>
      <c r="O233" t="str">
        <f>CompilDonnées[[#This Row],[FarmID]]&amp;CompilDonnées[[#This Row],[ModuleNumber]]</f>
        <v>36</v>
      </c>
      <c r="P233" t="str">
        <f>CompilDonnées[[#This Row],[Ref_Module]]&amp;CompilDonnées[[#This Row],[HarvestingDate]]</f>
        <v>3645677</v>
      </c>
    </row>
    <row r="234" spans="1:16">
      <c r="A234" s="5">
        <v>45636</v>
      </c>
      <c r="B234">
        <v>18</v>
      </c>
      <c r="C234" t="s">
        <v>33</v>
      </c>
      <c r="D234">
        <v>3</v>
      </c>
      <c r="E234">
        <v>100</v>
      </c>
      <c r="F234" t="s">
        <v>1</v>
      </c>
      <c r="G234" s="6">
        <v>45677</v>
      </c>
      <c r="H234">
        <v>41</v>
      </c>
      <c r="I234">
        <f>ROUND(CompilDonnées[[#This Row],[CultureDuration_days]]/7,0)</f>
        <v>6</v>
      </c>
      <c r="J234">
        <v>3100</v>
      </c>
      <c r="K234" t="str">
        <f>_xlfn.CONCAT(WEEKNUM(CompilDonnées[[#This Row],[PlantationDate]]), " ", YEAR(CompilDonnées[[#This Row],[PlantationDate]]))</f>
        <v>50 2024</v>
      </c>
      <c r="L234" t="str">
        <f>CONCATENATE(MONTH(CompilDonnées[[#This Row],[PlantationDate]])," ", YEAR(CompilDonnées[[#This Row],[PlantationDate]]))</f>
        <v>12 2024</v>
      </c>
      <c r="M234" t="str">
        <f>CONCATENATE(MONTH(CompilDonnées[[#This Row],[HarvestingDate]])," ", YEAR(CompilDonnées[[#This Row],[HarvestingDate]]))</f>
        <v>1 2025</v>
      </c>
      <c r="N234">
        <f>_xlfn.NUMBERVALUE(CompilDonnées[[#This Row],[FarmID]]&amp;CompilDonnées[[#This Row],[ModuleNumber]]&amp;CompilDonnées[[#This Row],[PlantationDate]])</f>
        <v>18345636</v>
      </c>
      <c r="O234" t="str">
        <f>CompilDonnées[[#This Row],[FarmID]]&amp;CompilDonnées[[#This Row],[ModuleNumber]]</f>
        <v>183</v>
      </c>
      <c r="P234" t="str">
        <f>CompilDonnées[[#This Row],[Ref_Module]]&amp;CompilDonnées[[#This Row],[HarvestingDate]]</f>
        <v>18345677</v>
      </c>
    </row>
    <row r="235" spans="1:16">
      <c r="A235" s="5">
        <v>45636</v>
      </c>
      <c r="B235">
        <v>17</v>
      </c>
      <c r="C235" t="s">
        <v>80</v>
      </c>
      <c r="D235">
        <v>5</v>
      </c>
      <c r="E235">
        <v>100</v>
      </c>
      <c r="F235" t="s">
        <v>1</v>
      </c>
      <c r="G235" s="6">
        <v>45677</v>
      </c>
      <c r="H235">
        <v>41</v>
      </c>
      <c r="I235">
        <f>ROUND(CompilDonnées[[#This Row],[CultureDuration_days]]/7,0)</f>
        <v>6</v>
      </c>
      <c r="J235">
        <v>2302</v>
      </c>
      <c r="K235" t="str">
        <f>_xlfn.CONCAT(WEEKNUM(CompilDonnées[[#This Row],[PlantationDate]]), " ", YEAR(CompilDonnées[[#This Row],[PlantationDate]]))</f>
        <v>50 2024</v>
      </c>
      <c r="L235" t="str">
        <f>CONCATENATE(MONTH(CompilDonnées[[#This Row],[PlantationDate]])," ", YEAR(CompilDonnées[[#This Row],[PlantationDate]]))</f>
        <v>12 2024</v>
      </c>
      <c r="M235" t="str">
        <f>CONCATENATE(MONTH(CompilDonnées[[#This Row],[HarvestingDate]])," ", YEAR(CompilDonnées[[#This Row],[HarvestingDate]]))</f>
        <v>1 2025</v>
      </c>
      <c r="N235">
        <f>_xlfn.NUMBERVALUE(CompilDonnées[[#This Row],[FarmID]]&amp;CompilDonnées[[#This Row],[ModuleNumber]]&amp;CompilDonnées[[#This Row],[PlantationDate]])</f>
        <v>17545636</v>
      </c>
      <c r="O235" t="str">
        <f>CompilDonnées[[#This Row],[FarmID]]&amp;CompilDonnées[[#This Row],[ModuleNumber]]</f>
        <v>175</v>
      </c>
      <c r="P235" t="str">
        <f>CompilDonnées[[#This Row],[Ref_Module]]&amp;CompilDonnées[[#This Row],[HarvestingDate]]</f>
        <v>17545677</v>
      </c>
    </row>
    <row r="236" spans="1:16">
      <c r="A236" s="5">
        <v>45636</v>
      </c>
      <c r="B236">
        <v>16</v>
      </c>
      <c r="C236" t="s">
        <v>112</v>
      </c>
      <c r="D236">
        <v>5</v>
      </c>
      <c r="E236">
        <v>100</v>
      </c>
      <c r="F236" t="s">
        <v>1</v>
      </c>
      <c r="G236" s="6">
        <v>45672</v>
      </c>
      <c r="H236">
        <v>36</v>
      </c>
      <c r="I236">
        <f>ROUND(CompilDonnées[[#This Row],[CultureDuration_days]]/7,0)</f>
        <v>5</v>
      </c>
      <c r="J236">
        <v>1721</v>
      </c>
      <c r="K236" t="str">
        <f>_xlfn.CONCAT(WEEKNUM(CompilDonnées[[#This Row],[PlantationDate]]), " ", YEAR(CompilDonnées[[#This Row],[PlantationDate]]))</f>
        <v>50 2024</v>
      </c>
      <c r="L236" t="str">
        <f>CONCATENATE(MONTH(CompilDonnées[[#This Row],[PlantationDate]])," ", YEAR(CompilDonnées[[#This Row],[PlantationDate]]))</f>
        <v>12 2024</v>
      </c>
      <c r="M236" t="str">
        <f>CONCATENATE(MONTH(CompilDonnées[[#This Row],[HarvestingDate]])," ", YEAR(CompilDonnées[[#This Row],[HarvestingDate]]))</f>
        <v>1 2025</v>
      </c>
      <c r="N236">
        <f>_xlfn.NUMBERVALUE(CompilDonnées[[#This Row],[FarmID]]&amp;CompilDonnées[[#This Row],[ModuleNumber]]&amp;CompilDonnées[[#This Row],[PlantationDate]])</f>
        <v>16545636</v>
      </c>
      <c r="O236" t="str">
        <f>CompilDonnées[[#This Row],[FarmID]]&amp;CompilDonnées[[#This Row],[ModuleNumber]]</f>
        <v>165</v>
      </c>
      <c r="P236" t="str">
        <f>CompilDonnées[[#This Row],[Ref_Module]]&amp;CompilDonnées[[#This Row],[HarvestingDate]]</f>
        <v>16545672</v>
      </c>
    </row>
    <row r="237" spans="1:16">
      <c r="A237" s="5">
        <v>45636</v>
      </c>
      <c r="B237">
        <v>24</v>
      </c>
      <c r="C237" t="s">
        <v>31</v>
      </c>
      <c r="D237">
        <v>6</v>
      </c>
      <c r="E237">
        <v>100</v>
      </c>
      <c r="F237" t="s">
        <v>1</v>
      </c>
      <c r="G237" s="6">
        <v>45667</v>
      </c>
      <c r="H237">
        <v>31</v>
      </c>
      <c r="I237">
        <f>ROUND(CompilDonnées[[#This Row],[CultureDuration_days]]/7,0)</f>
        <v>4</v>
      </c>
      <c r="J237">
        <v>3249</v>
      </c>
      <c r="K237" t="str">
        <f>_xlfn.CONCAT(WEEKNUM(CompilDonnées[[#This Row],[PlantationDate]]), " ", YEAR(CompilDonnées[[#This Row],[PlantationDate]]))</f>
        <v>50 2024</v>
      </c>
      <c r="L237" t="str">
        <f>CONCATENATE(MONTH(CompilDonnées[[#This Row],[PlantationDate]])," ", YEAR(CompilDonnées[[#This Row],[PlantationDate]]))</f>
        <v>12 2024</v>
      </c>
      <c r="M237" t="str">
        <f>CONCATENATE(MONTH(CompilDonnées[[#This Row],[HarvestingDate]])," ", YEAR(CompilDonnées[[#This Row],[HarvestingDate]]))</f>
        <v>1 2025</v>
      </c>
      <c r="N237">
        <f>_xlfn.NUMBERVALUE(CompilDonnées[[#This Row],[FarmID]]&amp;CompilDonnées[[#This Row],[ModuleNumber]]&amp;CompilDonnées[[#This Row],[PlantationDate]])</f>
        <v>24645636</v>
      </c>
      <c r="O237" t="str">
        <f>CompilDonnées[[#This Row],[FarmID]]&amp;CompilDonnées[[#This Row],[ModuleNumber]]</f>
        <v>246</v>
      </c>
      <c r="P237" t="str">
        <f>CompilDonnées[[#This Row],[Ref_Module]]&amp;CompilDonnées[[#This Row],[HarvestingDate]]</f>
        <v>24645667</v>
      </c>
    </row>
    <row r="238" spans="1:16">
      <c r="A238" s="5">
        <v>45636</v>
      </c>
      <c r="B238">
        <v>32</v>
      </c>
      <c r="C238" t="s">
        <v>25</v>
      </c>
      <c r="D238">
        <v>4</v>
      </c>
      <c r="E238">
        <v>100</v>
      </c>
      <c r="F238" t="s">
        <v>1</v>
      </c>
      <c r="G238" s="6">
        <v>45672</v>
      </c>
      <c r="H238">
        <v>36</v>
      </c>
      <c r="I238">
        <f>ROUND(CompilDonnées[[#This Row],[CultureDuration_days]]/7,0)</f>
        <v>5</v>
      </c>
      <c r="J238">
        <v>2215</v>
      </c>
      <c r="K238" t="str">
        <f>_xlfn.CONCAT(WEEKNUM(CompilDonnées[[#This Row],[PlantationDate]]), " ", YEAR(CompilDonnées[[#This Row],[PlantationDate]]))</f>
        <v>50 2024</v>
      </c>
      <c r="L238" t="str">
        <f>CONCATENATE(MONTH(CompilDonnées[[#This Row],[PlantationDate]])," ", YEAR(CompilDonnées[[#This Row],[PlantationDate]]))</f>
        <v>12 2024</v>
      </c>
      <c r="M238" t="str">
        <f>CONCATENATE(MONTH(CompilDonnées[[#This Row],[HarvestingDate]])," ", YEAR(CompilDonnées[[#This Row],[HarvestingDate]]))</f>
        <v>1 2025</v>
      </c>
      <c r="N238">
        <f>_xlfn.NUMBERVALUE(CompilDonnées[[#This Row],[FarmID]]&amp;CompilDonnées[[#This Row],[ModuleNumber]]&amp;CompilDonnées[[#This Row],[PlantationDate]])</f>
        <v>32445636</v>
      </c>
      <c r="O238" t="str">
        <f>CompilDonnées[[#This Row],[FarmID]]&amp;CompilDonnées[[#This Row],[ModuleNumber]]</f>
        <v>324</v>
      </c>
      <c r="P238" t="str">
        <f>CompilDonnées[[#This Row],[Ref_Module]]&amp;CompilDonnées[[#This Row],[HarvestingDate]]</f>
        <v>32445672</v>
      </c>
    </row>
    <row r="239" spans="1:16">
      <c r="A239" s="5">
        <v>45636</v>
      </c>
      <c r="B239">
        <v>31</v>
      </c>
      <c r="C239" t="s">
        <v>62</v>
      </c>
      <c r="D239">
        <v>1</v>
      </c>
      <c r="E239">
        <v>100</v>
      </c>
      <c r="F239" t="s">
        <v>1</v>
      </c>
      <c r="G239" s="6">
        <v>45677</v>
      </c>
      <c r="H239">
        <v>41</v>
      </c>
      <c r="I239">
        <f>ROUND(CompilDonnées[[#This Row],[CultureDuration_days]]/7,0)</f>
        <v>6</v>
      </c>
      <c r="J239">
        <v>2598</v>
      </c>
      <c r="K239" t="str">
        <f>_xlfn.CONCAT(WEEKNUM(CompilDonnées[[#This Row],[PlantationDate]]), " ", YEAR(CompilDonnées[[#This Row],[PlantationDate]]))</f>
        <v>50 2024</v>
      </c>
      <c r="L239" t="str">
        <f>CONCATENATE(MONTH(CompilDonnées[[#This Row],[PlantationDate]])," ", YEAR(CompilDonnées[[#This Row],[PlantationDate]]))</f>
        <v>12 2024</v>
      </c>
      <c r="M239" t="str">
        <f>CONCATENATE(MONTH(CompilDonnées[[#This Row],[HarvestingDate]])," ", YEAR(CompilDonnées[[#This Row],[HarvestingDate]]))</f>
        <v>1 2025</v>
      </c>
      <c r="N239">
        <f>_xlfn.NUMBERVALUE(CompilDonnées[[#This Row],[FarmID]]&amp;CompilDonnées[[#This Row],[ModuleNumber]]&amp;CompilDonnées[[#This Row],[PlantationDate]])</f>
        <v>31145636</v>
      </c>
      <c r="O239" t="str">
        <f>CompilDonnées[[#This Row],[FarmID]]&amp;CompilDonnées[[#This Row],[ModuleNumber]]</f>
        <v>311</v>
      </c>
      <c r="P239" t="str">
        <f>CompilDonnées[[#This Row],[Ref_Module]]&amp;CompilDonnées[[#This Row],[HarvestingDate]]</f>
        <v>31145677</v>
      </c>
    </row>
    <row r="240" spans="1:16">
      <c r="A240" s="5">
        <v>45636</v>
      </c>
      <c r="B240">
        <v>30</v>
      </c>
      <c r="C240" t="s">
        <v>4</v>
      </c>
      <c r="D240">
        <v>4</v>
      </c>
      <c r="E240">
        <v>100</v>
      </c>
      <c r="F240" t="s">
        <v>1</v>
      </c>
      <c r="G240" s="6">
        <v>45677</v>
      </c>
      <c r="H240">
        <v>41</v>
      </c>
      <c r="I240">
        <f>ROUND(CompilDonnées[[#This Row],[CultureDuration_days]]/7,0)</f>
        <v>6</v>
      </c>
      <c r="J240">
        <v>2151</v>
      </c>
      <c r="K240" t="str">
        <f>_xlfn.CONCAT(WEEKNUM(CompilDonnées[[#This Row],[PlantationDate]]), " ", YEAR(CompilDonnées[[#This Row],[PlantationDate]]))</f>
        <v>50 2024</v>
      </c>
      <c r="L240" t="str">
        <f>CONCATENATE(MONTH(CompilDonnées[[#This Row],[PlantationDate]])," ", YEAR(CompilDonnées[[#This Row],[PlantationDate]]))</f>
        <v>12 2024</v>
      </c>
      <c r="M240" t="str">
        <f>CONCATENATE(MONTH(CompilDonnées[[#This Row],[HarvestingDate]])," ", YEAR(CompilDonnées[[#This Row],[HarvestingDate]]))</f>
        <v>1 2025</v>
      </c>
      <c r="N240">
        <f>_xlfn.NUMBERVALUE(CompilDonnées[[#This Row],[FarmID]]&amp;CompilDonnées[[#This Row],[ModuleNumber]]&amp;CompilDonnées[[#This Row],[PlantationDate]])</f>
        <v>30445636</v>
      </c>
      <c r="O240" t="str">
        <f>CompilDonnées[[#This Row],[FarmID]]&amp;CompilDonnées[[#This Row],[ModuleNumber]]</f>
        <v>304</v>
      </c>
      <c r="P240" t="str">
        <f>CompilDonnées[[#This Row],[Ref_Module]]&amp;CompilDonnées[[#This Row],[HarvestingDate]]</f>
        <v>30445677</v>
      </c>
    </row>
    <row r="241" spans="1:16">
      <c r="A241" s="5">
        <v>45636</v>
      </c>
      <c r="B241">
        <v>29</v>
      </c>
      <c r="C241" t="s">
        <v>2</v>
      </c>
      <c r="D241">
        <v>4</v>
      </c>
      <c r="E241">
        <v>100</v>
      </c>
      <c r="F241" t="s">
        <v>1</v>
      </c>
      <c r="G241" s="6">
        <v>45671</v>
      </c>
      <c r="H241">
        <v>35</v>
      </c>
      <c r="I241">
        <f>ROUND(CompilDonnées[[#This Row],[CultureDuration_days]]/7,0)</f>
        <v>5</v>
      </c>
      <c r="J241">
        <v>1321</v>
      </c>
      <c r="K241" t="str">
        <f>_xlfn.CONCAT(WEEKNUM(CompilDonnées[[#This Row],[PlantationDate]]), " ", YEAR(CompilDonnées[[#This Row],[PlantationDate]]))</f>
        <v>50 2024</v>
      </c>
      <c r="L241" t="str">
        <f>CONCATENATE(MONTH(CompilDonnées[[#This Row],[PlantationDate]])," ", YEAR(CompilDonnées[[#This Row],[PlantationDate]]))</f>
        <v>12 2024</v>
      </c>
      <c r="M241" t="str">
        <f>CONCATENATE(MONTH(CompilDonnées[[#This Row],[HarvestingDate]])," ", YEAR(CompilDonnées[[#This Row],[HarvestingDate]]))</f>
        <v>1 2025</v>
      </c>
      <c r="N241">
        <f>_xlfn.NUMBERVALUE(CompilDonnées[[#This Row],[FarmID]]&amp;CompilDonnées[[#This Row],[ModuleNumber]]&amp;CompilDonnées[[#This Row],[PlantationDate]])</f>
        <v>29445636</v>
      </c>
      <c r="O241" t="str">
        <f>CompilDonnées[[#This Row],[FarmID]]&amp;CompilDonnées[[#This Row],[ModuleNumber]]</f>
        <v>294</v>
      </c>
      <c r="P241" t="str">
        <f>CompilDonnées[[#This Row],[Ref_Module]]&amp;CompilDonnées[[#This Row],[HarvestingDate]]</f>
        <v>29445671</v>
      </c>
    </row>
    <row r="242" spans="1:16">
      <c r="A242" s="5">
        <v>45636</v>
      </c>
      <c r="B242">
        <v>36</v>
      </c>
      <c r="C242" t="s">
        <v>63</v>
      </c>
      <c r="D242">
        <v>6</v>
      </c>
      <c r="E242">
        <v>100</v>
      </c>
      <c r="F242" t="s">
        <v>1</v>
      </c>
      <c r="G242" s="6">
        <v>45687</v>
      </c>
      <c r="H242">
        <v>51</v>
      </c>
      <c r="I242">
        <f>ROUND(CompilDonnées[[#This Row],[CultureDuration_days]]/7,0)</f>
        <v>7</v>
      </c>
      <c r="J242">
        <v>3834</v>
      </c>
      <c r="K242" t="str">
        <f>_xlfn.CONCAT(WEEKNUM(CompilDonnées[[#This Row],[PlantationDate]]), " ", YEAR(CompilDonnées[[#This Row],[PlantationDate]]))</f>
        <v>50 2024</v>
      </c>
      <c r="L242" t="str">
        <f>CONCATENATE(MONTH(CompilDonnées[[#This Row],[PlantationDate]])," ", YEAR(CompilDonnées[[#This Row],[PlantationDate]]))</f>
        <v>12 2024</v>
      </c>
      <c r="M242" t="str">
        <f>CONCATENATE(MONTH(CompilDonnées[[#This Row],[HarvestingDate]])," ", YEAR(CompilDonnées[[#This Row],[HarvestingDate]]))</f>
        <v>1 2025</v>
      </c>
      <c r="N242">
        <f>_xlfn.NUMBERVALUE(CompilDonnées[[#This Row],[FarmID]]&amp;CompilDonnées[[#This Row],[ModuleNumber]]&amp;CompilDonnées[[#This Row],[PlantationDate]])</f>
        <v>36645636</v>
      </c>
      <c r="O242" t="str">
        <f>CompilDonnées[[#This Row],[FarmID]]&amp;CompilDonnées[[#This Row],[ModuleNumber]]</f>
        <v>366</v>
      </c>
      <c r="P242" t="str">
        <f>CompilDonnées[[#This Row],[Ref_Module]]&amp;CompilDonnées[[#This Row],[HarvestingDate]]</f>
        <v>36645687</v>
      </c>
    </row>
    <row r="243" spans="1:16">
      <c r="A243" s="5">
        <v>45636</v>
      </c>
      <c r="B243">
        <v>35</v>
      </c>
      <c r="C243" t="s">
        <v>69</v>
      </c>
      <c r="D243">
        <v>6</v>
      </c>
      <c r="E243">
        <v>100</v>
      </c>
      <c r="F243" t="s">
        <v>1</v>
      </c>
      <c r="G243" s="6">
        <v>45671</v>
      </c>
      <c r="H243">
        <v>35</v>
      </c>
      <c r="I243">
        <f>ROUND(CompilDonnées[[#This Row],[CultureDuration_days]]/7,0)</f>
        <v>5</v>
      </c>
      <c r="J243">
        <v>1321</v>
      </c>
      <c r="K243" t="str">
        <f>_xlfn.CONCAT(WEEKNUM(CompilDonnées[[#This Row],[PlantationDate]]), " ", YEAR(CompilDonnées[[#This Row],[PlantationDate]]))</f>
        <v>50 2024</v>
      </c>
      <c r="L243" t="str">
        <f>CONCATENATE(MONTH(CompilDonnées[[#This Row],[PlantationDate]])," ", YEAR(CompilDonnées[[#This Row],[PlantationDate]]))</f>
        <v>12 2024</v>
      </c>
      <c r="M243" t="str">
        <f>CONCATENATE(MONTH(CompilDonnées[[#This Row],[HarvestingDate]])," ", YEAR(CompilDonnées[[#This Row],[HarvestingDate]]))</f>
        <v>1 2025</v>
      </c>
      <c r="N243">
        <f>_xlfn.NUMBERVALUE(CompilDonnées[[#This Row],[FarmID]]&amp;CompilDonnées[[#This Row],[ModuleNumber]]&amp;CompilDonnées[[#This Row],[PlantationDate]])</f>
        <v>35645636</v>
      </c>
      <c r="O243" t="str">
        <f>CompilDonnées[[#This Row],[FarmID]]&amp;CompilDonnées[[#This Row],[ModuleNumber]]</f>
        <v>356</v>
      </c>
      <c r="P243" t="str">
        <f>CompilDonnées[[#This Row],[Ref_Module]]&amp;CompilDonnées[[#This Row],[HarvestingDate]]</f>
        <v>35645671</v>
      </c>
    </row>
    <row r="244" spans="1:16">
      <c r="A244" s="5">
        <v>45636</v>
      </c>
      <c r="B244">
        <v>41</v>
      </c>
      <c r="C244" t="s">
        <v>70</v>
      </c>
      <c r="D244">
        <v>3</v>
      </c>
      <c r="E244">
        <v>100</v>
      </c>
      <c r="F244" t="s">
        <v>1</v>
      </c>
      <c r="G244" s="6">
        <v>45687</v>
      </c>
      <c r="H244">
        <v>51</v>
      </c>
      <c r="I244">
        <f>ROUND(CompilDonnées[[#This Row],[CultureDuration_days]]/7,0)</f>
        <v>7</v>
      </c>
      <c r="J244">
        <v>1761</v>
      </c>
      <c r="K244" t="str">
        <f>_xlfn.CONCAT(WEEKNUM(CompilDonnées[[#This Row],[PlantationDate]]), " ", YEAR(CompilDonnées[[#This Row],[PlantationDate]]))</f>
        <v>50 2024</v>
      </c>
      <c r="L244" t="str">
        <f>CONCATENATE(MONTH(CompilDonnées[[#This Row],[PlantationDate]])," ", YEAR(CompilDonnées[[#This Row],[PlantationDate]]))</f>
        <v>12 2024</v>
      </c>
      <c r="M244" t="str">
        <f>CONCATENATE(MONTH(CompilDonnées[[#This Row],[HarvestingDate]])," ", YEAR(CompilDonnées[[#This Row],[HarvestingDate]]))</f>
        <v>1 2025</v>
      </c>
      <c r="N244">
        <f>_xlfn.NUMBERVALUE(CompilDonnées[[#This Row],[FarmID]]&amp;CompilDonnées[[#This Row],[ModuleNumber]]&amp;CompilDonnées[[#This Row],[PlantationDate]])</f>
        <v>41345636</v>
      </c>
      <c r="O244" t="str">
        <f>CompilDonnées[[#This Row],[FarmID]]&amp;CompilDonnées[[#This Row],[ModuleNumber]]</f>
        <v>413</v>
      </c>
      <c r="P244" t="str">
        <f>CompilDonnées[[#This Row],[Ref_Module]]&amp;CompilDonnées[[#This Row],[HarvestingDate]]</f>
        <v>41345687</v>
      </c>
    </row>
    <row r="245" spans="1:16">
      <c r="A245" s="5">
        <v>45636</v>
      </c>
      <c r="B245">
        <v>42</v>
      </c>
      <c r="C245" t="s">
        <v>89</v>
      </c>
      <c r="D245">
        <v>1</v>
      </c>
      <c r="E245">
        <v>100</v>
      </c>
      <c r="F245" t="s">
        <v>1</v>
      </c>
      <c r="G245" s="6">
        <v>45687</v>
      </c>
      <c r="H245">
        <v>51</v>
      </c>
      <c r="I245">
        <f>ROUND(CompilDonnées[[#This Row],[CultureDuration_days]]/7,0)</f>
        <v>7</v>
      </c>
      <c r="J245">
        <v>2090</v>
      </c>
      <c r="K245" t="str">
        <f>_xlfn.CONCAT(WEEKNUM(CompilDonnées[[#This Row],[PlantationDate]]), " ", YEAR(CompilDonnées[[#This Row],[PlantationDate]]))</f>
        <v>50 2024</v>
      </c>
      <c r="L245" t="str">
        <f>CONCATENATE(MONTH(CompilDonnées[[#This Row],[PlantationDate]])," ", YEAR(CompilDonnées[[#This Row],[PlantationDate]]))</f>
        <v>12 2024</v>
      </c>
      <c r="M245" t="str">
        <f>CONCATENATE(MONTH(CompilDonnées[[#This Row],[HarvestingDate]])," ", YEAR(CompilDonnées[[#This Row],[HarvestingDate]]))</f>
        <v>1 2025</v>
      </c>
      <c r="N245">
        <f>_xlfn.NUMBERVALUE(CompilDonnées[[#This Row],[FarmID]]&amp;CompilDonnées[[#This Row],[ModuleNumber]]&amp;CompilDonnées[[#This Row],[PlantationDate]])</f>
        <v>42145636</v>
      </c>
      <c r="O245" t="str">
        <f>CompilDonnées[[#This Row],[FarmID]]&amp;CompilDonnées[[#This Row],[ModuleNumber]]</f>
        <v>421</v>
      </c>
      <c r="P245" t="str">
        <f>CompilDonnées[[#This Row],[Ref_Module]]&amp;CompilDonnées[[#This Row],[HarvestingDate]]</f>
        <v>42145687</v>
      </c>
    </row>
    <row r="246" spans="1:16">
      <c r="A246" s="5">
        <v>45636</v>
      </c>
      <c r="B246">
        <v>42</v>
      </c>
      <c r="C246" t="s">
        <v>89</v>
      </c>
      <c r="D246">
        <v>2</v>
      </c>
      <c r="E246">
        <v>100</v>
      </c>
      <c r="F246" t="s">
        <v>1</v>
      </c>
      <c r="G246" s="6">
        <v>45687</v>
      </c>
      <c r="H246">
        <v>51</v>
      </c>
      <c r="I246">
        <f>ROUND(CompilDonnées[[#This Row],[CultureDuration_days]]/7,0)</f>
        <v>7</v>
      </c>
      <c r="J246">
        <v>1953</v>
      </c>
      <c r="K246" t="str">
        <f>_xlfn.CONCAT(WEEKNUM(CompilDonnées[[#This Row],[PlantationDate]]), " ", YEAR(CompilDonnées[[#This Row],[PlantationDate]]))</f>
        <v>50 2024</v>
      </c>
      <c r="L246" t="str">
        <f>CONCATENATE(MONTH(CompilDonnées[[#This Row],[PlantationDate]])," ", YEAR(CompilDonnées[[#This Row],[PlantationDate]]))</f>
        <v>12 2024</v>
      </c>
      <c r="M246" t="str">
        <f>CONCATENATE(MONTH(CompilDonnées[[#This Row],[HarvestingDate]])," ", YEAR(CompilDonnées[[#This Row],[HarvestingDate]]))</f>
        <v>1 2025</v>
      </c>
      <c r="N246">
        <f>_xlfn.NUMBERVALUE(CompilDonnées[[#This Row],[FarmID]]&amp;CompilDonnées[[#This Row],[ModuleNumber]]&amp;CompilDonnées[[#This Row],[PlantationDate]])</f>
        <v>42245636</v>
      </c>
      <c r="O246" t="str">
        <f>CompilDonnées[[#This Row],[FarmID]]&amp;CompilDonnées[[#This Row],[ModuleNumber]]</f>
        <v>422</v>
      </c>
      <c r="P246" t="str">
        <f>CompilDonnées[[#This Row],[Ref_Module]]&amp;CompilDonnées[[#This Row],[HarvestingDate]]</f>
        <v>42245687</v>
      </c>
    </row>
    <row r="247" spans="1:16">
      <c r="A247" s="5">
        <v>45636</v>
      </c>
      <c r="B247">
        <v>4</v>
      </c>
      <c r="C247" t="s">
        <v>74</v>
      </c>
      <c r="D247">
        <v>4</v>
      </c>
      <c r="E247">
        <v>100</v>
      </c>
      <c r="F247" t="s">
        <v>1</v>
      </c>
      <c r="G247" s="6">
        <v>45672</v>
      </c>
      <c r="H247">
        <v>36</v>
      </c>
      <c r="I247">
        <f>ROUND(CompilDonnées[[#This Row],[CultureDuration_days]]/7,0)</f>
        <v>5</v>
      </c>
      <c r="J247">
        <v>1494</v>
      </c>
      <c r="K247" t="str">
        <f>_xlfn.CONCAT(WEEKNUM(CompilDonnées[[#This Row],[PlantationDate]]), " ", YEAR(CompilDonnées[[#This Row],[PlantationDate]]))</f>
        <v>50 2024</v>
      </c>
      <c r="L247" t="str">
        <f>CONCATENATE(MONTH(CompilDonnées[[#This Row],[PlantationDate]])," ", YEAR(CompilDonnées[[#This Row],[PlantationDate]]))</f>
        <v>12 2024</v>
      </c>
      <c r="M247" t="str">
        <f>CONCATENATE(MONTH(CompilDonnées[[#This Row],[HarvestingDate]])," ", YEAR(CompilDonnées[[#This Row],[HarvestingDate]]))</f>
        <v>1 2025</v>
      </c>
      <c r="N247">
        <f>_xlfn.NUMBERVALUE(CompilDonnées[[#This Row],[FarmID]]&amp;CompilDonnées[[#This Row],[ModuleNumber]]&amp;CompilDonnées[[#This Row],[PlantationDate]])</f>
        <v>4445636</v>
      </c>
      <c r="O247" t="str">
        <f>CompilDonnées[[#This Row],[FarmID]]&amp;CompilDonnées[[#This Row],[ModuleNumber]]</f>
        <v>44</v>
      </c>
      <c r="P247" t="str">
        <f>CompilDonnées[[#This Row],[Ref_Module]]&amp;CompilDonnées[[#This Row],[HarvestingDate]]</f>
        <v>4445672</v>
      </c>
    </row>
    <row r="248" spans="1:16">
      <c r="A248" s="5">
        <v>45636</v>
      </c>
      <c r="B248">
        <v>51</v>
      </c>
      <c r="C248" t="s">
        <v>27</v>
      </c>
      <c r="D248">
        <v>1</v>
      </c>
      <c r="E248">
        <v>100</v>
      </c>
      <c r="F248" t="s">
        <v>1</v>
      </c>
      <c r="G248" s="6">
        <v>45677</v>
      </c>
      <c r="H248">
        <v>41</v>
      </c>
      <c r="I248">
        <f>ROUND(CompilDonnées[[#This Row],[CultureDuration_days]]/7,0)</f>
        <v>6</v>
      </c>
      <c r="J248">
        <v>2680</v>
      </c>
      <c r="K248" t="str">
        <f>_xlfn.CONCAT(WEEKNUM(CompilDonnées[[#This Row],[PlantationDate]]), " ", YEAR(CompilDonnées[[#This Row],[PlantationDate]]))</f>
        <v>50 2024</v>
      </c>
      <c r="L248" t="str">
        <f>CONCATENATE(MONTH(CompilDonnées[[#This Row],[PlantationDate]])," ", YEAR(CompilDonnées[[#This Row],[PlantationDate]]))</f>
        <v>12 2024</v>
      </c>
      <c r="M248" t="str">
        <f>CONCATENATE(MONTH(CompilDonnées[[#This Row],[HarvestingDate]])," ", YEAR(CompilDonnées[[#This Row],[HarvestingDate]]))</f>
        <v>1 2025</v>
      </c>
      <c r="N248">
        <f>_xlfn.NUMBERVALUE(CompilDonnées[[#This Row],[FarmID]]&amp;CompilDonnées[[#This Row],[ModuleNumber]]&amp;CompilDonnées[[#This Row],[PlantationDate]])</f>
        <v>51145636</v>
      </c>
      <c r="O248" t="str">
        <f>CompilDonnées[[#This Row],[FarmID]]&amp;CompilDonnées[[#This Row],[ModuleNumber]]</f>
        <v>511</v>
      </c>
      <c r="P248" t="str">
        <f>CompilDonnées[[#This Row],[Ref_Module]]&amp;CompilDonnées[[#This Row],[HarvestingDate]]</f>
        <v>51145677</v>
      </c>
    </row>
    <row r="249" spans="1:16">
      <c r="A249" s="5">
        <v>45636</v>
      </c>
      <c r="B249">
        <v>49</v>
      </c>
      <c r="C249" t="s">
        <v>110</v>
      </c>
      <c r="D249">
        <v>1</v>
      </c>
      <c r="E249">
        <v>90</v>
      </c>
      <c r="F249" t="s">
        <v>1</v>
      </c>
      <c r="G249" s="6">
        <v>45687</v>
      </c>
      <c r="H249">
        <v>51</v>
      </c>
      <c r="I249">
        <f>ROUND(CompilDonnées[[#This Row],[CultureDuration_days]]/7,0)</f>
        <v>7</v>
      </c>
      <c r="J249">
        <v>2760</v>
      </c>
      <c r="K249" t="str">
        <f>_xlfn.CONCAT(WEEKNUM(CompilDonnées[[#This Row],[PlantationDate]]), " ", YEAR(CompilDonnées[[#This Row],[PlantationDate]]))</f>
        <v>50 2024</v>
      </c>
      <c r="L249" t="str">
        <f>CONCATENATE(MONTH(CompilDonnées[[#This Row],[PlantationDate]])," ", YEAR(CompilDonnées[[#This Row],[PlantationDate]]))</f>
        <v>12 2024</v>
      </c>
      <c r="M249" t="str">
        <f>CONCATENATE(MONTH(CompilDonnées[[#This Row],[HarvestingDate]])," ", YEAR(CompilDonnées[[#This Row],[HarvestingDate]]))</f>
        <v>1 2025</v>
      </c>
      <c r="N249">
        <f>_xlfn.NUMBERVALUE(CompilDonnées[[#This Row],[FarmID]]&amp;CompilDonnées[[#This Row],[ModuleNumber]]&amp;CompilDonnées[[#This Row],[PlantationDate]])</f>
        <v>49145636</v>
      </c>
      <c r="O249" t="str">
        <f>CompilDonnées[[#This Row],[FarmID]]&amp;CompilDonnées[[#This Row],[ModuleNumber]]</f>
        <v>491</v>
      </c>
      <c r="P249" t="str">
        <f>CompilDonnées[[#This Row],[Ref_Module]]&amp;CompilDonnées[[#This Row],[HarvestingDate]]</f>
        <v>49145687</v>
      </c>
    </row>
    <row r="250" spans="1:16">
      <c r="A250" s="5">
        <v>45636</v>
      </c>
      <c r="B250">
        <v>49</v>
      </c>
      <c r="C250" t="s">
        <v>110</v>
      </c>
      <c r="D250">
        <v>2</v>
      </c>
      <c r="E250">
        <v>100</v>
      </c>
      <c r="F250" t="s">
        <v>1</v>
      </c>
      <c r="G250" s="6">
        <v>45687</v>
      </c>
      <c r="H250">
        <v>51</v>
      </c>
      <c r="I250">
        <f>ROUND(CompilDonnées[[#This Row],[CultureDuration_days]]/7,0)</f>
        <v>7</v>
      </c>
      <c r="J250">
        <v>2708</v>
      </c>
      <c r="K250" t="str">
        <f>_xlfn.CONCAT(WEEKNUM(CompilDonnées[[#This Row],[PlantationDate]]), " ", YEAR(CompilDonnées[[#This Row],[PlantationDate]]))</f>
        <v>50 2024</v>
      </c>
      <c r="L250" t="str">
        <f>CONCATENATE(MONTH(CompilDonnées[[#This Row],[PlantationDate]])," ", YEAR(CompilDonnées[[#This Row],[PlantationDate]]))</f>
        <v>12 2024</v>
      </c>
      <c r="M250" t="str">
        <f>CONCATENATE(MONTH(CompilDonnées[[#This Row],[HarvestingDate]])," ", YEAR(CompilDonnées[[#This Row],[HarvestingDate]]))</f>
        <v>1 2025</v>
      </c>
      <c r="N250">
        <f>_xlfn.NUMBERVALUE(CompilDonnées[[#This Row],[FarmID]]&amp;CompilDonnées[[#This Row],[ModuleNumber]]&amp;CompilDonnées[[#This Row],[PlantationDate]])</f>
        <v>49245636</v>
      </c>
      <c r="O250" t="str">
        <f>CompilDonnées[[#This Row],[FarmID]]&amp;CompilDonnées[[#This Row],[ModuleNumber]]</f>
        <v>492</v>
      </c>
      <c r="P250" t="str">
        <f>CompilDonnées[[#This Row],[Ref_Module]]&amp;CompilDonnées[[#This Row],[HarvestingDate]]</f>
        <v>49245687</v>
      </c>
    </row>
    <row r="251" spans="1:16">
      <c r="A251" s="5">
        <v>45636</v>
      </c>
      <c r="B251">
        <v>48</v>
      </c>
      <c r="C251" t="s">
        <v>71</v>
      </c>
      <c r="D251">
        <v>4</v>
      </c>
      <c r="E251">
        <v>100</v>
      </c>
      <c r="F251" t="s">
        <v>1</v>
      </c>
      <c r="G251" s="6">
        <v>45687</v>
      </c>
      <c r="H251">
        <v>51</v>
      </c>
      <c r="I251">
        <f>ROUND(CompilDonnées[[#This Row],[CultureDuration_days]]/7,0)</f>
        <v>7</v>
      </c>
      <c r="J251">
        <v>2910</v>
      </c>
      <c r="K251" t="str">
        <f>_xlfn.CONCAT(WEEKNUM(CompilDonnées[[#This Row],[PlantationDate]]), " ", YEAR(CompilDonnées[[#This Row],[PlantationDate]]))</f>
        <v>50 2024</v>
      </c>
      <c r="L251" t="str">
        <f>CONCATENATE(MONTH(CompilDonnées[[#This Row],[PlantationDate]])," ", YEAR(CompilDonnées[[#This Row],[PlantationDate]]))</f>
        <v>12 2024</v>
      </c>
      <c r="M251" t="str">
        <f>CONCATENATE(MONTH(CompilDonnées[[#This Row],[HarvestingDate]])," ", YEAR(CompilDonnées[[#This Row],[HarvestingDate]]))</f>
        <v>1 2025</v>
      </c>
      <c r="N251">
        <f>_xlfn.NUMBERVALUE(CompilDonnées[[#This Row],[FarmID]]&amp;CompilDonnées[[#This Row],[ModuleNumber]]&amp;CompilDonnées[[#This Row],[PlantationDate]])</f>
        <v>48445636</v>
      </c>
      <c r="O251" t="str">
        <f>CompilDonnées[[#This Row],[FarmID]]&amp;CompilDonnées[[#This Row],[ModuleNumber]]</f>
        <v>484</v>
      </c>
      <c r="P251" t="str">
        <f>CompilDonnées[[#This Row],[Ref_Module]]&amp;CompilDonnées[[#This Row],[HarvestingDate]]</f>
        <v>48445687</v>
      </c>
    </row>
    <row r="252" spans="1:16">
      <c r="A252" s="5">
        <v>45636</v>
      </c>
      <c r="B252">
        <v>57</v>
      </c>
      <c r="C252" t="s">
        <v>46</v>
      </c>
      <c r="D252">
        <v>5</v>
      </c>
      <c r="E252">
        <v>100</v>
      </c>
      <c r="F252" t="s">
        <v>1</v>
      </c>
      <c r="G252" s="6">
        <v>45672</v>
      </c>
      <c r="H252">
        <v>36</v>
      </c>
      <c r="I252">
        <f>ROUND(CompilDonnées[[#This Row],[CultureDuration_days]]/7,0)</f>
        <v>5</v>
      </c>
      <c r="J252">
        <v>2551</v>
      </c>
      <c r="K252" t="str">
        <f>_xlfn.CONCAT(WEEKNUM(CompilDonnées[[#This Row],[PlantationDate]]), " ", YEAR(CompilDonnées[[#This Row],[PlantationDate]]))</f>
        <v>50 2024</v>
      </c>
      <c r="L252" t="str">
        <f>CONCATENATE(MONTH(CompilDonnées[[#This Row],[PlantationDate]])," ", YEAR(CompilDonnées[[#This Row],[PlantationDate]]))</f>
        <v>12 2024</v>
      </c>
      <c r="M252" t="str">
        <f>CONCATENATE(MONTH(CompilDonnées[[#This Row],[HarvestingDate]])," ", YEAR(CompilDonnées[[#This Row],[HarvestingDate]]))</f>
        <v>1 2025</v>
      </c>
      <c r="N252">
        <f>_xlfn.NUMBERVALUE(CompilDonnées[[#This Row],[FarmID]]&amp;CompilDonnées[[#This Row],[ModuleNumber]]&amp;CompilDonnées[[#This Row],[PlantationDate]])</f>
        <v>57545636</v>
      </c>
      <c r="O252" t="str">
        <f>CompilDonnées[[#This Row],[FarmID]]&amp;CompilDonnées[[#This Row],[ModuleNumber]]</f>
        <v>575</v>
      </c>
      <c r="P252" t="str">
        <f>CompilDonnées[[#This Row],[Ref_Module]]&amp;CompilDonnées[[#This Row],[HarvestingDate]]</f>
        <v>57545672</v>
      </c>
    </row>
    <row r="253" spans="1:16">
      <c r="A253" s="5">
        <v>45636</v>
      </c>
      <c r="B253">
        <v>56</v>
      </c>
      <c r="C253" t="s">
        <v>6</v>
      </c>
      <c r="D253">
        <v>3</v>
      </c>
      <c r="E253">
        <v>100</v>
      </c>
      <c r="F253" t="s">
        <v>1</v>
      </c>
      <c r="G253" s="6">
        <v>45677</v>
      </c>
      <c r="H253">
        <v>41</v>
      </c>
      <c r="I253">
        <f>ROUND(CompilDonnées[[#This Row],[CultureDuration_days]]/7,0)</f>
        <v>6</v>
      </c>
      <c r="J253">
        <v>2216</v>
      </c>
      <c r="K253" t="str">
        <f>_xlfn.CONCAT(WEEKNUM(CompilDonnées[[#This Row],[PlantationDate]]), " ", YEAR(CompilDonnées[[#This Row],[PlantationDate]]))</f>
        <v>50 2024</v>
      </c>
      <c r="L253" t="str">
        <f>CONCATENATE(MONTH(CompilDonnées[[#This Row],[PlantationDate]])," ", YEAR(CompilDonnées[[#This Row],[PlantationDate]]))</f>
        <v>12 2024</v>
      </c>
      <c r="M253" t="str">
        <f>CONCATENATE(MONTH(CompilDonnées[[#This Row],[HarvestingDate]])," ", YEAR(CompilDonnées[[#This Row],[HarvestingDate]]))</f>
        <v>1 2025</v>
      </c>
      <c r="N253">
        <f>_xlfn.NUMBERVALUE(CompilDonnées[[#This Row],[FarmID]]&amp;CompilDonnées[[#This Row],[ModuleNumber]]&amp;CompilDonnées[[#This Row],[PlantationDate]])</f>
        <v>56345636</v>
      </c>
      <c r="O253" t="str">
        <f>CompilDonnées[[#This Row],[FarmID]]&amp;CompilDonnées[[#This Row],[ModuleNumber]]</f>
        <v>563</v>
      </c>
      <c r="P253" t="str">
        <f>CompilDonnées[[#This Row],[Ref_Module]]&amp;CompilDonnées[[#This Row],[HarvestingDate]]</f>
        <v>56345677</v>
      </c>
    </row>
    <row r="254" spans="1:16">
      <c r="A254" s="5">
        <v>45636</v>
      </c>
      <c r="B254">
        <v>55</v>
      </c>
      <c r="C254" t="s">
        <v>60</v>
      </c>
      <c r="D254">
        <v>3</v>
      </c>
      <c r="E254">
        <v>100</v>
      </c>
      <c r="F254" t="s">
        <v>1</v>
      </c>
      <c r="G254" s="6">
        <v>45687</v>
      </c>
      <c r="H254">
        <v>51</v>
      </c>
      <c r="I254">
        <f>ROUND(CompilDonnées[[#This Row],[CultureDuration_days]]/7,0)</f>
        <v>7</v>
      </c>
      <c r="J254">
        <v>2643</v>
      </c>
      <c r="K254" t="str">
        <f>_xlfn.CONCAT(WEEKNUM(CompilDonnées[[#This Row],[PlantationDate]]), " ", YEAR(CompilDonnées[[#This Row],[PlantationDate]]))</f>
        <v>50 2024</v>
      </c>
      <c r="L254" t="str">
        <f>CONCATENATE(MONTH(CompilDonnées[[#This Row],[PlantationDate]])," ", YEAR(CompilDonnées[[#This Row],[PlantationDate]]))</f>
        <v>12 2024</v>
      </c>
      <c r="M254" t="str">
        <f>CONCATENATE(MONTH(CompilDonnées[[#This Row],[HarvestingDate]])," ", YEAR(CompilDonnées[[#This Row],[HarvestingDate]]))</f>
        <v>1 2025</v>
      </c>
      <c r="N254">
        <f>_xlfn.NUMBERVALUE(CompilDonnées[[#This Row],[FarmID]]&amp;CompilDonnées[[#This Row],[ModuleNumber]]&amp;CompilDonnées[[#This Row],[PlantationDate]])</f>
        <v>55345636</v>
      </c>
      <c r="O254" t="str">
        <f>CompilDonnées[[#This Row],[FarmID]]&amp;CompilDonnées[[#This Row],[ModuleNumber]]</f>
        <v>553</v>
      </c>
      <c r="P254" t="str">
        <f>CompilDonnées[[#This Row],[Ref_Module]]&amp;CompilDonnées[[#This Row],[HarvestingDate]]</f>
        <v>55345687</v>
      </c>
    </row>
    <row r="255" spans="1:16">
      <c r="A255" s="5">
        <v>45636</v>
      </c>
      <c r="B255">
        <v>66</v>
      </c>
      <c r="C255" t="s">
        <v>48</v>
      </c>
      <c r="D255">
        <v>5</v>
      </c>
      <c r="E255">
        <v>100</v>
      </c>
      <c r="F255" t="s">
        <v>1</v>
      </c>
      <c r="G255" s="6">
        <v>45678</v>
      </c>
      <c r="H255">
        <v>42</v>
      </c>
      <c r="I255">
        <f>ROUND(CompilDonnées[[#This Row],[CultureDuration_days]]/7,0)</f>
        <v>6</v>
      </c>
      <c r="J255">
        <v>3043</v>
      </c>
      <c r="K255" t="str">
        <f>_xlfn.CONCAT(WEEKNUM(CompilDonnées[[#This Row],[PlantationDate]]), " ", YEAR(CompilDonnées[[#This Row],[PlantationDate]]))</f>
        <v>50 2024</v>
      </c>
      <c r="L255" t="str">
        <f>CONCATENATE(MONTH(CompilDonnées[[#This Row],[PlantationDate]])," ", YEAR(CompilDonnées[[#This Row],[PlantationDate]]))</f>
        <v>12 2024</v>
      </c>
      <c r="M255" t="str">
        <f>CONCATENATE(MONTH(CompilDonnées[[#This Row],[HarvestingDate]])," ", YEAR(CompilDonnées[[#This Row],[HarvestingDate]]))</f>
        <v>1 2025</v>
      </c>
      <c r="N255">
        <f>_xlfn.NUMBERVALUE(CompilDonnées[[#This Row],[FarmID]]&amp;CompilDonnées[[#This Row],[ModuleNumber]]&amp;CompilDonnées[[#This Row],[PlantationDate]])</f>
        <v>66545636</v>
      </c>
      <c r="O255" t="str">
        <f>CompilDonnées[[#This Row],[FarmID]]&amp;CompilDonnées[[#This Row],[ModuleNumber]]</f>
        <v>665</v>
      </c>
      <c r="P255" t="str">
        <f>CompilDonnées[[#This Row],[Ref_Module]]&amp;CompilDonnées[[#This Row],[HarvestingDate]]</f>
        <v>66545678</v>
      </c>
    </row>
    <row r="256" spans="1:16">
      <c r="A256" s="5">
        <v>45636</v>
      </c>
      <c r="B256">
        <v>65</v>
      </c>
      <c r="C256" t="s">
        <v>36</v>
      </c>
      <c r="D256">
        <v>3</v>
      </c>
      <c r="E256">
        <v>100</v>
      </c>
      <c r="F256" t="s">
        <v>1</v>
      </c>
      <c r="G256" s="6">
        <v>45677</v>
      </c>
      <c r="H256">
        <v>41</v>
      </c>
      <c r="I256">
        <f>ROUND(CompilDonnées[[#This Row],[CultureDuration_days]]/7,0)</f>
        <v>6</v>
      </c>
      <c r="J256">
        <v>2260</v>
      </c>
      <c r="K256" t="str">
        <f>_xlfn.CONCAT(WEEKNUM(CompilDonnées[[#This Row],[PlantationDate]]), " ", YEAR(CompilDonnées[[#This Row],[PlantationDate]]))</f>
        <v>50 2024</v>
      </c>
      <c r="L256" t="str">
        <f>CONCATENATE(MONTH(CompilDonnées[[#This Row],[PlantationDate]])," ", YEAR(CompilDonnées[[#This Row],[PlantationDate]]))</f>
        <v>12 2024</v>
      </c>
      <c r="M256" t="str">
        <f>CONCATENATE(MONTH(CompilDonnées[[#This Row],[HarvestingDate]])," ", YEAR(CompilDonnées[[#This Row],[HarvestingDate]]))</f>
        <v>1 2025</v>
      </c>
      <c r="N256">
        <f>_xlfn.NUMBERVALUE(CompilDonnées[[#This Row],[FarmID]]&amp;CompilDonnées[[#This Row],[ModuleNumber]]&amp;CompilDonnées[[#This Row],[PlantationDate]])</f>
        <v>65345636</v>
      </c>
      <c r="O256" t="str">
        <f>CompilDonnées[[#This Row],[FarmID]]&amp;CompilDonnées[[#This Row],[ModuleNumber]]</f>
        <v>653</v>
      </c>
      <c r="P256" t="str">
        <f>CompilDonnées[[#This Row],[Ref_Module]]&amp;CompilDonnées[[#This Row],[HarvestingDate]]</f>
        <v>65345677</v>
      </c>
    </row>
    <row r="257" spans="1:16">
      <c r="A257" s="5">
        <v>45636</v>
      </c>
      <c r="B257">
        <v>64</v>
      </c>
      <c r="C257" t="s">
        <v>47</v>
      </c>
      <c r="D257">
        <v>4</v>
      </c>
      <c r="E257">
        <v>100</v>
      </c>
      <c r="F257" t="s">
        <v>1</v>
      </c>
      <c r="G257" s="6">
        <v>45677</v>
      </c>
      <c r="H257">
        <v>41</v>
      </c>
      <c r="I257">
        <f>ROUND(CompilDonnées[[#This Row],[CultureDuration_days]]/7,0)</f>
        <v>6</v>
      </c>
      <c r="J257">
        <v>2361</v>
      </c>
      <c r="K257" t="str">
        <f>_xlfn.CONCAT(WEEKNUM(CompilDonnées[[#This Row],[PlantationDate]]), " ", YEAR(CompilDonnées[[#This Row],[PlantationDate]]))</f>
        <v>50 2024</v>
      </c>
      <c r="L257" t="str">
        <f>CONCATENATE(MONTH(CompilDonnées[[#This Row],[PlantationDate]])," ", YEAR(CompilDonnées[[#This Row],[PlantationDate]]))</f>
        <v>12 2024</v>
      </c>
      <c r="M257" t="str">
        <f>CONCATENATE(MONTH(CompilDonnées[[#This Row],[HarvestingDate]])," ", YEAR(CompilDonnées[[#This Row],[HarvestingDate]]))</f>
        <v>1 2025</v>
      </c>
      <c r="N257">
        <f>_xlfn.NUMBERVALUE(CompilDonnées[[#This Row],[FarmID]]&amp;CompilDonnées[[#This Row],[ModuleNumber]]&amp;CompilDonnées[[#This Row],[PlantationDate]])</f>
        <v>64445636</v>
      </c>
      <c r="O257" t="str">
        <f>CompilDonnées[[#This Row],[FarmID]]&amp;CompilDonnées[[#This Row],[ModuleNumber]]</f>
        <v>644</v>
      </c>
      <c r="P257" t="str">
        <f>CompilDonnées[[#This Row],[Ref_Module]]&amp;CompilDonnées[[#This Row],[HarvestingDate]]</f>
        <v>64445677</v>
      </c>
    </row>
    <row r="258" spans="1:16">
      <c r="A258" s="5">
        <v>45636</v>
      </c>
      <c r="B258">
        <v>72</v>
      </c>
      <c r="C258" t="s">
        <v>49</v>
      </c>
      <c r="D258">
        <v>4</v>
      </c>
      <c r="E258">
        <v>100</v>
      </c>
      <c r="F258" t="s">
        <v>1</v>
      </c>
      <c r="G258" s="6">
        <v>45686</v>
      </c>
      <c r="H258">
        <v>50</v>
      </c>
      <c r="I258">
        <f>ROUND(CompilDonnées[[#This Row],[CultureDuration_days]]/7,0)</f>
        <v>7</v>
      </c>
      <c r="J258">
        <v>3158</v>
      </c>
      <c r="K258" t="str">
        <f>_xlfn.CONCAT(WEEKNUM(CompilDonnées[[#This Row],[PlantationDate]]), " ", YEAR(CompilDonnées[[#This Row],[PlantationDate]]))</f>
        <v>50 2024</v>
      </c>
      <c r="L258" t="str">
        <f>CONCATENATE(MONTH(CompilDonnées[[#This Row],[PlantationDate]])," ", YEAR(CompilDonnées[[#This Row],[PlantationDate]]))</f>
        <v>12 2024</v>
      </c>
      <c r="M258" t="str">
        <f>CONCATENATE(MONTH(CompilDonnées[[#This Row],[HarvestingDate]])," ", YEAR(CompilDonnées[[#This Row],[HarvestingDate]]))</f>
        <v>1 2025</v>
      </c>
      <c r="N258">
        <f>_xlfn.NUMBERVALUE(CompilDonnées[[#This Row],[FarmID]]&amp;CompilDonnées[[#This Row],[ModuleNumber]]&amp;CompilDonnées[[#This Row],[PlantationDate]])</f>
        <v>72445636</v>
      </c>
      <c r="O258" t="str">
        <f>CompilDonnées[[#This Row],[FarmID]]&amp;CompilDonnées[[#This Row],[ModuleNumber]]</f>
        <v>724</v>
      </c>
      <c r="P258" t="str">
        <f>CompilDonnées[[#This Row],[Ref_Module]]&amp;CompilDonnées[[#This Row],[HarvestingDate]]</f>
        <v>72445686</v>
      </c>
    </row>
    <row r="259" spans="1:16">
      <c r="A259" s="5">
        <v>45636</v>
      </c>
      <c r="B259">
        <v>73</v>
      </c>
      <c r="C259" t="s">
        <v>20</v>
      </c>
      <c r="D259">
        <v>2</v>
      </c>
      <c r="E259">
        <v>100</v>
      </c>
      <c r="F259" t="s">
        <v>1</v>
      </c>
      <c r="G259" s="6">
        <v>45678</v>
      </c>
      <c r="H259">
        <v>42</v>
      </c>
      <c r="I259">
        <f>ROUND(CompilDonnées[[#This Row],[CultureDuration_days]]/7,0)</f>
        <v>6</v>
      </c>
      <c r="J259">
        <v>3003</v>
      </c>
      <c r="K259" t="str">
        <f>_xlfn.CONCAT(WEEKNUM(CompilDonnées[[#This Row],[PlantationDate]]), " ", YEAR(CompilDonnées[[#This Row],[PlantationDate]]))</f>
        <v>50 2024</v>
      </c>
      <c r="L259" t="str">
        <f>CONCATENATE(MONTH(CompilDonnées[[#This Row],[PlantationDate]])," ", YEAR(CompilDonnées[[#This Row],[PlantationDate]]))</f>
        <v>12 2024</v>
      </c>
      <c r="M259" t="str">
        <f>CONCATENATE(MONTH(CompilDonnées[[#This Row],[HarvestingDate]])," ", YEAR(CompilDonnées[[#This Row],[HarvestingDate]]))</f>
        <v>1 2025</v>
      </c>
      <c r="N259">
        <f>_xlfn.NUMBERVALUE(CompilDonnées[[#This Row],[FarmID]]&amp;CompilDonnées[[#This Row],[ModuleNumber]]&amp;CompilDonnées[[#This Row],[PlantationDate]])</f>
        <v>73245636</v>
      </c>
      <c r="O259" t="str">
        <f>CompilDonnées[[#This Row],[FarmID]]&amp;CompilDonnées[[#This Row],[ModuleNumber]]</f>
        <v>732</v>
      </c>
      <c r="P259" t="str">
        <f>CompilDonnées[[#This Row],[Ref_Module]]&amp;CompilDonnées[[#This Row],[HarvestingDate]]</f>
        <v>73245678</v>
      </c>
    </row>
    <row r="260" spans="1:16">
      <c r="A260" s="5">
        <v>45636</v>
      </c>
      <c r="B260">
        <v>80</v>
      </c>
      <c r="C260" t="s">
        <v>29</v>
      </c>
      <c r="D260">
        <v>4</v>
      </c>
      <c r="E260">
        <v>100</v>
      </c>
      <c r="F260" t="s">
        <v>1</v>
      </c>
      <c r="G260" s="6">
        <v>45686</v>
      </c>
      <c r="H260">
        <v>50</v>
      </c>
      <c r="I260">
        <f>ROUND(CompilDonnées[[#This Row],[CultureDuration_days]]/7,0)</f>
        <v>7</v>
      </c>
      <c r="J260">
        <v>3823</v>
      </c>
      <c r="K260" t="str">
        <f>_xlfn.CONCAT(WEEKNUM(CompilDonnées[[#This Row],[PlantationDate]]), " ", YEAR(CompilDonnées[[#This Row],[PlantationDate]]))</f>
        <v>50 2024</v>
      </c>
      <c r="L260" t="str">
        <f>CONCATENATE(MONTH(CompilDonnées[[#This Row],[PlantationDate]])," ", YEAR(CompilDonnées[[#This Row],[PlantationDate]]))</f>
        <v>12 2024</v>
      </c>
      <c r="M260" t="str">
        <f>CONCATENATE(MONTH(CompilDonnées[[#This Row],[HarvestingDate]])," ", YEAR(CompilDonnées[[#This Row],[HarvestingDate]]))</f>
        <v>1 2025</v>
      </c>
      <c r="N260">
        <f>_xlfn.NUMBERVALUE(CompilDonnées[[#This Row],[FarmID]]&amp;CompilDonnées[[#This Row],[ModuleNumber]]&amp;CompilDonnées[[#This Row],[PlantationDate]])</f>
        <v>80445636</v>
      </c>
      <c r="O260" t="str">
        <f>CompilDonnées[[#This Row],[FarmID]]&amp;CompilDonnées[[#This Row],[ModuleNumber]]</f>
        <v>804</v>
      </c>
      <c r="P260" t="str">
        <f>CompilDonnées[[#This Row],[Ref_Module]]&amp;CompilDonnées[[#This Row],[HarvestingDate]]</f>
        <v>80445686</v>
      </c>
    </row>
    <row r="261" spans="1:16">
      <c r="A261" s="5">
        <v>45636</v>
      </c>
      <c r="B261">
        <v>81</v>
      </c>
      <c r="C261" t="s">
        <v>30</v>
      </c>
      <c r="D261">
        <v>6</v>
      </c>
      <c r="E261">
        <v>100</v>
      </c>
      <c r="F261" t="s">
        <v>1</v>
      </c>
      <c r="G261" s="6">
        <v>45667</v>
      </c>
      <c r="H261">
        <v>31</v>
      </c>
      <c r="I261">
        <f>ROUND(CompilDonnées[[#This Row],[CultureDuration_days]]/7,0)</f>
        <v>4</v>
      </c>
      <c r="J261">
        <v>3089</v>
      </c>
      <c r="K261" t="str">
        <f>_xlfn.CONCAT(WEEKNUM(CompilDonnées[[#This Row],[PlantationDate]]), " ", YEAR(CompilDonnées[[#This Row],[PlantationDate]]))</f>
        <v>50 2024</v>
      </c>
      <c r="L261" t="str">
        <f>CONCATENATE(MONTH(CompilDonnées[[#This Row],[PlantationDate]])," ", YEAR(CompilDonnées[[#This Row],[PlantationDate]]))</f>
        <v>12 2024</v>
      </c>
      <c r="M261" t="str">
        <f>CONCATENATE(MONTH(CompilDonnées[[#This Row],[HarvestingDate]])," ", YEAR(CompilDonnées[[#This Row],[HarvestingDate]]))</f>
        <v>1 2025</v>
      </c>
      <c r="N261">
        <f>_xlfn.NUMBERVALUE(CompilDonnées[[#This Row],[FarmID]]&amp;CompilDonnées[[#This Row],[ModuleNumber]]&amp;CompilDonnées[[#This Row],[PlantationDate]])</f>
        <v>81645636</v>
      </c>
      <c r="O261" t="str">
        <f>CompilDonnées[[#This Row],[FarmID]]&amp;CompilDonnées[[#This Row],[ModuleNumber]]</f>
        <v>816</v>
      </c>
      <c r="P261" t="str">
        <f>CompilDonnées[[#This Row],[Ref_Module]]&amp;CompilDonnées[[#This Row],[HarvestingDate]]</f>
        <v>81645667</v>
      </c>
    </row>
    <row r="262" spans="1:16">
      <c r="A262" s="5">
        <v>45636</v>
      </c>
      <c r="B262">
        <v>93</v>
      </c>
      <c r="C262" t="s">
        <v>10</v>
      </c>
      <c r="D262">
        <v>1</v>
      </c>
      <c r="E262">
        <v>100</v>
      </c>
      <c r="F262" t="s">
        <v>1</v>
      </c>
      <c r="G262" s="6">
        <v>45672</v>
      </c>
      <c r="H262">
        <v>36</v>
      </c>
      <c r="I262">
        <f>ROUND(CompilDonnées[[#This Row],[CultureDuration_days]]/7,0)</f>
        <v>5</v>
      </c>
      <c r="J262">
        <v>1729</v>
      </c>
      <c r="K262" t="str">
        <f>_xlfn.CONCAT(WEEKNUM(CompilDonnées[[#This Row],[PlantationDate]]), " ", YEAR(CompilDonnées[[#This Row],[PlantationDate]]))</f>
        <v>50 2024</v>
      </c>
      <c r="L262" t="str">
        <f>CONCATENATE(MONTH(CompilDonnées[[#This Row],[PlantationDate]])," ", YEAR(CompilDonnées[[#This Row],[PlantationDate]]))</f>
        <v>12 2024</v>
      </c>
      <c r="M262" t="str">
        <f>CONCATENATE(MONTH(CompilDonnées[[#This Row],[HarvestingDate]])," ", YEAR(CompilDonnées[[#This Row],[HarvestingDate]]))</f>
        <v>1 2025</v>
      </c>
      <c r="N262">
        <f>_xlfn.NUMBERVALUE(CompilDonnées[[#This Row],[FarmID]]&amp;CompilDonnées[[#This Row],[ModuleNumber]]&amp;CompilDonnées[[#This Row],[PlantationDate]])</f>
        <v>93145636</v>
      </c>
      <c r="O262" t="str">
        <f>CompilDonnées[[#This Row],[FarmID]]&amp;CompilDonnées[[#This Row],[ModuleNumber]]</f>
        <v>931</v>
      </c>
      <c r="P262" t="str">
        <f>CompilDonnées[[#This Row],[Ref_Module]]&amp;CompilDonnées[[#This Row],[HarvestingDate]]</f>
        <v>93145672</v>
      </c>
    </row>
    <row r="263" spans="1:16">
      <c r="A263" s="5">
        <v>45636</v>
      </c>
      <c r="B263">
        <v>92</v>
      </c>
      <c r="C263" t="s">
        <v>66</v>
      </c>
      <c r="D263">
        <v>3</v>
      </c>
      <c r="E263">
        <v>100</v>
      </c>
      <c r="F263" t="s">
        <v>1</v>
      </c>
      <c r="G263" s="6">
        <v>45688</v>
      </c>
      <c r="H263">
        <v>52</v>
      </c>
      <c r="I263">
        <f>ROUND(CompilDonnées[[#This Row],[CultureDuration_days]]/7,0)</f>
        <v>7</v>
      </c>
      <c r="J263">
        <v>3509</v>
      </c>
      <c r="K263" t="str">
        <f>_xlfn.CONCAT(WEEKNUM(CompilDonnées[[#This Row],[PlantationDate]]), " ", YEAR(CompilDonnées[[#This Row],[PlantationDate]]))</f>
        <v>50 2024</v>
      </c>
      <c r="L263" t="str">
        <f>CONCATENATE(MONTH(CompilDonnées[[#This Row],[PlantationDate]])," ", YEAR(CompilDonnées[[#This Row],[PlantationDate]]))</f>
        <v>12 2024</v>
      </c>
      <c r="M263" t="str">
        <f>CONCATENATE(MONTH(CompilDonnées[[#This Row],[HarvestingDate]])," ", YEAR(CompilDonnées[[#This Row],[HarvestingDate]]))</f>
        <v>1 2025</v>
      </c>
      <c r="N263">
        <f>_xlfn.NUMBERVALUE(CompilDonnées[[#This Row],[FarmID]]&amp;CompilDonnées[[#This Row],[ModuleNumber]]&amp;CompilDonnées[[#This Row],[PlantationDate]])</f>
        <v>92345636</v>
      </c>
      <c r="O263" t="str">
        <f>CompilDonnées[[#This Row],[FarmID]]&amp;CompilDonnées[[#This Row],[ModuleNumber]]</f>
        <v>923</v>
      </c>
      <c r="P263" t="str">
        <f>CompilDonnées[[#This Row],[Ref_Module]]&amp;CompilDonnées[[#This Row],[HarvestingDate]]</f>
        <v>92345688</v>
      </c>
    </row>
    <row r="264" spans="1:16">
      <c r="A264" s="5">
        <v>45636</v>
      </c>
      <c r="B264">
        <v>91</v>
      </c>
      <c r="C264" t="s">
        <v>9</v>
      </c>
      <c r="D264">
        <v>5</v>
      </c>
      <c r="E264">
        <v>100</v>
      </c>
      <c r="F264" t="s">
        <v>1</v>
      </c>
      <c r="G264" s="6">
        <v>45685</v>
      </c>
      <c r="H264">
        <v>49</v>
      </c>
      <c r="I264">
        <f>ROUND(CompilDonnées[[#This Row],[CultureDuration_days]]/7,0)</f>
        <v>7</v>
      </c>
      <c r="J264">
        <v>3394</v>
      </c>
      <c r="K264" t="str">
        <f>_xlfn.CONCAT(WEEKNUM(CompilDonnées[[#This Row],[PlantationDate]]), " ", YEAR(CompilDonnées[[#This Row],[PlantationDate]]))</f>
        <v>50 2024</v>
      </c>
      <c r="L264" t="str">
        <f>CONCATENATE(MONTH(CompilDonnées[[#This Row],[PlantationDate]])," ", YEAR(CompilDonnées[[#This Row],[PlantationDate]]))</f>
        <v>12 2024</v>
      </c>
      <c r="M264" t="str">
        <f>CONCATENATE(MONTH(CompilDonnées[[#This Row],[HarvestingDate]])," ", YEAR(CompilDonnées[[#This Row],[HarvestingDate]]))</f>
        <v>1 2025</v>
      </c>
      <c r="N264">
        <f>_xlfn.NUMBERVALUE(CompilDonnées[[#This Row],[FarmID]]&amp;CompilDonnées[[#This Row],[ModuleNumber]]&amp;CompilDonnées[[#This Row],[PlantationDate]])</f>
        <v>91545636</v>
      </c>
      <c r="O264" t="str">
        <f>CompilDonnées[[#This Row],[FarmID]]&amp;CompilDonnées[[#This Row],[ModuleNumber]]</f>
        <v>915</v>
      </c>
      <c r="P264" t="str">
        <f>CompilDonnées[[#This Row],[Ref_Module]]&amp;CompilDonnées[[#This Row],[HarvestingDate]]</f>
        <v>91545685</v>
      </c>
    </row>
    <row r="265" spans="1:16">
      <c r="A265" s="5">
        <v>45636</v>
      </c>
      <c r="B265">
        <v>86</v>
      </c>
      <c r="C265" t="s">
        <v>37</v>
      </c>
      <c r="D265">
        <v>1</v>
      </c>
      <c r="E265">
        <v>100</v>
      </c>
      <c r="F265" t="s">
        <v>1</v>
      </c>
      <c r="G265" s="6">
        <v>45685</v>
      </c>
      <c r="H265">
        <v>49</v>
      </c>
      <c r="I265">
        <f>ROUND(CompilDonnées[[#This Row],[CultureDuration_days]]/7,0)</f>
        <v>7</v>
      </c>
      <c r="J265">
        <v>3075</v>
      </c>
      <c r="K265" t="str">
        <f>_xlfn.CONCAT(WEEKNUM(CompilDonnées[[#This Row],[PlantationDate]]), " ", YEAR(CompilDonnées[[#This Row],[PlantationDate]]))</f>
        <v>50 2024</v>
      </c>
      <c r="L265" t="str">
        <f>CONCATENATE(MONTH(CompilDonnées[[#This Row],[PlantationDate]])," ", YEAR(CompilDonnées[[#This Row],[PlantationDate]]))</f>
        <v>12 2024</v>
      </c>
      <c r="M265" t="str">
        <f>CONCATENATE(MONTH(CompilDonnées[[#This Row],[HarvestingDate]])," ", YEAR(CompilDonnées[[#This Row],[HarvestingDate]]))</f>
        <v>1 2025</v>
      </c>
      <c r="N265">
        <f>_xlfn.NUMBERVALUE(CompilDonnées[[#This Row],[FarmID]]&amp;CompilDonnées[[#This Row],[ModuleNumber]]&amp;CompilDonnées[[#This Row],[PlantationDate]])</f>
        <v>86145636</v>
      </c>
      <c r="O265" t="str">
        <f>CompilDonnées[[#This Row],[FarmID]]&amp;CompilDonnées[[#This Row],[ModuleNumber]]</f>
        <v>861</v>
      </c>
      <c r="P265" t="str">
        <f>CompilDonnées[[#This Row],[Ref_Module]]&amp;CompilDonnées[[#This Row],[HarvestingDate]]</f>
        <v>86145685</v>
      </c>
    </row>
    <row r="266" spans="1:16">
      <c r="A266" s="5">
        <v>45636</v>
      </c>
      <c r="B266">
        <v>85</v>
      </c>
      <c r="C266" t="s">
        <v>56</v>
      </c>
      <c r="D266">
        <v>1</v>
      </c>
      <c r="E266">
        <v>100</v>
      </c>
      <c r="F266" t="s">
        <v>1</v>
      </c>
      <c r="G266" s="6">
        <v>45678</v>
      </c>
      <c r="H266">
        <v>42</v>
      </c>
      <c r="I266">
        <f>ROUND(CompilDonnées[[#This Row],[CultureDuration_days]]/7,0)</f>
        <v>6</v>
      </c>
      <c r="J266">
        <v>1908</v>
      </c>
      <c r="K266" t="str">
        <f>_xlfn.CONCAT(WEEKNUM(CompilDonnées[[#This Row],[PlantationDate]]), " ", YEAR(CompilDonnées[[#This Row],[PlantationDate]]))</f>
        <v>50 2024</v>
      </c>
      <c r="L266" t="str">
        <f>CONCATENATE(MONTH(CompilDonnées[[#This Row],[PlantationDate]])," ", YEAR(CompilDonnées[[#This Row],[PlantationDate]]))</f>
        <v>12 2024</v>
      </c>
      <c r="M266" t="str">
        <f>CONCATENATE(MONTH(CompilDonnées[[#This Row],[HarvestingDate]])," ", YEAR(CompilDonnées[[#This Row],[HarvestingDate]]))</f>
        <v>1 2025</v>
      </c>
      <c r="N266">
        <f>_xlfn.NUMBERVALUE(CompilDonnées[[#This Row],[FarmID]]&amp;CompilDonnées[[#This Row],[ModuleNumber]]&amp;CompilDonnées[[#This Row],[PlantationDate]])</f>
        <v>85145636</v>
      </c>
      <c r="O266" t="str">
        <f>CompilDonnées[[#This Row],[FarmID]]&amp;CompilDonnées[[#This Row],[ModuleNumber]]</f>
        <v>851</v>
      </c>
      <c r="P266" t="str">
        <f>CompilDonnées[[#This Row],[Ref_Module]]&amp;CompilDonnées[[#This Row],[HarvestingDate]]</f>
        <v>85145678</v>
      </c>
    </row>
    <row r="267" spans="1:16">
      <c r="A267" s="5">
        <v>45636</v>
      </c>
      <c r="B267">
        <v>60</v>
      </c>
      <c r="C267" t="s">
        <v>113</v>
      </c>
      <c r="D267">
        <v>2</v>
      </c>
      <c r="E267">
        <v>100</v>
      </c>
      <c r="F267" t="s">
        <v>1</v>
      </c>
      <c r="G267" s="6">
        <v>45678</v>
      </c>
      <c r="H267">
        <v>42</v>
      </c>
      <c r="I267">
        <f>ROUND(CompilDonnées[[#This Row],[CultureDuration_days]]/7,0)</f>
        <v>6</v>
      </c>
      <c r="J267">
        <v>1969</v>
      </c>
      <c r="K267" t="str">
        <f>_xlfn.CONCAT(WEEKNUM(CompilDonnées[[#This Row],[PlantationDate]]), " ", YEAR(CompilDonnées[[#This Row],[PlantationDate]]))</f>
        <v>50 2024</v>
      </c>
      <c r="L267" t="str">
        <f>CONCATENATE(MONTH(CompilDonnées[[#This Row],[PlantationDate]])," ", YEAR(CompilDonnées[[#This Row],[PlantationDate]]))</f>
        <v>12 2024</v>
      </c>
      <c r="M267" t="str">
        <f>CONCATENATE(MONTH(CompilDonnées[[#This Row],[HarvestingDate]])," ", YEAR(CompilDonnées[[#This Row],[HarvestingDate]]))</f>
        <v>1 2025</v>
      </c>
      <c r="N267">
        <f>_xlfn.NUMBERVALUE(CompilDonnées[[#This Row],[FarmID]]&amp;CompilDonnées[[#This Row],[ModuleNumber]]&amp;CompilDonnées[[#This Row],[PlantationDate]])</f>
        <v>60245636</v>
      </c>
      <c r="O267" t="str">
        <f>CompilDonnées[[#This Row],[FarmID]]&amp;CompilDonnées[[#This Row],[ModuleNumber]]</f>
        <v>602</v>
      </c>
      <c r="P267" t="str">
        <f>CompilDonnées[[#This Row],[Ref_Module]]&amp;CompilDonnées[[#This Row],[HarvestingDate]]</f>
        <v>60245678</v>
      </c>
    </row>
    <row r="268" spans="1:16">
      <c r="A268" s="5">
        <v>45636</v>
      </c>
      <c r="B268">
        <v>71</v>
      </c>
      <c r="C268" t="s">
        <v>19</v>
      </c>
      <c r="D268">
        <v>5</v>
      </c>
      <c r="E268">
        <v>100</v>
      </c>
      <c r="F268" t="s">
        <v>1</v>
      </c>
      <c r="G268" s="6">
        <v>45686</v>
      </c>
      <c r="H268">
        <v>50</v>
      </c>
      <c r="I268">
        <f>ROUND(CompilDonnées[[#This Row],[CultureDuration_days]]/7,0)</f>
        <v>7</v>
      </c>
      <c r="J268">
        <v>3226</v>
      </c>
      <c r="K268" t="str">
        <f>_xlfn.CONCAT(WEEKNUM(CompilDonnées[[#This Row],[PlantationDate]]), " ", YEAR(CompilDonnées[[#This Row],[PlantationDate]]))</f>
        <v>50 2024</v>
      </c>
      <c r="L268" t="str">
        <f>CONCATENATE(MONTH(CompilDonnées[[#This Row],[PlantationDate]])," ", YEAR(CompilDonnées[[#This Row],[PlantationDate]]))</f>
        <v>12 2024</v>
      </c>
      <c r="M268" t="str">
        <f>CONCATENATE(MONTH(CompilDonnées[[#This Row],[HarvestingDate]])," ", YEAR(CompilDonnées[[#This Row],[HarvestingDate]]))</f>
        <v>1 2025</v>
      </c>
      <c r="N268">
        <f>_xlfn.NUMBERVALUE(CompilDonnées[[#This Row],[FarmID]]&amp;CompilDonnées[[#This Row],[ModuleNumber]]&amp;CompilDonnées[[#This Row],[PlantationDate]])</f>
        <v>71545636</v>
      </c>
      <c r="O268" t="str">
        <f>CompilDonnées[[#This Row],[FarmID]]&amp;CompilDonnées[[#This Row],[ModuleNumber]]</f>
        <v>715</v>
      </c>
      <c r="P268" t="str">
        <f>CompilDonnées[[#This Row],[Ref_Module]]&amp;CompilDonnées[[#This Row],[HarvestingDate]]</f>
        <v>71545686</v>
      </c>
    </row>
    <row r="269" spans="1:16">
      <c r="A269" s="5">
        <v>45636</v>
      </c>
      <c r="B269">
        <v>13</v>
      </c>
      <c r="C269" t="s">
        <v>3</v>
      </c>
      <c r="D269">
        <v>1</v>
      </c>
      <c r="E269">
        <v>100</v>
      </c>
      <c r="F269" t="s">
        <v>1</v>
      </c>
      <c r="G269" s="6">
        <v>45672</v>
      </c>
      <c r="H269">
        <v>36</v>
      </c>
      <c r="I269">
        <f>ROUND(CompilDonnées[[#This Row],[CultureDuration_days]]/7,0)</f>
        <v>5</v>
      </c>
      <c r="J269">
        <v>1707</v>
      </c>
      <c r="K269" t="str">
        <f>_xlfn.CONCAT(WEEKNUM(CompilDonnées[[#This Row],[PlantationDate]]), " ", YEAR(CompilDonnées[[#This Row],[PlantationDate]]))</f>
        <v>50 2024</v>
      </c>
      <c r="L269" t="str">
        <f>CONCATENATE(MONTH(CompilDonnées[[#This Row],[PlantationDate]])," ", YEAR(CompilDonnées[[#This Row],[PlantationDate]]))</f>
        <v>12 2024</v>
      </c>
      <c r="M269" t="str">
        <f>CONCATENATE(MONTH(CompilDonnées[[#This Row],[HarvestingDate]])," ", YEAR(CompilDonnées[[#This Row],[HarvestingDate]]))</f>
        <v>1 2025</v>
      </c>
      <c r="N269">
        <f>_xlfn.NUMBERVALUE(CompilDonnées[[#This Row],[FarmID]]&amp;CompilDonnées[[#This Row],[ModuleNumber]]&amp;CompilDonnées[[#This Row],[PlantationDate]])</f>
        <v>13145636</v>
      </c>
      <c r="O269" t="str">
        <f>CompilDonnées[[#This Row],[FarmID]]&amp;CompilDonnées[[#This Row],[ModuleNumber]]</f>
        <v>131</v>
      </c>
      <c r="P269" t="str">
        <f>CompilDonnées[[#This Row],[Ref_Module]]&amp;CompilDonnées[[#This Row],[HarvestingDate]]</f>
        <v>13145672</v>
      </c>
    </row>
    <row r="270" spans="1:16">
      <c r="A270" s="5">
        <v>45639</v>
      </c>
      <c r="B270">
        <v>110</v>
      </c>
      <c r="C270" t="s">
        <v>14</v>
      </c>
      <c r="D270">
        <v>5</v>
      </c>
      <c r="E270">
        <v>100</v>
      </c>
      <c r="F270" t="s">
        <v>1</v>
      </c>
      <c r="G270" s="6">
        <v>45679</v>
      </c>
      <c r="H270">
        <v>40</v>
      </c>
      <c r="I270">
        <f>ROUND(CompilDonnées[[#This Row],[CultureDuration_days]]/7,0)</f>
        <v>6</v>
      </c>
      <c r="J270">
        <v>3069</v>
      </c>
      <c r="K270" t="str">
        <f>_xlfn.CONCAT(WEEKNUM(CompilDonnées[[#This Row],[PlantationDate]]), " ", YEAR(CompilDonnées[[#This Row],[PlantationDate]]))</f>
        <v>50 2024</v>
      </c>
      <c r="L270" t="str">
        <f>CONCATENATE(MONTH(CompilDonnées[[#This Row],[PlantationDate]])," ", YEAR(CompilDonnées[[#This Row],[PlantationDate]]))</f>
        <v>12 2024</v>
      </c>
      <c r="M270" t="str">
        <f>CONCATENATE(MONTH(CompilDonnées[[#This Row],[HarvestingDate]])," ", YEAR(CompilDonnées[[#This Row],[HarvestingDate]]))</f>
        <v>1 2025</v>
      </c>
      <c r="N270">
        <f>_xlfn.NUMBERVALUE(CompilDonnées[[#This Row],[FarmID]]&amp;CompilDonnées[[#This Row],[ModuleNumber]]&amp;CompilDonnées[[#This Row],[PlantationDate]])</f>
        <v>110545639</v>
      </c>
      <c r="O270" t="str">
        <f>CompilDonnées[[#This Row],[FarmID]]&amp;CompilDonnées[[#This Row],[ModuleNumber]]</f>
        <v>1105</v>
      </c>
      <c r="P270" t="str">
        <f>CompilDonnées[[#This Row],[Ref_Module]]&amp;CompilDonnées[[#This Row],[HarvestingDate]]</f>
        <v>110545679</v>
      </c>
    </row>
    <row r="271" spans="1:16">
      <c r="A271" s="5">
        <v>45639</v>
      </c>
      <c r="B271">
        <v>3</v>
      </c>
      <c r="C271" t="s">
        <v>116</v>
      </c>
      <c r="D271">
        <v>2</v>
      </c>
      <c r="E271">
        <v>100</v>
      </c>
      <c r="F271" t="s">
        <v>1</v>
      </c>
      <c r="G271" s="6">
        <v>45688</v>
      </c>
      <c r="H271">
        <v>49</v>
      </c>
      <c r="I271">
        <f>ROUND(CompilDonnées[[#This Row],[CultureDuration_days]]/7,0)</f>
        <v>7</v>
      </c>
      <c r="J271">
        <v>1834</v>
      </c>
      <c r="K271" t="str">
        <f>_xlfn.CONCAT(WEEKNUM(CompilDonnées[[#This Row],[PlantationDate]]), " ", YEAR(CompilDonnées[[#This Row],[PlantationDate]]))</f>
        <v>50 2024</v>
      </c>
      <c r="L271" t="str">
        <f>CONCATENATE(MONTH(CompilDonnées[[#This Row],[PlantationDate]])," ", YEAR(CompilDonnées[[#This Row],[PlantationDate]]))</f>
        <v>12 2024</v>
      </c>
      <c r="M271" t="str">
        <f>CONCATENATE(MONTH(CompilDonnées[[#This Row],[HarvestingDate]])," ", YEAR(CompilDonnées[[#This Row],[HarvestingDate]]))</f>
        <v>1 2025</v>
      </c>
      <c r="N271">
        <f>_xlfn.NUMBERVALUE(CompilDonnées[[#This Row],[FarmID]]&amp;CompilDonnées[[#This Row],[ModuleNumber]]&amp;CompilDonnées[[#This Row],[PlantationDate]])</f>
        <v>3245639</v>
      </c>
      <c r="O271" t="str">
        <f>CompilDonnées[[#This Row],[FarmID]]&amp;CompilDonnées[[#This Row],[ModuleNumber]]</f>
        <v>32</v>
      </c>
      <c r="P271" t="str">
        <f>CompilDonnées[[#This Row],[Ref_Module]]&amp;CompilDonnées[[#This Row],[HarvestingDate]]</f>
        <v>3245688</v>
      </c>
    </row>
    <row r="272" spans="1:16">
      <c r="A272" s="5">
        <v>45639</v>
      </c>
      <c r="B272">
        <v>5</v>
      </c>
      <c r="C272" t="s">
        <v>32</v>
      </c>
      <c r="D272">
        <v>4</v>
      </c>
      <c r="E272">
        <v>100</v>
      </c>
      <c r="F272" t="s">
        <v>1</v>
      </c>
      <c r="G272" s="6">
        <v>45688</v>
      </c>
      <c r="H272">
        <v>49</v>
      </c>
      <c r="I272">
        <f>ROUND(CompilDonnées[[#This Row],[CultureDuration_days]]/7,0)</f>
        <v>7</v>
      </c>
      <c r="J272">
        <v>3176</v>
      </c>
      <c r="K272" t="str">
        <f>_xlfn.CONCAT(WEEKNUM(CompilDonnées[[#This Row],[PlantationDate]]), " ", YEAR(CompilDonnées[[#This Row],[PlantationDate]]))</f>
        <v>50 2024</v>
      </c>
      <c r="L272" t="str">
        <f>CONCATENATE(MONTH(CompilDonnées[[#This Row],[PlantationDate]])," ", YEAR(CompilDonnées[[#This Row],[PlantationDate]]))</f>
        <v>12 2024</v>
      </c>
      <c r="M272" t="str">
        <f>CONCATENATE(MONTH(CompilDonnées[[#This Row],[HarvestingDate]])," ", YEAR(CompilDonnées[[#This Row],[HarvestingDate]]))</f>
        <v>1 2025</v>
      </c>
      <c r="N272">
        <f>_xlfn.NUMBERVALUE(CompilDonnées[[#This Row],[FarmID]]&amp;CompilDonnées[[#This Row],[ModuleNumber]]&amp;CompilDonnées[[#This Row],[PlantationDate]])</f>
        <v>5445639</v>
      </c>
      <c r="O272" t="str">
        <f>CompilDonnées[[#This Row],[FarmID]]&amp;CompilDonnées[[#This Row],[ModuleNumber]]</f>
        <v>54</v>
      </c>
      <c r="P272" t="str">
        <f>CompilDonnées[[#This Row],[Ref_Module]]&amp;CompilDonnées[[#This Row],[HarvestingDate]]</f>
        <v>5445688</v>
      </c>
    </row>
    <row r="273" spans="1:16">
      <c r="A273" s="5">
        <v>45639</v>
      </c>
      <c r="B273">
        <v>15</v>
      </c>
      <c r="C273" t="s">
        <v>5</v>
      </c>
      <c r="D273">
        <v>4</v>
      </c>
      <c r="E273">
        <v>100</v>
      </c>
      <c r="F273" t="s">
        <v>1</v>
      </c>
      <c r="G273" s="6">
        <v>45688</v>
      </c>
      <c r="H273">
        <v>49</v>
      </c>
      <c r="I273">
        <f>ROUND(CompilDonnées[[#This Row],[CultureDuration_days]]/7,0)</f>
        <v>7</v>
      </c>
      <c r="J273">
        <v>1290</v>
      </c>
      <c r="K273" t="str">
        <f>_xlfn.CONCAT(WEEKNUM(CompilDonnées[[#This Row],[PlantationDate]]), " ", YEAR(CompilDonnées[[#This Row],[PlantationDate]]))</f>
        <v>50 2024</v>
      </c>
      <c r="L273" t="str">
        <f>CONCATENATE(MONTH(CompilDonnées[[#This Row],[PlantationDate]])," ", YEAR(CompilDonnées[[#This Row],[PlantationDate]]))</f>
        <v>12 2024</v>
      </c>
      <c r="M273" t="str">
        <f>CONCATENATE(MONTH(CompilDonnées[[#This Row],[HarvestingDate]])," ", YEAR(CompilDonnées[[#This Row],[HarvestingDate]]))</f>
        <v>1 2025</v>
      </c>
      <c r="N273">
        <f>_xlfn.NUMBERVALUE(CompilDonnées[[#This Row],[FarmID]]&amp;CompilDonnées[[#This Row],[ModuleNumber]]&amp;CompilDonnées[[#This Row],[PlantationDate]])</f>
        <v>15445639</v>
      </c>
      <c r="O273" t="str">
        <f>CompilDonnées[[#This Row],[FarmID]]&amp;CompilDonnées[[#This Row],[ModuleNumber]]</f>
        <v>154</v>
      </c>
      <c r="P273" t="str">
        <f>CompilDonnées[[#This Row],[Ref_Module]]&amp;CompilDonnées[[#This Row],[HarvestingDate]]</f>
        <v>15445688</v>
      </c>
    </row>
    <row r="274" spans="1:16">
      <c r="A274" s="5">
        <v>45639</v>
      </c>
      <c r="B274">
        <v>15</v>
      </c>
      <c r="C274" t="s">
        <v>5</v>
      </c>
      <c r="D274">
        <v>5</v>
      </c>
      <c r="E274">
        <v>100</v>
      </c>
      <c r="F274" t="s">
        <v>1</v>
      </c>
      <c r="G274" s="6">
        <v>45677</v>
      </c>
      <c r="H274">
        <v>38</v>
      </c>
      <c r="I274">
        <f>ROUND(CompilDonnées[[#This Row],[CultureDuration_days]]/7,0)</f>
        <v>5</v>
      </c>
      <c r="J274">
        <v>1788</v>
      </c>
      <c r="K274" t="str">
        <f>_xlfn.CONCAT(WEEKNUM(CompilDonnées[[#This Row],[PlantationDate]]), " ", YEAR(CompilDonnées[[#This Row],[PlantationDate]]))</f>
        <v>50 2024</v>
      </c>
      <c r="L274" t="str">
        <f>CONCATENATE(MONTH(CompilDonnées[[#This Row],[PlantationDate]])," ", YEAR(CompilDonnées[[#This Row],[PlantationDate]]))</f>
        <v>12 2024</v>
      </c>
      <c r="M274" t="str">
        <f>CONCATENATE(MONTH(CompilDonnées[[#This Row],[HarvestingDate]])," ", YEAR(CompilDonnées[[#This Row],[HarvestingDate]]))</f>
        <v>1 2025</v>
      </c>
      <c r="N274">
        <f>_xlfn.NUMBERVALUE(CompilDonnées[[#This Row],[FarmID]]&amp;CompilDonnées[[#This Row],[ModuleNumber]]&amp;CompilDonnées[[#This Row],[PlantationDate]])</f>
        <v>15545639</v>
      </c>
      <c r="O274" t="str">
        <f>CompilDonnées[[#This Row],[FarmID]]&amp;CompilDonnées[[#This Row],[ModuleNumber]]</f>
        <v>155</v>
      </c>
      <c r="P274" t="str">
        <f>CompilDonnées[[#This Row],[Ref_Module]]&amp;CompilDonnées[[#This Row],[HarvestingDate]]</f>
        <v>15545677</v>
      </c>
    </row>
    <row r="275" spans="1:16">
      <c r="A275" s="5">
        <v>45639</v>
      </c>
      <c r="B275">
        <v>81</v>
      </c>
      <c r="C275" t="s">
        <v>30</v>
      </c>
      <c r="D275">
        <v>5</v>
      </c>
      <c r="E275">
        <v>100</v>
      </c>
      <c r="F275" t="s">
        <v>1</v>
      </c>
      <c r="G275" s="6">
        <v>45686</v>
      </c>
      <c r="H275">
        <v>47</v>
      </c>
      <c r="I275">
        <f>ROUND(CompilDonnées[[#This Row],[CultureDuration_days]]/7,0)</f>
        <v>7</v>
      </c>
      <c r="J275">
        <v>4826</v>
      </c>
      <c r="K275" t="str">
        <f>_xlfn.CONCAT(WEEKNUM(CompilDonnées[[#This Row],[PlantationDate]]), " ", YEAR(CompilDonnées[[#This Row],[PlantationDate]]))</f>
        <v>50 2024</v>
      </c>
      <c r="L275" t="str">
        <f>CONCATENATE(MONTH(CompilDonnées[[#This Row],[PlantationDate]])," ", YEAR(CompilDonnées[[#This Row],[PlantationDate]]))</f>
        <v>12 2024</v>
      </c>
      <c r="M275" t="str">
        <f>CONCATENATE(MONTH(CompilDonnées[[#This Row],[HarvestingDate]])," ", YEAR(CompilDonnées[[#This Row],[HarvestingDate]]))</f>
        <v>1 2025</v>
      </c>
      <c r="N275">
        <f>_xlfn.NUMBERVALUE(CompilDonnées[[#This Row],[FarmID]]&amp;CompilDonnées[[#This Row],[ModuleNumber]]&amp;CompilDonnées[[#This Row],[PlantationDate]])</f>
        <v>81545639</v>
      </c>
      <c r="O275" t="str">
        <f>CompilDonnées[[#This Row],[FarmID]]&amp;CompilDonnées[[#This Row],[ModuleNumber]]</f>
        <v>815</v>
      </c>
      <c r="P275" t="str">
        <f>CompilDonnées[[#This Row],[Ref_Module]]&amp;CompilDonnées[[#This Row],[HarvestingDate]]</f>
        <v>81545686</v>
      </c>
    </row>
    <row r="276" spans="1:16">
      <c r="A276" s="5">
        <v>45639</v>
      </c>
      <c r="B276">
        <v>82</v>
      </c>
      <c r="C276" t="s">
        <v>17</v>
      </c>
      <c r="D276">
        <v>3</v>
      </c>
      <c r="E276">
        <v>100</v>
      </c>
      <c r="F276" t="s">
        <v>1</v>
      </c>
      <c r="G276" s="6">
        <v>45678</v>
      </c>
      <c r="H276">
        <v>39</v>
      </c>
      <c r="I276">
        <f>ROUND(CompilDonnées[[#This Row],[CultureDuration_days]]/7,0)</f>
        <v>6</v>
      </c>
      <c r="J276">
        <v>3123</v>
      </c>
      <c r="K276" t="str">
        <f>_xlfn.CONCAT(WEEKNUM(CompilDonnées[[#This Row],[PlantationDate]]), " ", YEAR(CompilDonnées[[#This Row],[PlantationDate]]))</f>
        <v>50 2024</v>
      </c>
      <c r="L276" t="str">
        <f>CONCATENATE(MONTH(CompilDonnées[[#This Row],[PlantationDate]])," ", YEAR(CompilDonnées[[#This Row],[PlantationDate]]))</f>
        <v>12 2024</v>
      </c>
      <c r="M276" t="str">
        <f>CONCATENATE(MONTH(CompilDonnées[[#This Row],[HarvestingDate]])," ", YEAR(CompilDonnées[[#This Row],[HarvestingDate]]))</f>
        <v>1 2025</v>
      </c>
      <c r="N276">
        <f>_xlfn.NUMBERVALUE(CompilDonnées[[#This Row],[FarmID]]&amp;CompilDonnées[[#This Row],[ModuleNumber]]&amp;CompilDonnées[[#This Row],[PlantationDate]])</f>
        <v>82345639</v>
      </c>
      <c r="O276" t="str">
        <f>CompilDonnées[[#This Row],[FarmID]]&amp;CompilDonnées[[#This Row],[ModuleNumber]]</f>
        <v>823</v>
      </c>
      <c r="P276" t="str">
        <f>CompilDonnées[[#This Row],[Ref_Module]]&amp;CompilDonnées[[#This Row],[HarvestingDate]]</f>
        <v>82345678</v>
      </c>
    </row>
    <row r="277" spans="1:16">
      <c r="A277" s="5">
        <v>45639</v>
      </c>
      <c r="B277">
        <v>80</v>
      </c>
      <c r="C277" t="s">
        <v>29</v>
      </c>
      <c r="D277">
        <v>3</v>
      </c>
      <c r="E277">
        <v>100</v>
      </c>
      <c r="F277" t="s">
        <v>1</v>
      </c>
      <c r="G277" s="6">
        <v>45686</v>
      </c>
      <c r="H277">
        <v>47</v>
      </c>
      <c r="I277">
        <f>ROUND(CompilDonnées[[#This Row],[CultureDuration_days]]/7,0)</f>
        <v>7</v>
      </c>
      <c r="J277">
        <v>3823</v>
      </c>
      <c r="K277" t="str">
        <f>_xlfn.CONCAT(WEEKNUM(CompilDonnées[[#This Row],[PlantationDate]]), " ", YEAR(CompilDonnées[[#This Row],[PlantationDate]]))</f>
        <v>50 2024</v>
      </c>
      <c r="L277" t="str">
        <f>CONCATENATE(MONTH(CompilDonnées[[#This Row],[PlantationDate]])," ", YEAR(CompilDonnées[[#This Row],[PlantationDate]]))</f>
        <v>12 2024</v>
      </c>
      <c r="M277" t="str">
        <f>CONCATENATE(MONTH(CompilDonnées[[#This Row],[HarvestingDate]])," ", YEAR(CompilDonnées[[#This Row],[HarvestingDate]]))</f>
        <v>1 2025</v>
      </c>
      <c r="N277">
        <f>_xlfn.NUMBERVALUE(CompilDonnées[[#This Row],[FarmID]]&amp;CompilDonnées[[#This Row],[ModuleNumber]]&amp;CompilDonnées[[#This Row],[PlantationDate]])</f>
        <v>80345639</v>
      </c>
      <c r="O277" t="str">
        <f>CompilDonnées[[#This Row],[FarmID]]&amp;CompilDonnées[[#This Row],[ModuleNumber]]</f>
        <v>803</v>
      </c>
      <c r="P277" t="str">
        <f>CompilDonnées[[#This Row],[Ref_Module]]&amp;CompilDonnées[[#This Row],[HarvestingDate]]</f>
        <v>80345686</v>
      </c>
    </row>
    <row r="278" spans="1:16">
      <c r="A278" s="5">
        <v>45639</v>
      </c>
      <c r="B278">
        <v>77</v>
      </c>
      <c r="C278" t="s">
        <v>75</v>
      </c>
      <c r="D278">
        <v>4</v>
      </c>
      <c r="E278">
        <v>100</v>
      </c>
      <c r="F278" t="s">
        <v>1</v>
      </c>
      <c r="G278" s="6">
        <v>45686</v>
      </c>
      <c r="H278">
        <v>47</v>
      </c>
      <c r="I278">
        <f>ROUND(CompilDonnées[[#This Row],[CultureDuration_days]]/7,0)</f>
        <v>7</v>
      </c>
      <c r="J278">
        <v>3023</v>
      </c>
      <c r="K278" t="str">
        <f>_xlfn.CONCAT(WEEKNUM(CompilDonnées[[#This Row],[PlantationDate]]), " ", YEAR(CompilDonnées[[#This Row],[PlantationDate]]))</f>
        <v>50 2024</v>
      </c>
      <c r="L278" t="str">
        <f>CONCATENATE(MONTH(CompilDonnées[[#This Row],[PlantationDate]])," ", YEAR(CompilDonnées[[#This Row],[PlantationDate]]))</f>
        <v>12 2024</v>
      </c>
      <c r="M278" t="str">
        <f>CONCATENATE(MONTH(CompilDonnées[[#This Row],[HarvestingDate]])," ", YEAR(CompilDonnées[[#This Row],[HarvestingDate]]))</f>
        <v>1 2025</v>
      </c>
      <c r="N278">
        <f>_xlfn.NUMBERVALUE(CompilDonnées[[#This Row],[FarmID]]&amp;CompilDonnées[[#This Row],[ModuleNumber]]&amp;CompilDonnées[[#This Row],[PlantationDate]])</f>
        <v>77445639</v>
      </c>
      <c r="O278" t="str">
        <f>CompilDonnées[[#This Row],[FarmID]]&amp;CompilDonnées[[#This Row],[ModuleNumber]]</f>
        <v>774</v>
      </c>
      <c r="P278" t="str">
        <f>CompilDonnées[[#This Row],[Ref_Module]]&amp;CompilDonnées[[#This Row],[HarvestingDate]]</f>
        <v>77445686</v>
      </c>
    </row>
    <row r="279" spans="1:16">
      <c r="A279" s="5">
        <v>45639</v>
      </c>
      <c r="B279">
        <v>76</v>
      </c>
      <c r="C279" t="s">
        <v>18</v>
      </c>
      <c r="D279">
        <v>1</v>
      </c>
      <c r="E279">
        <v>100</v>
      </c>
      <c r="F279" t="s">
        <v>1</v>
      </c>
      <c r="G279" s="6">
        <v>45686</v>
      </c>
      <c r="H279">
        <v>47</v>
      </c>
      <c r="I279">
        <f>ROUND(CompilDonnées[[#This Row],[CultureDuration_days]]/7,0)</f>
        <v>7</v>
      </c>
      <c r="J279">
        <v>3130</v>
      </c>
      <c r="K279" t="str">
        <f>_xlfn.CONCAT(WEEKNUM(CompilDonnées[[#This Row],[PlantationDate]]), " ", YEAR(CompilDonnées[[#This Row],[PlantationDate]]))</f>
        <v>50 2024</v>
      </c>
      <c r="L279" t="str">
        <f>CONCATENATE(MONTH(CompilDonnées[[#This Row],[PlantationDate]])," ", YEAR(CompilDonnées[[#This Row],[PlantationDate]]))</f>
        <v>12 2024</v>
      </c>
      <c r="M279" t="str">
        <f>CONCATENATE(MONTH(CompilDonnées[[#This Row],[HarvestingDate]])," ", YEAR(CompilDonnées[[#This Row],[HarvestingDate]]))</f>
        <v>1 2025</v>
      </c>
      <c r="N279">
        <f>_xlfn.NUMBERVALUE(CompilDonnées[[#This Row],[FarmID]]&amp;CompilDonnées[[#This Row],[ModuleNumber]]&amp;CompilDonnées[[#This Row],[PlantationDate]])</f>
        <v>76145639</v>
      </c>
      <c r="O279" t="str">
        <f>CompilDonnées[[#This Row],[FarmID]]&amp;CompilDonnées[[#This Row],[ModuleNumber]]</f>
        <v>761</v>
      </c>
      <c r="P279" t="str">
        <f>CompilDonnées[[#This Row],[Ref_Module]]&amp;CompilDonnées[[#This Row],[HarvestingDate]]</f>
        <v>76145686</v>
      </c>
    </row>
    <row r="280" spans="1:16">
      <c r="A280" s="5">
        <v>45639</v>
      </c>
      <c r="B280">
        <v>73</v>
      </c>
      <c r="C280" t="s">
        <v>20</v>
      </c>
      <c r="D280">
        <v>3</v>
      </c>
      <c r="E280">
        <v>100</v>
      </c>
      <c r="F280" t="s">
        <v>1</v>
      </c>
      <c r="G280" s="6">
        <v>45686</v>
      </c>
      <c r="H280">
        <v>47</v>
      </c>
      <c r="I280">
        <f>ROUND(CompilDonnées[[#This Row],[CultureDuration_days]]/7,0)</f>
        <v>7</v>
      </c>
      <c r="J280">
        <v>3416</v>
      </c>
      <c r="K280" t="str">
        <f>_xlfn.CONCAT(WEEKNUM(CompilDonnées[[#This Row],[PlantationDate]]), " ", YEAR(CompilDonnées[[#This Row],[PlantationDate]]))</f>
        <v>50 2024</v>
      </c>
      <c r="L280" t="str">
        <f>CONCATENATE(MONTH(CompilDonnées[[#This Row],[PlantationDate]])," ", YEAR(CompilDonnées[[#This Row],[PlantationDate]]))</f>
        <v>12 2024</v>
      </c>
      <c r="M280" t="str">
        <f>CONCATENATE(MONTH(CompilDonnées[[#This Row],[HarvestingDate]])," ", YEAR(CompilDonnées[[#This Row],[HarvestingDate]]))</f>
        <v>1 2025</v>
      </c>
      <c r="N280">
        <f>_xlfn.NUMBERVALUE(CompilDonnées[[#This Row],[FarmID]]&amp;CompilDonnées[[#This Row],[ModuleNumber]]&amp;CompilDonnées[[#This Row],[PlantationDate]])</f>
        <v>73345639</v>
      </c>
      <c r="O280" t="str">
        <f>CompilDonnées[[#This Row],[FarmID]]&amp;CompilDonnées[[#This Row],[ModuleNumber]]</f>
        <v>733</v>
      </c>
      <c r="P280" t="str">
        <f>CompilDonnées[[#This Row],[Ref_Module]]&amp;CompilDonnées[[#This Row],[HarvestingDate]]</f>
        <v>73345686</v>
      </c>
    </row>
    <row r="281" spans="1:16">
      <c r="A281" s="5">
        <v>45639</v>
      </c>
      <c r="B281">
        <v>67</v>
      </c>
      <c r="C281" t="s">
        <v>28</v>
      </c>
      <c r="D281">
        <v>4</v>
      </c>
      <c r="E281">
        <v>100</v>
      </c>
      <c r="F281" t="s">
        <v>1</v>
      </c>
      <c r="G281" s="6">
        <v>45677</v>
      </c>
      <c r="H281">
        <v>38</v>
      </c>
      <c r="I281">
        <f>ROUND(CompilDonnées[[#This Row],[CultureDuration_days]]/7,0)</f>
        <v>5</v>
      </c>
      <c r="J281">
        <v>2882</v>
      </c>
      <c r="K281" t="str">
        <f>_xlfn.CONCAT(WEEKNUM(CompilDonnées[[#This Row],[PlantationDate]]), " ", YEAR(CompilDonnées[[#This Row],[PlantationDate]]))</f>
        <v>50 2024</v>
      </c>
      <c r="L281" t="str">
        <f>CONCATENATE(MONTH(CompilDonnées[[#This Row],[PlantationDate]])," ", YEAR(CompilDonnées[[#This Row],[PlantationDate]]))</f>
        <v>12 2024</v>
      </c>
      <c r="M281" t="str">
        <f>CONCATENATE(MONTH(CompilDonnées[[#This Row],[HarvestingDate]])," ", YEAR(CompilDonnées[[#This Row],[HarvestingDate]]))</f>
        <v>1 2025</v>
      </c>
      <c r="N281">
        <f>_xlfn.NUMBERVALUE(CompilDonnées[[#This Row],[FarmID]]&amp;CompilDonnées[[#This Row],[ModuleNumber]]&amp;CompilDonnées[[#This Row],[PlantationDate]])</f>
        <v>67445639</v>
      </c>
      <c r="O281" t="str">
        <f>CompilDonnées[[#This Row],[FarmID]]&amp;CompilDonnées[[#This Row],[ModuleNumber]]</f>
        <v>674</v>
      </c>
      <c r="P281" t="str">
        <f>CompilDonnées[[#This Row],[Ref_Module]]&amp;CompilDonnées[[#This Row],[HarvestingDate]]</f>
        <v>67445677</v>
      </c>
    </row>
    <row r="282" spans="1:16">
      <c r="A282" s="5">
        <v>45639</v>
      </c>
      <c r="B282">
        <v>65</v>
      </c>
      <c r="C282" t="s">
        <v>36</v>
      </c>
      <c r="D282">
        <v>2</v>
      </c>
      <c r="E282">
        <v>100</v>
      </c>
      <c r="F282" t="s">
        <v>1</v>
      </c>
      <c r="G282" s="6">
        <v>45686</v>
      </c>
      <c r="H282">
        <v>47</v>
      </c>
      <c r="I282">
        <f>ROUND(CompilDonnées[[#This Row],[CultureDuration_days]]/7,0)</f>
        <v>7</v>
      </c>
      <c r="J282">
        <v>3424</v>
      </c>
      <c r="K282" t="str">
        <f>_xlfn.CONCAT(WEEKNUM(CompilDonnées[[#This Row],[PlantationDate]]), " ", YEAR(CompilDonnées[[#This Row],[PlantationDate]]))</f>
        <v>50 2024</v>
      </c>
      <c r="L282" t="str">
        <f>CONCATENATE(MONTH(CompilDonnées[[#This Row],[PlantationDate]])," ", YEAR(CompilDonnées[[#This Row],[PlantationDate]]))</f>
        <v>12 2024</v>
      </c>
      <c r="M282" t="str">
        <f>CONCATENATE(MONTH(CompilDonnées[[#This Row],[HarvestingDate]])," ", YEAR(CompilDonnées[[#This Row],[HarvestingDate]]))</f>
        <v>1 2025</v>
      </c>
      <c r="N282">
        <f>_xlfn.NUMBERVALUE(CompilDonnées[[#This Row],[FarmID]]&amp;CompilDonnées[[#This Row],[ModuleNumber]]&amp;CompilDonnées[[#This Row],[PlantationDate]])</f>
        <v>65245639</v>
      </c>
      <c r="O282" t="str">
        <f>CompilDonnées[[#This Row],[FarmID]]&amp;CompilDonnées[[#This Row],[ModuleNumber]]</f>
        <v>652</v>
      </c>
      <c r="P282" t="str">
        <f>CompilDonnées[[#This Row],[Ref_Module]]&amp;CompilDonnées[[#This Row],[HarvestingDate]]</f>
        <v>65245686</v>
      </c>
    </row>
    <row r="283" spans="1:16">
      <c r="A283" s="5">
        <v>45639</v>
      </c>
      <c r="B283">
        <v>64</v>
      </c>
      <c r="C283" t="s">
        <v>47</v>
      </c>
      <c r="D283">
        <v>3</v>
      </c>
      <c r="E283">
        <v>100</v>
      </c>
      <c r="F283" t="s">
        <v>1</v>
      </c>
      <c r="G283" s="6">
        <v>45686</v>
      </c>
      <c r="H283">
        <v>47</v>
      </c>
      <c r="I283">
        <f>ROUND(CompilDonnées[[#This Row],[CultureDuration_days]]/7,0)</f>
        <v>7</v>
      </c>
      <c r="J283">
        <v>2663</v>
      </c>
      <c r="K283" t="str">
        <f>_xlfn.CONCAT(WEEKNUM(CompilDonnées[[#This Row],[PlantationDate]]), " ", YEAR(CompilDonnées[[#This Row],[PlantationDate]]))</f>
        <v>50 2024</v>
      </c>
      <c r="L283" t="str">
        <f>CONCATENATE(MONTH(CompilDonnées[[#This Row],[PlantationDate]])," ", YEAR(CompilDonnées[[#This Row],[PlantationDate]]))</f>
        <v>12 2024</v>
      </c>
      <c r="M283" t="str">
        <f>CONCATENATE(MONTH(CompilDonnées[[#This Row],[HarvestingDate]])," ", YEAR(CompilDonnées[[#This Row],[HarvestingDate]]))</f>
        <v>1 2025</v>
      </c>
      <c r="N283">
        <f>_xlfn.NUMBERVALUE(CompilDonnées[[#This Row],[FarmID]]&amp;CompilDonnées[[#This Row],[ModuleNumber]]&amp;CompilDonnées[[#This Row],[PlantationDate]])</f>
        <v>64345639</v>
      </c>
      <c r="O283" t="str">
        <f>CompilDonnées[[#This Row],[FarmID]]&amp;CompilDonnées[[#This Row],[ModuleNumber]]</f>
        <v>643</v>
      </c>
      <c r="P283" t="str">
        <f>CompilDonnées[[#This Row],[Ref_Module]]&amp;CompilDonnées[[#This Row],[HarvestingDate]]</f>
        <v>64345686</v>
      </c>
    </row>
    <row r="284" spans="1:16">
      <c r="A284" s="5">
        <v>45639</v>
      </c>
      <c r="B284">
        <v>58</v>
      </c>
      <c r="C284" t="s">
        <v>35</v>
      </c>
      <c r="D284">
        <v>3</v>
      </c>
      <c r="E284">
        <v>100</v>
      </c>
      <c r="F284" t="s">
        <v>1</v>
      </c>
      <c r="G284" s="6">
        <v>45677</v>
      </c>
      <c r="H284">
        <v>38</v>
      </c>
      <c r="I284">
        <f>ROUND(CompilDonnées[[#This Row],[CultureDuration_days]]/7,0)</f>
        <v>5</v>
      </c>
      <c r="J284">
        <v>3639</v>
      </c>
      <c r="K284" t="str">
        <f>_xlfn.CONCAT(WEEKNUM(CompilDonnées[[#This Row],[PlantationDate]]), " ", YEAR(CompilDonnées[[#This Row],[PlantationDate]]))</f>
        <v>50 2024</v>
      </c>
      <c r="L284" t="str">
        <f>CONCATENATE(MONTH(CompilDonnées[[#This Row],[PlantationDate]])," ", YEAR(CompilDonnées[[#This Row],[PlantationDate]]))</f>
        <v>12 2024</v>
      </c>
      <c r="M284" t="str">
        <f>CONCATENATE(MONTH(CompilDonnées[[#This Row],[HarvestingDate]])," ", YEAR(CompilDonnées[[#This Row],[HarvestingDate]]))</f>
        <v>1 2025</v>
      </c>
      <c r="N284">
        <f>_xlfn.NUMBERVALUE(CompilDonnées[[#This Row],[FarmID]]&amp;CompilDonnées[[#This Row],[ModuleNumber]]&amp;CompilDonnées[[#This Row],[PlantationDate]])</f>
        <v>58345639</v>
      </c>
      <c r="O284" t="str">
        <f>CompilDonnées[[#This Row],[FarmID]]&amp;CompilDonnées[[#This Row],[ModuleNumber]]</f>
        <v>583</v>
      </c>
      <c r="P284" t="str">
        <f>CompilDonnées[[#This Row],[Ref_Module]]&amp;CompilDonnées[[#This Row],[HarvestingDate]]</f>
        <v>58345677</v>
      </c>
    </row>
    <row r="285" spans="1:16">
      <c r="A285" s="5">
        <v>45639</v>
      </c>
      <c r="B285">
        <v>51</v>
      </c>
      <c r="C285" t="s">
        <v>27</v>
      </c>
      <c r="D285">
        <v>6</v>
      </c>
      <c r="E285">
        <v>100</v>
      </c>
      <c r="F285" t="s">
        <v>1</v>
      </c>
      <c r="G285" s="6">
        <v>45677</v>
      </c>
      <c r="H285">
        <v>38</v>
      </c>
      <c r="I285">
        <f>ROUND(CompilDonnées[[#This Row],[CultureDuration_days]]/7,0)</f>
        <v>5</v>
      </c>
      <c r="J285">
        <v>2797</v>
      </c>
      <c r="K285" t="str">
        <f>_xlfn.CONCAT(WEEKNUM(CompilDonnées[[#This Row],[PlantationDate]]), " ", YEAR(CompilDonnées[[#This Row],[PlantationDate]]))</f>
        <v>50 2024</v>
      </c>
      <c r="L285" t="str">
        <f>CONCATENATE(MONTH(CompilDonnées[[#This Row],[PlantationDate]])," ", YEAR(CompilDonnées[[#This Row],[PlantationDate]]))</f>
        <v>12 2024</v>
      </c>
      <c r="M285" t="str">
        <f>CONCATENATE(MONTH(CompilDonnées[[#This Row],[HarvestingDate]])," ", YEAR(CompilDonnées[[#This Row],[HarvestingDate]]))</f>
        <v>1 2025</v>
      </c>
      <c r="N285">
        <f>_xlfn.NUMBERVALUE(CompilDonnées[[#This Row],[FarmID]]&amp;CompilDonnées[[#This Row],[ModuleNumber]]&amp;CompilDonnées[[#This Row],[PlantationDate]])</f>
        <v>51645639</v>
      </c>
      <c r="O285" t="str">
        <f>CompilDonnées[[#This Row],[FarmID]]&amp;CompilDonnées[[#This Row],[ModuleNumber]]</f>
        <v>516</v>
      </c>
      <c r="P285" t="str">
        <f>CompilDonnées[[#This Row],[Ref_Module]]&amp;CompilDonnées[[#This Row],[HarvestingDate]]</f>
        <v>51645677</v>
      </c>
    </row>
    <row r="286" spans="1:16">
      <c r="A286" s="5">
        <v>45639</v>
      </c>
      <c r="B286">
        <v>48</v>
      </c>
      <c r="C286" t="s">
        <v>71</v>
      </c>
      <c r="D286">
        <v>5</v>
      </c>
      <c r="E286">
        <v>100</v>
      </c>
      <c r="F286" t="s">
        <v>1</v>
      </c>
      <c r="G286" s="6">
        <v>45693</v>
      </c>
      <c r="H286">
        <v>54</v>
      </c>
      <c r="I286">
        <f>ROUND(CompilDonnées[[#This Row],[CultureDuration_days]]/7,0)</f>
        <v>8</v>
      </c>
      <c r="J286">
        <v>2391</v>
      </c>
      <c r="K286" t="str">
        <f>_xlfn.CONCAT(WEEKNUM(CompilDonnées[[#This Row],[PlantationDate]]), " ", YEAR(CompilDonnées[[#This Row],[PlantationDate]]))</f>
        <v>50 2024</v>
      </c>
      <c r="L286" t="str">
        <f>CONCATENATE(MONTH(CompilDonnées[[#This Row],[PlantationDate]])," ", YEAR(CompilDonnées[[#This Row],[PlantationDate]]))</f>
        <v>12 2024</v>
      </c>
      <c r="M286" t="str">
        <f>CONCATENATE(MONTH(CompilDonnées[[#This Row],[HarvestingDate]])," ", YEAR(CompilDonnées[[#This Row],[HarvestingDate]]))</f>
        <v>2 2025</v>
      </c>
      <c r="N286">
        <f>_xlfn.NUMBERVALUE(CompilDonnées[[#This Row],[FarmID]]&amp;CompilDonnées[[#This Row],[ModuleNumber]]&amp;CompilDonnées[[#This Row],[PlantationDate]])</f>
        <v>48545639</v>
      </c>
      <c r="O286" t="str">
        <f>CompilDonnées[[#This Row],[FarmID]]&amp;CompilDonnées[[#This Row],[ModuleNumber]]</f>
        <v>485</v>
      </c>
      <c r="P286" t="str">
        <f>CompilDonnées[[#This Row],[Ref_Module]]&amp;CompilDonnées[[#This Row],[HarvestingDate]]</f>
        <v>48545693</v>
      </c>
    </row>
    <row r="287" spans="1:16">
      <c r="A287" s="5">
        <v>45639</v>
      </c>
      <c r="B287">
        <v>88</v>
      </c>
      <c r="C287" t="s">
        <v>94</v>
      </c>
      <c r="D287">
        <v>2</v>
      </c>
      <c r="E287">
        <v>100</v>
      </c>
      <c r="F287" t="s">
        <v>1</v>
      </c>
      <c r="G287" s="6">
        <v>45678</v>
      </c>
      <c r="H287">
        <v>39</v>
      </c>
      <c r="I287">
        <f>ROUND(CompilDonnées[[#This Row],[CultureDuration_days]]/7,0)</f>
        <v>6</v>
      </c>
      <c r="J287">
        <v>3524</v>
      </c>
      <c r="K287" t="str">
        <f>_xlfn.CONCAT(WEEKNUM(CompilDonnées[[#This Row],[PlantationDate]]), " ", YEAR(CompilDonnées[[#This Row],[PlantationDate]]))</f>
        <v>50 2024</v>
      </c>
      <c r="L287" t="str">
        <f>CONCATENATE(MONTH(CompilDonnées[[#This Row],[PlantationDate]])," ", YEAR(CompilDonnées[[#This Row],[PlantationDate]]))</f>
        <v>12 2024</v>
      </c>
      <c r="M287" t="str">
        <f>CONCATENATE(MONTH(CompilDonnées[[#This Row],[HarvestingDate]])," ", YEAR(CompilDonnées[[#This Row],[HarvestingDate]]))</f>
        <v>1 2025</v>
      </c>
      <c r="N287">
        <f>_xlfn.NUMBERVALUE(CompilDonnées[[#This Row],[FarmID]]&amp;CompilDonnées[[#This Row],[ModuleNumber]]&amp;CompilDonnées[[#This Row],[PlantationDate]])</f>
        <v>88245639</v>
      </c>
      <c r="O287" t="str">
        <f>CompilDonnées[[#This Row],[FarmID]]&amp;CompilDonnées[[#This Row],[ModuleNumber]]</f>
        <v>882</v>
      </c>
      <c r="P287" t="str">
        <f>CompilDonnées[[#This Row],[Ref_Module]]&amp;CompilDonnées[[#This Row],[HarvestingDate]]</f>
        <v>88245678</v>
      </c>
    </row>
    <row r="288" spans="1:16">
      <c r="A288" s="5">
        <v>45639</v>
      </c>
      <c r="B288">
        <v>87</v>
      </c>
      <c r="C288" t="s">
        <v>38</v>
      </c>
      <c r="D288">
        <v>3</v>
      </c>
      <c r="E288">
        <v>100</v>
      </c>
      <c r="F288" t="s">
        <v>1</v>
      </c>
      <c r="G288" s="6">
        <v>45685</v>
      </c>
      <c r="H288">
        <v>46</v>
      </c>
      <c r="I288">
        <f>ROUND(CompilDonnées[[#This Row],[CultureDuration_days]]/7,0)</f>
        <v>7</v>
      </c>
      <c r="J288">
        <v>3151</v>
      </c>
      <c r="K288" t="str">
        <f>_xlfn.CONCAT(WEEKNUM(CompilDonnées[[#This Row],[PlantationDate]]), " ", YEAR(CompilDonnées[[#This Row],[PlantationDate]]))</f>
        <v>50 2024</v>
      </c>
      <c r="L288" t="str">
        <f>CONCATENATE(MONTH(CompilDonnées[[#This Row],[PlantationDate]])," ", YEAR(CompilDonnées[[#This Row],[PlantationDate]]))</f>
        <v>12 2024</v>
      </c>
      <c r="M288" t="str">
        <f>CONCATENATE(MONTH(CompilDonnées[[#This Row],[HarvestingDate]])," ", YEAR(CompilDonnées[[#This Row],[HarvestingDate]]))</f>
        <v>1 2025</v>
      </c>
      <c r="N288">
        <f>_xlfn.NUMBERVALUE(CompilDonnées[[#This Row],[FarmID]]&amp;CompilDonnées[[#This Row],[ModuleNumber]]&amp;CompilDonnées[[#This Row],[PlantationDate]])</f>
        <v>87345639</v>
      </c>
      <c r="O288" t="str">
        <f>CompilDonnées[[#This Row],[FarmID]]&amp;CompilDonnées[[#This Row],[ModuleNumber]]</f>
        <v>873</v>
      </c>
      <c r="P288" t="str">
        <f>CompilDonnées[[#This Row],[Ref_Module]]&amp;CompilDonnées[[#This Row],[HarvestingDate]]</f>
        <v>87345685</v>
      </c>
    </row>
    <row r="289" spans="1:16">
      <c r="A289" s="5">
        <v>45639</v>
      </c>
      <c r="B289">
        <v>86</v>
      </c>
      <c r="C289" t="s">
        <v>37</v>
      </c>
      <c r="D289">
        <v>3</v>
      </c>
      <c r="E289">
        <v>100</v>
      </c>
      <c r="F289" t="s">
        <v>1</v>
      </c>
      <c r="G289" s="6">
        <v>45690</v>
      </c>
      <c r="H289">
        <v>51</v>
      </c>
      <c r="I289">
        <f>ROUND(CompilDonnées[[#This Row],[CultureDuration_days]]/7,0)</f>
        <v>7</v>
      </c>
      <c r="J289">
        <v>3075</v>
      </c>
      <c r="K289" t="str">
        <f>_xlfn.CONCAT(WEEKNUM(CompilDonnées[[#This Row],[PlantationDate]]), " ", YEAR(CompilDonnées[[#This Row],[PlantationDate]]))</f>
        <v>50 2024</v>
      </c>
      <c r="L289" t="str">
        <f>CONCATENATE(MONTH(CompilDonnées[[#This Row],[PlantationDate]])," ", YEAR(CompilDonnées[[#This Row],[PlantationDate]]))</f>
        <v>12 2024</v>
      </c>
      <c r="M289" t="str">
        <f>CONCATENATE(MONTH(CompilDonnées[[#This Row],[HarvestingDate]])," ", YEAR(CompilDonnées[[#This Row],[HarvestingDate]]))</f>
        <v>2 2025</v>
      </c>
      <c r="N289">
        <f>_xlfn.NUMBERVALUE(CompilDonnées[[#This Row],[FarmID]]&amp;CompilDonnées[[#This Row],[ModuleNumber]]&amp;CompilDonnées[[#This Row],[PlantationDate]])</f>
        <v>86345639</v>
      </c>
      <c r="O289" t="str">
        <f>CompilDonnées[[#This Row],[FarmID]]&amp;CompilDonnées[[#This Row],[ModuleNumber]]</f>
        <v>863</v>
      </c>
      <c r="P289" t="str">
        <f>CompilDonnées[[#This Row],[Ref_Module]]&amp;CompilDonnées[[#This Row],[HarvestingDate]]</f>
        <v>86345690</v>
      </c>
    </row>
    <row r="290" spans="1:16">
      <c r="A290" s="5">
        <v>45639</v>
      </c>
      <c r="B290">
        <v>85</v>
      </c>
      <c r="C290" t="s">
        <v>56</v>
      </c>
      <c r="D290">
        <v>2</v>
      </c>
      <c r="E290">
        <v>100</v>
      </c>
      <c r="F290" t="s">
        <v>1</v>
      </c>
      <c r="G290" s="6">
        <v>45685</v>
      </c>
      <c r="H290">
        <v>46</v>
      </c>
      <c r="I290">
        <f>ROUND(CompilDonnées[[#This Row],[CultureDuration_days]]/7,0)</f>
        <v>7</v>
      </c>
      <c r="J290">
        <v>2406</v>
      </c>
      <c r="K290" t="str">
        <f>_xlfn.CONCAT(WEEKNUM(CompilDonnées[[#This Row],[PlantationDate]]), " ", YEAR(CompilDonnées[[#This Row],[PlantationDate]]))</f>
        <v>50 2024</v>
      </c>
      <c r="L290" t="str">
        <f>CONCATENATE(MONTH(CompilDonnées[[#This Row],[PlantationDate]])," ", YEAR(CompilDonnées[[#This Row],[PlantationDate]]))</f>
        <v>12 2024</v>
      </c>
      <c r="M290" t="str">
        <f>CONCATENATE(MONTH(CompilDonnées[[#This Row],[HarvestingDate]])," ", YEAR(CompilDonnées[[#This Row],[HarvestingDate]]))</f>
        <v>1 2025</v>
      </c>
      <c r="N290">
        <f>_xlfn.NUMBERVALUE(CompilDonnées[[#This Row],[FarmID]]&amp;CompilDonnées[[#This Row],[ModuleNumber]]&amp;CompilDonnées[[#This Row],[PlantationDate]])</f>
        <v>85245639</v>
      </c>
      <c r="O290" t="str">
        <f>CompilDonnées[[#This Row],[FarmID]]&amp;CompilDonnées[[#This Row],[ModuleNumber]]</f>
        <v>852</v>
      </c>
      <c r="P290" t="str">
        <f>CompilDonnées[[#This Row],[Ref_Module]]&amp;CompilDonnées[[#This Row],[HarvestingDate]]</f>
        <v>85245685</v>
      </c>
    </row>
    <row r="291" spans="1:16">
      <c r="A291" s="5">
        <v>45639</v>
      </c>
      <c r="B291">
        <v>93</v>
      </c>
      <c r="C291" t="s">
        <v>10</v>
      </c>
      <c r="D291">
        <v>6</v>
      </c>
      <c r="E291">
        <v>100</v>
      </c>
      <c r="F291" t="s">
        <v>1</v>
      </c>
      <c r="G291" s="6">
        <v>45685</v>
      </c>
      <c r="H291">
        <v>46</v>
      </c>
      <c r="I291">
        <f>ROUND(CompilDonnées[[#This Row],[CultureDuration_days]]/7,0)</f>
        <v>7</v>
      </c>
      <c r="J291">
        <v>4317</v>
      </c>
      <c r="K291" t="str">
        <f>_xlfn.CONCAT(WEEKNUM(CompilDonnées[[#This Row],[PlantationDate]]), " ", YEAR(CompilDonnées[[#This Row],[PlantationDate]]))</f>
        <v>50 2024</v>
      </c>
      <c r="L291" t="str">
        <f>CONCATENATE(MONTH(CompilDonnées[[#This Row],[PlantationDate]])," ", YEAR(CompilDonnées[[#This Row],[PlantationDate]]))</f>
        <v>12 2024</v>
      </c>
      <c r="M291" t="str">
        <f>CONCATENATE(MONTH(CompilDonnées[[#This Row],[HarvestingDate]])," ", YEAR(CompilDonnées[[#This Row],[HarvestingDate]]))</f>
        <v>1 2025</v>
      </c>
      <c r="N291">
        <f>_xlfn.NUMBERVALUE(CompilDonnées[[#This Row],[FarmID]]&amp;CompilDonnées[[#This Row],[ModuleNumber]]&amp;CompilDonnées[[#This Row],[PlantationDate]])</f>
        <v>93645639</v>
      </c>
      <c r="O291" t="str">
        <f>CompilDonnées[[#This Row],[FarmID]]&amp;CompilDonnées[[#This Row],[ModuleNumber]]</f>
        <v>936</v>
      </c>
      <c r="P291" t="str">
        <f>CompilDonnées[[#This Row],[Ref_Module]]&amp;CompilDonnées[[#This Row],[HarvestingDate]]</f>
        <v>93645685</v>
      </c>
    </row>
    <row r="292" spans="1:16">
      <c r="A292" s="5">
        <v>45639</v>
      </c>
      <c r="B292">
        <v>89</v>
      </c>
      <c r="C292" t="s">
        <v>67</v>
      </c>
      <c r="D292">
        <v>2</v>
      </c>
      <c r="E292">
        <v>100</v>
      </c>
      <c r="F292" t="s">
        <v>1</v>
      </c>
      <c r="G292" s="6">
        <v>45685</v>
      </c>
      <c r="H292">
        <v>46</v>
      </c>
      <c r="I292">
        <f>ROUND(CompilDonnées[[#This Row],[CultureDuration_days]]/7,0)</f>
        <v>7</v>
      </c>
      <c r="J292">
        <v>3330</v>
      </c>
      <c r="K292" t="str">
        <f>_xlfn.CONCAT(WEEKNUM(CompilDonnées[[#This Row],[PlantationDate]]), " ", YEAR(CompilDonnées[[#This Row],[PlantationDate]]))</f>
        <v>50 2024</v>
      </c>
      <c r="L292" t="str">
        <f>CONCATENATE(MONTH(CompilDonnées[[#This Row],[PlantationDate]])," ", YEAR(CompilDonnées[[#This Row],[PlantationDate]]))</f>
        <v>12 2024</v>
      </c>
      <c r="M292" t="str">
        <f>CONCATENATE(MONTH(CompilDonnées[[#This Row],[HarvestingDate]])," ", YEAR(CompilDonnées[[#This Row],[HarvestingDate]]))</f>
        <v>1 2025</v>
      </c>
      <c r="N292">
        <f>_xlfn.NUMBERVALUE(CompilDonnées[[#This Row],[FarmID]]&amp;CompilDonnées[[#This Row],[ModuleNumber]]&amp;CompilDonnées[[#This Row],[PlantationDate]])</f>
        <v>89245639</v>
      </c>
      <c r="O292" t="str">
        <f>CompilDonnées[[#This Row],[FarmID]]&amp;CompilDonnées[[#This Row],[ModuleNumber]]</f>
        <v>892</v>
      </c>
      <c r="P292" t="str">
        <f>CompilDonnées[[#This Row],[Ref_Module]]&amp;CompilDonnées[[#This Row],[HarvestingDate]]</f>
        <v>89245685</v>
      </c>
    </row>
    <row r="293" spans="1:16">
      <c r="A293" s="5">
        <v>45639</v>
      </c>
      <c r="B293">
        <v>90</v>
      </c>
      <c r="C293" t="s">
        <v>72</v>
      </c>
      <c r="D293">
        <v>1</v>
      </c>
      <c r="E293">
        <v>100</v>
      </c>
      <c r="F293" t="s">
        <v>1</v>
      </c>
      <c r="G293" s="6">
        <v>45685</v>
      </c>
      <c r="H293">
        <v>46</v>
      </c>
      <c r="I293">
        <f>ROUND(CompilDonnées[[#This Row],[CultureDuration_days]]/7,0)</f>
        <v>7</v>
      </c>
      <c r="J293">
        <v>3297</v>
      </c>
      <c r="K293" t="str">
        <f>_xlfn.CONCAT(WEEKNUM(CompilDonnées[[#This Row],[PlantationDate]]), " ", YEAR(CompilDonnées[[#This Row],[PlantationDate]]))</f>
        <v>50 2024</v>
      </c>
      <c r="L293" t="str">
        <f>CONCATENATE(MONTH(CompilDonnées[[#This Row],[PlantationDate]])," ", YEAR(CompilDonnées[[#This Row],[PlantationDate]]))</f>
        <v>12 2024</v>
      </c>
      <c r="M293" t="str">
        <f>CONCATENATE(MONTH(CompilDonnées[[#This Row],[HarvestingDate]])," ", YEAR(CompilDonnées[[#This Row],[HarvestingDate]]))</f>
        <v>1 2025</v>
      </c>
      <c r="N293">
        <f>_xlfn.NUMBERVALUE(CompilDonnées[[#This Row],[FarmID]]&amp;CompilDonnées[[#This Row],[ModuleNumber]]&amp;CompilDonnées[[#This Row],[PlantationDate]])</f>
        <v>90145639</v>
      </c>
      <c r="O293" t="str">
        <f>CompilDonnées[[#This Row],[FarmID]]&amp;CompilDonnées[[#This Row],[ModuleNumber]]</f>
        <v>901</v>
      </c>
      <c r="P293" t="str">
        <f>CompilDonnées[[#This Row],[Ref_Module]]&amp;CompilDonnées[[#This Row],[HarvestingDate]]</f>
        <v>90145685</v>
      </c>
    </row>
    <row r="294" spans="1:16">
      <c r="A294" s="5">
        <v>45639</v>
      </c>
      <c r="B294">
        <v>97</v>
      </c>
      <c r="C294" t="s">
        <v>78</v>
      </c>
      <c r="D294">
        <v>6</v>
      </c>
      <c r="E294">
        <v>100</v>
      </c>
      <c r="F294" t="s">
        <v>1</v>
      </c>
      <c r="G294" s="6">
        <v>45689</v>
      </c>
      <c r="H294">
        <v>50</v>
      </c>
      <c r="I294">
        <f>ROUND(CompilDonnées[[#This Row],[CultureDuration_days]]/7,0)</f>
        <v>7</v>
      </c>
      <c r="J294">
        <v>2931</v>
      </c>
      <c r="K294" t="str">
        <f>_xlfn.CONCAT(WEEKNUM(CompilDonnées[[#This Row],[PlantationDate]]), " ", YEAR(CompilDonnées[[#This Row],[PlantationDate]]))</f>
        <v>50 2024</v>
      </c>
      <c r="L294" t="str">
        <f>CONCATENATE(MONTH(CompilDonnées[[#This Row],[PlantationDate]])," ", YEAR(CompilDonnées[[#This Row],[PlantationDate]]))</f>
        <v>12 2024</v>
      </c>
      <c r="M294" t="str">
        <f>CONCATENATE(MONTH(CompilDonnées[[#This Row],[HarvestingDate]])," ", YEAR(CompilDonnées[[#This Row],[HarvestingDate]]))</f>
        <v>2 2025</v>
      </c>
      <c r="N294">
        <f>_xlfn.NUMBERVALUE(CompilDonnées[[#This Row],[FarmID]]&amp;CompilDonnées[[#This Row],[ModuleNumber]]&amp;CompilDonnées[[#This Row],[PlantationDate]])</f>
        <v>97645639</v>
      </c>
      <c r="O294" t="str">
        <f>CompilDonnées[[#This Row],[FarmID]]&amp;CompilDonnées[[#This Row],[ModuleNumber]]</f>
        <v>976</v>
      </c>
      <c r="P294" t="str">
        <f>CompilDonnées[[#This Row],[Ref_Module]]&amp;CompilDonnées[[#This Row],[HarvestingDate]]</f>
        <v>97645689</v>
      </c>
    </row>
    <row r="295" spans="1:16">
      <c r="A295" s="5">
        <v>45639</v>
      </c>
      <c r="B295">
        <v>98</v>
      </c>
      <c r="C295" t="s">
        <v>79</v>
      </c>
      <c r="D295">
        <v>2</v>
      </c>
      <c r="E295">
        <v>100</v>
      </c>
      <c r="F295" t="s">
        <v>1</v>
      </c>
      <c r="G295" s="6">
        <v>45684</v>
      </c>
      <c r="H295">
        <v>45</v>
      </c>
      <c r="I295">
        <f>ROUND(CompilDonnées[[#This Row],[CultureDuration_days]]/7,0)</f>
        <v>6</v>
      </c>
      <c r="J295">
        <v>2907</v>
      </c>
      <c r="K295" t="str">
        <f>_xlfn.CONCAT(WEEKNUM(CompilDonnées[[#This Row],[PlantationDate]]), " ", YEAR(CompilDonnées[[#This Row],[PlantationDate]]))</f>
        <v>50 2024</v>
      </c>
      <c r="L295" t="str">
        <f>CONCATENATE(MONTH(CompilDonnées[[#This Row],[PlantationDate]])," ", YEAR(CompilDonnées[[#This Row],[PlantationDate]]))</f>
        <v>12 2024</v>
      </c>
      <c r="M295" t="str">
        <f>CONCATENATE(MONTH(CompilDonnées[[#This Row],[HarvestingDate]])," ", YEAR(CompilDonnées[[#This Row],[HarvestingDate]]))</f>
        <v>1 2025</v>
      </c>
      <c r="N295">
        <f>_xlfn.NUMBERVALUE(CompilDonnées[[#This Row],[FarmID]]&amp;CompilDonnées[[#This Row],[ModuleNumber]]&amp;CompilDonnées[[#This Row],[PlantationDate]])</f>
        <v>98245639</v>
      </c>
      <c r="O295" t="str">
        <f>CompilDonnées[[#This Row],[FarmID]]&amp;CompilDonnées[[#This Row],[ModuleNumber]]</f>
        <v>982</v>
      </c>
      <c r="P295" t="str">
        <f>CompilDonnées[[#This Row],[Ref_Module]]&amp;CompilDonnées[[#This Row],[HarvestingDate]]</f>
        <v>98245684</v>
      </c>
    </row>
    <row r="296" spans="1:16">
      <c r="A296" s="5">
        <v>45639</v>
      </c>
      <c r="B296">
        <v>101</v>
      </c>
      <c r="C296" t="s">
        <v>54</v>
      </c>
      <c r="D296">
        <v>4</v>
      </c>
      <c r="E296">
        <v>100</v>
      </c>
      <c r="F296" t="s">
        <v>1</v>
      </c>
      <c r="G296" s="6">
        <v>45685</v>
      </c>
      <c r="H296">
        <v>46</v>
      </c>
      <c r="I296">
        <f>ROUND(CompilDonnées[[#This Row],[CultureDuration_days]]/7,0)</f>
        <v>7</v>
      </c>
      <c r="J296">
        <v>4914</v>
      </c>
      <c r="K296" t="str">
        <f>_xlfn.CONCAT(WEEKNUM(CompilDonnées[[#This Row],[PlantationDate]]), " ", YEAR(CompilDonnées[[#This Row],[PlantationDate]]))</f>
        <v>50 2024</v>
      </c>
      <c r="L296" t="str">
        <f>CONCATENATE(MONTH(CompilDonnées[[#This Row],[PlantationDate]])," ", YEAR(CompilDonnées[[#This Row],[PlantationDate]]))</f>
        <v>12 2024</v>
      </c>
      <c r="M296" t="str">
        <f>CONCATENATE(MONTH(CompilDonnées[[#This Row],[HarvestingDate]])," ", YEAR(CompilDonnées[[#This Row],[HarvestingDate]]))</f>
        <v>1 2025</v>
      </c>
      <c r="N296">
        <f>_xlfn.NUMBERVALUE(CompilDonnées[[#This Row],[FarmID]]&amp;CompilDonnées[[#This Row],[ModuleNumber]]&amp;CompilDonnées[[#This Row],[PlantationDate]])</f>
        <v>101445639</v>
      </c>
      <c r="O296" t="str">
        <f>CompilDonnées[[#This Row],[FarmID]]&amp;CompilDonnées[[#This Row],[ModuleNumber]]</f>
        <v>1014</v>
      </c>
      <c r="P296" t="str">
        <f>CompilDonnées[[#This Row],[Ref_Module]]&amp;CompilDonnées[[#This Row],[HarvestingDate]]</f>
        <v>101445685</v>
      </c>
    </row>
    <row r="297" spans="1:16">
      <c r="A297" s="5">
        <v>45639</v>
      </c>
      <c r="B297">
        <v>94</v>
      </c>
      <c r="C297" t="s">
        <v>40</v>
      </c>
      <c r="D297">
        <v>2</v>
      </c>
      <c r="E297">
        <v>100</v>
      </c>
      <c r="F297" t="s">
        <v>1</v>
      </c>
      <c r="G297" s="6">
        <v>45685</v>
      </c>
      <c r="H297">
        <v>46</v>
      </c>
      <c r="I297">
        <f>ROUND(CompilDonnées[[#This Row],[CultureDuration_days]]/7,0)</f>
        <v>7</v>
      </c>
      <c r="J297">
        <v>4441</v>
      </c>
      <c r="K297" t="str">
        <f>_xlfn.CONCAT(WEEKNUM(CompilDonnées[[#This Row],[PlantationDate]]), " ", YEAR(CompilDonnées[[#This Row],[PlantationDate]]))</f>
        <v>50 2024</v>
      </c>
      <c r="L297" t="str">
        <f>CONCATENATE(MONTH(CompilDonnées[[#This Row],[PlantationDate]])," ", YEAR(CompilDonnées[[#This Row],[PlantationDate]]))</f>
        <v>12 2024</v>
      </c>
      <c r="M297" t="str">
        <f>CONCATENATE(MONTH(CompilDonnées[[#This Row],[HarvestingDate]])," ", YEAR(CompilDonnées[[#This Row],[HarvestingDate]]))</f>
        <v>1 2025</v>
      </c>
      <c r="N297">
        <f>_xlfn.NUMBERVALUE(CompilDonnées[[#This Row],[FarmID]]&amp;CompilDonnées[[#This Row],[ModuleNumber]]&amp;CompilDonnées[[#This Row],[PlantationDate]])</f>
        <v>94245639</v>
      </c>
      <c r="O297" t="str">
        <f>CompilDonnées[[#This Row],[FarmID]]&amp;CompilDonnées[[#This Row],[ModuleNumber]]</f>
        <v>942</v>
      </c>
      <c r="P297" t="str">
        <f>CompilDonnées[[#This Row],[Ref_Module]]&amp;CompilDonnées[[#This Row],[HarvestingDate]]</f>
        <v>94245685</v>
      </c>
    </row>
    <row r="298" spans="1:16">
      <c r="A298" s="5">
        <v>45639</v>
      </c>
      <c r="B298">
        <v>108</v>
      </c>
      <c r="C298" t="s">
        <v>58</v>
      </c>
      <c r="D298">
        <v>1</v>
      </c>
      <c r="E298">
        <v>100</v>
      </c>
      <c r="F298" t="s">
        <v>1</v>
      </c>
      <c r="G298" s="6">
        <v>45679</v>
      </c>
      <c r="H298">
        <v>40</v>
      </c>
      <c r="I298">
        <f>ROUND(CompilDonnées[[#This Row],[CultureDuration_days]]/7,0)</f>
        <v>6</v>
      </c>
      <c r="J298">
        <v>2634</v>
      </c>
      <c r="K298" t="str">
        <f>_xlfn.CONCAT(WEEKNUM(CompilDonnées[[#This Row],[PlantationDate]]), " ", YEAR(CompilDonnées[[#This Row],[PlantationDate]]))</f>
        <v>50 2024</v>
      </c>
      <c r="L298" t="str">
        <f>CONCATENATE(MONTH(CompilDonnées[[#This Row],[PlantationDate]])," ", YEAR(CompilDonnées[[#This Row],[PlantationDate]]))</f>
        <v>12 2024</v>
      </c>
      <c r="M298" t="str">
        <f>CONCATENATE(MONTH(CompilDonnées[[#This Row],[HarvestingDate]])," ", YEAR(CompilDonnées[[#This Row],[HarvestingDate]]))</f>
        <v>1 2025</v>
      </c>
      <c r="N298">
        <f>_xlfn.NUMBERVALUE(CompilDonnées[[#This Row],[FarmID]]&amp;CompilDonnées[[#This Row],[ModuleNumber]]&amp;CompilDonnées[[#This Row],[PlantationDate]])</f>
        <v>108145639</v>
      </c>
      <c r="O298" t="str">
        <f>CompilDonnées[[#This Row],[FarmID]]&amp;CompilDonnées[[#This Row],[ModuleNumber]]</f>
        <v>1081</v>
      </c>
      <c r="P298" t="str">
        <f>CompilDonnées[[#This Row],[Ref_Module]]&amp;CompilDonnées[[#This Row],[HarvestingDate]]</f>
        <v>108145679</v>
      </c>
    </row>
    <row r="299" spans="1:16">
      <c r="A299" s="5">
        <v>45639</v>
      </c>
      <c r="B299">
        <v>75</v>
      </c>
      <c r="C299" t="s">
        <v>3</v>
      </c>
      <c r="D299">
        <v>1</v>
      </c>
      <c r="E299">
        <v>52</v>
      </c>
      <c r="F299" t="s">
        <v>1</v>
      </c>
      <c r="G299" s="6">
        <v>45670</v>
      </c>
      <c r="H299">
        <v>31</v>
      </c>
      <c r="I299">
        <f>ROUND(CompilDonnées[[#This Row],[CultureDuration_days]]/7,0)</f>
        <v>4</v>
      </c>
      <c r="J299">
        <v>988</v>
      </c>
      <c r="K299" t="str">
        <f>_xlfn.CONCAT(WEEKNUM(CompilDonnées[[#This Row],[PlantationDate]]), " ", YEAR(CompilDonnées[[#This Row],[PlantationDate]]))</f>
        <v>50 2024</v>
      </c>
      <c r="L299" t="str">
        <f>CONCATENATE(MONTH(CompilDonnées[[#This Row],[PlantationDate]])," ", YEAR(CompilDonnées[[#This Row],[PlantationDate]]))</f>
        <v>12 2024</v>
      </c>
      <c r="M299" t="str">
        <f>CONCATENATE(MONTH(CompilDonnées[[#This Row],[HarvestingDate]])," ", YEAR(CompilDonnées[[#This Row],[HarvestingDate]]))</f>
        <v>1 2025</v>
      </c>
      <c r="N299">
        <f>_xlfn.NUMBERVALUE(CompilDonnées[[#This Row],[FarmID]]&amp;CompilDonnées[[#This Row],[ModuleNumber]]&amp;CompilDonnées[[#This Row],[PlantationDate]])</f>
        <v>75145639</v>
      </c>
      <c r="O299" t="str">
        <f>CompilDonnées[[#This Row],[FarmID]]&amp;CompilDonnées[[#This Row],[ModuleNumber]]</f>
        <v>751</v>
      </c>
      <c r="P299" t="str">
        <f>CompilDonnées[[#This Row],[Ref_Module]]&amp;CompilDonnées[[#This Row],[HarvestingDate]]</f>
        <v>75145670</v>
      </c>
    </row>
    <row r="300" spans="1:16">
      <c r="A300" s="5">
        <v>45639</v>
      </c>
      <c r="B300">
        <v>75</v>
      </c>
      <c r="C300" t="s">
        <v>3</v>
      </c>
      <c r="D300">
        <v>2</v>
      </c>
      <c r="E300">
        <v>68</v>
      </c>
      <c r="F300" t="s">
        <v>1</v>
      </c>
      <c r="G300" s="6">
        <v>45670</v>
      </c>
      <c r="H300">
        <v>31</v>
      </c>
      <c r="I300">
        <f>ROUND(CompilDonnées[[#This Row],[CultureDuration_days]]/7,0)</f>
        <v>4</v>
      </c>
      <c r="J300">
        <v>1697</v>
      </c>
      <c r="K300" t="str">
        <f>_xlfn.CONCAT(WEEKNUM(CompilDonnées[[#This Row],[PlantationDate]]), " ", YEAR(CompilDonnées[[#This Row],[PlantationDate]]))</f>
        <v>50 2024</v>
      </c>
      <c r="L300" t="str">
        <f>CONCATENATE(MONTH(CompilDonnées[[#This Row],[PlantationDate]])," ", YEAR(CompilDonnées[[#This Row],[PlantationDate]]))</f>
        <v>12 2024</v>
      </c>
      <c r="M300" t="str">
        <f>CONCATENATE(MONTH(CompilDonnées[[#This Row],[HarvestingDate]])," ", YEAR(CompilDonnées[[#This Row],[HarvestingDate]]))</f>
        <v>1 2025</v>
      </c>
      <c r="N300">
        <f>_xlfn.NUMBERVALUE(CompilDonnées[[#This Row],[FarmID]]&amp;CompilDonnées[[#This Row],[ModuleNumber]]&amp;CompilDonnées[[#This Row],[PlantationDate]])</f>
        <v>75245639</v>
      </c>
      <c r="O300" t="str">
        <f>CompilDonnées[[#This Row],[FarmID]]&amp;CompilDonnées[[#This Row],[ModuleNumber]]</f>
        <v>752</v>
      </c>
      <c r="P300" t="str">
        <f>CompilDonnées[[#This Row],[Ref_Module]]&amp;CompilDonnées[[#This Row],[HarvestingDate]]</f>
        <v>75245670</v>
      </c>
    </row>
    <row r="301" spans="1:16">
      <c r="A301" s="5">
        <v>45639</v>
      </c>
      <c r="B301">
        <v>75</v>
      </c>
      <c r="C301" t="s">
        <v>3</v>
      </c>
      <c r="D301">
        <v>3</v>
      </c>
      <c r="E301">
        <v>100</v>
      </c>
      <c r="F301" t="s">
        <v>1</v>
      </c>
      <c r="G301" s="6">
        <v>45670</v>
      </c>
      <c r="H301">
        <v>31</v>
      </c>
      <c r="I301">
        <f>ROUND(CompilDonnées[[#This Row],[CultureDuration_days]]/7,0)</f>
        <v>4</v>
      </c>
      <c r="J301">
        <v>1761</v>
      </c>
      <c r="K301" t="str">
        <f>_xlfn.CONCAT(WEEKNUM(CompilDonnées[[#This Row],[PlantationDate]]), " ", YEAR(CompilDonnées[[#This Row],[PlantationDate]]))</f>
        <v>50 2024</v>
      </c>
      <c r="L301" t="str">
        <f>CONCATENATE(MONTH(CompilDonnées[[#This Row],[PlantationDate]])," ", YEAR(CompilDonnées[[#This Row],[PlantationDate]]))</f>
        <v>12 2024</v>
      </c>
      <c r="M301" t="str">
        <f>CONCATENATE(MONTH(CompilDonnées[[#This Row],[HarvestingDate]])," ", YEAR(CompilDonnées[[#This Row],[HarvestingDate]]))</f>
        <v>1 2025</v>
      </c>
      <c r="N301">
        <f>_xlfn.NUMBERVALUE(CompilDonnées[[#This Row],[FarmID]]&amp;CompilDonnées[[#This Row],[ModuleNumber]]&amp;CompilDonnées[[#This Row],[PlantationDate]])</f>
        <v>75345639</v>
      </c>
      <c r="O301" t="str">
        <f>CompilDonnées[[#This Row],[FarmID]]&amp;CompilDonnées[[#This Row],[ModuleNumber]]</f>
        <v>753</v>
      </c>
      <c r="P301" t="str">
        <f>CompilDonnées[[#This Row],[Ref_Module]]&amp;CompilDonnées[[#This Row],[HarvestingDate]]</f>
        <v>75345670</v>
      </c>
    </row>
    <row r="302" spans="1:16">
      <c r="A302" s="5">
        <v>45639</v>
      </c>
      <c r="B302">
        <v>78</v>
      </c>
      <c r="C302" t="s">
        <v>3</v>
      </c>
      <c r="D302">
        <v>4</v>
      </c>
      <c r="E302">
        <v>68</v>
      </c>
      <c r="F302" t="s">
        <v>1</v>
      </c>
      <c r="G302" s="6">
        <v>45677</v>
      </c>
      <c r="H302">
        <v>38</v>
      </c>
      <c r="I302">
        <f>ROUND(CompilDonnées[[#This Row],[CultureDuration_days]]/7,0)</f>
        <v>5</v>
      </c>
      <c r="J302">
        <v>1748</v>
      </c>
      <c r="K302" t="str">
        <f>_xlfn.CONCAT(WEEKNUM(CompilDonnées[[#This Row],[PlantationDate]]), " ", YEAR(CompilDonnées[[#This Row],[PlantationDate]]))</f>
        <v>50 2024</v>
      </c>
      <c r="L302" t="str">
        <f>CONCATENATE(MONTH(CompilDonnées[[#This Row],[PlantationDate]])," ", YEAR(CompilDonnées[[#This Row],[PlantationDate]]))</f>
        <v>12 2024</v>
      </c>
      <c r="M302" t="str">
        <f>CONCATENATE(MONTH(CompilDonnées[[#This Row],[HarvestingDate]])," ", YEAR(CompilDonnées[[#This Row],[HarvestingDate]]))</f>
        <v>1 2025</v>
      </c>
      <c r="N302">
        <f>_xlfn.NUMBERVALUE(CompilDonnées[[#This Row],[FarmID]]&amp;CompilDonnées[[#This Row],[ModuleNumber]]&amp;CompilDonnées[[#This Row],[PlantationDate]])</f>
        <v>78445639</v>
      </c>
      <c r="O302" t="str">
        <f>CompilDonnées[[#This Row],[FarmID]]&amp;CompilDonnées[[#This Row],[ModuleNumber]]</f>
        <v>784</v>
      </c>
      <c r="P302" t="str">
        <f>CompilDonnées[[#This Row],[Ref_Module]]&amp;CompilDonnées[[#This Row],[HarvestingDate]]</f>
        <v>78445677</v>
      </c>
    </row>
    <row r="303" spans="1:16">
      <c r="A303" s="5">
        <v>45639</v>
      </c>
      <c r="B303">
        <v>78</v>
      </c>
      <c r="C303" t="s">
        <v>3</v>
      </c>
      <c r="D303">
        <v>5</v>
      </c>
      <c r="E303">
        <v>68</v>
      </c>
      <c r="F303" t="s">
        <v>1</v>
      </c>
      <c r="G303" s="6">
        <v>45677</v>
      </c>
      <c r="H303">
        <v>38</v>
      </c>
      <c r="I303">
        <f>ROUND(CompilDonnées[[#This Row],[CultureDuration_days]]/7,0)</f>
        <v>5</v>
      </c>
      <c r="J303">
        <v>2101</v>
      </c>
      <c r="K303" t="str">
        <f>_xlfn.CONCAT(WEEKNUM(CompilDonnées[[#This Row],[PlantationDate]]), " ", YEAR(CompilDonnées[[#This Row],[PlantationDate]]))</f>
        <v>50 2024</v>
      </c>
      <c r="L303" t="str">
        <f>CONCATENATE(MONTH(CompilDonnées[[#This Row],[PlantationDate]])," ", YEAR(CompilDonnées[[#This Row],[PlantationDate]]))</f>
        <v>12 2024</v>
      </c>
      <c r="M303" t="str">
        <f>CONCATENATE(MONTH(CompilDonnées[[#This Row],[HarvestingDate]])," ", YEAR(CompilDonnées[[#This Row],[HarvestingDate]]))</f>
        <v>1 2025</v>
      </c>
      <c r="N303">
        <f>_xlfn.NUMBERVALUE(CompilDonnées[[#This Row],[FarmID]]&amp;CompilDonnées[[#This Row],[ModuleNumber]]&amp;CompilDonnées[[#This Row],[PlantationDate]])</f>
        <v>78545639</v>
      </c>
      <c r="O303" t="str">
        <f>CompilDonnées[[#This Row],[FarmID]]&amp;CompilDonnées[[#This Row],[ModuleNumber]]</f>
        <v>785</v>
      </c>
      <c r="P303" t="str">
        <f>CompilDonnées[[#This Row],[Ref_Module]]&amp;CompilDonnées[[#This Row],[HarvestingDate]]</f>
        <v>78545677</v>
      </c>
    </row>
    <row r="304" spans="1:16">
      <c r="A304" s="5">
        <v>45639</v>
      </c>
      <c r="B304">
        <v>78</v>
      </c>
      <c r="C304" t="s">
        <v>3</v>
      </c>
      <c r="D304">
        <v>6</v>
      </c>
      <c r="E304">
        <v>68</v>
      </c>
      <c r="F304" t="s">
        <v>1</v>
      </c>
      <c r="G304" s="6">
        <v>45677</v>
      </c>
      <c r="H304">
        <v>38</v>
      </c>
      <c r="I304">
        <f>ROUND(CompilDonnées[[#This Row],[CultureDuration_days]]/7,0)</f>
        <v>5</v>
      </c>
      <c r="J304">
        <v>1705</v>
      </c>
      <c r="K304" t="str">
        <f>_xlfn.CONCAT(WEEKNUM(CompilDonnées[[#This Row],[PlantationDate]]), " ", YEAR(CompilDonnées[[#This Row],[PlantationDate]]))</f>
        <v>50 2024</v>
      </c>
      <c r="L304" t="str">
        <f>CONCATENATE(MONTH(CompilDonnées[[#This Row],[PlantationDate]])," ", YEAR(CompilDonnées[[#This Row],[PlantationDate]]))</f>
        <v>12 2024</v>
      </c>
      <c r="M304" t="str">
        <f>CONCATENATE(MONTH(CompilDonnées[[#This Row],[HarvestingDate]])," ", YEAR(CompilDonnées[[#This Row],[HarvestingDate]]))</f>
        <v>1 2025</v>
      </c>
      <c r="N304">
        <f>_xlfn.NUMBERVALUE(CompilDonnées[[#This Row],[FarmID]]&amp;CompilDonnées[[#This Row],[ModuleNumber]]&amp;CompilDonnées[[#This Row],[PlantationDate]])</f>
        <v>78645639</v>
      </c>
      <c r="O304" t="str">
        <f>CompilDonnées[[#This Row],[FarmID]]&amp;CompilDonnées[[#This Row],[ModuleNumber]]</f>
        <v>786</v>
      </c>
      <c r="P304" t="str">
        <f>CompilDonnées[[#This Row],[Ref_Module]]&amp;CompilDonnées[[#This Row],[HarvestingDate]]</f>
        <v>78645677</v>
      </c>
    </row>
    <row r="305" spans="1:16">
      <c r="A305" s="5">
        <v>45639</v>
      </c>
      <c r="B305">
        <v>141</v>
      </c>
      <c r="C305" t="s">
        <v>3</v>
      </c>
      <c r="D305">
        <v>1</v>
      </c>
      <c r="E305">
        <v>68</v>
      </c>
      <c r="F305" t="s">
        <v>1</v>
      </c>
      <c r="G305" s="6">
        <v>45673</v>
      </c>
      <c r="H305">
        <v>34</v>
      </c>
      <c r="I305">
        <f>ROUND(CompilDonnées[[#This Row],[CultureDuration_days]]/7,0)</f>
        <v>5</v>
      </c>
      <c r="J305">
        <v>1079</v>
      </c>
      <c r="K305" t="str">
        <f>_xlfn.CONCAT(WEEKNUM(CompilDonnées[[#This Row],[PlantationDate]]), " ", YEAR(CompilDonnées[[#This Row],[PlantationDate]]))</f>
        <v>50 2024</v>
      </c>
      <c r="L305" t="str">
        <f>CONCATENATE(MONTH(CompilDonnées[[#This Row],[PlantationDate]])," ", YEAR(CompilDonnées[[#This Row],[PlantationDate]]))</f>
        <v>12 2024</v>
      </c>
      <c r="M305" t="str">
        <f>CONCATENATE(MONTH(CompilDonnées[[#This Row],[HarvestingDate]])," ", YEAR(CompilDonnées[[#This Row],[HarvestingDate]]))</f>
        <v>1 2025</v>
      </c>
      <c r="N305">
        <f>_xlfn.NUMBERVALUE(CompilDonnées[[#This Row],[FarmID]]&amp;CompilDonnées[[#This Row],[ModuleNumber]]&amp;CompilDonnées[[#This Row],[PlantationDate]])</f>
        <v>141145639</v>
      </c>
      <c r="O305" t="str">
        <f>CompilDonnées[[#This Row],[FarmID]]&amp;CompilDonnées[[#This Row],[ModuleNumber]]</f>
        <v>1411</v>
      </c>
      <c r="P305" t="str">
        <f>CompilDonnées[[#This Row],[Ref_Module]]&amp;CompilDonnées[[#This Row],[HarvestingDate]]</f>
        <v>141145673</v>
      </c>
    </row>
    <row r="306" spans="1:16">
      <c r="A306" s="5">
        <v>45639</v>
      </c>
      <c r="B306">
        <v>141</v>
      </c>
      <c r="C306" t="s">
        <v>3</v>
      </c>
      <c r="D306">
        <v>2</v>
      </c>
      <c r="E306">
        <v>68</v>
      </c>
      <c r="F306" t="s">
        <v>1</v>
      </c>
      <c r="G306" s="6">
        <v>45673</v>
      </c>
      <c r="H306">
        <v>34</v>
      </c>
      <c r="I306">
        <f>ROUND(CompilDonnées[[#This Row],[CultureDuration_days]]/7,0)</f>
        <v>5</v>
      </c>
      <c r="J306">
        <v>1253</v>
      </c>
      <c r="K306" t="str">
        <f>_xlfn.CONCAT(WEEKNUM(CompilDonnées[[#This Row],[PlantationDate]]), " ", YEAR(CompilDonnées[[#This Row],[PlantationDate]]))</f>
        <v>50 2024</v>
      </c>
      <c r="L306" t="str">
        <f>CONCATENATE(MONTH(CompilDonnées[[#This Row],[PlantationDate]])," ", YEAR(CompilDonnées[[#This Row],[PlantationDate]]))</f>
        <v>12 2024</v>
      </c>
      <c r="M306" t="str">
        <f>CONCATENATE(MONTH(CompilDonnées[[#This Row],[HarvestingDate]])," ", YEAR(CompilDonnées[[#This Row],[HarvestingDate]]))</f>
        <v>1 2025</v>
      </c>
      <c r="N306">
        <f>_xlfn.NUMBERVALUE(CompilDonnées[[#This Row],[FarmID]]&amp;CompilDonnées[[#This Row],[ModuleNumber]]&amp;CompilDonnées[[#This Row],[PlantationDate]])</f>
        <v>141245639</v>
      </c>
      <c r="O306" t="str">
        <f>CompilDonnées[[#This Row],[FarmID]]&amp;CompilDonnées[[#This Row],[ModuleNumber]]</f>
        <v>1412</v>
      </c>
      <c r="P306" t="str">
        <f>CompilDonnées[[#This Row],[Ref_Module]]&amp;CompilDonnées[[#This Row],[HarvestingDate]]</f>
        <v>141245673</v>
      </c>
    </row>
    <row r="307" spans="1:16">
      <c r="A307" s="5">
        <v>45639</v>
      </c>
      <c r="B307">
        <v>141</v>
      </c>
      <c r="C307" t="s">
        <v>3</v>
      </c>
      <c r="D307">
        <v>3</v>
      </c>
      <c r="E307">
        <v>68</v>
      </c>
      <c r="F307" t="s">
        <v>1</v>
      </c>
      <c r="G307" s="6">
        <v>45673</v>
      </c>
      <c r="H307">
        <v>34</v>
      </c>
      <c r="I307">
        <f>ROUND(CompilDonnées[[#This Row],[CultureDuration_days]]/7,0)</f>
        <v>5</v>
      </c>
      <c r="J307">
        <v>1018</v>
      </c>
      <c r="K307" t="str">
        <f>_xlfn.CONCAT(WEEKNUM(CompilDonnées[[#This Row],[PlantationDate]]), " ", YEAR(CompilDonnées[[#This Row],[PlantationDate]]))</f>
        <v>50 2024</v>
      </c>
      <c r="L307" t="str">
        <f>CONCATENATE(MONTH(CompilDonnées[[#This Row],[PlantationDate]])," ", YEAR(CompilDonnées[[#This Row],[PlantationDate]]))</f>
        <v>12 2024</v>
      </c>
      <c r="M307" t="str">
        <f>CONCATENATE(MONTH(CompilDonnées[[#This Row],[HarvestingDate]])," ", YEAR(CompilDonnées[[#This Row],[HarvestingDate]]))</f>
        <v>1 2025</v>
      </c>
      <c r="N307">
        <f>_xlfn.NUMBERVALUE(CompilDonnées[[#This Row],[FarmID]]&amp;CompilDonnées[[#This Row],[ModuleNumber]]&amp;CompilDonnées[[#This Row],[PlantationDate]])</f>
        <v>141345639</v>
      </c>
      <c r="O307" t="str">
        <f>CompilDonnées[[#This Row],[FarmID]]&amp;CompilDonnées[[#This Row],[ModuleNumber]]</f>
        <v>1413</v>
      </c>
      <c r="P307" t="str">
        <f>CompilDonnées[[#This Row],[Ref_Module]]&amp;CompilDonnées[[#This Row],[HarvestingDate]]</f>
        <v>141345673</v>
      </c>
    </row>
    <row r="308" spans="1:16">
      <c r="A308" s="5">
        <v>45640</v>
      </c>
      <c r="B308">
        <v>114</v>
      </c>
      <c r="C308" t="s">
        <v>76</v>
      </c>
      <c r="D308">
        <v>1</v>
      </c>
      <c r="E308">
        <v>100</v>
      </c>
      <c r="F308" t="s">
        <v>1</v>
      </c>
      <c r="G308" s="6">
        <v>45679</v>
      </c>
      <c r="H308">
        <v>39</v>
      </c>
      <c r="I308">
        <f>ROUND(CompilDonnées[[#This Row],[CultureDuration_days]]/7,0)</f>
        <v>6</v>
      </c>
      <c r="J308">
        <v>1709</v>
      </c>
      <c r="K308" t="str">
        <f>_xlfn.CONCAT(WEEKNUM(CompilDonnées[[#This Row],[PlantationDate]]), " ", YEAR(CompilDonnées[[#This Row],[PlantationDate]]))</f>
        <v>50 2024</v>
      </c>
      <c r="L308" t="str">
        <f>CONCATENATE(MONTH(CompilDonnées[[#This Row],[PlantationDate]])," ", YEAR(CompilDonnées[[#This Row],[PlantationDate]]))</f>
        <v>12 2024</v>
      </c>
      <c r="M308" t="str">
        <f>CONCATENATE(MONTH(CompilDonnées[[#This Row],[HarvestingDate]])," ", YEAR(CompilDonnées[[#This Row],[HarvestingDate]]))</f>
        <v>1 2025</v>
      </c>
      <c r="N308">
        <f>_xlfn.NUMBERVALUE(CompilDonnées[[#This Row],[FarmID]]&amp;CompilDonnées[[#This Row],[ModuleNumber]]&amp;CompilDonnées[[#This Row],[PlantationDate]])</f>
        <v>114145640</v>
      </c>
      <c r="O308" t="str">
        <f>CompilDonnées[[#This Row],[FarmID]]&amp;CompilDonnées[[#This Row],[ModuleNumber]]</f>
        <v>1141</v>
      </c>
      <c r="P308" t="str">
        <f>CompilDonnées[[#This Row],[Ref_Module]]&amp;CompilDonnées[[#This Row],[HarvestingDate]]</f>
        <v>114145679</v>
      </c>
    </row>
    <row r="309" spans="1:16">
      <c r="A309" s="5">
        <v>45640</v>
      </c>
      <c r="B309">
        <v>113</v>
      </c>
      <c r="C309" t="s">
        <v>16</v>
      </c>
      <c r="D309">
        <v>1</v>
      </c>
      <c r="E309">
        <v>100</v>
      </c>
      <c r="F309" t="s">
        <v>1</v>
      </c>
      <c r="G309" s="6">
        <v>45679</v>
      </c>
      <c r="H309">
        <v>39</v>
      </c>
      <c r="I309">
        <f>ROUND(CompilDonnées[[#This Row],[CultureDuration_days]]/7,0)</f>
        <v>6</v>
      </c>
      <c r="J309">
        <v>3925</v>
      </c>
      <c r="K309" t="str">
        <f>_xlfn.CONCAT(WEEKNUM(CompilDonnées[[#This Row],[PlantationDate]]), " ", YEAR(CompilDonnées[[#This Row],[PlantationDate]]))</f>
        <v>50 2024</v>
      </c>
      <c r="L309" t="str">
        <f>CONCATENATE(MONTH(CompilDonnées[[#This Row],[PlantationDate]])," ", YEAR(CompilDonnées[[#This Row],[PlantationDate]]))</f>
        <v>12 2024</v>
      </c>
      <c r="M309" t="str">
        <f>CONCATENATE(MONTH(CompilDonnées[[#This Row],[HarvestingDate]])," ", YEAR(CompilDonnées[[#This Row],[HarvestingDate]]))</f>
        <v>1 2025</v>
      </c>
      <c r="N309">
        <f>_xlfn.NUMBERVALUE(CompilDonnées[[#This Row],[FarmID]]&amp;CompilDonnées[[#This Row],[ModuleNumber]]&amp;CompilDonnées[[#This Row],[PlantationDate]])</f>
        <v>113145640</v>
      </c>
      <c r="O309" t="str">
        <f>CompilDonnées[[#This Row],[FarmID]]&amp;CompilDonnées[[#This Row],[ModuleNumber]]</f>
        <v>1131</v>
      </c>
      <c r="P309" t="str">
        <f>CompilDonnées[[#This Row],[Ref_Module]]&amp;CompilDonnées[[#This Row],[HarvestingDate]]</f>
        <v>113145679</v>
      </c>
    </row>
    <row r="310" spans="1:16">
      <c r="A310" s="5">
        <v>45640</v>
      </c>
      <c r="B310">
        <v>112</v>
      </c>
      <c r="C310" t="s">
        <v>15</v>
      </c>
      <c r="D310">
        <v>6</v>
      </c>
      <c r="E310">
        <v>100</v>
      </c>
      <c r="F310" t="s">
        <v>1</v>
      </c>
      <c r="G310" s="6">
        <v>45679</v>
      </c>
      <c r="H310">
        <v>39</v>
      </c>
      <c r="I310">
        <f>ROUND(CompilDonnées[[#This Row],[CultureDuration_days]]/7,0)</f>
        <v>6</v>
      </c>
      <c r="J310">
        <v>3235</v>
      </c>
      <c r="K310" t="str">
        <f>_xlfn.CONCAT(WEEKNUM(CompilDonnées[[#This Row],[PlantationDate]]), " ", YEAR(CompilDonnées[[#This Row],[PlantationDate]]))</f>
        <v>50 2024</v>
      </c>
      <c r="L310" t="str">
        <f>CONCATENATE(MONTH(CompilDonnées[[#This Row],[PlantationDate]])," ", YEAR(CompilDonnées[[#This Row],[PlantationDate]]))</f>
        <v>12 2024</v>
      </c>
      <c r="M310" t="str">
        <f>CONCATENATE(MONTH(CompilDonnées[[#This Row],[HarvestingDate]])," ", YEAR(CompilDonnées[[#This Row],[HarvestingDate]]))</f>
        <v>1 2025</v>
      </c>
      <c r="N310">
        <f>_xlfn.NUMBERVALUE(CompilDonnées[[#This Row],[FarmID]]&amp;CompilDonnées[[#This Row],[ModuleNumber]]&amp;CompilDonnées[[#This Row],[PlantationDate]])</f>
        <v>112645640</v>
      </c>
      <c r="O310" t="str">
        <f>CompilDonnées[[#This Row],[FarmID]]&amp;CompilDonnées[[#This Row],[ModuleNumber]]</f>
        <v>1126</v>
      </c>
      <c r="P310" t="str">
        <f>CompilDonnées[[#This Row],[Ref_Module]]&amp;CompilDonnées[[#This Row],[HarvestingDate]]</f>
        <v>112645679</v>
      </c>
    </row>
    <row r="311" spans="1:16">
      <c r="A311" s="5">
        <v>45640</v>
      </c>
      <c r="B311">
        <v>119</v>
      </c>
      <c r="C311" t="s">
        <v>59</v>
      </c>
      <c r="D311">
        <v>4</v>
      </c>
      <c r="E311">
        <v>100</v>
      </c>
      <c r="F311" t="s">
        <v>1</v>
      </c>
      <c r="G311" s="6">
        <v>45679</v>
      </c>
      <c r="H311">
        <v>39</v>
      </c>
      <c r="I311">
        <f>ROUND(CompilDonnées[[#This Row],[CultureDuration_days]]/7,0)</f>
        <v>6</v>
      </c>
      <c r="J311">
        <v>3318</v>
      </c>
      <c r="K311" t="str">
        <f>_xlfn.CONCAT(WEEKNUM(CompilDonnées[[#This Row],[PlantationDate]]), " ", YEAR(CompilDonnées[[#This Row],[PlantationDate]]))</f>
        <v>50 2024</v>
      </c>
      <c r="L311" t="str">
        <f>CONCATENATE(MONTH(CompilDonnées[[#This Row],[PlantationDate]])," ", YEAR(CompilDonnées[[#This Row],[PlantationDate]]))</f>
        <v>12 2024</v>
      </c>
      <c r="M311" t="str">
        <f>CONCATENATE(MONTH(CompilDonnées[[#This Row],[HarvestingDate]])," ", YEAR(CompilDonnées[[#This Row],[HarvestingDate]]))</f>
        <v>1 2025</v>
      </c>
      <c r="N311">
        <f>_xlfn.NUMBERVALUE(CompilDonnées[[#This Row],[FarmID]]&amp;CompilDonnées[[#This Row],[ModuleNumber]]&amp;CompilDonnées[[#This Row],[PlantationDate]])</f>
        <v>119445640</v>
      </c>
      <c r="O311" t="str">
        <f>CompilDonnées[[#This Row],[FarmID]]&amp;CompilDonnées[[#This Row],[ModuleNumber]]</f>
        <v>1194</v>
      </c>
      <c r="P311" t="str">
        <f>CompilDonnées[[#This Row],[Ref_Module]]&amp;CompilDonnées[[#This Row],[HarvestingDate]]</f>
        <v>119445679</v>
      </c>
    </row>
    <row r="312" spans="1:16">
      <c r="A312" s="5">
        <v>45640</v>
      </c>
      <c r="B312">
        <v>118</v>
      </c>
      <c r="C312" t="s">
        <v>51</v>
      </c>
      <c r="D312">
        <v>5</v>
      </c>
      <c r="E312">
        <v>100</v>
      </c>
      <c r="F312" t="s">
        <v>1</v>
      </c>
      <c r="G312" s="6">
        <v>45679</v>
      </c>
      <c r="H312">
        <v>39</v>
      </c>
      <c r="I312">
        <f>ROUND(CompilDonnées[[#This Row],[CultureDuration_days]]/7,0)</f>
        <v>6</v>
      </c>
      <c r="J312">
        <v>3206</v>
      </c>
      <c r="K312" t="str">
        <f>_xlfn.CONCAT(WEEKNUM(CompilDonnées[[#This Row],[PlantationDate]]), " ", YEAR(CompilDonnées[[#This Row],[PlantationDate]]))</f>
        <v>50 2024</v>
      </c>
      <c r="L312" t="str">
        <f>CONCATENATE(MONTH(CompilDonnées[[#This Row],[PlantationDate]])," ", YEAR(CompilDonnées[[#This Row],[PlantationDate]]))</f>
        <v>12 2024</v>
      </c>
      <c r="M312" t="str">
        <f>CONCATENATE(MONTH(CompilDonnées[[#This Row],[HarvestingDate]])," ", YEAR(CompilDonnées[[#This Row],[HarvestingDate]]))</f>
        <v>1 2025</v>
      </c>
      <c r="N312">
        <f>_xlfn.NUMBERVALUE(CompilDonnées[[#This Row],[FarmID]]&amp;CompilDonnées[[#This Row],[ModuleNumber]]&amp;CompilDonnées[[#This Row],[PlantationDate]])</f>
        <v>118545640</v>
      </c>
      <c r="O312" t="str">
        <f>CompilDonnées[[#This Row],[FarmID]]&amp;CompilDonnées[[#This Row],[ModuleNumber]]</f>
        <v>1185</v>
      </c>
      <c r="P312" t="str">
        <f>CompilDonnées[[#This Row],[Ref_Module]]&amp;CompilDonnées[[#This Row],[HarvestingDate]]</f>
        <v>118545679</v>
      </c>
    </row>
    <row r="313" spans="1:16">
      <c r="A313" s="5">
        <v>45640</v>
      </c>
      <c r="B313">
        <v>117</v>
      </c>
      <c r="C313" t="s">
        <v>11</v>
      </c>
      <c r="D313">
        <v>5</v>
      </c>
      <c r="E313">
        <v>100</v>
      </c>
      <c r="F313" t="s">
        <v>1</v>
      </c>
      <c r="G313" s="6">
        <v>45679</v>
      </c>
      <c r="H313">
        <v>39</v>
      </c>
      <c r="I313">
        <f>ROUND(CompilDonnées[[#This Row],[CultureDuration_days]]/7,0)</f>
        <v>6</v>
      </c>
      <c r="J313">
        <v>2533</v>
      </c>
      <c r="K313" t="str">
        <f>_xlfn.CONCAT(WEEKNUM(CompilDonnées[[#This Row],[PlantationDate]]), " ", YEAR(CompilDonnées[[#This Row],[PlantationDate]]))</f>
        <v>50 2024</v>
      </c>
      <c r="L313" t="str">
        <f>CONCATENATE(MONTH(CompilDonnées[[#This Row],[PlantationDate]])," ", YEAR(CompilDonnées[[#This Row],[PlantationDate]]))</f>
        <v>12 2024</v>
      </c>
      <c r="M313" t="str">
        <f>CONCATENATE(MONTH(CompilDonnées[[#This Row],[HarvestingDate]])," ", YEAR(CompilDonnées[[#This Row],[HarvestingDate]]))</f>
        <v>1 2025</v>
      </c>
      <c r="N313">
        <f>_xlfn.NUMBERVALUE(CompilDonnées[[#This Row],[FarmID]]&amp;CompilDonnées[[#This Row],[ModuleNumber]]&amp;CompilDonnées[[#This Row],[PlantationDate]])</f>
        <v>117545640</v>
      </c>
      <c r="O313" t="str">
        <f>CompilDonnées[[#This Row],[FarmID]]&amp;CompilDonnées[[#This Row],[ModuleNumber]]</f>
        <v>1175</v>
      </c>
      <c r="P313" t="str">
        <f>CompilDonnées[[#This Row],[Ref_Module]]&amp;CompilDonnées[[#This Row],[HarvestingDate]]</f>
        <v>117545679</v>
      </c>
    </row>
    <row r="314" spans="1:16">
      <c r="A314" s="5">
        <v>45640</v>
      </c>
      <c r="B314">
        <v>124</v>
      </c>
      <c r="C314" t="s">
        <v>115</v>
      </c>
      <c r="D314">
        <v>4</v>
      </c>
      <c r="E314">
        <v>100</v>
      </c>
      <c r="F314" t="s">
        <v>1</v>
      </c>
      <c r="G314" s="6">
        <v>45685</v>
      </c>
      <c r="H314">
        <v>45</v>
      </c>
      <c r="I314">
        <f>ROUND(CompilDonnées[[#This Row],[CultureDuration_days]]/7,0)</f>
        <v>6</v>
      </c>
      <c r="J314">
        <v>4764</v>
      </c>
      <c r="K314" t="str">
        <f>_xlfn.CONCAT(WEEKNUM(CompilDonnées[[#This Row],[PlantationDate]]), " ", YEAR(CompilDonnées[[#This Row],[PlantationDate]]))</f>
        <v>50 2024</v>
      </c>
      <c r="L314" t="str">
        <f>CONCATENATE(MONTH(CompilDonnées[[#This Row],[PlantationDate]])," ", YEAR(CompilDonnées[[#This Row],[PlantationDate]]))</f>
        <v>12 2024</v>
      </c>
      <c r="M314" t="str">
        <f>CONCATENATE(MONTH(CompilDonnées[[#This Row],[HarvestingDate]])," ", YEAR(CompilDonnées[[#This Row],[HarvestingDate]]))</f>
        <v>1 2025</v>
      </c>
      <c r="N314">
        <f>_xlfn.NUMBERVALUE(CompilDonnées[[#This Row],[FarmID]]&amp;CompilDonnées[[#This Row],[ModuleNumber]]&amp;CompilDonnées[[#This Row],[PlantationDate]])</f>
        <v>124445640</v>
      </c>
      <c r="O314" t="str">
        <f>CompilDonnées[[#This Row],[FarmID]]&amp;CompilDonnées[[#This Row],[ModuleNumber]]</f>
        <v>1244</v>
      </c>
      <c r="P314" t="str">
        <f>CompilDonnées[[#This Row],[Ref_Module]]&amp;CompilDonnées[[#This Row],[HarvestingDate]]</f>
        <v>124445685</v>
      </c>
    </row>
    <row r="315" spans="1:16">
      <c r="A315" s="5">
        <v>45640</v>
      </c>
      <c r="B315">
        <v>123</v>
      </c>
      <c r="C315" t="s">
        <v>13</v>
      </c>
      <c r="D315">
        <v>4</v>
      </c>
      <c r="E315">
        <v>100</v>
      </c>
      <c r="F315" t="s">
        <v>1</v>
      </c>
      <c r="G315" s="6">
        <v>45684</v>
      </c>
      <c r="H315">
        <v>44</v>
      </c>
      <c r="I315">
        <f>ROUND(CompilDonnées[[#This Row],[CultureDuration_days]]/7,0)</f>
        <v>6</v>
      </c>
      <c r="J315">
        <v>4450</v>
      </c>
      <c r="K315" t="str">
        <f>_xlfn.CONCAT(WEEKNUM(CompilDonnées[[#This Row],[PlantationDate]]), " ", YEAR(CompilDonnées[[#This Row],[PlantationDate]]))</f>
        <v>50 2024</v>
      </c>
      <c r="L315" t="str">
        <f>CONCATENATE(MONTH(CompilDonnées[[#This Row],[PlantationDate]])," ", YEAR(CompilDonnées[[#This Row],[PlantationDate]]))</f>
        <v>12 2024</v>
      </c>
      <c r="M315" t="str">
        <f>CONCATENATE(MONTH(CompilDonnées[[#This Row],[HarvestingDate]])," ", YEAR(CompilDonnées[[#This Row],[HarvestingDate]]))</f>
        <v>1 2025</v>
      </c>
      <c r="N315">
        <f>_xlfn.NUMBERVALUE(CompilDonnées[[#This Row],[FarmID]]&amp;CompilDonnées[[#This Row],[ModuleNumber]]&amp;CompilDonnées[[#This Row],[PlantationDate]])</f>
        <v>123445640</v>
      </c>
      <c r="O315" t="str">
        <f>CompilDonnées[[#This Row],[FarmID]]&amp;CompilDonnées[[#This Row],[ModuleNumber]]</f>
        <v>1234</v>
      </c>
      <c r="P315" t="str">
        <f>CompilDonnées[[#This Row],[Ref_Module]]&amp;CompilDonnées[[#This Row],[HarvestingDate]]</f>
        <v>123445684</v>
      </c>
    </row>
    <row r="316" spans="1:16">
      <c r="A316" s="5">
        <v>45640</v>
      </c>
      <c r="B316">
        <v>123</v>
      </c>
      <c r="C316" t="s">
        <v>13</v>
      </c>
      <c r="D316">
        <v>5</v>
      </c>
      <c r="E316">
        <v>100</v>
      </c>
      <c r="F316" t="s">
        <v>1</v>
      </c>
      <c r="G316" s="6">
        <v>45679</v>
      </c>
      <c r="H316">
        <v>39</v>
      </c>
      <c r="I316">
        <f>ROUND(CompilDonnées[[#This Row],[CultureDuration_days]]/7,0)</f>
        <v>6</v>
      </c>
      <c r="J316">
        <v>4104</v>
      </c>
      <c r="K316" t="str">
        <f>_xlfn.CONCAT(WEEKNUM(CompilDonnées[[#This Row],[PlantationDate]]), " ", YEAR(CompilDonnées[[#This Row],[PlantationDate]]))</f>
        <v>50 2024</v>
      </c>
      <c r="L316" t="str">
        <f>CONCATENATE(MONTH(CompilDonnées[[#This Row],[PlantationDate]])," ", YEAR(CompilDonnées[[#This Row],[PlantationDate]]))</f>
        <v>12 2024</v>
      </c>
      <c r="M316" t="str">
        <f>CONCATENATE(MONTH(CompilDonnées[[#This Row],[HarvestingDate]])," ", YEAR(CompilDonnées[[#This Row],[HarvestingDate]]))</f>
        <v>1 2025</v>
      </c>
      <c r="N316">
        <f>_xlfn.NUMBERVALUE(CompilDonnées[[#This Row],[FarmID]]&amp;CompilDonnées[[#This Row],[ModuleNumber]]&amp;CompilDonnées[[#This Row],[PlantationDate]])</f>
        <v>123545640</v>
      </c>
      <c r="O316" t="str">
        <f>CompilDonnées[[#This Row],[FarmID]]&amp;CompilDonnées[[#This Row],[ModuleNumber]]</f>
        <v>1235</v>
      </c>
      <c r="P316" t="str">
        <f>CompilDonnées[[#This Row],[Ref_Module]]&amp;CompilDonnées[[#This Row],[HarvestingDate]]</f>
        <v>123545679</v>
      </c>
    </row>
    <row r="317" spans="1:16">
      <c r="A317" s="5">
        <v>45640</v>
      </c>
      <c r="B317">
        <v>131</v>
      </c>
      <c r="C317" t="s">
        <v>64</v>
      </c>
      <c r="D317">
        <v>5</v>
      </c>
      <c r="E317">
        <v>100</v>
      </c>
      <c r="F317" t="s">
        <v>1</v>
      </c>
      <c r="G317" s="6">
        <v>45679</v>
      </c>
      <c r="H317">
        <v>39</v>
      </c>
      <c r="I317">
        <f>ROUND(CompilDonnées[[#This Row],[CultureDuration_days]]/7,0)</f>
        <v>6</v>
      </c>
      <c r="J317">
        <v>2508</v>
      </c>
      <c r="K317" t="str">
        <f>_xlfn.CONCAT(WEEKNUM(CompilDonnées[[#This Row],[PlantationDate]]), " ", YEAR(CompilDonnées[[#This Row],[PlantationDate]]))</f>
        <v>50 2024</v>
      </c>
      <c r="L317" t="str">
        <f>CONCATENATE(MONTH(CompilDonnées[[#This Row],[PlantationDate]])," ", YEAR(CompilDonnées[[#This Row],[PlantationDate]]))</f>
        <v>12 2024</v>
      </c>
      <c r="M317" t="str">
        <f>CONCATENATE(MONTH(CompilDonnées[[#This Row],[HarvestingDate]])," ", YEAR(CompilDonnées[[#This Row],[HarvestingDate]]))</f>
        <v>1 2025</v>
      </c>
      <c r="N317">
        <f>_xlfn.NUMBERVALUE(CompilDonnées[[#This Row],[FarmID]]&amp;CompilDonnées[[#This Row],[ModuleNumber]]&amp;CompilDonnées[[#This Row],[PlantationDate]])</f>
        <v>131545640</v>
      </c>
      <c r="O317" t="str">
        <f>CompilDonnées[[#This Row],[FarmID]]&amp;CompilDonnées[[#This Row],[ModuleNumber]]</f>
        <v>1315</v>
      </c>
      <c r="P317" t="str">
        <f>CompilDonnées[[#This Row],[Ref_Module]]&amp;CompilDonnées[[#This Row],[HarvestingDate]]</f>
        <v>131545679</v>
      </c>
    </row>
    <row r="318" spans="1:16">
      <c r="A318" s="5">
        <v>45640</v>
      </c>
      <c r="B318">
        <v>138</v>
      </c>
      <c r="C318" t="s">
        <v>8</v>
      </c>
      <c r="D318">
        <v>5</v>
      </c>
      <c r="E318">
        <v>100</v>
      </c>
      <c r="F318" t="s">
        <v>1</v>
      </c>
      <c r="G318" s="6">
        <v>45684</v>
      </c>
      <c r="H318">
        <v>44</v>
      </c>
      <c r="I318">
        <f>ROUND(CompilDonnées[[#This Row],[CultureDuration_days]]/7,0)</f>
        <v>6</v>
      </c>
      <c r="J318">
        <v>2357</v>
      </c>
      <c r="K318" t="str">
        <f>_xlfn.CONCAT(WEEKNUM(CompilDonnées[[#This Row],[PlantationDate]]), " ", YEAR(CompilDonnées[[#This Row],[PlantationDate]]))</f>
        <v>50 2024</v>
      </c>
      <c r="L318" t="str">
        <f>CONCATENATE(MONTH(CompilDonnées[[#This Row],[PlantationDate]])," ", YEAR(CompilDonnées[[#This Row],[PlantationDate]]))</f>
        <v>12 2024</v>
      </c>
      <c r="M318" t="str">
        <f>CONCATENATE(MONTH(CompilDonnées[[#This Row],[HarvestingDate]])," ", YEAR(CompilDonnées[[#This Row],[HarvestingDate]]))</f>
        <v>1 2025</v>
      </c>
      <c r="N318">
        <f>_xlfn.NUMBERVALUE(CompilDonnées[[#This Row],[FarmID]]&amp;CompilDonnées[[#This Row],[ModuleNumber]]&amp;CompilDonnées[[#This Row],[PlantationDate]])</f>
        <v>138545640</v>
      </c>
      <c r="O318" t="str">
        <f>CompilDonnées[[#This Row],[FarmID]]&amp;CompilDonnées[[#This Row],[ModuleNumber]]</f>
        <v>1385</v>
      </c>
      <c r="P318" t="str">
        <f>CompilDonnées[[#This Row],[Ref_Module]]&amp;CompilDonnées[[#This Row],[HarvestingDate]]</f>
        <v>138545684</v>
      </c>
    </row>
    <row r="319" spans="1:16">
      <c r="A319" s="5">
        <v>45640</v>
      </c>
      <c r="B319">
        <v>137</v>
      </c>
      <c r="C319" t="s">
        <v>108</v>
      </c>
      <c r="D319">
        <v>5</v>
      </c>
      <c r="E319">
        <v>100</v>
      </c>
      <c r="F319" t="s">
        <v>1</v>
      </c>
      <c r="G319" s="6">
        <v>45684</v>
      </c>
      <c r="H319">
        <v>44</v>
      </c>
      <c r="I319">
        <f>ROUND(CompilDonnées[[#This Row],[CultureDuration_days]]/7,0)</f>
        <v>6</v>
      </c>
      <c r="J319">
        <v>2270</v>
      </c>
      <c r="K319" t="str">
        <f>_xlfn.CONCAT(WEEKNUM(CompilDonnées[[#This Row],[PlantationDate]]), " ", YEAR(CompilDonnées[[#This Row],[PlantationDate]]))</f>
        <v>50 2024</v>
      </c>
      <c r="L319" t="str">
        <f>CONCATENATE(MONTH(CompilDonnées[[#This Row],[PlantationDate]])," ", YEAR(CompilDonnées[[#This Row],[PlantationDate]]))</f>
        <v>12 2024</v>
      </c>
      <c r="M319" t="str">
        <f>CONCATENATE(MONTH(CompilDonnées[[#This Row],[HarvestingDate]])," ", YEAR(CompilDonnées[[#This Row],[HarvestingDate]]))</f>
        <v>1 2025</v>
      </c>
      <c r="N319">
        <f>_xlfn.NUMBERVALUE(CompilDonnées[[#This Row],[FarmID]]&amp;CompilDonnées[[#This Row],[ModuleNumber]]&amp;CompilDonnées[[#This Row],[PlantationDate]])</f>
        <v>137545640</v>
      </c>
      <c r="O319" t="str">
        <f>CompilDonnées[[#This Row],[FarmID]]&amp;CompilDonnées[[#This Row],[ModuleNumber]]</f>
        <v>1375</v>
      </c>
      <c r="P319" t="str">
        <f>CompilDonnées[[#This Row],[Ref_Module]]&amp;CompilDonnées[[#This Row],[HarvestingDate]]</f>
        <v>137545684</v>
      </c>
    </row>
    <row r="320" spans="1:16">
      <c r="A320" s="5">
        <v>45640</v>
      </c>
      <c r="B320">
        <v>133</v>
      </c>
      <c r="C320" t="s">
        <v>99</v>
      </c>
      <c r="D320">
        <v>6</v>
      </c>
      <c r="E320">
        <v>100</v>
      </c>
      <c r="F320" t="s">
        <v>1</v>
      </c>
      <c r="G320" s="6">
        <v>45679</v>
      </c>
      <c r="H320">
        <v>39</v>
      </c>
      <c r="I320">
        <f>ROUND(CompilDonnées[[#This Row],[CultureDuration_days]]/7,0)</f>
        <v>6</v>
      </c>
      <c r="J320">
        <v>2685</v>
      </c>
      <c r="K320" t="str">
        <f>_xlfn.CONCAT(WEEKNUM(CompilDonnées[[#This Row],[PlantationDate]]), " ", YEAR(CompilDonnées[[#This Row],[PlantationDate]]))</f>
        <v>50 2024</v>
      </c>
      <c r="L320" t="str">
        <f>CONCATENATE(MONTH(CompilDonnées[[#This Row],[PlantationDate]])," ", YEAR(CompilDonnées[[#This Row],[PlantationDate]]))</f>
        <v>12 2024</v>
      </c>
      <c r="M320" t="str">
        <f>CONCATENATE(MONTH(CompilDonnées[[#This Row],[HarvestingDate]])," ", YEAR(CompilDonnées[[#This Row],[HarvestingDate]]))</f>
        <v>1 2025</v>
      </c>
      <c r="N320">
        <f>_xlfn.NUMBERVALUE(CompilDonnées[[#This Row],[FarmID]]&amp;CompilDonnées[[#This Row],[ModuleNumber]]&amp;CompilDonnées[[#This Row],[PlantationDate]])</f>
        <v>133645640</v>
      </c>
      <c r="O320" t="str">
        <f>CompilDonnées[[#This Row],[FarmID]]&amp;CompilDonnées[[#This Row],[ModuleNumber]]</f>
        <v>1336</v>
      </c>
      <c r="P320" t="str">
        <f>CompilDonnées[[#This Row],[Ref_Module]]&amp;CompilDonnées[[#This Row],[HarvestingDate]]</f>
        <v>133645679</v>
      </c>
    </row>
    <row r="321" spans="1:16">
      <c r="A321" s="5">
        <v>45640</v>
      </c>
      <c r="B321">
        <v>145</v>
      </c>
      <c r="C321" t="s">
        <v>88</v>
      </c>
      <c r="D321">
        <v>3</v>
      </c>
      <c r="E321">
        <v>100</v>
      </c>
      <c r="F321" t="s">
        <v>1</v>
      </c>
      <c r="G321" s="6">
        <v>45679</v>
      </c>
      <c r="H321">
        <v>39</v>
      </c>
      <c r="I321">
        <f>ROUND(CompilDonnées[[#This Row],[CultureDuration_days]]/7,0)</f>
        <v>6</v>
      </c>
      <c r="J321">
        <v>1689</v>
      </c>
      <c r="K321" t="str">
        <f>_xlfn.CONCAT(WEEKNUM(CompilDonnées[[#This Row],[PlantationDate]]), " ", YEAR(CompilDonnées[[#This Row],[PlantationDate]]))</f>
        <v>50 2024</v>
      </c>
      <c r="L321" t="str">
        <f>CONCATENATE(MONTH(CompilDonnées[[#This Row],[PlantationDate]])," ", YEAR(CompilDonnées[[#This Row],[PlantationDate]]))</f>
        <v>12 2024</v>
      </c>
      <c r="M321" t="str">
        <f>CONCATENATE(MONTH(CompilDonnées[[#This Row],[HarvestingDate]])," ", YEAR(CompilDonnées[[#This Row],[HarvestingDate]]))</f>
        <v>1 2025</v>
      </c>
      <c r="N321">
        <f>_xlfn.NUMBERVALUE(CompilDonnées[[#This Row],[FarmID]]&amp;CompilDonnées[[#This Row],[ModuleNumber]]&amp;CompilDonnées[[#This Row],[PlantationDate]])</f>
        <v>145345640</v>
      </c>
      <c r="O321" t="str">
        <f>CompilDonnées[[#This Row],[FarmID]]&amp;CompilDonnées[[#This Row],[ModuleNumber]]</f>
        <v>1453</v>
      </c>
      <c r="P321" t="str">
        <f>CompilDonnées[[#This Row],[Ref_Module]]&amp;CompilDonnées[[#This Row],[HarvestingDate]]</f>
        <v>145345679</v>
      </c>
    </row>
    <row r="322" spans="1:16">
      <c r="A322" s="5">
        <v>45640</v>
      </c>
      <c r="B322">
        <v>132</v>
      </c>
      <c r="C322" t="s">
        <v>93</v>
      </c>
      <c r="D322">
        <v>1</v>
      </c>
      <c r="E322">
        <v>100</v>
      </c>
      <c r="F322" t="s">
        <v>1</v>
      </c>
      <c r="G322" s="6">
        <v>45684</v>
      </c>
      <c r="H322">
        <v>44</v>
      </c>
      <c r="I322">
        <f>ROUND(CompilDonnées[[#This Row],[CultureDuration_days]]/7,0)</f>
        <v>6</v>
      </c>
      <c r="J322">
        <v>2632</v>
      </c>
      <c r="K322" t="str">
        <f>_xlfn.CONCAT(WEEKNUM(CompilDonnées[[#This Row],[PlantationDate]]), " ", YEAR(CompilDonnées[[#This Row],[PlantationDate]]))</f>
        <v>50 2024</v>
      </c>
      <c r="L322" t="str">
        <f>CONCATENATE(MONTH(CompilDonnées[[#This Row],[PlantationDate]])," ", YEAR(CompilDonnées[[#This Row],[PlantationDate]]))</f>
        <v>12 2024</v>
      </c>
      <c r="M322" t="str">
        <f>CONCATENATE(MONTH(CompilDonnées[[#This Row],[HarvestingDate]])," ", YEAR(CompilDonnées[[#This Row],[HarvestingDate]]))</f>
        <v>1 2025</v>
      </c>
      <c r="N322">
        <f>_xlfn.NUMBERVALUE(CompilDonnées[[#This Row],[FarmID]]&amp;CompilDonnées[[#This Row],[ModuleNumber]]&amp;CompilDonnées[[#This Row],[PlantationDate]])</f>
        <v>132145640</v>
      </c>
      <c r="O322" t="str">
        <f>CompilDonnées[[#This Row],[FarmID]]&amp;CompilDonnées[[#This Row],[ModuleNumber]]</f>
        <v>1321</v>
      </c>
      <c r="P322" t="str">
        <f>CompilDonnées[[#This Row],[Ref_Module]]&amp;CompilDonnées[[#This Row],[HarvestingDate]]</f>
        <v>132145684</v>
      </c>
    </row>
    <row r="323" spans="1:16">
      <c r="A323" s="5">
        <v>45640</v>
      </c>
      <c r="B323">
        <v>16</v>
      </c>
      <c r="C323" t="s">
        <v>112</v>
      </c>
      <c r="D323">
        <v>3</v>
      </c>
      <c r="E323">
        <v>100</v>
      </c>
      <c r="F323" t="s">
        <v>1</v>
      </c>
      <c r="G323" s="6">
        <v>45688</v>
      </c>
      <c r="H323">
        <v>48</v>
      </c>
      <c r="I323">
        <f>ROUND(CompilDonnées[[#This Row],[CultureDuration_days]]/7,0)</f>
        <v>7</v>
      </c>
      <c r="J323">
        <v>2406</v>
      </c>
      <c r="K323" t="str">
        <f>_xlfn.CONCAT(WEEKNUM(CompilDonnées[[#This Row],[PlantationDate]]), " ", YEAR(CompilDonnées[[#This Row],[PlantationDate]]))</f>
        <v>50 2024</v>
      </c>
      <c r="L323" t="str">
        <f>CONCATENATE(MONTH(CompilDonnées[[#This Row],[PlantationDate]])," ", YEAR(CompilDonnées[[#This Row],[PlantationDate]]))</f>
        <v>12 2024</v>
      </c>
      <c r="M323" t="str">
        <f>CONCATENATE(MONTH(CompilDonnées[[#This Row],[HarvestingDate]])," ", YEAR(CompilDonnées[[#This Row],[HarvestingDate]]))</f>
        <v>1 2025</v>
      </c>
      <c r="N323">
        <f>_xlfn.NUMBERVALUE(CompilDonnées[[#This Row],[FarmID]]&amp;CompilDonnées[[#This Row],[ModuleNumber]]&amp;CompilDonnées[[#This Row],[PlantationDate]])</f>
        <v>16345640</v>
      </c>
      <c r="O323" t="str">
        <f>CompilDonnées[[#This Row],[FarmID]]&amp;CompilDonnées[[#This Row],[ModuleNumber]]</f>
        <v>163</v>
      </c>
      <c r="P323" t="str">
        <f>CompilDonnées[[#This Row],[Ref_Module]]&amp;CompilDonnées[[#This Row],[HarvestingDate]]</f>
        <v>16345688</v>
      </c>
    </row>
    <row r="324" spans="1:16">
      <c r="A324" s="5">
        <v>45640</v>
      </c>
      <c r="B324">
        <v>15</v>
      </c>
      <c r="C324" t="s">
        <v>5</v>
      </c>
      <c r="D324">
        <v>2</v>
      </c>
      <c r="E324">
        <v>100</v>
      </c>
      <c r="F324" t="s">
        <v>1</v>
      </c>
      <c r="G324" s="6">
        <v>45688</v>
      </c>
      <c r="H324">
        <v>48</v>
      </c>
      <c r="I324">
        <f>ROUND(CompilDonnées[[#This Row],[CultureDuration_days]]/7,0)</f>
        <v>7</v>
      </c>
      <c r="J324">
        <v>1577</v>
      </c>
      <c r="K324" t="str">
        <f>_xlfn.CONCAT(WEEKNUM(CompilDonnées[[#This Row],[PlantationDate]]), " ", YEAR(CompilDonnées[[#This Row],[PlantationDate]]))</f>
        <v>50 2024</v>
      </c>
      <c r="L324" t="str">
        <f>CONCATENATE(MONTH(CompilDonnées[[#This Row],[PlantationDate]])," ", YEAR(CompilDonnées[[#This Row],[PlantationDate]]))</f>
        <v>12 2024</v>
      </c>
      <c r="M324" t="str">
        <f>CONCATENATE(MONTH(CompilDonnées[[#This Row],[HarvestingDate]])," ", YEAR(CompilDonnées[[#This Row],[HarvestingDate]]))</f>
        <v>1 2025</v>
      </c>
      <c r="N324">
        <f>_xlfn.NUMBERVALUE(CompilDonnées[[#This Row],[FarmID]]&amp;CompilDonnées[[#This Row],[ModuleNumber]]&amp;CompilDonnées[[#This Row],[PlantationDate]])</f>
        <v>15245640</v>
      </c>
      <c r="O324" t="str">
        <f>CompilDonnées[[#This Row],[FarmID]]&amp;CompilDonnées[[#This Row],[ModuleNumber]]</f>
        <v>152</v>
      </c>
      <c r="P324" t="str">
        <f>CompilDonnées[[#This Row],[Ref_Module]]&amp;CompilDonnées[[#This Row],[HarvestingDate]]</f>
        <v>15245688</v>
      </c>
    </row>
    <row r="325" spans="1:16">
      <c r="A325" s="5">
        <v>45640</v>
      </c>
      <c r="B325">
        <v>15</v>
      </c>
      <c r="C325" t="s">
        <v>5</v>
      </c>
      <c r="D325">
        <v>3</v>
      </c>
      <c r="E325">
        <v>100</v>
      </c>
      <c r="F325" t="s">
        <v>1</v>
      </c>
      <c r="G325" s="6">
        <v>45693</v>
      </c>
      <c r="H325">
        <v>53</v>
      </c>
      <c r="I325">
        <f>ROUND(CompilDonnées[[#This Row],[CultureDuration_days]]/7,0)</f>
        <v>8</v>
      </c>
      <c r="J325">
        <v>1802</v>
      </c>
      <c r="K325" t="str">
        <f>_xlfn.CONCAT(WEEKNUM(CompilDonnées[[#This Row],[PlantationDate]]), " ", YEAR(CompilDonnées[[#This Row],[PlantationDate]]))</f>
        <v>50 2024</v>
      </c>
      <c r="L325" t="str">
        <f>CONCATENATE(MONTH(CompilDonnées[[#This Row],[PlantationDate]])," ", YEAR(CompilDonnées[[#This Row],[PlantationDate]]))</f>
        <v>12 2024</v>
      </c>
      <c r="M325" t="str">
        <f>CONCATENATE(MONTH(CompilDonnées[[#This Row],[HarvestingDate]])," ", YEAR(CompilDonnées[[#This Row],[HarvestingDate]]))</f>
        <v>2 2025</v>
      </c>
      <c r="N325">
        <f>_xlfn.NUMBERVALUE(CompilDonnées[[#This Row],[FarmID]]&amp;CompilDonnées[[#This Row],[ModuleNumber]]&amp;CompilDonnées[[#This Row],[PlantationDate]])</f>
        <v>15345640</v>
      </c>
      <c r="O325" t="str">
        <f>CompilDonnées[[#This Row],[FarmID]]&amp;CompilDonnées[[#This Row],[ModuleNumber]]</f>
        <v>153</v>
      </c>
      <c r="P325" t="str">
        <f>CompilDonnées[[#This Row],[Ref_Module]]&amp;CompilDonnées[[#This Row],[HarvestingDate]]</f>
        <v>15345693</v>
      </c>
    </row>
    <row r="326" spans="1:16">
      <c r="A326" s="5">
        <v>45640</v>
      </c>
      <c r="B326">
        <v>22</v>
      </c>
      <c r="C326" t="s">
        <v>43</v>
      </c>
      <c r="D326">
        <v>1</v>
      </c>
      <c r="E326">
        <v>100</v>
      </c>
      <c r="F326" t="s">
        <v>1</v>
      </c>
      <c r="G326" s="6">
        <v>45677</v>
      </c>
      <c r="H326">
        <v>37</v>
      </c>
      <c r="I326">
        <f>ROUND(CompilDonnées[[#This Row],[CultureDuration_days]]/7,0)</f>
        <v>5</v>
      </c>
      <c r="J326">
        <v>1844</v>
      </c>
      <c r="K326" t="str">
        <f>_xlfn.CONCAT(WEEKNUM(CompilDonnées[[#This Row],[PlantationDate]]), " ", YEAR(CompilDonnées[[#This Row],[PlantationDate]]))</f>
        <v>50 2024</v>
      </c>
      <c r="L326" t="str">
        <f>CONCATENATE(MONTH(CompilDonnées[[#This Row],[PlantationDate]])," ", YEAR(CompilDonnées[[#This Row],[PlantationDate]]))</f>
        <v>12 2024</v>
      </c>
      <c r="M326" t="str">
        <f>CONCATENATE(MONTH(CompilDonnées[[#This Row],[HarvestingDate]])," ", YEAR(CompilDonnées[[#This Row],[HarvestingDate]]))</f>
        <v>1 2025</v>
      </c>
      <c r="N326">
        <f>_xlfn.NUMBERVALUE(CompilDonnées[[#This Row],[FarmID]]&amp;CompilDonnées[[#This Row],[ModuleNumber]]&amp;CompilDonnées[[#This Row],[PlantationDate]])</f>
        <v>22145640</v>
      </c>
      <c r="O326" t="str">
        <f>CompilDonnées[[#This Row],[FarmID]]&amp;CompilDonnées[[#This Row],[ModuleNumber]]</f>
        <v>221</v>
      </c>
      <c r="P326" t="str">
        <f>CompilDonnées[[#This Row],[Ref_Module]]&amp;CompilDonnées[[#This Row],[HarvestingDate]]</f>
        <v>22145677</v>
      </c>
    </row>
    <row r="327" spans="1:16">
      <c r="A327" s="5">
        <v>45640</v>
      </c>
      <c r="B327">
        <v>22</v>
      </c>
      <c r="C327" t="s">
        <v>43</v>
      </c>
      <c r="D327">
        <v>2</v>
      </c>
      <c r="E327">
        <v>100</v>
      </c>
      <c r="F327" t="s">
        <v>1</v>
      </c>
      <c r="G327" s="6">
        <v>45677</v>
      </c>
      <c r="H327">
        <v>37</v>
      </c>
      <c r="I327">
        <f>ROUND(CompilDonnées[[#This Row],[CultureDuration_days]]/7,0)</f>
        <v>5</v>
      </c>
      <c r="J327">
        <v>1000</v>
      </c>
      <c r="K327" t="str">
        <f>_xlfn.CONCAT(WEEKNUM(CompilDonnées[[#This Row],[PlantationDate]]), " ", YEAR(CompilDonnées[[#This Row],[PlantationDate]]))</f>
        <v>50 2024</v>
      </c>
      <c r="L327" t="str">
        <f>CONCATENATE(MONTH(CompilDonnées[[#This Row],[PlantationDate]])," ", YEAR(CompilDonnées[[#This Row],[PlantationDate]]))</f>
        <v>12 2024</v>
      </c>
      <c r="M327" t="str">
        <f>CONCATENATE(MONTH(CompilDonnées[[#This Row],[HarvestingDate]])," ", YEAR(CompilDonnées[[#This Row],[HarvestingDate]]))</f>
        <v>1 2025</v>
      </c>
      <c r="N327">
        <f>_xlfn.NUMBERVALUE(CompilDonnées[[#This Row],[FarmID]]&amp;CompilDonnées[[#This Row],[ModuleNumber]]&amp;CompilDonnées[[#This Row],[PlantationDate]])</f>
        <v>22245640</v>
      </c>
      <c r="O327" t="str">
        <f>CompilDonnées[[#This Row],[FarmID]]&amp;CompilDonnées[[#This Row],[ModuleNumber]]</f>
        <v>222</v>
      </c>
      <c r="P327" t="str">
        <f>CompilDonnées[[#This Row],[Ref_Module]]&amp;CompilDonnées[[#This Row],[HarvestingDate]]</f>
        <v>22245677</v>
      </c>
    </row>
    <row r="328" spans="1:16">
      <c r="A328" s="5">
        <v>45640</v>
      </c>
      <c r="B328">
        <v>21</v>
      </c>
      <c r="C328" t="s">
        <v>0</v>
      </c>
      <c r="D328">
        <v>6</v>
      </c>
      <c r="E328">
        <v>100</v>
      </c>
      <c r="F328" t="s">
        <v>1</v>
      </c>
      <c r="G328" s="6">
        <v>45687</v>
      </c>
      <c r="H328">
        <v>47</v>
      </c>
      <c r="I328">
        <f>ROUND(CompilDonnées[[#This Row],[CultureDuration_days]]/7,0)</f>
        <v>7</v>
      </c>
      <c r="J328">
        <v>2591</v>
      </c>
      <c r="K328" t="str">
        <f>_xlfn.CONCAT(WEEKNUM(CompilDonnées[[#This Row],[PlantationDate]]), " ", YEAR(CompilDonnées[[#This Row],[PlantationDate]]))</f>
        <v>50 2024</v>
      </c>
      <c r="L328" t="str">
        <f>CONCATENATE(MONTH(CompilDonnées[[#This Row],[PlantationDate]])," ", YEAR(CompilDonnées[[#This Row],[PlantationDate]]))</f>
        <v>12 2024</v>
      </c>
      <c r="M328" t="str">
        <f>CONCATENATE(MONTH(CompilDonnées[[#This Row],[HarvestingDate]])," ", YEAR(CompilDonnées[[#This Row],[HarvestingDate]]))</f>
        <v>1 2025</v>
      </c>
      <c r="N328">
        <f>_xlfn.NUMBERVALUE(CompilDonnées[[#This Row],[FarmID]]&amp;CompilDonnées[[#This Row],[ModuleNumber]]&amp;CompilDonnées[[#This Row],[PlantationDate]])</f>
        <v>21645640</v>
      </c>
      <c r="O328" t="str">
        <f>CompilDonnées[[#This Row],[FarmID]]&amp;CompilDonnées[[#This Row],[ModuleNumber]]</f>
        <v>216</v>
      </c>
      <c r="P328" t="str">
        <f>CompilDonnées[[#This Row],[Ref_Module]]&amp;CompilDonnées[[#This Row],[HarvestingDate]]</f>
        <v>21645687</v>
      </c>
    </row>
    <row r="329" spans="1:16">
      <c r="A329" s="5">
        <v>45640</v>
      </c>
      <c r="B329">
        <v>31</v>
      </c>
      <c r="C329" t="s">
        <v>62</v>
      </c>
      <c r="D329">
        <v>4</v>
      </c>
      <c r="E329">
        <v>100</v>
      </c>
      <c r="F329" t="s">
        <v>1</v>
      </c>
      <c r="G329" s="6">
        <v>45687</v>
      </c>
      <c r="H329">
        <v>47</v>
      </c>
      <c r="I329">
        <f>ROUND(CompilDonnées[[#This Row],[CultureDuration_days]]/7,0)</f>
        <v>7</v>
      </c>
      <c r="J329">
        <v>2603</v>
      </c>
      <c r="K329" t="str">
        <f>_xlfn.CONCAT(WEEKNUM(CompilDonnées[[#This Row],[PlantationDate]]), " ", YEAR(CompilDonnées[[#This Row],[PlantationDate]]))</f>
        <v>50 2024</v>
      </c>
      <c r="L329" t="str">
        <f>CONCATENATE(MONTH(CompilDonnées[[#This Row],[PlantationDate]])," ", YEAR(CompilDonnées[[#This Row],[PlantationDate]]))</f>
        <v>12 2024</v>
      </c>
      <c r="M329" t="str">
        <f>CONCATENATE(MONTH(CompilDonnées[[#This Row],[HarvestingDate]])," ", YEAR(CompilDonnées[[#This Row],[HarvestingDate]]))</f>
        <v>1 2025</v>
      </c>
      <c r="N329">
        <f>_xlfn.NUMBERVALUE(CompilDonnées[[#This Row],[FarmID]]&amp;CompilDonnées[[#This Row],[ModuleNumber]]&amp;CompilDonnées[[#This Row],[PlantationDate]])</f>
        <v>31445640</v>
      </c>
      <c r="O329" t="str">
        <f>CompilDonnées[[#This Row],[FarmID]]&amp;CompilDonnées[[#This Row],[ModuleNumber]]</f>
        <v>314</v>
      </c>
      <c r="P329" t="str">
        <f>CompilDonnées[[#This Row],[Ref_Module]]&amp;CompilDonnées[[#This Row],[HarvestingDate]]</f>
        <v>31445687</v>
      </c>
    </row>
    <row r="330" spans="1:16">
      <c r="A330" s="5">
        <v>45640</v>
      </c>
      <c r="B330">
        <v>30</v>
      </c>
      <c r="C330" t="s">
        <v>4</v>
      </c>
      <c r="D330">
        <v>3</v>
      </c>
      <c r="E330">
        <v>100</v>
      </c>
      <c r="F330" t="s">
        <v>1</v>
      </c>
      <c r="G330" s="6">
        <v>45687</v>
      </c>
      <c r="H330">
        <v>47</v>
      </c>
      <c r="I330">
        <f>ROUND(CompilDonnées[[#This Row],[CultureDuration_days]]/7,0)</f>
        <v>7</v>
      </c>
      <c r="J330">
        <v>2714</v>
      </c>
      <c r="K330" t="str">
        <f>_xlfn.CONCAT(WEEKNUM(CompilDonnées[[#This Row],[PlantationDate]]), " ", YEAR(CompilDonnées[[#This Row],[PlantationDate]]))</f>
        <v>50 2024</v>
      </c>
      <c r="L330" t="str">
        <f>CONCATENATE(MONTH(CompilDonnées[[#This Row],[PlantationDate]])," ", YEAR(CompilDonnées[[#This Row],[PlantationDate]]))</f>
        <v>12 2024</v>
      </c>
      <c r="M330" t="str">
        <f>CONCATENATE(MONTH(CompilDonnées[[#This Row],[HarvestingDate]])," ", YEAR(CompilDonnées[[#This Row],[HarvestingDate]]))</f>
        <v>1 2025</v>
      </c>
      <c r="N330">
        <f>_xlfn.NUMBERVALUE(CompilDonnées[[#This Row],[FarmID]]&amp;CompilDonnées[[#This Row],[ModuleNumber]]&amp;CompilDonnées[[#This Row],[PlantationDate]])</f>
        <v>30345640</v>
      </c>
      <c r="O330" t="str">
        <f>CompilDonnées[[#This Row],[FarmID]]&amp;CompilDonnées[[#This Row],[ModuleNumber]]</f>
        <v>303</v>
      </c>
      <c r="P330" t="str">
        <f>CompilDonnées[[#This Row],[Ref_Module]]&amp;CompilDonnées[[#This Row],[HarvestingDate]]</f>
        <v>30345687</v>
      </c>
    </row>
    <row r="331" spans="1:16">
      <c r="A331" s="5">
        <v>45640</v>
      </c>
      <c r="B331">
        <v>37</v>
      </c>
      <c r="C331" t="s">
        <v>26</v>
      </c>
      <c r="D331">
        <v>3</v>
      </c>
      <c r="E331">
        <v>100</v>
      </c>
      <c r="F331" t="s">
        <v>1</v>
      </c>
      <c r="G331" s="6">
        <v>45687</v>
      </c>
      <c r="H331">
        <v>47</v>
      </c>
      <c r="I331">
        <f>ROUND(CompilDonnées[[#This Row],[CultureDuration_days]]/7,0)</f>
        <v>7</v>
      </c>
      <c r="J331">
        <v>2763</v>
      </c>
      <c r="K331" t="str">
        <f>_xlfn.CONCAT(WEEKNUM(CompilDonnées[[#This Row],[PlantationDate]]), " ", YEAR(CompilDonnées[[#This Row],[PlantationDate]]))</f>
        <v>50 2024</v>
      </c>
      <c r="L331" t="str">
        <f>CONCATENATE(MONTH(CompilDonnées[[#This Row],[PlantationDate]])," ", YEAR(CompilDonnées[[#This Row],[PlantationDate]]))</f>
        <v>12 2024</v>
      </c>
      <c r="M331" t="str">
        <f>CONCATENATE(MONTH(CompilDonnées[[#This Row],[HarvestingDate]])," ", YEAR(CompilDonnées[[#This Row],[HarvestingDate]]))</f>
        <v>1 2025</v>
      </c>
      <c r="N331">
        <f>_xlfn.NUMBERVALUE(CompilDonnées[[#This Row],[FarmID]]&amp;CompilDonnées[[#This Row],[ModuleNumber]]&amp;CompilDonnées[[#This Row],[PlantationDate]])</f>
        <v>37345640</v>
      </c>
      <c r="O331" t="str">
        <f>CompilDonnées[[#This Row],[FarmID]]&amp;CompilDonnées[[#This Row],[ModuleNumber]]</f>
        <v>373</v>
      </c>
      <c r="P331" t="str">
        <f>CompilDonnées[[#This Row],[Ref_Module]]&amp;CompilDonnées[[#This Row],[HarvestingDate]]</f>
        <v>37345687</v>
      </c>
    </row>
    <row r="332" spans="1:16">
      <c r="A332" s="5">
        <v>45640</v>
      </c>
      <c r="B332">
        <v>80</v>
      </c>
      <c r="C332" t="s">
        <v>29</v>
      </c>
      <c r="D332">
        <v>2</v>
      </c>
      <c r="E332">
        <v>100</v>
      </c>
      <c r="F332" t="s">
        <v>1</v>
      </c>
      <c r="G332" s="6">
        <v>45689</v>
      </c>
      <c r="H332">
        <v>49</v>
      </c>
      <c r="I332">
        <f>ROUND(CompilDonnées[[#This Row],[CultureDuration_days]]/7,0)</f>
        <v>7</v>
      </c>
      <c r="J332">
        <v>3557</v>
      </c>
      <c r="K332" t="str">
        <f>_xlfn.CONCAT(WEEKNUM(CompilDonnées[[#This Row],[PlantationDate]]), " ", YEAR(CompilDonnées[[#This Row],[PlantationDate]]))</f>
        <v>50 2024</v>
      </c>
      <c r="L332" t="str">
        <f>CONCATENATE(MONTH(CompilDonnées[[#This Row],[PlantationDate]])," ", YEAR(CompilDonnées[[#This Row],[PlantationDate]]))</f>
        <v>12 2024</v>
      </c>
      <c r="M332" t="str">
        <f>CONCATENATE(MONTH(CompilDonnées[[#This Row],[HarvestingDate]])," ", YEAR(CompilDonnées[[#This Row],[HarvestingDate]]))</f>
        <v>2 2025</v>
      </c>
      <c r="N332">
        <f>_xlfn.NUMBERVALUE(CompilDonnées[[#This Row],[FarmID]]&amp;CompilDonnées[[#This Row],[ModuleNumber]]&amp;CompilDonnées[[#This Row],[PlantationDate]])</f>
        <v>80245640</v>
      </c>
      <c r="O332" t="str">
        <f>CompilDonnées[[#This Row],[FarmID]]&amp;CompilDonnées[[#This Row],[ModuleNumber]]</f>
        <v>802</v>
      </c>
      <c r="P332" t="str">
        <f>CompilDonnées[[#This Row],[Ref_Module]]&amp;CompilDonnées[[#This Row],[HarvestingDate]]</f>
        <v>80245689</v>
      </c>
    </row>
    <row r="333" spans="1:16">
      <c r="A333" s="5">
        <v>45640</v>
      </c>
      <c r="B333">
        <v>79</v>
      </c>
      <c r="C333" t="s">
        <v>61</v>
      </c>
      <c r="D333">
        <v>4</v>
      </c>
      <c r="E333">
        <v>100</v>
      </c>
      <c r="F333" t="s">
        <v>1</v>
      </c>
      <c r="G333" s="6">
        <v>45686</v>
      </c>
      <c r="H333">
        <v>46</v>
      </c>
      <c r="I333">
        <f>ROUND(CompilDonnées[[#This Row],[CultureDuration_days]]/7,0)</f>
        <v>7</v>
      </c>
      <c r="J333">
        <v>2939</v>
      </c>
      <c r="K333" t="str">
        <f>_xlfn.CONCAT(WEEKNUM(CompilDonnées[[#This Row],[PlantationDate]]), " ", YEAR(CompilDonnées[[#This Row],[PlantationDate]]))</f>
        <v>50 2024</v>
      </c>
      <c r="L333" t="str">
        <f>CONCATENATE(MONTH(CompilDonnées[[#This Row],[PlantationDate]])," ", YEAR(CompilDonnées[[#This Row],[PlantationDate]]))</f>
        <v>12 2024</v>
      </c>
      <c r="M333" t="str">
        <f>CONCATENATE(MONTH(CompilDonnées[[#This Row],[HarvestingDate]])," ", YEAR(CompilDonnées[[#This Row],[HarvestingDate]]))</f>
        <v>1 2025</v>
      </c>
      <c r="N333">
        <f>_xlfn.NUMBERVALUE(CompilDonnées[[#This Row],[FarmID]]&amp;CompilDonnées[[#This Row],[ModuleNumber]]&amp;CompilDonnées[[#This Row],[PlantationDate]])</f>
        <v>79445640</v>
      </c>
      <c r="O333" t="str">
        <f>CompilDonnées[[#This Row],[FarmID]]&amp;CompilDonnées[[#This Row],[ModuleNumber]]</f>
        <v>794</v>
      </c>
      <c r="P333" t="str">
        <f>CompilDonnées[[#This Row],[Ref_Module]]&amp;CompilDonnées[[#This Row],[HarvestingDate]]</f>
        <v>79445686</v>
      </c>
    </row>
    <row r="334" spans="1:16">
      <c r="A334" s="5">
        <v>45640</v>
      </c>
      <c r="B334">
        <v>84</v>
      </c>
      <c r="C334" t="s">
        <v>65</v>
      </c>
      <c r="D334">
        <v>2</v>
      </c>
      <c r="E334">
        <v>100</v>
      </c>
      <c r="F334" t="s">
        <v>1</v>
      </c>
      <c r="G334" s="6">
        <v>45686</v>
      </c>
      <c r="H334">
        <v>46</v>
      </c>
      <c r="I334">
        <f>ROUND(CompilDonnées[[#This Row],[CultureDuration_days]]/7,0)</f>
        <v>7</v>
      </c>
      <c r="J334">
        <v>3593</v>
      </c>
      <c r="K334" t="str">
        <f>_xlfn.CONCAT(WEEKNUM(CompilDonnées[[#This Row],[PlantationDate]]), " ", YEAR(CompilDonnées[[#This Row],[PlantationDate]]))</f>
        <v>50 2024</v>
      </c>
      <c r="L334" t="str">
        <f>CONCATENATE(MONTH(CompilDonnées[[#This Row],[PlantationDate]])," ", YEAR(CompilDonnées[[#This Row],[PlantationDate]]))</f>
        <v>12 2024</v>
      </c>
      <c r="M334" t="str">
        <f>CONCATENATE(MONTH(CompilDonnées[[#This Row],[HarvestingDate]])," ", YEAR(CompilDonnées[[#This Row],[HarvestingDate]]))</f>
        <v>1 2025</v>
      </c>
      <c r="N334">
        <f>_xlfn.NUMBERVALUE(CompilDonnées[[#This Row],[FarmID]]&amp;CompilDonnées[[#This Row],[ModuleNumber]]&amp;CompilDonnées[[#This Row],[PlantationDate]])</f>
        <v>84245640</v>
      </c>
      <c r="O334" t="str">
        <f>CompilDonnées[[#This Row],[FarmID]]&amp;CompilDonnées[[#This Row],[ModuleNumber]]</f>
        <v>842</v>
      </c>
      <c r="P334" t="str">
        <f>CompilDonnées[[#This Row],[Ref_Module]]&amp;CompilDonnées[[#This Row],[HarvestingDate]]</f>
        <v>84245686</v>
      </c>
    </row>
    <row r="335" spans="1:16">
      <c r="A335" s="5">
        <v>45640</v>
      </c>
      <c r="B335">
        <v>72</v>
      </c>
      <c r="C335" t="s">
        <v>49</v>
      </c>
      <c r="D335">
        <v>3</v>
      </c>
      <c r="E335">
        <v>100</v>
      </c>
      <c r="F335" t="s">
        <v>1</v>
      </c>
      <c r="G335" s="6">
        <v>45686</v>
      </c>
      <c r="H335">
        <v>46</v>
      </c>
      <c r="I335">
        <f>ROUND(CompilDonnées[[#This Row],[CultureDuration_days]]/7,0)</f>
        <v>7</v>
      </c>
      <c r="J335">
        <v>3173</v>
      </c>
      <c r="K335" t="str">
        <f>_xlfn.CONCAT(WEEKNUM(CompilDonnées[[#This Row],[PlantationDate]]), " ", YEAR(CompilDonnées[[#This Row],[PlantationDate]]))</f>
        <v>50 2024</v>
      </c>
      <c r="L335" t="str">
        <f>CONCATENATE(MONTH(CompilDonnées[[#This Row],[PlantationDate]])," ", YEAR(CompilDonnées[[#This Row],[PlantationDate]]))</f>
        <v>12 2024</v>
      </c>
      <c r="M335" t="str">
        <f>CONCATENATE(MONTH(CompilDonnées[[#This Row],[HarvestingDate]])," ", YEAR(CompilDonnées[[#This Row],[HarvestingDate]]))</f>
        <v>1 2025</v>
      </c>
      <c r="N335">
        <f>_xlfn.NUMBERVALUE(CompilDonnées[[#This Row],[FarmID]]&amp;CompilDonnées[[#This Row],[ModuleNumber]]&amp;CompilDonnées[[#This Row],[PlantationDate]])</f>
        <v>72345640</v>
      </c>
      <c r="O335" t="str">
        <f>CompilDonnées[[#This Row],[FarmID]]&amp;CompilDonnées[[#This Row],[ModuleNumber]]</f>
        <v>723</v>
      </c>
      <c r="P335" t="str">
        <f>CompilDonnées[[#This Row],[Ref_Module]]&amp;CompilDonnées[[#This Row],[HarvestingDate]]</f>
        <v>72345686</v>
      </c>
    </row>
    <row r="336" spans="1:16">
      <c r="A336" s="5">
        <v>45640</v>
      </c>
      <c r="B336">
        <v>74</v>
      </c>
      <c r="C336" t="s">
        <v>21</v>
      </c>
      <c r="D336">
        <v>6</v>
      </c>
      <c r="E336">
        <v>100</v>
      </c>
      <c r="F336" t="s">
        <v>1</v>
      </c>
      <c r="G336" s="6">
        <v>45686</v>
      </c>
      <c r="H336">
        <v>46</v>
      </c>
      <c r="I336">
        <f>ROUND(CompilDonnées[[#This Row],[CultureDuration_days]]/7,0)</f>
        <v>7</v>
      </c>
      <c r="J336">
        <v>3291</v>
      </c>
      <c r="K336" t="str">
        <f>_xlfn.CONCAT(WEEKNUM(CompilDonnées[[#This Row],[PlantationDate]]), " ", YEAR(CompilDonnées[[#This Row],[PlantationDate]]))</f>
        <v>50 2024</v>
      </c>
      <c r="L336" t="str">
        <f>CONCATENATE(MONTH(CompilDonnées[[#This Row],[PlantationDate]])," ", YEAR(CompilDonnées[[#This Row],[PlantationDate]]))</f>
        <v>12 2024</v>
      </c>
      <c r="M336" t="str">
        <f>CONCATENATE(MONTH(CompilDonnées[[#This Row],[HarvestingDate]])," ", YEAR(CompilDonnées[[#This Row],[HarvestingDate]]))</f>
        <v>1 2025</v>
      </c>
      <c r="N336">
        <f>_xlfn.NUMBERVALUE(CompilDonnées[[#This Row],[FarmID]]&amp;CompilDonnées[[#This Row],[ModuleNumber]]&amp;CompilDonnées[[#This Row],[PlantationDate]])</f>
        <v>74645640</v>
      </c>
      <c r="O336" t="str">
        <f>CompilDonnées[[#This Row],[FarmID]]&amp;CompilDonnées[[#This Row],[ModuleNumber]]</f>
        <v>746</v>
      </c>
      <c r="P336" t="str">
        <f>CompilDonnées[[#This Row],[Ref_Module]]&amp;CompilDonnées[[#This Row],[HarvestingDate]]</f>
        <v>74645686</v>
      </c>
    </row>
    <row r="337" spans="1:16">
      <c r="A337" s="5">
        <v>45640</v>
      </c>
      <c r="B337">
        <v>71</v>
      </c>
      <c r="C337" t="s">
        <v>19</v>
      </c>
      <c r="D337">
        <v>3</v>
      </c>
      <c r="E337">
        <v>100</v>
      </c>
      <c r="F337" t="s">
        <v>1</v>
      </c>
      <c r="G337" s="6">
        <v>45693</v>
      </c>
      <c r="H337">
        <v>53</v>
      </c>
      <c r="I337">
        <f>ROUND(CompilDonnées[[#This Row],[CultureDuration_days]]/7,0)</f>
        <v>8</v>
      </c>
      <c r="J337">
        <v>1974</v>
      </c>
      <c r="K337" t="str">
        <f>_xlfn.CONCAT(WEEKNUM(CompilDonnées[[#This Row],[PlantationDate]]), " ", YEAR(CompilDonnées[[#This Row],[PlantationDate]]))</f>
        <v>50 2024</v>
      </c>
      <c r="L337" t="str">
        <f>CONCATENATE(MONTH(CompilDonnées[[#This Row],[PlantationDate]])," ", YEAR(CompilDonnées[[#This Row],[PlantationDate]]))</f>
        <v>12 2024</v>
      </c>
      <c r="M337" t="str">
        <f>CONCATENATE(MONTH(CompilDonnées[[#This Row],[HarvestingDate]])," ", YEAR(CompilDonnées[[#This Row],[HarvestingDate]]))</f>
        <v>2 2025</v>
      </c>
      <c r="N337">
        <f>_xlfn.NUMBERVALUE(CompilDonnées[[#This Row],[FarmID]]&amp;CompilDonnées[[#This Row],[ModuleNumber]]&amp;CompilDonnées[[#This Row],[PlantationDate]])</f>
        <v>71345640</v>
      </c>
      <c r="O337" t="str">
        <f>CompilDonnées[[#This Row],[FarmID]]&amp;CompilDonnées[[#This Row],[ModuleNumber]]</f>
        <v>713</v>
      </c>
      <c r="P337" t="str">
        <f>CompilDonnées[[#This Row],[Ref_Module]]&amp;CompilDonnées[[#This Row],[HarvestingDate]]</f>
        <v>71345693</v>
      </c>
    </row>
    <row r="338" spans="1:16">
      <c r="A338" s="5">
        <v>45640</v>
      </c>
      <c r="B338">
        <v>55</v>
      </c>
      <c r="C338" t="s">
        <v>60</v>
      </c>
      <c r="D338">
        <v>2</v>
      </c>
      <c r="E338">
        <v>100</v>
      </c>
      <c r="F338" t="s">
        <v>1</v>
      </c>
      <c r="G338" s="6">
        <v>45690</v>
      </c>
      <c r="H338">
        <v>50</v>
      </c>
      <c r="I338">
        <f>ROUND(CompilDonnées[[#This Row],[CultureDuration_days]]/7,0)</f>
        <v>7</v>
      </c>
      <c r="J338">
        <v>1897</v>
      </c>
      <c r="K338" t="str">
        <f>_xlfn.CONCAT(WEEKNUM(CompilDonnées[[#This Row],[PlantationDate]]), " ", YEAR(CompilDonnées[[#This Row],[PlantationDate]]))</f>
        <v>50 2024</v>
      </c>
      <c r="L338" t="str">
        <f>CONCATENATE(MONTH(CompilDonnées[[#This Row],[PlantationDate]])," ", YEAR(CompilDonnées[[#This Row],[PlantationDate]]))</f>
        <v>12 2024</v>
      </c>
      <c r="M338" t="str">
        <f>CONCATENATE(MONTH(CompilDonnées[[#This Row],[HarvestingDate]])," ", YEAR(CompilDonnées[[#This Row],[HarvestingDate]]))</f>
        <v>2 2025</v>
      </c>
      <c r="N338">
        <f>_xlfn.NUMBERVALUE(CompilDonnées[[#This Row],[FarmID]]&amp;CompilDonnées[[#This Row],[ModuleNumber]]&amp;CompilDonnées[[#This Row],[PlantationDate]])</f>
        <v>55245640</v>
      </c>
      <c r="O338" t="str">
        <f>CompilDonnées[[#This Row],[FarmID]]&amp;CompilDonnées[[#This Row],[ModuleNumber]]</f>
        <v>552</v>
      </c>
      <c r="P338" t="str">
        <f>CompilDonnées[[#This Row],[Ref_Module]]&amp;CompilDonnées[[#This Row],[HarvestingDate]]</f>
        <v>55245690</v>
      </c>
    </row>
    <row r="339" spans="1:16">
      <c r="A339" s="5">
        <v>45640</v>
      </c>
      <c r="B339">
        <v>92</v>
      </c>
      <c r="C339" t="s">
        <v>66</v>
      </c>
      <c r="D339">
        <v>2</v>
      </c>
      <c r="E339">
        <v>100</v>
      </c>
      <c r="F339" t="s">
        <v>1</v>
      </c>
      <c r="G339" s="6">
        <v>45689</v>
      </c>
      <c r="H339">
        <v>49</v>
      </c>
      <c r="I339">
        <f>ROUND(CompilDonnées[[#This Row],[CultureDuration_days]]/7,0)</f>
        <v>7</v>
      </c>
      <c r="J339">
        <v>2652</v>
      </c>
      <c r="K339" t="str">
        <f>_xlfn.CONCAT(WEEKNUM(CompilDonnées[[#This Row],[PlantationDate]]), " ", YEAR(CompilDonnées[[#This Row],[PlantationDate]]))</f>
        <v>50 2024</v>
      </c>
      <c r="L339" t="str">
        <f>CONCATENATE(MONTH(CompilDonnées[[#This Row],[PlantationDate]])," ", YEAR(CompilDonnées[[#This Row],[PlantationDate]]))</f>
        <v>12 2024</v>
      </c>
      <c r="M339" t="str">
        <f>CONCATENATE(MONTH(CompilDonnées[[#This Row],[HarvestingDate]])," ", YEAR(CompilDonnées[[#This Row],[HarvestingDate]]))</f>
        <v>2 2025</v>
      </c>
      <c r="N339">
        <f>_xlfn.NUMBERVALUE(CompilDonnées[[#This Row],[FarmID]]&amp;CompilDonnées[[#This Row],[ModuleNumber]]&amp;CompilDonnées[[#This Row],[PlantationDate]])</f>
        <v>92245640</v>
      </c>
      <c r="O339" t="str">
        <f>CompilDonnées[[#This Row],[FarmID]]&amp;CompilDonnées[[#This Row],[ModuleNumber]]</f>
        <v>922</v>
      </c>
      <c r="P339" t="str">
        <f>CompilDonnées[[#This Row],[Ref_Module]]&amp;CompilDonnées[[#This Row],[HarvestingDate]]</f>
        <v>92245689</v>
      </c>
    </row>
    <row r="340" spans="1:16">
      <c r="A340" s="5">
        <v>45640</v>
      </c>
      <c r="B340">
        <v>91</v>
      </c>
      <c r="C340" t="s">
        <v>9</v>
      </c>
      <c r="D340">
        <v>4</v>
      </c>
      <c r="E340">
        <v>100</v>
      </c>
      <c r="F340" t="s">
        <v>1</v>
      </c>
      <c r="G340" s="6">
        <v>45694</v>
      </c>
      <c r="H340">
        <v>54</v>
      </c>
      <c r="I340">
        <f>ROUND(CompilDonnées[[#This Row],[CultureDuration_days]]/7,0)</f>
        <v>8</v>
      </c>
      <c r="J340">
        <v>2237</v>
      </c>
      <c r="K340" t="str">
        <f>_xlfn.CONCAT(WEEKNUM(CompilDonnées[[#This Row],[PlantationDate]]), " ", YEAR(CompilDonnées[[#This Row],[PlantationDate]]))</f>
        <v>50 2024</v>
      </c>
      <c r="L340" t="str">
        <f>CONCATENATE(MONTH(CompilDonnées[[#This Row],[PlantationDate]])," ", YEAR(CompilDonnées[[#This Row],[PlantationDate]]))</f>
        <v>12 2024</v>
      </c>
      <c r="M340" t="str">
        <f>CONCATENATE(MONTH(CompilDonnées[[#This Row],[HarvestingDate]])," ", YEAR(CompilDonnées[[#This Row],[HarvestingDate]]))</f>
        <v>2 2025</v>
      </c>
      <c r="N340">
        <f>_xlfn.NUMBERVALUE(CompilDonnées[[#This Row],[FarmID]]&amp;CompilDonnées[[#This Row],[ModuleNumber]]&amp;CompilDonnées[[#This Row],[PlantationDate]])</f>
        <v>91445640</v>
      </c>
      <c r="O340" t="str">
        <f>CompilDonnées[[#This Row],[FarmID]]&amp;CompilDonnées[[#This Row],[ModuleNumber]]</f>
        <v>914</v>
      </c>
      <c r="P340" t="str">
        <f>CompilDonnées[[#This Row],[Ref_Module]]&amp;CompilDonnées[[#This Row],[HarvestingDate]]</f>
        <v>91445694</v>
      </c>
    </row>
    <row r="341" spans="1:16">
      <c r="A341" s="5">
        <v>45640</v>
      </c>
      <c r="B341">
        <v>97</v>
      </c>
      <c r="C341" t="s">
        <v>78</v>
      </c>
      <c r="D341">
        <v>2</v>
      </c>
      <c r="E341">
        <v>100</v>
      </c>
      <c r="F341" t="s">
        <v>1</v>
      </c>
      <c r="G341" s="6">
        <v>45689</v>
      </c>
      <c r="H341">
        <v>49</v>
      </c>
      <c r="I341">
        <f>ROUND(CompilDonnées[[#This Row],[CultureDuration_days]]/7,0)</f>
        <v>7</v>
      </c>
      <c r="J341">
        <v>2596</v>
      </c>
      <c r="K341" t="str">
        <f>_xlfn.CONCAT(WEEKNUM(CompilDonnées[[#This Row],[PlantationDate]]), " ", YEAR(CompilDonnées[[#This Row],[PlantationDate]]))</f>
        <v>50 2024</v>
      </c>
      <c r="L341" t="str">
        <f>CONCATENATE(MONTH(CompilDonnées[[#This Row],[PlantationDate]])," ", YEAR(CompilDonnées[[#This Row],[PlantationDate]]))</f>
        <v>12 2024</v>
      </c>
      <c r="M341" t="str">
        <f>CONCATENATE(MONTH(CompilDonnées[[#This Row],[HarvestingDate]])," ", YEAR(CompilDonnées[[#This Row],[HarvestingDate]]))</f>
        <v>2 2025</v>
      </c>
      <c r="N341">
        <f>_xlfn.NUMBERVALUE(CompilDonnées[[#This Row],[FarmID]]&amp;CompilDonnées[[#This Row],[ModuleNumber]]&amp;CompilDonnées[[#This Row],[PlantationDate]])</f>
        <v>97245640</v>
      </c>
      <c r="O341" t="str">
        <f>CompilDonnées[[#This Row],[FarmID]]&amp;CompilDonnées[[#This Row],[ModuleNumber]]</f>
        <v>972</v>
      </c>
      <c r="P341" t="str">
        <f>CompilDonnées[[#This Row],[Ref_Module]]&amp;CompilDonnées[[#This Row],[HarvestingDate]]</f>
        <v>97245689</v>
      </c>
    </row>
    <row r="342" spans="1:16">
      <c r="A342" s="5">
        <v>45640</v>
      </c>
      <c r="B342">
        <v>98</v>
      </c>
      <c r="C342" t="s">
        <v>79</v>
      </c>
      <c r="D342">
        <v>6</v>
      </c>
      <c r="E342">
        <v>100</v>
      </c>
      <c r="F342" t="s">
        <v>1</v>
      </c>
      <c r="G342" s="6">
        <v>45694</v>
      </c>
      <c r="H342">
        <v>54</v>
      </c>
      <c r="I342">
        <f>ROUND(CompilDonnées[[#This Row],[CultureDuration_days]]/7,0)</f>
        <v>8</v>
      </c>
      <c r="J342">
        <v>2869</v>
      </c>
      <c r="K342" t="str">
        <f>_xlfn.CONCAT(WEEKNUM(CompilDonnées[[#This Row],[PlantationDate]]), " ", YEAR(CompilDonnées[[#This Row],[PlantationDate]]))</f>
        <v>50 2024</v>
      </c>
      <c r="L342" t="str">
        <f>CONCATENATE(MONTH(CompilDonnées[[#This Row],[PlantationDate]])," ", YEAR(CompilDonnées[[#This Row],[PlantationDate]]))</f>
        <v>12 2024</v>
      </c>
      <c r="M342" t="str">
        <f>CONCATENATE(MONTH(CompilDonnées[[#This Row],[HarvestingDate]])," ", YEAR(CompilDonnées[[#This Row],[HarvestingDate]]))</f>
        <v>2 2025</v>
      </c>
      <c r="N342">
        <f>_xlfn.NUMBERVALUE(CompilDonnées[[#This Row],[FarmID]]&amp;CompilDonnées[[#This Row],[ModuleNumber]]&amp;CompilDonnées[[#This Row],[PlantationDate]])</f>
        <v>98645640</v>
      </c>
      <c r="O342" t="str">
        <f>CompilDonnées[[#This Row],[FarmID]]&amp;CompilDonnées[[#This Row],[ModuleNumber]]</f>
        <v>986</v>
      </c>
      <c r="P342" t="str">
        <f>CompilDonnées[[#This Row],[Ref_Module]]&amp;CompilDonnées[[#This Row],[HarvestingDate]]</f>
        <v>98645694</v>
      </c>
    </row>
    <row r="343" spans="1:16">
      <c r="A343" s="5">
        <v>45640</v>
      </c>
      <c r="B343">
        <v>95</v>
      </c>
      <c r="C343" t="s">
        <v>90</v>
      </c>
      <c r="D343">
        <v>6</v>
      </c>
      <c r="E343">
        <v>100</v>
      </c>
      <c r="F343" t="s">
        <v>1</v>
      </c>
      <c r="G343" s="6">
        <v>45685</v>
      </c>
      <c r="H343">
        <v>45</v>
      </c>
      <c r="I343">
        <f>ROUND(CompilDonnées[[#This Row],[CultureDuration_days]]/7,0)</f>
        <v>6</v>
      </c>
      <c r="J343">
        <v>2782</v>
      </c>
      <c r="K343" t="str">
        <f>_xlfn.CONCAT(WEEKNUM(CompilDonnées[[#This Row],[PlantationDate]]), " ", YEAR(CompilDonnées[[#This Row],[PlantationDate]]))</f>
        <v>50 2024</v>
      </c>
      <c r="L343" t="str">
        <f>CONCATENATE(MONTH(CompilDonnées[[#This Row],[PlantationDate]])," ", YEAR(CompilDonnées[[#This Row],[PlantationDate]]))</f>
        <v>12 2024</v>
      </c>
      <c r="M343" t="str">
        <f>CONCATENATE(MONTH(CompilDonnées[[#This Row],[HarvestingDate]])," ", YEAR(CompilDonnées[[#This Row],[HarvestingDate]]))</f>
        <v>1 2025</v>
      </c>
      <c r="N343">
        <f>_xlfn.NUMBERVALUE(CompilDonnées[[#This Row],[FarmID]]&amp;CompilDonnées[[#This Row],[ModuleNumber]]&amp;CompilDonnées[[#This Row],[PlantationDate]])</f>
        <v>95645640</v>
      </c>
      <c r="O343" t="str">
        <f>CompilDonnées[[#This Row],[FarmID]]&amp;CompilDonnées[[#This Row],[ModuleNumber]]</f>
        <v>956</v>
      </c>
      <c r="P343" t="str">
        <f>CompilDonnées[[#This Row],[Ref_Module]]&amp;CompilDonnées[[#This Row],[HarvestingDate]]</f>
        <v>95645685</v>
      </c>
    </row>
    <row r="344" spans="1:16">
      <c r="A344" s="5">
        <v>45640</v>
      </c>
      <c r="B344">
        <v>95</v>
      </c>
      <c r="C344" t="s">
        <v>90</v>
      </c>
      <c r="D344">
        <v>5</v>
      </c>
      <c r="E344">
        <v>100</v>
      </c>
      <c r="F344" t="s">
        <v>1</v>
      </c>
      <c r="G344" s="6">
        <v>45685</v>
      </c>
      <c r="H344">
        <v>45</v>
      </c>
      <c r="I344">
        <f>ROUND(CompilDonnées[[#This Row],[CultureDuration_days]]/7,0)</f>
        <v>6</v>
      </c>
      <c r="J344">
        <v>3019</v>
      </c>
      <c r="K344" t="str">
        <f>_xlfn.CONCAT(WEEKNUM(CompilDonnées[[#This Row],[PlantationDate]]), " ", YEAR(CompilDonnées[[#This Row],[PlantationDate]]))</f>
        <v>50 2024</v>
      </c>
      <c r="L344" t="str">
        <f>CONCATENATE(MONTH(CompilDonnées[[#This Row],[PlantationDate]])," ", YEAR(CompilDonnées[[#This Row],[PlantationDate]]))</f>
        <v>12 2024</v>
      </c>
      <c r="M344" t="str">
        <f>CONCATENATE(MONTH(CompilDonnées[[#This Row],[HarvestingDate]])," ", YEAR(CompilDonnées[[#This Row],[HarvestingDate]]))</f>
        <v>1 2025</v>
      </c>
      <c r="N344">
        <f>_xlfn.NUMBERVALUE(CompilDonnées[[#This Row],[FarmID]]&amp;CompilDonnées[[#This Row],[ModuleNumber]]&amp;CompilDonnées[[#This Row],[PlantationDate]])</f>
        <v>95545640</v>
      </c>
      <c r="O344" t="str">
        <f>CompilDonnées[[#This Row],[FarmID]]&amp;CompilDonnées[[#This Row],[ModuleNumber]]</f>
        <v>955</v>
      </c>
      <c r="P344" t="str">
        <f>CompilDonnées[[#This Row],[Ref_Module]]&amp;CompilDonnées[[#This Row],[HarvestingDate]]</f>
        <v>95545685</v>
      </c>
    </row>
    <row r="345" spans="1:16">
      <c r="A345" s="5">
        <v>45640</v>
      </c>
      <c r="B345">
        <v>101</v>
      </c>
      <c r="C345" t="s">
        <v>54</v>
      </c>
      <c r="D345">
        <v>2</v>
      </c>
      <c r="E345">
        <v>100</v>
      </c>
      <c r="F345" t="s">
        <v>1</v>
      </c>
      <c r="G345" s="6">
        <v>45685</v>
      </c>
      <c r="H345">
        <v>45</v>
      </c>
      <c r="I345">
        <f>ROUND(CompilDonnées[[#This Row],[CultureDuration_days]]/7,0)</f>
        <v>6</v>
      </c>
      <c r="J345">
        <v>4706</v>
      </c>
      <c r="K345" t="str">
        <f>_xlfn.CONCAT(WEEKNUM(CompilDonnées[[#This Row],[PlantationDate]]), " ", YEAR(CompilDonnées[[#This Row],[PlantationDate]]))</f>
        <v>50 2024</v>
      </c>
      <c r="L345" t="str">
        <f>CONCATENATE(MONTH(CompilDonnées[[#This Row],[PlantationDate]])," ", YEAR(CompilDonnées[[#This Row],[PlantationDate]]))</f>
        <v>12 2024</v>
      </c>
      <c r="M345" t="str">
        <f>CONCATENATE(MONTH(CompilDonnées[[#This Row],[HarvestingDate]])," ", YEAR(CompilDonnées[[#This Row],[HarvestingDate]]))</f>
        <v>1 2025</v>
      </c>
      <c r="N345">
        <f>_xlfn.NUMBERVALUE(CompilDonnées[[#This Row],[FarmID]]&amp;CompilDonnées[[#This Row],[ModuleNumber]]&amp;CompilDonnées[[#This Row],[PlantationDate]])</f>
        <v>101245640</v>
      </c>
      <c r="O345" t="str">
        <f>CompilDonnées[[#This Row],[FarmID]]&amp;CompilDonnées[[#This Row],[ModuleNumber]]</f>
        <v>1012</v>
      </c>
      <c r="P345" t="str">
        <f>CompilDonnées[[#This Row],[Ref_Module]]&amp;CompilDonnées[[#This Row],[HarvestingDate]]</f>
        <v>101245685</v>
      </c>
    </row>
    <row r="346" spans="1:16">
      <c r="A346" s="5">
        <v>45640</v>
      </c>
      <c r="B346">
        <v>109</v>
      </c>
      <c r="C346" t="s">
        <v>87</v>
      </c>
      <c r="D346">
        <v>5</v>
      </c>
      <c r="E346">
        <v>100</v>
      </c>
      <c r="F346" t="s">
        <v>1</v>
      </c>
      <c r="G346" s="6">
        <v>45684</v>
      </c>
      <c r="H346">
        <v>44</v>
      </c>
      <c r="I346">
        <f>ROUND(CompilDonnées[[#This Row],[CultureDuration_days]]/7,0)</f>
        <v>6</v>
      </c>
      <c r="J346">
        <v>4333</v>
      </c>
      <c r="K346" t="str">
        <f>_xlfn.CONCAT(WEEKNUM(CompilDonnées[[#This Row],[PlantationDate]]), " ", YEAR(CompilDonnées[[#This Row],[PlantationDate]]))</f>
        <v>50 2024</v>
      </c>
      <c r="L346" t="str">
        <f>CONCATENATE(MONTH(CompilDonnées[[#This Row],[PlantationDate]])," ", YEAR(CompilDonnées[[#This Row],[PlantationDate]]))</f>
        <v>12 2024</v>
      </c>
      <c r="M346" t="str">
        <f>CONCATENATE(MONTH(CompilDonnées[[#This Row],[HarvestingDate]])," ", YEAR(CompilDonnées[[#This Row],[HarvestingDate]]))</f>
        <v>1 2025</v>
      </c>
      <c r="N346">
        <f>_xlfn.NUMBERVALUE(CompilDonnées[[#This Row],[FarmID]]&amp;CompilDonnées[[#This Row],[ModuleNumber]]&amp;CompilDonnées[[#This Row],[PlantationDate]])</f>
        <v>109545640</v>
      </c>
      <c r="O346" t="str">
        <f>CompilDonnées[[#This Row],[FarmID]]&amp;CompilDonnées[[#This Row],[ModuleNumber]]</f>
        <v>1095</v>
      </c>
      <c r="P346" t="str">
        <f>CompilDonnées[[#This Row],[Ref_Module]]&amp;CompilDonnées[[#This Row],[HarvestingDate]]</f>
        <v>109545684</v>
      </c>
    </row>
    <row r="347" spans="1:16">
      <c r="A347" s="5">
        <v>45643</v>
      </c>
      <c r="B347">
        <v>87</v>
      </c>
      <c r="C347" t="s">
        <v>38</v>
      </c>
      <c r="D347">
        <v>2</v>
      </c>
      <c r="E347">
        <v>100</v>
      </c>
      <c r="F347" t="s">
        <v>1</v>
      </c>
      <c r="G347" s="6">
        <v>45689</v>
      </c>
      <c r="H347">
        <v>46</v>
      </c>
      <c r="I347">
        <f>ROUND(CompilDonnées[[#This Row],[CultureDuration_days]]/7,0)</f>
        <v>7</v>
      </c>
      <c r="J347">
        <v>2691</v>
      </c>
      <c r="K347" t="str">
        <f>_xlfn.CONCAT(WEEKNUM(CompilDonnées[[#This Row],[PlantationDate]]), " ", YEAR(CompilDonnées[[#This Row],[PlantationDate]]))</f>
        <v>51 2024</v>
      </c>
      <c r="L347" t="str">
        <f>CONCATENATE(MONTH(CompilDonnées[[#This Row],[PlantationDate]])," ", YEAR(CompilDonnées[[#This Row],[PlantationDate]]))</f>
        <v>12 2024</v>
      </c>
      <c r="M347" t="str">
        <f>CONCATENATE(MONTH(CompilDonnées[[#This Row],[HarvestingDate]])," ", YEAR(CompilDonnées[[#This Row],[HarvestingDate]]))</f>
        <v>2 2025</v>
      </c>
      <c r="N347">
        <f>_xlfn.NUMBERVALUE(CompilDonnées[[#This Row],[FarmID]]&amp;CompilDonnées[[#This Row],[ModuleNumber]]&amp;CompilDonnées[[#This Row],[PlantationDate]])</f>
        <v>87245643</v>
      </c>
      <c r="O347" t="str">
        <f>CompilDonnées[[#This Row],[FarmID]]&amp;CompilDonnées[[#This Row],[ModuleNumber]]</f>
        <v>872</v>
      </c>
      <c r="P347" t="str">
        <f>CompilDonnées[[#This Row],[Ref_Module]]&amp;CompilDonnées[[#This Row],[HarvestingDate]]</f>
        <v>87245689</v>
      </c>
    </row>
    <row r="348" spans="1:16">
      <c r="A348" s="5">
        <v>45643</v>
      </c>
      <c r="B348">
        <v>86</v>
      </c>
      <c r="C348" t="s">
        <v>37</v>
      </c>
      <c r="D348">
        <v>2</v>
      </c>
      <c r="E348">
        <v>100</v>
      </c>
      <c r="F348" t="s">
        <v>1</v>
      </c>
      <c r="G348" s="6">
        <v>45688</v>
      </c>
      <c r="H348">
        <v>45</v>
      </c>
      <c r="I348">
        <f>ROUND(CompilDonnées[[#This Row],[CultureDuration_days]]/7,0)</f>
        <v>6</v>
      </c>
      <c r="J348">
        <v>2768</v>
      </c>
      <c r="K348" t="str">
        <f>_xlfn.CONCAT(WEEKNUM(CompilDonnées[[#This Row],[PlantationDate]]), " ", YEAR(CompilDonnées[[#This Row],[PlantationDate]]))</f>
        <v>51 2024</v>
      </c>
      <c r="L348" t="str">
        <f>CONCATENATE(MONTH(CompilDonnées[[#This Row],[PlantationDate]])," ", YEAR(CompilDonnées[[#This Row],[PlantationDate]]))</f>
        <v>12 2024</v>
      </c>
      <c r="M348" t="str">
        <f>CONCATENATE(MONTH(CompilDonnées[[#This Row],[HarvestingDate]])," ", YEAR(CompilDonnées[[#This Row],[HarvestingDate]]))</f>
        <v>1 2025</v>
      </c>
      <c r="N348">
        <f>_xlfn.NUMBERVALUE(CompilDonnées[[#This Row],[FarmID]]&amp;CompilDonnées[[#This Row],[ModuleNumber]]&amp;CompilDonnées[[#This Row],[PlantationDate]])</f>
        <v>86245643</v>
      </c>
      <c r="O348" t="str">
        <f>CompilDonnées[[#This Row],[FarmID]]&amp;CompilDonnées[[#This Row],[ModuleNumber]]</f>
        <v>862</v>
      </c>
      <c r="P348" t="str">
        <f>CompilDonnées[[#This Row],[Ref_Module]]&amp;CompilDonnées[[#This Row],[HarvestingDate]]</f>
        <v>86245688</v>
      </c>
    </row>
    <row r="349" spans="1:16">
      <c r="A349" s="5">
        <v>45643</v>
      </c>
      <c r="B349">
        <v>85</v>
      </c>
      <c r="C349" t="s">
        <v>56</v>
      </c>
      <c r="D349">
        <v>5</v>
      </c>
      <c r="E349">
        <v>100</v>
      </c>
      <c r="F349" t="s">
        <v>1</v>
      </c>
      <c r="G349" s="6">
        <v>45688</v>
      </c>
      <c r="H349">
        <v>45</v>
      </c>
      <c r="I349">
        <f>ROUND(CompilDonnées[[#This Row],[CultureDuration_days]]/7,0)</f>
        <v>6</v>
      </c>
      <c r="J349">
        <v>3156</v>
      </c>
      <c r="K349" t="str">
        <f>_xlfn.CONCAT(WEEKNUM(CompilDonnées[[#This Row],[PlantationDate]]), " ", YEAR(CompilDonnées[[#This Row],[PlantationDate]]))</f>
        <v>51 2024</v>
      </c>
      <c r="L349" t="str">
        <f>CONCATENATE(MONTH(CompilDonnées[[#This Row],[PlantationDate]])," ", YEAR(CompilDonnées[[#This Row],[PlantationDate]]))</f>
        <v>12 2024</v>
      </c>
      <c r="M349" t="str">
        <f>CONCATENATE(MONTH(CompilDonnées[[#This Row],[HarvestingDate]])," ", YEAR(CompilDonnées[[#This Row],[HarvestingDate]]))</f>
        <v>1 2025</v>
      </c>
      <c r="N349">
        <f>_xlfn.NUMBERVALUE(CompilDonnées[[#This Row],[FarmID]]&amp;CompilDonnées[[#This Row],[ModuleNumber]]&amp;CompilDonnées[[#This Row],[PlantationDate]])</f>
        <v>85545643</v>
      </c>
      <c r="O349" t="str">
        <f>CompilDonnées[[#This Row],[FarmID]]&amp;CompilDonnées[[#This Row],[ModuleNumber]]</f>
        <v>855</v>
      </c>
      <c r="P349" t="str">
        <f>CompilDonnées[[#This Row],[Ref_Module]]&amp;CompilDonnées[[#This Row],[HarvestingDate]]</f>
        <v>85545688</v>
      </c>
    </row>
    <row r="350" spans="1:16">
      <c r="A350" s="5">
        <v>45643</v>
      </c>
      <c r="B350">
        <v>91</v>
      </c>
      <c r="C350" t="s">
        <v>9</v>
      </c>
      <c r="D350">
        <v>3</v>
      </c>
      <c r="E350">
        <v>100</v>
      </c>
      <c r="F350" t="s">
        <v>1</v>
      </c>
      <c r="G350" s="6">
        <v>45689</v>
      </c>
      <c r="H350">
        <v>46</v>
      </c>
      <c r="I350">
        <f>ROUND(CompilDonnées[[#This Row],[CultureDuration_days]]/7,0)</f>
        <v>7</v>
      </c>
      <c r="J350">
        <v>3026</v>
      </c>
      <c r="K350" t="str">
        <f>_xlfn.CONCAT(WEEKNUM(CompilDonnées[[#This Row],[PlantationDate]]), " ", YEAR(CompilDonnées[[#This Row],[PlantationDate]]))</f>
        <v>51 2024</v>
      </c>
      <c r="L350" t="str">
        <f>CONCATENATE(MONTH(CompilDonnées[[#This Row],[PlantationDate]])," ", YEAR(CompilDonnées[[#This Row],[PlantationDate]]))</f>
        <v>12 2024</v>
      </c>
      <c r="M350" t="str">
        <f>CONCATENATE(MONTH(CompilDonnées[[#This Row],[HarvestingDate]])," ", YEAR(CompilDonnées[[#This Row],[HarvestingDate]]))</f>
        <v>2 2025</v>
      </c>
      <c r="N350">
        <f>_xlfn.NUMBERVALUE(CompilDonnées[[#This Row],[FarmID]]&amp;CompilDonnées[[#This Row],[ModuleNumber]]&amp;CompilDonnées[[#This Row],[PlantationDate]])</f>
        <v>91345643</v>
      </c>
      <c r="O350" t="str">
        <f>CompilDonnées[[#This Row],[FarmID]]&amp;CompilDonnées[[#This Row],[ModuleNumber]]</f>
        <v>913</v>
      </c>
      <c r="P350" t="str">
        <f>CompilDonnées[[#This Row],[Ref_Module]]&amp;CompilDonnées[[#This Row],[HarvestingDate]]</f>
        <v>91345689</v>
      </c>
    </row>
    <row r="351" spans="1:16">
      <c r="A351" s="5">
        <v>45643</v>
      </c>
      <c r="B351">
        <v>89</v>
      </c>
      <c r="C351" t="s">
        <v>67</v>
      </c>
      <c r="D351">
        <v>1</v>
      </c>
      <c r="E351">
        <v>100</v>
      </c>
      <c r="F351" t="s">
        <v>1</v>
      </c>
      <c r="G351" s="6">
        <v>45685</v>
      </c>
      <c r="H351">
        <v>42</v>
      </c>
      <c r="I351">
        <f>ROUND(CompilDonnées[[#This Row],[CultureDuration_days]]/7,0)</f>
        <v>6</v>
      </c>
      <c r="J351">
        <v>3053</v>
      </c>
      <c r="K351" t="str">
        <f>_xlfn.CONCAT(WEEKNUM(CompilDonnées[[#This Row],[PlantationDate]]), " ", YEAR(CompilDonnées[[#This Row],[PlantationDate]]))</f>
        <v>51 2024</v>
      </c>
      <c r="L351" t="str">
        <f>CONCATENATE(MONTH(CompilDonnées[[#This Row],[PlantationDate]])," ", YEAR(CompilDonnées[[#This Row],[PlantationDate]]))</f>
        <v>12 2024</v>
      </c>
      <c r="M351" t="str">
        <f>CONCATENATE(MONTH(CompilDonnées[[#This Row],[HarvestingDate]])," ", YEAR(CompilDonnées[[#This Row],[HarvestingDate]]))</f>
        <v>1 2025</v>
      </c>
      <c r="N351">
        <f>_xlfn.NUMBERVALUE(CompilDonnées[[#This Row],[FarmID]]&amp;CompilDonnées[[#This Row],[ModuleNumber]]&amp;CompilDonnées[[#This Row],[PlantationDate]])</f>
        <v>89145643</v>
      </c>
      <c r="O351" t="str">
        <f>CompilDonnées[[#This Row],[FarmID]]&amp;CompilDonnées[[#This Row],[ModuleNumber]]</f>
        <v>891</v>
      </c>
      <c r="P351" t="str">
        <f>CompilDonnées[[#This Row],[Ref_Module]]&amp;CompilDonnées[[#This Row],[HarvestingDate]]</f>
        <v>89145685</v>
      </c>
    </row>
    <row r="352" spans="1:16">
      <c r="A352" s="5">
        <v>45643</v>
      </c>
      <c r="B352">
        <v>90</v>
      </c>
      <c r="C352" t="s">
        <v>72</v>
      </c>
      <c r="D352">
        <v>2</v>
      </c>
      <c r="E352">
        <v>100</v>
      </c>
      <c r="F352" t="s">
        <v>1</v>
      </c>
      <c r="G352" s="6">
        <v>45685</v>
      </c>
      <c r="H352">
        <v>42</v>
      </c>
      <c r="I352">
        <f>ROUND(CompilDonnées[[#This Row],[CultureDuration_days]]/7,0)</f>
        <v>6</v>
      </c>
      <c r="J352">
        <v>3034</v>
      </c>
      <c r="K352" t="str">
        <f>_xlfn.CONCAT(WEEKNUM(CompilDonnées[[#This Row],[PlantationDate]]), " ", YEAR(CompilDonnées[[#This Row],[PlantationDate]]))</f>
        <v>51 2024</v>
      </c>
      <c r="L352" t="str">
        <f>CONCATENATE(MONTH(CompilDonnées[[#This Row],[PlantationDate]])," ", YEAR(CompilDonnées[[#This Row],[PlantationDate]]))</f>
        <v>12 2024</v>
      </c>
      <c r="M352" t="str">
        <f>CONCATENATE(MONTH(CompilDonnées[[#This Row],[HarvestingDate]])," ", YEAR(CompilDonnées[[#This Row],[HarvestingDate]]))</f>
        <v>1 2025</v>
      </c>
      <c r="N352">
        <f>_xlfn.NUMBERVALUE(CompilDonnées[[#This Row],[FarmID]]&amp;CompilDonnées[[#This Row],[ModuleNumber]]&amp;CompilDonnées[[#This Row],[PlantationDate]])</f>
        <v>90245643</v>
      </c>
      <c r="O352" t="str">
        <f>CompilDonnées[[#This Row],[FarmID]]&amp;CompilDonnées[[#This Row],[ModuleNumber]]</f>
        <v>902</v>
      </c>
      <c r="P352" t="str">
        <f>CompilDonnées[[#This Row],[Ref_Module]]&amp;CompilDonnées[[#This Row],[HarvestingDate]]</f>
        <v>90245685</v>
      </c>
    </row>
    <row r="353" spans="1:16">
      <c r="A353" s="5">
        <v>45643</v>
      </c>
      <c r="B353">
        <v>104</v>
      </c>
      <c r="C353" t="s">
        <v>91</v>
      </c>
      <c r="D353">
        <v>1</v>
      </c>
      <c r="E353">
        <v>100</v>
      </c>
      <c r="F353" t="s">
        <v>1</v>
      </c>
      <c r="G353" s="6">
        <v>45688</v>
      </c>
      <c r="H353">
        <v>45</v>
      </c>
      <c r="I353">
        <f>ROUND(CompilDonnées[[#This Row],[CultureDuration_days]]/7,0)</f>
        <v>6</v>
      </c>
      <c r="J353">
        <v>1721</v>
      </c>
      <c r="K353" t="str">
        <f>_xlfn.CONCAT(WEEKNUM(CompilDonnées[[#This Row],[PlantationDate]]), " ", YEAR(CompilDonnées[[#This Row],[PlantationDate]]))</f>
        <v>51 2024</v>
      </c>
      <c r="L353" t="str">
        <f>CONCATENATE(MONTH(CompilDonnées[[#This Row],[PlantationDate]])," ", YEAR(CompilDonnées[[#This Row],[PlantationDate]]))</f>
        <v>12 2024</v>
      </c>
      <c r="M353" t="str">
        <f>CONCATENATE(MONTH(CompilDonnées[[#This Row],[HarvestingDate]])," ", YEAR(CompilDonnées[[#This Row],[HarvestingDate]]))</f>
        <v>1 2025</v>
      </c>
      <c r="N353">
        <f>_xlfn.NUMBERVALUE(CompilDonnées[[#This Row],[FarmID]]&amp;CompilDonnées[[#This Row],[ModuleNumber]]&amp;CompilDonnées[[#This Row],[PlantationDate]])</f>
        <v>104145643</v>
      </c>
      <c r="O353" t="str">
        <f>CompilDonnées[[#This Row],[FarmID]]&amp;CompilDonnées[[#This Row],[ModuleNumber]]</f>
        <v>1041</v>
      </c>
      <c r="P353" t="str">
        <f>CompilDonnées[[#This Row],[Ref_Module]]&amp;CompilDonnées[[#This Row],[HarvestingDate]]</f>
        <v>104145688</v>
      </c>
    </row>
    <row r="354" spans="1:16">
      <c r="A354" s="5">
        <v>45643</v>
      </c>
      <c r="B354">
        <v>103</v>
      </c>
      <c r="C354" t="s">
        <v>86</v>
      </c>
      <c r="D354">
        <v>6</v>
      </c>
      <c r="E354">
        <v>100</v>
      </c>
      <c r="F354" t="s">
        <v>1</v>
      </c>
      <c r="G354" s="6">
        <v>45687</v>
      </c>
      <c r="H354">
        <v>44</v>
      </c>
      <c r="I354">
        <f>ROUND(CompilDonnées[[#This Row],[CultureDuration_days]]/7,0)</f>
        <v>6</v>
      </c>
      <c r="J354">
        <v>2227</v>
      </c>
      <c r="K354" t="str">
        <f>_xlfn.CONCAT(WEEKNUM(CompilDonnées[[#This Row],[PlantationDate]]), " ", YEAR(CompilDonnées[[#This Row],[PlantationDate]]))</f>
        <v>51 2024</v>
      </c>
      <c r="L354" t="str">
        <f>CONCATENATE(MONTH(CompilDonnées[[#This Row],[PlantationDate]])," ", YEAR(CompilDonnées[[#This Row],[PlantationDate]]))</f>
        <v>12 2024</v>
      </c>
      <c r="M354" t="str">
        <f>CONCATENATE(MONTH(CompilDonnées[[#This Row],[HarvestingDate]])," ", YEAR(CompilDonnées[[#This Row],[HarvestingDate]]))</f>
        <v>1 2025</v>
      </c>
      <c r="N354">
        <f>_xlfn.NUMBERVALUE(CompilDonnées[[#This Row],[FarmID]]&amp;CompilDonnées[[#This Row],[ModuleNumber]]&amp;CompilDonnées[[#This Row],[PlantationDate]])</f>
        <v>103645643</v>
      </c>
      <c r="O354" t="str">
        <f>CompilDonnées[[#This Row],[FarmID]]&amp;CompilDonnées[[#This Row],[ModuleNumber]]</f>
        <v>1036</v>
      </c>
      <c r="P354" t="str">
        <f>CompilDonnées[[#This Row],[Ref_Module]]&amp;CompilDonnées[[#This Row],[HarvestingDate]]</f>
        <v>103645687</v>
      </c>
    </row>
    <row r="355" spans="1:16">
      <c r="A355" s="5">
        <v>45643</v>
      </c>
      <c r="B355">
        <v>95</v>
      </c>
      <c r="C355" t="s">
        <v>90</v>
      </c>
      <c r="D355">
        <v>4</v>
      </c>
      <c r="E355">
        <v>100</v>
      </c>
      <c r="F355" t="s">
        <v>1</v>
      </c>
      <c r="G355" s="6">
        <v>45690</v>
      </c>
      <c r="H355">
        <v>47</v>
      </c>
      <c r="I355">
        <f>ROUND(CompilDonnées[[#This Row],[CultureDuration_days]]/7,0)</f>
        <v>7</v>
      </c>
      <c r="J355">
        <v>2642</v>
      </c>
      <c r="K355" t="str">
        <f>_xlfn.CONCAT(WEEKNUM(CompilDonnées[[#This Row],[PlantationDate]]), " ", YEAR(CompilDonnées[[#This Row],[PlantationDate]]))</f>
        <v>51 2024</v>
      </c>
      <c r="L355" t="str">
        <f>CONCATENATE(MONTH(CompilDonnées[[#This Row],[PlantationDate]])," ", YEAR(CompilDonnées[[#This Row],[PlantationDate]]))</f>
        <v>12 2024</v>
      </c>
      <c r="M355" t="str">
        <f>CONCATENATE(MONTH(CompilDonnées[[#This Row],[HarvestingDate]])," ", YEAR(CompilDonnées[[#This Row],[HarvestingDate]]))</f>
        <v>2 2025</v>
      </c>
      <c r="N355">
        <f>_xlfn.NUMBERVALUE(CompilDonnées[[#This Row],[FarmID]]&amp;CompilDonnées[[#This Row],[ModuleNumber]]&amp;CompilDonnées[[#This Row],[PlantationDate]])</f>
        <v>95445643</v>
      </c>
      <c r="O355" t="str">
        <f>CompilDonnées[[#This Row],[FarmID]]&amp;CompilDonnées[[#This Row],[ModuleNumber]]</f>
        <v>954</v>
      </c>
      <c r="P355" t="str">
        <f>CompilDonnées[[#This Row],[Ref_Module]]&amp;CompilDonnées[[#This Row],[HarvestingDate]]</f>
        <v>95445690</v>
      </c>
    </row>
    <row r="356" spans="1:16">
      <c r="A356" s="5">
        <v>45643</v>
      </c>
      <c r="B356">
        <v>21</v>
      </c>
      <c r="C356" t="s">
        <v>0</v>
      </c>
      <c r="D356">
        <v>5</v>
      </c>
      <c r="E356">
        <v>100</v>
      </c>
      <c r="F356" t="s">
        <v>1</v>
      </c>
      <c r="G356" s="6">
        <v>45687</v>
      </c>
      <c r="H356">
        <v>44</v>
      </c>
      <c r="I356">
        <f>ROUND(CompilDonnées[[#This Row],[CultureDuration_days]]/7,0)</f>
        <v>6</v>
      </c>
      <c r="J356">
        <v>2868</v>
      </c>
      <c r="K356" t="str">
        <f>_xlfn.CONCAT(WEEKNUM(CompilDonnées[[#This Row],[PlantationDate]]), " ", YEAR(CompilDonnées[[#This Row],[PlantationDate]]))</f>
        <v>51 2024</v>
      </c>
      <c r="L356" t="str">
        <f>CONCATENATE(MONTH(CompilDonnées[[#This Row],[PlantationDate]])," ", YEAR(CompilDonnées[[#This Row],[PlantationDate]]))</f>
        <v>12 2024</v>
      </c>
      <c r="M356" t="str">
        <f>CONCATENATE(MONTH(CompilDonnées[[#This Row],[HarvestingDate]])," ", YEAR(CompilDonnées[[#This Row],[HarvestingDate]]))</f>
        <v>1 2025</v>
      </c>
      <c r="N356">
        <f>_xlfn.NUMBERVALUE(CompilDonnées[[#This Row],[FarmID]]&amp;CompilDonnées[[#This Row],[ModuleNumber]]&amp;CompilDonnées[[#This Row],[PlantationDate]])</f>
        <v>21545643</v>
      </c>
      <c r="O356" t="str">
        <f>CompilDonnées[[#This Row],[FarmID]]&amp;CompilDonnées[[#This Row],[ModuleNumber]]</f>
        <v>215</v>
      </c>
      <c r="P356" t="str">
        <f>CompilDonnées[[#This Row],[Ref_Module]]&amp;CompilDonnées[[#This Row],[HarvestingDate]]</f>
        <v>21545687</v>
      </c>
    </row>
    <row r="357" spans="1:16">
      <c r="A357" s="5">
        <v>45643</v>
      </c>
      <c r="B357">
        <v>30</v>
      </c>
      <c r="C357" t="s">
        <v>4</v>
      </c>
      <c r="D357">
        <v>2</v>
      </c>
      <c r="E357">
        <v>100</v>
      </c>
      <c r="F357" t="s">
        <v>1</v>
      </c>
      <c r="G357" s="6">
        <v>45687</v>
      </c>
      <c r="H357">
        <v>44</v>
      </c>
      <c r="I357">
        <f>ROUND(CompilDonnées[[#This Row],[CultureDuration_days]]/7,0)</f>
        <v>6</v>
      </c>
      <c r="J357">
        <v>2496</v>
      </c>
      <c r="K357" t="str">
        <f>_xlfn.CONCAT(WEEKNUM(CompilDonnées[[#This Row],[PlantationDate]]), " ", YEAR(CompilDonnées[[#This Row],[PlantationDate]]))</f>
        <v>51 2024</v>
      </c>
      <c r="L357" t="str">
        <f>CONCATENATE(MONTH(CompilDonnées[[#This Row],[PlantationDate]])," ", YEAR(CompilDonnées[[#This Row],[PlantationDate]]))</f>
        <v>12 2024</v>
      </c>
      <c r="M357" t="str">
        <f>CONCATENATE(MONTH(CompilDonnées[[#This Row],[HarvestingDate]])," ", YEAR(CompilDonnées[[#This Row],[HarvestingDate]]))</f>
        <v>1 2025</v>
      </c>
      <c r="N357">
        <f>_xlfn.NUMBERVALUE(CompilDonnées[[#This Row],[FarmID]]&amp;CompilDonnées[[#This Row],[ModuleNumber]]&amp;CompilDonnées[[#This Row],[PlantationDate]])</f>
        <v>30245643</v>
      </c>
      <c r="O357" t="str">
        <f>CompilDonnées[[#This Row],[FarmID]]&amp;CompilDonnées[[#This Row],[ModuleNumber]]</f>
        <v>302</v>
      </c>
      <c r="P357" t="str">
        <f>CompilDonnées[[#This Row],[Ref_Module]]&amp;CompilDonnées[[#This Row],[HarvestingDate]]</f>
        <v>30245687</v>
      </c>
    </row>
    <row r="358" spans="1:16">
      <c r="A358" s="5">
        <v>45643</v>
      </c>
      <c r="B358">
        <v>113</v>
      </c>
      <c r="C358" t="s">
        <v>16</v>
      </c>
      <c r="D358">
        <v>2</v>
      </c>
      <c r="E358">
        <v>100</v>
      </c>
      <c r="F358" t="s">
        <v>1</v>
      </c>
      <c r="G358" s="6">
        <v>45684</v>
      </c>
      <c r="H358">
        <v>41</v>
      </c>
      <c r="I358">
        <f>ROUND(CompilDonnées[[#This Row],[CultureDuration_days]]/7,0)</f>
        <v>6</v>
      </c>
      <c r="J358">
        <v>3960</v>
      </c>
      <c r="K358" t="str">
        <f>_xlfn.CONCAT(WEEKNUM(CompilDonnées[[#This Row],[PlantationDate]]), " ", YEAR(CompilDonnées[[#This Row],[PlantationDate]]))</f>
        <v>51 2024</v>
      </c>
      <c r="L358" t="str">
        <f>CONCATENATE(MONTH(CompilDonnées[[#This Row],[PlantationDate]])," ", YEAR(CompilDonnées[[#This Row],[PlantationDate]]))</f>
        <v>12 2024</v>
      </c>
      <c r="M358" t="str">
        <f>CONCATENATE(MONTH(CompilDonnées[[#This Row],[HarvestingDate]])," ", YEAR(CompilDonnées[[#This Row],[HarvestingDate]]))</f>
        <v>1 2025</v>
      </c>
      <c r="N358">
        <f>_xlfn.NUMBERVALUE(CompilDonnées[[#This Row],[FarmID]]&amp;CompilDonnées[[#This Row],[ModuleNumber]]&amp;CompilDonnées[[#This Row],[PlantationDate]])</f>
        <v>113245643</v>
      </c>
      <c r="O358" t="str">
        <f>CompilDonnées[[#This Row],[FarmID]]&amp;CompilDonnées[[#This Row],[ModuleNumber]]</f>
        <v>1132</v>
      </c>
      <c r="P358" t="str">
        <f>CompilDonnées[[#This Row],[Ref_Module]]&amp;CompilDonnées[[#This Row],[HarvestingDate]]</f>
        <v>113245684</v>
      </c>
    </row>
    <row r="359" spans="1:16">
      <c r="A359" s="5">
        <v>45643</v>
      </c>
      <c r="B359">
        <v>120</v>
      </c>
      <c r="C359" t="s">
        <v>100</v>
      </c>
      <c r="D359">
        <v>3</v>
      </c>
      <c r="E359">
        <v>100</v>
      </c>
      <c r="F359" t="s">
        <v>1</v>
      </c>
      <c r="G359" s="6">
        <v>45670</v>
      </c>
      <c r="H359">
        <v>27</v>
      </c>
      <c r="I359">
        <f>ROUND(CompilDonnées[[#This Row],[CultureDuration_days]]/7,0)</f>
        <v>4</v>
      </c>
      <c r="J359">
        <v>2235</v>
      </c>
      <c r="K359" t="str">
        <f>_xlfn.CONCAT(WEEKNUM(CompilDonnées[[#This Row],[PlantationDate]]), " ", YEAR(CompilDonnées[[#This Row],[PlantationDate]]))</f>
        <v>51 2024</v>
      </c>
      <c r="L359" t="str">
        <f>CONCATENATE(MONTH(CompilDonnées[[#This Row],[PlantationDate]])," ", YEAR(CompilDonnées[[#This Row],[PlantationDate]]))</f>
        <v>12 2024</v>
      </c>
      <c r="M359" t="str">
        <f>CONCATENATE(MONTH(CompilDonnées[[#This Row],[HarvestingDate]])," ", YEAR(CompilDonnées[[#This Row],[HarvestingDate]]))</f>
        <v>1 2025</v>
      </c>
      <c r="N359">
        <f>_xlfn.NUMBERVALUE(CompilDonnées[[#This Row],[FarmID]]&amp;CompilDonnées[[#This Row],[ModuleNumber]]&amp;CompilDonnées[[#This Row],[PlantationDate]])</f>
        <v>120345643</v>
      </c>
      <c r="O359" t="str">
        <f>CompilDonnées[[#This Row],[FarmID]]&amp;CompilDonnées[[#This Row],[ModuleNumber]]</f>
        <v>1203</v>
      </c>
      <c r="P359" t="str">
        <f>CompilDonnées[[#This Row],[Ref_Module]]&amp;CompilDonnées[[#This Row],[HarvestingDate]]</f>
        <v>120345670</v>
      </c>
    </row>
    <row r="360" spans="1:16">
      <c r="A360" s="5">
        <v>45643</v>
      </c>
      <c r="B360">
        <v>118</v>
      </c>
      <c r="C360" t="s">
        <v>51</v>
      </c>
      <c r="D360">
        <v>4</v>
      </c>
      <c r="E360">
        <v>100</v>
      </c>
      <c r="F360" t="s">
        <v>1</v>
      </c>
      <c r="G360" s="6">
        <v>45679</v>
      </c>
      <c r="H360">
        <v>36</v>
      </c>
      <c r="I360">
        <f>ROUND(CompilDonnées[[#This Row],[CultureDuration_days]]/7,0)</f>
        <v>5</v>
      </c>
      <c r="J360">
        <v>2324</v>
      </c>
      <c r="K360" t="str">
        <f>_xlfn.CONCAT(WEEKNUM(CompilDonnées[[#This Row],[PlantationDate]]), " ", YEAR(CompilDonnées[[#This Row],[PlantationDate]]))</f>
        <v>51 2024</v>
      </c>
      <c r="L360" t="str">
        <f>CONCATENATE(MONTH(CompilDonnées[[#This Row],[PlantationDate]])," ", YEAR(CompilDonnées[[#This Row],[PlantationDate]]))</f>
        <v>12 2024</v>
      </c>
      <c r="M360" t="str">
        <f>CONCATENATE(MONTH(CompilDonnées[[#This Row],[HarvestingDate]])," ", YEAR(CompilDonnées[[#This Row],[HarvestingDate]]))</f>
        <v>1 2025</v>
      </c>
      <c r="N360">
        <f>_xlfn.NUMBERVALUE(CompilDonnées[[#This Row],[FarmID]]&amp;CompilDonnées[[#This Row],[ModuleNumber]]&amp;CompilDonnées[[#This Row],[PlantationDate]])</f>
        <v>118445643</v>
      </c>
      <c r="O360" t="str">
        <f>CompilDonnées[[#This Row],[FarmID]]&amp;CompilDonnées[[#This Row],[ModuleNumber]]</f>
        <v>1184</v>
      </c>
      <c r="P360" t="str">
        <f>CompilDonnées[[#This Row],[Ref_Module]]&amp;CompilDonnées[[#This Row],[HarvestingDate]]</f>
        <v>118445679</v>
      </c>
    </row>
    <row r="361" spans="1:16">
      <c r="A361" s="5">
        <v>45643</v>
      </c>
      <c r="B361">
        <v>117</v>
      </c>
      <c r="C361" t="s">
        <v>11</v>
      </c>
      <c r="D361">
        <v>4</v>
      </c>
      <c r="E361">
        <v>100</v>
      </c>
      <c r="F361" t="s">
        <v>1</v>
      </c>
      <c r="G361" s="6">
        <v>45684</v>
      </c>
      <c r="H361">
        <v>41</v>
      </c>
      <c r="I361">
        <f>ROUND(CompilDonnées[[#This Row],[CultureDuration_days]]/7,0)</f>
        <v>6</v>
      </c>
      <c r="J361">
        <v>3131</v>
      </c>
      <c r="K361" t="str">
        <f>_xlfn.CONCAT(WEEKNUM(CompilDonnées[[#This Row],[PlantationDate]]), " ", YEAR(CompilDonnées[[#This Row],[PlantationDate]]))</f>
        <v>51 2024</v>
      </c>
      <c r="L361" t="str">
        <f>CONCATENATE(MONTH(CompilDonnées[[#This Row],[PlantationDate]])," ", YEAR(CompilDonnées[[#This Row],[PlantationDate]]))</f>
        <v>12 2024</v>
      </c>
      <c r="M361" t="str">
        <f>CONCATENATE(MONTH(CompilDonnées[[#This Row],[HarvestingDate]])," ", YEAR(CompilDonnées[[#This Row],[HarvestingDate]]))</f>
        <v>1 2025</v>
      </c>
      <c r="N361">
        <f>_xlfn.NUMBERVALUE(CompilDonnées[[#This Row],[FarmID]]&amp;CompilDonnées[[#This Row],[ModuleNumber]]&amp;CompilDonnées[[#This Row],[PlantationDate]])</f>
        <v>117445643</v>
      </c>
      <c r="O361" t="str">
        <f>CompilDonnées[[#This Row],[FarmID]]&amp;CompilDonnées[[#This Row],[ModuleNumber]]</f>
        <v>1174</v>
      </c>
      <c r="P361" t="str">
        <f>CompilDonnées[[#This Row],[Ref_Module]]&amp;CompilDonnées[[#This Row],[HarvestingDate]]</f>
        <v>117445684</v>
      </c>
    </row>
    <row r="362" spans="1:16">
      <c r="A362" s="5">
        <v>45643</v>
      </c>
      <c r="B362">
        <v>126</v>
      </c>
      <c r="C362" t="s">
        <v>52</v>
      </c>
      <c r="D362">
        <v>5</v>
      </c>
      <c r="E362">
        <v>100</v>
      </c>
      <c r="F362" t="s">
        <v>1</v>
      </c>
      <c r="G362" s="6">
        <v>45670</v>
      </c>
      <c r="H362">
        <v>27</v>
      </c>
      <c r="I362">
        <f>ROUND(CompilDonnées[[#This Row],[CultureDuration_days]]/7,0)</f>
        <v>4</v>
      </c>
      <c r="J362">
        <v>2013</v>
      </c>
      <c r="K362" t="str">
        <f>_xlfn.CONCAT(WEEKNUM(CompilDonnées[[#This Row],[PlantationDate]]), " ", YEAR(CompilDonnées[[#This Row],[PlantationDate]]))</f>
        <v>51 2024</v>
      </c>
      <c r="L362" t="str">
        <f>CONCATENATE(MONTH(CompilDonnées[[#This Row],[PlantationDate]])," ", YEAR(CompilDonnées[[#This Row],[PlantationDate]]))</f>
        <v>12 2024</v>
      </c>
      <c r="M362" t="str">
        <f>CONCATENATE(MONTH(CompilDonnées[[#This Row],[HarvestingDate]])," ", YEAR(CompilDonnées[[#This Row],[HarvestingDate]]))</f>
        <v>1 2025</v>
      </c>
      <c r="N362">
        <f>_xlfn.NUMBERVALUE(CompilDonnées[[#This Row],[FarmID]]&amp;CompilDonnées[[#This Row],[ModuleNumber]]&amp;CompilDonnées[[#This Row],[PlantationDate]])</f>
        <v>126545643</v>
      </c>
      <c r="O362" t="str">
        <f>CompilDonnées[[#This Row],[FarmID]]&amp;CompilDonnées[[#This Row],[ModuleNumber]]</f>
        <v>1265</v>
      </c>
      <c r="P362" t="str">
        <f>CompilDonnées[[#This Row],[Ref_Module]]&amp;CompilDonnées[[#This Row],[HarvestingDate]]</f>
        <v>126545670</v>
      </c>
    </row>
    <row r="363" spans="1:16">
      <c r="A363" s="5">
        <v>45643</v>
      </c>
      <c r="B363">
        <v>126</v>
      </c>
      <c r="C363" t="s">
        <v>52</v>
      </c>
      <c r="D363">
        <v>6</v>
      </c>
      <c r="E363">
        <v>100</v>
      </c>
      <c r="F363" t="s">
        <v>1</v>
      </c>
      <c r="G363" s="6">
        <v>45670</v>
      </c>
      <c r="H363">
        <v>27</v>
      </c>
      <c r="I363">
        <f>ROUND(CompilDonnées[[#This Row],[CultureDuration_days]]/7,0)</f>
        <v>4</v>
      </c>
      <c r="J363">
        <v>1955</v>
      </c>
      <c r="K363" t="str">
        <f>_xlfn.CONCAT(WEEKNUM(CompilDonnées[[#This Row],[PlantationDate]]), " ", YEAR(CompilDonnées[[#This Row],[PlantationDate]]))</f>
        <v>51 2024</v>
      </c>
      <c r="L363" t="str">
        <f>CONCATENATE(MONTH(CompilDonnées[[#This Row],[PlantationDate]])," ", YEAR(CompilDonnées[[#This Row],[PlantationDate]]))</f>
        <v>12 2024</v>
      </c>
      <c r="M363" t="str">
        <f>CONCATENATE(MONTH(CompilDonnées[[#This Row],[HarvestingDate]])," ", YEAR(CompilDonnées[[#This Row],[HarvestingDate]]))</f>
        <v>1 2025</v>
      </c>
      <c r="N363">
        <f>_xlfn.NUMBERVALUE(CompilDonnées[[#This Row],[FarmID]]&amp;CompilDonnées[[#This Row],[ModuleNumber]]&amp;CompilDonnées[[#This Row],[PlantationDate]])</f>
        <v>126645643</v>
      </c>
      <c r="O363" t="str">
        <f>CompilDonnées[[#This Row],[FarmID]]&amp;CompilDonnées[[#This Row],[ModuleNumber]]</f>
        <v>1266</v>
      </c>
      <c r="P363" t="str">
        <f>CompilDonnées[[#This Row],[Ref_Module]]&amp;CompilDonnées[[#This Row],[HarvestingDate]]</f>
        <v>126645670</v>
      </c>
    </row>
    <row r="364" spans="1:16">
      <c r="A364" s="5">
        <v>45643</v>
      </c>
      <c r="B364">
        <v>124</v>
      </c>
      <c r="C364" t="s">
        <v>115</v>
      </c>
      <c r="D364">
        <v>5</v>
      </c>
      <c r="E364">
        <v>100</v>
      </c>
      <c r="F364" t="s">
        <v>1</v>
      </c>
      <c r="G364" s="6">
        <v>45684</v>
      </c>
      <c r="H364">
        <v>41</v>
      </c>
      <c r="I364">
        <f>ROUND(CompilDonnées[[#This Row],[CultureDuration_days]]/7,0)</f>
        <v>6</v>
      </c>
      <c r="J364">
        <v>4078</v>
      </c>
      <c r="K364" t="str">
        <f>_xlfn.CONCAT(WEEKNUM(CompilDonnées[[#This Row],[PlantationDate]]), " ", YEAR(CompilDonnées[[#This Row],[PlantationDate]]))</f>
        <v>51 2024</v>
      </c>
      <c r="L364" t="str">
        <f>CONCATENATE(MONTH(CompilDonnées[[#This Row],[PlantationDate]])," ", YEAR(CompilDonnées[[#This Row],[PlantationDate]]))</f>
        <v>12 2024</v>
      </c>
      <c r="M364" t="str">
        <f>CONCATENATE(MONTH(CompilDonnées[[#This Row],[HarvestingDate]])," ", YEAR(CompilDonnées[[#This Row],[HarvestingDate]]))</f>
        <v>1 2025</v>
      </c>
      <c r="N364">
        <f>_xlfn.NUMBERVALUE(CompilDonnées[[#This Row],[FarmID]]&amp;CompilDonnées[[#This Row],[ModuleNumber]]&amp;CompilDonnées[[#This Row],[PlantationDate]])</f>
        <v>124545643</v>
      </c>
      <c r="O364" t="str">
        <f>CompilDonnées[[#This Row],[FarmID]]&amp;CompilDonnées[[#This Row],[ModuleNumber]]</f>
        <v>1245</v>
      </c>
      <c r="P364" t="str">
        <f>CompilDonnées[[#This Row],[Ref_Module]]&amp;CompilDonnées[[#This Row],[HarvestingDate]]</f>
        <v>124545684</v>
      </c>
    </row>
    <row r="365" spans="1:16">
      <c r="A365" s="5">
        <v>45643</v>
      </c>
      <c r="B365">
        <v>133</v>
      </c>
      <c r="C365" t="s">
        <v>99</v>
      </c>
      <c r="D365">
        <v>4</v>
      </c>
      <c r="E365">
        <v>100</v>
      </c>
      <c r="F365" t="s">
        <v>1</v>
      </c>
      <c r="G365" s="6">
        <v>45684</v>
      </c>
      <c r="H365">
        <v>41</v>
      </c>
      <c r="I365">
        <f>ROUND(CompilDonnées[[#This Row],[CultureDuration_days]]/7,0)</f>
        <v>6</v>
      </c>
      <c r="J365">
        <v>3622</v>
      </c>
      <c r="K365" t="str">
        <f>_xlfn.CONCAT(WEEKNUM(CompilDonnées[[#This Row],[PlantationDate]]), " ", YEAR(CompilDonnées[[#This Row],[PlantationDate]]))</f>
        <v>51 2024</v>
      </c>
      <c r="L365" t="str">
        <f>CONCATENATE(MONTH(CompilDonnées[[#This Row],[PlantationDate]])," ", YEAR(CompilDonnées[[#This Row],[PlantationDate]]))</f>
        <v>12 2024</v>
      </c>
      <c r="M365" t="str">
        <f>CONCATENATE(MONTH(CompilDonnées[[#This Row],[HarvestingDate]])," ", YEAR(CompilDonnées[[#This Row],[HarvestingDate]]))</f>
        <v>1 2025</v>
      </c>
      <c r="N365">
        <f>_xlfn.NUMBERVALUE(CompilDonnées[[#This Row],[FarmID]]&amp;CompilDonnées[[#This Row],[ModuleNumber]]&amp;CompilDonnées[[#This Row],[PlantationDate]])</f>
        <v>133445643</v>
      </c>
      <c r="O365" t="str">
        <f>CompilDonnées[[#This Row],[FarmID]]&amp;CompilDonnées[[#This Row],[ModuleNumber]]</f>
        <v>1334</v>
      </c>
      <c r="P365" t="str">
        <f>CompilDonnées[[#This Row],[Ref_Module]]&amp;CompilDonnées[[#This Row],[HarvestingDate]]</f>
        <v>133445684</v>
      </c>
    </row>
    <row r="366" spans="1:16">
      <c r="A366" s="5">
        <v>45643</v>
      </c>
      <c r="B366">
        <v>132</v>
      </c>
      <c r="C366" t="s">
        <v>93</v>
      </c>
      <c r="D366">
        <v>2</v>
      </c>
      <c r="E366">
        <v>100</v>
      </c>
      <c r="F366" t="s">
        <v>1</v>
      </c>
      <c r="G366" s="6">
        <v>45684</v>
      </c>
      <c r="H366">
        <v>41</v>
      </c>
      <c r="I366">
        <f>ROUND(CompilDonnées[[#This Row],[CultureDuration_days]]/7,0)</f>
        <v>6</v>
      </c>
      <c r="J366">
        <v>2599</v>
      </c>
      <c r="K366" t="str">
        <f>_xlfn.CONCAT(WEEKNUM(CompilDonnées[[#This Row],[PlantationDate]]), " ", YEAR(CompilDonnées[[#This Row],[PlantationDate]]))</f>
        <v>51 2024</v>
      </c>
      <c r="L366" t="str">
        <f>CONCATENATE(MONTH(CompilDonnées[[#This Row],[PlantationDate]])," ", YEAR(CompilDonnées[[#This Row],[PlantationDate]]))</f>
        <v>12 2024</v>
      </c>
      <c r="M366" t="str">
        <f>CONCATENATE(MONTH(CompilDonnées[[#This Row],[HarvestingDate]])," ", YEAR(CompilDonnées[[#This Row],[HarvestingDate]]))</f>
        <v>1 2025</v>
      </c>
      <c r="N366">
        <f>_xlfn.NUMBERVALUE(CompilDonnées[[#This Row],[FarmID]]&amp;CompilDonnées[[#This Row],[ModuleNumber]]&amp;CompilDonnées[[#This Row],[PlantationDate]])</f>
        <v>132245643</v>
      </c>
      <c r="O366" t="str">
        <f>CompilDonnées[[#This Row],[FarmID]]&amp;CompilDonnées[[#This Row],[ModuleNumber]]</f>
        <v>1322</v>
      </c>
      <c r="P366" t="str">
        <f>CompilDonnées[[#This Row],[Ref_Module]]&amp;CompilDonnées[[#This Row],[HarvestingDate]]</f>
        <v>132245684</v>
      </c>
    </row>
    <row r="367" spans="1:16">
      <c r="A367" s="5">
        <v>45643</v>
      </c>
      <c r="B367">
        <v>131</v>
      </c>
      <c r="C367" t="s">
        <v>64</v>
      </c>
      <c r="D367">
        <v>4</v>
      </c>
      <c r="E367">
        <v>100</v>
      </c>
      <c r="F367" t="s">
        <v>1</v>
      </c>
      <c r="G367" s="6">
        <v>45684</v>
      </c>
      <c r="H367">
        <v>41</v>
      </c>
      <c r="I367">
        <f>ROUND(CompilDonnées[[#This Row],[CultureDuration_days]]/7,0)</f>
        <v>6</v>
      </c>
      <c r="J367">
        <v>2940</v>
      </c>
      <c r="K367" t="str">
        <f>_xlfn.CONCAT(WEEKNUM(CompilDonnées[[#This Row],[PlantationDate]]), " ", YEAR(CompilDonnées[[#This Row],[PlantationDate]]))</f>
        <v>51 2024</v>
      </c>
      <c r="L367" t="str">
        <f>CONCATENATE(MONTH(CompilDonnées[[#This Row],[PlantationDate]])," ", YEAR(CompilDonnées[[#This Row],[PlantationDate]]))</f>
        <v>12 2024</v>
      </c>
      <c r="M367" t="str">
        <f>CONCATENATE(MONTH(CompilDonnées[[#This Row],[HarvestingDate]])," ", YEAR(CompilDonnées[[#This Row],[HarvestingDate]]))</f>
        <v>1 2025</v>
      </c>
      <c r="N367">
        <f>_xlfn.NUMBERVALUE(CompilDonnées[[#This Row],[FarmID]]&amp;CompilDonnées[[#This Row],[ModuleNumber]]&amp;CompilDonnées[[#This Row],[PlantationDate]])</f>
        <v>131445643</v>
      </c>
      <c r="O367" t="str">
        <f>CompilDonnées[[#This Row],[FarmID]]&amp;CompilDonnées[[#This Row],[ModuleNumber]]</f>
        <v>1314</v>
      </c>
      <c r="P367" t="str">
        <f>CompilDonnées[[#This Row],[Ref_Module]]&amp;CompilDonnées[[#This Row],[HarvestingDate]]</f>
        <v>131445684</v>
      </c>
    </row>
    <row r="368" spans="1:16">
      <c r="A368" s="5">
        <v>45643</v>
      </c>
      <c r="B368">
        <v>137</v>
      </c>
      <c r="C368" t="s">
        <v>108</v>
      </c>
      <c r="D368">
        <v>6</v>
      </c>
      <c r="E368">
        <v>100</v>
      </c>
      <c r="F368" t="s">
        <v>1</v>
      </c>
      <c r="G368" s="6">
        <v>45684</v>
      </c>
      <c r="H368">
        <v>41</v>
      </c>
      <c r="I368">
        <f>ROUND(CompilDonnées[[#This Row],[CultureDuration_days]]/7,0)</f>
        <v>6</v>
      </c>
      <c r="J368">
        <v>2852</v>
      </c>
      <c r="K368" t="str">
        <f>_xlfn.CONCAT(WEEKNUM(CompilDonnées[[#This Row],[PlantationDate]]), " ", YEAR(CompilDonnées[[#This Row],[PlantationDate]]))</f>
        <v>51 2024</v>
      </c>
      <c r="L368" t="str">
        <f>CONCATENATE(MONTH(CompilDonnées[[#This Row],[PlantationDate]])," ", YEAR(CompilDonnées[[#This Row],[PlantationDate]]))</f>
        <v>12 2024</v>
      </c>
      <c r="M368" t="str">
        <f>CONCATENATE(MONTH(CompilDonnées[[#This Row],[HarvestingDate]])," ", YEAR(CompilDonnées[[#This Row],[HarvestingDate]]))</f>
        <v>1 2025</v>
      </c>
      <c r="N368">
        <f>_xlfn.NUMBERVALUE(CompilDonnées[[#This Row],[FarmID]]&amp;CompilDonnées[[#This Row],[ModuleNumber]]&amp;CompilDonnées[[#This Row],[PlantationDate]])</f>
        <v>137645643</v>
      </c>
      <c r="O368" t="str">
        <f>CompilDonnées[[#This Row],[FarmID]]&amp;CompilDonnées[[#This Row],[ModuleNumber]]</f>
        <v>1376</v>
      </c>
      <c r="P368" t="str">
        <f>CompilDonnées[[#This Row],[Ref_Module]]&amp;CompilDonnées[[#This Row],[HarvestingDate]]</f>
        <v>137645684</v>
      </c>
    </row>
    <row r="369" spans="1:16">
      <c r="A369" s="5">
        <v>45643</v>
      </c>
      <c r="B369">
        <v>138</v>
      </c>
      <c r="C369" t="s">
        <v>8</v>
      </c>
      <c r="D369">
        <v>6</v>
      </c>
      <c r="E369">
        <v>100</v>
      </c>
      <c r="F369" t="s">
        <v>1</v>
      </c>
      <c r="G369" s="6">
        <v>45684</v>
      </c>
      <c r="H369">
        <v>41</v>
      </c>
      <c r="I369">
        <f>ROUND(CompilDonnées[[#This Row],[CultureDuration_days]]/7,0)</f>
        <v>6</v>
      </c>
      <c r="J369">
        <v>2452</v>
      </c>
      <c r="K369" t="str">
        <f>_xlfn.CONCAT(WEEKNUM(CompilDonnées[[#This Row],[PlantationDate]]), " ", YEAR(CompilDonnées[[#This Row],[PlantationDate]]))</f>
        <v>51 2024</v>
      </c>
      <c r="L369" t="str">
        <f>CONCATENATE(MONTH(CompilDonnées[[#This Row],[PlantationDate]])," ", YEAR(CompilDonnées[[#This Row],[PlantationDate]]))</f>
        <v>12 2024</v>
      </c>
      <c r="M369" t="str">
        <f>CONCATENATE(MONTH(CompilDonnées[[#This Row],[HarvestingDate]])," ", YEAR(CompilDonnées[[#This Row],[HarvestingDate]]))</f>
        <v>1 2025</v>
      </c>
      <c r="N369">
        <f>_xlfn.NUMBERVALUE(CompilDonnées[[#This Row],[FarmID]]&amp;CompilDonnées[[#This Row],[ModuleNumber]]&amp;CompilDonnées[[#This Row],[PlantationDate]])</f>
        <v>138645643</v>
      </c>
      <c r="O369" t="str">
        <f>CompilDonnées[[#This Row],[FarmID]]&amp;CompilDonnées[[#This Row],[ModuleNumber]]</f>
        <v>1386</v>
      </c>
      <c r="P369" t="str">
        <f>CompilDonnées[[#This Row],[Ref_Module]]&amp;CompilDonnées[[#This Row],[HarvestingDate]]</f>
        <v>138645684</v>
      </c>
    </row>
    <row r="370" spans="1:16">
      <c r="A370" s="5">
        <v>45643</v>
      </c>
      <c r="B370">
        <v>139</v>
      </c>
      <c r="C370" t="s">
        <v>103</v>
      </c>
      <c r="D370">
        <v>2</v>
      </c>
      <c r="E370">
        <v>100</v>
      </c>
      <c r="F370" t="s">
        <v>1</v>
      </c>
      <c r="G370" s="6">
        <v>45688</v>
      </c>
      <c r="H370">
        <v>45</v>
      </c>
      <c r="I370">
        <f>ROUND(CompilDonnées[[#This Row],[CultureDuration_days]]/7,0)</f>
        <v>6</v>
      </c>
      <c r="J370">
        <v>2578</v>
      </c>
      <c r="K370" t="str">
        <f>_xlfn.CONCAT(WEEKNUM(CompilDonnées[[#This Row],[PlantationDate]]), " ", YEAR(CompilDonnées[[#This Row],[PlantationDate]]))</f>
        <v>51 2024</v>
      </c>
      <c r="L370" t="str">
        <f>CONCATENATE(MONTH(CompilDonnées[[#This Row],[PlantationDate]])," ", YEAR(CompilDonnées[[#This Row],[PlantationDate]]))</f>
        <v>12 2024</v>
      </c>
      <c r="M370" t="str">
        <f>CONCATENATE(MONTH(CompilDonnées[[#This Row],[HarvestingDate]])," ", YEAR(CompilDonnées[[#This Row],[HarvestingDate]]))</f>
        <v>1 2025</v>
      </c>
      <c r="N370">
        <f>_xlfn.NUMBERVALUE(CompilDonnées[[#This Row],[FarmID]]&amp;CompilDonnées[[#This Row],[ModuleNumber]]&amp;CompilDonnées[[#This Row],[PlantationDate]])</f>
        <v>139245643</v>
      </c>
      <c r="O370" t="str">
        <f>CompilDonnées[[#This Row],[FarmID]]&amp;CompilDonnées[[#This Row],[ModuleNumber]]</f>
        <v>1392</v>
      </c>
      <c r="P370" t="str">
        <f>CompilDonnées[[#This Row],[Ref_Module]]&amp;CompilDonnées[[#This Row],[HarvestingDate]]</f>
        <v>139245688</v>
      </c>
    </row>
    <row r="371" spans="1:16">
      <c r="A371" s="5">
        <v>45643</v>
      </c>
      <c r="B371">
        <v>140</v>
      </c>
      <c r="C371" t="s">
        <v>96</v>
      </c>
      <c r="D371">
        <v>2</v>
      </c>
      <c r="E371">
        <v>100</v>
      </c>
      <c r="F371" t="s">
        <v>1</v>
      </c>
      <c r="G371" s="6">
        <v>45684</v>
      </c>
      <c r="H371">
        <v>41</v>
      </c>
      <c r="I371">
        <f>ROUND(CompilDonnées[[#This Row],[CultureDuration_days]]/7,0)</f>
        <v>6</v>
      </c>
      <c r="J371">
        <v>3062</v>
      </c>
      <c r="K371" t="str">
        <f>_xlfn.CONCAT(WEEKNUM(CompilDonnées[[#This Row],[PlantationDate]]), " ", YEAR(CompilDonnées[[#This Row],[PlantationDate]]))</f>
        <v>51 2024</v>
      </c>
      <c r="L371" t="str">
        <f>CONCATENATE(MONTH(CompilDonnées[[#This Row],[PlantationDate]])," ", YEAR(CompilDonnées[[#This Row],[PlantationDate]]))</f>
        <v>12 2024</v>
      </c>
      <c r="M371" t="str">
        <f>CONCATENATE(MONTH(CompilDonnées[[#This Row],[HarvestingDate]])," ", YEAR(CompilDonnées[[#This Row],[HarvestingDate]]))</f>
        <v>1 2025</v>
      </c>
      <c r="N371">
        <f>_xlfn.NUMBERVALUE(CompilDonnées[[#This Row],[FarmID]]&amp;CompilDonnées[[#This Row],[ModuleNumber]]&amp;CompilDonnées[[#This Row],[PlantationDate]])</f>
        <v>140245643</v>
      </c>
      <c r="O371" t="str">
        <f>CompilDonnées[[#This Row],[FarmID]]&amp;CompilDonnées[[#This Row],[ModuleNumber]]</f>
        <v>1402</v>
      </c>
      <c r="P371" t="str">
        <f>CompilDonnées[[#This Row],[Ref_Module]]&amp;CompilDonnées[[#This Row],[HarvestingDate]]</f>
        <v>140245684</v>
      </c>
    </row>
    <row r="372" spans="1:16">
      <c r="A372" s="5">
        <v>45643</v>
      </c>
      <c r="B372">
        <v>145</v>
      </c>
      <c r="C372" t="s">
        <v>88</v>
      </c>
      <c r="D372">
        <v>6</v>
      </c>
      <c r="E372">
        <v>100</v>
      </c>
      <c r="F372" t="s">
        <v>1</v>
      </c>
      <c r="G372" s="6">
        <v>45684</v>
      </c>
      <c r="H372">
        <v>41</v>
      </c>
      <c r="I372">
        <f>ROUND(CompilDonnées[[#This Row],[CultureDuration_days]]/7,0)</f>
        <v>6</v>
      </c>
      <c r="J372">
        <v>2093</v>
      </c>
      <c r="K372" t="str">
        <f>_xlfn.CONCAT(WEEKNUM(CompilDonnées[[#This Row],[PlantationDate]]), " ", YEAR(CompilDonnées[[#This Row],[PlantationDate]]))</f>
        <v>51 2024</v>
      </c>
      <c r="L372" t="str">
        <f>CONCATENATE(MONTH(CompilDonnées[[#This Row],[PlantationDate]])," ", YEAR(CompilDonnées[[#This Row],[PlantationDate]]))</f>
        <v>12 2024</v>
      </c>
      <c r="M372" t="str">
        <f>CONCATENATE(MONTH(CompilDonnées[[#This Row],[HarvestingDate]])," ", YEAR(CompilDonnées[[#This Row],[HarvestingDate]]))</f>
        <v>1 2025</v>
      </c>
      <c r="N372">
        <f>_xlfn.NUMBERVALUE(CompilDonnées[[#This Row],[FarmID]]&amp;CompilDonnées[[#This Row],[ModuleNumber]]&amp;CompilDonnées[[#This Row],[PlantationDate]])</f>
        <v>145645643</v>
      </c>
      <c r="O372" t="str">
        <f>CompilDonnées[[#This Row],[FarmID]]&amp;CompilDonnées[[#This Row],[ModuleNumber]]</f>
        <v>1456</v>
      </c>
      <c r="P372" t="str">
        <f>CompilDonnées[[#This Row],[Ref_Module]]&amp;CompilDonnées[[#This Row],[HarvestingDate]]</f>
        <v>145645684</v>
      </c>
    </row>
    <row r="373" spans="1:16">
      <c r="A373" s="5">
        <v>45643</v>
      </c>
      <c r="B373">
        <v>114</v>
      </c>
      <c r="C373" t="s">
        <v>76</v>
      </c>
      <c r="D373">
        <v>2</v>
      </c>
      <c r="E373">
        <v>100</v>
      </c>
      <c r="F373" t="s">
        <v>1</v>
      </c>
      <c r="G373" s="6">
        <v>45685</v>
      </c>
      <c r="H373">
        <v>42</v>
      </c>
      <c r="I373">
        <f>ROUND(CompilDonnées[[#This Row],[CultureDuration_days]]/7,0)</f>
        <v>6</v>
      </c>
      <c r="J373">
        <v>2025</v>
      </c>
      <c r="K373" t="str">
        <f>_xlfn.CONCAT(WEEKNUM(CompilDonnées[[#This Row],[PlantationDate]]), " ", YEAR(CompilDonnées[[#This Row],[PlantationDate]]))</f>
        <v>51 2024</v>
      </c>
      <c r="L373" t="str">
        <f>CONCATENATE(MONTH(CompilDonnées[[#This Row],[PlantationDate]])," ", YEAR(CompilDonnées[[#This Row],[PlantationDate]]))</f>
        <v>12 2024</v>
      </c>
      <c r="M373" t="str">
        <f>CONCATENATE(MONTH(CompilDonnées[[#This Row],[HarvestingDate]])," ", YEAR(CompilDonnées[[#This Row],[HarvestingDate]]))</f>
        <v>1 2025</v>
      </c>
      <c r="N373">
        <f>_xlfn.NUMBERVALUE(CompilDonnées[[#This Row],[FarmID]]&amp;CompilDonnées[[#This Row],[ModuleNumber]]&amp;CompilDonnées[[#This Row],[PlantationDate]])</f>
        <v>114245643</v>
      </c>
      <c r="O373" t="str">
        <f>CompilDonnées[[#This Row],[FarmID]]&amp;CompilDonnées[[#This Row],[ModuleNumber]]</f>
        <v>1142</v>
      </c>
      <c r="P373" t="str">
        <f>CompilDonnées[[#This Row],[Ref_Module]]&amp;CompilDonnées[[#This Row],[HarvestingDate]]</f>
        <v>114245685</v>
      </c>
    </row>
    <row r="374" spans="1:16">
      <c r="A374" s="5">
        <v>45643</v>
      </c>
      <c r="B374">
        <v>125</v>
      </c>
      <c r="C374" t="s">
        <v>101</v>
      </c>
      <c r="D374">
        <v>5</v>
      </c>
      <c r="E374">
        <v>100</v>
      </c>
      <c r="F374" t="s">
        <v>1</v>
      </c>
      <c r="G374" s="6">
        <v>45671</v>
      </c>
      <c r="H374">
        <v>28</v>
      </c>
      <c r="I374">
        <f>ROUND(CompilDonnées[[#This Row],[CultureDuration_days]]/7,0)</f>
        <v>4</v>
      </c>
      <c r="J374">
        <v>2567</v>
      </c>
      <c r="K374" t="str">
        <f>_xlfn.CONCAT(WEEKNUM(CompilDonnées[[#This Row],[PlantationDate]]), " ", YEAR(CompilDonnées[[#This Row],[PlantationDate]]))</f>
        <v>51 2024</v>
      </c>
      <c r="L374" t="str">
        <f>CONCATENATE(MONTH(CompilDonnées[[#This Row],[PlantationDate]])," ", YEAR(CompilDonnées[[#This Row],[PlantationDate]]))</f>
        <v>12 2024</v>
      </c>
      <c r="M374" t="str">
        <f>CONCATENATE(MONTH(CompilDonnées[[#This Row],[HarvestingDate]])," ", YEAR(CompilDonnées[[#This Row],[HarvestingDate]]))</f>
        <v>1 2025</v>
      </c>
      <c r="N374">
        <f>_xlfn.NUMBERVALUE(CompilDonnées[[#This Row],[FarmID]]&amp;CompilDonnées[[#This Row],[ModuleNumber]]&amp;CompilDonnées[[#This Row],[PlantationDate]])</f>
        <v>125545643</v>
      </c>
      <c r="O374" t="str">
        <f>CompilDonnées[[#This Row],[FarmID]]&amp;CompilDonnées[[#This Row],[ModuleNumber]]</f>
        <v>1255</v>
      </c>
      <c r="P374" t="str">
        <f>CompilDonnées[[#This Row],[Ref_Module]]&amp;CompilDonnées[[#This Row],[HarvestingDate]]</f>
        <v>125545671</v>
      </c>
    </row>
    <row r="375" spans="1:16">
      <c r="A375" s="5">
        <v>45643</v>
      </c>
      <c r="B375">
        <v>80</v>
      </c>
      <c r="C375" t="s">
        <v>29</v>
      </c>
      <c r="D375">
        <v>1</v>
      </c>
      <c r="E375">
        <v>100</v>
      </c>
      <c r="F375" t="s">
        <v>1</v>
      </c>
      <c r="G375" s="6">
        <v>45694</v>
      </c>
      <c r="H375">
        <v>51</v>
      </c>
      <c r="I375">
        <f>ROUND(CompilDonnées[[#This Row],[CultureDuration_days]]/7,0)</f>
        <v>7</v>
      </c>
      <c r="J375">
        <v>3783</v>
      </c>
      <c r="K375" t="str">
        <f>_xlfn.CONCAT(WEEKNUM(CompilDonnées[[#This Row],[PlantationDate]]), " ", YEAR(CompilDonnées[[#This Row],[PlantationDate]]))</f>
        <v>51 2024</v>
      </c>
      <c r="L375" t="str">
        <f>CONCATENATE(MONTH(CompilDonnées[[#This Row],[PlantationDate]])," ", YEAR(CompilDonnées[[#This Row],[PlantationDate]]))</f>
        <v>12 2024</v>
      </c>
      <c r="M375" t="str">
        <f>CONCATENATE(MONTH(CompilDonnées[[#This Row],[HarvestingDate]])," ", YEAR(CompilDonnées[[#This Row],[HarvestingDate]]))</f>
        <v>2 2025</v>
      </c>
      <c r="N375">
        <f>_xlfn.NUMBERVALUE(CompilDonnées[[#This Row],[FarmID]]&amp;CompilDonnées[[#This Row],[ModuleNumber]]&amp;CompilDonnées[[#This Row],[PlantationDate]])</f>
        <v>80145643</v>
      </c>
      <c r="O375" t="str">
        <f>CompilDonnées[[#This Row],[FarmID]]&amp;CompilDonnées[[#This Row],[ModuleNumber]]</f>
        <v>801</v>
      </c>
      <c r="P375" t="str">
        <f>CompilDonnées[[#This Row],[Ref_Module]]&amp;CompilDonnées[[#This Row],[HarvestingDate]]</f>
        <v>80145694</v>
      </c>
    </row>
    <row r="376" spans="1:16">
      <c r="A376" s="5">
        <v>45643</v>
      </c>
      <c r="B376">
        <v>66</v>
      </c>
      <c r="C376" t="s">
        <v>48</v>
      </c>
      <c r="D376">
        <v>6</v>
      </c>
      <c r="E376">
        <v>100</v>
      </c>
      <c r="F376" t="s">
        <v>1</v>
      </c>
      <c r="G376" s="6">
        <v>45686</v>
      </c>
      <c r="H376">
        <v>43</v>
      </c>
      <c r="I376">
        <f>ROUND(CompilDonnées[[#This Row],[CultureDuration_days]]/7,0)</f>
        <v>6</v>
      </c>
      <c r="J376">
        <v>3223</v>
      </c>
      <c r="K376" t="str">
        <f>_xlfn.CONCAT(WEEKNUM(CompilDonnées[[#This Row],[PlantationDate]]), " ", YEAR(CompilDonnées[[#This Row],[PlantationDate]]))</f>
        <v>51 2024</v>
      </c>
      <c r="L376" t="str">
        <f>CONCATENATE(MONTH(CompilDonnées[[#This Row],[PlantationDate]])," ", YEAR(CompilDonnées[[#This Row],[PlantationDate]]))</f>
        <v>12 2024</v>
      </c>
      <c r="M376" t="str">
        <f>CONCATENATE(MONTH(CompilDonnées[[#This Row],[HarvestingDate]])," ", YEAR(CompilDonnées[[#This Row],[HarvestingDate]]))</f>
        <v>1 2025</v>
      </c>
      <c r="N376">
        <f>_xlfn.NUMBERVALUE(CompilDonnées[[#This Row],[FarmID]]&amp;CompilDonnées[[#This Row],[ModuleNumber]]&amp;CompilDonnées[[#This Row],[PlantationDate]])</f>
        <v>66645643</v>
      </c>
      <c r="O376" t="str">
        <f>CompilDonnées[[#This Row],[FarmID]]&amp;CompilDonnées[[#This Row],[ModuleNumber]]</f>
        <v>666</v>
      </c>
      <c r="P376" t="str">
        <f>CompilDonnées[[#This Row],[Ref_Module]]&amp;CompilDonnées[[#This Row],[HarvestingDate]]</f>
        <v>66645686</v>
      </c>
    </row>
    <row r="377" spans="1:16">
      <c r="A377" s="5">
        <v>45643</v>
      </c>
      <c r="B377">
        <v>65</v>
      </c>
      <c r="C377" t="s">
        <v>36</v>
      </c>
      <c r="D377">
        <v>1</v>
      </c>
      <c r="E377">
        <v>100</v>
      </c>
      <c r="F377" t="s">
        <v>1</v>
      </c>
      <c r="G377" s="6">
        <v>45689</v>
      </c>
      <c r="H377">
        <v>46</v>
      </c>
      <c r="I377">
        <f>ROUND(CompilDonnées[[#This Row],[CultureDuration_days]]/7,0)</f>
        <v>7</v>
      </c>
      <c r="J377">
        <v>2487</v>
      </c>
      <c r="K377" t="str">
        <f>_xlfn.CONCAT(WEEKNUM(CompilDonnées[[#This Row],[PlantationDate]]), " ", YEAR(CompilDonnées[[#This Row],[PlantationDate]]))</f>
        <v>51 2024</v>
      </c>
      <c r="L377" t="str">
        <f>CONCATENATE(MONTH(CompilDonnées[[#This Row],[PlantationDate]])," ", YEAR(CompilDonnées[[#This Row],[PlantationDate]]))</f>
        <v>12 2024</v>
      </c>
      <c r="M377" t="str">
        <f>CONCATENATE(MONTH(CompilDonnées[[#This Row],[HarvestingDate]])," ", YEAR(CompilDonnées[[#This Row],[HarvestingDate]]))</f>
        <v>2 2025</v>
      </c>
      <c r="N377">
        <f>_xlfn.NUMBERVALUE(CompilDonnées[[#This Row],[FarmID]]&amp;CompilDonnées[[#This Row],[ModuleNumber]]&amp;CompilDonnées[[#This Row],[PlantationDate]])</f>
        <v>65145643</v>
      </c>
      <c r="O377" t="str">
        <f>CompilDonnées[[#This Row],[FarmID]]&amp;CompilDonnées[[#This Row],[ModuleNumber]]</f>
        <v>651</v>
      </c>
      <c r="P377" t="str">
        <f>CompilDonnées[[#This Row],[Ref_Module]]&amp;CompilDonnées[[#This Row],[HarvestingDate]]</f>
        <v>65145689</v>
      </c>
    </row>
    <row r="378" spans="1:16">
      <c r="A378" s="5">
        <v>45643</v>
      </c>
      <c r="B378">
        <v>64</v>
      </c>
      <c r="C378" t="s">
        <v>47</v>
      </c>
      <c r="D378">
        <v>2</v>
      </c>
      <c r="E378">
        <v>100</v>
      </c>
      <c r="F378" t="s">
        <v>1</v>
      </c>
      <c r="G378" s="6">
        <v>45686</v>
      </c>
      <c r="H378">
        <v>43</v>
      </c>
      <c r="I378">
        <f>ROUND(CompilDonnées[[#This Row],[CultureDuration_days]]/7,0)</f>
        <v>6</v>
      </c>
      <c r="J378">
        <v>2738</v>
      </c>
      <c r="K378" t="str">
        <f>_xlfn.CONCAT(WEEKNUM(CompilDonnées[[#This Row],[PlantationDate]]), " ", YEAR(CompilDonnées[[#This Row],[PlantationDate]]))</f>
        <v>51 2024</v>
      </c>
      <c r="L378" t="str">
        <f>CONCATENATE(MONTH(CompilDonnées[[#This Row],[PlantationDate]])," ", YEAR(CompilDonnées[[#This Row],[PlantationDate]]))</f>
        <v>12 2024</v>
      </c>
      <c r="M378" t="str">
        <f>CONCATENATE(MONTH(CompilDonnées[[#This Row],[HarvestingDate]])," ", YEAR(CompilDonnées[[#This Row],[HarvestingDate]]))</f>
        <v>1 2025</v>
      </c>
      <c r="N378">
        <f>_xlfn.NUMBERVALUE(CompilDonnées[[#This Row],[FarmID]]&amp;CompilDonnées[[#This Row],[ModuleNumber]]&amp;CompilDonnées[[#This Row],[PlantationDate]])</f>
        <v>64245643</v>
      </c>
      <c r="O378" t="str">
        <f>CompilDonnées[[#This Row],[FarmID]]&amp;CompilDonnées[[#This Row],[ModuleNumber]]</f>
        <v>642</v>
      </c>
      <c r="P378" t="str">
        <f>CompilDonnées[[#This Row],[Ref_Module]]&amp;CompilDonnées[[#This Row],[HarvestingDate]]</f>
        <v>64245686</v>
      </c>
    </row>
    <row r="379" spans="1:16">
      <c r="A379" s="5">
        <v>45643</v>
      </c>
      <c r="B379">
        <v>76</v>
      </c>
      <c r="C379" t="s">
        <v>18</v>
      </c>
      <c r="D379">
        <v>3</v>
      </c>
      <c r="E379">
        <v>100</v>
      </c>
      <c r="F379" t="s">
        <v>1</v>
      </c>
      <c r="G379" s="6">
        <v>45690</v>
      </c>
      <c r="H379">
        <v>47</v>
      </c>
      <c r="I379">
        <f>ROUND(CompilDonnées[[#This Row],[CultureDuration_days]]/7,0)</f>
        <v>7</v>
      </c>
      <c r="J379">
        <v>2929</v>
      </c>
      <c r="K379" t="str">
        <f>_xlfn.CONCAT(WEEKNUM(CompilDonnées[[#This Row],[PlantationDate]]), " ", YEAR(CompilDonnées[[#This Row],[PlantationDate]]))</f>
        <v>51 2024</v>
      </c>
      <c r="L379" t="str">
        <f>CONCATENATE(MONTH(CompilDonnées[[#This Row],[PlantationDate]])," ", YEAR(CompilDonnées[[#This Row],[PlantationDate]]))</f>
        <v>12 2024</v>
      </c>
      <c r="M379" t="str">
        <f>CONCATENATE(MONTH(CompilDonnées[[#This Row],[HarvestingDate]])," ", YEAR(CompilDonnées[[#This Row],[HarvestingDate]]))</f>
        <v>2 2025</v>
      </c>
      <c r="N379">
        <f>_xlfn.NUMBERVALUE(CompilDonnées[[#This Row],[FarmID]]&amp;CompilDonnées[[#This Row],[ModuleNumber]]&amp;CompilDonnées[[#This Row],[PlantationDate]])</f>
        <v>76345643</v>
      </c>
      <c r="O379" t="str">
        <f>CompilDonnées[[#This Row],[FarmID]]&amp;CompilDonnées[[#This Row],[ModuleNumber]]</f>
        <v>763</v>
      </c>
      <c r="P379" t="str">
        <f>CompilDonnées[[#This Row],[Ref_Module]]&amp;CompilDonnées[[#This Row],[HarvestingDate]]</f>
        <v>76345690</v>
      </c>
    </row>
    <row r="380" spans="1:16">
      <c r="A380" s="5">
        <v>45643</v>
      </c>
      <c r="B380">
        <v>83</v>
      </c>
      <c r="C380" t="s">
        <v>73</v>
      </c>
      <c r="D380">
        <v>2</v>
      </c>
      <c r="E380">
        <v>100</v>
      </c>
      <c r="F380" t="s">
        <v>1</v>
      </c>
      <c r="G380" s="6">
        <v>45685</v>
      </c>
      <c r="H380">
        <v>42</v>
      </c>
      <c r="I380">
        <f>ROUND(CompilDonnées[[#This Row],[CultureDuration_days]]/7,0)</f>
        <v>6</v>
      </c>
      <c r="J380">
        <v>2903</v>
      </c>
      <c r="K380" t="str">
        <f>_xlfn.CONCAT(WEEKNUM(CompilDonnées[[#This Row],[PlantationDate]]), " ", YEAR(CompilDonnées[[#This Row],[PlantationDate]]))</f>
        <v>51 2024</v>
      </c>
      <c r="L380" t="str">
        <f>CONCATENATE(MONTH(CompilDonnées[[#This Row],[PlantationDate]])," ", YEAR(CompilDonnées[[#This Row],[PlantationDate]]))</f>
        <v>12 2024</v>
      </c>
      <c r="M380" t="str">
        <f>CONCATENATE(MONTH(CompilDonnées[[#This Row],[HarvestingDate]])," ", YEAR(CompilDonnées[[#This Row],[HarvestingDate]]))</f>
        <v>1 2025</v>
      </c>
      <c r="N380">
        <f>_xlfn.NUMBERVALUE(CompilDonnées[[#This Row],[FarmID]]&amp;CompilDonnées[[#This Row],[ModuleNumber]]&amp;CompilDonnées[[#This Row],[PlantationDate]])</f>
        <v>83245643</v>
      </c>
      <c r="O380" t="str">
        <f>CompilDonnées[[#This Row],[FarmID]]&amp;CompilDonnées[[#This Row],[ModuleNumber]]</f>
        <v>832</v>
      </c>
      <c r="P380" t="str">
        <f>CompilDonnées[[#This Row],[Ref_Module]]&amp;CompilDonnées[[#This Row],[HarvestingDate]]</f>
        <v>83245685</v>
      </c>
    </row>
    <row r="381" spans="1:16">
      <c r="A381" s="5">
        <v>45643</v>
      </c>
      <c r="B381">
        <v>84</v>
      </c>
      <c r="C381" t="s">
        <v>65</v>
      </c>
      <c r="D381">
        <v>3</v>
      </c>
      <c r="E381">
        <v>100</v>
      </c>
      <c r="F381" t="s">
        <v>1</v>
      </c>
      <c r="G381" s="6">
        <v>45694</v>
      </c>
      <c r="H381">
        <v>51</v>
      </c>
      <c r="I381">
        <f>ROUND(CompilDonnées[[#This Row],[CultureDuration_days]]/7,0)</f>
        <v>7</v>
      </c>
      <c r="J381">
        <v>2069</v>
      </c>
      <c r="K381" t="str">
        <f>_xlfn.CONCAT(WEEKNUM(CompilDonnées[[#This Row],[PlantationDate]]), " ", YEAR(CompilDonnées[[#This Row],[PlantationDate]]))</f>
        <v>51 2024</v>
      </c>
      <c r="L381" t="str">
        <f>CONCATENATE(MONTH(CompilDonnées[[#This Row],[PlantationDate]])," ", YEAR(CompilDonnées[[#This Row],[PlantationDate]]))</f>
        <v>12 2024</v>
      </c>
      <c r="M381" t="str">
        <f>CONCATENATE(MONTH(CompilDonnées[[#This Row],[HarvestingDate]])," ", YEAR(CompilDonnées[[#This Row],[HarvestingDate]]))</f>
        <v>2 2025</v>
      </c>
      <c r="N381">
        <f>_xlfn.NUMBERVALUE(CompilDonnées[[#This Row],[FarmID]]&amp;CompilDonnées[[#This Row],[ModuleNumber]]&amp;CompilDonnées[[#This Row],[PlantationDate]])</f>
        <v>84345643</v>
      </c>
      <c r="O381" t="str">
        <f>CompilDonnées[[#This Row],[FarmID]]&amp;CompilDonnées[[#This Row],[ModuleNumber]]</f>
        <v>843</v>
      </c>
      <c r="P381" t="str">
        <f>CompilDonnées[[#This Row],[Ref_Module]]&amp;CompilDonnées[[#This Row],[HarvestingDate]]</f>
        <v>84345694</v>
      </c>
    </row>
    <row r="382" spans="1:16">
      <c r="A382" s="5">
        <v>45643</v>
      </c>
      <c r="B382">
        <v>119</v>
      </c>
      <c r="C382" t="s">
        <v>59</v>
      </c>
      <c r="D382">
        <v>3</v>
      </c>
      <c r="E382">
        <v>100</v>
      </c>
      <c r="F382" t="s">
        <v>1</v>
      </c>
      <c r="G382" s="6">
        <v>45684</v>
      </c>
      <c r="H382">
        <v>41</v>
      </c>
      <c r="I382">
        <f>ROUND(CompilDonnées[[#This Row],[CultureDuration_days]]/7,0)</f>
        <v>6</v>
      </c>
      <c r="J382">
        <v>3707</v>
      </c>
      <c r="K382" t="str">
        <f>_xlfn.CONCAT(WEEKNUM(CompilDonnées[[#This Row],[PlantationDate]]), " ", YEAR(CompilDonnées[[#This Row],[PlantationDate]]))</f>
        <v>51 2024</v>
      </c>
      <c r="L382" t="str">
        <f>CONCATENATE(MONTH(CompilDonnées[[#This Row],[PlantationDate]])," ", YEAR(CompilDonnées[[#This Row],[PlantationDate]]))</f>
        <v>12 2024</v>
      </c>
      <c r="M382" t="str">
        <f>CONCATENATE(MONTH(CompilDonnées[[#This Row],[HarvestingDate]])," ", YEAR(CompilDonnées[[#This Row],[HarvestingDate]]))</f>
        <v>1 2025</v>
      </c>
      <c r="N382">
        <f>_xlfn.NUMBERVALUE(CompilDonnées[[#This Row],[FarmID]]&amp;CompilDonnées[[#This Row],[ModuleNumber]]&amp;CompilDonnées[[#This Row],[PlantationDate]])</f>
        <v>119345643</v>
      </c>
      <c r="O382" t="str">
        <f>CompilDonnées[[#This Row],[FarmID]]&amp;CompilDonnées[[#This Row],[ModuleNumber]]</f>
        <v>1193</v>
      </c>
      <c r="P382" t="str">
        <f>CompilDonnées[[#This Row],[Ref_Module]]&amp;CompilDonnées[[#This Row],[HarvestingDate]]</f>
        <v>119345684</v>
      </c>
    </row>
    <row r="383" spans="1:16">
      <c r="A383" s="5">
        <v>45644</v>
      </c>
      <c r="B383">
        <v>109</v>
      </c>
      <c r="C383" t="s">
        <v>87</v>
      </c>
      <c r="D383">
        <v>2</v>
      </c>
      <c r="E383">
        <v>100</v>
      </c>
      <c r="F383" t="s">
        <v>1</v>
      </c>
      <c r="G383" s="6">
        <v>45690</v>
      </c>
      <c r="H383">
        <v>46</v>
      </c>
      <c r="I383">
        <f>ROUND(CompilDonnées[[#This Row],[CultureDuration_days]]/7,0)</f>
        <v>7</v>
      </c>
      <c r="J383">
        <v>5541</v>
      </c>
      <c r="K383" t="str">
        <f>_xlfn.CONCAT(WEEKNUM(CompilDonnées[[#This Row],[PlantationDate]]), " ", YEAR(CompilDonnées[[#This Row],[PlantationDate]]))</f>
        <v>51 2024</v>
      </c>
      <c r="L383" t="str">
        <f>CONCATENATE(MONTH(CompilDonnées[[#This Row],[PlantationDate]])," ", YEAR(CompilDonnées[[#This Row],[PlantationDate]]))</f>
        <v>12 2024</v>
      </c>
      <c r="M383" t="str">
        <f>CONCATENATE(MONTH(CompilDonnées[[#This Row],[HarvestingDate]])," ", YEAR(CompilDonnées[[#This Row],[HarvestingDate]]))</f>
        <v>2 2025</v>
      </c>
      <c r="N383">
        <f>_xlfn.NUMBERVALUE(CompilDonnées[[#This Row],[FarmID]]&amp;CompilDonnées[[#This Row],[ModuleNumber]]&amp;CompilDonnées[[#This Row],[PlantationDate]])</f>
        <v>109245644</v>
      </c>
      <c r="O383" t="str">
        <f>CompilDonnées[[#This Row],[FarmID]]&amp;CompilDonnées[[#This Row],[ModuleNumber]]</f>
        <v>1092</v>
      </c>
      <c r="P383" t="str">
        <f>CompilDonnées[[#This Row],[Ref_Module]]&amp;CompilDonnées[[#This Row],[HarvestingDate]]</f>
        <v>109245690</v>
      </c>
    </row>
    <row r="384" spans="1:16">
      <c r="A384" s="5">
        <v>45644</v>
      </c>
      <c r="B384">
        <v>108</v>
      </c>
      <c r="C384" t="s">
        <v>58</v>
      </c>
      <c r="D384">
        <v>5</v>
      </c>
      <c r="E384">
        <v>100</v>
      </c>
      <c r="F384" t="s">
        <v>1</v>
      </c>
      <c r="G384" s="6">
        <v>45684</v>
      </c>
      <c r="H384">
        <v>40</v>
      </c>
      <c r="I384">
        <f>ROUND(CompilDonnées[[#This Row],[CultureDuration_days]]/7,0)</f>
        <v>6</v>
      </c>
      <c r="J384">
        <v>3703</v>
      </c>
      <c r="K384" t="str">
        <f>_xlfn.CONCAT(WEEKNUM(CompilDonnées[[#This Row],[PlantationDate]]), " ", YEAR(CompilDonnées[[#This Row],[PlantationDate]]))</f>
        <v>51 2024</v>
      </c>
      <c r="L384" t="str">
        <f>CONCATENATE(MONTH(CompilDonnées[[#This Row],[PlantationDate]])," ", YEAR(CompilDonnées[[#This Row],[PlantationDate]]))</f>
        <v>12 2024</v>
      </c>
      <c r="M384" t="str">
        <f>CONCATENATE(MONTH(CompilDonnées[[#This Row],[HarvestingDate]])," ", YEAR(CompilDonnées[[#This Row],[HarvestingDate]]))</f>
        <v>1 2025</v>
      </c>
      <c r="N384">
        <f>_xlfn.NUMBERVALUE(CompilDonnées[[#This Row],[FarmID]]&amp;CompilDonnées[[#This Row],[ModuleNumber]]&amp;CompilDonnées[[#This Row],[PlantationDate]])</f>
        <v>108545644</v>
      </c>
      <c r="O384" t="str">
        <f>CompilDonnées[[#This Row],[FarmID]]&amp;CompilDonnées[[#This Row],[ModuleNumber]]</f>
        <v>1085</v>
      </c>
      <c r="P384" t="str">
        <f>CompilDonnées[[#This Row],[Ref_Module]]&amp;CompilDonnées[[#This Row],[HarvestingDate]]</f>
        <v>108545684</v>
      </c>
    </row>
    <row r="385" spans="1:16">
      <c r="A385" s="5">
        <v>45644</v>
      </c>
      <c r="B385">
        <v>107</v>
      </c>
      <c r="C385" t="s">
        <v>23</v>
      </c>
      <c r="D385">
        <v>6</v>
      </c>
      <c r="E385">
        <v>100</v>
      </c>
      <c r="F385" t="s">
        <v>1</v>
      </c>
      <c r="G385" s="6">
        <v>45684</v>
      </c>
      <c r="H385">
        <v>40</v>
      </c>
      <c r="I385">
        <f>ROUND(CompilDonnées[[#This Row],[CultureDuration_days]]/7,0)</f>
        <v>6</v>
      </c>
      <c r="J385">
        <v>3693</v>
      </c>
      <c r="K385" t="str">
        <f>_xlfn.CONCAT(WEEKNUM(CompilDonnées[[#This Row],[PlantationDate]]), " ", YEAR(CompilDonnées[[#This Row],[PlantationDate]]))</f>
        <v>51 2024</v>
      </c>
      <c r="L385" t="str">
        <f>CONCATENATE(MONTH(CompilDonnées[[#This Row],[PlantationDate]])," ", YEAR(CompilDonnées[[#This Row],[PlantationDate]]))</f>
        <v>12 2024</v>
      </c>
      <c r="M385" t="str">
        <f>CONCATENATE(MONTH(CompilDonnées[[#This Row],[HarvestingDate]])," ", YEAR(CompilDonnées[[#This Row],[HarvestingDate]]))</f>
        <v>1 2025</v>
      </c>
      <c r="N385">
        <f>_xlfn.NUMBERVALUE(CompilDonnées[[#This Row],[FarmID]]&amp;CompilDonnées[[#This Row],[ModuleNumber]]&amp;CompilDonnées[[#This Row],[PlantationDate]])</f>
        <v>107645644</v>
      </c>
      <c r="O385" t="str">
        <f>CompilDonnées[[#This Row],[FarmID]]&amp;CompilDonnées[[#This Row],[ModuleNumber]]</f>
        <v>1076</v>
      </c>
      <c r="P385" t="str">
        <f>CompilDonnées[[#This Row],[Ref_Module]]&amp;CompilDonnées[[#This Row],[HarvestingDate]]</f>
        <v>107645684</v>
      </c>
    </row>
    <row r="386" spans="1:16">
      <c r="A386" s="5">
        <v>45644</v>
      </c>
      <c r="B386">
        <v>100</v>
      </c>
      <c r="C386" t="s">
        <v>84</v>
      </c>
      <c r="D386">
        <v>6</v>
      </c>
      <c r="E386">
        <v>100</v>
      </c>
      <c r="F386" t="s">
        <v>1</v>
      </c>
      <c r="G386" s="6">
        <v>45689</v>
      </c>
      <c r="H386">
        <v>45</v>
      </c>
      <c r="I386">
        <f>ROUND(CompilDonnées[[#This Row],[CultureDuration_days]]/7,0)</f>
        <v>6</v>
      </c>
      <c r="J386">
        <v>3264</v>
      </c>
      <c r="K386" t="str">
        <f>_xlfn.CONCAT(WEEKNUM(CompilDonnées[[#This Row],[PlantationDate]]), " ", YEAR(CompilDonnées[[#This Row],[PlantationDate]]))</f>
        <v>51 2024</v>
      </c>
      <c r="L386" t="str">
        <f>CONCATENATE(MONTH(CompilDonnées[[#This Row],[PlantationDate]])," ", YEAR(CompilDonnées[[#This Row],[PlantationDate]]))</f>
        <v>12 2024</v>
      </c>
      <c r="M386" t="str">
        <f>CONCATENATE(MONTH(CompilDonnées[[#This Row],[HarvestingDate]])," ", YEAR(CompilDonnées[[#This Row],[HarvestingDate]]))</f>
        <v>2 2025</v>
      </c>
      <c r="N386">
        <f>_xlfn.NUMBERVALUE(CompilDonnées[[#This Row],[FarmID]]&amp;CompilDonnées[[#This Row],[ModuleNumber]]&amp;CompilDonnées[[#This Row],[PlantationDate]])</f>
        <v>100645644</v>
      </c>
      <c r="O386" t="str">
        <f>CompilDonnées[[#This Row],[FarmID]]&amp;CompilDonnées[[#This Row],[ModuleNumber]]</f>
        <v>1006</v>
      </c>
      <c r="P386" t="str">
        <f>CompilDonnées[[#This Row],[Ref_Module]]&amp;CompilDonnées[[#This Row],[HarvestingDate]]</f>
        <v>100645689</v>
      </c>
    </row>
    <row r="387" spans="1:16">
      <c r="A387" s="5">
        <v>45644</v>
      </c>
      <c r="B387">
        <v>92</v>
      </c>
      <c r="C387" t="s">
        <v>66</v>
      </c>
      <c r="D387">
        <v>1</v>
      </c>
      <c r="E387">
        <v>100</v>
      </c>
      <c r="F387" t="s">
        <v>1</v>
      </c>
      <c r="G387" s="6">
        <v>45689</v>
      </c>
      <c r="H387">
        <v>45</v>
      </c>
      <c r="I387">
        <f>ROUND(CompilDonnées[[#This Row],[CultureDuration_days]]/7,0)</f>
        <v>6</v>
      </c>
      <c r="J387">
        <v>2652</v>
      </c>
      <c r="K387" t="str">
        <f>_xlfn.CONCAT(WEEKNUM(CompilDonnées[[#This Row],[PlantationDate]]), " ", YEAR(CompilDonnées[[#This Row],[PlantationDate]]))</f>
        <v>51 2024</v>
      </c>
      <c r="L387" t="str">
        <f>CONCATENATE(MONTH(CompilDonnées[[#This Row],[PlantationDate]])," ", YEAR(CompilDonnées[[#This Row],[PlantationDate]]))</f>
        <v>12 2024</v>
      </c>
      <c r="M387" t="str">
        <f>CONCATENATE(MONTH(CompilDonnées[[#This Row],[HarvestingDate]])," ", YEAR(CompilDonnées[[#This Row],[HarvestingDate]]))</f>
        <v>2 2025</v>
      </c>
      <c r="N387">
        <f>_xlfn.NUMBERVALUE(CompilDonnées[[#This Row],[FarmID]]&amp;CompilDonnées[[#This Row],[ModuleNumber]]&amp;CompilDonnées[[#This Row],[PlantationDate]])</f>
        <v>92145644</v>
      </c>
      <c r="O387" t="str">
        <f>CompilDonnées[[#This Row],[FarmID]]&amp;CompilDonnées[[#This Row],[ModuleNumber]]</f>
        <v>921</v>
      </c>
      <c r="P387" t="str">
        <f>CompilDonnées[[#This Row],[Ref_Module]]&amp;CompilDonnées[[#This Row],[HarvestingDate]]</f>
        <v>92145689</v>
      </c>
    </row>
    <row r="388" spans="1:16">
      <c r="A388" s="5">
        <v>45644</v>
      </c>
      <c r="B388">
        <v>94</v>
      </c>
      <c r="C388" t="s">
        <v>40</v>
      </c>
      <c r="D388">
        <v>3</v>
      </c>
      <c r="E388">
        <v>100</v>
      </c>
      <c r="F388" t="s">
        <v>1</v>
      </c>
      <c r="G388" s="6">
        <v>45694</v>
      </c>
      <c r="H388">
        <v>50</v>
      </c>
      <c r="I388">
        <f>ROUND(CompilDonnées[[#This Row],[CultureDuration_days]]/7,0)</f>
        <v>7</v>
      </c>
      <c r="J388">
        <v>3896</v>
      </c>
      <c r="K388" t="str">
        <f>_xlfn.CONCAT(WEEKNUM(CompilDonnées[[#This Row],[PlantationDate]]), " ", YEAR(CompilDonnées[[#This Row],[PlantationDate]]))</f>
        <v>51 2024</v>
      </c>
      <c r="L388" t="str">
        <f>CONCATENATE(MONTH(CompilDonnées[[#This Row],[PlantationDate]])," ", YEAR(CompilDonnées[[#This Row],[PlantationDate]]))</f>
        <v>12 2024</v>
      </c>
      <c r="M388" t="str">
        <f>CONCATENATE(MONTH(CompilDonnées[[#This Row],[HarvestingDate]])," ", YEAR(CompilDonnées[[#This Row],[HarvestingDate]]))</f>
        <v>2 2025</v>
      </c>
      <c r="N388">
        <f>_xlfn.NUMBERVALUE(CompilDonnées[[#This Row],[FarmID]]&amp;CompilDonnées[[#This Row],[ModuleNumber]]&amp;CompilDonnées[[#This Row],[PlantationDate]])</f>
        <v>94345644</v>
      </c>
      <c r="O388" t="str">
        <f>CompilDonnées[[#This Row],[FarmID]]&amp;CompilDonnées[[#This Row],[ModuleNumber]]</f>
        <v>943</v>
      </c>
      <c r="P388" t="str">
        <f>CompilDonnées[[#This Row],[Ref_Module]]&amp;CompilDonnées[[#This Row],[HarvestingDate]]</f>
        <v>94345694</v>
      </c>
    </row>
    <row r="389" spans="1:16">
      <c r="A389" s="5">
        <v>45644</v>
      </c>
      <c r="B389">
        <v>88</v>
      </c>
      <c r="C389" t="s">
        <v>94</v>
      </c>
      <c r="D389">
        <v>3</v>
      </c>
      <c r="E389">
        <v>100</v>
      </c>
      <c r="F389" t="s">
        <v>1</v>
      </c>
      <c r="G389" s="6">
        <v>45685</v>
      </c>
      <c r="H389">
        <v>41</v>
      </c>
      <c r="I389">
        <f>ROUND(CompilDonnées[[#This Row],[CultureDuration_days]]/7,0)</f>
        <v>6</v>
      </c>
      <c r="J389">
        <v>4333</v>
      </c>
      <c r="K389" t="str">
        <f>_xlfn.CONCAT(WEEKNUM(CompilDonnées[[#This Row],[PlantationDate]]), " ", YEAR(CompilDonnées[[#This Row],[PlantationDate]]))</f>
        <v>51 2024</v>
      </c>
      <c r="L389" t="str">
        <f>CONCATENATE(MONTH(CompilDonnées[[#This Row],[PlantationDate]])," ", YEAR(CompilDonnées[[#This Row],[PlantationDate]]))</f>
        <v>12 2024</v>
      </c>
      <c r="M389" t="str">
        <f>CONCATENATE(MONTH(CompilDonnées[[#This Row],[HarvestingDate]])," ", YEAR(CompilDonnées[[#This Row],[HarvestingDate]]))</f>
        <v>1 2025</v>
      </c>
      <c r="N389">
        <f>_xlfn.NUMBERVALUE(CompilDonnées[[#This Row],[FarmID]]&amp;CompilDonnées[[#This Row],[ModuleNumber]]&amp;CompilDonnées[[#This Row],[PlantationDate]])</f>
        <v>88345644</v>
      </c>
      <c r="O389" t="str">
        <f>CompilDonnées[[#This Row],[FarmID]]&amp;CompilDonnées[[#This Row],[ModuleNumber]]</f>
        <v>883</v>
      </c>
      <c r="P389" t="str">
        <f>CompilDonnées[[#This Row],[Ref_Module]]&amp;CompilDonnées[[#This Row],[HarvestingDate]]</f>
        <v>88345685</v>
      </c>
    </row>
    <row r="390" spans="1:16">
      <c r="A390" s="5">
        <v>45644</v>
      </c>
      <c r="B390">
        <v>87</v>
      </c>
      <c r="C390" t="s">
        <v>38</v>
      </c>
      <c r="D390">
        <v>1</v>
      </c>
      <c r="E390">
        <v>100</v>
      </c>
      <c r="F390" t="s">
        <v>1</v>
      </c>
      <c r="G390" s="6">
        <v>45689</v>
      </c>
      <c r="H390">
        <v>45</v>
      </c>
      <c r="I390">
        <f>ROUND(CompilDonnées[[#This Row],[CultureDuration_days]]/7,0)</f>
        <v>6</v>
      </c>
      <c r="J390">
        <v>2692</v>
      </c>
      <c r="K390" t="str">
        <f>_xlfn.CONCAT(WEEKNUM(CompilDonnées[[#This Row],[PlantationDate]]), " ", YEAR(CompilDonnées[[#This Row],[PlantationDate]]))</f>
        <v>51 2024</v>
      </c>
      <c r="L390" t="str">
        <f>CONCATENATE(MONTH(CompilDonnées[[#This Row],[PlantationDate]])," ", YEAR(CompilDonnées[[#This Row],[PlantationDate]]))</f>
        <v>12 2024</v>
      </c>
      <c r="M390" t="str">
        <f>CONCATENATE(MONTH(CompilDonnées[[#This Row],[HarvestingDate]])," ", YEAR(CompilDonnées[[#This Row],[HarvestingDate]]))</f>
        <v>2 2025</v>
      </c>
      <c r="N390">
        <f>_xlfn.NUMBERVALUE(CompilDonnées[[#This Row],[FarmID]]&amp;CompilDonnées[[#This Row],[ModuleNumber]]&amp;CompilDonnées[[#This Row],[PlantationDate]])</f>
        <v>87145644</v>
      </c>
      <c r="O390" t="str">
        <f>CompilDonnées[[#This Row],[FarmID]]&amp;CompilDonnées[[#This Row],[ModuleNumber]]</f>
        <v>871</v>
      </c>
      <c r="P390" t="str">
        <f>CompilDonnées[[#This Row],[Ref_Module]]&amp;CompilDonnées[[#This Row],[HarvestingDate]]</f>
        <v>87145689</v>
      </c>
    </row>
    <row r="391" spans="1:16">
      <c r="A391" s="5">
        <v>45644</v>
      </c>
      <c r="B391">
        <v>104</v>
      </c>
      <c r="C391" t="s">
        <v>91</v>
      </c>
      <c r="D391">
        <v>2</v>
      </c>
      <c r="E391">
        <v>100</v>
      </c>
      <c r="F391" t="s">
        <v>1</v>
      </c>
      <c r="G391" s="6">
        <v>45695</v>
      </c>
      <c r="H391">
        <v>51</v>
      </c>
      <c r="I391">
        <f>ROUND(CompilDonnées[[#This Row],[CultureDuration_days]]/7,0)</f>
        <v>7</v>
      </c>
      <c r="J391">
        <v>2665</v>
      </c>
      <c r="K391" t="str">
        <f>_xlfn.CONCAT(WEEKNUM(CompilDonnées[[#This Row],[PlantationDate]]), " ", YEAR(CompilDonnées[[#This Row],[PlantationDate]]))</f>
        <v>51 2024</v>
      </c>
      <c r="L391" t="str">
        <f>CONCATENATE(MONTH(CompilDonnées[[#This Row],[PlantationDate]])," ", YEAR(CompilDonnées[[#This Row],[PlantationDate]]))</f>
        <v>12 2024</v>
      </c>
      <c r="M391" t="str">
        <f>CONCATENATE(MONTH(CompilDonnées[[#This Row],[HarvestingDate]])," ", YEAR(CompilDonnées[[#This Row],[HarvestingDate]]))</f>
        <v>2 2025</v>
      </c>
      <c r="N391">
        <f>_xlfn.NUMBERVALUE(CompilDonnées[[#This Row],[FarmID]]&amp;CompilDonnées[[#This Row],[ModuleNumber]]&amp;CompilDonnées[[#This Row],[PlantationDate]])</f>
        <v>104245644</v>
      </c>
      <c r="O391" t="str">
        <f>CompilDonnées[[#This Row],[FarmID]]&amp;CompilDonnées[[#This Row],[ModuleNumber]]</f>
        <v>1042</v>
      </c>
      <c r="P391" t="str">
        <f>CompilDonnées[[#This Row],[Ref_Module]]&amp;CompilDonnées[[#This Row],[HarvestingDate]]</f>
        <v>104245695</v>
      </c>
    </row>
    <row r="392" spans="1:16">
      <c r="A392" s="5">
        <v>45644</v>
      </c>
      <c r="B392">
        <v>97</v>
      </c>
      <c r="C392" t="s">
        <v>78</v>
      </c>
      <c r="D392">
        <v>1</v>
      </c>
      <c r="E392">
        <v>100</v>
      </c>
      <c r="F392" t="s">
        <v>1</v>
      </c>
      <c r="G392" s="6">
        <v>45695</v>
      </c>
      <c r="H392">
        <v>51</v>
      </c>
      <c r="I392">
        <f>ROUND(CompilDonnées[[#This Row],[CultureDuration_days]]/7,0)</f>
        <v>7</v>
      </c>
      <c r="J392">
        <v>3477</v>
      </c>
      <c r="K392" t="str">
        <f>_xlfn.CONCAT(WEEKNUM(CompilDonnées[[#This Row],[PlantationDate]]), " ", YEAR(CompilDonnées[[#This Row],[PlantationDate]]))</f>
        <v>51 2024</v>
      </c>
      <c r="L392" t="str">
        <f>CONCATENATE(MONTH(CompilDonnées[[#This Row],[PlantationDate]])," ", YEAR(CompilDonnées[[#This Row],[PlantationDate]]))</f>
        <v>12 2024</v>
      </c>
      <c r="M392" t="str">
        <f>CONCATENATE(MONTH(CompilDonnées[[#This Row],[HarvestingDate]])," ", YEAR(CompilDonnées[[#This Row],[HarvestingDate]]))</f>
        <v>2 2025</v>
      </c>
      <c r="N392">
        <f>_xlfn.NUMBERVALUE(CompilDonnées[[#This Row],[FarmID]]&amp;CompilDonnées[[#This Row],[ModuleNumber]]&amp;CompilDonnées[[#This Row],[PlantationDate]])</f>
        <v>97145644</v>
      </c>
      <c r="O392" t="str">
        <f>CompilDonnées[[#This Row],[FarmID]]&amp;CompilDonnées[[#This Row],[ModuleNumber]]</f>
        <v>971</v>
      </c>
      <c r="P392" t="str">
        <f>CompilDonnées[[#This Row],[Ref_Module]]&amp;CompilDonnées[[#This Row],[HarvestingDate]]</f>
        <v>97145695</v>
      </c>
    </row>
    <row r="393" spans="1:16">
      <c r="A393" s="5">
        <v>45644</v>
      </c>
      <c r="B393">
        <v>29</v>
      </c>
      <c r="C393" t="s">
        <v>2</v>
      </c>
      <c r="D393">
        <v>2</v>
      </c>
      <c r="E393">
        <v>100</v>
      </c>
      <c r="F393" t="s">
        <v>1</v>
      </c>
      <c r="G393" s="6">
        <v>45687</v>
      </c>
      <c r="H393">
        <v>43</v>
      </c>
      <c r="I393">
        <f>ROUND(CompilDonnées[[#This Row],[CultureDuration_days]]/7,0)</f>
        <v>6</v>
      </c>
      <c r="J393">
        <v>2250</v>
      </c>
      <c r="K393" t="str">
        <f>_xlfn.CONCAT(WEEKNUM(CompilDonnées[[#This Row],[PlantationDate]]), " ", YEAR(CompilDonnées[[#This Row],[PlantationDate]]))</f>
        <v>51 2024</v>
      </c>
      <c r="L393" t="str">
        <f>CONCATENATE(MONTH(CompilDonnées[[#This Row],[PlantationDate]])," ", YEAR(CompilDonnées[[#This Row],[PlantationDate]]))</f>
        <v>12 2024</v>
      </c>
      <c r="M393" t="str">
        <f>CONCATENATE(MONTH(CompilDonnées[[#This Row],[HarvestingDate]])," ", YEAR(CompilDonnées[[#This Row],[HarvestingDate]]))</f>
        <v>1 2025</v>
      </c>
      <c r="N393">
        <f>_xlfn.NUMBERVALUE(CompilDonnées[[#This Row],[FarmID]]&amp;CompilDonnées[[#This Row],[ModuleNumber]]&amp;CompilDonnées[[#This Row],[PlantationDate]])</f>
        <v>29245644</v>
      </c>
      <c r="O393" t="str">
        <f>CompilDonnées[[#This Row],[FarmID]]&amp;CompilDonnées[[#This Row],[ModuleNumber]]</f>
        <v>292</v>
      </c>
      <c r="P393" t="str">
        <f>CompilDonnées[[#This Row],[Ref_Module]]&amp;CompilDonnées[[#This Row],[HarvestingDate]]</f>
        <v>29245687</v>
      </c>
    </row>
    <row r="394" spans="1:16">
      <c r="A394" s="5">
        <v>45644</v>
      </c>
      <c r="B394">
        <v>82</v>
      </c>
      <c r="C394" t="s">
        <v>17</v>
      </c>
      <c r="D394">
        <v>4</v>
      </c>
      <c r="E394">
        <v>100</v>
      </c>
      <c r="F394" t="s">
        <v>1</v>
      </c>
      <c r="G394" s="6">
        <v>45686</v>
      </c>
      <c r="H394">
        <v>42</v>
      </c>
      <c r="I394">
        <f>ROUND(CompilDonnées[[#This Row],[CultureDuration_days]]/7,0)</f>
        <v>6</v>
      </c>
      <c r="J394">
        <v>3664</v>
      </c>
      <c r="K394" t="str">
        <f>_xlfn.CONCAT(WEEKNUM(CompilDonnées[[#This Row],[PlantationDate]]), " ", YEAR(CompilDonnées[[#This Row],[PlantationDate]]))</f>
        <v>51 2024</v>
      </c>
      <c r="L394" t="str">
        <f>CONCATENATE(MONTH(CompilDonnées[[#This Row],[PlantationDate]])," ", YEAR(CompilDonnées[[#This Row],[PlantationDate]]))</f>
        <v>12 2024</v>
      </c>
      <c r="M394" t="str">
        <f>CONCATENATE(MONTH(CompilDonnées[[#This Row],[HarvestingDate]])," ", YEAR(CompilDonnées[[#This Row],[HarvestingDate]]))</f>
        <v>1 2025</v>
      </c>
      <c r="N394">
        <f>_xlfn.NUMBERVALUE(CompilDonnées[[#This Row],[FarmID]]&amp;CompilDonnées[[#This Row],[ModuleNumber]]&amp;CompilDonnées[[#This Row],[PlantationDate]])</f>
        <v>82445644</v>
      </c>
      <c r="O394" t="str">
        <f>CompilDonnées[[#This Row],[FarmID]]&amp;CompilDonnées[[#This Row],[ModuleNumber]]</f>
        <v>824</v>
      </c>
      <c r="P394" t="str">
        <f>CompilDonnées[[#This Row],[Ref_Module]]&amp;CompilDonnées[[#This Row],[HarvestingDate]]</f>
        <v>82445686</v>
      </c>
    </row>
    <row r="395" spans="1:16">
      <c r="A395" s="5">
        <v>45644</v>
      </c>
      <c r="B395">
        <v>74</v>
      </c>
      <c r="C395" t="s">
        <v>21</v>
      </c>
      <c r="D395">
        <v>3</v>
      </c>
      <c r="E395">
        <v>100</v>
      </c>
      <c r="F395" t="s">
        <v>1</v>
      </c>
      <c r="G395" s="6">
        <v>45677</v>
      </c>
      <c r="H395">
        <v>33</v>
      </c>
      <c r="I395">
        <f>ROUND(CompilDonnées[[#This Row],[CultureDuration_days]]/7,0)</f>
        <v>5</v>
      </c>
      <c r="J395">
        <v>2521</v>
      </c>
      <c r="K395" t="str">
        <f>_xlfn.CONCAT(WEEKNUM(CompilDonnées[[#This Row],[PlantationDate]]), " ", YEAR(CompilDonnées[[#This Row],[PlantationDate]]))</f>
        <v>51 2024</v>
      </c>
      <c r="L395" t="str">
        <f>CONCATENATE(MONTH(CompilDonnées[[#This Row],[PlantationDate]])," ", YEAR(CompilDonnées[[#This Row],[PlantationDate]]))</f>
        <v>12 2024</v>
      </c>
      <c r="M395" t="str">
        <f>CONCATENATE(MONTH(CompilDonnées[[#This Row],[HarvestingDate]])," ", YEAR(CompilDonnées[[#This Row],[HarvestingDate]]))</f>
        <v>1 2025</v>
      </c>
      <c r="N395">
        <f>_xlfn.NUMBERVALUE(CompilDonnées[[#This Row],[FarmID]]&amp;CompilDonnées[[#This Row],[ModuleNumber]]&amp;CompilDonnées[[#This Row],[PlantationDate]])</f>
        <v>74345644</v>
      </c>
      <c r="O395" t="str">
        <f>CompilDonnées[[#This Row],[FarmID]]&amp;CompilDonnées[[#This Row],[ModuleNumber]]</f>
        <v>743</v>
      </c>
      <c r="P395" t="str">
        <f>CompilDonnées[[#This Row],[Ref_Module]]&amp;CompilDonnées[[#This Row],[HarvestingDate]]</f>
        <v>74345677</v>
      </c>
    </row>
    <row r="396" spans="1:16">
      <c r="A396" s="5">
        <v>45644</v>
      </c>
      <c r="B396">
        <v>79</v>
      </c>
      <c r="C396" t="s">
        <v>61</v>
      </c>
      <c r="D396">
        <v>2</v>
      </c>
      <c r="E396">
        <v>100</v>
      </c>
      <c r="F396" t="s">
        <v>1</v>
      </c>
      <c r="G396" s="6">
        <v>45694</v>
      </c>
      <c r="H396">
        <v>50</v>
      </c>
      <c r="I396">
        <f>ROUND(CompilDonnées[[#This Row],[CultureDuration_days]]/7,0)</f>
        <v>7</v>
      </c>
      <c r="J396">
        <v>2639</v>
      </c>
      <c r="K396" t="str">
        <f>_xlfn.CONCAT(WEEKNUM(CompilDonnées[[#This Row],[PlantationDate]]), " ", YEAR(CompilDonnées[[#This Row],[PlantationDate]]))</f>
        <v>51 2024</v>
      </c>
      <c r="L396" t="str">
        <f>CONCATENATE(MONTH(CompilDonnées[[#This Row],[PlantationDate]])," ", YEAR(CompilDonnées[[#This Row],[PlantationDate]]))</f>
        <v>12 2024</v>
      </c>
      <c r="M396" t="str">
        <f>CONCATENATE(MONTH(CompilDonnées[[#This Row],[HarvestingDate]])," ", YEAR(CompilDonnées[[#This Row],[HarvestingDate]]))</f>
        <v>2 2025</v>
      </c>
      <c r="N396">
        <f>_xlfn.NUMBERVALUE(CompilDonnées[[#This Row],[FarmID]]&amp;CompilDonnées[[#This Row],[ModuleNumber]]&amp;CompilDonnées[[#This Row],[PlantationDate]])</f>
        <v>79245644</v>
      </c>
      <c r="O396" t="str">
        <f>CompilDonnées[[#This Row],[FarmID]]&amp;CompilDonnées[[#This Row],[ModuleNumber]]</f>
        <v>792</v>
      </c>
      <c r="P396" t="str">
        <f>CompilDonnées[[#This Row],[Ref_Module]]&amp;CompilDonnées[[#This Row],[HarvestingDate]]</f>
        <v>79245694</v>
      </c>
    </row>
    <row r="397" spans="1:16">
      <c r="A397" s="5">
        <v>45644</v>
      </c>
      <c r="B397">
        <v>73</v>
      </c>
      <c r="C397" t="s">
        <v>20</v>
      </c>
      <c r="D397">
        <v>4</v>
      </c>
      <c r="E397">
        <v>100</v>
      </c>
      <c r="F397" t="s">
        <v>1</v>
      </c>
      <c r="G397" s="6">
        <v>45686</v>
      </c>
      <c r="H397">
        <v>42</v>
      </c>
      <c r="I397">
        <f>ROUND(CompilDonnées[[#This Row],[CultureDuration_days]]/7,0)</f>
        <v>6</v>
      </c>
      <c r="J397">
        <v>3478</v>
      </c>
      <c r="K397" t="str">
        <f>_xlfn.CONCAT(WEEKNUM(CompilDonnées[[#This Row],[PlantationDate]]), " ", YEAR(CompilDonnées[[#This Row],[PlantationDate]]))</f>
        <v>51 2024</v>
      </c>
      <c r="L397" t="str">
        <f>CONCATENATE(MONTH(CompilDonnées[[#This Row],[PlantationDate]])," ", YEAR(CompilDonnées[[#This Row],[PlantationDate]]))</f>
        <v>12 2024</v>
      </c>
      <c r="M397" t="str">
        <f>CONCATENATE(MONTH(CompilDonnées[[#This Row],[HarvestingDate]])," ", YEAR(CompilDonnées[[#This Row],[HarvestingDate]]))</f>
        <v>1 2025</v>
      </c>
      <c r="N397">
        <f>_xlfn.NUMBERVALUE(CompilDonnées[[#This Row],[FarmID]]&amp;CompilDonnées[[#This Row],[ModuleNumber]]&amp;CompilDonnées[[#This Row],[PlantationDate]])</f>
        <v>73445644</v>
      </c>
      <c r="O397" t="str">
        <f>CompilDonnées[[#This Row],[FarmID]]&amp;CompilDonnées[[#This Row],[ModuleNumber]]</f>
        <v>734</v>
      </c>
      <c r="P397" t="str">
        <f>CompilDonnées[[#This Row],[Ref_Module]]&amp;CompilDonnées[[#This Row],[HarvestingDate]]</f>
        <v>73445686</v>
      </c>
    </row>
    <row r="398" spans="1:16">
      <c r="A398" s="5">
        <v>45644</v>
      </c>
      <c r="B398">
        <v>72</v>
      </c>
      <c r="C398" t="s">
        <v>49</v>
      </c>
      <c r="D398">
        <v>2</v>
      </c>
      <c r="E398">
        <v>100</v>
      </c>
      <c r="F398" t="s">
        <v>1</v>
      </c>
      <c r="G398" s="6">
        <v>45689</v>
      </c>
      <c r="H398">
        <v>45</v>
      </c>
      <c r="I398">
        <f>ROUND(CompilDonnées[[#This Row],[CultureDuration_days]]/7,0)</f>
        <v>6</v>
      </c>
      <c r="J398">
        <v>3052</v>
      </c>
      <c r="K398" t="str">
        <f>_xlfn.CONCAT(WEEKNUM(CompilDonnées[[#This Row],[PlantationDate]]), " ", YEAR(CompilDonnées[[#This Row],[PlantationDate]]))</f>
        <v>51 2024</v>
      </c>
      <c r="L398" t="str">
        <f>CONCATENATE(MONTH(CompilDonnées[[#This Row],[PlantationDate]])," ", YEAR(CompilDonnées[[#This Row],[PlantationDate]]))</f>
        <v>12 2024</v>
      </c>
      <c r="M398" t="str">
        <f>CONCATENATE(MONTH(CompilDonnées[[#This Row],[HarvestingDate]])," ", YEAR(CompilDonnées[[#This Row],[HarvestingDate]]))</f>
        <v>2 2025</v>
      </c>
      <c r="N398">
        <f>_xlfn.NUMBERVALUE(CompilDonnées[[#This Row],[FarmID]]&amp;CompilDonnées[[#This Row],[ModuleNumber]]&amp;CompilDonnées[[#This Row],[PlantationDate]])</f>
        <v>72245644</v>
      </c>
      <c r="O398" t="str">
        <f>CompilDonnées[[#This Row],[FarmID]]&amp;CompilDonnées[[#This Row],[ModuleNumber]]</f>
        <v>722</v>
      </c>
      <c r="P398" t="str">
        <f>CompilDonnées[[#This Row],[Ref_Module]]&amp;CompilDonnées[[#This Row],[HarvestingDate]]</f>
        <v>72245689</v>
      </c>
    </row>
    <row r="399" spans="1:16">
      <c r="A399" s="5">
        <v>45644</v>
      </c>
      <c r="B399">
        <v>64</v>
      </c>
      <c r="C399" t="s">
        <v>47</v>
      </c>
      <c r="D399">
        <v>1</v>
      </c>
      <c r="E399">
        <v>100</v>
      </c>
      <c r="F399" t="s">
        <v>1</v>
      </c>
      <c r="G399" s="6">
        <v>45693</v>
      </c>
      <c r="H399">
        <v>49</v>
      </c>
      <c r="I399">
        <f>ROUND(CompilDonnées[[#This Row],[CultureDuration_days]]/7,0)</f>
        <v>7</v>
      </c>
      <c r="J399">
        <v>2528</v>
      </c>
      <c r="K399" t="str">
        <f>_xlfn.CONCAT(WEEKNUM(CompilDonnées[[#This Row],[PlantationDate]]), " ", YEAR(CompilDonnées[[#This Row],[PlantationDate]]))</f>
        <v>51 2024</v>
      </c>
      <c r="L399" t="str">
        <f>CONCATENATE(MONTH(CompilDonnées[[#This Row],[PlantationDate]])," ", YEAR(CompilDonnées[[#This Row],[PlantationDate]]))</f>
        <v>12 2024</v>
      </c>
      <c r="M399" t="str">
        <f>CONCATENATE(MONTH(CompilDonnées[[#This Row],[HarvestingDate]])," ", YEAR(CompilDonnées[[#This Row],[HarvestingDate]]))</f>
        <v>2 2025</v>
      </c>
      <c r="N399">
        <f>_xlfn.NUMBERVALUE(CompilDonnées[[#This Row],[FarmID]]&amp;CompilDonnées[[#This Row],[ModuleNumber]]&amp;CompilDonnées[[#This Row],[PlantationDate]])</f>
        <v>64145644</v>
      </c>
      <c r="O399" t="str">
        <f>CompilDonnées[[#This Row],[FarmID]]&amp;CompilDonnées[[#This Row],[ModuleNumber]]</f>
        <v>641</v>
      </c>
      <c r="P399" t="str">
        <f>CompilDonnées[[#This Row],[Ref_Module]]&amp;CompilDonnées[[#This Row],[HarvestingDate]]</f>
        <v>64145693</v>
      </c>
    </row>
    <row r="400" spans="1:16">
      <c r="A400" s="5">
        <v>45644</v>
      </c>
      <c r="B400">
        <v>56</v>
      </c>
      <c r="C400" t="s">
        <v>6</v>
      </c>
      <c r="D400">
        <v>2</v>
      </c>
      <c r="E400">
        <v>100</v>
      </c>
      <c r="F400" t="s">
        <v>1</v>
      </c>
      <c r="G400" s="6">
        <v>45686</v>
      </c>
      <c r="H400">
        <v>42</v>
      </c>
      <c r="I400">
        <f>ROUND(CompilDonnées[[#This Row],[CultureDuration_days]]/7,0)</f>
        <v>6</v>
      </c>
      <c r="J400">
        <v>2878</v>
      </c>
      <c r="K400" t="str">
        <f>_xlfn.CONCAT(WEEKNUM(CompilDonnées[[#This Row],[PlantationDate]]), " ", YEAR(CompilDonnées[[#This Row],[PlantationDate]]))</f>
        <v>51 2024</v>
      </c>
      <c r="L400" t="str">
        <f>CONCATENATE(MONTH(CompilDonnées[[#This Row],[PlantationDate]])," ", YEAR(CompilDonnées[[#This Row],[PlantationDate]]))</f>
        <v>12 2024</v>
      </c>
      <c r="M400" t="str">
        <f>CONCATENATE(MONTH(CompilDonnées[[#This Row],[HarvestingDate]])," ", YEAR(CompilDonnées[[#This Row],[HarvestingDate]]))</f>
        <v>1 2025</v>
      </c>
      <c r="N400">
        <f>_xlfn.NUMBERVALUE(CompilDonnées[[#This Row],[FarmID]]&amp;CompilDonnées[[#This Row],[ModuleNumber]]&amp;CompilDonnées[[#This Row],[PlantationDate]])</f>
        <v>56245644</v>
      </c>
      <c r="O400" t="str">
        <f>CompilDonnées[[#This Row],[FarmID]]&amp;CompilDonnées[[#This Row],[ModuleNumber]]</f>
        <v>562</v>
      </c>
      <c r="P400" t="str">
        <f>CompilDonnées[[#This Row],[Ref_Module]]&amp;CompilDonnées[[#This Row],[HarvestingDate]]</f>
        <v>56245686</v>
      </c>
    </row>
    <row r="401" spans="1:16">
      <c r="A401" s="5">
        <v>45644</v>
      </c>
      <c r="B401">
        <v>55</v>
      </c>
      <c r="C401" t="s">
        <v>60</v>
      </c>
      <c r="D401">
        <v>1</v>
      </c>
      <c r="E401">
        <v>100</v>
      </c>
      <c r="F401" t="s">
        <v>1</v>
      </c>
      <c r="G401" s="6">
        <v>45690</v>
      </c>
      <c r="H401">
        <v>46</v>
      </c>
      <c r="I401">
        <f>ROUND(CompilDonnées[[#This Row],[CultureDuration_days]]/7,0)</f>
        <v>7</v>
      </c>
      <c r="J401">
        <v>1898</v>
      </c>
      <c r="K401" t="str">
        <f>_xlfn.CONCAT(WEEKNUM(CompilDonnées[[#This Row],[PlantationDate]]), " ", YEAR(CompilDonnées[[#This Row],[PlantationDate]]))</f>
        <v>51 2024</v>
      </c>
      <c r="L401" t="str">
        <f>CONCATENATE(MONTH(CompilDonnées[[#This Row],[PlantationDate]])," ", YEAR(CompilDonnées[[#This Row],[PlantationDate]]))</f>
        <v>12 2024</v>
      </c>
      <c r="M401" t="str">
        <f>CONCATENATE(MONTH(CompilDonnées[[#This Row],[HarvestingDate]])," ", YEAR(CompilDonnées[[#This Row],[HarvestingDate]]))</f>
        <v>2 2025</v>
      </c>
      <c r="N401">
        <f>_xlfn.NUMBERVALUE(CompilDonnées[[#This Row],[FarmID]]&amp;CompilDonnées[[#This Row],[ModuleNumber]]&amp;CompilDonnées[[#This Row],[PlantationDate]])</f>
        <v>55145644</v>
      </c>
      <c r="O401" t="str">
        <f>CompilDonnées[[#This Row],[FarmID]]&amp;CompilDonnées[[#This Row],[ModuleNumber]]</f>
        <v>551</v>
      </c>
      <c r="P401" t="str">
        <f>CompilDonnées[[#This Row],[Ref_Module]]&amp;CompilDonnées[[#This Row],[HarvestingDate]]</f>
        <v>55145690</v>
      </c>
    </row>
    <row r="402" spans="1:16">
      <c r="A402" s="5">
        <v>45644</v>
      </c>
      <c r="B402">
        <v>48</v>
      </c>
      <c r="C402" t="s">
        <v>71</v>
      </c>
      <c r="D402">
        <v>6</v>
      </c>
      <c r="E402">
        <v>100</v>
      </c>
      <c r="F402" t="s">
        <v>1</v>
      </c>
      <c r="G402" s="6">
        <v>45687</v>
      </c>
      <c r="H402">
        <v>43</v>
      </c>
      <c r="I402">
        <f>ROUND(CompilDonnées[[#This Row],[CultureDuration_days]]/7,0)</f>
        <v>6</v>
      </c>
      <c r="J402">
        <v>1976</v>
      </c>
      <c r="K402" t="str">
        <f>_xlfn.CONCAT(WEEKNUM(CompilDonnées[[#This Row],[PlantationDate]]), " ", YEAR(CompilDonnées[[#This Row],[PlantationDate]]))</f>
        <v>51 2024</v>
      </c>
      <c r="L402" t="str">
        <f>CONCATENATE(MONTH(CompilDonnées[[#This Row],[PlantationDate]])," ", YEAR(CompilDonnées[[#This Row],[PlantationDate]]))</f>
        <v>12 2024</v>
      </c>
      <c r="M402" t="str">
        <f>CONCATENATE(MONTH(CompilDonnées[[#This Row],[HarvestingDate]])," ", YEAR(CompilDonnées[[#This Row],[HarvestingDate]]))</f>
        <v>1 2025</v>
      </c>
      <c r="N402">
        <f>_xlfn.NUMBERVALUE(CompilDonnées[[#This Row],[FarmID]]&amp;CompilDonnées[[#This Row],[ModuleNumber]]&amp;CompilDonnées[[#This Row],[PlantationDate]])</f>
        <v>48645644</v>
      </c>
      <c r="O402" t="str">
        <f>CompilDonnées[[#This Row],[FarmID]]&amp;CompilDonnées[[#This Row],[ModuleNumber]]</f>
        <v>486</v>
      </c>
      <c r="P402" t="str">
        <f>CompilDonnées[[#This Row],[Ref_Module]]&amp;CompilDonnées[[#This Row],[HarvestingDate]]</f>
        <v>48645687</v>
      </c>
    </row>
    <row r="403" spans="1:16">
      <c r="A403" s="5">
        <v>45644</v>
      </c>
      <c r="B403">
        <v>77</v>
      </c>
      <c r="C403" t="s">
        <v>75</v>
      </c>
      <c r="D403">
        <v>3</v>
      </c>
      <c r="E403">
        <v>100</v>
      </c>
      <c r="F403" t="s">
        <v>1</v>
      </c>
      <c r="G403" s="6">
        <v>45694</v>
      </c>
      <c r="H403">
        <v>50</v>
      </c>
      <c r="I403">
        <f>ROUND(CompilDonnées[[#This Row],[CultureDuration_days]]/7,0)</f>
        <v>7</v>
      </c>
      <c r="J403">
        <v>2617</v>
      </c>
      <c r="K403" t="str">
        <f>_xlfn.CONCAT(WEEKNUM(CompilDonnées[[#This Row],[PlantationDate]]), " ", YEAR(CompilDonnées[[#This Row],[PlantationDate]]))</f>
        <v>51 2024</v>
      </c>
      <c r="L403" t="str">
        <f>CONCATENATE(MONTH(CompilDonnées[[#This Row],[PlantationDate]])," ", YEAR(CompilDonnées[[#This Row],[PlantationDate]]))</f>
        <v>12 2024</v>
      </c>
      <c r="M403" t="str">
        <f>CONCATENATE(MONTH(CompilDonnées[[#This Row],[HarvestingDate]])," ", YEAR(CompilDonnées[[#This Row],[HarvestingDate]]))</f>
        <v>2 2025</v>
      </c>
      <c r="N403">
        <f>_xlfn.NUMBERVALUE(CompilDonnées[[#This Row],[FarmID]]&amp;CompilDonnées[[#This Row],[ModuleNumber]]&amp;CompilDonnées[[#This Row],[PlantationDate]])</f>
        <v>77345644</v>
      </c>
      <c r="O403" t="str">
        <f>CompilDonnées[[#This Row],[FarmID]]&amp;CompilDonnées[[#This Row],[ModuleNumber]]</f>
        <v>773</v>
      </c>
      <c r="P403" t="str">
        <f>CompilDonnées[[#This Row],[Ref_Module]]&amp;CompilDonnées[[#This Row],[HarvestingDate]]</f>
        <v>77345694</v>
      </c>
    </row>
    <row r="404" spans="1:16">
      <c r="A404" s="5">
        <v>45644</v>
      </c>
      <c r="B404">
        <v>84</v>
      </c>
      <c r="C404" t="s">
        <v>65</v>
      </c>
      <c r="D404">
        <v>4</v>
      </c>
      <c r="E404">
        <v>100</v>
      </c>
      <c r="F404" t="s">
        <v>1</v>
      </c>
      <c r="G404" s="6">
        <v>45694</v>
      </c>
      <c r="H404">
        <v>50</v>
      </c>
      <c r="I404">
        <f>ROUND(CompilDonnées[[#This Row],[CultureDuration_days]]/7,0)</f>
        <v>7</v>
      </c>
      <c r="J404">
        <v>2062</v>
      </c>
      <c r="K404" t="str">
        <f>_xlfn.CONCAT(WEEKNUM(CompilDonnées[[#This Row],[PlantationDate]]), " ", YEAR(CompilDonnées[[#This Row],[PlantationDate]]))</f>
        <v>51 2024</v>
      </c>
      <c r="L404" t="str">
        <f>CONCATENATE(MONTH(CompilDonnées[[#This Row],[PlantationDate]])," ", YEAR(CompilDonnées[[#This Row],[PlantationDate]]))</f>
        <v>12 2024</v>
      </c>
      <c r="M404" t="str">
        <f>CONCATENATE(MONTH(CompilDonnées[[#This Row],[HarvestingDate]])," ", YEAR(CompilDonnées[[#This Row],[HarvestingDate]]))</f>
        <v>2 2025</v>
      </c>
      <c r="N404">
        <f>_xlfn.NUMBERVALUE(CompilDonnées[[#This Row],[FarmID]]&amp;CompilDonnées[[#This Row],[ModuleNumber]]&amp;CompilDonnées[[#This Row],[PlantationDate]])</f>
        <v>84445644</v>
      </c>
      <c r="O404" t="str">
        <f>CompilDonnées[[#This Row],[FarmID]]&amp;CompilDonnées[[#This Row],[ModuleNumber]]</f>
        <v>844</v>
      </c>
      <c r="P404" t="str">
        <f>CompilDonnées[[#This Row],[Ref_Module]]&amp;CompilDonnées[[#This Row],[HarvestingDate]]</f>
        <v>84445694</v>
      </c>
    </row>
    <row r="405" spans="1:16">
      <c r="A405" s="5">
        <v>45644</v>
      </c>
      <c r="B405">
        <v>145</v>
      </c>
      <c r="C405" t="s">
        <v>88</v>
      </c>
      <c r="D405">
        <v>2</v>
      </c>
      <c r="E405">
        <v>100</v>
      </c>
      <c r="F405" t="s">
        <v>1</v>
      </c>
      <c r="G405" s="6">
        <v>45684</v>
      </c>
      <c r="H405">
        <v>40</v>
      </c>
      <c r="I405">
        <f>ROUND(CompilDonnées[[#This Row],[CultureDuration_days]]/7,0)</f>
        <v>6</v>
      </c>
      <c r="J405">
        <v>1685</v>
      </c>
      <c r="K405" t="str">
        <f>_xlfn.CONCAT(WEEKNUM(CompilDonnées[[#This Row],[PlantationDate]]), " ", YEAR(CompilDonnées[[#This Row],[PlantationDate]]))</f>
        <v>51 2024</v>
      </c>
      <c r="L405" t="str">
        <f>CONCATENATE(MONTH(CompilDonnées[[#This Row],[PlantationDate]])," ", YEAR(CompilDonnées[[#This Row],[PlantationDate]]))</f>
        <v>12 2024</v>
      </c>
      <c r="M405" t="str">
        <f>CONCATENATE(MONTH(CompilDonnées[[#This Row],[HarvestingDate]])," ", YEAR(CompilDonnées[[#This Row],[HarvestingDate]]))</f>
        <v>1 2025</v>
      </c>
      <c r="N405">
        <f>_xlfn.NUMBERVALUE(CompilDonnées[[#This Row],[FarmID]]&amp;CompilDonnées[[#This Row],[ModuleNumber]]&amp;CompilDonnées[[#This Row],[PlantationDate]])</f>
        <v>145245644</v>
      </c>
      <c r="O405" t="str">
        <f>CompilDonnées[[#This Row],[FarmID]]&amp;CompilDonnées[[#This Row],[ModuleNumber]]</f>
        <v>1452</v>
      </c>
      <c r="P405" t="str">
        <f>CompilDonnées[[#This Row],[Ref_Module]]&amp;CompilDonnées[[#This Row],[HarvestingDate]]</f>
        <v>145245684</v>
      </c>
    </row>
    <row r="406" spans="1:16">
      <c r="A406" s="5">
        <v>45644</v>
      </c>
      <c r="B406">
        <v>140</v>
      </c>
      <c r="C406" t="s">
        <v>96</v>
      </c>
      <c r="D406">
        <v>1</v>
      </c>
      <c r="E406">
        <v>100</v>
      </c>
      <c r="F406" t="s">
        <v>1</v>
      </c>
      <c r="G406" s="6">
        <v>45684</v>
      </c>
      <c r="H406">
        <v>40</v>
      </c>
      <c r="I406">
        <f>ROUND(CompilDonnées[[#This Row],[CultureDuration_days]]/7,0)</f>
        <v>6</v>
      </c>
      <c r="J406">
        <v>2763</v>
      </c>
      <c r="K406" t="str">
        <f>_xlfn.CONCAT(WEEKNUM(CompilDonnées[[#This Row],[PlantationDate]]), " ", YEAR(CompilDonnées[[#This Row],[PlantationDate]]))</f>
        <v>51 2024</v>
      </c>
      <c r="L406" t="str">
        <f>CONCATENATE(MONTH(CompilDonnées[[#This Row],[PlantationDate]])," ", YEAR(CompilDonnées[[#This Row],[PlantationDate]]))</f>
        <v>12 2024</v>
      </c>
      <c r="M406" t="str">
        <f>CONCATENATE(MONTH(CompilDonnées[[#This Row],[HarvestingDate]])," ", YEAR(CompilDonnées[[#This Row],[HarvestingDate]]))</f>
        <v>1 2025</v>
      </c>
      <c r="N406">
        <f>_xlfn.NUMBERVALUE(CompilDonnées[[#This Row],[FarmID]]&amp;CompilDonnées[[#This Row],[ModuleNumber]]&amp;CompilDonnées[[#This Row],[PlantationDate]])</f>
        <v>140145644</v>
      </c>
      <c r="O406" t="str">
        <f>CompilDonnées[[#This Row],[FarmID]]&amp;CompilDonnées[[#This Row],[ModuleNumber]]</f>
        <v>1401</v>
      </c>
      <c r="P406" t="str">
        <f>CompilDonnées[[#This Row],[Ref_Module]]&amp;CompilDonnées[[#This Row],[HarvestingDate]]</f>
        <v>140145684</v>
      </c>
    </row>
    <row r="407" spans="1:16">
      <c r="A407" s="5">
        <v>45644</v>
      </c>
      <c r="B407">
        <v>139</v>
      </c>
      <c r="C407" t="s">
        <v>103</v>
      </c>
      <c r="D407">
        <v>3</v>
      </c>
      <c r="E407">
        <v>100</v>
      </c>
      <c r="F407" t="s">
        <v>1</v>
      </c>
      <c r="G407" s="6">
        <v>45688</v>
      </c>
      <c r="H407">
        <v>44</v>
      </c>
      <c r="I407">
        <f>ROUND(CompilDonnées[[#This Row],[CultureDuration_days]]/7,0)</f>
        <v>6</v>
      </c>
      <c r="J407">
        <v>3358</v>
      </c>
      <c r="K407" t="str">
        <f>_xlfn.CONCAT(WEEKNUM(CompilDonnées[[#This Row],[PlantationDate]]), " ", YEAR(CompilDonnées[[#This Row],[PlantationDate]]))</f>
        <v>51 2024</v>
      </c>
      <c r="L407" t="str">
        <f>CONCATENATE(MONTH(CompilDonnées[[#This Row],[PlantationDate]])," ", YEAR(CompilDonnées[[#This Row],[PlantationDate]]))</f>
        <v>12 2024</v>
      </c>
      <c r="M407" t="str">
        <f>CONCATENATE(MONTH(CompilDonnées[[#This Row],[HarvestingDate]])," ", YEAR(CompilDonnées[[#This Row],[HarvestingDate]]))</f>
        <v>1 2025</v>
      </c>
      <c r="N407">
        <f>_xlfn.NUMBERVALUE(CompilDonnées[[#This Row],[FarmID]]&amp;CompilDonnées[[#This Row],[ModuleNumber]]&amp;CompilDonnées[[#This Row],[PlantationDate]])</f>
        <v>139345644</v>
      </c>
      <c r="O407" t="str">
        <f>CompilDonnées[[#This Row],[FarmID]]&amp;CompilDonnées[[#This Row],[ModuleNumber]]</f>
        <v>1393</v>
      </c>
      <c r="P407" t="str">
        <f>CompilDonnées[[#This Row],[Ref_Module]]&amp;CompilDonnées[[#This Row],[HarvestingDate]]</f>
        <v>139345688</v>
      </c>
    </row>
    <row r="408" spans="1:16">
      <c r="A408" s="5">
        <v>45644</v>
      </c>
      <c r="B408">
        <v>138</v>
      </c>
      <c r="C408" t="s">
        <v>8</v>
      </c>
      <c r="D408">
        <v>1</v>
      </c>
      <c r="E408">
        <v>100</v>
      </c>
      <c r="F408" t="s">
        <v>1</v>
      </c>
      <c r="G408" s="6">
        <v>45689</v>
      </c>
      <c r="H408">
        <v>45</v>
      </c>
      <c r="I408">
        <f>ROUND(CompilDonnées[[#This Row],[CultureDuration_days]]/7,0)</f>
        <v>6</v>
      </c>
      <c r="J408">
        <v>2077</v>
      </c>
      <c r="K408" t="str">
        <f>_xlfn.CONCAT(WEEKNUM(CompilDonnées[[#This Row],[PlantationDate]]), " ", YEAR(CompilDonnées[[#This Row],[PlantationDate]]))</f>
        <v>51 2024</v>
      </c>
      <c r="L408" t="str">
        <f>CONCATENATE(MONTH(CompilDonnées[[#This Row],[PlantationDate]])," ", YEAR(CompilDonnées[[#This Row],[PlantationDate]]))</f>
        <v>12 2024</v>
      </c>
      <c r="M408" t="str">
        <f>CONCATENATE(MONTH(CompilDonnées[[#This Row],[HarvestingDate]])," ", YEAR(CompilDonnées[[#This Row],[HarvestingDate]]))</f>
        <v>2 2025</v>
      </c>
      <c r="N408">
        <f>_xlfn.NUMBERVALUE(CompilDonnées[[#This Row],[FarmID]]&amp;CompilDonnées[[#This Row],[ModuleNumber]]&amp;CompilDonnées[[#This Row],[PlantationDate]])</f>
        <v>138145644</v>
      </c>
      <c r="O408" t="str">
        <f>CompilDonnées[[#This Row],[FarmID]]&amp;CompilDonnées[[#This Row],[ModuleNumber]]</f>
        <v>1381</v>
      </c>
      <c r="P408" t="str">
        <f>CompilDonnées[[#This Row],[Ref_Module]]&amp;CompilDonnées[[#This Row],[HarvestingDate]]</f>
        <v>138145689</v>
      </c>
    </row>
    <row r="409" spans="1:16">
      <c r="A409" s="5">
        <v>45644</v>
      </c>
      <c r="B409">
        <v>137</v>
      </c>
      <c r="C409" t="s">
        <v>108</v>
      </c>
      <c r="D409">
        <v>2</v>
      </c>
      <c r="E409">
        <v>100</v>
      </c>
      <c r="F409" t="s">
        <v>1</v>
      </c>
      <c r="G409" s="6">
        <v>45695</v>
      </c>
      <c r="H409">
        <v>51</v>
      </c>
      <c r="I409">
        <f>ROUND(CompilDonnées[[#This Row],[CultureDuration_days]]/7,0)</f>
        <v>7</v>
      </c>
      <c r="J409">
        <v>2643</v>
      </c>
      <c r="K409" t="str">
        <f>_xlfn.CONCAT(WEEKNUM(CompilDonnées[[#This Row],[PlantationDate]]), " ", YEAR(CompilDonnées[[#This Row],[PlantationDate]]))</f>
        <v>51 2024</v>
      </c>
      <c r="L409" t="str">
        <f>CONCATENATE(MONTH(CompilDonnées[[#This Row],[PlantationDate]])," ", YEAR(CompilDonnées[[#This Row],[PlantationDate]]))</f>
        <v>12 2024</v>
      </c>
      <c r="M409" t="str">
        <f>CONCATENATE(MONTH(CompilDonnées[[#This Row],[HarvestingDate]])," ", YEAR(CompilDonnées[[#This Row],[HarvestingDate]]))</f>
        <v>2 2025</v>
      </c>
      <c r="N409">
        <f>_xlfn.NUMBERVALUE(CompilDonnées[[#This Row],[FarmID]]&amp;CompilDonnées[[#This Row],[ModuleNumber]]&amp;CompilDonnées[[#This Row],[PlantationDate]])</f>
        <v>137245644</v>
      </c>
      <c r="O409" t="str">
        <f>CompilDonnées[[#This Row],[FarmID]]&amp;CompilDonnées[[#This Row],[ModuleNumber]]</f>
        <v>1372</v>
      </c>
      <c r="P409" t="str">
        <f>CompilDonnées[[#This Row],[Ref_Module]]&amp;CompilDonnées[[#This Row],[HarvestingDate]]</f>
        <v>137245695</v>
      </c>
    </row>
    <row r="410" spans="1:16">
      <c r="A410" s="5">
        <v>45644</v>
      </c>
      <c r="B410">
        <v>133</v>
      </c>
      <c r="C410" t="s">
        <v>99</v>
      </c>
      <c r="D410">
        <v>5</v>
      </c>
      <c r="E410">
        <v>100</v>
      </c>
      <c r="F410" t="s">
        <v>1</v>
      </c>
      <c r="G410" s="6">
        <v>45679</v>
      </c>
      <c r="H410">
        <v>35</v>
      </c>
      <c r="I410">
        <f>ROUND(CompilDonnées[[#This Row],[CultureDuration_days]]/7,0)</f>
        <v>5</v>
      </c>
      <c r="J410">
        <v>2488</v>
      </c>
      <c r="K410" t="str">
        <f>_xlfn.CONCAT(WEEKNUM(CompilDonnées[[#This Row],[PlantationDate]]), " ", YEAR(CompilDonnées[[#This Row],[PlantationDate]]))</f>
        <v>51 2024</v>
      </c>
      <c r="L410" t="str">
        <f>CONCATENATE(MONTH(CompilDonnées[[#This Row],[PlantationDate]])," ", YEAR(CompilDonnées[[#This Row],[PlantationDate]]))</f>
        <v>12 2024</v>
      </c>
      <c r="M410" t="str">
        <f>CONCATENATE(MONTH(CompilDonnées[[#This Row],[HarvestingDate]])," ", YEAR(CompilDonnées[[#This Row],[HarvestingDate]]))</f>
        <v>1 2025</v>
      </c>
      <c r="N410">
        <f>_xlfn.NUMBERVALUE(CompilDonnées[[#This Row],[FarmID]]&amp;CompilDonnées[[#This Row],[ModuleNumber]]&amp;CompilDonnées[[#This Row],[PlantationDate]])</f>
        <v>133545644</v>
      </c>
      <c r="O410" t="str">
        <f>CompilDonnées[[#This Row],[FarmID]]&amp;CompilDonnées[[#This Row],[ModuleNumber]]</f>
        <v>1335</v>
      </c>
      <c r="P410" t="str">
        <f>CompilDonnées[[#This Row],[Ref_Module]]&amp;CompilDonnées[[#This Row],[HarvestingDate]]</f>
        <v>133545679</v>
      </c>
    </row>
    <row r="411" spans="1:16">
      <c r="A411" s="5">
        <v>45644</v>
      </c>
      <c r="B411">
        <v>131</v>
      </c>
      <c r="C411" t="s">
        <v>64</v>
      </c>
      <c r="D411">
        <v>3</v>
      </c>
      <c r="E411">
        <v>100</v>
      </c>
      <c r="F411" t="s">
        <v>1</v>
      </c>
      <c r="G411" s="6">
        <v>45684</v>
      </c>
      <c r="H411">
        <v>40</v>
      </c>
      <c r="I411">
        <f>ROUND(CompilDonnées[[#This Row],[CultureDuration_days]]/7,0)</f>
        <v>6</v>
      </c>
      <c r="J411">
        <v>2939</v>
      </c>
      <c r="K411" t="str">
        <f>_xlfn.CONCAT(WEEKNUM(CompilDonnées[[#This Row],[PlantationDate]]), " ", YEAR(CompilDonnées[[#This Row],[PlantationDate]]))</f>
        <v>51 2024</v>
      </c>
      <c r="L411" t="str">
        <f>CONCATENATE(MONTH(CompilDonnées[[#This Row],[PlantationDate]])," ", YEAR(CompilDonnées[[#This Row],[PlantationDate]]))</f>
        <v>12 2024</v>
      </c>
      <c r="M411" t="str">
        <f>CONCATENATE(MONTH(CompilDonnées[[#This Row],[HarvestingDate]])," ", YEAR(CompilDonnées[[#This Row],[HarvestingDate]]))</f>
        <v>1 2025</v>
      </c>
      <c r="N411">
        <f>_xlfn.NUMBERVALUE(CompilDonnées[[#This Row],[FarmID]]&amp;CompilDonnées[[#This Row],[ModuleNumber]]&amp;CompilDonnées[[#This Row],[PlantationDate]])</f>
        <v>131345644</v>
      </c>
      <c r="O411" t="str">
        <f>CompilDonnées[[#This Row],[FarmID]]&amp;CompilDonnées[[#This Row],[ModuleNumber]]</f>
        <v>1313</v>
      </c>
      <c r="P411" t="str">
        <f>CompilDonnées[[#This Row],[Ref_Module]]&amp;CompilDonnées[[#This Row],[HarvestingDate]]</f>
        <v>131345684</v>
      </c>
    </row>
    <row r="412" spans="1:16">
      <c r="A412" s="5">
        <v>45644</v>
      </c>
      <c r="B412">
        <v>132</v>
      </c>
      <c r="C412" t="s">
        <v>93</v>
      </c>
      <c r="D412">
        <v>5</v>
      </c>
      <c r="E412">
        <v>100</v>
      </c>
      <c r="F412" t="s">
        <v>1</v>
      </c>
      <c r="G412" s="6">
        <v>45695</v>
      </c>
      <c r="H412">
        <v>51</v>
      </c>
      <c r="I412">
        <f>ROUND(CompilDonnées[[#This Row],[CultureDuration_days]]/7,0)</f>
        <v>7</v>
      </c>
      <c r="J412">
        <v>3069</v>
      </c>
      <c r="K412" t="str">
        <f>_xlfn.CONCAT(WEEKNUM(CompilDonnées[[#This Row],[PlantationDate]]), " ", YEAR(CompilDonnées[[#This Row],[PlantationDate]]))</f>
        <v>51 2024</v>
      </c>
      <c r="L412" t="str">
        <f>CONCATENATE(MONTH(CompilDonnées[[#This Row],[PlantationDate]])," ", YEAR(CompilDonnées[[#This Row],[PlantationDate]]))</f>
        <v>12 2024</v>
      </c>
      <c r="M412" t="str">
        <f>CONCATENATE(MONTH(CompilDonnées[[#This Row],[HarvestingDate]])," ", YEAR(CompilDonnées[[#This Row],[HarvestingDate]]))</f>
        <v>2 2025</v>
      </c>
      <c r="N412">
        <f>_xlfn.NUMBERVALUE(CompilDonnées[[#This Row],[FarmID]]&amp;CompilDonnées[[#This Row],[ModuleNumber]]&amp;CompilDonnées[[#This Row],[PlantationDate]])</f>
        <v>132545644</v>
      </c>
      <c r="O412" t="str">
        <f>CompilDonnées[[#This Row],[FarmID]]&amp;CompilDonnées[[#This Row],[ModuleNumber]]</f>
        <v>1325</v>
      </c>
      <c r="P412" t="str">
        <f>CompilDonnées[[#This Row],[Ref_Module]]&amp;CompilDonnées[[#This Row],[HarvestingDate]]</f>
        <v>132545695</v>
      </c>
    </row>
    <row r="413" spans="1:16">
      <c r="A413" s="5">
        <v>45644</v>
      </c>
      <c r="B413">
        <v>125</v>
      </c>
      <c r="C413" t="s">
        <v>101</v>
      </c>
      <c r="D413">
        <v>6</v>
      </c>
      <c r="E413">
        <v>100</v>
      </c>
      <c r="F413" t="s">
        <v>1</v>
      </c>
      <c r="G413" s="6">
        <v>45671</v>
      </c>
      <c r="H413">
        <v>27</v>
      </c>
      <c r="I413">
        <f>ROUND(CompilDonnées[[#This Row],[CultureDuration_days]]/7,0)</f>
        <v>4</v>
      </c>
      <c r="J413">
        <v>2078</v>
      </c>
      <c r="K413" t="str">
        <f>_xlfn.CONCAT(WEEKNUM(CompilDonnées[[#This Row],[PlantationDate]]), " ", YEAR(CompilDonnées[[#This Row],[PlantationDate]]))</f>
        <v>51 2024</v>
      </c>
      <c r="L413" t="str">
        <f>CONCATENATE(MONTH(CompilDonnées[[#This Row],[PlantationDate]])," ", YEAR(CompilDonnées[[#This Row],[PlantationDate]]))</f>
        <v>12 2024</v>
      </c>
      <c r="M413" t="str">
        <f>CONCATENATE(MONTH(CompilDonnées[[#This Row],[HarvestingDate]])," ", YEAR(CompilDonnées[[#This Row],[HarvestingDate]]))</f>
        <v>1 2025</v>
      </c>
      <c r="N413">
        <f>_xlfn.NUMBERVALUE(CompilDonnées[[#This Row],[FarmID]]&amp;CompilDonnées[[#This Row],[ModuleNumber]]&amp;CompilDonnées[[#This Row],[PlantationDate]])</f>
        <v>125645644</v>
      </c>
      <c r="O413" t="str">
        <f>CompilDonnées[[#This Row],[FarmID]]&amp;CompilDonnées[[#This Row],[ModuleNumber]]</f>
        <v>1256</v>
      </c>
      <c r="P413" t="str">
        <f>CompilDonnées[[#This Row],[Ref_Module]]&amp;CompilDonnées[[#This Row],[HarvestingDate]]</f>
        <v>125645671</v>
      </c>
    </row>
    <row r="414" spans="1:16">
      <c r="A414" s="5">
        <v>45644</v>
      </c>
      <c r="B414">
        <v>125</v>
      </c>
      <c r="C414" t="s">
        <v>101</v>
      </c>
      <c r="D414">
        <v>1</v>
      </c>
      <c r="E414">
        <v>100</v>
      </c>
      <c r="F414" t="s">
        <v>1</v>
      </c>
      <c r="G414" s="6">
        <v>45684</v>
      </c>
      <c r="H414">
        <v>40</v>
      </c>
      <c r="I414">
        <f>ROUND(CompilDonnées[[#This Row],[CultureDuration_days]]/7,0)</f>
        <v>6</v>
      </c>
      <c r="J414">
        <v>3524</v>
      </c>
      <c r="K414" t="str">
        <f>_xlfn.CONCAT(WEEKNUM(CompilDonnées[[#This Row],[PlantationDate]]), " ", YEAR(CompilDonnées[[#This Row],[PlantationDate]]))</f>
        <v>51 2024</v>
      </c>
      <c r="L414" t="str">
        <f>CONCATENATE(MONTH(CompilDonnées[[#This Row],[PlantationDate]])," ", YEAR(CompilDonnées[[#This Row],[PlantationDate]]))</f>
        <v>12 2024</v>
      </c>
      <c r="M414" t="str">
        <f>CONCATENATE(MONTH(CompilDonnées[[#This Row],[HarvestingDate]])," ", YEAR(CompilDonnées[[#This Row],[HarvestingDate]]))</f>
        <v>1 2025</v>
      </c>
      <c r="N414">
        <f>_xlfn.NUMBERVALUE(CompilDonnées[[#This Row],[FarmID]]&amp;CompilDonnées[[#This Row],[ModuleNumber]]&amp;CompilDonnées[[#This Row],[PlantationDate]])</f>
        <v>125145644</v>
      </c>
      <c r="O414" t="str">
        <f>CompilDonnées[[#This Row],[FarmID]]&amp;CompilDonnées[[#This Row],[ModuleNumber]]</f>
        <v>1251</v>
      </c>
      <c r="P414" t="str">
        <f>CompilDonnées[[#This Row],[Ref_Module]]&amp;CompilDonnées[[#This Row],[HarvestingDate]]</f>
        <v>125145684</v>
      </c>
    </row>
    <row r="415" spans="1:16">
      <c r="A415" s="5">
        <v>45644</v>
      </c>
      <c r="B415">
        <v>124</v>
      </c>
      <c r="C415" t="s">
        <v>115</v>
      </c>
      <c r="D415">
        <v>6</v>
      </c>
      <c r="E415">
        <v>100</v>
      </c>
      <c r="F415" t="s">
        <v>1</v>
      </c>
      <c r="G415" s="6">
        <v>45684</v>
      </c>
      <c r="H415">
        <v>40</v>
      </c>
      <c r="I415">
        <f>ROUND(CompilDonnées[[#This Row],[CultureDuration_days]]/7,0)</f>
        <v>6</v>
      </c>
      <c r="J415">
        <v>4719</v>
      </c>
      <c r="K415" t="str">
        <f>_xlfn.CONCAT(WEEKNUM(CompilDonnées[[#This Row],[PlantationDate]]), " ", YEAR(CompilDonnées[[#This Row],[PlantationDate]]))</f>
        <v>51 2024</v>
      </c>
      <c r="L415" t="str">
        <f>CONCATENATE(MONTH(CompilDonnées[[#This Row],[PlantationDate]])," ", YEAR(CompilDonnées[[#This Row],[PlantationDate]]))</f>
        <v>12 2024</v>
      </c>
      <c r="M415" t="str">
        <f>CONCATENATE(MONTH(CompilDonnées[[#This Row],[HarvestingDate]])," ", YEAR(CompilDonnées[[#This Row],[HarvestingDate]]))</f>
        <v>1 2025</v>
      </c>
      <c r="N415">
        <f>_xlfn.NUMBERVALUE(CompilDonnées[[#This Row],[FarmID]]&amp;CompilDonnées[[#This Row],[ModuleNumber]]&amp;CompilDonnées[[#This Row],[PlantationDate]])</f>
        <v>124645644</v>
      </c>
      <c r="O415" t="str">
        <f>CompilDonnées[[#This Row],[FarmID]]&amp;CompilDonnées[[#This Row],[ModuleNumber]]</f>
        <v>1246</v>
      </c>
      <c r="P415" t="str">
        <f>CompilDonnées[[#This Row],[Ref_Module]]&amp;CompilDonnées[[#This Row],[HarvestingDate]]</f>
        <v>124645684</v>
      </c>
    </row>
    <row r="416" spans="1:16">
      <c r="A416" s="5">
        <v>45644</v>
      </c>
      <c r="B416">
        <v>119</v>
      </c>
      <c r="C416" t="s">
        <v>59</v>
      </c>
      <c r="D416">
        <v>2</v>
      </c>
      <c r="E416">
        <v>100</v>
      </c>
      <c r="F416" t="s">
        <v>1</v>
      </c>
      <c r="G416" s="6">
        <v>45695</v>
      </c>
      <c r="H416">
        <v>51</v>
      </c>
      <c r="I416">
        <f>ROUND(CompilDonnées[[#This Row],[CultureDuration_days]]/7,0)</f>
        <v>7</v>
      </c>
      <c r="J416">
        <v>3706</v>
      </c>
      <c r="K416" t="str">
        <f>_xlfn.CONCAT(WEEKNUM(CompilDonnées[[#This Row],[PlantationDate]]), " ", YEAR(CompilDonnées[[#This Row],[PlantationDate]]))</f>
        <v>51 2024</v>
      </c>
      <c r="L416" t="str">
        <f>CONCATENATE(MONTH(CompilDonnées[[#This Row],[PlantationDate]])," ", YEAR(CompilDonnées[[#This Row],[PlantationDate]]))</f>
        <v>12 2024</v>
      </c>
      <c r="M416" t="str">
        <f>CONCATENATE(MONTH(CompilDonnées[[#This Row],[HarvestingDate]])," ", YEAR(CompilDonnées[[#This Row],[HarvestingDate]]))</f>
        <v>2 2025</v>
      </c>
      <c r="N416">
        <f>_xlfn.NUMBERVALUE(CompilDonnées[[#This Row],[FarmID]]&amp;CompilDonnées[[#This Row],[ModuleNumber]]&amp;CompilDonnées[[#This Row],[PlantationDate]])</f>
        <v>119245644</v>
      </c>
      <c r="O416" t="str">
        <f>CompilDonnées[[#This Row],[FarmID]]&amp;CompilDonnées[[#This Row],[ModuleNumber]]</f>
        <v>1192</v>
      </c>
      <c r="P416" t="str">
        <f>CompilDonnées[[#This Row],[Ref_Module]]&amp;CompilDonnées[[#This Row],[HarvestingDate]]</f>
        <v>119245695</v>
      </c>
    </row>
    <row r="417" spans="1:16">
      <c r="A417" s="5">
        <v>45644</v>
      </c>
      <c r="B417">
        <v>118</v>
      </c>
      <c r="C417" t="s">
        <v>51</v>
      </c>
      <c r="D417">
        <v>3</v>
      </c>
      <c r="E417">
        <v>100</v>
      </c>
      <c r="F417" t="s">
        <v>1</v>
      </c>
      <c r="G417" s="6">
        <v>45684</v>
      </c>
      <c r="H417">
        <v>40</v>
      </c>
      <c r="I417">
        <f>ROUND(CompilDonnées[[#This Row],[CultureDuration_days]]/7,0)</f>
        <v>6</v>
      </c>
      <c r="J417">
        <v>3637</v>
      </c>
      <c r="K417" t="str">
        <f>_xlfn.CONCAT(WEEKNUM(CompilDonnées[[#This Row],[PlantationDate]]), " ", YEAR(CompilDonnées[[#This Row],[PlantationDate]]))</f>
        <v>51 2024</v>
      </c>
      <c r="L417" t="str">
        <f>CONCATENATE(MONTH(CompilDonnées[[#This Row],[PlantationDate]])," ", YEAR(CompilDonnées[[#This Row],[PlantationDate]]))</f>
        <v>12 2024</v>
      </c>
      <c r="M417" t="str">
        <f>CONCATENATE(MONTH(CompilDonnées[[#This Row],[HarvestingDate]])," ", YEAR(CompilDonnées[[#This Row],[HarvestingDate]]))</f>
        <v>1 2025</v>
      </c>
      <c r="N417">
        <f>_xlfn.NUMBERVALUE(CompilDonnées[[#This Row],[FarmID]]&amp;CompilDonnées[[#This Row],[ModuleNumber]]&amp;CompilDonnées[[#This Row],[PlantationDate]])</f>
        <v>118345644</v>
      </c>
      <c r="O417" t="str">
        <f>CompilDonnées[[#This Row],[FarmID]]&amp;CompilDonnées[[#This Row],[ModuleNumber]]</f>
        <v>1183</v>
      </c>
      <c r="P417" t="str">
        <f>CompilDonnées[[#This Row],[Ref_Module]]&amp;CompilDonnées[[#This Row],[HarvestingDate]]</f>
        <v>118345684</v>
      </c>
    </row>
    <row r="418" spans="1:16">
      <c r="A418" s="5">
        <v>45644</v>
      </c>
      <c r="B418">
        <v>113</v>
      </c>
      <c r="C418" t="s">
        <v>16</v>
      </c>
      <c r="D418">
        <v>3</v>
      </c>
      <c r="E418">
        <v>100</v>
      </c>
      <c r="F418" t="s">
        <v>1</v>
      </c>
      <c r="G418" s="6">
        <v>45684</v>
      </c>
      <c r="H418">
        <v>40</v>
      </c>
      <c r="I418">
        <f>ROUND(CompilDonnées[[#This Row],[CultureDuration_days]]/7,0)</f>
        <v>6</v>
      </c>
      <c r="J418">
        <v>4101</v>
      </c>
      <c r="K418" t="str">
        <f>_xlfn.CONCAT(WEEKNUM(CompilDonnées[[#This Row],[PlantationDate]]), " ", YEAR(CompilDonnées[[#This Row],[PlantationDate]]))</f>
        <v>51 2024</v>
      </c>
      <c r="L418" t="str">
        <f>CONCATENATE(MONTH(CompilDonnées[[#This Row],[PlantationDate]])," ", YEAR(CompilDonnées[[#This Row],[PlantationDate]]))</f>
        <v>12 2024</v>
      </c>
      <c r="M418" t="str">
        <f>CONCATENATE(MONTH(CompilDonnées[[#This Row],[HarvestingDate]])," ", YEAR(CompilDonnées[[#This Row],[HarvestingDate]]))</f>
        <v>1 2025</v>
      </c>
      <c r="N418">
        <f>_xlfn.NUMBERVALUE(CompilDonnées[[#This Row],[FarmID]]&amp;CompilDonnées[[#This Row],[ModuleNumber]]&amp;CompilDonnées[[#This Row],[PlantationDate]])</f>
        <v>113345644</v>
      </c>
      <c r="O418" t="str">
        <f>CompilDonnées[[#This Row],[FarmID]]&amp;CompilDonnées[[#This Row],[ModuleNumber]]</f>
        <v>1133</v>
      </c>
      <c r="P418" t="str">
        <f>CompilDonnées[[#This Row],[Ref_Module]]&amp;CompilDonnées[[#This Row],[HarvestingDate]]</f>
        <v>113345684</v>
      </c>
    </row>
    <row r="419" spans="1:16">
      <c r="A419" s="5">
        <v>45644</v>
      </c>
      <c r="B419">
        <v>112</v>
      </c>
      <c r="C419" t="s">
        <v>15</v>
      </c>
      <c r="D419">
        <v>1</v>
      </c>
      <c r="E419">
        <v>100</v>
      </c>
      <c r="F419" t="s">
        <v>1</v>
      </c>
      <c r="G419" s="6">
        <v>45684</v>
      </c>
      <c r="H419">
        <v>40</v>
      </c>
      <c r="I419">
        <f>ROUND(CompilDonnées[[#This Row],[CultureDuration_days]]/7,0)</f>
        <v>6</v>
      </c>
      <c r="J419">
        <v>3193</v>
      </c>
      <c r="K419" t="str">
        <f>_xlfn.CONCAT(WEEKNUM(CompilDonnées[[#This Row],[PlantationDate]]), " ", YEAR(CompilDonnées[[#This Row],[PlantationDate]]))</f>
        <v>51 2024</v>
      </c>
      <c r="L419" t="str">
        <f>CONCATENATE(MONTH(CompilDonnées[[#This Row],[PlantationDate]])," ", YEAR(CompilDonnées[[#This Row],[PlantationDate]]))</f>
        <v>12 2024</v>
      </c>
      <c r="M419" t="str">
        <f>CONCATENATE(MONTH(CompilDonnées[[#This Row],[HarvestingDate]])," ", YEAR(CompilDonnées[[#This Row],[HarvestingDate]]))</f>
        <v>1 2025</v>
      </c>
      <c r="N419">
        <f>_xlfn.NUMBERVALUE(CompilDonnées[[#This Row],[FarmID]]&amp;CompilDonnées[[#This Row],[ModuleNumber]]&amp;CompilDonnées[[#This Row],[PlantationDate]])</f>
        <v>112145644</v>
      </c>
      <c r="O419" t="str">
        <f>CompilDonnées[[#This Row],[FarmID]]&amp;CompilDonnées[[#This Row],[ModuleNumber]]</f>
        <v>1121</v>
      </c>
      <c r="P419" t="str">
        <f>CompilDonnées[[#This Row],[Ref_Module]]&amp;CompilDonnées[[#This Row],[HarvestingDate]]</f>
        <v>112145684</v>
      </c>
    </row>
    <row r="420" spans="1:16">
      <c r="A420" s="5">
        <v>45644</v>
      </c>
      <c r="B420">
        <v>111</v>
      </c>
      <c r="C420" t="s">
        <v>41</v>
      </c>
      <c r="D420">
        <v>4</v>
      </c>
      <c r="E420">
        <v>100</v>
      </c>
      <c r="F420" t="s">
        <v>1</v>
      </c>
      <c r="G420" s="6">
        <v>45684</v>
      </c>
      <c r="H420">
        <v>40</v>
      </c>
      <c r="I420">
        <f>ROUND(CompilDonnées[[#This Row],[CultureDuration_days]]/7,0)</f>
        <v>6</v>
      </c>
      <c r="J420">
        <v>3371</v>
      </c>
      <c r="K420" t="str">
        <f>_xlfn.CONCAT(WEEKNUM(CompilDonnées[[#This Row],[PlantationDate]]), " ", YEAR(CompilDonnées[[#This Row],[PlantationDate]]))</f>
        <v>51 2024</v>
      </c>
      <c r="L420" t="str">
        <f>CONCATENATE(MONTH(CompilDonnées[[#This Row],[PlantationDate]])," ", YEAR(CompilDonnées[[#This Row],[PlantationDate]]))</f>
        <v>12 2024</v>
      </c>
      <c r="M420" t="str">
        <f>CONCATENATE(MONTH(CompilDonnées[[#This Row],[HarvestingDate]])," ", YEAR(CompilDonnées[[#This Row],[HarvestingDate]]))</f>
        <v>1 2025</v>
      </c>
      <c r="N420">
        <f>_xlfn.NUMBERVALUE(CompilDonnées[[#This Row],[FarmID]]&amp;CompilDonnées[[#This Row],[ModuleNumber]]&amp;CompilDonnées[[#This Row],[PlantationDate]])</f>
        <v>111445644</v>
      </c>
      <c r="O420" t="str">
        <f>CompilDonnées[[#This Row],[FarmID]]&amp;CompilDonnées[[#This Row],[ModuleNumber]]</f>
        <v>1114</v>
      </c>
      <c r="P420" t="str">
        <f>CompilDonnées[[#This Row],[Ref_Module]]&amp;CompilDonnées[[#This Row],[HarvestingDate]]</f>
        <v>111445684</v>
      </c>
    </row>
    <row r="421" spans="1:16">
      <c r="A421" s="5">
        <v>45644</v>
      </c>
      <c r="B421">
        <v>114</v>
      </c>
      <c r="C421" t="s">
        <v>76</v>
      </c>
      <c r="D421">
        <v>3</v>
      </c>
      <c r="E421">
        <v>100</v>
      </c>
      <c r="F421" t="s">
        <v>1</v>
      </c>
      <c r="G421" s="6">
        <v>45695</v>
      </c>
      <c r="H421">
        <v>51</v>
      </c>
      <c r="I421">
        <f>ROUND(CompilDonnées[[#This Row],[CultureDuration_days]]/7,0)</f>
        <v>7</v>
      </c>
      <c r="J421">
        <v>2525</v>
      </c>
      <c r="K421" t="str">
        <f>_xlfn.CONCAT(WEEKNUM(CompilDonnées[[#This Row],[PlantationDate]]), " ", YEAR(CompilDonnées[[#This Row],[PlantationDate]]))</f>
        <v>51 2024</v>
      </c>
      <c r="L421" t="str">
        <f>CONCATENATE(MONTH(CompilDonnées[[#This Row],[PlantationDate]])," ", YEAR(CompilDonnées[[#This Row],[PlantationDate]]))</f>
        <v>12 2024</v>
      </c>
      <c r="M421" t="str">
        <f>CONCATENATE(MONTH(CompilDonnées[[#This Row],[HarvestingDate]])," ", YEAR(CompilDonnées[[#This Row],[HarvestingDate]]))</f>
        <v>2 2025</v>
      </c>
      <c r="N421">
        <f>_xlfn.NUMBERVALUE(CompilDonnées[[#This Row],[FarmID]]&amp;CompilDonnées[[#This Row],[ModuleNumber]]&amp;CompilDonnées[[#This Row],[PlantationDate]])</f>
        <v>114345644</v>
      </c>
      <c r="O421" t="str">
        <f>CompilDonnées[[#This Row],[FarmID]]&amp;CompilDonnées[[#This Row],[ModuleNumber]]</f>
        <v>1143</v>
      </c>
      <c r="P421" t="str">
        <f>CompilDonnées[[#This Row],[Ref_Module]]&amp;CompilDonnées[[#This Row],[HarvestingDate]]</f>
        <v>114345695</v>
      </c>
    </row>
    <row r="422" spans="1:16">
      <c r="A422" s="5">
        <v>45645</v>
      </c>
      <c r="B422">
        <v>104</v>
      </c>
      <c r="C422" t="s">
        <v>91</v>
      </c>
      <c r="D422">
        <v>3</v>
      </c>
      <c r="E422">
        <v>100</v>
      </c>
      <c r="F422" t="s">
        <v>1</v>
      </c>
      <c r="G422" s="6">
        <v>45688</v>
      </c>
      <c r="H422">
        <v>43</v>
      </c>
      <c r="I422">
        <f>ROUND(CompilDonnées[[#This Row],[CultureDuration_days]]/7,0)</f>
        <v>6</v>
      </c>
      <c r="J422">
        <v>1438</v>
      </c>
      <c r="K422" t="str">
        <f>_xlfn.CONCAT(WEEKNUM(CompilDonnées[[#This Row],[PlantationDate]]), " ", YEAR(CompilDonnées[[#This Row],[PlantationDate]]))</f>
        <v>51 2024</v>
      </c>
      <c r="L422" t="str">
        <f>CONCATENATE(MONTH(CompilDonnées[[#This Row],[PlantationDate]])," ", YEAR(CompilDonnées[[#This Row],[PlantationDate]]))</f>
        <v>12 2024</v>
      </c>
      <c r="M422" t="str">
        <f>CONCATENATE(MONTH(CompilDonnées[[#This Row],[HarvestingDate]])," ", YEAR(CompilDonnées[[#This Row],[HarvestingDate]]))</f>
        <v>1 2025</v>
      </c>
      <c r="N422">
        <f>_xlfn.NUMBERVALUE(CompilDonnées[[#This Row],[FarmID]]&amp;CompilDonnées[[#This Row],[ModuleNumber]]&amp;CompilDonnées[[#This Row],[PlantationDate]])</f>
        <v>104345645</v>
      </c>
      <c r="O422" t="str">
        <f>CompilDonnées[[#This Row],[FarmID]]&amp;CompilDonnées[[#This Row],[ModuleNumber]]</f>
        <v>1043</v>
      </c>
      <c r="P422" t="str">
        <f>CompilDonnées[[#This Row],[Ref_Module]]&amp;CompilDonnées[[#This Row],[HarvestingDate]]</f>
        <v>104345688</v>
      </c>
    </row>
    <row r="423" spans="1:16">
      <c r="A423" s="5">
        <v>45645</v>
      </c>
      <c r="B423">
        <v>103</v>
      </c>
      <c r="C423" t="s">
        <v>86</v>
      </c>
      <c r="D423">
        <v>5</v>
      </c>
      <c r="E423">
        <v>100</v>
      </c>
      <c r="F423" t="s">
        <v>1</v>
      </c>
      <c r="G423" s="6">
        <v>45687</v>
      </c>
      <c r="H423">
        <v>42</v>
      </c>
      <c r="I423">
        <f>ROUND(CompilDonnées[[#This Row],[CultureDuration_days]]/7,0)</f>
        <v>6</v>
      </c>
      <c r="J423">
        <v>2895</v>
      </c>
      <c r="K423" t="str">
        <f>_xlfn.CONCAT(WEEKNUM(CompilDonnées[[#This Row],[PlantationDate]]), " ", YEAR(CompilDonnées[[#This Row],[PlantationDate]]))</f>
        <v>51 2024</v>
      </c>
      <c r="L423" t="str">
        <f>CONCATENATE(MONTH(CompilDonnées[[#This Row],[PlantationDate]])," ", YEAR(CompilDonnées[[#This Row],[PlantationDate]]))</f>
        <v>12 2024</v>
      </c>
      <c r="M423" t="str">
        <f>CONCATENATE(MONTH(CompilDonnées[[#This Row],[HarvestingDate]])," ", YEAR(CompilDonnées[[#This Row],[HarvestingDate]]))</f>
        <v>1 2025</v>
      </c>
      <c r="N423">
        <f>_xlfn.NUMBERVALUE(CompilDonnées[[#This Row],[FarmID]]&amp;CompilDonnées[[#This Row],[ModuleNumber]]&amp;CompilDonnées[[#This Row],[PlantationDate]])</f>
        <v>103545645</v>
      </c>
      <c r="O423" t="str">
        <f>CompilDonnées[[#This Row],[FarmID]]&amp;CompilDonnées[[#This Row],[ModuleNumber]]</f>
        <v>1035</v>
      </c>
      <c r="P423" t="str">
        <f>CompilDonnées[[#This Row],[Ref_Module]]&amp;CompilDonnées[[#This Row],[HarvestingDate]]</f>
        <v>103545687</v>
      </c>
    </row>
    <row r="424" spans="1:16">
      <c r="A424" s="5">
        <v>45645</v>
      </c>
      <c r="B424">
        <v>95</v>
      </c>
      <c r="C424" t="s">
        <v>90</v>
      </c>
      <c r="D424">
        <v>2</v>
      </c>
      <c r="E424">
        <v>100</v>
      </c>
      <c r="F424" t="s">
        <v>1</v>
      </c>
      <c r="G424" s="6">
        <v>45694</v>
      </c>
      <c r="H424">
        <v>49</v>
      </c>
      <c r="I424">
        <f>ROUND(CompilDonnées[[#This Row],[CultureDuration_days]]/7,0)</f>
        <v>7</v>
      </c>
      <c r="J424">
        <v>2730</v>
      </c>
      <c r="K424" t="str">
        <f>_xlfn.CONCAT(WEEKNUM(CompilDonnées[[#This Row],[PlantationDate]]), " ", YEAR(CompilDonnées[[#This Row],[PlantationDate]]))</f>
        <v>51 2024</v>
      </c>
      <c r="L424" t="str">
        <f>CONCATENATE(MONTH(CompilDonnées[[#This Row],[PlantationDate]])," ", YEAR(CompilDonnées[[#This Row],[PlantationDate]]))</f>
        <v>12 2024</v>
      </c>
      <c r="M424" t="str">
        <f>CONCATENATE(MONTH(CompilDonnées[[#This Row],[HarvestingDate]])," ", YEAR(CompilDonnées[[#This Row],[HarvestingDate]]))</f>
        <v>2 2025</v>
      </c>
      <c r="N424">
        <f>_xlfn.NUMBERVALUE(CompilDonnées[[#This Row],[FarmID]]&amp;CompilDonnées[[#This Row],[ModuleNumber]]&amp;CompilDonnées[[#This Row],[PlantationDate]])</f>
        <v>95245645</v>
      </c>
      <c r="O424" t="str">
        <f>CompilDonnées[[#This Row],[FarmID]]&amp;CompilDonnées[[#This Row],[ModuleNumber]]</f>
        <v>952</v>
      </c>
      <c r="P424" t="str">
        <f>CompilDonnées[[#This Row],[Ref_Module]]&amp;CompilDonnées[[#This Row],[HarvestingDate]]</f>
        <v>95245694</v>
      </c>
    </row>
    <row r="425" spans="1:16">
      <c r="A425" s="5">
        <v>45645</v>
      </c>
      <c r="B425">
        <v>95</v>
      </c>
      <c r="C425" t="s">
        <v>90</v>
      </c>
      <c r="D425">
        <v>3</v>
      </c>
      <c r="E425">
        <v>100</v>
      </c>
      <c r="F425" t="s">
        <v>1</v>
      </c>
      <c r="G425" s="6">
        <v>45690</v>
      </c>
      <c r="H425">
        <v>45</v>
      </c>
      <c r="I425">
        <f>ROUND(CompilDonnées[[#This Row],[CultureDuration_days]]/7,0)</f>
        <v>6</v>
      </c>
      <c r="J425">
        <v>2641</v>
      </c>
      <c r="K425" t="str">
        <f>_xlfn.CONCAT(WEEKNUM(CompilDonnées[[#This Row],[PlantationDate]]), " ", YEAR(CompilDonnées[[#This Row],[PlantationDate]]))</f>
        <v>51 2024</v>
      </c>
      <c r="L425" t="str">
        <f>CONCATENATE(MONTH(CompilDonnées[[#This Row],[PlantationDate]])," ", YEAR(CompilDonnées[[#This Row],[PlantationDate]]))</f>
        <v>12 2024</v>
      </c>
      <c r="M425" t="str">
        <f>CONCATENATE(MONTH(CompilDonnées[[#This Row],[HarvestingDate]])," ", YEAR(CompilDonnées[[#This Row],[HarvestingDate]]))</f>
        <v>2 2025</v>
      </c>
      <c r="N425">
        <f>_xlfn.NUMBERVALUE(CompilDonnées[[#This Row],[FarmID]]&amp;CompilDonnées[[#This Row],[ModuleNumber]]&amp;CompilDonnées[[#This Row],[PlantationDate]])</f>
        <v>95345645</v>
      </c>
      <c r="O425" t="str">
        <f>CompilDonnées[[#This Row],[FarmID]]&amp;CompilDonnées[[#This Row],[ModuleNumber]]</f>
        <v>953</v>
      </c>
      <c r="P425" t="str">
        <f>CompilDonnées[[#This Row],[Ref_Module]]&amp;CompilDonnées[[#This Row],[HarvestingDate]]</f>
        <v>95345690</v>
      </c>
    </row>
    <row r="426" spans="1:16">
      <c r="A426" s="5">
        <v>45645</v>
      </c>
      <c r="B426">
        <v>97</v>
      </c>
      <c r="C426" t="s">
        <v>78</v>
      </c>
      <c r="D426">
        <v>5</v>
      </c>
      <c r="E426">
        <v>100</v>
      </c>
      <c r="F426" t="s">
        <v>1</v>
      </c>
      <c r="G426" s="6">
        <v>45699</v>
      </c>
      <c r="H426">
        <v>54</v>
      </c>
      <c r="I426">
        <f>ROUND(CompilDonnées[[#This Row],[CultureDuration_days]]/7,0)</f>
        <v>8</v>
      </c>
      <c r="J426">
        <v>2892</v>
      </c>
      <c r="K426" t="str">
        <f>_xlfn.CONCAT(WEEKNUM(CompilDonnées[[#This Row],[PlantationDate]]), " ", YEAR(CompilDonnées[[#This Row],[PlantationDate]]))</f>
        <v>51 2024</v>
      </c>
      <c r="L426" t="str">
        <f>CONCATENATE(MONTH(CompilDonnées[[#This Row],[PlantationDate]])," ", YEAR(CompilDonnées[[#This Row],[PlantationDate]]))</f>
        <v>12 2024</v>
      </c>
      <c r="M426" t="str">
        <f>CONCATENATE(MONTH(CompilDonnées[[#This Row],[HarvestingDate]])," ", YEAR(CompilDonnées[[#This Row],[HarvestingDate]]))</f>
        <v>2 2025</v>
      </c>
      <c r="N426">
        <f>_xlfn.NUMBERVALUE(CompilDonnées[[#This Row],[FarmID]]&amp;CompilDonnées[[#This Row],[ModuleNumber]]&amp;CompilDonnées[[#This Row],[PlantationDate]])</f>
        <v>97545645</v>
      </c>
      <c r="O426" t="str">
        <f>CompilDonnées[[#This Row],[FarmID]]&amp;CompilDonnées[[#This Row],[ModuleNumber]]</f>
        <v>975</v>
      </c>
      <c r="P426" t="str">
        <f>CompilDonnées[[#This Row],[Ref_Module]]&amp;CompilDonnées[[#This Row],[HarvestingDate]]</f>
        <v>97545699</v>
      </c>
    </row>
    <row r="427" spans="1:16">
      <c r="A427" s="5">
        <v>45645</v>
      </c>
      <c r="B427">
        <v>89</v>
      </c>
      <c r="C427" t="s">
        <v>67</v>
      </c>
      <c r="D427">
        <v>3</v>
      </c>
      <c r="E427">
        <v>100</v>
      </c>
      <c r="F427" t="s">
        <v>1</v>
      </c>
      <c r="G427" s="6">
        <v>45689</v>
      </c>
      <c r="H427">
        <v>44</v>
      </c>
      <c r="I427">
        <f>ROUND(CompilDonnées[[#This Row],[CultureDuration_days]]/7,0)</f>
        <v>6</v>
      </c>
      <c r="J427">
        <v>3170</v>
      </c>
      <c r="K427" t="str">
        <f>_xlfn.CONCAT(WEEKNUM(CompilDonnées[[#This Row],[PlantationDate]]), " ", YEAR(CompilDonnées[[#This Row],[PlantationDate]]))</f>
        <v>51 2024</v>
      </c>
      <c r="L427" t="str">
        <f>CONCATENATE(MONTH(CompilDonnées[[#This Row],[PlantationDate]])," ", YEAR(CompilDonnées[[#This Row],[PlantationDate]]))</f>
        <v>12 2024</v>
      </c>
      <c r="M427" t="str">
        <f>CONCATENATE(MONTH(CompilDonnées[[#This Row],[HarvestingDate]])," ", YEAR(CompilDonnées[[#This Row],[HarvestingDate]]))</f>
        <v>2 2025</v>
      </c>
      <c r="N427">
        <f>_xlfn.NUMBERVALUE(CompilDonnées[[#This Row],[FarmID]]&amp;CompilDonnées[[#This Row],[ModuleNumber]]&amp;CompilDonnées[[#This Row],[PlantationDate]])</f>
        <v>89345645</v>
      </c>
      <c r="O427" t="str">
        <f>CompilDonnées[[#This Row],[FarmID]]&amp;CompilDonnées[[#This Row],[ModuleNumber]]</f>
        <v>893</v>
      </c>
      <c r="P427" t="str">
        <f>CompilDonnées[[#This Row],[Ref_Module]]&amp;CompilDonnées[[#This Row],[HarvestingDate]]</f>
        <v>89345689</v>
      </c>
    </row>
    <row r="428" spans="1:16">
      <c r="A428" s="5">
        <v>45645</v>
      </c>
      <c r="B428">
        <v>91</v>
      </c>
      <c r="C428" t="s">
        <v>9</v>
      </c>
      <c r="D428">
        <v>2</v>
      </c>
      <c r="E428">
        <v>100</v>
      </c>
      <c r="F428" t="s">
        <v>1</v>
      </c>
      <c r="G428" s="6">
        <v>45694</v>
      </c>
      <c r="H428">
        <v>49</v>
      </c>
      <c r="I428">
        <f>ROUND(CompilDonnées[[#This Row],[CultureDuration_days]]/7,0)</f>
        <v>7</v>
      </c>
      <c r="J428">
        <v>2860</v>
      </c>
      <c r="K428" t="str">
        <f>_xlfn.CONCAT(WEEKNUM(CompilDonnées[[#This Row],[PlantationDate]]), " ", YEAR(CompilDonnées[[#This Row],[PlantationDate]]))</f>
        <v>51 2024</v>
      </c>
      <c r="L428" t="str">
        <f>CONCATENATE(MONTH(CompilDonnées[[#This Row],[PlantationDate]])," ", YEAR(CompilDonnées[[#This Row],[PlantationDate]]))</f>
        <v>12 2024</v>
      </c>
      <c r="M428" t="str">
        <f>CONCATENATE(MONTH(CompilDonnées[[#This Row],[HarvestingDate]])," ", YEAR(CompilDonnées[[#This Row],[HarvestingDate]]))</f>
        <v>2 2025</v>
      </c>
      <c r="N428">
        <f>_xlfn.NUMBERVALUE(CompilDonnées[[#This Row],[FarmID]]&amp;CompilDonnées[[#This Row],[ModuleNumber]]&amp;CompilDonnées[[#This Row],[PlantationDate]])</f>
        <v>91245645</v>
      </c>
      <c r="O428" t="str">
        <f>CompilDonnées[[#This Row],[FarmID]]&amp;CompilDonnées[[#This Row],[ModuleNumber]]</f>
        <v>912</v>
      </c>
      <c r="P428" t="str">
        <f>CompilDonnées[[#This Row],[Ref_Module]]&amp;CompilDonnées[[#This Row],[HarvestingDate]]</f>
        <v>91245694</v>
      </c>
    </row>
    <row r="429" spans="1:16">
      <c r="A429" s="5">
        <v>45645</v>
      </c>
      <c r="B429">
        <v>88</v>
      </c>
      <c r="C429" t="s">
        <v>94</v>
      </c>
      <c r="D429">
        <v>1</v>
      </c>
      <c r="E429">
        <v>100</v>
      </c>
      <c r="F429" t="s">
        <v>1</v>
      </c>
      <c r="G429" s="6">
        <v>45685</v>
      </c>
      <c r="H429">
        <v>40</v>
      </c>
      <c r="I429">
        <f>ROUND(CompilDonnées[[#This Row],[CultureDuration_days]]/7,0)</f>
        <v>6</v>
      </c>
      <c r="J429">
        <v>4068</v>
      </c>
      <c r="K429" t="str">
        <f>_xlfn.CONCAT(WEEKNUM(CompilDonnées[[#This Row],[PlantationDate]]), " ", YEAR(CompilDonnées[[#This Row],[PlantationDate]]))</f>
        <v>51 2024</v>
      </c>
      <c r="L429" t="str">
        <f>CONCATENATE(MONTH(CompilDonnées[[#This Row],[PlantationDate]])," ", YEAR(CompilDonnées[[#This Row],[PlantationDate]]))</f>
        <v>12 2024</v>
      </c>
      <c r="M429" t="str">
        <f>CONCATENATE(MONTH(CompilDonnées[[#This Row],[HarvestingDate]])," ", YEAR(CompilDonnées[[#This Row],[HarvestingDate]]))</f>
        <v>1 2025</v>
      </c>
      <c r="N429">
        <f>_xlfn.NUMBERVALUE(CompilDonnées[[#This Row],[FarmID]]&amp;CompilDonnées[[#This Row],[ModuleNumber]]&amp;CompilDonnées[[#This Row],[PlantationDate]])</f>
        <v>88145645</v>
      </c>
      <c r="O429" t="str">
        <f>CompilDonnées[[#This Row],[FarmID]]&amp;CompilDonnées[[#This Row],[ModuleNumber]]</f>
        <v>881</v>
      </c>
      <c r="P429" t="str">
        <f>CompilDonnées[[#This Row],[Ref_Module]]&amp;CompilDonnées[[#This Row],[HarvestingDate]]</f>
        <v>88145685</v>
      </c>
    </row>
    <row r="430" spans="1:16">
      <c r="A430" s="5">
        <v>45645</v>
      </c>
      <c r="B430">
        <v>109</v>
      </c>
      <c r="C430" t="s">
        <v>87</v>
      </c>
      <c r="D430">
        <v>3</v>
      </c>
      <c r="E430">
        <v>100</v>
      </c>
      <c r="F430" t="s">
        <v>1</v>
      </c>
      <c r="G430" s="6">
        <v>45688</v>
      </c>
      <c r="H430">
        <v>43</v>
      </c>
      <c r="I430">
        <f>ROUND(CompilDonnées[[#This Row],[CultureDuration_days]]/7,0)</f>
        <v>6</v>
      </c>
      <c r="J430">
        <v>3461</v>
      </c>
      <c r="K430" t="str">
        <f>_xlfn.CONCAT(WEEKNUM(CompilDonnées[[#This Row],[PlantationDate]]), " ", YEAR(CompilDonnées[[#This Row],[PlantationDate]]))</f>
        <v>51 2024</v>
      </c>
      <c r="L430" t="str">
        <f>CONCATENATE(MONTH(CompilDonnées[[#This Row],[PlantationDate]])," ", YEAR(CompilDonnées[[#This Row],[PlantationDate]]))</f>
        <v>12 2024</v>
      </c>
      <c r="M430" t="str">
        <f>CONCATENATE(MONTH(CompilDonnées[[#This Row],[HarvestingDate]])," ", YEAR(CompilDonnées[[#This Row],[HarvestingDate]]))</f>
        <v>1 2025</v>
      </c>
      <c r="N430">
        <f>_xlfn.NUMBERVALUE(CompilDonnées[[#This Row],[FarmID]]&amp;CompilDonnées[[#This Row],[ModuleNumber]]&amp;CompilDonnées[[#This Row],[PlantationDate]])</f>
        <v>109345645</v>
      </c>
      <c r="O430" t="str">
        <f>CompilDonnées[[#This Row],[FarmID]]&amp;CompilDonnées[[#This Row],[ModuleNumber]]</f>
        <v>1093</v>
      </c>
      <c r="P430" t="str">
        <f>CompilDonnées[[#This Row],[Ref_Module]]&amp;CompilDonnées[[#This Row],[HarvestingDate]]</f>
        <v>109345688</v>
      </c>
    </row>
    <row r="431" spans="1:16">
      <c r="A431" s="5">
        <v>45645</v>
      </c>
      <c r="B431">
        <v>109</v>
      </c>
      <c r="C431" t="s">
        <v>87</v>
      </c>
      <c r="D431">
        <v>4</v>
      </c>
      <c r="E431">
        <v>100</v>
      </c>
      <c r="F431" t="s">
        <v>1</v>
      </c>
      <c r="G431" s="6">
        <v>45688</v>
      </c>
      <c r="H431">
        <v>43</v>
      </c>
      <c r="I431">
        <f>ROUND(CompilDonnées[[#This Row],[CultureDuration_days]]/7,0)</f>
        <v>6</v>
      </c>
      <c r="J431">
        <v>3517</v>
      </c>
      <c r="K431" t="str">
        <f>_xlfn.CONCAT(WEEKNUM(CompilDonnées[[#This Row],[PlantationDate]]), " ", YEAR(CompilDonnées[[#This Row],[PlantationDate]]))</f>
        <v>51 2024</v>
      </c>
      <c r="L431" t="str">
        <f>CONCATENATE(MONTH(CompilDonnées[[#This Row],[PlantationDate]])," ", YEAR(CompilDonnées[[#This Row],[PlantationDate]]))</f>
        <v>12 2024</v>
      </c>
      <c r="M431" t="str">
        <f>CONCATENATE(MONTH(CompilDonnées[[#This Row],[HarvestingDate]])," ", YEAR(CompilDonnées[[#This Row],[HarvestingDate]]))</f>
        <v>1 2025</v>
      </c>
      <c r="N431">
        <f>_xlfn.NUMBERVALUE(CompilDonnées[[#This Row],[FarmID]]&amp;CompilDonnées[[#This Row],[ModuleNumber]]&amp;CompilDonnées[[#This Row],[PlantationDate]])</f>
        <v>109445645</v>
      </c>
      <c r="O431" t="str">
        <f>CompilDonnées[[#This Row],[FarmID]]&amp;CompilDonnées[[#This Row],[ModuleNumber]]</f>
        <v>1094</v>
      </c>
      <c r="P431" t="str">
        <f>CompilDonnées[[#This Row],[Ref_Module]]&amp;CompilDonnées[[#This Row],[HarvestingDate]]</f>
        <v>109445688</v>
      </c>
    </row>
    <row r="432" spans="1:16">
      <c r="A432" s="5">
        <v>45645</v>
      </c>
      <c r="B432">
        <v>82</v>
      </c>
      <c r="C432" t="s">
        <v>17</v>
      </c>
      <c r="D432">
        <v>2</v>
      </c>
      <c r="E432">
        <v>100</v>
      </c>
      <c r="F432" t="s">
        <v>1</v>
      </c>
      <c r="G432" s="6">
        <v>45686</v>
      </c>
      <c r="H432">
        <v>41</v>
      </c>
      <c r="I432">
        <f>ROUND(CompilDonnées[[#This Row],[CultureDuration_days]]/7,0)</f>
        <v>6</v>
      </c>
      <c r="J432">
        <v>3663</v>
      </c>
      <c r="K432" t="str">
        <f>_xlfn.CONCAT(WEEKNUM(CompilDonnées[[#This Row],[PlantationDate]]), " ", YEAR(CompilDonnées[[#This Row],[PlantationDate]]))</f>
        <v>51 2024</v>
      </c>
      <c r="L432" t="str">
        <f>CONCATENATE(MONTH(CompilDonnées[[#This Row],[PlantationDate]])," ", YEAR(CompilDonnées[[#This Row],[PlantationDate]]))</f>
        <v>12 2024</v>
      </c>
      <c r="M432" t="str">
        <f>CONCATENATE(MONTH(CompilDonnées[[#This Row],[HarvestingDate]])," ", YEAR(CompilDonnées[[#This Row],[HarvestingDate]]))</f>
        <v>1 2025</v>
      </c>
      <c r="N432">
        <f>_xlfn.NUMBERVALUE(CompilDonnées[[#This Row],[FarmID]]&amp;CompilDonnées[[#This Row],[ModuleNumber]]&amp;CompilDonnées[[#This Row],[PlantationDate]])</f>
        <v>82245645</v>
      </c>
      <c r="O432" t="str">
        <f>CompilDonnées[[#This Row],[FarmID]]&amp;CompilDonnées[[#This Row],[ModuleNumber]]</f>
        <v>822</v>
      </c>
      <c r="P432" t="str">
        <f>CompilDonnées[[#This Row],[Ref_Module]]&amp;CompilDonnées[[#This Row],[HarvestingDate]]</f>
        <v>82245686</v>
      </c>
    </row>
    <row r="433" spans="1:16">
      <c r="A433" s="5">
        <v>45645</v>
      </c>
      <c r="B433">
        <v>81</v>
      </c>
      <c r="C433" t="s">
        <v>30</v>
      </c>
      <c r="D433">
        <v>4</v>
      </c>
      <c r="E433">
        <v>100</v>
      </c>
      <c r="F433" t="s">
        <v>1</v>
      </c>
      <c r="G433" s="6">
        <v>45690</v>
      </c>
      <c r="H433">
        <v>45</v>
      </c>
      <c r="I433">
        <f>ROUND(CompilDonnées[[#This Row],[CultureDuration_days]]/7,0)</f>
        <v>6</v>
      </c>
      <c r="J433">
        <v>4197</v>
      </c>
      <c r="K433" t="str">
        <f>_xlfn.CONCAT(WEEKNUM(CompilDonnées[[#This Row],[PlantationDate]]), " ", YEAR(CompilDonnées[[#This Row],[PlantationDate]]))</f>
        <v>51 2024</v>
      </c>
      <c r="L433" t="str">
        <f>CONCATENATE(MONTH(CompilDonnées[[#This Row],[PlantationDate]])," ", YEAR(CompilDonnées[[#This Row],[PlantationDate]]))</f>
        <v>12 2024</v>
      </c>
      <c r="M433" t="str">
        <f>CONCATENATE(MONTH(CompilDonnées[[#This Row],[HarvestingDate]])," ", YEAR(CompilDonnées[[#This Row],[HarvestingDate]]))</f>
        <v>2 2025</v>
      </c>
      <c r="N433">
        <f>_xlfn.NUMBERVALUE(CompilDonnées[[#This Row],[FarmID]]&amp;CompilDonnées[[#This Row],[ModuleNumber]]&amp;CompilDonnées[[#This Row],[PlantationDate]])</f>
        <v>81445645</v>
      </c>
      <c r="O433" t="str">
        <f>CompilDonnées[[#This Row],[FarmID]]&amp;CompilDonnées[[#This Row],[ModuleNumber]]</f>
        <v>814</v>
      </c>
      <c r="P433" t="str">
        <f>CompilDonnées[[#This Row],[Ref_Module]]&amp;CompilDonnées[[#This Row],[HarvestingDate]]</f>
        <v>81445690</v>
      </c>
    </row>
    <row r="434" spans="1:16">
      <c r="A434" s="5">
        <v>45645</v>
      </c>
      <c r="B434">
        <v>74</v>
      </c>
      <c r="C434" t="s">
        <v>21</v>
      </c>
      <c r="D434">
        <v>5</v>
      </c>
      <c r="E434">
        <v>100</v>
      </c>
      <c r="F434" t="s">
        <v>1</v>
      </c>
      <c r="G434" s="6">
        <v>45686</v>
      </c>
      <c r="H434">
        <v>41</v>
      </c>
      <c r="I434">
        <f>ROUND(CompilDonnées[[#This Row],[CultureDuration_days]]/7,0)</f>
        <v>6</v>
      </c>
      <c r="J434">
        <v>2981</v>
      </c>
      <c r="K434" t="str">
        <f>_xlfn.CONCAT(WEEKNUM(CompilDonnées[[#This Row],[PlantationDate]]), " ", YEAR(CompilDonnées[[#This Row],[PlantationDate]]))</f>
        <v>51 2024</v>
      </c>
      <c r="L434" t="str">
        <f>CONCATENATE(MONTH(CompilDonnées[[#This Row],[PlantationDate]])," ", YEAR(CompilDonnées[[#This Row],[PlantationDate]]))</f>
        <v>12 2024</v>
      </c>
      <c r="M434" t="str">
        <f>CONCATENATE(MONTH(CompilDonnées[[#This Row],[HarvestingDate]])," ", YEAR(CompilDonnées[[#This Row],[HarvestingDate]]))</f>
        <v>1 2025</v>
      </c>
      <c r="N434">
        <f>_xlfn.NUMBERVALUE(CompilDonnées[[#This Row],[FarmID]]&amp;CompilDonnées[[#This Row],[ModuleNumber]]&amp;CompilDonnées[[#This Row],[PlantationDate]])</f>
        <v>74545645</v>
      </c>
      <c r="O434" t="str">
        <f>CompilDonnées[[#This Row],[FarmID]]&amp;CompilDonnées[[#This Row],[ModuleNumber]]</f>
        <v>745</v>
      </c>
      <c r="P434" t="str">
        <f>CompilDonnées[[#This Row],[Ref_Module]]&amp;CompilDonnées[[#This Row],[HarvestingDate]]</f>
        <v>74545686</v>
      </c>
    </row>
    <row r="435" spans="1:16">
      <c r="A435" s="5">
        <v>45645</v>
      </c>
      <c r="B435">
        <v>73</v>
      </c>
      <c r="C435" t="s">
        <v>20</v>
      </c>
      <c r="D435">
        <v>5</v>
      </c>
      <c r="E435">
        <v>100</v>
      </c>
      <c r="F435" t="s">
        <v>1</v>
      </c>
      <c r="G435" s="6">
        <v>45689</v>
      </c>
      <c r="H435">
        <v>44</v>
      </c>
      <c r="I435">
        <f>ROUND(CompilDonnées[[#This Row],[CultureDuration_days]]/7,0)</f>
        <v>6</v>
      </c>
      <c r="J435">
        <v>2859</v>
      </c>
      <c r="K435" t="str">
        <f>_xlfn.CONCAT(WEEKNUM(CompilDonnées[[#This Row],[PlantationDate]]), " ", YEAR(CompilDonnées[[#This Row],[PlantationDate]]))</f>
        <v>51 2024</v>
      </c>
      <c r="L435" t="str">
        <f>CONCATENATE(MONTH(CompilDonnées[[#This Row],[PlantationDate]])," ", YEAR(CompilDonnées[[#This Row],[PlantationDate]]))</f>
        <v>12 2024</v>
      </c>
      <c r="M435" t="str">
        <f>CONCATENATE(MONTH(CompilDonnées[[#This Row],[HarvestingDate]])," ", YEAR(CompilDonnées[[#This Row],[HarvestingDate]]))</f>
        <v>2 2025</v>
      </c>
      <c r="N435">
        <f>_xlfn.NUMBERVALUE(CompilDonnées[[#This Row],[FarmID]]&amp;CompilDonnées[[#This Row],[ModuleNumber]]&amp;CompilDonnées[[#This Row],[PlantationDate]])</f>
        <v>73545645</v>
      </c>
      <c r="O435" t="str">
        <f>CompilDonnées[[#This Row],[FarmID]]&amp;CompilDonnées[[#This Row],[ModuleNumber]]</f>
        <v>735</v>
      </c>
      <c r="P435" t="str">
        <f>CompilDonnées[[#This Row],[Ref_Module]]&amp;CompilDonnées[[#This Row],[HarvestingDate]]</f>
        <v>73545689</v>
      </c>
    </row>
    <row r="436" spans="1:16">
      <c r="A436" s="5">
        <v>45645</v>
      </c>
      <c r="B436">
        <v>72</v>
      </c>
      <c r="C436" t="s">
        <v>49</v>
      </c>
      <c r="D436">
        <v>1</v>
      </c>
      <c r="E436">
        <v>100</v>
      </c>
      <c r="F436" t="s">
        <v>1</v>
      </c>
      <c r="G436" s="6">
        <v>45689</v>
      </c>
      <c r="H436">
        <v>44</v>
      </c>
      <c r="I436">
        <f>ROUND(CompilDonnées[[#This Row],[CultureDuration_days]]/7,0)</f>
        <v>6</v>
      </c>
      <c r="J436">
        <v>3051</v>
      </c>
      <c r="K436" t="str">
        <f>_xlfn.CONCAT(WEEKNUM(CompilDonnées[[#This Row],[PlantationDate]]), " ", YEAR(CompilDonnées[[#This Row],[PlantationDate]]))</f>
        <v>51 2024</v>
      </c>
      <c r="L436" t="str">
        <f>CONCATENATE(MONTH(CompilDonnées[[#This Row],[PlantationDate]])," ", YEAR(CompilDonnées[[#This Row],[PlantationDate]]))</f>
        <v>12 2024</v>
      </c>
      <c r="M436" t="str">
        <f>CONCATENATE(MONTH(CompilDonnées[[#This Row],[HarvestingDate]])," ", YEAR(CompilDonnées[[#This Row],[HarvestingDate]]))</f>
        <v>2 2025</v>
      </c>
      <c r="N436">
        <f>_xlfn.NUMBERVALUE(CompilDonnées[[#This Row],[FarmID]]&amp;CompilDonnées[[#This Row],[ModuleNumber]]&amp;CompilDonnées[[#This Row],[PlantationDate]])</f>
        <v>72145645</v>
      </c>
      <c r="O436" t="str">
        <f>CompilDonnées[[#This Row],[FarmID]]&amp;CompilDonnées[[#This Row],[ModuleNumber]]</f>
        <v>721</v>
      </c>
      <c r="P436" t="str">
        <f>CompilDonnées[[#This Row],[Ref_Module]]&amp;CompilDonnées[[#This Row],[HarvestingDate]]</f>
        <v>72145689</v>
      </c>
    </row>
    <row r="437" spans="1:16">
      <c r="A437" s="5">
        <v>45645</v>
      </c>
      <c r="B437">
        <v>71</v>
      </c>
      <c r="C437" t="s">
        <v>19</v>
      </c>
      <c r="D437">
        <v>2</v>
      </c>
      <c r="E437">
        <v>100</v>
      </c>
      <c r="F437" t="s">
        <v>1</v>
      </c>
      <c r="G437" s="6">
        <v>45693</v>
      </c>
      <c r="H437">
        <v>48</v>
      </c>
      <c r="I437">
        <f>ROUND(CompilDonnées[[#This Row],[CultureDuration_days]]/7,0)</f>
        <v>7</v>
      </c>
      <c r="J437">
        <v>1733</v>
      </c>
      <c r="K437" t="str">
        <f>_xlfn.CONCAT(WEEKNUM(CompilDonnées[[#This Row],[PlantationDate]]), " ", YEAR(CompilDonnées[[#This Row],[PlantationDate]]))</f>
        <v>51 2024</v>
      </c>
      <c r="L437" t="str">
        <f>CONCATENATE(MONTH(CompilDonnées[[#This Row],[PlantationDate]])," ", YEAR(CompilDonnées[[#This Row],[PlantationDate]]))</f>
        <v>12 2024</v>
      </c>
      <c r="M437" t="str">
        <f>CONCATENATE(MONTH(CompilDonnées[[#This Row],[HarvestingDate]])," ", YEAR(CompilDonnées[[#This Row],[HarvestingDate]]))</f>
        <v>2 2025</v>
      </c>
      <c r="N437">
        <f>_xlfn.NUMBERVALUE(CompilDonnées[[#This Row],[FarmID]]&amp;CompilDonnées[[#This Row],[ModuleNumber]]&amp;CompilDonnées[[#This Row],[PlantationDate]])</f>
        <v>71245645</v>
      </c>
      <c r="O437" t="str">
        <f>CompilDonnées[[#This Row],[FarmID]]&amp;CompilDonnées[[#This Row],[ModuleNumber]]</f>
        <v>712</v>
      </c>
      <c r="P437" t="str">
        <f>CompilDonnées[[#This Row],[Ref_Module]]&amp;CompilDonnées[[#This Row],[HarvestingDate]]</f>
        <v>71245693</v>
      </c>
    </row>
    <row r="438" spans="1:16">
      <c r="A438" s="5">
        <v>45645</v>
      </c>
      <c r="B438">
        <v>84</v>
      </c>
      <c r="C438" t="s">
        <v>65</v>
      </c>
      <c r="D438">
        <v>6</v>
      </c>
      <c r="E438">
        <v>100</v>
      </c>
      <c r="F438" t="s">
        <v>1</v>
      </c>
      <c r="G438" s="6">
        <v>45700</v>
      </c>
      <c r="H438">
        <v>55</v>
      </c>
      <c r="I438">
        <f>ROUND(CompilDonnées[[#This Row],[CultureDuration_days]]/7,0)</f>
        <v>8</v>
      </c>
      <c r="J438">
        <v>2115</v>
      </c>
      <c r="K438" t="str">
        <f>_xlfn.CONCAT(WEEKNUM(CompilDonnées[[#This Row],[PlantationDate]]), " ", YEAR(CompilDonnées[[#This Row],[PlantationDate]]))</f>
        <v>51 2024</v>
      </c>
      <c r="L438" t="str">
        <f>CONCATENATE(MONTH(CompilDonnées[[#This Row],[PlantationDate]])," ", YEAR(CompilDonnées[[#This Row],[PlantationDate]]))</f>
        <v>12 2024</v>
      </c>
      <c r="M438" t="str">
        <f>CONCATENATE(MONTH(CompilDonnées[[#This Row],[HarvestingDate]])," ", YEAR(CompilDonnées[[#This Row],[HarvestingDate]]))</f>
        <v>2 2025</v>
      </c>
      <c r="N438">
        <f>_xlfn.NUMBERVALUE(CompilDonnées[[#This Row],[FarmID]]&amp;CompilDonnées[[#This Row],[ModuleNumber]]&amp;CompilDonnées[[#This Row],[PlantationDate]])</f>
        <v>84645645</v>
      </c>
      <c r="O438" t="str">
        <f>CompilDonnées[[#This Row],[FarmID]]&amp;CompilDonnées[[#This Row],[ModuleNumber]]</f>
        <v>846</v>
      </c>
      <c r="P438" t="str">
        <f>CompilDonnées[[#This Row],[Ref_Module]]&amp;CompilDonnées[[#This Row],[HarvestingDate]]</f>
        <v>84645700</v>
      </c>
    </row>
    <row r="439" spans="1:16">
      <c r="A439" s="5">
        <v>45645</v>
      </c>
      <c r="B439">
        <v>83</v>
      </c>
      <c r="C439" t="s">
        <v>73</v>
      </c>
      <c r="D439">
        <v>4</v>
      </c>
      <c r="E439">
        <v>100</v>
      </c>
      <c r="F439" t="s">
        <v>1</v>
      </c>
      <c r="G439" s="6">
        <v>45694</v>
      </c>
      <c r="H439">
        <v>49</v>
      </c>
      <c r="I439">
        <f>ROUND(CompilDonnées[[#This Row],[CultureDuration_days]]/7,0)</f>
        <v>7</v>
      </c>
      <c r="J439">
        <v>2756</v>
      </c>
      <c r="K439" t="str">
        <f>_xlfn.CONCAT(WEEKNUM(CompilDonnées[[#This Row],[PlantationDate]]), " ", YEAR(CompilDonnées[[#This Row],[PlantationDate]]))</f>
        <v>51 2024</v>
      </c>
      <c r="L439" t="str">
        <f>CONCATENATE(MONTH(CompilDonnées[[#This Row],[PlantationDate]])," ", YEAR(CompilDonnées[[#This Row],[PlantationDate]]))</f>
        <v>12 2024</v>
      </c>
      <c r="M439" t="str">
        <f>CONCATENATE(MONTH(CompilDonnées[[#This Row],[HarvestingDate]])," ", YEAR(CompilDonnées[[#This Row],[HarvestingDate]]))</f>
        <v>2 2025</v>
      </c>
      <c r="N439">
        <f>_xlfn.NUMBERVALUE(CompilDonnées[[#This Row],[FarmID]]&amp;CompilDonnées[[#This Row],[ModuleNumber]]&amp;CompilDonnées[[#This Row],[PlantationDate]])</f>
        <v>83445645</v>
      </c>
      <c r="O439" t="str">
        <f>CompilDonnées[[#This Row],[FarmID]]&amp;CompilDonnées[[#This Row],[ModuleNumber]]</f>
        <v>834</v>
      </c>
      <c r="P439" t="str">
        <f>CompilDonnées[[#This Row],[Ref_Module]]&amp;CompilDonnées[[#This Row],[HarvestingDate]]</f>
        <v>83445694</v>
      </c>
    </row>
    <row r="440" spans="1:16">
      <c r="A440" s="5">
        <v>45645</v>
      </c>
      <c r="B440">
        <v>77</v>
      </c>
      <c r="C440" t="s">
        <v>75</v>
      </c>
      <c r="D440">
        <v>6</v>
      </c>
      <c r="E440">
        <v>100</v>
      </c>
      <c r="F440" t="s">
        <v>1</v>
      </c>
      <c r="G440" s="6">
        <v>45701</v>
      </c>
      <c r="H440">
        <v>56</v>
      </c>
      <c r="I440">
        <f>ROUND(CompilDonnées[[#This Row],[CultureDuration_days]]/7,0)</f>
        <v>8</v>
      </c>
      <c r="J440">
        <v>2262</v>
      </c>
      <c r="K440" t="str">
        <f>_xlfn.CONCAT(WEEKNUM(CompilDonnées[[#This Row],[PlantationDate]]), " ", YEAR(CompilDonnées[[#This Row],[PlantationDate]]))</f>
        <v>51 2024</v>
      </c>
      <c r="L440" t="str">
        <f>CONCATENATE(MONTH(CompilDonnées[[#This Row],[PlantationDate]])," ", YEAR(CompilDonnées[[#This Row],[PlantationDate]]))</f>
        <v>12 2024</v>
      </c>
      <c r="M440" t="str">
        <f>CONCATENATE(MONTH(CompilDonnées[[#This Row],[HarvestingDate]])," ", YEAR(CompilDonnées[[#This Row],[HarvestingDate]]))</f>
        <v>2 2025</v>
      </c>
      <c r="N440">
        <f>_xlfn.NUMBERVALUE(CompilDonnées[[#This Row],[FarmID]]&amp;CompilDonnées[[#This Row],[ModuleNumber]]&amp;CompilDonnées[[#This Row],[PlantationDate]])</f>
        <v>77645645</v>
      </c>
      <c r="O440" t="str">
        <f>CompilDonnées[[#This Row],[FarmID]]&amp;CompilDonnées[[#This Row],[ModuleNumber]]</f>
        <v>776</v>
      </c>
      <c r="P440" t="str">
        <f>CompilDonnées[[#This Row],[Ref_Module]]&amp;CompilDonnées[[#This Row],[HarvestingDate]]</f>
        <v>77645701</v>
      </c>
    </row>
    <row r="441" spans="1:16">
      <c r="A441" s="5">
        <v>45645</v>
      </c>
      <c r="B441">
        <v>67</v>
      </c>
      <c r="C441" t="s">
        <v>28</v>
      </c>
      <c r="D441">
        <v>5</v>
      </c>
      <c r="E441">
        <v>100</v>
      </c>
      <c r="F441" t="s">
        <v>1</v>
      </c>
      <c r="G441" s="6">
        <v>45693</v>
      </c>
      <c r="H441">
        <v>48</v>
      </c>
      <c r="I441">
        <f>ROUND(CompilDonnées[[#This Row],[CultureDuration_days]]/7,0)</f>
        <v>7</v>
      </c>
      <c r="J441">
        <v>4173</v>
      </c>
      <c r="K441" t="str">
        <f>_xlfn.CONCAT(WEEKNUM(CompilDonnées[[#This Row],[PlantationDate]]), " ", YEAR(CompilDonnées[[#This Row],[PlantationDate]]))</f>
        <v>51 2024</v>
      </c>
      <c r="L441" t="str">
        <f>CONCATENATE(MONTH(CompilDonnées[[#This Row],[PlantationDate]])," ", YEAR(CompilDonnées[[#This Row],[PlantationDate]]))</f>
        <v>12 2024</v>
      </c>
      <c r="M441" t="str">
        <f>CONCATENATE(MONTH(CompilDonnées[[#This Row],[HarvestingDate]])," ", YEAR(CompilDonnées[[#This Row],[HarvestingDate]]))</f>
        <v>2 2025</v>
      </c>
      <c r="N441">
        <f>_xlfn.NUMBERVALUE(CompilDonnées[[#This Row],[FarmID]]&amp;CompilDonnées[[#This Row],[ModuleNumber]]&amp;CompilDonnées[[#This Row],[PlantationDate]])</f>
        <v>67545645</v>
      </c>
      <c r="O441" t="str">
        <f>CompilDonnées[[#This Row],[FarmID]]&amp;CompilDonnées[[#This Row],[ModuleNumber]]</f>
        <v>675</v>
      </c>
      <c r="P441" t="str">
        <f>CompilDonnées[[#This Row],[Ref_Module]]&amp;CompilDonnées[[#This Row],[HarvestingDate]]</f>
        <v>67545693</v>
      </c>
    </row>
    <row r="442" spans="1:16">
      <c r="A442" s="5">
        <v>45645</v>
      </c>
      <c r="B442">
        <v>57</v>
      </c>
      <c r="C442" t="s">
        <v>46</v>
      </c>
      <c r="D442">
        <v>4</v>
      </c>
      <c r="E442">
        <v>100</v>
      </c>
      <c r="F442" t="s">
        <v>1</v>
      </c>
      <c r="G442" s="6">
        <v>45690</v>
      </c>
      <c r="H442">
        <v>45</v>
      </c>
      <c r="I442">
        <f>ROUND(CompilDonnées[[#This Row],[CultureDuration_days]]/7,0)</f>
        <v>6</v>
      </c>
      <c r="J442">
        <v>3164</v>
      </c>
      <c r="K442" t="str">
        <f>_xlfn.CONCAT(WEEKNUM(CompilDonnées[[#This Row],[PlantationDate]]), " ", YEAR(CompilDonnées[[#This Row],[PlantationDate]]))</f>
        <v>51 2024</v>
      </c>
      <c r="L442" t="str">
        <f>CONCATENATE(MONTH(CompilDonnées[[#This Row],[PlantationDate]])," ", YEAR(CompilDonnées[[#This Row],[PlantationDate]]))</f>
        <v>12 2024</v>
      </c>
      <c r="M442" t="str">
        <f>CONCATENATE(MONTH(CompilDonnées[[#This Row],[HarvestingDate]])," ", YEAR(CompilDonnées[[#This Row],[HarvestingDate]]))</f>
        <v>2 2025</v>
      </c>
      <c r="N442">
        <f>_xlfn.NUMBERVALUE(CompilDonnées[[#This Row],[FarmID]]&amp;CompilDonnées[[#This Row],[ModuleNumber]]&amp;CompilDonnées[[#This Row],[PlantationDate]])</f>
        <v>57445645</v>
      </c>
      <c r="O442" t="str">
        <f>CompilDonnées[[#This Row],[FarmID]]&amp;CompilDonnées[[#This Row],[ModuleNumber]]</f>
        <v>574</v>
      </c>
      <c r="P442" t="str">
        <f>CompilDonnées[[#This Row],[Ref_Module]]&amp;CompilDonnées[[#This Row],[HarvestingDate]]</f>
        <v>57445690</v>
      </c>
    </row>
    <row r="443" spans="1:16">
      <c r="A443" s="5">
        <v>45645</v>
      </c>
      <c r="B443">
        <v>56</v>
      </c>
      <c r="C443" t="s">
        <v>6</v>
      </c>
      <c r="D443">
        <v>1</v>
      </c>
      <c r="E443">
        <v>100</v>
      </c>
      <c r="F443" t="s">
        <v>1</v>
      </c>
      <c r="G443" s="6">
        <v>45689</v>
      </c>
      <c r="H443">
        <v>44</v>
      </c>
      <c r="I443">
        <f>ROUND(CompilDonnées[[#This Row],[CultureDuration_days]]/7,0)</f>
        <v>6</v>
      </c>
      <c r="J443">
        <v>2682</v>
      </c>
      <c r="K443" t="str">
        <f>_xlfn.CONCAT(WEEKNUM(CompilDonnées[[#This Row],[PlantationDate]]), " ", YEAR(CompilDonnées[[#This Row],[PlantationDate]]))</f>
        <v>51 2024</v>
      </c>
      <c r="L443" t="str">
        <f>CONCATENATE(MONTH(CompilDonnées[[#This Row],[PlantationDate]])," ", YEAR(CompilDonnées[[#This Row],[PlantationDate]]))</f>
        <v>12 2024</v>
      </c>
      <c r="M443" t="str">
        <f>CONCATENATE(MONTH(CompilDonnées[[#This Row],[HarvestingDate]])," ", YEAR(CompilDonnées[[#This Row],[HarvestingDate]]))</f>
        <v>2 2025</v>
      </c>
      <c r="N443">
        <f>_xlfn.NUMBERVALUE(CompilDonnées[[#This Row],[FarmID]]&amp;CompilDonnées[[#This Row],[ModuleNumber]]&amp;CompilDonnées[[#This Row],[PlantationDate]])</f>
        <v>56145645</v>
      </c>
      <c r="O443" t="str">
        <f>CompilDonnées[[#This Row],[FarmID]]&amp;CompilDonnées[[#This Row],[ModuleNumber]]</f>
        <v>561</v>
      </c>
      <c r="P443" t="str">
        <f>CompilDonnées[[#This Row],[Ref_Module]]&amp;CompilDonnées[[#This Row],[HarvestingDate]]</f>
        <v>56145689</v>
      </c>
    </row>
    <row r="444" spans="1:16">
      <c r="A444" s="5">
        <v>45645</v>
      </c>
      <c r="B444">
        <v>51</v>
      </c>
      <c r="C444" t="s">
        <v>27</v>
      </c>
      <c r="D444">
        <v>5</v>
      </c>
      <c r="E444">
        <v>100</v>
      </c>
      <c r="F444" t="s">
        <v>1</v>
      </c>
      <c r="G444" s="6">
        <v>45686</v>
      </c>
      <c r="H444">
        <v>41</v>
      </c>
      <c r="I444">
        <f>ROUND(CompilDonnées[[#This Row],[CultureDuration_days]]/7,0)</f>
        <v>6</v>
      </c>
      <c r="J444">
        <v>3297</v>
      </c>
      <c r="K444" t="str">
        <f>_xlfn.CONCAT(WEEKNUM(CompilDonnées[[#This Row],[PlantationDate]]), " ", YEAR(CompilDonnées[[#This Row],[PlantationDate]]))</f>
        <v>51 2024</v>
      </c>
      <c r="L444" t="str">
        <f>CONCATENATE(MONTH(CompilDonnées[[#This Row],[PlantationDate]])," ", YEAR(CompilDonnées[[#This Row],[PlantationDate]]))</f>
        <v>12 2024</v>
      </c>
      <c r="M444" t="str">
        <f>CONCATENATE(MONTH(CompilDonnées[[#This Row],[HarvestingDate]])," ", YEAR(CompilDonnées[[#This Row],[HarvestingDate]]))</f>
        <v>1 2025</v>
      </c>
      <c r="N444">
        <f>_xlfn.NUMBERVALUE(CompilDonnées[[#This Row],[FarmID]]&amp;CompilDonnées[[#This Row],[ModuleNumber]]&amp;CompilDonnées[[#This Row],[PlantationDate]])</f>
        <v>51545645</v>
      </c>
      <c r="O444" t="str">
        <f>CompilDonnées[[#This Row],[FarmID]]&amp;CompilDonnées[[#This Row],[ModuleNumber]]</f>
        <v>515</v>
      </c>
      <c r="P444" t="str">
        <f>CompilDonnées[[#This Row],[Ref_Module]]&amp;CompilDonnées[[#This Row],[HarvestingDate]]</f>
        <v>51545686</v>
      </c>
    </row>
    <row r="445" spans="1:16">
      <c r="A445" s="5">
        <v>45645</v>
      </c>
      <c r="B445">
        <v>137</v>
      </c>
      <c r="C445" t="s">
        <v>108</v>
      </c>
      <c r="D445">
        <v>1</v>
      </c>
      <c r="E445">
        <v>100</v>
      </c>
      <c r="F445" t="s">
        <v>1</v>
      </c>
      <c r="G445" s="6">
        <v>45695</v>
      </c>
      <c r="H445">
        <v>50</v>
      </c>
      <c r="I445">
        <f>ROUND(CompilDonnées[[#This Row],[CultureDuration_days]]/7,0)</f>
        <v>7</v>
      </c>
      <c r="J445">
        <v>2323</v>
      </c>
      <c r="K445" t="str">
        <f>_xlfn.CONCAT(WEEKNUM(CompilDonnées[[#This Row],[PlantationDate]]), " ", YEAR(CompilDonnées[[#This Row],[PlantationDate]]))</f>
        <v>51 2024</v>
      </c>
      <c r="L445" t="str">
        <f>CONCATENATE(MONTH(CompilDonnées[[#This Row],[PlantationDate]])," ", YEAR(CompilDonnées[[#This Row],[PlantationDate]]))</f>
        <v>12 2024</v>
      </c>
      <c r="M445" t="str">
        <f>CONCATENATE(MONTH(CompilDonnées[[#This Row],[HarvestingDate]])," ", YEAR(CompilDonnées[[#This Row],[HarvestingDate]]))</f>
        <v>2 2025</v>
      </c>
      <c r="N445">
        <f>_xlfn.NUMBERVALUE(CompilDonnées[[#This Row],[FarmID]]&amp;CompilDonnées[[#This Row],[ModuleNumber]]&amp;CompilDonnées[[#This Row],[PlantationDate]])</f>
        <v>137145645</v>
      </c>
      <c r="O445" t="str">
        <f>CompilDonnées[[#This Row],[FarmID]]&amp;CompilDonnées[[#This Row],[ModuleNumber]]</f>
        <v>1371</v>
      </c>
      <c r="P445" t="str">
        <f>CompilDonnées[[#This Row],[Ref_Module]]&amp;CompilDonnées[[#This Row],[HarvestingDate]]</f>
        <v>137145695</v>
      </c>
    </row>
    <row r="446" spans="1:16">
      <c r="A446" s="5">
        <v>45645</v>
      </c>
      <c r="B446">
        <v>145</v>
      </c>
      <c r="C446" t="s">
        <v>88</v>
      </c>
      <c r="D446">
        <v>1</v>
      </c>
      <c r="E446">
        <v>100</v>
      </c>
      <c r="F446" t="s">
        <v>1</v>
      </c>
      <c r="G446" s="6">
        <v>45695</v>
      </c>
      <c r="H446">
        <v>50</v>
      </c>
      <c r="I446">
        <f>ROUND(CompilDonnées[[#This Row],[CultureDuration_days]]/7,0)</f>
        <v>7</v>
      </c>
      <c r="J446">
        <v>2559</v>
      </c>
      <c r="K446" t="str">
        <f>_xlfn.CONCAT(WEEKNUM(CompilDonnées[[#This Row],[PlantationDate]]), " ", YEAR(CompilDonnées[[#This Row],[PlantationDate]]))</f>
        <v>51 2024</v>
      </c>
      <c r="L446" t="str">
        <f>CONCATENATE(MONTH(CompilDonnées[[#This Row],[PlantationDate]])," ", YEAR(CompilDonnées[[#This Row],[PlantationDate]]))</f>
        <v>12 2024</v>
      </c>
      <c r="M446" t="str">
        <f>CONCATENATE(MONTH(CompilDonnées[[#This Row],[HarvestingDate]])," ", YEAR(CompilDonnées[[#This Row],[HarvestingDate]]))</f>
        <v>2 2025</v>
      </c>
      <c r="N446">
        <f>_xlfn.NUMBERVALUE(CompilDonnées[[#This Row],[FarmID]]&amp;CompilDonnées[[#This Row],[ModuleNumber]]&amp;CompilDonnées[[#This Row],[PlantationDate]])</f>
        <v>145145645</v>
      </c>
      <c r="O446" t="str">
        <f>CompilDonnées[[#This Row],[FarmID]]&amp;CompilDonnées[[#This Row],[ModuleNumber]]</f>
        <v>1451</v>
      </c>
      <c r="P446" t="str">
        <f>CompilDonnées[[#This Row],[Ref_Module]]&amp;CompilDonnées[[#This Row],[HarvestingDate]]</f>
        <v>145145695</v>
      </c>
    </row>
    <row r="447" spans="1:16">
      <c r="A447" s="5">
        <v>45645</v>
      </c>
      <c r="B447">
        <v>138</v>
      </c>
      <c r="C447" t="s">
        <v>8</v>
      </c>
      <c r="D447">
        <v>2</v>
      </c>
      <c r="E447">
        <v>100</v>
      </c>
      <c r="F447" t="s">
        <v>1</v>
      </c>
      <c r="G447" s="6">
        <v>45689</v>
      </c>
      <c r="H447">
        <v>44</v>
      </c>
      <c r="I447">
        <f>ROUND(CompilDonnées[[#This Row],[CultureDuration_days]]/7,0)</f>
        <v>6</v>
      </c>
      <c r="J447">
        <v>2078</v>
      </c>
      <c r="K447" t="str">
        <f>_xlfn.CONCAT(WEEKNUM(CompilDonnées[[#This Row],[PlantationDate]]), " ", YEAR(CompilDonnées[[#This Row],[PlantationDate]]))</f>
        <v>51 2024</v>
      </c>
      <c r="L447" t="str">
        <f>CONCATENATE(MONTH(CompilDonnées[[#This Row],[PlantationDate]])," ", YEAR(CompilDonnées[[#This Row],[PlantationDate]]))</f>
        <v>12 2024</v>
      </c>
      <c r="M447" t="str">
        <f>CONCATENATE(MONTH(CompilDonnées[[#This Row],[HarvestingDate]])," ", YEAR(CompilDonnées[[#This Row],[HarvestingDate]]))</f>
        <v>2 2025</v>
      </c>
      <c r="N447">
        <f>_xlfn.NUMBERVALUE(CompilDonnées[[#This Row],[FarmID]]&amp;CompilDonnées[[#This Row],[ModuleNumber]]&amp;CompilDonnées[[#This Row],[PlantationDate]])</f>
        <v>138245645</v>
      </c>
      <c r="O447" t="str">
        <f>CompilDonnées[[#This Row],[FarmID]]&amp;CompilDonnées[[#This Row],[ModuleNumber]]</f>
        <v>1382</v>
      </c>
      <c r="P447" t="str">
        <f>CompilDonnées[[#This Row],[Ref_Module]]&amp;CompilDonnées[[#This Row],[HarvestingDate]]</f>
        <v>138245689</v>
      </c>
    </row>
    <row r="448" spans="1:16">
      <c r="A448" s="5">
        <v>45645</v>
      </c>
      <c r="B448">
        <v>139</v>
      </c>
      <c r="C448" t="s">
        <v>103</v>
      </c>
      <c r="D448">
        <v>4</v>
      </c>
      <c r="E448">
        <v>100</v>
      </c>
      <c r="F448" t="s">
        <v>1</v>
      </c>
      <c r="G448" s="6">
        <v>45684</v>
      </c>
      <c r="H448">
        <v>39</v>
      </c>
      <c r="I448">
        <f>ROUND(CompilDonnées[[#This Row],[CultureDuration_days]]/7,0)</f>
        <v>6</v>
      </c>
      <c r="J448">
        <v>3094</v>
      </c>
      <c r="K448" t="str">
        <f>_xlfn.CONCAT(WEEKNUM(CompilDonnées[[#This Row],[PlantationDate]]), " ", YEAR(CompilDonnées[[#This Row],[PlantationDate]]))</f>
        <v>51 2024</v>
      </c>
      <c r="L448" t="str">
        <f>CONCATENATE(MONTH(CompilDonnées[[#This Row],[PlantationDate]])," ", YEAR(CompilDonnées[[#This Row],[PlantationDate]]))</f>
        <v>12 2024</v>
      </c>
      <c r="M448" t="str">
        <f>CONCATENATE(MONTH(CompilDonnées[[#This Row],[HarvestingDate]])," ", YEAR(CompilDonnées[[#This Row],[HarvestingDate]]))</f>
        <v>1 2025</v>
      </c>
      <c r="N448">
        <f>_xlfn.NUMBERVALUE(CompilDonnées[[#This Row],[FarmID]]&amp;CompilDonnées[[#This Row],[ModuleNumber]]&amp;CompilDonnées[[#This Row],[PlantationDate]])</f>
        <v>139445645</v>
      </c>
      <c r="O448" t="str">
        <f>CompilDonnées[[#This Row],[FarmID]]&amp;CompilDonnées[[#This Row],[ModuleNumber]]</f>
        <v>1394</v>
      </c>
      <c r="P448" t="str">
        <f>CompilDonnées[[#This Row],[Ref_Module]]&amp;CompilDonnées[[#This Row],[HarvestingDate]]</f>
        <v>139445684</v>
      </c>
    </row>
    <row r="449" spans="1:16">
      <c r="A449" s="5">
        <v>45645</v>
      </c>
      <c r="B449">
        <v>132</v>
      </c>
      <c r="C449" t="s">
        <v>93</v>
      </c>
      <c r="D449">
        <v>3</v>
      </c>
      <c r="E449">
        <v>100</v>
      </c>
      <c r="F449" t="s">
        <v>1</v>
      </c>
      <c r="G449" s="6">
        <v>45695</v>
      </c>
      <c r="H449">
        <v>50</v>
      </c>
      <c r="I449">
        <f>ROUND(CompilDonnées[[#This Row],[CultureDuration_days]]/7,0)</f>
        <v>7</v>
      </c>
      <c r="J449">
        <v>2882</v>
      </c>
      <c r="K449" t="str">
        <f>_xlfn.CONCAT(WEEKNUM(CompilDonnées[[#This Row],[PlantationDate]]), " ", YEAR(CompilDonnées[[#This Row],[PlantationDate]]))</f>
        <v>51 2024</v>
      </c>
      <c r="L449" t="str">
        <f>CONCATENATE(MONTH(CompilDonnées[[#This Row],[PlantationDate]])," ", YEAR(CompilDonnées[[#This Row],[PlantationDate]]))</f>
        <v>12 2024</v>
      </c>
      <c r="M449" t="str">
        <f>CONCATENATE(MONTH(CompilDonnées[[#This Row],[HarvestingDate]])," ", YEAR(CompilDonnées[[#This Row],[HarvestingDate]]))</f>
        <v>2 2025</v>
      </c>
      <c r="N449">
        <f>_xlfn.NUMBERVALUE(CompilDonnées[[#This Row],[FarmID]]&amp;CompilDonnées[[#This Row],[ModuleNumber]]&amp;CompilDonnées[[#This Row],[PlantationDate]])</f>
        <v>132345645</v>
      </c>
      <c r="O449" t="str">
        <f>CompilDonnées[[#This Row],[FarmID]]&amp;CompilDonnées[[#This Row],[ModuleNumber]]</f>
        <v>1323</v>
      </c>
      <c r="P449" t="str">
        <f>CompilDonnées[[#This Row],[Ref_Module]]&amp;CompilDonnées[[#This Row],[HarvestingDate]]</f>
        <v>132345695</v>
      </c>
    </row>
    <row r="450" spans="1:16">
      <c r="A450" s="5">
        <v>45645</v>
      </c>
      <c r="B450">
        <v>120</v>
      </c>
      <c r="C450" t="s">
        <v>100</v>
      </c>
      <c r="D450">
        <v>2</v>
      </c>
      <c r="E450">
        <v>100</v>
      </c>
      <c r="F450" t="s">
        <v>1</v>
      </c>
      <c r="G450" s="6">
        <v>45684</v>
      </c>
      <c r="H450">
        <v>39</v>
      </c>
      <c r="I450">
        <f>ROUND(CompilDonnées[[#This Row],[CultureDuration_days]]/7,0)</f>
        <v>6</v>
      </c>
      <c r="J450">
        <v>4205</v>
      </c>
      <c r="K450" t="str">
        <f>_xlfn.CONCAT(WEEKNUM(CompilDonnées[[#This Row],[PlantationDate]]), " ", YEAR(CompilDonnées[[#This Row],[PlantationDate]]))</f>
        <v>51 2024</v>
      </c>
      <c r="L450" t="str">
        <f>CONCATENATE(MONTH(CompilDonnées[[#This Row],[PlantationDate]])," ", YEAR(CompilDonnées[[#This Row],[PlantationDate]]))</f>
        <v>12 2024</v>
      </c>
      <c r="M450" t="str">
        <f>CONCATENATE(MONTH(CompilDonnées[[#This Row],[HarvestingDate]])," ", YEAR(CompilDonnées[[#This Row],[HarvestingDate]]))</f>
        <v>1 2025</v>
      </c>
      <c r="N450">
        <f>_xlfn.NUMBERVALUE(CompilDonnées[[#This Row],[FarmID]]&amp;CompilDonnées[[#This Row],[ModuleNumber]]&amp;CompilDonnées[[#This Row],[PlantationDate]])</f>
        <v>120245645</v>
      </c>
      <c r="O450" t="str">
        <f>CompilDonnées[[#This Row],[FarmID]]&amp;CompilDonnées[[#This Row],[ModuleNumber]]</f>
        <v>1202</v>
      </c>
      <c r="P450" t="str">
        <f>CompilDonnées[[#This Row],[Ref_Module]]&amp;CompilDonnées[[#This Row],[HarvestingDate]]</f>
        <v>120245684</v>
      </c>
    </row>
    <row r="451" spans="1:16">
      <c r="A451" s="5">
        <v>45645</v>
      </c>
      <c r="B451">
        <v>117</v>
      </c>
      <c r="C451" t="s">
        <v>11</v>
      </c>
      <c r="D451">
        <v>3</v>
      </c>
      <c r="E451">
        <v>100</v>
      </c>
      <c r="F451" t="s">
        <v>1</v>
      </c>
      <c r="G451" s="6">
        <v>45689</v>
      </c>
      <c r="H451">
        <v>44</v>
      </c>
      <c r="I451">
        <f>ROUND(CompilDonnées[[#This Row],[CultureDuration_days]]/7,0)</f>
        <v>6</v>
      </c>
      <c r="J451">
        <v>2604</v>
      </c>
      <c r="K451" t="str">
        <f>_xlfn.CONCAT(WEEKNUM(CompilDonnées[[#This Row],[PlantationDate]]), " ", YEAR(CompilDonnées[[#This Row],[PlantationDate]]))</f>
        <v>51 2024</v>
      </c>
      <c r="L451" t="str">
        <f>CONCATENATE(MONTH(CompilDonnées[[#This Row],[PlantationDate]])," ", YEAR(CompilDonnées[[#This Row],[PlantationDate]]))</f>
        <v>12 2024</v>
      </c>
      <c r="M451" t="str">
        <f>CONCATENATE(MONTH(CompilDonnées[[#This Row],[HarvestingDate]])," ", YEAR(CompilDonnées[[#This Row],[HarvestingDate]]))</f>
        <v>2 2025</v>
      </c>
      <c r="N451">
        <f>_xlfn.NUMBERVALUE(CompilDonnées[[#This Row],[FarmID]]&amp;CompilDonnées[[#This Row],[ModuleNumber]]&amp;CompilDonnées[[#This Row],[PlantationDate]])</f>
        <v>117345645</v>
      </c>
      <c r="O451" t="str">
        <f>CompilDonnées[[#This Row],[FarmID]]&amp;CompilDonnées[[#This Row],[ModuleNumber]]</f>
        <v>1173</v>
      </c>
      <c r="P451" t="str">
        <f>CompilDonnées[[#This Row],[Ref_Module]]&amp;CompilDonnées[[#This Row],[HarvestingDate]]</f>
        <v>117345689</v>
      </c>
    </row>
    <row r="452" spans="1:16">
      <c r="A452" s="5">
        <v>45645</v>
      </c>
      <c r="B452">
        <v>110</v>
      </c>
      <c r="C452" t="s">
        <v>14</v>
      </c>
      <c r="D452">
        <v>2</v>
      </c>
      <c r="E452">
        <v>100</v>
      </c>
      <c r="F452" t="s">
        <v>1</v>
      </c>
      <c r="G452" s="6">
        <v>45695</v>
      </c>
      <c r="H452">
        <v>50</v>
      </c>
      <c r="I452">
        <f>ROUND(CompilDonnées[[#This Row],[CultureDuration_days]]/7,0)</f>
        <v>7</v>
      </c>
      <c r="J452">
        <v>3171</v>
      </c>
      <c r="K452" t="str">
        <f>_xlfn.CONCAT(WEEKNUM(CompilDonnées[[#This Row],[PlantationDate]]), " ", YEAR(CompilDonnées[[#This Row],[PlantationDate]]))</f>
        <v>51 2024</v>
      </c>
      <c r="L452" t="str">
        <f>CONCATENATE(MONTH(CompilDonnées[[#This Row],[PlantationDate]])," ", YEAR(CompilDonnées[[#This Row],[PlantationDate]]))</f>
        <v>12 2024</v>
      </c>
      <c r="M452" t="str">
        <f>CONCATENATE(MONTH(CompilDonnées[[#This Row],[HarvestingDate]])," ", YEAR(CompilDonnées[[#This Row],[HarvestingDate]]))</f>
        <v>2 2025</v>
      </c>
      <c r="N452">
        <f>_xlfn.NUMBERVALUE(CompilDonnées[[#This Row],[FarmID]]&amp;CompilDonnées[[#This Row],[ModuleNumber]]&amp;CompilDonnées[[#This Row],[PlantationDate]])</f>
        <v>110245645</v>
      </c>
      <c r="O452" t="str">
        <f>CompilDonnées[[#This Row],[FarmID]]&amp;CompilDonnées[[#This Row],[ModuleNumber]]</f>
        <v>1102</v>
      </c>
      <c r="P452" t="str">
        <f>CompilDonnées[[#This Row],[Ref_Module]]&amp;CompilDonnées[[#This Row],[HarvestingDate]]</f>
        <v>110245695</v>
      </c>
    </row>
    <row r="453" spans="1:16">
      <c r="A453" s="5">
        <v>45645</v>
      </c>
      <c r="B453">
        <v>111</v>
      </c>
      <c r="C453" t="s">
        <v>41</v>
      </c>
      <c r="D453">
        <v>3</v>
      </c>
      <c r="E453">
        <v>100</v>
      </c>
      <c r="F453" t="s">
        <v>1</v>
      </c>
      <c r="G453" s="6">
        <v>45695</v>
      </c>
      <c r="H453">
        <v>50</v>
      </c>
      <c r="I453">
        <f>ROUND(CompilDonnées[[#This Row],[CultureDuration_days]]/7,0)</f>
        <v>7</v>
      </c>
      <c r="J453">
        <v>3552</v>
      </c>
      <c r="K453" t="str">
        <f>_xlfn.CONCAT(WEEKNUM(CompilDonnées[[#This Row],[PlantationDate]]), " ", YEAR(CompilDonnées[[#This Row],[PlantationDate]]))</f>
        <v>51 2024</v>
      </c>
      <c r="L453" t="str">
        <f>CONCATENATE(MONTH(CompilDonnées[[#This Row],[PlantationDate]])," ", YEAR(CompilDonnées[[#This Row],[PlantationDate]]))</f>
        <v>12 2024</v>
      </c>
      <c r="M453" t="str">
        <f>CONCATENATE(MONTH(CompilDonnées[[#This Row],[HarvestingDate]])," ", YEAR(CompilDonnées[[#This Row],[HarvestingDate]]))</f>
        <v>2 2025</v>
      </c>
      <c r="N453">
        <f>_xlfn.NUMBERVALUE(CompilDonnées[[#This Row],[FarmID]]&amp;CompilDonnées[[#This Row],[ModuleNumber]]&amp;CompilDonnées[[#This Row],[PlantationDate]])</f>
        <v>111345645</v>
      </c>
      <c r="O453" t="str">
        <f>CompilDonnées[[#This Row],[FarmID]]&amp;CompilDonnées[[#This Row],[ModuleNumber]]</f>
        <v>1113</v>
      </c>
      <c r="P453" t="str">
        <f>CompilDonnées[[#This Row],[Ref_Module]]&amp;CompilDonnées[[#This Row],[HarvestingDate]]</f>
        <v>111345695</v>
      </c>
    </row>
    <row r="454" spans="1:16">
      <c r="A454" s="5">
        <v>45645</v>
      </c>
      <c r="B454">
        <v>112</v>
      </c>
      <c r="C454" t="s">
        <v>15</v>
      </c>
      <c r="D454">
        <v>3</v>
      </c>
      <c r="E454">
        <v>100</v>
      </c>
      <c r="F454" t="s">
        <v>1</v>
      </c>
      <c r="G454" s="6">
        <v>45690</v>
      </c>
      <c r="H454">
        <v>45</v>
      </c>
      <c r="I454">
        <f>ROUND(CompilDonnées[[#This Row],[CultureDuration_days]]/7,0)</f>
        <v>6</v>
      </c>
      <c r="J454">
        <v>4036</v>
      </c>
      <c r="K454" t="str">
        <f>_xlfn.CONCAT(WEEKNUM(CompilDonnées[[#This Row],[PlantationDate]]), " ", YEAR(CompilDonnées[[#This Row],[PlantationDate]]))</f>
        <v>51 2024</v>
      </c>
      <c r="L454" t="str">
        <f>CONCATENATE(MONTH(CompilDonnées[[#This Row],[PlantationDate]])," ", YEAR(CompilDonnées[[#This Row],[PlantationDate]]))</f>
        <v>12 2024</v>
      </c>
      <c r="M454" t="str">
        <f>CONCATENATE(MONTH(CompilDonnées[[#This Row],[HarvestingDate]])," ", YEAR(CompilDonnées[[#This Row],[HarvestingDate]]))</f>
        <v>2 2025</v>
      </c>
      <c r="N454">
        <f>_xlfn.NUMBERVALUE(CompilDonnées[[#This Row],[FarmID]]&amp;CompilDonnées[[#This Row],[ModuleNumber]]&amp;CompilDonnées[[#This Row],[PlantationDate]])</f>
        <v>112345645</v>
      </c>
      <c r="O454" t="str">
        <f>CompilDonnées[[#This Row],[FarmID]]&amp;CompilDonnées[[#This Row],[ModuleNumber]]</f>
        <v>1123</v>
      </c>
      <c r="P454" t="str">
        <f>CompilDonnées[[#This Row],[Ref_Module]]&amp;CompilDonnées[[#This Row],[HarvestingDate]]</f>
        <v>112345690</v>
      </c>
    </row>
    <row r="455" spans="1:16">
      <c r="A455" s="5">
        <v>45645</v>
      </c>
      <c r="B455">
        <v>141</v>
      </c>
      <c r="C455" t="s">
        <v>3</v>
      </c>
      <c r="D455">
        <v>4</v>
      </c>
      <c r="E455">
        <v>52</v>
      </c>
      <c r="F455" t="s">
        <v>1</v>
      </c>
      <c r="G455" s="6">
        <v>45673</v>
      </c>
      <c r="H455">
        <v>28</v>
      </c>
      <c r="I455">
        <f>ROUND(CompilDonnées[[#This Row],[CultureDuration_days]]/7,0)</f>
        <v>4</v>
      </c>
      <c r="J455">
        <v>835</v>
      </c>
      <c r="K455" t="str">
        <f>_xlfn.CONCAT(WEEKNUM(CompilDonnées[[#This Row],[PlantationDate]]), " ", YEAR(CompilDonnées[[#This Row],[PlantationDate]]))</f>
        <v>51 2024</v>
      </c>
      <c r="L455" t="str">
        <f>CONCATENATE(MONTH(CompilDonnées[[#This Row],[PlantationDate]])," ", YEAR(CompilDonnées[[#This Row],[PlantationDate]]))</f>
        <v>12 2024</v>
      </c>
      <c r="M455" t="str">
        <f>CONCATENATE(MONTH(CompilDonnées[[#This Row],[HarvestingDate]])," ", YEAR(CompilDonnées[[#This Row],[HarvestingDate]]))</f>
        <v>1 2025</v>
      </c>
      <c r="N455">
        <f>_xlfn.NUMBERVALUE(CompilDonnées[[#This Row],[FarmID]]&amp;CompilDonnées[[#This Row],[ModuleNumber]]&amp;CompilDonnées[[#This Row],[PlantationDate]])</f>
        <v>141445645</v>
      </c>
      <c r="O455" t="str">
        <f>CompilDonnées[[#This Row],[FarmID]]&amp;CompilDonnées[[#This Row],[ModuleNumber]]</f>
        <v>1414</v>
      </c>
      <c r="P455" t="str">
        <f>CompilDonnées[[#This Row],[Ref_Module]]&amp;CompilDonnées[[#This Row],[HarvestingDate]]</f>
        <v>141445673</v>
      </c>
    </row>
    <row r="456" spans="1:16">
      <c r="A456" s="5">
        <v>45645</v>
      </c>
      <c r="B456">
        <v>141</v>
      </c>
      <c r="C456" t="s">
        <v>3</v>
      </c>
      <c r="D456">
        <v>5</v>
      </c>
      <c r="E456">
        <v>68</v>
      </c>
      <c r="F456" t="s">
        <v>1</v>
      </c>
      <c r="G456" s="6">
        <v>45673</v>
      </c>
      <c r="H456">
        <v>28</v>
      </c>
      <c r="I456">
        <f>ROUND(CompilDonnées[[#This Row],[CultureDuration_days]]/7,0)</f>
        <v>4</v>
      </c>
      <c r="J456">
        <v>1042</v>
      </c>
      <c r="K456" t="str">
        <f>_xlfn.CONCAT(WEEKNUM(CompilDonnées[[#This Row],[PlantationDate]]), " ", YEAR(CompilDonnées[[#This Row],[PlantationDate]]))</f>
        <v>51 2024</v>
      </c>
      <c r="L456" t="str">
        <f>CONCATENATE(MONTH(CompilDonnées[[#This Row],[PlantationDate]])," ", YEAR(CompilDonnées[[#This Row],[PlantationDate]]))</f>
        <v>12 2024</v>
      </c>
      <c r="M456" t="str">
        <f>CONCATENATE(MONTH(CompilDonnées[[#This Row],[HarvestingDate]])," ", YEAR(CompilDonnées[[#This Row],[HarvestingDate]]))</f>
        <v>1 2025</v>
      </c>
      <c r="N456">
        <f>_xlfn.NUMBERVALUE(CompilDonnées[[#This Row],[FarmID]]&amp;CompilDonnées[[#This Row],[ModuleNumber]]&amp;CompilDonnées[[#This Row],[PlantationDate]])</f>
        <v>141545645</v>
      </c>
      <c r="O456" t="str">
        <f>CompilDonnées[[#This Row],[FarmID]]&amp;CompilDonnées[[#This Row],[ModuleNumber]]</f>
        <v>1415</v>
      </c>
      <c r="P456" t="str">
        <f>CompilDonnées[[#This Row],[Ref_Module]]&amp;CompilDonnées[[#This Row],[HarvestingDate]]</f>
        <v>141545673</v>
      </c>
    </row>
    <row r="457" spans="1:16">
      <c r="A457" s="5">
        <v>45645</v>
      </c>
      <c r="B457">
        <v>141</v>
      </c>
      <c r="C457" t="s">
        <v>3</v>
      </c>
      <c r="D457">
        <v>6</v>
      </c>
      <c r="E457">
        <v>100</v>
      </c>
      <c r="F457" t="s">
        <v>1</v>
      </c>
      <c r="G457" s="6">
        <v>45673</v>
      </c>
      <c r="H457">
        <v>28</v>
      </c>
      <c r="I457">
        <f>ROUND(CompilDonnées[[#This Row],[CultureDuration_days]]/7,0)</f>
        <v>4</v>
      </c>
      <c r="J457">
        <v>1153</v>
      </c>
      <c r="K457" t="str">
        <f>_xlfn.CONCAT(WEEKNUM(CompilDonnées[[#This Row],[PlantationDate]]), " ", YEAR(CompilDonnées[[#This Row],[PlantationDate]]))</f>
        <v>51 2024</v>
      </c>
      <c r="L457" t="str">
        <f>CONCATENATE(MONTH(CompilDonnées[[#This Row],[PlantationDate]])," ", YEAR(CompilDonnées[[#This Row],[PlantationDate]]))</f>
        <v>12 2024</v>
      </c>
      <c r="M457" t="str">
        <f>CONCATENATE(MONTH(CompilDonnées[[#This Row],[HarvestingDate]])," ", YEAR(CompilDonnées[[#This Row],[HarvestingDate]]))</f>
        <v>1 2025</v>
      </c>
      <c r="N457">
        <f>_xlfn.NUMBERVALUE(CompilDonnées[[#This Row],[FarmID]]&amp;CompilDonnées[[#This Row],[ModuleNumber]]&amp;CompilDonnées[[#This Row],[PlantationDate]])</f>
        <v>141645645</v>
      </c>
      <c r="O457" t="str">
        <f>CompilDonnées[[#This Row],[FarmID]]&amp;CompilDonnées[[#This Row],[ModuleNumber]]</f>
        <v>1416</v>
      </c>
      <c r="P457" t="str">
        <f>CompilDonnées[[#This Row],[Ref_Module]]&amp;CompilDonnées[[#This Row],[HarvestingDate]]</f>
        <v>141645673</v>
      </c>
    </row>
    <row r="458" spans="1:16">
      <c r="A458" s="5">
        <v>45645</v>
      </c>
      <c r="B458">
        <v>105</v>
      </c>
      <c r="C458" t="s">
        <v>3</v>
      </c>
      <c r="D458">
        <v>4</v>
      </c>
      <c r="E458">
        <v>52</v>
      </c>
      <c r="F458" t="s">
        <v>1</v>
      </c>
      <c r="G458" s="6">
        <v>45678</v>
      </c>
      <c r="H458">
        <v>33</v>
      </c>
      <c r="I458">
        <f>ROUND(CompilDonnées[[#This Row],[CultureDuration_days]]/7,0)</f>
        <v>5</v>
      </c>
      <c r="J458">
        <v>1198</v>
      </c>
      <c r="K458" t="str">
        <f>_xlfn.CONCAT(WEEKNUM(CompilDonnées[[#This Row],[PlantationDate]]), " ", YEAR(CompilDonnées[[#This Row],[PlantationDate]]))</f>
        <v>51 2024</v>
      </c>
      <c r="L458" t="str">
        <f>CONCATENATE(MONTH(CompilDonnées[[#This Row],[PlantationDate]])," ", YEAR(CompilDonnées[[#This Row],[PlantationDate]]))</f>
        <v>12 2024</v>
      </c>
      <c r="M458" t="str">
        <f>CONCATENATE(MONTH(CompilDonnées[[#This Row],[HarvestingDate]])," ", YEAR(CompilDonnées[[#This Row],[HarvestingDate]]))</f>
        <v>1 2025</v>
      </c>
      <c r="N458">
        <f>_xlfn.NUMBERVALUE(CompilDonnées[[#This Row],[FarmID]]&amp;CompilDonnées[[#This Row],[ModuleNumber]]&amp;CompilDonnées[[#This Row],[PlantationDate]])</f>
        <v>105445645</v>
      </c>
      <c r="O458" t="str">
        <f>CompilDonnées[[#This Row],[FarmID]]&amp;CompilDonnées[[#This Row],[ModuleNumber]]</f>
        <v>1054</v>
      </c>
      <c r="P458" t="str">
        <f>CompilDonnées[[#This Row],[Ref_Module]]&amp;CompilDonnées[[#This Row],[HarvestingDate]]</f>
        <v>105445678</v>
      </c>
    </row>
    <row r="459" spans="1:16">
      <c r="A459" s="5">
        <v>45645</v>
      </c>
      <c r="B459">
        <v>105</v>
      </c>
      <c r="C459" t="s">
        <v>3</v>
      </c>
      <c r="D459">
        <v>5</v>
      </c>
      <c r="E459">
        <v>68</v>
      </c>
      <c r="F459" t="s">
        <v>1</v>
      </c>
      <c r="G459" s="6">
        <v>45679</v>
      </c>
      <c r="H459">
        <v>34</v>
      </c>
      <c r="I459">
        <f>ROUND(CompilDonnées[[#This Row],[CultureDuration_days]]/7,0)</f>
        <v>5</v>
      </c>
      <c r="J459">
        <v>1162</v>
      </c>
      <c r="K459" t="str">
        <f>_xlfn.CONCAT(WEEKNUM(CompilDonnées[[#This Row],[PlantationDate]]), " ", YEAR(CompilDonnées[[#This Row],[PlantationDate]]))</f>
        <v>51 2024</v>
      </c>
      <c r="L459" t="str">
        <f>CONCATENATE(MONTH(CompilDonnées[[#This Row],[PlantationDate]])," ", YEAR(CompilDonnées[[#This Row],[PlantationDate]]))</f>
        <v>12 2024</v>
      </c>
      <c r="M459" t="str">
        <f>CONCATENATE(MONTH(CompilDonnées[[#This Row],[HarvestingDate]])," ", YEAR(CompilDonnées[[#This Row],[HarvestingDate]]))</f>
        <v>1 2025</v>
      </c>
      <c r="N459">
        <f>_xlfn.NUMBERVALUE(CompilDonnées[[#This Row],[FarmID]]&amp;CompilDonnées[[#This Row],[ModuleNumber]]&amp;CompilDonnées[[#This Row],[PlantationDate]])</f>
        <v>105545645</v>
      </c>
      <c r="O459" t="str">
        <f>CompilDonnées[[#This Row],[FarmID]]&amp;CompilDonnées[[#This Row],[ModuleNumber]]</f>
        <v>1055</v>
      </c>
      <c r="P459" t="str">
        <f>CompilDonnées[[#This Row],[Ref_Module]]&amp;CompilDonnées[[#This Row],[HarvestingDate]]</f>
        <v>105545679</v>
      </c>
    </row>
    <row r="460" spans="1:16">
      <c r="A460" s="5">
        <v>45645</v>
      </c>
      <c r="B460">
        <v>105</v>
      </c>
      <c r="C460" t="s">
        <v>3</v>
      </c>
      <c r="D460">
        <v>6</v>
      </c>
      <c r="E460">
        <v>100</v>
      </c>
      <c r="F460" t="s">
        <v>1</v>
      </c>
      <c r="G460" s="6">
        <v>45680</v>
      </c>
      <c r="H460">
        <v>35</v>
      </c>
      <c r="I460">
        <f>ROUND(CompilDonnées[[#This Row],[CultureDuration_days]]/7,0)</f>
        <v>5</v>
      </c>
      <c r="J460">
        <v>2066</v>
      </c>
      <c r="K460" t="str">
        <f>_xlfn.CONCAT(WEEKNUM(CompilDonnées[[#This Row],[PlantationDate]]), " ", YEAR(CompilDonnées[[#This Row],[PlantationDate]]))</f>
        <v>51 2024</v>
      </c>
      <c r="L460" t="str">
        <f>CONCATENATE(MONTH(CompilDonnées[[#This Row],[PlantationDate]])," ", YEAR(CompilDonnées[[#This Row],[PlantationDate]]))</f>
        <v>12 2024</v>
      </c>
      <c r="M460" t="str">
        <f>CONCATENATE(MONTH(CompilDonnées[[#This Row],[HarvestingDate]])," ", YEAR(CompilDonnées[[#This Row],[HarvestingDate]]))</f>
        <v>1 2025</v>
      </c>
      <c r="N460">
        <f>_xlfn.NUMBERVALUE(CompilDonnées[[#This Row],[FarmID]]&amp;CompilDonnées[[#This Row],[ModuleNumber]]&amp;CompilDonnées[[#This Row],[PlantationDate]])</f>
        <v>105645645</v>
      </c>
      <c r="O460" t="str">
        <f>CompilDonnées[[#This Row],[FarmID]]&amp;CompilDonnées[[#This Row],[ModuleNumber]]</f>
        <v>1056</v>
      </c>
      <c r="P460" t="str">
        <f>CompilDonnées[[#This Row],[Ref_Module]]&amp;CompilDonnées[[#This Row],[HarvestingDate]]</f>
        <v>105645680</v>
      </c>
    </row>
    <row r="461" spans="1:16">
      <c r="A461" s="5">
        <v>45645</v>
      </c>
      <c r="B461">
        <v>107</v>
      </c>
      <c r="C461" t="s">
        <v>23</v>
      </c>
      <c r="D461">
        <v>5</v>
      </c>
      <c r="E461">
        <v>100</v>
      </c>
      <c r="F461" t="s">
        <v>1</v>
      </c>
      <c r="G461" s="6">
        <v>45689</v>
      </c>
      <c r="H461">
        <v>44</v>
      </c>
      <c r="I461">
        <f>ROUND(CompilDonnées[[#This Row],[CultureDuration_days]]/7,0)</f>
        <v>6</v>
      </c>
      <c r="J461">
        <v>3660</v>
      </c>
      <c r="K461" t="str">
        <f>_xlfn.CONCAT(WEEKNUM(CompilDonnées[[#This Row],[PlantationDate]]), " ", YEAR(CompilDonnées[[#This Row],[PlantationDate]]))</f>
        <v>51 2024</v>
      </c>
      <c r="L461" t="str">
        <f>CONCATENATE(MONTH(CompilDonnées[[#This Row],[PlantationDate]])," ", YEAR(CompilDonnées[[#This Row],[PlantationDate]]))</f>
        <v>12 2024</v>
      </c>
      <c r="M461" t="str">
        <f>CONCATENATE(MONTH(CompilDonnées[[#This Row],[HarvestingDate]])," ", YEAR(CompilDonnées[[#This Row],[HarvestingDate]]))</f>
        <v>2 2025</v>
      </c>
      <c r="N461">
        <f>_xlfn.NUMBERVALUE(CompilDonnées[[#This Row],[FarmID]]&amp;CompilDonnées[[#This Row],[ModuleNumber]]&amp;CompilDonnées[[#This Row],[PlantationDate]])</f>
        <v>107545645</v>
      </c>
      <c r="O461" t="str">
        <f>CompilDonnées[[#This Row],[FarmID]]&amp;CompilDonnées[[#This Row],[ModuleNumber]]</f>
        <v>1075</v>
      </c>
      <c r="P461" t="str">
        <f>CompilDonnées[[#This Row],[Ref_Module]]&amp;CompilDonnées[[#This Row],[HarvestingDate]]</f>
        <v>107545689</v>
      </c>
    </row>
    <row r="462" spans="1:16">
      <c r="A462" s="5">
        <v>45646</v>
      </c>
      <c r="B462">
        <v>23</v>
      </c>
      <c r="C462" t="s">
        <v>44</v>
      </c>
      <c r="D462">
        <v>5</v>
      </c>
      <c r="E462">
        <v>100</v>
      </c>
      <c r="F462" t="s">
        <v>1</v>
      </c>
      <c r="G462" s="6">
        <v>45687</v>
      </c>
      <c r="H462">
        <v>41</v>
      </c>
      <c r="I462">
        <f>ROUND(CompilDonnées[[#This Row],[CultureDuration_days]]/7,0)</f>
        <v>6</v>
      </c>
      <c r="J462">
        <v>2864</v>
      </c>
      <c r="K462" t="str">
        <f>_xlfn.CONCAT(WEEKNUM(CompilDonnées[[#This Row],[PlantationDate]]), " ", YEAR(CompilDonnées[[#This Row],[PlantationDate]]))</f>
        <v>51 2024</v>
      </c>
      <c r="L462" t="str">
        <f>CONCATENATE(MONTH(CompilDonnées[[#This Row],[PlantationDate]])," ", YEAR(CompilDonnées[[#This Row],[PlantationDate]]))</f>
        <v>12 2024</v>
      </c>
      <c r="M462" t="str">
        <f>CONCATENATE(MONTH(CompilDonnées[[#This Row],[HarvestingDate]])," ", YEAR(CompilDonnées[[#This Row],[HarvestingDate]]))</f>
        <v>1 2025</v>
      </c>
      <c r="N462">
        <f>_xlfn.NUMBERVALUE(CompilDonnées[[#This Row],[FarmID]]&amp;CompilDonnées[[#This Row],[ModuleNumber]]&amp;CompilDonnées[[#This Row],[PlantationDate]])</f>
        <v>23545646</v>
      </c>
      <c r="O462" t="str">
        <f>CompilDonnées[[#This Row],[FarmID]]&amp;CompilDonnées[[#This Row],[ModuleNumber]]</f>
        <v>235</v>
      </c>
      <c r="P462" t="str">
        <f>CompilDonnées[[#This Row],[Ref_Module]]&amp;CompilDonnées[[#This Row],[HarvestingDate]]</f>
        <v>23545687</v>
      </c>
    </row>
    <row r="463" spans="1:16">
      <c r="A463" s="5">
        <v>45646</v>
      </c>
      <c r="B463">
        <v>32</v>
      </c>
      <c r="C463" t="s">
        <v>25</v>
      </c>
      <c r="D463">
        <v>1</v>
      </c>
      <c r="E463">
        <v>100</v>
      </c>
      <c r="F463" t="s">
        <v>1</v>
      </c>
      <c r="G463" s="6">
        <v>45687</v>
      </c>
      <c r="H463">
        <v>41</v>
      </c>
      <c r="I463">
        <f>ROUND(CompilDonnées[[#This Row],[CultureDuration_days]]/7,0)</f>
        <v>6</v>
      </c>
      <c r="J463">
        <v>4354</v>
      </c>
      <c r="K463" t="str">
        <f>_xlfn.CONCAT(WEEKNUM(CompilDonnées[[#This Row],[PlantationDate]]), " ", YEAR(CompilDonnées[[#This Row],[PlantationDate]]))</f>
        <v>51 2024</v>
      </c>
      <c r="L463" t="str">
        <f>CONCATENATE(MONTH(CompilDonnées[[#This Row],[PlantationDate]])," ", YEAR(CompilDonnées[[#This Row],[PlantationDate]]))</f>
        <v>12 2024</v>
      </c>
      <c r="M463" t="str">
        <f>CONCATENATE(MONTH(CompilDonnées[[#This Row],[HarvestingDate]])," ", YEAR(CompilDonnées[[#This Row],[HarvestingDate]]))</f>
        <v>1 2025</v>
      </c>
      <c r="N463">
        <f>_xlfn.NUMBERVALUE(CompilDonnées[[#This Row],[FarmID]]&amp;CompilDonnées[[#This Row],[ModuleNumber]]&amp;CompilDonnées[[#This Row],[PlantationDate]])</f>
        <v>32145646</v>
      </c>
      <c r="O463" t="str">
        <f>CompilDonnées[[#This Row],[FarmID]]&amp;CompilDonnées[[#This Row],[ModuleNumber]]</f>
        <v>321</v>
      </c>
      <c r="P463" t="str">
        <f>CompilDonnées[[#This Row],[Ref_Module]]&amp;CompilDonnées[[#This Row],[HarvestingDate]]</f>
        <v>32145687</v>
      </c>
    </row>
    <row r="464" spans="1:16">
      <c r="A464" s="5">
        <v>45646</v>
      </c>
      <c r="B464">
        <v>30</v>
      </c>
      <c r="C464" t="s">
        <v>4</v>
      </c>
      <c r="D464">
        <v>1</v>
      </c>
      <c r="E464">
        <v>100</v>
      </c>
      <c r="F464" t="s">
        <v>1</v>
      </c>
      <c r="G464" s="6">
        <v>45693</v>
      </c>
      <c r="H464">
        <v>47</v>
      </c>
      <c r="I464">
        <f>ROUND(CompilDonnées[[#This Row],[CultureDuration_days]]/7,0)</f>
        <v>7</v>
      </c>
      <c r="J464">
        <v>2989</v>
      </c>
      <c r="K464" t="str">
        <f>_xlfn.CONCAT(WEEKNUM(CompilDonnées[[#This Row],[PlantationDate]]), " ", YEAR(CompilDonnées[[#This Row],[PlantationDate]]))</f>
        <v>51 2024</v>
      </c>
      <c r="L464" t="str">
        <f>CONCATENATE(MONTH(CompilDonnées[[#This Row],[PlantationDate]])," ", YEAR(CompilDonnées[[#This Row],[PlantationDate]]))</f>
        <v>12 2024</v>
      </c>
      <c r="M464" t="str">
        <f>CONCATENATE(MONTH(CompilDonnées[[#This Row],[HarvestingDate]])," ", YEAR(CompilDonnées[[#This Row],[HarvestingDate]]))</f>
        <v>2 2025</v>
      </c>
      <c r="N464">
        <f>_xlfn.NUMBERVALUE(CompilDonnées[[#This Row],[FarmID]]&amp;CompilDonnées[[#This Row],[ModuleNumber]]&amp;CompilDonnées[[#This Row],[PlantationDate]])</f>
        <v>30145646</v>
      </c>
      <c r="O464" t="str">
        <f>CompilDonnées[[#This Row],[FarmID]]&amp;CompilDonnées[[#This Row],[ModuleNumber]]</f>
        <v>301</v>
      </c>
      <c r="P464" t="str">
        <f>CompilDonnées[[#This Row],[Ref_Module]]&amp;CompilDonnées[[#This Row],[HarvestingDate]]</f>
        <v>30145693</v>
      </c>
    </row>
    <row r="465" spans="1:16">
      <c r="A465" s="5">
        <v>45646</v>
      </c>
      <c r="B465">
        <v>29</v>
      </c>
      <c r="C465" t="s">
        <v>2</v>
      </c>
      <c r="D465">
        <v>1</v>
      </c>
      <c r="E465">
        <v>100</v>
      </c>
      <c r="F465" t="s">
        <v>1</v>
      </c>
      <c r="G465" s="6">
        <v>45693</v>
      </c>
      <c r="H465">
        <v>47</v>
      </c>
      <c r="I465">
        <f>ROUND(CompilDonnées[[#This Row],[CultureDuration_days]]/7,0)</f>
        <v>7</v>
      </c>
      <c r="J465">
        <v>2764</v>
      </c>
      <c r="K465" t="str">
        <f>_xlfn.CONCAT(WEEKNUM(CompilDonnées[[#This Row],[PlantationDate]]), " ", YEAR(CompilDonnées[[#This Row],[PlantationDate]]))</f>
        <v>51 2024</v>
      </c>
      <c r="L465" t="str">
        <f>CONCATENATE(MONTH(CompilDonnées[[#This Row],[PlantationDate]])," ", YEAR(CompilDonnées[[#This Row],[PlantationDate]]))</f>
        <v>12 2024</v>
      </c>
      <c r="M465" t="str">
        <f>CONCATENATE(MONTH(CompilDonnées[[#This Row],[HarvestingDate]])," ", YEAR(CompilDonnées[[#This Row],[HarvestingDate]]))</f>
        <v>2 2025</v>
      </c>
      <c r="N465">
        <f>_xlfn.NUMBERVALUE(CompilDonnées[[#This Row],[FarmID]]&amp;CompilDonnées[[#This Row],[ModuleNumber]]&amp;CompilDonnées[[#This Row],[PlantationDate]])</f>
        <v>29145646</v>
      </c>
      <c r="O465" t="str">
        <f>CompilDonnées[[#This Row],[FarmID]]&amp;CompilDonnées[[#This Row],[ModuleNumber]]</f>
        <v>291</v>
      </c>
      <c r="P465" t="str">
        <f>CompilDonnées[[#This Row],[Ref_Module]]&amp;CompilDonnées[[#This Row],[HarvestingDate]]</f>
        <v>29145693</v>
      </c>
    </row>
    <row r="466" spans="1:16">
      <c r="A466" s="5">
        <v>45646</v>
      </c>
      <c r="B466">
        <v>38</v>
      </c>
      <c r="C466" t="s">
        <v>34</v>
      </c>
      <c r="D466">
        <v>4</v>
      </c>
      <c r="E466">
        <v>100</v>
      </c>
      <c r="F466" t="s">
        <v>1</v>
      </c>
      <c r="G466" s="6">
        <v>45687</v>
      </c>
      <c r="H466">
        <v>41</v>
      </c>
      <c r="I466">
        <f>ROUND(CompilDonnées[[#This Row],[CultureDuration_days]]/7,0)</f>
        <v>6</v>
      </c>
      <c r="J466">
        <v>3750</v>
      </c>
      <c r="K466" t="str">
        <f>_xlfn.CONCAT(WEEKNUM(CompilDonnées[[#This Row],[PlantationDate]]), " ", YEAR(CompilDonnées[[#This Row],[PlantationDate]]))</f>
        <v>51 2024</v>
      </c>
      <c r="L466" t="str">
        <f>CONCATENATE(MONTH(CompilDonnées[[#This Row],[PlantationDate]])," ", YEAR(CompilDonnées[[#This Row],[PlantationDate]]))</f>
        <v>12 2024</v>
      </c>
      <c r="M466" t="str">
        <f>CONCATENATE(MONTH(CompilDonnées[[#This Row],[HarvestingDate]])," ", YEAR(CompilDonnées[[#This Row],[HarvestingDate]]))</f>
        <v>1 2025</v>
      </c>
      <c r="N466">
        <f>_xlfn.NUMBERVALUE(CompilDonnées[[#This Row],[FarmID]]&amp;CompilDonnées[[#This Row],[ModuleNumber]]&amp;CompilDonnées[[#This Row],[PlantationDate]])</f>
        <v>38445646</v>
      </c>
      <c r="O466" t="str">
        <f>CompilDonnées[[#This Row],[FarmID]]&amp;CompilDonnées[[#This Row],[ModuleNumber]]</f>
        <v>384</v>
      </c>
      <c r="P466" t="str">
        <f>CompilDonnées[[#This Row],[Ref_Module]]&amp;CompilDonnées[[#This Row],[HarvestingDate]]</f>
        <v>38445687</v>
      </c>
    </row>
    <row r="467" spans="1:16">
      <c r="A467" s="5">
        <v>45646</v>
      </c>
      <c r="B467">
        <v>44</v>
      </c>
      <c r="C467" t="s">
        <v>42</v>
      </c>
      <c r="D467">
        <v>1</v>
      </c>
      <c r="E467">
        <v>100</v>
      </c>
      <c r="F467" t="s">
        <v>1</v>
      </c>
      <c r="G467" s="6">
        <v>45687</v>
      </c>
      <c r="H467">
        <v>41</v>
      </c>
      <c r="I467">
        <f>ROUND(CompilDonnées[[#This Row],[CultureDuration_days]]/7,0)</f>
        <v>6</v>
      </c>
      <c r="J467">
        <v>3908</v>
      </c>
      <c r="K467" t="str">
        <f>_xlfn.CONCAT(WEEKNUM(CompilDonnées[[#This Row],[PlantationDate]]), " ", YEAR(CompilDonnées[[#This Row],[PlantationDate]]))</f>
        <v>51 2024</v>
      </c>
      <c r="L467" t="str">
        <f>CONCATENATE(MONTH(CompilDonnées[[#This Row],[PlantationDate]])," ", YEAR(CompilDonnées[[#This Row],[PlantationDate]]))</f>
        <v>12 2024</v>
      </c>
      <c r="M467" t="str">
        <f>CONCATENATE(MONTH(CompilDonnées[[#This Row],[HarvestingDate]])," ", YEAR(CompilDonnées[[#This Row],[HarvestingDate]]))</f>
        <v>1 2025</v>
      </c>
      <c r="N467">
        <f>_xlfn.NUMBERVALUE(CompilDonnées[[#This Row],[FarmID]]&amp;CompilDonnées[[#This Row],[ModuleNumber]]&amp;CompilDonnées[[#This Row],[PlantationDate]])</f>
        <v>44145646</v>
      </c>
      <c r="O467" t="str">
        <f>CompilDonnées[[#This Row],[FarmID]]&amp;CompilDonnées[[#This Row],[ModuleNumber]]</f>
        <v>441</v>
      </c>
      <c r="P467" t="str">
        <f>CompilDonnées[[#This Row],[Ref_Module]]&amp;CompilDonnées[[#This Row],[HarvestingDate]]</f>
        <v>44145687</v>
      </c>
    </row>
    <row r="468" spans="1:16">
      <c r="A468" s="5">
        <v>45646</v>
      </c>
      <c r="B468">
        <v>41</v>
      </c>
      <c r="C468" t="s">
        <v>70</v>
      </c>
      <c r="D468">
        <v>2</v>
      </c>
      <c r="E468">
        <v>100</v>
      </c>
      <c r="F468" t="s">
        <v>1</v>
      </c>
      <c r="G468" s="6">
        <v>45689</v>
      </c>
      <c r="H468">
        <v>43</v>
      </c>
      <c r="I468">
        <f>ROUND(CompilDonnées[[#This Row],[CultureDuration_days]]/7,0)</f>
        <v>6</v>
      </c>
      <c r="J468">
        <v>1463</v>
      </c>
      <c r="K468" t="str">
        <f>_xlfn.CONCAT(WEEKNUM(CompilDonnées[[#This Row],[PlantationDate]]), " ", YEAR(CompilDonnées[[#This Row],[PlantationDate]]))</f>
        <v>51 2024</v>
      </c>
      <c r="L468" t="str">
        <f>CONCATENATE(MONTH(CompilDonnées[[#This Row],[PlantationDate]])," ", YEAR(CompilDonnées[[#This Row],[PlantationDate]]))</f>
        <v>12 2024</v>
      </c>
      <c r="M468" t="str">
        <f>CONCATENATE(MONTH(CompilDonnées[[#This Row],[HarvestingDate]])," ", YEAR(CompilDonnées[[#This Row],[HarvestingDate]]))</f>
        <v>2 2025</v>
      </c>
      <c r="N468">
        <f>_xlfn.NUMBERVALUE(CompilDonnées[[#This Row],[FarmID]]&amp;CompilDonnées[[#This Row],[ModuleNumber]]&amp;CompilDonnées[[#This Row],[PlantationDate]])</f>
        <v>41245646</v>
      </c>
      <c r="O468" t="str">
        <f>CompilDonnées[[#This Row],[FarmID]]&amp;CompilDonnées[[#This Row],[ModuleNumber]]</f>
        <v>412</v>
      </c>
      <c r="P468" t="str">
        <f>CompilDonnées[[#This Row],[Ref_Module]]&amp;CompilDonnées[[#This Row],[HarvestingDate]]</f>
        <v>41245689</v>
      </c>
    </row>
    <row r="469" spans="1:16">
      <c r="A469" s="5">
        <v>45646</v>
      </c>
      <c r="B469">
        <v>110</v>
      </c>
      <c r="C469" t="s">
        <v>14</v>
      </c>
      <c r="D469">
        <v>6</v>
      </c>
      <c r="E469">
        <v>100</v>
      </c>
      <c r="F469" t="s">
        <v>1</v>
      </c>
      <c r="G469" s="6">
        <v>45684</v>
      </c>
      <c r="H469">
        <v>38</v>
      </c>
      <c r="I469">
        <f>ROUND(CompilDonnées[[#This Row],[CultureDuration_days]]/7,0)</f>
        <v>5</v>
      </c>
      <c r="J469">
        <v>4162</v>
      </c>
      <c r="K469" t="str">
        <f>_xlfn.CONCAT(WEEKNUM(CompilDonnées[[#This Row],[PlantationDate]]), " ", YEAR(CompilDonnées[[#This Row],[PlantationDate]]))</f>
        <v>51 2024</v>
      </c>
      <c r="L469" t="str">
        <f>CONCATENATE(MONTH(CompilDonnées[[#This Row],[PlantationDate]])," ", YEAR(CompilDonnées[[#This Row],[PlantationDate]]))</f>
        <v>12 2024</v>
      </c>
      <c r="M469" t="str">
        <f>CONCATENATE(MONTH(CompilDonnées[[#This Row],[HarvestingDate]])," ", YEAR(CompilDonnées[[#This Row],[HarvestingDate]]))</f>
        <v>1 2025</v>
      </c>
      <c r="N469">
        <f>_xlfn.NUMBERVALUE(CompilDonnées[[#This Row],[FarmID]]&amp;CompilDonnées[[#This Row],[ModuleNumber]]&amp;CompilDonnées[[#This Row],[PlantationDate]])</f>
        <v>110645646</v>
      </c>
      <c r="O469" t="str">
        <f>CompilDonnées[[#This Row],[FarmID]]&amp;CompilDonnées[[#This Row],[ModuleNumber]]</f>
        <v>1106</v>
      </c>
      <c r="P469" t="str">
        <f>CompilDonnées[[#This Row],[Ref_Module]]&amp;CompilDonnées[[#This Row],[HarvestingDate]]</f>
        <v>110645684</v>
      </c>
    </row>
    <row r="470" spans="1:16">
      <c r="A470" s="5">
        <v>45646</v>
      </c>
      <c r="B470">
        <v>111</v>
      </c>
      <c r="C470" t="s">
        <v>41</v>
      </c>
      <c r="D470">
        <v>1</v>
      </c>
      <c r="E470">
        <v>100</v>
      </c>
      <c r="F470" t="s">
        <v>1</v>
      </c>
      <c r="G470" s="6">
        <v>45695</v>
      </c>
      <c r="H470">
        <v>49</v>
      </c>
      <c r="I470">
        <f>ROUND(CompilDonnées[[#This Row],[CultureDuration_days]]/7,0)</f>
        <v>7</v>
      </c>
      <c r="J470">
        <v>3572</v>
      </c>
      <c r="K470" t="str">
        <f>_xlfn.CONCAT(WEEKNUM(CompilDonnées[[#This Row],[PlantationDate]]), " ", YEAR(CompilDonnées[[#This Row],[PlantationDate]]))</f>
        <v>51 2024</v>
      </c>
      <c r="L470" t="str">
        <f>CONCATENATE(MONTH(CompilDonnées[[#This Row],[PlantationDate]])," ", YEAR(CompilDonnées[[#This Row],[PlantationDate]]))</f>
        <v>12 2024</v>
      </c>
      <c r="M470" t="str">
        <f>CONCATENATE(MONTH(CompilDonnées[[#This Row],[HarvestingDate]])," ", YEAR(CompilDonnées[[#This Row],[HarvestingDate]]))</f>
        <v>2 2025</v>
      </c>
      <c r="N470">
        <f>_xlfn.NUMBERVALUE(CompilDonnées[[#This Row],[FarmID]]&amp;CompilDonnées[[#This Row],[ModuleNumber]]&amp;CompilDonnées[[#This Row],[PlantationDate]])</f>
        <v>111145646</v>
      </c>
      <c r="O470" t="str">
        <f>CompilDonnées[[#This Row],[FarmID]]&amp;CompilDonnées[[#This Row],[ModuleNumber]]</f>
        <v>1111</v>
      </c>
      <c r="P470" t="str">
        <f>CompilDonnées[[#This Row],[Ref_Module]]&amp;CompilDonnées[[#This Row],[HarvestingDate]]</f>
        <v>111145695</v>
      </c>
    </row>
    <row r="471" spans="1:16">
      <c r="A471" s="5">
        <v>45646</v>
      </c>
      <c r="B471">
        <v>120</v>
      </c>
      <c r="C471" t="s">
        <v>100</v>
      </c>
      <c r="D471">
        <v>5</v>
      </c>
      <c r="E471">
        <v>100</v>
      </c>
      <c r="F471" t="s">
        <v>1</v>
      </c>
      <c r="G471" s="6">
        <v>45679</v>
      </c>
      <c r="H471">
        <v>33</v>
      </c>
      <c r="I471">
        <f>ROUND(CompilDonnées[[#This Row],[CultureDuration_days]]/7,0)</f>
        <v>5</v>
      </c>
      <c r="J471">
        <v>3741</v>
      </c>
      <c r="K471" t="str">
        <f>_xlfn.CONCAT(WEEKNUM(CompilDonnées[[#This Row],[PlantationDate]]), " ", YEAR(CompilDonnées[[#This Row],[PlantationDate]]))</f>
        <v>51 2024</v>
      </c>
      <c r="L471" t="str">
        <f>CONCATENATE(MONTH(CompilDonnées[[#This Row],[PlantationDate]])," ", YEAR(CompilDonnées[[#This Row],[PlantationDate]]))</f>
        <v>12 2024</v>
      </c>
      <c r="M471" t="str">
        <f>CONCATENATE(MONTH(CompilDonnées[[#This Row],[HarvestingDate]])," ", YEAR(CompilDonnées[[#This Row],[HarvestingDate]]))</f>
        <v>1 2025</v>
      </c>
      <c r="N471">
        <f>_xlfn.NUMBERVALUE(CompilDonnées[[#This Row],[FarmID]]&amp;CompilDonnées[[#This Row],[ModuleNumber]]&amp;CompilDonnées[[#This Row],[PlantationDate]])</f>
        <v>120545646</v>
      </c>
      <c r="O471" t="str">
        <f>CompilDonnées[[#This Row],[FarmID]]&amp;CompilDonnées[[#This Row],[ModuleNumber]]</f>
        <v>1205</v>
      </c>
      <c r="P471" t="str">
        <f>CompilDonnées[[#This Row],[Ref_Module]]&amp;CompilDonnées[[#This Row],[HarvestingDate]]</f>
        <v>120545679</v>
      </c>
    </row>
    <row r="472" spans="1:16">
      <c r="A472" s="5">
        <v>45646</v>
      </c>
      <c r="B472">
        <v>117</v>
      </c>
      <c r="C472" t="s">
        <v>11</v>
      </c>
      <c r="D472">
        <v>1</v>
      </c>
      <c r="E472">
        <v>100</v>
      </c>
      <c r="F472" t="s">
        <v>1</v>
      </c>
      <c r="G472" s="6">
        <v>45689</v>
      </c>
      <c r="H472">
        <v>43</v>
      </c>
      <c r="I472">
        <f>ROUND(CompilDonnées[[#This Row],[CultureDuration_days]]/7,0)</f>
        <v>6</v>
      </c>
      <c r="J472">
        <v>2439</v>
      </c>
      <c r="K472" t="str">
        <f>_xlfn.CONCAT(WEEKNUM(CompilDonnées[[#This Row],[PlantationDate]]), " ", YEAR(CompilDonnées[[#This Row],[PlantationDate]]))</f>
        <v>51 2024</v>
      </c>
      <c r="L472" t="str">
        <f>CONCATENATE(MONTH(CompilDonnées[[#This Row],[PlantationDate]])," ", YEAR(CompilDonnées[[#This Row],[PlantationDate]]))</f>
        <v>12 2024</v>
      </c>
      <c r="M472" t="str">
        <f>CONCATENATE(MONTH(CompilDonnées[[#This Row],[HarvestingDate]])," ", YEAR(CompilDonnées[[#This Row],[HarvestingDate]]))</f>
        <v>2 2025</v>
      </c>
      <c r="N472">
        <f>_xlfn.NUMBERVALUE(CompilDonnées[[#This Row],[FarmID]]&amp;CompilDonnées[[#This Row],[ModuleNumber]]&amp;CompilDonnées[[#This Row],[PlantationDate]])</f>
        <v>117145646</v>
      </c>
      <c r="O472" t="str">
        <f>CompilDonnées[[#This Row],[FarmID]]&amp;CompilDonnées[[#This Row],[ModuleNumber]]</f>
        <v>1171</v>
      </c>
      <c r="P472" t="str">
        <f>CompilDonnées[[#This Row],[Ref_Module]]&amp;CompilDonnées[[#This Row],[HarvestingDate]]</f>
        <v>117145689</v>
      </c>
    </row>
    <row r="473" spans="1:16">
      <c r="A473" s="5">
        <v>45646</v>
      </c>
      <c r="B473">
        <v>142</v>
      </c>
      <c r="C473" t="s">
        <v>114</v>
      </c>
      <c r="D473">
        <v>4</v>
      </c>
      <c r="E473">
        <v>100</v>
      </c>
      <c r="F473" t="s">
        <v>1</v>
      </c>
      <c r="G473" s="6">
        <v>45684</v>
      </c>
      <c r="H473">
        <v>38</v>
      </c>
      <c r="I473">
        <f>ROUND(CompilDonnées[[#This Row],[CultureDuration_days]]/7,0)</f>
        <v>5</v>
      </c>
      <c r="J473">
        <v>2690</v>
      </c>
      <c r="K473" t="str">
        <f>_xlfn.CONCAT(WEEKNUM(CompilDonnées[[#This Row],[PlantationDate]]), " ", YEAR(CompilDonnées[[#This Row],[PlantationDate]]))</f>
        <v>51 2024</v>
      </c>
      <c r="L473" t="str">
        <f>CONCATENATE(MONTH(CompilDonnées[[#This Row],[PlantationDate]])," ", YEAR(CompilDonnées[[#This Row],[PlantationDate]]))</f>
        <v>12 2024</v>
      </c>
      <c r="M473" t="str">
        <f>CONCATENATE(MONTH(CompilDonnées[[#This Row],[HarvestingDate]])," ", YEAR(CompilDonnées[[#This Row],[HarvestingDate]]))</f>
        <v>1 2025</v>
      </c>
      <c r="N473">
        <f>_xlfn.NUMBERVALUE(CompilDonnées[[#This Row],[FarmID]]&amp;CompilDonnées[[#This Row],[ModuleNumber]]&amp;CompilDonnées[[#This Row],[PlantationDate]])</f>
        <v>142445646</v>
      </c>
      <c r="O473" t="str">
        <f>CompilDonnées[[#This Row],[FarmID]]&amp;CompilDonnées[[#This Row],[ModuleNumber]]</f>
        <v>1424</v>
      </c>
      <c r="P473" t="str">
        <f>CompilDonnées[[#This Row],[Ref_Module]]&amp;CompilDonnées[[#This Row],[HarvestingDate]]</f>
        <v>142445684</v>
      </c>
    </row>
    <row r="474" spans="1:16">
      <c r="A474" s="5">
        <v>45646</v>
      </c>
      <c r="B474">
        <v>114</v>
      </c>
      <c r="C474" t="s">
        <v>76</v>
      </c>
      <c r="D474">
        <v>4</v>
      </c>
      <c r="E474">
        <v>100</v>
      </c>
      <c r="F474" t="s">
        <v>1</v>
      </c>
      <c r="G474" s="6">
        <v>45695</v>
      </c>
      <c r="H474">
        <v>49</v>
      </c>
      <c r="I474">
        <f>ROUND(CompilDonnées[[#This Row],[CultureDuration_days]]/7,0)</f>
        <v>7</v>
      </c>
      <c r="J474">
        <v>3073</v>
      </c>
      <c r="K474" t="str">
        <f>_xlfn.CONCAT(WEEKNUM(CompilDonnées[[#This Row],[PlantationDate]]), " ", YEAR(CompilDonnées[[#This Row],[PlantationDate]]))</f>
        <v>51 2024</v>
      </c>
      <c r="L474" t="str">
        <f>CONCATENATE(MONTH(CompilDonnées[[#This Row],[PlantationDate]])," ", YEAR(CompilDonnées[[#This Row],[PlantationDate]]))</f>
        <v>12 2024</v>
      </c>
      <c r="M474" t="str">
        <f>CONCATENATE(MONTH(CompilDonnées[[#This Row],[HarvestingDate]])," ", YEAR(CompilDonnées[[#This Row],[HarvestingDate]]))</f>
        <v>2 2025</v>
      </c>
      <c r="N474">
        <f>_xlfn.NUMBERVALUE(CompilDonnées[[#This Row],[FarmID]]&amp;CompilDonnées[[#This Row],[ModuleNumber]]&amp;CompilDonnées[[#This Row],[PlantationDate]])</f>
        <v>114445646</v>
      </c>
      <c r="O474" t="str">
        <f>CompilDonnées[[#This Row],[FarmID]]&amp;CompilDonnées[[#This Row],[ModuleNumber]]</f>
        <v>1144</v>
      </c>
      <c r="P474" t="str">
        <f>CompilDonnées[[#This Row],[Ref_Module]]&amp;CompilDonnées[[#This Row],[HarvestingDate]]</f>
        <v>114445695</v>
      </c>
    </row>
    <row r="475" spans="1:16">
      <c r="A475" s="5">
        <v>45646</v>
      </c>
      <c r="B475">
        <v>58</v>
      </c>
      <c r="C475" t="s">
        <v>35</v>
      </c>
      <c r="D475">
        <v>6</v>
      </c>
      <c r="E475">
        <v>100</v>
      </c>
      <c r="F475" t="s">
        <v>1</v>
      </c>
      <c r="G475" s="6">
        <v>45688</v>
      </c>
      <c r="H475">
        <v>42</v>
      </c>
      <c r="I475">
        <f>ROUND(CompilDonnées[[#This Row],[CultureDuration_days]]/7,0)</f>
        <v>6</v>
      </c>
      <c r="J475">
        <v>3182</v>
      </c>
      <c r="K475" t="str">
        <f>_xlfn.CONCAT(WEEKNUM(CompilDonnées[[#This Row],[PlantationDate]]), " ", YEAR(CompilDonnées[[#This Row],[PlantationDate]]))</f>
        <v>51 2024</v>
      </c>
      <c r="L475" t="str">
        <f>CONCATENATE(MONTH(CompilDonnées[[#This Row],[PlantationDate]])," ", YEAR(CompilDonnées[[#This Row],[PlantationDate]]))</f>
        <v>12 2024</v>
      </c>
      <c r="M475" t="str">
        <f>CONCATENATE(MONTH(CompilDonnées[[#This Row],[HarvestingDate]])," ", YEAR(CompilDonnées[[#This Row],[HarvestingDate]]))</f>
        <v>1 2025</v>
      </c>
      <c r="N475">
        <f>_xlfn.NUMBERVALUE(CompilDonnées[[#This Row],[FarmID]]&amp;CompilDonnées[[#This Row],[ModuleNumber]]&amp;CompilDonnées[[#This Row],[PlantationDate]])</f>
        <v>58645646</v>
      </c>
      <c r="O475" t="str">
        <f>CompilDonnées[[#This Row],[FarmID]]&amp;CompilDonnées[[#This Row],[ModuleNumber]]</f>
        <v>586</v>
      </c>
      <c r="P475" t="str">
        <f>CompilDonnées[[#This Row],[Ref_Module]]&amp;CompilDonnées[[#This Row],[HarvestingDate]]</f>
        <v>58645688</v>
      </c>
    </row>
    <row r="476" spans="1:16">
      <c r="A476" s="5">
        <v>45646</v>
      </c>
      <c r="B476">
        <v>76</v>
      </c>
      <c r="C476" t="s">
        <v>18</v>
      </c>
      <c r="D476">
        <v>4</v>
      </c>
      <c r="E476">
        <v>100</v>
      </c>
      <c r="F476" t="s">
        <v>1</v>
      </c>
      <c r="G476" s="6">
        <v>45690</v>
      </c>
      <c r="H476">
        <v>44</v>
      </c>
      <c r="I476">
        <f>ROUND(CompilDonnées[[#This Row],[CultureDuration_days]]/7,0)</f>
        <v>6</v>
      </c>
      <c r="J476">
        <v>2930</v>
      </c>
      <c r="K476" t="str">
        <f>_xlfn.CONCAT(WEEKNUM(CompilDonnées[[#This Row],[PlantationDate]]), " ", YEAR(CompilDonnées[[#This Row],[PlantationDate]]))</f>
        <v>51 2024</v>
      </c>
      <c r="L476" t="str">
        <f>CONCATENATE(MONTH(CompilDonnées[[#This Row],[PlantationDate]])," ", YEAR(CompilDonnées[[#This Row],[PlantationDate]]))</f>
        <v>12 2024</v>
      </c>
      <c r="M476" t="str">
        <f>CONCATENATE(MONTH(CompilDonnées[[#This Row],[HarvestingDate]])," ", YEAR(CompilDonnées[[#This Row],[HarvestingDate]]))</f>
        <v>2 2025</v>
      </c>
      <c r="N476">
        <f>_xlfn.NUMBERVALUE(CompilDonnées[[#This Row],[FarmID]]&amp;CompilDonnées[[#This Row],[ModuleNumber]]&amp;CompilDonnées[[#This Row],[PlantationDate]])</f>
        <v>76445646</v>
      </c>
      <c r="O476" t="str">
        <f>CompilDonnées[[#This Row],[FarmID]]&amp;CompilDonnées[[#This Row],[ModuleNumber]]</f>
        <v>764</v>
      </c>
      <c r="P476" t="str">
        <f>CompilDonnées[[#This Row],[Ref_Module]]&amp;CompilDonnées[[#This Row],[HarvestingDate]]</f>
        <v>76445690</v>
      </c>
    </row>
    <row r="477" spans="1:16">
      <c r="A477" s="5">
        <v>45646</v>
      </c>
      <c r="B477">
        <v>84</v>
      </c>
      <c r="C477" t="s">
        <v>65</v>
      </c>
      <c r="D477">
        <v>5</v>
      </c>
      <c r="E477">
        <v>100</v>
      </c>
      <c r="F477" t="s">
        <v>1</v>
      </c>
      <c r="G477" s="6">
        <v>45700</v>
      </c>
      <c r="H477">
        <v>54</v>
      </c>
      <c r="I477">
        <f>ROUND(CompilDonnées[[#This Row],[CultureDuration_days]]/7,0)</f>
        <v>8</v>
      </c>
      <c r="J477">
        <v>2815</v>
      </c>
      <c r="K477" t="str">
        <f>_xlfn.CONCAT(WEEKNUM(CompilDonnées[[#This Row],[PlantationDate]]), " ", YEAR(CompilDonnées[[#This Row],[PlantationDate]]))</f>
        <v>51 2024</v>
      </c>
      <c r="L477" t="str">
        <f>CONCATENATE(MONTH(CompilDonnées[[#This Row],[PlantationDate]])," ", YEAR(CompilDonnées[[#This Row],[PlantationDate]]))</f>
        <v>12 2024</v>
      </c>
      <c r="M477" t="str">
        <f>CONCATENATE(MONTH(CompilDonnées[[#This Row],[HarvestingDate]])," ", YEAR(CompilDonnées[[#This Row],[HarvestingDate]]))</f>
        <v>2 2025</v>
      </c>
      <c r="N477">
        <f>_xlfn.NUMBERVALUE(CompilDonnées[[#This Row],[FarmID]]&amp;CompilDonnées[[#This Row],[ModuleNumber]]&amp;CompilDonnées[[#This Row],[PlantationDate]])</f>
        <v>84545646</v>
      </c>
      <c r="O477" t="str">
        <f>CompilDonnées[[#This Row],[FarmID]]&amp;CompilDonnées[[#This Row],[ModuleNumber]]</f>
        <v>845</v>
      </c>
      <c r="P477" t="str">
        <f>CompilDonnées[[#This Row],[Ref_Module]]&amp;CompilDonnées[[#This Row],[HarvestingDate]]</f>
        <v>84545700</v>
      </c>
    </row>
    <row r="478" spans="1:16">
      <c r="A478" s="5">
        <v>45646</v>
      </c>
      <c r="B478">
        <v>83</v>
      </c>
      <c r="C478" t="s">
        <v>73</v>
      </c>
      <c r="D478">
        <v>1</v>
      </c>
      <c r="E478">
        <v>100</v>
      </c>
      <c r="F478" t="s">
        <v>1</v>
      </c>
      <c r="G478" s="6">
        <v>45685</v>
      </c>
      <c r="H478">
        <v>39</v>
      </c>
      <c r="I478">
        <f>ROUND(CompilDonnées[[#This Row],[CultureDuration_days]]/7,0)</f>
        <v>6</v>
      </c>
      <c r="J478">
        <v>2409</v>
      </c>
      <c r="K478" t="str">
        <f>_xlfn.CONCAT(WEEKNUM(CompilDonnées[[#This Row],[PlantationDate]]), " ", YEAR(CompilDonnées[[#This Row],[PlantationDate]]))</f>
        <v>51 2024</v>
      </c>
      <c r="L478" t="str">
        <f>CONCATENATE(MONTH(CompilDonnées[[#This Row],[PlantationDate]])," ", YEAR(CompilDonnées[[#This Row],[PlantationDate]]))</f>
        <v>12 2024</v>
      </c>
      <c r="M478" t="str">
        <f>CONCATENATE(MONTH(CompilDonnées[[#This Row],[HarvestingDate]])," ", YEAR(CompilDonnées[[#This Row],[HarvestingDate]]))</f>
        <v>1 2025</v>
      </c>
      <c r="N478">
        <f>_xlfn.NUMBERVALUE(CompilDonnées[[#This Row],[FarmID]]&amp;CompilDonnées[[#This Row],[ModuleNumber]]&amp;CompilDonnées[[#This Row],[PlantationDate]])</f>
        <v>83145646</v>
      </c>
      <c r="O478" t="str">
        <f>CompilDonnées[[#This Row],[FarmID]]&amp;CompilDonnées[[#This Row],[ModuleNumber]]</f>
        <v>831</v>
      </c>
      <c r="P478" t="str">
        <f>CompilDonnées[[#This Row],[Ref_Module]]&amp;CompilDonnées[[#This Row],[HarvestingDate]]</f>
        <v>83145685</v>
      </c>
    </row>
    <row r="479" spans="1:16">
      <c r="A479" s="5">
        <v>45646</v>
      </c>
      <c r="B479">
        <v>73</v>
      </c>
      <c r="C479" t="s">
        <v>20</v>
      </c>
      <c r="D479">
        <v>6</v>
      </c>
      <c r="E479">
        <v>100</v>
      </c>
      <c r="F479" t="s">
        <v>1</v>
      </c>
      <c r="G479" s="6">
        <v>45688</v>
      </c>
      <c r="H479">
        <v>42</v>
      </c>
      <c r="I479">
        <f>ROUND(CompilDonnées[[#This Row],[CultureDuration_days]]/7,0)</f>
        <v>6</v>
      </c>
      <c r="J479">
        <v>2951</v>
      </c>
      <c r="K479" t="str">
        <f>_xlfn.CONCAT(WEEKNUM(CompilDonnées[[#This Row],[PlantationDate]]), " ", YEAR(CompilDonnées[[#This Row],[PlantationDate]]))</f>
        <v>51 2024</v>
      </c>
      <c r="L479" t="str">
        <f>CONCATENATE(MONTH(CompilDonnées[[#This Row],[PlantationDate]])," ", YEAR(CompilDonnées[[#This Row],[PlantationDate]]))</f>
        <v>12 2024</v>
      </c>
      <c r="M479" t="str">
        <f>CONCATENATE(MONTH(CompilDonnées[[#This Row],[HarvestingDate]])," ", YEAR(CompilDonnées[[#This Row],[HarvestingDate]]))</f>
        <v>1 2025</v>
      </c>
      <c r="N479">
        <f>_xlfn.NUMBERVALUE(CompilDonnées[[#This Row],[FarmID]]&amp;CompilDonnées[[#This Row],[ModuleNumber]]&amp;CompilDonnées[[#This Row],[PlantationDate]])</f>
        <v>73645646</v>
      </c>
      <c r="O479" t="str">
        <f>CompilDonnées[[#This Row],[FarmID]]&amp;CompilDonnées[[#This Row],[ModuleNumber]]</f>
        <v>736</v>
      </c>
      <c r="P479" t="str">
        <f>CompilDonnées[[#This Row],[Ref_Module]]&amp;CompilDonnées[[#This Row],[HarvestingDate]]</f>
        <v>73645688</v>
      </c>
    </row>
    <row r="480" spans="1:16">
      <c r="A480" s="5">
        <v>45646</v>
      </c>
      <c r="B480">
        <v>51</v>
      </c>
      <c r="C480" t="s">
        <v>27</v>
      </c>
      <c r="D480">
        <v>2</v>
      </c>
      <c r="E480">
        <v>100</v>
      </c>
      <c r="F480" t="s">
        <v>1</v>
      </c>
      <c r="G480" s="6">
        <v>45686</v>
      </c>
      <c r="H480">
        <v>40</v>
      </c>
      <c r="I480">
        <f>ROUND(CompilDonnées[[#This Row],[CultureDuration_days]]/7,0)</f>
        <v>6</v>
      </c>
      <c r="J480">
        <v>3238</v>
      </c>
      <c r="K480" t="str">
        <f>_xlfn.CONCAT(WEEKNUM(CompilDonnées[[#This Row],[PlantationDate]]), " ", YEAR(CompilDonnées[[#This Row],[PlantationDate]]))</f>
        <v>51 2024</v>
      </c>
      <c r="L480" t="str">
        <f>CONCATENATE(MONTH(CompilDonnées[[#This Row],[PlantationDate]])," ", YEAR(CompilDonnées[[#This Row],[PlantationDate]]))</f>
        <v>12 2024</v>
      </c>
      <c r="M480" t="str">
        <f>CONCATENATE(MONTH(CompilDonnées[[#This Row],[HarvestingDate]])," ", YEAR(CompilDonnées[[#This Row],[HarvestingDate]]))</f>
        <v>1 2025</v>
      </c>
      <c r="N480">
        <f>_xlfn.NUMBERVALUE(CompilDonnées[[#This Row],[FarmID]]&amp;CompilDonnées[[#This Row],[ModuleNumber]]&amp;CompilDonnées[[#This Row],[PlantationDate]])</f>
        <v>51245646</v>
      </c>
      <c r="O480" t="str">
        <f>CompilDonnées[[#This Row],[FarmID]]&amp;CompilDonnées[[#This Row],[ModuleNumber]]</f>
        <v>512</v>
      </c>
      <c r="P480" t="str">
        <f>CompilDonnées[[#This Row],[Ref_Module]]&amp;CompilDonnées[[#This Row],[HarvestingDate]]</f>
        <v>51245686</v>
      </c>
    </row>
    <row r="481" spans="1:16">
      <c r="A481" s="5">
        <v>45646</v>
      </c>
      <c r="B481">
        <v>79</v>
      </c>
      <c r="C481" t="s">
        <v>61</v>
      </c>
      <c r="D481">
        <v>1</v>
      </c>
      <c r="E481">
        <v>100</v>
      </c>
      <c r="F481" t="s">
        <v>1</v>
      </c>
      <c r="G481" s="6">
        <v>45694</v>
      </c>
      <c r="H481">
        <v>48</v>
      </c>
      <c r="I481">
        <f>ROUND(CompilDonnées[[#This Row],[CultureDuration_days]]/7,0)</f>
        <v>7</v>
      </c>
      <c r="J481">
        <v>2944</v>
      </c>
      <c r="K481" t="str">
        <f>_xlfn.CONCAT(WEEKNUM(CompilDonnées[[#This Row],[PlantationDate]]), " ", YEAR(CompilDonnées[[#This Row],[PlantationDate]]))</f>
        <v>51 2024</v>
      </c>
      <c r="L481" t="str">
        <f>CONCATENATE(MONTH(CompilDonnées[[#This Row],[PlantationDate]])," ", YEAR(CompilDonnées[[#This Row],[PlantationDate]]))</f>
        <v>12 2024</v>
      </c>
      <c r="M481" t="str">
        <f>CONCATENATE(MONTH(CompilDonnées[[#This Row],[HarvestingDate]])," ", YEAR(CompilDonnées[[#This Row],[HarvestingDate]]))</f>
        <v>2 2025</v>
      </c>
      <c r="N481">
        <f>_xlfn.NUMBERVALUE(CompilDonnées[[#This Row],[FarmID]]&amp;CompilDonnées[[#This Row],[ModuleNumber]]&amp;CompilDonnées[[#This Row],[PlantationDate]])</f>
        <v>79145646</v>
      </c>
      <c r="O481" t="str">
        <f>CompilDonnées[[#This Row],[FarmID]]&amp;CompilDonnées[[#This Row],[ModuleNumber]]</f>
        <v>791</v>
      </c>
      <c r="P481" t="str">
        <f>CompilDonnées[[#This Row],[Ref_Module]]&amp;CompilDonnées[[#This Row],[HarvestingDate]]</f>
        <v>79145694</v>
      </c>
    </row>
    <row r="482" spans="1:16">
      <c r="A482" s="5">
        <v>45646</v>
      </c>
      <c r="B482">
        <v>101</v>
      </c>
      <c r="C482" t="s">
        <v>54</v>
      </c>
      <c r="D482">
        <v>6</v>
      </c>
      <c r="E482">
        <v>100</v>
      </c>
      <c r="F482" t="s">
        <v>1</v>
      </c>
      <c r="G482" s="6">
        <v>45688</v>
      </c>
      <c r="H482">
        <v>42</v>
      </c>
      <c r="I482">
        <f>ROUND(CompilDonnées[[#This Row],[CultureDuration_days]]/7,0)</f>
        <v>6</v>
      </c>
      <c r="J482">
        <v>5335</v>
      </c>
      <c r="K482" t="str">
        <f>_xlfn.CONCAT(WEEKNUM(CompilDonnées[[#This Row],[PlantationDate]]), " ", YEAR(CompilDonnées[[#This Row],[PlantationDate]]))</f>
        <v>51 2024</v>
      </c>
      <c r="L482" t="str">
        <f>CONCATENATE(MONTH(CompilDonnées[[#This Row],[PlantationDate]])," ", YEAR(CompilDonnées[[#This Row],[PlantationDate]]))</f>
        <v>12 2024</v>
      </c>
      <c r="M482" t="str">
        <f>CONCATENATE(MONTH(CompilDonnées[[#This Row],[HarvestingDate]])," ", YEAR(CompilDonnées[[#This Row],[HarvestingDate]]))</f>
        <v>1 2025</v>
      </c>
      <c r="N482">
        <f>_xlfn.NUMBERVALUE(CompilDonnées[[#This Row],[FarmID]]&amp;CompilDonnées[[#This Row],[ModuleNumber]]&amp;CompilDonnées[[#This Row],[PlantationDate]])</f>
        <v>101645646</v>
      </c>
      <c r="O482" t="str">
        <f>CompilDonnées[[#This Row],[FarmID]]&amp;CompilDonnées[[#This Row],[ModuleNumber]]</f>
        <v>1016</v>
      </c>
      <c r="P482" t="str">
        <f>CompilDonnées[[#This Row],[Ref_Module]]&amp;CompilDonnées[[#This Row],[HarvestingDate]]</f>
        <v>101645688</v>
      </c>
    </row>
    <row r="483" spans="1:16">
      <c r="A483" s="5">
        <v>45646</v>
      </c>
      <c r="B483">
        <v>101</v>
      </c>
      <c r="C483" t="s">
        <v>54</v>
      </c>
      <c r="D483">
        <v>1</v>
      </c>
      <c r="E483">
        <v>100</v>
      </c>
      <c r="F483" t="s">
        <v>1</v>
      </c>
      <c r="G483" s="6">
        <v>45688</v>
      </c>
      <c r="H483">
        <v>42</v>
      </c>
      <c r="I483">
        <f>ROUND(CompilDonnées[[#This Row],[CultureDuration_days]]/7,0)</f>
        <v>6</v>
      </c>
      <c r="J483">
        <v>4968</v>
      </c>
      <c r="K483" t="str">
        <f>_xlfn.CONCAT(WEEKNUM(CompilDonnées[[#This Row],[PlantationDate]]), " ", YEAR(CompilDonnées[[#This Row],[PlantationDate]]))</f>
        <v>51 2024</v>
      </c>
      <c r="L483" t="str">
        <f>CONCATENATE(MONTH(CompilDonnées[[#This Row],[PlantationDate]])," ", YEAR(CompilDonnées[[#This Row],[PlantationDate]]))</f>
        <v>12 2024</v>
      </c>
      <c r="M483" t="str">
        <f>CONCATENATE(MONTH(CompilDonnées[[#This Row],[HarvestingDate]])," ", YEAR(CompilDonnées[[#This Row],[HarvestingDate]]))</f>
        <v>1 2025</v>
      </c>
      <c r="N483">
        <f>_xlfn.NUMBERVALUE(CompilDonnées[[#This Row],[FarmID]]&amp;CompilDonnées[[#This Row],[ModuleNumber]]&amp;CompilDonnées[[#This Row],[PlantationDate]])</f>
        <v>101145646</v>
      </c>
      <c r="O483" t="str">
        <f>CompilDonnées[[#This Row],[FarmID]]&amp;CompilDonnées[[#This Row],[ModuleNumber]]</f>
        <v>1011</v>
      </c>
      <c r="P483" t="str">
        <f>CompilDonnées[[#This Row],[Ref_Module]]&amp;CompilDonnées[[#This Row],[HarvestingDate]]</f>
        <v>101145688</v>
      </c>
    </row>
    <row r="484" spans="1:16">
      <c r="A484" s="5">
        <v>45646</v>
      </c>
      <c r="B484">
        <v>108</v>
      </c>
      <c r="C484" t="s">
        <v>58</v>
      </c>
      <c r="D484">
        <v>2</v>
      </c>
      <c r="E484">
        <v>100</v>
      </c>
      <c r="F484" t="s">
        <v>1</v>
      </c>
      <c r="G484" s="6">
        <v>45687</v>
      </c>
      <c r="H484">
        <v>41</v>
      </c>
      <c r="I484">
        <f>ROUND(CompilDonnées[[#This Row],[CultureDuration_days]]/7,0)</f>
        <v>6</v>
      </c>
      <c r="J484">
        <v>3256</v>
      </c>
      <c r="K484" t="str">
        <f>_xlfn.CONCAT(WEEKNUM(CompilDonnées[[#This Row],[PlantationDate]]), " ", YEAR(CompilDonnées[[#This Row],[PlantationDate]]))</f>
        <v>51 2024</v>
      </c>
      <c r="L484" t="str">
        <f>CONCATENATE(MONTH(CompilDonnées[[#This Row],[PlantationDate]])," ", YEAR(CompilDonnées[[#This Row],[PlantationDate]]))</f>
        <v>12 2024</v>
      </c>
      <c r="M484" t="str">
        <f>CONCATENATE(MONTH(CompilDonnées[[#This Row],[HarvestingDate]])," ", YEAR(CompilDonnées[[#This Row],[HarvestingDate]]))</f>
        <v>1 2025</v>
      </c>
      <c r="N484">
        <f>_xlfn.NUMBERVALUE(CompilDonnées[[#This Row],[FarmID]]&amp;CompilDonnées[[#This Row],[ModuleNumber]]&amp;CompilDonnées[[#This Row],[PlantationDate]])</f>
        <v>108245646</v>
      </c>
      <c r="O484" t="str">
        <f>CompilDonnées[[#This Row],[FarmID]]&amp;CompilDonnées[[#This Row],[ModuleNumber]]</f>
        <v>1082</v>
      </c>
      <c r="P484" t="str">
        <f>CompilDonnées[[#This Row],[Ref_Module]]&amp;CompilDonnées[[#This Row],[HarvestingDate]]</f>
        <v>108245687</v>
      </c>
    </row>
    <row r="485" spans="1:16">
      <c r="A485" s="5">
        <v>45646</v>
      </c>
      <c r="B485">
        <v>91</v>
      </c>
      <c r="C485" t="s">
        <v>9</v>
      </c>
      <c r="D485">
        <v>1</v>
      </c>
      <c r="E485">
        <v>100</v>
      </c>
      <c r="F485" t="s">
        <v>1</v>
      </c>
      <c r="G485" s="6">
        <v>45700</v>
      </c>
      <c r="H485">
        <v>54</v>
      </c>
      <c r="I485">
        <f>ROUND(CompilDonnées[[#This Row],[CultureDuration_days]]/7,0)</f>
        <v>8</v>
      </c>
      <c r="J485">
        <v>2793</v>
      </c>
      <c r="K485" t="str">
        <f>_xlfn.CONCAT(WEEKNUM(CompilDonnées[[#This Row],[PlantationDate]]), " ", YEAR(CompilDonnées[[#This Row],[PlantationDate]]))</f>
        <v>51 2024</v>
      </c>
      <c r="L485" t="str">
        <f>CONCATENATE(MONTH(CompilDonnées[[#This Row],[PlantationDate]])," ", YEAR(CompilDonnées[[#This Row],[PlantationDate]]))</f>
        <v>12 2024</v>
      </c>
      <c r="M485" t="str">
        <f>CONCATENATE(MONTH(CompilDonnées[[#This Row],[HarvestingDate]])," ", YEAR(CompilDonnées[[#This Row],[HarvestingDate]]))</f>
        <v>2 2025</v>
      </c>
      <c r="N485">
        <f>_xlfn.NUMBERVALUE(CompilDonnées[[#This Row],[FarmID]]&amp;CompilDonnées[[#This Row],[ModuleNumber]]&amp;CompilDonnées[[#This Row],[PlantationDate]])</f>
        <v>91145646</v>
      </c>
      <c r="O485" t="str">
        <f>CompilDonnées[[#This Row],[FarmID]]&amp;CompilDonnées[[#This Row],[ModuleNumber]]</f>
        <v>911</v>
      </c>
      <c r="P485" t="str">
        <f>CompilDonnées[[#This Row],[Ref_Module]]&amp;CompilDonnées[[#This Row],[HarvestingDate]]</f>
        <v>91145700</v>
      </c>
    </row>
    <row r="486" spans="1:16">
      <c r="A486" s="5">
        <v>45646</v>
      </c>
      <c r="B486">
        <v>85</v>
      </c>
      <c r="C486" t="s">
        <v>56</v>
      </c>
      <c r="D486">
        <v>4</v>
      </c>
      <c r="E486">
        <v>100</v>
      </c>
      <c r="F486" t="s">
        <v>1</v>
      </c>
      <c r="G486" s="6">
        <v>45690</v>
      </c>
      <c r="H486">
        <v>44</v>
      </c>
      <c r="I486">
        <f>ROUND(CompilDonnées[[#This Row],[CultureDuration_days]]/7,0)</f>
        <v>6</v>
      </c>
      <c r="J486">
        <v>2933</v>
      </c>
      <c r="K486" t="str">
        <f>_xlfn.CONCAT(WEEKNUM(CompilDonnées[[#This Row],[PlantationDate]]), " ", YEAR(CompilDonnées[[#This Row],[PlantationDate]]))</f>
        <v>51 2024</v>
      </c>
      <c r="L486" t="str">
        <f>CONCATENATE(MONTH(CompilDonnées[[#This Row],[PlantationDate]])," ", YEAR(CompilDonnées[[#This Row],[PlantationDate]]))</f>
        <v>12 2024</v>
      </c>
      <c r="M486" t="str">
        <f>CONCATENATE(MONTH(CompilDonnées[[#This Row],[HarvestingDate]])," ", YEAR(CompilDonnées[[#This Row],[HarvestingDate]]))</f>
        <v>2 2025</v>
      </c>
      <c r="N486">
        <f>_xlfn.NUMBERVALUE(CompilDonnées[[#This Row],[FarmID]]&amp;CompilDonnées[[#This Row],[ModuleNumber]]&amp;CompilDonnées[[#This Row],[PlantationDate]])</f>
        <v>85445646</v>
      </c>
      <c r="O486" t="str">
        <f>CompilDonnées[[#This Row],[FarmID]]&amp;CompilDonnées[[#This Row],[ModuleNumber]]</f>
        <v>854</v>
      </c>
      <c r="P486" t="str">
        <f>CompilDonnées[[#This Row],[Ref_Module]]&amp;CompilDonnées[[#This Row],[HarvestingDate]]</f>
        <v>85445690</v>
      </c>
    </row>
    <row r="487" spans="1:16">
      <c r="A487" s="5">
        <v>45646</v>
      </c>
      <c r="B487">
        <v>104</v>
      </c>
      <c r="C487" t="s">
        <v>91</v>
      </c>
      <c r="D487">
        <v>4</v>
      </c>
      <c r="E487">
        <v>100</v>
      </c>
      <c r="F487" t="s">
        <v>1</v>
      </c>
      <c r="G487" s="6">
        <v>45695</v>
      </c>
      <c r="H487">
        <v>49</v>
      </c>
      <c r="I487">
        <f>ROUND(CompilDonnées[[#This Row],[CultureDuration_days]]/7,0)</f>
        <v>7</v>
      </c>
      <c r="J487">
        <v>2666</v>
      </c>
      <c r="K487" t="str">
        <f>_xlfn.CONCAT(WEEKNUM(CompilDonnées[[#This Row],[PlantationDate]]), " ", YEAR(CompilDonnées[[#This Row],[PlantationDate]]))</f>
        <v>51 2024</v>
      </c>
      <c r="L487" t="str">
        <f>CONCATENATE(MONTH(CompilDonnées[[#This Row],[PlantationDate]])," ", YEAR(CompilDonnées[[#This Row],[PlantationDate]]))</f>
        <v>12 2024</v>
      </c>
      <c r="M487" t="str">
        <f>CONCATENATE(MONTH(CompilDonnées[[#This Row],[HarvestingDate]])," ", YEAR(CompilDonnées[[#This Row],[HarvestingDate]]))</f>
        <v>2 2025</v>
      </c>
      <c r="N487">
        <f>_xlfn.NUMBERVALUE(CompilDonnées[[#This Row],[FarmID]]&amp;CompilDonnées[[#This Row],[ModuleNumber]]&amp;CompilDonnées[[#This Row],[PlantationDate]])</f>
        <v>104445646</v>
      </c>
      <c r="O487" t="str">
        <f>CompilDonnées[[#This Row],[FarmID]]&amp;CompilDonnées[[#This Row],[ModuleNumber]]</f>
        <v>1044</v>
      </c>
      <c r="P487" t="str">
        <f>CompilDonnées[[#This Row],[Ref_Module]]&amp;CompilDonnées[[#This Row],[HarvestingDate]]</f>
        <v>104445695</v>
      </c>
    </row>
    <row r="488" spans="1:16">
      <c r="A488" s="5">
        <v>45646</v>
      </c>
      <c r="B488">
        <v>103</v>
      </c>
      <c r="C488" t="s">
        <v>86</v>
      </c>
      <c r="D488">
        <v>4</v>
      </c>
      <c r="E488">
        <v>100</v>
      </c>
      <c r="F488" t="s">
        <v>1</v>
      </c>
      <c r="G488" s="6">
        <v>45694</v>
      </c>
      <c r="H488">
        <v>48</v>
      </c>
      <c r="I488">
        <f>ROUND(CompilDonnées[[#This Row],[CultureDuration_days]]/7,0)</f>
        <v>7</v>
      </c>
      <c r="J488">
        <v>2590</v>
      </c>
      <c r="K488" t="str">
        <f>_xlfn.CONCAT(WEEKNUM(CompilDonnées[[#This Row],[PlantationDate]]), " ", YEAR(CompilDonnées[[#This Row],[PlantationDate]]))</f>
        <v>51 2024</v>
      </c>
      <c r="L488" t="str">
        <f>CONCATENATE(MONTH(CompilDonnées[[#This Row],[PlantationDate]])," ", YEAR(CompilDonnées[[#This Row],[PlantationDate]]))</f>
        <v>12 2024</v>
      </c>
      <c r="M488" t="str">
        <f>CONCATENATE(MONTH(CompilDonnées[[#This Row],[HarvestingDate]])," ", YEAR(CompilDonnées[[#This Row],[HarvestingDate]]))</f>
        <v>2 2025</v>
      </c>
      <c r="N488">
        <f>_xlfn.NUMBERVALUE(CompilDonnées[[#This Row],[FarmID]]&amp;CompilDonnées[[#This Row],[ModuleNumber]]&amp;CompilDonnées[[#This Row],[PlantationDate]])</f>
        <v>103445646</v>
      </c>
      <c r="O488" t="str">
        <f>CompilDonnées[[#This Row],[FarmID]]&amp;CompilDonnées[[#This Row],[ModuleNumber]]</f>
        <v>1034</v>
      </c>
      <c r="P488" t="str">
        <f>CompilDonnées[[#This Row],[Ref_Module]]&amp;CompilDonnées[[#This Row],[HarvestingDate]]</f>
        <v>103445694</v>
      </c>
    </row>
    <row r="489" spans="1:16">
      <c r="A489" s="5">
        <v>45646</v>
      </c>
      <c r="B489">
        <v>90</v>
      </c>
      <c r="C489" t="s">
        <v>72</v>
      </c>
      <c r="D489">
        <v>4</v>
      </c>
      <c r="E489">
        <v>100</v>
      </c>
      <c r="F489" t="s">
        <v>1</v>
      </c>
      <c r="G489" s="6">
        <v>45694</v>
      </c>
      <c r="H489">
        <v>48</v>
      </c>
      <c r="I489">
        <f>ROUND(CompilDonnées[[#This Row],[CultureDuration_days]]/7,0)</f>
        <v>7</v>
      </c>
      <c r="J489">
        <v>2526</v>
      </c>
      <c r="K489" t="str">
        <f>_xlfn.CONCAT(WEEKNUM(CompilDonnées[[#This Row],[PlantationDate]]), " ", YEAR(CompilDonnées[[#This Row],[PlantationDate]]))</f>
        <v>51 2024</v>
      </c>
      <c r="L489" t="str">
        <f>CONCATENATE(MONTH(CompilDonnées[[#This Row],[PlantationDate]])," ", YEAR(CompilDonnées[[#This Row],[PlantationDate]]))</f>
        <v>12 2024</v>
      </c>
      <c r="M489" t="str">
        <f>CONCATENATE(MONTH(CompilDonnées[[#This Row],[HarvestingDate]])," ", YEAR(CompilDonnées[[#This Row],[HarvestingDate]]))</f>
        <v>2 2025</v>
      </c>
      <c r="N489">
        <f>_xlfn.NUMBERVALUE(CompilDonnées[[#This Row],[FarmID]]&amp;CompilDonnées[[#This Row],[ModuleNumber]]&amp;CompilDonnées[[#This Row],[PlantationDate]])</f>
        <v>90445646</v>
      </c>
      <c r="O489" t="str">
        <f>CompilDonnées[[#This Row],[FarmID]]&amp;CompilDonnées[[#This Row],[ModuleNumber]]</f>
        <v>904</v>
      </c>
      <c r="P489" t="str">
        <f>CompilDonnées[[#This Row],[Ref_Module]]&amp;CompilDonnées[[#This Row],[HarvestingDate]]</f>
        <v>90445694</v>
      </c>
    </row>
    <row r="490" spans="1:16">
      <c r="A490" s="5">
        <v>45646</v>
      </c>
      <c r="B490">
        <v>89</v>
      </c>
      <c r="C490" t="s">
        <v>67</v>
      </c>
      <c r="D490">
        <v>4</v>
      </c>
      <c r="E490">
        <v>100</v>
      </c>
      <c r="F490" t="s">
        <v>1</v>
      </c>
      <c r="G490" s="6">
        <v>45689</v>
      </c>
      <c r="H490">
        <v>43</v>
      </c>
      <c r="I490">
        <f>ROUND(CompilDonnées[[#This Row],[CultureDuration_days]]/7,0)</f>
        <v>6</v>
      </c>
      <c r="J490">
        <v>2804</v>
      </c>
      <c r="K490" t="str">
        <f>_xlfn.CONCAT(WEEKNUM(CompilDonnées[[#This Row],[PlantationDate]]), " ", YEAR(CompilDonnées[[#This Row],[PlantationDate]]))</f>
        <v>51 2024</v>
      </c>
      <c r="L490" t="str">
        <f>CONCATENATE(MONTH(CompilDonnées[[#This Row],[PlantationDate]])," ", YEAR(CompilDonnées[[#This Row],[PlantationDate]]))</f>
        <v>12 2024</v>
      </c>
      <c r="M490" t="str">
        <f>CONCATENATE(MONTH(CompilDonnées[[#This Row],[HarvestingDate]])," ", YEAR(CompilDonnées[[#This Row],[HarvestingDate]]))</f>
        <v>2 2025</v>
      </c>
      <c r="N490">
        <f>_xlfn.NUMBERVALUE(CompilDonnées[[#This Row],[FarmID]]&amp;CompilDonnées[[#This Row],[ModuleNumber]]&amp;CompilDonnées[[#This Row],[PlantationDate]])</f>
        <v>89445646</v>
      </c>
      <c r="O490" t="str">
        <f>CompilDonnées[[#This Row],[FarmID]]&amp;CompilDonnées[[#This Row],[ModuleNumber]]</f>
        <v>894</v>
      </c>
      <c r="P490" t="str">
        <f>CompilDonnées[[#This Row],[Ref_Module]]&amp;CompilDonnées[[#This Row],[HarvestingDate]]</f>
        <v>89445689</v>
      </c>
    </row>
    <row r="491" spans="1:16">
      <c r="A491" s="5">
        <v>45646</v>
      </c>
      <c r="B491">
        <v>97</v>
      </c>
      <c r="C491" t="s">
        <v>78</v>
      </c>
      <c r="D491">
        <v>4</v>
      </c>
      <c r="E491">
        <v>100</v>
      </c>
      <c r="F491" t="s">
        <v>1</v>
      </c>
      <c r="G491" s="6">
        <v>45699</v>
      </c>
      <c r="H491">
        <v>53</v>
      </c>
      <c r="I491">
        <f>ROUND(CompilDonnées[[#This Row],[CultureDuration_days]]/7,0)</f>
        <v>8</v>
      </c>
      <c r="J491">
        <v>3044</v>
      </c>
      <c r="K491" t="str">
        <f>_xlfn.CONCAT(WEEKNUM(CompilDonnées[[#This Row],[PlantationDate]]), " ", YEAR(CompilDonnées[[#This Row],[PlantationDate]]))</f>
        <v>51 2024</v>
      </c>
      <c r="L491" t="str">
        <f>CONCATENATE(MONTH(CompilDonnées[[#This Row],[PlantationDate]])," ", YEAR(CompilDonnées[[#This Row],[PlantationDate]]))</f>
        <v>12 2024</v>
      </c>
      <c r="M491" t="str">
        <f>CONCATENATE(MONTH(CompilDonnées[[#This Row],[HarvestingDate]])," ", YEAR(CompilDonnées[[#This Row],[HarvestingDate]]))</f>
        <v>2 2025</v>
      </c>
      <c r="N491">
        <f>_xlfn.NUMBERVALUE(CompilDonnées[[#This Row],[FarmID]]&amp;CompilDonnées[[#This Row],[ModuleNumber]]&amp;CompilDonnées[[#This Row],[PlantationDate]])</f>
        <v>97445646</v>
      </c>
      <c r="O491" t="str">
        <f>CompilDonnées[[#This Row],[FarmID]]&amp;CompilDonnées[[#This Row],[ModuleNumber]]</f>
        <v>974</v>
      </c>
      <c r="P491" t="str">
        <f>CompilDonnées[[#This Row],[Ref_Module]]&amp;CompilDonnées[[#This Row],[HarvestingDate]]</f>
        <v>97445699</v>
      </c>
    </row>
    <row r="492" spans="1:16">
      <c r="A492" s="5">
        <v>45646</v>
      </c>
      <c r="B492">
        <v>95</v>
      </c>
      <c r="C492" t="s">
        <v>90</v>
      </c>
      <c r="D492">
        <v>1</v>
      </c>
      <c r="E492">
        <v>100</v>
      </c>
      <c r="F492" t="s">
        <v>1</v>
      </c>
      <c r="G492" s="6">
        <v>45694</v>
      </c>
      <c r="H492">
        <v>48</v>
      </c>
      <c r="I492">
        <f>ROUND(CompilDonnées[[#This Row],[CultureDuration_days]]/7,0)</f>
        <v>7</v>
      </c>
      <c r="J492">
        <v>2811</v>
      </c>
      <c r="K492" t="str">
        <f>_xlfn.CONCAT(WEEKNUM(CompilDonnées[[#This Row],[PlantationDate]]), " ", YEAR(CompilDonnées[[#This Row],[PlantationDate]]))</f>
        <v>51 2024</v>
      </c>
      <c r="L492" t="str">
        <f>CONCATENATE(MONTH(CompilDonnées[[#This Row],[PlantationDate]])," ", YEAR(CompilDonnées[[#This Row],[PlantationDate]]))</f>
        <v>12 2024</v>
      </c>
      <c r="M492" t="str">
        <f>CONCATENATE(MONTH(CompilDonnées[[#This Row],[HarvestingDate]])," ", YEAR(CompilDonnées[[#This Row],[HarvestingDate]]))</f>
        <v>2 2025</v>
      </c>
      <c r="N492">
        <f>_xlfn.NUMBERVALUE(CompilDonnées[[#This Row],[FarmID]]&amp;CompilDonnées[[#This Row],[ModuleNumber]]&amp;CompilDonnées[[#This Row],[PlantationDate]])</f>
        <v>95145646</v>
      </c>
      <c r="O492" t="str">
        <f>CompilDonnées[[#This Row],[FarmID]]&amp;CompilDonnées[[#This Row],[ModuleNumber]]</f>
        <v>951</v>
      </c>
      <c r="P492" t="str">
        <f>CompilDonnées[[#This Row],[Ref_Module]]&amp;CompilDonnées[[#This Row],[HarvestingDate]]</f>
        <v>95145694</v>
      </c>
    </row>
    <row r="493" spans="1:16">
      <c r="A493" s="5">
        <v>45647</v>
      </c>
      <c r="B493">
        <v>6</v>
      </c>
      <c r="C493" t="s">
        <v>24</v>
      </c>
      <c r="D493">
        <v>2</v>
      </c>
      <c r="E493">
        <v>100</v>
      </c>
      <c r="F493" t="s">
        <v>1</v>
      </c>
      <c r="G493" s="6">
        <v>45688</v>
      </c>
      <c r="H493">
        <v>41</v>
      </c>
      <c r="I493">
        <f>ROUND(CompilDonnées[[#This Row],[CultureDuration_days]]/7,0)</f>
        <v>6</v>
      </c>
      <c r="J493">
        <v>3703</v>
      </c>
      <c r="K493" t="str">
        <f>_xlfn.CONCAT(WEEKNUM(CompilDonnées[[#This Row],[PlantationDate]]), " ", YEAR(CompilDonnées[[#This Row],[PlantationDate]]))</f>
        <v>51 2024</v>
      </c>
      <c r="L493" t="str">
        <f>CONCATENATE(MONTH(CompilDonnées[[#This Row],[PlantationDate]])," ", YEAR(CompilDonnées[[#This Row],[PlantationDate]]))</f>
        <v>12 2024</v>
      </c>
      <c r="M493" t="str">
        <f>CONCATENATE(MONTH(CompilDonnées[[#This Row],[HarvestingDate]])," ", YEAR(CompilDonnées[[#This Row],[HarvestingDate]]))</f>
        <v>1 2025</v>
      </c>
      <c r="N493">
        <f>_xlfn.NUMBERVALUE(CompilDonnées[[#This Row],[FarmID]]&amp;CompilDonnées[[#This Row],[ModuleNumber]]&amp;CompilDonnées[[#This Row],[PlantationDate]])</f>
        <v>6245647</v>
      </c>
      <c r="O493" t="str">
        <f>CompilDonnées[[#This Row],[FarmID]]&amp;CompilDonnées[[#This Row],[ModuleNumber]]</f>
        <v>62</v>
      </c>
      <c r="P493" t="str">
        <f>CompilDonnées[[#This Row],[Ref_Module]]&amp;CompilDonnées[[#This Row],[HarvestingDate]]</f>
        <v>6245688</v>
      </c>
    </row>
    <row r="494" spans="1:16">
      <c r="A494" s="5">
        <v>45647</v>
      </c>
      <c r="B494">
        <v>5</v>
      </c>
      <c r="C494" t="s">
        <v>32</v>
      </c>
      <c r="D494">
        <v>6</v>
      </c>
      <c r="E494">
        <v>100</v>
      </c>
      <c r="F494" t="s">
        <v>1</v>
      </c>
      <c r="G494" s="6">
        <v>45693</v>
      </c>
      <c r="H494">
        <v>46</v>
      </c>
      <c r="I494">
        <f>ROUND(CompilDonnées[[#This Row],[CultureDuration_days]]/7,0)</f>
        <v>7</v>
      </c>
      <c r="J494">
        <v>2933</v>
      </c>
      <c r="K494" t="str">
        <f>_xlfn.CONCAT(WEEKNUM(CompilDonnées[[#This Row],[PlantationDate]]), " ", YEAR(CompilDonnées[[#This Row],[PlantationDate]]))</f>
        <v>51 2024</v>
      </c>
      <c r="L494" t="str">
        <f>CONCATENATE(MONTH(CompilDonnées[[#This Row],[PlantationDate]])," ", YEAR(CompilDonnées[[#This Row],[PlantationDate]]))</f>
        <v>12 2024</v>
      </c>
      <c r="M494" t="str">
        <f>CONCATENATE(MONTH(CompilDonnées[[#This Row],[HarvestingDate]])," ", YEAR(CompilDonnées[[#This Row],[HarvestingDate]]))</f>
        <v>2 2025</v>
      </c>
      <c r="N494">
        <f>_xlfn.NUMBERVALUE(CompilDonnées[[#This Row],[FarmID]]&amp;CompilDonnées[[#This Row],[ModuleNumber]]&amp;CompilDonnées[[#This Row],[PlantationDate]])</f>
        <v>5645647</v>
      </c>
      <c r="O494" t="str">
        <f>CompilDonnées[[#This Row],[FarmID]]&amp;CompilDonnées[[#This Row],[ModuleNumber]]</f>
        <v>56</v>
      </c>
      <c r="P494" t="str">
        <f>CompilDonnées[[#This Row],[Ref_Module]]&amp;CompilDonnées[[#This Row],[HarvestingDate]]</f>
        <v>5645693</v>
      </c>
    </row>
    <row r="495" spans="1:16">
      <c r="A495" s="5">
        <v>45647</v>
      </c>
      <c r="B495">
        <v>4</v>
      </c>
      <c r="C495" t="s">
        <v>74</v>
      </c>
      <c r="D495">
        <v>3</v>
      </c>
      <c r="E495">
        <v>100</v>
      </c>
      <c r="F495" t="s">
        <v>1</v>
      </c>
      <c r="G495" s="6">
        <v>45693</v>
      </c>
      <c r="H495">
        <v>46</v>
      </c>
      <c r="I495">
        <f>ROUND(CompilDonnées[[#This Row],[CultureDuration_days]]/7,0)</f>
        <v>7</v>
      </c>
      <c r="J495">
        <v>2282</v>
      </c>
      <c r="K495" t="str">
        <f>_xlfn.CONCAT(WEEKNUM(CompilDonnées[[#This Row],[PlantationDate]]), " ", YEAR(CompilDonnées[[#This Row],[PlantationDate]]))</f>
        <v>51 2024</v>
      </c>
      <c r="L495" t="str">
        <f>CONCATENATE(MONTH(CompilDonnées[[#This Row],[PlantationDate]])," ", YEAR(CompilDonnées[[#This Row],[PlantationDate]]))</f>
        <v>12 2024</v>
      </c>
      <c r="M495" t="str">
        <f>CONCATENATE(MONTH(CompilDonnées[[#This Row],[HarvestingDate]])," ", YEAR(CompilDonnées[[#This Row],[HarvestingDate]]))</f>
        <v>2 2025</v>
      </c>
      <c r="N495">
        <f>_xlfn.NUMBERVALUE(CompilDonnées[[#This Row],[FarmID]]&amp;CompilDonnées[[#This Row],[ModuleNumber]]&amp;CompilDonnées[[#This Row],[PlantationDate]])</f>
        <v>4345647</v>
      </c>
      <c r="O495" t="str">
        <f>CompilDonnées[[#This Row],[FarmID]]&amp;CompilDonnées[[#This Row],[ModuleNumber]]</f>
        <v>43</v>
      </c>
      <c r="P495" t="str">
        <f>CompilDonnées[[#This Row],[Ref_Module]]&amp;CompilDonnées[[#This Row],[HarvestingDate]]</f>
        <v>4345693</v>
      </c>
    </row>
    <row r="496" spans="1:16">
      <c r="A496" s="5">
        <v>45647</v>
      </c>
      <c r="B496">
        <v>3</v>
      </c>
      <c r="C496" t="s">
        <v>116</v>
      </c>
      <c r="D496">
        <v>3</v>
      </c>
      <c r="E496">
        <v>100</v>
      </c>
      <c r="F496" t="s">
        <v>1</v>
      </c>
      <c r="G496" s="6">
        <v>45693</v>
      </c>
      <c r="H496">
        <v>46</v>
      </c>
      <c r="I496">
        <f>ROUND(CompilDonnées[[#This Row],[CultureDuration_days]]/7,0)</f>
        <v>7</v>
      </c>
      <c r="J496">
        <v>2140</v>
      </c>
      <c r="K496" t="str">
        <f>_xlfn.CONCAT(WEEKNUM(CompilDonnées[[#This Row],[PlantationDate]]), " ", YEAR(CompilDonnées[[#This Row],[PlantationDate]]))</f>
        <v>51 2024</v>
      </c>
      <c r="L496" t="str">
        <f>CONCATENATE(MONTH(CompilDonnées[[#This Row],[PlantationDate]])," ", YEAR(CompilDonnées[[#This Row],[PlantationDate]]))</f>
        <v>12 2024</v>
      </c>
      <c r="M496" t="str">
        <f>CONCATENATE(MONTH(CompilDonnées[[#This Row],[HarvestingDate]])," ", YEAR(CompilDonnées[[#This Row],[HarvestingDate]]))</f>
        <v>2 2025</v>
      </c>
      <c r="N496">
        <f>_xlfn.NUMBERVALUE(CompilDonnées[[#This Row],[FarmID]]&amp;CompilDonnées[[#This Row],[ModuleNumber]]&amp;CompilDonnées[[#This Row],[PlantationDate]])</f>
        <v>3345647</v>
      </c>
      <c r="O496" t="str">
        <f>CompilDonnées[[#This Row],[FarmID]]&amp;CompilDonnées[[#This Row],[ModuleNumber]]</f>
        <v>33</v>
      </c>
      <c r="P496" t="str">
        <f>CompilDonnées[[#This Row],[Ref_Module]]&amp;CompilDonnées[[#This Row],[HarvestingDate]]</f>
        <v>3345693</v>
      </c>
    </row>
    <row r="497" spans="1:16">
      <c r="A497" s="5">
        <v>45647</v>
      </c>
      <c r="B497">
        <v>18</v>
      </c>
      <c r="C497" t="s">
        <v>33</v>
      </c>
      <c r="D497">
        <v>4</v>
      </c>
      <c r="E497">
        <v>100</v>
      </c>
      <c r="F497" t="s">
        <v>1</v>
      </c>
      <c r="G497" s="6">
        <v>45688</v>
      </c>
      <c r="H497">
        <v>41</v>
      </c>
      <c r="I497">
        <f>ROUND(CompilDonnées[[#This Row],[CultureDuration_days]]/7,0)</f>
        <v>6</v>
      </c>
      <c r="J497">
        <v>3464</v>
      </c>
      <c r="K497" t="str">
        <f>_xlfn.CONCAT(WEEKNUM(CompilDonnées[[#This Row],[PlantationDate]]), " ", YEAR(CompilDonnées[[#This Row],[PlantationDate]]))</f>
        <v>51 2024</v>
      </c>
      <c r="L497" t="str">
        <f>CONCATENATE(MONTH(CompilDonnées[[#This Row],[PlantationDate]])," ", YEAR(CompilDonnées[[#This Row],[PlantationDate]]))</f>
        <v>12 2024</v>
      </c>
      <c r="M497" t="str">
        <f>CONCATENATE(MONTH(CompilDonnées[[#This Row],[HarvestingDate]])," ", YEAR(CompilDonnées[[#This Row],[HarvestingDate]]))</f>
        <v>1 2025</v>
      </c>
      <c r="N497">
        <f>_xlfn.NUMBERVALUE(CompilDonnées[[#This Row],[FarmID]]&amp;CompilDonnées[[#This Row],[ModuleNumber]]&amp;CompilDonnées[[#This Row],[PlantationDate]])</f>
        <v>18445647</v>
      </c>
      <c r="O497" t="str">
        <f>CompilDonnées[[#This Row],[FarmID]]&amp;CompilDonnées[[#This Row],[ModuleNumber]]</f>
        <v>184</v>
      </c>
      <c r="P497" t="str">
        <f>CompilDonnées[[#This Row],[Ref_Module]]&amp;CompilDonnées[[#This Row],[HarvestingDate]]</f>
        <v>18445688</v>
      </c>
    </row>
    <row r="498" spans="1:16">
      <c r="A498" s="5">
        <v>45647</v>
      </c>
      <c r="B498">
        <v>17</v>
      </c>
      <c r="C498" t="s">
        <v>80</v>
      </c>
      <c r="D498">
        <v>1</v>
      </c>
      <c r="E498">
        <v>100</v>
      </c>
      <c r="F498" t="s">
        <v>1</v>
      </c>
      <c r="G498" s="6">
        <v>45690</v>
      </c>
      <c r="H498">
        <v>43</v>
      </c>
      <c r="I498">
        <f>ROUND(CompilDonnées[[#This Row],[CultureDuration_days]]/7,0)</f>
        <v>6</v>
      </c>
      <c r="J498">
        <v>3170</v>
      </c>
      <c r="K498" t="str">
        <f>_xlfn.CONCAT(WEEKNUM(CompilDonnées[[#This Row],[PlantationDate]]), " ", YEAR(CompilDonnées[[#This Row],[PlantationDate]]))</f>
        <v>51 2024</v>
      </c>
      <c r="L498" t="str">
        <f>CONCATENATE(MONTH(CompilDonnées[[#This Row],[PlantationDate]])," ", YEAR(CompilDonnées[[#This Row],[PlantationDate]]))</f>
        <v>12 2024</v>
      </c>
      <c r="M498" t="str">
        <f>CONCATENATE(MONTH(CompilDonnées[[#This Row],[HarvestingDate]])," ", YEAR(CompilDonnées[[#This Row],[HarvestingDate]]))</f>
        <v>2 2025</v>
      </c>
      <c r="N498">
        <f>_xlfn.NUMBERVALUE(CompilDonnées[[#This Row],[FarmID]]&amp;CompilDonnées[[#This Row],[ModuleNumber]]&amp;CompilDonnées[[#This Row],[PlantationDate]])</f>
        <v>17145647</v>
      </c>
      <c r="O498" t="str">
        <f>CompilDonnées[[#This Row],[FarmID]]&amp;CompilDonnées[[#This Row],[ModuleNumber]]</f>
        <v>171</v>
      </c>
      <c r="P498" t="str">
        <f>CompilDonnées[[#This Row],[Ref_Module]]&amp;CompilDonnées[[#This Row],[HarvestingDate]]</f>
        <v>17145690</v>
      </c>
    </row>
    <row r="499" spans="1:16">
      <c r="A499" s="5">
        <v>45647</v>
      </c>
      <c r="B499">
        <v>15</v>
      </c>
      <c r="C499" t="s">
        <v>5</v>
      </c>
      <c r="D499">
        <v>1</v>
      </c>
      <c r="E499">
        <v>100</v>
      </c>
      <c r="F499" t="s">
        <v>1</v>
      </c>
      <c r="G499" s="6">
        <v>45693</v>
      </c>
      <c r="H499">
        <v>46</v>
      </c>
      <c r="I499">
        <f>ROUND(CompilDonnées[[#This Row],[CultureDuration_days]]/7,0)</f>
        <v>7</v>
      </c>
      <c r="J499">
        <v>1824</v>
      </c>
      <c r="K499" t="str">
        <f>_xlfn.CONCAT(WEEKNUM(CompilDonnées[[#This Row],[PlantationDate]]), " ", YEAR(CompilDonnées[[#This Row],[PlantationDate]]))</f>
        <v>51 2024</v>
      </c>
      <c r="L499" t="str">
        <f>CONCATENATE(MONTH(CompilDonnées[[#This Row],[PlantationDate]])," ", YEAR(CompilDonnées[[#This Row],[PlantationDate]]))</f>
        <v>12 2024</v>
      </c>
      <c r="M499" t="str">
        <f>CONCATENATE(MONTH(CompilDonnées[[#This Row],[HarvestingDate]])," ", YEAR(CompilDonnées[[#This Row],[HarvestingDate]]))</f>
        <v>2 2025</v>
      </c>
      <c r="N499">
        <f>_xlfn.NUMBERVALUE(CompilDonnées[[#This Row],[FarmID]]&amp;CompilDonnées[[#This Row],[ModuleNumber]]&amp;CompilDonnées[[#This Row],[PlantationDate]])</f>
        <v>15145647</v>
      </c>
      <c r="O499" t="str">
        <f>CompilDonnées[[#This Row],[FarmID]]&amp;CompilDonnées[[#This Row],[ModuleNumber]]</f>
        <v>151</v>
      </c>
      <c r="P499" t="str">
        <f>CompilDonnées[[#This Row],[Ref_Module]]&amp;CompilDonnées[[#This Row],[HarvestingDate]]</f>
        <v>15145693</v>
      </c>
    </row>
    <row r="500" spans="1:16">
      <c r="A500" s="5">
        <v>45647</v>
      </c>
      <c r="B500">
        <v>23</v>
      </c>
      <c r="C500" t="s">
        <v>44</v>
      </c>
      <c r="D500">
        <v>4</v>
      </c>
      <c r="E500">
        <v>100</v>
      </c>
      <c r="F500" t="s">
        <v>1</v>
      </c>
      <c r="G500" s="6">
        <v>45687</v>
      </c>
      <c r="H500">
        <v>40</v>
      </c>
      <c r="I500">
        <f>ROUND(CompilDonnées[[#This Row],[CultureDuration_days]]/7,0)</f>
        <v>6</v>
      </c>
      <c r="J500">
        <v>2982</v>
      </c>
      <c r="K500" t="str">
        <f>_xlfn.CONCAT(WEEKNUM(CompilDonnées[[#This Row],[PlantationDate]]), " ", YEAR(CompilDonnées[[#This Row],[PlantationDate]]))</f>
        <v>51 2024</v>
      </c>
      <c r="L500" t="str">
        <f>CONCATENATE(MONTH(CompilDonnées[[#This Row],[PlantationDate]])," ", YEAR(CompilDonnées[[#This Row],[PlantationDate]]))</f>
        <v>12 2024</v>
      </c>
      <c r="M500" t="str">
        <f>CONCATENATE(MONTH(CompilDonnées[[#This Row],[HarvestingDate]])," ", YEAR(CompilDonnées[[#This Row],[HarvestingDate]]))</f>
        <v>1 2025</v>
      </c>
      <c r="N500">
        <f>_xlfn.NUMBERVALUE(CompilDonnées[[#This Row],[FarmID]]&amp;CompilDonnées[[#This Row],[ModuleNumber]]&amp;CompilDonnées[[#This Row],[PlantationDate]])</f>
        <v>23445647</v>
      </c>
      <c r="O500" t="str">
        <f>CompilDonnées[[#This Row],[FarmID]]&amp;CompilDonnées[[#This Row],[ModuleNumber]]</f>
        <v>234</v>
      </c>
      <c r="P500" t="str">
        <f>CompilDonnées[[#This Row],[Ref_Module]]&amp;CompilDonnées[[#This Row],[HarvestingDate]]</f>
        <v>23445687</v>
      </c>
    </row>
    <row r="501" spans="1:16">
      <c r="A501" s="5">
        <v>45647</v>
      </c>
      <c r="B501">
        <v>22</v>
      </c>
      <c r="C501" t="s">
        <v>43</v>
      </c>
      <c r="D501">
        <v>6</v>
      </c>
      <c r="E501">
        <v>100</v>
      </c>
      <c r="F501" t="s">
        <v>1</v>
      </c>
      <c r="G501" s="6">
        <v>45690</v>
      </c>
      <c r="H501">
        <v>43</v>
      </c>
      <c r="I501">
        <f>ROUND(CompilDonnées[[#This Row],[CultureDuration_days]]/7,0)</f>
        <v>6</v>
      </c>
      <c r="J501">
        <v>3828</v>
      </c>
      <c r="K501" t="str">
        <f>_xlfn.CONCAT(WEEKNUM(CompilDonnées[[#This Row],[PlantationDate]]), " ", YEAR(CompilDonnées[[#This Row],[PlantationDate]]))</f>
        <v>51 2024</v>
      </c>
      <c r="L501" t="str">
        <f>CONCATENATE(MONTH(CompilDonnées[[#This Row],[PlantationDate]])," ", YEAR(CompilDonnées[[#This Row],[PlantationDate]]))</f>
        <v>12 2024</v>
      </c>
      <c r="M501" t="str">
        <f>CONCATENATE(MONTH(CompilDonnées[[#This Row],[HarvestingDate]])," ", YEAR(CompilDonnées[[#This Row],[HarvestingDate]]))</f>
        <v>2 2025</v>
      </c>
      <c r="N501">
        <f>_xlfn.NUMBERVALUE(CompilDonnées[[#This Row],[FarmID]]&amp;CompilDonnées[[#This Row],[ModuleNumber]]&amp;CompilDonnées[[#This Row],[PlantationDate]])</f>
        <v>22645647</v>
      </c>
      <c r="O501" t="str">
        <f>CompilDonnées[[#This Row],[FarmID]]&amp;CompilDonnées[[#This Row],[ModuleNumber]]</f>
        <v>226</v>
      </c>
      <c r="P501" t="str">
        <f>CompilDonnées[[#This Row],[Ref_Module]]&amp;CompilDonnées[[#This Row],[HarvestingDate]]</f>
        <v>22645690</v>
      </c>
    </row>
    <row r="502" spans="1:16">
      <c r="A502" s="5">
        <v>45647</v>
      </c>
      <c r="B502">
        <v>21</v>
      </c>
      <c r="C502" t="s">
        <v>0</v>
      </c>
      <c r="D502">
        <v>4</v>
      </c>
      <c r="E502">
        <v>100</v>
      </c>
      <c r="F502" t="s">
        <v>1</v>
      </c>
      <c r="G502" s="6">
        <v>45693</v>
      </c>
      <c r="H502">
        <v>46</v>
      </c>
      <c r="I502">
        <f>ROUND(CompilDonnées[[#This Row],[CultureDuration_days]]/7,0)</f>
        <v>7</v>
      </c>
      <c r="J502">
        <v>2512</v>
      </c>
      <c r="K502" t="str">
        <f>_xlfn.CONCAT(WEEKNUM(CompilDonnées[[#This Row],[PlantationDate]]), " ", YEAR(CompilDonnées[[#This Row],[PlantationDate]]))</f>
        <v>51 2024</v>
      </c>
      <c r="L502" t="str">
        <f>CONCATENATE(MONTH(CompilDonnées[[#This Row],[PlantationDate]])," ", YEAR(CompilDonnées[[#This Row],[PlantationDate]]))</f>
        <v>12 2024</v>
      </c>
      <c r="M502" t="str">
        <f>CONCATENATE(MONTH(CompilDonnées[[#This Row],[HarvestingDate]])," ", YEAR(CompilDonnées[[#This Row],[HarvestingDate]]))</f>
        <v>2 2025</v>
      </c>
      <c r="N502">
        <f>_xlfn.NUMBERVALUE(CompilDonnées[[#This Row],[FarmID]]&amp;CompilDonnées[[#This Row],[ModuleNumber]]&amp;CompilDonnées[[#This Row],[PlantationDate]])</f>
        <v>21445647</v>
      </c>
      <c r="O502" t="str">
        <f>CompilDonnées[[#This Row],[FarmID]]&amp;CompilDonnées[[#This Row],[ModuleNumber]]</f>
        <v>214</v>
      </c>
      <c r="P502" t="str">
        <f>CompilDonnées[[#This Row],[Ref_Module]]&amp;CompilDonnées[[#This Row],[HarvestingDate]]</f>
        <v>21445693</v>
      </c>
    </row>
    <row r="503" spans="1:16">
      <c r="A503" s="5">
        <v>45647</v>
      </c>
      <c r="B503">
        <v>41</v>
      </c>
      <c r="C503" t="s">
        <v>70</v>
      </c>
      <c r="D503">
        <v>1</v>
      </c>
      <c r="E503">
        <v>100</v>
      </c>
      <c r="F503" t="s">
        <v>1</v>
      </c>
      <c r="G503" s="6">
        <v>45689</v>
      </c>
      <c r="H503">
        <v>42</v>
      </c>
      <c r="I503">
        <f>ROUND(CompilDonnées[[#This Row],[CultureDuration_days]]/7,0)</f>
        <v>6</v>
      </c>
      <c r="J503">
        <v>2001</v>
      </c>
      <c r="K503" t="str">
        <f>_xlfn.CONCAT(WEEKNUM(CompilDonnées[[#This Row],[PlantationDate]]), " ", YEAR(CompilDonnées[[#This Row],[PlantationDate]]))</f>
        <v>51 2024</v>
      </c>
      <c r="L503" t="str">
        <f>CONCATENATE(MONTH(CompilDonnées[[#This Row],[PlantationDate]])," ", YEAR(CompilDonnées[[#This Row],[PlantationDate]]))</f>
        <v>12 2024</v>
      </c>
      <c r="M503" t="str">
        <f>CONCATENATE(MONTH(CompilDonnées[[#This Row],[HarvestingDate]])," ", YEAR(CompilDonnées[[#This Row],[HarvestingDate]]))</f>
        <v>2 2025</v>
      </c>
      <c r="N503">
        <f>_xlfn.NUMBERVALUE(CompilDonnées[[#This Row],[FarmID]]&amp;CompilDonnées[[#This Row],[ModuleNumber]]&amp;CompilDonnées[[#This Row],[PlantationDate]])</f>
        <v>41145647</v>
      </c>
      <c r="O503" t="str">
        <f>CompilDonnées[[#This Row],[FarmID]]&amp;CompilDonnées[[#This Row],[ModuleNumber]]</f>
        <v>411</v>
      </c>
      <c r="P503" t="str">
        <f>CompilDonnées[[#This Row],[Ref_Module]]&amp;CompilDonnées[[#This Row],[HarvestingDate]]</f>
        <v>41145689</v>
      </c>
    </row>
    <row r="504" spans="1:16">
      <c r="A504" s="5">
        <v>45647</v>
      </c>
      <c r="B504">
        <v>44</v>
      </c>
      <c r="C504" t="s">
        <v>42</v>
      </c>
      <c r="D504">
        <v>2</v>
      </c>
      <c r="E504">
        <v>100</v>
      </c>
      <c r="F504" t="s">
        <v>1</v>
      </c>
      <c r="G504" s="6">
        <v>45687</v>
      </c>
      <c r="H504">
        <v>40</v>
      </c>
      <c r="I504">
        <f>ROUND(CompilDonnées[[#This Row],[CultureDuration_days]]/7,0)</f>
        <v>6</v>
      </c>
      <c r="J504">
        <v>3561</v>
      </c>
      <c r="K504" t="str">
        <f>_xlfn.CONCAT(WEEKNUM(CompilDonnées[[#This Row],[PlantationDate]]), " ", YEAR(CompilDonnées[[#This Row],[PlantationDate]]))</f>
        <v>51 2024</v>
      </c>
      <c r="L504" t="str">
        <f>CONCATENATE(MONTH(CompilDonnées[[#This Row],[PlantationDate]])," ", YEAR(CompilDonnées[[#This Row],[PlantationDate]]))</f>
        <v>12 2024</v>
      </c>
      <c r="M504" t="str">
        <f>CONCATENATE(MONTH(CompilDonnées[[#This Row],[HarvestingDate]])," ", YEAR(CompilDonnées[[#This Row],[HarvestingDate]]))</f>
        <v>1 2025</v>
      </c>
      <c r="N504">
        <f>_xlfn.NUMBERVALUE(CompilDonnées[[#This Row],[FarmID]]&amp;CompilDonnées[[#This Row],[ModuleNumber]]&amp;CompilDonnées[[#This Row],[PlantationDate]])</f>
        <v>44245647</v>
      </c>
      <c r="O504" t="str">
        <f>CompilDonnées[[#This Row],[FarmID]]&amp;CompilDonnées[[#This Row],[ModuleNumber]]</f>
        <v>442</v>
      </c>
      <c r="P504" t="str">
        <f>CompilDonnées[[#This Row],[Ref_Module]]&amp;CompilDonnées[[#This Row],[HarvestingDate]]</f>
        <v>44245687</v>
      </c>
    </row>
    <row r="505" spans="1:16">
      <c r="A505" s="5">
        <v>45647</v>
      </c>
      <c r="B505">
        <v>110</v>
      </c>
      <c r="C505" t="s">
        <v>14</v>
      </c>
      <c r="D505">
        <v>1</v>
      </c>
      <c r="E505">
        <v>100</v>
      </c>
      <c r="F505" t="s">
        <v>1</v>
      </c>
      <c r="G505" s="6">
        <v>45689</v>
      </c>
      <c r="H505">
        <v>42</v>
      </c>
      <c r="I505">
        <f>ROUND(CompilDonnées[[#This Row],[CultureDuration_days]]/7,0)</f>
        <v>6</v>
      </c>
      <c r="J505">
        <v>3166</v>
      </c>
      <c r="K505" t="str">
        <f>_xlfn.CONCAT(WEEKNUM(CompilDonnées[[#This Row],[PlantationDate]]), " ", YEAR(CompilDonnées[[#This Row],[PlantationDate]]))</f>
        <v>51 2024</v>
      </c>
      <c r="L505" t="str">
        <f>CONCATENATE(MONTH(CompilDonnées[[#This Row],[PlantationDate]])," ", YEAR(CompilDonnées[[#This Row],[PlantationDate]]))</f>
        <v>12 2024</v>
      </c>
      <c r="M505" t="str">
        <f>CONCATENATE(MONTH(CompilDonnées[[#This Row],[HarvestingDate]])," ", YEAR(CompilDonnées[[#This Row],[HarvestingDate]]))</f>
        <v>2 2025</v>
      </c>
      <c r="N505">
        <f>_xlfn.NUMBERVALUE(CompilDonnées[[#This Row],[FarmID]]&amp;CompilDonnées[[#This Row],[ModuleNumber]]&amp;CompilDonnées[[#This Row],[PlantationDate]])</f>
        <v>110145647</v>
      </c>
      <c r="O505" t="str">
        <f>CompilDonnées[[#This Row],[FarmID]]&amp;CompilDonnées[[#This Row],[ModuleNumber]]</f>
        <v>1101</v>
      </c>
      <c r="P505" t="str">
        <f>CompilDonnées[[#This Row],[Ref_Module]]&amp;CompilDonnées[[#This Row],[HarvestingDate]]</f>
        <v>110145689</v>
      </c>
    </row>
    <row r="506" spans="1:16">
      <c r="A506" s="5">
        <v>45647</v>
      </c>
      <c r="B506">
        <v>118</v>
      </c>
      <c r="C506" t="s">
        <v>51</v>
      </c>
      <c r="D506">
        <v>2</v>
      </c>
      <c r="E506">
        <v>100</v>
      </c>
      <c r="F506" t="s">
        <v>1</v>
      </c>
      <c r="G506" s="6">
        <v>45689</v>
      </c>
      <c r="H506">
        <v>42</v>
      </c>
      <c r="I506">
        <f>ROUND(CompilDonnées[[#This Row],[CultureDuration_days]]/7,0)</f>
        <v>6</v>
      </c>
      <c r="J506">
        <v>2330</v>
      </c>
      <c r="K506" t="str">
        <f>_xlfn.CONCAT(WEEKNUM(CompilDonnées[[#This Row],[PlantationDate]]), " ", YEAR(CompilDonnées[[#This Row],[PlantationDate]]))</f>
        <v>51 2024</v>
      </c>
      <c r="L506" t="str">
        <f>CONCATENATE(MONTH(CompilDonnées[[#This Row],[PlantationDate]])," ", YEAR(CompilDonnées[[#This Row],[PlantationDate]]))</f>
        <v>12 2024</v>
      </c>
      <c r="M506" t="str">
        <f>CONCATENATE(MONTH(CompilDonnées[[#This Row],[HarvestingDate]])," ", YEAR(CompilDonnées[[#This Row],[HarvestingDate]]))</f>
        <v>2 2025</v>
      </c>
      <c r="N506">
        <f>_xlfn.NUMBERVALUE(CompilDonnées[[#This Row],[FarmID]]&amp;CompilDonnées[[#This Row],[ModuleNumber]]&amp;CompilDonnées[[#This Row],[PlantationDate]])</f>
        <v>118245647</v>
      </c>
      <c r="O506" t="str">
        <f>CompilDonnées[[#This Row],[FarmID]]&amp;CompilDonnées[[#This Row],[ModuleNumber]]</f>
        <v>1182</v>
      </c>
      <c r="P506" t="str">
        <f>CompilDonnées[[#This Row],[Ref_Module]]&amp;CompilDonnées[[#This Row],[HarvestingDate]]</f>
        <v>118245689</v>
      </c>
    </row>
    <row r="507" spans="1:16">
      <c r="A507" s="5">
        <v>45647</v>
      </c>
      <c r="B507">
        <v>142</v>
      </c>
      <c r="C507" t="s">
        <v>114</v>
      </c>
      <c r="D507">
        <v>3</v>
      </c>
      <c r="E507">
        <v>100</v>
      </c>
      <c r="F507" t="s">
        <v>1</v>
      </c>
      <c r="G507" s="6">
        <v>45684</v>
      </c>
      <c r="H507">
        <v>37</v>
      </c>
      <c r="I507">
        <f>ROUND(CompilDonnées[[#This Row],[CultureDuration_days]]/7,0)</f>
        <v>5</v>
      </c>
      <c r="J507">
        <v>2842</v>
      </c>
      <c r="K507" t="str">
        <f>_xlfn.CONCAT(WEEKNUM(CompilDonnées[[#This Row],[PlantationDate]]), " ", YEAR(CompilDonnées[[#This Row],[PlantationDate]]))</f>
        <v>51 2024</v>
      </c>
      <c r="L507" t="str">
        <f>CONCATENATE(MONTH(CompilDonnées[[#This Row],[PlantationDate]])," ", YEAR(CompilDonnées[[#This Row],[PlantationDate]]))</f>
        <v>12 2024</v>
      </c>
      <c r="M507" t="str">
        <f>CONCATENATE(MONTH(CompilDonnées[[#This Row],[HarvestingDate]])," ", YEAR(CompilDonnées[[#This Row],[HarvestingDate]]))</f>
        <v>1 2025</v>
      </c>
      <c r="N507">
        <f>_xlfn.NUMBERVALUE(CompilDonnées[[#This Row],[FarmID]]&amp;CompilDonnées[[#This Row],[ModuleNumber]]&amp;CompilDonnées[[#This Row],[PlantationDate]])</f>
        <v>142345647</v>
      </c>
      <c r="O507" t="str">
        <f>CompilDonnées[[#This Row],[FarmID]]&amp;CompilDonnées[[#This Row],[ModuleNumber]]</f>
        <v>1423</v>
      </c>
      <c r="P507" t="str">
        <f>CompilDonnées[[#This Row],[Ref_Module]]&amp;CompilDonnées[[#This Row],[HarvestingDate]]</f>
        <v>142345684</v>
      </c>
    </row>
    <row r="508" spans="1:16">
      <c r="A508" s="5">
        <v>45647</v>
      </c>
      <c r="B508">
        <v>71</v>
      </c>
      <c r="C508" t="s">
        <v>19</v>
      </c>
      <c r="D508">
        <v>1</v>
      </c>
      <c r="E508">
        <v>100</v>
      </c>
      <c r="F508" t="s">
        <v>1</v>
      </c>
      <c r="G508" s="6">
        <v>45701</v>
      </c>
      <c r="H508">
        <v>54</v>
      </c>
      <c r="I508">
        <f>ROUND(CompilDonnées[[#This Row],[CultureDuration_days]]/7,0)</f>
        <v>8</v>
      </c>
      <c r="J508">
        <v>2438</v>
      </c>
      <c r="K508" t="str">
        <f>_xlfn.CONCAT(WEEKNUM(CompilDonnées[[#This Row],[PlantationDate]]), " ", YEAR(CompilDonnées[[#This Row],[PlantationDate]]))</f>
        <v>51 2024</v>
      </c>
      <c r="L508" t="str">
        <f>CONCATENATE(MONTH(CompilDonnées[[#This Row],[PlantationDate]])," ", YEAR(CompilDonnées[[#This Row],[PlantationDate]]))</f>
        <v>12 2024</v>
      </c>
      <c r="M508" t="str">
        <f>CONCATENATE(MONTH(CompilDonnées[[#This Row],[HarvestingDate]])," ", YEAR(CompilDonnées[[#This Row],[HarvestingDate]]))</f>
        <v>2 2025</v>
      </c>
      <c r="N508">
        <f>_xlfn.NUMBERVALUE(CompilDonnées[[#This Row],[FarmID]]&amp;CompilDonnées[[#This Row],[ModuleNumber]]&amp;CompilDonnées[[#This Row],[PlantationDate]])</f>
        <v>71145647</v>
      </c>
      <c r="O508" t="str">
        <f>CompilDonnées[[#This Row],[FarmID]]&amp;CompilDonnées[[#This Row],[ModuleNumber]]</f>
        <v>711</v>
      </c>
      <c r="P508" t="str">
        <f>CompilDonnées[[#This Row],[Ref_Module]]&amp;CompilDonnées[[#This Row],[HarvestingDate]]</f>
        <v>71145701</v>
      </c>
    </row>
    <row r="509" spans="1:16">
      <c r="A509" s="5">
        <v>45647</v>
      </c>
      <c r="B509">
        <v>58</v>
      </c>
      <c r="C509" t="s">
        <v>35</v>
      </c>
      <c r="D509">
        <v>2</v>
      </c>
      <c r="E509">
        <v>100</v>
      </c>
      <c r="F509" t="s">
        <v>1</v>
      </c>
      <c r="G509" s="6">
        <v>45688</v>
      </c>
      <c r="H509">
        <v>41</v>
      </c>
      <c r="I509">
        <f>ROUND(CompilDonnées[[#This Row],[CultureDuration_days]]/7,0)</f>
        <v>6</v>
      </c>
      <c r="J509">
        <v>4023</v>
      </c>
      <c r="K509" t="str">
        <f>_xlfn.CONCAT(WEEKNUM(CompilDonnées[[#This Row],[PlantationDate]]), " ", YEAR(CompilDonnées[[#This Row],[PlantationDate]]))</f>
        <v>51 2024</v>
      </c>
      <c r="L509" t="str">
        <f>CONCATENATE(MONTH(CompilDonnées[[#This Row],[PlantationDate]])," ", YEAR(CompilDonnées[[#This Row],[PlantationDate]]))</f>
        <v>12 2024</v>
      </c>
      <c r="M509" t="str">
        <f>CONCATENATE(MONTH(CompilDonnées[[#This Row],[HarvestingDate]])," ", YEAR(CompilDonnées[[#This Row],[HarvestingDate]]))</f>
        <v>1 2025</v>
      </c>
      <c r="N509">
        <f>_xlfn.NUMBERVALUE(CompilDonnées[[#This Row],[FarmID]]&amp;CompilDonnées[[#This Row],[ModuleNumber]]&amp;CompilDonnées[[#This Row],[PlantationDate]])</f>
        <v>58245647</v>
      </c>
      <c r="O509" t="str">
        <f>CompilDonnées[[#This Row],[FarmID]]&amp;CompilDonnées[[#This Row],[ModuleNumber]]</f>
        <v>582</v>
      </c>
      <c r="P509" t="str">
        <f>CompilDonnées[[#This Row],[Ref_Module]]&amp;CompilDonnées[[#This Row],[HarvestingDate]]</f>
        <v>58245688</v>
      </c>
    </row>
    <row r="510" spans="1:16">
      <c r="A510" s="5">
        <v>45647</v>
      </c>
      <c r="B510">
        <v>76</v>
      </c>
      <c r="C510" t="s">
        <v>18</v>
      </c>
      <c r="D510">
        <v>5</v>
      </c>
      <c r="E510">
        <v>100</v>
      </c>
      <c r="F510" t="s">
        <v>1</v>
      </c>
      <c r="G510" s="6">
        <v>45694</v>
      </c>
      <c r="H510">
        <v>47</v>
      </c>
      <c r="I510">
        <f>ROUND(CompilDonnées[[#This Row],[CultureDuration_days]]/7,0)</f>
        <v>7</v>
      </c>
      <c r="J510">
        <v>2672</v>
      </c>
      <c r="K510" t="str">
        <f>_xlfn.CONCAT(WEEKNUM(CompilDonnées[[#This Row],[PlantationDate]]), " ", YEAR(CompilDonnées[[#This Row],[PlantationDate]]))</f>
        <v>51 2024</v>
      </c>
      <c r="L510" t="str">
        <f>CONCATENATE(MONTH(CompilDonnées[[#This Row],[PlantationDate]])," ", YEAR(CompilDonnées[[#This Row],[PlantationDate]]))</f>
        <v>12 2024</v>
      </c>
      <c r="M510" t="str">
        <f>CONCATENATE(MONTH(CompilDonnées[[#This Row],[HarvestingDate]])," ", YEAR(CompilDonnées[[#This Row],[HarvestingDate]]))</f>
        <v>2 2025</v>
      </c>
      <c r="N510">
        <f>_xlfn.NUMBERVALUE(CompilDonnées[[#This Row],[FarmID]]&amp;CompilDonnées[[#This Row],[ModuleNumber]]&amp;CompilDonnées[[#This Row],[PlantationDate]])</f>
        <v>76545647</v>
      </c>
      <c r="O510" t="str">
        <f>CompilDonnées[[#This Row],[FarmID]]&amp;CompilDonnées[[#This Row],[ModuleNumber]]</f>
        <v>765</v>
      </c>
      <c r="P510" t="str">
        <f>CompilDonnées[[#This Row],[Ref_Module]]&amp;CompilDonnées[[#This Row],[HarvestingDate]]</f>
        <v>76545694</v>
      </c>
    </row>
    <row r="511" spans="1:16">
      <c r="A511" s="5">
        <v>45647</v>
      </c>
      <c r="B511">
        <v>83</v>
      </c>
      <c r="C511" t="s">
        <v>73</v>
      </c>
      <c r="D511">
        <v>3</v>
      </c>
      <c r="E511">
        <v>100</v>
      </c>
      <c r="F511" t="s">
        <v>1</v>
      </c>
      <c r="G511" s="6">
        <v>45694</v>
      </c>
      <c r="H511">
        <v>47</v>
      </c>
      <c r="I511">
        <f>ROUND(CompilDonnées[[#This Row],[CultureDuration_days]]/7,0)</f>
        <v>7</v>
      </c>
      <c r="J511">
        <v>2997</v>
      </c>
      <c r="K511" t="str">
        <f>_xlfn.CONCAT(WEEKNUM(CompilDonnées[[#This Row],[PlantationDate]]), " ", YEAR(CompilDonnées[[#This Row],[PlantationDate]]))</f>
        <v>51 2024</v>
      </c>
      <c r="L511" t="str">
        <f>CONCATENATE(MONTH(CompilDonnées[[#This Row],[PlantationDate]])," ", YEAR(CompilDonnées[[#This Row],[PlantationDate]]))</f>
        <v>12 2024</v>
      </c>
      <c r="M511" t="str">
        <f>CONCATENATE(MONTH(CompilDonnées[[#This Row],[HarvestingDate]])," ", YEAR(CompilDonnées[[#This Row],[HarvestingDate]]))</f>
        <v>2 2025</v>
      </c>
      <c r="N511">
        <f>_xlfn.NUMBERVALUE(CompilDonnées[[#This Row],[FarmID]]&amp;CompilDonnées[[#This Row],[ModuleNumber]]&amp;CompilDonnées[[#This Row],[PlantationDate]])</f>
        <v>83345647</v>
      </c>
      <c r="O511" t="str">
        <f>CompilDonnées[[#This Row],[FarmID]]&amp;CompilDonnées[[#This Row],[ModuleNumber]]</f>
        <v>833</v>
      </c>
      <c r="P511" t="str">
        <f>CompilDonnées[[#This Row],[Ref_Module]]&amp;CompilDonnées[[#This Row],[HarvestingDate]]</f>
        <v>83345694</v>
      </c>
    </row>
    <row r="512" spans="1:16">
      <c r="A512" s="5">
        <v>45647</v>
      </c>
      <c r="B512">
        <v>79</v>
      </c>
      <c r="C512" t="s">
        <v>61</v>
      </c>
      <c r="D512">
        <v>3</v>
      </c>
      <c r="E512">
        <v>100</v>
      </c>
      <c r="F512" t="s">
        <v>1</v>
      </c>
      <c r="G512" s="6">
        <v>45700</v>
      </c>
      <c r="H512">
        <v>53</v>
      </c>
      <c r="I512">
        <f>ROUND(CompilDonnées[[#This Row],[CultureDuration_days]]/7,0)</f>
        <v>8</v>
      </c>
      <c r="J512">
        <v>2351</v>
      </c>
      <c r="K512" t="str">
        <f>_xlfn.CONCAT(WEEKNUM(CompilDonnées[[#This Row],[PlantationDate]]), " ", YEAR(CompilDonnées[[#This Row],[PlantationDate]]))</f>
        <v>51 2024</v>
      </c>
      <c r="L512" t="str">
        <f>CONCATENATE(MONTH(CompilDonnées[[#This Row],[PlantationDate]])," ", YEAR(CompilDonnées[[#This Row],[PlantationDate]]))</f>
        <v>12 2024</v>
      </c>
      <c r="M512" t="str">
        <f>CONCATENATE(MONTH(CompilDonnées[[#This Row],[HarvestingDate]])," ", YEAR(CompilDonnées[[#This Row],[HarvestingDate]]))</f>
        <v>2 2025</v>
      </c>
      <c r="N512">
        <f>_xlfn.NUMBERVALUE(CompilDonnées[[#This Row],[FarmID]]&amp;CompilDonnées[[#This Row],[ModuleNumber]]&amp;CompilDonnées[[#This Row],[PlantationDate]])</f>
        <v>79345647</v>
      </c>
      <c r="O512" t="str">
        <f>CompilDonnées[[#This Row],[FarmID]]&amp;CompilDonnées[[#This Row],[ModuleNumber]]</f>
        <v>793</v>
      </c>
      <c r="P512" t="str">
        <f>CompilDonnées[[#This Row],[Ref_Module]]&amp;CompilDonnées[[#This Row],[HarvestingDate]]</f>
        <v>79345700</v>
      </c>
    </row>
    <row r="513" spans="1:16">
      <c r="A513" s="5">
        <v>45647</v>
      </c>
      <c r="B513">
        <v>89</v>
      </c>
      <c r="C513" t="s">
        <v>67</v>
      </c>
      <c r="D513">
        <v>5</v>
      </c>
      <c r="E513">
        <v>100</v>
      </c>
      <c r="F513" t="s">
        <v>1</v>
      </c>
      <c r="G513" s="6">
        <v>45694</v>
      </c>
      <c r="H513">
        <v>47</v>
      </c>
      <c r="I513">
        <f>ROUND(CompilDonnées[[#This Row],[CultureDuration_days]]/7,0)</f>
        <v>7</v>
      </c>
      <c r="J513">
        <v>2721</v>
      </c>
      <c r="K513" t="str">
        <f>_xlfn.CONCAT(WEEKNUM(CompilDonnées[[#This Row],[PlantationDate]]), " ", YEAR(CompilDonnées[[#This Row],[PlantationDate]]))</f>
        <v>51 2024</v>
      </c>
      <c r="L513" t="str">
        <f>CONCATENATE(MONTH(CompilDonnées[[#This Row],[PlantationDate]])," ", YEAR(CompilDonnées[[#This Row],[PlantationDate]]))</f>
        <v>12 2024</v>
      </c>
      <c r="M513" t="str">
        <f>CONCATENATE(MONTH(CompilDonnées[[#This Row],[HarvestingDate]])," ", YEAR(CompilDonnées[[#This Row],[HarvestingDate]]))</f>
        <v>2 2025</v>
      </c>
      <c r="N513">
        <f>_xlfn.NUMBERVALUE(CompilDonnées[[#This Row],[FarmID]]&amp;CompilDonnées[[#This Row],[ModuleNumber]]&amp;CompilDonnées[[#This Row],[PlantationDate]])</f>
        <v>89545647</v>
      </c>
      <c r="O513" t="str">
        <f>CompilDonnées[[#This Row],[FarmID]]&amp;CompilDonnées[[#This Row],[ModuleNumber]]</f>
        <v>895</v>
      </c>
      <c r="P513" t="str">
        <f>CompilDonnées[[#This Row],[Ref_Module]]&amp;CompilDonnées[[#This Row],[HarvestingDate]]</f>
        <v>89545694</v>
      </c>
    </row>
    <row r="514" spans="1:16">
      <c r="A514" s="5">
        <v>45647</v>
      </c>
      <c r="B514">
        <v>90</v>
      </c>
      <c r="C514" t="s">
        <v>72</v>
      </c>
      <c r="D514">
        <v>5</v>
      </c>
      <c r="E514">
        <v>100</v>
      </c>
      <c r="F514" t="s">
        <v>1</v>
      </c>
      <c r="G514" s="6">
        <v>45700</v>
      </c>
      <c r="H514">
        <v>53</v>
      </c>
      <c r="I514">
        <f>ROUND(CompilDonnées[[#This Row],[CultureDuration_days]]/7,0)</f>
        <v>8</v>
      </c>
      <c r="J514">
        <v>2580</v>
      </c>
      <c r="K514" t="str">
        <f>_xlfn.CONCAT(WEEKNUM(CompilDonnées[[#This Row],[PlantationDate]]), " ", YEAR(CompilDonnées[[#This Row],[PlantationDate]]))</f>
        <v>51 2024</v>
      </c>
      <c r="L514" t="str">
        <f>CONCATENATE(MONTH(CompilDonnées[[#This Row],[PlantationDate]])," ", YEAR(CompilDonnées[[#This Row],[PlantationDate]]))</f>
        <v>12 2024</v>
      </c>
      <c r="M514" t="str">
        <f>CONCATENATE(MONTH(CompilDonnées[[#This Row],[HarvestingDate]])," ", YEAR(CompilDonnées[[#This Row],[HarvestingDate]]))</f>
        <v>2 2025</v>
      </c>
      <c r="N514">
        <f>_xlfn.NUMBERVALUE(CompilDonnées[[#This Row],[FarmID]]&amp;CompilDonnées[[#This Row],[ModuleNumber]]&amp;CompilDonnées[[#This Row],[PlantationDate]])</f>
        <v>90545647</v>
      </c>
      <c r="O514" t="str">
        <f>CompilDonnées[[#This Row],[FarmID]]&amp;CompilDonnées[[#This Row],[ModuleNumber]]</f>
        <v>905</v>
      </c>
      <c r="P514" t="str">
        <f>CompilDonnées[[#This Row],[Ref_Module]]&amp;CompilDonnées[[#This Row],[HarvestingDate]]</f>
        <v>90545700</v>
      </c>
    </row>
    <row r="515" spans="1:16">
      <c r="A515" s="5">
        <v>45647</v>
      </c>
      <c r="B515">
        <v>90</v>
      </c>
      <c r="C515" t="s">
        <v>72</v>
      </c>
      <c r="D515">
        <v>3</v>
      </c>
      <c r="E515">
        <v>100</v>
      </c>
      <c r="F515" t="s">
        <v>1</v>
      </c>
      <c r="G515" s="6">
        <v>45694</v>
      </c>
      <c r="H515">
        <v>47</v>
      </c>
      <c r="I515">
        <f>ROUND(CompilDonnées[[#This Row],[CultureDuration_days]]/7,0)</f>
        <v>7</v>
      </c>
      <c r="J515">
        <v>2700</v>
      </c>
      <c r="K515" t="str">
        <f>_xlfn.CONCAT(WEEKNUM(CompilDonnées[[#This Row],[PlantationDate]]), " ", YEAR(CompilDonnées[[#This Row],[PlantationDate]]))</f>
        <v>51 2024</v>
      </c>
      <c r="L515" t="str">
        <f>CONCATENATE(MONTH(CompilDonnées[[#This Row],[PlantationDate]])," ", YEAR(CompilDonnées[[#This Row],[PlantationDate]]))</f>
        <v>12 2024</v>
      </c>
      <c r="M515" t="str">
        <f>CONCATENATE(MONTH(CompilDonnées[[#This Row],[HarvestingDate]])," ", YEAR(CompilDonnées[[#This Row],[HarvestingDate]]))</f>
        <v>2 2025</v>
      </c>
      <c r="N515">
        <f>_xlfn.NUMBERVALUE(CompilDonnées[[#This Row],[FarmID]]&amp;CompilDonnées[[#This Row],[ModuleNumber]]&amp;CompilDonnées[[#This Row],[PlantationDate]])</f>
        <v>90345647</v>
      </c>
      <c r="O515" t="str">
        <f>CompilDonnées[[#This Row],[FarmID]]&amp;CompilDonnées[[#This Row],[ModuleNumber]]</f>
        <v>903</v>
      </c>
      <c r="P515" t="str">
        <f>CompilDonnées[[#This Row],[Ref_Module]]&amp;CompilDonnées[[#This Row],[HarvestingDate]]</f>
        <v>90345694</v>
      </c>
    </row>
    <row r="516" spans="1:16">
      <c r="A516" s="5">
        <v>45647</v>
      </c>
      <c r="B516">
        <v>85</v>
      </c>
      <c r="C516" t="s">
        <v>56</v>
      </c>
      <c r="D516">
        <v>3</v>
      </c>
      <c r="E516">
        <v>100</v>
      </c>
      <c r="F516" t="s">
        <v>1</v>
      </c>
      <c r="G516" s="6">
        <v>45690</v>
      </c>
      <c r="H516">
        <v>43</v>
      </c>
      <c r="I516">
        <f>ROUND(CompilDonnées[[#This Row],[CultureDuration_days]]/7,0)</f>
        <v>6</v>
      </c>
      <c r="J516">
        <v>2841</v>
      </c>
      <c r="K516" t="str">
        <f>_xlfn.CONCAT(WEEKNUM(CompilDonnées[[#This Row],[PlantationDate]]), " ", YEAR(CompilDonnées[[#This Row],[PlantationDate]]))</f>
        <v>51 2024</v>
      </c>
      <c r="L516" t="str">
        <f>CONCATENATE(MONTH(CompilDonnées[[#This Row],[PlantationDate]])," ", YEAR(CompilDonnées[[#This Row],[PlantationDate]]))</f>
        <v>12 2024</v>
      </c>
      <c r="M516" t="str">
        <f>CONCATENATE(MONTH(CompilDonnées[[#This Row],[HarvestingDate]])," ", YEAR(CompilDonnées[[#This Row],[HarvestingDate]]))</f>
        <v>2 2025</v>
      </c>
      <c r="N516">
        <f>_xlfn.NUMBERVALUE(CompilDonnées[[#This Row],[FarmID]]&amp;CompilDonnées[[#This Row],[ModuleNumber]]&amp;CompilDonnées[[#This Row],[PlantationDate]])</f>
        <v>85345647</v>
      </c>
      <c r="O516" t="str">
        <f>CompilDonnées[[#This Row],[FarmID]]&amp;CompilDonnées[[#This Row],[ModuleNumber]]</f>
        <v>853</v>
      </c>
      <c r="P516" t="str">
        <f>CompilDonnées[[#This Row],[Ref_Module]]&amp;CompilDonnées[[#This Row],[HarvestingDate]]</f>
        <v>85345690</v>
      </c>
    </row>
    <row r="517" spans="1:16">
      <c r="A517" s="5">
        <v>45647</v>
      </c>
      <c r="B517">
        <v>97</v>
      </c>
      <c r="C517" t="s">
        <v>78</v>
      </c>
      <c r="D517">
        <v>3</v>
      </c>
      <c r="E517">
        <v>100</v>
      </c>
      <c r="F517" t="s">
        <v>1</v>
      </c>
      <c r="G517" s="6">
        <v>45700</v>
      </c>
      <c r="H517">
        <v>53</v>
      </c>
      <c r="I517">
        <f>ROUND(CompilDonnées[[#This Row],[CultureDuration_days]]/7,0)</f>
        <v>8</v>
      </c>
      <c r="J517">
        <v>2830</v>
      </c>
      <c r="K517" t="str">
        <f>_xlfn.CONCAT(WEEKNUM(CompilDonnées[[#This Row],[PlantationDate]]), " ", YEAR(CompilDonnées[[#This Row],[PlantationDate]]))</f>
        <v>51 2024</v>
      </c>
      <c r="L517" t="str">
        <f>CONCATENATE(MONTH(CompilDonnées[[#This Row],[PlantationDate]])," ", YEAR(CompilDonnées[[#This Row],[PlantationDate]]))</f>
        <v>12 2024</v>
      </c>
      <c r="M517" t="str">
        <f>CONCATENATE(MONTH(CompilDonnées[[#This Row],[HarvestingDate]])," ", YEAR(CompilDonnées[[#This Row],[HarvestingDate]]))</f>
        <v>2 2025</v>
      </c>
      <c r="N517">
        <f>_xlfn.NUMBERVALUE(CompilDonnées[[#This Row],[FarmID]]&amp;CompilDonnées[[#This Row],[ModuleNumber]]&amp;CompilDonnées[[#This Row],[PlantationDate]])</f>
        <v>97345647</v>
      </c>
      <c r="O517" t="str">
        <f>CompilDonnées[[#This Row],[FarmID]]&amp;CompilDonnées[[#This Row],[ModuleNumber]]</f>
        <v>973</v>
      </c>
      <c r="P517" t="str">
        <f>CompilDonnées[[#This Row],[Ref_Module]]&amp;CompilDonnées[[#This Row],[HarvestingDate]]</f>
        <v>97345700</v>
      </c>
    </row>
    <row r="518" spans="1:16">
      <c r="A518" s="5">
        <v>45650</v>
      </c>
      <c r="B518">
        <v>89</v>
      </c>
      <c r="C518" t="s">
        <v>67</v>
      </c>
      <c r="D518">
        <v>6</v>
      </c>
      <c r="E518">
        <v>100</v>
      </c>
      <c r="F518" t="s">
        <v>1</v>
      </c>
      <c r="G518" s="6">
        <v>45694</v>
      </c>
      <c r="H518">
        <v>44</v>
      </c>
      <c r="I518">
        <f>ROUND(CompilDonnées[[#This Row],[CultureDuration_days]]/7,0)</f>
        <v>6</v>
      </c>
      <c r="J518">
        <v>2714</v>
      </c>
      <c r="K518" t="str">
        <f>_xlfn.CONCAT(WEEKNUM(CompilDonnées[[#This Row],[PlantationDate]]), " ", YEAR(CompilDonnées[[#This Row],[PlantationDate]]))</f>
        <v>52 2024</v>
      </c>
      <c r="L518" t="str">
        <f>CONCATENATE(MONTH(CompilDonnées[[#This Row],[PlantationDate]])," ", YEAR(CompilDonnées[[#This Row],[PlantationDate]]))</f>
        <v>12 2024</v>
      </c>
      <c r="M518" t="str">
        <f>CONCATENATE(MONTH(CompilDonnées[[#This Row],[HarvestingDate]])," ", YEAR(CompilDonnées[[#This Row],[HarvestingDate]]))</f>
        <v>2 2025</v>
      </c>
      <c r="N518">
        <f>_xlfn.NUMBERVALUE(CompilDonnées[[#This Row],[FarmID]]&amp;CompilDonnées[[#This Row],[ModuleNumber]]&amp;CompilDonnées[[#This Row],[PlantationDate]])</f>
        <v>89645650</v>
      </c>
      <c r="O518" t="str">
        <f>CompilDonnées[[#This Row],[FarmID]]&amp;CompilDonnées[[#This Row],[ModuleNumber]]</f>
        <v>896</v>
      </c>
      <c r="P518" t="str">
        <f>CompilDonnées[[#This Row],[Ref_Module]]&amp;CompilDonnées[[#This Row],[HarvestingDate]]</f>
        <v>89645694</v>
      </c>
    </row>
    <row r="519" spans="1:16">
      <c r="A519" s="5">
        <v>45650</v>
      </c>
      <c r="B519">
        <v>90</v>
      </c>
      <c r="C519" t="s">
        <v>72</v>
      </c>
      <c r="D519">
        <v>6</v>
      </c>
      <c r="E519">
        <v>100</v>
      </c>
      <c r="F519" t="s">
        <v>1</v>
      </c>
      <c r="G519" s="6">
        <v>45700</v>
      </c>
      <c r="H519">
        <v>50</v>
      </c>
      <c r="I519">
        <f>ROUND(CompilDonnées[[#This Row],[CultureDuration_days]]/7,0)</f>
        <v>7</v>
      </c>
      <c r="J519">
        <v>2481</v>
      </c>
      <c r="K519" t="str">
        <f>_xlfn.CONCAT(WEEKNUM(CompilDonnées[[#This Row],[PlantationDate]]), " ", YEAR(CompilDonnées[[#This Row],[PlantationDate]]))</f>
        <v>52 2024</v>
      </c>
      <c r="L519" t="str">
        <f>CONCATENATE(MONTH(CompilDonnées[[#This Row],[PlantationDate]])," ", YEAR(CompilDonnées[[#This Row],[PlantationDate]]))</f>
        <v>12 2024</v>
      </c>
      <c r="M519" t="str">
        <f>CONCATENATE(MONTH(CompilDonnées[[#This Row],[HarvestingDate]])," ", YEAR(CompilDonnées[[#This Row],[HarvestingDate]]))</f>
        <v>2 2025</v>
      </c>
      <c r="N519">
        <f>_xlfn.NUMBERVALUE(CompilDonnées[[#This Row],[FarmID]]&amp;CompilDonnées[[#This Row],[ModuleNumber]]&amp;CompilDonnées[[#This Row],[PlantationDate]])</f>
        <v>90645650</v>
      </c>
      <c r="O519" t="str">
        <f>CompilDonnées[[#This Row],[FarmID]]&amp;CompilDonnées[[#This Row],[ModuleNumber]]</f>
        <v>906</v>
      </c>
      <c r="P519" t="str">
        <f>CompilDonnées[[#This Row],[Ref_Module]]&amp;CompilDonnées[[#This Row],[HarvestingDate]]</f>
        <v>90645700</v>
      </c>
    </row>
    <row r="520" spans="1:16">
      <c r="A520" s="5">
        <v>45650</v>
      </c>
      <c r="B520">
        <v>104</v>
      </c>
      <c r="C520" t="s">
        <v>91</v>
      </c>
      <c r="D520">
        <v>5</v>
      </c>
      <c r="E520">
        <v>100</v>
      </c>
      <c r="F520" t="s">
        <v>1</v>
      </c>
      <c r="G520" s="6">
        <v>45699</v>
      </c>
      <c r="H520">
        <v>49</v>
      </c>
      <c r="I520">
        <f>ROUND(CompilDonnées[[#This Row],[CultureDuration_days]]/7,0)</f>
        <v>7</v>
      </c>
      <c r="J520">
        <v>2545</v>
      </c>
      <c r="K520" t="str">
        <f>_xlfn.CONCAT(WEEKNUM(CompilDonnées[[#This Row],[PlantationDate]]), " ", YEAR(CompilDonnées[[#This Row],[PlantationDate]]))</f>
        <v>52 2024</v>
      </c>
      <c r="L520" t="str">
        <f>CONCATENATE(MONTH(CompilDonnées[[#This Row],[PlantationDate]])," ", YEAR(CompilDonnées[[#This Row],[PlantationDate]]))</f>
        <v>12 2024</v>
      </c>
      <c r="M520" t="str">
        <f>CONCATENATE(MONTH(CompilDonnées[[#This Row],[HarvestingDate]])," ", YEAR(CompilDonnées[[#This Row],[HarvestingDate]]))</f>
        <v>2 2025</v>
      </c>
      <c r="N520">
        <f>_xlfn.NUMBERVALUE(CompilDonnées[[#This Row],[FarmID]]&amp;CompilDonnées[[#This Row],[ModuleNumber]]&amp;CompilDonnées[[#This Row],[PlantationDate]])</f>
        <v>104545650</v>
      </c>
      <c r="O520" t="str">
        <f>CompilDonnées[[#This Row],[FarmID]]&amp;CompilDonnées[[#This Row],[ModuleNumber]]</f>
        <v>1045</v>
      </c>
      <c r="P520" t="str">
        <f>CompilDonnées[[#This Row],[Ref_Module]]&amp;CompilDonnées[[#This Row],[HarvestingDate]]</f>
        <v>104545699</v>
      </c>
    </row>
    <row r="521" spans="1:16">
      <c r="A521" s="5">
        <v>45650</v>
      </c>
      <c r="B521">
        <v>103</v>
      </c>
      <c r="C521" t="s">
        <v>86</v>
      </c>
      <c r="D521">
        <v>3</v>
      </c>
      <c r="E521">
        <v>100</v>
      </c>
      <c r="F521" t="s">
        <v>1</v>
      </c>
      <c r="G521" s="6">
        <v>45694</v>
      </c>
      <c r="H521">
        <v>44</v>
      </c>
      <c r="I521">
        <f>ROUND(CompilDonnées[[#This Row],[CultureDuration_days]]/7,0)</f>
        <v>6</v>
      </c>
      <c r="J521">
        <v>2300</v>
      </c>
      <c r="K521" t="str">
        <f>_xlfn.CONCAT(WEEKNUM(CompilDonnées[[#This Row],[PlantationDate]]), " ", YEAR(CompilDonnées[[#This Row],[PlantationDate]]))</f>
        <v>52 2024</v>
      </c>
      <c r="L521" t="str">
        <f>CONCATENATE(MONTH(CompilDonnées[[#This Row],[PlantationDate]])," ", YEAR(CompilDonnées[[#This Row],[PlantationDate]]))</f>
        <v>12 2024</v>
      </c>
      <c r="M521" t="str">
        <f>CONCATENATE(MONTH(CompilDonnées[[#This Row],[HarvestingDate]])," ", YEAR(CompilDonnées[[#This Row],[HarvestingDate]]))</f>
        <v>2 2025</v>
      </c>
      <c r="N521">
        <f>_xlfn.NUMBERVALUE(CompilDonnées[[#This Row],[FarmID]]&amp;CompilDonnées[[#This Row],[ModuleNumber]]&amp;CompilDonnées[[#This Row],[PlantationDate]])</f>
        <v>103345650</v>
      </c>
      <c r="O521" t="str">
        <f>CompilDonnées[[#This Row],[FarmID]]&amp;CompilDonnées[[#This Row],[ModuleNumber]]</f>
        <v>1033</v>
      </c>
      <c r="P521" t="str">
        <f>CompilDonnées[[#This Row],[Ref_Module]]&amp;CompilDonnées[[#This Row],[HarvestingDate]]</f>
        <v>103345694</v>
      </c>
    </row>
    <row r="522" spans="1:16">
      <c r="A522" s="5">
        <v>45650</v>
      </c>
      <c r="B522">
        <v>6</v>
      </c>
      <c r="C522" t="s">
        <v>24</v>
      </c>
      <c r="D522">
        <v>3</v>
      </c>
      <c r="E522">
        <v>100</v>
      </c>
      <c r="F522" t="s">
        <v>1</v>
      </c>
      <c r="G522" s="6">
        <v>45693</v>
      </c>
      <c r="H522">
        <v>43</v>
      </c>
      <c r="I522">
        <f>ROUND(CompilDonnées[[#This Row],[CultureDuration_days]]/7,0)</f>
        <v>6</v>
      </c>
      <c r="J522">
        <v>3202</v>
      </c>
      <c r="K522" t="str">
        <f>_xlfn.CONCAT(WEEKNUM(CompilDonnées[[#This Row],[PlantationDate]]), " ", YEAR(CompilDonnées[[#This Row],[PlantationDate]]))</f>
        <v>52 2024</v>
      </c>
      <c r="L522" t="str">
        <f>CONCATENATE(MONTH(CompilDonnées[[#This Row],[PlantationDate]])," ", YEAR(CompilDonnées[[#This Row],[PlantationDate]]))</f>
        <v>12 2024</v>
      </c>
      <c r="M522" t="str">
        <f>CONCATENATE(MONTH(CompilDonnées[[#This Row],[HarvestingDate]])," ", YEAR(CompilDonnées[[#This Row],[HarvestingDate]]))</f>
        <v>2 2025</v>
      </c>
      <c r="N522">
        <f>_xlfn.NUMBERVALUE(CompilDonnées[[#This Row],[FarmID]]&amp;CompilDonnées[[#This Row],[ModuleNumber]]&amp;CompilDonnées[[#This Row],[PlantationDate]])</f>
        <v>6345650</v>
      </c>
      <c r="O522" t="str">
        <f>CompilDonnées[[#This Row],[FarmID]]&amp;CompilDonnées[[#This Row],[ModuleNumber]]</f>
        <v>63</v>
      </c>
      <c r="P522" t="str">
        <f>CompilDonnées[[#This Row],[Ref_Module]]&amp;CompilDonnées[[#This Row],[HarvestingDate]]</f>
        <v>6345693</v>
      </c>
    </row>
    <row r="523" spans="1:16">
      <c r="A523" s="5">
        <v>45650</v>
      </c>
      <c r="B523">
        <v>17</v>
      </c>
      <c r="C523" t="s">
        <v>80</v>
      </c>
      <c r="D523">
        <v>2</v>
      </c>
      <c r="E523">
        <v>100</v>
      </c>
      <c r="F523" t="s">
        <v>1</v>
      </c>
      <c r="G523" s="6">
        <v>45693</v>
      </c>
      <c r="H523">
        <v>43</v>
      </c>
      <c r="I523">
        <f>ROUND(CompilDonnées[[#This Row],[CultureDuration_days]]/7,0)</f>
        <v>6</v>
      </c>
      <c r="J523">
        <v>2871</v>
      </c>
      <c r="K523" t="str">
        <f>_xlfn.CONCAT(WEEKNUM(CompilDonnées[[#This Row],[PlantationDate]]), " ", YEAR(CompilDonnées[[#This Row],[PlantationDate]]))</f>
        <v>52 2024</v>
      </c>
      <c r="L523" t="str">
        <f>CONCATENATE(MONTH(CompilDonnées[[#This Row],[PlantationDate]])," ", YEAR(CompilDonnées[[#This Row],[PlantationDate]]))</f>
        <v>12 2024</v>
      </c>
      <c r="M523" t="str">
        <f>CONCATENATE(MONTH(CompilDonnées[[#This Row],[HarvestingDate]])," ", YEAR(CompilDonnées[[#This Row],[HarvestingDate]]))</f>
        <v>2 2025</v>
      </c>
      <c r="N523">
        <f>_xlfn.NUMBERVALUE(CompilDonnées[[#This Row],[FarmID]]&amp;CompilDonnées[[#This Row],[ModuleNumber]]&amp;CompilDonnées[[#This Row],[PlantationDate]])</f>
        <v>17245650</v>
      </c>
      <c r="O523" t="str">
        <f>CompilDonnées[[#This Row],[FarmID]]&amp;CompilDonnées[[#This Row],[ModuleNumber]]</f>
        <v>172</v>
      </c>
      <c r="P523" t="str">
        <f>CompilDonnées[[#This Row],[Ref_Module]]&amp;CompilDonnées[[#This Row],[HarvestingDate]]</f>
        <v>17245693</v>
      </c>
    </row>
    <row r="524" spans="1:16">
      <c r="A524" s="5">
        <v>45650</v>
      </c>
      <c r="B524">
        <v>18</v>
      </c>
      <c r="C524" t="s">
        <v>33</v>
      </c>
      <c r="D524">
        <v>1</v>
      </c>
      <c r="E524">
        <v>100</v>
      </c>
      <c r="F524" t="s">
        <v>1</v>
      </c>
      <c r="G524" s="6">
        <v>45690</v>
      </c>
      <c r="H524">
        <v>40</v>
      </c>
      <c r="I524">
        <f>ROUND(CompilDonnées[[#This Row],[CultureDuration_days]]/7,0)</f>
        <v>6</v>
      </c>
      <c r="J524">
        <v>3102</v>
      </c>
      <c r="K524" t="str">
        <f>_xlfn.CONCAT(WEEKNUM(CompilDonnées[[#This Row],[PlantationDate]]), " ", YEAR(CompilDonnées[[#This Row],[PlantationDate]]))</f>
        <v>52 2024</v>
      </c>
      <c r="L524" t="str">
        <f>CONCATENATE(MONTH(CompilDonnées[[#This Row],[PlantationDate]])," ", YEAR(CompilDonnées[[#This Row],[PlantationDate]]))</f>
        <v>12 2024</v>
      </c>
      <c r="M524" t="str">
        <f>CONCATENATE(MONTH(CompilDonnées[[#This Row],[HarvestingDate]])," ", YEAR(CompilDonnées[[#This Row],[HarvestingDate]]))</f>
        <v>2 2025</v>
      </c>
      <c r="N524">
        <f>_xlfn.NUMBERVALUE(CompilDonnées[[#This Row],[FarmID]]&amp;CompilDonnées[[#This Row],[ModuleNumber]]&amp;CompilDonnées[[#This Row],[PlantationDate]])</f>
        <v>18145650</v>
      </c>
      <c r="O524" t="str">
        <f>CompilDonnées[[#This Row],[FarmID]]&amp;CompilDonnées[[#This Row],[ModuleNumber]]</f>
        <v>181</v>
      </c>
      <c r="P524" t="str">
        <f>CompilDonnées[[#This Row],[Ref_Module]]&amp;CompilDonnées[[#This Row],[HarvestingDate]]</f>
        <v>18145690</v>
      </c>
    </row>
    <row r="525" spans="1:16">
      <c r="A525" s="5">
        <v>45650</v>
      </c>
      <c r="B525">
        <v>18</v>
      </c>
      <c r="C525" t="s">
        <v>33</v>
      </c>
      <c r="D525">
        <v>5</v>
      </c>
      <c r="E525">
        <v>100</v>
      </c>
      <c r="F525" t="s">
        <v>1</v>
      </c>
      <c r="G525" s="6">
        <v>45690</v>
      </c>
      <c r="H525">
        <v>40</v>
      </c>
      <c r="I525">
        <f>ROUND(CompilDonnées[[#This Row],[CultureDuration_days]]/7,0)</f>
        <v>6</v>
      </c>
      <c r="J525">
        <v>3102</v>
      </c>
      <c r="K525" t="str">
        <f>_xlfn.CONCAT(WEEKNUM(CompilDonnées[[#This Row],[PlantationDate]]), " ", YEAR(CompilDonnées[[#This Row],[PlantationDate]]))</f>
        <v>52 2024</v>
      </c>
      <c r="L525" t="str">
        <f>CONCATENATE(MONTH(CompilDonnées[[#This Row],[PlantationDate]])," ", YEAR(CompilDonnées[[#This Row],[PlantationDate]]))</f>
        <v>12 2024</v>
      </c>
      <c r="M525" t="str">
        <f>CONCATENATE(MONTH(CompilDonnées[[#This Row],[HarvestingDate]])," ", YEAR(CompilDonnées[[#This Row],[HarvestingDate]]))</f>
        <v>2 2025</v>
      </c>
      <c r="N525">
        <f>_xlfn.NUMBERVALUE(CompilDonnées[[#This Row],[FarmID]]&amp;CompilDonnées[[#This Row],[ModuleNumber]]&amp;CompilDonnées[[#This Row],[PlantationDate]])</f>
        <v>18545650</v>
      </c>
      <c r="O525" t="str">
        <f>CompilDonnées[[#This Row],[FarmID]]&amp;CompilDonnées[[#This Row],[ModuleNumber]]</f>
        <v>185</v>
      </c>
      <c r="P525" t="str">
        <f>CompilDonnées[[#This Row],[Ref_Module]]&amp;CompilDonnées[[#This Row],[HarvestingDate]]</f>
        <v>18545690</v>
      </c>
    </row>
    <row r="526" spans="1:16">
      <c r="A526" s="5">
        <v>45650</v>
      </c>
      <c r="B526">
        <v>24</v>
      </c>
      <c r="C526" t="s">
        <v>31</v>
      </c>
      <c r="D526">
        <v>3</v>
      </c>
      <c r="E526">
        <v>100</v>
      </c>
      <c r="F526" t="s">
        <v>1</v>
      </c>
      <c r="G526" s="6">
        <v>45687</v>
      </c>
      <c r="H526">
        <v>37</v>
      </c>
      <c r="I526">
        <f>ROUND(CompilDonnées[[#This Row],[CultureDuration_days]]/7,0)</f>
        <v>5</v>
      </c>
      <c r="J526">
        <v>3056</v>
      </c>
      <c r="K526" t="str">
        <f>_xlfn.CONCAT(WEEKNUM(CompilDonnées[[#This Row],[PlantationDate]]), " ", YEAR(CompilDonnées[[#This Row],[PlantationDate]]))</f>
        <v>52 2024</v>
      </c>
      <c r="L526" t="str">
        <f>CONCATENATE(MONTH(CompilDonnées[[#This Row],[PlantationDate]])," ", YEAR(CompilDonnées[[#This Row],[PlantationDate]]))</f>
        <v>12 2024</v>
      </c>
      <c r="M526" t="str">
        <f>CONCATENATE(MONTH(CompilDonnées[[#This Row],[HarvestingDate]])," ", YEAR(CompilDonnées[[#This Row],[HarvestingDate]]))</f>
        <v>1 2025</v>
      </c>
      <c r="N526">
        <f>_xlfn.NUMBERVALUE(CompilDonnées[[#This Row],[FarmID]]&amp;CompilDonnées[[#This Row],[ModuleNumber]]&amp;CompilDonnées[[#This Row],[PlantationDate]])</f>
        <v>24345650</v>
      </c>
      <c r="O526" t="str">
        <f>CompilDonnées[[#This Row],[FarmID]]&amp;CompilDonnées[[#This Row],[ModuleNumber]]</f>
        <v>243</v>
      </c>
      <c r="P526" t="str">
        <f>CompilDonnées[[#This Row],[Ref_Module]]&amp;CompilDonnées[[#This Row],[HarvestingDate]]</f>
        <v>24345687</v>
      </c>
    </row>
    <row r="527" spans="1:16">
      <c r="A527" s="5">
        <v>45650</v>
      </c>
      <c r="B527">
        <v>24</v>
      </c>
      <c r="C527" t="s">
        <v>31</v>
      </c>
      <c r="D527">
        <v>4</v>
      </c>
      <c r="E527">
        <v>100</v>
      </c>
      <c r="F527" t="s">
        <v>1</v>
      </c>
      <c r="G527" s="6">
        <v>45687</v>
      </c>
      <c r="H527">
        <v>37</v>
      </c>
      <c r="I527">
        <f>ROUND(CompilDonnées[[#This Row],[CultureDuration_days]]/7,0)</f>
        <v>5</v>
      </c>
      <c r="J527">
        <v>3147</v>
      </c>
      <c r="K527" t="str">
        <f>_xlfn.CONCAT(WEEKNUM(CompilDonnées[[#This Row],[PlantationDate]]), " ", YEAR(CompilDonnées[[#This Row],[PlantationDate]]))</f>
        <v>52 2024</v>
      </c>
      <c r="L527" t="str">
        <f>CONCATENATE(MONTH(CompilDonnées[[#This Row],[PlantationDate]])," ", YEAR(CompilDonnées[[#This Row],[PlantationDate]]))</f>
        <v>12 2024</v>
      </c>
      <c r="M527" t="str">
        <f>CONCATENATE(MONTH(CompilDonnées[[#This Row],[HarvestingDate]])," ", YEAR(CompilDonnées[[#This Row],[HarvestingDate]]))</f>
        <v>1 2025</v>
      </c>
      <c r="N527">
        <f>_xlfn.NUMBERVALUE(CompilDonnées[[#This Row],[FarmID]]&amp;CompilDonnées[[#This Row],[ModuleNumber]]&amp;CompilDonnées[[#This Row],[PlantationDate]])</f>
        <v>24445650</v>
      </c>
      <c r="O527" t="str">
        <f>CompilDonnées[[#This Row],[FarmID]]&amp;CompilDonnées[[#This Row],[ModuleNumber]]</f>
        <v>244</v>
      </c>
      <c r="P527" t="str">
        <f>CompilDonnées[[#This Row],[Ref_Module]]&amp;CompilDonnées[[#This Row],[HarvestingDate]]</f>
        <v>24445687</v>
      </c>
    </row>
    <row r="528" spans="1:16">
      <c r="A528" s="5">
        <v>45650</v>
      </c>
      <c r="B528">
        <v>23</v>
      </c>
      <c r="C528" t="s">
        <v>44</v>
      </c>
      <c r="D528">
        <v>2</v>
      </c>
      <c r="E528">
        <v>100</v>
      </c>
      <c r="F528" t="s">
        <v>1</v>
      </c>
      <c r="G528" s="6">
        <v>45690</v>
      </c>
      <c r="H528">
        <v>40</v>
      </c>
      <c r="I528">
        <f>ROUND(CompilDonnées[[#This Row],[CultureDuration_days]]/7,0)</f>
        <v>6</v>
      </c>
      <c r="J528">
        <v>3086</v>
      </c>
      <c r="K528" t="str">
        <f>_xlfn.CONCAT(WEEKNUM(CompilDonnées[[#This Row],[PlantationDate]]), " ", YEAR(CompilDonnées[[#This Row],[PlantationDate]]))</f>
        <v>52 2024</v>
      </c>
      <c r="L528" t="str">
        <f>CONCATENATE(MONTH(CompilDonnées[[#This Row],[PlantationDate]])," ", YEAR(CompilDonnées[[#This Row],[PlantationDate]]))</f>
        <v>12 2024</v>
      </c>
      <c r="M528" t="str">
        <f>CONCATENATE(MONTH(CompilDonnées[[#This Row],[HarvestingDate]])," ", YEAR(CompilDonnées[[#This Row],[HarvestingDate]]))</f>
        <v>2 2025</v>
      </c>
      <c r="N528">
        <f>_xlfn.NUMBERVALUE(CompilDonnées[[#This Row],[FarmID]]&amp;CompilDonnées[[#This Row],[ModuleNumber]]&amp;CompilDonnées[[#This Row],[PlantationDate]])</f>
        <v>23245650</v>
      </c>
      <c r="O528" t="str">
        <f>CompilDonnées[[#This Row],[FarmID]]&amp;CompilDonnées[[#This Row],[ModuleNumber]]</f>
        <v>232</v>
      </c>
      <c r="P528" t="str">
        <f>CompilDonnées[[#This Row],[Ref_Module]]&amp;CompilDonnées[[#This Row],[HarvestingDate]]</f>
        <v>23245690</v>
      </c>
    </row>
    <row r="529" spans="1:16">
      <c r="A529" s="5">
        <v>45650</v>
      </c>
      <c r="B529">
        <v>23</v>
      </c>
      <c r="C529" t="s">
        <v>44</v>
      </c>
      <c r="D529">
        <v>3</v>
      </c>
      <c r="E529">
        <v>100</v>
      </c>
      <c r="F529" t="s">
        <v>1</v>
      </c>
      <c r="G529" s="6">
        <v>45690</v>
      </c>
      <c r="H529">
        <v>40</v>
      </c>
      <c r="I529">
        <f>ROUND(CompilDonnées[[#This Row],[CultureDuration_days]]/7,0)</f>
        <v>6</v>
      </c>
      <c r="J529">
        <v>2847</v>
      </c>
      <c r="K529" t="str">
        <f>_xlfn.CONCAT(WEEKNUM(CompilDonnées[[#This Row],[PlantationDate]]), " ", YEAR(CompilDonnées[[#This Row],[PlantationDate]]))</f>
        <v>52 2024</v>
      </c>
      <c r="L529" t="str">
        <f>CONCATENATE(MONTH(CompilDonnées[[#This Row],[PlantationDate]])," ", YEAR(CompilDonnées[[#This Row],[PlantationDate]]))</f>
        <v>12 2024</v>
      </c>
      <c r="M529" t="str">
        <f>CONCATENATE(MONTH(CompilDonnées[[#This Row],[HarvestingDate]])," ", YEAR(CompilDonnées[[#This Row],[HarvestingDate]]))</f>
        <v>2 2025</v>
      </c>
      <c r="N529">
        <f>_xlfn.NUMBERVALUE(CompilDonnées[[#This Row],[FarmID]]&amp;CompilDonnées[[#This Row],[ModuleNumber]]&amp;CompilDonnées[[#This Row],[PlantationDate]])</f>
        <v>23345650</v>
      </c>
      <c r="O529" t="str">
        <f>CompilDonnées[[#This Row],[FarmID]]&amp;CompilDonnées[[#This Row],[ModuleNumber]]</f>
        <v>233</v>
      </c>
      <c r="P529" t="str">
        <f>CompilDonnées[[#This Row],[Ref_Module]]&amp;CompilDonnées[[#This Row],[HarvestingDate]]</f>
        <v>23345690</v>
      </c>
    </row>
    <row r="530" spans="1:16">
      <c r="A530" s="5">
        <v>45650</v>
      </c>
      <c r="B530">
        <v>21</v>
      </c>
      <c r="C530" t="s">
        <v>0</v>
      </c>
      <c r="D530">
        <v>3</v>
      </c>
      <c r="E530">
        <v>100</v>
      </c>
      <c r="F530" t="s">
        <v>1</v>
      </c>
      <c r="G530" s="6">
        <v>45693</v>
      </c>
      <c r="H530">
        <v>43</v>
      </c>
      <c r="I530">
        <f>ROUND(CompilDonnées[[#This Row],[CultureDuration_days]]/7,0)</f>
        <v>6</v>
      </c>
      <c r="J530">
        <v>2511</v>
      </c>
      <c r="K530" t="str">
        <f>_xlfn.CONCAT(WEEKNUM(CompilDonnées[[#This Row],[PlantationDate]]), " ", YEAR(CompilDonnées[[#This Row],[PlantationDate]]))</f>
        <v>52 2024</v>
      </c>
      <c r="L530" t="str">
        <f>CONCATENATE(MONTH(CompilDonnées[[#This Row],[PlantationDate]])," ", YEAR(CompilDonnées[[#This Row],[PlantationDate]]))</f>
        <v>12 2024</v>
      </c>
      <c r="M530" t="str">
        <f>CONCATENATE(MONTH(CompilDonnées[[#This Row],[HarvestingDate]])," ", YEAR(CompilDonnées[[#This Row],[HarvestingDate]]))</f>
        <v>2 2025</v>
      </c>
      <c r="N530">
        <f>_xlfn.NUMBERVALUE(CompilDonnées[[#This Row],[FarmID]]&amp;CompilDonnées[[#This Row],[ModuleNumber]]&amp;CompilDonnées[[#This Row],[PlantationDate]])</f>
        <v>21345650</v>
      </c>
      <c r="O530" t="str">
        <f>CompilDonnées[[#This Row],[FarmID]]&amp;CompilDonnées[[#This Row],[ModuleNumber]]</f>
        <v>213</v>
      </c>
      <c r="P530" t="str">
        <f>CompilDonnées[[#This Row],[Ref_Module]]&amp;CompilDonnées[[#This Row],[HarvestingDate]]</f>
        <v>21345693</v>
      </c>
    </row>
    <row r="531" spans="1:16">
      <c r="A531" s="5">
        <v>45650</v>
      </c>
      <c r="B531">
        <v>21</v>
      </c>
      <c r="C531" t="s">
        <v>0</v>
      </c>
      <c r="D531">
        <v>2</v>
      </c>
      <c r="E531">
        <v>100</v>
      </c>
      <c r="F531" t="s">
        <v>1</v>
      </c>
      <c r="G531" s="6">
        <v>45698</v>
      </c>
      <c r="H531">
        <v>48</v>
      </c>
      <c r="I531">
        <f>ROUND(CompilDonnées[[#This Row],[CultureDuration_days]]/7,0)</f>
        <v>7</v>
      </c>
      <c r="J531">
        <v>2135</v>
      </c>
      <c r="K531" t="str">
        <f>_xlfn.CONCAT(WEEKNUM(CompilDonnées[[#This Row],[PlantationDate]]), " ", YEAR(CompilDonnées[[#This Row],[PlantationDate]]))</f>
        <v>52 2024</v>
      </c>
      <c r="L531" t="str">
        <f>CONCATENATE(MONTH(CompilDonnées[[#This Row],[PlantationDate]])," ", YEAR(CompilDonnées[[#This Row],[PlantationDate]]))</f>
        <v>12 2024</v>
      </c>
      <c r="M531" t="str">
        <f>CONCATENATE(MONTH(CompilDonnées[[#This Row],[HarvestingDate]])," ", YEAR(CompilDonnées[[#This Row],[HarvestingDate]]))</f>
        <v>2 2025</v>
      </c>
      <c r="N531">
        <f>_xlfn.NUMBERVALUE(CompilDonnées[[#This Row],[FarmID]]&amp;CompilDonnées[[#This Row],[ModuleNumber]]&amp;CompilDonnées[[#This Row],[PlantationDate]])</f>
        <v>21245650</v>
      </c>
      <c r="O531" t="str">
        <f>CompilDonnées[[#This Row],[FarmID]]&amp;CompilDonnées[[#This Row],[ModuleNumber]]</f>
        <v>212</v>
      </c>
      <c r="P531" t="str">
        <f>CompilDonnées[[#This Row],[Ref_Module]]&amp;CompilDonnées[[#This Row],[HarvestingDate]]</f>
        <v>21245698</v>
      </c>
    </row>
    <row r="532" spans="1:16">
      <c r="A532" s="5">
        <v>45650</v>
      </c>
      <c r="B532">
        <v>22</v>
      </c>
      <c r="C532" t="s">
        <v>43</v>
      </c>
      <c r="D532">
        <v>5</v>
      </c>
      <c r="E532">
        <v>100</v>
      </c>
      <c r="F532" t="s">
        <v>1</v>
      </c>
      <c r="G532" s="6">
        <v>45693</v>
      </c>
      <c r="H532">
        <v>43</v>
      </c>
      <c r="I532">
        <f>ROUND(CompilDonnées[[#This Row],[CultureDuration_days]]/7,0)</f>
        <v>6</v>
      </c>
      <c r="J532">
        <v>3375</v>
      </c>
      <c r="K532" t="str">
        <f>_xlfn.CONCAT(WEEKNUM(CompilDonnées[[#This Row],[PlantationDate]]), " ", YEAR(CompilDonnées[[#This Row],[PlantationDate]]))</f>
        <v>52 2024</v>
      </c>
      <c r="L532" t="str">
        <f>CONCATENATE(MONTH(CompilDonnées[[#This Row],[PlantationDate]])," ", YEAR(CompilDonnées[[#This Row],[PlantationDate]]))</f>
        <v>12 2024</v>
      </c>
      <c r="M532" t="str">
        <f>CONCATENATE(MONTH(CompilDonnées[[#This Row],[HarvestingDate]])," ", YEAR(CompilDonnées[[#This Row],[HarvestingDate]]))</f>
        <v>2 2025</v>
      </c>
      <c r="N532">
        <f>_xlfn.NUMBERVALUE(CompilDonnées[[#This Row],[FarmID]]&amp;CompilDonnées[[#This Row],[ModuleNumber]]&amp;CompilDonnées[[#This Row],[PlantationDate]])</f>
        <v>22545650</v>
      </c>
      <c r="O532" t="str">
        <f>CompilDonnées[[#This Row],[FarmID]]&amp;CompilDonnées[[#This Row],[ModuleNumber]]</f>
        <v>225</v>
      </c>
      <c r="P532" t="str">
        <f>CompilDonnées[[#This Row],[Ref_Module]]&amp;CompilDonnées[[#This Row],[HarvestingDate]]</f>
        <v>22545693</v>
      </c>
    </row>
    <row r="533" spans="1:16">
      <c r="A533" s="5">
        <v>45650</v>
      </c>
      <c r="B533">
        <v>32</v>
      </c>
      <c r="C533" t="s">
        <v>25</v>
      </c>
      <c r="D533">
        <v>6</v>
      </c>
      <c r="E533">
        <v>100</v>
      </c>
      <c r="F533" t="s">
        <v>1</v>
      </c>
      <c r="G533" s="6">
        <v>45693</v>
      </c>
      <c r="H533">
        <v>43</v>
      </c>
      <c r="I533">
        <f>ROUND(CompilDonnées[[#This Row],[CultureDuration_days]]/7,0)</f>
        <v>6</v>
      </c>
      <c r="J533">
        <v>3702</v>
      </c>
      <c r="K533" t="str">
        <f>_xlfn.CONCAT(WEEKNUM(CompilDonnées[[#This Row],[PlantationDate]]), " ", YEAR(CompilDonnées[[#This Row],[PlantationDate]]))</f>
        <v>52 2024</v>
      </c>
      <c r="L533" t="str">
        <f>CONCATENATE(MONTH(CompilDonnées[[#This Row],[PlantationDate]])," ", YEAR(CompilDonnées[[#This Row],[PlantationDate]]))</f>
        <v>12 2024</v>
      </c>
      <c r="M533" t="str">
        <f>CONCATENATE(MONTH(CompilDonnées[[#This Row],[HarvestingDate]])," ", YEAR(CompilDonnées[[#This Row],[HarvestingDate]]))</f>
        <v>2 2025</v>
      </c>
      <c r="N533">
        <f>_xlfn.NUMBERVALUE(CompilDonnées[[#This Row],[FarmID]]&amp;CompilDonnées[[#This Row],[ModuleNumber]]&amp;CompilDonnées[[#This Row],[PlantationDate]])</f>
        <v>32645650</v>
      </c>
      <c r="O533" t="str">
        <f>CompilDonnées[[#This Row],[FarmID]]&amp;CompilDonnées[[#This Row],[ModuleNumber]]</f>
        <v>326</v>
      </c>
      <c r="P533" t="str">
        <f>CompilDonnées[[#This Row],[Ref_Module]]&amp;CompilDonnées[[#This Row],[HarvestingDate]]</f>
        <v>32645693</v>
      </c>
    </row>
    <row r="534" spans="1:16">
      <c r="A534" s="5">
        <v>45650</v>
      </c>
      <c r="B534">
        <v>38</v>
      </c>
      <c r="C534" t="s">
        <v>34</v>
      </c>
      <c r="D534">
        <v>5</v>
      </c>
      <c r="E534">
        <v>100</v>
      </c>
      <c r="F534" t="s">
        <v>1</v>
      </c>
      <c r="G534" s="6">
        <v>45687</v>
      </c>
      <c r="H534">
        <v>37</v>
      </c>
      <c r="I534">
        <f>ROUND(CompilDonnées[[#This Row],[CultureDuration_days]]/7,0)</f>
        <v>5</v>
      </c>
      <c r="J534">
        <v>3420</v>
      </c>
      <c r="K534" t="str">
        <f>_xlfn.CONCAT(WEEKNUM(CompilDonnées[[#This Row],[PlantationDate]]), " ", YEAR(CompilDonnées[[#This Row],[PlantationDate]]))</f>
        <v>52 2024</v>
      </c>
      <c r="L534" t="str">
        <f>CONCATENATE(MONTH(CompilDonnées[[#This Row],[PlantationDate]])," ", YEAR(CompilDonnées[[#This Row],[PlantationDate]]))</f>
        <v>12 2024</v>
      </c>
      <c r="M534" t="str">
        <f>CONCATENATE(MONTH(CompilDonnées[[#This Row],[HarvestingDate]])," ", YEAR(CompilDonnées[[#This Row],[HarvestingDate]]))</f>
        <v>1 2025</v>
      </c>
      <c r="N534">
        <f>_xlfn.NUMBERVALUE(CompilDonnées[[#This Row],[FarmID]]&amp;CompilDonnées[[#This Row],[ModuleNumber]]&amp;CompilDonnées[[#This Row],[PlantationDate]])</f>
        <v>38545650</v>
      </c>
      <c r="O534" t="str">
        <f>CompilDonnées[[#This Row],[FarmID]]&amp;CompilDonnées[[#This Row],[ModuleNumber]]</f>
        <v>385</v>
      </c>
      <c r="P534" t="str">
        <f>CompilDonnées[[#This Row],[Ref_Module]]&amp;CompilDonnées[[#This Row],[HarvestingDate]]</f>
        <v>38545687</v>
      </c>
    </row>
    <row r="535" spans="1:16">
      <c r="A535" s="5">
        <v>45650</v>
      </c>
      <c r="B535">
        <v>44</v>
      </c>
      <c r="C535" t="s">
        <v>42</v>
      </c>
      <c r="D535">
        <v>6</v>
      </c>
      <c r="E535">
        <v>100</v>
      </c>
      <c r="F535" t="s">
        <v>1</v>
      </c>
      <c r="G535" s="6">
        <v>45688</v>
      </c>
      <c r="H535">
        <v>38</v>
      </c>
      <c r="I535">
        <f>ROUND(CompilDonnées[[#This Row],[CultureDuration_days]]/7,0)</f>
        <v>5</v>
      </c>
      <c r="J535">
        <v>3403</v>
      </c>
      <c r="K535" t="str">
        <f>_xlfn.CONCAT(WEEKNUM(CompilDonnées[[#This Row],[PlantationDate]]), " ", YEAR(CompilDonnées[[#This Row],[PlantationDate]]))</f>
        <v>52 2024</v>
      </c>
      <c r="L535" t="str">
        <f>CONCATENATE(MONTH(CompilDonnées[[#This Row],[PlantationDate]])," ", YEAR(CompilDonnées[[#This Row],[PlantationDate]]))</f>
        <v>12 2024</v>
      </c>
      <c r="M535" t="str">
        <f>CONCATENATE(MONTH(CompilDonnées[[#This Row],[HarvestingDate]])," ", YEAR(CompilDonnées[[#This Row],[HarvestingDate]]))</f>
        <v>1 2025</v>
      </c>
      <c r="N535">
        <f>_xlfn.NUMBERVALUE(CompilDonnées[[#This Row],[FarmID]]&amp;CompilDonnées[[#This Row],[ModuleNumber]]&amp;CompilDonnées[[#This Row],[PlantationDate]])</f>
        <v>44645650</v>
      </c>
      <c r="O535" t="str">
        <f>CompilDonnées[[#This Row],[FarmID]]&amp;CompilDonnées[[#This Row],[ModuleNumber]]</f>
        <v>446</v>
      </c>
      <c r="P535" t="str">
        <f>CompilDonnées[[#This Row],[Ref_Module]]&amp;CompilDonnées[[#This Row],[HarvestingDate]]</f>
        <v>44645688</v>
      </c>
    </row>
    <row r="536" spans="1:16">
      <c r="A536" s="5">
        <v>45650</v>
      </c>
      <c r="B536">
        <v>43</v>
      </c>
      <c r="C536" t="s">
        <v>45</v>
      </c>
      <c r="D536">
        <v>1</v>
      </c>
      <c r="E536">
        <v>100</v>
      </c>
      <c r="F536" t="s">
        <v>1</v>
      </c>
      <c r="G536" s="6">
        <v>45693</v>
      </c>
      <c r="H536">
        <v>43</v>
      </c>
      <c r="I536">
        <f>ROUND(CompilDonnées[[#This Row],[CultureDuration_days]]/7,0)</f>
        <v>6</v>
      </c>
      <c r="J536">
        <v>2488</v>
      </c>
      <c r="K536" t="str">
        <f>_xlfn.CONCAT(WEEKNUM(CompilDonnées[[#This Row],[PlantationDate]]), " ", YEAR(CompilDonnées[[#This Row],[PlantationDate]]))</f>
        <v>52 2024</v>
      </c>
      <c r="L536" t="str">
        <f>CONCATENATE(MONTH(CompilDonnées[[#This Row],[PlantationDate]])," ", YEAR(CompilDonnées[[#This Row],[PlantationDate]]))</f>
        <v>12 2024</v>
      </c>
      <c r="M536" t="str">
        <f>CONCATENATE(MONTH(CompilDonnées[[#This Row],[HarvestingDate]])," ", YEAR(CompilDonnées[[#This Row],[HarvestingDate]]))</f>
        <v>2 2025</v>
      </c>
      <c r="N536">
        <f>_xlfn.NUMBERVALUE(CompilDonnées[[#This Row],[FarmID]]&amp;CompilDonnées[[#This Row],[ModuleNumber]]&amp;CompilDonnées[[#This Row],[PlantationDate]])</f>
        <v>43145650</v>
      </c>
      <c r="O536" t="str">
        <f>CompilDonnées[[#This Row],[FarmID]]&amp;CompilDonnées[[#This Row],[ModuleNumber]]</f>
        <v>431</v>
      </c>
      <c r="P536" t="str">
        <f>CompilDonnées[[#This Row],[Ref_Module]]&amp;CompilDonnées[[#This Row],[HarvestingDate]]</f>
        <v>43145693</v>
      </c>
    </row>
    <row r="537" spans="1:16">
      <c r="A537" s="5">
        <v>45650</v>
      </c>
      <c r="B537">
        <v>29</v>
      </c>
      <c r="C537" t="s">
        <v>2</v>
      </c>
      <c r="D537">
        <v>3</v>
      </c>
      <c r="E537">
        <v>100</v>
      </c>
      <c r="F537" t="s">
        <v>1</v>
      </c>
      <c r="G537" s="6">
        <v>45693</v>
      </c>
      <c r="H537">
        <v>43</v>
      </c>
      <c r="I537">
        <f>ROUND(CompilDonnées[[#This Row],[CultureDuration_days]]/7,0)</f>
        <v>6</v>
      </c>
      <c r="J537">
        <v>2186</v>
      </c>
      <c r="K537" t="str">
        <f>_xlfn.CONCAT(WEEKNUM(CompilDonnées[[#This Row],[PlantationDate]]), " ", YEAR(CompilDonnées[[#This Row],[PlantationDate]]))</f>
        <v>52 2024</v>
      </c>
      <c r="L537" t="str">
        <f>CONCATENATE(MONTH(CompilDonnées[[#This Row],[PlantationDate]])," ", YEAR(CompilDonnées[[#This Row],[PlantationDate]]))</f>
        <v>12 2024</v>
      </c>
      <c r="M537" t="str">
        <f>CONCATENATE(MONTH(CompilDonnées[[#This Row],[HarvestingDate]])," ", YEAR(CompilDonnées[[#This Row],[HarvestingDate]]))</f>
        <v>2 2025</v>
      </c>
      <c r="N537">
        <f>_xlfn.NUMBERVALUE(CompilDonnées[[#This Row],[FarmID]]&amp;CompilDonnées[[#This Row],[ModuleNumber]]&amp;CompilDonnées[[#This Row],[PlantationDate]])</f>
        <v>29345650</v>
      </c>
      <c r="O537" t="str">
        <f>CompilDonnées[[#This Row],[FarmID]]&amp;CompilDonnées[[#This Row],[ModuleNumber]]</f>
        <v>293</v>
      </c>
      <c r="P537" t="str">
        <f>CompilDonnées[[#This Row],[Ref_Module]]&amp;CompilDonnées[[#This Row],[HarvestingDate]]</f>
        <v>29345693</v>
      </c>
    </row>
    <row r="538" spans="1:16">
      <c r="A538" s="5">
        <v>45650</v>
      </c>
      <c r="B538">
        <v>69</v>
      </c>
      <c r="C538" t="s">
        <v>102</v>
      </c>
      <c r="D538">
        <v>1</v>
      </c>
      <c r="E538">
        <v>100</v>
      </c>
      <c r="F538" t="s">
        <v>1</v>
      </c>
      <c r="G538" s="6">
        <v>45693</v>
      </c>
      <c r="H538">
        <v>43</v>
      </c>
      <c r="I538">
        <f>ROUND(CompilDonnées[[#This Row],[CultureDuration_days]]/7,0)</f>
        <v>6</v>
      </c>
      <c r="J538">
        <v>2701</v>
      </c>
      <c r="K538" t="str">
        <f>_xlfn.CONCAT(WEEKNUM(CompilDonnées[[#This Row],[PlantationDate]]), " ", YEAR(CompilDonnées[[#This Row],[PlantationDate]]))</f>
        <v>52 2024</v>
      </c>
      <c r="L538" t="str">
        <f>CONCATENATE(MONTH(CompilDonnées[[#This Row],[PlantationDate]])," ", YEAR(CompilDonnées[[#This Row],[PlantationDate]]))</f>
        <v>12 2024</v>
      </c>
      <c r="M538" t="str">
        <f>CONCATENATE(MONTH(CompilDonnées[[#This Row],[HarvestingDate]])," ", YEAR(CompilDonnées[[#This Row],[HarvestingDate]]))</f>
        <v>2 2025</v>
      </c>
      <c r="N538">
        <f>_xlfn.NUMBERVALUE(CompilDonnées[[#This Row],[FarmID]]&amp;CompilDonnées[[#This Row],[ModuleNumber]]&amp;CompilDonnées[[#This Row],[PlantationDate]])</f>
        <v>69145650</v>
      </c>
      <c r="O538" t="str">
        <f>CompilDonnées[[#This Row],[FarmID]]&amp;CompilDonnées[[#This Row],[ModuleNumber]]</f>
        <v>691</v>
      </c>
      <c r="P538" t="str">
        <f>CompilDonnées[[#This Row],[Ref_Module]]&amp;CompilDonnées[[#This Row],[HarvestingDate]]</f>
        <v>69145693</v>
      </c>
    </row>
    <row r="539" spans="1:16">
      <c r="A539" s="5">
        <v>45650</v>
      </c>
      <c r="B539">
        <v>70</v>
      </c>
      <c r="C539" t="s">
        <v>7</v>
      </c>
      <c r="D539">
        <v>2</v>
      </c>
      <c r="E539">
        <v>100</v>
      </c>
      <c r="F539" t="s">
        <v>1</v>
      </c>
      <c r="G539" s="6">
        <v>45695</v>
      </c>
      <c r="H539">
        <v>45</v>
      </c>
      <c r="I539">
        <f>ROUND(CompilDonnées[[#This Row],[CultureDuration_days]]/7,0)</f>
        <v>6</v>
      </c>
      <c r="J539">
        <v>3391</v>
      </c>
      <c r="K539" t="str">
        <f>_xlfn.CONCAT(WEEKNUM(CompilDonnées[[#This Row],[PlantationDate]]), " ", YEAR(CompilDonnées[[#This Row],[PlantationDate]]))</f>
        <v>52 2024</v>
      </c>
      <c r="L539" t="str">
        <f>CONCATENATE(MONTH(CompilDonnées[[#This Row],[PlantationDate]])," ", YEAR(CompilDonnées[[#This Row],[PlantationDate]]))</f>
        <v>12 2024</v>
      </c>
      <c r="M539" t="str">
        <f>CONCATENATE(MONTH(CompilDonnées[[#This Row],[HarvestingDate]])," ", YEAR(CompilDonnées[[#This Row],[HarvestingDate]]))</f>
        <v>2 2025</v>
      </c>
      <c r="N539">
        <f>_xlfn.NUMBERVALUE(CompilDonnées[[#This Row],[FarmID]]&amp;CompilDonnées[[#This Row],[ModuleNumber]]&amp;CompilDonnées[[#This Row],[PlantationDate]])</f>
        <v>70245650</v>
      </c>
      <c r="O539" t="str">
        <f>CompilDonnées[[#This Row],[FarmID]]&amp;CompilDonnées[[#This Row],[ModuleNumber]]</f>
        <v>702</v>
      </c>
      <c r="P539" t="str">
        <f>CompilDonnées[[#This Row],[Ref_Module]]&amp;CompilDonnées[[#This Row],[HarvestingDate]]</f>
        <v>70245695</v>
      </c>
    </row>
    <row r="540" spans="1:16">
      <c r="A540" s="5">
        <v>45650</v>
      </c>
      <c r="B540">
        <v>83</v>
      </c>
      <c r="C540" t="s">
        <v>73</v>
      </c>
      <c r="D540">
        <v>5</v>
      </c>
      <c r="E540">
        <v>100</v>
      </c>
      <c r="F540" t="s">
        <v>1</v>
      </c>
      <c r="G540" s="6">
        <v>45700</v>
      </c>
      <c r="H540">
        <v>50</v>
      </c>
      <c r="I540">
        <f>ROUND(CompilDonnées[[#This Row],[CultureDuration_days]]/7,0)</f>
        <v>7</v>
      </c>
      <c r="J540">
        <v>2529</v>
      </c>
      <c r="K540" t="str">
        <f>_xlfn.CONCAT(WEEKNUM(CompilDonnées[[#This Row],[PlantationDate]]), " ", YEAR(CompilDonnées[[#This Row],[PlantationDate]]))</f>
        <v>52 2024</v>
      </c>
      <c r="L540" t="str">
        <f>CONCATENATE(MONTH(CompilDonnées[[#This Row],[PlantationDate]])," ", YEAR(CompilDonnées[[#This Row],[PlantationDate]]))</f>
        <v>12 2024</v>
      </c>
      <c r="M540" t="str">
        <f>CONCATENATE(MONTH(CompilDonnées[[#This Row],[HarvestingDate]])," ", YEAR(CompilDonnées[[#This Row],[HarvestingDate]]))</f>
        <v>2 2025</v>
      </c>
      <c r="N540">
        <f>_xlfn.NUMBERVALUE(CompilDonnées[[#This Row],[FarmID]]&amp;CompilDonnées[[#This Row],[ModuleNumber]]&amp;CompilDonnées[[#This Row],[PlantationDate]])</f>
        <v>83545650</v>
      </c>
      <c r="O540" t="str">
        <f>CompilDonnées[[#This Row],[FarmID]]&amp;CompilDonnées[[#This Row],[ModuleNumber]]</f>
        <v>835</v>
      </c>
      <c r="P540" t="str">
        <f>CompilDonnées[[#This Row],[Ref_Module]]&amp;CompilDonnées[[#This Row],[HarvestingDate]]</f>
        <v>83545700</v>
      </c>
    </row>
    <row r="541" spans="1:16">
      <c r="A541" s="5">
        <v>45650</v>
      </c>
      <c r="B541">
        <v>76</v>
      </c>
      <c r="C541" t="s">
        <v>18</v>
      </c>
      <c r="D541">
        <v>6</v>
      </c>
      <c r="E541">
        <v>100</v>
      </c>
      <c r="F541" t="s">
        <v>1</v>
      </c>
      <c r="G541" s="6">
        <v>45701</v>
      </c>
      <c r="H541">
        <v>51</v>
      </c>
      <c r="I541">
        <f>ROUND(CompilDonnées[[#This Row],[CultureDuration_days]]/7,0)</f>
        <v>7</v>
      </c>
      <c r="J541">
        <v>3300</v>
      </c>
      <c r="K541" t="str">
        <f>_xlfn.CONCAT(WEEKNUM(CompilDonnées[[#This Row],[PlantationDate]]), " ", YEAR(CompilDonnées[[#This Row],[PlantationDate]]))</f>
        <v>52 2024</v>
      </c>
      <c r="L541" t="str">
        <f>CONCATENATE(MONTH(CompilDonnées[[#This Row],[PlantationDate]])," ", YEAR(CompilDonnées[[#This Row],[PlantationDate]]))</f>
        <v>12 2024</v>
      </c>
      <c r="M541" t="str">
        <f>CONCATENATE(MONTH(CompilDonnées[[#This Row],[HarvestingDate]])," ", YEAR(CompilDonnées[[#This Row],[HarvestingDate]]))</f>
        <v>2 2025</v>
      </c>
      <c r="N541">
        <f>_xlfn.NUMBERVALUE(CompilDonnées[[#This Row],[FarmID]]&amp;CompilDonnées[[#This Row],[ModuleNumber]]&amp;CompilDonnées[[#This Row],[PlantationDate]])</f>
        <v>76645650</v>
      </c>
      <c r="O541" t="str">
        <f>CompilDonnées[[#This Row],[FarmID]]&amp;CompilDonnées[[#This Row],[ModuleNumber]]</f>
        <v>766</v>
      </c>
      <c r="P541" t="str">
        <f>CompilDonnées[[#This Row],[Ref_Module]]&amp;CompilDonnées[[#This Row],[HarvestingDate]]</f>
        <v>76645701</v>
      </c>
    </row>
    <row r="542" spans="1:16">
      <c r="A542" s="5">
        <v>45650</v>
      </c>
      <c r="B542">
        <v>77</v>
      </c>
      <c r="C542" t="s">
        <v>75</v>
      </c>
      <c r="D542">
        <v>5</v>
      </c>
      <c r="E542">
        <v>100</v>
      </c>
      <c r="F542" t="s">
        <v>1</v>
      </c>
      <c r="G542" s="6">
        <v>45701</v>
      </c>
      <c r="H542">
        <v>51</v>
      </c>
      <c r="I542">
        <f>ROUND(CompilDonnées[[#This Row],[CultureDuration_days]]/7,0)</f>
        <v>7</v>
      </c>
      <c r="J542">
        <v>2556</v>
      </c>
      <c r="K542" t="str">
        <f>_xlfn.CONCAT(WEEKNUM(CompilDonnées[[#This Row],[PlantationDate]]), " ", YEAR(CompilDonnées[[#This Row],[PlantationDate]]))</f>
        <v>52 2024</v>
      </c>
      <c r="L542" t="str">
        <f>CONCATENATE(MONTH(CompilDonnées[[#This Row],[PlantationDate]])," ", YEAR(CompilDonnées[[#This Row],[PlantationDate]]))</f>
        <v>12 2024</v>
      </c>
      <c r="M542" t="str">
        <f>CONCATENATE(MONTH(CompilDonnées[[#This Row],[HarvestingDate]])," ", YEAR(CompilDonnées[[#This Row],[HarvestingDate]]))</f>
        <v>2 2025</v>
      </c>
      <c r="N542">
        <f>_xlfn.NUMBERVALUE(CompilDonnées[[#This Row],[FarmID]]&amp;CompilDonnées[[#This Row],[ModuleNumber]]&amp;CompilDonnées[[#This Row],[PlantationDate]])</f>
        <v>77545650</v>
      </c>
      <c r="O542" t="str">
        <f>CompilDonnées[[#This Row],[FarmID]]&amp;CompilDonnées[[#This Row],[ModuleNumber]]</f>
        <v>775</v>
      </c>
      <c r="P542" t="str">
        <f>CompilDonnées[[#This Row],[Ref_Module]]&amp;CompilDonnées[[#This Row],[HarvestingDate]]</f>
        <v>77545701</v>
      </c>
    </row>
    <row r="543" spans="1:16">
      <c r="A543" s="5">
        <v>45650</v>
      </c>
      <c r="B543">
        <v>58</v>
      </c>
      <c r="C543" t="s">
        <v>35</v>
      </c>
      <c r="D543">
        <v>5</v>
      </c>
      <c r="E543">
        <v>100</v>
      </c>
      <c r="F543" t="s">
        <v>1</v>
      </c>
      <c r="G543" s="6">
        <v>45693</v>
      </c>
      <c r="H543">
        <v>43</v>
      </c>
      <c r="I543">
        <f>ROUND(CompilDonnées[[#This Row],[CultureDuration_days]]/7,0)</f>
        <v>6</v>
      </c>
      <c r="J543">
        <v>3327</v>
      </c>
      <c r="K543" t="str">
        <f>_xlfn.CONCAT(WEEKNUM(CompilDonnées[[#This Row],[PlantationDate]]), " ", YEAR(CompilDonnées[[#This Row],[PlantationDate]]))</f>
        <v>52 2024</v>
      </c>
      <c r="L543" t="str">
        <f>CONCATENATE(MONTH(CompilDonnées[[#This Row],[PlantationDate]])," ", YEAR(CompilDonnées[[#This Row],[PlantationDate]]))</f>
        <v>12 2024</v>
      </c>
      <c r="M543" t="str">
        <f>CONCATENATE(MONTH(CompilDonnées[[#This Row],[HarvestingDate]])," ", YEAR(CompilDonnées[[#This Row],[HarvestingDate]]))</f>
        <v>2 2025</v>
      </c>
      <c r="N543">
        <f>_xlfn.NUMBERVALUE(CompilDonnées[[#This Row],[FarmID]]&amp;CompilDonnées[[#This Row],[ModuleNumber]]&amp;CompilDonnées[[#This Row],[PlantationDate]])</f>
        <v>58545650</v>
      </c>
      <c r="O543" t="str">
        <f>CompilDonnées[[#This Row],[FarmID]]&amp;CompilDonnées[[#This Row],[ModuleNumber]]</f>
        <v>585</v>
      </c>
      <c r="P543" t="str">
        <f>CompilDonnées[[#This Row],[Ref_Module]]&amp;CompilDonnées[[#This Row],[HarvestingDate]]</f>
        <v>58545693</v>
      </c>
    </row>
    <row r="544" spans="1:16">
      <c r="A544" s="5">
        <v>45650</v>
      </c>
      <c r="B544">
        <v>67</v>
      </c>
      <c r="C544" t="s">
        <v>28</v>
      </c>
      <c r="D544">
        <v>6</v>
      </c>
      <c r="E544">
        <v>100</v>
      </c>
      <c r="F544" t="s">
        <v>1</v>
      </c>
      <c r="G544" s="6">
        <v>45686</v>
      </c>
      <c r="H544">
        <v>36</v>
      </c>
      <c r="I544">
        <f>ROUND(CompilDonnées[[#This Row],[CultureDuration_days]]/7,0)</f>
        <v>5</v>
      </c>
      <c r="J544">
        <v>4181</v>
      </c>
      <c r="K544" t="str">
        <f>_xlfn.CONCAT(WEEKNUM(CompilDonnées[[#This Row],[PlantationDate]]), " ", YEAR(CompilDonnées[[#This Row],[PlantationDate]]))</f>
        <v>52 2024</v>
      </c>
      <c r="L544" t="str">
        <f>CONCATENATE(MONTH(CompilDonnées[[#This Row],[PlantationDate]])," ", YEAR(CompilDonnées[[#This Row],[PlantationDate]]))</f>
        <v>12 2024</v>
      </c>
      <c r="M544" t="str">
        <f>CONCATENATE(MONTH(CompilDonnées[[#This Row],[HarvestingDate]])," ", YEAR(CompilDonnées[[#This Row],[HarvestingDate]]))</f>
        <v>1 2025</v>
      </c>
      <c r="N544">
        <f>_xlfn.NUMBERVALUE(CompilDonnées[[#This Row],[FarmID]]&amp;CompilDonnées[[#This Row],[ModuleNumber]]&amp;CompilDonnées[[#This Row],[PlantationDate]])</f>
        <v>67645650</v>
      </c>
      <c r="O544" t="str">
        <f>CompilDonnées[[#This Row],[FarmID]]&amp;CompilDonnées[[#This Row],[ModuleNumber]]</f>
        <v>676</v>
      </c>
      <c r="P544" t="str">
        <f>CompilDonnées[[#This Row],[Ref_Module]]&amp;CompilDonnées[[#This Row],[HarvestingDate]]</f>
        <v>67645686</v>
      </c>
    </row>
    <row r="545" spans="1:16">
      <c r="A545" s="5">
        <v>45650</v>
      </c>
      <c r="B545">
        <v>66</v>
      </c>
      <c r="C545" t="s">
        <v>48</v>
      </c>
      <c r="D545">
        <v>1</v>
      </c>
      <c r="E545">
        <v>100</v>
      </c>
      <c r="F545" t="s">
        <v>1</v>
      </c>
      <c r="G545" s="6">
        <v>45693</v>
      </c>
      <c r="H545">
        <v>43</v>
      </c>
      <c r="I545">
        <f>ROUND(CompilDonnées[[#This Row],[CultureDuration_days]]/7,0)</f>
        <v>6</v>
      </c>
      <c r="J545">
        <v>2980</v>
      </c>
      <c r="K545" t="str">
        <f>_xlfn.CONCAT(WEEKNUM(CompilDonnées[[#This Row],[PlantationDate]]), " ", YEAR(CompilDonnées[[#This Row],[PlantationDate]]))</f>
        <v>52 2024</v>
      </c>
      <c r="L545" t="str">
        <f>CONCATENATE(MONTH(CompilDonnées[[#This Row],[PlantationDate]])," ", YEAR(CompilDonnées[[#This Row],[PlantationDate]]))</f>
        <v>12 2024</v>
      </c>
      <c r="M545" t="str">
        <f>CONCATENATE(MONTH(CompilDonnées[[#This Row],[HarvestingDate]])," ", YEAR(CompilDonnées[[#This Row],[HarvestingDate]]))</f>
        <v>2 2025</v>
      </c>
      <c r="N545">
        <f>_xlfn.NUMBERVALUE(CompilDonnées[[#This Row],[FarmID]]&amp;CompilDonnées[[#This Row],[ModuleNumber]]&amp;CompilDonnées[[#This Row],[PlantationDate]])</f>
        <v>66145650</v>
      </c>
      <c r="O545" t="str">
        <f>CompilDonnées[[#This Row],[FarmID]]&amp;CompilDonnées[[#This Row],[ModuleNumber]]</f>
        <v>661</v>
      </c>
      <c r="P545" t="str">
        <f>CompilDonnées[[#This Row],[Ref_Module]]&amp;CompilDonnées[[#This Row],[HarvestingDate]]</f>
        <v>66145693</v>
      </c>
    </row>
    <row r="546" spans="1:16">
      <c r="A546" s="5">
        <v>45650</v>
      </c>
      <c r="B546">
        <v>57</v>
      </c>
      <c r="C546" t="s">
        <v>46</v>
      </c>
      <c r="D546">
        <v>3</v>
      </c>
      <c r="E546">
        <v>100</v>
      </c>
      <c r="F546" t="s">
        <v>1</v>
      </c>
      <c r="G546" s="6">
        <v>45693</v>
      </c>
      <c r="H546">
        <v>43</v>
      </c>
      <c r="I546">
        <f>ROUND(CompilDonnées[[#This Row],[CultureDuration_days]]/7,0)</f>
        <v>6</v>
      </c>
      <c r="J546">
        <v>3118</v>
      </c>
      <c r="K546" t="str">
        <f>_xlfn.CONCAT(WEEKNUM(CompilDonnées[[#This Row],[PlantationDate]]), " ", YEAR(CompilDonnées[[#This Row],[PlantationDate]]))</f>
        <v>52 2024</v>
      </c>
      <c r="L546" t="str">
        <f>CONCATENATE(MONTH(CompilDonnées[[#This Row],[PlantationDate]])," ", YEAR(CompilDonnées[[#This Row],[PlantationDate]]))</f>
        <v>12 2024</v>
      </c>
      <c r="M546" t="str">
        <f>CONCATENATE(MONTH(CompilDonnées[[#This Row],[HarvestingDate]])," ", YEAR(CompilDonnées[[#This Row],[HarvestingDate]]))</f>
        <v>2 2025</v>
      </c>
      <c r="N546">
        <f>_xlfn.NUMBERVALUE(CompilDonnées[[#This Row],[FarmID]]&amp;CompilDonnées[[#This Row],[ModuleNumber]]&amp;CompilDonnées[[#This Row],[PlantationDate]])</f>
        <v>57345650</v>
      </c>
      <c r="O546" t="str">
        <f>CompilDonnées[[#This Row],[FarmID]]&amp;CompilDonnées[[#This Row],[ModuleNumber]]</f>
        <v>573</v>
      </c>
      <c r="P546" t="str">
        <f>CompilDonnées[[#This Row],[Ref_Module]]&amp;CompilDonnées[[#This Row],[HarvestingDate]]</f>
        <v>57345693</v>
      </c>
    </row>
    <row r="547" spans="1:16">
      <c r="A547" s="5">
        <v>45650</v>
      </c>
      <c r="B547">
        <v>50</v>
      </c>
      <c r="C547" t="s">
        <v>55</v>
      </c>
      <c r="D547">
        <v>1</v>
      </c>
      <c r="E547">
        <v>100</v>
      </c>
      <c r="F547" t="s">
        <v>1</v>
      </c>
      <c r="G547" s="6">
        <v>45693</v>
      </c>
      <c r="H547">
        <v>43</v>
      </c>
      <c r="I547">
        <f>ROUND(CompilDonnées[[#This Row],[CultureDuration_days]]/7,0)</f>
        <v>6</v>
      </c>
      <c r="J547">
        <v>2889</v>
      </c>
      <c r="K547" t="str">
        <f>_xlfn.CONCAT(WEEKNUM(CompilDonnées[[#This Row],[PlantationDate]]), " ", YEAR(CompilDonnées[[#This Row],[PlantationDate]]))</f>
        <v>52 2024</v>
      </c>
      <c r="L547" t="str">
        <f>CONCATENATE(MONTH(CompilDonnées[[#This Row],[PlantationDate]])," ", YEAR(CompilDonnées[[#This Row],[PlantationDate]]))</f>
        <v>12 2024</v>
      </c>
      <c r="M547" t="str">
        <f>CONCATENATE(MONTH(CompilDonnées[[#This Row],[HarvestingDate]])," ", YEAR(CompilDonnées[[#This Row],[HarvestingDate]]))</f>
        <v>2 2025</v>
      </c>
      <c r="N547">
        <f>_xlfn.NUMBERVALUE(CompilDonnées[[#This Row],[FarmID]]&amp;CompilDonnées[[#This Row],[ModuleNumber]]&amp;CompilDonnées[[#This Row],[PlantationDate]])</f>
        <v>50145650</v>
      </c>
      <c r="O547" t="str">
        <f>CompilDonnées[[#This Row],[FarmID]]&amp;CompilDonnées[[#This Row],[ModuleNumber]]</f>
        <v>501</v>
      </c>
      <c r="P547" t="str">
        <f>CompilDonnées[[#This Row],[Ref_Module]]&amp;CompilDonnées[[#This Row],[HarvestingDate]]</f>
        <v>50145693</v>
      </c>
    </row>
    <row r="548" spans="1:16">
      <c r="A548" s="5">
        <v>45650</v>
      </c>
      <c r="B548">
        <v>50</v>
      </c>
      <c r="C548" t="s">
        <v>55</v>
      </c>
      <c r="D548">
        <v>2</v>
      </c>
      <c r="E548">
        <v>100</v>
      </c>
      <c r="F548" t="s">
        <v>1</v>
      </c>
      <c r="G548" s="6">
        <v>45693</v>
      </c>
      <c r="H548">
        <v>43</v>
      </c>
      <c r="I548">
        <f>ROUND(CompilDonnées[[#This Row],[CultureDuration_days]]/7,0)</f>
        <v>6</v>
      </c>
      <c r="J548">
        <v>2889</v>
      </c>
      <c r="K548" t="str">
        <f>_xlfn.CONCAT(WEEKNUM(CompilDonnées[[#This Row],[PlantationDate]]), " ", YEAR(CompilDonnées[[#This Row],[PlantationDate]]))</f>
        <v>52 2024</v>
      </c>
      <c r="L548" t="str">
        <f>CONCATENATE(MONTH(CompilDonnées[[#This Row],[PlantationDate]])," ", YEAR(CompilDonnées[[#This Row],[PlantationDate]]))</f>
        <v>12 2024</v>
      </c>
      <c r="M548" t="str">
        <f>CONCATENATE(MONTH(CompilDonnées[[#This Row],[HarvestingDate]])," ", YEAR(CompilDonnées[[#This Row],[HarvestingDate]]))</f>
        <v>2 2025</v>
      </c>
      <c r="N548">
        <f>_xlfn.NUMBERVALUE(CompilDonnées[[#This Row],[FarmID]]&amp;CompilDonnées[[#This Row],[ModuleNumber]]&amp;CompilDonnées[[#This Row],[PlantationDate]])</f>
        <v>50245650</v>
      </c>
      <c r="O548" t="str">
        <f>CompilDonnées[[#This Row],[FarmID]]&amp;CompilDonnées[[#This Row],[ModuleNumber]]</f>
        <v>502</v>
      </c>
      <c r="P548" t="str">
        <f>CompilDonnées[[#This Row],[Ref_Module]]&amp;CompilDonnées[[#This Row],[HarvestingDate]]</f>
        <v>50245693</v>
      </c>
    </row>
    <row r="549" spans="1:16">
      <c r="A549" s="5">
        <v>45650</v>
      </c>
      <c r="B549">
        <v>96</v>
      </c>
      <c r="C549" t="s">
        <v>3</v>
      </c>
      <c r="D549">
        <v>1</v>
      </c>
      <c r="E549">
        <v>68</v>
      </c>
      <c r="F549" t="s">
        <v>1</v>
      </c>
      <c r="G549" s="6">
        <v>45685</v>
      </c>
      <c r="H549">
        <v>35</v>
      </c>
      <c r="I549">
        <f>ROUND(CompilDonnées[[#This Row],[CultureDuration_days]]/7,0)</f>
        <v>5</v>
      </c>
      <c r="J549">
        <v>1707</v>
      </c>
      <c r="K549" t="str">
        <f>_xlfn.CONCAT(WEEKNUM(CompilDonnées[[#This Row],[PlantationDate]]), " ", YEAR(CompilDonnées[[#This Row],[PlantationDate]]))</f>
        <v>52 2024</v>
      </c>
      <c r="L549" t="str">
        <f>CONCATENATE(MONTH(CompilDonnées[[#This Row],[PlantationDate]])," ", YEAR(CompilDonnées[[#This Row],[PlantationDate]]))</f>
        <v>12 2024</v>
      </c>
      <c r="M549" t="str">
        <f>CONCATENATE(MONTH(CompilDonnées[[#This Row],[HarvestingDate]])," ", YEAR(CompilDonnées[[#This Row],[HarvestingDate]]))</f>
        <v>1 2025</v>
      </c>
      <c r="N549">
        <f>_xlfn.NUMBERVALUE(CompilDonnées[[#This Row],[FarmID]]&amp;CompilDonnées[[#This Row],[ModuleNumber]]&amp;CompilDonnées[[#This Row],[PlantationDate]])</f>
        <v>96145650</v>
      </c>
      <c r="O549" t="str">
        <f>CompilDonnées[[#This Row],[FarmID]]&amp;CompilDonnées[[#This Row],[ModuleNumber]]</f>
        <v>961</v>
      </c>
      <c r="P549" t="str">
        <f>CompilDonnées[[#This Row],[Ref_Module]]&amp;CompilDonnées[[#This Row],[HarvestingDate]]</f>
        <v>96145685</v>
      </c>
    </row>
    <row r="550" spans="1:16">
      <c r="A550" s="5">
        <v>45650</v>
      </c>
      <c r="B550">
        <v>96</v>
      </c>
      <c r="C550" t="s">
        <v>3</v>
      </c>
      <c r="D550">
        <v>2</v>
      </c>
      <c r="E550">
        <v>68</v>
      </c>
      <c r="F550" t="s">
        <v>1</v>
      </c>
      <c r="G550" s="6">
        <v>45685</v>
      </c>
      <c r="H550">
        <v>35</v>
      </c>
      <c r="I550">
        <f>ROUND(CompilDonnées[[#This Row],[CultureDuration_days]]/7,0)</f>
        <v>5</v>
      </c>
      <c r="J550">
        <v>1541</v>
      </c>
      <c r="K550" t="str">
        <f>_xlfn.CONCAT(WEEKNUM(CompilDonnées[[#This Row],[PlantationDate]]), " ", YEAR(CompilDonnées[[#This Row],[PlantationDate]]))</f>
        <v>52 2024</v>
      </c>
      <c r="L550" t="str">
        <f>CONCATENATE(MONTH(CompilDonnées[[#This Row],[PlantationDate]])," ", YEAR(CompilDonnées[[#This Row],[PlantationDate]]))</f>
        <v>12 2024</v>
      </c>
      <c r="M550" t="str">
        <f>CONCATENATE(MONTH(CompilDonnées[[#This Row],[HarvestingDate]])," ", YEAR(CompilDonnées[[#This Row],[HarvestingDate]]))</f>
        <v>1 2025</v>
      </c>
      <c r="N550">
        <f>_xlfn.NUMBERVALUE(CompilDonnées[[#This Row],[FarmID]]&amp;CompilDonnées[[#This Row],[ModuleNumber]]&amp;CompilDonnées[[#This Row],[PlantationDate]])</f>
        <v>96245650</v>
      </c>
      <c r="O550" t="str">
        <f>CompilDonnées[[#This Row],[FarmID]]&amp;CompilDonnées[[#This Row],[ModuleNumber]]</f>
        <v>962</v>
      </c>
      <c r="P550" t="str">
        <f>CompilDonnées[[#This Row],[Ref_Module]]&amp;CompilDonnées[[#This Row],[HarvestingDate]]</f>
        <v>96245685</v>
      </c>
    </row>
    <row r="551" spans="1:16">
      <c r="A551" s="5">
        <v>45650</v>
      </c>
      <c r="B551">
        <v>96</v>
      </c>
      <c r="C551" t="s">
        <v>3</v>
      </c>
      <c r="D551">
        <v>3</v>
      </c>
      <c r="E551">
        <v>68</v>
      </c>
      <c r="F551" t="s">
        <v>1</v>
      </c>
      <c r="G551" s="6">
        <v>45685</v>
      </c>
      <c r="H551">
        <v>35</v>
      </c>
      <c r="I551">
        <f>ROUND(CompilDonnées[[#This Row],[CultureDuration_days]]/7,0)</f>
        <v>5</v>
      </c>
      <c r="J551">
        <v>1860</v>
      </c>
      <c r="K551" t="str">
        <f>_xlfn.CONCAT(WEEKNUM(CompilDonnées[[#This Row],[PlantationDate]]), " ", YEAR(CompilDonnées[[#This Row],[PlantationDate]]))</f>
        <v>52 2024</v>
      </c>
      <c r="L551" t="str">
        <f>CONCATENATE(MONTH(CompilDonnées[[#This Row],[PlantationDate]])," ", YEAR(CompilDonnées[[#This Row],[PlantationDate]]))</f>
        <v>12 2024</v>
      </c>
      <c r="M551" t="str">
        <f>CONCATENATE(MONTH(CompilDonnées[[#This Row],[HarvestingDate]])," ", YEAR(CompilDonnées[[#This Row],[HarvestingDate]]))</f>
        <v>1 2025</v>
      </c>
      <c r="N551">
        <f>_xlfn.NUMBERVALUE(CompilDonnées[[#This Row],[FarmID]]&amp;CompilDonnées[[#This Row],[ModuleNumber]]&amp;CompilDonnées[[#This Row],[PlantationDate]])</f>
        <v>96345650</v>
      </c>
      <c r="O551" t="str">
        <f>CompilDonnées[[#This Row],[FarmID]]&amp;CompilDonnées[[#This Row],[ModuleNumber]]</f>
        <v>963</v>
      </c>
      <c r="P551" t="str">
        <f>CompilDonnées[[#This Row],[Ref_Module]]&amp;CompilDonnées[[#This Row],[HarvestingDate]]</f>
        <v>96345685</v>
      </c>
    </row>
    <row r="552" spans="1:16">
      <c r="A552" s="5">
        <v>45650</v>
      </c>
      <c r="B552">
        <v>10</v>
      </c>
      <c r="C552" t="s">
        <v>3</v>
      </c>
      <c r="D552">
        <v>1</v>
      </c>
      <c r="E552">
        <v>68</v>
      </c>
      <c r="F552" t="s">
        <v>1</v>
      </c>
      <c r="G552" s="6">
        <v>45688</v>
      </c>
      <c r="H552">
        <v>38</v>
      </c>
      <c r="I552">
        <f>ROUND(CompilDonnées[[#This Row],[CultureDuration_days]]/7,0)</f>
        <v>5</v>
      </c>
      <c r="J552">
        <v>1749</v>
      </c>
      <c r="K552" t="str">
        <f>_xlfn.CONCAT(WEEKNUM(CompilDonnées[[#This Row],[PlantationDate]]), " ", YEAR(CompilDonnées[[#This Row],[PlantationDate]]))</f>
        <v>52 2024</v>
      </c>
      <c r="L552" t="str">
        <f>CONCATENATE(MONTH(CompilDonnées[[#This Row],[PlantationDate]])," ", YEAR(CompilDonnées[[#This Row],[PlantationDate]]))</f>
        <v>12 2024</v>
      </c>
      <c r="M552" t="str">
        <f>CONCATENATE(MONTH(CompilDonnées[[#This Row],[HarvestingDate]])," ", YEAR(CompilDonnées[[#This Row],[HarvestingDate]]))</f>
        <v>1 2025</v>
      </c>
      <c r="N552">
        <f>_xlfn.NUMBERVALUE(CompilDonnées[[#This Row],[FarmID]]&amp;CompilDonnées[[#This Row],[ModuleNumber]]&amp;CompilDonnées[[#This Row],[PlantationDate]])</f>
        <v>10145650</v>
      </c>
      <c r="O552" t="str">
        <f>CompilDonnées[[#This Row],[FarmID]]&amp;CompilDonnées[[#This Row],[ModuleNumber]]</f>
        <v>101</v>
      </c>
      <c r="P552" t="str">
        <f>CompilDonnées[[#This Row],[Ref_Module]]&amp;CompilDonnées[[#This Row],[HarvestingDate]]</f>
        <v>10145688</v>
      </c>
    </row>
    <row r="553" spans="1:16">
      <c r="A553" s="5">
        <v>45650</v>
      </c>
      <c r="B553">
        <v>13</v>
      </c>
      <c r="C553" t="s">
        <v>3</v>
      </c>
      <c r="D553">
        <v>2</v>
      </c>
      <c r="E553">
        <v>68</v>
      </c>
      <c r="F553" t="s">
        <v>1</v>
      </c>
      <c r="G553" s="6">
        <v>45688</v>
      </c>
      <c r="H553">
        <v>38</v>
      </c>
      <c r="I553">
        <f>ROUND(CompilDonnées[[#This Row],[CultureDuration_days]]/7,0)</f>
        <v>5</v>
      </c>
      <c r="J553">
        <v>1657</v>
      </c>
      <c r="K553" t="str">
        <f>_xlfn.CONCAT(WEEKNUM(CompilDonnées[[#This Row],[PlantationDate]]), " ", YEAR(CompilDonnées[[#This Row],[PlantationDate]]))</f>
        <v>52 2024</v>
      </c>
      <c r="L553" t="str">
        <f>CONCATENATE(MONTH(CompilDonnées[[#This Row],[PlantationDate]])," ", YEAR(CompilDonnées[[#This Row],[PlantationDate]]))</f>
        <v>12 2024</v>
      </c>
      <c r="M553" t="str">
        <f>CONCATENATE(MONTH(CompilDonnées[[#This Row],[HarvestingDate]])," ", YEAR(CompilDonnées[[#This Row],[HarvestingDate]]))</f>
        <v>1 2025</v>
      </c>
      <c r="N553">
        <f>_xlfn.NUMBERVALUE(CompilDonnées[[#This Row],[FarmID]]&amp;CompilDonnées[[#This Row],[ModuleNumber]]&amp;CompilDonnées[[#This Row],[PlantationDate]])</f>
        <v>13245650</v>
      </c>
      <c r="O553" t="str">
        <f>CompilDonnées[[#This Row],[FarmID]]&amp;CompilDonnées[[#This Row],[ModuleNumber]]</f>
        <v>132</v>
      </c>
      <c r="P553" t="str">
        <f>CompilDonnées[[#This Row],[Ref_Module]]&amp;CompilDonnées[[#This Row],[HarvestingDate]]</f>
        <v>13245688</v>
      </c>
    </row>
    <row r="554" spans="1:16">
      <c r="A554" s="5">
        <v>45650</v>
      </c>
      <c r="B554">
        <v>13</v>
      </c>
      <c r="C554" t="s">
        <v>3</v>
      </c>
      <c r="D554">
        <v>3</v>
      </c>
      <c r="E554">
        <v>68</v>
      </c>
      <c r="F554" t="s">
        <v>1</v>
      </c>
      <c r="G554" s="6">
        <v>45688</v>
      </c>
      <c r="H554">
        <v>38</v>
      </c>
      <c r="I554">
        <f>ROUND(CompilDonnées[[#This Row],[CultureDuration_days]]/7,0)</f>
        <v>5</v>
      </c>
      <c r="J554">
        <v>1779</v>
      </c>
      <c r="K554" t="str">
        <f>_xlfn.CONCAT(WEEKNUM(CompilDonnées[[#This Row],[PlantationDate]]), " ", YEAR(CompilDonnées[[#This Row],[PlantationDate]]))</f>
        <v>52 2024</v>
      </c>
      <c r="L554" t="str">
        <f>CONCATENATE(MONTH(CompilDonnées[[#This Row],[PlantationDate]])," ", YEAR(CompilDonnées[[#This Row],[PlantationDate]]))</f>
        <v>12 2024</v>
      </c>
      <c r="M554" t="str">
        <f>CONCATENATE(MONTH(CompilDonnées[[#This Row],[HarvestingDate]])," ", YEAR(CompilDonnées[[#This Row],[HarvestingDate]]))</f>
        <v>1 2025</v>
      </c>
      <c r="N554">
        <f>_xlfn.NUMBERVALUE(CompilDonnées[[#This Row],[FarmID]]&amp;CompilDonnées[[#This Row],[ModuleNumber]]&amp;CompilDonnées[[#This Row],[PlantationDate]])</f>
        <v>13345650</v>
      </c>
      <c r="O554" t="str">
        <f>CompilDonnées[[#This Row],[FarmID]]&amp;CompilDonnées[[#This Row],[ModuleNumber]]</f>
        <v>133</v>
      </c>
      <c r="P554" t="str">
        <f>CompilDonnées[[#This Row],[Ref_Module]]&amp;CompilDonnées[[#This Row],[HarvestingDate]]</f>
        <v>13345688</v>
      </c>
    </row>
    <row r="555" spans="1:16">
      <c r="A555" s="5">
        <v>45650</v>
      </c>
      <c r="B555">
        <v>17</v>
      </c>
      <c r="C555" t="s">
        <v>80</v>
      </c>
      <c r="D555">
        <v>6</v>
      </c>
      <c r="E555">
        <v>100</v>
      </c>
      <c r="F555" t="s">
        <v>1</v>
      </c>
      <c r="G555" s="6">
        <v>45693</v>
      </c>
      <c r="H555">
        <v>43</v>
      </c>
      <c r="I555">
        <f>ROUND(CompilDonnées[[#This Row],[CultureDuration_days]]/7,0)</f>
        <v>6</v>
      </c>
      <c r="J555">
        <v>2872</v>
      </c>
      <c r="K555" t="str">
        <f>_xlfn.CONCAT(WEEKNUM(CompilDonnées[[#This Row],[PlantationDate]]), " ", YEAR(CompilDonnées[[#This Row],[PlantationDate]]))</f>
        <v>52 2024</v>
      </c>
      <c r="L555" t="str">
        <f>CONCATENATE(MONTH(CompilDonnées[[#This Row],[PlantationDate]])," ", YEAR(CompilDonnées[[#This Row],[PlantationDate]]))</f>
        <v>12 2024</v>
      </c>
      <c r="M555" t="str">
        <f>CONCATENATE(MONTH(CompilDonnées[[#This Row],[HarvestingDate]])," ", YEAR(CompilDonnées[[#This Row],[HarvestingDate]]))</f>
        <v>2 2025</v>
      </c>
      <c r="N555">
        <f>_xlfn.NUMBERVALUE(CompilDonnées[[#This Row],[FarmID]]&amp;CompilDonnées[[#This Row],[ModuleNumber]]&amp;CompilDonnées[[#This Row],[PlantationDate]])</f>
        <v>17645650</v>
      </c>
      <c r="O555" t="str">
        <f>CompilDonnées[[#This Row],[FarmID]]&amp;CompilDonnées[[#This Row],[ModuleNumber]]</f>
        <v>176</v>
      </c>
      <c r="P555" t="str">
        <f>CompilDonnées[[#This Row],[Ref_Module]]&amp;CompilDonnées[[#This Row],[HarvestingDate]]</f>
        <v>17645693</v>
      </c>
    </row>
    <row r="556" spans="1:16">
      <c r="A556" s="5">
        <v>45650</v>
      </c>
      <c r="B556">
        <v>96</v>
      </c>
      <c r="C556" t="s">
        <v>3</v>
      </c>
      <c r="D556">
        <v>4</v>
      </c>
      <c r="E556">
        <v>63</v>
      </c>
      <c r="F556" t="s">
        <v>1</v>
      </c>
      <c r="G556" s="6">
        <v>45694</v>
      </c>
      <c r="H556">
        <v>44</v>
      </c>
      <c r="I556">
        <f>ROUND(CompilDonnées[[#This Row],[CultureDuration_days]]/7,0)</f>
        <v>6</v>
      </c>
      <c r="J556">
        <v>1852</v>
      </c>
      <c r="K556" t="str">
        <f>_xlfn.CONCAT(WEEKNUM(CompilDonnées[[#This Row],[PlantationDate]]), " ", YEAR(CompilDonnées[[#This Row],[PlantationDate]]))</f>
        <v>52 2024</v>
      </c>
      <c r="L556" t="str">
        <f>CONCATENATE(MONTH(CompilDonnées[[#This Row],[PlantationDate]])," ", YEAR(CompilDonnées[[#This Row],[PlantationDate]]))</f>
        <v>12 2024</v>
      </c>
      <c r="M556" t="str">
        <f>CONCATENATE(MONTH(CompilDonnées[[#This Row],[HarvestingDate]])," ", YEAR(CompilDonnées[[#This Row],[HarvestingDate]]))</f>
        <v>2 2025</v>
      </c>
      <c r="N556">
        <f>_xlfn.NUMBERVALUE(CompilDonnées[[#This Row],[FarmID]]&amp;CompilDonnées[[#This Row],[ModuleNumber]]&amp;CompilDonnées[[#This Row],[PlantationDate]])</f>
        <v>96445650</v>
      </c>
      <c r="O556" t="str">
        <f>CompilDonnées[[#This Row],[FarmID]]&amp;CompilDonnées[[#This Row],[ModuleNumber]]</f>
        <v>964</v>
      </c>
      <c r="P556" t="str">
        <f>CompilDonnées[[#This Row],[Ref_Module]]&amp;CompilDonnées[[#This Row],[HarvestingDate]]</f>
        <v>96445694</v>
      </c>
    </row>
    <row r="557" spans="1:16">
      <c r="A557" s="5">
        <v>45653</v>
      </c>
      <c r="B557">
        <v>6</v>
      </c>
      <c r="C557" t="s">
        <v>24</v>
      </c>
      <c r="D557">
        <v>6</v>
      </c>
      <c r="E557">
        <v>100</v>
      </c>
      <c r="F557" t="s">
        <v>1</v>
      </c>
      <c r="G557" s="6">
        <v>45693</v>
      </c>
      <c r="H557">
        <v>40</v>
      </c>
      <c r="I557">
        <f>ROUND(CompilDonnées[[#This Row],[CultureDuration_days]]/7,0)</f>
        <v>6</v>
      </c>
      <c r="J557">
        <v>3202</v>
      </c>
      <c r="K557" t="str">
        <f>_xlfn.CONCAT(WEEKNUM(CompilDonnées[[#This Row],[PlantationDate]]), " ", YEAR(CompilDonnées[[#This Row],[PlantationDate]]))</f>
        <v>52 2024</v>
      </c>
      <c r="L557" t="str">
        <f>CONCATENATE(MONTH(CompilDonnées[[#This Row],[PlantationDate]])," ", YEAR(CompilDonnées[[#This Row],[PlantationDate]]))</f>
        <v>12 2024</v>
      </c>
      <c r="M557" t="str">
        <f>CONCATENATE(MONTH(CompilDonnées[[#This Row],[HarvestingDate]])," ", YEAR(CompilDonnées[[#This Row],[HarvestingDate]]))</f>
        <v>2 2025</v>
      </c>
      <c r="N557">
        <f>_xlfn.NUMBERVALUE(CompilDonnées[[#This Row],[FarmID]]&amp;CompilDonnées[[#This Row],[ModuleNumber]]&amp;CompilDonnées[[#This Row],[PlantationDate]])</f>
        <v>6645653</v>
      </c>
      <c r="O557" t="str">
        <f>CompilDonnées[[#This Row],[FarmID]]&amp;CompilDonnées[[#This Row],[ModuleNumber]]</f>
        <v>66</v>
      </c>
      <c r="P557" t="str">
        <f>CompilDonnées[[#This Row],[Ref_Module]]&amp;CompilDonnées[[#This Row],[HarvestingDate]]</f>
        <v>6645693</v>
      </c>
    </row>
    <row r="558" spans="1:16">
      <c r="A558" s="5">
        <v>45653</v>
      </c>
      <c r="B558">
        <v>5</v>
      </c>
      <c r="C558" t="s">
        <v>32</v>
      </c>
      <c r="D558">
        <v>1</v>
      </c>
      <c r="E558">
        <v>100</v>
      </c>
      <c r="F558" t="s">
        <v>1</v>
      </c>
      <c r="G558" s="6">
        <v>45698</v>
      </c>
      <c r="H558">
        <v>45</v>
      </c>
      <c r="I558">
        <f>ROUND(CompilDonnées[[#This Row],[CultureDuration_days]]/7,0)</f>
        <v>6</v>
      </c>
      <c r="J558">
        <v>3373</v>
      </c>
      <c r="K558" t="str">
        <f>_xlfn.CONCAT(WEEKNUM(CompilDonnées[[#This Row],[PlantationDate]]), " ", YEAR(CompilDonnées[[#This Row],[PlantationDate]]))</f>
        <v>52 2024</v>
      </c>
      <c r="L558" t="str">
        <f>CONCATENATE(MONTH(CompilDonnées[[#This Row],[PlantationDate]])," ", YEAR(CompilDonnées[[#This Row],[PlantationDate]]))</f>
        <v>12 2024</v>
      </c>
      <c r="M558" t="str">
        <f>CONCATENATE(MONTH(CompilDonnées[[#This Row],[HarvestingDate]])," ", YEAR(CompilDonnées[[#This Row],[HarvestingDate]]))</f>
        <v>2 2025</v>
      </c>
      <c r="N558">
        <f>_xlfn.NUMBERVALUE(CompilDonnées[[#This Row],[FarmID]]&amp;CompilDonnées[[#This Row],[ModuleNumber]]&amp;CompilDonnées[[#This Row],[PlantationDate]])</f>
        <v>5145653</v>
      </c>
      <c r="O558" t="str">
        <f>CompilDonnées[[#This Row],[FarmID]]&amp;CompilDonnées[[#This Row],[ModuleNumber]]</f>
        <v>51</v>
      </c>
      <c r="P558" t="str">
        <f>CompilDonnées[[#This Row],[Ref_Module]]&amp;CompilDonnées[[#This Row],[HarvestingDate]]</f>
        <v>5145698</v>
      </c>
    </row>
    <row r="559" spans="1:16">
      <c r="A559" s="5">
        <v>45653</v>
      </c>
      <c r="B559">
        <v>4</v>
      </c>
      <c r="C559" t="s">
        <v>74</v>
      </c>
      <c r="D559">
        <v>2</v>
      </c>
      <c r="E559">
        <v>100</v>
      </c>
      <c r="F559" t="s">
        <v>1</v>
      </c>
      <c r="G559" s="6">
        <v>45698</v>
      </c>
      <c r="H559">
        <v>45</v>
      </c>
      <c r="I559">
        <f>ROUND(CompilDonnées[[#This Row],[CultureDuration_days]]/7,0)</f>
        <v>6</v>
      </c>
      <c r="J559">
        <v>2886</v>
      </c>
      <c r="K559" t="str">
        <f>_xlfn.CONCAT(WEEKNUM(CompilDonnées[[#This Row],[PlantationDate]]), " ", YEAR(CompilDonnées[[#This Row],[PlantationDate]]))</f>
        <v>52 2024</v>
      </c>
      <c r="L559" t="str">
        <f>CONCATENATE(MONTH(CompilDonnées[[#This Row],[PlantationDate]])," ", YEAR(CompilDonnées[[#This Row],[PlantationDate]]))</f>
        <v>12 2024</v>
      </c>
      <c r="M559" t="str">
        <f>CONCATENATE(MONTH(CompilDonnées[[#This Row],[HarvestingDate]])," ", YEAR(CompilDonnées[[#This Row],[HarvestingDate]]))</f>
        <v>2 2025</v>
      </c>
      <c r="N559">
        <f>_xlfn.NUMBERVALUE(CompilDonnées[[#This Row],[FarmID]]&amp;CompilDonnées[[#This Row],[ModuleNumber]]&amp;CompilDonnées[[#This Row],[PlantationDate]])</f>
        <v>4245653</v>
      </c>
      <c r="O559" t="str">
        <f>CompilDonnées[[#This Row],[FarmID]]&amp;CompilDonnées[[#This Row],[ModuleNumber]]</f>
        <v>42</v>
      </c>
      <c r="P559" t="str">
        <f>CompilDonnées[[#This Row],[Ref_Module]]&amp;CompilDonnées[[#This Row],[HarvestingDate]]</f>
        <v>4245698</v>
      </c>
    </row>
    <row r="560" spans="1:16">
      <c r="A560" s="5">
        <v>45653</v>
      </c>
      <c r="B560">
        <v>3</v>
      </c>
      <c r="C560" t="s">
        <v>116</v>
      </c>
      <c r="D560">
        <v>4</v>
      </c>
      <c r="E560">
        <v>100</v>
      </c>
      <c r="F560" t="s">
        <v>1</v>
      </c>
      <c r="G560" s="6">
        <v>45698</v>
      </c>
      <c r="H560">
        <v>45</v>
      </c>
      <c r="I560">
        <f>ROUND(CompilDonnées[[#This Row],[CultureDuration_days]]/7,0)</f>
        <v>6</v>
      </c>
      <c r="J560">
        <v>2680</v>
      </c>
      <c r="K560" t="str">
        <f>_xlfn.CONCAT(WEEKNUM(CompilDonnées[[#This Row],[PlantationDate]]), " ", YEAR(CompilDonnées[[#This Row],[PlantationDate]]))</f>
        <v>52 2024</v>
      </c>
      <c r="L560" t="str">
        <f>CONCATENATE(MONTH(CompilDonnées[[#This Row],[PlantationDate]])," ", YEAR(CompilDonnées[[#This Row],[PlantationDate]]))</f>
        <v>12 2024</v>
      </c>
      <c r="M560" t="str">
        <f>CONCATENATE(MONTH(CompilDonnées[[#This Row],[HarvestingDate]])," ", YEAR(CompilDonnées[[#This Row],[HarvestingDate]]))</f>
        <v>2 2025</v>
      </c>
      <c r="N560">
        <f>_xlfn.NUMBERVALUE(CompilDonnées[[#This Row],[FarmID]]&amp;CompilDonnées[[#This Row],[ModuleNumber]]&amp;CompilDonnées[[#This Row],[PlantationDate]])</f>
        <v>3445653</v>
      </c>
      <c r="O560" t="str">
        <f>CompilDonnées[[#This Row],[FarmID]]&amp;CompilDonnées[[#This Row],[ModuleNumber]]</f>
        <v>34</v>
      </c>
      <c r="P560" t="str">
        <f>CompilDonnées[[#This Row],[Ref_Module]]&amp;CompilDonnées[[#This Row],[HarvestingDate]]</f>
        <v>3445698</v>
      </c>
    </row>
    <row r="561" spans="1:16">
      <c r="A561" s="5">
        <v>45653</v>
      </c>
      <c r="B561">
        <v>16</v>
      </c>
      <c r="C561" t="s">
        <v>112</v>
      </c>
      <c r="D561">
        <v>2</v>
      </c>
      <c r="E561">
        <v>100</v>
      </c>
      <c r="F561" t="s">
        <v>1</v>
      </c>
      <c r="G561" s="6">
        <v>45693</v>
      </c>
      <c r="H561">
        <v>40</v>
      </c>
      <c r="I561">
        <f>ROUND(CompilDonnées[[#This Row],[CultureDuration_days]]/7,0)</f>
        <v>6</v>
      </c>
      <c r="J561">
        <v>2292</v>
      </c>
      <c r="K561" t="str">
        <f>_xlfn.CONCAT(WEEKNUM(CompilDonnées[[#This Row],[PlantationDate]]), " ", YEAR(CompilDonnées[[#This Row],[PlantationDate]]))</f>
        <v>52 2024</v>
      </c>
      <c r="L561" t="str">
        <f>CONCATENATE(MONTH(CompilDonnées[[#This Row],[PlantationDate]])," ", YEAR(CompilDonnées[[#This Row],[PlantationDate]]))</f>
        <v>12 2024</v>
      </c>
      <c r="M561" t="str">
        <f>CONCATENATE(MONTH(CompilDonnées[[#This Row],[HarvestingDate]])," ", YEAR(CompilDonnées[[#This Row],[HarvestingDate]]))</f>
        <v>2 2025</v>
      </c>
      <c r="N561">
        <f>_xlfn.NUMBERVALUE(CompilDonnées[[#This Row],[FarmID]]&amp;CompilDonnées[[#This Row],[ModuleNumber]]&amp;CompilDonnées[[#This Row],[PlantationDate]])</f>
        <v>16245653</v>
      </c>
      <c r="O561" t="str">
        <f>CompilDonnées[[#This Row],[FarmID]]&amp;CompilDonnées[[#This Row],[ModuleNumber]]</f>
        <v>162</v>
      </c>
      <c r="P561" t="str">
        <f>CompilDonnées[[#This Row],[Ref_Module]]&amp;CompilDonnées[[#This Row],[HarvestingDate]]</f>
        <v>16245693</v>
      </c>
    </row>
    <row r="562" spans="1:16">
      <c r="A562" s="5">
        <v>45653</v>
      </c>
      <c r="B562">
        <v>22</v>
      </c>
      <c r="C562" t="s">
        <v>43</v>
      </c>
      <c r="D562">
        <v>4</v>
      </c>
      <c r="E562">
        <v>100</v>
      </c>
      <c r="F562" t="s">
        <v>1</v>
      </c>
      <c r="G562" s="6">
        <v>45698</v>
      </c>
      <c r="H562">
        <v>45</v>
      </c>
      <c r="I562">
        <f>ROUND(CompilDonnées[[#This Row],[CultureDuration_days]]/7,0)</f>
        <v>6</v>
      </c>
      <c r="J562">
        <v>3081</v>
      </c>
      <c r="K562" t="str">
        <f>_xlfn.CONCAT(WEEKNUM(CompilDonnées[[#This Row],[PlantationDate]]), " ", YEAR(CompilDonnées[[#This Row],[PlantationDate]]))</f>
        <v>52 2024</v>
      </c>
      <c r="L562" t="str">
        <f>CONCATENATE(MONTH(CompilDonnées[[#This Row],[PlantationDate]])," ", YEAR(CompilDonnées[[#This Row],[PlantationDate]]))</f>
        <v>12 2024</v>
      </c>
      <c r="M562" t="str">
        <f>CONCATENATE(MONTH(CompilDonnées[[#This Row],[HarvestingDate]])," ", YEAR(CompilDonnées[[#This Row],[HarvestingDate]]))</f>
        <v>2 2025</v>
      </c>
      <c r="N562">
        <f>_xlfn.NUMBERVALUE(CompilDonnées[[#This Row],[FarmID]]&amp;CompilDonnées[[#This Row],[ModuleNumber]]&amp;CompilDonnées[[#This Row],[PlantationDate]])</f>
        <v>22445653</v>
      </c>
      <c r="O562" t="str">
        <f>CompilDonnées[[#This Row],[FarmID]]&amp;CompilDonnées[[#This Row],[ModuleNumber]]</f>
        <v>224</v>
      </c>
      <c r="P562" t="str">
        <f>CompilDonnées[[#This Row],[Ref_Module]]&amp;CompilDonnées[[#This Row],[HarvestingDate]]</f>
        <v>22445698</v>
      </c>
    </row>
    <row r="563" spans="1:16">
      <c r="A563" s="5">
        <v>45653</v>
      </c>
      <c r="B563">
        <v>21</v>
      </c>
      <c r="C563" t="s">
        <v>0</v>
      </c>
      <c r="D563">
        <v>1</v>
      </c>
      <c r="E563">
        <v>100</v>
      </c>
      <c r="F563" t="s">
        <v>1</v>
      </c>
      <c r="G563" s="6">
        <v>45698</v>
      </c>
      <c r="H563">
        <v>45</v>
      </c>
      <c r="I563">
        <f>ROUND(CompilDonnées[[#This Row],[CultureDuration_days]]/7,0)</f>
        <v>6</v>
      </c>
      <c r="J563">
        <v>2650</v>
      </c>
      <c r="K563" t="str">
        <f>_xlfn.CONCAT(WEEKNUM(CompilDonnées[[#This Row],[PlantationDate]]), " ", YEAR(CompilDonnées[[#This Row],[PlantationDate]]))</f>
        <v>52 2024</v>
      </c>
      <c r="L563" t="str">
        <f>CONCATENATE(MONTH(CompilDonnées[[#This Row],[PlantationDate]])," ", YEAR(CompilDonnées[[#This Row],[PlantationDate]]))</f>
        <v>12 2024</v>
      </c>
      <c r="M563" t="str">
        <f>CONCATENATE(MONTH(CompilDonnées[[#This Row],[HarvestingDate]])," ", YEAR(CompilDonnées[[#This Row],[HarvestingDate]]))</f>
        <v>2 2025</v>
      </c>
      <c r="N563">
        <f>_xlfn.NUMBERVALUE(CompilDonnées[[#This Row],[FarmID]]&amp;CompilDonnées[[#This Row],[ModuleNumber]]&amp;CompilDonnées[[#This Row],[PlantationDate]])</f>
        <v>21145653</v>
      </c>
      <c r="O563" t="str">
        <f>CompilDonnées[[#This Row],[FarmID]]&amp;CompilDonnées[[#This Row],[ModuleNumber]]</f>
        <v>211</v>
      </c>
      <c r="P563" t="str">
        <f>CompilDonnées[[#This Row],[Ref_Module]]&amp;CompilDonnées[[#This Row],[HarvestingDate]]</f>
        <v>21145698</v>
      </c>
    </row>
    <row r="564" spans="1:16">
      <c r="A564" s="5">
        <v>45653</v>
      </c>
      <c r="B564">
        <v>38</v>
      </c>
      <c r="C564" t="s">
        <v>34</v>
      </c>
      <c r="D564">
        <v>2</v>
      </c>
      <c r="E564">
        <v>100</v>
      </c>
      <c r="F564" t="s">
        <v>1</v>
      </c>
      <c r="G564" s="6">
        <v>45693</v>
      </c>
      <c r="H564">
        <v>40</v>
      </c>
      <c r="I564">
        <f>ROUND(CompilDonnées[[#This Row],[CultureDuration_days]]/7,0)</f>
        <v>6</v>
      </c>
      <c r="J564">
        <v>3593</v>
      </c>
      <c r="K564" t="str">
        <f>_xlfn.CONCAT(WEEKNUM(CompilDonnées[[#This Row],[PlantationDate]]), " ", YEAR(CompilDonnées[[#This Row],[PlantationDate]]))</f>
        <v>52 2024</v>
      </c>
      <c r="L564" t="str">
        <f>CONCATENATE(MONTH(CompilDonnées[[#This Row],[PlantationDate]])," ", YEAR(CompilDonnées[[#This Row],[PlantationDate]]))</f>
        <v>12 2024</v>
      </c>
      <c r="M564" t="str">
        <f>CONCATENATE(MONTH(CompilDonnées[[#This Row],[HarvestingDate]])," ", YEAR(CompilDonnées[[#This Row],[HarvestingDate]]))</f>
        <v>2 2025</v>
      </c>
      <c r="N564">
        <f>_xlfn.NUMBERVALUE(CompilDonnées[[#This Row],[FarmID]]&amp;CompilDonnées[[#This Row],[ModuleNumber]]&amp;CompilDonnées[[#This Row],[PlantationDate]])</f>
        <v>38245653</v>
      </c>
      <c r="O564" t="str">
        <f>CompilDonnées[[#This Row],[FarmID]]&amp;CompilDonnées[[#This Row],[ModuleNumber]]</f>
        <v>382</v>
      </c>
      <c r="P564" t="str">
        <f>CompilDonnées[[#This Row],[Ref_Module]]&amp;CompilDonnées[[#This Row],[HarvestingDate]]</f>
        <v>38245693</v>
      </c>
    </row>
    <row r="565" spans="1:16">
      <c r="A565" s="5">
        <v>45653</v>
      </c>
      <c r="B565">
        <v>44</v>
      </c>
      <c r="C565" t="s">
        <v>42</v>
      </c>
      <c r="D565">
        <v>5</v>
      </c>
      <c r="E565">
        <v>100</v>
      </c>
      <c r="F565" t="s">
        <v>1</v>
      </c>
      <c r="G565" s="6">
        <v>45693</v>
      </c>
      <c r="H565">
        <v>40</v>
      </c>
      <c r="I565">
        <f>ROUND(CompilDonnées[[#This Row],[CultureDuration_days]]/7,0)</f>
        <v>6</v>
      </c>
      <c r="J565">
        <v>3107</v>
      </c>
      <c r="K565" t="str">
        <f>_xlfn.CONCAT(WEEKNUM(CompilDonnées[[#This Row],[PlantationDate]]), " ", YEAR(CompilDonnées[[#This Row],[PlantationDate]]))</f>
        <v>52 2024</v>
      </c>
      <c r="L565" t="str">
        <f>CONCATENATE(MONTH(CompilDonnées[[#This Row],[PlantationDate]])," ", YEAR(CompilDonnées[[#This Row],[PlantationDate]]))</f>
        <v>12 2024</v>
      </c>
      <c r="M565" t="str">
        <f>CONCATENATE(MONTH(CompilDonnées[[#This Row],[HarvestingDate]])," ", YEAR(CompilDonnées[[#This Row],[HarvestingDate]]))</f>
        <v>2 2025</v>
      </c>
      <c r="N565">
        <f>_xlfn.NUMBERVALUE(CompilDonnées[[#This Row],[FarmID]]&amp;CompilDonnées[[#This Row],[ModuleNumber]]&amp;CompilDonnées[[#This Row],[PlantationDate]])</f>
        <v>44545653</v>
      </c>
      <c r="O565" t="str">
        <f>CompilDonnées[[#This Row],[FarmID]]&amp;CompilDonnées[[#This Row],[ModuleNumber]]</f>
        <v>445</v>
      </c>
      <c r="P565" t="str">
        <f>CompilDonnées[[#This Row],[Ref_Module]]&amp;CompilDonnées[[#This Row],[HarvestingDate]]</f>
        <v>44545693</v>
      </c>
    </row>
    <row r="566" spans="1:16">
      <c r="A566" s="5">
        <v>45653</v>
      </c>
      <c r="B566">
        <v>60</v>
      </c>
      <c r="C566" t="s">
        <v>113</v>
      </c>
      <c r="D566">
        <v>3</v>
      </c>
      <c r="E566">
        <v>100</v>
      </c>
      <c r="F566" t="s">
        <v>1</v>
      </c>
      <c r="G566" s="6">
        <v>45698</v>
      </c>
      <c r="H566">
        <v>45</v>
      </c>
      <c r="I566">
        <f>ROUND(CompilDonnées[[#This Row],[CultureDuration_days]]/7,0)</f>
        <v>6</v>
      </c>
      <c r="J566">
        <v>2876</v>
      </c>
      <c r="K566" t="str">
        <f>_xlfn.CONCAT(WEEKNUM(CompilDonnées[[#This Row],[PlantationDate]]), " ", YEAR(CompilDonnées[[#This Row],[PlantationDate]]))</f>
        <v>52 2024</v>
      </c>
      <c r="L566" t="str">
        <f>CONCATENATE(MONTH(CompilDonnées[[#This Row],[PlantationDate]])," ", YEAR(CompilDonnées[[#This Row],[PlantationDate]]))</f>
        <v>12 2024</v>
      </c>
      <c r="M566" t="str">
        <f>CONCATENATE(MONTH(CompilDonnées[[#This Row],[HarvestingDate]])," ", YEAR(CompilDonnées[[#This Row],[HarvestingDate]]))</f>
        <v>2 2025</v>
      </c>
      <c r="N566">
        <f>_xlfn.NUMBERVALUE(CompilDonnées[[#This Row],[FarmID]]&amp;CompilDonnées[[#This Row],[ModuleNumber]]&amp;CompilDonnées[[#This Row],[PlantationDate]])</f>
        <v>60345653</v>
      </c>
      <c r="O566" t="str">
        <f>CompilDonnées[[#This Row],[FarmID]]&amp;CompilDonnées[[#This Row],[ModuleNumber]]</f>
        <v>603</v>
      </c>
      <c r="P566" t="str">
        <f>CompilDonnées[[#This Row],[Ref_Module]]&amp;CompilDonnées[[#This Row],[HarvestingDate]]</f>
        <v>60345698</v>
      </c>
    </row>
    <row r="567" spans="1:16">
      <c r="A567" s="5">
        <v>45653</v>
      </c>
      <c r="B567">
        <v>47</v>
      </c>
      <c r="C567" t="s">
        <v>12</v>
      </c>
      <c r="D567">
        <v>3</v>
      </c>
      <c r="E567">
        <v>100</v>
      </c>
      <c r="F567" t="s">
        <v>1</v>
      </c>
      <c r="G567" s="6">
        <v>45698</v>
      </c>
      <c r="H567">
        <v>45</v>
      </c>
      <c r="I567">
        <f>ROUND(CompilDonnées[[#This Row],[CultureDuration_days]]/7,0)</f>
        <v>6</v>
      </c>
      <c r="J567">
        <v>1206</v>
      </c>
      <c r="K567" t="str">
        <f>_xlfn.CONCAT(WEEKNUM(CompilDonnées[[#This Row],[PlantationDate]]), " ", YEAR(CompilDonnées[[#This Row],[PlantationDate]]))</f>
        <v>52 2024</v>
      </c>
      <c r="L567" t="str">
        <f>CONCATENATE(MONTH(CompilDonnées[[#This Row],[PlantationDate]])," ", YEAR(CompilDonnées[[#This Row],[PlantationDate]]))</f>
        <v>12 2024</v>
      </c>
      <c r="M567" t="str">
        <f>CONCATENATE(MONTH(CompilDonnées[[#This Row],[HarvestingDate]])," ", YEAR(CompilDonnées[[#This Row],[HarvestingDate]]))</f>
        <v>2 2025</v>
      </c>
      <c r="N567">
        <f>_xlfn.NUMBERVALUE(CompilDonnées[[#This Row],[FarmID]]&amp;CompilDonnées[[#This Row],[ModuleNumber]]&amp;CompilDonnées[[#This Row],[PlantationDate]])</f>
        <v>47345653</v>
      </c>
      <c r="O567" t="str">
        <f>CompilDonnées[[#This Row],[FarmID]]&amp;CompilDonnées[[#This Row],[ModuleNumber]]</f>
        <v>473</v>
      </c>
      <c r="P567" t="str">
        <f>CompilDonnées[[#This Row],[Ref_Module]]&amp;CompilDonnées[[#This Row],[HarvestingDate]]</f>
        <v>47345698</v>
      </c>
    </row>
    <row r="568" spans="1:16">
      <c r="A568" s="5">
        <v>45653</v>
      </c>
      <c r="B568">
        <v>70</v>
      </c>
      <c r="C568" t="s">
        <v>7</v>
      </c>
      <c r="D568">
        <v>3</v>
      </c>
      <c r="E568">
        <v>100</v>
      </c>
      <c r="F568" t="s">
        <v>1</v>
      </c>
      <c r="G568" s="6">
        <v>45701</v>
      </c>
      <c r="H568">
        <v>48</v>
      </c>
      <c r="I568">
        <f>ROUND(CompilDonnées[[#This Row],[CultureDuration_days]]/7,0)</f>
        <v>7</v>
      </c>
      <c r="J568">
        <v>2662</v>
      </c>
      <c r="K568" t="str">
        <f>_xlfn.CONCAT(WEEKNUM(CompilDonnées[[#This Row],[PlantationDate]]), " ", YEAR(CompilDonnées[[#This Row],[PlantationDate]]))</f>
        <v>52 2024</v>
      </c>
      <c r="L568" t="str">
        <f>CONCATENATE(MONTH(CompilDonnées[[#This Row],[PlantationDate]])," ", YEAR(CompilDonnées[[#This Row],[PlantationDate]]))</f>
        <v>12 2024</v>
      </c>
      <c r="M568" t="str">
        <f>CONCATENATE(MONTH(CompilDonnées[[#This Row],[HarvestingDate]])," ", YEAR(CompilDonnées[[#This Row],[HarvestingDate]]))</f>
        <v>2 2025</v>
      </c>
      <c r="N568">
        <f>_xlfn.NUMBERVALUE(CompilDonnées[[#This Row],[FarmID]]&amp;CompilDonnées[[#This Row],[ModuleNumber]]&amp;CompilDonnées[[#This Row],[PlantationDate]])</f>
        <v>70345653</v>
      </c>
      <c r="O568" t="str">
        <f>CompilDonnées[[#This Row],[FarmID]]&amp;CompilDonnées[[#This Row],[ModuleNumber]]</f>
        <v>703</v>
      </c>
      <c r="P568" t="str">
        <f>CompilDonnées[[#This Row],[Ref_Module]]&amp;CompilDonnées[[#This Row],[HarvestingDate]]</f>
        <v>70345701</v>
      </c>
    </row>
    <row r="569" spans="1:16">
      <c r="A569" s="5">
        <v>45653</v>
      </c>
      <c r="B569">
        <v>69</v>
      </c>
      <c r="C569" t="s">
        <v>102</v>
      </c>
      <c r="D569">
        <v>3</v>
      </c>
      <c r="E569">
        <v>100</v>
      </c>
      <c r="F569" t="s">
        <v>1</v>
      </c>
      <c r="G569" s="6">
        <v>45701</v>
      </c>
      <c r="H569">
        <v>48</v>
      </c>
      <c r="I569">
        <f>ROUND(CompilDonnées[[#This Row],[CultureDuration_days]]/7,0)</f>
        <v>7</v>
      </c>
      <c r="J569">
        <v>2579</v>
      </c>
      <c r="K569" t="str">
        <f>_xlfn.CONCAT(WEEKNUM(CompilDonnées[[#This Row],[PlantationDate]]), " ", YEAR(CompilDonnées[[#This Row],[PlantationDate]]))</f>
        <v>52 2024</v>
      </c>
      <c r="L569" t="str">
        <f>CONCATENATE(MONTH(CompilDonnées[[#This Row],[PlantationDate]])," ", YEAR(CompilDonnées[[#This Row],[PlantationDate]]))</f>
        <v>12 2024</v>
      </c>
      <c r="M569" t="str">
        <f>CONCATENATE(MONTH(CompilDonnées[[#This Row],[HarvestingDate]])," ", YEAR(CompilDonnées[[#This Row],[HarvestingDate]]))</f>
        <v>2 2025</v>
      </c>
      <c r="N569">
        <f>_xlfn.NUMBERVALUE(CompilDonnées[[#This Row],[FarmID]]&amp;CompilDonnées[[#This Row],[ModuleNumber]]&amp;CompilDonnées[[#This Row],[PlantationDate]])</f>
        <v>69345653</v>
      </c>
      <c r="O569" t="str">
        <f>CompilDonnées[[#This Row],[FarmID]]&amp;CompilDonnées[[#This Row],[ModuleNumber]]</f>
        <v>693</v>
      </c>
      <c r="P569" t="str">
        <f>CompilDonnées[[#This Row],[Ref_Module]]&amp;CompilDonnées[[#This Row],[HarvestingDate]]</f>
        <v>69345701</v>
      </c>
    </row>
    <row r="570" spans="1:16">
      <c r="A570" s="5">
        <v>45653</v>
      </c>
      <c r="B570">
        <v>63</v>
      </c>
      <c r="C570" t="s">
        <v>98</v>
      </c>
      <c r="D570">
        <v>3</v>
      </c>
      <c r="E570">
        <v>100</v>
      </c>
      <c r="F570" t="s">
        <v>1</v>
      </c>
      <c r="G570" s="6">
        <v>45701</v>
      </c>
      <c r="H570">
        <v>48</v>
      </c>
      <c r="I570">
        <f>ROUND(CompilDonnées[[#This Row],[CultureDuration_days]]/7,0)</f>
        <v>7</v>
      </c>
      <c r="J570">
        <v>1850</v>
      </c>
      <c r="K570" t="str">
        <f>_xlfn.CONCAT(WEEKNUM(CompilDonnées[[#This Row],[PlantationDate]]), " ", YEAR(CompilDonnées[[#This Row],[PlantationDate]]))</f>
        <v>52 2024</v>
      </c>
      <c r="L570" t="str">
        <f>CONCATENATE(MONTH(CompilDonnées[[#This Row],[PlantationDate]])," ", YEAR(CompilDonnées[[#This Row],[PlantationDate]]))</f>
        <v>12 2024</v>
      </c>
      <c r="M570" t="str">
        <f>CONCATENATE(MONTH(CompilDonnées[[#This Row],[HarvestingDate]])," ", YEAR(CompilDonnées[[#This Row],[HarvestingDate]]))</f>
        <v>2 2025</v>
      </c>
      <c r="N570">
        <f>_xlfn.NUMBERVALUE(CompilDonnées[[#This Row],[FarmID]]&amp;CompilDonnées[[#This Row],[ModuleNumber]]&amp;CompilDonnées[[#This Row],[PlantationDate]])</f>
        <v>63345653</v>
      </c>
      <c r="O570" t="str">
        <f>CompilDonnées[[#This Row],[FarmID]]&amp;CompilDonnées[[#This Row],[ModuleNumber]]</f>
        <v>633</v>
      </c>
      <c r="P570" t="str">
        <f>CompilDonnées[[#This Row],[Ref_Module]]&amp;CompilDonnées[[#This Row],[HarvestingDate]]</f>
        <v>63345701</v>
      </c>
    </row>
    <row r="571" spans="1:16">
      <c r="A571" s="5">
        <v>45653</v>
      </c>
      <c r="B571">
        <v>61</v>
      </c>
      <c r="C571" t="s">
        <v>95</v>
      </c>
      <c r="D571">
        <v>3</v>
      </c>
      <c r="E571">
        <v>100</v>
      </c>
      <c r="F571" t="s">
        <v>1</v>
      </c>
      <c r="G571" s="6">
        <v>45701</v>
      </c>
      <c r="H571">
        <v>48</v>
      </c>
      <c r="I571">
        <f>ROUND(CompilDonnées[[#This Row],[CultureDuration_days]]/7,0)</f>
        <v>7</v>
      </c>
      <c r="J571">
        <v>2104</v>
      </c>
      <c r="K571" t="str">
        <f>_xlfn.CONCAT(WEEKNUM(CompilDonnées[[#This Row],[PlantationDate]]), " ", YEAR(CompilDonnées[[#This Row],[PlantationDate]]))</f>
        <v>52 2024</v>
      </c>
      <c r="L571" t="str">
        <f>CONCATENATE(MONTH(CompilDonnées[[#This Row],[PlantationDate]])," ", YEAR(CompilDonnées[[#This Row],[PlantationDate]]))</f>
        <v>12 2024</v>
      </c>
      <c r="M571" t="str">
        <f>CONCATENATE(MONTH(CompilDonnées[[#This Row],[HarvestingDate]])," ", YEAR(CompilDonnées[[#This Row],[HarvestingDate]]))</f>
        <v>2 2025</v>
      </c>
      <c r="N571">
        <f>_xlfn.NUMBERVALUE(CompilDonnées[[#This Row],[FarmID]]&amp;CompilDonnées[[#This Row],[ModuleNumber]]&amp;CompilDonnées[[#This Row],[PlantationDate]])</f>
        <v>61345653</v>
      </c>
      <c r="O571" t="str">
        <f>CompilDonnées[[#This Row],[FarmID]]&amp;CompilDonnées[[#This Row],[ModuleNumber]]</f>
        <v>613</v>
      </c>
      <c r="P571" t="str">
        <f>CompilDonnées[[#This Row],[Ref_Module]]&amp;CompilDonnées[[#This Row],[HarvestingDate]]</f>
        <v>61345701</v>
      </c>
    </row>
    <row r="572" spans="1:16">
      <c r="A572" s="5">
        <v>45653</v>
      </c>
      <c r="B572">
        <v>61</v>
      </c>
      <c r="C572" t="s">
        <v>95</v>
      </c>
      <c r="D572">
        <v>4</v>
      </c>
      <c r="E572">
        <v>100</v>
      </c>
      <c r="F572" t="s">
        <v>1</v>
      </c>
      <c r="G572" s="6">
        <v>45701</v>
      </c>
      <c r="H572">
        <v>48</v>
      </c>
      <c r="I572">
        <f>ROUND(CompilDonnées[[#This Row],[CultureDuration_days]]/7,0)</f>
        <v>7</v>
      </c>
      <c r="J572">
        <v>2350</v>
      </c>
      <c r="K572" t="str">
        <f>_xlfn.CONCAT(WEEKNUM(CompilDonnées[[#This Row],[PlantationDate]]), " ", YEAR(CompilDonnées[[#This Row],[PlantationDate]]))</f>
        <v>52 2024</v>
      </c>
      <c r="L572" t="str">
        <f>CONCATENATE(MONTH(CompilDonnées[[#This Row],[PlantationDate]])," ", YEAR(CompilDonnées[[#This Row],[PlantationDate]]))</f>
        <v>12 2024</v>
      </c>
      <c r="M572" t="str">
        <f>CONCATENATE(MONTH(CompilDonnées[[#This Row],[HarvestingDate]])," ", YEAR(CompilDonnées[[#This Row],[HarvestingDate]]))</f>
        <v>2 2025</v>
      </c>
      <c r="N572">
        <f>_xlfn.NUMBERVALUE(CompilDonnées[[#This Row],[FarmID]]&amp;CompilDonnées[[#This Row],[ModuleNumber]]&amp;CompilDonnées[[#This Row],[PlantationDate]])</f>
        <v>61445653</v>
      </c>
      <c r="O572" t="str">
        <f>CompilDonnées[[#This Row],[FarmID]]&amp;CompilDonnées[[#This Row],[ModuleNumber]]</f>
        <v>614</v>
      </c>
      <c r="P572" t="str">
        <f>CompilDonnées[[#This Row],[Ref_Module]]&amp;CompilDonnées[[#This Row],[HarvestingDate]]</f>
        <v>61445701</v>
      </c>
    </row>
    <row r="573" spans="1:16">
      <c r="A573" s="5">
        <v>45653</v>
      </c>
      <c r="B573">
        <v>74</v>
      </c>
      <c r="C573" t="s">
        <v>21</v>
      </c>
      <c r="D573">
        <v>4</v>
      </c>
      <c r="E573">
        <v>100</v>
      </c>
      <c r="F573" t="s">
        <v>1</v>
      </c>
      <c r="G573" s="6">
        <v>45694</v>
      </c>
      <c r="H573">
        <v>41</v>
      </c>
      <c r="I573">
        <f>ROUND(CompilDonnées[[#This Row],[CultureDuration_days]]/7,0)</f>
        <v>6</v>
      </c>
      <c r="J573">
        <v>2747</v>
      </c>
      <c r="K573" t="str">
        <f>_xlfn.CONCAT(WEEKNUM(CompilDonnées[[#This Row],[PlantationDate]]), " ", YEAR(CompilDonnées[[#This Row],[PlantationDate]]))</f>
        <v>52 2024</v>
      </c>
      <c r="L573" t="str">
        <f>CONCATENATE(MONTH(CompilDonnées[[#This Row],[PlantationDate]])," ", YEAR(CompilDonnées[[#This Row],[PlantationDate]]))</f>
        <v>12 2024</v>
      </c>
      <c r="M573" t="str">
        <f>CONCATENATE(MONTH(CompilDonnées[[#This Row],[HarvestingDate]])," ", YEAR(CompilDonnées[[#This Row],[HarvestingDate]]))</f>
        <v>2 2025</v>
      </c>
      <c r="N573">
        <f>_xlfn.NUMBERVALUE(CompilDonnées[[#This Row],[FarmID]]&amp;CompilDonnées[[#This Row],[ModuleNumber]]&amp;CompilDonnées[[#This Row],[PlantationDate]])</f>
        <v>74445653</v>
      </c>
      <c r="O573" t="str">
        <f>CompilDonnées[[#This Row],[FarmID]]&amp;CompilDonnées[[#This Row],[ModuleNumber]]</f>
        <v>744</v>
      </c>
      <c r="P573" t="str">
        <f>CompilDonnées[[#This Row],[Ref_Module]]&amp;CompilDonnées[[#This Row],[HarvestingDate]]</f>
        <v>74445694</v>
      </c>
    </row>
    <row r="574" spans="1:16">
      <c r="A574" s="5">
        <v>45653</v>
      </c>
      <c r="B574">
        <v>82</v>
      </c>
      <c r="C574" t="s">
        <v>17</v>
      </c>
      <c r="D574">
        <v>5</v>
      </c>
      <c r="E574">
        <v>100</v>
      </c>
      <c r="F574" t="s">
        <v>1</v>
      </c>
      <c r="G574" s="6">
        <v>45689</v>
      </c>
      <c r="H574">
        <v>36</v>
      </c>
      <c r="I574">
        <f>ROUND(CompilDonnées[[#This Row],[CultureDuration_days]]/7,0)</f>
        <v>5</v>
      </c>
      <c r="J574">
        <v>3903</v>
      </c>
      <c r="K574" t="str">
        <f>_xlfn.CONCAT(WEEKNUM(CompilDonnées[[#This Row],[PlantationDate]]), " ", YEAR(CompilDonnées[[#This Row],[PlantationDate]]))</f>
        <v>52 2024</v>
      </c>
      <c r="L574" t="str">
        <f>CONCATENATE(MONTH(CompilDonnées[[#This Row],[PlantationDate]])," ", YEAR(CompilDonnées[[#This Row],[PlantationDate]]))</f>
        <v>12 2024</v>
      </c>
      <c r="M574" t="str">
        <f>CONCATENATE(MONTH(CompilDonnées[[#This Row],[HarvestingDate]])," ", YEAR(CompilDonnées[[#This Row],[HarvestingDate]]))</f>
        <v>2 2025</v>
      </c>
      <c r="N574">
        <f>_xlfn.NUMBERVALUE(CompilDonnées[[#This Row],[FarmID]]&amp;CompilDonnées[[#This Row],[ModuleNumber]]&amp;CompilDonnées[[#This Row],[PlantationDate]])</f>
        <v>82545653</v>
      </c>
      <c r="O574" t="str">
        <f>CompilDonnées[[#This Row],[FarmID]]&amp;CompilDonnées[[#This Row],[ModuleNumber]]</f>
        <v>825</v>
      </c>
      <c r="P574" t="str">
        <f>CompilDonnées[[#This Row],[Ref_Module]]&amp;CompilDonnées[[#This Row],[HarvestingDate]]</f>
        <v>82545689</v>
      </c>
    </row>
    <row r="575" spans="1:16">
      <c r="A575" s="5">
        <v>45653</v>
      </c>
      <c r="B575">
        <v>67</v>
      </c>
      <c r="C575" t="s">
        <v>28</v>
      </c>
      <c r="D575">
        <v>1</v>
      </c>
      <c r="E575">
        <v>100</v>
      </c>
      <c r="F575" t="s">
        <v>1</v>
      </c>
      <c r="G575" s="6">
        <v>45693</v>
      </c>
      <c r="H575">
        <v>40</v>
      </c>
      <c r="I575">
        <f>ROUND(CompilDonnées[[#This Row],[CultureDuration_days]]/7,0)</f>
        <v>6</v>
      </c>
      <c r="J575">
        <v>3533</v>
      </c>
      <c r="K575" t="str">
        <f>_xlfn.CONCAT(WEEKNUM(CompilDonnées[[#This Row],[PlantationDate]]), " ", YEAR(CompilDonnées[[#This Row],[PlantationDate]]))</f>
        <v>52 2024</v>
      </c>
      <c r="L575" t="str">
        <f>CONCATENATE(MONTH(CompilDonnées[[#This Row],[PlantationDate]])," ", YEAR(CompilDonnées[[#This Row],[PlantationDate]]))</f>
        <v>12 2024</v>
      </c>
      <c r="M575" t="str">
        <f>CONCATENATE(MONTH(CompilDonnées[[#This Row],[HarvestingDate]])," ", YEAR(CompilDonnées[[#This Row],[HarvestingDate]]))</f>
        <v>2 2025</v>
      </c>
      <c r="N575">
        <f>_xlfn.NUMBERVALUE(CompilDonnées[[#This Row],[FarmID]]&amp;CompilDonnées[[#This Row],[ModuleNumber]]&amp;CompilDonnées[[#This Row],[PlantationDate]])</f>
        <v>67145653</v>
      </c>
      <c r="O575" t="str">
        <f>CompilDonnées[[#This Row],[FarmID]]&amp;CompilDonnées[[#This Row],[ModuleNumber]]</f>
        <v>671</v>
      </c>
      <c r="P575" t="str">
        <f>CompilDonnées[[#This Row],[Ref_Module]]&amp;CompilDonnées[[#This Row],[HarvestingDate]]</f>
        <v>67145693</v>
      </c>
    </row>
    <row r="576" spans="1:16">
      <c r="A576" s="5">
        <v>45653</v>
      </c>
      <c r="B576">
        <v>58</v>
      </c>
      <c r="C576" t="s">
        <v>35</v>
      </c>
      <c r="D576">
        <v>1</v>
      </c>
      <c r="E576">
        <v>100</v>
      </c>
      <c r="F576" t="s">
        <v>1</v>
      </c>
      <c r="G576" s="6">
        <v>45690</v>
      </c>
      <c r="H576">
        <v>37</v>
      </c>
      <c r="I576">
        <f>ROUND(CompilDonnées[[#This Row],[CultureDuration_days]]/7,0)</f>
        <v>5</v>
      </c>
      <c r="J576">
        <v>4161</v>
      </c>
      <c r="K576" t="str">
        <f>_xlfn.CONCAT(WEEKNUM(CompilDonnées[[#This Row],[PlantationDate]]), " ", YEAR(CompilDonnées[[#This Row],[PlantationDate]]))</f>
        <v>52 2024</v>
      </c>
      <c r="L576" t="str">
        <f>CONCATENATE(MONTH(CompilDonnées[[#This Row],[PlantationDate]])," ", YEAR(CompilDonnées[[#This Row],[PlantationDate]]))</f>
        <v>12 2024</v>
      </c>
      <c r="M576" t="str">
        <f>CONCATENATE(MONTH(CompilDonnées[[#This Row],[HarvestingDate]])," ", YEAR(CompilDonnées[[#This Row],[HarvestingDate]]))</f>
        <v>2 2025</v>
      </c>
      <c r="N576">
        <f>_xlfn.NUMBERVALUE(CompilDonnées[[#This Row],[FarmID]]&amp;CompilDonnées[[#This Row],[ModuleNumber]]&amp;CompilDonnées[[#This Row],[PlantationDate]])</f>
        <v>58145653</v>
      </c>
      <c r="O576" t="str">
        <f>CompilDonnées[[#This Row],[FarmID]]&amp;CompilDonnées[[#This Row],[ModuleNumber]]</f>
        <v>581</v>
      </c>
      <c r="P576" t="str">
        <f>CompilDonnées[[#This Row],[Ref_Module]]&amp;CompilDonnées[[#This Row],[HarvestingDate]]</f>
        <v>58145690</v>
      </c>
    </row>
    <row r="577" spans="1:16">
      <c r="A577" s="5">
        <v>45653</v>
      </c>
      <c r="B577">
        <v>83</v>
      </c>
      <c r="C577" t="s">
        <v>73</v>
      </c>
      <c r="D577">
        <v>6</v>
      </c>
      <c r="E577">
        <v>100</v>
      </c>
      <c r="F577" t="s">
        <v>1</v>
      </c>
      <c r="G577" s="6">
        <v>45700</v>
      </c>
      <c r="H577">
        <v>47</v>
      </c>
      <c r="I577">
        <f>ROUND(CompilDonnées[[#This Row],[CultureDuration_days]]/7,0)</f>
        <v>7</v>
      </c>
      <c r="J577">
        <v>2741</v>
      </c>
      <c r="K577" t="str">
        <f>_xlfn.CONCAT(WEEKNUM(CompilDonnées[[#This Row],[PlantationDate]]), " ", YEAR(CompilDonnées[[#This Row],[PlantationDate]]))</f>
        <v>52 2024</v>
      </c>
      <c r="L577" t="str">
        <f>CONCATENATE(MONTH(CompilDonnées[[#This Row],[PlantationDate]])," ", YEAR(CompilDonnées[[#This Row],[PlantationDate]]))</f>
        <v>12 2024</v>
      </c>
      <c r="M577" t="str">
        <f>CONCATENATE(MONTH(CompilDonnées[[#This Row],[HarvestingDate]])," ", YEAR(CompilDonnées[[#This Row],[HarvestingDate]]))</f>
        <v>2 2025</v>
      </c>
      <c r="N577">
        <f>_xlfn.NUMBERVALUE(CompilDonnées[[#This Row],[FarmID]]&amp;CompilDonnées[[#This Row],[ModuleNumber]]&amp;CompilDonnées[[#This Row],[PlantationDate]])</f>
        <v>83645653</v>
      </c>
      <c r="O577" t="str">
        <f>CompilDonnées[[#This Row],[FarmID]]&amp;CompilDonnées[[#This Row],[ModuleNumber]]</f>
        <v>836</v>
      </c>
      <c r="P577" t="str">
        <f>CompilDonnées[[#This Row],[Ref_Module]]&amp;CompilDonnées[[#This Row],[HarvestingDate]]</f>
        <v>83645700</v>
      </c>
    </row>
    <row r="578" spans="1:16">
      <c r="A578" s="5">
        <v>45653</v>
      </c>
      <c r="B578">
        <v>101</v>
      </c>
      <c r="C578" t="s">
        <v>54</v>
      </c>
      <c r="D578">
        <v>3</v>
      </c>
      <c r="E578">
        <v>100</v>
      </c>
      <c r="F578" t="s">
        <v>1</v>
      </c>
      <c r="G578" s="6">
        <v>45695</v>
      </c>
      <c r="H578">
        <v>42</v>
      </c>
      <c r="I578">
        <f>ROUND(CompilDonnées[[#This Row],[CultureDuration_days]]/7,0)</f>
        <v>6</v>
      </c>
      <c r="J578">
        <v>4745</v>
      </c>
      <c r="K578" t="str">
        <f>_xlfn.CONCAT(WEEKNUM(CompilDonnées[[#This Row],[PlantationDate]]), " ", YEAR(CompilDonnées[[#This Row],[PlantationDate]]))</f>
        <v>52 2024</v>
      </c>
      <c r="L578" t="str">
        <f>CONCATENATE(MONTH(CompilDonnées[[#This Row],[PlantationDate]])," ", YEAR(CompilDonnées[[#This Row],[PlantationDate]]))</f>
        <v>12 2024</v>
      </c>
      <c r="M578" t="str">
        <f>CONCATENATE(MONTH(CompilDonnées[[#This Row],[HarvestingDate]])," ", YEAR(CompilDonnées[[#This Row],[HarvestingDate]]))</f>
        <v>2 2025</v>
      </c>
      <c r="N578">
        <f>_xlfn.NUMBERVALUE(CompilDonnées[[#This Row],[FarmID]]&amp;CompilDonnées[[#This Row],[ModuleNumber]]&amp;CompilDonnées[[#This Row],[PlantationDate]])</f>
        <v>101345653</v>
      </c>
      <c r="O578" t="str">
        <f>CompilDonnées[[#This Row],[FarmID]]&amp;CompilDonnées[[#This Row],[ModuleNumber]]</f>
        <v>1013</v>
      </c>
      <c r="P578" t="str">
        <f>CompilDonnées[[#This Row],[Ref_Module]]&amp;CompilDonnées[[#This Row],[HarvestingDate]]</f>
        <v>101345695</v>
      </c>
    </row>
    <row r="579" spans="1:16">
      <c r="A579" s="5">
        <v>45653</v>
      </c>
      <c r="B579">
        <v>101</v>
      </c>
      <c r="C579" t="s">
        <v>54</v>
      </c>
      <c r="D579">
        <v>5</v>
      </c>
      <c r="E579">
        <v>100</v>
      </c>
      <c r="F579" t="s">
        <v>1</v>
      </c>
      <c r="G579" s="6">
        <v>45694</v>
      </c>
      <c r="H579">
        <v>41</v>
      </c>
      <c r="I579">
        <f>ROUND(CompilDonnées[[#This Row],[CultureDuration_days]]/7,0)</f>
        <v>6</v>
      </c>
      <c r="J579">
        <v>4334</v>
      </c>
      <c r="K579" t="str">
        <f>_xlfn.CONCAT(WEEKNUM(CompilDonnées[[#This Row],[PlantationDate]]), " ", YEAR(CompilDonnées[[#This Row],[PlantationDate]]))</f>
        <v>52 2024</v>
      </c>
      <c r="L579" t="str">
        <f>CONCATENATE(MONTH(CompilDonnées[[#This Row],[PlantationDate]])," ", YEAR(CompilDonnées[[#This Row],[PlantationDate]]))</f>
        <v>12 2024</v>
      </c>
      <c r="M579" t="str">
        <f>CONCATENATE(MONTH(CompilDonnées[[#This Row],[HarvestingDate]])," ", YEAR(CompilDonnées[[#This Row],[HarvestingDate]]))</f>
        <v>2 2025</v>
      </c>
      <c r="N579">
        <f>_xlfn.NUMBERVALUE(CompilDonnées[[#This Row],[FarmID]]&amp;CompilDonnées[[#This Row],[ModuleNumber]]&amp;CompilDonnées[[#This Row],[PlantationDate]])</f>
        <v>101545653</v>
      </c>
      <c r="O579" t="str">
        <f>CompilDonnées[[#This Row],[FarmID]]&amp;CompilDonnées[[#This Row],[ModuleNumber]]</f>
        <v>1015</v>
      </c>
      <c r="P579" t="str">
        <f>CompilDonnées[[#This Row],[Ref_Module]]&amp;CompilDonnées[[#This Row],[HarvestingDate]]</f>
        <v>101545694</v>
      </c>
    </row>
    <row r="580" spans="1:16">
      <c r="A580" s="5">
        <v>45653</v>
      </c>
      <c r="B580">
        <v>99</v>
      </c>
      <c r="C580" t="s">
        <v>117</v>
      </c>
      <c r="D580">
        <v>4</v>
      </c>
      <c r="E580">
        <v>100</v>
      </c>
      <c r="F580" t="s">
        <v>1</v>
      </c>
      <c r="G580" s="6">
        <v>45689</v>
      </c>
      <c r="H580">
        <v>36</v>
      </c>
      <c r="I580">
        <f>ROUND(CompilDonnées[[#This Row],[CultureDuration_days]]/7,0)</f>
        <v>5</v>
      </c>
      <c r="J580">
        <v>2945</v>
      </c>
      <c r="K580" t="str">
        <f>_xlfn.CONCAT(WEEKNUM(CompilDonnées[[#This Row],[PlantationDate]]), " ", YEAR(CompilDonnées[[#This Row],[PlantationDate]]))</f>
        <v>52 2024</v>
      </c>
      <c r="L580" t="str">
        <f>CONCATENATE(MONTH(CompilDonnées[[#This Row],[PlantationDate]])," ", YEAR(CompilDonnées[[#This Row],[PlantationDate]]))</f>
        <v>12 2024</v>
      </c>
      <c r="M580" t="str">
        <f>CONCATENATE(MONTH(CompilDonnées[[#This Row],[HarvestingDate]])," ", YEAR(CompilDonnées[[#This Row],[HarvestingDate]]))</f>
        <v>2 2025</v>
      </c>
      <c r="N580">
        <f>_xlfn.NUMBERVALUE(CompilDonnées[[#This Row],[FarmID]]&amp;CompilDonnées[[#This Row],[ModuleNumber]]&amp;CompilDonnées[[#This Row],[PlantationDate]])</f>
        <v>99445653</v>
      </c>
      <c r="O580" t="str">
        <f>CompilDonnées[[#This Row],[FarmID]]&amp;CompilDonnées[[#This Row],[ModuleNumber]]</f>
        <v>994</v>
      </c>
      <c r="P580" t="str">
        <f>CompilDonnées[[#This Row],[Ref_Module]]&amp;CompilDonnées[[#This Row],[HarvestingDate]]</f>
        <v>99445689</v>
      </c>
    </row>
    <row r="581" spans="1:16">
      <c r="A581" s="5">
        <v>45653</v>
      </c>
      <c r="B581">
        <v>108</v>
      </c>
      <c r="C581" t="s">
        <v>58</v>
      </c>
      <c r="D581">
        <v>4</v>
      </c>
      <c r="E581">
        <v>100</v>
      </c>
      <c r="F581" t="s">
        <v>1</v>
      </c>
      <c r="G581" s="6">
        <v>45689</v>
      </c>
      <c r="H581">
        <v>36</v>
      </c>
      <c r="I581">
        <f>ROUND(CompilDonnées[[#This Row],[CultureDuration_days]]/7,0)</f>
        <v>5</v>
      </c>
      <c r="J581">
        <v>2998</v>
      </c>
      <c r="K581" t="str">
        <f>_xlfn.CONCAT(WEEKNUM(CompilDonnées[[#This Row],[PlantationDate]]), " ", YEAR(CompilDonnées[[#This Row],[PlantationDate]]))</f>
        <v>52 2024</v>
      </c>
      <c r="L581" t="str">
        <f>CONCATENATE(MONTH(CompilDonnées[[#This Row],[PlantationDate]])," ", YEAR(CompilDonnées[[#This Row],[PlantationDate]]))</f>
        <v>12 2024</v>
      </c>
      <c r="M581" t="str">
        <f>CONCATENATE(MONTH(CompilDonnées[[#This Row],[HarvestingDate]])," ", YEAR(CompilDonnées[[#This Row],[HarvestingDate]]))</f>
        <v>2 2025</v>
      </c>
      <c r="N581">
        <f>_xlfn.NUMBERVALUE(CompilDonnées[[#This Row],[FarmID]]&amp;CompilDonnées[[#This Row],[ModuleNumber]]&amp;CompilDonnées[[#This Row],[PlantationDate]])</f>
        <v>108445653</v>
      </c>
      <c r="O581" t="str">
        <f>CompilDonnées[[#This Row],[FarmID]]&amp;CompilDonnées[[#This Row],[ModuleNumber]]</f>
        <v>1084</v>
      </c>
      <c r="P581" t="str">
        <f>CompilDonnées[[#This Row],[Ref_Module]]&amp;CompilDonnées[[#This Row],[HarvestingDate]]</f>
        <v>108445689</v>
      </c>
    </row>
    <row r="582" spans="1:16">
      <c r="A582" s="5">
        <v>45653</v>
      </c>
      <c r="B582">
        <v>106</v>
      </c>
      <c r="C582" t="s">
        <v>22</v>
      </c>
      <c r="D582">
        <v>5</v>
      </c>
      <c r="E582">
        <v>100</v>
      </c>
      <c r="F582" t="s">
        <v>1</v>
      </c>
      <c r="G582" s="6">
        <v>45699</v>
      </c>
      <c r="H582">
        <v>46</v>
      </c>
      <c r="I582">
        <f>ROUND(CompilDonnées[[#This Row],[CultureDuration_days]]/7,0)</f>
        <v>7</v>
      </c>
      <c r="J582">
        <v>3382</v>
      </c>
      <c r="K582" t="str">
        <f>_xlfn.CONCAT(WEEKNUM(CompilDonnées[[#This Row],[PlantationDate]]), " ", YEAR(CompilDonnées[[#This Row],[PlantationDate]]))</f>
        <v>52 2024</v>
      </c>
      <c r="L582" t="str">
        <f>CONCATENATE(MONTH(CompilDonnées[[#This Row],[PlantationDate]])," ", YEAR(CompilDonnées[[#This Row],[PlantationDate]]))</f>
        <v>12 2024</v>
      </c>
      <c r="M582" t="str">
        <f>CONCATENATE(MONTH(CompilDonnées[[#This Row],[HarvestingDate]])," ", YEAR(CompilDonnées[[#This Row],[HarvestingDate]]))</f>
        <v>2 2025</v>
      </c>
      <c r="N582">
        <f>_xlfn.NUMBERVALUE(CompilDonnées[[#This Row],[FarmID]]&amp;CompilDonnées[[#This Row],[ModuleNumber]]&amp;CompilDonnées[[#This Row],[PlantationDate]])</f>
        <v>106545653</v>
      </c>
      <c r="O582" t="str">
        <f>CompilDonnées[[#This Row],[FarmID]]&amp;CompilDonnées[[#This Row],[ModuleNumber]]</f>
        <v>1065</v>
      </c>
      <c r="P582" t="str">
        <f>CompilDonnées[[#This Row],[Ref_Module]]&amp;CompilDonnées[[#This Row],[HarvestingDate]]</f>
        <v>106545699</v>
      </c>
    </row>
    <row r="583" spans="1:16">
      <c r="A583" s="5">
        <v>45653</v>
      </c>
      <c r="B583">
        <v>106</v>
      </c>
      <c r="C583" t="s">
        <v>22</v>
      </c>
      <c r="D583">
        <v>6</v>
      </c>
      <c r="E583">
        <v>100</v>
      </c>
      <c r="F583" t="s">
        <v>1</v>
      </c>
      <c r="G583" s="6">
        <v>45699</v>
      </c>
      <c r="H583">
        <v>46</v>
      </c>
      <c r="I583">
        <f>ROUND(CompilDonnées[[#This Row],[CultureDuration_days]]/7,0)</f>
        <v>7</v>
      </c>
      <c r="J583">
        <v>3525</v>
      </c>
      <c r="K583" t="str">
        <f>_xlfn.CONCAT(WEEKNUM(CompilDonnées[[#This Row],[PlantationDate]]), " ", YEAR(CompilDonnées[[#This Row],[PlantationDate]]))</f>
        <v>52 2024</v>
      </c>
      <c r="L583" t="str">
        <f>CONCATENATE(MONTH(CompilDonnées[[#This Row],[PlantationDate]])," ", YEAR(CompilDonnées[[#This Row],[PlantationDate]]))</f>
        <v>12 2024</v>
      </c>
      <c r="M583" t="str">
        <f>CONCATENATE(MONTH(CompilDonnées[[#This Row],[HarvestingDate]])," ", YEAR(CompilDonnées[[#This Row],[HarvestingDate]]))</f>
        <v>2 2025</v>
      </c>
      <c r="N583">
        <f>_xlfn.NUMBERVALUE(CompilDonnées[[#This Row],[FarmID]]&amp;CompilDonnées[[#This Row],[ModuleNumber]]&amp;CompilDonnées[[#This Row],[PlantationDate]])</f>
        <v>106645653</v>
      </c>
      <c r="O583" t="str">
        <f>CompilDonnées[[#This Row],[FarmID]]&amp;CompilDonnées[[#This Row],[ModuleNumber]]</f>
        <v>1066</v>
      </c>
      <c r="P583" t="str">
        <f>CompilDonnées[[#This Row],[Ref_Module]]&amp;CompilDonnées[[#This Row],[HarvestingDate]]</f>
        <v>106645699</v>
      </c>
    </row>
    <row r="584" spans="1:16">
      <c r="A584" s="5">
        <v>45653</v>
      </c>
      <c r="B584">
        <v>103</v>
      </c>
      <c r="C584" t="s">
        <v>86</v>
      </c>
      <c r="D584">
        <v>1</v>
      </c>
      <c r="E584">
        <v>100</v>
      </c>
      <c r="F584" t="s">
        <v>1</v>
      </c>
      <c r="G584" s="6">
        <v>45699</v>
      </c>
      <c r="H584">
        <v>46</v>
      </c>
      <c r="I584">
        <f>ROUND(CompilDonnées[[#This Row],[CultureDuration_days]]/7,0)</f>
        <v>7</v>
      </c>
      <c r="J584">
        <v>2287</v>
      </c>
      <c r="K584" t="str">
        <f>_xlfn.CONCAT(WEEKNUM(CompilDonnées[[#This Row],[PlantationDate]]), " ", YEAR(CompilDonnées[[#This Row],[PlantationDate]]))</f>
        <v>52 2024</v>
      </c>
      <c r="L584" t="str">
        <f>CONCATENATE(MONTH(CompilDonnées[[#This Row],[PlantationDate]])," ", YEAR(CompilDonnées[[#This Row],[PlantationDate]]))</f>
        <v>12 2024</v>
      </c>
      <c r="M584" t="str">
        <f>CONCATENATE(MONTH(CompilDonnées[[#This Row],[HarvestingDate]])," ", YEAR(CompilDonnées[[#This Row],[HarvestingDate]]))</f>
        <v>2 2025</v>
      </c>
      <c r="N584">
        <f>_xlfn.NUMBERVALUE(CompilDonnées[[#This Row],[FarmID]]&amp;CompilDonnées[[#This Row],[ModuleNumber]]&amp;CompilDonnées[[#This Row],[PlantationDate]])</f>
        <v>103145653</v>
      </c>
      <c r="O584" t="str">
        <f>CompilDonnées[[#This Row],[FarmID]]&amp;CompilDonnées[[#This Row],[ModuleNumber]]</f>
        <v>1031</v>
      </c>
      <c r="P584" t="str">
        <f>CompilDonnées[[#This Row],[Ref_Module]]&amp;CompilDonnées[[#This Row],[HarvestingDate]]</f>
        <v>103145699</v>
      </c>
    </row>
    <row r="585" spans="1:16">
      <c r="A585" s="5">
        <v>45653</v>
      </c>
      <c r="B585">
        <v>103</v>
      </c>
      <c r="C585" t="s">
        <v>86</v>
      </c>
      <c r="D585">
        <v>2</v>
      </c>
      <c r="E585">
        <v>100</v>
      </c>
      <c r="F585" t="s">
        <v>1</v>
      </c>
      <c r="G585" s="6">
        <v>45699</v>
      </c>
      <c r="H585">
        <v>46</v>
      </c>
      <c r="I585">
        <f>ROUND(CompilDonnées[[#This Row],[CultureDuration_days]]/7,0)</f>
        <v>7</v>
      </c>
      <c r="J585">
        <v>2325</v>
      </c>
      <c r="K585" t="str">
        <f>_xlfn.CONCAT(WEEKNUM(CompilDonnées[[#This Row],[PlantationDate]]), " ", YEAR(CompilDonnées[[#This Row],[PlantationDate]]))</f>
        <v>52 2024</v>
      </c>
      <c r="L585" t="str">
        <f>CONCATENATE(MONTH(CompilDonnées[[#This Row],[PlantationDate]])," ", YEAR(CompilDonnées[[#This Row],[PlantationDate]]))</f>
        <v>12 2024</v>
      </c>
      <c r="M585" t="str">
        <f>CONCATENATE(MONTH(CompilDonnées[[#This Row],[HarvestingDate]])," ", YEAR(CompilDonnées[[#This Row],[HarvestingDate]]))</f>
        <v>2 2025</v>
      </c>
      <c r="N585">
        <f>_xlfn.NUMBERVALUE(CompilDonnées[[#This Row],[FarmID]]&amp;CompilDonnées[[#This Row],[ModuleNumber]]&amp;CompilDonnées[[#This Row],[PlantationDate]])</f>
        <v>103245653</v>
      </c>
      <c r="O585" t="str">
        <f>CompilDonnées[[#This Row],[FarmID]]&amp;CompilDonnées[[#This Row],[ModuleNumber]]</f>
        <v>1032</v>
      </c>
      <c r="P585" t="str">
        <f>CompilDonnées[[#This Row],[Ref_Module]]&amp;CompilDonnées[[#This Row],[HarvestingDate]]</f>
        <v>103245699</v>
      </c>
    </row>
    <row r="586" spans="1:16">
      <c r="A586" s="5">
        <v>45653</v>
      </c>
      <c r="B586">
        <v>104</v>
      </c>
      <c r="C586" t="s">
        <v>91</v>
      </c>
      <c r="D586">
        <v>6</v>
      </c>
      <c r="E586">
        <v>100</v>
      </c>
      <c r="F586" t="s">
        <v>1</v>
      </c>
      <c r="G586" s="6">
        <v>45699</v>
      </c>
      <c r="H586">
        <v>46</v>
      </c>
      <c r="I586">
        <f>ROUND(CompilDonnées[[#This Row],[CultureDuration_days]]/7,0)</f>
        <v>7</v>
      </c>
      <c r="J586">
        <v>2545</v>
      </c>
      <c r="K586" t="str">
        <f>_xlfn.CONCAT(WEEKNUM(CompilDonnées[[#This Row],[PlantationDate]]), " ", YEAR(CompilDonnées[[#This Row],[PlantationDate]]))</f>
        <v>52 2024</v>
      </c>
      <c r="L586" t="str">
        <f>CONCATENATE(MONTH(CompilDonnées[[#This Row],[PlantationDate]])," ", YEAR(CompilDonnées[[#This Row],[PlantationDate]]))</f>
        <v>12 2024</v>
      </c>
      <c r="M586" t="str">
        <f>CONCATENATE(MONTH(CompilDonnées[[#This Row],[HarvestingDate]])," ", YEAR(CompilDonnées[[#This Row],[HarvestingDate]]))</f>
        <v>2 2025</v>
      </c>
      <c r="N586">
        <f>_xlfn.NUMBERVALUE(CompilDonnées[[#This Row],[FarmID]]&amp;CompilDonnées[[#This Row],[ModuleNumber]]&amp;CompilDonnées[[#This Row],[PlantationDate]])</f>
        <v>104645653</v>
      </c>
      <c r="O586" t="str">
        <f>CompilDonnées[[#This Row],[FarmID]]&amp;CompilDonnées[[#This Row],[ModuleNumber]]</f>
        <v>1046</v>
      </c>
      <c r="P586" t="str">
        <f>CompilDonnées[[#This Row],[Ref_Module]]&amp;CompilDonnées[[#This Row],[HarvestingDate]]</f>
        <v>104645699</v>
      </c>
    </row>
    <row r="587" spans="1:16">
      <c r="A587" s="5">
        <v>45653</v>
      </c>
      <c r="B587">
        <v>102</v>
      </c>
      <c r="C587" t="s">
        <v>85</v>
      </c>
      <c r="D587">
        <v>1</v>
      </c>
      <c r="E587">
        <v>100</v>
      </c>
      <c r="F587" t="s">
        <v>1</v>
      </c>
      <c r="G587" s="6">
        <v>45699</v>
      </c>
      <c r="H587">
        <v>46</v>
      </c>
      <c r="I587">
        <f>ROUND(CompilDonnées[[#This Row],[CultureDuration_days]]/7,0)</f>
        <v>7</v>
      </c>
      <c r="J587">
        <v>1999</v>
      </c>
      <c r="K587" t="str">
        <f>_xlfn.CONCAT(WEEKNUM(CompilDonnées[[#This Row],[PlantationDate]]), " ", YEAR(CompilDonnées[[#This Row],[PlantationDate]]))</f>
        <v>52 2024</v>
      </c>
      <c r="L587" t="str">
        <f>CONCATENATE(MONTH(CompilDonnées[[#This Row],[PlantationDate]])," ", YEAR(CompilDonnées[[#This Row],[PlantationDate]]))</f>
        <v>12 2024</v>
      </c>
      <c r="M587" t="str">
        <f>CONCATENATE(MONTH(CompilDonnées[[#This Row],[HarvestingDate]])," ", YEAR(CompilDonnées[[#This Row],[HarvestingDate]]))</f>
        <v>2 2025</v>
      </c>
      <c r="N587">
        <f>_xlfn.NUMBERVALUE(CompilDonnées[[#This Row],[FarmID]]&amp;CompilDonnées[[#This Row],[ModuleNumber]]&amp;CompilDonnées[[#This Row],[PlantationDate]])</f>
        <v>102145653</v>
      </c>
      <c r="O587" t="str">
        <f>CompilDonnées[[#This Row],[FarmID]]&amp;CompilDonnées[[#This Row],[ModuleNumber]]</f>
        <v>1021</v>
      </c>
      <c r="P587" t="str">
        <f>CompilDonnées[[#This Row],[Ref_Module]]&amp;CompilDonnées[[#This Row],[HarvestingDate]]</f>
        <v>102145699</v>
      </c>
    </row>
    <row r="588" spans="1:16">
      <c r="A588" s="5">
        <v>45653</v>
      </c>
      <c r="B588">
        <v>125</v>
      </c>
      <c r="C588" t="s">
        <v>101</v>
      </c>
      <c r="D588">
        <v>4</v>
      </c>
      <c r="E588">
        <v>100</v>
      </c>
      <c r="F588" t="s">
        <v>1</v>
      </c>
      <c r="G588" s="6">
        <v>45695</v>
      </c>
      <c r="H588">
        <v>42</v>
      </c>
      <c r="I588">
        <f>ROUND(CompilDonnées[[#This Row],[CultureDuration_days]]/7,0)</f>
        <v>6</v>
      </c>
      <c r="J588">
        <v>3983</v>
      </c>
      <c r="K588" t="str">
        <f>_xlfn.CONCAT(WEEKNUM(CompilDonnées[[#This Row],[PlantationDate]]), " ", YEAR(CompilDonnées[[#This Row],[PlantationDate]]))</f>
        <v>52 2024</v>
      </c>
      <c r="L588" t="str">
        <f>CONCATENATE(MONTH(CompilDonnées[[#This Row],[PlantationDate]])," ", YEAR(CompilDonnées[[#This Row],[PlantationDate]]))</f>
        <v>12 2024</v>
      </c>
      <c r="M588" t="str">
        <f>CONCATENATE(MONTH(CompilDonnées[[#This Row],[HarvestingDate]])," ", YEAR(CompilDonnées[[#This Row],[HarvestingDate]]))</f>
        <v>2 2025</v>
      </c>
      <c r="N588">
        <f>_xlfn.NUMBERVALUE(CompilDonnées[[#This Row],[FarmID]]&amp;CompilDonnées[[#This Row],[ModuleNumber]]&amp;CompilDonnées[[#This Row],[PlantationDate]])</f>
        <v>125445653</v>
      </c>
      <c r="O588" t="str">
        <f>CompilDonnées[[#This Row],[FarmID]]&amp;CompilDonnées[[#This Row],[ModuleNumber]]</f>
        <v>1254</v>
      </c>
      <c r="P588" t="str">
        <f>CompilDonnées[[#This Row],[Ref_Module]]&amp;CompilDonnées[[#This Row],[HarvestingDate]]</f>
        <v>125445695</v>
      </c>
    </row>
    <row r="589" spans="1:16">
      <c r="A589" s="5">
        <v>45653</v>
      </c>
      <c r="B589">
        <v>126</v>
      </c>
      <c r="C589" t="s">
        <v>52</v>
      </c>
      <c r="D589">
        <v>4</v>
      </c>
      <c r="E589">
        <v>100</v>
      </c>
      <c r="F589" t="s">
        <v>1</v>
      </c>
      <c r="G589" s="6">
        <v>45694</v>
      </c>
      <c r="H589">
        <v>41</v>
      </c>
      <c r="I589">
        <f>ROUND(CompilDonnées[[#This Row],[CultureDuration_days]]/7,0)</f>
        <v>6</v>
      </c>
      <c r="J589">
        <v>3557</v>
      </c>
      <c r="K589" t="str">
        <f>_xlfn.CONCAT(WEEKNUM(CompilDonnées[[#This Row],[PlantationDate]]), " ", YEAR(CompilDonnées[[#This Row],[PlantationDate]]))</f>
        <v>52 2024</v>
      </c>
      <c r="L589" t="str">
        <f>CONCATENATE(MONTH(CompilDonnées[[#This Row],[PlantationDate]])," ", YEAR(CompilDonnées[[#This Row],[PlantationDate]]))</f>
        <v>12 2024</v>
      </c>
      <c r="M589" t="str">
        <f>CONCATENATE(MONTH(CompilDonnées[[#This Row],[HarvestingDate]])," ", YEAR(CompilDonnées[[#This Row],[HarvestingDate]]))</f>
        <v>2 2025</v>
      </c>
      <c r="N589">
        <f>_xlfn.NUMBERVALUE(CompilDonnées[[#This Row],[FarmID]]&amp;CompilDonnées[[#This Row],[ModuleNumber]]&amp;CompilDonnées[[#This Row],[PlantationDate]])</f>
        <v>126445653</v>
      </c>
      <c r="O589" t="str">
        <f>CompilDonnées[[#This Row],[FarmID]]&amp;CompilDonnées[[#This Row],[ModuleNumber]]</f>
        <v>1264</v>
      </c>
      <c r="P589" t="str">
        <f>CompilDonnées[[#This Row],[Ref_Module]]&amp;CompilDonnées[[#This Row],[HarvestingDate]]</f>
        <v>126445694</v>
      </c>
    </row>
    <row r="590" spans="1:16">
      <c r="A590" s="5">
        <v>45653</v>
      </c>
      <c r="B590">
        <v>116</v>
      </c>
      <c r="C590" t="s">
        <v>76</v>
      </c>
      <c r="D590">
        <v>5</v>
      </c>
      <c r="E590">
        <v>100</v>
      </c>
      <c r="F590" t="s">
        <v>1</v>
      </c>
      <c r="G590" s="6">
        <v>45699</v>
      </c>
      <c r="H590">
        <v>46</v>
      </c>
      <c r="I590">
        <f>ROUND(CompilDonnées[[#This Row],[CultureDuration_days]]/7,0)</f>
        <v>7</v>
      </c>
      <c r="J590">
        <v>2317</v>
      </c>
      <c r="K590" t="str">
        <f>_xlfn.CONCAT(WEEKNUM(CompilDonnées[[#This Row],[PlantationDate]]), " ", YEAR(CompilDonnées[[#This Row],[PlantationDate]]))</f>
        <v>52 2024</v>
      </c>
      <c r="L590" t="str">
        <f>CONCATENATE(MONTH(CompilDonnées[[#This Row],[PlantationDate]])," ", YEAR(CompilDonnées[[#This Row],[PlantationDate]]))</f>
        <v>12 2024</v>
      </c>
      <c r="M590" t="str">
        <f>CONCATENATE(MONTH(CompilDonnées[[#This Row],[HarvestingDate]])," ", YEAR(CompilDonnées[[#This Row],[HarvestingDate]]))</f>
        <v>2 2025</v>
      </c>
      <c r="N590">
        <f>_xlfn.NUMBERVALUE(CompilDonnées[[#This Row],[FarmID]]&amp;CompilDonnées[[#This Row],[ModuleNumber]]&amp;CompilDonnées[[#This Row],[PlantationDate]])</f>
        <v>116545653</v>
      </c>
      <c r="O590" t="str">
        <f>CompilDonnées[[#This Row],[FarmID]]&amp;CompilDonnées[[#This Row],[ModuleNumber]]</f>
        <v>1165</v>
      </c>
      <c r="P590" t="str">
        <f>CompilDonnées[[#This Row],[Ref_Module]]&amp;CompilDonnées[[#This Row],[HarvestingDate]]</f>
        <v>116545699</v>
      </c>
    </row>
    <row r="591" spans="1:16">
      <c r="A591" s="5">
        <v>45653</v>
      </c>
      <c r="B591">
        <v>110</v>
      </c>
      <c r="C591" t="s">
        <v>14</v>
      </c>
      <c r="D591">
        <v>3</v>
      </c>
      <c r="E591">
        <v>100</v>
      </c>
      <c r="F591" t="s">
        <v>1</v>
      </c>
      <c r="G591" s="6">
        <v>45699</v>
      </c>
      <c r="H591">
        <v>46</v>
      </c>
      <c r="I591">
        <f>ROUND(CompilDonnées[[#This Row],[CultureDuration_days]]/7,0)</f>
        <v>7</v>
      </c>
      <c r="J591">
        <v>3304</v>
      </c>
      <c r="K591" t="str">
        <f>_xlfn.CONCAT(WEEKNUM(CompilDonnées[[#This Row],[PlantationDate]]), " ", YEAR(CompilDonnées[[#This Row],[PlantationDate]]))</f>
        <v>52 2024</v>
      </c>
      <c r="L591" t="str">
        <f>CONCATENATE(MONTH(CompilDonnées[[#This Row],[PlantationDate]])," ", YEAR(CompilDonnées[[#This Row],[PlantationDate]]))</f>
        <v>12 2024</v>
      </c>
      <c r="M591" t="str">
        <f>CONCATENATE(MONTH(CompilDonnées[[#This Row],[HarvestingDate]])," ", YEAR(CompilDonnées[[#This Row],[HarvestingDate]]))</f>
        <v>2 2025</v>
      </c>
      <c r="N591">
        <f>_xlfn.NUMBERVALUE(CompilDonnées[[#This Row],[FarmID]]&amp;CompilDonnées[[#This Row],[ModuleNumber]]&amp;CompilDonnées[[#This Row],[PlantationDate]])</f>
        <v>110345653</v>
      </c>
      <c r="O591" t="str">
        <f>CompilDonnées[[#This Row],[FarmID]]&amp;CompilDonnées[[#This Row],[ModuleNumber]]</f>
        <v>1103</v>
      </c>
      <c r="P591" t="str">
        <f>CompilDonnées[[#This Row],[Ref_Module]]&amp;CompilDonnées[[#This Row],[HarvestingDate]]</f>
        <v>110345699</v>
      </c>
    </row>
    <row r="592" spans="1:16">
      <c r="A592" s="5">
        <v>45653</v>
      </c>
      <c r="B592">
        <v>111</v>
      </c>
      <c r="C592" t="s">
        <v>41</v>
      </c>
      <c r="D592">
        <v>2</v>
      </c>
      <c r="E592">
        <v>100</v>
      </c>
      <c r="F592" t="s">
        <v>1</v>
      </c>
      <c r="G592" s="6">
        <v>45699</v>
      </c>
      <c r="H592">
        <v>46</v>
      </c>
      <c r="I592">
        <f>ROUND(CompilDonnées[[#This Row],[CultureDuration_days]]/7,0)</f>
        <v>7</v>
      </c>
      <c r="J592">
        <v>3238</v>
      </c>
      <c r="K592" t="str">
        <f>_xlfn.CONCAT(WEEKNUM(CompilDonnées[[#This Row],[PlantationDate]]), " ", YEAR(CompilDonnées[[#This Row],[PlantationDate]]))</f>
        <v>52 2024</v>
      </c>
      <c r="L592" t="str">
        <f>CONCATENATE(MONTH(CompilDonnées[[#This Row],[PlantationDate]])," ", YEAR(CompilDonnées[[#This Row],[PlantationDate]]))</f>
        <v>12 2024</v>
      </c>
      <c r="M592" t="str">
        <f>CONCATENATE(MONTH(CompilDonnées[[#This Row],[HarvestingDate]])," ", YEAR(CompilDonnées[[#This Row],[HarvestingDate]]))</f>
        <v>2 2025</v>
      </c>
      <c r="N592">
        <f>_xlfn.NUMBERVALUE(CompilDonnées[[#This Row],[FarmID]]&amp;CompilDonnées[[#This Row],[ModuleNumber]]&amp;CompilDonnées[[#This Row],[PlantationDate]])</f>
        <v>111245653</v>
      </c>
      <c r="O592" t="str">
        <f>CompilDonnées[[#This Row],[FarmID]]&amp;CompilDonnées[[#This Row],[ModuleNumber]]</f>
        <v>1112</v>
      </c>
      <c r="P592" t="str">
        <f>CompilDonnées[[#This Row],[Ref_Module]]&amp;CompilDonnées[[#This Row],[HarvestingDate]]</f>
        <v>111245699</v>
      </c>
    </row>
    <row r="593" spans="1:16">
      <c r="A593" s="5">
        <v>45653</v>
      </c>
      <c r="B593">
        <v>111</v>
      </c>
      <c r="C593" t="s">
        <v>41</v>
      </c>
      <c r="D593">
        <v>6</v>
      </c>
      <c r="E593">
        <v>100</v>
      </c>
      <c r="F593" t="s">
        <v>1</v>
      </c>
      <c r="G593" s="6">
        <v>45699</v>
      </c>
      <c r="H593">
        <v>46</v>
      </c>
      <c r="I593">
        <f>ROUND(CompilDonnées[[#This Row],[CultureDuration_days]]/7,0)</f>
        <v>7</v>
      </c>
      <c r="J593">
        <v>3230</v>
      </c>
      <c r="K593" t="str">
        <f>_xlfn.CONCAT(WEEKNUM(CompilDonnées[[#This Row],[PlantationDate]]), " ", YEAR(CompilDonnées[[#This Row],[PlantationDate]]))</f>
        <v>52 2024</v>
      </c>
      <c r="L593" t="str">
        <f>CONCATENATE(MONTH(CompilDonnées[[#This Row],[PlantationDate]])," ", YEAR(CompilDonnées[[#This Row],[PlantationDate]]))</f>
        <v>12 2024</v>
      </c>
      <c r="M593" t="str">
        <f>CONCATENATE(MONTH(CompilDonnées[[#This Row],[HarvestingDate]])," ", YEAR(CompilDonnées[[#This Row],[HarvestingDate]]))</f>
        <v>2 2025</v>
      </c>
      <c r="N593">
        <f>_xlfn.NUMBERVALUE(CompilDonnées[[#This Row],[FarmID]]&amp;CompilDonnées[[#This Row],[ModuleNumber]]&amp;CompilDonnées[[#This Row],[PlantationDate]])</f>
        <v>111645653</v>
      </c>
      <c r="O593" t="str">
        <f>CompilDonnées[[#This Row],[FarmID]]&amp;CompilDonnées[[#This Row],[ModuleNumber]]</f>
        <v>1116</v>
      </c>
      <c r="P593" t="str">
        <f>CompilDonnées[[#This Row],[Ref_Module]]&amp;CompilDonnées[[#This Row],[HarvestingDate]]</f>
        <v>111645699</v>
      </c>
    </row>
    <row r="594" spans="1:16">
      <c r="A594" s="5">
        <v>45653</v>
      </c>
      <c r="B594">
        <v>112</v>
      </c>
      <c r="C594" t="s">
        <v>15</v>
      </c>
      <c r="D594">
        <v>4</v>
      </c>
      <c r="E594">
        <v>100</v>
      </c>
      <c r="F594" t="s">
        <v>1</v>
      </c>
      <c r="G594" s="6">
        <v>45699</v>
      </c>
      <c r="H594">
        <v>46</v>
      </c>
      <c r="I594">
        <f>ROUND(CompilDonnées[[#This Row],[CultureDuration_days]]/7,0)</f>
        <v>7</v>
      </c>
      <c r="J594">
        <v>2669</v>
      </c>
      <c r="K594" t="str">
        <f>_xlfn.CONCAT(WEEKNUM(CompilDonnées[[#This Row],[PlantationDate]]), " ", YEAR(CompilDonnées[[#This Row],[PlantationDate]]))</f>
        <v>52 2024</v>
      </c>
      <c r="L594" t="str">
        <f>CONCATENATE(MONTH(CompilDonnées[[#This Row],[PlantationDate]])," ", YEAR(CompilDonnées[[#This Row],[PlantationDate]]))</f>
        <v>12 2024</v>
      </c>
      <c r="M594" t="str">
        <f>CONCATENATE(MONTH(CompilDonnées[[#This Row],[HarvestingDate]])," ", YEAR(CompilDonnées[[#This Row],[HarvestingDate]]))</f>
        <v>2 2025</v>
      </c>
      <c r="N594">
        <f>_xlfn.NUMBERVALUE(CompilDonnées[[#This Row],[FarmID]]&amp;CompilDonnées[[#This Row],[ModuleNumber]]&amp;CompilDonnées[[#This Row],[PlantationDate]])</f>
        <v>112445653</v>
      </c>
      <c r="O594" t="str">
        <f>CompilDonnées[[#This Row],[FarmID]]&amp;CompilDonnées[[#This Row],[ModuleNumber]]</f>
        <v>1124</v>
      </c>
      <c r="P594" t="str">
        <f>CompilDonnées[[#This Row],[Ref_Module]]&amp;CompilDonnées[[#This Row],[HarvestingDate]]</f>
        <v>112445699</v>
      </c>
    </row>
    <row r="595" spans="1:16">
      <c r="A595" s="5">
        <v>45653</v>
      </c>
      <c r="B595">
        <v>113</v>
      </c>
      <c r="C595" t="s">
        <v>16</v>
      </c>
      <c r="D595">
        <v>6</v>
      </c>
      <c r="E595">
        <v>100</v>
      </c>
      <c r="F595" t="s">
        <v>1</v>
      </c>
      <c r="G595" s="6">
        <v>45689</v>
      </c>
      <c r="H595">
        <v>36</v>
      </c>
      <c r="I595">
        <f>ROUND(CompilDonnées[[#This Row],[CultureDuration_days]]/7,0)</f>
        <v>5</v>
      </c>
      <c r="J595">
        <v>4097</v>
      </c>
      <c r="K595" t="str">
        <f>_xlfn.CONCAT(WEEKNUM(CompilDonnées[[#This Row],[PlantationDate]]), " ", YEAR(CompilDonnées[[#This Row],[PlantationDate]]))</f>
        <v>52 2024</v>
      </c>
      <c r="L595" t="str">
        <f>CONCATENATE(MONTH(CompilDonnées[[#This Row],[PlantationDate]])," ", YEAR(CompilDonnées[[#This Row],[PlantationDate]]))</f>
        <v>12 2024</v>
      </c>
      <c r="M595" t="str">
        <f>CONCATENATE(MONTH(CompilDonnées[[#This Row],[HarvestingDate]])," ", YEAR(CompilDonnées[[#This Row],[HarvestingDate]]))</f>
        <v>2 2025</v>
      </c>
      <c r="N595">
        <f>_xlfn.NUMBERVALUE(CompilDonnées[[#This Row],[FarmID]]&amp;CompilDonnées[[#This Row],[ModuleNumber]]&amp;CompilDonnées[[#This Row],[PlantationDate]])</f>
        <v>113645653</v>
      </c>
      <c r="O595" t="str">
        <f>CompilDonnées[[#This Row],[FarmID]]&amp;CompilDonnées[[#This Row],[ModuleNumber]]</f>
        <v>1136</v>
      </c>
      <c r="P595" t="str">
        <f>CompilDonnées[[#This Row],[Ref_Module]]&amp;CompilDonnées[[#This Row],[HarvestingDate]]</f>
        <v>113645689</v>
      </c>
    </row>
    <row r="596" spans="1:16">
      <c r="A596" s="5">
        <v>45654</v>
      </c>
      <c r="B596">
        <v>142</v>
      </c>
      <c r="C596" t="s">
        <v>114</v>
      </c>
      <c r="D596">
        <v>2</v>
      </c>
      <c r="E596">
        <v>100</v>
      </c>
      <c r="F596" t="s">
        <v>1</v>
      </c>
      <c r="G596" s="6">
        <v>45695</v>
      </c>
      <c r="H596">
        <v>41</v>
      </c>
      <c r="I596">
        <f>ROUND(CompilDonnées[[#This Row],[CultureDuration_days]]/7,0)</f>
        <v>6</v>
      </c>
      <c r="J596">
        <v>2580</v>
      </c>
      <c r="K596" t="str">
        <f>_xlfn.CONCAT(WEEKNUM(CompilDonnées[[#This Row],[PlantationDate]]), " ", YEAR(CompilDonnées[[#This Row],[PlantationDate]]))</f>
        <v>52 2024</v>
      </c>
      <c r="L596" t="str">
        <f>CONCATENATE(MONTH(CompilDonnées[[#This Row],[PlantationDate]])," ", YEAR(CompilDonnées[[#This Row],[PlantationDate]]))</f>
        <v>12 2024</v>
      </c>
      <c r="M596" t="str">
        <f>CONCATENATE(MONTH(CompilDonnées[[#This Row],[HarvestingDate]])," ", YEAR(CompilDonnées[[#This Row],[HarvestingDate]]))</f>
        <v>2 2025</v>
      </c>
      <c r="N596">
        <f>_xlfn.NUMBERVALUE(CompilDonnées[[#This Row],[FarmID]]&amp;CompilDonnées[[#This Row],[ModuleNumber]]&amp;CompilDonnées[[#This Row],[PlantationDate]])</f>
        <v>142245654</v>
      </c>
      <c r="O596" t="str">
        <f>CompilDonnées[[#This Row],[FarmID]]&amp;CompilDonnées[[#This Row],[ModuleNumber]]</f>
        <v>1422</v>
      </c>
      <c r="P596" t="str">
        <f>CompilDonnées[[#This Row],[Ref_Module]]&amp;CompilDonnées[[#This Row],[HarvestingDate]]</f>
        <v>142245695</v>
      </c>
    </row>
    <row r="597" spans="1:16">
      <c r="A597" s="5">
        <v>45654</v>
      </c>
      <c r="B597">
        <v>145</v>
      </c>
      <c r="C597" t="s">
        <v>88</v>
      </c>
      <c r="D597">
        <v>5</v>
      </c>
      <c r="E597">
        <v>100</v>
      </c>
      <c r="F597" t="s">
        <v>1</v>
      </c>
      <c r="G597" s="6">
        <v>45695</v>
      </c>
      <c r="H597">
        <v>41</v>
      </c>
      <c r="I597">
        <f>ROUND(CompilDonnées[[#This Row],[CultureDuration_days]]/7,0)</f>
        <v>6</v>
      </c>
      <c r="J597">
        <v>2076</v>
      </c>
      <c r="K597" t="str">
        <f>_xlfn.CONCAT(WEEKNUM(CompilDonnées[[#This Row],[PlantationDate]]), " ", YEAR(CompilDonnées[[#This Row],[PlantationDate]]))</f>
        <v>52 2024</v>
      </c>
      <c r="L597" t="str">
        <f>CONCATENATE(MONTH(CompilDonnées[[#This Row],[PlantationDate]])," ", YEAR(CompilDonnées[[#This Row],[PlantationDate]]))</f>
        <v>12 2024</v>
      </c>
      <c r="M597" t="str">
        <f>CONCATENATE(MONTH(CompilDonnées[[#This Row],[HarvestingDate]])," ", YEAR(CompilDonnées[[#This Row],[HarvestingDate]]))</f>
        <v>2 2025</v>
      </c>
      <c r="N597">
        <f>_xlfn.NUMBERVALUE(CompilDonnées[[#This Row],[FarmID]]&amp;CompilDonnées[[#This Row],[ModuleNumber]]&amp;CompilDonnées[[#This Row],[PlantationDate]])</f>
        <v>145545654</v>
      </c>
      <c r="O597" t="str">
        <f>CompilDonnées[[#This Row],[FarmID]]&amp;CompilDonnées[[#This Row],[ModuleNumber]]</f>
        <v>1455</v>
      </c>
      <c r="P597" t="str">
        <f>CompilDonnées[[#This Row],[Ref_Module]]&amp;CompilDonnées[[#This Row],[HarvestingDate]]</f>
        <v>145545695</v>
      </c>
    </row>
    <row r="598" spans="1:16">
      <c r="A598" s="5">
        <v>45654</v>
      </c>
      <c r="B598">
        <v>140</v>
      </c>
      <c r="C598" t="s">
        <v>96</v>
      </c>
      <c r="D598">
        <v>3</v>
      </c>
      <c r="E598">
        <v>100</v>
      </c>
      <c r="F598" t="s">
        <v>1</v>
      </c>
      <c r="G598" s="6">
        <v>45695</v>
      </c>
      <c r="H598">
        <v>41</v>
      </c>
      <c r="I598">
        <f>ROUND(CompilDonnées[[#This Row],[CultureDuration_days]]/7,0)</f>
        <v>6</v>
      </c>
      <c r="J598">
        <v>3430</v>
      </c>
      <c r="K598" t="str">
        <f>_xlfn.CONCAT(WEEKNUM(CompilDonnées[[#This Row],[PlantationDate]]), " ", YEAR(CompilDonnées[[#This Row],[PlantationDate]]))</f>
        <v>52 2024</v>
      </c>
      <c r="L598" t="str">
        <f>CONCATENATE(MONTH(CompilDonnées[[#This Row],[PlantationDate]])," ", YEAR(CompilDonnées[[#This Row],[PlantationDate]]))</f>
        <v>12 2024</v>
      </c>
      <c r="M598" t="str">
        <f>CONCATENATE(MONTH(CompilDonnées[[#This Row],[HarvestingDate]])," ", YEAR(CompilDonnées[[#This Row],[HarvestingDate]]))</f>
        <v>2 2025</v>
      </c>
      <c r="N598">
        <f>_xlfn.NUMBERVALUE(CompilDonnées[[#This Row],[FarmID]]&amp;CompilDonnées[[#This Row],[ModuleNumber]]&amp;CompilDonnées[[#This Row],[PlantationDate]])</f>
        <v>140345654</v>
      </c>
      <c r="O598" t="str">
        <f>CompilDonnées[[#This Row],[FarmID]]&amp;CompilDonnées[[#This Row],[ModuleNumber]]</f>
        <v>1403</v>
      </c>
      <c r="P598" t="str">
        <f>CompilDonnées[[#This Row],[Ref_Module]]&amp;CompilDonnées[[#This Row],[HarvestingDate]]</f>
        <v>140345695</v>
      </c>
    </row>
    <row r="599" spans="1:16">
      <c r="A599" s="5">
        <v>45654</v>
      </c>
      <c r="B599">
        <v>139</v>
      </c>
      <c r="C599" t="s">
        <v>103</v>
      </c>
      <c r="D599">
        <v>1</v>
      </c>
      <c r="E599">
        <v>100</v>
      </c>
      <c r="F599" t="s">
        <v>1</v>
      </c>
      <c r="G599" s="6">
        <v>45699</v>
      </c>
      <c r="H599">
        <v>45</v>
      </c>
      <c r="I599">
        <f>ROUND(CompilDonnées[[#This Row],[CultureDuration_days]]/7,0)</f>
        <v>6</v>
      </c>
      <c r="J599">
        <v>2384</v>
      </c>
      <c r="K599" t="str">
        <f>_xlfn.CONCAT(WEEKNUM(CompilDonnées[[#This Row],[PlantationDate]]), " ", YEAR(CompilDonnées[[#This Row],[PlantationDate]]))</f>
        <v>52 2024</v>
      </c>
      <c r="L599" t="str">
        <f>CONCATENATE(MONTH(CompilDonnées[[#This Row],[PlantationDate]])," ", YEAR(CompilDonnées[[#This Row],[PlantationDate]]))</f>
        <v>12 2024</v>
      </c>
      <c r="M599" t="str">
        <f>CONCATENATE(MONTH(CompilDonnées[[#This Row],[HarvestingDate]])," ", YEAR(CompilDonnées[[#This Row],[HarvestingDate]]))</f>
        <v>2 2025</v>
      </c>
      <c r="N599">
        <f>_xlfn.NUMBERVALUE(CompilDonnées[[#This Row],[FarmID]]&amp;CompilDonnées[[#This Row],[ModuleNumber]]&amp;CompilDonnées[[#This Row],[PlantationDate]])</f>
        <v>139145654</v>
      </c>
      <c r="O599" t="str">
        <f>CompilDonnées[[#This Row],[FarmID]]&amp;CompilDonnées[[#This Row],[ModuleNumber]]</f>
        <v>1391</v>
      </c>
      <c r="P599" t="str">
        <f>CompilDonnées[[#This Row],[Ref_Module]]&amp;CompilDonnées[[#This Row],[HarvestingDate]]</f>
        <v>139145699</v>
      </c>
    </row>
    <row r="600" spans="1:16">
      <c r="A600" s="5">
        <v>45654</v>
      </c>
      <c r="B600">
        <v>133</v>
      </c>
      <c r="C600" t="s">
        <v>99</v>
      </c>
      <c r="D600">
        <v>3</v>
      </c>
      <c r="E600">
        <v>100</v>
      </c>
      <c r="F600" t="s">
        <v>1</v>
      </c>
      <c r="G600" s="6">
        <v>45690</v>
      </c>
      <c r="H600">
        <v>36</v>
      </c>
      <c r="I600">
        <f>ROUND(CompilDonnées[[#This Row],[CultureDuration_days]]/7,0)</f>
        <v>5</v>
      </c>
      <c r="J600">
        <v>3799</v>
      </c>
      <c r="K600" t="str">
        <f>_xlfn.CONCAT(WEEKNUM(CompilDonnées[[#This Row],[PlantationDate]]), " ", YEAR(CompilDonnées[[#This Row],[PlantationDate]]))</f>
        <v>52 2024</v>
      </c>
      <c r="L600" t="str">
        <f>CONCATENATE(MONTH(CompilDonnées[[#This Row],[PlantationDate]])," ", YEAR(CompilDonnées[[#This Row],[PlantationDate]]))</f>
        <v>12 2024</v>
      </c>
      <c r="M600" t="str">
        <f>CONCATENATE(MONTH(CompilDonnées[[#This Row],[HarvestingDate]])," ", YEAR(CompilDonnées[[#This Row],[HarvestingDate]]))</f>
        <v>2 2025</v>
      </c>
      <c r="N600">
        <f>_xlfn.NUMBERVALUE(CompilDonnées[[#This Row],[FarmID]]&amp;CompilDonnées[[#This Row],[ModuleNumber]]&amp;CompilDonnées[[#This Row],[PlantationDate]])</f>
        <v>133345654</v>
      </c>
      <c r="O600" t="str">
        <f>CompilDonnées[[#This Row],[FarmID]]&amp;CompilDonnées[[#This Row],[ModuleNumber]]</f>
        <v>1333</v>
      </c>
      <c r="P600" t="str">
        <f>CompilDonnées[[#This Row],[Ref_Module]]&amp;CompilDonnées[[#This Row],[HarvestingDate]]</f>
        <v>133345690</v>
      </c>
    </row>
    <row r="601" spans="1:16">
      <c r="A601" s="5">
        <v>45654</v>
      </c>
      <c r="B601">
        <v>132</v>
      </c>
      <c r="C601" t="s">
        <v>93</v>
      </c>
      <c r="D601">
        <v>4</v>
      </c>
      <c r="E601">
        <v>100</v>
      </c>
      <c r="F601" t="s">
        <v>1</v>
      </c>
      <c r="G601" s="6">
        <v>45699</v>
      </c>
      <c r="H601">
        <v>45</v>
      </c>
      <c r="I601">
        <f>ROUND(CompilDonnées[[#This Row],[CultureDuration_days]]/7,0)</f>
        <v>6</v>
      </c>
      <c r="J601">
        <v>2673</v>
      </c>
      <c r="K601" t="str">
        <f>_xlfn.CONCAT(WEEKNUM(CompilDonnées[[#This Row],[PlantationDate]]), " ", YEAR(CompilDonnées[[#This Row],[PlantationDate]]))</f>
        <v>52 2024</v>
      </c>
      <c r="L601" t="str">
        <f>CONCATENATE(MONTH(CompilDonnées[[#This Row],[PlantationDate]])," ", YEAR(CompilDonnées[[#This Row],[PlantationDate]]))</f>
        <v>12 2024</v>
      </c>
      <c r="M601" t="str">
        <f>CONCATENATE(MONTH(CompilDonnées[[#This Row],[HarvestingDate]])," ", YEAR(CompilDonnées[[#This Row],[HarvestingDate]]))</f>
        <v>2 2025</v>
      </c>
      <c r="N601">
        <f>_xlfn.NUMBERVALUE(CompilDonnées[[#This Row],[FarmID]]&amp;CompilDonnées[[#This Row],[ModuleNumber]]&amp;CompilDonnées[[#This Row],[PlantationDate]])</f>
        <v>132445654</v>
      </c>
      <c r="O601" t="str">
        <f>CompilDonnées[[#This Row],[FarmID]]&amp;CompilDonnées[[#This Row],[ModuleNumber]]</f>
        <v>1324</v>
      </c>
      <c r="P601" t="str">
        <f>CompilDonnées[[#This Row],[Ref_Module]]&amp;CompilDonnées[[#This Row],[HarvestingDate]]</f>
        <v>132445699</v>
      </c>
    </row>
    <row r="602" spans="1:16">
      <c r="A602" s="5">
        <v>45654</v>
      </c>
      <c r="B602">
        <v>131</v>
      </c>
      <c r="C602" t="s">
        <v>64</v>
      </c>
      <c r="D602">
        <v>1</v>
      </c>
      <c r="E602">
        <v>100</v>
      </c>
      <c r="F602" t="s">
        <v>1</v>
      </c>
      <c r="G602" s="6">
        <v>45699</v>
      </c>
      <c r="H602">
        <v>45</v>
      </c>
      <c r="I602">
        <f>ROUND(CompilDonnées[[#This Row],[CultureDuration_days]]/7,0)</f>
        <v>6</v>
      </c>
      <c r="J602">
        <v>2309</v>
      </c>
      <c r="K602" t="str">
        <f>_xlfn.CONCAT(WEEKNUM(CompilDonnées[[#This Row],[PlantationDate]]), " ", YEAR(CompilDonnées[[#This Row],[PlantationDate]]))</f>
        <v>52 2024</v>
      </c>
      <c r="L602" t="str">
        <f>CONCATENATE(MONTH(CompilDonnées[[#This Row],[PlantationDate]])," ", YEAR(CompilDonnées[[#This Row],[PlantationDate]]))</f>
        <v>12 2024</v>
      </c>
      <c r="M602" t="str">
        <f>CONCATENATE(MONTH(CompilDonnées[[#This Row],[HarvestingDate]])," ", YEAR(CompilDonnées[[#This Row],[HarvestingDate]]))</f>
        <v>2 2025</v>
      </c>
      <c r="N602">
        <f>_xlfn.NUMBERVALUE(CompilDonnées[[#This Row],[FarmID]]&amp;CompilDonnées[[#This Row],[ModuleNumber]]&amp;CompilDonnées[[#This Row],[PlantationDate]])</f>
        <v>131145654</v>
      </c>
      <c r="O602" t="str">
        <f>CompilDonnées[[#This Row],[FarmID]]&amp;CompilDonnées[[#This Row],[ModuleNumber]]</f>
        <v>1311</v>
      </c>
      <c r="P602" t="str">
        <f>CompilDonnées[[#This Row],[Ref_Module]]&amp;CompilDonnées[[#This Row],[HarvestingDate]]</f>
        <v>131145699</v>
      </c>
    </row>
    <row r="603" spans="1:16">
      <c r="A603" s="5">
        <v>45654</v>
      </c>
      <c r="B603">
        <v>120</v>
      </c>
      <c r="C603" t="s">
        <v>100</v>
      </c>
      <c r="D603">
        <v>1</v>
      </c>
      <c r="E603">
        <v>100</v>
      </c>
      <c r="F603" t="s">
        <v>1</v>
      </c>
      <c r="G603" s="6">
        <v>45688</v>
      </c>
      <c r="H603">
        <v>34</v>
      </c>
      <c r="I603">
        <f>ROUND(CompilDonnées[[#This Row],[CultureDuration_days]]/7,0)</f>
        <v>5</v>
      </c>
      <c r="J603">
        <v>4479</v>
      </c>
      <c r="K603" t="str">
        <f>_xlfn.CONCAT(WEEKNUM(CompilDonnées[[#This Row],[PlantationDate]]), " ", YEAR(CompilDonnées[[#This Row],[PlantationDate]]))</f>
        <v>52 2024</v>
      </c>
      <c r="L603" t="str">
        <f>CONCATENATE(MONTH(CompilDonnées[[#This Row],[PlantationDate]])," ", YEAR(CompilDonnées[[#This Row],[PlantationDate]]))</f>
        <v>12 2024</v>
      </c>
      <c r="M603" t="str">
        <f>CONCATENATE(MONTH(CompilDonnées[[#This Row],[HarvestingDate]])," ", YEAR(CompilDonnées[[#This Row],[HarvestingDate]]))</f>
        <v>1 2025</v>
      </c>
      <c r="N603">
        <f>_xlfn.NUMBERVALUE(CompilDonnées[[#This Row],[FarmID]]&amp;CompilDonnées[[#This Row],[ModuleNumber]]&amp;CompilDonnées[[#This Row],[PlantationDate]])</f>
        <v>120145654</v>
      </c>
      <c r="O603" t="str">
        <f>CompilDonnées[[#This Row],[FarmID]]&amp;CompilDonnées[[#This Row],[ModuleNumber]]</f>
        <v>1201</v>
      </c>
      <c r="P603" t="str">
        <f>CompilDonnées[[#This Row],[Ref_Module]]&amp;CompilDonnées[[#This Row],[HarvestingDate]]</f>
        <v>120145688</v>
      </c>
    </row>
    <row r="604" spans="1:16">
      <c r="A604" s="5">
        <v>45654</v>
      </c>
      <c r="B604">
        <v>119</v>
      </c>
      <c r="C604" t="s">
        <v>59</v>
      </c>
      <c r="D604">
        <v>1</v>
      </c>
      <c r="E604">
        <v>100</v>
      </c>
      <c r="F604" t="s">
        <v>1</v>
      </c>
      <c r="G604" s="6">
        <v>45695</v>
      </c>
      <c r="H604">
        <v>41</v>
      </c>
      <c r="I604">
        <f>ROUND(CompilDonnées[[#This Row],[CultureDuration_days]]/7,0)</f>
        <v>6</v>
      </c>
      <c r="J604">
        <v>3649</v>
      </c>
      <c r="K604" t="str">
        <f>_xlfn.CONCAT(WEEKNUM(CompilDonnées[[#This Row],[PlantationDate]]), " ", YEAR(CompilDonnées[[#This Row],[PlantationDate]]))</f>
        <v>52 2024</v>
      </c>
      <c r="L604" t="str">
        <f>CONCATENATE(MONTH(CompilDonnées[[#This Row],[PlantationDate]])," ", YEAR(CompilDonnées[[#This Row],[PlantationDate]]))</f>
        <v>12 2024</v>
      </c>
      <c r="M604" t="str">
        <f>CONCATENATE(MONTH(CompilDonnées[[#This Row],[HarvestingDate]])," ", YEAR(CompilDonnées[[#This Row],[HarvestingDate]]))</f>
        <v>2 2025</v>
      </c>
      <c r="N604">
        <f>_xlfn.NUMBERVALUE(CompilDonnées[[#This Row],[FarmID]]&amp;CompilDonnées[[#This Row],[ModuleNumber]]&amp;CompilDonnées[[#This Row],[PlantationDate]])</f>
        <v>119145654</v>
      </c>
      <c r="O604" t="str">
        <f>CompilDonnées[[#This Row],[FarmID]]&amp;CompilDonnées[[#This Row],[ModuleNumber]]</f>
        <v>1191</v>
      </c>
      <c r="P604" t="str">
        <f>CompilDonnées[[#This Row],[Ref_Module]]&amp;CompilDonnées[[#This Row],[HarvestingDate]]</f>
        <v>119145695</v>
      </c>
    </row>
    <row r="605" spans="1:16">
      <c r="A605" s="5">
        <v>45654</v>
      </c>
      <c r="B605">
        <v>117</v>
      </c>
      <c r="C605" t="s">
        <v>11</v>
      </c>
      <c r="D605">
        <v>2</v>
      </c>
      <c r="E605">
        <v>100</v>
      </c>
      <c r="F605" t="s">
        <v>1</v>
      </c>
      <c r="G605" s="6">
        <v>45699</v>
      </c>
      <c r="H605">
        <v>45</v>
      </c>
      <c r="I605">
        <f>ROUND(CompilDonnées[[#This Row],[CultureDuration_days]]/7,0)</f>
        <v>6</v>
      </c>
      <c r="J605">
        <v>2932</v>
      </c>
      <c r="K605" t="str">
        <f>_xlfn.CONCAT(WEEKNUM(CompilDonnées[[#This Row],[PlantationDate]]), " ", YEAR(CompilDonnées[[#This Row],[PlantationDate]]))</f>
        <v>52 2024</v>
      </c>
      <c r="L605" t="str">
        <f>CONCATENATE(MONTH(CompilDonnées[[#This Row],[PlantationDate]])," ", YEAR(CompilDonnées[[#This Row],[PlantationDate]]))</f>
        <v>12 2024</v>
      </c>
      <c r="M605" t="str">
        <f>CONCATENATE(MONTH(CompilDonnées[[#This Row],[HarvestingDate]])," ", YEAR(CompilDonnées[[#This Row],[HarvestingDate]]))</f>
        <v>2 2025</v>
      </c>
      <c r="N605">
        <f>_xlfn.NUMBERVALUE(CompilDonnées[[#This Row],[FarmID]]&amp;CompilDonnées[[#This Row],[ModuleNumber]]&amp;CompilDonnées[[#This Row],[PlantationDate]])</f>
        <v>117245654</v>
      </c>
      <c r="O605" t="str">
        <f>CompilDonnées[[#This Row],[FarmID]]&amp;CompilDonnées[[#This Row],[ModuleNumber]]</f>
        <v>1172</v>
      </c>
      <c r="P605" t="str">
        <f>CompilDonnées[[#This Row],[Ref_Module]]&amp;CompilDonnées[[#This Row],[HarvestingDate]]</f>
        <v>117245699</v>
      </c>
    </row>
    <row r="606" spans="1:16">
      <c r="A606" s="5">
        <v>45654</v>
      </c>
      <c r="B606">
        <v>112</v>
      </c>
      <c r="C606" t="s">
        <v>15</v>
      </c>
      <c r="D606">
        <v>2</v>
      </c>
      <c r="E606">
        <v>100</v>
      </c>
      <c r="F606" t="s">
        <v>1</v>
      </c>
      <c r="G606" s="6">
        <v>45690</v>
      </c>
      <c r="H606">
        <v>36</v>
      </c>
      <c r="I606">
        <f>ROUND(CompilDonnées[[#This Row],[CultureDuration_days]]/7,0)</f>
        <v>5</v>
      </c>
      <c r="J606">
        <v>2164</v>
      </c>
      <c r="K606" t="str">
        <f>_xlfn.CONCAT(WEEKNUM(CompilDonnées[[#This Row],[PlantationDate]]), " ", YEAR(CompilDonnées[[#This Row],[PlantationDate]]))</f>
        <v>52 2024</v>
      </c>
      <c r="L606" t="str">
        <f>CONCATENATE(MONTH(CompilDonnées[[#This Row],[PlantationDate]])," ", YEAR(CompilDonnées[[#This Row],[PlantationDate]]))</f>
        <v>12 2024</v>
      </c>
      <c r="M606" t="str">
        <f>CONCATENATE(MONTH(CompilDonnées[[#This Row],[HarvestingDate]])," ", YEAR(CompilDonnées[[#This Row],[HarvestingDate]]))</f>
        <v>2 2025</v>
      </c>
      <c r="N606">
        <f>_xlfn.NUMBERVALUE(CompilDonnées[[#This Row],[FarmID]]&amp;CompilDonnées[[#This Row],[ModuleNumber]]&amp;CompilDonnées[[#This Row],[PlantationDate]])</f>
        <v>112245654</v>
      </c>
      <c r="O606" t="str">
        <f>CompilDonnées[[#This Row],[FarmID]]&amp;CompilDonnées[[#This Row],[ModuleNumber]]</f>
        <v>1122</v>
      </c>
      <c r="P606" t="str">
        <f>CompilDonnées[[#This Row],[Ref_Module]]&amp;CompilDonnées[[#This Row],[HarvestingDate]]</f>
        <v>112245690</v>
      </c>
    </row>
    <row r="607" spans="1:16">
      <c r="A607" s="5">
        <v>45654</v>
      </c>
      <c r="B607">
        <v>118</v>
      </c>
      <c r="C607" t="s">
        <v>51</v>
      </c>
      <c r="D607">
        <v>1</v>
      </c>
      <c r="E607">
        <v>97</v>
      </c>
      <c r="F607" t="s">
        <v>1</v>
      </c>
      <c r="G607" s="6">
        <v>45689</v>
      </c>
      <c r="H607">
        <v>35</v>
      </c>
      <c r="I607">
        <f>ROUND(CompilDonnées[[#This Row],[CultureDuration_days]]/7,0)</f>
        <v>5</v>
      </c>
      <c r="J607">
        <v>2571</v>
      </c>
      <c r="K607" t="str">
        <f>_xlfn.CONCAT(WEEKNUM(CompilDonnées[[#This Row],[PlantationDate]]), " ", YEAR(CompilDonnées[[#This Row],[PlantationDate]]))</f>
        <v>52 2024</v>
      </c>
      <c r="L607" t="str">
        <f>CONCATENATE(MONTH(CompilDonnées[[#This Row],[PlantationDate]])," ", YEAR(CompilDonnées[[#This Row],[PlantationDate]]))</f>
        <v>12 2024</v>
      </c>
      <c r="M607" t="str">
        <f>CONCATENATE(MONTH(CompilDonnées[[#This Row],[HarvestingDate]])," ", YEAR(CompilDonnées[[#This Row],[HarvestingDate]]))</f>
        <v>2 2025</v>
      </c>
      <c r="N607">
        <f>_xlfn.NUMBERVALUE(CompilDonnées[[#This Row],[FarmID]]&amp;CompilDonnées[[#This Row],[ModuleNumber]]&amp;CompilDonnées[[#This Row],[PlantationDate]])</f>
        <v>118145654</v>
      </c>
      <c r="O607" t="str">
        <f>CompilDonnées[[#This Row],[FarmID]]&amp;CompilDonnées[[#This Row],[ModuleNumber]]</f>
        <v>1181</v>
      </c>
      <c r="P607" t="str">
        <f>CompilDonnées[[#This Row],[Ref_Module]]&amp;CompilDonnées[[#This Row],[HarvestingDate]]</f>
        <v>118145689</v>
      </c>
    </row>
    <row r="608" spans="1:16">
      <c r="A608" s="5">
        <v>45654</v>
      </c>
      <c r="B608">
        <v>109</v>
      </c>
      <c r="C608" t="s">
        <v>87</v>
      </c>
      <c r="D608">
        <v>1</v>
      </c>
      <c r="E608">
        <v>100</v>
      </c>
      <c r="F608" t="s">
        <v>1</v>
      </c>
      <c r="G608" s="6">
        <v>45695</v>
      </c>
      <c r="H608">
        <v>41</v>
      </c>
      <c r="I608">
        <f>ROUND(CompilDonnées[[#This Row],[CultureDuration_days]]/7,0)</f>
        <v>6</v>
      </c>
      <c r="J608">
        <v>4472</v>
      </c>
      <c r="K608" t="str">
        <f>_xlfn.CONCAT(WEEKNUM(CompilDonnées[[#This Row],[PlantationDate]]), " ", YEAR(CompilDonnées[[#This Row],[PlantationDate]]))</f>
        <v>52 2024</v>
      </c>
      <c r="L608" t="str">
        <f>CONCATENATE(MONTH(CompilDonnées[[#This Row],[PlantationDate]])," ", YEAR(CompilDonnées[[#This Row],[PlantationDate]]))</f>
        <v>12 2024</v>
      </c>
      <c r="M608" t="str">
        <f>CONCATENATE(MONTH(CompilDonnées[[#This Row],[HarvestingDate]])," ", YEAR(CompilDonnées[[#This Row],[HarvestingDate]]))</f>
        <v>2 2025</v>
      </c>
      <c r="N608">
        <f>_xlfn.NUMBERVALUE(CompilDonnées[[#This Row],[FarmID]]&amp;CompilDonnées[[#This Row],[ModuleNumber]]&amp;CompilDonnées[[#This Row],[PlantationDate]])</f>
        <v>109145654</v>
      </c>
      <c r="O608" t="str">
        <f>CompilDonnées[[#This Row],[FarmID]]&amp;CompilDonnées[[#This Row],[ModuleNumber]]</f>
        <v>1091</v>
      </c>
      <c r="P608" t="str">
        <f>CompilDonnées[[#This Row],[Ref_Module]]&amp;CompilDonnées[[#This Row],[HarvestingDate]]</f>
        <v>109145695</v>
      </c>
    </row>
    <row r="609" spans="1:16">
      <c r="A609" s="5">
        <v>45654</v>
      </c>
      <c r="B609">
        <v>109</v>
      </c>
      <c r="C609" t="s">
        <v>87</v>
      </c>
      <c r="D609">
        <v>6</v>
      </c>
      <c r="E609">
        <v>100</v>
      </c>
      <c r="F609" t="s">
        <v>1</v>
      </c>
      <c r="G609" s="6">
        <v>45690</v>
      </c>
      <c r="H609">
        <v>36</v>
      </c>
      <c r="I609">
        <f>ROUND(CompilDonnées[[#This Row],[CultureDuration_days]]/7,0)</f>
        <v>5</v>
      </c>
      <c r="J609">
        <v>4048</v>
      </c>
      <c r="K609" t="str">
        <f>_xlfn.CONCAT(WEEKNUM(CompilDonnées[[#This Row],[PlantationDate]]), " ", YEAR(CompilDonnées[[#This Row],[PlantationDate]]))</f>
        <v>52 2024</v>
      </c>
      <c r="L609" t="str">
        <f>CONCATENATE(MONTH(CompilDonnées[[#This Row],[PlantationDate]])," ", YEAR(CompilDonnées[[#This Row],[PlantationDate]]))</f>
        <v>12 2024</v>
      </c>
      <c r="M609" t="str">
        <f>CONCATENATE(MONTH(CompilDonnées[[#This Row],[HarvestingDate]])," ", YEAR(CompilDonnées[[#This Row],[HarvestingDate]]))</f>
        <v>2 2025</v>
      </c>
      <c r="N609">
        <f>_xlfn.NUMBERVALUE(CompilDonnées[[#This Row],[FarmID]]&amp;CompilDonnées[[#This Row],[ModuleNumber]]&amp;CompilDonnées[[#This Row],[PlantationDate]])</f>
        <v>109645654</v>
      </c>
      <c r="O609" t="str">
        <f>CompilDonnées[[#This Row],[FarmID]]&amp;CompilDonnées[[#This Row],[ModuleNumber]]</f>
        <v>1096</v>
      </c>
      <c r="P609" t="str">
        <f>CompilDonnées[[#This Row],[Ref_Module]]&amp;CompilDonnées[[#This Row],[HarvestingDate]]</f>
        <v>109645690</v>
      </c>
    </row>
    <row r="610" spans="1:16">
      <c r="A610" s="5">
        <v>45654</v>
      </c>
      <c r="B610">
        <v>100</v>
      </c>
      <c r="C610" t="s">
        <v>84</v>
      </c>
      <c r="D610">
        <v>1</v>
      </c>
      <c r="E610">
        <v>100</v>
      </c>
      <c r="F610" t="s">
        <v>1</v>
      </c>
      <c r="G610" s="6">
        <v>45689</v>
      </c>
      <c r="H610">
        <v>35</v>
      </c>
      <c r="I610">
        <f>ROUND(CompilDonnées[[#This Row],[CultureDuration_days]]/7,0)</f>
        <v>5</v>
      </c>
      <c r="J610">
        <v>3042</v>
      </c>
      <c r="K610" t="str">
        <f>_xlfn.CONCAT(WEEKNUM(CompilDonnées[[#This Row],[PlantationDate]]), " ", YEAR(CompilDonnées[[#This Row],[PlantationDate]]))</f>
        <v>52 2024</v>
      </c>
      <c r="L610" t="str">
        <f>CONCATENATE(MONTH(CompilDonnées[[#This Row],[PlantationDate]])," ", YEAR(CompilDonnées[[#This Row],[PlantationDate]]))</f>
        <v>12 2024</v>
      </c>
      <c r="M610" t="str">
        <f>CONCATENATE(MONTH(CompilDonnées[[#This Row],[HarvestingDate]])," ", YEAR(CompilDonnées[[#This Row],[HarvestingDate]]))</f>
        <v>2 2025</v>
      </c>
      <c r="N610">
        <f>_xlfn.NUMBERVALUE(CompilDonnées[[#This Row],[FarmID]]&amp;CompilDonnées[[#This Row],[ModuleNumber]]&amp;CompilDonnées[[#This Row],[PlantationDate]])</f>
        <v>100145654</v>
      </c>
      <c r="O610" t="str">
        <f>CompilDonnées[[#This Row],[FarmID]]&amp;CompilDonnées[[#This Row],[ModuleNumber]]</f>
        <v>1001</v>
      </c>
      <c r="P610" t="str">
        <f>CompilDonnées[[#This Row],[Ref_Module]]&amp;CompilDonnées[[#This Row],[HarvestingDate]]</f>
        <v>100145689</v>
      </c>
    </row>
    <row r="611" spans="1:16">
      <c r="A611" s="5">
        <v>45654</v>
      </c>
      <c r="B611">
        <v>99</v>
      </c>
      <c r="C611" t="s">
        <v>117</v>
      </c>
      <c r="D611">
        <v>2</v>
      </c>
      <c r="E611">
        <v>100</v>
      </c>
      <c r="F611" t="s">
        <v>1</v>
      </c>
      <c r="G611" s="6">
        <v>45699</v>
      </c>
      <c r="H611">
        <v>45</v>
      </c>
      <c r="I611">
        <f>ROUND(CompilDonnées[[#This Row],[CultureDuration_days]]/7,0)</f>
        <v>6</v>
      </c>
      <c r="J611">
        <v>2930</v>
      </c>
      <c r="K611" t="str">
        <f>_xlfn.CONCAT(WEEKNUM(CompilDonnées[[#This Row],[PlantationDate]]), " ", YEAR(CompilDonnées[[#This Row],[PlantationDate]]))</f>
        <v>52 2024</v>
      </c>
      <c r="L611" t="str">
        <f>CONCATENATE(MONTH(CompilDonnées[[#This Row],[PlantationDate]])," ", YEAR(CompilDonnées[[#This Row],[PlantationDate]]))</f>
        <v>12 2024</v>
      </c>
      <c r="M611" t="str">
        <f>CONCATENATE(MONTH(CompilDonnées[[#This Row],[HarvestingDate]])," ", YEAR(CompilDonnées[[#This Row],[HarvestingDate]]))</f>
        <v>2 2025</v>
      </c>
      <c r="N611">
        <f>_xlfn.NUMBERVALUE(CompilDonnées[[#This Row],[FarmID]]&amp;CompilDonnées[[#This Row],[ModuleNumber]]&amp;CompilDonnées[[#This Row],[PlantationDate]])</f>
        <v>99245654</v>
      </c>
      <c r="O611" t="str">
        <f>CompilDonnées[[#This Row],[FarmID]]&amp;CompilDonnées[[#This Row],[ModuleNumber]]</f>
        <v>992</v>
      </c>
      <c r="P611" t="str">
        <f>CompilDonnées[[#This Row],[Ref_Module]]&amp;CompilDonnées[[#This Row],[HarvestingDate]]</f>
        <v>99245699</v>
      </c>
    </row>
    <row r="612" spans="1:16">
      <c r="A612" s="5">
        <v>45654</v>
      </c>
      <c r="B612">
        <v>102</v>
      </c>
      <c r="C612" t="s">
        <v>85</v>
      </c>
      <c r="D612">
        <v>2</v>
      </c>
      <c r="E612">
        <v>100</v>
      </c>
      <c r="F612" t="s">
        <v>1</v>
      </c>
      <c r="G612" s="6">
        <v>45706</v>
      </c>
      <c r="H612">
        <v>52</v>
      </c>
      <c r="I612">
        <f>ROUND(CompilDonnées[[#This Row],[CultureDuration_days]]/7,0)</f>
        <v>7</v>
      </c>
      <c r="J612">
        <v>2104</v>
      </c>
      <c r="K612" t="str">
        <f>_xlfn.CONCAT(WEEKNUM(CompilDonnées[[#This Row],[PlantationDate]]), " ", YEAR(CompilDonnées[[#This Row],[PlantationDate]]))</f>
        <v>52 2024</v>
      </c>
      <c r="L612" t="str">
        <f>CONCATENATE(MONTH(CompilDonnées[[#This Row],[PlantationDate]])," ", YEAR(CompilDonnées[[#This Row],[PlantationDate]]))</f>
        <v>12 2024</v>
      </c>
      <c r="M612" t="str">
        <f>CONCATENATE(MONTH(CompilDonnées[[#This Row],[HarvestingDate]])," ", YEAR(CompilDonnées[[#This Row],[HarvestingDate]]))</f>
        <v>2 2025</v>
      </c>
      <c r="N612">
        <f>_xlfn.NUMBERVALUE(CompilDonnées[[#This Row],[FarmID]]&amp;CompilDonnées[[#This Row],[ModuleNumber]]&amp;CompilDonnées[[#This Row],[PlantationDate]])</f>
        <v>102245654</v>
      </c>
      <c r="O612" t="str">
        <f>CompilDonnées[[#This Row],[FarmID]]&amp;CompilDonnées[[#This Row],[ModuleNumber]]</f>
        <v>1022</v>
      </c>
      <c r="P612" t="str">
        <f>CompilDonnées[[#This Row],[Ref_Module]]&amp;CompilDonnées[[#This Row],[HarvestingDate]]</f>
        <v>102245706</v>
      </c>
    </row>
    <row r="613" spans="1:16">
      <c r="A613" s="5">
        <v>45654</v>
      </c>
      <c r="B613">
        <v>22</v>
      </c>
      <c r="C613" t="s">
        <v>43</v>
      </c>
      <c r="D613">
        <v>3</v>
      </c>
      <c r="E613">
        <v>100</v>
      </c>
      <c r="F613" t="s">
        <v>1</v>
      </c>
      <c r="G613" s="6">
        <v>45698</v>
      </c>
      <c r="H613">
        <v>44</v>
      </c>
      <c r="I613">
        <f>ROUND(CompilDonnées[[#This Row],[CultureDuration_days]]/7,0)</f>
        <v>6</v>
      </c>
      <c r="J613">
        <v>3047</v>
      </c>
      <c r="K613" t="str">
        <f>_xlfn.CONCAT(WEEKNUM(CompilDonnées[[#This Row],[PlantationDate]]), " ", YEAR(CompilDonnées[[#This Row],[PlantationDate]]))</f>
        <v>52 2024</v>
      </c>
      <c r="L613" t="str">
        <f>CONCATENATE(MONTH(CompilDonnées[[#This Row],[PlantationDate]])," ", YEAR(CompilDonnées[[#This Row],[PlantationDate]]))</f>
        <v>12 2024</v>
      </c>
      <c r="M613" t="str">
        <f>CONCATENATE(MONTH(CompilDonnées[[#This Row],[HarvestingDate]])," ", YEAR(CompilDonnées[[#This Row],[HarvestingDate]]))</f>
        <v>2 2025</v>
      </c>
      <c r="N613">
        <f>_xlfn.NUMBERVALUE(CompilDonnées[[#This Row],[FarmID]]&amp;CompilDonnées[[#This Row],[ModuleNumber]]&amp;CompilDonnées[[#This Row],[PlantationDate]])</f>
        <v>22345654</v>
      </c>
      <c r="O613" t="str">
        <f>CompilDonnées[[#This Row],[FarmID]]&amp;CompilDonnées[[#This Row],[ModuleNumber]]</f>
        <v>223</v>
      </c>
      <c r="P613" t="str">
        <f>CompilDonnées[[#This Row],[Ref_Module]]&amp;CompilDonnées[[#This Row],[HarvestingDate]]</f>
        <v>22345698</v>
      </c>
    </row>
    <row r="614" spans="1:16">
      <c r="A614" s="5">
        <v>45654</v>
      </c>
      <c r="B614">
        <v>4</v>
      </c>
      <c r="C614" t="s">
        <v>74</v>
      </c>
      <c r="D614">
        <v>1</v>
      </c>
      <c r="E614">
        <v>100</v>
      </c>
      <c r="F614" t="s">
        <v>1</v>
      </c>
      <c r="G614" s="6">
        <v>45698</v>
      </c>
      <c r="H614">
        <v>44</v>
      </c>
      <c r="I614">
        <f>ROUND(CompilDonnées[[#This Row],[CultureDuration_days]]/7,0)</f>
        <v>6</v>
      </c>
      <c r="J614">
        <v>2751</v>
      </c>
      <c r="K614" t="str">
        <f>_xlfn.CONCAT(WEEKNUM(CompilDonnées[[#This Row],[PlantationDate]]), " ", YEAR(CompilDonnées[[#This Row],[PlantationDate]]))</f>
        <v>52 2024</v>
      </c>
      <c r="L614" t="str">
        <f>CONCATENATE(MONTH(CompilDonnées[[#This Row],[PlantationDate]])," ", YEAR(CompilDonnées[[#This Row],[PlantationDate]]))</f>
        <v>12 2024</v>
      </c>
      <c r="M614" t="str">
        <f>CONCATENATE(MONTH(CompilDonnées[[#This Row],[HarvestingDate]])," ", YEAR(CompilDonnées[[#This Row],[HarvestingDate]]))</f>
        <v>2 2025</v>
      </c>
      <c r="N614">
        <f>_xlfn.NUMBERVALUE(CompilDonnées[[#This Row],[FarmID]]&amp;CompilDonnées[[#This Row],[ModuleNumber]]&amp;CompilDonnées[[#This Row],[PlantationDate]])</f>
        <v>4145654</v>
      </c>
      <c r="O614" t="str">
        <f>CompilDonnées[[#This Row],[FarmID]]&amp;CompilDonnées[[#This Row],[ModuleNumber]]</f>
        <v>41</v>
      </c>
      <c r="P614" t="str">
        <f>CompilDonnées[[#This Row],[Ref_Module]]&amp;CompilDonnées[[#This Row],[HarvestingDate]]</f>
        <v>4145698</v>
      </c>
    </row>
    <row r="615" spans="1:16">
      <c r="A615" s="5">
        <v>45654</v>
      </c>
      <c r="B615">
        <v>69</v>
      </c>
      <c r="C615" t="s">
        <v>102</v>
      </c>
      <c r="D615">
        <v>4</v>
      </c>
      <c r="E615">
        <v>100</v>
      </c>
      <c r="F615" t="s">
        <v>1</v>
      </c>
      <c r="G615" s="6">
        <v>45701</v>
      </c>
      <c r="H615">
        <v>47</v>
      </c>
      <c r="I615">
        <f>ROUND(CompilDonnées[[#This Row],[CultureDuration_days]]/7,0)</f>
        <v>7</v>
      </c>
      <c r="J615">
        <v>2445</v>
      </c>
      <c r="K615" t="str">
        <f>_xlfn.CONCAT(WEEKNUM(CompilDonnées[[#This Row],[PlantationDate]]), " ", YEAR(CompilDonnées[[#This Row],[PlantationDate]]))</f>
        <v>52 2024</v>
      </c>
      <c r="L615" t="str">
        <f>CONCATENATE(MONTH(CompilDonnées[[#This Row],[PlantationDate]])," ", YEAR(CompilDonnées[[#This Row],[PlantationDate]]))</f>
        <v>12 2024</v>
      </c>
      <c r="M615" t="str">
        <f>CONCATENATE(MONTH(CompilDonnées[[#This Row],[HarvestingDate]])," ", YEAR(CompilDonnées[[#This Row],[HarvestingDate]]))</f>
        <v>2 2025</v>
      </c>
      <c r="N615">
        <f>_xlfn.NUMBERVALUE(CompilDonnées[[#This Row],[FarmID]]&amp;CompilDonnées[[#This Row],[ModuleNumber]]&amp;CompilDonnées[[#This Row],[PlantationDate]])</f>
        <v>69445654</v>
      </c>
      <c r="O615" t="str">
        <f>CompilDonnées[[#This Row],[FarmID]]&amp;CompilDonnées[[#This Row],[ModuleNumber]]</f>
        <v>694</v>
      </c>
      <c r="P615" t="str">
        <f>CompilDonnées[[#This Row],[Ref_Module]]&amp;CompilDonnées[[#This Row],[HarvestingDate]]</f>
        <v>69445701</v>
      </c>
    </row>
    <row r="616" spans="1:16">
      <c r="A616" s="5">
        <v>45654</v>
      </c>
      <c r="B616">
        <v>63</v>
      </c>
      <c r="C616" t="s">
        <v>98</v>
      </c>
      <c r="D616">
        <v>4</v>
      </c>
      <c r="E616">
        <v>100</v>
      </c>
      <c r="F616" t="s">
        <v>1</v>
      </c>
      <c r="G616" s="6">
        <v>45701</v>
      </c>
      <c r="H616">
        <v>47</v>
      </c>
      <c r="I616">
        <f>ROUND(CompilDonnées[[#This Row],[CultureDuration_days]]/7,0)</f>
        <v>7</v>
      </c>
      <c r="J616">
        <v>1809</v>
      </c>
      <c r="K616" t="str">
        <f>_xlfn.CONCAT(WEEKNUM(CompilDonnées[[#This Row],[PlantationDate]]), " ", YEAR(CompilDonnées[[#This Row],[PlantationDate]]))</f>
        <v>52 2024</v>
      </c>
      <c r="L616" t="str">
        <f>CONCATENATE(MONTH(CompilDonnées[[#This Row],[PlantationDate]])," ", YEAR(CompilDonnées[[#This Row],[PlantationDate]]))</f>
        <v>12 2024</v>
      </c>
      <c r="M616" t="str">
        <f>CONCATENATE(MONTH(CompilDonnées[[#This Row],[HarvestingDate]])," ", YEAR(CompilDonnées[[#This Row],[HarvestingDate]]))</f>
        <v>2 2025</v>
      </c>
      <c r="N616">
        <f>_xlfn.NUMBERVALUE(CompilDonnées[[#This Row],[FarmID]]&amp;CompilDonnées[[#This Row],[ModuleNumber]]&amp;CompilDonnées[[#This Row],[PlantationDate]])</f>
        <v>63445654</v>
      </c>
      <c r="O616" t="str">
        <f>CompilDonnées[[#This Row],[FarmID]]&amp;CompilDonnées[[#This Row],[ModuleNumber]]</f>
        <v>634</v>
      </c>
      <c r="P616" t="str">
        <f>CompilDonnées[[#This Row],[Ref_Module]]&amp;CompilDonnées[[#This Row],[HarvestingDate]]</f>
        <v>63445701</v>
      </c>
    </row>
    <row r="617" spans="1:16">
      <c r="A617" s="5">
        <v>45664</v>
      </c>
      <c r="B617">
        <v>107</v>
      </c>
      <c r="C617" t="s">
        <v>23</v>
      </c>
      <c r="D617">
        <v>4</v>
      </c>
      <c r="E617">
        <v>100</v>
      </c>
      <c r="F617" t="s">
        <v>1</v>
      </c>
      <c r="G617" s="6">
        <v>45699</v>
      </c>
      <c r="H617">
        <v>35</v>
      </c>
      <c r="I617">
        <f>ROUND(CompilDonnées[[#This Row],[CultureDuration_days]]/7,0)</f>
        <v>5</v>
      </c>
      <c r="J617">
        <v>2602</v>
      </c>
      <c r="K617" t="str">
        <f>_xlfn.CONCAT(WEEKNUM(CompilDonnées[[#This Row],[PlantationDate]]), " ", YEAR(CompilDonnées[[#This Row],[PlantationDate]]))</f>
        <v>2 2025</v>
      </c>
      <c r="L617" t="str">
        <f>CONCATENATE(MONTH(CompilDonnées[[#This Row],[PlantationDate]])," ", YEAR(CompilDonnées[[#This Row],[PlantationDate]]))</f>
        <v>1 2025</v>
      </c>
      <c r="M617" t="str">
        <f>CONCATENATE(MONTH(CompilDonnées[[#This Row],[HarvestingDate]])," ", YEAR(CompilDonnées[[#This Row],[HarvestingDate]]))</f>
        <v>2 2025</v>
      </c>
      <c r="N617">
        <f>_xlfn.NUMBERVALUE(CompilDonnées[[#This Row],[FarmID]]&amp;CompilDonnées[[#This Row],[ModuleNumber]]&amp;CompilDonnées[[#This Row],[PlantationDate]])</f>
        <v>107445664</v>
      </c>
      <c r="O617" t="str">
        <f>CompilDonnées[[#This Row],[FarmID]]&amp;CompilDonnées[[#This Row],[ModuleNumber]]</f>
        <v>1074</v>
      </c>
      <c r="P617" t="str">
        <f>CompilDonnées[[#This Row],[Ref_Module]]&amp;CompilDonnées[[#This Row],[HarvestingDate]]</f>
        <v>107445699</v>
      </c>
    </row>
    <row r="618" spans="1:16">
      <c r="A618" s="5">
        <v>45664</v>
      </c>
      <c r="B618">
        <v>99</v>
      </c>
      <c r="C618" t="s">
        <v>117</v>
      </c>
      <c r="D618">
        <v>3</v>
      </c>
      <c r="E618">
        <v>100</v>
      </c>
      <c r="F618" t="s">
        <v>1</v>
      </c>
      <c r="G618" s="6">
        <v>45707</v>
      </c>
      <c r="H618">
        <v>43</v>
      </c>
      <c r="I618">
        <f>ROUND(CompilDonnées[[#This Row],[CultureDuration_days]]/7,0)</f>
        <v>6</v>
      </c>
      <c r="J618">
        <v>3168</v>
      </c>
      <c r="K618" t="str">
        <f>_xlfn.CONCAT(WEEKNUM(CompilDonnées[[#This Row],[PlantationDate]]), " ", YEAR(CompilDonnées[[#This Row],[PlantationDate]]))</f>
        <v>2 2025</v>
      </c>
      <c r="L618" t="str">
        <f>CONCATENATE(MONTH(CompilDonnées[[#This Row],[PlantationDate]])," ", YEAR(CompilDonnées[[#This Row],[PlantationDate]]))</f>
        <v>1 2025</v>
      </c>
      <c r="M618" t="str">
        <f>CONCATENATE(MONTH(CompilDonnées[[#This Row],[HarvestingDate]])," ", YEAR(CompilDonnées[[#This Row],[HarvestingDate]]))</f>
        <v>2 2025</v>
      </c>
      <c r="N618">
        <f>_xlfn.NUMBERVALUE(CompilDonnées[[#This Row],[FarmID]]&amp;CompilDonnées[[#This Row],[ModuleNumber]]&amp;CompilDonnées[[#This Row],[PlantationDate]])</f>
        <v>99345664</v>
      </c>
      <c r="O618" t="str">
        <f>CompilDonnées[[#This Row],[FarmID]]&amp;CompilDonnées[[#This Row],[ModuleNumber]]</f>
        <v>993</v>
      </c>
      <c r="P618" t="str">
        <f>CompilDonnées[[#This Row],[Ref_Module]]&amp;CompilDonnées[[#This Row],[HarvestingDate]]</f>
        <v>99345707</v>
      </c>
    </row>
    <row r="619" spans="1:16">
      <c r="A619" s="5">
        <v>45664</v>
      </c>
      <c r="B619">
        <v>102</v>
      </c>
      <c r="C619" t="s">
        <v>85</v>
      </c>
      <c r="D619">
        <v>3</v>
      </c>
      <c r="E619">
        <v>100</v>
      </c>
      <c r="F619" t="s">
        <v>1</v>
      </c>
      <c r="G619" s="6">
        <v>45706</v>
      </c>
      <c r="H619">
        <v>42</v>
      </c>
      <c r="I619">
        <f>ROUND(CompilDonnées[[#This Row],[CultureDuration_days]]/7,0)</f>
        <v>6</v>
      </c>
      <c r="J619">
        <v>2130</v>
      </c>
      <c r="K619" t="str">
        <f>_xlfn.CONCAT(WEEKNUM(CompilDonnées[[#This Row],[PlantationDate]]), " ", YEAR(CompilDonnées[[#This Row],[PlantationDate]]))</f>
        <v>2 2025</v>
      </c>
      <c r="L619" t="str">
        <f>CONCATENATE(MONTH(CompilDonnées[[#This Row],[PlantationDate]])," ", YEAR(CompilDonnées[[#This Row],[PlantationDate]]))</f>
        <v>1 2025</v>
      </c>
      <c r="M619" t="str">
        <f>CONCATENATE(MONTH(CompilDonnées[[#This Row],[HarvestingDate]])," ", YEAR(CompilDonnées[[#This Row],[HarvestingDate]]))</f>
        <v>2 2025</v>
      </c>
      <c r="N619">
        <f>_xlfn.NUMBERVALUE(CompilDonnées[[#This Row],[FarmID]]&amp;CompilDonnées[[#This Row],[ModuleNumber]]&amp;CompilDonnées[[#This Row],[PlantationDate]])</f>
        <v>102345664</v>
      </c>
      <c r="O619" t="str">
        <f>CompilDonnées[[#This Row],[FarmID]]&amp;CompilDonnées[[#This Row],[ModuleNumber]]</f>
        <v>1023</v>
      </c>
      <c r="P619" t="str">
        <f>CompilDonnées[[#This Row],[Ref_Module]]&amp;CompilDonnées[[#This Row],[HarvestingDate]]</f>
        <v>102345706</v>
      </c>
    </row>
    <row r="620" spans="1:16">
      <c r="A620" s="5">
        <v>45664</v>
      </c>
      <c r="B620">
        <v>102</v>
      </c>
      <c r="C620" t="s">
        <v>85</v>
      </c>
      <c r="D620">
        <v>4</v>
      </c>
      <c r="E620">
        <v>100</v>
      </c>
      <c r="F620" t="s">
        <v>1</v>
      </c>
      <c r="G620" s="6">
        <v>45715</v>
      </c>
      <c r="H620">
        <v>51</v>
      </c>
      <c r="I620">
        <f>ROUND(CompilDonnées[[#This Row],[CultureDuration_days]]/7,0)</f>
        <v>7</v>
      </c>
      <c r="J620">
        <v>2635</v>
      </c>
      <c r="K620" t="str">
        <f>_xlfn.CONCAT(WEEKNUM(CompilDonnées[[#This Row],[PlantationDate]]), " ", YEAR(CompilDonnées[[#This Row],[PlantationDate]]))</f>
        <v>2 2025</v>
      </c>
      <c r="L620" t="str">
        <f>CONCATENATE(MONTH(CompilDonnées[[#This Row],[PlantationDate]])," ", YEAR(CompilDonnées[[#This Row],[PlantationDate]]))</f>
        <v>1 2025</v>
      </c>
      <c r="M620" t="str">
        <f>CONCATENATE(MONTH(CompilDonnées[[#This Row],[HarvestingDate]])," ", YEAR(CompilDonnées[[#This Row],[HarvestingDate]]))</f>
        <v>2 2025</v>
      </c>
      <c r="N620">
        <f>_xlfn.NUMBERVALUE(CompilDonnées[[#This Row],[FarmID]]&amp;CompilDonnées[[#This Row],[ModuleNumber]]&amp;CompilDonnées[[#This Row],[PlantationDate]])</f>
        <v>102445664</v>
      </c>
      <c r="O620" t="str">
        <f>CompilDonnées[[#This Row],[FarmID]]&amp;CompilDonnées[[#This Row],[ModuleNumber]]</f>
        <v>1024</v>
      </c>
      <c r="P620" t="str">
        <f>CompilDonnées[[#This Row],[Ref_Module]]&amp;CompilDonnées[[#This Row],[HarvestingDate]]</f>
        <v>102445715</v>
      </c>
    </row>
    <row r="621" spans="1:16">
      <c r="A621" s="5">
        <v>45664</v>
      </c>
      <c r="B621">
        <v>67</v>
      </c>
      <c r="C621" t="s">
        <v>28</v>
      </c>
      <c r="D621">
        <v>3</v>
      </c>
      <c r="E621">
        <v>100</v>
      </c>
      <c r="F621" t="s">
        <v>1</v>
      </c>
      <c r="G621" s="6">
        <v>45698</v>
      </c>
      <c r="H621">
        <v>34</v>
      </c>
      <c r="I621">
        <f>ROUND(CompilDonnées[[#This Row],[CultureDuration_days]]/7,0)</f>
        <v>5</v>
      </c>
      <c r="J621">
        <v>3361</v>
      </c>
      <c r="K621" t="str">
        <f>_xlfn.CONCAT(WEEKNUM(CompilDonnées[[#This Row],[PlantationDate]]), " ", YEAR(CompilDonnées[[#This Row],[PlantationDate]]))</f>
        <v>2 2025</v>
      </c>
      <c r="L621" t="str">
        <f>CONCATENATE(MONTH(CompilDonnées[[#This Row],[PlantationDate]])," ", YEAR(CompilDonnées[[#This Row],[PlantationDate]]))</f>
        <v>1 2025</v>
      </c>
      <c r="M621" t="str">
        <f>CONCATENATE(MONTH(CompilDonnées[[#This Row],[HarvestingDate]])," ", YEAR(CompilDonnées[[#This Row],[HarvestingDate]]))</f>
        <v>2 2025</v>
      </c>
      <c r="N621">
        <f>_xlfn.NUMBERVALUE(CompilDonnées[[#This Row],[FarmID]]&amp;CompilDonnées[[#This Row],[ModuleNumber]]&amp;CompilDonnées[[#This Row],[PlantationDate]])</f>
        <v>67345664</v>
      </c>
      <c r="O621" t="str">
        <f>CompilDonnées[[#This Row],[FarmID]]&amp;CompilDonnées[[#This Row],[ModuleNumber]]</f>
        <v>673</v>
      </c>
      <c r="P621" t="str">
        <f>CompilDonnées[[#This Row],[Ref_Module]]&amp;CompilDonnées[[#This Row],[HarvestingDate]]</f>
        <v>67345698</v>
      </c>
    </row>
    <row r="622" spans="1:16">
      <c r="A622" s="5">
        <v>45664</v>
      </c>
      <c r="B622">
        <v>70</v>
      </c>
      <c r="C622" t="s">
        <v>7</v>
      </c>
      <c r="D622">
        <v>4</v>
      </c>
      <c r="E622">
        <v>100</v>
      </c>
      <c r="F622" t="s">
        <v>1</v>
      </c>
      <c r="G622" s="6">
        <v>45706</v>
      </c>
      <c r="H622">
        <v>42</v>
      </c>
      <c r="I622">
        <f>ROUND(CompilDonnées[[#This Row],[CultureDuration_days]]/7,0)</f>
        <v>6</v>
      </c>
      <c r="J622">
        <v>2613</v>
      </c>
      <c r="K622" t="str">
        <f>_xlfn.CONCAT(WEEKNUM(CompilDonnées[[#This Row],[PlantationDate]]), " ", YEAR(CompilDonnées[[#This Row],[PlantationDate]]))</f>
        <v>2 2025</v>
      </c>
      <c r="L622" t="str">
        <f>CONCATENATE(MONTH(CompilDonnées[[#This Row],[PlantationDate]])," ", YEAR(CompilDonnées[[#This Row],[PlantationDate]]))</f>
        <v>1 2025</v>
      </c>
      <c r="M622" t="str">
        <f>CONCATENATE(MONTH(CompilDonnées[[#This Row],[HarvestingDate]])," ", YEAR(CompilDonnées[[#This Row],[HarvestingDate]]))</f>
        <v>2 2025</v>
      </c>
      <c r="N622">
        <f>_xlfn.NUMBERVALUE(CompilDonnées[[#This Row],[FarmID]]&amp;CompilDonnées[[#This Row],[ModuleNumber]]&amp;CompilDonnées[[#This Row],[PlantationDate]])</f>
        <v>70445664</v>
      </c>
      <c r="O622" t="str">
        <f>CompilDonnées[[#This Row],[FarmID]]&amp;CompilDonnées[[#This Row],[ModuleNumber]]</f>
        <v>704</v>
      </c>
      <c r="P622" t="str">
        <f>CompilDonnées[[#This Row],[Ref_Module]]&amp;CompilDonnées[[#This Row],[HarvestingDate]]</f>
        <v>70445706</v>
      </c>
    </row>
    <row r="623" spans="1:16">
      <c r="A623" s="5">
        <v>45664</v>
      </c>
      <c r="B623">
        <v>69</v>
      </c>
      <c r="C623" t="s">
        <v>102</v>
      </c>
      <c r="D623">
        <v>6</v>
      </c>
      <c r="E623">
        <v>100</v>
      </c>
      <c r="F623" t="s">
        <v>1</v>
      </c>
      <c r="G623" s="6">
        <v>45706</v>
      </c>
      <c r="H623">
        <v>42</v>
      </c>
      <c r="I623">
        <f>ROUND(CompilDonnées[[#This Row],[CultureDuration_days]]/7,0)</f>
        <v>6</v>
      </c>
      <c r="J623">
        <v>2400</v>
      </c>
      <c r="K623" t="str">
        <f>_xlfn.CONCAT(WEEKNUM(CompilDonnées[[#This Row],[PlantationDate]]), " ", YEAR(CompilDonnées[[#This Row],[PlantationDate]]))</f>
        <v>2 2025</v>
      </c>
      <c r="L623" t="str">
        <f>CONCATENATE(MONTH(CompilDonnées[[#This Row],[PlantationDate]])," ", YEAR(CompilDonnées[[#This Row],[PlantationDate]]))</f>
        <v>1 2025</v>
      </c>
      <c r="M623" t="str">
        <f>CONCATENATE(MONTH(CompilDonnées[[#This Row],[HarvestingDate]])," ", YEAR(CompilDonnées[[#This Row],[HarvestingDate]]))</f>
        <v>2 2025</v>
      </c>
      <c r="N623">
        <f>_xlfn.NUMBERVALUE(CompilDonnées[[#This Row],[FarmID]]&amp;CompilDonnées[[#This Row],[ModuleNumber]]&amp;CompilDonnées[[#This Row],[PlantationDate]])</f>
        <v>69645664</v>
      </c>
      <c r="O623" t="str">
        <f>CompilDonnées[[#This Row],[FarmID]]&amp;CompilDonnées[[#This Row],[ModuleNumber]]</f>
        <v>696</v>
      </c>
      <c r="P623" t="str">
        <f>CompilDonnées[[#This Row],[Ref_Module]]&amp;CompilDonnées[[#This Row],[HarvestingDate]]</f>
        <v>69645706</v>
      </c>
    </row>
    <row r="624" spans="1:16">
      <c r="A624" s="5">
        <v>45664</v>
      </c>
      <c r="B624">
        <v>20</v>
      </c>
      <c r="C624" t="s">
        <v>53</v>
      </c>
      <c r="D624">
        <v>4</v>
      </c>
      <c r="E624">
        <v>100</v>
      </c>
      <c r="F624" t="s">
        <v>1</v>
      </c>
      <c r="G624" s="6">
        <v>45698</v>
      </c>
      <c r="H624">
        <v>34</v>
      </c>
      <c r="I624">
        <f>ROUND(CompilDonnées[[#This Row],[CultureDuration_days]]/7,0)</f>
        <v>5</v>
      </c>
      <c r="J624">
        <v>1853</v>
      </c>
      <c r="K624" t="str">
        <f>_xlfn.CONCAT(WEEKNUM(CompilDonnées[[#This Row],[PlantationDate]]), " ", YEAR(CompilDonnées[[#This Row],[PlantationDate]]))</f>
        <v>2 2025</v>
      </c>
      <c r="L624" t="str">
        <f>CONCATENATE(MONTH(CompilDonnées[[#This Row],[PlantationDate]])," ", YEAR(CompilDonnées[[#This Row],[PlantationDate]]))</f>
        <v>1 2025</v>
      </c>
      <c r="M624" t="str">
        <f>CONCATENATE(MONTH(CompilDonnées[[#This Row],[HarvestingDate]])," ", YEAR(CompilDonnées[[#This Row],[HarvestingDate]]))</f>
        <v>2 2025</v>
      </c>
      <c r="N624">
        <f>_xlfn.NUMBERVALUE(CompilDonnées[[#This Row],[FarmID]]&amp;CompilDonnées[[#This Row],[ModuleNumber]]&amp;CompilDonnées[[#This Row],[PlantationDate]])</f>
        <v>20445664</v>
      </c>
      <c r="O624" t="str">
        <f>CompilDonnées[[#This Row],[FarmID]]&amp;CompilDonnées[[#This Row],[ModuleNumber]]</f>
        <v>204</v>
      </c>
      <c r="P624" t="str">
        <f>CompilDonnées[[#This Row],[Ref_Module]]&amp;CompilDonnées[[#This Row],[HarvestingDate]]</f>
        <v>20445698</v>
      </c>
    </row>
    <row r="625" spans="1:16">
      <c r="A625" s="5">
        <v>45664</v>
      </c>
      <c r="B625">
        <v>20</v>
      </c>
      <c r="C625" t="s">
        <v>53</v>
      </c>
      <c r="D625">
        <v>5</v>
      </c>
      <c r="E625">
        <v>100</v>
      </c>
      <c r="F625" t="s">
        <v>1</v>
      </c>
      <c r="G625" s="6">
        <v>45698</v>
      </c>
      <c r="H625">
        <v>34</v>
      </c>
      <c r="I625">
        <f>ROUND(CompilDonnées[[#This Row],[CultureDuration_days]]/7,0)</f>
        <v>5</v>
      </c>
      <c r="J625">
        <v>1813</v>
      </c>
      <c r="K625" t="str">
        <f>_xlfn.CONCAT(WEEKNUM(CompilDonnées[[#This Row],[PlantationDate]]), " ", YEAR(CompilDonnées[[#This Row],[PlantationDate]]))</f>
        <v>2 2025</v>
      </c>
      <c r="L625" t="str">
        <f>CONCATENATE(MONTH(CompilDonnées[[#This Row],[PlantationDate]])," ", YEAR(CompilDonnées[[#This Row],[PlantationDate]]))</f>
        <v>1 2025</v>
      </c>
      <c r="M625" t="str">
        <f>CONCATENATE(MONTH(CompilDonnées[[#This Row],[HarvestingDate]])," ", YEAR(CompilDonnées[[#This Row],[HarvestingDate]]))</f>
        <v>2 2025</v>
      </c>
      <c r="N625">
        <f>_xlfn.NUMBERVALUE(CompilDonnées[[#This Row],[FarmID]]&amp;CompilDonnées[[#This Row],[ModuleNumber]]&amp;CompilDonnées[[#This Row],[PlantationDate]])</f>
        <v>20545664</v>
      </c>
      <c r="O625" t="str">
        <f>CompilDonnées[[#This Row],[FarmID]]&amp;CompilDonnées[[#This Row],[ModuleNumber]]</f>
        <v>205</v>
      </c>
      <c r="P625" t="str">
        <f>CompilDonnées[[#This Row],[Ref_Module]]&amp;CompilDonnées[[#This Row],[HarvestingDate]]</f>
        <v>20545698</v>
      </c>
    </row>
    <row r="626" spans="1:16">
      <c r="A626" s="5">
        <v>45664</v>
      </c>
      <c r="B626">
        <v>9</v>
      </c>
      <c r="C626" t="s">
        <v>107</v>
      </c>
      <c r="D626">
        <v>2</v>
      </c>
      <c r="E626">
        <v>100</v>
      </c>
      <c r="F626" t="s">
        <v>1</v>
      </c>
      <c r="G626" s="6">
        <v>45698</v>
      </c>
      <c r="H626">
        <v>34</v>
      </c>
      <c r="I626">
        <f>ROUND(CompilDonnées[[#This Row],[CultureDuration_days]]/7,0)</f>
        <v>5</v>
      </c>
      <c r="J626">
        <v>2483</v>
      </c>
      <c r="K626" t="str">
        <f>_xlfn.CONCAT(WEEKNUM(CompilDonnées[[#This Row],[PlantationDate]]), " ", YEAR(CompilDonnées[[#This Row],[PlantationDate]]))</f>
        <v>2 2025</v>
      </c>
      <c r="L626" t="str">
        <f>CONCATENATE(MONTH(CompilDonnées[[#This Row],[PlantationDate]])," ", YEAR(CompilDonnées[[#This Row],[PlantationDate]]))</f>
        <v>1 2025</v>
      </c>
      <c r="M626" t="str">
        <f>CONCATENATE(MONTH(CompilDonnées[[#This Row],[HarvestingDate]])," ", YEAR(CompilDonnées[[#This Row],[HarvestingDate]]))</f>
        <v>2 2025</v>
      </c>
      <c r="N626">
        <f>_xlfn.NUMBERVALUE(CompilDonnées[[#This Row],[FarmID]]&amp;CompilDonnées[[#This Row],[ModuleNumber]]&amp;CompilDonnées[[#This Row],[PlantationDate]])</f>
        <v>9245664</v>
      </c>
      <c r="O626" t="str">
        <f>CompilDonnées[[#This Row],[FarmID]]&amp;CompilDonnées[[#This Row],[ModuleNumber]]</f>
        <v>92</v>
      </c>
      <c r="P626" t="str">
        <f>CompilDonnées[[#This Row],[Ref_Module]]&amp;CompilDonnées[[#This Row],[HarvestingDate]]</f>
        <v>9245698</v>
      </c>
    </row>
    <row r="627" spans="1:16">
      <c r="A627" s="5">
        <v>45664</v>
      </c>
      <c r="B627">
        <v>2</v>
      </c>
      <c r="C627" t="s">
        <v>119</v>
      </c>
      <c r="D627">
        <v>1</v>
      </c>
      <c r="E627">
        <v>100</v>
      </c>
      <c r="F627" t="s">
        <v>1</v>
      </c>
      <c r="G627" s="6">
        <v>45698</v>
      </c>
      <c r="H627">
        <v>34</v>
      </c>
      <c r="I627">
        <f>ROUND(CompilDonnées[[#This Row],[CultureDuration_days]]/7,0)</f>
        <v>5</v>
      </c>
      <c r="J627">
        <v>1836</v>
      </c>
      <c r="K627" t="str">
        <f>_xlfn.CONCAT(WEEKNUM(CompilDonnées[[#This Row],[PlantationDate]]), " ", YEAR(CompilDonnées[[#This Row],[PlantationDate]]))</f>
        <v>2 2025</v>
      </c>
      <c r="L627" t="str">
        <f>CONCATENATE(MONTH(CompilDonnées[[#This Row],[PlantationDate]])," ", YEAR(CompilDonnées[[#This Row],[PlantationDate]]))</f>
        <v>1 2025</v>
      </c>
      <c r="M627" t="str">
        <f>CONCATENATE(MONTH(CompilDonnées[[#This Row],[HarvestingDate]])," ", YEAR(CompilDonnées[[#This Row],[HarvestingDate]]))</f>
        <v>2 2025</v>
      </c>
      <c r="N627">
        <f>_xlfn.NUMBERVALUE(CompilDonnées[[#This Row],[FarmID]]&amp;CompilDonnées[[#This Row],[ModuleNumber]]&amp;CompilDonnées[[#This Row],[PlantationDate]])</f>
        <v>2145664</v>
      </c>
      <c r="O627" t="str">
        <f>CompilDonnées[[#This Row],[FarmID]]&amp;CompilDonnées[[#This Row],[ModuleNumber]]</f>
        <v>21</v>
      </c>
      <c r="P627" t="str">
        <f>CompilDonnées[[#This Row],[Ref_Module]]&amp;CompilDonnées[[#This Row],[HarvestingDate]]</f>
        <v>2145698</v>
      </c>
    </row>
    <row r="628" spans="1:16">
      <c r="A628" s="5">
        <v>45664</v>
      </c>
      <c r="B628">
        <v>7</v>
      </c>
      <c r="C628" t="s">
        <v>50</v>
      </c>
      <c r="D628">
        <v>1</v>
      </c>
      <c r="E628">
        <v>100</v>
      </c>
      <c r="F628" t="s">
        <v>1</v>
      </c>
      <c r="G628" s="6">
        <v>45705</v>
      </c>
      <c r="H628">
        <v>41</v>
      </c>
      <c r="I628">
        <f>ROUND(CompilDonnées[[#This Row],[CultureDuration_days]]/7,0)</f>
        <v>6</v>
      </c>
      <c r="J628">
        <v>2817</v>
      </c>
      <c r="K628" t="str">
        <f>_xlfn.CONCAT(WEEKNUM(CompilDonnées[[#This Row],[PlantationDate]]), " ", YEAR(CompilDonnées[[#This Row],[PlantationDate]]))</f>
        <v>2 2025</v>
      </c>
      <c r="L628" t="str">
        <f>CONCATENATE(MONTH(CompilDonnées[[#This Row],[PlantationDate]])," ", YEAR(CompilDonnées[[#This Row],[PlantationDate]]))</f>
        <v>1 2025</v>
      </c>
      <c r="M628" t="str">
        <f>CONCATENATE(MONTH(CompilDonnées[[#This Row],[HarvestingDate]])," ", YEAR(CompilDonnées[[#This Row],[HarvestingDate]]))</f>
        <v>2 2025</v>
      </c>
      <c r="N628">
        <f>_xlfn.NUMBERVALUE(CompilDonnées[[#This Row],[FarmID]]&amp;CompilDonnées[[#This Row],[ModuleNumber]]&amp;CompilDonnées[[#This Row],[PlantationDate]])</f>
        <v>7145664</v>
      </c>
      <c r="O628" t="str">
        <f>CompilDonnées[[#This Row],[FarmID]]&amp;CompilDonnées[[#This Row],[ModuleNumber]]</f>
        <v>71</v>
      </c>
      <c r="P628" t="str">
        <f>CompilDonnées[[#This Row],[Ref_Module]]&amp;CompilDonnées[[#This Row],[HarvestingDate]]</f>
        <v>7145705</v>
      </c>
    </row>
    <row r="629" spans="1:16">
      <c r="A629" s="5">
        <v>45664</v>
      </c>
      <c r="B629">
        <v>13</v>
      </c>
      <c r="C629" t="s">
        <v>114</v>
      </c>
      <c r="D629">
        <v>4</v>
      </c>
      <c r="E629">
        <v>100</v>
      </c>
      <c r="F629" t="s">
        <v>1</v>
      </c>
      <c r="G629" s="6">
        <v>45698</v>
      </c>
      <c r="H629">
        <v>34</v>
      </c>
      <c r="I629">
        <f>ROUND(CompilDonnées[[#This Row],[CultureDuration_days]]/7,0)</f>
        <v>5</v>
      </c>
      <c r="J629">
        <v>2287</v>
      </c>
      <c r="K629" t="str">
        <f>_xlfn.CONCAT(WEEKNUM(CompilDonnées[[#This Row],[PlantationDate]]), " ", YEAR(CompilDonnées[[#This Row],[PlantationDate]]))</f>
        <v>2 2025</v>
      </c>
      <c r="L629" t="str">
        <f>CONCATENATE(MONTH(CompilDonnées[[#This Row],[PlantationDate]])," ", YEAR(CompilDonnées[[#This Row],[PlantationDate]]))</f>
        <v>1 2025</v>
      </c>
      <c r="M629" t="str">
        <f>CONCATENATE(MONTH(CompilDonnées[[#This Row],[HarvestingDate]])," ", YEAR(CompilDonnées[[#This Row],[HarvestingDate]]))</f>
        <v>2 2025</v>
      </c>
      <c r="N629">
        <f>_xlfn.NUMBERVALUE(CompilDonnées[[#This Row],[FarmID]]&amp;CompilDonnées[[#This Row],[ModuleNumber]]&amp;CompilDonnées[[#This Row],[PlantationDate]])</f>
        <v>13445664</v>
      </c>
      <c r="O629" t="str">
        <f>CompilDonnées[[#This Row],[FarmID]]&amp;CompilDonnées[[#This Row],[ModuleNumber]]</f>
        <v>134</v>
      </c>
      <c r="P629" t="str">
        <f>CompilDonnées[[#This Row],[Ref_Module]]&amp;CompilDonnées[[#This Row],[HarvestingDate]]</f>
        <v>13445698</v>
      </c>
    </row>
    <row r="630" spans="1:16">
      <c r="A630" s="5">
        <v>45664</v>
      </c>
      <c r="B630">
        <v>13</v>
      </c>
      <c r="C630" t="s">
        <v>114</v>
      </c>
      <c r="D630">
        <v>5</v>
      </c>
      <c r="E630">
        <v>100</v>
      </c>
      <c r="F630" t="s">
        <v>1</v>
      </c>
      <c r="G630" s="6">
        <v>45698</v>
      </c>
      <c r="H630">
        <v>34</v>
      </c>
      <c r="I630">
        <f>ROUND(CompilDonnées[[#This Row],[CultureDuration_days]]/7,0)</f>
        <v>5</v>
      </c>
      <c r="J630">
        <v>2503</v>
      </c>
      <c r="K630" t="str">
        <f>_xlfn.CONCAT(WEEKNUM(CompilDonnées[[#This Row],[PlantationDate]]), " ", YEAR(CompilDonnées[[#This Row],[PlantationDate]]))</f>
        <v>2 2025</v>
      </c>
      <c r="L630" t="str">
        <f>CONCATENATE(MONTH(CompilDonnées[[#This Row],[PlantationDate]])," ", YEAR(CompilDonnées[[#This Row],[PlantationDate]]))</f>
        <v>1 2025</v>
      </c>
      <c r="M630" t="str">
        <f>CONCATENATE(MONTH(CompilDonnées[[#This Row],[HarvestingDate]])," ", YEAR(CompilDonnées[[#This Row],[HarvestingDate]]))</f>
        <v>2 2025</v>
      </c>
      <c r="N630">
        <f>_xlfn.NUMBERVALUE(CompilDonnées[[#This Row],[FarmID]]&amp;CompilDonnées[[#This Row],[ModuleNumber]]&amp;CompilDonnées[[#This Row],[PlantationDate]])</f>
        <v>13545664</v>
      </c>
      <c r="O630" t="str">
        <f>CompilDonnées[[#This Row],[FarmID]]&amp;CompilDonnées[[#This Row],[ModuleNumber]]</f>
        <v>135</v>
      </c>
      <c r="P630" t="str">
        <f>CompilDonnées[[#This Row],[Ref_Module]]&amp;CompilDonnées[[#This Row],[HarvestingDate]]</f>
        <v>13545698</v>
      </c>
    </row>
    <row r="631" spans="1:16">
      <c r="A631" s="5">
        <v>45664</v>
      </c>
      <c r="B631">
        <v>6</v>
      </c>
      <c r="C631" t="s">
        <v>24</v>
      </c>
      <c r="D631">
        <v>4</v>
      </c>
      <c r="E631">
        <v>100</v>
      </c>
      <c r="F631" t="s">
        <v>1</v>
      </c>
      <c r="G631" s="6">
        <v>45705</v>
      </c>
      <c r="H631">
        <v>41</v>
      </c>
      <c r="I631">
        <f>ROUND(CompilDonnées[[#This Row],[CultureDuration_days]]/7,0)</f>
        <v>6</v>
      </c>
      <c r="J631">
        <v>2727</v>
      </c>
      <c r="K631" t="str">
        <f>_xlfn.CONCAT(WEEKNUM(CompilDonnées[[#This Row],[PlantationDate]]), " ", YEAR(CompilDonnées[[#This Row],[PlantationDate]]))</f>
        <v>2 2025</v>
      </c>
      <c r="L631" t="str">
        <f>CONCATENATE(MONTH(CompilDonnées[[#This Row],[PlantationDate]])," ", YEAR(CompilDonnées[[#This Row],[PlantationDate]]))</f>
        <v>1 2025</v>
      </c>
      <c r="M631" t="str">
        <f>CONCATENATE(MONTH(CompilDonnées[[#This Row],[HarvestingDate]])," ", YEAR(CompilDonnées[[#This Row],[HarvestingDate]]))</f>
        <v>2 2025</v>
      </c>
      <c r="N631">
        <f>_xlfn.NUMBERVALUE(CompilDonnées[[#This Row],[FarmID]]&amp;CompilDonnées[[#This Row],[ModuleNumber]]&amp;CompilDonnées[[#This Row],[PlantationDate]])</f>
        <v>6445664</v>
      </c>
      <c r="O631" t="str">
        <f>CompilDonnées[[#This Row],[FarmID]]&amp;CompilDonnées[[#This Row],[ModuleNumber]]</f>
        <v>64</v>
      </c>
      <c r="P631" t="str">
        <f>CompilDonnées[[#This Row],[Ref_Module]]&amp;CompilDonnées[[#This Row],[HarvestingDate]]</f>
        <v>6445705</v>
      </c>
    </row>
    <row r="632" spans="1:16">
      <c r="A632" s="5">
        <v>45664</v>
      </c>
      <c r="B632">
        <v>5</v>
      </c>
      <c r="C632" t="s">
        <v>32</v>
      </c>
      <c r="D632">
        <v>3</v>
      </c>
      <c r="E632">
        <v>100</v>
      </c>
      <c r="F632" t="s">
        <v>1</v>
      </c>
      <c r="G632" s="6">
        <v>45705</v>
      </c>
      <c r="H632">
        <v>41</v>
      </c>
      <c r="I632">
        <f>ROUND(CompilDonnées[[#This Row],[CultureDuration_days]]/7,0)</f>
        <v>6</v>
      </c>
      <c r="J632">
        <v>2652</v>
      </c>
      <c r="K632" t="str">
        <f>_xlfn.CONCAT(WEEKNUM(CompilDonnées[[#This Row],[PlantationDate]]), " ", YEAR(CompilDonnées[[#This Row],[PlantationDate]]))</f>
        <v>2 2025</v>
      </c>
      <c r="L632" t="str">
        <f>CONCATENATE(MONTH(CompilDonnées[[#This Row],[PlantationDate]])," ", YEAR(CompilDonnées[[#This Row],[PlantationDate]]))</f>
        <v>1 2025</v>
      </c>
      <c r="M632" t="str">
        <f>CONCATENATE(MONTH(CompilDonnées[[#This Row],[HarvestingDate]])," ", YEAR(CompilDonnées[[#This Row],[HarvestingDate]]))</f>
        <v>2 2025</v>
      </c>
      <c r="N632">
        <f>_xlfn.NUMBERVALUE(CompilDonnées[[#This Row],[FarmID]]&amp;CompilDonnées[[#This Row],[ModuleNumber]]&amp;CompilDonnées[[#This Row],[PlantationDate]])</f>
        <v>5345664</v>
      </c>
      <c r="O632" t="str">
        <f>CompilDonnées[[#This Row],[FarmID]]&amp;CompilDonnées[[#This Row],[ModuleNumber]]</f>
        <v>53</v>
      </c>
      <c r="P632" t="str">
        <f>CompilDonnées[[#This Row],[Ref_Module]]&amp;CompilDonnées[[#This Row],[HarvestingDate]]</f>
        <v>5345705</v>
      </c>
    </row>
    <row r="633" spans="1:16">
      <c r="A633" s="5">
        <v>45664</v>
      </c>
      <c r="B633">
        <v>4</v>
      </c>
      <c r="C633" t="s">
        <v>74</v>
      </c>
      <c r="D633">
        <v>5</v>
      </c>
      <c r="E633">
        <v>100</v>
      </c>
      <c r="F633" t="s">
        <v>1</v>
      </c>
      <c r="G633" s="6">
        <v>45705</v>
      </c>
      <c r="H633">
        <v>41</v>
      </c>
      <c r="I633">
        <f>ROUND(CompilDonnées[[#This Row],[CultureDuration_days]]/7,0)</f>
        <v>6</v>
      </c>
      <c r="J633">
        <v>2307</v>
      </c>
      <c r="K633" t="str">
        <f>_xlfn.CONCAT(WEEKNUM(CompilDonnées[[#This Row],[PlantationDate]]), " ", YEAR(CompilDonnées[[#This Row],[PlantationDate]]))</f>
        <v>2 2025</v>
      </c>
      <c r="L633" t="str">
        <f>CONCATENATE(MONTH(CompilDonnées[[#This Row],[PlantationDate]])," ", YEAR(CompilDonnées[[#This Row],[PlantationDate]]))</f>
        <v>1 2025</v>
      </c>
      <c r="M633" t="str">
        <f>CONCATENATE(MONTH(CompilDonnées[[#This Row],[HarvestingDate]])," ", YEAR(CompilDonnées[[#This Row],[HarvestingDate]]))</f>
        <v>2 2025</v>
      </c>
      <c r="N633">
        <f>_xlfn.NUMBERVALUE(CompilDonnées[[#This Row],[FarmID]]&amp;CompilDonnées[[#This Row],[ModuleNumber]]&amp;CompilDonnées[[#This Row],[PlantationDate]])</f>
        <v>4545664</v>
      </c>
      <c r="O633" t="str">
        <f>CompilDonnées[[#This Row],[FarmID]]&amp;CompilDonnées[[#This Row],[ModuleNumber]]</f>
        <v>45</v>
      </c>
      <c r="P633" t="str">
        <f>CompilDonnées[[#This Row],[Ref_Module]]&amp;CompilDonnées[[#This Row],[HarvestingDate]]</f>
        <v>4545705</v>
      </c>
    </row>
    <row r="634" spans="1:16">
      <c r="A634" s="5">
        <v>45664</v>
      </c>
      <c r="B634">
        <v>3</v>
      </c>
      <c r="C634" t="s">
        <v>116</v>
      </c>
      <c r="D634">
        <v>5</v>
      </c>
      <c r="E634">
        <v>100</v>
      </c>
      <c r="F634" t="s">
        <v>1</v>
      </c>
      <c r="G634" s="6">
        <v>45705</v>
      </c>
      <c r="H634">
        <v>41</v>
      </c>
      <c r="I634">
        <f>ROUND(CompilDonnées[[#This Row],[CultureDuration_days]]/7,0)</f>
        <v>6</v>
      </c>
      <c r="J634">
        <v>2481</v>
      </c>
      <c r="K634" t="str">
        <f>_xlfn.CONCAT(WEEKNUM(CompilDonnées[[#This Row],[PlantationDate]]), " ", YEAR(CompilDonnées[[#This Row],[PlantationDate]]))</f>
        <v>2 2025</v>
      </c>
      <c r="L634" t="str">
        <f>CONCATENATE(MONTH(CompilDonnées[[#This Row],[PlantationDate]])," ", YEAR(CompilDonnées[[#This Row],[PlantationDate]]))</f>
        <v>1 2025</v>
      </c>
      <c r="M634" t="str">
        <f>CONCATENATE(MONTH(CompilDonnées[[#This Row],[HarvestingDate]])," ", YEAR(CompilDonnées[[#This Row],[HarvestingDate]]))</f>
        <v>2 2025</v>
      </c>
      <c r="N634">
        <f>_xlfn.NUMBERVALUE(CompilDonnées[[#This Row],[FarmID]]&amp;CompilDonnées[[#This Row],[ModuleNumber]]&amp;CompilDonnées[[#This Row],[PlantationDate]])</f>
        <v>3545664</v>
      </c>
      <c r="O634" t="str">
        <f>CompilDonnées[[#This Row],[FarmID]]&amp;CompilDonnées[[#This Row],[ModuleNumber]]</f>
        <v>35</v>
      </c>
      <c r="P634" t="str">
        <f>CompilDonnées[[#This Row],[Ref_Module]]&amp;CompilDonnées[[#This Row],[HarvestingDate]]</f>
        <v>3545705</v>
      </c>
    </row>
    <row r="635" spans="1:16">
      <c r="A635" s="5">
        <v>45664</v>
      </c>
      <c r="B635">
        <v>18</v>
      </c>
      <c r="C635" t="s">
        <v>33</v>
      </c>
      <c r="D635">
        <v>6</v>
      </c>
      <c r="E635">
        <v>100</v>
      </c>
      <c r="F635" t="s">
        <v>1</v>
      </c>
      <c r="G635" s="6">
        <v>45698</v>
      </c>
      <c r="H635">
        <v>34</v>
      </c>
      <c r="I635">
        <f>ROUND(CompilDonnées[[#This Row],[CultureDuration_days]]/7,0)</f>
        <v>5</v>
      </c>
      <c r="J635">
        <v>2592</v>
      </c>
      <c r="K635" t="str">
        <f>_xlfn.CONCAT(WEEKNUM(CompilDonnées[[#This Row],[PlantationDate]]), " ", YEAR(CompilDonnées[[#This Row],[PlantationDate]]))</f>
        <v>2 2025</v>
      </c>
      <c r="L635" t="str">
        <f>CONCATENATE(MONTH(CompilDonnées[[#This Row],[PlantationDate]])," ", YEAR(CompilDonnées[[#This Row],[PlantationDate]]))</f>
        <v>1 2025</v>
      </c>
      <c r="M635" t="str">
        <f>CONCATENATE(MONTH(CompilDonnées[[#This Row],[HarvestingDate]])," ", YEAR(CompilDonnées[[#This Row],[HarvestingDate]]))</f>
        <v>2 2025</v>
      </c>
      <c r="N635">
        <f>_xlfn.NUMBERVALUE(CompilDonnées[[#This Row],[FarmID]]&amp;CompilDonnées[[#This Row],[ModuleNumber]]&amp;CompilDonnées[[#This Row],[PlantationDate]])</f>
        <v>18645664</v>
      </c>
      <c r="O635" t="str">
        <f>CompilDonnées[[#This Row],[FarmID]]&amp;CompilDonnées[[#This Row],[ModuleNumber]]</f>
        <v>186</v>
      </c>
      <c r="P635" t="str">
        <f>CompilDonnées[[#This Row],[Ref_Module]]&amp;CompilDonnées[[#This Row],[HarvestingDate]]</f>
        <v>18645698</v>
      </c>
    </row>
    <row r="636" spans="1:16">
      <c r="A636" s="5">
        <v>45664</v>
      </c>
      <c r="B636">
        <v>17</v>
      </c>
      <c r="C636" t="s">
        <v>80</v>
      </c>
      <c r="D636">
        <v>4</v>
      </c>
      <c r="E636">
        <v>100</v>
      </c>
      <c r="F636" t="s">
        <v>1</v>
      </c>
      <c r="G636" s="6">
        <v>45698</v>
      </c>
      <c r="H636">
        <v>34</v>
      </c>
      <c r="I636">
        <f>ROUND(CompilDonnées[[#This Row],[CultureDuration_days]]/7,0)</f>
        <v>5</v>
      </c>
      <c r="J636">
        <v>2164</v>
      </c>
      <c r="K636" t="str">
        <f>_xlfn.CONCAT(WEEKNUM(CompilDonnées[[#This Row],[PlantationDate]]), " ", YEAR(CompilDonnées[[#This Row],[PlantationDate]]))</f>
        <v>2 2025</v>
      </c>
      <c r="L636" t="str">
        <f>CONCATENATE(MONTH(CompilDonnées[[#This Row],[PlantationDate]])," ", YEAR(CompilDonnées[[#This Row],[PlantationDate]]))</f>
        <v>1 2025</v>
      </c>
      <c r="M636" t="str">
        <f>CONCATENATE(MONTH(CompilDonnées[[#This Row],[HarvestingDate]])," ", YEAR(CompilDonnées[[#This Row],[HarvestingDate]]))</f>
        <v>2 2025</v>
      </c>
      <c r="N636">
        <f>_xlfn.NUMBERVALUE(CompilDonnées[[#This Row],[FarmID]]&amp;CompilDonnées[[#This Row],[ModuleNumber]]&amp;CompilDonnées[[#This Row],[PlantationDate]])</f>
        <v>17445664</v>
      </c>
      <c r="O636" t="str">
        <f>CompilDonnées[[#This Row],[FarmID]]&amp;CompilDonnées[[#This Row],[ModuleNumber]]</f>
        <v>174</v>
      </c>
      <c r="P636" t="str">
        <f>CompilDonnées[[#This Row],[Ref_Module]]&amp;CompilDonnées[[#This Row],[HarvestingDate]]</f>
        <v>17445698</v>
      </c>
    </row>
    <row r="637" spans="1:16">
      <c r="A637" s="5">
        <v>45664</v>
      </c>
      <c r="B637">
        <v>16</v>
      </c>
      <c r="C637" t="s">
        <v>112</v>
      </c>
      <c r="D637">
        <v>6</v>
      </c>
      <c r="E637">
        <v>100</v>
      </c>
      <c r="F637" t="s">
        <v>1</v>
      </c>
      <c r="G637" s="6">
        <v>45705</v>
      </c>
      <c r="H637">
        <v>41</v>
      </c>
      <c r="I637">
        <f>ROUND(CompilDonnées[[#This Row],[CultureDuration_days]]/7,0)</f>
        <v>6</v>
      </c>
      <c r="J637">
        <v>2283</v>
      </c>
      <c r="K637" t="str">
        <f>_xlfn.CONCAT(WEEKNUM(CompilDonnées[[#This Row],[PlantationDate]]), " ", YEAR(CompilDonnées[[#This Row],[PlantationDate]]))</f>
        <v>2 2025</v>
      </c>
      <c r="L637" t="str">
        <f>CONCATENATE(MONTH(CompilDonnées[[#This Row],[PlantationDate]])," ", YEAR(CompilDonnées[[#This Row],[PlantationDate]]))</f>
        <v>1 2025</v>
      </c>
      <c r="M637" t="str">
        <f>CONCATENATE(MONTH(CompilDonnées[[#This Row],[HarvestingDate]])," ", YEAR(CompilDonnées[[#This Row],[HarvestingDate]]))</f>
        <v>2 2025</v>
      </c>
      <c r="N637">
        <f>_xlfn.NUMBERVALUE(CompilDonnées[[#This Row],[FarmID]]&amp;CompilDonnées[[#This Row],[ModuleNumber]]&amp;CompilDonnées[[#This Row],[PlantationDate]])</f>
        <v>16645664</v>
      </c>
      <c r="O637" t="str">
        <f>CompilDonnées[[#This Row],[FarmID]]&amp;CompilDonnées[[#This Row],[ModuleNumber]]</f>
        <v>166</v>
      </c>
      <c r="P637" t="str">
        <f>CompilDonnées[[#This Row],[Ref_Module]]&amp;CompilDonnées[[#This Row],[HarvestingDate]]</f>
        <v>16645705</v>
      </c>
    </row>
    <row r="638" spans="1:16">
      <c r="A638" s="5">
        <v>45664</v>
      </c>
      <c r="B638">
        <v>15</v>
      </c>
      <c r="C638" t="s">
        <v>5</v>
      </c>
      <c r="D638">
        <v>6</v>
      </c>
      <c r="E638">
        <v>100</v>
      </c>
      <c r="F638" t="s">
        <v>1</v>
      </c>
      <c r="G638" s="6">
        <v>45705</v>
      </c>
      <c r="H638">
        <v>41</v>
      </c>
      <c r="I638">
        <f>ROUND(CompilDonnées[[#This Row],[CultureDuration_days]]/7,0)</f>
        <v>6</v>
      </c>
      <c r="J638">
        <v>2736</v>
      </c>
      <c r="K638" t="str">
        <f>_xlfn.CONCAT(WEEKNUM(CompilDonnées[[#This Row],[PlantationDate]]), " ", YEAR(CompilDonnées[[#This Row],[PlantationDate]]))</f>
        <v>2 2025</v>
      </c>
      <c r="L638" t="str">
        <f>CONCATENATE(MONTH(CompilDonnées[[#This Row],[PlantationDate]])," ", YEAR(CompilDonnées[[#This Row],[PlantationDate]]))</f>
        <v>1 2025</v>
      </c>
      <c r="M638" t="str">
        <f>CONCATENATE(MONTH(CompilDonnées[[#This Row],[HarvestingDate]])," ", YEAR(CompilDonnées[[#This Row],[HarvestingDate]]))</f>
        <v>2 2025</v>
      </c>
      <c r="N638">
        <f>_xlfn.NUMBERVALUE(CompilDonnées[[#This Row],[FarmID]]&amp;CompilDonnées[[#This Row],[ModuleNumber]]&amp;CompilDonnées[[#This Row],[PlantationDate]])</f>
        <v>15645664</v>
      </c>
      <c r="O638" t="str">
        <f>CompilDonnées[[#This Row],[FarmID]]&amp;CompilDonnées[[#This Row],[ModuleNumber]]</f>
        <v>156</v>
      </c>
      <c r="P638" t="str">
        <f>CompilDonnées[[#This Row],[Ref_Module]]&amp;CompilDonnées[[#This Row],[HarvestingDate]]</f>
        <v>15645705</v>
      </c>
    </row>
    <row r="639" spans="1:16">
      <c r="A639" s="5">
        <v>45664</v>
      </c>
      <c r="B639">
        <v>24</v>
      </c>
      <c r="C639" t="s">
        <v>31</v>
      </c>
      <c r="D639">
        <v>1</v>
      </c>
      <c r="E639">
        <v>100</v>
      </c>
      <c r="F639" t="s">
        <v>1</v>
      </c>
      <c r="G639" s="6">
        <v>45698</v>
      </c>
      <c r="H639">
        <v>34</v>
      </c>
      <c r="I639">
        <f>ROUND(CompilDonnées[[#This Row],[CultureDuration_days]]/7,0)</f>
        <v>5</v>
      </c>
      <c r="J639">
        <v>3435</v>
      </c>
      <c r="K639" t="str">
        <f>_xlfn.CONCAT(WEEKNUM(CompilDonnées[[#This Row],[PlantationDate]]), " ", YEAR(CompilDonnées[[#This Row],[PlantationDate]]))</f>
        <v>2 2025</v>
      </c>
      <c r="L639" t="str">
        <f>CONCATENATE(MONTH(CompilDonnées[[#This Row],[PlantationDate]])," ", YEAR(CompilDonnées[[#This Row],[PlantationDate]]))</f>
        <v>1 2025</v>
      </c>
      <c r="M639" t="str">
        <f>CONCATENATE(MONTH(CompilDonnées[[#This Row],[HarvestingDate]])," ", YEAR(CompilDonnées[[#This Row],[HarvestingDate]]))</f>
        <v>2 2025</v>
      </c>
      <c r="N639">
        <f>_xlfn.NUMBERVALUE(CompilDonnées[[#This Row],[FarmID]]&amp;CompilDonnées[[#This Row],[ModuleNumber]]&amp;CompilDonnées[[#This Row],[PlantationDate]])</f>
        <v>24145664</v>
      </c>
      <c r="O639" t="str">
        <f>CompilDonnées[[#This Row],[FarmID]]&amp;CompilDonnées[[#This Row],[ModuleNumber]]</f>
        <v>241</v>
      </c>
      <c r="P639" t="str">
        <f>CompilDonnées[[#This Row],[Ref_Module]]&amp;CompilDonnées[[#This Row],[HarvestingDate]]</f>
        <v>24145698</v>
      </c>
    </row>
    <row r="640" spans="1:16">
      <c r="A640" s="5">
        <v>45664</v>
      </c>
      <c r="B640">
        <v>24</v>
      </c>
      <c r="C640" t="s">
        <v>31</v>
      </c>
      <c r="D640">
        <v>2</v>
      </c>
      <c r="E640">
        <v>100</v>
      </c>
      <c r="F640" t="s">
        <v>1</v>
      </c>
      <c r="G640" s="6">
        <v>45698</v>
      </c>
      <c r="H640">
        <v>34</v>
      </c>
      <c r="I640">
        <f>ROUND(CompilDonnées[[#This Row],[CultureDuration_days]]/7,0)</f>
        <v>5</v>
      </c>
      <c r="J640">
        <v>3436</v>
      </c>
      <c r="K640" t="str">
        <f>_xlfn.CONCAT(WEEKNUM(CompilDonnées[[#This Row],[PlantationDate]]), " ", YEAR(CompilDonnées[[#This Row],[PlantationDate]]))</f>
        <v>2 2025</v>
      </c>
      <c r="L640" t="str">
        <f>CONCATENATE(MONTH(CompilDonnées[[#This Row],[PlantationDate]])," ", YEAR(CompilDonnées[[#This Row],[PlantationDate]]))</f>
        <v>1 2025</v>
      </c>
      <c r="M640" t="str">
        <f>CONCATENATE(MONTH(CompilDonnées[[#This Row],[HarvestingDate]])," ", YEAR(CompilDonnées[[#This Row],[HarvestingDate]]))</f>
        <v>2 2025</v>
      </c>
      <c r="N640">
        <f>_xlfn.NUMBERVALUE(CompilDonnées[[#This Row],[FarmID]]&amp;CompilDonnées[[#This Row],[ModuleNumber]]&amp;CompilDonnées[[#This Row],[PlantationDate]])</f>
        <v>24245664</v>
      </c>
      <c r="O640" t="str">
        <f>CompilDonnées[[#This Row],[FarmID]]&amp;CompilDonnées[[#This Row],[ModuleNumber]]</f>
        <v>242</v>
      </c>
      <c r="P640" t="str">
        <f>CompilDonnées[[#This Row],[Ref_Module]]&amp;CompilDonnées[[#This Row],[HarvestingDate]]</f>
        <v>24245698</v>
      </c>
    </row>
    <row r="641" spans="1:16">
      <c r="A641" s="5">
        <v>45664</v>
      </c>
      <c r="B641">
        <v>23</v>
      </c>
      <c r="C641" t="s">
        <v>44</v>
      </c>
      <c r="D641">
        <v>1</v>
      </c>
      <c r="E641">
        <v>100</v>
      </c>
      <c r="F641" t="s">
        <v>1</v>
      </c>
      <c r="G641" s="6">
        <v>45698</v>
      </c>
      <c r="H641">
        <v>34</v>
      </c>
      <c r="I641">
        <f>ROUND(CompilDonnées[[#This Row],[CultureDuration_days]]/7,0)</f>
        <v>5</v>
      </c>
      <c r="J641">
        <v>2631</v>
      </c>
      <c r="K641" t="str">
        <f>_xlfn.CONCAT(WEEKNUM(CompilDonnées[[#This Row],[PlantationDate]]), " ", YEAR(CompilDonnées[[#This Row],[PlantationDate]]))</f>
        <v>2 2025</v>
      </c>
      <c r="L641" t="str">
        <f>CONCATENATE(MONTH(CompilDonnées[[#This Row],[PlantationDate]])," ", YEAR(CompilDonnées[[#This Row],[PlantationDate]]))</f>
        <v>1 2025</v>
      </c>
      <c r="M641" t="str">
        <f>CONCATENATE(MONTH(CompilDonnées[[#This Row],[HarvestingDate]])," ", YEAR(CompilDonnées[[#This Row],[HarvestingDate]]))</f>
        <v>2 2025</v>
      </c>
      <c r="N641">
        <f>_xlfn.NUMBERVALUE(CompilDonnées[[#This Row],[FarmID]]&amp;CompilDonnées[[#This Row],[ModuleNumber]]&amp;CompilDonnées[[#This Row],[PlantationDate]])</f>
        <v>23145664</v>
      </c>
      <c r="O641" t="str">
        <f>CompilDonnées[[#This Row],[FarmID]]&amp;CompilDonnées[[#This Row],[ModuleNumber]]</f>
        <v>231</v>
      </c>
      <c r="P641" t="str">
        <f>CompilDonnées[[#This Row],[Ref_Module]]&amp;CompilDonnées[[#This Row],[HarvestingDate]]</f>
        <v>23145698</v>
      </c>
    </row>
    <row r="642" spans="1:16">
      <c r="A642" s="5">
        <v>45664</v>
      </c>
      <c r="B642">
        <v>32</v>
      </c>
      <c r="C642" t="s">
        <v>25</v>
      </c>
      <c r="D642">
        <v>2</v>
      </c>
      <c r="E642">
        <v>100</v>
      </c>
      <c r="F642" t="s">
        <v>1</v>
      </c>
      <c r="G642" s="6">
        <v>45705</v>
      </c>
      <c r="H642">
        <v>41</v>
      </c>
      <c r="I642">
        <f>ROUND(CompilDonnées[[#This Row],[CultureDuration_days]]/7,0)</f>
        <v>6</v>
      </c>
      <c r="J642">
        <v>2280</v>
      </c>
      <c r="K642" t="str">
        <f>_xlfn.CONCAT(WEEKNUM(CompilDonnées[[#This Row],[PlantationDate]]), " ", YEAR(CompilDonnées[[#This Row],[PlantationDate]]))</f>
        <v>2 2025</v>
      </c>
      <c r="L642" t="str">
        <f>CONCATENATE(MONTH(CompilDonnées[[#This Row],[PlantationDate]])," ", YEAR(CompilDonnées[[#This Row],[PlantationDate]]))</f>
        <v>1 2025</v>
      </c>
      <c r="M642" t="str">
        <f>CONCATENATE(MONTH(CompilDonnées[[#This Row],[HarvestingDate]])," ", YEAR(CompilDonnées[[#This Row],[HarvestingDate]]))</f>
        <v>2 2025</v>
      </c>
      <c r="N642">
        <f>_xlfn.NUMBERVALUE(CompilDonnées[[#This Row],[FarmID]]&amp;CompilDonnées[[#This Row],[ModuleNumber]]&amp;CompilDonnées[[#This Row],[PlantationDate]])</f>
        <v>32245664</v>
      </c>
      <c r="O642" t="str">
        <f>CompilDonnées[[#This Row],[FarmID]]&amp;CompilDonnées[[#This Row],[ModuleNumber]]</f>
        <v>322</v>
      </c>
      <c r="P642" t="str">
        <f>CompilDonnées[[#This Row],[Ref_Module]]&amp;CompilDonnées[[#This Row],[HarvestingDate]]</f>
        <v>32245705</v>
      </c>
    </row>
    <row r="643" spans="1:16">
      <c r="A643" s="5">
        <v>45664</v>
      </c>
      <c r="B643">
        <v>32</v>
      </c>
      <c r="C643" t="s">
        <v>25</v>
      </c>
      <c r="D643">
        <v>3</v>
      </c>
      <c r="E643">
        <v>100</v>
      </c>
      <c r="F643" t="s">
        <v>1</v>
      </c>
      <c r="G643" s="6">
        <v>45705</v>
      </c>
      <c r="H643">
        <v>41</v>
      </c>
      <c r="I643">
        <f>ROUND(CompilDonnées[[#This Row],[CultureDuration_days]]/7,0)</f>
        <v>6</v>
      </c>
      <c r="J643">
        <v>2582</v>
      </c>
      <c r="K643" t="str">
        <f>_xlfn.CONCAT(WEEKNUM(CompilDonnées[[#This Row],[PlantationDate]]), " ", YEAR(CompilDonnées[[#This Row],[PlantationDate]]))</f>
        <v>2 2025</v>
      </c>
      <c r="L643" t="str">
        <f>CONCATENATE(MONTH(CompilDonnées[[#This Row],[PlantationDate]])," ", YEAR(CompilDonnées[[#This Row],[PlantationDate]]))</f>
        <v>1 2025</v>
      </c>
      <c r="M643" t="str">
        <f>CONCATENATE(MONTH(CompilDonnées[[#This Row],[HarvestingDate]])," ", YEAR(CompilDonnées[[#This Row],[HarvestingDate]]))</f>
        <v>2 2025</v>
      </c>
      <c r="N643">
        <f>_xlfn.NUMBERVALUE(CompilDonnées[[#This Row],[FarmID]]&amp;CompilDonnées[[#This Row],[ModuleNumber]]&amp;CompilDonnées[[#This Row],[PlantationDate]])</f>
        <v>32345664</v>
      </c>
      <c r="O643" t="str">
        <f>CompilDonnées[[#This Row],[FarmID]]&amp;CompilDonnées[[#This Row],[ModuleNumber]]</f>
        <v>323</v>
      </c>
      <c r="P643" t="str">
        <f>CompilDonnées[[#This Row],[Ref_Module]]&amp;CompilDonnées[[#This Row],[HarvestingDate]]</f>
        <v>32345705</v>
      </c>
    </row>
    <row r="644" spans="1:16">
      <c r="A644" s="5">
        <v>45664</v>
      </c>
      <c r="B644">
        <v>31</v>
      </c>
      <c r="C644" t="s">
        <v>62</v>
      </c>
      <c r="D644">
        <v>5</v>
      </c>
      <c r="E644">
        <v>100</v>
      </c>
      <c r="F644" t="s">
        <v>1</v>
      </c>
      <c r="G644" s="6">
        <v>45698</v>
      </c>
      <c r="H644">
        <v>34</v>
      </c>
      <c r="I644">
        <f>ROUND(CompilDonnées[[#This Row],[CultureDuration_days]]/7,0)</f>
        <v>5</v>
      </c>
      <c r="J644">
        <v>2645</v>
      </c>
      <c r="K644" t="str">
        <f>_xlfn.CONCAT(WEEKNUM(CompilDonnées[[#This Row],[PlantationDate]]), " ", YEAR(CompilDonnées[[#This Row],[PlantationDate]]))</f>
        <v>2 2025</v>
      </c>
      <c r="L644" t="str">
        <f>CONCATENATE(MONTH(CompilDonnées[[#This Row],[PlantationDate]])," ", YEAR(CompilDonnées[[#This Row],[PlantationDate]]))</f>
        <v>1 2025</v>
      </c>
      <c r="M644" t="str">
        <f>CONCATENATE(MONTH(CompilDonnées[[#This Row],[HarvestingDate]])," ", YEAR(CompilDonnées[[#This Row],[HarvestingDate]]))</f>
        <v>2 2025</v>
      </c>
      <c r="N644">
        <f>_xlfn.NUMBERVALUE(CompilDonnées[[#This Row],[FarmID]]&amp;CompilDonnées[[#This Row],[ModuleNumber]]&amp;CompilDonnées[[#This Row],[PlantationDate]])</f>
        <v>31545664</v>
      </c>
      <c r="O644" t="str">
        <f>CompilDonnées[[#This Row],[FarmID]]&amp;CompilDonnées[[#This Row],[ModuleNumber]]</f>
        <v>315</v>
      </c>
      <c r="P644" t="str">
        <f>CompilDonnées[[#This Row],[Ref_Module]]&amp;CompilDonnées[[#This Row],[HarvestingDate]]</f>
        <v>31545698</v>
      </c>
    </row>
    <row r="645" spans="1:16">
      <c r="A645" s="5">
        <v>45664</v>
      </c>
      <c r="B645">
        <v>31</v>
      </c>
      <c r="C645" t="s">
        <v>62</v>
      </c>
      <c r="D645">
        <v>6</v>
      </c>
      <c r="E645">
        <v>100</v>
      </c>
      <c r="F645" t="s">
        <v>1</v>
      </c>
      <c r="G645" s="6">
        <v>45698</v>
      </c>
      <c r="H645">
        <v>34</v>
      </c>
      <c r="I645">
        <f>ROUND(CompilDonnées[[#This Row],[CultureDuration_days]]/7,0)</f>
        <v>5</v>
      </c>
      <c r="J645">
        <v>2646</v>
      </c>
      <c r="K645" t="str">
        <f>_xlfn.CONCAT(WEEKNUM(CompilDonnées[[#This Row],[PlantationDate]]), " ", YEAR(CompilDonnées[[#This Row],[PlantationDate]]))</f>
        <v>2 2025</v>
      </c>
      <c r="L645" t="str">
        <f>CONCATENATE(MONTH(CompilDonnées[[#This Row],[PlantationDate]])," ", YEAR(CompilDonnées[[#This Row],[PlantationDate]]))</f>
        <v>1 2025</v>
      </c>
      <c r="M645" t="str">
        <f>CONCATENATE(MONTH(CompilDonnées[[#This Row],[HarvestingDate]])," ", YEAR(CompilDonnées[[#This Row],[HarvestingDate]]))</f>
        <v>2 2025</v>
      </c>
      <c r="N645">
        <f>_xlfn.NUMBERVALUE(CompilDonnées[[#This Row],[FarmID]]&amp;CompilDonnées[[#This Row],[ModuleNumber]]&amp;CompilDonnées[[#This Row],[PlantationDate]])</f>
        <v>31645664</v>
      </c>
      <c r="O645" t="str">
        <f>CompilDonnées[[#This Row],[FarmID]]&amp;CompilDonnées[[#This Row],[ModuleNumber]]</f>
        <v>316</v>
      </c>
      <c r="P645" t="str">
        <f>CompilDonnées[[#This Row],[Ref_Module]]&amp;CompilDonnées[[#This Row],[HarvestingDate]]</f>
        <v>31645698</v>
      </c>
    </row>
    <row r="646" spans="1:16">
      <c r="A646" s="5">
        <v>45664</v>
      </c>
      <c r="B646">
        <v>30</v>
      </c>
      <c r="C646" t="s">
        <v>4</v>
      </c>
      <c r="D646">
        <v>6</v>
      </c>
      <c r="E646">
        <v>100</v>
      </c>
      <c r="F646" t="s">
        <v>1</v>
      </c>
      <c r="G646" s="6">
        <v>45698</v>
      </c>
      <c r="H646">
        <v>34</v>
      </c>
      <c r="I646">
        <f>ROUND(CompilDonnées[[#This Row],[CultureDuration_days]]/7,0)</f>
        <v>5</v>
      </c>
      <c r="J646">
        <v>2819</v>
      </c>
      <c r="K646" t="str">
        <f>_xlfn.CONCAT(WEEKNUM(CompilDonnées[[#This Row],[PlantationDate]]), " ", YEAR(CompilDonnées[[#This Row],[PlantationDate]]))</f>
        <v>2 2025</v>
      </c>
      <c r="L646" t="str">
        <f>CONCATENATE(MONTH(CompilDonnées[[#This Row],[PlantationDate]])," ", YEAR(CompilDonnées[[#This Row],[PlantationDate]]))</f>
        <v>1 2025</v>
      </c>
      <c r="M646" t="str">
        <f>CONCATENATE(MONTH(CompilDonnées[[#This Row],[HarvestingDate]])," ", YEAR(CompilDonnées[[#This Row],[HarvestingDate]]))</f>
        <v>2 2025</v>
      </c>
      <c r="N646">
        <f>_xlfn.NUMBERVALUE(CompilDonnées[[#This Row],[FarmID]]&amp;CompilDonnées[[#This Row],[ModuleNumber]]&amp;CompilDonnées[[#This Row],[PlantationDate]])</f>
        <v>30645664</v>
      </c>
      <c r="O646" t="str">
        <f>CompilDonnées[[#This Row],[FarmID]]&amp;CompilDonnées[[#This Row],[ModuleNumber]]</f>
        <v>306</v>
      </c>
      <c r="P646" t="str">
        <f>CompilDonnées[[#This Row],[Ref_Module]]&amp;CompilDonnées[[#This Row],[HarvestingDate]]</f>
        <v>30645698</v>
      </c>
    </row>
    <row r="647" spans="1:16">
      <c r="A647" s="5">
        <v>45664</v>
      </c>
      <c r="B647">
        <v>29</v>
      </c>
      <c r="C647" t="s">
        <v>2</v>
      </c>
      <c r="D647">
        <v>6</v>
      </c>
      <c r="E647">
        <v>100</v>
      </c>
      <c r="F647" t="s">
        <v>1</v>
      </c>
      <c r="G647" s="6">
        <v>45705</v>
      </c>
      <c r="H647">
        <v>41</v>
      </c>
      <c r="I647">
        <f>ROUND(CompilDonnées[[#This Row],[CultureDuration_days]]/7,0)</f>
        <v>6</v>
      </c>
      <c r="J647">
        <v>2921</v>
      </c>
      <c r="K647" t="str">
        <f>_xlfn.CONCAT(WEEKNUM(CompilDonnées[[#This Row],[PlantationDate]]), " ", YEAR(CompilDonnées[[#This Row],[PlantationDate]]))</f>
        <v>2 2025</v>
      </c>
      <c r="L647" t="str">
        <f>CONCATENATE(MONTH(CompilDonnées[[#This Row],[PlantationDate]])," ", YEAR(CompilDonnées[[#This Row],[PlantationDate]]))</f>
        <v>1 2025</v>
      </c>
      <c r="M647" t="str">
        <f>CONCATENATE(MONTH(CompilDonnées[[#This Row],[HarvestingDate]])," ", YEAR(CompilDonnées[[#This Row],[HarvestingDate]]))</f>
        <v>2 2025</v>
      </c>
      <c r="N647">
        <f>_xlfn.NUMBERVALUE(CompilDonnées[[#This Row],[FarmID]]&amp;CompilDonnées[[#This Row],[ModuleNumber]]&amp;CompilDonnées[[#This Row],[PlantationDate]])</f>
        <v>29645664</v>
      </c>
      <c r="O647" t="str">
        <f>CompilDonnées[[#This Row],[FarmID]]&amp;CompilDonnées[[#This Row],[ModuleNumber]]</f>
        <v>296</v>
      </c>
      <c r="P647" t="str">
        <f>CompilDonnées[[#This Row],[Ref_Module]]&amp;CompilDonnées[[#This Row],[HarvestingDate]]</f>
        <v>29645705</v>
      </c>
    </row>
    <row r="648" spans="1:16">
      <c r="A648" s="5">
        <v>45664</v>
      </c>
      <c r="B648">
        <v>37</v>
      </c>
      <c r="C648" t="s">
        <v>26</v>
      </c>
      <c r="D648">
        <v>6</v>
      </c>
      <c r="E648">
        <v>100</v>
      </c>
      <c r="F648" t="s">
        <v>1</v>
      </c>
      <c r="G648" s="6">
        <v>45705</v>
      </c>
      <c r="H648">
        <v>41</v>
      </c>
      <c r="I648">
        <f>ROUND(CompilDonnées[[#This Row],[CultureDuration_days]]/7,0)</f>
        <v>6</v>
      </c>
      <c r="J648">
        <v>3091</v>
      </c>
      <c r="K648" t="str">
        <f>_xlfn.CONCAT(WEEKNUM(CompilDonnées[[#This Row],[PlantationDate]]), " ", YEAR(CompilDonnées[[#This Row],[PlantationDate]]))</f>
        <v>2 2025</v>
      </c>
      <c r="L648" t="str">
        <f>CONCATENATE(MONTH(CompilDonnées[[#This Row],[PlantationDate]])," ", YEAR(CompilDonnées[[#This Row],[PlantationDate]]))</f>
        <v>1 2025</v>
      </c>
      <c r="M648" t="str">
        <f>CONCATENATE(MONTH(CompilDonnées[[#This Row],[HarvestingDate]])," ", YEAR(CompilDonnées[[#This Row],[HarvestingDate]]))</f>
        <v>2 2025</v>
      </c>
      <c r="N648">
        <f>_xlfn.NUMBERVALUE(CompilDonnées[[#This Row],[FarmID]]&amp;CompilDonnées[[#This Row],[ModuleNumber]]&amp;CompilDonnées[[#This Row],[PlantationDate]])</f>
        <v>37645664</v>
      </c>
      <c r="O648" t="str">
        <f>CompilDonnées[[#This Row],[FarmID]]&amp;CompilDonnées[[#This Row],[ModuleNumber]]</f>
        <v>376</v>
      </c>
      <c r="P648" t="str">
        <f>CompilDonnées[[#This Row],[Ref_Module]]&amp;CompilDonnées[[#This Row],[HarvestingDate]]</f>
        <v>37645705</v>
      </c>
    </row>
    <row r="649" spans="1:16">
      <c r="A649" s="5">
        <v>45664</v>
      </c>
      <c r="B649">
        <v>36</v>
      </c>
      <c r="C649" t="s">
        <v>63</v>
      </c>
      <c r="D649">
        <v>2</v>
      </c>
      <c r="E649">
        <v>100</v>
      </c>
      <c r="F649" t="s">
        <v>1</v>
      </c>
      <c r="G649" s="6">
        <v>45705</v>
      </c>
      <c r="H649">
        <v>41</v>
      </c>
      <c r="I649">
        <f>ROUND(CompilDonnées[[#This Row],[CultureDuration_days]]/7,0)</f>
        <v>6</v>
      </c>
      <c r="J649">
        <v>2457</v>
      </c>
      <c r="K649" t="str">
        <f>_xlfn.CONCAT(WEEKNUM(CompilDonnées[[#This Row],[PlantationDate]]), " ", YEAR(CompilDonnées[[#This Row],[PlantationDate]]))</f>
        <v>2 2025</v>
      </c>
      <c r="L649" t="str">
        <f>CONCATENATE(MONTH(CompilDonnées[[#This Row],[PlantationDate]])," ", YEAR(CompilDonnées[[#This Row],[PlantationDate]]))</f>
        <v>1 2025</v>
      </c>
      <c r="M649" t="str">
        <f>CONCATENATE(MONTH(CompilDonnées[[#This Row],[HarvestingDate]])," ", YEAR(CompilDonnées[[#This Row],[HarvestingDate]]))</f>
        <v>2 2025</v>
      </c>
      <c r="N649">
        <f>_xlfn.NUMBERVALUE(CompilDonnées[[#This Row],[FarmID]]&amp;CompilDonnées[[#This Row],[ModuleNumber]]&amp;CompilDonnées[[#This Row],[PlantationDate]])</f>
        <v>36245664</v>
      </c>
      <c r="O649" t="str">
        <f>CompilDonnées[[#This Row],[FarmID]]&amp;CompilDonnées[[#This Row],[ModuleNumber]]</f>
        <v>362</v>
      </c>
      <c r="P649" t="str">
        <f>CompilDonnées[[#This Row],[Ref_Module]]&amp;CompilDonnées[[#This Row],[HarvestingDate]]</f>
        <v>36245705</v>
      </c>
    </row>
    <row r="650" spans="1:16">
      <c r="A650" s="5">
        <v>45664</v>
      </c>
      <c r="B650">
        <v>35</v>
      </c>
      <c r="C650" t="s">
        <v>69</v>
      </c>
      <c r="D650">
        <v>1</v>
      </c>
      <c r="E650">
        <v>100</v>
      </c>
      <c r="F650" t="s">
        <v>1</v>
      </c>
      <c r="G650" s="6">
        <v>45705</v>
      </c>
      <c r="H650">
        <v>41</v>
      </c>
      <c r="I650">
        <f>ROUND(CompilDonnées[[#This Row],[CultureDuration_days]]/7,0)</f>
        <v>6</v>
      </c>
      <c r="J650">
        <v>2159</v>
      </c>
      <c r="K650" t="str">
        <f>_xlfn.CONCAT(WEEKNUM(CompilDonnées[[#This Row],[PlantationDate]]), " ", YEAR(CompilDonnées[[#This Row],[PlantationDate]]))</f>
        <v>2 2025</v>
      </c>
      <c r="L650" t="str">
        <f>CONCATENATE(MONTH(CompilDonnées[[#This Row],[PlantationDate]])," ", YEAR(CompilDonnées[[#This Row],[PlantationDate]]))</f>
        <v>1 2025</v>
      </c>
      <c r="M650" t="str">
        <f>CONCATENATE(MONTH(CompilDonnées[[#This Row],[HarvestingDate]])," ", YEAR(CompilDonnées[[#This Row],[HarvestingDate]]))</f>
        <v>2 2025</v>
      </c>
      <c r="N650">
        <f>_xlfn.NUMBERVALUE(CompilDonnées[[#This Row],[FarmID]]&amp;CompilDonnées[[#This Row],[ModuleNumber]]&amp;CompilDonnées[[#This Row],[PlantationDate]])</f>
        <v>35145664</v>
      </c>
      <c r="O650" t="str">
        <f>CompilDonnées[[#This Row],[FarmID]]&amp;CompilDonnées[[#This Row],[ModuleNumber]]</f>
        <v>351</v>
      </c>
      <c r="P650" t="str">
        <f>CompilDonnées[[#This Row],[Ref_Module]]&amp;CompilDonnées[[#This Row],[HarvestingDate]]</f>
        <v>35145705</v>
      </c>
    </row>
    <row r="651" spans="1:16">
      <c r="A651" s="5">
        <v>45664</v>
      </c>
      <c r="B651">
        <v>94</v>
      </c>
      <c r="C651" t="s">
        <v>40</v>
      </c>
      <c r="D651">
        <v>6</v>
      </c>
      <c r="E651">
        <v>100</v>
      </c>
      <c r="F651" t="s">
        <v>1</v>
      </c>
      <c r="G651" s="6">
        <v>45700</v>
      </c>
      <c r="H651">
        <v>36</v>
      </c>
      <c r="I651">
        <f>ROUND(CompilDonnées[[#This Row],[CultureDuration_days]]/7,0)</f>
        <v>5</v>
      </c>
      <c r="J651">
        <v>3100</v>
      </c>
      <c r="K651" t="str">
        <f>_xlfn.CONCAT(WEEKNUM(CompilDonnées[[#This Row],[PlantationDate]]), " ", YEAR(CompilDonnées[[#This Row],[PlantationDate]]))</f>
        <v>2 2025</v>
      </c>
      <c r="L651" t="str">
        <f>CONCATENATE(MONTH(CompilDonnées[[#This Row],[PlantationDate]])," ", YEAR(CompilDonnées[[#This Row],[PlantationDate]]))</f>
        <v>1 2025</v>
      </c>
      <c r="M651" t="str">
        <f>CONCATENATE(MONTH(CompilDonnées[[#This Row],[HarvestingDate]])," ", YEAR(CompilDonnées[[#This Row],[HarvestingDate]]))</f>
        <v>2 2025</v>
      </c>
      <c r="N651">
        <f>_xlfn.NUMBERVALUE(CompilDonnées[[#This Row],[FarmID]]&amp;CompilDonnées[[#This Row],[ModuleNumber]]&amp;CompilDonnées[[#This Row],[PlantationDate]])</f>
        <v>94645664</v>
      </c>
      <c r="O651" t="str">
        <f>CompilDonnées[[#This Row],[FarmID]]&amp;CompilDonnées[[#This Row],[ModuleNumber]]</f>
        <v>946</v>
      </c>
      <c r="P651" t="str">
        <f>CompilDonnées[[#This Row],[Ref_Module]]&amp;CompilDonnées[[#This Row],[HarvestingDate]]</f>
        <v>94645700</v>
      </c>
    </row>
    <row r="652" spans="1:16">
      <c r="A652" s="5">
        <v>45665</v>
      </c>
      <c r="B652">
        <v>99</v>
      </c>
      <c r="C652" t="s">
        <v>117</v>
      </c>
      <c r="D652">
        <v>5</v>
      </c>
      <c r="E652">
        <v>100</v>
      </c>
      <c r="F652" t="s">
        <v>1</v>
      </c>
      <c r="G652" s="6">
        <v>45715</v>
      </c>
      <c r="H652">
        <v>50</v>
      </c>
      <c r="I652">
        <f>ROUND(CompilDonnées[[#This Row],[CultureDuration_days]]/7,0)</f>
        <v>7</v>
      </c>
      <c r="J652">
        <v>3305</v>
      </c>
      <c r="K652" t="str">
        <f>_xlfn.CONCAT(WEEKNUM(CompilDonnées[[#This Row],[PlantationDate]]), " ", YEAR(CompilDonnées[[#This Row],[PlantationDate]]))</f>
        <v>2 2025</v>
      </c>
      <c r="L652" t="str">
        <f>CONCATENATE(MONTH(CompilDonnées[[#This Row],[PlantationDate]])," ", YEAR(CompilDonnées[[#This Row],[PlantationDate]]))</f>
        <v>1 2025</v>
      </c>
      <c r="M652" t="str">
        <f>CONCATENATE(MONTH(CompilDonnées[[#This Row],[HarvestingDate]])," ", YEAR(CompilDonnées[[#This Row],[HarvestingDate]]))</f>
        <v>2 2025</v>
      </c>
      <c r="N652">
        <f>_xlfn.NUMBERVALUE(CompilDonnées[[#This Row],[FarmID]]&amp;CompilDonnées[[#This Row],[ModuleNumber]]&amp;CompilDonnées[[#This Row],[PlantationDate]])</f>
        <v>99545665</v>
      </c>
      <c r="O652" t="str">
        <f>CompilDonnées[[#This Row],[FarmID]]&amp;CompilDonnées[[#This Row],[ModuleNumber]]</f>
        <v>995</v>
      </c>
      <c r="P652" t="str">
        <f>CompilDonnées[[#This Row],[Ref_Module]]&amp;CompilDonnées[[#This Row],[HarvestingDate]]</f>
        <v>99545715</v>
      </c>
    </row>
    <row r="653" spans="1:16">
      <c r="A653" s="5">
        <v>45665</v>
      </c>
      <c r="B653">
        <v>5</v>
      </c>
      <c r="C653" t="s">
        <v>32</v>
      </c>
      <c r="D653">
        <v>2</v>
      </c>
      <c r="E653">
        <v>100</v>
      </c>
      <c r="F653" t="s">
        <v>1</v>
      </c>
      <c r="G653" s="6">
        <v>45712</v>
      </c>
      <c r="H653">
        <v>47</v>
      </c>
      <c r="I653">
        <f>ROUND(CompilDonnées[[#This Row],[CultureDuration_days]]/7,0)</f>
        <v>7</v>
      </c>
      <c r="J653">
        <v>3101</v>
      </c>
      <c r="K653" t="str">
        <f>_xlfn.CONCAT(WEEKNUM(CompilDonnées[[#This Row],[PlantationDate]]), " ", YEAR(CompilDonnées[[#This Row],[PlantationDate]]))</f>
        <v>2 2025</v>
      </c>
      <c r="L653" t="str">
        <f>CONCATENATE(MONTH(CompilDonnées[[#This Row],[PlantationDate]])," ", YEAR(CompilDonnées[[#This Row],[PlantationDate]]))</f>
        <v>1 2025</v>
      </c>
      <c r="M653" t="str">
        <f>CONCATENATE(MONTH(CompilDonnées[[#This Row],[HarvestingDate]])," ", YEAR(CompilDonnées[[#This Row],[HarvestingDate]]))</f>
        <v>2 2025</v>
      </c>
      <c r="N653">
        <f>_xlfn.NUMBERVALUE(CompilDonnées[[#This Row],[FarmID]]&amp;CompilDonnées[[#This Row],[ModuleNumber]]&amp;CompilDonnées[[#This Row],[PlantationDate]])</f>
        <v>5245665</v>
      </c>
      <c r="O653" t="str">
        <f>CompilDonnées[[#This Row],[FarmID]]&amp;CompilDonnées[[#This Row],[ModuleNumber]]</f>
        <v>52</v>
      </c>
      <c r="P653" t="str">
        <f>CompilDonnées[[#This Row],[Ref_Module]]&amp;CompilDonnées[[#This Row],[HarvestingDate]]</f>
        <v>5245712</v>
      </c>
    </row>
    <row r="654" spans="1:16">
      <c r="A654" s="5">
        <v>45665</v>
      </c>
      <c r="B654">
        <v>4</v>
      </c>
      <c r="C654" t="s">
        <v>74</v>
      </c>
      <c r="D654">
        <v>6</v>
      </c>
      <c r="E654">
        <v>100</v>
      </c>
      <c r="F654" t="s">
        <v>1</v>
      </c>
      <c r="G654" s="6">
        <v>45705</v>
      </c>
      <c r="H654">
        <v>40</v>
      </c>
      <c r="I654">
        <f>ROUND(CompilDonnées[[#This Row],[CultureDuration_days]]/7,0)</f>
        <v>6</v>
      </c>
      <c r="J654">
        <v>1708</v>
      </c>
      <c r="K654" t="str">
        <f>_xlfn.CONCAT(WEEKNUM(CompilDonnées[[#This Row],[PlantationDate]]), " ", YEAR(CompilDonnées[[#This Row],[PlantationDate]]))</f>
        <v>2 2025</v>
      </c>
      <c r="L654" t="str">
        <f>CONCATENATE(MONTH(CompilDonnées[[#This Row],[PlantationDate]])," ", YEAR(CompilDonnées[[#This Row],[PlantationDate]]))</f>
        <v>1 2025</v>
      </c>
      <c r="M654" t="str">
        <f>CONCATENATE(MONTH(CompilDonnées[[#This Row],[HarvestingDate]])," ", YEAR(CompilDonnées[[#This Row],[HarvestingDate]]))</f>
        <v>2 2025</v>
      </c>
      <c r="N654">
        <f>_xlfn.NUMBERVALUE(CompilDonnées[[#This Row],[FarmID]]&amp;CompilDonnées[[#This Row],[ModuleNumber]]&amp;CompilDonnées[[#This Row],[PlantationDate]])</f>
        <v>4645665</v>
      </c>
      <c r="O654" t="str">
        <f>CompilDonnées[[#This Row],[FarmID]]&amp;CompilDonnées[[#This Row],[ModuleNumber]]</f>
        <v>46</v>
      </c>
      <c r="P654" t="str">
        <f>CompilDonnées[[#This Row],[Ref_Module]]&amp;CompilDonnées[[#This Row],[HarvestingDate]]</f>
        <v>4645705</v>
      </c>
    </row>
    <row r="655" spans="1:16">
      <c r="A655" s="5">
        <v>45665</v>
      </c>
      <c r="B655">
        <v>16</v>
      </c>
      <c r="C655" t="s">
        <v>112</v>
      </c>
      <c r="D655">
        <v>1</v>
      </c>
      <c r="E655">
        <v>100</v>
      </c>
      <c r="F655" t="s">
        <v>1</v>
      </c>
      <c r="G655" s="6">
        <v>45705</v>
      </c>
      <c r="H655">
        <v>40</v>
      </c>
      <c r="I655">
        <f>ROUND(CompilDonnées[[#This Row],[CultureDuration_days]]/7,0)</f>
        <v>6</v>
      </c>
      <c r="J655">
        <v>2688</v>
      </c>
      <c r="K655" t="str">
        <f>_xlfn.CONCAT(WEEKNUM(CompilDonnées[[#This Row],[PlantationDate]]), " ", YEAR(CompilDonnées[[#This Row],[PlantationDate]]))</f>
        <v>2 2025</v>
      </c>
      <c r="L655" t="str">
        <f>CONCATENATE(MONTH(CompilDonnées[[#This Row],[PlantationDate]])," ", YEAR(CompilDonnées[[#This Row],[PlantationDate]]))</f>
        <v>1 2025</v>
      </c>
      <c r="M655" t="str">
        <f>CONCATENATE(MONTH(CompilDonnées[[#This Row],[HarvestingDate]])," ", YEAR(CompilDonnées[[#This Row],[HarvestingDate]]))</f>
        <v>2 2025</v>
      </c>
      <c r="N655">
        <f>_xlfn.NUMBERVALUE(CompilDonnées[[#This Row],[FarmID]]&amp;CompilDonnées[[#This Row],[ModuleNumber]]&amp;CompilDonnées[[#This Row],[PlantationDate]])</f>
        <v>16145665</v>
      </c>
      <c r="O655" t="str">
        <f>CompilDonnées[[#This Row],[FarmID]]&amp;CompilDonnées[[#This Row],[ModuleNumber]]</f>
        <v>161</v>
      </c>
      <c r="P655" t="str">
        <f>CompilDonnées[[#This Row],[Ref_Module]]&amp;CompilDonnées[[#This Row],[HarvestingDate]]</f>
        <v>16145705</v>
      </c>
    </row>
    <row r="656" spans="1:16">
      <c r="A656" s="5">
        <v>45665</v>
      </c>
      <c r="B656">
        <v>32</v>
      </c>
      <c r="C656" t="s">
        <v>25</v>
      </c>
      <c r="D656">
        <v>5</v>
      </c>
      <c r="E656">
        <v>100</v>
      </c>
      <c r="F656" t="s">
        <v>1</v>
      </c>
      <c r="G656" s="6">
        <v>45706</v>
      </c>
      <c r="H656">
        <v>41</v>
      </c>
      <c r="I656">
        <f>ROUND(CompilDonnées[[#This Row],[CultureDuration_days]]/7,0)</f>
        <v>6</v>
      </c>
      <c r="J656">
        <v>3159</v>
      </c>
      <c r="K656" t="str">
        <f>_xlfn.CONCAT(WEEKNUM(CompilDonnées[[#This Row],[PlantationDate]]), " ", YEAR(CompilDonnées[[#This Row],[PlantationDate]]))</f>
        <v>2 2025</v>
      </c>
      <c r="L656" t="str">
        <f>CONCATENATE(MONTH(CompilDonnées[[#This Row],[PlantationDate]])," ", YEAR(CompilDonnées[[#This Row],[PlantationDate]]))</f>
        <v>1 2025</v>
      </c>
      <c r="M656" t="str">
        <f>CONCATENATE(MONTH(CompilDonnées[[#This Row],[HarvestingDate]])," ", YEAR(CompilDonnées[[#This Row],[HarvestingDate]]))</f>
        <v>2 2025</v>
      </c>
      <c r="N656">
        <f>_xlfn.NUMBERVALUE(CompilDonnées[[#This Row],[FarmID]]&amp;CompilDonnées[[#This Row],[ModuleNumber]]&amp;CompilDonnées[[#This Row],[PlantationDate]])</f>
        <v>32545665</v>
      </c>
      <c r="O656" t="str">
        <f>CompilDonnées[[#This Row],[FarmID]]&amp;CompilDonnées[[#This Row],[ModuleNumber]]</f>
        <v>325</v>
      </c>
      <c r="P656" t="str">
        <f>CompilDonnées[[#This Row],[Ref_Module]]&amp;CompilDonnées[[#This Row],[HarvestingDate]]</f>
        <v>32545706</v>
      </c>
    </row>
    <row r="657" spans="1:16">
      <c r="A657" s="5">
        <v>45665</v>
      </c>
      <c r="B657">
        <v>38</v>
      </c>
      <c r="C657" t="s">
        <v>34</v>
      </c>
      <c r="D657">
        <v>1</v>
      </c>
      <c r="E657">
        <v>100</v>
      </c>
      <c r="F657" t="s">
        <v>1</v>
      </c>
      <c r="G657" s="6">
        <v>45705</v>
      </c>
      <c r="H657">
        <v>40</v>
      </c>
      <c r="I657">
        <f>ROUND(CompilDonnées[[#This Row],[CultureDuration_days]]/7,0)</f>
        <v>6</v>
      </c>
      <c r="J657">
        <v>3219</v>
      </c>
      <c r="K657" t="str">
        <f>_xlfn.CONCAT(WEEKNUM(CompilDonnées[[#This Row],[PlantationDate]]), " ", YEAR(CompilDonnées[[#This Row],[PlantationDate]]))</f>
        <v>2 2025</v>
      </c>
      <c r="L657" t="str">
        <f>CONCATENATE(MONTH(CompilDonnées[[#This Row],[PlantationDate]])," ", YEAR(CompilDonnées[[#This Row],[PlantationDate]]))</f>
        <v>1 2025</v>
      </c>
      <c r="M657" t="str">
        <f>CONCATENATE(MONTH(CompilDonnées[[#This Row],[HarvestingDate]])," ", YEAR(CompilDonnées[[#This Row],[HarvestingDate]]))</f>
        <v>2 2025</v>
      </c>
      <c r="N657">
        <f>_xlfn.NUMBERVALUE(CompilDonnées[[#This Row],[FarmID]]&amp;CompilDonnées[[#This Row],[ModuleNumber]]&amp;CompilDonnées[[#This Row],[PlantationDate]])</f>
        <v>38145665</v>
      </c>
      <c r="O657" t="str">
        <f>CompilDonnées[[#This Row],[FarmID]]&amp;CompilDonnées[[#This Row],[ModuleNumber]]</f>
        <v>381</v>
      </c>
      <c r="P657" t="str">
        <f>CompilDonnées[[#This Row],[Ref_Module]]&amp;CompilDonnées[[#This Row],[HarvestingDate]]</f>
        <v>38145705</v>
      </c>
    </row>
    <row r="658" spans="1:16">
      <c r="A658" s="5">
        <v>45665</v>
      </c>
      <c r="B658">
        <v>37</v>
      </c>
      <c r="C658" t="s">
        <v>26</v>
      </c>
      <c r="D658">
        <v>1</v>
      </c>
      <c r="E658">
        <v>100</v>
      </c>
      <c r="F658" t="s">
        <v>1</v>
      </c>
      <c r="G658" s="6">
        <v>45705</v>
      </c>
      <c r="H658">
        <v>40</v>
      </c>
      <c r="I658">
        <f>ROUND(CompilDonnées[[#This Row],[CultureDuration_days]]/7,0)</f>
        <v>6</v>
      </c>
      <c r="J658">
        <v>2962</v>
      </c>
      <c r="K658" t="str">
        <f>_xlfn.CONCAT(WEEKNUM(CompilDonnées[[#This Row],[PlantationDate]]), " ", YEAR(CompilDonnées[[#This Row],[PlantationDate]]))</f>
        <v>2 2025</v>
      </c>
      <c r="L658" t="str">
        <f>CONCATENATE(MONTH(CompilDonnées[[#This Row],[PlantationDate]])," ", YEAR(CompilDonnées[[#This Row],[PlantationDate]]))</f>
        <v>1 2025</v>
      </c>
      <c r="M658" t="str">
        <f>CONCATENATE(MONTH(CompilDonnées[[#This Row],[HarvestingDate]])," ", YEAR(CompilDonnées[[#This Row],[HarvestingDate]]))</f>
        <v>2 2025</v>
      </c>
      <c r="N658">
        <f>_xlfn.NUMBERVALUE(CompilDonnées[[#This Row],[FarmID]]&amp;CompilDonnées[[#This Row],[ModuleNumber]]&amp;CompilDonnées[[#This Row],[PlantationDate]])</f>
        <v>37145665</v>
      </c>
      <c r="O658" t="str">
        <f>CompilDonnées[[#This Row],[FarmID]]&amp;CompilDonnées[[#This Row],[ModuleNumber]]</f>
        <v>371</v>
      </c>
      <c r="P658" t="str">
        <f>CompilDonnées[[#This Row],[Ref_Module]]&amp;CompilDonnées[[#This Row],[HarvestingDate]]</f>
        <v>37145705</v>
      </c>
    </row>
    <row r="659" spans="1:16">
      <c r="A659" s="5">
        <v>45665</v>
      </c>
      <c r="B659">
        <v>36</v>
      </c>
      <c r="C659" t="s">
        <v>63</v>
      </c>
      <c r="D659">
        <v>1</v>
      </c>
      <c r="E659">
        <v>100</v>
      </c>
      <c r="F659" t="s">
        <v>1</v>
      </c>
      <c r="G659" s="6">
        <v>45705</v>
      </c>
      <c r="H659">
        <v>40</v>
      </c>
      <c r="I659">
        <f>ROUND(CompilDonnées[[#This Row],[CultureDuration_days]]/7,0)</f>
        <v>6</v>
      </c>
      <c r="J659">
        <v>2456</v>
      </c>
      <c r="K659" t="str">
        <f>_xlfn.CONCAT(WEEKNUM(CompilDonnées[[#This Row],[PlantationDate]]), " ", YEAR(CompilDonnées[[#This Row],[PlantationDate]]))</f>
        <v>2 2025</v>
      </c>
      <c r="L659" t="str">
        <f>CONCATENATE(MONTH(CompilDonnées[[#This Row],[PlantationDate]])," ", YEAR(CompilDonnées[[#This Row],[PlantationDate]]))</f>
        <v>1 2025</v>
      </c>
      <c r="M659" t="str">
        <f>CONCATENATE(MONTH(CompilDonnées[[#This Row],[HarvestingDate]])," ", YEAR(CompilDonnées[[#This Row],[HarvestingDate]]))</f>
        <v>2 2025</v>
      </c>
      <c r="N659">
        <f>_xlfn.NUMBERVALUE(CompilDonnées[[#This Row],[FarmID]]&amp;CompilDonnées[[#This Row],[ModuleNumber]]&amp;CompilDonnées[[#This Row],[PlantationDate]])</f>
        <v>36145665</v>
      </c>
      <c r="O659" t="str">
        <f>CompilDonnées[[#This Row],[FarmID]]&amp;CompilDonnées[[#This Row],[ModuleNumber]]</f>
        <v>361</v>
      </c>
      <c r="P659" t="str">
        <f>CompilDonnées[[#This Row],[Ref_Module]]&amp;CompilDonnées[[#This Row],[HarvestingDate]]</f>
        <v>36145705</v>
      </c>
    </row>
    <row r="660" spans="1:16">
      <c r="A660" s="5">
        <v>45665</v>
      </c>
      <c r="B660">
        <v>36</v>
      </c>
      <c r="C660" t="s">
        <v>63</v>
      </c>
      <c r="D660">
        <v>3</v>
      </c>
      <c r="E660">
        <v>100</v>
      </c>
      <c r="F660" t="s">
        <v>1</v>
      </c>
      <c r="G660" s="6">
        <v>45712</v>
      </c>
      <c r="H660">
        <v>47</v>
      </c>
      <c r="I660">
        <f>ROUND(CompilDonnées[[#This Row],[CultureDuration_days]]/7,0)</f>
        <v>7</v>
      </c>
      <c r="J660">
        <v>3555</v>
      </c>
      <c r="K660" t="str">
        <f>_xlfn.CONCAT(WEEKNUM(CompilDonnées[[#This Row],[PlantationDate]]), " ", YEAR(CompilDonnées[[#This Row],[PlantationDate]]))</f>
        <v>2 2025</v>
      </c>
      <c r="L660" t="str">
        <f>CONCATENATE(MONTH(CompilDonnées[[#This Row],[PlantationDate]])," ", YEAR(CompilDonnées[[#This Row],[PlantationDate]]))</f>
        <v>1 2025</v>
      </c>
      <c r="M660" t="str">
        <f>CONCATENATE(MONTH(CompilDonnées[[#This Row],[HarvestingDate]])," ", YEAR(CompilDonnées[[#This Row],[HarvestingDate]]))</f>
        <v>2 2025</v>
      </c>
      <c r="N660">
        <f>_xlfn.NUMBERVALUE(CompilDonnées[[#This Row],[FarmID]]&amp;CompilDonnées[[#This Row],[ModuleNumber]]&amp;CompilDonnées[[#This Row],[PlantationDate]])</f>
        <v>36345665</v>
      </c>
      <c r="O660" t="str">
        <f>CompilDonnées[[#This Row],[FarmID]]&amp;CompilDonnées[[#This Row],[ModuleNumber]]</f>
        <v>363</v>
      </c>
      <c r="P660" t="str">
        <f>CompilDonnées[[#This Row],[Ref_Module]]&amp;CompilDonnées[[#This Row],[HarvestingDate]]</f>
        <v>36345712</v>
      </c>
    </row>
    <row r="661" spans="1:16">
      <c r="A661" s="5">
        <v>45665</v>
      </c>
      <c r="B661">
        <v>35</v>
      </c>
      <c r="C661" t="s">
        <v>69</v>
      </c>
      <c r="D661">
        <v>2</v>
      </c>
      <c r="E661">
        <v>100</v>
      </c>
      <c r="F661" t="s">
        <v>1</v>
      </c>
      <c r="G661" s="6">
        <v>45705</v>
      </c>
      <c r="H661">
        <v>40</v>
      </c>
      <c r="I661">
        <f>ROUND(CompilDonnées[[#This Row],[CultureDuration_days]]/7,0)</f>
        <v>6</v>
      </c>
      <c r="J661">
        <v>2111</v>
      </c>
      <c r="K661" t="str">
        <f>_xlfn.CONCAT(WEEKNUM(CompilDonnées[[#This Row],[PlantationDate]]), " ", YEAR(CompilDonnées[[#This Row],[PlantationDate]]))</f>
        <v>2 2025</v>
      </c>
      <c r="L661" t="str">
        <f>CONCATENATE(MONTH(CompilDonnées[[#This Row],[PlantationDate]])," ", YEAR(CompilDonnées[[#This Row],[PlantationDate]]))</f>
        <v>1 2025</v>
      </c>
      <c r="M661" t="str">
        <f>CONCATENATE(MONTH(CompilDonnées[[#This Row],[HarvestingDate]])," ", YEAR(CompilDonnées[[#This Row],[HarvestingDate]]))</f>
        <v>2 2025</v>
      </c>
      <c r="N661">
        <f>_xlfn.NUMBERVALUE(CompilDonnées[[#This Row],[FarmID]]&amp;CompilDonnées[[#This Row],[ModuleNumber]]&amp;CompilDonnées[[#This Row],[PlantationDate]])</f>
        <v>35245665</v>
      </c>
      <c r="O661" t="str">
        <f>CompilDonnées[[#This Row],[FarmID]]&amp;CompilDonnées[[#This Row],[ModuleNumber]]</f>
        <v>352</v>
      </c>
      <c r="P661" t="str">
        <f>CompilDonnées[[#This Row],[Ref_Module]]&amp;CompilDonnées[[#This Row],[HarvestingDate]]</f>
        <v>35245705</v>
      </c>
    </row>
    <row r="662" spans="1:16">
      <c r="A662" s="5">
        <v>45665</v>
      </c>
      <c r="B662">
        <v>35</v>
      </c>
      <c r="C662" t="s">
        <v>69</v>
      </c>
      <c r="D662">
        <v>3</v>
      </c>
      <c r="E662">
        <v>100</v>
      </c>
      <c r="F662" t="s">
        <v>1</v>
      </c>
      <c r="G662" s="6">
        <v>45712</v>
      </c>
      <c r="H662">
        <v>47</v>
      </c>
      <c r="I662">
        <f>ROUND(CompilDonnées[[#This Row],[CultureDuration_days]]/7,0)</f>
        <v>7</v>
      </c>
      <c r="J662">
        <v>2798</v>
      </c>
      <c r="K662" t="str">
        <f>_xlfn.CONCAT(WEEKNUM(CompilDonnées[[#This Row],[PlantationDate]]), " ", YEAR(CompilDonnées[[#This Row],[PlantationDate]]))</f>
        <v>2 2025</v>
      </c>
      <c r="L662" t="str">
        <f>CONCATENATE(MONTH(CompilDonnées[[#This Row],[PlantationDate]])," ", YEAR(CompilDonnées[[#This Row],[PlantationDate]]))</f>
        <v>1 2025</v>
      </c>
      <c r="M662" t="str">
        <f>CONCATENATE(MONTH(CompilDonnées[[#This Row],[HarvestingDate]])," ", YEAR(CompilDonnées[[#This Row],[HarvestingDate]]))</f>
        <v>2 2025</v>
      </c>
      <c r="N662">
        <f>_xlfn.NUMBERVALUE(CompilDonnées[[#This Row],[FarmID]]&amp;CompilDonnées[[#This Row],[ModuleNumber]]&amp;CompilDonnées[[#This Row],[PlantationDate]])</f>
        <v>35345665</v>
      </c>
      <c r="O662" t="str">
        <f>CompilDonnées[[#This Row],[FarmID]]&amp;CompilDonnées[[#This Row],[ModuleNumber]]</f>
        <v>353</v>
      </c>
      <c r="P662" t="str">
        <f>CompilDonnées[[#This Row],[Ref_Module]]&amp;CompilDonnées[[#This Row],[HarvestingDate]]</f>
        <v>35345712</v>
      </c>
    </row>
    <row r="663" spans="1:16">
      <c r="A663" s="5">
        <v>45665</v>
      </c>
      <c r="B663">
        <v>42</v>
      </c>
      <c r="C663" t="s">
        <v>89</v>
      </c>
      <c r="D663">
        <v>6</v>
      </c>
      <c r="E663">
        <v>100</v>
      </c>
      <c r="F663" t="s">
        <v>1</v>
      </c>
      <c r="G663" s="6">
        <v>45698</v>
      </c>
      <c r="H663">
        <v>33</v>
      </c>
      <c r="I663">
        <f>ROUND(CompilDonnées[[#This Row],[CultureDuration_days]]/7,0)</f>
        <v>5</v>
      </c>
      <c r="J663">
        <v>2507</v>
      </c>
      <c r="K663" t="str">
        <f>_xlfn.CONCAT(WEEKNUM(CompilDonnées[[#This Row],[PlantationDate]]), " ", YEAR(CompilDonnées[[#This Row],[PlantationDate]]))</f>
        <v>2 2025</v>
      </c>
      <c r="L663" t="str">
        <f>CONCATENATE(MONTH(CompilDonnées[[#This Row],[PlantationDate]])," ", YEAR(CompilDonnées[[#This Row],[PlantationDate]]))</f>
        <v>1 2025</v>
      </c>
      <c r="M663" t="str">
        <f>CONCATENATE(MONTH(CompilDonnées[[#This Row],[HarvestingDate]])," ", YEAR(CompilDonnées[[#This Row],[HarvestingDate]]))</f>
        <v>2 2025</v>
      </c>
      <c r="N663">
        <f>_xlfn.NUMBERVALUE(CompilDonnées[[#This Row],[FarmID]]&amp;CompilDonnées[[#This Row],[ModuleNumber]]&amp;CompilDonnées[[#This Row],[PlantationDate]])</f>
        <v>42645665</v>
      </c>
      <c r="O663" t="str">
        <f>CompilDonnées[[#This Row],[FarmID]]&amp;CompilDonnées[[#This Row],[ModuleNumber]]</f>
        <v>426</v>
      </c>
      <c r="P663" t="str">
        <f>CompilDonnées[[#This Row],[Ref_Module]]&amp;CompilDonnées[[#This Row],[HarvestingDate]]</f>
        <v>42645698</v>
      </c>
    </row>
    <row r="664" spans="1:16">
      <c r="A664" s="5">
        <v>45665</v>
      </c>
      <c r="B664">
        <v>41</v>
      </c>
      <c r="C664" t="s">
        <v>70</v>
      </c>
      <c r="D664">
        <v>6</v>
      </c>
      <c r="E664">
        <v>100</v>
      </c>
      <c r="F664" t="s">
        <v>1</v>
      </c>
      <c r="G664" s="6">
        <v>45698</v>
      </c>
      <c r="H664">
        <v>33</v>
      </c>
      <c r="I664">
        <f>ROUND(CompilDonnées[[#This Row],[CultureDuration_days]]/7,0)</f>
        <v>5</v>
      </c>
      <c r="J664">
        <v>1440</v>
      </c>
      <c r="K664" t="str">
        <f>_xlfn.CONCAT(WEEKNUM(CompilDonnées[[#This Row],[PlantationDate]]), " ", YEAR(CompilDonnées[[#This Row],[PlantationDate]]))</f>
        <v>2 2025</v>
      </c>
      <c r="L664" t="str">
        <f>CONCATENATE(MONTH(CompilDonnées[[#This Row],[PlantationDate]])," ", YEAR(CompilDonnées[[#This Row],[PlantationDate]]))</f>
        <v>1 2025</v>
      </c>
      <c r="M664" t="str">
        <f>CONCATENATE(MONTH(CompilDonnées[[#This Row],[HarvestingDate]])," ", YEAR(CompilDonnées[[#This Row],[HarvestingDate]]))</f>
        <v>2 2025</v>
      </c>
      <c r="N664">
        <f>_xlfn.NUMBERVALUE(CompilDonnées[[#This Row],[FarmID]]&amp;CompilDonnées[[#This Row],[ModuleNumber]]&amp;CompilDonnées[[#This Row],[PlantationDate]])</f>
        <v>41645665</v>
      </c>
      <c r="O664" t="str">
        <f>CompilDonnées[[#This Row],[FarmID]]&amp;CompilDonnées[[#This Row],[ModuleNumber]]</f>
        <v>416</v>
      </c>
      <c r="P664" t="str">
        <f>CompilDonnées[[#This Row],[Ref_Module]]&amp;CompilDonnées[[#This Row],[HarvestingDate]]</f>
        <v>41645698</v>
      </c>
    </row>
    <row r="665" spans="1:16">
      <c r="A665" s="5">
        <v>45665</v>
      </c>
      <c r="B665">
        <v>44</v>
      </c>
      <c r="C665" t="s">
        <v>42</v>
      </c>
      <c r="D665">
        <v>3</v>
      </c>
      <c r="E665">
        <v>100</v>
      </c>
      <c r="F665" t="s">
        <v>1</v>
      </c>
      <c r="G665" s="6">
        <v>45705</v>
      </c>
      <c r="H665">
        <v>40</v>
      </c>
      <c r="I665">
        <f>ROUND(CompilDonnées[[#This Row],[CultureDuration_days]]/7,0)</f>
        <v>6</v>
      </c>
      <c r="J665">
        <v>3047</v>
      </c>
      <c r="K665" t="str">
        <f>_xlfn.CONCAT(WEEKNUM(CompilDonnées[[#This Row],[PlantationDate]]), " ", YEAR(CompilDonnées[[#This Row],[PlantationDate]]))</f>
        <v>2 2025</v>
      </c>
      <c r="L665" t="str">
        <f>CONCATENATE(MONTH(CompilDonnées[[#This Row],[PlantationDate]])," ", YEAR(CompilDonnées[[#This Row],[PlantationDate]]))</f>
        <v>1 2025</v>
      </c>
      <c r="M665" t="str">
        <f>CONCATENATE(MONTH(CompilDonnées[[#This Row],[HarvestingDate]])," ", YEAR(CompilDonnées[[#This Row],[HarvestingDate]]))</f>
        <v>2 2025</v>
      </c>
      <c r="N665">
        <f>_xlfn.NUMBERVALUE(CompilDonnées[[#This Row],[FarmID]]&amp;CompilDonnées[[#This Row],[ModuleNumber]]&amp;CompilDonnées[[#This Row],[PlantationDate]])</f>
        <v>44345665</v>
      </c>
      <c r="O665" t="str">
        <f>CompilDonnées[[#This Row],[FarmID]]&amp;CompilDonnées[[#This Row],[ModuleNumber]]</f>
        <v>443</v>
      </c>
      <c r="P665" t="str">
        <f>CompilDonnées[[#This Row],[Ref_Module]]&amp;CompilDonnées[[#This Row],[HarvestingDate]]</f>
        <v>44345705</v>
      </c>
    </row>
    <row r="666" spans="1:16">
      <c r="A666" s="5">
        <v>45665</v>
      </c>
      <c r="B666">
        <v>50</v>
      </c>
      <c r="C666" t="s">
        <v>55</v>
      </c>
      <c r="D666">
        <v>5</v>
      </c>
      <c r="E666">
        <v>100</v>
      </c>
      <c r="F666" t="s">
        <v>1</v>
      </c>
      <c r="G666" s="6">
        <v>45698</v>
      </c>
      <c r="H666">
        <v>33</v>
      </c>
      <c r="I666">
        <f>ROUND(CompilDonnées[[#This Row],[CultureDuration_days]]/7,0)</f>
        <v>5</v>
      </c>
      <c r="J666">
        <v>2553</v>
      </c>
      <c r="K666" t="str">
        <f>_xlfn.CONCAT(WEEKNUM(CompilDonnées[[#This Row],[PlantationDate]]), " ", YEAR(CompilDonnées[[#This Row],[PlantationDate]]))</f>
        <v>2 2025</v>
      </c>
      <c r="L666" t="str">
        <f>CONCATENATE(MONTH(CompilDonnées[[#This Row],[PlantationDate]])," ", YEAR(CompilDonnées[[#This Row],[PlantationDate]]))</f>
        <v>1 2025</v>
      </c>
      <c r="M666" t="str">
        <f>CONCATENATE(MONTH(CompilDonnées[[#This Row],[HarvestingDate]])," ", YEAR(CompilDonnées[[#This Row],[HarvestingDate]]))</f>
        <v>2 2025</v>
      </c>
      <c r="N666">
        <f>_xlfn.NUMBERVALUE(CompilDonnées[[#This Row],[FarmID]]&amp;CompilDonnées[[#This Row],[ModuleNumber]]&amp;CompilDonnées[[#This Row],[PlantationDate]])</f>
        <v>50545665</v>
      </c>
      <c r="O666" t="str">
        <f>CompilDonnées[[#This Row],[FarmID]]&amp;CompilDonnées[[#This Row],[ModuleNumber]]</f>
        <v>505</v>
      </c>
      <c r="P666" t="str">
        <f>CompilDonnées[[#This Row],[Ref_Module]]&amp;CompilDonnées[[#This Row],[HarvestingDate]]</f>
        <v>50545698</v>
      </c>
    </row>
    <row r="667" spans="1:16">
      <c r="A667" s="5">
        <v>45665</v>
      </c>
      <c r="B667">
        <v>51</v>
      </c>
      <c r="C667" t="s">
        <v>27</v>
      </c>
      <c r="D667">
        <v>4</v>
      </c>
      <c r="E667">
        <v>100</v>
      </c>
      <c r="F667" t="s">
        <v>1</v>
      </c>
      <c r="G667" s="6">
        <v>45705</v>
      </c>
      <c r="H667">
        <v>40</v>
      </c>
      <c r="I667">
        <f>ROUND(CompilDonnées[[#This Row],[CultureDuration_days]]/7,0)</f>
        <v>6</v>
      </c>
      <c r="J667">
        <v>2752</v>
      </c>
      <c r="K667" t="str">
        <f>_xlfn.CONCAT(WEEKNUM(CompilDonnées[[#This Row],[PlantationDate]]), " ", YEAR(CompilDonnées[[#This Row],[PlantationDate]]))</f>
        <v>2 2025</v>
      </c>
      <c r="L667" t="str">
        <f>CONCATENATE(MONTH(CompilDonnées[[#This Row],[PlantationDate]])," ", YEAR(CompilDonnées[[#This Row],[PlantationDate]]))</f>
        <v>1 2025</v>
      </c>
      <c r="M667" t="str">
        <f>CONCATENATE(MONTH(CompilDonnées[[#This Row],[HarvestingDate]])," ", YEAR(CompilDonnées[[#This Row],[HarvestingDate]]))</f>
        <v>2 2025</v>
      </c>
      <c r="N667">
        <f>_xlfn.NUMBERVALUE(CompilDonnées[[#This Row],[FarmID]]&amp;CompilDonnées[[#This Row],[ModuleNumber]]&amp;CompilDonnées[[#This Row],[PlantationDate]])</f>
        <v>51445665</v>
      </c>
      <c r="O667" t="str">
        <f>CompilDonnées[[#This Row],[FarmID]]&amp;CompilDonnées[[#This Row],[ModuleNumber]]</f>
        <v>514</v>
      </c>
      <c r="P667" t="str">
        <f>CompilDonnées[[#This Row],[Ref_Module]]&amp;CompilDonnées[[#This Row],[HarvestingDate]]</f>
        <v>51445705</v>
      </c>
    </row>
    <row r="668" spans="1:16">
      <c r="A668" s="5">
        <v>45665</v>
      </c>
      <c r="B668">
        <v>48</v>
      </c>
      <c r="C668" t="s">
        <v>71</v>
      </c>
      <c r="D668">
        <v>1</v>
      </c>
      <c r="E668">
        <v>100</v>
      </c>
      <c r="F668" t="s">
        <v>1</v>
      </c>
      <c r="G668" s="6">
        <v>45706</v>
      </c>
      <c r="H668">
        <v>41</v>
      </c>
      <c r="I668">
        <f>ROUND(CompilDonnées[[#This Row],[CultureDuration_days]]/7,0)</f>
        <v>6</v>
      </c>
      <c r="J668">
        <v>1955</v>
      </c>
      <c r="K668" t="str">
        <f>_xlfn.CONCAT(WEEKNUM(CompilDonnées[[#This Row],[PlantationDate]]), " ", YEAR(CompilDonnées[[#This Row],[PlantationDate]]))</f>
        <v>2 2025</v>
      </c>
      <c r="L668" t="str">
        <f>CONCATENATE(MONTH(CompilDonnées[[#This Row],[PlantationDate]])," ", YEAR(CompilDonnées[[#This Row],[PlantationDate]]))</f>
        <v>1 2025</v>
      </c>
      <c r="M668" t="str">
        <f>CONCATENATE(MONTH(CompilDonnées[[#This Row],[HarvestingDate]])," ", YEAR(CompilDonnées[[#This Row],[HarvestingDate]]))</f>
        <v>2 2025</v>
      </c>
      <c r="N668">
        <f>_xlfn.NUMBERVALUE(CompilDonnées[[#This Row],[FarmID]]&amp;CompilDonnées[[#This Row],[ModuleNumber]]&amp;CompilDonnées[[#This Row],[PlantationDate]])</f>
        <v>48145665</v>
      </c>
      <c r="O668" t="str">
        <f>CompilDonnées[[#This Row],[FarmID]]&amp;CompilDonnées[[#This Row],[ModuleNumber]]</f>
        <v>481</v>
      </c>
      <c r="P668" t="str">
        <f>CompilDonnées[[#This Row],[Ref_Module]]&amp;CompilDonnées[[#This Row],[HarvestingDate]]</f>
        <v>48145706</v>
      </c>
    </row>
    <row r="669" spans="1:16">
      <c r="A669" s="5">
        <v>45665</v>
      </c>
      <c r="B669">
        <v>57</v>
      </c>
      <c r="C669" t="s">
        <v>46</v>
      </c>
      <c r="D669">
        <v>1</v>
      </c>
      <c r="E669">
        <v>100</v>
      </c>
      <c r="F669" t="s">
        <v>1</v>
      </c>
      <c r="G669" s="6">
        <v>45698</v>
      </c>
      <c r="H669">
        <v>33</v>
      </c>
      <c r="I669">
        <f>ROUND(CompilDonnées[[#This Row],[CultureDuration_days]]/7,0)</f>
        <v>5</v>
      </c>
      <c r="J669">
        <v>2343</v>
      </c>
      <c r="K669" t="str">
        <f>_xlfn.CONCAT(WEEKNUM(CompilDonnées[[#This Row],[PlantationDate]]), " ", YEAR(CompilDonnées[[#This Row],[PlantationDate]]))</f>
        <v>2 2025</v>
      </c>
      <c r="L669" t="str">
        <f>CONCATENATE(MONTH(CompilDonnées[[#This Row],[PlantationDate]])," ", YEAR(CompilDonnées[[#This Row],[PlantationDate]]))</f>
        <v>1 2025</v>
      </c>
      <c r="M669" t="str">
        <f>CONCATENATE(MONTH(CompilDonnées[[#This Row],[HarvestingDate]])," ", YEAR(CompilDonnées[[#This Row],[HarvestingDate]]))</f>
        <v>2 2025</v>
      </c>
      <c r="N669">
        <f>_xlfn.NUMBERVALUE(CompilDonnées[[#This Row],[FarmID]]&amp;CompilDonnées[[#This Row],[ModuleNumber]]&amp;CompilDonnées[[#This Row],[PlantationDate]])</f>
        <v>57145665</v>
      </c>
      <c r="O669" t="str">
        <f>CompilDonnées[[#This Row],[FarmID]]&amp;CompilDonnées[[#This Row],[ModuleNumber]]</f>
        <v>571</v>
      </c>
      <c r="P669" t="str">
        <f>CompilDonnées[[#This Row],[Ref_Module]]&amp;CompilDonnées[[#This Row],[HarvestingDate]]</f>
        <v>57145698</v>
      </c>
    </row>
    <row r="670" spans="1:16">
      <c r="A670" s="5">
        <v>45665</v>
      </c>
      <c r="B670">
        <v>56</v>
      </c>
      <c r="C670" t="s">
        <v>6</v>
      </c>
      <c r="D670">
        <v>6</v>
      </c>
      <c r="E670">
        <v>100</v>
      </c>
      <c r="F670" t="s">
        <v>1</v>
      </c>
      <c r="G670" s="6">
        <v>45705</v>
      </c>
      <c r="H670">
        <v>40</v>
      </c>
      <c r="I670">
        <f>ROUND(CompilDonnées[[#This Row],[CultureDuration_days]]/7,0)</f>
        <v>6</v>
      </c>
      <c r="J670">
        <v>2846</v>
      </c>
      <c r="K670" t="str">
        <f>_xlfn.CONCAT(WEEKNUM(CompilDonnées[[#This Row],[PlantationDate]]), " ", YEAR(CompilDonnées[[#This Row],[PlantationDate]]))</f>
        <v>2 2025</v>
      </c>
      <c r="L670" t="str">
        <f>CONCATENATE(MONTH(CompilDonnées[[#This Row],[PlantationDate]])," ", YEAR(CompilDonnées[[#This Row],[PlantationDate]]))</f>
        <v>1 2025</v>
      </c>
      <c r="M670" t="str">
        <f>CONCATENATE(MONTH(CompilDonnées[[#This Row],[HarvestingDate]])," ", YEAR(CompilDonnées[[#This Row],[HarvestingDate]]))</f>
        <v>2 2025</v>
      </c>
      <c r="N670">
        <f>_xlfn.NUMBERVALUE(CompilDonnées[[#This Row],[FarmID]]&amp;CompilDonnées[[#This Row],[ModuleNumber]]&amp;CompilDonnées[[#This Row],[PlantationDate]])</f>
        <v>56645665</v>
      </c>
      <c r="O670" t="str">
        <f>CompilDonnées[[#This Row],[FarmID]]&amp;CompilDonnées[[#This Row],[ModuleNumber]]</f>
        <v>566</v>
      </c>
      <c r="P670" t="str">
        <f>CompilDonnées[[#This Row],[Ref_Module]]&amp;CompilDonnées[[#This Row],[HarvestingDate]]</f>
        <v>56645705</v>
      </c>
    </row>
    <row r="671" spans="1:16">
      <c r="A671" s="5">
        <v>45665</v>
      </c>
      <c r="B671">
        <v>56</v>
      </c>
      <c r="C671" t="s">
        <v>6</v>
      </c>
      <c r="D671">
        <v>5</v>
      </c>
      <c r="E671">
        <v>100</v>
      </c>
      <c r="F671" t="s">
        <v>1</v>
      </c>
      <c r="G671" s="6">
        <v>45705</v>
      </c>
      <c r="H671">
        <v>40</v>
      </c>
      <c r="I671">
        <f>ROUND(CompilDonnées[[#This Row],[CultureDuration_days]]/7,0)</f>
        <v>6</v>
      </c>
      <c r="J671">
        <v>2722</v>
      </c>
      <c r="K671" t="str">
        <f>_xlfn.CONCAT(WEEKNUM(CompilDonnées[[#This Row],[PlantationDate]]), " ", YEAR(CompilDonnées[[#This Row],[PlantationDate]]))</f>
        <v>2 2025</v>
      </c>
      <c r="L671" t="str">
        <f>CONCATENATE(MONTH(CompilDonnées[[#This Row],[PlantationDate]])," ", YEAR(CompilDonnées[[#This Row],[PlantationDate]]))</f>
        <v>1 2025</v>
      </c>
      <c r="M671" t="str">
        <f>CONCATENATE(MONTH(CompilDonnées[[#This Row],[HarvestingDate]])," ", YEAR(CompilDonnées[[#This Row],[HarvestingDate]]))</f>
        <v>2 2025</v>
      </c>
      <c r="N671">
        <f>_xlfn.NUMBERVALUE(CompilDonnées[[#This Row],[FarmID]]&amp;CompilDonnées[[#This Row],[ModuleNumber]]&amp;CompilDonnées[[#This Row],[PlantationDate]])</f>
        <v>56545665</v>
      </c>
      <c r="O671" t="str">
        <f>CompilDonnées[[#This Row],[FarmID]]&amp;CompilDonnées[[#This Row],[ModuleNumber]]</f>
        <v>565</v>
      </c>
      <c r="P671" t="str">
        <f>CompilDonnées[[#This Row],[Ref_Module]]&amp;CompilDonnées[[#This Row],[HarvestingDate]]</f>
        <v>56545705</v>
      </c>
    </row>
    <row r="672" spans="1:16">
      <c r="A672" s="5">
        <v>45665</v>
      </c>
      <c r="B672">
        <v>1</v>
      </c>
      <c r="C672" t="s">
        <v>111</v>
      </c>
      <c r="D672">
        <v>1</v>
      </c>
      <c r="E672">
        <v>100</v>
      </c>
      <c r="F672" t="s">
        <v>1</v>
      </c>
      <c r="G672" s="6">
        <v>45698</v>
      </c>
      <c r="H672">
        <v>33</v>
      </c>
      <c r="I672">
        <f>ROUND(CompilDonnées[[#This Row],[CultureDuration_days]]/7,0)</f>
        <v>5</v>
      </c>
      <c r="J672">
        <v>2134</v>
      </c>
      <c r="K672" t="str">
        <f>_xlfn.CONCAT(WEEKNUM(CompilDonnées[[#This Row],[PlantationDate]]), " ", YEAR(CompilDonnées[[#This Row],[PlantationDate]]))</f>
        <v>2 2025</v>
      </c>
      <c r="L672" t="str">
        <f>CONCATENATE(MONTH(CompilDonnées[[#This Row],[PlantationDate]])," ", YEAR(CompilDonnées[[#This Row],[PlantationDate]]))</f>
        <v>1 2025</v>
      </c>
      <c r="M672" t="str">
        <f>CONCATENATE(MONTH(CompilDonnées[[#This Row],[HarvestingDate]])," ", YEAR(CompilDonnées[[#This Row],[HarvestingDate]]))</f>
        <v>2 2025</v>
      </c>
      <c r="N672">
        <f>_xlfn.NUMBERVALUE(CompilDonnées[[#This Row],[FarmID]]&amp;CompilDonnées[[#This Row],[ModuleNumber]]&amp;CompilDonnées[[#This Row],[PlantationDate]])</f>
        <v>1145665</v>
      </c>
      <c r="O672" t="str">
        <f>CompilDonnées[[#This Row],[FarmID]]&amp;CompilDonnées[[#This Row],[ModuleNumber]]</f>
        <v>11</v>
      </c>
      <c r="P672" t="str">
        <f>CompilDonnées[[#This Row],[Ref_Module]]&amp;CompilDonnées[[#This Row],[HarvestingDate]]</f>
        <v>1145698</v>
      </c>
    </row>
    <row r="673" spans="1:16">
      <c r="A673" s="5">
        <v>45665</v>
      </c>
      <c r="B673">
        <v>9</v>
      </c>
      <c r="C673" t="s">
        <v>107</v>
      </c>
      <c r="D673">
        <v>1</v>
      </c>
      <c r="E673">
        <v>100</v>
      </c>
      <c r="F673" t="s">
        <v>1</v>
      </c>
      <c r="G673" s="6">
        <v>45705</v>
      </c>
      <c r="H673">
        <v>40</v>
      </c>
      <c r="I673">
        <f>ROUND(CompilDonnées[[#This Row],[CultureDuration_days]]/7,0)</f>
        <v>6</v>
      </c>
      <c r="J673">
        <v>2861</v>
      </c>
      <c r="K673" t="str">
        <f>_xlfn.CONCAT(WEEKNUM(CompilDonnées[[#This Row],[PlantationDate]]), " ", YEAR(CompilDonnées[[#This Row],[PlantationDate]]))</f>
        <v>2 2025</v>
      </c>
      <c r="L673" t="str">
        <f>CONCATENATE(MONTH(CompilDonnées[[#This Row],[PlantationDate]])," ", YEAR(CompilDonnées[[#This Row],[PlantationDate]]))</f>
        <v>1 2025</v>
      </c>
      <c r="M673" t="str">
        <f>CONCATENATE(MONTH(CompilDonnées[[#This Row],[HarvestingDate]])," ", YEAR(CompilDonnées[[#This Row],[HarvestingDate]]))</f>
        <v>2 2025</v>
      </c>
      <c r="N673">
        <f>_xlfn.NUMBERVALUE(CompilDonnées[[#This Row],[FarmID]]&amp;CompilDonnées[[#This Row],[ModuleNumber]]&amp;CompilDonnées[[#This Row],[PlantationDate]])</f>
        <v>9145665</v>
      </c>
      <c r="O673" t="str">
        <f>CompilDonnées[[#This Row],[FarmID]]&amp;CompilDonnées[[#This Row],[ModuleNumber]]</f>
        <v>91</v>
      </c>
      <c r="P673" t="str">
        <f>CompilDonnées[[#This Row],[Ref_Module]]&amp;CompilDonnées[[#This Row],[HarvestingDate]]</f>
        <v>9145705</v>
      </c>
    </row>
    <row r="674" spans="1:16">
      <c r="A674" s="5">
        <v>45665</v>
      </c>
      <c r="B674">
        <v>10</v>
      </c>
      <c r="C674" t="s">
        <v>109</v>
      </c>
      <c r="D674">
        <v>2</v>
      </c>
      <c r="E674">
        <v>100</v>
      </c>
      <c r="F674" t="s">
        <v>1</v>
      </c>
      <c r="G674" s="6">
        <v>45698</v>
      </c>
      <c r="H674">
        <v>33</v>
      </c>
      <c r="I674">
        <f>ROUND(CompilDonnées[[#This Row],[CultureDuration_days]]/7,0)</f>
        <v>5</v>
      </c>
      <c r="J674">
        <v>2757</v>
      </c>
      <c r="K674" t="str">
        <f>_xlfn.CONCAT(WEEKNUM(CompilDonnées[[#This Row],[PlantationDate]]), " ", YEAR(CompilDonnées[[#This Row],[PlantationDate]]))</f>
        <v>2 2025</v>
      </c>
      <c r="L674" t="str">
        <f>CONCATENATE(MONTH(CompilDonnées[[#This Row],[PlantationDate]])," ", YEAR(CompilDonnées[[#This Row],[PlantationDate]]))</f>
        <v>1 2025</v>
      </c>
      <c r="M674" t="str">
        <f>CONCATENATE(MONTH(CompilDonnées[[#This Row],[HarvestingDate]])," ", YEAR(CompilDonnées[[#This Row],[HarvestingDate]]))</f>
        <v>2 2025</v>
      </c>
      <c r="N674">
        <f>_xlfn.NUMBERVALUE(CompilDonnées[[#This Row],[FarmID]]&amp;CompilDonnées[[#This Row],[ModuleNumber]]&amp;CompilDonnées[[#This Row],[PlantationDate]])</f>
        <v>10245665</v>
      </c>
      <c r="O674" t="str">
        <f>CompilDonnées[[#This Row],[FarmID]]&amp;CompilDonnées[[#This Row],[ModuleNumber]]</f>
        <v>102</v>
      </c>
      <c r="P674" t="str">
        <f>CompilDonnées[[#This Row],[Ref_Module]]&amp;CompilDonnées[[#This Row],[HarvestingDate]]</f>
        <v>10245698</v>
      </c>
    </row>
    <row r="675" spans="1:16">
      <c r="A675" s="5">
        <v>45665</v>
      </c>
      <c r="B675">
        <v>10</v>
      </c>
      <c r="C675" t="s">
        <v>109</v>
      </c>
      <c r="D675">
        <v>3</v>
      </c>
      <c r="E675">
        <v>100</v>
      </c>
      <c r="F675" t="s">
        <v>1</v>
      </c>
      <c r="G675" s="6">
        <v>45712</v>
      </c>
      <c r="H675">
        <v>47</v>
      </c>
      <c r="I675">
        <f>ROUND(CompilDonnées[[#This Row],[CultureDuration_days]]/7,0)</f>
        <v>7</v>
      </c>
      <c r="J675">
        <v>3211</v>
      </c>
      <c r="K675" t="str">
        <f>_xlfn.CONCAT(WEEKNUM(CompilDonnées[[#This Row],[PlantationDate]]), " ", YEAR(CompilDonnées[[#This Row],[PlantationDate]]))</f>
        <v>2 2025</v>
      </c>
      <c r="L675" t="str">
        <f>CONCATENATE(MONTH(CompilDonnées[[#This Row],[PlantationDate]])," ", YEAR(CompilDonnées[[#This Row],[PlantationDate]]))</f>
        <v>1 2025</v>
      </c>
      <c r="M675" t="str">
        <f>CONCATENATE(MONTH(CompilDonnées[[#This Row],[HarvestingDate]])," ", YEAR(CompilDonnées[[#This Row],[HarvestingDate]]))</f>
        <v>2 2025</v>
      </c>
      <c r="N675">
        <f>_xlfn.NUMBERVALUE(CompilDonnées[[#This Row],[FarmID]]&amp;CompilDonnées[[#This Row],[ModuleNumber]]&amp;CompilDonnées[[#This Row],[PlantationDate]])</f>
        <v>10345665</v>
      </c>
      <c r="O675" t="str">
        <f>CompilDonnées[[#This Row],[FarmID]]&amp;CompilDonnées[[#This Row],[ModuleNumber]]</f>
        <v>103</v>
      </c>
      <c r="P675" t="str">
        <f>CompilDonnées[[#This Row],[Ref_Module]]&amp;CompilDonnées[[#This Row],[HarvestingDate]]</f>
        <v>10345712</v>
      </c>
    </row>
    <row r="676" spans="1:16">
      <c r="A676" s="5">
        <v>45665</v>
      </c>
      <c r="B676">
        <v>8</v>
      </c>
      <c r="C676" t="s">
        <v>57</v>
      </c>
      <c r="D676">
        <v>1</v>
      </c>
      <c r="E676">
        <v>100</v>
      </c>
      <c r="F676" t="s">
        <v>1</v>
      </c>
      <c r="G676" s="6">
        <v>45705</v>
      </c>
      <c r="H676">
        <v>40</v>
      </c>
      <c r="I676">
        <f>ROUND(CompilDonnées[[#This Row],[CultureDuration_days]]/7,0)</f>
        <v>6</v>
      </c>
      <c r="J676">
        <v>2785</v>
      </c>
      <c r="K676" t="str">
        <f>_xlfn.CONCAT(WEEKNUM(CompilDonnées[[#This Row],[PlantationDate]]), " ", YEAR(CompilDonnées[[#This Row],[PlantationDate]]))</f>
        <v>2 2025</v>
      </c>
      <c r="L676" t="str">
        <f>CONCATENATE(MONTH(CompilDonnées[[#This Row],[PlantationDate]])," ", YEAR(CompilDonnées[[#This Row],[PlantationDate]]))</f>
        <v>1 2025</v>
      </c>
      <c r="M676" t="str">
        <f>CONCATENATE(MONTH(CompilDonnées[[#This Row],[HarvestingDate]])," ", YEAR(CompilDonnées[[#This Row],[HarvestingDate]]))</f>
        <v>2 2025</v>
      </c>
      <c r="N676">
        <f>_xlfn.NUMBERVALUE(CompilDonnées[[#This Row],[FarmID]]&amp;CompilDonnées[[#This Row],[ModuleNumber]]&amp;CompilDonnées[[#This Row],[PlantationDate]])</f>
        <v>8145665</v>
      </c>
      <c r="O676" t="str">
        <f>CompilDonnées[[#This Row],[FarmID]]&amp;CompilDonnées[[#This Row],[ModuleNumber]]</f>
        <v>81</v>
      </c>
      <c r="P676" t="str">
        <f>CompilDonnées[[#This Row],[Ref_Module]]&amp;CompilDonnées[[#This Row],[HarvestingDate]]</f>
        <v>8145705</v>
      </c>
    </row>
    <row r="677" spans="1:16">
      <c r="A677" s="5">
        <v>45665</v>
      </c>
      <c r="B677">
        <v>13</v>
      </c>
      <c r="C677" t="s">
        <v>114</v>
      </c>
      <c r="D677">
        <v>6</v>
      </c>
      <c r="E677">
        <v>100</v>
      </c>
      <c r="F677" t="s">
        <v>1</v>
      </c>
      <c r="G677" s="6">
        <v>45705</v>
      </c>
      <c r="H677">
        <v>40</v>
      </c>
      <c r="I677">
        <f>ROUND(CompilDonnées[[#This Row],[CultureDuration_days]]/7,0)</f>
        <v>6</v>
      </c>
      <c r="J677">
        <v>2857</v>
      </c>
      <c r="K677" t="str">
        <f>_xlfn.CONCAT(WEEKNUM(CompilDonnées[[#This Row],[PlantationDate]]), " ", YEAR(CompilDonnées[[#This Row],[PlantationDate]]))</f>
        <v>2 2025</v>
      </c>
      <c r="L677" t="str">
        <f>CONCATENATE(MONTH(CompilDonnées[[#This Row],[PlantationDate]])," ", YEAR(CompilDonnées[[#This Row],[PlantationDate]]))</f>
        <v>1 2025</v>
      </c>
      <c r="M677" t="str">
        <f>CONCATENATE(MONTH(CompilDonnées[[#This Row],[HarvestingDate]])," ", YEAR(CompilDonnées[[#This Row],[HarvestingDate]]))</f>
        <v>2 2025</v>
      </c>
      <c r="N677">
        <f>_xlfn.NUMBERVALUE(CompilDonnées[[#This Row],[FarmID]]&amp;CompilDonnées[[#This Row],[ModuleNumber]]&amp;CompilDonnées[[#This Row],[PlantationDate]])</f>
        <v>13645665</v>
      </c>
      <c r="O677" t="str">
        <f>CompilDonnées[[#This Row],[FarmID]]&amp;CompilDonnées[[#This Row],[ModuleNumber]]</f>
        <v>136</v>
      </c>
      <c r="P677" t="str">
        <f>CompilDonnées[[#This Row],[Ref_Module]]&amp;CompilDonnées[[#This Row],[HarvestingDate]]</f>
        <v>13645705</v>
      </c>
    </row>
    <row r="678" spans="1:16">
      <c r="A678" s="5">
        <v>45665</v>
      </c>
      <c r="B678">
        <v>20</v>
      </c>
      <c r="C678" t="s">
        <v>53</v>
      </c>
      <c r="D678">
        <v>1</v>
      </c>
      <c r="E678">
        <v>100</v>
      </c>
      <c r="F678" t="s">
        <v>1</v>
      </c>
      <c r="G678" s="6">
        <v>45712</v>
      </c>
      <c r="H678">
        <v>47</v>
      </c>
      <c r="I678">
        <f>ROUND(CompilDonnées[[#This Row],[CultureDuration_days]]/7,0)</f>
        <v>7</v>
      </c>
      <c r="J678">
        <v>3218</v>
      </c>
      <c r="K678" t="str">
        <f>_xlfn.CONCAT(WEEKNUM(CompilDonnées[[#This Row],[PlantationDate]]), " ", YEAR(CompilDonnées[[#This Row],[PlantationDate]]))</f>
        <v>2 2025</v>
      </c>
      <c r="L678" t="str">
        <f>CONCATENATE(MONTH(CompilDonnées[[#This Row],[PlantationDate]])," ", YEAR(CompilDonnées[[#This Row],[PlantationDate]]))</f>
        <v>1 2025</v>
      </c>
      <c r="M678" t="str">
        <f>CONCATENATE(MONTH(CompilDonnées[[#This Row],[HarvestingDate]])," ", YEAR(CompilDonnées[[#This Row],[HarvestingDate]]))</f>
        <v>2 2025</v>
      </c>
      <c r="N678">
        <f>_xlfn.NUMBERVALUE(CompilDonnées[[#This Row],[FarmID]]&amp;CompilDonnées[[#This Row],[ModuleNumber]]&amp;CompilDonnées[[#This Row],[PlantationDate]])</f>
        <v>20145665</v>
      </c>
      <c r="O678" t="str">
        <f>CompilDonnées[[#This Row],[FarmID]]&amp;CompilDonnées[[#This Row],[ModuleNumber]]</f>
        <v>201</v>
      </c>
      <c r="P678" t="str">
        <f>CompilDonnées[[#This Row],[Ref_Module]]&amp;CompilDonnées[[#This Row],[HarvestingDate]]</f>
        <v>20145712</v>
      </c>
    </row>
    <row r="679" spans="1:16">
      <c r="A679" s="5">
        <v>45665</v>
      </c>
      <c r="B679">
        <v>61</v>
      </c>
      <c r="C679" t="s">
        <v>95</v>
      </c>
      <c r="D679">
        <v>1</v>
      </c>
      <c r="E679">
        <v>100</v>
      </c>
      <c r="F679" t="s">
        <v>1</v>
      </c>
      <c r="G679" s="6">
        <v>45705</v>
      </c>
      <c r="H679">
        <v>40</v>
      </c>
      <c r="I679">
        <f>ROUND(CompilDonnées[[#This Row],[CultureDuration_days]]/7,0)</f>
        <v>6</v>
      </c>
      <c r="J679">
        <v>2485</v>
      </c>
      <c r="K679" t="str">
        <f>_xlfn.CONCAT(WEEKNUM(CompilDonnées[[#This Row],[PlantationDate]]), " ", YEAR(CompilDonnées[[#This Row],[PlantationDate]]))</f>
        <v>2 2025</v>
      </c>
      <c r="L679" t="str">
        <f>CONCATENATE(MONTH(CompilDonnées[[#This Row],[PlantationDate]])," ", YEAR(CompilDonnées[[#This Row],[PlantationDate]]))</f>
        <v>1 2025</v>
      </c>
      <c r="M679" t="str">
        <f>CONCATENATE(MONTH(CompilDonnées[[#This Row],[HarvestingDate]])," ", YEAR(CompilDonnées[[#This Row],[HarvestingDate]]))</f>
        <v>2 2025</v>
      </c>
      <c r="N679">
        <f>_xlfn.NUMBERVALUE(CompilDonnées[[#This Row],[FarmID]]&amp;CompilDonnées[[#This Row],[ModuleNumber]]&amp;CompilDonnées[[#This Row],[PlantationDate]])</f>
        <v>61145665</v>
      </c>
      <c r="O679" t="str">
        <f>CompilDonnées[[#This Row],[FarmID]]&amp;CompilDonnées[[#This Row],[ModuleNumber]]</f>
        <v>611</v>
      </c>
      <c r="P679" t="str">
        <f>CompilDonnées[[#This Row],[Ref_Module]]&amp;CompilDonnées[[#This Row],[HarvestingDate]]</f>
        <v>61145705</v>
      </c>
    </row>
    <row r="680" spans="1:16">
      <c r="A680" s="5">
        <v>45665</v>
      </c>
      <c r="B680">
        <v>61</v>
      </c>
      <c r="C680" t="s">
        <v>95</v>
      </c>
      <c r="D680">
        <v>2</v>
      </c>
      <c r="E680">
        <v>100</v>
      </c>
      <c r="F680" t="s">
        <v>1</v>
      </c>
      <c r="G680" s="6">
        <v>45705</v>
      </c>
      <c r="H680">
        <v>40</v>
      </c>
      <c r="I680">
        <f>ROUND(CompilDonnées[[#This Row],[CultureDuration_days]]/7,0)</f>
        <v>6</v>
      </c>
      <c r="J680">
        <v>1759</v>
      </c>
      <c r="K680" t="str">
        <f>_xlfn.CONCAT(WEEKNUM(CompilDonnées[[#This Row],[PlantationDate]]), " ", YEAR(CompilDonnées[[#This Row],[PlantationDate]]))</f>
        <v>2 2025</v>
      </c>
      <c r="L680" t="str">
        <f>CONCATENATE(MONTH(CompilDonnées[[#This Row],[PlantationDate]])," ", YEAR(CompilDonnées[[#This Row],[PlantationDate]]))</f>
        <v>1 2025</v>
      </c>
      <c r="M680" t="str">
        <f>CONCATENATE(MONTH(CompilDonnées[[#This Row],[HarvestingDate]])," ", YEAR(CompilDonnées[[#This Row],[HarvestingDate]]))</f>
        <v>2 2025</v>
      </c>
      <c r="N680">
        <f>_xlfn.NUMBERVALUE(CompilDonnées[[#This Row],[FarmID]]&amp;CompilDonnées[[#This Row],[ModuleNumber]]&amp;CompilDonnées[[#This Row],[PlantationDate]])</f>
        <v>61245665</v>
      </c>
      <c r="O680" t="str">
        <f>CompilDonnées[[#This Row],[FarmID]]&amp;CompilDonnées[[#This Row],[ModuleNumber]]</f>
        <v>612</v>
      </c>
      <c r="P680" t="str">
        <f>CompilDonnées[[#This Row],[Ref_Module]]&amp;CompilDonnées[[#This Row],[HarvestingDate]]</f>
        <v>61245705</v>
      </c>
    </row>
    <row r="681" spans="1:16">
      <c r="A681" s="5">
        <v>45665</v>
      </c>
      <c r="B681">
        <v>63</v>
      </c>
      <c r="C681" t="s">
        <v>98</v>
      </c>
      <c r="D681">
        <v>1</v>
      </c>
      <c r="E681">
        <v>100</v>
      </c>
      <c r="F681" t="s">
        <v>1</v>
      </c>
      <c r="G681" s="6">
        <v>45705</v>
      </c>
      <c r="H681">
        <v>40</v>
      </c>
      <c r="I681">
        <f>ROUND(CompilDonnées[[#This Row],[CultureDuration_days]]/7,0)</f>
        <v>6</v>
      </c>
      <c r="J681">
        <v>2032</v>
      </c>
      <c r="K681" t="str">
        <f>_xlfn.CONCAT(WEEKNUM(CompilDonnées[[#This Row],[PlantationDate]]), " ", YEAR(CompilDonnées[[#This Row],[PlantationDate]]))</f>
        <v>2 2025</v>
      </c>
      <c r="L681" t="str">
        <f>CONCATENATE(MONTH(CompilDonnées[[#This Row],[PlantationDate]])," ", YEAR(CompilDonnées[[#This Row],[PlantationDate]]))</f>
        <v>1 2025</v>
      </c>
      <c r="M681" t="str">
        <f>CONCATENATE(MONTH(CompilDonnées[[#This Row],[HarvestingDate]])," ", YEAR(CompilDonnées[[#This Row],[HarvestingDate]]))</f>
        <v>2 2025</v>
      </c>
      <c r="N681">
        <f>_xlfn.NUMBERVALUE(CompilDonnées[[#This Row],[FarmID]]&amp;CompilDonnées[[#This Row],[ModuleNumber]]&amp;CompilDonnées[[#This Row],[PlantationDate]])</f>
        <v>63145665</v>
      </c>
      <c r="O681" t="str">
        <f>CompilDonnées[[#This Row],[FarmID]]&amp;CompilDonnées[[#This Row],[ModuleNumber]]</f>
        <v>631</v>
      </c>
      <c r="P681" t="str">
        <f>CompilDonnées[[#This Row],[Ref_Module]]&amp;CompilDonnées[[#This Row],[HarvestingDate]]</f>
        <v>63145705</v>
      </c>
    </row>
    <row r="682" spans="1:16">
      <c r="A682" s="5">
        <v>45665</v>
      </c>
      <c r="B682">
        <v>63</v>
      </c>
      <c r="C682" t="s">
        <v>98</v>
      </c>
      <c r="D682">
        <v>2</v>
      </c>
      <c r="E682">
        <v>100</v>
      </c>
      <c r="F682" t="s">
        <v>1</v>
      </c>
      <c r="G682" s="6">
        <v>45705</v>
      </c>
      <c r="H682">
        <v>40</v>
      </c>
      <c r="I682">
        <f>ROUND(CompilDonnées[[#This Row],[CultureDuration_days]]/7,0)</f>
        <v>6</v>
      </c>
      <c r="J682">
        <v>2105</v>
      </c>
      <c r="K682" t="str">
        <f>_xlfn.CONCAT(WEEKNUM(CompilDonnées[[#This Row],[PlantationDate]]), " ", YEAR(CompilDonnées[[#This Row],[PlantationDate]]))</f>
        <v>2 2025</v>
      </c>
      <c r="L682" t="str">
        <f>CONCATENATE(MONTH(CompilDonnées[[#This Row],[PlantationDate]])," ", YEAR(CompilDonnées[[#This Row],[PlantationDate]]))</f>
        <v>1 2025</v>
      </c>
      <c r="M682" t="str">
        <f>CONCATENATE(MONTH(CompilDonnées[[#This Row],[HarvestingDate]])," ", YEAR(CompilDonnées[[#This Row],[HarvestingDate]]))</f>
        <v>2 2025</v>
      </c>
      <c r="N682">
        <f>_xlfn.NUMBERVALUE(CompilDonnées[[#This Row],[FarmID]]&amp;CompilDonnées[[#This Row],[ModuleNumber]]&amp;CompilDonnées[[#This Row],[PlantationDate]])</f>
        <v>63245665</v>
      </c>
      <c r="O682" t="str">
        <f>CompilDonnées[[#This Row],[FarmID]]&amp;CompilDonnées[[#This Row],[ModuleNumber]]</f>
        <v>632</v>
      </c>
      <c r="P682" t="str">
        <f>CompilDonnées[[#This Row],[Ref_Module]]&amp;CompilDonnées[[#This Row],[HarvestingDate]]</f>
        <v>63245705</v>
      </c>
    </row>
    <row r="683" spans="1:16">
      <c r="A683" s="5">
        <v>45665</v>
      </c>
      <c r="B683">
        <v>60</v>
      </c>
      <c r="C683" t="s">
        <v>113</v>
      </c>
      <c r="D683">
        <v>1</v>
      </c>
      <c r="E683">
        <v>100</v>
      </c>
      <c r="F683" t="s">
        <v>1</v>
      </c>
      <c r="G683" s="6">
        <v>45706</v>
      </c>
      <c r="H683">
        <v>41</v>
      </c>
      <c r="I683">
        <f>ROUND(CompilDonnées[[#This Row],[CultureDuration_days]]/7,0)</f>
        <v>6</v>
      </c>
      <c r="J683">
        <v>2283</v>
      </c>
      <c r="K683" t="str">
        <f>_xlfn.CONCAT(WEEKNUM(CompilDonnées[[#This Row],[PlantationDate]]), " ", YEAR(CompilDonnées[[#This Row],[PlantationDate]]))</f>
        <v>2 2025</v>
      </c>
      <c r="L683" t="str">
        <f>CONCATENATE(MONTH(CompilDonnées[[#This Row],[PlantationDate]])," ", YEAR(CompilDonnées[[#This Row],[PlantationDate]]))</f>
        <v>1 2025</v>
      </c>
      <c r="M683" t="str">
        <f>CONCATENATE(MONTH(CompilDonnées[[#This Row],[HarvestingDate]])," ", YEAR(CompilDonnées[[#This Row],[HarvestingDate]]))</f>
        <v>2 2025</v>
      </c>
      <c r="N683">
        <f>_xlfn.NUMBERVALUE(CompilDonnées[[#This Row],[FarmID]]&amp;CompilDonnées[[#This Row],[ModuleNumber]]&amp;CompilDonnées[[#This Row],[PlantationDate]])</f>
        <v>60145665</v>
      </c>
      <c r="O683" t="str">
        <f>CompilDonnées[[#This Row],[FarmID]]&amp;CompilDonnées[[#This Row],[ModuleNumber]]</f>
        <v>601</v>
      </c>
      <c r="P683" t="str">
        <f>CompilDonnées[[#This Row],[Ref_Module]]&amp;CompilDonnées[[#This Row],[HarvestingDate]]</f>
        <v>60145706</v>
      </c>
    </row>
    <row r="684" spans="1:16">
      <c r="A684" s="5">
        <v>45665</v>
      </c>
      <c r="B684">
        <v>62</v>
      </c>
      <c r="C684" t="s">
        <v>3</v>
      </c>
      <c r="D684">
        <v>1</v>
      </c>
      <c r="E684">
        <v>100</v>
      </c>
      <c r="F684" t="s">
        <v>1</v>
      </c>
      <c r="G684" s="6">
        <v>45701</v>
      </c>
      <c r="H684">
        <v>36</v>
      </c>
      <c r="I684">
        <f>ROUND(CompilDonnées[[#This Row],[CultureDuration_days]]/7,0)</f>
        <v>5</v>
      </c>
      <c r="J684">
        <v>2195</v>
      </c>
      <c r="K684" t="str">
        <f>_xlfn.CONCAT(WEEKNUM(CompilDonnées[[#This Row],[PlantationDate]]), " ", YEAR(CompilDonnées[[#This Row],[PlantationDate]]))</f>
        <v>2 2025</v>
      </c>
      <c r="L684" t="str">
        <f>CONCATENATE(MONTH(CompilDonnées[[#This Row],[PlantationDate]])," ", YEAR(CompilDonnées[[#This Row],[PlantationDate]]))</f>
        <v>1 2025</v>
      </c>
      <c r="M684" t="str">
        <f>CONCATENATE(MONTH(CompilDonnées[[#This Row],[HarvestingDate]])," ", YEAR(CompilDonnées[[#This Row],[HarvestingDate]]))</f>
        <v>2 2025</v>
      </c>
      <c r="N684">
        <f>_xlfn.NUMBERVALUE(CompilDonnées[[#This Row],[FarmID]]&amp;CompilDonnées[[#This Row],[ModuleNumber]]&amp;CompilDonnées[[#This Row],[PlantationDate]])</f>
        <v>62145665</v>
      </c>
      <c r="O684" t="str">
        <f>CompilDonnées[[#This Row],[FarmID]]&amp;CompilDonnées[[#This Row],[ModuleNumber]]</f>
        <v>621</v>
      </c>
      <c r="P684" t="str">
        <f>CompilDonnées[[#This Row],[Ref_Module]]&amp;CompilDonnées[[#This Row],[HarvestingDate]]</f>
        <v>62145701</v>
      </c>
    </row>
    <row r="685" spans="1:16">
      <c r="A685" s="5">
        <v>45665</v>
      </c>
      <c r="B685">
        <v>62</v>
      </c>
      <c r="C685" t="s">
        <v>3</v>
      </c>
      <c r="D685">
        <v>2</v>
      </c>
      <c r="E685">
        <v>68</v>
      </c>
      <c r="F685" t="s">
        <v>1</v>
      </c>
      <c r="G685" s="6">
        <v>45701</v>
      </c>
      <c r="H685">
        <v>36</v>
      </c>
      <c r="I685">
        <f>ROUND(CompilDonnées[[#This Row],[CultureDuration_days]]/7,0)</f>
        <v>5</v>
      </c>
      <c r="J685">
        <v>1636</v>
      </c>
      <c r="K685" t="str">
        <f>_xlfn.CONCAT(WEEKNUM(CompilDonnées[[#This Row],[PlantationDate]]), " ", YEAR(CompilDonnées[[#This Row],[PlantationDate]]))</f>
        <v>2 2025</v>
      </c>
      <c r="L685" t="str">
        <f>CONCATENATE(MONTH(CompilDonnées[[#This Row],[PlantationDate]])," ", YEAR(CompilDonnées[[#This Row],[PlantationDate]]))</f>
        <v>1 2025</v>
      </c>
      <c r="M685" t="str">
        <f>CONCATENATE(MONTH(CompilDonnées[[#This Row],[HarvestingDate]])," ", YEAR(CompilDonnées[[#This Row],[HarvestingDate]]))</f>
        <v>2 2025</v>
      </c>
      <c r="N685">
        <f>_xlfn.NUMBERVALUE(CompilDonnées[[#This Row],[FarmID]]&amp;CompilDonnées[[#This Row],[ModuleNumber]]&amp;CompilDonnées[[#This Row],[PlantationDate]])</f>
        <v>62245665</v>
      </c>
      <c r="O685" t="str">
        <f>CompilDonnées[[#This Row],[FarmID]]&amp;CompilDonnées[[#This Row],[ModuleNumber]]</f>
        <v>622</v>
      </c>
      <c r="P685" t="str">
        <f>CompilDonnées[[#This Row],[Ref_Module]]&amp;CompilDonnées[[#This Row],[HarvestingDate]]</f>
        <v>62245701</v>
      </c>
    </row>
    <row r="686" spans="1:16">
      <c r="A686" s="5">
        <v>45665</v>
      </c>
      <c r="B686">
        <v>62</v>
      </c>
      <c r="C686" t="s">
        <v>3</v>
      </c>
      <c r="D686">
        <v>3</v>
      </c>
      <c r="E686">
        <v>52</v>
      </c>
      <c r="F686" t="s">
        <v>1</v>
      </c>
      <c r="G686" s="6">
        <v>45701</v>
      </c>
      <c r="H686">
        <v>36</v>
      </c>
      <c r="I686">
        <f>ROUND(CompilDonnées[[#This Row],[CultureDuration_days]]/7,0)</f>
        <v>5</v>
      </c>
      <c r="J686">
        <v>1044</v>
      </c>
      <c r="K686" t="str">
        <f>_xlfn.CONCAT(WEEKNUM(CompilDonnées[[#This Row],[PlantationDate]]), " ", YEAR(CompilDonnées[[#This Row],[PlantationDate]]))</f>
        <v>2 2025</v>
      </c>
      <c r="L686" t="str">
        <f>CONCATENATE(MONTH(CompilDonnées[[#This Row],[PlantationDate]])," ", YEAR(CompilDonnées[[#This Row],[PlantationDate]]))</f>
        <v>1 2025</v>
      </c>
      <c r="M686" t="str">
        <f>CONCATENATE(MONTH(CompilDonnées[[#This Row],[HarvestingDate]])," ", YEAR(CompilDonnées[[#This Row],[HarvestingDate]]))</f>
        <v>2 2025</v>
      </c>
      <c r="N686">
        <f>_xlfn.NUMBERVALUE(CompilDonnées[[#This Row],[FarmID]]&amp;CompilDonnées[[#This Row],[ModuleNumber]]&amp;CompilDonnées[[#This Row],[PlantationDate]])</f>
        <v>62345665</v>
      </c>
      <c r="O686" t="str">
        <f>CompilDonnées[[#This Row],[FarmID]]&amp;CompilDonnées[[#This Row],[ModuleNumber]]</f>
        <v>623</v>
      </c>
      <c r="P686" t="str">
        <f>CompilDonnées[[#This Row],[Ref_Module]]&amp;CompilDonnées[[#This Row],[HarvestingDate]]</f>
        <v>62345701</v>
      </c>
    </row>
    <row r="687" spans="1:16">
      <c r="A687" s="5">
        <v>45665</v>
      </c>
      <c r="B687">
        <v>62</v>
      </c>
      <c r="C687" t="s">
        <v>3</v>
      </c>
      <c r="D687">
        <v>4</v>
      </c>
      <c r="E687">
        <v>68</v>
      </c>
      <c r="F687" t="s">
        <v>1</v>
      </c>
      <c r="G687" s="6">
        <v>45701</v>
      </c>
      <c r="H687">
        <v>36</v>
      </c>
      <c r="I687">
        <f>ROUND(CompilDonnées[[#This Row],[CultureDuration_days]]/7,0)</f>
        <v>5</v>
      </c>
      <c r="J687">
        <v>1753</v>
      </c>
      <c r="K687" t="str">
        <f>_xlfn.CONCAT(WEEKNUM(CompilDonnées[[#This Row],[PlantationDate]]), " ", YEAR(CompilDonnées[[#This Row],[PlantationDate]]))</f>
        <v>2 2025</v>
      </c>
      <c r="L687" t="str">
        <f>CONCATENATE(MONTH(CompilDonnées[[#This Row],[PlantationDate]])," ", YEAR(CompilDonnées[[#This Row],[PlantationDate]]))</f>
        <v>1 2025</v>
      </c>
      <c r="M687" t="str">
        <f>CONCATENATE(MONTH(CompilDonnées[[#This Row],[HarvestingDate]])," ", YEAR(CompilDonnées[[#This Row],[HarvestingDate]]))</f>
        <v>2 2025</v>
      </c>
      <c r="N687">
        <f>_xlfn.NUMBERVALUE(CompilDonnées[[#This Row],[FarmID]]&amp;CompilDonnées[[#This Row],[ModuleNumber]]&amp;CompilDonnées[[#This Row],[PlantationDate]])</f>
        <v>62445665</v>
      </c>
      <c r="O687" t="str">
        <f>CompilDonnées[[#This Row],[FarmID]]&amp;CompilDonnées[[#This Row],[ModuleNumber]]</f>
        <v>624</v>
      </c>
      <c r="P687" t="str">
        <f>CompilDonnées[[#This Row],[Ref_Module]]&amp;CompilDonnées[[#This Row],[HarvestingDate]]</f>
        <v>62445701</v>
      </c>
    </row>
    <row r="688" spans="1:16">
      <c r="A688" s="5">
        <v>45665</v>
      </c>
      <c r="B688">
        <v>62</v>
      </c>
      <c r="C688" t="s">
        <v>3</v>
      </c>
      <c r="D688">
        <v>5</v>
      </c>
      <c r="E688">
        <v>68</v>
      </c>
      <c r="F688" t="s">
        <v>1</v>
      </c>
      <c r="G688" s="6">
        <v>45701</v>
      </c>
      <c r="H688">
        <v>36</v>
      </c>
      <c r="I688">
        <f>ROUND(CompilDonnées[[#This Row],[CultureDuration_days]]/7,0)</f>
        <v>5</v>
      </c>
      <c r="J688">
        <v>1625</v>
      </c>
      <c r="K688" t="str">
        <f>_xlfn.CONCAT(WEEKNUM(CompilDonnées[[#This Row],[PlantationDate]]), " ", YEAR(CompilDonnées[[#This Row],[PlantationDate]]))</f>
        <v>2 2025</v>
      </c>
      <c r="L688" t="str">
        <f>CONCATENATE(MONTH(CompilDonnées[[#This Row],[PlantationDate]])," ", YEAR(CompilDonnées[[#This Row],[PlantationDate]]))</f>
        <v>1 2025</v>
      </c>
      <c r="M688" t="str">
        <f>CONCATENATE(MONTH(CompilDonnées[[#This Row],[HarvestingDate]])," ", YEAR(CompilDonnées[[#This Row],[HarvestingDate]]))</f>
        <v>2 2025</v>
      </c>
      <c r="N688">
        <f>_xlfn.NUMBERVALUE(CompilDonnées[[#This Row],[FarmID]]&amp;CompilDonnées[[#This Row],[ModuleNumber]]&amp;CompilDonnées[[#This Row],[PlantationDate]])</f>
        <v>62545665</v>
      </c>
      <c r="O688" t="str">
        <f>CompilDonnées[[#This Row],[FarmID]]&amp;CompilDonnées[[#This Row],[ModuleNumber]]</f>
        <v>625</v>
      </c>
      <c r="P688" t="str">
        <f>CompilDonnées[[#This Row],[Ref_Module]]&amp;CompilDonnées[[#This Row],[HarvestingDate]]</f>
        <v>62545701</v>
      </c>
    </row>
    <row r="689" spans="1:16">
      <c r="A689" s="5">
        <v>45665</v>
      </c>
      <c r="B689">
        <v>62</v>
      </c>
      <c r="C689" t="s">
        <v>3</v>
      </c>
      <c r="D689">
        <v>6</v>
      </c>
      <c r="E689">
        <v>68</v>
      </c>
      <c r="F689" t="s">
        <v>1</v>
      </c>
      <c r="G689" s="6">
        <v>45701</v>
      </c>
      <c r="H689">
        <v>36</v>
      </c>
      <c r="I689">
        <f>ROUND(CompilDonnées[[#This Row],[CultureDuration_days]]/7,0)</f>
        <v>5</v>
      </c>
      <c r="J689">
        <v>1304</v>
      </c>
      <c r="K689" t="str">
        <f>_xlfn.CONCAT(WEEKNUM(CompilDonnées[[#This Row],[PlantationDate]]), " ", YEAR(CompilDonnées[[#This Row],[PlantationDate]]))</f>
        <v>2 2025</v>
      </c>
      <c r="L689" t="str">
        <f>CONCATENATE(MONTH(CompilDonnées[[#This Row],[PlantationDate]])," ", YEAR(CompilDonnées[[#This Row],[PlantationDate]]))</f>
        <v>1 2025</v>
      </c>
      <c r="M689" t="str">
        <f>CONCATENATE(MONTH(CompilDonnées[[#This Row],[HarvestingDate]])," ", YEAR(CompilDonnées[[#This Row],[HarvestingDate]]))</f>
        <v>2 2025</v>
      </c>
      <c r="N689">
        <f>_xlfn.NUMBERVALUE(CompilDonnées[[#This Row],[FarmID]]&amp;CompilDonnées[[#This Row],[ModuleNumber]]&amp;CompilDonnées[[#This Row],[PlantationDate]])</f>
        <v>62645665</v>
      </c>
      <c r="O689" t="str">
        <f>CompilDonnées[[#This Row],[FarmID]]&amp;CompilDonnées[[#This Row],[ModuleNumber]]</f>
        <v>626</v>
      </c>
      <c r="P689" t="str">
        <f>CompilDonnées[[#This Row],[Ref_Module]]&amp;CompilDonnées[[#This Row],[HarvestingDate]]</f>
        <v>62645701</v>
      </c>
    </row>
    <row r="690" spans="1:16">
      <c r="A690" s="5">
        <v>45666</v>
      </c>
      <c r="B690">
        <v>84</v>
      </c>
      <c r="C690" t="s">
        <v>65</v>
      </c>
      <c r="D690">
        <v>1</v>
      </c>
      <c r="E690">
        <v>100</v>
      </c>
      <c r="F690" t="s">
        <v>1</v>
      </c>
      <c r="G690" s="6">
        <v>45706</v>
      </c>
      <c r="H690">
        <v>40</v>
      </c>
      <c r="I690">
        <f>ROUND(CompilDonnées[[#This Row],[CultureDuration_days]]/7,0)</f>
        <v>6</v>
      </c>
      <c r="J690">
        <v>3213</v>
      </c>
      <c r="K690" t="str">
        <f>_xlfn.CONCAT(WEEKNUM(CompilDonnées[[#This Row],[PlantationDate]]), " ", YEAR(CompilDonnées[[#This Row],[PlantationDate]]))</f>
        <v>2 2025</v>
      </c>
      <c r="L690" t="str">
        <f>CONCATENATE(MONTH(CompilDonnées[[#This Row],[PlantationDate]])," ", YEAR(CompilDonnées[[#This Row],[PlantationDate]]))</f>
        <v>1 2025</v>
      </c>
      <c r="M690" t="str">
        <f>CONCATENATE(MONTH(CompilDonnées[[#This Row],[HarvestingDate]])," ", YEAR(CompilDonnées[[#This Row],[HarvestingDate]]))</f>
        <v>2 2025</v>
      </c>
      <c r="N690">
        <f>_xlfn.NUMBERVALUE(CompilDonnées[[#This Row],[FarmID]]&amp;CompilDonnées[[#This Row],[ModuleNumber]]&amp;CompilDonnées[[#This Row],[PlantationDate]])</f>
        <v>84145666</v>
      </c>
      <c r="O690" t="str">
        <f>CompilDonnées[[#This Row],[FarmID]]&amp;CompilDonnées[[#This Row],[ModuleNumber]]</f>
        <v>841</v>
      </c>
      <c r="P690" t="str">
        <f>CompilDonnées[[#This Row],[Ref_Module]]&amp;CompilDonnées[[#This Row],[HarvestingDate]]</f>
        <v>84145706</v>
      </c>
    </row>
    <row r="691" spans="1:16">
      <c r="A691" s="5">
        <v>45666</v>
      </c>
      <c r="B691">
        <v>80</v>
      </c>
      <c r="C691" t="s">
        <v>29</v>
      </c>
      <c r="D691">
        <v>5</v>
      </c>
      <c r="E691">
        <v>100</v>
      </c>
      <c r="F691" t="s">
        <v>1</v>
      </c>
      <c r="G691" s="6">
        <v>45706</v>
      </c>
      <c r="H691">
        <v>40</v>
      </c>
      <c r="I691">
        <f>ROUND(CompilDonnées[[#This Row],[CultureDuration_days]]/7,0)</f>
        <v>6</v>
      </c>
      <c r="J691">
        <v>4070</v>
      </c>
      <c r="K691" t="str">
        <f>_xlfn.CONCAT(WEEKNUM(CompilDonnées[[#This Row],[PlantationDate]]), " ", YEAR(CompilDonnées[[#This Row],[PlantationDate]]))</f>
        <v>2 2025</v>
      </c>
      <c r="L691" t="str">
        <f>CONCATENATE(MONTH(CompilDonnées[[#This Row],[PlantationDate]])," ", YEAR(CompilDonnées[[#This Row],[PlantationDate]]))</f>
        <v>1 2025</v>
      </c>
      <c r="M691" t="str">
        <f>CONCATENATE(MONTH(CompilDonnées[[#This Row],[HarvestingDate]])," ", YEAR(CompilDonnées[[#This Row],[HarvestingDate]]))</f>
        <v>2 2025</v>
      </c>
      <c r="N691">
        <f>_xlfn.NUMBERVALUE(CompilDonnées[[#This Row],[FarmID]]&amp;CompilDonnées[[#This Row],[ModuleNumber]]&amp;CompilDonnées[[#This Row],[PlantationDate]])</f>
        <v>80545666</v>
      </c>
      <c r="O691" t="str">
        <f>CompilDonnées[[#This Row],[FarmID]]&amp;CompilDonnées[[#This Row],[ModuleNumber]]</f>
        <v>805</v>
      </c>
      <c r="P691" t="str">
        <f>CompilDonnées[[#This Row],[Ref_Module]]&amp;CompilDonnées[[#This Row],[HarvestingDate]]</f>
        <v>80545706</v>
      </c>
    </row>
    <row r="692" spans="1:16">
      <c r="A692" s="5">
        <v>45666</v>
      </c>
      <c r="B692">
        <v>48</v>
      </c>
      <c r="C692" t="s">
        <v>71</v>
      </c>
      <c r="D692">
        <v>2</v>
      </c>
      <c r="E692">
        <v>100</v>
      </c>
      <c r="F692" t="s">
        <v>1</v>
      </c>
      <c r="G692" s="6">
        <v>45713</v>
      </c>
      <c r="H692">
        <v>47</v>
      </c>
      <c r="I692">
        <f>ROUND(CompilDonnées[[#This Row],[CultureDuration_days]]/7,0)</f>
        <v>7</v>
      </c>
      <c r="J692">
        <v>2623</v>
      </c>
      <c r="K692" t="str">
        <f>_xlfn.CONCAT(WEEKNUM(CompilDonnées[[#This Row],[PlantationDate]]), " ", YEAR(CompilDonnées[[#This Row],[PlantationDate]]))</f>
        <v>2 2025</v>
      </c>
      <c r="L692" t="str">
        <f>CONCATENATE(MONTH(CompilDonnées[[#This Row],[PlantationDate]])," ", YEAR(CompilDonnées[[#This Row],[PlantationDate]]))</f>
        <v>1 2025</v>
      </c>
      <c r="M692" t="str">
        <f>CONCATENATE(MONTH(CompilDonnées[[#This Row],[HarvestingDate]])," ", YEAR(CompilDonnées[[#This Row],[HarvestingDate]]))</f>
        <v>2 2025</v>
      </c>
      <c r="N692">
        <f>_xlfn.NUMBERVALUE(CompilDonnées[[#This Row],[FarmID]]&amp;CompilDonnées[[#This Row],[ModuleNumber]]&amp;CompilDonnées[[#This Row],[PlantationDate]])</f>
        <v>48245666</v>
      </c>
      <c r="O692" t="str">
        <f>CompilDonnées[[#This Row],[FarmID]]&amp;CompilDonnées[[#This Row],[ModuleNumber]]</f>
        <v>482</v>
      </c>
      <c r="P692" t="str">
        <f>CompilDonnées[[#This Row],[Ref_Module]]&amp;CompilDonnées[[#This Row],[HarvestingDate]]</f>
        <v>48245713</v>
      </c>
    </row>
    <row r="693" spans="1:16">
      <c r="A693" s="5">
        <v>45666</v>
      </c>
      <c r="B693">
        <v>51</v>
      </c>
      <c r="C693" t="s">
        <v>27</v>
      </c>
      <c r="D693">
        <v>3</v>
      </c>
      <c r="E693">
        <v>100</v>
      </c>
      <c r="F693" t="s">
        <v>1</v>
      </c>
      <c r="G693" s="6">
        <v>45705</v>
      </c>
      <c r="H693">
        <v>39</v>
      </c>
      <c r="I693">
        <f>ROUND(CompilDonnées[[#This Row],[CultureDuration_days]]/7,0)</f>
        <v>6</v>
      </c>
      <c r="J693">
        <v>2819</v>
      </c>
      <c r="K693" t="str">
        <f>_xlfn.CONCAT(WEEKNUM(CompilDonnées[[#This Row],[PlantationDate]]), " ", YEAR(CompilDonnées[[#This Row],[PlantationDate]]))</f>
        <v>2 2025</v>
      </c>
      <c r="L693" t="str">
        <f>CONCATENATE(MONTH(CompilDonnées[[#This Row],[PlantationDate]])," ", YEAR(CompilDonnées[[#This Row],[PlantationDate]]))</f>
        <v>1 2025</v>
      </c>
      <c r="M693" t="str">
        <f>CONCATENATE(MONTH(CompilDonnées[[#This Row],[HarvestingDate]])," ", YEAR(CompilDonnées[[#This Row],[HarvestingDate]]))</f>
        <v>2 2025</v>
      </c>
      <c r="N693">
        <f>_xlfn.NUMBERVALUE(CompilDonnées[[#This Row],[FarmID]]&amp;CompilDonnées[[#This Row],[ModuleNumber]]&amp;CompilDonnées[[#This Row],[PlantationDate]])</f>
        <v>51345666</v>
      </c>
      <c r="O693" t="str">
        <f>CompilDonnées[[#This Row],[FarmID]]&amp;CompilDonnées[[#This Row],[ModuleNumber]]</f>
        <v>513</v>
      </c>
      <c r="P693" t="str">
        <f>CompilDonnées[[#This Row],[Ref_Module]]&amp;CompilDonnées[[#This Row],[HarvestingDate]]</f>
        <v>51345705</v>
      </c>
    </row>
    <row r="694" spans="1:16">
      <c r="A694" s="5">
        <v>45666</v>
      </c>
      <c r="B694">
        <v>50</v>
      </c>
      <c r="C694" t="s">
        <v>55</v>
      </c>
      <c r="D694">
        <v>3</v>
      </c>
      <c r="E694">
        <v>100</v>
      </c>
      <c r="F694" t="s">
        <v>1</v>
      </c>
      <c r="G694" s="6">
        <v>45713</v>
      </c>
      <c r="H694">
        <v>47</v>
      </c>
      <c r="I694">
        <f>ROUND(CompilDonnées[[#This Row],[CultureDuration_days]]/7,0)</f>
        <v>7</v>
      </c>
      <c r="J694">
        <v>3401</v>
      </c>
      <c r="K694" t="str">
        <f>_xlfn.CONCAT(WEEKNUM(CompilDonnées[[#This Row],[PlantationDate]]), " ", YEAR(CompilDonnées[[#This Row],[PlantationDate]]))</f>
        <v>2 2025</v>
      </c>
      <c r="L694" t="str">
        <f>CONCATENATE(MONTH(CompilDonnées[[#This Row],[PlantationDate]])," ", YEAR(CompilDonnées[[#This Row],[PlantationDate]]))</f>
        <v>1 2025</v>
      </c>
      <c r="M694" t="str">
        <f>CONCATENATE(MONTH(CompilDonnées[[#This Row],[HarvestingDate]])," ", YEAR(CompilDonnées[[#This Row],[HarvestingDate]]))</f>
        <v>2 2025</v>
      </c>
      <c r="N694">
        <f>_xlfn.NUMBERVALUE(CompilDonnées[[#This Row],[FarmID]]&amp;CompilDonnées[[#This Row],[ModuleNumber]]&amp;CompilDonnées[[#This Row],[PlantationDate]])</f>
        <v>50345666</v>
      </c>
      <c r="O694" t="str">
        <f>CompilDonnées[[#This Row],[FarmID]]&amp;CompilDonnées[[#This Row],[ModuleNumber]]</f>
        <v>503</v>
      </c>
      <c r="P694" t="str">
        <f>CompilDonnées[[#This Row],[Ref_Module]]&amp;CompilDonnées[[#This Row],[HarvestingDate]]</f>
        <v>50345713</v>
      </c>
    </row>
    <row r="695" spans="1:16">
      <c r="A695" s="5">
        <v>45666</v>
      </c>
      <c r="B695">
        <v>82</v>
      </c>
      <c r="C695" t="s">
        <v>17</v>
      </c>
      <c r="D695">
        <v>1</v>
      </c>
      <c r="E695">
        <v>100</v>
      </c>
      <c r="F695" t="s">
        <v>1</v>
      </c>
      <c r="G695" s="6">
        <v>45706</v>
      </c>
      <c r="H695">
        <v>40</v>
      </c>
      <c r="I695">
        <f>ROUND(CompilDonnées[[#This Row],[CultureDuration_days]]/7,0)</f>
        <v>6</v>
      </c>
      <c r="J695">
        <v>3854</v>
      </c>
      <c r="K695" t="str">
        <f>_xlfn.CONCAT(WEEKNUM(CompilDonnées[[#This Row],[PlantationDate]]), " ", YEAR(CompilDonnées[[#This Row],[PlantationDate]]))</f>
        <v>2 2025</v>
      </c>
      <c r="L695" t="str">
        <f>CONCATENATE(MONTH(CompilDonnées[[#This Row],[PlantationDate]])," ", YEAR(CompilDonnées[[#This Row],[PlantationDate]]))</f>
        <v>1 2025</v>
      </c>
      <c r="M695" t="str">
        <f>CONCATENATE(MONTH(CompilDonnées[[#This Row],[HarvestingDate]])," ", YEAR(CompilDonnées[[#This Row],[HarvestingDate]]))</f>
        <v>2 2025</v>
      </c>
      <c r="N695">
        <f>_xlfn.NUMBERVALUE(CompilDonnées[[#This Row],[FarmID]]&amp;CompilDonnées[[#This Row],[ModuleNumber]]&amp;CompilDonnées[[#This Row],[PlantationDate]])</f>
        <v>82145666</v>
      </c>
      <c r="O695" t="str">
        <f>CompilDonnées[[#This Row],[FarmID]]&amp;CompilDonnées[[#This Row],[ModuleNumber]]</f>
        <v>821</v>
      </c>
      <c r="P695" t="str">
        <f>CompilDonnées[[#This Row],[Ref_Module]]&amp;CompilDonnées[[#This Row],[HarvestingDate]]</f>
        <v>82145706</v>
      </c>
    </row>
    <row r="696" spans="1:16">
      <c r="A696" s="5">
        <v>45666</v>
      </c>
      <c r="B696">
        <v>82</v>
      </c>
      <c r="C696" t="s">
        <v>17</v>
      </c>
      <c r="D696">
        <v>6</v>
      </c>
      <c r="E696">
        <v>100</v>
      </c>
      <c r="F696" t="s">
        <v>1</v>
      </c>
      <c r="G696" s="6">
        <v>45700</v>
      </c>
      <c r="H696">
        <v>34</v>
      </c>
      <c r="I696">
        <f>ROUND(CompilDonnées[[#This Row],[CultureDuration_days]]/7,0)</f>
        <v>5</v>
      </c>
      <c r="J696">
        <v>2711</v>
      </c>
      <c r="K696" t="str">
        <f>_xlfn.CONCAT(WEEKNUM(CompilDonnées[[#This Row],[PlantationDate]]), " ", YEAR(CompilDonnées[[#This Row],[PlantationDate]]))</f>
        <v>2 2025</v>
      </c>
      <c r="L696" t="str">
        <f>CONCATENATE(MONTH(CompilDonnées[[#This Row],[PlantationDate]])," ", YEAR(CompilDonnées[[#This Row],[PlantationDate]]))</f>
        <v>1 2025</v>
      </c>
      <c r="M696" t="str">
        <f>CONCATENATE(MONTH(CompilDonnées[[#This Row],[HarvestingDate]])," ", YEAR(CompilDonnées[[#This Row],[HarvestingDate]]))</f>
        <v>2 2025</v>
      </c>
      <c r="N696">
        <f>_xlfn.NUMBERVALUE(CompilDonnées[[#This Row],[FarmID]]&amp;CompilDonnées[[#This Row],[ModuleNumber]]&amp;CompilDonnées[[#This Row],[PlantationDate]])</f>
        <v>82645666</v>
      </c>
      <c r="O696" t="str">
        <f>CompilDonnées[[#This Row],[FarmID]]&amp;CompilDonnées[[#This Row],[ModuleNumber]]</f>
        <v>826</v>
      </c>
      <c r="P696" t="str">
        <f>CompilDonnées[[#This Row],[Ref_Module]]&amp;CompilDonnées[[#This Row],[HarvestingDate]]</f>
        <v>82645700</v>
      </c>
    </row>
    <row r="697" spans="1:16">
      <c r="A697" s="5">
        <v>45666</v>
      </c>
      <c r="B697">
        <v>81</v>
      </c>
      <c r="C697" t="s">
        <v>30</v>
      </c>
      <c r="D697">
        <v>1</v>
      </c>
      <c r="E697">
        <v>100</v>
      </c>
      <c r="F697" t="s">
        <v>1</v>
      </c>
      <c r="G697" s="6">
        <v>45706</v>
      </c>
      <c r="H697">
        <v>40</v>
      </c>
      <c r="I697">
        <f>ROUND(CompilDonnées[[#This Row],[CultureDuration_days]]/7,0)</f>
        <v>6</v>
      </c>
      <c r="J697">
        <v>3440</v>
      </c>
      <c r="K697" t="str">
        <f>_xlfn.CONCAT(WEEKNUM(CompilDonnées[[#This Row],[PlantationDate]]), " ", YEAR(CompilDonnées[[#This Row],[PlantationDate]]))</f>
        <v>2 2025</v>
      </c>
      <c r="L697" t="str">
        <f>CONCATENATE(MONTH(CompilDonnées[[#This Row],[PlantationDate]])," ", YEAR(CompilDonnées[[#This Row],[PlantationDate]]))</f>
        <v>1 2025</v>
      </c>
      <c r="M697" t="str">
        <f>CONCATENATE(MONTH(CompilDonnées[[#This Row],[HarvestingDate]])," ", YEAR(CompilDonnées[[#This Row],[HarvestingDate]]))</f>
        <v>2 2025</v>
      </c>
      <c r="N697">
        <f>_xlfn.NUMBERVALUE(CompilDonnées[[#This Row],[FarmID]]&amp;CompilDonnées[[#This Row],[ModuleNumber]]&amp;CompilDonnées[[#This Row],[PlantationDate]])</f>
        <v>81145666</v>
      </c>
      <c r="O697" t="str">
        <f>CompilDonnées[[#This Row],[FarmID]]&amp;CompilDonnées[[#This Row],[ModuleNumber]]</f>
        <v>811</v>
      </c>
      <c r="P697" t="str">
        <f>CompilDonnées[[#This Row],[Ref_Module]]&amp;CompilDonnées[[#This Row],[HarvestingDate]]</f>
        <v>81145706</v>
      </c>
    </row>
    <row r="698" spans="1:16">
      <c r="A698" s="5">
        <v>45666</v>
      </c>
      <c r="B698">
        <v>77</v>
      </c>
      <c r="C698" t="s">
        <v>75</v>
      </c>
      <c r="D698">
        <v>1</v>
      </c>
      <c r="E698">
        <v>100</v>
      </c>
      <c r="F698" t="s">
        <v>1</v>
      </c>
      <c r="G698" s="6">
        <v>45715</v>
      </c>
      <c r="H698">
        <v>49</v>
      </c>
      <c r="I698">
        <f>ROUND(CompilDonnées[[#This Row],[CultureDuration_days]]/7,0)</f>
        <v>7</v>
      </c>
      <c r="J698">
        <v>3847</v>
      </c>
      <c r="K698" t="str">
        <f>_xlfn.CONCAT(WEEKNUM(CompilDonnées[[#This Row],[PlantationDate]]), " ", YEAR(CompilDonnées[[#This Row],[PlantationDate]]))</f>
        <v>2 2025</v>
      </c>
      <c r="L698" t="str">
        <f>CONCATENATE(MONTH(CompilDonnées[[#This Row],[PlantationDate]])," ", YEAR(CompilDonnées[[#This Row],[PlantationDate]]))</f>
        <v>1 2025</v>
      </c>
      <c r="M698" t="str">
        <f>CONCATENATE(MONTH(CompilDonnées[[#This Row],[HarvestingDate]])," ", YEAR(CompilDonnées[[#This Row],[HarvestingDate]]))</f>
        <v>2 2025</v>
      </c>
      <c r="N698">
        <f>_xlfn.NUMBERVALUE(CompilDonnées[[#This Row],[FarmID]]&amp;CompilDonnées[[#This Row],[ModuleNumber]]&amp;CompilDonnées[[#This Row],[PlantationDate]])</f>
        <v>77145666</v>
      </c>
      <c r="O698" t="str">
        <f>CompilDonnées[[#This Row],[FarmID]]&amp;CompilDonnées[[#This Row],[ModuleNumber]]</f>
        <v>771</v>
      </c>
      <c r="P698" t="str">
        <f>CompilDonnées[[#This Row],[Ref_Module]]&amp;CompilDonnées[[#This Row],[HarvestingDate]]</f>
        <v>77145715</v>
      </c>
    </row>
    <row r="699" spans="1:16">
      <c r="A699" s="5">
        <v>45666</v>
      </c>
      <c r="B699">
        <v>66</v>
      </c>
      <c r="C699" t="s">
        <v>48</v>
      </c>
      <c r="D699">
        <v>3</v>
      </c>
      <c r="E699">
        <v>100</v>
      </c>
      <c r="F699" t="s">
        <v>1</v>
      </c>
      <c r="G699" s="6">
        <v>45706</v>
      </c>
      <c r="H699">
        <v>40</v>
      </c>
      <c r="I699">
        <f>ROUND(CompilDonnées[[#This Row],[CultureDuration_days]]/7,0)</f>
        <v>6</v>
      </c>
      <c r="J699">
        <v>2879</v>
      </c>
      <c r="K699" t="str">
        <f>_xlfn.CONCAT(WEEKNUM(CompilDonnées[[#This Row],[PlantationDate]]), " ", YEAR(CompilDonnées[[#This Row],[PlantationDate]]))</f>
        <v>2 2025</v>
      </c>
      <c r="L699" t="str">
        <f>CONCATENATE(MONTH(CompilDonnées[[#This Row],[PlantationDate]])," ", YEAR(CompilDonnées[[#This Row],[PlantationDate]]))</f>
        <v>1 2025</v>
      </c>
      <c r="M699" t="str">
        <f>CONCATENATE(MONTH(CompilDonnées[[#This Row],[HarvestingDate]])," ", YEAR(CompilDonnées[[#This Row],[HarvestingDate]]))</f>
        <v>2 2025</v>
      </c>
      <c r="N699">
        <f>_xlfn.NUMBERVALUE(CompilDonnées[[#This Row],[FarmID]]&amp;CompilDonnées[[#This Row],[ModuleNumber]]&amp;CompilDonnées[[#This Row],[PlantationDate]])</f>
        <v>66345666</v>
      </c>
      <c r="O699" t="str">
        <f>CompilDonnées[[#This Row],[FarmID]]&amp;CompilDonnées[[#This Row],[ModuleNumber]]</f>
        <v>663</v>
      </c>
      <c r="P699" t="str">
        <f>CompilDonnées[[#This Row],[Ref_Module]]&amp;CompilDonnées[[#This Row],[HarvestingDate]]</f>
        <v>66345706</v>
      </c>
    </row>
    <row r="700" spans="1:16">
      <c r="A700" s="5">
        <v>45666</v>
      </c>
      <c r="B700">
        <v>65</v>
      </c>
      <c r="C700" t="s">
        <v>36</v>
      </c>
      <c r="D700">
        <v>5</v>
      </c>
      <c r="E700">
        <v>100</v>
      </c>
      <c r="F700" t="s">
        <v>1</v>
      </c>
      <c r="G700" s="6">
        <v>45706</v>
      </c>
      <c r="H700">
        <v>40</v>
      </c>
      <c r="I700">
        <f>ROUND(CompilDonnées[[#This Row],[CultureDuration_days]]/7,0)</f>
        <v>6</v>
      </c>
      <c r="J700">
        <v>3078</v>
      </c>
      <c r="K700" t="str">
        <f>_xlfn.CONCAT(WEEKNUM(CompilDonnées[[#This Row],[PlantationDate]]), " ", YEAR(CompilDonnées[[#This Row],[PlantationDate]]))</f>
        <v>2 2025</v>
      </c>
      <c r="L700" t="str">
        <f>CONCATENATE(MONTH(CompilDonnées[[#This Row],[PlantationDate]])," ", YEAR(CompilDonnées[[#This Row],[PlantationDate]]))</f>
        <v>1 2025</v>
      </c>
      <c r="M700" t="str">
        <f>CONCATENATE(MONTH(CompilDonnées[[#This Row],[HarvestingDate]])," ", YEAR(CompilDonnées[[#This Row],[HarvestingDate]]))</f>
        <v>2 2025</v>
      </c>
      <c r="N700">
        <f>_xlfn.NUMBERVALUE(CompilDonnées[[#This Row],[FarmID]]&amp;CompilDonnées[[#This Row],[ModuleNumber]]&amp;CompilDonnées[[#This Row],[PlantationDate]])</f>
        <v>65545666</v>
      </c>
      <c r="O700" t="str">
        <f>CompilDonnées[[#This Row],[FarmID]]&amp;CompilDonnées[[#This Row],[ModuleNumber]]</f>
        <v>655</v>
      </c>
      <c r="P700" t="str">
        <f>CompilDonnées[[#This Row],[Ref_Module]]&amp;CompilDonnées[[#This Row],[HarvestingDate]]</f>
        <v>65545706</v>
      </c>
    </row>
    <row r="701" spans="1:16">
      <c r="A701" s="5">
        <v>45666</v>
      </c>
      <c r="B701">
        <v>57</v>
      </c>
      <c r="C701" t="s">
        <v>46</v>
      </c>
      <c r="D701">
        <v>2</v>
      </c>
      <c r="E701">
        <v>100</v>
      </c>
      <c r="F701" t="s">
        <v>1</v>
      </c>
      <c r="G701" s="6">
        <v>45706</v>
      </c>
      <c r="H701">
        <v>40</v>
      </c>
      <c r="I701">
        <f>ROUND(CompilDonnées[[#This Row],[CultureDuration_days]]/7,0)</f>
        <v>6</v>
      </c>
      <c r="J701">
        <v>2724</v>
      </c>
      <c r="K701" t="str">
        <f>_xlfn.CONCAT(WEEKNUM(CompilDonnées[[#This Row],[PlantationDate]]), " ", YEAR(CompilDonnées[[#This Row],[PlantationDate]]))</f>
        <v>2 2025</v>
      </c>
      <c r="L701" t="str">
        <f>CONCATENATE(MONTH(CompilDonnées[[#This Row],[PlantationDate]])," ", YEAR(CompilDonnées[[#This Row],[PlantationDate]]))</f>
        <v>1 2025</v>
      </c>
      <c r="M701" t="str">
        <f>CONCATENATE(MONTH(CompilDonnées[[#This Row],[HarvestingDate]])," ", YEAR(CompilDonnées[[#This Row],[HarvestingDate]]))</f>
        <v>2 2025</v>
      </c>
      <c r="N701">
        <f>_xlfn.NUMBERVALUE(CompilDonnées[[#This Row],[FarmID]]&amp;CompilDonnées[[#This Row],[ModuleNumber]]&amp;CompilDonnées[[#This Row],[PlantationDate]])</f>
        <v>57245666</v>
      </c>
      <c r="O701" t="str">
        <f>CompilDonnées[[#This Row],[FarmID]]&amp;CompilDonnées[[#This Row],[ModuleNumber]]</f>
        <v>572</v>
      </c>
      <c r="P701" t="str">
        <f>CompilDonnées[[#This Row],[Ref_Module]]&amp;CompilDonnées[[#This Row],[HarvestingDate]]</f>
        <v>57245706</v>
      </c>
    </row>
    <row r="702" spans="1:16">
      <c r="A702" s="5">
        <v>45666</v>
      </c>
      <c r="B702">
        <v>70</v>
      </c>
      <c r="C702" t="s">
        <v>7</v>
      </c>
      <c r="D702">
        <v>1</v>
      </c>
      <c r="E702">
        <v>100</v>
      </c>
      <c r="F702" t="s">
        <v>1</v>
      </c>
      <c r="G702" s="6">
        <v>45706</v>
      </c>
      <c r="H702">
        <v>40</v>
      </c>
      <c r="I702">
        <f>ROUND(CompilDonnées[[#This Row],[CultureDuration_days]]/7,0)</f>
        <v>6</v>
      </c>
      <c r="J702">
        <v>2613</v>
      </c>
      <c r="K702" t="str">
        <f>_xlfn.CONCAT(WEEKNUM(CompilDonnées[[#This Row],[PlantationDate]]), " ", YEAR(CompilDonnées[[#This Row],[PlantationDate]]))</f>
        <v>2 2025</v>
      </c>
      <c r="L702" t="str">
        <f>CONCATENATE(MONTH(CompilDonnées[[#This Row],[PlantationDate]])," ", YEAR(CompilDonnées[[#This Row],[PlantationDate]]))</f>
        <v>1 2025</v>
      </c>
      <c r="M702" t="str">
        <f>CONCATENATE(MONTH(CompilDonnées[[#This Row],[HarvestingDate]])," ", YEAR(CompilDonnées[[#This Row],[HarvestingDate]]))</f>
        <v>2 2025</v>
      </c>
      <c r="N702">
        <f>_xlfn.NUMBERVALUE(CompilDonnées[[#This Row],[FarmID]]&amp;CompilDonnées[[#This Row],[ModuleNumber]]&amp;CompilDonnées[[#This Row],[PlantationDate]])</f>
        <v>70145666</v>
      </c>
      <c r="O702" t="str">
        <f>CompilDonnées[[#This Row],[FarmID]]&amp;CompilDonnées[[#This Row],[ModuleNumber]]</f>
        <v>701</v>
      </c>
      <c r="P702" t="str">
        <f>CompilDonnées[[#This Row],[Ref_Module]]&amp;CompilDonnées[[#This Row],[HarvestingDate]]</f>
        <v>70145706</v>
      </c>
    </row>
    <row r="703" spans="1:16">
      <c r="A703" s="5">
        <v>45666</v>
      </c>
      <c r="B703">
        <v>69</v>
      </c>
      <c r="C703" t="s">
        <v>102</v>
      </c>
      <c r="D703">
        <v>2</v>
      </c>
      <c r="E703">
        <v>100</v>
      </c>
      <c r="F703" t="s">
        <v>1</v>
      </c>
      <c r="G703" s="6">
        <v>45716</v>
      </c>
      <c r="H703">
        <v>50</v>
      </c>
      <c r="I703">
        <f>ROUND(CompilDonnées[[#This Row],[CultureDuration_days]]/7,0)</f>
        <v>7</v>
      </c>
      <c r="J703">
        <v>3330</v>
      </c>
      <c r="K703" t="str">
        <f>_xlfn.CONCAT(WEEKNUM(CompilDonnées[[#This Row],[PlantationDate]]), " ", YEAR(CompilDonnées[[#This Row],[PlantationDate]]))</f>
        <v>2 2025</v>
      </c>
      <c r="L703" t="str">
        <f>CONCATENATE(MONTH(CompilDonnées[[#This Row],[PlantationDate]])," ", YEAR(CompilDonnées[[#This Row],[PlantationDate]]))</f>
        <v>1 2025</v>
      </c>
      <c r="M703" t="str">
        <f>CONCATENATE(MONTH(CompilDonnées[[#This Row],[HarvestingDate]])," ", YEAR(CompilDonnées[[#This Row],[HarvestingDate]]))</f>
        <v>2 2025</v>
      </c>
      <c r="N703">
        <f>_xlfn.NUMBERVALUE(CompilDonnées[[#This Row],[FarmID]]&amp;CompilDonnées[[#This Row],[ModuleNumber]]&amp;CompilDonnées[[#This Row],[PlantationDate]])</f>
        <v>69245666</v>
      </c>
      <c r="O703" t="str">
        <f>CompilDonnées[[#This Row],[FarmID]]&amp;CompilDonnées[[#This Row],[ModuleNumber]]</f>
        <v>692</v>
      </c>
      <c r="P703" t="str">
        <f>CompilDonnées[[#This Row],[Ref_Module]]&amp;CompilDonnées[[#This Row],[HarvestingDate]]</f>
        <v>69245716</v>
      </c>
    </row>
    <row r="704" spans="1:16">
      <c r="A704" s="5">
        <v>45666</v>
      </c>
      <c r="B704">
        <v>63</v>
      </c>
      <c r="C704" t="s">
        <v>98</v>
      </c>
      <c r="D704">
        <v>6</v>
      </c>
      <c r="E704">
        <v>100</v>
      </c>
      <c r="F704" t="s">
        <v>1</v>
      </c>
      <c r="G704" s="6">
        <v>45714</v>
      </c>
      <c r="H704">
        <v>48</v>
      </c>
      <c r="I704">
        <f>ROUND(CompilDonnées[[#This Row],[CultureDuration_days]]/7,0)</f>
        <v>7</v>
      </c>
      <c r="J704">
        <v>1816</v>
      </c>
      <c r="K704" t="str">
        <f>_xlfn.CONCAT(WEEKNUM(CompilDonnées[[#This Row],[PlantationDate]]), " ", YEAR(CompilDonnées[[#This Row],[PlantationDate]]))</f>
        <v>2 2025</v>
      </c>
      <c r="L704" t="str">
        <f>CONCATENATE(MONTH(CompilDonnées[[#This Row],[PlantationDate]])," ", YEAR(CompilDonnées[[#This Row],[PlantationDate]]))</f>
        <v>1 2025</v>
      </c>
      <c r="M704" t="str">
        <f>CONCATENATE(MONTH(CompilDonnées[[#This Row],[HarvestingDate]])," ", YEAR(CompilDonnées[[#This Row],[HarvestingDate]]))</f>
        <v>2 2025</v>
      </c>
      <c r="N704">
        <f>_xlfn.NUMBERVALUE(CompilDonnées[[#This Row],[FarmID]]&amp;CompilDonnées[[#This Row],[ModuleNumber]]&amp;CompilDonnées[[#This Row],[PlantationDate]])</f>
        <v>63645666</v>
      </c>
      <c r="O704" t="str">
        <f>CompilDonnées[[#This Row],[FarmID]]&amp;CompilDonnées[[#This Row],[ModuleNumber]]</f>
        <v>636</v>
      </c>
      <c r="P704" t="str">
        <f>CompilDonnées[[#This Row],[Ref_Module]]&amp;CompilDonnées[[#This Row],[HarvestingDate]]</f>
        <v>63645714</v>
      </c>
    </row>
    <row r="705" spans="1:16">
      <c r="A705" s="5">
        <v>45666</v>
      </c>
      <c r="B705">
        <v>61</v>
      </c>
      <c r="C705" t="s">
        <v>95</v>
      </c>
      <c r="D705">
        <v>5</v>
      </c>
      <c r="E705">
        <v>100</v>
      </c>
      <c r="F705" t="s">
        <v>1</v>
      </c>
      <c r="G705" s="6">
        <v>45714</v>
      </c>
      <c r="H705">
        <v>48</v>
      </c>
      <c r="I705">
        <f>ROUND(CompilDonnées[[#This Row],[CultureDuration_days]]/7,0)</f>
        <v>7</v>
      </c>
      <c r="J705">
        <v>2556</v>
      </c>
      <c r="K705" t="str">
        <f>_xlfn.CONCAT(WEEKNUM(CompilDonnées[[#This Row],[PlantationDate]]), " ", YEAR(CompilDonnées[[#This Row],[PlantationDate]]))</f>
        <v>2 2025</v>
      </c>
      <c r="L705" t="str">
        <f>CONCATENATE(MONTH(CompilDonnées[[#This Row],[PlantationDate]])," ", YEAR(CompilDonnées[[#This Row],[PlantationDate]]))</f>
        <v>1 2025</v>
      </c>
      <c r="M705" t="str">
        <f>CONCATENATE(MONTH(CompilDonnées[[#This Row],[HarvestingDate]])," ", YEAR(CompilDonnées[[#This Row],[HarvestingDate]]))</f>
        <v>2 2025</v>
      </c>
      <c r="N705">
        <f>_xlfn.NUMBERVALUE(CompilDonnées[[#This Row],[FarmID]]&amp;CompilDonnées[[#This Row],[ModuleNumber]]&amp;CompilDonnées[[#This Row],[PlantationDate]])</f>
        <v>61545666</v>
      </c>
      <c r="O705" t="str">
        <f>CompilDonnées[[#This Row],[FarmID]]&amp;CompilDonnées[[#This Row],[ModuleNumber]]</f>
        <v>615</v>
      </c>
      <c r="P705" t="str">
        <f>CompilDonnées[[#This Row],[Ref_Module]]&amp;CompilDonnées[[#This Row],[HarvestingDate]]</f>
        <v>61545714</v>
      </c>
    </row>
    <row r="706" spans="1:16">
      <c r="A706" s="5">
        <v>45666</v>
      </c>
      <c r="B706">
        <v>61</v>
      </c>
      <c r="C706" t="s">
        <v>95</v>
      </c>
      <c r="D706">
        <v>6</v>
      </c>
      <c r="E706">
        <v>100</v>
      </c>
      <c r="F706" t="s">
        <v>1</v>
      </c>
      <c r="G706" s="6">
        <v>45714</v>
      </c>
      <c r="H706">
        <v>48</v>
      </c>
      <c r="I706">
        <f>ROUND(CompilDonnées[[#This Row],[CultureDuration_days]]/7,0)</f>
        <v>7</v>
      </c>
      <c r="J706">
        <v>2573</v>
      </c>
      <c r="K706" t="str">
        <f>_xlfn.CONCAT(WEEKNUM(CompilDonnées[[#This Row],[PlantationDate]]), " ", YEAR(CompilDonnées[[#This Row],[PlantationDate]]))</f>
        <v>2 2025</v>
      </c>
      <c r="L706" t="str">
        <f>CONCATENATE(MONTH(CompilDonnées[[#This Row],[PlantationDate]])," ", YEAR(CompilDonnées[[#This Row],[PlantationDate]]))</f>
        <v>1 2025</v>
      </c>
      <c r="M706" t="str">
        <f>CONCATENATE(MONTH(CompilDonnées[[#This Row],[HarvestingDate]])," ", YEAR(CompilDonnées[[#This Row],[HarvestingDate]]))</f>
        <v>2 2025</v>
      </c>
      <c r="N706">
        <f>_xlfn.NUMBERVALUE(CompilDonnées[[#This Row],[FarmID]]&amp;CompilDonnées[[#This Row],[ModuleNumber]]&amp;CompilDonnées[[#This Row],[PlantationDate]])</f>
        <v>61645666</v>
      </c>
      <c r="O706" t="str">
        <f>CompilDonnées[[#This Row],[FarmID]]&amp;CompilDonnées[[#This Row],[ModuleNumber]]</f>
        <v>616</v>
      </c>
      <c r="P706" t="str">
        <f>CompilDonnées[[#This Row],[Ref_Module]]&amp;CompilDonnées[[#This Row],[HarvestingDate]]</f>
        <v>61645714</v>
      </c>
    </row>
    <row r="707" spans="1:16">
      <c r="A707" s="5">
        <v>45666</v>
      </c>
      <c r="B707">
        <v>10</v>
      </c>
      <c r="C707" t="s">
        <v>109</v>
      </c>
      <c r="D707">
        <v>4</v>
      </c>
      <c r="E707">
        <v>100</v>
      </c>
      <c r="F707" t="s">
        <v>1</v>
      </c>
      <c r="G707" s="6">
        <v>45712</v>
      </c>
      <c r="H707">
        <v>46</v>
      </c>
      <c r="I707">
        <f>ROUND(CompilDonnées[[#This Row],[CultureDuration_days]]/7,0)</f>
        <v>7</v>
      </c>
      <c r="J707">
        <v>3210</v>
      </c>
      <c r="K707" t="str">
        <f>_xlfn.CONCAT(WEEKNUM(CompilDonnées[[#This Row],[PlantationDate]]), " ", YEAR(CompilDonnées[[#This Row],[PlantationDate]]))</f>
        <v>2 2025</v>
      </c>
      <c r="L707" t="str">
        <f>CONCATENATE(MONTH(CompilDonnées[[#This Row],[PlantationDate]])," ", YEAR(CompilDonnées[[#This Row],[PlantationDate]]))</f>
        <v>1 2025</v>
      </c>
      <c r="M707" t="str">
        <f>CONCATENATE(MONTH(CompilDonnées[[#This Row],[HarvestingDate]])," ", YEAR(CompilDonnées[[#This Row],[HarvestingDate]]))</f>
        <v>2 2025</v>
      </c>
      <c r="N707">
        <f>_xlfn.NUMBERVALUE(CompilDonnées[[#This Row],[FarmID]]&amp;CompilDonnées[[#This Row],[ModuleNumber]]&amp;CompilDonnées[[#This Row],[PlantationDate]])</f>
        <v>10445666</v>
      </c>
      <c r="O707" t="str">
        <f>CompilDonnées[[#This Row],[FarmID]]&amp;CompilDonnées[[#This Row],[ModuleNumber]]</f>
        <v>104</v>
      </c>
      <c r="P707" t="str">
        <f>CompilDonnées[[#This Row],[Ref_Module]]&amp;CompilDonnées[[#This Row],[HarvestingDate]]</f>
        <v>10445712</v>
      </c>
    </row>
    <row r="708" spans="1:16">
      <c r="A708" s="5">
        <v>45666</v>
      </c>
      <c r="B708">
        <v>9</v>
      </c>
      <c r="C708" t="s">
        <v>107</v>
      </c>
      <c r="D708">
        <v>3</v>
      </c>
      <c r="E708">
        <v>100</v>
      </c>
      <c r="F708" t="s">
        <v>1</v>
      </c>
      <c r="G708" s="6">
        <v>45712</v>
      </c>
      <c r="H708">
        <v>46</v>
      </c>
      <c r="I708">
        <f>ROUND(CompilDonnées[[#This Row],[CultureDuration_days]]/7,0)</f>
        <v>7</v>
      </c>
      <c r="J708">
        <v>4015</v>
      </c>
      <c r="K708" t="str">
        <f>_xlfn.CONCAT(WEEKNUM(CompilDonnées[[#This Row],[PlantationDate]]), " ", YEAR(CompilDonnées[[#This Row],[PlantationDate]]))</f>
        <v>2 2025</v>
      </c>
      <c r="L708" t="str">
        <f>CONCATENATE(MONTH(CompilDonnées[[#This Row],[PlantationDate]])," ", YEAR(CompilDonnées[[#This Row],[PlantationDate]]))</f>
        <v>1 2025</v>
      </c>
      <c r="M708" t="str">
        <f>CONCATENATE(MONTH(CompilDonnées[[#This Row],[HarvestingDate]])," ", YEAR(CompilDonnées[[#This Row],[HarvestingDate]]))</f>
        <v>2 2025</v>
      </c>
      <c r="N708">
        <f>_xlfn.NUMBERVALUE(CompilDonnées[[#This Row],[FarmID]]&amp;CompilDonnées[[#This Row],[ModuleNumber]]&amp;CompilDonnées[[#This Row],[PlantationDate]])</f>
        <v>9345666</v>
      </c>
      <c r="O708" t="str">
        <f>CompilDonnées[[#This Row],[FarmID]]&amp;CompilDonnées[[#This Row],[ModuleNumber]]</f>
        <v>93</v>
      </c>
      <c r="P708" t="str">
        <f>CompilDonnées[[#This Row],[Ref_Module]]&amp;CompilDonnées[[#This Row],[HarvestingDate]]</f>
        <v>9345712</v>
      </c>
    </row>
    <row r="709" spans="1:16">
      <c r="A709" s="5">
        <v>45666</v>
      </c>
      <c r="B709">
        <v>1</v>
      </c>
      <c r="C709" t="s">
        <v>111</v>
      </c>
      <c r="D709">
        <v>2</v>
      </c>
      <c r="E709">
        <v>100</v>
      </c>
      <c r="F709" t="s">
        <v>1</v>
      </c>
      <c r="G709" s="6">
        <v>45712</v>
      </c>
      <c r="H709">
        <v>46</v>
      </c>
      <c r="I709">
        <f>ROUND(CompilDonnées[[#This Row],[CultureDuration_days]]/7,0)</f>
        <v>7</v>
      </c>
      <c r="J709">
        <v>3409</v>
      </c>
      <c r="K709" t="str">
        <f>_xlfn.CONCAT(WEEKNUM(CompilDonnées[[#This Row],[PlantationDate]]), " ", YEAR(CompilDonnées[[#This Row],[PlantationDate]]))</f>
        <v>2 2025</v>
      </c>
      <c r="L709" t="str">
        <f>CONCATENATE(MONTH(CompilDonnées[[#This Row],[PlantationDate]])," ", YEAR(CompilDonnées[[#This Row],[PlantationDate]]))</f>
        <v>1 2025</v>
      </c>
      <c r="M709" t="str">
        <f>CONCATENATE(MONTH(CompilDonnées[[#This Row],[HarvestingDate]])," ", YEAR(CompilDonnées[[#This Row],[HarvestingDate]]))</f>
        <v>2 2025</v>
      </c>
      <c r="N709">
        <f>_xlfn.NUMBERVALUE(CompilDonnées[[#This Row],[FarmID]]&amp;CompilDonnées[[#This Row],[ModuleNumber]]&amp;CompilDonnées[[#This Row],[PlantationDate]])</f>
        <v>1245666</v>
      </c>
      <c r="O709" t="str">
        <f>CompilDonnées[[#This Row],[FarmID]]&amp;CompilDonnées[[#This Row],[ModuleNumber]]</f>
        <v>12</v>
      </c>
      <c r="P709" t="str">
        <f>CompilDonnées[[#This Row],[Ref_Module]]&amp;CompilDonnées[[#This Row],[HarvestingDate]]</f>
        <v>1245712</v>
      </c>
    </row>
    <row r="710" spans="1:16">
      <c r="A710" s="5">
        <v>45666</v>
      </c>
      <c r="B710">
        <v>38</v>
      </c>
      <c r="C710" t="s">
        <v>34</v>
      </c>
      <c r="D710">
        <v>6</v>
      </c>
      <c r="E710">
        <v>100</v>
      </c>
      <c r="F710" t="s">
        <v>1</v>
      </c>
      <c r="G710" s="6">
        <v>45705</v>
      </c>
      <c r="H710">
        <v>39</v>
      </c>
      <c r="I710">
        <f>ROUND(CompilDonnées[[#This Row],[CultureDuration_days]]/7,0)</f>
        <v>6</v>
      </c>
      <c r="J710">
        <v>3401</v>
      </c>
      <c r="K710" t="str">
        <f>_xlfn.CONCAT(WEEKNUM(CompilDonnées[[#This Row],[PlantationDate]]), " ", YEAR(CompilDonnées[[#This Row],[PlantationDate]]))</f>
        <v>2 2025</v>
      </c>
      <c r="L710" t="str">
        <f>CONCATENATE(MONTH(CompilDonnées[[#This Row],[PlantationDate]])," ", YEAR(CompilDonnées[[#This Row],[PlantationDate]]))</f>
        <v>1 2025</v>
      </c>
      <c r="M710" t="str">
        <f>CONCATENATE(MONTH(CompilDonnées[[#This Row],[HarvestingDate]])," ", YEAR(CompilDonnées[[#This Row],[HarvestingDate]]))</f>
        <v>2 2025</v>
      </c>
      <c r="N710">
        <f>_xlfn.NUMBERVALUE(CompilDonnées[[#This Row],[FarmID]]&amp;CompilDonnées[[#This Row],[ModuleNumber]]&amp;CompilDonnées[[#This Row],[PlantationDate]])</f>
        <v>38645666</v>
      </c>
      <c r="O710" t="str">
        <f>CompilDonnées[[#This Row],[FarmID]]&amp;CompilDonnées[[#This Row],[ModuleNumber]]</f>
        <v>386</v>
      </c>
      <c r="P710" t="str">
        <f>CompilDonnées[[#This Row],[Ref_Module]]&amp;CompilDonnées[[#This Row],[HarvestingDate]]</f>
        <v>38645705</v>
      </c>
    </row>
    <row r="711" spans="1:16">
      <c r="A711" s="5">
        <v>45666</v>
      </c>
      <c r="B711">
        <v>43</v>
      </c>
      <c r="C711" t="s">
        <v>45</v>
      </c>
      <c r="D711">
        <v>4</v>
      </c>
      <c r="E711">
        <v>100</v>
      </c>
      <c r="F711" t="s">
        <v>1</v>
      </c>
      <c r="G711" s="6">
        <v>45705</v>
      </c>
      <c r="H711">
        <v>39</v>
      </c>
      <c r="I711">
        <f>ROUND(CompilDonnées[[#This Row],[CultureDuration_days]]/7,0)</f>
        <v>6</v>
      </c>
      <c r="J711">
        <v>2729</v>
      </c>
      <c r="K711" t="str">
        <f>_xlfn.CONCAT(WEEKNUM(CompilDonnées[[#This Row],[PlantationDate]]), " ", YEAR(CompilDonnées[[#This Row],[PlantationDate]]))</f>
        <v>2 2025</v>
      </c>
      <c r="L711" t="str">
        <f>CONCATENATE(MONTH(CompilDonnées[[#This Row],[PlantationDate]])," ", YEAR(CompilDonnées[[#This Row],[PlantationDate]]))</f>
        <v>1 2025</v>
      </c>
      <c r="M711" t="str">
        <f>CONCATENATE(MONTH(CompilDonnées[[#This Row],[HarvestingDate]])," ", YEAR(CompilDonnées[[#This Row],[HarvestingDate]]))</f>
        <v>2 2025</v>
      </c>
      <c r="N711">
        <f>_xlfn.NUMBERVALUE(CompilDonnées[[#This Row],[FarmID]]&amp;CompilDonnées[[#This Row],[ModuleNumber]]&amp;CompilDonnées[[#This Row],[PlantationDate]])</f>
        <v>43445666</v>
      </c>
      <c r="O711" t="str">
        <f>CompilDonnées[[#This Row],[FarmID]]&amp;CompilDonnées[[#This Row],[ModuleNumber]]</f>
        <v>434</v>
      </c>
      <c r="P711" t="str">
        <f>CompilDonnées[[#This Row],[Ref_Module]]&amp;CompilDonnées[[#This Row],[HarvestingDate]]</f>
        <v>43445705</v>
      </c>
    </row>
    <row r="712" spans="1:16">
      <c r="A712" s="5">
        <v>45666</v>
      </c>
      <c r="B712">
        <v>42</v>
      </c>
      <c r="C712" t="s">
        <v>89</v>
      </c>
      <c r="D712">
        <v>5</v>
      </c>
      <c r="E712">
        <v>100</v>
      </c>
      <c r="F712" t="s">
        <v>1</v>
      </c>
      <c r="G712" s="6">
        <v>45713</v>
      </c>
      <c r="H712">
        <v>47</v>
      </c>
      <c r="I712">
        <f>ROUND(CompilDonnées[[#This Row],[CultureDuration_days]]/7,0)</f>
        <v>7</v>
      </c>
      <c r="J712">
        <v>2968</v>
      </c>
      <c r="K712" t="str">
        <f>_xlfn.CONCAT(WEEKNUM(CompilDonnées[[#This Row],[PlantationDate]]), " ", YEAR(CompilDonnées[[#This Row],[PlantationDate]]))</f>
        <v>2 2025</v>
      </c>
      <c r="L712" t="str">
        <f>CONCATENATE(MONTH(CompilDonnées[[#This Row],[PlantationDate]])," ", YEAR(CompilDonnées[[#This Row],[PlantationDate]]))</f>
        <v>1 2025</v>
      </c>
      <c r="M712" t="str">
        <f>CONCATENATE(MONTH(CompilDonnées[[#This Row],[HarvestingDate]])," ", YEAR(CompilDonnées[[#This Row],[HarvestingDate]]))</f>
        <v>2 2025</v>
      </c>
      <c r="N712">
        <f>_xlfn.NUMBERVALUE(CompilDonnées[[#This Row],[FarmID]]&amp;CompilDonnées[[#This Row],[ModuleNumber]]&amp;CompilDonnées[[#This Row],[PlantationDate]])</f>
        <v>42545666</v>
      </c>
      <c r="O712" t="str">
        <f>CompilDonnées[[#This Row],[FarmID]]&amp;CompilDonnées[[#This Row],[ModuleNumber]]</f>
        <v>425</v>
      </c>
      <c r="P712" t="str">
        <f>CompilDonnées[[#This Row],[Ref_Module]]&amp;CompilDonnées[[#This Row],[HarvestingDate]]</f>
        <v>42545713</v>
      </c>
    </row>
    <row r="713" spans="1:16">
      <c r="A713" s="5">
        <v>45666</v>
      </c>
      <c r="B713">
        <v>41</v>
      </c>
      <c r="C713" t="s">
        <v>70</v>
      </c>
      <c r="D713">
        <v>5</v>
      </c>
      <c r="E713">
        <v>100</v>
      </c>
      <c r="F713" t="s">
        <v>1</v>
      </c>
      <c r="G713" s="6">
        <v>45713</v>
      </c>
      <c r="H713">
        <v>47</v>
      </c>
      <c r="I713">
        <f>ROUND(CompilDonnées[[#This Row],[CultureDuration_days]]/7,0)</f>
        <v>7</v>
      </c>
      <c r="J713">
        <v>2418</v>
      </c>
      <c r="K713" t="str">
        <f>_xlfn.CONCAT(WEEKNUM(CompilDonnées[[#This Row],[PlantationDate]]), " ", YEAR(CompilDonnées[[#This Row],[PlantationDate]]))</f>
        <v>2 2025</v>
      </c>
      <c r="L713" t="str">
        <f>CONCATENATE(MONTH(CompilDonnées[[#This Row],[PlantationDate]])," ", YEAR(CompilDonnées[[#This Row],[PlantationDate]]))</f>
        <v>1 2025</v>
      </c>
      <c r="M713" t="str">
        <f>CONCATENATE(MONTH(CompilDonnées[[#This Row],[HarvestingDate]])," ", YEAR(CompilDonnées[[#This Row],[HarvestingDate]]))</f>
        <v>2 2025</v>
      </c>
      <c r="N713">
        <f>_xlfn.NUMBERVALUE(CompilDonnées[[#This Row],[FarmID]]&amp;CompilDonnées[[#This Row],[ModuleNumber]]&amp;CompilDonnées[[#This Row],[PlantationDate]])</f>
        <v>41545666</v>
      </c>
      <c r="O713" t="str">
        <f>CompilDonnées[[#This Row],[FarmID]]&amp;CompilDonnées[[#This Row],[ModuleNumber]]</f>
        <v>415</v>
      </c>
      <c r="P713" t="str">
        <f>CompilDonnées[[#This Row],[Ref_Module]]&amp;CompilDonnées[[#This Row],[HarvestingDate]]</f>
        <v>41545713</v>
      </c>
    </row>
    <row r="714" spans="1:16">
      <c r="A714" s="5">
        <v>45666</v>
      </c>
      <c r="B714">
        <v>123</v>
      </c>
      <c r="C714" t="s">
        <v>13</v>
      </c>
      <c r="D714">
        <v>3</v>
      </c>
      <c r="E714">
        <v>100</v>
      </c>
      <c r="F714" t="s">
        <v>1</v>
      </c>
      <c r="G714" s="6">
        <v>45700</v>
      </c>
      <c r="H714">
        <v>34</v>
      </c>
      <c r="I714">
        <f>ROUND(CompilDonnées[[#This Row],[CultureDuration_days]]/7,0)</f>
        <v>5</v>
      </c>
      <c r="J714">
        <v>3280</v>
      </c>
      <c r="K714" t="str">
        <f>_xlfn.CONCAT(WEEKNUM(CompilDonnées[[#This Row],[PlantationDate]]), " ", YEAR(CompilDonnées[[#This Row],[PlantationDate]]))</f>
        <v>2 2025</v>
      </c>
      <c r="L714" t="str">
        <f>CONCATENATE(MONTH(CompilDonnées[[#This Row],[PlantationDate]])," ", YEAR(CompilDonnées[[#This Row],[PlantationDate]]))</f>
        <v>1 2025</v>
      </c>
      <c r="M714" t="str">
        <f>CONCATENATE(MONTH(CompilDonnées[[#This Row],[HarvestingDate]])," ", YEAR(CompilDonnées[[#This Row],[HarvestingDate]]))</f>
        <v>2 2025</v>
      </c>
      <c r="N714">
        <f>_xlfn.NUMBERVALUE(CompilDonnées[[#This Row],[FarmID]]&amp;CompilDonnées[[#This Row],[ModuleNumber]]&amp;CompilDonnées[[#This Row],[PlantationDate]])</f>
        <v>123345666</v>
      </c>
      <c r="O714" t="str">
        <f>CompilDonnées[[#This Row],[FarmID]]&amp;CompilDonnées[[#This Row],[ModuleNumber]]</f>
        <v>1233</v>
      </c>
      <c r="P714" t="str">
        <f>CompilDonnées[[#This Row],[Ref_Module]]&amp;CompilDonnées[[#This Row],[HarvestingDate]]</f>
        <v>123345700</v>
      </c>
    </row>
    <row r="715" spans="1:16">
      <c r="A715" s="5">
        <v>45666</v>
      </c>
      <c r="B715">
        <v>107</v>
      </c>
      <c r="C715" t="s">
        <v>23</v>
      </c>
      <c r="D715">
        <v>3</v>
      </c>
      <c r="E715">
        <v>100</v>
      </c>
      <c r="F715" t="s">
        <v>1</v>
      </c>
      <c r="G715" s="6">
        <v>45716</v>
      </c>
      <c r="H715">
        <v>50</v>
      </c>
      <c r="I715">
        <f>ROUND(CompilDonnées[[#This Row],[CultureDuration_days]]/7,0)</f>
        <v>7</v>
      </c>
      <c r="J715">
        <v>2577</v>
      </c>
      <c r="K715" t="str">
        <f>_xlfn.CONCAT(WEEKNUM(CompilDonnées[[#This Row],[PlantationDate]]), " ", YEAR(CompilDonnées[[#This Row],[PlantationDate]]))</f>
        <v>2 2025</v>
      </c>
      <c r="L715" t="str">
        <f>CONCATENATE(MONTH(CompilDonnées[[#This Row],[PlantationDate]])," ", YEAR(CompilDonnées[[#This Row],[PlantationDate]]))</f>
        <v>1 2025</v>
      </c>
      <c r="M715" t="str">
        <f>CONCATENATE(MONTH(CompilDonnées[[#This Row],[HarvestingDate]])," ", YEAR(CompilDonnées[[#This Row],[HarvestingDate]]))</f>
        <v>2 2025</v>
      </c>
      <c r="N715">
        <f>_xlfn.NUMBERVALUE(CompilDonnées[[#This Row],[FarmID]]&amp;CompilDonnées[[#This Row],[ModuleNumber]]&amp;CompilDonnées[[#This Row],[PlantationDate]])</f>
        <v>107345666</v>
      </c>
      <c r="O715" t="str">
        <f>CompilDonnées[[#This Row],[FarmID]]&amp;CompilDonnées[[#This Row],[ModuleNumber]]</f>
        <v>1073</v>
      </c>
      <c r="P715" t="str">
        <f>CompilDonnées[[#This Row],[Ref_Module]]&amp;CompilDonnées[[#This Row],[HarvestingDate]]</f>
        <v>107345716</v>
      </c>
    </row>
    <row r="716" spans="1:16">
      <c r="A716" s="5">
        <v>45666</v>
      </c>
      <c r="B716">
        <v>106</v>
      </c>
      <c r="C716" t="s">
        <v>22</v>
      </c>
      <c r="D716">
        <v>3</v>
      </c>
      <c r="E716">
        <v>100</v>
      </c>
      <c r="F716" t="s">
        <v>1</v>
      </c>
      <c r="G716" s="6">
        <v>45706</v>
      </c>
      <c r="H716">
        <v>40</v>
      </c>
      <c r="I716">
        <f>ROUND(CompilDonnées[[#This Row],[CultureDuration_days]]/7,0)</f>
        <v>6</v>
      </c>
      <c r="J716">
        <v>3600</v>
      </c>
      <c r="K716" t="str">
        <f>_xlfn.CONCAT(WEEKNUM(CompilDonnées[[#This Row],[PlantationDate]]), " ", YEAR(CompilDonnées[[#This Row],[PlantationDate]]))</f>
        <v>2 2025</v>
      </c>
      <c r="L716" t="str">
        <f>CONCATENATE(MONTH(CompilDonnées[[#This Row],[PlantationDate]])," ", YEAR(CompilDonnées[[#This Row],[PlantationDate]]))</f>
        <v>1 2025</v>
      </c>
      <c r="M716" t="str">
        <f>CONCATENATE(MONTH(CompilDonnées[[#This Row],[HarvestingDate]])," ", YEAR(CompilDonnées[[#This Row],[HarvestingDate]]))</f>
        <v>2 2025</v>
      </c>
      <c r="N716">
        <f>_xlfn.NUMBERVALUE(CompilDonnées[[#This Row],[FarmID]]&amp;CompilDonnées[[#This Row],[ModuleNumber]]&amp;CompilDonnées[[#This Row],[PlantationDate]])</f>
        <v>106345666</v>
      </c>
      <c r="O716" t="str">
        <f>CompilDonnées[[#This Row],[FarmID]]&amp;CompilDonnées[[#This Row],[ModuleNumber]]</f>
        <v>1063</v>
      </c>
      <c r="P716" t="str">
        <f>CompilDonnées[[#This Row],[Ref_Module]]&amp;CompilDonnées[[#This Row],[HarvestingDate]]</f>
        <v>106345706</v>
      </c>
    </row>
    <row r="717" spans="1:16">
      <c r="A717" s="5">
        <v>45666</v>
      </c>
      <c r="B717">
        <v>106</v>
      </c>
      <c r="C717" t="s">
        <v>22</v>
      </c>
      <c r="D717">
        <v>4</v>
      </c>
      <c r="E717">
        <v>100</v>
      </c>
      <c r="F717" t="s">
        <v>1</v>
      </c>
      <c r="G717" s="6">
        <v>45706</v>
      </c>
      <c r="H717">
        <v>40</v>
      </c>
      <c r="I717">
        <f>ROUND(CompilDonnées[[#This Row],[CultureDuration_days]]/7,0)</f>
        <v>6</v>
      </c>
      <c r="J717">
        <v>3572</v>
      </c>
      <c r="K717" t="str">
        <f>_xlfn.CONCAT(WEEKNUM(CompilDonnées[[#This Row],[PlantationDate]]), " ", YEAR(CompilDonnées[[#This Row],[PlantationDate]]))</f>
        <v>2 2025</v>
      </c>
      <c r="L717" t="str">
        <f>CONCATENATE(MONTH(CompilDonnées[[#This Row],[PlantationDate]])," ", YEAR(CompilDonnées[[#This Row],[PlantationDate]]))</f>
        <v>1 2025</v>
      </c>
      <c r="M717" t="str">
        <f>CONCATENATE(MONTH(CompilDonnées[[#This Row],[HarvestingDate]])," ", YEAR(CompilDonnées[[#This Row],[HarvestingDate]]))</f>
        <v>2 2025</v>
      </c>
      <c r="N717">
        <f>_xlfn.NUMBERVALUE(CompilDonnées[[#This Row],[FarmID]]&amp;CompilDonnées[[#This Row],[ModuleNumber]]&amp;CompilDonnées[[#This Row],[PlantationDate]])</f>
        <v>106445666</v>
      </c>
      <c r="O717" t="str">
        <f>CompilDonnées[[#This Row],[FarmID]]&amp;CompilDonnées[[#This Row],[ModuleNumber]]</f>
        <v>1064</v>
      </c>
      <c r="P717" t="str">
        <f>CompilDonnées[[#This Row],[Ref_Module]]&amp;CompilDonnées[[#This Row],[HarvestingDate]]</f>
        <v>106445706</v>
      </c>
    </row>
    <row r="718" spans="1:16">
      <c r="A718" s="5">
        <v>45666</v>
      </c>
      <c r="B718">
        <v>99</v>
      </c>
      <c r="C718" t="s">
        <v>117</v>
      </c>
      <c r="D718">
        <v>6</v>
      </c>
      <c r="E718">
        <v>100</v>
      </c>
      <c r="F718" t="s">
        <v>1</v>
      </c>
      <c r="G718" s="6">
        <v>45715</v>
      </c>
      <c r="H718">
        <v>49</v>
      </c>
      <c r="I718">
        <f>ROUND(CompilDonnées[[#This Row],[CultureDuration_days]]/7,0)</f>
        <v>7</v>
      </c>
      <c r="J718">
        <v>3206</v>
      </c>
      <c r="K718" t="str">
        <f>_xlfn.CONCAT(WEEKNUM(CompilDonnées[[#This Row],[PlantationDate]]), " ", YEAR(CompilDonnées[[#This Row],[PlantationDate]]))</f>
        <v>2 2025</v>
      </c>
      <c r="L718" t="str">
        <f>CONCATENATE(MONTH(CompilDonnées[[#This Row],[PlantationDate]])," ", YEAR(CompilDonnées[[#This Row],[PlantationDate]]))</f>
        <v>1 2025</v>
      </c>
      <c r="M718" t="str">
        <f>CONCATENATE(MONTH(CompilDonnées[[#This Row],[HarvestingDate]])," ", YEAR(CompilDonnées[[#This Row],[HarvestingDate]]))</f>
        <v>2 2025</v>
      </c>
      <c r="N718">
        <f>_xlfn.NUMBERVALUE(CompilDonnées[[#This Row],[FarmID]]&amp;CompilDonnées[[#This Row],[ModuleNumber]]&amp;CompilDonnées[[#This Row],[PlantationDate]])</f>
        <v>99645666</v>
      </c>
      <c r="O718" t="str">
        <f>CompilDonnées[[#This Row],[FarmID]]&amp;CompilDonnées[[#This Row],[ModuleNumber]]</f>
        <v>996</v>
      </c>
      <c r="P718" t="str">
        <f>CompilDonnées[[#This Row],[Ref_Module]]&amp;CompilDonnées[[#This Row],[HarvestingDate]]</f>
        <v>99645715</v>
      </c>
    </row>
    <row r="719" spans="1:16">
      <c r="A719" s="5">
        <v>45666</v>
      </c>
      <c r="B719">
        <v>93</v>
      </c>
      <c r="C719" t="s">
        <v>10</v>
      </c>
      <c r="D719">
        <v>4</v>
      </c>
      <c r="E719">
        <v>100</v>
      </c>
      <c r="F719" t="s">
        <v>1</v>
      </c>
      <c r="G719" s="6">
        <v>45715</v>
      </c>
      <c r="H719">
        <v>49</v>
      </c>
      <c r="I719">
        <f>ROUND(CompilDonnées[[#This Row],[CultureDuration_days]]/7,0)</f>
        <v>7</v>
      </c>
      <c r="J719">
        <v>3499</v>
      </c>
      <c r="K719" t="str">
        <f>_xlfn.CONCAT(WEEKNUM(CompilDonnées[[#This Row],[PlantationDate]]), " ", YEAR(CompilDonnées[[#This Row],[PlantationDate]]))</f>
        <v>2 2025</v>
      </c>
      <c r="L719" t="str">
        <f>CONCATENATE(MONTH(CompilDonnées[[#This Row],[PlantationDate]])," ", YEAR(CompilDonnées[[#This Row],[PlantationDate]]))</f>
        <v>1 2025</v>
      </c>
      <c r="M719" t="str">
        <f>CONCATENATE(MONTH(CompilDonnées[[#This Row],[HarvestingDate]])," ", YEAR(CompilDonnées[[#This Row],[HarvestingDate]]))</f>
        <v>2 2025</v>
      </c>
      <c r="N719">
        <f>_xlfn.NUMBERVALUE(CompilDonnées[[#This Row],[FarmID]]&amp;CompilDonnées[[#This Row],[ModuleNumber]]&amp;CompilDonnées[[#This Row],[PlantationDate]])</f>
        <v>93445666</v>
      </c>
      <c r="O719" t="str">
        <f>CompilDonnées[[#This Row],[FarmID]]&amp;CompilDonnées[[#This Row],[ModuleNumber]]</f>
        <v>934</v>
      </c>
      <c r="P719" t="str">
        <f>CompilDonnées[[#This Row],[Ref_Module]]&amp;CompilDonnées[[#This Row],[HarvestingDate]]</f>
        <v>93445715</v>
      </c>
    </row>
    <row r="720" spans="1:16">
      <c r="A720" s="5">
        <v>45666</v>
      </c>
      <c r="B720">
        <v>93</v>
      </c>
      <c r="C720" t="s">
        <v>10</v>
      </c>
      <c r="D720">
        <v>5</v>
      </c>
      <c r="E720">
        <v>100</v>
      </c>
      <c r="F720" t="s">
        <v>1</v>
      </c>
      <c r="G720" s="6">
        <v>45707</v>
      </c>
      <c r="H720">
        <v>41</v>
      </c>
      <c r="I720">
        <f>ROUND(CompilDonnées[[#This Row],[CultureDuration_days]]/7,0)</f>
        <v>6</v>
      </c>
      <c r="J720">
        <v>4022</v>
      </c>
      <c r="K720" t="str">
        <f>_xlfn.CONCAT(WEEKNUM(CompilDonnées[[#This Row],[PlantationDate]]), " ", YEAR(CompilDonnées[[#This Row],[PlantationDate]]))</f>
        <v>2 2025</v>
      </c>
      <c r="L720" t="str">
        <f>CONCATENATE(MONTH(CompilDonnées[[#This Row],[PlantationDate]])," ", YEAR(CompilDonnées[[#This Row],[PlantationDate]]))</f>
        <v>1 2025</v>
      </c>
      <c r="M720" t="str">
        <f>CONCATENATE(MONTH(CompilDonnées[[#This Row],[HarvestingDate]])," ", YEAR(CompilDonnées[[#This Row],[HarvestingDate]]))</f>
        <v>2 2025</v>
      </c>
      <c r="N720">
        <f>_xlfn.NUMBERVALUE(CompilDonnées[[#This Row],[FarmID]]&amp;CompilDonnées[[#This Row],[ModuleNumber]]&amp;CompilDonnées[[#This Row],[PlantationDate]])</f>
        <v>93545666</v>
      </c>
      <c r="O720" t="str">
        <f>CompilDonnées[[#This Row],[FarmID]]&amp;CompilDonnées[[#This Row],[ModuleNumber]]</f>
        <v>935</v>
      </c>
      <c r="P720" t="str">
        <f>CompilDonnées[[#This Row],[Ref_Module]]&amp;CompilDonnées[[#This Row],[HarvestingDate]]</f>
        <v>93545707</v>
      </c>
    </row>
    <row r="721" spans="1:16">
      <c r="A721" s="5">
        <v>45666</v>
      </c>
      <c r="B721">
        <v>92</v>
      </c>
      <c r="C721" t="s">
        <v>66</v>
      </c>
      <c r="D721">
        <v>5</v>
      </c>
      <c r="E721">
        <v>100</v>
      </c>
      <c r="F721" t="s">
        <v>1</v>
      </c>
      <c r="G721" s="6">
        <v>45707</v>
      </c>
      <c r="H721">
        <v>41</v>
      </c>
      <c r="I721">
        <f>ROUND(CompilDonnées[[#This Row],[CultureDuration_days]]/7,0)</f>
        <v>6</v>
      </c>
      <c r="J721">
        <v>4072</v>
      </c>
      <c r="K721" t="str">
        <f>_xlfn.CONCAT(WEEKNUM(CompilDonnées[[#This Row],[PlantationDate]]), " ", YEAR(CompilDonnées[[#This Row],[PlantationDate]]))</f>
        <v>2 2025</v>
      </c>
      <c r="L721" t="str">
        <f>CONCATENATE(MONTH(CompilDonnées[[#This Row],[PlantationDate]])," ", YEAR(CompilDonnées[[#This Row],[PlantationDate]]))</f>
        <v>1 2025</v>
      </c>
      <c r="M721" t="str">
        <f>CONCATENATE(MONTH(CompilDonnées[[#This Row],[HarvestingDate]])," ", YEAR(CompilDonnées[[#This Row],[HarvestingDate]]))</f>
        <v>2 2025</v>
      </c>
      <c r="N721">
        <f>_xlfn.NUMBERVALUE(CompilDonnées[[#This Row],[FarmID]]&amp;CompilDonnées[[#This Row],[ModuleNumber]]&amp;CompilDonnées[[#This Row],[PlantationDate]])</f>
        <v>92545666</v>
      </c>
      <c r="O721" t="str">
        <f>CompilDonnées[[#This Row],[FarmID]]&amp;CompilDonnées[[#This Row],[ModuleNumber]]</f>
        <v>925</v>
      </c>
      <c r="P721" t="str">
        <f>CompilDonnées[[#This Row],[Ref_Module]]&amp;CompilDonnées[[#This Row],[HarvestingDate]]</f>
        <v>92545707</v>
      </c>
    </row>
    <row r="722" spans="1:16">
      <c r="A722" s="5">
        <v>45666</v>
      </c>
      <c r="B722">
        <v>87</v>
      </c>
      <c r="C722" t="s">
        <v>38</v>
      </c>
      <c r="D722">
        <v>6</v>
      </c>
      <c r="E722">
        <v>100</v>
      </c>
      <c r="F722" t="s">
        <v>1</v>
      </c>
      <c r="G722" s="6">
        <v>45707</v>
      </c>
      <c r="H722">
        <v>41</v>
      </c>
      <c r="I722">
        <f>ROUND(CompilDonnées[[#This Row],[CultureDuration_days]]/7,0)</f>
        <v>6</v>
      </c>
      <c r="J722">
        <v>2408</v>
      </c>
      <c r="K722" t="str">
        <f>_xlfn.CONCAT(WEEKNUM(CompilDonnées[[#This Row],[PlantationDate]]), " ", YEAR(CompilDonnées[[#This Row],[PlantationDate]]))</f>
        <v>2 2025</v>
      </c>
      <c r="L722" t="str">
        <f>CONCATENATE(MONTH(CompilDonnées[[#This Row],[PlantationDate]])," ", YEAR(CompilDonnées[[#This Row],[PlantationDate]]))</f>
        <v>1 2025</v>
      </c>
      <c r="M722" t="str">
        <f>CONCATENATE(MONTH(CompilDonnées[[#This Row],[HarvestingDate]])," ", YEAR(CompilDonnées[[#This Row],[HarvestingDate]]))</f>
        <v>2 2025</v>
      </c>
      <c r="N722">
        <f>_xlfn.NUMBERVALUE(CompilDonnées[[#This Row],[FarmID]]&amp;CompilDonnées[[#This Row],[ModuleNumber]]&amp;CompilDonnées[[#This Row],[PlantationDate]])</f>
        <v>87645666</v>
      </c>
      <c r="O722" t="str">
        <f>CompilDonnées[[#This Row],[FarmID]]&amp;CompilDonnées[[#This Row],[ModuleNumber]]</f>
        <v>876</v>
      </c>
      <c r="P722" t="str">
        <f>CompilDonnées[[#This Row],[Ref_Module]]&amp;CompilDonnées[[#This Row],[HarvestingDate]]</f>
        <v>87645707</v>
      </c>
    </row>
    <row r="723" spans="1:16">
      <c r="A723" s="5">
        <v>45666</v>
      </c>
      <c r="B723">
        <v>94</v>
      </c>
      <c r="C723" t="s">
        <v>40</v>
      </c>
      <c r="D723">
        <v>5</v>
      </c>
      <c r="E723">
        <v>100</v>
      </c>
      <c r="F723" t="s">
        <v>1</v>
      </c>
      <c r="G723" s="6">
        <v>45706</v>
      </c>
      <c r="H723">
        <v>40</v>
      </c>
      <c r="I723">
        <f>ROUND(CompilDonnées[[#This Row],[CultureDuration_days]]/7,0)</f>
        <v>6</v>
      </c>
      <c r="J723">
        <v>3533</v>
      </c>
      <c r="K723" t="str">
        <f>_xlfn.CONCAT(WEEKNUM(CompilDonnées[[#This Row],[PlantationDate]]), " ", YEAR(CompilDonnées[[#This Row],[PlantationDate]]))</f>
        <v>2 2025</v>
      </c>
      <c r="L723" t="str">
        <f>CONCATENATE(MONTH(CompilDonnées[[#This Row],[PlantationDate]])," ", YEAR(CompilDonnées[[#This Row],[PlantationDate]]))</f>
        <v>1 2025</v>
      </c>
      <c r="M723" t="str">
        <f>CONCATENATE(MONTH(CompilDonnées[[#This Row],[HarvestingDate]])," ", YEAR(CompilDonnées[[#This Row],[HarvestingDate]]))</f>
        <v>2 2025</v>
      </c>
      <c r="N723">
        <f>_xlfn.NUMBERVALUE(CompilDonnées[[#This Row],[FarmID]]&amp;CompilDonnées[[#This Row],[ModuleNumber]]&amp;CompilDonnées[[#This Row],[PlantationDate]])</f>
        <v>94545666</v>
      </c>
      <c r="O723" t="str">
        <f>CompilDonnées[[#This Row],[FarmID]]&amp;CompilDonnées[[#This Row],[ModuleNumber]]</f>
        <v>945</v>
      </c>
      <c r="P723" t="str">
        <f>CompilDonnées[[#This Row],[Ref_Module]]&amp;CompilDonnées[[#This Row],[HarvestingDate]]</f>
        <v>94545706</v>
      </c>
    </row>
    <row r="724" spans="1:16">
      <c r="A724" s="5">
        <v>45666</v>
      </c>
      <c r="B724">
        <v>75</v>
      </c>
      <c r="C724" t="s">
        <v>3</v>
      </c>
      <c r="D724">
        <v>4</v>
      </c>
      <c r="E724">
        <v>68</v>
      </c>
      <c r="F724" t="s">
        <v>1</v>
      </c>
      <c r="G724" s="6">
        <v>45700</v>
      </c>
      <c r="H724">
        <v>34</v>
      </c>
      <c r="I724">
        <f>ROUND(CompilDonnées[[#This Row],[CultureDuration_days]]/7,0)</f>
        <v>5</v>
      </c>
      <c r="J724">
        <v>2039</v>
      </c>
      <c r="K724" t="str">
        <f>_xlfn.CONCAT(WEEKNUM(CompilDonnées[[#This Row],[PlantationDate]]), " ", YEAR(CompilDonnées[[#This Row],[PlantationDate]]))</f>
        <v>2 2025</v>
      </c>
      <c r="L724" t="str">
        <f>CONCATENATE(MONTH(CompilDonnées[[#This Row],[PlantationDate]])," ", YEAR(CompilDonnées[[#This Row],[PlantationDate]]))</f>
        <v>1 2025</v>
      </c>
      <c r="M724" t="str">
        <f>CONCATENATE(MONTH(CompilDonnées[[#This Row],[HarvestingDate]])," ", YEAR(CompilDonnées[[#This Row],[HarvestingDate]]))</f>
        <v>2 2025</v>
      </c>
      <c r="N724">
        <f>_xlfn.NUMBERVALUE(CompilDonnées[[#This Row],[FarmID]]&amp;CompilDonnées[[#This Row],[ModuleNumber]]&amp;CompilDonnées[[#This Row],[PlantationDate]])</f>
        <v>75445666</v>
      </c>
      <c r="O724" t="str">
        <f>CompilDonnées[[#This Row],[FarmID]]&amp;CompilDonnées[[#This Row],[ModuleNumber]]</f>
        <v>754</v>
      </c>
      <c r="P724" t="str">
        <f>CompilDonnées[[#This Row],[Ref_Module]]&amp;CompilDonnées[[#This Row],[HarvestingDate]]</f>
        <v>75445700</v>
      </c>
    </row>
    <row r="725" spans="1:16">
      <c r="A725" s="5">
        <v>45666</v>
      </c>
      <c r="B725">
        <v>75</v>
      </c>
      <c r="C725" t="s">
        <v>3</v>
      </c>
      <c r="D725">
        <v>5</v>
      </c>
      <c r="E725">
        <v>68</v>
      </c>
      <c r="F725" t="s">
        <v>1</v>
      </c>
      <c r="G725" s="6">
        <v>45700</v>
      </c>
      <c r="H725">
        <v>34</v>
      </c>
      <c r="I725">
        <f>ROUND(CompilDonnées[[#This Row],[CultureDuration_days]]/7,0)</f>
        <v>5</v>
      </c>
      <c r="J725">
        <v>1818</v>
      </c>
      <c r="K725" t="str">
        <f>_xlfn.CONCAT(WEEKNUM(CompilDonnées[[#This Row],[PlantationDate]]), " ", YEAR(CompilDonnées[[#This Row],[PlantationDate]]))</f>
        <v>2 2025</v>
      </c>
      <c r="L725" t="str">
        <f>CONCATENATE(MONTH(CompilDonnées[[#This Row],[PlantationDate]])," ", YEAR(CompilDonnées[[#This Row],[PlantationDate]]))</f>
        <v>1 2025</v>
      </c>
      <c r="M725" t="str">
        <f>CONCATENATE(MONTH(CompilDonnées[[#This Row],[HarvestingDate]])," ", YEAR(CompilDonnées[[#This Row],[HarvestingDate]]))</f>
        <v>2 2025</v>
      </c>
      <c r="N725">
        <f>_xlfn.NUMBERVALUE(CompilDonnées[[#This Row],[FarmID]]&amp;CompilDonnées[[#This Row],[ModuleNumber]]&amp;CompilDonnées[[#This Row],[PlantationDate]])</f>
        <v>75545666</v>
      </c>
      <c r="O725" t="str">
        <f>CompilDonnées[[#This Row],[FarmID]]&amp;CompilDonnées[[#This Row],[ModuleNumber]]</f>
        <v>755</v>
      </c>
      <c r="P725" t="str">
        <f>CompilDonnées[[#This Row],[Ref_Module]]&amp;CompilDonnées[[#This Row],[HarvestingDate]]</f>
        <v>75545700</v>
      </c>
    </row>
    <row r="726" spans="1:16">
      <c r="A726" s="5">
        <v>45666</v>
      </c>
      <c r="B726">
        <v>75</v>
      </c>
      <c r="C726" t="s">
        <v>3</v>
      </c>
      <c r="D726">
        <v>6</v>
      </c>
      <c r="E726">
        <v>68</v>
      </c>
      <c r="F726" t="s">
        <v>1</v>
      </c>
      <c r="G726" s="6">
        <v>45700</v>
      </c>
      <c r="H726">
        <v>34</v>
      </c>
      <c r="I726">
        <f>ROUND(CompilDonnées[[#This Row],[CultureDuration_days]]/7,0)</f>
        <v>5</v>
      </c>
      <c r="J726">
        <v>2241</v>
      </c>
      <c r="K726" t="str">
        <f>_xlfn.CONCAT(WEEKNUM(CompilDonnées[[#This Row],[PlantationDate]]), " ", YEAR(CompilDonnées[[#This Row],[PlantationDate]]))</f>
        <v>2 2025</v>
      </c>
      <c r="L726" t="str">
        <f>CONCATENATE(MONTH(CompilDonnées[[#This Row],[PlantationDate]])," ", YEAR(CompilDonnées[[#This Row],[PlantationDate]]))</f>
        <v>1 2025</v>
      </c>
      <c r="M726" t="str">
        <f>CONCATENATE(MONTH(CompilDonnées[[#This Row],[HarvestingDate]])," ", YEAR(CompilDonnées[[#This Row],[HarvestingDate]]))</f>
        <v>2 2025</v>
      </c>
      <c r="N726">
        <f>_xlfn.NUMBERVALUE(CompilDonnées[[#This Row],[FarmID]]&amp;CompilDonnées[[#This Row],[ModuleNumber]]&amp;CompilDonnées[[#This Row],[PlantationDate]])</f>
        <v>75645666</v>
      </c>
      <c r="O726" t="str">
        <f>CompilDonnées[[#This Row],[FarmID]]&amp;CompilDonnées[[#This Row],[ModuleNumber]]</f>
        <v>756</v>
      </c>
      <c r="P726" t="str">
        <f>CompilDonnées[[#This Row],[Ref_Module]]&amp;CompilDonnées[[#This Row],[HarvestingDate]]</f>
        <v>75645700</v>
      </c>
    </row>
    <row r="727" spans="1:16">
      <c r="A727" s="5">
        <v>45667</v>
      </c>
      <c r="B727">
        <v>18</v>
      </c>
      <c r="C727" t="s">
        <v>33</v>
      </c>
      <c r="D727">
        <v>2</v>
      </c>
      <c r="E727">
        <v>100</v>
      </c>
      <c r="F727" t="s">
        <v>1</v>
      </c>
      <c r="G727" s="6">
        <v>45712</v>
      </c>
      <c r="H727">
        <v>45</v>
      </c>
      <c r="I727">
        <f>ROUND(CompilDonnées[[#This Row],[CultureDuration_days]]/7,0)</f>
        <v>6</v>
      </c>
      <c r="J727">
        <v>3206</v>
      </c>
      <c r="K727" t="str">
        <f>_xlfn.CONCAT(WEEKNUM(CompilDonnées[[#This Row],[PlantationDate]]), " ", YEAR(CompilDonnées[[#This Row],[PlantationDate]]))</f>
        <v>2 2025</v>
      </c>
      <c r="L727" t="str">
        <f>CONCATENATE(MONTH(CompilDonnées[[#This Row],[PlantationDate]])," ", YEAR(CompilDonnées[[#This Row],[PlantationDate]]))</f>
        <v>1 2025</v>
      </c>
      <c r="M727" t="str">
        <f>CONCATENATE(MONTH(CompilDonnées[[#This Row],[HarvestingDate]])," ", YEAR(CompilDonnées[[#This Row],[HarvestingDate]]))</f>
        <v>2 2025</v>
      </c>
      <c r="N727">
        <f>_xlfn.NUMBERVALUE(CompilDonnées[[#This Row],[FarmID]]&amp;CompilDonnées[[#This Row],[ModuleNumber]]&amp;CompilDonnées[[#This Row],[PlantationDate]])</f>
        <v>18245667</v>
      </c>
      <c r="O727" t="str">
        <f>CompilDonnées[[#This Row],[FarmID]]&amp;CompilDonnées[[#This Row],[ModuleNumber]]</f>
        <v>182</v>
      </c>
      <c r="P727" t="str">
        <f>CompilDonnées[[#This Row],[Ref_Module]]&amp;CompilDonnées[[#This Row],[HarvestingDate]]</f>
        <v>18245712</v>
      </c>
    </row>
    <row r="728" spans="1:16">
      <c r="A728" s="5">
        <v>45667</v>
      </c>
      <c r="B728">
        <v>50</v>
      </c>
      <c r="C728" t="s">
        <v>55</v>
      </c>
      <c r="D728">
        <v>6</v>
      </c>
      <c r="E728">
        <v>100</v>
      </c>
      <c r="F728" t="s">
        <v>1</v>
      </c>
      <c r="G728" s="6">
        <v>45705</v>
      </c>
      <c r="H728">
        <v>38</v>
      </c>
      <c r="I728">
        <f>ROUND(CompilDonnées[[#This Row],[CultureDuration_days]]/7,0)</f>
        <v>5</v>
      </c>
      <c r="J728">
        <v>3257</v>
      </c>
      <c r="K728" t="str">
        <f>_xlfn.CONCAT(WEEKNUM(CompilDonnées[[#This Row],[PlantationDate]]), " ", YEAR(CompilDonnées[[#This Row],[PlantationDate]]))</f>
        <v>2 2025</v>
      </c>
      <c r="L728" t="str">
        <f>CONCATENATE(MONTH(CompilDonnées[[#This Row],[PlantationDate]])," ", YEAR(CompilDonnées[[#This Row],[PlantationDate]]))</f>
        <v>1 2025</v>
      </c>
      <c r="M728" t="str">
        <f>CONCATENATE(MONTH(CompilDonnées[[#This Row],[HarvestingDate]])," ", YEAR(CompilDonnées[[#This Row],[HarvestingDate]]))</f>
        <v>2 2025</v>
      </c>
      <c r="N728">
        <f>_xlfn.NUMBERVALUE(CompilDonnées[[#This Row],[FarmID]]&amp;CompilDonnées[[#This Row],[ModuleNumber]]&amp;CompilDonnées[[#This Row],[PlantationDate]])</f>
        <v>50645667</v>
      </c>
      <c r="O728" t="str">
        <f>CompilDonnées[[#This Row],[FarmID]]&amp;CompilDonnées[[#This Row],[ModuleNumber]]</f>
        <v>506</v>
      </c>
      <c r="P728" t="str">
        <f>CompilDonnées[[#This Row],[Ref_Module]]&amp;CompilDonnées[[#This Row],[HarvestingDate]]</f>
        <v>50645705</v>
      </c>
    </row>
    <row r="729" spans="1:16">
      <c r="A729" s="5">
        <v>45667</v>
      </c>
      <c r="B729">
        <v>65</v>
      </c>
      <c r="C729" t="s">
        <v>36</v>
      </c>
      <c r="D729">
        <v>6</v>
      </c>
      <c r="E729">
        <v>100</v>
      </c>
      <c r="F729" t="s">
        <v>1</v>
      </c>
      <c r="G729" s="6">
        <v>45714</v>
      </c>
      <c r="H729">
        <v>47</v>
      </c>
      <c r="I729">
        <f>ROUND(CompilDonnées[[#This Row],[CultureDuration_days]]/7,0)</f>
        <v>7</v>
      </c>
      <c r="J729">
        <v>3866</v>
      </c>
      <c r="K729" t="str">
        <f>_xlfn.CONCAT(WEEKNUM(CompilDonnées[[#This Row],[PlantationDate]]), " ", YEAR(CompilDonnées[[#This Row],[PlantationDate]]))</f>
        <v>2 2025</v>
      </c>
      <c r="L729" t="str">
        <f>CONCATENATE(MONTH(CompilDonnées[[#This Row],[PlantationDate]])," ", YEAR(CompilDonnées[[#This Row],[PlantationDate]]))</f>
        <v>1 2025</v>
      </c>
      <c r="M729" t="str">
        <f>CONCATENATE(MONTH(CompilDonnées[[#This Row],[HarvestingDate]])," ", YEAR(CompilDonnées[[#This Row],[HarvestingDate]]))</f>
        <v>2 2025</v>
      </c>
      <c r="N729">
        <f>_xlfn.NUMBERVALUE(CompilDonnées[[#This Row],[FarmID]]&amp;CompilDonnées[[#This Row],[ModuleNumber]]&amp;CompilDonnées[[#This Row],[PlantationDate]])</f>
        <v>65645667</v>
      </c>
      <c r="O729" t="str">
        <f>CompilDonnées[[#This Row],[FarmID]]&amp;CompilDonnées[[#This Row],[ModuleNumber]]</f>
        <v>656</v>
      </c>
      <c r="P729" t="str">
        <f>CompilDonnées[[#This Row],[Ref_Module]]&amp;CompilDonnées[[#This Row],[HarvestingDate]]</f>
        <v>65645714</v>
      </c>
    </row>
    <row r="730" spans="1:16">
      <c r="A730" s="5">
        <v>45667</v>
      </c>
      <c r="B730">
        <v>66</v>
      </c>
      <c r="C730" t="s">
        <v>48</v>
      </c>
      <c r="D730">
        <v>2</v>
      </c>
      <c r="E730">
        <v>100</v>
      </c>
      <c r="F730" t="s">
        <v>1</v>
      </c>
      <c r="G730" s="6">
        <v>45714</v>
      </c>
      <c r="H730">
        <v>47</v>
      </c>
      <c r="I730">
        <f>ROUND(CompilDonnées[[#This Row],[CultureDuration_days]]/7,0)</f>
        <v>7</v>
      </c>
      <c r="J730">
        <v>3165</v>
      </c>
      <c r="K730" t="str">
        <f>_xlfn.CONCAT(WEEKNUM(CompilDonnées[[#This Row],[PlantationDate]]), " ", YEAR(CompilDonnées[[#This Row],[PlantationDate]]))</f>
        <v>2 2025</v>
      </c>
      <c r="L730" t="str">
        <f>CONCATENATE(MONTH(CompilDonnées[[#This Row],[PlantationDate]])," ", YEAR(CompilDonnées[[#This Row],[PlantationDate]]))</f>
        <v>1 2025</v>
      </c>
      <c r="M730" t="str">
        <f>CONCATENATE(MONTH(CompilDonnées[[#This Row],[HarvestingDate]])," ", YEAR(CompilDonnées[[#This Row],[HarvestingDate]]))</f>
        <v>2 2025</v>
      </c>
      <c r="N730">
        <f>_xlfn.NUMBERVALUE(CompilDonnées[[#This Row],[FarmID]]&amp;CompilDonnées[[#This Row],[ModuleNumber]]&amp;CompilDonnées[[#This Row],[PlantationDate]])</f>
        <v>66245667</v>
      </c>
      <c r="O730" t="str">
        <f>CompilDonnées[[#This Row],[FarmID]]&amp;CompilDonnées[[#This Row],[ModuleNumber]]</f>
        <v>662</v>
      </c>
      <c r="P730" t="str">
        <f>CompilDonnées[[#This Row],[Ref_Module]]&amp;CompilDonnées[[#This Row],[HarvestingDate]]</f>
        <v>66245714</v>
      </c>
    </row>
    <row r="731" spans="1:16">
      <c r="A731" s="5">
        <v>45667</v>
      </c>
      <c r="B731">
        <v>57</v>
      </c>
      <c r="C731" t="s">
        <v>46</v>
      </c>
      <c r="D731">
        <v>6</v>
      </c>
      <c r="E731">
        <v>100</v>
      </c>
      <c r="F731" t="s">
        <v>1</v>
      </c>
      <c r="G731" s="6">
        <v>45714</v>
      </c>
      <c r="H731">
        <v>47</v>
      </c>
      <c r="I731">
        <f>ROUND(CompilDonnées[[#This Row],[CultureDuration_days]]/7,0)</f>
        <v>7</v>
      </c>
      <c r="J731">
        <v>4266</v>
      </c>
      <c r="K731" t="str">
        <f>_xlfn.CONCAT(WEEKNUM(CompilDonnées[[#This Row],[PlantationDate]]), " ", YEAR(CompilDonnées[[#This Row],[PlantationDate]]))</f>
        <v>2 2025</v>
      </c>
      <c r="L731" t="str">
        <f>CONCATENATE(MONTH(CompilDonnées[[#This Row],[PlantationDate]])," ", YEAR(CompilDonnées[[#This Row],[PlantationDate]]))</f>
        <v>1 2025</v>
      </c>
      <c r="M731" t="str">
        <f>CONCATENATE(MONTH(CompilDonnées[[#This Row],[HarvestingDate]])," ", YEAR(CompilDonnées[[#This Row],[HarvestingDate]]))</f>
        <v>2 2025</v>
      </c>
      <c r="N731">
        <f>_xlfn.NUMBERVALUE(CompilDonnées[[#This Row],[FarmID]]&amp;CompilDonnées[[#This Row],[ModuleNumber]]&amp;CompilDonnées[[#This Row],[PlantationDate]])</f>
        <v>57645667</v>
      </c>
      <c r="O731" t="str">
        <f>CompilDonnées[[#This Row],[FarmID]]&amp;CompilDonnées[[#This Row],[ModuleNumber]]</f>
        <v>576</v>
      </c>
      <c r="P731" t="str">
        <f>CompilDonnées[[#This Row],[Ref_Module]]&amp;CompilDonnées[[#This Row],[HarvestingDate]]</f>
        <v>57645714</v>
      </c>
    </row>
    <row r="732" spans="1:16">
      <c r="A732" s="5">
        <v>45667</v>
      </c>
      <c r="B732">
        <v>1</v>
      </c>
      <c r="C732" t="s">
        <v>111</v>
      </c>
      <c r="D732">
        <v>3</v>
      </c>
      <c r="E732">
        <v>100</v>
      </c>
      <c r="F732" t="s">
        <v>1</v>
      </c>
      <c r="G732" s="6">
        <v>45712</v>
      </c>
      <c r="H732">
        <v>45</v>
      </c>
      <c r="I732">
        <f>ROUND(CompilDonnées[[#This Row],[CultureDuration_days]]/7,0)</f>
        <v>6</v>
      </c>
      <c r="J732">
        <v>2902</v>
      </c>
      <c r="K732" t="str">
        <f>_xlfn.CONCAT(WEEKNUM(CompilDonnées[[#This Row],[PlantationDate]]), " ", YEAR(CompilDonnées[[#This Row],[PlantationDate]]))</f>
        <v>2 2025</v>
      </c>
      <c r="L732" t="str">
        <f>CONCATENATE(MONTH(CompilDonnées[[#This Row],[PlantationDate]])," ", YEAR(CompilDonnées[[#This Row],[PlantationDate]]))</f>
        <v>1 2025</v>
      </c>
      <c r="M732" t="str">
        <f>CONCATENATE(MONTH(CompilDonnées[[#This Row],[HarvestingDate]])," ", YEAR(CompilDonnées[[#This Row],[HarvestingDate]]))</f>
        <v>2 2025</v>
      </c>
      <c r="N732">
        <f>_xlfn.NUMBERVALUE(CompilDonnées[[#This Row],[FarmID]]&amp;CompilDonnées[[#This Row],[ModuleNumber]]&amp;CompilDonnées[[#This Row],[PlantationDate]])</f>
        <v>1345667</v>
      </c>
      <c r="O732" t="str">
        <f>CompilDonnées[[#This Row],[FarmID]]&amp;CompilDonnées[[#This Row],[ModuleNumber]]</f>
        <v>13</v>
      </c>
      <c r="P732" t="str">
        <f>CompilDonnées[[#This Row],[Ref_Module]]&amp;CompilDonnées[[#This Row],[HarvestingDate]]</f>
        <v>1345712</v>
      </c>
    </row>
    <row r="733" spans="1:16">
      <c r="A733" s="5">
        <v>45667</v>
      </c>
      <c r="B733">
        <v>9</v>
      </c>
      <c r="C733" t="s">
        <v>107</v>
      </c>
      <c r="D733">
        <v>4</v>
      </c>
      <c r="E733">
        <v>100</v>
      </c>
      <c r="F733" t="s">
        <v>1</v>
      </c>
      <c r="G733" s="6">
        <v>45712</v>
      </c>
      <c r="H733">
        <v>45</v>
      </c>
      <c r="I733">
        <f>ROUND(CompilDonnées[[#This Row],[CultureDuration_days]]/7,0)</f>
        <v>6</v>
      </c>
      <c r="J733">
        <v>3317</v>
      </c>
      <c r="K733" t="str">
        <f>_xlfn.CONCAT(WEEKNUM(CompilDonnées[[#This Row],[PlantationDate]]), " ", YEAR(CompilDonnées[[#This Row],[PlantationDate]]))</f>
        <v>2 2025</v>
      </c>
      <c r="L733" t="str">
        <f>CONCATENATE(MONTH(CompilDonnées[[#This Row],[PlantationDate]])," ", YEAR(CompilDonnées[[#This Row],[PlantationDate]]))</f>
        <v>1 2025</v>
      </c>
      <c r="M733" t="str">
        <f>CONCATENATE(MONTH(CompilDonnées[[#This Row],[HarvestingDate]])," ", YEAR(CompilDonnées[[#This Row],[HarvestingDate]]))</f>
        <v>2 2025</v>
      </c>
      <c r="N733">
        <f>_xlfn.NUMBERVALUE(CompilDonnées[[#This Row],[FarmID]]&amp;CompilDonnées[[#This Row],[ModuleNumber]]&amp;CompilDonnées[[#This Row],[PlantationDate]])</f>
        <v>9445667</v>
      </c>
      <c r="O733" t="str">
        <f>CompilDonnées[[#This Row],[FarmID]]&amp;CompilDonnées[[#This Row],[ModuleNumber]]</f>
        <v>94</v>
      </c>
      <c r="P733" t="str">
        <f>CompilDonnées[[#This Row],[Ref_Module]]&amp;CompilDonnées[[#This Row],[HarvestingDate]]</f>
        <v>9445712</v>
      </c>
    </row>
    <row r="734" spans="1:16">
      <c r="A734" s="5">
        <v>45667</v>
      </c>
      <c r="B734">
        <v>10</v>
      </c>
      <c r="C734" t="s">
        <v>109</v>
      </c>
      <c r="D734">
        <v>5</v>
      </c>
      <c r="E734">
        <v>100</v>
      </c>
      <c r="F734" t="s">
        <v>1</v>
      </c>
      <c r="G734" s="6">
        <v>45713</v>
      </c>
      <c r="H734">
        <v>46</v>
      </c>
      <c r="I734">
        <f>ROUND(CompilDonnées[[#This Row],[CultureDuration_days]]/7,0)</f>
        <v>7</v>
      </c>
      <c r="J734">
        <v>2873</v>
      </c>
      <c r="K734" t="str">
        <f>_xlfn.CONCAT(WEEKNUM(CompilDonnées[[#This Row],[PlantationDate]]), " ", YEAR(CompilDonnées[[#This Row],[PlantationDate]]))</f>
        <v>2 2025</v>
      </c>
      <c r="L734" t="str">
        <f>CONCATENATE(MONTH(CompilDonnées[[#This Row],[PlantationDate]])," ", YEAR(CompilDonnées[[#This Row],[PlantationDate]]))</f>
        <v>1 2025</v>
      </c>
      <c r="M734" t="str">
        <f>CONCATENATE(MONTH(CompilDonnées[[#This Row],[HarvestingDate]])," ", YEAR(CompilDonnées[[#This Row],[HarvestingDate]]))</f>
        <v>2 2025</v>
      </c>
      <c r="N734">
        <f>_xlfn.NUMBERVALUE(CompilDonnées[[#This Row],[FarmID]]&amp;CompilDonnées[[#This Row],[ModuleNumber]]&amp;CompilDonnées[[#This Row],[PlantationDate]])</f>
        <v>10545667</v>
      </c>
      <c r="O734" t="str">
        <f>CompilDonnées[[#This Row],[FarmID]]&amp;CompilDonnées[[#This Row],[ModuleNumber]]</f>
        <v>105</v>
      </c>
      <c r="P734" t="str">
        <f>CompilDonnées[[#This Row],[Ref_Module]]&amp;CompilDonnées[[#This Row],[HarvestingDate]]</f>
        <v>10545713</v>
      </c>
    </row>
    <row r="735" spans="1:16">
      <c r="A735" s="5">
        <v>45667</v>
      </c>
      <c r="B735">
        <v>63</v>
      </c>
      <c r="C735" t="s">
        <v>98</v>
      </c>
      <c r="D735">
        <v>5</v>
      </c>
      <c r="E735">
        <v>100</v>
      </c>
      <c r="F735" t="s">
        <v>1</v>
      </c>
      <c r="G735" s="6">
        <v>45714</v>
      </c>
      <c r="H735">
        <v>47</v>
      </c>
      <c r="I735">
        <f>ROUND(CompilDonnées[[#This Row],[CultureDuration_days]]/7,0)</f>
        <v>7</v>
      </c>
      <c r="J735">
        <v>2193</v>
      </c>
      <c r="K735" t="str">
        <f>_xlfn.CONCAT(WEEKNUM(CompilDonnées[[#This Row],[PlantationDate]]), " ", YEAR(CompilDonnées[[#This Row],[PlantationDate]]))</f>
        <v>2 2025</v>
      </c>
      <c r="L735" t="str">
        <f>CONCATENATE(MONTH(CompilDonnées[[#This Row],[PlantationDate]])," ", YEAR(CompilDonnées[[#This Row],[PlantationDate]]))</f>
        <v>1 2025</v>
      </c>
      <c r="M735" t="str">
        <f>CONCATENATE(MONTH(CompilDonnées[[#This Row],[HarvestingDate]])," ", YEAR(CompilDonnées[[#This Row],[HarvestingDate]]))</f>
        <v>2 2025</v>
      </c>
      <c r="N735">
        <f>_xlfn.NUMBERVALUE(CompilDonnées[[#This Row],[FarmID]]&amp;CompilDonnées[[#This Row],[ModuleNumber]]&amp;CompilDonnées[[#This Row],[PlantationDate]])</f>
        <v>63545667</v>
      </c>
      <c r="O735" t="str">
        <f>CompilDonnées[[#This Row],[FarmID]]&amp;CompilDonnées[[#This Row],[ModuleNumber]]</f>
        <v>635</v>
      </c>
      <c r="P735" t="str">
        <f>CompilDonnées[[#This Row],[Ref_Module]]&amp;CompilDonnées[[#This Row],[HarvestingDate]]</f>
        <v>63545714</v>
      </c>
    </row>
    <row r="736" spans="1:16">
      <c r="A736" s="5">
        <v>45667</v>
      </c>
      <c r="B736">
        <v>70</v>
      </c>
      <c r="C736" t="s">
        <v>7</v>
      </c>
      <c r="D736">
        <v>5</v>
      </c>
      <c r="E736">
        <v>100</v>
      </c>
      <c r="F736" t="s">
        <v>1</v>
      </c>
      <c r="G736" s="6">
        <v>45714</v>
      </c>
      <c r="H736">
        <v>47</v>
      </c>
      <c r="I736">
        <f>ROUND(CompilDonnées[[#This Row],[CultureDuration_days]]/7,0)</f>
        <v>7</v>
      </c>
      <c r="J736">
        <v>2506</v>
      </c>
      <c r="K736" t="str">
        <f>_xlfn.CONCAT(WEEKNUM(CompilDonnées[[#This Row],[PlantationDate]]), " ", YEAR(CompilDonnées[[#This Row],[PlantationDate]]))</f>
        <v>2 2025</v>
      </c>
      <c r="L736" t="str">
        <f>CONCATENATE(MONTH(CompilDonnées[[#This Row],[PlantationDate]])," ", YEAR(CompilDonnées[[#This Row],[PlantationDate]]))</f>
        <v>1 2025</v>
      </c>
      <c r="M736" t="str">
        <f>CONCATENATE(MONTH(CompilDonnées[[#This Row],[HarvestingDate]])," ", YEAR(CompilDonnées[[#This Row],[HarvestingDate]]))</f>
        <v>2 2025</v>
      </c>
      <c r="N736">
        <f>_xlfn.NUMBERVALUE(CompilDonnées[[#This Row],[FarmID]]&amp;CompilDonnées[[#This Row],[ModuleNumber]]&amp;CompilDonnées[[#This Row],[PlantationDate]])</f>
        <v>70545667</v>
      </c>
      <c r="O736" t="str">
        <f>CompilDonnées[[#This Row],[FarmID]]&amp;CompilDonnées[[#This Row],[ModuleNumber]]</f>
        <v>705</v>
      </c>
      <c r="P736" t="str">
        <f>CompilDonnées[[#This Row],[Ref_Module]]&amp;CompilDonnées[[#This Row],[HarvestingDate]]</f>
        <v>70545714</v>
      </c>
    </row>
    <row r="737" spans="1:16">
      <c r="A737" s="5">
        <v>45667</v>
      </c>
      <c r="B737">
        <v>69</v>
      </c>
      <c r="C737" t="s">
        <v>102</v>
      </c>
      <c r="D737">
        <v>5</v>
      </c>
      <c r="E737">
        <v>100</v>
      </c>
      <c r="F737" t="s">
        <v>1</v>
      </c>
      <c r="G737" s="6">
        <v>45721</v>
      </c>
      <c r="H737">
        <v>54</v>
      </c>
      <c r="I737">
        <f>ROUND(CompilDonnées[[#This Row],[CultureDuration_days]]/7,0)</f>
        <v>8</v>
      </c>
      <c r="J737">
        <v>2868</v>
      </c>
      <c r="K737" t="str">
        <f>_xlfn.CONCAT(WEEKNUM(CompilDonnées[[#This Row],[PlantationDate]]), " ", YEAR(CompilDonnées[[#This Row],[PlantationDate]]))</f>
        <v>2 2025</v>
      </c>
      <c r="L737" t="str">
        <f>CONCATENATE(MONTH(CompilDonnées[[#This Row],[PlantationDate]])," ", YEAR(CompilDonnées[[#This Row],[PlantationDate]]))</f>
        <v>1 2025</v>
      </c>
      <c r="M737" t="str">
        <f>CONCATENATE(MONTH(CompilDonnées[[#This Row],[HarvestingDate]])," ", YEAR(CompilDonnées[[#This Row],[HarvestingDate]]))</f>
        <v>3 2025</v>
      </c>
      <c r="N737">
        <f>_xlfn.NUMBERVALUE(CompilDonnées[[#This Row],[FarmID]]&amp;CompilDonnées[[#This Row],[ModuleNumber]]&amp;CompilDonnées[[#This Row],[PlantationDate]])</f>
        <v>69545667</v>
      </c>
      <c r="O737" t="str">
        <f>CompilDonnées[[#This Row],[FarmID]]&amp;CompilDonnées[[#This Row],[ModuleNumber]]</f>
        <v>695</v>
      </c>
      <c r="P737" t="str">
        <f>CompilDonnées[[#This Row],[Ref_Module]]&amp;CompilDonnées[[#This Row],[HarvestingDate]]</f>
        <v>69545721</v>
      </c>
    </row>
    <row r="738" spans="1:16">
      <c r="A738" s="5">
        <v>45667</v>
      </c>
      <c r="B738">
        <v>102</v>
      </c>
      <c r="C738" t="s">
        <v>85</v>
      </c>
      <c r="D738">
        <v>5</v>
      </c>
      <c r="E738">
        <v>100</v>
      </c>
      <c r="F738" t="s">
        <v>1</v>
      </c>
      <c r="G738" s="6">
        <v>45715</v>
      </c>
      <c r="H738">
        <v>48</v>
      </c>
      <c r="I738">
        <f>ROUND(CompilDonnées[[#This Row],[CultureDuration_days]]/7,0)</f>
        <v>7</v>
      </c>
      <c r="J738">
        <v>2465</v>
      </c>
      <c r="K738" t="str">
        <f>_xlfn.CONCAT(WEEKNUM(CompilDonnées[[#This Row],[PlantationDate]]), " ", YEAR(CompilDonnées[[#This Row],[PlantationDate]]))</f>
        <v>2 2025</v>
      </c>
      <c r="L738" t="str">
        <f>CONCATENATE(MONTH(CompilDonnées[[#This Row],[PlantationDate]])," ", YEAR(CompilDonnées[[#This Row],[PlantationDate]]))</f>
        <v>1 2025</v>
      </c>
      <c r="M738" t="str">
        <f>CONCATENATE(MONTH(CompilDonnées[[#This Row],[HarvestingDate]])," ", YEAR(CompilDonnées[[#This Row],[HarvestingDate]]))</f>
        <v>2 2025</v>
      </c>
      <c r="N738">
        <f>_xlfn.NUMBERVALUE(CompilDonnées[[#This Row],[FarmID]]&amp;CompilDonnées[[#This Row],[ModuleNumber]]&amp;CompilDonnées[[#This Row],[PlantationDate]])</f>
        <v>102545667</v>
      </c>
      <c r="O738" t="str">
        <f>CompilDonnées[[#This Row],[FarmID]]&amp;CompilDonnées[[#This Row],[ModuleNumber]]</f>
        <v>1025</v>
      </c>
      <c r="P738" t="str">
        <f>CompilDonnées[[#This Row],[Ref_Module]]&amp;CompilDonnées[[#This Row],[HarvestingDate]]</f>
        <v>102545715</v>
      </c>
    </row>
    <row r="739" spans="1:16">
      <c r="A739" s="5">
        <v>45667</v>
      </c>
      <c r="B739">
        <v>108</v>
      </c>
      <c r="C739" t="s">
        <v>58</v>
      </c>
      <c r="D739">
        <v>6</v>
      </c>
      <c r="E739">
        <v>100</v>
      </c>
      <c r="F739" t="s">
        <v>1</v>
      </c>
      <c r="G739" s="6">
        <v>45707</v>
      </c>
      <c r="H739">
        <v>40</v>
      </c>
      <c r="I739">
        <f>ROUND(CompilDonnées[[#This Row],[CultureDuration_days]]/7,0)</f>
        <v>6</v>
      </c>
      <c r="J739">
        <v>3469</v>
      </c>
      <c r="K739" t="str">
        <f>_xlfn.CONCAT(WEEKNUM(CompilDonnées[[#This Row],[PlantationDate]]), " ", YEAR(CompilDonnées[[#This Row],[PlantationDate]]))</f>
        <v>2 2025</v>
      </c>
      <c r="L739" t="str">
        <f>CONCATENATE(MONTH(CompilDonnées[[#This Row],[PlantationDate]])," ", YEAR(CompilDonnées[[#This Row],[PlantationDate]]))</f>
        <v>1 2025</v>
      </c>
      <c r="M739" t="str">
        <f>CONCATENATE(MONTH(CompilDonnées[[#This Row],[HarvestingDate]])," ", YEAR(CompilDonnées[[#This Row],[HarvestingDate]]))</f>
        <v>2 2025</v>
      </c>
      <c r="N739">
        <f>_xlfn.NUMBERVALUE(CompilDonnées[[#This Row],[FarmID]]&amp;CompilDonnées[[#This Row],[ModuleNumber]]&amp;CompilDonnées[[#This Row],[PlantationDate]])</f>
        <v>108645667</v>
      </c>
      <c r="O739" t="str">
        <f>CompilDonnées[[#This Row],[FarmID]]&amp;CompilDonnées[[#This Row],[ModuleNumber]]</f>
        <v>1086</v>
      </c>
      <c r="P739" t="str">
        <f>CompilDonnées[[#This Row],[Ref_Module]]&amp;CompilDonnées[[#This Row],[HarvestingDate]]</f>
        <v>108645707</v>
      </c>
    </row>
    <row r="740" spans="1:16">
      <c r="A740" s="5">
        <v>45667</v>
      </c>
      <c r="B740">
        <v>98</v>
      </c>
      <c r="C740" t="s">
        <v>79</v>
      </c>
      <c r="D740">
        <v>1</v>
      </c>
      <c r="E740">
        <v>100</v>
      </c>
      <c r="F740" t="s">
        <v>1</v>
      </c>
      <c r="G740" s="6">
        <v>45707</v>
      </c>
      <c r="H740">
        <v>40</v>
      </c>
      <c r="I740">
        <f>ROUND(CompilDonnées[[#This Row],[CultureDuration_days]]/7,0)</f>
        <v>6</v>
      </c>
      <c r="J740">
        <v>3110</v>
      </c>
      <c r="K740" t="str">
        <f>_xlfn.CONCAT(WEEKNUM(CompilDonnées[[#This Row],[PlantationDate]]), " ", YEAR(CompilDonnées[[#This Row],[PlantationDate]]))</f>
        <v>2 2025</v>
      </c>
      <c r="L740" t="str">
        <f>CONCATENATE(MONTH(CompilDonnées[[#This Row],[PlantationDate]])," ", YEAR(CompilDonnées[[#This Row],[PlantationDate]]))</f>
        <v>1 2025</v>
      </c>
      <c r="M740" t="str">
        <f>CONCATENATE(MONTH(CompilDonnées[[#This Row],[HarvestingDate]])," ", YEAR(CompilDonnées[[#This Row],[HarvestingDate]]))</f>
        <v>2 2025</v>
      </c>
      <c r="N740">
        <f>_xlfn.NUMBERVALUE(CompilDonnées[[#This Row],[FarmID]]&amp;CompilDonnées[[#This Row],[ModuleNumber]]&amp;CompilDonnées[[#This Row],[PlantationDate]])</f>
        <v>98145667</v>
      </c>
      <c r="O740" t="str">
        <f>CompilDonnées[[#This Row],[FarmID]]&amp;CompilDonnées[[#This Row],[ModuleNumber]]</f>
        <v>981</v>
      </c>
      <c r="P740" t="str">
        <f>CompilDonnées[[#This Row],[Ref_Module]]&amp;CompilDonnées[[#This Row],[HarvestingDate]]</f>
        <v>98145707</v>
      </c>
    </row>
    <row r="741" spans="1:16">
      <c r="A741" s="5">
        <v>45667</v>
      </c>
      <c r="B741">
        <v>94</v>
      </c>
      <c r="C741" t="s">
        <v>40</v>
      </c>
      <c r="D741">
        <v>4</v>
      </c>
      <c r="E741">
        <v>100</v>
      </c>
      <c r="F741" t="s">
        <v>1</v>
      </c>
      <c r="G741" s="6">
        <v>45706</v>
      </c>
      <c r="H741">
        <v>39</v>
      </c>
      <c r="I741">
        <f>ROUND(CompilDonnées[[#This Row],[CultureDuration_days]]/7,0)</f>
        <v>6</v>
      </c>
      <c r="J741">
        <v>3211</v>
      </c>
      <c r="K741" t="str">
        <f>_xlfn.CONCAT(WEEKNUM(CompilDonnées[[#This Row],[PlantationDate]]), " ", YEAR(CompilDonnées[[#This Row],[PlantationDate]]))</f>
        <v>2 2025</v>
      </c>
      <c r="L741" t="str">
        <f>CONCATENATE(MONTH(CompilDonnées[[#This Row],[PlantationDate]])," ", YEAR(CompilDonnées[[#This Row],[PlantationDate]]))</f>
        <v>1 2025</v>
      </c>
      <c r="M741" t="str">
        <f>CONCATENATE(MONTH(CompilDonnées[[#This Row],[HarvestingDate]])," ", YEAR(CompilDonnées[[#This Row],[HarvestingDate]]))</f>
        <v>2 2025</v>
      </c>
      <c r="N741">
        <f>_xlfn.NUMBERVALUE(CompilDonnées[[#This Row],[FarmID]]&amp;CompilDonnées[[#This Row],[ModuleNumber]]&amp;CompilDonnées[[#This Row],[PlantationDate]])</f>
        <v>94445667</v>
      </c>
      <c r="O741" t="str">
        <f>CompilDonnées[[#This Row],[FarmID]]&amp;CompilDonnées[[#This Row],[ModuleNumber]]</f>
        <v>944</v>
      </c>
      <c r="P741" t="str">
        <f>CompilDonnées[[#This Row],[Ref_Module]]&amp;CompilDonnées[[#This Row],[HarvestingDate]]</f>
        <v>94445706</v>
      </c>
    </row>
    <row r="742" spans="1:16">
      <c r="A742" s="5">
        <v>45667</v>
      </c>
      <c r="B742">
        <v>88</v>
      </c>
      <c r="C742" t="s">
        <v>94</v>
      </c>
      <c r="D742">
        <v>5</v>
      </c>
      <c r="E742">
        <v>100</v>
      </c>
      <c r="F742" t="s">
        <v>1</v>
      </c>
      <c r="G742" s="6">
        <v>45706</v>
      </c>
      <c r="H742">
        <v>39</v>
      </c>
      <c r="I742">
        <f>ROUND(CompilDonnées[[#This Row],[CultureDuration_days]]/7,0)</f>
        <v>6</v>
      </c>
      <c r="J742">
        <v>3705</v>
      </c>
      <c r="K742" t="str">
        <f>_xlfn.CONCAT(WEEKNUM(CompilDonnées[[#This Row],[PlantationDate]]), " ", YEAR(CompilDonnées[[#This Row],[PlantationDate]]))</f>
        <v>2 2025</v>
      </c>
      <c r="L742" t="str">
        <f>CONCATENATE(MONTH(CompilDonnées[[#This Row],[PlantationDate]])," ", YEAR(CompilDonnées[[#This Row],[PlantationDate]]))</f>
        <v>1 2025</v>
      </c>
      <c r="M742" t="str">
        <f>CONCATENATE(MONTH(CompilDonnées[[#This Row],[HarvestingDate]])," ", YEAR(CompilDonnées[[#This Row],[HarvestingDate]]))</f>
        <v>2 2025</v>
      </c>
      <c r="N742">
        <f>_xlfn.NUMBERVALUE(CompilDonnées[[#This Row],[FarmID]]&amp;CompilDonnées[[#This Row],[ModuleNumber]]&amp;CompilDonnées[[#This Row],[PlantationDate]])</f>
        <v>88545667</v>
      </c>
      <c r="O742" t="str">
        <f>CompilDonnées[[#This Row],[FarmID]]&amp;CompilDonnées[[#This Row],[ModuleNumber]]</f>
        <v>885</v>
      </c>
      <c r="P742" t="str">
        <f>CompilDonnées[[#This Row],[Ref_Module]]&amp;CompilDonnées[[#This Row],[HarvestingDate]]</f>
        <v>88545706</v>
      </c>
    </row>
    <row r="743" spans="1:16">
      <c r="A743" s="5">
        <v>45667</v>
      </c>
      <c r="B743">
        <v>88</v>
      </c>
      <c r="C743" t="s">
        <v>94</v>
      </c>
      <c r="D743">
        <v>6</v>
      </c>
      <c r="E743">
        <v>100</v>
      </c>
      <c r="F743" t="s">
        <v>1</v>
      </c>
      <c r="G743" s="6">
        <v>45706</v>
      </c>
      <c r="H743">
        <v>39</v>
      </c>
      <c r="I743">
        <f>ROUND(CompilDonnées[[#This Row],[CultureDuration_days]]/7,0)</f>
        <v>6</v>
      </c>
      <c r="J743">
        <v>3867</v>
      </c>
      <c r="K743" t="str">
        <f>_xlfn.CONCAT(WEEKNUM(CompilDonnées[[#This Row],[PlantationDate]]), " ", YEAR(CompilDonnées[[#This Row],[PlantationDate]]))</f>
        <v>2 2025</v>
      </c>
      <c r="L743" t="str">
        <f>CONCATENATE(MONTH(CompilDonnées[[#This Row],[PlantationDate]])," ", YEAR(CompilDonnées[[#This Row],[PlantationDate]]))</f>
        <v>1 2025</v>
      </c>
      <c r="M743" t="str">
        <f>CONCATENATE(MONTH(CompilDonnées[[#This Row],[HarvestingDate]])," ", YEAR(CompilDonnées[[#This Row],[HarvestingDate]]))</f>
        <v>2 2025</v>
      </c>
      <c r="N743">
        <f>_xlfn.NUMBERVALUE(CompilDonnées[[#This Row],[FarmID]]&amp;CompilDonnées[[#This Row],[ModuleNumber]]&amp;CompilDonnées[[#This Row],[PlantationDate]])</f>
        <v>88645667</v>
      </c>
      <c r="O743" t="str">
        <f>CompilDonnées[[#This Row],[FarmID]]&amp;CompilDonnées[[#This Row],[ModuleNumber]]</f>
        <v>886</v>
      </c>
      <c r="P743" t="str">
        <f>CompilDonnées[[#This Row],[Ref_Module]]&amp;CompilDonnées[[#This Row],[HarvestingDate]]</f>
        <v>88645706</v>
      </c>
    </row>
    <row r="744" spans="1:16">
      <c r="A744" s="5">
        <v>45667</v>
      </c>
      <c r="B744">
        <v>115</v>
      </c>
      <c r="C744" t="s">
        <v>92</v>
      </c>
      <c r="D744">
        <v>6</v>
      </c>
      <c r="E744">
        <v>100</v>
      </c>
      <c r="F744" t="s">
        <v>1</v>
      </c>
      <c r="G744" s="6">
        <v>45707</v>
      </c>
      <c r="H744">
        <v>40</v>
      </c>
      <c r="I744">
        <f>ROUND(CompilDonnées[[#This Row],[CultureDuration_days]]/7,0)</f>
        <v>6</v>
      </c>
      <c r="J744">
        <v>3179</v>
      </c>
      <c r="K744" t="str">
        <f>_xlfn.CONCAT(WEEKNUM(CompilDonnées[[#This Row],[PlantationDate]]), " ", YEAR(CompilDonnées[[#This Row],[PlantationDate]]))</f>
        <v>2 2025</v>
      </c>
      <c r="L744" t="str">
        <f>CONCATENATE(MONTH(CompilDonnées[[#This Row],[PlantationDate]])," ", YEAR(CompilDonnées[[#This Row],[PlantationDate]]))</f>
        <v>1 2025</v>
      </c>
      <c r="M744" t="str">
        <f>CONCATENATE(MONTH(CompilDonnées[[#This Row],[HarvestingDate]])," ", YEAR(CompilDonnées[[#This Row],[HarvestingDate]]))</f>
        <v>2 2025</v>
      </c>
      <c r="N744">
        <f>_xlfn.NUMBERVALUE(CompilDonnées[[#This Row],[FarmID]]&amp;CompilDonnées[[#This Row],[ModuleNumber]]&amp;CompilDonnées[[#This Row],[PlantationDate]])</f>
        <v>115645667</v>
      </c>
      <c r="O744" t="str">
        <f>CompilDonnées[[#This Row],[FarmID]]&amp;CompilDonnées[[#This Row],[ModuleNumber]]</f>
        <v>1156</v>
      </c>
      <c r="P744" t="str">
        <f>CompilDonnées[[#This Row],[Ref_Module]]&amp;CompilDonnées[[#This Row],[HarvestingDate]]</f>
        <v>115645707</v>
      </c>
    </row>
    <row r="745" spans="1:16">
      <c r="A745" s="5">
        <v>45667</v>
      </c>
      <c r="B745">
        <v>110</v>
      </c>
      <c r="C745" t="s">
        <v>14</v>
      </c>
      <c r="D745">
        <v>4</v>
      </c>
      <c r="E745">
        <v>100</v>
      </c>
      <c r="F745" t="s">
        <v>1</v>
      </c>
      <c r="G745" s="6">
        <v>45707</v>
      </c>
      <c r="H745">
        <v>40</v>
      </c>
      <c r="I745">
        <f>ROUND(CompilDonnées[[#This Row],[CultureDuration_days]]/7,0)</f>
        <v>6</v>
      </c>
      <c r="J745">
        <v>3911</v>
      </c>
      <c r="K745" t="str">
        <f>_xlfn.CONCAT(WEEKNUM(CompilDonnées[[#This Row],[PlantationDate]]), " ", YEAR(CompilDonnées[[#This Row],[PlantationDate]]))</f>
        <v>2 2025</v>
      </c>
      <c r="L745" t="str">
        <f>CONCATENATE(MONTH(CompilDonnées[[#This Row],[PlantationDate]])," ", YEAR(CompilDonnées[[#This Row],[PlantationDate]]))</f>
        <v>1 2025</v>
      </c>
      <c r="M745" t="str">
        <f>CONCATENATE(MONTH(CompilDonnées[[#This Row],[HarvestingDate]])," ", YEAR(CompilDonnées[[#This Row],[HarvestingDate]]))</f>
        <v>2 2025</v>
      </c>
      <c r="N745">
        <f>_xlfn.NUMBERVALUE(CompilDonnées[[#This Row],[FarmID]]&amp;CompilDonnées[[#This Row],[ModuleNumber]]&amp;CompilDonnées[[#This Row],[PlantationDate]])</f>
        <v>110445667</v>
      </c>
      <c r="O745" t="str">
        <f>CompilDonnées[[#This Row],[FarmID]]&amp;CompilDonnées[[#This Row],[ModuleNumber]]</f>
        <v>1104</v>
      </c>
      <c r="P745" t="str">
        <f>CompilDonnées[[#This Row],[Ref_Module]]&amp;CompilDonnées[[#This Row],[HarvestingDate]]</f>
        <v>110445707</v>
      </c>
    </row>
    <row r="746" spans="1:16">
      <c r="A746" s="5">
        <v>45667</v>
      </c>
      <c r="B746">
        <v>113</v>
      </c>
      <c r="C746" t="s">
        <v>16</v>
      </c>
      <c r="D746">
        <v>4</v>
      </c>
      <c r="E746">
        <v>100</v>
      </c>
      <c r="F746" t="s">
        <v>1</v>
      </c>
      <c r="G746" s="6">
        <v>45707</v>
      </c>
      <c r="H746">
        <v>40</v>
      </c>
      <c r="I746">
        <f>ROUND(CompilDonnées[[#This Row],[CultureDuration_days]]/7,0)</f>
        <v>6</v>
      </c>
      <c r="J746">
        <v>3733</v>
      </c>
      <c r="K746" t="str">
        <f>_xlfn.CONCAT(WEEKNUM(CompilDonnées[[#This Row],[PlantationDate]]), " ", YEAR(CompilDonnées[[#This Row],[PlantationDate]]))</f>
        <v>2 2025</v>
      </c>
      <c r="L746" t="str">
        <f>CONCATENATE(MONTH(CompilDonnées[[#This Row],[PlantationDate]])," ", YEAR(CompilDonnées[[#This Row],[PlantationDate]]))</f>
        <v>1 2025</v>
      </c>
      <c r="M746" t="str">
        <f>CONCATENATE(MONTH(CompilDonnées[[#This Row],[HarvestingDate]])," ", YEAR(CompilDonnées[[#This Row],[HarvestingDate]]))</f>
        <v>2 2025</v>
      </c>
      <c r="N746">
        <f>_xlfn.NUMBERVALUE(CompilDonnées[[#This Row],[FarmID]]&amp;CompilDonnées[[#This Row],[ModuleNumber]]&amp;CompilDonnées[[#This Row],[PlantationDate]])</f>
        <v>113445667</v>
      </c>
      <c r="O746" t="str">
        <f>CompilDonnées[[#This Row],[FarmID]]&amp;CompilDonnées[[#This Row],[ModuleNumber]]</f>
        <v>1134</v>
      </c>
      <c r="P746" t="str">
        <f>CompilDonnées[[#This Row],[Ref_Module]]&amp;CompilDonnées[[#This Row],[HarvestingDate]]</f>
        <v>113445707</v>
      </c>
    </row>
    <row r="747" spans="1:16">
      <c r="A747" s="5">
        <v>45667</v>
      </c>
      <c r="B747">
        <v>119</v>
      </c>
      <c r="C747" t="s">
        <v>59</v>
      </c>
      <c r="D747">
        <v>6</v>
      </c>
      <c r="E747">
        <v>100</v>
      </c>
      <c r="F747" t="s">
        <v>1</v>
      </c>
      <c r="G747" s="6">
        <v>45699</v>
      </c>
      <c r="H747">
        <v>32</v>
      </c>
      <c r="I747">
        <f>ROUND(CompilDonnées[[#This Row],[CultureDuration_days]]/7,0)</f>
        <v>5</v>
      </c>
      <c r="J747">
        <v>2808</v>
      </c>
      <c r="K747" t="str">
        <f>_xlfn.CONCAT(WEEKNUM(CompilDonnées[[#This Row],[PlantationDate]]), " ", YEAR(CompilDonnées[[#This Row],[PlantationDate]]))</f>
        <v>2 2025</v>
      </c>
      <c r="L747" t="str">
        <f>CONCATENATE(MONTH(CompilDonnées[[#This Row],[PlantationDate]])," ", YEAR(CompilDonnées[[#This Row],[PlantationDate]]))</f>
        <v>1 2025</v>
      </c>
      <c r="M747" t="str">
        <f>CONCATENATE(MONTH(CompilDonnées[[#This Row],[HarvestingDate]])," ", YEAR(CompilDonnées[[#This Row],[HarvestingDate]]))</f>
        <v>2 2025</v>
      </c>
      <c r="N747">
        <f>_xlfn.NUMBERVALUE(CompilDonnées[[#This Row],[FarmID]]&amp;CompilDonnées[[#This Row],[ModuleNumber]]&amp;CompilDonnées[[#This Row],[PlantationDate]])</f>
        <v>119645667</v>
      </c>
      <c r="O747" t="str">
        <f>CompilDonnées[[#This Row],[FarmID]]&amp;CompilDonnées[[#This Row],[ModuleNumber]]</f>
        <v>1196</v>
      </c>
      <c r="P747" t="str">
        <f>CompilDonnées[[#This Row],[Ref_Module]]&amp;CompilDonnées[[#This Row],[HarvestingDate]]</f>
        <v>119645699</v>
      </c>
    </row>
    <row r="748" spans="1:16">
      <c r="A748" s="5">
        <v>45667</v>
      </c>
      <c r="B748">
        <v>120</v>
      </c>
      <c r="C748" t="s">
        <v>100</v>
      </c>
      <c r="D748">
        <v>6</v>
      </c>
      <c r="E748">
        <v>100</v>
      </c>
      <c r="F748" t="s">
        <v>1</v>
      </c>
      <c r="G748" s="6">
        <v>45699</v>
      </c>
      <c r="H748">
        <v>32</v>
      </c>
      <c r="I748">
        <f>ROUND(CompilDonnées[[#This Row],[CultureDuration_days]]/7,0)</f>
        <v>5</v>
      </c>
      <c r="J748">
        <v>3082</v>
      </c>
      <c r="K748" t="str">
        <f>_xlfn.CONCAT(WEEKNUM(CompilDonnées[[#This Row],[PlantationDate]]), " ", YEAR(CompilDonnées[[#This Row],[PlantationDate]]))</f>
        <v>2 2025</v>
      </c>
      <c r="L748" t="str">
        <f>CONCATENATE(MONTH(CompilDonnées[[#This Row],[PlantationDate]])," ", YEAR(CompilDonnées[[#This Row],[PlantationDate]]))</f>
        <v>1 2025</v>
      </c>
      <c r="M748" t="str">
        <f>CONCATENATE(MONTH(CompilDonnées[[#This Row],[HarvestingDate]])," ", YEAR(CompilDonnées[[#This Row],[HarvestingDate]]))</f>
        <v>2 2025</v>
      </c>
      <c r="N748">
        <f>_xlfn.NUMBERVALUE(CompilDonnées[[#This Row],[FarmID]]&amp;CompilDonnées[[#This Row],[ModuleNumber]]&amp;CompilDonnées[[#This Row],[PlantationDate]])</f>
        <v>120645667</v>
      </c>
      <c r="O748" t="str">
        <f>CompilDonnées[[#This Row],[FarmID]]&amp;CompilDonnées[[#This Row],[ModuleNumber]]</f>
        <v>1206</v>
      </c>
      <c r="P748" t="str">
        <f>CompilDonnées[[#This Row],[Ref_Module]]&amp;CompilDonnées[[#This Row],[HarvestingDate]]</f>
        <v>120645699</v>
      </c>
    </row>
    <row r="749" spans="1:16">
      <c r="A749" s="5">
        <v>45667</v>
      </c>
      <c r="B749">
        <v>124</v>
      </c>
      <c r="C749" t="s">
        <v>115</v>
      </c>
      <c r="D749">
        <v>1</v>
      </c>
      <c r="E749">
        <v>100</v>
      </c>
      <c r="F749" t="s">
        <v>1</v>
      </c>
      <c r="G749" s="6">
        <v>45716</v>
      </c>
      <c r="H749">
        <v>49</v>
      </c>
      <c r="I749">
        <f>ROUND(CompilDonnées[[#This Row],[CultureDuration_days]]/7,0)</f>
        <v>7</v>
      </c>
      <c r="J749">
        <v>3030</v>
      </c>
      <c r="K749" t="str">
        <f>_xlfn.CONCAT(WEEKNUM(CompilDonnées[[#This Row],[PlantationDate]]), " ", YEAR(CompilDonnées[[#This Row],[PlantationDate]]))</f>
        <v>2 2025</v>
      </c>
      <c r="L749" t="str">
        <f>CONCATENATE(MONTH(CompilDonnées[[#This Row],[PlantationDate]])," ", YEAR(CompilDonnées[[#This Row],[PlantationDate]]))</f>
        <v>1 2025</v>
      </c>
      <c r="M749" t="str">
        <f>CONCATENATE(MONTH(CompilDonnées[[#This Row],[HarvestingDate]])," ", YEAR(CompilDonnées[[#This Row],[HarvestingDate]]))</f>
        <v>2 2025</v>
      </c>
      <c r="N749">
        <f>_xlfn.NUMBERVALUE(CompilDonnées[[#This Row],[FarmID]]&amp;CompilDonnées[[#This Row],[ModuleNumber]]&amp;CompilDonnées[[#This Row],[PlantationDate]])</f>
        <v>124145667</v>
      </c>
      <c r="O749" t="str">
        <f>CompilDonnées[[#This Row],[FarmID]]&amp;CompilDonnées[[#This Row],[ModuleNumber]]</f>
        <v>1241</v>
      </c>
      <c r="P749" t="str">
        <f>CompilDonnées[[#This Row],[Ref_Module]]&amp;CompilDonnées[[#This Row],[HarvestingDate]]</f>
        <v>124145716</v>
      </c>
    </row>
    <row r="750" spans="1:16">
      <c r="A750" s="5">
        <v>45667</v>
      </c>
      <c r="B750">
        <v>132</v>
      </c>
      <c r="C750" t="s">
        <v>93</v>
      </c>
      <c r="D750">
        <v>6</v>
      </c>
      <c r="E750">
        <v>100</v>
      </c>
      <c r="F750" t="s">
        <v>1</v>
      </c>
      <c r="G750" s="6">
        <v>45708</v>
      </c>
      <c r="H750">
        <v>41</v>
      </c>
      <c r="I750">
        <f>ROUND(CompilDonnées[[#This Row],[CultureDuration_days]]/7,0)</f>
        <v>6</v>
      </c>
      <c r="J750">
        <v>2866</v>
      </c>
      <c r="K750" t="str">
        <f>_xlfn.CONCAT(WEEKNUM(CompilDonnées[[#This Row],[PlantationDate]]), " ", YEAR(CompilDonnées[[#This Row],[PlantationDate]]))</f>
        <v>2 2025</v>
      </c>
      <c r="L750" t="str">
        <f>CONCATENATE(MONTH(CompilDonnées[[#This Row],[PlantationDate]])," ", YEAR(CompilDonnées[[#This Row],[PlantationDate]]))</f>
        <v>1 2025</v>
      </c>
      <c r="M750" t="str">
        <f>CONCATENATE(MONTH(CompilDonnées[[#This Row],[HarvestingDate]])," ", YEAR(CompilDonnées[[#This Row],[HarvestingDate]]))</f>
        <v>2 2025</v>
      </c>
      <c r="N750">
        <f>_xlfn.NUMBERVALUE(CompilDonnées[[#This Row],[FarmID]]&amp;CompilDonnées[[#This Row],[ModuleNumber]]&amp;CompilDonnées[[#This Row],[PlantationDate]])</f>
        <v>132645667</v>
      </c>
      <c r="O750" t="str">
        <f>CompilDonnées[[#This Row],[FarmID]]&amp;CompilDonnées[[#This Row],[ModuleNumber]]</f>
        <v>1326</v>
      </c>
      <c r="P750" t="str">
        <f>CompilDonnées[[#This Row],[Ref_Module]]&amp;CompilDonnées[[#This Row],[HarvestingDate]]</f>
        <v>132645708</v>
      </c>
    </row>
    <row r="751" spans="1:16">
      <c r="A751" s="5">
        <v>45667</v>
      </c>
      <c r="B751">
        <v>131</v>
      </c>
      <c r="C751" t="s">
        <v>64</v>
      </c>
      <c r="D751">
        <v>2</v>
      </c>
      <c r="E751">
        <v>100</v>
      </c>
      <c r="F751" t="s">
        <v>1</v>
      </c>
      <c r="G751" s="6">
        <v>45708</v>
      </c>
      <c r="H751">
        <v>41</v>
      </c>
      <c r="I751">
        <f>ROUND(CompilDonnées[[#This Row],[CultureDuration_days]]/7,0)</f>
        <v>6</v>
      </c>
      <c r="J751">
        <v>2787</v>
      </c>
      <c r="K751" t="str">
        <f>_xlfn.CONCAT(WEEKNUM(CompilDonnées[[#This Row],[PlantationDate]]), " ", YEAR(CompilDonnées[[#This Row],[PlantationDate]]))</f>
        <v>2 2025</v>
      </c>
      <c r="L751" t="str">
        <f>CONCATENATE(MONTH(CompilDonnées[[#This Row],[PlantationDate]])," ", YEAR(CompilDonnées[[#This Row],[PlantationDate]]))</f>
        <v>1 2025</v>
      </c>
      <c r="M751" t="str">
        <f>CONCATENATE(MONTH(CompilDonnées[[#This Row],[HarvestingDate]])," ", YEAR(CompilDonnées[[#This Row],[HarvestingDate]]))</f>
        <v>2 2025</v>
      </c>
      <c r="N751">
        <f>_xlfn.NUMBERVALUE(CompilDonnées[[#This Row],[FarmID]]&amp;CompilDonnées[[#This Row],[ModuleNumber]]&amp;CompilDonnées[[#This Row],[PlantationDate]])</f>
        <v>131245667</v>
      </c>
      <c r="O751" t="str">
        <f>CompilDonnées[[#This Row],[FarmID]]&amp;CompilDonnées[[#This Row],[ModuleNumber]]</f>
        <v>1312</v>
      </c>
      <c r="P751" t="str">
        <f>CompilDonnées[[#This Row],[Ref_Module]]&amp;CompilDonnées[[#This Row],[HarvestingDate]]</f>
        <v>131245708</v>
      </c>
    </row>
    <row r="752" spans="1:16">
      <c r="A752" s="5">
        <v>45667</v>
      </c>
      <c r="B752">
        <v>139</v>
      </c>
      <c r="C752" t="s">
        <v>103</v>
      </c>
      <c r="D752">
        <v>6</v>
      </c>
      <c r="E752">
        <v>100</v>
      </c>
      <c r="F752" t="s">
        <v>1</v>
      </c>
      <c r="G752" s="6">
        <v>45708</v>
      </c>
      <c r="H752">
        <v>41</v>
      </c>
      <c r="I752">
        <f>ROUND(CompilDonnées[[#This Row],[CultureDuration_days]]/7,0)</f>
        <v>6</v>
      </c>
      <c r="J752">
        <v>3702</v>
      </c>
      <c r="K752" t="str">
        <f>_xlfn.CONCAT(WEEKNUM(CompilDonnées[[#This Row],[PlantationDate]]), " ", YEAR(CompilDonnées[[#This Row],[PlantationDate]]))</f>
        <v>2 2025</v>
      </c>
      <c r="L752" t="str">
        <f>CONCATENATE(MONTH(CompilDonnées[[#This Row],[PlantationDate]])," ", YEAR(CompilDonnées[[#This Row],[PlantationDate]]))</f>
        <v>1 2025</v>
      </c>
      <c r="M752" t="str">
        <f>CONCATENATE(MONTH(CompilDonnées[[#This Row],[HarvestingDate]])," ", YEAR(CompilDonnées[[#This Row],[HarvestingDate]]))</f>
        <v>2 2025</v>
      </c>
      <c r="N752">
        <f>_xlfn.NUMBERVALUE(CompilDonnées[[#This Row],[FarmID]]&amp;CompilDonnées[[#This Row],[ModuleNumber]]&amp;CompilDonnées[[#This Row],[PlantationDate]])</f>
        <v>139645667</v>
      </c>
      <c r="O752" t="str">
        <f>CompilDonnées[[#This Row],[FarmID]]&amp;CompilDonnées[[#This Row],[ModuleNumber]]</f>
        <v>1396</v>
      </c>
      <c r="P752" t="str">
        <f>CompilDonnées[[#This Row],[Ref_Module]]&amp;CompilDonnées[[#This Row],[HarvestingDate]]</f>
        <v>139645708</v>
      </c>
    </row>
    <row r="753" spans="1:16">
      <c r="A753" s="5">
        <v>45667</v>
      </c>
      <c r="B753">
        <v>138</v>
      </c>
      <c r="C753" t="s">
        <v>8</v>
      </c>
      <c r="D753">
        <v>3</v>
      </c>
      <c r="E753">
        <v>100</v>
      </c>
      <c r="F753" t="s">
        <v>1</v>
      </c>
      <c r="G753" s="6">
        <v>45708</v>
      </c>
      <c r="H753">
        <v>41</v>
      </c>
      <c r="I753">
        <f>ROUND(CompilDonnées[[#This Row],[CultureDuration_days]]/7,0)</f>
        <v>6</v>
      </c>
      <c r="J753">
        <v>2335</v>
      </c>
      <c r="K753" t="str">
        <f>_xlfn.CONCAT(WEEKNUM(CompilDonnées[[#This Row],[PlantationDate]]), " ", YEAR(CompilDonnées[[#This Row],[PlantationDate]]))</f>
        <v>2 2025</v>
      </c>
      <c r="L753" t="str">
        <f>CONCATENATE(MONTH(CompilDonnées[[#This Row],[PlantationDate]])," ", YEAR(CompilDonnées[[#This Row],[PlantationDate]]))</f>
        <v>1 2025</v>
      </c>
      <c r="M753" t="str">
        <f>CONCATENATE(MONTH(CompilDonnées[[#This Row],[HarvestingDate]])," ", YEAR(CompilDonnées[[#This Row],[HarvestingDate]]))</f>
        <v>2 2025</v>
      </c>
      <c r="N753">
        <f>_xlfn.NUMBERVALUE(CompilDonnées[[#This Row],[FarmID]]&amp;CompilDonnées[[#This Row],[ModuleNumber]]&amp;CompilDonnées[[#This Row],[PlantationDate]])</f>
        <v>138345667</v>
      </c>
      <c r="O753" t="str">
        <f>CompilDonnées[[#This Row],[FarmID]]&amp;CompilDonnées[[#This Row],[ModuleNumber]]</f>
        <v>1383</v>
      </c>
      <c r="P753" t="str">
        <f>CompilDonnées[[#This Row],[Ref_Module]]&amp;CompilDonnées[[#This Row],[HarvestingDate]]</f>
        <v>138345708</v>
      </c>
    </row>
    <row r="754" spans="1:16">
      <c r="A754" s="5">
        <v>45667</v>
      </c>
      <c r="B754">
        <v>140</v>
      </c>
      <c r="C754" t="s">
        <v>96</v>
      </c>
      <c r="D754">
        <v>5</v>
      </c>
      <c r="E754">
        <v>100</v>
      </c>
      <c r="F754" t="s">
        <v>1</v>
      </c>
      <c r="G754" s="6">
        <v>45708</v>
      </c>
      <c r="H754">
        <v>41</v>
      </c>
      <c r="I754">
        <f>ROUND(CompilDonnées[[#This Row],[CultureDuration_days]]/7,0)</f>
        <v>6</v>
      </c>
      <c r="J754">
        <v>3495</v>
      </c>
      <c r="K754" t="str">
        <f>_xlfn.CONCAT(WEEKNUM(CompilDonnées[[#This Row],[PlantationDate]]), " ", YEAR(CompilDonnées[[#This Row],[PlantationDate]]))</f>
        <v>2 2025</v>
      </c>
      <c r="L754" t="str">
        <f>CONCATENATE(MONTH(CompilDonnées[[#This Row],[PlantationDate]])," ", YEAR(CompilDonnées[[#This Row],[PlantationDate]]))</f>
        <v>1 2025</v>
      </c>
      <c r="M754" t="str">
        <f>CONCATENATE(MONTH(CompilDonnées[[#This Row],[HarvestingDate]])," ", YEAR(CompilDonnées[[#This Row],[HarvestingDate]]))</f>
        <v>2 2025</v>
      </c>
      <c r="N754">
        <f>_xlfn.NUMBERVALUE(CompilDonnées[[#This Row],[FarmID]]&amp;CompilDonnées[[#This Row],[ModuleNumber]]&amp;CompilDonnées[[#This Row],[PlantationDate]])</f>
        <v>140545667</v>
      </c>
      <c r="O754" t="str">
        <f>CompilDonnées[[#This Row],[FarmID]]&amp;CompilDonnées[[#This Row],[ModuleNumber]]</f>
        <v>1405</v>
      </c>
      <c r="P754" t="str">
        <f>CompilDonnées[[#This Row],[Ref_Module]]&amp;CompilDonnées[[#This Row],[HarvestingDate]]</f>
        <v>140545708</v>
      </c>
    </row>
    <row r="755" spans="1:16">
      <c r="A755" s="5">
        <v>45667</v>
      </c>
      <c r="B755">
        <v>145</v>
      </c>
      <c r="C755" t="s">
        <v>88</v>
      </c>
      <c r="D755">
        <v>4</v>
      </c>
      <c r="E755">
        <v>100</v>
      </c>
      <c r="F755" t="s">
        <v>1</v>
      </c>
      <c r="G755" s="6">
        <v>45708</v>
      </c>
      <c r="H755">
        <v>41</v>
      </c>
      <c r="I755">
        <f>ROUND(CompilDonnées[[#This Row],[CultureDuration_days]]/7,0)</f>
        <v>6</v>
      </c>
      <c r="J755">
        <v>1964</v>
      </c>
      <c r="K755" t="str">
        <f>_xlfn.CONCAT(WEEKNUM(CompilDonnées[[#This Row],[PlantationDate]]), " ", YEAR(CompilDonnées[[#This Row],[PlantationDate]]))</f>
        <v>2 2025</v>
      </c>
      <c r="L755" t="str">
        <f>CONCATENATE(MONTH(CompilDonnées[[#This Row],[PlantationDate]])," ", YEAR(CompilDonnées[[#This Row],[PlantationDate]]))</f>
        <v>1 2025</v>
      </c>
      <c r="M755" t="str">
        <f>CONCATENATE(MONTH(CompilDonnées[[#This Row],[HarvestingDate]])," ", YEAR(CompilDonnées[[#This Row],[HarvestingDate]]))</f>
        <v>2 2025</v>
      </c>
      <c r="N755">
        <f>_xlfn.NUMBERVALUE(CompilDonnées[[#This Row],[FarmID]]&amp;CompilDonnées[[#This Row],[ModuleNumber]]&amp;CompilDonnées[[#This Row],[PlantationDate]])</f>
        <v>145445667</v>
      </c>
      <c r="O755" t="str">
        <f>CompilDonnées[[#This Row],[FarmID]]&amp;CompilDonnées[[#This Row],[ModuleNumber]]</f>
        <v>1454</v>
      </c>
      <c r="P755" t="str">
        <f>CompilDonnées[[#This Row],[Ref_Module]]&amp;CompilDonnées[[#This Row],[HarvestingDate]]</f>
        <v>145445708</v>
      </c>
    </row>
    <row r="756" spans="1:16">
      <c r="A756" s="5">
        <v>45667</v>
      </c>
      <c r="B756">
        <v>125</v>
      </c>
      <c r="C756" t="s">
        <v>101</v>
      </c>
      <c r="D756">
        <v>3</v>
      </c>
      <c r="E756">
        <v>100</v>
      </c>
      <c r="F756" t="s">
        <v>1</v>
      </c>
      <c r="G756" s="6">
        <v>45708</v>
      </c>
      <c r="H756">
        <v>41</v>
      </c>
      <c r="I756">
        <f>ROUND(CompilDonnées[[#This Row],[CultureDuration_days]]/7,0)</f>
        <v>6</v>
      </c>
      <c r="J756">
        <v>3550</v>
      </c>
      <c r="K756" t="str">
        <f>_xlfn.CONCAT(WEEKNUM(CompilDonnées[[#This Row],[PlantationDate]]), " ", YEAR(CompilDonnées[[#This Row],[PlantationDate]]))</f>
        <v>2 2025</v>
      </c>
      <c r="L756" t="str">
        <f>CONCATENATE(MONTH(CompilDonnées[[#This Row],[PlantationDate]])," ", YEAR(CompilDonnées[[#This Row],[PlantationDate]]))</f>
        <v>1 2025</v>
      </c>
      <c r="M756" t="str">
        <f>CONCATENATE(MONTH(CompilDonnées[[#This Row],[HarvestingDate]])," ", YEAR(CompilDonnées[[#This Row],[HarvestingDate]]))</f>
        <v>2 2025</v>
      </c>
      <c r="N756">
        <f>_xlfn.NUMBERVALUE(CompilDonnées[[#This Row],[FarmID]]&amp;CompilDonnées[[#This Row],[ModuleNumber]]&amp;CompilDonnées[[#This Row],[PlantationDate]])</f>
        <v>125345667</v>
      </c>
      <c r="O756" t="str">
        <f>CompilDonnées[[#This Row],[FarmID]]&amp;CompilDonnées[[#This Row],[ModuleNumber]]</f>
        <v>1253</v>
      </c>
      <c r="P756" t="str">
        <f>CompilDonnées[[#This Row],[Ref_Module]]&amp;CompilDonnées[[#This Row],[HarvestingDate]]</f>
        <v>125345708</v>
      </c>
    </row>
    <row r="757" spans="1:16">
      <c r="A757" s="5">
        <v>45667</v>
      </c>
      <c r="B757">
        <v>122</v>
      </c>
      <c r="C757" t="s">
        <v>3</v>
      </c>
      <c r="D757">
        <v>1</v>
      </c>
      <c r="E757">
        <v>68</v>
      </c>
      <c r="F757" t="s">
        <v>1</v>
      </c>
      <c r="G757" s="6">
        <v>45705</v>
      </c>
      <c r="H757">
        <v>38</v>
      </c>
      <c r="I757">
        <f>ROUND(CompilDonnées[[#This Row],[CultureDuration_days]]/7,0)</f>
        <v>5</v>
      </c>
      <c r="J757">
        <v>1450</v>
      </c>
      <c r="K757" t="str">
        <f>_xlfn.CONCAT(WEEKNUM(CompilDonnées[[#This Row],[PlantationDate]]), " ", YEAR(CompilDonnées[[#This Row],[PlantationDate]]))</f>
        <v>2 2025</v>
      </c>
      <c r="L757" t="str">
        <f>CONCATENATE(MONTH(CompilDonnées[[#This Row],[PlantationDate]])," ", YEAR(CompilDonnées[[#This Row],[PlantationDate]]))</f>
        <v>1 2025</v>
      </c>
      <c r="M757" t="str">
        <f>CONCATENATE(MONTH(CompilDonnées[[#This Row],[HarvestingDate]])," ", YEAR(CompilDonnées[[#This Row],[HarvestingDate]]))</f>
        <v>2 2025</v>
      </c>
      <c r="N757">
        <f>_xlfn.NUMBERVALUE(CompilDonnées[[#This Row],[FarmID]]&amp;CompilDonnées[[#This Row],[ModuleNumber]]&amp;CompilDonnées[[#This Row],[PlantationDate]])</f>
        <v>122145667</v>
      </c>
      <c r="O757" t="str">
        <f>CompilDonnées[[#This Row],[FarmID]]&amp;CompilDonnées[[#This Row],[ModuleNumber]]</f>
        <v>1221</v>
      </c>
      <c r="P757" t="str">
        <f>CompilDonnées[[#This Row],[Ref_Module]]&amp;CompilDonnées[[#This Row],[HarvestingDate]]</f>
        <v>122145705</v>
      </c>
    </row>
    <row r="758" spans="1:16">
      <c r="A758" s="5">
        <v>45667</v>
      </c>
      <c r="B758">
        <v>122</v>
      </c>
      <c r="C758" t="s">
        <v>3</v>
      </c>
      <c r="D758">
        <v>2</v>
      </c>
      <c r="E758">
        <v>63</v>
      </c>
      <c r="F758" t="s">
        <v>1</v>
      </c>
      <c r="G758" s="6">
        <v>45705</v>
      </c>
      <c r="H758">
        <v>38</v>
      </c>
      <c r="I758">
        <f>ROUND(CompilDonnées[[#This Row],[CultureDuration_days]]/7,0)</f>
        <v>5</v>
      </c>
      <c r="J758">
        <v>1451</v>
      </c>
      <c r="K758" t="str">
        <f>_xlfn.CONCAT(WEEKNUM(CompilDonnées[[#This Row],[PlantationDate]]), " ", YEAR(CompilDonnées[[#This Row],[PlantationDate]]))</f>
        <v>2 2025</v>
      </c>
      <c r="L758" t="str">
        <f>CONCATENATE(MONTH(CompilDonnées[[#This Row],[PlantationDate]])," ", YEAR(CompilDonnées[[#This Row],[PlantationDate]]))</f>
        <v>1 2025</v>
      </c>
      <c r="M758" t="str">
        <f>CONCATENATE(MONTH(CompilDonnées[[#This Row],[HarvestingDate]])," ", YEAR(CompilDonnées[[#This Row],[HarvestingDate]]))</f>
        <v>2 2025</v>
      </c>
      <c r="N758">
        <f>_xlfn.NUMBERVALUE(CompilDonnées[[#This Row],[FarmID]]&amp;CompilDonnées[[#This Row],[ModuleNumber]]&amp;CompilDonnées[[#This Row],[PlantationDate]])</f>
        <v>122245667</v>
      </c>
      <c r="O758" t="str">
        <f>CompilDonnées[[#This Row],[FarmID]]&amp;CompilDonnées[[#This Row],[ModuleNumber]]</f>
        <v>1222</v>
      </c>
      <c r="P758" t="str">
        <f>CompilDonnées[[#This Row],[Ref_Module]]&amp;CompilDonnées[[#This Row],[HarvestingDate]]</f>
        <v>122245705</v>
      </c>
    </row>
    <row r="759" spans="1:16">
      <c r="A759" s="5">
        <v>45667</v>
      </c>
      <c r="B759">
        <v>122</v>
      </c>
      <c r="C759" t="s">
        <v>3</v>
      </c>
      <c r="D759">
        <v>3</v>
      </c>
      <c r="E759">
        <v>68</v>
      </c>
      <c r="F759" t="s">
        <v>1</v>
      </c>
      <c r="G759" s="6">
        <v>45705</v>
      </c>
      <c r="H759">
        <v>38</v>
      </c>
      <c r="I759">
        <f>ROUND(CompilDonnées[[#This Row],[CultureDuration_days]]/7,0)</f>
        <v>5</v>
      </c>
      <c r="J759">
        <v>1439</v>
      </c>
      <c r="K759" t="str">
        <f>_xlfn.CONCAT(WEEKNUM(CompilDonnées[[#This Row],[PlantationDate]]), " ", YEAR(CompilDonnées[[#This Row],[PlantationDate]]))</f>
        <v>2 2025</v>
      </c>
      <c r="L759" t="str">
        <f>CONCATENATE(MONTH(CompilDonnées[[#This Row],[PlantationDate]])," ", YEAR(CompilDonnées[[#This Row],[PlantationDate]]))</f>
        <v>1 2025</v>
      </c>
      <c r="M759" t="str">
        <f>CONCATENATE(MONTH(CompilDonnées[[#This Row],[HarvestingDate]])," ", YEAR(CompilDonnées[[#This Row],[HarvestingDate]]))</f>
        <v>2 2025</v>
      </c>
      <c r="N759">
        <f>_xlfn.NUMBERVALUE(CompilDonnées[[#This Row],[FarmID]]&amp;CompilDonnées[[#This Row],[ModuleNumber]]&amp;CompilDonnées[[#This Row],[PlantationDate]])</f>
        <v>122345667</v>
      </c>
      <c r="O759" t="str">
        <f>CompilDonnées[[#This Row],[FarmID]]&amp;CompilDonnées[[#This Row],[ModuleNumber]]</f>
        <v>1223</v>
      </c>
      <c r="P759" t="str">
        <f>CompilDonnées[[#This Row],[Ref_Module]]&amp;CompilDonnées[[#This Row],[HarvestingDate]]</f>
        <v>122345705</v>
      </c>
    </row>
    <row r="760" spans="1:16">
      <c r="A760" s="5">
        <v>45667</v>
      </c>
      <c r="B760">
        <v>122</v>
      </c>
      <c r="C760" t="s">
        <v>3</v>
      </c>
      <c r="D760">
        <v>4</v>
      </c>
      <c r="E760">
        <v>52</v>
      </c>
      <c r="F760" t="s">
        <v>1</v>
      </c>
      <c r="G760" s="6">
        <v>45705</v>
      </c>
      <c r="H760">
        <v>38</v>
      </c>
      <c r="I760">
        <f>ROUND(CompilDonnées[[#This Row],[CultureDuration_days]]/7,0)</f>
        <v>5</v>
      </c>
      <c r="J760">
        <v>1461</v>
      </c>
      <c r="K760" t="str">
        <f>_xlfn.CONCAT(WEEKNUM(CompilDonnées[[#This Row],[PlantationDate]]), " ", YEAR(CompilDonnées[[#This Row],[PlantationDate]]))</f>
        <v>2 2025</v>
      </c>
      <c r="L760" t="str">
        <f>CONCATENATE(MONTH(CompilDonnées[[#This Row],[PlantationDate]])," ", YEAR(CompilDonnées[[#This Row],[PlantationDate]]))</f>
        <v>1 2025</v>
      </c>
      <c r="M760" t="str">
        <f>CONCATENATE(MONTH(CompilDonnées[[#This Row],[HarvestingDate]])," ", YEAR(CompilDonnées[[#This Row],[HarvestingDate]]))</f>
        <v>2 2025</v>
      </c>
      <c r="N760">
        <f>_xlfn.NUMBERVALUE(CompilDonnées[[#This Row],[FarmID]]&amp;CompilDonnées[[#This Row],[ModuleNumber]]&amp;CompilDonnées[[#This Row],[PlantationDate]])</f>
        <v>122445667</v>
      </c>
      <c r="O760" t="str">
        <f>CompilDonnées[[#This Row],[FarmID]]&amp;CompilDonnées[[#This Row],[ModuleNumber]]</f>
        <v>1224</v>
      </c>
      <c r="P760" t="str">
        <f>CompilDonnées[[#This Row],[Ref_Module]]&amp;CompilDonnées[[#This Row],[HarvestingDate]]</f>
        <v>122445705</v>
      </c>
    </row>
    <row r="761" spans="1:16">
      <c r="A761" s="5">
        <v>45667</v>
      </c>
      <c r="B761">
        <v>122</v>
      </c>
      <c r="C761" t="s">
        <v>3</v>
      </c>
      <c r="D761">
        <v>5</v>
      </c>
      <c r="E761">
        <v>68</v>
      </c>
      <c r="F761" t="s">
        <v>1</v>
      </c>
      <c r="G761" s="6">
        <v>45706</v>
      </c>
      <c r="H761">
        <v>39</v>
      </c>
      <c r="I761">
        <f>ROUND(CompilDonnées[[#This Row],[CultureDuration_days]]/7,0)</f>
        <v>6</v>
      </c>
      <c r="J761">
        <v>2224</v>
      </c>
      <c r="K761" t="str">
        <f>_xlfn.CONCAT(WEEKNUM(CompilDonnées[[#This Row],[PlantationDate]]), " ", YEAR(CompilDonnées[[#This Row],[PlantationDate]]))</f>
        <v>2 2025</v>
      </c>
      <c r="L761" t="str">
        <f>CONCATENATE(MONTH(CompilDonnées[[#This Row],[PlantationDate]])," ", YEAR(CompilDonnées[[#This Row],[PlantationDate]]))</f>
        <v>1 2025</v>
      </c>
      <c r="M761" t="str">
        <f>CONCATENATE(MONTH(CompilDonnées[[#This Row],[HarvestingDate]])," ", YEAR(CompilDonnées[[#This Row],[HarvestingDate]]))</f>
        <v>2 2025</v>
      </c>
      <c r="N761">
        <f>_xlfn.NUMBERVALUE(CompilDonnées[[#This Row],[FarmID]]&amp;CompilDonnées[[#This Row],[ModuleNumber]]&amp;CompilDonnées[[#This Row],[PlantationDate]])</f>
        <v>122545667</v>
      </c>
      <c r="O761" t="str">
        <f>CompilDonnées[[#This Row],[FarmID]]&amp;CompilDonnées[[#This Row],[ModuleNumber]]</f>
        <v>1225</v>
      </c>
      <c r="P761" t="str">
        <f>CompilDonnées[[#This Row],[Ref_Module]]&amp;CompilDonnées[[#This Row],[HarvestingDate]]</f>
        <v>122545706</v>
      </c>
    </row>
    <row r="762" spans="1:16">
      <c r="A762" s="5">
        <v>45667</v>
      </c>
      <c r="B762">
        <v>122</v>
      </c>
      <c r="C762" t="s">
        <v>3</v>
      </c>
      <c r="D762">
        <v>6</v>
      </c>
      <c r="E762">
        <v>79</v>
      </c>
      <c r="F762" t="s">
        <v>1</v>
      </c>
      <c r="G762" s="6">
        <v>45706</v>
      </c>
      <c r="H762">
        <v>39</v>
      </c>
      <c r="I762">
        <f>ROUND(CompilDonnées[[#This Row],[CultureDuration_days]]/7,0)</f>
        <v>6</v>
      </c>
      <c r="J762">
        <v>2071</v>
      </c>
      <c r="K762" t="str">
        <f>_xlfn.CONCAT(WEEKNUM(CompilDonnées[[#This Row],[PlantationDate]]), " ", YEAR(CompilDonnées[[#This Row],[PlantationDate]]))</f>
        <v>2 2025</v>
      </c>
      <c r="L762" t="str">
        <f>CONCATENATE(MONTH(CompilDonnées[[#This Row],[PlantationDate]])," ", YEAR(CompilDonnées[[#This Row],[PlantationDate]]))</f>
        <v>1 2025</v>
      </c>
      <c r="M762" t="str">
        <f>CONCATENATE(MONTH(CompilDonnées[[#This Row],[HarvestingDate]])," ", YEAR(CompilDonnées[[#This Row],[HarvestingDate]]))</f>
        <v>2 2025</v>
      </c>
      <c r="N762">
        <f>_xlfn.NUMBERVALUE(CompilDonnées[[#This Row],[FarmID]]&amp;CompilDonnées[[#This Row],[ModuleNumber]]&amp;CompilDonnées[[#This Row],[PlantationDate]])</f>
        <v>122645667</v>
      </c>
      <c r="O762" t="str">
        <f>CompilDonnées[[#This Row],[FarmID]]&amp;CompilDonnées[[#This Row],[ModuleNumber]]</f>
        <v>1226</v>
      </c>
      <c r="P762" t="str">
        <f>CompilDonnées[[#This Row],[Ref_Module]]&amp;CompilDonnées[[#This Row],[HarvestingDate]]</f>
        <v>122645706</v>
      </c>
    </row>
    <row r="763" spans="1:16">
      <c r="A763" s="5">
        <v>45667</v>
      </c>
      <c r="B763">
        <v>209</v>
      </c>
      <c r="C763" t="s">
        <v>118</v>
      </c>
      <c r="D763">
        <v>1</v>
      </c>
      <c r="E763">
        <v>100</v>
      </c>
      <c r="F763" t="s">
        <v>1</v>
      </c>
      <c r="G763" s="6">
        <v>45708</v>
      </c>
      <c r="H763">
        <v>41</v>
      </c>
      <c r="I763">
        <f>ROUND(CompilDonnées[[#This Row],[CultureDuration_days]]/7,0)</f>
        <v>6</v>
      </c>
      <c r="J763">
        <v>3633</v>
      </c>
      <c r="K763" t="str">
        <f>_xlfn.CONCAT(WEEKNUM(CompilDonnées[[#This Row],[PlantationDate]]), " ", YEAR(CompilDonnées[[#This Row],[PlantationDate]]))</f>
        <v>2 2025</v>
      </c>
      <c r="L763" t="str">
        <f>CONCATENATE(MONTH(CompilDonnées[[#This Row],[PlantationDate]])," ", YEAR(CompilDonnées[[#This Row],[PlantationDate]]))</f>
        <v>1 2025</v>
      </c>
      <c r="M763" t="str">
        <f>CONCATENATE(MONTH(CompilDonnées[[#This Row],[HarvestingDate]])," ", YEAR(CompilDonnées[[#This Row],[HarvestingDate]]))</f>
        <v>2 2025</v>
      </c>
      <c r="N763">
        <f>_xlfn.NUMBERVALUE(CompilDonnées[[#This Row],[FarmID]]&amp;CompilDonnées[[#This Row],[ModuleNumber]]&amp;CompilDonnées[[#This Row],[PlantationDate]])</f>
        <v>209145667</v>
      </c>
      <c r="O763" t="str">
        <f>CompilDonnées[[#This Row],[FarmID]]&amp;CompilDonnées[[#This Row],[ModuleNumber]]</f>
        <v>2091</v>
      </c>
      <c r="P763" t="str">
        <f>CompilDonnées[[#This Row],[Ref_Module]]&amp;CompilDonnées[[#This Row],[HarvestingDate]]</f>
        <v>209145708</v>
      </c>
    </row>
    <row r="764" spans="1:16">
      <c r="A764" s="5">
        <v>45667</v>
      </c>
      <c r="B764">
        <v>209</v>
      </c>
      <c r="C764" t="s">
        <v>118</v>
      </c>
      <c r="D764">
        <v>2</v>
      </c>
      <c r="E764">
        <v>52</v>
      </c>
      <c r="F764" t="s">
        <v>1</v>
      </c>
      <c r="G764" s="6">
        <v>45708</v>
      </c>
      <c r="H764">
        <v>41</v>
      </c>
      <c r="I764">
        <f>ROUND(CompilDonnées[[#This Row],[CultureDuration_days]]/7,0)</f>
        <v>6</v>
      </c>
      <c r="J764">
        <v>2235</v>
      </c>
      <c r="K764" t="str">
        <f>_xlfn.CONCAT(WEEKNUM(CompilDonnées[[#This Row],[PlantationDate]]), " ", YEAR(CompilDonnées[[#This Row],[PlantationDate]]))</f>
        <v>2 2025</v>
      </c>
      <c r="L764" t="str">
        <f>CONCATENATE(MONTH(CompilDonnées[[#This Row],[PlantationDate]])," ", YEAR(CompilDonnées[[#This Row],[PlantationDate]]))</f>
        <v>1 2025</v>
      </c>
      <c r="M764" t="str">
        <f>CONCATENATE(MONTH(CompilDonnées[[#This Row],[HarvestingDate]])," ", YEAR(CompilDonnées[[#This Row],[HarvestingDate]]))</f>
        <v>2 2025</v>
      </c>
      <c r="N764">
        <f>_xlfn.NUMBERVALUE(CompilDonnées[[#This Row],[FarmID]]&amp;CompilDonnées[[#This Row],[ModuleNumber]]&amp;CompilDonnées[[#This Row],[PlantationDate]])</f>
        <v>209245667</v>
      </c>
      <c r="O764" t="str">
        <f>CompilDonnées[[#This Row],[FarmID]]&amp;CompilDonnées[[#This Row],[ModuleNumber]]</f>
        <v>2092</v>
      </c>
      <c r="P764" t="str">
        <f>CompilDonnées[[#This Row],[Ref_Module]]&amp;CompilDonnées[[#This Row],[HarvestingDate]]</f>
        <v>209245708</v>
      </c>
    </row>
    <row r="765" spans="1:16">
      <c r="A765" s="5">
        <v>45667</v>
      </c>
      <c r="B765">
        <v>209</v>
      </c>
      <c r="C765" t="s">
        <v>118</v>
      </c>
      <c r="D765">
        <v>3</v>
      </c>
      <c r="E765">
        <v>68</v>
      </c>
      <c r="F765" t="s">
        <v>1</v>
      </c>
      <c r="G765" s="6">
        <v>45708</v>
      </c>
      <c r="H765">
        <v>41</v>
      </c>
      <c r="I765">
        <f>ROUND(CompilDonnées[[#This Row],[CultureDuration_days]]/7,0)</f>
        <v>6</v>
      </c>
      <c r="J765">
        <v>2455</v>
      </c>
      <c r="K765" t="str">
        <f>_xlfn.CONCAT(WEEKNUM(CompilDonnées[[#This Row],[PlantationDate]]), " ", YEAR(CompilDonnées[[#This Row],[PlantationDate]]))</f>
        <v>2 2025</v>
      </c>
      <c r="L765" t="str">
        <f>CONCATENATE(MONTH(CompilDonnées[[#This Row],[PlantationDate]])," ", YEAR(CompilDonnées[[#This Row],[PlantationDate]]))</f>
        <v>1 2025</v>
      </c>
      <c r="M765" t="str">
        <f>CONCATENATE(MONTH(CompilDonnées[[#This Row],[HarvestingDate]])," ", YEAR(CompilDonnées[[#This Row],[HarvestingDate]]))</f>
        <v>2 2025</v>
      </c>
      <c r="N765">
        <f>_xlfn.NUMBERVALUE(CompilDonnées[[#This Row],[FarmID]]&amp;CompilDonnées[[#This Row],[ModuleNumber]]&amp;CompilDonnées[[#This Row],[PlantationDate]])</f>
        <v>209345667</v>
      </c>
      <c r="O765" t="str">
        <f>CompilDonnées[[#This Row],[FarmID]]&amp;CompilDonnées[[#This Row],[ModuleNumber]]</f>
        <v>2093</v>
      </c>
      <c r="P765" t="str">
        <f>CompilDonnées[[#This Row],[Ref_Module]]&amp;CompilDonnées[[#This Row],[HarvestingDate]]</f>
        <v>209345708</v>
      </c>
    </row>
    <row r="766" spans="1:16">
      <c r="A766" s="5">
        <v>45667</v>
      </c>
      <c r="B766">
        <v>96</v>
      </c>
      <c r="C766" t="s">
        <v>3</v>
      </c>
      <c r="D766">
        <v>6</v>
      </c>
      <c r="E766">
        <v>100</v>
      </c>
      <c r="F766" t="s">
        <v>1</v>
      </c>
      <c r="G766" s="6">
        <v>45699</v>
      </c>
      <c r="H766">
        <v>32</v>
      </c>
      <c r="I766">
        <f>ROUND(CompilDonnées[[#This Row],[CultureDuration_days]]/7,0)</f>
        <v>5</v>
      </c>
      <c r="J766">
        <v>1850</v>
      </c>
      <c r="K766" t="str">
        <f>_xlfn.CONCAT(WEEKNUM(CompilDonnées[[#This Row],[PlantationDate]]), " ", YEAR(CompilDonnées[[#This Row],[PlantationDate]]))</f>
        <v>2 2025</v>
      </c>
      <c r="L766" t="str">
        <f>CONCATENATE(MONTH(CompilDonnées[[#This Row],[PlantationDate]])," ", YEAR(CompilDonnées[[#This Row],[PlantationDate]]))</f>
        <v>1 2025</v>
      </c>
      <c r="M766" t="str">
        <f>CONCATENATE(MONTH(CompilDonnées[[#This Row],[HarvestingDate]])," ", YEAR(CompilDonnées[[#This Row],[HarvestingDate]]))</f>
        <v>2 2025</v>
      </c>
      <c r="N766">
        <f>_xlfn.NUMBERVALUE(CompilDonnées[[#This Row],[FarmID]]&amp;CompilDonnées[[#This Row],[ModuleNumber]]&amp;CompilDonnées[[#This Row],[PlantationDate]])</f>
        <v>96645667</v>
      </c>
      <c r="O766" t="str">
        <f>CompilDonnées[[#This Row],[FarmID]]&amp;CompilDonnées[[#This Row],[ModuleNumber]]</f>
        <v>966</v>
      </c>
      <c r="P766" t="str">
        <f>CompilDonnées[[#This Row],[Ref_Module]]&amp;CompilDonnées[[#This Row],[HarvestingDate]]</f>
        <v>96645699</v>
      </c>
    </row>
    <row r="767" spans="1:16">
      <c r="A767" s="5">
        <v>45667</v>
      </c>
      <c r="B767">
        <v>96</v>
      </c>
      <c r="C767" t="s">
        <v>3</v>
      </c>
      <c r="D767">
        <v>5</v>
      </c>
      <c r="E767">
        <v>57</v>
      </c>
      <c r="F767" t="s">
        <v>1</v>
      </c>
      <c r="G767" s="6">
        <v>45699</v>
      </c>
      <c r="H767">
        <v>32</v>
      </c>
      <c r="I767">
        <f>ROUND(CompilDonnées[[#This Row],[CultureDuration_days]]/7,0)</f>
        <v>5</v>
      </c>
      <c r="J767">
        <v>1179</v>
      </c>
      <c r="K767" t="str">
        <f>_xlfn.CONCAT(WEEKNUM(CompilDonnées[[#This Row],[PlantationDate]]), " ", YEAR(CompilDonnées[[#This Row],[PlantationDate]]))</f>
        <v>2 2025</v>
      </c>
      <c r="L767" t="str">
        <f>CONCATENATE(MONTH(CompilDonnées[[#This Row],[PlantationDate]])," ", YEAR(CompilDonnées[[#This Row],[PlantationDate]]))</f>
        <v>1 2025</v>
      </c>
      <c r="M767" t="str">
        <f>CONCATENATE(MONTH(CompilDonnées[[#This Row],[HarvestingDate]])," ", YEAR(CompilDonnées[[#This Row],[HarvestingDate]]))</f>
        <v>2 2025</v>
      </c>
      <c r="N767">
        <f>_xlfn.NUMBERVALUE(CompilDonnées[[#This Row],[FarmID]]&amp;CompilDonnées[[#This Row],[ModuleNumber]]&amp;CompilDonnées[[#This Row],[PlantationDate]])</f>
        <v>96545667</v>
      </c>
      <c r="O767" t="str">
        <f>CompilDonnées[[#This Row],[FarmID]]&amp;CompilDonnées[[#This Row],[ModuleNumber]]</f>
        <v>965</v>
      </c>
      <c r="P767" t="str">
        <f>CompilDonnées[[#This Row],[Ref_Module]]&amp;CompilDonnées[[#This Row],[HarvestingDate]]</f>
        <v>96545699</v>
      </c>
    </row>
    <row r="768" spans="1:16">
      <c r="A768" s="5">
        <v>45671</v>
      </c>
      <c r="B768">
        <v>49</v>
      </c>
      <c r="C768" t="s">
        <v>110</v>
      </c>
      <c r="D768">
        <v>6</v>
      </c>
      <c r="E768">
        <v>100</v>
      </c>
      <c r="F768" t="s">
        <v>1</v>
      </c>
      <c r="G768" s="6">
        <v>45708</v>
      </c>
      <c r="H768">
        <v>37</v>
      </c>
      <c r="I768">
        <f>ROUND(CompilDonnées[[#This Row],[CultureDuration_days]]/7,0)</f>
        <v>5</v>
      </c>
      <c r="J768">
        <v>3558</v>
      </c>
      <c r="K768" t="str">
        <f>_xlfn.CONCAT(WEEKNUM(CompilDonnées[[#This Row],[PlantationDate]]), " ", YEAR(CompilDonnées[[#This Row],[PlantationDate]]))</f>
        <v>3 2025</v>
      </c>
      <c r="L768" t="str">
        <f>CONCATENATE(MONTH(CompilDonnées[[#This Row],[PlantationDate]])," ", YEAR(CompilDonnées[[#This Row],[PlantationDate]]))</f>
        <v>1 2025</v>
      </c>
      <c r="M768" t="str">
        <f>CONCATENATE(MONTH(CompilDonnées[[#This Row],[HarvestingDate]])," ", YEAR(CompilDonnées[[#This Row],[HarvestingDate]]))</f>
        <v>2 2025</v>
      </c>
      <c r="N768">
        <f>_xlfn.NUMBERVALUE(CompilDonnées[[#This Row],[FarmID]]&amp;CompilDonnées[[#This Row],[ModuleNumber]]&amp;CompilDonnées[[#This Row],[PlantationDate]])</f>
        <v>49645671</v>
      </c>
      <c r="O768" t="str">
        <f>CompilDonnées[[#This Row],[FarmID]]&amp;CompilDonnées[[#This Row],[ModuleNumber]]</f>
        <v>496</v>
      </c>
      <c r="P768" t="str">
        <f>CompilDonnées[[#This Row],[Ref_Module]]&amp;CompilDonnées[[#This Row],[HarvestingDate]]</f>
        <v>49645708</v>
      </c>
    </row>
    <row r="769" spans="1:16">
      <c r="A769" s="5">
        <v>45671</v>
      </c>
      <c r="B769">
        <v>55</v>
      </c>
      <c r="C769" t="s">
        <v>60</v>
      </c>
      <c r="D769">
        <v>6</v>
      </c>
      <c r="E769">
        <v>100</v>
      </c>
      <c r="F769" t="s">
        <v>1</v>
      </c>
      <c r="G769" s="6">
        <v>45713</v>
      </c>
      <c r="H769">
        <v>42</v>
      </c>
      <c r="I769">
        <f>ROUND(CompilDonnées[[#This Row],[CultureDuration_days]]/7,0)</f>
        <v>6</v>
      </c>
      <c r="J769">
        <v>3927</v>
      </c>
      <c r="K769" t="str">
        <f>_xlfn.CONCAT(WEEKNUM(CompilDonnées[[#This Row],[PlantationDate]]), " ", YEAR(CompilDonnées[[#This Row],[PlantationDate]]))</f>
        <v>3 2025</v>
      </c>
      <c r="L769" t="str">
        <f>CONCATENATE(MONTH(CompilDonnées[[#This Row],[PlantationDate]])," ", YEAR(CompilDonnées[[#This Row],[PlantationDate]]))</f>
        <v>1 2025</v>
      </c>
      <c r="M769" t="str">
        <f>CONCATENATE(MONTH(CompilDonnées[[#This Row],[HarvestingDate]])," ", YEAR(CompilDonnées[[#This Row],[HarvestingDate]]))</f>
        <v>2 2025</v>
      </c>
      <c r="N769">
        <f>_xlfn.NUMBERVALUE(CompilDonnées[[#This Row],[FarmID]]&amp;CompilDonnées[[#This Row],[ModuleNumber]]&amp;CompilDonnées[[#This Row],[PlantationDate]])</f>
        <v>55645671</v>
      </c>
      <c r="O769" t="str">
        <f>CompilDonnées[[#This Row],[FarmID]]&amp;CompilDonnées[[#This Row],[ModuleNumber]]</f>
        <v>556</v>
      </c>
      <c r="P769" t="str">
        <f>CompilDonnées[[#This Row],[Ref_Module]]&amp;CompilDonnées[[#This Row],[HarvestingDate]]</f>
        <v>55645713</v>
      </c>
    </row>
    <row r="770" spans="1:16">
      <c r="A770" s="5">
        <v>45671</v>
      </c>
      <c r="B770">
        <v>67</v>
      </c>
      <c r="C770" t="s">
        <v>28</v>
      </c>
      <c r="D770">
        <v>2</v>
      </c>
      <c r="E770">
        <v>100</v>
      </c>
      <c r="F770" t="s">
        <v>1</v>
      </c>
      <c r="G770" s="6">
        <v>45714</v>
      </c>
      <c r="H770">
        <v>43</v>
      </c>
      <c r="I770">
        <f>ROUND(CompilDonnées[[#This Row],[CultureDuration_days]]/7,0)</f>
        <v>6</v>
      </c>
      <c r="J770">
        <v>3714</v>
      </c>
      <c r="K770" t="str">
        <f>_xlfn.CONCAT(WEEKNUM(CompilDonnées[[#This Row],[PlantationDate]]), " ", YEAR(CompilDonnées[[#This Row],[PlantationDate]]))</f>
        <v>3 2025</v>
      </c>
      <c r="L770" t="str">
        <f>CONCATENATE(MONTH(CompilDonnées[[#This Row],[PlantationDate]])," ", YEAR(CompilDonnées[[#This Row],[PlantationDate]]))</f>
        <v>1 2025</v>
      </c>
      <c r="M770" t="str">
        <f>CONCATENATE(MONTH(CompilDonnées[[#This Row],[HarvestingDate]])," ", YEAR(CompilDonnées[[#This Row],[HarvestingDate]]))</f>
        <v>2 2025</v>
      </c>
      <c r="N770">
        <f>_xlfn.NUMBERVALUE(CompilDonnées[[#This Row],[FarmID]]&amp;CompilDonnées[[#This Row],[ModuleNumber]]&amp;CompilDonnées[[#This Row],[PlantationDate]])</f>
        <v>67245671</v>
      </c>
      <c r="O770" t="str">
        <f>CompilDonnées[[#This Row],[FarmID]]&amp;CompilDonnées[[#This Row],[ModuleNumber]]</f>
        <v>672</v>
      </c>
      <c r="P770" t="str">
        <f>CompilDonnées[[#This Row],[Ref_Module]]&amp;CompilDonnées[[#This Row],[HarvestingDate]]</f>
        <v>67245714</v>
      </c>
    </row>
    <row r="771" spans="1:16">
      <c r="A771" s="5">
        <v>45671</v>
      </c>
      <c r="B771">
        <v>81</v>
      </c>
      <c r="C771" t="s">
        <v>30</v>
      </c>
      <c r="D771">
        <v>6</v>
      </c>
      <c r="E771">
        <v>100</v>
      </c>
      <c r="F771" t="s">
        <v>1</v>
      </c>
      <c r="G771" s="6">
        <v>45714</v>
      </c>
      <c r="H771">
        <v>43</v>
      </c>
      <c r="I771">
        <f>ROUND(CompilDonnées[[#This Row],[CultureDuration_days]]/7,0)</f>
        <v>6</v>
      </c>
      <c r="J771">
        <v>4045</v>
      </c>
      <c r="K771" t="str">
        <f>_xlfn.CONCAT(WEEKNUM(CompilDonnées[[#This Row],[PlantationDate]]), " ", YEAR(CompilDonnées[[#This Row],[PlantationDate]]))</f>
        <v>3 2025</v>
      </c>
      <c r="L771" t="str">
        <f>CONCATENATE(MONTH(CompilDonnées[[#This Row],[PlantationDate]])," ", YEAR(CompilDonnées[[#This Row],[PlantationDate]]))</f>
        <v>1 2025</v>
      </c>
      <c r="M771" t="str">
        <f>CONCATENATE(MONTH(CompilDonnées[[#This Row],[HarvestingDate]])," ", YEAR(CompilDonnées[[#This Row],[HarvestingDate]]))</f>
        <v>2 2025</v>
      </c>
      <c r="N771">
        <f>_xlfn.NUMBERVALUE(CompilDonnées[[#This Row],[FarmID]]&amp;CompilDonnées[[#This Row],[ModuleNumber]]&amp;CompilDonnées[[#This Row],[PlantationDate]])</f>
        <v>81645671</v>
      </c>
      <c r="O771" t="str">
        <f>CompilDonnées[[#This Row],[FarmID]]&amp;CompilDonnées[[#This Row],[ModuleNumber]]</f>
        <v>816</v>
      </c>
      <c r="P771" t="str">
        <f>CompilDonnées[[#This Row],[Ref_Module]]&amp;CompilDonnées[[#This Row],[HarvestingDate]]</f>
        <v>81645714</v>
      </c>
    </row>
    <row r="772" spans="1:16">
      <c r="A772" s="5">
        <v>45671</v>
      </c>
      <c r="B772">
        <v>80</v>
      </c>
      <c r="C772" t="s">
        <v>29</v>
      </c>
      <c r="D772">
        <v>6</v>
      </c>
      <c r="E772">
        <v>100</v>
      </c>
      <c r="F772" t="s">
        <v>1</v>
      </c>
      <c r="G772" s="6">
        <v>45715</v>
      </c>
      <c r="H772">
        <v>44</v>
      </c>
      <c r="I772">
        <f>ROUND(CompilDonnées[[#This Row],[CultureDuration_days]]/7,0)</f>
        <v>6</v>
      </c>
      <c r="J772">
        <v>4636</v>
      </c>
      <c r="K772" t="str">
        <f>_xlfn.CONCAT(WEEKNUM(CompilDonnées[[#This Row],[PlantationDate]]), " ", YEAR(CompilDonnées[[#This Row],[PlantationDate]]))</f>
        <v>3 2025</v>
      </c>
      <c r="L772" t="str">
        <f>CONCATENATE(MONTH(CompilDonnées[[#This Row],[PlantationDate]])," ", YEAR(CompilDonnées[[#This Row],[PlantationDate]]))</f>
        <v>1 2025</v>
      </c>
      <c r="M772" t="str">
        <f>CONCATENATE(MONTH(CompilDonnées[[#This Row],[HarvestingDate]])," ", YEAR(CompilDonnées[[#This Row],[HarvestingDate]]))</f>
        <v>2 2025</v>
      </c>
      <c r="N772">
        <f>_xlfn.NUMBERVALUE(CompilDonnées[[#This Row],[FarmID]]&amp;CompilDonnées[[#This Row],[ModuleNumber]]&amp;CompilDonnées[[#This Row],[PlantationDate]])</f>
        <v>80645671</v>
      </c>
      <c r="O772" t="str">
        <f>CompilDonnées[[#This Row],[FarmID]]&amp;CompilDonnées[[#This Row],[ModuleNumber]]</f>
        <v>806</v>
      </c>
      <c r="P772" t="str">
        <f>CompilDonnées[[#This Row],[Ref_Module]]&amp;CompilDonnées[[#This Row],[HarvestingDate]]</f>
        <v>80645715</v>
      </c>
    </row>
    <row r="773" spans="1:16">
      <c r="A773" s="5">
        <v>45671</v>
      </c>
      <c r="B773">
        <v>26</v>
      </c>
      <c r="C773" t="s">
        <v>97</v>
      </c>
      <c r="D773">
        <v>1</v>
      </c>
      <c r="E773">
        <v>100</v>
      </c>
      <c r="F773" t="s">
        <v>1</v>
      </c>
      <c r="G773" s="6">
        <v>45712</v>
      </c>
      <c r="H773">
        <v>41</v>
      </c>
      <c r="I773">
        <f>ROUND(CompilDonnées[[#This Row],[CultureDuration_days]]/7,0)</f>
        <v>6</v>
      </c>
      <c r="J773">
        <v>2744</v>
      </c>
      <c r="K773" t="str">
        <f>_xlfn.CONCAT(WEEKNUM(CompilDonnées[[#This Row],[PlantationDate]]), " ", YEAR(CompilDonnées[[#This Row],[PlantationDate]]))</f>
        <v>3 2025</v>
      </c>
      <c r="L773" t="str">
        <f>CONCATENATE(MONTH(CompilDonnées[[#This Row],[PlantationDate]])," ", YEAR(CompilDonnées[[#This Row],[PlantationDate]]))</f>
        <v>1 2025</v>
      </c>
      <c r="M773" t="str">
        <f>CONCATENATE(MONTH(CompilDonnées[[#This Row],[HarvestingDate]])," ", YEAR(CompilDonnées[[#This Row],[HarvestingDate]]))</f>
        <v>2 2025</v>
      </c>
      <c r="N773">
        <f>_xlfn.NUMBERVALUE(CompilDonnées[[#This Row],[FarmID]]&amp;CompilDonnées[[#This Row],[ModuleNumber]]&amp;CompilDonnées[[#This Row],[PlantationDate]])</f>
        <v>26145671</v>
      </c>
      <c r="O773" t="str">
        <f>CompilDonnées[[#This Row],[FarmID]]&amp;CompilDonnées[[#This Row],[ModuleNumber]]</f>
        <v>261</v>
      </c>
      <c r="P773" t="str">
        <f>CompilDonnées[[#This Row],[Ref_Module]]&amp;CompilDonnées[[#This Row],[HarvestingDate]]</f>
        <v>26145712</v>
      </c>
    </row>
    <row r="774" spans="1:16">
      <c r="A774" s="5">
        <v>45671</v>
      </c>
      <c r="B774">
        <v>20</v>
      </c>
      <c r="C774" t="s">
        <v>53</v>
      </c>
      <c r="D774">
        <v>2</v>
      </c>
      <c r="E774">
        <v>100</v>
      </c>
      <c r="F774" t="s">
        <v>1</v>
      </c>
      <c r="G774" s="6">
        <v>45712</v>
      </c>
      <c r="H774">
        <v>41</v>
      </c>
      <c r="I774">
        <f>ROUND(CompilDonnées[[#This Row],[CultureDuration_days]]/7,0)</f>
        <v>6</v>
      </c>
      <c r="J774">
        <v>2768</v>
      </c>
      <c r="K774" t="str">
        <f>_xlfn.CONCAT(WEEKNUM(CompilDonnées[[#This Row],[PlantationDate]]), " ", YEAR(CompilDonnées[[#This Row],[PlantationDate]]))</f>
        <v>3 2025</v>
      </c>
      <c r="L774" t="str">
        <f>CONCATENATE(MONTH(CompilDonnées[[#This Row],[PlantationDate]])," ", YEAR(CompilDonnées[[#This Row],[PlantationDate]]))</f>
        <v>1 2025</v>
      </c>
      <c r="M774" t="str">
        <f>CONCATENATE(MONTH(CompilDonnées[[#This Row],[HarvestingDate]])," ", YEAR(CompilDonnées[[#This Row],[HarvestingDate]]))</f>
        <v>2 2025</v>
      </c>
      <c r="N774">
        <f>_xlfn.NUMBERVALUE(CompilDonnées[[#This Row],[FarmID]]&amp;CompilDonnées[[#This Row],[ModuleNumber]]&amp;CompilDonnées[[#This Row],[PlantationDate]])</f>
        <v>20245671</v>
      </c>
      <c r="O774" t="str">
        <f>CompilDonnées[[#This Row],[FarmID]]&amp;CompilDonnées[[#This Row],[ModuleNumber]]</f>
        <v>202</v>
      </c>
      <c r="P774" t="str">
        <f>CompilDonnées[[#This Row],[Ref_Module]]&amp;CompilDonnées[[#This Row],[HarvestingDate]]</f>
        <v>20245712</v>
      </c>
    </row>
    <row r="775" spans="1:16">
      <c r="A775" s="5">
        <v>45671</v>
      </c>
      <c r="B775">
        <v>6</v>
      </c>
      <c r="C775" t="s">
        <v>24</v>
      </c>
      <c r="D775">
        <v>1</v>
      </c>
      <c r="E775">
        <v>100</v>
      </c>
      <c r="F775" t="s">
        <v>1</v>
      </c>
      <c r="G775" s="6">
        <v>45712</v>
      </c>
      <c r="H775">
        <v>41</v>
      </c>
      <c r="I775">
        <f>ROUND(CompilDonnées[[#This Row],[CultureDuration_days]]/7,0)</f>
        <v>6</v>
      </c>
      <c r="J775">
        <v>3426</v>
      </c>
      <c r="K775" t="str">
        <f>_xlfn.CONCAT(WEEKNUM(CompilDonnées[[#This Row],[PlantationDate]]), " ", YEAR(CompilDonnées[[#This Row],[PlantationDate]]))</f>
        <v>3 2025</v>
      </c>
      <c r="L775" t="str">
        <f>CONCATENATE(MONTH(CompilDonnées[[#This Row],[PlantationDate]])," ", YEAR(CompilDonnées[[#This Row],[PlantationDate]]))</f>
        <v>1 2025</v>
      </c>
      <c r="M775" t="str">
        <f>CONCATENATE(MONTH(CompilDonnées[[#This Row],[HarvestingDate]])," ", YEAR(CompilDonnées[[#This Row],[HarvestingDate]]))</f>
        <v>2 2025</v>
      </c>
      <c r="N775">
        <f>_xlfn.NUMBERVALUE(CompilDonnées[[#This Row],[FarmID]]&amp;CompilDonnées[[#This Row],[ModuleNumber]]&amp;CompilDonnées[[#This Row],[PlantationDate]])</f>
        <v>6145671</v>
      </c>
      <c r="O775" t="str">
        <f>CompilDonnées[[#This Row],[FarmID]]&amp;CompilDonnées[[#This Row],[ModuleNumber]]</f>
        <v>61</v>
      </c>
      <c r="P775" t="str">
        <f>CompilDonnées[[#This Row],[Ref_Module]]&amp;CompilDonnées[[#This Row],[HarvestingDate]]</f>
        <v>6145712</v>
      </c>
    </row>
    <row r="776" spans="1:16">
      <c r="A776" s="5">
        <v>45671</v>
      </c>
      <c r="B776">
        <v>24</v>
      </c>
      <c r="C776" t="s">
        <v>31</v>
      </c>
      <c r="D776">
        <v>5</v>
      </c>
      <c r="E776">
        <v>100</v>
      </c>
      <c r="F776" t="s">
        <v>1</v>
      </c>
      <c r="G776" s="6">
        <v>45712</v>
      </c>
      <c r="H776">
        <v>41</v>
      </c>
      <c r="I776">
        <f>ROUND(CompilDonnées[[#This Row],[CultureDuration_days]]/7,0)</f>
        <v>6</v>
      </c>
      <c r="J776">
        <v>4137</v>
      </c>
      <c r="K776" t="str">
        <f>_xlfn.CONCAT(WEEKNUM(CompilDonnées[[#This Row],[PlantationDate]]), " ", YEAR(CompilDonnées[[#This Row],[PlantationDate]]))</f>
        <v>3 2025</v>
      </c>
      <c r="L776" t="str">
        <f>CONCATENATE(MONTH(CompilDonnées[[#This Row],[PlantationDate]])," ", YEAR(CompilDonnées[[#This Row],[PlantationDate]]))</f>
        <v>1 2025</v>
      </c>
      <c r="M776" t="str">
        <f>CONCATENATE(MONTH(CompilDonnées[[#This Row],[HarvestingDate]])," ", YEAR(CompilDonnées[[#This Row],[HarvestingDate]]))</f>
        <v>2 2025</v>
      </c>
      <c r="N776">
        <f>_xlfn.NUMBERVALUE(CompilDonnées[[#This Row],[FarmID]]&amp;CompilDonnées[[#This Row],[ModuleNumber]]&amp;CompilDonnées[[#This Row],[PlantationDate]])</f>
        <v>24545671</v>
      </c>
      <c r="O776" t="str">
        <f>CompilDonnées[[#This Row],[FarmID]]&amp;CompilDonnées[[#This Row],[ModuleNumber]]</f>
        <v>245</v>
      </c>
      <c r="P776" t="str">
        <f>CompilDonnées[[#This Row],[Ref_Module]]&amp;CompilDonnées[[#This Row],[HarvestingDate]]</f>
        <v>24545712</v>
      </c>
    </row>
    <row r="777" spans="1:16">
      <c r="A777" s="5">
        <v>45671</v>
      </c>
      <c r="B777">
        <v>23</v>
      </c>
      <c r="C777" t="s">
        <v>44</v>
      </c>
      <c r="D777">
        <v>6</v>
      </c>
      <c r="E777">
        <v>100</v>
      </c>
      <c r="F777" t="s">
        <v>1</v>
      </c>
      <c r="G777" s="6">
        <v>45712</v>
      </c>
      <c r="H777">
        <v>41</v>
      </c>
      <c r="I777">
        <f>ROUND(CompilDonnées[[#This Row],[CultureDuration_days]]/7,0)</f>
        <v>6</v>
      </c>
      <c r="J777">
        <v>3793</v>
      </c>
      <c r="K777" t="str">
        <f>_xlfn.CONCAT(WEEKNUM(CompilDonnées[[#This Row],[PlantationDate]]), " ", YEAR(CompilDonnées[[#This Row],[PlantationDate]]))</f>
        <v>3 2025</v>
      </c>
      <c r="L777" t="str">
        <f>CONCATENATE(MONTH(CompilDonnées[[#This Row],[PlantationDate]])," ", YEAR(CompilDonnées[[#This Row],[PlantationDate]]))</f>
        <v>1 2025</v>
      </c>
      <c r="M777" t="str">
        <f>CONCATENATE(MONTH(CompilDonnées[[#This Row],[HarvestingDate]])," ", YEAR(CompilDonnées[[#This Row],[HarvestingDate]]))</f>
        <v>2 2025</v>
      </c>
      <c r="N777">
        <f>_xlfn.NUMBERVALUE(CompilDonnées[[#This Row],[FarmID]]&amp;CompilDonnées[[#This Row],[ModuleNumber]]&amp;CompilDonnées[[#This Row],[PlantationDate]])</f>
        <v>23645671</v>
      </c>
      <c r="O777" t="str">
        <f>CompilDonnées[[#This Row],[FarmID]]&amp;CompilDonnées[[#This Row],[ModuleNumber]]</f>
        <v>236</v>
      </c>
      <c r="P777" t="str">
        <f>CompilDonnées[[#This Row],[Ref_Module]]&amp;CompilDonnées[[#This Row],[HarvestingDate]]</f>
        <v>23645712</v>
      </c>
    </row>
    <row r="778" spans="1:16">
      <c r="A778" s="5">
        <v>45671</v>
      </c>
      <c r="B778">
        <v>38</v>
      </c>
      <c r="C778" t="s">
        <v>34</v>
      </c>
      <c r="D778">
        <v>3</v>
      </c>
      <c r="E778">
        <v>100</v>
      </c>
      <c r="F778" t="s">
        <v>1</v>
      </c>
      <c r="G778" s="6">
        <v>45712</v>
      </c>
      <c r="H778">
        <v>41</v>
      </c>
      <c r="I778">
        <f>ROUND(CompilDonnées[[#This Row],[CultureDuration_days]]/7,0)</f>
        <v>6</v>
      </c>
      <c r="J778">
        <v>3938</v>
      </c>
      <c r="K778" t="str">
        <f>_xlfn.CONCAT(WEEKNUM(CompilDonnées[[#This Row],[PlantationDate]]), " ", YEAR(CompilDonnées[[#This Row],[PlantationDate]]))</f>
        <v>3 2025</v>
      </c>
      <c r="L778" t="str">
        <f>CONCATENATE(MONTH(CompilDonnées[[#This Row],[PlantationDate]])," ", YEAR(CompilDonnées[[#This Row],[PlantationDate]]))</f>
        <v>1 2025</v>
      </c>
      <c r="M778" t="str">
        <f>CONCATENATE(MONTH(CompilDonnées[[#This Row],[HarvestingDate]])," ", YEAR(CompilDonnées[[#This Row],[HarvestingDate]]))</f>
        <v>2 2025</v>
      </c>
      <c r="N778">
        <f>_xlfn.NUMBERVALUE(CompilDonnées[[#This Row],[FarmID]]&amp;CompilDonnées[[#This Row],[ModuleNumber]]&amp;CompilDonnées[[#This Row],[PlantationDate]])</f>
        <v>38345671</v>
      </c>
      <c r="O778" t="str">
        <f>CompilDonnées[[#This Row],[FarmID]]&amp;CompilDonnées[[#This Row],[ModuleNumber]]</f>
        <v>383</v>
      </c>
      <c r="P778" t="str">
        <f>CompilDonnées[[#This Row],[Ref_Module]]&amp;CompilDonnées[[#This Row],[HarvestingDate]]</f>
        <v>38345712</v>
      </c>
    </row>
    <row r="779" spans="1:16">
      <c r="A779" s="5">
        <v>45671</v>
      </c>
      <c r="B779">
        <v>37</v>
      </c>
      <c r="C779" t="s">
        <v>26</v>
      </c>
      <c r="D779">
        <v>2</v>
      </c>
      <c r="E779">
        <v>100</v>
      </c>
      <c r="F779" t="s">
        <v>1</v>
      </c>
      <c r="G779" s="6">
        <v>45713</v>
      </c>
      <c r="H779">
        <v>42</v>
      </c>
      <c r="I779">
        <f>ROUND(CompilDonnées[[#This Row],[CultureDuration_days]]/7,0)</f>
        <v>6</v>
      </c>
      <c r="J779">
        <v>3338</v>
      </c>
      <c r="K779" t="str">
        <f>_xlfn.CONCAT(WEEKNUM(CompilDonnées[[#This Row],[PlantationDate]]), " ", YEAR(CompilDonnées[[#This Row],[PlantationDate]]))</f>
        <v>3 2025</v>
      </c>
      <c r="L779" t="str">
        <f>CONCATENATE(MONTH(CompilDonnées[[#This Row],[PlantationDate]])," ", YEAR(CompilDonnées[[#This Row],[PlantationDate]]))</f>
        <v>1 2025</v>
      </c>
      <c r="M779" t="str">
        <f>CONCATENATE(MONTH(CompilDonnées[[#This Row],[HarvestingDate]])," ", YEAR(CompilDonnées[[#This Row],[HarvestingDate]]))</f>
        <v>2 2025</v>
      </c>
      <c r="N779">
        <f>_xlfn.NUMBERVALUE(CompilDonnées[[#This Row],[FarmID]]&amp;CompilDonnées[[#This Row],[ModuleNumber]]&amp;CompilDonnées[[#This Row],[PlantationDate]])</f>
        <v>37245671</v>
      </c>
      <c r="O779" t="str">
        <f>CompilDonnées[[#This Row],[FarmID]]&amp;CompilDonnées[[#This Row],[ModuleNumber]]</f>
        <v>372</v>
      </c>
      <c r="P779" t="str">
        <f>CompilDonnées[[#This Row],[Ref_Module]]&amp;CompilDonnées[[#This Row],[HarvestingDate]]</f>
        <v>37245713</v>
      </c>
    </row>
    <row r="780" spans="1:16">
      <c r="A780" s="5">
        <v>45671</v>
      </c>
      <c r="B780">
        <v>43</v>
      </c>
      <c r="C780" t="s">
        <v>45</v>
      </c>
      <c r="D780">
        <v>5</v>
      </c>
      <c r="E780">
        <v>100</v>
      </c>
      <c r="F780" t="s">
        <v>1</v>
      </c>
      <c r="G780" s="6">
        <v>45713</v>
      </c>
      <c r="H780">
        <v>42</v>
      </c>
      <c r="I780">
        <f>ROUND(CompilDonnées[[#This Row],[CultureDuration_days]]/7,0)</f>
        <v>6</v>
      </c>
      <c r="J780">
        <v>2712</v>
      </c>
      <c r="K780" t="str">
        <f>_xlfn.CONCAT(WEEKNUM(CompilDonnées[[#This Row],[PlantationDate]]), " ", YEAR(CompilDonnées[[#This Row],[PlantationDate]]))</f>
        <v>3 2025</v>
      </c>
      <c r="L780" t="str">
        <f>CONCATENATE(MONTH(CompilDonnées[[#This Row],[PlantationDate]])," ", YEAR(CompilDonnées[[#This Row],[PlantationDate]]))</f>
        <v>1 2025</v>
      </c>
      <c r="M780" t="str">
        <f>CONCATENATE(MONTH(CompilDonnées[[#This Row],[HarvestingDate]])," ", YEAR(CompilDonnées[[#This Row],[HarvestingDate]]))</f>
        <v>2 2025</v>
      </c>
      <c r="N780">
        <f>_xlfn.NUMBERVALUE(CompilDonnées[[#This Row],[FarmID]]&amp;CompilDonnées[[#This Row],[ModuleNumber]]&amp;CompilDonnées[[#This Row],[PlantationDate]])</f>
        <v>43545671</v>
      </c>
      <c r="O780" t="str">
        <f>CompilDonnées[[#This Row],[FarmID]]&amp;CompilDonnées[[#This Row],[ModuleNumber]]</f>
        <v>435</v>
      </c>
      <c r="P780" t="str">
        <f>CompilDonnées[[#This Row],[Ref_Module]]&amp;CompilDonnées[[#This Row],[HarvestingDate]]</f>
        <v>43545713</v>
      </c>
    </row>
    <row r="781" spans="1:16">
      <c r="A781" s="5">
        <v>45671</v>
      </c>
      <c r="B781">
        <v>113</v>
      </c>
      <c r="C781" t="s">
        <v>16</v>
      </c>
      <c r="D781">
        <v>5</v>
      </c>
      <c r="E781">
        <v>100</v>
      </c>
      <c r="F781" t="s">
        <v>1</v>
      </c>
      <c r="G781" s="6">
        <v>45716</v>
      </c>
      <c r="H781">
        <v>45</v>
      </c>
      <c r="I781">
        <f>ROUND(CompilDonnées[[#This Row],[CultureDuration_days]]/7,0)</f>
        <v>6</v>
      </c>
      <c r="J781">
        <v>3191</v>
      </c>
      <c r="K781" t="str">
        <f>_xlfn.CONCAT(WEEKNUM(CompilDonnées[[#This Row],[PlantationDate]]), " ", YEAR(CompilDonnées[[#This Row],[PlantationDate]]))</f>
        <v>3 2025</v>
      </c>
      <c r="L781" t="str">
        <f>CONCATENATE(MONTH(CompilDonnées[[#This Row],[PlantationDate]])," ", YEAR(CompilDonnées[[#This Row],[PlantationDate]]))</f>
        <v>1 2025</v>
      </c>
      <c r="M781" t="str">
        <f>CONCATENATE(MONTH(CompilDonnées[[#This Row],[HarvestingDate]])," ", YEAR(CompilDonnées[[#This Row],[HarvestingDate]]))</f>
        <v>2 2025</v>
      </c>
      <c r="N781">
        <f>_xlfn.NUMBERVALUE(CompilDonnées[[#This Row],[FarmID]]&amp;CompilDonnées[[#This Row],[ModuleNumber]]&amp;CompilDonnées[[#This Row],[PlantationDate]])</f>
        <v>113545671</v>
      </c>
      <c r="O781" t="str">
        <f>CompilDonnées[[#This Row],[FarmID]]&amp;CompilDonnées[[#This Row],[ModuleNumber]]</f>
        <v>1135</v>
      </c>
      <c r="P781" t="str">
        <f>CompilDonnées[[#This Row],[Ref_Module]]&amp;CompilDonnées[[#This Row],[HarvestingDate]]</f>
        <v>113545716</v>
      </c>
    </row>
    <row r="782" spans="1:16">
      <c r="A782" s="5">
        <v>45671</v>
      </c>
      <c r="B782">
        <v>112</v>
      </c>
      <c r="C782" t="s">
        <v>15</v>
      </c>
      <c r="D782">
        <v>5</v>
      </c>
      <c r="E782">
        <v>100</v>
      </c>
      <c r="F782" t="s">
        <v>1</v>
      </c>
      <c r="G782" s="6">
        <v>45716</v>
      </c>
      <c r="H782">
        <v>45</v>
      </c>
      <c r="I782">
        <f>ROUND(CompilDonnées[[#This Row],[CultureDuration_days]]/7,0)</f>
        <v>6</v>
      </c>
      <c r="J782">
        <v>3070</v>
      </c>
      <c r="K782" t="str">
        <f>_xlfn.CONCAT(WEEKNUM(CompilDonnées[[#This Row],[PlantationDate]]), " ", YEAR(CompilDonnées[[#This Row],[PlantationDate]]))</f>
        <v>3 2025</v>
      </c>
      <c r="L782" t="str">
        <f>CONCATENATE(MONTH(CompilDonnées[[#This Row],[PlantationDate]])," ", YEAR(CompilDonnées[[#This Row],[PlantationDate]]))</f>
        <v>1 2025</v>
      </c>
      <c r="M782" t="str">
        <f>CONCATENATE(MONTH(CompilDonnées[[#This Row],[HarvestingDate]])," ", YEAR(CompilDonnées[[#This Row],[HarvestingDate]]))</f>
        <v>2 2025</v>
      </c>
      <c r="N782">
        <f>_xlfn.NUMBERVALUE(CompilDonnées[[#This Row],[FarmID]]&amp;CompilDonnées[[#This Row],[ModuleNumber]]&amp;CompilDonnées[[#This Row],[PlantationDate]])</f>
        <v>112545671</v>
      </c>
      <c r="O782" t="str">
        <f>CompilDonnées[[#This Row],[FarmID]]&amp;CompilDonnées[[#This Row],[ModuleNumber]]</f>
        <v>1125</v>
      </c>
      <c r="P782" t="str">
        <f>CompilDonnées[[#This Row],[Ref_Module]]&amp;CompilDonnées[[#This Row],[HarvestingDate]]</f>
        <v>112545716</v>
      </c>
    </row>
    <row r="783" spans="1:16">
      <c r="A783" s="5">
        <v>45671</v>
      </c>
      <c r="B783">
        <v>111</v>
      </c>
      <c r="C783" t="s">
        <v>41</v>
      </c>
      <c r="D783">
        <v>5</v>
      </c>
      <c r="E783">
        <v>100</v>
      </c>
      <c r="F783" t="s">
        <v>1</v>
      </c>
      <c r="G783" s="6">
        <v>45707</v>
      </c>
      <c r="H783">
        <v>36</v>
      </c>
      <c r="I783">
        <f>ROUND(CompilDonnées[[#This Row],[CultureDuration_days]]/7,0)</f>
        <v>5</v>
      </c>
      <c r="J783">
        <v>3204</v>
      </c>
      <c r="K783" t="str">
        <f>_xlfn.CONCAT(WEEKNUM(CompilDonnées[[#This Row],[PlantationDate]]), " ", YEAR(CompilDonnées[[#This Row],[PlantationDate]]))</f>
        <v>3 2025</v>
      </c>
      <c r="L783" t="str">
        <f>CONCATENATE(MONTH(CompilDonnées[[#This Row],[PlantationDate]])," ", YEAR(CompilDonnées[[#This Row],[PlantationDate]]))</f>
        <v>1 2025</v>
      </c>
      <c r="M783" t="str">
        <f>CONCATENATE(MONTH(CompilDonnées[[#This Row],[HarvestingDate]])," ", YEAR(CompilDonnées[[#This Row],[HarvestingDate]]))</f>
        <v>2 2025</v>
      </c>
      <c r="N783">
        <f>_xlfn.NUMBERVALUE(CompilDonnées[[#This Row],[FarmID]]&amp;CompilDonnées[[#This Row],[ModuleNumber]]&amp;CompilDonnées[[#This Row],[PlantationDate]])</f>
        <v>111545671</v>
      </c>
      <c r="O783" t="str">
        <f>CompilDonnées[[#This Row],[FarmID]]&amp;CompilDonnées[[#This Row],[ModuleNumber]]</f>
        <v>1115</v>
      </c>
      <c r="P783" t="str">
        <f>CompilDonnées[[#This Row],[Ref_Module]]&amp;CompilDonnées[[#This Row],[HarvestingDate]]</f>
        <v>111545707</v>
      </c>
    </row>
    <row r="784" spans="1:16">
      <c r="A784" s="5">
        <v>45671</v>
      </c>
      <c r="B784">
        <v>117</v>
      </c>
      <c r="C784" t="s">
        <v>11</v>
      </c>
      <c r="D784">
        <v>6</v>
      </c>
      <c r="E784">
        <v>100</v>
      </c>
      <c r="F784" t="s">
        <v>1</v>
      </c>
      <c r="G784" s="6">
        <v>45707</v>
      </c>
      <c r="H784">
        <v>36</v>
      </c>
      <c r="I784">
        <f>ROUND(CompilDonnées[[#This Row],[CultureDuration_days]]/7,0)</f>
        <v>5</v>
      </c>
      <c r="J784">
        <v>2886</v>
      </c>
      <c r="K784" t="str">
        <f>_xlfn.CONCAT(WEEKNUM(CompilDonnées[[#This Row],[PlantationDate]]), " ", YEAR(CompilDonnées[[#This Row],[PlantationDate]]))</f>
        <v>3 2025</v>
      </c>
      <c r="L784" t="str">
        <f>CONCATENATE(MONTH(CompilDonnées[[#This Row],[PlantationDate]])," ", YEAR(CompilDonnées[[#This Row],[PlantationDate]]))</f>
        <v>1 2025</v>
      </c>
      <c r="M784" t="str">
        <f>CONCATENATE(MONTH(CompilDonnées[[#This Row],[HarvestingDate]])," ", YEAR(CompilDonnées[[#This Row],[HarvestingDate]]))</f>
        <v>2 2025</v>
      </c>
      <c r="N784">
        <f>_xlfn.NUMBERVALUE(CompilDonnées[[#This Row],[FarmID]]&amp;CompilDonnées[[#This Row],[ModuleNumber]]&amp;CompilDonnées[[#This Row],[PlantationDate]])</f>
        <v>117645671</v>
      </c>
      <c r="O784" t="str">
        <f>CompilDonnées[[#This Row],[FarmID]]&amp;CompilDonnées[[#This Row],[ModuleNumber]]</f>
        <v>1176</v>
      </c>
      <c r="P784" t="str">
        <f>CompilDonnées[[#This Row],[Ref_Module]]&amp;CompilDonnées[[#This Row],[HarvestingDate]]</f>
        <v>117645707</v>
      </c>
    </row>
    <row r="785" spans="1:16">
      <c r="A785" s="5">
        <v>45671</v>
      </c>
      <c r="B785">
        <v>119</v>
      </c>
      <c r="C785" t="s">
        <v>59</v>
      </c>
      <c r="D785">
        <v>5</v>
      </c>
      <c r="E785">
        <v>100</v>
      </c>
      <c r="F785" t="s">
        <v>1</v>
      </c>
      <c r="G785" s="6">
        <v>45699</v>
      </c>
      <c r="H785">
        <v>28</v>
      </c>
      <c r="I785">
        <f>ROUND(CompilDonnées[[#This Row],[CultureDuration_days]]/7,0)</f>
        <v>4</v>
      </c>
      <c r="J785">
        <v>2384</v>
      </c>
      <c r="K785" t="str">
        <f>_xlfn.CONCAT(WEEKNUM(CompilDonnées[[#This Row],[PlantationDate]]), " ", YEAR(CompilDonnées[[#This Row],[PlantationDate]]))</f>
        <v>3 2025</v>
      </c>
      <c r="L785" t="str">
        <f>CONCATENATE(MONTH(CompilDonnées[[#This Row],[PlantationDate]])," ", YEAR(CompilDonnées[[#This Row],[PlantationDate]]))</f>
        <v>1 2025</v>
      </c>
      <c r="M785" t="str">
        <f>CONCATENATE(MONTH(CompilDonnées[[#This Row],[HarvestingDate]])," ", YEAR(CompilDonnées[[#This Row],[HarvestingDate]]))</f>
        <v>2 2025</v>
      </c>
      <c r="N785">
        <f>_xlfn.NUMBERVALUE(CompilDonnées[[#This Row],[FarmID]]&amp;CompilDonnées[[#This Row],[ModuleNumber]]&amp;CompilDonnées[[#This Row],[PlantationDate]])</f>
        <v>119545671</v>
      </c>
      <c r="O785" t="str">
        <f>CompilDonnées[[#This Row],[FarmID]]&amp;CompilDonnées[[#This Row],[ModuleNumber]]</f>
        <v>1195</v>
      </c>
      <c r="P785" t="str">
        <f>CompilDonnées[[#This Row],[Ref_Module]]&amp;CompilDonnées[[#This Row],[HarvestingDate]]</f>
        <v>119545699</v>
      </c>
    </row>
    <row r="786" spans="1:16">
      <c r="A786" s="5">
        <v>45671</v>
      </c>
      <c r="B786">
        <v>120</v>
      </c>
      <c r="C786" t="s">
        <v>100</v>
      </c>
      <c r="D786">
        <v>3</v>
      </c>
      <c r="E786">
        <v>100</v>
      </c>
      <c r="F786" t="s">
        <v>1</v>
      </c>
      <c r="G786" s="6">
        <v>45707</v>
      </c>
      <c r="H786">
        <v>36</v>
      </c>
      <c r="I786">
        <f>ROUND(CompilDonnées[[#This Row],[CultureDuration_days]]/7,0)</f>
        <v>5</v>
      </c>
      <c r="J786">
        <v>3103</v>
      </c>
      <c r="K786" t="str">
        <f>_xlfn.CONCAT(WEEKNUM(CompilDonnées[[#This Row],[PlantationDate]]), " ", YEAR(CompilDonnées[[#This Row],[PlantationDate]]))</f>
        <v>3 2025</v>
      </c>
      <c r="L786" t="str">
        <f>CONCATENATE(MONTH(CompilDonnées[[#This Row],[PlantationDate]])," ", YEAR(CompilDonnées[[#This Row],[PlantationDate]]))</f>
        <v>1 2025</v>
      </c>
      <c r="M786" t="str">
        <f>CONCATENATE(MONTH(CompilDonnées[[#This Row],[HarvestingDate]])," ", YEAR(CompilDonnées[[#This Row],[HarvestingDate]]))</f>
        <v>2 2025</v>
      </c>
      <c r="N786">
        <f>_xlfn.NUMBERVALUE(CompilDonnées[[#This Row],[FarmID]]&amp;CompilDonnées[[#This Row],[ModuleNumber]]&amp;CompilDonnées[[#This Row],[PlantationDate]])</f>
        <v>120345671</v>
      </c>
      <c r="O786" t="str">
        <f>CompilDonnées[[#This Row],[FarmID]]&amp;CompilDonnées[[#This Row],[ModuleNumber]]</f>
        <v>1203</v>
      </c>
      <c r="P786" t="str">
        <f>CompilDonnées[[#This Row],[Ref_Module]]&amp;CompilDonnées[[#This Row],[HarvestingDate]]</f>
        <v>120345707</v>
      </c>
    </row>
    <row r="787" spans="1:16">
      <c r="A787" s="5">
        <v>45671</v>
      </c>
      <c r="B787">
        <v>124</v>
      </c>
      <c r="C787" t="s">
        <v>115</v>
      </c>
      <c r="D787">
        <v>2</v>
      </c>
      <c r="E787">
        <v>100</v>
      </c>
      <c r="F787" t="s">
        <v>1</v>
      </c>
      <c r="G787" s="6">
        <v>45716</v>
      </c>
      <c r="H787">
        <v>45</v>
      </c>
      <c r="I787">
        <f>ROUND(CompilDonnées[[#This Row],[CultureDuration_days]]/7,0)</f>
        <v>6</v>
      </c>
      <c r="J787">
        <v>3030</v>
      </c>
      <c r="K787" t="str">
        <f>_xlfn.CONCAT(WEEKNUM(CompilDonnées[[#This Row],[PlantationDate]]), " ", YEAR(CompilDonnées[[#This Row],[PlantationDate]]))</f>
        <v>3 2025</v>
      </c>
      <c r="L787" t="str">
        <f>CONCATENATE(MONTH(CompilDonnées[[#This Row],[PlantationDate]])," ", YEAR(CompilDonnées[[#This Row],[PlantationDate]]))</f>
        <v>1 2025</v>
      </c>
      <c r="M787" t="str">
        <f>CONCATENATE(MONTH(CompilDonnées[[#This Row],[HarvestingDate]])," ", YEAR(CompilDonnées[[#This Row],[HarvestingDate]]))</f>
        <v>2 2025</v>
      </c>
      <c r="N787">
        <f>_xlfn.NUMBERVALUE(CompilDonnées[[#This Row],[FarmID]]&amp;CompilDonnées[[#This Row],[ModuleNumber]]&amp;CompilDonnées[[#This Row],[PlantationDate]])</f>
        <v>124245671</v>
      </c>
      <c r="O787" t="str">
        <f>CompilDonnées[[#This Row],[FarmID]]&amp;CompilDonnées[[#This Row],[ModuleNumber]]</f>
        <v>1242</v>
      </c>
      <c r="P787" t="str">
        <f>CompilDonnées[[#This Row],[Ref_Module]]&amp;CompilDonnées[[#This Row],[HarvestingDate]]</f>
        <v>124245716</v>
      </c>
    </row>
    <row r="788" spans="1:16">
      <c r="A788" s="5">
        <v>45671</v>
      </c>
      <c r="B788">
        <v>133</v>
      </c>
      <c r="C788" t="s">
        <v>99</v>
      </c>
      <c r="D788">
        <v>1</v>
      </c>
      <c r="E788">
        <v>100</v>
      </c>
      <c r="F788" t="s">
        <v>1</v>
      </c>
      <c r="G788" s="6">
        <v>45708</v>
      </c>
      <c r="H788">
        <v>37</v>
      </c>
      <c r="I788">
        <f>ROUND(CompilDonnées[[#This Row],[CultureDuration_days]]/7,0)</f>
        <v>5</v>
      </c>
      <c r="J788">
        <v>3145</v>
      </c>
      <c r="K788" t="str">
        <f>_xlfn.CONCAT(WEEKNUM(CompilDonnées[[#This Row],[PlantationDate]]), " ", YEAR(CompilDonnées[[#This Row],[PlantationDate]]))</f>
        <v>3 2025</v>
      </c>
      <c r="L788" t="str">
        <f>CONCATENATE(MONTH(CompilDonnées[[#This Row],[PlantationDate]])," ", YEAR(CompilDonnées[[#This Row],[PlantationDate]]))</f>
        <v>1 2025</v>
      </c>
      <c r="M788" t="str">
        <f>CONCATENATE(MONTH(CompilDonnées[[#This Row],[HarvestingDate]])," ", YEAR(CompilDonnées[[#This Row],[HarvestingDate]]))</f>
        <v>2 2025</v>
      </c>
      <c r="N788">
        <f>_xlfn.NUMBERVALUE(CompilDonnées[[#This Row],[FarmID]]&amp;CompilDonnées[[#This Row],[ModuleNumber]]&amp;CompilDonnées[[#This Row],[PlantationDate]])</f>
        <v>133145671</v>
      </c>
      <c r="O788" t="str">
        <f>CompilDonnées[[#This Row],[FarmID]]&amp;CompilDonnées[[#This Row],[ModuleNumber]]</f>
        <v>1331</v>
      </c>
      <c r="P788" t="str">
        <f>CompilDonnées[[#This Row],[Ref_Module]]&amp;CompilDonnées[[#This Row],[HarvestingDate]]</f>
        <v>133145708</v>
      </c>
    </row>
    <row r="789" spans="1:16">
      <c r="A789" s="5">
        <v>45671</v>
      </c>
      <c r="B789">
        <v>131</v>
      </c>
      <c r="C789" t="s">
        <v>64</v>
      </c>
      <c r="D789">
        <v>6</v>
      </c>
      <c r="E789">
        <v>100</v>
      </c>
      <c r="F789" t="s">
        <v>1</v>
      </c>
      <c r="G789" s="6">
        <v>45716</v>
      </c>
      <c r="H789">
        <v>45</v>
      </c>
      <c r="I789">
        <f>ROUND(CompilDonnées[[#This Row],[CultureDuration_days]]/7,0)</f>
        <v>6</v>
      </c>
      <c r="J789">
        <v>2543</v>
      </c>
      <c r="K789" t="str">
        <f>_xlfn.CONCAT(WEEKNUM(CompilDonnées[[#This Row],[PlantationDate]]), " ", YEAR(CompilDonnées[[#This Row],[PlantationDate]]))</f>
        <v>3 2025</v>
      </c>
      <c r="L789" t="str">
        <f>CONCATENATE(MONTH(CompilDonnées[[#This Row],[PlantationDate]])," ", YEAR(CompilDonnées[[#This Row],[PlantationDate]]))</f>
        <v>1 2025</v>
      </c>
      <c r="M789" t="str">
        <f>CONCATENATE(MONTH(CompilDonnées[[#This Row],[HarvestingDate]])," ", YEAR(CompilDonnées[[#This Row],[HarvestingDate]]))</f>
        <v>2 2025</v>
      </c>
      <c r="N789">
        <f>_xlfn.NUMBERVALUE(CompilDonnées[[#This Row],[FarmID]]&amp;CompilDonnées[[#This Row],[ModuleNumber]]&amp;CompilDonnées[[#This Row],[PlantationDate]])</f>
        <v>131645671</v>
      </c>
      <c r="O789" t="str">
        <f>CompilDonnées[[#This Row],[FarmID]]&amp;CompilDonnées[[#This Row],[ModuleNumber]]</f>
        <v>1316</v>
      </c>
      <c r="P789" t="str">
        <f>CompilDonnées[[#This Row],[Ref_Module]]&amp;CompilDonnées[[#This Row],[HarvestingDate]]</f>
        <v>131645716</v>
      </c>
    </row>
    <row r="790" spans="1:16">
      <c r="A790" s="5">
        <v>45671</v>
      </c>
      <c r="B790">
        <v>139</v>
      </c>
      <c r="C790" t="s">
        <v>103</v>
      </c>
      <c r="D790">
        <v>5</v>
      </c>
      <c r="E790">
        <v>100</v>
      </c>
      <c r="F790" t="s">
        <v>1</v>
      </c>
      <c r="G790" s="6">
        <v>45716</v>
      </c>
      <c r="H790">
        <v>45</v>
      </c>
      <c r="I790">
        <f>ROUND(CompilDonnées[[#This Row],[CultureDuration_days]]/7,0)</f>
        <v>6</v>
      </c>
      <c r="J790">
        <v>3120</v>
      </c>
      <c r="K790" t="str">
        <f>_xlfn.CONCAT(WEEKNUM(CompilDonnées[[#This Row],[PlantationDate]]), " ", YEAR(CompilDonnées[[#This Row],[PlantationDate]]))</f>
        <v>3 2025</v>
      </c>
      <c r="L790" t="str">
        <f>CONCATENATE(MONTH(CompilDonnées[[#This Row],[PlantationDate]])," ", YEAR(CompilDonnées[[#This Row],[PlantationDate]]))</f>
        <v>1 2025</v>
      </c>
      <c r="M790" t="str">
        <f>CONCATENATE(MONTH(CompilDonnées[[#This Row],[HarvestingDate]])," ", YEAR(CompilDonnées[[#This Row],[HarvestingDate]]))</f>
        <v>2 2025</v>
      </c>
      <c r="N790">
        <f>_xlfn.NUMBERVALUE(CompilDonnées[[#This Row],[FarmID]]&amp;CompilDonnées[[#This Row],[ModuleNumber]]&amp;CompilDonnées[[#This Row],[PlantationDate]])</f>
        <v>139545671</v>
      </c>
      <c r="O790" t="str">
        <f>CompilDonnées[[#This Row],[FarmID]]&amp;CompilDonnées[[#This Row],[ModuleNumber]]</f>
        <v>1395</v>
      </c>
      <c r="P790" t="str">
        <f>CompilDonnées[[#This Row],[Ref_Module]]&amp;CompilDonnées[[#This Row],[HarvestingDate]]</f>
        <v>139545716</v>
      </c>
    </row>
    <row r="791" spans="1:16">
      <c r="A791" s="5">
        <v>45671</v>
      </c>
      <c r="B791">
        <v>140</v>
      </c>
      <c r="C791" t="s">
        <v>96</v>
      </c>
      <c r="D791">
        <v>6</v>
      </c>
      <c r="E791">
        <v>100</v>
      </c>
      <c r="F791" t="s">
        <v>1</v>
      </c>
      <c r="G791" s="6">
        <v>45716</v>
      </c>
      <c r="H791">
        <v>45</v>
      </c>
      <c r="I791">
        <f>ROUND(CompilDonnées[[#This Row],[CultureDuration_days]]/7,0)</f>
        <v>6</v>
      </c>
      <c r="J791">
        <v>2875</v>
      </c>
      <c r="K791" t="str">
        <f>_xlfn.CONCAT(WEEKNUM(CompilDonnées[[#This Row],[PlantationDate]]), " ", YEAR(CompilDonnées[[#This Row],[PlantationDate]]))</f>
        <v>3 2025</v>
      </c>
      <c r="L791" t="str">
        <f>CONCATENATE(MONTH(CompilDonnées[[#This Row],[PlantationDate]])," ", YEAR(CompilDonnées[[#This Row],[PlantationDate]]))</f>
        <v>1 2025</v>
      </c>
      <c r="M791" t="str">
        <f>CONCATENATE(MONTH(CompilDonnées[[#This Row],[HarvestingDate]])," ", YEAR(CompilDonnées[[#This Row],[HarvestingDate]]))</f>
        <v>2 2025</v>
      </c>
      <c r="N791">
        <f>_xlfn.NUMBERVALUE(CompilDonnées[[#This Row],[FarmID]]&amp;CompilDonnées[[#This Row],[ModuleNumber]]&amp;CompilDonnées[[#This Row],[PlantationDate]])</f>
        <v>140645671</v>
      </c>
      <c r="O791" t="str">
        <f>CompilDonnées[[#This Row],[FarmID]]&amp;CompilDonnées[[#This Row],[ModuleNumber]]</f>
        <v>1406</v>
      </c>
      <c r="P791" t="str">
        <f>CompilDonnées[[#This Row],[Ref_Module]]&amp;CompilDonnées[[#This Row],[HarvestingDate]]</f>
        <v>140645716</v>
      </c>
    </row>
    <row r="792" spans="1:16">
      <c r="A792" s="5">
        <v>45671</v>
      </c>
      <c r="B792">
        <v>115</v>
      </c>
      <c r="C792" t="s">
        <v>92</v>
      </c>
      <c r="D792">
        <v>5</v>
      </c>
      <c r="E792">
        <v>100</v>
      </c>
      <c r="F792" t="s">
        <v>1</v>
      </c>
      <c r="G792" s="6">
        <v>45716</v>
      </c>
      <c r="H792">
        <v>45</v>
      </c>
      <c r="I792">
        <f>ROUND(CompilDonnées[[#This Row],[CultureDuration_days]]/7,0)</f>
        <v>6</v>
      </c>
      <c r="J792">
        <v>2634</v>
      </c>
      <c r="K792" t="str">
        <f>_xlfn.CONCAT(WEEKNUM(CompilDonnées[[#This Row],[PlantationDate]]), " ", YEAR(CompilDonnées[[#This Row],[PlantationDate]]))</f>
        <v>3 2025</v>
      </c>
      <c r="L792" t="str">
        <f>CONCATENATE(MONTH(CompilDonnées[[#This Row],[PlantationDate]])," ", YEAR(CompilDonnées[[#This Row],[PlantationDate]]))</f>
        <v>1 2025</v>
      </c>
      <c r="M792" t="str">
        <f>CONCATENATE(MONTH(CompilDonnées[[#This Row],[HarvestingDate]])," ", YEAR(CompilDonnées[[#This Row],[HarvestingDate]]))</f>
        <v>2 2025</v>
      </c>
      <c r="N792">
        <f>_xlfn.NUMBERVALUE(CompilDonnées[[#This Row],[FarmID]]&amp;CompilDonnées[[#This Row],[ModuleNumber]]&amp;CompilDonnées[[#This Row],[PlantationDate]])</f>
        <v>115545671</v>
      </c>
      <c r="O792" t="str">
        <f>CompilDonnées[[#This Row],[FarmID]]&amp;CompilDonnées[[#This Row],[ModuleNumber]]</f>
        <v>1155</v>
      </c>
      <c r="P792" t="str">
        <f>CompilDonnées[[#This Row],[Ref_Module]]&amp;CompilDonnées[[#This Row],[HarvestingDate]]</f>
        <v>115545716</v>
      </c>
    </row>
    <row r="793" spans="1:16">
      <c r="A793" s="5">
        <v>45671</v>
      </c>
      <c r="B793">
        <v>126</v>
      </c>
      <c r="C793" t="s">
        <v>52</v>
      </c>
      <c r="D793">
        <v>3</v>
      </c>
      <c r="E793">
        <v>100</v>
      </c>
      <c r="F793" t="s">
        <v>1</v>
      </c>
      <c r="G793" s="6">
        <v>45713</v>
      </c>
      <c r="H793">
        <v>42</v>
      </c>
      <c r="I793">
        <f>ROUND(CompilDonnées[[#This Row],[CultureDuration_days]]/7,0)</f>
        <v>6</v>
      </c>
      <c r="J793">
        <v>3460</v>
      </c>
      <c r="K793" t="str">
        <f>_xlfn.CONCAT(WEEKNUM(CompilDonnées[[#This Row],[PlantationDate]]), " ", YEAR(CompilDonnées[[#This Row],[PlantationDate]]))</f>
        <v>3 2025</v>
      </c>
      <c r="L793" t="str">
        <f>CONCATENATE(MONTH(CompilDonnées[[#This Row],[PlantationDate]])," ", YEAR(CompilDonnées[[#This Row],[PlantationDate]]))</f>
        <v>1 2025</v>
      </c>
      <c r="M793" t="str">
        <f>CONCATENATE(MONTH(CompilDonnées[[#This Row],[HarvestingDate]])," ", YEAR(CompilDonnées[[#This Row],[HarvestingDate]]))</f>
        <v>2 2025</v>
      </c>
      <c r="N793">
        <f>_xlfn.NUMBERVALUE(CompilDonnées[[#This Row],[FarmID]]&amp;CompilDonnées[[#This Row],[ModuleNumber]]&amp;CompilDonnées[[#This Row],[PlantationDate]])</f>
        <v>126345671</v>
      </c>
      <c r="O793" t="str">
        <f>CompilDonnées[[#This Row],[FarmID]]&amp;CompilDonnées[[#This Row],[ModuleNumber]]</f>
        <v>1263</v>
      </c>
      <c r="P793" t="str">
        <f>CompilDonnées[[#This Row],[Ref_Module]]&amp;CompilDonnées[[#This Row],[HarvestingDate]]</f>
        <v>126345713</v>
      </c>
    </row>
    <row r="794" spans="1:16">
      <c r="A794" s="5">
        <v>45671</v>
      </c>
      <c r="B794">
        <v>126</v>
      </c>
      <c r="C794" t="s">
        <v>52</v>
      </c>
      <c r="D794">
        <v>2</v>
      </c>
      <c r="E794">
        <v>100</v>
      </c>
      <c r="F794" t="s">
        <v>1</v>
      </c>
      <c r="G794" s="6">
        <v>45708</v>
      </c>
      <c r="H794">
        <v>37</v>
      </c>
      <c r="I794">
        <f>ROUND(CompilDonnées[[#This Row],[CultureDuration_days]]/7,0)</f>
        <v>5</v>
      </c>
      <c r="J794">
        <v>2654</v>
      </c>
      <c r="K794" t="str">
        <f>_xlfn.CONCAT(WEEKNUM(CompilDonnées[[#This Row],[PlantationDate]]), " ", YEAR(CompilDonnées[[#This Row],[PlantationDate]]))</f>
        <v>3 2025</v>
      </c>
      <c r="L794" t="str">
        <f>CONCATENATE(MONTH(CompilDonnées[[#This Row],[PlantationDate]])," ", YEAR(CompilDonnées[[#This Row],[PlantationDate]]))</f>
        <v>1 2025</v>
      </c>
      <c r="M794" t="str">
        <f>CONCATENATE(MONTH(CompilDonnées[[#This Row],[HarvestingDate]])," ", YEAR(CompilDonnées[[#This Row],[HarvestingDate]]))</f>
        <v>2 2025</v>
      </c>
      <c r="N794">
        <f>_xlfn.NUMBERVALUE(CompilDonnées[[#This Row],[FarmID]]&amp;CompilDonnées[[#This Row],[ModuleNumber]]&amp;CompilDonnées[[#This Row],[PlantationDate]])</f>
        <v>126245671</v>
      </c>
      <c r="O794" t="str">
        <f>CompilDonnées[[#This Row],[FarmID]]&amp;CompilDonnées[[#This Row],[ModuleNumber]]</f>
        <v>1262</v>
      </c>
      <c r="P794" t="str">
        <f>CompilDonnées[[#This Row],[Ref_Module]]&amp;CompilDonnées[[#This Row],[HarvestingDate]]</f>
        <v>126245708</v>
      </c>
    </row>
    <row r="795" spans="1:16">
      <c r="A795" s="5">
        <v>45671</v>
      </c>
      <c r="B795">
        <v>107</v>
      </c>
      <c r="C795" t="s">
        <v>23</v>
      </c>
      <c r="D795">
        <v>2</v>
      </c>
      <c r="E795">
        <v>100</v>
      </c>
      <c r="F795" t="s">
        <v>1</v>
      </c>
      <c r="G795" s="6">
        <v>45716</v>
      </c>
      <c r="H795">
        <v>45</v>
      </c>
      <c r="I795">
        <f>ROUND(CompilDonnées[[#This Row],[CultureDuration_days]]/7,0)</f>
        <v>6</v>
      </c>
      <c r="J795">
        <v>2711</v>
      </c>
      <c r="K795" t="str">
        <f>_xlfn.CONCAT(WEEKNUM(CompilDonnées[[#This Row],[PlantationDate]]), " ", YEAR(CompilDonnées[[#This Row],[PlantationDate]]))</f>
        <v>3 2025</v>
      </c>
      <c r="L795" t="str">
        <f>CONCATENATE(MONTH(CompilDonnées[[#This Row],[PlantationDate]])," ", YEAR(CompilDonnées[[#This Row],[PlantationDate]]))</f>
        <v>1 2025</v>
      </c>
      <c r="M795" t="str">
        <f>CONCATENATE(MONTH(CompilDonnées[[#This Row],[HarvestingDate]])," ", YEAR(CompilDonnées[[#This Row],[HarvestingDate]]))</f>
        <v>2 2025</v>
      </c>
      <c r="N795">
        <f>_xlfn.NUMBERVALUE(CompilDonnées[[#This Row],[FarmID]]&amp;CompilDonnées[[#This Row],[ModuleNumber]]&amp;CompilDonnées[[#This Row],[PlantationDate]])</f>
        <v>107245671</v>
      </c>
      <c r="O795" t="str">
        <f>CompilDonnées[[#This Row],[FarmID]]&amp;CompilDonnées[[#This Row],[ModuleNumber]]</f>
        <v>1072</v>
      </c>
      <c r="P795" t="str">
        <f>CompilDonnées[[#This Row],[Ref_Module]]&amp;CompilDonnées[[#This Row],[HarvestingDate]]</f>
        <v>107245716</v>
      </c>
    </row>
    <row r="796" spans="1:16">
      <c r="A796" s="5">
        <v>45671</v>
      </c>
      <c r="B796">
        <v>108</v>
      </c>
      <c r="C796" t="s">
        <v>58</v>
      </c>
      <c r="D796">
        <v>3</v>
      </c>
      <c r="E796">
        <v>100</v>
      </c>
      <c r="F796" t="s">
        <v>1</v>
      </c>
      <c r="G796" s="6">
        <v>45715</v>
      </c>
      <c r="H796">
        <v>44</v>
      </c>
      <c r="I796">
        <f>ROUND(CompilDonnées[[#This Row],[CultureDuration_days]]/7,0)</f>
        <v>6</v>
      </c>
      <c r="J796">
        <v>2650</v>
      </c>
      <c r="K796" t="str">
        <f>_xlfn.CONCAT(WEEKNUM(CompilDonnées[[#This Row],[PlantationDate]]), " ", YEAR(CompilDonnées[[#This Row],[PlantationDate]]))</f>
        <v>3 2025</v>
      </c>
      <c r="L796" t="str">
        <f>CONCATENATE(MONTH(CompilDonnées[[#This Row],[PlantationDate]])," ", YEAR(CompilDonnées[[#This Row],[PlantationDate]]))</f>
        <v>1 2025</v>
      </c>
      <c r="M796" t="str">
        <f>CONCATENATE(MONTH(CompilDonnées[[#This Row],[HarvestingDate]])," ", YEAR(CompilDonnées[[#This Row],[HarvestingDate]]))</f>
        <v>2 2025</v>
      </c>
      <c r="N796">
        <f>_xlfn.NUMBERVALUE(CompilDonnées[[#This Row],[FarmID]]&amp;CompilDonnées[[#This Row],[ModuleNumber]]&amp;CompilDonnées[[#This Row],[PlantationDate]])</f>
        <v>108345671</v>
      </c>
      <c r="O796" t="str">
        <f>CompilDonnées[[#This Row],[FarmID]]&amp;CompilDonnées[[#This Row],[ModuleNumber]]</f>
        <v>1083</v>
      </c>
      <c r="P796" t="str">
        <f>CompilDonnées[[#This Row],[Ref_Module]]&amp;CompilDonnées[[#This Row],[HarvestingDate]]</f>
        <v>108345715</v>
      </c>
    </row>
    <row r="797" spans="1:16">
      <c r="A797" s="5">
        <v>45671</v>
      </c>
      <c r="B797">
        <v>106</v>
      </c>
      <c r="C797" t="s">
        <v>22</v>
      </c>
      <c r="D797">
        <v>2</v>
      </c>
      <c r="E797">
        <v>100</v>
      </c>
      <c r="F797" t="s">
        <v>1</v>
      </c>
      <c r="G797" s="6">
        <v>45715</v>
      </c>
      <c r="H797">
        <v>44</v>
      </c>
      <c r="I797">
        <f>ROUND(CompilDonnées[[#This Row],[CultureDuration_days]]/7,0)</f>
        <v>6</v>
      </c>
      <c r="J797">
        <v>3327</v>
      </c>
      <c r="K797" t="str">
        <f>_xlfn.CONCAT(WEEKNUM(CompilDonnées[[#This Row],[PlantationDate]]), " ", YEAR(CompilDonnées[[#This Row],[PlantationDate]]))</f>
        <v>3 2025</v>
      </c>
      <c r="L797" t="str">
        <f>CONCATENATE(MONTH(CompilDonnées[[#This Row],[PlantationDate]])," ", YEAR(CompilDonnées[[#This Row],[PlantationDate]]))</f>
        <v>1 2025</v>
      </c>
      <c r="M797" t="str">
        <f>CONCATENATE(MONTH(CompilDonnées[[#This Row],[HarvestingDate]])," ", YEAR(CompilDonnées[[#This Row],[HarvestingDate]]))</f>
        <v>2 2025</v>
      </c>
      <c r="N797">
        <f>_xlfn.NUMBERVALUE(CompilDonnées[[#This Row],[FarmID]]&amp;CompilDonnées[[#This Row],[ModuleNumber]]&amp;CompilDonnées[[#This Row],[PlantationDate]])</f>
        <v>106245671</v>
      </c>
      <c r="O797" t="str">
        <f>CompilDonnées[[#This Row],[FarmID]]&amp;CompilDonnées[[#This Row],[ModuleNumber]]</f>
        <v>1062</v>
      </c>
      <c r="P797" t="str">
        <f>CompilDonnées[[#This Row],[Ref_Module]]&amp;CompilDonnées[[#This Row],[HarvestingDate]]</f>
        <v>106245715</v>
      </c>
    </row>
    <row r="798" spans="1:16">
      <c r="A798" s="5">
        <v>45671</v>
      </c>
      <c r="B798">
        <v>100</v>
      </c>
      <c r="C798" t="s">
        <v>84</v>
      </c>
      <c r="D798">
        <v>2</v>
      </c>
      <c r="E798">
        <v>100</v>
      </c>
      <c r="F798" t="s">
        <v>1</v>
      </c>
      <c r="G798" s="6">
        <v>45716</v>
      </c>
      <c r="H798">
        <v>45</v>
      </c>
      <c r="I798">
        <f>ROUND(CompilDonnées[[#This Row],[CultureDuration_days]]/7,0)</f>
        <v>6</v>
      </c>
      <c r="J798">
        <v>3059</v>
      </c>
      <c r="K798" t="str">
        <f>_xlfn.CONCAT(WEEKNUM(CompilDonnées[[#This Row],[PlantationDate]]), " ", YEAR(CompilDonnées[[#This Row],[PlantationDate]]))</f>
        <v>3 2025</v>
      </c>
      <c r="L798" t="str">
        <f>CONCATENATE(MONTH(CompilDonnées[[#This Row],[PlantationDate]])," ", YEAR(CompilDonnées[[#This Row],[PlantationDate]]))</f>
        <v>1 2025</v>
      </c>
      <c r="M798" t="str">
        <f>CONCATENATE(MONTH(CompilDonnées[[#This Row],[HarvestingDate]])," ", YEAR(CompilDonnées[[#This Row],[HarvestingDate]]))</f>
        <v>2 2025</v>
      </c>
      <c r="N798">
        <f>_xlfn.NUMBERVALUE(CompilDonnées[[#This Row],[FarmID]]&amp;CompilDonnées[[#This Row],[ModuleNumber]]&amp;CompilDonnées[[#This Row],[PlantationDate]])</f>
        <v>100245671</v>
      </c>
      <c r="O798" t="str">
        <f>CompilDonnées[[#This Row],[FarmID]]&amp;CompilDonnées[[#This Row],[ModuleNumber]]</f>
        <v>1002</v>
      </c>
      <c r="P798" t="str">
        <f>CompilDonnées[[#This Row],[Ref_Module]]&amp;CompilDonnées[[#This Row],[HarvestingDate]]</f>
        <v>100245716</v>
      </c>
    </row>
    <row r="799" spans="1:16">
      <c r="A799" s="5">
        <v>45671</v>
      </c>
      <c r="B799">
        <v>98</v>
      </c>
      <c r="C799" t="s">
        <v>79</v>
      </c>
      <c r="D799">
        <v>3</v>
      </c>
      <c r="E799">
        <v>100</v>
      </c>
      <c r="F799" t="s">
        <v>1</v>
      </c>
      <c r="G799" s="6">
        <v>45715</v>
      </c>
      <c r="H799">
        <v>44</v>
      </c>
      <c r="I799">
        <f>ROUND(CompilDonnées[[#This Row],[CultureDuration_days]]/7,0)</f>
        <v>6</v>
      </c>
      <c r="J799">
        <v>3000</v>
      </c>
      <c r="K799" t="str">
        <f>_xlfn.CONCAT(WEEKNUM(CompilDonnées[[#This Row],[PlantationDate]]), " ", YEAR(CompilDonnées[[#This Row],[PlantationDate]]))</f>
        <v>3 2025</v>
      </c>
      <c r="L799" t="str">
        <f>CONCATENATE(MONTH(CompilDonnées[[#This Row],[PlantationDate]])," ", YEAR(CompilDonnées[[#This Row],[PlantationDate]]))</f>
        <v>1 2025</v>
      </c>
      <c r="M799" t="str">
        <f>CONCATENATE(MONTH(CompilDonnées[[#This Row],[HarvestingDate]])," ", YEAR(CompilDonnées[[#This Row],[HarvestingDate]]))</f>
        <v>2 2025</v>
      </c>
      <c r="N799">
        <f>_xlfn.NUMBERVALUE(CompilDonnées[[#This Row],[FarmID]]&amp;CompilDonnées[[#This Row],[ModuleNumber]]&amp;CompilDonnées[[#This Row],[PlantationDate]])</f>
        <v>98345671</v>
      </c>
      <c r="O799" t="str">
        <f>CompilDonnées[[#This Row],[FarmID]]&amp;CompilDonnées[[#This Row],[ModuleNumber]]</f>
        <v>983</v>
      </c>
      <c r="P799" t="str">
        <f>CompilDonnées[[#This Row],[Ref_Module]]&amp;CompilDonnées[[#This Row],[HarvestingDate]]</f>
        <v>98345715</v>
      </c>
    </row>
    <row r="800" spans="1:16">
      <c r="A800" s="5">
        <v>45671</v>
      </c>
      <c r="B800">
        <v>94</v>
      </c>
      <c r="C800" t="s">
        <v>40</v>
      </c>
      <c r="D800">
        <v>1</v>
      </c>
      <c r="E800">
        <v>100</v>
      </c>
      <c r="F800" t="s">
        <v>1</v>
      </c>
      <c r="G800" s="6">
        <v>45685</v>
      </c>
      <c r="H800">
        <v>14</v>
      </c>
      <c r="I800">
        <f>ROUND(CompilDonnées[[#This Row],[CultureDuration_days]]/7,0)</f>
        <v>2</v>
      </c>
      <c r="J800">
        <v>1608</v>
      </c>
      <c r="K800" t="str">
        <f>_xlfn.CONCAT(WEEKNUM(CompilDonnées[[#This Row],[PlantationDate]]), " ", YEAR(CompilDonnées[[#This Row],[PlantationDate]]))</f>
        <v>3 2025</v>
      </c>
      <c r="L800" t="str">
        <f>CONCATENATE(MONTH(CompilDonnées[[#This Row],[PlantationDate]])," ", YEAR(CompilDonnées[[#This Row],[PlantationDate]]))</f>
        <v>1 2025</v>
      </c>
      <c r="M800" t="str">
        <f>CONCATENATE(MONTH(CompilDonnées[[#This Row],[HarvestingDate]])," ", YEAR(CompilDonnées[[#This Row],[HarvestingDate]]))</f>
        <v>1 2025</v>
      </c>
      <c r="N800">
        <f>_xlfn.NUMBERVALUE(CompilDonnées[[#This Row],[FarmID]]&amp;CompilDonnées[[#This Row],[ModuleNumber]]&amp;CompilDonnées[[#This Row],[PlantationDate]])</f>
        <v>94145671</v>
      </c>
      <c r="O800" t="str">
        <f>CompilDonnées[[#This Row],[FarmID]]&amp;CompilDonnées[[#This Row],[ModuleNumber]]</f>
        <v>941</v>
      </c>
      <c r="P800" t="str">
        <f>CompilDonnées[[#This Row],[Ref_Module]]&amp;CompilDonnées[[#This Row],[HarvestingDate]]</f>
        <v>94145685</v>
      </c>
    </row>
    <row r="801" spans="1:16">
      <c r="A801" s="5">
        <v>45671</v>
      </c>
      <c r="B801">
        <v>92</v>
      </c>
      <c r="C801" t="s">
        <v>66</v>
      </c>
      <c r="D801">
        <v>6</v>
      </c>
      <c r="E801">
        <v>100</v>
      </c>
      <c r="F801" t="s">
        <v>1</v>
      </c>
      <c r="G801" s="6">
        <v>45715</v>
      </c>
      <c r="H801">
        <v>44</v>
      </c>
      <c r="I801">
        <f>ROUND(CompilDonnées[[#This Row],[CultureDuration_days]]/7,0)</f>
        <v>6</v>
      </c>
      <c r="J801">
        <v>3297</v>
      </c>
      <c r="K801" t="str">
        <f>_xlfn.CONCAT(WEEKNUM(CompilDonnées[[#This Row],[PlantationDate]]), " ", YEAR(CompilDonnées[[#This Row],[PlantationDate]]))</f>
        <v>3 2025</v>
      </c>
      <c r="L801" t="str">
        <f>CONCATENATE(MONTH(CompilDonnées[[#This Row],[PlantationDate]])," ", YEAR(CompilDonnées[[#This Row],[PlantationDate]]))</f>
        <v>1 2025</v>
      </c>
      <c r="M801" t="str">
        <f>CONCATENATE(MONTH(CompilDonnées[[#This Row],[HarvestingDate]])," ", YEAR(CompilDonnées[[#This Row],[HarvestingDate]]))</f>
        <v>2 2025</v>
      </c>
      <c r="N801">
        <f>_xlfn.NUMBERVALUE(CompilDonnées[[#This Row],[FarmID]]&amp;CompilDonnées[[#This Row],[ModuleNumber]]&amp;CompilDonnées[[#This Row],[PlantationDate]])</f>
        <v>92645671</v>
      </c>
      <c r="O801" t="str">
        <f>CompilDonnées[[#This Row],[FarmID]]&amp;CompilDonnées[[#This Row],[ModuleNumber]]</f>
        <v>926</v>
      </c>
      <c r="P801" t="str">
        <f>CompilDonnées[[#This Row],[Ref_Module]]&amp;CompilDonnées[[#This Row],[HarvestingDate]]</f>
        <v>92645715</v>
      </c>
    </row>
    <row r="802" spans="1:16">
      <c r="A802" s="5">
        <v>45671</v>
      </c>
      <c r="B802">
        <v>88</v>
      </c>
      <c r="C802" t="s">
        <v>94</v>
      </c>
      <c r="D802">
        <v>4</v>
      </c>
      <c r="E802">
        <v>100</v>
      </c>
      <c r="F802" t="s">
        <v>1</v>
      </c>
      <c r="G802" s="6">
        <v>45715</v>
      </c>
      <c r="H802">
        <v>44</v>
      </c>
      <c r="I802">
        <f>ROUND(CompilDonnées[[#This Row],[CultureDuration_days]]/7,0)</f>
        <v>6</v>
      </c>
      <c r="J802">
        <v>4145</v>
      </c>
      <c r="K802" t="str">
        <f>_xlfn.CONCAT(WEEKNUM(CompilDonnées[[#This Row],[PlantationDate]]), " ", YEAR(CompilDonnées[[#This Row],[PlantationDate]]))</f>
        <v>3 2025</v>
      </c>
      <c r="L802" t="str">
        <f>CONCATENATE(MONTH(CompilDonnées[[#This Row],[PlantationDate]])," ", YEAR(CompilDonnées[[#This Row],[PlantationDate]]))</f>
        <v>1 2025</v>
      </c>
      <c r="M802" t="str">
        <f>CONCATENATE(MONTH(CompilDonnées[[#This Row],[HarvestingDate]])," ", YEAR(CompilDonnées[[#This Row],[HarvestingDate]]))</f>
        <v>2 2025</v>
      </c>
      <c r="N802">
        <f>_xlfn.NUMBERVALUE(CompilDonnées[[#This Row],[FarmID]]&amp;CompilDonnées[[#This Row],[ModuleNumber]]&amp;CompilDonnées[[#This Row],[PlantationDate]])</f>
        <v>88445671</v>
      </c>
      <c r="O802" t="str">
        <f>CompilDonnées[[#This Row],[FarmID]]&amp;CompilDonnées[[#This Row],[ModuleNumber]]</f>
        <v>884</v>
      </c>
      <c r="P802" t="str">
        <f>CompilDonnées[[#This Row],[Ref_Module]]&amp;CompilDonnées[[#This Row],[HarvestingDate]]</f>
        <v>88445715</v>
      </c>
    </row>
    <row r="803" spans="1:16">
      <c r="A803" s="5">
        <v>45671</v>
      </c>
      <c r="B803">
        <v>87</v>
      </c>
      <c r="C803" t="s">
        <v>38</v>
      </c>
      <c r="D803">
        <v>5</v>
      </c>
      <c r="E803">
        <v>100</v>
      </c>
      <c r="F803" t="s">
        <v>1</v>
      </c>
      <c r="G803" s="6">
        <v>45707</v>
      </c>
      <c r="H803">
        <v>36</v>
      </c>
      <c r="I803">
        <f>ROUND(CompilDonnées[[#This Row],[CultureDuration_days]]/7,0)</f>
        <v>5</v>
      </c>
      <c r="J803">
        <v>2701</v>
      </c>
      <c r="K803" t="str">
        <f>_xlfn.CONCAT(WEEKNUM(CompilDonnées[[#This Row],[PlantationDate]]), " ", YEAR(CompilDonnées[[#This Row],[PlantationDate]]))</f>
        <v>3 2025</v>
      </c>
      <c r="L803" t="str">
        <f>CONCATENATE(MONTH(CompilDonnées[[#This Row],[PlantationDate]])," ", YEAR(CompilDonnées[[#This Row],[PlantationDate]]))</f>
        <v>1 2025</v>
      </c>
      <c r="M803" t="str">
        <f>CONCATENATE(MONTH(CompilDonnées[[#This Row],[HarvestingDate]])," ", YEAR(CompilDonnées[[#This Row],[HarvestingDate]]))</f>
        <v>2 2025</v>
      </c>
      <c r="N803">
        <f>_xlfn.NUMBERVALUE(CompilDonnées[[#This Row],[FarmID]]&amp;CompilDonnées[[#This Row],[ModuleNumber]]&amp;CompilDonnées[[#This Row],[PlantationDate]])</f>
        <v>87545671</v>
      </c>
      <c r="O803" t="str">
        <f>CompilDonnées[[#This Row],[FarmID]]&amp;CompilDonnées[[#This Row],[ModuleNumber]]</f>
        <v>875</v>
      </c>
      <c r="P803" t="str">
        <f>CompilDonnées[[#This Row],[Ref_Module]]&amp;CompilDonnées[[#This Row],[HarvestingDate]]</f>
        <v>87545707</v>
      </c>
    </row>
    <row r="804" spans="1:16">
      <c r="A804" s="5">
        <v>45671</v>
      </c>
      <c r="B804">
        <v>86</v>
      </c>
      <c r="C804" t="s">
        <v>37</v>
      </c>
      <c r="D804">
        <v>6</v>
      </c>
      <c r="E804">
        <v>100</v>
      </c>
      <c r="F804" t="s">
        <v>1</v>
      </c>
      <c r="G804" s="6">
        <v>45715</v>
      </c>
      <c r="H804">
        <v>44</v>
      </c>
      <c r="I804">
        <f>ROUND(CompilDonnées[[#This Row],[CultureDuration_days]]/7,0)</f>
        <v>6</v>
      </c>
      <c r="J804">
        <v>2679</v>
      </c>
      <c r="K804" t="str">
        <f>_xlfn.CONCAT(WEEKNUM(CompilDonnées[[#This Row],[PlantationDate]]), " ", YEAR(CompilDonnées[[#This Row],[PlantationDate]]))</f>
        <v>3 2025</v>
      </c>
      <c r="L804" t="str">
        <f>CONCATENATE(MONTH(CompilDonnées[[#This Row],[PlantationDate]])," ", YEAR(CompilDonnées[[#This Row],[PlantationDate]]))</f>
        <v>1 2025</v>
      </c>
      <c r="M804" t="str">
        <f>CONCATENATE(MONTH(CompilDonnées[[#This Row],[HarvestingDate]])," ", YEAR(CompilDonnées[[#This Row],[HarvestingDate]]))</f>
        <v>2 2025</v>
      </c>
      <c r="N804">
        <f>_xlfn.NUMBERVALUE(CompilDonnées[[#This Row],[FarmID]]&amp;CompilDonnées[[#This Row],[ModuleNumber]]&amp;CompilDonnées[[#This Row],[PlantationDate]])</f>
        <v>86645671</v>
      </c>
      <c r="O804" t="str">
        <f>CompilDonnées[[#This Row],[FarmID]]&amp;CompilDonnées[[#This Row],[ModuleNumber]]</f>
        <v>866</v>
      </c>
      <c r="P804" t="str">
        <f>CompilDonnées[[#This Row],[Ref_Module]]&amp;CompilDonnées[[#This Row],[HarvestingDate]]</f>
        <v>86645715</v>
      </c>
    </row>
    <row r="805" spans="1:16">
      <c r="A805" s="5">
        <v>45671</v>
      </c>
      <c r="B805">
        <v>85</v>
      </c>
      <c r="C805" t="s">
        <v>56</v>
      </c>
      <c r="D805">
        <v>6</v>
      </c>
      <c r="E805">
        <v>100</v>
      </c>
      <c r="F805" t="s">
        <v>1</v>
      </c>
      <c r="G805" s="6">
        <v>45716</v>
      </c>
      <c r="H805">
        <v>45</v>
      </c>
      <c r="I805">
        <f>ROUND(CompilDonnées[[#This Row],[CultureDuration_days]]/7,0)</f>
        <v>6</v>
      </c>
      <c r="J805">
        <v>3211</v>
      </c>
      <c r="K805" t="str">
        <f>_xlfn.CONCAT(WEEKNUM(CompilDonnées[[#This Row],[PlantationDate]]), " ", YEAR(CompilDonnées[[#This Row],[PlantationDate]]))</f>
        <v>3 2025</v>
      </c>
      <c r="L805" t="str">
        <f>CONCATENATE(MONTH(CompilDonnées[[#This Row],[PlantationDate]])," ", YEAR(CompilDonnées[[#This Row],[PlantationDate]]))</f>
        <v>1 2025</v>
      </c>
      <c r="M805" t="str">
        <f>CONCATENATE(MONTH(CompilDonnées[[#This Row],[HarvestingDate]])," ", YEAR(CompilDonnées[[#This Row],[HarvestingDate]]))</f>
        <v>2 2025</v>
      </c>
      <c r="N805">
        <f>_xlfn.NUMBERVALUE(CompilDonnées[[#This Row],[FarmID]]&amp;CompilDonnées[[#This Row],[ModuleNumber]]&amp;CompilDonnées[[#This Row],[PlantationDate]])</f>
        <v>85645671</v>
      </c>
      <c r="O805" t="str">
        <f>CompilDonnées[[#This Row],[FarmID]]&amp;CompilDonnées[[#This Row],[ModuleNumber]]</f>
        <v>856</v>
      </c>
      <c r="P805" t="str">
        <f>CompilDonnées[[#This Row],[Ref_Module]]&amp;CompilDonnées[[#This Row],[HarvestingDate]]</f>
        <v>85645716</v>
      </c>
    </row>
    <row r="806" spans="1:16">
      <c r="A806" s="5">
        <v>45671</v>
      </c>
      <c r="B806">
        <v>118</v>
      </c>
      <c r="C806" t="s">
        <v>51</v>
      </c>
      <c r="D806">
        <v>6</v>
      </c>
      <c r="E806">
        <v>100</v>
      </c>
      <c r="F806" t="s">
        <v>1</v>
      </c>
      <c r="G806" s="6">
        <v>45707</v>
      </c>
      <c r="H806">
        <v>36</v>
      </c>
      <c r="I806">
        <f>ROUND(CompilDonnées[[#This Row],[CultureDuration_days]]/7,0)</f>
        <v>5</v>
      </c>
      <c r="J806">
        <v>3522</v>
      </c>
      <c r="K806" t="str">
        <f>_xlfn.CONCAT(WEEKNUM(CompilDonnées[[#This Row],[PlantationDate]]), " ", YEAR(CompilDonnées[[#This Row],[PlantationDate]]))</f>
        <v>3 2025</v>
      </c>
      <c r="L806" t="str">
        <f>CONCATENATE(MONTH(CompilDonnées[[#This Row],[PlantationDate]])," ", YEAR(CompilDonnées[[#This Row],[PlantationDate]]))</f>
        <v>1 2025</v>
      </c>
      <c r="M806" t="str">
        <f>CONCATENATE(MONTH(CompilDonnées[[#This Row],[HarvestingDate]])," ", YEAR(CompilDonnées[[#This Row],[HarvestingDate]]))</f>
        <v>2 2025</v>
      </c>
      <c r="N806">
        <f>_xlfn.NUMBERVALUE(CompilDonnées[[#This Row],[FarmID]]&amp;CompilDonnées[[#This Row],[ModuleNumber]]&amp;CompilDonnées[[#This Row],[PlantationDate]])</f>
        <v>118645671</v>
      </c>
      <c r="O806" t="str">
        <f>CompilDonnées[[#This Row],[FarmID]]&amp;CompilDonnées[[#This Row],[ModuleNumber]]</f>
        <v>1186</v>
      </c>
      <c r="P806" t="str">
        <f>CompilDonnées[[#This Row],[Ref_Module]]&amp;CompilDonnées[[#This Row],[HarvestingDate]]</f>
        <v>118645707</v>
      </c>
    </row>
    <row r="807" spans="1:16">
      <c r="A807" s="5">
        <v>45672</v>
      </c>
      <c r="B807">
        <v>100</v>
      </c>
      <c r="C807" t="s">
        <v>84</v>
      </c>
      <c r="D807">
        <v>3</v>
      </c>
      <c r="E807">
        <v>100</v>
      </c>
      <c r="F807" t="s">
        <v>1</v>
      </c>
      <c r="G807" s="6">
        <v>45716</v>
      </c>
      <c r="H807">
        <v>44</v>
      </c>
      <c r="I807">
        <f>ROUND(CompilDonnées[[#This Row],[CultureDuration_days]]/7,0)</f>
        <v>6</v>
      </c>
      <c r="J807">
        <v>3205</v>
      </c>
      <c r="K807" t="str">
        <f>_xlfn.CONCAT(WEEKNUM(CompilDonnées[[#This Row],[PlantationDate]]), " ", YEAR(CompilDonnées[[#This Row],[PlantationDate]]))</f>
        <v>3 2025</v>
      </c>
      <c r="L807" t="str">
        <f>CONCATENATE(MONTH(CompilDonnées[[#This Row],[PlantationDate]])," ", YEAR(CompilDonnées[[#This Row],[PlantationDate]]))</f>
        <v>1 2025</v>
      </c>
      <c r="M807" t="str">
        <f>CONCATENATE(MONTH(CompilDonnées[[#This Row],[HarvestingDate]])," ", YEAR(CompilDonnées[[#This Row],[HarvestingDate]]))</f>
        <v>2 2025</v>
      </c>
      <c r="N807">
        <f>_xlfn.NUMBERVALUE(CompilDonnées[[#This Row],[FarmID]]&amp;CompilDonnées[[#This Row],[ModuleNumber]]&amp;CompilDonnées[[#This Row],[PlantationDate]])</f>
        <v>100345672</v>
      </c>
      <c r="O807" t="str">
        <f>CompilDonnées[[#This Row],[FarmID]]&amp;CompilDonnées[[#This Row],[ModuleNumber]]</f>
        <v>1003</v>
      </c>
      <c r="P807" t="str">
        <f>CompilDonnées[[#This Row],[Ref_Module]]&amp;CompilDonnées[[#This Row],[HarvestingDate]]</f>
        <v>100345716</v>
      </c>
    </row>
    <row r="808" spans="1:16">
      <c r="A808" s="5">
        <v>45672</v>
      </c>
      <c r="B808">
        <v>92</v>
      </c>
      <c r="C808" t="s">
        <v>66</v>
      </c>
      <c r="D808">
        <v>4</v>
      </c>
      <c r="E808">
        <v>100</v>
      </c>
      <c r="F808" t="s">
        <v>1</v>
      </c>
      <c r="G808" s="6">
        <v>45715</v>
      </c>
      <c r="H808">
        <v>43</v>
      </c>
      <c r="I808">
        <f>ROUND(CompilDonnées[[#This Row],[CultureDuration_days]]/7,0)</f>
        <v>6</v>
      </c>
      <c r="J808">
        <v>3358</v>
      </c>
      <c r="K808" t="str">
        <f>_xlfn.CONCAT(WEEKNUM(CompilDonnées[[#This Row],[PlantationDate]]), " ", YEAR(CompilDonnées[[#This Row],[PlantationDate]]))</f>
        <v>3 2025</v>
      </c>
      <c r="L808" t="str">
        <f>CONCATENATE(MONTH(CompilDonnées[[#This Row],[PlantationDate]])," ", YEAR(CompilDonnées[[#This Row],[PlantationDate]]))</f>
        <v>1 2025</v>
      </c>
      <c r="M808" t="str">
        <f>CONCATENATE(MONTH(CompilDonnées[[#This Row],[HarvestingDate]])," ", YEAR(CompilDonnées[[#This Row],[HarvestingDate]]))</f>
        <v>2 2025</v>
      </c>
      <c r="N808">
        <f>_xlfn.NUMBERVALUE(CompilDonnées[[#This Row],[FarmID]]&amp;CompilDonnées[[#This Row],[ModuleNumber]]&amp;CompilDonnées[[#This Row],[PlantationDate]])</f>
        <v>92445672</v>
      </c>
      <c r="O808" t="str">
        <f>CompilDonnées[[#This Row],[FarmID]]&amp;CompilDonnées[[#This Row],[ModuleNumber]]</f>
        <v>924</v>
      </c>
      <c r="P808" t="str">
        <f>CompilDonnées[[#This Row],[Ref_Module]]&amp;CompilDonnées[[#This Row],[HarvestingDate]]</f>
        <v>92445715</v>
      </c>
    </row>
    <row r="809" spans="1:16">
      <c r="A809" s="5">
        <v>45672</v>
      </c>
      <c r="B809">
        <v>86</v>
      </c>
      <c r="C809" t="s">
        <v>37</v>
      </c>
      <c r="D809">
        <v>4</v>
      </c>
      <c r="E809">
        <v>100</v>
      </c>
      <c r="F809" t="s">
        <v>1</v>
      </c>
      <c r="G809" s="6">
        <v>45715</v>
      </c>
      <c r="H809">
        <v>43</v>
      </c>
      <c r="I809">
        <f>ROUND(CompilDonnées[[#This Row],[CultureDuration_days]]/7,0)</f>
        <v>6</v>
      </c>
      <c r="J809">
        <v>2769</v>
      </c>
      <c r="K809" t="str">
        <f>_xlfn.CONCAT(WEEKNUM(CompilDonnées[[#This Row],[PlantationDate]]), " ", YEAR(CompilDonnées[[#This Row],[PlantationDate]]))</f>
        <v>3 2025</v>
      </c>
      <c r="L809" t="str">
        <f>CONCATENATE(MONTH(CompilDonnées[[#This Row],[PlantationDate]])," ", YEAR(CompilDonnées[[#This Row],[PlantationDate]]))</f>
        <v>1 2025</v>
      </c>
      <c r="M809" t="str">
        <f>CONCATENATE(MONTH(CompilDonnées[[#This Row],[HarvestingDate]])," ", YEAR(CompilDonnées[[#This Row],[HarvestingDate]]))</f>
        <v>2 2025</v>
      </c>
      <c r="N809">
        <f>_xlfn.NUMBERVALUE(CompilDonnées[[#This Row],[FarmID]]&amp;CompilDonnées[[#This Row],[ModuleNumber]]&amp;CompilDonnées[[#This Row],[PlantationDate]])</f>
        <v>86445672</v>
      </c>
      <c r="O809" t="str">
        <f>CompilDonnées[[#This Row],[FarmID]]&amp;CompilDonnées[[#This Row],[ModuleNumber]]</f>
        <v>864</v>
      </c>
      <c r="P809" t="str">
        <f>CompilDonnées[[#This Row],[Ref_Module]]&amp;CompilDonnées[[#This Row],[HarvestingDate]]</f>
        <v>86445715</v>
      </c>
    </row>
    <row r="810" spans="1:16">
      <c r="A810" s="5">
        <v>45672</v>
      </c>
      <c r="B810">
        <v>24</v>
      </c>
      <c r="C810" t="s">
        <v>31</v>
      </c>
      <c r="D810">
        <v>6</v>
      </c>
      <c r="E810">
        <v>100</v>
      </c>
      <c r="F810" t="s">
        <v>1</v>
      </c>
      <c r="G810" s="6">
        <v>45712</v>
      </c>
      <c r="H810">
        <v>40</v>
      </c>
      <c r="I810">
        <f>ROUND(CompilDonnées[[#This Row],[CultureDuration_days]]/7,0)</f>
        <v>6</v>
      </c>
      <c r="J810">
        <v>4026</v>
      </c>
      <c r="K810" t="str">
        <f>_xlfn.CONCAT(WEEKNUM(CompilDonnées[[#This Row],[PlantationDate]]), " ", YEAR(CompilDonnées[[#This Row],[PlantationDate]]))</f>
        <v>3 2025</v>
      </c>
      <c r="L810" t="str">
        <f>CONCATENATE(MONTH(CompilDonnées[[#This Row],[PlantationDate]])," ", YEAR(CompilDonnées[[#This Row],[PlantationDate]]))</f>
        <v>1 2025</v>
      </c>
      <c r="M810" t="str">
        <f>CONCATENATE(MONTH(CompilDonnées[[#This Row],[HarvestingDate]])," ", YEAR(CompilDonnées[[#This Row],[HarvestingDate]]))</f>
        <v>2 2025</v>
      </c>
      <c r="N810">
        <f>_xlfn.NUMBERVALUE(CompilDonnées[[#This Row],[FarmID]]&amp;CompilDonnées[[#This Row],[ModuleNumber]]&amp;CompilDonnées[[#This Row],[PlantationDate]])</f>
        <v>24645672</v>
      </c>
      <c r="O810" t="str">
        <f>CompilDonnées[[#This Row],[FarmID]]&amp;CompilDonnées[[#This Row],[ModuleNumber]]</f>
        <v>246</v>
      </c>
      <c r="P810" t="str">
        <f>CompilDonnées[[#This Row],[Ref_Module]]&amp;CompilDonnées[[#This Row],[HarvestingDate]]</f>
        <v>24645712</v>
      </c>
    </row>
    <row r="811" spans="1:16">
      <c r="A811" s="5">
        <v>45672</v>
      </c>
      <c r="B811">
        <v>31</v>
      </c>
      <c r="C811" t="s">
        <v>62</v>
      </c>
      <c r="D811">
        <v>2</v>
      </c>
      <c r="E811">
        <v>100</v>
      </c>
      <c r="F811" t="s">
        <v>1</v>
      </c>
      <c r="G811" s="6">
        <v>45712</v>
      </c>
      <c r="H811">
        <v>40</v>
      </c>
      <c r="I811">
        <f>ROUND(CompilDonnées[[#This Row],[CultureDuration_days]]/7,0)</f>
        <v>6</v>
      </c>
      <c r="J811">
        <v>3177</v>
      </c>
      <c r="K811" t="str">
        <f>_xlfn.CONCAT(WEEKNUM(CompilDonnées[[#This Row],[PlantationDate]]), " ", YEAR(CompilDonnées[[#This Row],[PlantationDate]]))</f>
        <v>3 2025</v>
      </c>
      <c r="L811" t="str">
        <f>CONCATENATE(MONTH(CompilDonnées[[#This Row],[PlantationDate]])," ", YEAR(CompilDonnées[[#This Row],[PlantationDate]]))</f>
        <v>1 2025</v>
      </c>
      <c r="M811" t="str">
        <f>CONCATENATE(MONTH(CompilDonnées[[#This Row],[HarvestingDate]])," ", YEAR(CompilDonnées[[#This Row],[HarvestingDate]]))</f>
        <v>2 2025</v>
      </c>
      <c r="N811">
        <f>_xlfn.NUMBERVALUE(CompilDonnées[[#This Row],[FarmID]]&amp;CompilDonnées[[#This Row],[ModuleNumber]]&amp;CompilDonnées[[#This Row],[PlantationDate]])</f>
        <v>31245672</v>
      </c>
      <c r="O811" t="str">
        <f>CompilDonnées[[#This Row],[FarmID]]&amp;CompilDonnées[[#This Row],[ModuleNumber]]</f>
        <v>312</v>
      </c>
      <c r="P811" t="str">
        <f>CompilDonnées[[#This Row],[Ref_Module]]&amp;CompilDonnées[[#This Row],[HarvestingDate]]</f>
        <v>31245712</v>
      </c>
    </row>
    <row r="812" spans="1:16">
      <c r="A812" s="5">
        <v>45672</v>
      </c>
      <c r="B812">
        <v>31</v>
      </c>
      <c r="C812" t="s">
        <v>62</v>
      </c>
      <c r="D812">
        <v>3</v>
      </c>
      <c r="E812">
        <v>100</v>
      </c>
      <c r="F812" t="s">
        <v>1</v>
      </c>
      <c r="G812" s="6">
        <v>45705</v>
      </c>
      <c r="H812">
        <v>33</v>
      </c>
      <c r="I812">
        <f>ROUND(CompilDonnées[[#This Row],[CultureDuration_days]]/7,0)</f>
        <v>5</v>
      </c>
      <c r="J812">
        <v>2104</v>
      </c>
      <c r="K812" t="str">
        <f>_xlfn.CONCAT(WEEKNUM(CompilDonnées[[#This Row],[PlantationDate]]), " ", YEAR(CompilDonnées[[#This Row],[PlantationDate]]))</f>
        <v>3 2025</v>
      </c>
      <c r="L812" t="str">
        <f>CONCATENATE(MONTH(CompilDonnées[[#This Row],[PlantationDate]])," ", YEAR(CompilDonnées[[#This Row],[PlantationDate]]))</f>
        <v>1 2025</v>
      </c>
      <c r="M812" t="str">
        <f>CONCATENATE(MONTH(CompilDonnées[[#This Row],[HarvestingDate]])," ", YEAR(CompilDonnées[[#This Row],[HarvestingDate]]))</f>
        <v>2 2025</v>
      </c>
      <c r="N812">
        <f>_xlfn.NUMBERVALUE(CompilDonnées[[#This Row],[FarmID]]&amp;CompilDonnées[[#This Row],[ModuleNumber]]&amp;CompilDonnées[[#This Row],[PlantationDate]])</f>
        <v>31345672</v>
      </c>
      <c r="O812" t="str">
        <f>CompilDonnées[[#This Row],[FarmID]]&amp;CompilDonnées[[#This Row],[ModuleNumber]]</f>
        <v>313</v>
      </c>
      <c r="P812" t="str">
        <f>CompilDonnées[[#This Row],[Ref_Module]]&amp;CompilDonnées[[#This Row],[HarvestingDate]]</f>
        <v>31345705</v>
      </c>
    </row>
    <row r="813" spans="1:16">
      <c r="A813" s="5">
        <v>45672</v>
      </c>
      <c r="B813">
        <v>29</v>
      </c>
      <c r="C813" t="s">
        <v>2</v>
      </c>
      <c r="D813">
        <v>4</v>
      </c>
      <c r="E813">
        <v>100</v>
      </c>
      <c r="F813" t="s">
        <v>1</v>
      </c>
      <c r="G813" s="6">
        <v>45713</v>
      </c>
      <c r="H813">
        <v>41</v>
      </c>
      <c r="I813">
        <f>ROUND(CompilDonnées[[#This Row],[CultureDuration_days]]/7,0)</f>
        <v>6</v>
      </c>
      <c r="J813">
        <v>2757</v>
      </c>
      <c r="K813" t="str">
        <f>_xlfn.CONCAT(WEEKNUM(CompilDonnées[[#This Row],[PlantationDate]]), " ", YEAR(CompilDonnées[[#This Row],[PlantationDate]]))</f>
        <v>3 2025</v>
      </c>
      <c r="L813" t="str">
        <f>CONCATENATE(MONTH(CompilDonnées[[#This Row],[PlantationDate]])," ", YEAR(CompilDonnées[[#This Row],[PlantationDate]]))</f>
        <v>1 2025</v>
      </c>
      <c r="M813" t="str">
        <f>CONCATENATE(MONTH(CompilDonnées[[#This Row],[HarvestingDate]])," ", YEAR(CompilDonnées[[#This Row],[HarvestingDate]]))</f>
        <v>2 2025</v>
      </c>
      <c r="N813">
        <f>_xlfn.NUMBERVALUE(CompilDonnées[[#This Row],[FarmID]]&amp;CompilDonnées[[#This Row],[ModuleNumber]]&amp;CompilDonnées[[#This Row],[PlantationDate]])</f>
        <v>29445672</v>
      </c>
      <c r="O813" t="str">
        <f>CompilDonnées[[#This Row],[FarmID]]&amp;CompilDonnées[[#This Row],[ModuleNumber]]</f>
        <v>294</v>
      </c>
      <c r="P813" t="str">
        <f>CompilDonnées[[#This Row],[Ref_Module]]&amp;CompilDonnées[[#This Row],[HarvestingDate]]</f>
        <v>29445713</v>
      </c>
    </row>
    <row r="814" spans="1:16">
      <c r="A814" s="5">
        <v>45672</v>
      </c>
      <c r="B814">
        <v>37</v>
      </c>
      <c r="C814" t="s">
        <v>26</v>
      </c>
      <c r="D814">
        <v>5</v>
      </c>
      <c r="E814">
        <v>100</v>
      </c>
      <c r="F814" t="s">
        <v>1</v>
      </c>
      <c r="G814" s="6">
        <v>45713</v>
      </c>
      <c r="H814">
        <v>41</v>
      </c>
      <c r="I814">
        <f>ROUND(CompilDonnées[[#This Row],[CultureDuration_days]]/7,0)</f>
        <v>6</v>
      </c>
      <c r="J814">
        <v>3826</v>
      </c>
      <c r="K814" t="str">
        <f>_xlfn.CONCAT(WEEKNUM(CompilDonnées[[#This Row],[PlantationDate]]), " ", YEAR(CompilDonnées[[#This Row],[PlantationDate]]))</f>
        <v>3 2025</v>
      </c>
      <c r="L814" t="str">
        <f>CONCATENATE(MONTH(CompilDonnées[[#This Row],[PlantationDate]])," ", YEAR(CompilDonnées[[#This Row],[PlantationDate]]))</f>
        <v>1 2025</v>
      </c>
      <c r="M814" t="str">
        <f>CONCATENATE(MONTH(CompilDonnées[[#This Row],[HarvestingDate]])," ", YEAR(CompilDonnées[[#This Row],[HarvestingDate]]))</f>
        <v>2 2025</v>
      </c>
      <c r="N814">
        <f>_xlfn.NUMBERVALUE(CompilDonnées[[#This Row],[FarmID]]&amp;CompilDonnées[[#This Row],[ModuleNumber]]&amp;CompilDonnées[[#This Row],[PlantationDate]])</f>
        <v>37545672</v>
      </c>
      <c r="O814" t="str">
        <f>CompilDonnées[[#This Row],[FarmID]]&amp;CompilDonnées[[#This Row],[ModuleNumber]]</f>
        <v>375</v>
      </c>
      <c r="P814" t="str">
        <f>CompilDonnées[[#This Row],[Ref_Module]]&amp;CompilDonnées[[#This Row],[HarvestingDate]]</f>
        <v>37545713</v>
      </c>
    </row>
    <row r="815" spans="1:16">
      <c r="A815" s="5">
        <v>45672</v>
      </c>
      <c r="B815">
        <v>35</v>
      </c>
      <c r="C815" t="s">
        <v>69</v>
      </c>
      <c r="D815">
        <v>4</v>
      </c>
      <c r="E815">
        <v>100</v>
      </c>
      <c r="F815" t="s">
        <v>1</v>
      </c>
      <c r="G815" s="6">
        <v>45712</v>
      </c>
      <c r="H815">
        <v>40</v>
      </c>
      <c r="I815">
        <f>ROUND(CompilDonnées[[#This Row],[CultureDuration_days]]/7,0)</f>
        <v>6</v>
      </c>
      <c r="J815">
        <v>2971</v>
      </c>
      <c r="K815" t="str">
        <f>_xlfn.CONCAT(WEEKNUM(CompilDonnées[[#This Row],[PlantationDate]]), " ", YEAR(CompilDonnées[[#This Row],[PlantationDate]]))</f>
        <v>3 2025</v>
      </c>
      <c r="L815" t="str">
        <f>CONCATENATE(MONTH(CompilDonnées[[#This Row],[PlantationDate]])," ", YEAR(CompilDonnées[[#This Row],[PlantationDate]]))</f>
        <v>1 2025</v>
      </c>
      <c r="M815" t="str">
        <f>CONCATENATE(MONTH(CompilDonnées[[#This Row],[HarvestingDate]])," ", YEAR(CompilDonnées[[#This Row],[HarvestingDate]]))</f>
        <v>2 2025</v>
      </c>
      <c r="N815">
        <f>_xlfn.NUMBERVALUE(CompilDonnées[[#This Row],[FarmID]]&amp;CompilDonnées[[#This Row],[ModuleNumber]]&amp;CompilDonnées[[#This Row],[PlantationDate]])</f>
        <v>35445672</v>
      </c>
      <c r="O815" t="str">
        <f>CompilDonnées[[#This Row],[FarmID]]&amp;CompilDonnées[[#This Row],[ModuleNumber]]</f>
        <v>354</v>
      </c>
      <c r="P815" t="str">
        <f>CompilDonnées[[#This Row],[Ref_Module]]&amp;CompilDonnées[[#This Row],[HarvestingDate]]</f>
        <v>35445712</v>
      </c>
    </row>
    <row r="816" spans="1:16">
      <c r="A816" s="5">
        <v>45672</v>
      </c>
      <c r="B816">
        <v>35</v>
      </c>
      <c r="C816" t="s">
        <v>69</v>
      </c>
      <c r="D816">
        <v>6</v>
      </c>
      <c r="E816">
        <v>100</v>
      </c>
      <c r="F816" t="s">
        <v>1</v>
      </c>
      <c r="G816" s="6">
        <v>45713</v>
      </c>
      <c r="H816">
        <v>41</v>
      </c>
      <c r="I816">
        <f>ROUND(CompilDonnées[[#This Row],[CultureDuration_days]]/7,0)</f>
        <v>6</v>
      </c>
      <c r="J816">
        <v>3461</v>
      </c>
      <c r="K816" t="str">
        <f>_xlfn.CONCAT(WEEKNUM(CompilDonnées[[#This Row],[PlantationDate]]), " ", YEAR(CompilDonnées[[#This Row],[PlantationDate]]))</f>
        <v>3 2025</v>
      </c>
      <c r="L816" t="str">
        <f>CONCATENATE(MONTH(CompilDonnées[[#This Row],[PlantationDate]])," ", YEAR(CompilDonnées[[#This Row],[PlantationDate]]))</f>
        <v>1 2025</v>
      </c>
      <c r="M816" t="str">
        <f>CONCATENATE(MONTH(CompilDonnées[[#This Row],[HarvestingDate]])," ", YEAR(CompilDonnées[[#This Row],[HarvestingDate]]))</f>
        <v>2 2025</v>
      </c>
      <c r="N816">
        <f>_xlfn.NUMBERVALUE(CompilDonnées[[#This Row],[FarmID]]&amp;CompilDonnées[[#This Row],[ModuleNumber]]&amp;CompilDonnées[[#This Row],[PlantationDate]])</f>
        <v>35645672</v>
      </c>
      <c r="O816" t="str">
        <f>CompilDonnées[[#This Row],[FarmID]]&amp;CompilDonnées[[#This Row],[ModuleNumber]]</f>
        <v>356</v>
      </c>
      <c r="P816" t="str">
        <f>CompilDonnées[[#This Row],[Ref_Module]]&amp;CompilDonnées[[#This Row],[HarvestingDate]]</f>
        <v>35645713</v>
      </c>
    </row>
    <row r="817" spans="1:16">
      <c r="A817" s="5">
        <v>45672</v>
      </c>
      <c r="B817">
        <v>43</v>
      </c>
      <c r="C817" t="s">
        <v>45</v>
      </c>
      <c r="D817">
        <v>6</v>
      </c>
      <c r="E817">
        <v>100</v>
      </c>
      <c r="F817" t="s">
        <v>1</v>
      </c>
      <c r="G817" s="6">
        <v>45714</v>
      </c>
      <c r="H817">
        <v>42</v>
      </c>
      <c r="I817">
        <f>ROUND(CompilDonnées[[#This Row],[CultureDuration_days]]/7,0)</f>
        <v>6</v>
      </c>
      <c r="J817">
        <v>3221</v>
      </c>
      <c r="K817" t="str">
        <f>_xlfn.CONCAT(WEEKNUM(CompilDonnées[[#This Row],[PlantationDate]]), " ", YEAR(CompilDonnées[[#This Row],[PlantationDate]]))</f>
        <v>3 2025</v>
      </c>
      <c r="L817" t="str">
        <f>CONCATENATE(MONTH(CompilDonnées[[#This Row],[PlantationDate]])," ", YEAR(CompilDonnées[[#This Row],[PlantationDate]]))</f>
        <v>1 2025</v>
      </c>
      <c r="M817" t="str">
        <f>CONCATENATE(MONTH(CompilDonnées[[#This Row],[HarvestingDate]])," ", YEAR(CompilDonnées[[#This Row],[HarvestingDate]]))</f>
        <v>2 2025</v>
      </c>
      <c r="N817">
        <f>_xlfn.NUMBERVALUE(CompilDonnées[[#This Row],[FarmID]]&amp;CompilDonnées[[#This Row],[ModuleNumber]]&amp;CompilDonnées[[#This Row],[PlantationDate]])</f>
        <v>43645672</v>
      </c>
      <c r="O817" t="str">
        <f>CompilDonnées[[#This Row],[FarmID]]&amp;CompilDonnées[[#This Row],[ModuleNumber]]</f>
        <v>436</v>
      </c>
      <c r="P817" t="str">
        <f>CompilDonnées[[#This Row],[Ref_Module]]&amp;CompilDonnées[[#This Row],[HarvestingDate]]</f>
        <v>43645714</v>
      </c>
    </row>
    <row r="818" spans="1:16">
      <c r="A818" s="5">
        <v>45672</v>
      </c>
      <c r="B818">
        <v>42</v>
      </c>
      <c r="C818" t="s">
        <v>89</v>
      </c>
      <c r="D818">
        <v>3</v>
      </c>
      <c r="E818">
        <v>100</v>
      </c>
      <c r="F818" t="s">
        <v>1</v>
      </c>
      <c r="G818" s="6">
        <v>45715</v>
      </c>
      <c r="H818">
        <v>43</v>
      </c>
      <c r="I818">
        <f>ROUND(CompilDonnées[[#This Row],[CultureDuration_days]]/7,0)</f>
        <v>6</v>
      </c>
      <c r="J818">
        <v>2849</v>
      </c>
      <c r="K818" t="str">
        <f>_xlfn.CONCAT(WEEKNUM(CompilDonnées[[#This Row],[PlantationDate]]), " ", YEAR(CompilDonnées[[#This Row],[PlantationDate]]))</f>
        <v>3 2025</v>
      </c>
      <c r="L818" t="str">
        <f>CONCATENATE(MONTH(CompilDonnées[[#This Row],[PlantationDate]])," ", YEAR(CompilDonnées[[#This Row],[PlantationDate]]))</f>
        <v>1 2025</v>
      </c>
      <c r="M818" t="str">
        <f>CONCATENATE(MONTH(CompilDonnées[[#This Row],[HarvestingDate]])," ", YEAR(CompilDonnées[[#This Row],[HarvestingDate]]))</f>
        <v>2 2025</v>
      </c>
      <c r="N818">
        <f>_xlfn.NUMBERVALUE(CompilDonnées[[#This Row],[FarmID]]&amp;CompilDonnées[[#This Row],[ModuleNumber]]&amp;CompilDonnées[[#This Row],[PlantationDate]])</f>
        <v>42345672</v>
      </c>
      <c r="O818" t="str">
        <f>CompilDonnées[[#This Row],[FarmID]]&amp;CompilDonnées[[#This Row],[ModuleNumber]]</f>
        <v>423</v>
      </c>
      <c r="P818" t="str">
        <f>CompilDonnées[[#This Row],[Ref_Module]]&amp;CompilDonnées[[#This Row],[HarvestingDate]]</f>
        <v>42345715</v>
      </c>
    </row>
    <row r="819" spans="1:16">
      <c r="A819" s="5">
        <v>45672</v>
      </c>
      <c r="B819">
        <v>42</v>
      </c>
      <c r="C819" t="s">
        <v>89</v>
      </c>
      <c r="D819">
        <v>4</v>
      </c>
      <c r="E819">
        <v>100</v>
      </c>
      <c r="F819" t="s">
        <v>1</v>
      </c>
      <c r="G819" s="6">
        <v>45713</v>
      </c>
      <c r="H819">
        <v>41</v>
      </c>
      <c r="I819">
        <f>ROUND(CompilDonnées[[#This Row],[CultureDuration_days]]/7,0)</f>
        <v>6</v>
      </c>
      <c r="J819">
        <v>2995</v>
      </c>
      <c r="K819" t="str">
        <f>_xlfn.CONCAT(WEEKNUM(CompilDonnées[[#This Row],[PlantationDate]]), " ", YEAR(CompilDonnées[[#This Row],[PlantationDate]]))</f>
        <v>3 2025</v>
      </c>
      <c r="L819" t="str">
        <f>CONCATENATE(MONTH(CompilDonnées[[#This Row],[PlantationDate]])," ", YEAR(CompilDonnées[[#This Row],[PlantationDate]]))</f>
        <v>1 2025</v>
      </c>
      <c r="M819" t="str">
        <f>CONCATENATE(MONTH(CompilDonnées[[#This Row],[HarvestingDate]])," ", YEAR(CompilDonnées[[#This Row],[HarvestingDate]]))</f>
        <v>2 2025</v>
      </c>
      <c r="N819">
        <f>_xlfn.NUMBERVALUE(CompilDonnées[[#This Row],[FarmID]]&amp;CompilDonnées[[#This Row],[ModuleNumber]]&amp;CompilDonnées[[#This Row],[PlantationDate]])</f>
        <v>42445672</v>
      </c>
      <c r="O819" t="str">
        <f>CompilDonnées[[#This Row],[FarmID]]&amp;CompilDonnées[[#This Row],[ModuleNumber]]</f>
        <v>424</v>
      </c>
      <c r="P819" t="str">
        <f>CompilDonnées[[#This Row],[Ref_Module]]&amp;CompilDonnées[[#This Row],[HarvestingDate]]</f>
        <v>42445713</v>
      </c>
    </row>
    <row r="820" spans="1:16">
      <c r="A820" s="5">
        <v>45672</v>
      </c>
      <c r="B820">
        <v>41</v>
      </c>
      <c r="C820" t="s">
        <v>70</v>
      </c>
      <c r="D820">
        <v>4</v>
      </c>
      <c r="E820">
        <v>100</v>
      </c>
      <c r="F820" t="s">
        <v>1</v>
      </c>
      <c r="G820" s="6">
        <v>45713</v>
      </c>
      <c r="H820">
        <v>41</v>
      </c>
      <c r="I820">
        <f>ROUND(CompilDonnées[[#This Row],[CultureDuration_days]]/7,0)</f>
        <v>6</v>
      </c>
      <c r="J820">
        <v>2281</v>
      </c>
      <c r="K820" t="str">
        <f>_xlfn.CONCAT(WEEKNUM(CompilDonnées[[#This Row],[PlantationDate]]), " ", YEAR(CompilDonnées[[#This Row],[PlantationDate]]))</f>
        <v>3 2025</v>
      </c>
      <c r="L820" t="str">
        <f>CONCATENATE(MONTH(CompilDonnées[[#This Row],[PlantationDate]])," ", YEAR(CompilDonnées[[#This Row],[PlantationDate]]))</f>
        <v>1 2025</v>
      </c>
      <c r="M820" t="str">
        <f>CONCATENATE(MONTH(CompilDonnées[[#This Row],[HarvestingDate]])," ", YEAR(CompilDonnées[[#This Row],[HarvestingDate]]))</f>
        <v>2 2025</v>
      </c>
      <c r="N820">
        <f>_xlfn.NUMBERVALUE(CompilDonnées[[#This Row],[FarmID]]&amp;CompilDonnées[[#This Row],[ModuleNumber]]&amp;CompilDonnées[[#This Row],[PlantationDate]])</f>
        <v>41445672</v>
      </c>
      <c r="O820" t="str">
        <f>CompilDonnées[[#This Row],[FarmID]]&amp;CompilDonnées[[#This Row],[ModuleNumber]]</f>
        <v>414</v>
      </c>
      <c r="P820" t="str">
        <f>CompilDonnées[[#This Row],[Ref_Module]]&amp;CompilDonnées[[#This Row],[HarvestingDate]]</f>
        <v>41445713</v>
      </c>
    </row>
    <row r="821" spans="1:16">
      <c r="A821" s="5">
        <v>45672</v>
      </c>
      <c r="B821">
        <v>53</v>
      </c>
      <c r="C821" t="s">
        <v>83</v>
      </c>
      <c r="D821">
        <v>1</v>
      </c>
      <c r="E821">
        <v>100</v>
      </c>
      <c r="F821" t="s">
        <v>1</v>
      </c>
      <c r="G821" s="6">
        <v>45713</v>
      </c>
      <c r="H821">
        <v>41</v>
      </c>
      <c r="I821">
        <f>ROUND(CompilDonnées[[#This Row],[CultureDuration_days]]/7,0)</f>
        <v>6</v>
      </c>
      <c r="J821">
        <v>3055</v>
      </c>
      <c r="K821" t="str">
        <f>_xlfn.CONCAT(WEEKNUM(CompilDonnées[[#This Row],[PlantationDate]]), " ", YEAR(CompilDonnées[[#This Row],[PlantationDate]]))</f>
        <v>3 2025</v>
      </c>
      <c r="L821" t="str">
        <f>CONCATENATE(MONTH(CompilDonnées[[#This Row],[PlantationDate]])," ", YEAR(CompilDonnées[[#This Row],[PlantationDate]]))</f>
        <v>1 2025</v>
      </c>
      <c r="M821" t="str">
        <f>CONCATENATE(MONTH(CompilDonnées[[#This Row],[HarvestingDate]])," ", YEAR(CompilDonnées[[#This Row],[HarvestingDate]]))</f>
        <v>2 2025</v>
      </c>
      <c r="N821">
        <f>_xlfn.NUMBERVALUE(CompilDonnées[[#This Row],[FarmID]]&amp;CompilDonnées[[#This Row],[ModuleNumber]]&amp;CompilDonnées[[#This Row],[PlantationDate]])</f>
        <v>53145672</v>
      </c>
      <c r="O821" t="str">
        <f>CompilDonnées[[#This Row],[FarmID]]&amp;CompilDonnées[[#This Row],[ModuleNumber]]</f>
        <v>531</v>
      </c>
      <c r="P821" t="str">
        <f>CompilDonnées[[#This Row],[Ref_Module]]&amp;CompilDonnées[[#This Row],[HarvestingDate]]</f>
        <v>53145713</v>
      </c>
    </row>
    <row r="822" spans="1:16">
      <c r="A822" s="5">
        <v>45672</v>
      </c>
      <c r="B822">
        <v>47</v>
      </c>
      <c r="C822" t="s">
        <v>12</v>
      </c>
      <c r="D822">
        <v>1</v>
      </c>
      <c r="E822">
        <v>100</v>
      </c>
      <c r="F822" t="s">
        <v>1</v>
      </c>
      <c r="G822" s="6">
        <v>45714</v>
      </c>
      <c r="H822">
        <v>42</v>
      </c>
      <c r="I822">
        <f>ROUND(CompilDonnées[[#This Row],[CultureDuration_days]]/7,0)</f>
        <v>6</v>
      </c>
      <c r="J822">
        <v>2960</v>
      </c>
      <c r="K822" t="str">
        <f>_xlfn.CONCAT(WEEKNUM(CompilDonnées[[#This Row],[PlantationDate]]), " ", YEAR(CompilDonnées[[#This Row],[PlantationDate]]))</f>
        <v>3 2025</v>
      </c>
      <c r="L822" t="str">
        <f>CONCATENATE(MONTH(CompilDonnées[[#This Row],[PlantationDate]])," ", YEAR(CompilDonnées[[#This Row],[PlantationDate]]))</f>
        <v>1 2025</v>
      </c>
      <c r="M822" t="str">
        <f>CONCATENATE(MONTH(CompilDonnées[[#This Row],[HarvestingDate]])," ", YEAR(CompilDonnées[[#This Row],[HarvestingDate]]))</f>
        <v>2 2025</v>
      </c>
      <c r="N822">
        <f>_xlfn.NUMBERVALUE(CompilDonnées[[#This Row],[FarmID]]&amp;CompilDonnées[[#This Row],[ModuleNumber]]&amp;CompilDonnées[[#This Row],[PlantationDate]])</f>
        <v>47145672</v>
      </c>
      <c r="O822" t="str">
        <f>CompilDonnées[[#This Row],[FarmID]]&amp;CompilDonnées[[#This Row],[ModuleNumber]]</f>
        <v>471</v>
      </c>
      <c r="P822" t="str">
        <f>CompilDonnées[[#This Row],[Ref_Module]]&amp;CompilDonnées[[#This Row],[HarvestingDate]]</f>
        <v>47145714</v>
      </c>
    </row>
    <row r="823" spans="1:16">
      <c r="A823" s="5">
        <v>45672</v>
      </c>
      <c r="B823">
        <v>34</v>
      </c>
      <c r="C823" t="s">
        <v>68</v>
      </c>
      <c r="D823">
        <v>1</v>
      </c>
      <c r="E823">
        <v>100</v>
      </c>
      <c r="F823" t="s">
        <v>1</v>
      </c>
      <c r="G823" s="6">
        <v>45712</v>
      </c>
      <c r="H823">
        <v>40</v>
      </c>
      <c r="I823">
        <f>ROUND(CompilDonnées[[#This Row],[CultureDuration_days]]/7,0)</f>
        <v>6</v>
      </c>
      <c r="J823">
        <v>2574</v>
      </c>
      <c r="K823" t="str">
        <f>_xlfn.CONCAT(WEEKNUM(CompilDonnées[[#This Row],[PlantationDate]]), " ", YEAR(CompilDonnées[[#This Row],[PlantationDate]]))</f>
        <v>3 2025</v>
      </c>
      <c r="L823" t="str">
        <f>CONCATENATE(MONTH(CompilDonnées[[#This Row],[PlantationDate]])," ", YEAR(CompilDonnées[[#This Row],[PlantationDate]]))</f>
        <v>1 2025</v>
      </c>
      <c r="M823" t="str">
        <f>CONCATENATE(MONTH(CompilDonnées[[#This Row],[HarvestingDate]])," ", YEAR(CompilDonnées[[#This Row],[HarvestingDate]]))</f>
        <v>2 2025</v>
      </c>
      <c r="N823">
        <f>_xlfn.NUMBERVALUE(CompilDonnées[[#This Row],[FarmID]]&amp;CompilDonnées[[#This Row],[ModuleNumber]]&amp;CompilDonnées[[#This Row],[PlantationDate]])</f>
        <v>34145672</v>
      </c>
      <c r="O823" t="str">
        <f>CompilDonnées[[#This Row],[FarmID]]&amp;CompilDonnées[[#This Row],[ModuleNumber]]</f>
        <v>341</v>
      </c>
      <c r="P823" t="str">
        <f>CompilDonnées[[#This Row],[Ref_Module]]&amp;CompilDonnées[[#This Row],[HarvestingDate]]</f>
        <v>34145712</v>
      </c>
    </row>
    <row r="824" spans="1:16">
      <c r="A824" s="5">
        <v>45672</v>
      </c>
      <c r="B824">
        <v>28</v>
      </c>
      <c r="C824" t="s">
        <v>77</v>
      </c>
      <c r="D824">
        <v>1</v>
      </c>
      <c r="E824">
        <v>100</v>
      </c>
      <c r="F824" t="s">
        <v>1</v>
      </c>
      <c r="G824" s="6">
        <v>45712</v>
      </c>
      <c r="H824">
        <v>40</v>
      </c>
      <c r="I824">
        <f>ROUND(CompilDonnées[[#This Row],[CultureDuration_days]]/7,0)</f>
        <v>6</v>
      </c>
      <c r="J824">
        <v>2810</v>
      </c>
      <c r="K824" t="str">
        <f>_xlfn.CONCAT(WEEKNUM(CompilDonnées[[#This Row],[PlantationDate]]), " ", YEAR(CompilDonnées[[#This Row],[PlantationDate]]))</f>
        <v>3 2025</v>
      </c>
      <c r="L824" t="str">
        <f>CONCATENATE(MONTH(CompilDonnées[[#This Row],[PlantationDate]])," ", YEAR(CompilDonnées[[#This Row],[PlantationDate]]))</f>
        <v>1 2025</v>
      </c>
      <c r="M824" t="str">
        <f>CONCATENATE(MONTH(CompilDonnées[[#This Row],[HarvestingDate]])," ", YEAR(CompilDonnées[[#This Row],[HarvestingDate]]))</f>
        <v>2 2025</v>
      </c>
      <c r="N824">
        <f>_xlfn.NUMBERVALUE(CompilDonnées[[#This Row],[FarmID]]&amp;CompilDonnées[[#This Row],[ModuleNumber]]&amp;CompilDonnées[[#This Row],[PlantationDate]])</f>
        <v>28145672</v>
      </c>
      <c r="O824" t="str">
        <f>CompilDonnées[[#This Row],[FarmID]]&amp;CompilDonnées[[#This Row],[ModuleNumber]]</f>
        <v>281</v>
      </c>
      <c r="P824" t="str">
        <f>CompilDonnées[[#This Row],[Ref_Module]]&amp;CompilDonnées[[#This Row],[HarvestingDate]]</f>
        <v>28145712</v>
      </c>
    </row>
    <row r="825" spans="1:16">
      <c r="A825" s="5">
        <v>45672</v>
      </c>
      <c r="B825">
        <v>11</v>
      </c>
      <c r="C825" t="s">
        <v>106</v>
      </c>
      <c r="D825">
        <v>1</v>
      </c>
      <c r="E825">
        <v>100</v>
      </c>
      <c r="F825" t="s">
        <v>1</v>
      </c>
      <c r="G825" s="6">
        <v>45712</v>
      </c>
      <c r="H825">
        <v>40</v>
      </c>
      <c r="I825">
        <f>ROUND(CompilDonnées[[#This Row],[CultureDuration_days]]/7,0)</f>
        <v>6</v>
      </c>
      <c r="J825">
        <v>2076</v>
      </c>
      <c r="K825" t="str">
        <f>_xlfn.CONCAT(WEEKNUM(CompilDonnées[[#This Row],[PlantationDate]]), " ", YEAR(CompilDonnées[[#This Row],[PlantationDate]]))</f>
        <v>3 2025</v>
      </c>
      <c r="L825" t="str">
        <f>CONCATENATE(MONTH(CompilDonnées[[#This Row],[PlantationDate]])," ", YEAR(CompilDonnées[[#This Row],[PlantationDate]]))</f>
        <v>1 2025</v>
      </c>
      <c r="M825" t="str">
        <f>CONCATENATE(MONTH(CompilDonnées[[#This Row],[HarvestingDate]])," ", YEAR(CompilDonnées[[#This Row],[HarvestingDate]]))</f>
        <v>2 2025</v>
      </c>
      <c r="N825">
        <f>_xlfn.NUMBERVALUE(CompilDonnées[[#This Row],[FarmID]]&amp;CompilDonnées[[#This Row],[ModuleNumber]]&amp;CompilDonnées[[#This Row],[PlantationDate]])</f>
        <v>11145672</v>
      </c>
      <c r="O825" t="str">
        <f>CompilDonnées[[#This Row],[FarmID]]&amp;CompilDonnées[[#This Row],[ModuleNumber]]</f>
        <v>111</v>
      </c>
      <c r="P825" t="str">
        <f>CompilDonnées[[#This Row],[Ref_Module]]&amp;CompilDonnées[[#This Row],[HarvestingDate]]</f>
        <v>11145712</v>
      </c>
    </row>
    <row r="826" spans="1:16">
      <c r="A826" s="5">
        <v>45672</v>
      </c>
      <c r="B826">
        <v>11</v>
      </c>
      <c r="C826" t="s">
        <v>106</v>
      </c>
      <c r="D826">
        <v>2</v>
      </c>
      <c r="E826">
        <v>96</v>
      </c>
      <c r="F826" t="s">
        <v>1</v>
      </c>
      <c r="G826" s="6">
        <v>45712</v>
      </c>
      <c r="H826">
        <v>40</v>
      </c>
      <c r="I826">
        <f>ROUND(CompilDonnées[[#This Row],[CultureDuration_days]]/7,0)</f>
        <v>6</v>
      </c>
      <c r="J826">
        <v>2323</v>
      </c>
      <c r="K826" t="str">
        <f>_xlfn.CONCAT(WEEKNUM(CompilDonnées[[#This Row],[PlantationDate]]), " ", YEAR(CompilDonnées[[#This Row],[PlantationDate]]))</f>
        <v>3 2025</v>
      </c>
      <c r="L826" t="str">
        <f>CONCATENATE(MONTH(CompilDonnées[[#This Row],[PlantationDate]])," ", YEAR(CompilDonnées[[#This Row],[PlantationDate]]))</f>
        <v>1 2025</v>
      </c>
      <c r="M826" t="str">
        <f>CONCATENATE(MONTH(CompilDonnées[[#This Row],[HarvestingDate]])," ", YEAR(CompilDonnées[[#This Row],[HarvestingDate]]))</f>
        <v>2 2025</v>
      </c>
      <c r="N826">
        <f>_xlfn.NUMBERVALUE(CompilDonnées[[#This Row],[FarmID]]&amp;CompilDonnées[[#This Row],[ModuleNumber]]&amp;CompilDonnées[[#This Row],[PlantationDate]])</f>
        <v>11245672</v>
      </c>
      <c r="O826" t="str">
        <f>CompilDonnées[[#This Row],[FarmID]]&amp;CompilDonnées[[#This Row],[ModuleNumber]]</f>
        <v>112</v>
      </c>
      <c r="P826" t="str">
        <f>CompilDonnées[[#This Row],[Ref_Module]]&amp;CompilDonnées[[#This Row],[HarvestingDate]]</f>
        <v>11245712</v>
      </c>
    </row>
    <row r="827" spans="1:16">
      <c r="A827" s="5">
        <v>45672</v>
      </c>
      <c r="B827">
        <v>120</v>
      </c>
      <c r="C827" t="s">
        <v>100</v>
      </c>
      <c r="D827">
        <v>4</v>
      </c>
      <c r="E827">
        <v>100</v>
      </c>
      <c r="F827" t="s">
        <v>1</v>
      </c>
      <c r="G827" s="6">
        <v>45701</v>
      </c>
      <c r="H827">
        <v>29</v>
      </c>
      <c r="I827">
        <f>ROUND(CompilDonnées[[#This Row],[CultureDuration_days]]/7,0)</f>
        <v>4</v>
      </c>
      <c r="J827">
        <v>2540</v>
      </c>
      <c r="K827" t="str">
        <f>_xlfn.CONCAT(WEEKNUM(CompilDonnées[[#This Row],[PlantationDate]]), " ", YEAR(CompilDonnées[[#This Row],[PlantationDate]]))</f>
        <v>3 2025</v>
      </c>
      <c r="L827" t="str">
        <f>CONCATENATE(MONTH(CompilDonnées[[#This Row],[PlantationDate]])," ", YEAR(CompilDonnées[[#This Row],[PlantationDate]]))</f>
        <v>1 2025</v>
      </c>
      <c r="M827" t="str">
        <f>CONCATENATE(MONTH(CompilDonnées[[#This Row],[HarvestingDate]])," ", YEAR(CompilDonnées[[#This Row],[HarvestingDate]]))</f>
        <v>2 2025</v>
      </c>
      <c r="N827">
        <f>_xlfn.NUMBERVALUE(CompilDonnées[[#This Row],[FarmID]]&amp;CompilDonnées[[#This Row],[ModuleNumber]]&amp;CompilDonnées[[#This Row],[PlantationDate]])</f>
        <v>120445672</v>
      </c>
      <c r="O827" t="str">
        <f>CompilDonnées[[#This Row],[FarmID]]&amp;CompilDonnées[[#This Row],[ModuleNumber]]</f>
        <v>1204</v>
      </c>
      <c r="P827" t="str">
        <f>CompilDonnées[[#This Row],[Ref_Module]]&amp;CompilDonnées[[#This Row],[HarvestingDate]]</f>
        <v>120445701</v>
      </c>
    </row>
    <row r="828" spans="1:16">
      <c r="A828" s="5">
        <v>45672</v>
      </c>
      <c r="B828">
        <v>140</v>
      </c>
      <c r="C828" t="s">
        <v>96</v>
      </c>
      <c r="D828">
        <v>4</v>
      </c>
      <c r="E828">
        <v>100</v>
      </c>
      <c r="F828" t="s">
        <v>1</v>
      </c>
      <c r="G828" s="6">
        <v>45716</v>
      </c>
      <c r="H828">
        <v>44</v>
      </c>
      <c r="I828">
        <f>ROUND(CompilDonnées[[#This Row],[CultureDuration_days]]/7,0)</f>
        <v>6</v>
      </c>
      <c r="J828">
        <v>2875</v>
      </c>
      <c r="K828" t="str">
        <f>_xlfn.CONCAT(WEEKNUM(CompilDonnées[[#This Row],[PlantationDate]]), " ", YEAR(CompilDonnées[[#This Row],[PlantationDate]]))</f>
        <v>3 2025</v>
      </c>
      <c r="L828" t="str">
        <f>CONCATENATE(MONTH(CompilDonnées[[#This Row],[PlantationDate]])," ", YEAR(CompilDonnées[[#This Row],[PlantationDate]]))</f>
        <v>1 2025</v>
      </c>
      <c r="M828" t="str">
        <f>CONCATENATE(MONTH(CompilDonnées[[#This Row],[HarvestingDate]])," ", YEAR(CompilDonnées[[#This Row],[HarvestingDate]]))</f>
        <v>2 2025</v>
      </c>
      <c r="N828">
        <f>_xlfn.NUMBERVALUE(CompilDonnées[[#This Row],[FarmID]]&amp;CompilDonnées[[#This Row],[ModuleNumber]]&amp;CompilDonnées[[#This Row],[PlantationDate]])</f>
        <v>140445672</v>
      </c>
      <c r="O828" t="str">
        <f>CompilDonnées[[#This Row],[FarmID]]&amp;CompilDonnées[[#This Row],[ModuleNumber]]</f>
        <v>1404</v>
      </c>
      <c r="P828" t="str">
        <f>CompilDonnées[[#This Row],[Ref_Module]]&amp;CompilDonnées[[#This Row],[HarvestingDate]]</f>
        <v>140445716</v>
      </c>
    </row>
    <row r="829" spans="1:16">
      <c r="A829" s="5">
        <v>45672</v>
      </c>
      <c r="B829">
        <v>124</v>
      </c>
      <c r="C829" t="s">
        <v>115</v>
      </c>
      <c r="D829">
        <v>3</v>
      </c>
      <c r="E829">
        <v>100</v>
      </c>
      <c r="F829" t="s">
        <v>1</v>
      </c>
      <c r="G829" s="6">
        <v>45719</v>
      </c>
      <c r="H829">
        <v>47</v>
      </c>
      <c r="I829">
        <f>ROUND(CompilDonnées[[#This Row],[CultureDuration_days]]/7,0)</f>
        <v>7</v>
      </c>
      <c r="J829">
        <v>3718</v>
      </c>
      <c r="K829" t="str">
        <f>_xlfn.CONCAT(WEEKNUM(CompilDonnées[[#This Row],[PlantationDate]]), " ", YEAR(CompilDonnées[[#This Row],[PlantationDate]]))</f>
        <v>3 2025</v>
      </c>
      <c r="L829" t="str">
        <f>CONCATENATE(MONTH(CompilDonnées[[#This Row],[PlantationDate]])," ", YEAR(CompilDonnées[[#This Row],[PlantationDate]]))</f>
        <v>1 2025</v>
      </c>
      <c r="M829" t="str">
        <f>CONCATENATE(MONTH(CompilDonnées[[#This Row],[HarvestingDate]])," ", YEAR(CompilDonnées[[#This Row],[HarvestingDate]]))</f>
        <v>3 2025</v>
      </c>
      <c r="N829">
        <f>_xlfn.NUMBERVALUE(CompilDonnées[[#This Row],[FarmID]]&amp;CompilDonnées[[#This Row],[ModuleNumber]]&amp;CompilDonnées[[#This Row],[PlantationDate]])</f>
        <v>124345672</v>
      </c>
      <c r="O829" t="str">
        <f>CompilDonnées[[#This Row],[FarmID]]&amp;CompilDonnées[[#This Row],[ModuleNumber]]</f>
        <v>1243</v>
      </c>
      <c r="P829" t="str">
        <f>CompilDonnées[[#This Row],[Ref_Module]]&amp;CompilDonnées[[#This Row],[HarvestingDate]]</f>
        <v>124345719</v>
      </c>
    </row>
    <row r="830" spans="1:16">
      <c r="A830" s="5">
        <v>45672</v>
      </c>
      <c r="B830">
        <v>125</v>
      </c>
      <c r="C830" t="s">
        <v>101</v>
      </c>
      <c r="D830">
        <v>2</v>
      </c>
      <c r="E830">
        <v>100</v>
      </c>
      <c r="F830" t="s">
        <v>1</v>
      </c>
      <c r="G830" s="6">
        <v>45716</v>
      </c>
      <c r="H830">
        <v>44</v>
      </c>
      <c r="I830">
        <f>ROUND(CompilDonnées[[#This Row],[CultureDuration_days]]/7,0)</f>
        <v>6</v>
      </c>
      <c r="J830">
        <v>2714</v>
      </c>
      <c r="K830" t="str">
        <f>_xlfn.CONCAT(WEEKNUM(CompilDonnées[[#This Row],[PlantationDate]]), " ", YEAR(CompilDonnées[[#This Row],[PlantationDate]]))</f>
        <v>3 2025</v>
      </c>
      <c r="L830" t="str">
        <f>CONCATENATE(MONTH(CompilDonnées[[#This Row],[PlantationDate]])," ", YEAR(CompilDonnées[[#This Row],[PlantationDate]]))</f>
        <v>1 2025</v>
      </c>
      <c r="M830" t="str">
        <f>CONCATENATE(MONTH(CompilDonnées[[#This Row],[HarvestingDate]])," ", YEAR(CompilDonnées[[#This Row],[HarvestingDate]]))</f>
        <v>2 2025</v>
      </c>
      <c r="N830">
        <f>_xlfn.NUMBERVALUE(CompilDonnées[[#This Row],[FarmID]]&amp;CompilDonnées[[#This Row],[ModuleNumber]]&amp;CompilDonnées[[#This Row],[PlantationDate]])</f>
        <v>125245672</v>
      </c>
      <c r="O830" t="str">
        <f>CompilDonnées[[#This Row],[FarmID]]&amp;CompilDonnées[[#This Row],[ModuleNumber]]</f>
        <v>1252</v>
      </c>
      <c r="P830" t="str">
        <f>CompilDonnées[[#This Row],[Ref_Module]]&amp;CompilDonnées[[#This Row],[HarvestingDate]]</f>
        <v>125245716</v>
      </c>
    </row>
    <row r="831" spans="1:16">
      <c r="A831" s="5">
        <v>45672</v>
      </c>
      <c r="B831">
        <v>125</v>
      </c>
      <c r="C831" t="s">
        <v>101</v>
      </c>
      <c r="D831">
        <v>6</v>
      </c>
      <c r="E831">
        <v>100</v>
      </c>
      <c r="F831" t="s">
        <v>1</v>
      </c>
      <c r="G831" s="6">
        <v>45716</v>
      </c>
      <c r="H831">
        <v>44</v>
      </c>
      <c r="I831">
        <f>ROUND(CompilDonnées[[#This Row],[CultureDuration_days]]/7,0)</f>
        <v>6</v>
      </c>
      <c r="J831">
        <v>2738</v>
      </c>
      <c r="K831" t="str">
        <f>_xlfn.CONCAT(WEEKNUM(CompilDonnées[[#This Row],[PlantationDate]]), " ", YEAR(CompilDonnées[[#This Row],[PlantationDate]]))</f>
        <v>3 2025</v>
      </c>
      <c r="L831" t="str">
        <f>CONCATENATE(MONTH(CompilDonnées[[#This Row],[PlantationDate]])," ", YEAR(CompilDonnées[[#This Row],[PlantationDate]]))</f>
        <v>1 2025</v>
      </c>
      <c r="M831" t="str">
        <f>CONCATENATE(MONTH(CompilDonnées[[#This Row],[HarvestingDate]])," ", YEAR(CompilDonnées[[#This Row],[HarvestingDate]]))</f>
        <v>2 2025</v>
      </c>
      <c r="N831">
        <f>_xlfn.NUMBERVALUE(CompilDonnées[[#This Row],[FarmID]]&amp;CompilDonnées[[#This Row],[ModuleNumber]]&amp;CompilDonnées[[#This Row],[PlantationDate]])</f>
        <v>125645672</v>
      </c>
      <c r="O831" t="str">
        <f>CompilDonnées[[#This Row],[FarmID]]&amp;CompilDonnées[[#This Row],[ModuleNumber]]</f>
        <v>1256</v>
      </c>
      <c r="P831" t="str">
        <f>CompilDonnées[[#This Row],[Ref_Module]]&amp;CompilDonnées[[#This Row],[HarvestingDate]]</f>
        <v>125645716</v>
      </c>
    </row>
    <row r="832" spans="1:16">
      <c r="A832" s="5">
        <v>45672</v>
      </c>
      <c r="B832">
        <v>133</v>
      </c>
      <c r="C832" t="s">
        <v>99</v>
      </c>
      <c r="D832">
        <v>2</v>
      </c>
      <c r="E832">
        <v>100</v>
      </c>
      <c r="F832" t="s">
        <v>1</v>
      </c>
      <c r="G832" s="6">
        <v>45716</v>
      </c>
      <c r="H832">
        <v>44</v>
      </c>
      <c r="I832">
        <f>ROUND(CompilDonnées[[#This Row],[CultureDuration_days]]/7,0)</f>
        <v>6</v>
      </c>
      <c r="J832">
        <v>2589</v>
      </c>
      <c r="K832" t="str">
        <f>_xlfn.CONCAT(WEEKNUM(CompilDonnées[[#This Row],[PlantationDate]]), " ", YEAR(CompilDonnées[[#This Row],[PlantationDate]]))</f>
        <v>3 2025</v>
      </c>
      <c r="L832" t="str">
        <f>CONCATENATE(MONTH(CompilDonnées[[#This Row],[PlantationDate]])," ", YEAR(CompilDonnées[[#This Row],[PlantationDate]]))</f>
        <v>1 2025</v>
      </c>
      <c r="M832" t="str">
        <f>CONCATENATE(MONTH(CompilDonnées[[#This Row],[HarvestingDate]])," ", YEAR(CompilDonnées[[#This Row],[HarvestingDate]]))</f>
        <v>2 2025</v>
      </c>
      <c r="N832">
        <f>_xlfn.NUMBERVALUE(CompilDonnées[[#This Row],[FarmID]]&amp;CompilDonnées[[#This Row],[ModuleNumber]]&amp;CompilDonnées[[#This Row],[PlantationDate]])</f>
        <v>133245672</v>
      </c>
      <c r="O832" t="str">
        <f>CompilDonnées[[#This Row],[FarmID]]&amp;CompilDonnées[[#This Row],[ModuleNumber]]</f>
        <v>1332</v>
      </c>
      <c r="P832" t="str">
        <f>CompilDonnées[[#This Row],[Ref_Module]]&amp;CompilDonnées[[#This Row],[HarvestingDate]]</f>
        <v>133245716</v>
      </c>
    </row>
    <row r="833" spans="1:16">
      <c r="A833" s="5">
        <v>45672</v>
      </c>
      <c r="B833">
        <v>81</v>
      </c>
      <c r="C833" t="s">
        <v>30</v>
      </c>
      <c r="D833">
        <v>3</v>
      </c>
      <c r="E833">
        <v>100</v>
      </c>
      <c r="F833" t="s">
        <v>1</v>
      </c>
      <c r="G833" s="6">
        <v>45714</v>
      </c>
      <c r="H833">
        <v>42</v>
      </c>
      <c r="I833">
        <f>ROUND(CompilDonnées[[#This Row],[CultureDuration_days]]/7,0)</f>
        <v>6</v>
      </c>
      <c r="J833">
        <v>3962</v>
      </c>
      <c r="K833" t="str">
        <f>_xlfn.CONCAT(WEEKNUM(CompilDonnées[[#This Row],[PlantationDate]]), " ", YEAR(CompilDonnées[[#This Row],[PlantationDate]]))</f>
        <v>3 2025</v>
      </c>
      <c r="L833" t="str">
        <f>CONCATENATE(MONTH(CompilDonnées[[#This Row],[PlantationDate]])," ", YEAR(CompilDonnées[[#This Row],[PlantationDate]]))</f>
        <v>1 2025</v>
      </c>
      <c r="M833" t="str">
        <f>CONCATENATE(MONTH(CompilDonnées[[#This Row],[HarvestingDate]])," ", YEAR(CompilDonnées[[#This Row],[HarvestingDate]]))</f>
        <v>2 2025</v>
      </c>
      <c r="N833">
        <f>_xlfn.NUMBERVALUE(CompilDonnées[[#This Row],[FarmID]]&amp;CompilDonnées[[#This Row],[ModuleNumber]]&amp;CompilDonnées[[#This Row],[PlantationDate]])</f>
        <v>81345672</v>
      </c>
      <c r="O833" t="str">
        <f>CompilDonnées[[#This Row],[FarmID]]&amp;CompilDonnées[[#This Row],[ModuleNumber]]</f>
        <v>813</v>
      </c>
      <c r="P833" t="str">
        <f>CompilDonnées[[#This Row],[Ref_Module]]&amp;CompilDonnées[[#This Row],[HarvestingDate]]</f>
        <v>81345714</v>
      </c>
    </row>
    <row r="834" spans="1:16">
      <c r="A834" s="5">
        <v>45672</v>
      </c>
      <c r="B834">
        <v>79</v>
      </c>
      <c r="C834" t="s">
        <v>61</v>
      </c>
      <c r="D834">
        <v>6</v>
      </c>
      <c r="E834">
        <v>100</v>
      </c>
      <c r="F834" t="s">
        <v>1</v>
      </c>
      <c r="G834" s="6">
        <v>45714</v>
      </c>
      <c r="H834">
        <v>42</v>
      </c>
      <c r="I834">
        <f>ROUND(CompilDonnées[[#This Row],[CultureDuration_days]]/7,0)</f>
        <v>6</v>
      </c>
      <c r="J834">
        <v>2888</v>
      </c>
      <c r="K834" t="str">
        <f>_xlfn.CONCAT(WEEKNUM(CompilDonnées[[#This Row],[PlantationDate]]), " ", YEAR(CompilDonnées[[#This Row],[PlantationDate]]))</f>
        <v>3 2025</v>
      </c>
      <c r="L834" t="str">
        <f>CONCATENATE(MONTH(CompilDonnées[[#This Row],[PlantationDate]])," ", YEAR(CompilDonnées[[#This Row],[PlantationDate]]))</f>
        <v>1 2025</v>
      </c>
      <c r="M834" t="str">
        <f>CONCATENATE(MONTH(CompilDonnées[[#This Row],[HarvestingDate]])," ", YEAR(CompilDonnées[[#This Row],[HarvestingDate]]))</f>
        <v>2 2025</v>
      </c>
      <c r="N834">
        <f>_xlfn.NUMBERVALUE(CompilDonnées[[#This Row],[FarmID]]&amp;CompilDonnées[[#This Row],[ModuleNumber]]&amp;CompilDonnées[[#This Row],[PlantationDate]])</f>
        <v>79645672</v>
      </c>
      <c r="O834" t="str">
        <f>CompilDonnées[[#This Row],[FarmID]]&amp;CompilDonnées[[#This Row],[ModuleNumber]]</f>
        <v>796</v>
      </c>
      <c r="P834" t="str">
        <f>CompilDonnées[[#This Row],[Ref_Module]]&amp;CompilDonnées[[#This Row],[HarvestingDate]]</f>
        <v>79645714</v>
      </c>
    </row>
    <row r="835" spans="1:16">
      <c r="A835" s="5">
        <v>45672</v>
      </c>
      <c r="B835">
        <v>74</v>
      </c>
      <c r="C835" t="s">
        <v>21</v>
      </c>
      <c r="D835">
        <v>2</v>
      </c>
      <c r="E835">
        <v>100</v>
      </c>
      <c r="F835" t="s">
        <v>1</v>
      </c>
      <c r="G835" s="6">
        <v>45716</v>
      </c>
      <c r="H835">
        <v>44</v>
      </c>
      <c r="I835">
        <f>ROUND(CompilDonnées[[#This Row],[CultureDuration_days]]/7,0)</f>
        <v>6</v>
      </c>
      <c r="J835">
        <v>3015</v>
      </c>
      <c r="K835" t="str">
        <f>_xlfn.CONCAT(WEEKNUM(CompilDonnées[[#This Row],[PlantationDate]]), " ", YEAR(CompilDonnées[[#This Row],[PlantationDate]]))</f>
        <v>3 2025</v>
      </c>
      <c r="L835" t="str">
        <f>CONCATENATE(MONTH(CompilDonnées[[#This Row],[PlantationDate]])," ", YEAR(CompilDonnées[[#This Row],[PlantationDate]]))</f>
        <v>1 2025</v>
      </c>
      <c r="M835" t="str">
        <f>CONCATENATE(MONTH(CompilDonnées[[#This Row],[HarvestingDate]])," ", YEAR(CompilDonnées[[#This Row],[HarvestingDate]]))</f>
        <v>2 2025</v>
      </c>
      <c r="N835">
        <f>_xlfn.NUMBERVALUE(CompilDonnées[[#This Row],[FarmID]]&amp;CompilDonnées[[#This Row],[ModuleNumber]]&amp;CompilDonnées[[#This Row],[PlantationDate]])</f>
        <v>74245672</v>
      </c>
      <c r="O835" t="str">
        <f>CompilDonnées[[#This Row],[FarmID]]&amp;CompilDonnées[[#This Row],[ModuleNumber]]</f>
        <v>742</v>
      </c>
      <c r="P835" t="str">
        <f>CompilDonnées[[#This Row],[Ref_Module]]&amp;CompilDonnées[[#This Row],[HarvestingDate]]</f>
        <v>74245716</v>
      </c>
    </row>
    <row r="836" spans="1:16">
      <c r="A836" s="5">
        <v>45672</v>
      </c>
      <c r="B836">
        <v>73</v>
      </c>
      <c r="C836" t="s">
        <v>20</v>
      </c>
      <c r="D836">
        <v>1</v>
      </c>
      <c r="E836">
        <v>100</v>
      </c>
      <c r="F836" t="s">
        <v>1</v>
      </c>
      <c r="G836" s="6">
        <v>45714</v>
      </c>
      <c r="H836">
        <v>42</v>
      </c>
      <c r="I836">
        <f>ROUND(CompilDonnées[[#This Row],[CultureDuration_days]]/7,0)</f>
        <v>6</v>
      </c>
      <c r="J836">
        <v>2872</v>
      </c>
      <c r="K836" t="str">
        <f>_xlfn.CONCAT(WEEKNUM(CompilDonnées[[#This Row],[PlantationDate]]), " ", YEAR(CompilDonnées[[#This Row],[PlantationDate]]))</f>
        <v>3 2025</v>
      </c>
      <c r="L836" t="str">
        <f>CONCATENATE(MONTH(CompilDonnées[[#This Row],[PlantationDate]])," ", YEAR(CompilDonnées[[#This Row],[PlantationDate]]))</f>
        <v>1 2025</v>
      </c>
      <c r="M836" t="str">
        <f>CONCATENATE(MONTH(CompilDonnées[[#This Row],[HarvestingDate]])," ", YEAR(CompilDonnées[[#This Row],[HarvestingDate]]))</f>
        <v>2 2025</v>
      </c>
      <c r="N836">
        <f>_xlfn.NUMBERVALUE(CompilDonnées[[#This Row],[FarmID]]&amp;CompilDonnées[[#This Row],[ModuleNumber]]&amp;CompilDonnées[[#This Row],[PlantationDate]])</f>
        <v>73145672</v>
      </c>
      <c r="O836" t="str">
        <f>CompilDonnées[[#This Row],[FarmID]]&amp;CompilDonnées[[#This Row],[ModuleNumber]]</f>
        <v>731</v>
      </c>
      <c r="P836" t="str">
        <f>CompilDonnées[[#This Row],[Ref_Module]]&amp;CompilDonnées[[#This Row],[HarvestingDate]]</f>
        <v>73145714</v>
      </c>
    </row>
    <row r="837" spans="1:16">
      <c r="A837" s="5">
        <v>45672</v>
      </c>
      <c r="B837">
        <v>72</v>
      </c>
      <c r="C837" t="s">
        <v>49</v>
      </c>
      <c r="D837">
        <v>6</v>
      </c>
      <c r="E837">
        <v>100</v>
      </c>
      <c r="F837" t="s">
        <v>1</v>
      </c>
      <c r="G837" s="6">
        <v>45714</v>
      </c>
      <c r="H837">
        <v>42</v>
      </c>
      <c r="I837">
        <f>ROUND(CompilDonnées[[#This Row],[CultureDuration_days]]/7,0)</f>
        <v>6</v>
      </c>
      <c r="J837">
        <v>3672</v>
      </c>
      <c r="K837" t="str">
        <f>_xlfn.CONCAT(WEEKNUM(CompilDonnées[[#This Row],[PlantationDate]]), " ", YEAR(CompilDonnées[[#This Row],[PlantationDate]]))</f>
        <v>3 2025</v>
      </c>
      <c r="L837" t="str">
        <f>CONCATENATE(MONTH(CompilDonnées[[#This Row],[PlantationDate]])," ", YEAR(CompilDonnées[[#This Row],[PlantationDate]]))</f>
        <v>1 2025</v>
      </c>
      <c r="M837" t="str">
        <f>CONCATENATE(MONTH(CompilDonnées[[#This Row],[HarvestingDate]])," ", YEAR(CompilDonnées[[#This Row],[HarvestingDate]]))</f>
        <v>2 2025</v>
      </c>
      <c r="N837">
        <f>_xlfn.NUMBERVALUE(CompilDonnées[[#This Row],[FarmID]]&amp;CompilDonnées[[#This Row],[ModuleNumber]]&amp;CompilDonnées[[#This Row],[PlantationDate]])</f>
        <v>72645672</v>
      </c>
      <c r="O837" t="str">
        <f>CompilDonnées[[#This Row],[FarmID]]&amp;CompilDonnées[[#This Row],[ModuleNumber]]</f>
        <v>726</v>
      </c>
      <c r="P837" t="str">
        <f>CompilDonnées[[#This Row],[Ref_Module]]&amp;CompilDonnées[[#This Row],[HarvestingDate]]</f>
        <v>72645714</v>
      </c>
    </row>
    <row r="838" spans="1:16">
      <c r="A838" s="5">
        <v>45672</v>
      </c>
      <c r="B838">
        <v>66</v>
      </c>
      <c r="C838" t="s">
        <v>48</v>
      </c>
      <c r="D838">
        <v>4</v>
      </c>
      <c r="E838">
        <v>100</v>
      </c>
      <c r="F838" t="s">
        <v>1</v>
      </c>
      <c r="G838" s="6">
        <v>45714</v>
      </c>
      <c r="H838">
        <v>42</v>
      </c>
      <c r="I838">
        <f>ROUND(CompilDonnées[[#This Row],[CultureDuration_days]]/7,0)</f>
        <v>6</v>
      </c>
      <c r="J838">
        <v>2728</v>
      </c>
      <c r="K838" t="str">
        <f>_xlfn.CONCAT(WEEKNUM(CompilDonnées[[#This Row],[PlantationDate]]), " ", YEAR(CompilDonnées[[#This Row],[PlantationDate]]))</f>
        <v>3 2025</v>
      </c>
      <c r="L838" t="str">
        <f>CONCATENATE(MONTH(CompilDonnées[[#This Row],[PlantationDate]])," ", YEAR(CompilDonnées[[#This Row],[PlantationDate]]))</f>
        <v>1 2025</v>
      </c>
      <c r="M838" t="str">
        <f>CONCATENATE(MONTH(CompilDonnées[[#This Row],[HarvestingDate]])," ", YEAR(CompilDonnées[[#This Row],[HarvestingDate]]))</f>
        <v>2 2025</v>
      </c>
      <c r="N838">
        <f>_xlfn.NUMBERVALUE(CompilDonnées[[#This Row],[FarmID]]&amp;CompilDonnées[[#This Row],[ModuleNumber]]&amp;CompilDonnées[[#This Row],[PlantationDate]])</f>
        <v>66445672</v>
      </c>
      <c r="O838" t="str">
        <f>CompilDonnées[[#This Row],[FarmID]]&amp;CompilDonnées[[#This Row],[ModuleNumber]]</f>
        <v>664</v>
      </c>
      <c r="P838" t="str">
        <f>CompilDonnées[[#This Row],[Ref_Module]]&amp;CompilDonnées[[#This Row],[HarvestingDate]]</f>
        <v>66445714</v>
      </c>
    </row>
    <row r="839" spans="1:16">
      <c r="A839" s="5">
        <v>45672</v>
      </c>
      <c r="B839">
        <v>71</v>
      </c>
      <c r="C839" t="s">
        <v>19</v>
      </c>
      <c r="D839">
        <v>6</v>
      </c>
      <c r="E839">
        <v>100</v>
      </c>
      <c r="F839" t="s">
        <v>1</v>
      </c>
      <c r="G839" s="6">
        <v>45715</v>
      </c>
      <c r="H839">
        <v>43</v>
      </c>
      <c r="I839">
        <f>ROUND(CompilDonnées[[#This Row],[CultureDuration_days]]/7,0)</f>
        <v>6</v>
      </c>
      <c r="J839">
        <v>2972</v>
      </c>
      <c r="K839" t="str">
        <f>_xlfn.CONCAT(WEEKNUM(CompilDonnées[[#This Row],[PlantationDate]]), " ", YEAR(CompilDonnées[[#This Row],[PlantationDate]]))</f>
        <v>3 2025</v>
      </c>
      <c r="L839" t="str">
        <f>CONCATENATE(MONTH(CompilDonnées[[#This Row],[PlantationDate]])," ", YEAR(CompilDonnées[[#This Row],[PlantationDate]]))</f>
        <v>1 2025</v>
      </c>
      <c r="M839" t="str">
        <f>CONCATENATE(MONTH(CompilDonnées[[#This Row],[HarvestingDate]])," ", YEAR(CompilDonnées[[#This Row],[HarvestingDate]]))</f>
        <v>2 2025</v>
      </c>
      <c r="N839">
        <f>_xlfn.NUMBERVALUE(CompilDonnées[[#This Row],[FarmID]]&amp;CompilDonnées[[#This Row],[ModuleNumber]]&amp;CompilDonnées[[#This Row],[PlantationDate]])</f>
        <v>71645672</v>
      </c>
      <c r="O839" t="str">
        <f>CompilDonnées[[#This Row],[FarmID]]&amp;CompilDonnées[[#This Row],[ModuleNumber]]</f>
        <v>716</v>
      </c>
      <c r="P839" t="str">
        <f>CompilDonnées[[#This Row],[Ref_Module]]&amp;CompilDonnées[[#This Row],[HarvestingDate]]</f>
        <v>71645715</v>
      </c>
    </row>
    <row r="840" spans="1:16">
      <c r="A840" s="5">
        <v>45672</v>
      </c>
      <c r="B840">
        <v>77</v>
      </c>
      <c r="C840" t="s">
        <v>75</v>
      </c>
      <c r="D840">
        <v>2</v>
      </c>
      <c r="E840">
        <v>100</v>
      </c>
      <c r="F840" t="s">
        <v>1</v>
      </c>
      <c r="G840" s="6">
        <v>45720</v>
      </c>
      <c r="H840">
        <v>48</v>
      </c>
      <c r="I840">
        <f>ROUND(CompilDonnées[[#This Row],[CultureDuration_days]]/7,0)</f>
        <v>7</v>
      </c>
      <c r="J840">
        <v>3305</v>
      </c>
      <c r="K840" t="str">
        <f>_xlfn.CONCAT(WEEKNUM(CompilDonnées[[#This Row],[PlantationDate]]), " ", YEAR(CompilDonnées[[#This Row],[PlantationDate]]))</f>
        <v>3 2025</v>
      </c>
      <c r="L840" t="str">
        <f>CONCATENATE(MONTH(CompilDonnées[[#This Row],[PlantationDate]])," ", YEAR(CompilDonnées[[#This Row],[PlantationDate]]))</f>
        <v>1 2025</v>
      </c>
      <c r="M840" t="str">
        <f>CONCATENATE(MONTH(CompilDonnées[[#This Row],[HarvestingDate]])," ", YEAR(CompilDonnées[[#This Row],[HarvestingDate]]))</f>
        <v>3 2025</v>
      </c>
      <c r="N840">
        <f>_xlfn.NUMBERVALUE(CompilDonnées[[#This Row],[FarmID]]&amp;CompilDonnées[[#This Row],[ModuleNumber]]&amp;CompilDonnées[[#This Row],[PlantationDate]])</f>
        <v>77245672</v>
      </c>
      <c r="O840" t="str">
        <f>CompilDonnées[[#This Row],[FarmID]]&amp;CompilDonnées[[#This Row],[ModuleNumber]]</f>
        <v>772</v>
      </c>
      <c r="P840" t="str">
        <f>CompilDonnées[[#This Row],[Ref_Module]]&amp;CompilDonnées[[#This Row],[HarvestingDate]]</f>
        <v>77245720</v>
      </c>
    </row>
    <row r="841" spans="1:16">
      <c r="A841" s="5">
        <v>45672</v>
      </c>
      <c r="B841">
        <v>64</v>
      </c>
      <c r="C841" t="s">
        <v>47</v>
      </c>
      <c r="D841">
        <v>6</v>
      </c>
      <c r="E841">
        <v>100</v>
      </c>
      <c r="F841" t="s">
        <v>1</v>
      </c>
      <c r="G841" s="6">
        <v>45714</v>
      </c>
      <c r="H841">
        <v>42</v>
      </c>
      <c r="I841">
        <f>ROUND(CompilDonnées[[#This Row],[CultureDuration_days]]/7,0)</f>
        <v>6</v>
      </c>
      <c r="J841">
        <v>3152</v>
      </c>
      <c r="K841" t="str">
        <f>_xlfn.CONCAT(WEEKNUM(CompilDonnées[[#This Row],[PlantationDate]]), " ", YEAR(CompilDonnées[[#This Row],[PlantationDate]]))</f>
        <v>3 2025</v>
      </c>
      <c r="L841" t="str">
        <f>CONCATENATE(MONTH(CompilDonnées[[#This Row],[PlantationDate]])," ", YEAR(CompilDonnées[[#This Row],[PlantationDate]]))</f>
        <v>1 2025</v>
      </c>
      <c r="M841" t="str">
        <f>CONCATENATE(MONTH(CompilDonnées[[#This Row],[HarvestingDate]])," ", YEAR(CompilDonnées[[#This Row],[HarvestingDate]]))</f>
        <v>2 2025</v>
      </c>
      <c r="N841">
        <f>_xlfn.NUMBERVALUE(CompilDonnées[[#This Row],[FarmID]]&amp;CompilDonnées[[#This Row],[ModuleNumber]]&amp;CompilDonnées[[#This Row],[PlantationDate]])</f>
        <v>64645672</v>
      </c>
      <c r="O841" t="str">
        <f>CompilDonnées[[#This Row],[FarmID]]&amp;CompilDonnées[[#This Row],[ModuleNumber]]</f>
        <v>646</v>
      </c>
      <c r="P841" t="str">
        <f>CompilDonnées[[#This Row],[Ref_Module]]&amp;CompilDonnées[[#This Row],[HarvestingDate]]</f>
        <v>64645714</v>
      </c>
    </row>
    <row r="842" spans="1:16">
      <c r="A842" s="5">
        <v>45672</v>
      </c>
      <c r="B842">
        <v>64</v>
      </c>
      <c r="C842" t="s">
        <v>47</v>
      </c>
      <c r="D842">
        <v>5</v>
      </c>
      <c r="E842">
        <v>100</v>
      </c>
      <c r="F842" t="s">
        <v>1</v>
      </c>
      <c r="G842" s="6">
        <v>45714</v>
      </c>
      <c r="H842">
        <v>42</v>
      </c>
      <c r="I842">
        <f>ROUND(CompilDonnées[[#This Row],[CultureDuration_days]]/7,0)</f>
        <v>6</v>
      </c>
      <c r="J842">
        <v>3152</v>
      </c>
      <c r="K842" t="str">
        <f>_xlfn.CONCAT(WEEKNUM(CompilDonnées[[#This Row],[PlantationDate]]), " ", YEAR(CompilDonnées[[#This Row],[PlantationDate]]))</f>
        <v>3 2025</v>
      </c>
      <c r="L842" t="str">
        <f>CONCATENATE(MONTH(CompilDonnées[[#This Row],[PlantationDate]])," ", YEAR(CompilDonnées[[#This Row],[PlantationDate]]))</f>
        <v>1 2025</v>
      </c>
      <c r="M842" t="str">
        <f>CONCATENATE(MONTH(CompilDonnées[[#This Row],[HarvestingDate]])," ", YEAR(CompilDonnées[[#This Row],[HarvestingDate]]))</f>
        <v>2 2025</v>
      </c>
      <c r="N842">
        <f>_xlfn.NUMBERVALUE(CompilDonnées[[#This Row],[FarmID]]&amp;CompilDonnées[[#This Row],[ModuleNumber]]&amp;CompilDonnées[[#This Row],[PlantationDate]])</f>
        <v>64545672</v>
      </c>
      <c r="O842" t="str">
        <f>CompilDonnées[[#This Row],[FarmID]]&amp;CompilDonnées[[#This Row],[ModuleNumber]]</f>
        <v>645</v>
      </c>
      <c r="P842" t="str">
        <f>CompilDonnées[[#This Row],[Ref_Module]]&amp;CompilDonnées[[#This Row],[HarvestingDate]]</f>
        <v>64545714</v>
      </c>
    </row>
    <row r="843" spans="1:16">
      <c r="A843" s="5">
        <v>45672</v>
      </c>
      <c r="B843">
        <v>65</v>
      </c>
      <c r="C843" t="s">
        <v>36</v>
      </c>
      <c r="D843">
        <v>4</v>
      </c>
      <c r="E843">
        <v>100</v>
      </c>
      <c r="F843" t="s">
        <v>1</v>
      </c>
      <c r="G843" s="6">
        <v>45714</v>
      </c>
      <c r="H843">
        <v>42</v>
      </c>
      <c r="I843">
        <f>ROUND(CompilDonnées[[#This Row],[CultureDuration_days]]/7,0)</f>
        <v>6</v>
      </c>
      <c r="J843">
        <v>3128</v>
      </c>
      <c r="K843" t="str">
        <f>_xlfn.CONCAT(WEEKNUM(CompilDonnées[[#This Row],[PlantationDate]]), " ", YEAR(CompilDonnées[[#This Row],[PlantationDate]]))</f>
        <v>3 2025</v>
      </c>
      <c r="L843" t="str">
        <f>CONCATENATE(MONTH(CompilDonnées[[#This Row],[PlantationDate]])," ", YEAR(CompilDonnées[[#This Row],[PlantationDate]]))</f>
        <v>1 2025</v>
      </c>
      <c r="M843" t="str">
        <f>CONCATENATE(MONTH(CompilDonnées[[#This Row],[HarvestingDate]])," ", YEAR(CompilDonnées[[#This Row],[HarvestingDate]]))</f>
        <v>2 2025</v>
      </c>
      <c r="N843">
        <f>_xlfn.NUMBERVALUE(CompilDonnées[[#This Row],[FarmID]]&amp;CompilDonnées[[#This Row],[ModuleNumber]]&amp;CompilDonnées[[#This Row],[PlantationDate]])</f>
        <v>65445672</v>
      </c>
      <c r="O843" t="str">
        <f>CompilDonnées[[#This Row],[FarmID]]&amp;CompilDonnées[[#This Row],[ModuleNumber]]</f>
        <v>654</v>
      </c>
      <c r="P843" t="str">
        <f>CompilDonnées[[#This Row],[Ref_Module]]&amp;CompilDonnées[[#This Row],[HarvestingDate]]</f>
        <v>65445714</v>
      </c>
    </row>
    <row r="844" spans="1:16">
      <c r="A844" s="5">
        <v>45672</v>
      </c>
      <c r="B844">
        <v>58</v>
      </c>
      <c r="C844" t="s">
        <v>35</v>
      </c>
      <c r="D844">
        <v>4</v>
      </c>
      <c r="E844">
        <v>100</v>
      </c>
      <c r="F844" t="s">
        <v>1</v>
      </c>
      <c r="G844" s="6">
        <v>45714</v>
      </c>
      <c r="H844">
        <v>42</v>
      </c>
      <c r="I844">
        <f>ROUND(CompilDonnées[[#This Row],[CultureDuration_days]]/7,0)</f>
        <v>6</v>
      </c>
      <c r="J844">
        <v>3536</v>
      </c>
      <c r="K844" t="str">
        <f>_xlfn.CONCAT(WEEKNUM(CompilDonnées[[#This Row],[PlantationDate]]), " ", YEAR(CompilDonnées[[#This Row],[PlantationDate]]))</f>
        <v>3 2025</v>
      </c>
      <c r="L844" t="str">
        <f>CONCATENATE(MONTH(CompilDonnées[[#This Row],[PlantationDate]])," ", YEAR(CompilDonnées[[#This Row],[PlantationDate]]))</f>
        <v>1 2025</v>
      </c>
      <c r="M844" t="str">
        <f>CONCATENATE(MONTH(CompilDonnées[[#This Row],[HarvestingDate]])," ", YEAR(CompilDonnées[[#This Row],[HarvestingDate]]))</f>
        <v>2 2025</v>
      </c>
      <c r="N844">
        <f>_xlfn.NUMBERVALUE(CompilDonnées[[#This Row],[FarmID]]&amp;CompilDonnées[[#This Row],[ModuleNumber]]&amp;CompilDonnées[[#This Row],[PlantationDate]])</f>
        <v>58445672</v>
      </c>
      <c r="O844" t="str">
        <f>CompilDonnées[[#This Row],[FarmID]]&amp;CompilDonnées[[#This Row],[ModuleNumber]]</f>
        <v>584</v>
      </c>
      <c r="P844" t="str">
        <f>CompilDonnées[[#This Row],[Ref_Module]]&amp;CompilDonnées[[#This Row],[HarvestingDate]]</f>
        <v>58445714</v>
      </c>
    </row>
    <row r="845" spans="1:16">
      <c r="A845" s="5">
        <v>45672</v>
      </c>
      <c r="B845">
        <v>49</v>
      </c>
      <c r="C845" t="s">
        <v>110</v>
      </c>
      <c r="D845">
        <v>5</v>
      </c>
      <c r="E845">
        <v>100</v>
      </c>
      <c r="F845" t="s">
        <v>1</v>
      </c>
      <c r="G845" s="6">
        <v>45713</v>
      </c>
      <c r="H845">
        <v>41</v>
      </c>
      <c r="I845">
        <f>ROUND(CompilDonnées[[#This Row],[CultureDuration_days]]/7,0)</f>
        <v>6</v>
      </c>
      <c r="J845">
        <v>3193</v>
      </c>
      <c r="K845" t="str">
        <f>_xlfn.CONCAT(WEEKNUM(CompilDonnées[[#This Row],[PlantationDate]]), " ", YEAR(CompilDonnées[[#This Row],[PlantationDate]]))</f>
        <v>3 2025</v>
      </c>
      <c r="L845" t="str">
        <f>CONCATENATE(MONTH(CompilDonnées[[#This Row],[PlantationDate]])," ", YEAR(CompilDonnées[[#This Row],[PlantationDate]]))</f>
        <v>1 2025</v>
      </c>
      <c r="M845" t="str">
        <f>CONCATENATE(MONTH(CompilDonnées[[#This Row],[HarvestingDate]])," ", YEAR(CompilDonnées[[#This Row],[HarvestingDate]]))</f>
        <v>2 2025</v>
      </c>
      <c r="N845">
        <f>_xlfn.NUMBERVALUE(CompilDonnées[[#This Row],[FarmID]]&amp;CompilDonnées[[#This Row],[ModuleNumber]]&amp;CompilDonnées[[#This Row],[PlantationDate]])</f>
        <v>49545672</v>
      </c>
      <c r="O845" t="str">
        <f>CompilDonnées[[#This Row],[FarmID]]&amp;CompilDonnées[[#This Row],[ModuleNumber]]</f>
        <v>495</v>
      </c>
      <c r="P845" t="str">
        <f>CompilDonnées[[#This Row],[Ref_Module]]&amp;CompilDonnées[[#This Row],[HarvestingDate]]</f>
        <v>49545713</v>
      </c>
    </row>
    <row r="846" spans="1:16">
      <c r="A846" s="5">
        <v>45672</v>
      </c>
      <c r="B846">
        <v>78</v>
      </c>
      <c r="C846" t="s">
        <v>3</v>
      </c>
      <c r="D846">
        <v>1</v>
      </c>
      <c r="E846">
        <v>60</v>
      </c>
      <c r="F846" t="s">
        <v>105</v>
      </c>
      <c r="G846" s="6">
        <v>45720</v>
      </c>
      <c r="H846">
        <v>48</v>
      </c>
      <c r="I846">
        <f>ROUND(CompilDonnées[[#This Row],[CultureDuration_days]]/7,0)</f>
        <v>7</v>
      </c>
      <c r="J846">
        <v>2095</v>
      </c>
      <c r="K846" t="str">
        <f>_xlfn.CONCAT(WEEKNUM(CompilDonnées[[#This Row],[PlantationDate]]), " ", YEAR(CompilDonnées[[#This Row],[PlantationDate]]))</f>
        <v>3 2025</v>
      </c>
      <c r="L846" t="str">
        <f>CONCATENATE(MONTH(CompilDonnées[[#This Row],[PlantationDate]])," ", YEAR(CompilDonnées[[#This Row],[PlantationDate]]))</f>
        <v>1 2025</v>
      </c>
      <c r="M846" t="str">
        <f>CONCATENATE(MONTH(CompilDonnées[[#This Row],[HarvestingDate]])," ", YEAR(CompilDonnées[[#This Row],[HarvestingDate]]))</f>
        <v>3 2025</v>
      </c>
      <c r="N846">
        <f>_xlfn.NUMBERVALUE(CompilDonnées[[#This Row],[FarmID]]&amp;CompilDonnées[[#This Row],[ModuleNumber]]&amp;CompilDonnées[[#This Row],[PlantationDate]])</f>
        <v>78145672</v>
      </c>
      <c r="O846" t="str">
        <f>CompilDonnées[[#This Row],[FarmID]]&amp;CompilDonnées[[#This Row],[ModuleNumber]]</f>
        <v>781</v>
      </c>
      <c r="P846" t="str">
        <f>CompilDonnées[[#This Row],[Ref_Module]]&amp;CompilDonnées[[#This Row],[HarvestingDate]]</f>
        <v>78145720</v>
      </c>
    </row>
    <row r="847" spans="1:16">
      <c r="A847" s="5">
        <v>45672</v>
      </c>
      <c r="B847">
        <v>78</v>
      </c>
      <c r="C847" t="s">
        <v>3</v>
      </c>
      <c r="D847">
        <v>2</v>
      </c>
      <c r="E847">
        <v>60</v>
      </c>
      <c r="F847" t="s">
        <v>105</v>
      </c>
      <c r="G847" s="6">
        <v>45721</v>
      </c>
      <c r="H847">
        <v>49</v>
      </c>
      <c r="I847">
        <f>ROUND(CompilDonnées[[#This Row],[CultureDuration_days]]/7,0)</f>
        <v>7</v>
      </c>
      <c r="J847">
        <v>2628</v>
      </c>
      <c r="K847" t="str">
        <f>_xlfn.CONCAT(WEEKNUM(CompilDonnées[[#This Row],[PlantationDate]]), " ", YEAR(CompilDonnées[[#This Row],[PlantationDate]]))</f>
        <v>3 2025</v>
      </c>
      <c r="L847" t="str">
        <f>CONCATENATE(MONTH(CompilDonnées[[#This Row],[PlantationDate]])," ", YEAR(CompilDonnées[[#This Row],[PlantationDate]]))</f>
        <v>1 2025</v>
      </c>
      <c r="M847" t="str">
        <f>CONCATENATE(MONTH(CompilDonnées[[#This Row],[HarvestingDate]])," ", YEAR(CompilDonnées[[#This Row],[HarvestingDate]]))</f>
        <v>3 2025</v>
      </c>
      <c r="N847">
        <f>_xlfn.NUMBERVALUE(CompilDonnées[[#This Row],[FarmID]]&amp;CompilDonnées[[#This Row],[ModuleNumber]]&amp;CompilDonnées[[#This Row],[PlantationDate]])</f>
        <v>78245672</v>
      </c>
      <c r="O847" t="str">
        <f>CompilDonnées[[#This Row],[FarmID]]&amp;CompilDonnées[[#This Row],[ModuleNumber]]</f>
        <v>782</v>
      </c>
      <c r="P847" t="str">
        <f>CompilDonnées[[#This Row],[Ref_Module]]&amp;CompilDonnées[[#This Row],[HarvestingDate]]</f>
        <v>78245721</v>
      </c>
    </row>
    <row r="848" spans="1:16">
      <c r="A848" s="5">
        <v>45673</v>
      </c>
      <c r="B848">
        <v>126</v>
      </c>
      <c r="C848" t="s">
        <v>52</v>
      </c>
      <c r="D848">
        <v>5</v>
      </c>
      <c r="E848">
        <v>100</v>
      </c>
      <c r="F848" t="s">
        <v>1</v>
      </c>
      <c r="G848" s="6">
        <v>45714</v>
      </c>
      <c r="H848">
        <v>41</v>
      </c>
      <c r="I848">
        <f>ROUND(CompilDonnées[[#This Row],[CultureDuration_days]]/7,0)</f>
        <v>6</v>
      </c>
      <c r="J848">
        <v>3261</v>
      </c>
      <c r="K848" t="str">
        <f>_xlfn.CONCAT(WEEKNUM(CompilDonnées[[#This Row],[PlantationDate]]), " ", YEAR(CompilDonnées[[#This Row],[PlantationDate]]))</f>
        <v>3 2025</v>
      </c>
      <c r="L848" t="str">
        <f>CONCATENATE(MONTH(CompilDonnées[[#This Row],[PlantationDate]])," ", YEAR(CompilDonnées[[#This Row],[PlantationDate]]))</f>
        <v>1 2025</v>
      </c>
      <c r="M848" t="str">
        <f>CONCATENATE(MONTH(CompilDonnées[[#This Row],[HarvestingDate]])," ", YEAR(CompilDonnées[[#This Row],[HarvestingDate]]))</f>
        <v>2 2025</v>
      </c>
      <c r="N848">
        <f>_xlfn.NUMBERVALUE(CompilDonnées[[#This Row],[FarmID]]&amp;CompilDonnées[[#This Row],[ModuleNumber]]&amp;CompilDonnées[[#This Row],[PlantationDate]])</f>
        <v>126545673</v>
      </c>
      <c r="O848" t="str">
        <f>CompilDonnées[[#This Row],[FarmID]]&amp;CompilDonnées[[#This Row],[ModuleNumber]]</f>
        <v>1265</v>
      </c>
      <c r="P848" t="str">
        <f>CompilDonnées[[#This Row],[Ref_Module]]&amp;CompilDonnées[[#This Row],[HarvestingDate]]</f>
        <v>126545714</v>
      </c>
    </row>
    <row r="849" spans="1:16">
      <c r="A849" s="5">
        <v>45673</v>
      </c>
      <c r="B849">
        <v>126</v>
      </c>
      <c r="C849" t="s">
        <v>52</v>
      </c>
      <c r="D849">
        <v>6</v>
      </c>
      <c r="E849">
        <v>100</v>
      </c>
      <c r="F849" t="s">
        <v>1</v>
      </c>
      <c r="G849" s="6">
        <v>45707</v>
      </c>
      <c r="H849">
        <v>34</v>
      </c>
      <c r="I849">
        <f>ROUND(CompilDonnées[[#This Row],[CultureDuration_days]]/7,0)</f>
        <v>5</v>
      </c>
      <c r="J849">
        <v>2953</v>
      </c>
      <c r="K849" t="str">
        <f>_xlfn.CONCAT(WEEKNUM(CompilDonnées[[#This Row],[PlantationDate]]), " ", YEAR(CompilDonnées[[#This Row],[PlantationDate]]))</f>
        <v>3 2025</v>
      </c>
      <c r="L849" t="str">
        <f>CONCATENATE(MONTH(CompilDonnées[[#This Row],[PlantationDate]])," ", YEAR(CompilDonnées[[#This Row],[PlantationDate]]))</f>
        <v>1 2025</v>
      </c>
      <c r="M849" t="str">
        <f>CONCATENATE(MONTH(CompilDonnées[[#This Row],[HarvestingDate]])," ", YEAR(CompilDonnées[[#This Row],[HarvestingDate]]))</f>
        <v>2 2025</v>
      </c>
      <c r="N849">
        <f>_xlfn.NUMBERVALUE(CompilDonnées[[#This Row],[FarmID]]&amp;CompilDonnées[[#This Row],[ModuleNumber]]&amp;CompilDonnées[[#This Row],[PlantationDate]])</f>
        <v>126645673</v>
      </c>
      <c r="O849" t="str">
        <f>CompilDonnées[[#This Row],[FarmID]]&amp;CompilDonnées[[#This Row],[ModuleNumber]]</f>
        <v>1266</v>
      </c>
      <c r="P849" t="str">
        <f>CompilDonnées[[#This Row],[Ref_Module]]&amp;CompilDonnées[[#This Row],[HarvestingDate]]</f>
        <v>126645707</v>
      </c>
    </row>
    <row r="850" spans="1:16">
      <c r="A850" s="5">
        <v>45673</v>
      </c>
      <c r="B850">
        <v>126</v>
      </c>
      <c r="C850" t="s">
        <v>52</v>
      </c>
      <c r="D850">
        <v>1</v>
      </c>
      <c r="E850">
        <v>100</v>
      </c>
      <c r="F850" t="s">
        <v>1</v>
      </c>
      <c r="G850" s="6">
        <v>45716</v>
      </c>
      <c r="H850">
        <v>43</v>
      </c>
      <c r="I850">
        <f>ROUND(CompilDonnées[[#This Row],[CultureDuration_days]]/7,0)</f>
        <v>6</v>
      </c>
      <c r="J850">
        <v>2762</v>
      </c>
      <c r="K850" t="str">
        <f>_xlfn.CONCAT(WEEKNUM(CompilDonnées[[#This Row],[PlantationDate]]), " ", YEAR(CompilDonnées[[#This Row],[PlantationDate]]))</f>
        <v>3 2025</v>
      </c>
      <c r="L850" t="str">
        <f>CONCATENATE(MONTH(CompilDonnées[[#This Row],[PlantationDate]])," ", YEAR(CompilDonnées[[#This Row],[PlantationDate]]))</f>
        <v>1 2025</v>
      </c>
      <c r="M850" t="str">
        <f>CONCATENATE(MONTH(CompilDonnées[[#This Row],[HarvestingDate]])," ", YEAR(CompilDonnées[[#This Row],[HarvestingDate]]))</f>
        <v>2 2025</v>
      </c>
      <c r="N850">
        <f>_xlfn.NUMBERVALUE(CompilDonnées[[#This Row],[FarmID]]&amp;CompilDonnées[[#This Row],[ModuleNumber]]&amp;CompilDonnées[[#This Row],[PlantationDate]])</f>
        <v>126145673</v>
      </c>
      <c r="O850" t="str">
        <f>CompilDonnées[[#This Row],[FarmID]]&amp;CompilDonnées[[#This Row],[ModuleNumber]]</f>
        <v>1261</v>
      </c>
      <c r="P850" t="str">
        <f>CompilDonnées[[#This Row],[Ref_Module]]&amp;CompilDonnées[[#This Row],[HarvestingDate]]</f>
        <v>126145716</v>
      </c>
    </row>
    <row r="851" spans="1:16">
      <c r="A851" s="5">
        <v>45673</v>
      </c>
      <c r="B851">
        <v>116</v>
      </c>
      <c r="C851" t="s">
        <v>76</v>
      </c>
      <c r="D851">
        <v>6</v>
      </c>
      <c r="E851">
        <v>100</v>
      </c>
      <c r="F851" t="s">
        <v>1</v>
      </c>
      <c r="G851" s="6">
        <v>45716</v>
      </c>
      <c r="H851">
        <v>43</v>
      </c>
      <c r="I851">
        <f>ROUND(CompilDonnées[[#This Row],[CultureDuration_days]]/7,0)</f>
        <v>6</v>
      </c>
      <c r="J851">
        <v>2396</v>
      </c>
      <c r="K851" t="str">
        <f>_xlfn.CONCAT(WEEKNUM(CompilDonnées[[#This Row],[PlantationDate]]), " ", YEAR(CompilDonnées[[#This Row],[PlantationDate]]))</f>
        <v>3 2025</v>
      </c>
      <c r="L851" t="str">
        <f>CONCATENATE(MONTH(CompilDonnées[[#This Row],[PlantationDate]])," ", YEAR(CompilDonnées[[#This Row],[PlantationDate]]))</f>
        <v>1 2025</v>
      </c>
      <c r="M851" t="str">
        <f>CONCATENATE(MONTH(CompilDonnées[[#This Row],[HarvestingDate]])," ", YEAR(CompilDonnées[[#This Row],[HarvestingDate]]))</f>
        <v>2 2025</v>
      </c>
      <c r="N851">
        <f>_xlfn.NUMBERVALUE(CompilDonnées[[#This Row],[FarmID]]&amp;CompilDonnées[[#This Row],[ModuleNumber]]&amp;CompilDonnées[[#This Row],[PlantationDate]])</f>
        <v>116645673</v>
      </c>
      <c r="O851" t="str">
        <f>CompilDonnées[[#This Row],[FarmID]]&amp;CompilDonnées[[#This Row],[ModuleNumber]]</f>
        <v>1166</v>
      </c>
      <c r="P851" t="str">
        <f>CompilDonnées[[#This Row],[Ref_Module]]&amp;CompilDonnées[[#This Row],[HarvestingDate]]</f>
        <v>116645716</v>
      </c>
    </row>
    <row r="852" spans="1:16">
      <c r="A852" s="5">
        <v>45673</v>
      </c>
      <c r="B852">
        <v>102</v>
      </c>
      <c r="C852" t="s">
        <v>85</v>
      </c>
      <c r="D852">
        <v>6</v>
      </c>
      <c r="E852">
        <v>100</v>
      </c>
      <c r="F852" t="s">
        <v>1</v>
      </c>
      <c r="G852" s="6">
        <v>45720</v>
      </c>
      <c r="H852">
        <v>47</v>
      </c>
      <c r="I852">
        <f>ROUND(CompilDonnées[[#This Row],[CultureDuration_days]]/7,0)</f>
        <v>7</v>
      </c>
      <c r="J852">
        <v>3171</v>
      </c>
      <c r="K852" t="str">
        <f>_xlfn.CONCAT(WEEKNUM(CompilDonnées[[#This Row],[PlantationDate]]), " ", YEAR(CompilDonnées[[#This Row],[PlantationDate]]))</f>
        <v>3 2025</v>
      </c>
      <c r="L852" t="str">
        <f>CONCATENATE(MONTH(CompilDonnées[[#This Row],[PlantationDate]])," ", YEAR(CompilDonnées[[#This Row],[PlantationDate]]))</f>
        <v>1 2025</v>
      </c>
      <c r="M852" t="str">
        <f>CONCATENATE(MONTH(CompilDonnées[[#This Row],[HarvestingDate]])," ", YEAR(CompilDonnées[[#This Row],[HarvestingDate]]))</f>
        <v>3 2025</v>
      </c>
      <c r="N852">
        <f>_xlfn.NUMBERVALUE(CompilDonnées[[#This Row],[FarmID]]&amp;CompilDonnées[[#This Row],[ModuleNumber]]&amp;CompilDonnées[[#This Row],[PlantationDate]])</f>
        <v>102645673</v>
      </c>
      <c r="O852" t="str">
        <f>CompilDonnées[[#This Row],[FarmID]]&amp;CompilDonnées[[#This Row],[ModuleNumber]]</f>
        <v>1026</v>
      </c>
      <c r="P852" t="str">
        <f>CompilDonnées[[#This Row],[Ref_Module]]&amp;CompilDonnées[[#This Row],[HarvestingDate]]</f>
        <v>102645720</v>
      </c>
    </row>
    <row r="853" spans="1:16">
      <c r="A853" s="5">
        <v>45673</v>
      </c>
      <c r="B853">
        <v>93</v>
      </c>
      <c r="C853" t="s">
        <v>10</v>
      </c>
      <c r="D853">
        <v>1</v>
      </c>
      <c r="E853">
        <v>100</v>
      </c>
      <c r="F853" t="s">
        <v>1</v>
      </c>
      <c r="G853" s="6">
        <v>45715</v>
      </c>
      <c r="H853">
        <v>42</v>
      </c>
      <c r="I853">
        <f>ROUND(CompilDonnées[[#This Row],[CultureDuration_days]]/7,0)</f>
        <v>6</v>
      </c>
      <c r="J853">
        <v>3468</v>
      </c>
      <c r="K853" t="str">
        <f>_xlfn.CONCAT(WEEKNUM(CompilDonnées[[#This Row],[PlantationDate]]), " ", YEAR(CompilDonnées[[#This Row],[PlantationDate]]))</f>
        <v>3 2025</v>
      </c>
      <c r="L853" t="str">
        <f>CONCATENATE(MONTH(CompilDonnées[[#This Row],[PlantationDate]])," ", YEAR(CompilDonnées[[#This Row],[PlantationDate]]))</f>
        <v>1 2025</v>
      </c>
      <c r="M853" t="str">
        <f>CONCATENATE(MONTH(CompilDonnées[[#This Row],[HarvestingDate]])," ", YEAR(CompilDonnées[[#This Row],[HarvestingDate]]))</f>
        <v>2 2025</v>
      </c>
      <c r="N853">
        <f>_xlfn.NUMBERVALUE(CompilDonnées[[#This Row],[FarmID]]&amp;CompilDonnées[[#This Row],[ModuleNumber]]&amp;CompilDonnées[[#This Row],[PlantationDate]])</f>
        <v>93145673</v>
      </c>
      <c r="O853" t="str">
        <f>CompilDonnées[[#This Row],[FarmID]]&amp;CompilDonnées[[#This Row],[ModuleNumber]]</f>
        <v>931</v>
      </c>
      <c r="P853" t="str">
        <f>CompilDonnées[[#This Row],[Ref_Module]]&amp;CompilDonnées[[#This Row],[HarvestingDate]]</f>
        <v>93145715</v>
      </c>
    </row>
    <row r="854" spans="1:16">
      <c r="A854" s="5">
        <v>45673</v>
      </c>
      <c r="B854">
        <v>54</v>
      </c>
      <c r="C854" t="s">
        <v>39</v>
      </c>
      <c r="D854">
        <v>1</v>
      </c>
      <c r="E854">
        <v>100</v>
      </c>
      <c r="F854" t="s">
        <v>1</v>
      </c>
      <c r="G854" s="6">
        <v>45713</v>
      </c>
      <c r="H854">
        <v>40</v>
      </c>
      <c r="I854">
        <f>ROUND(CompilDonnées[[#This Row],[CultureDuration_days]]/7,0)</f>
        <v>6</v>
      </c>
      <c r="J854">
        <v>2997</v>
      </c>
      <c r="K854" t="str">
        <f>_xlfn.CONCAT(WEEKNUM(CompilDonnées[[#This Row],[PlantationDate]]), " ", YEAR(CompilDonnées[[#This Row],[PlantationDate]]))</f>
        <v>3 2025</v>
      </c>
      <c r="L854" t="str">
        <f>CONCATENATE(MONTH(CompilDonnées[[#This Row],[PlantationDate]])," ", YEAR(CompilDonnées[[#This Row],[PlantationDate]]))</f>
        <v>1 2025</v>
      </c>
      <c r="M854" t="str">
        <f>CONCATENATE(MONTH(CompilDonnées[[#This Row],[HarvestingDate]])," ", YEAR(CompilDonnées[[#This Row],[HarvestingDate]]))</f>
        <v>2 2025</v>
      </c>
      <c r="N854">
        <f>_xlfn.NUMBERVALUE(CompilDonnées[[#This Row],[FarmID]]&amp;CompilDonnées[[#This Row],[ModuleNumber]]&amp;CompilDonnées[[#This Row],[PlantationDate]])</f>
        <v>54145673</v>
      </c>
      <c r="O854" t="str">
        <f>CompilDonnées[[#This Row],[FarmID]]&amp;CompilDonnées[[#This Row],[ModuleNumber]]</f>
        <v>541</v>
      </c>
      <c r="P854" t="str">
        <f>CompilDonnées[[#This Row],[Ref_Module]]&amp;CompilDonnées[[#This Row],[HarvestingDate]]</f>
        <v>54145713</v>
      </c>
    </row>
    <row r="855" spans="1:16">
      <c r="A855" s="5">
        <v>45673</v>
      </c>
      <c r="B855">
        <v>33</v>
      </c>
      <c r="C855" t="s">
        <v>104</v>
      </c>
      <c r="D855">
        <v>1</v>
      </c>
      <c r="E855">
        <v>100</v>
      </c>
      <c r="F855" t="s">
        <v>1</v>
      </c>
      <c r="G855" s="6">
        <v>45713</v>
      </c>
      <c r="H855">
        <v>40</v>
      </c>
      <c r="I855">
        <f>ROUND(CompilDonnées[[#This Row],[CultureDuration_days]]/7,0)</f>
        <v>6</v>
      </c>
      <c r="J855">
        <v>2665</v>
      </c>
      <c r="K855" t="str">
        <f>_xlfn.CONCAT(WEEKNUM(CompilDonnées[[#This Row],[PlantationDate]]), " ", YEAR(CompilDonnées[[#This Row],[PlantationDate]]))</f>
        <v>3 2025</v>
      </c>
      <c r="L855" t="str">
        <f>CONCATENATE(MONTH(CompilDonnées[[#This Row],[PlantationDate]])," ", YEAR(CompilDonnées[[#This Row],[PlantationDate]]))</f>
        <v>1 2025</v>
      </c>
      <c r="M855" t="str">
        <f>CONCATENATE(MONTH(CompilDonnées[[#This Row],[HarvestingDate]])," ", YEAR(CompilDonnées[[#This Row],[HarvestingDate]]))</f>
        <v>2 2025</v>
      </c>
      <c r="N855">
        <f>_xlfn.NUMBERVALUE(CompilDonnées[[#This Row],[FarmID]]&amp;CompilDonnées[[#This Row],[ModuleNumber]]&amp;CompilDonnées[[#This Row],[PlantationDate]])</f>
        <v>33145673</v>
      </c>
      <c r="O855" t="str">
        <f>CompilDonnées[[#This Row],[FarmID]]&amp;CompilDonnées[[#This Row],[ModuleNumber]]</f>
        <v>331</v>
      </c>
      <c r="P855" t="str">
        <f>CompilDonnées[[#This Row],[Ref_Module]]&amp;CompilDonnées[[#This Row],[HarvestingDate]]</f>
        <v>33145713</v>
      </c>
    </row>
    <row r="856" spans="1:16">
      <c r="A856" s="5">
        <v>45673</v>
      </c>
      <c r="B856">
        <v>7</v>
      </c>
      <c r="C856" t="s">
        <v>50</v>
      </c>
      <c r="D856">
        <v>2</v>
      </c>
      <c r="E856">
        <v>100</v>
      </c>
      <c r="F856" t="s">
        <v>1</v>
      </c>
      <c r="G856" s="6">
        <v>45712</v>
      </c>
      <c r="H856">
        <v>39</v>
      </c>
      <c r="I856">
        <f>ROUND(CompilDonnées[[#This Row],[CultureDuration_days]]/7,0)</f>
        <v>6</v>
      </c>
      <c r="J856">
        <v>2794</v>
      </c>
      <c r="K856" t="str">
        <f>_xlfn.CONCAT(WEEKNUM(CompilDonnées[[#This Row],[PlantationDate]]), " ", YEAR(CompilDonnées[[#This Row],[PlantationDate]]))</f>
        <v>3 2025</v>
      </c>
      <c r="L856" t="str">
        <f>CONCATENATE(MONTH(CompilDonnées[[#This Row],[PlantationDate]])," ", YEAR(CompilDonnées[[#This Row],[PlantationDate]]))</f>
        <v>1 2025</v>
      </c>
      <c r="M856" t="str">
        <f>CONCATENATE(MONTH(CompilDonnées[[#This Row],[HarvestingDate]])," ", YEAR(CompilDonnées[[#This Row],[HarvestingDate]]))</f>
        <v>2 2025</v>
      </c>
      <c r="N856">
        <f>_xlfn.NUMBERVALUE(CompilDonnées[[#This Row],[FarmID]]&amp;CompilDonnées[[#This Row],[ModuleNumber]]&amp;CompilDonnées[[#This Row],[PlantationDate]])</f>
        <v>7245673</v>
      </c>
      <c r="O856" t="str">
        <f>CompilDonnées[[#This Row],[FarmID]]&amp;CompilDonnées[[#This Row],[ModuleNumber]]</f>
        <v>72</v>
      </c>
      <c r="P856" t="str">
        <f>CompilDonnées[[#This Row],[Ref_Module]]&amp;CompilDonnées[[#This Row],[HarvestingDate]]</f>
        <v>7245712</v>
      </c>
    </row>
    <row r="857" spans="1:16">
      <c r="A857" s="5">
        <v>45673</v>
      </c>
      <c r="B857">
        <v>28</v>
      </c>
      <c r="C857" t="s">
        <v>77</v>
      </c>
      <c r="D857">
        <v>2</v>
      </c>
      <c r="E857">
        <v>100</v>
      </c>
      <c r="F857" t="s">
        <v>1</v>
      </c>
      <c r="G857" s="6">
        <v>45719</v>
      </c>
      <c r="H857">
        <v>46</v>
      </c>
      <c r="I857">
        <f>ROUND(CompilDonnées[[#This Row],[CultureDuration_days]]/7,0)</f>
        <v>7</v>
      </c>
      <c r="J857">
        <v>3228</v>
      </c>
      <c r="K857" t="str">
        <f>_xlfn.CONCAT(WEEKNUM(CompilDonnées[[#This Row],[PlantationDate]]), " ", YEAR(CompilDonnées[[#This Row],[PlantationDate]]))</f>
        <v>3 2025</v>
      </c>
      <c r="L857" t="str">
        <f>CONCATENATE(MONTH(CompilDonnées[[#This Row],[PlantationDate]])," ", YEAR(CompilDonnées[[#This Row],[PlantationDate]]))</f>
        <v>1 2025</v>
      </c>
      <c r="M857" t="str">
        <f>CONCATENATE(MONTH(CompilDonnées[[#This Row],[HarvestingDate]])," ", YEAR(CompilDonnées[[#This Row],[HarvestingDate]]))</f>
        <v>3 2025</v>
      </c>
      <c r="N857">
        <f>_xlfn.NUMBERVALUE(CompilDonnées[[#This Row],[FarmID]]&amp;CompilDonnées[[#This Row],[ModuleNumber]]&amp;CompilDonnées[[#This Row],[PlantationDate]])</f>
        <v>28245673</v>
      </c>
      <c r="O857" t="str">
        <f>CompilDonnées[[#This Row],[FarmID]]&amp;CompilDonnées[[#This Row],[ModuleNumber]]</f>
        <v>282</v>
      </c>
      <c r="P857" t="str">
        <f>CompilDonnées[[#This Row],[Ref_Module]]&amp;CompilDonnées[[#This Row],[HarvestingDate]]</f>
        <v>28245719</v>
      </c>
    </row>
    <row r="858" spans="1:16">
      <c r="A858" s="5">
        <v>45673</v>
      </c>
      <c r="B858">
        <v>26</v>
      </c>
      <c r="C858" t="s">
        <v>97</v>
      </c>
      <c r="D858">
        <v>2</v>
      </c>
      <c r="E858">
        <v>100</v>
      </c>
      <c r="F858" t="s">
        <v>1</v>
      </c>
      <c r="G858" s="6">
        <v>45712</v>
      </c>
      <c r="H858">
        <v>39</v>
      </c>
      <c r="I858">
        <f>ROUND(CompilDonnées[[#This Row],[CultureDuration_days]]/7,0)</f>
        <v>6</v>
      </c>
      <c r="J858">
        <v>2705</v>
      </c>
      <c r="K858" t="str">
        <f>_xlfn.CONCAT(WEEKNUM(CompilDonnées[[#This Row],[PlantationDate]]), " ", YEAR(CompilDonnées[[#This Row],[PlantationDate]]))</f>
        <v>3 2025</v>
      </c>
      <c r="L858" t="str">
        <f>CONCATENATE(MONTH(CompilDonnées[[#This Row],[PlantationDate]])," ", YEAR(CompilDonnées[[#This Row],[PlantationDate]]))</f>
        <v>1 2025</v>
      </c>
      <c r="M858" t="str">
        <f>CONCATENATE(MONTH(CompilDonnées[[#This Row],[HarvestingDate]])," ", YEAR(CompilDonnées[[#This Row],[HarvestingDate]]))</f>
        <v>2 2025</v>
      </c>
      <c r="N858">
        <f>_xlfn.NUMBERVALUE(CompilDonnées[[#This Row],[FarmID]]&amp;CompilDonnées[[#This Row],[ModuleNumber]]&amp;CompilDonnées[[#This Row],[PlantationDate]])</f>
        <v>26245673</v>
      </c>
      <c r="O858" t="str">
        <f>CompilDonnées[[#This Row],[FarmID]]&amp;CompilDonnées[[#This Row],[ModuleNumber]]</f>
        <v>262</v>
      </c>
      <c r="P858" t="str">
        <f>CompilDonnées[[#This Row],[Ref_Module]]&amp;CompilDonnées[[#This Row],[HarvestingDate]]</f>
        <v>26245712</v>
      </c>
    </row>
    <row r="859" spans="1:16">
      <c r="A859" s="5">
        <v>45673</v>
      </c>
      <c r="B859">
        <v>34</v>
      </c>
      <c r="C859" t="s">
        <v>68</v>
      </c>
      <c r="D859">
        <v>2</v>
      </c>
      <c r="E859">
        <v>100</v>
      </c>
      <c r="F859" t="s">
        <v>1</v>
      </c>
      <c r="G859" s="6">
        <v>45712</v>
      </c>
      <c r="H859">
        <v>39</v>
      </c>
      <c r="I859">
        <f>ROUND(CompilDonnées[[#This Row],[CultureDuration_days]]/7,0)</f>
        <v>6</v>
      </c>
      <c r="J859">
        <v>2575</v>
      </c>
      <c r="K859" t="str">
        <f>_xlfn.CONCAT(WEEKNUM(CompilDonnées[[#This Row],[PlantationDate]]), " ", YEAR(CompilDonnées[[#This Row],[PlantationDate]]))</f>
        <v>3 2025</v>
      </c>
      <c r="L859" t="str">
        <f>CONCATENATE(MONTH(CompilDonnées[[#This Row],[PlantationDate]])," ", YEAR(CompilDonnées[[#This Row],[PlantationDate]]))</f>
        <v>1 2025</v>
      </c>
      <c r="M859" t="str">
        <f>CONCATENATE(MONTH(CompilDonnées[[#This Row],[HarvestingDate]])," ", YEAR(CompilDonnées[[#This Row],[HarvestingDate]]))</f>
        <v>2 2025</v>
      </c>
      <c r="N859">
        <f>_xlfn.NUMBERVALUE(CompilDonnées[[#This Row],[FarmID]]&amp;CompilDonnées[[#This Row],[ModuleNumber]]&amp;CompilDonnées[[#This Row],[PlantationDate]])</f>
        <v>34245673</v>
      </c>
      <c r="O859" t="str">
        <f>CompilDonnées[[#This Row],[FarmID]]&amp;CompilDonnées[[#This Row],[ModuleNumber]]</f>
        <v>342</v>
      </c>
      <c r="P859" t="str">
        <f>CompilDonnées[[#This Row],[Ref_Module]]&amp;CompilDonnées[[#This Row],[HarvestingDate]]</f>
        <v>34245712</v>
      </c>
    </row>
    <row r="860" spans="1:16">
      <c r="A860" s="5">
        <v>45673</v>
      </c>
      <c r="B860">
        <v>39</v>
      </c>
      <c r="C860" t="s">
        <v>81</v>
      </c>
      <c r="D860">
        <v>2</v>
      </c>
      <c r="E860">
        <v>100</v>
      </c>
      <c r="F860" t="s">
        <v>1</v>
      </c>
      <c r="G860" s="6">
        <v>45714</v>
      </c>
      <c r="H860">
        <v>41</v>
      </c>
      <c r="I860">
        <f>ROUND(CompilDonnées[[#This Row],[CultureDuration_days]]/7,0)</f>
        <v>6</v>
      </c>
      <c r="J860">
        <v>2893</v>
      </c>
      <c r="K860" t="str">
        <f>_xlfn.CONCAT(WEEKNUM(CompilDonnées[[#This Row],[PlantationDate]]), " ", YEAR(CompilDonnées[[#This Row],[PlantationDate]]))</f>
        <v>3 2025</v>
      </c>
      <c r="L860" t="str">
        <f>CONCATENATE(MONTH(CompilDonnées[[#This Row],[PlantationDate]])," ", YEAR(CompilDonnées[[#This Row],[PlantationDate]]))</f>
        <v>1 2025</v>
      </c>
      <c r="M860" t="str">
        <f>CONCATENATE(MONTH(CompilDonnées[[#This Row],[HarvestingDate]])," ", YEAR(CompilDonnées[[#This Row],[HarvestingDate]]))</f>
        <v>2 2025</v>
      </c>
      <c r="N860">
        <f>_xlfn.NUMBERVALUE(CompilDonnées[[#This Row],[FarmID]]&amp;CompilDonnées[[#This Row],[ModuleNumber]]&amp;CompilDonnées[[#This Row],[PlantationDate]])</f>
        <v>39245673</v>
      </c>
      <c r="O860" t="str">
        <f>CompilDonnées[[#This Row],[FarmID]]&amp;CompilDonnées[[#This Row],[ModuleNumber]]</f>
        <v>392</v>
      </c>
      <c r="P860" t="str">
        <f>CompilDonnées[[#This Row],[Ref_Module]]&amp;CompilDonnées[[#This Row],[HarvestingDate]]</f>
        <v>39245714</v>
      </c>
    </row>
    <row r="861" spans="1:16">
      <c r="A861" s="5">
        <v>45673</v>
      </c>
      <c r="B861">
        <v>40</v>
      </c>
      <c r="C861" t="s">
        <v>82</v>
      </c>
      <c r="D861">
        <v>2</v>
      </c>
      <c r="E861">
        <v>100</v>
      </c>
      <c r="F861" t="s">
        <v>1</v>
      </c>
      <c r="G861" s="6">
        <v>45713</v>
      </c>
      <c r="H861">
        <v>40</v>
      </c>
      <c r="I861">
        <f>ROUND(CompilDonnées[[#This Row],[CultureDuration_days]]/7,0)</f>
        <v>6</v>
      </c>
      <c r="J861">
        <v>2802</v>
      </c>
      <c r="K861" t="str">
        <f>_xlfn.CONCAT(WEEKNUM(CompilDonnées[[#This Row],[PlantationDate]]), " ", YEAR(CompilDonnées[[#This Row],[PlantationDate]]))</f>
        <v>3 2025</v>
      </c>
      <c r="L861" t="str">
        <f>CONCATENATE(MONTH(CompilDonnées[[#This Row],[PlantationDate]])," ", YEAR(CompilDonnées[[#This Row],[PlantationDate]]))</f>
        <v>1 2025</v>
      </c>
      <c r="M861" t="str">
        <f>CONCATENATE(MONTH(CompilDonnées[[#This Row],[HarvestingDate]])," ", YEAR(CompilDonnées[[#This Row],[HarvestingDate]]))</f>
        <v>2 2025</v>
      </c>
      <c r="N861">
        <f>_xlfn.NUMBERVALUE(CompilDonnées[[#This Row],[FarmID]]&amp;CompilDonnées[[#This Row],[ModuleNumber]]&amp;CompilDonnées[[#This Row],[PlantationDate]])</f>
        <v>40245673</v>
      </c>
      <c r="O861" t="str">
        <f>CompilDonnées[[#This Row],[FarmID]]&amp;CompilDonnées[[#This Row],[ModuleNumber]]</f>
        <v>402</v>
      </c>
      <c r="P861" t="str">
        <f>CompilDonnées[[#This Row],[Ref_Module]]&amp;CompilDonnées[[#This Row],[HarvestingDate]]</f>
        <v>40245713</v>
      </c>
    </row>
    <row r="862" spans="1:16">
      <c r="A862" s="5">
        <v>45673</v>
      </c>
      <c r="B862">
        <v>47</v>
      </c>
      <c r="C862" t="s">
        <v>12</v>
      </c>
      <c r="D862">
        <v>2</v>
      </c>
      <c r="E862">
        <v>100</v>
      </c>
      <c r="F862" t="s">
        <v>1</v>
      </c>
      <c r="G862" s="6">
        <v>45720</v>
      </c>
      <c r="H862">
        <v>47</v>
      </c>
      <c r="I862">
        <f>ROUND(CompilDonnées[[#This Row],[CultureDuration_days]]/7,0)</f>
        <v>7</v>
      </c>
      <c r="J862">
        <v>3211</v>
      </c>
      <c r="K862" t="str">
        <f>_xlfn.CONCAT(WEEKNUM(CompilDonnées[[#This Row],[PlantationDate]]), " ", YEAR(CompilDonnées[[#This Row],[PlantationDate]]))</f>
        <v>3 2025</v>
      </c>
      <c r="L862" t="str">
        <f>CONCATENATE(MONTH(CompilDonnées[[#This Row],[PlantationDate]])," ", YEAR(CompilDonnées[[#This Row],[PlantationDate]]))</f>
        <v>1 2025</v>
      </c>
      <c r="M862" t="str">
        <f>CONCATENATE(MONTH(CompilDonnées[[#This Row],[HarvestingDate]])," ", YEAR(CompilDonnées[[#This Row],[HarvestingDate]]))</f>
        <v>3 2025</v>
      </c>
      <c r="N862">
        <f>_xlfn.NUMBERVALUE(CompilDonnées[[#This Row],[FarmID]]&amp;CompilDonnées[[#This Row],[ModuleNumber]]&amp;CompilDonnées[[#This Row],[PlantationDate]])</f>
        <v>47245673</v>
      </c>
      <c r="O862" t="str">
        <f>CompilDonnées[[#This Row],[FarmID]]&amp;CompilDonnées[[#This Row],[ModuleNumber]]</f>
        <v>472</v>
      </c>
      <c r="P862" t="str">
        <f>CompilDonnées[[#This Row],[Ref_Module]]&amp;CompilDonnées[[#This Row],[HarvestingDate]]</f>
        <v>47245720</v>
      </c>
    </row>
    <row r="863" spans="1:16">
      <c r="A863" s="5">
        <v>45673</v>
      </c>
      <c r="B863">
        <v>53</v>
      </c>
      <c r="C863" t="s">
        <v>83</v>
      </c>
      <c r="D863">
        <v>2</v>
      </c>
      <c r="E863">
        <v>100</v>
      </c>
      <c r="F863" t="s">
        <v>1</v>
      </c>
      <c r="G863" s="6">
        <v>45713</v>
      </c>
      <c r="H863">
        <v>40</v>
      </c>
      <c r="I863">
        <f>ROUND(CompilDonnées[[#This Row],[CultureDuration_days]]/7,0)</f>
        <v>6</v>
      </c>
      <c r="J863">
        <v>3190</v>
      </c>
      <c r="K863" t="str">
        <f>_xlfn.CONCAT(WEEKNUM(CompilDonnées[[#This Row],[PlantationDate]]), " ", YEAR(CompilDonnées[[#This Row],[PlantationDate]]))</f>
        <v>3 2025</v>
      </c>
      <c r="L863" t="str">
        <f>CONCATENATE(MONTH(CompilDonnées[[#This Row],[PlantationDate]])," ", YEAR(CompilDonnées[[#This Row],[PlantationDate]]))</f>
        <v>1 2025</v>
      </c>
      <c r="M863" t="str">
        <f>CONCATENATE(MONTH(CompilDonnées[[#This Row],[HarvestingDate]])," ", YEAR(CompilDonnées[[#This Row],[HarvestingDate]]))</f>
        <v>2 2025</v>
      </c>
      <c r="N863">
        <f>_xlfn.NUMBERVALUE(CompilDonnées[[#This Row],[FarmID]]&amp;CompilDonnées[[#This Row],[ModuleNumber]]&amp;CompilDonnées[[#This Row],[PlantationDate]])</f>
        <v>53245673</v>
      </c>
      <c r="O863" t="str">
        <f>CompilDonnées[[#This Row],[FarmID]]&amp;CompilDonnées[[#This Row],[ModuleNumber]]</f>
        <v>532</v>
      </c>
      <c r="P863" t="str">
        <f>CompilDonnées[[#This Row],[Ref_Module]]&amp;CompilDonnées[[#This Row],[HarvestingDate]]</f>
        <v>53245713</v>
      </c>
    </row>
    <row r="864" spans="1:16">
      <c r="A864" s="5">
        <v>45673</v>
      </c>
      <c r="B864">
        <v>50</v>
      </c>
      <c r="C864" t="s">
        <v>55</v>
      </c>
      <c r="D864">
        <v>4</v>
      </c>
      <c r="E864">
        <v>100</v>
      </c>
      <c r="F864" t="s">
        <v>1</v>
      </c>
      <c r="G864" s="6">
        <v>45713</v>
      </c>
      <c r="H864">
        <v>40</v>
      </c>
      <c r="I864">
        <f>ROUND(CompilDonnées[[#This Row],[CultureDuration_days]]/7,0)</f>
        <v>6</v>
      </c>
      <c r="J864">
        <v>3293</v>
      </c>
      <c r="K864" t="str">
        <f>_xlfn.CONCAT(WEEKNUM(CompilDonnées[[#This Row],[PlantationDate]]), " ", YEAR(CompilDonnées[[#This Row],[PlantationDate]]))</f>
        <v>3 2025</v>
      </c>
      <c r="L864" t="str">
        <f>CONCATENATE(MONTH(CompilDonnées[[#This Row],[PlantationDate]])," ", YEAR(CompilDonnées[[#This Row],[PlantationDate]]))</f>
        <v>1 2025</v>
      </c>
      <c r="M864" t="str">
        <f>CONCATENATE(MONTH(CompilDonnées[[#This Row],[HarvestingDate]])," ", YEAR(CompilDonnées[[#This Row],[HarvestingDate]]))</f>
        <v>2 2025</v>
      </c>
      <c r="N864">
        <f>_xlfn.NUMBERVALUE(CompilDonnées[[#This Row],[FarmID]]&amp;CompilDonnées[[#This Row],[ModuleNumber]]&amp;CompilDonnées[[#This Row],[PlantationDate]])</f>
        <v>50445673</v>
      </c>
      <c r="O864" t="str">
        <f>CompilDonnées[[#This Row],[FarmID]]&amp;CompilDonnées[[#This Row],[ModuleNumber]]</f>
        <v>504</v>
      </c>
      <c r="P864" t="str">
        <f>CompilDonnées[[#This Row],[Ref_Module]]&amp;CompilDonnées[[#This Row],[HarvestingDate]]</f>
        <v>50445713</v>
      </c>
    </row>
    <row r="865" spans="1:16">
      <c r="A865" s="5">
        <v>45673</v>
      </c>
      <c r="B865">
        <v>57</v>
      </c>
      <c r="C865" t="s">
        <v>46</v>
      </c>
      <c r="D865">
        <v>5</v>
      </c>
      <c r="E865">
        <v>100</v>
      </c>
      <c r="F865" t="s">
        <v>1</v>
      </c>
      <c r="G865" s="6">
        <v>45714</v>
      </c>
      <c r="H865">
        <v>41</v>
      </c>
      <c r="I865">
        <f>ROUND(CompilDonnées[[#This Row],[CultureDuration_days]]/7,0)</f>
        <v>6</v>
      </c>
      <c r="J865">
        <v>3047</v>
      </c>
      <c r="K865" t="str">
        <f>_xlfn.CONCAT(WEEKNUM(CompilDonnées[[#This Row],[PlantationDate]]), " ", YEAR(CompilDonnées[[#This Row],[PlantationDate]]))</f>
        <v>3 2025</v>
      </c>
      <c r="L865" t="str">
        <f>CONCATENATE(MONTH(CompilDonnées[[#This Row],[PlantationDate]])," ", YEAR(CompilDonnées[[#This Row],[PlantationDate]]))</f>
        <v>1 2025</v>
      </c>
      <c r="M865" t="str">
        <f>CONCATENATE(MONTH(CompilDonnées[[#This Row],[HarvestingDate]])," ", YEAR(CompilDonnées[[#This Row],[HarvestingDate]]))</f>
        <v>2 2025</v>
      </c>
      <c r="N865">
        <f>_xlfn.NUMBERVALUE(CompilDonnées[[#This Row],[FarmID]]&amp;CompilDonnées[[#This Row],[ModuleNumber]]&amp;CompilDonnées[[#This Row],[PlantationDate]])</f>
        <v>57545673</v>
      </c>
      <c r="O865" t="str">
        <f>CompilDonnées[[#This Row],[FarmID]]&amp;CompilDonnées[[#This Row],[ModuleNumber]]</f>
        <v>575</v>
      </c>
      <c r="P865" t="str">
        <f>CompilDonnées[[#This Row],[Ref_Module]]&amp;CompilDonnées[[#This Row],[HarvestingDate]]</f>
        <v>57545714</v>
      </c>
    </row>
    <row r="866" spans="1:16">
      <c r="A866" s="5">
        <v>45673</v>
      </c>
      <c r="B866">
        <v>56</v>
      </c>
      <c r="C866" t="s">
        <v>6</v>
      </c>
      <c r="D866">
        <v>4</v>
      </c>
      <c r="E866">
        <v>100</v>
      </c>
      <c r="F866" t="s">
        <v>1</v>
      </c>
      <c r="G866" s="6">
        <v>45714</v>
      </c>
      <c r="H866">
        <v>41</v>
      </c>
      <c r="I866">
        <f>ROUND(CompilDonnées[[#This Row],[CultureDuration_days]]/7,0)</f>
        <v>6</v>
      </c>
      <c r="J866">
        <v>3492</v>
      </c>
      <c r="K866" t="str">
        <f>_xlfn.CONCAT(WEEKNUM(CompilDonnées[[#This Row],[PlantationDate]]), " ", YEAR(CompilDonnées[[#This Row],[PlantationDate]]))</f>
        <v>3 2025</v>
      </c>
      <c r="L866" t="str">
        <f>CONCATENATE(MONTH(CompilDonnées[[#This Row],[PlantationDate]])," ", YEAR(CompilDonnées[[#This Row],[PlantationDate]]))</f>
        <v>1 2025</v>
      </c>
      <c r="M866" t="str">
        <f>CONCATENATE(MONTH(CompilDonnées[[#This Row],[HarvestingDate]])," ", YEAR(CompilDonnées[[#This Row],[HarvestingDate]]))</f>
        <v>2 2025</v>
      </c>
      <c r="N866">
        <f>_xlfn.NUMBERVALUE(CompilDonnées[[#This Row],[FarmID]]&amp;CompilDonnées[[#This Row],[ModuleNumber]]&amp;CompilDonnées[[#This Row],[PlantationDate]])</f>
        <v>56445673</v>
      </c>
      <c r="O866" t="str">
        <f>CompilDonnées[[#This Row],[FarmID]]&amp;CompilDonnées[[#This Row],[ModuleNumber]]</f>
        <v>564</v>
      </c>
      <c r="P866" t="str">
        <f>CompilDonnées[[#This Row],[Ref_Module]]&amp;CompilDonnées[[#This Row],[HarvestingDate]]</f>
        <v>56445714</v>
      </c>
    </row>
    <row r="867" spans="1:16">
      <c r="A867" s="5">
        <v>45673</v>
      </c>
      <c r="B867">
        <v>55</v>
      </c>
      <c r="C867" t="s">
        <v>60</v>
      </c>
      <c r="D867">
        <v>5</v>
      </c>
      <c r="E867">
        <v>100</v>
      </c>
      <c r="F867" t="s">
        <v>1</v>
      </c>
      <c r="G867" s="6">
        <v>45720</v>
      </c>
      <c r="H867">
        <v>47</v>
      </c>
      <c r="I867">
        <f>ROUND(CompilDonnées[[#This Row],[CultureDuration_days]]/7,0)</f>
        <v>7</v>
      </c>
      <c r="J867">
        <v>3392</v>
      </c>
      <c r="K867" t="str">
        <f>_xlfn.CONCAT(WEEKNUM(CompilDonnées[[#This Row],[PlantationDate]]), " ", YEAR(CompilDonnées[[#This Row],[PlantationDate]]))</f>
        <v>3 2025</v>
      </c>
      <c r="L867" t="str">
        <f>CONCATENATE(MONTH(CompilDonnées[[#This Row],[PlantationDate]])," ", YEAR(CompilDonnées[[#This Row],[PlantationDate]]))</f>
        <v>1 2025</v>
      </c>
      <c r="M867" t="str">
        <f>CONCATENATE(MONTH(CompilDonnées[[#This Row],[HarvestingDate]])," ", YEAR(CompilDonnées[[#This Row],[HarvestingDate]]))</f>
        <v>3 2025</v>
      </c>
      <c r="N867">
        <f>_xlfn.NUMBERVALUE(CompilDonnées[[#This Row],[FarmID]]&amp;CompilDonnées[[#This Row],[ModuleNumber]]&amp;CompilDonnées[[#This Row],[PlantationDate]])</f>
        <v>55545673</v>
      </c>
      <c r="O867" t="str">
        <f>CompilDonnées[[#This Row],[FarmID]]&amp;CompilDonnées[[#This Row],[ModuleNumber]]</f>
        <v>555</v>
      </c>
      <c r="P867" t="str">
        <f>CompilDonnées[[#This Row],[Ref_Module]]&amp;CompilDonnées[[#This Row],[HarvestingDate]]</f>
        <v>55545720</v>
      </c>
    </row>
    <row r="868" spans="1:16">
      <c r="A868" s="5">
        <v>45673</v>
      </c>
      <c r="B868">
        <v>48</v>
      </c>
      <c r="C868" t="s">
        <v>71</v>
      </c>
      <c r="D868">
        <v>3</v>
      </c>
      <c r="E868">
        <v>100</v>
      </c>
      <c r="F868" t="s">
        <v>1</v>
      </c>
      <c r="G868" s="6">
        <v>45713</v>
      </c>
      <c r="H868">
        <v>40</v>
      </c>
      <c r="I868">
        <f>ROUND(CompilDonnées[[#This Row],[CultureDuration_days]]/7,0)</f>
        <v>6</v>
      </c>
      <c r="J868">
        <v>2684</v>
      </c>
      <c r="K868" t="str">
        <f>_xlfn.CONCAT(WEEKNUM(CompilDonnées[[#This Row],[PlantationDate]]), " ", YEAR(CompilDonnées[[#This Row],[PlantationDate]]))</f>
        <v>3 2025</v>
      </c>
      <c r="L868" t="str">
        <f>CONCATENATE(MONTH(CompilDonnées[[#This Row],[PlantationDate]])," ", YEAR(CompilDonnées[[#This Row],[PlantationDate]]))</f>
        <v>1 2025</v>
      </c>
      <c r="M868" t="str">
        <f>CONCATENATE(MONTH(CompilDonnées[[#This Row],[HarvestingDate]])," ", YEAR(CompilDonnées[[#This Row],[HarvestingDate]]))</f>
        <v>2 2025</v>
      </c>
      <c r="N868">
        <f>_xlfn.NUMBERVALUE(CompilDonnées[[#This Row],[FarmID]]&amp;CompilDonnées[[#This Row],[ModuleNumber]]&amp;CompilDonnées[[#This Row],[PlantationDate]])</f>
        <v>48345673</v>
      </c>
      <c r="O868" t="str">
        <f>CompilDonnées[[#This Row],[FarmID]]&amp;CompilDonnées[[#This Row],[ModuleNumber]]</f>
        <v>483</v>
      </c>
      <c r="P868" t="str">
        <f>CompilDonnées[[#This Row],[Ref_Module]]&amp;CompilDonnées[[#This Row],[HarvestingDate]]</f>
        <v>48345713</v>
      </c>
    </row>
    <row r="869" spans="1:16">
      <c r="A869" s="5">
        <v>45673</v>
      </c>
      <c r="B869">
        <v>4</v>
      </c>
      <c r="C869" t="s">
        <v>74</v>
      </c>
      <c r="D869">
        <v>4</v>
      </c>
      <c r="E869">
        <v>100</v>
      </c>
      <c r="F869" t="s">
        <v>1</v>
      </c>
      <c r="G869" s="6">
        <v>45712</v>
      </c>
      <c r="H869">
        <v>39</v>
      </c>
      <c r="I869">
        <f>ROUND(CompilDonnées[[#This Row],[CultureDuration_days]]/7,0)</f>
        <v>6</v>
      </c>
      <c r="J869">
        <v>2655</v>
      </c>
      <c r="K869" t="str">
        <f>_xlfn.CONCAT(WEEKNUM(CompilDonnées[[#This Row],[PlantationDate]]), " ", YEAR(CompilDonnées[[#This Row],[PlantationDate]]))</f>
        <v>3 2025</v>
      </c>
      <c r="L869" t="str">
        <f>CONCATENATE(MONTH(CompilDonnées[[#This Row],[PlantationDate]])," ", YEAR(CompilDonnées[[#This Row],[PlantationDate]]))</f>
        <v>1 2025</v>
      </c>
      <c r="M869" t="str">
        <f>CONCATENATE(MONTH(CompilDonnées[[#This Row],[HarvestingDate]])," ", YEAR(CompilDonnées[[#This Row],[HarvestingDate]]))</f>
        <v>2 2025</v>
      </c>
      <c r="N869">
        <f>_xlfn.NUMBERVALUE(CompilDonnées[[#This Row],[FarmID]]&amp;CompilDonnées[[#This Row],[ModuleNumber]]&amp;CompilDonnées[[#This Row],[PlantationDate]])</f>
        <v>4445673</v>
      </c>
      <c r="O869" t="str">
        <f>CompilDonnées[[#This Row],[FarmID]]&amp;CompilDonnées[[#This Row],[ModuleNumber]]</f>
        <v>44</v>
      </c>
      <c r="P869" t="str">
        <f>CompilDonnées[[#This Row],[Ref_Module]]&amp;CompilDonnées[[#This Row],[HarvestingDate]]</f>
        <v>4445712</v>
      </c>
    </row>
    <row r="870" spans="1:16">
      <c r="A870" s="5">
        <v>45673</v>
      </c>
      <c r="B870">
        <v>3</v>
      </c>
      <c r="C870" t="s">
        <v>116</v>
      </c>
      <c r="D870">
        <v>1</v>
      </c>
      <c r="E870">
        <v>100</v>
      </c>
      <c r="F870" t="s">
        <v>1</v>
      </c>
      <c r="G870" s="6">
        <v>45721</v>
      </c>
      <c r="H870">
        <v>48</v>
      </c>
      <c r="I870">
        <f>ROUND(CompilDonnées[[#This Row],[CultureDuration_days]]/7,0)</f>
        <v>7</v>
      </c>
      <c r="J870">
        <v>3379</v>
      </c>
      <c r="K870" t="str">
        <f>_xlfn.CONCAT(WEEKNUM(CompilDonnées[[#This Row],[PlantationDate]]), " ", YEAR(CompilDonnées[[#This Row],[PlantationDate]]))</f>
        <v>3 2025</v>
      </c>
      <c r="L870" t="str">
        <f>CONCATENATE(MONTH(CompilDonnées[[#This Row],[PlantationDate]])," ", YEAR(CompilDonnées[[#This Row],[PlantationDate]]))</f>
        <v>1 2025</v>
      </c>
      <c r="M870" t="str">
        <f>CONCATENATE(MONTH(CompilDonnées[[#This Row],[HarvestingDate]])," ", YEAR(CompilDonnées[[#This Row],[HarvestingDate]]))</f>
        <v>3 2025</v>
      </c>
      <c r="N870">
        <f>_xlfn.NUMBERVALUE(CompilDonnées[[#This Row],[FarmID]]&amp;CompilDonnées[[#This Row],[ModuleNumber]]&amp;CompilDonnées[[#This Row],[PlantationDate]])</f>
        <v>3145673</v>
      </c>
      <c r="O870" t="str">
        <f>CompilDonnées[[#This Row],[FarmID]]&amp;CompilDonnées[[#This Row],[ModuleNumber]]</f>
        <v>31</v>
      </c>
      <c r="P870" t="str">
        <f>CompilDonnées[[#This Row],[Ref_Module]]&amp;CompilDonnées[[#This Row],[HarvestingDate]]</f>
        <v>3145721</v>
      </c>
    </row>
    <row r="871" spans="1:16">
      <c r="A871" s="5">
        <v>45673</v>
      </c>
      <c r="B871">
        <v>17</v>
      </c>
      <c r="C871" t="s">
        <v>80</v>
      </c>
      <c r="D871">
        <v>3</v>
      </c>
      <c r="E871">
        <v>100</v>
      </c>
      <c r="F871" t="s">
        <v>1</v>
      </c>
      <c r="G871" s="6">
        <v>45712</v>
      </c>
      <c r="H871">
        <v>39</v>
      </c>
      <c r="I871">
        <f>ROUND(CompilDonnées[[#This Row],[CultureDuration_days]]/7,0)</f>
        <v>6</v>
      </c>
      <c r="J871">
        <v>3048</v>
      </c>
      <c r="K871" t="str">
        <f>_xlfn.CONCAT(WEEKNUM(CompilDonnées[[#This Row],[PlantationDate]]), " ", YEAR(CompilDonnées[[#This Row],[PlantationDate]]))</f>
        <v>3 2025</v>
      </c>
      <c r="L871" t="str">
        <f>CONCATENATE(MONTH(CompilDonnées[[#This Row],[PlantationDate]])," ", YEAR(CompilDonnées[[#This Row],[PlantationDate]]))</f>
        <v>1 2025</v>
      </c>
      <c r="M871" t="str">
        <f>CONCATENATE(MONTH(CompilDonnées[[#This Row],[HarvestingDate]])," ", YEAR(CompilDonnées[[#This Row],[HarvestingDate]]))</f>
        <v>2 2025</v>
      </c>
      <c r="N871">
        <f>_xlfn.NUMBERVALUE(CompilDonnées[[#This Row],[FarmID]]&amp;CompilDonnées[[#This Row],[ModuleNumber]]&amp;CompilDonnées[[#This Row],[PlantationDate]])</f>
        <v>17345673</v>
      </c>
      <c r="O871" t="str">
        <f>CompilDonnées[[#This Row],[FarmID]]&amp;CompilDonnées[[#This Row],[ModuleNumber]]</f>
        <v>173</v>
      </c>
      <c r="P871" t="str">
        <f>CompilDonnées[[#This Row],[Ref_Module]]&amp;CompilDonnées[[#This Row],[HarvestingDate]]</f>
        <v>17345712</v>
      </c>
    </row>
    <row r="872" spans="1:16">
      <c r="A872" s="5">
        <v>45673</v>
      </c>
      <c r="B872">
        <v>16</v>
      </c>
      <c r="C872" t="s">
        <v>112</v>
      </c>
      <c r="D872">
        <v>5</v>
      </c>
      <c r="E872">
        <v>100</v>
      </c>
      <c r="F872" t="s">
        <v>1</v>
      </c>
      <c r="G872" s="6">
        <v>45712</v>
      </c>
      <c r="H872">
        <v>39</v>
      </c>
      <c r="I872">
        <f>ROUND(CompilDonnées[[#This Row],[CultureDuration_days]]/7,0)</f>
        <v>6</v>
      </c>
      <c r="J872">
        <v>2703</v>
      </c>
      <c r="K872" t="str">
        <f>_xlfn.CONCAT(WEEKNUM(CompilDonnées[[#This Row],[PlantationDate]]), " ", YEAR(CompilDonnées[[#This Row],[PlantationDate]]))</f>
        <v>3 2025</v>
      </c>
      <c r="L872" t="str">
        <f>CONCATENATE(MONTH(CompilDonnées[[#This Row],[PlantationDate]])," ", YEAR(CompilDonnées[[#This Row],[PlantationDate]]))</f>
        <v>1 2025</v>
      </c>
      <c r="M872" t="str">
        <f>CONCATENATE(MONTH(CompilDonnées[[#This Row],[HarvestingDate]])," ", YEAR(CompilDonnées[[#This Row],[HarvestingDate]]))</f>
        <v>2 2025</v>
      </c>
      <c r="N872">
        <f>_xlfn.NUMBERVALUE(CompilDonnées[[#This Row],[FarmID]]&amp;CompilDonnées[[#This Row],[ModuleNumber]]&amp;CompilDonnées[[#This Row],[PlantationDate]])</f>
        <v>16545673</v>
      </c>
      <c r="O872" t="str">
        <f>CompilDonnées[[#This Row],[FarmID]]&amp;CompilDonnées[[#This Row],[ModuleNumber]]</f>
        <v>165</v>
      </c>
      <c r="P872" t="str">
        <f>CompilDonnées[[#This Row],[Ref_Module]]&amp;CompilDonnées[[#This Row],[HarvestingDate]]</f>
        <v>16545712</v>
      </c>
    </row>
    <row r="873" spans="1:16">
      <c r="A873" s="5">
        <v>45673</v>
      </c>
      <c r="B873">
        <v>32</v>
      </c>
      <c r="C873" t="s">
        <v>25</v>
      </c>
      <c r="D873">
        <v>4</v>
      </c>
      <c r="E873">
        <v>100</v>
      </c>
      <c r="F873" t="s">
        <v>1</v>
      </c>
      <c r="G873" s="6">
        <v>45722</v>
      </c>
      <c r="H873">
        <v>49</v>
      </c>
      <c r="I873">
        <f>ROUND(CompilDonnées[[#This Row],[CultureDuration_days]]/7,0)</f>
        <v>7</v>
      </c>
      <c r="J873">
        <v>4075</v>
      </c>
      <c r="K873" t="str">
        <f>_xlfn.CONCAT(WEEKNUM(CompilDonnées[[#This Row],[PlantationDate]]), " ", YEAR(CompilDonnées[[#This Row],[PlantationDate]]))</f>
        <v>3 2025</v>
      </c>
      <c r="L873" t="str">
        <f>CONCATENATE(MONTH(CompilDonnées[[#This Row],[PlantationDate]])," ", YEAR(CompilDonnées[[#This Row],[PlantationDate]]))</f>
        <v>1 2025</v>
      </c>
      <c r="M873" t="str">
        <f>CONCATENATE(MONTH(CompilDonnées[[#This Row],[HarvestingDate]])," ", YEAR(CompilDonnées[[#This Row],[HarvestingDate]]))</f>
        <v>3 2025</v>
      </c>
      <c r="N873">
        <f>_xlfn.NUMBERVALUE(CompilDonnées[[#This Row],[FarmID]]&amp;CompilDonnées[[#This Row],[ModuleNumber]]&amp;CompilDonnées[[#This Row],[PlantationDate]])</f>
        <v>32445673</v>
      </c>
      <c r="O873" t="str">
        <f>CompilDonnées[[#This Row],[FarmID]]&amp;CompilDonnées[[#This Row],[ModuleNumber]]</f>
        <v>324</v>
      </c>
      <c r="P873" t="str">
        <f>CompilDonnées[[#This Row],[Ref_Module]]&amp;CompilDonnées[[#This Row],[HarvestingDate]]</f>
        <v>32445722</v>
      </c>
    </row>
    <row r="874" spans="1:16">
      <c r="A874" s="5">
        <v>45673</v>
      </c>
      <c r="B874">
        <v>30</v>
      </c>
      <c r="C874" t="s">
        <v>4</v>
      </c>
      <c r="D874">
        <v>5</v>
      </c>
      <c r="E874">
        <v>100</v>
      </c>
      <c r="F874" t="s">
        <v>1</v>
      </c>
      <c r="G874" s="6">
        <v>45712</v>
      </c>
      <c r="H874">
        <v>39</v>
      </c>
      <c r="I874">
        <f>ROUND(CompilDonnées[[#This Row],[CultureDuration_days]]/7,0)</f>
        <v>6</v>
      </c>
      <c r="J874">
        <v>3175</v>
      </c>
      <c r="K874" t="str">
        <f>_xlfn.CONCAT(WEEKNUM(CompilDonnées[[#This Row],[PlantationDate]]), " ", YEAR(CompilDonnées[[#This Row],[PlantationDate]]))</f>
        <v>3 2025</v>
      </c>
      <c r="L874" t="str">
        <f>CONCATENATE(MONTH(CompilDonnées[[#This Row],[PlantationDate]])," ", YEAR(CompilDonnées[[#This Row],[PlantationDate]]))</f>
        <v>1 2025</v>
      </c>
      <c r="M874" t="str">
        <f>CONCATENATE(MONTH(CompilDonnées[[#This Row],[HarvestingDate]])," ", YEAR(CompilDonnées[[#This Row],[HarvestingDate]]))</f>
        <v>2 2025</v>
      </c>
      <c r="N874">
        <f>_xlfn.NUMBERVALUE(CompilDonnées[[#This Row],[FarmID]]&amp;CompilDonnées[[#This Row],[ModuleNumber]]&amp;CompilDonnées[[#This Row],[PlantationDate]])</f>
        <v>30545673</v>
      </c>
      <c r="O874" t="str">
        <f>CompilDonnées[[#This Row],[FarmID]]&amp;CompilDonnées[[#This Row],[ModuleNumber]]</f>
        <v>305</v>
      </c>
      <c r="P874" t="str">
        <f>CompilDonnées[[#This Row],[Ref_Module]]&amp;CompilDonnées[[#This Row],[HarvestingDate]]</f>
        <v>30545712</v>
      </c>
    </row>
    <row r="875" spans="1:16">
      <c r="A875" s="5">
        <v>45673</v>
      </c>
      <c r="B875">
        <v>36</v>
      </c>
      <c r="C875" t="s">
        <v>63</v>
      </c>
      <c r="D875">
        <v>4</v>
      </c>
      <c r="E875">
        <v>100</v>
      </c>
      <c r="F875" t="s">
        <v>1</v>
      </c>
      <c r="G875" s="6">
        <v>45722</v>
      </c>
      <c r="H875">
        <v>49</v>
      </c>
      <c r="I875">
        <f>ROUND(CompilDonnées[[#This Row],[CultureDuration_days]]/7,0)</f>
        <v>7</v>
      </c>
      <c r="J875">
        <v>3976</v>
      </c>
      <c r="K875" t="str">
        <f>_xlfn.CONCAT(WEEKNUM(CompilDonnées[[#This Row],[PlantationDate]]), " ", YEAR(CompilDonnées[[#This Row],[PlantationDate]]))</f>
        <v>3 2025</v>
      </c>
      <c r="L875" t="str">
        <f>CONCATENATE(MONTH(CompilDonnées[[#This Row],[PlantationDate]])," ", YEAR(CompilDonnées[[#This Row],[PlantationDate]]))</f>
        <v>1 2025</v>
      </c>
      <c r="M875" t="str">
        <f>CONCATENATE(MONTH(CompilDonnées[[#This Row],[HarvestingDate]])," ", YEAR(CompilDonnées[[#This Row],[HarvestingDate]]))</f>
        <v>3 2025</v>
      </c>
      <c r="N875">
        <f>_xlfn.NUMBERVALUE(CompilDonnées[[#This Row],[FarmID]]&amp;CompilDonnées[[#This Row],[ModuleNumber]]&amp;CompilDonnées[[#This Row],[PlantationDate]])</f>
        <v>36445673</v>
      </c>
      <c r="O875" t="str">
        <f>CompilDonnées[[#This Row],[FarmID]]&amp;CompilDonnées[[#This Row],[ModuleNumber]]</f>
        <v>364</v>
      </c>
      <c r="P875" t="str">
        <f>CompilDonnées[[#This Row],[Ref_Module]]&amp;CompilDonnées[[#This Row],[HarvestingDate]]</f>
        <v>36445722</v>
      </c>
    </row>
    <row r="876" spans="1:16">
      <c r="A876" s="5">
        <v>45673</v>
      </c>
      <c r="B876">
        <v>44</v>
      </c>
      <c r="C876" t="s">
        <v>42</v>
      </c>
      <c r="D876">
        <v>4</v>
      </c>
      <c r="E876">
        <v>100</v>
      </c>
      <c r="F876" t="s">
        <v>1</v>
      </c>
      <c r="G876" s="6">
        <v>45713</v>
      </c>
      <c r="H876">
        <v>40</v>
      </c>
      <c r="I876">
        <f>ROUND(CompilDonnées[[#This Row],[CultureDuration_days]]/7,0)</f>
        <v>6</v>
      </c>
      <c r="J876">
        <v>3320</v>
      </c>
      <c r="K876" t="str">
        <f>_xlfn.CONCAT(WEEKNUM(CompilDonnées[[#This Row],[PlantationDate]]), " ", YEAR(CompilDonnées[[#This Row],[PlantationDate]]))</f>
        <v>3 2025</v>
      </c>
      <c r="L876" t="str">
        <f>CONCATENATE(MONTH(CompilDonnées[[#This Row],[PlantationDate]])," ", YEAR(CompilDonnées[[#This Row],[PlantationDate]]))</f>
        <v>1 2025</v>
      </c>
      <c r="M876" t="str">
        <f>CONCATENATE(MONTH(CompilDonnées[[#This Row],[HarvestingDate]])," ", YEAR(CompilDonnées[[#This Row],[HarvestingDate]]))</f>
        <v>2 2025</v>
      </c>
      <c r="N876">
        <f>_xlfn.NUMBERVALUE(CompilDonnées[[#This Row],[FarmID]]&amp;CompilDonnées[[#This Row],[ModuleNumber]]&amp;CompilDonnées[[#This Row],[PlantationDate]])</f>
        <v>44445673</v>
      </c>
      <c r="O876" t="str">
        <f>CompilDonnées[[#This Row],[FarmID]]&amp;CompilDonnées[[#This Row],[ModuleNumber]]</f>
        <v>444</v>
      </c>
      <c r="P876" t="str">
        <f>CompilDonnées[[#This Row],[Ref_Module]]&amp;CompilDonnées[[#This Row],[HarvestingDate]]</f>
        <v>44445713</v>
      </c>
    </row>
    <row r="877" spans="1:16">
      <c r="A877" s="5">
        <v>45673</v>
      </c>
      <c r="B877">
        <v>43</v>
      </c>
      <c r="C877" t="s">
        <v>45</v>
      </c>
      <c r="D877">
        <v>2</v>
      </c>
      <c r="E877">
        <v>100</v>
      </c>
      <c r="F877" t="s">
        <v>1</v>
      </c>
      <c r="G877" s="6">
        <v>45713</v>
      </c>
      <c r="H877">
        <v>40</v>
      </c>
      <c r="I877">
        <f>ROUND(CompilDonnées[[#This Row],[CultureDuration_days]]/7,0)</f>
        <v>6</v>
      </c>
      <c r="J877">
        <v>2712</v>
      </c>
      <c r="K877" t="str">
        <f>_xlfn.CONCAT(WEEKNUM(CompilDonnées[[#This Row],[PlantationDate]]), " ", YEAR(CompilDonnées[[#This Row],[PlantationDate]]))</f>
        <v>3 2025</v>
      </c>
      <c r="L877" t="str">
        <f>CONCATENATE(MONTH(CompilDonnées[[#This Row],[PlantationDate]])," ", YEAR(CompilDonnées[[#This Row],[PlantationDate]]))</f>
        <v>1 2025</v>
      </c>
      <c r="M877" t="str">
        <f>CONCATENATE(MONTH(CompilDonnées[[#This Row],[HarvestingDate]])," ", YEAR(CompilDonnées[[#This Row],[HarvestingDate]]))</f>
        <v>2 2025</v>
      </c>
      <c r="N877">
        <f>_xlfn.NUMBERVALUE(CompilDonnées[[#This Row],[FarmID]]&amp;CompilDonnées[[#This Row],[ModuleNumber]]&amp;CompilDonnées[[#This Row],[PlantationDate]])</f>
        <v>43245673</v>
      </c>
      <c r="O877" t="str">
        <f>CompilDonnées[[#This Row],[FarmID]]&amp;CompilDonnées[[#This Row],[ModuleNumber]]</f>
        <v>432</v>
      </c>
      <c r="P877" t="str">
        <f>CompilDonnées[[#This Row],[Ref_Module]]&amp;CompilDonnées[[#This Row],[HarvestingDate]]</f>
        <v>43245713</v>
      </c>
    </row>
    <row r="878" spans="1:16">
      <c r="A878" s="5">
        <v>45673</v>
      </c>
      <c r="B878">
        <v>78</v>
      </c>
      <c r="C878" t="s">
        <v>3</v>
      </c>
      <c r="D878">
        <v>3</v>
      </c>
      <c r="E878">
        <v>60</v>
      </c>
      <c r="F878" t="s">
        <v>105</v>
      </c>
      <c r="G878" s="6">
        <v>45721</v>
      </c>
      <c r="H878">
        <v>48</v>
      </c>
      <c r="I878">
        <f>ROUND(CompilDonnées[[#This Row],[CultureDuration_days]]/7,0)</f>
        <v>7</v>
      </c>
      <c r="J878">
        <v>2628</v>
      </c>
      <c r="K878" t="str">
        <f>_xlfn.CONCAT(WEEKNUM(CompilDonnées[[#This Row],[PlantationDate]]), " ", YEAR(CompilDonnées[[#This Row],[PlantationDate]]))</f>
        <v>3 2025</v>
      </c>
      <c r="L878" t="str">
        <f>CONCATENATE(MONTH(CompilDonnées[[#This Row],[PlantationDate]])," ", YEAR(CompilDonnées[[#This Row],[PlantationDate]]))</f>
        <v>1 2025</v>
      </c>
      <c r="M878" t="str">
        <f>CONCATENATE(MONTH(CompilDonnées[[#This Row],[HarvestingDate]])," ", YEAR(CompilDonnées[[#This Row],[HarvestingDate]]))</f>
        <v>3 2025</v>
      </c>
      <c r="N878">
        <f>_xlfn.NUMBERVALUE(CompilDonnées[[#This Row],[FarmID]]&amp;CompilDonnées[[#This Row],[ModuleNumber]]&amp;CompilDonnées[[#This Row],[PlantationDate]])</f>
        <v>78345673</v>
      </c>
      <c r="O878" t="str">
        <f>CompilDonnées[[#This Row],[FarmID]]&amp;CompilDonnées[[#This Row],[ModuleNumber]]</f>
        <v>783</v>
      </c>
      <c r="P878" t="str">
        <f>CompilDonnées[[#This Row],[Ref_Module]]&amp;CompilDonnées[[#This Row],[HarvestingDate]]</f>
        <v>78345721</v>
      </c>
    </row>
    <row r="879" spans="1:16">
      <c r="A879" s="5">
        <v>45673</v>
      </c>
      <c r="B879">
        <v>75</v>
      </c>
      <c r="C879" t="s">
        <v>3</v>
      </c>
      <c r="D879">
        <v>1</v>
      </c>
      <c r="E879">
        <v>60</v>
      </c>
      <c r="F879" t="s">
        <v>105</v>
      </c>
      <c r="G879" s="6">
        <v>45719</v>
      </c>
      <c r="H879">
        <v>46</v>
      </c>
      <c r="I879">
        <f>ROUND(CompilDonnées[[#This Row],[CultureDuration_days]]/7,0)</f>
        <v>7</v>
      </c>
      <c r="J879">
        <v>1958</v>
      </c>
      <c r="K879" t="str">
        <f>_xlfn.CONCAT(WEEKNUM(CompilDonnées[[#This Row],[PlantationDate]]), " ", YEAR(CompilDonnées[[#This Row],[PlantationDate]]))</f>
        <v>3 2025</v>
      </c>
      <c r="L879" t="str">
        <f>CONCATENATE(MONTH(CompilDonnées[[#This Row],[PlantationDate]])," ", YEAR(CompilDonnées[[#This Row],[PlantationDate]]))</f>
        <v>1 2025</v>
      </c>
      <c r="M879" t="str">
        <f>CONCATENATE(MONTH(CompilDonnées[[#This Row],[HarvestingDate]])," ", YEAR(CompilDonnées[[#This Row],[HarvestingDate]]))</f>
        <v>3 2025</v>
      </c>
      <c r="N879">
        <f>_xlfn.NUMBERVALUE(CompilDonnées[[#This Row],[FarmID]]&amp;CompilDonnées[[#This Row],[ModuleNumber]]&amp;CompilDonnées[[#This Row],[PlantationDate]])</f>
        <v>75145673</v>
      </c>
      <c r="O879" t="str">
        <f>CompilDonnées[[#This Row],[FarmID]]&amp;CompilDonnées[[#This Row],[ModuleNumber]]</f>
        <v>751</v>
      </c>
      <c r="P879" t="str">
        <f>CompilDonnées[[#This Row],[Ref_Module]]&amp;CompilDonnées[[#This Row],[HarvestingDate]]</f>
        <v>75145719</v>
      </c>
    </row>
    <row r="880" spans="1:16">
      <c r="A880" s="5">
        <v>45678</v>
      </c>
      <c r="B880">
        <v>115</v>
      </c>
      <c r="C880" t="s">
        <v>92</v>
      </c>
      <c r="D880">
        <v>1</v>
      </c>
      <c r="E880">
        <v>100</v>
      </c>
      <c r="F880" t="s">
        <v>1</v>
      </c>
      <c r="G880" s="6">
        <v>45719</v>
      </c>
      <c r="H880">
        <v>41</v>
      </c>
      <c r="I880">
        <f>ROUND(CompilDonnées[[#This Row],[CultureDuration_days]]/7,0)</f>
        <v>6</v>
      </c>
      <c r="J880">
        <v>2894</v>
      </c>
      <c r="K880" t="str">
        <f>_xlfn.CONCAT(WEEKNUM(CompilDonnées[[#This Row],[PlantationDate]]), " ", YEAR(CompilDonnées[[#This Row],[PlantationDate]]))</f>
        <v>4 2025</v>
      </c>
      <c r="L880" t="str">
        <f>CONCATENATE(MONTH(CompilDonnées[[#This Row],[PlantationDate]])," ", YEAR(CompilDonnées[[#This Row],[PlantationDate]]))</f>
        <v>1 2025</v>
      </c>
      <c r="M880" t="str">
        <f>CONCATENATE(MONTH(CompilDonnées[[#This Row],[HarvestingDate]])," ", YEAR(CompilDonnées[[#This Row],[HarvestingDate]]))</f>
        <v>3 2025</v>
      </c>
      <c r="N880">
        <f>_xlfn.NUMBERVALUE(CompilDonnées[[#This Row],[FarmID]]&amp;CompilDonnées[[#This Row],[ModuleNumber]]&amp;CompilDonnées[[#This Row],[PlantationDate]])</f>
        <v>115145678</v>
      </c>
      <c r="O880" t="str">
        <f>CompilDonnées[[#This Row],[FarmID]]&amp;CompilDonnées[[#This Row],[ModuleNumber]]</f>
        <v>1151</v>
      </c>
      <c r="P880" t="str">
        <f>CompilDonnées[[#This Row],[Ref_Module]]&amp;CompilDonnées[[#This Row],[HarvestingDate]]</f>
        <v>115145719</v>
      </c>
    </row>
    <row r="881" spans="1:16">
      <c r="A881" s="5">
        <v>45678</v>
      </c>
      <c r="B881">
        <v>123</v>
      </c>
      <c r="C881" t="s">
        <v>13</v>
      </c>
      <c r="D881">
        <v>1</v>
      </c>
      <c r="E881">
        <v>100</v>
      </c>
      <c r="F881" t="s">
        <v>1</v>
      </c>
      <c r="G881" s="6">
        <v>45715</v>
      </c>
      <c r="H881">
        <v>37</v>
      </c>
      <c r="I881">
        <f>ROUND(CompilDonnées[[#This Row],[CultureDuration_days]]/7,0)</f>
        <v>5</v>
      </c>
      <c r="J881">
        <v>3178</v>
      </c>
      <c r="K881" t="str">
        <f>_xlfn.CONCAT(WEEKNUM(CompilDonnées[[#This Row],[PlantationDate]]), " ", YEAR(CompilDonnées[[#This Row],[PlantationDate]]))</f>
        <v>4 2025</v>
      </c>
      <c r="L881" t="str">
        <f>CONCATENATE(MONTH(CompilDonnées[[#This Row],[PlantationDate]])," ", YEAR(CompilDonnées[[#This Row],[PlantationDate]]))</f>
        <v>1 2025</v>
      </c>
      <c r="M881" t="str">
        <f>CONCATENATE(MONTH(CompilDonnées[[#This Row],[HarvestingDate]])," ", YEAR(CompilDonnées[[#This Row],[HarvestingDate]]))</f>
        <v>2 2025</v>
      </c>
      <c r="N881">
        <f>_xlfn.NUMBERVALUE(CompilDonnées[[#This Row],[FarmID]]&amp;CompilDonnées[[#This Row],[ModuleNumber]]&amp;CompilDonnées[[#This Row],[PlantationDate]])</f>
        <v>123145678</v>
      </c>
      <c r="O881" t="str">
        <f>CompilDonnées[[#This Row],[FarmID]]&amp;CompilDonnées[[#This Row],[ModuleNumber]]</f>
        <v>1231</v>
      </c>
      <c r="P881" t="str">
        <f>CompilDonnées[[#This Row],[Ref_Module]]&amp;CompilDonnées[[#This Row],[HarvestingDate]]</f>
        <v>123145715</v>
      </c>
    </row>
    <row r="882" spans="1:16">
      <c r="A882" s="5">
        <v>45678</v>
      </c>
      <c r="B882">
        <v>123</v>
      </c>
      <c r="C882" t="s">
        <v>13</v>
      </c>
      <c r="D882">
        <v>2</v>
      </c>
      <c r="E882">
        <v>100</v>
      </c>
      <c r="F882" t="s">
        <v>1</v>
      </c>
      <c r="G882" s="6">
        <v>45719</v>
      </c>
      <c r="H882">
        <v>41</v>
      </c>
      <c r="I882">
        <f>ROUND(CompilDonnées[[#This Row],[CultureDuration_days]]/7,0)</f>
        <v>6</v>
      </c>
      <c r="J882">
        <v>3757</v>
      </c>
      <c r="K882" t="str">
        <f>_xlfn.CONCAT(WEEKNUM(CompilDonnées[[#This Row],[PlantationDate]]), " ", YEAR(CompilDonnées[[#This Row],[PlantationDate]]))</f>
        <v>4 2025</v>
      </c>
      <c r="L882" t="str">
        <f>CONCATENATE(MONTH(CompilDonnées[[#This Row],[PlantationDate]])," ", YEAR(CompilDonnées[[#This Row],[PlantationDate]]))</f>
        <v>1 2025</v>
      </c>
      <c r="M882" t="str">
        <f>CONCATENATE(MONTH(CompilDonnées[[#This Row],[HarvestingDate]])," ", YEAR(CompilDonnées[[#This Row],[HarvestingDate]]))</f>
        <v>3 2025</v>
      </c>
      <c r="N882">
        <f>_xlfn.NUMBERVALUE(CompilDonnées[[#This Row],[FarmID]]&amp;CompilDonnées[[#This Row],[ModuleNumber]]&amp;CompilDonnées[[#This Row],[PlantationDate]])</f>
        <v>123245678</v>
      </c>
      <c r="O882" t="str">
        <f>CompilDonnées[[#This Row],[FarmID]]&amp;CompilDonnées[[#This Row],[ModuleNumber]]</f>
        <v>1232</v>
      </c>
      <c r="P882" t="str">
        <f>CompilDonnées[[#This Row],[Ref_Module]]&amp;CompilDonnées[[#This Row],[HarvestingDate]]</f>
        <v>123245719</v>
      </c>
    </row>
    <row r="883" spans="1:16">
      <c r="A883" s="5">
        <v>45678</v>
      </c>
      <c r="B883">
        <v>123</v>
      </c>
      <c r="C883" t="s">
        <v>13</v>
      </c>
      <c r="D883">
        <v>6</v>
      </c>
      <c r="E883">
        <v>100</v>
      </c>
      <c r="F883" t="s">
        <v>1</v>
      </c>
      <c r="G883" s="6">
        <v>45715</v>
      </c>
      <c r="H883">
        <v>37</v>
      </c>
      <c r="I883">
        <f>ROUND(CompilDonnées[[#This Row],[CultureDuration_days]]/7,0)</f>
        <v>5</v>
      </c>
      <c r="J883">
        <v>3660</v>
      </c>
      <c r="K883" t="str">
        <f>_xlfn.CONCAT(WEEKNUM(CompilDonnées[[#This Row],[PlantationDate]]), " ", YEAR(CompilDonnées[[#This Row],[PlantationDate]]))</f>
        <v>4 2025</v>
      </c>
      <c r="L883" t="str">
        <f>CONCATENATE(MONTH(CompilDonnées[[#This Row],[PlantationDate]])," ", YEAR(CompilDonnées[[#This Row],[PlantationDate]]))</f>
        <v>1 2025</v>
      </c>
      <c r="M883" t="str">
        <f>CONCATENATE(MONTH(CompilDonnées[[#This Row],[HarvestingDate]])," ", YEAR(CompilDonnées[[#This Row],[HarvestingDate]]))</f>
        <v>2 2025</v>
      </c>
      <c r="N883">
        <f>_xlfn.NUMBERVALUE(CompilDonnées[[#This Row],[FarmID]]&amp;CompilDonnées[[#This Row],[ModuleNumber]]&amp;CompilDonnées[[#This Row],[PlantationDate]])</f>
        <v>123645678</v>
      </c>
      <c r="O883" t="str">
        <f>CompilDonnées[[#This Row],[FarmID]]&amp;CompilDonnées[[#This Row],[ModuleNumber]]</f>
        <v>1236</v>
      </c>
      <c r="P883" t="str">
        <f>CompilDonnées[[#This Row],[Ref_Module]]&amp;CompilDonnées[[#This Row],[HarvestingDate]]</f>
        <v>123645715</v>
      </c>
    </row>
    <row r="884" spans="1:16">
      <c r="A884" s="5">
        <v>45678</v>
      </c>
      <c r="B884">
        <v>6</v>
      </c>
      <c r="C884" t="s">
        <v>24</v>
      </c>
      <c r="D884">
        <v>5</v>
      </c>
      <c r="E884">
        <v>100</v>
      </c>
      <c r="F884" t="s">
        <v>1</v>
      </c>
      <c r="G884" s="6">
        <v>45719</v>
      </c>
      <c r="H884">
        <v>41</v>
      </c>
      <c r="I884">
        <f>ROUND(CompilDonnées[[#This Row],[CultureDuration_days]]/7,0)</f>
        <v>6</v>
      </c>
      <c r="J884">
        <v>3969</v>
      </c>
      <c r="K884" t="str">
        <f>_xlfn.CONCAT(WEEKNUM(CompilDonnées[[#This Row],[PlantationDate]]), " ", YEAR(CompilDonnées[[#This Row],[PlantationDate]]))</f>
        <v>4 2025</v>
      </c>
      <c r="L884" t="str">
        <f>CONCATENATE(MONTH(CompilDonnées[[#This Row],[PlantationDate]])," ", YEAR(CompilDonnées[[#This Row],[PlantationDate]]))</f>
        <v>1 2025</v>
      </c>
      <c r="M884" t="str">
        <f>CONCATENATE(MONTH(CompilDonnées[[#This Row],[HarvestingDate]])," ", YEAR(CompilDonnées[[#This Row],[HarvestingDate]]))</f>
        <v>3 2025</v>
      </c>
      <c r="N884">
        <f>_xlfn.NUMBERVALUE(CompilDonnées[[#This Row],[FarmID]]&amp;CompilDonnées[[#This Row],[ModuleNumber]]&amp;CompilDonnées[[#This Row],[PlantationDate]])</f>
        <v>6545678</v>
      </c>
      <c r="O884" t="str">
        <f>CompilDonnées[[#This Row],[FarmID]]&amp;CompilDonnées[[#This Row],[ModuleNumber]]</f>
        <v>65</v>
      </c>
      <c r="P884" t="str">
        <f>CompilDonnées[[#This Row],[Ref_Module]]&amp;CompilDonnées[[#This Row],[HarvestingDate]]</f>
        <v>6545719</v>
      </c>
    </row>
    <row r="885" spans="1:16">
      <c r="A885" s="5">
        <v>45678</v>
      </c>
      <c r="B885">
        <v>5</v>
      </c>
      <c r="C885" t="s">
        <v>32</v>
      </c>
      <c r="D885">
        <v>5</v>
      </c>
      <c r="E885">
        <v>100</v>
      </c>
      <c r="F885" t="s">
        <v>1</v>
      </c>
      <c r="G885" s="6">
        <v>45719</v>
      </c>
      <c r="H885">
        <v>41</v>
      </c>
      <c r="I885">
        <f>ROUND(CompilDonnées[[#This Row],[CultureDuration_days]]/7,0)</f>
        <v>6</v>
      </c>
      <c r="J885">
        <v>3430</v>
      </c>
      <c r="K885" t="str">
        <f>_xlfn.CONCAT(WEEKNUM(CompilDonnées[[#This Row],[PlantationDate]]), " ", YEAR(CompilDonnées[[#This Row],[PlantationDate]]))</f>
        <v>4 2025</v>
      </c>
      <c r="L885" t="str">
        <f>CONCATENATE(MONTH(CompilDonnées[[#This Row],[PlantationDate]])," ", YEAR(CompilDonnées[[#This Row],[PlantationDate]]))</f>
        <v>1 2025</v>
      </c>
      <c r="M885" t="str">
        <f>CONCATENATE(MONTH(CompilDonnées[[#This Row],[HarvestingDate]])," ", YEAR(CompilDonnées[[#This Row],[HarvestingDate]]))</f>
        <v>3 2025</v>
      </c>
      <c r="N885">
        <f>_xlfn.NUMBERVALUE(CompilDonnées[[#This Row],[FarmID]]&amp;CompilDonnées[[#This Row],[ModuleNumber]]&amp;CompilDonnées[[#This Row],[PlantationDate]])</f>
        <v>5545678</v>
      </c>
      <c r="O885" t="str">
        <f>CompilDonnées[[#This Row],[FarmID]]&amp;CompilDonnées[[#This Row],[ModuleNumber]]</f>
        <v>55</v>
      </c>
      <c r="P885" t="str">
        <f>CompilDonnées[[#This Row],[Ref_Module]]&amp;CompilDonnées[[#This Row],[HarvestingDate]]</f>
        <v>5545719</v>
      </c>
    </row>
    <row r="886" spans="1:16">
      <c r="A886" s="5">
        <v>45678</v>
      </c>
      <c r="B886">
        <v>3</v>
      </c>
      <c r="C886" t="s">
        <v>116</v>
      </c>
      <c r="D886">
        <v>6</v>
      </c>
      <c r="E886">
        <v>100</v>
      </c>
      <c r="F886" t="s">
        <v>1</v>
      </c>
      <c r="G886" s="6">
        <v>45721</v>
      </c>
      <c r="H886">
        <v>43</v>
      </c>
      <c r="I886">
        <f>ROUND(CompilDonnées[[#This Row],[CultureDuration_days]]/7,0)</f>
        <v>6</v>
      </c>
      <c r="J886">
        <v>3805</v>
      </c>
      <c r="K886" t="str">
        <f>_xlfn.CONCAT(WEEKNUM(CompilDonnées[[#This Row],[PlantationDate]]), " ", YEAR(CompilDonnées[[#This Row],[PlantationDate]]))</f>
        <v>4 2025</v>
      </c>
      <c r="L886" t="str">
        <f>CONCATENATE(MONTH(CompilDonnées[[#This Row],[PlantationDate]])," ", YEAR(CompilDonnées[[#This Row],[PlantationDate]]))</f>
        <v>1 2025</v>
      </c>
      <c r="M886" t="str">
        <f>CONCATENATE(MONTH(CompilDonnées[[#This Row],[HarvestingDate]])," ", YEAR(CompilDonnées[[#This Row],[HarvestingDate]]))</f>
        <v>3 2025</v>
      </c>
      <c r="N886">
        <f>_xlfn.NUMBERVALUE(CompilDonnées[[#This Row],[FarmID]]&amp;CompilDonnées[[#This Row],[ModuleNumber]]&amp;CompilDonnées[[#This Row],[PlantationDate]])</f>
        <v>3645678</v>
      </c>
      <c r="O886" t="str">
        <f>CompilDonnées[[#This Row],[FarmID]]&amp;CompilDonnées[[#This Row],[ModuleNumber]]</f>
        <v>36</v>
      </c>
      <c r="P886" t="str">
        <f>CompilDonnées[[#This Row],[Ref_Module]]&amp;CompilDonnées[[#This Row],[HarvestingDate]]</f>
        <v>3645721</v>
      </c>
    </row>
    <row r="887" spans="1:16">
      <c r="A887" s="5">
        <v>45678</v>
      </c>
      <c r="B887">
        <v>18</v>
      </c>
      <c r="C887" t="s">
        <v>33</v>
      </c>
      <c r="D887">
        <v>3</v>
      </c>
      <c r="E887">
        <v>100</v>
      </c>
      <c r="F887" t="s">
        <v>1</v>
      </c>
      <c r="G887" s="6">
        <v>45712</v>
      </c>
      <c r="H887">
        <v>34</v>
      </c>
      <c r="I887">
        <f>ROUND(CompilDonnées[[#This Row],[CultureDuration_days]]/7,0)</f>
        <v>5</v>
      </c>
      <c r="J887">
        <v>2906</v>
      </c>
      <c r="K887" t="str">
        <f>_xlfn.CONCAT(WEEKNUM(CompilDonnées[[#This Row],[PlantationDate]]), " ", YEAR(CompilDonnées[[#This Row],[PlantationDate]]))</f>
        <v>4 2025</v>
      </c>
      <c r="L887" t="str">
        <f>CONCATENATE(MONTH(CompilDonnées[[#This Row],[PlantationDate]])," ", YEAR(CompilDonnées[[#This Row],[PlantationDate]]))</f>
        <v>1 2025</v>
      </c>
      <c r="M887" t="str">
        <f>CONCATENATE(MONTH(CompilDonnées[[#This Row],[HarvestingDate]])," ", YEAR(CompilDonnées[[#This Row],[HarvestingDate]]))</f>
        <v>2 2025</v>
      </c>
      <c r="N887">
        <f>_xlfn.NUMBERVALUE(CompilDonnées[[#This Row],[FarmID]]&amp;CompilDonnées[[#This Row],[ModuleNumber]]&amp;CompilDonnées[[#This Row],[PlantationDate]])</f>
        <v>18345678</v>
      </c>
      <c r="O887" t="str">
        <f>CompilDonnées[[#This Row],[FarmID]]&amp;CompilDonnées[[#This Row],[ModuleNumber]]</f>
        <v>183</v>
      </c>
      <c r="P887" t="str">
        <f>CompilDonnées[[#This Row],[Ref_Module]]&amp;CompilDonnées[[#This Row],[HarvestingDate]]</f>
        <v>18345712</v>
      </c>
    </row>
    <row r="888" spans="1:16">
      <c r="A888" s="5">
        <v>45678</v>
      </c>
      <c r="B888">
        <v>17</v>
      </c>
      <c r="C888" t="s">
        <v>80</v>
      </c>
      <c r="D888">
        <v>5</v>
      </c>
      <c r="E888">
        <v>100</v>
      </c>
      <c r="F888" t="s">
        <v>1</v>
      </c>
      <c r="G888" s="6">
        <v>45719</v>
      </c>
      <c r="H888">
        <v>41</v>
      </c>
      <c r="I888">
        <f>ROUND(CompilDonnées[[#This Row],[CultureDuration_days]]/7,0)</f>
        <v>6</v>
      </c>
      <c r="J888">
        <v>3027</v>
      </c>
      <c r="K888" t="str">
        <f>_xlfn.CONCAT(WEEKNUM(CompilDonnées[[#This Row],[PlantationDate]]), " ", YEAR(CompilDonnées[[#This Row],[PlantationDate]]))</f>
        <v>4 2025</v>
      </c>
      <c r="L888" t="str">
        <f>CONCATENATE(MONTH(CompilDonnées[[#This Row],[PlantationDate]])," ", YEAR(CompilDonnées[[#This Row],[PlantationDate]]))</f>
        <v>1 2025</v>
      </c>
      <c r="M888" t="str">
        <f>CONCATENATE(MONTH(CompilDonnées[[#This Row],[HarvestingDate]])," ", YEAR(CompilDonnées[[#This Row],[HarvestingDate]]))</f>
        <v>3 2025</v>
      </c>
      <c r="N888">
        <f>_xlfn.NUMBERVALUE(CompilDonnées[[#This Row],[FarmID]]&amp;CompilDonnées[[#This Row],[ModuleNumber]]&amp;CompilDonnées[[#This Row],[PlantationDate]])</f>
        <v>17545678</v>
      </c>
      <c r="O888" t="str">
        <f>CompilDonnées[[#This Row],[FarmID]]&amp;CompilDonnées[[#This Row],[ModuleNumber]]</f>
        <v>175</v>
      </c>
      <c r="P888" t="str">
        <f>CompilDonnées[[#This Row],[Ref_Module]]&amp;CompilDonnées[[#This Row],[HarvestingDate]]</f>
        <v>17545719</v>
      </c>
    </row>
    <row r="889" spans="1:16">
      <c r="A889" s="5">
        <v>45678</v>
      </c>
      <c r="B889">
        <v>16</v>
      </c>
      <c r="C889" t="s">
        <v>112</v>
      </c>
      <c r="D889">
        <v>4</v>
      </c>
      <c r="E889">
        <v>100</v>
      </c>
      <c r="F889" t="s">
        <v>1</v>
      </c>
      <c r="G889" s="6">
        <v>45722</v>
      </c>
      <c r="H889">
        <v>44</v>
      </c>
      <c r="I889">
        <f>ROUND(CompilDonnées[[#This Row],[CultureDuration_days]]/7,0)</f>
        <v>6</v>
      </c>
      <c r="J889">
        <v>3485</v>
      </c>
      <c r="K889" t="str">
        <f>_xlfn.CONCAT(WEEKNUM(CompilDonnées[[#This Row],[PlantationDate]]), " ", YEAR(CompilDonnées[[#This Row],[PlantationDate]]))</f>
        <v>4 2025</v>
      </c>
      <c r="L889" t="str">
        <f>CONCATENATE(MONTH(CompilDonnées[[#This Row],[PlantationDate]])," ", YEAR(CompilDonnées[[#This Row],[PlantationDate]]))</f>
        <v>1 2025</v>
      </c>
      <c r="M889" t="str">
        <f>CONCATENATE(MONTH(CompilDonnées[[#This Row],[HarvestingDate]])," ", YEAR(CompilDonnées[[#This Row],[HarvestingDate]]))</f>
        <v>3 2025</v>
      </c>
      <c r="N889">
        <f>_xlfn.NUMBERVALUE(CompilDonnées[[#This Row],[FarmID]]&amp;CompilDonnées[[#This Row],[ModuleNumber]]&amp;CompilDonnées[[#This Row],[PlantationDate]])</f>
        <v>16445678</v>
      </c>
      <c r="O889" t="str">
        <f>CompilDonnées[[#This Row],[FarmID]]&amp;CompilDonnées[[#This Row],[ModuleNumber]]</f>
        <v>164</v>
      </c>
      <c r="P889" t="str">
        <f>CompilDonnées[[#This Row],[Ref_Module]]&amp;CompilDonnées[[#This Row],[HarvestingDate]]</f>
        <v>16445722</v>
      </c>
    </row>
    <row r="890" spans="1:16">
      <c r="A890" s="5">
        <v>45678</v>
      </c>
      <c r="B890">
        <v>15</v>
      </c>
      <c r="C890" t="s">
        <v>5</v>
      </c>
      <c r="D890">
        <v>5</v>
      </c>
      <c r="E890">
        <v>100</v>
      </c>
      <c r="F890" t="s">
        <v>1</v>
      </c>
      <c r="G890" s="6">
        <v>45726</v>
      </c>
      <c r="H890">
        <v>48</v>
      </c>
      <c r="I890">
        <f>ROUND(CompilDonnées[[#This Row],[CultureDuration_days]]/7,0)</f>
        <v>7</v>
      </c>
      <c r="J890">
        <v>2923</v>
      </c>
      <c r="K890" t="str">
        <f>_xlfn.CONCAT(WEEKNUM(CompilDonnées[[#This Row],[PlantationDate]]), " ", YEAR(CompilDonnées[[#This Row],[PlantationDate]]))</f>
        <v>4 2025</v>
      </c>
      <c r="L890" t="str">
        <f>CONCATENATE(MONTH(CompilDonnées[[#This Row],[PlantationDate]])," ", YEAR(CompilDonnées[[#This Row],[PlantationDate]]))</f>
        <v>1 2025</v>
      </c>
      <c r="M890" t="str">
        <f>CONCATENATE(MONTH(CompilDonnées[[#This Row],[HarvestingDate]])," ", YEAR(CompilDonnées[[#This Row],[HarvestingDate]]))</f>
        <v>3 2025</v>
      </c>
      <c r="N890">
        <f>_xlfn.NUMBERVALUE(CompilDonnées[[#This Row],[FarmID]]&amp;CompilDonnées[[#This Row],[ModuleNumber]]&amp;CompilDonnées[[#This Row],[PlantationDate]])</f>
        <v>15545678</v>
      </c>
      <c r="O890" t="str">
        <f>CompilDonnées[[#This Row],[FarmID]]&amp;CompilDonnées[[#This Row],[ModuleNumber]]</f>
        <v>155</v>
      </c>
      <c r="P890" t="str">
        <f>CompilDonnées[[#This Row],[Ref_Module]]&amp;CompilDonnées[[#This Row],[HarvestingDate]]</f>
        <v>15545726</v>
      </c>
    </row>
    <row r="891" spans="1:16">
      <c r="A891" s="5">
        <v>45678</v>
      </c>
      <c r="B891">
        <v>31</v>
      </c>
      <c r="C891" t="s">
        <v>62</v>
      </c>
      <c r="D891">
        <v>1</v>
      </c>
      <c r="E891">
        <v>100</v>
      </c>
      <c r="F891" t="s">
        <v>1</v>
      </c>
      <c r="G891" s="6">
        <v>45722</v>
      </c>
      <c r="H891">
        <v>44</v>
      </c>
      <c r="I891">
        <f>ROUND(CompilDonnées[[#This Row],[CultureDuration_days]]/7,0)</f>
        <v>6</v>
      </c>
      <c r="J891">
        <v>3218</v>
      </c>
      <c r="K891" t="str">
        <f>_xlfn.CONCAT(WEEKNUM(CompilDonnées[[#This Row],[PlantationDate]]), " ", YEAR(CompilDonnées[[#This Row],[PlantationDate]]))</f>
        <v>4 2025</v>
      </c>
      <c r="L891" t="str">
        <f>CONCATENATE(MONTH(CompilDonnées[[#This Row],[PlantationDate]])," ", YEAR(CompilDonnées[[#This Row],[PlantationDate]]))</f>
        <v>1 2025</v>
      </c>
      <c r="M891" t="str">
        <f>CONCATENATE(MONTH(CompilDonnées[[#This Row],[HarvestingDate]])," ", YEAR(CompilDonnées[[#This Row],[HarvestingDate]]))</f>
        <v>3 2025</v>
      </c>
      <c r="N891">
        <f>_xlfn.NUMBERVALUE(CompilDonnées[[#This Row],[FarmID]]&amp;CompilDonnées[[#This Row],[ModuleNumber]]&amp;CompilDonnées[[#This Row],[PlantationDate]])</f>
        <v>31145678</v>
      </c>
      <c r="O891" t="str">
        <f>CompilDonnées[[#This Row],[FarmID]]&amp;CompilDonnées[[#This Row],[ModuleNumber]]</f>
        <v>311</v>
      </c>
      <c r="P891" t="str">
        <f>CompilDonnées[[#This Row],[Ref_Module]]&amp;CompilDonnées[[#This Row],[HarvestingDate]]</f>
        <v>31145722</v>
      </c>
    </row>
    <row r="892" spans="1:16">
      <c r="A892" s="5">
        <v>45678</v>
      </c>
      <c r="B892">
        <v>30</v>
      </c>
      <c r="C892" t="s">
        <v>4</v>
      </c>
      <c r="D892">
        <v>4</v>
      </c>
      <c r="E892">
        <v>100</v>
      </c>
      <c r="F892" t="s">
        <v>1</v>
      </c>
      <c r="G892" s="6">
        <v>45722</v>
      </c>
      <c r="H892">
        <v>44</v>
      </c>
      <c r="I892">
        <f>ROUND(CompilDonnées[[#This Row],[CultureDuration_days]]/7,0)</f>
        <v>6</v>
      </c>
      <c r="J892">
        <v>4090</v>
      </c>
      <c r="K892" t="str">
        <f>_xlfn.CONCAT(WEEKNUM(CompilDonnées[[#This Row],[PlantationDate]]), " ", YEAR(CompilDonnées[[#This Row],[PlantationDate]]))</f>
        <v>4 2025</v>
      </c>
      <c r="L892" t="str">
        <f>CONCATENATE(MONTH(CompilDonnées[[#This Row],[PlantationDate]])," ", YEAR(CompilDonnées[[#This Row],[PlantationDate]]))</f>
        <v>1 2025</v>
      </c>
      <c r="M892" t="str">
        <f>CONCATENATE(MONTH(CompilDonnées[[#This Row],[HarvestingDate]])," ", YEAR(CompilDonnées[[#This Row],[HarvestingDate]]))</f>
        <v>3 2025</v>
      </c>
      <c r="N892">
        <f>_xlfn.NUMBERVALUE(CompilDonnées[[#This Row],[FarmID]]&amp;CompilDonnées[[#This Row],[ModuleNumber]]&amp;CompilDonnées[[#This Row],[PlantationDate]])</f>
        <v>30445678</v>
      </c>
      <c r="O892" t="str">
        <f>CompilDonnées[[#This Row],[FarmID]]&amp;CompilDonnées[[#This Row],[ModuleNumber]]</f>
        <v>304</v>
      </c>
      <c r="P892" t="str">
        <f>CompilDonnées[[#This Row],[Ref_Module]]&amp;CompilDonnées[[#This Row],[HarvestingDate]]</f>
        <v>30445722</v>
      </c>
    </row>
    <row r="893" spans="1:16">
      <c r="A893" s="5">
        <v>45678</v>
      </c>
      <c r="B893">
        <v>29</v>
      </c>
      <c r="C893" t="s">
        <v>2</v>
      </c>
      <c r="D893">
        <v>5</v>
      </c>
      <c r="E893">
        <v>100</v>
      </c>
      <c r="F893" t="s">
        <v>1</v>
      </c>
      <c r="G893" s="6">
        <v>45713</v>
      </c>
      <c r="H893">
        <v>35</v>
      </c>
      <c r="I893">
        <f>ROUND(CompilDonnées[[#This Row],[CultureDuration_days]]/7,0)</f>
        <v>5</v>
      </c>
      <c r="J893">
        <v>2445</v>
      </c>
      <c r="K893" t="str">
        <f>_xlfn.CONCAT(WEEKNUM(CompilDonnées[[#This Row],[PlantationDate]]), " ", YEAR(CompilDonnées[[#This Row],[PlantationDate]]))</f>
        <v>4 2025</v>
      </c>
      <c r="L893" t="str">
        <f>CONCATENATE(MONTH(CompilDonnées[[#This Row],[PlantationDate]])," ", YEAR(CompilDonnées[[#This Row],[PlantationDate]]))</f>
        <v>1 2025</v>
      </c>
      <c r="M893" t="str">
        <f>CONCATENATE(MONTH(CompilDonnées[[#This Row],[HarvestingDate]])," ", YEAR(CompilDonnées[[#This Row],[HarvestingDate]]))</f>
        <v>2 2025</v>
      </c>
      <c r="N893">
        <f>_xlfn.NUMBERVALUE(CompilDonnées[[#This Row],[FarmID]]&amp;CompilDonnées[[#This Row],[ModuleNumber]]&amp;CompilDonnées[[#This Row],[PlantationDate]])</f>
        <v>29545678</v>
      </c>
      <c r="O893" t="str">
        <f>CompilDonnées[[#This Row],[FarmID]]&amp;CompilDonnées[[#This Row],[ModuleNumber]]</f>
        <v>295</v>
      </c>
      <c r="P893" t="str">
        <f>CompilDonnées[[#This Row],[Ref_Module]]&amp;CompilDonnées[[#This Row],[HarvestingDate]]</f>
        <v>29545713</v>
      </c>
    </row>
    <row r="894" spans="1:16">
      <c r="A894" s="5">
        <v>45678</v>
      </c>
      <c r="B894">
        <v>37</v>
      </c>
      <c r="C894" t="s">
        <v>26</v>
      </c>
      <c r="D894">
        <v>4</v>
      </c>
      <c r="E894">
        <v>100</v>
      </c>
      <c r="F894" t="s">
        <v>1</v>
      </c>
      <c r="G894" s="6">
        <v>45721</v>
      </c>
      <c r="H894">
        <v>43</v>
      </c>
      <c r="I894">
        <f>ROUND(CompilDonnées[[#This Row],[CultureDuration_days]]/7,0)</f>
        <v>6</v>
      </c>
      <c r="J894">
        <v>4036</v>
      </c>
      <c r="K894" t="str">
        <f>_xlfn.CONCAT(WEEKNUM(CompilDonnées[[#This Row],[PlantationDate]]), " ", YEAR(CompilDonnées[[#This Row],[PlantationDate]]))</f>
        <v>4 2025</v>
      </c>
      <c r="L894" t="str">
        <f>CONCATENATE(MONTH(CompilDonnées[[#This Row],[PlantationDate]])," ", YEAR(CompilDonnées[[#This Row],[PlantationDate]]))</f>
        <v>1 2025</v>
      </c>
      <c r="M894" t="str">
        <f>CONCATENATE(MONTH(CompilDonnées[[#This Row],[HarvestingDate]])," ", YEAR(CompilDonnées[[#This Row],[HarvestingDate]]))</f>
        <v>3 2025</v>
      </c>
      <c r="N894">
        <f>_xlfn.NUMBERVALUE(CompilDonnées[[#This Row],[FarmID]]&amp;CompilDonnées[[#This Row],[ModuleNumber]]&amp;CompilDonnées[[#This Row],[PlantationDate]])</f>
        <v>37445678</v>
      </c>
      <c r="O894" t="str">
        <f>CompilDonnées[[#This Row],[FarmID]]&amp;CompilDonnées[[#This Row],[ModuleNumber]]</f>
        <v>374</v>
      </c>
      <c r="P894" t="str">
        <f>CompilDonnées[[#This Row],[Ref_Module]]&amp;CompilDonnées[[#This Row],[HarvestingDate]]</f>
        <v>37445721</v>
      </c>
    </row>
    <row r="895" spans="1:16">
      <c r="A895" s="5">
        <v>45678</v>
      </c>
      <c r="B895">
        <v>36</v>
      </c>
      <c r="C895" t="s">
        <v>63</v>
      </c>
      <c r="D895">
        <v>5</v>
      </c>
      <c r="E895">
        <v>100</v>
      </c>
      <c r="F895" t="s">
        <v>1</v>
      </c>
      <c r="G895" s="6">
        <v>45721</v>
      </c>
      <c r="H895">
        <v>43</v>
      </c>
      <c r="I895">
        <f>ROUND(CompilDonnées[[#This Row],[CultureDuration_days]]/7,0)</f>
        <v>6</v>
      </c>
      <c r="J895">
        <v>3630</v>
      </c>
      <c r="K895" t="str">
        <f>_xlfn.CONCAT(WEEKNUM(CompilDonnées[[#This Row],[PlantationDate]]), " ", YEAR(CompilDonnées[[#This Row],[PlantationDate]]))</f>
        <v>4 2025</v>
      </c>
      <c r="L895" t="str">
        <f>CONCATENATE(MONTH(CompilDonnées[[#This Row],[PlantationDate]])," ", YEAR(CompilDonnées[[#This Row],[PlantationDate]]))</f>
        <v>1 2025</v>
      </c>
      <c r="M895" t="str">
        <f>CONCATENATE(MONTH(CompilDonnées[[#This Row],[HarvestingDate]])," ", YEAR(CompilDonnées[[#This Row],[HarvestingDate]]))</f>
        <v>3 2025</v>
      </c>
      <c r="N895">
        <f>_xlfn.NUMBERVALUE(CompilDonnées[[#This Row],[FarmID]]&amp;CompilDonnées[[#This Row],[ModuleNumber]]&amp;CompilDonnées[[#This Row],[PlantationDate]])</f>
        <v>36545678</v>
      </c>
      <c r="O895" t="str">
        <f>CompilDonnées[[#This Row],[FarmID]]&amp;CompilDonnées[[#This Row],[ModuleNumber]]</f>
        <v>365</v>
      </c>
      <c r="P895" t="str">
        <f>CompilDonnées[[#This Row],[Ref_Module]]&amp;CompilDonnées[[#This Row],[HarvestingDate]]</f>
        <v>36545721</v>
      </c>
    </row>
    <row r="896" spans="1:16">
      <c r="A896" s="5">
        <v>45678</v>
      </c>
      <c r="B896">
        <v>35</v>
      </c>
      <c r="C896" t="s">
        <v>69</v>
      </c>
      <c r="D896">
        <v>5</v>
      </c>
      <c r="E896">
        <v>100</v>
      </c>
      <c r="F896" t="s">
        <v>1</v>
      </c>
      <c r="G896" s="6">
        <v>45722</v>
      </c>
      <c r="H896">
        <v>44</v>
      </c>
      <c r="I896">
        <f>ROUND(CompilDonnées[[#This Row],[CultureDuration_days]]/7,0)</f>
        <v>6</v>
      </c>
      <c r="J896">
        <v>3894</v>
      </c>
      <c r="K896" t="str">
        <f>_xlfn.CONCAT(WEEKNUM(CompilDonnées[[#This Row],[PlantationDate]]), " ", YEAR(CompilDonnées[[#This Row],[PlantationDate]]))</f>
        <v>4 2025</v>
      </c>
      <c r="L896" t="str">
        <f>CONCATENATE(MONTH(CompilDonnées[[#This Row],[PlantationDate]])," ", YEAR(CompilDonnées[[#This Row],[PlantationDate]]))</f>
        <v>1 2025</v>
      </c>
      <c r="M896" t="str">
        <f>CONCATENATE(MONTH(CompilDonnées[[#This Row],[HarvestingDate]])," ", YEAR(CompilDonnées[[#This Row],[HarvestingDate]]))</f>
        <v>3 2025</v>
      </c>
      <c r="N896">
        <f>_xlfn.NUMBERVALUE(CompilDonnées[[#This Row],[FarmID]]&amp;CompilDonnées[[#This Row],[ModuleNumber]]&amp;CompilDonnées[[#This Row],[PlantationDate]])</f>
        <v>35545678</v>
      </c>
      <c r="O896" t="str">
        <f>CompilDonnées[[#This Row],[FarmID]]&amp;CompilDonnées[[#This Row],[ModuleNumber]]</f>
        <v>355</v>
      </c>
      <c r="P896" t="str">
        <f>CompilDonnées[[#This Row],[Ref_Module]]&amp;CompilDonnées[[#This Row],[HarvestingDate]]</f>
        <v>35545722</v>
      </c>
    </row>
    <row r="897" spans="1:16">
      <c r="A897" s="5">
        <v>45678</v>
      </c>
      <c r="B897">
        <v>43</v>
      </c>
      <c r="C897" t="s">
        <v>45</v>
      </c>
      <c r="D897">
        <v>3</v>
      </c>
      <c r="E897">
        <v>100</v>
      </c>
      <c r="F897" t="s">
        <v>1</v>
      </c>
      <c r="G897" s="6">
        <v>45721</v>
      </c>
      <c r="H897">
        <v>43</v>
      </c>
      <c r="I897">
        <f>ROUND(CompilDonnées[[#This Row],[CultureDuration_days]]/7,0)</f>
        <v>6</v>
      </c>
      <c r="J897">
        <v>3615</v>
      </c>
      <c r="K897" t="str">
        <f>_xlfn.CONCAT(WEEKNUM(CompilDonnées[[#This Row],[PlantationDate]]), " ", YEAR(CompilDonnées[[#This Row],[PlantationDate]]))</f>
        <v>4 2025</v>
      </c>
      <c r="L897" t="str">
        <f>CONCATENATE(MONTH(CompilDonnées[[#This Row],[PlantationDate]])," ", YEAR(CompilDonnées[[#This Row],[PlantationDate]]))</f>
        <v>1 2025</v>
      </c>
      <c r="M897" t="str">
        <f>CONCATENATE(MONTH(CompilDonnées[[#This Row],[HarvestingDate]])," ", YEAR(CompilDonnées[[#This Row],[HarvestingDate]]))</f>
        <v>3 2025</v>
      </c>
      <c r="N897">
        <f>_xlfn.NUMBERVALUE(CompilDonnées[[#This Row],[FarmID]]&amp;CompilDonnées[[#This Row],[ModuleNumber]]&amp;CompilDonnées[[#This Row],[PlantationDate]])</f>
        <v>43345678</v>
      </c>
      <c r="O897" t="str">
        <f>CompilDonnées[[#This Row],[FarmID]]&amp;CompilDonnées[[#This Row],[ModuleNumber]]</f>
        <v>433</v>
      </c>
      <c r="P897" t="str">
        <f>CompilDonnées[[#This Row],[Ref_Module]]&amp;CompilDonnées[[#This Row],[HarvestingDate]]</f>
        <v>43345721</v>
      </c>
    </row>
    <row r="898" spans="1:16">
      <c r="A898" s="5">
        <v>45678</v>
      </c>
      <c r="B898">
        <v>7</v>
      </c>
      <c r="C898" t="s">
        <v>50</v>
      </c>
      <c r="D898">
        <v>3</v>
      </c>
      <c r="E898">
        <v>100</v>
      </c>
      <c r="F898" t="s">
        <v>1</v>
      </c>
      <c r="G898" s="6">
        <v>45722</v>
      </c>
      <c r="H898">
        <v>44</v>
      </c>
      <c r="I898">
        <f>ROUND(CompilDonnées[[#This Row],[CultureDuration_days]]/7,0)</f>
        <v>6</v>
      </c>
      <c r="J898">
        <v>3865</v>
      </c>
      <c r="K898" t="str">
        <f>_xlfn.CONCAT(WEEKNUM(CompilDonnées[[#This Row],[PlantationDate]]), " ", YEAR(CompilDonnées[[#This Row],[PlantationDate]]))</f>
        <v>4 2025</v>
      </c>
      <c r="L898" t="str">
        <f>CONCATENATE(MONTH(CompilDonnées[[#This Row],[PlantationDate]])," ", YEAR(CompilDonnées[[#This Row],[PlantationDate]]))</f>
        <v>1 2025</v>
      </c>
      <c r="M898" t="str">
        <f>CONCATENATE(MONTH(CompilDonnées[[#This Row],[HarvestingDate]])," ", YEAR(CompilDonnées[[#This Row],[HarvestingDate]]))</f>
        <v>3 2025</v>
      </c>
      <c r="N898">
        <f>_xlfn.NUMBERVALUE(CompilDonnées[[#This Row],[FarmID]]&amp;CompilDonnées[[#This Row],[ModuleNumber]]&amp;CompilDonnées[[#This Row],[PlantationDate]])</f>
        <v>7345678</v>
      </c>
      <c r="O898" t="str">
        <f>CompilDonnées[[#This Row],[FarmID]]&amp;CompilDonnées[[#This Row],[ModuleNumber]]</f>
        <v>73</v>
      </c>
      <c r="P898" t="str">
        <f>CompilDonnées[[#This Row],[Ref_Module]]&amp;CompilDonnées[[#This Row],[HarvestingDate]]</f>
        <v>7345722</v>
      </c>
    </row>
    <row r="899" spans="1:16">
      <c r="A899" s="5">
        <v>45678</v>
      </c>
      <c r="B899">
        <v>10</v>
      </c>
      <c r="C899" t="s">
        <v>109</v>
      </c>
      <c r="D899">
        <v>6</v>
      </c>
      <c r="E899">
        <v>100</v>
      </c>
      <c r="F899" t="s">
        <v>1</v>
      </c>
      <c r="G899" s="6">
        <v>45719</v>
      </c>
      <c r="H899">
        <v>41</v>
      </c>
      <c r="I899">
        <f>ROUND(CompilDonnées[[#This Row],[CultureDuration_days]]/7,0)</f>
        <v>6</v>
      </c>
      <c r="J899">
        <v>3091</v>
      </c>
      <c r="K899" t="str">
        <f>_xlfn.CONCAT(WEEKNUM(CompilDonnées[[#This Row],[PlantationDate]]), " ", YEAR(CompilDonnées[[#This Row],[PlantationDate]]))</f>
        <v>4 2025</v>
      </c>
      <c r="L899" t="str">
        <f>CONCATENATE(MONTH(CompilDonnées[[#This Row],[PlantationDate]])," ", YEAR(CompilDonnées[[#This Row],[PlantationDate]]))</f>
        <v>1 2025</v>
      </c>
      <c r="M899" t="str">
        <f>CONCATENATE(MONTH(CompilDonnées[[#This Row],[HarvestingDate]])," ", YEAR(CompilDonnées[[#This Row],[HarvestingDate]]))</f>
        <v>3 2025</v>
      </c>
      <c r="N899">
        <f>_xlfn.NUMBERVALUE(CompilDonnées[[#This Row],[FarmID]]&amp;CompilDonnées[[#This Row],[ModuleNumber]]&amp;CompilDonnées[[#This Row],[PlantationDate]])</f>
        <v>10645678</v>
      </c>
      <c r="O899" t="str">
        <f>CompilDonnées[[#This Row],[FarmID]]&amp;CompilDonnées[[#This Row],[ModuleNumber]]</f>
        <v>106</v>
      </c>
      <c r="P899" t="str">
        <f>CompilDonnées[[#This Row],[Ref_Module]]&amp;CompilDonnées[[#This Row],[HarvestingDate]]</f>
        <v>10645719</v>
      </c>
    </row>
    <row r="900" spans="1:16">
      <c r="A900" s="5">
        <v>45678</v>
      </c>
      <c r="B900">
        <v>9</v>
      </c>
      <c r="C900" t="s">
        <v>107</v>
      </c>
      <c r="D900">
        <v>5</v>
      </c>
      <c r="E900">
        <v>100</v>
      </c>
      <c r="F900" t="s">
        <v>1</v>
      </c>
      <c r="G900" s="6">
        <v>45721</v>
      </c>
      <c r="H900">
        <v>43</v>
      </c>
      <c r="I900">
        <f>ROUND(CompilDonnées[[#This Row],[CultureDuration_days]]/7,0)</f>
        <v>6</v>
      </c>
      <c r="J900">
        <v>3089</v>
      </c>
      <c r="K900" t="str">
        <f>_xlfn.CONCAT(WEEKNUM(CompilDonnées[[#This Row],[PlantationDate]]), " ", YEAR(CompilDonnées[[#This Row],[PlantationDate]]))</f>
        <v>4 2025</v>
      </c>
      <c r="L900" t="str">
        <f>CONCATENATE(MONTH(CompilDonnées[[#This Row],[PlantationDate]])," ", YEAR(CompilDonnées[[#This Row],[PlantationDate]]))</f>
        <v>1 2025</v>
      </c>
      <c r="M900" t="str">
        <f>CONCATENATE(MONTH(CompilDonnées[[#This Row],[HarvestingDate]])," ", YEAR(CompilDonnées[[#This Row],[HarvestingDate]]))</f>
        <v>3 2025</v>
      </c>
      <c r="N900">
        <f>_xlfn.NUMBERVALUE(CompilDonnées[[#This Row],[FarmID]]&amp;CompilDonnées[[#This Row],[ModuleNumber]]&amp;CompilDonnées[[#This Row],[PlantationDate]])</f>
        <v>9545678</v>
      </c>
      <c r="O900" t="str">
        <f>CompilDonnées[[#This Row],[FarmID]]&amp;CompilDonnées[[#This Row],[ModuleNumber]]</f>
        <v>95</v>
      </c>
      <c r="P900" t="str">
        <f>CompilDonnées[[#This Row],[Ref_Module]]&amp;CompilDonnées[[#This Row],[HarvestingDate]]</f>
        <v>9545721</v>
      </c>
    </row>
    <row r="901" spans="1:16">
      <c r="A901" s="5">
        <v>45678</v>
      </c>
      <c r="B901">
        <v>28</v>
      </c>
      <c r="C901" t="s">
        <v>77</v>
      </c>
      <c r="D901">
        <v>3</v>
      </c>
      <c r="E901">
        <v>100</v>
      </c>
      <c r="F901" t="s">
        <v>1</v>
      </c>
      <c r="G901" s="6">
        <v>45726</v>
      </c>
      <c r="H901">
        <v>48</v>
      </c>
      <c r="I901">
        <f>ROUND(CompilDonnées[[#This Row],[CultureDuration_days]]/7,0)</f>
        <v>7</v>
      </c>
      <c r="J901">
        <v>2790</v>
      </c>
      <c r="K901" t="str">
        <f>_xlfn.CONCAT(WEEKNUM(CompilDonnées[[#This Row],[PlantationDate]]), " ", YEAR(CompilDonnées[[#This Row],[PlantationDate]]))</f>
        <v>4 2025</v>
      </c>
      <c r="L901" t="str">
        <f>CONCATENATE(MONTH(CompilDonnées[[#This Row],[PlantationDate]])," ", YEAR(CompilDonnées[[#This Row],[PlantationDate]]))</f>
        <v>1 2025</v>
      </c>
      <c r="M901" t="str">
        <f>CONCATENATE(MONTH(CompilDonnées[[#This Row],[HarvestingDate]])," ", YEAR(CompilDonnées[[#This Row],[HarvestingDate]]))</f>
        <v>3 2025</v>
      </c>
      <c r="N901">
        <f>_xlfn.NUMBERVALUE(CompilDonnées[[#This Row],[FarmID]]&amp;CompilDonnées[[#This Row],[ModuleNumber]]&amp;CompilDonnées[[#This Row],[PlantationDate]])</f>
        <v>28345678</v>
      </c>
      <c r="O901" t="str">
        <f>CompilDonnées[[#This Row],[FarmID]]&amp;CompilDonnées[[#This Row],[ModuleNumber]]</f>
        <v>283</v>
      </c>
      <c r="P901" t="str">
        <f>CompilDonnées[[#This Row],[Ref_Module]]&amp;CompilDonnées[[#This Row],[HarvestingDate]]</f>
        <v>28345726</v>
      </c>
    </row>
    <row r="902" spans="1:16">
      <c r="A902" s="5">
        <v>45678</v>
      </c>
      <c r="B902">
        <v>33</v>
      </c>
      <c r="C902" t="s">
        <v>104</v>
      </c>
      <c r="D902">
        <v>2</v>
      </c>
      <c r="E902">
        <v>100</v>
      </c>
      <c r="F902" t="s">
        <v>1</v>
      </c>
      <c r="G902" s="6">
        <v>45722</v>
      </c>
      <c r="H902">
        <v>44</v>
      </c>
      <c r="I902">
        <f>ROUND(CompilDonnées[[#This Row],[CultureDuration_days]]/7,0)</f>
        <v>6</v>
      </c>
      <c r="J902">
        <v>3632</v>
      </c>
      <c r="K902" t="str">
        <f>_xlfn.CONCAT(WEEKNUM(CompilDonnées[[#This Row],[PlantationDate]]), " ", YEAR(CompilDonnées[[#This Row],[PlantationDate]]))</f>
        <v>4 2025</v>
      </c>
      <c r="L902" t="str">
        <f>CONCATENATE(MONTH(CompilDonnées[[#This Row],[PlantationDate]])," ", YEAR(CompilDonnées[[#This Row],[PlantationDate]]))</f>
        <v>1 2025</v>
      </c>
      <c r="M902" t="str">
        <f>CONCATENATE(MONTH(CompilDonnées[[#This Row],[HarvestingDate]])," ", YEAR(CompilDonnées[[#This Row],[HarvestingDate]]))</f>
        <v>3 2025</v>
      </c>
      <c r="N902">
        <f>_xlfn.NUMBERVALUE(CompilDonnées[[#This Row],[FarmID]]&amp;CompilDonnées[[#This Row],[ModuleNumber]]&amp;CompilDonnées[[#This Row],[PlantationDate]])</f>
        <v>33245678</v>
      </c>
      <c r="O902" t="str">
        <f>CompilDonnées[[#This Row],[FarmID]]&amp;CompilDonnées[[#This Row],[ModuleNumber]]</f>
        <v>332</v>
      </c>
      <c r="P902" t="str">
        <f>CompilDonnées[[#This Row],[Ref_Module]]&amp;CompilDonnées[[#This Row],[HarvestingDate]]</f>
        <v>33245722</v>
      </c>
    </row>
    <row r="903" spans="1:16">
      <c r="A903" s="5">
        <v>45678</v>
      </c>
      <c r="B903">
        <v>34</v>
      </c>
      <c r="C903" t="s">
        <v>68</v>
      </c>
      <c r="D903">
        <v>3</v>
      </c>
      <c r="E903">
        <v>100</v>
      </c>
      <c r="F903" t="s">
        <v>1</v>
      </c>
      <c r="G903" s="6">
        <v>45722</v>
      </c>
      <c r="H903">
        <v>44</v>
      </c>
      <c r="I903">
        <f>ROUND(CompilDonnées[[#This Row],[CultureDuration_days]]/7,0)</f>
        <v>6</v>
      </c>
      <c r="J903">
        <v>2904</v>
      </c>
      <c r="K903" t="str">
        <f>_xlfn.CONCAT(WEEKNUM(CompilDonnées[[#This Row],[PlantationDate]]), " ", YEAR(CompilDonnées[[#This Row],[PlantationDate]]))</f>
        <v>4 2025</v>
      </c>
      <c r="L903" t="str">
        <f>CONCATENATE(MONTH(CompilDonnées[[#This Row],[PlantationDate]])," ", YEAR(CompilDonnées[[#This Row],[PlantationDate]]))</f>
        <v>1 2025</v>
      </c>
      <c r="M903" t="str">
        <f>CONCATENATE(MONTH(CompilDonnées[[#This Row],[HarvestingDate]])," ", YEAR(CompilDonnées[[#This Row],[HarvestingDate]]))</f>
        <v>3 2025</v>
      </c>
      <c r="N903">
        <f>_xlfn.NUMBERVALUE(CompilDonnées[[#This Row],[FarmID]]&amp;CompilDonnées[[#This Row],[ModuleNumber]]&amp;CompilDonnées[[#This Row],[PlantationDate]])</f>
        <v>34345678</v>
      </c>
      <c r="O903" t="str">
        <f>CompilDonnées[[#This Row],[FarmID]]&amp;CompilDonnées[[#This Row],[ModuleNumber]]</f>
        <v>343</v>
      </c>
      <c r="P903" t="str">
        <f>CompilDonnées[[#This Row],[Ref_Module]]&amp;CompilDonnées[[#This Row],[HarvestingDate]]</f>
        <v>34345722</v>
      </c>
    </row>
    <row r="904" spans="1:16">
      <c r="A904" s="5">
        <v>45678</v>
      </c>
      <c r="B904">
        <v>39</v>
      </c>
      <c r="C904" t="s">
        <v>81</v>
      </c>
      <c r="D904">
        <v>1</v>
      </c>
      <c r="E904">
        <v>100</v>
      </c>
      <c r="F904" t="s">
        <v>1</v>
      </c>
      <c r="G904" s="6">
        <v>45714</v>
      </c>
      <c r="H904">
        <v>36</v>
      </c>
      <c r="I904">
        <f>ROUND(CompilDonnées[[#This Row],[CultureDuration_days]]/7,0)</f>
        <v>5</v>
      </c>
      <c r="J904">
        <v>2698</v>
      </c>
      <c r="K904" t="str">
        <f>_xlfn.CONCAT(WEEKNUM(CompilDonnées[[#This Row],[PlantationDate]]), " ", YEAR(CompilDonnées[[#This Row],[PlantationDate]]))</f>
        <v>4 2025</v>
      </c>
      <c r="L904" t="str">
        <f>CONCATENATE(MONTH(CompilDonnées[[#This Row],[PlantationDate]])," ", YEAR(CompilDonnées[[#This Row],[PlantationDate]]))</f>
        <v>1 2025</v>
      </c>
      <c r="M904" t="str">
        <f>CONCATENATE(MONTH(CompilDonnées[[#This Row],[HarvestingDate]])," ", YEAR(CompilDonnées[[#This Row],[HarvestingDate]]))</f>
        <v>2 2025</v>
      </c>
      <c r="N904">
        <f>_xlfn.NUMBERVALUE(CompilDonnées[[#This Row],[FarmID]]&amp;CompilDonnées[[#This Row],[ModuleNumber]]&amp;CompilDonnées[[#This Row],[PlantationDate]])</f>
        <v>39145678</v>
      </c>
      <c r="O904" t="str">
        <f>CompilDonnées[[#This Row],[FarmID]]&amp;CompilDonnées[[#This Row],[ModuleNumber]]</f>
        <v>391</v>
      </c>
      <c r="P904" t="str">
        <f>CompilDonnées[[#This Row],[Ref_Module]]&amp;CompilDonnées[[#This Row],[HarvestingDate]]</f>
        <v>39145714</v>
      </c>
    </row>
    <row r="905" spans="1:16">
      <c r="A905" s="5">
        <v>45678</v>
      </c>
      <c r="B905">
        <v>54</v>
      </c>
      <c r="C905" t="s">
        <v>39</v>
      </c>
      <c r="D905">
        <v>2</v>
      </c>
      <c r="E905">
        <v>100</v>
      </c>
      <c r="F905" t="s">
        <v>1</v>
      </c>
      <c r="G905" s="6">
        <v>45720</v>
      </c>
      <c r="H905">
        <v>42</v>
      </c>
      <c r="I905">
        <f>ROUND(CompilDonnées[[#This Row],[CultureDuration_days]]/7,0)</f>
        <v>6</v>
      </c>
      <c r="J905">
        <v>3003</v>
      </c>
      <c r="K905" t="str">
        <f>_xlfn.CONCAT(WEEKNUM(CompilDonnées[[#This Row],[PlantationDate]]), " ", YEAR(CompilDonnées[[#This Row],[PlantationDate]]))</f>
        <v>4 2025</v>
      </c>
      <c r="L905" t="str">
        <f>CONCATENATE(MONTH(CompilDonnées[[#This Row],[PlantationDate]])," ", YEAR(CompilDonnées[[#This Row],[PlantationDate]]))</f>
        <v>1 2025</v>
      </c>
      <c r="M905" t="str">
        <f>CONCATENATE(MONTH(CompilDonnées[[#This Row],[HarvestingDate]])," ", YEAR(CompilDonnées[[#This Row],[HarvestingDate]]))</f>
        <v>3 2025</v>
      </c>
      <c r="N905">
        <f>_xlfn.NUMBERVALUE(CompilDonnées[[#This Row],[FarmID]]&amp;CompilDonnées[[#This Row],[ModuleNumber]]&amp;CompilDonnées[[#This Row],[PlantationDate]])</f>
        <v>54245678</v>
      </c>
      <c r="O905" t="str">
        <f>CompilDonnées[[#This Row],[FarmID]]&amp;CompilDonnées[[#This Row],[ModuleNumber]]</f>
        <v>542</v>
      </c>
      <c r="P905" t="str">
        <f>CompilDonnées[[#This Row],[Ref_Module]]&amp;CompilDonnées[[#This Row],[HarvestingDate]]</f>
        <v>54245720</v>
      </c>
    </row>
    <row r="906" spans="1:16">
      <c r="A906" s="5">
        <v>45678</v>
      </c>
      <c r="B906">
        <v>1</v>
      </c>
      <c r="C906" t="s">
        <v>111</v>
      </c>
      <c r="D906">
        <v>4</v>
      </c>
      <c r="E906">
        <v>100</v>
      </c>
      <c r="F906" t="s">
        <v>1</v>
      </c>
      <c r="G906" s="6">
        <v>45721</v>
      </c>
      <c r="H906">
        <v>43</v>
      </c>
      <c r="I906">
        <f>ROUND(CompilDonnées[[#This Row],[CultureDuration_days]]/7,0)</f>
        <v>6</v>
      </c>
      <c r="J906">
        <v>3424</v>
      </c>
      <c r="K906" t="str">
        <f>_xlfn.CONCAT(WEEKNUM(CompilDonnées[[#This Row],[PlantationDate]]), " ", YEAR(CompilDonnées[[#This Row],[PlantationDate]]))</f>
        <v>4 2025</v>
      </c>
      <c r="L906" t="str">
        <f>CONCATENATE(MONTH(CompilDonnées[[#This Row],[PlantationDate]])," ", YEAR(CompilDonnées[[#This Row],[PlantationDate]]))</f>
        <v>1 2025</v>
      </c>
      <c r="M906" t="str">
        <f>CONCATENATE(MONTH(CompilDonnées[[#This Row],[HarvestingDate]])," ", YEAR(CompilDonnées[[#This Row],[HarvestingDate]]))</f>
        <v>3 2025</v>
      </c>
      <c r="N906">
        <f>_xlfn.NUMBERVALUE(CompilDonnées[[#This Row],[FarmID]]&amp;CompilDonnées[[#This Row],[ModuleNumber]]&amp;CompilDonnées[[#This Row],[PlantationDate]])</f>
        <v>1445678</v>
      </c>
      <c r="O906" t="str">
        <f>CompilDonnées[[#This Row],[FarmID]]&amp;CompilDonnées[[#This Row],[ModuleNumber]]</f>
        <v>14</v>
      </c>
      <c r="P906" t="str">
        <f>CompilDonnées[[#This Row],[Ref_Module]]&amp;CompilDonnées[[#This Row],[HarvestingDate]]</f>
        <v>1445721</v>
      </c>
    </row>
    <row r="907" spans="1:16">
      <c r="A907" s="5">
        <v>45678</v>
      </c>
      <c r="B907">
        <v>40</v>
      </c>
      <c r="C907" t="s">
        <v>82</v>
      </c>
      <c r="D907">
        <v>1</v>
      </c>
      <c r="E907">
        <v>100</v>
      </c>
      <c r="F907" t="s">
        <v>1</v>
      </c>
      <c r="G907" s="6">
        <v>45713</v>
      </c>
      <c r="H907">
        <v>35</v>
      </c>
      <c r="I907">
        <f>ROUND(CompilDonnées[[#This Row],[CultureDuration_days]]/7,0)</f>
        <v>5</v>
      </c>
      <c r="J907">
        <v>2732</v>
      </c>
      <c r="K907" t="str">
        <f>_xlfn.CONCAT(WEEKNUM(CompilDonnées[[#This Row],[PlantationDate]]), " ", YEAR(CompilDonnées[[#This Row],[PlantationDate]]))</f>
        <v>4 2025</v>
      </c>
      <c r="L907" t="str">
        <f>CONCATENATE(MONTH(CompilDonnées[[#This Row],[PlantationDate]])," ", YEAR(CompilDonnées[[#This Row],[PlantationDate]]))</f>
        <v>1 2025</v>
      </c>
      <c r="M907" t="str">
        <f>CONCATENATE(MONTH(CompilDonnées[[#This Row],[HarvestingDate]])," ", YEAR(CompilDonnées[[#This Row],[HarvestingDate]]))</f>
        <v>2 2025</v>
      </c>
      <c r="N907">
        <f>_xlfn.NUMBERVALUE(CompilDonnées[[#This Row],[FarmID]]&amp;CompilDonnées[[#This Row],[ModuleNumber]]&amp;CompilDonnées[[#This Row],[PlantationDate]])</f>
        <v>40145678</v>
      </c>
      <c r="O907" t="str">
        <f>CompilDonnées[[#This Row],[FarmID]]&amp;CompilDonnées[[#This Row],[ModuleNumber]]</f>
        <v>401</v>
      </c>
      <c r="P907" t="str">
        <f>CompilDonnées[[#This Row],[Ref_Module]]&amp;CompilDonnées[[#This Row],[HarvestingDate]]</f>
        <v>40145713</v>
      </c>
    </row>
    <row r="908" spans="1:16">
      <c r="A908" s="5">
        <v>45678</v>
      </c>
      <c r="B908">
        <v>40</v>
      </c>
      <c r="C908" t="s">
        <v>82</v>
      </c>
      <c r="D908">
        <v>6</v>
      </c>
      <c r="E908">
        <v>100</v>
      </c>
      <c r="F908" t="s">
        <v>1</v>
      </c>
      <c r="G908" s="6">
        <v>45722</v>
      </c>
      <c r="H908">
        <v>44</v>
      </c>
      <c r="I908">
        <f>ROUND(CompilDonnées[[#This Row],[CultureDuration_days]]/7,0)</f>
        <v>6</v>
      </c>
      <c r="J908">
        <v>3031</v>
      </c>
      <c r="K908" t="str">
        <f>_xlfn.CONCAT(WEEKNUM(CompilDonnées[[#This Row],[PlantationDate]]), " ", YEAR(CompilDonnées[[#This Row],[PlantationDate]]))</f>
        <v>4 2025</v>
      </c>
      <c r="L908" t="str">
        <f>CONCATENATE(MONTH(CompilDonnées[[#This Row],[PlantationDate]])," ", YEAR(CompilDonnées[[#This Row],[PlantationDate]]))</f>
        <v>1 2025</v>
      </c>
      <c r="M908" t="str">
        <f>CONCATENATE(MONTH(CompilDonnées[[#This Row],[HarvestingDate]])," ", YEAR(CompilDonnées[[#This Row],[HarvestingDate]]))</f>
        <v>3 2025</v>
      </c>
      <c r="N908">
        <f>_xlfn.NUMBERVALUE(CompilDonnées[[#This Row],[FarmID]]&amp;CompilDonnées[[#This Row],[ModuleNumber]]&amp;CompilDonnées[[#This Row],[PlantationDate]])</f>
        <v>40645678</v>
      </c>
      <c r="O908" t="str">
        <f>CompilDonnées[[#This Row],[FarmID]]&amp;CompilDonnées[[#This Row],[ModuleNumber]]</f>
        <v>406</v>
      </c>
      <c r="P908" t="str">
        <f>CompilDonnées[[#This Row],[Ref_Module]]&amp;CompilDonnées[[#This Row],[HarvestingDate]]</f>
        <v>40645722</v>
      </c>
    </row>
    <row r="909" spans="1:16">
      <c r="A909" s="5">
        <v>45678</v>
      </c>
      <c r="B909">
        <v>47</v>
      </c>
      <c r="C909" t="s">
        <v>12</v>
      </c>
      <c r="D909">
        <v>4</v>
      </c>
      <c r="E909">
        <v>100</v>
      </c>
      <c r="F909" t="s">
        <v>1</v>
      </c>
      <c r="G909" s="6">
        <v>45720</v>
      </c>
      <c r="H909">
        <v>42</v>
      </c>
      <c r="I909">
        <f>ROUND(CompilDonnées[[#This Row],[CultureDuration_days]]/7,0)</f>
        <v>6</v>
      </c>
      <c r="J909">
        <v>3020</v>
      </c>
      <c r="K909" t="str">
        <f>_xlfn.CONCAT(WEEKNUM(CompilDonnées[[#This Row],[PlantationDate]]), " ", YEAR(CompilDonnées[[#This Row],[PlantationDate]]))</f>
        <v>4 2025</v>
      </c>
      <c r="L909" t="str">
        <f>CONCATENATE(MONTH(CompilDonnées[[#This Row],[PlantationDate]])," ", YEAR(CompilDonnées[[#This Row],[PlantationDate]]))</f>
        <v>1 2025</v>
      </c>
      <c r="M909" t="str">
        <f>CONCATENATE(MONTH(CompilDonnées[[#This Row],[HarvestingDate]])," ", YEAR(CompilDonnées[[#This Row],[HarvestingDate]]))</f>
        <v>3 2025</v>
      </c>
      <c r="N909">
        <f>_xlfn.NUMBERVALUE(CompilDonnées[[#This Row],[FarmID]]&amp;CompilDonnées[[#This Row],[ModuleNumber]]&amp;CompilDonnées[[#This Row],[PlantationDate]])</f>
        <v>47445678</v>
      </c>
      <c r="O909" t="str">
        <f>CompilDonnées[[#This Row],[FarmID]]&amp;CompilDonnées[[#This Row],[ModuleNumber]]</f>
        <v>474</v>
      </c>
      <c r="P909" t="str">
        <f>CompilDonnées[[#This Row],[Ref_Module]]&amp;CompilDonnées[[#This Row],[HarvestingDate]]</f>
        <v>47445720</v>
      </c>
    </row>
    <row r="910" spans="1:16">
      <c r="A910" s="5">
        <v>45678</v>
      </c>
      <c r="B910">
        <v>74</v>
      </c>
      <c r="C910" t="s">
        <v>21</v>
      </c>
      <c r="D910">
        <v>3</v>
      </c>
      <c r="E910">
        <v>100</v>
      </c>
      <c r="F910" t="s">
        <v>1</v>
      </c>
      <c r="G910" s="6">
        <v>45720</v>
      </c>
      <c r="H910">
        <v>42</v>
      </c>
      <c r="I910">
        <f>ROUND(CompilDonnées[[#This Row],[CultureDuration_days]]/7,0)</f>
        <v>6</v>
      </c>
      <c r="J910">
        <v>3297</v>
      </c>
      <c r="K910" t="str">
        <f>_xlfn.CONCAT(WEEKNUM(CompilDonnées[[#This Row],[PlantationDate]]), " ", YEAR(CompilDonnées[[#This Row],[PlantationDate]]))</f>
        <v>4 2025</v>
      </c>
      <c r="L910" t="str">
        <f>CONCATENATE(MONTH(CompilDonnées[[#This Row],[PlantationDate]])," ", YEAR(CompilDonnées[[#This Row],[PlantationDate]]))</f>
        <v>1 2025</v>
      </c>
      <c r="M910" t="str">
        <f>CONCATENATE(MONTH(CompilDonnées[[#This Row],[HarvestingDate]])," ", YEAR(CompilDonnées[[#This Row],[HarvestingDate]]))</f>
        <v>3 2025</v>
      </c>
      <c r="N910">
        <f>_xlfn.NUMBERVALUE(CompilDonnées[[#This Row],[FarmID]]&amp;CompilDonnées[[#This Row],[ModuleNumber]]&amp;CompilDonnées[[#This Row],[PlantationDate]])</f>
        <v>74345678</v>
      </c>
      <c r="O910" t="str">
        <f>CompilDonnées[[#This Row],[FarmID]]&amp;CompilDonnées[[#This Row],[ModuleNumber]]</f>
        <v>743</v>
      </c>
      <c r="P910" t="str">
        <f>CompilDonnées[[#This Row],[Ref_Module]]&amp;CompilDonnées[[#This Row],[HarvestingDate]]</f>
        <v>74345720</v>
      </c>
    </row>
    <row r="911" spans="1:16">
      <c r="A911" s="5">
        <v>45678</v>
      </c>
      <c r="B911">
        <v>65</v>
      </c>
      <c r="C911" t="s">
        <v>36</v>
      </c>
      <c r="D911">
        <v>3</v>
      </c>
      <c r="E911">
        <v>100</v>
      </c>
      <c r="F911" t="s">
        <v>1</v>
      </c>
      <c r="G911" s="6">
        <v>45721</v>
      </c>
      <c r="H911">
        <v>43</v>
      </c>
      <c r="I911">
        <f>ROUND(CompilDonnées[[#This Row],[CultureDuration_days]]/7,0)</f>
        <v>6</v>
      </c>
      <c r="J911">
        <v>3984</v>
      </c>
      <c r="K911" t="str">
        <f>_xlfn.CONCAT(WEEKNUM(CompilDonnées[[#This Row],[PlantationDate]]), " ", YEAR(CompilDonnées[[#This Row],[PlantationDate]]))</f>
        <v>4 2025</v>
      </c>
      <c r="L911" t="str">
        <f>CONCATENATE(MONTH(CompilDonnées[[#This Row],[PlantationDate]])," ", YEAR(CompilDonnées[[#This Row],[PlantationDate]]))</f>
        <v>1 2025</v>
      </c>
      <c r="M911" t="str">
        <f>CONCATENATE(MONTH(CompilDonnées[[#This Row],[HarvestingDate]])," ", YEAR(CompilDonnées[[#This Row],[HarvestingDate]]))</f>
        <v>3 2025</v>
      </c>
      <c r="N911">
        <f>_xlfn.NUMBERVALUE(CompilDonnées[[#This Row],[FarmID]]&amp;CompilDonnées[[#This Row],[ModuleNumber]]&amp;CompilDonnées[[#This Row],[PlantationDate]])</f>
        <v>65345678</v>
      </c>
      <c r="O911" t="str">
        <f>CompilDonnées[[#This Row],[FarmID]]&amp;CompilDonnées[[#This Row],[ModuleNumber]]</f>
        <v>653</v>
      </c>
      <c r="P911" t="str">
        <f>CompilDonnées[[#This Row],[Ref_Module]]&amp;CompilDonnées[[#This Row],[HarvestingDate]]</f>
        <v>65345721</v>
      </c>
    </row>
    <row r="912" spans="1:16">
      <c r="A912" s="5">
        <v>45678</v>
      </c>
      <c r="B912">
        <v>64</v>
      </c>
      <c r="C912" t="s">
        <v>47</v>
      </c>
      <c r="D912">
        <v>4</v>
      </c>
      <c r="E912">
        <v>100</v>
      </c>
      <c r="F912" t="s">
        <v>1</v>
      </c>
      <c r="G912" s="6">
        <v>45721</v>
      </c>
      <c r="H912">
        <v>43</v>
      </c>
      <c r="I912">
        <f>ROUND(CompilDonnées[[#This Row],[CultureDuration_days]]/7,0)</f>
        <v>6</v>
      </c>
      <c r="J912">
        <v>3888</v>
      </c>
      <c r="K912" t="str">
        <f>_xlfn.CONCAT(WEEKNUM(CompilDonnées[[#This Row],[PlantationDate]]), " ", YEAR(CompilDonnées[[#This Row],[PlantationDate]]))</f>
        <v>4 2025</v>
      </c>
      <c r="L912" t="str">
        <f>CONCATENATE(MONTH(CompilDonnées[[#This Row],[PlantationDate]])," ", YEAR(CompilDonnées[[#This Row],[PlantationDate]]))</f>
        <v>1 2025</v>
      </c>
      <c r="M912" t="str">
        <f>CONCATENATE(MONTH(CompilDonnées[[#This Row],[HarvestingDate]])," ", YEAR(CompilDonnées[[#This Row],[HarvestingDate]]))</f>
        <v>3 2025</v>
      </c>
      <c r="N912">
        <f>_xlfn.NUMBERVALUE(CompilDonnées[[#This Row],[FarmID]]&amp;CompilDonnées[[#This Row],[ModuleNumber]]&amp;CompilDonnées[[#This Row],[PlantationDate]])</f>
        <v>64445678</v>
      </c>
      <c r="O912" t="str">
        <f>CompilDonnées[[#This Row],[FarmID]]&amp;CompilDonnées[[#This Row],[ModuleNumber]]</f>
        <v>644</v>
      </c>
      <c r="P912" t="str">
        <f>CompilDonnées[[#This Row],[Ref_Module]]&amp;CompilDonnées[[#This Row],[HarvestingDate]]</f>
        <v>64445721</v>
      </c>
    </row>
    <row r="913" spans="1:16">
      <c r="A913" s="5">
        <v>45678</v>
      </c>
      <c r="B913">
        <v>58</v>
      </c>
      <c r="C913" t="s">
        <v>35</v>
      </c>
      <c r="D913">
        <v>3</v>
      </c>
      <c r="E913">
        <v>100</v>
      </c>
      <c r="F913" t="s">
        <v>1</v>
      </c>
      <c r="G913" s="6">
        <v>45714</v>
      </c>
      <c r="H913">
        <v>36</v>
      </c>
      <c r="I913">
        <f>ROUND(CompilDonnées[[#This Row],[CultureDuration_days]]/7,0)</f>
        <v>5</v>
      </c>
      <c r="J913">
        <v>3093</v>
      </c>
      <c r="K913" t="str">
        <f>_xlfn.CONCAT(WEEKNUM(CompilDonnées[[#This Row],[PlantationDate]]), " ", YEAR(CompilDonnées[[#This Row],[PlantationDate]]))</f>
        <v>4 2025</v>
      </c>
      <c r="L913" t="str">
        <f>CONCATENATE(MONTH(CompilDonnées[[#This Row],[PlantationDate]])," ", YEAR(CompilDonnées[[#This Row],[PlantationDate]]))</f>
        <v>1 2025</v>
      </c>
      <c r="M913" t="str">
        <f>CONCATENATE(MONTH(CompilDonnées[[#This Row],[HarvestingDate]])," ", YEAR(CompilDonnées[[#This Row],[HarvestingDate]]))</f>
        <v>2 2025</v>
      </c>
      <c r="N913">
        <f>_xlfn.NUMBERVALUE(CompilDonnées[[#This Row],[FarmID]]&amp;CompilDonnées[[#This Row],[ModuleNumber]]&amp;CompilDonnées[[#This Row],[PlantationDate]])</f>
        <v>58345678</v>
      </c>
      <c r="O913" t="str">
        <f>CompilDonnées[[#This Row],[FarmID]]&amp;CompilDonnées[[#This Row],[ModuleNumber]]</f>
        <v>583</v>
      </c>
      <c r="P913" t="str">
        <f>CompilDonnées[[#This Row],[Ref_Module]]&amp;CompilDonnées[[#This Row],[HarvestingDate]]</f>
        <v>58345714</v>
      </c>
    </row>
    <row r="914" spans="1:16">
      <c r="A914" s="5">
        <v>45678</v>
      </c>
      <c r="B914">
        <v>56</v>
      </c>
      <c r="C914" t="s">
        <v>6</v>
      </c>
      <c r="D914">
        <v>3</v>
      </c>
      <c r="E914">
        <v>100</v>
      </c>
      <c r="F914" t="s">
        <v>1</v>
      </c>
      <c r="G914" s="6">
        <v>45721</v>
      </c>
      <c r="H914">
        <v>43</v>
      </c>
      <c r="I914">
        <f>ROUND(CompilDonnées[[#This Row],[CultureDuration_days]]/7,0)</f>
        <v>6</v>
      </c>
      <c r="J914">
        <v>3915</v>
      </c>
      <c r="K914" t="str">
        <f>_xlfn.CONCAT(WEEKNUM(CompilDonnées[[#This Row],[PlantationDate]]), " ", YEAR(CompilDonnées[[#This Row],[PlantationDate]]))</f>
        <v>4 2025</v>
      </c>
      <c r="L914" t="str">
        <f>CONCATENATE(MONTH(CompilDonnées[[#This Row],[PlantationDate]])," ", YEAR(CompilDonnées[[#This Row],[PlantationDate]]))</f>
        <v>1 2025</v>
      </c>
      <c r="M914" t="str">
        <f>CONCATENATE(MONTH(CompilDonnées[[#This Row],[HarvestingDate]])," ", YEAR(CompilDonnées[[#This Row],[HarvestingDate]]))</f>
        <v>3 2025</v>
      </c>
      <c r="N914">
        <f>_xlfn.NUMBERVALUE(CompilDonnées[[#This Row],[FarmID]]&amp;CompilDonnées[[#This Row],[ModuleNumber]]&amp;CompilDonnées[[#This Row],[PlantationDate]])</f>
        <v>56345678</v>
      </c>
      <c r="O914" t="str">
        <f>CompilDonnées[[#This Row],[FarmID]]&amp;CompilDonnées[[#This Row],[ModuleNumber]]</f>
        <v>563</v>
      </c>
      <c r="P914" t="str">
        <f>CompilDonnées[[#This Row],[Ref_Module]]&amp;CompilDonnées[[#This Row],[HarvestingDate]]</f>
        <v>56345721</v>
      </c>
    </row>
    <row r="915" spans="1:16">
      <c r="A915" s="5">
        <v>45678</v>
      </c>
      <c r="B915">
        <v>55</v>
      </c>
      <c r="C915" t="s">
        <v>60</v>
      </c>
      <c r="D915">
        <v>4</v>
      </c>
      <c r="E915">
        <v>100</v>
      </c>
      <c r="F915" t="s">
        <v>1</v>
      </c>
      <c r="G915" s="6">
        <v>45720</v>
      </c>
      <c r="H915">
        <v>42</v>
      </c>
      <c r="I915">
        <f>ROUND(CompilDonnées[[#This Row],[CultureDuration_days]]/7,0)</f>
        <v>6</v>
      </c>
      <c r="J915">
        <v>3161</v>
      </c>
      <c r="K915" t="str">
        <f>_xlfn.CONCAT(WEEKNUM(CompilDonnées[[#This Row],[PlantationDate]]), " ", YEAR(CompilDonnées[[#This Row],[PlantationDate]]))</f>
        <v>4 2025</v>
      </c>
      <c r="L915" t="str">
        <f>CONCATENATE(MONTH(CompilDonnées[[#This Row],[PlantationDate]])," ", YEAR(CompilDonnées[[#This Row],[PlantationDate]]))</f>
        <v>1 2025</v>
      </c>
      <c r="M915" t="str">
        <f>CONCATENATE(MONTH(CompilDonnées[[#This Row],[HarvestingDate]])," ", YEAR(CompilDonnées[[#This Row],[HarvestingDate]]))</f>
        <v>3 2025</v>
      </c>
      <c r="N915">
        <f>_xlfn.NUMBERVALUE(CompilDonnées[[#This Row],[FarmID]]&amp;CompilDonnées[[#This Row],[ModuleNumber]]&amp;CompilDonnées[[#This Row],[PlantationDate]])</f>
        <v>55445678</v>
      </c>
      <c r="O915" t="str">
        <f>CompilDonnées[[#This Row],[FarmID]]&amp;CompilDonnées[[#This Row],[ModuleNumber]]</f>
        <v>554</v>
      </c>
      <c r="P915" t="str">
        <f>CompilDonnées[[#This Row],[Ref_Module]]&amp;CompilDonnées[[#This Row],[HarvestingDate]]</f>
        <v>55445720</v>
      </c>
    </row>
    <row r="916" spans="1:16">
      <c r="A916" s="5">
        <v>45678</v>
      </c>
      <c r="B916">
        <v>51</v>
      </c>
      <c r="C916" t="s">
        <v>27</v>
      </c>
      <c r="D916">
        <v>1</v>
      </c>
      <c r="E916">
        <v>100</v>
      </c>
      <c r="F916" t="s">
        <v>1</v>
      </c>
      <c r="G916" s="6">
        <v>45713</v>
      </c>
      <c r="H916">
        <v>35</v>
      </c>
      <c r="I916">
        <f>ROUND(CompilDonnées[[#This Row],[CultureDuration_days]]/7,0)</f>
        <v>5</v>
      </c>
      <c r="J916">
        <v>3353</v>
      </c>
      <c r="K916" t="str">
        <f>_xlfn.CONCAT(WEEKNUM(CompilDonnées[[#This Row],[PlantationDate]]), " ", YEAR(CompilDonnées[[#This Row],[PlantationDate]]))</f>
        <v>4 2025</v>
      </c>
      <c r="L916" t="str">
        <f>CONCATENATE(MONTH(CompilDonnées[[#This Row],[PlantationDate]])," ", YEAR(CompilDonnées[[#This Row],[PlantationDate]]))</f>
        <v>1 2025</v>
      </c>
      <c r="M916" t="str">
        <f>CONCATENATE(MONTH(CompilDonnées[[#This Row],[HarvestingDate]])," ", YEAR(CompilDonnées[[#This Row],[HarvestingDate]]))</f>
        <v>2 2025</v>
      </c>
      <c r="N916">
        <f>_xlfn.NUMBERVALUE(CompilDonnées[[#This Row],[FarmID]]&amp;CompilDonnées[[#This Row],[ModuleNumber]]&amp;CompilDonnées[[#This Row],[PlantationDate]])</f>
        <v>51145678</v>
      </c>
      <c r="O916" t="str">
        <f>CompilDonnées[[#This Row],[FarmID]]&amp;CompilDonnées[[#This Row],[ModuleNumber]]</f>
        <v>511</v>
      </c>
      <c r="P916" t="str">
        <f>CompilDonnées[[#This Row],[Ref_Module]]&amp;CompilDonnées[[#This Row],[HarvestingDate]]</f>
        <v>51145713</v>
      </c>
    </row>
    <row r="917" spans="1:16">
      <c r="A917" s="5">
        <v>45678</v>
      </c>
      <c r="B917">
        <v>49</v>
      </c>
      <c r="C917" t="s">
        <v>110</v>
      </c>
      <c r="D917">
        <v>4</v>
      </c>
      <c r="E917">
        <v>100</v>
      </c>
      <c r="F917" t="s">
        <v>1</v>
      </c>
      <c r="G917" s="6">
        <v>45721</v>
      </c>
      <c r="H917">
        <v>43</v>
      </c>
      <c r="I917">
        <f>ROUND(CompilDonnées[[#This Row],[CultureDuration_days]]/7,0)</f>
        <v>6</v>
      </c>
      <c r="J917">
        <v>3970</v>
      </c>
      <c r="K917" t="str">
        <f>_xlfn.CONCAT(WEEKNUM(CompilDonnées[[#This Row],[PlantationDate]]), " ", YEAR(CompilDonnées[[#This Row],[PlantationDate]]))</f>
        <v>4 2025</v>
      </c>
      <c r="L917" t="str">
        <f>CONCATENATE(MONTH(CompilDonnées[[#This Row],[PlantationDate]])," ", YEAR(CompilDonnées[[#This Row],[PlantationDate]]))</f>
        <v>1 2025</v>
      </c>
      <c r="M917" t="str">
        <f>CONCATENATE(MONTH(CompilDonnées[[#This Row],[HarvestingDate]])," ", YEAR(CompilDonnées[[#This Row],[HarvestingDate]]))</f>
        <v>3 2025</v>
      </c>
      <c r="N917">
        <f>_xlfn.NUMBERVALUE(CompilDonnées[[#This Row],[FarmID]]&amp;CompilDonnées[[#This Row],[ModuleNumber]]&amp;CompilDonnées[[#This Row],[PlantationDate]])</f>
        <v>49445678</v>
      </c>
      <c r="O917" t="str">
        <f>CompilDonnées[[#This Row],[FarmID]]&amp;CompilDonnées[[#This Row],[ModuleNumber]]</f>
        <v>494</v>
      </c>
      <c r="P917" t="str">
        <f>CompilDonnées[[#This Row],[Ref_Module]]&amp;CompilDonnées[[#This Row],[HarvestingDate]]</f>
        <v>49445721</v>
      </c>
    </row>
    <row r="918" spans="1:16">
      <c r="A918" s="5">
        <v>45678</v>
      </c>
      <c r="B918">
        <v>67</v>
      </c>
      <c r="C918" t="s">
        <v>28</v>
      </c>
      <c r="D918">
        <v>4</v>
      </c>
      <c r="E918">
        <v>100</v>
      </c>
      <c r="F918" t="s">
        <v>1</v>
      </c>
      <c r="G918" s="6">
        <v>45714</v>
      </c>
      <c r="H918">
        <v>36</v>
      </c>
      <c r="I918">
        <f>ROUND(CompilDonnées[[#This Row],[CultureDuration_days]]/7,0)</f>
        <v>5</v>
      </c>
      <c r="J918">
        <v>2719</v>
      </c>
      <c r="K918" t="str">
        <f>_xlfn.CONCAT(WEEKNUM(CompilDonnées[[#This Row],[PlantationDate]]), " ", YEAR(CompilDonnées[[#This Row],[PlantationDate]]))</f>
        <v>4 2025</v>
      </c>
      <c r="L918" t="str">
        <f>CONCATENATE(MONTH(CompilDonnées[[#This Row],[PlantationDate]])," ", YEAR(CompilDonnées[[#This Row],[PlantationDate]]))</f>
        <v>1 2025</v>
      </c>
      <c r="M918" t="str">
        <f>CONCATENATE(MONTH(CompilDonnées[[#This Row],[HarvestingDate]])," ", YEAR(CompilDonnées[[#This Row],[HarvestingDate]]))</f>
        <v>2 2025</v>
      </c>
      <c r="N918">
        <f>_xlfn.NUMBERVALUE(CompilDonnées[[#This Row],[FarmID]]&amp;CompilDonnées[[#This Row],[ModuleNumber]]&amp;CompilDonnées[[#This Row],[PlantationDate]])</f>
        <v>67445678</v>
      </c>
      <c r="O918" t="str">
        <f>CompilDonnées[[#This Row],[FarmID]]&amp;CompilDonnées[[#This Row],[ModuleNumber]]</f>
        <v>674</v>
      </c>
      <c r="P918" t="str">
        <f>CompilDonnées[[#This Row],[Ref_Module]]&amp;CompilDonnées[[#This Row],[HarvestingDate]]</f>
        <v>67445714</v>
      </c>
    </row>
    <row r="919" spans="1:16">
      <c r="A919" s="5">
        <v>45678</v>
      </c>
      <c r="B919">
        <v>75</v>
      </c>
      <c r="C919" t="s">
        <v>3</v>
      </c>
      <c r="D919">
        <v>2</v>
      </c>
      <c r="E919">
        <v>60</v>
      </c>
      <c r="F919" t="s">
        <v>105</v>
      </c>
      <c r="G919" s="6">
        <v>45719</v>
      </c>
      <c r="H919">
        <v>41</v>
      </c>
      <c r="I919">
        <f>ROUND(CompilDonnées[[#This Row],[CultureDuration_days]]/7,0)</f>
        <v>6</v>
      </c>
      <c r="J919">
        <v>1958</v>
      </c>
      <c r="K919" t="str">
        <f>_xlfn.CONCAT(WEEKNUM(CompilDonnées[[#This Row],[PlantationDate]]), " ", YEAR(CompilDonnées[[#This Row],[PlantationDate]]))</f>
        <v>4 2025</v>
      </c>
      <c r="L919" t="str">
        <f>CONCATENATE(MONTH(CompilDonnées[[#This Row],[PlantationDate]])," ", YEAR(CompilDonnées[[#This Row],[PlantationDate]]))</f>
        <v>1 2025</v>
      </c>
      <c r="M919" t="str">
        <f>CONCATENATE(MONTH(CompilDonnées[[#This Row],[HarvestingDate]])," ", YEAR(CompilDonnées[[#This Row],[HarvestingDate]]))</f>
        <v>3 2025</v>
      </c>
      <c r="N919">
        <f>_xlfn.NUMBERVALUE(CompilDonnées[[#This Row],[FarmID]]&amp;CompilDonnées[[#This Row],[ModuleNumber]]&amp;CompilDonnées[[#This Row],[PlantationDate]])</f>
        <v>75245678</v>
      </c>
      <c r="O919" t="str">
        <f>CompilDonnées[[#This Row],[FarmID]]&amp;CompilDonnées[[#This Row],[ModuleNumber]]</f>
        <v>752</v>
      </c>
      <c r="P919" t="str">
        <f>CompilDonnées[[#This Row],[Ref_Module]]&amp;CompilDonnées[[#This Row],[HarvestingDate]]</f>
        <v>75245719</v>
      </c>
    </row>
    <row r="920" spans="1:16">
      <c r="A920" s="5">
        <v>45678</v>
      </c>
      <c r="B920">
        <v>75</v>
      </c>
      <c r="C920" t="s">
        <v>3</v>
      </c>
      <c r="D920">
        <v>3</v>
      </c>
      <c r="E920">
        <v>60</v>
      </c>
      <c r="F920" t="s">
        <v>105</v>
      </c>
      <c r="G920" s="6">
        <v>45720</v>
      </c>
      <c r="H920">
        <v>42</v>
      </c>
      <c r="I920">
        <f>ROUND(CompilDonnées[[#This Row],[CultureDuration_days]]/7,0)</f>
        <v>6</v>
      </c>
      <c r="J920">
        <v>1785</v>
      </c>
      <c r="K920" t="str">
        <f>_xlfn.CONCAT(WEEKNUM(CompilDonnées[[#This Row],[PlantationDate]]), " ", YEAR(CompilDonnées[[#This Row],[PlantationDate]]))</f>
        <v>4 2025</v>
      </c>
      <c r="L920" t="str">
        <f>CONCATENATE(MONTH(CompilDonnées[[#This Row],[PlantationDate]])," ", YEAR(CompilDonnées[[#This Row],[PlantationDate]]))</f>
        <v>1 2025</v>
      </c>
      <c r="M920" t="str">
        <f>CONCATENATE(MONTH(CompilDonnées[[#This Row],[HarvestingDate]])," ", YEAR(CompilDonnées[[#This Row],[HarvestingDate]]))</f>
        <v>3 2025</v>
      </c>
      <c r="N920">
        <f>_xlfn.NUMBERVALUE(CompilDonnées[[#This Row],[FarmID]]&amp;CompilDonnées[[#This Row],[ModuleNumber]]&amp;CompilDonnées[[#This Row],[PlantationDate]])</f>
        <v>75345678</v>
      </c>
      <c r="O920" t="str">
        <f>CompilDonnées[[#This Row],[FarmID]]&amp;CompilDonnées[[#This Row],[ModuleNumber]]</f>
        <v>753</v>
      </c>
      <c r="P920" t="str">
        <f>CompilDonnées[[#This Row],[Ref_Module]]&amp;CompilDonnées[[#This Row],[HarvestingDate]]</f>
        <v>75345720</v>
      </c>
    </row>
    <row r="921" spans="1:16">
      <c r="A921" s="5">
        <v>45678</v>
      </c>
      <c r="B921">
        <v>105</v>
      </c>
      <c r="C921" t="s">
        <v>3</v>
      </c>
      <c r="D921">
        <v>1</v>
      </c>
      <c r="E921">
        <v>60</v>
      </c>
      <c r="F921" t="s">
        <v>105</v>
      </c>
      <c r="G921" s="6">
        <v>45728</v>
      </c>
      <c r="H921">
        <v>50</v>
      </c>
      <c r="I921">
        <f>ROUND(CompilDonnées[[#This Row],[CultureDuration_days]]/7,0)</f>
        <v>7</v>
      </c>
      <c r="J921">
        <v>1493</v>
      </c>
      <c r="K921" t="str">
        <f>_xlfn.CONCAT(WEEKNUM(CompilDonnées[[#This Row],[PlantationDate]]), " ", YEAR(CompilDonnées[[#This Row],[PlantationDate]]))</f>
        <v>4 2025</v>
      </c>
      <c r="L921" t="str">
        <f>CONCATENATE(MONTH(CompilDonnées[[#This Row],[PlantationDate]])," ", YEAR(CompilDonnées[[#This Row],[PlantationDate]]))</f>
        <v>1 2025</v>
      </c>
      <c r="M921" t="str">
        <f>CONCATENATE(MONTH(CompilDonnées[[#This Row],[HarvestingDate]])," ", YEAR(CompilDonnées[[#This Row],[HarvestingDate]]))</f>
        <v>3 2025</v>
      </c>
      <c r="N921">
        <f>_xlfn.NUMBERVALUE(CompilDonnées[[#This Row],[FarmID]]&amp;CompilDonnées[[#This Row],[ModuleNumber]]&amp;CompilDonnées[[#This Row],[PlantationDate]])</f>
        <v>105145678</v>
      </c>
      <c r="O921" t="str">
        <f>CompilDonnées[[#This Row],[FarmID]]&amp;CompilDonnées[[#This Row],[ModuleNumber]]</f>
        <v>1051</v>
      </c>
      <c r="P921" t="str">
        <f>CompilDonnées[[#This Row],[Ref_Module]]&amp;CompilDonnées[[#This Row],[HarvestingDate]]</f>
        <v>105145728</v>
      </c>
    </row>
    <row r="922" spans="1:16">
      <c r="A922" s="5">
        <v>45678</v>
      </c>
      <c r="B922">
        <v>105</v>
      </c>
      <c r="C922" t="s">
        <v>3</v>
      </c>
      <c r="D922">
        <v>2</v>
      </c>
      <c r="E922">
        <v>60</v>
      </c>
      <c r="F922" t="s">
        <v>105</v>
      </c>
      <c r="G922" s="6">
        <v>45728</v>
      </c>
      <c r="H922">
        <v>50</v>
      </c>
      <c r="I922">
        <f>ROUND(CompilDonnées[[#This Row],[CultureDuration_days]]/7,0)</f>
        <v>7</v>
      </c>
      <c r="J922">
        <v>1376</v>
      </c>
      <c r="K922" t="str">
        <f>_xlfn.CONCAT(WEEKNUM(CompilDonnées[[#This Row],[PlantationDate]]), " ", YEAR(CompilDonnées[[#This Row],[PlantationDate]]))</f>
        <v>4 2025</v>
      </c>
      <c r="L922" t="str">
        <f>CONCATENATE(MONTH(CompilDonnées[[#This Row],[PlantationDate]])," ", YEAR(CompilDonnées[[#This Row],[PlantationDate]]))</f>
        <v>1 2025</v>
      </c>
      <c r="M922" t="str">
        <f>CONCATENATE(MONTH(CompilDonnées[[#This Row],[HarvestingDate]])," ", YEAR(CompilDonnées[[#This Row],[HarvestingDate]]))</f>
        <v>3 2025</v>
      </c>
      <c r="N922">
        <f>_xlfn.NUMBERVALUE(CompilDonnées[[#This Row],[FarmID]]&amp;CompilDonnées[[#This Row],[ModuleNumber]]&amp;CompilDonnées[[#This Row],[PlantationDate]])</f>
        <v>105245678</v>
      </c>
      <c r="O922" t="str">
        <f>CompilDonnées[[#This Row],[FarmID]]&amp;CompilDonnées[[#This Row],[ModuleNumber]]</f>
        <v>1052</v>
      </c>
      <c r="P922" t="str">
        <f>CompilDonnées[[#This Row],[Ref_Module]]&amp;CompilDonnées[[#This Row],[HarvestingDate]]</f>
        <v>105245728</v>
      </c>
    </row>
    <row r="923" spans="1:16">
      <c r="A923" s="5">
        <v>45679</v>
      </c>
      <c r="B923">
        <v>70</v>
      </c>
      <c r="C923" t="s">
        <v>7</v>
      </c>
      <c r="D923">
        <v>6</v>
      </c>
      <c r="E923">
        <v>100</v>
      </c>
      <c r="F923" t="s">
        <v>1</v>
      </c>
      <c r="G923" s="6">
        <v>45728</v>
      </c>
      <c r="H923">
        <v>49</v>
      </c>
      <c r="I923">
        <f>ROUND(CompilDonnées[[#This Row],[CultureDuration_days]]/7,0)</f>
        <v>7</v>
      </c>
      <c r="J923">
        <v>2893</v>
      </c>
      <c r="K923" t="str">
        <f>_xlfn.CONCAT(WEEKNUM(CompilDonnées[[#This Row],[PlantationDate]]), " ", YEAR(CompilDonnées[[#This Row],[PlantationDate]]))</f>
        <v>4 2025</v>
      </c>
      <c r="L923" t="str">
        <f>CONCATENATE(MONTH(CompilDonnées[[#This Row],[PlantationDate]])," ", YEAR(CompilDonnées[[#This Row],[PlantationDate]]))</f>
        <v>1 2025</v>
      </c>
      <c r="M923" t="str">
        <f>CONCATENATE(MONTH(CompilDonnées[[#This Row],[HarvestingDate]])," ", YEAR(CompilDonnées[[#This Row],[HarvestingDate]]))</f>
        <v>3 2025</v>
      </c>
      <c r="N923">
        <f>_xlfn.NUMBERVALUE(CompilDonnées[[#This Row],[FarmID]]&amp;CompilDonnées[[#This Row],[ModuleNumber]]&amp;CompilDonnées[[#This Row],[PlantationDate]])</f>
        <v>70645679</v>
      </c>
      <c r="O923" t="str">
        <f>CompilDonnées[[#This Row],[FarmID]]&amp;CompilDonnées[[#This Row],[ModuleNumber]]</f>
        <v>706</v>
      </c>
      <c r="P923" t="str">
        <f>CompilDonnées[[#This Row],[Ref_Module]]&amp;CompilDonnées[[#This Row],[HarvestingDate]]</f>
        <v>70645728</v>
      </c>
    </row>
    <row r="924" spans="1:16">
      <c r="A924" s="5">
        <v>45679</v>
      </c>
      <c r="B924">
        <v>54</v>
      </c>
      <c r="C924" t="s">
        <v>39</v>
      </c>
      <c r="D924">
        <v>3</v>
      </c>
      <c r="E924">
        <v>100</v>
      </c>
      <c r="F924" t="s">
        <v>1</v>
      </c>
      <c r="G924" s="6">
        <v>45720</v>
      </c>
      <c r="H924">
        <v>41</v>
      </c>
      <c r="I924">
        <f>ROUND(CompilDonnées[[#This Row],[CultureDuration_days]]/7,0)</f>
        <v>6</v>
      </c>
      <c r="J924">
        <v>2801</v>
      </c>
      <c r="K924" t="str">
        <f>_xlfn.CONCAT(WEEKNUM(CompilDonnées[[#This Row],[PlantationDate]]), " ", YEAR(CompilDonnées[[#This Row],[PlantationDate]]))</f>
        <v>4 2025</v>
      </c>
      <c r="L924" t="str">
        <f>CONCATENATE(MONTH(CompilDonnées[[#This Row],[PlantationDate]])," ", YEAR(CompilDonnées[[#This Row],[PlantationDate]]))</f>
        <v>1 2025</v>
      </c>
      <c r="M924" t="str">
        <f>CONCATENATE(MONTH(CompilDonnées[[#This Row],[HarvestingDate]])," ", YEAR(CompilDonnées[[#This Row],[HarvestingDate]]))</f>
        <v>3 2025</v>
      </c>
      <c r="N924">
        <f>_xlfn.NUMBERVALUE(CompilDonnées[[#This Row],[FarmID]]&amp;CompilDonnées[[#This Row],[ModuleNumber]]&amp;CompilDonnées[[#This Row],[PlantationDate]])</f>
        <v>54345679</v>
      </c>
      <c r="O924" t="str">
        <f>CompilDonnées[[#This Row],[FarmID]]&amp;CompilDonnées[[#This Row],[ModuleNumber]]</f>
        <v>543</v>
      </c>
      <c r="P924" t="str">
        <f>CompilDonnées[[#This Row],[Ref_Module]]&amp;CompilDonnées[[#This Row],[HarvestingDate]]</f>
        <v>54345720</v>
      </c>
    </row>
    <row r="925" spans="1:16">
      <c r="A925" s="5">
        <v>45679</v>
      </c>
      <c r="B925">
        <v>53</v>
      </c>
      <c r="C925" t="s">
        <v>83</v>
      </c>
      <c r="D925">
        <v>3</v>
      </c>
      <c r="E925">
        <v>100</v>
      </c>
      <c r="F925" t="s">
        <v>1</v>
      </c>
      <c r="G925" s="6">
        <v>45721</v>
      </c>
      <c r="H925">
        <v>42</v>
      </c>
      <c r="I925">
        <f>ROUND(CompilDonnées[[#This Row],[CultureDuration_days]]/7,0)</f>
        <v>6</v>
      </c>
      <c r="J925">
        <v>3544</v>
      </c>
      <c r="K925" t="str">
        <f>_xlfn.CONCAT(WEEKNUM(CompilDonnées[[#This Row],[PlantationDate]]), " ", YEAR(CompilDonnées[[#This Row],[PlantationDate]]))</f>
        <v>4 2025</v>
      </c>
      <c r="L925" t="str">
        <f>CONCATENATE(MONTH(CompilDonnées[[#This Row],[PlantationDate]])," ", YEAR(CompilDonnées[[#This Row],[PlantationDate]]))</f>
        <v>1 2025</v>
      </c>
      <c r="M925" t="str">
        <f>CONCATENATE(MONTH(CompilDonnées[[#This Row],[HarvestingDate]])," ", YEAR(CompilDonnées[[#This Row],[HarvestingDate]]))</f>
        <v>3 2025</v>
      </c>
      <c r="N925">
        <f>_xlfn.NUMBERVALUE(CompilDonnées[[#This Row],[FarmID]]&amp;CompilDonnées[[#This Row],[ModuleNumber]]&amp;CompilDonnées[[#This Row],[PlantationDate]])</f>
        <v>53345679</v>
      </c>
      <c r="O925" t="str">
        <f>CompilDonnées[[#This Row],[FarmID]]&amp;CompilDonnées[[#This Row],[ModuleNumber]]</f>
        <v>533</v>
      </c>
      <c r="P925" t="str">
        <f>CompilDonnées[[#This Row],[Ref_Module]]&amp;CompilDonnées[[#This Row],[HarvestingDate]]</f>
        <v>53345721</v>
      </c>
    </row>
    <row r="926" spans="1:16">
      <c r="A926" s="5">
        <v>45679</v>
      </c>
      <c r="B926">
        <v>47</v>
      </c>
      <c r="C926" t="s">
        <v>12</v>
      </c>
      <c r="D926">
        <v>5</v>
      </c>
      <c r="E926">
        <v>100</v>
      </c>
      <c r="F926" t="s">
        <v>1</v>
      </c>
      <c r="G926" s="6">
        <v>45727</v>
      </c>
      <c r="H926">
        <v>48</v>
      </c>
      <c r="I926">
        <f>ROUND(CompilDonnées[[#This Row],[CultureDuration_days]]/7,0)</f>
        <v>7</v>
      </c>
      <c r="J926">
        <v>2917</v>
      </c>
      <c r="K926" t="str">
        <f>_xlfn.CONCAT(WEEKNUM(CompilDonnées[[#This Row],[PlantationDate]]), " ", YEAR(CompilDonnées[[#This Row],[PlantationDate]]))</f>
        <v>4 2025</v>
      </c>
      <c r="L926" t="str">
        <f>CONCATENATE(MONTH(CompilDonnées[[#This Row],[PlantationDate]])," ", YEAR(CompilDonnées[[#This Row],[PlantationDate]]))</f>
        <v>1 2025</v>
      </c>
      <c r="M926" t="str">
        <f>CONCATENATE(MONTH(CompilDonnées[[#This Row],[HarvestingDate]])," ", YEAR(CompilDonnées[[#This Row],[HarvestingDate]]))</f>
        <v>3 2025</v>
      </c>
      <c r="N926">
        <f>_xlfn.NUMBERVALUE(CompilDonnées[[#This Row],[FarmID]]&amp;CompilDonnées[[#This Row],[ModuleNumber]]&amp;CompilDonnées[[#This Row],[PlantationDate]])</f>
        <v>47545679</v>
      </c>
      <c r="O926" t="str">
        <f>CompilDonnées[[#This Row],[FarmID]]&amp;CompilDonnées[[#This Row],[ModuleNumber]]</f>
        <v>475</v>
      </c>
      <c r="P926" t="str">
        <f>CompilDonnées[[#This Row],[Ref_Module]]&amp;CompilDonnées[[#This Row],[HarvestingDate]]</f>
        <v>47545727</v>
      </c>
    </row>
    <row r="927" spans="1:16">
      <c r="A927" s="5">
        <v>45679</v>
      </c>
      <c r="B927">
        <v>39</v>
      </c>
      <c r="C927" t="s">
        <v>81</v>
      </c>
      <c r="D927">
        <v>4</v>
      </c>
      <c r="E927">
        <v>100</v>
      </c>
      <c r="F927" t="s">
        <v>1</v>
      </c>
      <c r="G927" s="6">
        <v>45727</v>
      </c>
      <c r="H927">
        <v>48</v>
      </c>
      <c r="I927">
        <f>ROUND(CompilDonnées[[#This Row],[CultureDuration_days]]/7,0)</f>
        <v>7</v>
      </c>
      <c r="J927">
        <v>3217</v>
      </c>
      <c r="K927" t="str">
        <f>_xlfn.CONCAT(WEEKNUM(CompilDonnées[[#This Row],[PlantationDate]]), " ", YEAR(CompilDonnées[[#This Row],[PlantationDate]]))</f>
        <v>4 2025</v>
      </c>
      <c r="L927" t="str">
        <f>CONCATENATE(MONTH(CompilDonnées[[#This Row],[PlantationDate]])," ", YEAR(CompilDonnées[[#This Row],[PlantationDate]]))</f>
        <v>1 2025</v>
      </c>
      <c r="M927" t="str">
        <f>CONCATENATE(MONTH(CompilDonnées[[#This Row],[HarvestingDate]])," ", YEAR(CompilDonnées[[#This Row],[HarvestingDate]]))</f>
        <v>3 2025</v>
      </c>
      <c r="N927">
        <f>_xlfn.NUMBERVALUE(CompilDonnées[[#This Row],[FarmID]]&amp;CompilDonnées[[#This Row],[ModuleNumber]]&amp;CompilDonnées[[#This Row],[PlantationDate]])</f>
        <v>39445679</v>
      </c>
      <c r="O927" t="str">
        <f>CompilDonnées[[#This Row],[FarmID]]&amp;CompilDonnées[[#This Row],[ModuleNumber]]</f>
        <v>394</v>
      </c>
      <c r="P927" t="str">
        <f>CompilDonnées[[#This Row],[Ref_Module]]&amp;CompilDonnées[[#This Row],[HarvestingDate]]</f>
        <v>39445727</v>
      </c>
    </row>
    <row r="928" spans="1:16">
      <c r="A928" s="5">
        <v>45679</v>
      </c>
      <c r="B928">
        <v>34</v>
      </c>
      <c r="C928" t="s">
        <v>68</v>
      </c>
      <c r="D928">
        <v>4</v>
      </c>
      <c r="E928">
        <v>100</v>
      </c>
      <c r="F928" t="s">
        <v>1</v>
      </c>
      <c r="G928" s="6">
        <v>45726</v>
      </c>
      <c r="H928">
        <v>47</v>
      </c>
      <c r="I928">
        <f>ROUND(CompilDonnées[[#This Row],[CultureDuration_days]]/7,0)</f>
        <v>7</v>
      </c>
      <c r="J928">
        <v>2814</v>
      </c>
      <c r="K928" t="str">
        <f>_xlfn.CONCAT(WEEKNUM(CompilDonnées[[#This Row],[PlantationDate]]), " ", YEAR(CompilDonnées[[#This Row],[PlantationDate]]))</f>
        <v>4 2025</v>
      </c>
      <c r="L928" t="str">
        <f>CONCATENATE(MONTH(CompilDonnées[[#This Row],[PlantationDate]])," ", YEAR(CompilDonnées[[#This Row],[PlantationDate]]))</f>
        <v>1 2025</v>
      </c>
      <c r="M928" t="str">
        <f>CONCATENATE(MONTH(CompilDonnées[[#This Row],[HarvestingDate]])," ", YEAR(CompilDonnées[[#This Row],[HarvestingDate]]))</f>
        <v>3 2025</v>
      </c>
      <c r="N928">
        <f>_xlfn.NUMBERVALUE(CompilDonnées[[#This Row],[FarmID]]&amp;CompilDonnées[[#This Row],[ModuleNumber]]&amp;CompilDonnées[[#This Row],[PlantationDate]])</f>
        <v>34445679</v>
      </c>
      <c r="O928" t="str">
        <f>CompilDonnées[[#This Row],[FarmID]]&amp;CompilDonnées[[#This Row],[ModuleNumber]]</f>
        <v>344</v>
      </c>
      <c r="P928" t="str">
        <f>CompilDonnées[[#This Row],[Ref_Module]]&amp;CompilDonnées[[#This Row],[HarvestingDate]]</f>
        <v>34445726</v>
      </c>
    </row>
    <row r="929" spans="1:16">
      <c r="A929" s="5">
        <v>45679</v>
      </c>
      <c r="B929">
        <v>33</v>
      </c>
      <c r="C929" t="s">
        <v>104</v>
      </c>
      <c r="D929">
        <v>3</v>
      </c>
      <c r="E929">
        <v>100</v>
      </c>
      <c r="F929" t="s">
        <v>1</v>
      </c>
      <c r="G929" s="6">
        <v>45726</v>
      </c>
      <c r="H929">
        <v>47</v>
      </c>
      <c r="I929">
        <f>ROUND(CompilDonnées[[#This Row],[CultureDuration_days]]/7,0)</f>
        <v>7</v>
      </c>
      <c r="J929">
        <v>3166</v>
      </c>
      <c r="K929" t="str">
        <f>_xlfn.CONCAT(WEEKNUM(CompilDonnées[[#This Row],[PlantationDate]]), " ", YEAR(CompilDonnées[[#This Row],[PlantationDate]]))</f>
        <v>4 2025</v>
      </c>
      <c r="L929" t="str">
        <f>CONCATENATE(MONTH(CompilDonnées[[#This Row],[PlantationDate]])," ", YEAR(CompilDonnées[[#This Row],[PlantationDate]]))</f>
        <v>1 2025</v>
      </c>
      <c r="M929" t="str">
        <f>CONCATENATE(MONTH(CompilDonnées[[#This Row],[HarvestingDate]])," ", YEAR(CompilDonnées[[#This Row],[HarvestingDate]]))</f>
        <v>3 2025</v>
      </c>
      <c r="N929">
        <f>_xlfn.NUMBERVALUE(CompilDonnées[[#This Row],[FarmID]]&amp;CompilDonnées[[#This Row],[ModuleNumber]]&amp;CompilDonnées[[#This Row],[PlantationDate]])</f>
        <v>33345679</v>
      </c>
      <c r="O929" t="str">
        <f>CompilDonnées[[#This Row],[FarmID]]&amp;CompilDonnées[[#This Row],[ModuleNumber]]</f>
        <v>333</v>
      </c>
      <c r="P929" t="str">
        <f>CompilDonnées[[#This Row],[Ref_Module]]&amp;CompilDonnées[[#This Row],[HarvestingDate]]</f>
        <v>33345726</v>
      </c>
    </row>
    <row r="930" spans="1:16">
      <c r="A930" s="5">
        <v>45679</v>
      </c>
      <c r="B930">
        <v>28</v>
      </c>
      <c r="C930" t="s">
        <v>77</v>
      </c>
      <c r="D930">
        <v>4</v>
      </c>
      <c r="E930">
        <v>100</v>
      </c>
      <c r="F930" t="s">
        <v>1</v>
      </c>
      <c r="G930" s="6">
        <v>45726</v>
      </c>
      <c r="H930">
        <v>47</v>
      </c>
      <c r="I930">
        <f>ROUND(CompilDonnées[[#This Row],[CultureDuration_days]]/7,0)</f>
        <v>7</v>
      </c>
      <c r="J930">
        <v>2810</v>
      </c>
      <c r="K930" t="str">
        <f>_xlfn.CONCAT(WEEKNUM(CompilDonnées[[#This Row],[PlantationDate]]), " ", YEAR(CompilDonnées[[#This Row],[PlantationDate]]))</f>
        <v>4 2025</v>
      </c>
      <c r="L930" t="str">
        <f>CONCATENATE(MONTH(CompilDonnées[[#This Row],[PlantationDate]])," ", YEAR(CompilDonnées[[#This Row],[PlantationDate]]))</f>
        <v>1 2025</v>
      </c>
      <c r="M930" t="str">
        <f>CONCATENATE(MONTH(CompilDonnées[[#This Row],[HarvestingDate]])," ", YEAR(CompilDonnées[[#This Row],[HarvestingDate]]))</f>
        <v>3 2025</v>
      </c>
      <c r="N930">
        <f>_xlfn.NUMBERVALUE(CompilDonnées[[#This Row],[FarmID]]&amp;CompilDonnées[[#This Row],[ModuleNumber]]&amp;CompilDonnées[[#This Row],[PlantationDate]])</f>
        <v>28445679</v>
      </c>
      <c r="O930" t="str">
        <f>CompilDonnées[[#This Row],[FarmID]]&amp;CompilDonnées[[#This Row],[ModuleNumber]]</f>
        <v>284</v>
      </c>
      <c r="P930" t="str">
        <f>CompilDonnées[[#This Row],[Ref_Module]]&amp;CompilDonnées[[#This Row],[HarvestingDate]]</f>
        <v>28445726</v>
      </c>
    </row>
    <row r="931" spans="1:16">
      <c r="A931" s="5">
        <v>45679</v>
      </c>
      <c r="B931">
        <v>26</v>
      </c>
      <c r="C931" t="s">
        <v>97</v>
      </c>
      <c r="D931">
        <v>3</v>
      </c>
      <c r="E931">
        <v>100</v>
      </c>
      <c r="F931" t="s">
        <v>1</v>
      </c>
      <c r="G931" s="6">
        <v>45726</v>
      </c>
      <c r="H931">
        <v>47</v>
      </c>
      <c r="I931">
        <f>ROUND(CompilDonnées[[#This Row],[CultureDuration_days]]/7,0)</f>
        <v>7</v>
      </c>
      <c r="J931">
        <v>2699</v>
      </c>
      <c r="K931" t="str">
        <f>_xlfn.CONCAT(WEEKNUM(CompilDonnées[[#This Row],[PlantationDate]]), " ", YEAR(CompilDonnées[[#This Row],[PlantationDate]]))</f>
        <v>4 2025</v>
      </c>
      <c r="L931" t="str">
        <f>CONCATENATE(MONTH(CompilDonnées[[#This Row],[PlantationDate]])," ", YEAR(CompilDonnées[[#This Row],[PlantationDate]]))</f>
        <v>1 2025</v>
      </c>
      <c r="M931" t="str">
        <f>CONCATENATE(MONTH(CompilDonnées[[#This Row],[HarvestingDate]])," ", YEAR(CompilDonnées[[#This Row],[HarvestingDate]]))</f>
        <v>3 2025</v>
      </c>
      <c r="N931">
        <f>_xlfn.NUMBERVALUE(CompilDonnées[[#This Row],[FarmID]]&amp;CompilDonnées[[#This Row],[ModuleNumber]]&amp;CompilDonnées[[#This Row],[PlantationDate]])</f>
        <v>26345679</v>
      </c>
      <c r="O931" t="str">
        <f>CompilDonnées[[#This Row],[FarmID]]&amp;CompilDonnées[[#This Row],[ModuleNumber]]</f>
        <v>263</v>
      </c>
      <c r="P931" t="str">
        <f>CompilDonnées[[#This Row],[Ref_Module]]&amp;CompilDonnées[[#This Row],[HarvestingDate]]</f>
        <v>26345726</v>
      </c>
    </row>
    <row r="932" spans="1:16">
      <c r="A932" s="5">
        <v>45679</v>
      </c>
      <c r="B932">
        <v>20</v>
      </c>
      <c r="C932" t="s">
        <v>53</v>
      </c>
      <c r="D932">
        <v>6</v>
      </c>
      <c r="E932">
        <v>100</v>
      </c>
      <c r="F932" t="s">
        <v>1</v>
      </c>
      <c r="G932" s="6">
        <v>45726</v>
      </c>
      <c r="H932">
        <v>47</v>
      </c>
      <c r="I932">
        <f>ROUND(CompilDonnées[[#This Row],[CultureDuration_days]]/7,0)</f>
        <v>7</v>
      </c>
      <c r="J932">
        <v>3018</v>
      </c>
      <c r="K932" t="str">
        <f>_xlfn.CONCAT(WEEKNUM(CompilDonnées[[#This Row],[PlantationDate]]), " ", YEAR(CompilDonnées[[#This Row],[PlantationDate]]))</f>
        <v>4 2025</v>
      </c>
      <c r="L932" t="str">
        <f>CONCATENATE(MONTH(CompilDonnées[[#This Row],[PlantationDate]])," ", YEAR(CompilDonnées[[#This Row],[PlantationDate]]))</f>
        <v>1 2025</v>
      </c>
      <c r="M932" t="str">
        <f>CONCATENATE(MONTH(CompilDonnées[[#This Row],[HarvestingDate]])," ", YEAR(CompilDonnées[[#This Row],[HarvestingDate]]))</f>
        <v>3 2025</v>
      </c>
      <c r="N932">
        <f>_xlfn.NUMBERVALUE(CompilDonnées[[#This Row],[FarmID]]&amp;CompilDonnées[[#This Row],[ModuleNumber]]&amp;CompilDonnées[[#This Row],[PlantationDate]])</f>
        <v>20645679</v>
      </c>
      <c r="O932" t="str">
        <f>CompilDonnées[[#This Row],[FarmID]]&amp;CompilDonnées[[#This Row],[ModuleNumber]]</f>
        <v>206</v>
      </c>
      <c r="P932" t="str">
        <f>CompilDonnées[[#This Row],[Ref_Module]]&amp;CompilDonnées[[#This Row],[HarvestingDate]]</f>
        <v>20645726</v>
      </c>
    </row>
    <row r="933" spans="1:16">
      <c r="A933" s="5">
        <v>45679</v>
      </c>
      <c r="B933">
        <v>13</v>
      </c>
      <c r="C933" t="s">
        <v>114</v>
      </c>
      <c r="D933">
        <v>1</v>
      </c>
      <c r="E933">
        <v>100</v>
      </c>
      <c r="F933" t="s">
        <v>1</v>
      </c>
      <c r="G933" s="6">
        <v>45719</v>
      </c>
      <c r="H933">
        <v>40</v>
      </c>
      <c r="I933">
        <f>ROUND(CompilDonnées[[#This Row],[CultureDuration_days]]/7,0)</f>
        <v>6</v>
      </c>
      <c r="J933">
        <v>3667</v>
      </c>
      <c r="K933" t="str">
        <f>_xlfn.CONCAT(WEEKNUM(CompilDonnées[[#This Row],[PlantationDate]]), " ", YEAR(CompilDonnées[[#This Row],[PlantationDate]]))</f>
        <v>4 2025</v>
      </c>
      <c r="L933" t="str">
        <f>CONCATENATE(MONTH(CompilDonnées[[#This Row],[PlantationDate]])," ", YEAR(CompilDonnées[[#This Row],[PlantationDate]]))</f>
        <v>1 2025</v>
      </c>
      <c r="M933" t="str">
        <f>CONCATENATE(MONTH(CompilDonnées[[#This Row],[HarvestingDate]])," ", YEAR(CompilDonnées[[#This Row],[HarvestingDate]]))</f>
        <v>3 2025</v>
      </c>
      <c r="N933">
        <f>_xlfn.NUMBERVALUE(CompilDonnées[[#This Row],[FarmID]]&amp;CompilDonnées[[#This Row],[ModuleNumber]]&amp;CompilDonnées[[#This Row],[PlantationDate]])</f>
        <v>13145679</v>
      </c>
      <c r="O933" t="str">
        <f>CompilDonnées[[#This Row],[FarmID]]&amp;CompilDonnées[[#This Row],[ModuleNumber]]</f>
        <v>131</v>
      </c>
      <c r="P933" t="str">
        <f>CompilDonnées[[#This Row],[Ref_Module]]&amp;CompilDonnées[[#This Row],[HarvestingDate]]</f>
        <v>13145719</v>
      </c>
    </row>
    <row r="934" spans="1:16">
      <c r="A934" s="5">
        <v>45679</v>
      </c>
      <c r="B934">
        <v>9</v>
      </c>
      <c r="C934" t="s">
        <v>107</v>
      </c>
      <c r="D934">
        <v>6</v>
      </c>
      <c r="E934">
        <v>100</v>
      </c>
      <c r="F934" t="s">
        <v>1</v>
      </c>
      <c r="G934" s="6">
        <v>45721</v>
      </c>
      <c r="H934">
        <v>42</v>
      </c>
      <c r="I934">
        <f>ROUND(CompilDonnées[[#This Row],[CultureDuration_days]]/7,0)</f>
        <v>6</v>
      </c>
      <c r="J934">
        <v>3088</v>
      </c>
      <c r="K934" t="str">
        <f>_xlfn.CONCAT(WEEKNUM(CompilDonnées[[#This Row],[PlantationDate]]), " ", YEAR(CompilDonnées[[#This Row],[PlantationDate]]))</f>
        <v>4 2025</v>
      </c>
      <c r="L934" t="str">
        <f>CONCATENATE(MONTH(CompilDonnées[[#This Row],[PlantationDate]])," ", YEAR(CompilDonnées[[#This Row],[PlantationDate]]))</f>
        <v>1 2025</v>
      </c>
      <c r="M934" t="str">
        <f>CONCATENATE(MONTH(CompilDonnées[[#This Row],[HarvestingDate]])," ", YEAR(CompilDonnées[[#This Row],[HarvestingDate]]))</f>
        <v>3 2025</v>
      </c>
      <c r="N934">
        <f>_xlfn.NUMBERVALUE(CompilDonnées[[#This Row],[FarmID]]&amp;CompilDonnées[[#This Row],[ModuleNumber]]&amp;CompilDonnées[[#This Row],[PlantationDate]])</f>
        <v>9645679</v>
      </c>
      <c r="O934" t="str">
        <f>CompilDonnées[[#This Row],[FarmID]]&amp;CompilDonnées[[#This Row],[ModuleNumber]]</f>
        <v>96</v>
      </c>
      <c r="P934" t="str">
        <f>CompilDonnées[[#This Row],[Ref_Module]]&amp;CompilDonnées[[#This Row],[HarvestingDate]]</f>
        <v>9645721</v>
      </c>
    </row>
    <row r="935" spans="1:16">
      <c r="A935" s="5">
        <v>45679</v>
      </c>
      <c r="B935">
        <v>2</v>
      </c>
      <c r="C935" t="s">
        <v>119</v>
      </c>
      <c r="D935">
        <v>2</v>
      </c>
      <c r="E935">
        <v>100</v>
      </c>
      <c r="F935" t="s">
        <v>1</v>
      </c>
      <c r="G935" s="6">
        <v>45721</v>
      </c>
      <c r="H935">
        <v>42</v>
      </c>
      <c r="I935">
        <f>ROUND(CompilDonnées[[#This Row],[CultureDuration_days]]/7,0)</f>
        <v>6</v>
      </c>
      <c r="J935">
        <v>3750</v>
      </c>
      <c r="K935" t="str">
        <f>_xlfn.CONCAT(WEEKNUM(CompilDonnées[[#This Row],[PlantationDate]]), " ", YEAR(CompilDonnées[[#This Row],[PlantationDate]]))</f>
        <v>4 2025</v>
      </c>
      <c r="L935" t="str">
        <f>CONCATENATE(MONTH(CompilDonnées[[#This Row],[PlantationDate]])," ", YEAR(CompilDonnées[[#This Row],[PlantationDate]]))</f>
        <v>1 2025</v>
      </c>
      <c r="M935" t="str">
        <f>CONCATENATE(MONTH(CompilDonnées[[#This Row],[HarvestingDate]])," ", YEAR(CompilDonnées[[#This Row],[HarvestingDate]]))</f>
        <v>3 2025</v>
      </c>
      <c r="N935">
        <f>_xlfn.NUMBERVALUE(CompilDonnées[[#This Row],[FarmID]]&amp;CompilDonnées[[#This Row],[ModuleNumber]]&amp;CompilDonnées[[#This Row],[PlantationDate]])</f>
        <v>2245679</v>
      </c>
      <c r="O935" t="str">
        <f>CompilDonnées[[#This Row],[FarmID]]&amp;CompilDonnées[[#This Row],[ModuleNumber]]</f>
        <v>22</v>
      </c>
      <c r="P935" t="str">
        <f>CompilDonnées[[#This Row],[Ref_Module]]&amp;CompilDonnées[[#This Row],[HarvestingDate]]</f>
        <v>2245721</v>
      </c>
    </row>
    <row r="936" spans="1:16">
      <c r="A936" s="5">
        <v>45679</v>
      </c>
      <c r="B936">
        <v>60</v>
      </c>
      <c r="C936" t="s">
        <v>113</v>
      </c>
      <c r="D936">
        <v>2</v>
      </c>
      <c r="E936">
        <v>100</v>
      </c>
      <c r="F936" t="s">
        <v>1</v>
      </c>
      <c r="G936" s="6">
        <v>45720</v>
      </c>
      <c r="H936">
        <v>41</v>
      </c>
      <c r="I936">
        <f>ROUND(CompilDonnées[[#This Row],[CultureDuration_days]]/7,0)</f>
        <v>6</v>
      </c>
      <c r="J936">
        <v>3677</v>
      </c>
      <c r="K936" t="str">
        <f>_xlfn.CONCAT(WEEKNUM(CompilDonnées[[#This Row],[PlantationDate]]), " ", YEAR(CompilDonnées[[#This Row],[PlantationDate]]))</f>
        <v>4 2025</v>
      </c>
      <c r="L936" t="str">
        <f>CONCATENATE(MONTH(CompilDonnées[[#This Row],[PlantationDate]])," ", YEAR(CompilDonnées[[#This Row],[PlantationDate]]))</f>
        <v>1 2025</v>
      </c>
      <c r="M936" t="str">
        <f>CONCATENATE(MONTH(CompilDonnées[[#This Row],[HarvestingDate]])," ", YEAR(CompilDonnées[[#This Row],[HarvestingDate]]))</f>
        <v>3 2025</v>
      </c>
      <c r="N936">
        <f>_xlfn.NUMBERVALUE(CompilDonnées[[#This Row],[FarmID]]&amp;CompilDonnées[[#This Row],[ModuleNumber]]&amp;CompilDonnées[[#This Row],[PlantationDate]])</f>
        <v>60245679</v>
      </c>
      <c r="O936" t="str">
        <f>CompilDonnées[[#This Row],[FarmID]]&amp;CompilDonnées[[#This Row],[ModuleNumber]]</f>
        <v>602</v>
      </c>
      <c r="P936" t="str">
        <f>CompilDonnées[[#This Row],[Ref_Module]]&amp;CompilDonnées[[#This Row],[HarvestingDate]]</f>
        <v>60245720</v>
      </c>
    </row>
    <row r="937" spans="1:16">
      <c r="A937" s="5">
        <v>45679</v>
      </c>
      <c r="B937">
        <v>1</v>
      </c>
      <c r="C937" t="s">
        <v>111</v>
      </c>
      <c r="D937">
        <v>5</v>
      </c>
      <c r="E937">
        <v>100</v>
      </c>
      <c r="F937" t="s">
        <v>1</v>
      </c>
      <c r="G937" s="6">
        <v>45721</v>
      </c>
      <c r="H937">
        <v>42</v>
      </c>
      <c r="I937">
        <f>ROUND(CompilDonnées[[#This Row],[CultureDuration_days]]/7,0)</f>
        <v>6</v>
      </c>
      <c r="J937">
        <v>3380</v>
      </c>
      <c r="K937" t="str">
        <f>_xlfn.CONCAT(WEEKNUM(CompilDonnées[[#This Row],[PlantationDate]]), " ", YEAR(CompilDonnées[[#This Row],[PlantationDate]]))</f>
        <v>4 2025</v>
      </c>
      <c r="L937" t="str">
        <f>CONCATENATE(MONTH(CompilDonnées[[#This Row],[PlantationDate]])," ", YEAR(CompilDonnées[[#This Row],[PlantationDate]]))</f>
        <v>1 2025</v>
      </c>
      <c r="M937" t="str">
        <f>CONCATENATE(MONTH(CompilDonnées[[#This Row],[HarvestingDate]])," ", YEAR(CompilDonnées[[#This Row],[HarvestingDate]]))</f>
        <v>3 2025</v>
      </c>
      <c r="N937">
        <f>_xlfn.NUMBERVALUE(CompilDonnées[[#This Row],[FarmID]]&amp;CompilDonnées[[#This Row],[ModuleNumber]]&amp;CompilDonnées[[#This Row],[PlantationDate]])</f>
        <v>1545679</v>
      </c>
      <c r="O937" t="str">
        <f>CompilDonnées[[#This Row],[FarmID]]&amp;CompilDonnées[[#This Row],[ModuleNumber]]</f>
        <v>15</v>
      </c>
      <c r="P937" t="str">
        <f>CompilDonnées[[#This Row],[Ref_Module]]&amp;CompilDonnées[[#This Row],[HarvestingDate]]</f>
        <v>1545721</v>
      </c>
    </row>
    <row r="938" spans="1:16">
      <c r="A938" s="5">
        <v>45679</v>
      </c>
      <c r="B938">
        <v>40</v>
      </c>
      <c r="C938" t="s">
        <v>82</v>
      </c>
      <c r="D938">
        <v>3</v>
      </c>
      <c r="E938">
        <v>100</v>
      </c>
      <c r="F938" t="s">
        <v>1</v>
      </c>
      <c r="G938" s="6">
        <v>45726</v>
      </c>
      <c r="H938">
        <v>47</v>
      </c>
      <c r="I938">
        <f>ROUND(CompilDonnées[[#This Row],[CultureDuration_days]]/7,0)</f>
        <v>7</v>
      </c>
      <c r="J938">
        <v>3006</v>
      </c>
      <c r="K938" t="str">
        <f>_xlfn.CONCAT(WEEKNUM(CompilDonnées[[#This Row],[PlantationDate]]), " ", YEAR(CompilDonnées[[#This Row],[PlantationDate]]))</f>
        <v>4 2025</v>
      </c>
      <c r="L938" t="str">
        <f>CONCATENATE(MONTH(CompilDonnées[[#This Row],[PlantationDate]])," ", YEAR(CompilDonnées[[#This Row],[PlantationDate]]))</f>
        <v>1 2025</v>
      </c>
      <c r="M938" t="str">
        <f>CONCATENATE(MONTH(CompilDonnées[[#This Row],[HarvestingDate]])," ", YEAR(CompilDonnées[[#This Row],[HarvestingDate]]))</f>
        <v>3 2025</v>
      </c>
      <c r="N938">
        <f>_xlfn.NUMBERVALUE(CompilDonnées[[#This Row],[FarmID]]&amp;CompilDonnées[[#This Row],[ModuleNumber]]&amp;CompilDonnées[[#This Row],[PlantationDate]])</f>
        <v>40345679</v>
      </c>
      <c r="O938" t="str">
        <f>CompilDonnées[[#This Row],[FarmID]]&amp;CompilDonnées[[#This Row],[ModuleNumber]]</f>
        <v>403</v>
      </c>
      <c r="P938" t="str">
        <f>CompilDonnées[[#This Row],[Ref_Module]]&amp;CompilDonnées[[#This Row],[HarvestingDate]]</f>
        <v>40345726</v>
      </c>
    </row>
    <row r="939" spans="1:16">
      <c r="A939" s="5">
        <v>45679</v>
      </c>
      <c r="B939">
        <v>76</v>
      </c>
      <c r="C939" t="s">
        <v>18</v>
      </c>
      <c r="D939">
        <v>2</v>
      </c>
      <c r="E939">
        <v>100</v>
      </c>
      <c r="F939" t="s">
        <v>1</v>
      </c>
      <c r="G939" s="6">
        <v>45720</v>
      </c>
      <c r="H939">
        <v>41</v>
      </c>
      <c r="I939">
        <f>ROUND(CompilDonnées[[#This Row],[CultureDuration_days]]/7,0)</f>
        <v>6</v>
      </c>
      <c r="J939">
        <v>3574</v>
      </c>
      <c r="K939" t="str">
        <f>_xlfn.CONCAT(WEEKNUM(CompilDonnées[[#This Row],[PlantationDate]]), " ", YEAR(CompilDonnées[[#This Row],[PlantationDate]]))</f>
        <v>4 2025</v>
      </c>
      <c r="L939" t="str">
        <f>CONCATENATE(MONTH(CompilDonnées[[#This Row],[PlantationDate]])," ", YEAR(CompilDonnées[[#This Row],[PlantationDate]]))</f>
        <v>1 2025</v>
      </c>
      <c r="M939" t="str">
        <f>CONCATENATE(MONTH(CompilDonnées[[#This Row],[HarvestingDate]])," ", YEAR(CompilDonnées[[#This Row],[HarvestingDate]]))</f>
        <v>3 2025</v>
      </c>
      <c r="N939">
        <f>_xlfn.NUMBERVALUE(CompilDonnées[[#This Row],[FarmID]]&amp;CompilDonnées[[#This Row],[ModuleNumber]]&amp;CompilDonnées[[#This Row],[PlantationDate]])</f>
        <v>76245679</v>
      </c>
      <c r="O939" t="str">
        <f>CompilDonnées[[#This Row],[FarmID]]&amp;CompilDonnées[[#This Row],[ModuleNumber]]</f>
        <v>762</v>
      </c>
      <c r="P939" t="str">
        <f>CompilDonnées[[#This Row],[Ref_Module]]&amp;CompilDonnées[[#This Row],[HarvestingDate]]</f>
        <v>76245720</v>
      </c>
    </row>
    <row r="940" spans="1:16">
      <c r="A940" s="5">
        <v>45679</v>
      </c>
      <c r="B940">
        <v>71</v>
      </c>
      <c r="C940" t="s">
        <v>19</v>
      </c>
      <c r="D940">
        <v>4</v>
      </c>
      <c r="E940">
        <v>100</v>
      </c>
      <c r="F940" t="s">
        <v>1</v>
      </c>
      <c r="G940" s="6">
        <v>45721</v>
      </c>
      <c r="H940">
        <v>42</v>
      </c>
      <c r="I940">
        <f>ROUND(CompilDonnées[[#This Row],[CultureDuration_days]]/7,0)</f>
        <v>6</v>
      </c>
      <c r="J940">
        <v>3167</v>
      </c>
      <c r="K940" t="str">
        <f>_xlfn.CONCAT(WEEKNUM(CompilDonnées[[#This Row],[PlantationDate]]), " ", YEAR(CompilDonnées[[#This Row],[PlantationDate]]))</f>
        <v>4 2025</v>
      </c>
      <c r="L940" t="str">
        <f>CONCATENATE(MONTH(CompilDonnées[[#This Row],[PlantationDate]])," ", YEAR(CompilDonnées[[#This Row],[PlantationDate]]))</f>
        <v>1 2025</v>
      </c>
      <c r="M940" t="str">
        <f>CONCATENATE(MONTH(CompilDonnées[[#This Row],[HarvestingDate]])," ", YEAR(CompilDonnées[[#This Row],[HarvestingDate]]))</f>
        <v>3 2025</v>
      </c>
      <c r="N940">
        <f>_xlfn.NUMBERVALUE(CompilDonnées[[#This Row],[FarmID]]&amp;CompilDonnées[[#This Row],[ModuleNumber]]&amp;CompilDonnées[[#This Row],[PlantationDate]])</f>
        <v>71445679</v>
      </c>
      <c r="O940" t="str">
        <f>CompilDonnées[[#This Row],[FarmID]]&amp;CompilDonnées[[#This Row],[ModuleNumber]]</f>
        <v>714</v>
      </c>
      <c r="P940" t="str">
        <f>CompilDonnées[[#This Row],[Ref_Module]]&amp;CompilDonnées[[#This Row],[HarvestingDate]]</f>
        <v>71445721</v>
      </c>
    </row>
    <row r="941" spans="1:16">
      <c r="A941" s="5">
        <v>45679</v>
      </c>
      <c r="B941">
        <v>79</v>
      </c>
      <c r="C941" t="s">
        <v>61</v>
      </c>
      <c r="D941">
        <v>5</v>
      </c>
      <c r="E941">
        <v>100</v>
      </c>
      <c r="F941" t="s">
        <v>1</v>
      </c>
      <c r="G941" s="6">
        <v>45714</v>
      </c>
      <c r="H941">
        <v>35</v>
      </c>
      <c r="I941">
        <f>ROUND(CompilDonnées[[#This Row],[CultureDuration_days]]/7,0)</f>
        <v>5</v>
      </c>
      <c r="J941">
        <v>2786</v>
      </c>
      <c r="K941" t="str">
        <f>_xlfn.CONCAT(WEEKNUM(CompilDonnées[[#This Row],[PlantationDate]]), " ", YEAR(CompilDonnées[[#This Row],[PlantationDate]]))</f>
        <v>4 2025</v>
      </c>
      <c r="L941" t="str">
        <f>CONCATENATE(MONTH(CompilDonnées[[#This Row],[PlantationDate]])," ", YEAR(CompilDonnées[[#This Row],[PlantationDate]]))</f>
        <v>1 2025</v>
      </c>
      <c r="M941" t="str">
        <f>CONCATENATE(MONTH(CompilDonnées[[#This Row],[HarvestingDate]])," ", YEAR(CompilDonnées[[#This Row],[HarvestingDate]]))</f>
        <v>2 2025</v>
      </c>
      <c r="N941">
        <f>_xlfn.NUMBERVALUE(CompilDonnées[[#This Row],[FarmID]]&amp;CompilDonnées[[#This Row],[ModuleNumber]]&amp;CompilDonnées[[#This Row],[PlantationDate]])</f>
        <v>79545679</v>
      </c>
      <c r="O941" t="str">
        <f>CompilDonnées[[#This Row],[FarmID]]&amp;CompilDonnées[[#This Row],[ModuleNumber]]</f>
        <v>795</v>
      </c>
      <c r="P941" t="str">
        <f>CompilDonnées[[#This Row],[Ref_Module]]&amp;CompilDonnées[[#This Row],[HarvestingDate]]</f>
        <v>79545714</v>
      </c>
    </row>
    <row r="942" spans="1:16">
      <c r="A942" s="5">
        <v>45679</v>
      </c>
      <c r="B942">
        <v>81</v>
      </c>
      <c r="C942" t="s">
        <v>30</v>
      </c>
      <c r="D942">
        <v>2</v>
      </c>
      <c r="E942">
        <v>100</v>
      </c>
      <c r="F942" t="s">
        <v>1</v>
      </c>
      <c r="G942" s="6">
        <v>45720</v>
      </c>
      <c r="H942">
        <v>41</v>
      </c>
      <c r="I942">
        <f>ROUND(CompilDonnées[[#This Row],[CultureDuration_days]]/7,0)</f>
        <v>6</v>
      </c>
      <c r="J942">
        <v>4314</v>
      </c>
      <c r="K942" t="str">
        <f>_xlfn.CONCAT(WEEKNUM(CompilDonnées[[#This Row],[PlantationDate]]), " ", YEAR(CompilDonnées[[#This Row],[PlantationDate]]))</f>
        <v>4 2025</v>
      </c>
      <c r="L942" t="str">
        <f>CONCATENATE(MONTH(CompilDonnées[[#This Row],[PlantationDate]])," ", YEAR(CompilDonnées[[#This Row],[PlantationDate]]))</f>
        <v>1 2025</v>
      </c>
      <c r="M942" t="str">
        <f>CONCATENATE(MONTH(CompilDonnées[[#This Row],[HarvestingDate]])," ", YEAR(CompilDonnées[[#This Row],[HarvestingDate]]))</f>
        <v>3 2025</v>
      </c>
      <c r="N942">
        <f>_xlfn.NUMBERVALUE(CompilDonnées[[#This Row],[FarmID]]&amp;CompilDonnées[[#This Row],[ModuleNumber]]&amp;CompilDonnées[[#This Row],[PlantationDate]])</f>
        <v>81245679</v>
      </c>
      <c r="O942" t="str">
        <f>CompilDonnées[[#This Row],[FarmID]]&amp;CompilDonnées[[#This Row],[ModuleNumber]]</f>
        <v>812</v>
      </c>
      <c r="P942" t="str">
        <f>CompilDonnées[[#This Row],[Ref_Module]]&amp;CompilDonnées[[#This Row],[HarvestingDate]]</f>
        <v>81245720</v>
      </c>
    </row>
    <row r="943" spans="1:16">
      <c r="A943" s="5">
        <v>45679</v>
      </c>
      <c r="B943">
        <v>82</v>
      </c>
      <c r="C943" t="s">
        <v>17</v>
      </c>
      <c r="D943">
        <v>3</v>
      </c>
      <c r="E943">
        <v>100</v>
      </c>
      <c r="F943" t="s">
        <v>1</v>
      </c>
      <c r="G943" s="6">
        <v>45715</v>
      </c>
      <c r="H943">
        <v>36</v>
      </c>
      <c r="I943">
        <f>ROUND(CompilDonnées[[#This Row],[CultureDuration_days]]/7,0)</f>
        <v>5</v>
      </c>
      <c r="J943">
        <v>3429</v>
      </c>
      <c r="K943" t="str">
        <f>_xlfn.CONCAT(WEEKNUM(CompilDonnées[[#This Row],[PlantationDate]]), " ", YEAR(CompilDonnées[[#This Row],[PlantationDate]]))</f>
        <v>4 2025</v>
      </c>
      <c r="L943" t="str">
        <f>CONCATENATE(MONTH(CompilDonnées[[#This Row],[PlantationDate]])," ", YEAR(CompilDonnées[[#This Row],[PlantationDate]]))</f>
        <v>1 2025</v>
      </c>
      <c r="M943" t="str">
        <f>CONCATENATE(MONTH(CompilDonnées[[#This Row],[HarvestingDate]])," ", YEAR(CompilDonnées[[#This Row],[HarvestingDate]]))</f>
        <v>2 2025</v>
      </c>
      <c r="N943">
        <f>_xlfn.NUMBERVALUE(CompilDonnées[[#This Row],[FarmID]]&amp;CompilDonnées[[#This Row],[ModuleNumber]]&amp;CompilDonnées[[#This Row],[PlantationDate]])</f>
        <v>82345679</v>
      </c>
      <c r="O943" t="str">
        <f>CompilDonnées[[#This Row],[FarmID]]&amp;CompilDonnées[[#This Row],[ModuleNumber]]</f>
        <v>823</v>
      </c>
      <c r="P943" t="str">
        <f>CompilDonnées[[#This Row],[Ref_Module]]&amp;CompilDonnées[[#This Row],[HarvestingDate]]</f>
        <v>82345715</v>
      </c>
    </row>
    <row r="944" spans="1:16">
      <c r="A944" s="5">
        <v>45679</v>
      </c>
      <c r="B944">
        <v>74</v>
      </c>
      <c r="C944" t="s">
        <v>21</v>
      </c>
      <c r="D944">
        <v>1</v>
      </c>
      <c r="E944">
        <v>100</v>
      </c>
      <c r="F944" t="s">
        <v>1</v>
      </c>
      <c r="G944" s="6">
        <v>45720</v>
      </c>
      <c r="H944">
        <v>41</v>
      </c>
      <c r="I944">
        <f>ROUND(CompilDonnées[[#This Row],[CultureDuration_days]]/7,0)</f>
        <v>6</v>
      </c>
      <c r="J944">
        <v>3398</v>
      </c>
      <c r="K944" t="str">
        <f>_xlfn.CONCAT(WEEKNUM(CompilDonnées[[#This Row],[PlantationDate]]), " ", YEAR(CompilDonnées[[#This Row],[PlantationDate]]))</f>
        <v>4 2025</v>
      </c>
      <c r="L944" t="str">
        <f>CONCATENATE(MONTH(CompilDonnées[[#This Row],[PlantationDate]])," ", YEAR(CompilDonnées[[#This Row],[PlantationDate]]))</f>
        <v>1 2025</v>
      </c>
      <c r="M944" t="str">
        <f>CONCATENATE(MONTH(CompilDonnées[[#This Row],[HarvestingDate]])," ", YEAR(CompilDonnées[[#This Row],[HarvestingDate]]))</f>
        <v>3 2025</v>
      </c>
      <c r="N944">
        <f>_xlfn.NUMBERVALUE(CompilDonnées[[#This Row],[FarmID]]&amp;CompilDonnées[[#This Row],[ModuleNumber]]&amp;CompilDonnées[[#This Row],[PlantationDate]])</f>
        <v>74145679</v>
      </c>
      <c r="O944" t="str">
        <f>CompilDonnées[[#This Row],[FarmID]]&amp;CompilDonnées[[#This Row],[ModuleNumber]]</f>
        <v>741</v>
      </c>
      <c r="P944" t="str">
        <f>CompilDonnées[[#This Row],[Ref_Module]]&amp;CompilDonnées[[#This Row],[HarvestingDate]]</f>
        <v>74145720</v>
      </c>
    </row>
    <row r="945" spans="1:16">
      <c r="A945" s="5">
        <v>45679</v>
      </c>
      <c r="B945">
        <v>72</v>
      </c>
      <c r="C945" t="s">
        <v>49</v>
      </c>
      <c r="D945">
        <v>5</v>
      </c>
      <c r="E945">
        <v>100</v>
      </c>
      <c r="F945" t="s">
        <v>1</v>
      </c>
      <c r="G945" s="6">
        <v>45720</v>
      </c>
      <c r="H945">
        <v>41</v>
      </c>
      <c r="I945">
        <f>ROUND(CompilDonnées[[#This Row],[CultureDuration_days]]/7,0)</f>
        <v>6</v>
      </c>
      <c r="J945">
        <v>3263</v>
      </c>
      <c r="K945" t="str">
        <f>_xlfn.CONCAT(WEEKNUM(CompilDonnées[[#This Row],[PlantationDate]]), " ", YEAR(CompilDonnées[[#This Row],[PlantationDate]]))</f>
        <v>4 2025</v>
      </c>
      <c r="L945" t="str">
        <f>CONCATENATE(MONTH(CompilDonnées[[#This Row],[PlantationDate]])," ", YEAR(CompilDonnées[[#This Row],[PlantationDate]]))</f>
        <v>1 2025</v>
      </c>
      <c r="M945" t="str">
        <f>CONCATENATE(MONTH(CompilDonnées[[#This Row],[HarvestingDate]])," ", YEAR(CompilDonnées[[#This Row],[HarvestingDate]]))</f>
        <v>3 2025</v>
      </c>
      <c r="N945">
        <f>_xlfn.NUMBERVALUE(CompilDonnées[[#This Row],[FarmID]]&amp;CompilDonnées[[#This Row],[ModuleNumber]]&amp;CompilDonnées[[#This Row],[PlantationDate]])</f>
        <v>72545679</v>
      </c>
      <c r="O945" t="str">
        <f>CompilDonnées[[#This Row],[FarmID]]&amp;CompilDonnées[[#This Row],[ModuleNumber]]</f>
        <v>725</v>
      </c>
      <c r="P945" t="str">
        <f>CompilDonnées[[#This Row],[Ref_Module]]&amp;CompilDonnées[[#This Row],[HarvestingDate]]</f>
        <v>72545720</v>
      </c>
    </row>
    <row r="946" spans="1:16">
      <c r="A946" s="5">
        <v>45679</v>
      </c>
      <c r="B946">
        <v>73</v>
      </c>
      <c r="C946" t="s">
        <v>20</v>
      </c>
      <c r="D946">
        <v>2</v>
      </c>
      <c r="E946">
        <v>100</v>
      </c>
      <c r="F946" t="s">
        <v>1</v>
      </c>
      <c r="G946" s="6">
        <v>45720</v>
      </c>
      <c r="H946">
        <v>41</v>
      </c>
      <c r="I946">
        <f>ROUND(CompilDonnées[[#This Row],[CultureDuration_days]]/7,0)</f>
        <v>6</v>
      </c>
      <c r="J946">
        <v>3914</v>
      </c>
      <c r="K946" t="str">
        <f>_xlfn.CONCAT(WEEKNUM(CompilDonnées[[#This Row],[PlantationDate]]), " ", YEAR(CompilDonnées[[#This Row],[PlantationDate]]))</f>
        <v>4 2025</v>
      </c>
      <c r="L946" t="str">
        <f>CONCATENATE(MONTH(CompilDonnées[[#This Row],[PlantationDate]])," ", YEAR(CompilDonnées[[#This Row],[PlantationDate]]))</f>
        <v>1 2025</v>
      </c>
      <c r="M946" t="str">
        <f>CONCATENATE(MONTH(CompilDonnées[[#This Row],[HarvestingDate]])," ", YEAR(CompilDonnées[[#This Row],[HarvestingDate]]))</f>
        <v>3 2025</v>
      </c>
      <c r="N946">
        <f>_xlfn.NUMBERVALUE(CompilDonnées[[#This Row],[FarmID]]&amp;CompilDonnées[[#This Row],[ModuleNumber]]&amp;CompilDonnées[[#This Row],[PlantationDate]])</f>
        <v>73245679</v>
      </c>
      <c r="O946" t="str">
        <f>CompilDonnées[[#This Row],[FarmID]]&amp;CompilDonnées[[#This Row],[ModuleNumber]]</f>
        <v>732</v>
      </c>
      <c r="P946" t="str">
        <f>CompilDonnées[[#This Row],[Ref_Module]]&amp;CompilDonnées[[#This Row],[HarvestingDate]]</f>
        <v>73245720</v>
      </c>
    </row>
    <row r="947" spans="1:16">
      <c r="A947" s="5">
        <v>45679</v>
      </c>
      <c r="B947">
        <v>66</v>
      </c>
      <c r="C947" t="s">
        <v>48</v>
      </c>
      <c r="D947">
        <v>5</v>
      </c>
      <c r="E947">
        <v>100</v>
      </c>
      <c r="F947" t="s">
        <v>1</v>
      </c>
      <c r="G947" s="6">
        <v>45721</v>
      </c>
      <c r="H947">
        <v>42</v>
      </c>
      <c r="I947">
        <f>ROUND(CompilDonnées[[#This Row],[CultureDuration_days]]/7,0)</f>
        <v>6</v>
      </c>
      <c r="J947">
        <v>3310</v>
      </c>
      <c r="K947" t="str">
        <f>_xlfn.CONCAT(WEEKNUM(CompilDonnées[[#This Row],[PlantationDate]]), " ", YEAR(CompilDonnées[[#This Row],[PlantationDate]]))</f>
        <v>4 2025</v>
      </c>
      <c r="L947" t="str">
        <f>CONCATENATE(MONTH(CompilDonnées[[#This Row],[PlantationDate]])," ", YEAR(CompilDonnées[[#This Row],[PlantationDate]]))</f>
        <v>1 2025</v>
      </c>
      <c r="M947" t="str">
        <f>CONCATENATE(MONTH(CompilDonnées[[#This Row],[HarvestingDate]])," ", YEAR(CompilDonnées[[#This Row],[HarvestingDate]]))</f>
        <v>3 2025</v>
      </c>
      <c r="N947">
        <f>_xlfn.NUMBERVALUE(CompilDonnées[[#This Row],[FarmID]]&amp;CompilDonnées[[#This Row],[ModuleNumber]]&amp;CompilDonnées[[#This Row],[PlantationDate]])</f>
        <v>66545679</v>
      </c>
      <c r="O947" t="str">
        <f>CompilDonnées[[#This Row],[FarmID]]&amp;CompilDonnées[[#This Row],[ModuleNumber]]</f>
        <v>665</v>
      </c>
      <c r="P947" t="str">
        <f>CompilDonnées[[#This Row],[Ref_Module]]&amp;CompilDonnées[[#This Row],[HarvestingDate]]</f>
        <v>66545721</v>
      </c>
    </row>
    <row r="948" spans="1:16">
      <c r="A948" s="5">
        <v>45679</v>
      </c>
      <c r="B948">
        <v>51</v>
      </c>
      <c r="C948" t="s">
        <v>27</v>
      </c>
      <c r="D948">
        <v>6</v>
      </c>
      <c r="E948">
        <v>100</v>
      </c>
      <c r="F948" t="s">
        <v>1</v>
      </c>
      <c r="G948" s="6">
        <v>45721</v>
      </c>
      <c r="H948">
        <v>42</v>
      </c>
      <c r="I948">
        <f>ROUND(CompilDonnées[[#This Row],[CultureDuration_days]]/7,0)</f>
        <v>6</v>
      </c>
      <c r="J948">
        <v>3647</v>
      </c>
      <c r="K948" t="str">
        <f>_xlfn.CONCAT(WEEKNUM(CompilDonnées[[#This Row],[PlantationDate]]), " ", YEAR(CompilDonnées[[#This Row],[PlantationDate]]))</f>
        <v>4 2025</v>
      </c>
      <c r="L948" t="str">
        <f>CONCATENATE(MONTH(CompilDonnées[[#This Row],[PlantationDate]])," ", YEAR(CompilDonnées[[#This Row],[PlantationDate]]))</f>
        <v>1 2025</v>
      </c>
      <c r="M948" t="str">
        <f>CONCATENATE(MONTH(CompilDonnées[[#This Row],[HarvestingDate]])," ", YEAR(CompilDonnées[[#This Row],[HarvestingDate]]))</f>
        <v>3 2025</v>
      </c>
      <c r="N948">
        <f>_xlfn.NUMBERVALUE(CompilDonnées[[#This Row],[FarmID]]&amp;CompilDonnées[[#This Row],[ModuleNumber]]&amp;CompilDonnées[[#This Row],[PlantationDate]])</f>
        <v>51645679</v>
      </c>
      <c r="O948" t="str">
        <f>CompilDonnées[[#This Row],[FarmID]]&amp;CompilDonnées[[#This Row],[ModuleNumber]]</f>
        <v>516</v>
      </c>
      <c r="P948" t="str">
        <f>CompilDonnées[[#This Row],[Ref_Module]]&amp;CompilDonnées[[#This Row],[HarvestingDate]]</f>
        <v>51645721</v>
      </c>
    </row>
    <row r="949" spans="1:16">
      <c r="A949" s="5">
        <v>45679</v>
      </c>
      <c r="B949">
        <v>49</v>
      </c>
      <c r="C949" t="s">
        <v>110</v>
      </c>
      <c r="D949">
        <v>3</v>
      </c>
      <c r="E949">
        <v>100</v>
      </c>
      <c r="F949" t="s">
        <v>1</v>
      </c>
      <c r="G949" s="6">
        <v>45727</v>
      </c>
      <c r="H949">
        <v>48</v>
      </c>
      <c r="I949">
        <f>ROUND(CompilDonnées[[#This Row],[CultureDuration_days]]/7,0)</f>
        <v>7</v>
      </c>
      <c r="J949">
        <v>3612</v>
      </c>
      <c r="K949" t="str">
        <f>_xlfn.CONCAT(WEEKNUM(CompilDonnées[[#This Row],[PlantationDate]]), " ", YEAR(CompilDonnées[[#This Row],[PlantationDate]]))</f>
        <v>4 2025</v>
      </c>
      <c r="L949" t="str">
        <f>CONCATENATE(MONTH(CompilDonnées[[#This Row],[PlantationDate]])," ", YEAR(CompilDonnées[[#This Row],[PlantationDate]]))</f>
        <v>1 2025</v>
      </c>
      <c r="M949" t="str">
        <f>CONCATENATE(MONTH(CompilDonnées[[#This Row],[HarvestingDate]])," ", YEAR(CompilDonnées[[#This Row],[HarvestingDate]]))</f>
        <v>3 2025</v>
      </c>
      <c r="N949">
        <f>_xlfn.NUMBERVALUE(CompilDonnées[[#This Row],[FarmID]]&amp;CompilDonnées[[#This Row],[ModuleNumber]]&amp;CompilDonnées[[#This Row],[PlantationDate]])</f>
        <v>49345679</v>
      </c>
      <c r="O949" t="str">
        <f>CompilDonnées[[#This Row],[FarmID]]&amp;CompilDonnées[[#This Row],[ModuleNumber]]</f>
        <v>493</v>
      </c>
      <c r="P949" t="str">
        <f>CompilDonnées[[#This Row],[Ref_Module]]&amp;CompilDonnées[[#This Row],[HarvestingDate]]</f>
        <v>49345727</v>
      </c>
    </row>
    <row r="950" spans="1:16">
      <c r="A950" s="5">
        <v>45679</v>
      </c>
      <c r="B950">
        <v>22</v>
      </c>
      <c r="C950" t="s">
        <v>43</v>
      </c>
      <c r="D950">
        <v>2</v>
      </c>
      <c r="E950">
        <v>100</v>
      </c>
      <c r="F950" t="s">
        <v>1</v>
      </c>
      <c r="G950" s="6">
        <v>45721</v>
      </c>
      <c r="H950">
        <v>42</v>
      </c>
      <c r="I950">
        <f>ROUND(CompilDonnées[[#This Row],[CultureDuration_days]]/7,0)</f>
        <v>6</v>
      </c>
      <c r="J950">
        <v>3245</v>
      </c>
      <c r="K950" t="str">
        <f>_xlfn.CONCAT(WEEKNUM(CompilDonnées[[#This Row],[PlantationDate]]), " ", YEAR(CompilDonnées[[#This Row],[PlantationDate]]))</f>
        <v>4 2025</v>
      </c>
      <c r="L950" t="str">
        <f>CONCATENATE(MONTH(CompilDonnées[[#This Row],[PlantationDate]])," ", YEAR(CompilDonnées[[#This Row],[PlantationDate]]))</f>
        <v>1 2025</v>
      </c>
      <c r="M950" t="str">
        <f>CONCATENATE(MONTH(CompilDonnées[[#This Row],[HarvestingDate]])," ", YEAR(CompilDonnées[[#This Row],[HarvestingDate]]))</f>
        <v>3 2025</v>
      </c>
      <c r="N950">
        <f>_xlfn.NUMBERVALUE(CompilDonnées[[#This Row],[FarmID]]&amp;CompilDonnées[[#This Row],[ModuleNumber]]&amp;CompilDonnées[[#This Row],[PlantationDate]])</f>
        <v>22245679</v>
      </c>
      <c r="O950" t="str">
        <f>CompilDonnées[[#This Row],[FarmID]]&amp;CompilDonnées[[#This Row],[ModuleNumber]]</f>
        <v>222</v>
      </c>
      <c r="P950" t="str">
        <f>CompilDonnées[[#This Row],[Ref_Module]]&amp;CompilDonnées[[#This Row],[HarvestingDate]]</f>
        <v>22245721</v>
      </c>
    </row>
    <row r="951" spans="1:16">
      <c r="A951" s="5">
        <v>45679</v>
      </c>
      <c r="B951">
        <v>22</v>
      </c>
      <c r="C951" t="s">
        <v>43</v>
      </c>
      <c r="D951">
        <v>1</v>
      </c>
      <c r="E951">
        <v>100</v>
      </c>
      <c r="F951" t="s">
        <v>1</v>
      </c>
      <c r="G951" s="6">
        <v>45721</v>
      </c>
      <c r="H951">
        <v>42</v>
      </c>
      <c r="I951">
        <f>ROUND(CompilDonnées[[#This Row],[CultureDuration_days]]/7,0)</f>
        <v>6</v>
      </c>
      <c r="J951">
        <v>3176</v>
      </c>
      <c r="K951" t="str">
        <f>_xlfn.CONCAT(WEEKNUM(CompilDonnées[[#This Row],[PlantationDate]]), " ", YEAR(CompilDonnées[[#This Row],[PlantationDate]]))</f>
        <v>4 2025</v>
      </c>
      <c r="L951" t="str">
        <f>CONCATENATE(MONTH(CompilDonnées[[#This Row],[PlantationDate]])," ", YEAR(CompilDonnées[[#This Row],[PlantationDate]]))</f>
        <v>1 2025</v>
      </c>
      <c r="M951" t="str">
        <f>CONCATENATE(MONTH(CompilDonnées[[#This Row],[HarvestingDate]])," ", YEAR(CompilDonnées[[#This Row],[HarvestingDate]]))</f>
        <v>3 2025</v>
      </c>
      <c r="N951">
        <f>_xlfn.NUMBERVALUE(CompilDonnées[[#This Row],[FarmID]]&amp;CompilDonnées[[#This Row],[ModuleNumber]]&amp;CompilDonnées[[#This Row],[PlantationDate]])</f>
        <v>22145679</v>
      </c>
      <c r="O951" t="str">
        <f>CompilDonnées[[#This Row],[FarmID]]&amp;CompilDonnées[[#This Row],[ModuleNumber]]</f>
        <v>221</v>
      </c>
      <c r="P951" t="str">
        <f>CompilDonnées[[#This Row],[Ref_Module]]&amp;CompilDonnées[[#This Row],[HarvestingDate]]</f>
        <v>22145721</v>
      </c>
    </row>
    <row r="952" spans="1:16">
      <c r="A952" s="5">
        <v>45679</v>
      </c>
      <c r="B952">
        <v>88</v>
      </c>
      <c r="C952" t="s">
        <v>94</v>
      </c>
      <c r="D952">
        <v>2</v>
      </c>
      <c r="E952">
        <v>100</v>
      </c>
      <c r="F952" t="s">
        <v>1</v>
      </c>
      <c r="G952" s="6">
        <v>45715</v>
      </c>
      <c r="H952">
        <v>36</v>
      </c>
      <c r="I952">
        <f>ROUND(CompilDonnées[[#This Row],[CultureDuration_days]]/7,0)</f>
        <v>5</v>
      </c>
      <c r="J952">
        <v>3454</v>
      </c>
      <c r="K952" t="str">
        <f>_xlfn.CONCAT(WEEKNUM(CompilDonnées[[#This Row],[PlantationDate]]), " ", YEAR(CompilDonnées[[#This Row],[PlantationDate]]))</f>
        <v>4 2025</v>
      </c>
      <c r="L952" t="str">
        <f>CONCATENATE(MONTH(CompilDonnées[[#This Row],[PlantationDate]])," ", YEAR(CompilDonnées[[#This Row],[PlantationDate]]))</f>
        <v>1 2025</v>
      </c>
      <c r="M952" t="str">
        <f>CONCATENATE(MONTH(CompilDonnées[[#This Row],[HarvestingDate]])," ", YEAR(CompilDonnées[[#This Row],[HarvestingDate]]))</f>
        <v>2 2025</v>
      </c>
      <c r="N952">
        <f>_xlfn.NUMBERVALUE(CompilDonnées[[#This Row],[FarmID]]&amp;CompilDonnées[[#This Row],[ModuleNumber]]&amp;CompilDonnées[[#This Row],[PlantationDate]])</f>
        <v>88245679</v>
      </c>
      <c r="O952" t="str">
        <f>CompilDonnées[[#This Row],[FarmID]]&amp;CompilDonnées[[#This Row],[ModuleNumber]]</f>
        <v>882</v>
      </c>
      <c r="P952" t="str">
        <f>CompilDonnées[[#This Row],[Ref_Module]]&amp;CompilDonnées[[#This Row],[HarvestingDate]]</f>
        <v>88245715</v>
      </c>
    </row>
    <row r="953" spans="1:16">
      <c r="A953" s="5">
        <v>45679</v>
      </c>
      <c r="B953">
        <v>87</v>
      </c>
      <c r="C953" t="s">
        <v>38</v>
      </c>
      <c r="D953">
        <v>4</v>
      </c>
      <c r="E953">
        <v>100</v>
      </c>
      <c r="F953" t="s">
        <v>1</v>
      </c>
      <c r="G953" s="6">
        <v>45729</v>
      </c>
      <c r="H953">
        <v>50</v>
      </c>
      <c r="I953">
        <f>ROUND(CompilDonnées[[#This Row],[CultureDuration_days]]/7,0)</f>
        <v>7</v>
      </c>
      <c r="J953">
        <v>3728</v>
      </c>
      <c r="K953" t="str">
        <f>_xlfn.CONCAT(WEEKNUM(CompilDonnées[[#This Row],[PlantationDate]]), " ", YEAR(CompilDonnées[[#This Row],[PlantationDate]]))</f>
        <v>4 2025</v>
      </c>
      <c r="L953" t="str">
        <f>CONCATENATE(MONTH(CompilDonnées[[#This Row],[PlantationDate]])," ", YEAR(CompilDonnées[[#This Row],[PlantationDate]]))</f>
        <v>1 2025</v>
      </c>
      <c r="M953" t="str">
        <f>CONCATENATE(MONTH(CompilDonnées[[#This Row],[HarvestingDate]])," ", YEAR(CompilDonnées[[#This Row],[HarvestingDate]]))</f>
        <v>3 2025</v>
      </c>
      <c r="N953">
        <f>_xlfn.NUMBERVALUE(CompilDonnées[[#This Row],[FarmID]]&amp;CompilDonnées[[#This Row],[ModuleNumber]]&amp;CompilDonnées[[#This Row],[PlantationDate]])</f>
        <v>87445679</v>
      </c>
      <c r="O953" t="str">
        <f>CompilDonnées[[#This Row],[FarmID]]&amp;CompilDonnées[[#This Row],[ModuleNumber]]</f>
        <v>874</v>
      </c>
      <c r="P953" t="str">
        <f>CompilDonnées[[#This Row],[Ref_Module]]&amp;CompilDonnées[[#This Row],[HarvestingDate]]</f>
        <v>87445729</v>
      </c>
    </row>
    <row r="954" spans="1:16">
      <c r="A954" s="5">
        <v>45679</v>
      </c>
      <c r="B954">
        <v>86</v>
      </c>
      <c r="C954" t="s">
        <v>37</v>
      </c>
      <c r="D954">
        <v>5</v>
      </c>
      <c r="E954">
        <v>100</v>
      </c>
      <c r="F954" t="s">
        <v>1</v>
      </c>
      <c r="G954" s="6">
        <v>45720</v>
      </c>
      <c r="H954">
        <v>41</v>
      </c>
      <c r="I954">
        <f>ROUND(CompilDonnées[[#This Row],[CultureDuration_days]]/7,0)</f>
        <v>6</v>
      </c>
      <c r="J954">
        <v>3607</v>
      </c>
      <c r="K954" t="str">
        <f>_xlfn.CONCAT(WEEKNUM(CompilDonnées[[#This Row],[PlantationDate]]), " ", YEAR(CompilDonnées[[#This Row],[PlantationDate]]))</f>
        <v>4 2025</v>
      </c>
      <c r="L954" t="str">
        <f>CONCATENATE(MONTH(CompilDonnées[[#This Row],[PlantationDate]])," ", YEAR(CompilDonnées[[#This Row],[PlantationDate]]))</f>
        <v>1 2025</v>
      </c>
      <c r="M954" t="str">
        <f>CONCATENATE(MONTH(CompilDonnées[[#This Row],[HarvestingDate]])," ", YEAR(CompilDonnées[[#This Row],[HarvestingDate]]))</f>
        <v>3 2025</v>
      </c>
      <c r="N954">
        <f>_xlfn.NUMBERVALUE(CompilDonnées[[#This Row],[FarmID]]&amp;CompilDonnées[[#This Row],[ModuleNumber]]&amp;CompilDonnées[[#This Row],[PlantationDate]])</f>
        <v>86545679</v>
      </c>
      <c r="O954" t="str">
        <f>CompilDonnées[[#This Row],[FarmID]]&amp;CompilDonnées[[#This Row],[ModuleNumber]]</f>
        <v>865</v>
      </c>
      <c r="P954" t="str">
        <f>CompilDonnées[[#This Row],[Ref_Module]]&amp;CompilDonnées[[#This Row],[HarvestingDate]]</f>
        <v>86545720</v>
      </c>
    </row>
    <row r="955" spans="1:16">
      <c r="A955" s="5">
        <v>45679</v>
      </c>
      <c r="B955">
        <v>85</v>
      </c>
      <c r="C955" t="s">
        <v>56</v>
      </c>
      <c r="D955">
        <v>1</v>
      </c>
      <c r="E955">
        <v>100</v>
      </c>
      <c r="F955" t="s">
        <v>1</v>
      </c>
      <c r="G955" s="6">
        <v>45720</v>
      </c>
      <c r="H955">
        <v>41</v>
      </c>
      <c r="I955">
        <f>ROUND(CompilDonnées[[#This Row],[CultureDuration_days]]/7,0)</f>
        <v>6</v>
      </c>
      <c r="J955">
        <v>2579</v>
      </c>
      <c r="K955" t="str">
        <f>_xlfn.CONCAT(WEEKNUM(CompilDonnées[[#This Row],[PlantationDate]]), " ", YEAR(CompilDonnées[[#This Row],[PlantationDate]]))</f>
        <v>4 2025</v>
      </c>
      <c r="L955" t="str">
        <f>CONCATENATE(MONTH(CompilDonnées[[#This Row],[PlantationDate]])," ", YEAR(CompilDonnées[[#This Row],[PlantationDate]]))</f>
        <v>1 2025</v>
      </c>
      <c r="M955" t="str">
        <f>CONCATENATE(MONTH(CompilDonnées[[#This Row],[HarvestingDate]])," ", YEAR(CompilDonnées[[#This Row],[HarvestingDate]]))</f>
        <v>3 2025</v>
      </c>
      <c r="N955">
        <f>_xlfn.NUMBERVALUE(CompilDonnées[[#This Row],[FarmID]]&amp;CompilDonnées[[#This Row],[ModuleNumber]]&amp;CompilDonnées[[#This Row],[PlantationDate]])</f>
        <v>85145679</v>
      </c>
      <c r="O955" t="str">
        <f>CompilDonnées[[#This Row],[FarmID]]&amp;CompilDonnées[[#This Row],[ModuleNumber]]</f>
        <v>851</v>
      </c>
      <c r="P955" t="str">
        <f>CompilDonnées[[#This Row],[Ref_Module]]&amp;CompilDonnées[[#This Row],[HarvestingDate]]</f>
        <v>85145720</v>
      </c>
    </row>
    <row r="956" spans="1:16">
      <c r="A956" s="5">
        <v>45679</v>
      </c>
      <c r="B956">
        <v>107</v>
      </c>
      <c r="C956" t="s">
        <v>23</v>
      </c>
      <c r="D956">
        <v>1</v>
      </c>
      <c r="E956">
        <v>100</v>
      </c>
      <c r="F956" t="s">
        <v>1</v>
      </c>
      <c r="G956" s="6">
        <v>45720</v>
      </c>
      <c r="H956">
        <v>41</v>
      </c>
      <c r="I956">
        <f>ROUND(CompilDonnées[[#This Row],[CultureDuration_days]]/7,0)</f>
        <v>6</v>
      </c>
      <c r="J956">
        <v>2780</v>
      </c>
      <c r="K956" t="str">
        <f>_xlfn.CONCAT(WEEKNUM(CompilDonnées[[#This Row],[PlantationDate]]), " ", YEAR(CompilDonnées[[#This Row],[PlantationDate]]))</f>
        <v>4 2025</v>
      </c>
      <c r="L956" t="str">
        <f>CONCATENATE(MONTH(CompilDonnées[[#This Row],[PlantationDate]])," ", YEAR(CompilDonnées[[#This Row],[PlantationDate]]))</f>
        <v>1 2025</v>
      </c>
      <c r="M956" t="str">
        <f>CONCATENATE(MONTH(CompilDonnées[[#This Row],[HarvestingDate]])," ", YEAR(CompilDonnées[[#This Row],[HarvestingDate]]))</f>
        <v>3 2025</v>
      </c>
      <c r="N956">
        <f>_xlfn.NUMBERVALUE(CompilDonnées[[#This Row],[FarmID]]&amp;CompilDonnées[[#This Row],[ModuleNumber]]&amp;CompilDonnées[[#This Row],[PlantationDate]])</f>
        <v>107145679</v>
      </c>
      <c r="O956" t="str">
        <f>CompilDonnées[[#This Row],[FarmID]]&amp;CompilDonnées[[#This Row],[ModuleNumber]]</f>
        <v>1071</v>
      </c>
      <c r="P956" t="str">
        <f>CompilDonnées[[#This Row],[Ref_Module]]&amp;CompilDonnées[[#This Row],[HarvestingDate]]</f>
        <v>107145720</v>
      </c>
    </row>
    <row r="957" spans="1:16">
      <c r="A957" s="5">
        <v>45679</v>
      </c>
      <c r="B957">
        <v>106</v>
      </c>
      <c r="C957" t="s">
        <v>22</v>
      </c>
      <c r="D957">
        <v>1</v>
      </c>
      <c r="E957">
        <v>100</v>
      </c>
      <c r="F957" t="s">
        <v>1</v>
      </c>
      <c r="G957" s="6">
        <v>45720</v>
      </c>
      <c r="H957">
        <v>41</v>
      </c>
      <c r="I957">
        <f>ROUND(CompilDonnées[[#This Row],[CultureDuration_days]]/7,0)</f>
        <v>6</v>
      </c>
      <c r="J957">
        <v>3652</v>
      </c>
      <c r="K957" t="str">
        <f>_xlfn.CONCAT(WEEKNUM(CompilDonnées[[#This Row],[PlantationDate]]), " ", YEAR(CompilDonnées[[#This Row],[PlantationDate]]))</f>
        <v>4 2025</v>
      </c>
      <c r="L957" t="str">
        <f>CONCATENATE(MONTH(CompilDonnées[[#This Row],[PlantationDate]])," ", YEAR(CompilDonnées[[#This Row],[PlantationDate]]))</f>
        <v>1 2025</v>
      </c>
      <c r="M957" t="str">
        <f>CONCATENATE(MONTH(CompilDonnées[[#This Row],[HarvestingDate]])," ", YEAR(CompilDonnées[[#This Row],[HarvestingDate]]))</f>
        <v>3 2025</v>
      </c>
      <c r="N957">
        <f>_xlfn.NUMBERVALUE(CompilDonnées[[#This Row],[FarmID]]&amp;CompilDonnées[[#This Row],[ModuleNumber]]&amp;CompilDonnées[[#This Row],[PlantationDate]])</f>
        <v>106145679</v>
      </c>
      <c r="O957" t="str">
        <f>CompilDonnées[[#This Row],[FarmID]]&amp;CompilDonnées[[#This Row],[ModuleNumber]]</f>
        <v>1061</v>
      </c>
      <c r="P957" t="str">
        <f>CompilDonnées[[#This Row],[Ref_Module]]&amp;CompilDonnées[[#This Row],[HarvestingDate]]</f>
        <v>106145720</v>
      </c>
    </row>
    <row r="958" spans="1:16">
      <c r="A958" s="5">
        <v>45679</v>
      </c>
      <c r="B958">
        <v>93</v>
      </c>
      <c r="C958" t="s">
        <v>10</v>
      </c>
      <c r="D958">
        <v>3</v>
      </c>
      <c r="E958">
        <v>100</v>
      </c>
      <c r="F958" t="s">
        <v>1</v>
      </c>
      <c r="G958" s="6">
        <v>45719</v>
      </c>
      <c r="H958">
        <v>40</v>
      </c>
      <c r="I958">
        <f>ROUND(CompilDonnées[[#This Row],[CultureDuration_days]]/7,0)</f>
        <v>6</v>
      </c>
      <c r="J958">
        <v>3655</v>
      </c>
      <c r="K958" t="str">
        <f>_xlfn.CONCAT(WEEKNUM(CompilDonnées[[#This Row],[PlantationDate]]), " ", YEAR(CompilDonnées[[#This Row],[PlantationDate]]))</f>
        <v>4 2025</v>
      </c>
      <c r="L958" t="str">
        <f>CONCATENATE(MONTH(CompilDonnées[[#This Row],[PlantationDate]])," ", YEAR(CompilDonnées[[#This Row],[PlantationDate]]))</f>
        <v>1 2025</v>
      </c>
      <c r="M958" t="str">
        <f>CONCATENATE(MONTH(CompilDonnées[[#This Row],[HarvestingDate]])," ", YEAR(CompilDonnées[[#This Row],[HarvestingDate]]))</f>
        <v>3 2025</v>
      </c>
      <c r="N958">
        <f>_xlfn.NUMBERVALUE(CompilDonnées[[#This Row],[FarmID]]&amp;CompilDonnées[[#This Row],[ModuleNumber]]&amp;CompilDonnées[[#This Row],[PlantationDate]])</f>
        <v>93345679</v>
      </c>
      <c r="O958" t="str">
        <f>CompilDonnées[[#This Row],[FarmID]]&amp;CompilDonnées[[#This Row],[ModuleNumber]]</f>
        <v>933</v>
      </c>
      <c r="P958" t="str">
        <f>CompilDonnées[[#This Row],[Ref_Module]]&amp;CompilDonnées[[#This Row],[HarvestingDate]]</f>
        <v>93345719</v>
      </c>
    </row>
    <row r="959" spans="1:16">
      <c r="A959" s="5">
        <v>45679</v>
      </c>
      <c r="B959">
        <v>123</v>
      </c>
      <c r="C959" t="s">
        <v>13</v>
      </c>
      <c r="D959">
        <v>5</v>
      </c>
      <c r="E959">
        <v>100</v>
      </c>
      <c r="F959" t="s">
        <v>1</v>
      </c>
      <c r="G959" s="6">
        <v>45719</v>
      </c>
      <c r="H959">
        <v>40</v>
      </c>
      <c r="I959">
        <f>ROUND(CompilDonnées[[#This Row],[CultureDuration_days]]/7,0)</f>
        <v>6</v>
      </c>
      <c r="J959">
        <v>3929</v>
      </c>
      <c r="K959" t="str">
        <f>_xlfn.CONCAT(WEEKNUM(CompilDonnées[[#This Row],[PlantationDate]]), " ", YEAR(CompilDonnées[[#This Row],[PlantationDate]]))</f>
        <v>4 2025</v>
      </c>
      <c r="L959" t="str">
        <f>CONCATENATE(MONTH(CompilDonnées[[#This Row],[PlantationDate]])," ", YEAR(CompilDonnées[[#This Row],[PlantationDate]]))</f>
        <v>1 2025</v>
      </c>
      <c r="M959" t="str">
        <f>CONCATENATE(MONTH(CompilDonnées[[#This Row],[HarvestingDate]])," ", YEAR(CompilDonnées[[#This Row],[HarvestingDate]]))</f>
        <v>3 2025</v>
      </c>
      <c r="N959">
        <f>_xlfn.NUMBERVALUE(CompilDonnées[[#This Row],[FarmID]]&amp;CompilDonnées[[#This Row],[ModuleNumber]]&amp;CompilDonnées[[#This Row],[PlantationDate]])</f>
        <v>123545679</v>
      </c>
      <c r="O959" t="str">
        <f>CompilDonnées[[#This Row],[FarmID]]&amp;CompilDonnées[[#This Row],[ModuleNumber]]</f>
        <v>1235</v>
      </c>
      <c r="P959" t="str">
        <f>CompilDonnées[[#This Row],[Ref_Module]]&amp;CompilDonnées[[#This Row],[HarvestingDate]]</f>
        <v>123545719</v>
      </c>
    </row>
    <row r="960" spans="1:16">
      <c r="A960" s="5">
        <v>45679</v>
      </c>
      <c r="B960">
        <v>115</v>
      </c>
      <c r="C960" t="s">
        <v>92</v>
      </c>
      <c r="D960">
        <v>2</v>
      </c>
      <c r="E960">
        <v>100</v>
      </c>
      <c r="F960" t="s">
        <v>1</v>
      </c>
      <c r="G960" s="6">
        <v>45719</v>
      </c>
      <c r="H960">
        <v>40</v>
      </c>
      <c r="I960">
        <f>ROUND(CompilDonnées[[#This Row],[CultureDuration_days]]/7,0)</f>
        <v>6</v>
      </c>
      <c r="J960">
        <v>2871</v>
      </c>
      <c r="K960" t="str">
        <f>_xlfn.CONCAT(WEEKNUM(CompilDonnées[[#This Row],[PlantationDate]]), " ", YEAR(CompilDonnées[[#This Row],[PlantationDate]]))</f>
        <v>4 2025</v>
      </c>
      <c r="L960" t="str">
        <f>CONCATENATE(MONTH(CompilDonnées[[#This Row],[PlantationDate]])," ", YEAR(CompilDonnées[[#This Row],[PlantationDate]]))</f>
        <v>1 2025</v>
      </c>
      <c r="M960" t="str">
        <f>CONCATENATE(MONTH(CompilDonnées[[#This Row],[HarvestingDate]])," ", YEAR(CompilDonnées[[#This Row],[HarvestingDate]]))</f>
        <v>3 2025</v>
      </c>
      <c r="N960">
        <f>_xlfn.NUMBERVALUE(CompilDonnées[[#This Row],[FarmID]]&amp;CompilDonnées[[#This Row],[ModuleNumber]]&amp;CompilDonnées[[#This Row],[PlantationDate]])</f>
        <v>115245679</v>
      </c>
      <c r="O960" t="str">
        <f>CompilDonnées[[#This Row],[FarmID]]&amp;CompilDonnées[[#This Row],[ModuleNumber]]</f>
        <v>1152</v>
      </c>
      <c r="P960" t="str">
        <f>CompilDonnées[[#This Row],[Ref_Module]]&amp;CompilDonnées[[#This Row],[HarvestingDate]]</f>
        <v>115245719</v>
      </c>
    </row>
    <row r="961" spans="1:16">
      <c r="A961" s="5">
        <v>45679</v>
      </c>
      <c r="B961">
        <v>130</v>
      </c>
      <c r="C961" t="s">
        <v>3</v>
      </c>
      <c r="D961">
        <v>1</v>
      </c>
      <c r="E961">
        <v>60</v>
      </c>
      <c r="F961" t="s">
        <v>105</v>
      </c>
      <c r="G961" s="6">
        <v>45758</v>
      </c>
      <c r="H961">
        <v>79</v>
      </c>
      <c r="I961">
        <f>ROUND(CompilDonnées[[#This Row],[CultureDuration_days]]/7,0)</f>
        <v>11</v>
      </c>
      <c r="J961">
        <v>857</v>
      </c>
      <c r="K961" t="str">
        <f>_xlfn.CONCAT(WEEKNUM(CompilDonnées[[#This Row],[PlantationDate]]), " ", YEAR(CompilDonnées[[#This Row],[PlantationDate]]))</f>
        <v>4 2025</v>
      </c>
      <c r="L961" t="str">
        <f>CONCATENATE(MONTH(CompilDonnées[[#This Row],[PlantationDate]])," ", YEAR(CompilDonnées[[#This Row],[PlantationDate]]))</f>
        <v>1 2025</v>
      </c>
      <c r="M961" t="str">
        <f>CONCATENATE(MONTH(CompilDonnées[[#This Row],[HarvestingDate]])," ", YEAR(CompilDonnées[[#This Row],[HarvestingDate]]))</f>
        <v>4 2025</v>
      </c>
      <c r="N961">
        <f>_xlfn.NUMBERVALUE(CompilDonnées[[#This Row],[FarmID]]&amp;CompilDonnées[[#This Row],[ModuleNumber]]&amp;CompilDonnées[[#This Row],[PlantationDate]])</f>
        <v>130145679</v>
      </c>
      <c r="O961" t="str">
        <f>CompilDonnées[[#This Row],[FarmID]]&amp;CompilDonnées[[#This Row],[ModuleNumber]]</f>
        <v>1301</v>
      </c>
      <c r="P961" t="str">
        <f>CompilDonnées[[#This Row],[Ref_Module]]&amp;CompilDonnées[[#This Row],[HarvestingDate]]</f>
        <v>130145758</v>
      </c>
    </row>
    <row r="962" spans="1:16">
      <c r="A962" s="5">
        <v>45679</v>
      </c>
      <c r="B962">
        <v>105</v>
      </c>
      <c r="C962" t="s">
        <v>3</v>
      </c>
      <c r="D962">
        <v>3</v>
      </c>
      <c r="E962">
        <v>60</v>
      </c>
      <c r="F962" t="s">
        <v>105</v>
      </c>
      <c r="G962" s="6">
        <v>45730</v>
      </c>
      <c r="H962">
        <v>51</v>
      </c>
      <c r="I962">
        <f>ROUND(CompilDonnées[[#This Row],[CultureDuration_days]]/7,0)</f>
        <v>7</v>
      </c>
      <c r="J962">
        <v>2307</v>
      </c>
      <c r="K962" t="str">
        <f>_xlfn.CONCAT(WEEKNUM(CompilDonnées[[#This Row],[PlantationDate]]), " ", YEAR(CompilDonnées[[#This Row],[PlantationDate]]))</f>
        <v>4 2025</v>
      </c>
      <c r="L962" t="str">
        <f>CONCATENATE(MONTH(CompilDonnées[[#This Row],[PlantationDate]])," ", YEAR(CompilDonnées[[#This Row],[PlantationDate]]))</f>
        <v>1 2025</v>
      </c>
      <c r="M962" t="str">
        <f>CONCATENATE(MONTH(CompilDonnées[[#This Row],[HarvestingDate]])," ", YEAR(CompilDonnées[[#This Row],[HarvestingDate]]))</f>
        <v>3 2025</v>
      </c>
      <c r="N962">
        <f>_xlfn.NUMBERVALUE(CompilDonnées[[#This Row],[FarmID]]&amp;CompilDonnées[[#This Row],[ModuleNumber]]&amp;CompilDonnées[[#This Row],[PlantationDate]])</f>
        <v>105345679</v>
      </c>
      <c r="O962" t="str">
        <f>CompilDonnées[[#This Row],[FarmID]]&amp;CompilDonnées[[#This Row],[ModuleNumber]]</f>
        <v>1053</v>
      </c>
      <c r="P962" t="str">
        <f>CompilDonnées[[#This Row],[Ref_Module]]&amp;CompilDonnées[[#This Row],[HarvestingDate]]</f>
        <v>105345730</v>
      </c>
    </row>
    <row r="963" spans="1:16">
      <c r="A963" s="5">
        <v>45681</v>
      </c>
      <c r="B963">
        <v>105</v>
      </c>
      <c r="C963" t="s">
        <v>3</v>
      </c>
      <c r="D963">
        <v>4</v>
      </c>
      <c r="E963">
        <v>60</v>
      </c>
      <c r="F963" t="s">
        <v>105</v>
      </c>
      <c r="G963" s="6">
        <v>45743</v>
      </c>
      <c r="H963">
        <v>62</v>
      </c>
      <c r="I963">
        <f>ROUND(CompilDonnées[[#This Row],[CultureDuration_days]]/7,0)</f>
        <v>9</v>
      </c>
      <c r="J963">
        <v>1756</v>
      </c>
      <c r="K963" t="str">
        <f>_xlfn.CONCAT(WEEKNUM(CompilDonnées[[#This Row],[PlantationDate]]), " ", YEAR(CompilDonnées[[#This Row],[PlantationDate]]))</f>
        <v>4 2025</v>
      </c>
      <c r="L963" t="str">
        <f>CONCATENATE(MONTH(CompilDonnées[[#This Row],[PlantationDate]])," ", YEAR(CompilDonnées[[#This Row],[PlantationDate]]))</f>
        <v>1 2025</v>
      </c>
      <c r="M963" t="str">
        <f>CONCATENATE(MONTH(CompilDonnées[[#This Row],[HarvestingDate]])," ", YEAR(CompilDonnées[[#This Row],[HarvestingDate]]))</f>
        <v>3 2025</v>
      </c>
      <c r="N963">
        <f>_xlfn.NUMBERVALUE(CompilDonnées[[#This Row],[FarmID]]&amp;CompilDonnées[[#This Row],[ModuleNumber]]&amp;CompilDonnées[[#This Row],[PlantationDate]])</f>
        <v>105445681</v>
      </c>
      <c r="O963" t="str">
        <f>CompilDonnées[[#This Row],[FarmID]]&amp;CompilDonnées[[#This Row],[ModuleNumber]]</f>
        <v>1054</v>
      </c>
      <c r="P963" t="str">
        <f>CompilDonnées[[#This Row],[Ref_Module]]&amp;CompilDonnées[[#This Row],[HarvestingDate]]</f>
        <v>105445743</v>
      </c>
    </row>
    <row r="964" spans="1:16">
      <c r="A964" s="5">
        <v>45680</v>
      </c>
      <c r="B964">
        <v>93</v>
      </c>
      <c r="C964" t="s">
        <v>10</v>
      </c>
      <c r="D964">
        <v>2</v>
      </c>
      <c r="E964">
        <v>100</v>
      </c>
      <c r="F964" t="s">
        <v>1</v>
      </c>
      <c r="G964" s="6">
        <v>45729</v>
      </c>
      <c r="H964">
        <v>49</v>
      </c>
      <c r="I964">
        <f>ROUND(CompilDonnées[[#This Row],[CultureDuration_days]]/7,0)</f>
        <v>7</v>
      </c>
      <c r="J964">
        <v>2539</v>
      </c>
      <c r="K964" t="str">
        <f>_xlfn.CONCAT(WEEKNUM(CompilDonnées[[#This Row],[PlantationDate]]), " ", YEAR(CompilDonnées[[#This Row],[PlantationDate]]))</f>
        <v>4 2025</v>
      </c>
      <c r="L964" t="str">
        <f>CONCATENATE(MONTH(CompilDonnées[[#This Row],[PlantationDate]])," ", YEAR(CompilDonnées[[#This Row],[PlantationDate]]))</f>
        <v>1 2025</v>
      </c>
      <c r="M964" t="str">
        <f>CONCATENATE(MONTH(CompilDonnées[[#This Row],[HarvestingDate]])," ", YEAR(CompilDonnées[[#This Row],[HarvestingDate]]))</f>
        <v>3 2025</v>
      </c>
      <c r="N964">
        <f>_xlfn.NUMBERVALUE(CompilDonnées[[#This Row],[FarmID]]&amp;CompilDonnées[[#This Row],[ModuleNumber]]&amp;CompilDonnées[[#This Row],[PlantationDate]])</f>
        <v>93245680</v>
      </c>
      <c r="O964" t="str">
        <f>CompilDonnées[[#This Row],[FarmID]]&amp;CompilDonnées[[#This Row],[ModuleNumber]]</f>
        <v>932</v>
      </c>
      <c r="P964" t="str">
        <f>CompilDonnées[[#This Row],[Ref_Module]]&amp;CompilDonnées[[#This Row],[HarvestingDate]]</f>
        <v>93245729</v>
      </c>
    </row>
    <row r="965" spans="1:16">
      <c r="A965" s="5">
        <v>45680</v>
      </c>
      <c r="B965">
        <v>91</v>
      </c>
      <c r="C965" t="s">
        <v>9</v>
      </c>
      <c r="D965">
        <v>6</v>
      </c>
      <c r="E965">
        <v>100</v>
      </c>
      <c r="F965" t="s">
        <v>1</v>
      </c>
      <c r="G965" s="6">
        <v>45720</v>
      </c>
      <c r="H965">
        <v>40</v>
      </c>
      <c r="I965">
        <f>ROUND(CompilDonnées[[#This Row],[CultureDuration_days]]/7,0)</f>
        <v>6</v>
      </c>
      <c r="J965">
        <v>3787</v>
      </c>
      <c r="K965" t="str">
        <f>_xlfn.CONCAT(WEEKNUM(CompilDonnées[[#This Row],[PlantationDate]]), " ", YEAR(CompilDonnées[[#This Row],[PlantationDate]]))</f>
        <v>4 2025</v>
      </c>
      <c r="L965" t="str">
        <f>CONCATENATE(MONTH(CompilDonnées[[#This Row],[PlantationDate]])," ", YEAR(CompilDonnées[[#This Row],[PlantationDate]]))</f>
        <v>1 2025</v>
      </c>
      <c r="M965" t="str">
        <f>CONCATENATE(MONTH(CompilDonnées[[#This Row],[HarvestingDate]])," ", YEAR(CompilDonnées[[#This Row],[HarvestingDate]]))</f>
        <v>3 2025</v>
      </c>
      <c r="N965">
        <f>_xlfn.NUMBERVALUE(CompilDonnées[[#This Row],[FarmID]]&amp;CompilDonnées[[#This Row],[ModuleNumber]]&amp;CompilDonnées[[#This Row],[PlantationDate]])</f>
        <v>91645680</v>
      </c>
      <c r="O965" t="str">
        <f>CompilDonnées[[#This Row],[FarmID]]&amp;CompilDonnées[[#This Row],[ModuleNumber]]</f>
        <v>916</v>
      </c>
      <c r="P965" t="str">
        <f>CompilDonnées[[#This Row],[Ref_Module]]&amp;CompilDonnées[[#This Row],[HarvestingDate]]</f>
        <v>91645720</v>
      </c>
    </row>
    <row r="966" spans="1:16">
      <c r="A966" s="5">
        <v>45680</v>
      </c>
      <c r="B966">
        <v>98</v>
      </c>
      <c r="C966" t="s">
        <v>79</v>
      </c>
      <c r="D966">
        <v>4</v>
      </c>
      <c r="E966">
        <v>100</v>
      </c>
      <c r="F966" t="s">
        <v>1</v>
      </c>
      <c r="G966" s="6">
        <v>45719</v>
      </c>
      <c r="H966">
        <v>39</v>
      </c>
      <c r="I966">
        <f>ROUND(CompilDonnées[[#This Row],[CultureDuration_days]]/7,0)</f>
        <v>6</v>
      </c>
      <c r="J966">
        <v>3286</v>
      </c>
      <c r="K966" t="str">
        <f>_xlfn.CONCAT(WEEKNUM(CompilDonnées[[#This Row],[PlantationDate]]), " ", YEAR(CompilDonnées[[#This Row],[PlantationDate]]))</f>
        <v>4 2025</v>
      </c>
      <c r="L966" t="str">
        <f>CONCATENATE(MONTH(CompilDonnées[[#This Row],[PlantationDate]])," ", YEAR(CompilDonnées[[#This Row],[PlantationDate]]))</f>
        <v>1 2025</v>
      </c>
      <c r="M966" t="str">
        <f>CONCATENATE(MONTH(CompilDonnées[[#This Row],[HarvestingDate]])," ", YEAR(CompilDonnées[[#This Row],[HarvestingDate]]))</f>
        <v>3 2025</v>
      </c>
      <c r="N966">
        <f>_xlfn.NUMBERVALUE(CompilDonnées[[#This Row],[FarmID]]&amp;CompilDonnées[[#This Row],[ModuleNumber]]&amp;CompilDonnées[[#This Row],[PlantationDate]])</f>
        <v>98445680</v>
      </c>
      <c r="O966" t="str">
        <f>CompilDonnées[[#This Row],[FarmID]]&amp;CompilDonnées[[#This Row],[ModuleNumber]]</f>
        <v>984</v>
      </c>
      <c r="P966" t="str">
        <f>CompilDonnées[[#This Row],[Ref_Module]]&amp;CompilDonnées[[#This Row],[HarvestingDate]]</f>
        <v>98445719</v>
      </c>
    </row>
    <row r="967" spans="1:16">
      <c r="A967" s="5">
        <v>45680</v>
      </c>
      <c r="B967">
        <v>108</v>
      </c>
      <c r="C967" t="s">
        <v>58</v>
      </c>
      <c r="D967">
        <v>1</v>
      </c>
      <c r="E967">
        <v>100</v>
      </c>
      <c r="F967" t="s">
        <v>1</v>
      </c>
      <c r="G967" s="6">
        <v>45719</v>
      </c>
      <c r="H967">
        <v>39</v>
      </c>
      <c r="I967">
        <f>ROUND(CompilDonnées[[#This Row],[CultureDuration_days]]/7,0)</f>
        <v>6</v>
      </c>
      <c r="J967">
        <v>3180</v>
      </c>
      <c r="K967" t="str">
        <f>_xlfn.CONCAT(WEEKNUM(CompilDonnées[[#This Row],[PlantationDate]]), " ", YEAR(CompilDonnées[[#This Row],[PlantationDate]]))</f>
        <v>4 2025</v>
      </c>
      <c r="L967" t="str">
        <f>CONCATENATE(MONTH(CompilDonnées[[#This Row],[PlantationDate]])," ", YEAR(CompilDonnées[[#This Row],[PlantationDate]]))</f>
        <v>1 2025</v>
      </c>
      <c r="M967" t="str">
        <f>CONCATENATE(MONTH(CompilDonnées[[#This Row],[HarvestingDate]])," ", YEAR(CompilDonnées[[#This Row],[HarvestingDate]]))</f>
        <v>3 2025</v>
      </c>
      <c r="N967">
        <f>_xlfn.NUMBERVALUE(CompilDonnées[[#This Row],[FarmID]]&amp;CompilDonnées[[#This Row],[ModuleNumber]]&amp;CompilDonnées[[#This Row],[PlantationDate]])</f>
        <v>108145680</v>
      </c>
      <c r="O967" t="str">
        <f>CompilDonnées[[#This Row],[FarmID]]&amp;CompilDonnées[[#This Row],[ModuleNumber]]</f>
        <v>1081</v>
      </c>
      <c r="P967" t="str">
        <f>CompilDonnées[[#This Row],[Ref_Module]]&amp;CompilDonnées[[#This Row],[HarvestingDate]]</f>
        <v>108145719</v>
      </c>
    </row>
    <row r="968" spans="1:16">
      <c r="A968" s="5">
        <v>45680</v>
      </c>
      <c r="B968">
        <v>116</v>
      </c>
      <c r="C968" t="s">
        <v>76</v>
      </c>
      <c r="D968">
        <v>4</v>
      </c>
      <c r="E968">
        <v>100</v>
      </c>
      <c r="F968" t="s">
        <v>1</v>
      </c>
      <c r="G968" s="6">
        <v>45729</v>
      </c>
      <c r="H968">
        <v>49</v>
      </c>
      <c r="I968">
        <f>ROUND(CompilDonnées[[#This Row],[CultureDuration_days]]/7,0)</f>
        <v>7</v>
      </c>
      <c r="J968">
        <v>3065</v>
      </c>
      <c r="K968" t="str">
        <f>_xlfn.CONCAT(WEEKNUM(CompilDonnées[[#This Row],[PlantationDate]]), " ", YEAR(CompilDonnées[[#This Row],[PlantationDate]]))</f>
        <v>4 2025</v>
      </c>
      <c r="L968" t="str">
        <f>CONCATENATE(MONTH(CompilDonnées[[#This Row],[PlantationDate]])," ", YEAR(CompilDonnées[[#This Row],[PlantationDate]]))</f>
        <v>1 2025</v>
      </c>
      <c r="M968" t="str">
        <f>CONCATENATE(MONTH(CompilDonnées[[#This Row],[HarvestingDate]])," ", YEAR(CompilDonnées[[#This Row],[HarvestingDate]]))</f>
        <v>3 2025</v>
      </c>
      <c r="N968">
        <f>_xlfn.NUMBERVALUE(CompilDonnées[[#This Row],[FarmID]]&amp;CompilDonnées[[#This Row],[ModuleNumber]]&amp;CompilDonnées[[#This Row],[PlantationDate]])</f>
        <v>116445680</v>
      </c>
      <c r="O968" t="str">
        <f>CompilDonnées[[#This Row],[FarmID]]&amp;CompilDonnées[[#This Row],[ModuleNumber]]</f>
        <v>1164</v>
      </c>
      <c r="P968" t="str">
        <f>CompilDonnées[[#This Row],[Ref_Module]]&amp;CompilDonnées[[#This Row],[HarvestingDate]]</f>
        <v>116445729</v>
      </c>
    </row>
    <row r="969" spans="1:16">
      <c r="A969" s="5">
        <v>45680</v>
      </c>
      <c r="B969">
        <v>110</v>
      </c>
      <c r="C969" t="s">
        <v>14</v>
      </c>
      <c r="D969">
        <v>5</v>
      </c>
      <c r="E969">
        <v>100</v>
      </c>
      <c r="F969" t="s">
        <v>1</v>
      </c>
      <c r="G969" s="6">
        <v>45719</v>
      </c>
      <c r="H969">
        <v>39</v>
      </c>
      <c r="I969">
        <f>ROUND(CompilDonnées[[#This Row],[CultureDuration_days]]/7,0)</f>
        <v>6</v>
      </c>
      <c r="J969">
        <v>4391</v>
      </c>
      <c r="K969" t="str">
        <f>_xlfn.CONCAT(WEEKNUM(CompilDonnées[[#This Row],[PlantationDate]]), " ", YEAR(CompilDonnées[[#This Row],[PlantationDate]]))</f>
        <v>4 2025</v>
      </c>
      <c r="L969" t="str">
        <f>CONCATENATE(MONTH(CompilDonnées[[#This Row],[PlantationDate]])," ", YEAR(CompilDonnées[[#This Row],[PlantationDate]]))</f>
        <v>1 2025</v>
      </c>
      <c r="M969" t="str">
        <f>CONCATENATE(MONTH(CompilDonnées[[#This Row],[HarvestingDate]])," ", YEAR(CompilDonnées[[#This Row],[HarvestingDate]]))</f>
        <v>3 2025</v>
      </c>
      <c r="N969">
        <f>_xlfn.NUMBERVALUE(CompilDonnées[[#This Row],[FarmID]]&amp;CompilDonnées[[#This Row],[ModuleNumber]]&amp;CompilDonnées[[#This Row],[PlantationDate]])</f>
        <v>110545680</v>
      </c>
      <c r="O969" t="str">
        <f>CompilDonnées[[#This Row],[FarmID]]&amp;CompilDonnées[[#This Row],[ModuleNumber]]</f>
        <v>1105</v>
      </c>
      <c r="P969" t="str">
        <f>CompilDonnées[[#This Row],[Ref_Module]]&amp;CompilDonnées[[#This Row],[HarvestingDate]]</f>
        <v>110545719</v>
      </c>
    </row>
    <row r="970" spans="1:16">
      <c r="A970" s="5">
        <v>45680</v>
      </c>
      <c r="B970">
        <v>112</v>
      </c>
      <c r="C970" t="s">
        <v>15</v>
      </c>
      <c r="D970">
        <v>6</v>
      </c>
      <c r="E970">
        <v>100</v>
      </c>
      <c r="F970" t="s">
        <v>1</v>
      </c>
      <c r="G970" s="6">
        <v>45719</v>
      </c>
      <c r="H970">
        <v>39</v>
      </c>
      <c r="I970">
        <f>ROUND(CompilDonnées[[#This Row],[CultureDuration_days]]/7,0)</f>
        <v>6</v>
      </c>
      <c r="J970">
        <v>3722</v>
      </c>
      <c r="K970" t="str">
        <f>_xlfn.CONCAT(WEEKNUM(CompilDonnées[[#This Row],[PlantationDate]]), " ", YEAR(CompilDonnées[[#This Row],[PlantationDate]]))</f>
        <v>4 2025</v>
      </c>
      <c r="L970" t="str">
        <f>CONCATENATE(MONTH(CompilDonnées[[#This Row],[PlantationDate]])," ", YEAR(CompilDonnées[[#This Row],[PlantationDate]]))</f>
        <v>1 2025</v>
      </c>
      <c r="M970" t="str">
        <f>CONCATENATE(MONTH(CompilDonnées[[#This Row],[HarvestingDate]])," ", YEAR(CompilDonnées[[#This Row],[HarvestingDate]]))</f>
        <v>3 2025</v>
      </c>
      <c r="N970">
        <f>_xlfn.NUMBERVALUE(CompilDonnées[[#This Row],[FarmID]]&amp;CompilDonnées[[#This Row],[ModuleNumber]]&amp;CompilDonnées[[#This Row],[PlantationDate]])</f>
        <v>112645680</v>
      </c>
      <c r="O970" t="str">
        <f>CompilDonnées[[#This Row],[FarmID]]&amp;CompilDonnées[[#This Row],[ModuleNumber]]</f>
        <v>1126</v>
      </c>
      <c r="P970" t="str">
        <f>CompilDonnées[[#This Row],[Ref_Module]]&amp;CompilDonnées[[#This Row],[HarvestingDate]]</f>
        <v>112645719</v>
      </c>
    </row>
    <row r="971" spans="1:16">
      <c r="A971" s="5">
        <v>45680</v>
      </c>
      <c r="B971">
        <v>113</v>
      </c>
      <c r="C971" t="s">
        <v>16</v>
      </c>
      <c r="D971">
        <v>1</v>
      </c>
      <c r="E971">
        <v>100</v>
      </c>
      <c r="F971" t="s">
        <v>1</v>
      </c>
      <c r="G971" s="6">
        <v>45719</v>
      </c>
      <c r="H971">
        <v>39</v>
      </c>
      <c r="I971">
        <f>ROUND(CompilDonnées[[#This Row],[CultureDuration_days]]/7,0)</f>
        <v>6</v>
      </c>
      <c r="J971">
        <v>4102</v>
      </c>
      <c r="K971" t="str">
        <f>_xlfn.CONCAT(WEEKNUM(CompilDonnées[[#This Row],[PlantationDate]]), " ", YEAR(CompilDonnées[[#This Row],[PlantationDate]]))</f>
        <v>4 2025</v>
      </c>
      <c r="L971" t="str">
        <f>CONCATENATE(MONTH(CompilDonnées[[#This Row],[PlantationDate]])," ", YEAR(CompilDonnées[[#This Row],[PlantationDate]]))</f>
        <v>1 2025</v>
      </c>
      <c r="M971" t="str">
        <f>CONCATENATE(MONTH(CompilDonnées[[#This Row],[HarvestingDate]])," ", YEAR(CompilDonnées[[#This Row],[HarvestingDate]]))</f>
        <v>3 2025</v>
      </c>
      <c r="N971">
        <f>_xlfn.NUMBERVALUE(CompilDonnées[[#This Row],[FarmID]]&amp;CompilDonnées[[#This Row],[ModuleNumber]]&amp;CompilDonnées[[#This Row],[PlantationDate]])</f>
        <v>113145680</v>
      </c>
      <c r="O971" t="str">
        <f>CompilDonnées[[#This Row],[FarmID]]&amp;CompilDonnées[[#This Row],[ModuleNumber]]</f>
        <v>1131</v>
      </c>
      <c r="P971" t="str">
        <f>CompilDonnées[[#This Row],[Ref_Module]]&amp;CompilDonnées[[#This Row],[HarvestingDate]]</f>
        <v>113145719</v>
      </c>
    </row>
    <row r="972" spans="1:16">
      <c r="A972" s="5">
        <v>45680</v>
      </c>
      <c r="B972">
        <v>120</v>
      </c>
      <c r="C972" t="s">
        <v>100</v>
      </c>
      <c r="D972">
        <v>5</v>
      </c>
      <c r="E972">
        <v>100</v>
      </c>
      <c r="F972" t="s">
        <v>1</v>
      </c>
      <c r="G972" s="6">
        <v>45716</v>
      </c>
      <c r="H972">
        <v>36</v>
      </c>
      <c r="I972">
        <f>ROUND(CompilDonnées[[#This Row],[CultureDuration_days]]/7,0)</f>
        <v>5</v>
      </c>
      <c r="J972">
        <v>3056</v>
      </c>
      <c r="K972" t="str">
        <f>_xlfn.CONCAT(WEEKNUM(CompilDonnées[[#This Row],[PlantationDate]]), " ", YEAR(CompilDonnées[[#This Row],[PlantationDate]]))</f>
        <v>4 2025</v>
      </c>
      <c r="L972" t="str">
        <f>CONCATENATE(MONTH(CompilDonnées[[#This Row],[PlantationDate]])," ", YEAR(CompilDonnées[[#This Row],[PlantationDate]]))</f>
        <v>1 2025</v>
      </c>
      <c r="M972" t="str">
        <f>CONCATENATE(MONTH(CompilDonnées[[#This Row],[HarvestingDate]])," ", YEAR(CompilDonnées[[#This Row],[HarvestingDate]]))</f>
        <v>2 2025</v>
      </c>
      <c r="N972">
        <f>_xlfn.NUMBERVALUE(CompilDonnées[[#This Row],[FarmID]]&amp;CompilDonnées[[#This Row],[ModuleNumber]]&amp;CompilDonnées[[#This Row],[PlantationDate]])</f>
        <v>120545680</v>
      </c>
      <c r="O972" t="str">
        <f>CompilDonnées[[#This Row],[FarmID]]&amp;CompilDonnées[[#This Row],[ModuleNumber]]</f>
        <v>1205</v>
      </c>
      <c r="P972" t="str">
        <f>CompilDonnées[[#This Row],[Ref_Module]]&amp;CompilDonnées[[#This Row],[HarvestingDate]]</f>
        <v>120545716</v>
      </c>
    </row>
    <row r="973" spans="1:16">
      <c r="A973" s="5">
        <v>45680</v>
      </c>
      <c r="B973">
        <v>119</v>
      </c>
      <c r="C973" t="s">
        <v>59</v>
      </c>
      <c r="D973">
        <v>4</v>
      </c>
      <c r="E973">
        <v>100</v>
      </c>
      <c r="F973" t="s">
        <v>1</v>
      </c>
      <c r="G973" s="6">
        <v>45719</v>
      </c>
      <c r="H973">
        <v>39</v>
      </c>
      <c r="I973">
        <f>ROUND(CompilDonnées[[#This Row],[CultureDuration_days]]/7,0)</f>
        <v>6</v>
      </c>
      <c r="J973">
        <v>3510</v>
      </c>
      <c r="K973" t="str">
        <f>_xlfn.CONCAT(WEEKNUM(CompilDonnées[[#This Row],[PlantationDate]]), " ", YEAR(CompilDonnées[[#This Row],[PlantationDate]]))</f>
        <v>4 2025</v>
      </c>
      <c r="L973" t="str">
        <f>CONCATENATE(MONTH(CompilDonnées[[#This Row],[PlantationDate]])," ", YEAR(CompilDonnées[[#This Row],[PlantationDate]]))</f>
        <v>1 2025</v>
      </c>
      <c r="M973" t="str">
        <f>CONCATENATE(MONTH(CompilDonnées[[#This Row],[HarvestingDate]])," ", YEAR(CompilDonnées[[#This Row],[HarvestingDate]]))</f>
        <v>3 2025</v>
      </c>
      <c r="N973">
        <f>_xlfn.NUMBERVALUE(CompilDonnées[[#This Row],[FarmID]]&amp;CompilDonnées[[#This Row],[ModuleNumber]]&amp;CompilDonnées[[#This Row],[PlantationDate]])</f>
        <v>119445680</v>
      </c>
      <c r="O973" t="str">
        <f>CompilDonnées[[#This Row],[FarmID]]&amp;CompilDonnées[[#This Row],[ModuleNumber]]</f>
        <v>1194</v>
      </c>
      <c r="P973" t="str">
        <f>CompilDonnées[[#This Row],[Ref_Module]]&amp;CompilDonnées[[#This Row],[HarvestingDate]]</f>
        <v>119445719</v>
      </c>
    </row>
    <row r="974" spans="1:16">
      <c r="A974" s="5">
        <v>45680</v>
      </c>
      <c r="B974">
        <v>118</v>
      </c>
      <c r="C974" t="s">
        <v>51</v>
      </c>
      <c r="D974">
        <v>4</v>
      </c>
      <c r="E974">
        <v>100</v>
      </c>
      <c r="F974" t="s">
        <v>1</v>
      </c>
      <c r="G974" s="6">
        <v>45719</v>
      </c>
      <c r="H974">
        <v>39</v>
      </c>
      <c r="I974">
        <f>ROUND(CompilDonnées[[#This Row],[CultureDuration_days]]/7,0)</f>
        <v>6</v>
      </c>
      <c r="J974">
        <v>3798</v>
      </c>
      <c r="K974" t="str">
        <f>_xlfn.CONCAT(WEEKNUM(CompilDonnées[[#This Row],[PlantationDate]]), " ", YEAR(CompilDonnées[[#This Row],[PlantationDate]]))</f>
        <v>4 2025</v>
      </c>
      <c r="L974" t="str">
        <f>CONCATENATE(MONTH(CompilDonnées[[#This Row],[PlantationDate]])," ", YEAR(CompilDonnées[[#This Row],[PlantationDate]]))</f>
        <v>1 2025</v>
      </c>
      <c r="M974" t="str">
        <f>CONCATENATE(MONTH(CompilDonnées[[#This Row],[HarvestingDate]])," ", YEAR(CompilDonnées[[#This Row],[HarvestingDate]]))</f>
        <v>3 2025</v>
      </c>
      <c r="N974">
        <f>_xlfn.NUMBERVALUE(CompilDonnées[[#This Row],[FarmID]]&amp;CompilDonnées[[#This Row],[ModuleNumber]]&amp;CompilDonnées[[#This Row],[PlantationDate]])</f>
        <v>118445680</v>
      </c>
      <c r="O974" t="str">
        <f>CompilDonnées[[#This Row],[FarmID]]&amp;CompilDonnées[[#This Row],[ModuleNumber]]</f>
        <v>1184</v>
      </c>
      <c r="P974" t="str">
        <f>CompilDonnées[[#This Row],[Ref_Module]]&amp;CompilDonnées[[#This Row],[HarvestingDate]]</f>
        <v>118445719</v>
      </c>
    </row>
    <row r="975" spans="1:16">
      <c r="A975" s="5">
        <v>45680</v>
      </c>
      <c r="B975">
        <v>117</v>
      </c>
      <c r="C975" t="s">
        <v>11</v>
      </c>
      <c r="D975">
        <v>5</v>
      </c>
      <c r="E975">
        <v>100</v>
      </c>
      <c r="F975" t="s">
        <v>1</v>
      </c>
      <c r="G975" s="6">
        <v>45719</v>
      </c>
      <c r="H975">
        <v>39</v>
      </c>
      <c r="I975">
        <f>ROUND(CompilDonnées[[#This Row],[CultureDuration_days]]/7,0)</f>
        <v>6</v>
      </c>
      <c r="J975">
        <v>3365</v>
      </c>
      <c r="K975" t="str">
        <f>_xlfn.CONCAT(WEEKNUM(CompilDonnées[[#This Row],[PlantationDate]]), " ", YEAR(CompilDonnées[[#This Row],[PlantationDate]]))</f>
        <v>4 2025</v>
      </c>
      <c r="L975" t="str">
        <f>CONCATENATE(MONTH(CompilDonnées[[#This Row],[PlantationDate]])," ", YEAR(CompilDonnées[[#This Row],[PlantationDate]]))</f>
        <v>1 2025</v>
      </c>
      <c r="M975" t="str">
        <f>CONCATENATE(MONTH(CompilDonnées[[#This Row],[HarvestingDate]])," ", YEAR(CompilDonnées[[#This Row],[HarvestingDate]]))</f>
        <v>3 2025</v>
      </c>
      <c r="N975">
        <f>_xlfn.NUMBERVALUE(CompilDonnées[[#This Row],[FarmID]]&amp;CompilDonnées[[#This Row],[ModuleNumber]]&amp;CompilDonnées[[#This Row],[PlantationDate]])</f>
        <v>117545680</v>
      </c>
      <c r="O975" t="str">
        <f>CompilDonnées[[#This Row],[FarmID]]&amp;CompilDonnées[[#This Row],[ModuleNumber]]</f>
        <v>1175</v>
      </c>
      <c r="P975" t="str">
        <f>CompilDonnées[[#This Row],[Ref_Module]]&amp;CompilDonnées[[#This Row],[HarvestingDate]]</f>
        <v>117545719</v>
      </c>
    </row>
    <row r="976" spans="1:16">
      <c r="A976" s="5">
        <v>45680</v>
      </c>
      <c r="B976">
        <v>133</v>
      </c>
      <c r="C976" t="s">
        <v>99</v>
      </c>
      <c r="D976">
        <v>5</v>
      </c>
      <c r="E976">
        <v>100</v>
      </c>
      <c r="F976" t="s">
        <v>1</v>
      </c>
      <c r="G976" s="6">
        <v>45730</v>
      </c>
      <c r="H976">
        <v>50</v>
      </c>
      <c r="I976">
        <f>ROUND(CompilDonnées[[#This Row],[CultureDuration_days]]/7,0)</f>
        <v>7</v>
      </c>
      <c r="J976">
        <v>2880</v>
      </c>
      <c r="K976" t="str">
        <f>_xlfn.CONCAT(WEEKNUM(CompilDonnées[[#This Row],[PlantationDate]]), " ", YEAR(CompilDonnées[[#This Row],[PlantationDate]]))</f>
        <v>4 2025</v>
      </c>
      <c r="L976" t="str">
        <f>CONCATENATE(MONTH(CompilDonnées[[#This Row],[PlantationDate]])," ", YEAR(CompilDonnées[[#This Row],[PlantationDate]]))</f>
        <v>1 2025</v>
      </c>
      <c r="M976" t="str">
        <f>CONCATENATE(MONTH(CompilDonnées[[#This Row],[HarvestingDate]])," ", YEAR(CompilDonnées[[#This Row],[HarvestingDate]]))</f>
        <v>3 2025</v>
      </c>
      <c r="N976">
        <f>_xlfn.NUMBERVALUE(CompilDonnées[[#This Row],[FarmID]]&amp;CompilDonnées[[#This Row],[ModuleNumber]]&amp;CompilDonnées[[#This Row],[PlantationDate]])</f>
        <v>133545680</v>
      </c>
      <c r="O976" t="str">
        <f>CompilDonnées[[#This Row],[FarmID]]&amp;CompilDonnées[[#This Row],[ModuleNumber]]</f>
        <v>1335</v>
      </c>
      <c r="P976" t="str">
        <f>CompilDonnées[[#This Row],[Ref_Module]]&amp;CompilDonnées[[#This Row],[HarvestingDate]]</f>
        <v>133545730</v>
      </c>
    </row>
    <row r="977" spans="1:16">
      <c r="A977" s="5">
        <v>45680</v>
      </c>
      <c r="B977">
        <v>133</v>
      </c>
      <c r="C977" t="s">
        <v>99</v>
      </c>
      <c r="D977">
        <v>6</v>
      </c>
      <c r="E977">
        <v>100</v>
      </c>
      <c r="F977" t="s">
        <v>1</v>
      </c>
      <c r="G977" s="6">
        <v>45719</v>
      </c>
      <c r="H977">
        <v>39</v>
      </c>
      <c r="I977">
        <f>ROUND(CompilDonnées[[#This Row],[CultureDuration_days]]/7,0)</f>
        <v>6</v>
      </c>
      <c r="J977">
        <v>3344</v>
      </c>
      <c r="K977" t="str">
        <f>_xlfn.CONCAT(WEEKNUM(CompilDonnées[[#This Row],[PlantationDate]]), " ", YEAR(CompilDonnées[[#This Row],[PlantationDate]]))</f>
        <v>4 2025</v>
      </c>
      <c r="L977" t="str">
        <f>CONCATENATE(MONTH(CompilDonnées[[#This Row],[PlantationDate]])," ", YEAR(CompilDonnées[[#This Row],[PlantationDate]]))</f>
        <v>1 2025</v>
      </c>
      <c r="M977" t="str">
        <f>CONCATENATE(MONTH(CompilDonnées[[#This Row],[HarvestingDate]])," ", YEAR(CompilDonnées[[#This Row],[HarvestingDate]]))</f>
        <v>3 2025</v>
      </c>
      <c r="N977">
        <f>_xlfn.NUMBERVALUE(CompilDonnées[[#This Row],[FarmID]]&amp;CompilDonnées[[#This Row],[ModuleNumber]]&amp;CompilDonnées[[#This Row],[PlantationDate]])</f>
        <v>133645680</v>
      </c>
      <c r="O977" t="str">
        <f>CompilDonnées[[#This Row],[FarmID]]&amp;CompilDonnées[[#This Row],[ModuleNumber]]</f>
        <v>1336</v>
      </c>
      <c r="P977" t="str">
        <f>CompilDonnées[[#This Row],[Ref_Module]]&amp;CompilDonnées[[#This Row],[HarvestingDate]]</f>
        <v>133645719</v>
      </c>
    </row>
    <row r="978" spans="1:16">
      <c r="A978" s="5">
        <v>45680</v>
      </c>
      <c r="B978">
        <v>131</v>
      </c>
      <c r="C978" t="s">
        <v>64</v>
      </c>
      <c r="D978">
        <v>5</v>
      </c>
      <c r="E978">
        <v>100</v>
      </c>
      <c r="F978" t="s">
        <v>1</v>
      </c>
      <c r="G978" s="6">
        <v>45730</v>
      </c>
      <c r="H978">
        <v>50</v>
      </c>
      <c r="I978">
        <f>ROUND(CompilDonnées[[#This Row],[CultureDuration_days]]/7,0)</f>
        <v>7</v>
      </c>
      <c r="J978">
        <v>2966</v>
      </c>
      <c r="K978" t="str">
        <f>_xlfn.CONCAT(WEEKNUM(CompilDonnées[[#This Row],[PlantationDate]]), " ", YEAR(CompilDonnées[[#This Row],[PlantationDate]]))</f>
        <v>4 2025</v>
      </c>
      <c r="L978" t="str">
        <f>CONCATENATE(MONTH(CompilDonnées[[#This Row],[PlantationDate]])," ", YEAR(CompilDonnées[[#This Row],[PlantationDate]]))</f>
        <v>1 2025</v>
      </c>
      <c r="M978" t="str">
        <f>CONCATENATE(MONTH(CompilDonnées[[#This Row],[HarvestingDate]])," ", YEAR(CompilDonnées[[#This Row],[HarvestingDate]]))</f>
        <v>3 2025</v>
      </c>
      <c r="N978">
        <f>_xlfn.NUMBERVALUE(CompilDonnées[[#This Row],[FarmID]]&amp;CompilDonnées[[#This Row],[ModuleNumber]]&amp;CompilDonnées[[#This Row],[PlantationDate]])</f>
        <v>131545680</v>
      </c>
      <c r="O978" t="str">
        <f>CompilDonnées[[#This Row],[FarmID]]&amp;CompilDonnées[[#This Row],[ModuleNumber]]</f>
        <v>1315</v>
      </c>
      <c r="P978" t="str">
        <f>CompilDonnées[[#This Row],[Ref_Module]]&amp;CompilDonnées[[#This Row],[HarvestingDate]]</f>
        <v>131545730</v>
      </c>
    </row>
    <row r="979" spans="1:16">
      <c r="A979" s="5">
        <v>45680</v>
      </c>
      <c r="B979">
        <v>138</v>
      </c>
      <c r="C979" t="s">
        <v>8</v>
      </c>
      <c r="D979">
        <v>4</v>
      </c>
      <c r="E979">
        <v>100</v>
      </c>
      <c r="F979" t="s">
        <v>1</v>
      </c>
      <c r="G979" s="6">
        <v>45719</v>
      </c>
      <c r="H979">
        <v>39</v>
      </c>
      <c r="I979">
        <f>ROUND(CompilDonnées[[#This Row],[CultureDuration_days]]/7,0)</f>
        <v>6</v>
      </c>
      <c r="J979">
        <v>3056</v>
      </c>
      <c r="K979" t="str">
        <f>_xlfn.CONCAT(WEEKNUM(CompilDonnées[[#This Row],[PlantationDate]]), " ", YEAR(CompilDonnées[[#This Row],[PlantationDate]]))</f>
        <v>4 2025</v>
      </c>
      <c r="L979" t="str">
        <f>CONCATENATE(MONTH(CompilDonnées[[#This Row],[PlantationDate]])," ", YEAR(CompilDonnées[[#This Row],[PlantationDate]]))</f>
        <v>1 2025</v>
      </c>
      <c r="M979" t="str">
        <f>CONCATENATE(MONTH(CompilDonnées[[#This Row],[HarvestingDate]])," ", YEAR(CompilDonnées[[#This Row],[HarvestingDate]]))</f>
        <v>3 2025</v>
      </c>
      <c r="N979">
        <f>_xlfn.NUMBERVALUE(CompilDonnées[[#This Row],[FarmID]]&amp;CompilDonnées[[#This Row],[ModuleNumber]]&amp;CompilDonnées[[#This Row],[PlantationDate]])</f>
        <v>138445680</v>
      </c>
      <c r="O979" t="str">
        <f>CompilDonnées[[#This Row],[FarmID]]&amp;CompilDonnées[[#This Row],[ModuleNumber]]</f>
        <v>1384</v>
      </c>
      <c r="P979" t="str">
        <f>CompilDonnées[[#This Row],[Ref_Module]]&amp;CompilDonnées[[#This Row],[HarvestingDate]]</f>
        <v>138445719</v>
      </c>
    </row>
    <row r="980" spans="1:16">
      <c r="A980" s="5">
        <v>45680</v>
      </c>
      <c r="B980">
        <v>60</v>
      </c>
      <c r="C980" t="s">
        <v>113</v>
      </c>
      <c r="D980">
        <v>4</v>
      </c>
      <c r="E980">
        <v>100</v>
      </c>
      <c r="F980" t="s">
        <v>1</v>
      </c>
      <c r="G980" s="6">
        <v>45720</v>
      </c>
      <c r="H980">
        <v>40</v>
      </c>
      <c r="I980">
        <f>ROUND(CompilDonnées[[#This Row],[CultureDuration_days]]/7,0)</f>
        <v>6</v>
      </c>
      <c r="J980">
        <v>3191</v>
      </c>
      <c r="K980" t="str">
        <f>_xlfn.CONCAT(WEEKNUM(CompilDonnées[[#This Row],[PlantationDate]]), " ", YEAR(CompilDonnées[[#This Row],[PlantationDate]]))</f>
        <v>4 2025</v>
      </c>
      <c r="L980" t="str">
        <f>CONCATENATE(MONTH(CompilDonnées[[#This Row],[PlantationDate]])," ", YEAR(CompilDonnées[[#This Row],[PlantationDate]]))</f>
        <v>1 2025</v>
      </c>
      <c r="M980" t="str">
        <f>CONCATENATE(MONTH(CompilDonnées[[#This Row],[HarvestingDate]])," ", YEAR(CompilDonnées[[#This Row],[HarvestingDate]]))</f>
        <v>3 2025</v>
      </c>
      <c r="N980">
        <f>_xlfn.NUMBERVALUE(CompilDonnées[[#This Row],[FarmID]]&amp;CompilDonnées[[#This Row],[ModuleNumber]]&amp;CompilDonnées[[#This Row],[PlantationDate]])</f>
        <v>60445680</v>
      </c>
      <c r="O980" t="str">
        <f>CompilDonnées[[#This Row],[FarmID]]&amp;CompilDonnées[[#This Row],[ModuleNumber]]</f>
        <v>604</v>
      </c>
      <c r="P980" t="str">
        <f>CompilDonnées[[#This Row],[Ref_Module]]&amp;CompilDonnées[[#This Row],[HarvestingDate]]</f>
        <v>60445720</v>
      </c>
    </row>
    <row r="981" spans="1:16">
      <c r="A981" s="5">
        <v>45680</v>
      </c>
      <c r="B981">
        <v>60</v>
      </c>
      <c r="C981" t="s">
        <v>113</v>
      </c>
      <c r="D981">
        <v>5</v>
      </c>
      <c r="E981">
        <v>100</v>
      </c>
      <c r="F981" t="s">
        <v>1</v>
      </c>
      <c r="G981" s="6">
        <v>45727</v>
      </c>
      <c r="H981">
        <v>47</v>
      </c>
      <c r="I981">
        <f>ROUND(CompilDonnées[[#This Row],[CultureDuration_days]]/7,0)</f>
        <v>7</v>
      </c>
      <c r="J981">
        <v>4717</v>
      </c>
      <c r="K981" t="str">
        <f>_xlfn.CONCAT(WEEKNUM(CompilDonnées[[#This Row],[PlantationDate]]), " ", YEAR(CompilDonnées[[#This Row],[PlantationDate]]))</f>
        <v>4 2025</v>
      </c>
      <c r="L981" t="str">
        <f>CONCATENATE(MONTH(CompilDonnées[[#This Row],[PlantationDate]])," ", YEAR(CompilDonnées[[#This Row],[PlantationDate]]))</f>
        <v>1 2025</v>
      </c>
      <c r="M981" t="str">
        <f>CONCATENATE(MONTH(CompilDonnées[[#This Row],[HarvestingDate]])," ", YEAR(CompilDonnées[[#This Row],[HarvestingDate]]))</f>
        <v>3 2025</v>
      </c>
      <c r="N981">
        <f>_xlfn.NUMBERVALUE(CompilDonnées[[#This Row],[FarmID]]&amp;CompilDonnées[[#This Row],[ModuleNumber]]&amp;CompilDonnées[[#This Row],[PlantationDate]])</f>
        <v>60545680</v>
      </c>
      <c r="O981" t="str">
        <f>CompilDonnées[[#This Row],[FarmID]]&amp;CompilDonnées[[#This Row],[ModuleNumber]]</f>
        <v>605</v>
      </c>
      <c r="P981" t="str">
        <f>CompilDonnées[[#This Row],[Ref_Module]]&amp;CompilDonnées[[#This Row],[HarvestingDate]]</f>
        <v>60545727</v>
      </c>
    </row>
    <row r="982" spans="1:16">
      <c r="A982" s="5">
        <v>45680</v>
      </c>
      <c r="B982">
        <v>54</v>
      </c>
      <c r="C982" t="s">
        <v>39</v>
      </c>
      <c r="D982">
        <v>4</v>
      </c>
      <c r="E982">
        <v>100</v>
      </c>
      <c r="F982" t="s">
        <v>1</v>
      </c>
      <c r="G982" s="6">
        <v>45727</v>
      </c>
      <c r="H982">
        <v>47</v>
      </c>
      <c r="I982">
        <f>ROUND(CompilDonnées[[#This Row],[CultureDuration_days]]/7,0)</f>
        <v>7</v>
      </c>
      <c r="J982">
        <v>3237</v>
      </c>
      <c r="K982" t="str">
        <f>_xlfn.CONCAT(WEEKNUM(CompilDonnées[[#This Row],[PlantationDate]]), " ", YEAR(CompilDonnées[[#This Row],[PlantationDate]]))</f>
        <v>4 2025</v>
      </c>
      <c r="L982" t="str">
        <f>CONCATENATE(MONTH(CompilDonnées[[#This Row],[PlantationDate]])," ", YEAR(CompilDonnées[[#This Row],[PlantationDate]]))</f>
        <v>1 2025</v>
      </c>
      <c r="M982" t="str">
        <f>CONCATENATE(MONTH(CompilDonnées[[#This Row],[HarvestingDate]])," ", YEAR(CompilDonnées[[#This Row],[HarvestingDate]]))</f>
        <v>3 2025</v>
      </c>
      <c r="N982">
        <f>_xlfn.NUMBERVALUE(CompilDonnées[[#This Row],[FarmID]]&amp;CompilDonnées[[#This Row],[ModuleNumber]]&amp;CompilDonnées[[#This Row],[PlantationDate]])</f>
        <v>54445680</v>
      </c>
      <c r="O982" t="str">
        <f>CompilDonnées[[#This Row],[FarmID]]&amp;CompilDonnées[[#This Row],[ModuleNumber]]</f>
        <v>544</v>
      </c>
      <c r="P982" t="str">
        <f>CompilDonnées[[#This Row],[Ref_Module]]&amp;CompilDonnées[[#This Row],[HarvestingDate]]</f>
        <v>54445727</v>
      </c>
    </row>
    <row r="983" spans="1:16">
      <c r="A983" s="5">
        <v>45680</v>
      </c>
      <c r="B983">
        <v>53</v>
      </c>
      <c r="C983" t="s">
        <v>83</v>
      </c>
      <c r="D983">
        <v>4</v>
      </c>
      <c r="E983">
        <v>100</v>
      </c>
      <c r="F983" t="s">
        <v>1</v>
      </c>
      <c r="G983" s="6">
        <v>45727</v>
      </c>
      <c r="H983">
        <v>47</v>
      </c>
      <c r="I983">
        <f>ROUND(CompilDonnées[[#This Row],[CultureDuration_days]]/7,0)</f>
        <v>7</v>
      </c>
      <c r="J983">
        <v>3702</v>
      </c>
      <c r="K983" t="str">
        <f>_xlfn.CONCAT(WEEKNUM(CompilDonnées[[#This Row],[PlantationDate]]), " ", YEAR(CompilDonnées[[#This Row],[PlantationDate]]))</f>
        <v>4 2025</v>
      </c>
      <c r="L983" t="str">
        <f>CONCATENATE(MONTH(CompilDonnées[[#This Row],[PlantationDate]])," ", YEAR(CompilDonnées[[#This Row],[PlantationDate]]))</f>
        <v>1 2025</v>
      </c>
      <c r="M983" t="str">
        <f>CONCATENATE(MONTH(CompilDonnées[[#This Row],[HarvestingDate]])," ", YEAR(CompilDonnées[[#This Row],[HarvestingDate]]))</f>
        <v>3 2025</v>
      </c>
      <c r="N983">
        <f>_xlfn.NUMBERVALUE(CompilDonnées[[#This Row],[FarmID]]&amp;CompilDonnées[[#This Row],[ModuleNumber]]&amp;CompilDonnées[[#This Row],[PlantationDate]])</f>
        <v>53445680</v>
      </c>
      <c r="O983" t="str">
        <f>CompilDonnées[[#This Row],[FarmID]]&amp;CompilDonnées[[#This Row],[ModuleNumber]]</f>
        <v>534</v>
      </c>
      <c r="P983" t="str">
        <f>CompilDonnées[[#This Row],[Ref_Module]]&amp;CompilDonnées[[#This Row],[HarvestingDate]]</f>
        <v>53445727</v>
      </c>
    </row>
    <row r="984" spans="1:16">
      <c r="A984" s="5">
        <v>45680</v>
      </c>
      <c r="B984">
        <v>47</v>
      </c>
      <c r="C984" t="s">
        <v>12</v>
      </c>
      <c r="D984">
        <v>6</v>
      </c>
      <c r="E984">
        <v>100</v>
      </c>
      <c r="F984" t="s">
        <v>1</v>
      </c>
      <c r="G984" s="6">
        <v>45727</v>
      </c>
      <c r="H984">
        <v>47</v>
      </c>
      <c r="I984">
        <f>ROUND(CompilDonnées[[#This Row],[CultureDuration_days]]/7,0)</f>
        <v>7</v>
      </c>
      <c r="J984">
        <v>3895</v>
      </c>
      <c r="K984" t="str">
        <f>_xlfn.CONCAT(WEEKNUM(CompilDonnées[[#This Row],[PlantationDate]]), " ", YEAR(CompilDonnées[[#This Row],[PlantationDate]]))</f>
        <v>4 2025</v>
      </c>
      <c r="L984" t="str">
        <f>CONCATENATE(MONTH(CompilDonnées[[#This Row],[PlantationDate]])," ", YEAR(CompilDonnées[[#This Row],[PlantationDate]]))</f>
        <v>1 2025</v>
      </c>
      <c r="M984" t="str">
        <f>CONCATENATE(MONTH(CompilDonnées[[#This Row],[HarvestingDate]])," ", YEAR(CompilDonnées[[#This Row],[HarvestingDate]]))</f>
        <v>3 2025</v>
      </c>
      <c r="N984">
        <f>_xlfn.NUMBERVALUE(CompilDonnées[[#This Row],[FarmID]]&amp;CompilDonnées[[#This Row],[ModuleNumber]]&amp;CompilDonnées[[#This Row],[PlantationDate]])</f>
        <v>47645680</v>
      </c>
      <c r="O984" t="str">
        <f>CompilDonnées[[#This Row],[FarmID]]&amp;CompilDonnées[[#This Row],[ModuleNumber]]</f>
        <v>476</v>
      </c>
      <c r="P984" t="str">
        <f>CompilDonnées[[#This Row],[Ref_Module]]&amp;CompilDonnées[[#This Row],[HarvestingDate]]</f>
        <v>47645727</v>
      </c>
    </row>
    <row r="985" spans="1:16">
      <c r="A985" s="5">
        <v>45680</v>
      </c>
      <c r="B985">
        <v>40</v>
      </c>
      <c r="C985" t="s">
        <v>82</v>
      </c>
      <c r="D985">
        <v>4</v>
      </c>
      <c r="E985">
        <v>100</v>
      </c>
      <c r="F985" t="s">
        <v>1</v>
      </c>
      <c r="G985" s="6">
        <v>45726</v>
      </c>
      <c r="H985">
        <v>46</v>
      </c>
      <c r="I985">
        <f>ROUND(CompilDonnées[[#This Row],[CultureDuration_days]]/7,0)</f>
        <v>7</v>
      </c>
      <c r="J985">
        <v>3032</v>
      </c>
      <c r="K985" t="str">
        <f>_xlfn.CONCAT(WEEKNUM(CompilDonnées[[#This Row],[PlantationDate]]), " ", YEAR(CompilDonnées[[#This Row],[PlantationDate]]))</f>
        <v>4 2025</v>
      </c>
      <c r="L985" t="str">
        <f>CONCATENATE(MONTH(CompilDonnées[[#This Row],[PlantationDate]])," ", YEAR(CompilDonnées[[#This Row],[PlantationDate]]))</f>
        <v>1 2025</v>
      </c>
      <c r="M985" t="str">
        <f>CONCATENATE(MONTH(CompilDonnées[[#This Row],[HarvestingDate]])," ", YEAR(CompilDonnées[[#This Row],[HarvestingDate]]))</f>
        <v>3 2025</v>
      </c>
      <c r="N985">
        <f>_xlfn.NUMBERVALUE(CompilDonnées[[#This Row],[FarmID]]&amp;CompilDonnées[[#This Row],[ModuleNumber]]&amp;CompilDonnées[[#This Row],[PlantationDate]])</f>
        <v>40445680</v>
      </c>
      <c r="O985" t="str">
        <f>CompilDonnées[[#This Row],[FarmID]]&amp;CompilDonnées[[#This Row],[ModuleNumber]]</f>
        <v>404</v>
      </c>
      <c r="P985" t="str">
        <f>CompilDonnées[[#This Row],[Ref_Module]]&amp;CompilDonnées[[#This Row],[HarvestingDate]]</f>
        <v>40445726</v>
      </c>
    </row>
    <row r="986" spans="1:16">
      <c r="A986" s="5">
        <v>45680</v>
      </c>
      <c r="B986">
        <v>39</v>
      </c>
      <c r="C986" t="s">
        <v>81</v>
      </c>
      <c r="D986">
        <v>3</v>
      </c>
      <c r="E986">
        <v>100</v>
      </c>
      <c r="F986" t="s">
        <v>1</v>
      </c>
      <c r="G986" s="6">
        <v>45722</v>
      </c>
      <c r="H986">
        <v>42</v>
      </c>
      <c r="I986">
        <f>ROUND(CompilDonnées[[#This Row],[CultureDuration_days]]/7,0)</f>
        <v>6</v>
      </c>
      <c r="J986">
        <v>3012</v>
      </c>
      <c r="K986" t="str">
        <f>_xlfn.CONCAT(WEEKNUM(CompilDonnées[[#This Row],[PlantationDate]]), " ", YEAR(CompilDonnées[[#This Row],[PlantationDate]]))</f>
        <v>4 2025</v>
      </c>
      <c r="L986" t="str">
        <f>CONCATENATE(MONTH(CompilDonnées[[#This Row],[PlantationDate]])," ", YEAR(CompilDonnées[[#This Row],[PlantationDate]]))</f>
        <v>1 2025</v>
      </c>
      <c r="M986" t="str">
        <f>CONCATENATE(MONTH(CompilDonnées[[#This Row],[HarvestingDate]])," ", YEAR(CompilDonnées[[#This Row],[HarvestingDate]]))</f>
        <v>3 2025</v>
      </c>
      <c r="N986">
        <f>_xlfn.NUMBERVALUE(CompilDonnées[[#This Row],[FarmID]]&amp;CompilDonnées[[#This Row],[ModuleNumber]]&amp;CompilDonnées[[#This Row],[PlantationDate]])</f>
        <v>39345680</v>
      </c>
      <c r="O986" t="str">
        <f>CompilDonnées[[#This Row],[FarmID]]&amp;CompilDonnées[[#This Row],[ModuleNumber]]</f>
        <v>393</v>
      </c>
      <c r="P986" t="str">
        <f>CompilDonnées[[#This Row],[Ref_Module]]&amp;CompilDonnées[[#This Row],[HarvestingDate]]</f>
        <v>39345722</v>
      </c>
    </row>
    <row r="987" spans="1:16">
      <c r="A987" s="5">
        <v>45680</v>
      </c>
      <c r="B987">
        <v>34</v>
      </c>
      <c r="C987" t="s">
        <v>68</v>
      </c>
      <c r="D987">
        <v>5</v>
      </c>
      <c r="E987">
        <v>100</v>
      </c>
      <c r="F987" t="s">
        <v>1</v>
      </c>
      <c r="G987" s="6">
        <v>45726</v>
      </c>
      <c r="H987">
        <v>46</v>
      </c>
      <c r="I987">
        <f>ROUND(CompilDonnées[[#This Row],[CultureDuration_days]]/7,0)</f>
        <v>7</v>
      </c>
      <c r="J987">
        <v>2785</v>
      </c>
      <c r="K987" t="str">
        <f>_xlfn.CONCAT(WEEKNUM(CompilDonnées[[#This Row],[PlantationDate]]), " ", YEAR(CompilDonnées[[#This Row],[PlantationDate]]))</f>
        <v>4 2025</v>
      </c>
      <c r="L987" t="str">
        <f>CONCATENATE(MONTH(CompilDonnées[[#This Row],[PlantationDate]])," ", YEAR(CompilDonnées[[#This Row],[PlantationDate]]))</f>
        <v>1 2025</v>
      </c>
      <c r="M987" t="str">
        <f>CONCATENATE(MONTH(CompilDonnées[[#This Row],[HarvestingDate]])," ", YEAR(CompilDonnées[[#This Row],[HarvestingDate]]))</f>
        <v>3 2025</v>
      </c>
      <c r="N987">
        <f>_xlfn.NUMBERVALUE(CompilDonnées[[#This Row],[FarmID]]&amp;CompilDonnées[[#This Row],[ModuleNumber]]&amp;CompilDonnées[[#This Row],[PlantationDate]])</f>
        <v>34545680</v>
      </c>
      <c r="O987" t="str">
        <f>CompilDonnées[[#This Row],[FarmID]]&amp;CompilDonnées[[#This Row],[ModuleNumber]]</f>
        <v>345</v>
      </c>
      <c r="P987" t="str">
        <f>CompilDonnées[[#This Row],[Ref_Module]]&amp;CompilDonnées[[#This Row],[HarvestingDate]]</f>
        <v>34545726</v>
      </c>
    </row>
    <row r="988" spans="1:16">
      <c r="A988" s="5">
        <v>45680</v>
      </c>
      <c r="B988">
        <v>33</v>
      </c>
      <c r="C988" t="s">
        <v>104</v>
      </c>
      <c r="D988">
        <v>4</v>
      </c>
      <c r="E988">
        <v>100</v>
      </c>
      <c r="F988" t="s">
        <v>1</v>
      </c>
      <c r="G988" s="6">
        <v>45726</v>
      </c>
      <c r="H988">
        <v>46</v>
      </c>
      <c r="I988">
        <f>ROUND(CompilDonnées[[#This Row],[CultureDuration_days]]/7,0)</f>
        <v>7</v>
      </c>
      <c r="J988">
        <v>3057</v>
      </c>
      <c r="K988" t="str">
        <f>_xlfn.CONCAT(WEEKNUM(CompilDonnées[[#This Row],[PlantationDate]]), " ", YEAR(CompilDonnées[[#This Row],[PlantationDate]]))</f>
        <v>4 2025</v>
      </c>
      <c r="L988" t="str">
        <f>CONCATENATE(MONTH(CompilDonnées[[#This Row],[PlantationDate]])," ", YEAR(CompilDonnées[[#This Row],[PlantationDate]]))</f>
        <v>1 2025</v>
      </c>
      <c r="M988" t="str">
        <f>CONCATENATE(MONTH(CompilDonnées[[#This Row],[HarvestingDate]])," ", YEAR(CompilDonnées[[#This Row],[HarvestingDate]]))</f>
        <v>3 2025</v>
      </c>
      <c r="N988">
        <f>_xlfn.NUMBERVALUE(CompilDonnées[[#This Row],[FarmID]]&amp;CompilDonnées[[#This Row],[ModuleNumber]]&amp;CompilDonnées[[#This Row],[PlantationDate]])</f>
        <v>33445680</v>
      </c>
      <c r="O988" t="str">
        <f>CompilDonnées[[#This Row],[FarmID]]&amp;CompilDonnées[[#This Row],[ModuleNumber]]</f>
        <v>334</v>
      </c>
      <c r="P988" t="str">
        <f>CompilDonnées[[#This Row],[Ref_Module]]&amp;CompilDonnées[[#This Row],[HarvestingDate]]</f>
        <v>33445726</v>
      </c>
    </row>
    <row r="989" spans="1:16">
      <c r="A989" s="5">
        <v>45680</v>
      </c>
      <c r="B989">
        <v>27</v>
      </c>
      <c r="C989" t="s">
        <v>88</v>
      </c>
      <c r="D989">
        <v>1</v>
      </c>
      <c r="E989">
        <v>100</v>
      </c>
      <c r="F989" t="s">
        <v>1</v>
      </c>
      <c r="G989" s="6">
        <v>45722</v>
      </c>
      <c r="H989">
        <v>42</v>
      </c>
      <c r="I989">
        <f>ROUND(CompilDonnées[[#This Row],[CultureDuration_days]]/7,0)</f>
        <v>6</v>
      </c>
      <c r="J989">
        <v>3627</v>
      </c>
      <c r="K989" t="str">
        <f>_xlfn.CONCAT(WEEKNUM(CompilDonnées[[#This Row],[PlantationDate]]), " ", YEAR(CompilDonnées[[#This Row],[PlantationDate]]))</f>
        <v>4 2025</v>
      </c>
      <c r="L989" t="str">
        <f>CONCATENATE(MONTH(CompilDonnées[[#This Row],[PlantationDate]])," ", YEAR(CompilDonnées[[#This Row],[PlantationDate]]))</f>
        <v>1 2025</v>
      </c>
      <c r="M989" t="str">
        <f>CONCATENATE(MONTH(CompilDonnées[[#This Row],[HarvestingDate]])," ", YEAR(CompilDonnées[[#This Row],[HarvestingDate]]))</f>
        <v>3 2025</v>
      </c>
      <c r="N989">
        <f>_xlfn.NUMBERVALUE(CompilDonnées[[#This Row],[FarmID]]&amp;CompilDonnées[[#This Row],[ModuleNumber]]&amp;CompilDonnées[[#This Row],[PlantationDate]])</f>
        <v>27145680</v>
      </c>
      <c r="O989" t="str">
        <f>CompilDonnées[[#This Row],[FarmID]]&amp;CompilDonnées[[#This Row],[ModuleNumber]]</f>
        <v>271</v>
      </c>
      <c r="P989" t="str">
        <f>CompilDonnées[[#This Row],[Ref_Module]]&amp;CompilDonnées[[#This Row],[HarvestingDate]]</f>
        <v>27145722</v>
      </c>
    </row>
    <row r="990" spans="1:16">
      <c r="A990" s="5">
        <v>45680</v>
      </c>
      <c r="B990">
        <v>26</v>
      </c>
      <c r="C990" t="s">
        <v>97</v>
      </c>
      <c r="D990">
        <v>4</v>
      </c>
      <c r="E990">
        <v>100</v>
      </c>
      <c r="F990" t="s">
        <v>1</v>
      </c>
      <c r="G990" s="6">
        <v>45726</v>
      </c>
      <c r="H990">
        <v>46</v>
      </c>
      <c r="I990">
        <f>ROUND(CompilDonnées[[#This Row],[CultureDuration_days]]/7,0)</f>
        <v>7</v>
      </c>
      <c r="J990">
        <v>2970</v>
      </c>
      <c r="K990" t="str">
        <f>_xlfn.CONCAT(WEEKNUM(CompilDonnées[[#This Row],[PlantationDate]]), " ", YEAR(CompilDonnées[[#This Row],[PlantationDate]]))</f>
        <v>4 2025</v>
      </c>
      <c r="L990" t="str">
        <f>CONCATENATE(MONTH(CompilDonnées[[#This Row],[PlantationDate]])," ", YEAR(CompilDonnées[[#This Row],[PlantationDate]]))</f>
        <v>1 2025</v>
      </c>
      <c r="M990" t="str">
        <f>CONCATENATE(MONTH(CompilDonnées[[#This Row],[HarvestingDate]])," ", YEAR(CompilDonnées[[#This Row],[HarvestingDate]]))</f>
        <v>3 2025</v>
      </c>
      <c r="N990">
        <f>_xlfn.NUMBERVALUE(CompilDonnées[[#This Row],[FarmID]]&amp;CompilDonnées[[#This Row],[ModuleNumber]]&amp;CompilDonnées[[#This Row],[PlantationDate]])</f>
        <v>26445680</v>
      </c>
      <c r="O990" t="str">
        <f>CompilDonnées[[#This Row],[FarmID]]&amp;CompilDonnées[[#This Row],[ModuleNumber]]</f>
        <v>264</v>
      </c>
      <c r="P990" t="str">
        <f>CompilDonnées[[#This Row],[Ref_Module]]&amp;CompilDonnées[[#This Row],[HarvestingDate]]</f>
        <v>26445726</v>
      </c>
    </row>
    <row r="991" spans="1:16">
      <c r="A991" s="5">
        <v>45680</v>
      </c>
      <c r="B991">
        <v>20</v>
      </c>
      <c r="C991" t="s">
        <v>53</v>
      </c>
      <c r="D991">
        <v>3</v>
      </c>
      <c r="E991">
        <v>100</v>
      </c>
      <c r="F991" t="s">
        <v>1</v>
      </c>
      <c r="G991" s="6">
        <v>45726</v>
      </c>
      <c r="H991">
        <v>46</v>
      </c>
      <c r="I991">
        <f>ROUND(CompilDonnées[[#This Row],[CultureDuration_days]]/7,0)</f>
        <v>7</v>
      </c>
      <c r="J991">
        <v>3009</v>
      </c>
      <c r="K991" t="str">
        <f>_xlfn.CONCAT(WEEKNUM(CompilDonnées[[#This Row],[PlantationDate]]), " ", YEAR(CompilDonnées[[#This Row],[PlantationDate]]))</f>
        <v>4 2025</v>
      </c>
      <c r="L991" t="str">
        <f>CONCATENATE(MONTH(CompilDonnées[[#This Row],[PlantationDate]])," ", YEAR(CompilDonnées[[#This Row],[PlantationDate]]))</f>
        <v>1 2025</v>
      </c>
      <c r="M991" t="str">
        <f>CONCATENATE(MONTH(CompilDonnées[[#This Row],[HarvestingDate]])," ", YEAR(CompilDonnées[[#This Row],[HarvestingDate]]))</f>
        <v>3 2025</v>
      </c>
      <c r="N991">
        <f>_xlfn.NUMBERVALUE(CompilDonnées[[#This Row],[FarmID]]&amp;CompilDonnées[[#This Row],[ModuleNumber]]&amp;CompilDonnées[[#This Row],[PlantationDate]])</f>
        <v>20345680</v>
      </c>
      <c r="O991" t="str">
        <f>CompilDonnées[[#This Row],[FarmID]]&amp;CompilDonnées[[#This Row],[ModuleNumber]]</f>
        <v>203</v>
      </c>
      <c r="P991" t="str">
        <f>CompilDonnées[[#This Row],[Ref_Module]]&amp;CompilDonnées[[#This Row],[HarvestingDate]]</f>
        <v>20345726</v>
      </c>
    </row>
    <row r="992" spans="1:16">
      <c r="A992" s="5">
        <v>45680</v>
      </c>
      <c r="B992">
        <v>19</v>
      </c>
      <c r="C992" t="s">
        <v>108</v>
      </c>
      <c r="D992">
        <v>1</v>
      </c>
      <c r="E992">
        <v>100</v>
      </c>
      <c r="F992" t="s">
        <v>1</v>
      </c>
      <c r="G992" s="6">
        <v>45726</v>
      </c>
      <c r="H992">
        <v>46</v>
      </c>
      <c r="I992">
        <f>ROUND(CompilDonnées[[#This Row],[CultureDuration_days]]/7,0)</f>
        <v>7</v>
      </c>
      <c r="J992">
        <v>3354</v>
      </c>
      <c r="K992" t="str">
        <f>_xlfn.CONCAT(WEEKNUM(CompilDonnées[[#This Row],[PlantationDate]]), " ", YEAR(CompilDonnées[[#This Row],[PlantationDate]]))</f>
        <v>4 2025</v>
      </c>
      <c r="L992" t="str">
        <f>CONCATENATE(MONTH(CompilDonnées[[#This Row],[PlantationDate]])," ", YEAR(CompilDonnées[[#This Row],[PlantationDate]]))</f>
        <v>1 2025</v>
      </c>
      <c r="M992" t="str">
        <f>CONCATENATE(MONTH(CompilDonnées[[#This Row],[HarvestingDate]])," ", YEAR(CompilDonnées[[#This Row],[HarvestingDate]]))</f>
        <v>3 2025</v>
      </c>
      <c r="N992">
        <f>_xlfn.NUMBERVALUE(CompilDonnées[[#This Row],[FarmID]]&amp;CompilDonnées[[#This Row],[ModuleNumber]]&amp;CompilDonnées[[#This Row],[PlantationDate]])</f>
        <v>19145680</v>
      </c>
      <c r="O992" t="str">
        <f>CompilDonnées[[#This Row],[FarmID]]&amp;CompilDonnées[[#This Row],[ModuleNumber]]</f>
        <v>191</v>
      </c>
      <c r="P992" t="str">
        <f>CompilDonnées[[#This Row],[Ref_Module]]&amp;CompilDonnées[[#This Row],[HarvestingDate]]</f>
        <v>19145726</v>
      </c>
    </row>
    <row r="993" spans="1:16">
      <c r="A993" s="5">
        <v>45680</v>
      </c>
      <c r="B993">
        <v>2</v>
      </c>
      <c r="C993" t="s">
        <v>119</v>
      </c>
      <c r="D993">
        <v>3</v>
      </c>
      <c r="E993">
        <v>100</v>
      </c>
      <c r="F993" t="s">
        <v>1</v>
      </c>
      <c r="G993" s="6">
        <v>45721</v>
      </c>
      <c r="H993">
        <v>41</v>
      </c>
      <c r="I993">
        <f>ROUND(CompilDonnées[[#This Row],[CultureDuration_days]]/7,0)</f>
        <v>6</v>
      </c>
      <c r="J993">
        <v>3686</v>
      </c>
      <c r="K993" t="str">
        <f>_xlfn.CONCAT(WEEKNUM(CompilDonnées[[#This Row],[PlantationDate]]), " ", YEAR(CompilDonnées[[#This Row],[PlantationDate]]))</f>
        <v>4 2025</v>
      </c>
      <c r="L993" t="str">
        <f>CONCATENATE(MONTH(CompilDonnées[[#This Row],[PlantationDate]])," ", YEAR(CompilDonnées[[#This Row],[PlantationDate]]))</f>
        <v>1 2025</v>
      </c>
      <c r="M993" t="str">
        <f>CONCATENATE(MONTH(CompilDonnées[[#This Row],[HarvestingDate]])," ", YEAR(CompilDonnées[[#This Row],[HarvestingDate]]))</f>
        <v>3 2025</v>
      </c>
      <c r="N993">
        <f>_xlfn.NUMBERVALUE(CompilDonnées[[#This Row],[FarmID]]&amp;CompilDonnées[[#This Row],[ModuleNumber]]&amp;CompilDonnées[[#This Row],[PlantationDate]])</f>
        <v>2345680</v>
      </c>
      <c r="O993" t="str">
        <f>CompilDonnées[[#This Row],[FarmID]]&amp;CompilDonnées[[#This Row],[ModuleNumber]]</f>
        <v>23</v>
      </c>
      <c r="P993" t="str">
        <f>CompilDonnées[[#This Row],[Ref_Module]]&amp;CompilDonnées[[#This Row],[HarvestingDate]]</f>
        <v>2345721</v>
      </c>
    </row>
    <row r="994" spans="1:16">
      <c r="A994" s="5">
        <v>45680</v>
      </c>
      <c r="B994">
        <v>2</v>
      </c>
      <c r="C994" t="s">
        <v>119</v>
      </c>
      <c r="D994">
        <v>4</v>
      </c>
      <c r="E994">
        <v>100</v>
      </c>
      <c r="F994" t="s">
        <v>1</v>
      </c>
      <c r="G994" s="6">
        <v>45726</v>
      </c>
      <c r="H994">
        <v>46</v>
      </c>
      <c r="I994">
        <f>ROUND(CompilDonnées[[#This Row],[CultureDuration_days]]/7,0)</f>
        <v>7</v>
      </c>
      <c r="J994">
        <v>3281</v>
      </c>
      <c r="K994" t="str">
        <f>_xlfn.CONCAT(WEEKNUM(CompilDonnées[[#This Row],[PlantationDate]]), " ", YEAR(CompilDonnées[[#This Row],[PlantationDate]]))</f>
        <v>4 2025</v>
      </c>
      <c r="L994" t="str">
        <f>CONCATENATE(MONTH(CompilDonnées[[#This Row],[PlantationDate]])," ", YEAR(CompilDonnées[[#This Row],[PlantationDate]]))</f>
        <v>1 2025</v>
      </c>
      <c r="M994" t="str">
        <f>CONCATENATE(MONTH(CompilDonnées[[#This Row],[HarvestingDate]])," ", YEAR(CompilDonnées[[#This Row],[HarvestingDate]]))</f>
        <v>3 2025</v>
      </c>
      <c r="N994">
        <f>_xlfn.NUMBERVALUE(CompilDonnées[[#This Row],[FarmID]]&amp;CompilDonnées[[#This Row],[ModuleNumber]]&amp;CompilDonnées[[#This Row],[PlantationDate]])</f>
        <v>2445680</v>
      </c>
      <c r="O994" t="str">
        <f>CompilDonnées[[#This Row],[FarmID]]&amp;CompilDonnées[[#This Row],[ModuleNumber]]</f>
        <v>24</v>
      </c>
      <c r="P994" t="str">
        <f>CompilDonnées[[#This Row],[Ref_Module]]&amp;CompilDonnées[[#This Row],[HarvestingDate]]</f>
        <v>2445726</v>
      </c>
    </row>
    <row r="995" spans="1:16">
      <c r="A995" s="5">
        <v>45680</v>
      </c>
      <c r="B995">
        <v>11</v>
      </c>
      <c r="C995" t="s">
        <v>106</v>
      </c>
      <c r="D995">
        <v>3</v>
      </c>
      <c r="E995">
        <v>100</v>
      </c>
      <c r="F995" t="s">
        <v>1</v>
      </c>
      <c r="G995" s="6">
        <v>45726</v>
      </c>
      <c r="H995">
        <v>46</v>
      </c>
      <c r="I995">
        <f>ROUND(CompilDonnées[[#This Row],[CultureDuration_days]]/7,0)</f>
        <v>7</v>
      </c>
      <c r="J995">
        <v>3176</v>
      </c>
      <c r="K995" t="str">
        <f>_xlfn.CONCAT(WEEKNUM(CompilDonnées[[#This Row],[PlantationDate]]), " ", YEAR(CompilDonnées[[#This Row],[PlantationDate]]))</f>
        <v>4 2025</v>
      </c>
      <c r="L995" t="str">
        <f>CONCATENATE(MONTH(CompilDonnées[[#This Row],[PlantationDate]])," ", YEAR(CompilDonnées[[#This Row],[PlantationDate]]))</f>
        <v>1 2025</v>
      </c>
      <c r="M995" t="str">
        <f>CONCATENATE(MONTH(CompilDonnées[[#This Row],[HarvestingDate]])," ", YEAR(CompilDonnées[[#This Row],[HarvestingDate]]))</f>
        <v>3 2025</v>
      </c>
      <c r="N995">
        <f>_xlfn.NUMBERVALUE(CompilDonnées[[#This Row],[FarmID]]&amp;CompilDonnées[[#This Row],[ModuleNumber]]&amp;CompilDonnées[[#This Row],[PlantationDate]])</f>
        <v>11345680</v>
      </c>
      <c r="O995" t="str">
        <f>CompilDonnées[[#This Row],[FarmID]]&amp;CompilDonnées[[#This Row],[ModuleNumber]]</f>
        <v>113</v>
      </c>
      <c r="P995" t="str">
        <f>CompilDonnées[[#This Row],[Ref_Module]]&amp;CompilDonnées[[#This Row],[HarvestingDate]]</f>
        <v>11345726</v>
      </c>
    </row>
    <row r="996" spans="1:16">
      <c r="A996" s="5">
        <v>45680</v>
      </c>
      <c r="B996">
        <v>7</v>
      </c>
      <c r="C996" t="s">
        <v>50</v>
      </c>
      <c r="D996">
        <v>4</v>
      </c>
      <c r="E996">
        <v>100</v>
      </c>
      <c r="F996" t="s">
        <v>1</v>
      </c>
      <c r="G996" s="6">
        <v>45726</v>
      </c>
      <c r="H996">
        <v>46</v>
      </c>
      <c r="I996">
        <f>ROUND(CompilDonnées[[#This Row],[CultureDuration_days]]/7,0)</f>
        <v>7</v>
      </c>
      <c r="J996">
        <v>3807</v>
      </c>
      <c r="K996" t="str">
        <f>_xlfn.CONCAT(WEEKNUM(CompilDonnées[[#This Row],[PlantationDate]]), " ", YEAR(CompilDonnées[[#This Row],[PlantationDate]]))</f>
        <v>4 2025</v>
      </c>
      <c r="L996" t="str">
        <f>CONCATENATE(MONTH(CompilDonnées[[#This Row],[PlantationDate]])," ", YEAR(CompilDonnées[[#This Row],[PlantationDate]]))</f>
        <v>1 2025</v>
      </c>
      <c r="M996" t="str">
        <f>CONCATENATE(MONTH(CompilDonnées[[#This Row],[HarvestingDate]])," ", YEAR(CompilDonnées[[#This Row],[HarvestingDate]]))</f>
        <v>3 2025</v>
      </c>
      <c r="N996">
        <f>_xlfn.NUMBERVALUE(CompilDonnées[[#This Row],[FarmID]]&amp;CompilDonnées[[#This Row],[ModuleNumber]]&amp;CompilDonnées[[#This Row],[PlantationDate]])</f>
        <v>7445680</v>
      </c>
      <c r="O996" t="str">
        <f>CompilDonnées[[#This Row],[FarmID]]&amp;CompilDonnées[[#This Row],[ModuleNumber]]</f>
        <v>74</v>
      </c>
      <c r="P996" t="str">
        <f>CompilDonnées[[#This Row],[Ref_Module]]&amp;CompilDonnées[[#This Row],[HarvestingDate]]</f>
        <v>7445726</v>
      </c>
    </row>
    <row r="997" spans="1:16">
      <c r="A997" s="5">
        <v>45680</v>
      </c>
      <c r="B997">
        <v>130</v>
      </c>
      <c r="C997" t="s">
        <v>3</v>
      </c>
      <c r="D997">
        <v>2</v>
      </c>
      <c r="E997">
        <v>60</v>
      </c>
      <c r="F997" t="s">
        <v>105</v>
      </c>
      <c r="G997" s="6">
        <v>45758</v>
      </c>
      <c r="H997">
        <v>78</v>
      </c>
      <c r="I997">
        <f>ROUND(CompilDonnées[[#This Row],[CultureDuration_days]]/7,0)</f>
        <v>11</v>
      </c>
      <c r="J997">
        <v>855</v>
      </c>
      <c r="K997" t="str">
        <f>_xlfn.CONCAT(WEEKNUM(CompilDonnées[[#This Row],[PlantationDate]]), " ", YEAR(CompilDonnées[[#This Row],[PlantationDate]]))</f>
        <v>4 2025</v>
      </c>
      <c r="L997" t="str">
        <f>CONCATENATE(MONTH(CompilDonnées[[#This Row],[PlantationDate]])," ", YEAR(CompilDonnées[[#This Row],[PlantationDate]]))</f>
        <v>1 2025</v>
      </c>
      <c r="M997" t="str">
        <f>CONCATENATE(MONTH(CompilDonnées[[#This Row],[HarvestingDate]])," ", YEAR(CompilDonnées[[#This Row],[HarvestingDate]]))</f>
        <v>4 2025</v>
      </c>
      <c r="N997">
        <f>_xlfn.NUMBERVALUE(CompilDonnées[[#This Row],[FarmID]]&amp;CompilDonnées[[#This Row],[ModuleNumber]]&amp;CompilDonnées[[#This Row],[PlantationDate]])</f>
        <v>130245680</v>
      </c>
      <c r="O997" t="str">
        <f>CompilDonnées[[#This Row],[FarmID]]&amp;CompilDonnées[[#This Row],[ModuleNumber]]</f>
        <v>1302</v>
      </c>
      <c r="P997" t="str">
        <f>CompilDonnées[[#This Row],[Ref_Module]]&amp;CompilDonnées[[#This Row],[HarvestingDate]]</f>
        <v>130245758</v>
      </c>
    </row>
    <row r="998" spans="1:16">
      <c r="A998" s="5">
        <v>45680</v>
      </c>
      <c r="B998">
        <v>130</v>
      </c>
      <c r="C998" t="s">
        <v>3</v>
      </c>
      <c r="D998">
        <v>3</v>
      </c>
      <c r="E998">
        <v>60</v>
      </c>
      <c r="F998" t="s">
        <v>105</v>
      </c>
      <c r="G998" s="6">
        <v>45744</v>
      </c>
      <c r="H998">
        <v>64</v>
      </c>
      <c r="I998">
        <f>ROUND(CompilDonnées[[#This Row],[CultureDuration_days]]/7,0)</f>
        <v>9</v>
      </c>
      <c r="J998">
        <v>1032</v>
      </c>
      <c r="K998" t="str">
        <f>_xlfn.CONCAT(WEEKNUM(CompilDonnées[[#This Row],[PlantationDate]]), " ", YEAR(CompilDonnées[[#This Row],[PlantationDate]]))</f>
        <v>4 2025</v>
      </c>
      <c r="L998" t="str">
        <f>CONCATENATE(MONTH(CompilDonnées[[#This Row],[PlantationDate]])," ", YEAR(CompilDonnées[[#This Row],[PlantationDate]]))</f>
        <v>1 2025</v>
      </c>
      <c r="M998" t="str">
        <f>CONCATENATE(MONTH(CompilDonnées[[#This Row],[HarvestingDate]])," ", YEAR(CompilDonnées[[#This Row],[HarvestingDate]]))</f>
        <v>3 2025</v>
      </c>
      <c r="N998">
        <f>_xlfn.NUMBERVALUE(CompilDonnées[[#This Row],[FarmID]]&amp;CompilDonnées[[#This Row],[ModuleNumber]]&amp;CompilDonnées[[#This Row],[PlantationDate]])</f>
        <v>130345680</v>
      </c>
      <c r="O998" t="str">
        <f>CompilDonnées[[#This Row],[FarmID]]&amp;CompilDonnées[[#This Row],[ModuleNumber]]</f>
        <v>1303</v>
      </c>
      <c r="P998" t="str">
        <f>CompilDonnées[[#This Row],[Ref_Module]]&amp;CompilDonnées[[#This Row],[HarvestingDate]]</f>
        <v>130345744</v>
      </c>
    </row>
    <row r="999" spans="1:16">
      <c r="A999" s="5">
        <v>45681</v>
      </c>
      <c r="B999">
        <v>105</v>
      </c>
      <c r="C999" t="s">
        <v>3</v>
      </c>
      <c r="D999">
        <v>5</v>
      </c>
      <c r="E999">
        <v>60</v>
      </c>
      <c r="F999" t="s">
        <v>105</v>
      </c>
      <c r="G999" s="6">
        <v>45743</v>
      </c>
      <c r="H999">
        <v>62</v>
      </c>
      <c r="I999">
        <f>ROUND(CompilDonnées[[#This Row],[CultureDuration_days]]/7,0)</f>
        <v>9</v>
      </c>
      <c r="J999">
        <v>1000</v>
      </c>
      <c r="K999" t="str">
        <f>_xlfn.CONCAT(WEEKNUM(CompilDonnées[[#This Row],[PlantationDate]]), " ", YEAR(CompilDonnées[[#This Row],[PlantationDate]]))</f>
        <v>4 2025</v>
      </c>
      <c r="L999" t="str">
        <f>CONCATENATE(MONTH(CompilDonnées[[#This Row],[PlantationDate]])," ", YEAR(CompilDonnées[[#This Row],[PlantationDate]]))</f>
        <v>1 2025</v>
      </c>
      <c r="M999" t="str">
        <f>CONCATENATE(MONTH(CompilDonnées[[#This Row],[HarvestingDate]])," ", YEAR(CompilDonnées[[#This Row],[HarvestingDate]]))</f>
        <v>3 2025</v>
      </c>
      <c r="N999">
        <f>_xlfn.NUMBERVALUE(CompilDonnées[[#This Row],[FarmID]]&amp;CompilDonnées[[#This Row],[ModuleNumber]]&amp;CompilDonnées[[#This Row],[PlantationDate]])</f>
        <v>105545681</v>
      </c>
      <c r="O999" t="str">
        <f>CompilDonnées[[#This Row],[FarmID]]&amp;CompilDonnées[[#This Row],[ModuleNumber]]</f>
        <v>1055</v>
      </c>
      <c r="P999" t="str">
        <f>CompilDonnées[[#This Row],[Ref_Module]]&amp;CompilDonnées[[#This Row],[HarvestingDate]]</f>
        <v>105545743</v>
      </c>
    </row>
    <row r="1000" spans="1:16">
      <c r="A1000" s="5">
        <v>45685</v>
      </c>
      <c r="B1000">
        <v>98</v>
      </c>
      <c r="C1000" t="s">
        <v>79</v>
      </c>
      <c r="D1000">
        <v>2</v>
      </c>
      <c r="E1000">
        <v>100</v>
      </c>
      <c r="F1000" t="s">
        <v>1</v>
      </c>
      <c r="G1000" s="6">
        <v>45729</v>
      </c>
      <c r="H1000">
        <v>44</v>
      </c>
      <c r="I1000">
        <f>ROUND(CompilDonnées[[#This Row],[CultureDuration_days]]/7,0)</f>
        <v>6</v>
      </c>
      <c r="J1000">
        <v>3038</v>
      </c>
      <c r="K1000" t="str">
        <f>_xlfn.CONCAT(WEEKNUM(CompilDonnées[[#This Row],[PlantationDate]]), " ", YEAR(CompilDonnées[[#This Row],[PlantationDate]]))</f>
        <v>5 2025</v>
      </c>
      <c r="L1000" t="str">
        <f>CONCATENATE(MONTH(CompilDonnées[[#This Row],[PlantationDate]])," ", YEAR(CompilDonnées[[#This Row],[PlantationDate]]))</f>
        <v>1 2025</v>
      </c>
      <c r="M1000" t="str">
        <f>CONCATENATE(MONTH(CompilDonnées[[#This Row],[HarvestingDate]])," ", YEAR(CompilDonnées[[#This Row],[HarvestingDate]]))</f>
        <v>3 2025</v>
      </c>
      <c r="N1000">
        <f>_xlfn.NUMBERVALUE(CompilDonnées[[#This Row],[FarmID]]&amp;CompilDonnées[[#This Row],[ModuleNumber]]&amp;CompilDonnées[[#This Row],[PlantationDate]])</f>
        <v>98245685</v>
      </c>
      <c r="O1000" t="str">
        <f>CompilDonnées[[#This Row],[FarmID]]&amp;CompilDonnées[[#This Row],[ModuleNumber]]</f>
        <v>982</v>
      </c>
      <c r="P1000" t="str">
        <f>CompilDonnées[[#This Row],[Ref_Module]]&amp;CompilDonnées[[#This Row],[HarvestingDate]]</f>
        <v>98245729</v>
      </c>
    </row>
    <row r="1001" spans="1:16">
      <c r="A1001" s="5">
        <v>45685</v>
      </c>
      <c r="B1001">
        <v>108</v>
      </c>
      <c r="C1001" t="s">
        <v>58</v>
      </c>
      <c r="D1001">
        <v>5</v>
      </c>
      <c r="E1001">
        <v>100</v>
      </c>
      <c r="F1001" t="s">
        <v>1</v>
      </c>
      <c r="G1001" s="6">
        <v>45719</v>
      </c>
      <c r="H1001">
        <v>34</v>
      </c>
      <c r="I1001">
        <f>ROUND(CompilDonnées[[#This Row],[CultureDuration_days]]/7,0)</f>
        <v>5</v>
      </c>
      <c r="J1001">
        <v>2977</v>
      </c>
      <c r="K1001" t="str">
        <f>_xlfn.CONCAT(WEEKNUM(CompilDonnées[[#This Row],[PlantationDate]]), " ", YEAR(CompilDonnées[[#This Row],[PlantationDate]]))</f>
        <v>5 2025</v>
      </c>
      <c r="L1001" t="str">
        <f>CONCATENATE(MONTH(CompilDonnées[[#This Row],[PlantationDate]])," ", YEAR(CompilDonnées[[#This Row],[PlantationDate]]))</f>
        <v>1 2025</v>
      </c>
      <c r="M1001" t="str">
        <f>CONCATENATE(MONTH(CompilDonnées[[#This Row],[HarvestingDate]])," ", YEAR(CompilDonnées[[#This Row],[HarvestingDate]]))</f>
        <v>3 2025</v>
      </c>
      <c r="N1001">
        <f>_xlfn.NUMBERVALUE(CompilDonnées[[#This Row],[FarmID]]&amp;CompilDonnées[[#This Row],[ModuleNumber]]&amp;CompilDonnées[[#This Row],[PlantationDate]])</f>
        <v>108545685</v>
      </c>
      <c r="O1001" t="str">
        <f>CompilDonnées[[#This Row],[FarmID]]&amp;CompilDonnées[[#This Row],[ModuleNumber]]</f>
        <v>1085</v>
      </c>
      <c r="P1001" t="str">
        <f>CompilDonnées[[#This Row],[Ref_Module]]&amp;CompilDonnées[[#This Row],[HarvestingDate]]</f>
        <v>108545719</v>
      </c>
    </row>
    <row r="1002" spans="1:16">
      <c r="A1002" s="5">
        <v>45685</v>
      </c>
      <c r="B1002">
        <v>109</v>
      </c>
      <c r="C1002" t="s">
        <v>87</v>
      </c>
      <c r="D1002">
        <v>5</v>
      </c>
      <c r="E1002">
        <v>100</v>
      </c>
      <c r="F1002" t="s">
        <v>1</v>
      </c>
      <c r="G1002" s="6">
        <v>45730</v>
      </c>
      <c r="H1002">
        <v>45</v>
      </c>
      <c r="I1002">
        <f>ROUND(CompilDonnées[[#This Row],[CultureDuration_days]]/7,0)</f>
        <v>6</v>
      </c>
      <c r="J1002">
        <v>3477</v>
      </c>
      <c r="K1002" t="str">
        <f>_xlfn.CONCAT(WEEKNUM(CompilDonnées[[#This Row],[PlantationDate]]), " ", YEAR(CompilDonnées[[#This Row],[PlantationDate]]))</f>
        <v>5 2025</v>
      </c>
      <c r="L1002" t="str">
        <f>CONCATENATE(MONTH(CompilDonnées[[#This Row],[PlantationDate]])," ", YEAR(CompilDonnées[[#This Row],[PlantationDate]]))</f>
        <v>1 2025</v>
      </c>
      <c r="M1002" t="str">
        <f>CONCATENATE(MONTH(CompilDonnées[[#This Row],[HarvestingDate]])," ", YEAR(CompilDonnées[[#This Row],[HarvestingDate]]))</f>
        <v>3 2025</v>
      </c>
      <c r="N1002">
        <f>_xlfn.NUMBERVALUE(CompilDonnées[[#This Row],[FarmID]]&amp;CompilDonnées[[#This Row],[ModuleNumber]]&amp;CompilDonnées[[#This Row],[PlantationDate]])</f>
        <v>109545685</v>
      </c>
      <c r="O1002" t="str">
        <f>CompilDonnées[[#This Row],[FarmID]]&amp;CompilDonnées[[#This Row],[ModuleNumber]]</f>
        <v>1095</v>
      </c>
      <c r="P1002" t="str">
        <f>CompilDonnées[[#This Row],[Ref_Module]]&amp;CompilDonnées[[#This Row],[HarvestingDate]]</f>
        <v>109545730</v>
      </c>
    </row>
    <row r="1003" spans="1:16">
      <c r="A1003" s="5">
        <v>45685</v>
      </c>
      <c r="B1003">
        <v>107</v>
      </c>
      <c r="C1003" t="s">
        <v>23</v>
      </c>
      <c r="D1003">
        <v>6</v>
      </c>
      <c r="E1003">
        <v>100</v>
      </c>
      <c r="F1003" t="s">
        <v>1</v>
      </c>
      <c r="G1003" s="6">
        <v>45729</v>
      </c>
      <c r="H1003">
        <v>44</v>
      </c>
      <c r="I1003">
        <f>ROUND(CompilDonnées[[#This Row],[CultureDuration_days]]/7,0)</f>
        <v>6</v>
      </c>
      <c r="J1003">
        <v>3115</v>
      </c>
      <c r="K1003" t="str">
        <f>_xlfn.CONCAT(WEEKNUM(CompilDonnées[[#This Row],[PlantationDate]]), " ", YEAR(CompilDonnées[[#This Row],[PlantationDate]]))</f>
        <v>5 2025</v>
      </c>
      <c r="L1003" t="str">
        <f>CONCATENATE(MONTH(CompilDonnées[[#This Row],[PlantationDate]])," ", YEAR(CompilDonnées[[#This Row],[PlantationDate]]))</f>
        <v>1 2025</v>
      </c>
      <c r="M1003" t="str">
        <f>CONCATENATE(MONTH(CompilDonnées[[#This Row],[HarvestingDate]])," ", YEAR(CompilDonnées[[#This Row],[HarvestingDate]]))</f>
        <v>3 2025</v>
      </c>
      <c r="N1003">
        <f>_xlfn.NUMBERVALUE(CompilDonnées[[#This Row],[FarmID]]&amp;CompilDonnées[[#This Row],[ModuleNumber]]&amp;CompilDonnées[[#This Row],[PlantationDate]])</f>
        <v>107645685</v>
      </c>
      <c r="O1003" t="str">
        <f>CompilDonnées[[#This Row],[FarmID]]&amp;CompilDonnées[[#This Row],[ModuleNumber]]</f>
        <v>1076</v>
      </c>
      <c r="P1003" t="str">
        <f>CompilDonnées[[#This Row],[Ref_Module]]&amp;CompilDonnées[[#This Row],[HarvestingDate]]</f>
        <v>107645729</v>
      </c>
    </row>
    <row r="1004" spans="1:16">
      <c r="A1004" s="5">
        <v>45685</v>
      </c>
      <c r="B1004">
        <v>60</v>
      </c>
      <c r="C1004" t="s">
        <v>113</v>
      </c>
      <c r="D1004">
        <v>6</v>
      </c>
      <c r="E1004">
        <v>100</v>
      </c>
      <c r="F1004" t="s">
        <v>1</v>
      </c>
      <c r="G1004" s="6">
        <v>45727</v>
      </c>
      <c r="H1004">
        <v>42</v>
      </c>
      <c r="I1004">
        <f>ROUND(CompilDonnées[[#This Row],[CultureDuration_days]]/7,0)</f>
        <v>6</v>
      </c>
      <c r="J1004">
        <v>2618</v>
      </c>
      <c r="K1004" t="str">
        <f>_xlfn.CONCAT(WEEKNUM(CompilDonnées[[#This Row],[PlantationDate]]), " ", YEAR(CompilDonnées[[#This Row],[PlantationDate]]))</f>
        <v>5 2025</v>
      </c>
      <c r="L1004" t="str">
        <f>CONCATENATE(MONTH(CompilDonnées[[#This Row],[PlantationDate]])," ", YEAR(CompilDonnées[[#This Row],[PlantationDate]]))</f>
        <v>1 2025</v>
      </c>
      <c r="M1004" t="str">
        <f>CONCATENATE(MONTH(CompilDonnées[[#This Row],[HarvestingDate]])," ", YEAR(CompilDonnées[[#This Row],[HarvestingDate]]))</f>
        <v>3 2025</v>
      </c>
      <c r="N1004">
        <f>_xlfn.NUMBERVALUE(CompilDonnées[[#This Row],[FarmID]]&amp;CompilDonnées[[#This Row],[ModuleNumber]]&amp;CompilDonnées[[#This Row],[PlantationDate]])</f>
        <v>60645685</v>
      </c>
      <c r="O1004" t="str">
        <f>CompilDonnées[[#This Row],[FarmID]]&amp;CompilDonnées[[#This Row],[ModuleNumber]]</f>
        <v>606</v>
      </c>
      <c r="P1004" t="str">
        <f>CompilDonnées[[#This Row],[Ref_Module]]&amp;CompilDonnées[[#This Row],[HarvestingDate]]</f>
        <v>60645727</v>
      </c>
    </row>
    <row r="1005" spans="1:16">
      <c r="A1005" s="5">
        <v>45685</v>
      </c>
      <c r="B1005">
        <v>54</v>
      </c>
      <c r="C1005" t="s">
        <v>39</v>
      </c>
      <c r="D1005">
        <v>5</v>
      </c>
      <c r="E1005">
        <v>100</v>
      </c>
      <c r="F1005" t="s">
        <v>1</v>
      </c>
      <c r="G1005" s="6">
        <v>45737</v>
      </c>
      <c r="H1005">
        <v>52</v>
      </c>
      <c r="I1005">
        <f>ROUND(CompilDonnées[[#This Row],[CultureDuration_days]]/7,0)</f>
        <v>7</v>
      </c>
      <c r="J1005">
        <v>2844</v>
      </c>
      <c r="K1005" t="str">
        <f>_xlfn.CONCAT(WEEKNUM(CompilDonnées[[#This Row],[PlantationDate]]), " ", YEAR(CompilDonnées[[#This Row],[PlantationDate]]))</f>
        <v>5 2025</v>
      </c>
      <c r="L1005" t="str">
        <f>CONCATENATE(MONTH(CompilDonnées[[#This Row],[PlantationDate]])," ", YEAR(CompilDonnées[[#This Row],[PlantationDate]]))</f>
        <v>1 2025</v>
      </c>
      <c r="M1005" t="str">
        <f>CONCATENATE(MONTH(CompilDonnées[[#This Row],[HarvestingDate]])," ", YEAR(CompilDonnées[[#This Row],[HarvestingDate]]))</f>
        <v>3 2025</v>
      </c>
      <c r="N1005">
        <f>_xlfn.NUMBERVALUE(CompilDonnées[[#This Row],[FarmID]]&amp;CompilDonnées[[#This Row],[ModuleNumber]]&amp;CompilDonnées[[#This Row],[PlantationDate]])</f>
        <v>54545685</v>
      </c>
      <c r="O1005" t="str">
        <f>CompilDonnées[[#This Row],[FarmID]]&amp;CompilDonnées[[#This Row],[ModuleNumber]]</f>
        <v>545</v>
      </c>
      <c r="P1005" t="str">
        <f>CompilDonnées[[#This Row],[Ref_Module]]&amp;CompilDonnées[[#This Row],[HarvestingDate]]</f>
        <v>54545737</v>
      </c>
    </row>
    <row r="1006" spans="1:16">
      <c r="A1006" s="5">
        <v>45685</v>
      </c>
      <c r="B1006">
        <v>53</v>
      </c>
      <c r="C1006" t="s">
        <v>83</v>
      </c>
      <c r="D1006">
        <v>5</v>
      </c>
      <c r="E1006">
        <v>100</v>
      </c>
      <c r="F1006" t="s">
        <v>1</v>
      </c>
      <c r="G1006" s="6">
        <v>45727</v>
      </c>
      <c r="H1006">
        <v>42</v>
      </c>
      <c r="I1006">
        <f>ROUND(CompilDonnées[[#This Row],[CultureDuration_days]]/7,0)</f>
        <v>6</v>
      </c>
      <c r="J1006">
        <v>3137</v>
      </c>
      <c r="K1006" t="str">
        <f>_xlfn.CONCAT(WEEKNUM(CompilDonnées[[#This Row],[PlantationDate]]), " ", YEAR(CompilDonnées[[#This Row],[PlantationDate]]))</f>
        <v>5 2025</v>
      </c>
      <c r="L1006" t="str">
        <f>CONCATENATE(MONTH(CompilDonnées[[#This Row],[PlantationDate]])," ", YEAR(CompilDonnées[[#This Row],[PlantationDate]]))</f>
        <v>1 2025</v>
      </c>
      <c r="M1006" t="str">
        <f>CONCATENATE(MONTH(CompilDonnées[[#This Row],[HarvestingDate]])," ", YEAR(CompilDonnées[[#This Row],[HarvestingDate]]))</f>
        <v>3 2025</v>
      </c>
      <c r="N1006">
        <f>_xlfn.NUMBERVALUE(CompilDonnées[[#This Row],[FarmID]]&amp;CompilDonnées[[#This Row],[ModuleNumber]]&amp;CompilDonnées[[#This Row],[PlantationDate]])</f>
        <v>53545685</v>
      </c>
      <c r="O1006" t="str">
        <f>CompilDonnées[[#This Row],[FarmID]]&amp;CompilDonnées[[#This Row],[ModuleNumber]]</f>
        <v>535</v>
      </c>
      <c r="P1006" t="str">
        <f>CompilDonnées[[#This Row],[Ref_Module]]&amp;CompilDonnées[[#This Row],[HarvestingDate]]</f>
        <v>53545727</v>
      </c>
    </row>
    <row r="1007" spans="1:16">
      <c r="A1007" s="5">
        <v>45685</v>
      </c>
      <c r="B1007">
        <v>39</v>
      </c>
      <c r="C1007" t="s">
        <v>81</v>
      </c>
      <c r="D1007">
        <v>6</v>
      </c>
      <c r="E1007">
        <v>100</v>
      </c>
      <c r="F1007" t="s">
        <v>1</v>
      </c>
      <c r="G1007" s="6">
        <v>45738</v>
      </c>
      <c r="H1007">
        <v>53</v>
      </c>
      <c r="I1007">
        <f>ROUND(CompilDonnées[[#This Row],[CultureDuration_days]]/7,0)</f>
        <v>8</v>
      </c>
      <c r="J1007">
        <v>3633</v>
      </c>
      <c r="K1007" t="str">
        <f>_xlfn.CONCAT(WEEKNUM(CompilDonnées[[#This Row],[PlantationDate]]), " ", YEAR(CompilDonnées[[#This Row],[PlantationDate]]))</f>
        <v>5 2025</v>
      </c>
      <c r="L1007" t="str">
        <f>CONCATENATE(MONTH(CompilDonnées[[#This Row],[PlantationDate]])," ", YEAR(CompilDonnées[[#This Row],[PlantationDate]]))</f>
        <v>1 2025</v>
      </c>
      <c r="M1007" t="str">
        <f>CONCATENATE(MONTH(CompilDonnées[[#This Row],[HarvestingDate]])," ", YEAR(CompilDonnées[[#This Row],[HarvestingDate]]))</f>
        <v>3 2025</v>
      </c>
      <c r="N1007">
        <f>_xlfn.NUMBERVALUE(CompilDonnées[[#This Row],[FarmID]]&amp;CompilDonnées[[#This Row],[ModuleNumber]]&amp;CompilDonnées[[#This Row],[PlantationDate]])</f>
        <v>39645685</v>
      </c>
      <c r="O1007" t="str">
        <f>CompilDonnées[[#This Row],[FarmID]]&amp;CompilDonnées[[#This Row],[ModuleNumber]]</f>
        <v>396</v>
      </c>
      <c r="P1007" t="str">
        <f>CompilDonnées[[#This Row],[Ref_Module]]&amp;CompilDonnées[[#This Row],[HarvestingDate]]</f>
        <v>39645738</v>
      </c>
    </row>
    <row r="1008" spans="1:16">
      <c r="A1008" s="5">
        <v>45685</v>
      </c>
      <c r="B1008">
        <v>40</v>
      </c>
      <c r="C1008" t="s">
        <v>82</v>
      </c>
      <c r="D1008">
        <v>5</v>
      </c>
      <c r="E1008">
        <v>100</v>
      </c>
      <c r="F1008" t="s">
        <v>1</v>
      </c>
      <c r="G1008" s="6">
        <v>45738</v>
      </c>
      <c r="H1008">
        <v>53</v>
      </c>
      <c r="I1008">
        <f>ROUND(CompilDonnées[[#This Row],[CultureDuration_days]]/7,0)</f>
        <v>8</v>
      </c>
      <c r="J1008">
        <v>3840</v>
      </c>
      <c r="K1008" t="str">
        <f>_xlfn.CONCAT(WEEKNUM(CompilDonnées[[#This Row],[PlantationDate]]), " ", YEAR(CompilDonnées[[#This Row],[PlantationDate]]))</f>
        <v>5 2025</v>
      </c>
      <c r="L1008" t="str">
        <f>CONCATENATE(MONTH(CompilDonnées[[#This Row],[PlantationDate]])," ", YEAR(CompilDonnées[[#This Row],[PlantationDate]]))</f>
        <v>1 2025</v>
      </c>
      <c r="M1008" t="str">
        <f>CONCATENATE(MONTH(CompilDonnées[[#This Row],[HarvestingDate]])," ", YEAR(CompilDonnées[[#This Row],[HarvestingDate]]))</f>
        <v>3 2025</v>
      </c>
      <c r="N1008">
        <f>_xlfn.NUMBERVALUE(CompilDonnées[[#This Row],[FarmID]]&amp;CompilDonnées[[#This Row],[ModuleNumber]]&amp;CompilDonnées[[#This Row],[PlantationDate]])</f>
        <v>40545685</v>
      </c>
      <c r="O1008" t="str">
        <f>CompilDonnées[[#This Row],[FarmID]]&amp;CompilDonnées[[#This Row],[ModuleNumber]]</f>
        <v>405</v>
      </c>
      <c r="P1008" t="str">
        <f>CompilDonnées[[#This Row],[Ref_Module]]&amp;CompilDonnées[[#This Row],[HarvestingDate]]</f>
        <v>40545738</v>
      </c>
    </row>
    <row r="1009" spans="1:16">
      <c r="A1009" s="5">
        <v>45685</v>
      </c>
      <c r="B1009">
        <v>33</v>
      </c>
      <c r="C1009" t="s">
        <v>104</v>
      </c>
      <c r="D1009">
        <v>5</v>
      </c>
      <c r="E1009">
        <v>100</v>
      </c>
      <c r="F1009" t="s">
        <v>1</v>
      </c>
      <c r="G1009" s="6">
        <v>45738</v>
      </c>
      <c r="H1009">
        <v>53</v>
      </c>
      <c r="I1009">
        <f>ROUND(CompilDonnées[[#This Row],[CultureDuration_days]]/7,0)</f>
        <v>8</v>
      </c>
      <c r="J1009">
        <v>3162</v>
      </c>
      <c r="K1009" t="str">
        <f>_xlfn.CONCAT(WEEKNUM(CompilDonnées[[#This Row],[PlantationDate]]), " ", YEAR(CompilDonnées[[#This Row],[PlantationDate]]))</f>
        <v>5 2025</v>
      </c>
      <c r="L1009" t="str">
        <f>CONCATENATE(MONTH(CompilDonnées[[#This Row],[PlantationDate]])," ", YEAR(CompilDonnées[[#This Row],[PlantationDate]]))</f>
        <v>1 2025</v>
      </c>
      <c r="M1009" t="str">
        <f>CONCATENATE(MONTH(CompilDonnées[[#This Row],[HarvestingDate]])," ", YEAR(CompilDonnées[[#This Row],[HarvestingDate]]))</f>
        <v>3 2025</v>
      </c>
      <c r="N1009">
        <f>_xlfn.NUMBERVALUE(CompilDonnées[[#This Row],[FarmID]]&amp;CompilDonnées[[#This Row],[ModuleNumber]]&amp;CompilDonnées[[#This Row],[PlantationDate]])</f>
        <v>33545685</v>
      </c>
      <c r="O1009" t="str">
        <f>CompilDonnées[[#This Row],[FarmID]]&amp;CompilDonnées[[#This Row],[ModuleNumber]]</f>
        <v>335</v>
      </c>
      <c r="P1009" t="str">
        <f>CompilDonnées[[#This Row],[Ref_Module]]&amp;CompilDonnées[[#This Row],[HarvestingDate]]</f>
        <v>33545738</v>
      </c>
    </row>
    <row r="1010" spans="1:16">
      <c r="A1010" s="5">
        <v>45685</v>
      </c>
      <c r="B1010">
        <v>27</v>
      </c>
      <c r="C1010" t="s">
        <v>88</v>
      </c>
      <c r="D1010">
        <v>2</v>
      </c>
      <c r="E1010">
        <v>100</v>
      </c>
      <c r="F1010" t="s">
        <v>1</v>
      </c>
      <c r="G1010" s="6">
        <v>45726</v>
      </c>
      <c r="H1010">
        <v>41</v>
      </c>
      <c r="I1010">
        <f>ROUND(CompilDonnées[[#This Row],[CultureDuration_days]]/7,0)</f>
        <v>6</v>
      </c>
      <c r="J1010">
        <v>3482</v>
      </c>
      <c r="K1010" t="str">
        <f>_xlfn.CONCAT(WEEKNUM(CompilDonnées[[#This Row],[PlantationDate]]), " ", YEAR(CompilDonnées[[#This Row],[PlantationDate]]))</f>
        <v>5 2025</v>
      </c>
      <c r="L1010" t="str">
        <f>CONCATENATE(MONTH(CompilDonnées[[#This Row],[PlantationDate]])," ", YEAR(CompilDonnées[[#This Row],[PlantationDate]]))</f>
        <v>1 2025</v>
      </c>
      <c r="M1010" t="str">
        <f>CONCATENATE(MONTH(CompilDonnées[[#This Row],[HarvestingDate]])," ", YEAR(CompilDonnées[[#This Row],[HarvestingDate]]))</f>
        <v>3 2025</v>
      </c>
      <c r="N1010">
        <f>_xlfn.NUMBERVALUE(CompilDonnées[[#This Row],[FarmID]]&amp;CompilDonnées[[#This Row],[ModuleNumber]]&amp;CompilDonnées[[#This Row],[PlantationDate]])</f>
        <v>27245685</v>
      </c>
      <c r="O1010" t="str">
        <f>CompilDonnées[[#This Row],[FarmID]]&amp;CompilDonnées[[#This Row],[ModuleNumber]]</f>
        <v>272</v>
      </c>
      <c r="P1010" t="str">
        <f>CompilDonnées[[#This Row],[Ref_Module]]&amp;CompilDonnées[[#This Row],[HarvestingDate]]</f>
        <v>27245726</v>
      </c>
    </row>
    <row r="1011" spans="1:16">
      <c r="A1011" s="5">
        <v>45685</v>
      </c>
      <c r="B1011">
        <v>26</v>
      </c>
      <c r="C1011" t="s">
        <v>97</v>
      </c>
      <c r="D1011">
        <v>5</v>
      </c>
      <c r="E1011">
        <v>100</v>
      </c>
      <c r="F1011" t="s">
        <v>1</v>
      </c>
      <c r="G1011" s="6">
        <v>45738</v>
      </c>
      <c r="H1011">
        <v>53</v>
      </c>
      <c r="I1011">
        <f>ROUND(CompilDonnées[[#This Row],[CultureDuration_days]]/7,0)</f>
        <v>8</v>
      </c>
      <c r="J1011">
        <v>3860</v>
      </c>
      <c r="K1011" t="str">
        <f>_xlfn.CONCAT(WEEKNUM(CompilDonnées[[#This Row],[PlantationDate]]), " ", YEAR(CompilDonnées[[#This Row],[PlantationDate]]))</f>
        <v>5 2025</v>
      </c>
      <c r="L1011" t="str">
        <f>CONCATENATE(MONTH(CompilDonnées[[#This Row],[PlantationDate]])," ", YEAR(CompilDonnées[[#This Row],[PlantationDate]]))</f>
        <v>1 2025</v>
      </c>
      <c r="M1011" t="str">
        <f>CONCATENATE(MONTH(CompilDonnées[[#This Row],[HarvestingDate]])," ", YEAR(CompilDonnées[[#This Row],[HarvestingDate]]))</f>
        <v>3 2025</v>
      </c>
      <c r="N1011">
        <f>_xlfn.NUMBERVALUE(CompilDonnées[[#This Row],[FarmID]]&amp;CompilDonnées[[#This Row],[ModuleNumber]]&amp;CompilDonnées[[#This Row],[PlantationDate]])</f>
        <v>26545685</v>
      </c>
      <c r="O1011" t="str">
        <f>CompilDonnées[[#This Row],[FarmID]]&amp;CompilDonnées[[#This Row],[ModuleNumber]]</f>
        <v>265</v>
      </c>
      <c r="P1011" t="str">
        <f>CompilDonnées[[#This Row],[Ref_Module]]&amp;CompilDonnées[[#This Row],[HarvestingDate]]</f>
        <v>26545738</v>
      </c>
    </row>
    <row r="1012" spans="1:16">
      <c r="A1012" s="5">
        <v>45685</v>
      </c>
      <c r="B1012">
        <v>19</v>
      </c>
      <c r="C1012" t="s">
        <v>108</v>
      </c>
      <c r="D1012">
        <v>2</v>
      </c>
      <c r="E1012">
        <v>100</v>
      </c>
      <c r="F1012" t="s">
        <v>1</v>
      </c>
      <c r="G1012" s="6">
        <v>45726</v>
      </c>
      <c r="H1012">
        <v>41</v>
      </c>
      <c r="I1012">
        <f>ROUND(CompilDonnées[[#This Row],[CultureDuration_days]]/7,0)</f>
        <v>6</v>
      </c>
      <c r="J1012">
        <v>3287</v>
      </c>
      <c r="K1012" t="str">
        <f>_xlfn.CONCAT(WEEKNUM(CompilDonnées[[#This Row],[PlantationDate]]), " ", YEAR(CompilDonnées[[#This Row],[PlantationDate]]))</f>
        <v>5 2025</v>
      </c>
      <c r="L1012" t="str">
        <f>CONCATENATE(MONTH(CompilDonnées[[#This Row],[PlantationDate]])," ", YEAR(CompilDonnées[[#This Row],[PlantationDate]]))</f>
        <v>1 2025</v>
      </c>
      <c r="M1012" t="str">
        <f>CONCATENATE(MONTH(CompilDonnées[[#This Row],[HarvestingDate]])," ", YEAR(CompilDonnées[[#This Row],[HarvestingDate]]))</f>
        <v>3 2025</v>
      </c>
      <c r="N1012">
        <f>_xlfn.NUMBERVALUE(CompilDonnées[[#This Row],[FarmID]]&amp;CompilDonnées[[#This Row],[ModuleNumber]]&amp;CompilDonnées[[#This Row],[PlantationDate]])</f>
        <v>19245685</v>
      </c>
      <c r="O1012" t="str">
        <f>CompilDonnées[[#This Row],[FarmID]]&amp;CompilDonnées[[#This Row],[ModuleNumber]]</f>
        <v>192</v>
      </c>
      <c r="P1012" t="str">
        <f>CompilDonnées[[#This Row],[Ref_Module]]&amp;CompilDonnées[[#This Row],[HarvestingDate]]</f>
        <v>19245726</v>
      </c>
    </row>
    <row r="1013" spans="1:16">
      <c r="A1013" s="5">
        <v>45685</v>
      </c>
      <c r="B1013">
        <v>2</v>
      </c>
      <c r="C1013" t="s">
        <v>119</v>
      </c>
      <c r="D1013">
        <v>5</v>
      </c>
      <c r="E1013">
        <v>100</v>
      </c>
      <c r="F1013" t="s">
        <v>1</v>
      </c>
      <c r="G1013" s="6">
        <v>45726</v>
      </c>
      <c r="H1013">
        <v>41</v>
      </c>
      <c r="I1013">
        <f>ROUND(CompilDonnées[[#This Row],[CultureDuration_days]]/7,0)</f>
        <v>6</v>
      </c>
      <c r="J1013">
        <v>3434</v>
      </c>
      <c r="K1013" t="str">
        <f>_xlfn.CONCAT(WEEKNUM(CompilDonnées[[#This Row],[PlantationDate]]), " ", YEAR(CompilDonnées[[#This Row],[PlantationDate]]))</f>
        <v>5 2025</v>
      </c>
      <c r="L1013" t="str">
        <f>CONCATENATE(MONTH(CompilDonnées[[#This Row],[PlantationDate]])," ", YEAR(CompilDonnées[[#This Row],[PlantationDate]]))</f>
        <v>1 2025</v>
      </c>
      <c r="M1013" t="str">
        <f>CONCATENATE(MONTH(CompilDonnées[[#This Row],[HarvestingDate]])," ", YEAR(CompilDonnées[[#This Row],[HarvestingDate]]))</f>
        <v>3 2025</v>
      </c>
      <c r="N1013">
        <f>_xlfn.NUMBERVALUE(CompilDonnées[[#This Row],[FarmID]]&amp;CompilDonnées[[#This Row],[ModuleNumber]]&amp;CompilDonnées[[#This Row],[PlantationDate]])</f>
        <v>2545685</v>
      </c>
      <c r="O1013" t="str">
        <f>CompilDonnées[[#This Row],[FarmID]]&amp;CompilDonnées[[#This Row],[ModuleNumber]]</f>
        <v>25</v>
      </c>
      <c r="P1013" t="str">
        <f>CompilDonnées[[#This Row],[Ref_Module]]&amp;CompilDonnées[[#This Row],[HarvestingDate]]</f>
        <v>2545726</v>
      </c>
    </row>
    <row r="1014" spans="1:16">
      <c r="A1014" s="5">
        <v>45685</v>
      </c>
      <c r="B1014">
        <v>1</v>
      </c>
      <c r="C1014" t="s">
        <v>111</v>
      </c>
      <c r="D1014">
        <v>6</v>
      </c>
      <c r="E1014">
        <v>100</v>
      </c>
      <c r="F1014" t="s">
        <v>1</v>
      </c>
      <c r="G1014" s="6">
        <v>45726</v>
      </c>
      <c r="H1014">
        <v>41</v>
      </c>
      <c r="I1014">
        <f>ROUND(CompilDonnées[[#This Row],[CultureDuration_days]]/7,0)</f>
        <v>6</v>
      </c>
      <c r="J1014">
        <v>3781</v>
      </c>
      <c r="K1014" t="str">
        <f>_xlfn.CONCAT(WEEKNUM(CompilDonnées[[#This Row],[PlantationDate]]), " ", YEAR(CompilDonnées[[#This Row],[PlantationDate]]))</f>
        <v>5 2025</v>
      </c>
      <c r="L1014" t="str">
        <f>CONCATENATE(MONTH(CompilDonnées[[#This Row],[PlantationDate]])," ", YEAR(CompilDonnées[[#This Row],[PlantationDate]]))</f>
        <v>1 2025</v>
      </c>
      <c r="M1014" t="str">
        <f>CONCATENATE(MONTH(CompilDonnées[[#This Row],[HarvestingDate]])," ", YEAR(CompilDonnées[[#This Row],[HarvestingDate]]))</f>
        <v>3 2025</v>
      </c>
      <c r="N1014">
        <f>_xlfn.NUMBERVALUE(CompilDonnées[[#This Row],[FarmID]]&amp;CompilDonnées[[#This Row],[ModuleNumber]]&amp;CompilDonnées[[#This Row],[PlantationDate]])</f>
        <v>1645685</v>
      </c>
      <c r="O1014" t="str">
        <f>CompilDonnées[[#This Row],[FarmID]]&amp;CompilDonnées[[#This Row],[ModuleNumber]]</f>
        <v>16</v>
      </c>
      <c r="P1014" t="str">
        <f>CompilDonnées[[#This Row],[Ref_Module]]&amp;CompilDonnées[[#This Row],[HarvestingDate]]</f>
        <v>1645726</v>
      </c>
    </row>
    <row r="1015" spans="1:16">
      <c r="A1015" s="5">
        <v>45685</v>
      </c>
      <c r="B1015">
        <v>7</v>
      </c>
      <c r="C1015" t="s">
        <v>50</v>
      </c>
      <c r="D1015">
        <v>5</v>
      </c>
      <c r="E1015">
        <v>100</v>
      </c>
      <c r="F1015" t="s">
        <v>1</v>
      </c>
      <c r="G1015" s="6">
        <v>45726</v>
      </c>
      <c r="H1015">
        <v>41</v>
      </c>
      <c r="I1015">
        <f>ROUND(CompilDonnées[[#This Row],[CultureDuration_days]]/7,0)</f>
        <v>6</v>
      </c>
      <c r="J1015">
        <v>3252</v>
      </c>
      <c r="K1015" t="str">
        <f>_xlfn.CONCAT(WEEKNUM(CompilDonnées[[#This Row],[PlantationDate]]), " ", YEAR(CompilDonnées[[#This Row],[PlantationDate]]))</f>
        <v>5 2025</v>
      </c>
      <c r="L1015" t="str">
        <f>CONCATENATE(MONTH(CompilDonnées[[#This Row],[PlantationDate]])," ", YEAR(CompilDonnées[[#This Row],[PlantationDate]]))</f>
        <v>1 2025</v>
      </c>
      <c r="M1015" t="str">
        <f>CONCATENATE(MONTH(CompilDonnées[[#This Row],[HarvestingDate]])," ", YEAR(CompilDonnées[[#This Row],[HarvestingDate]]))</f>
        <v>3 2025</v>
      </c>
      <c r="N1015">
        <f>_xlfn.NUMBERVALUE(CompilDonnées[[#This Row],[FarmID]]&amp;CompilDonnées[[#This Row],[ModuleNumber]]&amp;CompilDonnées[[#This Row],[PlantationDate]])</f>
        <v>7545685</v>
      </c>
      <c r="O1015" t="str">
        <f>CompilDonnées[[#This Row],[FarmID]]&amp;CompilDonnées[[#This Row],[ModuleNumber]]</f>
        <v>75</v>
      </c>
      <c r="P1015" t="str">
        <f>CompilDonnées[[#This Row],[Ref_Module]]&amp;CompilDonnées[[#This Row],[HarvestingDate]]</f>
        <v>7545726</v>
      </c>
    </row>
    <row r="1016" spans="1:16">
      <c r="A1016" s="5">
        <v>45685</v>
      </c>
      <c r="B1016">
        <v>11</v>
      </c>
      <c r="C1016" t="s">
        <v>106</v>
      </c>
      <c r="D1016">
        <v>4</v>
      </c>
      <c r="E1016">
        <v>100</v>
      </c>
      <c r="F1016" t="s">
        <v>1</v>
      </c>
      <c r="G1016" s="6">
        <v>45726</v>
      </c>
      <c r="H1016">
        <v>41</v>
      </c>
      <c r="I1016">
        <f>ROUND(CompilDonnées[[#This Row],[CultureDuration_days]]/7,0)</f>
        <v>6</v>
      </c>
      <c r="J1016">
        <v>2925</v>
      </c>
      <c r="K1016" t="str">
        <f>_xlfn.CONCAT(WEEKNUM(CompilDonnées[[#This Row],[PlantationDate]]), " ", YEAR(CompilDonnées[[#This Row],[PlantationDate]]))</f>
        <v>5 2025</v>
      </c>
      <c r="L1016" t="str">
        <f>CONCATENATE(MONTH(CompilDonnées[[#This Row],[PlantationDate]])," ", YEAR(CompilDonnées[[#This Row],[PlantationDate]]))</f>
        <v>1 2025</v>
      </c>
      <c r="M1016" t="str">
        <f>CONCATENATE(MONTH(CompilDonnées[[#This Row],[HarvestingDate]])," ", YEAR(CompilDonnées[[#This Row],[HarvestingDate]]))</f>
        <v>3 2025</v>
      </c>
      <c r="N1016">
        <f>_xlfn.NUMBERVALUE(CompilDonnées[[#This Row],[FarmID]]&amp;CompilDonnées[[#This Row],[ModuleNumber]]&amp;CompilDonnées[[#This Row],[PlantationDate]])</f>
        <v>11445685</v>
      </c>
      <c r="O1016" t="str">
        <f>CompilDonnées[[#This Row],[FarmID]]&amp;CompilDonnées[[#This Row],[ModuleNumber]]</f>
        <v>114</v>
      </c>
      <c r="P1016" t="str">
        <f>CompilDonnées[[#This Row],[Ref_Module]]&amp;CompilDonnées[[#This Row],[HarvestingDate]]</f>
        <v>11445726</v>
      </c>
    </row>
    <row r="1017" spans="1:16">
      <c r="A1017" s="5">
        <v>45685</v>
      </c>
      <c r="B1017">
        <v>28</v>
      </c>
      <c r="C1017" t="s">
        <v>77</v>
      </c>
      <c r="D1017">
        <v>5</v>
      </c>
      <c r="E1017">
        <v>100</v>
      </c>
      <c r="F1017" t="s">
        <v>1</v>
      </c>
      <c r="G1017" s="6">
        <v>45738</v>
      </c>
      <c r="H1017">
        <v>53</v>
      </c>
      <c r="I1017">
        <f>ROUND(CompilDonnées[[#This Row],[CultureDuration_days]]/7,0)</f>
        <v>8</v>
      </c>
      <c r="J1017">
        <v>2661</v>
      </c>
      <c r="K1017" t="str">
        <f>_xlfn.CONCAT(WEEKNUM(CompilDonnées[[#This Row],[PlantationDate]]), " ", YEAR(CompilDonnées[[#This Row],[PlantationDate]]))</f>
        <v>5 2025</v>
      </c>
      <c r="L1017" t="str">
        <f>CONCATENATE(MONTH(CompilDonnées[[#This Row],[PlantationDate]])," ", YEAR(CompilDonnées[[#This Row],[PlantationDate]]))</f>
        <v>1 2025</v>
      </c>
      <c r="M1017" t="str">
        <f>CONCATENATE(MONTH(CompilDonnées[[#This Row],[HarvestingDate]])," ", YEAR(CompilDonnées[[#This Row],[HarvestingDate]]))</f>
        <v>3 2025</v>
      </c>
      <c r="N1017">
        <f>_xlfn.NUMBERVALUE(CompilDonnées[[#This Row],[FarmID]]&amp;CompilDonnées[[#This Row],[ModuleNumber]]&amp;CompilDonnées[[#This Row],[PlantationDate]])</f>
        <v>28545685</v>
      </c>
      <c r="O1017" t="str">
        <f>CompilDonnées[[#This Row],[FarmID]]&amp;CompilDonnées[[#This Row],[ModuleNumber]]</f>
        <v>285</v>
      </c>
      <c r="P1017" t="str">
        <f>CompilDonnées[[#This Row],[Ref_Module]]&amp;CompilDonnées[[#This Row],[HarvestingDate]]</f>
        <v>28545738</v>
      </c>
    </row>
    <row r="1018" spans="1:16">
      <c r="A1018" s="5">
        <v>45685</v>
      </c>
      <c r="B1018">
        <v>34</v>
      </c>
      <c r="C1018" t="s">
        <v>68</v>
      </c>
      <c r="D1018">
        <v>6</v>
      </c>
      <c r="E1018">
        <v>100</v>
      </c>
      <c r="F1018" t="s">
        <v>1</v>
      </c>
      <c r="G1018" s="6">
        <v>45738</v>
      </c>
      <c r="H1018">
        <v>53</v>
      </c>
      <c r="I1018">
        <f>ROUND(CompilDonnées[[#This Row],[CultureDuration_days]]/7,0)</f>
        <v>8</v>
      </c>
      <c r="J1018">
        <v>3087</v>
      </c>
      <c r="K1018" t="str">
        <f>_xlfn.CONCAT(WEEKNUM(CompilDonnées[[#This Row],[PlantationDate]]), " ", YEAR(CompilDonnées[[#This Row],[PlantationDate]]))</f>
        <v>5 2025</v>
      </c>
      <c r="L1018" t="str">
        <f>CONCATENATE(MONTH(CompilDonnées[[#This Row],[PlantationDate]])," ", YEAR(CompilDonnées[[#This Row],[PlantationDate]]))</f>
        <v>1 2025</v>
      </c>
      <c r="M1018" t="str">
        <f>CONCATENATE(MONTH(CompilDonnées[[#This Row],[HarvestingDate]])," ", YEAR(CompilDonnées[[#This Row],[HarvestingDate]]))</f>
        <v>3 2025</v>
      </c>
      <c r="N1018">
        <f>_xlfn.NUMBERVALUE(CompilDonnées[[#This Row],[FarmID]]&amp;CompilDonnées[[#This Row],[ModuleNumber]]&amp;CompilDonnées[[#This Row],[PlantationDate]])</f>
        <v>34645685</v>
      </c>
      <c r="O1018" t="str">
        <f>CompilDonnées[[#This Row],[FarmID]]&amp;CompilDonnées[[#This Row],[ModuleNumber]]</f>
        <v>346</v>
      </c>
      <c r="P1018" t="str">
        <f>CompilDonnées[[#This Row],[Ref_Module]]&amp;CompilDonnées[[#This Row],[HarvestingDate]]</f>
        <v>34645738</v>
      </c>
    </row>
    <row r="1019" spans="1:16">
      <c r="A1019" s="5">
        <v>45685</v>
      </c>
      <c r="B1019">
        <v>8</v>
      </c>
      <c r="C1019" t="s">
        <v>57</v>
      </c>
      <c r="D1019">
        <v>2</v>
      </c>
      <c r="E1019">
        <v>100</v>
      </c>
      <c r="F1019" t="s">
        <v>1</v>
      </c>
      <c r="G1019" s="6">
        <v>45722</v>
      </c>
      <c r="H1019">
        <v>37</v>
      </c>
      <c r="I1019">
        <f>ROUND(CompilDonnées[[#This Row],[CultureDuration_days]]/7,0)</f>
        <v>5</v>
      </c>
      <c r="J1019">
        <v>3074</v>
      </c>
      <c r="K1019" t="str">
        <f>_xlfn.CONCAT(WEEKNUM(CompilDonnées[[#This Row],[PlantationDate]]), " ", YEAR(CompilDonnées[[#This Row],[PlantationDate]]))</f>
        <v>5 2025</v>
      </c>
      <c r="L1019" t="str">
        <f>CONCATENATE(MONTH(CompilDonnées[[#This Row],[PlantationDate]])," ", YEAR(CompilDonnées[[#This Row],[PlantationDate]]))</f>
        <v>1 2025</v>
      </c>
      <c r="M1019" t="str">
        <f>CONCATENATE(MONTH(CompilDonnées[[#This Row],[HarvestingDate]])," ", YEAR(CompilDonnées[[#This Row],[HarvestingDate]]))</f>
        <v>3 2025</v>
      </c>
      <c r="N1019">
        <f>_xlfn.NUMBERVALUE(CompilDonnées[[#This Row],[FarmID]]&amp;CompilDonnées[[#This Row],[ModuleNumber]]&amp;CompilDonnées[[#This Row],[PlantationDate]])</f>
        <v>8245685</v>
      </c>
      <c r="O1019" t="str">
        <f>CompilDonnées[[#This Row],[FarmID]]&amp;CompilDonnées[[#This Row],[ModuleNumber]]</f>
        <v>82</v>
      </c>
      <c r="P1019" t="str">
        <f>CompilDonnées[[#This Row],[Ref_Module]]&amp;CompilDonnées[[#This Row],[HarvestingDate]]</f>
        <v>8245722</v>
      </c>
    </row>
    <row r="1020" spans="1:16">
      <c r="A1020" s="5">
        <v>45685</v>
      </c>
      <c r="B1020">
        <v>113</v>
      </c>
      <c r="C1020" t="s">
        <v>16</v>
      </c>
      <c r="D1020">
        <v>2</v>
      </c>
      <c r="E1020">
        <v>100</v>
      </c>
      <c r="F1020" t="s">
        <v>1</v>
      </c>
      <c r="G1020" s="6">
        <v>45729</v>
      </c>
      <c r="H1020">
        <v>44</v>
      </c>
      <c r="I1020">
        <f>ROUND(CompilDonnées[[#This Row],[CultureDuration_days]]/7,0)</f>
        <v>6</v>
      </c>
      <c r="J1020">
        <v>3120</v>
      </c>
      <c r="K1020" t="str">
        <f>_xlfn.CONCAT(WEEKNUM(CompilDonnées[[#This Row],[PlantationDate]]), " ", YEAR(CompilDonnées[[#This Row],[PlantationDate]]))</f>
        <v>5 2025</v>
      </c>
      <c r="L1020" t="str">
        <f>CONCATENATE(MONTH(CompilDonnées[[#This Row],[PlantationDate]])," ", YEAR(CompilDonnées[[#This Row],[PlantationDate]]))</f>
        <v>1 2025</v>
      </c>
      <c r="M1020" t="str">
        <f>CONCATENATE(MONTH(CompilDonnées[[#This Row],[HarvestingDate]])," ", YEAR(CompilDonnées[[#This Row],[HarvestingDate]]))</f>
        <v>3 2025</v>
      </c>
      <c r="N1020">
        <f>_xlfn.NUMBERVALUE(CompilDonnées[[#This Row],[FarmID]]&amp;CompilDonnées[[#This Row],[ModuleNumber]]&amp;CompilDonnées[[#This Row],[PlantationDate]])</f>
        <v>113245685</v>
      </c>
      <c r="O1020" t="str">
        <f>CompilDonnées[[#This Row],[FarmID]]&amp;CompilDonnées[[#This Row],[ModuleNumber]]</f>
        <v>1132</v>
      </c>
      <c r="P1020" t="str">
        <f>CompilDonnées[[#This Row],[Ref_Module]]&amp;CompilDonnées[[#This Row],[HarvestingDate]]</f>
        <v>113245729</v>
      </c>
    </row>
    <row r="1021" spans="1:16">
      <c r="A1021" s="5">
        <v>45685</v>
      </c>
      <c r="B1021">
        <v>112</v>
      </c>
      <c r="C1021" t="s">
        <v>15</v>
      </c>
      <c r="D1021">
        <v>1</v>
      </c>
      <c r="E1021">
        <v>100</v>
      </c>
      <c r="F1021" t="s">
        <v>1</v>
      </c>
      <c r="G1021" s="6">
        <v>45730</v>
      </c>
      <c r="H1021">
        <v>45</v>
      </c>
      <c r="I1021">
        <f>ROUND(CompilDonnées[[#This Row],[CultureDuration_days]]/7,0)</f>
        <v>6</v>
      </c>
      <c r="J1021">
        <v>2705</v>
      </c>
      <c r="K1021" t="str">
        <f>_xlfn.CONCAT(WEEKNUM(CompilDonnées[[#This Row],[PlantationDate]]), " ", YEAR(CompilDonnées[[#This Row],[PlantationDate]]))</f>
        <v>5 2025</v>
      </c>
      <c r="L1021" t="str">
        <f>CONCATENATE(MONTH(CompilDonnées[[#This Row],[PlantationDate]])," ", YEAR(CompilDonnées[[#This Row],[PlantationDate]]))</f>
        <v>1 2025</v>
      </c>
      <c r="M1021" t="str">
        <f>CONCATENATE(MONTH(CompilDonnées[[#This Row],[HarvestingDate]])," ", YEAR(CompilDonnées[[#This Row],[HarvestingDate]]))</f>
        <v>3 2025</v>
      </c>
      <c r="N1021">
        <f>_xlfn.NUMBERVALUE(CompilDonnées[[#This Row],[FarmID]]&amp;CompilDonnées[[#This Row],[ModuleNumber]]&amp;CompilDonnées[[#This Row],[PlantationDate]])</f>
        <v>112145685</v>
      </c>
      <c r="O1021" t="str">
        <f>CompilDonnées[[#This Row],[FarmID]]&amp;CompilDonnées[[#This Row],[ModuleNumber]]</f>
        <v>1121</v>
      </c>
      <c r="P1021" t="str">
        <f>CompilDonnées[[#This Row],[Ref_Module]]&amp;CompilDonnées[[#This Row],[HarvestingDate]]</f>
        <v>112145730</v>
      </c>
    </row>
    <row r="1022" spans="1:16">
      <c r="A1022" s="5">
        <v>45685</v>
      </c>
      <c r="B1022">
        <v>111</v>
      </c>
      <c r="C1022" t="s">
        <v>41</v>
      </c>
      <c r="D1022">
        <v>4</v>
      </c>
      <c r="E1022">
        <v>100</v>
      </c>
      <c r="F1022" t="s">
        <v>1</v>
      </c>
      <c r="G1022" s="6">
        <v>45719</v>
      </c>
      <c r="H1022">
        <v>34</v>
      </c>
      <c r="I1022">
        <f>ROUND(CompilDonnées[[#This Row],[CultureDuration_days]]/7,0)</f>
        <v>5</v>
      </c>
      <c r="J1022">
        <v>2753</v>
      </c>
      <c r="K1022" t="str">
        <f>_xlfn.CONCAT(WEEKNUM(CompilDonnées[[#This Row],[PlantationDate]]), " ", YEAR(CompilDonnées[[#This Row],[PlantationDate]]))</f>
        <v>5 2025</v>
      </c>
      <c r="L1022" t="str">
        <f>CONCATENATE(MONTH(CompilDonnées[[#This Row],[PlantationDate]])," ", YEAR(CompilDonnées[[#This Row],[PlantationDate]]))</f>
        <v>1 2025</v>
      </c>
      <c r="M1022" t="str">
        <f>CONCATENATE(MONTH(CompilDonnées[[#This Row],[HarvestingDate]])," ", YEAR(CompilDonnées[[#This Row],[HarvestingDate]]))</f>
        <v>3 2025</v>
      </c>
      <c r="N1022">
        <f>_xlfn.NUMBERVALUE(CompilDonnées[[#This Row],[FarmID]]&amp;CompilDonnées[[#This Row],[ModuleNumber]]&amp;CompilDonnées[[#This Row],[PlantationDate]])</f>
        <v>111445685</v>
      </c>
      <c r="O1022" t="str">
        <f>CompilDonnées[[#This Row],[FarmID]]&amp;CompilDonnées[[#This Row],[ModuleNumber]]</f>
        <v>1114</v>
      </c>
      <c r="P1022" t="str">
        <f>CompilDonnées[[#This Row],[Ref_Module]]&amp;CompilDonnées[[#This Row],[HarvestingDate]]</f>
        <v>111445719</v>
      </c>
    </row>
    <row r="1023" spans="1:16">
      <c r="A1023" s="5">
        <v>45685</v>
      </c>
      <c r="B1023">
        <v>110</v>
      </c>
      <c r="C1023" t="s">
        <v>14</v>
      </c>
      <c r="D1023">
        <v>6</v>
      </c>
      <c r="E1023">
        <v>100</v>
      </c>
      <c r="F1023" t="s">
        <v>1</v>
      </c>
      <c r="G1023" s="6">
        <v>45729</v>
      </c>
      <c r="H1023">
        <v>44</v>
      </c>
      <c r="I1023">
        <f>ROUND(CompilDonnées[[#This Row],[CultureDuration_days]]/7,0)</f>
        <v>6</v>
      </c>
      <c r="J1023">
        <v>3560</v>
      </c>
      <c r="K1023" t="str">
        <f>_xlfn.CONCAT(WEEKNUM(CompilDonnées[[#This Row],[PlantationDate]]), " ", YEAR(CompilDonnées[[#This Row],[PlantationDate]]))</f>
        <v>5 2025</v>
      </c>
      <c r="L1023" t="str">
        <f>CONCATENATE(MONTH(CompilDonnées[[#This Row],[PlantationDate]])," ", YEAR(CompilDonnées[[#This Row],[PlantationDate]]))</f>
        <v>1 2025</v>
      </c>
      <c r="M1023" t="str">
        <f>CONCATENATE(MONTH(CompilDonnées[[#This Row],[HarvestingDate]])," ", YEAR(CompilDonnées[[#This Row],[HarvestingDate]]))</f>
        <v>3 2025</v>
      </c>
      <c r="N1023">
        <f>_xlfn.NUMBERVALUE(CompilDonnées[[#This Row],[FarmID]]&amp;CompilDonnées[[#This Row],[ModuleNumber]]&amp;CompilDonnées[[#This Row],[PlantationDate]])</f>
        <v>110645685</v>
      </c>
      <c r="O1023" t="str">
        <f>CompilDonnées[[#This Row],[FarmID]]&amp;CompilDonnées[[#This Row],[ModuleNumber]]</f>
        <v>1106</v>
      </c>
      <c r="P1023" t="str">
        <f>CompilDonnées[[#This Row],[Ref_Module]]&amp;CompilDonnées[[#This Row],[HarvestingDate]]</f>
        <v>110645729</v>
      </c>
    </row>
    <row r="1024" spans="1:16">
      <c r="A1024" s="5">
        <v>45685</v>
      </c>
      <c r="B1024">
        <v>115</v>
      </c>
      <c r="C1024" t="s">
        <v>92</v>
      </c>
      <c r="D1024">
        <v>3</v>
      </c>
      <c r="E1024">
        <v>100</v>
      </c>
      <c r="F1024" t="s">
        <v>1</v>
      </c>
      <c r="G1024" s="6">
        <v>45729</v>
      </c>
      <c r="H1024">
        <v>44</v>
      </c>
      <c r="I1024">
        <f>ROUND(CompilDonnées[[#This Row],[CultureDuration_days]]/7,0)</f>
        <v>6</v>
      </c>
      <c r="J1024">
        <v>3196</v>
      </c>
      <c r="K1024" t="str">
        <f>_xlfn.CONCAT(WEEKNUM(CompilDonnées[[#This Row],[PlantationDate]]), " ", YEAR(CompilDonnées[[#This Row],[PlantationDate]]))</f>
        <v>5 2025</v>
      </c>
      <c r="L1024" t="str">
        <f>CONCATENATE(MONTH(CompilDonnées[[#This Row],[PlantationDate]])," ", YEAR(CompilDonnées[[#This Row],[PlantationDate]]))</f>
        <v>1 2025</v>
      </c>
      <c r="M1024" t="str">
        <f>CONCATENATE(MONTH(CompilDonnées[[#This Row],[HarvestingDate]])," ", YEAR(CompilDonnées[[#This Row],[HarvestingDate]]))</f>
        <v>3 2025</v>
      </c>
      <c r="N1024">
        <f>_xlfn.NUMBERVALUE(CompilDonnées[[#This Row],[FarmID]]&amp;CompilDonnées[[#This Row],[ModuleNumber]]&amp;CompilDonnées[[#This Row],[PlantationDate]])</f>
        <v>115345685</v>
      </c>
      <c r="O1024" t="str">
        <f>CompilDonnées[[#This Row],[FarmID]]&amp;CompilDonnées[[#This Row],[ModuleNumber]]</f>
        <v>1153</v>
      </c>
      <c r="P1024" t="str">
        <f>CompilDonnées[[#This Row],[Ref_Module]]&amp;CompilDonnées[[#This Row],[HarvestingDate]]</f>
        <v>115345729</v>
      </c>
    </row>
    <row r="1025" spans="1:16">
      <c r="A1025" s="5">
        <v>45685</v>
      </c>
      <c r="B1025">
        <v>120</v>
      </c>
      <c r="C1025" t="s">
        <v>100</v>
      </c>
      <c r="D1025">
        <v>2</v>
      </c>
      <c r="E1025">
        <v>100</v>
      </c>
      <c r="F1025" t="s">
        <v>1</v>
      </c>
      <c r="G1025" s="6">
        <v>45719</v>
      </c>
      <c r="H1025">
        <v>34</v>
      </c>
      <c r="I1025">
        <f>ROUND(CompilDonnées[[#This Row],[CultureDuration_days]]/7,0)</f>
        <v>5</v>
      </c>
      <c r="J1025">
        <v>3037</v>
      </c>
      <c r="K1025" t="str">
        <f>_xlfn.CONCAT(WEEKNUM(CompilDonnées[[#This Row],[PlantationDate]]), " ", YEAR(CompilDonnées[[#This Row],[PlantationDate]]))</f>
        <v>5 2025</v>
      </c>
      <c r="L1025" t="str">
        <f>CONCATENATE(MONTH(CompilDonnées[[#This Row],[PlantationDate]])," ", YEAR(CompilDonnées[[#This Row],[PlantationDate]]))</f>
        <v>1 2025</v>
      </c>
      <c r="M1025" t="str">
        <f>CONCATENATE(MONTH(CompilDonnées[[#This Row],[HarvestingDate]])," ", YEAR(CompilDonnées[[#This Row],[HarvestingDate]]))</f>
        <v>3 2025</v>
      </c>
      <c r="N1025">
        <f>_xlfn.NUMBERVALUE(CompilDonnées[[#This Row],[FarmID]]&amp;CompilDonnées[[#This Row],[ModuleNumber]]&amp;CompilDonnées[[#This Row],[PlantationDate]])</f>
        <v>120245685</v>
      </c>
      <c r="O1025" t="str">
        <f>CompilDonnées[[#This Row],[FarmID]]&amp;CompilDonnées[[#This Row],[ModuleNumber]]</f>
        <v>1202</v>
      </c>
      <c r="P1025" t="str">
        <f>CompilDonnées[[#This Row],[Ref_Module]]&amp;CompilDonnées[[#This Row],[HarvestingDate]]</f>
        <v>120245719</v>
      </c>
    </row>
    <row r="1026" spans="1:16">
      <c r="A1026" s="5">
        <v>45685</v>
      </c>
      <c r="B1026">
        <v>119</v>
      </c>
      <c r="C1026" t="s">
        <v>59</v>
      </c>
      <c r="D1026">
        <v>3</v>
      </c>
      <c r="E1026">
        <v>100</v>
      </c>
      <c r="F1026" t="s">
        <v>1</v>
      </c>
      <c r="G1026" s="6">
        <v>45730</v>
      </c>
      <c r="H1026">
        <v>45</v>
      </c>
      <c r="I1026">
        <f>ROUND(CompilDonnées[[#This Row],[CultureDuration_days]]/7,0)</f>
        <v>6</v>
      </c>
      <c r="J1026">
        <v>3178</v>
      </c>
      <c r="K1026" t="str">
        <f>_xlfn.CONCAT(WEEKNUM(CompilDonnées[[#This Row],[PlantationDate]]), " ", YEAR(CompilDonnées[[#This Row],[PlantationDate]]))</f>
        <v>5 2025</v>
      </c>
      <c r="L1026" t="str">
        <f>CONCATENATE(MONTH(CompilDonnées[[#This Row],[PlantationDate]])," ", YEAR(CompilDonnées[[#This Row],[PlantationDate]]))</f>
        <v>1 2025</v>
      </c>
      <c r="M1026" t="str">
        <f>CONCATENATE(MONTH(CompilDonnées[[#This Row],[HarvestingDate]])," ", YEAR(CompilDonnées[[#This Row],[HarvestingDate]]))</f>
        <v>3 2025</v>
      </c>
      <c r="N1026">
        <f>_xlfn.NUMBERVALUE(CompilDonnées[[#This Row],[FarmID]]&amp;CompilDonnées[[#This Row],[ModuleNumber]]&amp;CompilDonnées[[#This Row],[PlantationDate]])</f>
        <v>119345685</v>
      </c>
      <c r="O1026" t="str">
        <f>CompilDonnées[[#This Row],[FarmID]]&amp;CompilDonnées[[#This Row],[ModuleNumber]]</f>
        <v>1193</v>
      </c>
      <c r="P1026" t="str">
        <f>CompilDonnées[[#This Row],[Ref_Module]]&amp;CompilDonnées[[#This Row],[HarvestingDate]]</f>
        <v>119345730</v>
      </c>
    </row>
    <row r="1027" spans="1:16">
      <c r="A1027" s="5">
        <v>45685</v>
      </c>
      <c r="B1027">
        <v>118</v>
      </c>
      <c r="C1027" t="s">
        <v>51</v>
      </c>
      <c r="D1027">
        <v>3</v>
      </c>
      <c r="E1027">
        <v>100</v>
      </c>
      <c r="F1027" t="s">
        <v>1</v>
      </c>
      <c r="G1027" s="6">
        <v>45730</v>
      </c>
      <c r="H1027">
        <v>45</v>
      </c>
      <c r="I1027">
        <f>ROUND(CompilDonnées[[#This Row],[CultureDuration_days]]/7,0)</f>
        <v>6</v>
      </c>
      <c r="J1027">
        <v>3141</v>
      </c>
      <c r="K1027" t="str">
        <f>_xlfn.CONCAT(WEEKNUM(CompilDonnées[[#This Row],[PlantationDate]]), " ", YEAR(CompilDonnées[[#This Row],[PlantationDate]]))</f>
        <v>5 2025</v>
      </c>
      <c r="L1027" t="str">
        <f>CONCATENATE(MONTH(CompilDonnées[[#This Row],[PlantationDate]])," ", YEAR(CompilDonnées[[#This Row],[PlantationDate]]))</f>
        <v>1 2025</v>
      </c>
      <c r="M1027" t="str">
        <f>CONCATENATE(MONTH(CompilDonnées[[#This Row],[HarvestingDate]])," ", YEAR(CompilDonnées[[#This Row],[HarvestingDate]]))</f>
        <v>3 2025</v>
      </c>
      <c r="N1027">
        <f>_xlfn.NUMBERVALUE(CompilDonnées[[#This Row],[FarmID]]&amp;CompilDonnées[[#This Row],[ModuleNumber]]&amp;CompilDonnées[[#This Row],[PlantationDate]])</f>
        <v>118345685</v>
      </c>
      <c r="O1027" t="str">
        <f>CompilDonnées[[#This Row],[FarmID]]&amp;CompilDonnées[[#This Row],[ModuleNumber]]</f>
        <v>1183</v>
      </c>
      <c r="P1027" t="str">
        <f>CompilDonnées[[#This Row],[Ref_Module]]&amp;CompilDonnées[[#This Row],[HarvestingDate]]</f>
        <v>118345730</v>
      </c>
    </row>
    <row r="1028" spans="1:16">
      <c r="A1028" s="5">
        <v>45685</v>
      </c>
      <c r="B1028">
        <v>117</v>
      </c>
      <c r="C1028" t="s">
        <v>11</v>
      </c>
      <c r="D1028">
        <v>4</v>
      </c>
      <c r="E1028">
        <v>100</v>
      </c>
      <c r="F1028" t="s">
        <v>1</v>
      </c>
      <c r="G1028" s="6">
        <v>45730</v>
      </c>
      <c r="H1028">
        <v>45</v>
      </c>
      <c r="I1028">
        <f>ROUND(CompilDonnées[[#This Row],[CultureDuration_days]]/7,0)</f>
        <v>6</v>
      </c>
      <c r="J1028">
        <v>3584</v>
      </c>
      <c r="K1028" t="str">
        <f>_xlfn.CONCAT(WEEKNUM(CompilDonnées[[#This Row],[PlantationDate]]), " ", YEAR(CompilDonnées[[#This Row],[PlantationDate]]))</f>
        <v>5 2025</v>
      </c>
      <c r="L1028" t="str">
        <f>CONCATENATE(MONTH(CompilDonnées[[#This Row],[PlantationDate]])," ", YEAR(CompilDonnées[[#This Row],[PlantationDate]]))</f>
        <v>1 2025</v>
      </c>
      <c r="M1028" t="str">
        <f>CONCATENATE(MONTH(CompilDonnées[[#This Row],[HarvestingDate]])," ", YEAR(CompilDonnées[[#This Row],[HarvestingDate]]))</f>
        <v>3 2025</v>
      </c>
      <c r="N1028">
        <f>_xlfn.NUMBERVALUE(CompilDonnées[[#This Row],[FarmID]]&amp;CompilDonnées[[#This Row],[ModuleNumber]]&amp;CompilDonnées[[#This Row],[PlantationDate]])</f>
        <v>117445685</v>
      </c>
      <c r="O1028" t="str">
        <f>CompilDonnées[[#This Row],[FarmID]]&amp;CompilDonnées[[#This Row],[ModuleNumber]]</f>
        <v>1174</v>
      </c>
      <c r="P1028" t="str">
        <f>CompilDonnées[[#This Row],[Ref_Module]]&amp;CompilDonnées[[#This Row],[HarvestingDate]]</f>
        <v>117445730</v>
      </c>
    </row>
    <row r="1029" spans="1:16">
      <c r="A1029" s="5">
        <v>45685</v>
      </c>
      <c r="B1029">
        <v>125</v>
      </c>
      <c r="C1029" t="s">
        <v>101</v>
      </c>
      <c r="D1029">
        <v>5</v>
      </c>
      <c r="E1029">
        <v>100</v>
      </c>
      <c r="F1029" t="s">
        <v>1</v>
      </c>
      <c r="G1029" s="6">
        <v>45730</v>
      </c>
      <c r="H1029">
        <v>45</v>
      </c>
      <c r="I1029">
        <f>ROUND(CompilDonnées[[#This Row],[CultureDuration_days]]/7,0)</f>
        <v>6</v>
      </c>
      <c r="J1029">
        <v>3265</v>
      </c>
      <c r="K1029" t="str">
        <f>_xlfn.CONCAT(WEEKNUM(CompilDonnées[[#This Row],[PlantationDate]]), " ", YEAR(CompilDonnées[[#This Row],[PlantationDate]]))</f>
        <v>5 2025</v>
      </c>
      <c r="L1029" t="str">
        <f>CONCATENATE(MONTH(CompilDonnées[[#This Row],[PlantationDate]])," ", YEAR(CompilDonnées[[#This Row],[PlantationDate]]))</f>
        <v>1 2025</v>
      </c>
      <c r="M1029" t="str">
        <f>CONCATENATE(MONTH(CompilDonnées[[#This Row],[HarvestingDate]])," ", YEAR(CompilDonnées[[#This Row],[HarvestingDate]]))</f>
        <v>3 2025</v>
      </c>
      <c r="N1029">
        <f>_xlfn.NUMBERVALUE(CompilDonnées[[#This Row],[FarmID]]&amp;CompilDonnées[[#This Row],[ModuleNumber]]&amp;CompilDonnées[[#This Row],[PlantationDate]])</f>
        <v>125545685</v>
      </c>
      <c r="O1029" t="str">
        <f>CompilDonnées[[#This Row],[FarmID]]&amp;CompilDonnées[[#This Row],[ModuleNumber]]</f>
        <v>1255</v>
      </c>
      <c r="P1029" t="str">
        <f>CompilDonnées[[#This Row],[Ref_Module]]&amp;CompilDonnées[[#This Row],[HarvestingDate]]</f>
        <v>125545730</v>
      </c>
    </row>
    <row r="1030" spans="1:16">
      <c r="A1030" s="5">
        <v>45685</v>
      </c>
      <c r="B1030">
        <v>124</v>
      </c>
      <c r="C1030" t="s">
        <v>115</v>
      </c>
      <c r="D1030">
        <v>6</v>
      </c>
      <c r="E1030">
        <v>100</v>
      </c>
      <c r="F1030" t="s">
        <v>1</v>
      </c>
      <c r="G1030" s="6">
        <v>45730</v>
      </c>
      <c r="H1030">
        <v>45</v>
      </c>
      <c r="I1030">
        <f>ROUND(CompilDonnées[[#This Row],[CultureDuration_days]]/7,0)</f>
        <v>6</v>
      </c>
      <c r="J1030">
        <v>3233</v>
      </c>
      <c r="K1030" t="str">
        <f>_xlfn.CONCAT(WEEKNUM(CompilDonnées[[#This Row],[PlantationDate]]), " ", YEAR(CompilDonnées[[#This Row],[PlantationDate]]))</f>
        <v>5 2025</v>
      </c>
      <c r="L1030" t="str">
        <f>CONCATENATE(MONTH(CompilDonnées[[#This Row],[PlantationDate]])," ", YEAR(CompilDonnées[[#This Row],[PlantationDate]]))</f>
        <v>1 2025</v>
      </c>
      <c r="M1030" t="str">
        <f>CONCATENATE(MONTH(CompilDonnées[[#This Row],[HarvestingDate]])," ", YEAR(CompilDonnées[[#This Row],[HarvestingDate]]))</f>
        <v>3 2025</v>
      </c>
      <c r="N1030">
        <f>_xlfn.NUMBERVALUE(CompilDonnées[[#This Row],[FarmID]]&amp;CompilDonnées[[#This Row],[ModuleNumber]]&amp;CompilDonnées[[#This Row],[PlantationDate]])</f>
        <v>124645685</v>
      </c>
      <c r="O1030" t="str">
        <f>CompilDonnées[[#This Row],[FarmID]]&amp;CompilDonnées[[#This Row],[ModuleNumber]]</f>
        <v>1246</v>
      </c>
      <c r="P1030" t="str">
        <f>CompilDonnées[[#This Row],[Ref_Module]]&amp;CompilDonnées[[#This Row],[HarvestingDate]]</f>
        <v>124645730</v>
      </c>
    </row>
    <row r="1031" spans="1:16">
      <c r="A1031" s="5">
        <v>45685</v>
      </c>
      <c r="B1031">
        <v>133</v>
      </c>
      <c r="C1031" t="s">
        <v>99</v>
      </c>
      <c r="D1031">
        <v>4</v>
      </c>
      <c r="E1031">
        <v>100</v>
      </c>
      <c r="F1031" t="s">
        <v>1</v>
      </c>
      <c r="G1031" s="6">
        <v>45730</v>
      </c>
      <c r="H1031">
        <v>45</v>
      </c>
      <c r="I1031">
        <f>ROUND(CompilDonnées[[#This Row],[CultureDuration_days]]/7,0)</f>
        <v>6</v>
      </c>
      <c r="J1031">
        <v>2704</v>
      </c>
      <c r="K1031" t="str">
        <f>_xlfn.CONCAT(WEEKNUM(CompilDonnées[[#This Row],[PlantationDate]]), " ", YEAR(CompilDonnées[[#This Row],[PlantationDate]]))</f>
        <v>5 2025</v>
      </c>
      <c r="L1031" t="str">
        <f>CONCATENATE(MONTH(CompilDonnées[[#This Row],[PlantationDate]])," ", YEAR(CompilDonnées[[#This Row],[PlantationDate]]))</f>
        <v>1 2025</v>
      </c>
      <c r="M1031" t="str">
        <f>CONCATENATE(MONTH(CompilDonnées[[#This Row],[HarvestingDate]])," ", YEAR(CompilDonnées[[#This Row],[HarvestingDate]]))</f>
        <v>3 2025</v>
      </c>
      <c r="N1031">
        <f>_xlfn.NUMBERVALUE(CompilDonnées[[#This Row],[FarmID]]&amp;CompilDonnées[[#This Row],[ModuleNumber]]&amp;CompilDonnées[[#This Row],[PlantationDate]])</f>
        <v>133445685</v>
      </c>
      <c r="O1031" t="str">
        <f>CompilDonnées[[#This Row],[FarmID]]&amp;CompilDonnées[[#This Row],[ModuleNumber]]</f>
        <v>1334</v>
      </c>
      <c r="P1031" t="str">
        <f>CompilDonnées[[#This Row],[Ref_Module]]&amp;CompilDonnées[[#This Row],[HarvestingDate]]</f>
        <v>133445730</v>
      </c>
    </row>
    <row r="1032" spans="1:16">
      <c r="A1032" s="5">
        <v>45685</v>
      </c>
      <c r="B1032">
        <v>132</v>
      </c>
      <c r="C1032" t="s">
        <v>93</v>
      </c>
      <c r="D1032">
        <v>1</v>
      </c>
      <c r="E1032">
        <v>100</v>
      </c>
      <c r="F1032" t="s">
        <v>1</v>
      </c>
      <c r="G1032" s="6">
        <v>45730</v>
      </c>
      <c r="H1032">
        <v>45</v>
      </c>
      <c r="I1032">
        <f>ROUND(CompilDonnées[[#This Row],[CultureDuration_days]]/7,0)</f>
        <v>6</v>
      </c>
      <c r="J1032">
        <v>2782</v>
      </c>
      <c r="K1032" t="str">
        <f>_xlfn.CONCAT(WEEKNUM(CompilDonnées[[#This Row],[PlantationDate]]), " ", YEAR(CompilDonnées[[#This Row],[PlantationDate]]))</f>
        <v>5 2025</v>
      </c>
      <c r="L1032" t="str">
        <f>CONCATENATE(MONTH(CompilDonnées[[#This Row],[PlantationDate]])," ", YEAR(CompilDonnées[[#This Row],[PlantationDate]]))</f>
        <v>1 2025</v>
      </c>
      <c r="M1032" t="str">
        <f>CONCATENATE(MONTH(CompilDonnées[[#This Row],[HarvestingDate]])," ", YEAR(CompilDonnées[[#This Row],[HarvestingDate]]))</f>
        <v>3 2025</v>
      </c>
      <c r="N1032">
        <f>_xlfn.NUMBERVALUE(CompilDonnées[[#This Row],[FarmID]]&amp;CompilDonnées[[#This Row],[ModuleNumber]]&amp;CompilDonnées[[#This Row],[PlantationDate]])</f>
        <v>132145685</v>
      </c>
      <c r="O1032" t="str">
        <f>CompilDonnées[[#This Row],[FarmID]]&amp;CompilDonnées[[#This Row],[ModuleNumber]]</f>
        <v>1321</v>
      </c>
      <c r="P1032" t="str">
        <f>CompilDonnées[[#This Row],[Ref_Module]]&amp;CompilDonnées[[#This Row],[HarvestingDate]]</f>
        <v>132145730</v>
      </c>
    </row>
    <row r="1033" spans="1:16">
      <c r="A1033" s="5">
        <v>45685</v>
      </c>
      <c r="B1033">
        <v>131</v>
      </c>
      <c r="C1033" t="s">
        <v>64</v>
      </c>
      <c r="D1033">
        <v>3</v>
      </c>
      <c r="E1033">
        <v>100</v>
      </c>
      <c r="F1033" t="s">
        <v>1</v>
      </c>
      <c r="G1033" s="6">
        <v>45733</v>
      </c>
      <c r="H1033">
        <v>48</v>
      </c>
      <c r="I1033">
        <f>ROUND(CompilDonnées[[#This Row],[CultureDuration_days]]/7,0)</f>
        <v>7</v>
      </c>
      <c r="J1033">
        <v>2865</v>
      </c>
      <c r="K1033" t="str">
        <f>_xlfn.CONCAT(WEEKNUM(CompilDonnées[[#This Row],[PlantationDate]]), " ", YEAR(CompilDonnées[[#This Row],[PlantationDate]]))</f>
        <v>5 2025</v>
      </c>
      <c r="L1033" t="str">
        <f>CONCATENATE(MONTH(CompilDonnées[[#This Row],[PlantationDate]])," ", YEAR(CompilDonnées[[#This Row],[PlantationDate]]))</f>
        <v>1 2025</v>
      </c>
      <c r="M1033" t="str">
        <f>CONCATENATE(MONTH(CompilDonnées[[#This Row],[HarvestingDate]])," ", YEAR(CompilDonnées[[#This Row],[HarvestingDate]]))</f>
        <v>3 2025</v>
      </c>
      <c r="N1033">
        <f>_xlfn.NUMBERVALUE(CompilDonnées[[#This Row],[FarmID]]&amp;CompilDonnées[[#This Row],[ModuleNumber]]&amp;CompilDonnées[[#This Row],[PlantationDate]])</f>
        <v>131345685</v>
      </c>
      <c r="O1033" t="str">
        <f>CompilDonnées[[#This Row],[FarmID]]&amp;CompilDonnées[[#This Row],[ModuleNumber]]</f>
        <v>1313</v>
      </c>
      <c r="P1033" t="str">
        <f>CompilDonnées[[#This Row],[Ref_Module]]&amp;CompilDonnées[[#This Row],[HarvestingDate]]</f>
        <v>131345733</v>
      </c>
    </row>
    <row r="1034" spans="1:16">
      <c r="A1034" s="5">
        <v>45685</v>
      </c>
      <c r="B1034">
        <v>131</v>
      </c>
      <c r="C1034" t="s">
        <v>64</v>
      </c>
      <c r="D1034">
        <v>4</v>
      </c>
      <c r="E1034">
        <v>100</v>
      </c>
      <c r="F1034" t="s">
        <v>1</v>
      </c>
      <c r="G1034" s="6">
        <v>45733</v>
      </c>
      <c r="H1034">
        <v>48</v>
      </c>
      <c r="I1034">
        <f>ROUND(CompilDonnées[[#This Row],[CultureDuration_days]]/7,0)</f>
        <v>7</v>
      </c>
      <c r="J1034">
        <v>2838</v>
      </c>
      <c r="K1034" t="str">
        <f>_xlfn.CONCAT(WEEKNUM(CompilDonnées[[#This Row],[PlantationDate]]), " ", YEAR(CompilDonnées[[#This Row],[PlantationDate]]))</f>
        <v>5 2025</v>
      </c>
      <c r="L1034" t="str">
        <f>CONCATENATE(MONTH(CompilDonnées[[#This Row],[PlantationDate]])," ", YEAR(CompilDonnées[[#This Row],[PlantationDate]]))</f>
        <v>1 2025</v>
      </c>
      <c r="M1034" t="str">
        <f>CONCATENATE(MONTH(CompilDonnées[[#This Row],[HarvestingDate]])," ", YEAR(CompilDonnées[[#This Row],[HarvestingDate]]))</f>
        <v>3 2025</v>
      </c>
      <c r="N1034">
        <f>_xlfn.NUMBERVALUE(CompilDonnées[[#This Row],[FarmID]]&amp;CompilDonnées[[#This Row],[ModuleNumber]]&amp;CompilDonnées[[#This Row],[PlantationDate]])</f>
        <v>131445685</v>
      </c>
      <c r="O1034" t="str">
        <f>CompilDonnées[[#This Row],[FarmID]]&amp;CompilDonnées[[#This Row],[ModuleNumber]]</f>
        <v>1314</v>
      </c>
      <c r="P1034" t="str">
        <f>CompilDonnées[[#This Row],[Ref_Module]]&amp;CompilDonnées[[#This Row],[HarvestingDate]]</f>
        <v>131445733</v>
      </c>
    </row>
    <row r="1035" spans="1:16">
      <c r="A1035" s="5">
        <v>45685</v>
      </c>
      <c r="B1035">
        <v>140</v>
      </c>
      <c r="C1035" t="s">
        <v>96</v>
      </c>
      <c r="D1035">
        <v>1</v>
      </c>
      <c r="E1035">
        <v>100</v>
      </c>
      <c r="F1035" t="s">
        <v>1</v>
      </c>
      <c r="G1035" s="6">
        <v>45730</v>
      </c>
      <c r="H1035">
        <v>45</v>
      </c>
      <c r="I1035">
        <f>ROUND(CompilDonnées[[#This Row],[CultureDuration_days]]/7,0)</f>
        <v>6</v>
      </c>
      <c r="J1035">
        <v>2488</v>
      </c>
      <c r="K1035" t="str">
        <f>_xlfn.CONCAT(WEEKNUM(CompilDonnées[[#This Row],[PlantationDate]]), " ", YEAR(CompilDonnées[[#This Row],[PlantationDate]]))</f>
        <v>5 2025</v>
      </c>
      <c r="L1035" t="str">
        <f>CONCATENATE(MONTH(CompilDonnées[[#This Row],[PlantationDate]])," ", YEAR(CompilDonnées[[#This Row],[PlantationDate]]))</f>
        <v>1 2025</v>
      </c>
      <c r="M1035" t="str">
        <f>CONCATENATE(MONTH(CompilDonnées[[#This Row],[HarvestingDate]])," ", YEAR(CompilDonnées[[#This Row],[HarvestingDate]]))</f>
        <v>3 2025</v>
      </c>
      <c r="N1035">
        <f>_xlfn.NUMBERVALUE(CompilDonnées[[#This Row],[FarmID]]&amp;CompilDonnées[[#This Row],[ModuleNumber]]&amp;CompilDonnées[[#This Row],[PlantationDate]])</f>
        <v>140145685</v>
      </c>
      <c r="O1035" t="str">
        <f>CompilDonnées[[#This Row],[FarmID]]&amp;CompilDonnées[[#This Row],[ModuleNumber]]</f>
        <v>1401</v>
      </c>
      <c r="P1035" t="str">
        <f>CompilDonnées[[#This Row],[Ref_Module]]&amp;CompilDonnées[[#This Row],[HarvestingDate]]</f>
        <v>140145730</v>
      </c>
    </row>
    <row r="1036" spans="1:16">
      <c r="A1036" s="5">
        <v>45685</v>
      </c>
      <c r="B1036">
        <v>139</v>
      </c>
      <c r="C1036" t="s">
        <v>103</v>
      </c>
      <c r="D1036">
        <v>4</v>
      </c>
      <c r="E1036">
        <v>100</v>
      </c>
      <c r="F1036" t="s">
        <v>1</v>
      </c>
      <c r="G1036" s="6">
        <v>45730</v>
      </c>
      <c r="H1036">
        <v>45</v>
      </c>
      <c r="I1036">
        <f>ROUND(CompilDonnées[[#This Row],[CultureDuration_days]]/7,0)</f>
        <v>6</v>
      </c>
      <c r="J1036">
        <v>2957</v>
      </c>
      <c r="K1036" t="str">
        <f>_xlfn.CONCAT(WEEKNUM(CompilDonnées[[#This Row],[PlantationDate]]), " ", YEAR(CompilDonnées[[#This Row],[PlantationDate]]))</f>
        <v>5 2025</v>
      </c>
      <c r="L1036" t="str">
        <f>CONCATENATE(MONTH(CompilDonnées[[#This Row],[PlantationDate]])," ", YEAR(CompilDonnées[[#This Row],[PlantationDate]]))</f>
        <v>1 2025</v>
      </c>
      <c r="M1036" t="str">
        <f>CONCATENATE(MONTH(CompilDonnées[[#This Row],[HarvestingDate]])," ", YEAR(CompilDonnées[[#This Row],[HarvestingDate]]))</f>
        <v>3 2025</v>
      </c>
      <c r="N1036">
        <f>_xlfn.NUMBERVALUE(CompilDonnées[[#This Row],[FarmID]]&amp;CompilDonnées[[#This Row],[ModuleNumber]]&amp;CompilDonnées[[#This Row],[PlantationDate]])</f>
        <v>139445685</v>
      </c>
      <c r="O1036" t="str">
        <f>CompilDonnées[[#This Row],[FarmID]]&amp;CompilDonnées[[#This Row],[ModuleNumber]]</f>
        <v>1394</v>
      </c>
      <c r="P1036" t="str">
        <f>CompilDonnées[[#This Row],[Ref_Module]]&amp;CompilDonnées[[#This Row],[HarvestingDate]]</f>
        <v>139445730</v>
      </c>
    </row>
    <row r="1037" spans="1:16">
      <c r="A1037" s="5">
        <v>45685</v>
      </c>
      <c r="B1037">
        <v>138</v>
      </c>
      <c r="C1037" t="s">
        <v>8</v>
      </c>
      <c r="D1037">
        <v>5</v>
      </c>
      <c r="E1037">
        <v>100</v>
      </c>
      <c r="F1037" t="s">
        <v>1</v>
      </c>
      <c r="G1037" s="6">
        <v>45730</v>
      </c>
      <c r="H1037">
        <v>45</v>
      </c>
      <c r="I1037">
        <f>ROUND(CompilDonnées[[#This Row],[CultureDuration_days]]/7,0)</f>
        <v>6</v>
      </c>
      <c r="J1037">
        <v>2501</v>
      </c>
      <c r="K1037" t="str">
        <f>_xlfn.CONCAT(WEEKNUM(CompilDonnées[[#This Row],[PlantationDate]]), " ", YEAR(CompilDonnées[[#This Row],[PlantationDate]]))</f>
        <v>5 2025</v>
      </c>
      <c r="L1037" t="str">
        <f>CONCATENATE(MONTH(CompilDonnées[[#This Row],[PlantationDate]])," ", YEAR(CompilDonnées[[#This Row],[PlantationDate]]))</f>
        <v>1 2025</v>
      </c>
      <c r="M1037" t="str">
        <f>CONCATENATE(MONTH(CompilDonnées[[#This Row],[HarvestingDate]])," ", YEAR(CompilDonnées[[#This Row],[HarvestingDate]]))</f>
        <v>3 2025</v>
      </c>
      <c r="N1037">
        <f>_xlfn.NUMBERVALUE(CompilDonnées[[#This Row],[FarmID]]&amp;CompilDonnées[[#This Row],[ModuleNumber]]&amp;CompilDonnées[[#This Row],[PlantationDate]])</f>
        <v>138545685</v>
      </c>
      <c r="O1037" t="str">
        <f>CompilDonnées[[#This Row],[FarmID]]&amp;CompilDonnées[[#This Row],[ModuleNumber]]</f>
        <v>1385</v>
      </c>
      <c r="P1037" t="str">
        <f>CompilDonnées[[#This Row],[Ref_Module]]&amp;CompilDonnées[[#This Row],[HarvestingDate]]</f>
        <v>138545730</v>
      </c>
    </row>
    <row r="1038" spans="1:16">
      <c r="A1038" s="5">
        <v>45685</v>
      </c>
      <c r="B1038">
        <v>125</v>
      </c>
      <c r="C1038" t="s">
        <v>101</v>
      </c>
      <c r="D1038">
        <v>1</v>
      </c>
      <c r="E1038">
        <v>100</v>
      </c>
      <c r="F1038" t="s">
        <v>1</v>
      </c>
      <c r="G1038" s="6">
        <v>45719</v>
      </c>
      <c r="H1038">
        <v>34</v>
      </c>
      <c r="I1038">
        <f>ROUND(CompilDonnées[[#This Row],[CultureDuration_days]]/7,0)</f>
        <v>5</v>
      </c>
      <c r="J1038">
        <v>2793</v>
      </c>
      <c r="K1038" t="str">
        <f>_xlfn.CONCAT(WEEKNUM(CompilDonnées[[#This Row],[PlantationDate]]), " ", YEAR(CompilDonnées[[#This Row],[PlantationDate]]))</f>
        <v>5 2025</v>
      </c>
      <c r="L1038" t="str">
        <f>CONCATENATE(MONTH(CompilDonnées[[#This Row],[PlantationDate]])," ", YEAR(CompilDonnées[[#This Row],[PlantationDate]]))</f>
        <v>1 2025</v>
      </c>
      <c r="M1038" t="str">
        <f>CONCATENATE(MONTH(CompilDonnées[[#This Row],[HarvestingDate]])," ", YEAR(CompilDonnées[[#This Row],[HarvestingDate]]))</f>
        <v>3 2025</v>
      </c>
      <c r="N1038">
        <f>_xlfn.NUMBERVALUE(CompilDonnées[[#This Row],[FarmID]]&amp;CompilDonnées[[#This Row],[ModuleNumber]]&amp;CompilDonnées[[#This Row],[PlantationDate]])</f>
        <v>125145685</v>
      </c>
      <c r="O1038" t="str">
        <f>CompilDonnées[[#This Row],[FarmID]]&amp;CompilDonnées[[#This Row],[ModuleNumber]]</f>
        <v>1251</v>
      </c>
      <c r="P1038" t="str">
        <f>CompilDonnées[[#This Row],[Ref_Module]]&amp;CompilDonnées[[#This Row],[HarvestingDate]]</f>
        <v>125145719</v>
      </c>
    </row>
    <row r="1039" spans="1:16">
      <c r="A1039" s="5">
        <v>45685</v>
      </c>
      <c r="B1039">
        <v>130</v>
      </c>
      <c r="C1039" t="s">
        <v>3</v>
      </c>
      <c r="D1039">
        <v>4</v>
      </c>
      <c r="E1039">
        <v>60</v>
      </c>
      <c r="F1039" t="s">
        <v>105</v>
      </c>
      <c r="G1039" s="6">
        <v>45744</v>
      </c>
      <c r="H1039">
        <v>59</v>
      </c>
      <c r="I1039">
        <f>ROUND(CompilDonnées[[#This Row],[CultureDuration_days]]/7,0)</f>
        <v>8</v>
      </c>
      <c r="J1039">
        <v>1032</v>
      </c>
      <c r="K1039" t="str">
        <f>_xlfn.CONCAT(WEEKNUM(CompilDonnées[[#This Row],[PlantationDate]]), " ", YEAR(CompilDonnées[[#This Row],[PlantationDate]]))</f>
        <v>5 2025</v>
      </c>
      <c r="L1039" t="str">
        <f>CONCATENATE(MONTH(CompilDonnées[[#This Row],[PlantationDate]])," ", YEAR(CompilDonnées[[#This Row],[PlantationDate]]))</f>
        <v>1 2025</v>
      </c>
      <c r="M1039" t="str">
        <f>CONCATENATE(MONTH(CompilDonnées[[#This Row],[HarvestingDate]])," ", YEAR(CompilDonnées[[#This Row],[HarvestingDate]]))</f>
        <v>3 2025</v>
      </c>
      <c r="N1039">
        <f>_xlfn.NUMBERVALUE(CompilDonnées[[#This Row],[FarmID]]&amp;CompilDonnées[[#This Row],[ModuleNumber]]&amp;CompilDonnées[[#This Row],[PlantationDate]])</f>
        <v>130445685</v>
      </c>
      <c r="O1039" t="str">
        <f>CompilDonnées[[#This Row],[FarmID]]&amp;CompilDonnées[[#This Row],[ModuleNumber]]</f>
        <v>1304</v>
      </c>
      <c r="P1039" t="str">
        <f>CompilDonnées[[#This Row],[Ref_Module]]&amp;CompilDonnées[[#This Row],[HarvestingDate]]</f>
        <v>130445744</v>
      </c>
    </row>
    <row r="1040" spans="1:16">
      <c r="A1040" s="5">
        <v>45685</v>
      </c>
      <c r="B1040">
        <v>130</v>
      </c>
      <c r="C1040" t="s">
        <v>3</v>
      </c>
      <c r="D1040">
        <v>5</v>
      </c>
      <c r="E1040">
        <v>60</v>
      </c>
      <c r="F1040" t="s">
        <v>105</v>
      </c>
      <c r="G1040" s="6">
        <v>45744</v>
      </c>
      <c r="H1040">
        <v>59</v>
      </c>
      <c r="I1040">
        <f>ROUND(CompilDonnées[[#This Row],[CultureDuration_days]]/7,0)</f>
        <v>8</v>
      </c>
      <c r="J1040">
        <v>1032</v>
      </c>
      <c r="K1040" t="str">
        <f>_xlfn.CONCAT(WEEKNUM(CompilDonnées[[#This Row],[PlantationDate]]), " ", YEAR(CompilDonnées[[#This Row],[PlantationDate]]))</f>
        <v>5 2025</v>
      </c>
      <c r="L1040" t="str">
        <f>CONCATENATE(MONTH(CompilDonnées[[#This Row],[PlantationDate]])," ", YEAR(CompilDonnées[[#This Row],[PlantationDate]]))</f>
        <v>1 2025</v>
      </c>
      <c r="M1040" t="str">
        <f>CONCATENATE(MONTH(CompilDonnées[[#This Row],[HarvestingDate]])," ", YEAR(CompilDonnées[[#This Row],[HarvestingDate]]))</f>
        <v>3 2025</v>
      </c>
      <c r="N1040">
        <f>_xlfn.NUMBERVALUE(CompilDonnées[[#This Row],[FarmID]]&amp;CompilDonnées[[#This Row],[ModuleNumber]]&amp;CompilDonnées[[#This Row],[PlantationDate]])</f>
        <v>130545685</v>
      </c>
      <c r="O1040" t="str">
        <f>CompilDonnées[[#This Row],[FarmID]]&amp;CompilDonnées[[#This Row],[ModuleNumber]]</f>
        <v>1305</v>
      </c>
      <c r="P1040" t="str">
        <f>CompilDonnées[[#This Row],[Ref_Module]]&amp;CompilDonnées[[#This Row],[HarvestingDate]]</f>
        <v>130545744</v>
      </c>
    </row>
    <row r="1041" spans="1:16">
      <c r="A1041" s="5">
        <v>45685</v>
      </c>
      <c r="B1041">
        <v>130</v>
      </c>
      <c r="C1041" t="s">
        <v>3</v>
      </c>
      <c r="D1041">
        <v>6</v>
      </c>
      <c r="E1041">
        <v>60</v>
      </c>
      <c r="F1041" t="s">
        <v>105</v>
      </c>
      <c r="G1041" s="6">
        <v>45744</v>
      </c>
      <c r="H1041">
        <v>59</v>
      </c>
      <c r="I1041">
        <f>ROUND(CompilDonnées[[#This Row],[CultureDuration_days]]/7,0)</f>
        <v>8</v>
      </c>
      <c r="J1041">
        <v>1032</v>
      </c>
      <c r="K1041" t="str">
        <f>_xlfn.CONCAT(WEEKNUM(CompilDonnées[[#This Row],[PlantationDate]]), " ", YEAR(CompilDonnées[[#This Row],[PlantationDate]]))</f>
        <v>5 2025</v>
      </c>
      <c r="L1041" t="str">
        <f>CONCATENATE(MONTH(CompilDonnées[[#This Row],[PlantationDate]])," ", YEAR(CompilDonnées[[#This Row],[PlantationDate]]))</f>
        <v>1 2025</v>
      </c>
      <c r="M1041" t="str">
        <f>CONCATENATE(MONTH(CompilDonnées[[#This Row],[HarvestingDate]])," ", YEAR(CompilDonnées[[#This Row],[HarvestingDate]]))</f>
        <v>3 2025</v>
      </c>
      <c r="N1041">
        <f>_xlfn.NUMBERVALUE(CompilDonnées[[#This Row],[FarmID]]&amp;CompilDonnées[[#This Row],[ModuleNumber]]&amp;CompilDonnées[[#This Row],[PlantationDate]])</f>
        <v>130645685</v>
      </c>
      <c r="O1041" t="str">
        <f>CompilDonnées[[#This Row],[FarmID]]&amp;CompilDonnées[[#This Row],[ModuleNumber]]</f>
        <v>1306</v>
      </c>
      <c r="P1041" t="str">
        <f>CompilDonnées[[#This Row],[Ref_Module]]&amp;CompilDonnées[[#This Row],[HarvestingDate]]</f>
        <v>130645744</v>
      </c>
    </row>
    <row r="1042" spans="1:16">
      <c r="A1042" s="5">
        <v>45686</v>
      </c>
      <c r="B1042">
        <v>88</v>
      </c>
      <c r="C1042" t="s">
        <v>94</v>
      </c>
      <c r="D1042">
        <v>1</v>
      </c>
      <c r="E1042">
        <v>100</v>
      </c>
      <c r="F1042" t="s">
        <v>1</v>
      </c>
      <c r="G1042" s="6">
        <v>45729</v>
      </c>
      <c r="H1042">
        <v>43</v>
      </c>
      <c r="I1042">
        <f>ROUND(CompilDonnées[[#This Row],[CultureDuration_days]]/7,0)</f>
        <v>6</v>
      </c>
      <c r="J1042">
        <v>4115</v>
      </c>
      <c r="K1042" t="str">
        <f>_xlfn.CONCAT(WEEKNUM(CompilDonnées[[#This Row],[PlantationDate]]), " ", YEAR(CompilDonnées[[#This Row],[PlantationDate]]))</f>
        <v>5 2025</v>
      </c>
      <c r="L1042" t="str">
        <f>CONCATENATE(MONTH(CompilDonnées[[#This Row],[PlantationDate]])," ", YEAR(CompilDonnées[[#This Row],[PlantationDate]]))</f>
        <v>1 2025</v>
      </c>
      <c r="M1042" t="str">
        <f>CONCATENATE(MONTH(CompilDonnées[[#This Row],[HarvestingDate]])," ", YEAR(CompilDonnées[[#This Row],[HarvestingDate]]))</f>
        <v>3 2025</v>
      </c>
      <c r="N1042">
        <f>_xlfn.NUMBERVALUE(CompilDonnées[[#This Row],[FarmID]]&amp;CompilDonnées[[#This Row],[ModuleNumber]]&amp;CompilDonnées[[#This Row],[PlantationDate]])</f>
        <v>88145686</v>
      </c>
      <c r="O1042" t="str">
        <f>CompilDonnées[[#This Row],[FarmID]]&amp;CompilDonnées[[#This Row],[ModuleNumber]]</f>
        <v>881</v>
      </c>
      <c r="P1042" t="str">
        <f>CompilDonnées[[#This Row],[Ref_Module]]&amp;CompilDonnées[[#This Row],[HarvestingDate]]</f>
        <v>88145729</v>
      </c>
    </row>
    <row r="1043" spans="1:16">
      <c r="A1043" s="5">
        <v>45686</v>
      </c>
      <c r="B1043">
        <v>88</v>
      </c>
      <c r="C1043" t="s">
        <v>94</v>
      </c>
      <c r="D1043">
        <v>3</v>
      </c>
      <c r="E1043">
        <v>100</v>
      </c>
      <c r="F1043" t="s">
        <v>1</v>
      </c>
      <c r="G1043" s="6">
        <v>45729</v>
      </c>
      <c r="H1043">
        <v>43</v>
      </c>
      <c r="I1043">
        <f>ROUND(CompilDonnées[[#This Row],[CultureDuration_days]]/7,0)</f>
        <v>6</v>
      </c>
      <c r="J1043">
        <v>4283</v>
      </c>
      <c r="K1043" t="str">
        <f>_xlfn.CONCAT(WEEKNUM(CompilDonnées[[#This Row],[PlantationDate]]), " ", YEAR(CompilDonnées[[#This Row],[PlantationDate]]))</f>
        <v>5 2025</v>
      </c>
      <c r="L1043" t="str">
        <f>CONCATENATE(MONTH(CompilDonnées[[#This Row],[PlantationDate]])," ", YEAR(CompilDonnées[[#This Row],[PlantationDate]]))</f>
        <v>1 2025</v>
      </c>
      <c r="M1043" t="str">
        <f>CONCATENATE(MONTH(CompilDonnées[[#This Row],[HarvestingDate]])," ", YEAR(CompilDonnées[[#This Row],[HarvestingDate]]))</f>
        <v>3 2025</v>
      </c>
      <c r="N1043">
        <f>_xlfn.NUMBERVALUE(CompilDonnées[[#This Row],[FarmID]]&amp;CompilDonnées[[#This Row],[ModuleNumber]]&amp;CompilDonnées[[#This Row],[PlantationDate]])</f>
        <v>88345686</v>
      </c>
      <c r="O1043" t="str">
        <f>CompilDonnées[[#This Row],[FarmID]]&amp;CompilDonnées[[#This Row],[ModuleNumber]]</f>
        <v>883</v>
      </c>
      <c r="P1043" t="str">
        <f>CompilDonnées[[#This Row],[Ref_Module]]&amp;CompilDonnées[[#This Row],[HarvestingDate]]</f>
        <v>88345729</v>
      </c>
    </row>
    <row r="1044" spans="1:16">
      <c r="A1044" s="5">
        <v>45686</v>
      </c>
      <c r="B1044">
        <v>87</v>
      </c>
      <c r="C1044" t="s">
        <v>38</v>
      </c>
      <c r="D1044">
        <v>3</v>
      </c>
      <c r="E1044">
        <v>100</v>
      </c>
      <c r="F1044" t="s">
        <v>1</v>
      </c>
      <c r="G1044" s="6">
        <v>45736</v>
      </c>
      <c r="H1044">
        <v>50</v>
      </c>
      <c r="I1044">
        <f>ROUND(CompilDonnées[[#This Row],[CultureDuration_days]]/7,0)</f>
        <v>7</v>
      </c>
      <c r="J1044">
        <v>1709</v>
      </c>
      <c r="K1044" t="str">
        <f>_xlfn.CONCAT(WEEKNUM(CompilDonnées[[#This Row],[PlantationDate]]), " ", YEAR(CompilDonnées[[#This Row],[PlantationDate]]))</f>
        <v>5 2025</v>
      </c>
      <c r="L1044" t="str">
        <f>CONCATENATE(MONTH(CompilDonnées[[#This Row],[PlantationDate]])," ", YEAR(CompilDonnées[[#This Row],[PlantationDate]]))</f>
        <v>1 2025</v>
      </c>
      <c r="M1044" t="str">
        <f>CONCATENATE(MONTH(CompilDonnées[[#This Row],[HarvestingDate]])," ", YEAR(CompilDonnées[[#This Row],[HarvestingDate]]))</f>
        <v>3 2025</v>
      </c>
      <c r="N1044">
        <f>_xlfn.NUMBERVALUE(CompilDonnées[[#This Row],[FarmID]]&amp;CompilDonnées[[#This Row],[ModuleNumber]]&amp;CompilDonnées[[#This Row],[PlantationDate]])</f>
        <v>87345686</v>
      </c>
      <c r="O1044" t="str">
        <f>CompilDonnées[[#This Row],[FarmID]]&amp;CompilDonnées[[#This Row],[ModuleNumber]]</f>
        <v>873</v>
      </c>
      <c r="P1044" t="str">
        <f>CompilDonnées[[#This Row],[Ref_Module]]&amp;CompilDonnées[[#This Row],[HarvestingDate]]</f>
        <v>87345736</v>
      </c>
    </row>
    <row r="1045" spans="1:16">
      <c r="A1045" s="5">
        <v>45686</v>
      </c>
      <c r="B1045">
        <v>86</v>
      </c>
      <c r="C1045" t="s">
        <v>37</v>
      </c>
      <c r="D1045">
        <v>1</v>
      </c>
      <c r="E1045">
        <v>100</v>
      </c>
      <c r="F1045" t="s">
        <v>1</v>
      </c>
      <c r="G1045" s="6">
        <v>45729</v>
      </c>
      <c r="H1045">
        <v>43</v>
      </c>
      <c r="I1045">
        <f>ROUND(CompilDonnées[[#This Row],[CultureDuration_days]]/7,0)</f>
        <v>6</v>
      </c>
      <c r="J1045">
        <v>3575</v>
      </c>
      <c r="K1045" t="str">
        <f>_xlfn.CONCAT(WEEKNUM(CompilDonnées[[#This Row],[PlantationDate]]), " ", YEAR(CompilDonnées[[#This Row],[PlantationDate]]))</f>
        <v>5 2025</v>
      </c>
      <c r="L1045" t="str">
        <f>CONCATENATE(MONTH(CompilDonnées[[#This Row],[PlantationDate]])," ", YEAR(CompilDonnées[[#This Row],[PlantationDate]]))</f>
        <v>1 2025</v>
      </c>
      <c r="M1045" t="str">
        <f>CONCATENATE(MONTH(CompilDonnées[[#This Row],[HarvestingDate]])," ", YEAR(CompilDonnées[[#This Row],[HarvestingDate]]))</f>
        <v>3 2025</v>
      </c>
      <c r="N1045">
        <f>_xlfn.NUMBERVALUE(CompilDonnées[[#This Row],[FarmID]]&amp;CompilDonnées[[#This Row],[ModuleNumber]]&amp;CompilDonnées[[#This Row],[PlantationDate]])</f>
        <v>86145686</v>
      </c>
      <c r="O1045" t="str">
        <f>CompilDonnées[[#This Row],[FarmID]]&amp;CompilDonnées[[#This Row],[ModuleNumber]]</f>
        <v>861</v>
      </c>
      <c r="P1045" t="str">
        <f>CompilDonnées[[#This Row],[Ref_Module]]&amp;CompilDonnées[[#This Row],[HarvestingDate]]</f>
        <v>86145729</v>
      </c>
    </row>
    <row r="1046" spans="1:16">
      <c r="A1046" s="5">
        <v>45686</v>
      </c>
      <c r="B1046">
        <v>85</v>
      </c>
      <c r="C1046" t="s">
        <v>56</v>
      </c>
      <c r="D1046">
        <v>2</v>
      </c>
      <c r="E1046">
        <v>100</v>
      </c>
      <c r="F1046" t="s">
        <v>1</v>
      </c>
      <c r="G1046" s="6">
        <v>45729</v>
      </c>
      <c r="H1046">
        <v>43</v>
      </c>
      <c r="I1046">
        <f>ROUND(CompilDonnées[[#This Row],[CultureDuration_days]]/7,0)</f>
        <v>6</v>
      </c>
      <c r="J1046">
        <v>3644</v>
      </c>
      <c r="K1046" t="str">
        <f>_xlfn.CONCAT(WEEKNUM(CompilDonnées[[#This Row],[PlantationDate]]), " ", YEAR(CompilDonnées[[#This Row],[PlantationDate]]))</f>
        <v>5 2025</v>
      </c>
      <c r="L1046" t="str">
        <f>CONCATENATE(MONTH(CompilDonnées[[#This Row],[PlantationDate]])," ", YEAR(CompilDonnées[[#This Row],[PlantationDate]]))</f>
        <v>1 2025</v>
      </c>
      <c r="M1046" t="str">
        <f>CONCATENATE(MONTH(CompilDonnées[[#This Row],[HarvestingDate]])," ", YEAR(CompilDonnées[[#This Row],[HarvestingDate]]))</f>
        <v>3 2025</v>
      </c>
      <c r="N1046">
        <f>_xlfn.NUMBERVALUE(CompilDonnées[[#This Row],[FarmID]]&amp;CompilDonnées[[#This Row],[ModuleNumber]]&amp;CompilDonnées[[#This Row],[PlantationDate]])</f>
        <v>85245686</v>
      </c>
      <c r="O1046" t="str">
        <f>CompilDonnées[[#This Row],[FarmID]]&amp;CompilDonnées[[#This Row],[ModuleNumber]]</f>
        <v>852</v>
      </c>
      <c r="P1046" t="str">
        <f>CompilDonnées[[#This Row],[Ref_Module]]&amp;CompilDonnées[[#This Row],[HarvestingDate]]</f>
        <v>85245729</v>
      </c>
    </row>
    <row r="1047" spans="1:16">
      <c r="A1047" s="5">
        <v>45686</v>
      </c>
      <c r="B1047">
        <v>94</v>
      </c>
      <c r="C1047" t="s">
        <v>40</v>
      </c>
      <c r="D1047">
        <v>2</v>
      </c>
      <c r="E1047">
        <v>100</v>
      </c>
      <c r="F1047" t="s">
        <v>1</v>
      </c>
      <c r="G1047" s="6">
        <v>45728</v>
      </c>
      <c r="H1047">
        <v>42</v>
      </c>
      <c r="I1047">
        <f>ROUND(CompilDonnées[[#This Row],[CultureDuration_days]]/7,0)</f>
        <v>6</v>
      </c>
      <c r="J1047">
        <v>3540</v>
      </c>
      <c r="K1047" t="str">
        <f>_xlfn.CONCAT(WEEKNUM(CompilDonnées[[#This Row],[PlantationDate]]), " ", YEAR(CompilDonnées[[#This Row],[PlantationDate]]))</f>
        <v>5 2025</v>
      </c>
      <c r="L1047" t="str">
        <f>CONCATENATE(MONTH(CompilDonnées[[#This Row],[PlantationDate]])," ", YEAR(CompilDonnées[[#This Row],[PlantationDate]]))</f>
        <v>1 2025</v>
      </c>
      <c r="M1047" t="str">
        <f>CONCATENATE(MONTH(CompilDonnées[[#This Row],[HarvestingDate]])," ", YEAR(CompilDonnées[[#This Row],[HarvestingDate]]))</f>
        <v>3 2025</v>
      </c>
      <c r="N1047">
        <f>_xlfn.NUMBERVALUE(CompilDonnées[[#This Row],[FarmID]]&amp;CompilDonnées[[#This Row],[ModuleNumber]]&amp;CompilDonnées[[#This Row],[PlantationDate]])</f>
        <v>94245686</v>
      </c>
      <c r="O1047" t="str">
        <f>CompilDonnées[[#This Row],[FarmID]]&amp;CompilDonnées[[#This Row],[ModuleNumber]]</f>
        <v>942</v>
      </c>
      <c r="P1047" t="str">
        <f>CompilDonnées[[#This Row],[Ref_Module]]&amp;CompilDonnées[[#This Row],[HarvestingDate]]</f>
        <v>94245728</v>
      </c>
    </row>
    <row r="1048" spans="1:16">
      <c r="A1048" s="5">
        <v>45686</v>
      </c>
      <c r="B1048">
        <v>93</v>
      </c>
      <c r="C1048" t="s">
        <v>10</v>
      </c>
      <c r="D1048">
        <v>6</v>
      </c>
      <c r="E1048">
        <v>100</v>
      </c>
      <c r="F1048" t="s">
        <v>1</v>
      </c>
      <c r="G1048" s="6">
        <v>45719</v>
      </c>
      <c r="H1048">
        <v>33</v>
      </c>
      <c r="I1048">
        <f>ROUND(CompilDonnées[[#This Row],[CultureDuration_days]]/7,0)</f>
        <v>5</v>
      </c>
      <c r="J1048">
        <v>3111</v>
      </c>
      <c r="K1048" t="str">
        <f>_xlfn.CONCAT(WEEKNUM(CompilDonnées[[#This Row],[PlantationDate]]), " ", YEAR(CompilDonnées[[#This Row],[PlantationDate]]))</f>
        <v>5 2025</v>
      </c>
      <c r="L1048" t="str">
        <f>CONCATENATE(MONTH(CompilDonnées[[#This Row],[PlantationDate]])," ", YEAR(CompilDonnées[[#This Row],[PlantationDate]]))</f>
        <v>1 2025</v>
      </c>
      <c r="M1048" t="str">
        <f>CONCATENATE(MONTH(CompilDonnées[[#This Row],[HarvestingDate]])," ", YEAR(CompilDonnées[[#This Row],[HarvestingDate]]))</f>
        <v>3 2025</v>
      </c>
      <c r="N1048">
        <f>_xlfn.NUMBERVALUE(CompilDonnées[[#This Row],[FarmID]]&amp;CompilDonnées[[#This Row],[ModuleNumber]]&amp;CompilDonnées[[#This Row],[PlantationDate]])</f>
        <v>93645686</v>
      </c>
      <c r="O1048" t="str">
        <f>CompilDonnées[[#This Row],[FarmID]]&amp;CompilDonnées[[#This Row],[ModuleNumber]]</f>
        <v>936</v>
      </c>
      <c r="P1048" t="str">
        <f>CompilDonnées[[#This Row],[Ref_Module]]&amp;CompilDonnées[[#This Row],[HarvestingDate]]</f>
        <v>93645719</v>
      </c>
    </row>
    <row r="1049" spans="1:16">
      <c r="A1049" s="5">
        <v>45686</v>
      </c>
      <c r="B1049">
        <v>91</v>
      </c>
      <c r="C1049" t="s">
        <v>9</v>
      </c>
      <c r="D1049">
        <v>5</v>
      </c>
      <c r="E1049">
        <v>100</v>
      </c>
      <c r="F1049" t="s">
        <v>1</v>
      </c>
      <c r="G1049" s="6">
        <v>45729</v>
      </c>
      <c r="H1049">
        <v>43</v>
      </c>
      <c r="I1049">
        <f>ROUND(CompilDonnées[[#This Row],[CultureDuration_days]]/7,0)</f>
        <v>6</v>
      </c>
      <c r="J1049">
        <v>3053</v>
      </c>
      <c r="K1049" t="str">
        <f>_xlfn.CONCAT(WEEKNUM(CompilDonnées[[#This Row],[PlantationDate]]), " ", YEAR(CompilDonnées[[#This Row],[PlantationDate]]))</f>
        <v>5 2025</v>
      </c>
      <c r="L1049" t="str">
        <f>CONCATENATE(MONTH(CompilDonnées[[#This Row],[PlantationDate]])," ", YEAR(CompilDonnées[[#This Row],[PlantationDate]]))</f>
        <v>1 2025</v>
      </c>
      <c r="M1049" t="str">
        <f>CONCATENATE(MONTH(CompilDonnées[[#This Row],[HarvestingDate]])," ", YEAR(CompilDonnées[[#This Row],[HarvestingDate]]))</f>
        <v>3 2025</v>
      </c>
      <c r="N1049">
        <f>_xlfn.NUMBERVALUE(CompilDonnées[[#This Row],[FarmID]]&amp;CompilDonnées[[#This Row],[ModuleNumber]]&amp;CompilDonnées[[#This Row],[PlantationDate]])</f>
        <v>91545686</v>
      </c>
      <c r="O1049" t="str">
        <f>CompilDonnées[[#This Row],[FarmID]]&amp;CompilDonnées[[#This Row],[ModuleNumber]]</f>
        <v>915</v>
      </c>
      <c r="P1049" t="str">
        <f>CompilDonnées[[#This Row],[Ref_Module]]&amp;CompilDonnées[[#This Row],[HarvestingDate]]</f>
        <v>91545729</v>
      </c>
    </row>
    <row r="1050" spans="1:16">
      <c r="A1050" s="5">
        <v>45686</v>
      </c>
      <c r="B1050">
        <v>98</v>
      </c>
      <c r="C1050" t="s">
        <v>79</v>
      </c>
      <c r="D1050">
        <v>5</v>
      </c>
      <c r="E1050">
        <v>100</v>
      </c>
      <c r="F1050" t="s">
        <v>1</v>
      </c>
      <c r="G1050" s="6">
        <v>45719</v>
      </c>
      <c r="H1050">
        <v>33</v>
      </c>
      <c r="I1050">
        <f>ROUND(CompilDonnées[[#This Row],[CultureDuration_days]]/7,0)</f>
        <v>5</v>
      </c>
      <c r="J1050">
        <v>3199</v>
      </c>
      <c r="K1050" t="str">
        <f>_xlfn.CONCAT(WEEKNUM(CompilDonnées[[#This Row],[PlantationDate]]), " ", YEAR(CompilDonnées[[#This Row],[PlantationDate]]))</f>
        <v>5 2025</v>
      </c>
      <c r="L1050" t="str">
        <f>CONCATENATE(MONTH(CompilDonnées[[#This Row],[PlantationDate]])," ", YEAR(CompilDonnées[[#This Row],[PlantationDate]]))</f>
        <v>1 2025</v>
      </c>
      <c r="M1050" t="str">
        <f>CONCATENATE(MONTH(CompilDonnées[[#This Row],[HarvestingDate]])," ", YEAR(CompilDonnées[[#This Row],[HarvestingDate]]))</f>
        <v>3 2025</v>
      </c>
      <c r="N1050">
        <f>_xlfn.NUMBERVALUE(CompilDonnées[[#This Row],[FarmID]]&amp;CompilDonnées[[#This Row],[ModuleNumber]]&amp;CompilDonnées[[#This Row],[PlantationDate]])</f>
        <v>98545686</v>
      </c>
      <c r="O1050" t="str">
        <f>CompilDonnées[[#This Row],[FarmID]]&amp;CompilDonnées[[#This Row],[ModuleNumber]]</f>
        <v>985</v>
      </c>
      <c r="P1050" t="str">
        <f>CompilDonnées[[#This Row],[Ref_Module]]&amp;CompilDonnées[[#This Row],[HarvestingDate]]</f>
        <v>98545719</v>
      </c>
    </row>
    <row r="1051" spans="1:16">
      <c r="A1051" s="5">
        <v>45686</v>
      </c>
      <c r="B1051">
        <v>100</v>
      </c>
      <c r="C1051" t="s">
        <v>84</v>
      </c>
      <c r="D1051">
        <v>4</v>
      </c>
      <c r="E1051">
        <v>100</v>
      </c>
      <c r="F1051" t="s">
        <v>1</v>
      </c>
      <c r="G1051" s="6">
        <v>45729</v>
      </c>
      <c r="H1051">
        <v>43</v>
      </c>
      <c r="I1051">
        <f>ROUND(CompilDonnées[[#This Row],[CultureDuration_days]]/7,0)</f>
        <v>6</v>
      </c>
      <c r="J1051">
        <v>3490</v>
      </c>
      <c r="K1051" t="str">
        <f>_xlfn.CONCAT(WEEKNUM(CompilDonnées[[#This Row],[PlantationDate]]), " ", YEAR(CompilDonnées[[#This Row],[PlantationDate]]))</f>
        <v>5 2025</v>
      </c>
      <c r="L1051" t="str">
        <f>CONCATENATE(MONTH(CompilDonnées[[#This Row],[PlantationDate]])," ", YEAR(CompilDonnées[[#This Row],[PlantationDate]]))</f>
        <v>1 2025</v>
      </c>
      <c r="M1051" t="str">
        <f>CONCATENATE(MONTH(CompilDonnées[[#This Row],[HarvestingDate]])," ", YEAR(CompilDonnées[[#This Row],[HarvestingDate]]))</f>
        <v>3 2025</v>
      </c>
      <c r="N1051">
        <f>_xlfn.NUMBERVALUE(CompilDonnées[[#This Row],[FarmID]]&amp;CompilDonnées[[#This Row],[ModuleNumber]]&amp;CompilDonnées[[#This Row],[PlantationDate]])</f>
        <v>100445686</v>
      </c>
      <c r="O1051" t="str">
        <f>CompilDonnées[[#This Row],[FarmID]]&amp;CompilDonnées[[#This Row],[ModuleNumber]]</f>
        <v>1004</v>
      </c>
      <c r="P1051" t="str">
        <f>CompilDonnées[[#This Row],[Ref_Module]]&amp;CompilDonnées[[#This Row],[HarvestingDate]]</f>
        <v>100445729</v>
      </c>
    </row>
    <row r="1052" spans="1:16">
      <c r="A1052" s="5">
        <v>45686</v>
      </c>
      <c r="B1052">
        <v>101</v>
      </c>
      <c r="C1052" t="s">
        <v>54</v>
      </c>
      <c r="D1052">
        <v>2</v>
      </c>
      <c r="E1052">
        <v>100</v>
      </c>
      <c r="F1052" t="s">
        <v>1</v>
      </c>
      <c r="G1052" s="6">
        <v>45729</v>
      </c>
      <c r="H1052">
        <v>43</v>
      </c>
      <c r="I1052">
        <f>ROUND(CompilDonnées[[#This Row],[CultureDuration_days]]/7,0)</f>
        <v>6</v>
      </c>
      <c r="J1052">
        <v>3768</v>
      </c>
      <c r="K1052" t="str">
        <f>_xlfn.CONCAT(WEEKNUM(CompilDonnées[[#This Row],[PlantationDate]]), " ", YEAR(CompilDonnées[[#This Row],[PlantationDate]]))</f>
        <v>5 2025</v>
      </c>
      <c r="L1052" t="str">
        <f>CONCATENATE(MONTH(CompilDonnées[[#This Row],[PlantationDate]])," ", YEAR(CompilDonnées[[#This Row],[PlantationDate]]))</f>
        <v>1 2025</v>
      </c>
      <c r="M1052" t="str">
        <f>CONCATENATE(MONTH(CompilDonnées[[#This Row],[HarvestingDate]])," ", YEAR(CompilDonnées[[#This Row],[HarvestingDate]]))</f>
        <v>3 2025</v>
      </c>
      <c r="N1052">
        <f>_xlfn.NUMBERVALUE(CompilDonnées[[#This Row],[FarmID]]&amp;CompilDonnées[[#This Row],[ModuleNumber]]&amp;CompilDonnées[[#This Row],[PlantationDate]])</f>
        <v>101245686</v>
      </c>
      <c r="O1052" t="str">
        <f>CompilDonnées[[#This Row],[FarmID]]&amp;CompilDonnées[[#This Row],[ModuleNumber]]</f>
        <v>1012</v>
      </c>
      <c r="P1052" t="str">
        <f>CompilDonnées[[#This Row],[Ref_Module]]&amp;CompilDonnées[[#This Row],[HarvestingDate]]</f>
        <v>101245729</v>
      </c>
    </row>
    <row r="1053" spans="1:16">
      <c r="A1053" s="5">
        <v>45686</v>
      </c>
      <c r="B1053">
        <v>95</v>
      </c>
      <c r="C1053" t="s">
        <v>90</v>
      </c>
      <c r="D1053">
        <v>5</v>
      </c>
      <c r="E1053">
        <v>100</v>
      </c>
      <c r="F1053" t="s">
        <v>1</v>
      </c>
      <c r="G1053" s="6">
        <v>45728</v>
      </c>
      <c r="H1053">
        <v>42</v>
      </c>
      <c r="I1053">
        <f>ROUND(CompilDonnées[[#This Row],[CultureDuration_days]]/7,0)</f>
        <v>6</v>
      </c>
      <c r="J1053">
        <v>3566</v>
      </c>
      <c r="K1053" t="str">
        <f>_xlfn.CONCAT(WEEKNUM(CompilDonnées[[#This Row],[PlantationDate]]), " ", YEAR(CompilDonnées[[#This Row],[PlantationDate]]))</f>
        <v>5 2025</v>
      </c>
      <c r="L1053" t="str">
        <f>CONCATENATE(MONTH(CompilDonnées[[#This Row],[PlantationDate]])," ", YEAR(CompilDonnées[[#This Row],[PlantationDate]]))</f>
        <v>1 2025</v>
      </c>
      <c r="M1053" t="str">
        <f>CONCATENATE(MONTH(CompilDonnées[[#This Row],[HarvestingDate]])," ", YEAR(CompilDonnées[[#This Row],[HarvestingDate]]))</f>
        <v>3 2025</v>
      </c>
      <c r="N1053">
        <f>_xlfn.NUMBERVALUE(CompilDonnées[[#This Row],[FarmID]]&amp;CompilDonnées[[#This Row],[ModuleNumber]]&amp;CompilDonnées[[#This Row],[PlantationDate]])</f>
        <v>95545686</v>
      </c>
      <c r="O1053" t="str">
        <f>CompilDonnées[[#This Row],[FarmID]]&amp;CompilDonnées[[#This Row],[ModuleNumber]]</f>
        <v>955</v>
      </c>
      <c r="P1053" t="str">
        <f>CompilDonnées[[#This Row],[Ref_Module]]&amp;CompilDonnées[[#This Row],[HarvestingDate]]</f>
        <v>95545728</v>
      </c>
    </row>
    <row r="1054" spans="1:16">
      <c r="A1054" s="5">
        <v>45686</v>
      </c>
      <c r="B1054">
        <v>95</v>
      </c>
      <c r="C1054" t="s">
        <v>90</v>
      </c>
      <c r="D1054">
        <v>6</v>
      </c>
      <c r="E1054">
        <v>100</v>
      </c>
      <c r="F1054" t="s">
        <v>1</v>
      </c>
      <c r="G1054" s="6">
        <v>45728</v>
      </c>
      <c r="H1054">
        <v>42</v>
      </c>
      <c r="I1054">
        <f>ROUND(CompilDonnées[[#This Row],[CultureDuration_days]]/7,0)</f>
        <v>6</v>
      </c>
      <c r="J1054">
        <v>3569</v>
      </c>
      <c r="K1054" t="str">
        <f>_xlfn.CONCAT(WEEKNUM(CompilDonnées[[#This Row],[PlantationDate]]), " ", YEAR(CompilDonnées[[#This Row],[PlantationDate]]))</f>
        <v>5 2025</v>
      </c>
      <c r="L1054" t="str">
        <f>CONCATENATE(MONTH(CompilDonnées[[#This Row],[PlantationDate]])," ", YEAR(CompilDonnées[[#This Row],[PlantationDate]]))</f>
        <v>1 2025</v>
      </c>
      <c r="M1054" t="str">
        <f>CONCATENATE(MONTH(CompilDonnées[[#This Row],[HarvestingDate]])," ", YEAR(CompilDonnées[[#This Row],[HarvestingDate]]))</f>
        <v>3 2025</v>
      </c>
      <c r="N1054">
        <f>_xlfn.NUMBERVALUE(CompilDonnées[[#This Row],[FarmID]]&amp;CompilDonnées[[#This Row],[ModuleNumber]]&amp;CompilDonnées[[#This Row],[PlantationDate]])</f>
        <v>95645686</v>
      </c>
      <c r="O1054" t="str">
        <f>CompilDonnées[[#This Row],[FarmID]]&amp;CompilDonnées[[#This Row],[ModuleNumber]]</f>
        <v>956</v>
      </c>
      <c r="P1054" t="str">
        <f>CompilDonnées[[#This Row],[Ref_Module]]&amp;CompilDonnées[[#This Row],[HarvestingDate]]</f>
        <v>95645728</v>
      </c>
    </row>
    <row r="1055" spans="1:16">
      <c r="A1055" s="5">
        <v>45686</v>
      </c>
      <c r="B1055">
        <v>90</v>
      </c>
      <c r="C1055" t="s">
        <v>72</v>
      </c>
      <c r="D1055">
        <v>1</v>
      </c>
      <c r="E1055">
        <v>100</v>
      </c>
      <c r="F1055" t="s">
        <v>1</v>
      </c>
      <c r="G1055" s="6">
        <v>45728</v>
      </c>
      <c r="H1055">
        <v>42</v>
      </c>
      <c r="I1055">
        <f>ROUND(CompilDonnées[[#This Row],[CultureDuration_days]]/7,0)</f>
        <v>6</v>
      </c>
      <c r="J1055">
        <v>3645</v>
      </c>
      <c r="K1055" t="str">
        <f>_xlfn.CONCAT(WEEKNUM(CompilDonnées[[#This Row],[PlantationDate]]), " ", YEAR(CompilDonnées[[#This Row],[PlantationDate]]))</f>
        <v>5 2025</v>
      </c>
      <c r="L1055" t="str">
        <f>CONCATENATE(MONTH(CompilDonnées[[#This Row],[PlantationDate]])," ", YEAR(CompilDonnées[[#This Row],[PlantationDate]]))</f>
        <v>1 2025</v>
      </c>
      <c r="M1055" t="str">
        <f>CONCATENATE(MONTH(CompilDonnées[[#This Row],[HarvestingDate]])," ", YEAR(CompilDonnées[[#This Row],[HarvestingDate]]))</f>
        <v>3 2025</v>
      </c>
      <c r="N1055">
        <f>_xlfn.NUMBERVALUE(CompilDonnées[[#This Row],[FarmID]]&amp;CompilDonnées[[#This Row],[ModuleNumber]]&amp;CompilDonnées[[#This Row],[PlantationDate]])</f>
        <v>90145686</v>
      </c>
      <c r="O1055" t="str">
        <f>CompilDonnées[[#This Row],[FarmID]]&amp;CompilDonnées[[#This Row],[ModuleNumber]]</f>
        <v>901</v>
      </c>
      <c r="P1055" t="str">
        <f>CompilDonnées[[#This Row],[Ref_Module]]&amp;CompilDonnées[[#This Row],[HarvestingDate]]</f>
        <v>90145728</v>
      </c>
    </row>
    <row r="1056" spans="1:16">
      <c r="A1056" s="5">
        <v>45686</v>
      </c>
      <c r="B1056">
        <v>90</v>
      </c>
      <c r="C1056" t="s">
        <v>72</v>
      </c>
      <c r="D1056">
        <v>2</v>
      </c>
      <c r="E1056">
        <v>100</v>
      </c>
      <c r="F1056" t="s">
        <v>1</v>
      </c>
      <c r="G1056" s="6">
        <v>45728</v>
      </c>
      <c r="H1056">
        <v>42</v>
      </c>
      <c r="I1056">
        <f>ROUND(CompilDonnées[[#This Row],[CultureDuration_days]]/7,0)</f>
        <v>6</v>
      </c>
      <c r="J1056">
        <v>3598</v>
      </c>
      <c r="K1056" t="str">
        <f>_xlfn.CONCAT(WEEKNUM(CompilDonnées[[#This Row],[PlantationDate]]), " ", YEAR(CompilDonnées[[#This Row],[PlantationDate]]))</f>
        <v>5 2025</v>
      </c>
      <c r="L1056" t="str">
        <f>CONCATENATE(MONTH(CompilDonnées[[#This Row],[PlantationDate]])," ", YEAR(CompilDonnées[[#This Row],[PlantationDate]]))</f>
        <v>1 2025</v>
      </c>
      <c r="M1056" t="str">
        <f>CONCATENATE(MONTH(CompilDonnées[[#This Row],[HarvestingDate]])," ", YEAR(CompilDonnées[[#This Row],[HarvestingDate]]))</f>
        <v>3 2025</v>
      </c>
      <c r="N1056">
        <f>_xlfn.NUMBERVALUE(CompilDonnées[[#This Row],[FarmID]]&amp;CompilDonnées[[#This Row],[ModuleNumber]]&amp;CompilDonnées[[#This Row],[PlantationDate]])</f>
        <v>90245686</v>
      </c>
      <c r="O1056" t="str">
        <f>CompilDonnées[[#This Row],[FarmID]]&amp;CompilDonnées[[#This Row],[ModuleNumber]]</f>
        <v>902</v>
      </c>
      <c r="P1056" t="str">
        <f>CompilDonnées[[#This Row],[Ref_Module]]&amp;CompilDonnées[[#This Row],[HarvestingDate]]</f>
        <v>90245728</v>
      </c>
    </row>
    <row r="1057" spans="1:16">
      <c r="A1057" s="5">
        <v>45686</v>
      </c>
      <c r="B1057">
        <v>89</v>
      </c>
      <c r="C1057" t="s">
        <v>67</v>
      </c>
      <c r="D1057">
        <v>1</v>
      </c>
      <c r="E1057">
        <v>100</v>
      </c>
      <c r="F1057" t="s">
        <v>1</v>
      </c>
      <c r="G1057" s="6">
        <v>45728</v>
      </c>
      <c r="H1057">
        <v>42</v>
      </c>
      <c r="I1057">
        <f>ROUND(CompilDonnées[[#This Row],[CultureDuration_days]]/7,0)</f>
        <v>6</v>
      </c>
      <c r="J1057">
        <v>3514</v>
      </c>
      <c r="K1057" t="str">
        <f>_xlfn.CONCAT(WEEKNUM(CompilDonnées[[#This Row],[PlantationDate]]), " ", YEAR(CompilDonnées[[#This Row],[PlantationDate]]))</f>
        <v>5 2025</v>
      </c>
      <c r="L1057" t="str">
        <f>CONCATENATE(MONTH(CompilDonnées[[#This Row],[PlantationDate]])," ", YEAR(CompilDonnées[[#This Row],[PlantationDate]]))</f>
        <v>1 2025</v>
      </c>
      <c r="M1057" t="str">
        <f>CONCATENATE(MONTH(CompilDonnées[[#This Row],[HarvestingDate]])," ", YEAR(CompilDonnées[[#This Row],[HarvestingDate]]))</f>
        <v>3 2025</v>
      </c>
      <c r="N1057">
        <f>_xlfn.NUMBERVALUE(CompilDonnées[[#This Row],[FarmID]]&amp;CompilDonnées[[#This Row],[ModuleNumber]]&amp;CompilDonnées[[#This Row],[PlantationDate]])</f>
        <v>89145686</v>
      </c>
      <c r="O1057" t="str">
        <f>CompilDonnées[[#This Row],[FarmID]]&amp;CompilDonnées[[#This Row],[ModuleNumber]]</f>
        <v>891</v>
      </c>
      <c r="P1057" t="str">
        <f>CompilDonnées[[#This Row],[Ref_Module]]&amp;CompilDonnées[[#This Row],[HarvestingDate]]</f>
        <v>89145728</v>
      </c>
    </row>
    <row r="1058" spans="1:16">
      <c r="A1058" s="5">
        <v>45686</v>
      </c>
      <c r="B1058">
        <v>99</v>
      </c>
      <c r="C1058" t="s">
        <v>117</v>
      </c>
      <c r="D1058">
        <v>1</v>
      </c>
      <c r="E1058">
        <v>100</v>
      </c>
      <c r="F1058" t="s">
        <v>1</v>
      </c>
      <c r="G1058" s="6">
        <v>45729</v>
      </c>
      <c r="H1058">
        <v>43</v>
      </c>
      <c r="I1058">
        <f>ROUND(CompilDonnées[[#This Row],[CultureDuration_days]]/7,0)</f>
        <v>6</v>
      </c>
      <c r="J1058">
        <v>3331</v>
      </c>
      <c r="K1058" t="str">
        <f>_xlfn.CONCAT(WEEKNUM(CompilDonnées[[#This Row],[PlantationDate]]), " ", YEAR(CompilDonnées[[#This Row],[PlantationDate]]))</f>
        <v>5 2025</v>
      </c>
      <c r="L1058" t="str">
        <f>CONCATENATE(MONTH(CompilDonnées[[#This Row],[PlantationDate]])," ", YEAR(CompilDonnées[[#This Row],[PlantationDate]]))</f>
        <v>1 2025</v>
      </c>
      <c r="M1058" t="str">
        <f>CONCATENATE(MONTH(CompilDonnées[[#This Row],[HarvestingDate]])," ", YEAR(CompilDonnées[[#This Row],[HarvestingDate]]))</f>
        <v>3 2025</v>
      </c>
      <c r="N1058">
        <f>_xlfn.NUMBERVALUE(CompilDonnées[[#This Row],[FarmID]]&amp;CompilDonnées[[#This Row],[ModuleNumber]]&amp;CompilDonnées[[#This Row],[PlantationDate]])</f>
        <v>99145686</v>
      </c>
      <c r="O1058" t="str">
        <f>CompilDonnées[[#This Row],[FarmID]]&amp;CompilDonnées[[#This Row],[ModuleNumber]]</f>
        <v>991</v>
      </c>
      <c r="P1058" t="str">
        <f>CompilDonnées[[#This Row],[Ref_Module]]&amp;CompilDonnées[[#This Row],[HarvestingDate]]</f>
        <v>99145729</v>
      </c>
    </row>
    <row r="1059" spans="1:16">
      <c r="A1059" s="5">
        <v>45686</v>
      </c>
      <c r="B1059">
        <v>116</v>
      </c>
      <c r="C1059" t="s">
        <v>76</v>
      </c>
      <c r="D1059">
        <v>1</v>
      </c>
      <c r="E1059">
        <v>100</v>
      </c>
      <c r="F1059" t="s">
        <v>1</v>
      </c>
      <c r="G1059" s="6">
        <v>45729</v>
      </c>
      <c r="H1059">
        <v>43</v>
      </c>
      <c r="I1059">
        <f>ROUND(CompilDonnées[[#This Row],[CultureDuration_days]]/7,0)</f>
        <v>6</v>
      </c>
      <c r="J1059">
        <v>3061</v>
      </c>
      <c r="K1059" t="str">
        <f>_xlfn.CONCAT(WEEKNUM(CompilDonnées[[#This Row],[PlantationDate]]), " ", YEAR(CompilDonnées[[#This Row],[PlantationDate]]))</f>
        <v>5 2025</v>
      </c>
      <c r="L1059" t="str">
        <f>CONCATENATE(MONTH(CompilDonnées[[#This Row],[PlantationDate]])," ", YEAR(CompilDonnées[[#This Row],[PlantationDate]]))</f>
        <v>1 2025</v>
      </c>
      <c r="M1059" t="str">
        <f>CONCATENATE(MONTH(CompilDonnées[[#This Row],[HarvestingDate]])," ", YEAR(CompilDonnées[[#This Row],[HarvestingDate]]))</f>
        <v>3 2025</v>
      </c>
      <c r="N1059">
        <f>_xlfn.NUMBERVALUE(CompilDonnées[[#This Row],[FarmID]]&amp;CompilDonnées[[#This Row],[ModuleNumber]]&amp;CompilDonnées[[#This Row],[PlantationDate]])</f>
        <v>116145686</v>
      </c>
      <c r="O1059" t="str">
        <f>CompilDonnées[[#This Row],[FarmID]]&amp;CompilDonnées[[#This Row],[ModuleNumber]]</f>
        <v>1161</v>
      </c>
      <c r="P1059" t="str">
        <f>CompilDonnées[[#This Row],[Ref_Module]]&amp;CompilDonnées[[#This Row],[HarvestingDate]]</f>
        <v>116145729</v>
      </c>
    </row>
    <row r="1060" spans="1:16">
      <c r="A1060" s="5">
        <v>45686</v>
      </c>
      <c r="B1060">
        <v>115</v>
      </c>
      <c r="C1060" t="s">
        <v>92</v>
      </c>
      <c r="D1060">
        <v>4</v>
      </c>
      <c r="E1060">
        <v>100</v>
      </c>
      <c r="F1060" t="s">
        <v>1</v>
      </c>
      <c r="G1060" s="6">
        <v>45729</v>
      </c>
      <c r="H1060">
        <v>43</v>
      </c>
      <c r="I1060">
        <f>ROUND(CompilDonnées[[#This Row],[CultureDuration_days]]/7,0)</f>
        <v>6</v>
      </c>
      <c r="J1060">
        <v>3006</v>
      </c>
      <c r="K1060" t="str">
        <f>_xlfn.CONCAT(WEEKNUM(CompilDonnées[[#This Row],[PlantationDate]]), " ", YEAR(CompilDonnées[[#This Row],[PlantationDate]]))</f>
        <v>5 2025</v>
      </c>
      <c r="L1060" t="str">
        <f>CONCATENATE(MONTH(CompilDonnées[[#This Row],[PlantationDate]])," ", YEAR(CompilDonnées[[#This Row],[PlantationDate]]))</f>
        <v>1 2025</v>
      </c>
      <c r="M1060" t="str">
        <f>CONCATENATE(MONTH(CompilDonnées[[#This Row],[HarvestingDate]])," ", YEAR(CompilDonnées[[#This Row],[HarvestingDate]]))</f>
        <v>3 2025</v>
      </c>
      <c r="N1060">
        <f>_xlfn.NUMBERVALUE(CompilDonnées[[#This Row],[FarmID]]&amp;CompilDonnées[[#This Row],[ModuleNumber]]&amp;CompilDonnées[[#This Row],[PlantationDate]])</f>
        <v>115445686</v>
      </c>
      <c r="O1060" t="str">
        <f>CompilDonnées[[#This Row],[FarmID]]&amp;CompilDonnées[[#This Row],[ModuleNumber]]</f>
        <v>1154</v>
      </c>
      <c r="P1060" t="str">
        <f>CompilDonnées[[#This Row],[Ref_Module]]&amp;CompilDonnées[[#This Row],[HarvestingDate]]</f>
        <v>115445729</v>
      </c>
    </row>
    <row r="1061" spans="1:16">
      <c r="A1061" s="5">
        <v>45686</v>
      </c>
      <c r="B1061">
        <v>113</v>
      </c>
      <c r="C1061" t="s">
        <v>16</v>
      </c>
      <c r="D1061">
        <v>3</v>
      </c>
      <c r="E1061">
        <v>100</v>
      </c>
      <c r="F1061" t="s">
        <v>1</v>
      </c>
      <c r="G1061" s="6">
        <v>45729</v>
      </c>
      <c r="H1061">
        <v>43</v>
      </c>
      <c r="I1061">
        <f>ROUND(CompilDonnées[[#This Row],[CultureDuration_days]]/7,0)</f>
        <v>6</v>
      </c>
      <c r="J1061">
        <v>3119</v>
      </c>
      <c r="K1061" t="str">
        <f>_xlfn.CONCAT(WEEKNUM(CompilDonnées[[#This Row],[PlantationDate]]), " ", YEAR(CompilDonnées[[#This Row],[PlantationDate]]))</f>
        <v>5 2025</v>
      </c>
      <c r="L1061" t="str">
        <f>CONCATENATE(MONTH(CompilDonnées[[#This Row],[PlantationDate]])," ", YEAR(CompilDonnées[[#This Row],[PlantationDate]]))</f>
        <v>1 2025</v>
      </c>
      <c r="M1061" t="str">
        <f>CONCATENATE(MONTH(CompilDonnées[[#This Row],[HarvestingDate]])," ", YEAR(CompilDonnées[[#This Row],[HarvestingDate]]))</f>
        <v>3 2025</v>
      </c>
      <c r="N1061">
        <f>_xlfn.NUMBERVALUE(CompilDonnées[[#This Row],[FarmID]]&amp;CompilDonnées[[#This Row],[ModuleNumber]]&amp;CompilDonnées[[#This Row],[PlantationDate]])</f>
        <v>113345686</v>
      </c>
      <c r="O1061" t="str">
        <f>CompilDonnées[[#This Row],[FarmID]]&amp;CompilDonnées[[#This Row],[ModuleNumber]]</f>
        <v>1133</v>
      </c>
      <c r="P1061" t="str">
        <f>CompilDonnées[[#This Row],[Ref_Module]]&amp;CompilDonnées[[#This Row],[HarvestingDate]]</f>
        <v>113345729</v>
      </c>
    </row>
    <row r="1062" spans="1:16">
      <c r="A1062" s="5">
        <v>45686</v>
      </c>
      <c r="B1062">
        <v>118</v>
      </c>
      <c r="C1062" t="s">
        <v>51</v>
      </c>
      <c r="D1062">
        <v>5</v>
      </c>
      <c r="E1062">
        <v>100</v>
      </c>
      <c r="F1062" t="s">
        <v>1</v>
      </c>
      <c r="G1062" s="6">
        <v>45730</v>
      </c>
      <c r="H1062">
        <v>44</v>
      </c>
      <c r="I1062">
        <f>ROUND(CompilDonnées[[#This Row],[CultureDuration_days]]/7,0)</f>
        <v>6</v>
      </c>
      <c r="J1062">
        <v>3388</v>
      </c>
      <c r="K1062" t="str">
        <f>_xlfn.CONCAT(WEEKNUM(CompilDonnées[[#This Row],[PlantationDate]]), " ", YEAR(CompilDonnées[[#This Row],[PlantationDate]]))</f>
        <v>5 2025</v>
      </c>
      <c r="L1062" t="str">
        <f>CONCATENATE(MONTH(CompilDonnées[[#This Row],[PlantationDate]])," ", YEAR(CompilDonnées[[#This Row],[PlantationDate]]))</f>
        <v>1 2025</v>
      </c>
      <c r="M1062" t="str">
        <f>CONCATENATE(MONTH(CompilDonnées[[#This Row],[HarvestingDate]])," ", YEAR(CompilDonnées[[#This Row],[HarvestingDate]]))</f>
        <v>3 2025</v>
      </c>
      <c r="N1062">
        <f>_xlfn.NUMBERVALUE(CompilDonnées[[#This Row],[FarmID]]&amp;CompilDonnées[[#This Row],[ModuleNumber]]&amp;CompilDonnées[[#This Row],[PlantationDate]])</f>
        <v>118545686</v>
      </c>
      <c r="O1062" t="str">
        <f>CompilDonnées[[#This Row],[FarmID]]&amp;CompilDonnées[[#This Row],[ModuleNumber]]</f>
        <v>1185</v>
      </c>
      <c r="P1062" t="str">
        <f>CompilDonnées[[#This Row],[Ref_Module]]&amp;CompilDonnées[[#This Row],[HarvestingDate]]</f>
        <v>118545730</v>
      </c>
    </row>
    <row r="1063" spans="1:16">
      <c r="A1063" s="5">
        <v>45686</v>
      </c>
      <c r="B1063">
        <v>123</v>
      </c>
      <c r="C1063" t="s">
        <v>13</v>
      </c>
      <c r="D1063">
        <v>4</v>
      </c>
      <c r="E1063">
        <v>100</v>
      </c>
      <c r="F1063" t="s">
        <v>1</v>
      </c>
      <c r="G1063" s="6">
        <v>45730</v>
      </c>
      <c r="H1063">
        <v>44</v>
      </c>
      <c r="I1063">
        <f>ROUND(CompilDonnées[[#This Row],[CultureDuration_days]]/7,0)</f>
        <v>6</v>
      </c>
      <c r="J1063">
        <v>3568</v>
      </c>
      <c r="K1063" t="str">
        <f>_xlfn.CONCAT(WEEKNUM(CompilDonnées[[#This Row],[PlantationDate]]), " ", YEAR(CompilDonnées[[#This Row],[PlantationDate]]))</f>
        <v>5 2025</v>
      </c>
      <c r="L1063" t="str">
        <f>CONCATENATE(MONTH(CompilDonnées[[#This Row],[PlantationDate]])," ", YEAR(CompilDonnées[[#This Row],[PlantationDate]]))</f>
        <v>1 2025</v>
      </c>
      <c r="M1063" t="str">
        <f>CONCATENATE(MONTH(CompilDonnées[[#This Row],[HarvestingDate]])," ", YEAR(CompilDonnées[[#This Row],[HarvestingDate]]))</f>
        <v>3 2025</v>
      </c>
      <c r="N1063">
        <f>_xlfn.NUMBERVALUE(CompilDonnées[[#This Row],[FarmID]]&amp;CompilDonnées[[#This Row],[ModuleNumber]]&amp;CompilDonnées[[#This Row],[PlantationDate]])</f>
        <v>123445686</v>
      </c>
      <c r="O1063" t="str">
        <f>CompilDonnées[[#This Row],[FarmID]]&amp;CompilDonnées[[#This Row],[ModuleNumber]]</f>
        <v>1234</v>
      </c>
      <c r="P1063" t="str">
        <f>CompilDonnées[[#This Row],[Ref_Module]]&amp;CompilDonnées[[#This Row],[HarvestingDate]]</f>
        <v>123445730</v>
      </c>
    </row>
    <row r="1064" spans="1:16">
      <c r="A1064" s="5">
        <v>45686</v>
      </c>
      <c r="B1064">
        <v>124</v>
      </c>
      <c r="C1064" t="s">
        <v>115</v>
      </c>
      <c r="D1064">
        <v>5</v>
      </c>
      <c r="E1064">
        <v>100</v>
      </c>
      <c r="F1064" t="s">
        <v>1</v>
      </c>
      <c r="G1064" s="6">
        <v>45730</v>
      </c>
      <c r="H1064">
        <v>44</v>
      </c>
      <c r="I1064">
        <f>ROUND(CompilDonnées[[#This Row],[CultureDuration_days]]/7,0)</f>
        <v>6</v>
      </c>
      <c r="J1064">
        <v>3170</v>
      </c>
      <c r="K1064" t="str">
        <f>_xlfn.CONCAT(WEEKNUM(CompilDonnées[[#This Row],[PlantationDate]]), " ", YEAR(CompilDonnées[[#This Row],[PlantationDate]]))</f>
        <v>5 2025</v>
      </c>
      <c r="L1064" t="str">
        <f>CONCATENATE(MONTH(CompilDonnées[[#This Row],[PlantationDate]])," ", YEAR(CompilDonnées[[#This Row],[PlantationDate]]))</f>
        <v>1 2025</v>
      </c>
      <c r="M1064" t="str">
        <f>CONCATENATE(MONTH(CompilDonnées[[#This Row],[HarvestingDate]])," ", YEAR(CompilDonnées[[#This Row],[HarvestingDate]]))</f>
        <v>3 2025</v>
      </c>
      <c r="N1064">
        <f>_xlfn.NUMBERVALUE(CompilDonnées[[#This Row],[FarmID]]&amp;CompilDonnées[[#This Row],[ModuleNumber]]&amp;CompilDonnées[[#This Row],[PlantationDate]])</f>
        <v>124545686</v>
      </c>
      <c r="O1064" t="str">
        <f>CompilDonnées[[#This Row],[FarmID]]&amp;CompilDonnées[[#This Row],[ModuleNumber]]</f>
        <v>1245</v>
      </c>
      <c r="P1064" t="str">
        <f>CompilDonnées[[#This Row],[Ref_Module]]&amp;CompilDonnées[[#This Row],[HarvestingDate]]</f>
        <v>124545730</v>
      </c>
    </row>
    <row r="1065" spans="1:16">
      <c r="A1065" s="5">
        <v>45686</v>
      </c>
      <c r="B1065">
        <v>132</v>
      </c>
      <c r="C1065" t="s">
        <v>93</v>
      </c>
      <c r="D1065">
        <v>2</v>
      </c>
      <c r="E1065">
        <v>100</v>
      </c>
      <c r="F1065" t="s">
        <v>1</v>
      </c>
      <c r="G1065" s="6">
        <v>45733</v>
      </c>
      <c r="H1065">
        <v>47</v>
      </c>
      <c r="I1065">
        <f>ROUND(CompilDonnées[[#This Row],[CultureDuration_days]]/7,0)</f>
        <v>7</v>
      </c>
      <c r="J1065">
        <v>3149</v>
      </c>
      <c r="K1065" t="str">
        <f>_xlfn.CONCAT(WEEKNUM(CompilDonnées[[#This Row],[PlantationDate]]), " ", YEAR(CompilDonnées[[#This Row],[PlantationDate]]))</f>
        <v>5 2025</v>
      </c>
      <c r="L1065" t="str">
        <f>CONCATENATE(MONTH(CompilDonnées[[#This Row],[PlantationDate]])," ", YEAR(CompilDonnées[[#This Row],[PlantationDate]]))</f>
        <v>1 2025</v>
      </c>
      <c r="M1065" t="str">
        <f>CONCATENATE(MONTH(CompilDonnées[[#This Row],[HarvestingDate]])," ", YEAR(CompilDonnées[[#This Row],[HarvestingDate]]))</f>
        <v>3 2025</v>
      </c>
      <c r="N1065">
        <f>_xlfn.NUMBERVALUE(CompilDonnées[[#This Row],[FarmID]]&amp;CompilDonnées[[#This Row],[ModuleNumber]]&amp;CompilDonnées[[#This Row],[PlantationDate]])</f>
        <v>132245686</v>
      </c>
      <c r="O1065" t="str">
        <f>CompilDonnées[[#This Row],[FarmID]]&amp;CompilDonnées[[#This Row],[ModuleNumber]]</f>
        <v>1322</v>
      </c>
      <c r="P1065" t="str">
        <f>CompilDonnées[[#This Row],[Ref_Module]]&amp;CompilDonnées[[#This Row],[HarvestingDate]]</f>
        <v>132245733</v>
      </c>
    </row>
    <row r="1066" spans="1:16">
      <c r="A1066" s="5">
        <v>45686</v>
      </c>
      <c r="B1066">
        <v>138</v>
      </c>
      <c r="C1066" t="s">
        <v>8</v>
      </c>
      <c r="D1066">
        <v>6</v>
      </c>
      <c r="E1066">
        <v>100</v>
      </c>
      <c r="F1066" t="s">
        <v>1</v>
      </c>
      <c r="G1066" s="6">
        <v>45730</v>
      </c>
      <c r="H1066">
        <v>44</v>
      </c>
      <c r="I1066">
        <f>ROUND(CompilDonnées[[#This Row],[CultureDuration_days]]/7,0)</f>
        <v>6</v>
      </c>
      <c r="J1066">
        <v>1893</v>
      </c>
      <c r="K1066" t="str">
        <f>_xlfn.CONCAT(WEEKNUM(CompilDonnées[[#This Row],[PlantationDate]]), " ", YEAR(CompilDonnées[[#This Row],[PlantationDate]]))</f>
        <v>5 2025</v>
      </c>
      <c r="L1066" t="str">
        <f>CONCATENATE(MONTH(CompilDonnées[[#This Row],[PlantationDate]])," ", YEAR(CompilDonnées[[#This Row],[PlantationDate]]))</f>
        <v>1 2025</v>
      </c>
      <c r="M1066" t="str">
        <f>CONCATENATE(MONTH(CompilDonnées[[#This Row],[HarvestingDate]])," ", YEAR(CompilDonnées[[#This Row],[HarvestingDate]]))</f>
        <v>3 2025</v>
      </c>
      <c r="N1066">
        <f>_xlfn.NUMBERVALUE(CompilDonnées[[#This Row],[FarmID]]&amp;CompilDonnées[[#This Row],[ModuleNumber]]&amp;CompilDonnées[[#This Row],[PlantationDate]])</f>
        <v>138645686</v>
      </c>
      <c r="O1066" t="str">
        <f>CompilDonnées[[#This Row],[FarmID]]&amp;CompilDonnées[[#This Row],[ModuleNumber]]</f>
        <v>1386</v>
      </c>
      <c r="P1066" t="str">
        <f>CompilDonnées[[#This Row],[Ref_Module]]&amp;CompilDonnées[[#This Row],[HarvestingDate]]</f>
        <v>138645730</v>
      </c>
    </row>
    <row r="1067" spans="1:16">
      <c r="A1067" s="5">
        <v>45686</v>
      </c>
      <c r="B1067">
        <v>140</v>
      </c>
      <c r="C1067" t="s">
        <v>96</v>
      </c>
      <c r="D1067">
        <v>2</v>
      </c>
      <c r="E1067">
        <v>100</v>
      </c>
      <c r="F1067" t="s">
        <v>1</v>
      </c>
      <c r="G1067" s="6">
        <v>45730</v>
      </c>
      <c r="H1067">
        <v>44</v>
      </c>
      <c r="I1067">
        <f>ROUND(CompilDonnées[[#This Row],[CultureDuration_days]]/7,0)</f>
        <v>6</v>
      </c>
      <c r="J1067">
        <v>2477</v>
      </c>
      <c r="K1067" t="str">
        <f>_xlfn.CONCAT(WEEKNUM(CompilDonnées[[#This Row],[PlantationDate]]), " ", YEAR(CompilDonnées[[#This Row],[PlantationDate]]))</f>
        <v>5 2025</v>
      </c>
      <c r="L1067" t="str">
        <f>CONCATENATE(MONTH(CompilDonnées[[#This Row],[PlantationDate]])," ", YEAR(CompilDonnées[[#This Row],[PlantationDate]]))</f>
        <v>1 2025</v>
      </c>
      <c r="M1067" t="str">
        <f>CONCATENATE(MONTH(CompilDonnées[[#This Row],[HarvestingDate]])," ", YEAR(CompilDonnées[[#This Row],[HarvestingDate]]))</f>
        <v>3 2025</v>
      </c>
      <c r="N1067">
        <f>_xlfn.NUMBERVALUE(CompilDonnées[[#This Row],[FarmID]]&amp;CompilDonnées[[#This Row],[ModuleNumber]]&amp;CompilDonnées[[#This Row],[PlantationDate]])</f>
        <v>140245686</v>
      </c>
      <c r="O1067" t="str">
        <f>CompilDonnées[[#This Row],[FarmID]]&amp;CompilDonnées[[#This Row],[ModuleNumber]]</f>
        <v>1402</v>
      </c>
      <c r="P1067" t="str">
        <f>CompilDonnées[[#This Row],[Ref_Module]]&amp;CompilDonnées[[#This Row],[HarvestingDate]]</f>
        <v>140245730</v>
      </c>
    </row>
    <row r="1068" spans="1:16">
      <c r="A1068" s="5">
        <v>45686</v>
      </c>
      <c r="B1068">
        <v>33</v>
      </c>
      <c r="C1068" t="s">
        <v>104</v>
      </c>
      <c r="D1068">
        <v>6</v>
      </c>
      <c r="E1068">
        <v>100</v>
      </c>
      <c r="F1068" t="s">
        <v>1</v>
      </c>
      <c r="G1068" s="6">
        <v>45738</v>
      </c>
      <c r="H1068">
        <v>52</v>
      </c>
      <c r="I1068">
        <f>ROUND(CompilDonnées[[#This Row],[CultureDuration_days]]/7,0)</f>
        <v>7</v>
      </c>
      <c r="J1068">
        <v>3132</v>
      </c>
      <c r="K1068" t="str">
        <f>_xlfn.CONCAT(WEEKNUM(CompilDonnées[[#This Row],[PlantationDate]]), " ", YEAR(CompilDonnées[[#This Row],[PlantationDate]]))</f>
        <v>5 2025</v>
      </c>
      <c r="L1068" t="str">
        <f>CONCATENATE(MONTH(CompilDonnées[[#This Row],[PlantationDate]])," ", YEAR(CompilDonnées[[#This Row],[PlantationDate]]))</f>
        <v>1 2025</v>
      </c>
      <c r="M1068" t="str">
        <f>CONCATENATE(MONTH(CompilDonnées[[#This Row],[HarvestingDate]])," ", YEAR(CompilDonnées[[#This Row],[HarvestingDate]]))</f>
        <v>3 2025</v>
      </c>
      <c r="N1068">
        <f>_xlfn.NUMBERVALUE(CompilDonnées[[#This Row],[FarmID]]&amp;CompilDonnées[[#This Row],[ModuleNumber]]&amp;CompilDonnées[[#This Row],[PlantationDate]])</f>
        <v>33645686</v>
      </c>
      <c r="O1068" t="str">
        <f>CompilDonnées[[#This Row],[FarmID]]&amp;CompilDonnées[[#This Row],[ModuleNumber]]</f>
        <v>336</v>
      </c>
      <c r="P1068" t="str">
        <f>CompilDonnées[[#This Row],[Ref_Module]]&amp;CompilDonnées[[#This Row],[HarvestingDate]]</f>
        <v>33645738</v>
      </c>
    </row>
    <row r="1069" spans="1:16">
      <c r="A1069" s="5">
        <v>45686</v>
      </c>
      <c r="B1069">
        <v>54</v>
      </c>
      <c r="C1069" t="s">
        <v>39</v>
      </c>
      <c r="D1069">
        <v>6</v>
      </c>
      <c r="E1069">
        <v>100</v>
      </c>
      <c r="F1069" t="s">
        <v>1</v>
      </c>
      <c r="G1069" s="6">
        <v>45737</v>
      </c>
      <c r="H1069">
        <v>51</v>
      </c>
      <c r="I1069">
        <f>ROUND(CompilDonnées[[#This Row],[CultureDuration_days]]/7,0)</f>
        <v>7</v>
      </c>
      <c r="J1069">
        <v>2969</v>
      </c>
      <c r="K1069" t="str">
        <f>_xlfn.CONCAT(WEEKNUM(CompilDonnées[[#This Row],[PlantationDate]]), " ", YEAR(CompilDonnées[[#This Row],[PlantationDate]]))</f>
        <v>5 2025</v>
      </c>
      <c r="L1069" t="str">
        <f>CONCATENATE(MONTH(CompilDonnées[[#This Row],[PlantationDate]])," ", YEAR(CompilDonnées[[#This Row],[PlantationDate]]))</f>
        <v>1 2025</v>
      </c>
      <c r="M1069" t="str">
        <f>CONCATENATE(MONTH(CompilDonnées[[#This Row],[HarvestingDate]])," ", YEAR(CompilDonnées[[#This Row],[HarvestingDate]]))</f>
        <v>3 2025</v>
      </c>
      <c r="N1069">
        <f>_xlfn.NUMBERVALUE(CompilDonnées[[#This Row],[FarmID]]&amp;CompilDonnées[[#This Row],[ModuleNumber]]&amp;CompilDonnées[[#This Row],[PlantationDate]])</f>
        <v>54645686</v>
      </c>
      <c r="O1069" t="str">
        <f>CompilDonnées[[#This Row],[FarmID]]&amp;CompilDonnées[[#This Row],[ModuleNumber]]</f>
        <v>546</v>
      </c>
      <c r="P1069" t="str">
        <f>CompilDonnées[[#This Row],[Ref_Module]]&amp;CompilDonnées[[#This Row],[HarvestingDate]]</f>
        <v>54645737</v>
      </c>
    </row>
    <row r="1070" spans="1:16">
      <c r="A1070" s="5">
        <v>45686</v>
      </c>
      <c r="B1070">
        <v>53</v>
      </c>
      <c r="C1070" t="s">
        <v>83</v>
      </c>
      <c r="D1070">
        <v>6</v>
      </c>
      <c r="E1070">
        <v>100</v>
      </c>
      <c r="F1070" t="s">
        <v>1</v>
      </c>
      <c r="G1070" s="6">
        <v>45737</v>
      </c>
      <c r="H1070">
        <v>51</v>
      </c>
      <c r="I1070">
        <f>ROUND(CompilDonnées[[#This Row],[CultureDuration_days]]/7,0)</f>
        <v>7</v>
      </c>
      <c r="J1070">
        <v>3493</v>
      </c>
      <c r="K1070" t="str">
        <f>_xlfn.CONCAT(WEEKNUM(CompilDonnées[[#This Row],[PlantationDate]]), " ", YEAR(CompilDonnées[[#This Row],[PlantationDate]]))</f>
        <v>5 2025</v>
      </c>
      <c r="L1070" t="str">
        <f>CONCATENATE(MONTH(CompilDonnées[[#This Row],[PlantationDate]])," ", YEAR(CompilDonnées[[#This Row],[PlantationDate]]))</f>
        <v>1 2025</v>
      </c>
      <c r="M1070" t="str">
        <f>CONCATENATE(MONTH(CompilDonnées[[#This Row],[HarvestingDate]])," ", YEAR(CompilDonnées[[#This Row],[HarvestingDate]]))</f>
        <v>3 2025</v>
      </c>
      <c r="N1070">
        <f>_xlfn.NUMBERVALUE(CompilDonnées[[#This Row],[FarmID]]&amp;CompilDonnées[[#This Row],[ModuleNumber]]&amp;CompilDonnées[[#This Row],[PlantationDate]])</f>
        <v>53645686</v>
      </c>
      <c r="O1070" t="str">
        <f>CompilDonnées[[#This Row],[FarmID]]&amp;CompilDonnées[[#This Row],[ModuleNumber]]</f>
        <v>536</v>
      </c>
      <c r="P1070" t="str">
        <f>CompilDonnées[[#This Row],[Ref_Module]]&amp;CompilDonnées[[#This Row],[HarvestingDate]]</f>
        <v>53645737</v>
      </c>
    </row>
    <row r="1071" spans="1:16">
      <c r="A1071" s="5">
        <v>45686</v>
      </c>
      <c r="B1071">
        <v>28</v>
      </c>
      <c r="C1071" t="s">
        <v>77</v>
      </c>
      <c r="D1071">
        <v>6</v>
      </c>
      <c r="E1071">
        <v>100</v>
      </c>
      <c r="F1071" t="s">
        <v>1</v>
      </c>
      <c r="G1071" s="6">
        <v>45738</v>
      </c>
      <c r="H1071">
        <v>52</v>
      </c>
      <c r="I1071">
        <f>ROUND(CompilDonnées[[#This Row],[CultureDuration_days]]/7,0)</f>
        <v>7</v>
      </c>
      <c r="J1071">
        <v>3163</v>
      </c>
      <c r="K1071" t="str">
        <f>_xlfn.CONCAT(WEEKNUM(CompilDonnées[[#This Row],[PlantationDate]]), " ", YEAR(CompilDonnées[[#This Row],[PlantationDate]]))</f>
        <v>5 2025</v>
      </c>
      <c r="L1071" t="str">
        <f>CONCATENATE(MONTH(CompilDonnées[[#This Row],[PlantationDate]])," ", YEAR(CompilDonnées[[#This Row],[PlantationDate]]))</f>
        <v>1 2025</v>
      </c>
      <c r="M1071" t="str">
        <f>CONCATENATE(MONTH(CompilDonnées[[#This Row],[HarvestingDate]])," ", YEAR(CompilDonnées[[#This Row],[HarvestingDate]]))</f>
        <v>3 2025</v>
      </c>
      <c r="N1071">
        <f>_xlfn.NUMBERVALUE(CompilDonnées[[#This Row],[FarmID]]&amp;CompilDonnées[[#This Row],[ModuleNumber]]&amp;CompilDonnées[[#This Row],[PlantationDate]])</f>
        <v>28645686</v>
      </c>
      <c r="O1071" t="str">
        <f>CompilDonnées[[#This Row],[FarmID]]&amp;CompilDonnées[[#This Row],[ModuleNumber]]</f>
        <v>286</v>
      </c>
      <c r="P1071" t="str">
        <f>CompilDonnées[[#This Row],[Ref_Module]]&amp;CompilDonnées[[#This Row],[HarvestingDate]]</f>
        <v>28645738</v>
      </c>
    </row>
    <row r="1072" spans="1:16">
      <c r="A1072" s="5">
        <v>45686</v>
      </c>
      <c r="B1072">
        <v>26</v>
      </c>
      <c r="C1072" t="s">
        <v>97</v>
      </c>
      <c r="D1072">
        <v>6</v>
      </c>
      <c r="E1072">
        <v>100</v>
      </c>
      <c r="F1072" t="s">
        <v>1</v>
      </c>
      <c r="G1072" s="6">
        <v>45738</v>
      </c>
      <c r="H1072">
        <v>52</v>
      </c>
      <c r="I1072">
        <f>ROUND(CompilDonnées[[#This Row],[CultureDuration_days]]/7,0)</f>
        <v>7</v>
      </c>
      <c r="J1072">
        <v>3739</v>
      </c>
      <c r="K1072" t="str">
        <f>_xlfn.CONCAT(WEEKNUM(CompilDonnées[[#This Row],[PlantationDate]]), " ", YEAR(CompilDonnées[[#This Row],[PlantationDate]]))</f>
        <v>5 2025</v>
      </c>
      <c r="L1072" t="str">
        <f>CONCATENATE(MONTH(CompilDonnées[[#This Row],[PlantationDate]])," ", YEAR(CompilDonnées[[#This Row],[PlantationDate]]))</f>
        <v>1 2025</v>
      </c>
      <c r="M1072" t="str">
        <f>CONCATENATE(MONTH(CompilDonnées[[#This Row],[HarvestingDate]])," ", YEAR(CompilDonnées[[#This Row],[HarvestingDate]]))</f>
        <v>3 2025</v>
      </c>
      <c r="N1072">
        <f>_xlfn.NUMBERVALUE(CompilDonnées[[#This Row],[FarmID]]&amp;CompilDonnées[[#This Row],[ModuleNumber]]&amp;CompilDonnées[[#This Row],[PlantationDate]])</f>
        <v>26645686</v>
      </c>
      <c r="O1072" t="str">
        <f>CompilDonnées[[#This Row],[FarmID]]&amp;CompilDonnées[[#This Row],[ModuleNumber]]</f>
        <v>266</v>
      </c>
      <c r="P1072" t="str">
        <f>CompilDonnées[[#This Row],[Ref_Module]]&amp;CompilDonnées[[#This Row],[HarvestingDate]]</f>
        <v>26645738</v>
      </c>
    </row>
    <row r="1073" spans="1:16">
      <c r="A1073" s="5">
        <v>45686</v>
      </c>
      <c r="B1073">
        <v>2</v>
      </c>
      <c r="C1073" t="s">
        <v>119</v>
      </c>
      <c r="D1073">
        <v>6</v>
      </c>
      <c r="E1073">
        <v>100</v>
      </c>
      <c r="F1073" t="s">
        <v>1</v>
      </c>
      <c r="G1073" s="6">
        <v>45739</v>
      </c>
      <c r="H1073">
        <v>53</v>
      </c>
      <c r="I1073">
        <f>ROUND(CompilDonnées[[#This Row],[CultureDuration_days]]/7,0)</f>
        <v>8</v>
      </c>
      <c r="J1073">
        <v>4213</v>
      </c>
      <c r="K1073" t="str">
        <f>_xlfn.CONCAT(WEEKNUM(CompilDonnées[[#This Row],[PlantationDate]]), " ", YEAR(CompilDonnées[[#This Row],[PlantationDate]]))</f>
        <v>5 2025</v>
      </c>
      <c r="L1073" t="str">
        <f>CONCATENATE(MONTH(CompilDonnées[[#This Row],[PlantationDate]])," ", YEAR(CompilDonnées[[#This Row],[PlantationDate]]))</f>
        <v>1 2025</v>
      </c>
      <c r="M1073" t="str">
        <f>CONCATENATE(MONTH(CompilDonnées[[#This Row],[HarvestingDate]])," ", YEAR(CompilDonnées[[#This Row],[HarvestingDate]]))</f>
        <v>3 2025</v>
      </c>
      <c r="N1073">
        <f>_xlfn.NUMBERVALUE(CompilDonnées[[#This Row],[FarmID]]&amp;CompilDonnées[[#This Row],[ModuleNumber]]&amp;CompilDonnées[[#This Row],[PlantationDate]])</f>
        <v>2645686</v>
      </c>
      <c r="O1073" t="str">
        <f>CompilDonnées[[#This Row],[FarmID]]&amp;CompilDonnées[[#This Row],[ModuleNumber]]</f>
        <v>26</v>
      </c>
      <c r="P1073" t="str">
        <f>CompilDonnées[[#This Row],[Ref_Module]]&amp;CompilDonnées[[#This Row],[HarvestingDate]]</f>
        <v>2645739</v>
      </c>
    </row>
    <row r="1074" spans="1:16">
      <c r="A1074" s="5">
        <v>45686</v>
      </c>
      <c r="B1074">
        <v>7</v>
      </c>
      <c r="C1074" t="s">
        <v>50</v>
      </c>
      <c r="D1074">
        <v>6</v>
      </c>
      <c r="E1074">
        <v>100</v>
      </c>
      <c r="F1074" t="s">
        <v>1</v>
      </c>
      <c r="G1074" s="6">
        <v>45739</v>
      </c>
      <c r="H1074">
        <v>53</v>
      </c>
      <c r="I1074">
        <f>ROUND(CompilDonnées[[#This Row],[CultureDuration_days]]/7,0)</f>
        <v>8</v>
      </c>
      <c r="J1074">
        <v>4276</v>
      </c>
      <c r="K1074" t="str">
        <f>_xlfn.CONCAT(WEEKNUM(CompilDonnées[[#This Row],[PlantationDate]]), " ", YEAR(CompilDonnées[[#This Row],[PlantationDate]]))</f>
        <v>5 2025</v>
      </c>
      <c r="L1074" t="str">
        <f>CONCATENATE(MONTH(CompilDonnées[[#This Row],[PlantationDate]])," ", YEAR(CompilDonnées[[#This Row],[PlantationDate]]))</f>
        <v>1 2025</v>
      </c>
      <c r="M1074" t="str">
        <f>CONCATENATE(MONTH(CompilDonnées[[#This Row],[HarvestingDate]])," ", YEAR(CompilDonnées[[#This Row],[HarvestingDate]]))</f>
        <v>3 2025</v>
      </c>
      <c r="N1074">
        <f>_xlfn.NUMBERVALUE(CompilDonnées[[#This Row],[FarmID]]&amp;CompilDonnées[[#This Row],[ModuleNumber]]&amp;CompilDonnées[[#This Row],[PlantationDate]])</f>
        <v>7645686</v>
      </c>
      <c r="O1074" t="str">
        <f>CompilDonnées[[#This Row],[FarmID]]&amp;CompilDonnées[[#This Row],[ModuleNumber]]</f>
        <v>76</v>
      </c>
      <c r="P1074" t="str">
        <f>CompilDonnées[[#This Row],[Ref_Module]]&amp;CompilDonnées[[#This Row],[HarvestingDate]]</f>
        <v>7645739</v>
      </c>
    </row>
    <row r="1075" spans="1:16">
      <c r="A1075" s="5">
        <v>45686</v>
      </c>
      <c r="B1075">
        <v>39</v>
      </c>
      <c r="C1075" t="s">
        <v>81</v>
      </c>
      <c r="D1075">
        <v>5</v>
      </c>
      <c r="E1075">
        <v>100</v>
      </c>
      <c r="F1075" t="s">
        <v>1</v>
      </c>
      <c r="G1075" s="6">
        <v>45727</v>
      </c>
      <c r="H1075">
        <v>41</v>
      </c>
      <c r="I1075">
        <f>ROUND(CompilDonnées[[#This Row],[CultureDuration_days]]/7,0)</f>
        <v>6</v>
      </c>
      <c r="J1075">
        <v>3005</v>
      </c>
      <c r="K1075" t="str">
        <f>_xlfn.CONCAT(WEEKNUM(CompilDonnées[[#This Row],[PlantationDate]]), " ", YEAR(CompilDonnées[[#This Row],[PlantationDate]]))</f>
        <v>5 2025</v>
      </c>
      <c r="L1075" t="str">
        <f>CONCATENATE(MONTH(CompilDonnées[[#This Row],[PlantationDate]])," ", YEAR(CompilDonnées[[#This Row],[PlantationDate]]))</f>
        <v>1 2025</v>
      </c>
      <c r="M1075" t="str">
        <f>CONCATENATE(MONTH(CompilDonnées[[#This Row],[HarvestingDate]])," ", YEAR(CompilDonnées[[#This Row],[HarvestingDate]]))</f>
        <v>3 2025</v>
      </c>
      <c r="N1075">
        <f>_xlfn.NUMBERVALUE(CompilDonnées[[#This Row],[FarmID]]&amp;CompilDonnées[[#This Row],[ModuleNumber]]&amp;CompilDonnées[[#This Row],[PlantationDate]])</f>
        <v>39545686</v>
      </c>
      <c r="O1075" t="str">
        <f>CompilDonnées[[#This Row],[FarmID]]&amp;CompilDonnées[[#This Row],[ModuleNumber]]</f>
        <v>395</v>
      </c>
      <c r="P1075" t="str">
        <f>CompilDonnées[[#This Row],[Ref_Module]]&amp;CompilDonnées[[#This Row],[HarvestingDate]]</f>
        <v>39545727</v>
      </c>
    </row>
    <row r="1076" spans="1:16">
      <c r="A1076" s="5">
        <v>45686</v>
      </c>
      <c r="B1076">
        <v>11</v>
      </c>
      <c r="C1076" t="s">
        <v>106</v>
      </c>
      <c r="D1076">
        <v>5</v>
      </c>
      <c r="E1076">
        <v>100</v>
      </c>
      <c r="F1076" t="s">
        <v>1</v>
      </c>
      <c r="G1076" s="6">
        <v>45739</v>
      </c>
      <c r="H1076">
        <v>53</v>
      </c>
      <c r="I1076">
        <f>ROUND(CompilDonnées[[#This Row],[CultureDuration_days]]/7,0)</f>
        <v>8</v>
      </c>
      <c r="J1076">
        <v>3502</v>
      </c>
      <c r="K1076" t="str">
        <f>_xlfn.CONCAT(WEEKNUM(CompilDonnées[[#This Row],[PlantationDate]]), " ", YEAR(CompilDonnées[[#This Row],[PlantationDate]]))</f>
        <v>5 2025</v>
      </c>
      <c r="L1076" t="str">
        <f>CONCATENATE(MONTH(CompilDonnées[[#This Row],[PlantationDate]])," ", YEAR(CompilDonnées[[#This Row],[PlantationDate]]))</f>
        <v>1 2025</v>
      </c>
      <c r="M1076" t="str">
        <f>CONCATENATE(MONTH(CompilDonnées[[#This Row],[HarvestingDate]])," ", YEAR(CompilDonnées[[#This Row],[HarvestingDate]]))</f>
        <v>3 2025</v>
      </c>
      <c r="N1076">
        <f>_xlfn.NUMBERVALUE(CompilDonnées[[#This Row],[FarmID]]&amp;CompilDonnées[[#This Row],[ModuleNumber]]&amp;CompilDonnées[[#This Row],[PlantationDate]])</f>
        <v>11545686</v>
      </c>
      <c r="O1076" t="str">
        <f>CompilDonnées[[#This Row],[FarmID]]&amp;CompilDonnées[[#This Row],[ModuleNumber]]</f>
        <v>115</v>
      </c>
      <c r="P1076" t="str">
        <f>CompilDonnées[[#This Row],[Ref_Module]]&amp;CompilDonnées[[#This Row],[HarvestingDate]]</f>
        <v>11545739</v>
      </c>
    </row>
    <row r="1077" spans="1:16">
      <c r="A1077" s="5">
        <v>45686</v>
      </c>
      <c r="B1077">
        <v>27</v>
      </c>
      <c r="C1077" t="s">
        <v>88</v>
      </c>
      <c r="D1077">
        <v>3</v>
      </c>
      <c r="E1077">
        <v>100</v>
      </c>
      <c r="F1077" t="s">
        <v>1</v>
      </c>
      <c r="G1077" s="6">
        <v>45738</v>
      </c>
      <c r="H1077">
        <v>52</v>
      </c>
      <c r="I1077">
        <f>ROUND(CompilDonnées[[#This Row],[CultureDuration_days]]/7,0)</f>
        <v>7</v>
      </c>
      <c r="J1077">
        <v>3661</v>
      </c>
      <c r="K1077" t="str">
        <f>_xlfn.CONCAT(WEEKNUM(CompilDonnées[[#This Row],[PlantationDate]]), " ", YEAR(CompilDonnées[[#This Row],[PlantationDate]]))</f>
        <v>5 2025</v>
      </c>
      <c r="L1077" t="str">
        <f>CONCATENATE(MONTH(CompilDonnées[[#This Row],[PlantationDate]])," ", YEAR(CompilDonnées[[#This Row],[PlantationDate]]))</f>
        <v>1 2025</v>
      </c>
      <c r="M1077" t="str">
        <f>CONCATENATE(MONTH(CompilDonnées[[#This Row],[HarvestingDate]])," ", YEAR(CompilDonnées[[#This Row],[HarvestingDate]]))</f>
        <v>3 2025</v>
      </c>
      <c r="N1077">
        <f>_xlfn.NUMBERVALUE(CompilDonnées[[#This Row],[FarmID]]&amp;CompilDonnées[[#This Row],[ModuleNumber]]&amp;CompilDonnées[[#This Row],[PlantationDate]])</f>
        <v>27345686</v>
      </c>
      <c r="O1077" t="str">
        <f>CompilDonnées[[#This Row],[FarmID]]&amp;CompilDonnées[[#This Row],[ModuleNumber]]</f>
        <v>273</v>
      </c>
      <c r="P1077" t="str">
        <f>CompilDonnées[[#This Row],[Ref_Module]]&amp;CompilDonnées[[#This Row],[HarvestingDate]]</f>
        <v>27345738</v>
      </c>
    </row>
    <row r="1078" spans="1:16">
      <c r="A1078" s="5">
        <v>45686</v>
      </c>
      <c r="B1078">
        <v>19</v>
      </c>
      <c r="C1078" t="s">
        <v>108</v>
      </c>
      <c r="D1078">
        <v>3</v>
      </c>
      <c r="E1078">
        <v>100</v>
      </c>
      <c r="F1078" t="s">
        <v>1</v>
      </c>
      <c r="G1078" s="6">
        <v>45740</v>
      </c>
      <c r="H1078">
        <v>54</v>
      </c>
      <c r="I1078">
        <f>ROUND(CompilDonnées[[#This Row],[CultureDuration_days]]/7,0)</f>
        <v>8</v>
      </c>
      <c r="J1078">
        <v>4535</v>
      </c>
      <c r="K1078" t="str">
        <f>_xlfn.CONCAT(WEEKNUM(CompilDonnées[[#This Row],[PlantationDate]]), " ", YEAR(CompilDonnées[[#This Row],[PlantationDate]]))</f>
        <v>5 2025</v>
      </c>
      <c r="L1078" t="str">
        <f>CONCATENATE(MONTH(CompilDonnées[[#This Row],[PlantationDate]])," ", YEAR(CompilDonnées[[#This Row],[PlantationDate]]))</f>
        <v>1 2025</v>
      </c>
      <c r="M1078" t="str">
        <f>CONCATENATE(MONTH(CompilDonnées[[#This Row],[HarvestingDate]])," ", YEAR(CompilDonnées[[#This Row],[HarvestingDate]]))</f>
        <v>3 2025</v>
      </c>
      <c r="N1078">
        <f>_xlfn.NUMBERVALUE(CompilDonnées[[#This Row],[FarmID]]&amp;CompilDonnées[[#This Row],[ModuleNumber]]&amp;CompilDonnées[[#This Row],[PlantationDate]])</f>
        <v>19345686</v>
      </c>
      <c r="O1078" t="str">
        <f>CompilDonnées[[#This Row],[FarmID]]&amp;CompilDonnées[[#This Row],[ModuleNumber]]</f>
        <v>193</v>
      </c>
      <c r="P1078" t="str">
        <f>CompilDonnées[[#This Row],[Ref_Module]]&amp;CompilDonnées[[#This Row],[HarvestingDate]]</f>
        <v>19345740</v>
      </c>
    </row>
    <row r="1079" spans="1:16">
      <c r="A1079" s="5">
        <v>45686</v>
      </c>
      <c r="B1079">
        <v>8</v>
      </c>
      <c r="C1079" t="s">
        <v>57</v>
      </c>
      <c r="D1079">
        <v>3</v>
      </c>
      <c r="E1079">
        <v>100</v>
      </c>
      <c r="F1079" t="s">
        <v>1</v>
      </c>
      <c r="G1079" s="6">
        <v>45726</v>
      </c>
      <c r="H1079">
        <v>40</v>
      </c>
      <c r="I1079">
        <f>ROUND(CompilDonnées[[#This Row],[CultureDuration_days]]/7,0)</f>
        <v>6</v>
      </c>
      <c r="J1079">
        <v>2905</v>
      </c>
      <c r="K1079" t="str">
        <f>_xlfn.CONCAT(WEEKNUM(CompilDonnées[[#This Row],[PlantationDate]]), " ", YEAR(CompilDonnées[[#This Row],[PlantationDate]]))</f>
        <v>5 2025</v>
      </c>
      <c r="L1079" t="str">
        <f>CONCATENATE(MONTH(CompilDonnées[[#This Row],[PlantationDate]])," ", YEAR(CompilDonnées[[#This Row],[PlantationDate]]))</f>
        <v>1 2025</v>
      </c>
      <c r="M1079" t="str">
        <f>CONCATENATE(MONTH(CompilDonnées[[#This Row],[HarvestingDate]])," ", YEAR(CompilDonnées[[#This Row],[HarvestingDate]]))</f>
        <v>3 2025</v>
      </c>
      <c r="N1079">
        <f>_xlfn.NUMBERVALUE(CompilDonnées[[#This Row],[FarmID]]&amp;CompilDonnées[[#This Row],[ModuleNumber]]&amp;CompilDonnées[[#This Row],[PlantationDate]])</f>
        <v>8345686</v>
      </c>
      <c r="O1079" t="str">
        <f>CompilDonnées[[#This Row],[FarmID]]&amp;CompilDonnées[[#This Row],[ModuleNumber]]</f>
        <v>83</v>
      </c>
      <c r="P1079" t="str">
        <f>CompilDonnées[[#This Row],[Ref_Module]]&amp;CompilDonnées[[#This Row],[HarvestingDate]]</f>
        <v>8345726</v>
      </c>
    </row>
    <row r="1080" spans="1:16">
      <c r="A1080" s="5">
        <v>45686</v>
      </c>
      <c r="B1080">
        <v>83</v>
      </c>
      <c r="C1080" t="s">
        <v>73</v>
      </c>
      <c r="D1080">
        <v>1</v>
      </c>
      <c r="E1080">
        <v>100</v>
      </c>
      <c r="F1080" t="s">
        <v>1</v>
      </c>
      <c r="G1080" s="6">
        <v>45720</v>
      </c>
      <c r="H1080">
        <v>34</v>
      </c>
      <c r="I1080">
        <f>ROUND(CompilDonnées[[#This Row],[CultureDuration_days]]/7,0)</f>
        <v>5</v>
      </c>
      <c r="J1080">
        <v>3332</v>
      </c>
      <c r="K1080" t="str">
        <f>_xlfn.CONCAT(WEEKNUM(CompilDonnées[[#This Row],[PlantationDate]]), " ", YEAR(CompilDonnées[[#This Row],[PlantationDate]]))</f>
        <v>5 2025</v>
      </c>
      <c r="L1080" t="str">
        <f>CONCATENATE(MONTH(CompilDonnées[[#This Row],[PlantationDate]])," ", YEAR(CompilDonnées[[#This Row],[PlantationDate]]))</f>
        <v>1 2025</v>
      </c>
      <c r="M1080" t="str">
        <f>CONCATENATE(MONTH(CompilDonnées[[#This Row],[HarvestingDate]])," ", YEAR(CompilDonnées[[#This Row],[HarvestingDate]]))</f>
        <v>3 2025</v>
      </c>
      <c r="N1080">
        <f>_xlfn.NUMBERVALUE(CompilDonnées[[#This Row],[FarmID]]&amp;CompilDonnées[[#This Row],[ModuleNumber]]&amp;CompilDonnées[[#This Row],[PlantationDate]])</f>
        <v>83145686</v>
      </c>
      <c r="O1080" t="str">
        <f>CompilDonnées[[#This Row],[FarmID]]&amp;CompilDonnées[[#This Row],[ModuleNumber]]</f>
        <v>831</v>
      </c>
      <c r="P1080" t="str">
        <f>CompilDonnées[[#This Row],[Ref_Module]]&amp;CompilDonnées[[#This Row],[HarvestingDate]]</f>
        <v>83145720</v>
      </c>
    </row>
    <row r="1081" spans="1:16">
      <c r="A1081" s="5">
        <v>45686</v>
      </c>
      <c r="B1081">
        <v>121</v>
      </c>
      <c r="C1081" t="s">
        <v>3</v>
      </c>
      <c r="D1081">
        <v>1</v>
      </c>
      <c r="E1081">
        <v>60</v>
      </c>
      <c r="F1081" t="s">
        <v>105</v>
      </c>
      <c r="G1081" s="6">
        <v>45737</v>
      </c>
      <c r="H1081">
        <v>51</v>
      </c>
      <c r="I1081">
        <f>ROUND(CompilDonnées[[#This Row],[CultureDuration_days]]/7,0)</f>
        <v>7</v>
      </c>
      <c r="J1081">
        <v>1174</v>
      </c>
      <c r="K1081" t="str">
        <f>_xlfn.CONCAT(WEEKNUM(CompilDonnées[[#This Row],[PlantationDate]]), " ", YEAR(CompilDonnées[[#This Row],[PlantationDate]]))</f>
        <v>5 2025</v>
      </c>
      <c r="L1081" t="str">
        <f>CONCATENATE(MONTH(CompilDonnées[[#This Row],[PlantationDate]])," ", YEAR(CompilDonnées[[#This Row],[PlantationDate]]))</f>
        <v>1 2025</v>
      </c>
      <c r="M1081" t="str">
        <f>CONCATENATE(MONTH(CompilDonnées[[#This Row],[HarvestingDate]])," ", YEAR(CompilDonnées[[#This Row],[HarvestingDate]]))</f>
        <v>3 2025</v>
      </c>
      <c r="N1081">
        <f>_xlfn.NUMBERVALUE(CompilDonnées[[#This Row],[FarmID]]&amp;CompilDonnées[[#This Row],[ModuleNumber]]&amp;CompilDonnées[[#This Row],[PlantationDate]])</f>
        <v>121145686</v>
      </c>
      <c r="O1081" t="str">
        <f>CompilDonnées[[#This Row],[FarmID]]&amp;CompilDonnées[[#This Row],[ModuleNumber]]</f>
        <v>1211</v>
      </c>
      <c r="P1081" t="str">
        <f>CompilDonnées[[#This Row],[Ref_Module]]&amp;CompilDonnées[[#This Row],[HarvestingDate]]</f>
        <v>121145737</v>
      </c>
    </row>
    <row r="1082" spans="1:16">
      <c r="A1082" s="5">
        <v>45686</v>
      </c>
      <c r="B1082">
        <v>121</v>
      </c>
      <c r="C1082" t="s">
        <v>3</v>
      </c>
      <c r="D1082">
        <v>2</v>
      </c>
      <c r="E1082">
        <v>60</v>
      </c>
      <c r="F1082" t="s">
        <v>105</v>
      </c>
      <c r="G1082" s="6">
        <v>45737</v>
      </c>
      <c r="H1082">
        <v>51</v>
      </c>
      <c r="I1082">
        <f>ROUND(CompilDonnées[[#This Row],[CultureDuration_days]]/7,0)</f>
        <v>7</v>
      </c>
      <c r="J1082">
        <v>1400</v>
      </c>
      <c r="K1082" t="str">
        <f>_xlfn.CONCAT(WEEKNUM(CompilDonnées[[#This Row],[PlantationDate]]), " ", YEAR(CompilDonnées[[#This Row],[PlantationDate]]))</f>
        <v>5 2025</v>
      </c>
      <c r="L1082" t="str">
        <f>CONCATENATE(MONTH(CompilDonnées[[#This Row],[PlantationDate]])," ", YEAR(CompilDonnées[[#This Row],[PlantationDate]]))</f>
        <v>1 2025</v>
      </c>
      <c r="M1082" t="str">
        <f>CONCATENATE(MONTH(CompilDonnées[[#This Row],[HarvestingDate]])," ", YEAR(CompilDonnées[[#This Row],[HarvestingDate]]))</f>
        <v>3 2025</v>
      </c>
      <c r="N1082">
        <f>_xlfn.NUMBERVALUE(CompilDonnées[[#This Row],[FarmID]]&amp;CompilDonnées[[#This Row],[ModuleNumber]]&amp;CompilDonnées[[#This Row],[PlantationDate]])</f>
        <v>121245686</v>
      </c>
      <c r="O1082" t="str">
        <f>CompilDonnées[[#This Row],[FarmID]]&amp;CompilDonnées[[#This Row],[ModuleNumber]]</f>
        <v>1212</v>
      </c>
      <c r="P1082" t="str">
        <f>CompilDonnées[[#This Row],[Ref_Module]]&amp;CompilDonnées[[#This Row],[HarvestingDate]]</f>
        <v>121245737</v>
      </c>
    </row>
    <row r="1083" spans="1:16">
      <c r="A1083" s="5">
        <v>45687</v>
      </c>
      <c r="B1083">
        <v>100</v>
      </c>
      <c r="C1083" t="s">
        <v>84</v>
      </c>
      <c r="D1083">
        <v>5</v>
      </c>
      <c r="E1083">
        <v>100</v>
      </c>
      <c r="F1083" t="s">
        <v>1</v>
      </c>
      <c r="G1083" s="6">
        <v>45729</v>
      </c>
      <c r="H1083">
        <v>42</v>
      </c>
      <c r="I1083">
        <f>ROUND(CompilDonnées[[#This Row],[CultureDuration_days]]/7,0)</f>
        <v>6</v>
      </c>
      <c r="J1083">
        <v>3493</v>
      </c>
      <c r="K1083" t="str">
        <f>_xlfn.CONCAT(WEEKNUM(CompilDonnées[[#This Row],[PlantationDate]]), " ", YEAR(CompilDonnées[[#This Row],[PlantationDate]]))</f>
        <v>5 2025</v>
      </c>
      <c r="L1083" t="str">
        <f>CONCATENATE(MONTH(CompilDonnées[[#This Row],[PlantationDate]])," ", YEAR(CompilDonnées[[#This Row],[PlantationDate]]))</f>
        <v>1 2025</v>
      </c>
      <c r="M1083" t="str">
        <f>CONCATENATE(MONTH(CompilDonnées[[#This Row],[HarvestingDate]])," ", YEAR(CompilDonnées[[#This Row],[HarvestingDate]]))</f>
        <v>3 2025</v>
      </c>
      <c r="N1083">
        <f>_xlfn.NUMBERVALUE(CompilDonnées[[#This Row],[FarmID]]&amp;CompilDonnées[[#This Row],[ModuleNumber]]&amp;CompilDonnées[[#This Row],[PlantationDate]])</f>
        <v>100545687</v>
      </c>
      <c r="O1083" t="str">
        <f>CompilDonnées[[#This Row],[FarmID]]&amp;CompilDonnées[[#This Row],[ModuleNumber]]</f>
        <v>1005</v>
      </c>
      <c r="P1083" t="str">
        <f>CompilDonnées[[#This Row],[Ref_Module]]&amp;CompilDonnées[[#This Row],[HarvestingDate]]</f>
        <v>100545729</v>
      </c>
    </row>
    <row r="1084" spans="1:16">
      <c r="A1084" s="5">
        <v>45687</v>
      </c>
      <c r="B1084">
        <v>94</v>
      </c>
      <c r="C1084" t="s">
        <v>40</v>
      </c>
      <c r="D1084">
        <v>1</v>
      </c>
      <c r="E1084">
        <v>100</v>
      </c>
      <c r="F1084" t="s">
        <v>1</v>
      </c>
      <c r="G1084" s="6">
        <v>45728</v>
      </c>
      <c r="H1084">
        <v>41</v>
      </c>
      <c r="I1084">
        <f>ROUND(CompilDonnées[[#This Row],[CultureDuration_days]]/7,0)</f>
        <v>6</v>
      </c>
      <c r="J1084">
        <v>3496</v>
      </c>
      <c r="K1084" t="str">
        <f>_xlfn.CONCAT(WEEKNUM(CompilDonnées[[#This Row],[PlantationDate]]), " ", YEAR(CompilDonnées[[#This Row],[PlantationDate]]))</f>
        <v>5 2025</v>
      </c>
      <c r="L1084" t="str">
        <f>CONCATENATE(MONTH(CompilDonnées[[#This Row],[PlantationDate]])," ", YEAR(CompilDonnées[[#This Row],[PlantationDate]]))</f>
        <v>1 2025</v>
      </c>
      <c r="M1084" t="str">
        <f>CONCATENATE(MONTH(CompilDonnées[[#This Row],[HarvestingDate]])," ", YEAR(CompilDonnées[[#This Row],[HarvestingDate]]))</f>
        <v>3 2025</v>
      </c>
      <c r="N1084">
        <f>_xlfn.NUMBERVALUE(CompilDonnées[[#This Row],[FarmID]]&amp;CompilDonnées[[#This Row],[ModuleNumber]]&amp;CompilDonnées[[#This Row],[PlantationDate]])</f>
        <v>94145687</v>
      </c>
      <c r="O1084" t="str">
        <f>CompilDonnées[[#This Row],[FarmID]]&amp;CompilDonnées[[#This Row],[ModuleNumber]]</f>
        <v>941</v>
      </c>
      <c r="P1084" t="str">
        <f>CompilDonnées[[#This Row],[Ref_Module]]&amp;CompilDonnées[[#This Row],[HarvestingDate]]</f>
        <v>94145728</v>
      </c>
    </row>
    <row r="1085" spans="1:16">
      <c r="A1085" s="5">
        <v>45687</v>
      </c>
      <c r="B1085">
        <v>89</v>
      </c>
      <c r="C1085" t="s">
        <v>67</v>
      </c>
      <c r="D1085">
        <v>2</v>
      </c>
      <c r="E1085">
        <v>100</v>
      </c>
      <c r="F1085" t="s">
        <v>1</v>
      </c>
      <c r="G1085" s="6">
        <v>45728</v>
      </c>
      <c r="H1085">
        <v>41</v>
      </c>
      <c r="I1085">
        <f>ROUND(CompilDonnées[[#This Row],[CultureDuration_days]]/7,0)</f>
        <v>6</v>
      </c>
      <c r="J1085">
        <v>3669</v>
      </c>
      <c r="K1085" t="str">
        <f>_xlfn.CONCAT(WEEKNUM(CompilDonnées[[#This Row],[PlantationDate]]), " ", YEAR(CompilDonnées[[#This Row],[PlantationDate]]))</f>
        <v>5 2025</v>
      </c>
      <c r="L1085" t="str">
        <f>CONCATENATE(MONTH(CompilDonnées[[#This Row],[PlantationDate]])," ", YEAR(CompilDonnées[[#This Row],[PlantationDate]]))</f>
        <v>1 2025</v>
      </c>
      <c r="M1085" t="str">
        <f>CONCATENATE(MONTH(CompilDonnées[[#This Row],[HarvestingDate]])," ", YEAR(CompilDonnées[[#This Row],[HarvestingDate]]))</f>
        <v>3 2025</v>
      </c>
      <c r="N1085">
        <f>_xlfn.NUMBERVALUE(CompilDonnées[[#This Row],[FarmID]]&amp;CompilDonnées[[#This Row],[ModuleNumber]]&amp;CompilDonnées[[#This Row],[PlantationDate]])</f>
        <v>89245687</v>
      </c>
      <c r="O1085" t="str">
        <f>CompilDonnées[[#This Row],[FarmID]]&amp;CompilDonnées[[#This Row],[ModuleNumber]]</f>
        <v>892</v>
      </c>
      <c r="P1085" t="str">
        <f>CompilDonnées[[#This Row],[Ref_Module]]&amp;CompilDonnées[[#This Row],[HarvestingDate]]</f>
        <v>89245728</v>
      </c>
    </row>
    <row r="1086" spans="1:16">
      <c r="A1086" s="5">
        <v>45687</v>
      </c>
      <c r="B1086">
        <v>101</v>
      </c>
      <c r="C1086" t="s">
        <v>54</v>
      </c>
      <c r="D1086">
        <v>4</v>
      </c>
      <c r="E1086">
        <v>100</v>
      </c>
      <c r="F1086" t="s">
        <v>1</v>
      </c>
      <c r="G1086" s="6">
        <v>45729</v>
      </c>
      <c r="H1086">
        <v>42</v>
      </c>
      <c r="I1086">
        <f>ROUND(CompilDonnées[[#This Row],[CultureDuration_days]]/7,0)</f>
        <v>6</v>
      </c>
      <c r="J1086">
        <v>3468</v>
      </c>
      <c r="K1086" t="str">
        <f>_xlfn.CONCAT(WEEKNUM(CompilDonnées[[#This Row],[PlantationDate]]), " ", YEAR(CompilDonnées[[#This Row],[PlantationDate]]))</f>
        <v>5 2025</v>
      </c>
      <c r="L1086" t="str">
        <f>CONCATENATE(MONTH(CompilDonnées[[#This Row],[PlantationDate]])," ", YEAR(CompilDonnées[[#This Row],[PlantationDate]]))</f>
        <v>1 2025</v>
      </c>
      <c r="M1086" t="str">
        <f>CONCATENATE(MONTH(CompilDonnées[[#This Row],[HarvestingDate]])," ", YEAR(CompilDonnées[[#This Row],[HarvestingDate]]))</f>
        <v>3 2025</v>
      </c>
      <c r="N1086">
        <f>_xlfn.NUMBERVALUE(CompilDonnées[[#This Row],[FarmID]]&amp;CompilDonnées[[#This Row],[ModuleNumber]]&amp;CompilDonnées[[#This Row],[PlantationDate]])</f>
        <v>101445687</v>
      </c>
      <c r="O1086" t="str">
        <f>CompilDonnées[[#This Row],[FarmID]]&amp;CompilDonnées[[#This Row],[ModuleNumber]]</f>
        <v>1014</v>
      </c>
      <c r="P1086" t="str">
        <f>CompilDonnées[[#This Row],[Ref_Module]]&amp;CompilDonnées[[#This Row],[HarvestingDate]]</f>
        <v>101445729</v>
      </c>
    </row>
    <row r="1087" spans="1:16">
      <c r="A1087" s="5">
        <v>45687</v>
      </c>
      <c r="B1087">
        <v>8</v>
      </c>
      <c r="C1087" t="s">
        <v>57</v>
      </c>
      <c r="D1087">
        <v>4</v>
      </c>
      <c r="E1087">
        <v>100</v>
      </c>
      <c r="F1087" t="s">
        <v>1</v>
      </c>
      <c r="G1087" s="6">
        <v>45726</v>
      </c>
      <c r="H1087">
        <v>39</v>
      </c>
      <c r="I1087">
        <f>ROUND(CompilDonnées[[#This Row],[CultureDuration_days]]/7,0)</f>
        <v>6</v>
      </c>
      <c r="J1087">
        <v>3015</v>
      </c>
      <c r="K1087" t="str">
        <f>_xlfn.CONCAT(WEEKNUM(CompilDonnées[[#This Row],[PlantationDate]]), " ", YEAR(CompilDonnées[[#This Row],[PlantationDate]]))</f>
        <v>5 2025</v>
      </c>
      <c r="L1087" t="str">
        <f>CONCATENATE(MONTH(CompilDonnées[[#This Row],[PlantationDate]])," ", YEAR(CompilDonnées[[#This Row],[PlantationDate]]))</f>
        <v>1 2025</v>
      </c>
      <c r="M1087" t="str">
        <f>CONCATENATE(MONTH(CompilDonnées[[#This Row],[HarvestingDate]])," ", YEAR(CompilDonnées[[#This Row],[HarvestingDate]]))</f>
        <v>3 2025</v>
      </c>
      <c r="N1087">
        <f>_xlfn.NUMBERVALUE(CompilDonnées[[#This Row],[FarmID]]&amp;CompilDonnées[[#This Row],[ModuleNumber]]&amp;CompilDonnées[[#This Row],[PlantationDate]])</f>
        <v>8445687</v>
      </c>
      <c r="O1087" t="str">
        <f>CompilDonnées[[#This Row],[FarmID]]&amp;CompilDonnées[[#This Row],[ModuleNumber]]</f>
        <v>84</v>
      </c>
      <c r="P1087" t="str">
        <f>CompilDonnées[[#This Row],[Ref_Module]]&amp;CompilDonnées[[#This Row],[HarvestingDate]]</f>
        <v>8445726</v>
      </c>
    </row>
    <row r="1088" spans="1:16">
      <c r="A1088" s="5">
        <v>45687</v>
      </c>
      <c r="B1088">
        <v>19</v>
      </c>
      <c r="C1088" t="s">
        <v>108</v>
      </c>
      <c r="D1088">
        <v>4</v>
      </c>
      <c r="E1088">
        <v>100</v>
      </c>
      <c r="F1088" t="s">
        <v>1</v>
      </c>
      <c r="G1088" s="6">
        <v>45739</v>
      </c>
      <c r="H1088">
        <v>52</v>
      </c>
      <c r="I1088">
        <f>ROUND(CompilDonnées[[#This Row],[CultureDuration_days]]/7,0)</f>
        <v>7</v>
      </c>
      <c r="J1088">
        <v>3972</v>
      </c>
      <c r="K1088" t="str">
        <f>_xlfn.CONCAT(WEEKNUM(CompilDonnées[[#This Row],[PlantationDate]]), " ", YEAR(CompilDonnées[[#This Row],[PlantationDate]]))</f>
        <v>5 2025</v>
      </c>
      <c r="L1088" t="str">
        <f>CONCATENATE(MONTH(CompilDonnées[[#This Row],[PlantationDate]])," ", YEAR(CompilDonnées[[#This Row],[PlantationDate]]))</f>
        <v>1 2025</v>
      </c>
      <c r="M1088" t="str">
        <f>CONCATENATE(MONTH(CompilDonnées[[#This Row],[HarvestingDate]])," ", YEAR(CompilDonnées[[#This Row],[HarvestingDate]]))</f>
        <v>3 2025</v>
      </c>
      <c r="N1088">
        <f>_xlfn.NUMBERVALUE(CompilDonnées[[#This Row],[FarmID]]&amp;CompilDonnées[[#This Row],[ModuleNumber]]&amp;CompilDonnées[[#This Row],[PlantationDate]])</f>
        <v>19445687</v>
      </c>
      <c r="O1088" t="str">
        <f>CompilDonnées[[#This Row],[FarmID]]&amp;CompilDonnées[[#This Row],[ModuleNumber]]</f>
        <v>194</v>
      </c>
      <c r="P1088" t="str">
        <f>CompilDonnées[[#This Row],[Ref_Module]]&amp;CompilDonnées[[#This Row],[HarvestingDate]]</f>
        <v>19445739</v>
      </c>
    </row>
    <row r="1089" spans="1:16">
      <c r="A1089" s="5">
        <v>45687</v>
      </c>
      <c r="B1089">
        <v>19</v>
      </c>
      <c r="C1089" t="s">
        <v>108</v>
      </c>
      <c r="D1089">
        <v>5</v>
      </c>
      <c r="E1089">
        <v>100</v>
      </c>
      <c r="F1089" t="s">
        <v>1</v>
      </c>
      <c r="G1089" s="6">
        <v>45739</v>
      </c>
      <c r="H1089">
        <v>52</v>
      </c>
      <c r="I1089">
        <f>ROUND(CompilDonnées[[#This Row],[CultureDuration_days]]/7,0)</f>
        <v>7</v>
      </c>
      <c r="J1089">
        <v>3911</v>
      </c>
      <c r="K1089" t="str">
        <f>_xlfn.CONCAT(WEEKNUM(CompilDonnées[[#This Row],[PlantationDate]]), " ", YEAR(CompilDonnées[[#This Row],[PlantationDate]]))</f>
        <v>5 2025</v>
      </c>
      <c r="L1089" t="str">
        <f>CONCATENATE(MONTH(CompilDonnées[[#This Row],[PlantationDate]])," ", YEAR(CompilDonnées[[#This Row],[PlantationDate]]))</f>
        <v>1 2025</v>
      </c>
      <c r="M1089" t="str">
        <f>CONCATENATE(MONTH(CompilDonnées[[#This Row],[HarvestingDate]])," ", YEAR(CompilDonnées[[#This Row],[HarvestingDate]]))</f>
        <v>3 2025</v>
      </c>
      <c r="N1089">
        <f>_xlfn.NUMBERVALUE(CompilDonnées[[#This Row],[FarmID]]&amp;CompilDonnées[[#This Row],[ModuleNumber]]&amp;CompilDonnées[[#This Row],[PlantationDate]])</f>
        <v>19545687</v>
      </c>
      <c r="O1089" t="str">
        <f>CompilDonnées[[#This Row],[FarmID]]&amp;CompilDonnées[[#This Row],[ModuleNumber]]</f>
        <v>195</v>
      </c>
      <c r="P1089" t="str">
        <f>CompilDonnées[[#This Row],[Ref_Module]]&amp;CompilDonnées[[#This Row],[HarvestingDate]]</f>
        <v>19545739</v>
      </c>
    </row>
    <row r="1090" spans="1:16">
      <c r="A1090" s="5">
        <v>45687</v>
      </c>
      <c r="B1090">
        <v>27</v>
      </c>
      <c r="C1090" t="s">
        <v>88</v>
      </c>
      <c r="D1090">
        <v>4</v>
      </c>
      <c r="E1090">
        <v>100</v>
      </c>
      <c r="F1090" t="s">
        <v>1</v>
      </c>
      <c r="G1090" s="6">
        <v>45738</v>
      </c>
      <c r="H1090">
        <v>51</v>
      </c>
      <c r="I1090">
        <f>ROUND(CompilDonnées[[#This Row],[CultureDuration_days]]/7,0)</f>
        <v>7</v>
      </c>
      <c r="J1090">
        <v>4134</v>
      </c>
      <c r="K1090" t="str">
        <f>_xlfn.CONCAT(WEEKNUM(CompilDonnées[[#This Row],[PlantationDate]]), " ", YEAR(CompilDonnées[[#This Row],[PlantationDate]]))</f>
        <v>5 2025</v>
      </c>
      <c r="L1090" t="str">
        <f>CONCATENATE(MONTH(CompilDonnées[[#This Row],[PlantationDate]])," ", YEAR(CompilDonnées[[#This Row],[PlantationDate]]))</f>
        <v>1 2025</v>
      </c>
      <c r="M1090" t="str">
        <f>CONCATENATE(MONTH(CompilDonnées[[#This Row],[HarvestingDate]])," ", YEAR(CompilDonnées[[#This Row],[HarvestingDate]]))</f>
        <v>3 2025</v>
      </c>
      <c r="N1090">
        <f>_xlfn.NUMBERVALUE(CompilDonnées[[#This Row],[FarmID]]&amp;CompilDonnées[[#This Row],[ModuleNumber]]&amp;CompilDonnées[[#This Row],[PlantationDate]])</f>
        <v>27445687</v>
      </c>
      <c r="O1090" t="str">
        <f>CompilDonnées[[#This Row],[FarmID]]&amp;CompilDonnées[[#This Row],[ModuleNumber]]</f>
        <v>274</v>
      </c>
      <c r="P1090" t="str">
        <f>CompilDonnées[[#This Row],[Ref_Module]]&amp;CompilDonnées[[#This Row],[HarvestingDate]]</f>
        <v>27445738</v>
      </c>
    </row>
    <row r="1091" spans="1:16">
      <c r="A1091" s="5">
        <v>45687</v>
      </c>
      <c r="B1091">
        <v>11</v>
      </c>
      <c r="C1091" t="s">
        <v>106</v>
      </c>
      <c r="D1091">
        <v>6</v>
      </c>
      <c r="E1091">
        <v>100</v>
      </c>
      <c r="F1091" t="s">
        <v>1</v>
      </c>
      <c r="G1091" s="6">
        <v>45739</v>
      </c>
      <c r="H1091">
        <v>52</v>
      </c>
      <c r="I1091">
        <f>ROUND(CompilDonnées[[#This Row],[CultureDuration_days]]/7,0)</f>
        <v>7</v>
      </c>
      <c r="J1091">
        <v>3463</v>
      </c>
      <c r="K1091" t="str">
        <f>_xlfn.CONCAT(WEEKNUM(CompilDonnées[[#This Row],[PlantationDate]]), " ", YEAR(CompilDonnées[[#This Row],[PlantationDate]]))</f>
        <v>5 2025</v>
      </c>
      <c r="L1091" t="str">
        <f>CONCATENATE(MONTH(CompilDonnées[[#This Row],[PlantationDate]])," ", YEAR(CompilDonnées[[#This Row],[PlantationDate]]))</f>
        <v>1 2025</v>
      </c>
      <c r="M1091" t="str">
        <f>CONCATENATE(MONTH(CompilDonnées[[#This Row],[HarvestingDate]])," ", YEAR(CompilDonnées[[#This Row],[HarvestingDate]]))</f>
        <v>3 2025</v>
      </c>
      <c r="N1091">
        <f>_xlfn.NUMBERVALUE(CompilDonnées[[#This Row],[FarmID]]&amp;CompilDonnées[[#This Row],[ModuleNumber]]&amp;CompilDonnées[[#This Row],[PlantationDate]])</f>
        <v>11645687</v>
      </c>
      <c r="O1091" t="str">
        <f>CompilDonnées[[#This Row],[FarmID]]&amp;CompilDonnées[[#This Row],[ModuleNumber]]</f>
        <v>116</v>
      </c>
      <c r="P1091" t="str">
        <f>CompilDonnées[[#This Row],[Ref_Module]]&amp;CompilDonnées[[#This Row],[HarvestingDate]]</f>
        <v>11645739</v>
      </c>
    </row>
    <row r="1092" spans="1:16">
      <c r="A1092" s="5">
        <v>45687</v>
      </c>
      <c r="B1092">
        <v>124</v>
      </c>
      <c r="C1092" t="s">
        <v>115</v>
      </c>
      <c r="D1092">
        <v>4</v>
      </c>
      <c r="E1092">
        <v>100</v>
      </c>
      <c r="F1092" t="s">
        <v>1</v>
      </c>
      <c r="G1092" s="6">
        <v>45733</v>
      </c>
      <c r="H1092">
        <v>46</v>
      </c>
      <c r="I1092">
        <f>ROUND(CompilDonnées[[#This Row],[CultureDuration_days]]/7,0)</f>
        <v>7</v>
      </c>
      <c r="J1092">
        <v>3480</v>
      </c>
      <c r="K1092" t="str">
        <f>_xlfn.CONCAT(WEEKNUM(CompilDonnées[[#This Row],[PlantationDate]]), " ", YEAR(CompilDonnées[[#This Row],[PlantationDate]]))</f>
        <v>5 2025</v>
      </c>
      <c r="L1092" t="str">
        <f>CONCATENATE(MONTH(CompilDonnées[[#This Row],[PlantationDate]])," ", YEAR(CompilDonnées[[#This Row],[PlantationDate]]))</f>
        <v>1 2025</v>
      </c>
      <c r="M1092" t="str">
        <f>CONCATENATE(MONTH(CompilDonnées[[#This Row],[HarvestingDate]])," ", YEAR(CompilDonnées[[#This Row],[HarvestingDate]]))</f>
        <v>3 2025</v>
      </c>
      <c r="N1092">
        <f>_xlfn.NUMBERVALUE(CompilDonnées[[#This Row],[FarmID]]&amp;CompilDonnées[[#This Row],[ModuleNumber]]&amp;CompilDonnées[[#This Row],[PlantationDate]])</f>
        <v>124445687</v>
      </c>
      <c r="O1092" t="str">
        <f>CompilDonnées[[#This Row],[FarmID]]&amp;CompilDonnées[[#This Row],[ModuleNumber]]</f>
        <v>1244</v>
      </c>
      <c r="P1092" t="str">
        <f>CompilDonnées[[#This Row],[Ref_Module]]&amp;CompilDonnées[[#This Row],[HarvestingDate]]</f>
        <v>124445733</v>
      </c>
    </row>
    <row r="1093" spans="1:16">
      <c r="A1093" s="5">
        <v>45687</v>
      </c>
      <c r="B1093">
        <v>82</v>
      </c>
      <c r="C1093" t="s">
        <v>17</v>
      </c>
      <c r="D1093">
        <v>2</v>
      </c>
      <c r="E1093">
        <v>100</v>
      </c>
      <c r="F1093" t="s">
        <v>1</v>
      </c>
      <c r="G1093" s="6">
        <v>45728</v>
      </c>
      <c r="H1093">
        <v>41</v>
      </c>
      <c r="I1093">
        <f>ROUND(CompilDonnées[[#This Row],[CultureDuration_days]]/7,0)</f>
        <v>6</v>
      </c>
      <c r="J1093">
        <v>3583</v>
      </c>
      <c r="K1093" t="str">
        <f>_xlfn.CONCAT(WEEKNUM(CompilDonnées[[#This Row],[PlantationDate]]), " ", YEAR(CompilDonnées[[#This Row],[PlantationDate]]))</f>
        <v>5 2025</v>
      </c>
      <c r="L1093" t="str">
        <f>CONCATENATE(MONTH(CompilDonnées[[#This Row],[PlantationDate]])," ", YEAR(CompilDonnées[[#This Row],[PlantationDate]]))</f>
        <v>1 2025</v>
      </c>
      <c r="M1093" t="str">
        <f>CONCATENATE(MONTH(CompilDonnées[[#This Row],[HarvestingDate]])," ", YEAR(CompilDonnées[[#This Row],[HarvestingDate]]))</f>
        <v>3 2025</v>
      </c>
      <c r="N1093">
        <f>_xlfn.NUMBERVALUE(CompilDonnées[[#This Row],[FarmID]]&amp;CompilDonnées[[#This Row],[ModuleNumber]]&amp;CompilDonnées[[#This Row],[PlantationDate]])</f>
        <v>82245687</v>
      </c>
      <c r="O1093" t="str">
        <f>CompilDonnées[[#This Row],[FarmID]]&amp;CompilDonnées[[#This Row],[ModuleNumber]]</f>
        <v>822</v>
      </c>
      <c r="P1093" t="str">
        <f>CompilDonnées[[#This Row],[Ref_Module]]&amp;CompilDonnées[[#This Row],[HarvestingDate]]</f>
        <v>82245728</v>
      </c>
    </row>
    <row r="1094" spans="1:16">
      <c r="A1094" s="5">
        <v>45687</v>
      </c>
      <c r="B1094">
        <v>82</v>
      </c>
      <c r="C1094" t="s">
        <v>17</v>
      </c>
      <c r="D1094">
        <v>4</v>
      </c>
      <c r="E1094">
        <v>100</v>
      </c>
      <c r="F1094" t="s">
        <v>1</v>
      </c>
      <c r="G1094" s="6">
        <v>45728</v>
      </c>
      <c r="H1094">
        <v>41</v>
      </c>
      <c r="I1094">
        <f>ROUND(CompilDonnées[[#This Row],[CultureDuration_days]]/7,0)</f>
        <v>6</v>
      </c>
      <c r="J1094">
        <v>3640</v>
      </c>
      <c r="K1094" t="str">
        <f>_xlfn.CONCAT(WEEKNUM(CompilDonnées[[#This Row],[PlantationDate]]), " ", YEAR(CompilDonnées[[#This Row],[PlantationDate]]))</f>
        <v>5 2025</v>
      </c>
      <c r="L1094" t="str">
        <f>CONCATENATE(MONTH(CompilDonnées[[#This Row],[PlantationDate]])," ", YEAR(CompilDonnées[[#This Row],[PlantationDate]]))</f>
        <v>1 2025</v>
      </c>
      <c r="M1094" t="str">
        <f>CONCATENATE(MONTH(CompilDonnées[[#This Row],[HarvestingDate]])," ", YEAR(CompilDonnées[[#This Row],[HarvestingDate]]))</f>
        <v>3 2025</v>
      </c>
      <c r="N1094">
        <f>_xlfn.NUMBERVALUE(CompilDonnées[[#This Row],[FarmID]]&amp;CompilDonnées[[#This Row],[ModuleNumber]]&amp;CompilDonnées[[#This Row],[PlantationDate]])</f>
        <v>82445687</v>
      </c>
      <c r="O1094" t="str">
        <f>CompilDonnées[[#This Row],[FarmID]]&amp;CompilDonnées[[#This Row],[ModuleNumber]]</f>
        <v>824</v>
      </c>
      <c r="P1094" t="str">
        <f>CompilDonnées[[#This Row],[Ref_Module]]&amp;CompilDonnées[[#This Row],[HarvestingDate]]</f>
        <v>82445728</v>
      </c>
    </row>
    <row r="1095" spans="1:16">
      <c r="A1095" s="5">
        <v>45687</v>
      </c>
      <c r="B1095">
        <v>81</v>
      </c>
      <c r="C1095" t="s">
        <v>30</v>
      </c>
      <c r="D1095">
        <v>5</v>
      </c>
      <c r="E1095">
        <v>100</v>
      </c>
      <c r="F1095" t="s">
        <v>1</v>
      </c>
      <c r="G1095" s="6">
        <v>45728</v>
      </c>
      <c r="H1095">
        <v>41</v>
      </c>
      <c r="I1095">
        <f>ROUND(CompilDonnées[[#This Row],[CultureDuration_days]]/7,0)</f>
        <v>6</v>
      </c>
      <c r="J1095">
        <v>3654</v>
      </c>
      <c r="K1095" t="str">
        <f>_xlfn.CONCAT(WEEKNUM(CompilDonnées[[#This Row],[PlantationDate]]), " ", YEAR(CompilDonnées[[#This Row],[PlantationDate]]))</f>
        <v>5 2025</v>
      </c>
      <c r="L1095" t="str">
        <f>CONCATENATE(MONTH(CompilDonnées[[#This Row],[PlantationDate]])," ", YEAR(CompilDonnées[[#This Row],[PlantationDate]]))</f>
        <v>1 2025</v>
      </c>
      <c r="M1095" t="str">
        <f>CONCATENATE(MONTH(CompilDonnées[[#This Row],[HarvestingDate]])," ", YEAR(CompilDonnées[[#This Row],[HarvestingDate]]))</f>
        <v>3 2025</v>
      </c>
      <c r="N1095">
        <f>_xlfn.NUMBERVALUE(CompilDonnées[[#This Row],[FarmID]]&amp;CompilDonnées[[#This Row],[ModuleNumber]]&amp;CompilDonnées[[#This Row],[PlantationDate]])</f>
        <v>81545687</v>
      </c>
      <c r="O1095" t="str">
        <f>CompilDonnées[[#This Row],[FarmID]]&amp;CompilDonnées[[#This Row],[ModuleNumber]]</f>
        <v>815</v>
      </c>
      <c r="P1095" t="str">
        <f>CompilDonnées[[#This Row],[Ref_Module]]&amp;CompilDonnées[[#This Row],[HarvestingDate]]</f>
        <v>81545728</v>
      </c>
    </row>
    <row r="1096" spans="1:16">
      <c r="A1096" s="5">
        <v>45687</v>
      </c>
      <c r="B1096">
        <v>79</v>
      </c>
      <c r="C1096" t="s">
        <v>61</v>
      </c>
      <c r="D1096">
        <v>4</v>
      </c>
      <c r="E1096">
        <v>100</v>
      </c>
      <c r="F1096" t="s">
        <v>1</v>
      </c>
      <c r="G1096" s="6">
        <v>45729</v>
      </c>
      <c r="H1096">
        <v>42</v>
      </c>
      <c r="I1096">
        <f>ROUND(CompilDonnées[[#This Row],[CultureDuration_days]]/7,0)</f>
        <v>6</v>
      </c>
      <c r="J1096">
        <v>3092</v>
      </c>
      <c r="K1096" t="str">
        <f>_xlfn.CONCAT(WEEKNUM(CompilDonnées[[#This Row],[PlantationDate]]), " ", YEAR(CompilDonnées[[#This Row],[PlantationDate]]))</f>
        <v>5 2025</v>
      </c>
      <c r="L1096" t="str">
        <f>CONCATENATE(MONTH(CompilDonnées[[#This Row],[PlantationDate]])," ", YEAR(CompilDonnées[[#This Row],[PlantationDate]]))</f>
        <v>1 2025</v>
      </c>
      <c r="M1096" t="str">
        <f>CONCATENATE(MONTH(CompilDonnées[[#This Row],[HarvestingDate]])," ", YEAR(CompilDonnées[[#This Row],[HarvestingDate]]))</f>
        <v>3 2025</v>
      </c>
      <c r="N1096">
        <f>_xlfn.NUMBERVALUE(CompilDonnées[[#This Row],[FarmID]]&amp;CompilDonnées[[#This Row],[ModuleNumber]]&amp;CompilDonnées[[#This Row],[PlantationDate]])</f>
        <v>79445687</v>
      </c>
      <c r="O1096" t="str">
        <f>CompilDonnées[[#This Row],[FarmID]]&amp;CompilDonnées[[#This Row],[ModuleNumber]]</f>
        <v>794</v>
      </c>
      <c r="P1096" t="str">
        <f>CompilDonnées[[#This Row],[Ref_Module]]&amp;CompilDonnées[[#This Row],[HarvestingDate]]</f>
        <v>79445729</v>
      </c>
    </row>
    <row r="1097" spans="1:16">
      <c r="A1097" s="5">
        <v>45687</v>
      </c>
      <c r="B1097">
        <v>80</v>
      </c>
      <c r="C1097" t="s">
        <v>29</v>
      </c>
      <c r="D1097">
        <v>4</v>
      </c>
      <c r="E1097">
        <v>100</v>
      </c>
      <c r="F1097" t="s">
        <v>1</v>
      </c>
      <c r="G1097" s="6">
        <v>45727</v>
      </c>
      <c r="H1097">
        <v>40</v>
      </c>
      <c r="I1097">
        <f>ROUND(CompilDonnées[[#This Row],[CultureDuration_days]]/7,0)</f>
        <v>6</v>
      </c>
      <c r="J1097">
        <v>3812</v>
      </c>
      <c r="K1097" t="str">
        <f>_xlfn.CONCAT(WEEKNUM(CompilDonnées[[#This Row],[PlantationDate]]), " ", YEAR(CompilDonnées[[#This Row],[PlantationDate]]))</f>
        <v>5 2025</v>
      </c>
      <c r="L1097" t="str">
        <f>CONCATENATE(MONTH(CompilDonnées[[#This Row],[PlantationDate]])," ", YEAR(CompilDonnées[[#This Row],[PlantationDate]]))</f>
        <v>1 2025</v>
      </c>
      <c r="M1097" t="str">
        <f>CONCATENATE(MONTH(CompilDonnées[[#This Row],[HarvestingDate]])," ", YEAR(CompilDonnées[[#This Row],[HarvestingDate]]))</f>
        <v>3 2025</v>
      </c>
      <c r="N1097">
        <f>_xlfn.NUMBERVALUE(CompilDonnées[[#This Row],[FarmID]]&amp;CompilDonnées[[#This Row],[ModuleNumber]]&amp;CompilDonnées[[#This Row],[PlantationDate]])</f>
        <v>80445687</v>
      </c>
      <c r="O1097" t="str">
        <f>CompilDonnées[[#This Row],[FarmID]]&amp;CompilDonnées[[#This Row],[ModuleNumber]]</f>
        <v>804</v>
      </c>
      <c r="P1097" t="str">
        <f>CompilDonnées[[#This Row],[Ref_Module]]&amp;CompilDonnées[[#This Row],[HarvestingDate]]</f>
        <v>80445727</v>
      </c>
    </row>
    <row r="1098" spans="1:16">
      <c r="A1098" s="5">
        <v>45687</v>
      </c>
      <c r="B1098">
        <v>74</v>
      </c>
      <c r="C1098" t="s">
        <v>21</v>
      </c>
      <c r="D1098">
        <v>6</v>
      </c>
      <c r="E1098">
        <v>100</v>
      </c>
      <c r="F1098" t="s">
        <v>1</v>
      </c>
      <c r="G1098" s="6">
        <v>45728</v>
      </c>
      <c r="H1098">
        <v>41</v>
      </c>
      <c r="I1098">
        <f>ROUND(CompilDonnées[[#This Row],[CultureDuration_days]]/7,0)</f>
        <v>6</v>
      </c>
      <c r="J1098">
        <v>3436</v>
      </c>
      <c r="K1098" t="str">
        <f>_xlfn.CONCAT(WEEKNUM(CompilDonnées[[#This Row],[PlantationDate]]), " ", YEAR(CompilDonnées[[#This Row],[PlantationDate]]))</f>
        <v>5 2025</v>
      </c>
      <c r="L1098" t="str">
        <f>CONCATENATE(MONTH(CompilDonnées[[#This Row],[PlantationDate]])," ", YEAR(CompilDonnées[[#This Row],[PlantationDate]]))</f>
        <v>1 2025</v>
      </c>
      <c r="M1098" t="str">
        <f>CONCATENATE(MONTH(CompilDonnées[[#This Row],[HarvestingDate]])," ", YEAR(CompilDonnées[[#This Row],[HarvestingDate]]))</f>
        <v>3 2025</v>
      </c>
      <c r="N1098">
        <f>_xlfn.NUMBERVALUE(CompilDonnées[[#This Row],[FarmID]]&amp;CompilDonnées[[#This Row],[ModuleNumber]]&amp;CompilDonnées[[#This Row],[PlantationDate]])</f>
        <v>74645687</v>
      </c>
      <c r="O1098" t="str">
        <f>CompilDonnées[[#This Row],[FarmID]]&amp;CompilDonnées[[#This Row],[ModuleNumber]]</f>
        <v>746</v>
      </c>
      <c r="P1098" t="str">
        <f>CompilDonnées[[#This Row],[Ref_Module]]&amp;CompilDonnées[[#This Row],[HarvestingDate]]</f>
        <v>74645728</v>
      </c>
    </row>
    <row r="1099" spans="1:16">
      <c r="A1099" s="5">
        <v>45687</v>
      </c>
      <c r="B1099">
        <v>73</v>
      </c>
      <c r="C1099" t="s">
        <v>20</v>
      </c>
      <c r="D1099">
        <v>3</v>
      </c>
      <c r="E1099">
        <v>100</v>
      </c>
      <c r="F1099" t="s">
        <v>1</v>
      </c>
      <c r="G1099" s="6">
        <v>45727</v>
      </c>
      <c r="H1099">
        <v>40</v>
      </c>
      <c r="I1099">
        <f>ROUND(CompilDonnées[[#This Row],[CultureDuration_days]]/7,0)</f>
        <v>6</v>
      </c>
      <c r="J1099">
        <v>3137</v>
      </c>
      <c r="K1099" t="str">
        <f>_xlfn.CONCAT(WEEKNUM(CompilDonnées[[#This Row],[PlantationDate]]), " ", YEAR(CompilDonnées[[#This Row],[PlantationDate]]))</f>
        <v>5 2025</v>
      </c>
      <c r="L1099" t="str">
        <f>CONCATENATE(MONTH(CompilDonnées[[#This Row],[PlantationDate]])," ", YEAR(CompilDonnées[[#This Row],[PlantationDate]]))</f>
        <v>1 2025</v>
      </c>
      <c r="M1099" t="str">
        <f>CONCATENATE(MONTH(CompilDonnées[[#This Row],[HarvestingDate]])," ", YEAR(CompilDonnées[[#This Row],[HarvestingDate]]))</f>
        <v>3 2025</v>
      </c>
      <c r="N1099">
        <f>_xlfn.NUMBERVALUE(CompilDonnées[[#This Row],[FarmID]]&amp;CompilDonnées[[#This Row],[ModuleNumber]]&amp;CompilDonnées[[#This Row],[PlantationDate]])</f>
        <v>73345687</v>
      </c>
      <c r="O1099" t="str">
        <f>CompilDonnées[[#This Row],[FarmID]]&amp;CompilDonnées[[#This Row],[ModuleNumber]]</f>
        <v>733</v>
      </c>
      <c r="P1099" t="str">
        <f>CompilDonnées[[#This Row],[Ref_Module]]&amp;CompilDonnées[[#This Row],[HarvestingDate]]</f>
        <v>73345727</v>
      </c>
    </row>
    <row r="1100" spans="1:16">
      <c r="A1100" s="5">
        <v>45687</v>
      </c>
      <c r="B1100">
        <v>72</v>
      </c>
      <c r="C1100" t="s">
        <v>49</v>
      </c>
      <c r="D1100">
        <v>3</v>
      </c>
      <c r="E1100">
        <v>100</v>
      </c>
      <c r="F1100" t="s">
        <v>1</v>
      </c>
      <c r="G1100" s="6">
        <v>45737</v>
      </c>
      <c r="H1100">
        <v>50</v>
      </c>
      <c r="I1100">
        <f>ROUND(CompilDonnées[[#This Row],[CultureDuration_days]]/7,0)</f>
        <v>7</v>
      </c>
      <c r="J1100">
        <v>2370</v>
      </c>
      <c r="K1100" t="str">
        <f>_xlfn.CONCAT(WEEKNUM(CompilDonnées[[#This Row],[PlantationDate]]), " ", YEAR(CompilDonnées[[#This Row],[PlantationDate]]))</f>
        <v>5 2025</v>
      </c>
      <c r="L1100" t="str">
        <f>CONCATENATE(MONTH(CompilDonnées[[#This Row],[PlantationDate]])," ", YEAR(CompilDonnées[[#This Row],[PlantationDate]]))</f>
        <v>1 2025</v>
      </c>
      <c r="M1100" t="str">
        <f>CONCATENATE(MONTH(CompilDonnées[[#This Row],[HarvestingDate]])," ", YEAR(CompilDonnées[[#This Row],[HarvestingDate]]))</f>
        <v>3 2025</v>
      </c>
      <c r="N1100">
        <f>_xlfn.NUMBERVALUE(CompilDonnées[[#This Row],[FarmID]]&amp;CompilDonnées[[#This Row],[ModuleNumber]]&amp;CompilDonnées[[#This Row],[PlantationDate]])</f>
        <v>72345687</v>
      </c>
      <c r="O1100" t="str">
        <f>CompilDonnées[[#This Row],[FarmID]]&amp;CompilDonnées[[#This Row],[ModuleNumber]]</f>
        <v>723</v>
      </c>
      <c r="P1100" t="str">
        <f>CompilDonnées[[#This Row],[Ref_Module]]&amp;CompilDonnées[[#This Row],[HarvestingDate]]</f>
        <v>72345737</v>
      </c>
    </row>
    <row r="1101" spans="1:16">
      <c r="A1101" s="5">
        <v>45687</v>
      </c>
      <c r="B1101">
        <v>76</v>
      </c>
      <c r="C1101" t="s">
        <v>18</v>
      </c>
      <c r="D1101">
        <v>1</v>
      </c>
      <c r="E1101">
        <v>100</v>
      </c>
      <c r="F1101" t="s">
        <v>1</v>
      </c>
      <c r="G1101" s="6">
        <v>45728</v>
      </c>
      <c r="H1101">
        <v>41</v>
      </c>
      <c r="I1101">
        <f>ROUND(CompilDonnées[[#This Row],[CultureDuration_days]]/7,0)</f>
        <v>6</v>
      </c>
      <c r="J1101">
        <v>3059</v>
      </c>
      <c r="K1101" t="str">
        <f>_xlfn.CONCAT(WEEKNUM(CompilDonnées[[#This Row],[PlantationDate]]), " ", YEAR(CompilDonnées[[#This Row],[PlantationDate]]))</f>
        <v>5 2025</v>
      </c>
      <c r="L1101" t="str">
        <f>CONCATENATE(MONTH(CompilDonnées[[#This Row],[PlantationDate]])," ", YEAR(CompilDonnées[[#This Row],[PlantationDate]]))</f>
        <v>1 2025</v>
      </c>
      <c r="M1101" t="str">
        <f>CONCATENATE(MONTH(CompilDonnées[[#This Row],[HarvestingDate]])," ", YEAR(CompilDonnées[[#This Row],[HarvestingDate]]))</f>
        <v>3 2025</v>
      </c>
      <c r="N1101">
        <f>_xlfn.NUMBERVALUE(CompilDonnées[[#This Row],[FarmID]]&amp;CompilDonnées[[#This Row],[ModuleNumber]]&amp;CompilDonnées[[#This Row],[PlantationDate]])</f>
        <v>76145687</v>
      </c>
      <c r="O1101" t="str">
        <f>CompilDonnées[[#This Row],[FarmID]]&amp;CompilDonnées[[#This Row],[ModuleNumber]]</f>
        <v>761</v>
      </c>
      <c r="P1101" t="str">
        <f>CompilDonnées[[#This Row],[Ref_Module]]&amp;CompilDonnées[[#This Row],[HarvestingDate]]</f>
        <v>76145728</v>
      </c>
    </row>
    <row r="1102" spans="1:16">
      <c r="A1102" s="5">
        <v>45687</v>
      </c>
      <c r="B1102">
        <v>67</v>
      </c>
      <c r="C1102" t="s">
        <v>28</v>
      </c>
      <c r="D1102">
        <v>6</v>
      </c>
      <c r="E1102">
        <v>100</v>
      </c>
      <c r="F1102" t="s">
        <v>1</v>
      </c>
      <c r="G1102" s="6">
        <v>45728</v>
      </c>
      <c r="H1102">
        <v>41</v>
      </c>
      <c r="I1102">
        <f>ROUND(CompilDonnées[[#This Row],[CultureDuration_days]]/7,0)</f>
        <v>6</v>
      </c>
      <c r="J1102">
        <v>3726</v>
      </c>
      <c r="K1102" t="str">
        <f>_xlfn.CONCAT(WEEKNUM(CompilDonnées[[#This Row],[PlantationDate]]), " ", YEAR(CompilDonnées[[#This Row],[PlantationDate]]))</f>
        <v>5 2025</v>
      </c>
      <c r="L1102" t="str">
        <f>CONCATENATE(MONTH(CompilDonnées[[#This Row],[PlantationDate]])," ", YEAR(CompilDonnées[[#This Row],[PlantationDate]]))</f>
        <v>1 2025</v>
      </c>
      <c r="M1102" t="str">
        <f>CONCATENATE(MONTH(CompilDonnées[[#This Row],[HarvestingDate]])," ", YEAR(CompilDonnées[[#This Row],[HarvestingDate]]))</f>
        <v>3 2025</v>
      </c>
      <c r="N1102">
        <f>_xlfn.NUMBERVALUE(CompilDonnées[[#This Row],[FarmID]]&amp;CompilDonnées[[#This Row],[ModuleNumber]]&amp;CompilDonnées[[#This Row],[PlantationDate]])</f>
        <v>67645687</v>
      </c>
      <c r="O1102" t="str">
        <f>CompilDonnées[[#This Row],[FarmID]]&amp;CompilDonnées[[#This Row],[ModuleNumber]]</f>
        <v>676</v>
      </c>
      <c r="P1102" t="str">
        <f>CompilDonnées[[#This Row],[Ref_Module]]&amp;CompilDonnées[[#This Row],[HarvestingDate]]</f>
        <v>67645728</v>
      </c>
    </row>
    <row r="1103" spans="1:16">
      <c r="A1103" s="5">
        <v>45687</v>
      </c>
      <c r="B1103">
        <v>66</v>
      </c>
      <c r="C1103" t="s">
        <v>48</v>
      </c>
      <c r="D1103">
        <v>6</v>
      </c>
      <c r="E1103">
        <v>100</v>
      </c>
      <c r="F1103" t="s">
        <v>1</v>
      </c>
      <c r="G1103" s="6">
        <v>45728</v>
      </c>
      <c r="H1103">
        <v>41</v>
      </c>
      <c r="I1103">
        <f>ROUND(CompilDonnées[[#This Row],[CultureDuration_days]]/7,0)</f>
        <v>6</v>
      </c>
      <c r="J1103">
        <v>3266</v>
      </c>
      <c r="K1103" t="str">
        <f>_xlfn.CONCAT(WEEKNUM(CompilDonnées[[#This Row],[PlantationDate]]), " ", YEAR(CompilDonnées[[#This Row],[PlantationDate]]))</f>
        <v>5 2025</v>
      </c>
      <c r="L1103" t="str">
        <f>CONCATENATE(MONTH(CompilDonnées[[#This Row],[PlantationDate]])," ", YEAR(CompilDonnées[[#This Row],[PlantationDate]]))</f>
        <v>1 2025</v>
      </c>
      <c r="M1103" t="str">
        <f>CONCATENATE(MONTH(CompilDonnées[[#This Row],[HarvestingDate]])," ", YEAR(CompilDonnées[[#This Row],[HarvestingDate]]))</f>
        <v>3 2025</v>
      </c>
      <c r="N1103">
        <f>_xlfn.NUMBERVALUE(CompilDonnées[[#This Row],[FarmID]]&amp;CompilDonnées[[#This Row],[ModuleNumber]]&amp;CompilDonnées[[#This Row],[PlantationDate]])</f>
        <v>66645687</v>
      </c>
      <c r="O1103" t="str">
        <f>CompilDonnées[[#This Row],[FarmID]]&amp;CompilDonnées[[#This Row],[ModuleNumber]]</f>
        <v>666</v>
      </c>
      <c r="P1103" t="str">
        <f>CompilDonnées[[#This Row],[Ref_Module]]&amp;CompilDonnées[[#This Row],[HarvestingDate]]</f>
        <v>66645728</v>
      </c>
    </row>
    <row r="1104" spans="1:16">
      <c r="A1104" s="5">
        <v>45687</v>
      </c>
      <c r="B1104">
        <v>65</v>
      </c>
      <c r="C1104" t="s">
        <v>36</v>
      </c>
      <c r="D1104">
        <v>2</v>
      </c>
      <c r="E1104">
        <v>100</v>
      </c>
      <c r="F1104" t="s">
        <v>1</v>
      </c>
      <c r="G1104" s="6">
        <v>45727</v>
      </c>
      <c r="H1104">
        <v>40</v>
      </c>
      <c r="I1104">
        <f>ROUND(CompilDonnées[[#This Row],[CultureDuration_days]]/7,0)</f>
        <v>6</v>
      </c>
      <c r="J1104">
        <v>3360</v>
      </c>
      <c r="K1104" t="str">
        <f>_xlfn.CONCAT(WEEKNUM(CompilDonnées[[#This Row],[PlantationDate]]), " ", YEAR(CompilDonnées[[#This Row],[PlantationDate]]))</f>
        <v>5 2025</v>
      </c>
      <c r="L1104" t="str">
        <f>CONCATENATE(MONTH(CompilDonnées[[#This Row],[PlantationDate]])," ", YEAR(CompilDonnées[[#This Row],[PlantationDate]]))</f>
        <v>1 2025</v>
      </c>
      <c r="M1104" t="str">
        <f>CONCATENATE(MONTH(CompilDonnées[[#This Row],[HarvestingDate]])," ", YEAR(CompilDonnées[[#This Row],[HarvestingDate]]))</f>
        <v>3 2025</v>
      </c>
      <c r="N1104">
        <f>_xlfn.NUMBERVALUE(CompilDonnées[[#This Row],[FarmID]]&amp;CompilDonnées[[#This Row],[ModuleNumber]]&amp;CompilDonnées[[#This Row],[PlantationDate]])</f>
        <v>65245687</v>
      </c>
      <c r="O1104" t="str">
        <f>CompilDonnées[[#This Row],[FarmID]]&amp;CompilDonnées[[#This Row],[ModuleNumber]]</f>
        <v>652</v>
      </c>
      <c r="P1104" t="str">
        <f>CompilDonnées[[#This Row],[Ref_Module]]&amp;CompilDonnées[[#This Row],[HarvestingDate]]</f>
        <v>65245727</v>
      </c>
    </row>
    <row r="1105" spans="1:16">
      <c r="A1105" s="5">
        <v>45687</v>
      </c>
      <c r="B1105">
        <v>84</v>
      </c>
      <c r="C1105" t="s">
        <v>65</v>
      </c>
      <c r="D1105">
        <v>2</v>
      </c>
      <c r="E1105">
        <v>100</v>
      </c>
      <c r="F1105" t="s">
        <v>1</v>
      </c>
      <c r="G1105" s="6">
        <v>45728</v>
      </c>
      <c r="H1105">
        <v>41</v>
      </c>
      <c r="I1105">
        <f>ROUND(CompilDonnées[[#This Row],[CultureDuration_days]]/7,0)</f>
        <v>6</v>
      </c>
      <c r="J1105">
        <v>3967</v>
      </c>
      <c r="K1105" t="str">
        <f>_xlfn.CONCAT(WEEKNUM(CompilDonnées[[#This Row],[PlantationDate]]), " ", YEAR(CompilDonnées[[#This Row],[PlantationDate]]))</f>
        <v>5 2025</v>
      </c>
      <c r="L1105" t="str">
        <f>CONCATENATE(MONTH(CompilDonnées[[#This Row],[PlantationDate]])," ", YEAR(CompilDonnées[[#This Row],[PlantationDate]]))</f>
        <v>1 2025</v>
      </c>
      <c r="M1105" t="str">
        <f>CONCATENATE(MONTH(CompilDonnées[[#This Row],[HarvestingDate]])," ", YEAR(CompilDonnées[[#This Row],[HarvestingDate]]))</f>
        <v>3 2025</v>
      </c>
      <c r="N1105">
        <f>_xlfn.NUMBERVALUE(CompilDonnées[[#This Row],[FarmID]]&amp;CompilDonnées[[#This Row],[ModuleNumber]]&amp;CompilDonnées[[#This Row],[PlantationDate]])</f>
        <v>84245687</v>
      </c>
      <c r="O1105" t="str">
        <f>CompilDonnées[[#This Row],[FarmID]]&amp;CompilDonnées[[#This Row],[ModuleNumber]]</f>
        <v>842</v>
      </c>
      <c r="P1105" t="str">
        <f>CompilDonnées[[#This Row],[Ref_Module]]&amp;CompilDonnées[[#This Row],[HarvestingDate]]</f>
        <v>84245728</v>
      </c>
    </row>
    <row r="1106" spans="1:16">
      <c r="A1106" s="5">
        <v>45687</v>
      </c>
      <c r="B1106">
        <v>83</v>
      </c>
      <c r="C1106" t="s">
        <v>73</v>
      </c>
      <c r="D1106">
        <v>2</v>
      </c>
      <c r="E1106">
        <v>100</v>
      </c>
      <c r="F1106" t="s">
        <v>1</v>
      </c>
      <c r="G1106" s="6">
        <v>45728</v>
      </c>
      <c r="H1106">
        <v>41</v>
      </c>
      <c r="I1106">
        <f>ROUND(CompilDonnées[[#This Row],[CultureDuration_days]]/7,0)</f>
        <v>6</v>
      </c>
      <c r="J1106">
        <v>3262</v>
      </c>
      <c r="K1106" t="str">
        <f>_xlfn.CONCAT(WEEKNUM(CompilDonnées[[#This Row],[PlantationDate]]), " ", YEAR(CompilDonnées[[#This Row],[PlantationDate]]))</f>
        <v>5 2025</v>
      </c>
      <c r="L1106" t="str">
        <f>CONCATENATE(MONTH(CompilDonnées[[#This Row],[PlantationDate]])," ", YEAR(CompilDonnées[[#This Row],[PlantationDate]]))</f>
        <v>1 2025</v>
      </c>
      <c r="M1106" t="str">
        <f>CONCATENATE(MONTH(CompilDonnées[[#This Row],[HarvestingDate]])," ", YEAR(CompilDonnées[[#This Row],[HarvestingDate]]))</f>
        <v>3 2025</v>
      </c>
      <c r="N1106">
        <f>_xlfn.NUMBERVALUE(CompilDonnées[[#This Row],[FarmID]]&amp;CompilDonnées[[#This Row],[ModuleNumber]]&amp;CompilDonnées[[#This Row],[PlantationDate]])</f>
        <v>83245687</v>
      </c>
      <c r="O1106" t="str">
        <f>CompilDonnées[[#This Row],[FarmID]]&amp;CompilDonnées[[#This Row],[ModuleNumber]]</f>
        <v>832</v>
      </c>
      <c r="P1106" t="str">
        <f>CompilDonnées[[#This Row],[Ref_Module]]&amp;CompilDonnées[[#This Row],[HarvestingDate]]</f>
        <v>83245728</v>
      </c>
    </row>
    <row r="1107" spans="1:16">
      <c r="A1107" s="5">
        <v>45687</v>
      </c>
      <c r="B1107">
        <v>64</v>
      </c>
      <c r="C1107" t="s">
        <v>47</v>
      </c>
      <c r="D1107">
        <v>2</v>
      </c>
      <c r="E1107">
        <v>100</v>
      </c>
      <c r="F1107" t="s">
        <v>1</v>
      </c>
      <c r="G1107" s="6">
        <v>45727</v>
      </c>
      <c r="H1107">
        <v>40</v>
      </c>
      <c r="I1107">
        <f>ROUND(CompilDonnées[[#This Row],[CultureDuration_days]]/7,0)</f>
        <v>6</v>
      </c>
      <c r="J1107">
        <v>3017</v>
      </c>
      <c r="K1107" t="str">
        <f>_xlfn.CONCAT(WEEKNUM(CompilDonnées[[#This Row],[PlantationDate]]), " ", YEAR(CompilDonnées[[#This Row],[PlantationDate]]))</f>
        <v>5 2025</v>
      </c>
      <c r="L1107" t="str">
        <f>CONCATENATE(MONTH(CompilDonnées[[#This Row],[PlantationDate]])," ", YEAR(CompilDonnées[[#This Row],[PlantationDate]]))</f>
        <v>1 2025</v>
      </c>
      <c r="M1107" t="str">
        <f>CONCATENATE(MONTH(CompilDonnées[[#This Row],[HarvestingDate]])," ", YEAR(CompilDonnées[[#This Row],[HarvestingDate]]))</f>
        <v>3 2025</v>
      </c>
      <c r="N1107">
        <f>_xlfn.NUMBERVALUE(CompilDonnées[[#This Row],[FarmID]]&amp;CompilDonnées[[#This Row],[ModuleNumber]]&amp;CompilDonnées[[#This Row],[PlantationDate]])</f>
        <v>64245687</v>
      </c>
      <c r="O1107" t="str">
        <f>CompilDonnées[[#This Row],[FarmID]]&amp;CompilDonnées[[#This Row],[ModuleNumber]]</f>
        <v>642</v>
      </c>
      <c r="P1107" t="str">
        <f>CompilDonnées[[#This Row],[Ref_Module]]&amp;CompilDonnées[[#This Row],[HarvestingDate]]</f>
        <v>64245727</v>
      </c>
    </row>
    <row r="1108" spans="1:16">
      <c r="A1108" s="5">
        <v>45687</v>
      </c>
      <c r="B1108">
        <v>64</v>
      </c>
      <c r="C1108" t="s">
        <v>47</v>
      </c>
      <c r="D1108">
        <v>3</v>
      </c>
      <c r="E1108">
        <v>100</v>
      </c>
      <c r="F1108" t="s">
        <v>1</v>
      </c>
      <c r="G1108" s="6">
        <v>45727</v>
      </c>
      <c r="H1108">
        <v>40</v>
      </c>
      <c r="I1108">
        <f>ROUND(CompilDonnées[[#This Row],[CultureDuration_days]]/7,0)</f>
        <v>6</v>
      </c>
      <c r="J1108">
        <v>3043</v>
      </c>
      <c r="K1108" t="str">
        <f>_xlfn.CONCAT(WEEKNUM(CompilDonnées[[#This Row],[PlantationDate]]), " ", YEAR(CompilDonnées[[#This Row],[PlantationDate]]))</f>
        <v>5 2025</v>
      </c>
      <c r="L1108" t="str">
        <f>CONCATENATE(MONTH(CompilDonnées[[#This Row],[PlantationDate]])," ", YEAR(CompilDonnées[[#This Row],[PlantationDate]]))</f>
        <v>1 2025</v>
      </c>
      <c r="M1108" t="str">
        <f>CONCATENATE(MONTH(CompilDonnées[[#This Row],[HarvestingDate]])," ", YEAR(CompilDonnées[[#This Row],[HarvestingDate]]))</f>
        <v>3 2025</v>
      </c>
      <c r="N1108">
        <f>_xlfn.NUMBERVALUE(CompilDonnées[[#This Row],[FarmID]]&amp;CompilDonnées[[#This Row],[ModuleNumber]]&amp;CompilDonnées[[#This Row],[PlantationDate]])</f>
        <v>64345687</v>
      </c>
      <c r="O1108" t="str">
        <f>CompilDonnées[[#This Row],[FarmID]]&amp;CompilDonnées[[#This Row],[ModuleNumber]]</f>
        <v>643</v>
      </c>
      <c r="P1108" t="str">
        <f>CompilDonnées[[#This Row],[Ref_Module]]&amp;CompilDonnées[[#This Row],[HarvestingDate]]</f>
        <v>64345727</v>
      </c>
    </row>
    <row r="1109" spans="1:16">
      <c r="A1109" s="5">
        <v>45687</v>
      </c>
      <c r="B1109">
        <v>71</v>
      </c>
      <c r="C1109" t="s">
        <v>19</v>
      </c>
      <c r="D1109">
        <v>5</v>
      </c>
      <c r="E1109">
        <v>100</v>
      </c>
      <c r="F1109" t="s">
        <v>1</v>
      </c>
      <c r="G1109" s="6">
        <v>45728</v>
      </c>
      <c r="H1109">
        <v>41</v>
      </c>
      <c r="I1109">
        <f>ROUND(CompilDonnées[[#This Row],[CultureDuration_days]]/7,0)</f>
        <v>6</v>
      </c>
      <c r="J1109">
        <v>3057</v>
      </c>
      <c r="K1109" t="str">
        <f>_xlfn.CONCAT(WEEKNUM(CompilDonnées[[#This Row],[PlantationDate]]), " ", YEAR(CompilDonnées[[#This Row],[PlantationDate]]))</f>
        <v>5 2025</v>
      </c>
      <c r="L1109" t="str">
        <f>CONCATENATE(MONTH(CompilDonnées[[#This Row],[PlantationDate]])," ", YEAR(CompilDonnées[[#This Row],[PlantationDate]]))</f>
        <v>1 2025</v>
      </c>
      <c r="M1109" t="str">
        <f>CONCATENATE(MONTH(CompilDonnées[[#This Row],[HarvestingDate]])," ", YEAR(CompilDonnées[[#This Row],[HarvestingDate]]))</f>
        <v>3 2025</v>
      </c>
      <c r="N1109">
        <f>_xlfn.NUMBERVALUE(CompilDonnées[[#This Row],[FarmID]]&amp;CompilDonnées[[#This Row],[ModuleNumber]]&amp;CompilDonnées[[#This Row],[PlantationDate]])</f>
        <v>71545687</v>
      </c>
      <c r="O1109" t="str">
        <f>CompilDonnées[[#This Row],[FarmID]]&amp;CompilDonnées[[#This Row],[ModuleNumber]]</f>
        <v>715</v>
      </c>
      <c r="P1109" t="str">
        <f>CompilDonnées[[#This Row],[Ref_Module]]&amp;CompilDonnées[[#This Row],[HarvestingDate]]</f>
        <v>71545728</v>
      </c>
    </row>
    <row r="1110" spans="1:16">
      <c r="A1110" s="5">
        <v>45687</v>
      </c>
      <c r="B1110">
        <v>56</v>
      </c>
      <c r="C1110" t="s">
        <v>6</v>
      </c>
      <c r="D1110">
        <v>2</v>
      </c>
      <c r="E1110">
        <v>100</v>
      </c>
      <c r="F1110" t="s">
        <v>1</v>
      </c>
      <c r="G1110" s="6">
        <v>45728</v>
      </c>
      <c r="H1110">
        <v>41</v>
      </c>
      <c r="I1110">
        <f>ROUND(CompilDonnées[[#This Row],[CultureDuration_days]]/7,0)</f>
        <v>6</v>
      </c>
      <c r="J1110">
        <v>3051</v>
      </c>
      <c r="K1110" t="str">
        <f>_xlfn.CONCAT(WEEKNUM(CompilDonnées[[#This Row],[PlantationDate]]), " ", YEAR(CompilDonnées[[#This Row],[PlantationDate]]))</f>
        <v>5 2025</v>
      </c>
      <c r="L1110" t="str">
        <f>CONCATENATE(MONTH(CompilDonnées[[#This Row],[PlantationDate]])," ", YEAR(CompilDonnées[[#This Row],[PlantationDate]]))</f>
        <v>1 2025</v>
      </c>
      <c r="M1110" t="str">
        <f>CONCATENATE(MONTH(CompilDonnées[[#This Row],[HarvestingDate]])," ", YEAR(CompilDonnées[[#This Row],[HarvestingDate]]))</f>
        <v>3 2025</v>
      </c>
      <c r="N1110">
        <f>_xlfn.NUMBERVALUE(CompilDonnées[[#This Row],[FarmID]]&amp;CompilDonnées[[#This Row],[ModuleNumber]]&amp;CompilDonnées[[#This Row],[PlantationDate]])</f>
        <v>56245687</v>
      </c>
      <c r="O1110" t="str">
        <f>CompilDonnées[[#This Row],[FarmID]]&amp;CompilDonnées[[#This Row],[ModuleNumber]]</f>
        <v>562</v>
      </c>
      <c r="P1110" t="str">
        <f>CompilDonnées[[#This Row],[Ref_Module]]&amp;CompilDonnées[[#This Row],[HarvestingDate]]</f>
        <v>56245728</v>
      </c>
    </row>
    <row r="1111" spans="1:16">
      <c r="A1111" s="5">
        <v>45687</v>
      </c>
      <c r="B1111">
        <v>77</v>
      </c>
      <c r="C1111" t="s">
        <v>75</v>
      </c>
      <c r="D1111">
        <v>4</v>
      </c>
      <c r="E1111">
        <v>100</v>
      </c>
      <c r="F1111" t="s">
        <v>1</v>
      </c>
      <c r="G1111" s="6">
        <v>45728</v>
      </c>
      <c r="H1111">
        <v>41</v>
      </c>
      <c r="I1111">
        <f>ROUND(CompilDonnées[[#This Row],[CultureDuration_days]]/7,0)</f>
        <v>6</v>
      </c>
      <c r="J1111">
        <v>3054</v>
      </c>
      <c r="K1111" t="str">
        <f>_xlfn.CONCAT(WEEKNUM(CompilDonnées[[#This Row],[PlantationDate]]), " ", YEAR(CompilDonnées[[#This Row],[PlantationDate]]))</f>
        <v>5 2025</v>
      </c>
      <c r="L1111" t="str">
        <f>CONCATENATE(MONTH(CompilDonnées[[#This Row],[PlantationDate]])," ", YEAR(CompilDonnées[[#This Row],[PlantationDate]]))</f>
        <v>1 2025</v>
      </c>
      <c r="M1111" t="str">
        <f>CONCATENATE(MONTH(CompilDonnées[[#This Row],[HarvestingDate]])," ", YEAR(CompilDonnées[[#This Row],[HarvestingDate]]))</f>
        <v>3 2025</v>
      </c>
      <c r="N1111">
        <f>_xlfn.NUMBERVALUE(CompilDonnées[[#This Row],[FarmID]]&amp;CompilDonnées[[#This Row],[ModuleNumber]]&amp;CompilDonnées[[#This Row],[PlantationDate]])</f>
        <v>77445687</v>
      </c>
      <c r="O1111" t="str">
        <f>CompilDonnées[[#This Row],[FarmID]]&amp;CompilDonnées[[#This Row],[ModuleNumber]]</f>
        <v>774</v>
      </c>
      <c r="P1111" t="str">
        <f>CompilDonnées[[#This Row],[Ref_Module]]&amp;CompilDonnées[[#This Row],[HarvestingDate]]</f>
        <v>77445728</v>
      </c>
    </row>
    <row r="1112" spans="1:16">
      <c r="A1112" s="5">
        <v>45687</v>
      </c>
      <c r="B1112">
        <v>51</v>
      </c>
      <c r="C1112" t="s">
        <v>27</v>
      </c>
      <c r="D1112">
        <v>5</v>
      </c>
      <c r="E1112">
        <v>100</v>
      </c>
      <c r="F1112" t="s">
        <v>1</v>
      </c>
      <c r="G1112" s="6">
        <v>45727</v>
      </c>
      <c r="H1112">
        <v>40</v>
      </c>
      <c r="I1112">
        <f>ROUND(CompilDonnées[[#This Row],[CultureDuration_days]]/7,0)</f>
        <v>6</v>
      </c>
      <c r="J1112">
        <v>3357</v>
      </c>
      <c r="K1112" t="str">
        <f>_xlfn.CONCAT(WEEKNUM(CompilDonnées[[#This Row],[PlantationDate]]), " ", YEAR(CompilDonnées[[#This Row],[PlantationDate]]))</f>
        <v>5 2025</v>
      </c>
      <c r="L1112" t="str">
        <f>CONCATENATE(MONTH(CompilDonnées[[#This Row],[PlantationDate]])," ", YEAR(CompilDonnées[[#This Row],[PlantationDate]]))</f>
        <v>1 2025</v>
      </c>
      <c r="M1112" t="str">
        <f>CONCATENATE(MONTH(CompilDonnées[[#This Row],[HarvestingDate]])," ", YEAR(CompilDonnées[[#This Row],[HarvestingDate]]))</f>
        <v>3 2025</v>
      </c>
      <c r="N1112">
        <f>_xlfn.NUMBERVALUE(CompilDonnées[[#This Row],[FarmID]]&amp;CompilDonnées[[#This Row],[ModuleNumber]]&amp;CompilDonnées[[#This Row],[PlantationDate]])</f>
        <v>51545687</v>
      </c>
      <c r="O1112" t="str">
        <f>CompilDonnées[[#This Row],[FarmID]]&amp;CompilDonnées[[#This Row],[ModuleNumber]]</f>
        <v>515</v>
      </c>
      <c r="P1112" t="str">
        <f>CompilDonnées[[#This Row],[Ref_Module]]&amp;CompilDonnées[[#This Row],[HarvestingDate]]</f>
        <v>51545727</v>
      </c>
    </row>
    <row r="1113" spans="1:16">
      <c r="A1113" s="5">
        <v>45687</v>
      </c>
      <c r="B1113">
        <v>121</v>
      </c>
      <c r="C1113" t="s">
        <v>3</v>
      </c>
      <c r="D1113">
        <v>3</v>
      </c>
      <c r="E1113">
        <v>60</v>
      </c>
      <c r="F1113" t="s">
        <v>105</v>
      </c>
      <c r="G1113" s="6">
        <v>45737</v>
      </c>
      <c r="H1113">
        <v>50</v>
      </c>
      <c r="I1113">
        <f>ROUND(CompilDonnées[[#This Row],[CultureDuration_days]]/7,0)</f>
        <v>7</v>
      </c>
      <c r="J1113">
        <v>1377</v>
      </c>
      <c r="K1113" t="str">
        <f>_xlfn.CONCAT(WEEKNUM(CompilDonnées[[#This Row],[PlantationDate]]), " ", YEAR(CompilDonnées[[#This Row],[PlantationDate]]))</f>
        <v>5 2025</v>
      </c>
      <c r="L1113" t="str">
        <f>CONCATENATE(MONTH(CompilDonnées[[#This Row],[PlantationDate]])," ", YEAR(CompilDonnées[[#This Row],[PlantationDate]]))</f>
        <v>1 2025</v>
      </c>
      <c r="M1113" t="str">
        <f>CONCATENATE(MONTH(CompilDonnées[[#This Row],[HarvestingDate]])," ", YEAR(CompilDonnées[[#This Row],[HarvestingDate]]))</f>
        <v>3 2025</v>
      </c>
      <c r="N1113">
        <f>_xlfn.NUMBERVALUE(CompilDonnées[[#This Row],[FarmID]]&amp;CompilDonnées[[#This Row],[ModuleNumber]]&amp;CompilDonnées[[#This Row],[PlantationDate]])</f>
        <v>121345687</v>
      </c>
      <c r="O1113" t="str">
        <f>CompilDonnées[[#This Row],[FarmID]]&amp;CompilDonnées[[#This Row],[ModuleNumber]]</f>
        <v>1213</v>
      </c>
      <c r="P1113" t="str">
        <f>CompilDonnées[[#This Row],[Ref_Module]]&amp;CompilDonnées[[#This Row],[HarvestingDate]]</f>
        <v>121345737</v>
      </c>
    </row>
    <row r="1114" spans="1:16">
      <c r="A1114" s="5">
        <v>45687</v>
      </c>
      <c r="B1114">
        <v>121</v>
      </c>
      <c r="C1114" t="s">
        <v>3</v>
      </c>
      <c r="D1114">
        <v>4</v>
      </c>
      <c r="E1114">
        <v>60</v>
      </c>
      <c r="F1114" t="s">
        <v>105</v>
      </c>
      <c r="G1114" s="6">
        <v>45737</v>
      </c>
      <c r="H1114">
        <v>50</v>
      </c>
      <c r="I1114">
        <f>ROUND(CompilDonnées[[#This Row],[CultureDuration_days]]/7,0)</f>
        <v>7</v>
      </c>
      <c r="J1114">
        <v>1378</v>
      </c>
      <c r="K1114" t="str">
        <f>_xlfn.CONCAT(WEEKNUM(CompilDonnées[[#This Row],[PlantationDate]]), " ", YEAR(CompilDonnées[[#This Row],[PlantationDate]]))</f>
        <v>5 2025</v>
      </c>
      <c r="L1114" t="str">
        <f>CONCATENATE(MONTH(CompilDonnées[[#This Row],[PlantationDate]])," ", YEAR(CompilDonnées[[#This Row],[PlantationDate]]))</f>
        <v>1 2025</v>
      </c>
      <c r="M1114" t="str">
        <f>CONCATENATE(MONTH(CompilDonnées[[#This Row],[HarvestingDate]])," ", YEAR(CompilDonnées[[#This Row],[HarvestingDate]]))</f>
        <v>3 2025</v>
      </c>
      <c r="N1114">
        <f>_xlfn.NUMBERVALUE(CompilDonnées[[#This Row],[FarmID]]&amp;CompilDonnées[[#This Row],[ModuleNumber]]&amp;CompilDonnées[[#This Row],[PlantationDate]])</f>
        <v>121445687</v>
      </c>
      <c r="O1114" t="str">
        <f>CompilDonnées[[#This Row],[FarmID]]&amp;CompilDonnées[[#This Row],[ModuleNumber]]</f>
        <v>1214</v>
      </c>
      <c r="P1114" t="str">
        <f>CompilDonnées[[#This Row],[Ref_Module]]&amp;CompilDonnées[[#This Row],[HarvestingDate]]</f>
        <v>121445737</v>
      </c>
    </row>
    <row r="1115" spans="1:16">
      <c r="A1115" s="5">
        <v>45687</v>
      </c>
      <c r="B1115">
        <v>129</v>
      </c>
      <c r="C1115" t="s">
        <v>3</v>
      </c>
      <c r="D1115">
        <v>1</v>
      </c>
      <c r="E1115">
        <v>60</v>
      </c>
      <c r="F1115" t="s">
        <v>105</v>
      </c>
      <c r="G1115" s="6">
        <v>45758</v>
      </c>
      <c r="H1115">
        <v>71</v>
      </c>
      <c r="I1115">
        <f>ROUND(CompilDonnées[[#This Row],[CultureDuration_days]]/7,0)</f>
        <v>10</v>
      </c>
      <c r="J1115">
        <v>1001</v>
      </c>
      <c r="K1115" t="str">
        <f>_xlfn.CONCAT(WEEKNUM(CompilDonnées[[#This Row],[PlantationDate]]), " ", YEAR(CompilDonnées[[#This Row],[PlantationDate]]))</f>
        <v>5 2025</v>
      </c>
      <c r="L1115" t="str">
        <f>CONCATENATE(MONTH(CompilDonnées[[#This Row],[PlantationDate]])," ", YEAR(CompilDonnées[[#This Row],[PlantationDate]]))</f>
        <v>1 2025</v>
      </c>
      <c r="M1115" t="str">
        <f>CONCATENATE(MONTH(CompilDonnées[[#This Row],[HarvestingDate]])," ", YEAR(CompilDonnées[[#This Row],[HarvestingDate]]))</f>
        <v>4 2025</v>
      </c>
      <c r="N1115">
        <f>_xlfn.NUMBERVALUE(CompilDonnées[[#This Row],[FarmID]]&amp;CompilDonnées[[#This Row],[ModuleNumber]]&amp;CompilDonnées[[#This Row],[PlantationDate]])</f>
        <v>129145687</v>
      </c>
      <c r="O1115" t="str">
        <f>CompilDonnées[[#This Row],[FarmID]]&amp;CompilDonnées[[#This Row],[ModuleNumber]]</f>
        <v>1291</v>
      </c>
      <c r="P1115" t="str">
        <f>CompilDonnées[[#This Row],[Ref_Module]]&amp;CompilDonnées[[#This Row],[HarvestingDate]]</f>
        <v>129145758</v>
      </c>
    </row>
    <row r="1116" spans="1:16">
      <c r="A1116" s="5">
        <v>45687</v>
      </c>
      <c r="B1116">
        <v>129</v>
      </c>
      <c r="C1116" t="s">
        <v>3</v>
      </c>
      <c r="D1116">
        <v>2</v>
      </c>
      <c r="E1116">
        <v>60</v>
      </c>
      <c r="F1116" t="s">
        <v>105</v>
      </c>
      <c r="G1116" s="6">
        <v>45758</v>
      </c>
      <c r="H1116">
        <v>71</v>
      </c>
      <c r="I1116">
        <f>ROUND(CompilDonnées[[#This Row],[CultureDuration_days]]/7,0)</f>
        <v>10</v>
      </c>
      <c r="J1116">
        <v>722</v>
      </c>
      <c r="K1116" t="str">
        <f>_xlfn.CONCAT(WEEKNUM(CompilDonnées[[#This Row],[PlantationDate]]), " ", YEAR(CompilDonnées[[#This Row],[PlantationDate]]))</f>
        <v>5 2025</v>
      </c>
      <c r="L1116" t="str">
        <f>CONCATENATE(MONTH(CompilDonnées[[#This Row],[PlantationDate]])," ", YEAR(CompilDonnées[[#This Row],[PlantationDate]]))</f>
        <v>1 2025</v>
      </c>
      <c r="M1116" t="str">
        <f>CONCATENATE(MONTH(CompilDonnées[[#This Row],[HarvestingDate]])," ", YEAR(CompilDonnées[[#This Row],[HarvestingDate]]))</f>
        <v>4 2025</v>
      </c>
      <c r="N1116">
        <f>_xlfn.NUMBERVALUE(CompilDonnées[[#This Row],[FarmID]]&amp;CompilDonnées[[#This Row],[ModuleNumber]]&amp;CompilDonnées[[#This Row],[PlantationDate]])</f>
        <v>129245687</v>
      </c>
      <c r="O1116" t="str">
        <f>CompilDonnées[[#This Row],[FarmID]]&amp;CompilDonnées[[#This Row],[ModuleNumber]]</f>
        <v>1292</v>
      </c>
      <c r="P1116" t="str">
        <f>CompilDonnées[[#This Row],[Ref_Module]]&amp;CompilDonnées[[#This Row],[HarvestingDate]]</f>
        <v>129245758</v>
      </c>
    </row>
    <row r="1117" spans="1:16">
      <c r="A1117" s="5">
        <v>45687</v>
      </c>
      <c r="B1117">
        <v>129</v>
      </c>
      <c r="C1117" t="s">
        <v>3</v>
      </c>
      <c r="D1117">
        <v>3</v>
      </c>
      <c r="E1117">
        <v>60</v>
      </c>
      <c r="F1117" t="s">
        <v>105</v>
      </c>
      <c r="G1117" s="6">
        <v>45758</v>
      </c>
      <c r="H1117">
        <v>71</v>
      </c>
      <c r="I1117">
        <f>ROUND(CompilDonnées[[#This Row],[CultureDuration_days]]/7,0)</f>
        <v>10</v>
      </c>
      <c r="J1117">
        <v>819</v>
      </c>
      <c r="K1117" t="str">
        <f>_xlfn.CONCAT(WEEKNUM(CompilDonnées[[#This Row],[PlantationDate]]), " ", YEAR(CompilDonnées[[#This Row],[PlantationDate]]))</f>
        <v>5 2025</v>
      </c>
      <c r="L1117" t="str">
        <f>CONCATENATE(MONTH(CompilDonnées[[#This Row],[PlantationDate]])," ", YEAR(CompilDonnées[[#This Row],[PlantationDate]]))</f>
        <v>1 2025</v>
      </c>
      <c r="M1117" t="str">
        <f>CONCATENATE(MONTH(CompilDonnées[[#This Row],[HarvestingDate]])," ", YEAR(CompilDonnées[[#This Row],[HarvestingDate]]))</f>
        <v>4 2025</v>
      </c>
      <c r="N1117">
        <f>_xlfn.NUMBERVALUE(CompilDonnées[[#This Row],[FarmID]]&amp;CompilDonnées[[#This Row],[ModuleNumber]]&amp;CompilDonnées[[#This Row],[PlantationDate]])</f>
        <v>129345687</v>
      </c>
      <c r="O1117" t="str">
        <f>CompilDonnées[[#This Row],[FarmID]]&amp;CompilDonnées[[#This Row],[ModuleNumber]]</f>
        <v>1293</v>
      </c>
      <c r="P1117" t="str">
        <f>CompilDonnées[[#This Row],[Ref_Module]]&amp;CompilDonnées[[#This Row],[HarvestingDate]]</f>
        <v>129345758</v>
      </c>
    </row>
    <row r="1118" spans="1:16">
      <c r="A1118" s="5">
        <v>45688</v>
      </c>
      <c r="B1118">
        <v>103</v>
      </c>
      <c r="C1118" t="s">
        <v>86</v>
      </c>
      <c r="D1118">
        <v>6</v>
      </c>
      <c r="E1118">
        <v>100</v>
      </c>
      <c r="F1118" t="s">
        <v>1</v>
      </c>
      <c r="G1118" s="6">
        <v>45733</v>
      </c>
      <c r="H1118">
        <v>45</v>
      </c>
      <c r="I1118">
        <f>ROUND(CompilDonnées[[#This Row],[CultureDuration_days]]/7,0)</f>
        <v>6</v>
      </c>
      <c r="J1118">
        <v>3774</v>
      </c>
      <c r="K1118" t="str">
        <f>_xlfn.CONCAT(WEEKNUM(CompilDonnées[[#This Row],[PlantationDate]]), " ", YEAR(CompilDonnées[[#This Row],[PlantationDate]]))</f>
        <v>5 2025</v>
      </c>
      <c r="L1118" t="str">
        <f>CONCATENATE(MONTH(CompilDonnées[[#This Row],[PlantationDate]])," ", YEAR(CompilDonnées[[#This Row],[PlantationDate]]))</f>
        <v>1 2025</v>
      </c>
      <c r="M1118" t="str">
        <f>CONCATENATE(MONTH(CompilDonnées[[#This Row],[HarvestingDate]])," ", YEAR(CompilDonnées[[#This Row],[HarvestingDate]]))</f>
        <v>3 2025</v>
      </c>
      <c r="N1118">
        <f>_xlfn.NUMBERVALUE(CompilDonnées[[#This Row],[FarmID]]&amp;CompilDonnées[[#This Row],[ModuleNumber]]&amp;CompilDonnées[[#This Row],[PlantationDate]])</f>
        <v>103645688</v>
      </c>
      <c r="O1118" t="str">
        <f>CompilDonnées[[#This Row],[FarmID]]&amp;CompilDonnées[[#This Row],[ModuleNumber]]</f>
        <v>1036</v>
      </c>
      <c r="P1118" t="str">
        <f>CompilDonnées[[#This Row],[Ref_Module]]&amp;CompilDonnées[[#This Row],[HarvestingDate]]</f>
        <v>103645733</v>
      </c>
    </row>
    <row r="1119" spans="1:16">
      <c r="A1119" s="5">
        <v>45688</v>
      </c>
      <c r="B1119">
        <v>108</v>
      </c>
      <c r="C1119" t="s">
        <v>58</v>
      </c>
      <c r="D1119">
        <v>2</v>
      </c>
      <c r="E1119">
        <v>100</v>
      </c>
      <c r="F1119" t="s">
        <v>1</v>
      </c>
      <c r="G1119" s="6">
        <v>45729</v>
      </c>
      <c r="H1119">
        <v>41</v>
      </c>
      <c r="I1119">
        <f>ROUND(CompilDonnées[[#This Row],[CultureDuration_days]]/7,0)</f>
        <v>6</v>
      </c>
      <c r="J1119">
        <v>2991</v>
      </c>
      <c r="K1119" t="str">
        <f>_xlfn.CONCAT(WEEKNUM(CompilDonnées[[#This Row],[PlantationDate]]), " ", YEAR(CompilDonnées[[#This Row],[PlantationDate]]))</f>
        <v>5 2025</v>
      </c>
      <c r="L1119" t="str">
        <f>CONCATENATE(MONTH(CompilDonnées[[#This Row],[PlantationDate]])," ", YEAR(CompilDonnées[[#This Row],[PlantationDate]]))</f>
        <v>1 2025</v>
      </c>
      <c r="M1119" t="str">
        <f>CONCATENATE(MONTH(CompilDonnées[[#This Row],[HarvestingDate]])," ", YEAR(CompilDonnées[[#This Row],[HarvestingDate]]))</f>
        <v>3 2025</v>
      </c>
      <c r="N1119">
        <f>_xlfn.NUMBERVALUE(CompilDonnées[[#This Row],[FarmID]]&amp;CompilDonnées[[#This Row],[ModuleNumber]]&amp;CompilDonnées[[#This Row],[PlantationDate]])</f>
        <v>108245688</v>
      </c>
      <c r="O1119" t="str">
        <f>CompilDonnées[[#This Row],[FarmID]]&amp;CompilDonnées[[#This Row],[ModuleNumber]]</f>
        <v>1082</v>
      </c>
      <c r="P1119" t="str">
        <f>CompilDonnées[[#This Row],[Ref_Module]]&amp;CompilDonnées[[#This Row],[HarvestingDate]]</f>
        <v>108245729</v>
      </c>
    </row>
    <row r="1120" spans="1:16">
      <c r="A1120" s="5">
        <v>45688</v>
      </c>
      <c r="B1120">
        <v>80</v>
      </c>
      <c r="C1120" t="s">
        <v>29</v>
      </c>
      <c r="D1120">
        <v>3</v>
      </c>
      <c r="E1120">
        <v>100</v>
      </c>
      <c r="F1120" t="s">
        <v>1</v>
      </c>
      <c r="G1120" s="6">
        <v>45727</v>
      </c>
      <c r="H1120">
        <v>39</v>
      </c>
      <c r="I1120">
        <f>ROUND(CompilDonnées[[#This Row],[CultureDuration_days]]/7,0)</f>
        <v>6</v>
      </c>
      <c r="J1120">
        <v>3663</v>
      </c>
      <c r="K1120" t="str">
        <f>_xlfn.CONCAT(WEEKNUM(CompilDonnées[[#This Row],[PlantationDate]]), " ", YEAR(CompilDonnées[[#This Row],[PlantationDate]]))</f>
        <v>5 2025</v>
      </c>
      <c r="L1120" t="str">
        <f>CONCATENATE(MONTH(CompilDonnées[[#This Row],[PlantationDate]])," ", YEAR(CompilDonnées[[#This Row],[PlantationDate]]))</f>
        <v>1 2025</v>
      </c>
      <c r="M1120" t="str">
        <f>CONCATENATE(MONTH(CompilDonnées[[#This Row],[HarvestingDate]])," ", YEAR(CompilDonnées[[#This Row],[HarvestingDate]]))</f>
        <v>3 2025</v>
      </c>
      <c r="N1120">
        <f>_xlfn.NUMBERVALUE(CompilDonnées[[#This Row],[FarmID]]&amp;CompilDonnées[[#This Row],[ModuleNumber]]&amp;CompilDonnées[[#This Row],[PlantationDate]])</f>
        <v>80345688</v>
      </c>
      <c r="O1120" t="str">
        <f>CompilDonnées[[#This Row],[FarmID]]&amp;CompilDonnées[[#This Row],[ModuleNumber]]</f>
        <v>803</v>
      </c>
      <c r="P1120" t="str">
        <f>CompilDonnées[[#This Row],[Ref_Module]]&amp;CompilDonnées[[#This Row],[HarvestingDate]]</f>
        <v>80345727</v>
      </c>
    </row>
    <row r="1121" spans="1:16">
      <c r="A1121" s="5">
        <v>45688</v>
      </c>
      <c r="B1121">
        <v>74</v>
      </c>
      <c r="C1121" t="s">
        <v>21</v>
      </c>
      <c r="D1121">
        <v>5</v>
      </c>
      <c r="E1121">
        <v>100</v>
      </c>
      <c r="F1121" t="s">
        <v>1</v>
      </c>
      <c r="G1121" s="6">
        <v>45728</v>
      </c>
      <c r="H1121">
        <v>40</v>
      </c>
      <c r="I1121">
        <f>ROUND(CompilDonnées[[#This Row],[CultureDuration_days]]/7,0)</f>
        <v>6</v>
      </c>
      <c r="J1121">
        <v>3451</v>
      </c>
      <c r="K1121" t="str">
        <f>_xlfn.CONCAT(WEEKNUM(CompilDonnées[[#This Row],[PlantationDate]]), " ", YEAR(CompilDonnées[[#This Row],[PlantationDate]]))</f>
        <v>5 2025</v>
      </c>
      <c r="L1121" t="str">
        <f>CONCATENATE(MONTH(CompilDonnées[[#This Row],[PlantationDate]])," ", YEAR(CompilDonnées[[#This Row],[PlantationDate]]))</f>
        <v>1 2025</v>
      </c>
      <c r="M1121" t="str">
        <f>CONCATENATE(MONTH(CompilDonnées[[#This Row],[HarvestingDate]])," ", YEAR(CompilDonnées[[#This Row],[HarvestingDate]]))</f>
        <v>3 2025</v>
      </c>
      <c r="N1121">
        <f>_xlfn.NUMBERVALUE(CompilDonnées[[#This Row],[FarmID]]&amp;CompilDonnées[[#This Row],[ModuleNumber]]&amp;CompilDonnées[[#This Row],[PlantationDate]])</f>
        <v>74545688</v>
      </c>
      <c r="O1121" t="str">
        <f>CompilDonnées[[#This Row],[FarmID]]&amp;CompilDonnées[[#This Row],[ModuleNumber]]</f>
        <v>745</v>
      </c>
      <c r="P1121" t="str">
        <f>CompilDonnées[[#This Row],[Ref_Module]]&amp;CompilDonnées[[#This Row],[HarvestingDate]]</f>
        <v>74545728</v>
      </c>
    </row>
    <row r="1122" spans="1:16">
      <c r="A1122" s="5">
        <v>45688</v>
      </c>
      <c r="B1122">
        <v>73</v>
      </c>
      <c r="C1122" t="s">
        <v>20</v>
      </c>
      <c r="D1122">
        <v>4</v>
      </c>
      <c r="E1122">
        <v>100</v>
      </c>
      <c r="F1122" t="s">
        <v>1</v>
      </c>
      <c r="G1122" s="6">
        <v>45727</v>
      </c>
      <c r="H1122">
        <v>39</v>
      </c>
      <c r="I1122">
        <f>ROUND(CompilDonnées[[#This Row],[CultureDuration_days]]/7,0)</f>
        <v>6</v>
      </c>
      <c r="J1122">
        <v>3445</v>
      </c>
      <c r="K1122" t="str">
        <f>_xlfn.CONCAT(WEEKNUM(CompilDonnées[[#This Row],[PlantationDate]]), " ", YEAR(CompilDonnées[[#This Row],[PlantationDate]]))</f>
        <v>5 2025</v>
      </c>
      <c r="L1122" t="str">
        <f>CONCATENATE(MONTH(CompilDonnées[[#This Row],[PlantationDate]])," ", YEAR(CompilDonnées[[#This Row],[PlantationDate]]))</f>
        <v>1 2025</v>
      </c>
      <c r="M1122" t="str">
        <f>CONCATENATE(MONTH(CompilDonnées[[#This Row],[HarvestingDate]])," ", YEAR(CompilDonnées[[#This Row],[HarvestingDate]]))</f>
        <v>3 2025</v>
      </c>
      <c r="N1122">
        <f>_xlfn.NUMBERVALUE(CompilDonnées[[#This Row],[FarmID]]&amp;CompilDonnées[[#This Row],[ModuleNumber]]&amp;CompilDonnées[[#This Row],[PlantationDate]])</f>
        <v>73445688</v>
      </c>
      <c r="O1122" t="str">
        <f>CompilDonnées[[#This Row],[FarmID]]&amp;CompilDonnées[[#This Row],[ModuleNumber]]</f>
        <v>734</v>
      </c>
      <c r="P1122" t="str">
        <f>CompilDonnées[[#This Row],[Ref_Module]]&amp;CompilDonnées[[#This Row],[HarvestingDate]]</f>
        <v>73445727</v>
      </c>
    </row>
    <row r="1123" spans="1:16">
      <c r="A1123" s="5">
        <v>45688</v>
      </c>
      <c r="B1123">
        <v>72</v>
      </c>
      <c r="C1123" t="s">
        <v>49</v>
      </c>
      <c r="D1123">
        <v>4</v>
      </c>
      <c r="E1123">
        <v>100</v>
      </c>
      <c r="F1123" t="s">
        <v>1</v>
      </c>
      <c r="G1123" s="6">
        <v>45728</v>
      </c>
      <c r="H1123">
        <v>40</v>
      </c>
      <c r="I1123">
        <f>ROUND(CompilDonnées[[#This Row],[CultureDuration_days]]/7,0)</f>
        <v>6</v>
      </c>
      <c r="J1123">
        <v>3564</v>
      </c>
      <c r="K1123" t="str">
        <f>_xlfn.CONCAT(WEEKNUM(CompilDonnées[[#This Row],[PlantationDate]]), " ", YEAR(CompilDonnées[[#This Row],[PlantationDate]]))</f>
        <v>5 2025</v>
      </c>
      <c r="L1123" t="str">
        <f>CONCATENATE(MONTH(CompilDonnées[[#This Row],[PlantationDate]])," ", YEAR(CompilDonnées[[#This Row],[PlantationDate]]))</f>
        <v>1 2025</v>
      </c>
      <c r="M1123" t="str">
        <f>CONCATENATE(MONTH(CompilDonnées[[#This Row],[HarvestingDate]])," ", YEAR(CompilDonnées[[#This Row],[HarvestingDate]]))</f>
        <v>3 2025</v>
      </c>
      <c r="N1123">
        <f>_xlfn.NUMBERVALUE(CompilDonnées[[#This Row],[FarmID]]&amp;CompilDonnées[[#This Row],[ModuleNumber]]&amp;CompilDonnées[[#This Row],[PlantationDate]])</f>
        <v>72445688</v>
      </c>
      <c r="O1123" t="str">
        <f>CompilDonnées[[#This Row],[FarmID]]&amp;CompilDonnées[[#This Row],[ModuleNumber]]</f>
        <v>724</v>
      </c>
      <c r="P1123" t="str">
        <f>CompilDonnées[[#This Row],[Ref_Module]]&amp;CompilDonnées[[#This Row],[HarvestingDate]]</f>
        <v>72445728</v>
      </c>
    </row>
    <row r="1124" spans="1:16">
      <c r="A1124" s="5">
        <v>45688</v>
      </c>
      <c r="B1124">
        <v>49</v>
      </c>
      <c r="C1124" t="s">
        <v>110</v>
      </c>
      <c r="D1124">
        <v>2</v>
      </c>
      <c r="E1124">
        <v>100</v>
      </c>
      <c r="F1124" t="s">
        <v>1</v>
      </c>
      <c r="G1124" s="6">
        <v>45738</v>
      </c>
      <c r="H1124">
        <v>50</v>
      </c>
      <c r="I1124">
        <f>ROUND(CompilDonnées[[#This Row],[CultureDuration_days]]/7,0)</f>
        <v>7</v>
      </c>
      <c r="J1124">
        <v>3557</v>
      </c>
      <c r="K1124" t="str">
        <f>_xlfn.CONCAT(WEEKNUM(CompilDonnées[[#This Row],[PlantationDate]]), " ", YEAR(CompilDonnées[[#This Row],[PlantationDate]]))</f>
        <v>5 2025</v>
      </c>
      <c r="L1124" t="str">
        <f>CONCATENATE(MONTH(CompilDonnées[[#This Row],[PlantationDate]])," ", YEAR(CompilDonnées[[#This Row],[PlantationDate]]))</f>
        <v>1 2025</v>
      </c>
      <c r="M1124" t="str">
        <f>CONCATENATE(MONTH(CompilDonnées[[#This Row],[HarvestingDate]])," ", YEAR(CompilDonnées[[#This Row],[HarvestingDate]]))</f>
        <v>3 2025</v>
      </c>
      <c r="N1124">
        <f>_xlfn.NUMBERVALUE(CompilDonnées[[#This Row],[FarmID]]&amp;CompilDonnées[[#This Row],[ModuleNumber]]&amp;CompilDonnées[[#This Row],[PlantationDate]])</f>
        <v>49245688</v>
      </c>
      <c r="O1124" t="str">
        <f>CompilDonnées[[#This Row],[FarmID]]&amp;CompilDonnées[[#This Row],[ModuleNumber]]</f>
        <v>492</v>
      </c>
      <c r="P1124" t="str">
        <f>CompilDonnées[[#This Row],[Ref_Module]]&amp;CompilDonnées[[#This Row],[HarvestingDate]]</f>
        <v>49245738</v>
      </c>
    </row>
    <row r="1125" spans="1:16">
      <c r="A1125" s="5">
        <v>45688</v>
      </c>
      <c r="B1125">
        <v>48</v>
      </c>
      <c r="C1125" t="s">
        <v>71</v>
      </c>
      <c r="D1125">
        <v>6</v>
      </c>
      <c r="E1125">
        <v>100</v>
      </c>
      <c r="F1125" t="s">
        <v>1</v>
      </c>
      <c r="G1125" s="6">
        <v>45727</v>
      </c>
      <c r="H1125">
        <v>39</v>
      </c>
      <c r="I1125">
        <f>ROUND(CompilDonnées[[#This Row],[CultureDuration_days]]/7,0)</f>
        <v>6</v>
      </c>
      <c r="J1125">
        <v>3427</v>
      </c>
      <c r="K1125" t="str">
        <f>_xlfn.CONCAT(WEEKNUM(CompilDonnées[[#This Row],[PlantationDate]]), " ", YEAR(CompilDonnées[[#This Row],[PlantationDate]]))</f>
        <v>5 2025</v>
      </c>
      <c r="L1125" t="str">
        <f>CONCATENATE(MONTH(CompilDonnées[[#This Row],[PlantationDate]])," ", YEAR(CompilDonnées[[#This Row],[PlantationDate]]))</f>
        <v>1 2025</v>
      </c>
      <c r="M1125" t="str">
        <f>CONCATENATE(MONTH(CompilDonnées[[#This Row],[HarvestingDate]])," ", YEAR(CompilDonnées[[#This Row],[HarvestingDate]]))</f>
        <v>3 2025</v>
      </c>
      <c r="N1125">
        <f>_xlfn.NUMBERVALUE(CompilDonnées[[#This Row],[FarmID]]&amp;CompilDonnées[[#This Row],[ModuleNumber]]&amp;CompilDonnées[[#This Row],[PlantationDate]])</f>
        <v>48645688</v>
      </c>
      <c r="O1125" t="str">
        <f>CompilDonnées[[#This Row],[FarmID]]&amp;CompilDonnées[[#This Row],[ModuleNumber]]</f>
        <v>486</v>
      </c>
      <c r="P1125" t="str">
        <f>CompilDonnées[[#This Row],[Ref_Module]]&amp;CompilDonnées[[#This Row],[HarvestingDate]]</f>
        <v>48645727</v>
      </c>
    </row>
    <row r="1126" spans="1:16">
      <c r="A1126" s="5">
        <v>45688</v>
      </c>
      <c r="B1126">
        <v>55</v>
      </c>
      <c r="C1126" t="s">
        <v>60</v>
      </c>
      <c r="D1126">
        <v>3</v>
      </c>
      <c r="E1126">
        <v>100</v>
      </c>
      <c r="F1126" t="s">
        <v>1</v>
      </c>
      <c r="G1126" s="6">
        <v>45727</v>
      </c>
      <c r="H1126">
        <v>39</v>
      </c>
      <c r="I1126">
        <f>ROUND(CompilDonnées[[#This Row],[CultureDuration_days]]/7,0)</f>
        <v>6</v>
      </c>
      <c r="J1126">
        <v>3278</v>
      </c>
      <c r="K1126" t="str">
        <f>_xlfn.CONCAT(WEEKNUM(CompilDonnées[[#This Row],[PlantationDate]]), " ", YEAR(CompilDonnées[[#This Row],[PlantationDate]]))</f>
        <v>5 2025</v>
      </c>
      <c r="L1126" t="str">
        <f>CONCATENATE(MONTH(CompilDonnées[[#This Row],[PlantationDate]])," ", YEAR(CompilDonnées[[#This Row],[PlantationDate]]))</f>
        <v>1 2025</v>
      </c>
      <c r="M1126" t="str">
        <f>CONCATENATE(MONTH(CompilDonnées[[#This Row],[HarvestingDate]])," ", YEAR(CompilDonnées[[#This Row],[HarvestingDate]]))</f>
        <v>3 2025</v>
      </c>
      <c r="N1126">
        <f>_xlfn.NUMBERVALUE(CompilDonnées[[#This Row],[FarmID]]&amp;CompilDonnées[[#This Row],[ModuleNumber]]&amp;CompilDonnées[[#This Row],[PlantationDate]])</f>
        <v>55345688</v>
      </c>
      <c r="O1126" t="str">
        <f>CompilDonnées[[#This Row],[FarmID]]&amp;CompilDonnées[[#This Row],[ModuleNumber]]</f>
        <v>553</v>
      </c>
      <c r="P1126" t="str">
        <f>CompilDonnées[[#This Row],[Ref_Module]]&amp;CompilDonnées[[#This Row],[HarvestingDate]]</f>
        <v>55345727</v>
      </c>
    </row>
    <row r="1127" spans="1:16">
      <c r="A1127" s="5">
        <v>45688</v>
      </c>
      <c r="B1127">
        <v>51</v>
      </c>
      <c r="C1127" t="s">
        <v>27</v>
      </c>
      <c r="D1127">
        <v>2</v>
      </c>
      <c r="E1127">
        <v>100</v>
      </c>
      <c r="F1127" t="s">
        <v>1</v>
      </c>
      <c r="G1127" s="6">
        <v>45727</v>
      </c>
      <c r="H1127">
        <v>39</v>
      </c>
      <c r="I1127">
        <f>ROUND(CompilDonnées[[#This Row],[CultureDuration_days]]/7,0)</f>
        <v>6</v>
      </c>
      <c r="J1127">
        <v>3028</v>
      </c>
      <c r="K1127" t="str">
        <f>_xlfn.CONCAT(WEEKNUM(CompilDonnées[[#This Row],[PlantationDate]]), " ", YEAR(CompilDonnées[[#This Row],[PlantationDate]]))</f>
        <v>5 2025</v>
      </c>
      <c r="L1127" t="str">
        <f>CONCATENATE(MONTH(CompilDonnées[[#This Row],[PlantationDate]])," ", YEAR(CompilDonnées[[#This Row],[PlantationDate]]))</f>
        <v>1 2025</v>
      </c>
      <c r="M1127" t="str">
        <f>CONCATENATE(MONTH(CompilDonnées[[#This Row],[HarvestingDate]])," ", YEAR(CompilDonnées[[#This Row],[HarvestingDate]]))</f>
        <v>3 2025</v>
      </c>
      <c r="N1127">
        <f>_xlfn.NUMBERVALUE(CompilDonnées[[#This Row],[FarmID]]&amp;CompilDonnées[[#This Row],[ModuleNumber]]&amp;CompilDonnées[[#This Row],[PlantationDate]])</f>
        <v>51245688</v>
      </c>
      <c r="O1127" t="str">
        <f>CompilDonnées[[#This Row],[FarmID]]&amp;CompilDonnées[[#This Row],[ModuleNumber]]</f>
        <v>512</v>
      </c>
      <c r="P1127" t="str">
        <f>CompilDonnées[[#This Row],[Ref_Module]]&amp;CompilDonnées[[#This Row],[HarvestingDate]]</f>
        <v>51245727</v>
      </c>
    </row>
    <row r="1128" spans="1:16">
      <c r="A1128" s="5">
        <v>45688</v>
      </c>
      <c r="B1128">
        <v>24</v>
      </c>
      <c r="C1128" t="s">
        <v>31</v>
      </c>
      <c r="D1128">
        <v>3</v>
      </c>
      <c r="E1128">
        <v>100</v>
      </c>
      <c r="F1128" t="s">
        <v>1</v>
      </c>
      <c r="G1128" s="6">
        <v>45726</v>
      </c>
      <c r="H1128">
        <v>38</v>
      </c>
      <c r="I1128">
        <f>ROUND(CompilDonnées[[#This Row],[CultureDuration_days]]/7,0)</f>
        <v>5</v>
      </c>
      <c r="J1128">
        <v>3197</v>
      </c>
      <c r="K1128" t="str">
        <f>_xlfn.CONCAT(WEEKNUM(CompilDonnées[[#This Row],[PlantationDate]]), " ", YEAR(CompilDonnées[[#This Row],[PlantationDate]]))</f>
        <v>5 2025</v>
      </c>
      <c r="L1128" t="str">
        <f>CONCATENATE(MONTH(CompilDonnées[[#This Row],[PlantationDate]])," ", YEAR(CompilDonnées[[#This Row],[PlantationDate]]))</f>
        <v>1 2025</v>
      </c>
      <c r="M1128" t="str">
        <f>CONCATENATE(MONTH(CompilDonnées[[#This Row],[HarvestingDate]])," ", YEAR(CompilDonnées[[#This Row],[HarvestingDate]]))</f>
        <v>3 2025</v>
      </c>
      <c r="N1128">
        <f>_xlfn.NUMBERVALUE(CompilDonnées[[#This Row],[FarmID]]&amp;CompilDonnées[[#This Row],[ModuleNumber]]&amp;CompilDonnées[[#This Row],[PlantationDate]])</f>
        <v>24345688</v>
      </c>
      <c r="O1128" t="str">
        <f>CompilDonnées[[#This Row],[FarmID]]&amp;CompilDonnées[[#This Row],[ModuleNumber]]</f>
        <v>243</v>
      </c>
      <c r="P1128" t="str">
        <f>CompilDonnées[[#This Row],[Ref_Module]]&amp;CompilDonnées[[#This Row],[HarvestingDate]]</f>
        <v>24345726</v>
      </c>
    </row>
    <row r="1129" spans="1:16">
      <c r="A1129" s="5">
        <v>45688</v>
      </c>
      <c r="B1129">
        <v>24</v>
      </c>
      <c r="C1129" t="s">
        <v>31</v>
      </c>
      <c r="D1129">
        <v>4</v>
      </c>
      <c r="E1129">
        <v>100</v>
      </c>
      <c r="F1129" t="s">
        <v>1</v>
      </c>
      <c r="G1129" s="6">
        <v>45726</v>
      </c>
      <c r="H1129">
        <v>38</v>
      </c>
      <c r="I1129">
        <f>ROUND(CompilDonnées[[#This Row],[CultureDuration_days]]/7,0)</f>
        <v>5</v>
      </c>
      <c r="J1129">
        <v>3320</v>
      </c>
      <c r="K1129" t="str">
        <f>_xlfn.CONCAT(WEEKNUM(CompilDonnées[[#This Row],[PlantationDate]]), " ", YEAR(CompilDonnées[[#This Row],[PlantationDate]]))</f>
        <v>5 2025</v>
      </c>
      <c r="L1129" t="str">
        <f>CONCATENATE(MONTH(CompilDonnées[[#This Row],[PlantationDate]])," ", YEAR(CompilDonnées[[#This Row],[PlantationDate]]))</f>
        <v>1 2025</v>
      </c>
      <c r="M1129" t="str">
        <f>CONCATENATE(MONTH(CompilDonnées[[#This Row],[HarvestingDate]])," ", YEAR(CompilDonnées[[#This Row],[HarvestingDate]]))</f>
        <v>3 2025</v>
      </c>
      <c r="N1129">
        <f>_xlfn.NUMBERVALUE(CompilDonnées[[#This Row],[FarmID]]&amp;CompilDonnées[[#This Row],[ModuleNumber]]&amp;CompilDonnées[[#This Row],[PlantationDate]])</f>
        <v>24445688</v>
      </c>
      <c r="O1129" t="str">
        <f>CompilDonnées[[#This Row],[FarmID]]&amp;CompilDonnées[[#This Row],[ModuleNumber]]</f>
        <v>244</v>
      </c>
      <c r="P1129" t="str">
        <f>CompilDonnées[[#This Row],[Ref_Module]]&amp;CompilDonnées[[#This Row],[HarvestingDate]]</f>
        <v>24445726</v>
      </c>
    </row>
    <row r="1130" spans="1:16">
      <c r="A1130" s="5">
        <v>45688</v>
      </c>
      <c r="B1130">
        <v>23</v>
      </c>
      <c r="C1130" t="s">
        <v>44</v>
      </c>
      <c r="D1130">
        <v>4</v>
      </c>
      <c r="E1130">
        <v>100</v>
      </c>
      <c r="F1130" t="s">
        <v>1</v>
      </c>
      <c r="G1130" s="6">
        <v>45726</v>
      </c>
      <c r="H1130">
        <v>38</v>
      </c>
      <c r="I1130">
        <f>ROUND(CompilDonnées[[#This Row],[CultureDuration_days]]/7,0)</f>
        <v>5</v>
      </c>
      <c r="J1130">
        <v>3252</v>
      </c>
      <c r="K1130" t="str">
        <f>_xlfn.CONCAT(WEEKNUM(CompilDonnées[[#This Row],[PlantationDate]]), " ", YEAR(CompilDonnées[[#This Row],[PlantationDate]]))</f>
        <v>5 2025</v>
      </c>
      <c r="L1130" t="str">
        <f>CONCATENATE(MONTH(CompilDonnées[[#This Row],[PlantationDate]])," ", YEAR(CompilDonnées[[#This Row],[PlantationDate]]))</f>
        <v>1 2025</v>
      </c>
      <c r="M1130" t="str">
        <f>CONCATENATE(MONTH(CompilDonnées[[#This Row],[HarvestingDate]])," ", YEAR(CompilDonnées[[#This Row],[HarvestingDate]]))</f>
        <v>3 2025</v>
      </c>
      <c r="N1130">
        <f>_xlfn.NUMBERVALUE(CompilDonnées[[#This Row],[FarmID]]&amp;CompilDonnées[[#This Row],[ModuleNumber]]&amp;CompilDonnées[[#This Row],[PlantationDate]])</f>
        <v>23445688</v>
      </c>
      <c r="O1130" t="str">
        <f>CompilDonnées[[#This Row],[FarmID]]&amp;CompilDonnées[[#This Row],[ModuleNumber]]</f>
        <v>234</v>
      </c>
      <c r="P1130" t="str">
        <f>CompilDonnées[[#This Row],[Ref_Module]]&amp;CompilDonnées[[#This Row],[HarvestingDate]]</f>
        <v>23445726</v>
      </c>
    </row>
    <row r="1131" spans="1:16">
      <c r="A1131" s="5">
        <v>45688</v>
      </c>
      <c r="B1131">
        <v>23</v>
      </c>
      <c r="C1131" t="s">
        <v>44</v>
      </c>
      <c r="D1131">
        <v>5</v>
      </c>
      <c r="E1131">
        <v>100</v>
      </c>
      <c r="F1131" t="s">
        <v>1</v>
      </c>
      <c r="G1131" s="6">
        <v>45726</v>
      </c>
      <c r="H1131">
        <v>38</v>
      </c>
      <c r="I1131">
        <f>ROUND(CompilDonnées[[#This Row],[CultureDuration_days]]/7,0)</f>
        <v>5</v>
      </c>
      <c r="J1131">
        <v>3279</v>
      </c>
      <c r="K1131" t="str">
        <f>_xlfn.CONCAT(WEEKNUM(CompilDonnées[[#This Row],[PlantationDate]]), " ", YEAR(CompilDonnées[[#This Row],[PlantationDate]]))</f>
        <v>5 2025</v>
      </c>
      <c r="L1131" t="str">
        <f>CONCATENATE(MONTH(CompilDonnées[[#This Row],[PlantationDate]])," ", YEAR(CompilDonnées[[#This Row],[PlantationDate]]))</f>
        <v>1 2025</v>
      </c>
      <c r="M1131" t="str">
        <f>CONCATENATE(MONTH(CompilDonnées[[#This Row],[HarvestingDate]])," ", YEAR(CompilDonnées[[#This Row],[HarvestingDate]]))</f>
        <v>3 2025</v>
      </c>
      <c r="N1131">
        <f>_xlfn.NUMBERVALUE(CompilDonnées[[#This Row],[FarmID]]&amp;CompilDonnées[[#This Row],[ModuleNumber]]&amp;CompilDonnées[[#This Row],[PlantationDate]])</f>
        <v>23545688</v>
      </c>
      <c r="O1131" t="str">
        <f>CompilDonnées[[#This Row],[FarmID]]&amp;CompilDonnées[[#This Row],[ModuleNumber]]</f>
        <v>235</v>
      </c>
      <c r="P1131" t="str">
        <f>CompilDonnées[[#This Row],[Ref_Module]]&amp;CompilDonnées[[#This Row],[HarvestingDate]]</f>
        <v>23545726</v>
      </c>
    </row>
    <row r="1132" spans="1:16">
      <c r="A1132" s="5">
        <v>45688</v>
      </c>
      <c r="B1132">
        <v>21</v>
      </c>
      <c r="C1132" t="s">
        <v>0</v>
      </c>
      <c r="D1132">
        <v>6</v>
      </c>
      <c r="E1132">
        <v>100</v>
      </c>
      <c r="F1132" t="s">
        <v>1</v>
      </c>
      <c r="G1132" s="6">
        <v>45739</v>
      </c>
      <c r="H1132">
        <v>51</v>
      </c>
      <c r="I1132">
        <f>ROUND(CompilDonnées[[#This Row],[CultureDuration_days]]/7,0)</f>
        <v>7</v>
      </c>
      <c r="J1132">
        <v>4152</v>
      </c>
      <c r="K1132" t="str">
        <f>_xlfn.CONCAT(WEEKNUM(CompilDonnées[[#This Row],[PlantationDate]]), " ", YEAR(CompilDonnées[[#This Row],[PlantationDate]]))</f>
        <v>5 2025</v>
      </c>
      <c r="L1132" t="str">
        <f>CONCATENATE(MONTH(CompilDonnées[[#This Row],[PlantationDate]])," ", YEAR(CompilDonnées[[#This Row],[PlantationDate]]))</f>
        <v>1 2025</v>
      </c>
      <c r="M1132" t="str">
        <f>CONCATENATE(MONTH(CompilDonnées[[#This Row],[HarvestingDate]])," ", YEAR(CompilDonnées[[#This Row],[HarvestingDate]]))</f>
        <v>3 2025</v>
      </c>
      <c r="N1132">
        <f>_xlfn.NUMBERVALUE(CompilDonnées[[#This Row],[FarmID]]&amp;CompilDonnées[[#This Row],[ModuleNumber]]&amp;CompilDonnées[[#This Row],[PlantationDate]])</f>
        <v>21645688</v>
      </c>
      <c r="O1132" t="str">
        <f>CompilDonnées[[#This Row],[FarmID]]&amp;CompilDonnées[[#This Row],[ModuleNumber]]</f>
        <v>216</v>
      </c>
      <c r="P1132" t="str">
        <f>CompilDonnées[[#This Row],[Ref_Module]]&amp;CompilDonnées[[#This Row],[HarvestingDate]]</f>
        <v>21645739</v>
      </c>
    </row>
    <row r="1133" spans="1:16">
      <c r="A1133" s="5">
        <v>45688</v>
      </c>
      <c r="B1133">
        <v>32</v>
      </c>
      <c r="C1133" t="s">
        <v>25</v>
      </c>
      <c r="D1133">
        <v>1</v>
      </c>
      <c r="E1133">
        <v>100</v>
      </c>
      <c r="F1133" t="s">
        <v>1</v>
      </c>
      <c r="G1133" s="6">
        <v>45738</v>
      </c>
      <c r="H1133">
        <v>50</v>
      </c>
      <c r="I1133">
        <f>ROUND(CompilDonnées[[#This Row],[CultureDuration_days]]/7,0)</f>
        <v>7</v>
      </c>
      <c r="J1133">
        <v>3700</v>
      </c>
      <c r="K1133" t="str">
        <f>_xlfn.CONCAT(WEEKNUM(CompilDonnées[[#This Row],[PlantationDate]]), " ", YEAR(CompilDonnées[[#This Row],[PlantationDate]]))</f>
        <v>5 2025</v>
      </c>
      <c r="L1133" t="str">
        <f>CONCATENATE(MONTH(CompilDonnées[[#This Row],[PlantationDate]])," ", YEAR(CompilDonnées[[#This Row],[PlantationDate]]))</f>
        <v>1 2025</v>
      </c>
      <c r="M1133" t="str">
        <f>CONCATENATE(MONTH(CompilDonnées[[#This Row],[HarvestingDate]])," ", YEAR(CompilDonnées[[#This Row],[HarvestingDate]]))</f>
        <v>3 2025</v>
      </c>
      <c r="N1133">
        <f>_xlfn.NUMBERVALUE(CompilDonnées[[#This Row],[FarmID]]&amp;CompilDonnées[[#This Row],[ModuleNumber]]&amp;CompilDonnées[[#This Row],[PlantationDate]])</f>
        <v>32145688</v>
      </c>
      <c r="O1133" t="str">
        <f>CompilDonnées[[#This Row],[FarmID]]&amp;CompilDonnées[[#This Row],[ModuleNumber]]</f>
        <v>321</v>
      </c>
      <c r="P1133" t="str">
        <f>CompilDonnées[[#This Row],[Ref_Module]]&amp;CompilDonnées[[#This Row],[HarvestingDate]]</f>
        <v>32145738</v>
      </c>
    </row>
    <row r="1134" spans="1:16">
      <c r="A1134" s="5">
        <v>45688</v>
      </c>
      <c r="B1134">
        <v>31</v>
      </c>
      <c r="C1134" t="s">
        <v>62</v>
      </c>
      <c r="D1134">
        <v>4</v>
      </c>
      <c r="E1134">
        <v>100</v>
      </c>
      <c r="F1134" t="s">
        <v>1</v>
      </c>
      <c r="G1134" s="6">
        <v>45738</v>
      </c>
      <c r="H1134">
        <v>50</v>
      </c>
      <c r="I1134">
        <f>ROUND(CompilDonnées[[#This Row],[CultureDuration_days]]/7,0)</f>
        <v>7</v>
      </c>
      <c r="J1134">
        <v>3361</v>
      </c>
      <c r="K1134" t="str">
        <f>_xlfn.CONCAT(WEEKNUM(CompilDonnées[[#This Row],[PlantationDate]]), " ", YEAR(CompilDonnées[[#This Row],[PlantationDate]]))</f>
        <v>5 2025</v>
      </c>
      <c r="L1134" t="str">
        <f>CONCATENATE(MONTH(CompilDonnées[[#This Row],[PlantationDate]])," ", YEAR(CompilDonnées[[#This Row],[PlantationDate]]))</f>
        <v>1 2025</v>
      </c>
      <c r="M1134" t="str">
        <f>CONCATENATE(MONTH(CompilDonnées[[#This Row],[HarvestingDate]])," ", YEAR(CompilDonnées[[#This Row],[HarvestingDate]]))</f>
        <v>3 2025</v>
      </c>
      <c r="N1134">
        <f>_xlfn.NUMBERVALUE(CompilDonnées[[#This Row],[FarmID]]&amp;CompilDonnées[[#This Row],[ModuleNumber]]&amp;CompilDonnées[[#This Row],[PlantationDate]])</f>
        <v>31445688</v>
      </c>
      <c r="O1134" t="str">
        <f>CompilDonnées[[#This Row],[FarmID]]&amp;CompilDonnées[[#This Row],[ModuleNumber]]</f>
        <v>314</v>
      </c>
      <c r="P1134" t="str">
        <f>CompilDonnées[[#This Row],[Ref_Module]]&amp;CompilDonnées[[#This Row],[HarvestingDate]]</f>
        <v>31445738</v>
      </c>
    </row>
    <row r="1135" spans="1:16">
      <c r="A1135" s="5">
        <v>45688</v>
      </c>
      <c r="B1135">
        <v>30</v>
      </c>
      <c r="C1135" t="s">
        <v>4</v>
      </c>
      <c r="D1135">
        <v>3</v>
      </c>
      <c r="E1135">
        <v>100</v>
      </c>
      <c r="F1135" t="s">
        <v>1</v>
      </c>
      <c r="G1135" s="6">
        <v>45738</v>
      </c>
      <c r="H1135">
        <v>50</v>
      </c>
      <c r="I1135">
        <f>ROUND(CompilDonnées[[#This Row],[CultureDuration_days]]/7,0)</f>
        <v>7</v>
      </c>
      <c r="J1135">
        <v>3046</v>
      </c>
      <c r="K1135" t="str">
        <f>_xlfn.CONCAT(WEEKNUM(CompilDonnées[[#This Row],[PlantationDate]]), " ", YEAR(CompilDonnées[[#This Row],[PlantationDate]]))</f>
        <v>5 2025</v>
      </c>
      <c r="L1135" t="str">
        <f>CONCATENATE(MONTH(CompilDonnées[[#This Row],[PlantationDate]])," ", YEAR(CompilDonnées[[#This Row],[PlantationDate]]))</f>
        <v>1 2025</v>
      </c>
      <c r="M1135" t="str">
        <f>CONCATENATE(MONTH(CompilDonnées[[#This Row],[HarvestingDate]])," ", YEAR(CompilDonnées[[#This Row],[HarvestingDate]]))</f>
        <v>3 2025</v>
      </c>
      <c r="N1135">
        <f>_xlfn.NUMBERVALUE(CompilDonnées[[#This Row],[FarmID]]&amp;CompilDonnées[[#This Row],[ModuleNumber]]&amp;CompilDonnées[[#This Row],[PlantationDate]])</f>
        <v>30345688</v>
      </c>
      <c r="O1135" t="str">
        <f>CompilDonnées[[#This Row],[FarmID]]&amp;CompilDonnées[[#This Row],[ModuleNumber]]</f>
        <v>303</v>
      </c>
      <c r="P1135" t="str">
        <f>CompilDonnées[[#This Row],[Ref_Module]]&amp;CompilDonnées[[#This Row],[HarvestingDate]]</f>
        <v>30345738</v>
      </c>
    </row>
    <row r="1136" spans="1:16">
      <c r="A1136" s="5">
        <v>45688</v>
      </c>
      <c r="B1136">
        <v>29</v>
      </c>
      <c r="C1136" t="s">
        <v>2</v>
      </c>
      <c r="D1136">
        <v>2</v>
      </c>
      <c r="E1136">
        <v>100</v>
      </c>
      <c r="F1136" t="s">
        <v>1</v>
      </c>
      <c r="G1136" s="6">
        <v>45726</v>
      </c>
      <c r="H1136">
        <v>38</v>
      </c>
      <c r="I1136">
        <f>ROUND(CompilDonnées[[#This Row],[CultureDuration_days]]/7,0)</f>
        <v>5</v>
      </c>
      <c r="J1136">
        <v>2846</v>
      </c>
      <c r="K1136" t="str">
        <f>_xlfn.CONCAT(WEEKNUM(CompilDonnées[[#This Row],[PlantationDate]]), " ", YEAR(CompilDonnées[[#This Row],[PlantationDate]]))</f>
        <v>5 2025</v>
      </c>
      <c r="L1136" t="str">
        <f>CONCATENATE(MONTH(CompilDonnées[[#This Row],[PlantationDate]])," ", YEAR(CompilDonnées[[#This Row],[PlantationDate]]))</f>
        <v>1 2025</v>
      </c>
      <c r="M1136" t="str">
        <f>CONCATENATE(MONTH(CompilDonnées[[#This Row],[HarvestingDate]])," ", YEAR(CompilDonnées[[#This Row],[HarvestingDate]]))</f>
        <v>3 2025</v>
      </c>
      <c r="N1136">
        <f>_xlfn.NUMBERVALUE(CompilDonnées[[#This Row],[FarmID]]&amp;CompilDonnées[[#This Row],[ModuleNumber]]&amp;CompilDonnées[[#This Row],[PlantationDate]])</f>
        <v>29245688</v>
      </c>
      <c r="O1136" t="str">
        <f>CompilDonnées[[#This Row],[FarmID]]&amp;CompilDonnées[[#This Row],[ModuleNumber]]</f>
        <v>292</v>
      </c>
      <c r="P1136" t="str">
        <f>CompilDonnées[[#This Row],[Ref_Module]]&amp;CompilDonnées[[#This Row],[HarvestingDate]]</f>
        <v>29245726</v>
      </c>
    </row>
    <row r="1137" spans="1:16">
      <c r="A1137" s="5">
        <v>45688</v>
      </c>
      <c r="B1137">
        <v>38</v>
      </c>
      <c r="C1137" t="s">
        <v>34</v>
      </c>
      <c r="D1137">
        <v>4</v>
      </c>
      <c r="E1137">
        <v>100</v>
      </c>
      <c r="F1137" t="s">
        <v>1</v>
      </c>
      <c r="G1137" s="6">
        <v>45726</v>
      </c>
      <c r="H1137">
        <v>38</v>
      </c>
      <c r="I1137">
        <f>ROUND(CompilDonnées[[#This Row],[CultureDuration_days]]/7,0)</f>
        <v>5</v>
      </c>
      <c r="J1137">
        <v>2918</v>
      </c>
      <c r="K1137" t="str">
        <f>_xlfn.CONCAT(WEEKNUM(CompilDonnées[[#This Row],[PlantationDate]]), " ", YEAR(CompilDonnées[[#This Row],[PlantationDate]]))</f>
        <v>5 2025</v>
      </c>
      <c r="L1137" t="str">
        <f>CONCATENATE(MONTH(CompilDonnées[[#This Row],[PlantationDate]])," ", YEAR(CompilDonnées[[#This Row],[PlantationDate]]))</f>
        <v>1 2025</v>
      </c>
      <c r="M1137" t="str">
        <f>CONCATENATE(MONTH(CompilDonnées[[#This Row],[HarvestingDate]])," ", YEAR(CompilDonnées[[#This Row],[HarvestingDate]]))</f>
        <v>3 2025</v>
      </c>
      <c r="N1137">
        <f>_xlfn.NUMBERVALUE(CompilDonnées[[#This Row],[FarmID]]&amp;CompilDonnées[[#This Row],[ModuleNumber]]&amp;CompilDonnées[[#This Row],[PlantationDate]])</f>
        <v>38445688</v>
      </c>
      <c r="O1137" t="str">
        <f>CompilDonnées[[#This Row],[FarmID]]&amp;CompilDonnées[[#This Row],[ModuleNumber]]</f>
        <v>384</v>
      </c>
      <c r="P1137" t="str">
        <f>CompilDonnées[[#This Row],[Ref_Module]]&amp;CompilDonnées[[#This Row],[HarvestingDate]]</f>
        <v>38445726</v>
      </c>
    </row>
    <row r="1138" spans="1:16">
      <c r="A1138" s="5">
        <v>45688</v>
      </c>
      <c r="B1138">
        <v>37</v>
      </c>
      <c r="C1138" t="s">
        <v>26</v>
      </c>
      <c r="D1138">
        <v>3</v>
      </c>
      <c r="E1138">
        <v>100</v>
      </c>
      <c r="F1138" t="s">
        <v>1</v>
      </c>
      <c r="G1138" s="6">
        <v>45726</v>
      </c>
      <c r="H1138">
        <v>38</v>
      </c>
      <c r="I1138">
        <f>ROUND(CompilDonnées[[#This Row],[CultureDuration_days]]/7,0)</f>
        <v>5</v>
      </c>
      <c r="J1138">
        <v>3038</v>
      </c>
      <c r="K1138" t="str">
        <f>_xlfn.CONCAT(WEEKNUM(CompilDonnées[[#This Row],[PlantationDate]]), " ", YEAR(CompilDonnées[[#This Row],[PlantationDate]]))</f>
        <v>5 2025</v>
      </c>
      <c r="L1138" t="str">
        <f>CONCATENATE(MONTH(CompilDonnées[[#This Row],[PlantationDate]])," ", YEAR(CompilDonnées[[#This Row],[PlantationDate]]))</f>
        <v>1 2025</v>
      </c>
      <c r="M1138" t="str">
        <f>CONCATENATE(MONTH(CompilDonnées[[#This Row],[HarvestingDate]])," ", YEAR(CompilDonnées[[#This Row],[HarvestingDate]]))</f>
        <v>3 2025</v>
      </c>
      <c r="N1138">
        <f>_xlfn.NUMBERVALUE(CompilDonnées[[#This Row],[FarmID]]&amp;CompilDonnées[[#This Row],[ModuleNumber]]&amp;CompilDonnées[[#This Row],[PlantationDate]])</f>
        <v>37345688</v>
      </c>
      <c r="O1138" t="str">
        <f>CompilDonnées[[#This Row],[FarmID]]&amp;CompilDonnées[[#This Row],[ModuleNumber]]</f>
        <v>373</v>
      </c>
      <c r="P1138" t="str">
        <f>CompilDonnées[[#This Row],[Ref_Module]]&amp;CompilDonnées[[#This Row],[HarvestingDate]]</f>
        <v>37345726</v>
      </c>
    </row>
    <row r="1139" spans="1:16">
      <c r="A1139" s="5">
        <v>45688</v>
      </c>
      <c r="B1139">
        <v>36</v>
      </c>
      <c r="C1139" t="s">
        <v>63</v>
      </c>
      <c r="D1139">
        <v>6</v>
      </c>
      <c r="E1139">
        <v>100</v>
      </c>
      <c r="F1139" t="s">
        <v>1</v>
      </c>
      <c r="G1139" s="6">
        <v>45726</v>
      </c>
      <c r="H1139">
        <v>38</v>
      </c>
      <c r="I1139">
        <f>ROUND(CompilDonnées[[#This Row],[CultureDuration_days]]/7,0)</f>
        <v>5</v>
      </c>
      <c r="J1139">
        <v>3418</v>
      </c>
      <c r="K1139" t="str">
        <f>_xlfn.CONCAT(WEEKNUM(CompilDonnées[[#This Row],[PlantationDate]]), " ", YEAR(CompilDonnées[[#This Row],[PlantationDate]]))</f>
        <v>5 2025</v>
      </c>
      <c r="L1139" t="str">
        <f>CONCATENATE(MONTH(CompilDonnées[[#This Row],[PlantationDate]])," ", YEAR(CompilDonnées[[#This Row],[PlantationDate]]))</f>
        <v>1 2025</v>
      </c>
      <c r="M1139" t="str">
        <f>CONCATENATE(MONTH(CompilDonnées[[#This Row],[HarvestingDate]])," ", YEAR(CompilDonnées[[#This Row],[HarvestingDate]]))</f>
        <v>3 2025</v>
      </c>
      <c r="N1139">
        <f>_xlfn.NUMBERVALUE(CompilDonnées[[#This Row],[FarmID]]&amp;CompilDonnées[[#This Row],[ModuleNumber]]&amp;CompilDonnées[[#This Row],[PlantationDate]])</f>
        <v>36645688</v>
      </c>
      <c r="O1139" t="str">
        <f>CompilDonnées[[#This Row],[FarmID]]&amp;CompilDonnées[[#This Row],[ModuleNumber]]</f>
        <v>366</v>
      </c>
      <c r="P1139" t="str">
        <f>CompilDonnées[[#This Row],[Ref_Module]]&amp;CompilDonnées[[#This Row],[HarvestingDate]]</f>
        <v>36645726</v>
      </c>
    </row>
    <row r="1140" spans="1:16">
      <c r="A1140" s="5">
        <v>45688</v>
      </c>
      <c r="B1140">
        <v>44</v>
      </c>
      <c r="C1140" t="s">
        <v>42</v>
      </c>
      <c r="D1140">
        <v>1</v>
      </c>
      <c r="E1140">
        <v>100</v>
      </c>
      <c r="F1140" t="s">
        <v>1</v>
      </c>
      <c r="G1140" s="6">
        <v>45727</v>
      </c>
      <c r="H1140">
        <v>39</v>
      </c>
      <c r="I1140">
        <f>ROUND(CompilDonnées[[#This Row],[CultureDuration_days]]/7,0)</f>
        <v>6</v>
      </c>
      <c r="J1140">
        <v>4030</v>
      </c>
      <c r="K1140" t="str">
        <f>_xlfn.CONCAT(WEEKNUM(CompilDonnées[[#This Row],[PlantationDate]]), " ", YEAR(CompilDonnées[[#This Row],[PlantationDate]]))</f>
        <v>5 2025</v>
      </c>
      <c r="L1140" t="str">
        <f>CONCATENATE(MONTH(CompilDonnées[[#This Row],[PlantationDate]])," ", YEAR(CompilDonnées[[#This Row],[PlantationDate]]))</f>
        <v>1 2025</v>
      </c>
      <c r="M1140" t="str">
        <f>CONCATENATE(MONTH(CompilDonnées[[#This Row],[HarvestingDate]])," ", YEAR(CompilDonnées[[#This Row],[HarvestingDate]]))</f>
        <v>3 2025</v>
      </c>
      <c r="N1140">
        <f>_xlfn.NUMBERVALUE(CompilDonnées[[#This Row],[FarmID]]&amp;CompilDonnées[[#This Row],[ModuleNumber]]&amp;CompilDonnées[[#This Row],[PlantationDate]])</f>
        <v>44145688</v>
      </c>
      <c r="O1140" t="str">
        <f>CompilDonnées[[#This Row],[FarmID]]&amp;CompilDonnées[[#This Row],[ModuleNumber]]</f>
        <v>441</v>
      </c>
      <c r="P1140" t="str">
        <f>CompilDonnées[[#This Row],[Ref_Module]]&amp;CompilDonnées[[#This Row],[HarvestingDate]]</f>
        <v>44145727</v>
      </c>
    </row>
    <row r="1141" spans="1:16">
      <c r="A1141" s="5">
        <v>45688</v>
      </c>
      <c r="B1141">
        <v>42</v>
      </c>
      <c r="C1141" t="s">
        <v>89</v>
      </c>
      <c r="D1141">
        <v>2</v>
      </c>
      <c r="E1141">
        <v>100</v>
      </c>
      <c r="F1141" t="s">
        <v>1</v>
      </c>
      <c r="G1141" s="6">
        <v>45727</v>
      </c>
      <c r="H1141">
        <v>39</v>
      </c>
      <c r="I1141">
        <f>ROUND(CompilDonnées[[#This Row],[CultureDuration_days]]/7,0)</f>
        <v>6</v>
      </c>
      <c r="J1141">
        <v>3516</v>
      </c>
      <c r="K1141" t="str">
        <f>_xlfn.CONCAT(WEEKNUM(CompilDonnées[[#This Row],[PlantationDate]]), " ", YEAR(CompilDonnées[[#This Row],[PlantationDate]]))</f>
        <v>5 2025</v>
      </c>
      <c r="L1141" t="str">
        <f>CONCATENATE(MONTH(CompilDonnées[[#This Row],[PlantationDate]])," ", YEAR(CompilDonnées[[#This Row],[PlantationDate]]))</f>
        <v>1 2025</v>
      </c>
      <c r="M1141" t="str">
        <f>CONCATENATE(MONTH(CompilDonnées[[#This Row],[HarvestingDate]])," ", YEAR(CompilDonnées[[#This Row],[HarvestingDate]]))</f>
        <v>3 2025</v>
      </c>
      <c r="N1141">
        <f>_xlfn.NUMBERVALUE(CompilDonnées[[#This Row],[FarmID]]&amp;CompilDonnées[[#This Row],[ModuleNumber]]&amp;CompilDonnées[[#This Row],[PlantationDate]])</f>
        <v>42245688</v>
      </c>
      <c r="O1141" t="str">
        <f>CompilDonnées[[#This Row],[FarmID]]&amp;CompilDonnées[[#This Row],[ModuleNumber]]</f>
        <v>422</v>
      </c>
      <c r="P1141" t="str">
        <f>CompilDonnées[[#This Row],[Ref_Module]]&amp;CompilDonnées[[#This Row],[HarvestingDate]]</f>
        <v>42245727</v>
      </c>
    </row>
    <row r="1142" spans="1:16">
      <c r="A1142" s="5">
        <v>45688</v>
      </c>
      <c r="B1142">
        <v>41</v>
      </c>
      <c r="C1142" t="s">
        <v>70</v>
      </c>
      <c r="D1142">
        <v>3</v>
      </c>
      <c r="E1142">
        <v>100</v>
      </c>
      <c r="F1142" t="s">
        <v>1</v>
      </c>
      <c r="G1142" s="6">
        <v>45727</v>
      </c>
      <c r="H1142">
        <v>39</v>
      </c>
      <c r="I1142">
        <f>ROUND(CompilDonnées[[#This Row],[CultureDuration_days]]/7,0)</f>
        <v>6</v>
      </c>
      <c r="J1142">
        <v>2963</v>
      </c>
      <c r="K1142" t="str">
        <f>_xlfn.CONCAT(WEEKNUM(CompilDonnées[[#This Row],[PlantationDate]]), " ", YEAR(CompilDonnées[[#This Row],[PlantationDate]]))</f>
        <v>5 2025</v>
      </c>
      <c r="L1142" t="str">
        <f>CONCATENATE(MONTH(CompilDonnées[[#This Row],[PlantationDate]])," ", YEAR(CompilDonnées[[#This Row],[PlantationDate]]))</f>
        <v>1 2025</v>
      </c>
      <c r="M1142" t="str">
        <f>CONCATENATE(MONTH(CompilDonnées[[#This Row],[HarvestingDate]])," ", YEAR(CompilDonnées[[#This Row],[HarvestingDate]]))</f>
        <v>3 2025</v>
      </c>
      <c r="N1142">
        <f>_xlfn.NUMBERVALUE(CompilDonnées[[#This Row],[FarmID]]&amp;CompilDonnées[[#This Row],[ModuleNumber]]&amp;CompilDonnées[[#This Row],[PlantationDate]])</f>
        <v>41345688</v>
      </c>
      <c r="O1142" t="str">
        <f>CompilDonnées[[#This Row],[FarmID]]&amp;CompilDonnées[[#This Row],[ModuleNumber]]</f>
        <v>413</v>
      </c>
      <c r="P1142" t="str">
        <f>CompilDonnées[[#This Row],[Ref_Module]]&amp;CompilDonnées[[#This Row],[HarvestingDate]]</f>
        <v>41345727</v>
      </c>
    </row>
    <row r="1143" spans="1:16">
      <c r="A1143" s="5">
        <v>45688</v>
      </c>
      <c r="B1143">
        <v>105</v>
      </c>
      <c r="C1143" t="s">
        <v>3</v>
      </c>
      <c r="D1143">
        <v>6</v>
      </c>
      <c r="E1143">
        <v>60</v>
      </c>
      <c r="F1143" t="s">
        <v>105</v>
      </c>
      <c r="G1143" s="6">
        <v>45743</v>
      </c>
      <c r="H1143">
        <v>55</v>
      </c>
      <c r="I1143">
        <f>ROUND(CompilDonnées[[#This Row],[CultureDuration_days]]/7,0)</f>
        <v>8</v>
      </c>
      <c r="J1143">
        <v>1000</v>
      </c>
      <c r="K1143" t="str">
        <f>_xlfn.CONCAT(WEEKNUM(CompilDonnées[[#This Row],[PlantationDate]]), " ", YEAR(CompilDonnées[[#This Row],[PlantationDate]]))</f>
        <v>5 2025</v>
      </c>
      <c r="L1143" t="str">
        <f>CONCATENATE(MONTH(CompilDonnées[[#This Row],[PlantationDate]])," ", YEAR(CompilDonnées[[#This Row],[PlantationDate]]))</f>
        <v>1 2025</v>
      </c>
      <c r="M1143" t="str">
        <f>CONCATENATE(MONTH(CompilDonnées[[#This Row],[HarvestingDate]])," ", YEAR(CompilDonnées[[#This Row],[HarvestingDate]]))</f>
        <v>3 2025</v>
      </c>
      <c r="N1143">
        <f>_xlfn.NUMBERVALUE(CompilDonnées[[#This Row],[FarmID]]&amp;CompilDonnées[[#This Row],[ModuleNumber]]&amp;CompilDonnées[[#This Row],[PlantationDate]])</f>
        <v>105645688</v>
      </c>
      <c r="O1143" t="str">
        <f>CompilDonnées[[#This Row],[FarmID]]&amp;CompilDonnées[[#This Row],[ModuleNumber]]</f>
        <v>1056</v>
      </c>
      <c r="P1143" t="str">
        <f>CompilDonnées[[#This Row],[Ref_Module]]&amp;CompilDonnées[[#This Row],[HarvestingDate]]</f>
        <v>105645743</v>
      </c>
    </row>
    <row r="1144" spans="1:16">
      <c r="A1144" s="5">
        <v>45688</v>
      </c>
      <c r="B1144">
        <v>121</v>
      </c>
      <c r="C1144" t="s">
        <v>3</v>
      </c>
      <c r="D1144">
        <v>5</v>
      </c>
      <c r="E1144">
        <v>60</v>
      </c>
      <c r="F1144" t="s">
        <v>105</v>
      </c>
      <c r="G1144" s="6">
        <v>45737</v>
      </c>
      <c r="H1144">
        <v>49</v>
      </c>
      <c r="I1144">
        <f>ROUND(CompilDonnées[[#This Row],[CultureDuration_days]]/7,0)</f>
        <v>7</v>
      </c>
      <c r="J1144">
        <v>1252</v>
      </c>
      <c r="K1144" t="str">
        <f>_xlfn.CONCAT(WEEKNUM(CompilDonnées[[#This Row],[PlantationDate]]), " ", YEAR(CompilDonnées[[#This Row],[PlantationDate]]))</f>
        <v>5 2025</v>
      </c>
      <c r="L1144" t="str">
        <f>CONCATENATE(MONTH(CompilDonnées[[#This Row],[PlantationDate]])," ", YEAR(CompilDonnées[[#This Row],[PlantationDate]]))</f>
        <v>1 2025</v>
      </c>
      <c r="M1144" t="str">
        <f>CONCATENATE(MONTH(CompilDonnées[[#This Row],[HarvestingDate]])," ", YEAR(CompilDonnées[[#This Row],[HarvestingDate]]))</f>
        <v>3 2025</v>
      </c>
      <c r="N1144">
        <f>_xlfn.NUMBERVALUE(CompilDonnées[[#This Row],[FarmID]]&amp;CompilDonnées[[#This Row],[ModuleNumber]]&amp;CompilDonnées[[#This Row],[PlantationDate]])</f>
        <v>121545688</v>
      </c>
      <c r="O1144" t="str">
        <f>CompilDonnées[[#This Row],[FarmID]]&amp;CompilDonnées[[#This Row],[ModuleNumber]]</f>
        <v>1215</v>
      </c>
      <c r="P1144" t="str">
        <f>CompilDonnées[[#This Row],[Ref_Module]]&amp;CompilDonnées[[#This Row],[HarvestingDate]]</f>
        <v>121545737</v>
      </c>
    </row>
    <row r="1145" spans="1:16">
      <c r="A1145" s="5">
        <v>45688</v>
      </c>
      <c r="B1145">
        <v>121</v>
      </c>
      <c r="C1145" t="s">
        <v>3</v>
      </c>
      <c r="D1145">
        <v>6</v>
      </c>
      <c r="E1145">
        <v>60</v>
      </c>
      <c r="F1145" t="s">
        <v>105</v>
      </c>
      <c r="G1145" s="6">
        <v>45738</v>
      </c>
      <c r="H1145">
        <v>50</v>
      </c>
      <c r="I1145">
        <f>ROUND(CompilDonnées[[#This Row],[CultureDuration_days]]/7,0)</f>
        <v>7</v>
      </c>
      <c r="J1145">
        <v>1776</v>
      </c>
      <c r="K1145" t="str">
        <f>_xlfn.CONCAT(WEEKNUM(CompilDonnées[[#This Row],[PlantationDate]]), " ", YEAR(CompilDonnées[[#This Row],[PlantationDate]]))</f>
        <v>5 2025</v>
      </c>
      <c r="L1145" t="str">
        <f>CONCATENATE(MONTH(CompilDonnées[[#This Row],[PlantationDate]])," ", YEAR(CompilDonnées[[#This Row],[PlantationDate]]))</f>
        <v>1 2025</v>
      </c>
      <c r="M1145" t="str">
        <f>CONCATENATE(MONTH(CompilDonnées[[#This Row],[HarvestingDate]])," ", YEAR(CompilDonnées[[#This Row],[HarvestingDate]]))</f>
        <v>3 2025</v>
      </c>
      <c r="N1145">
        <f>_xlfn.NUMBERVALUE(CompilDonnées[[#This Row],[FarmID]]&amp;CompilDonnées[[#This Row],[ModuleNumber]]&amp;CompilDonnées[[#This Row],[PlantationDate]])</f>
        <v>121645688</v>
      </c>
      <c r="O1145" t="str">
        <f>CompilDonnées[[#This Row],[FarmID]]&amp;CompilDonnées[[#This Row],[ModuleNumber]]</f>
        <v>1216</v>
      </c>
      <c r="P1145" t="str">
        <f>CompilDonnées[[#This Row],[Ref_Module]]&amp;CompilDonnées[[#This Row],[HarvestingDate]]</f>
        <v>121645738</v>
      </c>
    </row>
    <row r="1146" spans="1:16">
      <c r="A1146" s="5">
        <v>45689</v>
      </c>
      <c r="B1146">
        <v>101</v>
      </c>
      <c r="C1146" t="s">
        <v>54</v>
      </c>
      <c r="D1146">
        <v>1</v>
      </c>
      <c r="E1146">
        <v>100</v>
      </c>
      <c r="F1146" t="s">
        <v>1</v>
      </c>
      <c r="G1146" s="6">
        <v>45733</v>
      </c>
      <c r="H1146">
        <v>44</v>
      </c>
      <c r="I1146">
        <f>ROUND(CompilDonnées[[#This Row],[CultureDuration_days]]/7,0)</f>
        <v>6</v>
      </c>
      <c r="J1146">
        <v>3343</v>
      </c>
      <c r="K1146" t="str">
        <f>_xlfn.CONCAT(WEEKNUM(CompilDonnées[[#This Row],[PlantationDate]]), " ", YEAR(CompilDonnées[[#This Row],[PlantationDate]]))</f>
        <v>5 2025</v>
      </c>
      <c r="L1146" t="str">
        <f>CONCATENATE(MONTH(CompilDonnées[[#This Row],[PlantationDate]])," ", YEAR(CompilDonnées[[#This Row],[PlantationDate]]))</f>
        <v>2 2025</v>
      </c>
      <c r="M1146" t="str">
        <f>CONCATENATE(MONTH(CompilDonnées[[#This Row],[HarvestingDate]])," ", YEAR(CompilDonnées[[#This Row],[HarvestingDate]]))</f>
        <v>3 2025</v>
      </c>
      <c r="N1146">
        <f>_xlfn.NUMBERVALUE(CompilDonnées[[#This Row],[FarmID]]&amp;CompilDonnées[[#This Row],[ModuleNumber]]&amp;CompilDonnées[[#This Row],[PlantationDate]])</f>
        <v>101145689</v>
      </c>
      <c r="O1146" t="str">
        <f>CompilDonnées[[#This Row],[FarmID]]&amp;CompilDonnées[[#This Row],[ModuleNumber]]</f>
        <v>1011</v>
      </c>
      <c r="P1146" t="str">
        <f>CompilDonnées[[#This Row],[Ref_Module]]&amp;CompilDonnées[[#This Row],[HarvestingDate]]</f>
        <v>101145733</v>
      </c>
    </row>
    <row r="1147" spans="1:16">
      <c r="A1147" s="5">
        <v>45689</v>
      </c>
      <c r="B1147">
        <v>109</v>
      </c>
      <c r="C1147" t="s">
        <v>87</v>
      </c>
      <c r="D1147">
        <v>4</v>
      </c>
      <c r="E1147">
        <v>100</v>
      </c>
      <c r="F1147" t="s">
        <v>1</v>
      </c>
      <c r="G1147" s="6">
        <v>45730</v>
      </c>
      <c r="H1147">
        <v>41</v>
      </c>
      <c r="I1147">
        <f>ROUND(CompilDonnées[[#This Row],[CultureDuration_days]]/7,0)</f>
        <v>6</v>
      </c>
      <c r="J1147">
        <v>3113</v>
      </c>
      <c r="K1147" t="str">
        <f>_xlfn.CONCAT(WEEKNUM(CompilDonnées[[#This Row],[PlantationDate]]), " ", YEAR(CompilDonnées[[#This Row],[PlantationDate]]))</f>
        <v>5 2025</v>
      </c>
      <c r="L1147" t="str">
        <f>CONCATENATE(MONTH(CompilDonnées[[#This Row],[PlantationDate]])," ", YEAR(CompilDonnées[[#This Row],[PlantationDate]]))</f>
        <v>2 2025</v>
      </c>
      <c r="M1147" t="str">
        <f>CONCATENATE(MONTH(CompilDonnées[[#This Row],[HarvestingDate]])," ", YEAR(CompilDonnées[[#This Row],[HarvestingDate]]))</f>
        <v>3 2025</v>
      </c>
      <c r="N1147">
        <f>_xlfn.NUMBERVALUE(CompilDonnées[[#This Row],[FarmID]]&amp;CompilDonnées[[#This Row],[ModuleNumber]]&amp;CompilDonnées[[#This Row],[PlantationDate]])</f>
        <v>109445689</v>
      </c>
      <c r="O1147" t="str">
        <f>CompilDonnées[[#This Row],[FarmID]]&amp;CompilDonnées[[#This Row],[ModuleNumber]]</f>
        <v>1094</v>
      </c>
      <c r="P1147" t="str">
        <f>CompilDonnées[[#This Row],[Ref_Module]]&amp;CompilDonnées[[#This Row],[HarvestingDate]]</f>
        <v>109445730</v>
      </c>
    </row>
    <row r="1148" spans="1:16">
      <c r="A1148" s="5">
        <v>45689</v>
      </c>
      <c r="B1148">
        <v>86</v>
      </c>
      <c r="C1148" t="s">
        <v>37</v>
      </c>
      <c r="D1148">
        <v>2</v>
      </c>
      <c r="E1148">
        <v>100</v>
      </c>
      <c r="F1148" t="s">
        <v>1</v>
      </c>
      <c r="G1148" s="6">
        <v>45736</v>
      </c>
      <c r="H1148">
        <v>47</v>
      </c>
      <c r="I1148">
        <f>ROUND(CompilDonnées[[#This Row],[CultureDuration_days]]/7,0)</f>
        <v>7</v>
      </c>
      <c r="J1148">
        <v>2391</v>
      </c>
      <c r="K1148" t="str">
        <f>_xlfn.CONCAT(WEEKNUM(CompilDonnées[[#This Row],[PlantationDate]]), " ", YEAR(CompilDonnées[[#This Row],[PlantationDate]]))</f>
        <v>5 2025</v>
      </c>
      <c r="L1148" t="str">
        <f>CONCATENATE(MONTH(CompilDonnées[[#This Row],[PlantationDate]])," ", YEAR(CompilDonnées[[#This Row],[PlantationDate]]))</f>
        <v>2 2025</v>
      </c>
      <c r="M1148" t="str">
        <f>CONCATENATE(MONTH(CompilDonnées[[#This Row],[HarvestingDate]])," ", YEAR(CompilDonnées[[#This Row],[HarvestingDate]]))</f>
        <v>3 2025</v>
      </c>
      <c r="N1148">
        <f>_xlfn.NUMBERVALUE(CompilDonnées[[#This Row],[FarmID]]&amp;CompilDonnées[[#This Row],[ModuleNumber]]&amp;CompilDonnées[[#This Row],[PlantationDate]])</f>
        <v>86245689</v>
      </c>
      <c r="O1148" t="str">
        <f>CompilDonnées[[#This Row],[FarmID]]&amp;CompilDonnées[[#This Row],[ModuleNumber]]</f>
        <v>862</v>
      </c>
      <c r="P1148" t="str">
        <f>CompilDonnées[[#This Row],[Ref_Module]]&amp;CompilDonnées[[#This Row],[HarvestingDate]]</f>
        <v>86245736</v>
      </c>
    </row>
    <row r="1149" spans="1:16">
      <c r="A1149" s="5">
        <v>45689</v>
      </c>
      <c r="B1149">
        <v>85</v>
      </c>
      <c r="C1149" t="s">
        <v>56</v>
      </c>
      <c r="D1149">
        <v>5</v>
      </c>
      <c r="E1149">
        <v>100</v>
      </c>
      <c r="F1149" t="s">
        <v>1</v>
      </c>
      <c r="G1149" s="6">
        <v>45736</v>
      </c>
      <c r="H1149">
        <v>47</v>
      </c>
      <c r="I1149">
        <f>ROUND(CompilDonnées[[#This Row],[CultureDuration_days]]/7,0)</f>
        <v>7</v>
      </c>
      <c r="J1149">
        <v>2414</v>
      </c>
      <c r="K1149" t="str">
        <f>_xlfn.CONCAT(WEEKNUM(CompilDonnées[[#This Row],[PlantationDate]]), " ", YEAR(CompilDonnées[[#This Row],[PlantationDate]]))</f>
        <v>5 2025</v>
      </c>
      <c r="L1149" t="str">
        <f>CONCATENATE(MONTH(CompilDonnées[[#This Row],[PlantationDate]])," ", YEAR(CompilDonnées[[#This Row],[PlantationDate]]))</f>
        <v>2 2025</v>
      </c>
      <c r="M1149" t="str">
        <f>CONCATENATE(MONTH(CompilDonnées[[#This Row],[HarvestingDate]])," ", YEAR(CompilDonnées[[#This Row],[HarvestingDate]]))</f>
        <v>3 2025</v>
      </c>
      <c r="N1149">
        <f>_xlfn.NUMBERVALUE(CompilDonnées[[#This Row],[FarmID]]&amp;CompilDonnées[[#This Row],[ModuleNumber]]&amp;CompilDonnées[[#This Row],[PlantationDate]])</f>
        <v>85545689</v>
      </c>
      <c r="O1149" t="str">
        <f>CompilDonnées[[#This Row],[FarmID]]&amp;CompilDonnées[[#This Row],[ModuleNumber]]</f>
        <v>855</v>
      </c>
      <c r="P1149" t="str">
        <f>CompilDonnées[[#This Row],[Ref_Module]]&amp;CompilDonnées[[#This Row],[HarvestingDate]]</f>
        <v>85545736</v>
      </c>
    </row>
    <row r="1150" spans="1:16">
      <c r="A1150" s="5">
        <v>45689</v>
      </c>
      <c r="B1150">
        <v>104</v>
      </c>
      <c r="C1150" t="s">
        <v>91</v>
      </c>
      <c r="D1150">
        <v>1</v>
      </c>
      <c r="E1150">
        <v>100</v>
      </c>
      <c r="F1150" t="s">
        <v>1</v>
      </c>
      <c r="G1150" s="6">
        <v>45736</v>
      </c>
      <c r="H1150">
        <v>47</v>
      </c>
      <c r="I1150">
        <f>ROUND(CompilDonnées[[#This Row],[CultureDuration_days]]/7,0)</f>
        <v>7</v>
      </c>
      <c r="J1150">
        <v>2684</v>
      </c>
      <c r="K1150" t="str">
        <f>_xlfn.CONCAT(WEEKNUM(CompilDonnées[[#This Row],[PlantationDate]]), " ", YEAR(CompilDonnées[[#This Row],[PlantationDate]]))</f>
        <v>5 2025</v>
      </c>
      <c r="L1150" t="str">
        <f>CONCATENATE(MONTH(CompilDonnées[[#This Row],[PlantationDate]])," ", YEAR(CompilDonnées[[#This Row],[PlantationDate]]))</f>
        <v>2 2025</v>
      </c>
      <c r="M1150" t="str">
        <f>CONCATENATE(MONTH(CompilDonnées[[#This Row],[HarvestingDate]])," ", YEAR(CompilDonnées[[#This Row],[HarvestingDate]]))</f>
        <v>3 2025</v>
      </c>
      <c r="N1150">
        <f>_xlfn.NUMBERVALUE(CompilDonnées[[#This Row],[FarmID]]&amp;CompilDonnées[[#This Row],[ModuleNumber]]&amp;CompilDonnées[[#This Row],[PlantationDate]])</f>
        <v>104145689</v>
      </c>
      <c r="O1150" t="str">
        <f>CompilDonnées[[#This Row],[FarmID]]&amp;CompilDonnées[[#This Row],[ModuleNumber]]</f>
        <v>1041</v>
      </c>
      <c r="P1150" t="str">
        <f>CompilDonnées[[#This Row],[Ref_Module]]&amp;CompilDonnées[[#This Row],[HarvestingDate]]</f>
        <v>104145736</v>
      </c>
    </row>
    <row r="1151" spans="1:16">
      <c r="A1151" s="5">
        <v>45689</v>
      </c>
      <c r="B1151">
        <v>44</v>
      </c>
      <c r="C1151" t="s">
        <v>42</v>
      </c>
      <c r="D1151">
        <v>2</v>
      </c>
      <c r="E1151">
        <v>100</v>
      </c>
      <c r="F1151" t="s">
        <v>1</v>
      </c>
      <c r="G1151" s="6">
        <v>45741</v>
      </c>
      <c r="H1151">
        <v>52</v>
      </c>
      <c r="I1151">
        <f>ROUND(CompilDonnées[[#This Row],[CultureDuration_days]]/7,0)</f>
        <v>7</v>
      </c>
      <c r="J1151">
        <v>2657</v>
      </c>
      <c r="K1151" t="str">
        <f>_xlfn.CONCAT(WEEKNUM(CompilDonnées[[#This Row],[PlantationDate]]), " ", YEAR(CompilDonnées[[#This Row],[PlantationDate]]))</f>
        <v>5 2025</v>
      </c>
      <c r="L1151" t="str">
        <f>CONCATENATE(MONTH(CompilDonnées[[#This Row],[PlantationDate]])," ", YEAR(CompilDonnées[[#This Row],[PlantationDate]]))</f>
        <v>2 2025</v>
      </c>
      <c r="M1151" t="str">
        <f>CONCATENATE(MONTH(CompilDonnées[[#This Row],[HarvestingDate]])," ", YEAR(CompilDonnées[[#This Row],[HarvestingDate]]))</f>
        <v>3 2025</v>
      </c>
      <c r="N1151">
        <f>_xlfn.NUMBERVALUE(CompilDonnées[[#This Row],[FarmID]]&amp;CompilDonnées[[#This Row],[ModuleNumber]]&amp;CompilDonnées[[#This Row],[PlantationDate]])</f>
        <v>44245689</v>
      </c>
      <c r="O1151" t="str">
        <f>CompilDonnées[[#This Row],[FarmID]]&amp;CompilDonnées[[#This Row],[ModuleNumber]]</f>
        <v>442</v>
      </c>
      <c r="P1151" t="str">
        <f>CompilDonnées[[#This Row],[Ref_Module]]&amp;CompilDonnées[[#This Row],[HarvestingDate]]</f>
        <v>44245741</v>
      </c>
    </row>
    <row r="1152" spans="1:16">
      <c r="A1152" s="5">
        <v>45689</v>
      </c>
      <c r="B1152">
        <v>44</v>
      </c>
      <c r="C1152" t="s">
        <v>42</v>
      </c>
      <c r="D1152">
        <v>6</v>
      </c>
      <c r="E1152">
        <v>100</v>
      </c>
      <c r="F1152" t="s">
        <v>1</v>
      </c>
      <c r="G1152" s="6">
        <v>45737</v>
      </c>
      <c r="H1152">
        <v>48</v>
      </c>
      <c r="I1152">
        <f>ROUND(CompilDonnées[[#This Row],[CultureDuration_days]]/7,0)</f>
        <v>7</v>
      </c>
      <c r="J1152">
        <v>2308</v>
      </c>
      <c r="K1152" t="str">
        <f>_xlfn.CONCAT(WEEKNUM(CompilDonnées[[#This Row],[PlantationDate]]), " ", YEAR(CompilDonnées[[#This Row],[PlantationDate]]))</f>
        <v>5 2025</v>
      </c>
      <c r="L1152" t="str">
        <f>CONCATENATE(MONTH(CompilDonnées[[#This Row],[PlantationDate]])," ", YEAR(CompilDonnées[[#This Row],[PlantationDate]]))</f>
        <v>2 2025</v>
      </c>
      <c r="M1152" t="str">
        <f>CONCATENATE(MONTH(CompilDonnées[[#This Row],[HarvestingDate]])," ", YEAR(CompilDonnées[[#This Row],[HarvestingDate]]))</f>
        <v>3 2025</v>
      </c>
      <c r="N1152">
        <f>_xlfn.NUMBERVALUE(CompilDonnées[[#This Row],[FarmID]]&amp;CompilDonnées[[#This Row],[ModuleNumber]]&amp;CompilDonnées[[#This Row],[PlantationDate]])</f>
        <v>44645689</v>
      </c>
      <c r="O1152" t="str">
        <f>CompilDonnées[[#This Row],[FarmID]]&amp;CompilDonnées[[#This Row],[ModuleNumber]]</f>
        <v>446</v>
      </c>
      <c r="P1152" t="str">
        <f>CompilDonnées[[#This Row],[Ref_Module]]&amp;CompilDonnées[[#This Row],[HarvestingDate]]</f>
        <v>44645737</v>
      </c>
    </row>
    <row r="1153" spans="1:16">
      <c r="A1153" s="5">
        <v>45689</v>
      </c>
      <c r="B1153">
        <v>42</v>
      </c>
      <c r="C1153" t="s">
        <v>89</v>
      </c>
      <c r="D1153">
        <v>1</v>
      </c>
      <c r="E1153">
        <v>100</v>
      </c>
      <c r="F1153" t="s">
        <v>1</v>
      </c>
      <c r="G1153" s="6">
        <v>45738</v>
      </c>
      <c r="H1153">
        <v>49</v>
      </c>
      <c r="I1153">
        <f>ROUND(CompilDonnées[[#This Row],[CultureDuration_days]]/7,0)</f>
        <v>7</v>
      </c>
      <c r="J1153">
        <v>3354</v>
      </c>
      <c r="K1153" t="str">
        <f>_xlfn.CONCAT(WEEKNUM(CompilDonnées[[#This Row],[PlantationDate]]), " ", YEAR(CompilDonnées[[#This Row],[PlantationDate]]))</f>
        <v>5 2025</v>
      </c>
      <c r="L1153" t="str">
        <f>CONCATENATE(MONTH(CompilDonnées[[#This Row],[PlantationDate]])," ", YEAR(CompilDonnées[[#This Row],[PlantationDate]]))</f>
        <v>2 2025</v>
      </c>
      <c r="M1153" t="str">
        <f>CONCATENATE(MONTH(CompilDonnées[[#This Row],[HarvestingDate]])," ", YEAR(CompilDonnées[[#This Row],[HarvestingDate]]))</f>
        <v>3 2025</v>
      </c>
      <c r="N1153">
        <f>_xlfn.NUMBERVALUE(CompilDonnées[[#This Row],[FarmID]]&amp;CompilDonnées[[#This Row],[ModuleNumber]]&amp;CompilDonnées[[#This Row],[PlantationDate]])</f>
        <v>42145689</v>
      </c>
      <c r="O1153" t="str">
        <f>CompilDonnées[[#This Row],[FarmID]]&amp;CompilDonnées[[#This Row],[ModuleNumber]]</f>
        <v>421</v>
      </c>
      <c r="P1153" t="str">
        <f>CompilDonnées[[#This Row],[Ref_Module]]&amp;CompilDonnées[[#This Row],[HarvestingDate]]</f>
        <v>42145738</v>
      </c>
    </row>
    <row r="1154" spans="1:16">
      <c r="A1154" s="5">
        <v>45689</v>
      </c>
      <c r="B1154">
        <v>30</v>
      </c>
      <c r="C1154" t="s">
        <v>4</v>
      </c>
      <c r="D1154">
        <v>2</v>
      </c>
      <c r="E1154">
        <v>100</v>
      </c>
      <c r="F1154" t="s">
        <v>1</v>
      </c>
      <c r="G1154" s="6">
        <v>45738</v>
      </c>
      <c r="H1154">
        <v>49</v>
      </c>
      <c r="I1154">
        <f>ROUND(CompilDonnées[[#This Row],[CultureDuration_days]]/7,0)</f>
        <v>7</v>
      </c>
      <c r="J1154">
        <v>2823</v>
      </c>
      <c r="K1154" t="str">
        <f>_xlfn.CONCAT(WEEKNUM(CompilDonnées[[#This Row],[PlantationDate]]), " ", YEAR(CompilDonnées[[#This Row],[PlantationDate]]))</f>
        <v>5 2025</v>
      </c>
      <c r="L1154" t="str">
        <f>CONCATENATE(MONTH(CompilDonnées[[#This Row],[PlantationDate]])," ", YEAR(CompilDonnées[[#This Row],[PlantationDate]]))</f>
        <v>2 2025</v>
      </c>
      <c r="M1154" t="str">
        <f>CONCATENATE(MONTH(CompilDonnées[[#This Row],[HarvestingDate]])," ", YEAR(CompilDonnées[[#This Row],[HarvestingDate]]))</f>
        <v>3 2025</v>
      </c>
      <c r="N1154">
        <f>_xlfn.NUMBERVALUE(CompilDonnées[[#This Row],[FarmID]]&amp;CompilDonnées[[#This Row],[ModuleNumber]]&amp;CompilDonnées[[#This Row],[PlantationDate]])</f>
        <v>30245689</v>
      </c>
      <c r="O1154" t="str">
        <f>CompilDonnées[[#This Row],[FarmID]]&amp;CompilDonnées[[#This Row],[ModuleNumber]]</f>
        <v>302</v>
      </c>
      <c r="P1154" t="str">
        <f>CompilDonnées[[#This Row],[Ref_Module]]&amp;CompilDonnées[[#This Row],[HarvestingDate]]</f>
        <v>30245738</v>
      </c>
    </row>
    <row r="1155" spans="1:16">
      <c r="A1155" s="5">
        <v>45689</v>
      </c>
      <c r="B1155">
        <v>38</v>
      </c>
      <c r="C1155" t="s">
        <v>34</v>
      </c>
      <c r="D1155">
        <v>5</v>
      </c>
      <c r="E1155">
        <v>100</v>
      </c>
      <c r="F1155" t="s">
        <v>1</v>
      </c>
      <c r="G1155" s="6">
        <v>45738</v>
      </c>
      <c r="H1155">
        <v>49</v>
      </c>
      <c r="I1155">
        <f>ROUND(CompilDonnées[[#This Row],[CultureDuration_days]]/7,0)</f>
        <v>7</v>
      </c>
      <c r="J1155">
        <v>3064</v>
      </c>
      <c r="K1155" t="str">
        <f>_xlfn.CONCAT(WEEKNUM(CompilDonnées[[#This Row],[PlantationDate]]), " ", YEAR(CompilDonnées[[#This Row],[PlantationDate]]))</f>
        <v>5 2025</v>
      </c>
      <c r="L1155" t="str">
        <f>CONCATENATE(MONTH(CompilDonnées[[#This Row],[PlantationDate]])," ", YEAR(CompilDonnées[[#This Row],[PlantationDate]]))</f>
        <v>2 2025</v>
      </c>
      <c r="M1155" t="str">
        <f>CONCATENATE(MONTH(CompilDonnées[[#This Row],[HarvestingDate]])," ", YEAR(CompilDonnées[[#This Row],[HarvestingDate]]))</f>
        <v>3 2025</v>
      </c>
      <c r="N1155">
        <f>_xlfn.NUMBERVALUE(CompilDonnées[[#This Row],[FarmID]]&amp;CompilDonnées[[#This Row],[ModuleNumber]]&amp;CompilDonnées[[#This Row],[PlantationDate]])</f>
        <v>38545689</v>
      </c>
      <c r="O1155" t="str">
        <f>CompilDonnées[[#This Row],[FarmID]]&amp;CompilDonnées[[#This Row],[ModuleNumber]]</f>
        <v>385</v>
      </c>
      <c r="P1155" t="str">
        <f>CompilDonnées[[#This Row],[Ref_Module]]&amp;CompilDonnées[[#This Row],[HarvestingDate]]</f>
        <v>38545738</v>
      </c>
    </row>
    <row r="1156" spans="1:16">
      <c r="A1156" s="5">
        <v>45689</v>
      </c>
      <c r="B1156">
        <v>21</v>
      </c>
      <c r="C1156" t="s">
        <v>0</v>
      </c>
      <c r="D1156">
        <v>5</v>
      </c>
      <c r="E1156">
        <v>100</v>
      </c>
      <c r="F1156" t="s">
        <v>1</v>
      </c>
      <c r="G1156" s="6">
        <v>45739</v>
      </c>
      <c r="H1156">
        <v>50</v>
      </c>
      <c r="I1156">
        <f>ROUND(CompilDonnées[[#This Row],[CultureDuration_days]]/7,0)</f>
        <v>7</v>
      </c>
      <c r="J1156">
        <v>4018</v>
      </c>
      <c r="K1156" t="str">
        <f>_xlfn.CONCAT(WEEKNUM(CompilDonnées[[#This Row],[PlantationDate]]), " ", YEAR(CompilDonnées[[#This Row],[PlantationDate]]))</f>
        <v>5 2025</v>
      </c>
      <c r="L1156" t="str">
        <f>CONCATENATE(MONTH(CompilDonnées[[#This Row],[PlantationDate]])," ", YEAR(CompilDonnées[[#This Row],[PlantationDate]]))</f>
        <v>2 2025</v>
      </c>
      <c r="M1156" t="str">
        <f>CONCATENATE(MONTH(CompilDonnées[[#This Row],[HarvestingDate]])," ", YEAR(CompilDonnées[[#This Row],[HarvestingDate]]))</f>
        <v>3 2025</v>
      </c>
      <c r="N1156">
        <f>_xlfn.NUMBERVALUE(CompilDonnées[[#This Row],[FarmID]]&amp;CompilDonnées[[#This Row],[ModuleNumber]]&amp;CompilDonnées[[#This Row],[PlantationDate]])</f>
        <v>21545689</v>
      </c>
      <c r="O1156" t="str">
        <f>CompilDonnées[[#This Row],[FarmID]]&amp;CompilDonnées[[#This Row],[ModuleNumber]]</f>
        <v>215</v>
      </c>
      <c r="P1156" t="str">
        <f>CompilDonnées[[#This Row],[Ref_Module]]&amp;CompilDonnées[[#This Row],[HarvestingDate]]</f>
        <v>21545739</v>
      </c>
    </row>
    <row r="1157" spans="1:16">
      <c r="A1157" s="5">
        <v>45689</v>
      </c>
      <c r="B1157">
        <v>18</v>
      </c>
      <c r="C1157" t="s">
        <v>33</v>
      </c>
      <c r="D1157">
        <v>4</v>
      </c>
      <c r="E1157">
        <v>100</v>
      </c>
      <c r="F1157" t="s">
        <v>1</v>
      </c>
      <c r="G1157" s="6">
        <v>45726</v>
      </c>
      <c r="H1157">
        <v>37</v>
      </c>
      <c r="I1157">
        <f>ROUND(CompilDonnées[[#This Row],[CultureDuration_days]]/7,0)</f>
        <v>5</v>
      </c>
      <c r="J1157">
        <v>2572</v>
      </c>
      <c r="K1157" t="str">
        <f>_xlfn.CONCAT(WEEKNUM(CompilDonnées[[#This Row],[PlantationDate]]), " ", YEAR(CompilDonnées[[#This Row],[PlantationDate]]))</f>
        <v>5 2025</v>
      </c>
      <c r="L1157" t="str">
        <f>CONCATENATE(MONTH(CompilDonnées[[#This Row],[PlantationDate]])," ", YEAR(CompilDonnées[[#This Row],[PlantationDate]]))</f>
        <v>2 2025</v>
      </c>
      <c r="M1157" t="str">
        <f>CONCATENATE(MONTH(CompilDonnées[[#This Row],[HarvestingDate]])," ", YEAR(CompilDonnées[[#This Row],[HarvestingDate]]))</f>
        <v>3 2025</v>
      </c>
      <c r="N1157">
        <f>_xlfn.NUMBERVALUE(CompilDonnées[[#This Row],[FarmID]]&amp;CompilDonnées[[#This Row],[ModuleNumber]]&amp;CompilDonnées[[#This Row],[PlantationDate]])</f>
        <v>18445689</v>
      </c>
      <c r="O1157" t="str">
        <f>CompilDonnées[[#This Row],[FarmID]]&amp;CompilDonnées[[#This Row],[ModuleNumber]]</f>
        <v>184</v>
      </c>
      <c r="P1157" t="str">
        <f>CompilDonnées[[#This Row],[Ref_Module]]&amp;CompilDonnées[[#This Row],[HarvestingDate]]</f>
        <v>18445726</v>
      </c>
    </row>
    <row r="1158" spans="1:16">
      <c r="A1158" s="5">
        <v>45689</v>
      </c>
      <c r="B1158">
        <v>15</v>
      </c>
      <c r="C1158" t="s">
        <v>5</v>
      </c>
      <c r="D1158">
        <v>2</v>
      </c>
      <c r="E1158">
        <v>100</v>
      </c>
      <c r="F1158" t="s">
        <v>1</v>
      </c>
      <c r="G1158" s="6">
        <v>45740</v>
      </c>
      <c r="H1158">
        <v>51</v>
      </c>
      <c r="I1158">
        <f>ROUND(CompilDonnées[[#This Row],[CultureDuration_days]]/7,0)</f>
        <v>7</v>
      </c>
      <c r="J1158">
        <v>3029</v>
      </c>
      <c r="K1158" t="str">
        <f>_xlfn.CONCAT(WEEKNUM(CompilDonnées[[#This Row],[PlantationDate]]), " ", YEAR(CompilDonnées[[#This Row],[PlantationDate]]))</f>
        <v>5 2025</v>
      </c>
      <c r="L1158" t="str">
        <f>CONCATENATE(MONTH(CompilDonnées[[#This Row],[PlantationDate]])," ", YEAR(CompilDonnées[[#This Row],[PlantationDate]]))</f>
        <v>2 2025</v>
      </c>
      <c r="M1158" t="str">
        <f>CONCATENATE(MONTH(CompilDonnées[[#This Row],[HarvestingDate]])," ", YEAR(CompilDonnées[[#This Row],[HarvestingDate]]))</f>
        <v>3 2025</v>
      </c>
      <c r="N1158">
        <f>_xlfn.NUMBERVALUE(CompilDonnées[[#This Row],[FarmID]]&amp;CompilDonnées[[#This Row],[ModuleNumber]]&amp;CompilDonnées[[#This Row],[PlantationDate]])</f>
        <v>15245689</v>
      </c>
      <c r="O1158" t="str">
        <f>CompilDonnées[[#This Row],[FarmID]]&amp;CompilDonnées[[#This Row],[ModuleNumber]]</f>
        <v>152</v>
      </c>
      <c r="P1158" t="str">
        <f>CompilDonnées[[#This Row],[Ref_Module]]&amp;CompilDonnées[[#This Row],[HarvestingDate]]</f>
        <v>15245740</v>
      </c>
    </row>
    <row r="1159" spans="1:16">
      <c r="A1159" s="5">
        <v>45689</v>
      </c>
      <c r="B1159">
        <v>15</v>
      </c>
      <c r="C1159" t="s">
        <v>5</v>
      </c>
      <c r="D1159">
        <v>4</v>
      </c>
      <c r="E1159">
        <v>100</v>
      </c>
      <c r="F1159" t="s">
        <v>1</v>
      </c>
      <c r="G1159" s="6">
        <v>45739</v>
      </c>
      <c r="H1159">
        <v>50</v>
      </c>
      <c r="I1159">
        <f>ROUND(CompilDonnées[[#This Row],[CultureDuration_days]]/7,0)</f>
        <v>7</v>
      </c>
      <c r="J1159">
        <v>3663</v>
      </c>
      <c r="K1159" t="str">
        <f>_xlfn.CONCAT(WEEKNUM(CompilDonnées[[#This Row],[PlantationDate]]), " ", YEAR(CompilDonnées[[#This Row],[PlantationDate]]))</f>
        <v>5 2025</v>
      </c>
      <c r="L1159" t="str">
        <f>CONCATENATE(MONTH(CompilDonnées[[#This Row],[PlantationDate]])," ", YEAR(CompilDonnées[[#This Row],[PlantationDate]]))</f>
        <v>2 2025</v>
      </c>
      <c r="M1159" t="str">
        <f>CONCATENATE(MONTH(CompilDonnées[[#This Row],[HarvestingDate]])," ", YEAR(CompilDonnées[[#This Row],[HarvestingDate]]))</f>
        <v>3 2025</v>
      </c>
      <c r="N1159">
        <f>_xlfn.NUMBERVALUE(CompilDonnées[[#This Row],[FarmID]]&amp;CompilDonnées[[#This Row],[ModuleNumber]]&amp;CompilDonnées[[#This Row],[PlantationDate]])</f>
        <v>15445689</v>
      </c>
      <c r="O1159" t="str">
        <f>CompilDonnées[[#This Row],[FarmID]]&amp;CompilDonnées[[#This Row],[ModuleNumber]]</f>
        <v>154</v>
      </c>
      <c r="P1159" t="str">
        <f>CompilDonnées[[#This Row],[Ref_Module]]&amp;CompilDonnées[[#This Row],[HarvestingDate]]</f>
        <v>15445739</v>
      </c>
    </row>
    <row r="1160" spans="1:16">
      <c r="A1160" s="5">
        <v>45689</v>
      </c>
      <c r="B1160">
        <v>6</v>
      </c>
      <c r="C1160" t="s">
        <v>24</v>
      </c>
      <c r="D1160">
        <v>2</v>
      </c>
      <c r="E1160">
        <v>100</v>
      </c>
      <c r="F1160" t="s">
        <v>1</v>
      </c>
      <c r="G1160" s="6">
        <v>45726</v>
      </c>
      <c r="H1160">
        <v>37</v>
      </c>
      <c r="I1160">
        <f>ROUND(CompilDonnées[[#This Row],[CultureDuration_days]]/7,0)</f>
        <v>5</v>
      </c>
      <c r="J1160">
        <v>2510</v>
      </c>
      <c r="K1160" t="str">
        <f>_xlfn.CONCAT(WEEKNUM(CompilDonnées[[#This Row],[PlantationDate]]), " ", YEAR(CompilDonnées[[#This Row],[PlantationDate]]))</f>
        <v>5 2025</v>
      </c>
      <c r="L1160" t="str">
        <f>CONCATENATE(MONTH(CompilDonnées[[#This Row],[PlantationDate]])," ", YEAR(CompilDonnées[[#This Row],[PlantationDate]]))</f>
        <v>2 2025</v>
      </c>
      <c r="M1160" t="str">
        <f>CONCATENATE(MONTH(CompilDonnées[[#This Row],[HarvestingDate]])," ", YEAR(CompilDonnées[[#This Row],[HarvestingDate]]))</f>
        <v>3 2025</v>
      </c>
      <c r="N1160">
        <f>_xlfn.NUMBERVALUE(CompilDonnées[[#This Row],[FarmID]]&amp;CompilDonnées[[#This Row],[ModuleNumber]]&amp;CompilDonnées[[#This Row],[PlantationDate]])</f>
        <v>6245689</v>
      </c>
      <c r="O1160" t="str">
        <f>CompilDonnées[[#This Row],[FarmID]]&amp;CompilDonnées[[#This Row],[ModuleNumber]]</f>
        <v>62</v>
      </c>
      <c r="P1160" t="str">
        <f>CompilDonnées[[#This Row],[Ref_Module]]&amp;CompilDonnées[[#This Row],[HarvestingDate]]</f>
        <v>6245726</v>
      </c>
    </row>
    <row r="1161" spans="1:16">
      <c r="A1161" s="5">
        <v>45689</v>
      </c>
      <c r="B1161">
        <v>5</v>
      </c>
      <c r="C1161" t="s">
        <v>32</v>
      </c>
      <c r="D1161">
        <v>4</v>
      </c>
      <c r="E1161">
        <v>100</v>
      </c>
      <c r="F1161" t="s">
        <v>1</v>
      </c>
      <c r="G1161" s="6">
        <v>45726</v>
      </c>
      <c r="H1161">
        <v>37</v>
      </c>
      <c r="I1161">
        <f>ROUND(CompilDonnées[[#This Row],[CultureDuration_days]]/7,0)</f>
        <v>5</v>
      </c>
      <c r="J1161">
        <v>2480</v>
      </c>
      <c r="K1161" t="str">
        <f>_xlfn.CONCAT(WEEKNUM(CompilDonnées[[#This Row],[PlantationDate]]), " ", YEAR(CompilDonnées[[#This Row],[PlantationDate]]))</f>
        <v>5 2025</v>
      </c>
      <c r="L1161" t="str">
        <f>CONCATENATE(MONTH(CompilDonnées[[#This Row],[PlantationDate]])," ", YEAR(CompilDonnées[[#This Row],[PlantationDate]]))</f>
        <v>2 2025</v>
      </c>
      <c r="M1161" t="str">
        <f>CONCATENATE(MONTH(CompilDonnées[[#This Row],[HarvestingDate]])," ", YEAR(CompilDonnées[[#This Row],[HarvestingDate]]))</f>
        <v>3 2025</v>
      </c>
      <c r="N1161">
        <f>_xlfn.NUMBERVALUE(CompilDonnées[[#This Row],[FarmID]]&amp;CompilDonnées[[#This Row],[ModuleNumber]]&amp;CompilDonnées[[#This Row],[PlantationDate]])</f>
        <v>5445689</v>
      </c>
      <c r="O1161" t="str">
        <f>CompilDonnées[[#This Row],[FarmID]]&amp;CompilDonnées[[#This Row],[ModuleNumber]]</f>
        <v>54</v>
      </c>
      <c r="P1161" t="str">
        <f>CompilDonnées[[#This Row],[Ref_Module]]&amp;CompilDonnées[[#This Row],[HarvestingDate]]</f>
        <v>5445726</v>
      </c>
    </row>
    <row r="1162" spans="1:16">
      <c r="A1162" s="5">
        <v>45689</v>
      </c>
      <c r="B1162">
        <v>3</v>
      </c>
      <c r="C1162" t="s">
        <v>116</v>
      </c>
      <c r="D1162">
        <v>2</v>
      </c>
      <c r="E1162">
        <v>100</v>
      </c>
      <c r="F1162" t="s">
        <v>1</v>
      </c>
      <c r="G1162" s="6">
        <v>45739</v>
      </c>
      <c r="H1162">
        <v>50</v>
      </c>
      <c r="I1162">
        <f>ROUND(CompilDonnées[[#This Row],[CultureDuration_days]]/7,0)</f>
        <v>7</v>
      </c>
      <c r="J1162">
        <v>3309</v>
      </c>
      <c r="K1162" t="str">
        <f>_xlfn.CONCAT(WEEKNUM(CompilDonnées[[#This Row],[PlantationDate]]), " ", YEAR(CompilDonnées[[#This Row],[PlantationDate]]))</f>
        <v>5 2025</v>
      </c>
      <c r="L1162" t="str">
        <f>CONCATENATE(MONTH(CompilDonnées[[#This Row],[PlantationDate]])," ", YEAR(CompilDonnées[[#This Row],[PlantationDate]]))</f>
        <v>2 2025</v>
      </c>
      <c r="M1162" t="str">
        <f>CONCATENATE(MONTH(CompilDonnées[[#This Row],[HarvestingDate]])," ", YEAR(CompilDonnées[[#This Row],[HarvestingDate]]))</f>
        <v>3 2025</v>
      </c>
      <c r="N1162">
        <f>_xlfn.NUMBERVALUE(CompilDonnées[[#This Row],[FarmID]]&amp;CompilDonnées[[#This Row],[ModuleNumber]]&amp;CompilDonnées[[#This Row],[PlantationDate]])</f>
        <v>3245689</v>
      </c>
      <c r="O1162" t="str">
        <f>CompilDonnées[[#This Row],[FarmID]]&amp;CompilDonnées[[#This Row],[ModuleNumber]]</f>
        <v>32</v>
      </c>
      <c r="P1162" t="str">
        <f>CompilDonnées[[#This Row],[Ref_Module]]&amp;CompilDonnées[[#This Row],[HarvestingDate]]</f>
        <v>3245739</v>
      </c>
    </row>
    <row r="1163" spans="1:16">
      <c r="A1163" s="5">
        <v>45689</v>
      </c>
      <c r="B1163">
        <v>13</v>
      </c>
      <c r="C1163" t="s">
        <v>114</v>
      </c>
      <c r="D1163">
        <v>2</v>
      </c>
      <c r="E1163">
        <v>100</v>
      </c>
      <c r="F1163" t="s">
        <v>1</v>
      </c>
      <c r="G1163" s="6">
        <v>45726</v>
      </c>
      <c r="H1163">
        <v>37</v>
      </c>
      <c r="I1163">
        <f>ROUND(CompilDonnées[[#This Row],[CultureDuration_days]]/7,0)</f>
        <v>5</v>
      </c>
      <c r="J1163">
        <v>3127</v>
      </c>
      <c r="K1163" t="str">
        <f>_xlfn.CONCAT(WEEKNUM(CompilDonnées[[#This Row],[PlantationDate]]), " ", YEAR(CompilDonnées[[#This Row],[PlantationDate]]))</f>
        <v>5 2025</v>
      </c>
      <c r="L1163" t="str">
        <f>CONCATENATE(MONTH(CompilDonnées[[#This Row],[PlantationDate]])," ", YEAR(CompilDonnées[[#This Row],[PlantationDate]]))</f>
        <v>2 2025</v>
      </c>
      <c r="M1163" t="str">
        <f>CONCATENATE(MONTH(CompilDonnées[[#This Row],[HarvestingDate]])," ", YEAR(CompilDonnées[[#This Row],[HarvestingDate]]))</f>
        <v>3 2025</v>
      </c>
      <c r="N1163">
        <f>_xlfn.NUMBERVALUE(CompilDonnées[[#This Row],[FarmID]]&amp;CompilDonnées[[#This Row],[ModuleNumber]]&amp;CompilDonnées[[#This Row],[PlantationDate]])</f>
        <v>13245689</v>
      </c>
      <c r="O1163" t="str">
        <f>CompilDonnées[[#This Row],[FarmID]]&amp;CompilDonnées[[#This Row],[ModuleNumber]]</f>
        <v>132</v>
      </c>
      <c r="P1163" t="str">
        <f>CompilDonnées[[#This Row],[Ref_Module]]&amp;CompilDonnées[[#This Row],[HarvestingDate]]</f>
        <v>13245726</v>
      </c>
    </row>
    <row r="1164" spans="1:16">
      <c r="A1164" s="5">
        <v>45689</v>
      </c>
      <c r="B1164">
        <v>27</v>
      </c>
      <c r="C1164" t="s">
        <v>88</v>
      </c>
      <c r="D1164">
        <v>5</v>
      </c>
      <c r="E1164">
        <v>100</v>
      </c>
      <c r="F1164" t="s">
        <v>1</v>
      </c>
      <c r="G1164" s="6">
        <v>45741</v>
      </c>
      <c r="H1164">
        <v>52</v>
      </c>
      <c r="I1164">
        <f>ROUND(CompilDonnées[[#This Row],[CultureDuration_days]]/7,0)</f>
        <v>7</v>
      </c>
      <c r="J1164">
        <v>3429</v>
      </c>
      <c r="K1164" t="str">
        <f>_xlfn.CONCAT(WEEKNUM(CompilDonnées[[#This Row],[PlantationDate]]), " ", YEAR(CompilDonnées[[#This Row],[PlantationDate]]))</f>
        <v>5 2025</v>
      </c>
      <c r="L1164" t="str">
        <f>CONCATENATE(MONTH(CompilDonnées[[#This Row],[PlantationDate]])," ", YEAR(CompilDonnées[[#This Row],[PlantationDate]]))</f>
        <v>2 2025</v>
      </c>
      <c r="M1164" t="str">
        <f>CONCATENATE(MONTH(CompilDonnées[[#This Row],[HarvestingDate]])," ", YEAR(CompilDonnées[[#This Row],[HarvestingDate]]))</f>
        <v>3 2025</v>
      </c>
      <c r="N1164">
        <f>_xlfn.NUMBERVALUE(CompilDonnées[[#This Row],[FarmID]]&amp;CompilDonnées[[#This Row],[ModuleNumber]]&amp;CompilDonnées[[#This Row],[PlantationDate]])</f>
        <v>27545689</v>
      </c>
      <c r="O1164" t="str">
        <f>CompilDonnées[[#This Row],[FarmID]]&amp;CompilDonnées[[#This Row],[ModuleNumber]]</f>
        <v>275</v>
      </c>
      <c r="P1164" t="str">
        <f>CompilDonnées[[#This Row],[Ref_Module]]&amp;CompilDonnées[[#This Row],[HarvestingDate]]</f>
        <v>27545741</v>
      </c>
    </row>
    <row r="1165" spans="1:16">
      <c r="A1165" s="5">
        <v>45689</v>
      </c>
      <c r="B1165">
        <v>8</v>
      </c>
      <c r="C1165" t="s">
        <v>57</v>
      </c>
      <c r="D1165">
        <v>6</v>
      </c>
      <c r="E1165">
        <v>100</v>
      </c>
      <c r="F1165" t="s">
        <v>1</v>
      </c>
      <c r="G1165" s="6">
        <v>45740</v>
      </c>
      <c r="H1165">
        <v>51</v>
      </c>
      <c r="I1165">
        <f>ROUND(CompilDonnées[[#This Row],[CultureDuration_days]]/7,0)</f>
        <v>7</v>
      </c>
      <c r="J1165">
        <v>3901</v>
      </c>
      <c r="K1165" t="str">
        <f>_xlfn.CONCAT(WEEKNUM(CompilDonnées[[#This Row],[PlantationDate]]), " ", YEAR(CompilDonnées[[#This Row],[PlantationDate]]))</f>
        <v>5 2025</v>
      </c>
      <c r="L1165" t="str">
        <f>CONCATENATE(MONTH(CompilDonnées[[#This Row],[PlantationDate]])," ", YEAR(CompilDonnées[[#This Row],[PlantationDate]]))</f>
        <v>2 2025</v>
      </c>
      <c r="M1165" t="str">
        <f>CONCATENATE(MONTH(CompilDonnées[[#This Row],[HarvestingDate]])," ", YEAR(CompilDonnées[[#This Row],[HarvestingDate]]))</f>
        <v>3 2025</v>
      </c>
      <c r="N1165">
        <f>_xlfn.NUMBERVALUE(CompilDonnées[[#This Row],[FarmID]]&amp;CompilDonnées[[#This Row],[ModuleNumber]]&amp;CompilDonnées[[#This Row],[PlantationDate]])</f>
        <v>8645689</v>
      </c>
      <c r="O1165" t="str">
        <f>CompilDonnées[[#This Row],[FarmID]]&amp;CompilDonnées[[#This Row],[ModuleNumber]]</f>
        <v>86</v>
      </c>
      <c r="P1165" t="str">
        <f>CompilDonnées[[#This Row],[Ref_Module]]&amp;CompilDonnées[[#This Row],[HarvestingDate]]</f>
        <v>8645740</v>
      </c>
    </row>
    <row r="1166" spans="1:16">
      <c r="A1166" s="5">
        <v>45689</v>
      </c>
      <c r="B1166">
        <v>19</v>
      </c>
      <c r="C1166" t="s">
        <v>108</v>
      </c>
      <c r="D1166">
        <v>6</v>
      </c>
      <c r="E1166">
        <v>100</v>
      </c>
      <c r="F1166" t="s">
        <v>1</v>
      </c>
      <c r="G1166" s="6">
        <v>45740</v>
      </c>
      <c r="H1166">
        <v>51</v>
      </c>
      <c r="I1166">
        <f>ROUND(CompilDonnées[[#This Row],[CultureDuration_days]]/7,0)</f>
        <v>7</v>
      </c>
      <c r="J1166">
        <v>4459</v>
      </c>
      <c r="K1166" t="str">
        <f>_xlfn.CONCAT(WEEKNUM(CompilDonnées[[#This Row],[PlantationDate]]), " ", YEAR(CompilDonnées[[#This Row],[PlantationDate]]))</f>
        <v>5 2025</v>
      </c>
      <c r="L1166" t="str">
        <f>CONCATENATE(MONTH(CompilDonnées[[#This Row],[PlantationDate]])," ", YEAR(CompilDonnées[[#This Row],[PlantationDate]]))</f>
        <v>2 2025</v>
      </c>
      <c r="M1166" t="str">
        <f>CONCATENATE(MONTH(CompilDonnées[[#This Row],[HarvestingDate]])," ", YEAR(CompilDonnées[[#This Row],[HarvestingDate]]))</f>
        <v>3 2025</v>
      </c>
      <c r="N1166">
        <f>_xlfn.NUMBERVALUE(CompilDonnées[[#This Row],[FarmID]]&amp;CompilDonnées[[#This Row],[ModuleNumber]]&amp;CompilDonnées[[#This Row],[PlantationDate]])</f>
        <v>19645689</v>
      </c>
      <c r="O1166" t="str">
        <f>CompilDonnées[[#This Row],[FarmID]]&amp;CompilDonnées[[#This Row],[ModuleNumber]]</f>
        <v>196</v>
      </c>
      <c r="P1166" t="str">
        <f>CompilDonnées[[#This Row],[Ref_Module]]&amp;CompilDonnées[[#This Row],[HarvestingDate]]</f>
        <v>19645740</v>
      </c>
    </row>
    <row r="1167" spans="1:16">
      <c r="A1167" s="5">
        <v>45689</v>
      </c>
      <c r="B1167">
        <v>49</v>
      </c>
      <c r="C1167" t="s">
        <v>110</v>
      </c>
      <c r="D1167">
        <v>1</v>
      </c>
      <c r="E1167">
        <v>100</v>
      </c>
      <c r="F1167" t="s">
        <v>1</v>
      </c>
      <c r="G1167" s="6">
        <v>45742</v>
      </c>
      <c r="H1167">
        <v>53</v>
      </c>
      <c r="I1167">
        <f>ROUND(CompilDonnées[[#This Row],[CultureDuration_days]]/7,0)</f>
        <v>8</v>
      </c>
      <c r="J1167">
        <v>4098</v>
      </c>
      <c r="K1167" t="str">
        <f>_xlfn.CONCAT(WEEKNUM(CompilDonnées[[#This Row],[PlantationDate]]), " ", YEAR(CompilDonnées[[#This Row],[PlantationDate]]))</f>
        <v>5 2025</v>
      </c>
      <c r="L1167" t="str">
        <f>CONCATENATE(MONTH(CompilDonnées[[#This Row],[PlantationDate]])," ", YEAR(CompilDonnées[[#This Row],[PlantationDate]]))</f>
        <v>2 2025</v>
      </c>
      <c r="M1167" t="str">
        <f>CONCATENATE(MONTH(CompilDonnées[[#This Row],[HarvestingDate]])," ", YEAR(CompilDonnées[[#This Row],[HarvestingDate]]))</f>
        <v>3 2025</v>
      </c>
      <c r="N1167">
        <f>_xlfn.NUMBERVALUE(CompilDonnées[[#This Row],[FarmID]]&amp;CompilDonnées[[#This Row],[ModuleNumber]]&amp;CompilDonnées[[#This Row],[PlantationDate]])</f>
        <v>49145689</v>
      </c>
      <c r="O1167" t="str">
        <f>CompilDonnées[[#This Row],[FarmID]]&amp;CompilDonnées[[#This Row],[ModuleNumber]]</f>
        <v>491</v>
      </c>
      <c r="P1167" t="str">
        <f>CompilDonnées[[#This Row],[Ref_Module]]&amp;CompilDonnées[[#This Row],[HarvestingDate]]</f>
        <v>49145742</v>
      </c>
    </row>
    <row r="1168" spans="1:16">
      <c r="A1168" s="5">
        <v>45689</v>
      </c>
      <c r="B1168">
        <v>48</v>
      </c>
      <c r="C1168" t="s">
        <v>71</v>
      </c>
      <c r="D1168">
        <v>4</v>
      </c>
      <c r="E1168">
        <v>100</v>
      </c>
      <c r="F1168" t="s">
        <v>1</v>
      </c>
      <c r="G1168" s="6">
        <v>45738</v>
      </c>
      <c r="H1168">
        <v>49</v>
      </c>
      <c r="I1168">
        <f>ROUND(CompilDonnées[[#This Row],[CultureDuration_days]]/7,0)</f>
        <v>7</v>
      </c>
      <c r="J1168">
        <v>3297</v>
      </c>
      <c r="K1168" t="str">
        <f>_xlfn.CONCAT(WEEKNUM(CompilDonnées[[#This Row],[PlantationDate]]), " ", YEAR(CompilDonnées[[#This Row],[PlantationDate]]))</f>
        <v>5 2025</v>
      </c>
      <c r="L1168" t="str">
        <f>CONCATENATE(MONTH(CompilDonnées[[#This Row],[PlantationDate]])," ", YEAR(CompilDonnées[[#This Row],[PlantationDate]]))</f>
        <v>2 2025</v>
      </c>
      <c r="M1168" t="str">
        <f>CONCATENATE(MONTH(CompilDonnées[[#This Row],[HarvestingDate]])," ", YEAR(CompilDonnées[[#This Row],[HarvestingDate]]))</f>
        <v>3 2025</v>
      </c>
      <c r="N1168">
        <f>_xlfn.NUMBERVALUE(CompilDonnées[[#This Row],[FarmID]]&amp;CompilDonnées[[#This Row],[ModuleNumber]]&amp;CompilDonnées[[#This Row],[PlantationDate]])</f>
        <v>48445689</v>
      </c>
      <c r="O1168" t="str">
        <f>CompilDonnées[[#This Row],[FarmID]]&amp;CompilDonnées[[#This Row],[ModuleNumber]]</f>
        <v>484</v>
      </c>
      <c r="P1168" t="str">
        <f>CompilDonnées[[#This Row],[Ref_Module]]&amp;CompilDonnées[[#This Row],[HarvestingDate]]</f>
        <v>48445738</v>
      </c>
    </row>
    <row r="1169" spans="1:16">
      <c r="A1169" s="5">
        <v>45689</v>
      </c>
      <c r="B1169">
        <v>58</v>
      </c>
      <c r="C1169" t="s">
        <v>35</v>
      </c>
      <c r="D1169">
        <v>6</v>
      </c>
      <c r="E1169">
        <v>100</v>
      </c>
      <c r="F1169" t="s">
        <v>1</v>
      </c>
      <c r="G1169" s="6">
        <v>45727</v>
      </c>
      <c r="H1169">
        <v>38</v>
      </c>
      <c r="I1169">
        <f>ROUND(CompilDonnées[[#This Row],[CultureDuration_days]]/7,0)</f>
        <v>5</v>
      </c>
      <c r="J1169">
        <v>3054</v>
      </c>
      <c r="K1169" t="str">
        <f>_xlfn.CONCAT(WEEKNUM(CompilDonnées[[#This Row],[PlantationDate]]), " ", YEAR(CompilDonnées[[#This Row],[PlantationDate]]))</f>
        <v>5 2025</v>
      </c>
      <c r="L1169" t="str">
        <f>CONCATENATE(MONTH(CompilDonnées[[#This Row],[PlantationDate]])," ", YEAR(CompilDonnées[[#This Row],[PlantationDate]]))</f>
        <v>2 2025</v>
      </c>
      <c r="M1169" t="str">
        <f>CONCATENATE(MONTH(CompilDonnées[[#This Row],[HarvestingDate]])," ", YEAR(CompilDonnées[[#This Row],[HarvestingDate]]))</f>
        <v>3 2025</v>
      </c>
      <c r="N1169">
        <f>_xlfn.NUMBERVALUE(CompilDonnées[[#This Row],[FarmID]]&amp;CompilDonnées[[#This Row],[ModuleNumber]]&amp;CompilDonnées[[#This Row],[PlantationDate]])</f>
        <v>58645689</v>
      </c>
      <c r="O1169" t="str">
        <f>CompilDonnées[[#This Row],[FarmID]]&amp;CompilDonnées[[#This Row],[ModuleNumber]]</f>
        <v>586</v>
      </c>
      <c r="P1169" t="str">
        <f>CompilDonnées[[#This Row],[Ref_Module]]&amp;CompilDonnées[[#This Row],[HarvestingDate]]</f>
        <v>58645727</v>
      </c>
    </row>
    <row r="1170" spans="1:16">
      <c r="A1170" s="5">
        <v>45689</v>
      </c>
      <c r="B1170">
        <v>82</v>
      </c>
      <c r="C1170" t="s">
        <v>17</v>
      </c>
      <c r="D1170">
        <v>5</v>
      </c>
      <c r="E1170">
        <v>100</v>
      </c>
      <c r="F1170" t="s">
        <v>1</v>
      </c>
      <c r="G1170" s="6">
        <v>45736</v>
      </c>
      <c r="H1170">
        <v>47</v>
      </c>
      <c r="I1170">
        <f>ROUND(CompilDonnées[[#This Row],[CultureDuration_days]]/7,0)</f>
        <v>7</v>
      </c>
      <c r="J1170">
        <v>2431</v>
      </c>
      <c r="K1170" t="str">
        <f>_xlfn.CONCAT(WEEKNUM(CompilDonnées[[#This Row],[PlantationDate]]), " ", YEAR(CompilDonnées[[#This Row],[PlantationDate]]))</f>
        <v>5 2025</v>
      </c>
      <c r="L1170" t="str">
        <f>CONCATENATE(MONTH(CompilDonnées[[#This Row],[PlantationDate]])," ", YEAR(CompilDonnées[[#This Row],[PlantationDate]]))</f>
        <v>2 2025</v>
      </c>
      <c r="M1170" t="str">
        <f>CONCATENATE(MONTH(CompilDonnées[[#This Row],[HarvestingDate]])," ", YEAR(CompilDonnées[[#This Row],[HarvestingDate]]))</f>
        <v>3 2025</v>
      </c>
      <c r="N1170">
        <f>_xlfn.NUMBERVALUE(CompilDonnées[[#This Row],[FarmID]]&amp;CompilDonnées[[#This Row],[ModuleNumber]]&amp;CompilDonnées[[#This Row],[PlantationDate]])</f>
        <v>82545689</v>
      </c>
      <c r="O1170" t="str">
        <f>CompilDonnées[[#This Row],[FarmID]]&amp;CompilDonnées[[#This Row],[ModuleNumber]]</f>
        <v>825</v>
      </c>
      <c r="P1170" t="str">
        <f>CompilDonnées[[#This Row],[Ref_Module]]&amp;CompilDonnées[[#This Row],[HarvestingDate]]</f>
        <v>82545736</v>
      </c>
    </row>
    <row r="1171" spans="1:16">
      <c r="A1171" s="5">
        <v>45689</v>
      </c>
      <c r="B1171">
        <v>73</v>
      </c>
      <c r="C1171" t="s">
        <v>20</v>
      </c>
      <c r="D1171">
        <v>6</v>
      </c>
      <c r="E1171">
        <v>100</v>
      </c>
      <c r="F1171" t="s">
        <v>1</v>
      </c>
      <c r="G1171" s="6">
        <v>45737</v>
      </c>
      <c r="H1171">
        <v>48</v>
      </c>
      <c r="I1171">
        <f>ROUND(CompilDonnées[[#This Row],[CultureDuration_days]]/7,0)</f>
        <v>7</v>
      </c>
      <c r="J1171">
        <v>2640</v>
      </c>
      <c r="K1171" t="str">
        <f>_xlfn.CONCAT(WEEKNUM(CompilDonnées[[#This Row],[PlantationDate]]), " ", YEAR(CompilDonnées[[#This Row],[PlantationDate]]))</f>
        <v>5 2025</v>
      </c>
      <c r="L1171" t="str">
        <f>CONCATENATE(MONTH(CompilDonnées[[#This Row],[PlantationDate]])," ", YEAR(CompilDonnées[[#This Row],[PlantationDate]]))</f>
        <v>2 2025</v>
      </c>
      <c r="M1171" t="str">
        <f>CONCATENATE(MONTH(CompilDonnées[[#This Row],[HarvestingDate]])," ", YEAR(CompilDonnées[[#This Row],[HarvestingDate]]))</f>
        <v>3 2025</v>
      </c>
      <c r="N1171">
        <f>_xlfn.NUMBERVALUE(CompilDonnées[[#This Row],[FarmID]]&amp;CompilDonnées[[#This Row],[ModuleNumber]]&amp;CompilDonnées[[#This Row],[PlantationDate]])</f>
        <v>73645689</v>
      </c>
      <c r="O1171" t="str">
        <f>CompilDonnées[[#This Row],[FarmID]]&amp;CompilDonnées[[#This Row],[ModuleNumber]]</f>
        <v>736</v>
      </c>
      <c r="P1171" t="str">
        <f>CompilDonnées[[#This Row],[Ref_Module]]&amp;CompilDonnées[[#This Row],[HarvestingDate]]</f>
        <v>73645737</v>
      </c>
    </row>
    <row r="1172" spans="1:16">
      <c r="A1172" s="5">
        <v>45689</v>
      </c>
      <c r="B1172">
        <v>139</v>
      </c>
      <c r="C1172" t="s">
        <v>103</v>
      </c>
      <c r="D1172">
        <v>3</v>
      </c>
      <c r="E1172">
        <v>100</v>
      </c>
      <c r="F1172" t="s">
        <v>1</v>
      </c>
      <c r="G1172" s="6">
        <v>45733</v>
      </c>
      <c r="H1172">
        <v>44</v>
      </c>
      <c r="I1172">
        <f>ROUND(CompilDonnées[[#This Row],[CultureDuration_days]]/7,0)</f>
        <v>6</v>
      </c>
      <c r="J1172">
        <v>3290</v>
      </c>
      <c r="K1172" t="str">
        <f>_xlfn.CONCAT(WEEKNUM(CompilDonnées[[#This Row],[PlantationDate]]), " ", YEAR(CompilDonnées[[#This Row],[PlantationDate]]))</f>
        <v>5 2025</v>
      </c>
      <c r="L1172" t="str">
        <f>CONCATENATE(MONTH(CompilDonnées[[#This Row],[PlantationDate]])," ", YEAR(CompilDonnées[[#This Row],[PlantationDate]]))</f>
        <v>2 2025</v>
      </c>
      <c r="M1172" t="str">
        <f>CONCATENATE(MONTH(CompilDonnées[[#This Row],[HarvestingDate]])," ", YEAR(CompilDonnées[[#This Row],[HarvestingDate]]))</f>
        <v>3 2025</v>
      </c>
      <c r="N1172">
        <f>_xlfn.NUMBERVALUE(CompilDonnées[[#This Row],[FarmID]]&amp;CompilDonnées[[#This Row],[ModuleNumber]]&amp;CompilDonnées[[#This Row],[PlantationDate]])</f>
        <v>139345689</v>
      </c>
      <c r="O1172" t="str">
        <f>CompilDonnées[[#This Row],[FarmID]]&amp;CompilDonnées[[#This Row],[ModuleNumber]]</f>
        <v>1393</v>
      </c>
      <c r="P1172" t="str">
        <f>CompilDonnées[[#This Row],[Ref_Module]]&amp;CompilDonnées[[#This Row],[HarvestingDate]]</f>
        <v>139345733</v>
      </c>
    </row>
    <row r="1173" spans="1:16">
      <c r="A1173" s="5">
        <v>45689</v>
      </c>
      <c r="B1173">
        <v>120</v>
      </c>
      <c r="C1173" t="s">
        <v>100</v>
      </c>
      <c r="D1173">
        <v>1</v>
      </c>
      <c r="E1173">
        <v>100</v>
      </c>
      <c r="F1173" t="s">
        <v>1</v>
      </c>
      <c r="G1173" s="6">
        <v>45730</v>
      </c>
      <c r="H1173">
        <v>41</v>
      </c>
      <c r="I1173">
        <f>ROUND(CompilDonnées[[#This Row],[CultureDuration_days]]/7,0)</f>
        <v>6</v>
      </c>
      <c r="J1173">
        <v>3577</v>
      </c>
      <c r="K1173" t="str">
        <f>_xlfn.CONCAT(WEEKNUM(CompilDonnées[[#This Row],[PlantationDate]]), " ", YEAR(CompilDonnées[[#This Row],[PlantationDate]]))</f>
        <v>5 2025</v>
      </c>
      <c r="L1173" t="str">
        <f>CONCATENATE(MONTH(CompilDonnées[[#This Row],[PlantationDate]])," ", YEAR(CompilDonnées[[#This Row],[PlantationDate]]))</f>
        <v>2 2025</v>
      </c>
      <c r="M1173" t="str">
        <f>CONCATENATE(MONTH(CompilDonnées[[#This Row],[HarvestingDate]])," ", YEAR(CompilDonnées[[#This Row],[HarvestingDate]]))</f>
        <v>3 2025</v>
      </c>
      <c r="N1173">
        <f>_xlfn.NUMBERVALUE(CompilDonnées[[#This Row],[FarmID]]&amp;CompilDonnées[[#This Row],[ModuleNumber]]&amp;CompilDonnées[[#This Row],[PlantationDate]])</f>
        <v>120145689</v>
      </c>
      <c r="O1173" t="str">
        <f>CompilDonnées[[#This Row],[FarmID]]&amp;CompilDonnées[[#This Row],[ModuleNumber]]</f>
        <v>1201</v>
      </c>
      <c r="P1173" t="str">
        <f>CompilDonnées[[#This Row],[Ref_Module]]&amp;CompilDonnées[[#This Row],[HarvestingDate]]</f>
        <v>120145730</v>
      </c>
    </row>
    <row r="1174" spans="1:16">
      <c r="A1174" s="5">
        <v>45690</v>
      </c>
      <c r="B1174">
        <v>10</v>
      </c>
      <c r="C1174" t="s">
        <v>109</v>
      </c>
      <c r="D1174">
        <v>1</v>
      </c>
      <c r="E1174">
        <v>100</v>
      </c>
      <c r="F1174" t="s">
        <v>1</v>
      </c>
      <c r="G1174" s="6">
        <v>45739</v>
      </c>
      <c r="H1174">
        <v>49</v>
      </c>
      <c r="I1174">
        <f>ROUND(CompilDonnées[[#This Row],[CultureDuration_days]]/7,0)</f>
        <v>7</v>
      </c>
      <c r="J1174">
        <v>3700</v>
      </c>
      <c r="K1174" t="str">
        <f>_xlfn.CONCAT(WEEKNUM(CompilDonnées[[#This Row],[PlantationDate]]), " ", YEAR(CompilDonnées[[#This Row],[PlantationDate]]))</f>
        <v>6 2025</v>
      </c>
      <c r="L1174" t="str">
        <f>CONCATENATE(MONTH(CompilDonnées[[#This Row],[PlantationDate]])," ", YEAR(CompilDonnées[[#This Row],[PlantationDate]]))</f>
        <v>2 2025</v>
      </c>
      <c r="M1174" t="str">
        <f>CONCATENATE(MONTH(CompilDonnées[[#This Row],[HarvestingDate]])," ", YEAR(CompilDonnées[[#This Row],[HarvestingDate]]))</f>
        <v>3 2025</v>
      </c>
      <c r="N1174">
        <f>_xlfn.NUMBERVALUE(CompilDonnées[[#This Row],[FarmID]]&amp;CompilDonnées[[#This Row],[ModuleNumber]]&amp;CompilDonnées[[#This Row],[PlantationDate]])</f>
        <v>10145690</v>
      </c>
      <c r="O1174" t="str">
        <f>CompilDonnées[[#This Row],[FarmID]]&amp;CompilDonnées[[#This Row],[ModuleNumber]]</f>
        <v>101</v>
      </c>
      <c r="P1174" t="str">
        <f>CompilDonnées[[#This Row],[Ref_Module]]&amp;CompilDonnées[[#This Row],[HarvestingDate]]</f>
        <v>10145739</v>
      </c>
    </row>
    <row r="1175" spans="1:16">
      <c r="A1175" s="5">
        <v>45690</v>
      </c>
      <c r="B1175">
        <v>13</v>
      </c>
      <c r="C1175" t="s">
        <v>114</v>
      </c>
      <c r="D1175">
        <v>3</v>
      </c>
      <c r="E1175">
        <v>100</v>
      </c>
      <c r="F1175" t="s">
        <v>1</v>
      </c>
      <c r="G1175" s="6">
        <v>45739</v>
      </c>
      <c r="H1175">
        <v>49</v>
      </c>
      <c r="I1175">
        <f>ROUND(CompilDonnées[[#This Row],[CultureDuration_days]]/7,0)</f>
        <v>7</v>
      </c>
      <c r="J1175">
        <v>4436</v>
      </c>
      <c r="K1175" t="str">
        <f>_xlfn.CONCAT(WEEKNUM(CompilDonnées[[#This Row],[PlantationDate]]), " ", YEAR(CompilDonnées[[#This Row],[PlantationDate]]))</f>
        <v>6 2025</v>
      </c>
      <c r="L1175" t="str">
        <f>CONCATENATE(MONTH(CompilDonnées[[#This Row],[PlantationDate]])," ", YEAR(CompilDonnées[[#This Row],[PlantationDate]]))</f>
        <v>2 2025</v>
      </c>
      <c r="M1175" t="str">
        <f>CONCATENATE(MONTH(CompilDonnées[[#This Row],[HarvestingDate]])," ", YEAR(CompilDonnées[[#This Row],[HarvestingDate]]))</f>
        <v>3 2025</v>
      </c>
      <c r="N1175">
        <f>_xlfn.NUMBERVALUE(CompilDonnées[[#This Row],[FarmID]]&amp;CompilDonnées[[#This Row],[ModuleNumber]]&amp;CompilDonnées[[#This Row],[PlantationDate]])</f>
        <v>13345690</v>
      </c>
      <c r="O1175" t="str">
        <f>CompilDonnées[[#This Row],[FarmID]]&amp;CompilDonnées[[#This Row],[ModuleNumber]]</f>
        <v>133</v>
      </c>
      <c r="P1175" t="str">
        <f>CompilDonnées[[#This Row],[Ref_Module]]&amp;CompilDonnées[[#This Row],[HarvestingDate]]</f>
        <v>13345739</v>
      </c>
    </row>
    <row r="1176" spans="1:16">
      <c r="A1176" s="5">
        <v>45690</v>
      </c>
      <c r="B1176">
        <v>8</v>
      </c>
      <c r="C1176" t="s">
        <v>57</v>
      </c>
      <c r="D1176">
        <v>5</v>
      </c>
      <c r="E1176">
        <v>100</v>
      </c>
      <c r="F1176" t="s">
        <v>1</v>
      </c>
      <c r="G1176" s="6">
        <v>45739</v>
      </c>
      <c r="H1176">
        <v>49</v>
      </c>
      <c r="I1176">
        <f>ROUND(CompilDonnées[[#This Row],[CultureDuration_days]]/7,0)</f>
        <v>7</v>
      </c>
      <c r="J1176">
        <v>3613</v>
      </c>
      <c r="K1176" t="str">
        <f>_xlfn.CONCAT(WEEKNUM(CompilDonnées[[#This Row],[PlantationDate]]), " ", YEAR(CompilDonnées[[#This Row],[PlantationDate]]))</f>
        <v>6 2025</v>
      </c>
      <c r="L1176" t="str">
        <f>CONCATENATE(MONTH(CompilDonnées[[#This Row],[PlantationDate]])," ", YEAR(CompilDonnées[[#This Row],[PlantationDate]]))</f>
        <v>2 2025</v>
      </c>
      <c r="M1176" t="str">
        <f>CONCATENATE(MONTH(CompilDonnées[[#This Row],[HarvestingDate]])," ", YEAR(CompilDonnées[[#This Row],[HarvestingDate]]))</f>
        <v>3 2025</v>
      </c>
      <c r="N1176">
        <f>_xlfn.NUMBERVALUE(CompilDonnées[[#This Row],[FarmID]]&amp;CompilDonnées[[#This Row],[ModuleNumber]]&amp;CompilDonnées[[#This Row],[PlantationDate]])</f>
        <v>8545690</v>
      </c>
      <c r="O1176" t="str">
        <f>CompilDonnées[[#This Row],[FarmID]]&amp;CompilDonnées[[#This Row],[ModuleNumber]]</f>
        <v>85</v>
      </c>
      <c r="P1176" t="str">
        <f>CompilDonnées[[#This Row],[Ref_Module]]&amp;CompilDonnées[[#This Row],[HarvestingDate]]</f>
        <v>8545739</v>
      </c>
    </row>
    <row r="1177" spans="1:16">
      <c r="A1177" s="5">
        <v>45690</v>
      </c>
      <c r="B1177">
        <v>27</v>
      </c>
      <c r="C1177" t="s">
        <v>88</v>
      </c>
      <c r="D1177">
        <v>6</v>
      </c>
      <c r="E1177">
        <v>100</v>
      </c>
      <c r="F1177" t="s">
        <v>1</v>
      </c>
      <c r="G1177" s="6">
        <v>45741</v>
      </c>
      <c r="H1177">
        <v>51</v>
      </c>
      <c r="I1177">
        <f>ROUND(CompilDonnées[[#This Row],[CultureDuration_days]]/7,0)</f>
        <v>7</v>
      </c>
      <c r="J1177">
        <v>3440</v>
      </c>
      <c r="K1177" t="str">
        <f>_xlfn.CONCAT(WEEKNUM(CompilDonnées[[#This Row],[PlantationDate]]), " ", YEAR(CompilDonnées[[#This Row],[PlantationDate]]))</f>
        <v>6 2025</v>
      </c>
      <c r="L1177" t="str">
        <f>CONCATENATE(MONTH(CompilDonnées[[#This Row],[PlantationDate]])," ", YEAR(CompilDonnées[[#This Row],[PlantationDate]]))</f>
        <v>2 2025</v>
      </c>
      <c r="M1177" t="str">
        <f>CONCATENATE(MONTH(CompilDonnées[[#This Row],[HarvestingDate]])," ", YEAR(CompilDonnées[[#This Row],[HarvestingDate]]))</f>
        <v>3 2025</v>
      </c>
      <c r="N1177">
        <f>_xlfn.NUMBERVALUE(CompilDonnées[[#This Row],[FarmID]]&amp;CompilDonnées[[#This Row],[ModuleNumber]]&amp;CompilDonnées[[#This Row],[PlantationDate]])</f>
        <v>27645690</v>
      </c>
      <c r="O1177" t="str">
        <f>CompilDonnées[[#This Row],[FarmID]]&amp;CompilDonnées[[#This Row],[ModuleNumber]]</f>
        <v>276</v>
      </c>
      <c r="P1177" t="str">
        <f>CompilDonnées[[#This Row],[Ref_Module]]&amp;CompilDonnées[[#This Row],[HarvestingDate]]</f>
        <v>27645741</v>
      </c>
    </row>
    <row r="1178" spans="1:16">
      <c r="A1178" s="5">
        <v>45690</v>
      </c>
      <c r="B1178">
        <v>58</v>
      </c>
      <c r="C1178" t="s">
        <v>35</v>
      </c>
      <c r="D1178">
        <v>2</v>
      </c>
      <c r="E1178">
        <v>100</v>
      </c>
      <c r="F1178" t="s">
        <v>1</v>
      </c>
      <c r="G1178" s="6">
        <v>45737</v>
      </c>
      <c r="H1178">
        <v>47</v>
      </c>
      <c r="I1178">
        <f>ROUND(CompilDonnées[[#This Row],[CultureDuration_days]]/7,0)</f>
        <v>7</v>
      </c>
      <c r="J1178">
        <v>2553</v>
      </c>
      <c r="K1178" t="str">
        <f>_xlfn.CONCAT(WEEKNUM(CompilDonnées[[#This Row],[PlantationDate]]), " ", YEAR(CompilDonnées[[#This Row],[PlantationDate]]))</f>
        <v>6 2025</v>
      </c>
      <c r="L1178" t="str">
        <f>CONCATENATE(MONTH(CompilDonnées[[#This Row],[PlantationDate]])," ", YEAR(CompilDonnées[[#This Row],[PlantationDate]]))</f>
        <v>2 2025</v>
      </c>
      <c r="M1178" t="str">
        <f>CONCATENATE(MONTH(CompilDonnées[[#This Row],[HarvestingDate]])," ", YEAR(CompilDonnées[[#This Row],[HarvestingDate]]))</f>
        <v>3 2025</v>
      </c>
      <c r="N1178">
        <f>_xlfn.NUMBERVALUE(CompilDonnées[[#This Row],[FarmID]]&amp;CompilDonnées[[#This Row],[ModuleNumber]]&amp;CompilDonnées[[#This Row],[PlantationDate]])</f>
        <v>58245690</v>
      </c>
      <c r="O1178" t="str">
        <f>CompilDonnées[[#This Row],[FarmID]]&amp;CompilDonnées[[#This Row],[ModuleNumber]]</f>
        <v>582</v>
      </c>
      <c r="P1178" t="str">
        <f>CompilDonnées[[#This Row],[Ref_Module]]&amp;CompilDonnées[[#This Row],[HarvestingDate]]</f>
        <v>58245737</v>
      </c>
    </row>
    <row r="1179" spans="1:16">
      <c r="A1179" s="5">
        <v>45690</v>
      </c>
      <c r="B1179">
        <v>56</v>
      </c>
      <c r="C1179" t="s">
        <v>6</v>
      </c>
      <c r="D1179">
        <v>1</v>
      </c>
      <c r="E1179">
        <v>100</v>
      </c>
      <c r="F1179" t="s">
        <v>1</v>
      </c>
      <c r="G1179" s="6">
        <v>45737</v>
      </c>
      <c r="H1179">
        <v>47</v>
      </c>
      <c r="I1179">
        <f>ROUND(CompilDonnées[[#This Row],[CultureDuration_days]]/7,0)</f>
        <v>7</v>
      </c>
      <c r="J1179">
        <v>2844</v>
      </c>
      <c r="K1179" t="str">
        <f>_xlfn.CONCAT(WEEKNUM(CompilDonnées[[#This Row],[PlantationDate]]), " ", YEAR(CompilDonnées[[#This Row],[PlantationDate]]))</f>
        <v>6 2025</v>
      </c>
      <c r="L1179" t="str">
        <f>CONCATENATE(MONTH(CompilDonnées[[#This Row],[PlantationDate]])," ", YEAR(CompilDonnées[[#This Row],[PlantationDate]]))</f>
        <v>2 2025</v>
      </c>
      <c r="M1179" t="str">
        <f>CONCATENATE(MONTH(CompilDonnées[[#This Row],[HarvestingDate]])," ", YEAR(CompilDonnées[[#This Row],[HarvestingDate]]))</f>
        <v>3 2025</v>
      </c>
      <c r="N1179">
        <f>_xlfn.NUMBERVALUE(CompilDonnées[[#This Row],[FarmID]]&amp;CompilDonnées[[#This Row],[ModuleNumber]]&amp;CompilDonnées[[#This Row],[PlantationDate]])</f>
        <v>56145690</v>
      </c>
      <c r="O1179" t="str">
        <f>CompilDonnées[[#This Row],[FarmID]]&amp;CompilDonnées[[#This Row],[ModuleNumber]]</f>
        <v>561</v>
      </c>
      <c r="P1179" t="str">
        <f>CompilDonnées[[#This Row],[Ref_Module]]&amp;CompilDonnées[[#This Row],[HarvestingDate]]</f>
        <v>56145737</v>
      </c>
    </row>
    <row r="1180" spans="1:16">
      <c r="A1180" s="5">
        <v>45690</v>
      </c>
      <c r="B1180">
        <v>65</v>
      </c>
      <c r="C1180" t="s">
        <v>36</v>
      </c>
      <c r="D1180">
        <v>1</v>
      </c>
      <c r="E1180">
        <v>100</v>
      </c>
      <c r="F1180" t="s">
        <v>1</v>
      </c>
      <c r="G1180" s="6">
        <v>45737</v>
      </c>
      <c r="H1180">
        <v>47</v>
      </c>
      <c r="I1180">
        <f>ROUND(CompilDonnées[[#This Row],[CultureDuration_days]]/7,0)</f>
        <v>7</v>
      </c>
      <c r="J1180">
        <v>2580</v>
      </c>
      <c r="K1180" t="str">
        <f>_xlfn.CONCAT(WEEKNUM(CompilDonnées[[#This Row],[PlantationDate]]), " ", YEAR(CompilDonnées[[#This Row],[PlantationDate]]))</f>
        <v>6 2025</v>
      </c>
      <c r="L1180" t="str">
        <f>CONCATENATE(MONTH(CompilDonnées[[#This Row],[PlantationDate]])," ", YEAR(CompilDonnées[[#This Row],[PlantationDate]]))</f>
        <v>2 2025</v>
      </c>
      <c r="M1180" t="str">
        <f>CONCATENATE(MONTH(CompilDonnées[[#This Row],[HarvestingDate]])," ", YEAR(CompilDonnées[[#This Row],[HarvestingDate]]))</f>
        <v>3 2025</v>
      </c>
      <c r="N1180">
        <f>_xlfn.NUMBERVALUE(CompilDonnées[[#This Row],[FarmID]]&amp;CompilDonnées[[#This Row],[ModuleNumber]]&amp;CompilDonnées[[#This Row],[PlantationDate]])</f>
        <v>65145690</v>
      </c>
      <c r="O1180" t="str">
        <f>CompilDonnées[[#This Row],[FarmID]]&amp;CompilDonnées[[#This Row],[ModuleNumber]]</f>
        <v>651</v>
      </c>
      <c r="P1180" t="str">
        <f>CompilDonnées[[#This Row],[Ref_Module]]&amp;CompilDonnées[[#This Row],[HarvestingDate]]</f>
        <v>65145737</v>
      </c>
    </row>
    <row r="1181" spans="1:16">
      <c r="A1181" s="5">
        <v>45690</v>
      </c>
      <c r="B1181">
        <v>73</v>
      </c>
      <c r="C1181" t="s">
        <v>20</v>
      </c>
      <c r="D1181">
        <v>5</v>
      </c>
      <c r="E1181">
        <v>100</v>
      </c>
      <c r="F1181" t="s">
        <v>1</v>
      </c>
      <c r="G1181" s="6">
        <v>45737</v>
      </c>
      <c r="H1181">
        <v>47</v>
      </c>
      <c r="I1181">
        <f>ROUND(CompilDonnées[[#This Row],[CultureDuration_days]]/7,0)</f>
        <v>7</v>
      </c>
      <c r="J1181">
        <v>2530</v>
      </c>
      <c r="K1181" t="str">
        <f>_xlfn.CONCAT(WEEKNUM(CompilDonnées[[#This Row],[PlantationDate]]), " ", YEAR(CompilDonnées[[#This Row],[PlantationDate]]))</f>
        <v>6 2025</v>
      </c>
      <c r="L1181" t="str">
        <f>CONCATENATE(MONTH(CompilDonnées[[#This Row],[PlantationDate]])," ", YEAR(CompilDonnées[[#This Row],[PlantationDate]]))</f>
        <v>2 2025</v>
      </c>
      <c r="M1181" t="str">
        <f>CONCATENATE(MONTH(CompilDonnées[[#This Row],[HarvestingDate]])," ", YEAR(CompilDonnées[[#This Row],[HarvestingDate]]))</f>
        <v>3 2025</v>
      </c>
      <c r="N1181">
        <f>_xlfn.NUMBERVALUE(CompilDonnées[[#This Row],[FarmID]]&amp;CompilDonnées[[#This Row],[ModuleNumber]]&amp;CompilDonnées[[#This Row],[PlantationDate]])</f>
        <v>73545690</v>
      </c>
      <c r="O1181" t="str">
        <f>CompilDonnées[[#This Row],[FarmID]]&amp;CompilDonnées[[#This Row],[ModuleNumber]]</f>
        <v>735</v>
      </c>
      <c r="P1181" t="str">
        <f>CompilDonnées[[#This Row],[Ref_Module]]&amp;CompilDonnées[[#This Row],[HarvestingDate]]</f>
        <v>73545737</v>
      </c>
    </row>
    <row r="1182" spans="1:16">
      <c r="A1182" s="5">
        <v>45690</v>
      </c>
      <c r="B1182">
        <v>16</v>
      </c>
      <c r="C1182" t="s">
        <v>112</v>
      </c>
      <c r="D1182">
        <v>3</v>
      </c>
      <c r="E1182">
        <v>100</v>
      </c>
      <c r="F1182" t="s">
        <v>1</v>
      </c>
      <c r="G1182" s="6">
        <v>45741</v>
      </c>
      <c r="H1182">
        <v>51</v>
      </c>
      <c r="I1182">
        <f>ROUND(CompilDonnées[[#This Row],[CultureDuration_days]]/7,0)</f>
        <v>7</v>
      </c>
      <c r="J1182">
        <v>3324</v>
      </c>
      <c r="K1182" t="str">
        <f>_xlfn.CONCAT(WEEKNUM(CompilDonnées[[#This Row],[PlantationDate]]), " ", YEAR(CompilDonnées[[#This Row],[PlantationDate]]))</f>
        <v>6 2025</v>
      </c>
      <c r="L1182" t="str">
        <f>CONCATENATE(MONTH(CompilDonnées[[#This Row],[PlantationDate]])," ", YEAR(CompilDonnées[[#This Row],[PlantationDate]]))</f>
        <v>2 2025</v>
      </c>
      <c r="M1182" t="str">
        <f>CONCATENATE(MONTH(CompilDonnées[[#This Row],[HarvestingDate]])," ", YEAR(CompilDonnées[[#This Row],[HarvestingDate]]))</f>
        <v>3 2025</v>
      </c>
      <c r="N1182">
        <f>_xlfn.NUMBERVALUE(CompilDonnées[[#This Row],[FarmID]]&amp;CompilDonnées[[#This Row],[ModuleNumber]]&amp;CompilDonnées[[#This Row],[PlantationDate]])</f>
        <v>16345690</v>
      </c>
      <c r="O1182" t="str">
        <f>CompilDonnées[[#This Row],[FarmID]]&amp;CompilDonnées[[#This Row],[ModuleNumber]]</f>
        <v>163</v>
      </c>
      <c r="P1182" t="str">
        <f>CompilDonnées[[#This Row],[Ref_Module]]&amp;CompilDonnées[[#This Row],[HarvestingDate]]</f>
        <v>16345741</v>
      </c>
    </row>
    <row r="1183" spans="1:16">
      <c r="A1183" s="5">
        <v>45690</v>
      </c>
      <c r="B1183">
        <v>41</v>
      </c>
      <c r="C1183" t="s">
        <v>70</v>
      </c>
      <c r="D1183">
        <v>2</v>
      </c>
      <c r="E1183">
        <v>100</v>
      </c>
      <c r="F1183" t="s">
        <v>1</v>
      </c>
      <c r="G1183" s="6">
        <v>45737</v>
      </c>
      <c r="H1183">
        <v>47</v>
      </c>
      <c r="I1183">
        <f>ROUND(CompilDonnées[[#This Row],[CultureDuration_days]]/7,0)</f>
        <v>7</v>
      </c>
      <c r="J1183">
        <v>2629</v>
      </c>
      <c r="K1183" t="str">
        <f>_xlfn.CONCAT(WEEKNUM(CompilDonnées[[#This Row],[PlantationDate]]), " ", YEAR(CompilDonnées[[#This Row],[PlantationDate]]))</f>
        <v>6 2025</v>
      </c>
      <c r="L1183" t="str">
        <f>CONCATENATE(MONTH(CompilDonnées[[#This Row],[PlantationDate]])," ", YEAR(CompilDonnées[[#This Row],[PlantationDate]]))</f>
        <v>2 2025</v>
      </c>
      <c r="M1183" t="str">
        <f>CONCATENATE(MONTH(CompilDonnées[[#This Row],[HarvestingDate]])," ", YEAR(CompilDonnées[[#This Row],[HarvestingDate]]))</f>
        <v>3 2025</v>
      </c>
      <c r="N1183">
        <f>_xlfn.NUMBERVALUE(CompilDonnées[[#This Row],[FarmID]]&amp;CompilDonnées[[#This Row],[ModuleNumber]]&amp;CompilDonnées[[#This Row],[PlantationDate]])</f>
        <v>41245690</v>
      </c>
      <c r="O1183" t="str">
        <f>CompilDonnées[[#This Row],[FarmID]]&amp;CompilDonnées[[#This Row],[ModuleNumber]]</f>
        <v>412</v>
      </c>
      <c r="P1183" t="str">
        <f>CompilDonnées[[#This Row],[Ref_Module]]&amp;CompilDonnées[[#This Row],[HarvestingDate]]</f>
        <v>41245737</v>
      </c>
    </row>
    <row r="1184" spans="1:16">
      <c r="A1184" s="5">
        <v>45690</v>
      </c>
      <c r="B1184">
        <v>110</v>
      </c>
      <c r="C1184" t="s">
        <v>14</v>
      </c>
      <c r="D1184">
        <v>1</v>
      </c>
      <c r="E1184">
        <v>100</v>
      </c>
      <c r="F1184" t="s">
        <v>1</v>
      </c>
      <c r="G1184" s="6">
        <v>45733</v>
      </c>
      <c r="H1184">
        <v>43</v>
      </c>
      <c r="I1184">
        <f>ROUND(CompilDonnées[[#This Row],[CultureDuration_days]]/7,0)</f>
        <v>6</v>
      </c>
      <c r="J1184">
        <v>3355</v>
      </c>
      <c r="K1184" t="str">
        <f>_xlfn.CONCAT(WEEKNUM(CompilDonnées[[#This Row],[PlantationDate]]), " ", YEAR(CompilDonnées[[#This Row],[PlantationDate]]))</f>
        <v>6 2025</v>
      </c>
      <c r="L1184" t="str">
        <f>CONCATENATE(MONTH(CompilDonnées[[#This Row],[PlantationDate]])," ", YEAR(CompilDonnées[[#This Row],[PlantationDate]]))</f>
        <v>2 2025</v>
      </c>
      <c r="M1184" t="str">
        <f>CONCATENATE(MONTH(CompilDonnées[[#This Row],[HarvestingDate]])," ", YEAR(CompilDonnées[[#This Row],[HarvestingDate]]))</f>
        <v>3 2025</v>
      </c>
      <c r="N1184">
        <f>_xlfn.NUMBERVALUE(CompilDonnées[[#This Row],[FarmID]]&amp;CompilDonnées[[#This Row],[ModuleNumber]]&amp;CompilDonnées[[#This Row],[PlantationDate]])</f>
        <v>110145690</v>
      </c>
      <c r="O1184" t="str">
        <f>CompilDonnées[[#This Row],[FarmID]]&amp;CompilDonnées[[#This Row],[ModuleNumber]]</f>
        <v>1101</v>
      </c>
      <c r="P1184" t="str">
        <f>CompilDonnées[[#This Row],[Ref_Module]]&amp;CompilDonnées[[#This Row],[HarvestingDate]]</f>
        <v>110145733</v>
      </c>
    </row>
    <row r="1185" spans="1:16">
      <c r="A1185" s="5">
        <v>45690</v>
      </c>
      <c r="B1185">
        <v>117</v>
      </c>
      <c r="C1185" t="s">
        <v>11</v>
      </c>
      <c r="D1185">
        <v>3</v>
      </c>
      <c r="E1185">
        <v>100</v>
      </c>
      <c r="F1185" t="s">
        <v>1</v>
      </c>
      <c r="G1185" s="6">
        <v>45733</v>
      </c>
      <c r="H1185">
        <v>43</v>
      </c>
      <c r="I1185">
        <f>ROUND(CompilDonnées[[#This Row],[CultureDuration_days]]/7,0)</f>
        <v>6</v>
      </c>
      <c r="J1185">
        <v>3291</v>
      </c>
      <c r="K1185" t="str">
        <f>_xlfn.CONCAT(WEEKNUM(CompilDonnées[[#This Row],[PlantationDate]]), " ", YEAR(CompilDonnées[[#This Row],[PlantationDate]]))</f>
        <v>6 2025</v>
      </c>
      <c r="L1185" t="str">
        <f>CONCATENATE(MONTH(CompilDonnées[[#This Row],[PlantationDate]])," ", YEAR(CompilDonnées[[#This Row],[PlantationDate]]))</f>
        <v>2 2025</v>
      </c>
      <c r="M1185" t="str">
        <f>CONCATENATE(MONTH(CompilDonnées[[#This Row],[HarvestingDate]])," ", YEAR(CompilDonnées[[#This Row],[HarvestingDate]]))</f>
        <v>3 2025</v>
      </c>
      <c r="N1185">
        <f>_xlfn.NUMBERVALUE(CompilDonnées[[#This Row],[FarmID]]&amp;CompilDonnées[[#This Row],[ModuleNumber]]&amp;CompilDonnées[[#This Row],[PlantationDate]])</f>
        <v>117345690</v>
      </c>
      <c r="O1185" t="str">
        <f>CompilDonnées[[#This Row],[FarmID]]&amp;CompilDonnées[[#This Row],[ModuleNumber]]</f>
        <v>1173</v>
      </c>
      <c r="P1185" t="str">
        <f>CompilDonnées[[#This Row],[Ref_Module]]&amp;CompilDonnées[[#This Row],[HarvestingDate]]</f>
        <v>117345733</v>
      </c>
    </row>
    <row r="1186" spans="1:16">
      <c r="A1186" s="5">
        <v>45690</v>
      </c>
      <c r="B1186">
        <v>107</v>
      </c>
      <c r="C1186" t="s">
        <v>23</v>
      </c>
      <c r="D1186">
        <v>5</v>
      </c>
      <c r="E1186">
        <v>100</v>
      </c>
      <c r="F1186" t="s">
        <v>1</v>
      </c>
      <c r="G1186" s="6">
        <v>45733</v>
      </c>
      <c r="H1186">
        <v>43</v>
      </c>
      <c r="I1186">
        <f>ROUND(CompilDonnées[[#This Row],[CultureDuration_days]]/7,0)</f>
        <v>6</v>
      </c>
      <c r="J1186">
        <v>3315</v>
      </c>
      <c r="K1186" t="str">
        <f>_xlfn.CONCAT(WEEKNUM(CompilDonnées[[#This Row],[PlantationDate]]), " ", YEAR(CompilDonnées[[#This Row],[PlantationDate]]))</f>
        <v>6 2025</v>
      </c>
      <c r="L1186" t="str">
        <f>CONCATENATE(MONTH(CompilDonnées[[#This Row],[PlantationDate]])," ", YEAR(CompilDonnées[[#This Row],[PlantationDate]]))</f>
        <v>2 2025</v>
      </c>
      <c r="M1186" t="str">
        <f>CONCATENATE(MONTH(CompilDonnées[[#This Row],[HarvestingDate]])," ", YEAR(CompilDonnées[[#This Row],[HarvestingDate]]))</f>
        <v>3 2025</v>
      </c>
      <c r="N1186">
        <f>_xlfn.NUMBERVALUE(CompilDonnées[[#This Row],[FarmID]]&amp;CompilDonnées[[#This Row],[ModuleNumber]]&amp;CompilDonnées[[#This Row],[PlantationDate]])</f>
        <v>107545690</v>
      </c>
      <c r="O1186" t="str">
        <f>CompilDonnées[[#This Row],[FarmID]]&amp;CompilDonnées[[#This Row],[ModuleNumber]]</f>
        <v>1075</v>
      </c>
      <c r="P1186" t="str">
        <f>CompilDonnées[[#This Row],[Ref_Module]]&amp;CompilDonnées[[#This Row],[HarvestingDate]]</f>
        <v>107545733</v>
      </c>
    </row>
    <row r="1187" spans="1:16">
      <c r="A1187" s="5">
        <v>45690</v>
      </c>
      <c r="B1187">
        <v>100</v>
      </c>
      <c r="C1187" t="s">
        <v>84</v>
      </c>
      <c r="D1187">
        <v>1</v>
      </c>
      <c r="E1187">
        <v>100</v>
      </c>
      <c r="F1187" t="s">
        <v>1</v>
      </c>
      <c r="G1187" s="6">
        <v>45733</v>
      </c>
      <c r="H1187">
        <v>43</v>
      </c>
      <c r="I1187">
        <f>ROUND(CompilDonnées[[#This Row],[CultureDuration_days]]/7,0)</f>
        <v>6</v>
      </c>
      <c r="J1187">
        <v>3047</v>
      </c>
      <c r="K1187" t="str">
        <f>_xlfn.CONCAT(WEEKNUM(CompilDonnées[[#This Row],[PlantationDate]]), " ", YEAR(CompilDonnées[[#This Row],[PlantationDate]]))</f>
        <v>6 2025</v>
      </c>
      <c r="L1187" t="str">
        <f>CONCATENATE(MONTH(CompilDonnées[[#This Row],[PlantationDate]])," ", YEAR(CompilDonnées[[#This Row],[PlantationDate]]))</f>
        <v>2 2025</v>
      </c>
      <c r="M1187" t="str">
        <f>CONCATENATE(MONTH(CompilDonnées[[#This Row],[HarvestingDate]])," ", YEAR(CompilDonnées[[#This Row],[HarvestingDate]]))</f>
        <v>3 2025</v>
      </c>
      <c r="N1187">
        <f>_xlfn.NUMBERVALUE(CompilDonnées[[#This Row],[FarmID]]&amp;CompilDonnées[[#This Row],[ModuleNumber]]&amp;CompilDonnées[[#This Row],[PlantationDate]])</f>
        <v>100145690</v>
      </c>
      <c r="O1187" t="str">
        <f>CompilDonnées[[#This Row],[FarmID]]&amp;CompilDonnées[[#This Row],[ModuleNumber]]</f>
        <v>1001</v>
      </c>
      <c r="P1187" t="str">
        <f>CompilDonnées[[#This Row],[Ref_Module]]&amp;CompilDonnées[[#This Row],[HarvestingDate]]</f>
        <v>100145733</v>
      </c>
    </row>
    <row r="1188" spans="1:16">
      <c r="A1188" s="5">
        <v>45690</v>
      </c>
      <c r="B1188">
        <v>100</v>
      </c>
      <c r="C1188" t="s">
        <v>84</v>
      </c>
      <c r="D1188">
        <v>6</v>
      </c>
      <c r="E1188">
        <v>100</v>
      </c>
      <c r="F1188" t="s">
        <v>1</v>
      </c>
      <c r="G1188" s="6">
        <v>45733</v>
      </c>
      <c r="H1188">
        <v>43</v>
      </c>
      <c r="I1188">
        <f>ROUND(CompilDonnées[[#This Row],[CultureDuration_days]]/7,0)</f>
        <v>6</v>
      </c>
      <c r="J1188">
        <v>3512</v>
      </c>
      <c r="K1188" t="str">
        <f>_xlfn.CONCAT(WEEKNUM(CompilDonnées[[#This Row],[PlantationDate]]), " ", YEAR(CompilDonnées[[#This Row],[PlantationDate]]))</f>
        <v>6 2025</v>
      </c>
      <c r="L1188" t="str">
        <f>CONCATENATE(MONTH(CompilDonnées[[#This Row],[PlantationDate]])," ", YEAR(CompilDonnées[[#This Row],[PlantationDate]]))</f>
        <v>2 2025</v>
      </c>
      <c r="M1188" t="str">
        <f>CONCATENATE(MONTH(CompilDonnées[[#This Row],[HarvestingDate]])," ", YEAR(CompilDonnées[[#This Row],[HarvestingDate]]))</f>
        <v>3 2025</v>
      </c>
      <c r="N1188">
        <f>_xlfn.NUMBERVALUE(CompilDonnées[[#This Row],[FarmID]]&amp;CompilDonnées[[#This Row],[ModuleNumber]]&amp;CompilDonnées[[#This Row],[PlantationDate]])</f>
        <v>100645690</v>
      </c>
      <c r="O1188" t="str">
        <f>CompilDonnées[[#This Row],[FarmID]]&amp;CompilDonnées[[#This Row],[ModuleNumber]]</f>
        <v>1006</v>
      </c>
      <c r="P1188" t="str">
        <f>CompilDonnées[[#This Row],[Ref_Module]]&amp;CompilDonnées[[#This Row],[HarvestingDate]]</f>
        <v>100645733</v>
      </c>
    </row>
    <row r="1189" spans="1:16">
      <c r="A1189" s="5">
        <v>45690</v>
      </c>
      <c r="B1189">
        <v>99</v>
      </c>
      <c r="C1189" t="s">
        <v>117</v>
      </c>
      <c r="D1189">
        <v>4</v>
      </c>
      <c r="E1189">
        <v>100</v>
      </c>
      <c r="F1189" t="s">
        <v>1</v>
      </c>
      <c r="G1189" s="6">
        <v>45736</v>
      </c>
      <c r="H1189">
        <v>46</v>
      </c>
      <c r="I1189">
        <f>ROUND(CompilDonnées[[#This Row],[CultureDuration_days]]/7,0)</f>
        <v>7</v>
      </c>
      <c r="J1189">
        <v>2480</v>
      </c>
      <c r="K1189" t="str">
        <f>_xlfn.CONCAT(WEEKNUM(CompilDonnées[[#This Row],[PlantationDate]]), " ", YEAR(CompilDonnées[[#This Row],[PlantationDate]]))</f>
        <v>6 2025</v>
      </c>
      <c r="L1189" t="str">
        <f>CONCATENATE(MONTH(CompilDonnées[[#This Row],[PlantationDate]])," ", YEAR(CompilDonnées[[#This Row],[PlantationDate]]))</f>
        <v>2 2025</v>
      </c>
      <c r="M1189" t="str">
        <f>CONCATENATE(MONTH(CompilDonnées[[#This Row],[HarvestingDate]])," ", YEAR(CompilDonnées[[#This Row],[HarvestingDate]]))</f>
        <v>3 2025</v>
      </c>
      <c r="N1189">
        <f>_xlfn.NUMBERVALUE(CompilDonnées[[#This Row],[FarmID]]&amp;CompilDonnées[[#This Row],[ModuleNumber]]&amp;CompilDonnées[[#This Row],[PlantationDate]])</f>
        <v>99445690</v>
      </c>
      <c r="O1189" t="str">
        <f>CompilDonnées[[#This Row],[FarmID]]&amp;CompilDonnées[[#This Row],[ModuleNumber]]</f>
        <v>994</v>
      </c>
      <c r="P1189" t="str">
        <f>CompilDonnées[[#This Row],[Ref_Module]]&amp;CompilDonnées[[#This Row],[HarvestingDate]]</f>
        <v>99445736</v>
      </c>
    </row>
    <row r="1190" spans="1:16">
      <c r="A1190" s="5">
        <v>45690</v>
      </c>
      <c r="B1190">
        <v>92</v>
      </c>
      <c r="C1190" t="s">
        <v>66</v>
      </c>
      <c r="D1190">
        <v>3</v>
      </c>
      <c r="E1190">
        <v>100</v>
      </c>
      <c r="F1190" t="s">
        <v>1</v>
      </c>
      <c r="G1190" s="6">
        <v>45736</v>
      </c>
      <c r="H1190">
        <v>46</v>
      </c>
      <c r="I1190">
        <f>ROUND(CompilDonnées[[#This Row],[CultureDuration_days]]/7,0)</f>
        <v>7</v>
      </c>
      <c r="J1190">
        <v>2844</v>
      </c>
      <c r="K1190" t="str">
        <f>_xlfn.CONCAT(WEEKNUM(CompilDonnées[[#This Row],[PlantationDate]]), " ", YEAR(CompilDonnées[[#This Row],[PlantationDate]]))</f>
        <v>6 2025</v>
      </c>
      <c r="L1190" t="str">
        <f>CONCATENATE(MONTH(CompilDonnées[[#This Row],[PlantationDate]])," ", YEAR(CompilDonnées[[#This Row],[PlantationDate]]))</f>
        <v>2 2025</v>
      </c>
      <c r="M1190" t="str">
        <f>CONCATENATE(MONTH(CompilDonnées[[#This Row],[HarvestingDate]])," ", YEAR(CompilDonnées[[#This Row],[HarvestingDate]]))</f>
        <v>3 2025</v>
      </c>
      <c r="N1190">
        <f>_xlfn.NUMBERVALUE(CompilDonnées[[#This Row],[FarmID]]&amp;CompilDonnées[[#This Row],[ModuleNumber]]&amp;CompilDonnées[[#This Row],[PlantationDate]])</f>
        <v>92345690</v>
      </c>
      <c r="O1190" t="str">
        <f>CompilDonnées[[#This Row],[FarmID]]&amp;CompilDonnées[[#This Row],[ModuleNumber]]</f>
        <v>923</v>
      </c>
      <c r="P1190" t="str">
        <f>CompilDonnées[[#This Row],[Ref_Module]]&amp;CompilDonnées[[#This Row],[HarvestingDate]]</f>
        <v>92345736</v>
      </c>
    </row>
    <row r="1191" spans="1:16">
      <c r="A1191" s="5">
        <v>45690</v>
      </c>
      <c r="B1191">
        <v>89</v>
      </c>
      <c r="C1191" t="s">
        <v>67</v>
      </c>
      <c r="D1191">
        <v>4</v>
      </c>
      <c r="E1191">
        <v>100</v>
      </c>
      <c r="F1191" t="s">
        <v>1</v>
      </c>
      <c r="G1191" s="6">
        <v>45736</v>
      </c>
      <c r="H1191">
        <v>46</v>
      </c>
      <c r="I1191">
        <f>ROUND(CompilDonnées[[#This Row],[CultureDuration_days]]/7,0)</f>
        <v>7</v>
      </c>
      <c r="J1191">
        <v>2298</v>
      </c>
      <c r="K1191" t="str">
        <f>_xlfn.CONCAT(WEEKNUM(CompilDonnées[[#This Row],[PlantationDate]]), " ", YEAR(CompilDonnées[[#This Row],[PlantationDate]]))</f>
        <v>6 2025</v>
      </c>
      <c r="L1191" t="str">
        <f>CONCATENATE(MONTH(CompilDonnées[[#This Row],[PlantationDate]])," ", YEAR(CompilDonnées[[#This Row],[PlantationDate]]))</f>
        <v>2 2025</v>
      </c>
      <c r="M1191" t="str">
        <f>CONCATENATE(MONTH(CompilDonnées[[#This Row],[HarvestingDate]])," ", YEAR(CompilDonnées[[#This Row],[HarvestingDate]]))</f>
        <v>3 2025</v>
      </c>
      <c r="N1191">
        <f>_xlfn.NUMBERVALUE(CompilDonnées[[#This Row],[FarmID]]&amp;CompilDonnées[[#This Row],[ModuleNumber]]&amp;CompilDonnées[[#This Row],[PlantationDate]])</f>
        <v>89445690</v>
      </c>
      <c r="O1191" t="str">
        <f>CompilDonnées[[#This Row],[FarmID]]&amp;CompilDonnées[[#This Row],[ModuleNumber]]</f>
        <v>894</v>
      </c>
      <c r="P1191" t="str">
        <f>CompilDonnées[[#This Row],[Ref_Module]]&amp;CompilDonnées[[#This Row],[HarvestingDate]]</f>
        <v>89445736</v>
      </c>
    </row>
    <row r="1192" spans="1:16">
      <c r="A1192" s="5">
        <v>45690</v>
      </c>
      <c r="B1192">
        <v>104</v>
      </c>
      <c r="C1192" t="s">
        <v>91</v>
      </c>
      <c r="D1192">
        <v>3</v>
      </c>
      <c r="E1192">
        <v>100</v>
      </c>
      <c r="F1192" t="s">
        <v>1</v>
      </c>
      <c r="G1192" s="6">
        <v>45729</v>
      </c>
      <c r="H1192">
        <v>39</v>
      </c>
      <c r="I1192">
        <f>ROUND(CompilDonnées[[#This Row],[CultureDuration_days]]/7,0)</f>
        <v>6</v>
      </c>
      <c r="J1192">
        <v>2958</v>
      </c>
      <c r="K1192" t="str">
        <f>_xlfn.CONCAT(WEEKNUM(CompilDonnées[[#This Row],[PlantationDate]]), " ", YEAR(CompilDonnées[[#This Row],[PlantationDate]]))</f>
        <v>6 2025</v>
      </c>
      <c r="L1192" t="str">
        <f>CONCATENATE(MONTH(CompilDonnées[[#This Row],[PlantationDate]])," ", YEAR(CompilDonnées[[#This Row],[PlantationDate]]))</f>
        <v>2 2025</v>
      </c>
      <c r="M1192" t="str">
        <f>CONCATENATE(MONTH(CompilDonnées[[#This Row],[HarvestingDate]])," ", YEAR(CompilDonnées[[#This Row],[HarvestingDate]]))</f>
        <v>3 2025</v>
      </c>
      <c r="N1192">
        <f>_xlfn.NUMBERVALUE(CompilDonnées[[#This Row],[FarmID]]&amp;CompilDonnées[[#This Row],[ModuleNumber]]&amp;CompilDonnées[[#This Row],[PlantationDate]])</f>
        <v>104345690</v>
      </c>
      <c r="O1192" t="str">
        <f>CompilDonnées[[#This Row],[FarmID]]&amp;CompilDonnées[[#This Row],[ModuleNumber]]</f>
        <v>1043</v>
      </c>
      <c r="P1192" t="str">
        <f>CompilDonnées[[#This Row],[Ref_Module]]&amp;CompilDonnées[[#This Row],[HarvestingDate]]</f>
        <v>104345729</v>
      </c>
    </row>
    <row r="1193" spans="1:16">
      <c r="A1193" s="5">
        <v>45690</v>
      </c>
      <c r="B1193">
        <v>87</v>
      </c>
      <c r="C1193" t="s">
        <v>38</v>
      </c>
      <c r="D1193">
        <v>1</v>
      </c>
      <c r="E1193">
        <v>100</v>
      </c>
      <c r="F1193" t="s">
        <v>1</v>
      </c>
      <c r="G1193" s="6">
        <v>45736</v>
      </c>
      <c r="H1193">
        <v>46</v>
      </c>
      <c r="I1193">
        <f>ROUND(CompilDonnées[[#This Row],[CultureDuration_days]]/7,0)</f>
        <v>7</v>
      </c>
      <c r="J1193">
        <v>2575</v>
      </c>
      <c r="K1193" t="str">
        <f>_xlfn.CONCAT(WEEKNUM(CompilDonnées[[#This Row],[PlantationDate]]), " ", YEAR(CompilDonnées[[#This Row],[PlantationDate]]))</f>
        <v>6 2025</v>
      </c>
      <c r="L1193" t="str">
        <f>CONCATENATE(MONTH(CompilDonnées[[#This Row],[PlantationDate]])," ", YEAR(CompilDonnées[[#This Row],[PlantationDate]]))</f>
        <v>2 2025</v>
      </c>
      <c r="M1193" t="str">
        <f>CONCATENATE(MONTH(CompilDonnées[[#This Row],[HarvestingDate]])," ", YEAR(CompilDonnées[[#This Row],[HarvestingDate]]))</f>
        <v>3 2025</v>
      </c>
      <c r="N1193">
        <f>_xlfn.NUMBERVALUE(CompilDonnées[[#This Row],[FarmID]]&amp;CompilDonnées[[#This Row],[ModuleNumber]]&amp;CompilDonnées[[#This Row],[PlantationDate]])</f>
        <v>87145690</v>
      </c>
      <c r="O1193" t="str">
        <f>CompilDonnées[[#This Row],[FarmID]]&amp;CompilDonnées[[#This Row],[ModuleNumber]]</f>
        <v>871</v>
      </c>
      <c r="P1193" t="str">
        <f>CompilDonnées[[#This Row],[Ref_Module]]&amp;CompilDonnées[[#This Row],[HarvestingDate]]</f>
        <v>87145736</v>
      </c>
    </row>
    <row r="1194" spans="1:16">
      <c r="A1194" s="5">
        <v>45694</v>
      </c>
      <c r="B1194">
        <v>69</v>
      </c>
      <c r="C1194" t="s">
        <v>102</v>
      </c>
      <c r="D1194">
        <v>1</v>
      </c>
      <c r="E1194">
        <v>100</v>
      </c>
      <c r="F1194" t="s">
        <v>1</v>
      </c>
      <c r="G1194" s="6">
        <v>45728</v>
      </c>
      <c r="H1194">
        <v>34</v>
      </c>
      <c r="I1194">
        <f>ROUND(CompilDonnées[[#This Row],[CultureDuration_days]]/7,0)</f>
        <v>5</v>
      </c>
      <c r="J1194">
        <v>3322</v>
      </c>
      <c r="K1194" t="str">
        <f>_xlfn.CONCAT(WEEKNUM(CompilDonnées[[#This Row],[PlantationDate]]), " ", YEAR(CompilDonnées[[#This Row],[PlantationDate]]))</f>
        <v>6 2025</v>
      </c>
      <c r="L1194" t="str">
        <f>CONCATENATE(MONTH(CompilDonnées[[#This Row],[PlantationDate]])," ", YEAR(CompilDonnées[[#This Row],[PlantationDate]]))</f>
        <v>2 2025</v>
      </c>
      <c r="M1194" t="str">
        <f>CONCATENATE(MONTH(CompilDonnées[[#This Row],[HarvestingDate]])," ", YEAR(CompilDonnées[[#This Row],[HarvestingDate]]))</f>
        <v>3 2025</v>
      </c>
      <c r="N1194">
        <f>_xlfn.NUMBERVALUE(CompilDonnées[[#This Row],[FarmID]]&amp;CompilDonnées[[#This Row],[ModuleNumber]]&amp;CompilDonnées[[#This Row],[PlantationDate]])</f>
        <v>69145694</v>
      </c>
      <c r="O1194" t="str">
        <f>CompilDonnées[[#This Row],[FarmID]]&amp;CompilDonnées[[#This Row],[ModuleNumber]]</f>
        <v>691</v>
      </c>
      <c r="P1194" t="str">
        <f>CompilDonnées[[#This Row],[Ref_Module]]&amp;CompilDonnées[[#This Row],[HarvestingDate]]</f>
        <v>69145728</v>
      </c>
    </row>
    <row r="1195" spans="1:16">
      <c r="A1195" s="5">
        <v>45694</v>
      </c>
      <c r="B1195">
        <v>6</v>
      </c>
      <c r="C1195" t="s">
        <v>24</v>
      </c>
      <c r="D1195">
        <v>3</v>
      </c>
      <c r="E1195">
        <v>100</v>
      </c>
      <c r="F1195" t="s">
        <v>1</v>
      </c>
      <c r="G1195" s="6">
        <v>45739</v>
      </c>
      <c r="H1195">
        <v>45</v>
      </c>
      <c r="I1195">
        <f>ROUND(CompilDonnées[[#This Row],[CultureDuration_days]]/7,0)</f>
        <v>6</v>
      </c>
      <c r="J1195">
        <v>3338</v>
      </c>
      <c r="K1195" t="str">
        <f>_xlfn.CONCAT(WEEKNUM(CompilDonnées[[#This Row],[PlantationDate]]), " ", YEAR(CompilDonnées[[#This Row],[PlantationDate]]))</f>
        <v>6 2025</v>
      </c>
      <c r="L1195" t="str">
        <f>CONCATENATE(MONTH(CompilDonnées[[#This Row],[PlantationDate]])," ", YEAR(CompilDonnées[[#This Row],[PlantationDate]]))</f>
        <v>2 2025</v>
      </c>
      <c r="M1195" t="str">
        <f>CONCATENATE(MONTH(CompilDonnées[[#This Row],[HarvestingDate]])," ", YEAR(CompilDonnées[[#This Row],[HarvestingDate]]))</f>
        <v>3 2025</v>
      </c>
      <c r="N1195">
        <f>_xlfn.NUMBERVALUE(CompilDonnées[[#This Row],[FarmID]]&amp;CompilDonnées[[#This Row],[ModuleNumber]]&amp;CompilDonnées[[#This Row],[PlantationDate]])</f>
        <v>6345694</v>
      </c>
      <c r="O1195" t="str">
        <f>CompilDonnées[[#This Row],[FarmID]]&amp;CompilDonnées[[#This Row],[ModuleNumber]]</f>
        <v>63</v>
      </c>
      <c r="P1195" t="str">
        <f>CompilDonnées[[#This Row],[Ref_Module]]&amp;CompilDonnées[[#This Row],[HarvestingDate]]</f>
        <v>6345739</v>
      </c>
    </row>
    <row r="1196" spans="1:16">
      <c r="A1196" s="5">
        <v>45694</v>
      </c>
      <c r="B1196">
        <v>5</v>
      </c>
      <c r="C1196" t="s">
        <v>32</v>
      </c>
      <c r="D1196">
        <v>6</v>
      </c>
      <c r="E1196">
        <v>100</v>
      </c>
      <c r="F1196" t="s">
        <v>1</v>
      </c>
      <c r="G1196" s="6">
        <v>45739</v>
      </c>
      <c r="H1196">
        <v>45</v>
      </c>
      <c r="I1196">
        <f>ROUND(CompilDonnées[[#This Row],[CultureDuration_days]]/7,0)</f>
        <v>6</v>
      </c>
      <c r="J1196">
        <v>2664</v>
      </c>
      <c r="K1196" t="str">
        <f>_xlfn.CONCAT(WEEKNUM(CompilDonnées[[#This Row],[PlantationDate]]), " ", YEAR(CompilDonnées[[#This Row],[PlantationDate]]))</f>
        <v>6 2025</v>
      </c>
      <c r="L1196" t="str">
        <f>CONCATENATE(MONTH(CompilDonnées[[#This Row],[PlantationDate]])," ", YEAR(CompilDonnées[[#This Row],[PlantationDate]]))</f>
        <v>2 2025</v>
      </c>
      <c r="M1196" t="str">
        <f>CONCATENATE(MONTH(CompilDonnées[[#This Row],[HarvestingDate]])," ", YEAR(CompilDonnées[[#This Row],[HarvestingDate]]))</f>
        <v>3 2025</v>
      </c>
      <c r="N1196">
        <f>_xlfn.NUMBERVALUE(CompilDonnées[[#This Row],[FarmID]]&amp;CompilDonnées[[#This Row],[ModuleNumber]]&amp;CompilDonnées[[#This Row],[PlantationDate]])</f>
        <v>5645694</v>
      </c>
      <c r="O1196" t="str">
        <f>CompilDonnées[[#This Row],[FarmID]]&amp;CompilDonnées[[#This Row],[ModuleNumber]]</f>
        <v>56</v>
      </c>
      <c r="P1196" t="str">
        <f>CompilDonnées[[#This Row],[Ref_Module]]&amp;CompilDonnées[[#This Row],[HarvestingDate]]</f>
        <v>5645739</v>
      </c>
    </row>
    <row r="1197" spans="1:16">
      <c r="A1197" s="5">
        <v>45694</v>
      </c>
      <c r="B1197">
        <v>3</v>
      </c>
      <c r="C1197" t="s">
        <v>116</v>
      </c>
      <c r="D1197">
        <v>3</v>
      </c>
      <c r="E1197">
        <v>100</v>
      </c>
      <c r="F1197" t="s">
        <v>1</v>
      </c>
      <c r="G1197" s="6">
        <v>45740</v>
      </c>
      <c r="H1197">
        <v>46</v>
      </c>
      <c r="I1197">
        <f>ROUND(CompilDonnées[[#This Row],[CultureDuration_days]]/7,0)</f>
        <v>7</v>
      </c>
      <c r="J1197">
        <v>3807</v>
      </c>
      <c r="K1197" t="str">
        <f>_xlfn.CONCAT(WEEKNUM(CompilDonnées[[#This Row],[PlantationDate]]), " ", YEAR(CompilDonnées[[#This Row],[PlantationDate]]))</f>
        <v>6 2025</v>
      </c>
      <c r="L1197" t="str">
        <f>CONCATENATE(MONTH(CompilDonnées[[#This Row],[PlantationDate]])," ", YEAR(CompilDonnées[[#This Row],[PlantationDate]]))</f>
        <v>2 2025</v>
      </c>
      <c r="M1197" t="str">
        <f>CONCATENATE(MONTH(CompilDonnées[[#This Row],[HarvestingDate]])," ", YEAR(CompilDonnées[[#This Row],[HarvestingDate]]))</f>
        <v>3 2025</v>
      </c>
      <c r="N1197">
        <f>_xlfn.NUMBERVALUE(CompilDonnées[[#This Row],[FarmID]]&amp;CompilDonnées[[#This Row],[ModuleNumber]]&amp;CompilDonnées[[#This Row],[PlantationDate]])</f>
        <v>3345694</v>
      </c>
      <c r="O1197" t="str">
        <f>CompilDonnées[[#This Row],[FarmID]]&amp;CompilDonnées[[#This Row],[ModuleNumber]]</f>
        <v>33</v>
      </c>
      <c r="P1197" t="str">
        <f>CompilDonnées[[#This Row],[Ref_Module]]&amp;CompilDonnées[[#This Row],[HarvestingDate]]</f>
        <v>3345740</v>
      </c>
    </row>
    <row r="1198" spans="1:16">
      <c r="A1198" s="5">
        <v>45694</v>
      </c>
      <c r="B1198">
        <v>18</v>
      </c>
      <c r="C1198" t="s">
        <v>33</v>
      </c>
      <c r="D1198">
        <v>1</v>
      </c>
      <c r="E1198">
        <v>100</v>
      </c>
      <c r="F1198" t="s">
        <v>1</v>
      </c>
      <c r="G1198" s="6">
        <v>45739</v>
      </c>
      <c r="H1198">
        <v>45</v>
      </c>
      <c r="I1198">
        <f>ROUND(CompilDonnées[[#This Row],[CultureDuration_days]]/7,0)</f>
        <v>6</v>
      </c>
      <c r="J1198">
        <v>3746</v>
      </c>
      <c r="K1198" t="str">
        <f>_xlfn.CONCAT(WEEKNUM(CompilDonnées[[#This Row],[PlantationDate]]), " ", YEAR(CompilDonnées[[#This Row],[PlantationDate]]))</f>
        <v>6 2025</v>
      </c>
      <c r="L1198" t="str">
        <f>CONCATENATE(MONTH(CompilDonnées[[#This Row],[PlantationDate]])," ", YEAR(CompilDonnées[[#This Row],[PlantationDate]]))</f>
        <v>2 2025</v>
      </c>
      <c r="M1198" t="str">
        <f>CONCATENATE(MONTH(CompilDonnées[[#This Row],[HarvestingDate]])," ", YEAR(CompilDonnées[[#This Row],[HarvestingDate]]))</f>
        <v>3 2025</v>
      </c>
      <c r="N1198">
        <f>_xlfn.NUMBERVALUE(CompilDonnées[[#This Row],[FarmID]]&amp;CompilDonnées[[#This Row],[ModuleNumber]]&amp;CompilDonnées[[#This Row],[PlantationDate]])</f>
        <v>18145694</v>
      </c>
      <c r="O1198" t="str">
        <f>CompilDonnées[[#This Row],[FarmID]]&amp;CompilDonnées[[#This Row],[ModuleNumber]]</f>
        <v>181</v>
      </c>
      <c r="P1198" t="str">
        <f>CompilDonnées[[#This Row],[Ref_Module]]&amp;CompilDonnées[[#This Row],[HarvestingDate]]</f>
        <v>18145739</v>
      </c>
    </row>
    <row r="1199" spans="1:16">
      <c r="A1199" s="5">
        <v>45694</v>
      </c>
      <c r="B1199">
        <v>17</v>
      </c>
      <c r="C1199" t="s">
        <v>80</v>
      </c>
      <c r="D1199">
        <v>1</v>
      </c>
      <c r="E1199">
        <v>100</v>
      </c>
      <c r="F1199" t="s">
        <v>1</v>
      </c>
      <c r="G1199" s="6">
        <v>45739</v>
      </c>
      <c r="H1199">
        <v>45</v>
      </c>
      <c r="I1199">
        <f>ROUND(CompilDonnées[[#This Row],[CultureDuration_days]]/7,0)</f>
        <v>6</v>
      </c>
      <c r="J1199">
        <v>3993</v>
      </c>
      <c r="K1199" t="str">
        <f>_xlfn.CONCAT(WEEKNUM(CompilDonnées[[#This Row],[PlantationDate]]), " ", YEAR(CompilDonnées[[#This Row],[PlantationDate]]))</f>
        <v>6 2025</v>
      </c>
      <c r="L1199" t="str">
        <f>CONCATENATE(MONTH(CompilDonnées[[#This Row],[PlantationDate]])," ", YEAR(CompilDonnées[[#This Row],[PlantationDate]]))</f>
        <v>2 2025</v>
      </c>
      <c r="M1199" t="str">
        <f>CONCATENATE(MONTH(CompilDonnées[[#This Row],[HarvestingDate]])," ", YEAR(CompilDonnées[[#This Row],[HarvestingDate]]))</f>
        <v>3 2025</v>
      </c>
      <c r="N1199">
        <f>_xlfn.NUMBERVALUE(CompilDonnées[[#This Row],[FarmID]]&amp;CompilDonnées[[#This Row],[ModuleNumber]]&amp;CompilDonnées[[#This Row],[PlantationDate]])</f>
        <v>17145694</v>
      </c>
      <c r="O1199" t="str">
        <f>CompilDonnées[[#This Row],[FarmID]]&amp;CompilDonnées[[#This Row],[ModuleNumber]]</f>
        <v>171</v>
      </c>
      <c r="P1199" t="str">
        <f>CompilDonnées[[#This Row],[Ref_Module]]&amp;CompilDonnées[[#This Row],[HarvestingDate]]</f>
        <v>17145739</v>
      </c>
    </row>
    <row r="1200" spans="1:16">
      <c r="A1200" s="5">
        <v>45694</v>
      </c>
      <c r="B1200">
        <v>16</v>
      </c>
      <c r="C1200" t="s">
        <v>112</v>
      </c>
      <c r="D1200">
        <v>2</v>
      </c>
      <c r="E1200">
        <v>100</v>
      </c>
      <c r="F1200" t="s">
        <v>1</v>
      </c>
      <c r="G1200" s="6">
        <v>45739</v>
      </c>
      <c r="H1200">
        <v>45</v>
      </c>
      <c r="I1200">
        <f>ROUND(CompilDonnées[[#This Row],[CultureDuration_days]]/7,0)</f>
        <v>6</v>
      </c>
      <c r="J1200">
        <v>3644</v>
      </c>
      <c r="K1200" t="str">
        <f>_xlfn.CONCAT(WEEKNUM(CompilDonnées[[#This Row],[PlantationDate]]), " ", YEAR(CompilDonnées[[#This Row],[PlantationDate]]))</f>
        <v>6 2025</v>
      </c>
      <c r="L1200" t="str">
        <f>CONCATENATE(MONTH(CompilDonnées[[#This Row],[PlantationDate]])," ", YEAR(CompilDonnées[[#This Row],[PlantationDate]]))</f>
        <v>2 2025</v>
      </c>
      <c r="M1200" t="str">
        <f>CONCATENATE(MONTH(CompilDonnées[[#This Row],[HarvestingDate]])," ", YEAR(CompilDonnées[[#This Row],[HarvestingDate]]))</f>
        <v>3 2025</v>
      </c>
      <c r="N1200">
        <f>_xlfn.NUMBERVALUE(CompilDonnées[[#This Row],[FarmID]]&amp;CompilDonnées[[#This Row],[ModuleNumber]]&amp;CompilDonnées[[#This Row],[PlantationDate]])</f>
        <v>16245694</v>
      </c>
      <c r="O1200" t="str">
        <f>CompilDonnées[[#This Row],[FarmID]]&amp;CompilDonnées[[#This Row],[ModuleNumber]]</f>
        <v>162</v>
      </c>
      <c r="P1200" t="str">
        <f>CompilDonnées[[#This Row],[Ref_Module]]&amp;CompilDonnées[[#This Row],[HarvestingDate]]</f>
        <v>16245739</v>
      </c>
    </row>
    <row r="1201" spans="1:16">
      <c r="A1201" s="5">
        <v>45694</v>
      </c>
      <c r="B1201">
        <v>22</v>
      </c>
      <c r="C1201" t="s">
        <v>43</v>
      </c>
      <c r="D1201">
        <v>6</v>
      </c>
      <c r="E1201">
        <v>100</v>
      </c>
      <c r="F1201" t="s">
        <v>1</v>
      </c>
      <c r="G1201" s="6">
        <v>45739</v>
      </c>
      <c r="H1201">
        <v>45</v>
      </c>
      <c r="I1201">
        <f>ROUND(CompilDonnées[[#This Row],[CultureDuration_days]]/7,0)</f>
        <v>6</v>
      </c>
      <c r="J1201">
        <v>3714</v>
      </c>
      <c r="K1201" t="str">
        <f>_xlfn.CONCAT(WEEKNUM(CompilDonnées[[#This Row],[PlantationDate]]), " ", YEAR(CompilDonnées[[#This Row],[PlantationDate]]))</f>
        <v>6 2025</v>
      </c>
      <c r="L1201" t="str">
        <f>CONCATENATE(MONTH(CompilDonnées[[#This Row],[PlantationDate]])," ", YEAR(CompilDonnées[[#This Row],[PlantationDate]]))</f>
        <v>2 2025</v>
      </c>
      <c r="M1201" t="str">
        <f>CONCATENATE(MONTH(CompilDonnées[[#This Row],[HarvestingDate]])," ", YEAR(CompilDonnées[[#This Row],[HarvestingDate]]))</f>
        <v>3 2025</v>
      </c>
      <c r="N1201">
        <f>_xlfn.NUMBERVALUE(CompilDonnées[[#This Row],[FarmID]]&amp;CompilDonnées[[#This Row],[ModuleNumber]]&amp;CompilDonnées[[#This Row],[PlantationDate]])</f>
        <v>22645694</v>
      </c>
      <c r="O1201" t="str">
        <f>CompilDonnées[[#This Row],[FarmID]]&amp;CompilDonnées[[#This Row],[ModuleNumber]]</f>
        <v>226</v>
      </c>
      <c r="P1201" t="str">
        <f>CompilDonnées[[#This Row],[Ref_Module]]&amp;CompilDonnées[[#This Row],[HarvestingDate]]</f>
        <v>22645739</v>
      </c>
    </row>
    <row r="1202" spans="1:16">
      <c r="A1202" s="5">
        <v>45694</v>
      </c>
      <c r="B1202">
        <v>30</v>
      </c>
      <c r="C1202" t="s">
        <v>4</v>
      </c>
      <c r="D1202">
        <v>1</v>
      </c>
      <c r="E1202">
        <v>100</v>
      </c>
      <c r="F1202" t="s">
        <v>1</v>
      </c>
      <c r="G1202" s="6">
        <v>45741</v>
      </c>
      <c r="H1202">
        <v>47</v>
      </c>
      <c r="I1202">
        <f>ROUND(CompilDonnées[[#This Row],[CultureDuration_days]]/7,0)</f>
        <v>7</v>
      </c>
      <c r="J1202">
        <v>3977</v>
      </c>
      <c r="K1202" t="str">
        <f>_xlfn.CONCAT(WEEKNUM(CompilDonnées[[#This Row],[PlantationDate]]), " ", YEAR(CompilDonnées[[#This Row],[PlantationDate]]))</f>
        <v>6 2025</v>
      </c>
      <c r="L1202" t="str">
        <f>CONCATENATE(MONTH(CompilDonnées[[#This Row],[PlantationDate]])," ", YEAR(CompilDonnées[[#This Row],[PlantationDate]]))</f>
        <v>2 2025</v>
      </c>
      <c r="M1202" t="str">
        <f>CONCATENATE(MONTH(CompilDonnées[[#This Row],[HarvestingDate]])," ", YEAR(CompilDonnées[[#This Row],[HarvestingDate]]))</f>
        <v>3 2025</v>
      </c>
      <c r="N1202">
        <f>_xlfn.NUMBERVALUE(CompilDonnées[[#This Row],[FarmID]]&amp;CompilDonnées[[#This Row],[ModuleNumber]]&amp;CompilDonnées[[#This Row],[PlantationDate]])</f>
        <v>30145694</v>
      </c>
      <c r="O1202" t="str">
        <f>CompilDonnées[[#This Row],[FarmID]]&amp;CompilDonnées[[#This Row],[ModuleNumber]]</f>
        <v>301</v>
      </c>
      <c r="P1202" t="str">
        <f>CompilDonnées[[#This Row],[Ref_Module]]&amp;CompilDonnées[[#This Row],[HarvestingDate]]</f>
        <v>30145741</v>
      </c>
    </row>
    <row r="1203" spans="1:16">
      <c r="A1203" s="5">
        <v>45694</v>
      </c>
      <c r="B1203">
        <v>38</v>
      </c>
      <c r="C1203" t="s">
        <v>34</v>
      </c>
      <c r="D1203">
        <v>2</v>
      </c>
      <c r="E1203">
        <v>100</v>
      </c>
      <c r="F1203" t="s">
        <v>1</v>
      </c>
      <c r="G1203" s="6">
        <v>45738</v>
      </c>
      <c r="H1203">
        <v>44</v>
      </c>
      <c r="I1203">
        <f>ROUND(CompilDonnées[[#This Row],[CultureDuration_days]]/7,0)</f>
        <v>6</v>
      </c>
      <c r="J1203">
        <v>3052</v>
      </c>
      <c r="K1203" t="str">
        <f>_xlfn.CONCAT(WEEKNUM(CompilDonnées[[#This Row],[PlantationDate]]), " ", YEAR(CompilDonnées[[#This Row],[PlantationDate]]))</f>
        <v>6 2025</v>
      </c>
      <c r="L1203" t="str">
        <f>CONCATENATE(MONTH(CompilDonnées[[#This Row],[PlantationDate]])," ", YEAR(CompilDonnées[[#This Row],[PlantationDate]]))</f>
        <v>2 2025</v>
      </c>
      <c r="M1203" t="str">
        <f>CONCATENATE(MONTH(CompilDonnées[[#This Row],[HarvestingDate]])," ", YEAR(CompilDonnées[[#This Row],[HarvestingDate]]))</f>
        <v>3 2025</v>
      </c>
      <c r="N1203">
        <f>_xlfn.NUMBERVALUE(CompilDonnées[[#This Row],[FarmID]]&amp;CompilDonnées[[#This Row],[ModuleNumber]]&amp;CompilDonnées[[#This Row],[PlantationDate]])</f>
        <v>38245694</v>
      </c>
      <c r="O1203" t="str">
        <f>CompilDonnées[[#This Row],[FarmID]]&amp;CompilDonnées[[#This Row],[ModuleNumber]]</f>
        <v>382</v>
      </c>
      <c r="P1203" t="str">
        <f>CompilDonnées[[#This Row],[Ref_Module]]&amp;CompilDonnées[[#This Row],[HarvestingDate]]</f>
        <v>38245738</v>
      </c>
    </row>
    <row r="1204" spans="1:16">
      <c r="A1204" s="5">
        <v>45694</v>
      </c>
      <c r="B1204">
        <v>44</v>
      </c>
      <c r="C1204" t="s">
        <v>42</v>
      </c>
      <c r="D1204">
        <v>5</v>
      </c>
      <c r="E1204">
        <v>100</v>
      </c>
      <c r="F1204" t="s">
        <v>1</v>
      </c>
      <c r="G1204" s="6">
        <v>45737</v>
      </c>
      <c r="H1204">
        <v>43</v>
      </c>
      <c r="I1204">
        <f>ROUND(CompilDonnées[[#This Row],[CultureDuration_days]]/7,0)</f>
        <v>6</v>
      </c>
      <c r="J1204">
        <v>2208</v>
      </c>
      <c r="K1204" t="str">
        <f>_xlfn.CONCAT(WEEKNUM(CompilDonnées[[#This Row],[PlantationDate]]), " ", YEAR(CompilDonnées[[#This Row],[PlantationDate]]))</f>
        <v>6 2025</v>
      </c>
      <c r="L1204" t="str">
        <f>CONCATENATE(MONTH(CompilDonnées[[#This Row],[PlantationDate]])," ", YEAR(CompilDonnées[[#This Row],[PlantationDate]]))</f>
        <v>2 2025</v>
      </c>
      <c r="M1204" t="str">
        <f>CONCATENATE(MONTH(CompilDonnées[[#This Row],[HarvestingDate]])," ", YEAR(CompilDonnées[[#This Row],[HarvestingDate]]))</f>
        <v>3 2025</v>
      </c>
      <c r="N1204">
        <f>_xlfn.NUMBERVALUE(CompilDonnées[[#This Row],[FarmID]]&amp;CompilDonnées[[#This Row],[ModuleNumber]]&amp;CompilDonnées[[#This Row],[PlantationDate]])</f>
        <v>44545694</v>
      </c>
      <c r="O1204" t="str">
        <f>CompilDonnées[[#This Row],[FarmID]]&amp;CompilDonnées[[#This Row],[ModuleNumber]]</f>
        <v>445</v>
      </c>
      <c r="P1204" t="str">
        <f>CompilDonnées[[#This Row],[Ref_Module]]&amp;CompilDonnées[[#This Row],[HarvestingDate]]</f>
        <v>44545737</v>
      </c>
    </row>
    <row r="1205" spans="1:16">
      <c r="A1205" s="5">
        <v>45694</v>
      </c>
      <c r="B1205">
        <v>41</v>
      </c>
      <c r="C1205" t="s">
        <v>70</v>
      </c>
      <c r="D1205">
        <v>1</v>
      </c>
      <c r="E1205">
        <v>100</v>
      </c>
      <c r="F1205" t="s">
        <v>1</v>
      </c>
      <c r="G1205" s="6">
        <v>45737</v>
      </c>
      <c r="H1205">
        <v>43</v>
      </c>
      <c r="I1205">
        <f>ROUND(CompilDonnées[[#This Row],[CultureDuration_days]]/7,0)</f>
        <v>6</v>
      </c>
      <c r="J1205">
        <v>2990</v>
      </c>
      <c r="K1205" t="str">
        <f>_xlfn.CONCAT(WEEKNUM(CompilDonnées[[#This Row],[PlantationDate]]), " ", YEAR(CompilDonnées[[#This Row],[PlantationDate]]))</f>
        <v>6 2025</v>
      </c>
      <c r="L1205" t="str">
        <f>CONCATENATE(MONTH(CompilDonnées[[#This Row],[PlantationDate]])," ", YEAR(CompilDonnées[[#This Row],[PlantationDate]]))</f>
        <v>2 2025</v>
      </c>
      <c r="M1205" t="str">
        <f>CONCATENATE(MONTH(CompilDonnées[[#This Row],[HarvestingDate]])," ", YEAR(CompilDonnées[[#This Row],[HarvestingDate]]))</f>
        <v>3 2025</v>
      </c>
      <c r="N1205">
        <f>_xlfn.NUMBERVALUE(CompilDonnées[[#This Row],[FarmID]]&amp;CompilDonnées[[#This Row],[ModuleNumber]]&amp;CompilDonnées[[#This Row],[PlantationDate]])</f>
        <v>41145694</v>
      </c>
      <c r="O1205" t="str">
        <f>CompilDonnées[[#This Row],[FarmID]]&amp;CompilDonnées[[#This Row],[ModuleNumber]]</f>
        <v>411</v>
      </c>
      <c r="P1205" t="str">
        <f>CompilDonnées[[#This Row],[Ref_Module]]&amp;CompilDonnées[[#This Row],[HarvestingDate]]</f>
        <v>41145737</v>
      </c>
    </row>
    <row r="1206" spans="1:16">
      <c r="A1206" s="5">
        <v>45694</v>
      </c>
      <c r="B1206">
        <v>43</v>
      </c>
      <c r="C1206" t="s">
        <v>45</v>
      </c>
      <c r="D1206">
        <v>1</v>
      </c>
      <c r="E1206">
        <v>100</v>
      </c>
      <c r="F1206" t="s">
        <v>1</v>
      </c>
      <c r="G1206" s="6">
        <v>45738</v>
      </c>
      <c r="H1206">
        <v>44</v>
      </c>
      <c r="I1206">
        <f>ROUND(CompilDonnées[[#This Row],[CultureDuration_days]]/7,0)</f>
        <v>6</v>
      </c>
      <c r="J1206">
        <v>2860</v>
      </c>
      <c r="K1206" t="str">
        <f>_xlfn.CONCAT(WEEKNUM(CompilDonnées[[#This Row],[PlantationDate]]), " ", YEAR(CompilDonnées[[#This Row],[PlantationDate]]))</f>
        <v>6 2025</v>
      </c>
      <c r="L1206" t="str">
        <f>CONCATENATE(MONTH(CompilDonnées[[#This Row],[PlantationDate]])," ", YEAR(CompilDonnées[[#This Row],[PlantationDate]]))</f>
        <v>2 2025</v>
      </c>
      <c r="M1206" t="str">
        <f>CONCATENATE(MONTH(CompilDonnées[[#This Row],[HarvestingDate]])," ", YEAR(CompilDonnées[[#This Row],[HarvestingDate]]))</f>
        <v>3 2025</v>
      </c>
      <c r="N1206">
        <f>_xlfn.NUMBERVALUE(CompilDonnées[[#This Row],[FarmID]]&amp;CompilDonnées[[#This Row],[ModuleNumber]]&amp;CompilDonnées[[#This Row],[PlantationDate]])</f>
        <v>43145694</v>
      </c>
      <c r="O1206" t="str">
        <f>CompilDonnées[[#This Row],[FarmID]]&amp;CompilDonnées[[#This Row],[ModuleNumber]]</f>
        <v>431</v>
      </c>
      <c r="P1206" t="str">
        <f>CompilDonnées[[#This Row],[Ref_Module]]&amp;CompilDonnées[[#This Row],[HarvestingDate]]</f>
        <v>43145738</v>
      </c>
    </row>
    <row r="1207" spans="1:16">
      <c r="A1207" s="5">
        <v>45694</v>
      </c>
      <c r="B1207">
        <v>72</v>
      </c>
      <c r="C1207" t="s">
        <v>49</v>
      </c>
      <c r="D1207">
        <v>1</v>
      </c>
      <c r="E1207">
        <v>100</v>
      </c>
      <c r="F1207" t="s">
        <v>1</v>
      </c>
      <c r="G1207" s="6">
        <v>45736</v>
      </c>
      <c r="H1207">
        <v>42</v>
      </c>
      <c r="I1207">
        <f>ROUND(CompilDonnées[[#This Row],[CultureDuration_days]]/7,0)</f>
        <v>6</v>
      </c>
      <c r="J1207">
        <v>2566</v>
      </c>
      <c r="K1207" t="str">
        <f>_xlfn.CONCAT(WEEKNUM(CompilDonnées[[#This Row],[PlantationDate]]), " ", YEAR(CompilDonnées[[#This Row],[PlantationDate]]))</f>
        <v>6 2025</v>
      </c>
      <c r="L1207" t="str">
        <f>CONCATENATE(MONTH(CompilDonnées[[#This Row],[PlantationDate]])," ", YEAR(CompilDonnées[[#This Row],[PlantationDate]]))</f>
        <v>2 2025</v>
      </c>
      <c r="M1207" t="str">
        <f>CONCATENATE(MONTH(CompilDonnées[[#This Row],[HarvestingDate]])," ", YEAR(CompilDonnées[[#This Row],[HarvestingDate]]))</f>
        <v>3 2025</v>
      </c>
      <c r="N1207">
        <f>_xlfn.NUMBERVALUE(CompilDonnées[[#This Row],[FarmID]]&amp;CompilDonnées[[#This Row],[ModuleNumber]]&amp;CompilDonnées[[#This Row],[PlantationDate]])</f>
        <v>72145694</v>
      </c>
      <c r="O1207" t="str">
        <f>CompilDonnées[[#This Row],[FarmID]]&amp;CompilDonnées[[#This Row],[ModuleNumber]]</f>
        <v>721</v>
      </c>
      <c r="P1207" t="str">
        <f>CompilDonnées[[#This Row],[Ref_Module]]&amp;CompilDonnées[[#This Row],[HarvestingDate]]</f>
        <v>72145736</v>
      </c>
    </row>
    <row r="1208" spans="1:16">
      <c r="A1208" s="5">
        <v>45694</v>
      </c>
      <c r="B1208">
        <v>81</v>
      </c>
      <c r="C1208" t="s">
        <v>30</v>
      </c>
      <c r="D1208">
        <v>4</v>
      </c>
      <c r="E1208">
        <v>100</v>
      </c>
      <c r="F1208" t="s">
        <v>1</v>
      </c>
      <c r="G1208" s="6">
        <v>45736</v>
      </c>
      <c r="H1208">
        <v>42</v>
      </c>
      <c r="I1208">
        <f>ROUND(CompilDonnées[[#This Row],[CultureDuration_days]]/7,0)</f>
        <v>6</v>
      </c>
      <c r="J1208">
        <v>3057</v>
      </c>
      <c r="K1208" t="str">
        <f>_xlfn.CONCAT(WEEKNUM(CompilDonnées[[#This Row],[PlantationDate]]), " ", YEAR(CompilDonnées[[#This Row],[PlantationDate]]))</f>
        <v>6 2025</v>
      </c>
      <c r="L1208" t="str">
        <f>CONCATENATE(MONTH(CompilDonnées[[#This Row],[PlantationDate]])," ", YEAR(CompilDonnées[[#This Row],[PlantationDate]]))</f>
        <v>2 2025</v>
      </c>
      <c r="M1208" t="str">
        <f>CONCATENATE(MONTH(CompilDonnées[[#This Row],[HarvestingDate]])," ", YEAR(CompilDonnées[[#This Row],[HarvestingDate]]))</f>
        <v>3 2025</v>
      </c>
      <c r="N1208">
        <f>_xlfn.NUMBERVALUE(CompilDonnées[[#This Row],[FarmID]]&amp;CompilDonnées[[#This Row],[ModuleNumber]]&amp;CompilDonnées[[#This Row],[PlantationDate]])</f>
        <v>81445694</v>
      </c>
      <c r="O1208" t="str">
        <f>CompilDonnées[[#This Row],[FarmID]]&amp;CompilDonnées[[#This Row],[ModuleNumber]]</f>
        <v>814</v>
      </c>
      <c r="P1208" t="str">
        <f>CompilDonnées[[#This Row],[Ref_Module]]&amp;CompilDonnées[[#This Row],[HarvestingDate]]</f>
        <v>81445736</v>
      </c>
    </row>
    <row r="1209" spans="1:16">
      <c r="A1209" s="5">
        <v>45694</v>
      </c>
      <c r="B1209">
        <v>66</v>
      </c>
      <c r="C1209" t="s">
        <v>48</v>
      </c>
      <c r="D1209">
        <v>1</v>
      </c>
      <c r="E1209">
        <v>100</v>
      </c>
      <c r="F1209" t="s">
        <v>1</v>
      </c>
      <c r="G1209" s="6">
        <v>45737</v>
      </c>
      <c r="H1209">
        <v>43</v>
      </c>
      <c r="I1209">
        <f>ROUND(CompilDonnées[[#This Row],[CultureDuration_days]]/7,0)</f>
        <v>6</v>
      </c>
      <c r="J1209">
        <v>2635</v>
      </c>
      <c r="K1209" t="str">
        <f>_xlfn.CONCAT(WEEKNUM(CompilDonnées[[#This Row],[PlantationDate]]), " ", YEAR(CompilDonnées[[#This Row],[PlantationDate]]))</f>
        <v>6 2025</v>
      </c>
      <c r="L1209" t="str">
        <f>CONCATENATE(MONTH(CompilDonnées[[#This Row],[PlantationDate]])," ", YEAR(CompilDonnées[[#This Row],[PlantationDate]]))</f>
        <v>2 2025</v>
      </c>
      <c r="M1209" t="str">
        <f>CONCATENATE(MONTH(CompilDonnées[[#This Row],[HarvestingDate]])," ", YEAR(CompilDonnées[[#This Row],[HarvestingDate]]))</f>
        <v>3 2025</v>
      </c>
      <c r="N1209">
        <f>_xlfn.NUMBERVALUE(CompilDonnées[[#This Row],[FarmID]]&amp;CompilDonnées[[#This Row],[ModuleNumber]]&amp;CompilDonnées[[#This Row],[PlantationDate]])</f>
        <v>66145694</v>
      </c>
      <c r="O1209" t="str">
        <f>CompilDonnées[[#This Row],[FarmID]]&amp;CompilDonnées[[#This Row],[ModuleNumber]]</f>
        <v>661</v>
      </c>
      <c r="P1209" t="str">
        <f>CompilDonnées[[#This Row],[Ref_Module]]&amp;CompilDonnées[[#This Row],[HarvestingDate]]</f>
        <v>66145737</v>
      </c>
    </row>
    <row r="1210" spans="1:16">
      <c r="A1210" s="5">
        <v>45694</v>
      </c>
      <c r="B1210">
        <v>67</v>
      </c>
      <c r="C1210" t="s">
        <v>28</v>
      </c>
      <c r="D1210">
        <v>5</v>
      </c>
      <c r="E1210">
        <v>100</v>
      </c>
      <c r="F1210" t="s">
        <v>1</v>
      </c>
      <c r="G1210" s="6">
        <v>45737</v>
      </c>
      <c r="H1210">
        <v>43</v>
      </c>
      <c r="I1210">
        <f>ROUND(CompilDonnées[[#This Row],[CultureDuration_days]]/7,0)</f>
        <v>6</v>
      </c>
      <c r="J1210">
        <v>2735</v>
      </c>
      <c r="K1210" t="str">
        <f>_xlfn.CONCAT(WEEKNUM(CompilDonnées[[#This Row],[PlantationDate]]), " ", YEAR(CompilDonnées[[#This Row],[PlantationDate]]))</f>
        <v>6 2025</v>
      </c>
      <c r="L1210" t="str">
        <f>CONCATENATE(MONTH(CompilDonnées[[#This Row],[PlantationDate]])," ", YEAR(CompilDonnées[[#This Row],[PlantationDate]]))</f>
        <v>2 2025</v>
      </c>
      <c r="M1210" t="str">
        <f>CONCATENATE(MONTH(CompilDonnées[[#This Row],[HarvestingDate]])," ", YEAR(CompilDonnées[[#This Row],[HarvestingDate]]))</f>
        <v>3 2025</v>
      </c>
      <c r="N1210">
        <f>_xlfn.NUMBERVALUE(CompilDonnées[[#This Row],[FarmID]]&amp;CompilDonnées[[#This Row],[ModuleNumber]]&amp;CompilDonnées[[#This Row],[PlantationDate]])</f>
        <v>67545694</v>
      </c>
      <c r="O1210" t="str">
        <f>CompilDonnées[[#This Row],[FarmID]]&amp;CompilDonnées[[#This Row],[ModuleNumber]]</f>
        <v>675</v>
      </c>
      <c r="P1210" t="str">
        <f>CompilDonnées[[#This Row],[Ref_Module]]&amp;CompilDonnées[[#This Row],[HarvestingDate]]</f>
        <v>67545737</v>
      </c>
    </row>
    <row r="1211" spans="1:16">
      <c r="A1211" s="5">
        <v>45694</v>
      </c>
      <c r="B1211">
        <v>55</v>
      </c>
      <c r="C1211" t="s">
        <v>60</v>
      </c>
      <c r="D1211">
        <v>2</v>
      </c>
      <c r="E1211">
        <v>100</v>
      </c>
      <c r="F1211" t="s">
        <v>1</v>
      </c>
      <c r="G1211" s="6">
        <v>45737</v>
      </c>
      <c r="H1211">
        <v>43</v>
      </c>
      <c r="I1211">
        <f>ROUND(CompilDonnées[[#This Row],[CultureDuration_days]]/7,0)</f>
        <v>6</v>
      </c>
      <c r="J1211">
        <v>3388</v>
      </c>
      <c r="K1211" t="str">
        <f>_xlfn.CONCAT(WEEKNUM(CompilDonnées[[#This Row],[PlantationDate]]), " ", YEAR(CompilDonnées[[#This Row],[PlantationDate]]))</f>
        <v>6 2025</v>
      </c>
      <c r="L1211" t="str">
        <f>CONCATENATE(MONTH(CompilDonnées[[#This Row],[PlantationDate]])," ", YEAR(CompilDonnées[[#This Row],[PlantationDate]]))</f>
        <v>2 2025</v>
      </c>
      <c r="M1211" t="str">
        <f>CONCATENATE(MONTH(CompilDonnées[[#This Row],[HarvestingDate]])," ", YEAR(CompilDonnées[[#This Row],[HarvestingDate]]))</f>
        <v>3 2025</v>
      </c>
      <c r="N1211">
        <f>_xlfn.NUMBERVALUE(CompilDonnées[[#This Row],[FarmID]]&amp;CompilDonnées[[#This Row],[ModuleNumber]]&amp;CompilDonnées[[#This Row],[PlantationDate]])</f>
        <v>55245694</v>
      </c>
      <c r="O1211" t="str">
        <f>CompilDonnées[[#This Row],[FarmID]]&amp;CompilDonnées[[#This Row],[ModuleNumber]]</f>
        <v>552</v>
      </c>
      <c r="P1211" t="str">
        <f>CompilDonnées[[#This Row],[Ref_Module]]&amp;CompilDonnées[[#This Row],[HarvestingDate]]</f>
        <v>55245737</v>
      </c>
    </row>
    <row r="1212" spans="1:16">
      <c r="A1212" s="5">
        <v>45694</v>
      </c>
      <c r="B1212">
        <v>50</v>
      </c>
      <c r="C1212" t="s">
        <v>55</v>
      </c>
      <c r="D1212">
        <v>2</v>
      </c>
      <c r="E1212">
        <v>100</v>
      </c>
      <c r="F1212" t="s">
        <v>1</v>
      </c>
      <c r="G1212" s="6">
        <v>45741</v>
      </c>
      <c r="H1212">
        <v>47</v>
      </c>
      <c r="I1212">
        <f>ROUND(CompilDonnées[[#This Row],[CultureDuration_days]]/7,0)</f>
        <v>7</v>
      </c>
      <c r="J1212">
        <v>3860</v>
      </c>
      <c r="K1212" t="str">
        <f>_xlfn.CONCAT(WEEKNUM(CompilDonnées[[#This Row],[PlantationDate]]), " ", YEAR(CompilDonnées[[#This Row],[PlantationDate]]))</f>
        <v>6 2025</v>
      </c>
      <c r="L1212" t="str">
        <f>CONCATENATE(MONTH(CompilDonnées[[#This Row],[PlantationDate]])," ", YEAR(CompilDonnées[[#This Row],[PlantationDate]]))</f>
        <v>2 2025</v>
      </c>
      <c r="M1212" t="str">
        <f>CONCATENATE(MONTH(CompilDonnées[[#This Row],[HarvestingDate]])," ", YEAR(CompilDonnées[[#This Row],[HarvestingDate]]))</f>
        <v>3 2025</v>
      </c>
      <c r="N1212">
        <f>_xlfn.NUMBERVALUE(CompilDonnées[[#This Row],[FarmID]]&amp;CompilDonnées[[#This Row],[ModuleNumber]]&amp;CompilDonnées[[#This Row],[PlantationDate]])</f>
        <v>50245694</v>
      </c>
      <c r="O1212" t="str">
        <f>CompilDonnées[[#This Row],[FarmID]]&amp;CompilDonnées[[#This Row],[ModuleNumber]]</f>
        <v>502</v>
      </c>
      <c r="P1212" t="str">
        <f>CompilDonnées[[#This Row],[Ref_Module]]&amp;CompilDonnées[[#This Row],[HarvestingDate]]</f>
        <v>50245741</v>
      </c>
    </row>
    <row r="1213" spans="1:16">
      <c r="A1213" s="5">
        <v>45694</v>
      </c>
      <c r="B1213">
        <v>48</v>
      </c>
      <c r="C1213" t="s">
        <v>71</v>
      </c>
      <c r="D1213">
        <v>5</v>
      </c>
      <c r="E1213">
        <v>100</v>
      </c>
      <c r="F1213" t="s">
        <v>1</v>
      </c>
      <c r="G1213" s="6">
        <v>45742</v>
      </c>
      <c r="H1213">
        <v>48</v>
      </c>
      <c r="I1213">
        <f>ROUND(CompilDonnées[[#This Row],[CultureDuration_days]]/7,0)</f>
        <v>7</v>
      </c>
      <c r="J1213">
        <v>4705</v>
      </c>
      <c r="K1213" t="str">
        <f>_xlfn.CONCAT(WEEKNUM(CompilDonnées[[#This Row],[PlantationDate]]), " ", YEAR(CompilDonnées[[#This Row],[PlantationDate]]))</f>
        <v>6 2025</v>
      </c>
      <c r="L1213" t="str">
        <f>CONCATENATE(MONTH(CompilDonnées[[#This Row],[PlantationDate]])," ", YEAR(CompilDonnées[[#This Row],[PlantationDate]]))</f>
        <v>2 2025</v>
      </c>
      <c r="M1213" t="str">
        <f>CONCATENATE(MONTH(CompilDonnées[[#This Row],[HarvestingDate]])," ", YEAR(CompilDonnées[[#This Row],[HarvestingDate]]))</f>
        <v>3 2025</v>
      </c>
      <c r="N1213">
        <f>_xlfn.NUMBERVALUE(CompilDonnées[[#This Row],[FarmID]]&amp;CompilDonnées[[#This Row],[ModuleNumber]]&amp;CompilDonnées[[#This Row],[PlantationDate]])</f>
        <v>48545694</v>
      </c>
      <c r="O1213" t="str">
        <f>CompilDonnées[[#This Row],[FarmID]]&amp;CompilDonnées[[#This Row],[ModuleNumber]]</f>
        <v>485</v>
      </c>
      <c r="P1213" t="str">
        <f>CompilDonnées[[#This Row],[Ref_Module]]&amp;CompilDonnées[[#This Row],[HarvestingDate]]</f>
        <v>48545742</v>
      </c>
    </row>
    <row r="1214" spans="1:16">
      <c r="A1214" s="5">
        <v>45694</v>
      </c>
      <c r="B1214">
        <v>71</v>
      </c>
      <c r="C1214" t="s">
        <v>19</v>
      </c>
      <c r="D1214">
        <v>3</v>
      </c>
      <c r="E1214">
        <v>100</v>
      </c>
      <c r="F1214" t="s">
        <v>1</v>
      </c>
      <c r="G1214" s="6">
        <v>45737</v>
      </c>
      <c r="H1214">
        <v>43</v>
      </c>
      <c r="I1214">
        <f>ROUND(CompilDonnées[[#This Row],[CultureDuration_days]]/7,0)</f>
        <v>6</v>
      </c>
      <c r="J1214">
        <v>3465</v>
      </c>
      <c r="K1214" t="str">
        <f>_xlfn.CONCAT(WEEKNUM(CompilDonnées[[#This Row],[PlantationDate]]), " ", YEAR(CompilDonnées[[#This Row],[PlantationDate]]))</f>
        <v>6 2025</v>
      </c>
      <c r="L1214" t="str">
        <f>CONCATENATE(MONTH(CompilDonnées[[#This Row],[PlantationDate]])," ", YEAR(CompilDonnées[[#This Row],[PlantationDate]]))</f>
        <v>2 2025</v>
      </c>
      <c r="M1214" t="str">
        <f>CONCATENATE(MONTH(CompilDonnées[[#This Row],[HarvestingDate]])," ", YEAR(CompilDonnées[[#This Row],[HarvestingDate]]))</f>
        <v>3 2025</v>
      </c>
      <c r="N1214">
        <f>_xlfn.NUMBERVALUE(CompilDonnées[[#This Row],[FarmID]]&amp;CompilDonnées[[#This Row],[ModuleNumber]]&amp;CompilDonnées[[#This Row],[PlantationDate]])</f>
        <v>71345694</v>
      </c>
      <c r="O1214" t="str">
        <f>CompilDonnées[[#This Row],[FarmID]]&amp;CompilDonnées[[#This Row],[ModuleNumber]]</f>
        <v>713</v>
      </c>
      <c r="P1214" t="str">
        <f>CompilDonnées[[#This Row],[Ref_Module]]&amp;CompilDonnées[[#This Row],[HarvestingDate]]</f>
        <v>71345737</v>
      </c>
    </row>
    <row r="1215" spans="1:16">
      <c r="A1215" s="5">
        <v>45694</v>
      </c>
      <c r="B1215">
        <v>133</v>
      </c>
      <c r="C1215" t="s">
        <v>99</v>
      </c>
      <c r="D1215">
        <v>3</v>
      </c>
      <c r="E1215">
        <v>100</v>
      </c>
      <c r="F1215" t="s">
        <v>1</v>
      </c>
      <c r="G1215" s="6">
        <v>45733</v>
      </c>
      <c r="H1215">
        <v>39</v>
      </c>
      <c r="I1215">
        <f>ROUND(CompilDonnées[[#This Row],[CultureDuration_days]]/7,0)</f>
        <v>6</v>
      </c>
      <c r="J1215">
        <v>3388</v>
      </c>
      <c r="K1215" t="str">
        <f>_xlfn.CONCAT(WEEKNUM(CompilDonnées[[#This Row],[PlantationDate]]), " ", YEAR(CompilDonnées[[#This Row],[PlantationDate]]))</f>
        <v>6 2025</v>
      </c>
      <c r="L1215" t="str">
        <f>CONCATENATE(MONTH(CompilDonnées[[#This Row],[PlantationDate]])," ", YEAR(CompilDonnées[[#This Row],[PlantationDate]]))</f>
        <v>2 2025</v>
      </c>
      <c r="M1215" t="str">
        <f>CONCATENATE(MONTH(CompilDonnées[[#This Row],[HarvestingDate]])," ", YEAR(CompilDonnées[[#This Row],[HarvestingDate]]))</f>
        <v>3 2025</v>
      </c>
      <c r="N1215">
        <f>_xlfn.NUMBERVALUE(CompilDonnées[[#This Row],[FarmID]]&amp;CompilDonnées[[#This Row],[ModuleNumber]]&amp;CompilDonnées[[#This Row],[PlantationDate]])</f>
        <v>133345694</v>
      </c>
      <c r="O1215" t="str">
        <f>CompilDonnées[[#This Row],[FarmID]]&amp;CompilDonnées[[#This Row],[ModuleNumber]]</f>
        <v>1333</v>
      </c>
      <c r="P1215" t="str">
        <f>CompilDonnées[[#This Row],[Ref_Module]]&amp;CompilDonnées[[#This Row],[HarvestingDate]]</f>
        <v>133345733</v>
      </c>
    </row>
    <row r="1216" spans="1:16">
      <c r="A1216" s="5">
        <v>45694</v>
      </c>
      <c r="B1216">
        <v>139</v>
      </c>
      <c r="C1216" t="s">
        <v>103</v>
      </c>
      <c r="D1216">
        <v>2</v>
      </c>
      <c r="E1216">
        <v>100</v>
      </c>
      <c r="F1216" t="s">
        <v>1</v>
      </c>
      <c r="G1216" s="6">
        <v>45744</v>
      </c>
      <c r="H1216">
        <v>50</v>
      </c>
      <c r="I1216">
        <f>ROUND(CompilDonnées[[#This Row],[CultureDuration_days]]/7,0)</f>
        <v>7</v>
      </c>
      <c r="J1216">
        <v>3231</v>
      </c>
      <c r="K1216" t="str">
        <f>_xlfn.CONCAT(WEEKNUM(CompilDonnées[[#This Row],[PlantationDate]]), " ", YEAR(CompilDonnées[[#This Row],[PlantationDate]]))</f>
        <v>6 2025</v>
      </c>
      <c r="L1216" t="str">
        <f>CONCATENATE(MONTH(CompilDonnées[[#This Row],[PlantationDate]])," ", YEAR(CompilDonnées[[#This Row],[PlantationDate]]))</f>
        <v>2 2025</v>
      </c>
      <c r="M1216" t="str">
        <f>CONCATENATE(MONTH(CompilDonnées[[#This Row],[HarvestingDate]])," ", YEAR(CompilDonnées[[#This Row],[HarvestingDate]]))</f>
        <v>3 2025</v>
      </c>
      <c r="N1216">
        <f>_xlfn.NUMBERVALUE(CompilDonnées[[#This Row],[FarmID]]&amp;CompilDonnées[[#This Row],[ModuleNumber]]&amp;CompilDonnées[[#This Row],[PlantationDate]])</f>
        <v>139245694</v>
      </c>
      <c r="O1216" t="str">
        <f>CompilDonnées[[#This Row],[FarmID]]&amp;CompilDonnées[[#This Row],[ModuleNumber]]</f>
        <v>1392</v>
      </c>
      <c r="P1216" t="str">
        <f>CompilDonnées[[#This Row],[Ref_Module]]&amp;CompilDonnées[[#This Row],[HarvestingDate]]</f>
        <v>139245744</v>
      </c>
    </row>
    <row r="1217" spans="1:16">
      <c r="A1217" s="5">
        <v>45694</v>
      </c>
      <c r="B1217">
        <v>112</v>
      </c>
      <c r="C1217" t="s">
        <v>15</v>
      </c>
      <c r="D1217">
        <v>3</v>
      </c>
      <c r="E1217">
        <v>100</v>
      </c>
      <c r="F1217" t="s">
        <v>1</v>
      </c>
      <c r="G1217" s="6">
        <v>45733</v>
      </c>
      <c r="H1217">
        <v>39</v>
      </c>
      <c r="I1217">
        <f>ROUND(CompilDonnées[[#This Row],[CultureDuration_days]]/7,0)</f>
        <v>6</v>
      </c>
      <c r="J1217">
        <v>3378</v>
      </c>
      <c r="K1217" t="str">
        <f>_xlfn.CONCAT(WEEKNUM(CompilDonnées[[#This Row],[PlantationDate]]), " ", YEAR(CompilDonnées[[#This Row],[PlantationDate]]))</f>
        <v>6 2025</v>
      </c>
      <c r="L1217" t="str">
        <f>CONCATENATE(MONTH(CompilDonnées[[#This Row],[PlantationDate]])," ", YEAR(CompilDonnées[[#This Row],[PlantationDate]]))</f>
        <v>2 2025</v>
      </c>
      <c r="M1217" t="str">
        <f>CONCATENATE(MONTH(CompilDonnées[[#This Row],[HarvestingDate]])," ", YEAR(CompilDonnées[[#This Row],[HarvestingDate]]))</f>
        <v>3 2025</v>
      </c>
      <c r="N1217">
        <f>_xlfn.NUMBERVALUE(CompilDonnées[[#This Row],[FarmID]]&amp;CompilDonnées[[#This Row],[ModuleNumber]]&amp;CompilDonnées[[#This Row],[PlantationDate]])</f>
        <v>112345694</v>
      </c>
      <c r="O1217" t="str">
        <f>CompilDonnées[[#This Row],[FarmID]]&amp;CompilDonnées[[#This Row],[ModuleNumber]]</f>
        <v>1123</v>
      </c>
      <c r="P1217" t="str">
        <f>CompilDonnées[[#This Row],[Ref_Module]]&amp;CompilDonnées[[#This Row],[HarvestingDate]]</f>
        <v>112345733</v>
      </c>
    </row>
    <row r="1218" spans="1:16">
      <c r="A1218" s="5">
        <v>45694</v>
      </c>
      <c r="B1218">
        <v>108</v>
      </c>
      <c r="C1218" t="s">
        <v>58</v>
      </c>
      <c r="D1218">
        <v>4</v>
      </c>
      <c r="E1218">
        <v>100</v>
      </c>
      <c r="F1218" t="s">
        <v>1</v>
      </c>
      <c r="G1218" s="6">
        <v>45733</v>
      </c>
      <c r="H1218">
        <v>39</v>
      </c>
      <c r="I1218">
        <f>ROUND(CompilDonnées[[#This Row],[CultureDuration_days]]/7,0)</f>
        <v>6</v>
      </c>
      <c r="J1218">
        <v>3271</v>
      </c>
      <c r="K1218" t="str">
        <f>_xlfn.CONCAT(WEEKNUM(CompilDonnées[[#This Row],[PlantationDate]]), " ", YEAR(CompilDonnées[[#This Row],[PlantationDate]]))</f>
        <v>6 2025</v>
      </c>
      <c r="L1218" t="str">
        <f>CONCATENATE(MONTH(CompilDonnées[[#This Row],[PlantationDate]])," ", YEAR(CompilDonnées[[#This Row],[PlantationDate]]))</f>
        <v>2 2025</v>
      </c>
      <c r="M1218" t="str">
        <f>CONCATENATE(MONTH(CompilDonnées[[#This Row],[HarvestingDate]])," ", YEAR(CompilDonnées[[#This Row],[HarvestingDate]]))</f>
        <v>3 2025</v>
      </c>
      <c r="N1218">
        <f>_xlfn.NUMBERVALUE(CompilDonnées[[#This Row],[FarmID]]&amp;CompilDonnées[[#This Row],[ModuleNumber]]&amp;CompilDonnées[[#This Row],[PlantationDate]])</f>
        <v>108445694</v>
      </c>
      <c r="O1218" t="str">
        <f>CompilDonnées[[#This Row],[FarmID]]&amp;CompilDonnées[[#This Row],[ModuleNumber]]</f>
        <v>1084</v>
      </c>
      <c r="P1218" t="str">
        <f>CompilDonnées[[#This Row],[Ref_Module]]&amp;CompilDonnées[[#This Row],[HarvestingDate]]</f>
        <v>108445733</v>
      </c>
    </row>
    <row r="1219" spans="1:16">
      <c r="A1219" s="5">
        <v>45694</v>
      </c>
      <c r="B1219">
        <v>87</v>
      </c>
      <c r="C1219" t="s">
        <v>38</v>
      </c>
      <c r="D1219">
        <v>2</v>
      </c>
      <c r="E1219">
        <v>100</v>
      </c>
      <c r="F1219" t="s">
        <v>1</v>
      </c>
      <c r="G1219" s="6">
        <v>45743</v>
      </c>
      <c r="H1219">
        <v>49</v>
      </c>
      <c r="I1219">
        <f>ROUND(CompilDonnées[[#This Row],[CultureDuration_days]]/7,0)</f>
        <v>7</v>
      </c>
      <c r="J1219">
        <v>3537</v>
      </c>
      <c r="K1219" t="str">
        <f>_xlfn.CONCAT(WEEKNUM(CompilDonnées[[#This Row],[PlantationDate]]), " ", YEAR(CompilDonnées[[#This Row],[PlantationDate]]))</f>
        <v>6 2025</v>
      </c>
      <c r="L1219" t="str">
        <f>CONCATENATE(MONTH(CompilDonnées[[#This Row],[PlantationDate]])," ", YEAR(CompilDonnées[[#This Row],[PlantationDate]]))</f>
        <v>2 2025</v>
      </c>
      <c r="M1219" t="str">
        <f>CONCATENATE(MONTH(CompilDonnées[[#This Row],[HarvestingDate]])," ", YEAR(CompilDonnées[[#This Row],[HarvestingDate]]))</f>
        <v>3 2025</v>
      </c>
      <c r="N1219">
        <f>_xlfn.NUMBERVALUE(CompilDonnées[[#This Row],[FarmID]]&amp;CompilDonnées[[#This Row],[ModuleNumber]]&amp;CompilDonnées[[#This Row],[PlantationDate]])</f>
        <v>87245694</v>
      </c>
      <c r="O1219" t="str">
        <f>CompilDonnées[[#This Row],[FarmID]]&amp;CompilDonnées[[#This Row],[ModuleNumber]]</f>
        <v>872</v>
      </c>
      <c r="P1219" t="str">
        <f>CompilDonnées[[#This Row],[Ref_Module]]&amp;CompilDonnées[[#This Row],[HarvestingDate]]</f>
        <v>87245743</v>
      </c>
    </row>
    <row r="1220" spans="1:16">
      <c r="A1220" s="5">
        <v>45694</v>
      </c>
      <c r="B1220">
        <v>86</v>
      </c>
      <c r="C1220" t="s">
        <v>37</v>
      </c>
      <c r="D1220">
        <v>3</v>
      </c>
      <c r="E1220">
        <v>100</v>
      </c>
      <c r="F1220" t="s">
        <v>1</v>
      </c>
      <c r="G1220" s="6">
        <v>45743</v>
      </c>
      <c r="H1220">
        <v>49</v>
      </c>
      <c r="I1220">
        <f>ROUND(CompilDonnées[[#This Row],[CultureDuration_days]]/7,0)</f>
        <v>7</v>
      </c>
      <c r="J1220">
        <v>4066</v>
      </c>
      <c r="K1220" t="str">
        <f>_xlfn.CONCAT(WEEKNUM(CompilDonnées[[#This Row],[PlantationDate]]), " ", YEAR(CompilDonnées[[#This Row],[PlantationDate]]))</f>
        <v>6 2025</v>
      </c>
      <c r="L1220" t="str">
        <f>CONCATENATE(MONTH(CompilDonnées[[#This Row],[PlantationDate]])," ", YEAR(CompilDonnées[[#This Row],[PlantationDate]]))</f>
        <v>2 2025</v>
      </c>
      <c r="M1220" t="str">
        <f>CONCATENATE(MONTH(CompilDonnées[[#This Row],[HarvestingDate]])," ", YEAR(CompilDonnées[[#This Row],[HarvestingDate]]))</f>
        <v>3 2025</v>
      </c>
      <c r="N1220">
        <f>_xlfn.NUMBERVALUE(CompilDonnées[[#This Row],[FarmID]]&amp;CompilDonnées[[#This Row],[ModuleNumber]]&amp;CompilDonnées[[#This Row],[PlantationDate]])</f>
        <v>86345694</v>
      </c>
      <c r="O1220" t="str">
        <f>CompilDonnées[[#This Row],[FarmID]]&amp;CompilDonnées[[#This Row],[ModuleNumber]]</f>
        <v>863</v>
      </c>
      <c r="P1220" t="str">
        <f>CompilDonnées[[#This Row],[Ref_Module]]&amp;CompilDonnées[[#This Row],[HarvestingDate]]</f>
        <v>86345743</v>
      </c>
    </row>
    <row r="1221" spans="1:16">
      <c r="A1221" s="5">
        <v>45694</v>
      </c>
      <c r="B1221">
        <v>138</v>
      </c>
      <c r="C1221" t="s">
        <v>8</v>
      </c>
      <c r="D1221">
        <v>1</v>
      </c>
      <c r="E1221">
        <v>100</v>
      </c>
      <c r="F1221" t="s">
        <v>1</v>
      </c>
      <c r="G1221" s="6">
        <v>45733</v>
      </c>
      <c r="H1221">
        <v>39</v>
      </c>
      <c r="I1221">
        <f>ROUND(CompilDonnées[[#This Row],[CultureDuration_days]]/7,0)</f>
        <v>6</v>
      </c>
      <c r="J1221">
        <v>2978</v>
      </c>
      <c r="K1221" t="str">
        <f>_xlfn.CONCAT(WEEKNUM(CompilDonnées[[#This Row],[PlantationDate]]), " ", YEAR(CompilDonnées[[#This Row],[PlantationDate]]))</f>
        <v>6 2025</v>
      </c>
      <c r="L1221" t="str">
        <f>CONCATENATE(MONTH(CompilDonnées[[#This Row],[PlantationDate]])," ", YEAR(CompilDonnées[[#This Row],[PlantationDate]]))</f>
        <v>2 2025</v>
      </c>
      <c r="M1221" t="str">
        <f>CONCATENATE(MONTH(CompilDonnées[[#This Row],[HarvestingDate]])," ", YEAR(CompilDonnées[[#This Row],[HarvestingDate]]))</f>
        <v>3 2025</v>
      </c>
      <c r="N1221">
        <f>_xlfn.NUMBERVALUE(CompilDonnées[[#This Row],[FarmID]]&amp;CompilDonnées[[#This Row],[ModuleNumber]]&amp;CompilDonnées[[#This Row],[PlantationDate]])</f>
        <v>138145694</v>
      </c>
      <c r="O1221" t="str">
        <f>CompilDonnées[[#This Row],[FarmID]]&amp;CompilDonnées[[#This Row],[ModuleNumber]]</f>
        <v>1381</v>
      </c>
      <c r="P1221" t="str">
        <f>CompilDonnées[[#This Row],[Ref_Module]]&amp;CompilDonnées[[#This Row],[HarvestingDate]]</f>
        <v>138145733</v>
      </c>
    </row>
    <row r="1222" spans="1:16">
      <c r="A1222" s="5">
        <v>45694</v>
      </c>
      <c r="B1222">
        <v>97</v>
      </c>
      <c r="C1222" t="s">
        <v>78</v>
      </c>
      <c r="D1222">
        <v>2</v>
      </c>
      <c r="E1222">
        <v>100</v>
      </c>
      <c r="F1222" t="s">
        <v>1</v>
      </c>
      <c r="G1222" s="6">
        <v>45733</v>
      </c>
      <c r="H1222">
        <v>39</v>
      </c>
      <c r="I1222">
        <f>ROUND(CompilDonnées[[#This Row],[CultureDuration_days]]/7,0)</f>
        <v>6</v>
      </c>
      <c r="J1222">
        <v>3702</v>
      </c>
      <c r="K1222" t="str">
        <f>_xlfn.CONCAT(WEEKNUM(CompilDonnées[[#This Row],[PlantationDate]]), " ", YEAR(CompilDonnées[[#This Row],[PlantationDate]]))</f>
        <v>6 2025</v>
      </c>
      <c r="L1222" t="str">
        <f>CONCATENATE(MONTH(CompilDonnées[[#This Row],[PlantationDate]])," ", YEAR(CompilDonnées[[#This Row],[PlantationDate]]))</f>
        <v>2 2025</v>
      </c>
      <c r="M1222" t="str">
        <f>CONCATENATE(MONTH(CompilDonnées[[#This Row],[HarvestingDate]])," ", YEAR(CompilDonnées[[#This Row],[HarvestingDate]]))</f>
        <v>3 2025</v>
      </c>
      <c r="N1222">
        <f>_xlfn.NUMBERVALUE(CompilDonnées[[#This Row],[FarmID]]&amp;CompilDonnées[[#This Row],[ModuleNumber]]&amp;CompilDonnées[[#This Row],[PlantationDate]])</f>
        <v>97245694</v>
      </c>
      <c r="O1222" t="str">
        <f>CompilDonnées[[#This Row],[FarmID]]&amp;CompilDonnées[[#This Row],[ModuleNumber]]</f>
        <v>972</v>
      </c>
      <c r="P1222" t="str">
        <f>CompilDonnées[[#This Row],[Ref_Module]]&amp;CompilDonnées[[#This Row],[HarvestingDate]]</f>
        <v>97245733</v>
      </c>
    </row>
    <row r="1223" spans="1:16">
      <c r="A1223" s="5">
        <v>45694</v>
      </c>
      <c r="B1223">
        <v>109</v>
      </c>
      <c r="C1223" t="s">
        <v>87</v>
      </c>
      <c r="D1223">
        <v>6</v>
      </c>
      <c r="E1223">
        <v>100</v>
      </c>
      <c r="F1223" t="s">
        <v>1</v>
      </c>
      <c r="G1223" s="6">
        <v>45733</v>
      </c>
      <c r="H1223">
        <v>39</v>
      </c>
      <c r="I1223">
        <f>ROUND(CompilDonnées[[#This Row],[CultureDuration_days]]/7,0)</f>
        <v>6</v>
      </c>
      <c r="J1223">
        <v>3874</v>
      </c>
      <c r="K1223" t="str">
        <f>_xlfn.CONCAT(WEEKNUM(CompilDonnées[[#This Row],[PlantationDate]]), " ", YEAR(CompilDonnées[[#This Row],[PlantationDate]]))</f>
        <v>6 2025</v>
      </c>
      <c r="L1223" t="str">
        <f>CONCATENATE(MONTH(CompilDonnées[[#This Row],[PlantationDate]])," ", YEAR(CompilDonnées[[#This Row],[PlantationDate]]))</f>
        <v>2 2025</v>
      </c>
      <c r="M1223" t="str">
        <f>CONCATENATE(MONTH(CompilDonnées[[#This Row],[HarvestingDate]])," ", YEAR(CompilDonnées[[#This Row],[HarvestingDate]]))</f>
        <v>3 2025</v>
      </c>
      <c r="N1223">
        <f>_xlfn.NUMBERVALUE(CompilDonnées[[#This Row],[FarmID]]&amp;CompilDonnées[[#This Row],[ModuleNumber]]&amp;CompilDonnées[[#This Row],[PlantationDate]])</f>
        <v>109645694</v>
      </c>
      <c r="O1223" t="str">
        <f>CompilDonnées[[#This Row],[FarmID]]&amp;CompilDonnées[[#This Row],[ModuleNumber]]</f>
        <v>1096</v>
      </c>
      <c r="P1223" t="str">
        <f>CompilDonnées[[#This Row],[Ref_Module]]&amp;CompilDonnées[[#This Row],[HarvestingDate]]</f>
        <v>109645733</v>
      </c>
    </row>
    <row r="1224" spans="1:16">
      <c r="A1224" s="5">
        <v>45694</v>
      </c>
      <c r="B1224">
        <v>92</v>
      </c>
      <c r="C1224" t="s">
        <v>66</v>
      </c>
      <c r="D1224">
        <v>2</v>
      </c>
      <c r="E1224">
        <v>100</v>
      </c>
      <c r="F1224" t="s">
        <v>1</v>
      </c>
      <c r="G1224" s="6">
        <v>45736</v>
      </c>
      <c r="H1224">
        <v>42</v>
      </c>
      <c r="I1224">
        <f>ROUND(CompilDonnées[[#This Row],[CultureDuration_days]]/7,0)</f>
        <v>6</v>
      </c>
      <c r="J1224">
        <v>2595</v>
      </c>
      <c r="K1224" t="str">
        <f>_xlfn.CONCAT(WEEKNUM(CompilDonnées[[#This Row],[PlantationDate]]), " ", YEAR(CompilDonnées[[#This Row],[PlantationDate]]))</f>
        <v>6 2025</v>
      </c>
      <c r="L1224" t="str">
        <f>CONCATENATE(MONTH(CompilDonnées[[#This Row],[PlantationDate]])," ", YEAR(CompilDonnées[[#This Row],[PlantationDate]]))</f>
        <v>2 2025</v>
      </c>
      <c r="M1224" t="str">
        <f>CONCATENATE(MONTH(CompilDonnées[[#This Row],[HarvestingDate]])," ", YEAR(CompilDonnées[[#This Row],[HarvestingDate]]))</f>
        <v>3 2025</v>
      </c>
      <c r="N1224">
        <f>_xlfn.NUMBERVALUE(CompilDonnées[[#This Row],[FarmID]]&amp;CompilDonnées[[#This Row],[ModuleNumber]]&amp;CompilDonnées[[#This Row],[PlantationDate]])</f>
        <v>92245694</v>
      </c>
      <c r="O1224" t="str">
        <f>CompilDonnées[[#This Row],[FarmID]]&amp;CompilDonnées[[#This Row],[ModuleNumber]]</f>
        <v>922</v>
      </c>
      <c r="P1224" t="str">
        <f>CompilDonnées[[#This Row],[Ref_Module]]&amp;CompilDonnées[[#This Row],[HarvestingDate]]</f>
        <v>92245736</v>
      </c>
    </row>
    <row r="1225" spans="1:16">
      <c r="A1225" s="5">
        <v>45694</v>
      </c>
      <c r="B1225">
        <v>85</v>
      </c>
      <c r="C1225" t="s">
        <v>56</v>
      </c>
      <c r="D1225">
        <v>3</v>
      </c>
      <c r="E1225">
        <v>100</v>
      </c>
      <c r="F1225" t="s">
        <v>1</v>
      </c>
      <c r="G1225" s="6">
        <v>45736</v>
      </c>
      <c r="H1225">
        <v>42</v>
      </c>
      <c r="I1225">
        <f>ROUND(CompilDonnées[[#This Row],[CultureDuration_days]]/7,0)</f>
        <v>6</v>
      </c>
      <c r="J1225">
        <v>2425</v>
      </c>
      <c r="K1225" t="str">
        <f>_xlfn.CONCAT(WEEKNUM(CompilDonnées[[#This Row],[PlantationDate]]), " ", YEAR(CompilDonnées[[#This Row],[PlantationDate]]))</f>
        <v>6 2025</v>
      </c>
      <c r="L1225" t="str">
        <f>CONCATENATE(MONTH(CompilDonnées[[#This Row],[PlantationDate]])," ", YEAR(CompilDonnées[[#This Row],[PlantationDate]]))</f>
        <v>2 2025</v>
      </c>
      <c r="M1225" t="str">
        <f>CONCATENATE(MONTH(CompilDonnées[[#This Row],[HarvestingDate]])," ", YEAR(CompilDonnées[[#This Row],[HarvestingDate]]))</f>
        <v>3 2025</v>
      </c>
      <c r="N1225">
        <f>_xlfn.NUMBERVALUE(CompilDonnées[[#This Row],[FarmID]]&amp;CompilDonnées[[#This Row],[ModuleNumber]]&amp;CompilDonnées[[#This Row],[PlantationDate]])</f>
        <v>85345694</v>
      </c>
      <c r="O1225" t="str">
        <f>CompilDonnées[[#This Row],[FarmID]]&amp;CompilDonnées[[#This Row],[ModuleNumber]]</f>
        <v>853</v>
      </c>
      <c r="P1225" t="str">
        <f>CompilDonnées[[#This Row],[Ref_Module]]&amp;CompilDonnées[[#This Row],[HarvestingDate]]</f>
        <v>85345736</v>
      </c>
    </row>
    <row r="1226" spans="1:16">
      <c r="A1226" s="5">
        <v>45694</v>
      </c>
      <c r="B1226">
        <v>46</v>
      </c>
      <c r="C1226" t="s">
        <v>3</v>
      </c>
      <c r="D1226">
        <v>1</v>
      </c>
      <c r="E1226">
        <v>60</v>
      </c>
      <c r="F1226" t="s">
        <v>105</v>
      </c>
      <c r="G1226" s="6">
        <v>45764</v>
      </c>
      <c r="H1226">
        <v>70</v>
      </c>
      <c r="I1226">
        <f>ROUND(CompilDonnées[[#This Row],[CultureDuration_days]]/7,0)</f>
        <v>10</v>
      </c>
      <c r="J1226">
        <v>1267</v>
      </c>
      <c r="K1226" t="str">
        <f>_xlfn.CONCAT(WEEKNUM(CompilDonnées[[#This Row],[PlantationDate]]), " ", YEAR(CompilDonnées[[#This Row],[PlantationDate]]))</f>
        <v>6 2025</v>
      </c>
      <c r="L1226" t="str">
        <f>CONCATENATE(MONTH(CompilDonnées[[#This Row],[PlantationDate]])," ", YEAR(CompilDonnées[[#This Row],[PlantationDate]]))</f>
        <v>2 2025</v>
      </c>
      <c r="M1226" t="str">
        <f>CONCATENATE(MONTH(CompilDonnées[[#This Row],[HarvestingDate]])," ", YEAR(CompilDonnées[[#This Row],[HarvestingDate]]))</f>
        <v>4 2025</v>
      </c>
      <c r="N1226">
        <f>_xlfn.NUMBERVALUE(CompilDonnées[[#This Row],[FarmID]]&amp;CompilDonnées[[#This Row],[ModuleNumber]]&amp;CompilDonnées[[#This Row],[PlantationDate]])</f>
        <v>46145694</v>
      </c>
      <c r="O1226" t="str">
        <f>CompilDonnées[[#This Row],[FarmID]]&amp;CompilDonnées[[#This Row],[ModuleNumber]]</f>
        <v>461</v>
      </c>
      <c r="P1226" t="str">
        <f>CompilDonnées[[#This Row],[Ref_Module]]&amp;CompilDonnées[[#This Row],[HarvestingDate]]</f>
        <v>46145764</v>
      </c>
    </row>
    <row r="1227" spans="1:16">
      <c r="A1227" s="5">
        <v>45694</v>
      </c>
      <c r="B1227">
        <v>46</v>
      </c>
      <c r="C1227" t="s">
        <v>3</v>
      </c>
      <c r="D1227">
        <v>2</v>
      </c>
      <c r="E1227">
        <v>60</v>
      </c>
      <c r="F1227" t="s">
        <v>105</v>
      </c>
      <c r="G1227" s="6">
        <v>45764</v>
      </c>
      <c r="H1227">
        <v>70</v>
      </c>
      <c r="I1227">
        <f>ROUND(CompilDonnées[[#This Row],[CultureDuration_days]]/7,0)</f>
        <v>10</v>
      </c>
      <c r="J1227">
        <v>1067</v>
      </c>
      <c r="K1227" t="str">
        <f>_xlfn.CONCAT(WEEKNUM(CompilDonnées[[#This Row],[PlantationDate]]), " ", YEAR(CompilDonnées[[#This Row],[PlantationDate]]))</f>
        <v>6 2025</v>
      </c>
      <c r="L1227" t="str">
        <f>CONCATENATE(MONTH(CompilDonnées[[#This Row],[PlantationDate]])," ", YEAR(CompilDonnées[[#This Row],[PlantationDate]]))</f>
        <v>2 2025</v>
      </c>
      <c r="M1227" t="str">
        <f>CONCATENATE(MONTH(CompilDonnées[[#This Row],[HarvestingDate]])," ", YEAR(CompilDonnées[[#This Row],[HarvestingDate]]))</f>
        <v>4 2025</v>
      </c>
      <c r="N1227">
        <f>_xlfn.NUMBERVALUE(CompilDonnées[[#This Row],[FarmID]]&amp;CompilDonnées[[#This Row],[ModuleNumber]]&amp;CompilDonnées[[#This Row],[PlantationDate]])</f>
        <v>46245694</v>
      </c>
      <c r="O1227" t="str">
        <f>CompilDonnées[[#This Row],[FarmID]]&amp;CompilDonnées[[#This Row],[ModuleNumber]]</f>
        <v>462</v>
      </c>
      <c r="P1227" t="str">
        <f>CompilDonnées[[#This Row],[Ref_Module]]&amp;CompilDonnées[[#This Row],[HarvestingDate]]</f>
        <v>46245764</v>
      </c>
    </row>
    <row r="1228" spans="1:16">
      <c r="A1228" s="5">
        <v>45694</v>
      </c>
      <c r="B1228">
        <v>46</v>
      </c>
      <c r="C1228" t="s">
        <v>3</v>
      </c>
      <c r="D1228">
        <v>3</v>
      </c>
      <c r="E1228">
        <v>60</v>
      </c>
      <c r="F1228" t="s">
        <v>105</v>
      </c>
      <c r="G1228" s="6">
        <v>45764</v>
      </c>
      <c r="H1228">
        <v>70</v>
      </c>
      <c r="I1228">
        <f>ROUND(CompilDonnées[[#This Row],[CultureDuration_days]]/7,0)</f>
        <v>10</v>
      </c>
      <c r="J1228">
        <v>1467</v>
      </c>
      <c r="K1228" t="str">
        <f>_xlfn.CONCAT(WEEKNUM(CompilDonnées[[#This Row],[PlantationDate]]), " ", YEAR(CompilDonnées[[#This Row],[PlantationDate]]))</f>
        <v>6 2025</v>
      </c>
      <c r="L1228" t="str">
        <f>CONCATENATE(MONTH(CompilDonnées[[#This Row],[PlantationDate]])," ", YEAR(CompilDonnées[[#This Row],[PlantationDate]]))</f>
        <v>2 2025</v>
      </c>
      <c r="M1228" t="str">
        <f>CONCATENATE(MONTH(CompilDonnées[[#This Row],[HarvestingDate]])," ", YEAR(CompilDonnées[[#This Row],[HarvestingDate]]))</f>
        <v>4 2025</v>
      </c>
      <c r="N1228">
        <f>_xlfn.NUMBERVALUE(CompilDonnées[[#This Row],[FarmID]]&amp;CompilDonnées[[#This Row],[ModuleNumber]]&amp;CompilDonnées[[#This Row],[PlantationDate]])</f>
        <v>46345694</v>
      </c>
      <c r="O1228" t="str">
        <f>CompilDonnées[[#This Row],[FarmID]]&amp;CompilDonnées[[#This Row],[ModuleNumber]]</f>
        <v>463</v>
      </c>
      <c r="P1228" t="str">
        <f>CompilDonnées[[#This Row],[Ref_Module]]&amp;CompilDonnées[[#This Row],[HarvestingDate]]</f>
        <v>46345764</v>
      </c>
    </row>
    <row r="1229" spans="1:16">
      <c r="A1229" s="5">
        <v>45695</v>
      </c>
      <c r="B1229">
        <v>6</v>
      </c>
      <c r="C1229" t="s">
        <v>24</v>
      </c>
      <c r="D1229">
        <v>6</v>
      </c>
      <c r="E1229">
        <v>100</v>
      </c>
      <c r="F1229" t="s">
        <v>1</v>
      </c>
      <c r="G1229" s="6">
        <v>45740</v>
      </c>
      <c r="H1229">
        <v>45</v>
      </c>
      <c r="I1229">
        <f>ROUND(CompilDonnées[[#This Row],[CultureDuration_days]]/7,0)</f>
        <v>6</v>
      </c>
      <c r="J1229">
        <v>3038</v>
      </c>
      <c r="K1229" t="str">
        <f>_xlfn.CONCAT(WEEKNUM(CompilDonnées[[#This Row],[PlantationDate]]), " ", YEAR(CompilDonnées[[#This Row],[PlantationDate]]))</f>
        <v>6 2025</v>
      </c>
      <c r="L1229" t="str">
        <f>CONCATENATE(MONTH(CompilDonnées[[#This Row],[PlantationDate]])," ", YEAR(CompilDonnées[[#This Row],[PlantationDate]]))</f>
        <v>2 2025</v>
      </c>
      <c r="M1229" t="str">
        <f>CONCATENATE(MONTH(CompilDonnées[[#This Row],[HarvestingDate]])," ", YEAR(CompilDonnées[[#This Row],[HarvestingDate]]))</f>
        <v>3 2025</v>
      </c>
      <c r="N1229">
        <f>_xlfn.NUMBERVALUE(CompilDonnées[[#This Row],[FarmID]]&amp;CompilDonnées[[#This Row],[ModuleNumber]]&amp;CompilDonnées[[#This Row],[PlantationDate]])</f>
        <v>6645695</v>
      </c>
      <c r="O1229" t="str">
        <f>CompilDonnées[[#This Row],[FarmID]]&amp;CompilDonnées[[#This Row],[ModuleNumber]]</f>
        <v>66</v>
      </c>
      <c r="P1229" t="str">
        <f>CompilDonnées[[#This Row],[Ref_Module]]&amp;CompilDonnées[[#This Row],[HarvestingDate]]</f>
        <v>6645740</v>
      </c>
    </row>
    <row r="1230" spans="1:16">
      <c r="A1230" s="5">
        <v>45695</v>
      </c>
      <c r="B1230">
        <v>4</v>
      </c>
      <c r="C1230" t="s">
        <v>74</v>
      </c>
      <c r="D1230">
        <v>3</v>
      </c>
      <c r="E1230">
        <v>100</v>
      </c>
      <c r="F1230" t="s">
        <v>1</v>
      </c>
      <c r="G1230" s="6">
        <v>45739</v>
      </c>
      <c r="H1230">
        <v>44</v>
      </c>
      <c r="I1230">
        <f>ROUND(CompilDonnées[[#This Row],[CultureDuration_days]]/7,0)</f>
        <v>6</v>
      </c>
      <c r="J1230">
        <v>2624</v>
      </c>
      <c r="K1230" t="str">
        <f>_xlfn.CONCAT(WEEKNUM(CompilDonnées[[#This Row],[PlantationDate]]), " ", YEAR(CompilDonnées[[#This Row],[PlantationDate]]))</f>
        <v>6 2025</v>
      </c>
      <c r="L1230" t="str">
        <f>CONCATENATE(MONTH(CompilDonnées[[#This Row],[PlantationDate]])," ", YEAR(CompilDonnées[[#This Row],[PlantationDate]]))</f>
        <v>2 2025</v>
      </c>
      <c r="M1230" t="str">
        <f>CONCATENATE(MONTH(CompilDonnées[[#This Row],[HarvestingDate]])," ", YEAR(CompilDonnées[[#This Row],[HarvestingDate]]))</f>
        <v>3 2025</v>
      </c>
      <c r="N1230">
        <f>_xlfn.NUMBERVALUE(CompilDonnées[[#This Row],[FarmID]]&amp;CompilDonnées[[#This Row],[ModuleNumber]]&amp;CompilDonnées[[#This Row],[PlantationDate]])</f>
        <v>4345695</v>
      </c>
      <c r="O1230" t="str">
        <f>CompilDonnées[[#This Row],[FarmID]]&amp;CompilDonnées[[#This Row],[ModuleNumber]]</f>
        <v>43</v>
      </c>
      <c r="P1230" t="str">
        <f>CompilDonnées[[#This Row],[Ref_Module]]&amp;CompilDonnées[[#This Row],[HarvestingDate]]</f>
        <v>4345739</v>
      </c>
    </row>
    <row r="1231" spans="1:16">
      <c r="A1231" s="5">
        <v>45695</v>
      </c>
      <c r="B1231">
        <v>18</v>
      </c>
      <c r="C1231" t="s">
        <v>33</v>
      </c>
      <c r="D1231">
        <v>5</v>
      </c>
      <c r="E1231">
        <v>100</v>
      </c>
      <c r="F1231" t="s">
        <v>1</v>
      </c>
      <c r="G1231" s="6">
        <v>45740</v>
      </c>
      <c r="H1231">
        <v>45</v>
      </c>
      <c r="I1231">
        <f>ROUND(CompilDonnées[[#This Row],[CultureDuration_days]]/7,0)</f>
        <v>6</v>
      </c>
      <c r="J1231">
        <v>3201</v>
      </c>
      <c r="K1231" t="str">
        <f>_xlfn.CONCAT(WEEKNUM(CompilDonnées[[#This Row],[PlantationDate]]), " ", YEAR(CompilDonnées[[#This Row],[PlantationDate]]))</f>
        <v>6 2025</v>
      </c>
      <c r="L1231" t="str">
        <f>CONCATENATE(MONTH(CompilDonnées[[#This Row],[PlantationDate]])," ", YEAR(CompilDonnées[[#This Row],[PlantationDate]]))</f>
        <v>2 2025</v>
      </c>
      <c r="M1231" t="str">
        <f>CONCATENATE(MONTH(CompilDonnées[[#This Row],[HarvestingDate]])," ", YEAR(CompilDonnées[[#This Row],[HarvestingDate]]))</f>
        <v>3 2025</v>
      </c>
      <c r="N1231">
        <f>_xlfn.NUMBERVALUE(CompilDonnées[[#This Row],[FarmID]]&amp;CompilDonnées[[#This Row],[ModuleNumber]]&amp;CompilDonnées[[#This Row],[PlantationDate]])</f>
        <v>18545695</v>
      </c>
      <c r="O1231" t="str">
        <f>CompilDonnées[[#This Row],[FarmID]]&amp;CompilDonnées[[#This Row],[ModuleNumber]]</f>
        <v>185</v>
      </c>
      <c r="P1231" t="str">
        <f>CompilDonnées[[#This Row],[Ref_Module]]&amp;CompilDonnées[[#This Row],[HarvestingDate]]</f>
        <v>18545740</v>
      </c>
    </row>
    <row r="1232" spans="1:16">
      <c r="A1232" s="5">
        <v>45695</v>
      </c>
      <c r="B1232">
        <v>17</v>
      </c>
      <c r="C1232" t="s">
        <v>80</v>
      </c>
      <c r="D1232">
        <v>2</v>
      </c>
      <c r="E1232">
        <v>100</v>
      </c>
      <c r="F1232" t="s">
        <v>1</v>
      </c>
      <c r="G1232" s="6">
        <v>45740</v>
      </c>
      <c r="H1232">
        <v>45</v>
      </c>
      <c r="I1232">
        <f>ROUND(CompilDonnées[[#This Row],[CultureDuration_days]]/7,0)</f>
        <v>6</v>
      </c>
      <c r="J1232">
        <v>3565</v>
      </c>
      <c r="K1232" t="str">
        <f>_xlfn.CONCAT(WEEKNUM(CompilDonnées[[#This Row],[PlantationDate]]), " ", YEAR(CompilDonnées[[#This Row],[PlantationDate]]))</f>
        <v>6 2025</v>
      </c>
      <c r="L1232" t="str">
        <f>CONCATENATE(MONTH(CompilDonnées[[#This Row],[PlantationDate]])," ", YEAR(CompilDonnées[[#This Row],[PlantationDate]]))</f>
        <v>2 2025</v>
      </c>
      <c r="M1232" t="str">
        <f>CONCATENATE(MONTH(CompilDonnées[[#This Row],[HarvestingDate]])," ", YEAR(CompilDonnées[[#This Row],[HarvestingDate]]))</f>
        <v>3 2025</v>
      </c>
      <c r="N1232">
        <f>_xlfn.NUMBERVALUE(CompilDonnées[[#This Row],[FarmID]]&amp;CompilDonnées[[#This Row],[ModuleNumber]]&amp;CompilDonnées[[#This Row],[PlantationDate]])</f>
        <v>17245695</v>
      </c>
      <c r="O1232" t="str">
        <f>CompilDonnées[[#This Row],[FarmID]]&amp;CompilDonnées[[#This Row],[ModuleNumber]]</f>
        <v>172</v>
      </c>
      <c r="P1232" t="str">
        <f>CompilDonnées[[#This Row],[Ref_Module]]&amp;CompilDonnées[[#This Row],[HarvestingDate]]</f>
        <v>17245740</v>
      </c>
    </row>
    <row r="1233" spans="1:16">
      <c r="A1233" s="5">
        <v>45695</v>
      </c>
      <c r="B1233">
        <v>15</v>
      </c>
      <c r="C1233" t="s">
        <v>5</v>
      </c>
      <c r="D1233">
        <v>3</v>
      </c>
      <c r="E1233">
        <v>100</v>
      </c>
      <c r="F1233" t="s">
        <v>1</v>
      </c>
      <c r="G1233" s="6">
        <v>45740</v>
      </c>
      <c r="H1233">
        <v>45</v>
      </c>
      <c r="I1233">
        <f>ROUND(CompilDonnées[[#This Row],[CultureDuration_days]]/7,0)</f>
        <v>6</v>
      </c>
      <c r="J1233">
        <v>3953</v>
      </c>
      <c r="K1233" t="str">
        <f>_xlfn.CONCAT(WEEKNUM(CompilDonnées[[#This Row],[PlantationDate]]), " ", YEAR(CompilDonnées[[#This Row],[PlantationDate]]))</f>
        <v>6 2025</v>
      </c>
      <c r="L1233" t="str">
        <f>CONCATENATE(MONTH(CompilDonnées[[#This Row],[PlantationDate]])," ", YEAR(CompilDonnées[[#This Row],[PlantationDate]]))</f>
        <v>2 2025</v>
      </c>
      <c r="M1233" t="str">
        <f>CONCATENATE(MONTH(CompilDonnées[[#This Row],[HarvestingDate]])," ", YEAR(CompilDonnées[[#This Row],[HarvestingDate]]))</f>
        <v>3 2025</v>
      </c>
      <c r="N1233">
        <f>_xlfn.NUMBERVALUE(CompilDonnées[[#This Row],[FarmID]]&amp;CompilDonnées[[#This Row],[ModuleNumber]]&amp;CompilDonnées[[#This Row],[PlantationDate]])</f>
        <v>15345695</v>
      </c>
      <c r="O1233" t="str">
        <f>CompilDonnées[[#This Row],[FarmID]]&amp;CompilDonnées[[#This Row],[ModuleNumber]]</f>
        <v>153</v>
      </c>
      <c r="P1233" t="str">
        <f>CompilDonnées[[#This Row],[Ref_Module]]&amp;CompilDonnées[[#This Row],[HarvestingDate]]</f>
        <v>15345740</v>
      </c>
    </row>
    <row r="1234" spans="1:16">
      <c r="A1234" s="5">
        <v>45695</v>
      </c>
      <c r="B1234">
        <v>23</v>
      </c>
      <c r="C1234" t="s">
        <v>44</v>
      </c>
      <c r="D1234">
        <v>2</v>
      </c>
      <c r="E1234">
        <v>100</v>
      </c>
      <c r="F1234" t="s">
        <v>1</v>
      </c>
      <c r="G1234" s="6">
        <v>45739</v>
      </c>
      <c r="H1234">
        <v>44</v>
      </c>
      <c r="I1234">
        <f>ROUND(CompilDonnées[[#This Row],[CultureDuration_days]]/7,0)</f>
        <v>6</v>
      </c>
      <c r="J1234">
        <v>2814</v>
      </c>
      <c r="K1234" t="str">
        <f>_xlfn.CONCAT(WEEKNUM(CompilDonnées[[#This Row],[PlantationDate]]), " ", YEAR(CompilDonnées[[#This Row],[PlantationDate]]))</f>
        <v>6 2025</v>
      </c>
      <c r="L1234" t="str">
        <f>CONCATENATE(MONTH(CompilDonnées[[#This Row],[PlantationDate]])," ", YEAR(CompilDonnées[[#This Row],[PlantationDate]]))</f>
        <v>2 2025</v>
      </c>
      <c r="M1234" t="str">
        <f>CONCATENATE(MONTH(CompilDonnées[[#This Row],[HarvestingDate]])," ", YEAR(CompilDonnées[[#This Row],[HarvestingDate]]))</f>
        <v>3 2025</v>
      </c>
      <c r="N1234">
        <f>_xlfn.NUMBERVALUE(CompilDonnées[[#This Row],[FarmID]]&amp;CompilDonnées[[#This Row],[ModuleNumber]]&amp;CompilDonnées[[#This Row],[PlantationDate]])</f>
        <v>23245695</v>
      </c>
      <c r="O1234" t="str">
        <f>CompilDonnées[[#This Row],[FarmID]]&amp;CompilDonnées[[#This Row],[ModuleNumber]]</f>
        <v>232</v>
      </c>
      <c r="P1234" t="str">
        <f>CompilDonnées[[#This Row],[Ref_Module]]&amp;CompilDonnées[[#This Row],[HarvestingDate]]</f>
        <v>23245739</v>
      </c>
    </row>
    <row r="1235" spans="1:16">
      <c r="A1235" s="5">
        <v>45696</v>
      </c>
      <c r="B1235">
        <v>23</v>
      </c>
      <c r="C1235" t="s">
        <v>44</v>
      </c>
      <c r="D1235">
        <v>3</v>
      </c>
      <c r="E1235">
        <v>100</v>
      </c>
      <c r="F1235" t="s">
        <v>1</v>
      </c>
      <c r="G1235" s="6">
        <v>45741</v>
      </c>
      <c r="H1235">
        <v>45</v>
      </c>
      <c r="I1235">
        <f>ROUND(CompilDonnées[[#This Row],[CultureDuration_days]]/7,0)</f>
        <v>6</v>
      </c>
      <c r="J1235">
        <v>3585</v>
      </c>
      <c r="K1235" t="str">
        <f>_xlfn.CONCAT(WEEKNUM(CompilDonnées[[#This Row],[PlantationDate]]), " ", YEAR(CompilDonnées[[#This Row],[PlantationDate]]))</f>
        <v>6 2025</v>
      </c>
      <c r="L1235" t="str">
        <f>CONCATENATE(MONTH(CompilDonnées[[#This Row],[PlantationDate]])," ", YEAR(CompilDonnées[[#This Row],[PlantationDate]]))</f>
        <v>2 2025</v>
      </c>
      <c r="M1235" t="str">
        <f>CONCATENATE(MONTH(CompilDonnées[[#This Row],[HarvestingDate]])," ", YEAR(CompilDonnées[[#This Row],[HarvestingDate]]))</f>
        <v>3 2025</v>
      </c>
      <c r="N1235">
        <f>_xlfn.NUMBERVALUE(CompilDonnées[[#This Row],[FarmID]]&amp;CompilDonnées[[#This Row],[ModuleNumber]]&amp;CompilDonnées[[#This Row],[PlantationDate]])</f>
        <v>23345696</v>
      </c>
      <c r="O1235" t="str">
        <f>CompilDonnées[[#This Row],[FarmID]]&amp;CompilDonnées[[#This Row],[ModuleNumber]]</f>
        <v>233</v>
      </c>
      <c r="P1235" t="str">
        <f>CompilDonnées[[#This Row],[Ref_Module]]&amp;CompilDonnées[[#This Row],[HarvestingDate]]</f>
        <v>23345741</v>
      </c>
    </row>
    <row r="1236" spans="1:16">
      <c r="A1236" s="5">
        <v>45695</v>
      </c>
      <c r="B1236">
        <v>22</v>
      </c>
      <c r="C1236" t="s">
        <v>43</v>
      </c>
      <c r="D1236">
        <v>5</v>
      </c>
      <c r="E1236">
        <v>100</v>
      </c>
      <c r="F1236" t="s">
        <v>1</v>
      </c>
      <c r="G1236" s="6">
        <v>45739</v>
      </c>
      <c r="H1236">
        <v>44</v>
      </c>
      <c r="I1236">
        <f>ROUND(CompilDonnées[[#This Row],[CultureDuration_days]]/7,0)</f>
        <v>6</v>
      </c>
      <c r="J1236">
        <v>3614</v>
      </c>
      <c r="K1236" t="str">
        <f>_xlfn.CONCAT(WEEKNUM(CompilDonnées[[#This Row],[PlantationDate]]), " ", YEAR(CompilDonnées[[#This Row],[PlantationDate]]))</f>
        <v>6 2025</v>
      </c>
      <c r="L1236" t="str">
        <f>CONCATENATE(MONTH(CompilDonnées[[#This Row],[PlantationDate]])," ", YEAR(CompilDonnées[[#This Row],[PlantationDate]]))</f>
        <v>2 2025</v>
      </c>
      <c r="M1236" t="str">
        <f>CONCATENATE(MONTH(CompilDonnées[[#This Row],[HarvestingDate]])," ", YEAR(CompilDonnées[[#This Row],[HarvestingDate]]))</f>
        <v>3 2025</v>
      </c>
      <c r="N1236">
        <f>_xlfn.NUMBERVALUE(CompilDonnées[[#This Row],[FarmID]]&amp;CompilDonnées[[#This Row],[ModuleNumber]]&amp;CompilDonnées[[#This Row],[PlantationDate]])</f>
        <v>22545695</v>
      </c>
      <c r="O1236" t="str">
        <f>CompilDonnées[[#This Row],[FarmID]]&amp;CompilDonnées[[#This Row],[ModuleNumber]]</f>
        <v>225</v>
      </c>
      <c r="P1236" t="str">
        <f>CompilDonnées[[#This Row],[Ref_Module]]&amp;CompilDonnées[[#This Row],[HarvestingDate]]</f>
        <v>22545739</v>
      </c>
    </row>
    <row r="1237" spans="1:16">
      <c r="A1237" s="5">
        <v>45695</v>
      </c>
      <c r="B1237">
        <v>21</v>
      </c>
      <c r="C1237" t="s">
        <v>0</v>
      </c>
      <c r="D1237">
        <v>4</v>
      </c>
      <c r="E1237">
        <v>100</v>
      </c>
      <c r="F1237" t="s">
        <v>1</v>
      </c>
      <c r="G1237" s="6">
        <v>45740</v>
      </c>
      <c r="H1237">
        <v>45</v>
      </c>
      <c r="I1237">
        <f>ROUND(CompilDonnées[[#This Row],[CultureDuration_days]]/7,0)</f>
        <v>6</v>
      </c>
      <c r="J1237">
        <v>4156</v>
      </c>
      <c r="K1237" t="str">
        <f>_xlfn.CONCAT(WEEKNUM(CompilDonnées[[#This Row],[PlantationDate]]), " ", YEAR(CompilDonnées[[#This Row],[PlantationDate]]))</f>
        <v>6 2025</v>
      </c>
      <c r="L1237" t="str">
        <f>CONCATENATE(MONTH(CompilDonnées[[#This Row],[PlantationDate]])," ", YEAR(CompilDonnées[[#This Row],[PlantationDate]]))</f>
        <v>2 2025</v>
      </c>
      <c r="M1237" t="str">
        <f>CONCATENATE(MONTH(CompilDonnées[[#This Row],[HarvestingDate]])," ", YEAR(CompilDonnées[[#This Row],[HarvestingDate]]))</f>
        <v>3 2025</v>
      </c>
      <c r="N1237">
        <f>_xlfn.NUMBERVALUE(CompilDonnées[[#This Row],[FarmID]]&amp;CompilDonnées[[#This Row],[ModuleNumber]]&amp;CompilDonnées[[#This Row],[PlantationDate]])</f>
        <v>21445695</v>
      </c>
      <c r="O1237" t="str">
        <f>CompilDonnées[[#This Row],[FarmID]]&amp;CompilDonnées[[#This Row],[ModuleNumber]]</f>
        <v>214</v>
      </c>
      <c r="P1237" t="str">
        <f>CompilDonnées[[#This Row],[Ref_Module]]&amp;CompilDonnées[[#This Row],[HarvestingDate]]</f>
        <v>21445740</v>
      </c>
    </row>
    <row r="1238" spans="1:16">
      <c r="A1238" s="5">
        <v>45695</v>
      </c>
      <c r="B1238">
        <v>29</v>
      </c>
      <c r="C1238" t="s">
        <v>2</v>
      </c>
      <c r="D1238">
        <v>1</v>
      </c>
      <c r="E1238">
        <v>100</v>
      </c>
      <c r="F1238" t="s">
        <v>1</v>
      </c>
      <c r="G1238" s="6">
        <v>45738</v>
      </c>
      <c r="H1238">
        <v>43</v>
      </c>
      <c r="I1238">
        <f>ROUND(CompilDonnées[[#This Row],[CultureDuration_days]]/7,0)</f>
        <v>6</v>
      </c>
      <c r="J1238">
        <v>3022</v>
      </c>
      <c r="K1238" t="str">
        <f>_xlfn.CONCAT(WEEKNUM(CompilDonnées[[#This Row],[PlantationDate]]), " ", YEAR(CompilDonnées[[#This Row],[PlantationDate]]))</f>
        <v>6 2025</v>
      </c>
      <c r="L1238" t="str">
        <f>CONCATENATE(MONTH(CompilDonnées[[#This Row],[PlantationDate]])," ", YEAR(CompilDonnées[[#This Row],[PlantationDate]]))</f>
        <v>2 2025</v>
      </c>
      <c r="M1238" t="str">
        <f>CONCATENATE(MONTH(CompilDonnées[[#This Row],[HarvestingDate]])," ", YEAR(CompilDonnées[[#This Row],[HarvestingDate]]))</f>
        <v>3 2025</v>
      </c>
      <c r="N1238">
        <f>_xlfn.NUMBERVALUE(CompilDonnées[[#This Row],[FarmID]]&amp;CompilDonnées[[#This Row],[ModuleNumber]]&amp;CompilDonnées[[#This Row],[PlantationDate]])</f>
        <v>29145695</v>
      </c>
      <c r="O1238" t="str">
        <f>CompilDonnées[[#This Row],[FarmID]]&amp;CompilDonnées[[#This Row],[ModuleNumber]]</f>
        <v>291</v>
      </c>
      <c r="P1238" t="str">
        <f>CompilDonnées[[#This Row],[Ref_Module]]&amp;CompilDonnées[[#This Row],[HarvestingDate]]</f>
        <v>29145738</v>
      </c>
    </row>
    <row r="1239" spans="1:16">
      <c r="A1239" s="5">
        <v>45695</v>
      </c>
      <c r="B1239">
        <v>58</v>
      </c>
      <c r="C1239" t="s">
        <v>35</v>
      </c>
      <c r="D1239">
        <v>5</v>
      </c>
      <c r="E1239">
        <v>100</v>
      </c>
      <c r="F1239" t="s">
        <v>1</v>
      </c>
      <c r="G1239" s="6">
        <v>45737</v>
      </c>
      <c r="H1239">
        <v>42</v>
      </c>
      <c r="I1239">
        <f>ROUND(CompilDonnées[[#This Row],[CultureDuration_days]]/7,0)</f>
        <v>6</v>
      </c>
      <c r="J1239">
        <v>2737</v>
      </c>
      <c r="K1239" t="str">
        <f>_xlfn.CONCAT(WEEKNUM(CompilDonnées[[#This Row],[PlantationDate]]), " ", YEAR(CompilDonnées[[#This Row],[PlantationDate]]))</f>
        <v>6 2025</v>
      </c>
      <c r="L1239" t="str">
        <f>CONCATENATE(MONTH(CompilDonnées[[#This Row],[PlantationDate]])," ", YEAR(CompilDonnées[[#This Row],[PlantationDate]]))</f>
        <v>2 2025</v>
      </c>
      <c r="M1239" t="str">
        <f>CONCATENATE(MONTH(CompilDonnées[[#This Row],[HarvestingDate]])," ", YEAR(CompilDonnées[[#This Row],[HarvestingDate]]))</f>
        <v>3 2025</v>
      </c>
      <c r="N1239">
        <f>_xlfn.NUMBERVALUE(CompilDonnées[[#This Row],[FarmID]]&amp;CompilDonnées[[#This Row],[ModuleNumber]]&amp;CompilDonnées[[#This Row],[PlantationDate]])</f>
        <v>58545695</v>
      </c>
      <c r="O1239" t="str">
        <f>CompilDonnées[[#This Row],[FarmID]]&amp;CompilDonnées[[#This Row],[ModuleNumber]]</f>
        <v>585</v>
      </c>
      <c r="P1239" t="str">
        <f>CompilDonnées[[#This Row],[Ref_Module]]&amp;CompilDonnées[[#This Row],[HarvestingDate]]</f>
        <v>58545737</v>
      </c>
    </row>
    <row r="1240" spans="1:16">
      <c r="A1240" s="5">
        <v>45695</v>
      </c>
      <c r="B1240">
        <v>57</v>
      </c>
      <c r="C1240" t="s">
        <v>46</v>
      </c>
      <c r="D1240">
        <v>3</v>
      </c>
      <c r="E1240">
        <v>100</v>
      </c>
      <c r="F1240" t="s">
        <v>1</v>
      </c>
      <c r="G1240" s="6">
        <v>45727</v>
      </c>
      <c r="H1240">
        <v>32</v>
      </c>
      <c r="I1240">
        <f>ROUND(CompilDonnées[[#This Row],[CultureDuration_days]]/7,0)</f>
        <v>5</v>
      </c>
      <c r="J1240">
        <v>3088</v>
      </c>
      <c r="K1240" t="str">
        <f>_xlfn.CONCAT(WEEKNUM(CompilDonnées[[#This Row],[PlantationDate]]), " ", YEAR(CompilDonnées[[#This Row],[PlantationDate]]))</f>
        <v>6 2025</v>
      </c>
      <c r="L1240" t="str">
        <f>CONCATENATE(MONTH(CompilDonnées[[#This Row],[PlantationDate]])," ", YEAR(CompilDonnées[[#This Row],[PlantationDate]]))</f>
        <v>2 2025</v>
      </c>
      <c r="M1240" t="str">
        <f>CONCATENATE(MONTH(CompilDonnées[[#This Row],[HarvestingDate]])," ", YEAR(CompilDonnées[[#This Row],[HarvestingDate]]))</f>
        <v>3 2025</v>
      </c>
      <c r="N1240">
        <f>_xlfn.NUMBERVALUE(CompilDonnées[[#This Row],[FarmID]]&amp;CompilDonnées[[#This Row],[ModuleNumber]]&amp;CompilDonnées[[#This Row],[PlantationDate]])</f>
        <v>57345695</v>
      </c>
      <c r="O1240" t="str">
        <f>CompilDonnées[[#This Row],[FarmID]]&amp;CompilDonnées[[#This Row],[ModuleNumber]]</f>
        <v>573</v>
      </c>
      <c r="P1240" t="str">
        <f>CompilDonnées[[#This Row],[Ref_Module]]&amp;CompilDonnées[[#This Row],[HarvestingDate]]</f>
        <v>57345727</v>
      </c>
    </row>
    <row r="1241" spans="1:16">
      <c r="A1241" s="5">
        <v>45695</v>
      </c>
      <c r="B1241">
        <v>50</v>
      </c>
      <c r="C1241" t="s">
        <v>55</v>
      </c>
      <c r="D1241">
        <v>1</v>
      </c>
      <c r="E1241">
        <v>100</v>
      </c>
      <c r="F1241" t="s">
        <v>1</v>
      </c>
      <c r="G1241" s="6">
        <v>45741</v>
      </c>
      <c r="H1241">
        <v>46</v>
      </c>
      <c r="I1241">
        <f>ROUND(CompilDonnées[[#This Row],[CultureDuration_days]]/7,0)</f>
        <v>7</v>
      </c>
      <c r="J1241">
        <v>3713</v>
      </c>
      <c r="K1241" t="str">
        <f>_xlfn.CONCAT(WEEKNUM(CompilDonnées[[#This Row],[PlantationDate]]), " ", YEAR(CompilDonnées[[#This Row],[PlantationDate]]))</f>
        <v>6 2025</v>
      </c>
      <c r="L1241" t="str">
        <f>CONCATENATE(MONTH(CompilDonnées[[#This Row],[PlantationDate]])," ", YEAR(CompilDonnées[[#This Row],[PlantationDate]]))</f>
        <v>2 2025</v>
      </c>
      <c r="M1241" t="str">
        <f>CONCATENATE(MONTH(CompilDonnées[[#This Row],[HarvestingDate]])," ", YEAR(CompilDonnées[[#This Row],[HarvestingDate]]))</f>
        <v>3 2025</v>
      </c>
      <c r="N1241">
        <f>_xlfn.NUMBERVALUE(CompilDonnées[[#This Row],[FarmID]]&amp;CompilDonnées[[#This Row],[ModuleNumber]]&amp;CompilDonnées[[#This Row],[PlantationDate]])</f>
        <v>50145695</v>
      </c>
      <c r="O1241" t="str">
        <f>CompilDonnées[[#This Row],[FarmID]]&amp;CompilDonnées[[#This Row],[ModuleNumber]]</f>
        <v>501</v>
      </c>
      <c r="P1241" t="str">
        <f>CompilDonnées[[#This Row],[Ref_Module]]&amp;CompilDonnées[[#This Row],[HarvestingDate]]</f>
        <v>50145741</v>
      </c>
    </row>
    <row r="1242" spans="1:16">
      <c r="A1242" s="5">
        <v>45695</v>
      </c>
      <c r="B1242">
        <v>67</v>
      </c>
      <c r="C1242" t="s">
        <v>28</v>
      </c>
      <c r="D1242">
        <v>1</v>
      </c>
      <c r="E1242">
        <v>100</v>
      </c>
      <c r="F1242" t="s">
        <v>1</v>
      </c>
      <c r="G1242" s="6">
        <v>45737</v>
      </c>
      <c r="H1242">
        <v>42</v>
      </c>
      <c r="I1242">
        <f>ROUND(CompilDonnées[[#This Row],[CultureDuration_days]]/7,0)</f>
        <v>6</v>
      </c>
      <c r="J1242">
        <v>2598</v>
      </c>
      <c r="K1242" t="str">
        <f>_xlfn.CONCAT(WEEKNUM(CompilDonnées[[#This Row],[PlantationDate]]), " ", YEAR(CompilDonnées[[#This Row],[PlantationDate]]))</f>
        <v>6 2025</v>
      </c>
      <c r="L1242" t="str">
        <f>CONCATENATE(MONTH(CompilDonnées[[#This Row],[PlantationDate]])," ", YEAR(CompilDonnées[[#This Row],[PlantationDate]]))</f>
        <v>2 2025</v>
      </c>
      <c r="M1242" t="str">
        <f>CONCATENATE(MONTH(CompilDonnées[[#This Row],[HarvestingDate]])," ", YEAR(CompilDonnées[[#This Row],[HarvestingDate]]))</f>
        <v>3 2025</v>
      </c>
      <c r="N1242">
        <f>_xlfn.NUMBERVALUE(CompilDonnées[[#This Row],[FarmID]]&amp;CompilDonnées[[#This Row],[ModuleNumber]]&amp;CompilDonnées[[#This Row],[PlantationDate]])</f>
        <v>67145695</v>
      </c>
      <c r="O1242" t="str">
        <f>CompilDonnées[[#This Row],[FarmID]]&amp;CompilDonnées[[#This Row],[ModuleNumber]]</f>
        <v>671</v>
      </c>
      <c r="P1242" t="str">
        <f>CompilDonnées[[#This Row],[Ref_Module]]&amp;CompilDonnées[[#This Row],[HarvestingDate]]</f>
        <v>67145737</v>
      </c>
    </row>
    <row r="1243" spans="1:16">
      <c r="A1243" s="5">
        <v>45695</v>
      </c>
      <c r="B1243">
        <v>64</v>
      </c>
      <c r="C1243" t="s">
        <v>47</v>
      </c>
      <c r="D1243">
        <v>1</v>
      </c>
      <c r="E1243">
        <v>100</v>
      </c>
      <c r="F1243" t="s">
        <v>1</v>
      </c>
      <c r="G1243" s="6">
        <v>45737</v>
      </c>
      <c r="H1243">
        <v>42</v>
      </c>
      <c r="I1243">
        <f>ROUND(CompilDonnées[[#This Row],[CultureDuration_days]]/7,0)</f>
        <v>6</v>
      </c>
      <c r="J1243">
        <v>3068</v>
      </c>
      <c r="K1243" t="str">
        <f>_xlfn.CONCAT(WEEKNUM(CompilDonnées[[#This Row],[PlantationDate]]), " ", YEAR(CompilDonnées[[#This Row],[PlantationDate]]))</f>
        <v>6 2025</v>
      </c>
      <c r="L1243" t="str">
        <f>CONCATENATE(MONTH(CompilDonnées[[#This Row],[PlantationDate]])," ", YEAR(CompilDonnées[[#This Row],[PlantationDate]]))</f>
        <v>2 2025</v>
      </c>
      <c r="M1243" t="str">
        <f>CONCATENATE(MONTH(CompilDonnées[[#This Row],[HarvestingDate]])," ", YEAR(CompilDonnées[[#This Row],[HarvestingDate]]))</f>
        <v>3 2025</v>
      </c>
      <c r="N1243">
        <f>_xlfn.NUMBERVALUE(CompilDonnées[[#This Row],[FarmID]]&amp;CompilDonnées[[#This Row],[ModuleNumber]]&amp;CompilDonnées[[#This Row],[PlantationDate]])</f>
        <v>64145695</v>
      </c>
      <c r="O1243" t="str">
        <f>CompilDonnées[[#This Row],[FarmID]]&amp;CompilDonnées[[#This Row],[ModuleNumber]]</f>
        <v>641</v>
      </c>
      <c r="P1243" t="str">
        <f>CompilDonnées[[#This Row],[Ref_Module]]&amp;CompilDonnées[[#This Row],[HarvestingDate]]</f>
        <v>64145737</v>
      </c>
    </row>
    <row r="1244" spans="1:16">
      <c r="A1244" s="5">
        <v>45695</v>
      </c>
      <c r="B1244">
        <v>80</v>
      </c>
      <c r="C1244" t="s">
        <v>29</v>
      </c>
      <c r="D1244">
        <v>2</v>
      </c>
      <c r="E1244">
        <v>100</v>
      </c>
      <c r="F1244" t="s">
        <v>1</v>
      </c>
      <c r="G1244" s="6">
        <v>45736</v>
      </c>
      <c r="H1244">
        <v>41</v>
      </c>
      <c r="I1244">
        <f>ROUND(CompilDonnées[[#This Row],[CultureDuration_days]]/7,0)</f>
        <v>6</v>
      </c>
      <c r="J1244">
        <v>3545</v>
      </c>
      <c r="K1244" t="str">
        <f>_xlfn.CONCAT(WEEKNUM(CompilDonnées[[#This Row],[PlantationDate]]), " ", YEAR(CompilDonnées[[#This Row],[PlantationDate]]))</f>
        <v>6 2025</v>
      </c>
      <c r="L1244" t="str">
        <f>CONCATENATE(MONTH(CompilDonnées[[#This Row],[PlantationDate]])," ", YEAR(CompilDonnées[[#This Row],[PlantationDate]]))</f>
        <v>2 2025</v>
      </c>
      <c r="M1244" t="str">
        <f>CONCATENATE(MONTH(CompilDonnées[[#This Row],[HarvestingDate]])," ", YEAR(CompilDonnées[[#This Row],[HarvestingDate]]))</f>
        <v>3 2025</v>
      </c>
      <c r="N1244">
        <f>_xlfn.NUMBERVALUE(CompilDonnées[[#This Row],[FarmID]]&amp;CompilDonnées[[#This Row],[ModuleNumber]]&amp;CompilDonnées[[#This Row],[PlantationDate]])</f>
        <v>80245695</v>
      </c>
      <c r="O1244" t="str">
        <f>CompilDonnées[[#This Row],[FarmID]]&amp;CompilDonnées[[#This Row],[ModuleNumber]]</f>
        <v>802</v>
      </c>
      <c r="P1244" t="str">
        <f>CompilDonnées[[#This Row],[Ref_Module]]&amp;CompilDonnées[[#This Row],[HarvestingDate]]</f>
        <v>80245736</v>
      </c>
    </row>
    <row r="1245" spans="1:16">
      <c r="A1245" s="5">
        <v>45695</v>
      </c>
      <c r="B1245">
        <v>79</v>
      </c>
      <c r="C1245" t="s">
        <v>61</v>
      </c>
      <c r="D1245">
        <v>2</v>
      </c>
      <c r="E1245">
        <v>100</v>
      </c>
      <c r="F1245" t="s">
        <v>1</v>
      </c>
      <c r="G1245" s="6">
        <v>45736</v>
      </c>
      <c r="H1245">
        <v>41</v>
      </c>
      <c r="I1245">
        <f>ROUND(CompilDonnées[[#This Row],[CultureDuration_days]]/7,0)</f>
        <v>6</v>
      </c>
      <c r="J1245">
        <v>3199</v>
      </c>
      <c r="K1245" t="str">
        <f>_xlfn.CONCAT(WEEKNUM(CompilDonnées[[#This Row],[PlantationDate]]), " ", YEAR(CompilDonnées[[#This Row],[PlantationDate]]))</f>
        <v>6 2025</v>
      </c>
      <c r="L1245" t="str">
        <f>CONCATENATE(MONTH(CompilDonnées[[#This Row],[PlantationDate]])," ", YEAR(CompilDonnées[[#This Row],[PlantationDate]]))</f>
        <v>2 2025</v>
      </c>
      <c r="M1245" t="str">
        <f>CONCATENATE(MONTH(CompilDonnées[[#This Row],[HarvestingDate]])," ", YEAR(CompilDonnées[[#This Row],[HarvestingDate]]))</f>
        <v>3 2025</v>
      </c>
      <c r="N1245">
        <f>_xlfn.NUMBERVALUE(CompilDonnées[[#This Row],[FarmID]]&amp;CompilDonnées[[#This Row],[ModuleNumber]]&amp;CompilDonnées[[#This Row],[PlantationDate]])</f>
        <v>79245695</v>
      </c>
      <c r="O1245" t="str">
        <f>CompilDonnées[[#This Row],[FarmID]]&amp;CompilDonnées[[#This Row],[ModuleNumber]]</f>
        <v>792</v>
      </c>
      <c r="P1245" t="str">
        <f>CompilDonnées[[#This Row],[Ref_Module]]&amp;CompilDonnées[[#This Row],[HarvestingDate]]</f>
        <v>79245736</v>
      </c>
    </row>
    <row r="1246" spans="1:16">
      <c r="A1246" s="5">
        <v>45695</v>
      </c>
      <c r="B1246">
        <v>74</v>
      </c>
      <c r="C1246" t="s">
        <v>21</v>
      </c>
      <c r="D1246">
        <v>4</v>
      </c>
      <c r="E1246">
        <v>100</v>
      </c>
      <c r="F1246" t="s">
        <v>1</v>
      </c>
      <c r="G1246" s="6">
        <v>45737</v>
      </c>
      <c r="H1246">
        <v>42</v>
      </c>
      <c r="I1246">
        <f>ROUND(CompilDonnées[[#This Row],[CultureDuration_days]]/7,0)</f>
        <v>6</v>
      </c>
      <c r="J1246">
        <v>1793</v>
      </c>
      <c r="K1246" t="str">
        <f>_xlfn.CONCAT(WEEKNUM(CompilDonnées[[#This Row],[PlantationDate]]), " ", YEAR(CompilDonnées[[#This Row],[PlantationDate]]))</f>
        <v>6 2025</v>
      </c>
      <c r="L1246" t="str">
        <f>CONCATENATE(MONTH(CompilDonnées[[#This Row],[PlantationDate]])," ", YEAR(CompilDonnées[[#This Row],[PlantationDate]]))</f>
        <v>2 2025</v>
      </c>
      <c r="M1246" t="str">
        <f>CONCATENATE(MONTH(CompilDonnées[[#This Row],[HarvestingDate]])," ", YEAR(CompilDonnées[[#This Row],[HarvestingDate]]))</f>
        <v>3 2025</v>
      </c>
      <c r="N1246">
        <f>_xlfn.NUMBERVALUE(CompilDonnées[[#This Row],[FarmID]]&amp;CompilDonnées[[#This Row],[ModuleNumber]]&amp;CompilDonnées[[#This Row],[PlantationDate]])</f>
        <v>74445695</v>
      </c>
      <c r="O1246" t="str">
        <f>CompilDonnées[[#This Row],[FarmID]]&amp;CompilDonnées[[#This Row],[ModuleNumber]]</f>
        <v>744</v>
      </c>
      <c r="P1246" t="str">
        <f>CompilDonnées[[#This Row],[Ref_Module]]&amp;CompilDonnées[[#This Row],[HarvestingDate]]</f>
        <v>74445737</v>
      </c>
    </row>
    <row r="1247" spans="1:16">
      <c r="A1247" s="5">
        <v>45695</v>
      </c>
      <c r="B1247">
        <v>77</v>
      </c>
      <c r="C1247" t="s">
        <v>75</v>
      </c>
      <c r="D1247">
        <v>3</v>
      </c>
      <c r="E1247">
        <v>100</v>
      </c>
      <c r="F1247" t="s">
        <v>1</v>
      </c>
      <c r="G1247" s="6">
        <v>45737</v>
      </c>
      <c r="H1247">
        <v>42</v>
      </c>
      <c r="I1247">
        <f>ROUND(CompilDonnées[[#This Row],[CultureDuration_days]]/7,0)</f>
        <v>6</v>
      </c>
      <c r="J1247">
        <v>3035</v>
      </c>
      <c r="K1247" t="str">
        <f>_xlfn.CONCAT(WEEKNUM(CompilDonnées[[#This Row],[PlantationDate]]), " ", YEAR(CompilDonnées[[#This Row],[PlantationDate]]))</f>
        <v>6 2025</v>
      </c>
      <c r="L1247" t="str">
        <f>CONCATENATE(MONTH(CompilDonnées[[#This Row],[PlantationDate]])," ", YEAR(CompilDonnées[[#This Row],[PlantationDate]]))</f>
        <v>2 2025</v>
      </c>
      <c r="M1247" t="str">
        <f>CONCATENATE(MONTH(CompilDonnées[[#This Row],[HarvestingDate]])," ", YEAR(CompilDonnées[[#This Row],[HarvestingDate]]))</f>
        <v>3 2025</v>
      </c>
      <c r="N1247">
        <f>_xlfn.NUMBERVALUE(CompilDonnées[[#This Row],[FarmID]]&amp;CompilDonnées[[#This Row],[ModuleNumber]]&amp;CompilDonnées[[#This Row],[PlantationDate]])</f>
        <v>77345695</v>
      </c>
      <c r="O1247" t="str">
        <f>CompilDonnées[[#This Row],[FarmID]]&amp;CompilDonnées[[#This Row],[ModuleNumber]]</f>
        <v>773</v>
      </c>
      <c r="P1247" t="str">
        <f>CompilDonnées[[#This Row],[Ref_Module]]&amp;CompilDonnées[[#This Row],[HarvestingDate]]</f>
        <v>77345737</v>
      </c>
    </row>
    <row r="1248" spans="1:16">
      <c r="A1248" s="5">
        <v>45695</v>
      </c>
      <c r="B1248">
        <v>83</v>
      </c>
      <c r="C1248" t="s">
        <v>73</v>
      </c>
      <c r="D1248">
        <v>3</v>
      </c>
      <c r="E1248">
        <v>100</v>
      </c>
      <c r="F1248" t="s">
        <v>1</v>
      </c>
      <c r="G1248" s="6">
        <v>45736</v>
      </c>
      <c r="H1248">
        <v>41</v>
      </c>
      <c r="I1248">
        <f>ROUND(CompilDonnées[[#This Row],[CultureDuration_days]]/7,0)</f>
        <v>6</v>
      </c>
      <c r="J1248">
        <v>1916</v>
      </c>
      <c r="K1248" t="str">
        <f>_xlfn.CONCAT(WEEKNUM(CompilDonnées[[#This Row],[PlantationDate]]), " ", YEAR(CompilDonnées[[#This Row],[PlantationDate]]))</f>
        <v>6 2025</v>
      </c>
      <c r="L1248" t="str">
        <f>CONCATENATE(MONTH(CompilDonnées[[#This Row],[PlantationDate]])," ", YEAR(CompilDonnées[[#This Row],[PlantationDate]]))</f>
        <v>2 2025</v>
      </c>
      <c r="M1248" t="str">
        <f>CONCATENATE(MONTH(CompilDonnées[[#This Row],[HarvestingDate]])," ", YEAR(CompilDonnées[[#This Row],[HarvestingDate]]))</f>
        <v>3 2025</v>
      </c>
      <c r="N1248">
        <f>_xlfn.NUMBERVALUE(CompilDonnées[[#This Row],[FarmID]]&amp;CompilDonnées[[#This Row],[ModuleNumber]]&amp;CompilDonnées[[#This Row],[PlantationDate]])</f>
        <v>83345695</v>
      </c>
      <c r="O1248" t="str">
        <f>CompilDonnées[[#This Row],[FarmID]]&amp;CompilDonnées[[#This Row],[ModuleNumber]]</f>
        <v>833</v>
      </c>
      <c r="P1248" t="str">
        <f>CompilDonnées[[#This Row],[Ref_Module]]&amp;CompilDonnées[[#This Row],[HarvestingDate]]</f>
        <v>83345736</v>
      </c>
    </row>
    <row r="1249" spans="1:16">
      <c r="A1249" s="5">
        <v>45695</v>
      </c>
      <c r="B1249">
        <v>72</v>
      </c>
      <c r="C1249" t="s">
        <v>49</v>
      </c>
      <c r="D1249">
        <v>2</v>
      </c>
      <c r="E1249">
        <v>100</v>
      </c>
      <c r="F1249" t="s">
        <v>1</v>
      </c>
      <c r="G1249" s="6">
        <v>45736</v>
      </c>
      <c r="H1249">
        <v>41</v>
      </c>
      <c r="I1249">
        <f>ROUND(CompilDonnées[[#This Row],[CultureDuration_days]]/7,0)</f>
        <v>6</v>
      </c>
      <c r="J1249">
        <v>2626</v>
      </c>
      <c r="K1249" t="str">
        <f>_xlfn.CONCAT(WEEKNUM(CompilDonnées[[#This Row],[PlantationDate]]), " ", YEAR(CompilDonnées[[#This Row],[PlantationDate]]))</f>
        <v>6 2025</v>
      </c>
      <c r="L1249" t="str">
        <f>CONCATENATE(MONTH(CompilDonnées[[#This Row],[PlantationDate]])," ", YEAR(CompilDonnées[[#This Row],[PlantationDate]]))</f>
        <v>2 2025</v>
      </c>
      <c r="M1249" t="str">
        <f>CONCATENATE(MONTH(CompilDonnées[[#This Row],[HarvestingDate]])," ", YEAR(CompilDonnées[[#This Row],[HarvestingDate]]))</f>
        <v>3 2025</v>
      </c>
      <c r="N1249">
        <f>_xlfn.NUMBERVALUE(CompilDonnées[[#This Row],[FarmID]]&amp;CompilDonnées[[#This Row],[ModuleNumber]]&amp;CompilDonnées[[#This Row],[PlantationDate]])</f>
        <v>72245695</v>
      </c>
      <c r="O1249" t="str">
        <f>CompilDonnées[[#This Row],[FarmID]]&amp;CompilDonnées[[#This Row],[ModuleNumber]]</f>
        <v>722</v>
      </c>
      <c r="P1249" t="str">
        <f>CompilDonnées[[#This Row],[Ref_Module]]&amp;CompilDonnées[[#This Row],[HarvestingDate]]</f>
        <v>72245736</v>
      </c>
    </row>
    <row r="1250" spans="1:16">
      <c r="A1250" s="5">
        <v>45695</v>
      </c>
      <c r="B1250">
        <v>112</v>
      </c>
      <c r="C1250" t="s">
        <v>15</v>
      </c>
      <c r="D1250">
        <v>2</v>
      </c>
      <c r="E1250">
        <v>100</v>
      </c>
      <c r="F1250" t="s">
        <v>1</v>
      </c>
      <c r="G1250" s="6">
        <v>45744</v>
      </c>
      <c r="H1250">
        <v>49</v>
      </c>
      <c r="I1250">
        <f>ROUND(CompilDonnées[[#This Row],[CultureDuration_days]]/7,0)</f>
        <v>7</v>
      </c>
      <c r="J1250">
        <v>3362</v>
      </c>
      <c r="K1250" t="str">
        <f>_xlfn.CONCAT(WEEKNUM(CompilDonnées[[#This Row],[PlantationDate]]), " ", YEAR(CompilDonnées[[#This Row],[PlantationDate]]))</f>
        <v>6 2025</v>
      </c>
      <c r="L1250" t="str">
        <f>CONCATENATE(MONTH(CompilDonnées[[#This Row],[PlantationDate]])," ", YEAR(CompilDonnées[[#This Row],[PlantationDate]]))</f>
        <v>2 2025</v>
      </c>
      <c r="M1250" t="str">
        <f>CONCATENATE(MONTH(CompilDonnées[[#This Row],[HarvestingDate]])," ", YEAR(CompilDonnées[[#This Row],[HarvestingDate]]))</f>
        <v>3 2025</v>
      </c>
      <c r="N1250">
        <f>_xlfn.NUMBERVALUE(CompilDonnées[[#This Row],[FarmID]]&amp;CompilDonnées[[#This Row],[ModuleNumber]]&amp;CompilDonnées[[#This Row],[PlantationDate]])</f>
        <v>112245695</v>
      </c>
      <c r="O1250" t="str">
        <f>CompilDonnées[[#This Row],[FarmID]]&amp;CompilDonnées[[#This Row],[ModuleNumber]]</f>
        <v>1122</v>
      </c>
      <c r="P1250" t="str">
        <f>CompilDonnées[[#This Row],[Ref_Module]]&amp;CompilDonnées[[#This Row],[HarvestingDate]]</f>
        <v>112245744</v>
      </c>
    </row>
    <row r="1251" spans="1:16">
      <c r="A1251" s="5">
        <v>45695</v>
      </c>
      <c r="B1251">
        <v>101</v>
      </c>
      <c r="C1251" t="s">
        <v>54</v>
      </c>
      <c r="D1251">
        <v>5</v>
      </c>
      <c r="E1251">
        <v>100</v>
      </c>
      <c r="F1251" t="s">
        <v>1</v>
      </c>
      <c r="G1251" s="6">
        <v>45743</v>
      </c>
      <c r="H1251">
        <v>48</v>
      </c>
      <c r="I1251">
        <f>ROUND(CompilDonnées[[#This Row],[CultureDuration_days]]/7,0)</f>
        <v>7</v>
      </c>
      <c r="J1251">
        <v>3870</v>
      </c>
      <c r="K1251" t="str">
        <f>_xlfn.CONCAT(WEEKNUM(CompilDonnées[[#This Row],[PlantationDate]]), " ", YEAR(CompilDonnées[[#This Row],[PlantationDate]]))</f>
        <v>6 2025</v>
      </c>
      <c r="L1251" t="str">
        <f>CONCATENATE(MONTH(CompilDonnées[[#This Row],[PlantationDate]])," ", YEAR(CompilDonnées[[#This Row],[PlantationDate]]))</f>
        <v>2 2025</v>
      </c>
      <c r="M1251" t="str">
        <f>CONCATENATE(MONTH(CompilDonnées[[#This Row],[HarvestingDate]])," ", YEAR(CompilDonnées[[#This Row],[HarvestingDate]]))</f>
        <v>3 2025</v>
      </c>
      <c r="N1251">
        <f>_xlfn.NUMBERVALUE(CompilDonnées[[#This Row],[FarmID]]&amp;CompilDonnées[[#This Row],[ModuleNumber]]&amp;CompilDonnées[[#This Row],[PlantationDate]])</f>
        <v>101545695</v>
      </c>
      <c r="O1251" t="str">
        <f>CompilDonnées[[#This Row],[FarmID]]&amp;CompilDonnées[[#This Row],[ModuleNumber]]</f>
        <v>1015</v>
      </c>
      <c r="P1251" t="str">
        <f>CompilDonnées[[#This Row],[Ref_Module]]&amp;CompilDonnées[[#This Row],[HarvestingDate]]</f>
        <v>101545743</v>
      </c>
    </row>
    <row r="1252" spans="1:16">
      <c r="A1252" s="5">
        <v>45695</v>
      </c>
      <c r="B1252">
        <v>98</v>
      </c>
      <c r="C1252" t="s">
        <v>79</v>
      </c>
      <c r="D1252">
        <v>6</v>
      </c>
      <c r="E1252">
        <v>100</v>
      </c>
      <c r="F1252" t="s">
        <v>1</v>
      </c>
      <c r="G1252" s="6">
        <v>45736</v>
      </c>
      <c r="H1252">
        <v>41</v>
      </c>
      <c r="I1252">
        <f>ROUND(CompilDonnées[[#This Row],[CultureDuration_days]]/7,0)</f>
        <v>6</v>
      </c>
      <c r="J1252">
        <v>3148</v>
      </c>
      <c r="K1252" t="str">
        <f>_xlfn.CONCAT(WEEKNUM(CompilDonnées[[#This Row],[PlantationDate]]), " ", YEAR(CompilDonnées[[#This Row],[PlantationDate]]))</f>
        <v>6 2025</v>
      </c>
      <c r="L1252" t="str">
        <f>CONCATENATE(MONTH(CompilDonnées[[#This Row],[PlantationDate]])," ", YEAR(CompilDonnées[[#This Row],[PlantationDate]]))</f>
        <v>2 2025</v>
      </c>
      <c r="M1252" t="str">
        <f>CONCATENATE(MONTH(CompilDonnées[[#This Row],[HarvestingDate]])," ", YEAR(CompilDonnées[[#This Row],[HarvestingDate]]))</f>
        <v>3 2025</v>
      </c>
      <c r="N1252">
        <f>_xlfn.NUMBERVALUE(CompilDonnées[[#This Row],[FarmID]]&amp;CompilDonnées[[#This Row],[ModuleNumber]]&amp;CompilDonnées[[#This Row],[PlantationDate]])</f>
        <v>98645695</v>
      </c>
      <c r="O1252" t="str">
        <f>CompilDonnées[[#This Row],[FarmID]]&amp;CompilDonnées[[#This Row],[ModuleNumber]]</f>
        <v>986</v>
      </c>
      <c r="P1252" t="str">
        <f>CompilDonnées[[#This Row],[Ref_Module]]&amp;CompilDonnées[[#This Row],[HarvestingDate]]</f>
        <v>98645736</v>
      </c>
    </row>
    <row r="1253" spans="1:16">
      <c r="A1253" s="5">
        <v>45695</v>
      </c>
      <c r="B1253">
        <v>94</v>
      </c>
      <c r="C1253" t="s">
        <v>40</v>
      </c>
      <c r="D1253">
        <v>3</v>
      </c>
      <c r="E1253">
        <v>100</v>
      </c>
      <c r="F1253" t="s">
        <v>1</v>
      </c>
      <c r="G1253" s="6">
        <v>45736</v>
      </c>
      <c r="H1253">
        <v>41</v>
      </c>
      <c r="I1253">
        <f>ROUND(CompilDonnées[[#This Row],[CultureDuration_days]]/7,0)</f>
        <v>6</v>
      </c>
      <c r="J1253">
        <v>2562</v>
      </c>
      <c r="K1253" t="str">
        <f>_xlfn.CONCAT(WEEKNUM(CompilDonnées[[#This Row],[PlantationDate]]), " ", YEAR(CompilDonnées[[#This Row],[PlantationDate]]))</f>
        <v>6 2025</v>
      </c>
      <c r="L1253" t="str">
        <f>CONCATENATE(MONTH(CompilDonnées[[#This Row],[PlantationDate]])," ", YEAR(CompilDonnées[[#This Row],[PlantationDate]]))</f>
        <v>2 2025</v>
      </c>
      <c r="M1253" t="str">
        <f>CONCATENATE(MONTH(CompilDonnées[[#This Row],[HarvestingDate]])," ", YEAR(CompilDonnées[[#This Row],[HarvestingDate]]))</f>
        <v>3 2025</v>
      </c>
      <c r="N1253">
        <f>_xlfn.NUMBERVALUE(CompilDonnées[[#This Row],[FarmID]]&amp;CompilDonnées[[#This Row],[ModuleNumber]]&amp;CompilDonnées[[#This Row],[PlantationDate]])</f>
        <v>94345695</v>
      </c>
      <c r="O1253" t="str">
        <f>CompilDonnées[[#This Row],[FarmID]]&amp;CompilDonnées[[#This Row],[ModuleNumber]]</f>
        <v>943</v>
      </c>
      <c r="P1253" t="str">
        <f>CompilDonnées[[#This Row],[Ref_Module]]&amp;CompilDonnées[[#This Row],[HarvestingDate]]</f>
        <v>94345736</v>
      </c>
    </row>
    <row r="1254" spans="1:16">
      <c r="A1254" s="5">
        <v>45695</v>
      </c>
      <c r="B1254">
        <v>92</v>
      </c>
      <c r="C1254" t="s">
        <v>66</v>
      </c>
      <c r="D1254">
        <v>1</v>
      </c>
      <c r="E1254">
        <v>100</v>
      </c>
      <c r="F1254" t="s">
        <v>1</v>
      </c>
      <c r="G1254" s="6">
        <v>45743</v>
      </c>
      <c r="H1254">
        <v>48</v>
      </c>
      <c r="I1254">
        <f>ROUND(CompilDonnées[[#This Row],[CultureDuration_days]]/7,0)</f>
        <v>7</v>
      </c>
      <c r="J1254">
        <v>3778</v>
      </c>
      <c r="K1254" t="str">
        <f>_xlfn.CONCAT(WEEKNUM(CompilDonnées[[#This Row],[PlantationDate]]), " ", YEAR(CompilDonnées[[#This Row],[PlantationDate]]))</f>
        <v>6 2025</v>
      </c>
      <c r="L1254" t="str">
        <f>CONCATENATE(MONTH(CompilDonnées[[#This Row],[PlantationDate]])," ", YEAR(CompilDonnées[[#This Row],[PlantationDate]]))</f>
        <v>2 2025</v>
      </c>
      <c r="M1254" t="str">
        <f>CONCATENATE(MONTH(CompilDonnées[[#This Row],[HarvestingDate]])," ", YEAR(CompilDonnées[[#This Row],[HarvestingDate]]))</f>
        <v>3 2025</v>
      </c>
      <c r="N1254">
        <f>_xlfn.NUMBERVALUE(CompilDonnées[[#This Row],[FarmID]]&amp;CompilDonnées[[#This Row],[ModuleNumber]]&amp;CompilDonnées[[#This Row],[PlantationDate]])</f>
        <v>92145695</v>
      </c>
      <c r="O1254" t="str">
        <f>CompilDonnées[[#This Row],[FarmID]]&amp;CompilDonnées[[#This Row],[ModuleNumber]]</f>
        <v>921</v>
      </c>
      <c r="P1254" t="str">
        <f>CompilDonnées[[#This Row],[Ref_Module]]&amp;CompilDonnées[[#This Row],[HarvestingDate]]</f>
        <v>92145743</v>
      </c>
    </row>
    <row r="1255" spans="1:16">
      <c r="A1255" s="5">
        <v>45695</v>
      </c>
      <c r="B1255">
        <v>91</v>
      </c>
      <c r="C1255" t="s">
        <v>9</v>
      </c>
      <c r="D1255">
        <v>4</v>
      </c>
      <c r="E1255">
        <v>100</v>
      </c>
      <c r="F1255" t="s">
        <v>1</v>
      </c>
      <c r="G1255" s="6">
        <v>45742</v>
      </c>
      <c r="H1255">
        <v>47</v>
      </c>
      <c r="I1255">
        <f>ROUND(CompilDonnées[[#This Row],[CultureDuration_days]]/7,0)</f>
        <v>7</v>
      </c>
      <c r="J1255">
        <v>3318</v>
      </c>
      <c r="K1255" t="str">
        <f>_xlfn.CONCAT(WEEKNUM(CompilDonnées[[#This Row],[PlantationDate]]), " ", YEAR(CompilDonnées[[#This Row],[PlantationDate]]))</f>
        <v>6 2025</v>
      </c>
      <c r="L1255" t="str">
        <f>CONCATENATE(MONTH(CompilDonnées[[#This Row],[PlantationDate]])," ", YEAR(CompilDonnées[[#This Row],[PlantationDate]]))</f>
        <v>2 2025</v>
      </c>
      <c r="M1255" t="str">
        <f>CONCATENATE(MONTH(CompilDonnées[[#This Row],[HarvestingDate]])," ", YEAR(CompilDonnées[[#This Row],[HarvestingDate]]))</f>
        <v>3 2025</v>
      </c>
      <c r="N1255">
        <f>_xlfn.NUMBERVALUE(CompilDonnées[[#This Row],[FarmID]]&amp;CompilDonnées[[#This Row],[ModuleNumber]]&amp;CompilDonnées[[#This Row],[PlantationDate]])</f>
        <v>91445695</v>
      </c>
      <c r="O1255" t="str">
        <f>CompilDonnées[[#This Row],[FarmID]]&amp;CompilDonnées[[#This Row],[ModuleNumber]]</f>
        <v>914</v>
      </c>
      <c r="P1255" t="str">
        <f>CompilDonnées[[#This Row],[Ref_Module]]&amp;CompilDonnées[[#This Row],[HarvestingDate]]</f>
        <v>91445742</v>
      </c>
    </row>
    <row r="1256" spans="1:16">
      <c r="A1256" s="5">
        <v>45695</v>
      </c>
      <c r="B1256">
        <v>103</v>
      </c>
      <c r="C1256" t="s">
        <v>86</v>
      </c>
      <c r="D1256">
        <v>5</v>
      </c>
      <c r="E1256">
        <v>100</v>
      </c>
      <c r="F1256" t="s">
        <v>1</v>
      </c>
      <c r="G1256" s="6">
        <v>45733</v>
      </c>
      <c r="H1256">
        <v>38</v>
      </c>
      <c r="I1256">
        <f>ROUND(CompilDonnées[[#This Row],[CultureDuration_days]]/7,0)</f>
        <v>5</v>
      </c>
      <c r="J1256">
        <v>3159</v>
      </c>
      <c r="K1256" t="str">
        <f>_xlfn.CONCAT(WEEKNUM(CompilDonnées[[#This Row],[PlantationDate]]), " ", YEAR(CompilDonnées[[#This Row],[PlantationDate]]))</f>
        <v>6 2025</v>
      </c>
      <c r="L1256" t="str">
        <f>CONCATENATE(MONTH(CompilDonnées[[#This Row],[PlantationDate]])," ", YEAR(CompilDonnées[[#This Row],[PlantationDate]]))</f>
        <v>2 2025</v>
      </c>
      <c r="M1256" t="str">
        <f>CONCATENATE(MONTH(CompilDonnées[[#This Row],[HarvestingDate]])," ", YEAR(CompilDonnées[[#This Row],[HarvestingDate]]))</f>
        <v>3 2025</v>
      </c>
      <c r="N1256">
        <f>_xlfn.NUMBERVALUE(CompilDonnées[[#This Row],[FarmID]]&amp;CompilDonnées[[#This Row],[ModuleNumber]]&amp;CompilDonnées[[#This Row],[PlantationDate]])</f>
        <v>103545695</v>
      </c>
      <c r="O1256" t="str">
        <f>CompilDonnées[[#This Row],[FarmID]]&amp;CompilDonnées[[#This Row],[ModuleNumber]]</f>
        <v>1035</v>
      </c>
      <c r="P1256" t="str">
        <f>CompilDonnées[[#This Row],[Ref_Module]]&amp;CompilDonnées[[#This Row],[HarvestingDate]]</f>
        <v>103545733</v>
      </c>
    </row>
    <row r="1257" spans="1:16">
      <c r="A1257" s="5">
        <v>45695</v>
      </c>
      <c r="B1257">
        <v>90</v>
      </c>
      <c r="C1257" t="s">
        <v>72</v>
      </c>
      <c r="D1257">
        <v>3</v>
      </c>
      <c r="E1257">
        <v>100</v>
      </c>
      <c r="F1257" t="s">
        <v>1</v>
      </c>
      <c r="G1257" s="6">
        <v>45736</v>
      </c>
      <c r="H1257">
        <v>41</v>
      </c>
      <c r="I1257">
        <f>ROUND(CompilDonnées[[#This Row],[CultureDuration_days]]/7,0)</f>
        <v>6</v>
      </c>
      <c r="J1257">
        <v>2732</v>
      </c>
      <c r="K1257" t="str">
        <f>_xlfn.CONCAT(WEEKNUM(CompilDonnées[[#This Row],[PlantationDate]]), " ", YEAR(CompilDonnées[[#This Row],[PlantationDate]]))</f>
        <v>6 2025</v>
      </c>
      <c r="L1257" t="str">
        <f>CONCATENATE(MONTH(CompilDonnées[[#This Row],[PlantationDate]])," ", YEAR(CompilDonnées[[#This Row],[PlantationDate]]))</f>
        <v>2 2025</v>
      </c>
      <c r="M1257" t="str">
        <f>CONCATENATE(MONTH(CompilDonnées[[#This Row],[HarvestingDate]])," ", YEAR(CompilDonnées[[#This Row],[HarvestingDate]]))</f>
        <v>3 2025</v>
      </c>
      <c r="N1257">
        <f>_xlfn.NUMBERVALUE(CompilDonnées[[#This Row],[FarmID]]&amp;CompilDonnées[[#This Row],[ModuleNumber]]&amp;CompilDonnées[[#This Row],[PlantationDate]])</f>
        <v>90345695</v>
      </c>
      <c r="O1257" t="str">
        <f>CompilDonnées[[#This Row],[FarmID]]&amp;CompilDonnées[[#This Row],[ModuleNumber]]</f>
        <v>903</v>
      </c>
      <c r="P1257" t="str">
        <f>CompilDonnées[[#This Row],[Ref_Module]]&amp;CompilDonnées[[#This Row],[HarvestingDate]]</f>
        <v>90345736</v>
      </c>
    </row>
    <row r="1258" spans="1:16">
      <c r="A1258" s="5">
        <v>45695</v>
      </c>
      <c r="B1258">
        <v>89</v>
      </c>
      <c r="C1258" t="s">
        <v>67</v>
      </c>
      <c r="D1258">
        <v>3</v>
      </c>
      <c r="E1258">
        <v>100</v>
      </c>
      <c r="F1258" t="s">
        <v>1</v>
      </c>
      <c r="G1258" s="6">
        <v>45736</v>
      </c>
      <c r="H1258">
        <v>41</v>
      </c>
      <c r="I1258">
        <f>ROUND(CompilDonnées[[#This Row],[CultureDuration_days]]/7,0)</f>
        <v>6</v>
      </c>
      <c r="J1258">
        <v>2574</v>
      </c>
      <c r="K1258" t="str">
        <f>_xlfn.CONCAT(WEEKNUM(CompilDonnées[[#This Row],[PlantationDate]]), " ", YEAR(CompilDonnées[[#This Row],[PlantationDate]]))</f>
        <v>6 2025</v>
      </c>
      <c r="L1258" t="str">
        <f>CONCATENATE(MONTH(CompilDonnées[[#This Row],[PlantationDate]])," ", YEAR(CompilDonnées[[#This Row],[PlantationDate]]))</f>
        <v>2 2025</v>
      </c>
      <c r="M1258" t="str">
        <f>CONCATENATE(MONTH(CompilDonnées[[#This Row],[HarvestingDate]])," ", YEAR(CompilDonnées[[#This Row],[HarvestingDate]]))</f>
        <v>3 2025</v>
      </c>
      <c r="N1258">
        <f>_xlfn.NUMBERVALUE(CompilDonnées[[#This Row],[FarmID]]&amp;CompilDonnées[[#This Row],[ModuleNumber]]&amp;CompilDonnées[[#This Row],[PlantationDate]])</f>
        <v>89345695</v>
      </c>
      <c r="O1258" t="str">
        <f>CompilDonnées[[#This Row],[FarmID]]&amp;CompilDonnées[[#This Row],[ModuleNumber]]</f>
        <v>893</v>
      </c>
      <c r="P1258" t="str">
        <f>CompilDonnées[[#This Row],[Ref_Module]]&amp;CompilDonnées[[#This Row],[HarvestingDate]]</f>
        <v>89345736</v>
      </c>
    </row>
    <row r="1259" spans="1:16">
      <c r="A1259" s="5">
        <v>45695</v>
      </c>
      <c r="B1259">
        <v>95</v>
      </c>
      <c r="C1259" t="s">
        <v>90</v>
      </c>
      <c r="D1259">
        <v>3</v>
      </c>
      <c r="E1259">
        <v>100</v>
      </c>
      <c r="F1259" t="s">
        <v>1</v>
      </c>
      <c r="G1259" s="6">
        <v>45736</v>
      </c>
      <c r="H1259">
        <v>41</v>
      </c>
      <c r="I1259">
        <f>ROUND(CompilDonnées[[#This Row],[CultureDuration_days]]/7,0)</f>
        <v>6</v>
      </c>
      <c r="J1259">
        <v>2590</v>
      </c>
      <c r="K1259" t="str">
        <f>_xlfn.CONCAT(WEEKNUM(CompilDonnées[[#This Row],[PlantationDate]]), " ", YEAR(CompilDonnées[[#This Row],[PlantationDate]]))</f>
        <v>6 2025</v>
      </c>
      <c r="L1259" t="str">
        <f>CONCATENATE(MONTH(CompilDonnées[[#This Row],[PlantationDate]])," ", YEAR(CompilDonnées[[#This Row],[PlantationDate]]))</f>
        <v>2 2025</v>
      </c>
      <c r="M1259" t="str">
        <f>CONCATENATE(MONTH(CompilDonnées[[#This Row],[HarvestingDate]])," ", YEAR(CompilDonnées[[#This Row],[HarvestingDate]]))</f>
        <v>3 2025</v>
      </c>
      <c r="N1259">
        <f>_xlfn.NUMBERVALUE(CompilDonnées[[#This Row],[FarmID]]&amp;CompilDonnées[[#This Row],[ModuleNumber]]&amp;CompilDonnées[[#This Row],[PlantationDate]])</f>
        <v>95345695</v>
      </c>
      <c r="O1259" t="str">
        <f>CompilDonnées[[#This Row],[FarmID]]&amp;CompilDonnées[[#This Row],[ModuleNumber]]</f>
        <v>953</v>
      </c>
      <c r="P1259" t="str">
        <f>CompilDonnées[[#This Row],[Ref_Module]]&amp;CompilDonnées[[#This Row],[HarvestingDate]]</f>
        <v>95345736</v>
      </c>
    </row>
    <row r="1260" spans="1:16">
      <c r="A1260" s="5">
        <v>45695</v>
      </c>
      <c r="B1260">
        <v>95</v>
      </c>
      <c r="C1260" t="s">
        <v>90</v>
      </c>
      <c r="D1260">
        <v>4</v>
      </c>
      <c r="E1260">
        <v>100</v>
      </c>
      <c r="F1260" t="s">
        <v>1</v>
      </c>
      <c r="G1260" s="6">
        <v>45736</v>
      </c>
      <c r="H1260">
        <v>41</v>
      </c>
      <c r="I1260">
        <f>ROUND(CompilDonnées[[#This Row],[CultureDuration_days]]/7,0)</f>
        <v>6</v>
      </c>
      <c r="J1260">
        <v>2611</v>
      </c>
      <c r="K1260" t="str">
        <f>_xlfn.CONCAT(WEEKNUM(CompilDonnées[[#This Row],[PlantationDate]]), " ", YEAR(CompilDonnées[[#This Row],[PlantationDate]]))</f>
        <v>6 2025</v>
      </c>
      <c r="L1260" t="str">
        <f>CONCATENATE(MONTH(CompilDonnées[[#This Row],[PlantationDate]])," ", YEAR(CompilDonnées[[#This Row],[PlantationDate]]))</f>
        <v>2 2025</v>
      </c>
      <c r="M1260" t="str">
        <f>CONCATENATE(MONTH(CompilDonnées[[#This Row],[HarvestingDate]])," ", YEAR(CompilDonnées[[#This Row],[HarvestingDate]]))</f>
        <v>3 2025</v>
      </c>
      <c r="N1260">
        <f>_xlfn.NUMBERVALUE(CompilDonnées[[#This Row],[FarmID]]&amp;CompilDonnées[[#This Row],[ModuleNumber]]&amp;CompilDonnées[[#This Row],[PlantationDate]])</f>
        <v>95445695</v>
      </c>
      <c r="O1260" t="str">
        <f>CompilDonnées[[#This Row],[FarmID]]&amp;CompilDonnées[[#This Row],[ModuleNumber]]</f>
        <v>954</v>
      </c>
      <c r="P1260" t="str">
        <f>CompilDonnées[[#This Row],[Ref_Module]]&amp;CompilDonnées[[#This Row],[HarvestingDate]]</f>
        <v>95445736</v>
      </c>
    </row>
    <row r="1261" spans="1:16">
      <c r="A1261" s="5">
        <v>45695</v>
      </c>
      <c r="B1261">
        <v>114</v>
      </c>
      <c r="C1261" t="s">
        <v>3</v>
      </c>
      <c r="D1261">
        <v>1</v>
      </c>
      <c r="E1261">
        <v>60</v>
      </c>
      <c r="F1261" t="s">
        <v>105</v>
      </c>
      <c r="G1261" s="6">
        <v>45757</v>
      </c>
      <c r="H1261">
        <v>62</v>
      </c>
      <c r="I1261">
        <f>ROUND(CompilDonnées[[#This Row],[CultureDuration_days]]/7,0)</f>
        <v>9</v>
      </c>
      <c r="J1261">
        <v>1321</v>
      </c>
      <c r="K1261" t="str">
        <f>_xlfn.CONCAT(WEEKNUM(CompilDonnées[[#This Row],[PlantationDate]]), " ", YEAR(CompilDonnées[[#This Row],[PlantationDate]]))</f>
        <v>6 2025</v>
      </c>
      <c r="L1261" t="str">
        <f>CONCATENATE(MONTH(CompilDonnées[[#This Row],[PlantationDate]])," ", YEAR(CompilDonnées[[#This Row],[PlantationDate]]))</f>
        <v>2 2025</v>
      </c>
      <c r="M1261" t="str">
        <f>CONCATENATE(MONTH(CompilDonnées[[#This Row],[HarvestingDate]])," ", YEAR(CompilDonnées[[#This Row],[HarvestingDate]]))</f>
        <v>4 2025</v>
      </c>
      <c r="N1261">
        <f>_xlfn.NUMBERVALUE(CompilDonnées[[#This Row],[FarmID]]&amp;CompilDonnées[[#This Row],[ModuleNumber]]&amp;CompilDonnées[[#This Row],[PlantationDate]])</f>
        <v>114145695</v>
      </c>
      <c r="O1261" t="str">
        <f>CompilDonnées[[#This Row],[FarmID]]&amp;CompilDonnées[[#This Row],[ModuleNumber]]</f>
        <v>1141</v>
      </c>
      <c r="P1261" t="str">
        <f>CompilDonnées[[#This Row],[Ref_Module]]&amp;CompilDonnées[[#This Row],[HarvestingDate]]</f>
        <v>114145757</v>
      </c>
    </row>
    <row r="1262" spans="1:16">
      <c r="A1262" s="5">
        <v>45695</v>
      </c>
      <c r="B1262">
        <v>114</v>
      </c>
      <c r="C1262" t="s">
        <v>3</v>
      </c>
      <c r="D1262">
        <v>2</v>
      </c>
      <c r="E1262">
        <v>60</v>
      </c>
      <c r="F1262" t="s">
        <v>105</v>
      </c>
      <c r="G1262" s="6">
        <v>45757</v>
      </c>
      <c r="H1262">
        <v>62</v>
      </c>
      <c r="I1262">
        <f>ROUND(CompilDonnées[[#This Row],[CultureDuration_days]]/7,0)</f>
        <v>9</v>
      </c>
      <c r="J1262">
        <v>1340</v>
      </c>
      <c r="K1262" t="str">
        <f>_xlfn.CONCAT(WEEKNUM(CompilDonnées[[#This Row],[PlantationDate]]), " ", YEAR(CompilDonnées[[#This Row],[PlantationDate]]))</f>
        <v>6 2025</v>
      </c>
      <c r="L1262" t="str">
        <f>CONCATENATE(MONTH(CompilDonnées[[#This Row],[PlantationDate]])," ", YEAR(CompilDonnées[[#This Row],[PlantationDate]]))</f>
        <v>2 2025</v>
      </c>
      <c r="M1262" t="str">
        <f>CONCATENATE(MONTH(CompilDonnées[[#This Row],[HarvestingDate]])," ", YEAR(CompilDonnées[[#This Row],[HarvestingDate]]))</f>
        <v>4 2025</v>
      </c>
      <c r="N1262">
        <f>_xlfn.NUMBERVALUE(CompilDonnées[[#This Row],[FarmID]]&amp;CompilDonnées[[#This Row],[ModuleNumber]]&amp;CompilDonnées[[#This Row],[PlantationDate]])</f>
        <v>114245695</v>
      </c>
      <c r="O1262" t="str">
        <f>CompilDonnées[[#This Row],[FarmID]]&amp;CompilDonnées[[#This Row],[ModuleNumber]]</f>
        <v>1142</v>
      </c>
      <c r="P1262" t="str">
        <f>CompilDonnées[[#This Row],[Ref_Module]]&amp;CompilDonnées[[#This Row],[HarvestingDate]]</f>
        <v>114245757</v>
      </c>
    </row>
    <row r="1263" spans="1:16">
      <c r="A1263" s="5">
        <v>45695</v>
      </c>
      <c r="B1263">
        <v>114</v>
      </c>
      <c r="C1263" t="s">
        <v>3</v>
      </c>
      <c r="D1263">
        <v>3</v>
      </c>
      <c r="E1263">
        <v>60</v>
      </c>
      <c r="F1263" t="s">
        <v>105</v>
      </c>
      <c r="G1263" s="6">
        <v>45757</v>
      </c>
      <c r="H1263">
        <v>62</v>
      </c>
      <c r="I1263">
        <f>ROUND(CompilDonnées[[#This Row],[CultureDuration_days]]/7,0)</f>
        <v>9</v>
      </c>
      <c r="J1263">
        <v>1522</v>
      </c>
      <c r="K1263" t="str">
        <f>_xlfn.CONCAT(WEEKNUM(CompilDonnées[[#This Row],[PlantationDate]]), " ", YEAR(CompilDonnées[[#This Row],[PlantationDate]]))</f>
        <v>6 2025</v>
      </c>
      <c r="L1263" t="str">
        <f>CONCATENATE(MONTH(CompilDonnées[[#This Row],[PlantationDate]])," ", YEAR(CompilDonnées[[#This Row],[PlantationDate]]))</f>
        <v>2 2025</v>
      </c>
      <c r="M1263" t="str">
        <f>CONCATENATE(MONTH(CompilDonnées[[#This Row],[HarvestingDate]])," ", YEAR(CompilDonnées[[#This Row],[HarvestingDate]]))</f>
        <v>4 2025</v>
      </c>
      <c r="N1263">
        <f>_xlfn.NUMBERVALUE(CompilDonnées[[#This Row],[FarmID]]&amp;CompilDonnées[[#This Row],[ModuleNumber]]&amp;CompilDonnées[[#This Row],[PlantationDate]])</f>
        <v>114345695</v>
      </c>
      <c r="O1263" t="str">
        <f>CompilDonnées[[#This Row],[FarmID]]&amp;CompilDonnées[[#This Row],[ModuleNumber]]</f>
        <v>1143</v>
      </c>
      <c r="P1263" t="str">
        <f>CompilDonnées[[#This Row],[Ref_Module]]&amp;CompilDonnées[[#This Row],[HarvestingDate]]</f>
        <v>114345757</v>
      </c>
    </row>
    <row r="1264" spans="1:16">
      <c r="A1264" s="5">
        <v>45696</v>
      </c>
      <c r="B1264">
        <v>91</v>
      </c>
      <c r="C1264" t="s">
        <v>9</v>
      </c>
      <c r="D1264">
        <v>3</v>
      </c>
      <c r="E1264">
        <v>100</v>
      </c>
      <c r="F1264" t="s">
        <v>1</v>
      </c>
      <c r="G1264" s="6">
        <v>45742</v>
      </c>
      <c r="H1264">
        <v>46</v>
      </c>
      <c r="I1264">
        <f>ROUND(CompilDonnées[[#This Row],[CultureDuration_days]]/7,0)</f>
        <v>7</v>
      </c>
      <c r="J1264">
        <v>3317</v>
      </c>
      <c r="K1264" t="str">
        <f>_xlfn.CONCAT(WEEKNUM(CompilDonnées[[#This Row],[PlantationDate]]), " ", YEAR(CompilDonnées[[#This Row],[PlantationDate]]))</f>
        <v>6 2025</v>
      </c>
      <c r="L1264" t="str">
        <f>CONCATENATE(MONTH(CompilDonnées[[#This Row],[PlantationDate]])," ", YEAR(CompilDonnées[[#This Row],[PlantationDate]]))</f>
        <v>2 2025</v>
      </c>
      <c r="M1264" t="str">
        <f>CONCATENATE(MONTH(CompilDonnées[[#This Row],[HarvestingDate]])," ", YEAR(CompilDonnées[[#This Row],[HarvestingDate]]))</f>
        <v>3 2025</v>
      </c>
      <c r="N1264">
        <f>_xlfn.NUMBERVALUE(CompilDonnées[[#This Row],[FarmID]]&amp;CompilDonnées[[#This Row],[ModuleNumber]]&amp;CompilDonnées[[#This Row],[PlantationDate]])</f>
        <v>91345696</v>
      </c>
      <c r="O1264" t="str">
        <f>CompilDonnées[[#This Row],[FarmID]]&amp;CompilDonnées[[#This Row],[ModuleNumber]]</f>
        <v>913</v>
      </c>
      <c r="P1264" t="str">
        <f>CompilDonnées[[#This Row],[Ref_Module]]&amp;CompilDonnées[[#This Row],[HarvestingDate]]</f>
        <v>91345742</v>
      </c>
    </row>
    <row r="1265" spans="1:16">
      <c r="A1265" s="5">
        <v>45696</v>
      </c>
      <c r="B1265">
        <v>89</v>
      </c>
      <c r="C1265" t="s">
        <v>67</v>
      </c>
      <c r="D1265">
        <v>5</v>
      </c>
      <c r="E1265">
        <v>100</v>
      </c>
      <c r="F1265" t="s">
        <v>1</v>
      </c>
      <c r="G1265" s="6">
        <v>45742</v>
      </c>
      <c r="H1265">
        <v>46</v>
      </c>
      <c r="I1265">
        <f>ROUND(CompilDonnées[[#This Row],[CultureDuration_days]]/7,0)</f>
        <v>7</v>
      </c>
      <c r="J1265">
        <v>4426</v>
      </c>
      <c r="K1265" t="str">
        <f>_xlfn.CONCAT(WEEKNUM(CompilDonnées[[#This Row],[PlantationDate]]), " ", YEAR(CompilDonnées[[#This Row],[PlantationDate]]))</f>
        <v>6 2025</v>
      </c>
      <c r="L1265" t="str">
        <f>CONCATENATE(MONTH(CompilDonnées[[#This Row],[PlantationDate]])," ", YEAR(CompilDonnées[[#This Row],[PlantationDate]]))</f>
        <v>2 2025</v>
      </c>
      <c r="M1265" t="str">
        <f>CONCATENATE(MONTH(CompilDonnées[[#This Row],[HarvestingDate]])," ", YEAR(CompilDonnées[[#This Row],[HarvestingDate]]))</f>
        <v>3 2025</v>
      </c>
      <c r="N1265">
        <f>_xlfn.NUMBERVALUE(CompilDonnées[[#This Row],[FarmID]]&amp;CompilDonnées[[#This Row],[ModuleNumber]]&amp;CompilDonnées[[#This Row],[PlantationDate]])</f>
        <v>89545696</v>
      </c>
      <c r="O1265" t="str">
        <f>CompilDonnées[[#This Row],[FarmID]]&amp;CompilDonnées[[#This Row],[ModuleNumber]]</f>
        <v>895</v>
      </c>
      <c r="P1265" t="str">
        <f>CompilDonnées[[#This Row],[Ref_Module]]&amp;CompilDonnées[[#This Row],[HarvestingDate]]</f>
        <v>89545742</v>
      </c>
    </row>
    <row r="1266" spans="1:16">
      <c r="A1266" s="5">
        <v>45696</v>
      </c>
      <c r="B1266">
        <v>101</v>
      </c>
      <c r="C1266" t="s">
        <v>54</v>
      </c>
      <c r="D1266">
        <v>3</v>
      </c>
      <c r="E1266">
        <v>100</v>
      </c>
      <c r="F1266" t="s">
        <v>1</v>
      </c>
      <c r="G1266" s="6">
        <v>45733</v>
      </c>
      <c r="H1266">
        <v>37</v>
      </c>
      <c r="I1266">
        <f>ROUND(CompilDonnées[[#This Row],[CultureDuration_days]]/7,0)</f>
        <v>5</v>
      </c>
      <c r="J1266">
        <v>3324</v>
      </c>
      <c r="K1266" t="str">
        <f>_xlfn.CONCAT(WEEKNUM(CompilDonnées[[#This Row],[PlantationDate]]), " ", YEAR(CompilDonnées[[#This Row],[PlantationDate]]))</f>
        <v>6 2025</v>
      </c>
      <c r="L1266" t="str">
        <f>CONCATENATE(MONTH(CompilDonnées[[#This Row],[PlantationDate]])," ", YEAR(CompilDonnées[[#This Row],[PlantationDate]]))</f>
        <v>2 2025</v>
      </c>
      <c r="M1266" t="str">
        <f>CONCATENATE(MONTH(CompilDonnées[[#This Row],[HarvestingDate]])," ", YEAR(CompilDonnées[[#This Row],[HarvestingDate]]))</f>
        <v>3 2025</v>
      </c>
      <c r="N1266">
        <f>_xlfn.NUMBERVALUE(CompilDonnées[[#This Row],[FarmID]]&amp;CompilDonnées[[#This Row],[ModuleNumber]]&amp;CompilDonnées[[#This Row],[PlantationDate]])</f>
        <v>101345696</v>
      </c>
      <c r="O1266" t="str">
        <f>CompilDonnées[[#This Row],[FarmID]]&amp;CompilDonnées[[#This Row],[ModuleNumber]]</f>
        <v>1013</v>
      </c>
      <c r="P1266" t="str">
        <f>CompilDonnées[[#This Row],[Ref_Module]]&amp;CompilDonnées[[#This Row],[HarvestingDate]]</f>
        <v>101345733</v>
      </c>
    </row>
    <row r="1267" spans="1:16">
      <c r="A1267" s="5">
        <v>45696</v>
      </c>
      <c r="B1267">
        <v>85</v>
      </c>
      <c r="C1267" t="s">
        <v>56</v>
      </c>
      <c r="D1267">
        <v>4</v>
      </c>
      <c r="E1267">
        <v>100</v>
      </c>
      <c r="F1267" t="s">
        <v>1</v>
      </c>
      <c r="G1267" s="6">
        <v>45743</v>
      </c>
      <c r="H1267">
        <v>47</v>
      </c>
      <c r="I1267">
        <f>ROUND(CompilDonnées[[#This Row],[CultureDuration_days]]/7,0)</f>
        <v>7</v>
      </c>
      <c r="J1267">
        <v>3602</v>
      </c>
      <c r="K1267" t="str">
        <f>_xlfn.CONCAT(WEEKNUM(CompilDonnées[[#This Row],[PlantationDate]]), " ", YEAR(CompilDonnées[[#This Row],[PlantationDate]]))</f>
        <v>6 2025</v>
      </c>
      <c r="L1267" t="str">
        <f>CONCATENATE(MONTH(CompilDonnées[[#This Row],[PlantationDate]])," ", YEAR(CompilDonnées[[#This Row],[PlantationDate]]))</f>
        <v>2 2025</v>
      </c>
      <c r="M1267" t="str">
        <f>CONCATENATE(MONTH(CompilDonnées[[#This Row],[HarvestingDate]])," ", YEAR(CompilDonnées[[#This Row],[HarvestingDate]]))</f>
        <v>3 2025</v>
      </c>
      <c r="N1267">
        <f>_xlfn.NUMBERVALUE(CompilDonnées[[#This Row],[FarmID]]&amp;CompilDonnées[[#This Row],[ModuleNumber]]&amp;CompilDonnées[[#This Row],[PlantationDate]])</f>
        <v>85445696</v>
      </c>
      <c r="O1267" t="str">
        <f>CompilDonnées[[#This Row],[FarmID]]&amp;CompilDonnées[[#This Row],[ModuleNumber]]</f>
        <v>854</v>
      </c>
      <c r="P1267" t="str">
        <f>CompilDonnées[[#This Row],[Ref_Module]]&amp;CompilDonnées[[#This Row],[HarvestingDate]]</f>
        <v>85445743</v>
      </c>
    </row>
    <row r="1268" spans="1:16">
      <c r="A1268" s="5">
        <v>45696</v>
      </c>
      <c r="B1268">
        <v>97</v>
      </c>
      <c r="C1268" t="s">
        <v>78</v>
      </c>
      <c r="D1268">
        <v>1</v>
      </c>
      <c r="E1268">
        <v>100</v>
      </c>
      <c r="F1268" t="s">
        <v>1</v>
      </c>
      <c r="G1268" s="6">
        <v>45741</v>
      </c>
      <c r="H1268">
        <v>45</v>
      </c>
      <c r="I1268">
        <f>ROUND(CompilDonnées[[#This Row],[CultureDuration_days]]/7,0)</f>
        <v>6</v>
      </c>
      <c r="J1268">
        <v>4042</v>
      </c>
      <c r="K1268" t="str">
        <f>_xlfn.CONCAT(WEEKNUM(CompilDonnées[[#This Row],[PlantationDate]]), " ", YEAR(CompilDonnées[[#This Row],[PlantationDate]]))</f>
        <v>6 2025</v>
      </c>
      <c r="L1268" t="str">
        <f>CONCATENATE(MONTH(CompilDonnées[[#This Row],[PlantationDate]])," ", YEAR(CompilDonnées[[#This Row],[PlantationDate]]))</f>
        <v>2 2025</v>
      </c>
      <c r="M1268" t="str">
        <f>CONCATENATE(MONTH(CompilDonnées[[#This Row],[HarvestingDate]])," ", YEAR(CompilDonnées[[#This Row],[HarvestingDate]]))</f>
        <v>3 2025</v>
      </c>
      <c r="N1268">
        <f>_xlfn.NUMBERVALUE(CompilDonnées[[#This Row],[FarmID]]&amp;CompilDonnées[[#This Row],[ModuleNumber]]&amp;CompilDonnées[[#This Row],[PlantationDate]])</f>
        <v>97145696</v>
      </c>
      <c r="O1268" t="str">
        <f>CompilDonnées[[#This Row],[FarmID]]&amp;CompilDonnées[[#This Row],[ModuleNumber]]</f>
        <v>971</v>
      </c>
      <c r="P1268" t="str">
        <f>CompilDonnées[[#This Row],[Ref_Module]]&amp;CompilDonnées[[#This Row],[HarvestingDate]]</f>
        <v>97145741</v>
      </c>
    </row>
    <row r="1269" spans="1:16">
      <c r="A1269" s="5">
        <v>45696</v>
      </c>
      <c r="B1269">
        <v>97</v>
      </c>
      <c r="C1269" t="s">
        <v>78</v>
      </c>
      <c r="D1269">
        <v>6</v>
      </c>
      <c r="E1269">
        <v>100</v>
      </c>
      <c r="F1269" t="s">
        <v>1</v>
      </c>
      <c r="G1269" s="6">
        <v>45733</v>
      </c>
      <c r="H1269">
        <v>37</v>
      </c>
      <c r="I1269">
        <f>ROUND(CompilDonnées[[#This Row],[CultureDuration_days]]/7,0)</f>
        <v>5</v>
      </c>
      <c r="J1269">
        <v>3968</v>
      </c>
      <c r="K1269" t="str">
        <f>_xlfn.CONCAT(WEEKNUM(CompilDonnées[[#This Row],[PlantationDate]]), " ", YEAR(CompilDonnées[[#This Row],[PlantationDate]]))</f>
        <v>6 2025</v>
      </c>
      <c r="L1269" t="str">
        <f>CONCATENATE(MONTH(CompilDonnées[[#This Row],[PlantationDate]])," ", YEAR(CompilDonnées[[#This Row],[PlantationDate]]))</f>
        <v>2 2025</v>
      </c>
      <c r="M1269" t="str">
        <f>CONCATENATE(MONTH(CompilDonnées[[#This Row],[HarvestingDate]])," ", YEAR(CompilDonnées[[#This Row],[HarvestingDate]]))</f>
        <v>3 2025</v>
      </c>
      <c r="N1269">
        <f>_xlfn.NUMBERVALUE(CompilDonnées[[#This Row],[FarmID]]&amp;CompilDonnées[[#This Row],[ModuleNumber]]&amp;CompilDonnées[[#This Row],[PlantationDate]])</f>
        <v>97645696</v>
      </c>
      <c r="O1269" t="str">
        <f>CompilDonnées[[#This Row],[FarmID]]&amp;CompilDonnées[[#This Row],[ModuleNumber]]</f>
        <v>976</v>
      </c>
      <c r="P1269" t="str">
        <f>CompilDonnées[[#This Row],[Ref_Module]]&amp;CompilDonnées[[#This Row],[HarvestingDate]]</f>
        <v>97645733</v>
      </c>
    </row>
    <row r="1270" spans="1:16">
      <c r="A1270" s="5">
        <v>45696</v>
      </c>
      <c r="B1270">
        <v>95</v>
      </c>
      <c r="C1270" t="s">
        <v>90</v>
      </c>
      <c r="D1270">
        <v>1</v>
      </c>
      <c r="E1270">
        <v>100</v>
      </c>
      <c r="F1270" t="s">
        <v>1</v>
      </c>
      <c r="G1270" s="6">
        <v>45738</v>
      </c>
      <c r="H1270">
        <v>42</v>
      </c>
      <c r="I1270">
        <f>ROUND(CompilDonnées[[#This Row],[CultureDuration_days]]/7,0)</f>
        <v>6</v>
      </c>
      <c r="J1270">
        <v>2654</v>
      </c>
      <c r="K1270" t="str">
        <f>_xlfn.CONCAT(WEEKNUM(CompilDonnées[[#This Row],[PlantationDate]]), " ", YEAR(CompilDonnées[[#This Row],[PlantationDate]]))</f>
        <v>6 2025</v>
      </c>
      <c r="L1270" t="str">
        <f>CONCATENATE(MONTH(CompilDonnées[[#This Row],[PlantationDate]])," ", YEAR(CompilDonnées[[#This Row],[PlantationDate]]))</f>
        <v>2 2025</v>
      </c>
      <c r="M1270" t="str">
        <f>CONCATENATE(MONTH(CompilDonnées[[#This Row],[HarvestingDate]])," ", YEAR(CompilDonnées[[#This Row],[HarvestingDate]]))</f>
        <v>3 2025</v>
      </c>
      <c r="N1270">
        <f>_xlfn.NUMBERVALUE(CompilDonnées[[#This Row],[FarmID]]&amp;CompilDonnées[[#This Row],[ModuleNumber]]&amp;CompilDonnées[[#This Row],[PlantationDate]])</f>
        <v>95145696</v>
      </c>
      <c r="O1270" t="str">
        <f>CompilDonnées[[#This Row],[FarmID]]&amp;CompilDonnées[[#This Row],[ModuleNumber]]</f>
        <v>951</v>
      </c>
      <c r="P1270" t="str">
        <f>CompilDonnées[[#This Row],[Ref_Module]]&amp;CompilDonnées[[#This Row],[HarvestingDate]]</f>
        <v>95145738</v>
      </c>
    </row>
    <row r="1271" spans="1:16">
      <c r="A1271" s="5">
        <v>45696</v>
      </c>
      <c r="B1271">
        <v>95</v>
      </c>
      <c r="C1271" t="s">
        <v>90</v>
      </c>
      <c r="D1271">
        <v>2</v>
      </c>
      <c r="E1271">
        <v>100</v>
      </c>
      <c r="F1271" t="s">
        <v>1</v>
      </c>
      <c r="G1271" s="6">
        <v>45743</v>
      </c>
      <c r="H1271">
        <v>47</v>
      </c>
      <c r="I1271">
        <f>ROUND(CompilDonnées[[#This Row],[CultureDuration_days]]/7,0)</f>
        <v>7</v>
      </c>
      <c r="J1271">
        <v>4085</v>
      </c>
      <c r="K1271" t="str">
        <f>_xlfn.CONCAT(WEEKNUM(CompilDonnées[[#This Row],[PlantationDate]]), " ", YEAR(CompilDonnées[[#This Row],[PlantationDate]]))</f>
        <v>6 2025</v>
      </c>
      <c r="L1271" t="str">
        <f>CONCATENATE(MONTH(CompilDonnées[[#This Row],[PlantationDate]])," ", YEAR(CompilDonnées[[#This Row],[PlantationDate]]))</f>
        <v>2 2025</v>
      </c>
      <c r="M1271" t="str">
        <f>CONCATENATE(MONTH(CompilDonnées[[#This Row],[HarvestingDate]])," ", YEAR(CompilDonnées[[#This Row],[HarvestingDate]]))</f>
        <v>3 2025</v>
      </c>
      <c r="N1271">
        <f>_xlfn.NUMBERVALUE(CompilDonnées[[#This Row],[FarmID]]&amp;CompilDonnées[[#This Row],[ModuleNumber]]&amp;CompilDonnées[[#This Row],[PlantationDate]])</f>
        <v>95245696</v>
      </c>
      <c r="O1271" t="str">
        <f>CompilDonnées[[#This Row],[FarmID]]&amp;CompilDonnées[[#This Row],[ModuleNumber]]</f>
        <v>952</v>
      </c>
      <c r="P1271" t="str">
        <f>CompilDonnées[[#This Row],[Ref_Module]]&amp;CompilDonnées[[#This Row],[HarvestingDate]]</f>
        <v>95245743</v>
      </c>
    </row>
    <row r="1272" spans="1:16">
      <c r="A1272" s="5">
        <v>45696</v>
      </c>
      <c r="B1272">
        <v>104</v>
      </c>
      <c r="C1272" t="s">
        <v>91</v>
      </c>
      <c r="D1272">
        <v>2</v>
      </c>
      <c r="E1272">
        <v>100</v>
      </c>
      <c r="F1272" t="s">
        <v>1</v>
      </c>
      <c r="G1272" s="6">
        <v>45743</v>
      </c>
      <c r="H1272">
        <v>47</v>
      </c>
      <c r="I1272">
        <f>ROUND(CompilDonnées[[#This Row],[CultureDuration_days]]/7,0)</f>
        <v>7</v>
      </c>
      <c r="J1272">
        <v>3010</v>
      </c>
      <c r="K1272" t="str">
        <f>_xlfn.CONCAT(WEEKNUM(CompilDonnées[[#This Row],[PlantationDate]]), " ", YEAR(CompilDonnées[[#This Row],[PlantationDate]]))</f>
        <v>6 2025</v>
      </c>
      <c r="L1272" t="str">
        <f>CONCATENATE(MONTH(CompilDonnées[[#This Row],[PlantationDate]])," ", YEAR(CompilDonnées[[#This Row],[PlantationDate]]))</f>
        <v>2 2025</v>
      </c>
      <c r="M1272" t="str">
        <f>CONCATENATE(MONTH(CompilDonnées[[#This Row],[HarvestingDate]])," ", YEAR(CompilDonnées[[#This Row],[HarvestingDate]]))</f>
        <v>3 2025</v>
      </c>
      <c r="N1272">
        <f>_xlfn.NUMBERVALUE(CompilDonnées[[#This Row],[FarmID]]&amp;CompilDonnées[[#This Row],[ModuleNumber]]&amp;CompilDonnées[[#This Row],[PlantationDate]])</f>
        <v>104245696</v>
      </c>
      <c r="O1272" t="str">
        <f>CompilDonnées[[#This Row],[FarmID]]&amp;CompilDonnées[[#This Row],[ModuleNumber]]</f>
        <v>1042</v>
      </c>
      <c r="P1272" t="str">
        <f>CompilDonnées[[#This Row],[Ref_Module]]&amp;CompilDonnées[[#This Row],[HarvestingDate]]</f>
        <v>104245743</v>
      </c>
    </row>
    <row r="1273" spans="1:16">
      <c r="A1273" s="5">
        <v>45696</v>
      </c>
      <c r="B1273">
        <v>104</v>
      </c>
      <c r="C1273" t="s">
        <v>91</v>
      </c>
      <c r="D1273">
        <v>4</v>
      </c>
      <c r="E1273">
        <v>100</v>
      </c>
      <c r="F1273" t="s">
        <v>1</v>
      </c>
      <c r="G1273" s="6">
        <v>45747</v>
      </c>
      <c r="H1273">
        <v>51</v>
      </c>
      <c r="I1273">
        <f>ROUND(CompilDonnées[[#This Row],[CultureDuration_days]]/7,0)</f>
        <v>7</v>
      </c>
      <c r="J1273">
        <v>3466</v>
      </c>
      <c r="K1273" t="str">
        <f>_xlfn.CONCAT(WEEKNUM(CompilDonnées[[#This Row],[PlantationDate]]), " ", YEAR(CompilDonnées[[#This Row],[PlantationDate]]))</f>
        <v>6 2025</v>
      </c>
      <c r="L1273" t="str">
        <f>CONCATENATE(MONTH(CompilDonnées[[#This Row],[PlantationDate]])," ", YEAR(CompilDonnées[[#This Row],[PlantationDate]]))</f>
        <v>2 2025</v>
      </c>
      <c r="M1273" t="str">
        <f>CONCATENATE(MONTH(CompilDonnées[[#This Row],[HarvestingDate]])," ", YEAR(CompilDonnées[[#This Row],[HarvestingDate]]))</f>
        <v>3 2025</v>
      </c>
      <c r="N1273">
        <f>_xlfn.NUMBERVALUE(CompilDonnées[[#This Row],[FarmID]]&amp;CompilDonnées[[#This Row],[ModuleNumber]]&amp;CompilDonnées[[#This Row],[PlantationDate]])</f>
        <v>104445696</v>
      </c>
      <c r="O1273" t="str">
        <f>CompilDonnées[[#This Row],[FarmID]]&amp;CompilDonnées[[#This Row],[ModuleNumber]]</f>
        <v>1044</v>
      </c>
      <c r="P1273" t="str">
        <f>CompilDonnées[[#This Row],[Ref_Module]]&amp;CompilDonnées[[#This Row],[HarvestingDate]]</f>
        <v>104445747</v>
      </c>
    </row>
    <row r="1274" spans="1:16">
      <c r="A1274" s="5">
        <v>45696</v>
      </c>
      <c r="B1274">
        <v>83</v>
      </c>
      <c r="C1274" t="s">
        <v>73</v>
      </c>
      <c r="D1274">
        <v>4</v>
      </c>
      <c r="E1274">
        <v>100</v>
      </c>
      <c r="F1274" t="s">
        <v>1</v>
      </c>
      <c r="G1274" s="6">
        <v>45736</v>
      </c>
      <c r="H1274">
        <v>40</v>
      </c>
      <c r="I1274">
        <f>ROUND(CompilDonnées[[#This Row],[CultureDuration_days]]/7,0)</f>
        <v>6</v>
      </c>
      <c r="J1274">
        <v>2674</v>
      </c>
      <c r="K1274" t="str">
        <f>_xlfn.CONCAT(WEEKNUM(CompilDonnées[[#This Row],[PlantationDate]]), " ", YEAR(CompilDonnées[[#This Row],[PlantationDate]]))</f>
        <v>6 2025</v>
      </c>
      <c r="L1274" t="str">
        <f>CONCATENATE(MONTH(CompilDonnées[[#This Row],[PlantationDate]])," ", YEAR(CompilDonnées[[#This Row],[PlantationDate]]))</f>
        <v>2 2025</v>
      </c>
      <c r="M1274" t="str">
        <f>CONCATENATE(MONTH(CompilDonnées[[#This Row],[HarvestingDate]])," ", YEAR(CompilDonnées[[#This Row],[HarvestingDate]]))</f>
        <v>3 2025</v>
      </c>
      <c r="N1274">
        <f>_xlfn.NUMBERVALUE(CompilDonnées[[#This Row],[FarmID]]&amp;CompilDonnées[[#This Row],[ModuleNumber]]&amp;CompilDonnées[[#This Row],[PlantationDate]])</f>
        <v>83445696</v>
      </c>
      <c r="O1274" t="str">
        <f>CompilDonnées[[#This Row],[FarmID]]&amp;CompilDonnées[[#This Row],[ModuleNumber]]</f>
        <v>834</v>
      </c>
      <c r="P1274" t="str">
        <f>CompilDonnées[[#This Row],[Ref_Module]]&amp;CompilDonnées[[#This Row],[HarvestingDate]]</f>
        <v>83445736</v>
      </c>
    </row>
    <row r="1275" spans="1:16">
      <c r="A1275" s="5">
        <v>45696</v>
      </c>
      <c r="B1275">
        <v>84</v>
      </c>
      <c r="C1275" t="s">
        <v>65</v>
      </c>
      <c r="D1275">
        <v>4</v>
      </c>
      <c r="E1275">
        <v>100</v>
      </c>
      <c r="F1275" t="s">
        <v>1</v>
      </c>
      <c r="G1275" s="6">
        <v>45736</v>
      </c>
      <c r="H1275">
        <v>40</v>
      </c>
      <c r="I1275">
        <f>ROUND(CompilDonnées[[#This Row],[CultureDuration_days]]/7,0)</f>
        <v>6</v>
      </c>
      <c r="J1275">
        <v>3072</v>
      </c>
      <c r="K1275" t="str">
        <f>_xlfn.CONCAT(WEEKNUM(CompilDonnées[[#This Row],[PlantationDate]]), " ", YEAR(CompilDonnées[[#This Row],[PlantationDate]]))</f>
        <v>6 2025</v>
      </c>
      <c r="L1275" t="str">
        <f>CONCATENATE(MONTH(CompilDonnées[[#This Row],[PlantationDate]])," ", YEAR(CompilDonnées[[#This Row],[PlantationDate]]))</f>
        <v>2 2025</v>
      </c>
      <c r="M1275" t="str">
        <f>CONCATENATE(MONTH(CompilDonnées[[#This Row],[HarvestingDate]])," ", YEAR(CompilDonnées[[#This Row],[HarvestingDate]]))</f>
        <v>3 2025</v>
      </c>
      <c r="N1275">
        <f>_xlfn.NUMBERVALUE(CompilDonnées[[#This Row],[FarmID]]&amp;CompilDonnées[[#This Row],[ModuleNumber]]&amp;CompilDonnées[[#This Row],[PlantationDate]])</f>
        <v>84445696</v>
      </c>
      <c r="O1275" t="str">
        <f>CompilDonnées[[#This Row],[FarmID]]&amp;CompilDonnées[[#This Row],[ModuleNumber]]</f>
        <v>844</v>
      </c>
      <c r="P1275" t="str">
        <f>CompilDonnées[[#This Row],[Ref_Module]]&amp;CompilDonnées[[#This Row],[HarvestingDate]]</f>
        <v>84445736</v>
      </c>
    </row>
    <row r="1276" spans="1:16">
      <c r="A1276" s="5">
        <v>45696</v>
      </c>
      <c r="B1276">
        <v>80</v>
      </c>
      <c r="C1276" t="s">
        <v>29</v>
      </c>
      <c r="D1276">
        <v>1</v>
      </c>
      <c r="E1276">
        <v>100</v>
      </c>
      <c r="F1276" t="s">
        <v>1</v>
      </c>
      <c r="G1276" s="6">
        <v>45736</v>
      </c>
      <c r="H1276">
        <v>40</v>
      </c>
      <c r="I1276">
        <f>ROUND(CompilDonnées[[#This Row],[CultureDuration_days]]/7,0)</f>
        <v>6</v>
      </c>
      <c r="J1276">
        <v>3271</v>
      </c>
      <c r="K1276" t="str">
        <f>_xlfn.CONCAT(WEEKNUM(CompilDonnées[[#This Row],[PlantationDate]]), " ", YEAR(CompilDonnées[[#This Row],[PlantationDate]]))</f>
        <v>6 2025</v>
      </c>
      <c r="L1276" t="str">
        <f>CONCATENATE(MONTH(CompilDonnées[[#This Row],[PlantationDate]])," ", YEAR(CompilDonnées[[#This Row],[PlantationDate]]))</f>
        <v>2 2025</v>
      </c>
      <c r="M1276" t="str">
        <f>CONCATENATE(MONTH(CompilDonnées[[#This Row],[HarvestingDate]])," ", YEAR(CompilDonnées[[#This Row],[HarvestingDate]]))</f>
        <v>3 2025</v>
      </c>
      <c r="N1276">
        <f>_xlfn.NUMBERVALUE(CompilDonnées[[#This Row],[FarmID]]&amp;CompilDonnées[[#This Row],[ModuleNumber]]&amp;CompilDonnées[[#This Row],[PlantationDate]])</f>
        <v>80145696</v>
      </c>
      <c r="O1276" t="str">
        <f>CompilDonnées[[#This Row],[FarmID]]&amp;CompilDonnées[[#This Row],[ModuleNumber]]</f>
        <v>801</v>
      </c>
      <c r="P1276" t="str">
        <f>CompilDonnées[[#This Row],[Ref_Module]]&amp;CompilDonnées[[#This Row],[HarvestingDate]]</f>
        <v>80145736</v>
      </c>
    </row>
    <row r="1277" spans="1:16">
      <c r="A1277" s="5">
        <v>45696</v>
      </c>
      <c r="B1277">
        <v>58</v>
      </c>
      <c r="C1277" t="s">
        <v>35</v>
      </c>
      <c r="D1277">
        <v>1</v>
      </c>
      <c r="E1277">
        <v>100</v>
      </c>
      <c r="F1277" t="s">
        <v>1</v>
      </c>
      <c r="G1277" s="6">
        <v>45742</v>
      </c>
      <c r="H1277">
        <v>46</v>
      </c>
      <c r="I1277">
        <f>ROUND(CompilDonnées[[#This Row],[CultureDuration_days]]/7,0)</f>
        <v>7</v>
      </c>
      <c r="J1277">
        <v>3857</v>
      </c>
      <c r="K1277" t="str">
        <f>_xlfn.CONCAT(WEEKNUM(CompilDonnées[[#This Row],[PlantationDate]]), " ", YEAR(CompilDonnées[[#This Row],[PlantationDate]]))</f>
        <v>6 2025</v>
      </c>
      <c r="L1277" t="str">
        <f>CONCATENATE(MONTH(CompilDonnées[[#This Row],[PlantationDate]])," ", YEAR(CompilDonnées[[#This Row],[PlantationDate]]))</f>
        <v>2 2025</v>
      </c>
      <c r="M1277" t="str">
        <f>CONCATENATE(MONTH(CompilDonnées[[#This Row],[HarvestingDate]])," ", YEAR(CompilDonnées[[#This Row],[HarvestingDate]]))</f>
        <v>3 2025</v>
      </c>
      <c r="N1277">
        <f>_xlfn.NUMBERVALUE(CompilDonnées[[#This Row],[FarmID]]&amp;CompilDonnées[[#This Row],[ModuleNumber]]&amp;CompilDonnées[[#This Row],[PlantationDate]])</f>
        <v>58145696</v>
      </c>
      <c r="O1277" t="str">
        <f>CompilDonnées[[#This Row],[FarmID]]&amp;CompilDonnées[[#This Row],[ModuleNumber]]</f>
        <v>581</v>
      </c>
      <c r="P1277" t="str">
        <f>CompilDonnées[[#This Row],[Ref_Module]]&amp;CompilDonnées[[#This Row],[HarvestingDate]]</f>
        <v>58145742</v>
      </c>
    </row>
    <row r="1278" spans="1:16">
      <c r="A1278" s="5">
        <v>45696</v>
      </c>
      <c r="B1278">
        <v>57</v>
      </c>
      <c r="C1278" t="s">
        <v>46</v>
      </c>
      <c r="D1278">
        <v>4</v>
      </c>
      <c r="E1278">
        <v>100</v>
      </c>
      <c r="F1278" t="s">
        <v>1</v>
      </c>
      <c r="G1278" s="6">
        <v>45737</v>
      </c>
      <c r="H1278">
        <v>41</v>
      </c>
      <c r="I1278">
        <f>ROUND(CompilDonnées[[#This Row],[CultureDuration_days]]/7,0)</f>
        <v>6</v>
      </c>
      <c r="J1278">
        <v>3308</v>
      </c>
      <c r="K1278" t="str">
        <f>_xlfn.CONCAT(WEEKNUM(CompilDonnées[[#This Row],[PlantationDate]]), " ", YEAR(CompilDonnées[[#This Row],[PlantationDate]]))</f>
        <v>6 2025</v>
      </c>
      <c r="L1278" t="str">
        <f>CONCATENATE(MONTH(CompilDonnées[[#This Row],[PlantationDate]])," ", YEAR(CompilDonnées[[#This Row],[PlantationDate]]))</f>
        <v>2 2025</v>
      </c>
      <c r="M1278" t="str">
        <f>CONCATENATE(MONTH(CompilDonnées[[#This Row],[HarvestingDate]])," ", YEAR(CompilDonnées[[#This Row],[HarvestingDate]]))</f>
        <v>3 2025</v>
      </c>
      <c r="N1278">
        <f>_xlfn.NUMBERVALUE(CompilDonnées[[#This Row],[FarmID]]&amp;CompilDonnées[[#This Row],[ModuleNumber]]&amp;CompilDonnées[[#This Row],[PlantationDate]])</f>
        <v>57445696</v>
      </c>
      <c r="O1278" t="str">
        <f>CompilDonnées[[#This Row],[FarmID]]&amp;CompilDonnées[[#This Row],[ModuleNumber]]</f>
        <v>574</v>
      </c>
      <c r="P1278" t="str">
        <f>CompilDonnées[[#This Row],[Ref_Module]]&amp;CompilDonnées[[#This Row],[HarvestingDate]]</f>
        <v>57445737</v>
      </c>
    </row>
    <row r="1279" spans="1:16">
      <c r="A1279" s="5">
        <v>45696</v>
      </c>
      <c r="B1279">
        <v>76</v>
      </c>
      <c r="C1279" t="s">
        <v>18</v>
      </c>
      <c r="D1279">
        <v>3</v>
      </c>
      <c r="E1279">
        <v>100</v>
      </c>
      <c r="F1279" t="s">
        <v>1</v>
      </c>
      <c r="G1279" s="6">
        <v>45742</v>
      </c>
      <c r="H1279">
        <v>46</v>
      </c>
      <c r="I1279">
        <f>ROUND(CompilDonnées[[#This Row],[CultureDuration_days]]/7,0)</f>
        <v>7</v>
      </c>
      <c r="J1279">
        <v>4204</v>
      </c>
      <c r="K1279" t="str">
        <f>_xlfn.CONCAT(WEEKNUM(CompilDonnées[[#This Row],[PlantationDate]]), " ", YEAR(CompilDonnées[[#This Row],[PlantationDate]]))</f>
        <v>6 2025</v>
      </c>
      <c r="L1279" t="str">
        <f>CONCATENATE(MONTH(CompilDonnées[[#This Row],[PlantationDate]])," ", YEAR(CompilDonnées[[#This Row],[PlantationDate]]))</f>
        <v>2 2025</v>
      </c>
      <c r="M1279" t="str">
        <f>CONCATENATE(MONTH(CompilDonnées[[#This Row],[HarvestingDate]])," ", YEAR(CompilDonnées[[#This Row],[HarvestingDate]]))</f>
        <v>3 2025</v>
      </c>
      <c r="N1279">
        <f>_xlfn.NUMBERVALUE(CompilDonnées[[#This Row],[FarmID]]&amp;CompilDonnées[[#This Row],[ModuleNumber]]&amp;CompilDonnées[[#This Row],[PlantationDate]])</f>
        <v>76345696</v>
      </c>
      <c r="O1279" t="str">
        <f>CompilDonnées[[#This Row],[FarmID]]&amp;CompilDonnées[[#This Row],[ModuleNumber]]</f>
        <v>763</v>
      </c>
      <c r="P1279" t="str">
        <f>CompilDonnées[[#This Row],[Ref_Module]]&amp;CompilDonnées[[#This Row],[HarvestingDate]]</f>
        <v>76345742</v>
      </c>
    </row>
    <row r="1280" spans="1:16">
      <c r="A1280" s="5">
        <v>45696</v>
      </c>
      <c r="B1280">
        <v>117</v>
      </c>
      <c r="C1280" t="s">
        <v>11</v>
      </c>
      <c r="D1280">
        <v>1</v>
      </c>
      <c r="E1280">
        <v>100</v>
      </c>
      <c r="F1280" t="s">
        <v>1</v>
      </c>
      <c r="G1280" s="6">
        <v>45740</v>
      </c>
      <c r="H1280">
        <v>44</v>
      </c>
      <c r="I1280">
        <f>ROUND(CompilDonnées[[#This Row],[CultureDuration_days]]/7,0)</f>
        <v>6</v>
      </c>
      <c r="J1280">
        <v>2393</v>
      </c>
      <c r="K1280" t="str">
        <f>_xlfn.CONCAT(WEEKNUM(CompilDonnées[[#This Row],[PlantationDate]]), " ", YEAR(CompilDonnées[[#This Row],[PlantationDate]]))</f>
        <v>6 2025</v>
      </c>
      <c r="L1280" t="str">
        <f>CONCATENATE(MONTH(CompilDonnées[[#This Row],[PlantationDate]])," ", YEAR(CompilDonnées[[#This Row],[PlantationDate]]))</f>
        <v>2 2025</v>
      </c>
      <c r="M1280" t="str">
        <f>CONCATENATE(MONTH(CompilDonnées[[#This Row],[HarvestingDate]])," ", YEAR(CompilDonnées[[#This Row],[HarvestingDate]]))</f>
        <v>3 2025</v>
      </c>
      <c r="N1280">
        <f>_xlfn.NUMBERVALUE(CompilDonnées[[#This Row],[FarmID]]&amp;CompilDonnées[[#This Row],[ModuleNumber]]&amp;CompilDonnées[[#This Row],[PlantationDate]])</f>
        <v>117145696</v>
      </c>
      <c r="O1280" t="str">
        <f>CompilDonnées[[#This Row],[FarmID]]&amp;CompilDonnées[[#This Row],[ModuleNumber]]</f>
        <v>1171</v>
      </c>
      <c r="P1280" t="str">
        <f>CompilDonnées[[#This Row],[Ref_Module]]&amp;CompilDonnées[[#This Row],[HarvestingDate]]</f>
        <v>117145740</v>
      </c>
    </row>
    <row r="1281" spans="1:16">
      <c r="A1281" s="5">
        <v>45696</v>
      </c>
      <c r="B1281">
        <v>110</v>
      </c>
      <c r="C1281" t="s">
        <v>14</v>
      </c>
      <c r="D1281">
        <v>2</v>
      </c>
      <c r="E1281">
        <v>100</v>
      </c>
      <c r="F1281" t="s">
        <v>1</v>
      </c>
      <c r="G1281" s="6">
        <v>45744</v>
      </c>
      <c r="H1281">
        <v>48</v>
      </c>
      <c r="I1281">
        <f>ROUND(CompilDonnées[[#This Row],[CultureDuration_days]]/7,0)</f>
        <v>7</v>
      </c>
      <c r="J1281">
        <v>4163</v>
      </c>
      <c r="K1281" t="str">
        <f>_xlfn.CONCAT(WEEKNUM(CompilDonnées[[#This Row],[PlantationDate]]), " ", YEAR(CompilDonnées[[#This Row],[PlantationDate]]))</f>
        <v>6 2025</v>
      </c>
      <c r="L1281" t="str">
        <f>CONCATENATE(MONTH(CompilDonnées[[#This Row],[PlantationDate]])," ", YEAR(CompilDonnées[[#This Row],[PlantationDate]]))</f>
        <v>2 2025</v>
      </c>
      <c r="M1281" t="str">
        <f>CONCATENATE(MONTH(CompilDonnées[[#This Row],[HarvestingDate]])," ", YEAR(CompilDonnées[[#This Row],[HarvestingDate]]))</f>
        <v>3 2025</v>
      </c>
      <c r="N1281">
        <f>_xlfn.NUMBERVALUE(CompilDonnées[[#This Row],[FarmID]]&amp;CompilDonnées[[#This Row],[ModuleNumber]]&amp;CompilDonnées[[#This Row],[PlantationDate]])</f>
        <v>110245696</v>
      </c>
      <c r="O1281" t="str">
        <f>CompilDonnées[[#This Row],[FarmID]]&amp;CompilDonnées[[#This Row],[ModuleNumber]]</f>
        <v>1102</v>
      </c>
      <c r="P1281" t="str">
        <f>CompilDonnées[[#This Row],[Ref_Module]]&amp;CompilDonnées[[#This Row],[HarvestingDate]]</f>
        <v>110245744</v>
      </c>
    </row>
    <row r="1282" spans="1:16">
      <c r="A1282" s="5">
        <v>45696</v>
      </c>
      <c r="B1282">
        <v>119</v>
      </c>
      <c r="C1282" t="s">
        <v>59</v>
      </c>
      <c r="D1282">
        <v>2</v>
      </c>
      <c r="E1282">
        <v>100</v>
      </c>
      <c r="F1282" t="s">
        <v>1</v>
      </c>
      <c r="G1282" s="6">
        <v>45733</v>
      </c>
      <c r="H1282">
        <v>37</v>
      </c>
      <c r="I1282">
        <f>ROUND(CompilDonnées[[#This Row],[CultureDuration_days]]/7,0)</f>
        <v>5</v>
      </c>
      <c r="J1282">
        <v>2947</v>
      </c>
      <c r="K1282" t="str">
        <f>_xlfn.CONCAT(WEEKNUM(CompilDonnées[[#This Row],[PlantationDate]]), " ", YEAR(CompilDonnées[[#This Row],[PlantationDate]]))</f>
        <v>6 2025</v>
      </c>
      <c r="L1282" t="str">
        <f>CONCATENATE(MONTH(CompilDonnées[[#This Row],[PlantationDate]])," ", YEAR(CompilDonnées[[#This Row],[PlantationDate]]))</f>
        <v>2 2025</v>
      </c>
      <c r="M1282" t="str">
        <f>CONCATENATE(MONTH(CompilDonnées[[#This Row],[HarvestingDate]])," ", YEAR(CompilDonnées[[#This Row],[HarvestingDate]]))</f>
        <v>3 2025</v>
      </c>
      <c r="N1282">
        <f>_xlfn.NUMBERVALUE(CompilDonnées[[#This Row],[FarmID]]&amp;CompilDonnées[[#This Row],[ModuleNumber]]&amp;CompilDonnées[[#This Row],[PlantationDate]])</f>
        <v>119245696</v>
      </c>
      <c r="O1282" t="str">
        <f>CompilDonnées[[#This Row],[FarmID]]&amp;CompilDonnées[[#This Row],[ModuleNumber]]</f>
        <v>1192</v>
      </c>
      <c r="P1282" t="str">
        <f>CompilDonnées[[#This Row],[Ref_Module]]&amp;CompilDonnées[[#This Row],[HarvestingDate]]</f>
        <v>119245733</v>
      </c>
    </row>
    <row r="1283" spans="1:16">
      <c r="A1283" s="5">
        <v>45696</v>
      </c>
      <c r="B1283">
        <v>116</v>
      </c>
      <c r="C1283" t="s">
        <v>76</v>
      </c>
      <c r="D1283">
        <v>3</v>
      </c>
      <c r="E1283">
        <v>100</v>
      </c>
      <c r="F1283" t="s">
        <v>1</v>
      </c>
      <c r="G1283" s="6">
        <v>45733</v>
      </c>
      <c r="H1283">
        <v>37</v>
      </c>
      <c r="I1283">
        <f>ROUND(CompilDonnées[[#This Row],[CultureDuration_days]]/7,0)</f>
        <v>5</v>
      </c>
      <c r="J1283">
        <v>2633</v>
      </c>
      <c r="K1283" t="str">
        <f>_xlfn.CONCAT(WEEKNUM(CompilDonnées[[#This Row],[PlantationDate]]), " ", YEAR(CompilDonnées[[#This Row],[PlantationDate]]))</f>
        <v>6 2025</v>
      </c>
      <c r="L1283" t="str">
        <f>CONCATENATE(MONTH(CompilDonnées[[#This Row],[PlantationDate]])," ", YEAR(CompilDonnées[[#This Row],[PlantationDate]]))</f>
        <v>2 2025</v>
      </c>
      <c r="M1283" t="str">
        <f>CONCATENATE(MONTH(CompilDonnées[[#This Row],[HarvestingDate]])," ", YEAR(CompilDonnées[[#This Row],[HarvestingDate]]))</f>
        <v>3 2025</v>
      </c>
      <c r="N1283">
        <f>_xlfn.NUMBERVALUE(CompilDonnées[[#This Row],[FarmID]]&amp;CompilDonnées[[#This Row],[ModuleNumber]]&amp;CompilDonnées[[#This Row],[PlantationDate]])</f>
        <v>116345696</v>
      </c>
      <c r="O1283" t="str">
        <f>CompilDonnées[[#This Row],[FarmID]]&amp;CompilDonnées[[#This Row],[ModuleNumber]]</f>
        <v>1163</v>
      </c>
      <c r="P1283" t="str">
        <f>CompilDonnées[[#This Row],[Ref_Module]]&amp;CompilDonnées[[#This Row],[HarvestingDate]]</f>
        <v>116345733</v>
      </c>
    </row>
    <row r="1284" spans="1:16">
      <c r="A1284" s="5">
        <v>45696</v>
      </c>
      <c r="B1284">
        <v>111</v>
      </c>
      <c r="C1284" t="s">
        <v>41</v>
      </c>
      <c r="D1284">
        <v>3</v>
      </c>
      <c r="E1284">
        <v>100</v>
      </c>
      <c r="F1284" t="s">
        <v>1</v>
      </c>
      <c r="G1284" s="6">
        <v>45733</v>
      </c>
      <c r="H1284">
        <v>37</v>
      </c>
      <c r="I1284">
        <f>ROUND(CompilDonnées[[#This Row],[CultureDuration_days]]/7,0)</f>
        <v>5</v>
      </c>
      <c r="J1284">
        <v>3148</v>
      </c>
      <c r="K1284" t="str">
        <f>_xlfn.CONCAT(WEEKNUM(CompilDonnées[[#This Row],[PlantationDate]]), " ", YEAR(CompilDonnées[[#This Row],[PlantationDate]]))</f>
        <v>6 2025</v>
      </c>
      <c r="L1284" t="str">
        <f>CONCATENATE(MONTH(CompilDonnées[[#This Row],[PlantationDate]])," ", YEAR(CompilDonnées[[#This Row],[PlantationDate]]))</f>
        <v>2 2025</v>
      </c>
      <c r="M1284" t="str">
        <f>CONCATENATE(MONTH(CompilDonnées[[#This Row],[HarvestingDate]])," ", YEAR(CompilDonnées[[#This Row],[HarvestingDate]]))</f>
        <v>3 2025</v>
      </c>
      <c r="N1284">
        <f>_xlfn.NUMBERVALUE(CompilDonnées[[#This Row],[FarmID]]&amp;CompilDonnées[[#This Row],[ModuleNumber]]&amp;CompilDonnées[[#This Row],[PlantationDate]])</f>
        <v>111345696</v>
      </c>
      <c r="O1284" t="str">
        <f>CompilDonnées[[#This Row],[FarmID]]&amp;CompilDonnées[[#This Row],[ModuleNumber]]</f>
        <v>1113</v>
      </c>
      <c r="P1284" t="str">
        <f>CompilDonnées[[#This Row],[Ref_Module]]&amp;CompilDonnées[[#This Row],[HarvestingDate]]</f>
        <v>111345733</v>
      </c>
    </row>
    <row r="1285" spans="1:16">
      <c r="A1285" s="5">
        <v>45696</v>
      </c>
      <c r="B1285">
        <v>118</v>
      </c>
      <c r="C1285" t="s">
        <v>51</v>
      </c>
      <c r="D1285">
        <v>2</v>
      </c>
      <c r="E1285">
        <v>100</v>
      </c>
      <c r="F1285" t="s">
        <v>1</v>
      </c>
      <c r="G1285" s="6">
        <v>45733</v>
      </c>
      <c r="H1285">
        <v>37</v>
      </c>
      <c r="I1285">
        <f>ROUND(CompilDonnées[[#This Row],[CultureDuration_days]]/7,0)</f>
        <v>5</v>
      </c>
      <c r="J1285">
        <v>3042</v>
      </c>
      <c r="K1285" t="str">
        <f>_xlfn.CONCAT(WEEKNUM(CompilDonnées[[#This Row],[PlantationDate]]), " ", YEAR(CompilDonnées[[#This Row],[PlantationDate]]))</f>
        <v>6 2025</v>
      </c>
      <c r="L1285" t="str">
        <f>CONCATENATE(MONTH(CompilDonnées[[#This Row],[PlantationDate]])," ", YEAR(CompilDonnées[[#This Row],[PlantationDate]]))</f>
        <v>2 2025</v>
      </c>
      <c r="M1285" t="str">
        <f>CONCATENATE(MONTH(CompilDonnées[[#This Row],[HarvestingDate]])," ", YEAR(CompilDonnées[[#This Row],[HarvestingDate]]))</f>
        <v>3 2025</v>
      </c>
      <c r="N1285">
        <f>_xlfn.NUMBERVALUE(CompilDonnées[[#This Row],[FarmID]]&amp;CompilDonnées[[#This Row],[ModuleNumber]]&amp;CompilDonnées[[#This Row],[PlantationDate]])</f>
        <v>118245696</v>
      </c>
      <c r="O1285" t="str">
        <f>CompilDonnées[[#This Row],[FarmID]]&amp;CompilDonnées[[#This Row],[ModuleNumber]]</f>
        <v>1182</v>
      </c>
      <c r="P1285" t="str">
        <f>CompilDonnées[[#This Row],[Ref_Module]]&amp;CompilDonnées[[#This Row],[HarvestingDate]]</f>
        <v>118245733</v>
      </c>
    </row>
    <row r="1286" spans="1:16">
      <c r="A1286" s="5">
        <v>45696</v>
      </c>
      <c r="B1286">
        <v>132</v>
      </c>
      <c r="C1286" t="s">
        <v>93</v>
      </c>
      <c r="D1286">
        <v>3</v>
      </c>
      <c r="E1286">
        <v>100</v>
      </c>
      <c r="F1286" t="s">
        <v>1</v>
      </c>
      <c r="G1286" s="6">
        <v>45747</v>
      </c>
      <c r="H1286">
        <v>51</v>
      </c>
      <c r="I1286">
        <f>ROUND(CompilDonnées[[#This Row],[CultureDuration_days]]/7,0)</f>
        <v>7</v>
      </c>
      <c r="J1286">
        <v>3351</v>
      </c>
      <c r="K1286" t="str">
        <f>_xlfn.CONCAT(WEEKNUM(CompilDonnées[[#This Row],[PlantationDate]]), " ", YEAR(CompilDonnées[[#This Row],[PlantationDate]]))</f>
        <v>6 2025</v>
      </c>
      <c r="L1286" t="str">
        <f>CONCATENATE(MONTH(CompilDonnées[[#This Row],[PlantationDate]])," ", YEAR(CompilDonnées[[#This Row],[PlantationDate]]))</f>
        <v>2 2025</v>
      </c>
      <c r="M1286" t="str">
        <f>CONCATENATE(MONTH(CompilDonnées[[#This Row],[HarvestingDate]])," ", YEAR(CompilDonnées[[#This Row],[HarvestingDate]]))</f>
        <v>3 2025</v>
      </c>
      <c r="N1286">
        <f>_xlfn.NUMBERVALUE(CompilDonnées[[#This Row],[FarmID]]&amp;CompilDonnées[[#This Row],[ModuleNumber]]&amp;CompilDonnées[[#This Row],[PlantationDate]])</f>
        <v>132345696</v>
      </c>
      <c r="O1286" t="str">
        <f>CompilDonnées[[#This Row],[FarmID]]&amp;CompilDonnées[[#This Row],[ModuleNumber]]</f>
        <v>1323</v>
      </c>
      <c r="P1286" t="str">
        <f>CompilDonnées[[#This Row],[Ref_Module]]&amp;CompilDonnées[[#This Row],[HarvestingDate]]</f>
        <v>132345747</v>
      </c>
    </row>
    <row r="1287" spans="1:16">
      <c r="A1287" s="5">
        <v>45696</v>
      </c>
      <c r="B1287">
        <v>140</v>
      </c>
      <c r="C1287" t="s">
        <v>96</v>
      </c>
      <c r="D1287">
        <v>3</v>
      </c>
      <c r="E1287">
        <v>100</v>
      </c>
      <c r="F1287" t="s">
        <v>1</v>
      </c>
      <c r="G1287" s="6">
        <v>45733</v>
      </c>
      <c r="H1287">
        <v>37</v>
      </c>
      <c r="I1287">
        <f>ROUND(CompilDonnées[[#This Row],[CultureDuration_days]]/7,0)</f>
        <v>5</v>
      </c>
      <c r="J1287">
        <v>2841</v>
      </c>
      <c r="K1287" t="str">
        <f>_xlfn.CONCAT(WEEKNUM(CompilDonnées[[#This Row],[PlantationDate]]), " ", YEAR(CompilDonnées[[#This Row],[PlantationDate]]))</f>
        <v>6 2025</v>
      </c>
      <c r="L1287" t="str">
        <f>CONCATENATE(MONTH(CompilDonnées[[#This Row],[PlantationDate]])," ", YEAR(CompilDonnées[[#This Row],[PlantationDate]]))</f>
        <v>2 2025</v>
      </c>
      <c r="M1287" t="str">
        <f>CONCATENATE(MONTH(CompilDonnées[[#This Row],[HarvestingDate]])," ", YEAR(CompilDonnées[[#This Row],[HarvestingDate]]))</f>
        <v>3 2025</v>
      </c>
      <c r="N1287">
        <f>_xlfn.NUMBERVALUE(CompilDonnées[[#This Row],[FarmID]]&amp;CompilDonnées[[#This Row],[ModuleNumber]]&amp;CompilDonnées[[#This Row],[PlantationDate]])</f>
        <v>140345696</v>
      </c>
      <c r="O1287" t="str">
        <f>CompilDonnées[[#This Row],[FarmID]]&amp;CompilDonnées[[#This Row],[ModuleNumber]]</f>
        <v>1403</v>
      </c>
      <c r="P1287" t="str">
        <f>CompilDonnées[[#This Row],[Ref_Module]]&amp;CompilDonnées[[#This Row],[HarvestingDate]]</f>
        <v>140345733</v>
      </c>
    </row>
    <row r="1288" spans="1:16">
      <c r="A1288" s="5">
        <v>45696</v>
      </c>
      <c r="B1288">
        <v>126</v>
      </c>
      <c r="C1288" t="s">
        <v>52</v>
      </c>
      <c r="D1288">
        <v>4</v>
      </c>
      <c r="E1288">
        <v>100</v>
      </c>
      <c r="F1288" t="s">
        <v>1</v>
      </c>
      <c r="G1288" s="6">
        <v>45733</v>
      </c>
      <c r="H1288">
        <v>37</v>
      </c>
      <c r="I1288">
        <f>ROUND(CompilDonnées[[#This Row],[CultureDuration_days]]/7,0)</f>
        <v>5</v>
      </c>
      <c r="J1288">
        <v>3681</v>
      </c>
      <c r="K1288" t="str">
        <f>_xlfn.CONCAT(WEEKNUM(CompilDonnées[[#This Row],[PlantationDate]]), " ", YEAR(CompilDonnées[[#This Row],[PlantationDate]]))</f>
        <v>6 2025</v>
      </c>
      <c r="L1288" t="str">
        <f>CONCATENATE(MONTH(CompilDonnées[[#This Row],[PlantationDate]])," ", YEAR(CompilDonnées[[#This Row],[PlantationDate]]))</f>
        <v>2 2025</v>
      </c>
      <c r="M1288" t="str">
        <f>CONCATENATE(MONTH(CompilDonnées[[#This Row],[HarvestingDate]])," ", YEAR(CompilDonnées[[#This Row],[HarvestingDate]]))</f>
        <v>3 2025</v>
      </c>
      <c r="N1288">
        <f>_xlfn.NUMBERVALUE(CompilDonnées[[#This Row],[FarmID]]&amp;CompilDonnées[[#This Row],[ModuleNumber]]&amp;CompilDonnées[[#This Row],[PlantationDate]])</f>
        <v>126445696</v>
      </c>
      <c r="O1288" t="str">
        <f>CompilDonnées[[#This Row],[FarmID]]&amp;CompilDonnées[[#This Row],[ModuleNumber]]</f>
        <v>1264</v>
      </c>
      <c r="P1288" t="str">
        <f>CompilDonnées[[#This Row],[Ref_Module]]&amp;CompilDonnées[[#This Row],[HarvestingDate]]</f>
        <v>126445733</v>
      </c>
    </row>
    <row r="1289" spans="1:16">
      <c r="A1289" s="5">
        <v>45696</v>
      </c>
      <c r="B1289">
        <v>17</v>
      </c>
      <c r="C1289" t="s">
        <v>80</v>
      </c>
      <c r="D1289">
        <v>6</v>
      </c>
      <c r="E1289">
        <v>100</v>
      </c>
      <c r="F1289" t="s">
        <v>1</v>
      </c>
      <c r="G1289" s="6">
        <v>45740</v>
      </c>
      <c r="H1289">
        <v>44</v>
      </c>
      <c r="I1289">
        <f>ROUND(CompilDonnées[[#This Row],[CultureDuration_days]]/7,0)</f>
        <v>6</v>
      </c>
      <c r="J1289">
        <v>3519</v>
      </c>
      <c r="K1289" t="str">
        <f>_xlfn.CONCAT(WEEKNUM(CompilDonnées[[#This Row],[PlantationDate]]), " ", YEAR(CompilDonnées[[#This Row],[PlantationDate]]))</f>
        <v>6 2025</v>
      </c>
      <c r="L1289" t="str">
        <f>CONCATENATE(MONTH(CompilDonnées[[#This Row],[PlantationDate]])," ", YEAR(CompilDonnées[[#This Row],[PlantationDate]]))</f>
        <v>2 2025</v>
      </c>
      <c r="M1289" t="str">
        <f>CONCATENATE(MONTH(CompilDonnées[[#This Row],[HarvestingDate]])," ", YEAR(CompilDonnées[[#This Row],[HarvestingDate]]))</f>
        <v>3 2025</v>
      </c>
      <c r="N1289">
        <f>_xlfn.NUMBERVALUE(CompilDonnées[[#This Row],[FarmID]]&amp;CompilDonnées[[#This Row],[ModuleNumber]]&amp;CompilDonnées[[#This Row],[PlantationDate]])</f>
        <v>17645696</v>
      </c>
      <c r="O1289" t="str">
        <f>CompilDonnées[[#This Row],[FarmID]]&amp;CompilDonnées[[#This Row],[ModuleNumber]]</f>
        <v>176</v>
      </c>
      <c r="P1289" t="str">
        <f>CompilDonnées[[#This Row],[Ref_Module]]&amp;CompilDonnées[[#This Row],[HarvestingDate]]</f>
        <v>17645740</v>
      </c>
    </row>
    <row r="1290" spans="1:16">
      <c r="A1290" s="5">
        <v>45696</v>
      </c>
      <c r="B1290">
        <v>15</v>
      </c>
      <c r="C1290" t="s">
        <v>5</v>
      </c>
      <c r="D1290">
        <v>1</v>
      </c>
      <c r="E1290">
        <v>100</v>
      </c>
      <c r="F1290" t="s">
        <v>1</v>
      </c>
      <c r="G1290" s="6">
        <v>45749</v>
      </c>
      <c r="H1290">
        <v>53</v>
      </c>
      <c r="I1290">
        <f>ROUND(CompilDonnées[[#This Row],[CultureDuration_days]]/7,0)</f>
        <v>8</v>
      </c>
      <c r="J1290">
        <v>3243</v>
      </c>
      <c r="K1290" t="str">
        <f>_xlfn.CONCAT(WEEKNUM(CompilDonnées[[#This Row],[PlantationDate]]), " ", YEAR(CompilDonnées[[#This Row],[PlantationDate]]))</f>
        <v>6 2025</v>
      </c>
      <c r="L1290" t="str">
        <f>CONCATENATE(MONTH(CompilDonnées[[#This Row],[PlantationDate]])," ", YEAR(CompilDonnées[[#This Row],[PlantationDate]]))</f>
        <v>2 2025</v>
      </c>
      <c r="M1290" t="str">
        <f>CONCATENATE(MONTH(CompilDonnées[[#This Row],[HarvestingDate]])," ", YEAR(CompilDonnées[[#This Row],[HarvestingDate]]))</f>
        <v>4 2025</v>
      </c>
      <c r="N1290">
        <f>_xlfn.NUMBERVALUE(CompilDonnées[[#This Row],[FarmID]]&amp;CompilDonnées[[#This Row],[ModuleNumber]]&amp;CompilDonnées[[#This Row],[PlantationDate]])</f>
        <v>15145696</v>
      </c>
      <c r="O1290" t="str">
        <f>CompilDonnées[[#This Row],[FarmID]]&amp;CompilDonnées[[#This Row],[ModuleNumber]]</f>
        <v>151</v>
      </c>
      <c r="P1290" t="str">
        <f>CompilDonnées[[#This Row],[Ref_Module]]&amp;CompilDonnées[[#This Row],[HarvestingDate]]</f>
        <v>15145749</v>
      </c>
    </row>
    <row r="1291" spans="1:16">
      <c r="A1291" s="5">
        <v>45696</v>
      </c>
      <c r="B1291">
        <v>21</v>
      </c>
      <c r="C1291" t="s">
        <v>0</v>
      </c>
      <c r="D1291">
        <v>3</v>
      </c>
      <c r="E1291">
        <v>100</v>
      </c>
      <c r="F1291" t="s">
        <v>1</v>
      </c>
      <c r="G1291" s="6">
        <v>45740</v>
      </c>
      <c r="H1291">
        <v>44</v>
      </c>
      <c r="I1291">
        <f>ROUND(CompilDonnées[[#This Row],[CultureDuration_days]]/7,0)</f>
        <v>6</v>
      </c>
      <c r="J1291">
        <v>4171</v>
      </c>
      <c r="K1291" t="str">
        <f>_xlfn.CONCAT(WEEKNUM(CompilDonnées[[#This Row],[PlantationDate]]), " ", YEAR(CompilDonnées[[#This Row],[PlantationDate]]))</f>
        <v>6 2025</v>
      </c>
      <c r="L1291" t="str">
        <f>CONCATENATE(MONTH(CompilDonnées[[#This Row],[PlantationDate]])," ", YEAR(CompilDonnées[[#This Row],[PlantationDate]]))</f>
        <v>2 2025</v>
      </c>
      <c r="M1291" t="str">
        <f>CONCATENATE(MONTH(CompilDonnées[[#This Row],[HarvestingDate]])," ", YEAR(CompilDonnées[[#This Row],[HarvestingDate]]))</f>
        <v>3 2025</v>
      </c>
      <c r="N1291">
        <f>_xlfn.NUMBERVALUE(CompilDonnées[[#This Row],[FarmID]]&amp;CompilDonnées[[#This Row],[ModuleNumber]]&amp;CompilDonnées[[#This Row],[PlantationDate]])</f>
        <v>21345696</v>
      </c>
      <c r="O1291" t="str">
        <f>CompilDonnées[[#This Row],[FarmID]]&amp;CompilDonnées[[#This Row],[ModuleNumber]]</f>
        <v>213</v>
      </c>
      <c r="P1291" t="str">
        <f>CompilDonnées[[#This Row],[Ref_Module]]&amp;CompilDonnées[[#This Row],[HarvestingDate]]</f>
        <v>21345740</v>
      </c>
    </row>
    <row r="1292" spans="1:16">
      <c r="A1292" s="5">
        <v>45696</v>
      </c>
      <c r="B1292">
        <v>29</v>
      </c>
      <c r="C1292" t="s">
        <v>2</v>
      </c>
      <c r="D1292">
        <v>3</v>
      </c>
      <c r="E1292">
        <v>100</v>
      </c>
      <c r="F1292" t="s">
        <v>1</v>
      </c>
      <c r="G1292" s="6">
        <v>45738</v>
      </c>
      <c r="H1292">
        <v>42</v>
      </c>
      <c r="I1292">
        <f>ROUND(CompilDonnées[[#This Row],[CultureDuration_days]]/7,0)</f>
        <v>6</v>
      </c>
      <c r="J1292">
        <v>3349</v>
      </c>
      <c r="K1292" t="str">
        <f>_xlfn.CONCAT(WEEKNUM(CompilDonnées[[#This Row],[PlantationDate]]), " ", YEAR(CompilDonnées[[#This Row],[PlantationDate]]))</f>
        <v>6 2025</v>
      </c>
      <c r="L1292" t="str">
        <f>CONCATENATE(MONTH(CompilDonnées[[#This Row],[PlantationDate]])," ", YEAR(CompilDonnées[[#This Row],[PlantationDate]]))</f>
        <v>2 2025</v>
      </c>
      <c r="M1292" t="str">
        <f>CONCATENATE(MONTH(CompilDonnées[[#This Row],[HarvestingDate]])," ", YEAR(CompilDonnées[[#This Row],[HarvestingDate]]))</f>
        <v>3 2025</v>
      </c>
      <c r="N1292">
        <f>_xlfn.NUMBERVALUE(CompilDonnées[[#This Row],[FarmID]]&amp;CompilDonnées[[#This Row],[ModuleNumber]]&amp;CompilDonnées[[#This Row],[PlantationDate]])</f>
        <v>29345696</v>
      </c>
      <c r="O1292" t="str">
        <f>CompilDonnées[[#This Row],[FarmID]]&amp;CompilDonnées[[#This Row],[ModuleNumber]]</f>
        <v>293</v>
      </c>
      <c r="P1292" t="str">
        <f>CompilDonnées[[#This Row],[Ref_Module]]&amp;CompilDonnées[[#This Row],[HarvestingDate]]</f>
        <v>29345738</v>
      </c>
    </row>
    <row r="1293" spans="1:16">
      <c r="A1293" s="5">
        <v>45699</v>
      </c>
      <c r="B1293">
        <v>138</v>
      </c>
      <c r="C1293" t="s">
        <v>8</v>
      </c>
      <c r="D1293">
        <v>2</v>
      </c>
      <c r="E1293">
        <v>100</v>
      </c>
      <c r="F1293" t="s">
        <v>1</v>
      </c>
      <c r="G1293" s="6">
        <v>45744</v>
      </c>
      <c r="H1293">
        <v>45</v>
      </c>
      <c r="I1293">
        <f>ROUND(CompilDonnées[[#This Row],[CultureDuration_days]]/7,0)</f>
        <v>6</v>
      </c>
      <c r="J1293">
        <v>3200</v>
      </c>
      <c r="K1293" t="str">
        <f>_xlfn.CONCAT(WEEKNUM(CompilDonnées[[#This Row],[PlantationDate]]), " ", YEAR(CompilDonnées[[#This Row],[PlantationDate]]))</f>
        <v>7 2025</v>
      </c>
      <c r="L1293" t="str">
        <f>CONCATENATE(MONTH(CompilDonnées[[#This Row],[PlantationDate]])," ", YEAR(CompilDonnées[[#This Row],[PlantationDate]]))</f>
        <v>2 2025</v>
      </c>
      <c r="M1293" t="str">
        <f>CONCATENATE(MONTH(CompilDonnées[[#This Row],[HarvestingDate]])," ", YEAR(CompilDonnées[[#This Row],[HarvestingDate]]))</f>
        <v>3 2025</v>
      </c>
      <c r="N1293">
        <f>_xlfn.NUMBERVALUE(CompilDonnées[[#This Row],[FarmID]]&amp;CompilDonnées[[#This Row],[ModuleNumber]]&amp;CompilDonnées[[#This Row],[PlantationDate]])</f>
        <v>138245699</v>
      </c>
      <c r="O1293" t="str">
        <f>CompilDonnées[[#This Row],[FarmID]]&amp;CompilDonnées[[#This Row],[ModuleNumber]]</f>
        <v>1382</v>
      </c>
      <c r="P1293" t="str">
        <f>CompilDonnées[[#This Row],[Ref_Module]]&amp;CompilDonnées[[#This Row],[HarvestingDate]]</f>
        <v>138245744</v>
      </c>
    </row>
    <row r="1294" spans="1:16">
      <c r="A1294" s="5">
        <v>45699</v>
      </c>
      <c r="B1294">
        <v>125</v>
      </c>
      <c r="C1294" t="s">
        <v>101</v>
      </c>
      <c r="D1294">
        <v>4</v>
      </c>
      <c r="E1294">
        <v>100</v>
      </c>
      <c r="F1294" t="s">
        <v>1</v>
      </c>
      <c r="G1294" s="6">
        <v>45733</v>
      </c>
      <c r="H1294">
        <v>34</v>
      </c>
      <c r="I1294">
        <f>ROUND(CompilDonnées[[#This Row],[CultureDuration_days]]/7,0)</f>
        <v>5</v>
      </c>
      <c r="J1294">
        <v>3207</v>
      </c>
      <c r="K1294" t="str">
        <f>_xlfn.CONCAT(WEEKNUM(CompilDonnées[[#This Row],[PlantationDate]]), " ", YEAR(CompilDonnées[[#This Row],[PlantationDate]]))</f>
        <v>7 2025</v>
      </c>
      <c r="L1294" t="str">
        <f>CONCATENATE(MONTH(CompilDonnées[[#This Row],[PlantationDate]])," ", YEAR(CompilDonnées[[#This Row],[PlantationDate]]))</f>
        <v>2 2025</v>
      </c>
      <c r="M1294" t="str">
        <f>CONCATENATE(MONTH(CompilDonnées[[#This Row],[HarvestingDate]])," ", YEAR(CompilDonnées[[#This Row],[HarvestingDate]]))</f>
        <v>3 2025</v>
      </c>
      <c r="N1294">
        <f>_xlfn.NUMBERVALUE(CompilDonnées[[#This Row],[FarmID]]&amp;CompilDonnées[[#This Row],[ModuleNumber]]&amp;CompilDonnées[[#This Row],[PlantationDate]])</f>
        <v>125445699</v>
      </c>
      <c r="O1294" t="str">
        <f>CompilDonnées[[#This Row],[FarmID]]&amp;CompilDonnées[[#This Row],[ModuleNumber]]</f>
        <v>1254</v>
      </c>
      <c r="P1294" t="str">
        <f>CompilDonnées[[#This Row],[Ref_Module]]&amp;CompilDonnées[[#This Row],[HarvestingDate]]</f>
        <v>125445733</v>
      </c>
    </row>
    <row r="1295" spans="1:16">
      <c r="A1295" s="5">
        <v>45699</v>
      </c>
      <c r="B1295">
        <v>109</v>
      </c>
      <c r="C1295" t="s">
        <v>87</v>
      </c>
      <c r="D1295">
        <v>1</v>
      </c>
      <c r="E1295">
        <v>100</v>
      </c>
      <c r="F1295" t="s">
        <v>1</v>
      </c>
      <c r="G1295" s="6">
        <v>45733</v>
      </c>
      <c r="H1295">
        <v>34</v>
      </c>
      <c r="I1295">
        <f>ROUND(CompilDonnées[[#This Row],[CultureDuration_days]]/7,0)</f>
        <v>5</v>
      </c>
      <c r="J1295">
        <v>3723</v>
      </c>
      <c r="K1295" t="str">
        <f>_xlfn.CONCAT(WEEKNUM(CompilDonnées[[#This Row],[PlantationDate]]), " ", YEAR(CompilDonnées[[#This Row],[PlantationDate]]))</f>
        <v>7 2025</v>
      </c>
      <c r="L1295" t="str">
        <f>CONCATENATE(MONTH(CompilDonnées[[#This Row],[PlantationDate]])," ", YEAR(CompilDonnées[[#This Row],[PlantationDate]]))</f>
        <v>2 2025</v>
      </c>
      <c r="M1295" t="str">
        <f>CONCATENATE(MONTH(CompilDonnées[[#This Row],[HarvestingDate]])," ", YEAR(CompilDonnées[[#This Row],[HarvestingDate]]))</f>
        <v>3 2025</v>
      </c>
      <c r="N1295">
        <f>_xlfn.NUMBERVALUE(CompilDonnées[[#This Row],[FarmID]]&amp;CompilDonnées[[#This Row],[ModuleNumber]]&amp;CompilDonnées[[#This Row],[PlantationDate]])</f>
        <v>109145699</v>
      </c>
      <c r="O1295" t="str">
        <f>CompilDonnées[[#This Row],[FarmID]]&amp;CompilDonnées[[#This Row],[ModuleNumber]]</f>
        <v>1091</v>
      </c>
      <c r="P1295" t="str">
        <f>CompilDonnées[[#This Row],[Ref_Module]]&amp;CompilDonnées[[#This Row],[HarvestingDate]]</f>
        <v>109145733</v>
      </c>
    </row>
    <row r="1296" spans="1:16">
      <c r="A1296" s="5">
        <v>45699</v>
      </c>
      <c r="B1296">
        <v>101</v>
      </c>
      <c r="C1296" t="s">
        <v>54</v>
      </c>
      <c r="D1296">
        <v>6</v>
      </c>
      <c r="E1296">
        <v>100</v>
      </c>
      <c r="F1296" t="s">
        <v>1</v>
      </c>
      <c r="G1296" s="6">
        <v>45743</v>
      </c>
      <c r="H1296">
        <v>44</v>
      </c>
      <c r="I1296">
        <f>ROUND(CompilDonnées[[#This Row],[CultureDuration_days]]/7,0)</f>
        <v>6</v>
      </c>
      <c r="J1296">
        <v>3510</v>
      </c>
      <c r="K1296" t="str">
        <f>_xlfn.CONCAT(WEEKNUM(CompilDonnées[[#This Row],[PlantationDate]]), " ", YEAR(CompilDonnées[[#This Row],[PlantationDate]]))</f>
        <v>7 2025</v>
      </c>
      <c r="L1296" t="str">
        <f>CONCATENATE(MONTH(CompilDonnées[[#This Row],[PlantationDate]])," ", YEAR(CompilDonnées[[#This Row],[PlantationDate]]))</f>
        <v>2 2025</v>
      </c>
      <c r="M1296" t="str">
        <f>CONCATENATE(MONTH(CompilDonnées[[#This Row],[HarvestingDate]])," ", YEAR(CompilDonnées[[#This Row],[HarvestingDate]]))</f>
        <v>3 2025</v>
      </c>
      <c r="N1296">
        <f>_xlfn.NUMBERVALUE(CompilDonnées[[#This Row],[FarmID]]&amp;CompilDonnées[[#This Row],[ModuleNumber]]&amp;CompilDonnées[[#This Row],[PlantationDate]])</f>
        <v>101645699</v>
      </c>
      <c r="O1296" t="str">
        <f>CompilDonnées[[#This Row],[FarmID]]&amp;CompilDonnées[[#This Row],[ModuleNumber]]</f>
        <v>1016</v>
      </c>
      <c r="P1296" t="str">
        <f>CompilDonnées[[#This Row],[Ref_Module]]&amp;CompilDonnées[[#This Row],[HarvestingDate]]</f>
        <v>101645743</v>
      </c>
    </row>
    <row r="1297" spans="1:16">
      <c r="A1297" s="5">
        <v>45699</v>
      </c>
      <c r="B1297">
        <v>90</v>
      </c>
      <c r="C1297" t="s">
        <v>72</v>
      </c>
      <c r="D1297">
        <v>4</v>
      </c>
      <c r="E1297">
        <v>100</v>
      </c>
      <c r="F1297" t="s">
        <v>1</v>
      </c>
      <c r="G1297" s="6">
        <v>45742</v>
      </c>
      <c r="H1297">
        <v>43</v>
      </c>
      <c r="I1297">
        <f>ROUND(CompilDonnées[[#This Row],[CultureDuration_days]]/7,0)</f>
        <v>6</v>
      </c>
      <c r="J1297">
        <v>2740</v>
      </c>
      <c r="K1297" t="str">
        <f>_xlfn.CONCAT(WEEKNUM(CompilDonnées[[#This Row],[PlantationDate]]), " ", YEAR(CompilDonnées[[#This Row],[PlantationDate]]))</f>
        <v>7 2025</v>
      </c>
      <c r="L1297" t="str">
        <f>CONCATENATE(MONTH(CompilDonnées[[#This Row],[PlantationDate]])," ", YEAR(CompilDonnées[[#This Row],[PlantationDate]]))</f>
        <v>2 2025</v>
      </c>
      <c r="M1297" t="str">
        <f>CONCATENATE(MONTH(CompilDonnées[[#This Row],[HarvestingDate]])," ", YEAR(CompilDonnées[[#This Row],[HarvestingDate]]))</f>
        <v>3 2025</v>
      </c>
      <c r="N1297">
        <f>_xlfn.NUMBERVALUE(CompilDonnées[[#This Row],[FarmID]]&amp;CompilDonnées[[#This Row],[ModuleNumber]]&amp;CompilDonnées[[#This Row],[PlantationDate]])</f>
        <v>90445699</v>
      </c>
      <c r="O1297" t="str">
        <f>CompilDonnées[[#This Row],[FarmID]]&amp;CompilDonnées[[#This Row],[ModuleNumber]]</f>
        <v>904</v>
      </c>
      <c r="P1297" t="str">
        <f>CompilDonnées[[#This Row],[Ref_Module]]&amp;CompilDonnées[[#This Row],[HarvestingDate]]</f>
        <v>90445742</v>
      </c>
    </row>
    <row r="1298" spans="1:16">
      <c r="A1298" s="5">
        <v>45699</v>
      </c>
      <c r="B1298">
        <v>89</v>
      </c>
      <c r="C1298" t="s">
        <v>67</v>
      </c>
      <c r="D1298">
        <v>6</v>
      </c>
      <c r="E1298">
        <v>100</v>
      </c>
      <c r="F1298" t="s">
        <v>1</v>
      </c>
      <c r="G1298" s="6">
        <v>45742</v>
      </c>
      <c r="H1298">
        <v>43</v>
      </c>
      <c r="I1298">
        <f>ROUND(CompilDonnées[[#This Row],[CultureDuration_days]]/7,0)</f>
        <v>6</v>
      </c>
      <c r="J1298">
        <v>4357</v>
      </c>
      <c r="K1298" t="str">
        <f>_xlfn.CONCAT(WEEKNUM(CompilDonnées[[#This Row],[PlantationDate]]), " ", YEAR(CompilDonnées[[#This Row],[PlantationDate]]))</f>
        <v>7 2025</v>
      </c>
      <c r="L1298" t="str">
        <f>CONCATENATE(MONTH(CompilDonnées[[#This Row],[PlantationDate]])," ", YEAR(CompilDonnées[[#This Row],[PlantationDate]]))</f>
        <v>2 2025</v>
      </c>
      <c r="M1298" t="str">
        <f>CONCATENATE(MONTH(CompilDonnées[[#This Row],[HarvestingDate]])," ", YEAR(CompilDonnées[[#This Row],[HarvestingDate]]))</f>
        <v>3 2025</v>
      </c>
      <c r="N1298">
        <f>_xlfn.NUMBERVALUE(CompilDonnées[[#This Row],[FarmID]]&amp;CompilDonnées[[#This Row],[ModuleNumber]]&amp;CompilDonnées[[#This Row],[PlantationDate]])</f>
        <v>89645699</v>
      </c>
      <c r="O1298" t="str">
        <f>CompilDonnées[[#This Row],[FarmID]]&amp;CompilDonnées[[#This Row],[ModuleNumber]]</f>
        <v>896</v>
      </c>
      <c r="P1298" t="str">
        <f>CompilDonnées[[#This Row],[Ref_Module]]&amp;CompilDonnées[[#This Row],[HarvestingDate]]</f>
        <v>89645742</v>
      </c>
    </row>
    <row r="1299" spans="1:16">
      <c r="A1299" s="5">
        <v>45699</v>
      </c>
      <c r="B1299">
        <v>91</v>
      </c>
      <c r="C1299" t="s">
        <v>9</v>
      </c>
      <c r="D1299">
        <v>2</v>
      </c>
      <c r="E1299">
        <v>100</v>
      </c>
      <c r="F1299" t="s">
        <v>1</v>
      </c>
      <c r="G1299" s="6">
        <v>45747</v>
      </c>
      <c r="H1299">
        <v>48</v>
      </c>
      <c r="I1299">
        <f>ROUND(CompilDonnées[[#This Row],[CultureDuration_days]]/7,0)</f>
        <v>7</v>
      </c>
      <c r="J1299">
        <v>4063</v>
      </c>
      <c r="K1299" t="str">
        <f>_xlfn.CONCAT(WEEKNUM(CompilDonnées[[#This Row],[PlantationDate]]), " ", YEAR(CompilDonnées[[#This Row],[PlantationDate]]))</f>
        <v>7 2025</v>
      </c>
      <c r="L1299" t="str">
        <f>CONCATENATE(MONTH(CompilDonnées[[#This Row],[PlantationDate]])," ", YEAR(CompilDonnées[[#This Row],[PlantationDate]]))</f>
        <v>2 2025</v>
      </c>
      <c r="M1299" t="str">
        <f>CONCATENATE(MONTH(CompilDonnées[[#This Row],[HarvestingDate]])," ", YEAR(CompilDonnées[[#This Row],[HarvestingDate]]))</f>
        <v>3 2025</v>
      </c>
      <c r="N1299">
        <f>_xlfn.NUMBERVALUE(CompilDonnées[[#This Row],[FarmID]]&amp;CompilDonnées[[#This Row],[ModuleNumber]]&amp;CompilDonnées[[#This Row],[PlantationDate]])</f>
        <v>91245699</v>
      </c>
      <c r="O1299" t="str">
        <f>CompilDonnées[[#This Row],[FarmID]]&amp;CompilDonnées[[#This Row],[ModuleNumber]]</f>
        <v>912</v>
      </c>
      <c r="P1299" t="str">
        <f>CompilDonnées[[#This Row],[Ref_Module]]&amp;CompilDonnées[[#This Row],[HarvestingDate]]</f>
        <v>91245747</v>
      </c>
    </row>
    <row r="1300" spans="1:16">
      <c r="A1300" s="5">
        <v>45699</v>
      </c>
      <c r="B1300">
        <v>113</v>
      </c>
      <c r="C1300" t="s">
        <v>16</v>
      </c>
      <c r="D1300">
        <v>6</v>
      </c>
      <c r="E1300">
        <v>100</v>
      </c>
      <c r="F1300" t="s">
        <v>1</v>
      </c>
      <c r="G1300" s="6">
        <v>45744</v>
      </c>
      <c r="H1300">
        <v>45</v>
      </c>
      <c r="I1300">
        <f>ROUND(CompilDonnées[[#This Row],[CultureDuration_days]]/7,0)</f>
        <v>6</v>
      </c>
      <c r="J1300">
        <v>4281</v>
      </c>
      <c r="K1300" t="str">
        <f>_xlfn.CONCAT(WEEKNUM(CompilDonnées[[#This Row],[PlantationDate]]), " ", YEAR(CompilDonnées[[#This Row],[PlantationDate]]))</f>
        <v>7 2025</v>
      </c>
      <c r="L1300" t="str">
        <f>CONCATENATE(MONTH(CompilDonnées[[#This Row],[PlantationDate]])," ", YEAR(CompilDonnées[[#This Row],[PlantationDate]]))</f>
        <v>2 2025</v>
      </c>
      <c r="M1300" t="str">
        <f>CONCATENATE(MONTH(CompilDonnées[[#This Row],[HarvestingDate]])," ", YEAR(CompilDonnées[[#This Row],[HarvestingDate]]))</f>
        <v>3 2025</v>
      </c>
      <c r="N1300">
        <f>_xlfn.NUMBERVALUE(CompilDonnées[[#This Row],[FarmID]]&amp;CompilDonnées[[#This Row],[ModuleNumber]]&amp;CompilDonnées[[#This Row],[PlantationDate]])</f>
        <v>113645699</v>
      </c>
      <c r="O1300" t="str">
        <f>CompilDonnées[[#This Row],[FarmID]]&amp;CompilDonnées[[#This Row],[ModuleNumber]]</f>
        <v>1136</v>
      </c>
      <c r="P1300" t="str">
        <f>CompilDonnées[[#This Row],[Ref_Module]]&amp;CompilDonnées[[#This Row],[HarvestingDate]]</f>
        <v>113645744</v>
      </c>
    </row>
    <row r="1301" spans="1:16">
      <c r="A1301" s="5">
        <v>45699</v>
      </c>
      <c r="B1301">
        <v>5</v>
      </c>
      <c r="C1301" t="s">
        <v>32</v>
      </c>
      <c r="D1301">
        <v>1</v>
      </c>
      <c r="E1301">
        <v>100</v>
      </c>
      <c r="F1301" t="s">
        <v>1</v>
      </c>
      <c r="G1301" s="6">
        <v>45740</v>
      </c>
      <c r="H1301">
        <v>41</v>
      </c>
      <c r="I1301">
        <f>ROUND(CompilDonnées[[#This Row],[CultureDuration_days]]/7,0)</f>
        <v>6</v>
      </c>
      <c r="J1301">
        <v>3373</v>
      </c>
      <c r="K1301" t="str">
        <f>_xlfn.CONCAT(WEEKNUM(CompilDonnées[[#This Row],[PlantationDate]]), " ", YEAR(CompilDonnées[[#This Row],[PlantationDate]]))</f>
        <v>7 2025</v>
      </c>
      <c r="L1301" t="str">
        <f>CONCATENATE(MONTH(CompilDonnées[[#This Row],[PlantationDate]])," ", YEAR(CompilDonnées[[#This Row],[PlantationDate]]))</f>
        <v>2 2025</v>
      </c>
      <c r="M1301" t="str">
        <f>CONCATENATE(MONTH(CompilDonnées[[#This Row],[HarvestingDate]])," ", YEAR(CompilDonnées[[#This Row],[HarvestingDate]]))</f>
        <v>3 2025</v>
      </c>
      <c r="N1301">
        <f>_xlfn.NUMBERVALUE(CompilDonnées[[#This Row],[FarmID]]&amp;CompilDonnées[[#This Row],[ModuleNumber]]&amp;CompilDonnées[[#This Row],[PlantationDate]])</f>
        <v>5145699</v>
      </c>
      <c r="O1301" t="str">
        <f>CompilDonnées[[#This Row],[FarmID]]&amp;CompilDonnées[[#This Row],[ModuleNumber]]</f>
        <v>51</v>
      </c>
      <c r="P1301" t="str">
        <f>CompilDonnées[[#This Row],[Ref_Module]]&amp;CompilDonnées[[#This Row],[HarvestingDate]]</f>
        <v>5145740</v>
      </c>
    </row>
    <row r="1302" spans="1:16">
      <c r="A1302" s="5">
        <v>45699</v>
      </c>
      <c r="B1302">
        <v>4</v>
      </c>
      <c r="C1302" t="s">
        <v>74</v>
      </c>
      <c r="D1302">
        <v>2</v>
      </c>
      <c r="E1302">
        <v>100</v>
      </c>
      <c r="F1302" t="s">
        <v>1</v>
      </c>
      <c r="G1302" s="6">
        <v>45740</v>
      </c>
      <c r="H1302">
        <v>41</v>
      </c>
      <c r="I1302">
        <f>ROUND(CompilDonnées[[#This Row],[CultureDuration_days]]/7,0)</f>
        <v>6</v>
      </c>
      <c r="J1302">
        <v>2448</v>
      </c>
      <c r="K1302" t="str">
        <f>_xlfn.CONCAT(WEEKNUM(CompilDonnées[[#This Row],[PlantationDate]]), " ", YEAR(CompilDonnées[[#This Row],[PlantationDate]]))</f>
        <v>7 2025</v>
      </c>
      <c r="L1302" t="str">
        <f>CONCATENATE(MONTH(CompilDonnées[[#This Row],[PlantationDate]])," ", YEAR(CompilDonnées[[#This Row],[PlantationDate]]))</f>
        <v>2 2025</v>
      </c>
      <c r="M1302" t="str">
        <f>CONCATENATE(MONTH(CompilDonnées[[#This Row],[HarvestingDate]])," ", YEAR(CompilDonnées[[#This Row],[HarvestingDate]]))</f>
        <v>3 2025</v>
      </c>
      <c r="N1302">
        <f>_xlfn.NUMBERVALUE(CompilDonnées[[#This Row],[FarmID]]&amp;CompilDonnées[[#This Row],[ModuleNumber]]&amp;CompilDonnées[[#This Row],[PlantationDate]])</f>
        <v>4245699</v>
      </c>
      <c r="O1302" t="str">
        <f>CompilDonnées[[#This Row],[FarmID]]&amp;CompilDonnées[[#This Row],[ModuleNumber]]</f>
        <v>42</v>
      </c>
      <c r="P1302" t="str">
        <f>CompilDonnées[[#This Row],[Ref_Module]]&amp;CompilDonnées[[#This Row],[HarvestingDate]]</f>
        <v>4245740</v>
      </c>
    </row>
    <row r="1303" spans="1:16">
      <c r="A1303" s="5">
        <v>45699</v>
      </c>
      <c r="B1303">
        <v>3</v>
      </c>
      <c r="C1303" t="s">
        <v>116</v>
      </c>
      <c r="D1303">
        <v>4</v>
      </c>
      <c r="E1303">
        <v>100</v>
      </c>
      <c r="F1303" t="s">
        <v>1</v>
      </c>
      <c r="G1303" s="6">
        <v>45740</v>
      </c>
      <c r="H1303">
        <v>41</v>
      </c>
      <c r="I1303">
        <f>ROUND(CompilDonnées[[#This Row],[CultureDuration_days]]/7,0)</f>
        <v>6</v>
      </c>
      <c r="J1303">
        <v>3699</v>
      </c>
      <c r="K1303" t="str">
        <f>_xlfn.CONCAT(WEEKNUM(CompilDonnées[[#This Row],[PlantationDate]]), " ", YEAR(CompilDonnées[[#This Row],[PlantationDate]]))</f>
        <v>7 2025</v>
      </c>
      <c r="L1303" t="str">
        <f>CONCATENATE(MONTH(CompilDonnées[[#This Row],[PlantationDate]])," ", YEAR(CompilDonnées[[#This Row],[PlantationDate]]))</f>
        <v>2 2025</v>
      </c>
      <c r="M1303" t="str">
        <f>CONCATENATE(MONTH(CompilDonnées[[#This Row],[HarvestingDate]])," ", YEAR(CompilDonnées[[#This Row],[HarvestingDate]]))</f>
        <v>3 2025</v>
      </c>
      <c r="N1303">
        <f>_xlfn.NUMBERVALUE(CompilDonnées[[#This Row],[FarmID]]&amp;CompilDonnées[[#This Row],[ModuleNumber]]&amp;CompilDonnées[[#This Row],[PlantationDate]])</f>
        <v>3445699</v>
      </c>
      <c r="O1303" t="str">
        <f>CompilDonnées[[#This Row],[FarmID]]&amp;CompilDonnées[[#This Row],[ModuleNumber]]</f>
        <v>34</v>
      </c>
      <c r="P1303" t="str">
        <f>CompilDonnées[[#This Row],[Ref_Module]]&amp;CompilDonnées[[#This Row],[HarvestingDate]]</f>
        <v>3445740</v>
      </c>
    </row>
    <row r="1304" spans="1:16">
      <c r="A1304" s="5">
        <v>45699</v>
      </c>
      <c r="B1304">
        <v>18</v>
      </c>
      <c r="C1304" t="s">
        <v>33</v>
      </c>
      <c r="D1304">
        <v>6</v>
      </c>
      <c r="E1304">
        <v>100</v>
      </c>
      <c r="F1304" t="s">
        <v>1</v>
      </c>
      <c r="G1304" s="6">
        <v>45740</v>
      </c>
      <c r="H1304">
        <v>41</v>
      </c>
      <c r="I1304">
        <f>ROUND(CompilDonnées[[#This Row],[CultureDuration_days]]/7,0)</f>
        <v>6</v>
      </c>
      <c r="J1304">
        <v>3280</v>
      </c>
      <c r="K1304" t="str">
        <f>_xlfn.CONCAT(WEEKNUM(CompilDonnées[[#This Row],[PlantationDate]]), " ", YEAR(CompilDonnées[[#This Row],[PlantationDate]]))</f>
        <v>7 2025</v>
      </c>
      <c r="L1304" t="str">
        <f>CONCATENATE(MONTH(CompilDonnées[[#This Row],[PlantationDate]])," ", YEAR(CompilDonnées[[#This Row],[PlantationDate]]))</f>
        <v>2 2025</v>
      </c>
      <c r="M1304" t="str">
        <f>CONCATENATE(MONTH(CompilDonnées[[#This Row],[HarvestingDate]])," ", YEAR(CompilDonnées[[#This Row],[HarvestingDate]]))</f>
        <v>3 2025</v>
      </c>
      <c r="N1304">
        <f>_xlfn.NUMBERVALUE(CompilDonnées[[#This Row],[FarmID]]&amp;CompilDonnées[[#This Row],[ModuleNumber]]&amp;CompilDonnées[[#This Row],[PlantationDate]])</f>
        <v>18645699</v>
      </c>
      <c r="O1304" t="str">
        <f>CompilDonnées[[#This Row],[FarmID]]&amp;CompilDonnées[[#This Row],[ModuleNumber]]</f>
        <v>186</v>
      </c>
      <c r="P1304" t="str">
        <f>CompilDonnées[[#This Row],[Ref_Module]]&amp;CompilDonnées[[#This Row],[HarvestingDate]]</f>
        <v>18645740</v>
      </c>
    </row>
    <row r="1305" spans="1:16">
      <c r="A1305" s="5">
        <v>45699</v>
      </c>
      <c r="B1305">
        <v>17</v>
      </c>
      <c r="C1305" t="s">
        <v>80</v>
      </c>
      <c r="D1305">
        <v>4</v>
      </c>
      <c r="E1305">
        <v>100</v>
      </c>
      <c r="F1305" t="s">
        <v>1</v>
      </c>
      <c r="G1305" s="6">
        <v>45754</v>
      </c>
      <c r="H1305">
        <v>55</v>
      </c>
      <c r="I1305">
        <f>ROUND(CompilDonnées[[#This Row],[CultureDuration_days]]/7,0)</f>
        <v>8</v>
      </c>
      <c r="J1305">
        <v>3033</v>
      </c>
      <c r="K1305" t="str">
        <f>_xlfn.CONCAT(WEEKNUM(CompilDonnées[[#This Row],[PlantationDate]]), " ", YEAR(CompilDonnées[[#This Row],[PlantationDate]]))</f>
        <v>7 2025</v>
      </c>
      <c r="L1305" t="str">
        <f>CONCATENATE(MONTH(CompilDonnées[[#This Row],[PlantationDate]])," ", YEAR(CompilDonnées[[#This Row],[PlantationDate]]))</f>
        <v>2 2025</v>
      </c>
      <c r="M1305" t="str">
        <f>CONCATENATE(MONTH(CompilDonnées[[#This Row],[HarvestingDate]])," ", YEAR(CompilDonnées[[#This Row],[HarvestingDate]]))</f>
        <v>4 2025</v>
      </c>
      <c r="N1305">
        <f>_xlfn.NUMBERVALUE(CompilDonnées[[#This Row],[FarmID]]&amp;CompilDonnées[[#This Row],[ModuleNumber]]&amp;CompilDonnées[[#This Row],[PlantationDate]])</f>
        <v>17445699</v>
      </c>
      <c r="O1305" t="str">
        <f>CompilDonnées[[#This Row],[FarmID]]&amp;CompilDonnées[[#This Row],[ModuleNumber]]</f>
        <v>174</v>
      </c>
      <c r="P1305" t="str">
        <f>CompilDonnées[[#This Row],[Ref_Module]]&amp;CompilDonnées[[#This Row],[HarvestingDate]]</f>
        <v>17445754</v>
      </c>
    </row>
    <row r="1306" spans="1:16">
      <c r="A1306" s="5">
        <v>45699</v>
      </c>
      <c r="B1306">
        <v>24</v>
      </c>
      <c r="C1306" t="s">
        <v>31</v>
      </c>
      <c r="D1306">
        <v>2</v>
      </c>
      <c r="E1306">
        <v>100</v>
      </c>
      <c r="F1306" t="s">
        <v>1</v>
      </c>
      <c r="G1306" s="6">
        <v>45739</v>
      </c>
      <c r="H1306">
        <v>40</v>
      </c>
      <c r="I1306">
        <f>ROUND(CompilDonnées[[#This Row],[CultureDuration_days]]/7,0)</f>
        <v>6</v>
      </c>
      <c r="J1306">
        <v>3651</v>
      </c>
      <c r="K1306" t="str">
        <f>_xlfn.CONCAT(WEEKNUM(CompilDonnées[[#This Row],[PlantationDate]]), " ", YEAR(CompilDonnées[[#This Row],[PlantationDate]]))</f>
        <v>7 2025</v>
      </c>
      <c r="L1306" t="str">
        <f>CONCATENATE(MONTH(CompilDonnées[[#This Row],[PlantationDate]])," ", YEAR(CompilDonnées[[#This Row],[PlantationDate]]))</f>
        <v>2 2025</v>
      </c>
      <c r="M1306" t="str">
        <f>CONCATENATE(MONTH(CompilDonnées[[#This Row],[HarvestingDate]])," ", YEAR(CompilDonnées[[#This Row],[HarvestingDate]]))</f>
        <v>3 2025</v>
      </c>
      <c r="N1306">
        <f>_xlfn.NUMBERVALUE(CompilDonnées[[#This Row],[FarmID]]&amp;CompilDonnées[[#This Row],[ModuleNumber]]&amp;CompilDonnées[[#This Row],[PlantationDate]])</f>
        <v>24245699</v>
      </c>
      <c r="O1306" t="str">
        <f>CompilDonnées[[#This Row],[FarmID]]&amp;CompilDonnées[[#This Row],[ModuleNumber]]</f>
        <v>242</v>
      </c>
      <c r="P1306" t="str">
        <f>CompilDonnées[[#This Row],[Ref_Module]]&amp;CompilDonnées[[#This Row],[HarvestingDate]]</f>
        <v>24245739</v>
      </c>
    </row>
    <row r="1307" spans="1:16">
      <c r="A1307" s="5">
        <v>45699</v>
      </c>
      <c r="B1307">
        <v>22</v>
      </c>
      <c r="C1307" t="s">
        <v>43</v>
      </c>
      <c r="D1307">
        <v>4</v>
      </c>
      <c r="E1307">
        <v>100</v>
      </c>
      <c r="F1307" t="s">
        <v>1</v>
      </c>
      <c r="G1307" s="6">
        <v>45740</v>
      </c>
      <c r="H1307">
        <v>41</v>
      </c>
      <c r="I1307">
        <f>ROUND(CompilDonnées[[#This Row],[CultureDuration_days]]/7,0)</f>
        <v>6</v>
      </c>
      <c r="J1307">
        <v>3299</v>
      </c>
      <c r="K1307" t="str">
        <f>_xlfn.CONCAT(WEEKNUM(CompilDonnées[[#This Row],[PlantationDate]]), " ", YEAR(CompilDonnées[[#This Row],[PlantationDate]]))</f>
        <v>7 2025</v>
      </c>
      <c r="L1307" t="str">
        <f>CONCATENATE(MONTH(CompilDonnées[[#This Row],[PlantationDate]])," ", YEAR(CompilDonnées[[#This Row],[PlantationDate]]))</f>
        <v>2 2025</v>
      </c>
      <c r="M1307" t="str">
        <f>CONCATENATE(MONTH(CompilDonnées[[#This Row],[HarvestingDate]])," ", YEAR(CompilDonnées[[#This Row],[HarvestingDate]]))</f>
        <v>3 2025</v>
      </c>
      <c r="N1307">
        <f>_xlfn.NUMBERVALUE(CompilDonnées[[#This Row],[FarmID]]&amp;CompilDonnées[[#This Row],[ModuleNumber]]&amp;CompilDonnées[[#This Row],[PlantationDate]])</f>
        <v>22445699</v>
      </c>
      <c r="O1307" t="str">
        <f>CompilDonnées[[#This Row],[FarmID]]&amp;CompilDonnées[[#This Row],[ModuleNumber]]</f>
        <v>224</v>
      </c>
      <c r="P1307" t="str">
        <f>CompilDonnées[[#This Row],[Ref_Module]]&amp;CompilDonnées[[#This Row],[HarvestingDate]]</f>
        <v>22445740</v>
      </c>
    </row>
    <row r="1308" spans="1:16">
      <c r="A1308" s="5">
        <v>45699</v>
      </c>
      <c r="B1308">
        <v>23</v>
      </c>
      <c r="C1308" t="s">
        <v>44</v>
      </c>
      <c r="D1308">
        <v>1</v>
      </c>
      <c r="E1308">
        <v>100</v>
      </c>
      <c r="F1308" t="s">
        <v>1</v>
      </c>
      <c r="G1308" s="6">
        <v>45739</v>
      </c>
      <c r="H1308">
        <v>40</v>
      </c>
      <c r="I1308">
        <f>ROUND(CompilDonnées[[#This Row],[CultureDuration_days]]/7,0)</f>
        <v>6</v>
      </c>
      <c r="J1308">
        <v>3078</v>
      </c>
      <c r="K1308" t="str">
        <f>_xlfn.CONCAT(WEEKNUM(CompilDonnées[[#This Row],[PlantationDate]]), " ", YEAR(CompilDonnées[[#This Row],[PlantationDate]]))</f>
        <v>7 2025</v>
      </c>
      <c r="L1308" t="str">
        <f>CONCATENATE(MONTH(CompilDonnées[[#This Row],[PlantationDate]])," ", YEAR(CompilDonnées[[#This Row],[PlantationDate]]))</f>
        <v>2 2025</v>
      </c>
      <c r="M1308" t="str">
        <f>CONCATENATE(MONTH(CompilDonnées[[#This Row],[HarvestingDate]])," ", YEAR(CompilDonnées[[#This Row],[HarvestingDate]]))</f>
        <v>3 2025</v>
      </c>
      <c r="N1308">
        <f>_xlfn.NUMBERVALUE(CompilDonnées[[#This Row],[FarmID]]&amp;CompilDonnées[[#This Row],[ModuleNumber]]&amp;CompilDonnées[[#This Row],[PlantationDate]])</f>
        <v>23145699</v>
      </c>
      <c r="O1308" t="str">
        <f>CompilDonnées[[#This Row],[FarmID]]&amp;CompilDonnées[[#This Row],[ModuleNumber]]</f>
        <v>231</v>
      </c>
      <c r="P1308" t="str">
        <f>CompilDonnées[[#This Row],[Ref_Module]]&amp;CompilDonnées[[#This Row],[HarvestingDate]]</f>
        <v>23145739</v>
      </c>
    </row>
    <row r="1309" spans="1:16">
      <c r="A1309" s="5">
        <v>45699</v>
      </c>
      <c r="B1309">
        <v>21</v>
      </c>
      <c r="C1309" t="s">
        <v>0</v>
      </c>
      <c r="D1309">
        <v>2</v>
      </c>
      <c r="E1309">
        <v>100</v>
      </c>
      <c r="F1309" t="s">
        <v>1</v>
      </c>
      <c r="G1309" s="6">
        <v>45749</v>
      </c>
      <c r="H1309">
        <v>50</v>
      </c>
      <c r="I1309">
        <f>ROUND(CompilDonnées[[#This Row],[CultureDuration_days]]/7,0)</f>
        <v>7</v>
      </c>
      <c r="J1309">
        <v>3745</v>
      </c>
      <c r="K1309" t="str">
        <f>_xlfn.CONCAT(WEEKNUM(CompilDonnées[[#This Row],[PlantationDate]]), " ", YEAR(CompilDonnées[[#This Row],[PlantationDate]]))</f>
        <v>7 2025</v>
      </c>
      <c r="L1309" t="str">
        <f>CONCATENATE(MONTH(CompilDonnées[[#This Row],[PlantationDate]])," ", YEAR(CompilDonnées[[#This Row],[PlantationDate]]))</f>
        <v>2 2025</v>
      </c>
      <c r="M1309" t="str">
        <f>CONCATENATE(MONTH(CompilDonnées[[#This Row],[HarvestingDate]])," ", YEAR(CompilDonnées[[#This Row],[HarvestingDate]]))</f>
        <v>4 2025</v>
      </c>
      <c r="N1309">
        <f>_xlfn.NUMBERVALUE(CompilDonnées[[#This Row],[FarmID]]&amp;CompilDonnées[[#This Row],[ModuleNumber]]&amp;CompilDonnées[[#This Row],[PlantationDate]])</f>
        <v>21245699</v>
      </c>
      <c r="O1309" t="str">
        <f>CompilDonnées[[#This Row],[FarmID]]&amp;CompilDonnées[[#This Row],[ModuleNumber]]</f>
        <v>212</v>
      </c>
      <c r="P1309" t="str">
        <f>CompilDonnées[[#This Row],[Ref_Module]]&amp;CompilDonnées[[#This Row],[HarvestingDate]]</f>
        <v>21245749</v>
      </c>
    </row>
    <row r="1310" spans="1:16">
      <c r="A1310" s="5">
        <v>45699</v>
      </c>
      <c r="B1310">
        <v>30</v>
      </c>
      <c r="C1310" t="s">
        <v>4</v>
      </c>
      <c r="D1310">
        <v>6</v>
      </c>
      <c r="E1310">
        <v>100</v>
      </c>
      <c r="F1310" t="s">
        <v>1</v>
      </c>
      <c r="G1310" s="6">
        <v>45741</v>
      </c>
      <c r="H1310">
        <v>42</v>
      </c>
      <c r="I1310">
        <f>ROUND(CompilDonnées[[#This Row],[CultureDuration_days]]/7,0)</f>
        <v>6</v>
      </c>
      <c r="J1310">
        <v>3813</v>
      </c>
      <c r="K1310" t="str">
        <f>_xlfn.CONCAT(WEEKNUM(CompilDonnées[[#This Row],[PlantationDate]]), " ", YEAR(CompilDonnées[[#This Row],[PlantationDate]]))</f>
        <v>7 2025</v>
      </c>
      <c r="L1310" t="str">
        <f>CONCATENATE(MONTH(CompilDonnées[[#This Row],[PlantationDate]])," ", YEAR(CompilDonnées[[#This Row],[PlantationDate]]))</f>
        <v>2 2025</v>
      </c>
      <c r="M1310" t="str">
        <f>CONCATENATE(MONTH(CompilDonnées[[#This Row],[HarvestingDate]])," ", YEAR(CompilDonnées[[#This Row],[HarvestingDate]]))</f>
        <v>3 2025</v>
      </c>
      <c r="N1310">
        <f>_xlfn.NUMBERVALUE(CompilDonnées[[#This Row],[FarmID]]&amp;CompilDonnées[[#This Row],[ModuleNumber]]&amp;CompilDonnées[[#This Row],[PlantationDate]])</f>
        <v>30645699</v>
      </c>
      <c r="O1310" t="str">
        <f>CompilDonnées[[#This Row],[FarmID]]&amp;CompilDonnées[[#This Row],[ModuleNumber]]</f>
        <v>306</v>
      </c>
      <c r="P1310" t="str">
        <f>CompilDonnées[[#This Row],[Ref_Module]]&amp;CompilDonnées[[#This Row],[HarvestingDate]]</f>
        <v>30645741</v>
      </c>
    </row>
    <row r="1311" spans="1:16">
      <c r="A1311" s="5">
        <v>45699</v>
      </c>
      <c r="B1311">
        <v>32</v>
      </c>
      <c r="C1311" t="s">
        <v>25</v>
      </c>
      <c r="D1311">
        <v>6</v>
      </c>
      <c r="E1311">
        <v>100</v>
      </c>
      <c r="F1311" t="s">
        <v>1</v>
      </c>
      <c r="G1311" s="6">
        <v>45741</v>
      </c>
      <c r="H1311">
        <v>42</v>
      </c>
      <c r="I1311">
        <f>ROUND(CompilDonnées[[#This Row],[CultureDuration_days]]/7,0)</f>
        <v>6</v>
      </c>
      <c r="J1311">
        <v>4512</v>
      </c>
      <c r="K1311" t="str">
        <f>_xlfn.CONCAT(WEEKNUM(CompilDonnées[[#This Row],[PlantationDate]]), " ", YEAR(CompilDonnées[[#This Row],[PlantationDate]]))</f>
        <v>7 2025</v>
      </c>
      <c r="L1311" t="str">
        <f>CONCATENATE(MONTH(CompilDonnées[[#This Row],[PlantationDate]])," ", YEAR(CompilDonnées[[#This Row],[PlantationDate]]))</f>
        <v>2 2025</v>
      </c>
      <c r="M1311" t="str">
        <f>CONCATENATE(MONTH(CompilDonnées[[#This Row],[HarvestingDate]])," ", YEAR(CompilDonnées[[#This Row],[HarvestingDate]]))</f>
        <v>3 2025</v>
      </c>
      <c r="N1311">
        <f>_xlfn.NUMBERVALUE(CompilDonnées[[#This Row],[FarmID]]&amp;CompilDonnées[[#This Row],[ModuleNumber]]&amp;CompilDonnées[[#This Row],[PlantationDate]])</f>
        <v>32645699</v>
      </c>
      <c r="O1311" t="str">
        <f>CompilDonnées[[#This Row],[FarmID]]&amp;CompilDonnées[[#This Row],[ModuleNumber]]</f>
        <v>326</v>
      </c>
      <c r="P1311" t="str">
        <f>CompilDonnées[[#This Row],[Ref_Module]]&amp;CompilDonnées[[#This Row],[HarvestingDate]]</f>
        <v>32645741</v>
      </c>
    </row>
    <row r="1312" spans="1:16">
      <c r="A1312" s="5">
        <v>45699</v>
      </c>
      <c r="B1312">
        <v>31</v>
      </c>
      <c r="C1312" t="s">
        <v>62</v>
      </c>
      <c r="D1312">
        <v>6</v>
      </c>
      <c r="E1312">
        <v>100</v>
      </c>
      <c r="F1312" t="s">
        <v>1</v>
      </c>
      <c r="G1312" s="6">
        <v>45741</v>
      </c>
      <c r="H1312">
        <v>42</v>
      </c>
      <c r="I1312">
        <f>ROUND(CompilDonnées[[#This Row],[CultureDuration_days]]/7,0)</f>
        <v>6</v>
      </c>
      <c r="J1312">
        <v>3307</v>
      </c>
      <c r="K1312" t="str">
        <f>_xlfn.CONCAT(WEEKNUM(CompilDonnées[[#This Row],[PlantationDate]]), " ", YEAR(CompilDonnées[[#This Row],[PlantationDate]]))</f>
        <v>7 2025</v>
      </c>
      <c r="L1312" t="str">
        <f>CONCATENATE(MONTH(CompilDonnées[[#This Row],[PlantationDate]])," ", YEAR(CompilDonnées[[#This Row],[PlantationDate]]))</f>
        <v>2 2025</v>
      </c>
      <c r="M1312" t="str">
        <f>CONCATENATE(MONTH(CompilDonnées[[#This Row],[HarvestingDate]])," ", YEAR(CompilDonnées[[#This Row],[HarvestingDate]]))</f>
        <v>3 2025</v>
      </c>
      <c r="N1312">
        <f>_xlfn.NUMBERVALUE(CompilDonnées[[#This Row],[FarmID]]&amp;CompilDonnées[[#This Row],[ModuleNumber]]&amp;CompilDonnées[[#This Row],[PlantationDate]])</f>
        <v>31645699</v>
      </c>
      <c r="O1312" t="str">
        <f>CompilDonnées[[#This Row],[FarmID]]&amp;CompilDonnées[[#This Row],[ModuleNumber]]</f>
        <v>316</v>
      </c>
      <c r="P1312" t="str">
        <f>CompilDonnées[[#This Row],[Ref_Module]]&amp;CompilDonnées[[#This Row],[HarvestingDate]]</f>
        <v>31645741</v>
      </c>
    </row>
    <row r="1313" spans="1:16">
      <c r="A1313" s="5">
        <v>45699</v>
      </c>
      <c r="B1313">
        <v>42</v>
      </c>
      <c r="C1313" t="s">
        <v>89</v>
      </c>
      <c r="D1313">
        <v>6</v>
      </c>
      <c r="E1313">
        <v>100</v>
      </c>
      <c r="F1313" t="s">
        <v>1</v>
      </c>
      <c r="G1313" s="6">
        <v>45741</v>
      </c>
      <c r="H1313">
        <v>42</v>
      </c>
      <c r="I1313">
        <f>ROUND(CompilDonnées[[#This Row],[CultureDuration_days]]/7,0)</f>
        <v>6</v>
      </c>
      <c r="J1313">
        <v>4802</v>
      </c>
      <c r="K1313" t="str">
        <f>_xlfn.CONCAT(WEEKNUM(CompilDonnées[[#This Row],[PlantationDate]]), " ", YEAR(CompilDonnées[[#This Row],[PlantationDate]]))</f>
        <v>7 2025</v>
      </c>
      <c r="L1313" t="str">
        <f>CONCATENATE(MONTH(CompilDonnées[[#This Row],[PlantationDate]])," ", YEAR(CompilDonnées[[#This Row],[PlantationDate]]))</f>
        <v>2 2025</v>
      </c>
      <c r="M1313" t="str">
        <f>CONCATENATE(MONTH(CompilDonnées[[#This Row],[HarvestingDate]])," ", YEAR(CompilDonnées[[#This Row],[HarvestingDate]]))</f>
        <v>3 2025</v>
      </c>
      <c r="N1313">
        <f>_xlfn.NUMBERVALUE(CompilDonnées[[#This Row],[FarmID]]&amp;CompilDonnées[[#This Row],[ModuleNumber]]&amp;CompilDonnées[[#This Row],[PlantationDate]])</f>
        <v>42645699</v>
      </c>
      <c r="O1313" t="str">
        <f>CompilDonnées[[#This Row],[FarmID]]&amp;CompilDonnées[[#This Row],[ModuleNumber]]</f>
        <v>426</v>
      </c>
      <c r="P1313" t="str">
        <f>CompilDonnées[[#This Row],[Ref_Module]]&amp;CompilDonnées[[#This Row],[HarvestingDate]]</f>
        <v>42645741</v>
      </c>
    </row>
    <row r="1314" spans="1:16">
      <c r="A1314" s="5">
        <v>45699</v>
      </c>
      <c r="B1314">
        <v>41</v>
      </c>
      <c r="C1314" t="s">
        <v>70</v>
      </c>
      <c r="D1314">
        <v>6</v>
      </c>
      <c r="E1314">
        <v>100</v>
      </c>
      <c r="F1314" t="s">
        <v>1</v>
      </c>
      <c r="G1314" s="6">
        <v>45741</v>
      </c>
      <c r="H1314">
        <v>42</v>
      </c>
      <c r="I1314">
        <f>ROUND(CompilDonnées[[#This Row],[CultureDuration_days]]/7,0)</f>
        <v>6</v>
      </c>
      <c r="J1314">
        <v>4706</v>
      </c>
      <c r="K1314" t="str">
        <f>_xlfn.CONCAT(WEEKNUM(CompilDonnées[[#This Row],[PlantationDate]]), " ", YEAR(CompilDonnées[[#This Row],[PlantationDate]]))</f>
        <v>7 2025</v>
      </c>
      <c r="L1314" t="str">
        <f>CONCATENATE(MONTH(CompilDonnées[[#This Row],[PlantationDate]])," ", YEAR(CompilDonnées[[#This Row],[PlantationDate]]))</f>
        <v>2 2025</v>
      </c>
      <c r="M1314" t="str">
        <f>CONCATENATE(MONTH(CompilDonnées[[#This Row],[HarvestingDate]])," ", YEAR(CompilDonnées[[#This Row],[HarvestingDate]]))</f>
        <v>3 2025</v>
      </c>
      <c r="N1314">
        <f>_xlfn.NUMBERVALUE(CompilDonnées[[#This Row],[FarmID]]&amp;CompilDonnées[[#This Row],[ModuleNumber]]&amp;CompilDonnées[[#This Row],[PlantationDate]])</f>
        <v>41645699</v>
      </c>
      <c r="O1314" t="str">
        <f>CompilDonnées[[#This Row],[FarmID]]&amp;CompilDonnées[[#This Row],[ModuleNumber]]</f>
        <v>416</v>
      </c>
      <c r="P1314" t="str">
        <f>CompilDonnées[[#This Row],[Ref_Module]]&amp;CompilDonnées[[#This Row],[HarvestingDate]]</f>
        <v>41645741</v>
      </c>
    </row>
    <row r="1315" spans="1:16">
      <c r="A1315" s="5">
        <v>45699</v>
      </c>
      <c r="B1315">
        <v>1</v>
      </c>
      <c r="C1315" t="s">
        <v>111</v>
      </c>
      <c r="D1315">
        <v>1</v>
      </c>
      <c r="E1315">
        <v>100</v>
      </c>
      <c r="F1315" t="s">
        <v>1</v>
      </c>
      <c r="G1315" s="6">
        <v>45740</v>
      </c>
      <c r="H1315">
        <v>41</v>
      </c>
      <c r="I1315">
        <f>ROUND(CompilDonnées[[#This Row],[CultureDuration_days]]/7,0)</f>
        <v>6</v>
      </c>
      <c r="J1315">
        <v>3761</v>
      </c>
      <c r="K1315" t="str">
        <f>_xlfn.CONCAT(WEEKNUM(CompilDonnées[[#This Row],[PlantationDate]]), " ", YEAR(CompilDonnées[[#This Row],[PlantationDate]]))</f>
        <v>7 2025</v>
      </c>
      <c r="L1315" t="str">
        <f>CONCATENATE(MONTH(CompilDonnées[[#This Row],[PlantationDate]])," ", YEAR(CompilDonnées[[#This Row],[PlantationDate]]))</f>
        <v>2 2025</v>
      </c>
      <c r="M1315" t="str">
        <f>CONCATENATE(MONTH(CompilDonnées[[#This Row],[HarvestingDate]])," ", YEAR(CompilDonnées[[#This Row],[HarvestingDate]]))</f>
        <v>3 2025</v>
      </c>
      <c r="N1315">
        <f>_xlfn.NUMBERVALUE(CompilDonnées[[#This Row],[FarmID]]&amp;CompilDonnées[[#This Row],[ModuleNumber]]&amp;CompilDonnées[[#This Row],[PlantationDate]])</f>
        <v>1145699</v>
      </c>
      <c r="O1315" t="str">
        <f>CompilDonnées[[#This Row],[FarmID]]&amp;CompilDonnées[[#This Row],[ModuleNumber]]</f>
        <v>11</v>
      </c>
      <c r="P1315" t="str">
        <f>CompilDonnées[[#This Row],[Ref_Module]]&amp;CompilDonnées[[#This Row],[HarvestingDate]]</f>
        <v>1145740</v>
      </c>
    </row>
    <row r="1316" spans="1:16">
      <c r="A1316" s="5">
        <v>45699</v>
      </c>
      <c r="B1316">
        <v>2</v>
      </c>
      <c r="C1316" t="s">
        <v>119</v>
      </c>
      <c r="D1316">
        <v>1</v>
      </c>
      <c r="E1316">
        <v>100</v>
      </c>
      <c r="F1316" t="s">
        <v>1</v>
      </c>
      <c r="G1316" s="6">
        <v>45740</v>
      </c>
      <c r="H1316">
        <v>41</v>
      </c>
      <c r="I1316">
        <f>ROUND(CompilDonnées[[#This Row],[CultureDuration_days]]/7,0)</f>
        <v>6</v>
      </c>
      <c r="J1316">
        <v>3295</v>
      </c>
      <c r="K1316" t="str">
        <f>_xlfn.CONCAT(WEEKNUM(CompilDonnées[[#This Row],[PlantationDate]]), " ", YEAR(CompilDonnées[[#This Row],[PlantationDate]]))</f>
        <v>7 2025</v>
      </c>
      <c r="L1316" t="str">
        <f>CONCATENATE(MONTH(CompilDonnées[[#This Row],[PlantationDate]])," ", YEAR(CompilDonnées[[#This Row],[PlantationDate]]))</f>
        <v>2 2025</v>
      </c>
      <c r="M1316" t="str">
        <f>CONCATENATE(MONTH(CompilDonnées[[#This Row],[HarvestingDate]])," ", YEAR(CompilDonnées[[#This Row],[HarvestingDate]]))</f>
        <v>3 2025</v>
      </c>
      <c r="N1316">
        <f>_xlfn.NUMBERVALUE(CompilDonnées[[#This Row],[FarmID]]&amp;CompilDonnées[[#This Row],[ModuleNumber]]&amp;CompilDonnées[[#This Row],[PlantationDate]])</f>
        <v>2145699</v>
      </c>
      <c r="O1316" t="str">
        <f>CompilDonnées[[#This Row],[FarmID]]&amp;CompilDonnées[[#This Row],[ModuleNumber]]</f>
        <v>21</v>
      </c>
      <c r="P1316" t="str">
        <f>CompilDonnées[[#This Row],[Ref_Module]]&amp;CompilDonnées[[#This Row],[HarvestingDate]]</f>
        <v>2145740</v>
      </c>
    </row>
    <row r="1317" spans="1:16">
      <c r="A1317" s="5">
        <v>45699</v>
      </c>
      <c r="B1317">
        <v>9</v>
      </c>
      <c r="C1317" t="s">
        <v>107</v>
      </c>
      <c r="D1317">
        <v>2</v>
      </c>
      <c r="E1317">
        <v>100</v>
      </c>
      <c r="F1317" t="s">
        <v>1</v>
      </c>
      <c r="G1317" s="6">
        <v>45740</v>
      </c>
      <c r="H1317">
        <v>41</v>
      </c>
      <c r="I1317">
        <f>ROUND(CompilDonnées[[#This Row],[CultureDuration_days]]/7,0)</f>
        <v>6</v>
      </c>
      <c r="J1317">
        <v>3756</v>
      </c>
      <c r="K1317" t="str">
        <f>_xlfn.CONCAT(WEEKNUM(CompilDonnées[[#This Row],[PlantationDate]]), " ", YEAR(CompilDonnées[[#This Row],[PlantationDate]]))</f>
        <v>7 2025</v>
      </c>
      <c r="L1317" t="str">
        <f>CONCATENATE(MONTH(CompilDonnées[[#This Row],[PlantationDate]])," ", YEAR(CompilDonnées[[#This Row],[PlantationDate]]))</f>
        <v>2 2025</v>
      </c>
      <c r="M1317" t="str">
        <f>CONCATENATE(MONTH(CompilDonnées[[#This Row],[HarvestingDate]])," ", YEAR(CompilDonnées[[#This Row],[HarvestingDate]]))</f>
        <v>3 2025</v>
      </c>
      <c r="N1317">
        <f>_xlfn.NUMBERVALUE(CompilDonnées[[#This Row],[FarmID]]&amp;CompilDonnées[[#This Row],[ModuleNumber]]&amp;CompilDonnées[[#This Row],[PlantationDate]])</f>
        <v>9245699</v>
      </c>
      <c r="O1317" t="str">
        <f>CompilDonnées[[#This Row],[FarmID]]&amp;CompilDonnées[[#This Row],[ModuleNumber]]</f>
        <v>92</v>
      </c>
      <c r="P1317" t="str">
        <f>CompilDonnées[[#This Row],[Ref_Module]]&amp;CompilDonnées[[#This Row],[HarvestingDate]]</f>
        <v>9245740</v>
      </c>
    </row>
    <row r="1318" spans="1:16">
      <c r="A1318" s="5">
        <v>45699</v>
      </c>
      <c r="B1318">
        <v>13</v>
      </c>
      <c r="C1318" t="s">
        <v>114</v>
      </c>
      <c r="D1318">
        <v>4</v>
      </c>
      <c r="E1318">
        <v>100</v>
      </c>
      <c r="F1318" t="s">
        <v>1</v>
      </c>
      <c r="G1318" s="6">
        <v>45740</v>
      </c>
      <c r="H1318">
        <v>41</v>
      </c>
      <c r="I1318">
        <f>ROUND(CompilDonnées[[#This Row],[CultureDuration_days]]/7,0)</f>
        <v>6</v>
      </c>
      <c r="J1318">
        <v>4865</v>
      </c>
      <c r="K1318" t="str">
        <f>_xlfn.CONCAT(WEEKNUM(CompilDonnées[[#This Row],[PlantationDate]]), " ", YEAR(CompilDonnées[[#This Row],[PlantationDate]]))</f>
        <v>7 2025</v>
      </c>
      <c r="L1318" t="str">
        <f>CONCATENATE(MONTH(CompilDonnées[[#This Row],[PlantationDate]])," ", YEAR(CompilDonnées[[#This Row],[PlantationDate]]))</f>
        <v>2 2025</v>
      </c>
      <c r="M1318" t="str">
        <f>CONCATENATE(MONTH(CompilDonnées[[#This Row],[HarvestingDate]])," ", YEAR(CompilDonnées[[#This Row],[HarvestingDate]]))</f>
        <v>3 2025</v>
      </c>
      <c r="N1318">
        <f>_xlfn.NUMBERVALUE(CompilDonnées[[#This Row],[FarmID]]&amp;CompilDonnées[[#This Row],[ModuleNumber]]&amp;CompilDonnées[[#This Row],[PlantationDate]])</f>
        <v>13445699</v>
      </c>
      <c r="O1318" t="str">
        <f>CompilDonnées[[#This Row],[FarmID]]&amp;CompilDonnées[[#This Row],[ModuleNumber]]</f>
        <v>134</v>
      </c>
      <c r="P1318" t="str">
        <f>CompilDonnées[[#This Row],[Ref_Module]]&amp;CompilDonnées[[#This Row],[HarvestingDate]]</f>
        <v>13445740</v>
      </c>
    </row>
    <row r="1319" spans="1:16">
      <c r="A1319" s="5">
        <v>45699</v>
      </c>
      <c r="B1319">
        <v>20</v>
      </c>
      <c r="C1319" t="s">
        <v>53</v>
      </c>
      <c r="D1319">
        <v>4</v>
      </c>
      <c r="E1319">
        <v>100</v>
      </c>
      <c r="F1319" t="s">
        <v>1</v>
      </c>
      <c r="G1319" s="6">
        <v>45740</v>
      </c>
      <c r="H1319">
        <v>41</v>
      </c>
      <c r="I1319">
        <f>ROUND(CompilDonnées[[#This Row],[CultureDuration_days]]/7,0)</f>
        <v>6</v>
      </c>
      <c r="J1319">
        <v>3722</v>
      </c>
      <c r="K1319" t="str">
        <f>_xlfn.CONCAT(WEEKNUM(CompilDonnées[[#This Row],[PlantationDate]]), " ", YEAR(CompilDonnées[[#This Row],[PlantationDate]]))</f>
        <v>7 2025</v>
      </c>
      <c r="L1319" t="str">
        <f>CONCATENATE(MONTH(CompilDonnées[[#This Row],[PlantationDate]])," ", YEAR(CompilDonnées[[#This Row],[PlantationDate]]))</f>
        <v>2 2025</v>
      </c>
      <c r="M1319" t="str">
        <f>CONCATENATE(MONTH(CompilDonnées[[#This Row],[HarvestingDate]])," ", YEAR(CompilDonnées[[#This Row],[HarvestingDate]]))</f>
        <v>3 2025</v>
      </c>
      <c r="N1319">
        <f>_xlfn.NUMBERVALUE(CompilDonnées[[#This Row],[FarmID]]&amp;CompilDonnées[[#This Row],[ModuleNumber]]&amp;CompilDonnées[[#This Row],[PlantationDate]])</f>
        <v>20445699</v>
      </c>
      <c r="O1319" t="str">
        <f>CompilDonnées[[#This Row],[FarmID]]&amp;CompilDonnées[[#This Row],[ModuleNumber]]</f>
        <v>204</v>
      </c>
      <c r="P1319" t="str">
        <f>CompilDonnées[[#This Row],[Ref_Module]]&amp;CompilDonnées[[#This Row],[HarvestingDate]]</f>
        <v>20445740</v>
      </c>
    </row>
    <row r="1320" spans="1:16">
      <c r="A1320" s="5">
        <v>45699</v>
      </c>
      <c r="B1320">
        <v>60</v>
      </c>
      <c r="C1320" t="s">
        <v>113</v>
      </c>
      <c r="D1320">
        <v>3</v>
      </c>
      <c r="E1320">
        <v>100</v>
      </c>
      <c r="F1320" t="s">
        <v>1</v>
      </c>
      <c r="G1320" s="6">
        <v>45742</v>
      </c>
      <c r="H1320">
        <v>43</v>
      </c>
      <c r="I1320">
        <f>ROUND(CompilDonnées[[#This Row],[CultureDuration_days]]/7,0)</f>
        <v>6</v>
      </c>
      <c r="J1320">
        <v>4377</v>
      </c>
      <c r="K1320" t="str">
        <f>_xlfn.CONCAT(WEEKNUM(CompilDonnées[[#This Row],[PlantationDate]]), " ", YEAR(CompilDonnées[[#This Row],[PlantationDate]]))</f>
        <v>7 2025</v>
      </c>
      <c r="L1320" t="str">
        <f>CONCATENATE(MONTH(CompilDonnées[[#This Row],[PlantationDate]])," ", YEAR(CompilDonnées[[#This Row],[PlantationDate]]))</f>
        <v>2 2025</v>
      </c>
      <c r="M1320" t="str">
        <f>CONCATENATE(MONTH(CompilDonnées[[#This Row],[HarvestingDate]])," ", YEAR(CompilDonnées[[#This Row],[HarvestingDate]]))</f>
        <v>3 2025</v>
      </c>
      <c r="N1320">
        <f>_xlfn.NUMBERVALUE(CompilDonnées[[#This Row],[FarmID]]&amp;CompilDonnées[[#This Row],[ModuleNumber]]&amp;CompilDonnées[[#This Row],[PlantationDate]])</f>
        <v>60345699</v>
      </c>
      <c r="O1320" t="str">
        <f>CompilDonnées[[#This Row],[FarmID]]&amp;CompilDonnées[[#This Row],[ModuleNumber]]</f>
        <v>603</v>
      </c>
      <c r="P1320" t="str">
        <f>CompilDonnées[[#This Row],[Ref_Module]]&amp;CompilDonnées[[#This Row],[HarvestingDate]]</f>
        <v>60345742</v>
      </c>
    </row>
    <row r="1321" spans="1:16">
      <c r="A1321" s="5">
        <v>45699</v>
      </c>
      <c r="B1321">
        <v>10</v>
      </c>
      <c r="C1321" t="s">
        <v>109</v>
      </c>
      <c r="D1321">
        <v>2</v>
      </c>
      <c r="E1321">
        <v>100</v>
      </c>
      <c r="F1321" t="s">
        <v>1</v>
      </c>
      <c r="G1321" s="6">
        <v>45740</v>
      </c>
      <c r="H1321">
        <v>41</v>
      </c>
      <c r="I1321">
        <f>ROUND(CompilDonnées[[#This Row],[CultureDuration_days]]/7,0)</f>
        <v>6</v>
      </c>
      <c r="J1321">
        <v>4246</v>
      </c>
      <c r="K1321" t="str">
        <f>_xlfn.CONCAT(WEEKNUM(CompilDonnées[[#This Row],[PlantationDate]]), " ", YEAR(CompilDonnées[[#This Row],[PlantationDate]]))</f>
        <v>7 2025</v>
      </c>
      <c r="L1321" t="str">
        <f>CONCATENATE(MONTH(CompilDonnées[[#This Row],[PlantationDate]])," ", YEAR(CompilDonnées[[#This Row],[PlantationDate]]))</f>
        <v>2 2025</v>
      </c>
      <c r="M1321" t="str">
        <f>CONCATENATE(MONTH(CompilDonnées[[#This Row],[HarvestingDate]])," ", YEAR(CompilDonnées[[#This Row],[HarvestingDate]]))</f>
        <v>3 2025</v>
      </c>
      <c r="N1321">
        <f>_xlfn.NUMBERVALUE(CompilDonnées[[#This Row],[FarmID]]&amp;CompilDonnées[[#This Row],[ModuleNumber]]&amp;CompilDonnées[[#This Row],[PlantationDate]])</f>
        <v>10245699</v>
      </c>
      <c r="O1321" t="str">
        <f>CompilDonnées[[#This Row],[FarmID]]&amp;CompilDonnées[[#This Row],[ModuleNumber]]</f>
        <v>102</v>
      </c>
      <c r="P1321" t="str">
        <f>CompilDonnées[[#This Row],[Ref_Module]]&amp;CompilDonnées[[#This Row],[HarvestingDate]]</f>
        <v>10245740</v>
      </c>
    </row>
    <row r="1322" spans="1:16">
      <c r="A1322" s="5">
        <v>45699</v>
      </c>
      <c r="B1322">
        <v>47</v>
      </c>
      <c r="C1322" t="s">
        <v>12</v>
      </c>
      <c r="D1322">
        <v>3</v>
      </c>
      <c r="E1322">
        <v>100</v>
      </c>
      <c r="F1322" t="s">
        <v>1</v>
      </c>
      <c r="G1322" s="6">
        <v>45741</v>
      </c>
      <c r="H1322">
        <v>42</v>
      </c>
      <c r="I1322">
        <f>ROUND(CompilDonnées[[#This Row],[CultureDuration_days]]/7,0)</f>
        <v>6</v>
      </c>
      <c r="J1322">
        <v>4044</v>
      </c>
      <c r="K1322" t="str">
        <f>_xlfn.CONCAT(WEEKNUM(CompilDonnées[[#This Row],[PlantationDate]]), " ", YEAR(CompilDonnées[[#This Row],[PlantationDate]]))</f>
        <v>7 2025</v>
      </c>
      <c r="L1322" t="str">
        <f>CONCATENATE(MONTH(CompilDonnées[[#This Row],[PlantationDate]])," ", YEAR(CompilDonnées[[#This Row],[PlantationDate]]))</f>
        <v>2 2025</v>
      </c>
      <c r="M1322" t="str">
        <f>CONCATENATE(MONTH(CompilDonnées[[#This Row],[HarvestingDate]])," ", YEAR(CompilDonnées[[#This Row],[HarvestingDate]]))</f>
        <v>3 2025</v>
      </c>
      <c r="N1322">
        <f>_xlfn.NUMBERVALUE(CompilDonnées[[#This Row],[FarmID]]&amp;CompilDonnées[[#This Row],[ModuleNumber]]&amp;CompilDonnées[[#This Row],[PlantationDate]])</f>
        <v>47345699</v>
      </c>
      <c r="O1322" t="str">
        <f>CompilDonnées[[#This Row],[FarmID]]&amp;CompilDonnées[[#This Row],[ModuleNumber]]</f>
        <v>473</v>
      </c>
      <c r="P1322" t="str">
        <f>CompilDonnées[[#This Row],[Ref_Module]]&amp;CompilDonnées[[#This Row],[HarvestingDate]]</f>
        <v>47345741</v>
      </c>
    </row>
    <row r="1323" spans="1:16">
      <c r="A1323" s="5">
        <v>45699</v>
      </c>
      <c r="B1323">
        <v>71</v>
      </c>
      <c r="C1323" t="s">
        <v>19</v>
      </c>
      <c r="D1323">
        <v>2</v>
      </c>
      <c r="E1323">
        <v>100</v>
      </c>
      <c r="F1323" t="s">
        <v>1</v>
      </c>
      <c r="G1323" s="6">
        <v>45743</v>
      </c>
      <c r="H1323">
        <v>44</v>
      </c>
      <c r="I1323">
        <f>ROUND(CompilDonnées[[#This Row],[CultureDuration_days]]/7,0)</f>
        <v>6</v>
      </c>
      <c r="J1323">
        <v>3512</v>
      </c>
      <c r="K1323" t="str">
        <f>_xlfn.CONCAT(WEEKNUM(CompilDonnées[[#This Row],[PlantationDate]]), " ", YEAR(CompilDonnées[[#This Row],[PlantationDate]]))</f>
        <v>7 2025</v>
      </c>
      <c r="L1323" t="str">
        <f>CONCATENATE(MONTH(CompilDonnées[[#This Row],[PlantationDate]])," ", YEAR(CompilDonnées[[#This Row],[PlantationDate]]))</f>
        <v>2 2025</v>
      </c>
      <c r="M1323" t="str">
        <f>CONCATENATE(MONTH(CompilDonnées[[#This Row],[HarvestingDate]])," ", YEAR(CompilDonnées[[#This Row],[HarvestingDate]]))</f>
        <v>3 2025</v>
      </c>
      <c r="N1323">
        <f>_xlfn.NUMBERVALUE(CompilDonnées[[#This Row],[FarmID]]&amp;CompilDonnées[[#This Row],[ModuleNumber]]&amp;CompilDonnées[[#This Row],[PlantationDate]])</f>
        <v>71245699</v>
      </c>
      <c r="O1323" t="str">
        <f>CompilDonnées[[#This Row],[FarmID]]&amp;CompilDonnées[[#This Row],[ModuleNumber]]</f>
        <v>712</v>
      </c>
      <c r="P1323" t="str">
        <f>CompilDonnées[[#This Row],[Ref_Module]]&amp;CompilDonnées[[#This Row],[HarvestingDate]]</f>
        <v>71245743</v>
      </c>
    </row>
    <row r="1324" spans="1:16">
      <c r="A1324" s="5">
        <v>45699</v>
      </c>
      <c r="B1324">
        <v>67</v>
      </c>
      <c r="C1324" t="s">
        <v>28</v>
      </c>
      <c r="D1324">
        <v>3</v>
      </c>
      <c r="E1324">
        <v>100</v>
      </c>
      <c r="F1324" t="s">
        <v>1</v>
      </c>
      <c r="G1324" s="6">
        <v>45742</v>
      </c>
      <c r="H1324">
        <v>43</v>
      </c>
      <c r="I1324">
        <f>ROUND(CompilDonnées[[#This Row],[CultureDuration_days]]/7,0)</f>
        <v>6</v>
      </c>
      <c r="J1324">
        <v>3077</v>
      </c>
      <c r="K1324" t="str">
        <f>_xlfn.CONCAT(WEEKNUM(CompilDonnées[[#This Row],[PlantationDate]]), " ", YEAR(CompilDonnées[[#This Row],[PlantationDate]]))</f>
        <v>7 2025</v>
      </c>
      <c r="L1324" t="str">
        <f>CONCATENATE(MONTH(CompilDonnées[[#This Row],[PlantationDate]])," ", YEAR(CompilDonnées[[#This Row],[PlantationDate]]))</f>
        <v>2 2025</v>
      </c>
      <c r="M1324" t="str">
        <f>CONCATENATE(MONTH(CompilDonnées[[#This Row],[HarvestingDate]])," ", YEAR(CompilDonnées[[#This Row],[HarvestingDate]]))</f>
        <v>3 2025</v>
      </c>
      <c r="N1324">
        <f>_xlfn.NUMBERVALUE(CompilDonnées[[#This Row],[FarmID]]&amp;CompilDonnées[[#This Row],[ModuleNumber]]&amp;CompilDonnées[[#This Row],[PlantationDate]])</f>
        <v>67345699</v>
      </c>
      <c r="O1324" t="str">
        <f>CompilDonnées[[#This Row],[FarmID]]&amp;CompilDonnées[[#This Row],[ModuleNumber]]</f>
        <v>673</v>
      </c>
      <c r="P1324" t="str">
        <f>CompilDonnées[[#This Row],[Ref_Module]]&amp;CompilDonnées[[#This Row],[HarvestingDate]]</f>
        <v>67345742</v>
      </c>
    </row>
    <row r="1325" spans="1:16">
      <c r="A1325" s="5">
        <v>45699</v>
      </c>
      <c r="B1325">
        <v>79</v>
      </c>
      <c r="C1325" t="s">
        <v>61</v>
      </c>
      <c r="D1325">
        <v>1</v>
      </c>
      <c r="E1325">
        <v>100</v>
      </c>
      <c r="F1325" t="s">
        <v>1</v>
      </c>
      <c r="G1325" s="6">
        <v>45743</v>
      </c>
      <c r="H1325">
        <v>44</v>
      </c>
      <c r="I1325">
        <f>ROUND(CompilDonnées[[#This Row],[CultureDuration_days]]/7,0)</f>
        <v>6</v>
      </c>
      <c r="J1325">
        <v>3744</v>
      </c>
      <c r="K1325" t="str">
        <f>_xlfn.CONCAT(WEEKNUM(CompilDonnées[[#This Row],[PlantationDate]]), " ", YEAR(CompilDonnées[[#This Row],[PlantationDate]]))</f>
        <v>7 2025</v>
      </c>
      <c r="L1325" t="str">
        <f>CONCATENATE(MONTH(CompilDonnées[[#This Row],[PlantationDate]])," ", YEAR(CompilDonnées[[#This Row],[PlantationDate]]))</f>
        <v>2 2025</v>
      </c>
      <c r="M1325" t="str">
        <f>CONCATENATE(MONTH(CompilDonnées[[#This Row],[HarvestingDate]])," ", YEAR(CompilDonnées[[#This Row],[HarvestingDate]]))</f>
        <v>3 2025</v>
      </c>
      <c r="N1325">
        <f>_xlfn.NUMBERVALUE(CompilDonnées[[#This Row],[FarmID]]&amp;CompilDonnées[[#This Row],[ModuleNumber]]&amp;CompilDonnées[[#This Row],[PlantationDate]])</f>
        <v>79145699</v>
      </c>
      <c r="O1325" t="str">
        <f>CompilDonnées[[#This Row],[FarmID]]&amp;CompilDonnées[[#This Row],[ModuleNumber]]</f>
        <v>791</v>
      </c>
      <c r="P1325" t="str">
        <f>CompilDonnées[[#This Row],[Ref_Module]]&amp;CompilDonnées[[#This Row],[HarvestingDate]]</f>
        <v>79145743</v>
      </c>
    </row>
    <row r="1326" spans="1:16">
      <c r="A1326" s="5">
        <v>45699</v>
      </c>
      <c r="B1326">
        <v>76</v>
      </c>
      <c r="C1326" t="s">
        <v>18</v>
      </c>
      <c r="D1326">
        <v>4</v>
      </c>
      <c r="E1326">
        <v>100</v>
      </c>
      <c r="F1326" t="s">
        <v>1</v>
      </c>
      <c r="G1326" s="6">
        <v>45737</v>
      </c>
      <c r="H1326">
        <v>38</v>
      </c>
      <c r="I1326">
        <f>ROUND(CompilDonnées[[#This Row],[CultureDuration_days]]/7,0)</f>
        <v>5</v>
      </c>
      <c r="J1326">
        <v>3754</v>
      </c>
      <c r="K1326" t="str">
        <f>_xlfn.CONCAT(WEEKNUM(CompilDonnées[[#This Row],[PlantationDate]]), " ", YEAR(CompilDonnées[[#This Row],[PlantationDate]]))</f>
        <v>7 2025</v>
      </c>
      <c r="L1326" t="str">
        <f>CONCATENATE(MONTH(CompilDonnées[[#This Row],[PlantationDate]])," ", YEAR(CompilDonnées[[#This Row],[PlantationDate]]))</f>
        <v>2 2025</v>
      </c>
      <c r="M1326" t="str">
        <f>CONCATENATE(MONTH(CompilDonnées[[#This Row],[HarvestingDate]])," ", YEAR(CompilDonnées[[#This Row],[HarvestingDate]]))</f>
        <v>3 2025</v>
      </c>
      <c r="N1326">
        <f>_xlfn.NUMBERVALUE(CompilDonnées[[#This Row],[FarmID]]&amp;CompilDonnées[[#This Row],[ModuleNumber]]&amp;CompilDonnées[[#This Row],[PlantationDate]])</f>
        <v>76445699</v>
      </c>
      <c r="O1326" t="str">
        <f>CompilDonnées[[#This Row],[FarmID]]&amp;CompilDonnées[[#This Row],[ModuleNumber]]</f>
        <v>764</v>
      </c>
      <c r="P1326" t="str">
        <f>CompilDonnées[[#This Row],[Ref_Module]]&amp;CompilDonnées[[#This Row],[HarvestingDate]]</f>
        <v>76445737</v>
      </c>
    </row>
    <row r="1327" spans="1:16">
      <c r="A1327" s="5">
        <v>45699</v>
      </c>
      <c r="B1327">
        <v>84</v>
      </c>
      <c r="C1327" t="s">
        <v>65</v>
      </c>
      <c r="D1327">
        <v>3</v>
      </c>
      <c r="E1327">
        <v>100</v>
      </c>
      <c r="F1327" t="s">
        <v>1</v>
      </c>
      <c r="G1327" s="6">
        <v>45742</v>
      </c>
      <c r="H1327">
        <v>43</v>
      </c>
      <c r="I1327">
        <f>ROUND(CompilDonnées[[#This Row],[CultureDuration_days]]/7,0)</f>
        <v>6</v>
      </c>
      <c r="J1327">
        <v>3742</v>
      </c>
      <c r="K1327" t="str">
        <f>_xlfn.CONCAT(WEEKNUM(CompilDonnées[[#This Row],[PlantationDate]]), " ", YEAR(CompilDonnées[[#This Row],[PlantationDate]]))</f>
        <v>7 2025</v>
      </c>
      <c r="L1327" t="str">
        <f>CONCATENATE(MONTH(CompilDonnées[[#This Row],[PlantationDate]])," ", YEAR(CompilDonnées[[#This Row],[PlantationDate]]))</f>
        <v>2 2025</v>
      </c>
      <c r="M1327" t="str">
        <f>CONCATENATE(MONTH(CompilDonnées[[#This Row],[HarvestingDate]])," ", YEAR(CompilDonnées[[#This Row],[HarvestingDate]]))</f>
        <v>3 2025</v>
      </c>
      <c r="N1327">
        <f>_xlfn.NUMBERVALUE(CompilDonnées[[#This Row],[FarmID]]&amp;CompilDonnées[[#This Row],[ModuleNumber]]&amp;CompilDonnées[[#This Row],[PlantationDate]])</f>
        <v>84345699</v>
      </c>
      <c r="O1327" t="str">
        <f>CompilDonnées[[#This Row],[FarmID]]&amp;CompilDonnées[[#This Row],[ModuleNumber]]</f>
        <v>843</v>
      </c>
      <c r="P1327" t="str">
        <f>CompilDonnées[[#This Row],[Ref_Module]]&amp;CompilDonnées[[#This Row],[HarvestingDate]]</f>
        <v>84345742</v>
      </c>
    </row>
    <row r="1328" spans="1:16">
      <c r="A1328" s="5">
        <v>45699</v>
      </c>
      <c r="B1328">
        <v>57</v>
      </c>
      <c r="C1328" t="s">
        <v>46</v>
      </c>
      <c r="D1328">
        <v>1</v>
      </c>
      <c r="E1328">
        <v>100</v>
      </c>
      <c r="F1328" t="s">
        <v>1</v>
      </c>
      <c r="G1328" s="6">
        <v>45742</v>
      </c>
      <c r="H1328">
        <v>43</v>
      </c>
      <c r="I1328">
        <f>ROUND(CompilDonnées[[#This Row],[CultureDuration_days]]/7,0)</f>
        <v>6</v>
      </c>
      <c r="J1328">
        <v>4077</v>
      </c>
      <c r="K1328" t="str">
        <f>_xlfn.CONCAT(WEEKNUM(CompilDonnées[[#This Row],[PlantationDate]]), " ", YEAR(CompilDonnées[[#This Row],[PlantationDate]]))</f>
        <v>7 2025</v>
      </c>
      <c r="L1328" t="str">
        <f>CONCATENATE(MONTH(CompilDonnées[[#This Row],[PlantationDate]])," ", YEAR(CompilDonnées[[#This Row],[PlantationDate]]))</f>
        <v>2 2025</v>
      </c>
      <c r="M1328" t="str">
        <f>CONCATENATE(MONTH(CompilDonnées[[#This Row],[HarvestingDate]])," ", YEAR(CompilDonnées[[#This Row],[HarvestingDate]]))</f>
        <v>3 2025</v>
      </c>
      <c r="N1328">
        <f>_xlfn.NUMBERVALUE(CompilDonnées[[#This Row],[FarmID]]&amp;CompilDonnées[[#This Row],[ModuleNumber]]&amp;CompilDonnées[[#This Row],[PlantationDate]])</f>
        <v>57145699</v>
      </c>
      <c r="O1328" t="str">
        <f>CompilDonnées[[#This Row],[FarmID]]&amp;CompilDonnées[[#This Row],[ModuleNumber]]</f>
        <v>571</v>
      </c>
      <c r="P1328" t="str">
        <f>CompilDonnées[[#This Row],[Ref_Module]]&amp;CompilDonnées[[#This Row],[HarvestingDate]]</f>
        <v>57145742</v>
      </c>
    </row>
    <row r="1329" spans="1:16">
      <c r="A1329" s="5">
        <v>45699</v>
      </c>
      <c r="B1329">
        <v>55</v>
      </c>
      <c r="C1329" t="s">
        <v>60</v>
      </c>
      <c r="D1329">
        <v>1</v>
      </c>
      <c r="E1329">
        <v>100</v>
      </c>
      <c r="F1329" t="s">
        <v>1</v>
      </c>
      <c r="G1329" s="6">
        <v>45742</v>
      </c>
      <c r="H1329">
        <v>43</v>
      </c>
      <c r="I1329">
        <f>ROUND(CompilDonnées[[#This Row],[CultureDuration_days]]/7,0)</f>
        <v>6</v>
      </c>
      <c r="J1329">
        <v>3881</v>
      </c>
      <c r="K1329" t="str">
        <f>_xlfn.CONCAT(WEEKNUM(CompilDonnées[[#This Row],[PlantationDate]]), " ", YEAR(CompilDonnées[[#This Row],[PlantationDate]]))</f>
        <v>7 2025</v>
      </c>
      <c r="L1329" t="str">
        <f>CONCATENATE(MONTH(CompilDonnées[[#This Row],[PlantationDate]])," ", YEAR(CompilDonnées[[#This Row],[PlantationDate]]))</f>
        <v>2 2025</v>
      </c>
      <c r="M1329" t="str">
        <f>CONCATENATE(MONTH(CompilDonnées[[#This Row],[HarvestingDate]])," ", YEAR(CompilDonnées[[#This Row],[HarvestingDate]]))</f>
        <v>3 2025</v>
      </c>
      <c r="N1329">
        <f>_xlfn.NUMBERVALUE(CompilDonnées[[#This Row],[FarmID]]&amp;CompilDonnées[[#This Row],[ModuleNumber]]&amp;CompilDonnées[[#This Row],[PlantationDate]])</f>
        <v>55145699</v>
      </c>
      <c r="O1329" t="str">
        <f>CompilDonnées[[#This Row],[FarmID]]&amp;CompilDonnées[[#This Row],[ModuleNumber]]</f>
        <v>551</v>
      </c>
      <c r="P1329" t="str">
        <f>CompilDonnées[[#This Row],[Ref_Module]]&amp;CompilDonnées[[#This Row],[HarvestingDate]]</f>
        <v>55145742</v>
      </c>
    </row>
    <row r="1330" spans="1:16">
      <c r="A1330" s="5">
        <v>45699</v>
      </c>
      <c r="B1330">
        <v>50</v>
      </c>
      <c r="C1330" t="s">
        <v>55</v>
      </c>
      <c r="D1330">
        <v>5</v>
      </c>
      <c r="E1330">
        <v>100</v>
      </c>
      <c r="F1330" t="s">
        <v>1</v>
      </c>
      <c r="G1330" s="6">
        <v>45749</v>
      </c>
      <c r="H1330">
        <v>50</v>
      </c>
      <c r="I1330">
        <f>ROUND(CompilDonnées[[#This Row],[CultureDuration_days]]/7,0)</f>
        <v>7</v>
      </c>
      <c r="J1330">
        <v>3751</v>
      </c>
      <c r="K1330" t="str">
        <f>_xlfn.CONCAT(WEEKNUM(CompilDonnées[[#This Row],[PlantationDate]]), " ", YEAR(CompilDonnées[[#This Row],[PlantationDate]]))</f>
        <v>7 2025</v>
      </c>
      <c r="L1330" t="str">
        <f>CONCATENATE(MONTH(CompilDonnées[[#This Row],[PlantationDate]])," ", YEAR(CompilDonnées[[#This Row],[PlantationDate]]))</f>
        <v>2 2025</v>
      </c>
      <c r="M1330" t="str">
        <f>CONCATENATE(MONTH(CompilDonnées[[#This Row],[HarvestingDate]])," ", YEAR(CompilDonnées[[#This Row],[HarvestingDate]]))</f>
        <v>4 2025</v>
      </c>
      <c r="N1330">
        <f>_xlfn.NUMBERVALUE(CompilDonnées[[#This Row],[FarmID]]&amp;CompilDonnées[[#This Row],[ModuleNumber]]&amp;CompilDonnées[[#This Row],[PlantationDate]])</f>
        <v>50545699</v>
      </c>
      <c r="O1330" t="str">
        <f>CompilDonnées[[#This Row],[FarmID]]&amp;CompilDonnées[[#This Row],[ModuleNumber]]</f>
        <v>505</v>
      </c>
      <c r="P1330" t="str">
        <f>CompilDonnées[[#This Row],[Ref_Module]]&amp;CompilDonnées[[#This Row],[HarvestingDate]]</f>
        <v>50545749</v>
      </c>
    </row>
    <row r="1331" spans="1:16">
      <c r="A1331" s="5">
        <v>45699</v>
      </c>
      <c r="B1331">
        <v>129</v>
      </c>
      <c r="C1331" t="s">
        <v>3</v>
      </c>
      <c r="D1331">
        <v>4</v>
      </c>
      <c r="E1331">
        <v>60</v>
      </c>
      <c r="F1331" t="s">
        <v>105</v>
      </c>
      <c r="G1331" s="6">
        <v>45758</v>
      </c>
      <c r="H1331">
        <v>59</v>
      </c>
      <c r="I1331">
        <f>ROUND(CompilDonnées[[#This Row],[CultureDuration_days]]/7,0)</f>
        <v>8</v>
      </c>
      <c r="J1331">
        <v>914</v>
      </c>
      <c r="K1331" t="str">
        <f>_xlfn.CONCAT(WEEKNUM(CompilDonnées[[#This Row],[PlantationDate]]), " ", YEAR(CompilDonnées[[#This Row],[PlantationDate]]))</f>
        <v>7 2025</v>
      </c>
      <c r="L1331" t="str">
        <f>CONCATENATE(MONTH(CompilDonnées[[#This Row],[PlantationDate]])," ", YEAR(CompilDonnées[[#This Row],[PlantationDate]]))</f>
        <v>2 2025</v>
      </c>
      <c r="M1331" t="str">
        <f>CONCATENATE(MONTH(CompilDonnées[[#This Row],[HarvestingDate]])," ", YEAR(CompilDonnées[[#This Row],[HarvestingDate]]))</f>
        <v>4 2025</v>
      </c>
      <c r="N1331">
        <f>_xlfn.NUMBERVALUE(CompilDonnées[[#This Row],[FarmID]]&amp;CompilDonnées[[#This Row],[ModuleNumber]]&amp;CompilDonnées[[#This Row],[PlantationDate]])</f>
        <v>129445699</v>
      </c>
      <c r="O1331" t="str">
        <f>CompilDonnées[[#This Row],[FarmID]]&amp;CompilDonnées[[#This Row],[ModuleNumber]]</f>
        <v>1294</v>
      </c>
      <c r="P1331" t="str">
        <f>CompilDonnées[[#This Row],[Ref_Module]]&amp;CompilDonnées[[#This Row],[HarvestingDate]]</f>
        <v>129445758</v>
      </c>
    </row>
    <row r="1332" spans="1:16">
      <c r="A1332" s="5">
        <v>45699</v>
      </c>
      <c r="B1332">
        <v>129</v>
      </c>
      <c r="C1332" t="s">
        <v>3</v>
      </c>
      <c r="D1332">
        <v>5</v>
      </c>
      <c r="E1332">
        <v>60</v>
      </c>
      <c r="F1332" t="s">
        <v>105</v>
      </c>
      <c r="G1332" s="6">
        <v>45758</v>
      </c>
      <c r="H1332">
        <v>59</v>
      </c>
      <c r="I1332">
        <f>ROUND(CompilDonnées[[#This Row],[CultureDuration_days]]/7,0)</f>
        <v>8</v>
      </c>
      <c r="J1332">
        <v>929</v>
      </c>
      <c r="K1332" t="str">
        <f>_xlfn.CONCAT(WEEKNUM(CompilDonnées[[#This Row],[PlantationDate]]), " ", YEAR(CompilDonnées[[#This Row],[PlantationDate]]))</f>
        <v>7 2025</v>
      </c>
      <c r="L1332" t="str">
        <f>CONCATENATE(MONTH(CompilDonnées[[#This Row],[PlantationDate]])," ", YEAR(CompilDonnées[[#This Row],[PlantationDate]]))</f>
        <v>2 2025</v>
      </c>
      <c r="M1332" t="str">
        <f>CONCATENATE(MONTH(CompilDonnées[[#This Row],[HarvestingDate]])," ", YEAR(CompilDonnées[[#This Row],[HarvestingDate]]))</f>
        <v>4 2025</v>
      </c>
      <c r="N1332">
        <f>_xlfn.NUMBERVALUE(CompilDonnées[[#This Row],[FarmID]]&amp;CompilDonnées[[#This Row],[ModuleNumber]]&amp;CompilDonnées[[#This Row],[PlantationDate]])</f>
        <v>129545699</v>
      </c>
      <c r="O1332" t="str">
        <f>CompilDonnées[[#This Row],[FarmID]]&amp;CompilDonnées[[#This Row],[ModuleNumber]]</f>
        <v>1295</v>
      </c>
      <c r="P1332" t="str">
        <f>CompilDonnées[[#This Row],[Ref_Module]]&amp;CompilDonnées[[#This Row],[HarvestingDate]]</f>
        <v>129545758</v>
      </c>
    </row>
    <row r="1333" spans="1:16">
      <c r="A1333" s="5">
        <v>45699</v>
      </c>
      <c r="B1333">
        <v>129</v>
      </c>
      <c r="C1333" t="s">
        <v>3</v>
      </c>
      <c r="D1333">
        <v>6</v>
      </c>
      <c r="E1333">
        <v>60</v>
      </c>
      <c r="F1333" t="s">
        <v>105</v>
      </c>
      <c r="G1333" s="6">
        <v>45758</v>
      </c>
      <c r="H1333">
        <v>59</v>
      </c>
      <c r="I1333">
        <f>ROUND(CompilDonnées[[#This Row],[CultureDuration_days]]/7,0)</f>
        <v>8</v>
      </c>
      <c r="J1333">
        <v>764</v>
      </c>
      <c r="K1333" t="str">
        <f>_xlfn.CONCAT(WEEKNUM(CompilDonnées[[#This Row],[PlantationDate]]), " ", YEAR(CompilDonnées[[#This Row],[PlantationDate]]))</f>
        <v>7 2025</v>
      </c>
      <c r="L1333" t="str">
        <f>CONCATENATE(MONTH(CompilDonnées[[#This Row],[PlantationDate]])," ", YEAR(CompilDonnées[[#This Row],[PlantationDate]]))</f>
        <v>2 2025</v>
      </c>
      <c r="M1333" t="str">
        <f>CONCATENATE(MONTH(CompilDonnées[[#This Row],[HarvestingDate]])," ", YEAR(CompilDonnées[[#This Row],[HarvestingDate]]))</f>
        <v>4 2025</v>
      </c>
      <c r="N1333">
        <f>_xlfn.NUMBERVALUE(CompilDonnées[[#This Row],[FarmID]]&amp;CompilDonnées[[#This Row],[ModuleNumber]]&amp;CompilDonnées[[#This Row],[PlantationDate]])</f>
        <v>129645699</v>
      </c>
      <c r="O1333" t="str">
        <f>CompilDonnées[[#This Row],[FarmID]]&amp;CompilDonnées[[#This Row],[ModuleNumber]]</f>
        <v>1296</v>
      </c>
      <c r="P1333" t="str">
        <f>CompilDonnées[[#This Row],[Ref_Module]]&amp;CompilDonnées[[#This Row],[HarvestingDate]]</f>
        <v>129645758</v>
      </c>
    </row>
    <row r="1334" spans="1:16">
      <c r="A1334" s="5">
        <v>45700</v>
      </c>
      <c r="B1334">
        <v>70</v>
      </c>
      <c r="C1334" t="s">
        <v>7</v>
      </c>
      <c r="D1334">
        <v>2</v>
      </c>
      <c r="E1334">
        <v>100</v>
      </c>
      <c r="F1334" t="s">
        <v>1</v>
      </c>
      <c r="G1334" s="6">
        <v>45742</v>
      </c>
      <c r="H1334">
        <v>42</v>
      </c>
      <c r="I1334">
        <f>ROUND(CompilDonnées[[#This Row],[CultureDuration_days]]/7,0)</f>
        <v>6</v>
      </c>
      <c r="J1334">
        <v>3412</v>
      </c>
      <c r="K1334" t="str">
        <f>_xlfn.CONCAT(WEEKNUM(CompilDonnées[[#This Row],[PlantationDate]]), " ", YEAR(CompilDonnées[[#This Row],[PlantationDate]]))</f>
        <v>7 2025</v>
      </c>
      <c r="L1334" t="str">
        <f>CONCATENATE(MONTH(CompilDonnées[[#This Row],[PlantationDate]])," ", YEAR(CompilDonnées[[#This Row],[PlantationDate]]))</f>
        <v>2 2025</v>
      </c>
      <c r="M1334" t="str">
        <f>CONCATENATE(MONTH(CompilDonnées[[#This Row],[HarvestingDate]])," ", YEAR(CompilDonnées[[#This Row],[HarvestingDate]]))</f>
        <v>3 2025</v>
      </c>
      <c r="N1334">
        <f>_xlfn.NUMBERVALUE(CompilDonnées[[#This Row],[FarmID]]&amp;CompilDonnées[[#This Row],[ModuleNumber]]&amp;CompilDonnées[[#This Row],[PlantationDate]])</f>
        <v>70245700</v>
      </c>
      <c r="O1334" t="str">
        <f>CompilDonnées[[#This Row],[FarmID]]&amp;CompilDonnées[[#This Row],[ModuleNumber]]</f>
        <v>702</v>
      </c>
      <c r="P1334" t="str">
        <f>CompilDonnées[[#This Row],[Ref_Module]]&amp;CompilDonnées[[#This Row],[HarvestingDate]]</f>
        <v>70245742</v>
      </c>
    </row>
    <row r="1335" spans="1:16">
      <c r="A1335" s="5">
        <v>45700</v>
      </c>
      <c r="B1335">
        <v>13</v>
      </c>
      <c r="C1335" t="s">
        <v>114</v>
      </c>
      <c r="D1335">
        <v>5</v>
      </c>
      <c r="E1335">
        <v>100</v>
      </c>
      <c r="F1335" t="s">
        <v>1</v>
      </c>
      <c r="G1335" s="6">
        <v>45740</v>
      </c>
      <c r="H1335">
        <v>40</v>
      </c>
      <c r="I1335">
        <f>ROUND(CompilDonnées[[#This Row],[CultureDuration_days]]/7,0)</f>
        <v>6</v>
      </c>
      <c r="J1335">
        <v>4715</v>
      </c>
      <c r="K1335" t="str">
        <f>_xlfn.CONCAT(WEEKNUM(CompilDonnées[[#This Row],[PlantationDate]]), " ", YEAR(CompilDonnées[[#This Row],[PlantationDate]]))</f>
        <v>7 2025</v>
      </c>
      <c r="L1335" t="str">
        <f>CONCATENATE(MONTH(CompilDonnées[[#This Row],[PlantationDate]])," ", YEAR(CompilDonnées[[#This Row],[PlantationDate]]))</f>
        <v>2 2025</v>
      </c>
      <c r="M1335" t="str">
        <f>CONCATENATE(MONTH(CompilDonnées[[#This Row],[HarvestingDate]])," ", YEAR(CompilDonnées[[#This Row],[HarvestingDate]]))</f>
        <v>3 2025</v>
      </c>
      <c r="N1335">
        <f>_xlfn.NUMBERVALUE(CompilDonnées[[#This Row],[FarmID]]&amp;CompilDonnées[[#This Row],[ModuleNumber]]&amp;CompilDonnées[[#This Row],[PlantationDate]])</f>
        <v>13545700</v>
      </c>
      <c r="O1335" t="str">
        <f>CompilDonnées[[#This Row],[FarmID]]&amp;CompilDonnées[[#This Row],[ModuleNumber]]</f>
        <v>135</v>
      </c>
      <c r="P1335" t="str">
        <f>CompilDonnées[[#This Row],[Ref_Module]]&amp;CompilDonnées[[#This Row],[HarvestingDate]]</f>
        <v>13545740</v>
      </c>
    </row>
    <row r="1336" spans="1:16">
      <c r="A1336" s="5">
        <v>45700</v>
      </c>
      <c r="B1336">
        <v>20</v>
      </c>
      <c r="C1336" t="s">
        <v>53</v>
      </c>
      <c r="D1336">
        <v>5</v>
      </c>
      <c r="E1336">
        <v>100</v>
      </c>
      <c r="F1336" t="s">
        <v>1</v>
      </c>
      <c r="G1336" s="6">
        <v>45740</v>
      </c>
      <c r="H1336">
        <v>40</v>
      </c>
      <c r="I1336">
        <f>ROUND(CompilDonnées[[#This Row],[CultureDuration_days]]/7,0)</f>
        <v>6</v>
      </c>
      <c r="J1336">
        <v>3615</v>
      </c>
      <c r="K1336" t="str">
        <f>_xlfn.CONCAT(WEEKNUM(CompilDonnées[[#This Row],[PlantationDate]]), " ", YEAR(CompilDonnées[[#This Row],[PlantationDate]]))</f>
        <v>7 2025</v>
      </c>
      <c r="L1336" t="str">
        <f>CONCATENATE(MONTH(CompilDonnées[[#This Row],[PlantationDate]])," ", YEAR(CompilDonnées[[#This Row],[PlantationDate]]))</f>
        <v>2 2025</v>
      </c>
      <c r="M1336" t="str">
        <f>CONCATENATE(MONTH(CompilDonnées[[#This Row],[HarvestingDate]])," ", YEAR(CompilDonnées[[#This Row],[HarvestingDate]]))</f>
        <v>3 2025</v>
      </c>
      <c r="N1336">
        <f>_xlfn.NUMBERVALUE(CompilDonnées[[#This Row],[FarmID]]&amp;CompilDonnées[[#This Row],[ModuleNumber]]&amp;CompilDonnées[[#This Row],[PlantationDate]])</f>
        <v>20545700</v>
      </c>
      <c r="O1336" t="str">
        <f>CompilDonnées[[#This Row],[FarmID]]&amp;CompilDonnées[[#This Row],[ModuleNumber]]</f>
        <v>205</v>
      </c>
      <c r="P1336" t="str">
        <f>CompilDonnées[[#This Row],[Ref_Module]]&amp;CompilDonnées[[#This Row],[HarvestingDate]]</f>
        <v>20545740</v>
      </c>
    </row>
    <row r="1337" spans="1:16">
      <c r="A1337" s="5">
        <v>45700</v>
      </c>
      <c r="B1337">
        <v>76</v>
      </c>
      <c r="C1337" t="s">
        <v>18</v>
      </c>
      <c r="D1337">
        <v>5</v>
      </c>
      <c r="E1337">
        <v>100</v>
      </c>
      <c r="F1337" t="s">
        <v>1</v>
      </c>
      <c r="G1337" s="6">
        <v>45742</v>
      </c>
      <c r="H1337">
        <v>42</v>
      </c>
      <c r="I1337">
        <f>ROUND(CompilDonnées[[#This Row],[CultureDuration_days]]/7,0)</f>
        <v>6</v>
      </c>
      <c r="J1337">
        <v>3804</v>
      </c>
      <c r="K1337" t="str">
        <f>_xlfn.CONCAT(WEEKNUM(CompilDonnées[[#This Row],[PlantationDate]]), " ", YEAR(CompilDonnées[[#This Row],[PlantationDate]]))</f>
        <v>7 2025</v>
      </c>
      <c r="L1337" t="str">
        <f>CONCATENATE(MONTH(CompilDonnées[[#This Row],[PlantationDate]])," ", YEAR(CompilDonnées[[#This Row],[PlantationDate]]))</f>
        <v>2 2025</v>
      </c>
      <c r="M1337" t="str">
        <f>CONCATENATE(MONTH(CompilDonnées[[#This Row],[HarvestingDate]])," ", YEAR(CompilDonnées[[#This Row],[HarvestingDate]]))</f>
        <v>3 2025</v>
      </c>
      <c r="N1337">
        <f>_xlfn.NUMBERVALUE(CompilDonnées[[#This Row],[FarmID]]&amp;CompilDonnées[[#This Row],[ModuleNumber]]&amp;CompilDonnées[[#This Row],[PlantationDate]])</f>
        <v>76545700</v>
      </c>
      <c r="O1337" t="str">
        <f>CompilDonnées[[#This Row],[FarmID]]&amp;CompilDonnées[[#This Row],[ModuleNumber]]</f>
        <v>765</v>
      </c>
      <c r="P1337" t="str">
        <f>CompilDonnées[[#This Row],[Ref_Module]]&amp;CompilDonnées[[#This Row],[HarvestingDate]]</f>
        <v>76545742</v>
      </c>
    </row>
    <row r="1338" spans="1:16">
      <c r="A1338" s="5">
        <v>45700</v>
      </c>
      <c r="B1338">
        <v>22</v>
      </c>
      <c r="C1338" t="s">
        <v>43</v>
      </c>
      <c r="D1338">
        <v>3</v>
      </c>
      <c r="E1338">
        <v>100</v>
      </c>
      <c r="F1338" t="s">
        <v>1</v>
      </c>
      <c r="G1338" s="6">
        <v>45740</v>
      </c>
      <c r="H1338">
        <v>40</v>
      </c>
      <c r="I1338">
        <f>ROUND(CompilDonnées[[#This Row],[CultureDuration_days]]/7,0)</f>
        <v>6</v>
      </c>
      <c r="J1338">
        <v>3379</v>
      </c>
      <c r="K1338" t="str">
        <f>_xlfn.CONCAT(WEEKNUM(CompilDonnées[[#This Row],[PlantationDate]]), " ", YEAR(CompilDonnées[[#This Row],[PlantationDate]]))</f>
        <v>7 2025</v>
      </c>
      <c r="L1338" t="str">
        <f>CONCATENATE(MONTH(CompilDonnées[[#This Row],[PlantationDate]])," ", YEAR(CompilDonnées[[#This Row],[PlantationDate]]))</f>
        <v>2 2025</v>
      </c>
      <c r="M1338" t="str">
        <f>CONCATENATE(MONTH(CompilDonnées[[#This Row],[HarvestingDate]])," ", YEAR(CompilDonnées[[#This Row],[HarvestingDate]]))</f>
        <v>3 2025</v>
      </c>
      <c r="N1338">
        <f>_xlfn.NUMBERVALUE(CompilDonnées[[#This Row],[FarmID]]&amp;CompilDonnées[[#This Row],[ModuleNumber]]&amp;CompilDonnées[[#This Row],[PlantationDate]])</f>
        <v>22345700</v>
      </c>
      <c r="O1338" t="str">
        <f>CompilDonnées[[#This Row],[FarmID]]&amp;CompilDonnées[[#This Row],[ModuleNumber]]</f>
        <v>223</v>
      </c>
      <c r="P1338" t="str">
        <f>CompilDonnées[[#This Row],[Ref_Module]]&amp;CompilDonnées[[#This Row],[HarvestingDate]]</f>
        <v>22345740</v>
      </c>
    </row>
    <row r="1339" spans="1:16">
      <c r="A1339" s="5">
        <v>45700</v>
      </c>
      <c r="B1339">
        <v>24</v>
      </c>
      <c r="C1339" t="s">
        <v>31</v>
      </c>
      <c r="D1339">
        <v>1</v>
      </c>
      <c r="E1339">
        <v>100</v>
      </c>
      <c r="F1339" t="s">
        <v>1</v>
      </c>
      <c r="G1339" s="6">
        <v>45739</v>
      </c>
      <c r="H1339">
        <v>39</v>
      </c>
      <c r="I1339">
        <f>ROUND(CompilDonnées[[#This Row],[CultureDuration_days]]/7,0)</f>
        <v>6</v>
      </c>
      <c r="J1339">
        <v>3514</v>
      </c>
      <c r="K1339" t="str">
        <f>_xlfn.CONCAT(WEEKNUM(CompilDonnées[[#This Row],[PlantationDate]]), " ", YEAR(CompilDonnées[[#This Row],[PlantationDate]]))</f>
        <v>7 2025</v>
      </c>
      <c r="L1339" t="str">
        <f>CONCATENATE(MONTH(CompilDonnées[[#This Row],[PlantationDate]])," ", YEAR(CompilDonnées[[#This Row],[PlantationDate]]))</f>
        <v>2 2025</v>
      </c>
      <c r="M1339" t="str">
        <f>CONCATENATE(MONTH(CompilDonnées[[#This Row],[HarvestingDate]])," ", YEAR(CompilDonnées[[#This Row],[HarvestingDate]]))</f>
        <v>3 2025</v>
      </c>
      <c r="N1339">
        <f>_xlfn.NUMBERVALUE(CompilDonnées[[#This Row],[FarmID]]&amp;CompilDonnées[[#This Row],[ModuleNumber]]&amp;CompilDonnées[[#This Row],[PlantationDate]])</f>
        <v>24145700</v>
      </c>
      <c r="O1339" t="str">
        <f>CompilDonnées[[#This Row],[FarmID]]&amp;CompilDonnées[[#This Row],[ModuleNumber]]</f>
        <v>241</v>
      </c>
      <c r="P1339" t="str">
        <f>CompilDonnées[[#This Row],[Ref_Module]]&amp;CompilDonnées[[#This Row],[HarvestingDate]]</f>
        <v>24145739</v>
      </c>
    </row>
    <row r="1340" spans="1:16">
      <c r="A1340" s="5">
        <v>45700</v>
      </c>
      <c r="B1340">
        <v>21</v>
      </c>
      <c r="C1340" t="s">
        <v>0</v>
      </c>
      <c r="D1340">
        <v>1</v>
      </c>
      <c r="E1340">
        <v>100</v>
      </c>
      <c r="F1340" t="s">
        <v>1</v>
      </c>
      <c r="G1340" s="6">
        <v>45749</v>
      </c>
      <c r="H1340">
        <v>49</v>
      </c>
      <c r="I1340">
        <f>ROUND(CompilDonnées[[#This Row],[CultureDuration_days]]/7,0)</f>
        <v>7</v>
      </c>
      <c r="J1340">
        <v>3447</v>
      </c>
      <c r="K1340" t="str">
        <f>_xlfn.CONCAT(WEEKNUM(CompilDonnées[[#This Row],[PlantationDate]]), " ", YEAR(CompilDonnées[[#This Row],[PlantationDate]]))</f>
        <v>7 2025</v>
      </c>
      <c r="L1340" t="str">
        <f>CONCATENATE(MONTH(CompilDonnées[[#This Row],[PlantationDate]])," ", YEAR(CompilDonnées[[#This Row],[PlantationDate]]))</f>
        <v>2 2025</v>
      </c>
      <c r="M1340" t="str">
        <f>CONCATENATE(MONTH(CompilDonnées[[#This Row],[HarvestingDate]])," ", YEAR(CompilDonnées[[#This Row],[HarvestingDate]]))</f>
        <v>4 2025</v>
      </c>
      <c r="N1340">
        <f>_xlfn.NUMBERVALUE(CompilDonnées[[#This Row],[FarmID]]&amp;CompilDonnées[[#This Row],[ModuleNumber]]&amp;CompilDonnées[[#This Row],[PlantationDate]])</f>
        <v>21145700</v>
      </c>
      <c r="O1340" t="str">
        <f>CompilDonnées[[#This Row],[FarmID]]&amp;CompilDonnées[[#This Row],[ModuleNumber]]</f>
        <v>211</v>
      </c>
      <c r="P1340" t="str">
        <f>CompilDonnées[[#This Row],[Ref_Module]]&amp;CompilDonnées[[#This Row],[HarvestingDate]]</f>
        <v>21145749</v>
      </c>
    </row>
    <row r="1341" spans="1:16">
      <c r="A1341" s="5">
        <v>45700</v>
      </c>
      <c r="B1341">
        <v>31</v>
      </c>
      <c r="C1341" t="s">
        <v>62</v>
      </c>
      <c r="D1341">
        <v>5</v>
      </c>
      <c r="E1341">
        <v>100</v>
      </c>
      <c r="F1341" t="s">
        <v>1</v>
      </c>
      <c r="G1341" s="6">
        <v>45741</v>
      </c>
      <c r="H1341">
        <v>41</v>
      </c>
      <c r="I1341">
        <f>ROUND(CompilDonnées[[#This Row],[CultureDuration_days]]/7,0)</f>
        <v>6</v>
      </c>
      <c r="J1341">
        <v>3211</v>
      </c>
      <c r="K1341" t="str">
        <f>_xlfn.CONCAT(WEEKNUM(CompilDonnées[[#This Row],[PlantationDate]]), " ", YEAR(CompilDonnées[[#This Row],[PlantationDate]]))</f>
        <v>7 2025</v>
      </c>
      <c r="L1341" t="str">
        <f>CONCATENATE(MONTH(CompilDonnées[[#This Row],[PlantationDate]])," ", YEAR(CompilDonnées[[#This Row],[PlantationDate]]))</f>
        <v>2 2025</v>
      </c>
      <c r="M1341" t="str">
        <f>CONCATENATE(MONTH(CompilDonnées[[#This Row],[HarvestingDate]])," ", YEAR(CompilDonnées[[#This Row],[HarvestingDate]]))</f>
        <v>3 2025</v>
      </c>
      <c r="N1341">
        <f>_xlfn.NUMBERVALUE(CompilDonnées[[#This Row],[FarmID]]&amp;CompilDonnées[[#This Row],[ModuleNumber]]&amp;CompilDonnées[[#This Row],[PlantationDate]])</f>
        <v>31545700</v>
      </c>
      <c r="O1341" t="str">
        <f>CompilDonnées[[#This Row],[FarmID]]&amp;CompilDonnées[[#This Row],[ModuleNumber]]</f>
        <v>315</v>
      </c>
      <c r="P1341" t="str">
        <f>CompilDonnées[[#This Row],[Ref_Module]]&amp;CompilDonnées[[#This Row],[HarvestingDate]]</f>
        <v>31545741</v>
      </c>
    </row>
    <row r="1342" spans="1:16">
      <c r="A1342" s="5">
        <v>45700</v>
      </c>
      <c r="B1342">
        <v>112</v>
      </c>
      <c r="C1342" t="s">
        <v>15</v>
      </c>
      <c r="D1342">
        <v>4</v>
      </c>
      <c r="E1342">
        <v>100</v>
      </c>
      <c r="F1342" t="s">
        <v>1</v>
      </c>
      <c r="G1342" s="6">
        <v>45747</v>
      </c>
      <c r="H1342">
        <v>47</v>
      </c>
      <c r="I1342">
        <f>ROUND(CompilDonnées[[#This Row],[CultureDuration_days]]/7,0)</f>
        <v>7</v>
      </c>
      <c r="J1342">
        <v>3461</v>
      </c>
      <c r="K1342" t="str">
        <f>_xlfn.CONCAT(WEEKNUM(CompilDonnées[[#This Row],[PlantationDate]]), " ", YEAR(CompilDonnées[[#This Row],[PlantationDate]]))</f>
        <v>7 2025</v>
      </c>
      <c r="L1342" t="str">
        <f>CONCATENATE(MONTH(CompilDonnées[[#This Row],[PlantationDate]])," ", YEAR(CompilDonnées[[#This Row],[PlantationDate]]))</f>
        <v>2 2025</v>
      </c>
      <c r="M1342" t="str">
        <f>CONCATENATE(MONTH(CompilDonnées[[#This Row],[HarvestingDate]])," ", YEAR(CompilDonnées[[#This Row],[HarvestingDate]]))</f>
        <v>3 2025</v>
      </c>
      <c r="N1342">
        <f>_xlfn.NUMBERVALUE(CompilDonnées[[#This Row],[FarmID]]&amp;CompilDonnées[[#This Row],[ModuleNumber]]&amp;CompilDonnées[[#This Row],[PlantationDate]])</f>
        <v>112445700</v>
      </c>
      <c r="O1342" t="str">
        <f>CompilDonnées[[#This Row],[FarmID]]&amp;CompilDonnées[[#This Row],[ModuleNumber]]</f>
        <v>1124</v>
      </c>
      <c r="P1342" t="str">
        <f>CompilDonnées[[#This Row],[Ref_Module]]&amp;CompilDonnées[[#This Row],[HarvestingDate]]</f>
        <v>112445747</v>
      </c>
    </row>
    <row r="1343" spans="1:16">
      <c r="A1343" s="5">
        <v>45700</v>
      </c>
      <c r="B1343">
        <v>111</v>
      </c>
      <c r="C1343" t="s">
        <v>41</v>
      </c>
      <c r="D1343">
        <v>1</v>
      </c>
      <c r="E1343">
        <v>100</v>
      </c>
      <c r="F1343" t="s">
        <v>1</v>
      </c>
      <c r="G1343" s="6">
        <v>45744</v>
      </c>
      <c r="H1343">
        <v>44</v>
      </c>
      <c r="I1343">
        <f>ROUND(CompilDonnées[[#This Row],[CultureDuration_days]]/7,0)</f>
        <v>6</v>
      </c>
      <c r="J1343">
        <v>4076</v>
      </c>
      <c r="K1343" t="str">
        <f>_xlfn.CONCAT(WEEKNUM(CompilDonnées[[#This Row],[PlantationDate]]), " ", YEAR(CompilDonnées[[#This Row],[PlantationDate]]))</f>
        <v>7 2025</v>
      </c>
      <c r="L1343" t="str">
        <f>CONCATENATE(MONTH(CompilDonnées[[#This Row],[PlantationDate]])," ", YEAR(CompilDonnées[[#This Row],[PlantationDate]]))</f>
        <v>2 2025</v>
      </c>
      <c r="M1343" t="str">
        <f>CONCATENATE(MONTH(CompilDonnées[[#This Row],[HarvestingDate]])," ", YEAR(CompilDonnées[[#This Row],[HarvestingDate]]))</f>
        <v>3 2025</v>
      </c>
      <c r="N1343">
        <f>_xlfn.NUMBERVALUE(CompilDonnées[[#This Row],[FarmID]]&amp;CompilDonnées[[#This Row],[ModuleNumber]]&amp;CompilDonnées[[#This Row],[PlantationDate]])</f>
        <v>111145700</v>
      </c>
      <c r="O1343" t="str">
        <f>CompilDonnées[[#This Row],[FarmID]]&amp;CompilDonnées[[#This Row],[ModuleNumber]]</f>
        <v>1111</v>
      </c>
      <c r="P1343" t="str">
        <f>CompilDonnées[[#This Row],[Ref_Module]]&amp;CompilDonnées[[#This Row],[HarvestingDate]]</f>
        <v>111145744</v>
      </c>
    </row>
    <row r="1344" spans="1:16">
      <c r="A1344" s="5">
        <v>45700</v>
      </c>
      <c r="B1344">
        <v>111</v>
      </c>
      <c r="C1344" t="s">
        <v>41</v>
      </c>
      <c r="D1344">
        <v>2</v>
      </c>
      <c r="E1344">
        <v>100</v>
      </c>
      <c r="F1344" t="s">
        <v>1</v>
      </c>
      <c r="G1344" s="6">
        <v>45744</v>
      </c>
      <c r="H1344">
        <v>44</v>
      </c>
      <c r="I1344">
        <f>ROUND(CompilDonnées[[#This Row],[CultureDuration_days]]/7,0)</f>
        <v>6</v>
      </c>
      <c r="J1344">
        <v>3222</v>
      </c>
      <c r="K1344" t="str">
        <f>_xlfn.CONCAT(WEEKNUM(CompilDonnées[[#This Row],[PlantationDate]]), " ", YEAR(CompilDonnées[[#This Row],[PlantationDate]]))</f>
        <v>7 2025</v>
      </c>
      <c r="L1344" t="str">
        <f>CONCATENATE(MONTH(CompilDonnées[[#This Row],[PlantationDate]])," ", YEAR(CompilDonnées[[#This Row],[PlantationDate]]))</f>
        <v>2 2025</v>
      </c>
      <c r="M1344" t="str">
        <f>CONCATENATE(MONTH(CompilDonnées[[#This Row],[HarvestingDate]])," ", YEAR(CompilDonnées[[#This Row],[HarvestingDate]]))</f>
        <v>3 2025</v>
      </c>
      <c r="N1344">
        <f>_xlfn.NUMBERVALUE(CompilDonnées[[#This Row],[FarmID]]&amp;CompilDonnées[[#This Row],[ModuleNumber]]&amp;CompilDonnées[[#This Row],[PlantationDate]])</f>
        <v>111245700</v>
      </c>
      <c r="O1344" t="str">
        <f>CompilDonnées[[#This Row],[FarmID]]&amp;CompilDonnées[[#This Row],[ModuleNumber]]</f>
        <v>1112</v>
      </c>
      <c r="P1344" t="str">
        <f>CompilDonnées[[#This Row],[Ref_Module]]&amp;CompilDonnées[[#This Row],[HarvestingDate]]</f>
        <v>111245744</v>
      </c>
    </row>
    <row r="1345" spans="1:16">
      <c r="A1345" s="5">
        <v>45700</v>
      </c>
      <c r="B1345">
        <v>110</v>
      </c>
      <c r="C1345" t="s">
        <v>14</v>
      </c>
      <c r="D1345">
        <v>3</v>
      </c>
      <c r="E1345">
        <v>100</v>
      </c>
      <c r="F1345" t="s">
        <v>1</v>
      </c>
      <c r="G1345" s="6">
        <v>45747</v>
      </c>
      <c r="H1345">
        <v>47</v>
      </c>
      <c r="I1345">
        <f>ROUND(CompilDonnées[[#This Row],[CultureDuration_days]]/7,0)</f>
        <v>7</v>
      </c>
      <c r="J1345">
        <v>4523</v>
      </c>
      <c r="K1345" t="str">
        <f>_xlfn.CONCAT(WEEKNUM(CompilDonnées[[#This Row],[PlantationDate]]), " ", YEAR(CompilDonnées[[#This Row],[PlantationDate]]))</f>
        <v>7 2025</v>
      </c>
      <c r="L1345" t="str">
        <f>CONCATENATE(MONTH(CompilDonnées[[#This Row],[PlantationDate]])," ", YEAR(CompilDonnées[[#This Row],[PlantationDate]]))</f>
        <v>2 2025</v>
      </c>
      <c r="M1345" t="str">
        <f>CONCATENATE(MONTH(CompilDonnées[[#This Row],[HarvestingDate]])," ", YEAR(CompilDonnées[[#This Row],[HarvestingDate]]))</f>
        <v>3 2025</v>
      </c>
      <c r="N1345">
        <f>_xlfn.NUMBERVALUE(CompilDonnées[[#This Row],[FarmID]]&amp;CompilDonnées[[#This Row],[ModuleNumber]]&amp;CompilDonnées[[#This Row],[PlantationDate]])</f>
        <v>110345700</v>
      </c>
      <c r="O1345" t="str">
        <f>CompilDonnées[[#This Row],[FarmID]]&amp;CompilDonnées[[#This Row],[ModuleNumber]]</f>
        <v>1103</v>
      </c>
      <c r="P1345" t="str">
        <f>CompilDonnées[[#This Row],[Ref_Module]]&amp;CompilDonnées[[#This Row],[HarvestingDate]]</f>
        <v>110345747</v>
      </c>
    </row>
    <row r="1346" spans="1:16">
      <c r="A1346" s="5">
        <v>45700</v>
      </c>
      <c r="B1346">
        <v>117</v>
      </c>
      <c r="C1346" t="s">
        <v>11</v>
      </c>
      <c r="D1346">
        <v>2</v>
      </c>
      <c r="E1346">
        <v>100</v>
      </c>
      <c r="F1346" t="s">
        <v>1</v>
      </c>
      <c r="G1346" s="6">
        <v>45744</v>
      </c>
      <c r="H1346">
        <v>44</v>
      </c>
      <c r="I1346">
        <f>ROUND(CompilDonnées[[#This Row],[CultureDuration_days]]/7,0)</f>
        <v>6</v>
      </c>
      <c r="J1346">
        <v>3722</v>
      </c>
      <c r="K1346" t="str">
        <f>_xlfn.CONCAT(WEEKNUM(CompilDonnées[[#This Row],[PlantationDate]]), " ", YEAR(CompilDonnées[[#This Row],[PlantationDate]]))</f>
        <v>7 2025</v>
      </c>
      <c r="L1346" t="str">
        <f>CONCATENATE(MONTH(CompilDonnées[[#This Row],[PlantationDate]])," ", YEAR(CompilDonnées[[#This Row],[PlantationDate]]))</f>
        <v>2 2025</v>
      </c>
      <c r="M1346" t="str">
        <f>CONCATENATE(MONTH(CompilDonnées[[#This Row],[HarvestingDate]])," ", YEAR(CompilDonnées[[#This Row],[HarvestingDate]]))</f>
        <v>3 2025</v>
      </c>
      <c r="N1346">
        <f>_xlfn.NUMBERVALUE(CompilDonnées[[#This Row],[FarmID]]&amp;CompilDonnées[[#This Row],[ModuleNumber]]&amp;CompilDonnées[[#This Row],[PlantationDate]])</f>
        <v>117245700</v>
      </c>
      <c r="O1346" t="str">
        <f>CompilDonnées[[#This Row],[FarmID]]&amp;CompilDonnées[[#This Row],[ModuleNumber]]</f>
        <v>1172</v>
      </c>
      <c r="P1346" t="str">
        <f>CompilDonnées[[#This Row],[Ref_Module]]&amp;CompilDonnées[[#This Row],[HarvestingDate]]</f>
        <v>117245744</v>
      </c>
    </row>
    <row r="1347" spans="1:16">
      <c r="A1347" s="5">
        <v>45700</v>
      </c>
      <c r="B1347">
        <v>119</v>
      </c>
      <c r="C1347" t="s">
        <v>59</v>
      </c>
      <c r="D1347">
        <v>6</v>
      </c>
      <c r="E1347">
        <v>100</v>
      </c>
      <c r="F1347" t="s">
        <v>1</v>
      </c>
      <c r="G1347" s="6">
        <v>45744</v>
      </c>
      <c r="H1347">
        <v>44</v>
      </c>
      <c r="I1347">
        <f>ROUND(CompilDonnées[[#This Row],[CultureDuration_days]]/7,0)</f>
        <v>6</v>
      </c>
      <c r="J1347">
        <v>3517</v>
      </c>
      <c r="K1347" t="str">
        <f>_xlfn.CONCAT(WEEKNUM(CompilDonnées[[#This Row],[PlantationDate]]), " ", YEAR(CompilDonnées[[#This Row],[PlantationDate]]))</f>
        <v>7 2025</v>
      </c>
      <c r="L1347" t="str">
        <f>CONCATENATE(MONTH(CompilDonnées[[#This Row],[PlantationDate]])," ", YEAR(CompilDonnées[[#This Row],[PlantationDate]]))</f>
        <v>2 2025</v>
      </c>
      <c r="M1347" t="str">
        <f>CONCATENATE(MONTH(CompilDonnées[[#This Row],[HarvestingDate]])," ", YEAR(CompilDonnées[[#This Row],[HarvestingDate]]))</f>
        <v>3 2025</v>
      </c>
      <c r="N1347">
        <f>_xlfn.NUMBERVALUE(CompilDonnées[[#This Row],[FarmID]]&amp;CompilDonnées[[#This Row],[ModuleNumber]]&amp;CompilDonnées[[#This Row],[PlantationDate]])</f>
        <v>119645700</v>
      </c>
      <c r="O1347" t="str">
        <f>CompilDonnées[[#This Row],[FarmID]]&amp;CompilDonnées[[#This Row],[ModuleNumber]]</f>
        <v>1196</v>
      </c>
      <c r="P1347" t="str">
        <f>CompilDonnées[[#This Row],[Ref_Module]]&amp;CompilDonnées[[#This Row],[HarvestingDate]]</f>
        <v>119645744</v>
      </c>
    </row>
    <row r="1348" spans="1:16">
      <c r="A1348" s="5">
        <v>45700</v>
      </c>
      <c r="B1348">
        <v>118</v>
      </c>
      <c r="C1348" t="s">
        <v>51</v>
      </c>
      <c r="D1348">
        <v>1</v>
      </c>
      <c r="E1348">
        <v>100</v>
      </c>
      <c r="F1348" t="s">
        <v>1</v>
      </c>
      <c r="G1348" s="6">
        <v>45744</v>
      </c>
      <c r="H1348">
        <v>44</v>
      </c>
      <c r="I1348">
        <f>ROUND(CompilDonnées[[#This Row],[CultureDuration_days]]/7,0)</f>
        <v>6</v>
      </c>
      <c r="J1348">
        <v>3595</v>
      </c>
      <c r="K1348" t="str">
        <f>_xlfn.CONCAT(WEEKNUM(CompilDonnées[[#This Row],[PlantationDate]]), " ", YEAR(CompilDonnées[[#This Row],[PlantationDate]]))</f>
        <v>7 2025</v>
      </c>
      <c r="L1348" t="str">
        <f>CONCATENATE(MONTH(CompilDonnées[[#This Row],[PlantationDate]])," ", YEAR(CompilDonnées[[#This Row],[PlantationDate]]))</f>
        <v>2 2025</v>
      </c>
      <c r="M1348" t="str">
        <f>CONCATENATE(MONTH(CompilDonnées[[#This Row],[HarvestingDate]])," ", YEAR(CompilDonnées[[#This Row],[HarvestingDate]]))</f>
        <v>3 2025</v>
      </c>
      <c r="N1348">
        <f>_xlfn.NUMBERVALUE(CompilDonnées[[#This Row],[FarmID]]&amp;CompilDonnées[[#This Row],[ModuleNumber]]&amp;CompilDonnées[[#This Row],[PlantationDate]])</f>
        <v>118145700</v>
      </c>
      <c r="O1348" t="str">
        <f>CompilDonnées[[#This Row],[FarmID]]&amp;CompilDonnées[[#This Row],[ModuleNumber]]</f>
        <v>1181</v>
      </c>
      <c r="P1348" t="str">
        <f>CompilDonnées[[#This Row],[Ref_Module]]&amp;CompilDonnées[[#This Row],[HarvestingDate]]</f>
        <v>118145744</v>
      </c>
    </row>
    <row r="1349" spans="1:16">
      <c r="A1349" s="5">
        <v>45700</v>
      </c>
      <c r="B1349">
        <v>120</v>
      </c>
      <c r="C1349" t="s">
        <v>100</v>
      </c>
      <c r="D1349">
        <v>6</v>
      </c>
      <c r="E1349">
        <v>100</v>
      </c>
      <c r="F1349" t="s">
        <v>1</v>
      </c>
      <c r="G1349" s="6">
        <v>45744</v>
      </c>
      <c r="H1349">
        <v>44</v>
      </c>
      <c r="I1349">
        <f>ROUND(CompilDonnées[[#This Row],[CultureDuration_days]]/7,0)</f>
        <v>6</v>
      </c>
      <c r="J1349">
        <v>3473</v>
      </c>
      <c r="K1349" t="str">
        <f>_xlfn.CONCAT(WEEKNUM(CompilDonnées[[#This Row],[PlantationDate]]), " ", YEAR(CompilDonnées[[#This Row],[PlantationDate]]))</f>
        <v>7 2025</v>
      </c>
      <c r="L1349" t="str">
        <f>CONCATENATE(MONTH(CompilDonnées[[#This Row],[PlantationDate]])," ", YEAR(CompilDonnées[[#This Row],[PlantationDate]]))</f>
        <v>2 2025</v>
      </c>
      <c r="M1349" t="str">
        <f>CONCATENATE(MONTH(CompilDonnées[[#This Row],[HarvestingDate]])," ", YEAR(CompilDonnées[[#This Row],[HarvestingDate]]))</f>
        <v>3 2025</v>
      </c>
      <c r="N1349">
        <f>_xlfn.NUMBERVALUE(CompilDonnées[[#This Row],[FarmID]]&amp;CompilDonnées[[#This Row],[ModuleNumber]]&amp;CompilDonnées[[#This Row],[PlantationDate]])</f>
        <v>120645700</v>
      </c>
      <c r="O1349" t="str">
        <f>CompilDonnées[[#This Row],[FarmID]]&amp;CompilDonnées[[#This Row],[ModuleNumber]]</f>
        <v>1206</v>
      </c>
      <c r="P1349" t="str">
        <f>CompilDonnées[[#This Row],[Ref_Module]]&amp;CompilDonnées[[#This Row],[HarvestingDate]]</f>
        <v>120645744</v>
      </c>
    </row>
    <row r="1350" spans="1:16">
      <c r="A1350" s="5">
        <v>45700</v>
      </c>
      <c r="B1350">
        <v>139</v>
      </c>
      <c r="C1350" t="s">
        <v>103</v>
      </c>
      <c r="D1350">
        <v>1</v>
      </c>
      <c r="E1350">
        <v>100</v>
      </c>
      <c r="F1350" t="s">
        <v>1</v>
      </c>
      <c r="G1350" s="6">
        <v>45744</v>
      </c>
      <c r="H1350">
        <v>44</v>
      </c>
      <c r="I1350">
        <f>ROUND(CompilDonnées[[#This Row],[CultureDuration_days]]/7,0)</f>
        <v>6</v>
      </c>
      <c r="J1350">
        <v>3462</v>
      </c>
      <c r="K1350" t="str">
        <f>_xlfn.CONCAT(WEEKNUM(CompilDonnées[[#This Row],[PlantationDate]]), " ", YEAR(CompilDonnées[[#This Row],[PlantationDate]]))</f>
        <v>7 2025</v>
      </c>
      <c r="L1350" t="str">
        <f>CONCATENATE(MONTH(CompilDonnées[[#This Row],[PlantationDate]])," ", YEAR(CompilDonnées[[#This Row],[PlantationDate]]))</f>
        <v>2 2025</v>
      </c>
      <c r="M1350" t="str">
        <f>CONCATENATE(MONTH(CompilDonnées[[#This Row],[HarvestingDate]])," ", YEAR(CompilDonnées[[#This Row],[HarvestingDate]]))</f>
        <v>3 2025</v>
      </c>
      <c r="N1350">
        <f>_xlfn.NUMBERVALUE(CompilDonnées[[#This Row],[FarmID]]&amp;CompilDonnées[[#This Row],[ModuleNumber]]&amp;CompilDonnées[[#This Row],[PlantationDate]])</f>
        <v>139145700</v>
      </c>
      <c r="O1350" t="str">
        <f>CompilDonnées[[#This Row],[FarmID]]&amp;CompilDonnées[[#This Row],[ModuleNumber]]</f>
        <v>1391</v>
      </c>
      <c r="P1350" t="str">
        <f>CompilDonnées[[#This Row],[Ref_Module]]&amp;CompilDonnées[[#This Row],[HarvestingDate]]</f>
        <v>139145744</v>
      </c>
    </row>
    <row r="1351" spans="1:16">
      <c r="A1351" s="5">
        <v>45700</v>
      </c>
      <c r="B1351">
        <v>132</v>
      </c>
      <c r="C1351" t="s">
        <v>93</v>
      </c>
      <c r="D1351">
        <v>5</v>
      </c>
      <c r="E1351">
        <v>100</v>
      </c>
      <c r="F1351" t="s">
        <v>1</v>
      </c>
      <c r="G1351" s="6">
        <v>45744</v>
      </c>
      <c r="H1351">
        <v>44</v>
      </c>
      <c r="I1351">
        <f>ROUND(CompilDonnées[[#This Row],[CultureDuration_days]]/7,0)</f>
        <v>6</v>
      </c>
      <c r="J1351">
        <v>3654</v>
      </c>
      <c r="K1351" t="str">
        <f>_xlfn.CONCAT(WEEKNUM(CompilDonnées[[#This Row],[PlantationDate]]), " ", YEAR(CompilDonnées[[#This Row],[PlantationDate]]))</f>
        <v>7 2025</v>
      </c>
      <c r="L1351" t="str">
        <f>CONCATENATE(MONTH(CompilDonnées[[#This Row],[PlantationDate]])," ", YEAR(CompilDonnées[[#This Row],[PlantationDate]]))</f>
        <v>2 2025</v>
      </c>
      <c r="M1351" t="str">
        <f>CONCATENATE(MONTH(CompilDonnées[[#This Row],[HarvestingDate]])," ", YEAR(CompilDonnées[[#This Row],[HarvestingDate]]))</f>
        <v>3 2025</v>
      </c>
      <c r="N1351">
        <f>_xlfn.NUMBERVALUE(CompilDonnées[[#This Row],[FarmID]]&amp;CompilDonnées[[#This Row],[ModuleNumber]]&amp;CompilDonnées[[#This Row],[PlantationDate]])</f>
        <v>132545700</v>
      </c>
      <c r="O1351" t="str">
        <f>CompilDonnées[[#This Row],[FarmID]]&amp;CompilDonnées[[#This Row],[ModuleNumber]]</f>
        <v>1325</v>
      </c>
      <c r="P1351" t="str">
        <f>CompilDonnées[[#This Row],[Ref_Module]]&amp;CompilDonnées[[#This Row],[HarvestingDate]]</f>
        <v>132545744</v>
      </c>
    </row>
    <row r="1352" spans="1:16">
      <c r="A1352" s="5">
        <v>45700</v>
      </c>
      <c r="B1352">
        <v>131</v>
      </c>
      <c r="C1352" t="s">
        <v>64</v>
      </c>
      <c r="D1352">
        <v>1</v>
      </c>
      <c r="E1352">
        <v>100</v>
      </c>
      <c r="F1352" t="s">
        <v>1</v>
      </c>
      <c r="G1352" s="6">
        <v>45744</v>
      </c>
      <c r="H1352">
        <v>44</v>
      </c>
      <c r="I1352">
        <f>ROUND(CompilDonnées[[#This Row],[CultureDuration_days]]/7,0)</f>
        <v>6</v>
      </c>
      <c r="J1352">
        <v>3210</v>
      </c>
      <c r="K1352" t="str">
        <f>_xlfn.CONCAT(WEEKNUM(CompilDonnées[[#This Row],[PlantationDate]]), " ", YEAR(CompilDonnées[[#This Row],[PlantationDate]]))</f>
        <v>7 2025</v>
      </c>
      <c r="L1352" t="str">
        <f>CONCATENATE(MONTH(CompilDonnées[[#This Row],[PlantationDate]])," ", YEAR(CompilDonnées[[#This Row],[PlantationDate]]))</f>
        <v>2 2025</v>
      </c>
      <c r="M1352" t="str">
        <f>CONCATENATE(MONTH(CompilDonnées[[#This Row],[HarvestingDate]])," ", YEAR(CompilDonnées[[#This Row],[HarvestingDate]]))</f>
        <v>3 2025</v>
      </c>
      <c r="N1352">
        <f>_xlfn.NUMBERVALUE(CompilDonnées[[#This Row],[FarmID]]&amp;CompilDonnées[[#This Row],[ModuleNumber]]&amp;CompilDonnées[[#This Row],[PlantationDate]])</f>
        <v>131145700</v>
      </c>
      <c r="O1352" t="str">
        <f>CompilDonnées[[#This Row],[FarmID]]&amp;CompilDonnées[[#This Row],[ModuleNumber]]</f>
        <v>1311</v>
      </c>
      <c r="P1352" t="str">
        <f>CompilDonnées[[#This Row],[Ref_Module]]&amp;CompilDonnées[[#This Row],[HarvestingDate]]</f>
        <v>131145744</v>
      </c>
    </row>
    <row r="1353" spans="1:16">
      <c r="A1353" s="5">
        <v>45700</v>
      </c>
      <c r="B1353">
        <v>116</v>
      </c>
      <c r="C1353" t="s">
        <v>76</v>
      </c>
      <c r="D1353">
        <v>2</v>
      </c>
      <c r="E1353">
        <v>100</v>
      </c>
      <c r="F1353" t="s">
        <v>1</v>
      </c>
      <c r="G1353" s="6">
        <v>45744</v>
      </c>
      <c r="H1353">
        <v>44</v>
      </c>
      <c r="I1353">
        <f>ROUND(CompilDonnées[[#This Row],[CultureDuration_days]]/7,0)</f>
        <v>6</v>
      </c>
      <c r="J1353">
        <v>2764</v>
      </c>
      <c r="K1353" t="str">
        <f>_xlfn.CONCAT(WEEKNUM(CompilDonnées[[#This Row],[PlantationDate]]), " ", YEAR(CompilDonnées[[#This Row],[PlantationDate]]))</f>
        <v>7 2025</v>
      </c>
      <c r="L1353" t="str">
        <f>CONCATENATE(MONTH(CompilDonnées[[#This Row],[PlantationDate]])," ", YEAR(CompilDonnées[[#This Row],[PlantationDate]]))</f>
        <v>2 2025</v>
      </c>
      <c r="M1353" t="str">
        <f>CONCATENATE(MONTH(CompilDonnées[[#This Row],[HarvestingDate]])," ", YEAR(CompilDonnées[[#This Row],[HarvestingDate]]))</f>
        <v>3 2025</v>
      </c>
      <c r="N1353">
        <f>_xlfn.NUMBERVALUE(CompilDonnées[[#This Row],[FarmID]]&amp;CompilDonnées[[#This Row],[ModuleNumber]]&amp;CompilDonnées[[#This Row],[PlantationDate]])</f>
        <v>116245700</v>
      </c>
      <c r="O1353" t="str">
        <f>CompilDonnées[[#This Row],[FarmID]]&amp;CompilDonnées[[#This Row],[ModuleNumber]]</f>
        <v>1162</v>
      </c>
      <c r="P1353" t="str">
        <f>CompilDonnées[[#This Row],[Ref_Module]]&amp;CompilDonnées[[#This Row],[HarvestingDate]]</f>
        <v>116245744</v>
      </c>
    </row>
    <row r="1354" spans="1:16">
      <c r="A1354" s="5">
        <v>45700</v>
      </c>
      <c r="B1354">
        <v>99</v>
      </c>
      <c r="C1354" t="s">
        <v>117</v>
      </c>
      <c r="D1354">
        <v>2</v>
      </c>
      <c r="E1354">
        <v>100</v>
      </c>
      <c r="F1354" t="s">
        <v>1</v>
      </c>
      <c r="G1354" s="6">
        <v>45744</v>
      </c>
      <c r="H1354">
        <v>44</v>
      </c>
      <c r="I1354">
        <f>ROUND(CompilDonnées[[#This Row],[CultureDuration_days]]/7,0)</f>
        <v>6</v>
      </c>
      <c r="J1354">
        <v>4217</v>
      </c>
      <c r="K1354" t="str">
        <f>_xlfn.CONCAT(WEEKNUM(CompilDonnées[[#This Row],[PlantationDate]]), " ", YEAR(CompilDonnées[[#This Row],[PlantationDate]]))</f>
        <v>7 2025</v>
      </c>
      <c r="L1354" t="str">
        <f>CONCATENATE(MONTH(CompilDonnées[[#This Row],[PlantationDate]])," ", YEAR(CompilDonnées[[#This Row],[PlantationDate]]))</f>
        <v>2 2025</v>
      </c>
      <c r="M1354" t="str">
        <f>CONCATENATE(MONTH(CompilDonnées[[#This Row],[HarvestingDate]])," ", YEAR(CompilDonnées[[#This Row],[HarvestingDate]]))</f>
        <v>3 2025</v>
      </c>
      <c r="N1354">
        <f>_xlfn.NUMBERVALUE(CompilDonnées[[#This Row],[FarmID]]&amp;CompilDonnées[[#This Row],[ModuleNumber]]&amp;CompilDonnées[[#This Row],[PlantationDate]])</f>
        <v>99245700</v>
      </c>
      <c r="O1354" t="str">
        <f>CompilDonnées[[#This Row],[FarmID]]&amp;CompilDonnées[[#This Row],[ModuleNumber]]</f>
        <v>992</v>
      </c>
      <c r="P1354" t="str">
        <f>CompilDonnées[[#This Row],[Ref_Module]]&amp;CompilDonnées[[#This Row],[HarvestingDate]]</f>
        <v>99245744</v>
      </c>
    </row>
    <row r="1355" spans="1:16">
      <c r="A1355" s="5">
        <v>45700</v>
      </c>
      <c r="B1355">
        <v>107</v>
      </c>
      <c r="C1355" t="s">
        <v>23</v>
      </c>
      <c r="D1355">
        <v>4</v>
      </c>
      <c r="E1355">
        <v>100</v>
      </c>
      <c r="F1355" t="s">
        <v>1</v>
      </c>
      <c r="G1355" s="6">
        <v>45744</v>
      </c>
      <c r="H1355">
        <v>44</v>
      </c>
      <c r="I1355">
        <f>ROUND(CompilDonnées[[#This Row],[CultureDuration_days]]/7,0)</f>
        <v>6</v>
      </c>
      <c r="J1355">
        <v>4000</v>
      </c>
      <c r="K1355" t="str">
        <f>_xlfn.CONCAT(WEEKNUM(CompilDonnées[[#This Row],[PlantationDate]]), " ", YEAR(CompilDonnées[[#This Row],[PlantationDate]]))</f>
        <v>7 2025</v>
      </c>
      <c r="L1355" t="str">
        <f>CONCATENATE(MONTH(CompilDonnées[[#This Row],[PlantationDate]])," ", YEAR(CompilDonnées[[#This Row],[PlantationDate]]))</f>
        <v>2 2025</v>
      </c>
      <c r="M1355" t="str">
        <f>CONCATENATE(MONTH(CompilDonnées[[#This Row],[HarvestingDate]])," ", YEAR(CompilDonnées[[#This Row],[HarvestingDate]]))</f>
        <v>3 2025</v>
      </c>
      <c r="N1355">
        <f>_xlfn.NUMBERVALUE(CompilDonnées[[#This Row],[FarmID]]&amp;CompilDonnées[[#This Row],[ModuleNumber]]&amp;CompilDonnées[[#This Row],[PlantationDate]])</f>
        <v>107445700</v>
      </c>
      <c r="O1355" t="str">
        <f>CompilDonnées[[#This Row],[FarmID]]&amp;CompilDonnées[[#This Row],[ModuleNumber]]</f>
        <v>1074</v>
      </c>
      <c r="P1355" t="str">
        <f>CompilDonnées[[#This Row],[Ref_Module]]&amp;CompilDonnées[[#This Row],[HarvestingDate]]</f>
        <v>107445744</v>
      </c>
    </row>
    <row r="1356" spans="1:16">
      <c r="A1356" s="5">
        <v>45700</v>
      </c>
      <c r="B1356">
        <v>106</v>
      </c>
      <c r="C1356" t="s">
        <v>22</v>
      </c>
      <c r="D1356">
        <v>5</v>
      </c>
      <c r="E1356">
        <v>100</v>
      </c>
      <c r="F1356" t="s">
        <v>1</v>
      </c>
      <c r="G1356" s="6">
        <v>45743</v>
      </c>
      <c r="H1356">
        <v>43</v>
      </c>
      <c r="I1356">
        <f>ROUND(CompilDonnées[[#This Row],[CultureDuration_days]]/7,0)</f>
        <v>6</v>
      </c>
      <c r="J1356">
        <v>4371</v>
      </c>
      <c r="K1356" t="str">
        <f>_xlfn.CONCAT(WEEKNUM(CompilDonnées[[#This Row],[PlantationDate]]), " ", YEAR(CompilDonnées[[#This Row],[PlantationDate]]))</f>
        <v>7 2025</v>
      </c>
      <c r="L1356" t="str">
        <f>CONCATENATE(MONTH(CompilDonnées[[#This Row],[PlantationDate]])," ", YEAR(CompilDonnées[[#This Row],[PlantationDate]]))</f>
        <v>2 2025</v>
      </c>
      <c r="M1356" t="str">
        <f>CONCATENATE(MONTH(CompilDonnées[[#This Row],[HarvestingDate]])," ", YEAR(CompilDonnées[[#This Row],[HarvestingDate]]))</f>
        <v>3 2025</v>
      </c>
      <c r="N1356">
        <f>_xlfn.NUMBERVALUE(CompilDonnées[[#This Row],[FarmID]]&amp;CompilDonnées[[#This Row],[ModuleNumber]]&amp;CompilDonnées[[#This Row],[PlantationDate]])</f>
        <v>106545700</v>
      </c>
      <c r="O1356" t="str">
        <f>CompilDonnées[[#This Row],[FarmID]]&amp;CompilDonnées[[#This Row],[ModuleNumber]]</f>
        <v>1065</v>
      </c>
      <c r="P1356" t="str">
        <f>CompilDonnées[[#This Row],[Ref_Module]]&amp;CompilDonnées[[#This Row],[HarvestingDate]]</f>
        <v>106545743</v>
      </c>
    </row>
    <row r="1357" spans="1:16">
      <c r="A1357" s="5">
        <v>45700</v>
      </c>
      <c r="B1357">
        <v>106</v>
      </c>
      <c r="C1357" t="s">
        <v>22</v>
      </c>
      <c r="D1357">
        <v>6</v>
      </c>
      <c r="E1357">
        <v>100</v>
      </c>
      <c r="F1357" t="s">
        <v>1</v>
      </c>
      <c r="G1357" s="6">
        <v>45743</v>
      </c>
      <c r="H1357">
        <v>43</v>
      </c>
      <c r="I1357">
        <f>ROUND(CompilDonnées[[#This Row],[CultureDuration_days]]/7,0)</f>
        <v>6</v>
      </c>
      <c r="J1357">
        <v>3929</v>
      </c>
      <c r="K1357" t="str">
        <f>_xlfn.CONCAT(WEEKNUM(CompilDonnées[[#This Row],[PlantationDate]]), " ", YEAR(CompilDonnées[[#This Row],[PlantationDate]]))</f>
        <v>7 2025</v>
      </c>
      <c r="L1357" t="str">
        <f>CONCATENATE(MONTH(CompilDonnées[[#This Row],[PlantationDate]])," ", YEAR(CompilDonnées[[#This Row],[PlantationDate]]))</f>
        <v>2 2025</v>
      </c>
      <c r="M1357" t="str">
        <f>CONCATENATE(MONTH(CompilDonnées[[#This Row],[HarvestingDate]])," ", YEAR(CompilDonnées[[#This Row],[HarvestingDate]]))</f>
        <v>3 2025</v>
      </c>
      <c r="N1357">
        <f>_xlfn.NUMBERVALUE(CompilDonnées[[#This Row],[FarmID]]&amp;CompilDonnées[[#This Row],[ModuleNumber]]&amp;CompilDonnées[[#This Row],[PlantationDate]])</f>
        <v>106645700</v>
      </c>
      <c r="O1357" t="str">
        <f>CompilDonnées[[#This Row],[FarmID]]&amp;CompilDonnées[[#This Row],[ModuleNumber]]</f>
        <v>1066</v>
      </c>
      <c r="P1357" t="str">
        <f>CompilDonnées[[#This Row],[Ref_Module]]&amp;CompilDonnées[[#This Row],[HarvestingDate]]</f>
        <v>106645743</v>
      </c>
    </row>
    <row r="1358" spans="1:16">
      <c r="A1358" s="5">
        <v>45700</v>
      </c>
      <c r="B1358">
        <v>109</v>
      </c>
      <c r="C1358" t="s">
        <v>87</v>
      </c>
      <c r="D1358">
        <v>3</v>
      </c>
      <c r="E1358">
        <v>100</v>
      </c>
      <c r="F1358" t="s">
        <v>1</v>
      </c>
      <c r="G1358" s="6">
        <v>45744</v>
      </c>
      <c r="H1358">
        <v>44</v>
      </c>
      <c r="I1358">
        <f>ROUND(CompilDonnées[[#This Row],[CultureDuration_days]]/7,0)</f>
        <v>6</v>
      </c>
      <c r="J1358">
        <v>3763</v>
      </c>
      <c r="K1358" t="str">
        <f>_xlfn.CONCAT(WEEKNUM(CompilDonnées[[#This Row],[PlantationDate]]), " ", YEAR(CompilDonnées[[#This Row],[PlantationDate]]))</f>
        <v>7 2025</v>
      </c>
      <c r="L1358" t="str">
        <f>CONCATENATE(MONTH(CompilDonnées[[#This Row],[PlantationDate]])," ", YEAR(CompilDonnées[[#This Row],[PlantationDate]]))</f>
        <v>2 2025</v>
      </c>
      <c r="M1358" t="str">
        <f>CONCATENATE(MONTH(CompilDonnées[[#This Row],[HarvestingDate]])," ", YEAR(CompilDonnées[[#This Row],[HarvestingDate]]))</f>
        <v>3 2025</v>
      </c>
      <c r="N1358">
        <f>_xlfn.NUMBERVALUE(CompilDonnées[[#This Row],[FarmID]]&amp;CompilDonnées[[#This Row],[ModuleNumber]]&amp;CompilDonnées[[#This Row],[PlantationDate]])</f>
        <v>109345700</v>
      </c>
      <c r="O1358" t="str">
        <f>CompilDonnées[[#This Row],[FarmID]]&amp;CompilDonnées[[#This Row],[ModuleNumber]]</f>
        <v>1093</v>
      </c>
      <c r="P1358" t="str">
        <f>CompilDonnées[[#This Row],[Ref_Module]]&amp;CompilDonnées[[#This Row],[HarvestingDate]]</f>
        <v>109345744</v>
      </c>
    </row>
    <row r="1359" spans="1:16">
      <c r="A1359" s="5">
        <v>45700</v>
      </c>
      <c r="B1359">
        <v>104</v>
      </c>
      <c r="C1359" t="s">
        <v>91</v>
      </c>
      <c r="D1359">
        <v>5</v>
      </c>
      <c r="E1359">
        <v>100</v>
      </c>
      <c r="F1359" t="s">
        <v>1</v>
      </c>
      <c r="G1359" s="6">
        <v>45747</v>
      </c>
      <c r="H1359">
        <v>47</v>
      </c>
      <c r="I1359">
        <f>ROUND(CompilDonnées[[#This Row],[CultureDuration_days]]/7,0)</f>
        <v>7</v>
      </c>
      <c r="J1359">
        <v>3553</v>
      </c>
      <c r="K1359" t="str">
        <f>_xlfn.CONCAT(WEEKNUM(CompilDonnées[[#This Row],[PlantationDate]]), " ", YEAR(CompilDonnées[[#This Row],[PlantationDate]]))</f>
        <v>7 2025</v>
      </c>
      <c r="L1359" t="str">
        <f>CONCATENATE(MONTH(CompilDonnées[[#This Row],[PlantationDate]])," ", YEAR(CompilDonnées[[#This Row],[PlantationDate]]))</f>
        <v>2 2025</v>
      </c>
      <c r="M1359" t="str">
        <f>CONCATENATE(MONTH(CompilDonnées[[#This Row],[HarvestingDate]])," ", YEAR(CompilDonnées[[#This Row],[HarvestingDate]]))</f>
        <v>3 2025</v>
      </c>
      <c r="N1359">
        <f>_xlfn.NUMBERVALUE(CompilDonnées[[#This Row],[FarmID]]&amp;CompilDonnées[[#This Row],[ModuleNumber]]&amp;CompilDonnées[[#This Row],[PlantationDate]])</f>
        <v>104545700</v>
      </c>
      <c r="O1359" t="str">
        <f>CompilDonnées[[#This Row],[FarmID]]&amp;CompilDonnées[[#This Row],[ModuleNumber]]</f>
        <v>1045</v>
      </c>
      <c r="P1359" t="str">
        <f>CompilDonnées[[#This Row],[Ref_Module]]&amp;CompilDonnées[[#This Row],[HarvestingDate]]</f>
        <v>104545747</v>
      </c>
    </row>
    <row r="1360" spans="1:16">
      <c r="A1360" s="5">
        <v>45700</v>
      </c>
      <c r="B1360">
        <v>103</v>
      </c>
      <c r="C1360" t="s">
        <v>86</v>
      </c>
      <c r="D1360">
        <v>4</v>
      </c>
      <c r="E1360">
        <v>100</v>
      </c>
      <c r="F1360" t="s">
        <v>1</v>
      </c>
      <c r="G1360" s="6">
        <v>45743</v>
      </c>
      <c r="H1360">
        <v>43</v>
      </c>
      <c r="I1360">
        <f>ROUND(CompilDonnées[[#This Row],[CultureDuration_days]]/7,0)</f>
        <v>6</v>
      </c>
      <c r="J1360">
        <v>4188</v>
      </c>
      <c r="K1360" t="str">
        <f>_xlfn.CONCAT(WEEKNUM(CompilDonnées[[#This Row],[PlantationDate]]), " ", YEAR(CompilDonnées[[#This Row],[PlantationDate]]))</f>
        <v>7 2025</v>
      </c>
      <c r="L1360" t="str">
        <f>CONCATENATE(MONTH(CompilDonnées[[#This Row],[PlantationDate]])," ", YEAR(CompilDonnées[[#This Row],[PlantationDate]]))</f>
        <v>2 2025</v>
      </c>
      <c r="M1360" t="str">
        <f>CONCATENATE(MONTH(CompilDonnées[[#This Row],[HarvestingDate]])," ", YEAR(CompilDonnées[[#This Row],[HarvestingDate]]))</f>
        <v>3 2025</v>
      </c>
      <c r="N1360">
        <f>_xlfn.NUMBERVALUE(CompilDonnées[[#This Row],[FarmID]]&amp;CompilDonnées[[#This Row],[ModuleNumber]]&amp;CompilDonnées[[#This Row],[PlantationDate]])</f>
        <v>103445700</v>
      </c>
      <c r="O1360" t="str">
        <f>CompilDonnées[[#This Row],[FarmID]]&amp;CompilDonnées[[#This Row],[ModuleNumber]]</f>
        <v>1034</v>
      </c>
      <c r="P1360" t="str">
        <f>CompilDonnées[[#This Row],[Ref_Module]]&amp;CompilDonnées[[#This Row],[HarvestingDate]]</f>
        <v>103445743</v>
      </c>
    </row>
    <row r="1361" spans="1:16">
      <c r="A1361" s="5">
        <v>45700</v>
      </c>
      <c r="B1361">
        <v>102</v>
      </c>
      <c r="C1361" t="s">
        <v>85</v>
      </c>
      <c r="D1361">
        <v>1</v>
      </c>
      <c r="E1361">
        <v>100</v>
      </c>
      <c r="F1361" t="s">
        <v>1</v>
      </c>
      <c r="G1361" s="6">
        <v>45744</v>
      </c>
      <c r="H1361">
        <v>44</v>
      </c>
      <c r="I1361">
        <f>ROUND(CompilDonnées[[#This Row],[CultureDuration_days]]/7,0)</f>
        <v>6</v>
      </c>
      <c r="J1361">
        <v>3418</v>
      </c>
      <c r="K1361" t="str">
        <f>_xlfn.CONCAT(WEEKNUM(CompilDonnées[[#This Row],[PlantationDate]]), " ", YEAR(CompilDonnées[[#This Row],[PlantationDate]]))</f>
        <v>7 2025</v>
      </c>
      <c r="L1361" t="str">
        <f>CONCATENATE(MONTH(CompilDonnées[[#This Row],[PlantationDate]])," ", YEAR(CompilDonnées[[#This Row],[PlantationDate]]))</f>
        <v>2 2025</v>
      </c>
      <c r="M1361" t="str">
        <f>CONCATENATE(MONTH(CompilDonnées[[#This Row],[HarvestingDate]])," ", YEAR(CompilDonnées[[#This Row],[HarvestingDate]]))</f>
        <v>3 2025</v>
      </c>
      <c r="N1361">
        <f>_xlfn.NUMBERVALUE(CompilDonnées[[#This Row],[FarmID]]&amp;CompilDonnées[[#This Row],[ModuleNumber]]&amp;CompilDonnées[[#This Row],[PlantationDate]])</f>
        <v>102145700</v>
      </c>
      <c r="O1361" t="str">
        <f>CompilDonnées[[#This Row],[FarmID]]&amp;CompilDonnées[[#This Row],[ModuleNumber]]</f>
        <v>1021</v>
      </c>
      <c r="P1361" t="str">
        <f>CompilDonnées[[#This Row],[Ref_Module]]&amp;CompilDonnées[[#This Row],[HarvestingDate]]</f>
        <v>102145744</v>
      </c>
    </row>
    <row r="1362" spans="1:16">
      <c r="A1362" s="5">
        <v>45700</v>
      </c>
      <c r="B1362">
        <v>104</v>
      </c>
      <c r="C1362" t="s">
        <v>91</v>
      </c>
      <c r="D1362">
        <v>6</v>
      </c>
      <c r="E1362">
        <v>100</v>
      </c>
      <c r="F1362" t="s">
        <v>1</v>
      </c>
      <c r="G1362" s="6">
        <v>45743</v>
      </c>
      <c r="H1362">
        <v>43</v>
      </c>
      <c r="I1362">
        <f>ROUND(CompilDonnées[[#This Row],[CultureDuration_days]]/7,0)</f>
        <v>6</v>
      </c>
      <c r="J1362">
        <v>2349</v>
      </c>
      <c r="K1362" t="str">
        <f>_xlfn.CONCAT(WEEKNUM(CompilDonnées[[#This Row],[PlantationDate]]), " ", YEAR(CompilDonnées[[#This Row],[PlantationDate]]))</f>
        <v>7 2025</v>
      </c>
      <c r="L1362" t="str">
        <f>CONCATENATE(MONTH(CompilDonnées[[#This Row],[PlantationDate]])," ", YEAR(CompilDonnées[[#This Row],[PlantationDate]]))</f>
        <v>2 2025</v>
      </c>
      <c r="M1362" t="str">
        <f>CONCATENATE(MONTH(CompilDonnées[[#This Row],[HarvestingDate]])," ", YEAR(CompilDonnées[[#This Row],[HarvestingDate]]))</f>
        <v>3 2025</v>
      </c>
      <c r="N1362">
        <f>_xlfn.NUMBERVALUE(CompilDonnées[[#This Row],[FarmID]]&amp;CompilDonnées[[#This Row],[ModuleNumber]]&amp;CompilDonnées[[#This Row],[PlantationDate]])</f>
        <v>104645700</v>
      </c>
      <c r="O1362" t="str">
        <f>CompilDonnées[[#This Row],[FarmID]]&amp;CompilDonnées[[#This Row],[ModuleNumber]]</f>
        <v>1046</v>
      </c>
      <c r="P1362" t="str">
        <f>CompilDonnées[[#This Row],[Ref_Module]]&amp;CompilDonnées[[#This Row],[HarvestingDate]]</f>
        <v>104645743</v>
      </c>
    </row>
    <row r="1363" spans="1:16">
      <c r="A1363" s="5">
        <v>45700</v>
      </c>
      <c r="B1363">
        <v>96</v>
      </c>
      <c r="C1363" t="s">
        <v>3</v>
      </c>
      <c r="D1363">
        <v>4</v>
      </c>
      <c r="E1363">
        <v>52</v>
      </c>
      <c r="F1363" t="s">
        <v>1</v>
      </c>
      <c r="G1363" s="6">
        <v>45733</v>
      </c>
      <c r="H1363">
        <v>33</v>
      </c>
      <c r="I1363">
        <f>ROUND(CompilDonnées[[#This Row],[CultureDuration_days]]/7,0)</f>
        <v>5</v>
      </c>
      <c r="J1363">
        <v>1697</v>
      </c>
      <c r="K1363" t="str">
        <f>_xlfn.CONCAT(WEEKNUM(CompilDonnées[[#This Row],[PlantationDate]]), " ", YEAR(CompilDonnées[[#This Row],[PlantationDate]]))</f>
        <v>7 2025</v>
      </c>
      <c r="L1363" t="str">
        <f>CONCATENATE(MONTH(CompilDonnées[[#This Row],[PlantationDate]])," ", YEAR(CompilDonnées[[#This Row],[PlantationDate]]))</f>
        <v>2 2025</v>
      </c>
      <c r="M1363" t="str">
        <f>CONCATENATE(MONTH(CompilDonnées[[#This Row],[HarvestingDate]])," ", YEAR(CompilDonnées[[#This Row],[HarvestingDate]]))</f>
        <v>3 2025</v>
      </c>
      <c r="N1363">
        <f>_xlfn.NUMBERVALUE(CompilDonnées[[#This Row],[FarmID]]&amp;CompilDonnées[[#This Row],[ModuleNumber]]&amp;CompilDonnées[[#This Row],[PlantationDate]])</f>
        <v>96445700</v>
      </c>
      <c r="O1363" t="str">
        <f>CompilDonnées[[#This Row],[FarmID]]&amp;CompilDonnées[[#This Row],[ModuleNumber]]</f>
        <v>964</v>
      </c>
      <c r="P1363" t="str">
        <f>CompilDonnées[[#This Row],[Ref_Module]]&amp;CompilDonnées[[#This Row],[HarvestingDate]]</f>
        <v>96445733</v>
      </c>
    </row>
    <row r="1364" spans="1:16">
      <c r="A1364" s="5">
        <v>45700</v>
      </c>
      <c r="B1364">
        <v>96</v>
      </c>
      <c r="C1364" t="s">
        <v>3</v>
      </c>
      <c r="D1364">
        <v>5</v>
      </c>
      <c r="E1364">
        <v>68</v>
      </c>
      <c r="F1364" t="s">
        <v>1</v>
      </c>
      <c r="G1364" s="6">
        <v>45733</v>
      </c>
      <c r="H1364">
        <v>33</v>
      </c>
      <c r="I1364">
        <f>ROUND(CompilDonnées[[#This Row],[CultureDuration_days]]/7,0)</f>
        <v>5</v>
      </c>
      <c r="J1364">
        <v>1684</v>
      </c>
      <c r="K1364" t="str">
        <f>_xlfn.CONCAT(WEEKNUM(CompilDonnées[[#This Row],[PlantationDate]]), " ", YEAR(CompilDonnées[[#This Row],[PlantationDate]]))</f>
        <v>7 2025</v>
      </c>
      <c r="L1364" t="str">
        <f>CONCATENATE(MONTH(CompilDonnées[[#This Row],[PlantationDate]])," ", YEAR(CompilDonnées[[#This Row],[PlantationDate]]))</f>
        <v>2 2025</v>
      </c>
      <c r="M1364" t="str">
        <f>CONCATENATE(MONTH(CompilDonnées[[#This Row],[HarvestingDate]])," ", YEAR(CompilDonnées[[#This Row],[HarvestingDate]]))</f>
        <v>3 2025</v>
      </c>
      <c r="N1364">
        <f>_xlfn.NUMBERVALUE(CompilDonnées[[#This Row],[FarmID]]&amp;CompilDonnées[[#This Row],[ModuleNumber]]&amp;CompilDonnées[[#This Row],[PlantationDate]])</f>
        <v>96545700</v>
      </c>
      <c r="O1364" t="str">
        <f>CompilDonnées[[#This Row],[FarmID]]&amp;CompilDonnées[[#This Row],[ModuleNumber]]</f>
        <v>965</v>
      </c>
      <c r="P1364" t="str">
        <f>CompilDonnées[[#This Row],[Ref_Module]]&amp;CompilDonnées[[#This Row],[HarvestingDate]]</f>
        <v>96545733</v>
      </c>
    </row>
    <row r="1365" spans="1:16">
      <c r="A1365" s="5">
        <v>45700</v>
      </c>
      <c r="B1365">
        <v>96</v>
      </c>
      <c r="C1365" t="s">
        <v>3</v>
      </c>
      <c r="D1365">
        <v>6</v>
      </c>
      <c r="E1365">
        <v>100</v>
      </c>
      <c r="F1365" t="s">
        <v>1</v>
      </c>
      <c r="G1365" s="6">
        <v>45730</v>
      </c>
      <c r="H1365">
        <v>30</v>
      </c>
      <c r="I1365">
        <f>ROUND(CompilDonnées[[#This Row],[CultureDuration_days]]/7,0)</f>
        <v>4</v>
      </c>
      <c r="J1365">
        <v>1545</v>
      </c>
      <c r="K1365" t="str">
        <f>_xlfn.CONCAT(WEEKNUM(CompilDonnées[[#This Row],[PlantationDate]]), " ", YEAR(CompilDonnées[[#This Row],[PlantationDate]]))</f>
        <v>7 2025</v>
      </c>
      <c r="L1365" t="str">
        <f>CONCATENATE(MONTH(CompilDonnées[[#This Row],[PlantationDate]])," ", YEAR(CompilDonnées[[#This Row],[PlantationDate]]))</f>
        <v>2 2025</v>
      </c>
      <c r="M1365" t="str">
        <f>CONCATENATE(MONTH(CompilDonnées[[#This Row],[HarvestingDate]])," ", YEAR(CompilDonnées[[#This Row],[HarvestingDate]]))</f>
        <v>3 2025</v>
      </c>
      <c r="N1365">
        <f>_xlfn.NUMBERVALUE(CompilDonnées[[#This Row],[FarmID]]&amp;CompilDonnées[[#This Row],[ModuleNumber]]&amp;CompilDonnées[[#This Row],[PlantationDate]])</f>
        <v>96645700</v>
      </c>
      <c r="O1365" t="str">
        <f>CompilDonnées[[#This Row],[FarmID]]&amp;CompilDonnées[[#This Row],[ModuleNumber]]</f>
        <v>966</v>
      </c>
      <c r="P1365" t="str">
        <f>CompilDonnées[[#This Row],[Ref_Module]]&amp;CompilDonnées[[#This Row],[HarvestingDate]]</f>
        <v>96645730</v>
      </c>
    </row>
    <row r="1366" spans="1:16">
      <c r="A1366" s="5">
        <v>45700</v>
      </c>
      <c r="B1366">
        <v>114</v>
      </c>
      <c r="C1366" t="s">
        <v>3</v>
      </c>
      <c r="D1366">
        <v>4</v>
      </c>
      <c r="E1366">
        <v>60</v>
      </c>
      <c r="F1366" t="s">
        <v>105</v>
      </c>
      <c r="G1366" s="6">
        <v>45757</v>
      </c>
      <c r="H1366">
        <v>57</v>
      </c>
      <c r="I1366">
        <f>ROUND(CompilDonnées[[#This Row],[CultureDuration_days]]/7,0)</f>
        <v>8</v>
      </c>
      <c r="J1366">
        <v>1025</v>
      </c>
      <c r="K1366" t="str">
        <f>_xlfn.CONCAT(WEEKNUM(CompilDonnées[[#This Row],[PlantationDate]]), " ", YEAR(CompilDonnées[[#This Row],[PlantationDate]]))</f>
        <v>7 2025</v>
      </c>
      <c r="L1366" t="str">
        <f>CONCATENATE(MONTH(CompilDonnées[[#This Row],[PlantationDate]])," ", YEAR(CompilDonnées[[#This Row],[PlantationDate]]))</f>
        <v>2 2025</v>
      </c>
      <c r="M1366" t="str">
        <f>CONCATENATE(MONTH(CompilDonnées[[#This Row],[HarvestingDate]])," ", YEAR(CompilDonnées[[#This Row],[HarvestingDate]]))</f>
        <v>4 2025</v>
      </c>
      <c r="N1366">
        <f>_xlfn.NUMBERVALUE(CompilDonnées[[#This Row],[FarmID]]&amp;CompilDonnées[[#This Row],[ModuleNumber]]&amp;CompilDonnées[[#This Row],[PlantationDate]])</f>
        <v>114445700</v>
      </c>
      <c r="O1366" t="str">
        <f>CompilDonnées[[#This Row],[FarmID]]&amp;CompilDonnées[[#This Row],[ModuleNumber]]</f>
        <v>1144</v>
      </c>
      <c r="P1366" t="str">
        <f>CompilDonnées[[#This Row],[Ref_Module]]&amp;CompilDonnées[[#This Row],[HarvestingDate]]</f>
        <v>114445757</v>
      </c>
    </row>
    <row r="1367" spans="1:16">
      <c r="A1367" s="5">
        <v>45700</v>
      </c>
      <c r="B1367">
        <v>114</v>
      </c>
      <c r="C1367" t="s">
        <v>3</v>
      </c>
      <c r="D1367">
        <v>5</v>
      </c>
      <c r="E1367">
        <v>60</v>
      </c>
      <c r="F1367" t="s">
        <v>105</v>
      </c>
      <c r="G1367" s="6">
        <v>45757</v>
      </c>
      <c r="H1367">
        <v>57</v>
      </c>
      <c r="I1367">
        <f>ROUND(CompilDonnées[[#This Row],[CultureDuration_days]]/7,0)</f>
        <v>8</v>
      </c>
      <c r="J1367">
        <v>1211</v>
      </c>
      <c r="K1367" t="str">
        <f>_xlfn.CONCAT(WEEKNUM(CompilDonnées[[#This Row],[PlantationDate]]), " ", YEAR(CompilDonnées[[#This Row],[PlantationDate]]))</f>
        <v>7 2025</v>
      </c>
      <c r="L1367" t="str">
        <f>CONCATENATE(MONTH(CompilDonnées[[#This Row],[PlantationDate]])," ", YEAR(CompilDonnées[[#This Row],[PlantationDate]]))</f>
        <v>2 2025</v>
      </c>
      <c r="M1367" t="str">
        <f>CONCATENATE(MONTH(CompilDonnées[[#This Row],[HarvestingDate]])," ", YEAR(CompilDonnées[[#This Row],[HarvestingDate]]))</f>
        <v>4 2025</v>
      </c>
      <c r="N1367">
        <f>_xlfn.NUMBERVALUE(CompilDonnées[[#This Row],[FarmID]]&amp;CompilDonnées[[#This Row],[ModuleNumber]]&amp;CompilDonnées[[#This Row],[PlantationDate]])</f>
        <v>114545700</v>
      </c>
      <c r="O1367" t="str">
        <f>CompilDonnées[[#This Row],[FarmID]]&amp;CompilDonnées[[#This Row],[ModuleNumber]]</f>
        <v>1145</v>
      </c>
      <c r="P1367" t="str">
        <f>CompilDonnées[[#This Row],[Ref_Module]]&amp;CompilDonnées[[#This Row],[HarvestingDate]]</f>
        <v>114545757</v>
      </c>
    </row>
    <row r="1368" spans="1:16">
      <c r="A1368" s="5">
        <v>45701</v>
      </c>
      <c r="B1368">
        <v>82</v>
      </c>
      <c r="C1368" t="s">
        <v>17</v>
      </c>
      <c r="D1368">
        <v>6</v>
      </c>
      <c r="E1368">
        <v>100</v>
      </c>
      <c r="F1368" t="s">
        <v>1</v>
      </c>
      <c r="G1368" s="6">
        <v>45743</v>
      </c>
      <c r="H1368">
        <v>42</v>
      </c>
      <c r="I1368">
        <f>ROUND(CompilDonnées[[#This Row],[CultureDuration_days]]/7,0)</f>
        <v>6</v>
      </c>
      <c r="J1368">
        <v>4005</v>
      </c>
      <c r="K1368" t="str">
        <f>_xlfn.CONCAT(WEEKNUM(CompilDonnées[[#This Row],[PlantationDate]]), " ", YEAR(CompilDonnées[[#This Row],[PlantationDate]]))</f>
        <v>7 2025</v>
      </c>
      <c r="L1368" t="str">
        <f>CONCATENATE(MONTH(CompilDonnées[[#This Row],[PlantationDate]])," ", YEAR(CompilDonnées[[#This Row],[PlantationDate]]))</f>
        <v>2 2025</v>
      </c>
      <c r="M1368" t="str">
        <f>CONCATENATE(MONTH(CompilDonnées[[#This Row],[HarvestingDate]])," ", YEAR(CompilDonnées[[#This Row],[HarvestingDate]]))</f>
        <v>3 2025</v>
      </c>
      <c r="N1368">
        <f>_xlfn.NUMBERVALUE(CompilDonnées[[#This Row],[FarmID]]&amp;CompilDonnées[[#This Row],[ModuleNumber]]&amp;CompilDonnées[[#This Row],[PlantationDate]])</f>
        <v>82645701</v>
      </c>
      <c r="O1368" t="str">
        <f>CompilDonnées[[#This Row],[FarmID]]&amp;CompilDonnées[[#This Row],[ModuleNumber]]</f>
        <v>826</v>
      </c>
      <c r="P1368" t="str">
        <f>CompilDonnées[[#This Row],[Ref_Module]]&amp;CompilDonnées[[#This Row],[HarvestingDate]]</f>
        <v>82645743</v>
      </c>
    </row>
    <row r="1369" spans="1:16">
      <c r="A1369" s="5">
        <v>45701</v>
      </c>
      <c r="B1369">
        <v>79</v>
      </c>
      <c r="C1369" t="s">
        <v>61</v>
      </c>
      <c r="D1369">
        <v>3</v>
      </c>
      <c r="E1369">
        <v>100</v>
      </c>
      <c r="F1369" t="s">
        <v>1</v>
      </c>
      <c r="G1369" s="6">
        <v>45744</v>
      </c>
      <c r="H1369">
        <v>43</v>
      </c>
      <c r="I1369">
        <f>ROUND(CompilDonnées[[#This Row],[CultureDuration_days]]/7,0)</f>
        <v>6</v>
      </c>
      <c r="J1369">
        <v>3728</v>
      </c>
      <c r="K1369" t="str">
        <f>_xlfn.CONCAT(WEEKNUM(CompilDonnées[[#This Row],[PlantationDate]]), " ", YEAR(CompilDonnées[[#This Row],[PlantationDate]]))</f>
        <v>7 2025</v>
      </c>
      <c r="L1369" t="str">
        <f>CONCATENATE(MONTH(CompilDonnées[[#This Row],[PlantationDate]])," ", YEAR(CompilDonnées[[#This Row],[PlantationDate]]))</f>
        <v>2 2025</v>
      </c>
      <c r="M1369" t="str">
        <f>CONCATENATE(MONTH(CompilDonnées[[#This Row],[HarvestingDate]])," ", YEAR(CompilDonnées[[#This Row],[HarvestingDate]]))</f>
        <v>3 2025</v>
      </c>
      <c r="N1369">
        <f>_xlfn.NUMBERVALUE(CompilDonnées[[#This Row],[FarmID]]&amp;CompilDonnées[[#This Row],[ModuleNumber]]&amp;CompilDonnées[[#This Row],[PlantationDate]])</f>
        <v>79345701</v>
      </c>
      <c r="O1369" t="str">
        <f>CompilDonnées[[#This Row],[FarmID]]&amp;CompilDonnées[[#This Row],[ModuleNumber]]</f>
        <v>793</v>
      </c>
      <c r="P1369" t="str">
        <f>CompilDonnées[[#This Row],[Ref_Module]]&amp;CompilDonnées[[#This Row],[HarvestingDate]]</f>
        <v>79345744</v>
      </c>
    </row>
    <row r="1370" spans="1:16">
      <c r="A1370" s="5">
        <v>45701</v>
      </c>
      <c r="B1370">
        <v>83</v>
      </c>
      <c r="C1370" t="s">
        <v>73</v>
      </c>
      <c r="D1370">
        <v>5</v>
      </c>
      <c r="E1370">
        <v>100</v>
      </c>
      <c r="F1370" t="s">
        <v>1</v>
      </c>
      <c r="G1370" s="6">
        <v>45743</v>
      </c>
      <c r="H1370">
        <v>42</v>
      </c>
      <c r="I1370">
        <f>ROUND(CompilDonnées[[#This Row],[CultureDuration_days]]/7,0)</f>
        <v>6</v>
      </c>
      <c r="J1370">
        <v>4110</v>
      </c>
      <c r="K1370" t="str">
        <f>_xlfn.CONCAT(WEEKNUM(CompilDonnées[[#This Row],[PlantationDate]]), " ", YEAR(CompilDonnées[[#This Row],[PlantationDate]]))</f>
        <v>7 2025</v>
      </c>
      <c r="L1370" t="str">
        <f>CONCATENATE(MONTH(CompilDonnées[[#This Row],[PlantationDate]])," ", YEAR(CompilDonnées[[#This Row],[PlantationDate]]))</f>
        <v>2 2025</v>
      </c>
      <c r="M1370" t="str">
        <f>CONCATENATE(MONTH(CompilDonnées[[#This Row],[HarvestingDate]])," ", YEAR(CompilDonnées[[#This Row],[HarvestingDate]]))</f>
        <v>3 2025</v>
      </c>
      <c r="N1370">
        <f>_xlfn.NUMBERVALUE(CompilDonnées[[#This Row],[FarmID]]&amp;CompilDonnées[[#This Row],[ModuleNumber]]&amp;CompilDonnées[[#This Row],[PlantationDate]])</f>
        <v>83545701</v>
      </c>
      <c r="O1370" t="str">
        <f>CompilDonnées[[#This Row],[FarmID]]&amp;CompilDonnées[[#This Row],[ModuleNumber]]</f>
        <v>835</v>
      </c>
      <c r="P1370" t="str">
        <f>CompilDonnées[[#This Row],[Ref_Module]]&amp;CompilDonnées[[#This Row],[HarvestingDate]]</f>
        <v>83545743</v>
      </c>
    </row>
    <row r="1371" spans="1:16">
      <c r="A1371" s="5">
        <v>45701</v>
      </c>
      <c r="B1371">
        <v>83</v>
      </c>
      <c r="C1371" t="s">
        <v>73</v>
      </c>
      <c r="D1371">
        <v>6</v>
      </c>
      <c r="E1371">
        <v>100</v>
      </c>
      <c r="F1371" t="s">
        <v>1</v>
      </c>
      <c r="G1371" s="6">
        <v>45737</v>
      </c>
      <c r="H1371">
        <v>36</v>
      </c>
      <c r="I1371">
        <f>ROUND(CompilDonnées[[#This Row],[CultureDuration_days]]/7,0)</f>
        <v>5</v>
      </c>
      <c r="J1371">
        <v>2462</v>
      </c>
      <c r="K1371" t="str">
        <f>_xlfn.CONCAT(WEEKNUM(CompilDonnées[[#This Row],[PlantationDate]]), " ", YEAR(CompilDonnées[[#This Row],[PlantationDate]]))</f>
        <v>7 2025</v>
      </c>
      <c r="L1371" t="str">
        <f>CONCATENATE(MONTH(CompilDonnées[[#This Row],[PlantationDate]])," ", YEAR(CompilDonnées[[#This Row],[PlantationDate]]))</f>
        <v>2 2025</v>
      </c>
      <c r="M1371" t="str">
        <f>CONCATENATE(MONTH(CompilDonnées[[#This Row],[HarvestingDate]])," ", YEAR(CompilDonnées[[#This Row],[HarvestingDate]]))</f>
        <v>3 2025</v>
      </c>
      <c r="N1371">
        <f>_xlfn.NUMBERVALUE(CompilDonnées[[#This Row],[FarmID]]&amp;CompilDonnées[[#This Row],[ModuleNumber]]&amp;CompilDonnées[[#This Row],[PlantationDate]])</f>
        <v>83645701</v>
      </c>
      <c r="O1371" t="str">
        <f>CompilDonnées[[#This Row],[FarmID]]&amp;CompilDonnées[[#This Row],[ModuleNumber]]</f>
        <v>836</v>
      </c>
      <c r="P1371" t="str">
        <f>CompilDonnées[[#This Row],[Ref_Module]]&amp;CompilDonnées[[#This Row],[HarvestingDate]]</f>
        <v>83645737</v>
      </c>
    </row>
    <row r="1372" spans="1:16">
      <c r="A1372" s="5">
        <v>45701</v>
      </c>
      <c r="B1372">
        <v>84</v>
      </c>
      <c r="C1372" t="s">
        <v>65</v>
      </c>
      <c r="D1372">
        <v>5</v>
      </c>
      <c r="E1372">
        <v>100</v>
      </c>
      <c r="F1372" t="s">
        <v>1</v>
      </c>
      <c r="G1372" s="6">
        <v>45748</v>
      </c>
      <c r="H1372">
        <v>47</v>
      </c>
      <c r="I1372">
        <f>ROUND(CompilDonnées[[#This Row],[CultureDuration_days]]/7,0)</f>
        <v>7</v>
      </c>
      <c r="J1372">
        <v>3804</v>
      </c>
      <c r="K1372" t="str">
        <f>_xlfn.CONCAT(WEEKNUM(CompilDonnées[[#This Row],[PlantationDate]]), " ", YEAR(CompilDonnées[[#This Row],[PlantationDate]]))</f>
        <v>7 2025</v>
      </c>
      <c r="L1372" t="str">
        <f>CONCATENATE(MONTH(CompilDonnées[[#This Row],[PlantationDate]])," ", YEAR(CompilDonnées[[#This Row],[PlantationDate]]))</f>
        <v>2 2025</v>
      </c>
      <c r="M1372" t="str">
        <f>CONCATENATE(MONTH(CompilDonnées[[#This Row],[HarvestingDate]])," ", YEAR(CompilDonnées[[#This Row],[HarvestingDate]]))</f>
        <v>4 2025</v>
      </c>
      <c r="N1372">
        <f>_xlfn.NUMBERVALUE(CompilDonnées[[#This Row],[FarmID]]&amp;CompilDonnées[[#This Row],[ModuleNumber]]&amp;CompilDonnées[[#This Row],[PlantationDate]])</f>
        <v>84545701</v>
      </c>
      <c r="O1372" t="str">
        <f>CompilDonnées[[#This Row],[FarmID]]&amp;CompilDonnées[[#This Row],[ModuleNumber]]</f>
        <v>845</v>
      </c>
      <c r="P1372" t="str">
        <f>CompilDonnées[[#This Row],[Ref_Module]]&amp;CompilDonnées[[#This Row],[HarvestingDate]]</f>
        <v>84545748</v>
      </c>
    </row>
    <row r="1373" spans="1:16">
      <c r="A1373" s="5">
        <v>45701</v>
      </c>
      <c r="B1373">
        <v>123</v>
      </c>
      <c r="C1373" t="s">
        <v>13</v>
      </c>
      <c r="D1373">
        <v>3</v>
      </c>
      <c r="E1373">
        <v>100</v>
      </c>
      <c r="F1373" t="s">
        <v>1</v>
      </c>
      <c r="G1373" s="6">
        <v>45744</v>
      </c>
      <c r="H1373">
        <v>43</v>
      </c>
      <c r="I1373">
        <f>ROUND(CompilDonnées[[#This Row],[CultureDuration_days]]/7,0)</f>
        <v>6</v>
      </c>
      <c r="J1373">
        <v>4566</v>
      </c>
      <c r="K1373" t="str">
        <f>_xlfn.CONCAT(WEEKNUM(CompilDonnées[[#This Row],[PlantationDate]]), " ", YEAR(CompilDonnées[[#This Row],[PlantationDate]]))</f>
        <v>7 2025</v>
      </c>
      <c r="L1373" t="str">
        <f>CONCATENATE(MONTH(CompilDonnées[[#This Row],[PlantationDate]])," ", YEAR(CompilDonnées[[#This Row],[PlantationDate]]))</f>
        <v>2 2025</v>
      </c>
      <c r="M1373" t="str">
        <f>CONCATENATE(MONTH(CompilDonnées[[#This Row],[HarvestingDate]])," ", YEAR(CompilDonnées[[#This Row],[HarvestingDate]]))</f>
        <v>3 2025</v>
      </c>
      <c r="N1373">
        <f>_xlfn.NUMBERVALUE(CompilDonnées[[#This Row],[FarmID]]&amp;CompilDonnées[[#This Row],[ModuleNumber]]&amp;CompilDonnées[[#This Row],[PlantationDate]])</f>
        <v>123345701</v>
      </c>
      <c r="O1373" t="str">
        <f>CompilDonnées[[#This Row],[FarmID]]&amp;CompilDonnées[[#This Row],[ModuleNumber]]</f>
        <v>1233</v>
      </c>
      <c r="P1373" t="str">
        <f>CompilDonnées[[#This Row],[Ref_Module]]&amp;CompilDonnées[[#This Row],[HarvestingDate]]</f>
        <v>123345744</v>
      </c>
    </row>
    <row r="1374" spans="1:16">
      <c r="A1374" s="5">
        <v>45701</v>
      </c>
      <c r="B1374">
        <v>119</v>
      </c>
      <c r="C1374" t="s">
        <v>59</v>
      </c>
      <c r="D1374">
        <v>5</v>
      </c>
      <c r="E1374">
        <v>100</v>
      </c>
      <c r="F1374" t="s">
        <v>1</v>
      </c>
      <c r="G1374" s="6">
        <v>45744</v>
      </c>
      <c r="H1374">
        <v>43</v>
      </c>
      <c r="I1374">
        <f>ROUND(CompilDonnées[[#This Row],[CultureDuration_days]]/7,0)</f>
        <v>6</v>
      </c>
      <c r="J1374">
        <v>3726</v>
      </c>
      <c r="K1374" t="str">
        <f>_xlfn.CONCAT(WEEKNUM(CompilDonnées[[#This Row],[PlantationDate]]), " ", YEAR(CompilDonnées[[#This Row],[PlantationDate]]))</f>
        <v>7 2025</v>
      </c>
      <c r="L1374" t="str">
        <f>CONCATENATE(MONTH(CompilDonnées[[#This Row],[PlantationDate]])," ", YEAR(CompilDonnées[[#This Row],[PlantationDate]]))</f>
        <v>2 2025</v>
      </c>
      <c r="M1374" t="str">
        <f>CONCATENATE(MONTH(CompilDonnées[[#This Row],[HarvestingDate]])," ", YEAR(CompilDonnées[[#This Row],[HarvestingDate]]))</f>
        <v>3 2025</v>
      </c>
      <c r="N1374">
        <f>_xlfn.NUMBERVALUE(CompilDonnées[[#This Row],[FarmID]]&amp;CompilDonnées[[#This Row],[ModuleNumber]]&amp;CompilDonnées[[#This Row],[PlantationDate]])</f>
        <v>119545701</v>
      </c>
      <c r="O1374" t="str">
        <f>CompilDonnées[[#This Row],[FarmID]]&amp;CompilDonnées[[#This Row],[ModuleNumber]]</f>
        <v>1195</v>
      </c>
      <c r="P1374" t="str">
        <f>CompilDonnées[[#This Row],[Ref_Module]]&amp;CompilDonnées[[#This Row],[HarvestingDate]]</f>
        <v>119545744</v>
      </c>
    </row>
    <row r="1375" spans="1:16">
      <c r="A1375" s="5">
        <v>45701</v>
      </c>
      <c r="B1375">
        <v>116</v>
      </c>
      <c r="C1375" t="s">
        <v>76</v>
      </c>
      <c r="D1375">
        <v>5</v>
      </c>
      <c r="E1375">
        <v>100</v>
      </c>
      <c r="F1375" t="s">
        <v>1</v>
      </c>
      <c r="G1375" s="6">
        <v>45747</v>
      </c>
      <c r="H1375">
        <v>46</v>
      </c>
      <c r="I1375">
        <f>ROUND(CompilDonnées[[#This Row],[CultureDuration_days]]/7,0)</f>
        <v>7</v>
      </c>
      <c r="J1375">
        <v>3601</v>
      </c>
      <c r="K1375" t="str">
        <f>_xlfn.CONCAT(WEEKNUM(CompilDonnées[[#This Row],[PlantationDate]]), " ", YEAR(CompilDonnées[[#This Row],[PlantationDate]]))</f>
        <v>7 2025</v>
      </c>
      <c r="L1375" t="str">
        <f>CONCATENATE(MONTH(CompilDonnées[[#This Row],[PlantationDate]])," ", YEAR(CompilDonnées[[#This Row],[PlantationDate]]))</f>
        <v>2 2025</v>
      </c>
      <c r="M1375" t="str">
        <f>CONCATENATE(MONTH(CompilDonnées[[#This Row],[HarvestingDate]])," ", YEAR(CompilDonnées[[#This Row],[HarvestingDate]]))</f>
        <v>3 2025</v>
      </c>
      <c r="N1375">
        <f>_xlfn.NUMBERVALUE(CompilDonnées[[#This Row],[FarmID]]&amp;CompilDonnées[[#This Row],[ModuleNumber]]&amp;CompilDonnées[[#This Row],[PlantationDate]])</f>
        <v>116545701</v>
      </c>
      <c r="O1375" t="str">
        <f>CompilDonnées[[#This Row],[FarmID]]&amp;CompilDonnées[[#This Row],[ModuleNumber]]</f>
        <v>1165</v>
      </c>
      <c r="P1375" t="str">
        <f>CompilDonnées[[#This Row],[Ref_Module]]&amp;CompilDonnées[[#This Row],[HarvestingDate]]</f>
        <v>116545747</v>
      </c>
    </row>
    <row r="1376" spans="1:16">
      <c r="A1376" s="5">
        <v>45701</v>
      </c>
      <c r="B1376">
        <v>111</v>
      </c>
      <c r="C1376" t="s">
        <v>41</v>
      </c>
      <c r="D1376">
        <v>6</v>
      </c>
      <c r="E1376">
        <v>100</v>
      </c>
      <c r="F1376" t="s">
        <v>1</v>
      </c>
      <c r="G1376" s="6">
        <v>45747</v>
      </c>
      <c r="H1376">
        <v>46</v>
      </c>
      <c r="I1376">
        <f>ROUND(CompilDonnées[[#This Row],[CultureDuration_days]]/7,0)</f>
        <v>7</v>
      </c>
      <c r="J1376">
        <v>4834</v>
      </c>
      <c r="K1376" t="str">
        <f>_xlfn.CONCAT(WEEKNUM(CompilDonnées[[#This Row],[PlantationDate]]), " ", YEAR(CompilDonnées[[#This Row],[PlantationDate]]))</f>
        <v>7 2025</v>
      </c>
      <c r="L1376" t="str">
        <f>CONCATENATE(MONTH(CompilDonnées[[#This Row],[PlantationDate]])," ", YEAR(CompilDonnées[[#This Row],[PlantationDate]]))</f>
        <v>2 2025</v>
      </c>
      <c r="M1376" t="str">
        <f>CONCATENATE(MONTH(CompilDonnées[[#This Row],[HarvestingDate]])," ", YEAR(CompilDonnées[[#This Row],[HarvestingDate]]))</f>
        <v>3 2025</v>
      </c>
      <c r="N1376">
        <f>_xlfn.NUMBERVALUE(CompilDonnées[[#This Row],[FarmID]]&amp;CompilDonnées[[#This Row],[ModuleNumber]]&amp;CompilDonnées[[#This Row],[PlantationDate]])</f>
        <v>111645701</v>
      </c>
      <c r="O1376" t="str">
        <f>CompilDonnées[[#This Row],[FarmID]]&amp;CompilDonnées[[#This Row],[ModuleNumber]]</f>
        <v>1116</v>
      </c>
      <c r="P1376" t="str">
        <f>CompilDonnées[[#This Row],[Ref_Module]]&amp;CompilDonnées[[#This Row],[HarvestingDate]]</f>
        <v>111645747</v>
      </c>
    </row>
    <row r="1377" spans="1:16">
      <c r="A1377" s="5">
        <v>45701</v>
      </c>
      <c r="B1377">
        <v>132</v>
      </c>
      <c r="C1377" t="s">
        <v>93</v>
      </c>
      <c r="D1377">
        <v>4</v>
      </c>
      <c r="E1377">
        <v>100</v>
      </c>
      <c r="F1377" t="s">
        <v>1</v>
      </c>
      <c r="G1377" s="6">
        <v>45747</v>
      </c>
      <c r="H1377">
        <v>46</v>
      </c>
      <c r="I1377">
        <f>ROUND(CompilDonnées[[#This Row],[CultureDuration_days]]/7,0)</f>
        <v>7</v>
      </c>
      <c r="J1377">
        <v>3247</v>
      </c>
      <c r="K1377" t="str">
        <f>_xlfn.CONCAT(WEEKNUM(CompilDonnées[[#This Row],[PlantationDate]]), " ", YEAR(CompilDonnées[[#This Row],[PlantationDate]]))</f>
        <v>7 2025</v>
      </c>
      <c r="L1377" t="str">
        <f>CONCATENATE(MONTH(CompilDonnées[[#This Row],[PlantationDate]])," ", YEAR(CompilDonnées[[#This Row],[PlantationDate]]))</f>
        <v>2 2025</v>
      </c>
      <c r="M1377" t="str">
        <f>CONCATENATE(MONTH(CompilDonnées[[#This Row],[HarvestingDate]])," ", YEAR(CompilDonnées[[#This Row],[HarvestingDate]]))</f>
        <v>3 2025</v>
      </c>
      <c r="N1377">
        <f>_xlfn.NUMBERVALUE(CompilDonnées[[#This Row],[FarmID]]&amp;CompilDonnées[[#This Row],[ModuleNumber]]&amp;CompilDonnées[[#This Row],[PlantationDate]])</f>
        <v>132445701</v>
      </c>
      <c r="O1377" t="str">
        <f>CompilDonnées[[#This Row],[FarmID]]&amp;CompilDonnées[[#This Row],[ModuleNumber]]</f>
        <v>1324</v>
      </c>
      <c r="P1377" t="str">
        <f>CompilDonnées[[#This Row],[Ref_Module]]&amp;CompilDonnées[[#This Row],[HarvestingDate]]</f>
        <v>132445747</v>
      </c>
    </row>
    <row r="1378" spans="1:16">
      <c r="A1378" s="5">
        <v>45701</v>
      </c>
      <c r="B1378">
        <v>91</v>
      </c>
      <c r="C1378" t="s">
        <v>9</v>
      </c>
      <c r="D1378">
        <v>1</v>
      </c>
      <c r="E1378">
        <v>100</v>
      </c>
      <c r="F1378" t="s">
        <v>1</v>
      </c>
      <c r="G1378" s="6">
        <v>45747</v>
      </c>
      <c r="H1378">
        <v>46</v>
      </c>
      <c r="I1378">
        <f>ROUND(CompilDonnées[[#This Row],[CultureDuration_days]]/7,0)</f>
        <v>7</v>
      </c>
      <c r="J1378">
        <v>4684</v>
      </c>
      <c r="K1378" t="str">
        <f>_xlfn.CONCAT(WEEKNUM(CompilDonnées[[#This Row],[PlantationDate]]), " ", YEAR(CompilDonnées[[#This Row],[PlantationDate]]))</f>
        <v>7 2025</v>
      </c>
      <c r="L1378" t="str">
        <f>CONCATENATE(MONTH(CompilDonnées[[#This Row],[PlantationDate]])," ", YEAR(CompilDonnées[[#This Row],[PlantationDate]]))</f>
        <v>2 2025</v>
      </c>
      <c r="M1378" t="str">
        <f>CONCATENATE(MONTH(CompilDonnées[[#This Row],[HarvestingDate]])," ", YEAR(CompilDonnées[[#This Row],[HarvestingDate]]))</f>
        <v>3 2025</v>
      </c>
      <c r="N1378">
        <f>_xlfn.NUMBERVALUE(CompilDonnées[[#This Row],[FarmID]]&amp;CompilDonnées[[#This Row],[ModuleNumber]]&amp;CompilDonnées[[#This Row],[PlantationDate]])</f>
        <v>91145701</v>
      </c>
      <c r="O1378" t="str">
        <f>CompilDonnées[[#This Row],[FarmID]]&amp;CompilDonnées[[#This Row],[ModuleNumber]]</f>
        <v>911</v>
      </c>
      <c r="P1378" t="str">
        <f>CompilDonnées[[#This Row],[Ref_Module]]&amp;CompilDonnées[[#This Row],[HarvestingDate]]</f>
        <v>91145747</v>
      </c>
    </row>
    <row r="1379" spans="1:16">
      <c r="A1379" s="5">
        <v>45701</v>
      </c>
      <c r="B1379">
        <v>94</v>
      </c>
      <c r="C1379" t="s">
        <v>40</v>
      </c>
      <c r="D1379">
        <v>6</v>
      </c>
      <c r="E1379">
        <v>100</v>
      </c>
      <c r="F1379" t="s">
        <v>1</v>
      </c>
      <c r="G1379" s="6">
        <v>45743</v>
      </c>
      <c r="H1379">
        <v>42</v>
      </c>
      <c r="I1379">
        <f>ROUND(CompilDonnées[[#This Row],[CultureDuration_days]]/7,0)</f>
        <v>6</v>
      </c>
      <c r="J1379">
        <v>3608</v>
      </c>
      <c r="K1379" t="str">
        <f>_xlfn.CONCAT(WEEKNUM(CompilDonnées[[#This Row],[PlantationDate]]), " ", YEAR(CompilDonnées[[#This Row],[PlantationDate]]))</f>
        <v>7 2025</v>
      </c>
      <c r="L1379" t="str">
        <f>CONCATENATE(MONTH(CompilDonnées[[#This Row],[PlantationDate]])," ", YEAR(CompilDonnées[[#This Row],[PlantationDate]]))</f>
        <v>2 2025</v>
      </c>
      <c r="M1379" t="str">
        <f>CONCATENATE(MONTH(CompilDonnées[[#This Row],[HarvestingDate]])," ", YEAR(CompilDonnées[[#This Row],[HarvestingDate]]))</f>
        <v>3 2025</v>
      </c>
      <c r="N1379">
        <f>_xlfn.NUMBERVALUE(CompilDonnées[[#This Row],[FarmID]]&amp;CompilDonnées[[#This Row],[ModuleNumber]]&amp;CompilDonnées[[#This Row],[PlantationDate]])</f>
        <v>94645701</v>
      </c>
      <c r="O1379" t="str">
        <f>CompilDonnées[[#This Row],[FarmID]]&amp;CompilDonnées[[#This Row],[ModuleNumber]]</f>
        <v>946</v>
      </c>
      <c r="P1379" t="str">
        <f>CompilDonnées[[#This Row],[Ref_Module]]&amp;CompilDonnées[[#This Row],[HarvestingDate]]</f>
        <v>94645743</v>
      </c>
    </row>
    <row r="1380" spans="1:16">
      <c r="A1380" s="5">
        <v>45701</v>
      </c>
      <c r="B1380">
        <v>109</v>
      </c>
      <c r="C1380" t="s">
        <v>87</v>
      </c>
      <c r="D1380">
        <v>2</v>
      </c>
      <c r="E1380">
        <v>100</v>
      </c>
      <c r="F1380" t="s">
        <v>1</v>
      </c>
      <c r="G1380" s="6">
        <v>45744</v>
      </c>
      <c r="H1380">
        <v>43</v>
      </c>
      <c r="I1380">
        <f>ROUND(CompilDonnées[[#This Row],[CultureDuration_days]]/7,0)</f>
        <v>6</v>
      </c>
      <c r="J1380">
        <v>3713</v>
      </c>
      <c r="K1380" t="str">
        <f>_xlfn.CONCAT(WEEKNUM(CompilDonnées[[#This Row],[PlantationDate]]), " ", YEAR(CompilDonnées[[#This Row],[PlantationDate]]))</f>
        <v>7 2025</v>
      </c>
      <c r="L1380" t="str">
        <f>CONCATENATE(MONTH(CompilDonnées[[#This Row],[PlantationDate]])," ", YEAR(CompilDonnées[[#This Row],[PlantationDate]]))</f>
        <v>2 2025</v>
      </c>
      <c r="M1380" t="str">
        <f>CONCATENATE(MONTH(CompilDonnées[[#This Row],[HarvestingDate]])," ", YEAR(CompilDonnées[[#This Row],[HarvestingDate]]))</f>
        <v>3 2025</v>
      </c>
      <c r="N1380">
        <f>_xlfn.NUMBERVALUE(CompilDonnées[[#This Row],[FarmID]]&amp;CompilDonnées[[#This Row],[ModuleNumber]]&amp;CompilDonnées[[#This Row],[PlantationDate]])</f>
        <v>109245701</v>
      </c>
      <c r="O1380" t="str">
        <f>CompilDonnées[[#This Row],[FarmID]]&amp;CompilDonnées[[#This Row],[ModuleNumber]]</f>
        <v>1092</v>
      </c>
      <c r="P1380" t="str">
        <f>CompilDonnées[[#This Row],[Ref_Module]]&amp;CompilDonnées[[#This Row],[HarvestingDate]]</f>
        <v>109245744</v>
      </c>
    </row>
    <row r="1381" spans="1:16">
      <c r="A1381" s="5">
        <v>45701</v>
      </c>
      <c r="B1381">
        <v>97</v>
      </c>
      <c r="C1381" t="s">
        <v>78</v>
      </c>
      <c r="D1381">
        <v>4</v>
      </c>
      <c r="E1381">
        <v>100</v>
      </c>
      <c r="F1381" t="s">
        <v>1</v>
      </c>
      <c r="G1381" s="6">
        <v>45743</v>
      </c>
      <c r="H1381">
        <v>42</v>
      </c>
      <c r="I1381">
        <f>ROUND(CompilDonnées[[#This Row],[CultureDuration_days]]/7,0)</f>
        <v>6</v>
      </c>
      <c r="J1381">
        <v>4439</v>
      </c>
      <c r="K1381" t="str">
        <f>_xlfn.CONCAT(WEEKNUM(CompilDonnées[[#This Row],[PlantationDate]]), " ", YEAR(CompilDonnées[[#This Row],[PlantationDate]]))</f>
        <v>7 2025</v>
      </c>
      <c r="L1381" t="str">
        <f>CONCATENATE(MONTH(CompilDonnées[[#This Row],[PlantationDate]])," ", YEAR(CompilDonnées[[#This Row],[PlantationDate]]))</f>
        <v>2 2025</v>
      </c>
      <c r="M1381" t="str">
        <f>CONCATENATE(MONTH(CompilDonnées[[#This Row],[HarvestingDate]])," ", YEAR(CompilDonnées[[#This Row],[HarvestingDate]]))</f>
        <v>3 2025</v>
      </c>
      <c r="N1381">
        <f>_xlfn.NUMBERVALUE(CompilDonnées[[#This Row],[FarmID]]&amp;CompilDonnées[[#This Row],[ModuleNumber]]&amp;CompilDonnées[[#This Row],[PlantationDate]])</f>
        <v>97445701</v>
      </c>
      <c r="O1381" t="str">
        <f>CompilDonnées[[#This Row],[FarmID]]&amp;CompilDonnées[[#This Row],[ModuleNumber]]</f>
        <v>974</v>
      </c>
      <c r="P1381" t="str">
        <f>CompilDonnées[[#This Row],[Ref_Module]]&amp;CompilDonnées[[#This Row],[HarvestingDate]]</f>
        <v>97445743</v>
      </c>
    </row>
    <row r="1382" spans="1:16">
      <c r="A1382" s="5">
        <v>45701</v>
      </c>
      <c r="B1382">
        <v>97</v>
      </c>
      <c r="C1382" t="s">
        <v>78</v>
      </c>
      <c r="D1382">
        <v>5</v>
      </c>
      <c r="E1382">
        <v>100</v>
      </c>
      <c r="F1382" t="s">
        <v>1</v>
      </c>
      <c r="G1382" s="6">
        <v>45743</v>
      </c>
      <c r="H1382">
        <v>42</v>
      </c>
      <c r="I1382">
        <f>ROUND(CompilDonnées[[#This Row],[CultureDuration_days]]/7,0)</f>
        <v>6</v>
      </c>
      <c r="J1382">
        <v>4481</v>
      </c>
      <c r="K1382" t="str">
        <f>_xlfn.CONCAT(WEEKNUM(CompilDonnées[[#This Row],[PlantationDate]]), " ", YEAR(CompilDonnées[[#This Row],[PlantationDate]]))</f>
        <v>7 2025</v>
      </c>
      <c r="L1382" t="str">
        <f>CONCATENATE(MONTH(CompilDonnées[[#This Row],[PlantationDate]])," ", YEAR(CompilDonnées[[#This Row],[PlantationDate]]))</f>
        <v>2 2025</v>
      </c>
      <c r="M1382" t="str">
        <f>CONCATENATE(MONTH(CompilDonnées[[#This Row],[HarvestingDate]])," ", YEAR(CompilDonnées[[#This Row],[HarvestingDate]]))</f>
        <v>3 2025</v>
      </c>
      <c r="N1382">
        <f>_xlfn.NUMBERVALUE(CompilDonnées[[#This Row],[FarmID]]&amp;CompilDonnées[[#This Row],[ModuleNumber]]&amp;CompilDonnées[[#This Row],[PlantationDate]])</f>
        <v>97545701</v>
      </c>
      <c r="O1382" t="str">
        <f>CompilDonnées[[#This Row],[FarmID]]&amp;CompilDonnées[[#This Row],[ModuleNumber]]</f>
        <v>975</v>
      </c>
      <c r="P1382" t="str">
        <f>CompilDonnées[[#This Row],[Ref_Module]]&amp;CompilDonnées[[#This Row],[HarvestingDate]]</f>
        <v>97545743</v>
      </c>
    </row>
    <row r="1383" spans="1:16">
      <c r="A1383" s="5">
        <v>45701</v>
      </c>
      <c r="B1383">
        <v>90</v>
      </c>
      <c r="C1383" t="s">
        <v>72</v>
      </c>
      <c r="D1383">
        <v>5</v>
      </c>
      <c r="E1383">
        <v>100</v>
      </c>
      <c r="F1383" t="s">
        <v>1</v>
      </c>
      <c r="G1383" s="6">
        <v>45747</v>
      </c>
      <c r="H1383">
        <v>46</v>
      </c>
      <c r="I1383">
        <f>ROUND(CompilDonnées[[#This Row],[CultureDuration_days]]/7,0)</f>
        <v>7</v>
      </c>
      <c r="J1383">
        <v>4643</v>
      </c>
      <c r="K1383" t="str">
        <f>_xlfn.CONCAT(WEEKNUM(CompilDonnées[[#This Row],[PlantationDate]]), " ", YEAR(CompilDonnées[[#This Row],[PlantationDate]]))</f>
        <v>7 2025</v>
      </c>
      <c r="L1383" t="str">
        <f>CONCATENATE(MONTH(CompilDonnées[[#This Row],[PlantationDate]])," ", YEAR(CompilDonnées[[#This Row],[PlantationDate]]))</f>
        <v>2 2025</v>
      </c>
      <c r="M1383" t="str">
        <f>CONCATENATE(MONTH(CompilDonnées[[#This Row],[HarvestingDate]])," ", YEAR(CompilDonnées[[#This Row],[HarvestingDate]]))</f>
        <v>3 2025</v>
      </c>
      <c r="N1383">
        <f>_xlfn.NUMBERVALUE(CompilDonnées[[#This Row],[FarmID]]&amp;CompilDonnées[[#This Row],[ModuleNumber]]&amp;CompilDonnées[[#This Row],[PlantationDate]])</f>
        <v>90545701</v>
      </c>
      <c r="O1383" t="str">
        <f>CompilDonnées[[#This Row],[FarmID]]&amp;CompilDonnées[[#This Row],[ModuleNumber]]</f>
        <v>905</v>
      </c>
      <c r="P1383" t="str">
        <f>CompilDonnées[[#This Row],[Ref_Module]]&amp;CompilDonnées[[#This Row],[HarvestingDate]]</f>
        <v>90545747</v>
      </c>
    </row>
    <row r="1384" spans="1:16">
      <c r="A1384" s="5">
        <v>45701</v>
      </c>
      <c r="B1384">
        <v>90</v>
      </c>
      <c r="C1384" t="s">
        <v>72</v>
      </c>
      <c r="D1384">
        <v>6</v>
      </c>
      <c r="E1384">
        <v>100</v>
      </c>
      <c r="F1384" t="s">
        <v>1</v>
      </c>
      <c r="G1384" s="6">
        <v>45742</v>
      </c>
      <c r="H1384">
        <v>41</v>
      </c>
      <c r="I1384">
        <f>ROUND(CompilDonnées[[#This Row],[CultureDuration_days]]/7,0)</f>
        <v>6</v>
      </c>
      <c r="J1384">
        <v>3812</v>
      </c>
      <c r="K1384" t="str">
        <f>_xlfn.CONCAT(WEEKNUM(CompilDonnées[[#This Row],[PlantationDate]]), " ", YEAR(CompilDonnées[[#This Row],[PlantationDate]]))</f>
        <v>7 2025</v>
      </c>
      <c r="L1384" t="str">
        <f>CONCATENATE(MONTH(CompilDonnées[[#This Row],[PlantationDate]])," ", YEAR(CompilDonnées[[#This Row],[PlantationDate]]))</f>
        <v>2 2025</v>
      </c>
      <c r="M1384" t="str">
        <f>CONCATENATE(MONTH(CompilDonnées[[#This Row],[HarvestingDate]])," ", YEAR(CompilDonnées[[#This Row],[HarvestingDate]]))</f>
        <v>3 2025</v>
      </c>
      <c r="N1384">
        <f>_xlfn.NUMBERVALUE(CompilDonnées[[#This Row],[FarmID]]&amp;CompilDonnées[[#This Row],[ModuleNumber]]&amp;CompilDonnées[[#This Row],[PlantationDate]])</f>
        <v>90645701</v>
      </c>
      <c r="O1384" t="str">
        <f>CompilDonnées[[#This Row],[FarmID]]&amp;CompilDonnées[[#This Row],[ModuleNumber]]</f>
        <v>906</v>
      </c>
      <c r="P1384" t="str">
        <f>CompilDonnées[[#This Row],[Ref_Module]]&amp;CompilDonnées[[#This Row],[HarvestingDate]]</f>
        <v>90645742</v>
      </c>
    </row>
    <row r="1385" spans="1:16">
      <c r="A1385" s="5">
        <v>45701</v>
      </c>
      <c r="B1385">
        <v>103</v>
      </c>
      <c r="C1385" t="s">
        <v>86</v>
      </c>
      <c r="D1385">
        <v>1</v>
      </c>
      <c r="E1385">
        <v>100</v>
      </c>
      <c r="F1385" t="s">
        <v>1</v>
      </c>
      <c r="G1385" s="6">
        <v>45747</v>
      </c>
      <c r="H1385">
        <v>46</v>
      </c>
      <c r="I1385">
        <f>ROUND(CompilDonnées[[#This Row],[CultureDuration_days]]/7,0)</f>
        <v>7</v>
      </c>
      <c r="J1385">
        <v>3970</v>
      </c>
      <c r="K1385" t="str">
        <f>_xlfn.CONCAT(WEEKNUM(CompilDonnées[[#This Row],[PlantationDate]]), " ", YEAR(CompilDonnées[[#This Row],[PlantationDate]]))</f>
        <v>7 2025</v>
      </c>
      <c r="L1385" t="str">
        <f>CONCATENATE(MONTH(CompilDonnées[[#This Row],[PlantationDate]])," ", YEAR(CompilDonnées[[#This Row],[PlantationDate]]))</f>
        <v>2 2025</v>
      </c>
      <c r="M1385" t="str">
        <f>CONCATENATE(MONTH(CompilDonnées[[#This Row],[HarvestingDate]])," ", YEAR(CompilDonnées[[#This Row],[HarvestingDate]]))</f>
        <v>3 2025</v>
      </c>
      <c r="N1385">
        <f>_xlfn.NUMBERVALUE(CompilDonnées[[#This Row],[FarmID]]&amp;CompilDonnées[[#This Row],[ModuleNumber]]&amp;CompilDonnées[[#This Row],[PlantationDate]])</f>
        <v>103145701</v>
      </c>
      <c r="O1385" t="str">
        <f>CompilDonnées[[#This Row],[FarmID]]&amp;CompilDonnées[[#This Row],[ModuleNumber]]</f>
        <v>1031</v>
      </c>
      <c r="P1385" t="str">
        <f>CompilDonnées[[#This Row],[Ref_Module]]&amp;CompilDonnées[[#This Row],[HarvestingDate]]</f>
        <v>103145747</v>
      </c>
    </row>
    <row r="1386" spans="1:16">
      <c r="A1386" s="5">
        <v>45701</v>
      </c>
      <c r="B1386">
        <v>103</v>
      </c>
      <c r="C1386" t="s">
        <v>86</v>
      </c>
      <c r="D1386">
        <v>3</v>
      </c>
      <c r="E1386">
        <v>100</v>
      </c>
      <c r="F1386" t="s">
        <v>1</v>
      </c>
      <c r="G1386" s="6">
        <v>45743</v>
      </c>
      <c r="H1386">
        <v>42</v>
      </c>
      <c r="I1386">
        <f>ROUND(CompilDonnées[[#This Row],[CultureDuration_days]]/7,0)</f>
        <v>6</v>
      </c>
      <c r="J1386">
        <v>3666</v>
      </c>
      <c r="K1386" t="str">
        <f>_xlfn.CONCAT(WEEKNUM(CompilDonnées[[#This Row],[PlantationDate]]), " ", YEAR(CompilDonnées[[#This Row],[PlantationDate]]))</f>
        <v>7 2025</v>
      </c>
      <c r="L1386" t="str">
        <f>CONCATENATE(MONTH(CompilDonnées[[#This Row],[PlantationDate]])," ", YEAR(CompilDonnées[[#This Row],[PlantationDate]]))</f>
        <v>2 2025</v>
      </c>
      <c r="M1386" t="str">
        <f>CONCATENATE(MONTH(CompilDonnées[[#This Row],[HarvestingDate]])," ", YEAR(CompilDonnées[[#This Row],[HarvestingDate]]))</f>
        <v>3 2025</v>
      </c>
      <c r="N1386">
        <f>_xlfn.NUMBERVALUE(CompilDonnées[[#This Row],[FarmID]]&amp;CompilDonnées[[#This Row],[ModuleNumber]]&amp;CompilDonnées[[#This Row],[PlantationDate]])</f>
        <v>103345701</v>
      </c>
      <c r="O1386" t="str">
        <f>CompilDonnées[[#This Row],[FarmID]]&amp;CompilDonnées[[#This Row],[ModuleNumber]]</f>
        <v>1033</v>
      </c>
      <c r="P1386" t="str">
        <f>CompilDonnées[[#This Row],[Ref_Module]]&amp;CompilDonnées[[#This Row],[HarvestingDate]]</f>
        <v>103345743</v>
      </c>
    </row>
    <row r="1387" spans="1:16">
      <c r="A1387" s="5">
        <v>45701</v>
      </c>
      <c r="B1387">
        <v>78</v>
      </c>
      <c r="C1387" t="s">
        <v>3</v>
      </c>
      <c r="D1387">
        <v>6</v>
      </c>
      <c r="E1387">
        <v>100</v>
      </c>
      <c r="F1387" t="s">
        <v>1</v>
      </c>
      <c r="G1387" s="6">
        <v>45736</v>
      </c>
      <c r="H1387">
        <v>35</v>
      </c>
      <c r="I1387">
        <f>ROUND(CompilDonnées[[#This Row],[CultureDuration_days]]/7,0)</f>
        <v>5</v>
      </c>
      <c r="J1387">
        <v>1664</v>
      </c>
      <c r="K1387" t="str">
        <f>_xlfn.CONCAT(WEEKNUM(CompilDonnées[[#This Row],[PlantationDate]]), " ", YEAR(CompilDonnées[[#This Row],[PlantationDate]]))</f>
        <v>7 2025</v>
      </c>
      <c r="L1387" t="str">
        <f>CONCATENATE(MONTH(CompilDonnées[[#This Row],[PlantationDate]])," ", YEAR(CompilDonnées[[#This Row],[PlantationDate]]))</f>
        <v>2 2025</v>
      </c>
      <c r="M1387" t="str">
        <f>CONCATENATE(MONTH(CompilDonnées[[#This Row],[HarvestingDate]])," ", YEAR(CompilDonnées[[#This Row],[HarvestingDate]]))</f>
        <v>3 2025</v>
      </c>
      <c r="N1387">
        <f>_xlfn.NUMBERVALUE(CompilDonnées[[#This Row],[FarmID]]&amp;CompilDonnées[[#This Row],[ModuleNumber]]&amp;CompilDonnées[[#This Row],[PlantationDate]])</f>
        <v>78645701</v>
      </c>
      <c r="O1387" t="str">
        <f>CompilDonnées[[#This Row],[FarmID]]&amp;CompilDonnées[[#This Row],[ModuleNumber]]</f>
        <v>786</v>
      </c>
      <c r="P1387" t="str">
        <f>CompilDonnées[[#This Row],[Ref_Module]]&amp;CompilDonnées[[#This Row],[HarvestingDate]]</f>
        <v>78645736</v>
      </c>
    </row>
    <row r="1388" spans="1:16">
      <c r="A1388" s="5">
        <v>45701</v>
      </c>
      <c r="B1388">
        <v>78</v>
      </c>
      <c r="C1388" t="s">
        <v>3</v>
      </c>
      <c r="D1388">
        <v>5</v>
      </c>
      <c r="E1388">
        <v>68</v>
      </c>
      <c r="F1388" t="s">
        <v>1</v>
      </c>
      <c r="G1388" s="6">
        <v>45748</v>
      </c>
      <c r="H1388">
        <v>47</v>
      </c>
      <c r="I1388">
        <f>ROUND(CompilDonnées[[#This Row],[CultureDuration_days]]/7,0)</f>
        <v>7</v>
      </c>
      <c r="J1388">
        <v>2136</v>
      </c>
      <c r="K1388" t="str">
        <f>_xlfn.CONCAT(WEEKNUM(CompilDonnées[[#This Row],[PlantationDate]]), " ", YEAR(CompilDonnées[[#This Row],[PlantationDate]]))</f>
        <v>7 2025</v>
      </c>
      <c r="L1388" t="str">
        <f>CONCATENATE(MONTH(CompilDonnées[[#This Row],[PlantationDate]])," ", YEAR(CompilDonnées[[#This Row],[PlantationDate]]))</f>
        <v>2 2025</v>
      </c>
      <c r="M1388" t="str">
        <f>CONCATENATE(MONTH(CompilDonnées[[#This Row],[HarvestingDate]])," ", YEAR(CompilDonnées[[#This Row],[HarvestingDate]]))</f>
        <v>4 2025</v>
      </c>
      <c r="N1388">
        <f>_xlfn.NUMBERVALUE(CompilDonnées[[#This Row],[FarmID]]&amp;CompilDonnées[[#This Row],[ModuleNumber]]&amp;CompilDonnées[[#This Row],[PlantationDate]])</f>
        <v>78545701</v>
      </c>
      <c r="O1388" t="str">
        <f>CompilDonnées[[#This Row],[FarmID]]&amp;CompilDonnées[[#This Row],[ModuleNumber]]</f>
        <v>785</v>
      </c>
      <c r="P1388" t="str">
        <f>CompilDonnées[[#This Row],[Ref_Module]]&amp;CompilDonnées[[#This Row],[HarvestingDate]]</f>
        <v>78545748</v>
      </c>
    </row>
    <row r="1389" spans="1:16">
      <c r="A1389" s="5">
        <v>45701</v>
      </c>
      <c r="B1389">
        <v>78</v>
      </c>
      <c r="C1389" t="s">
        <v>3</v>
      </c>
      <c r="D1389">
        <v>4</v>
      </c>
      <c r="E1389">
        <v>52</v>
      </c>
      <c r="F1389" t="s">
        <v>1</v>
      </c>
      <c r="G1389" s="6">
        <v>45748</v>
      </c>
      <c r="H1389">
        <v>47</v>
      </c>
      <c r="I1389">
        <f>ROUND(CompilDonnées[[#This Row],[CultureDuration_days]]/7,0)</f>
        <v>7</v>
      </c>
      <c r="J1389">
        <v>1933</v>
      </c>
      <c r="K1389" t="str">
        <f>_xlfn.CONCAT(WEEKNUM(CompilDonnées[[#This Row],[PlantationDate]]), " ", YEAR(CompilDonnées[[#This Row],[PlantationDate]]))</f>
        <v>7 2025</v>
      </c>
      <c r="L1389" t="str">
        <f>CONCATENATE(MONTH(CompilDonnées[[#This Row],[PlantationDate]])," ", YEAR(CompilDonnées[[#This Row],[PlantationDate]]))</f>
        <v>2 2025</v>
      </c>
      <c r="M1389" t="str">
        <f>CONCATENATE(MONTH(CompilDonnées[[#This Row],[HarvestingDate]])," ", YEAR(CompilDonnées[[#This Row],[HarvestingDate]]))</f>
        <v>4 2025</v>
      </c>
      <c r="N1389">
        <f>_xlfn.NUMBERVALUE(CompilDonnées[[#This Row],[FarmID]]&amp;CompilDonnées[[#This Row],[ModuleNumber]]&amp;CompilDonnées[[#This Row],[PlantationDate]])</f>
        <v>78445701</v>
      </c>
      <c r="O1389" t="str">
        <f>CompilDonnées[[#This Row],[FarmID]]&amp;CompilDonnées[[#This Row],[ModuleNumber]]</f>
        <v>784</v>
      </c>
      <c r="P1389" t="str">
        <f>CompilDonnées[[#This Row],[Ref_Module]]&amp;CompilDonnées[[#This Row],[HarvestingDate]]</f>
        <v>78445748</v>
      </c>
    </row>
    <row r="1390" spans="1:16">
      <c r="A1390" s="5">
        <v>45701</v>
      </c>
      <c r="B1390">
        <v>114</v>
      </c>
      <c r="C1390" t="s">
        <v>3</v>
      </c>
      <c r="D1390">
        <v>6</v>
      </c>
      <c r="E1390">
        <v>60</v>
      </c>
      <c r="F1390" t="s">
        <v>105</v>
      </c>
      <c r="G1390" s="6">
        <v>45757</v>
      </c>
      <c r="H1390">
        <v>56</v>
      </c>
      <c r="I1390">
        <f>ROUND(CompilDonnées[[#This Row],[CultureDuration_days]]/7,0)</f>
        <v>8</v>
      </c>
      <c r="J1390">
        <v>1581</v>
      </c>
      <c r="K1390" t="str">
        <f>_xlfn.CONCAT(WEEKNUM(CompilDonnées[[#This Row],[PlantationDate]]), " ", YEAR(CompilDonnées[[#This Row],[PlantationDate]]))</f>
        <v>7 2025</v>
      </c>
      <c r="L1390" t="str">
        <f>CONCATENATE(MONTH(CompilDonnées[[#This Row],[PlantationDate]])," ", YEAR(CompilDonnées[[#This Row],[PlantationDate]]))</f>
        <v>2 2025</v>
      </c>
      <c r="M1390" t="str">
        <f>CONCATENATE(MONTH(CompilDonnées[[#This Row],[HarvestingDate]])," ", YEAR(CompilDonnées[[#This Row],[HarvestingDate]]))</f>
        <v>4 2025</v>
      </c>
      <c r="N1390">
        <f>_xlfn.NUMBERVALUE(CompilDonnées[[#This Row],[FarmID]]&amp;CompilDonnées[[#This Row],[ModuleNumber]]&amp;CompilDonnées[[#This Row],[PlantationDate]])</f>
        <v>114645701</v>
      </c>
      <c r="O1390" t="str">
        <f>CompilDonnées[[#This Row],[FarmID]]&amp;CompilDonnées[[#This Row],[ModuleNumber]]</f>
        <v>1146</v>
      </c>
      <c r="P1390" t="str">
        <f>CompilDonnées[[#This Row],[Ref_Module]]&amp;CompilDonnées[[#This Row],[HarvestingDate]]</f>
        <v>114645757</v>
      </c>
    </row>
    <row r="1391" spans="1:16">
      <c r="A1391" s="5">
        <v>45701</v>
      </c>
      <c r="B1391">
        <v>96</v>
      </c>
      <c r="C1391" t="s">
        <v>3</v>
      </c>
      <c r="D1391">
        <v>1</v>
      </c>
      <c r="E1391">
        <v>60</v>
      </c>
      <c r="F1391" t="s">
        <v>105</v>
      </c>
      <c r="G1391" s="6">
        <v>45756</v>
      </c>
      <c r="H1391">
        <v>55</v>
      </c>
      <c r="I1391">
        <f>ROUND(CompilDonnées[[#This Row],[CultureDuration_days]]/7,0)</f>
        <v>8</v>
      </c>
      <c r="J1391">
        <v>1552</v>
      </c>
      <c r="K1391" t="str">
        <f>_xlfn.CONCAT(WEEKNUM(CompilDonnées[[#This Row],[PlantationDate]]), " ", YEAR(CompilDonnées[[#This Row],[PlantationDate]]))</f>
        <v>7 2025</v>
      </c>
      <c r="L1391" t="str">
        <f>CONCATENATE(MONTH(CompilDonnées[[#This Row],[PlantationDate]])," ", YEAR(CompilDonnées[[#This Row],[PlantationDate]]))</f>
        <v>2 2025</v>
      </c>
      <c r="M1391" t="str">
        <f>CONCATENATE(MONTH(CompilDonnées[[#This Row],[HarvestingDate]])," ", YEAR(CompilDonnées[[#This Row],[HarvestingDate]]))</f>
        <v>4 2025</v>
      </c>
      <c r="N1391">
        <f>_xlfn.NUMBERVALUE(CompilDonnées[[#This Row],[FarmID]]&amp;CompilDonnées[[#This Row],[ModuleNumber]]&amp;CompilDonnées[[#This Row],[PlantationDate]])</f>
        <v>96145701</v>
      </c>
      <c r="O1391" t="str">
        <f>CompilDonnées[[#This Row],[FarmID]]&amp;CompilDonnées[[#This Row],[ModuleNumber]]</f>
        <v>961</v>
      </c>
      <c r="P1391" t="str">
        <f>CompilDonnées[[#This Row],[Ref_Module]]&amp;CompilDonnées[[#This Row],[HarvestingDate]]</f>
        <v>96145756</v>
      </c>
    </row>
    <row r="1392" spans="1:16">
      <c r="A1392" s="5">
        <v>45702</v>
      </c>
      <c r="B1392">
        <v>71</v>
      </c>
      <c r="C1392" t="s">
        <v>19</v>
      </c>
      <c r="D1392">
        <v>1</v>
      </c>
      <c r="E1392">
        <v>100</v>
      </c>
      <c r="F1392" t="s">
        <v>1</v>
      </c>
      <c r="G1392" s="6">
        <v>45748</v>
      </c>
      <c r="H1392">
        <v>46</v>
      </c>
      <c r="I1392">
        <f>ROUND(CompilDonnées[[#This Row],[CultureDuration_days]]/7,0)</f>
        <v>7</v>
      </c>
      <c r="J1392">
        <v>3006</v>
      </c>
      <c r="K1392" t="str">
        <f>_xlfn.CONCAT(WEEKNUM(CompilDonnées[[#This Row],[PlantationDate]]), " ", YEAR(CompilDonnées[[#This Row],[PlantationDate]]))</f>
        <v>7 2025</v>
      </c>
      <c r="L1392" t="str">
        <f>CONCATENATE(MONTH(CompilDonnées[[#This Row],[PlantationDate]])," ", YEAR(CompilDonnées[[#This Row],[PlantationDate]]))</f>
        <v>2 2025</v>
      </c>
      <c r="M1392" t="str">
        <f>CONCATENATE(MONTH(CompilDonnées[[#This Row],[HarvestingDate]])," ", YEAR(CompilDonnées[[#This Row],[HarvestingDate]]))</f>
        <v>4 2025</v>
      </c>
      <c r="N1392">
        <f>_xlfn.NUMBERVALUE(CompilDonnées[[#This Row],[FarmID]]&amp;CompilDonnées[[#This Row],[ModuleNumber]]&amp;CompilDonnées[[#This Row],[PlantationDate]])</f>
        <v>71145702</v>
      </c>
      <c r="O1392" t="str">
        <f>CompilDonnées[[#This Row],[FarmID]]&amp;CompilDonnées[[#This Row],[ModuleNumber]]</f>
        <v>711</v>
      </c>
      <c r="P1392" t="str">
        <f>CompilDonnées[[#This Row],[Ref_Module]]&amp;CompilDonnées[[#This Row],[HarvestingDate]]</f>
        <v>71145748</v>
      </c>
    </row>
    <row r="1393" spans="1:16">
      <c r="A1393" s="5">
        <v>45702</v>
      </c>
      <c r="B1393">
        <v>76</v>
      </c>
      <c r="C1393" t="s">
        <v>18</v>
      </c>
      <c r="D1393">
        <v>6</v>
      </c>
      <c r="E1393">
        <v>100</v>
      </c>
      <c r="F1393" t="s">
        <v>1</v>
      </c>
      <c r="G1393" s="6">
        <v>45748</v>
      </c>
      <c r="H1393">
        <v>46</v>
      </c>
      <c r="I1393">
        <f>ROUND(CompilDonnées[[#This Row],[CultureDuration_days]]/7,0)</f>
        <v>7</v>
      </c>
      <c r="J1393">
        <v>5625</v>
      </c>
      <c r="K1393" t="str">
        <f>_xlfn.CONCAT(WEEKNUM(CompilDonnées[[#This Row],[PlantationDate]]), " ", YEAR(CompilDonnées[[#This Row],[PlantationDate]]))</f>
        <v>7 2025</v>
      </c>
      <c r="L1393" t="str">
        <f>CONCATENATE(MONTH(CompilDonnées[[#This Row],[PlantationDate]])," ", YEAR(CompilDonnées[[#This Row],[PlantationDate]]))</f>
        <v>2 2025</v>
      </c>
      <c r="M1393" t="str">
        <f>CONCATENATE(MONTH(CompilDonnées[[#This Row],[HarvestingDate]])," ", YEAR(CompilDonnées[[#This Row],[HarvestingDate]]))</f>
        <v>4 2025</v>
      </c>
      <c r="N1393">
        <f>_xlfn.NUMBERVALUE(CompilDonnées[[#This Row],[FarmID]]&amp;CompilDonnées[[#This Row],[ModuleNumber]]&amp;CompilDonnées[[#This Row],[PlantationDate]])</f>
        <v>76645702</v>
      </c>
      <c r="O1393" t="str">
        <f>CompilDonnées[[#This Row],[FarmID]]&amp;CompilDonnées[[#This Row],[ModuleNumber]]</f>
        <v>766</v>
      </c>
      <c r="P1393" t="str">
        <f>CompilDonnées[[#This Row],[Ref_Module]]&amp;CompilDonnées[[#This Row],[HarvestingDate]]</f>
        <v>76645748</v>
      </c>
    </row>
    <row r="1394" spans="1:16">
      <c r="A1394" s="5">
        <v>45702</v>
      </c>
      <c r="B1394">
        <v>77</v>
      </c>
      <c r="C1394" t="s">
        <v>75</v>
      </c>
      <c r="D1394">
        <v>5</v>
      </c>
      <c r="E1394">
        <v>100</v>
      </c>
      <c r="F1394" t="s">
        <v>1</v>
      </c>
      <c r="G1394" s="6">
        <v>45743</v>
      </c>
      <c r="H1394">
        <v>41</v>
      </c>
      <c r="I1394">
        <f>ROUND(CompilDonnées[[#This Row],[CultureDuration_days]]/7,0)</f>
        <v>6</v>
      </c>
      <c r="J1394">
        <v>4472</v>
      </c>
      <c r="K1394" t="str">
        <f>_xlfn.CONCAT(WEEKNUM(CompilDonnées[[#This Row],[PlantationDate]]), " ", YEAR(CompilDonnées[[#This Row],[PlantationDate]]))</f>
        <v>7 2025</v>
      </c>
      <c r="L1394" t="str">
        <f>CONCATENATE(MONTH(CompilDonnées[[#This Row],[PlantationDate]])," ", YEAR(CompilDonnées[[#This Row],[PlantationDate]]))</f>
        <v>2 2025</v>
      </c>
      <c r="M1394" t="str">
        <f>CONCATENATE(MONTH(CompilDonnées[[#This Row],[HarvestingDate]])," ", YEAR(CompilDonnées[[#This Row],[HarvestingDate]]))</f>
        <v>3 2025</v>
      </c>
      <c r="N1394">
        <f>_xlfn.NUMBERVALUE(CompilDonnées[[#This Row],[FarmID]]&amp;CompilDonnées[[#This Row],[ModuleNumber]]&amp;CompilDonnées[[#This Row],[PlantationDate]])</f>
        <v>77545702</v>
      </c>
      <c r="O1394" t="str">
        <f>CompilDonnées[[#This Row],[FarmID]]&amp;CompilDonnées[[#This Row],[ModuleNumber]]</f>
        <v>775</v>
      </c>
      <c r="P1394" t="str">
        <f>CompilDonnées[[#This Row],[Ref_Module]]&amp;CompilDonnées[[#This Row],[HarvestingDate]]</f>
        <v>77545743</v>
      </c>
    </row>
    <row r="1395" spans="1:16">
      <c r="A1395" s="5">
        <v>45702</v>
      </c>
      <c r="B1395">
        <v>77</v>
      </c>
      <c r="C1395" t="s">
        <v>75</v>
      </c>
      <c r="D1395">
        <v>6</v>
      </c>
      <c r="E1395">
        <v>100</v>
      </c>
      <c r="F1395" t="s">
        <v>1</v>
      </c>
      <c r="G1395" s="6">
        <v>45748</v>
      </c>
      <c r="H1395">
        <v>46</v>
      </c>
      <c r="I1395">
        <f>ROUND(CompilDonnées[[#This Row],[CultureDuration_days]]/7,0)</f>
        <v>7</v>
      </c>
      <c r="J1395">
        <v>5419</v>
      </c>
      <c r="K1395" t="str">
        <f>_xlfn.CONCAT(WEEKNUM(CompilDonnées[[#This Row],[PlantationDate]]), " ", YEAR(CompilDonnées[[#This Row],[PlantationDate]]))</f>
        <v>7 2025</v>
      </c>
      <c r="L1395" t="str">
        <f>CONCATENATE(MONTH(CompilDonnées[[#This Row],[PlantationDate]])," ", YEAR(CompilDonnées[[#This Row],[PlantationDate]]))</f>
        <v>2 2025</v>
      </c>
      <c r="M1395" t="str">
        <f>CONCATENATE(MONTH(CompilDonnées[[#This Row],[HarvestingDate]])," ", YEAR(CompilDonnées[[#This Row],[HarvestingDate]]))</f>
        <v>4 2025</v>
      </c>
      <c r="N1395">
        <f>_xlfn.NUMBERVALUE(CompilDonnées[[#This Row],[FarmID]]&amp;CompilDonnées[[#This Row],[ModuleNumber]]&amp;CompilDonnées[[#This Row],[PlantationDate]])</f>
        <v>77645702</v>
      </c>
      <c r="O1395" t="str">
        <f>CompilDonnées[[#This Row],[FarmID]]&amp;CompilDonnées[[#This Row],[ModuleNumber]]</f>
        <v>776</v>
      </c>
      <c r="P1395" t="str">
        <f>CompilDonnées[[#This Row],[Ref_Module]]&amp;CompilDonnées[[#This Row],[HarvestingDate]]</f>
        <v>77645748</v>
      </c>
    </row>
    <row r="1396" spans="1:16">
      <c r="A1396" s="5">
        <v>45702</v>
      </c>
      <c r="B1396">
        <v>84</v>
      </c>
      <c r="C1396" t="s">
        <v>65</v>
      </c>
      <c r="D1396">
        <v>6</v>
      </c>
      <c r="E1396">
        <v>100</v>
      </c>
      <c r="F1396" t="s">
        <v>1</v>
      </c>
      <c r="G1396" s="6">
        <v>45744</v>
      </c>
      <c r="H1396">
        <v>42</v>
      </c>
      <c r="I1396">
        <f>ROUND(CompilDonnées[[#This Row],[CultureDuration_days]]/7,0)</f>
        <v>6</v>
      </c>
      <c r="J1396">
        <v>4135</v>
      </c>
      <c r="K1396" t="str">
        <f>_xlfn.CONCAT(WEEKNUM(CompilDonnées[[#This Row],[PlantationDate]]), " ", YEAR(CompilDonnées[[#This Row],[PlantationDate]]))</f>
        <v>7 2025</v>
      </c>
      <c r="L1396" t="str">
        <f>CONCATENATE(MONTH(CompilDonnées[[#This Row],[PlantationDate]])," ", YEAR(CompilDonnées[[#This Row],[PlantationDate]]))</f>
        <v>2 2025</v>
      </c>
      <c r="M1396" t="str">
        <f>CONCATENATE(MONTH(CompilDonnées[[#This Row],[HarvestingDate]])," ", YEAR(CompilDonnées[[#This Row],[HarvestingDate]]))</f>
        <v>3 2025</v>
      </c>
      <c r="N1396">
        <f>_xlfn.NUMBERVALUE(CompilDonnées[[#This Row],[FarmID]]&amp;CompilDonnées[[#This Row],[ModuleNumber]]&amp;CompilDonnées[[#This Row],[PlantationDate]])</f>
        <v>84645702</v>
      </c>
      <c r="O1396" t="str">
        <f>CompilDonnées[[#This Row],[FarmID]]&amp;CompilDonnées[[#This Row],[ModuleNumber]]</f>
        <v>846</v>
      </c>
      <c r="P1396" t="str">
        <f>CompilDonnées[[#This Row],[Ref_Module]]&amp;CompilDonnées[[#This Row],[HarvestingDate]]</f>
        <v>84645744</v>
      </c>
    </row>
    <row r="1397" spans="1:16">
      <c r="A1397" s="5">
        <v>45702</v>
      </c>
      <c r="B1397">
        <v>61</v>
      </c>
      <c r="C1397" t="s">
        <v>95</v>
      </c>
      <c r="D1397">
        <v>3</v>
      </c>
      <c r="E1397">
        <v>100</v>
      </c>
      <c r="F1397" t="s">
        <v>1</v>
      </c>
      <c r="G1397" s="6">
        <v>45742</v>
      </c>
      <c r="H1397">
        <v>40</v>
      </c>
      <c r="I1397">
        <f>ROUND(CompilDonnées[[#This Row],[CultureDuration_days]]/7,0)</f>
        <v>6</v>
      </c>
      <c r="J1397">
        <v>3213</v>
      </c>
      <c r="K1397" t="str">
        <f>_xlfn.CONCAT(WEEKNUM(CompilDonnées[[#This Row],[PlantationDate]]), " ", YEAR(CompilDonnées[[#This Row],[PlantationDate]]))</f>
        <v>7 2025</v>
      </c>
      <c r="L1397" t="str">
        <f>CONCATENATE(MONTH(CompilDonnées[[#This Row],[PlantationDate]])," ", YEAR(CompilDonnées[[#This Row],[PlantationDate]]))</f>
        <v>2 2025</v>
      </c>
      <c r="M1397" t="str">
        <f>CONCATENATE(MONTH(CompilDonnées[[#This Row],[HarvestingDate]])," ", YEAR(CompilDonnées[[#This Row],[HarvestingDate]]))</f>
        <v>3 2025</v>
      </c>
      <c r="N1397">
        <f>_xlfn.NUMBERVALUE(CompilDonnées[[#This Row],[FarmID]]&amp;CompilDonnées[[#This Row],[ModuleNumber]]&amp;CompilDonnées[[#This Row],[PlantationDate]])</f>
        <v>61345702</v>
      </c>
      <c r="O1397" t="str">
        <f>CompilDonnées[[#This Row],[FarmID]]&amp;CompilDonnées[[#This Row],[ModuleNumber]]</f>
        <v>613</v>
      </c>
      <c r="P1397" t="str">
        <f>CompilDonnées[[#This Row],[Ref_Module]]&amp;CompilDonnées[[#This Row],[HarvestingDate]]</f>
        <v>61345742</v>
      </c>
    </row>
    <row r="1398" spans="1:16">
      <c r="A1398" s="5">
        <v>45702</v>
      </c>
      <c r="B1398">
        <v>61</v>
      </c>
      <c r="C1398" t="s">
        <v>95</v>
      </c>
      <c r="D1398">
        <v>4</v>
      </c>
      <c r="E1398">
        <v>100</v>
      </c>
      <c r="F1398" t="s">
        <v>1</v>
      </c>
      <c r="G1398" s="6">
        <v>45743</v>
      </c>
      <c r="H1398">
        <v>41</v>
      </c>
      <c r="I1398">
        <f>ROUND(CompilDonnées[[#This Row],[CultureDuration_days]]/7,0)</f>
        <v>6</v>
      </c>
      <c r="J1398">
        <v>3709</v>
      </c>
      <c r="K1398" t="str">
        <f>_xlfn.CONCAT(WEEKNUM(CompilDonnées[[#This Row],[PlantationDate]]), " ", YEAR(CompilDonnées[[#This Row],[PlantationDate]]))</f>
        <v>7 2025</v>
      </c>
      <c r="L1398" t="str">
        <f>CONCATENATE(MONTH(CompilDonnées[[#This Row],[PlantationDate]])," ", YEAR(CompilDonnées[[#This Row],[PlantationDate]]))</f>
        <v>2 2025</v>
      </c>
      <c r="M1398" t="str">
        <f>CONCATENATE(MONTH(CompilDonnées[[#This Row],[HarvestingDate]])," ", YEAR(CompilDonnées[[#This Row],[HarvestingDate]]))</f>
        <v>3 2025</v>
      </c>
      <c r="N1398">
        <f>_xlfn.NUMBERVALUE(CompilDonnées[[#This Row],[FarmID]]&amp;CompilDonnées[[#This Row],[ModuleNumber]]&amp;CompilDonnées[[#This Row],[PlantationDate]])</f>
        <v>61445702</v>
      </c>
      <c r="O1398" t="str">
        <f>CompilDonnées[[#This Row],[FarmID]]&amp;CompilDonnées[[#This Row],[ModuleNumber]]</f>
        <v>614</v>
      </c>
      <c r="P1398" t="str">
        <f>CompilDonnées[[#This Row],[Ref_Module]]&amp;CompilDonnées[[#This Row],[HarvestingDate]]</f>
        <v>61445743</v>
      </c>
    </row>
    <row r="1399" spans="1:16">
      <c r="A1399" s="5">
        <v>45702</v>
      </c>
      <c r="B1399">
        <v>63</v>
      </c>
      <c r="C1399" t="s">
        <v>98</v>
      </c>
      <c r="D1399">
        <v>3</v>
      </c>
      <c r="E1399">
        <v>100</v>
      </c>
      <c r="F1399" t="s">
        <v>1</v>
      </c>
      <c r="G1399" s="6">
        <v>45741</v>
      </c>
      <c r="H1399">
        <v>39</v>
      </c>
      <c r="I1399">
        <f>ROUND(CompilDonnées[[#This Row],[CultureDuration_days]]/7,0)</f>
        <v>6</v>
      </c>
      <c r="J1399">
        <v>3380</v>
      </c>
      <c r="K1399" t="str">
        <f>_xlfn.CONCAT(WEEKNUM(CompilDonnées[[#This Row],[PlantationDate]]), " ", YEAR(CompilDonnées[[#This Row],[PlantationDate]]))</f>
        <v>7 2025</v>
      </c>
      <c r="L1399" t="str">
        <f>CONCATENATE(MONTH(CompilDonnées[[#This Row],[PlantationDate]])," ", YEAR(CompilDonnées[[#This Row],[PlantationDate]]))</f>
        <v>2 2025</v>
      </c>
      <c r="M1399" t="str">
        <f>CONCATENATE(MONTH(CompilDonnées[[#This Row],[HarvestingDate]])," ", YEAR(CompilDonnées[[#This Row],[HarvestingDate]]))</f>
        <v>3 2025</v>
      </c>
      <c r="N1399">
        <f>_xlfn.NUMBERVALUE(CompilDonnées[[#This Row],[FarmID]]&amp;CompilDonnées[[#This Row],[ModuleNumber]]&amp;CompilDonnées[[#This Row],[PlantationDate]])</f>
        <v>63345702</v>
      </c>
      <c r="O1399" t="str">
        <f>CompilDonnées[[#This Row],[FarmID]]&amp;CompilDonnées[[#This Row],[ModuleNumber]]</f>
        <v>633</v>
      </c>
      <c r="P1399" t="str">
        <f>CompilDonnées[[#This Row],[Ref_Module]]&amp;CompilDonnées[[#This Row],[HarvestingDate]]</f>
        <v>63345741</v>
      </c>
    </row>
    <row r="1400" spans="1:16">
      <c r="A1400" s="5">
        <v>45702</v>
      </c>
      <c r="B1400">
        <v>63</v>
      </c>
      <c r="C1400" t="s">
        <v>98</v>
      </c>
      <c r="D1400">
        <v>4</v>
      </c>
      <c r="E1400">
        <v>100</v>
      </c>
      <c r="F1400" t="s">
        <v>1</v>
      </c>
      <c r="G1400" s="6">
        <v>45741</v>
      </c>
      <c r="H1400">
        <v>39</v>
      </c>
      <c r="I1400">
        <f>ROUND(CompilDonnées[[#This Row],[CultureDuration_days]]/7,0)</f>
        <v>6</v>
      </c>
      <c r="J1400">
        <v>3329</v>
      </c>
      <c r="K1400" t="str">
        <f>_xlfn.CONCAT(WEEKNUM(CompilDonnées[[#This Row],[PlantationDate]]), " ", YEAR(CompilDonnées[[#This Row],[PlantationDate]]))</f>
        <v>7 2025</v>
      </c>
      <c r="L1400" t="str">
        <f>CONCATENATE(MONTH(CompilDonnées[[#This Row],[PlantationDate]])," ", YEAR(CompilDonnées[[#This Row],[PlantationDate]]))</f>
        <v>2 2025</v>
      </c>
      <c r="M1400" t="str">
        <f>CONCATENATE(MONTH(CompilDonnées[[#This Row],[HarvestingDate]])," ", YEAR(CompilDonnées[[#This Row],[HarvestingDate]]))</f>
        <v>3 2025</v>
      </c>
      <c r="N1400">
        <f>_xlfn.NUMBERVALUE(CompilDonnées[[#This Row],[FarmID]]&amp;CompilDonnées[[#This Row],[ModuleNumber]]&amp;CompilDonnées[[#This Row],[PlantationDate]])</f>
        <v>63445702</v>
      </c>
      <c r="O1400" t="str">
        <f>CompilDonnées[[#This Row],[FarmID]]&amp;CompilDonnées[[#This Row],[ModuleNumber]]</f>
        <v>634</v>
      </c>
      <c r="P1400" t="str">
        <f>CompilDonnées[[#This Row],[Ref_Module]]&amp;CompilDonnées[[#This Row],[HarvestingDate]]</f>
        <v>63445741</v>
      </c>
    </row>
    <row r="1401" spans="1:16">
      <c r="A1401" s="5">
        <v>45702</v>
      </c>
      <c r="B1401">
        <v>69</v>
      </c>
      <c r="C1401" t="s">
        <v>102</v>
      </c>
      <c r="D1401">
        <v>3</v>
      </c>
      <c r="E1401">
        <v>100</v>
      </c>
      <c r="F1401" t="s">
        <v>1</v>
      </c>
      <c r="G1401" s="6">
        <v>45741</v>
      </c>
      <c r="H1401">
        <v>39</v>
      </c>
      <c r="I1401">
        <f>ROUND(CompilDonnées[[#This Row],[CultureDuration_days]]/7,0)</f>
        <v>6</v>
      </c>
      <c r="J1401">
        <v>3748</v>
      </c>
      <c r="K1401" t="str">
        <f>_xlfn.CONCAT(WEEKNUM(CompilDonnées[[#This Row],[PlantationDate]]), " ", YEAR(CompilDonnées[[#This Row],[PlantationDate]]))</f>
        <v>7 2025</v>
      </c>
      <c r="L1401" t="str">
        <f>CONCATENATE(MONTH(CompilDonnées[[#This Row],[PlantationDate]])," ", YEAR(CompilDonnées[[#This Row],[PlantationDate]]))</f>
        <v>2 2025</v>
      </c>
      <c r="M1401" t="str">
        <f>CONCATENATE(MONTH(CompilDonnées[[#This Row],[HarvestingDate]])," ", YEAR(CompilDonnées[[#This Row],[HarvestingDate]]))</f>
        <v>3 2025</v>
      </c>
      <c r="N1401">
        <f>_xlfn.NUMBERVALUE(CompilDonnées[[#This Row],[FarmID]]&amp;CompilDonnées[[#This Row],[ModuleNumber]]&amp;CompilDonnées[[#This Row],[PlantationDate]])</f>
        <v>69345702</v>
      </c>
      <c r="O1401" t="str">
        <f>CompilDonnées[[#This Row],[FarmID]]&amp;CompilDonnées[[#This Row],[ModuleNumber]]</f>
        <v>693</v>
      </c>
      <c r="P1401" t="str">
        <f>CompilDonnées[[#This Row],[Ref_Module]]&amp;CompilDonnées[[#This Row],[HarvestingDate]]</f>
        <v>69345741</v>
      </c>
    </row>
    <row r="1402" spans="1:16">
      <c r="A1402" s="5">
        <v>45702</v>
      </c>
      <c r="B1402">
        <v>69</v>
      </c>
      <c r="C1402" t="s">
        <v>102</v>
      </c>
      <c r="D1402">
        <v>4</v>
      </c>
      <c r="E1402">
        <v>100</v>
      </c>
      <c r="F1402" t="s">
        <v>1</v>
      </c>
      <c r="G1402" s="6">
        <v>45741</v>
      </c>
      <c r="H1402">
        <v>39</v>
      </c>
      <c r="I1402">
        <f>ROUND(CompilDonnées[[#This Row],[CultureDuration_days]]/7,0)</f>
        <v>6</v>
      </c>
      <c r="J1402">
        <v>3759</v>
      </c>
      <c r="K1402" t="str">
        <f>_xlfn.CONCAT(WEEKNUM(CompilDonnées[[#This Row],[PlantationDate]]), " ", YEAR(CompilDonnées[[#This Row],[PlantationDate]]))</f>
        <v>7 2025</v>
      </c>
      <c r="L1402" t="str">
        <f>CONCATENATE(MONTH(CompilDonnées[[#This Row],[PlantationDate]])," ", YEAR(CompilDonnées[[#This Row],[PlantationDate]]))</f>
        <v>2 2025</v>
      </c>
      <c r="M1402" t="str">
        <f>CONCATENATE(MONTH(CompilDonnées[[#This Row],[HarvestingDate]])," ", YEAR(CompilDonnées[[#This Row],[HarvestingDate]]))</f>
        <v>3 2025</v>
      </c>
      <c r="N1402">
        <f>_xlfn.NUMBERVALUE(CompilDonnées[[#This Row],[FarmID]]&amp;CompilDonnées[[#This Row],[ModuleNumber]]&amp;CompilDonnées[[#This Row],[PlantationDate]])</f>
        <v>69445702</v>
      </c>
      <c r="O1402" t="str">
        <f>CompilDonnées[[#This Row],[FarmID]]&amp;CompilDonnées[[#This Row],[ModuleNumber]]</f>
        <v>694</v>
      </c>
      <c r="P1402" t="str">
        <f>CompilDonnées[[#This Row],[Ref_Module]]&amp;CompilDonnées[[#This Row],[HarvestingDate]]</f>
        <v>69445741</v>
      </c>
    </row>
    <row r="1403" spans="1:16">
      <c r="A1403" s="5">
        <v>45702</v>
      </c>
      <c r="B1403">
        <v>70</v>
      </c>
      <c r="C1403" t="s">
        <v>7</v>
      </c>
      <c r="D1403">
        <v>3</v>
      </c>
      <c r="E1403">
        <v>100</v>
      </c>
      <c r="F1403" t="s">
        <v>1</v>
      </c>
      <c r="G1403" s="6">
        <v>45748</v>
      </c>
      <c r="H1403">
        <v>46</v>
      </c>
      <c r="I1403">
        <f>ROUND(CompilDonnées[[#This Row],[CultureDuration_days]]/7,0)</f>
        <v>7</v>
      </c>
      <c r="J1403">
        <v>4078</v>
      </c>
      <c r="K1403" t="str">
        <f>_xlfn.CONCAT(WEEKNUM(CompilDonnées[[#This Row],[PlantationDate]]), " ", YEAR(CompilDonnées[[#This Row],[PlantationDate]]))</f>
        <v>7 2025</v>
      </c>
      <c r="L1403" t="str">
        <f>CONCATENATE(MONTH(CompilDonnées[[#This Row],[PlantationDate]])," ", YEAR(CompilDonnées[[#This Row],[PlantationDate]]))</f>
        <v>2 2025</v>
      </c>
      <c r="M1403" t="str">
        <f>CONCATENATE(MONTH(CompilDonnées[[#This Row],[HarvestingDate]])," ", YEAR(CompilDonnées[[#This Row],[HarvestingDate]]))</f>
        <v>4 2025</v>
      </c>
      <c r="N1403">
        <f>_xlfn.NUMBERVALUE(CompilDonnées[[#This Row],[FarmID]]&amp;CompilDonnées[[#This Row],[ModuleNumber]]&amp;CompilDonnées[[#This Row],[PlantationDate]])</f>
        <v>70345702</v>
      </c>
      <c r="O1403" t="str">
        <f>CompilDonnées[[#This Row],[FarmID]]&amp;CompilDonnées[[#This Row],[ModuleNumber]]</f>
        <v>703</v>
      </c>
      <c r="P1403" t="str">
        <f>CompilDonnées[[#This Row],[Ref_Module]]&amp;CompilDonnées[[#This Row],[HarvestingDate]]</f>
        <v>70345748</v>
      </c>
    </row>
    <row r="1404" spans="1:16">
      <c r="A1404" s="5">
        <v>45702</v>
      </c>
      <c r="B1404">
        <v>97</v>
      </c>
      <c r="C1404" t="s">
        <v>78</v>
      </c>
      <c r="D1404">
        <v>3</v>
      </c>
      <c r="E1404">
        <v>100</v>
      </c>
      <c r="F1404" t="s">
        <v>1</v>
      </c>
      <c r="G1404" s="6">
        <v>45747</v>
      </c>
      <c r="H1404">
        <v>45</v>
      </c>
      <c r="I1404">
        <f>ROUND(CompilDonnées[[#This Row],[CultureDuration_days]]/7,0)</f>
        <v>6</v>
      </c>
      <c r="J1404">
        <v>4859</v>
      </c>
      <c r="K1404" t="str">
        <f>_xlfn.CONCAT(WEEKNUM(CompilDonnées[[#This Row],[PlantationDate]]), " ", YEAR(CompilDonnées[[#This Row],[PlantationDate]]))</f>
        <v>7 2025</v>
      </c>
      <c r="L1404" t="str">
        <f>CONCATENATE(MONTH(CompilDonnées[[#This Row],[PlantationDate]])," ", YEAR(CompilDonnées[[#This Row],[PlantationDate]]))</f>
        <v>2 2025</v>
      </c>
      <c r="M1404" t="str">
        <f>CONCATENATE(MONTH(CompilDonnées[[#This Row],[HarvestingDate]])," ", YEAR(CompilDonnées[[#This Row],[HarvestingDate]]))</f>
        <v>3 2025</v>
      </c>
      <c r="N1404">
        <f>_xlfn.NUMBERVALUE(CompilDonnées[[#This Row],[FarmID]]&amp;CompilDonnées[[#This Row],[ModuleNumber]]&amp;CompilDonnées[[#This Row],[PlantationDate]])</f>
        <v>97345702</v>
      </c>
      <c r="O1404" t="str">
        <f>CompilDonnées[[#This Row],[FarmID]]&amp;CompilDonnées[[#This Row],[ModuleNumber]]</f>
        <v>973</v>
      </c>
      <c r="P1404" t="str">
        <f>CompilDonnées[[#This Row],[Ref_Module]]&amp;CompilDonnées[[#This Row],[HarvestingDate]]</f>
        <v>97345747</v>
      </c>
    </row>
    <row r="1405" spans="1:16">
      <c r="A1405" s="5">
        <v>45702</v>
      </c>
      <c r="B1405">
        <v>103</v>
      </c>
      <c r="C1405" t="s">
        <v>86</v>
      </c>
      <c r="D1405">
        <v>2</v>
      </c>
      <c r="E1405">
        <v>100</v>
      </c>
      <c r="F1405" t="s">
        <v>1</v>
      </c>
      <c r="G1405" s="6">
        <v>45747</v>
      </c>
      <c r="H1405">
        <v>45</v>
      </c>
      <c r="I1405">
        <f>ROUND(CompilDonnées[[#This Row],[CultureDuration_days]]/7,0)</f>
        <v>6</v>
      </c>
      <c r="J1405">
        <v>4238</v>
      </c>
      <c r="K1405" t="str">
        <f>_xlfn.CONCAT(WEEKNUM(CompilDonnées[[#This Row],[PlantationDate]]), " ", YEAR(CompilDonnées[[#This Row],[PlantationDate]]))</f>
        <v>7 2025</v>
      </c>
      <c r="L1405" t="str">
        <f>CONCATENATE(MONTH(CompilDonnées[[#This Row],[PlantationDate]])," ", YEAR(CompilDonnées[[#This Row],[PlantationDate]]))</f>
        <v>2 2025</v>
      </c>
      <c r="M1405" t="str">
        <f>CONCATENATE(MONTH(CompilDonnées[[#This Row],[HarvestingDate]])," ", YEAR(CompilDonnées[[#This Row],[HarvestingDate]]))</f>
        <v>3 2025</v>
      </c>
      <c r="N1405">
        <f>_xlfn.NUMBERVALUE(CompilDonnées[[#This Row],[FarmID]]&amp;CompilDonnées[[#This Row],[ModuleNumber]]&amp;CompilDonnées[[#This Row],[PlantationDate]])</f>
        <v>103245702</v>
      </c>
      <c r="O1405" t="str">
        <f>CompilDonnées[[#This Row],[FarmID]]&amp;CompilDonnées[[#This Row],[ModuleNumber]]</f>
        <v>1032</v>
      </c>
      <c r="P1405" t="str">
        <f>CompilDonnées[[#This Row],[Ref_Module]]&amp;CompilDonnées[[#This Row],[HarvestingDate]]</f>
        <v>103245747</v>
      </c>
    </row>
    <row r="1406" spans="1:16">
      <c r="A1406" s="5">
        <v>45702</v>
      </c>
      <c r="B1406">
        <v>120</v>
      </c>
      <c r="C1406" t="s">
        <v>100</v>
      </c>
      <c r="D1406">
        <v>4</v>
      </c>
      <c r="E1406">
        <v>100</v>
      </c>
      <c r="F1406" t="s">
        <v>1</v>
      </c>
      <c r="G1406" s="6">
        <v>45744</v>
      </c>
      <c r="H1406">
        <v>42</v>
      </c>
      <c r="I1406">
        <f>ROUND(CompilDonnées[[#This Row],[CultureDuration_days]]/7,0)</f>
        <v>6</v>
      </c>
      <c r="J1406">
        <v>1533</v>
      </c>
      <c r="K1406" t="str">
        <f>_xlfn.CONCAT(WEEKNUM(CompilDonnées[[#This Row],[PlantationDate]]), " ", YEAR(CompilDonnées[[#This Row],[PlantationDate]]))</f>
        <v>7 2025</v>
      </c>
      <c r="L1406" t="str">
        <f>CONCATENATE(MONTH(CompilDonnées[[#This Row],[PlantationDate]])," ", YEAR(CompilDonnées[[#This Row],[PlantationDate]]))</f>
        <v>2 2025</v>
      </c>
      <c r="M1406" t="str">
        <f>CONCATENATE(MONTH(CompilDonnées[[#This Row],[HarvestingDate]])," ", YEAR(CompilDonnées[[#This Row],[HarvestingDate]]))</f>
        <v>3 2025</v>
      </c>
      <c r="N1406">
        <f>_xlfn.NUMBERVALUE(CompilDonnées[[#This Row],[FarmID]]&amp;CompilDonnées[[#This Row],[ModuleNumber]]&amp;CompilDonnées[[#This Row],[PlantationDate]])</f>
        <v>120445702</v>
      </c>
      <c r="O1406" t="str">
        <f>CompilDonnées[[#This Row],[FarmID]]&amp;CompilDonnées[[#This Row],[ModuleNumber]]</f>
        <v>1204</v>
      </c>
      <c r="P1406" t="str">
        <f>CompilDonnées[[#This Row],[Ref_Module]]&amp;CompilDonnées[[#This Row],[HarvestingDate]]</f>
        <v>120445744</v>
      </c>
    </row>
    <row r="1407" spans="1:16">
      <c r="A1407" s="5">
        <v>45702</v>
      </c>
      <c r="B1407">
        <v>119</v>
      </c>
      <c r="C1407" t="s">
        <v>59</v>
      </c>
      <c r="D1407">
        <v>1</v>
      </c>
      <c r="E1407">
        <v>100</v>
      </c>
      <c r="F1407" t="s">
        <v>1</v>
      </c>
      <c r="G1407" s="6">
        <v>45747</v>
      </c>
      <c r="H1407">
        <v>45</v>
      </c>
      <c r="I1407">
        <f>ROUND(CompilDonnées[[#This Row],[CultureDuration_days]]/7,0)</f>
        <v>6</v>
      </c>
      <c r="J1407">
        <v>2540</v>
      </c>
      <c r="K1407" t="str">
        <f>_xlfn.CONCAT(WEEKNUM(CompilDonnées[[#This Row],[PlantationDate]]), " ", YEAR(CompilDonnées[[#This Row],[PlantationDate]]))</f>
        <v>7 2025</v>
      </c>
      <c r="L1407" t="str">
        <f>CONCATENATE(MONTH(CompilDonnées[[#This Row],[PlantationDate]])," ", YEAR(CompilDonnées[[#This Row],[PlantationDate]]))</f>
        <v>2 2025</v>
      </c>
      <c r="M1407" t="str">
        <f>CONCATENATE(MONTH(CompilDonnées[[#This Row],[HarvestingDate]])," ", YEAR(CompilDonnées[[#This Row],[HarvestingDate]]))</f>
        <v>3 2025</v>
      </c>
      <c r="N1407">
        <f>_xlfn.NUMBERVALUE(CompilDonnées[[#This Row],[FarmID]]&amp;CompilDonnées[[#This Row],[ModuleNumber]]&amp;CompilDonnées[[#This Row],[PlantationDate]])</f>
        <v>119145702</v>
      </c>
      <c r="O1407" t="str">
        <f>CompilDonnées[[#This Row],[FarmID]]&amp;CompilDonnées[[#This Row],[ModuleNumber]]</f>
        <v>1191</v>
      </c>
      <c r="P1407" t="str">
        <f>CompilDonnées[[#This Row],[Ref_Module]]&amp;CompilDonnées[[#This Row],[HarvestingDate]]</f>
        <v>119145747</v>
      </c>
    </row>
    <row r="1408" spans="1:16">
      <c r="A1408" s="5">
        <v>45702</v>
      </c>
      <c r="B1408">
        <v>46</v>
      </c>
      <c r="C1408" t="s">
        <v>3</v>
      </c>
      <c r="D1408">
        <v>4</v>
      </c>
      <c r="E1408">
        <v>100</v>
      </c>
      <c r="F1408" t="s">
        <v>1</v>
      </c>
      <c r="G1408" s="6">
        <v>45749</v>
      </c>
      <c r="H1408">
        <v>47</v>
      </c>
      <c r="I1408">
        <f>ROUND(CompilDonnées[[#This Row],[CultureDuration_days]]/7,0)</f>
        <v>7</v>
      </c>
      <c r="J1408">
        <v>4823</v>
      </c>
      <c r="K1408" t="str">
        <f>_xlfn.CONCAT(WEEKNUM(CompilDonnées[[#This Row],[PlantationDate]]), " ", YEAR(CompilDonnées[[#This Row],[PlantationDate]]))</f>
        <v>7 2025</v>
      </c>
      <c r="L1408" t="str">
        <f>CONCATENATE(MONTH(CompilDonnées[[#This Row],[PlantationDate]])," ", YEAR(CompilDonnées[[#This Row],[PlantationDate]]))</f>
        <v>2 2025</v>
      </c>
      <c r="M1408" t="str">
        <f>CONCATENATE(MONTH(CompilDonnées[[#This Row],[HarvestingDate]])," ", YEAR(CompilDonnées[[#This Row],[HarvestingDate]]))</f>
        <v>4 2025</v>
      </c>
      <c r="N1408">
        <f>_xlfn.NUMBERVALUE(CompilDonnées[[#This Row],[FarmID]]&amp;CompilDonnées[[#This Row],[ModuleNumber]]&amp;CompilDonnées[[#This Row],[PlantationDate]])</f>
        <v>46445702</v>
      </c>
      <c r="O1408" t="str">
        <f>CompilDonnées[[#This Row],[FarmID]]&amp;CompilDonnées[[#This Row],[ModuleNumber]]</f>
        <v>464</v>
      </c>
      <c r="P1408" t="str">
        <f>CompilDonnées[[#This Row],[Ref_Module]]&amp;CompilDonnées[[#This Row],[HarvestingDate]]</f>
        <v>46445749</v>
      </c>
    </row>
    <row r="1409" spans="1:16">
      <c r="A1409" s="5">
        <v>45702</v>
      </c>
      <c r="B1409">
        <v>46</v>
      </c>
      <c r="C1409" t="s">
        <v>3</v>
      </c>
      <c r="D1409">
        <v>5</v>
      </c>
      <c r="E1409">
        <v>68</v>
      </c>
      <c r="F1409" t="s">
        <v>1</v>
      </c>
      <c r="G1409" s="6">
        <v>45749</v>
      </c>
      <c r="H1409">
        <v>47</v>
      </c>
      <c r="I1409">
        <f>ROUND(CompilDonnées[[#This Row],[CultureDuration_days]]/7,0)</f>
        <v>7</v>
      </c>
      <c r="J1409">
        <v>3280</v>
      </c>
      <c r="K1409" t="str">
        <f>_xlfn.CONCAT(WEEKNUM(CompilDonnées[[#This Row],[PlantationDate]]), " ", YEAR(CompilDonnées[[#This Row],[PlantationDate]]))</f>
        <v>7 2025</v>
      </c>
      <c r="L1409" t="str">
        <f>CONCATENATE(MONTH(CompilDonnées[[#This Row],[PlantationDate]])," ", YEAR(CompilDonnées[[#This Row],[PlantationDate]]))</f>
        <v>2 2025</v>
      </c>
      <c r="M1409" t="str">
        <f>CONCATENATE(MONTH(CompilDonnées[[#This Row],[HarvestingDate]])," ", YEAR(CompilDonnées[[#This Row],[HarvestingDate]]))</f>
        <v>4 2025</v>
      </c>
      <c r="N1409">
        <f>_xlfn.NUMBERVALUE(CompilDonnées[[#This Row],[FarmID]]&amp;CompilDonnées[[#This Row],[ModuleNumber]]&amp;CompilDonnées[[#This Row],[PlantationDate]])</f>
        <v>46545702</v>
      </c>
      <c r="O1409" t="str">
        <f>CompilDonnées[[#This Row],[FarmID]]&amp;CompilDonnées[[#This Row],[ModuleNumber]]</f>
        <v>465</v>
      </c>
      <c r="P1409" t="str">
        <f>CompilDonnées[[#This Row],[Ref_Module]]&amp;CompilDonnées[[#This Row],[HarvestingDate]]</f>
        <v>46545749</v>
      </c>
    </row>
    <row r="1410" spans="1:16">
      <c r="A1410" s="5">
        <v>45702</v>
      </c>
      <c r="B1410">
        <v>46</v>
      </c>
      <c r="C1410" t="s">
        <v>3</v>
      </c>
      <c r="D1410">
        <v>6</v>
      </c>
      <c r="E1410">
        <v>52</v>
      </c>
      <c r="F1410" t="s">
        <v>1</v>
      </c>
      <c r="G1410" s="6">
        <v>45749</v>
      </c>
      <c r="H1410">
        <v>47</v>
      </c>
      <c r="I1410">
        <f>ROUND(CompilDonnées[[#This Row],[CultureDuration_days]]/7,0)</f>
        <v>7</v>
      </c>
      <c r="J1410">
        <v>2508</v>
      </c>
      <c r="K1410" t="str">
        <f>_xlfn.CONCAT(WEEKNUM(CompilDonnées[[#This Row],[PlantationDate]]), " ", YEAR(CompilDonnées[[#This Row],[PlantationDate]]))</f>
        <v>7 2025</v>
      </c>
      <c r="L1410" t="str">
        <f>CONCATENATE(MONTH(CompilDonnées[[#This Row],[PlantationDate]])," ", YEAR(CompilDonnées[[#This Row],[PlantationDate]]))</f>
        <v>2 2025</v>
      </c>
      <c r="M1410" t="str">
        <f>CONCATENATE(MONTH(CompilDonnées[[#This Row],[HarvestingDate]])," ", YEAR(CompilDonnées[[#This Row],[HarvestingDate]]))</f>
        <v>4 2025</v>
      </c>
      <c r="N1410">
        <f>_xlfn.NUMBERVALUE(CompilDonnées[[#This Row],[FarmID]]&amp;CompilDonnées[[#This Row],[ModuleNumber]]&amp;CompilDonnées[[#This Row],[PlantationDate]])</f>
        <v>46645702</v>
      </c>
      <c r="O1410" t="str">
        <f>CompilDonnées[[#This Row],[FarmID]]&amp;CompilDonnées[[#This Row],[ModuleNumber]]</f>
        <v>466</v>
      </c>
      <c r="P1410" t="str">
        <f>CompilDonnées[[#This Row],[Ref_Module]]&amp;CompilDonnées[[#This Row],[HarvestingDate]]</f>
        <v>46645749</v>
      </c>
    </row>
    <row r="1411" spans="1:16">
      <c r="A1411" s="5">
        <v>45702</v>
      </c>
      <c r="B1411">
        <v>96</v>
      </c>
      <c r="C1411" t="s">
        <v>3</v>
      </c>
      <c r="D1411">
        <v>2</v>
      </c>
      <c r="E1411">
        <v>60</v>
      </c>
      <c r="F1411" t="s">
        <v>105</v>
      </c>
      <c r="G1411" s="6">
        <v>45756</v>
      </c>
      <c r="H1411">
        <v>54</v>
      </c>
      <c r="I1411">
        <f>ROUND(CompilDonnées[[#This Row],[CultureDuration_days]]/7,0)</f>
        <v>8</v>
      </c>
      <c r="J1411">
        <v>1448</v>
      </c>
      <c r="K1411" t="str">
        <f>_xlfn.CONCAT(WEEKNUM(CompilDonnées[[#This Row],[PlantationDate]]), " ", YEAR(CompilDonnées[[#This Row],[PlantationDate]]))</f>
        <v>7 2025</v>
      </c>
      <c r="L1411" t="str">
        <f>CONCATENATE(MONTH(CompilDonnées[[#This Row],[PlantationDate]])," ", YEAR(CompilDonnées[[#This Row],[PlantationDate]]))</f>
        <v>2 2025</v>
      </c>
      <c r="M1411" t="str">
        <f>CONCATENATE(MONTH(CompilDonnées[[#This Row],[HarvestingDate]])," ", YEAR(CompilDonnées[[#This Row],[HarvestingDate]]))</f>
        <v>4 2025</v>
      </c>
      <c r="N1411">
        <f>_xlfn.NUMBERVALUE(CompilDonnées[[#This Row],[FarmID]]&amp;CompilDonnées[[#This Row],[ModuleNumber]]&amp;CompilDonnées[[#This Row],[PlantationDate]])</f>
        <v>96245702</v>
      </c>
      <c r="O1411" t="str">
        <f>CompilDonnées[[#This Row],[FarmID]]&amp;CompilDonnées[[#This Row],[ModuleNumber]]</f>
        <v>962</v>
      </c>
      <c r="P1411" t="str">
        <f>CompilDonnées[[#This Row],[Ref_Module]]&amp;CompilDonnées[[#This Row],[HarvestingDate]]</f>
        <v>96245756</v>
      </c>
    </row>
    <row r="1412" spans="1:16">
      <c r="A1412" s="5">
        <v>45706</v>
      </c>
      <c r="B1412">
        <v>51</v>
      </c>
      <c r="C1412" t="s">
        <v>27</v>
      </c>
      <c r="D1412">
        <v>4</v>
      </c>
      <c r="E1412">
        <v>100</v>
      </c>
      <c r="F1412" t="s">
        <v>1</v>
      </c>
      <c r="G1412" s="6">
        <v>45742</v>
      </c>
      <c r="H1412">
        <v>36</v>
      </c>
      <c r="I1412">
        <f>ROUND(CompilDonnées[[#This Row],[CultureDuration_days]]/7,0)</f>
        <v>5</v>
      </c>
      <c r="J1412">
        <v>3700</v>
      </c>
      <c r="K1412" t="str">
        <f>_xlfn.CONCAT(WEEKNUM(CompilDonnées[[#This Row],[PlantationDate]]), " ", YEAR(CompilDonnées[[#This Row],[PlantationDate]]))</f>
        <v>8 2025</v>
      </c>
      <c r="L1412" t="str">
        <f>CONCATENATE(MONTH(CompilDonnées[[#This Row],[PlantationDate]])," ", YEAR(CompilDonnées[[#This Row],[PlantationDate]]))</f>
        <v>2 2025</v>
      </c>
      <c r="M1412" t="str">
        <f>CONCATENATE(MONTH(CompilDonnées[[#This Row],[HarvestingDate]])," ", YEAR(CompilDonnées[[#This Row],[HarvestingDate]]))</f>
        <v>3 2025</v>
      </c>
      <c r="N1412">
        <f>_xlfn.NUMBERVALUE(CompilDonnées[[#This Row],[FarmID]]&amp;CompilDonnées[[#This Row],[ModuleNumber]]&amp;CompilDonnées[[#This Row],[PlantationDate]])</f>
        <v>51445706</v>
      </c>
      <c r="O1412" t="str">
        <f>CompilDonnées[[#This Row],[FarmID]]&amp;CompilDonnées[[#This Row],[ModuleNumber]]</f>
        <v>514</v>
      </c>
      <c r="P1412" t="str">
        <f>CompilDonnées[[#This Row],[Ref_Module]]&amp;CompilDonnées[[#This Row],[HarvestingDate]]</f>
        <v>51445742</v>
      </c>
    </row>
    <row r="1413" spans="1:16">
      <c r="A1413" s="5">
        <v>45706</v>
      </c>
      <c r="B1413">
        <v>56</v>
      </c>
      <c r="C1413" t="s">
        <v>6</v>
      </c>
      <c r="D1413">
        <v>5</v>
      </c>
      <c r="E1413">
        <v>100</v>
      </c>
      <c r="F1413" t="s">
        <v>1</v>
      </c>
      <c r="G1413" s="6">
        <v>45741</v>
      </c>
      <c r="H1413">
        <v>35</v>
      </c>
      <c r="I1413">
        <f>ROUND(CompilDonnées[[#This Row],[CultureDuration_days]]/7,0)</f>
        <v>5</v>
      </c>
      <c r="J1413">
        <v>4163</v>
      </c>
      <c r="K1413" t="str">
        <f>_xlfn.CONCAT(WEEKNUM(CompilDonnées[[#This Row],[PlantationDate]]), " ", YEAR(CompilDonnées[[#This Row],[PlantationDate]]))</f>
        <v>8 2025</v>
      </c>
      <c r="L1413" t="str">
        <f>CONCATENATE(MONTH(CompilDonnées[[#This Row],[PlantationDate]])," ", YEAR(CompilDonnées[[#This Row],[PlantationDate]]))</f>
        <v>2 2025</v>
      </c>
      <c r="M1413" t="str">
        <f>CONCATENATE(MONTH(CompilDonnées[[#This Row],[HarvestingDate]])," ", YEAR(CompilDonnées[[#This Row],[HarvestingDate]]))</f>
        <v>3 2025</v>
      </c>
      <c r="N1413">
        <f>_xlfn.NUMBERVALUE(CompilDonnées[[#This Row],[FarmID]]&amp;CompilDonnées[[#This Row],[ModuleNumber]]&amp;CompilDonnées[[#This Row],[PlantationDate]])</f>
        <v>56545706</v>
      </c>
      <c r="O1413" t="str">
        <f>CompilDonnées[[#This Row],[FarmID]]&amp;CompilDonnées[[#This Row],[ModuleNumber]]</f>
        <v>565</v>
      </c>
      <c r="P1413" t="str">
        <f>CompilDonnées[[#This Row],[Ref_Module]]&amp;CompilDonnées[[#This Row],[HarvestingDate]]</f>
        <v>56545741</v>
      </c>
    </row>
    <row r="1414" spans="1:16">
      <c r="A1414" s="5">
        <v>45706</v>
      </c>
      <c r="B1414">
        <v>56</v>
      </c>
      <c r="C1414" t="s">
        <v>6</v>
      </c>
      <c r="D1414">
        <v>6</v>
      </c>
      <c r="E1414">
        <v>100</v>
      </c>
      <c r="F1414" t="s">
        <v>1</v>
      </c>
      <c r="G1414" s="6">
        <v>45741</v>
      </c>
      <c r="H1414">
        <v>35</v>
      </c>
      <c r="I1414">
        <f>ROUND(CompilDonnées[[#This Row],[CultureDuration_days]]/7,0)</f>
        <v>5</v>
      </c>
      <c r="J1414">
        <v>3876</v>
      </c>
      <c r="K1414" t="str">
        <f>_xlfn.CONCAT(WEEKNUM(CompilDonnées[[#This Row],[PlantationDate]]), " ", YEAR(CompilDonnées[[#This Row],[PlantationDate]]))</f>
        <v>8 2025</v>
      </c>
      <c r="L1414" t="str">
        <f>CONCATENATE(MONTH(CompilDonnées[[#This Row],[PlantationDate]])," ", YEAR(CompilDonnées[[#This Row],[PlantationDate]]))</f>
        <v>2 2025</v>
      </c>
      <c r="M1414" t="str">
        <f>CONCATENATE(MONTH(CompilDonnées[[#This Row],[HarvestingDate]])," ", YEAR(CompilDonnées[[#This Row],[HarvestingDate]]))</f>
        <v>3 2025</v>
      </c>
      <c r="N1414">
        <f>_xlfn.NUMBERVALUE(CompilDonnées[[#This Row],[FarmID]]&amp;CompilDonnées[[#This Row],[ModuleNumber]]&amp;CompilDonnées[[#This Row],[PlantationDate]])</f>
        <v>56645706</v>
      </c>
      <c r="O1414" t="str">
        <f>CompilDonnées[[#This Row],[FarmID]]&amp;CompilDonnées[[#This Row],[ModuleNumber]]</f>
        <v>566</v>
      </c>
      <c r="P1414" t="str">
        <f>CompilDonnées[[#This Row],[Ref_Module]]&amp;CompilDonnées[[#This Row],[HarvestingDate]]</f>
        <v>56645741</v>
      </c>
    </row>
    <row r="1415" spans="1:16">
      <c r="A1415" s="5">
        <v>45706</v>
      </c>
      <c r="B1415">
        <v>50</v>
      </c>
      <c r="C1415" t="s">
        <v>55</v>
      </c>
      <c r="D1415">
        <v>6</v>
      </c>
      <c r="E1415">
        <v>100</v>
      </c>
      <c r="F1415" t="s">
        <v>1</v>
      </c>
      <c r="G1415" s="6">
        <v>45738</v>
      </c>
      <c r="H1415">
        <v>32</v>
      </c>
      <c r="I1415">
        <f>ROUND(CompilDonnées[[#This Row],[CultureDuration_days]]/7,0)</f>
        <v>5</v>
      </c>
      <c r="J1415">
        <v>2871</v>
      </c>
      <c r="K1415" t="str">
        <f>_xlfn.CONCAT(WEEKNUM(CompilDonnées[[#This Row],[PlantationDate]]), " ", YEAR(CompilDonnées[[#This Row],[PlantationDate]]))</f>
        <v>8 2025</v>
      </c>
      <c r="L1415" t="str">
        <f>CONCATENATE(MONTH(CompilDonnées[[#This Row],[PlantationDate]])," ", YEAR(CompilDonnées[[#This Row],[PlantationDate]]))</f>
        <v>2 2025</v>
      </c>
      <c r="M1415" t="str">
        <f>CONCATENATE(MONTH(CompilDonnées[[#This Row],[HarvestingDate]])," ", YEAR(CompilDonnées[[#This Row],[HarvestingDate]]))</f>
        <v>3 2025</v>
      </c>
      <c r="N1415">
        <f>_xlfn.NUMBERVALUE(CompilDonnées[[#This Row],[FarmID]]&amp;CompilDonnées[[#This Row],[ModuleNumber]]&amp;CompilDonnées[[#This Row],[PlantationDate]])</f>
        <v>50645706</v>
      </c>
      <c r="O1415" t="str">
        <f>CompilDonnées[[#This Row],[FarmID]]&amp;CompilDonnées[[#This Row],[ModuleNumber]]</f>
        <v>506</v>
      </c>
      <c r="P1415" t="str">
        <f>CompilDonnées[[#This Row],[Ref_Module]]&amp;CompilDonnées[[#This Row],[HarvestingDate]]</f>
        <v>50645738</v>
      </c>
    </row>
    <row r="1416" spans="1:16">
      <c r="A1416" s="5">
        <v>45706</v>
      </c>
      <c r="B1416">
        <v>61</v>
      </c>
      <c r="C1416" t="s">
        <v>95</v>
      </c>
      <c r="D1416">
        <v>1</v>
      </c>
      <c r="E1416">
        <v>100</v>
      </c>
      <c r="F1416" t="s">
        <v>1</v>
      </c>
      <c r="G1416" s="6">
        <v>45748</v>
      </c>
      <c r="H1416">
        <v>42</v>
      </c>
      <c r="I1416">
        <f>ROUND(CompilDonnées[[#This Row],[CultureDuration_days]]/7,0)</f>
        <v>6</v>
      </c>
      <c r="J1416">
        <v>3681</v>
      </c>
      <c r="K1416" t="str">
        <f>_xlfn.CONCAT(WEEKNUM(CompilDonnées[[#This Row],[PlantationDate]]), " ", YEAR(CompilDonnées[[#This Row],[PlantationDate]]))</f>
        <v>8 2025</v>
      </c>
      <c r="L1416" t="str">
        <f>CONCATENATE(MONTH(CompilDonnées[[#This Row],[PlantationDate]])," ", YEAR(CompilDonnées[[#This Row],[PlantationDate]]))</f>
        <v>2 2025</v>
      </c>
      <c r="M1416" t="str">
        <f>CONCATENATE(MONTH(CompilDonnées[[#This Row],[HarvestingDate]])," ", YEAR(CompilDonnées[[#This Row],[HarvestingDate]]))</f>
        <v>4 2025</v>
      </c>
      <c r="N1416">
        <f>_xlfn.NUMBERVALUE(CompilDonnées[[#This Row],[FarmID]]&amp;CompilDonnées[[#This Row],[ModuleNumber]]&amp;CompilDonnées[[#This Row],[PlantationDate]])</f>
        <v>61145706</v>
      </c>
      <c r="O1416" t="str">
        <f>CompilDonnées[[#This Row],[FarmID]]&amp;CompilDonnées[[#This Row],[ModuleNumber]]</f>
        <v>611</v>
      </c>
      <c r="P1416" t="str">
        <f>CompilDonnées[[#This Row],[Ref_Module]]&amp;CompilDonnées[[#This Row],[HarvestingDate]]</f>
        <v>61145748</v>
      </c>
    </row>
    <row r="1417" spans="1:16">
      <c r="A1417" s="5">
        <v>45706</v>
      </c>
      <c r="B1417">
        <v>61</v>
      </c>
      <c r="C1417" t="s">
        <v>95</v>
      </c>
      <c r="D1417">
        <v>2</v>
      </c>
      <c r="E1417">
        <v>100</v>
      </c>
      <c r="F1417" t="s">
        <v>1</v>
      </c>
      <c r="G1417" s="6">
        <v>45748</v>
      </c>
      <c r="H1417">
        <v>42</v>
      </c>
      <c r="I1417">
        <f>ROUND(CompilDonnées[[#This Row],[CultureDuration_days]]/7,0)</f>
        <v>6</v>
      </c>
      <c r="J1417">
        <v>4114</v>
      </c>
      <c r="K1417" t="str">
        <f>_xlfn.CONCAT(WEEKNUM(CompilDonnées[[#This Row],[PlantationDate]]), " ", YEAR(CompilDonnées[[#This Row],[PlantationDate]]))</f>
        <v>8 2025</v>
      </c>
      <c r="L1417" t="str">
        <f>CONCATENATE(MONTH(CompilDonnées[[#This Row],[PlantationDate]])," ", YEAR(CompilDonnées[[#This Row],[PlantationDate]]))</f>
        <v>2 2025</v>
      </c>
      <c r="M1417" t="str">
        <f>CONCATENATE(MONTH(CompilDonnées[[#This Row],[HarvestingDate]])," ", YEAR(CompilDonnées[[#This Row],[HarvestingDate]]))</f>
        <v>4 2025</v>
      </c>
      <c r="N1417">
        <f>_xlfn.NUMBERVALUE(CompilDonnées[[#This Row],[FarmID]]&amp;CompilDonnées[[#This Row],[ModuleNumber]]&amp;CompilDonnées[[#This Row],[PlantationDate]])</f>
        <v>61245706</v>
      </c>
      <c r="O1417" t="str">
        <f>CompilDonnées[[#This Row],[FarmID]]&amp;CompilDonnées[[#This Row],[ModuleNumber]]</f>
        <v>612</v>
      </c>
      <c r="P1417" t="str">
        <f>CompilDonnées[[#This Row],[Ref_Module]]&amp;CompilDonnées[[#This Row],[HarvestingDate]]</f>
        <v>61245748</v>
      </c>
    </row>
    <row r="1418" spans="1:16">
      <c r="A1418" s="5">
        <v>45706</v>
      </c>
      <c r="B1418">
        <v>63</v>
      </c>
      <c r="C1418" t="s">
        <v>98</v>
      </c>
      <c r="D1418">
        <v>1</v>
      </c>
      <c r="E1418">
        <v>100</v>
      </c>
      <c r="F1418" t="s">
        <v>1</v>
      </c>
      <c r="G1418" s="6">
        <v>45748</v>
      </c>
      <c r="H1418">
        <v>42</v>
      </c>
      <c r="I1418">
        <f>ROUND(CompilDonnées[[#This Row],[CultureDuration_days]]/7,0)</f>
        <v>6</v>
      </c>
      <c r="J1418">
        <v>4221</v>
      </c>
      <c r="K1418" t="str">
        <f>_xlfn.CONCAT(WEEKNUM(CompilDonnées[[#This Row],[PlantationDate]]), " ", YEAR(CompilDonnées[[#This Row],[PlantationDate]]))</f>
        <v>8 2025</v>
      </c>
      <c r="L1418" t="str">
        <f>CONCATENATE(MONTH(CompilDonnées[[#This Row],[PlantationDate]])," ", YEAR(CompilDonnées[[#This Row],[PlantationDate]]))</f>
        <v>2 2025</v>
      </c>
      <c r="M1418" t="str">
        <f>CONCATENATE(MONTH(CompilDonnées[[#This Row],[HarvestingDate]])," ", YEAR(CompilDonnées[[#This Row],[HarvestingDate]]))</f>
        <v>4 2025</v>
      </c>
      <c r="N1418">
        <f>_xlfn.NUMBERVALUE(CompilDonnées[[#This Row],[FarmID]]&amp;CompilDonnées[[#This Row],[ModuleNumber]]&amp;CompilDonnées[[#This Row],[PlantationDate]])</f>
        <v>63145706</v>
      </c>
      <c r="O1418" t="str">
        <f>CompilDonnées[[#This Row],[FarmID]]&amp;CompilDonnées[[#This Row],[ModuleNumber]]</f>
        <v>631</v>
      </c>
      <c r="P1418" t="str">
        <f>CompilDonnées[[#This Row],[Ref_Module]]&amp;CompilDonnées[[#This Row],[HarvestingDate]]</f>
        <v>63145748</v>
      </c>
    </row>
    <row r="1419" spans="1:16">
      <c r="A1419" s="5">
        <v>45706</v>
      </c>
      <c r="B1419">
        <v>63</v>
      </c>
      <c r="C1419" t="s">
        <v>98</v>
      </c>
      <c r="D1419">
        <v>2</v>
      </c>
      <c r="E1419">
        <v>100</v>
      </c>
      <c r="F1419" t="s">
        <v>1</v>
      </c>
      <c r="G1419" s="6">
        <v>45748</v>
      </c>
      <c r="H1419">
        <v>42</v>
      </c>
      <c r="I1419">
        <f>ROUND(CompilDonnées[[#This Row],[CultureDuration_days]]/7,0)</f>
        <v>6</v>
      </c>
      <c r="J1419">
        <v>3893</v>
      </c>
      <c r="K1419" t="str">
        <f>_xlfn.CONCAT(WEEKNUM(CompilDonnées[[#This Row],[PlantationDate]]), " ", YEAR(CompilDonnées[[#This Row],[PlantationDate]]))</f>
        <v>8 2025</v>
      </c>
      <c r="L1419" t="str">
        <f>CONCATENATE(MONTH(CompilDonnées[[#This Row],[PlantationDate]])," ", YEAR(CompilDonnées[[#This Row],[PlantationDate]]))</f>
        <v>2 2025</v>
      </c>
      <c r="M1419" t="str">
        <f>CONCATENATE(MONTH(CompilDonnées[[#This Row],[HarvestingDate]])," ", YEAR(CompilDonnées[[#This Row],[HarvestingDate]]))</f>
        <v>4 2025</v>
      </c>
      <c r="N1419">
        <f>_xlfn.NUMBERVALUE(CompilDonnées[[#This Row],[FarmID]]&amp;CompilDonnées[[#This Row],[ModuleNumber]]&amp;CompilDonnées[[#This Row],[PlantationDate]])</f>
        <v>63245706</v>
      </c>
      <c r="O1419" t="str">
        <f>CompilDonnées[[#This Row],[FarmID]]&amp;CompilDonnées[[#This Row],[ModuleNumber]]</f>
        <v>632</v>
      </c>
      <c r="P1419" t="str">
        <f>CompilDonnées[[#This Row],[Ref_Module]]&amp;CompilDonnées[[#This Row],[HarvestingDate]]</f>
        <v>63245748</v>
      </c>
    </row>
    <row r="1420" spans="1:16">
      <c r="A1420" s="5">
        <v>45706</v>
      </c>
      <c r="B1420">
        <v>9</v>
      </c>
      <c r="C1420" t="s">
        <v>107</v>
      </c>
      <c r="D1420">
        <v>1</v>
      </c>
      <c r="E1420">
        <v>100</v>
      </c>
      <c r="F1420" t="s">
        <v>1</v>
      </c>
      <c r="G1420" s="6">
        <v>45750</v>
      </c>
      <c r="H1420">
        <v>44</v>
      </c>
      <c r="I1420">
        <f>ROUND(CompilDonnées[[#This Row],[CultureDuration_days]]/7,0)</f>
        <v>6</v>
      </c>
      <c r="J1420">
        <v>4460</v>
      </c>
      <c r="K1420" t="str">
        <f>_xlfn.CONCAT(WEEKNUM(CompilDonnées[[#This Row],[PlantationDate]]), " ", YEAR(CompilDonnées[[#This Row],[PlantationDate]]))</f>
        <v>8 2025</v>
      </c>
      <c r="L1420" t="str">
        <f>CONCATENATE(MONTH(CompilDonnées[[#This Row],[PlantationDate]])," ", YEAR(CompilDonnées[[#This Row],[PlantationDate]]))</f>
        <v>2 2025</v>
      </c>
      <c r="M1420" t="str">
        <f>CONCATENATE(MONTH(CompilDonnées[[#This Row],[HarvestingDate]])," ", YEAR(CompilDonnées[[#This Row],[HarvestingDate]]))</f>
        <v>4 2025</v>
      </c>
      <c r="N1420">
        <f>_xlfn.NUMBERVALUE(CompilDonnées[[#This Row],[FarmID]]&amp;CompilDonnées[[#This Row],[ModuleNumber]]&amp;CompilDonnées[[#This Row],[PlantationDate]])</f>
        <v>9145706</v>
      </c>
      <c r="O1420" t="str">
        <f>CompilDonnées[[#This Row],[FarmID]]&amp;CompilDonnées[[#This Row],[ModuleNumber]]</f>
        <v>91</v>
      </c>
      <c r="P1420" t="str">
        <f>CompilDonnées[[#This Row],[Ref_Module]]&amp;CompilDonnées[[#This Row],[HarvestingDate]]</f>
        <v>9145750</v>
      </c>
    </row>
    <row r="1421" spans="1:16">
      <c r="A1421" s="5">
        <v>45706</v>
      </c>
      <c r="B1421">
        <v>6</v>
      </c>
      <c r="C1421" t="s">
        <v>24</v>
      </c>
      <c r="D1421">
        <v>4</v>
      </c>
      <c r="E1421">
        <v>100</v>
      </c>
      <c r="F1421" t="s">
        <v>1</v>
      </c>
      <c r="G1421" s="6">
        <v>45750</v>
      </c>
      <c r="H1421">
        <v>44</v>
      </c>
      <c r="I1421">
        <f>ROUND(CompilDonnées[[#This Row],[CultureDuration_days]]/7,0)</f>
        <v>6</v>
      </c>
      <c r="J1421">
        <v>3558</v>
      </c>
      <c r="K1421" t="str">
        <f>_xlfn.CONCAT(WEEKNUM(CompilDonnées[[#This Row],[PlantationDate]]), " ", YEAR(CompilDonnées[[#This Row],[PlantationDate]]))</f>
        <v>8 2025</v>
      </c>
      <c r="L1421" t="str">
        <f>CONCATENATE(MONTH(CompilDonnées[[#This Row],[PlantationDate]])," ", YEAR(CompilDonnées[[#This Row],[PlantationDate]]))</f>
        <v>2 2025</v>
      </c>
      <c r="M1421" t="str">
        <f>CONCATENATE(MONTH(CompilDonnées[[#This Row],[HarvestingDate]])," ", YEAR(CompilDonnées[[#This Row],[HarvestingDate]]))</f>
        <v>4 2025</v>
      </c>
      <c r="N1421">
        <f>_xlfn.NUMBERVALUE(CompilDonnées[[#This Row],[FarmID]]&amp;CompilDonnées[[#This Row],[ModuleNumber]]&amp;CompilDonnées[[#This Row],[PlantationDate]])</f>
        <v>6445706</v>
      </c>
      <c r="O1421" t="str">
        <f>CompilDonnées[[#This Row],[FarmID]]&amp;CompilDonnées[[#This Row],[ModuleNumber]]</f>
        <v>64</v>
      </c>
      <c r="P1421" t="str">
        <f>CompilDonnées[[#This Row],[Ref_Module]]&amp;CompilDonnées[[#This Row],[HarvestingDate]]</f>
        <v>6445750</v>
      </c>
    </row>
    <row r="1422" spans="1:16">
      <c r="A1422" s="5">
        <v>45706</v>
      </c>
      <c r="B1422">
        <v>5</v>
      </c>
      <c r="C1422" t="s">
        <v>32</v>
      </c>
      <c r="D1422">
        <v>3</v>
      </c>
      <c r="E1422">
        <v>100</v>
      </c>
      <c r="F1422" t="s">
        <v>1</v>
      </c>
      <c r="G1422" s="6">
        <v>45750</v>
      </c>
      <c r="H1422">
        <v>44</v>
      </c>
      <c r="I1422">
        <f>ROUND(CompilDonnées[[#This Row],[CultureDuration_days]]/7,0)</f>
        <v>6</v>
      </c>
      <c r="J1422">
        <v>3398</v>
      </c>
      <c r="K1422" t="str">
        <f>_xlfn.CONCAT(WEEKNUM(CompilDonnées[[#This Row],[PlantationDate]]), " ", YEAR(CompilDonnées[[#This Row],[PlantationDate]]))</f>
        <v>8 2025</v>
      </c>
      <c r="L1422" t="str">
        <f>CONCATENATE(MONTH(CompilDonnées[[#This Row],[PlantationDate]])," ", YEAR(CompilDonnées[[#This Row],[PlantationDate]]))</f>
        <v>2 2025</v>
      </c>
      <c r="M1422" t="str">
        <f>CONCATENATE(MONTH(CompilDonnées[[#This Row],[HarvestingDate]])," ", YEAR(CompilDonnées[[#This Row],[HarvestingDate]]))</f>
        <v>4 2025</v>
      </c>
      <c r="N1422">
        <f>_xlfn.NUMBERVALUE(CompilDonnées[[#This Row],[FarmID]]&amp;CompilDonnées[[#This Row],[ModuleNumber]]&amp;CompilDonnées[[#This Row],[PlantationDate]])</f>
        <v>5345706</v>
      </c>
      <c r="O1422" t="str">
        <f>CompilDonnées[[#This Row],[FarmID]]&amp;CompilDonnées[[#This Row],[ModuleNumber]]</f>
        <v>53</v>
      </c>
      <c r="P1422" t="str">
        <f>CompilDonnées[[#This Row],[Ref_Module]]&amp;CompilDonnées[[#This Row],[HarvestingDate]]</f>
        <v>5345750</v>
      </c>
    </row>
    <row r="1423" spans="1:16">
      <c r="A1423" s="5">
        <v>45706</v>
      </c>
      <c r="B1423">
        <v>4</v>
      </c>
      <c r="C1423" t="s">
        <v>74</v>
      </c>
      <c r="D1423">
        <v>1</v>
      </c>
      <c r="E1423">
        <v>100</v>
      </c>
      <c r="F1423" t="s">
        <v>1</v>
      </c>
      <c r="G1423" s="6">
        <v>45750</v>
      </c>
      <c r="H1423">
        <v>44</v>
      </c>
      <c r="I1423">
        <f>ROUND(CompilDonnées[[#This Row],[CultureDuration_days]]/7,0)</f>
        <v>6</v>
      </c>
      <c r="J1423">
        <v>2928</v>
      </c>
      <c r="K1423" t="str">
        <f>_xlfn.CONCAT(WEEKNUM(CompilDonnées[[#This Row],[PlantationDate]]), " ", YEAR(CompilDonnées[[#This Row],[PlantationDate]]))</f>
        <v>8 2025</v>
      </c>
      <c r="L1423" t="str">
        <f>CONCATENATE(MONTH(CompilDonnées[[#This Row],[PlantationDate]])," ", YEAR(CompilDonnées[[#This Row],[PlantationDate]]))</f>
        <v>2 2025</v>
      </c>
      <c r="M1423" t="str">
        <f>CONCATENATE(MONTH(CompilDonnées[[#This Row],[HarvestingDate]])," ", YEAR(CompilDonnées[[#This Row],[HarvestingDate]]))</f>
        <v>4 2025</v>
      </c>
      <c r="N1423">
        <f>_xlfn.NUMBERVALUE(CompilDonnées[[#This Row],[FarmID]]&amp;CompilDonnées[[#This Row],[ModuleNumber]]&amp;CompilDonnées[[#This Row],[PlantationDate]])</f>
        <v>4145706</v>
      </c>
      <c r="O1423" t="str">
        <f>CompilDonnées[[#This Row],[FarmID]]&amp;CompilDonnées[[#This Row],[ModuleNumber]]</f>
        <v>41</v>
      </c>
      <c r="P1423" t="str">
        <f>CompilDonnées[[#This Row],[Ref_Module]]&amp;CompilDonnées[[#This Row],[HarvestingDate]]</f>
        <v>4145750</v>
      </c>
    </row>
    <row r="1424" spans="1:16">
      <c r="A1424" s="5">
        <v>45706</v>
      </c>
      <c r="B1424">
        <v>3</v>
      </c>
      <c r="C1424" t="s">
        <v>116</v>
      </c>
      <c r="D1424">
        <v>5</v>
      </c>
      <c r="E1424">
        <v>100</v>
      </c>
      <c r="F1424" t="s">
        <v>1</v>
      </c>
      <c r="G1424" s="6">
        <v>45754</v>
      </c>
      <c r="H1424">
        <v>48</v>
      </c>
      <c r="I1424">
        <f>ROUND(CompilDonnées[[#This Row],[CultureDuration_days]]/7,0)</f>
        <v>7</v>
      </c>
      <c r="J1424">
        <v>3694</v>
      </c>
      <c r="K1424" t="str">
        <f>_xlfn.CONCAT(WEEKNUM(CompilDonnées[[#This Row],[PlantationDate]]), " ", YEAR(CompilDonnées[[#This Row],[PlantationDate]]))</f>
        <v>8 2025</v>
      </c>
      <c r="L1424" t="str">
        <f>CONCATENATE(MONTH(CompilDonnées[[#This Row],[PlantationDate]])," ", YEAR(CompilDonnées[[#This Row],[PlantationDate]]))</f>
        <v>2 2025</v>
      </c>
      <c r="M1424" t="str">
        <f>CONCATENATE(MONTH(CompilDonnées[[#This Row],[HarvestingDate]])," ", YEAR(CompilDonnées[[#This Row],[HarvestingDate]]))</f>
        <v>4 2025</v>
      </c>
      <c r="N1424">
        <f>_xlfn.NUMBERVALUE(CompilDonnées[[#This Row],[FarmID]]&amp;CompilDonnées[[#This Row],[ModuleNumber]]&amp;CompilDonnées[[#This Row],[PlantationDate]])</f>
        <v>3545706</v>
      </c>
      <c r="O1424" t="str">
        <f>CompilDonnées[[#This Row],[FarmID]]&amp;CompilDonnées[[#This Row],[ModuleNumber]]</f>
        <v>35</v>
      </c>
      <c r="P1424" t="str">
        <f>CompilDonnées[[#This Row],[Ref_Module]]&amp;CompilDonnées[[#This Row],[HarvestingDate]]</f>
        <v>3545754</v>
      </c>
    </row>
    <row r="1425" spans="1:16">
      <c r="A1425" s="5">
        <v>45706</v>
      </c>
      <c r="B1425">
        <v>16</v>
      </c>
      <c r="C1425" t="s">
        <v>112</v>
      </c>
      <c r="D1425">
        <v>1</v>
      </c>
      <c r="E1425">
        <v>100</v>
      </c>
      <c r="F1425" t="s">
        <v>1</v>
      </c>
      <c r="G1425" s="6">
        <v>45749</v>
      </c>
      <c r="H1425">
        <v>43</v>
      </c>
      <c r="I1425">
        <f>ROUND(CompilDonnées[[#This Row],[CultureDuration_days]]/7,0)</f>
        <v>6</v>
      </c>
      <c r="J1425">
        <v>3708</v>
      </c>
      <c r="K1425" t="str">
        <f>_xlfn.CONCAT(WEEKNUM(CompilDonnées[[#This Row],[PlantationDate]]), " ", YEAR(CompilDonnées[[#This Row],[PlantationDate]]))</f>
        <v>8 2025</v>
      </c>
      <c r="L1425" t="str">
        <f>CONCATENATE(MONTH(CompilDonnées[[#This Row],[PlantationDate]])," ", YEAR(CompilDonnées[[#This Row],[PlantationDate]]))</f>
        <v>2 2025</v>
      </c>
      <c r="M1425" t="str">
        <f>CONCATENATE(MONTH(CompilDonnées[[#This Row],[HarvestingDate]])," ", YEAR(CompilDonnées[[#This Row],[HarvestingDate]]))</f>
        <v>4 2025</v>
      </c>
      <c r="N1425">
        <f>_xlfn.NUMBERVALUE(CompilDonnées[[#This Row],[FarmID]]&amp;CompilDonnées[[#This Row],[ModuleNumber]]&amp;CompilDonnées[[#This Row],[PlantationDate]])</f>
        <v>16145706</v>
      </c>
      <c r="O1425" t="str">
        <f>CompilDonnées[[#This Row],[FarmID]]&amp;CompilDonnées[[#This Row],[ModuleNumber]]</f>
        <v>161</v>
      </c>
      <c r="P1425" t="str">
        <f>CompilDonnées[[#This Row],[Ref_Module]]&amp;CompilDonnées[[#This Row],[HarvestingDate]]</f>
        <v>16145749</v>
      </c>
    </row>
    <row r="1426" spans="1:16">
      <c r="A1426" s="5">
        <v>45706</v>
      </c>
      <c r="B1426">
        <v>16</v>
      </c>
      <c r="C1426" t="s">
        <v>112</v>
      </c>
      <c r="D1426">
        <v>6</v>
      </c>
      <c r="E1426">
        <v>100</v>
      </c>
      <c r="F1426" t="s">
        <v>1</v>
      </c>
      <c r="G1426" s="6">
        <v>45749</v>
      </c>
      <c r="H1426">
        <v>43</v>
      </c>
      <c r="I1426">
        <f>ROUND(CompilDonnées[[#This Row],[CultureDuration_days]]/7,0)</f>
        <v>6</v>
      </c>
      <c r="J1426">
        <v>3793</v>
      </c>
      <c r="K1426" t="str">
        <f>_xlfn.CONCAT(WEEKNUM(CompilDonnées[[#This Row],[PlantationDate]]), " ", YEAR(CompilDonnées[[#This Row],[PlantationDate]]))</f>
        <v>8 2025</v>
      </c>
      <c r="L1426" t="str">
        <f>CONCATENATE(MONTH(CompilDonnées[[#This Row],[PlantationDate]])," ", YEAR(CompilDonnées[[#This Row],[PlantationDate]]))</f>
        <v>2 2025</v>
      </c>
      <c r="M1426" t="str">
        <f>CONCATENATE(MONTH(CompilDonnées[[#This Row],[HarvestingDate]])," ", YEAR(CompilDonnées[[#This Row],[HarvestingDate]]))</f>
        <v>4 2025</v>
      </c>
      <c r="N1426">
        <f>_xlfn.NUMBERVALUE(CompilDonnées[[#This Row],[FarmID]]&amp;CompilDonnées[[#This Row],[ModuleNumber]]&amp;CompilDonnées[[#This Row],[PlantationDate]])</f>
        <v>16645706</v>
      </c>
      <c r="O1426" t="str">
        <f>CompilDonnées[[#This Row],[FarmID]]&amp;CompilDonnées[[#This Row],[ModuleNumber]]</f>
        <v>166</v>
      </c>
      <c r="P1426" t="str">
        <f>CompilDonnées[[#This Row],[Ref_Module]]&amp;CompilDonnées[[#This Row],[HarvestingDate]]</f>
        <v>16645749</v>
      </c>
    </row>
    <row r="1427" spans="1:16">
      <c r="A1427" s="5">
        <v>45706</v>
      </c>
      <c r="B1427">
        <v>15</v>
      </c>
      <c r="C1427" t="s">
        <v>5</v>
      </c>
      <c r="D1427">
        <v>6</v>
      </c>
      <c r="E1427">
        <v>100</v>
      </c>
      <c r="F1427" t="s">
        <v>1</v>
      </c>
      <c r="G1427" s="6">
        <v>45749</v>
      </c>
      <c r="H1427">
        <v>43</v>
      </c>
      <c r="I1427">
        <f>ROUND(CompilDonnées[[#This Row],[CultureDuration_days]]/7,0)</f>
        <v>6</v>
      </c>
      <c r="J1427">
        <v>3847</v>
      </c>
      <c r="K1427" t="str">
        <f>_xlfn.CONCAT(WEEKNUM(CompilDonnées[[#This Row],[PlantationDate]]), " ", YEAR(CompilDonnées[[#This Row],[PlantationDate]]))</f>
        <v>8 2025</v>
      </c>
      <c r="L1427" t="str">
        <f>CONCATENATE(MONTH(CompilDonnées[[#This Row],[PlantationDate]])," ", YEAR(CompilDonnées[[#This Row],[PlantationDate]]))</f>
        <v>2 2025</v>
      </c>
      <c r="M1427" t="str">
        <f>CONCATENATE(MONTH(CompilDonnées[[#This Row],[HarvestingDate]])," ", YEAR(CompilDonnées[[#This Row],[HarvestingDate]]))</f>
        <v>4 2025</v>
      </c>
      <c r="N1427">
        <f>_xlfn.NUMBERVALUE(CompilDonnées[[#This Row],[FarmID]]&amp;CompilDonnées[[#This Row],[ModuleNumber]]&amp;CompilDonnées[[#This Row],[PlantationDate]])</f>
        <v>15645706</v>
      </c>
      <c r="O1427" t="str">
        <f>CompilDonnées[[#This Row],[FarmID]]&amp;CompilDonnées[[#This Row],[ModuleNumber]]</f>
        <v>156</v>
      </c>
      <c r="P1427" t="str">
        <f>CompilDonnées[[#This Row],[Ref_Module]]&amp;CompilDonnées[[#This Row],[HarvestingDate]]</f>
        <v>15645749</v>
      </c>
    </row>
    <row r="1428" spans="1:16">
      <c r="A1428" s="5">
        <v>45706</v>
      </c>
      <c r="B1428">
        <v>31</v>
      </c>
      <c r="C1428" t="s">
        <v>62</v>
      </c>
      <c r="D1428">
        <v>3</v>
      </c>
      <c r="E1428">
        <v>100</v>
      </c>
      <c r="F1428" t="s">
        <v>1</v>
      </c>
      <c r="G1428" s="6">
        <v>45749</v>
      </c>
      <c r="H1428">
        <v>43</v>
      </c>
      <c r="I1428">
        <f>ROUND(CompilDonnées[[#This Row],[CultureDuration_days]]/7,0)</f>
        <v>6</v>
      </c>
      <c r="J1428">
        <v>4235</v>
      </c>
      <c r="K1428" t="str">
        <f>_xlfn.CONCAT(WEEKNUM(CompilDonnées[[#This Row],[PlantationDate]]), " ", YEAR(CompilDonnées[[#This Row],[PlantationDate]]))</f>
        <v>8 2025</v>
      </c>
      <c r="L1428" t="str">
        <f>CONCATENATE(MONTH(CompilDonnées[[#This Row],[PlantationDate]])," ", YEAR(CompilDonnées[[#This Row],[PlantationDate]]))</f>
        <v>2 2025</v>
      </c>
      <c r="M1428" t="str">
        <f>CONCATENATE(MONTH(CompilDonnées[[#This Row],[HarvestingDate]])," ", YEAR(CompilDonnées[[#This Row],[HarvestingDate]]))</f>
        <v>4 2025</v>
      </c>
      <c r="N1428">
        <f>_xlfn.NUMBERVALUE(CompilDonnées[[#This Row],[FarmID]]&amp;CompilDonnées[[#This Row],[ModuleNumber]]&amp;CompilDonnées[[#This Row],[PlantationDate]])</f>
        <v>31345706</v>
      </c>
      <c r="O1428" t="str">
        <f>CompilDonnées[[#This Row],[FarmID]]&amp;CompilDonnées[[#This Row],[ModuleNumber]]</f>
        <v>313</v>
      </c>
      <c r="P1428" t="str">
        <f>CompilDonnées[[#This Row],[Ref_Module]]&amp;CompilDonnées[[#This Row],[HarvestingDate]]</f>
        <v>31345749</v>
      </c>
    </row>
    <row r="1429" spans="1:16">
      <c r="A1429" s="5">
        <v>45706</v>
      </c>
      <c r="B1429">
        <v>29</v>
      </c>
      <c r="C1429" t="s">
        <v>2</v>
      </c>
      <c r="D1429">
        <v>6</v>
      </c>
      <c r="E1429">
        <v>100</v>
      </c>
      <c r="F1429" t="s">
        <v>1</v>
      </c>
      <c r="G1429" s="6">
        <v>45749</v>
      </c>
      <c r="H1429">
        <v>43</v>
      </c>
      <c r="I1429">
        <f>ROUND(CompilDonnées[[#This Row],[CultureDuration_days]]/7,0)</f>
        <v>6</v>
      </c>
      <c r="J1429">
        <v>4458</v>
      </c>
      <c r="K1429" t="str">
        <f>_xlfn.CONCAT(WEEKNUM(CompilDonnées[[#This Row],[PlantationDate]]), " ", YEAR(CompilDonnées[[#This Row],[PlantationDate]]))</f>
        <v>8 2025</v>
      </c>
      <c r="L1429" t="str">
        <f>CONCATENATE(MONTH(CompilDonnées[[#This Row],[PlantationDate]])," ", YEAR(CompilDonnées[[#This Row],[PlantationDate]]))</f>
        <v>2 2025</v>
      </c>
      <c r="M1429" t="str">
        <f>CONCATENATE(MONTH(CompilDonnées[[#This Row],[HarvestingDate]])," ", YEAR(CompilDonnées[[#This Row],[HarvestingDate]]))</f>
        <v>4 2025</v>
      </c>
      <c r="N1429">
        <f>_xlfn.NUMBERVALUE(CompilDonnées[[#This Row],[FarmID]]&amp;CompilDonnées[[#This Row],[ModuleNumber]]&amp;CompilDonnées[[#This Row],[PlantationDate]])</f>
        <v>29645706</v>
      </c>
      <c r="O1429" t="str">
        <f>CompilDonnées[[#This Row],[FarmID]]&amp;CompilDonnées[[#This Row],[ModuleNumber]]</f>
        <v>296</v>
      </c>
      <c r="P1429" t="str">
        <f>CompilDonnées[[#This Row],[Ref_Module]]&amp;CompilDonnées[[#This Row],[HarvestingDate]]</f>
        <v>29645749</v>
      </c>
    </row>
    <row r="1430" spans="1:16">
      <c r="A1430" s="5">
        <v>45706</v>
      </c>
      <c r="B1430">
        <v>38</v>
      </c>
      <c r="C1430" t="s">
        <v>34</v>
      </c>
      <c r="D1430">
        <v>1</v>
      </c>
      <c r="E1430">
        <v>100</v>
      </c>
      <c r="F1430" t="s">
        <v>1</v>
      </c>
      <c r="G1430" s="6">
        <v>45741</v>
      </c>
      <c r="H1430">
        <v>35</v>
      </c>
      <c r="I1430">
        <f>ROUND(CompilDonnées[[#This Row],[CultureDuration_days]]/7,0)</f>
        <v>5</v>
      </c>
      <c r="J1430">
        <v>3051</v>
      </c>
      <c r="K1430" t="str">
        <f>_xlfn.CONCAT(WEEKNUM(CompilDonnées[[#This Row],[PlantationDate]]), " ", YEAR(CompilDonnées[[#This Row],[PlantationDate]]))</f>
        <v>8 2025</v>
      </c>
      <c r="L1430" t="str">
        <f>CONCATENATE(MONTH(CompilDonnées[[#This Row],[PlantationDate]])," ", YEAR(CompilDonnées[[#This Row],[PlantationDate]]))</f>
        <v>2 2025</v>
      </c>
      <c r="M1430" t="str">
        <f>CONCATENATE(MONTH(CompilDonnées[[#This Row],[HarvestingDate]])," ", YEAR(CompilDonnées[[#This Row],[HarvestingDate]]))</f>
        <v>3 2025</v>
      </c>
      <c r="N1430">
        <f>_xlfn.NUMBERVALUE(CompilDonnées[[#This Row],[FarmID]]&amp;CompilDonnées[[#This Row],[ModuleNumber]]&amp;CompilDonnées[[#This Row],[PlantationDate]])</f>
        <v>38145706</v>
      </c>
      <c r="O1430" t="str">
        <f>CompilDonnées[[#This Row],[FarmID]]&amp;CompilDonnées[[#This Row],[ModuleNumber]]</f>
        <v>381</v>
      </c>
      <c r="P1430" t="str">
        <f>CompilDonnées[[#This Row],[Ref_Module]]&amp;CompilDonnées[[#This Row],[HarvestingDate]]</f>
        <v>38145741</v>
      </c>
    </row>
    <row r="1431" spans="1:16">
      <c r="A1431" s="5">
        <v>45706</v>
      </c>
      <c r="B1431">
        <v>37</v>
      </c>
      <c r="C1431" t="s">
        <v>26</v>
      </c>
      <c r="D1431">
        <v>1</v>
      </c>
      <c r="E1431">
        <v>100</v>
      </c>
      <c r="F1431" t="s">
        <v>1</v>
      </c>
      <c r="G1431" s="6">
        <v>45749</v>
      </c>
      <c r="H1431">
        <v>43</v>
      </c>
      <c r="I1431">
        <f>ROUND(CompilDonnées[[#This Row],[CultureDuration_days]]/7,0)</f>
        <v>6</v>
      </c>
      <c r="J1431">
        <v>4124</v>
      </c>
      <c r="K1431" t="str">
        <f>_xlfn.CONCAT(WEEKNUM(CompilDonnées[[#This Row],[PlantationDate]]), " ", YEAR(CompilDonnées[[#This Row],[PlantationDate]]))</f>
        <v>8 2025</v>
      </c>
      <c r="L1431" t="str">
        <f>CONCATENATE(MONTH(CompilDonnées[[#This Row],[PlantationDate]])," ", YEAR(CompilDonnées[[#This Row],[PlantationDate]]))</f>
        <v>2 2025</v>
      </c>
      <c r="M1431" t="str">
        <f>CONCATENATE(MONTH(CompilDonnées[[#This Row],[HarvestingDate]])," ", YEAR(CompilDonnées[[#This Row],[HarvestingDate]]))</f>
        <v>4 2025</v>
      </c>
      <c r="N1431">
        <f>_xlfn.NUMBERVALUE(CompilDonnées[[#This Row],[FarmID]]&amp;CompilDonnées[[#This Row],[ModuleNumber]]&amp;CompilDonnées[[#This Row],[PlantationDate]])</f>
        <v>37145706</v>
      </c>
      <c r="O1431" t="str">
        <f>CompilDonnées[[#This Row],[FarmID]]&amp;CompilDonnées[[#This Row],[ModuleNumber]]</f>
        <v>371</v>
      </c>
      <c r="P1431" t="str">
        <f>CompilDonnées[[#This Row],[Ref_Module]]&amp;CompilDonnées[[#This Row],[HarvestingDate]]</f>
        <v>37145749</v>
      </c>
    </row>
    <row r="1432" spans="1:16">
      <c r="A1432" s="5">
        <v>45706</v>
      </c>
      <c r="B1432">
        <v>37</v>
      </c>
      <c r="C1432" t="s">
        <v>26</v>
      </c>
      <c r="D1432">
        <v>6</v>
      </c>
      <c r="E1432">
        <v>100</v>
      </c>
      <c r="F1432" t="s">
        <v>1</v>
      </c>
      <c r="G1432" s="6">
        <v>45741</v>
      </c>
      <c r="H1432">
        <v>35</v>
      </c>
      <c r="I1432">
        <f>ROUND(CompilDonnées[[#This Row],[CultureDuration_days]]/7,0)</f>
        <v>5</v>
      </c>
      <c r="J1432">
        <v>4179</v>
      </c>
      <c r="K1432" t="str">
        <f>_xlfn.CONCAT(WEEKNUM(CompilDonnées[[#This Row],[PlantationDate]]), " ", YEAR(CompilDonnées[[#This Row],[PlantationDate]]))</f>
        <v>8 2025</v>
      </c>
      <c r="L1432" t="str">
        <f>CONCATENATE(MONTH(CompilDonnées[[#This Row],[PlantationDate]])," ", YEAR(CompilDonnées[[#This Row],[PlantationDate]]))</f>
        <v>2 2025</v>
      </c>
      <c r="M1432" t="str">
        <f>CONCATENATE(MONTH(CompilDonnées[[#This Row],[HarvestingDate]])," ", YEAR(CompilDonnées[[#This Row],[HarvestingDate]]))</f>
        <v>3 2025</v>
      </c>
      <c r="N1432">
        <f>_xlfn.NUMBERVALUE(CompilDonnées[[#This Row],[FarmID]]&amp;CompilDonnées[[#This Row],[ModuleNumber]]&amp;CompilDonnées[[#This Row],[PlantationDate]])</f>
        <v>37645706</v>
      </c>
      <c r="O1432" t="str">
        <f>CompilDonnées[[#This Row],[FarmID]]&amp;CompilDonnées[[#This Row],[ModuleNumber]]</f>
        <v>376</v>
      </c>
      <c r="P1432" t="str">
        <f>CompilDonnées[[#This Row],[Ref_Module]]&amp;CompilDonnées[[#This Row],[HarvestingDate]]</f>
        <v>37645741</v>
      </c>
    </row>
    <row r="1433" spans="1:16">
      <c r="A1433" s="5">
        <v>45706</v>
      </c>
      <c r="B1433">
        <v>36</v>
      </c>
      <c r="C1433" t="s">
        <v>63</v>
      </c>
      <c r="D1433">
        <v>1</v>
      </c>
      <c r="E1433">
        <v>100</v>
      </c>
      <c r="F1433" t="s">
        <v>1</v>
      </c>
      <c r="G1433" s="6">
        <v>45741</v>
      </c>
      <c r="H1433">
        <v>35</v>
      </c>
      <c r="I1433">
        <f>ROUND(CompilDonnées[[#This Row],[CultureDuration_days]]/7,0)</f>
        <v>5</v>
      </c>
      <c r="J1433">
        <v>3607</v>
      </c>
      <c r="K1433" t="str">
        <f>_xlfn.CONCAT(WEEKNUM(CompilDonnées[[#This Row],[PlantationDate]]), " ", YEAR(CompilDonnées[[#This Row],[PlantationDate]]))</f>
        <v>8 2025</v>
      </c>
      <c r="L1433" t="str">
        <f>CONCATENATE(MONTH(CompilDonnées[[#This Row],[PlantationDate]])," ", YEAR(CompilDonnées[[#This Row],[PlantationDate]]))</f>
        <v>2 2025</v>
      </c>
      <c r="M1433" t="str">
        <f>CONCATENATE(MONTH(CompilDonnées[[#This Row],[HarvestingDate]])," ", YEAR(CompilDonnées[[#This Row],[HarvestingDate]]))</f>
        <v>3 2025</v>
      </c>
      <c r="N1433">
        <f>_xlfn.NUMBERVALUE(CompilDonnées[[#This Row],[FarmID]]&amp;CompilDonnées[[#This Row],[ModuleNumber]]&amp;CompilDonnées[[#This Row],[PlantationDate]])</f>
        <v>36145706</v>
      </c>
      <c r="O1433" t="str">
        <f>CompilDonnées[[#This Row],[FarmID]]&amp;CompilDonnées[[#This Row],[ModuleNumber]]</f>
        <v>361</v>
      </c>
      <c r="P1433" t="str">
        <f>CompilDonnées[[#This Row],[Ref_Module]]&amp;CompilDonnées[[#This Row],[HarvestingDate]]</f>
        <v>36145741</v>
      </c>
    </row>
    <row r="1434" spans="1:16">
      <c r="A1434" s="5">
        <v>45706</v>
      </c>
      <c r="B1434">
        <v>36</v>
      </c>
      <c r="C1434" t="s">
        <v>63</v>
      </c>
      <c r="D1434">
        <v>2</v>
      </c>
      <c r="E1434">
        <v>100</v>
      </c>
      <c r="F1434" t="s">
        <v>1</v>
      </c>
      <c r="G1434" s="6">
        <v>45749</v>
      </c>
      <c r="H1434">
        <v>43</v>
      </c>
      <c r="I1434">
        <f>ROUND(CompilDonnées[[#This Row],[CultureDuration_days]]/7,0)</f>
        <v>6</v>
      </c>
      <c r="J1434">
        <v>4365</v>
      </c>
      <c r="K1434" t="str">
        <f>_xlfn.CONCAT(WEEKNUM(CompilDonnées[[#This Row],[PlantationDate]]), " ", YEAR(CompilDonnées[[#This Row],[PlantationDate]]))</f>
        <v>8 2025</v>
      </c>
      <c r="L1434" t="str">
        <f>CONCATENATE(MONTH(CompilDonnées[[#This Row],[PlantationDate]])," ", YEAR(CompilDonnées[[#This Row],[PlantationDate]]))</f>
        <v>2 2025</v>
      </c>
      <c r="M1434" t="str">
        <f>CONCATENATE(MONTH(CompilDonnées[[#This Row],[HarvestingDate]])," ", YEAR(CompilDonnées[[#This Row],[HarvestingDate]]))</f>
        <v>4 2025</v>
      </c>
      <c r="N1434">
        <f>_xlfn.NUMBERVALUE(CompilDonnées[[#This Row],[FarmID]]&amp;CompilDonnées[[#This Row],[ModuleNumber]]&amp;CompilDonnées[[#This Row],[PlantationDate]])</f>
        <v>36245706</v>
      </c>
      <c r="O1434" t="str">
        <f>CompilDonnées[[#This Row],[FarmID]]&amp;CompilDonnées[[#This Row],[ModuleNumber]]</f>
        <v>362</v>
      </c>
      <c r="P1434" t="str">
        <f>CompilDonnées[[#This Row],[Ref_Module]]&amp;CompilDonnées[[#This Row],[HarvestingDate]]</f>
        <v>36245749</v>
      </c>
    </row>
    <row r="1435" spans="1:16">
      <c r="A1435" s="5">
        <v>45706</v>
      </c>
      <c r="B1435">
        <v>35</v>
      </c>
      <c r="C1435" t="s">
        <v>69</v>
      </c>
      <c r="D1435">
        <v>2</v>
      </c>
      <c r="E1435">
        <v>100</v>
      </c>
      <c r="F1435" t="s">
        <v>1</v>
      </c>
      <c r="G1435" s="6">
        <v>45748</v>
      </c>
      <c r="H1435">
        <v>42</v>
      </c>
      <c r="I1435">
        <f>ROUND(CompilDonnées[[#This Row],[CultureDuration_days]]/7,0)</f>
        <v>6</v>
      </c>
      <c r="J1435">
        <v>4130</v>
      </c>
      <c r="K1435" t="str">
        <f>_xlfn.CONCAT(WEEKNUM(CompilDonnées[[#This Row],[PlantationDate]]), " ", YEAR(CompilDonnées[[#This Row],[PlantationDate]]))</f>
        <v>8 2025</v>
      </c>
      <c r="L1435" t="str">
        <f>CONCATENATE(MONTH(CompilDonnées[[#This Row],[PlantationDate]])," ", YEAR(CompilDonnées[[#This Row],[PlantationDate]]))</f>
        <v>2 2025</v>
      </c>
      <c r="M1435" t="str">
        <f>CONCATENATE(MONTH(CompilDonnées[[#This Row],[HarvestingDate]])," ", YEAR(CompilDonnées[[#This Row],[HarvestingDate]]))</f>
        <v>4 2025</v>
      </c>
      <c r="N1435">
        <f>_xlfn.NUMBERVALUE(CompilDonnées[[#This Row],[FarmID]]&amp;CompilDonnées[[#This Row],[ModuleNumber]]&amp;CompilDonnées[[#This Row],[PlantationDate]])</f>
        <v>35245706</v>
      </c>
      <c r="O1435" t="str">
        <f>CompilDonnées[[#This Row],[FarmID]]&amp;CompilDonnées[[#This Row],[ModuleNumber]]</f>
        <v>352</v>
      </c>
      <c r="P1435" t="str">
        <f>CompilDonnées[[#This Row],[Ref_Module]]&amp;CompilDonnées[[#This Row],[HarvestingDate]]</f>
        <v>35245748</v>
      </c>
    </row>
    <row r="1436" spans="1:16">
      <c r="A1436" s="5">
        <v>45706</v>
      </c>
      <c r="B1436">
        <v>44</v>
      </c>
      <c r="C1436" t="s">
        <v>42</v>
      </c>
      <c r="D1436">
        <v>3</v>
      </c>
      <c r="E1436">
        <v>100</v>
      </c>
      <c r="F1436" t="s">
        <v>1</v>
      </c>
      <c r="G1436" s="6">
        <v>45741</v>
      </c>
      <c r="H1436">
        <v>35</v>
      </c>
      <c r="I1436">
        <f>ROUND(CompilDonnées[[#This Row],[CultureDuration_days]]/7,0)</f>
        <v>5</v>
      </c>
      <c r="J1436">
        <v>2674</v>
      </c>
      <c r="K1436" t="str">
        <f>_xlfn.CONCAT(WEEKNUM(CompilDonnées[[#This Row],[PlantationDate]]), " ", YEAR(CompilDonnées[[#This Row],[PlantationDate]]))</f>
        <v>8 2025</v>
      </c>
      <c r="L1436" t="str">
        <f>CONCATENATE(MONTH(CompilDonnées[[#This Row],[PlantationDate]])," ", YEAR(CompilDonnées[[#This Row],[PlantationDate]]))</f>
        <v>2 2025</v>
      </c>
      <c r="M1436" t="str">
        <f>CONCATENATE(MONTH(CompilDonnées[[#This Row],[HarvestingDate]])," ", YEAR(CompilDonnées[[#This Row],[HarvestingDate]]))</f>
        <v>3 2025</v>
      </c>
      <c r="N1436">
        <f>_xlfn.NUMBERVALUE(CompilDonnées[[#This Row],[FarmID]]&amp;CompilDonnées[[#This Row],[ModuleNumber]]&amp;CompilDonnées[[#This Row],[PlantationDate]])</f>
        <v>44345706</v>
      </c>
      <c r="O1436" t="str">
        <f>CompilDonnées[[#This Row],[FarmID]]&amp;CompilDonnées[[#This Row],[ModuleNumber]]</f>
        <v>443</v>
      </c>
      <c r="P1436" t="str">
        <f>CompilDonnées[[#This Row],[Ref_Module]]&amp;CompilDonnées[[#This Row],[HarvestingDate]]</f>
        <v>44345741</v>
      </c>
    </row>
    <row r="1437" spans="1:16">
      <c r="A1437" s="5">
        <v>45706</v>
      </c>
      <c r="B1437">
        <v>43</v>
      </c>
      <c r="C1437" t="s">
        <v>45</v>
      </c>
      <c r="D1437">
        <v>4</v>
      </c>
      <c r="E1437">
        <v>100</v>
      </c>
      <c r="F1437" t="s">
        <v>1</v>
      </c>
      <c r="G1437" s="6">
        <v>45741</v>
      </c>
      <c r="H1437">
        <v>35</v>
      </c>
      <c r="I1437">
        <f>ROUND(CompilDonnées[[#This Row],[CultureDuration_days]]/7,0)</f>
        <v>5</v>
      </c>
      <c r="J1437">
        <v>3257</v>
      </c>
      <c r="K1437" t="str">
        <f>_xlfn.CONCAT(WEEKNUM(CompilDonnées[[#This Row],[PlantationDate]]), " ", YEAR(CompilDonnées[[#This Row],[PlantationDate]]))</f>
        <v>8 2025</v>
      </c>
      <c r="L1437" t="str">
        <f>CONCATENATE(MONTH(CompilDonnées[[#This Row],[PlantationDate]])," ", YEAR(CompilDonnées[[#This Row],[PlantationDate]]))</f>
        <v>2 2025</v>
      </c>
      <c r="M1437" t="str">
        <f>CONCATENATE(MONTH(CompilDonnées[[#This Row],[HarvestingDate]])," ", YEAR(CompilDonnées[[#This Row],[HarvestingDate]]))</f>
        <v>3 2025</v>
      </c>
      <c r="N1437">
        <f>_xlfn.NUMBERVALUE(CompilDonnées[[#This Row],[FarmID]]&amp;CompilDonnées[[#This Row],[ModuleNumber]]&amp;CompilDonnées[[#This Row],[PlantationDate]])</f>
        <v>43445706</v>
      </c>
      <c r="O1437" t="str">
        <f>CompilDonnées[[#This Row],[FarmID]]&amp;CompilDonnées[[#This Row],[ModuleNumber]]</f>
        <v>434</v>
      </c>
      <c r="P1437" t="str">
        <f>CompilDonnées[[#This Row],[Ref_Module]]&amp;CompilDonnées[[#This Row],[HarvestingDate]]</f>
        <v>43445741</v>
      </c>
    </row>
    <row r="1438" spans="1:16">
      <c r="A1438" s="5">
        <v>45706</v>
      </c>
      <c r="B1438">
        <v>13</v>
      </c>
      <c r="C1438" t="s">
        <v>114</v>
      </c>
      <c r="D1438">
        <v>6</v>
      </c>
      <c r="E1438">
        <v>100</v>
      </c>
      <c r="F1438" t="s">
        <v>1</v>
      </c>
      <c r="G1438" s="6">
        <v>45749</v>
      </c>
      <c r="H1438">
        <v>43</v>
      </c>
      <c r="I1438">
        <f>ROUND(CompilDonnées[[#This Row],[CultureDuration_days]]/7,0)</f>
        <v>6</v>
      </c>
      <c r="J1438">
        <v>4539</v>
      </c>
      <c r="K1438" t="str">
        <f>_xlfn.CONCAT(WEEKNUM(CompilDonnées[[#This Row],[PlantationDate]]), " ", YEAR(CompilDonnées[[#This Row],[PlantationDate]]))</f>
        <v>8 2025</v>
      </c>
      <c r="L1438" t="str">
        <f>CONCATENATE(MONTH(CompilDonnées[[#This Row],[PlantationDate]])," ", YEAR(CompilDonnées[[#This Row],[PlantationDate]]))</f>
        <v>2 2025</v>
      </c>
      <c r="M1438" t="str">
        <f>CONCATENATE(MONTH(CompilDonnées[[#This Row],[HarvestingDate]])," ", YEAR(CompilDonnées[[#This Row],[HarvestingDate]]))</f>
        <v>4 2025</v>
      </c>
      <c r="N1438">
        <f>_xlfn.NUMBERVALUE(CompilDonnées[[#This Row],[FarmID]]&amp;CompilDonnées[[#This Row],[ModuleNumber]]&amp;CompilDonnées[[#This Row],[PlantationDate]])</f>
        <v>13645706</v>
      </c>
      <c r="O1438" t="str">
        <f>CompilDonnées[[#This Row],[FarmID]]&amp;CompilDonnées[[#This Row],[ModuleNumber]]</f>
        <v>136</v>
      </c>
      <c r="P1438" t="str">
        <f>CompilDonnées[[#This Row],[Ref_Module]]&amp;CompilDonnées[[#This Row],[HarvestingDate]]</f>
        <v>13645749</v>
      </c>
    </row>
    <row r="1439" spans="1:16">
      <c r="A1439" s="5">
        <v>45706</v>
      </c>
      <c r="B1439">
        <v>75</v>
      </c>
      <c r="C1439" t="s">
        <v>3</v>
      </c>
      <c r="D1439">
        <v>4</v>
      </c>
      <c r="E1439">
        <v>60</v>
      </c>
      <c r="F1439" t="s">
        <v>105</v>
      </c>
      <c r="G1439" s="6">
        <v>45756</v>
      </c>
      <c r="H1439">
        <v>50</v>
      </c>
      <c r="I1439">
        <f>ROUND(CompilDonnées[[#This Row],[CultureDuration_days]]/7,0)</f>
        <v>7</v>
      </c>
      <c r="J1439">
        <v>1609</v>
      </c>
      <c r="K1439" t="str">
        <f>_xlfn.CONCAT(WEEKNUM(CompilDonnées[[#This Row],[PlantationDate]]), " ", YEAR(CompilDonnées[[#This Row],[PlantationDate]]))</f>
        <v>8 2025</v>
      </c>
      <c r="L1439" t="str">
        <f>CONCATENATE(MONTH(CompilDonnées[[#This Row],[PlantationDate]])," ", YEAR(CompilDonnées[[#This Row],[PlantationDate]]))</f>
        <v>2 2025</v>
      </c>
      <c r="M1439" t="str">
        <f>CONCATENATE(MONTH(CompilDonnées[[#This Row],[HarvestingDate]])," ", YEAR(CompilDonnées[[#This Row],[HarvestingDate]]))</f>
        <v>4 2025</v>
      </c>
      <c r="N1439">
        <f>_xlfn.NUMBERVALUE(CompilDonnées[[#This Row],[FarmID]]&amp;CompilDonnées[[#This Row],[ModuleNumber]]&amp;CompilDonnées[[#This Row],[PlantationDate]])</f>
        <v>75445706</v>
      </c>
      <c r="O1439" t="str">
        <f>CompilDonnées[[#This Row],[FarmID]]&amp;CompilDonnées[[#This Row],[ModuleNumber]]</f>
        <v>754</v>
      </c>
      <c r="P1439" t="str">
        <f>CompilDonnées[[#This Row],[Ref_Module]]&amp;CompilDonnées[[#This Row],[HarvestingDate]]</f>
        <v>75445756</v>
      </c>
    </row>
    <row r="1440" spans="1:16">
      <c r="A1440" s="5">
        <v>45706</v>
      </c>
      <c r="B1440">
        <v>96</v>
      </c>
      <c r="C1440" t="s">
        <v>3</v>
      </c>
      <c r="D1440">
        <v>3</v>
      </c>
      <c r="E1440">
        <v>60</v>
      </c>
      <c r="F1440" t="s">
        <v>105</v>
      </c>
      <c r="G1440" s="6">
        <v>45756</v>
      </c>
      <c r="H1440">
        <v>50</v>
      </c>
      <c r="I1440">
        <f>ROUND(CompilDonnées[[#This Row],[CultureDuration_days]]/7,0)</f>
        <v>7</v>
      </c>
      <c r="J1440">
        <v>1601</v>
      </c>
      <c r="K1440" t="str">
        <f>_xlfn.CONCAT(WEEKNUM(CompilDonnées[[#This Row],[PlantationDate]]), " ", YEAR(CompilDonnées[[#This Row],[PlantationDate]]))</f>
        <v>8 2025</v>
      </c>
      <c r="L1440" t="str">
        <f>CONCATENATE(MONTH(CompilDonnées[[#This Row],[PlantationDate]])," ", YEAR(CompilDonnées[[#This Row],[PlantationDate]]))</f>
        <v>2 2025</v>
      </c>
      <c r="M1440" t="str">
        <f>CONCATENATE(MONTH(CompilDonnées[[#This Row],[HarvestingDate]])," ", YEAR(CompilDonnées[[#This Row],[HarvestingDate]]))</f>
        <v>4 2025</v>
      </c>
      <c r="N1440">
        <f>_xlfn.NUMBERVALUE(CompilDonnées[[#This Row],[FarmID]]&amp;CompilDonnées[[#This Row],[ModuleNumber]]&amp;CompilDonnées[[#This Row],[PlantationDate]])</f>
        <v>96345706</v>
      </c>
      <c r="O1440" t="str">
        <f>CompilDonnées[[#This Row],[FarmID]]&amp;CompilDonnées[[#This Row],[ModuleNumber]]</f>
        <v>963</v>
      </c>
      <c r="P1440" t="str">
        <f>CompilDonnées[[#This Row],[Ref_Module]]&amp;CompilDonnées[[#This Row],[HarvestingDate]]</f>
        <v>96345756</v>
      </c>
    </row>
    <row r="1441" spans="1:16">
      <c r="A1441" s="5">
        <v>45706</v>
      </c>
      <c r="B1441">
        <v>8</v>
      </c>
      <c r="C1441" t="s">
        <v>57</v>
      </c>
      <c r="D1441">
        <v>1</v>
      </c>
      <c r="E1441">
        <v>100</v>
      </c>
      <c r="F1441" t="s">
        <v>1</v>
      </c>
      <c r="G1441" s="6">
        <v>45754</v>
      </c>
      <c r="H1441">
        <v>48</v>
      </c>
      <c r="I1441">
        <f>ROUND(CompilDonnées[[#This Row],[CultureDuration_days]]/7,0)</f>
        <v>7</v>
      </c>
      <c r="J1441">
        <v>3885</v>
      </c>
      <c r="K1441" t="str">
        <f>_xlfn.CONCAT(WEEKNUM(CompilDonnées[[#This Row],[PlantationDate]]), " ", YEAR(CompilDonnées[[#This Row],[PlantationDate]]))</f>
        <v>8 2025</v>
      </c>
      <c r="L1441" t="str">
        <f>CONCATENATE(MONTH(CompilDonnées[[#This Row],[PlantationDate]])," ", YEAR(CompilDonnées[[#This Row],[PlantationDate]]))</f>
        <v>2 2025</v>
      </c>
      <c r="M1441" t="str">
        <f>CONCATENATE(MONTH(CompilDonnées[[#This Row],[HarvestingDate]])," ", YEAR(CompilDonnées[[#This Row],[HarvestingDate]]))</f>
        <v>4 2025</v>
      </c>
      <c r="N1441">
        <f>_xlfn.NUMBERVALUE(CompilDonnées[[#This Row],[FarmID]]&amp;CompilDonnées[[#This Row],[ModuleNumber]]&amp;CompilDonnées[[#This Row],[PlantationDate]])</f>
        <v>8145706</v>
      </c>
      <c r="O1441" t="str">
        <f>CompilDonnées[[#This Row],[FarmID]]&amp;CompilDonnées[[#This Row],[ModuleNumber]]</f>
        <v>81</v>
      </c>
      <c r="P1441" t="str">
        <f>CompilDonnées[[#This Row],[Ref_Module]]&amp;CompilDonnées[[#This Row],[HarvestingDate]]</f>
        <v>8145754</v>
      </c>
    </row>
    <row r="1442" spans="1:16">
      <c r="A1442" s="5">
        <v>45706</v>
      </c>
      <c r="B1442">
        <v>7</v>
      </c>
      <c r="C1442" t="s">
        <v>50</v>
      </c>
      <c r="D1442">
        <v>1</v>
      </c>
      <c r="E1442">
        <v>100</v>
      </c>
      <c r="F1442" t="s">
        <v>1</v>
      </c>
      <c r="G1442" s="6">
        <v>45750</v>
      </c>
      <c r="H1442">
        <v>44</v>
      </c>
      <c r="I1442">
        <f>ROUND(CompilDonnées[[#This Row],[CultureDuration_days]]/7,0)</f>
        <v>6</v>
      </c>
      <c r="J1442">
        <v>4423</v>
      </c>
      <c r="K1442" t="str">
        <f>_xlfn.CONCAT(WEEKNUM(CompilDonnées[[#This Row],[PlantationDate]]), " ", YEAR(CompilDonnées[[#This Row],[PlantationDate]]))</f>
        <v>8 2025</v>
      </c>
      <c r="L1442" t="str">
        <f>CONCATENATE(MONTH(CompilDonnées[[#This Row],[PlantationDate]])," ", YEAR(CompilDonnées[[#This Row],[PlantationDate]]))</f>
        <v>2 2025</v>
      </c>
      <c r="M1442" t="str">
        <f>CONCATENATE(MONTH(CompilDonnées[[#This Row],[HarvestingDate]])," ", YEAR(CompilDonnées[[#This Row],[HarvestingDate]]))</f>
        <v>4 2025</v>
      </c>
      <c r="N1442">
        <f>_xlfn.NUMBERVALUE(CompilDonnées[[#This Row],[FarmID]]&amp;CompilDonnées[[#This Row],[ModuleNumber]]&amp;CompilDonnées[[#This Row],[PlantationDate]])</f>
        <v>7145706</v>
      </c>
      <c r="O1442" t="str">
        <f>CompilDonnées[[#This Row],[FarmID]]&amp;CompilDonnées[[#This Row],[ModuleNumber]]</f>
        <v>71</v>
      </c>
      <c r="P1442" t="str">
        <f>CompilDonnées[[#This Row],[Ref_Module]]&amp;CompilDonnées[[#This Row],[HarvestingDate]]</f>
        <v>7145750</v>
      </c>
    </row>
    <row r="1443" spans="1:16">
      <c r="A1443" s="5">
        <v>45706</v>
      </c>
      <c r="B1443">
        <v>35</v>
      </c>
      <c r="C1443" t="s">
        <v>69</v>
      </c>
      <c r="D1443">
        <v>1</v>
      </c>
      <c r="E1443">
        <v>100</v>
      </c>
      <c r="F1443" t="s">
        <v>1</v>
      </c>
      <c r="G1443" s="6">
        <v>45741</v>
      </c>
      <c r="H1443">
        <v>35</v>
      </c>
      <c r="I1443">
        <f>ROUND(CompilDonnées[[#This Row],[CultureDuration_days]]/7,0)</f>
        <v>5</v>
      </c>
      <c r="J1443">
        <v>3256</v>
      </c>
      <c r="K1443" t="str">
        <f>_xlfn.CONCAT(WEEKNUM(CompilDonnées[[#This Row],[PlantationDate]]), " ", YEAR(CompilDonnées[[#This Row],[PlantationDate]]))</f>
        <v>8 2025</v>
      </c>
      <c r="L1443" t="str">
        <f>CONCATENATE(MONTH(CompilDonnées[[#This Row],[PlantationDate]])," ", YEAR(CompilDonnées[[#This Row],[PlantationDate]]))</f>
        <v>2 2025</v>
      </c>
      <c r="M1443" t="str">
        <f>CONCATENATE(MONTH(CompilDonnées[[#This Row],[HarvestingDate]])," ", YEAR(CompilDonnées[[#This Row],[HarvestingDate]]))</f>
        <v>3 2025</v>
      </c>
      <c r="N1443">
        <f>_xlfn.NUMBERVALUE(CompilDonnées[[#This Row],[FarmID]]&amp;CompilDonnées[[#This Row],[ModuleNumber]]&amp;CompilDonnées[[#This Row],[PlantationDate]])</f>
        <v>35145706</v>
      </c>
      <c r="O1443" t="str">
        <f>CompilDonnées[[#This Row],[FarmID]]&amp;CompilDonnées[[#This Row],[ModuleNumber]]</f>
        <v>351</v>
      </c>
      <c r="P1443" t="str">
        <f>CompilDonnées[[#This Row],[Ref_Module]]&amp;CompilDonnées[[#This Row],[HarvestingDate]]</f>
        <v>35145741</v>
      </c>
    </row>
    <row r="1444" spans="1:16">
      <c r="A1444" s="5">
        <v>45707</v>
      </c>
      <c r="B1444">
        <v>4</v>
      </c>
      <c r="C1444" t="s">
        <v>74</v>
      </c>
      <c r="D1444">
        <v>5</v>
      </c>
      <c r="E1444">
        <v>100</v>
      </c>
      <c r="F1444" t="s">
        <v>1</v>
      </c>
      <c r="G1444" s="6">
        <v>45750</v>
      </c>
      <c r="H1444">
        <v>43</v>
      </c>
      <c r="I1444">
        <f>ROUND(CompilDonnées[[#This Row],[CultureDuration_days]]/7,0)</f>
        <v>6</v>
      </c>
      <c r="J1444">
        <v>3016</v>
      </c>
      <c r="K1444" t="str">
        <f>_xlfn.CONCAT(WEEKNUM(CompilDonnées[[#This Row],[PlantationDate]]), " ", YEAR(CompilDonnées[[#This Row],[PlantationDate]]))</f>
        <v>8 2025</v>
      </c>
      <c r="L1444" t="str">
        <f>CONCATENATE(MONTH(CompilDonnées[[#This Row],[PlantationDate]])," ", YEAR(CompilDonnées[[#This Row],[PlantationDate]]))</f>
        <v>2 2025</v>
      </c>
      <c r="M1444" t="str">
        <f>CONCATENATE(MONTH(CompilDonnées[[#This Row],[HarvestingDate]])," ", YEAR(CompilDonnées[[#This Row],[HarvestingDate]]))</f>
        <v>4 2025</v>
      </c>
      <c r="N1444">
        <f>_xlfn.NUMBERVALUE(CompilDonnées[[#This Row],[FarmID]]&amp;CompilDonnées[[#This Row],[ModuleNumber]]&amp;CompilDonnées[[#This Row],[PlantationDate]])</f>
        <v>4545707</v>
      </c>
      <c r="O1444" t="str">
        <f>CompilDonnées[[#This Row],[FarmID]]&amp;CompilDonnées[[#This Row],[ModuleNumber]]</f>
        <v>45</v>
      </c>
      <c r="P1444" t="str">
        <f>CompilDonnées[[#This Row],[Ref_Module]]&amp;CompilDonnées[[#This Row],[HarvestingDate]]</f>
        <v>4545750</v>
      </c>
    </row>
    <row r="1445" spans="1:16">
      <c r="A1445" s="5">
        <v>45707</v>
      </c>
      <c r="B1445">
        <v>4</v>
      </c>
      <c r="C1445" t="s">
        <v>74</v>
      </c>
      <c r="D1445">
        <v>6</v>
      </c>
      <c r="E1445">
        <v>100</v>
      </c>
      <c r="F1445" t="s">
        <v>1</v>
      </c>
      <c r="G1445" s="6">
        <v>45754</v>
      </c>
      <c r="H1445">
        <v>47</v>
      </c>
      <c r="I1445">
        <f>ROUND(CompilDonnées[[#This Row],[CultureDuration_days]]/7,0)</f>
        <v>7</v>
      </c>
      <c r="J1445">
        <v>3618</v>
      </c>
      <c r="K1445" t="str">
        <f>_xlfn.CONCAT(WEEKNUM(CompilDonnées[[#This Row],[PlantationDate]]), " ", YEAR(CompilDonnées[[#This Row],[PlantationDate]]))</f>
        <v>8 2025</v>
      </c>
      <c r="L1445" t="str">
        <f>CONCATENATE(MONTH(CompilDonnées[[#This Row],[PlantationDate]])," ", YEAR(CompilDonnées[[#This Row],[PlantationDate]]))</f>
        <v>2 2025</v>
      </c>
      <c r="M1445" t="str">
        <f>CONCATENATE(MONTH(CompilDonnées[[#This Row],[HarvestingDate]])," ", YEAR(CompilDonnées[[#This Row],[HarvestingDate]]))</f>
        <v>4 2025</v>
      </c>
      <c r="N1445">
        <f>_xlfn.NUMBERVALUE(CompilDonnées[[#This Row],[FarmID]]&amp;CompilDonnées[[#This Row],[ModuleNumber]]&amp;CompilDonnées[[#This Row],[PlantationDate]])</f>
        <v>4645707</v>
      </c>
      <c r="O1445" t="str">
        <f>CompilDonnées[[#This Row],[FarmID]]&amp;CompilDonnées[[#This Row],[ModuleNumber]]</f>
        <v>46</v>
      </c>
      <c r="P1445" t="str">
        <f>CompilDonnées[[#This Row],[Ref_Module]]&amp;CompilDonnées[[#This Row],[HarvestingDate]]</f>
        <v>4645754</v>
      </c>
    </row>
    <row r="1446" spans="1:16">
      <c r="A1446" s="5">
        <v>45707</v>
      </c>
      <c r="B1446">
        <v>38</v>
      </c>
      <c r="C1446" t="s">
        <v>34</v>
      </c>
      <c r="D1446">
        <v>6</v>
      </c>
      <c r="E1446">
        <v>100</v>
      </c>
      <c r="F1446" t="s">
        <v>1</v>
      </c>
      <c r="G1446" s="6">
        <v>45741</v>
      </c>
      <c r="H1446">
        <v>34</v>
      </c>
      <c r="I1446">
        <f>ROUND(CompilDonnées[[#This Row],[CultureDuration_days]]/7,0)</f>
        <v>5</v>
      </c>
      <c r="J1446">
        <v>3052</v>
      </c>
      <c r="K1446" t="str">
        <f>_xlfn.CONCAT(WEEKNUM(CompilDonnées[[#This Row],[PlantationDate]]), " ", YEAR(CompilDonnées[[#This Row],[PlantationDate]]))</f>
        <v>8 2025</v>
      </c>
      <c r="L1446" t="str">
        <f>CONCATENATE(MONTH(CompilDonnées[[#This Row],[PlantationDate]])," ", YEAR(CompilDonnées[[#This Row],[PlantationDate]]))</f>
        <v>2 2025</v>
      </c>
      <c r="M1446" t="str">
        <f>CONCATENATE(MONTH(CompilDonnées[[#This Row],[HarvestingDate]])," ", YEAR(CompilDonnées[[#This Row],[HarvestingDate]]))</f>
        <v>3 2025</v>
      </c>
      <c r="N1446">
        <f>_xlfn.NUMBERVALUE(CompilDonnées[[#This Row],[FarmID]]&amp;CompilDonnées[[#This Row],[ModuleNumber]]&amp;CompilDonnées[[#This Row],[PlantationDate]])</f>
        <v>38645707</v>
      </c>
      <c r="O1446" t="str">
        <f>CompilDonnées[[#This Row],[FarmID]]&amp;CompilDonnées[[#This Row],[ModuleNumber]]</f>
        <v>386</v>
      </c>
      <c r="P1446" t="str">
        <f>CompilDonnées[[#This Row],[Ref_Module]]&amp;CompilDonnées[[#This Row],[HarvestingDate]]</f>
        <v>38645741</v>
      </c>
    </row>
    <row r="1447" spans="1:16">
      <c r="A1447" s="5">
        <v>45707</v>
      </c>
      <c r="B1447">
        <v>32</v>
      </c>
      <c r="C1447" t="s">
        <v>25</v>
      </c>
      <c r="D1447">
        <v>5</v>
      </c>
      <c r="E1447">
        <v>100</v>
      </c>
      <c r="F1447" t="s">
        <v>1</v>
      </c>
      <c r="G1447" s="6">
        <v>45749</v>
      </c>
      <c r="H1447">
        <v>42</v>
      </c>
      <c r="I1447">
        <f>ROUND(CompilDonnées[[#This Row],[CultureDuration_days]]/7,0)</f>
        <v>6</v>
      </c>
      <c r="J1447">
        <v>4017</v>
      </c>
      <c r="K1447" t="str">
        <f>_xlfn.CONCAT(WEEKNUM(CompilDonnées[[#This Row],[PlantationDate]]), " ", YEAR(CompilDonnées[[#This Row],[PlantationDate]]))</f>
        <v>8 2025</v>
      </c>
      <c r="L1447" t="str">
        <f>CONCATENATE(MONTH(CompilDonnées[[#This Row],[PlantationDate]])," ", YEAR(CompilDonnées[[#This Row],[PlantationDate]]))</f>
        <v>2 2025</v>
      </c>
      <c r="M1447" t="str">
        <f>CONCATENATE(MONTH(CompilDonnées[[#This Row],[HarvestingDate]])," ", YEAR(CompilDonnées[[#This Row],[HarvestingDate]]))</f>
        <v>4 2025</v>
      </c>
      <c r="N1447">
        <f>_xlfn.NUMBERVALUE(CompilDonnées[[#This Row],[FarmID]]&amp;CompilDonnées[[#This Row],[ModuleNumber]]&amp;CompilDonnées[[#This Row],[PlantationDate]])</f>
        <v>32545707</v>
      </c>
      <c r="O1447" t="str">
        <f>CompilDonnées[[#This Row],[FarmID]]&amp;CompilDonnées[[#This Row],[ModuleNumber]]</f>
        <v>325</v>
      </c>
      <c r="P1447" t="str">
        <f>CompilDonnées[[#This Row],[Ref_Module]]&amp;CompilDonnées[[#This Row],[HarvestingDate]]</f>
        <v>32545749</v>
      </c>
    </row>
    <row r="1448" spans="1:16">
      <c r="A1448" s="5">
        <v>45707</v>
      </c>
      <c r="B1448">
        <v>60</v>
      </c>
      <c r="C1448" t="s">
        <v>113</v>
      </c>
      <c r="D1448">
        <v>1</v>
      </c>
      <c r="E1448">
        <v>100</v>
      </c>
      <c r="F1448" t="s">
        <v>1</v>
      </c>
      <c r="G1448" s="6">
        <v>45748</v>
      </c>
      <c r="H1448">
        <v>41</v>
      </c>
      <c r="I1448">
        <f>ROUND(CompilDonnées[[#This Row],[CultureDuration_days]]/7,0)</f>
        <v>6</v>
      </c>
      <c r="J1448">
        <v>4160</v>
      </c>
      <c r="K1448" t="str">
        <f>_xlfn.CONCAT(WEEKNUM(CompilDonnées[[#This Row],[PlantationDate]]), " ", YEAR(CompilDonnées[[#This Row],[PlantationDate]]))</f>
        <v>8 2025</v>
      </c>
      <c r="L1448" t="str">
        <f>CONCATENATE(MONTH(CompilDonnées[[#This Row],[PlantationDate]])," ", YEAR(CompilDonnées[[#This Row],[PlantationDate]]))</f>
        <v>2 2025</v>
      </c>
      <c r="M1448" t="str">
        <f>CONCATENATE(MONTH(CompilDonnées[[#This Row],[HarvestingDate]])," ", YEAR(CompilDonnées[[#This Row],[HarvestingDate]]))</f>
        <v>4 2025</v>
      </c>
      <c r="N1448">
        <f>_xlfn.NUMBERVALUE(CompilDonnées[[#This Row],[FarmID]]&amp;CompilDonnées[[#This Row],[ModuleNumber]]&amp;CompilDonnées[[#This Row],[PlantationDate]])</f>
        <v>60145707</v>
      </c>
      <c r="O1448" t="str">
        <f>CompilDonnées[[#This Row],[FarmID]]&amp;CompilDonnées[[#This Row],[ModuleNumber]]</f>
        <v>601</v>
      </c>
      <c r="P1448" t="str">
        <f>CompilDonnées[[#This Row],[Ref_Module]]&amp;CompilDonnées[[#This Row],[HarvestingDate]]</f>
        <v>60145748</v>
      </c>
    </row>
    <row r="1449" spans="1:16">
      <c r="A1449" s="5">
        <v>45707</v>
      </c>
      <c r="B1449">
        <v>69</v>
      </c>
      <c r="C1449" t="s">
        <v>102</v>
      </c>
      <c r="D1449">
        <v>6</v>
      </c>
      <c r="E1449">
        <v>100</v>
      </c>
      <c r="F1449" t="s">
        <v>1</v>
      </c>
      <c r="G1449" s="6">
        <v>45748</v>
      </c>
      <c r="H1449">
        <v>41</v>
      </c>
      <c r="I1449">
        <f>ROUND(CompilDonnées[[#This Row],[CultureDuration_days]]/7,0)</f>
        <v>6</v>
      </c>
      <c r="J1449">
        <v>4448</v>
      </c>
      <c r="K1449" t="str">
        <f>_xlfn.CONCAT(WEEKNUM(CompilDonnées[[#This Row],[PlantationDate]]), " ", YEAR(CompilDonnées[[#This Row],[PlantationDate]]))</f>
        <v>8 2025</v>
      </c>
      <c r="L1449" t="str">
        <f>CONCATENATE(MONTH(CompilDonnées[[#This Row],[PlantationDate]])," ", YEAR(CompilDonnées[[#This Row],[PlantationDate]]))</f>
        <v>2 2025</v>
      </c>
      <c r="M1449" t="str">
        <f>CONCATENATE(MONTH(CompilDonnées[[#This Row],[HarvestingDate]])," ", YEAR(CompilDonnées[[#This Row],[HarvestingDate]]))</f>
        <v>4 2025</v>
      </c>
      <c r="N1449">
        <f>_xlfn.NUMBERVALUE(CompilDonnées[[#This Row],[FarmID]]&amp;CompilDonnées[[#This Row],[ModuleNumber]]&amp;CompilDonnées[[#This Row],[PlantationDate]])</f>
        <v>69645707</v>
      </c>
      <c r="O1449" t="str">
        <f>CompilDonnées[[#This Row],[FarmID]]&amp;CompilDonnées[[#This Row],[ModuleNumber]]</f>
        <v>696</v>
      </c>
      <c r="P1449" t="str">
        <f>CompilDonnées[[#This Row],[Ref_Module]]&amp;CompilDonnées[[#This Row],[HarvestingDate]]</f>
        <v>69645748</v>
      </c>
    </row>
    <row r="1450" spans="1:16">
      <c r="A1450" s="5">
        <v>45707</v>
      </c>
      <c r="B1450">
        <v>70</v>
      </c>
      <c r="C1450" t="s">
        <v>7</v>
      </c>
      <c r="D1450">
        <v>4</v>
      </c>
      <c r="E1450">
        <v>100</v>
      </c>
      <c r="F1450" t="s">
        <v>1</v>
      </c>
      <c r="G1450" s="6">
        <v>45748</v>
      </c>
      <c r="H1450">
        <v>41</v>
      </c>
      <c r="I1450">
        <f>ROUND(CompilDonnées[[#This Row],[CultureDuration_days]]/7,0)</f>
        <v>6</v>
      </c>
      <c r="J1450">
        <v>3568</v>
      </c>
      <c r="K1450" t="str">
        <f>_xlfn.CONCAT(WEEKNUM(CompilDonnées[[#This Row],[PlantationDate]]), " ", YEAR(CompilDonnées[[#This Row],[PlantationDate]]))</f>
        <v>8 2025</v>
      </c>
      <c r="L1450" t="str">
        <f>CONCATENATE(MONTH(CompilDonnées[[#This Row],[PlantationDate]])," ", YEAR(CompilDonnées[[#This Row],[PlantationDate]]))</f>
        <v>2 2025</v>
      </c>
      <c r="M1450" t="str">
        <f>CONCATENATE(MONTH(CompilDonnées[[#This Row],[HarvestingDate]])," ", YEAR(CompilDonnées[[#This Row],[HarvestingDate]]))</f>
        <v>4 2025</v>
      </c>
      <c r="N1450">
        <f>_xlfn.NUMBERVALUE(CompilDonnées[[#This Row],[FarmID]]&amp;CompilDonnées[[#This Row],[ModuleNumber]]&amp;CompilDonnées[[#This Row],[PlantationDate]])</f>
        <v>70445707</v>
      </c>
      <c r="O1450" t="str">
        <f>CompilDonnées[[#This Row],[FarmID]]&amp;CompilDonnées[[#This Row],[ModuleNumber]]</f>
        <v>704</v>
      </c>
      <c r="P1450" t="str">
        <f>CompilDonnées[[#This Row],[Ref_Module]]&amp;CompilDonnées[[#This Row],[HarvestingDate]]</f>
        <v>70445748</v>
      </c>
    </row>
    <row r="1451" spans="1:16">
      <c r="A1451" s="5">
        <v>45707</v>
      </c>
      <c r="B1451">
        <v>51</v>
      </c>
      <c r="C1451" t="s">
        <v>27</v>
      </c>
      <c r="D1451">
        <v>3</v>
      </c>
      <c r="E1451">
        <v>100</v>
      </c>
      <c r="F1451" t="s">
        <v>1</v>
      </c>
      <c r="G1451" s="6">
        <v>45748</v>
      </c>
      <c r="H1451">
        <v>41</v>
      </c>
      <c r="I1451">
        <f>ROUND(CompilDonnées[[#This Row],[CultureDuration_days]]/7,0)</f>
        <v>6</v>
      </c>
      <c r="J1451">
        <v>4272</v>
      </c>
      <c r="K1451" t="str">
        <f>_xlfn.CONCAT(WEEKNUM(CompilDonnées[[#This Row],[PlantationDate]]), " ", YEAR(CompilDonnées[[#This Row],[PlantationDate]]))</f>
        <v>8 2025</v>
      </c>
      <c r="L1451" t="str">
        <f>CONCATENATE(MONTH(CompilDonnées[[#This Row],[PlantationDate]])," ", YEAR(CompilDonnées[[#This Row],[PlantationDate]]))</f>
        <v>2 2025</v>
      </c>
      <c r="M1451" t="str">
        <f>CONCATENATE(MONTH(CompilDonnées[[#This Row],[HarvestingDate]])," ", YEAR(CompilDonnées[[#This Row],[HarvestingDate]]))</f>
        <v>4 2025</v>
      </c>
      <c r="N1451">
        <f>_xlfn.NUMBERVALUE(CompilDonnées[[#This Row],[FarmID]]&amp;CompilDonnées[[#This Row],[ModuleNumber]]&amp;CompilDonnées[[#This Row],[PlantationDate]])</f>
        <v>51345707</v>
      </c>
      <c r="O1451" t="str">
        <f>CompilDonnées[[#This Row],[FarmID]]&amp;CompilDonnées[[#This Row],[ModuleNumber]]</f>
        <v>513</v>
      </c>
      <c r="P1451" t="str">
        <f>CompilDonnées[[#This Row],[Ref_Module]]&amp;CompilDonnées[[#This Row],[HarvestingDate]]</f>
        <v>51345748</v>
      </c>
    </row>
    <row r="1452" spans="1:16">
      <c r="A1452" s="5">
        <v>45707</v>
      </c>
      <c r="B1452">
        <v>66</v>
      </c>
      <c r="C1452" t="s">
        <v>48</v>
      </c>
      <c r="D1452">
        <v>3</v>
      </c>
      <c r="E1452">
        <v>100</v>
      </c>
      <c r="F1452" t="s">
        <v>1</v>
      </c>
      <c r="G1452" s="6">
        <v>45742</v>
      </c>
      <c r="H1452">
        <v>35</v>
      </c>
      <c r="I1452">
        <f>ROUND(CompilDonnées[[#This Row],[CultureDuration_days]]/7,0)</f>
        <v>5</v>
      </c>
      <c r="J1452">
        <v>3743</v>
      </c>
      <c r="K1452" t="str">
        <f>_xlfn.CONCAT(WEEKNUM(CompilDonnées[[#This Row],[PlantationDate]]), " ", YEAR(CompilDonnées[[#This Row],[PlantationDate]]))</f>
        <v>8 2025</v>
      </c>
      <c r="L1452" t="str">
        <f>CONCATENATE(MONTH(CompilDonnées[[#This Row],[PlantationDate]])," ", YEAR(CompilDonnées[[#This Row],[PlantationDate]]))</f>
        <v>2 2025</v>
      </c>
      <c r="M1452" t="str">
        <f>CONCATENATE(MONTH(CompilDonnées[[#This Row],[HarvestingDate]])," ", YEAR(CompilDonnées[[#This Row],[HarvestingDate]]))</f>
        <v>3 2025</v>
      </c>
      <c r="N1452">
        <f>_xlfn.NUMBERVALUE(CompilDonnées[[#This Row],[FarmID]]&amp;CompilDonnées[[#This Row],[ModuleNumber]]&amp;CompilDonnées[[#This Row],[PlantationDate]])</f>
        <v>66345707</v>
      </c>
      <c r="O1452" t="str">
        <f>CompilDonnées[[#This Row],[FarmID]]&amp;CompilDonnées[[#This Row],[ModuleNumber]]</f>
        <v>663</v>
      </c>
      <c r="P1452" t="str">
        <f>CompilDonnées[[#This Row],[Ref_Module]]&amp;CompilDonnées[[#This Row],[HarvestingDate]]</f>
        <v>66345742</v>
      </c>
    </row>
    <row r="1453" spans="1:16">
      <c r="A1453" s="5">
        <v>45707</v>
      </c>
      <c r="B1453">
        <v>57</v>
      </c>
      <c r="C1453" t="s">
        <v>46</v>
      </c>
      <c r="D1453">
        <v>2</v>
      </c>
      <c r="E1453">
        <v>100</v>
      </c>
      <c r="F1453" t="s">
        <v>1</v>
      </c>
      <c r="G1453" s="6">
        <v>45748</v>
      </c>
      <c r="H1453">
        <v>41</v>
      </c>
      <c r="I1453">
        <f>ROUND(CompilDonnées[[#This Row],[CultureDuration_days]]/7,0)</f>
        <v>6</v>
      </c>
      <c r="J1453">
        <v>5035</v>
      </c>
      <c r="K1453" t="str">
        <f>_xlfn.CONCAT(WEEKNUM(CompilDonnées[[#This Row],[PlantationDate]]), " ", YEAR(CompilDonnées[[#This Row],[PlantationDate]]))</f>
        <v>8 2025</v>
      </c>
      <c r="L1453" t="str">
        <f>CONCATENATE(MONTH(CompilDonnées[[#This Row],[PlantationDate]])," ", YEAR(CompilDonnées[[#This Row],[PlantationDate]]))</f>
        <v>2 2025</v>
      </c>
      <c r="M1453" t="str">
        <f>CONCATENATE(MONTH(CompilDonnées[[#This Row],[HarvestingDate]])," ", YEAR(CompilDonnées[[#This Row],[HarvestingDate]]))</f>
        <v>4 2025</v>
      </c>
      <c r="N1453">
        <f>_xlfn.NUMBERVALUE(CompilDonnées[[#This Row],[FarmID]]&amp;CompilDonnées[[#This Row],[ModuleNumber]]&amp;CompilDonnées[[#This Row],[PlantationDate]])</f>
        <v>57245707</v>
      </c>
      <c r="O1453" t="str">
        <f>CompilDonnées[[#This Row],[FarmID]]&amp;CompilDonnées[[#This Row],[ModuleNumber]]</f>
        <v>572</v>
      </c>
      <c r="P1453" t="str">
        <f>CompilDonnées[[#This Row],[Ref_Module]]&amp;CompilDonnées[[#This Row],[HarvestingDate]]</f>
        <v>57245748</v>
      </c>
    </row>
    <row r="1454" spans="1:16">
      <c r="A1454" s="5">
        <v>45707</v>
      </c>
      <c r="B1454">
        <v>48</v>
      </c>
      <c r="C1454" t="s">
        <v>71</v>
      </c>
      <c r="D1454">
        <v>1</v>
      </c>
      <c r="E1454">
        <v>100</v>
      </c>
      <c r="F1454" t="s">
        <v>1</v>
      </c>
      <c r="G1454" s="6">
        <v>45755</v>
      </c>
      <c r="H1454">
        <v>48</v>
      </c>
      <c r="I1454">
        <f>ROUND(CompilDonnées[[#This Row],[CultureDuration_days]]/7,0)</f>
        <v>7</v>
      </c>
      <c r="J1454">
        <v>3316</v>
      </c>
      <c r="K1454" t="str">
        <f>_xlfn.CONCAT(WEEKNUM(CompilDonnées[[#This Row],[PlantationDate]]), " ", YEAR(CompilDonnées[[#This Row],[PlantationDate]]))</f>
        <v>8 2025</v>
      </c>
      <c r="L1454" t="str">
        <f>CONCATENATE(MONTH(CompilDonnées[[#This Row],[PlantationDate]])," ", YEAR(CompilDonnées[[#This Row],[PlantationDate]]))</f>
        <v>2 2025</v>
      </c>
      <c r="M1454" t="str">
        <f>CONCATENATE(MONTH(CompilDonnées[[#This Row],[HarvestingDate]])," ", YEAR(CompilDonnées[[#This Row],[HarvestingDate]]))</f>
        <v>4 2025</v>
      </c>
      <c r="N1454">
        <f>_xlfn.NUMBERVALUE(CompilDonnées[[#This Row],[FarmID]]&amp;CompilDonnées[[#This Row],[ModuleNumber]]&amp;CompilDonnées[[#This Row],[PlantationDate]])</f>
        <v>48145707</v>
      </c>
      <c r="O1454" t="str">
        <f>CompilDonnées[[#This Row],[FarmID]]&amp;CompilDonnées[[#This Row],[ModuleNumber]]</f>
        <v>481</v>
      </c>
      <c r="P1454" t="str">
        <f>CompilDonnées[[#This Row],[Ref_Module]]&amp;CompilDonnées[[#This Row],[HarvestingDate]]</f>
        <v>48145755</v>
      </c>
    </row>
    <row r="1455" spans="1:16">
      <c r="A1455" s="5">
        <v>45707</v>
      </c>
      <c r="B1455">
        <v>65</v>
      </c>
      <c r="C1455" t="s">
        <v>36</v>
      </c>
      <c r="D1455">
        <v>5</v>
      </c>
      <c r="E1455">
        <v>100</v>
      </c>
      <c r="F1455" t="s">
        <v>1</v>
      </c>
      <c r="G1455" s="6">
        <v>45742</v>
      </c>
      <c r="H1455">
        <v>35</v>
      </c>
      <c r="I1455">
        <f>ROUND(CompilDonnées[[#This Row],[CultureDuration_days]]/7,0)</f>
        <v>5</v>
      </c>
      <c r="J1455">
        <v>2947</v>
      </c>
      <c r="K1455" t="str">
        <f>_xlfn.CONCAT(WEEKNUM(CompilDonnées[[#This Row],[PlantationDate]]), " ", YEAR(CompilDonnées[[#This Row],[PlantationDate]]))</f>
        <v>8 2025</v>
      </c>
      <c r="L1455" t="str">
        <f>CONCATENATE(MONTH(CompilDonnées[[#This Row],[PlantationDate]])," ", YEAR(CompilDonnées[[#This Row],[PlantationDate]]))</f>
        <v>2 2025</v>
      </c>
      <c r="M1455" t="str">
        <f>CONCATENATE(MONTH(CompilDonnées[[#This Row],[HarvestingDate]])," ", YEAR(CompilDonnées[[#This Row],[HarvestingDate]]))</f>
        <v>3 2025</v>
      </c>
      <c r="N1455">
        <f>_xlfn.NUMBERVALUE(CompilDonnées[[#This Row],[FarmID]]&amp;CompilDonnées[[#This Row],[ModuleNumber]]&amp;CompilDonnées[[#This Row],[PlantationDate]])</f>
        <v>65545707</v>
      </c>
      <c r="O1455" t="str">
        <f>CompilDonnées[[#This Row],[FarmID]]&amp;CompilDonnées[[#This Row],[ModuleNumber]]</f>
        <v>655</v>
      </c>
      <c r="P1455" t="str">
        <f>CompilDonnées[[#This Row],[Ref_Module]]&amp;CompilDonnées[[#This Row],[HarvestingDate]]</f>
        <v>65545742</v>
      </c>
    </row>
    <row r="1456" spans="1:16">
      <c r="A1456" s="5">
        <v>45707</v>
      </c>
      <c r="B1456">
        <v>81</v>
      </c>
      <c r="C1456" t="s">
        <v>30</v>
      </c>
      <c r="D1456">
        <v>1</v>
      </c>
      <c r="E1456">
        <v>100</v>
      </c>
      <c r="F1456" t="s">
        <v>1</v>
      </c>
      <c r="G1456" s="6">
        <v>45748</v>
      </c>
      <c r="H1456">
        <v>41</v>
      </c>
      <c r="I1456">
        <f>ROUND(CompilDonnées[[#This Row],[CultureDuration_days]]/7,0)</f>
        <v>6</v>
      </c>
      <c r="J1456">
        <v>4791</v>
      </c>
      <c r="K1456" t="str">
        <f>_xlfn.CONCAT(WEEKNUM(CompilDonnées[[#This Row],[PlantationDate]]), " ", YEAR(CompilDonnées[[#This Row],[PlantationDate]]))</f>
        <v>8 2025</v>
      </c>
      <c r="L1456" t="str">
        <f>CONCATENATE(MONTH(CompilDonnées[[#This Row],[PlantationDate]])," ", YEAR(CompilDonnées[[#This Row],[PlantationDate]]))</f>
        <v>2 2025</v>
      </c>
      <c r="M1456" t="str">
        <f>CONCATENATE(MONTH(CompilDonnées[[#This Row],[HarvestingDate]])," ", YEAR(CompilDonnées[[#This Row],[HarvestingDate]]))</f>
        <v>4 2025</v>
      </c>
      <c r="N1456">
        <f>_xlfn.NUMBERVALUE(CompilDonnées[[#This Row],[FarmID]]&amp;CompilDonnées[[#This Row],[ModuleNumber]]&amp;CompilDonnées[[#This Row],[PlantationDate]])</f>
        <v>81145707</v>
      </c>
      <c r="O1456" t="str">
        <f>CompilDonnées[[#This Row],[FarmID]]&amp;CompilDonnées[[#This Row],[ModuleNumber]]</f>
        <v>811</v>
      </c>
      <c r="P1456" t="str">
        <f>CompilDonnées[[#This Row],[Ref_Module]]&amp;CompilDonnées[[#This Row],[HarvestingDate]]</f>
        <v>81145748</v>
      </c>
    </row>
    <row r="1457" spans="1:16">
      <c r="A1457" s="5">
        <v>45707</v>
      </c>
      <c r="B1457">
        <v>82</v>
      </c>
      <c r="C1457" t="s">
        <v>17</v>
      </c>
      <c r="D1457">
        <v>1</v>
      </c>
      <c r="E1457">
        <v>100</v>
      </c>
      <c r="F1457" t="s">
        <v>1</v>
      </c>
      <c r="G1457" s="6">
        <v>45748</v>
      </c>
      <c r="H1457">
        <v>41</v>
      </c>
      <c r="I1457">
        <f>ROUND(CompilDonnées[[#This Row],[CultureDuration_days]]/7,0)</f>
        <v>6</v>
      </c>
      <c r="J1457">
        <v>4522</v>
      </c>
      <c r="K1457" t="str">
        <f>_xlfn.CONCAT(WEEKNUM(CompilDonnées[[#This Row],[PlantationDate]]), " ", YEAR(CompilDonnées[[#This Row],[PlantationDate]]))</f>
        <v>8 2025</v>
      </c>
      <c r="L1457" t="str">
        <f>CONCATENATE(MONTH(CompilDonnées[[#This Row],[PlantationDate]])," ", YEAR(CompilDonnées[[#This Row],[PlantationDate]]))</f>
        <v>2 2025</v>
      </c>
      <c r="M1457" t="str">
        <f>CONCATENATE(MONTH(CompilDonnées[[#This Row],[HarvestingDate]])," ", YEAR(CompilDonnées[[#This Row],[HarvestingDate]]))</f>
        <v>4 2025</v>
      </c>
      <c r="N1457">
        <f>_xlfn.NUMBERVALUE(CompilDonnées[[#This Row],[FarmID]]&amp;CompilDonnées[[#This Row],[ModuleNumber]]&amp;CompilDonnées[[#This Row],[PlantationDate]])</f>
        <v>82145707</v>
      </c>
      <c r="O1457" t="str">
        <f>CompilDonnées[[#This Row],[FarmID]]&amp;CompilDonnées[[#This Row],[ModuleNumber]]</f>
        <v>821</v>
      </c>
      <c r="P1457" t="str">
        <f>CompilDonnées[[#This Row],[Ref_Module]]&amp;CompilDonnées[[#This Row],[HarvestingDate]]</f>
        <v>82145748</v>
      </c>
    </row>
    <row r="1458" spans="1:16">
      <c r="A1458" s="5">
        <v>45707</v>
      </c>
      <c r="B1458">
        <v>80</v>
      </c>
      <c r="C1458" t="s">
        <v>29</v>
      </c>
      <c r="D1458">
        <v>5</v>
      </c>
      <c r="E1458">
        <v>100</v>
      </c>
      <c r="F1458" t="s">
        <v>1</v>
      </c>
      <c r="G1458" s="6">
        <v>45748</v>
      </c>
      <c r="H1458">
        <v>41</v>
      </c>
      <c r="I1458">
        <f>ROUND(CompilDonnées[[#This Row],[CultureDuration_days]]/7,0)</f>
        <v>6</v>
      </c>
      <c r="J1458">
        <v>5131</v>
      </c>
      <c r="K1458" t="str">
        <f>_xlfn.CONCAT(WEEKNUM(CompilDonnées[[#This Row],[PlantationDate]]), " ", YEAR(CompilDonnées[[#This Row],[PlantationDate]]))</f>
        <v>8 2025</v>
      </c>
      <c r="L1458" t="str">
        <f>CONCATENATE(MONTH(CompilDonnées[[#This Row],[PlantationDate]])," ", YEAR(CompilDonnées[[#This Row],[PlantationDate]]))</f>
        <v>2 2025</v>
      </c>
      <c r="M1458" t="str">
        <f>CONCATENATE(MONTH(CompilDonnées[[#This Row],[HarvestingDate]])," ", YEAR(CompilDonnées[[#This Row],[HarvestingDate]]))</f>
        <v>4 2025</v>
      </c>
      <c r="N1458">
        <f>_xlfn.NUMBERVALUE(CompilDonnées[[#This Row],[FarmID]]&amp;CompilDonnées[[#This Row],[ModuleNumber]]&amp;CompilDonnées[[#This Row],[PlantationDate]])</f>
        <v>80545707</v>
      </c>
      <c r="O1458" t="str">
        <f>CompilDonnées[[#This Row],[FarmID]]&amp;CompilDonnées[[#This Row],[ModuleNumber]]</f>
        <v>805</v>
      </c>
      <c r="P1458" t="str">
        <f>CompilDonnées[[#This Row],[Ref_Module]]&amp;CompilDonnées[[#This Row],[HarvestingDate]]</f>
        <v>80545748</v>
      </c>
    </row>
    <row r="1459" spans="1:16">
      <c r="A1459" s="5">
        <v>45707</v>
      </c>
      <c r="B1459">
        <v>84</v>
      </c>
      <c r="C1459" t="s">
        <v>65</v>
      </c>
      <c r="D1459">
        <v>1</v>
      </c>
      <c r="E1459">
        <v>100</v>
      </c>
      <c r="F1459" t="s">
        <v>1</v>
      </c>
      <c r="G1459" s="6">
        <v>45748</v>
      </c>
      <c r="H1459">
        <v>41</v>
      </c>
      <c r="I1459">
        <f>ROUND(CompilDonnées[[#This Row],[CultureDuration_days]]/7,0)</f>
        <v>6</v>
      </c>
      <c r="J1459">
        <v>4046</v>
      </c>
      <c r="K1459" t="str">
        <f>_xlfn.CONCAT(WEEKNUM(CompilDonnées[[#This Row],[PlantationDate]]), " ", YEAR(CompilDonnées[[#This Row],[PlantationDate]]))</f>
        <v>8 2025</v>
      </c>
      <c r="L1459" t="str">
        <f>CONCATENATE(MONTH(CompilDonnées[[#This Row],[PlantationDate]])," ", YEAR(CompilDonnées[[#This Row],[PlantationDate]]))</f>
        <v>2 2025</v>
      </c>
      <c r="M1459" t="str">
        <f>CONCATENATE(MONTH(CompilDonnées[[#This Row],[HarvestingDate]])," ", YEAR(CompilDonnées[[#This Row],[HarvestingDate]]))</f>
        <v>4 2025</v>
      </c>
      <c r="N1459">
        <f>_xlfn.NUMBERVALUE(CompilDonnées[[#This Row],[FarmID]]&amp;CompilDonnées[[#This Row],[ModuleNumber]]&amp;CompilDonnées[[#This Row],[PlantationDate]])</f>
        <v>84145707</v>
      </c>
      <c r="O1459" t="str">
        <f>CompilDonnées[[#This Row],[FarmID]]&amp;CompilDonnées[[#This Row],[ModuleNumber]]</f>
        <v>841</v>
      </c>
      <c r="P1459" t="str">
        <f>CompilDonnées[[#This Row],[Ref_Module]]&amp;CompilDonnées[[#This Row],[HarvestingDate]]</f>
        <v>84145748</v>
      </c>
    </row>
    <row r="1460" spans="1:16">
      <c r="A1460" s="5">
        <v>45707</v>
      </c>
      <c r="B1460">
        <v>94</v>
      </c>
      <c r="C1460" t="s">
        <v>40</v>
      </c>
      <c r="D1460">
        <v>4</v>
      </c>
      <c r="E1460">
        <v>98</v>
      </c>
      <c r="F1460" t="s">
        <v>1</v>
      </c>
      <c r="G1460" s="6">
        <v>45743</v>
      </c>
      <c r="H1460">
        <v>36</v>
      </c>
      <c r="I1460">
        <f>ROUND(CompilDonnées[[#This Row],[CultureDuration_days]]/7,0)</f>
        <v>5</v>
      </c>
      <c r="J1460">
        <v>3700</v>
      </c>
      <c r="K1460" t="str">
        <f>_xlfn.CONCAT(WEEKNUM(CompilDonnées[[#This Row],[PlantationDate]]), " ", YEAR(CompilDonnées[[#This Row],[PlantationDate]]))</f>
        <v>8 2025</v>
      </c>
      <c r="L1460" t="str">
        <f>CONCATENATE(MONTH(CompilDonnées[[#This Row],[PlantationDate]])," ", YEAR(CompilDonnées[[#This Row],[PlantationDate]]))</f>
        <v>2 2025</v>
      </c>
      <c r="M1460" t="str">
        <f>CONCATENATE(MONTH(CompilDonnées[[#This Row],[HarvestingDate]])," ", YEAR(CompilDonnées[[#This Row],[HarvestingDate]]))</f>
        <v>3 2025</v>
      </c>
      <c r="N1460">
        <f>_xlfn.NUMBERVALUE(CompilDonnées[[#This Row],[FarmID]]&amp;CompilDonnées[[#This Row],[ModuleNumber]]&amp;CompilDonnées[[#This Row],[PlantationDate]])</f>
        <v>94445707</v>
      </c>
      <c r="O1460" t="str">
        <f>CompilDonnées[[#This Row],[FarmID]]&amp;CompilDonnées[[#This Row],[ModuleNumber]]</f>
        <v>944</v>
      </c>
      <c r="P1460" t="str">
        <f>CompilDonnées[[#This Row],[Ref_Module]]&amp;CompilDonnées[[#This Row],[HarvestingDate]]</f>
        <v>94445743</v>
      </c>
    </row>
    <row r="1461" spans="1:16">
      <c r="A1461" s="5">
        <v>45707</v>
      </c>
      <c r="B1461">
        <v>88</v>
      </c>
      <c r="C1461" t="s">
        <v>94</v>
      </c>
      <c r="D1461">
        <v>5</v>
      </c>
      <c r="E1461">
        <v>100</v>
      </c>
      <c r="F1461" t="s">
        <v>1</v>
      </c>
      <c r="G1461" s="6">
        <v>45748</v>
      </c>
      <c r="H1461">
        <v>41</v>
      </c>
      <c r="I1461">
        <f>ROUND(CompilDonnées[[#This Row],[CultureDuration_days]]/7,0)</f>
        <v>6</v>
      </c>
      <c r="J1461">
        <v>4269</v>
      </c>
      <c r="K1461" t="str">
        <f>_xlfn.CONCAT(WEEKNUM(CompilDonnées[[#This Row],[PlantationDate]]), " ", YEAR(CompilDonnées[[#This Row],[PlantationDate]]))</f>
        <v>8 2025</v>
      </c>
      <c r="L1461" t="str">
        <f>CONCATENATE(MONTH(CompilDonnées[[#This Row],[PlantationDate]])," ", YEAR(CompilDonnées[[#This Row],[PlantationDate]]))</f>
        <v>2 2025</v>
      </c>
      <c r="M1461" t="str">
        <f>CONCATENATE(MONTH(CompilDonnées[[#This Row],[HarvestingDate]])," ", YEAR(CompilDonnées[[#This Row],[HarvestingDate]]))</f>
        <v>4 2025</v>
      </c>
      <c r="N1461">
        <f>_xlfn.NUMBERVALUE(CompilDonnées[[#This Row],[FarmID]]&amp;CompilDonnées[[#This Row],[ModuleNumber]]&amp;CompilDonnées[[#This Row],[PlantationDate]])</f>
        <v>88545707</v>
      </c>
      <c r="O1461" t="str">
        <f>CompilDonnées[[#This Row],[FarmID]]&amp;CompilDonnées[[#This Row],[ModuleNumber]]</f>
        <v>885</v>
      </c>
      <c r="P1461" t="str">
        <f>CompilDonnées[[#This Row],[Ref_Module]]&amp;CompilDonnées[[#This Row],[HarvestingDate]]</f>
        <v>88545748</v>
      </c>
    </row>
    <row r="1462" spans="1:16">
      <c r="A1462" s="5">
        <v>45707</v>
      </c>
      <c r="B1462">
        <v>106</v>
      </c>
      <c r="C1462" t="s">
        <v>22</v>
      </c>
      <c r="D1462">
        <v>3</v>
      </c>
      <c r="E1462">
        <v>100</v>
      </c>
      <c r="F1462" t="s">
        <v>1</v>
      </c>
      <c r="G1462" s="6">
        <v>45747</v>
      </c>
      <c r="H1462">
        <v>40</v>
      </c>
      <c r="I1462">
        <f>ROUND(CompilDonnées[[#This Row],[CultureDuration_days]]/7,0)</f>
        <v>6</v>
      </c>
      <c r="J1462">
        <v>4249</v>
      </c>
      <c r="K1462" t="str">
        <f>_xlfn.CONCAT(WEEKNUM(CompilDonnées[[#This Row],[PlantationDate]]), " ", YEAR(CompilDonnées[[#This Row],[PlantationDate]]))</f>
        <v>8 2025</v>
      </c>
      <c r="L1462" t="str">
        <f>CONCATENATE(MONTH(CompilDonnées[[#This Row],[PlantationDate]])," ", YEAR(CompilDonnées[[#This Row],[PlantationDate]]))</f>
        <v>2 2025</v>
      </c>
      <c r="M1462" t="str">
        <f>CONCATENATE(MONTH(CompilDonnées[[#This Row],[HarvestingDate]])," ", YEAR(CompilDonnées[[#This Row],[HarvestingDate]]))</f>
        <v>3 2025</v>
      </c>
      <c r="N1462">
        <f>_xlfn.NUMBERVALUE(CompilDonnées[[#This Row],[FarmID]]&amp;CompilDonnées[[#This Row],[ModuleNumber]]&amp;CompilDonnées[[#This Row],[PlantationDate]])</f>
        <v>106345707</v>
      </c>
      <c r="O1462" t="str">
        <f>CompilDonnées[[#This Row],[FarmID]]&amp;CompilDonnées[[#This Row],[ModuleNumber]]</f>
        <v>1063</v>
      </c>
      <c r="P1462" t="str">
        <f>CompilDonnées[[#This Row],[Ref_Module]]&amp;CompilDonnées[[#This Row],[HarvestingDate]]</f>
        <v>106345747</v>
      </c>
    </row>
    <row r="1463" spans="1:16">
      <c r="A1463" s="5">
        <v>45707</v>
      </c>
      <c r="B1463">
        <v>106</v>
      </c>
      <c r="C1463" t="s">
        <v>22</v>
      </c>
      <c r="D1463">
        <v>4</v>
      </c>
      <c r="E1463">
        <v>100</v>
      </c>
      <c r="F1463" t="s">
        <v>1</v>
      </c>
      <c r="G1463" s="6">
        <v>45747</v>
      </c>
      <c r="H1463">
        <v>40</v>
      </c>
      <c r="I1463">
        <f>ROUND(CompilDonnées[[#This Row],[CultureDuration_days]]/7,0)</f>
        <v>6</v>
      </c>
      <c r="J1463">
        <v>3506</v>
      </c>
      <c r="K1463" t="str">
        <f>_xlfn.CONCAT(WEEKNUM(CompilDonnées[[#This Row],[PlantationDate]]), " ", YEAR(CompilDonnées[[#This Row],[PlantationDate]]))</f>
        <v>8 2025</v>
      </c>
      <c r="L1463" t="str">
        <f>CONCATENATE(MONTH(CompilDonnées[[#This Row],[PlantationDate]])," ", YEAR(CompilDonnées[[#This Row],[PlantationDate]]))</f>
        <v>2 2025</v>
      </c>
      <c r="M1463" t="str">
        <f>CONCATENATE(MONTH(CompilDonnées[[#This Row],[HarvestingDate]])," ", YEAR(CompilDonnées[[#This Row],[HarvestingDate]]))</f>
        <v>3 2025</v>
      </c>
      <c r="N1463">
        <f>_xlfn.NUMBERVALUE(CompilDonnées[[#This Row],[FarmID]]&amp;CompilDonnées[[#This Row],[ModuleNumber]]&amp;CompilDonnées[[#This Row],[PlantationDate]])</f>
        <v>106445707</v>
      </c>
      <c r="O1463" t="str">
        <f>CompilDonnées[[#This Row],[FarmID]]&amp;CompilDonnées[[#This Row],[ModuleNumber]]</f>
        <v>1064</v>
      </c>
      <c r="P1463" t="str">
        <f>CompilDonnées[[#This Row],[Ref_Module]]&amp;CompilDonnées[[#This Row],[HarvestingDate]]</f>
        <v>106445747</v>
      </c>
    </row>
    <row r="1464" spans="1:16">
      <c r="A1464" s="5">
        <v>45707</v>
      </c>
      <c r="B1464">
        <v>102</v>
      </c>
      <c r="C1464" t="s">
        <v>85</v>
      </c>
      <c r="D1464">
        <v>3</v>
      </c>
      <c r="E1464">
        <v>100</v>
      </c>
      <c r="F1464" t="s">
        <v>1</v>
      </c>
      <c r="G1464" s="6">
        <v>45747</v>
      </c>
      <c r="H1464">
        <v>40</v>
      </c>
      <c r="I1464">
        <f>ROUND(CompilDonnées[[#This Row],[CultureDuration_days]]/7,0)</f>
        <v>6</v>
      </c>
      <c r="J1464">
        <v>3734</v>
      </c>
      <c r="K1464" t="str">
        <f>_xlfn.CONCAT(WEEKNUM(CompilDonnées[[#This Row],[PlantationDate]]), " ", YEAR(CompilDonnées[[#This Row],[PlantationDate]]))</f>
        <v>8 2025</v>
      </c>
      <c r="L1464" t="str">
        <f>CONCATENATE(MONTH(CompilDonnées[[#This Row],[PlantationDate]])," ", YEAR(CompilDonnées[[#This Row],[PlantationDate]]))</f>
        <v>2 2025</v>
      </c>
      <c r="M1464" t="str">
        <f>CONCATENATE(MONTH(CompilDonnées[[#This Row],[HarvestingDate]])," ", YEAR(CompilDonnées[[#This Row],[HarvestingDate]]))</f>
        <v>3 2025</v>
      </c>
      <c r="N1464">
        <f>_xlfn.NUMBERVALUE(CompilDonnées[[#This Row],[FarmID]]&amp;CompilDonnées[[#This Row],[ModuleNumber]]&amp;CompilDonnées[[#This Row],[PlantationDate]])</f>
        <v>102345707</v>
      </c>
      <c r="O1464" t="str">
        <f>CompilDonnées[[#This Row],[FarmID]]&amp;CompilDonnées[[#This Row],[ModuleNumber]]</f>
        <v>1023</v>
      </c>
      <c r="P1464" t="str">
        <f>CompilDonnées[[#This Row],[Ref_Module]]&amp;CompilDonnées[[#This Row],[HarvestingDate]]</f>
        <v>102345747</v>
      </c>
    </row>
    <row r="1465" spans="1:16">
      <c r="A1465" s="5">
        <v>45707</v>
      </c>
      <c r="B1465">
        <v>75</v>
      </c>
      <c r="C1465" t="s">
        <v>3</v>
      </c>
      <c r="D1465">
        <v>5</v>
      </c>
      <c r="E1465">
        <v>25</v>
      </c>
      <c r="F1465" t="s">
        <v>1</v>
      </c>
      <c r="G1465" s="6">
        <v>45750</v>
      </c>
      <c r="H1465">
        <v>43</v>
      </c>
      <c r="I1465">
        <f>ROUND(CompilDonnées[[#This Row],[CultureDuration_days]]/7,0)</f>
        <v>6</v>
      </c>
      <c r="J1465">
        <v>811</v>
      </c>
      <c r="K1465" t="str">
        <f>_xlfn.CONCAT(WEEKNUM(CompilDonnées[[#This Row],[PlantationDate]]), " ", YEAR(CompilDonnées[[#This Row],[PlantationDate]]))</f>
        <v>8 2025</v>
      </c>
      <c r="L1465" t="str">
        <f>CONCATENATE(MONTH(CompilDonnées[[#This Row],[PlantationDate]])," ", YEAR(CompilDonnées[[#This Row],[PlantationDate]]))</f>
        <v>2 2025</v>
      </c>
      <c r="M1465" t="str">
        <f>CONCATENATE(MONTH(CompilDonnées[[#This Row],[HarvestingDate]])," ", YEAR(CompilDonnées[[#This Row],[HarvestingDate]]))</f>
        <v>4 2025</v>
      </c>
      <c r="N1465">
        <f>_xlfn.NUMBERVALUE(CompilDonnées[[#This Row],[FarmID]]&amp;CompilDonnées[[#This Row],[ModuleNumber]]&amp;CompilDonnées[[#This Row],[PlantationDate]])</f>
        <v>75545707</v>
      </c>
      <c r="O1465" t="str">
        <f>CompilDonnées[[#This Row],[FarmID]]&amp;CompilDonnées[[#This Row],[ModuleNumber]]</f>
        <v>755</v>
      </c>
      <c r="P1465" t="str">
        <f>CompilDonnées[[#This Row],[Ref_Module]]&amp;CompilDonnées[[#This Row],[HarvestingDate]]</f>
        <v>75545750</v>
      </c>
    </row>
    <row r="1466" spans="1:16">
      <c r="A1466" s="5">
        <v>45707</v>
      </c>
      <c r="B1466">
        <v>75</v>
      </c>
      <c r="C1466" t="s">
        <v>3</v>
      </c>
      <c r="D1466">
        <v>6</v>
      </c>
      <c r="E1466">
        <v>25</v>
      </c>
      <c r="F1466" t="s">
        <v>1</v>
      </c>
      <c r="G1466" s="6">
        <v>45750</v>
      </c>
      <c r="H1466">
        <v>43</v>
      </c>
      <c r="I1466">
        <f>ROUND(CompilDonnées[[#This Row],[CultureDuration_days]]/7,0)</f>
        <v>6</v>
      </c>
      <c r="J1466">
        <v>898</v>
      </c>
      <c r="K1466" t="str">
        <f>_xlfn.CONCAT(WEEKNUM(CompilDonnées[[#This Row],[PlantationDate]]), " ", YEAR(CompilDonnées[[#This Row],[PlantationDate]]))</f>
        <v>8 2025</v>
      </c>
      <c r="L1466" t="str">
        <f>CONCATENATE(MONTH(CompilDonnées[[#This Row],[PlantationDate]])," ", YEAR(CompilDonnées[[#This Row],[PlantationDate]]))</f>
        <v>2 2025</v>
      </c>
      <c r="M1466" t="str">
        <f>CONCATENATE(MONTH(CompilDonnées[[#This Row],[HarvestingDate]])," ", YEAR(CompilDonnées[[#This Row],[HarvestingDate]]))</f>
        <v>4 2025</v>
      </c>
      <c r="N1466">
        <f>_xlfn.NUMBERVALUE(CompilDonnées[[#This Row],[FarmID]]&amp;CompilDonnées[[#This Row],[ModuleNumber]]&amp;CompilDonnées[[#This Row],[PlantationDate]])</f>
        <v>75645707</v>
      </c>
      <c r="O1466" t="str">
        <f>CompilDonnées[[#This Row],[FarmID]]&amp;CompilDonnées[[#This Row],[ModuleNumber]]</f>
        <v>756</v>
      </c>
      <c r="P1466" t="str">
        <f>CompilDonnées[[#This Row],[Ref_Module]]&amp;CompilDonnées[[#This Row],[HarvestingDate]]</f>
        <v>75645750</v>
      </c>
    </row>
    <row r="1467" spans="1:16">
      <c r="A1467" s="5">
        <v>45708</v>
      </c>
      <c r="B1467">
        <v>88</v>
      </c>
      <c r="C1467" t="s">
        <v>94</v>
      </c>
      <c r="D1467">
        <v>6</v>
      </c>
      <c r="E1467">
        <v>100</v>
      </c>
      <c r="F1467" t="s">
        <v>1</v>
      </c>
      <c r="G1467" s="6">
        <v>45748</v>
      </c>
      <c r="H1467">
        <v>40</v>
      </c>
      <c r="I1467">
        <f>ROUND(CompilDonnées[[#This Row],[CultureDuration_days]]/7,0)</f>
        <v>6</v>
      </c>
      <c r="J1467">
        <v>4499</v>
      </c>
      <c r="K1467" t="str">
        <f>_xlfn.CONCAT(WEEKNUM(CompilDonnées[[#This Row],[PlantationDate]]), " ", YEAR(CompilDonnées[[#This Row],[PlantationDate]]))</f>
        <v>8 2025</v>
      </c>
      <c r="L1467" t="str">
        <f>CONCATENATE(MONTH(CompilDonnées[[#This Row],[PlantationDate]])," ", YEAR(CompilDonnées[[#This Row],[PlantationDate]]))</f>
        <v>2 2025</v>
      </c>
      <c r="M1467" t="str">
        <f>CONCATENATE(MONTH(CompilDonnées[[#This Row],[HarvestingDate]])," ", YEAR(CompilDonnées[[#This Row],[HarvestingDate]]))</f>
        <v>4 2025</v>
      </c>
      <c r="N1467">
        <f>_xlfn.NUMBERVALUE(CompilDonnées[[#This Row],[FarmID]]&amp;CompilDonnées[[#This Row],[ModuleNumber]]&amp;CompilDonnées[[#This Row],[PlantationDate]])</f>
        <v>88645708</v>
      </c>
      <c r="O1467" t="str">
        <f>CompilDonnées[[#This Row],[FarmID]]&amp;CompilDonnées[[#This Row],[ModuleNumber]]</f>
        <v>886</v>
      </c>
      <c r="P1467" t="str">
        <f>CompilDonnées[[#This Row],[Ref_Module]]&amp;CompilDonnées[[#This Row],[HarvestingDate]]</f>
        <v>88645748</v>
      </c>
    </row>
    <row r="1468" spans="1:16">
      <c r="A1468" s="5">
        <v>45708</v>
      </c>
      <c r="B1468">
        <v>87</v>
      </c>
      <c r="C1468" t="s">
        <v>38</v>
      </c>
      <c r="D1468">
        <v>5</v>
      </c>
      <c r="E1468">
        <v>100</v>
      </c>
      <c r="F1468" t="s">
        <v>1</v>
      </c>
      <c r="G1468" s="6">
        <v>45748</v>
      </c>
      <c r="H1468">
        <v>40</v>
      </c>
      <c r="I1468">
        <f>ROUND(CompilDonnées[[#This Row],[CultureDuration_days]]/7,0)</f>
        <v>6</v>
      </c>
      <c r="J1468">
        <v>3942</v>
      </c>
      <c r="K1468" t="str">
        <f>_xlfn.CONCAT(WEEKNUM(CompilDonnées[[#This Row],[PlantationDate]]), " ", YEAR(CompilDonnées[[#This Row],[PlantationDate]]))</f>
        <v>8 2025</v>
      </c>
      <c r="L1468" t="str">
        <f>CONCATENATE(MONTH(CompilDonnées[[#This Row],[PlantationDate]])," ", YEAR(CompilDonnées[[#This Row],[PlantationDate]]))</f>
        <v>2 2025</v>
      </c>
      <c r="M1468" t="str">
        <f>CONCATENATE(MONTH(CompilDonnées[[#This Row],[HarvestingDate]])," ", YEAR(CompilDonnées[[#This Row],[HarvestingDate]]))</f>
        <v>4 2025</v>
      </c>
      <c r="N1468">
        <f>_xlfn.NUMBERVALUE(CompilDonnées[[#This Row],[FarmID]]&amp;CompilDonnées[[#This Row],[ModuleNumber]]&amp;CompilDonnées[[#This Row],[PlantationDate]])</f>
        <v>87545708</v>
      </c>
      <c r="O1468" t="str">
        <f>CompilDonnées[[#This Row],[FarmID]]&amp;CompilDonnées[[#This Row],[ModuleNumber]]</f>
        <v>875</v>
      </c>
      <c r="P1468" t="str">
        <f>CompilDonnées[[#This Row],[Ref_Module]]&amp;CompilDonnées[[#This Row],[HarvestingDate]]</f>
        <v>87545748</v>
      </c>
    </row>
    <row r="1469" spans="1:16">
      <c r="A1469" s="5">
        <v>45708</v>
      </c>
      <c r="B1469">
        <v>94</v>
      </c>
      <c r="C1469" t="s">
        <v>40</v>
      </c>
      <c r="D1469">
        <v>5</v>
      </c>
      <c r="E1469">
        <v>100</v>
      </c>
      <c r="F1469" t="s">
        <v>1</v>
      </c>
      <c r="G1469" s="6">
        <v>45747</v>
      </c>
      <c r="H1469">
        <v>39</v>
      </c>
      <c r="I1469">
        <f>ROUND(CompilDonnées[[#This Row],[CultureDuration_days]]/7,0)</f>
        <v>6</v>
      </c>
      <c r="J1469">
        <v>4144</v>
      </c>
      <c r="K1469" t="str">
        <f>_xlfn.CONCAT(WEEKNUM(CompilDonnées[[#This Row],[PlantationDate]]), " ", YEAR(CompilDonnées[[#This Row],[PlantationDate]]))</f>
        <v>8 2025</v>
      </c>
      <c r="L1469" t="str">
        <f>CONCATENATE(MONTH(CompilDonnées[[#This Row],[PlantationDate]])," ", YEAR(CompilDonnées[[#This Row],[PlantationDate]]))</f>
        <v>2 2025</v>
      </c>
      <c r="M1469" t="str">
        <f>CONCATENATE(MONTH(CompilDonnées[[#This Row],[HarvestingDate]])," ", YEAR(CompilDonnées[[#This Row],[HarvestingDate]]))</f>
        <v>3 2025</v>
      </c>
      <c r="N1469">
        <f>_xlfn.NUMBERVALUE(CompilDonnées[[#This Row],[FarmID]]&amp;CompilDonnées[[#This Row],[ModuleNumber]]&amp;CompilDonnées[[#This Row],[PlantationDate]])</f>
        <v>94545708</v>
      </c>
      <c r="O1469" t="str">
        <f>CompilDonnées[[#This Row],[FarmID]]&amp;CompilDonnées[[#This Row],[ModuleNumber]]</f>
        <v>945</v>
      </c>
      <c r="P1469" t="str">
        <f>CompilDonnées[[#This Row],[Ref_Module]]&amp;CompilDonnées[[#This Row],[HarvestingDate]]</f>
        <v>94545747</v>
      </c>
    </row>
    <row r="1470" spans="1:16">
      <c r="A1470" s="5">
        <v>45708</v>
      </c>
      <c r="B1470">
        <v>93</v>
      </c>
      <c r="C1470" t="s">
        <v>10</v>
      </c>
      <c r="D1470">
        <v>5</v>
      </c>
      <c r="E1470">
        <v>100</v>
      </c>
      <c r="F1470" t="s">
        <v>1</v>
      </c>
      <c r="G1470" s="6">
        <v>45743</v>
      </c>
      <c r="H1470">
        <v>35</v>
      </c>
      <c r="I1470">
        <f>ROUND(CompilDonnées[[#This Row],[CultureDuration_days]]/7,0)</f>
        <v>5</v>
      </c>
      <c r="J1470">
        <v>2943</v>
      </c>
      <c r="K1470" t="str">
        <f>_xlfn.CONCAT(WEEKNUM(CompilDonnées[[#This Row],[PlantationDate]]), " ", YEAR(CompilDonnées[[#This Row],[PlantationDate]]))</f>
        <v>8 2025</v>
      </c>
      <c r="L1470" t="str">
        <f>CONCATENATE(MONTH(CompilDonnées[[#This Row],[PlantationDate]])," ", YEAR(CompilDonnées[[#This Row],[PlantationDate]]))</f>
        <v>2 2025</v>
      </c>
      <c r="M1470" t="str">
        <f>CONCATENATE(MONTH(CompilDonnées[[#This Row],[HarvestingDate]])," ", YEAR(CompilDonnées[[#This Row],[HarvestingDate]]))</f>
        <v>3 2025</v>
      </c>
      <c r="N1470">
        <f>_xlfn.NUMBERVALUE(CompilDonnées[[#This Row],[FarmID]]&amp;CompilDonnées[[#This Row],[ModuleNumber]]&amp;CompilDonnées[[#This Row],[PlantationDate]])</f>
        <v>93545708</v>
      </c>
      <c r="O1470" t="str">
        <f>CompilDonnées[[#This Row],[FarmID]]&amp;CompilDonnées[[#This Row],[ModuleNumber]]</f>
        <v>935</v>
      </c>
      <c r="P1470" t="str">
        <f>CompilDonnées[[#This Row],[Ref_Module]]&amp;CompilDonnées[[#This Row],[HarvestingDate]]</f>
        <v>93545743</v>
      </c>
    </row>
    <row r="1471" spans="1:16">
      <c r="A1471" s="5">
        <v>45708</v>
      </c>
      <c r="B1471">
        <v>92</v>
      </c>
      <c r="C1471" t="s">
        <v>66</v>
      </c>
      <c r="D1471">
        <v>5</v>
      </c>
      <c r="E1471">
        <v>100</v>
      </c>
      <c r="F1471" t="s">
        <v>1</v>
      </c>
      <c r="G1471" s="6">
        <v>45747</v>
      </c>
      <c r="H1471">
        <v>39</v>
      </c>
      <c r="I1471">
        <f>ROUND(CompilDonnées[[#This Row],[CultureDuration_days]]/7,0)</f>
        <v>6</v>
      </c>
      <c r="J1471">
        <v>4491</v>
      </c>
      <c r="K1471" t="str">
        <f>_xlfn.CONCAT(WEEKNUM(CompilDonnées[[#This Row],[PlantationDate]]), " ", YEAR(CompilDonnées[[#This Row],[PlantationDate]]))</f>
        <v>8 2025</v>
      </c>
      <c r="L1471" t="str">
        <f>CONCATENATE(MONTH(CompilDonnées[[#This Row],[PlantationDate]])," ", YEAR(CompilDonnées[[#This Row],[PlantationDate]]))</f>
        <v>2 2025</v>
      </c>
      <c r="M1471" t="str">
        <f>CONCATENATE(MONTH(CompilDonnées[[#This Row],[HarvestingDate]])," ", YEAR(CompilDonnées[[#This Row],[HarvestingDate]]))</f>
        <v>3 2025</v>
      </c>
      <c r="N1471">
        <f>_xlfn.NUMBERVALUE(CompilDonnées[[#This Row],[FarmID]]&amp;CompilDonnées[[#This Row],[ModuleNumber]]&amp;CompilDonnées[[#This Row],[PlantationDate]])</f>
        <v>92545708</v>
      </c>
      <c r="O1471" t="str">
        <f>CompilDonnées[[#This Row],[FarmID]]&amp;CompilDonnées[[#This Row],[ModuleNumber]]</f>
        <v>925</v>
      </c>
      <c r="P1471" t="str">
        <f>CompilDonnées[[#This Row],[Ref_Module]]&amp;CompilDonnées[[#This Row],[HarvestingDate]]</f>
        <v>92545747</v>
      </c>
    </row>
    <row r="1472" spans="1:16">
      <c r="A1472" s="5">
        <v>45708</v>
      </c>
      <c r="B1472">
        <v>108</v>
      </c>
      <c r="C1472" t="s">
        <v>58</v>
      </c>
      <c r="D1472">
        <v>6</v>
      </c>
      <c r="E1472">
        <v>100</v>
      </c>
      <c r="F1472" t="s">
        <v>1</v>
      </c>
      <c r="G1472" s="6">
        <v>45747</v>
      </c>
      <c r="H1472">
        <v>39</v>
      </c>
      <c r="I1472">
        <f>ROUND(CompilDonnées[[#This Row],[CultureDuration_days]]/7,0)</f>
        <v>6</v>
      </c>
      <c r="J1472">
        <v>4228</v>
      </c>
      <c r="K1472" t="str">
        <f>_xlfn.CONCAT(WEEKNUM(CompilDonnées[[#This Row],[PlantationDate]]), " ", YEAR(CompilDonnées[[#This Row],[PlantationDate]]))</f>
        <v>8 2025</v>
      </c>
      <c r="L1472" t="str">
        <f>CONCATENATE(MONTH(CompilDonnées[[#This Row],[PlantationDate]])," ", YEAR(CompilDonnées[[#This Row],[PlantationDate]]))</f>
        <v>2 2025</v>
      </c>
      <c r="M1472" t="str">
        <f>CONCATENATE(MONTH(CompilDonnées[[#This Row],[HarvestingDate]])," ", YEAR(CompilDonnées[[#This Row],[HarvestingDate]]))</f>
        <v>3 2025</v>
      </c>
      <c r="N1472">
        <f>_xlfn.NUMBERVALUE(CompilDonnées[[#This Row],[FarmID]]&amp;CompilDonnées[[#This Row],[ModuleNumber]]&amp;CompilDonnées[[#This Row],[PlantationDate]])</f>
        <v>108645708</v>
      </c>
      <c r="O1472" t="str">
        <f>CompilDonnées[[#This Row],[FarmID]]&amp;CompilDonnées[[#This Row],[ModuleNumber]]</f>
        <v>1086</v>
      </c>
      <c r="P1472" t="str">
        <f>CompilDonnées[[#This Row],[Ref_Module]]&amp;CompilDonnées[[#This Row],[HarvestingDate]]</f>
        <v>108645747</v>
      </c>
    </row>
    <row r="1473" spans="1:16">
      <c r="A1473" s="5">
        <v>45708</v>
      </c>
      <c r="B1473">
        <v>98</v>
      </c>
      <c r="C1473" t="s">
        <v>79</v>
      </c>
      <c r="D1473">
        <v>1</v>
      </c>
      <c r="E1473">
        <v>100</v>
      </c>
      <c r="F1473" t="s">
        <v>1</v>
      </c>
      <c r="G1473" s="6">
        <v>45743</v>
      </c>
      <c r="H1473">
        <v>35</v>
      </c>
      <c r="I1473">
        <f>ROUND(CompilDonnées[[#This Row],[CultureDuration_days]]/7,0)</f>
        <v>5</v>
      </c>
      <c r="J1473">
        <v>3241</v>
      </c>
      <c r="K1473" t="str">
        <f>_xlfn.CONCAT(WEEKNUM(CompilDonnées[[#This Row],[PlantationDate]]), " ", YEAR(CompilDonnées[[#This Row],[PlantationDate]]))</f>
        <v>8 2025</v>
      </c>
      <c r="L1473" t="str">
        <f>CONCATENATE(MONTH(CompilDonnées[[#This Row],[PlantationDate]])," ", YEAR(CompilDonnées[[#This Row],[PlantationDate]]))</f>
        <v>2 2025</v>
      </c>
      <c r="M1473" t="str">
        <f>CONCATENATE(MONTH(CompilDonnées[[#This Row],[HarvestingDate]])," ", YEAR(CompilDonnées[[#This Row],[HarvestingDate]]))</f>
        <v>3 2025</v>
      </c>
      <c r="N1473">
        <f>_xlfn.NUMBERVALUE(CompilDonnées[[#This Row],[FarmID]]&amp;CompilDonnées[[#This Row],[ModuleNumber]]&amp;CompilDonnées[[#This Row],[PlantationDate]])</f>
        <v>98145708</v>
      </c>
      <c r="O1473" t="str">
        <f>CompilDonnées[[#This Row],[FarmID]]&amp;CompilDonnées[[#This Row],[ModuleNumber]]</f>
        <v>981</v>
      </c>
      <c r="P1473" t="str">
        <f>CompilDonnées[[#This Row],[Ref_Module]]&amp;CompilDonnées[[#This Row],[HarvestingDate]]</f>
        <v>98145743</v>
      </c>
    </row>
    <row r="1474" spans="1:16">
      <c r="A1474" s="5">
        <v>45708</v>
      </c>
      <c r="B1474">
        <v>99</v>
      </c>
      <c r="C1474" t="s">
        <v>117</v>
      </c>
      <c r="D1474">
        <v>3</v>
      </c>
      <c r="E1474">
        <v>100</v>
      </c>
      <c r="F1474" t="s">
        <v>1</v>
      </c>
      <c r="G1474" s="6">
        <v>45747</v>
      </c>
      <c r="H1474">
        <v>39</v>
      </c>
      <c r="I1474">
        <f>ROUND(CompilDonnées[[#This Row],[CultureDuration_days]]/7,0)</f>
        <v>6</v>
      </c>
      <c r="J1474">
        <v>3991</v>
      </c>
      <c r="K1474" t="str">
        <f>_xlfn.CONCAT(WEEKNUM(CompilDonnées[[#This Row],[PlantationDate]]), " ", YEAR(CompilDonnées[[#This Row],[PlantationDate]]))</f>
        <v>8 2025</v>
      </c>
      <c r="L1474" t="str">
        <f>CONCATENATE(MONTH(CompilDonnées[[#This Row],[PlantationDate]])," ", YEAR(CompilDonnées[[#This Row],[PlantationDate]]))</f>
        <v>2 2025</v>
      </c>
      <c r="M1474" t="str">
        <f>CONCATENATE(MONTH(CompilDonnées[[#This Row],[HarvestingDate]])," ", YEAR(CompilDonnées[[#This Row],[HarvestingDate]]))</f>
        <v>3 2025</v>
      </c>
      <c r="N1474">
        <f>_xlfn.NUMBERVALUE(CompilDonnées[[#This Row],[FarmID]]&amp;CompilDonnées[[#This Row],[ModuleNumber]]&amp;CompilDonnées[[#This Row],[PlantationDate]])</f>
        <v>99345708</v>
      </c>
      <c r="O1474" t="str">
        <f>CompilDonnées[[#This Row],[FarmID]]&amp;CompilDonnées[[#This Row],[ModuleNumber]]</f>
        <v>993</v>
      </c>
      <c r="P1474" t="str">
        <f>CompilDonnées[[#This Row],[Ref_Module]]&amp;CompilDonnées[[#This Row],[HarvestingDate]]</f>
        <v>99345747</v>
      </c>
    </row>
    <row r="1475" spans="1:16">
      <c r="A1475" s="5">
        <v>45708</v>
      </c>
      <c r="B1475">
        <v>102</v>
      </c>
      <c r="C1475" t="s">
        <v>85</v>
      </c>
      <c r="D1475">
        <v>2</v>
      </c>
      <c r="E1475">
        <v>100</v>
      </c>
      <c r="F1475" t="s">
        <v>1</v>
      </c>
      <c r="G1475" s="6">
        <v>45747</v>
      </c>
      <c r="H1475">
        <v>39</v>
      </c>
      <c r="I1475">
        <f>ROUND(CompilDonnées[[#This Row],[CultureDuration_days]]/7,0)</f>
        <v>6</v>
      </c>
      <c r="J1475">
        <v>3852</v>
      </c>
      <c r="K1475" t="str">
        <f>_xlfn.CONCAT(WEEKNUM(CompilDonnées[[#This Row],[PlantationDate]]), " ", YEAR(CompilDonnées[[#This Row],[PlantationDate]]))</f>
        <v>8 2025</v>
      </c>
      <c r="L1475" t="str">
        <f>CONCATENATE(MONTH(CompilDonnées[[#This Row],[PlantationDate]])," ", YEAR(CompilDonnées[[#This Row],[PlantationDate]]))</f>
        <v>2 2025</v>
      </c>
      <c r="M1475" t="str">
        <f>CONCATENATE(MONTH(CompilDonnées[[#This Row],[HarvestingDate]])," ", YEAR(CompilDonnées[[#This Row],[HarvestingDate]]))</f>
        <v>3 2025</v>
      </c>
      <c r="N1475">
        <f>_xlfn.NUMBERVALUE(CompilDonnées[[#This Row],[FarmID]]&amp;CompilDonnées[[#This Row],[ModuleNumber]]&amp;CompilDonnées[[#This Row],[PlantationDate]])</f>
        <v>102245708</v>
      </c>
      <c r="O1475" t="str">
        <f>CompilDonnées[[#This Row],[FarmID]]&amp;CompilDonnées[[#This Row],[ModuleNumber]]</f>
        <v>1022</v>
      </c>
      <c r="P1475" t="str">
        <f>CompilDonnées[[#This Row],[Ref_Module]]&amp;CompilDonnées[[#This Row],[HarvestingDate]]</f>
        <v>102245747</v>
      </c>
    </row>
    <row r="1476" spans="1:16">
      <c r="A1476" s="5">
        <v>45708</v>
      </c>
      <c r="B1476">
        <v>110</v>
      </c>
      <c r="C1476" t="s">
        <v>14</v>
      </c>
      <c r="D1476">
        <v>4</v>
      </c>
      <c r="E1476">
        <v>100</v>
      </c>
      <c r="F1476" t="s">
        <v>1</v>
      </c>
      <c r="G1476" s="6">
        <v>45758</v>
      </c>
      <c r="H1476">
        <v>50</v>
      </c>
      <c r="I1476">
        <f>ROUND(CompilDonnées[[#This Row],[CultureDuration_days]]/7,0)</f>
        <v>7</v>
      </c>
      <c r="J1476">
        <v>2945</v>
      </c>
      <c r="K1476" t="str">
        <f>_xlfn.CONCAT(WEEKNUM(CompilDonnées[[#This Row],[PlantationDate]]), " ", YEAR(CompilDonnées[[#This Row],[PlantationDate]]))</f>
        <v>8 2025</v>
      </c>
      <c r="L1476" t="str">
        <f>CONCATENATE(MONTH(CompilDonnées[[#This Row],[PlantationDate]])," ", YEAR(CompilDonnées[[#This Row],[PlantationDate]]))</f>
        <v>2 2025</v>
      </c>
      <c r="M1476" t="str">
        <f>CONCATENATE(MONTH(CompilDonnées[[#This Row],[HarvestingDate]])," ", YEAR(CompilDonnées[[#This Row],[HarvestingDate]]))</f>
        <v>4 2025</v>
      </c>
      <c r="N1476">
        <f>_xlfn.NUMBERVALUE(CompilDonnées[[#This Row],[FarmID]]&amp;CompilDonnées[[#This Row],[ModuleNumber]]&amp;CompilDonnées[[#This Row],[PlantationDate]])</f>
        <v>110445708</v>
      </c>
      <c r="O1476" t="str">
        <f>CompilDonnées[[#This Row],[FarmID]]&amp;CompilDonnées[[#This Row],[ModuleNumber]]</f>
        <v>1104</v>
      </c>
      <c r="P1476" t="str">
        <f>CompilDonnées[[#This Row],[Ref_Module]]&amp;CompilDonnées[[#This Row],[HarvestingDate]]</f>
        <v>110445758</v>
      </c>
    </row>
    <row r="1477" spans="1:16">
      <c r="A1477" s="5">
        <v>45708</v>
      </c>
      <c r="B1477">
        <v>111</v>
      </c>
      <c r="C1477" t="s">
        <v>41</v>
      </c>
      <c r="D1477">
        <v>5</v>
      </c>
      <c r="E1477">
        <v>100</v>
      </c>
      <c r="F1477" t="s">
        <v>1</v>
      </c>
      <c r="G1477" s="6">
        <v>45758</v>
      </c>
      <c r="H1477">
        <v>50</v>
      </c>
      <c r="I1477">
        <f>ROUND(CompilDonnées[[#This Row],[CultureDuration_days]]/7,0)</f>
        <v>7</v>
      </c>
      <c r="J1477">
        <v>2502</v>
      </c>
      <c r="K1477" t="str">
        <f>_xlfn.CONCAT(WEEKNUM(CompilDonnées[[#This Row],[PlantationDate]]), " ", YEAR(CompilDonnées[[#This Row],[PlantationDate]]))</f>
        <v>8 2025</v>
      </c>
      <c r="L1477" t="str">
        <f>CONCATENATE(MONTH(CompilDonnées[[#This Row],[PlantationDate]])," ", YEAR(CompilDonnées[[#This Row],[PlantationDate]]))</f>
        <v>2 2025</v>
      </c>
      <c r="M1477" t="str">
        <f>CONCATENATE(MONTH(CompilDonnées[[#This Row],[HarvestingDate]])," ", YEAR(CompilDonnées[[#This Row],[HarvestingDate]]))</f>
        <v>4 2025</v>
      </c>
      <c r="N1477">
        <f>_xlfn.NUMBERVALUE(CompilDonnées[[#This Row],[FarmID]]&amp;CompilDonnées[[#This Row],[ModuleNumber]]&amp;CompilDonnées[[#This Row],[PlantationDate]])</f>
        <v>111545708</v>
      </c>
      <c r="O1477" t="str">
        <f>CompilDonnées[[#This Row],[FarmID]]&amp;CompilDonnées[[#This Row],[ModuleNumber]]</f>
        <v>1115</v>
      </c>
      <c r="P1477" t="str">
        <f>CompilDonnées[[#This Row],[Ref_Module]]&amp;CompilDonnées[[#This Row],[HarvestingDate]]</f>
        <v>111545758</v>
      </c>
    </row>
    <row r="1478" spans="1:16">
      <c r="A1478" s="5">
        <v>45708</v>
      </c>
      <c r="B1478">
        <v>113</v>
      </c>
      <c r="C1478" t="s">
        <v>16</v>
      </c>
      <c r="D1478">
        <v>4</v>
      </c>
      <c r="E1478">
        <v>100</v>
      </c>
      <c r="F1478" t="s">
        <v>1</v>
      </c>
      <c r="G1478" s="6">
        <v>45747</v>
      </c>
      <c r="H1478">
        <v>39</v>
      </c>
      <c r="I1478">
        <f>ROUND(CompilDonnées[[#This Row],[CultureDuration_days]]/7,0)</f>
        <v>6</v>
      </c>
      <c r="J1478">
        <v>3835</v>
      </c>
      <c r="K1478" t="str">
        <f>_xlfn.CONCAT(WEEKNUM(CompilDonnées[[#This Row],[PlantationDate]]), " ", YEAR(CompilDonnées[[#This Row],[PlantationDate]]))</f>
        <v>8 2025</v>
      </c>
      <c r="L1478" t="str">
        <f>CONCATENATE(MONTH(CompilDonnées[[#This Row],[PlantationDate]])," ", YEAR(CompilDonnées[[#This Row],[PlantationDate]]))</f>
        <v>2 2025</v>
      </c>
      <c r="M1478" t="str">
        <f>CONCATENATE(MONTH(CompilDonnées[[#This Row],[HarvestingDate]])," ", YEAR(CompilDonnées[[#This Row],[HarvestingDate]]))</f>
        <v>3 2025</v>
      </c>
      <c r="N1478">
        <f>_xlfn.NUMBERVALUE(CompilDonnées[[#This Row],[FarmID]]&amp;CompilDonnées[[#This Row],[ModuleNumber]]&amp;CompilDonnées[[#This Row],[PlantationDate]])</f>
        <v>113445708</v>
      </c>
      <c r="O1478" t="str">
        <f>CompilDonnées[[#This Row],[FarmID]]&amp;CompilDonnées[[#This Row],[ModuleNumber]]</f>
        <v>1134</v>
      </c>
      <c r="P1478" t="str">
        <f>CompilDonnées[[#This Row],[Ref_Module]]&amp;CompilDonnées[[#This Row],[HarvestingDate]]</f>
        <v>113445747</v>
      </c>
    </row>
    <row r="1479" spans="1:16">
      <c r="A1479" s="5">
        <v>45708</v>
      </c>
      <c r="B1479">
        <v>115</v>
      </c>
      <c r="C1479" t="s">
        <v>92</v>
      </c>
      <c r="D1479">
        <v>6</v>
      </c>
      <c r="E1479">
        <v>100</v>
      </c>
      <c r="F1479" t="s">
        <v>1</v>
      </c>
      <c r="G1479" s="6">
        <v>45747</v>
      </c>
      <c r="H1479">
        <v>39</v>
      </c>
      <c r="I1479">
        <f>ROUND(CompilDonnées[[#This Row],[CultureDuration_days]]/7,0)</f>
        <v>6</v>
      </c>
      <c r="J1479">
        <v>3988</v>
      </c>
      <c r="K1479" t="str">
        <f>_xlfn.CONCAT(WEEKNUM(CompilDonnées[[#This Row],[PlantationDate]]), " ", YEAR(CompilDonnées[[#This Row],[PlantationDate]]))</f>
        <v>8 2025</v>
      </c>
      <c r="L1479" t="str">
        <f>CONCATENATE(MONTH(CompilDonnées[[#This Row],[PlantationDate]])," ", YEAR(CompilDonnées[[#This Row],[PlantationDate]]))</f>
        <v>2 2025</v>
      </c>
      <c r="M1479" t="str">
        <f>CONCATENATE(MONTH(CompilDonnées[[#This Row],[HarvestingDate]])," ", YEAR(CompilDonnées[[#This Row],[HarvestingDate]]))</f>
        <v>3 2025</v>
      </c>
      <c r="N1479">
        <f>_xlfn.NUMBERVALUE(CompilDonnées[[#This Row],[FarmID]]&amp;CompilDonnées[[#This Row],[ModuleNumber]]&amp;CompilDonnées[[#This Row],[PlantationDate]])</f>
        <v>115645708</v>
      </c>
      <c r="O1479" t="str">
        <f>CompilDonnées[[#This Row],[FarmID]]&amp;CompilDonnées[[#This Row],[ModuleNumber]]</f>
        <v>1156</v>
      </c>
      <c r="P1479" t="str">
        <f>CompilDonnées[[#This Row],[Ref_Module]]&amp;CompilDonnées[[#This Row],[HarvestingDate]]</f>
        <v>115645747</v>
      </c>
    </row>
    <row r="1480" spans="1:16">
      <c r="A1480" s="5">
        <v>45708</v>
      </c>
      <c r="B1480">
        <v>126</v>
      </c>
      <c r="C1480" t="s">
        <v>52</v>
      </c>
      <c r="D1480">
        <v>6</v>
      </c>
      <c r="E1480">
        <v>100</v>
      </c>
      <c r="F1480" t="s">
        <v>1</v>
      </c>
      <c r="G1480" s="6">
        <v>45761</v>
      </c>
      <c r="H1480">
        <v>53</v>
      </c>
      <c r="I1480">
        <f>ROUND(CompilDonnées[[#This Row],[CultureDuration_days]]/7,0)</f>
        <v>8</v>
      </c>
      <c r="J1480">
        <v>2521</v>
      </c>
      <c r="K1480" t="str">
        <f>_xlfn.CONCAT(WEEKNUM(CompilDonnées[[#This Row],[PlantationDate]]), " ", YEAR(CompilDonnées[[#This Row],[PlantationDate]]))</f>
        <v>8 2025</v>
      </c>
      <c r="L1480" t="str">
        <f>CONCATENATE(MONTH(CompilDonnées[[#This Row],[PlantationDate]])," ", YEAR(CompilDonnées[[#This Row],[PlantationDate]]))</f>
        <v>2 2025</v>
      </c>
      <c r="M1480" t="str">
        <f>CONCATENATE(MONTH(CompilDonnées[[#This Row],[HarvestingDate]])," ", YEAR(CompilDonnées[[#This Row],[HarvestingDate]]))</f>
        <v>4 2025</v>
      </c>
      <c r="N1480">
        <f>_xlfn.NUMBERVALUE(CompilDonnées[[#This Row],[FarmID]]&amp;CompilDonnées[[#This Row],[ModuleNumber]]&amp;CompilDonnées[[#This Row],[PlantationDate]])</f>
        <v>126645708</v>
      </c>
      <c r="O1480" t="str">
        <f>CompilDonnées[[#This Row],[FarmID]]&amp;CompilDonnées[[#This Row],[ModuleNumber]]</f>
        <v>1266</v>
      </c>
      <c r="P1480" t="str">
        <f>CompilDonnées[[#This Row],[Ref_Module]]&amp;CompilDonnées[[#This Row],[HarvestingDate]]</f>
        <v>126645761</v>
      </c>
    </row>
    <row r="1481" spans="1:16">
      <c r="A1481" s="5">
        <v>45708</v>
      </c>
      <c r="B1481">
        <v>120</v>
      </c>
      <c r="C1481" t="s">
        <v>100</v>
      </c>
      <c r="D1481">
        <v>3</v>
      </c>
      <c r="E1481">
        <v>100</v>
      </c>
      <c r="F1481" t="s">
        <v>1</v>
      </c>
      <c r="G1481" s="6">
        <v>45744</v>
      </c>
      <c r="H1481">
        <v>36</v>
      </c>
      <c r="I1481">
        <f>ROUND(CompilDonnées[[#This Row],[CultureDuration_days]]/7,0)</f>
        <v>5</v>
      </c>
      <c r="J1481">
        <v>1596</v>
      </c>
      <c r="K1481" t="str">
        <f>_xlfn.CONCAT(WEEKNUM(CompilDonnées[[#This Row],[PlantationDate]]), " ", YEAR(CompilDonnées[[#This Row],[PlantationDate]]))</f>
        <v>8 2025</v>
      </c>
      <c r="L1481" t="str">
        <f>CONCATENATE(MONTH(CompilDonnées[[#This Row],[PlantationDate]])," ", YEAR(CompilDonnées[[#This Row],[PlantationDate]]))</f>
        <v>2 2025</v>
      </c>
      <c r="M1481" t="str">
        <f>CONCATENATE(MONTH(CompilDonnées[[#This Row],[HarvestingDate]])," ", YEAR(CompilDonnées[[#This Row],[HarvestingDate]]))</f>
        <v>3 2025</v>
      </c>
      <c r="N1481">
        <f>_xlfn.NUMBERVALUE(CompilDonnées[[#This Row],[FarmID]]&amp;CompilDonnées[[#This Row],[ModuleNumber]]&amp;CompilDonnées[[#This Row],[PlantationDate]])</f>
        <v>120345708</v>
      </c>
      <c r="O1481" t="str">
        <f>CompilDonnées[[#This Row],[FarmID]]&amp;CompilDonnées[[#This Row],[ModuleNumber]]</f>
        <v>1203</v>
      </c>
      <c r="P1481" t="str">
        <f>CompilDonnées[[#This Row],[Ref_Module]]&amp;CompilDonnées[[#This Row],[HarvestingDate]]</f>
        <v>120345744</v>
      </c>
    </row>
    <row r="1482" spans="1:16">
      <c r="A1482" s="5">
        <v>45708</v>
      </c>
      <c r="B1482">
        <v>117</v>
      </c>
      <c r="C1482" t="s">
        <v>11</v>
      </c>
      <c r="D1482">
        <v>6</v>
      </c>
      <c r="E1482">
        <v>100</v>
      </c>
      <c r="F1482" t="s">
        <v>1</v>
      </c>
      <c r="G1482" s="6">
        <v>45758</v>
      </c>
      <c r="H1482">
        <v>50</v>
      </c>
      <c r="I1482">
        <f>ROUND(CompilDonnées[[#This Row],[CultureDuration_days]]/7,0)</f>
        <v>7</v>
      </c>
      <c r="J1482">
        <v>2358</v>
      </c>
      <c r="K1482" t="str">
        <f>_xlfn.CONCAT(WEEKNUM(CompilDonnées[[#This Row],[PlantationDate]]), " ", YEAR(CompilDonnées[[#This Row],[PlantationDate]]))</f>
        <v>8 2025</v>
      </c>
      <c r="L1482" t="str">
        <f>CONCATENATE(MONTH(CompilDonnées[[#This Row],[PlantationDate]])," ", YEAR(CompilDonnées[[#This Row],[PlantationDate]]))</f>
        <v>2 2025</v>
      </c>
      <c r="M1482" t="str">
        <f>CONCATENATE(MONTH(CompilDonnées[[#This Row],[HarvestingDate]])," ", YEAR(CompilDonnées[[#This Row],[HarvestingDate]]))</f>
        <v>4 2025</v>
      </c>
      <c r="N1482">
        <f>_xlfn.NUMBERVALUE(CompilDonnées[[#This Row],[FarmID]]&amp;CompilDonnées[[#This Row],[ModuleNumber]]&amp;CompilDonnées[[#This Row],[PlantationDate]])</f>
        <v>117645708</v>
      </c>
      <c r="O1482" t="str">
        <f>CompilDonnées[[#This Row],[FarmID]]&amp;CompilDonnées[[#This Row],[ModuleNumber]]</f>
        <v>1176</v>
      </c>
      <c r="P1482" t="str">
        <f>CompilDonnées[[#This Row],[Ref_Module]]&amp;CompilDonnées[[#This Row],[HarvestingDate]]</f>
        <v>117645758</v>
      </c>
    </row>
    <row r="1483" spans="1:16">
      <c r="A1483" s="5">
        <v>45708</v>
      </c>
      <c r="B1483">
        <v>118</v>
      </c>
      <c r="C1483" t="s">
        <v>51</v>
      </c>
      <c r="D1483">
        <v>6</v>
      </c>
      <c r="E1483">
        <v>100</v>
      </c>
      <c r="F1483" t="s">
        <v>1</v>
      </c>
      <c r="G1483" s="6">
        <v>45747</v>
      </c>
      <c r="H1483">
        <v>39</v>
      </c>
      <c r="I1483">
        <f>ROUND(CompilDonnées[[#This Row],[CultureDuration_days]]/7,0)</f>
        <v>6</v>
      </c>
      <c r="J1483">
        <v>2971</v>
      </c>
      <c r="K1483" t="str">
        <f>_xlfn.CONCAT(WEEKNUM(CompilDonnées[[#This Row],[PlantationDate]]), " ", YEAR(CompilDonnées[[#This Row],[PlantationDate]]))</f>
        <v>8 2025</v>
      </c>
      <c r="L1483" t="str">
        <f>CONCATENATE(MONTH(CompilDonnées[[#This Row],[PlantationDate]])," ", YEAR(CompilDonnées[[#This Row],[PlantationDate]]))</f>
        <v>2 2025</v>
      </c>
      <c r="M1483" t="str">
        <f>CONCATENATE(MONTH(CompilDonnées[[#This Row],[HarvestingDate]])," ", YEAR(CompilDonnées[[#This Row],[HarvestingDate]]))</f>
        <v>3 2025</v>
      </c>
      <c r="N1483">
        <f>_xlfn.NUMBERVALUE(CompilDonnées[[#This Row],[FarmID]]&amp;CompilDonnées[[#This Row],[ModuleNumber]]&amp;CompilDonnées[[#This Row],[PlantationDate]])</f>
        <v>118645708</v>
      </c>
      <c r="O1483" t="str">
        <f>CompilDonnées[[#This Row],[FarmID]]&amp;CompilDonnées[[#This Row],[ModuleNumber]]</f>
        <v>1186</v>
      </c>
      <c r="P1483" t="str">
        <f>CompilDonnées[[#This Row],[Ref_Module]]&amp;CompilDonnées[[#This Row],[HarvestingDate]]</f>
        <v>118645747</v>
      </c>
    </row>
    <row r="1484" spans="1:16">
      <c r="A1484" s="5">
        <v>45708</v>
      </c>
      <c r="B1484">
        <v>32</v>
      </c>
      <c r="C1484" t="s">
        <v>25</v>
      </c>
      <c r="D1484">
        <v>3</v>
      </c>
      <c r="E1484">
        <v>100</v>
      </c>
      <c r="F1484" t="s">
        <v>1</v>
      </c>
      <c r="G1484" s="6">
        <v>45749</v>
      </c>
      <c r="H1484">
        <v>41</v>
      </c>
      <c r="I1484">
        <f>ROUND(CompilDonnées[[#This Row],[CultureDuration_days]]/7,0)</f>
        <v>6</v>
      </c>
      <c r="J1484">
        <v>4092</v>
      </c>
      <c r="K1484" t="str">
        <f>_xlfn.CONCAT(WEEKNUM(CompilDonnées[[#This Row],[PlantationDate]]), " ", YEAR(CompilDonnées[[#This Row],[PlantationDate]]))</f>
        <v>8 2025</v>
      </c>
      <c r="L1484" t="str">
        <f>CONCATENATE(MONTH(CompilDonnées[[#This Row],[PlantationDate]])," ", YEAR(CompilDonnées[[#This Row],[PlantationDate]]))</f>
        <v>2 2025</v>
      </c>
      <c r="M1484" t="str">
        <f>CONCATENATE(MONTH(CompilDonnées[[#This Row],[HarvestingDate]])," ", YEAR(CompilDonnées[[#This Row],[HarvestingDate]]))</f>
        <v>4 2025</v>
      </c>
      <c r="N1484">
        <f>_xlfn.NUMBERVALUE(CompilDonnées[[#This Row],[FarmID]]&amp;CompilDonnées[[#This Row],[ModuleNumber]]&amp;CompilDonnées[[#This Row],[PlantationDate]])</f>
        <v>32345708</v>
      </c>
      <c r="O1484" t="str">
        <f>CompilDonnées[[#This Row],[FarmID]]&amp;CompilDonnées[[#This Row],[ModuleNumber]]</f>
        <v>323</v>
      </c>
      <c r="P1484" t="str">
        <f>CompilDonnées[[#This Row],[Ref_Module]]&amp;CompilDonnées[[#This Row],[HarvestingDate]]</f>
        <v>32345749</v>
      </c>
    </row>
    <row r="1485" spans="1:16">
      <c r="A1485" s="5">
        <v>45708</v>
      </c>
      <c r="B1485">
        <v>70</v>
      </c>
      <c r="C1485" t="s">
        <v>7</v>
      </c>
      <c r="D1485">
        <v>1</v>
      </c>
      <c r="E1485">
        <v>100</v>
      </c>
      <c r="F1485" t="s">
        <v>1</v>
      </c>
      <c r="G1485" s="6">
        <v>45742</v>
      </c>
      <c r="H1485">
        <v>34</v>
      </c>
      <c r="I1485">
        <f>ROUND(CompilDonnées[[#This Row],[CultureDuration_days]]/7,0)</f>
        <v>5</v>
      </c>
      <c r="J1485">
        <v>3303</v>
      </c>
      <c r="K1485" t="str">
        <f>_xlfn.CONCAT(WEEKNUM(CompilDonnées[[#This Row],[PlantationDate]]), " ", YEAR(CompilDonnées[[#This Row],[PlantationDate]]))</f>
        <v>8 2025</v>
      </c>
      <c r="L1485" t="str">
        <f>CONCATENATE(MONTH(CompilDonnées[[#This Row],[PlantationDate]])," ", YEAR(CompilDonnées[[#This Row],[PlantationDate]]))</f>
        <v>2 2025</v>
      </c>
      <c r="M1485" t="str">
        <f>CONCATENATE(MONTH(CompilDonnées[[#This Row],[HarvestingDate]])," ", YEAR(CompilDonnées[[#This Row],[HarvestingDate]]))</f>
        <v>3 2025</v>
      </c>
      <c r="N1485">
        <f>_xlfn.NUMBERVALUE(CompilDonnées[[#This Row],[FarmID]]&amp;CompilDonnées[[#This Row],[ModuleNumber]]&amp;CompilDonnées[[#This Row],[PlantationDate]])</f>
        <v>70145708</v>
      </c>
      <c r="O1485" t="str">
        <f>CompilDonnées[[#This Row],[FarmID]]&amp;CompilDonnées[[#This Row],[ModuleNumber]]</f>
        <v>701</v>
      </c>
      <c r="P1485" t="str">
        <f>CompilDonnées[[#This Row],[Ref_Module]]&amp;CompilDonnées[[#This Row],[HarvestingDate]]</f>
        <v>70145742</v>
      </c>
    </row>
    <row r="1486" spans="1:16">
      <c r="A1486" s="5">
        <v>45709</v>
      </c>
      <c r="B1486">
        <v>133</v>
      </c>
      <c r="C1486" t="s">
        <v>99</v>
      </c>
      <c r="D1486">
        <v>1</v>
      </c>
      <c r="E1486">
        <v>100</v>
      </c>
      <c r="F1486" t="s">
        <v>1</v>
      </c>
      <c r="G1486" s="6">
        <v>45747</v>
      </c>
      <c r="H1486">
        <v>38</v>
      </c>
      <c r="I1486">
        <f>ROUND(CompilDonnées[[#This Row],[CultureDuration_days]]/7,0)</f>
        <v>5</v>
      </c>
      <c r="J1486">
        <v>4086</v>
      </c>
      <c r="K1486" t="str">
        <f>_xlfn.CONCAT(WEEKNUM(CompilDonnées[[#This Row],[PlantationDate]]), " ", YEAR(CompilDonnées[[#This Row],[PlantationDate]]))</f>
        <v>8 2025</v>
      </c>
      <c r="L1486" t="str">
        <f>CONCATENATE(MONTH(CompilDonnées[[#This Row],[PlantationDate]])," ", YEAR(CompilDonnées[[#This Row],[PlantationDate]]))</f>
        <v>2 2025</v>
      </c>
      <c r="M1486" t="str">
        <f>CONCATENATE(MONTH(CompilDonnées[[#This Row],[HarvestingDate]])," ", YEAR(CompilDonnées[[#This Row],[HarvestingDate]]))</f>
        <v>3 2025</v>
      </c>
      <c r="N1486">
        <f>_xlfn.NUMBERVALUE(CompilDonnées[[#This Row],[FarmID]]&amp;CompilDonnées[[#This Row],[ModuleNumber]]&amp;CompilDonnées[[#This Row],[PlantationDate]])</f>
        <v>133145709</v>
      </c>
      <c r="O1486" t="str">
        <f>CompilDonnées[[#This Row],[FarmID]]&amp;CompilDonnées[[#This Row],[ModuleNumber]]</f>
        <v>1331</v>
      </c>
      <c r="P1486" t="str">
        <f>CompilDonnées[[#This Row],[Ref_Module]]&amp;CompilDonnées[[#This Row],[HarvestingDate]]</f>
        <v>133145747</v>
      </c>
    </row>
    <row r="1487" spans="1:16">
      <c r="A1487" s="5">
        <v>45709</v>
      </c>
      <c r="B1487">
        <v>131</v>
      </c>
      <c r="C1487" t="s">
        <v>64</v>
      </c>
      <c r="D1487">
        <v>2</v>
      </c>
      <c r="E1487">
        <v>100</v>
      </c>
      <c r="F1487" t="s">
        <v>1</v>
      </c>
      <c r="G1487" s="6">
        <v>45757</v>
      </c>
      <c r="H1487">
        <v>48</v>
      </c>
      <c r="I1487">
        <f>ROUND(CompilDonnées[[#This Row],[CultureDuration_days]]/7,0)</f>
        <v>7</v>
      </c>
      <c r="J1487">
        <v>3083</v>
      </c>
      <c r="K1487" t="str">
        <f>_xlfn.CONCAT(WEEKNUM(CompilDonnées[[#This Row],[PlantationDate]]), " ", YEAR(CompilDonnées[[#This Row],[PlantationDate]]))</f>
        <v>8 2025</v>
      </c>
      <c r="L1487" t="str">
        <f>CONCATENATE(MONTH(CompilDonnées[[#This Row],[PlantationDate]])," ", YEAR(CompilDonnées[[#This Row],[PlantationDate]]))</f>
        <v>2 2025</v>
      </c>
      <c r="M1487" t="str">
        <f>CONCATENATE(MONTH(CompilDonnées[[#This Row],[HarvestingDate]])," ", YEAR(CompilDonnées[[#This Row],[HarvestingDate]]))</f>
        <v>4 2025</v>
      </c>
      <c r="N1487">
        <f>_xlfn.NUMBERVALUE(CompilDonnées[[#This Row],[FarmID]]&amp;CompilDonnées[[#This Row],[ModuleNumber]]&amp;CompilDonnées[[#This Row],[PlantationDate]])</f>
        <v>131245709</v>
      </c>
      <c r="O1487" t="str">
        <f>CompilDonnées[[#This Row],[FarmID]]&amp;CompilDonnées[[#This Row],[ModuleNumber]]</f>
        <v>1312</v>
      </c>
      <c r="P1487" t="str">
        <f>CompilDonnées[[#This Row],[Ref_Module]]&amp;CompilDonnées[[#This Row],[HarvestingDate]]</f>
        <v>131245757</v>
      </c>
    </row>
    <row r="1488" spans="1:16">
      <c r="A1488" s="5">
        <v>45709</v>
      </c>
      <c r="B1488">
        <v>139</v>
      </c>
      <c r="C1488" t="s">
        <v>103</v>
      </c>
      <c r="D1488">
        <v>6</v>
      </c>
      <c r="E1488">
        <v>100</v>
      </c>
      <c r="F1488" t="s">
        <v>1</v>
      </c>
      <c r="G1488" s="6">
        <v>45747</v>
      </c>
      <c r="H1488">
        <v>38</v>
      </c>
      <c r="I1488">
        <f>ROUND(CompilDonnées[[#This Row],[CultureDuration_days]]/7,0)</f>
        <v>5</v>
      </c>
      <c r="J1488">
        <v>4155</v>
      </c>
      <c r="K1488" t="str">
        <f>_xlfn.CONCAT(WEEKNUM(CompilDonnées[[#This Row],[PlantationDate]]), " ", YEAR(CompilDonnées[[#This Row],[PlantationDate]]))</f>
        <v>8 2025</v>
      </c>
      <c r="L1488" t="str">
        <f>CONCATENATE(MONTH(CompilDonnées[[#This Row],[PlantationDate]])," ", YEAR(CompilDonnées[[#This Row],[PlantationDate]]))</f>
        <v>2 2025</v>
      </c>
      <c r="M1488" t="str">
        <f>CONCATENATE(MONTH(CompilDonnées[[#This Row],[HarvestingDate]])," ", YEAR(CompilDonnées[[#This Row],[HarvestingDate]]))</f>
        <v>3 2025</v>
      </c>
      <c r="N1488">
        <f>_xlfn.NUMBERVALUE(CompilDonnées[[#This Row],[FarmID]]&amp;CompilDonnées[[#This Row],[ModuleNumber]]&amp;CompilDonnées[[#This Row],[PlantationDate]])</f>
        <v>139645709</v>
      </c>
      <c r="O1488" t="str">
        <f>CompilDonnées[[#This Row],[FarmID]]&amp;CompilDonnées[[#This Row],[ModuleNumber]]</f>
        <v>1396</v>
      </c>
      <c r="P1488" t="str">
        <f>CompilDonnées[[#This Row],[Ref_Module]]&amp;CompilDonnées[[#This Row],[HarvestingDate]]</f>
        <v>139645747</v>
      </c>
    </row>
    <row r="1489" spans="1:16">
      <c r="A1489" s="5">
        <v>45709</v>
      </c>
      <c r="B1489">
        <v>140</v>
      </c>
      <c r="C1489" t="s">
        <v>96</v>
      </c>
      <c r="D1489">
        <v>5</v>
      </c>
      <c r="E1489">
        <v>100</v>
      </c>
      <c r="F1489" t="s">
        <v>1</v>
      </c>
      <c r="G1489" s="6">
        <v>45747</v>
      </c>
      <c r="H1489">
        <v>38</v>
      </c>
      <c r="I1489">
        <f>ROUND(CompilDonnées[[#This Row],[CultureDuration_days]]/7,0)</f>
        <v>5</v>
      </c>
      <c r="J1489">
        <v>3260</v>
      </c>
      <c r="K1489" t="str">
        <f>_xlfn.CONCAT(WEEKNUM(CompilDonnées[[#This Row],[PlantationDate]]), " ", YEAR(CompilDonnées[[#This Row],[PlantationDate]]))</f>
        <v>8 2025</v>
      </c>
      <c r="L1489" t="str">
        <f>CONCATENATE(MONTH(CompilDonnées[[#This Row],[PlantationDate]])," ", YEAR(CompilDonnées[[#This Row],[PlantationDate]]))</f>
        <v>2 2025</v>
      </c>
      <c r="M1489" t="str">
        <f>CONCATENATE(MONTH(CompilDonnées[[#This Row],[HarvestingDate]])," ", YEAR(CompilDonnées[[#This Row],[HarvestingDate]]))</f>
        <v>3 2025</v>
      </c>
      <c r="N1489">
        <f>_xlfn.NUMBERVALUE(CompilDonnées[[#This Row],[FarmID]]&amp;CompilDonnées[[#This Row],[ModuleNumber]]&amp;CompilDonnées[[#This Row],[PlantationDate]])</f>
        <v>140545709</v>
      </c>
      <c r="O1489" t="str">
        <f>CompilDonnées[[#This Row],[FarmID]]&amp;CompilDonnées[[#This Row],[ModuleNumber]]</f>
        <v>1405</v>
      </c>
      <c r="P1489" t="str">
        <f>CompilDonnées[[#This Row],[Ref_Module]]&amp;CompilDonnées[[#This Row],[HarvestingDate]]</f>
        <v>140545747</v>
      </c>
    </row>
    <row r="1490" spans="1:16">
      <c r="A1490" s="5">
        <v>45709</v>
      </c>
      <c r="B1490">
        <v>49</v>
      </c>
      <c r="C1490" t="s">
        <v>110</v>
      </c>
      <c r="D1490">
        <v>6</v>
      </c>
      <c r="E1490">
        <v>100</v>
      </c>
      <c r="F1490" t="s">
        <v>1</v>
      </c>
      <c r="G1490" s="6">
        <v>45749</v>
      </c>
      <c r="H1490">
        <v>40</v>
      </c>
      <c r="I1490">
        <f>ROUND(CompilDonnées[[#This Row],[CultureDuration_days]]/7,0)</f>
        <v>6</v>
      </c>
      <c r="J1490">
        <v>4834</v>
      </c>
      <c r="K1490" t="str">
        <f>_xlfn.CONCAT(WEEKNUM(CompilDonnées[[#This Row],[PlantationDate]]), " ", YEAR(CompilDonnées[[#This Row],[PlantationDate]]))</f>
        <v>8 2025</v>
      </c>
      <c r="L1490" t="str">
        <f>CONCATENATE(MONTH(CompilDonnées[[#This Row],[PlantationDate]])," ", YEAR(CompilDonnées[[#This Row],[PlantationDate]]))</f>
        <v>2 2025</v>
      </c>
      <c r="M1490" t="str">
        <f>CONCATENATE(MONTH(CompilDonnées[[#This Row],[HarvestingDate]])," ", YEAR(CompilDonnées[[#This Row],[HarvestingDate]]))</f>
        <v>4 2025</v>
      </c>
      <c r="N1490">
        <f>_xlfn.NUMBERVALUE(CompilDonnées[[#This Row],[FarmID]]&amp;CompilDonnées[[#This Row],[ModuleNumber]]&amp;CompilDonnées[[#This Row],[PlantationDate]])</f>
        <v>49645709</v>
      </c>
      <c r="O1490" t="str">
        <f>CompilDonnées[[#This Row],[FarmID]]&amp;CompilDonnées[[#This Row],[ModuleNumber]]</f>
        <v>496</v>
      </c>
      <c r="P1490" t="str">
        <f>CompilDonnées[[#This Row],[Ref_Module]]&amp;CompilDonnées[[#This Row],[HarvestingDate]]</f>
        <v>49645749</v>
      </c>
    </row>
    <row r="1491" spans="1:16">
      <c r="A1491" s="5">
        <v>45709</v>
      </c>
      <c r="B1491">
        <v>32</v>
      </c>
      <c r="C1491" t="s">
        <v>25</v>
      </c>
      <c r="D1491">
        <v>2</v>
      </c>
      <c r="E1491">
        <v>100</v>
      </c>
      <c r="F1491" t="s">
        <v>1</v>
      </c>
      <c r="G1491" s="6">
        <v>45754</v>
      </c>
      <c r="H1491">
        <v>45</v>
      </c>
      <c r="I1491">
        <f>ROUND(CompilDonnées[[#This Row],[CultureDuration_days]]/7,0)</f>
        <v>6</v>
      </c>
      <c r="J1491">
        <v>4616</v>
      </c>
      <c r="K1491" t="str">
        <f>_xlfn.CONCAT(WEEKNUM(CompilDonnées[[#This Row],[PlantationDate]]), " ", YEAR(CompilDonnées[[#This Row],[PlantationDate]]))</f>
        <v>8 2025</v>
      </c>
      <c r="L1491" t="str">
        <f>CONCATENATE(MONTH(CompilDonnées[[#This Row],[PlantationDate]])," ", YEAR(CompilDonnées[[#This Row],[PlantationDate]]))</f>
        <v>2 2025</v>
      </c>
      <c r="M1491" t="str">
        <f>CONCATENATE(MONTH(CompilDonnées[[#This Row],[HarvestingDate]])," ", YEAR(CompilDonnées[[#This Row],[HarvestingDate]]))</f>
        <v>4 2025</v>
      </c>
      <c r="N1491">
        <f>_xlfn.NUMBERVALUE(CompilDonnées[[#This Row],[FarmID]]&amp;CompilDonnées[[#This Row],[ModuleNumber]]&amp;CompilDonnées[[#This Row],[PlantationDate]])</f>
        <v>32245709</v>
      </c>
      <c r="O1491" t="str">
        <f>CompilDonnées[[#This Row],[FarmID]]&amp;CompilDonnées[[#This Row],[ModuleNumber]]</f>
        <v>322</v>
      </c>
      <c r="P1491" t="str">
        <f>CompilDonnées[[#This Row],[Ref_Module]]&amp;CompilDonnées[[#This Row],[HarvestingDate]]</f>
        <v>32245754</v>
      </c>
    </row>
    <row r="1492" spans="1:16">
      <c r="A1492" s="5">
        <v>45713</v>
      </c>
      <c r="B1492">
        <v>87</v>
      </c>
      <c r="C1492" t="s">
        <v>38</v>
      </c>
      <c r="D1492">
        <v>6</v>
      </c>
      <c r="E1492">
        <v>100</v>
      </c>
      <c r="F1492" t="s">
        <v>1</v>
      </c>
      <c r="G1492" s="6">
        <v>45757</v>
      </c>
      <c r="H1492">
        <v>44</v>
      </c>
      <c r="I1492">
        <f>ROUND(CompilDonnées[[#This Row],[CultureDuration_days]]/7,0)</f>
        <v>6</v>
      </c>
      <c r="J1492">
        <v>3628</v>
      </c>
      <c r="K1492" t="str">
        <f>_xlfn.CONCAT(WEEKNUM(CompilDonnées[[#This Row],[PlantationDate]]), " ", YEAR(CompilDonnées[[#This Row],[PlantationDate]]))</f>
        <v>9 2025</v>
      </c>
      <c r="L1492" t="str">
        <f>CONCATENATE(MONTH(CompilDonnées[[#This Row],[PlantationDate]])," ", YEAR(CompilDonnées[[#This Row],[PlantationDate]]))</f>
        <v>2 2025</v>
      </c>
      <c r="M1492" t="str">
        <f>CONCATENATE(MONTH(CompilDonnées[[#This Row],[HarvestingDate]])," ", YEAR(CompilDonnées[[#This Row],[HarvestingDate]]))</f>
        <v>4 2025</v>
      </c>
      <c r="N1492">
        <f>_xlfn.NUMBERVALUE(CompilDonnées[[#This Row],[FarmID]]&amp;CompilDonnées[[#This Row],[ModuleNumber]]&amp;CompilDonnées[[#This Row],[PlantationDate]])</f>
        <v>87645713</v>
      </c>
      <c r="O1492" t="str">
        <f>CompilDonnées[[#This Row],[FarmID]]&amp;CompilDonnées[[#This Row],[ModuleNumber]]</f>
        <v>876</v>
      </c>
      <c r="P1492" t="str">
        <f>CompilDonnées[[#This Row],[Ref_Module]]&amp;CompilDonnées[[#This Row],[HarvestingDate]]</f>
        <v>87645757</v>
      </c>
    </row>
    <row r="1493" spans="1:16">
      <c r="A1493" s="5">
        <v>45713</v>
      </c>
      <c r="B1493">
        <v>34</v>
      </c>
      <c r="C1493" t="s">
        <v>68</v>
      </c>
      <c r="D1493">
        <v>1</v>
      </c>
      <c r="E1493">
        <v>100</v>
      </c>
      <c r="F1493" t="s">
        <v>1</v>
      </c>
      <c r="G1493" s="6">
        <v>45755</v>
      </c>
      <c r="H1493">
        <v>42</v>
      </c>
      <c r="I1493">
        <f>ROUND(CompilDonnées[[#This Row],[CultureDuration_days]]/7,0)</f>
        <v>6</v>
      </c>
      <c r="J1493">
        <v>3667</v>
      </c>
      <c r="K1493" t="str">
        <f>_xlfn.CONCAT(WEEKNUM(CompilDonnées[[#This Row],[PlantationDate]]), " ", YEAR(CompilDonnées[[#This Row],[PlantationDate]]))</f>
        <v>9 2025</v>
      </c>
      <c r="L1493" t="str">
        <f>CONCATENATE(MONTH(CompilDonnées[[#This Row],[PlantationDate]])," ", YEAR(CompilDonnées[[#This Row],[PlantationDate]]))</f>
        <v>2 2025</v>
      </c>
      <c r="M1493" t="str">
        <f>CONCATENATE(MONTH(CompilDonnées[[#This Row],[HarvestingDate]])," ", YEAR(CompilDonnées[[#This Row],[HarvestingDate]]))</f>
        <v>4 2025</v>
      </c>
      <c r="N1493">
        <f>_xlfn.NUMBERVALUE(CompilDonnées[[#This Row],[FarmID]]&amp;CompilDonnées[[#This Row],[ModuleNumber]]&amp;CompilDonnées[[#This Row],[PlantationDate]])</f>
        <v>34145713</v>
      </c>
      <c r="O1493" t="str">
        <f>CompilDonnées[[#This Row],[FarmID]]&amp;CompilDonnées[[#This Row],[ModuleNumber]]</f>
        <v>341</v>
      </c>
      <c r="P1493" t="str">
        <f>CompilDonnées[[#This Row],[Ref_Module]]&amp;CompilDonnées[[#This Row],[HarvestingDate]]</f>
        <v>34145755</v>
      </c>
    </row>
    <row r="1494" spans="1:16">
      <c r="A1494" s="5">
        <v>45713</v>
      </c>
      <c r="B1494">
        <v>28</v>
      </c>
      <c r="C1494" t="s">
        <v>77</v>
      </c>
      <c r="D1494">
        <v>1</v>
      </c>
      <c r="E1494">
        <v>100</v>
      </c>
      <c r="F1494" t="s">
        <v>1</v>
      </c>
      <c r="G1494" s="6">
        <v>45754</v>
      </c>
      <c r="H1494">
        <v>41</v>
      </c>
      <c r="I1494">
        <f>ROUND(CompilDonnées[[#This Row],[CultureDuration_days]]/7,0)</f>
        <v>6</v>
      </c>
      <c r="J1494">
        <v>3780</v>
      </c>
      <c r="K1494" t="str">
        <f>_xlfn.CONCAT(WEEKNUM(CompilDonnées[[#This Row],[PlantationDate]]), " ", YEAR(CompilDonnées[[#This Row],[PlantationDate]]))</f>
        <v>9 2025</v>
      </c>
      <c r="L1494" t="str">
        <f>CONCATENATE(MONTH(CompilDonnées[[#This Row],[PlantationDate]])," ", YEAR(CompilDonnées[[#This Row],[PlantationDate]]))</f>
        <v>2 2025</v>
      </c>
      <c r="M1494" t="str">
        <f>CONCATENATE(MONTH(CompilDonnées[[#This Row],[HarvestingDate]])," ", YEAR(CompilDonnées[[#This Row],[HarvestingDate]]))</f>
        <v>4 2025</v>
      </c>
      <c r="N1494">
        <f>_xlfn.NUMBERVALUE(CompilDonnées[[#This Row],[FarmID]]&amp;CompilDonnées[[#This Row],[ModuleNumber]]&amp;CompilDonnées[[#This Row],[PlantationDate]])</f>
        <v>28145713</v>
      </c>
      <c r="O1494" t="str">
        <f>CompilDonnées[[#This Row],[FarmID]]&amp;CompilDonnées[[#This Row],[ModuleNumber]]</f>
        <v>281</v>
      </c>
      <c r="P1494" t="str">
        <f>CompilDonnées[[#This Row],[Ref_Module]]&amp;CompilDonnées[[#This Row],[HarvestingDate]]</f>
        <v>28145754</v>
      </c>
    </row>
    <row r="1495" spans="1:16">
      <c r="A1495" s="5">
        <v>45713</v>
      </c>
      <c r="B1495">
        <v>26</v>
      </c>
      <c r="C1495" t="s">
        <v>97</v>
      </c>
      <c r="D1495">
        <v>1</v>
      </c>
      <c r="E1495">
        <v>100</v>
      </c>
      <c r="F1495" t="s">
        <v>1</v>
      </c>
      <c r="G1495" s="6">
        <v>45754</v>
      </c>
      <c r="H1495">
        <v>41</v>
      </c>
      <c r="I1495">
        <f>ROUND(CompilDonnées[[#This Row],[CultureDuration_days]]/7,0)</f>
        <v>6</v>
      </c>
      <c r="J1495">
        <v>3811</v>
      </c>
      <c r="K1495" t="str">
        <f>_xlfn.CONCAT(WEEKNUM(CompilDonnées[[#This Row],[PlantationDate]]), " ", YEAR(CompilDonnées[[#This Row],[PlantationDate]]))</f>
        <v>9 2025</v>
      </c>
      <c r="L1495" t="str">
        <f>CONCATENATE(MONTH(CompilDonnées[[#This Row],[PlantationDate]])," ", YEAR(CompilDonnées[[#This Row],[PlantationDate]]))</f>
        <v>2 2025</v>
      </c>
      <c r="M1495" t="str">
        <f>CONCATENATE(MONTH(CompilDonnées[[#This Row],[HarvestingDate]])," ", YEAR(CompilDonnées[[#This Row],[HarvestingDate]]))</f>
        <v>4 2025</v>
      </c>
      <c r="N1495">
        <f>_xlfn.NUMBERVALUE(CompilDonnées[[#This Row],[FarmID]]&amp;CompilDonnées[[#This Row],[ModuleNumber]]&amp;CompilDonnées[[#This Row],[PlantationDate]])</f>
        <v>26145713</v>
      </c>
      <c r="O1495" t="str">
        <f>CompilDonnées[[#This Row],[FarmID]]&amp;CompilDonnées[[#This Row],[ModuleNumber]]</f>
        <v>261</v>
      </c>
      <c r="P1495" t="str">
        <f>CompilDonnées[[#This Row],[Ref_Module]]&amp;CompilDonnées[[#This Row],[HarvestingDate]]</f>
        <v>26145754</v>
      </c>
    </row>
    <row r="1496" spans="1:16">
      <c r="A1496" s="5">
        <v>45713</v>
      </c>
      <c r="B1496">
        <v>1</v>
      </c>
      <c r="C1496" t="s">
        <v>111</v>
      </c>
      <c r="D1496">
        <v>2</v>
      </c>
      <c r="E1496">
        <v>100</v>
      </c>
      <c r="F1496" t="s">
        <v>1</v>
      </c>
      <c r="G1496" s="6">
        <v>45750</v>
      </c>
      <c r="H1496">
        <v>37</v>
      </c>
      <c r="I1496">
        <f>ROUND(CompilDonnées[[#This Row],[CultureDuration_days]]/7,0)</f>
        <v>5</v>
      </c>
      <c r="J1496">
        <v>3942</v>
      </c>
      <c r="K1496" t="str">
        <f>_xlfn.CONCAT(WEEKNUM(CompilDonnées[[#This Row],[PlantationDate]]), " ", YEAR(CompilDonnées[[#This Row],[PlantationDate]]))</f>
        <v>9 2025</v>
      </c>
      <c r="L1496" t="str">
        <f>CONCATENATE(MONTH(CompilDonnées[[#This Row],[PlantationDate]])," ", YEAR(CompilDonnées[[#This Row],[PlantationDate]]))</f>
        <v>2 2025</v>
      </c>
      <c r="M1496" t="str">
        <f>CONCATENATE(MONTH(CompilDonnées[[#This Row],[HarvestingDate]])," ", YEAR(CompilDonnées[[#This Row],[HarvestingDate]]))</f>
        <v>4 2025</v>
      </c>
      <c r="N1496">
        <f>_xlfn.NUMBERVALUE(CompilDonnées[[#This Row],[FarmID]]&amp;CompilDonnées[[#This Row],[ModuleNumber]]&amp;CompilDonnées[[#This Row],[PlantationDate]])</f>
        <v>1245713</v>
      </c>
      <c r="O1496" t="str">
        <f>CompilDonnées[[#This Row],[FarmID]]&amp;CompilDonnées[[#This Row],[ModuleNumber]]</f>
        <v>12</v>
      </c>
      <c r="P1496" t="str">
        <f>CompilDonnées[[#This Row],[Ref_Module]]&amp;CompilDonnées[[#This Row],[HarvestingDate]]</f>
        <v>1245750</v>
      </c>
    </row>
    <row r="1497" spans="1:16">
      <c r="A1497" s="5">
        <v>45713</v>
      </c>
      <c r="B1497">
        <v>1</v>
      </c>
      <c r="C1497" t="s">
        <v>111</v>
      </c>
      <c r="D1497">
        <v>3</v>
      </c>
      <c r="E1497">
        <v>100</v>
      </c>
      <c r="F1497" t="s">
        <v>1</v>
      </c>
      <c r="G1497" s="6">
        <v>45754</v>
      </c>
      <c r="H1497">
        <v>41</v>
      </c>
      <c r="I1497">
        <f>ROUND(CompilDonnées[[#This Row],[CultureDuration_days]]/7,0)</f>
        <v>6</v>
      </c>
      <c r="J1497">
        <v>3854</v>
      </c>
      <c r="K1497" t="str">
        <f>_xlfn.CONCAT(WEEKNUM(CompilDonnées[[#This Row],[PlantationDate]]), " ", YEAR(CompilDonnées[[#This Row],[PlantationDate]]))</f>
        <v>9 2025</v>
      </c>
      <c r="L1497" t="str">
        <f>CONCATENATE(MONTH(CompilDonnées[[#This Row],[PlantationDate]])," ", YEAR(CompilDonnées[[#This Row],[PlantationDate]]))</f>
        <v>2 2025</v>
      </c>
      <c r="M1497" t="str">
        <f>CONCATENATE(MONTH(CompilDonnées[[#This Row],[HarvestingDate]])," ", YEAR(CompilDonnées[[#This Row],[HarvestingDate]]))</f>
        <v>4 2025</v>
      </c>
      <c r="N1497">
        <f>_xlfn.NUMBERVALUE(CompilDonnées[[#This Row],[FarmID]]&amp;CompilDonnées[[#This Row],[ModuleNumber]]&amp;CompilDonnées[[#This Row],[PlantationDate]])</f>
        <v>1345713</v>
      </c>
      <c r="O1497" t="str">
        <f>CompilDonnées[[#This Row],[FarmID]]&amp;CompilDonnées[[#This Row],[ModuleNumber]]</f>
        <v>13</v>
      </c>
      <c r="P1497" t="str">
        <f>CompilDonnées[[#This Row],[Ref_Module]]&amp;CompilDonnées[[#This Row],[HarvestingDate]]</f>
        <v>1345754</v>
      </c>
    </row>
    <row r="1498" spans="1:16">
      <c r="A1498" s="5">
        <v>45713</v>
      </c>
      <c r="B1498">
        <v>9</v>
      </c>
      <c r="C1498" t="s">
        <v>107</v>
      </c>
      <c r="D1498">
        <v>3</v>
      </c>
      <c r="E1498">
        <v>100</v>
      </c>
      <c r="F1498" t="s">
        <v>1</v>
      </c>
      <c r="G1498" s="6">
        <v>45754</v>
      </c>
      <c r="H1498">
        <v>41</v>
      </c>
      <c r="I1498">
        <f>ROUND(CompilDonnées[[#This Row],[CultureDuration_days]]/7,0)</f>
        <v>6</v>
      </c>
      <c r="J1498">
        <v>3821</v>
      </c>
      <c r="K1498" t="str">
        <f>_xlfn.CONCAT(WEEKNUM(CompilDonnées[[#This Row],[PlantationDate]]), " ", YEAR(CompilDonnées[[#This Row],[PlantationDate]]))</f>
        <v>9 2025</v>
      </c>
      <c r="L1498" t="str">
        <f>CONCATENATE(MONTH(CompilDonnées[[#This Row],[PlantationDate]])," ", YEAR(CompilDonnées[[#This Row],[PlantationDate]]))</f>
        <v>2 2025</v>
      </c>
      <c r="M1498" t="str">
        <f>CONCATENATE(MONTH(CompilDonnées[[#This Row],[HarvestingDate]])," ", YEAR(CompilDonnées[[#This Row],[HarvestingDate]]))</f>
        <v>4 2025</v>
      </c>
      <c r="N1498">
        <f>_xlfn.NUMBERVALUE(CompilDonnées[[#This Row],[FarmID]]&amp;CompilDonnées[[#This Row],[ModuleNumber]]&amp;CompilDonnées[[#This Row],[PlantationDate]])</f>
        <v>9345713</v>
      </c>
      <c r="O1498" t="str">
        <f>CompilDonnées[[#This Row],[FarmID]]&amp;CompilDonnées[[#This Row],[ModuleNumber]]</f>
        <v>93</v>
      </c>
      <c r="P1498" t="str">
        <f>CompilDonnées[[#This Row],[Ref_Module]]&amp;CompilDonnées[[#This Row],[HarvestingDate]]</f>
        <v>9345754</v>
      </c>
    </row>
    <row r="1499" spans="1:16">
      <c r="A1499" s="5">
        <v>45713</v>
      </c>
      <c r="B1499">
        <v>20</v>
      </c>
      <c r="C1499" t="s">
        <v>53</v>
      </c>
      <c r="D1499">
        <v>1</v>
      </c>
      <c r="E1499">
        <v>100</v>
      </c>
      <c r="F1499" t="s">
        <v>1</v>
      </c>
      <c r="G1499" s="6">
        <v>45754</v>
      </c>
      <c r="H1499">
        <v>41</v>
      </c>
      <c r="I1499">
        <f>ROUND(CompilDonnées[[#This Row],[CultureDuration_days]]/7,0)</f>
        <v>6</v>
      </c>
      <c r="J1499">
        <v>3704</v>
      </c>
      <c r="K1499" t="str">
        <f>_xlfn.CONCAT(WEEKNUM(CompilDonnées[[#This Row],[PlantationDate]]), " ", YEAR(CompilDonnées[[#This Row],[PlantationDate]]))</f>
        <v>9 2025</v>
      </c>
      <c r="L1499" t="str">
        <f>CONCATENATE(MONTH(CompilDonnées[[#This Row],[PlantationDate]])," ", YEAR(CompilDonnées[[#This Row],[PlantationDate]]))</f>
        <v>2 2025</v>
      </c>
      <c r="M1499" t="str">
        <f>CONCATENATE(MONTH(CompilDonnées[[#This Row],[HarvestingDate]])," ", YEAR(CompilDonnées[[#This Row],[HarvestingDate]]))</f>
        <v>4 2025</v>
      </c>
      <c r="N1499">
        <f>_xlfn.NUMBERVALUE(CompilDonnées[[#This Row],[FarmID]]&amp;CompilDonnées[[#This Row],[ModuleNumber]]&amp;CompilDonnées[[#This Row],[PlantationDate]])</f>
        <v>20145713</v>
      </c>
      <c r="O1499" t="str">
        <f>CompilDonnées[[#This Row],[FarmID]]&amp;CompilDonnées[[#This Row],[ModuleNumber]]</f>
        <v>201</v>
      </c>
      <c r="P1499" t="str">
        <f>CompilDonnées[[#This Row],[Ref_Module]]&amp;CompilDonnées[[#This Row],[HarvestingDate]]</f>
        <v>20145754</v>
      </c>
    </row>
    <row r="1500" spans="1:16">
      <c r="A1500" s="5">
        <v>45713</v>
      </c>
      <c r="B1500">
        <v>20</v>
      </c>
      <c r="C1500" t="s">
        <v>53</v>
      </c>
      <c r="D1500">
        <v>2</v>
      </c>
      <c r="E1500">
        <v>100</v>
      </c>
      <c r="F1500" t="s">
        <v>1</v>
      </c>
      <c r="G1500" s="6">
        <v>45754</v>
      </c>
      <c r="H1500">
        <v>41</v>
      </c>
      <c r="I1500">
        <f>ROUND(CompilDonnées[[#This Row],[CultureDuration_days]]/7,0)</f>
        <v>6</v>
      </c>
      <c r="J1500">
        <v>4074</v>
      </c>
      <c r="K1500" t="str">
        <f>_xlfn.CONCAT(WEEKNUM(CompilDonnées[[#This Row],[PlantationDate]]), " ", YEAR(CompilDonnées[[#This Row],[PlantationDate]]))</f>
        <v>9 2025</v>
      </c>
      <c r="L1500" t="str">
        <f>CONCATENATE(MONTH(CompilDonnées[[#This Row],[PlantationDate]])," ", YEAR(CompilDonnées[[#This Row],[PlantationDate]]))</f>
        <v>2 2025</v>
      </c>
      <c r="M1500" t="str">
        <f>CONCATENATE(MONTH(CompilDonnées[[#This Row],[HarvestingDate]])," ", YEAR(CompilDonnées[[#This Row],[HarvestingDate]]))</f>
        <v>4 2025</v>
      </c>
      <c r="N1500">
        <f>_xlfn.NUMBERVALUE(CompilDonnées[[#This Row],[FarmID]]&amp;CompilDonnées[[#This Row],[ModuleNumber]]&amp;CompilDonnées[[#This Row],[PlantationDate]])</f>
        <v>20245713</v>
      </c>
      <c r="O1500" t="str">
        <f>CompilDonnées[[#This Row],[FarmID]]&amp;CompilDonnées[[#This Row],[ModuleNumber]]</f>
        <v>202</v>
      </c>
      <c r="P1500" t="str">
        <f>CompilDonnées[[#This Row],[Ref_Module]]&amp;CompilDonnées[[#This Row],[HarvestingDate]]</f>
        <v>20245754</v>
      </c>
    </row>
    <row r="1501" spans="1:16">
      <c r="A1501" s="5">
        <v>45713</v>
      </c>
      <c r="B1501">
        <v>11</v>
      </c>
      <c r="C1501" t="s">
        <v>106</v>
      </c>
      <c r="D1501">
        <v>1</v>
      </c>
      <c r="E1501">
        <v>100</v>
      </c>
      <c r="F1501" t="s">
        <v>1</v>
      </c>
      <c r="G1501" s="6">
        <v>45754</v>
      </c>
      <c r="H1501">
        <v>41</v>
      </c>
      <c r="I1501">
        <f>ROUND(CompilDonnées[[#This Row],[CultureDuration_days]]/7,0)</f>
        <v>6</v>
      </c>
      <c r="J1501">
        <v>3385</v>
      </c>
      <c r="K1501" t="str">
        <f>_xlfn.CONCAT(WEEKNUM(CompilDonnées[[#This Row],[PlantationDate]]), " ", YEAR(CompilDonnées[[#This Row],[PlantationDate]]))</f>
        <v>9 2025</v>
      </c>
      <c r="L1501" t="str">
        <f>CONCATENATE(MONTH(CompilDonnées[[#This Row],[PlantationDate]])," ", YEAR(CompilDonnées[[#This Row],[PlantationDate]]))</f>
        <v>2 2025</v>
      </c>
      <c r="M1501" t="str">
        <f>CONCATENATE(MONTH(CompilDonnées[[#This Row],[HarvestingDate]])," ", YEAR(CompilDonnées[[#This Row],[HarvestingDate]]))</f>
        <v>4 2025</v>
      </c>
      <c r="N1501">
        <f>_xlfn.NUMBERVALUE(CompilDonnées[[#This Row],[FarmID]]&amp;CompilDonnées[[#This Row],[ModuleNumber]]&amp;CompilDonnées[[#This Row],[PlantationDate]])</f>
        <v>11145713</v>
      </c>
      <c r="O1501" t="str">
        <f>CompilDonnées[[#This Row],[FarmID]]&amp;CompilDonnées[[#This Row],[ModuleNumber]]</f>
        <v>111</v>
      </c>
      <c r="P1501" t="str">
        <f>CompilDonnées[[#This Row],[Ref_Module]]&amp;CompilDonnées[[#This Row],[HarvestingDate]]</f>
        <v>11145754</v>
      </c>
    </row>
    <row r="1502" spans="1:16">
      <c r="A1502" s="5">
        <v>45713</v>
      </c>
      <c r="B1502">
        <v>7</v>
      </c>
      <c r="C1502" t="s">
        <v>50</v>
      </c>
      <c r="D1502">
        <v>2</v>
      </c>
      <c r="E1502">
        <v>100</v>
      </c>
      <c r="F1502" t="s">
        <v>1</v>
      </c>
      <c r="G1502" s="6">
        <v>45754</v>
      </c>
      <c r="H1502">
        <v>41</v>
      </c>
      <c r="I1502">
        <f>ROUND(CompilDonnées[[#This Row],[CultureDuration_days]]/7,0)</f>
        <v>6</v>
      </c>
      <c r="J1502">
        <v>3845</v>
      </c>
      <c r="K1502" t="str">
        <f>_xlfn.CONCAT(WEEKNUM(CompilDonnées[[#This Row],[PlantationDate]]), " ", YEAR(CompilDonnées[[#This Row],[PlantationDate]]))</f>
        <v>9 2025</v>
      </c>
      <c r="L1502" t="str">
        <f>CONCATENATE(MONTH(CompilDonnées[[#This Row],[PlantationDate]])," ", YEAR(CompilDonnées[[#This Row],[PlantationDate]]))</f>
        <v>2 2025</v>
      </c>
      <c r="M1502" t="str">
        <f>CONCATENATE(MONTH(CompilDonnées[[#This Row],[HarvestingDate]])," ", YEAR(CompilDonnées[[#This Row],[HarvestingDate]]))</f>
        <v>4 2025</v>
      </c>
      <c r="N1502">
        <f>_xlfn.NUMBERVALUE(CompilDonnées[[#This Row],[FarmID]]&amp;CompilDonnées[[#This Row],[ModuleNumber]]&amp;CompilDonnées[[#This Row],[PlantationDate]])</f>
        <v>7245713</v>
      </c>
      <c r="O1502" t="str">
        <f>CompilDonnées[[#This Row],[FarmID]]&amp;CompilDonnées[[#This Row],[ModuleNumber]]</f>
        <v>72</v>
      </c>
      <c r="P1502" t="str">
        <f>CompilDonnées[[#This Row],[Ref_Module]]&amp;CompilDonnées[[#This Row],[HarvestingDate]]</f>
        <v>7245754</v>
      </c>
    </row>
    <row r="1503" spans="1:16">
      <c r="A1503" s="5">
        <v>45713</v>
      </c>
      <c r="B1503">
        <v>138</v>
      </c>
      <c r="C1503" t="s">
        <v>8</v>
      </c>
      <c r="D1503">
        <v>3</v>
      </c>
      <c r="E1503">
        <v>100</v>
      </c>
      <c r="F1503" t="s">
        <v>1</v>
      </c>
      <c r="G1503" s="6">
        <v>45747</v>
      </c>
      <c r="H1503">
        <v>34</v>
      </c>
      <c r="I1503">
        <f>ROUND(CompilDonnées[[#This Row],[CultureDuration_days]]/7,0)</f>
        <v>5</v>
      </c>
      <c r="J1503">
        <v>3202</v>
      </c>
      <c r="K1503" t="str">
        <f>_xlfn.CONCAT(WEEKNUM(CompilDonnées[[#This Row],[PlantationDate]]), " ", YEAR(CompilDonnées[[#This Row],[PlantationDate]]))</f>
        <v>9 2025</v>
      </c>
      <c r="L1503" t="str">
        <f>CONCATENATE(MONTH(CompilDonnées[[#This Row],[PlantationDate]])," ", YEAR(CompilDonnées[[#This Row],[PlantationDate]]))</f>
        <v>2 2025</v>
      </c>
      <c r="M1503" t="str">
        <f>CONCATENATE(MONTH(CompilDonnées[[#This Row],[HarvestingDate]])," ", YEAR(CompilDonnées[[#This Row],[HarvestingDate]]))</f>
        <v>3 2025</v>
      </c>
      <c r="N1503">
        <f>_xlfn.NUMBERVALUE(CompilDonnées[[#This Row],[FarmID]]&amp;CompilDonnées[[#This Row],[ModuleNumber]]&amp;CompilDonnées[[#This Row],[PlantationDate]])</f>
        <v>138345713</v>
      </c>
      <c r="O1503" t="str">
        <f>CompilDonnées[[#This Row],[FarmID]]&amp;CompilDonnées[[#This Row],[ModuleNumber]]</f>
        <v>1383</v>
      </c>
      <c r="P1503" t="str">
        <f>CompilDonnées[[#This Row],[Ref_Module]]&amp;CompilDonnées[[#This Row],[HarvestingDate]]</f>
        <v>138345747</v>
      </c>
    </row>
    <row r="1504" spans="1:16">
      <c r="A1504" s="5">
        <v>45713</v>
      </c>
      <c r="B1504">
        <v>132</v>
      </c>
      <c r="C1504" t="s">
        <v>120</v>
      </c>
      <c r="D1504">
        <v>6</v>
      </c>
      <c r="E1504">
        <v>100</v>
      </c>
      <c r="F1504" t="s">
        <v>1</v>
      </c>
      <c r="G1504" s="6">
        <v>45761</v>
      </c>
      <c r="H1504">
        <v>48</v>
      </c>
      <c r="I1504">
        <f>ROUND(CompilDonnées[[#This Row],[CultureDuration_days]]/7,0)</f>
        <v>7</v>
      </c>
      <c r="J1504">
        <v>3261</v>
      </c>
      <c r="K1504" t="str">
        <f>_xlfn.CONCAT(WEEKNUM(CompilDonnées[[#This Row],[PlantationDate]]), " ", YEAR(CompilDonnées[[#This Row],[PlantationDate]]))</f>
        <v>9 2025</v>
      </c>
      <c r="L1504" t="str">
        <f>CONCATENATE(MONTH(CompilDonnées[[#This Row],[PlantationDate]])," ", YEAR(CompilDonnées[[#This Row],[PlantationDate]]))</f>
        <v>2 2025</v>
      </c>
      <c r="M1504" t="str">
        <f>CONCATENATE(MONTH(CompilDonnées[[#This Row],[HarvestingDate]])," ", YEAR(CompilDonnées[[#This Row],[HarvestingDate]]))</f>
        <v>4 2025</v>
      </c>
      <c r="N1504">
        <f>_xlfn.NUMBERVALUE(CompilDonnées[[#This Row],[FarmID]]&amp;CompilDonnées[[#This Row],[ModuleNumber]]&amp;CompilDonnées[[#This Row],[PlantationDate]])</f>
        <v>132645713</v>
      </c>
      <c r="O1504" t="str">
        <f>CompilDonnées[[#This Row],[FarmID]]&amp;CompilDonnées[[#This Row],[ModuleNumber]]</f>
        <v>1326</v>
      </c>
      <c r="P1504" t="str">
        <f>CompilDonnées[[#This Row],[Ref_Module]]&amp;CompilDonnées[[#This Row],[HarvestingDate]]</f>
        <v>132645761</v>
      </c>
    </row>
    <row r="1505" spans="1:16">
      <c r="A1505" s="5">
        <v>45713</v>
      </c>
      <c r="B1505">
        <v>126</v>
      </c>
      <c r="C1505" t="s">
        <v>52</v>
      </c>
      <c r="D1505">
        <v>2</v>
      </c>
      <c r="E1505">
        <v>100</v>
      </c>
      <c r="F1505" t="s">
        <v>1</v>
      </c>
      <c r="G1505" s="6">
        <v>45757</v>
      </c>
      <c r="H1505">
        <v>44</v>
      </c>
      <c r="I1505">
        <f>ROUND(CompilDonnées[[#This Row],[CultureDuration_days]]/7,0)</f>
        <v>6</v>
      </c>
      <c r="J1505">
        <v>3302</v>
      </c>
      <c r="K1505" t="str">
        <f>_xlfn.CONCAT(WEEKNUM(CompilDonnées[[#This Row],[PlantationDate]]), " ", YEAR(CompilDonnées[[#This Row],[PlantationDate]]))</f>
        <v>9 2025</v>
      </c>
      <c r="L1505" t="str">
        <f>CONCATENATE(MONTH(CompilDonnées[[#This Row],[PlantationDate]])," ", YEAR(CompilDonnées[[#This Row],[PlantationDate]]))</f>
        <v>2 2025</v>
      </c>
      <c r="M1505" t="str">
        <f>CONCATENATE(MONTH(CompilDonnées[[#This Row],[HarvestingDate]])," ", YEAR(CompilDonnées[[#This Row],[HarvestingDate]]))</f>
        <v>4 2025</v>
      </c>
      <c r="N1505">
        <f>_xlfn.NUMBERVALUE(CompilDonnées[[#This Row],[FarmID]]&amp;CompilDonnées[[#This Row],[ModuleNumber]]&amp;CompilDonnées[[#This Row],[PlantationDate]])</f>
        <v>126245713</v>
      </c>
      <c r="O1505" t="str">
        <f>CompilDonnées[[#This Row],[FarmID]]&amp;CompilDonnées[[#This Row],[ModuleNumber]]</f>
        <v>1262</v>
      </c>
      <c r="P1505" t="str">
        <f>CompilDonnées[[#This Row],[Ref_Module]]&amp;CompilDonnées[[#This Row],[HarvestingDate]]</f>
        <v>126245757</v>
      </c>
    </row>
    <row r="1506" spans="1:16">
      <c r="A1506" s="5">
        <v>45713</v>
      </c>
      <c r="B1506">
        <v>125</v>
      </c>
      <c r="C1506" t="s">
        <v>101</v>
      </c>
      <c r="D1506">
        <v>3</v>
      </c>
      <c r="E1506">
        <v>100</v>
      </c>
      <c r="F1506" t="s">
        <v>1</v>
      </c>
      <c r="G1506" s="6">
        <v>45761</v>
      </c>
      <c r="H1506">
        <v>48</v>
      </c>
      <c r="I1506">
        <f>ROUND(CompilDonnées[[#This Row],[CultureDuration_days]]/7,0)</f>
        <v>7</v>
      </c>
      <c r="J1506">
        <v>3025</v>
      </c>
      <c r="K1506" t="str">
        <f>_xlfn.CONCAT(WEEKNUM(CompilDonnées[[#This Row],[PlantationDate]]), " ", YEAR(CompilDonnées[[#This Row],[PlantationDate]]))</f>
        <v>9 2025</v>
      </c>
      <c r="L1506" t="str">
        <f>CONCATENATE(MONTH(CompilDonnées[[#This Row],[PlantationDate]])," ", YEAR(CompilDonnées[[#This Row],[PlantationDate]]))</f>
        <v>2 2025</v>
      </c>
      <c r="M1506" t="str">
        <f>CONCATENATE(MONTH(CompilDonnées[[#This Row],[HarvestingDate]])," ", YEAR(CompilDonnées[[#This Row],[HarvestingDate]]))</f>
        <v>4 2025</v>
      </c>
      <c r="N1506">
        <f>_xlfn.NUMBERVALUE(CompilDonnées[[#This Row],[FarmID]]&amp;CompilDonnées[[#This Row],[ModuleNumber]]&amp;CompilDonnées[[#This Row],[PlantationDate]])</f>
        <v>125345713</v>
      </c>
      <c r="O1506" t="str">
        <f>CompilDonnées[[#This Row],[FarmID]]&amp;CompilDonnées[[#This Row],[ModuleNumber]]</f>
        <v>1253</v>
      </c>
      <c r="P1506" t="str">
        <f>CompilDonnées[[#This Row],[Ref_Module]]&amp;CompilDonnées[[#This Row],[HarvestingDate]]</f>
        <v>125345761</v>
      </c>
    </row>
    <row r="1507" spans="1:16">
      <c r="A1507" s="5">
        <v>45713</v>
      </c>
      <c r="B1507">
        <v>18</v>
      </c>
      <c r="C1507" t="s">
        <v>33</v>
      </c>
      <c r="D1507">
        <v>2</v>
      </c>
      <c r="E1507">
        <v>100</v>
      </c>
      <c r="F1507" t="s">
        <v>1</v>
      </c>
      <c r="G1507" s="6">
        <v>45749</v>
      </c>
      <c r="H1507">
        <v>36</v>
      </c>
      <c r="I1507">
        <f>ROUND(CompilDonnées[[#This Row],[CultureDuration_days]]/7,0)</f>
        <v>5</v>
      </c>
      <c r="J1507">
        <v>3483</v>
      </c>
      <c r="K1507" t="str">
        <f>_xlfn.CONCAT(WEEKNUM(CompilDonnées[[#This Row],[PlantationDate]]), " ", YEAR(CompilDonnées[[#This Row],[PlantationDate]]))</f>
        <v>9 2025</v>
      </c>
      <c r="L1507" t="str">
        <f>CONCATENATE(MONTH(CompilDonnées[[#This Row],[PlantationDate]])," ", YEAR(CompilDonnées[[#This Row],[PlantationDate]]))</f>
        <v>2 2025</v>
      </c>
      <c r="M1507" t="str">
        <f>CONCATENATE(MONTH(CompilDonnées[[#This Row],[HarvestingDate]])," ", YEAR(CompilDonnées[[#This Row],[HarvestingDate]]))</f>
        <v>4 2025</v>
      </c>
      <c r="N1507">
        <f>_xlfn.NUMBERVALUE(CompilDonnées[[#This Row],[FarmID]]&amp;CompilDonnées[[#This Row],[ModuleNumber]]&amp;CompilDonnées[[#This Row],[PlantationDate]])</f>
        <v>18245713</v>
      </c>
      <c r="O1507" t="str">
        <f>CompilDonnées[[#This Row],[FarmID]]&amp;CompilDonnées[[#This Row],[ModuleNumber]]</f>
        <v>182</v>
      </c>
      <c r="P1507" t="str">
        <f>CompilDonnées[[#This Row],[Ref_Module]]&amp;CompilDonnées[[#This Row],[HarvestingDate]]</f>
        <v>18245749</v>
      </c>
    </row>
    <row r="1508" spans="1:16">
      <c r="A1508" s="5">
        <v>45713</v>
      </c>
      <c r="B1508">
        <v>18</v>
      </c>
      <c r="C1508" t="s">
        <v>33</v>
      </c>
      <c r="D1508">
        <v>3</v>
      </c>
      <c r="E1508">
        <v>100</v>
      </c>
      <c r="F1508" t="s">
        <v>1</v>
      </c>
      <c r="G1508" s="6">
        <v>45754</v>
      </c>
      <c r="H1508">
        <v>41</v>
      </c>
      <c r="I1508">
        <f>ROUND(CompilDonnées[[#This Row],[CultureDuration_days]]/7,0)</f>
        <v>6</v>
      </c>
      <c r="J1508">
        <v>4186</v>
      </c>
      <c r="K1508" t="str">
        <f>_xlfn.CONCAT(WEEKNUM(CompilDonnées[[#This Row],[PlantationDate]]), " ", YEAR(CompilDonnées[[#This Row],[PlantationDate]]))</f>
        <v>9 2025</v>
      </c>
      <c r="L1508" t="str">
        <f>CONCATENATE(MONTH(CompilDonnées[[#This Row],[PlantationDate]])," ", YEAR(CompilDonnées[[#This Row],[PlantationDate]]))</f>
        <v>2 2025</v>
      </c>
      <c r="M1508" t="str">
        <f>CONCATENATE(MONTH(CompilDonnées[[#This Row],[HarvestingDate]])," ", YEAR(CompilDonnées[[#This Row],[HarvestingDate]]))</f>
        <v>4 2025</v>
      </c>
      <c r="N1508">
        <f>_xlfn.NUMBERVALUE(CompilDonnées[[#This Row],[FarmID]]&amp;CompilDonnées[[#This Row],[ModuleNumber]]&amp;CompilDonnées[[#This Row],[PlantationDate]])</f>
        <v>18345713</v>
      </c>
      <c r="O1508" t="str">
        <f>CompilDonnées[[#This Row],[FarmID]]&amp;CompilDonnées[[#This Row],[ModuleNumber]]</f>
        <v>183</v>
      </c>
      <c r="P1508" t="str">
        <f>CompilDonnées[[#This Row],[Ref_Module]]&amp;CompilDonnées[[#This Row],[HarvestingDate]]</f>
        <v>18345754</v>
      </c>
    </row>
    <row r="1509" spans="1:16">
      <c r="A1509" s="5">
        <v>45713</v>
      </c>
      <c r="B1509">
        <v>24</v>
      </c>
      <c r="C1509" t="s">
        <v>31</v>
      </c>
      <c r="D1509">
        <v>5</v>
      </c>
      <c r="E1509">
        <v>100</v>
      </c>
      <c r="F1509" t="s">
        <v>1</v>
      </c>
      <c r="G1509" s="6">
        <v>45749</v>
      </c>
      <c r="H1509">
        <v>36</v>
      </c>
      <c r="I1509">
        <f>ROUND(CompilDonnées[[#This Row],[CultureDuration_days]]/7,0)</f>
        <v>5</v>
      </c>
      <c r="J1509">
        <v>3937</v>
      </c>
      <c r="K1509" t="str">
        <f>_xlfn.CONCAT(WEEKNUM(CompilDonnées[[#This Row],[PlantationDate]]), " ", YEAR(CompilDonnées[[#This Row],[PlantationDate]]))</f>
        <v>9 2025</v>
      </c>
      <c r="L1509" t="str">
        <f>CONCATENATE(MONTH(CompilDonnées[[#This Row],[PlantationDate]])," ", YEAR(CompilDonnées[[#This Row],[PlantationDate]]))</f>
        <v>2 2025</v>
      </c>
      <c r="M1509" t="str">
        <f>CONCATENATE(MONTH(CompilDonnées[[#This Row],[HarvestingDate]])," ", YEAR(CompilDonnées[[#This Row],[HarvestingDate]]))</f>
        <v>4 2025</v>
      </c>
      <c r="N1509">
        <f>_xlfn.NUMBERVALUE(CompilDonnées[[#This Row],[FarmID]]&amp;CompilDonnées[[#This Row],[ModuleNumber]]&amp;CompilDonnées[[#This Row],[PlantationDate]])</f>
        <v>24545713</v>
      </c>
      <c r="O1509" t="str">
        <f>CompilDonnées[[#This Row],[FarmID]]&amp;CompilDonnées[[#This Row],[ModuleNumber]]</f>
        <v>245</v>
      </c>
      <c r="P1509" t="str">
        <f>CompilDonnées[[#This Row],[Ref_Module]]&amp;CompilDonnées[[#This Row],[HarvestingDate]]</f>
        <v>24545749</v>
      </c>
    </row>
    <row r="1510" spans="1:16">
      <c r="A1510" s="5">
        <v>45713</v>
      </c>
      <c r="B1510">
        <v>24</v>
      </c>
      <c r="C1510" t="s">
        <v>31</v>
      </c>
      <c r="D1510">
        <v>6</v>
      </c>
      <c r="E1510">
        <v>100</v>
      </c>
      <c r="F1510" t="s">
        <v>1</v>
      </c>
      <c r="G1510" s="6">
        <v>45749</v>
      </c>
      <c r="H1510">
        <v>36</v>
      </c>
      <c r="I1510">
        <f>ROUND(CompilDonnées[[#This Row],[CultureDuration_days]]/7,0)</f>
        <v>5</v>
      </c>
      <c r="J1510">
        <v>3905</v>
      </c>
      <c r="K1510" t="str">
        <f>_xlfn.CONCAT(WEEKNUM(CompilDonnées[[#This Row],[PlantationDate]]), " ", YEAR(CompilDonnées[[#This Row],[PlantationDate]]))</f>
        <v>9 2025</v>
      </c>
      <c r="L1510" t="str">
        <f>CONCATENATE(MONTH(CompilDonnées[[#This Row],[PlantationDate]])," ", YEAR(CompilDonnées[[#This Row],[PlantationDate]]))</f>
        <v>2 2025</v>
      </c>
      <c r="M1510" t="str">
        <f>CONCATENATE(MONTH(CompilDonnées[[#This Row],[HarvestingDate]])," ", YEAR(CompilDonnées[[#This Row],[HarvestingDate]]))</f>
        <v>4 2025</v>
      </c>
      <c r="N1510">
        <f>_xlfn.NUMBERVALUE(CompilDonnées[[#This Row],[FarmID]]&amp;CompilDonnées[[#This Row],[ModuleNumber]]&amp;CompilDonnées[[#This Row],[PlantationDate]])</f>
        <v>24645713</v>
      </c>
      <c r="O1510" t="str">
        <f>CompilDonnées[[#This Row],[FarmID]]&amp;CompilDonnées[[#This Row],[ModuleNumber]]</f>
        <v>246</v>
      </c>
      <c r="P1510" t="str">
        <f>CompilDonnées[[#This Row],[Ref_Module]]&amp;CompilDonnées[[#This Row],[HarvestingDate]]</f>
        <v>24645749</v>
      </c>
    </row>
    <row r="1511" spans="1:16">
      <c r="A1511" s="5">
        <v>45713</v>
      </c>
      <c r="B1511">
        <v>35</v>
      </c>
      <c r="C1511" t="s">
        <v>69</v>
      </c>
      <c r="D1511">
        <v>3</v>
      </c>
      <c r="E1511">
        <v>100</v>
      </c>
      <c r="F1511" t="s">
        <v>1</v>
      </c>
      <c r="G1511" s="6">
        <v>45748</v>
      </c>
      <c r="H1511">
        <v>35</v>
      </c>
      <c r="I1511">
        <f>ROUND(CompilDonnées[[#This Row],[CultureDuration_days]]/7,0)</f>
        <v>5</v>
      </c>
      <c r="J1511">
        <v>3802</v>
      </c>
      <c r="K1511" t="str">
        <f>_xlfn.CONCAT(WEEKNUM(CompilDonnées[[#This Row],[PlantationDate]]), " ", YEAR(CompilDonnées[[#This Row],[PlantationDate]]))</f>
        <v>9 2025</v>
      </c>
      <c r="L1511" t="str">
        <f>CONCATENATE(MONTH(CompilDonnées[[#This Row],[PlantationDate]])," ", YEAR(CompilDonnées[[#This Row],[PlantationDate]]))</f>
        <v>2 2025</v>
      </c>
      <c r="M1511" t="str">
        <f>CONCATENATE(MONTH(CompilDonnées[[#This Row],[HarvestingDate]])," ", YEAR(CompilDonnées[[#This Row],[HarvestingDate]]))</f>
        <v>4 2025</v>
      </c>
      <c r="N1511">
        <f>_xlfn.NUMBERVALUE(CompilDonnées[[#This Row],[FarmID]]&amp;CompilDonnées[[#This Row],[ModuleNumber]]&amp;CompilDonnées[[#This Row],[PlantationDate]])</f>
        <v>35345713</v>
      </c>
      <c r="O1511" t="str">
        <f>CompilDonnées[[#This Row],[FarmID]]&amp;CompilDonnées[[#This Row],[ModuleNumber]]</f>
        <v>353</v>
      </c>
      <c r="P1511" t="str">
        <f>CompilDonnées[[#This Row],[Ref_Module]]&amp;CompilDonnées[[#This Row],[HarvestingDate]]</f>
        <v>35345748</v>
      </c>
    </row>
    <row r="1512" spans="1:16">
      <c r="A1512" s="5">
        <v>45713</v>
      </c>
      <c r="B1512">
        <v>36</v>
      </c>
      <c r="C1512" t="s">
        <v>63</v>
      </c>
      <c r="D1512">
        <v>3</v>
      </c>
      <c r="E1512">
        <v>100</v>
      </c>
      <c r="F1512" t="s">
        <v>1</v>
      </c>
      <c r="G1512" s="6">
        <v>45755</v>
      </c>
      <c r="H1512">
        <v>42</v>
      </c>
      <c r="I1512">
        <f>ROUND(CompilDonnées[[#This Row],[CultureDuration_days]]/7,0)</f>
        <v>6</v>
      </c>
      <c r="J1512">
        <v>4122</v>
      </c>
      <c r="K1512" t="str">
        <f>_xlfn.CONCAT(WEEKNUM(CompilDonnées[[#This Row],[PlantationDate]]), " ", YEAR(CompilDonnées[[#This Row],[PlantationDate]]))</f>
        <v>9 2025</v>
      </c>
      <c r="L1512" t="str">
        <f>CONCATENATE(MONTH(CompilDonnées[[#This Row],[PlantationDate]])," ", YEAR(CompilDonnées[[#This Row],[PlantationDate]]))</f>
        <v>2 2025</v>
      </c>
      <c r="M1512" t="str">
        <f>CONCATENATE(MONTH(CompilDonnées[[#This Row],[HarvestingDate]])," ", YEAR(CompilDonnées[[#This Row],[HarvestingDate]]))</f>
        <v>4 2025</v>
      </c>
      <c r="N1512">
        <f>_xlfn.NUMBERVALUE(CompilDonnées[[#This Row],[FarmID]]&amp;CompilDonnées[[#This Row],[ModuleNumber]]&amp;CompilDonnées[[#This Row],[PlantationDate]])</f>
        <v>36345713</v>
      </c>
      <c r="O1512" t="str">
        <f>CompilDonnées[[#This Row],[FarmID]]&amp;CompilDonnées[[#This Row],[ModuleNumber]]</f>
        <v>363</v>
      </c>
      <c r="P1512" t="str">
        <f>CompilDonnées[[#This Row],[Ref_Module]]&amp;CompilDonnées[[#This Row],[HarvestingDate]]</f>
        <v>36345755</v>
      </c>
    </row>
    <row r="1513" spans="1:16">
      <c r="A1513" s="5">
        <v>45713</v>
      </c>
      <c r="B1513">
        <v>23</v>
      </c>
      <c r="C1513" t="s">
        <v>44</v>
      </c>
      <c r="D1513">
        <v>6</v>
      </c>
      <c r="E1513">
        <v>100</v>
      </c>
      <c r="F1513" t="s">
        <v>1</v>
      </c>
      <c r="G1513" s="6">
        <v>45749</v>
      </c>
      <c r="H1513">
        <v>36</v>
      </c>
      <c r="I1513">
        <f>ROUND(CompilDonnées[[#This Row],[CultureDuration_days]]/7,0)</f>
        <v>5</v>
      </c>
      <c r="J1513">
        <v>3679</v>
      </c>
      <c r="K1513" t="str">
        <f>_xlfn.CONCAT(WEEKNUM(CompilDonnées[[#This Row],[PlantationDate]]), " ", YEAR(CompilDonnées[[#This Row],[PlantationDate]]))</f>
        <v>9 2025</v>
      </c>
      <c r="L1513" t="str">
        <f>CONCATENATE(MONTH(CompilDonnées[[#This Row],[PlantationDate]])," ", YEAR(CompilDonnées[[#This Row],[PlantationDate]]))</f>
        <v>2 2025</v>
      </c>
      <c r="M1513" t="str">
        <f>CONCATENATE(MONTH(CompilDonnées[[#This Row],[HarvestingDate]])," ", YEAR(CompilDonnées[[#This Row],[HarvestingDate]]))</f>
        <v>4 2025</v>
      </c>
      <c r="N1513">
        <f>_xlfn.NUMBERVALUE(CompilDonnées[[#This Row],[FarmID]]&amp;CompilDonnées[[#This Row],[ModuleNumber]]&amp;CompilDonnées[[#This Row],[PlantationDate]])</f>
        <v>23645713</v>
      </c>
      <c r="O1513" t="str">
        <f>CompilDonnées[[#This Row],[FarmID]]&amp;CompilDonnées[[#This Row],[ModuleNumber]]</f>
        <v>236</v>
      </c>
      <c r="P1513" t="str">
        <f>CompilDonnées[[#This Row],[Ref_Module]]&amp;CompilDonnées[[#This Row],[HarvestingDate]]</f>
        <v>23645749</v>
      </c>
    </row>
    <row r="1514" spans="1:16">
      <c r="A1514" s="5">
        <v>45713</v>
      </c>
      <c r="B1514">
        <v>4</v>
      </c>
      <c r="C1514" t="s">
        <v>74</v>
      </c>
      <c r="D1514">
        <v>4</v>
      </c>
      <c r="E1514">
        <v>100</v>
      </c>
      <c r="F1514" t="s">
        <v>1</v>
      </c>
      <c r="G1514" s="6">
        <v>45740</v>
      </c>
      <c r="H1514">
        <v>27</v>
      </c>
      <c r="I1514">
        <f>ROUND(CompilDonnées[[#This Row],[CultureDuration_days]]/7,0)</f>
        <v>4</v>
      </c>
      <c r="J1514">
        <v>2573</v>
      </c>
      <c r="K1514" t="str">
        <f>_xlfn.CONCAT(WEEKNUM(CompilDonnées[[#This Row],[PlantationDate]]), " ", YEAR(CompilDonnées[[#This Row],[PlantationDate]]))</f>
        <v>9 2025</v>
      </c>
      <c r="L1514" t="str">
        <f>CONCATENATE(MONTH(CompilDonnées[[#This Row],[PlantationDate]])," ", YEAR(CompilDonnées[[#This Row],[PlantationDate]]))</f>
        <v>2 2025</v>
      </c>
      <c r="M1514" t="str">
        <f>CONCATENATE(MONTH(CompilDonnées[[#This Row],[HarvestingDate]])," ", YEAR(CompilDonnées[[#This Row],[HarvestingDate]]))</f>
        <v>3 2025</v>
      </c>
      <c r="N1514">
        <f>_xlfn.NUMBERVALUE(CompilDonnées[[#This Row],[FarmID]]&amp;CompilDonnées[[#This Row],[ModuleNumber]]&amp;CompilDonnées[[#This Row],[PlantationDate]])</f>
        <v>4445713</v>
      </c>
      <c r="O1514" t="str">
        <f>CompilDonnées[[#This Row],[FarmID]]&amp;CompilDonnées[[#This Row],[ModuleNumber]]</f>
        <v>44</v>
      </c>
      <c r="P1514" t="str">
        <f>CompilDonnées[[#This Row],[Ref_Module]]&amp;CompilDonnées[[#This Row],[HarvestingDate]]</f>
        <v>4445740</v>
      </c>
    </row>
    <row r="1515" spans="1:16">
      <c r="A1515" s="5">
        <v>45713</v>
      </c>
      <c r="B1515">
        <v>5</v>
      </c>
      <c r="C1515" t="s">
        <v>32</v>
      </c>
      <c r="D1515">
        <v>2</v>
      </c>
      <c r="E1515">
        <v>100</v>
      </c>
      <c r="F1515" t="s">
        <v>1</v>
      </c>
      <c r="G1515" s="6">
        <v>45754</v>
      </c>
      <c r="H1515">
        <v>41</v>
      </c>
      <c r="I1515">
        <f>ROUND(CompilDonnées[[#This Row],[CultureDuration_days]]/7,0)</f>
        <v>6</v>
      </c>
      <c r="J1515">
        <v>3953</v>
      </c>
      <c r="K1515" t="str">
        <f>_xlfn.CONCAT(WEEKNUM(CompilDonnées[[#This Row],[PlantationDate]]), " ", YEAR(CompilDonnées[[#This Row],[PlantationDate]]))</f>
        <v>9 2025</v>
      </c>
      <c r="L1515" t="str">
        <f>CONCATENATE(MONTH(CompilDonnées[[#This Row],[PlantationDate]])," ", YEAR(CompilDonnées[[#This Row],[PlantationDate]]))</f>
        <v>2 2025</v>
      </c>
      <c r="M1515" t="str">
        <f>CONCATENATE(MONTH(CompilDonnées[[#This Row],[HarvestingDate]])," ", YEAR(CompilDonnées[[#This Row],[HarvestingDate]]))</f>
        <v>4 2025</v>
      </c>
      <c r="N1515">
        <f>_xlfn.NUMBERVALUE(CompilDonnées[[#This Row],[FarmID]]&amp;CompilDonnées[[#This Row],[ModuleNumber]]&amp;CompilDonnées[[#This Row],[PlantationDate]])</f>
        <v>5245713</v>
      </c>
      <c r="O1515" t="str">
        <f>CompilDonnées[[#This Row],[FarmID]]&amp;CompilDonnées[[#This Row],[ModuleNumber]]</f>
        <v>52</v>
      </c>
      <c r="P1515" t="str">
        <f>CompilDonnées[[#This Row],[Ref_Module]]&amp;CompilDonnées[[#This Row],[HarvestingDate]]</f>
        <v>5245754</v>
      </c>
    </row>
    <row r="1516" spans="1:16">
      <c r="A1516" s="5">
        <v>45713</v>
      </c>
      <c r="B1516">
        <v>16</v>
      </c>
      <c r="C1516" t="s">
        <v>112</v>
      </c>
      <c r="D1516">
        <v>5</v>
      </c>
      <c r="E1516">
        <v>100</v>
      </c>
      <c r="F1516" t="s">
        <v>1</v>
      </c>
      <c r="G1516" s="6">
        <v>45754</v>
      </c>
      <c r="H1516">
        <v>41</v>
      </c>
      <c r="I1516">
        <f>ROUND(CompilDonnées[[#This Row],[CultureDuration_days]]/7,0)</f>
        <v>6</v>
      </c>
      <c r="J1516">
        <v>3856</v>
      </c>
      <c r="K1516" t="str">
        <f>_xlfn.CONCAT(WEEKNUM(CompilDonnées[[#This Row],[PlantationDate]]), " ", YEAR(CompilDonnées[[#This Row],[PlantationDate]]))</f>
        <v>9 2025</v>
      </c>
      <c r="L1516" t="str">
        <f>CONCATENATE(MONTH(CompilDonnées[[#This Row],[PlantationDate]])," ", YEAR(CompilDonnées[[#This Row],[PlantationDate]]))</f>
        <v>2 2025</v>
      </c>
      <c r="M1516" t="str">
        <f>CONCATENATE(MONTH(CompilDonnées[[#This Row],[HarvestingDate]])," ", YEAR(CompilDonnées[[#This Row],[HarvestingDate]]))</f>
        <v>4 2025</v>
      </c>
      <c r="N1516">
        <f>_xlfn.NUMBERVALUE(CompilDonnées[[#This Row],[FarmID]]&amp;CompilDonnées[[#This Row],[ModuleNumber]]&amp;CompilDonnées[[#This Row],[PlantationDate]])</f>
        <v>16545713</v>
      </c>
      <c r="O1516" t="str">
        <f>CompilDonnées[[#This Row],[FarmID]]&amp;CompilDonnées[[#This Row],[ModuleNumber]]</f>
        <v>165</v>
      </c>
      <c r="P1516" t="str">
        <f>CompilDonnées[[#This Row],[Ref_Module]]&amp;CompilDonnées[[#This Row],[HarvestingDate]]</f>
        <v>16545754</v>
      </c>
    </row>
    <row r="1517" spans="1:16">
      <c r="A1517" s="5">
        <v>45713</v>
      </c>
      <c r="B1517">
        <v>17</v>
      </c>
      <c r="C1517" t="s">
        <v>80</v>
      </c>
      <c r="D1517">
        <v>3</v>
      </c>
      <c r="E1517">
        <v>100</v>
      </c>
      <c r="F1517" t="s">
        <v>1</v>
      </c>
      <c r="G1517" s="6">
        <v>45754</v>
      </c>
      <c r="H1517">
        <v>41</v>
      </c>
      <c r="I1517">
        <f>ROUND(CompilDonnées[[#This Row],[CultureDuration_days]]/7,0)</f>
        <v>6</v>
      </c>
      <c r="J1517">
        <v>3600</v>
      </c>
      <c r="K1517" t="str">
        <f>_xlfn.CONCAT(WEEKNUM(CompilDonnées[[#This Row],[PlantationDate]]), " ", YEAR(CompilDonnées[[#This Row],[PlantationDate]]))</f>
        <v>9 2025</v>
      </c>
      <c r="L1517" t="str">
        <f>CONCATENATE(MONTH(CompilDonnées[[#This Row],[PlantationDate]])," ", YEAR(CompilDonnées[[#This Row],[PlantationDate]]))</f>
        <v>2 2025</v>
      </c>
      <c r="M1517" t="str">
        <f>CONCATENATE(MONTH(CompilDonnées[[#This Row],[HarvestingDate]])," ", YEAR(CompilDonnées[[#This Row],[HarvestingDate]]))</f>
        <v>4 2025</v>
      </c>
      <c r="N1517">
        <f>_xlfn.NUMBERVALUE(CompilDonnées[[#This Row],[FarmID]]&amp;CompilDonnées[[#This Row],[ModuleNumber]]&amp;CompilDonnées[[#This Row],[PlantationDate]])</f>
        <v>17345713</v>
      </c>
      <c r="O1517" t="str">
        <f>CompilDonnées[[#This Row],[FarmID]]&amp;CompilDonnées[[#This Row],[ModuleNumber]]</f>
        <v>173</v>
      </c>
      <c r="P1517" t="str">
        <f>CompilDonnées[[#This Row],[Ref_Module]]&amp;CompilDonnées[[#This Row],[HarvestingDate]]</f>
        <v>17345754</v>
      </c>
    </row>
    <row r="1518" spans="1:16">
      <c r="A1518" s="5">
        <v>45713</v>
      </c>
      <c r="B1518">
        <v>30</v>
      </c>
      <c r="C1518" t="s">
        <v>4</v>
      </c>
      <c r="D1518">
        <v>5</v>
      </c>
      <c r="E1518">
        <v>100</v>
      </c>
      <c r="F1518" t="s">
        <v>1</v>
      </c>
      <c r="G1518" s="6">
        <v>45749</v>
      </c>
      <c r="H1518">
        <v>36</v>
      </c>
      <c r="I1518">
        <f>ROUND(CompilDonnées[[#This Row],[CultureDuration_days]]/7,0)</f>
        <v>5</v>
      </c>
      <c r="J1518">
        <v>3743</v>
      </c>
      <c r="K1518" t="str">
        <f>_xlfn.CONCAT(WEEKNUM(CompilDonnées[[#This Row],[PlantationDate]]), " ", YEAR(CompilDonnées[[#This Row],[PlantationDate]]))</f>
        <v>9 2025</v>
      </c>
      <c r="L1518" t="str">
        <f>CONCATENATE(MONTH(CompilDonnées[[#This Row],[PlantationDate]])," ", YEAR(CompilDonnées[[#This Row],[PlantationDate]]))</f>
        <v>2 2025</v>
      </c>
      <c r="M1518" t="str">
        <f>CONCATENATE(MONTH(CompilDonnées[[#This Row],[HarvestingDate]])," ", YEAR(CompilDonnées[[#This Row],[HarvestingDate]]))</f>
        <v>4 2025</v>
      </c>
      <c r="N1518">
        <f>_xlfn.NUMBERVALUE(CompilDonnées[[#This Row],[FarmID]]&amp;CompilDonnées[[#This Row],[ModuleNumber]]&amp;CompilDonnées[[#This Row],[PlantationDate]])</f>
        <v>30545713</v>
      </c>
      <c r="O1518" t="str">
        <f>CompilDonnées[[#This Row],[FarmID]]&amp;CompilDonnées[[#This Row],[ModuleNumber]]</f>
        <v>305</v>
      </c>
      <c r="P1518" t="str">
        <f>CompilDonnées[[#This Row],[Ref_Module]]&amp;CompilDonnées[[#This Row],[HarvestingDate]]</f>
        <v>30545749</v>
      </c>
    </row>
    <row r="1519" spans="1:16">
      <c r="A1519" s="5">
        <v>45713</v>
      </c>
      <c r="B1519">
        <v>31</v>
      </c>
      <c r="C1519" t="s">
        <v>62</v>
      </c>
      <c r="D1519">
        <v>2</v>
      </c>
      <c r="E1519">
        <v>100</v>
      </c>
      <c r="F1519" t="s">
        <v>1</v>
      </c>
      <c r="G1519" s="6">
        <v>45754</v>
      </c>
      <c r="H1519">
        <v>41</v>
      </c>
      <c r="I1519">
        <f>ROUND(CompilDonnées[[#This Row],[CultureDuration_days]]/7,0)</f>
        <v>6</v>
      </c>
      <c r="J1519">
        <v>3489</v>
      </c>
      <c r="K1519" t="str">
        <f>_xlfn.CONCAT(WEEKNUM(CompilDonnées[[#This Row],[PlantationDate]]), " ", YEAR(CompilDonnées[[#This Row],[PlantationDate]]))</f>
        <v>9 2025</v>
      </c>
      <c r="L1519" t="str">
        <f>CONCATENATE(MONTH(CompilDonnées[[#This Row],[PlantationDate]])," ", YEAR(CompilDonnées[[#This Row],[PlantationDate]]))</f>
        <v>2 2025</v>
      </c>
      <c r="M1519" t="str">
        <f>CONCATENATE(MONTH(CompilDonnées[[#This Row],[HarvestingDate]])," ", YEAR(CompilDonnées[[#This Row],[HarvestingDate]]))</f>
        <v>4 2025</v>
      </c>
      <c r="N1519">
        <f>_xlfn.NUMBERVALUE(CompilDonnées[[#This Row],[FarmID]]&amp;CompilDonnées[[#This Row],[ModuleNumber]]&amp;CompilDonnées[[#This Row],[PlantationDate]])</f>
        <v>31245713</v>
      </c>
      <c r="O1519" t="str">
        <f>CompilDonnées[[#This Row],[FarmID]]&amp;CompilDonnées[[#This Row],[ModuleNumber]]</f>
        <v>312</v>
      </c>
      <c r="P1519" t="str">
        <f>CompilDonnées[[#This Row],[Ref_Module]]&amp;CompilDonnées[[#This Row],[HarvestingDate]]</f>
        <v>31245754</v>
      </c>
    </row>
    <row r="1520" spans="1:16">
      <c r="A1520" s="5">
        <v>45713</v>
      </c>
      <c r="B1520">
        <v>38</v>
      </c>
      <c r="C1520" t="s">
        <v>34</v>
      </c>
      <c r="D1520">
        <v>3</v>
      </c>
      <c r="E1520">
        <v>100</v>
      </c>
      <c r="F1520" t="s">
        <v>1</v>
      </c>
      <c r="G1520" s="6">
        <v>45749</v>
      </c>
      <c r="H1520">
        <v>36</v>
      </c>
      <c r="I1520">
        <f>ROUND(CompilDonnées[[#This Row],[CultureDuration_days]]/7,0)</f>
        <v>5</v>
      </c>
      <c r="J1520">
        <v>3456</v>
      </c>
      <c r="K1520" t="str">
        <f>_xlfn.CONCAT(WEEKNUM(CompilDonnées[[#This Row],[PlantationDate]]), " ", YEAR(CompilDonnées[[#This Row],[PlantationDate]]))</f>
        <v>9 2025</v>
      </c>
      <c r="L1520" t="str">
        <f>CONCATENATE(MONTH(CompilDonnées[[#This Row],[PlantationDate]])," ", YEAR(CompilDonnées[[#This Row],[PlantationDate]]))</f>
        <v>2 2025</v>
      </c>
      <c r="M1520" t="str">
        <f>CONCATENATE(MONTH(CompilDonnées[[#This Row],[HarvestingDate]])," ", YEAR(CompilDonnées[[#This Row],[HarvestingDate]]))</f>
        <v>4 2025</v>
      </c>
      <c r="N1520">
        <f>_xlfn.NUMBERVALUE(CompilDonnées[[#This Row],[FarmID]]&amp;CompilDonnées[[#This Row],[ModuleNumber]]&amp;CompilDonnées[[#This Row],[PlantationDate]])</f>
        <v>38345713</v>
      </c>
      <c r="O1520" t="str">
        <f>CompilDonnées[[#This Row],[FarmID]]&amp;CompilDonnées[[#This Row],[ModuleNumber]]</f>
        <v>383</v>
      </c>
      <c r="P1520" t="str">
        <f>CompilDonnées[[#This Row],[Ref_Module]]&amp;CompilDonnées[[#This Row],[HarvestingDate]]</f>
        <v>38345749</v>
      </c>
    </row>
    <row r="1521" spans="1:16">
      <c r="A1521" s="5">
        <v>45713</v>
      </c>
      <c r="B1521">
        <v>6</v>
      </c>
      <c r="C1521" t="s">
        <v>24</v>
      </c>
      <c r="D1521">
        <v>1</v>
      </c>
      <c r="E1521">
        <v>100</v>
      </c>
      <c r="F1521" t="s">
        <v>1</v>
      </c>
      <c r="G1521" s="6">
        <v>45754</v>
      </c>
      <c r="H1521">
        <v>41</v>
      </c>
      <c r="I1521">
        <f>ROUND(CompilDonnées[[#This Row],[CultureDuration_days]]/7,0)</f>
        <v>6</v>
      </c>
      <c r="J1521">
        <v>3809</v>
      </c>
      <c r="K1521" t="str">
        <f>_xlfn.CONCAT(WEEKNUM(CompilDonnées[[#This Row],[PlantationDate]]), " ", YEAR(CompilDonnées[[#This Row],[PlantationDate]]))</f>
        <v>9 2025</v>
      </c>
      <c r="L1521" t="str">
        <f>CONCATENATE(MONTH(CompilDonnées[[#This Row],[PlantationDate]])," ", YEAR(CompilDonnées[[#This Row],[PlantationDate]]))</f>
        <v>2 2025</v>
      </c>
      <c r="M1521" t="str">
        <f>CONCATENATE(MONTH(CompilDonnées[[#This Row],[HarvestingDate]])," ", YEAR(CompilDonnées[[#This Row],[HarvestingDate]]))</f>
        <v>4 2025</v>
      </c>
      <c r="N1521">
        <f>_xlfn.NUMBERVALUE(CompilDonnées[[#This Row],[FarmID]]&amp;CompilDonnées[[#This Row],[ModuleNumber]]&amp;CompilDonnées[[#This Row],[PlantationDate]])</f>
        <v>6145713</v>
      </c>
      <c r="O1521" t="str">
        <f>CompilDonnées[[#This Row],[FarmID]]&amp;CompilDonnées[[#This Row],[ModuleNumber]]</f>
        <v>61</v>
      </c>
      <c r="P1521" t="str">
        <f>CompilDonnées[[#This Row],[Ref_Module]]&amp;CompilDonnées[[#This Row],[HarvestingDate]]</f>
        <v>6145754</v>
      </c>
    </row>
    <row r="1522" spans="1:16">
      <c r="A1522" s="5">
        <v>45714</v>
      </c>
      <c r="B1522">
        <v>126</v>
      </c>
      <c r="C1522" t="s">
        <v>52</v>
      </c>
      <c r="D1522">
        <v>3</v>
      </c>
      <c r="E1522">
        <v>100</v>
      </c>
      <c r="F1522" t="s">
        <v>1</v>
      </c>
      <c r="G1522" s="6">
        <v>45762</v>
      </c>
      <c r="H1522">
        <v>48</v>
      </c>
      <c r="I1522">
        <f>ROUND(CompilDonnées[[#This Row],[CultureDuration_days]]/7,0)</f>
        <v>7</v>
      </c>
      <c r="J1522">
        <v>3082</v>
      </c>
      <c r="K1522" t="str">
        <f>_xlfn.CONCAT(WEEKNUM(CompilDonnées[[#This Row],[PlantationDate]]), " ", YEAR(CompilDonnées[[#This Row],[PlantationDate]]))</f>
        <v>9 2025</v>
      </c>
      <c r="L1522" t="str">
        <f>CONCATENATE(MONTH(CompilDonnées[[#This Row],[PlantationDate]])," ", YEAR(CompilDonnées[[#This Row],[PlantationDate]]))</f>
        <v>2 2025</v>
      </c>
      <c r="M1522" t="str">
        <f>CONCATENATE(MONTH(CompilDonnées[[#This Row],[HarvestingDate]])," ", YEAR(CompilDonnées[[#This Row],[HarvestingDate]]))</f>
        <v>4 2025</v>
      </c>
      <c r="N1522">
        <f>_xlfn.NUMBERVALUE(CompilDonnées[[#This Row],[FarmID]]&amp;CompilDonnées[[#This Row],[ModuleNumber]]&amp;CompilDonnées[[#This Row],[PlantationDate]])</f>
        <v>126345714</v>
      </c>
      <c r="O1522" t="str">
        <f>CompilDonnées[[#This Row],[FarmID]]&amp;CompilDonnées[[#This Row],[ModuleNumber]]</f>
        <v>1263</v>
      </c>
      <c r="P1522" t="str">
        <f>CompilDonnées[[#This Row],[Ref_Module]]&amp;CompilDonnées[[#This Row],[HarvestingDate]]</f>
        <v>126345762</v>
      </c>
    </row>
    <row r="1523" spans="1:16">
      <c r="A1523" s="5">
        <v>45714</v>
      </c>
      <c r="B1523">
        <v>54</v>
      </c>
      <c r="C1523" t="s">
        <v>39</v>
      </c>
      <c r="D1523">
        <v>1</v>
      </c>
      <c r="E1523">
        <v>100</v>
      </c>
      <c r="F1523" t="s">
        <v>1</v>
      </c>
      <c r="G1523" s="6">
        <v>45756</v>
      </c>
      <c r="H1523">
        <v>42</v>
      </c>
      <c r="I1523">
        <f>ROUND(CompilDonnées[[#This Row],[CultureDuration_days]]/7,0)</f>
        <v>6</v>
      </c>
      <c r="J1523">
        <v>3460</v>
      </c>
      <c r="K1523" t="str">
        <f>_xlfn.CONCAT(WEEKNUM(CompilDonnées[[#This Row],[PlantationDate]]), " ", YEAR(CompilDonnées[[#This Row],[PlantationDate]]))</f>
        <v>9 2025</v>
      </c>
      <c r="L1523" t="str">
        <f>CONCATENATE(MONTH(CompilDonnées[[#This Row],[PlantationDate]])," ", YEAR(CompilDonnées[[#This Row],[PlantationDate]]))</f>
        <v>2 2025</v>
      </c>
      <c r="M1523" t="str">
        <f>CONCATENATE(MONTH(CompilDonnées[[#This Row],[HarvestingDate]])," ", YEAR(CompilDonnées[[#This Row],[HarvestingDate]]))</f>
        <v>4 2025</v>
      </c>
      <c r="N1523">
        <f>_xlfn.NUMBERVALUE(CompilDonnées[[#This Row],[FarmID]]&amp;CompilDonnées[[#This Row],[ModuleNumber]]&amp;CompilDonnées[[#This Row],[PlantationDate]])</f>
        <v>54145714</v>
      </c>
      <c r="O1523" t="str">
        <f>CompilDonnées[[#This Row],[FarmID]]&amp;CompilDonnées[[#This Row],[ModuleNumber]]</f>
        <v>541</v>
      </c>
      <c r="P1523" t="str">
        <f>CompilDonnées[[#This Row],[Ref_Module]]&amp;CompilDonnées[[#This Row],[HarvestingDate]]</f>
        <v>54145756</v>
      </c>
    </row>
    <row r="1524" spans="1:16">
      <c r="A1524" s="5">
        <v>45714</v>
      </c>
      <c r="B1524">
        <v>53</v>
      </c>
      <c r="C1524" t="s">
        <v>83</v>
      </c>
      <c r="D1524">
        <v>1</v>
      </c>
      <c r="E1524">
        <v>100</v>
      </c>
      <c r="F1524" t="s">
        <v>1</v>
      </c>
      <c r="G1524" s="6">
        <v>45755</v>
      </c>
      <c r="H1524">
        <v>41</v>
      </c>
      <c r="I1524">
        <f>ROUND(CompilDonnées[[#This Row],[CultureDuration_days]]/7,0)</f>
        <v>6</v>
      </c>
      <c r="J1524">
        <v>4178</v>
      </c>
      <c r="K1524" t="str">
        <f>_xlfn.CONCAT(WEEKNUM(CompilDonnées[[#This Row],[PlantationDate]]), " ", YEAR(CompilDonnées[[#This Row],[PlantationDate]]))</f>
        <v>9 2025</v>
      </c>
      <c r="L1524" t="str">
        <f>CONCATENATE(MONTH(CompilDonnées[[#This Row],[PlantationDate]])," ", YEAR(CompilDonnées[[#This Row],[PlantationDate]]))</f>
        <v>2 2025</v>
      </c>
      <c r="M1524" t="str">
        <f>CONCATENATE(MONTH(CompilDonnées[[#This Row],[HarvestingDate]])," ", YEAR(CompilDonnées[[#This Row],[HarvestingDate]]))</f>
        <v>4 2025</v>
      </c>
      <c r="N1524">
        <f>_xlfn.NUMBERVALUE(CompilDonnées[[#This Row],[FarmID]]&amp;CompilDonnées[[#This Row],[ModuleNumber]]&amp;CompilDonnées[[#This Row],[PlantationDate]])</f>
        <v>53145714</v>
      </c>
      <c r="O1524" t="str">
        <f>CompilDonnées[[#This Row],[FarmID]]&amp;CompilDonnées[[#This Row],[ModuleNumber]]</f>
        <v>531</v>
      </c>
      <c r="P1524" t="str">
        <f>CompilDonnées[[#This Row],[Ref_Module]]&amp;CompilDonnées[[#This Row],[HarvestingDate]]</f>
        <v>53145755</v>
      </c>
    </row>
    <row r="1525" spans="1:16">
      <c r="A1525" s="5">
        <v>45714</v>
      </c>
      <c r="B1525">
        <v>40</v>
      </c>
      <c r="C1525" t="s">
        <v>82</v>
      </c>
      <c r="D1525">
        <v>1</v>
      </c>
      <c r="E1525">
        <v>100</v>
      </c>
      <c r="F1525" t="s">
        <v>1</v>
      </c>
      <c r="G1525" s="6">
        <v>45755</v>
      </c>
      <c r="H1525">
        <v>41</v>
      </c>
      <c r="I1525">
        <f>ROUND(CompilDonnées[[#This Row],[CultureDuration_days]]/7,0)</f>
        <v>6</v>
      </c>
      <c r="J1525">
        <v>4050</v>
      </c>
      <c r="K1525" t="str">
        <f>_xlfn.CONCAT(WEEKNUM(CompilDonnées[[#This Row],[PlantationDate]]), " ", YEAR(CompilDonnées[[#This Row],[PlantationDate]]))</f>
        <v>9 2025</v>
      </c>
      <c r="L1525" t="str">
        <f>CONCATENATE(MONTH(CompilDonnées[[#This Row],[PlantationDate]])," ", YEAR(CompilDonnées[[#This Row],[PlantationDate]]))</f>
        <v>2 2025</v>
      </c>
      <c r="M1525" t="str">
        <f>CONCATENATE(MONTH(CompilDonnées[[#This Row],[HarvestingDate]])," ", YEAR(CompilDonnées[[#This Row],[HarvestingDate]]))</f>
        <v>4 2025</v>
      </c>
      <c r="N1525">
        <f>_xlfn.NUMBERVALUE(CompilDonnées[[#This Row],[FarmID]]&amp;CompilDonnées[[#This Row],[ModuleNumber]]&amp;CompilDonnées[[#This Row],[PlantationDate]])</f>
        <v>40145714</v>
      </c>
      <c r="O1525" t="str">
        <f>CompilDonnées[[#This Row],[FarmID]]&amp;CompilDonnées[[#This Row],[ModuleNumber]]</f>
        <v>401</v>
      </c>
      <c r="P1525" t="str">
        <f>CompilDonnées[[#This Row],[Ref_Module]]&amp;CompilDonnées[[#This Row],[HarvestingDate]]</f>
        <v>40145755</v>
      </c>
    </row>
    <row r="1526" spans="1:16">
      <c r="A1526" s="5">
        <v>45714</v>
      </c>
      <c r="B1526">
        <v>40</v>
      </c>
      <c r="C1526" t="s">
        <v>82</v>
      </c>
      <c r="D1526">
        <v>2</v>
      </c>
      <c r="E1526">
        <v>100</v>
      </c>
      <c r="F1526" t="s">
        <v>1</v>
      </c>
      <c r="G1526" s="6">
        <v>45755</v>
      </c>
      <c r="H1526">
        <v>41</v>
      </c>
      <c r="I1526">
        <f>ROUND(CompilDonnées[[#This Row],[CultureDuration_days]]/7,0)</f>
        <v>6</v>
      </c>
      <c r="J1526">
        <v>4152</v>
      </c>
      <c r="K1526" t="str">
        <f>_xlfn.CONCAT(WEEKNUM(CompilDonnées[[#This Row],[PlantationDate]]), " ", YEAR(CompilDonnées[[#This Row],[PlantationDate]]))</f>
        <v>9 2025</v>
      </c>
      <c r="L1526" t="str">
        <f>CONCATENATE(MONTH(CompilDonnées[[#This Row],[PlantationDate]])," ", YEAR(CompilDonnées[[#This Row],[PlantationDate]]))</f>
        <v>2 2025</v>
      </c>
      <c r="M1526" t="str">
        <f>CONCATENATE(MONTH(CompilDonnées[[#This Row],[HarvestingDate]])," ", YEAR(CompilDonnées[[#This Row],[HarvestingDate]]))</f>
        <v>4 2025</v>
      </c>
      <c r="N1526">
        <f>_xlfn.NUMBERVALUE(CompilDonnées[[#This Row],[FarmID]]&amp;CompilDonnées[[#This Row],[ModuleNumber]]&amp;CompilDonnées[[#This Row],[PlantationDate]])</f>
        <v>40245714</v>
      </c>
      <c r="O1526" t="str">
        <f>CompilDonnées[[#This Row],[FarmID]]&amp;CompilDonnées[[#This Row],[ModuleNumber]]</f>
        <v>402</v>
      </c>
      <c r="P1526" t="str">
        <f>CompilDonnées[[#This Row],[Ref_Module]]&amp;CompilDonnées[[#This Row],[HarvestingDate]]</f>
        <v>40245755</v>
      </c>
    </row>
    <row r="1527" spans="1:16">
      <c r="A1527" s="5">
        <v>45714</v>
      </c>
      <c r="B1527">
        <v>33</v>
      </c>
      <c r="C1527" t="s">
        <v>104</v>
      </c>
      <c r="D1527">
        <v>1</v>
      </c>
      <c r="E1527">
        <v>100</v>
      </c>
      <c r="F1527" t="s">
        <v>1</v>
      </c>
      <c r="G1527" s="6">
        <v>45754</v>
      </c>
      <c r="H1527">
        <v>40</v>
      </c>
      <c r="I1527">
        <f>ROUND(CompilDonnées[[#This Row],[CultureDuration_days]]/7,0)</f>
        <v>6</v>
      </c>
      <c r="J1527">
        <v>3254</v>
      </c>
      <c r="K1527" t="str">
        <f>_xlfn.CONCAT(WEEKNUM(CompilDonnées[[#This Row],[PlantationDate]]), " ", YEAR(CompilDonnées[[#This Row],[PlantationDate]]))</f>
        <v>9 2025</v>
      </c>
      <c r="L1527" t="str">
        <f>CONCATENATE(MONTH(CompilDonnées[[#This Row],[PlantationDate]])," ", YEAR(CompilDonnées[[#This Row],[PlantationDate]]))</f>
        <v>2 2025</v>
      </c>
      <c r="M1527" t="str">
        <f>CONCATENATE(MONTH(CompilDonnées[[#This Row],[HarvestingDate]])," ", YEAR(CompilDonnées[[#This Row],[HarvestingDate]]))</f>
        <v>4 2025</v>
      </c>
      <c r="N1527">
        <f>_xlfn.NUMBERVALUE(CompilDonnées[[#This Row],[FarmID]]&amp;CompilDonnées[[#This Row],[ModuleNumber]]&amp;CompilDonnées[[#This Row],[PlantationDate]])</f>
        <v>33145714</v>
      </c>
      <c r="O1527" t="str">
        <f>CompilDonnées[[#This Row],[FarmID]]&amp;CompilDonnées[[#This Row],[ModuleNumber]]</f>
        <v>331</v>
      </c>
      <c r="P1527" t="str">
        <f>CompilDonnées[[#This Row],[Ref_Module]]&amp;CompilDonnées[[#This Row],[HarvestingDate]]</f>
        <v>33145754</v>
      </c>
    </row>
    <row r="1528" spans="1:16">
      <c r="A1528" s="5">
        <v>45714</v>
      </c>
      <c r="B1528">
        <v>26</v>
      </c>
      <c r="C1528" t="s">
        <v>97</v>
      </c>
      <c r="D1528">
        <v>2</v>
      </c>
      <c r="E1528">
        <v>100</v>
      </c>
      <c r="F1528" t="s">
        <v>1</v>
      </c>
      <c r="G1528" s="6">
        <v>45754</v>
      </c>
      <c r="H1528">
        <v>40</v>
      </c>
      <c r="I1528">
        <f>ROUND(CompilDonnées[[#This Row],[CultureDuration_days]]/7,0)</f>
        <v>6</v>
      </c>
      <c r="J1528">
        <v>3652</v>
      </c>
      <c r="K1528" t="str">
        <f>_xlfn.CONCAT(WEEKNUM(CompilDonnées[[#This Row],[PlantationDate]]), " ", YEAR(CompilDonnées[[#This Row],[PlantationDate]]))</f>
        <v>9 2025</v>
      </c>
      <c r="L1528" t="str">
        <f>CONCATENATE(MONTH(CompilDonnées[[#This Row],[PlantationDate]])," ", YEAR(CompilDonnées[[#This Row],[PlantationDate]]))</f>
        <v>2 2025</v>
      </c>
      <c r="M1528" t="str">
        <f>CONCATENATE(MONTH(CompilDonnées[[#This Row],[HarvestingDate]])," ", YEAR(CompilDonnées[[#This Row],[HarvestingDate]]))</f>
        <v>4 2025</v>
      </c>
      <c r="N1528">
        <f>_xlfn.NUMBERVALUE(CompilDonnées[[#This Row],[FarmID]]&amp;CompilDonnées[[#This Row],[ModuleNumber]]&amp;CompilDonnées[[#This Row],[PlantationDate]])</f>
        <v>26245714</v>
      </c>
      <c r="O1528" t="str">
        <f>CompilDonnées[[#This Row],[FarmID]]&amp;CompilDonnées[[#This Row],[ModuleNumber]]</f>
        <v>262</v>
      </c>
      <c r="P1528" t="str">
        <f>CompilDonnées[[#This Row],[Ref_Module]]&amp;CompilDonnées[[#This Row],[HarvestingDate]]</f>
        <v>26245754</v>
      </c>
    </row>
    <row r="1529" spans="1:16">
      <c r="A1529" s="5">
        <v>45714</v>
      </c>
      <c r="B1529">
        <v>9</v>
      </c>
      <c r="C1529" t="s">
        <v>107</v>
      </c>
      <c r="D1529">
        <v>4</v>
      </c>
      <c r="E1529">
        <v>100</v>
      </c>
      <c r="F1529" t="s">
        <v>1</v>
      </c>
      <c r="G1529" s="6">
        <v>45754</v>
      </c>
      <c r="H1529">
        <v>40</v>
      </c>
      <c r="I1529">
        <f>ROUND(CompilDonnées[[#This Row],[CultureDuration_days]]/7,0)</f>
        <v>6</v>
      </c>
      <c r="J1529">
        <v>4010</v>
      </c>
      <c r="K1529" t="str">
        <f>_xlfn.CONCAT(WEEKNUM(CompilDonnées[[#This Row],[PlantationDate]]), " ", YEAR(CompilDonnées[[#This Row],[PlantationDate]]))</f>
        <v>9 2025</v>
      </c>
      <c r="L1529" t="str">
        <f>CONCATENATE(MONTH(CompilDonnées[[#This Row],[PlantationDate]])," ", YEAR(CompilDonnées[[#This Row],[PlantationDate]]))</f>
        <v>2 2025</v>
      </c>
      <c r="M1529" t="str">
        <f>CONCATENATE(MONTH(CompilDonnées[[#This Row],[HarvestingDate]])," ", YEAR(CompilDonnées[[#This Row],[HarvestingDate]]))</f>
        <v>4 2025</v>
      </c>
      <c r="N1529">
        <f>_xlfn.NUMBERVALUE(CompilDonnées[[#This Row],[FarmID]]&amp;CompilDonnées[[#This Row],[ModuleNumber]]&amp;CompilDonnées[[#This Row],[PlantationDate]])</f>
        <v>9445714</v>
      </c>
      <c r="O1529" t="str">
        <f>CompilDonnées[[#This Row],[FarmID]]&amp;CompilDonnées[[#This Row],[ModuleNumber]]</f>
        <v>94</v>
      </c>
      <c r="P1529" t="str">
        <f>CompilDonnées[[#This Row],[Ref_Module]]&amp;CompilDonnées[[#This Row],[HarvestingDate]]</f>
        <v>9445754</v>
      </c>
    </row>
    <row r="1530" spans="1:16">
      <c r="A1530" s="5">
        <v>45714</v>
      </c>
      <c r="B1530">
        <v>10</v>
      </c>
      <c r="C1530" t="s">
        <v>109</v>
      </c>
      <c r="D1530">
        <v>3</v>
      </c>
      <c r="E1530">
        <v>100</v>
      </c>
      <c r="F1530" t="s">
        <v>1</v>
      </c>
      <c r="G1530" s="6">
        <v>45754</v>
      </c>
      <c r="H1530">
        <v>40</v>
      </c>
      <c r="I1530">
        <f>ROUND(CompilDonnées[[#This Row],[CultureDuration_days]]/7,0)</f>
        <v>6</v>
      </c>
      <c r="J1530">
        <v>3265</v>
      </c>
      <c r="K1530" t="str">
        <f>_xlfn.CONCAT(WEEKNUM(CompilDonnées[[#This Row],[PlantationDate]]), " ", YEAR(CompilDonnées[[#This Row],[PlantationDate]]))</f>
        <v>9 2025</v>
      </c>
      <c r="L1530" t="str">
        <f>CONCATENATE(MONTH(CompilDonnées[[#This Row],[PlantationDate]])," ", YEAR(CompilDonnées[[#This Row],[PlantationDate]]))</f>
        <v>2 2025</v>
      </c>
      <c r="M1530" t="str">
        <f>CONCATENATE(MONTH(CompilDonnées[[#This Row],[HarvestingDate]])," ", YEAR(CompilDonnées[[#This Row],[HarvestingDate]]))</f>
        <v>4 2025</v>
      </c>
      <c r="N1530">
        <f>_xlfn.NUMBERVALUE(CompilDonnées[[#This Row],[FarmID]]&amp;CompilDonnées[[#This Row],[ModuleNumber]]&amp;CompilDonnées[[#This Row],[PlantationDate]])</f>
        <v>10345714</v>
      </c>
      <c r="O1530" t="str">
        <f>CompilDonnées[[#This Row],[FarmID]]&amp;CompilDonnées[[#This Row],[ModuleNumber]]</f>
        <v>103</v>
      </c>
      <c r="P1530" t="str">
        <f>CompilDonnées[[#This Row],[Ref_Module]]&amp;CompilDonnées[[#This Row],[HarvestingDate]]</f>
        <v>10345754</v>
      </c>
    </row>
    <row r="1531" spans="1:16">
      <c r="A1531" s="5">
        <v>45714</v>
      </c>
      <c r="B1531">
        <v>10</v>
      </c>
      <c r="C1531" t="s">
        <v>109</v>
      </c>
      <c r="D1531">
        <v>4</v>
      </c>
      <c r="E1531">
        <v>100</v>
      </c>
      <c r="F1531" t="s">
        <v>1</v>
      </c>
      <c r="G1531" s="6">
        <v>45754</v>
      </c>
      <c r="H1531">
        <v>40</v>
      </c>
      <c r="I1531">
        <f>ROUND(CompilDonnées[[#This Row],[CultureDuration_days]]/7,0)</f>
        <v>6</v>
      </c>
      <c r="J1531">
        <v>3821</v>
      </c>
      <c r="K1531" t="str">
        <f>_xlfn.CONCAT(WEEKNUM(CompilDonnées[[#This Row],[PlantationDate]]), " ", YEAR(CompilDonnées[[#This Row],[PlantationDate]]))</f>
        <v>9 2025</v>
      </c>
      <c r="L1531" t="str">
        <f>CONCATENATE(MONTH(CompilDonnées[[#This Row],[PlantationDate]])," ", YEAR(CompilDonnées[[#This Row],[PlantationDate]]))</f>
        <v>2 2025</v>
      </c>
      <c r="M1531" t="str">
        <f>CONCATENATE(MONTH(CompilDonnées[[#This Row],[HarvestingDate]])," ", YEAR(CompilDonnées[[#This Row],[HarvestingDate]]))</f>
        <v>4 2025</v>
      </c>
      <c r="N1531">
        <f>_xlfn.NUMBERVALUE(CompilDonnées[[#This Row],[FarmID]]&amp;CompilDonnées[[#This Row],[ModuleNumber]]&amp;CompilDonnées[[#This Row],[PlantationDate]])</f>
        <v>10445714</v>
      </c>
      <c r="O1531" t="str">
        <f>CompilDonnées[[#This Row],[FarmID]]&amp;CompilDonnées[[#This Row],[ModuleNumber]]</f>
        <v>104</v>
      </c>
      <c r="P1531" t="str">
        <f>CompilDonnées[[#This Row],[Ref_Module]]&amp;CompilDonnées[[#This Row],[HarvestingDate]]</f>
        <v>10445754</v>
      </c>
    </row>
    <row r="1532" spans="1:16">
      <c r="A1532" s="5">
        <v>45714</v>
      </c>
      <c r="B1532">
        <v>11</v>
      </c>
      <c r="C1532" t="s">
        <v>106</v>
      </c>
      <c r="D1532">
        <v>2</v>
      </c>
      <c r="E1532">
        <v>100</v>
      </c>
      <c r="F1532" t="s">
        <v>1</v>
      </c>
      <c r="G1532" s="6">
        <v>45754</v>
      </c>
      <c r="H1532">
        <v>40</v>
      </c>
      <c r="I1532">
        <f>ROUND(CompilDonnées[[#This Row],[CultureDuration_days]]/7,0)</f>
        <v>6</v>
      </c>
      <c r="J1532">
        <v>3353</v>
      </c>
      <c r="K1532" t="str">
        <f>_xlfn.CONCAT(WEEKNUM(CompilDonnées[[#This Row],[PlantationDate]]), " ", YEAR(CompilDonnées[[#This Row],[PlantationDate]]))</f>
        <v>9 2025</v>
      </c>
      <c r="L1532" t="str">
        <f>CONCATENATE(MONTH(CompilDonnées[[#This Row],[PlantationDate]])," ", YEAR(CompilDonnées[[#This Row],[PlantationDate]]))</f>
        <v>2 2025</v>
      </c>
      <c r="M1532" t="str">
        <f>CONCATENATE(MONTH(CompilDonnées[[#This Row],[HarvestingDate]])," ", YEAR(CompilDonnées[[#This Row],[HarvestingDate]]))</f>
        <v>4 2025</v>
      </c>
      <c r="N1532">
        <f>_xlfn.NUMBERVALUE(CompilDonnées[[#This Row],[FarmID]]&amp;CompilDonnées[[#This Row],[ModuleNumber]]&amp;CompilDonnées[[#This Row],[PlantationDate]])</f>
        <v>11245714</v>
      </c>
      <c r="O1532" t="str">
        <f>CompilDonnées[[#This Row],[FarmID]]&amp;CompilDonnées[[#This Row],[ModuleNumber]]</f>
        <v>112</v>
      </c>
      <c r="P1532" t="str">
        <f>CompilDonnées[[#This Row],[Ref_Module]]&amp;CompilDonnées[[#This Row],[HarvestingDate]]</f>
        <v>11245754</v>
      </c>
    </row>
    <row r="1533" spans="1:16">
      <c r="A1533" s="5">
        <v>45714</v>
      </c>
      <c r="B1533">
        <v>34</v>
      </c>
      <c r="C1533" t="s">
        <v>68</v>
      </c>
      <c r="D1533">
        <v>2</v>
      </c>
      <c r="E1533">
        <v>100</v>
      </c>
      <c r="F1533" t="s">
        <v>1</v>
      </c>
      <c r="G1533" s="6">
        <v>45755</v>
      </c>
      <c r="H1533">
        <v>41</v>
      </c>
      <c r="I1533">
        <f>ROUND(CompilDonnées[[#This Row],[CultureDuration_days]]/7,0)</f>
        <v>6</v>
      </c>
      <c r="J1533">
        <v>3604</v>
      </c>
      <c r="K1533" t="str">
        <f>_xlfn.CONCAT(WEEKNUM(CompilDonnées[[#This Row],[PlantationDate]]), " ", YEAR(CompilDonnées[[#This Row],[PlantationDate]]))</f>
        <v>9 2025</v>
      </c>
      <c r="L1533" t="str">
        <f>CONCATENATE(MONTH(CompilDonnées[[#This Row],[PlantationDate]])," ", YEAR(CompilDonnées[[#This Row],[PlantationDate]]))</f>
        <v>2 2025</v>
      </c>
      <c r="M1533" t="str">
        <f>CONCATENATE(MONTH(CompilDonnées[[#This Row],[HarvestingDate]])," ", YEAR(CompilDonnées[[#This Row],[HarvestingDate]]))</f>
        <v>4 2025</v>
      </c>
      <c r="N1533">
        <f>_xlfn.NUMBERVALUE(CompilDonnées[[#This Row],[FarmID]]&amp;CompilDonnées[[#This Row],[ModuleNumber]]&amp;CompilDonnées[[#This Row],[PlantationDate]])</f>
        <v>34245714</v>
      </c>
      <c r="O1533" t="str">
        <f>CompilDonnées[[#This Row],[FarmID]]&amp;CompilDonnées[[#This Row],[ModuleNumber]]</f>
        <v>342</v>
      </c>
      <c r="P1533" t="str">
        <f>CompilDonnées[[#This Row],[Ref_Module]]&amp;CompilDonnées[[#This Row],[HarvestingDate]]</f>
        <v>34245755</v>
      </c>
    </row>
    <row r="1534" spans="1:16">
      <c r="A1534" s="5">
        <v>45714</v>
      </c>
      <c r="B1534">
        <v>29</v>
      </c>
      <c r="C1534" t="s">
        <v>2</v>
      </c>
      <c r="D1534">
        <v>4</v>
      </c>
      <c r="E1534">
        <v>100</v>
      </c>
      <c r="F1534" t="s">
        <v>1</v>
      </c>
      <c r="G1534" s="6">
        <v>45755</v>
      </c>
      <c r="H1534">
        <v>41</v>
      </c>
      <c r="I1534">
        <f>ROUND(CompilDonnées[[#This Row],[CultureDuration_days]]/7,0)</f>
        <v>6</v>
      </c>
      <c r="J1534">
        <v>3845</v>
      </c>
      <c r="K1534" t="str">
        <f>_xlfn.CONCAT(WEEKNUM(CompilDonnées[[#This Row],[PlantationDate]]), " ", YEAR(CompilDonnées[[#This Row],[PlantationDate]]))</f>
        <v>9 2025</v>
      </c>
      <c r="L1534" t="str">
        <f>CONCATENATE(MONTH(CompilDonnées[[#This Row],[PlantationDate]])," ", YEAR(CompilDonnées[[#This Row],[PlantationDate]]))</f>
        <v>2 2025</v>
      </c>
      <c r="M1534" t="str">
        <f>CONCATENATE(MONTH(CompilDonnées[[#This Row],[HarvestingDate]])," ", YEAR(CompilDonnées[[#This Row],[HarvestingDate]]))</f>
        <v>4 2025</v>
      </c>
      <c r="N1534">
        <f>_xlfn.NUMBERVALUE(CompilDonnées[[#This Row],[FarmID]]&amp;CompilDonnées[[#This Row],[ModuleNumber]]&amp;CompilDonnées[[#This Row],[PlantationDate]])</f>
        <v>29445714</v>
      </c>
      <c r="O1534" t="str">
        <f>CompilDonnées[[#This Row],[FarmID]]&amp;CompilDonnées[[#This Row],[ModuleNumber]]</f>
        <v>294</v>
      </c>
      <c r="P1534" t="str">
        <f>CompilDonnées[[#This Row],[Ref_Module]]&amp;CompilDonnées[[#This Row],[HarvestingDate]]</f>
        <v>29445755</v>
      </c>
    </row>
    <row r="1535" spans="1:16">
      <c r="A1535" s="5">
        <v>45714</v>
      </c>
      <c r="B1535">
        <v>37</v>
      </c>
      <c r="C1535" t="s">
        <v>26</v>
      </c>
      <c r="D1535">
        <v>5</v>
      </c>
      <c r="E1535">
        <v>100</v>
      </c>
      <c r="F1535" t="s">
        <v>1</v>
      </c>
      <c r="G1535" s="6">
        <v>45755</v>
      </c>
      <c r="H1535">
        <v>41</v>
      </c>
      <c r="I1535">
        <f>ROUND(CompilDonnées[[#This Row],[CultureDuration_days]]/7,0)</f>
        <v>6</v>
      </c>
      <c r="J1535">
        <v>3600</v>
      </c>
      <c r="K1535" t="str">
        <f>_xlfn.CONCAT(WEEKNUM(CompilDonnées[[#This Row],[PlantationDate]]), " ", YEAR(CompilDonnées[[#This Row],[PlantationDate]]))</f>
        <v>9 2025</v>
      </c>
      <c r="L1535" t="str">
        <f>CONCATENATE(MONTH(CompilDonnées[[#This Row],[PlantationDate]])," ", YEAR(CompilDonnées[[#This Row],[PlantationDate]]))</f>
        <v>2 2025</v>
      </c>
      <c r="M1535" t="str">
        <f>CONCATENATE(MONTH(CompilDonnées[[#This Row],[HarvestingDate]])," ", YEAR(CompilDonnées[[#This Row],[HarvestingDate]]))</f>
        <v>4 2025</v>
      </c>
      <c r="N1535">
        <f>_xlfn.NUMBERVALUE(CompilDonnées[[#This Row],[FarmID]]&amp;CompilDonnées[[#This Row],[ModuleNumber]]&amp;CompilDonnées[[#This Row],[PlantationDate]])</f>
        <v>37545714</v>
      </c>
      <c r="O1535" t="str">
        <f>CompilDonnées[[#This Row],[FarmID]]&amp;CompilDonnées[[#This Row],[ModuleNumber]]</f>
        <v>375</v>
      </c>
      <c r="P1535" t="str">
        <f>CompilDonnées[[#This Row],[Ref_Module]]&amp;CompilDonnées[[#This Row],[HarvestingDate]]</f>
        <v>37545755</v>
      </c>
    </row>
    <row r="1536" spans="1:16">
      <c r="A1536" s="5">
        <v>45714</v>
      </c>
      <c r="B1536">
        <v>35</v>
      </c>
      <c r="C1536" t="s">
        <v>69</v>
      </c>
      <c r="D1536">
        <v>4</v>
      </c>
      <c r="E1536">
        <v>100</v>
      </c>
      <c r="F1536" t="s">
        <v>1</v>
      </c>
      <c r="G1536" s="6">
        <v>45755</v>
      </c>
      <c r="H1536">
        <v>41</v>
      </c>
      <c r="I1536">
        <f>ROUND(CompilDonnées[[#This Row],[CultureDuration_days]]/7,0)</f>
        <v>6</v>
      </c>
      <c r="J1536">
        <v>3929</v>
      </c>
      <c r="K1536" t="str">
        <f>_xlfn.CONCAT(WEEKNUM(CompilDonnées[[#This Row],[PlantationDate]]), " ", YEAR(CompilDonnées[[#This Row],[PlantationDate]]))</f>
        <v>9 2025</v>
      </c>
      <c r="L1536" t="str">
        <f>CONCATENATE(MONTH(CompilDonnées[[#This Row],[PlantationDate]])," ", YEAR(CompilDonnées[[#This Row],[PlantationDate]]))</f>
        <v>2 2025</v>
      </c>
      <c r="M1536" t="str">
        <f>CONCATENATE(MONTH(CompilDonnées[[#This Row],[HarvestingDate]])," ", YEAR(CompilDonnées[[#This Row],[HarvestingDate]]))</f>
        <v>4 2025</v>
      </c>
      <c r="N1536">
        <f>_xlfn.NUMBERVALUE(CompilDonnées[[#This Row],[FarmID]]&amp;CompilDonnées[[#This Row],[ModuleNumber]]&amp;CompilDonnées[[#This Row],[PlantationDate]])</f>
        <v>35445714</v>
      </c>
      <c r="O1536" t="str">
        <f>CompilDonnées[[#This Row],[FarmID]]&amp;CompilDonnées[[#This Row],[ModuleNumber]]</f>
        <v>354</v>
      </c>
      <c r="P1536" t="str">
        <f>CompilDonnées[[#This Row],[Ref_Module]]&amp;CompilDonnées[[#This Row],[HarvestingDate]]</f>
        <v>35445755</v>
      </c>
    </row>
    <row r="1537" spans="1:16">
      <c r="A1537" s="5">
        <v>45714</v>
      </c>
      <c r="B1537">
        <v>35</v>
      </c>
      <c r="C1537" t="s">
        <v>69</v>
      </c>
      <c r="D1537">
        <v>6</v>
      </c>
      <c r="E1537">
        <v>100</v>
      </c>
      <c r="F1537" t="s">
        <v>1</v>
      </c>
      <c r="G1537" s="6">
        <v>45754</v>
      </c>
      <c r="H1537">
        <v>40</v>
      </c>
      <c r="I1537">
        <f>ROUND(CompilDonnées[[#This Row],[CultureDuration_days]]/7,0)</f>
        <v>6</v>
      </c>
      <c r="J1537">
        <v>4363</v>
      </c>
      <c r="K1537" t="str">
        <f>_xlfn.CONCAT(WEEKNUM(CompilDonnées[[#This Row],[PlantationDate]]), " ", YEAR(CompilDonnées[[#This Row],[PlantationDate]]))</f>
        <v>9 2025</v>
      </c>
      <c r="L1537" t="str">
        <f>CONCATENATE(MONTH(CompilDonnées[[#This Row],[PlantationDate]])," ", YEAR(CompilDonnées[[#This Row],[PlantationDate]]))</f>
        <v>2 2025</v>
      </c>
      <c r="M1537" t="str">
        <f>CONCATENATE(MONTH(CompilDonnées[[#This Row],[HarvestingDate]])," ", YEAR(CompilDonnées[[#This Row],[HarvestingDate]]))</f>
        <v>4 2025</v>
      </c>
      <c r="N1537">
        <f>_xlfn.NUMBERVALUE(CompilDonnées[[#This Row],[FarmID]]&amp;CompilDonnées[[#This Row],[ModuleNumber]]&amp;CompilDonnées[[#This Row],[PlantationDate]])</f>
        <v>35645714</v>
      </c>
      <c r="O1537" t="str">
        <f>CompilDonnées[[#This Row],[FarmID]]&amp;CompilDonnées[[#This Row],[ModuleNumber]]</f>
        <v>356</v>
      </c>
      <c r="P1537" t="str">
        <f>CompilDonnées[[#This Row],[Ref_Module]]&amp;CompilDonnées[[#This Row],[HarvestingDate]]</f>
        <v>35645754</v>
      </c>
    </row>
    <row r="1538" spans="1:16">
      <c r="A1538" s="5">
        <v>45714</v>
      </c>
      <c r="B1538">
        <v>44</v>
      </c>
      <c r="C1538" t="s">
        <v>42</v>
      </c>
      <c r="D1538">
        <v>4</v>
      </c>
      <c r="E1538">
        <v>100</v>
      </c>
      <c r="F1538" t="s">
        <v>1</v>
      </c>
      <c r="G1538" s="6">
        <v>45755</v>
      </c>
      <c r="H1538">
        <v>41</v>
      </c>
      <c r="I1538">
        <f>ROUND(CompilDonnées[[#This Row],[CultureDuration_days]]/7,0)</f>
        <v>6</v>
      </c>
      <c r="J1538">
        <v>3664</v>
      </c>
      <c r="K1538" t="str">
        <f>_xlfn.CONCAT(WEEKNUM(CompilDonnées[[#This Row],[PlantationDate]]), " ", YEAR(CompilDonnées[[#This Row],[PlantationDate]]))</f>
        <v>9 2025</v>
      </c>
      <c r="L1538" t="str">
        <f>CONCATENATE(MONTH(CompilDonnées[[#This Row],[PlantationDate]])," ", YEAR(CompilDonnées[[#This Row],[PlantationDate]]))</f>
        <v>2 2025</v>
      </c>
      <c r="M1538" t="str">
        <f>CONCATENATE(MONTH(CompilDonnées[[#This Row],[HarvestingDate]])," ", YEAR(CompilDonnées[[#This Row],[HarvestingDate]]))</f>
        <v>4 2025</v>
      </c>
      <c r="N1538">
        <f>_xlfn.NUMBERVALUE(CompilDonnées[[#This Row],[FarmID]]&amp;CompilDonnées[[#This Row],[ModuleNumber]]&amp;CompilDonnées[[#This Row],[PlantationDate]])</f>
        <v>44445714</v>
      </c>
      <c r="O1538" t="str">
        <f>CompilDonnées[[#This Row],[FarmID]]&amp;CompilDonnées[[#This Row],[ModuleNumber]]</f>
        <v>444</v>
      </c>
      <c r="P1538" t="str">
        <f>CompilDonnées[[#This Row],[Ref_Module]]&amp;CompilDonnées[[#This Row],[HarvestingDate]]</f>
        <v>44445755</v>
      </c>
    </row>
    <row r="1539" spans="1:16">
      <c r="A1539" s="5">
        <v>45714</v>
      </c>
      <c r="B1539">
        <v>41</v>
      </c>
      <c r="C1539" t="s">
        <v>70</v>
      </c>
      <c r="D1539">
        <v>5</v>
      </c>
      <c r="E1539">
        <v>100</v>
      </c>
      <c r="F1539" t="s">
        <v>1</v>
      </c>
      <c r="G1539" s="6">
        <v>45755</v>
      </c>
      <c r="H1539">
        <v>41</v>
      </c>
      <c r="I1539">
        <f>ROUND(CompilDonnées[[#This Row],[CultureDuration_days]]/7,0)</f>
        <v>6</v>
      </c>
      <c r="J1539">
        <v>2667</v>
      </c>
      <c r="K1539" t="str">
        <f>_xlfn.CONCAT(WEEKNUM(CompilDonnées[[#This Row],[PlantationDate]]), " ", YEAR(CompilDonnées[[#This Row],[PlantationDate]]))</f>
        <v>9 2025</v>
      </c>
      <c r="L1539" t="str">
        <f>CONCATENATE(MONTH(CompilDonnées[[#This Row],[PlantationDate]])," ", YEAR(CompilDonnées[[#This Row],[PlantationDate]]))</f>
        <v>2 2025</v>
      </c>
      <c r="M1539" t="str">
        <f>CONCATENATE(MONTH(CompilDonnées[[#This Row],[HarvestingDate]])," ", YEAR(CompilDonnées[[#This Row],[HarvestingDate]]))</f>
        <v>4 2025</v>
      </c>
      <c r="N1539">
        <f>_xlfn.NUMBERVALUE(CompilDonnées[[#This Row],[FarmID]]&amp;CompilDonnées[[#This Row],[ModuleNumber]]&amp;CompilDonnées[[#This Row],[PlantationDate]])</f>
        <v>41545714</v>
      </c>
      <c r="O1539" t="str">
        <f>CompilDonnées[[#This Row],[FarmID]]&amp;CompilDonnées[[#This Row],[ModuleNumber]]</f>
        <v>415</v>
      </c>
      <c r="P1539" t="str">
        <f>CompilDonnées[[#This Row],[Ref_Module]]&amp;CompilDonnées[[#This Row],[HarvestingDate]]</f>
        <v>41545755</v>
      </c>
    </row>
    <row r="1540" spans="1:16">
      <c r="A1540" s="5">
        <v>45714</v>
      </c>
      <c r="B1540">
        <v>42</v>
      </c>
      <c r="C1540" t="s">
        <v>89</v>
      </c>
      <c r="D1540">
        <v>5</v>
      </c>
      <c r="E1540">
        <v>100</v>
      </c>
      <c r="F1540" t="s">
        <v>1</v>
      </c>
      <c r="G1540" s="6">
        <v>45755</v>
      </c>
      <c r="H1540">
        <v>41</v>
      </c>
      <c r="I1540">
        <f>ROUND(CompilDonnées[[#This Row],[CultureDuration_days]]/7,0)</f>
        <v>6</v>
      </c>
      <c r="J1540">
        <v>3773</v>
      </c>
      <c r="K1540" t="str">
        <f>_xlfn.CONCAT(WEEKNUM(CompilDonnées[[#This Row],[PlantationDate]]), " ", YEAR(CompilDonnées[[#This Row],[PlantationDate]]))</f>
        <v>9 2025</v>
      </c>
      <c r="L1540" t="str">
        <f>CONCATENATE(MONTH(CompilDonnées[[#This Row],[PlantationDate]])," ", YEAR(CompilDonnées[[#This Row],[PlantationDate]]))</f>
        <v>2 2025</v>
      </c>
      <c r="M1540" t="str">
        <f>CONCATENATE(MONTH(CompilDonnées[[#This Row],[HarvestingDate]])," ", YEAR(CompilDonnées[[#This Row],[HarvestingDate]]))</f>
        <v>4 2025</v>
      </c>
      <c r="N1540">
        <f>_xlfn.NUMBERVALUE(CompilDonnées[[#This Row],[FarmID]]&amp;CompilDonnées[[#This Row],[ModuleNumber]]&amp;CompilDonnées[[#This Row],[PlantationDate]])</f>
        <v>42545714</v>
      </c>
      <c r="O1540" t="str">
        <f>CompilDonnées[[#This Row],[FarmID]]&amp;CompilDonnées[[#This Row],[ModuleNumber]]</f>
        <v>425</v>
      </c>
      <c r="P1540" t="str">
        <f>CompilDonnées[[#This Row],[Ref_Module]]&amp;CompilDonnées[[#This Row],[HarvestingDate]]</f>
        <v>42545755</v>
      </c>
    </row>
    <row r="1541" spans="1:16">
      <c r="A1541" s="5">
        <v>45714</v>
      </c>
      <c r="B1541">
        <v>50</v>
      </c>
      <c r="C1541" t="s">
        <v>55</v>
      </c>
      <c r="D1541">
        <v>3</v>
      </c>
      <c r="E1541">
        <v>100</v>
      </c>
      <c r="F1541" t="s">
        <v>1</v>
      </c>
      <c r="G1541" s="6">
        <v>45756</v>
      </c>
      <c r="H1541">
        <v>42</v>
      </c>
      <c r="I1541">
        <f>ROUND(CompilDonnées[[#This Row],[CultureDuration_days]]/7,0)</f>
        <v>6</v>
      </c>
      <c r="J1541">
        <v>3292</v>
      </c>
      <c r="K1541" t="str">
        <f>_xlfn.CONCAT(WEEKNUM(CompilDonnées[[#This Row],[PlantationDate]]), " ", YEAR(CompilDonnées[[#This Row],[PlantationDate]]))</f>
        <v>9 2025</v>
      </c>
      <c r="L1541" t="str">
        <f>CONCATENATE(MONTH(CompilDonnées[[#This Row],[PlantationDate]])," ", YEAR(CompilDonnées[[#This Row],[PlantationDate]]))</f>
        <v>2 2025</v>
      </c>
      <c r="M1541" t="str">
        <f>CONCATENATE(MONTH(CompilDonnées[[#This Row],[HarvestingDate]])," ", YEAR(CompilDonnées[[#This Row],[HarvestingDate]]))</f>
        <v>4 2025</v>
      </c>
      <c r="N1541">
        <f>_xlfn.NUMBERVALUE(CompilDonnées[[#This Row],[FarmID]]&amp;CompilDonnées[[#This Row],[ModuleNumber]]&amp;CompilDonnées[[#This Row],[PlantationDate]])</f>
        <v>50345714</v>
      </c>
      <c r="O1541" t="str">
        <f>CompilDonnées[[#This Row],[FarmID]]&amp;CompilDonnées[[#This Row],[ModuleNumber]]</f>
        <v>503</v>
      </c>
      <c r="P1541" t="str">
        <f>CompilDonnées[[#This Row],[Ref_Module]]&amp;CompilDonnées[[#This Row],[HarvestingDate]]</f>
        <v>50345756</v>
      </c>
    </row>
    <row r="1542" spans="1:16">
      <c r="A1542" s="5">
        <v>45714</v>
      </c>
      <c r="B1542">
        <v>48</v>
      </c>
      <c r="C1542" t="s">
        <v>71</v>
      </c>
      <c r="D1542">
        <v>2</v>
      </c>
      <c r="E1542">
        <v>100</v>
      </c>
      <c r="F1542" t="s">
        <v>1</v>
      </c>
      <c r="G1542" s="6">
        <v>45755</v>
      </c>
      <c r="H1542">
        <v>41</v>
      </c>
      <c r="I1542">
        <f>ROUND(CompilDonnées[[#This Row],[CultureDuration_days]]/7,0)</f>
        <v>6</v>
      </c>
      <c r="J1542">
        <v>3525</v>
      </c>
      <c r="K1542" t="str">
        <f>_xlfn.CONCAT(WEEKNUM(CompilDonnées[[#This Row],[PlantationDate]]), " ", YEAR(CompilDonnées[[#This Row],[PlantationDate]]))</f>
        <v>9 2025</v>
      </c>
      <c r="L1542" t="str">
        <f>CONCATENATE(MONTH(CompilDonnées[[#This Row],[PlantationDate]])," ", YEAR(CompilDonnées[[#This Row],[PlantationDate]]))</f>
        <v>2 2025</v>
      </c>
      <c r="M1542" t="str">
        <f>CONCATENATE(MONTH(CompilDonnées[[#This Row],[HarvestingDate]])," ", YEAR(CompilDonnées[[#This Row],[HarvestingDate]]))</f>
        <v>4 2025</v>
      </c>
      <c r="N1542">
        <f>_xlfn.NUMBERVALUE(CompilDonnées[[#This Row],[FarmID]]&amp;CompilDonnées[[#This Row],[ModuleNumber]]&amp;CompilDonnées[[#This Row],[PlantationDate]])</f>
        <v>48245714</v>
      </c>
      <c r="O1542" t="str">
        <f>CompilDonnées[[#This Row],[FarmID]]&amp;CompilDonnées[[#This Row],[ModuleNumber]]</f>
        <v>482</v>
      </c>
      <c r="P1542" t="str">
        <f>CompilDonnées[[#This Row],[Ref_Module]]&amp;CompilDonnées[[#This Row],[HarvestingDate]]</f>
        <v>48245755</v>
      </c>
    </row>
    <row r="1543" spans="1:16">
      <c r="A1543" s="5">
        <v>45714</v>
      </c>
      <c r="B1543">
        <v>48</v>
      </c>
      <c r="C1543" t="s">
        <v>71</v>
      </c>
      <c r="D1543">
        <v>3</v>
      </c>
      <c r="E1543">
        <v>100</v>
      </c>
      <c r="F1543" t="s">
        <v>1</v>
      </c>
      <c r="G1543" s="6">
        <v>45763</v>
      </c>
      <c r="H1543">
        <v>49</v>
      </c>
      <c r="I1543">
        <f>ROUND(CompilDonnées[[#This Row],[CultureDuration_days]]/7,0)</f>
        <v>7</v>
      </c>
      <c r="J1543">
        <v>3665</v>
      </c>
      <c r="K1543" t="str">
        <f>_xlfn.CONCAT(WEEKNUM(CompilDonnées[[#This Row],[PlantationDate]]), " ", YEAR(CompilDonnées[[#This Row],[PlantationDate]]))</f>
        <v>9 2025</v>
      </c>
      <c r="L1543" t="str">
        <f>CONCATENATE(MONTH(CompilDonnées[[#This Row],[PlantationDate]])," ", YEAR(CompilDonnées[[#This Row],[PlantationDate]]))</f>
        <v>2 2025</v>
      </c>
      <c r="M1543" t="str">
        <f>CONCATENATE(MONTH(CompilDonnées[[#This Row],[HarvestingDate]])," ", YEAR(CompilDonnées[[#This Row],[HarvestingDate]]))</f>
        <v>4 2025</v>
      </c>
      <c r="N1543">
        <f>_xlfn.NUMBERVALUE(CompilDonnées[[#This Row],[FarmID]]&amp;CompilDonnées[[#This Row],[ModuleNumber]]&amp;CompilDonnées[[#This Row],[PlantationDate]])</f>
        <v>48345714</v>
      </c>
      <c r="O1543" t="str">
        <f>CompilDonnées[[#This Row],[FarmID]]&amp;CompilDonnées[[#This Row],[ModuleNumber]]</f>
        <v>483</v>
      </c>
      <c r="P1543" t="str">
        <f>CompilDonnées[[#This Row],[Ref_Module]]&amp;CompilDonnées[[#This Row],[HarvestingDate]]</f>
        <v>48345763</v>
      </c>
    </row>
    <row r="1544" spans="1:16">
      <c r="A1544" s="5">
        <v>45714</v>
      </c>
      <c r="B1544">
        <v>51</v>
      </c>
      <c r="C1544" t="s">
        <v>27</v>
      </c>
      <c r="D1544">
        <v>1</v>
      </c>
      <c r="E1544">
        <v>100</v>
      </c>
      <c r="F1544" t="s">
        <v>1</v>
      </c>
      <c r="G1544" s="6">
        <v>45755</v>
      </c>
      <c r="H1544">
        <v>41</v>
      </c>
      <c r="I1544">
        <f>ROUND(CompilDonnées[[#This Row],[CultureDuration_days]]/7,0)</f>
        <v>6</v>
      </c>
      <c r="J1544">
        <v>3943</v>
      </c>
      <c r="K1544" t="str">
        <f>_xlfn.CONCAT(WEEKNUM(CompilDonnées[[#This Row],[PlantationDate]]), " ", YEAR(CompilDonnées[[#This Row],[PlantationDate]]))</f>
        <v>9 2025</v>
      </c>
      <c r="L1544" t="str">
        <f>CONCATENATE(MONTH(CompilDonnées[[#This Row],[PlantationDate]])," ", YEAR(CompilDonnées[[#This Row],[PlantationDate]]))</f>
        <v>2 2025</v>
      </c>
      <c r="M1544" t="str">
        <f>CONCATENATE(MONTH(CompilDonnées[[#This Row],[HarvestingDate]])," ", YEAR(CompilDonnées[[#This Row],[HarvestingDate]]))</f>
        <v>4 2025</v>
      </c>
      <c r="N1544">
        <f>_xlfn.NUMBERVALUE(CompilDonnées[[#This Row],[FarmID]]&amp;CompilDonnées[[#This Row],[ModuleNumber]]&amp;CompilDonnées[[#This Row],[PlantationDate]])</f>
        <v>51145714</v>
      </c>
      <c r="O1544" t="str">
        <f>CompilDonnées[[#This Row],[FarmID]]&amp;CompilDonnées[[#This Row],[ModuleNumber]]</f>
        <v>511</v>
      </c>
      <c r="P1544" t="str">
        <f>CompilDonnées[[#This Row],[Ref_Module]]&amp;CompilDonnées[[#This Row],[HarvestingDate]]</f>
        <v>51145755</v>
      </c>
    </row>
    <row r="1545" spans="1:16">
      <c r="A1545" s="5">
        <v>45714</v>
      </c>
      <c r="B1545">
        <v>55</v>
      </c>
      <c r="C1545" t="s">
        <v>60</v>
      </c>
      <c r="D1545">
        <v>6</v>
      </c>
      <c r="E1545">
        <v>100</v>
      </c>
      <c r="F1545" t="s">
        <v>1</v>
      </c>
      <c r="G1545" s="6">
        <v>45756</v>
      </c>
      <c r="H1545">
        <v>42</v>
      </c>
      <c r="I1545">
        <f>ROUND(CompilDonnées[[#This Row],[CultureDuration_days]]/7,0)</f>
        <v>6</v>
      </c>
      <c r="J1545">
        <v>3742</v>
      </c>
      <c r="K1545" t="str">
        <f>_xlfn.CONCAT(WEEKNUM(CompilDonnées[[#This Row],[PlantationDate]]), " ", YEAR(CompilDonnées[[#This Row],[PlantationDate]]))</f>
        <v>9 2025</v>
      </c>
      <c r="L1545" t="str">
        <f>CONCATENATE(MONTH(CompilDonnées[[#This Row],[PlantationDate]])," ", YEAR(CompilDonnées[[#This Row],[PlantationDate]]))</f>
        <v>2 2025</v>
      </c>
      <c r="M1545" t="str">
        <f>CONCATENATE(MONTH(CompilDonnées[[#This Row],[HarvestingDate]])," ", YEAR(CompilDonnées[[#This Row],[HarvestingDate]]))</f>
        <v>4 2025</v>
      </c>
      <c r="N1545">
        <f>_xlfn.NUMBERVALUE(CompilDonnées[[#This Row],[FarmID]]&amp;CompilDonnées[[#This Row],[ModuleNumber]]&amp;CompilDonnées[[#This Row],[PlantationDate]])</f>
        <v>55645714</v>
      </c>
      <c r="O1545" t="str">
        <f>CompilDonnées[[#This Row],[FarmID]]&amp;CompilDonnées[[#This Row],[ModuleNumber]]</f>
        <v>556</v>
      </c>
      <c r="P1545" t="str">
        <f>CompilDonnées[[#This Row],[Ref_Module]]&amp;CompilDonnées[[#This Row],[HarvestingDate]]</f>
        <v>55645756</v>
      </c>
    </row>
    <row r="1546" spans="1:16">
      <c r="A1546" s="5">
        <v>45714</v>
      </c>
      <c r="B1546">
        <v>49</v>
      </c>
      <c r="C1546" t="s">
        <v>110</v>
      </c>
      <c r="D1546">
        <v>5</v>
      </c>
      <c r="E1546">
        <v>100</v>
      </c>
      <c r="F1546" t="s">
        <v>1</v>
      </c>
      <c r="G1546" s="6">
        <v>45755</v>
      </c>
      <c r="H1546">
        <v>41</v>
      </c>
      <c r="I1546">
        <f>ROUND(CompilDonnées[[#This Row],[CultureDuration_days]]/7,0)</f>
        <v>6</v>
      </c>
      <c r="J1546">
        <v>4147</v>
      </c>
      <c r="K1546" t="str">
        <f>_xlfn.CONCAT(WEEKNUM(CompilDonnées[[#This Row],[PlantationDate]]), " ", YEAR(CompilDonnées[[#This Row],[PlantationDate]]))</f>
        <v>9 2025</v>
      </c>
      <c r="L1546" t="str">
        <f>CONCATENATE(MONTH(CompilDonnées[[#This Row],[PlantationDate]])," ", YEAR(CompilDonnées[[#This Row],[PlantationDate]]))</f>
        <v>2 2025</v>
      </c>
      <c r="M1546" t="str">
        <f>CONCATENATE(MONTH(CompilDonnées[[#This Row],[HarvestingDate]])," ", YEAR(CompilDonnées[[#This Row],[HarvestingDate]]))</f>
        <v>4 2025</v>
      </c>
      <c r="N1546">
        <f>_xlfn.NUMBERVALUE(CompilDonnées[[#This Row],[FarmID]]&amp;CompilDonnées[[#This Row],[ModuleNumber]]&amp;CompilDonnées[[#This Row],[PlantationDate]])</f>
        <v>49545714</v>
      </c>
      <c r="O1546" t="str">
        <f>CompilDonnées[[#This Row],[FarmID]]&amp;CompilDonnées[[#This Row],[ModuleNumber]]</f>
        <v>495</v>
      </c>
      <c r="P1546" t="str">
        <f>CompilDonnées[[#This Row],[Ref_Module]]&amp;CompilDonnées[[#This Row],[HarvestingDate]]</f>
        <v>49545755</v>
      </c>
    </row>
    <row r="1547" spans="1:16">
      <c r="A1547" s="5">
        <v>45714</v>
      </c>
      <c r="B1547">
        <v>12</v>
      </c>
      <c r="C1547" t="s">
        <v>3</v>
      </c>
      <c r="D1547">
        <v>1</v>
      </c>
      <c r="E1547">
        <v>68</v>
      </c>
      <c r="F1547" t="s">
        <v>1</v>
      </c>
      <c r="G1547" s="6">
        <v>45754</v>
      </c>
      <c r="H1547">
        <v>40</v>
      </c>
      <c r="I1547">
        <f>ROUND(CompilDonnées[[#This Row],[CultureDuration_days]]/7,0)</f>
        <v>6</v>
      </c>
      <c r="J1547">
        <v>2752</v>
      </c>
      <c r="K1547" t="str">
        <f>_xlfn.CONCAT(WEEKNUM(CompilDonnées[[#This Row],[PlantationDate]]), " ", YEAR(CompilDonnées[[#This Row],[PlantationDate]]))</f>
        <v>9 2025</v>
      </c>
      <c r="L1547" t="str">
        <f>CONCATENATE(MONTH(CompilDonnées[[#This Row],[PlantationDate]])," ", YEAR(CompilDonnées[[#This Row],[PlantationDate]]))</f>
        <v>2 2025</v>
      </c>
      <c r="M1547" t="str">
        <f>CONCATENATE(MONTH(CompilDonnées[[#This Row],[HarvestingDate]])," ", YEAR(CompilDonnées[[#This Row],[HarvestingDate]]))</f>
        <v>4 2025</v>
      </c>
      <c r="N1547">
        <f>_xlfn.NUMBERVALUE(CompilDonnées[[#This Row],[FarmID]]&amp;CompilDonnées[[#This Row],[ModuleNumber]]&amp;CompilDonnées[[#This Row],[PlantationDate]])</f>
        <v>12145714</v>
      </c>
      <c r="O1547" t="str">
        <f>CompilDonnées[[#This Row],[FarmID]]&amp;CompilDonnées[[#This Row],[ModuleNumber]]</f>
        <v>121</v>
      </c>
      <c r="P1547" t="str">
        <f>CompilDonnées[[#This Row],[Ref_Module]]&amp;CompilDonnées[[#This Row],[HarvestingDate]]</f>
        <v>12145754</v>
      </c>
    </row>
    <row r="1548" spans="1:16">
      <c r="A1548" s="5">
        <v>45714</v>
      </c>
      <c r="B1548">
        <v>12</v>
      </c>
      <c r="C1548" t="s">
        <v>3</v>
      </c>
      <c r="D1548">
        <v>2</v>
      </c>
      <c r="E1548">
        <v>100</v>
      </c>
      <c r="F1548" t="s">
        <v>1</v>
      </c>
      <c r="G1548" s="6">
        <v>45754</v>
      </c>
      <c r="H1548">
        <v>40</v>
      </c>
      <c r="I1548">
        <f>ROUND(CompilDonnées[[#This Row],[CultureDuration_days]]/7,0)</f>
        <v>6</v>
      </c>
      <c r="J1548">
        <v>4046</v>
      </c>
      <c r="K1548" t="str">
        <f>_xlfn.CONCAT(WEEKNUM(CompilDonnées[[#This Row],[PlantationDate]]), " ", YEAR(CompilDonnées[[#This Row],[PlantationDate]]))</f>
        <v>9 2025</v>
      </c>
      <c r="L1548" t="str">
        <f>CONCATENATE(MONTH(CompilDonnées[[#This Row],[PlantationDate]])," ", YEAR(CompilDonnées[[#This Row],[PlantationDate]]))</f>
        <v>2 2025</v>
      </c>
      <c r="M1548" t="str">
        <f>CONCATENATE(MONTH(CompilDonnées[[#This Row],[HarvestingDate]])," ", YEAR(CompilDonnées[[#This Row],[HarvestingDate]]))</f>
        <v>4 2025</v>
      </c>
      <c r="N1548">
        <f>_xlfn.NUMBERVALUE(CompilDonnées[[#This Row],[FarmID]]&amp;CompilDonnées[[#This Row],[ModuleNumber]]&amp;CompilDonnées[[#This Row],[PlantationDate]])</f>
        <v>12245714</v>
      </c>
      <c r="O1548" t="str">
        <f>CompilDonnées[[#This Row],[FarmID]]&amp;CompilDonnées[[#This Row],[ModuleNumber]]</f>
        <v>122</v>
      </c>
      <c r="P1548" t="str">
        <f>CompilDonnées[[#This Row],[Ref_Module]]&amp;CompilDonnées[[#This Row],[HarvestingDate]]</f>
        <v>12245754</v>
      </c>
    </row>
    <row r="1549" spans="1:16">
      <c r="A1549" s="5">
        <v>45714</v>
      </c>
      <c r="B1549">
        <v>12</v>
      </c>
      <c r="C1549" t="s">
        <v>3</v>
      </c>
      <c r="D1549">
        <v>3</v>
      </c>
      <c r="E1549">
        <v>52</v>
      </c>
      <c r="F1549" t="s">
        <v>1</v>
      </c>
      <c r="G1549" s="6">
        <v>45754</v>
      </c>
      <c r="H1549">
        <v>40</v>
      </c>
      <c r="I1549">
        <f>ROUND(CompilDonnées[[#This Row],[CultureDuration_days]]/7,0)</f>
        <v>6</v>
      </c>
      <c r="J1549">
        <v>2104</v>
      </c>
      <c r="K1549" t="str">
        <f>_xlfn.CONCAT(WEEKNUM(CompilDonnées[[#This Row],[PlantationDate]]), " ", YEAR(CompilDonnées[[#This Row],[PlantationDate]]))</f>
        <v>9 2025</v>
      </c>
      <c r="L1549" t="str">
        <f>CONCATENATE(MONTH(CompilDonnées[[#This Row],[PlantationDate]])," ", YEAR(CompilDonnées[[#This Row],[PlantationDate]]))</f>
        <v>2 2025</v>
      </c>
      <c r="M1549" t="str">
        <f>CONCATENATE(MONTH(CompilDonnées[[#This Row],[HarvestingDate]])," ", YEAR(CompilDonnées[[#This Row],[HarvestingDate]]))</f>
        <v>4 2025</v>
      </c>
      <c r="N1549">
        <f>_xlfn.NUMBERVALUE(CompilDonnées[[#This Row],[FarmID]]&amp;CompilDonnées[[#This Row],[ModuleNumber]]&amp;CompilDonnées[[#This Row],[PlantationDate]])</f>
        <v>12345714</v>
      </c>
      <c r="O1549" t="str">
        <f>CompilDonnées[[#This Row],[FarmID]]&amp;CompilDonnées[[#This Row],[ModuleNumber]]</f>
        <v>123</v>
      </c>
      <c r="P1549" t="str">
        <f>CompilDonnées[[#This Row],[Ref_Module]]&amp;CompilDonnées[[#This Row],[HarvestingDate]]</f>
        <v>12345754</v>
      </c>
    </row>
    <row r="1550" spans="1:16">
      <c r="A1550" s="5">
        <v>45714</v>
      </c>
      <c r="B1550">
        <v>122</v>
      </c>
      <c r="C1550" t="s">
        <v>3</v>
      </c>
      <c r="D1550">
        <v>1</v>
      </c>
      <c r="E1550">
        <v>60</v>
      </c>
      <c r="F1550" t="s">
        <v>105</v>
      </c>
      <c r="G1550" s="6">
        <v>45771</v>
      </c>
      <c r="H1550">
        <v>57</v>
      </c>
      <c r="I1550">
        <f>ROUND(CompilDonnées[[#This Row],[CultureDuration_days]]/7,0)</f>
        <v>8</v>
      </c>
      <c r="J1550">
        <v>520</v>
      </c>
      <c r="K1550" t="str">
        <f>_xlfn.CONCAT(WEEKNUM(CompilDonnées[[#This Row],[PlantationDate]]), " ", YEAR(CompilDonnées[[#This Row],[PlantationDate]]))</f>
        <v>9 2025</v>
      </c>
      <c r="L1550" t="str">
        <f>CONCATENATE(MONTH(CompilDonnées[[#This Row],[PlantationDate]])," ", YEAR(CompilDonnées[[#This Row],[PlantationDate]]))</f>
        <v>2 2025</v>
      </c>
      <c r="M1550" t="str">
        <f>CONCATENATE(MONTH(CompilDonnées[[#This Row],[HarvestingDate]])," ", YEAR(CompilDonnées[[#This Row],[HarvestingDate]]))</f>
        <v>4 2025</v>
      </c>
      <c r="N1550">
        <f>_xlfn.NUMBERVALUE(CompilDonnées[[#This Row],[FarmID]]&amp;CompilDonnées[[#This Row],[ModuleNumber]]&amp;CompilDonnées[[#This Row],[PlantationDate]])</f>
        <v>122145714</v>
      </c>
      <c r="O1550" t="str">
        <f>CompilDonnées[[#This Row],[FarmID]]&amp;CompilDonnées[[#This Row],[ModuleNumber]]</f>
        <v>1221</v>
      </c>
      <c r="P1550" t="str">
        <f>CompilDonnées[[#This Row],[Ref_Module]]&amp;CompilDonnées[[#This Row],[HarvestingDate]]</f>
        <v>122145771</v>
      </c>
    </row>
    <row r="1551" spans="1:16">
      <c r="A1551" s="5">
        <v>45714</v>
      </c>
      <c r="B1551">
        <v>122</v>
      </c>
      <c r="C1551" t="s">
        <v>3</v>
      </c>
      <c r="D1551">
        <v>2</v>
      </c>
      <c r="E1551">
        <v>60</v>
      </c>
      <c r="F1551" t="s">
        <v>105</v>
      </c>
      <c r="G1551" s="6">
        <v>45772</v>
      </c>
      <c r="H1551">
        <v>58</v>
      </c>
      <c r="I1551">
        <f>ROUND(CompilDonnées[[#This Row],[CultureDuration_days]]/7,0)</f>
        <v>8</v>
      </c>
      <c r="J1551">
        <v>935</v>
      </c>
      <c r="K1551" t="str">
        <f>_xlfn.CONCAT(WEEKNUM(CompilDonnées[[#This Row],[PlantationDate]]), " ", YEAR(CompilDonnées[[#This Row],[PlantationDate]]))</f>
        <v>9 2025</v>
      </c>
      <c r="L1551" t="str">
        <f>CONCATENATE(MONTH(CompilDonnées[[#This Row],[PlantationDate]])," ", YEAR(CompilDonnées[[#This Row],[PlantationDate]]))</f>
        <v>2 2025</v>
      </c>
      <c r="M1551" t="str">
        <f>CONCATENATE(MONTH(CompilDonnées[[#This Row],[HarvestingDate]])," ", YEAR(CompilDonnées[[#This Row],[HarvestingDate]]))</f>
        <v>4 2025</v>
      </c>
      <c r="N1551">
        <f>_xlfn.NUMBERVALUE(CompilDonnées[[#This Row],[FarmID]]&amp;CompilDonnées[[#This Row],[ModuleNumber]]&amp;CompilDonnées[[#This Row],[PlantationDate]])</f>
        <v>122245714</v>
      </c>
      <c r="O1551" t="str">
        <f>CompilDonnées[[#This Row],[FarmID]]&amp;CompilDonnées[[#This Row],[ModuleNumber]]</f>
        <v>1222</v>
      </c>
      <c r="P1551" t="str">
        <f>CompilDonnées[[#This Row],[Ref_Module]]&amp;CompilDonnées[[#This Row],[HarvestingDate]]</f>
        <v>122245772</v>
      </c>
    </row>
    <row r="1552" spans="1:16">
      <c r="A1552" s="5">
        <v>45714</v>
      </c>
      <c r="B1552">
        <v>122</v>
      </c>
      <c r="C1552" t="s">
        <v>3</v>
      </c>
      <c r="D1552">
        <v>3</v>
      </c>
      <c r="E1552">
        <v>60</v>
      </c>
      <c r="F1552" t="s">
        <v>105</v>
      </c>
      <c r="G1552" s="6">
        <v>45772</v>
      </c>
      <c r="H1552">
        <v>58</v>
      </c>
      <c r="I1552">
        <f>ROUND(CompilDonnées[[#This Row],[CultureDuration_days]]/7,0)</f>
        <v>8</v>
      </c>
      <c r="J1552">
        <v>1012</v>
      </c>
      <c r="K1552" t="str">
        <f>_xlfn.CONCAT(WEEKNUM(CompilDonnées[[#This Row],[PlantationDate]]), " ", YEAR(CompilDonnées[[#This Row],[PlantationDate]]))</f>
        <v>9 2025</v>
      </c>
      <c r="L1552" t="str">
        <f>CONCATENATE(MONTH(CompilDonnées[[#This Row],[PlantationDate]])," ", YEAR(CompilDonnées[[#This Row],[PlantationDate]]))</f>
        <v>2 2025</v>
      </c>
      <c r="M1552" t="str">
        <f>CONCATENATE(MONTH(CompilDonnées[[#This Row],[HarvestingDate]])," ", YEAR(CompilDonnées[[#This Row],[HarvestingDate]]))</f>
        <v>4 2025</v>
      </c>
      <c r="N1552">
        <f>_xlfn.NUMBERVALUE(CompilDonnées[[#This Row],[FarmID]]&amp;CompilDonnées[[#This Row],[ModuleNumber]]&amp;CompilDonnées[[#This Row],[PlantationDate]])</f>
        <v>122345714</v>
      </c>
      <c r="O1552" t="str">
        <f>CompilDonnées[[#This Row],[FarmID]]&amp;CompilDonnées[[#This Row],[ModuleNumber]]</f>
        <v>1223</v>
      </c>
      <c r="P1552" t="str">
        <f>CompilDonnées[[#This Row],[Ref_Module]]&amp;CompilDonnées[[#This Row],[HarvestingDate]]</f>
        <v>122345772</v>
      </c>
    </row>
    <row r="1553" spans="1:16">
      <c r="A1553" s="5">
        <v>45714</v>
      </c>
      <c r="B1553">
        <v>122</v>
      </c>
      <c r="C1553" t="s">
        <v>3</v>
      </c>
      <c r="D1553">
        <v>4</v>
      </c>
      <c r="E1553">
        <v>60</v>
      </c>
      <c r="F1553" t="s">
        <v>105</v>
      </c>
      <c r="G1553" s="6">
        <v>45772</v>
      </c>
      <c r="H1553">
        <v>58</v>
      </c>
      <c r="I1553">
        <f>ROUND(CompilDonnées[[#This Row],[CultureDuration_days]]/7,0)</f>
        <v>8</v>
      </c>
      <c r="J1553">
        <v>982</v>
      </c>
      <c r="K1553" t="str">
        <f>_xlfn.CONCAT(WEEKNUM(CompilDonnées[[#This Row],[PlantationDate]]), " ", YEAR(CompilDonnées[[#This Row],[PlantationDate]]))</f>
        <v>9 2025</v>
      </c>
      <c r="L1553" t="str">
        <f>CONCATENATE(MONTH(CompilDonnées[[#This Row],[PlantationDate]])," ", YEAR(CompilDonnées[[#This Row],[PlantationDate]]))</f>
        <v>2 2025</v>
      </c>
      <c r="M1553" t="str">
        <f>CONCATENATE(MONTH(CompilDonnées[[#This Row],[HarvestingDate]])," ", YEAR(CompilDonnées[[#This Row],[HarvestingDate]]))</f>
        <v>4 2025</v>
      </c>
      <c r="N1553">
        <f>_xlfn.NUMBERVALUE(CompilDonnées[[#This Row],[FarmID]]&amp;CompilDonnées[[#This Row],[ModuleNumber]]&amp;CompilDonnées[[#This Row],[PlantationDate]])</f>
        <v>122445714</v>
      </c>
      <c r="O1553" t="str">
        <f>CompilDonnées[[#This Row],[FarmID]]&amp;CompilDonnées[[#This Row],[ModuleNumber]]</f>
        <v>1224</v>
      </c>
      <c r="P1553" t="str">
        <f>CompilDonnées[[#This Row],[Ref_Module]]&amp;CompilDonnées[[#This Row],[HarvestingDate]]</f>
        <v>122445772</v>
      </c>
    </row>
    <row r="1554" spans="1:16">
      <c r="A1554" s="5">
        <v>45714</v>
      </c>
      <c r="B1554">
        <v>122</v>
      </c>
      <c r="C1554" t="s">
        <v>3</v>
      </c>
      <c r="D1554">
        <v>5</v>
      </c>
      <c r="E1554">
        <v>60</v>
      </c>
      <c r="F1554" t="s">
        <v>105</v>
      </c>
      <c r="G1554" s="6">
        <v>45772</v>
      </c>
      <c r="H1554">
        <v>58</v>
      </c>
      <c r="I1554">
        <f>ROUND(CompilDonnées[[#This Row],[CultureDuration_days]]/7,0)</f>
        <v>8</v>
      </c>
      <c r="J1554">
        <v>872</v>
      </c>
      <c r="K1554" t="str">
        <f>_xlfn.CONCAT(WEEKNUM(CompilDonnées[[#This Row],[PlantationDate]]), " ", YEAR(CompilDonnées[[#This Row],[PlantationDate]]))</f>
        <v>9 2025</v>
      </c>
      <c r="L1554" t="str">
        <f>CONCATENATE(MONTH(CompilDonnées[[#This Row],[PlantationDate]])," ", YEAR(CompilDonnées[[#This Row],[PlantationDate]]))</f>
        <v>2 2025</v>
      </c>
      <c r="M1554" t="str">
        <f>CONCATENATE(MONTH(CompilDonnées[[#This Row],[HarvestingDate]])," ", YEAR(CompilDonnées[[#This Row],[HarvestingDate]]))</f>
        <v>4 2025</v>
      </c>
      <c r="N1554">
        <f>_xlfn.NUMBERVALUE(CompilDonnées[[#This Row],[FarmID]]&amp;CompilDonnées[[#This Row],[ModuleNumber]]&amp;CompilDonnées[[#This Row],[PlantationDate]])</f>
        <v>122545714</v>
      </c>
      <c r="O1554" t="str">
        <f>CompilDonnées[[#This Row],[FarmID]]&amp;CompilDonnées[[#This Row],[ModuleNumber]]</f>
        <v>1225</v>
      </c>
      <c r="P1554" t="str">
        <f>CompilDonnées[[#This Row],[Ref_Module]]&amp;CompilDonnées[[#This Row],[HarvestingDate]]</f>
        <v>122545772</v>
      </c>
    </row>
    <row r="1555" spans="1:16">
      <c r="A1555" s="5">
        <v>45715</v>
      </c>
      <c r="B1555">
        <v>70</v>
      </c>
      <c r="C1555" t="s">
        <v>7</v>
      </c>
      <c r="D1555">
        <v>5</v>
      </c>
      <c r="E1555">
        <v>100</v>
      </c>
      <c r="F1555" t="s">
        <v>1</v>
      </c>
      <c r="G1555" s="6">
        <v>45762</v>
      </c>
      <c r="H1555">
        <v>47</v>
      </c>
      <c r="I1555">
        <f>ROUND(CompilDonnées[[#This Row],[CultureDuration_days]]/7,0)</f>
        <v>7</v>
      </c>
      <c r="J1555">
        <v>2842</v>
      </c>
      <c r="K1555" t="str">
        <f>_xlfn.CONCAT(WEEKNUM(CompilDonnées[[#This Row],[PlantationDate]]), " ", YEAR(CompilDonnées[[#This Row],[PlantationDate]]))</f>
        <v>9 2025</v>
      </c>
      <c r="L1555" t="str">
        <f>CONCATENATE(MONTH(CompilDonnées[[#This Row],[PlantationDate]])," ", YEAR(CompilDonnées[[#This Row],[PlantationDate]]))</f>
        <v>2 2025</v>
      </c>
      <c r="M1555" t="str">
        <f>CONCATENATE(MONTH(CompilDonnées[[#This Row],[HarvestingDate]])," ", YEAR(CompilDonnées[[#This Row],[HarvestingDate]]))</f>
        <v>4 2025</v>
      </c>
      <c r="N1555">
        <f>_xlfn.NUMBERVALUE(CompilDonnées[[#This Row],[FarmID]]&amp;CompilDonnées[[#This Row],[ModuleNumber]]&amp;CompilDonnées[[#This Row],[PlantationDate]])</f>
        <v>70545715</v>
      </c>
      <c r="O1555" t="str">
        <f>CompilDonnées[[#This Row],[FarmID]]&amp;CompilDonnées[[#This Row],[ModuleNumber]]</f>
        <v>705</v>
      </c>
      <c r="P1555" t="str">
        <f>CompilDonnées[[#This Row],[Ref_Module]]&amp;CompilDonnées[[#This Row],[HarvestingDate]]</f>
        <v>70545762</v>
      </c>
    </row>
    <row r="1556" spans="1:16">
      <c r="A1556" s="5">
        <v>45715</v>
      </c>
      <c r="B1556">
        <v>61</v>
      </c>
      <c r="C1556" t="s">
        <v>95</v>
      </c>
      <c r="D1556">
        <v>5</v>
      </c>
      <c r="E1556">
        <v>100</v>
      </c>
      <c r="F1556" t="s">
        <v>1</v>
      </c>
      <c r="G1556" s="6">
        <v>45763</v>
      </c>
      <c r="H1556">
        <v>48</v>
      </c>
      <c r="I1556">
        <f>ROUND(CompilDonnées[[#This Row],[CultureDuration_days]]/7,0)</f>
        <v>7</v>
      </c>
      <c r="J1556">
        <v>2767</v>
      </c>
      <c r="K1556" t="str">
        <f>_xlfn.CONCAT(WEEKNUM(CompilDonnées[[#This Row],[PlantationDate]]), " ", YEAR(CompilDonnées[[#This Row],[PlantationDate]]))</f>
        <v>9 2025</v>
      </c>
      <c r="L1556" t="str">
        <f>CONCATENATE(MONTH(CompilDonnées[[#This Row],[PlantationDate]])," ", YEAR(CompilDonnées[[#This Row],[PlantationDate]]))</f>
        <v>2 2025</v>
      </c>
      <c r="M1556" t="str">
        <f>CONCATENATE(MONTH(CompilDonnées[[#This Row],[HarvestingDate]])," ", YEAR(CompilDonnées[[#This Row],[HarvestingDate]]))</f>
        <v>4 2025</v>
      </c>
      <c r="N1556">
        <f>_xlfn.NUMBERVALUE(CompilDonnées[[#This Row],[FarmID]]&amp;CompilDonnées[[#This Row],[ModuleNumber]]&amp;CompilDonnées[[#This Row],[PlantationDate]])</f>
        <v>61545715</v>
      </c>
      <c r="O1556" t="str">
        <f>CompilDonnées[[#This Row],[FarmID]]&amp;CompilDonnées[[#This Row],[ModuleNumber]]</f>
        <v>615</v>
      </c>
      <c r="P1556" t="str">
        <f>CompilDonnées[[#This Row],[Ref_Module]]&amp;CompilDonnées[[#This Row],[HarvestingDate]]</f>
        <v>61545763</v>
      </c>
    </row>
    <row r="1557" spans="1:16">
      <c r="A1557" s="5">
        <v>45715</v>
      </c>
      <c r="B1557">
        <v>61</v>
      </c>
      <c r="C1557" t="s">
        <v>95</v>
      </c>
      <c r="D1557">
        <v>6</v>
      </c>
      <c r="E1557">
        <v>100</v>
      </c>
      <c r="F1557" t="s">
        <v>1</v>
      </c>
      <c r="G1557" s="6">
        <v>45756</v>
      </c>
      <c r="H1557">
        <v>41</v>
      </c>
      <c r="I1557">
        <f>ROUND(CompilDonnées[[#This Row],[CultureDuration_days]]/7,0)</f>
        <v>6</v>
      </c>
      <c r="J1557">
        <v>2895</v>
      </c>
      <c r="K1557" t="str">
        <f>_xlfn.CONCAT(WEEKNUM(CompilDonnées[[#This Row],[PlantationDate]]), " ", YEAR(CompilDonnées[[#This Row],[PlantationDate]]))</f>
        <v>9 2025</v>
      </c>
      <c r="L1557" t="str">
        <f>CONCATENATE(MONTH(CompilDonnées[[#This Row],[PlantationDate]])," ", YEAR(CompilDonnées[[#This Row],[PlantationDate]]))</f>
        <v>2 2025</v>
      </c>
      <c r="M1557" t="str">
        <f>CONCATENATE(MONTH(CompilDonnées[[#This Row],[HarvestingDate]])," ", YEAR(CompilDonnées[[#This Row],[HarvestingDate]]))</f>
        <v>4 2025</v>
      </c>
      <c r="N1557">
        <f>_xlfn.NUMBERVALUE(CompilDonnées[[#This Row],[FarmID]]&amp;CompilDonnées[[#This Row],[ModuleNumber]]&amp;CompilDonnées[[#This Row],[PlantationDate]])</f>
        <v>61645715</v>
      </c>
      <c r="O1557" t="str">
        <f>CompilDonnées[[#This Row],[FarmID]]&amp;CompilDonnées[[#This Row],[ModuleNumber]]</f>
        <v>616</v>
      </c>
      <c r="P1557" t="str">
        <f>CompilDonnées[[#This Row],[Ref_Module]]&amp;CompilDonnées[[#This Row],[HarvestingDate]]</f>
        <v>61645756</v>
      </c>
    </row>
    <row r="1558" spans="1:16">
      <c r="A1558" s="5">
        <v>45715</v>
      </c>
      <c r="B1558">
        <v>53</v>
      </c>
      <c r="C1558" t="s">
        <v>83</v>
      </c>
      <c r="D1558">
        <v>2</v>
      </c>
      <c r="E1558">
        <v>100</v>
      </c>
      <c r="F1558" t="s">
        <v>1</v>
      </c>
      <c r="G1558" s="6">
        <v>45763</v>
      </c>
      <c r="H1558">
        <v>48</v>
      </c>
      <c r="I1558">
        <f>ROUND(CompilDonnées[[#This Row],[CultureDuration_days]]/7,0)</f>
        <v>7</v>
      </c>
      <c r="J1558">
        <v>3336</v>
      </c>
      <c r="K1558" t="str">
        <f>_xlfn.CONCAT(WEEKNUM(CompilDonnées[[#This Row],[PlantationDate]]), " ", YEAR(CompilDonnées[[#This Row],[PlantationDate]]))</f>
        <v>9 2025</v>
      </c>
      <c r="L1558" t="str">
        <f>CONCATENATE(MONTH(CompilDonnées[[#This Row],[PlantationDate]])," ", YEAR(CompilDonnées[[#This Row],[PlantationDate]]))</f>
        <v>2 2025</v>
      </c>
      <c r="M1558" t="str">
        <f>CONCATENATE(MONTH(CompilDonnées[[#This Row],[HarvestingDate]])," ", YEAR(CompilDonnées[[#This Row],[HarvestingDate]]))</f>
        <v>4 2025</v>
      </c>
      <c r="N1558">
        <f>_xlfn.NUMBERVALUE(CompilDonnées[[#This Row],[FarmID]]&amp;CompilDonnées[[#This Row],[ModuleNumber]]&amp;CompilDonnées[[#This Row],[PlantationDate]])</f>
        <v>53245715</v>
      </c>
      <c r="O1558" t="str">
        <f>CompilDonnées[[#This Row],[FarmID]]&amp;CompilDonnées[[#This Row],[ModuleNumber]]</f>
        <v>532</v>
      </c>
      <c r="P1558" t="str">
        <f>CompilDonnées[[#This Row],[Ref_Module]]&amp;CompilDonnées[[#This Row],[HarvestingDate]]</f>
        <v>53245763</v>
      </c>
    </row>
    <row r="1559" spans="1:16">
      <c r="A1559" s="5">
        <v>45715</v>
      </c>
      <c r="B1559">
        <v>47</v>
      </c>
      <c r="C1559" t="s">
        <v>12</v>
      </c>
      <c r="D1559">
        <v>1</v>
      </c>
      <c r="E1559">
        <v>100</v>
      </c>
      <c r="F1559" t="s">
        <v>1</v>
      </c>
      <c r="G1559" s="6">
        <v>45755</v>
      </c>
      <c r="H1559">
        <v>40</v>
      </c>
      <c r="I1559">
        <f>ROUND(CompilDonnées[[#This Row],[CultureDuration_days]]/7,0)</f>
        <v>6</v>
      </c>
      <c r="J1559">
        <v>3563</v>
      </c>
      <c r="K1559" t="str">
        <f>_xlfn.CONCAT(WEEKNUM(CompilDonnées[[#This Row],[PlantationDate]]), " ", YEAR(CompilDonnées[[#This Row],[PlantationDate]]))</f>
        <v>9 2025</v>
      </c>
      <c r="L1559" t="str">
        <f>CONCATENATE(MONTH(CompilDonnées[[#This Row],[PlantationDate]])," ", YEAR(CompilDonnées[[#This Row],[PlantationDate]]))</f>
        <v>2 2025</v>
      </c>
      <c r="M1559" t="str">
        <f>CONCATENATE(MONTH(CompilDonnées[[#This Row],[HarvestingDate]])," ", YEAR(CompilDonnées[[#This Row],[HarvestingDate]]))</f>
        <v>4 2025</v>
      </c>
      <c r="N1559">
        <f>_xlfn.NUMBERVALUE(CompilDonnées[[#This Row],[FarmID]]&amp;CompilDonnées[[#This Row],[ModuleNumber]]&amp;CompilDonnées[[#This Row],[PlantationDate]])</f>
        <v>47145715</v>
      </c>
      <c r="O1559" t="str">
        <f>CompilDonnées[[#This Row],[FarmID]]&amp;CompilDonnées[[#This Row],[ModuleNumber]]</f>
        <v>471</v>
      </c>
      <c r="P1559" t="str">
        <f>CompilDonnées[[#This Row],[Ref_Module]]&amp;CompilDonnées[[#This Row],[HarvestingDate]]</f>
        <v>47145755</v>
      </c>
    </row>
    <row r="1560" spans="1:16">
      <c r="A1560" s="5">
        <v>45715</v>
      </c>
      <c r="B1560">
        <v>39</v>
      </c>
      <c r="C1560" t="s">
        <v>81</v>
      </c>
      <c r="D1560">
        <v>1</v>
      </c>
      <c r="E1560">
        <v>100</v>
      </c>
      <c r="F1560" t="s">
        <v>1</v>
      </c>
      <c r="G1560" s="6">
        <v>45755</v>
      </c>
      <c r="H1560">
        <v>40</v>
      </c>
      <c r="I1560">
        <f>ROUND(CompilDonnées[[#This Row],[CultureDuration_days]]/7,0)</f>
        <v>6</v>
      </c>
      <c r="J1560">
        <v>3351</v>
      </c>
      <c r="K1560" t="str">
        <f>_xlfn.CONCAT(WEEKNUM(CompilDonnées[[#This Row],[PlantationDate]]), " ", YEAR(CompilDonnées[[#This Row],[PlantationDate]]))</f>
        <v>9 2025</v>
      </c>
      <c r="L1560" t="str">
        <f>CONCATENATE(MONTH(CompilDonnées[[#This Row],[PlantationDate]])," ", YEAR(CompilDonnées[[#This Row],[PlantationDate]]))</f>
        <v>2 2025</v>
      </c>
      <c r="M1560" t="str">
        <f>CONCATENATE(MONTH(CompilDonnées[[#This Row],[HarvestingDate]])," ", YEAR(CompilDonnées[[#This Row],[HarvestingDate]]))</f>
        <v>4 2025</v>
      </c>
      <c r="N1560">
        <f>_xlfn.NUMBERVALUE(CompilDonnées[[#This Row],[FarmID]]&amp;CompilDonnées[[#This Row],[ModuleNumber]]&amp;CompilDonnées[[#This Row],[PlantationDate]])</f>
        <v>39145715</v>
      </c>
      <c r="O1560" t="str">
        <f>CompilDonnées[[#This Row],[FarmID]]&amp;CompilDonnées[[#This Row],[ModuleNumber]]</f>
        <v>391</v>
      </c>
      <c r="P1560" t="str">
        <f>CompilDonnées[[#This Row],[Ref_Module]]&amp;CompilDonnées[[#This Row],[HarvestingDate]]</f>
        <v>39145755</v>
      </c>
    </row>
    <row r="1561" spans="1:16">
      <c r="A1561" s="5">
        <v>45715</v>
      </c>
      <c r="B1561">
        <v>63</v>
      </c>
      <c r="C1561" t="s">
        <v>98</v>
      </c>
      <c r="D1561">
        <v>5</v>
      </c>
      <c r="E1561">
        <v>100</v>
      </c>
      <c r="F1561" t="s">
        <v>1</v>
      </c>
      <c r="G1561" s="6">
        <v>45762</v>
      </c>
      <c r="H1561">
        <v>47</v>
      </c>
      <c r="I1561">
        <f>ROUND(CompilDonnées[[#This Row],[CultureDuration_days]]/7,0)</f>
        <v>7</v>
      </c>
      <c r="J1561">
        <v>3683</v>
      </c>
      <c r="K1561" t="str">
        <f>_xlfn.CONCAT(WEEKNUM(CompilDonnées[[#This Row],[PlantationDate]]), " ", YEAR(CompilDonnées[[#This Row],[PlantationDate]]))</f>
        <v>9 2025</v>
      </c>
      <c r="L1561" t="str">
        <f>CONCATENATE(MONTH(CompilDonnées[[#This Row],[PlantationDate]])," ", YEAR(CompilDonnées[[#This Row],[PlantationDate]]))</f>
        <v>2 2025</v>
      </c>
      <c r="M1561" t="str">
        <f>CONCATENATE(MONTH(CompilDonnées[[#This Row],[HarvestingDate]])," ", YEAR(CompilDonnées[[#This Row],[HarvestingDate]]))</f>
        <v>4 2025</v>
      </c>
      <c r="N1561">
        <f>_xlfn.NUMBERVALUE(CompilDonnées[[#This Row],[FarmID]]&amp;CompilDonnées[[#This Row],[ModuleNumber]]&amp;CompilDonnées[[#This Row],[PlantationDate]])</f>
        <v>63545715</v>
      </c>
      <c r="O1561" t="str">
        <f>CompilDonnées[[#This Row],[FarmID]]&amp;CompilDonnées[[#This Row],[ModuleNumber]]</f>
        <v>635</v>
      </c>
      <c r="P1561" t="str">
        <f>CompilDonnées[[#This Row],[Ref_Module]]&amp;CompilDonnées[[#This Row],[HarvestingDate]]</f>
        <v>63545762</v>
      </c>
    </row>
    <row r="1562" spans="1:16">
      <c r="A1562" s="5">
        <v>45715</v>
      </c>
      <c r="B1562">
        <v>63</v>
      </c>
      <c r="C1562" t="s">
        <v>98</v>
      </c>
      <c r="D1562">
        <v>6</v>
      </c>
      <c r="E1562">
        <v>100</v>
      </c>
      <c r="F1562" t="s">
        <v>1</v>
      </c>
      <c r="G1562" s="6">
        <v>45762</v>
      </c>
      <c r="H1562">
        <v>47</v>
      </c>
      <c r="I1562">
        <f>ROUND(CompilDonnées[[#This Row],[CultureDuration_days]]/7,0)</f>
        <v>7</v>
      </c>
      <c r="J1562">
        <v>1976</v>
      </c>
      <c r="K1562" t="str">
        <f>_xlfn.CONCAT(WEEKNUM(CompilDonnées[[#This Row],[PlantationDate]]), " ", YEAR(CompilDonnées[[#This Row],[PlantationDate]]))</f>
        <v>9 2025</v>
      </c>
      <c r="L1562" t="str">
        <f>CONCATENATE(MONTH(CompilDonnées[[#This Row],[PlantationDate]])," ", YEAR(CompilDonnées[[#This Row],[PlantationDate]]))</f>
        <v>2 2025</v>
      </c>
      <c r="M1562" t="str">
        <f>CONCATENATE(MONTH(CompilDonnées[[#This Row],[HarvestingDate]])," ", YEAR(CompilDonnées[[#This Row],[HarvestingDate]]))</f>
        <v>4 2025</v>
      </c>
      <c r="N1562">
        <f>_xlfn.NUMBERVALUE(CompilDonnées[[#This Row],[FarmID]]&amp;CompilDonnées[[#This Row],[ModuleNumber]]&amp;CompilDonnées[[#This Row],[PlantationDate]])</f>
        <v>63645715</v>
      </c>
      <c r="O1562" t="str">
        <f>CompilDonnées[[#This Row],[FarmID]]&amp;CompilDonnées[[#This Row],[ModuleNumber]]</f>
        <v>636</v>
      </c>
      <c r="P1562" t="str">
        <f>CompilDonnées[[#This Row],[Ref_Module]]&amp;CompilDonnées[[#This Row],[HarvestingDate]]</f>
        <v>63645762</v>
      </c>
    </row>
    <row r="1563" spans="1:16">
      <c r="A1563" s="5">
        <v>45715</v>
      </c>
      <c r="B1563">
        <v>10</v>
      </c>
      <c r="C1563" t="s">
        <v>109</v>
      </c>
      <c r="D1563">
        <v>5</v>
      </c>
      <c r="E1563">
        <v>100</v>
      </c>
      <c r="F1563" t="s">
        <v>1</v>
      </c>
      <c r="G1563" s="6">
        <v>45763</v>
      </c>
      <c r="H1563">
        <v>48</v>
      </c>
      <c r="I1563">
        <f>ROUND(CompilDonnées[[#This Row],[CultureDuration_days]]/7,0)</f>
        <v>7</v>
      </c>
      <c r="J1563">
        <v>2780</v>
      </c>
      <c r="K1563" t="str">
        <f>_xlfn.CONCAT(WEEKNUM(CompilDonnées[[#This Row],[PlantationDate]]), " ", YEAR(CompilDonnées[[#This Row],[PlantationDate]]))</f>
        <v>9 2025</v>
      </c>
      <c r="L1563" t="str">
        <f>CONCATENATE(MONTH(CompilDonnées[[#This Row],[PlantationDate]])," ", YEAR(CompilDonnées[[#This Row],[PlantationDate]]))</f>
        <v>2 2025</v>
      </c>
      <c r="M1563" t="str">
        <f>CONCATENATE(MONTH(CompilDonnées[[#This Row],[HarvestingDate]])," ", YEAR(CompilDonnées[[#This Row],[HarvestingDate]]))</f>
        <v>4 2025</v>
      </c>
      <c r="N1563">
        <f>_xlfn.NUMBERVALUE(CompilDonnées[[#This Row],[FarmID]]&amp;CompilDonnées[[#This Row],[ModuleNumber]]&amp;CompilDonnées[[#This Row],[PlantationDate]])</f>
        <v>10545715</v>
      </c>
      <c r="O1563" t="str">
        <f>CompilDonnées[[#This Row],[FarmID]]&amp;CompilDonnées[[#This Row],[ModuleNumber]]</f>
        <v>105</v>
      </c>
      <c r="P1563" t="str">
        <f>CompilDonnées[[#This Row],[Ref_Module]]&amp;CompilDonnées[[#This Row],[HarvestingDate]]</f>
        <v>10545763</v>
      </c>
    </row>
    <row r="1564" spans="1:16">
      <c r="A1564" s="5">
        <v>45715</v>
      </c>
      <c r="B1564">
        <v>126</v>
      </c>
      <c r="C1564" t="s">
        <v>52</v>
      </c>
      <c r="D1564">
        <v>5</v>
      </c>
      <c r="E1564">
        <v>100</v>
      </c>
      <c r="F1564" t="s">
        <v>1</v>
      </c>
      <c r="G1564" s="6">
        <v>45761</v>
      </c>
      <c r="H1564">
        <v>46</v>
      </c>
      <c r="I1564">
        <f>ROUND(CompilDonnées[[#This Row],[CultureDuration_days]]/7,0)</f>
        <v>7</v>
      </c>
      <c r="J1564">
        <v>2520</v>
      </c>
      <c r="K1564" t="str">
        <f>_xlfn.CONCAT(WEEKNUM(CompilDonnées[[#This Row],[PlantationDate]]), " ", YEAR(CompilDonnées[[#This Row],[PlantationDate]]))</f>
        <v>9 2025</v>
      </c>
      <c r="L1564" t="str">
        <f>CONCATENATE(MONTH(CompilDonnées[[#This Row],[PlantationDate]])," ", YEAR(CompilDonnées[[#This Row],[PlantationDate]]))</f>
        <v>2 2025</v>
      </c>
      <c r="M1564" t="str">
        <f>CONCATENATE(MONTH(CompilDonnées[[#This Row],[HarvestingDate]])," ", YEAR(CompilDonnées[[#This Row],[HarvestingDate]]))</f>
        <v>4 2025</v>
      </c>
      <c r="N1564">
        <f>_xlfn.NUMBERVALUE(CompilDonnées[[#This Row],[FarmID]]&amp;CompilDonnées[[#This Row],[ModuleNumber]]&amp;CompilDonnées[[#This Row],[PlantationDate]])</f>
        <v>126545715</v>
      </c>
      <c r="O1564" t="str">
        <f>CompilDonnées[[#This Row],[FarmID]]&amp;CompilDonnées[[#This Row],[ModuleNumber]]</f>
        <v>1265</v>
      </c>
      <c r="P1564" t="str">
        <f>CompilDonnées[[#This Row],[Ref_Module]]&amp;CompilDonnées[[#This Row],[HarvestingDate]]</f>
        <v>126545761</v>
      </c>
    </row>
    <row r="1565" spans="1:16">
      <c r="A1565" s="5">
        <v>45715</v>
      </c>
      <c r="B1565">
        <v>41</v>
      </c>
      <c r="C1565" t="s">
        <v>70</v>
      </c>
      <c r="D1565">
        <v>4</v>
      </c>
      <c r="E1565">
        <v>100</v>
      </c>
      <c r="F1565" t="s">
        <v>1</v>
      </c>
      <c r="G1565" s="6">
        <v>45755</v>
      </c>
      <c r="H1565">
        <v>40</v>
      </c>
      <c r="I1565">
        <f>ROUND(CompilDonnées[[#This Row],[CultureDuration_days]]/7,0)</f>
        <v>6</v>
      </c>
      <c r="J1565">
        <v>4241</v>
      </c>
      <c r="K1565" t="str">
        <f>_xlfn.CONCAT(WEEKNUM(CompilDonnées[[#This Row],[PlantationDate]]), " ", YEAR(CompilDonnées[[#This Row],[PlantationDate]]))</f>
        <v>9 2025</v>
      </c>
      <c r="L1565" t="str">
        <f>CONCATENATE(MONTH(CompilDonnées[[#This Row],[PlantationDate]])," ", YEAR(CompilDonnées[[#This Row],[PlantationDate]]))</f>
        <v>2 2025</v>
      </c>
      <c r="M1565" t="str">
        <f>CONCATENATE(MONTH(CompilDonnées[[#This Row],[HarvestingDate]])," ", YEAR(CompilDonnées[[#This Row],[HarvestingDate]]))</f>
        <v>4 2025</v>
      </c>
      <c r="N1565">
        <f>_xlfn.NUMBERVALUE(CompilDonnées[[#This Row],[FarmID]]&amp;CompilDonnées[[#This Row],[ModuleNumber]]&amp;CompilDonnées[[#This Row],[PlantationDate]])</f>
        <v>41445715</v>
      </c>
      <c r="O1565" t="str">
        <f>CompilDonnées[[#This Row],[FarmID]]&amp;CompilDonnées[[#This Row],[ModuleNumber]]</f>
        <v>414</v>
      </c>
      <c r="P1565" t="str">
        <f>CompilDonnées[[#This Row],[Ref_Module]]&amp;CompilDonnées[[#This Row],[HarvestingDate]]</f>
        <v>41445755</v>
      </c>
    </row>
    <row r="1566" spans="1:16">
      <c r="A1566" s="5">
        <v>45715</v>
      </c>
      <c r="B1566">
        <v>43</v>
      </c>
      <c r="C1566" t="s">
        <v>45</v>
      </c>
      <c r="D1566">
        <v>6</v>
      </c>
      <c r="E1566">
        <v>100</v>
      </c>
      <c r="F1566" t="s">
        <v>1</v>
      </c>
      <c r="G1566" s="6">
        <v>45755</v>
      </c>
      <c r="H1566">
        <v>40</v>
      </c>
      <c r="I1566">
        <f>ROUND(CompilDonnées[[#This Row],[CultureDuration_days]]/7,0)</f>
        <v>6</v>
      </c>
      <c r="J1566">
        <v>3657</v>
      </c>
      <c r="K1566" t="str">
        <f>_xlfn.CONCAT(WEEKNUM(CompilDonnées[[#This Row],[PlantationDate]]), " ", YEAR(CompilDonnées[[#This Row],[PlantationDate]]))</f>
        <v>9 2025</v>
      </c>
      <c r="L1566" t="str">
        <f>CONCATENATE(MONTH(CompilDonnées[[#This Row],[PlantationDate]])," ", YEAR(CompilDonnées[[#This Row],[PlantationDate]]))</f>
        <v>2 2025</v>
      </c>
      <c r="M1566" t="str">
        <f>CONCATENATE(MONTH(CompilDonnées[[#This Row],[HarvestingDate]])," ", YEAR(CompilDonnées[[#This Row],[HarvestingDate]]))</f>
        <v>4 2025</v>
      </c>
      <c r="N1566">
        <f>_xlfn.NUMBERVALUE(CompilDonnées[[#This Row],[FarmID]]&amp;CompilDonnées[[#This Row],[ModuleNumber]]&amp;CompilDonnées[[#This Row],[PlantationDate]])</f>
        <v>43645715</v>
      </c>
      <c r="O1566" t="str">
        <f>CompilDonnées[[#This Row],[FarmID]]&amp;CompilDonnées[[#This Row],[ModuleNumber]]</f>
        <v>436</v>
      </c>
      <c r="P1566" t="str">
        <f>CompilDonnées[[#This Row],[Ref_Module]]&amp;CompilDonnées[[#This Row],[HarvestingDate]]</f>
        <v>43645755</v>
      </c>
    </row>
    <row r="1567" spans="1:16">
      <c r="A1567" s="5">
        <v>45715</v>
      </c>
      <c r="B1567">
        <v>37</v>
      </c>
      <c r="C1567" t="s">
        <v>26</v>
      </c>
      <c r="D1567">
        <v>2</v>
      </c>
      <c r="E1567">
        <v>100</v>
      </c>
      <c r="F1567" t="s">
        <v>1</v>
      </c>
      <c r="G1567" s="6">
        <v>45755</v>
      </c>
      <c r="H1567">
        <v>40</v>
      </c>
      <c r="I1567">
        <f>ROUND(CompilDonnées[[#This Row],[CultureDuration_days]]/7,0)</f>
        <v>6</v>
      </c>
      <c r="J1567">
        <v>3388</v>
      </c>
      <c r="K1567" t="str">
        <f>_xlfn.CONCAT(WEEKNUM(CompilDonnées[[#This Row],[PlantationDate]]), " ", YEAR(CompilDonnées[[#This Row],[PlantationDate]]))</f>
        <v>9 2025</v>
      </c>
      <c r="L1567" t="str">
        <f>CONCATENATE(MONTH(CompilDonnées[[#This Row],[PlantationDate]])," ", YEAR(CompilDonnées[[#This Row],[PlantationDate]]))</f>
        <v>2 2025</v>
      </c>
      <c r="M1567" t="str">
        <f>CONCATENATE(MONTH(CompilDonnées[[#This Row],[HarvestingDate]])," ", YEAR(CompilDonnées[[#This Row],[HarvestingDate]]))</f>
        <v>4 2025</v>
      </c>
      <c r="N1567">
        <f>_xlfn.NUMBERVALUE(CompilDonnées[[#This Row],[FarmID]]&amp;CompilDonnées[[#This Row],[ModuleNumber]]&amp;CompilDonnées[[#This Row],[PlantationDate]])</f>
        <v>37245715</v>
      </c>
      <c r="O1567" t="str">
        <f>CompilDonnées[[#This Row],[FarmID]]&amp;CompilDonnées[[#This Row],[ModuleNumber]]</f>
        <v>372</v>
      </c>
      <c r="P1567" t="str">
        <f>CompilDonnées[[#This Row],[Ref_Module]]&amp;CompilDonnées[[#This Row],[HarvestingDate]]</f>
        <v>37245755</v>
      </c>
    </row>
    <row r="1568" spans="1:16">
      <c r="A1568" s="5">
        <v>45715</v>
      </c>
      <c r="B1568">
        <v>29</v>
      </c>
      <c r="C1568" t="s">
        <v>2</v>
      </c>
      <c r="D1568">
        <v>5</v>
      </c>
      <c r="E1568">
        <v>100</v>
      </c>
      <c r="F1568" t="s">
        <v>1</v>
      </c>
      <c r="G1568" s="6">
        <v>45755</v>
      </c>
      <c r="H1568">
        <v>40</v>
      </c>
      <c r="I1568">
        <f>ROUND(CompilDonnées[[#This Row],[CultureDuration_days]]/7,0)</f>
        <v>6</v>
      </c>
      <c r="J1568">
        <v>2702</v>
      </c>
      <c r="K1568" t="str">
        <f>_xlfn.CONCAT(WEEKNUM(CompilDonnées[[#This Row],[PlantationDate]]), " ", YEAR(CompilDonnées[[#This Row],[PlantationDate]]))</f>
        <v>9 2025</v>
      </c>
      <c r="L1568" t="str">
        <f>CONCATENATE(MONTH(CompilDonnées[[#This Row],[PlantationDate]])," ", YEAR(CompilDonnées[[#This Row],[PlantationDate]]))</f>
        <v>2 2025</v>
      </c>
      <c r="M1568" t="str">
        <f>CONCATENATE(MONTH(CompilDonnées[[#This Row],[HarvestingDate]])," ", YEAR(CompilDonnées[[#This Row],[HarvestingDate]]))</f>
        <v>4 2025</v>
      </c>
      <c r="N1568">
        <f>_xlfn.NUMBERVALUE(CompilDonnées[[#This Row],[FarmID]]&amp;CompilDonnées[[#This Row],[ModuleNumber]]&amp;CompilDonnées[[#This Row],[PlantationDate]])</f>
        <v>29545715</v>
      </c>
      <c r="O1568" t="str">
        <f>CompilDonnées[[#This Row],[FarmID]]&amp;CompilDonnées[[#This Row],[ModuleNumber]]</f>
        <v>295</v>
      </c>
      <c r="P1568" t="str">
        <f>CompilDonnées[[#This Row],[Ref_Module]]&amp;CompilDonnées[[#This Row],[HarvestingDate]]</f>
        <v>29545755</v>
      </c>
    </row>
    <row r="1569" spans="1:16">
      <c r="A1569" s="5">
        <v>45715</v>
      </c>
      <c r="B1569">
        <v>50</v>
      </c>
      <c r="C1569" t="s">
        <v>55</v>
      </c>
      <c r="D1569">
        <v>4</v>
      </c>
      <c r="E1569">
        <v>100</v>
      </c>
      <c r="F1569" t="s">
        <v>1</v>
      </c>
      <c r="G1569" s="6">
        <v>45756</v>
      </c>
      <c r="H1569">
        <v>41</v>
      </c>
      <c r="I1569">
        <f>ROUND(CompilDonnées[[#This Row],[CultureDuration_days]]/7,0)</f>
        <v>6</v>
      </c>
      <c r="J1569">
        <v>3272</v>
      </c>
      <c r="K1569" t="str">
        <f>_xlfn.CONCAT(WEEKNUM(CompilDonnées[[#This Row],[PlantationDate]]), " ", YEAR(CompilDonnées[[#This Row],[PlantationDate]]))</f>
        <v>9 2025</v>
      </c>
      <c r="L1569" t="str">
        <f>CONCATENATE(MONTH(CompilDonnées[[#This Row],[PlantationDate]])," ", YEAR(CompilDonnées[[#This Row],[PlantationDate]]))</f>
        <v>2 2025</v>
      </c>
      <c r="M1569" t="str">
        <f>CONCATENATE(MONTH(CompilDonnées[[#This Row],[HarvestingDate]])," ", YEAR(CompilDonnées[[#This Row],[HarvestingDate]]))</f>
        <v>4 2025</v>
      </c>
      <c r="N1569">
        <f>_xlfn.NUMBERVALUE(CompilDonnées[[#This Row],[FarmID]]&amp;CompilDonnées[[#This Row],[ModuleNumber]]&amp;CompilDonnées[[#This Row],[PlantationDate]])</f>
        <v>50445715</v>
      </c>
      <c r="O1569" t="str">
        <f>CompilDonnées[[#This Row],[FarmID]]&amp;CompilDonnées[[#This Row],[ModuleNumber]]</f>
        <v>504</v>
      </c>
      <c r="P1569" t="str">
        <f>CompilDonnées[[#This Row],[Ref_Module]]&amp;CompilDonnées[[#This Row],[HarvestingDate]]</f>
        <v>50445756</v>
      </c>
    </row>
    <row r="1570" spans="1:16">
      <c r="A1570" s="5">
        <v>45715</v>
      </c>
      <c r="B1570">
        <v>81</v>
      </c>
      <c r="C1570" t="s">
        <v>30</v>
      </c>
      <c r="D1570">
        <v>3</v>
      </c>
      <c r="E1570">
        <v>100</v>
      </c>
      <c r="F1570" t="s">
        <v>1</v>
      </c>
      <c r="G1570" s="6">
        <v>45762</v>
      </c>
      <c r="H1570">
        <v>47</v>
      </c>
      <c r="I1570">
        <f>ROUND(CompilDonnées[[#This Row],[CultureDuration_days]]/7,0)</f>
        <v>7</v>
      </c>
      <c r="J1570">
        <v>3414</v>
      </c>
      <c r="K1570" t="str">
        <f>_xlfn.CONCAT(WEEKNUM(CompilDonnées[[#This Row],[PlantationDate]]), " ", YEAR(CompilDonnées[[#This Row],[PlantationDate]]))</f>
        <v>9 2025</v>
      </c>
      <c r="L1570" t="str">
        <f>CONCATENATE(MONTH(CompilDonnées[[#This Row],[PlantationDate]])," ", YEAR(CompilDonnées[[#This Row],[PlantationDate]]))</f>
        <v>2 2025</v>
      </c>
      <c r="M1570" t="str">
        <f>CONCATENATE(MONTH(CompilDonnées[[#This Row],[HarvestingDate]])," ", YEAR(CompilDonnées[[#This Row],[HarvestingDate]]))</f>
        <v>4 2025</v>
      </c>
      <c r="N1570">
        <f>_xlfn.NUMBERVALUE(CompilDonnées[[#This Row],[FarmID]]&amp;CompilDonnées[[#This Row],[ModuleNumber]]&amp;CompilDonnées[[#This Row],[PlantationDate]])</f>
        <v>81345715</v>
      </c>
      <c r="O1570" t="str">
        <f>CompilDonnées[[#This Row],[FarmID]]&amp;CompilDonnées[[#This Row],[ModuleNumber]]</f>
        <v>813</v>
      </c>
      <c r="P1570" t="str">
        <f>CompilDonnées[[#This Row],[Ref_Module]]&amp;CompilDonnées[[#This Row],[HarvestingDate]]</f>
        <v>81345762</v>
      </c>
    </row>
    <row r="1571" spans="1:16">
      <c r="A1571" s="5">
        <v>45715</v>
      </c>
      <c r="B1571">
        <v>81</v>
      </c>
      <c r="C1571" t="s">
        <v>30</v>
      </c>
      <c r="D1571">
        <v>6</v>
      </c>
      <c r="E1571">
        <v>100</v>
      </c>
      <c r="F1571" t="s">
        <v>1</v>
      </c>
      <c r="G1571" s="6">
        <v>45757</v>
      </c>
      <c r="H1571">
        <v>42</v>
      </c>
      <c r="I1571">
        <f>ROUND(CompilDonnées[[#This Row],[CultureDuration_days]]/7,0)</f>
        <v>6</v>
      </c>
      <c r="J1571">
        <v>3860</v>
      </c>
      <c r="K1571" t="str">
        <f>_xlfn.CONCAT(WEEKNUM(CompilDonnées[[#This Row],[PlantationDate]]), " ", YEAR(CompilDonnées[[#This Row],[PlantationDate]]))</f>
        <v>9 2025</v>
      </c>
      <c r="L1571" t="str">
        <f>CONCATENATE(MONTH(CompilDonnées[[#This Row],[PlantationDate]])," ", YEAR(CompilDonnées[[#This Row],[PlantationDate]]))</f>
        <v>2 2025</v>
      </c>
      <c r="M1571" t="str">
        <f>CONCATENATE(MONTH(CompilDonnées[[#This Row],[HarvestingDate]])," ", YEAR(CompilDonnées[[#This Row],[HarvestingDate]]))</f>
        <v>4 2025</v>
      </c>
      <c r="N1571">
        <f>_xlfn.NUMBERVALUE(CompilDonnées[[#This Row],[FarmID]]&amp;CompilDonnées[[#This Row],[ModuleNumber]]&amp;CompilDonnées[[#This Row],[PlantationDate]])</f>
        <v>81645715</v>
      </c>
      <c r="O1571" t="str">
        <f>CompilDonnées[[#This Row],[FarmID]]&amp;CompilDonnées[[#This Row],[ModuleNumber]]</f>
        <v>816</v>
      </c>
      <c r="P1571" t="str">
        <f>CompilDonnées[[#This Row],[Ref_Module]]&amp;CompilDonnées[[#This Row],[HarvestingDate]]</f>
        <v>81645757</v>
      </c>
    </row>
    <row r="1572" spans="1:16">
      <c r="A1572" s="5">
        <v>45715</v>
      </c>
      <c r="B1572">
        <v>57</v>
      </c>
      <c r="C1572" t="s">
        <v>46</v>
      </c>
      <c r="D1572">
        <v>5</v>
      </c>
      <c r="E1572">
        <v>100</v>
      </c>
      <c r="F1572" t="s">
        <v>1</v>
      </c>
      <c r="G1572" s="6">
        <v>45756</v>
      </c>
      <c r="H1572">
        <v>41</v>
      </c>
      <c r="I1572">
        <f>ROUND(CompilDonnées[[#This Row],[CultureDuration_days]]/7,0)</f>
        <v>6</v>
      </c>
      <c r="J1572">
        <v>3749</v>
      </c>
      <c r="K1572" t="str">
        <f>_xlfn.CONCAT(WEEKNUM(CompilDonnées[[#This Row],[PlantationDate]]), " ", YEAR(CompilDonnées[[#This Row],[PlantationDate]]))</f>
        <v>9 2025</v>
      </c>
      <c r="L1572" t="str">
        <f>CONCATENATE(MONTH(CompilDonnées[[#This Row],[PlantationDate]])," ", YEAR(CompilDonnées[[#This Row],[PlantationDate]]))</f>
        <v>2 2025</v>
      </c>
      <c r="M1572" t="str">
        <f>CONCATENATE(MONTH(CompilDonnées[[#This Row],[HarvestingDate]])," ", YEAR(CompilDonnées[[#This Row],[HarvestingDate]]))</f>
        <v>4 2025</v>
      </c>
      <c r="N1572">
        <f>_xlfn.NUMBERVALUE(CompilDonnées[[#This Row],[FarmID]]&amp;CompilDonnées[[#This Row],[ModuleNumber]]&amp;CompilDonnées[[#This Row],[PlantationDate]])</f>
        <v>57545715</v>
      </c>
      <c r="O1572" t="str">
        <f>CompilDonnées[[#This Row],[FarmID]]&amp;CompilDonnées[[#This Row],[ModuleNumber]]</f>
        <v>575</v>
      </c>
      <c r="P1572" t="str">
        <f>CompilDonnées[[#This Row],[Ref_Module]]&amp;CompilDonnées[[#This Row],[HarvestingDate]]</f>
        <v>57545756</v>
      </c>
    </row>
    <row r="1573" spans="1:16">
      <c r="A1573" s="5">
        <v>45715</v>
      </c>
      <c r="B1573">
        <v>58</v>
      </c>
      <c r="C1573" t="s">
        <v>35</v>
      </c>
      <c r="D1573">
        <v>4</v>
      </c>
      <c r="E1573">
        <v>100</v>
      </c>
      <c r="F1573" t="s">
        <v>1</v>
      </c>
      <c r="G1573" s="6">
        <v>45756</v>
      </c>
      <c r="H1573">
        <v>41</v>
      </c>
      <c r="I1573">
        <f>ROUND(CompilDonnées[[#This Row],[CultureDuration_days]]/7,0)</f>
        <v>6</v>
      </c>
      <c r="J1573">
        <v>3060</v>
      </c>
      <c r="K1573" t="str">
        <f>_xlfn.CONCAT(WEEKNUM(CompilDonnées[[#This Row],[PlantationDate]]), " ", YEAR(CompilDonnées[[#This Row],[PlantationDate]]))</f>
        <v>9 2025</v>
      </c>
      <c r="L1573" t="str">
        <f>CONCATENATE(MONTH(CompilDonnées[[#This Row],[PlantationDate]])," ", YEAR(CompilDonnées[[#This Row],[PlantationDate]]))</f>
        <v>2 2025</v>
      </c>
      <c r="M1573" t="str">
        <f>CONCATENATE(MONTH(CompilDonnées[[#This Row],[HarvestingDate]])," ", YEAR(CompilDonnées[[#This Row],[HarvestingDate]]))</f>
        <v>4 2025</v>
      </c>
      <c r="N1573">
        <f>_xlfn.NUMBERVALUE(CompilDonnées[[#This Row],[FarmID]]&amp;CompilDonnées[[#This Row],[ModuleNumber]]&amp;CompilDonnées[[#This Row],[PlantationDate]])</f>
        <v>58445715</v>
      </c>
      <c r="O1573" t="str">
        <f>CompilDonnées[[#This Row],[FarmID]]&amp;CompilDonnées[[#This Row],[ModuleNumber]]</f>
        <v>584</v>
      </c>
      <c r="P1573" t="str">
        <f>CompilDonnées[[#This Row],[Ref_Module]]&amp;CompilDonnées[[#This Row],[HarvestingDate]]</f>
        <v>58445756</v>
      </c>
    </row>
    <row r="1574" spans="1:16">
      <c r="A1574" s="5">
        <v>45715</v>
      </c>
      <c r="B1574">
        <v>66</v>
      </c>
      <c r="C1574" t="s">
        <v>48</v>
      </c>
      <c r="D1574">
        <v>2</v>
      </c>
      <c r="E1574">
        <v>100</v>
      </c>
      <c r="F1574" t="s">
        <v>1</v>
      </c>
      <c r="G1574" s="6">
        <v>45756</v>
      </c>
      <c r="H1574">
        <v>41</v>
      </c>
      <c r="I1574">
        <f>ROUND(CompilDonnées[[#This Row],[CultureDuration_days]]/7,0)</f>
        <v>6</v>
      </c>
      <c r="J1574">
        <v>2742</v>
      </c>
      <c r="K1574" t="str">
        <f>_xlfn.CONCAT(WEEKNUM(CompilDonnées[[#This Row],[PlantationDate]]), " ", YEAR(CompilDonnées[[#This Row],[PlantationDate]]))</f>
        <v>9 2025</v>
      </c>
      <c r="L1574" t="str">
        <f>CONCATENATE(MONTH(CompilDonnées[[#This Row],[PlantationDate]])," ", YEAR(CompilDonnées[[#This Row],[PlantationDate]]))</f>
        <v>2 2025</v>
      </c>
      <c r="M1574" t="str">
        <f>CONCATENATE(MONTH(CompilDonnées[[#This Row],[HarvestingDate]])," ", YEAR(CompilDonnées[[#This Row],[HarvestingDate]]))</f>
        <v>4 2025</v>
      </c>
      <c r="N1574">
        <f>_xlfn.NUMBERVALUE(CompilDonnées[[#This Row],[FarmID]]&amp;CompilDonnées[[#This Row],[ModuleNumber]]&amp;CompilDonnées[[#This Row],[PlantationDate]])</f>
        <v>66245715</v>
      </c>
      <c r="O1574" t="str">
        <f>CompilDonnées[[#This Row],[FarmID]]&amp;CompilDonnées[[#This Row],[ModuleNumber]]</f>
        <v>662</v>
      </c>
      <c r="P1574" t="str">
        <f>CompilDonnées[[#This Row],[Ref_Module]]&amp;CompilDonnées[[#This Row],[HarvestingDate]]</f>
        <v>66245756</v>
      </c>
    </row>
    <row r="1575" spans="1:16">
      <c r="A1575" s="5">
        <v>45715</v>
      </c>
      <c r="B1575">
        <v>67</v>
      </c>
      <c r="C1575" t="s">
        <v>28</v>
      </c>
      <c r="D1575">
        <v>2</v>
      </c>
      <c r="E1575">
        <v>100</v>
      </c>
      <c r="F1575" t="s">
        <v>1</v>
      </c>
      <c r="G1575" s="6">
        <v>45756</v>
      </c>
      <c r="H1575">
        <v>41</v>
      </c>
      <c r="I1575">
        <f>ROUND(CompilDonnées[[#This Row],[CultureDuration_days]]/7,0)</f>
        <v>6</v>
      </c>
      <c r="J1575">
        <v>3066</v>
      </c>
      <c r="K1575" t="str">
        <f>_xlfn.CONCAT(WEEKNUM(CompilDonnées[[#This Row],[PlantationDate]]), " ", YEAR(CompilDonnées[[#This Row],[PlantationDate]]))</f>
        <v>9 2025</v>
      </c>
      <c r="L1575" t="str">
        <f>CONCATENATE(MONTH(CompilDonnées[[#This Row],[PlantationDate]])," ", YEAR(CompilDonnées[[#This Row],[PlantationDate]]))</f>
        <v>2 2025</v>
      </c>
      <c r="M1575" t="str">
        <f>CONCATENATE(MONTH(CompilDonnées[[#This Row],[HarvestingDate]])," ", YEAR(CompilDonnées[[#This Row],[HarvestingDate]]))</f>
        <v>4 2025</v>
      </c>
      <c r="N1575">
        <f>_xlfn.NUMBERVALUE(CompilDonnées[[#This Row],[FarmID]]&amp;CompilDonnées[[#This Row],[ModuleNumber]]&amp;CompilDonnées[[#This Row],[PlantationDate]])</f>
        <v>67245715</v>
      </c>
      <c r="O1575" t="str">
        <f>CompilDonnées[[#This Row],[FarmID]]&amp;CompilDonnées[[#This Row],[ModuleNumber]]</f>
        <v>672</v>
      </c>
      <c r="P1575" t="str">
        <f>CompilDonnées[[#This Row],[Ref_Module]]&amp;CompilDonnées[[#This Row],[HarvestingDate]]</f>
        <v>67245756</v>
      </c>
    </row>
    <row r="1576" spans="1:16">
      <c r="A1576" s="5">
        <v>45715</v>
      </c>
      <c r="B1576">
        <v>79</v>
      </c>
      <c r="C1576" t="s">
        <v>61</v>
      </c>
      <c r="D1576">
        <v>6</v>
      </c>
      <c r="E1576">
        <v>100</v>
      </c>
      <c r="F1576" t="s">
        <v>1</v>
      </c>
      <c r="G1576" s="6">
        <v>45757</v>
      </c>
      <c r="H1576">
        <v>42</v>
      </c>
      <c r="I1576">
        <f>ROUND(CompilDonnées[[#This Row],[CultureDuration_days]]/7,0)</f>
        <v>6</v>
      </c>
      <c r="J1576">
        <v>2849</v>
      </c>
      <c r="K1576" t="str">
        <f>_xlfn.CONCAT(WEEKNUM(CompilDonnées[[#This Row],[PlantationDate]]), " ", YEAR(CompilDonnées[[#This Row],[PlantationDate]]))</f>
        <v>9 2025</v>
      </c>
      <c r="L1576" t="str">
        <f>CONCATENATE(MONTH(CompilDonnées[[#This Row],[PlantationDate]])," ", YEAR(CompilDonnées[[#This Row],[PlantationDate]]))</f>
        <v>2 2025</v>
      </c>
      <c r="M1576" t="str">
        <f>CONCATENATE(MONTH(CompilDonnées[[#This Row],[HarvestingDate]])," ", YEAR(CompilDonnées[[#This Row],[HarvestingDate]]))</f>
        <v>4 2025</v>
      </c>
      <c r="N1576">
        <f>_xlfn.NUMBERVALUE(CompilDonnées[[#This Row],[FarmID]]&amp;CompilDonnées[[#This Row],[ModuleNumber]]&amp;CompilDonnées[[#This Row],[PlantationDate]])</f>
        <v>79645715</v>
      </c>
      <c r="O1576" t="str">
        <f>CompilDonnées[[#This Row],[FarmID]]&amp;CompilDonnées[[#This Row],[ModuleNumber]]</f>
        <v>796</v>
      </c>
      <c r="P1576" t="str">
        <f>CompilDonnées[[#This Row],[Ref_Module]]&amp;CompilDonnées[[#This Row],[HarvestingDate]]</f>
        <v>79645757</v>
      </c>
    </row>
    <row r="1577" spans="1:16">
      <c r="A1577" s="5">
        <v>45715</v>
      </c>
      <c r="B1577">
        <v>64</v>
      </c>
      <c r="C1577" t="s">
        <v>47</v>
      </c>
      <c r="D1577">
        <v>6</v>
      </c>
      <c r="E1577">
        <v>100</v>
      </c>
      <c r="F1577" t="s">
        <v>1</v>
      </c>
      <c r="G1577" s="6">
        <v>45756</v>
      </c>
      <c r="H1577">
        <v>41</v>
      </c>
      <c r="I1577">
        <f>ROUND(CompilDonnées[[#This Row],[CultureDuration_days]]/7,0)</f>
        <v>6</v>
      </c>
      <c r="J1577">
        <v>3443</v>
      </c>
      <c r="K1577" t="str">
        <f>_xlfn.CONCAT(WEEKNUM(CompilDonnées[[#This Row],[PlantationDate]]), " ", YEAR(CompilDonnées[[#This Row],[PlantationDate]]))</f>
        <v>9 2025</v>
      </c>
      <c r="L1577" t="str">
        <f>CONCATENATE(MONTH(CompilDonnées[[#This Row],[PlantationDate]])," ", YEAR(CompilDonnées[[#This Row],[PlantationDate]]))</f>
        <v>2 2025</v>
      </c>
      <c r="M1577" t="str">
        <f>CONCATENATE(MONTH(CompilDonnées[[#This Row],[HarvestingDate]])," ", YEAR(CompilDonnées[[#This Row],[HarvestingDate]]))</f>
        <v>4 2025</v>
      </c>
      <c r="N1577">
        <f>_xlfn.NUMBERVALUE(CompilDonnées[[#This Row],[FarmID]]&amp;CompilDonnées[[#This Row],[ModuleNumber]]&amp;CompilDonnées[[#This Row],[PlantationDate]])</f>
        <v>64645715</v>
      </c>
      <c r="O1577" t="str">
        <f>CompilDonnées[[#This Row],[FarmID]]&amp;CompilDonnées[[#This Row],[ModuleNumber]]</f>
        <v>646</v>
      </c>
      <c r="P1577" t="str">
        <f>CompilDonnées[[#This Row],[Ref_Module]]&amp;CompilDonnées[[#This Row],[HarvestingDate]]</f>
        <v>64645756</v>
      </c>
    </row>
    <row r="1578" spans="1:16">
      <c r="A1578" s="5">
        <v>45715</v>
      </c>
      <c r="B1578">
        <v>65</v>
      </c>
      <c r="C1578" t="s">
        <v>36</v>
      </c>
      <c r="D1578">
        <v>6</v>
      </c>
      <c r="E1578">
        <v>100</v>
      </c>
      <c r="F1578" t="s">
        <v>1</v>
      </c>
      <c r="G1578" s="6">
        <v>45756</v>
      </c>
      <c r="H1578">
        <v>41</v>
      </c>
      <c r="I1578">
        <f>ROUND(CompilDonnées[[#This Row],[CultureDuration_days]]/7,0)</f>
        <v>6</v>
      </c>
      <c r="J1578">
        <v>3529</v>
      </c>
      <c r="K1578" t="str">
        <f>_xlfn.CONCAT(WEEKNUM(CompilDonnées[[#This Row],[PlantationDate]]), " ", YEAR(CompilDonnées[[#This Row],[PlantationDate]]))</f>
        <v>9 2025</v>
      </c>
      <c r="L1578" t="str">
        <f>CONCATENATE(MONTH(CompilDonnées[[#This Row],[PlantationDate]])," ", YEAR(CompilDonnées[[#This Row],[PlantationDate]]))</f>
        <v>2 2025</v>
      </c>
      <c r="M1578" t="str">
        <f>CONCATENATE(MONTH(CompilDonnées[[#This Row],[HarvestingDate]])," ", YEAR(CompilDonnées[[#This Row],[HarvestingDate]]))</f>
        <v>4 2025</v>
      </c>
      <c r="N1578">
        <f>_xlfn.NUMBERVALUE(CompilDonnées[[#This Row],[FarmID]]&amp;CompilDonnées[[#This Row],[ModuleNumber]]&amp;CompilDonnées[[#This Row],[PlantationDate]])</f>
        <v>65645715</v>
      </c>
      <c r="O1578" t="str">
        <f>CompilDonnées[[#This Row],[FarmID]]&amp;CompilDonnées[[#This Row],[ModuleNumber]]</f>
        <v>656</v>
      </c>
      <c r="P1578" t="str">
        <f>CompilDonnées[[#This Row],[Ref_Module]]&amp;CompilDonnées[[#This Row],[HarvestingDate]]</f>
        <v>65645756</v>
      </c>
    </row>
    <row r="1579" spans="1:16">
      <c r="A1579" s="5">
        <v>45715</v>
      </c>
      <c r="B1579">
        <v>72</v>
      </c>
      <c r="C1579" t="s">
        <v>49</v>
      </c>
      <c r="D1579">
        <v>6</v>
      </c>
      <c r="E1579">
        <v>100</v>
      </c>
      <c r="F1579" t="s">
        <v>1</v>
      </c>
      <c r="G1579" s="6">
        <v>45756</v>
      </c>
      <c r="H1579">
        <v>41</v>
      </c>
      <c r="I1579">
        <f>ROUND(CompilDonnées[[#This Row],[CultureDuration_days]]/7,0)</f>
        <v>6</v>
      </c>
      <c r="J1579">
        <v>3671</v>
      </c>
      <c r="K1579" t="str">
        <f>_xlfn.CONCAT(WEEKNUM(CompilDonnées[[#This Row],[PlantationDate]]), " ", YEAR(CompilDonnées[[#This Row],[PlantationDate]]))</f>
        <v>9 2025</v>
      </c>
      <c r="L1579" t="str">
        <f>CONCATENATE(MONTH(CompilDonnées[[#This Row],[PlantationDate]])," ", YEAR(CompilDonnées[[#This Row],[PlantationDate]]))</f>
        <v>2 2025</v>
      </c>
      <c r="M1579" t="str">
        <f>CONCATENATE(MONTH(CompilDonnées[[#This Row],[HarvestingDate]])," ", YEAR(CompilDonnées[[#This Row],[HarvestingDate]]))</f>
        <v>4 2025</v>
      </c>
      <c r="N1579">
        <f>_xlfn.NUMBERVALUE(CompilDonnées[[#This Row],[FarmID]]&amp;CompilDonnées[[#This Row],[ModuleNumber]]&amp;CompilDonnées[[#This Row],[PlantationDate]])</f>
        <v>72645715</v>
      </c>
      <c r="O1579" t="str">
        <f>CompilDonnées[[#This Row],[FarmID]]&amp;CompilDonnées[[#This Row],[ModuleNumber]]</f>
        <v>726</v>
      </c>
      <c r="P1579" t="str">
        <f>CompilDonnées[[#This Row],[Ref_Module]]&amp;CompilDonnées[[#This Row],[HarvestingDate]]</f>
        <v>72645756</v>
      </c>
    </row>
    <row r="1580" spans="1:16">
      <c r="A1580" s="5">
        <v>45715</v>
      </c>
      <c r="B1580">
        <v>73</v>
      </c>
      <c r="C1580" t="s">
        <v>20</v>
      </c>
      <c r="D1580">
        <v>1</v>
      </c>
      <c r="E1580">
        <v>100</v>
      </c>
      <c r="F1580" t="s">
        <v>1</v>
      </c>
      <c r="G1580" s="6">
        <v>45756</v>
      </c>
      <c r="H1580">
        <v>41</v>
      </c>
      <c r="I1580">
        <f>ROUND(CompilDonnées[[#This Row],[CultureDuration_days]]/7,0)</f>
        <v>6</v>
      </c>
      <c r="J1580">
        <v>3297</v>
      </c>
      <c r="K1580" t="str">
        <f>_xlfn.CONCAT(WEEKNUM(CompilDonnées[[#This Row],[PlantationDate]]), " ", YEAR(CompilDonnées[[#This Row],[PlantationDate]]))</f>
        <v>9 2025</v>
      </c>
      <c r="L1580" t="str">
        <f>CONCATENATE(MONTH(CompilDonnées[[#This Row],[PlantationDate]])," ", YEAR(CompilDonnées[[#This Row],[PlantationDate]]))</f>
        <v>2 2025</v>
      </c>
      <c r="M1580" t="str">
        <f>CONCATENATE(MONTH(CompilDonnées[[#This Row],[HarvestingDate]])," ", YEAR(CompilDonnées[[#This Row],[HarvestingDate]]))</f>
        <v>4 2025</v>
      </c>
      <c r="N1580">
        <f>_xlfn.NUMBERVALUE(CompilDonnées[[#This Row],[FarmID]]&amp;CompilDonnées[[#This Row],[ModuleNumber]]&amp;CompilDonnées[[#This Row],[PlantationDate]])</f>
        <v>73145715</v>
      </c>
      <c r="O1580" t="str">
        <f>CompilDonnées[[#This Row],[FarmID]]&amp;CompilDonnées[[#This Row],[ModuleNumber]]</f>
        <v>731</v>
      </c>
      <c r="P1580" t="str">
        <f>CompilDonnées[[#This Row],[Ref_Module]]&amp;CompilDonnées[[#This Row],[HarvestingDate]]</f>
        <v>73145756</v>
      </c>
    </row>
    <row r="1581" spans="1:16">
      <c r="A1581" s="5">
        <v>45715</v>
      </c>
      <c r="B1581">
        <v>56</v>
      </c>
      <c r="C1581" t="s">
        <v>6</v>
      </c>
      <c r="D1581">
        <v>4</v>
      </c>
      <c r="E1581">
        <v>100</v>
      </c>
      <c r="F1581" t="s">
        <v>1</v>
      </c>
      <c r="G1581" s="6">
        <v>45756</v>
      </c>
      <c r="H1581">
        <v>41</v>
      </c>
      <c r="I1581">
        <f>ROUND(CompilDonnées[[#This Row],[CultureDuration_days]]/7,0)</f>
        <v>6</v>
      </c>
      <c r="J1581">
        <v>3329</v>
      </c>
      <c r="K1581" t="str">
        <f>_xlfn.CONCAT(WEEKNUM(CompilDonnées[[#This Row],[PlantationDate]]), " ", YEAR(CompilDonnées[[#This Row],[PlantationDate]]))</f>
        <v>9 2025</v>
      </c>
      <c r="L1581" t="str">
        <f>CONCATENATE(MONTH(CompilDonnées[[#This Row],[PlantationDate]])," ", YEAR(CompilDonnées[[#This Row],[PlantationDate]]))</f>
        <v>2 2025</v>
      </c>
      <c r="M1581" t="str">
        <f>CONCATENATE(MONTH(CompilDonnées[[#This Row],[HarvestingDate]])," ", YEAR(CompilDonnées[[#This Row],[HarvestingDate]]))</f>
        <v>4 2025</v>
      </c>
      <c r="N1581">
        <f>_xlfn.NUMBERVALUE(CompilDonnées[[#This Row],[FarmID]]&amp;CompilDonnées[[#This Row],[ModuleNumber]]&amp;CompilDonnées[[#This Row],[PlantationDate]])</f>
        <v>56445715</v>
      </c>
      <c r="O1581" t="str">
        <f>CompilDonnées[[#This Row],[FarmID]]&amp;CompilDonnées[[#This Row],[ModuleNumber]]</f>
        <v>564</v>
      </c>
      <c r="P1581" t="str">
        <f>CompilDonnées[[#This Row],[Ref_Module]]&amp;CompilDonnées[[#This Row],[HarvestingDate]]</f>
        <v>56445756</v>
      </c>
    </row>
    <row r="1582" spans="1:16">
      <c r="A1582" s="5">
        <v>45715</v>
      </c>
      <c r="B1582">
        <v>122</v>
      </c>
      <c r="C1582" t="s">
        <v>3</v>
      </c>
      <c r="D1582">
        <v>6</v>
      </c>
      <c r="E1582">
        <v>60</v>
      </c>
      <c r="F1582" t="s">
        <v>105</v>
      </c>
      <c r="G1582" s="6">
        <v>45772</v>
      </c>
      <c r="H1582">
        <v>57</v>
      </c>
      <c r="I1582">
        <f>ROUND(CompilDonnées[[#This Row],[CultureDuration_days]]/7,0)</f>
        <v>8</v>
      </c>
      <c r="J1582">
        <v>1002</v>
      </c>
      <c r="K1582" t="str">
        <f>_xlfn.CONCAT(WEEKNUM(CompilDonnées[[#This Row],[PlantationDate]]), " ", YEAR(CompilDonnées[[#This Row],[PlantationDate]]))</f>
        <v>9 2025</v>
      </c>
      <c r="L1582" t="str">
        <f>CONCATENATE(MONTH(CompilDonnées[[#This Row],[PlantationDate]])," ", YEAR(CompilDonnées[[#This Row],[PlantationDate]]))</f>
        <v>2 2025</v>
      </c>
      <c r="M1582" t="str">
        <f>CONCATENATE(MONTH(CompilDonnées[[#This Row],[HarvestingDate]])," ", YEAR(CompilDonnées[[#This Row],[HarvestingDate]]))</f>
        <v>4 2025</v>
      </c>
      <c r="N1582">
        <f>_xlfn.NUMBERVALUE(CompilDonnées[[#This Row],[FarmID]]&amp;CompilDonnées[[#This Row],[ModuleNumber]]&amp;CompilDonnées[[#This Row],[PlantationDate]])</f>
        <v>122645715</v>
      </c>
      <c r="O1582" t="str">
        <f>CompilDonnées[[#This Row],[FarmID]]&amp;CompilDonnées[[#This Row],[ModuleNumber]]</f>
        <v>1226</v>
      </c>
      <c r="P1582" t="str">
        <f>CompilDonnées[[#This Row],[Ref_Module]]&amp;CompilDonnées[[#This Row],[HarvestingDate]]</f>
        <v>122645772</v>
      </c>
    </row>
    <row r="1583" spans="1:16">
      <c r="A1583" s="5">
        <v>45715</v>
      </c>
      <c r="B1583">
        <v>128</v>
      </c>
      <c r="C1583" t="s">
        <v>3</v>
      </c>
      <c r="D1583">
        <v>1</v>
      </c>
      <c r="E1583">
        <v>60</v>
      </c>
      <c r="F1583" t="s">
        <v>105</v>
      </c>
      <c r="G1583" s="6">
        <v>45771</v>
      </c>
      <c r="H1583">
        <v>56</v>
      </c>
      <c r="I1583">
        <f>ROUND(CompilDonnées[[#This Row],[CultureDuration_days]]/7,0)</f>
        <v>8</v>
      </c>
      <c r="J1583">
        <v>1000</v>
      </c>
      <c r="K1583" t="str">
        <f>_xlfn.CONCAT(WEEKNUM(CompilDonnées[[#This Row],[PlantationDate]]), " ", YEAR(CompilDonnées[[#This Row],[PlantationDate]]))</f>
        <v>9 2025</v>
      </c>
      <c r="L1583" t="str">
        <f>CONCATENATE(MONTH(CompilDonnées[[#This Row],[PlantationDate]])," ", YEAR(CompilDonnées[[#This Row],[PlantationDate]]))</f>
        <v>2 2025</v>
      </c>
      <c r="M1583" t="str">
        <f>CONCATENATE(MONTH(CompilDonnées[[#This Row],[HarvestingDate]])," ", YEAR(CompilDonnées[[#This Row],[HarvestingDate]]))</f>
        <v>4 2025</v>
      </c>
      <c r="N1583">
        <f>_xlfn.NUMBERVALUE(CompilDonnées[[#This Row],[FarmID]]&amp;CompilDonnées[[#This Row],[ModuleNumber]]&amp;CompilDonnées[[#This Row],[PlantationDate]])</f>
        <v>128145715</v>
      </c>
      <c r="O1583" t="str">
        <f>CompilDonnées[[#This Row],[FarmID]]&amp;CompilDonnées[[#This Row],[ModuleNumber]]</f>
        <v>1281</v>
      </c>
      <c r="P1583" t="str">
        <f>CompilDonnées[[#This Row],[Ref_Module]]&amp;CompilDonnées[[#This Row],[HarvestingDate]]</f>
        <v>128145771</v>
      </c>
    </row>
    <row r="1584" spans="1:16">
      <c r="A1584" s="5">
        <v>45715</v>
      </c>
      <c r="B1584">
        <v>128</v>
      </c>
      <c r="C1584" t="s">
        <v>3</v>
      </c>
      <c r="D1584">
        <v>2</v>
      </c>
      <c r="E1584">
        <v>60</v>
      </c>
      <c r="F1584" t="s">
        <v>105</v>
      </c>
      <c r="G1584" s="6">
        <v>45771</v>
      </c>
      <c r="H1584">
        <v>56</v>
      </c>
      <c r="I1584">
        <f>ROUND(CompilDonnées[[#This Row],[CultureDuration_days]]/7,0)</f>
        <v>8</v>
      </c>
      <c r="J1584">
        <v>550</v>
      </c>
      <c r="K1584" t="str">
        <f>_xlfn.CONCAT(WEEKNUM(CompilDonnées[[#This Row],[PlantationDate]]), " ", YEAR(CompilDonnées[[#This Row],[PlantationDate]]))</f>
        <v>9 2025</v>
      </c>
      <c r="L1584" t="str">
        <f>CONCATENATE(MONTH(CompilDonnées[[#This Row],[PlantationDate]])," ", YEAR(CompilDonnées[[#This Row],[PlantationDate]]))</f>
        <v>2 2025</v>
      </c>
      <c r="M1584" t="str">
        <f>CONCATENATE(MONTH(CompilDonnées[[#This Row],[HarvestingDate]])," ", YEAR(CompilDonnées[[#This Row],[HarvestingDate]]))</f>
        <v>4 2025</v>
      </c>
      <c r="N1584">
        <f>_xlfn.NUMBERVALUE(CompilDonnées[[#This Row],[FarmID]]&amp;CompilDonnées[[#This Row],[ModuleNumber]]&amp;CompilDonnées[[#This Row],[PlantationDate]])</f>
        <v>128245715</v>
      </c>
      <c r="O1584" t="str">
        <f>CompilDonnées[[#This Row],[FarmID]]&amp;CompilDonnées[[#This Row],[ModuleNumber]]</f>
        <v>1282</v>
      </c>
      <c r="P1584" t="str">
        <f>CompilDonnées[[#This Row],[Ref_Module]]&amp;CompilDonnées[[#This Row],[HarvestingDate]]</f>
        <v>128245771</v>
      </c>
    </row>
    <row r="1585" spans="1:16">
      <c r="A1585" s="5">
        <v>45715</v>
      </c>
      <c r="B1585">
        <v>128</v>
      </c>
      <c r="C1585" t="s">
        <v>3</v>
      </c>
      <c r="D1585">
        <v>3</v>
      </c>
      <c r="E1585">
        <v>60</v>
      </c>
      <c r="F1585" t="s">
        <v>105</v>
      </c>
      <c r="G1585" s="6">
        <v>45771</v>
      </c>
      <c r="H1585">
        <v>56</v>
      </c>
      <c r="I1585">
        <f>ROUND(CompilDonnées[[#This Row],[CultureDuration_days]]/7,0)</f>
        <v>8</v>
      </c>
      <c r="J1585">
        <v>600</v>
      </c>
      <c r="K1585" t="str">
        <f>_xlfn.CONCAT(WEEKNUM(CompilDonnées[[#This Row],[PlantationDate]]), " ", YEAR(CompilDonnées[[#This Row],[PlantationDate]]))</f>
        <v>9 2025</v>
      </c>
      <c r="L1585" t="str">
        <f>CONCATENATE(MONTH(CompilDonnées[[#This Row],[PlantationDate]])," ", YEAR(CompilDonnées[[#This Row],[PlantationDate]]))</f>
        <v>2 2025</v>
      </c>
      <c r="M1585" t="str">
        <f>CONCATENATE(MONTH(CompilDonnées[[#This Row],[HarvestingDate]])," ", YEAR(CompilDonnées[[#This Row],[HarvestingDate]]))</f>
        <v>4 2025</v>
      </c>
      <c r="N1585">
        <f>_xlfn.NUMBERVALUE(CompilDonnées[[#This Row],[FarmID]]&amp;CompilDonnées[[#This Row],[ModuleNumber]]&amp;CompilDonnées[[#This Row],[PlantationDate]])</f>
        <v>128345715</v>
      </c>
      <c r="O1585" t="str">
        <f>CompilDonnées[[#This Row],[FarmID]]&amp;CompilDonnées[[#This Row],[ModuleNumber]]</f>
        <v>1283</v>
      </c>
      <c r="P1585" t="str">
        <f>CompilDonnées[[#This Row],[Ref_Module]]&amp;CompilDonnées[[#This Row],[HarvestingDate]]</f>
        <v>128345771</v>
      </c>
    </row>
    <row r="1586" spans="1:16">
      <c r="A1586" s="5">
        <v>45716</v>
      </c>
      <c r="B1586">
        <v>57</v>
      </c>
      <c r="C1586" t="s">
        <v>46</v>
      </c>
      <c r="D1586">
        <v>6</v>
      </c>
      <c r="E1586">
        <v>100</v>
      </c>
      <c r="F1586" t="s">
        <v>1</v>
      </c>
      <c r="G1586" s="6">
        <v>45756</v>
      </c>
      <c r="H1586">
        <v>40</v>
      </c>
      <c r="I1586">
        <f>ROUND(CompilDonnées[[#This Row],[CultureDuration_days]]/7,0)</f>
        <v>6</v>
      </c>
      <c r="J1586">
        <v>4043</v>
      </c>
      <c r="K1586" t="str">
        <f>_xlfn.CONCAT(WEEKNUM(CompilDonnées[[#This Row],[PlantationDate]]), " ", YEAR(CompilDonnées[[#This Row],[PlantationDate]]))</f>
        <v>9 2025</v>
      </c>
      <c r="L1586" t="str">
        <f>CONCATENATE(MONTH(CompilDonnées[[#This Row],[PlantationDate]])," ", YEAR(CompilDonnées[[#This Row],[PlantationDate]]))</f>
        <v>2 2025</v>
      </c>
      <c r="M1586" t="str">
        <f>CONCATENATE(MONTH(CompilDonnées[[#This Row],[HarvestingDate]])," ", YEAR(CompilDonnées[[#This Row],[HarvestingDate]]))</f>
        <v>4 2025</v>
      </c>
      <c r="N1586">
        <f>_xlfn.NUMBERVALUE(CompilDonnées[[#This Row],[FarmID]]&amp;CompilDonnées[[#This Row],[ModuleNumber]]&amp;CompilDonnées[[#This Row],[PlantationDate]])</f>
        <v>57645716</v>
      </c>
      <c r="O1586" t="str">
        <f>CompilDonnées[[#This Row],[FarmID]]&amp;CompilDonnées[[#This Row],[ModuleNumber]]</f>
        <v>576</v>
      </c>
      <c r="P1586" t="str">
        <f>CompilDonnées[[#This Row],[Ref_Module]]&amp;CompilDonnées[[#This Row],[HarvestingDate]]</f>
        <v>57645756</v>
      </c>
    </row>
    <row r="1587" spans="1:16">
      <c r="A1587" s="5">
        <v>45716</v>
      </c>
      <c r="B1587">
        <v>58</v>
      </c>
      <c r="C1587" t="s">
        <v>35</v>
      </c>
      <c r="D1587">
        <v>3</v>
      </c>
      <c r="E1587">
        <v>100</v>
      </c>
      <c r="F1587" t="s">
        <v>1</v>
      </c>
      <c r="G1587" s="6">
        <v>45756</v>
      </c>
      <c r="H1587">
        <v>40</v>
      </c>
      <c r="I1587">
        <f>ROUND(CompilDonnées[[#This Row],[CultureDuration_days]]/7,0)</f>
        <v>6</v>
      </c>
      <c r="J1587">
        <v>3246</v>
      </c>
      <c r="K1587" t="str">
        <f>_xlfn.CONCAT(WEEKNUM(CompilDonnées[[#This Row],[PlantationDate]]), " ", YEAR(CompilDonnées[[#This Row],[PlantationDate]]))</f>
        <v>9 2025</v>
      </c>
      <c r="L1587" t="str">
        <f>CONCATENATE(MONTH(CompilDonnées[[#This Row],[PlantationDate]])," ", YEAR(CompilDonnées[[#This Row],[PlantationDate]]))</f>
        <v>2 2025</v>
      </c>
      <c r="M1587" t="str">
        <f>CONCATENATE(MONTH(CompilDonnées[[#This Row],[HarvestingDate]])," ", YEAR(CompilDonnées[[#This Row],[HarvestingDate]]))</f>
        <v>4 2025</v>
      </c>
      <c r="N1587">
        <f>_xlfn.NUMBERVALUE(CompilDonnées[[#This Row],[FarmID]]&amp;CompilDonnées[[#This Row],[ModuleNumber]]&amp;CompilDonnées[[#This Row],[PlantationDate]])</f>
        <v>58345716</v>
      </c>
      <c r="O1587" t="str">
        <f>CompilDonnées[[#This Row],[FarmID]]&amp;CompilDonnées[[#This Row],[ModuleNumber]]</f>
        <v>583</v>
      </c>
      <c r="P1587" t="str">
        <f>CompilDonnées[[#This Row],[Ref_Module]]&amp;CompilDonnées[[#This Row],[HarvestingDate]]</f>
        <v>58345756</v>
      </c>
    </row>
    <row r="1588" spans="1:16">
      <c r="A1588" s="5">
        <v>45716</v>
      </c>
      <c r="B1588">
        <v>66</v>
      </c>
      <c r="C1588" t="s">
        <v>48</v>
      </c>
      <c r="D1588">
        <v>4</v>
      </c>
      <c r="E1588">
        <v>100</v>
      </c>
      <c r="F1588" t="s">
        <v>1</v>
      </c>
      <c r="G1588" s="6">
        <v>45756</v>
      </c>
      <c r="H1588">
        <v>40</v>
      </c>
      <c r="I1588">
        <f>ROUND(CompilDonnées[[#This Row],[CultureDuration_days]]/7,0)</f>
        <v>6</v>
      </c>
      <c r="J1588">
        <v>2875</v>
      </c>
      <c r="K1588" t="str">
        <f>_xlfn.CONCAT(WEEKNUM(CompilDonnées[[#This Row],[PlantationDate]]), " ", YEAR(CompilDonnées[[#This Row],[PlantationDate]]))</f>
        <v>9 2025</v>
      </c>
      <c r="L1588" t="str">
        <f>CONCATENATE(MONTH(CompilDonnées[[#This Row],[PlantationDate]])," ", YEAR(CompilDonnées[[#This Row],[PlantationDate]]))</f>
        <v>2 2025</v>
      </c>
      <c r="M1588" t="str">
        <f>CONCATENATE(MONTH(CompilDonnées[[#This Row],[HarvestingDate]])," ", YEAR(CompilDonnées[[#This Row],[HarvestingDate]]))</f>
        <v>4 2025</v>
      </c>
      <c r="N1588">
        <f>_xlfn.NUMBERVALUE(CompilDonnées[[#This Row],[FarmID]]&amp;CompilDonnées[[#This Row],[ModuleNumber]]&amp;CompilDonnées[[#This Row],[PlantationDate]])</f>
        <v>66445716</v>
      </c>
      <c r="O1588" t="str">
        <f>CompilDonnées[[#This Row],[FarmID]]&amp;CompilDonnées[[#This Row],[ModuleNumber]]</f>
        <v>664</v>
      </c>
      <c r="P1588" t="str">
        <f>CompilDonnées[[#This Row],[Ref_Module]]&amp;CompilDonnées[[#This Row],[HarvestingDate]]</f>
        <v>66445756</v>
      </c>
    </row>
    <row r="1589" spans="1:16">
      <c r="A1589" s="5">
        <v>45716</v>
      </c>
      <c r="B1589">
        <v>64</v>
      </c>
      <c r="C1589" t="s">
        <v>47</v>
      </c>
      <c r="D1589">
        <v>5</v>
      </c>
      <c r="E1589">
        <v>100</v>
      </c>
      <c r="F1589" t="s">
        <v>1</v>
      </c>
      <c r="G1589" s="6">
        <v>45756</v>
      </c>
      <c r="H1589">
        <v>40</v>
      </c>
      <c r="I1589">
        <f>ROUND(CompilDonnées[[#This Row],[CultureDuration_days]]/7,0)</f>
        <v>6</v>
      </c>
      <c r="J1589">
        <v>3542</v>
      </c>
      <c r="K1589" t="str">
        <f>_xlfn.CONCAT(WEEKNUM(CompilDonnées[[#This Row],[PlantationDate]]), " ", YEAR(CompilDonnées[[#This Row],[PlantationDate]]))</f>
        <v>9 2025</v>
      </c>
      <c r="L1589" t="str">
        <f>CONCATENATE(MONTH(CompilDonnées[[#This Row],[PlantationDate]])," ", YEAR(CompilDonnées[[#This Row],[PlantationDate]]))</f>
        <v>2 2025</v>
      </c>
      <c r="M1589" t="str">
        <f>CONCATENATE(MONTH(CompilDonnées[[#This Row],[HarvestingDate]])," ", YEAR(CompilDonnées[[#This Row],[HarvestingDate]]))</f>
        <v>4 2025</v>
      </c>
      <c r="N1589">
        <f>_xlfn.NUMBERVALUE(CompilDonnées[[#This Row],[FarmID]]&amp;CompilDonnées[[#This Row],[ModuleNumber]]&amp;CompilDonnées[[#This Row],[PlantationDate]])</f>
        <v>64545716</v>
      </c>
      <c r="O1589" t="str">
        <f>CompilDonnées[[#This Row],[FarmID]]&amp;CompilDonnées[[#This Row],[ModuleNumber]]</f>
        <v>645</v>
      </c>
      <c r="P1589" t="str">
        <f>CompilDonnées[[#This Row],[Ref_Module]]&amp;CompilDonnées[[#This Row],[HarvestingDate]]</f>
        <v>64545756</v>
      </c>
    </row>
    <row r="1590" spans="1:16">
      <c r="A1590" s="5">
        <v>45716</v>
      </c>
      <c r="B1590">
        <v>65</v>
      </c>
      <c r="C1590" t="s">
        <v>36</v>
      </c>
      <c r="D1590">
        <v>4</v>
      </c>
      <c r="E1590">
        <v>100</v>
      </c>
      <c r="F1590" t="s">
        <v>1</v>
      </c>
      <c r="G1590" s="6">
        <v>45764</v>
      </c>
      <c r="H1590">
        <v>48</v>
      </c>
      <c r="I1590">
        <f>ROUND(CompilDonnées[[#This Row],[CultureDuration_days]]/7,0)</f>
        <v>7</v>
      </c>
      <c r="J1590">
        <v>3166</v>
      </c>
      <c r="K1590" t="str">
        <f>_xlfn.CONCAT(WEEKNUM(CompilDonnées[[#This Row],[PlantationDate]]), " ", YEAR(CompilDonnées[[#This Row],[PlantationDate]]))</f>
        <v>9 2025</v>
      </c>
      <c r="L1590" t="str">
        <f>CONCATENATE(MONTH(CompilDonnées[[#This Row],[PlantationDate]])," ", YEAR(CompilDonnées[[#This Row],[PlantationDate]]))</f>
        <v>2 2025</v>
      </c>
      <c r="M1590" t="str">
        <f>CONCATENATE(MONTH(CompilDonnées[[#This Row],[HarvestingDate]])," ", YEAR(CompilDonnées[[#This Row],[HarvestingDate]]))</f>
        <v>4 2025</v>
      </c>
      <c r="N1590">
        <f>_xlfn.NUMBERVALUE(CompilDonnées[[#This Row],[FarmID]]&amp;CompilDonnées[[#This Row],[ModuleNumber]]&amp;CompilDonnées[[#This Row],[PlantationDate]])</f>
        <v>65445716</v>
      </c>
      <c r="O1590" t="str">
        <f>CompilDonnées[[#This Row],[FarmID]]&amp;CompilDonnées[[#This Row],[ModuleNumber]]</f>
        <v>654</v>
      </c>
      <c r="P1590" t="str">
        <f>CompilDonnées[[#This Row],[Ref_Module]]&amp;CompilDonnées[[#This Row],[HarvestingDate]]</f>
        <v>65445764</v>
      </c>
    </row>
    <row r="1591" spans="1:16">
      <c r="A1591" s="5">
        <v>45716</v>
      </c>
      <c r="B1591">
        <v>80</v>
      </c>
      <c r="C1591" t="s">
        <v>29</v>
      </c>
      <c r="D1591">
        <v>6</v>
      </c>
      <c r="E1591">
        <v>100</v>
      </c>
      <c r="F1591" t="s">
        <v>1</v>
      </c>
      <c r="G1591" s="6">
        <v>45757</v>
      </c>
      <c r="H1591">
        <v>41</v>
      </c>
      <c r="I1591">
        <f>ROUND(CompilDonnées[[#This Row],[CultureDuration_days]]/7,0)</f>
        <v>6</v>
      </c>
      <c r="J1591">
        <v>4645</v>
      </c>
      <c r="K1591" t="str">
        <f>_xlfn.CONCAT(WEEKNUM(CompilDonnées[[#This Row],[PlantationDate]]), " ", YEAR(CompilDonnées[[#This Row],[PlantationDate]]))</f>
        <v>9 2025</v>
      </c>
      <c r="L1591" t="str">
        <f>CONCATENATE(MONTH(CompilDonnées[[#This Row],[PlantationDate]])," ", YEAR(CompilDonnées[[#This Row],[PlantationDate]]))</f>
        <v>2 2025</v>
      </c>
      <c r="M1591" t="str">
        <f>CONCATENATE(MONTH(CompilDonnées[[#This Row],[HarvestingDate]])," ", YEAR(CompilDonnées[[#This Row],[HarvestingDate]]))</f>
        <v>4 2025</v>
      </c>
      <c r="N1591">
        <f>_xlfn.NUMBERVALUE(CompilDonnées[[#This Row],[FarmID]]&amp;CompilDonnées[[#This Row],[ModuleNumber]]&amp;CompilDonnées[[#This Row],[PlantationDate]])</f>
        <v>80645716</v>
      </c>
      <c r="O1591" t="str">
        <f>CompilDonnées[[#This Row],[FarmID]]&amp;CompilDonnées[[#This Row],[ModuleNumber]]</f>
        <v>806</v>
      </c>
      <c r="P1591" t="str">
        <f>CompilDonnées[[#This Row],[Ref_Module]]&amp;CompilDonnées[[#This Row],[HarvestingDate]]</f>
        <v>80645757</v>
      </c>
    </row>
    <row r="1592" spans="1:16">
      <c r="A1592" s="5">
        <v>45716</v>
      </c>
      <c r="B1592">
        <v>82</v>
      </c>
      <c r="C1592" t="s">
        <v>17</v>
      </c>
      <c r="D1592">
        <v>3</v>
      </c>
      <c r="E1592">
        <v>100</v>
      </c>
      <c r="F1592" t="s">
        <v>1</v>
      </c>
      <c r="G1592" s="6">
        <v>45757</v>
      </c>
      <c r="H1592">
        <v>41</v>
      </c>
      <c r="I1592">
        <f>ROUND(CompilDonnées[[#This Row],[CultureDuration_days]]/7,0)</f>
        <v>6</v>
      </c>
      <c r="J1592">
        <v>3942</v>
      </c>
      <c r="K1592" t="str">
        <f>_xlfn.CONCAT(WEEKNUM(CompilDonnées[[#This Row],[PlantationDate]]), " ", YEAR(CompilDonnées[[#This Row],[PlantationDate]]))</f>
        <v>9 2025</v>
      </c>
      <c r="L1592" t="str">
        <f>CONCATENATE(MONTH(CompilDonnées[[#This Row],[PlantationDate]])," ", YEAR(CompilDonnées[[#This Row],[PlantationDate]]))</f>
        <v>2 2025</v>
      </c>
      <c r="M1592" t="str">
        <f>CONCATENATE(MONTH(CompilDonnées[[#This Row],[HarvestingDate]])," ", YEAR(CompilDonnées[[#This Row],[HarvestingDate]]))</f>
        <v>4 2025</v>
      </c>
      <c r="N1592">
        <f>_xlfn.NUMBERVALUE(CompilDonnées[[#This Row],[FarmID]]&amp;CompilDonnées[[#This Row],[ModuleNumber]]&amp;CompilDonnées[[#This Row],[PlantationDate]])</f>
        <v>82345716</v>
      </c>
      <c r="O1592" t="str">
        <f>CompilDonnées[[#This Row],[FarmID]]&amp;CompilDonnées[[#This Row],[ModuleNumber]]</f>
        <v>823</v>
      </c>
      <c r="P1592" t="str">
        <f>CompilDonnées[[#This Row],[Ref_Module]]&amp;CompilDonnées[[#This Row],[HarvestingDate]]</f>
        <v>82345757</v>
      </c>
    </row>
    <row r="1593" spans="1:16">
      <c r="A1593" s="5">
        <v>45716</v>
      </c>
      <c r="B1593">
        <v>77</v>
      </c>
      <c r="C1593" t="s">
        <v>75</v>
      </c>
      <c r="D1593">
        <v>1</v>
      </c>
      <c r="E1593">
        <v>100</v>
      </c>
      <c r="F1593" t="s">
        <v>1</v>
      </c>
      <c r="G1593" s="6">
        <v>45756</v>
      </c>
      <c r="H1593">
        <v>40</v>
      </c>
      <c r="I1593">
        <f>ROUND(CompilDonnées[[#This Row],[CultureDuration_days]]/7,0)</f>
        <v>6</v>
      </c>
      <c r="J1593">
        <v>3915</v>
      </c>
      <c r="K1593" t="str">
        <f>_xlfn.CONCAT(WEEKNUM(CompilDonnées[[#This Row],[PlantationDate]]), " ", YEAR(CompilDonnées[[#This Row],[PlantationDate]]))</f>
        <v>9 2025</v>
      </c>
      <c r="L1593" t="str">
        <f>CONCATENATE(MONTH(CompilDonnées[[#This Row],[PlantationDate]])," ", YEAR(CompilDonnées[[#This Row],[PlantationDate]]))</f>
        <v>2 2025</v>
      </c>
      <c r="M1593" t="str">
        <f>CONCATENATE(MONTH(CompilDonnées[[#This Row],[HarvestingDate]])," ", YEAR(CompilDonnées[[#This Row],[HarvestingDate]]))</f>
        <v>4 2025</v>
      </c>
      <c r="N1593">
        <f>_xlfn.NUMBERVALUE(CompilDonnées[[#This Row],[FarmID]]&amp;CompilDonnées[[#This Row],[ModuleNumber]]&amp;CompilDonnées[[#This Row],[PlantationDate]])</f>
        <v>77145716</v>
      </c>
      <c r="O1593" t="str">
        <f>CompilDonnées[[#This Row],[FarmID]]&amp;CompilDonnées[[#This Row],[ModuleNumber]]</f>
        <v>771</v>
      </c>
      <c r="P1593" t="str">
        <f>CompilDonnées[[#This Row],[Ref_Module]]&amp;CompilDonnées[[#This Row],[HarvestingDate]]</f>
        <v>77145756</v>
      </c>
    </row>
    <row r="1594" spans="1:16">
      <c r="A1594" s="5">
        <v>45716</v>
      </c>
      <c r="B1594">
        <v>71</v>
      </c>
      <c r="C1594" t="s">
        <v>19</v>
      </c>
      <c r="D1594">
        <v>6</v>
      </c>
      <c r="E1594">
        <v>100</v>
      </c>
      <c r="F1594" t="s">
        <v>1</v>
      </c>
      <c r="G1594" s="6">
        <v>45755</v>
      </c>
      <c r="H1594">
        <v>39</v>
      </c>
      <c r="I1594">
        <f>ROUND(CompilDonnées[[#This Row],[CultureDuration_days]]/7,0)</f>
        <v>6</v>
      </c>
      <c r="J1594">
        <v>4325</v>
      </c>
      <c r="K1594" t="str">
        <f>_xlfn.CONCAT(WEEKNUM(CompilDonnées[[#This Row],[PlantationDate]]), " ", YEAR(CompilDonnées[[#This Row],[PlantationDate]]))</f>
        <v>9 2025</v>
      </c>
      <c r="L1594" t="str">
        <f>CONCATENATE(MONTH(CompilDonnées[[#This Row],[PlantationDate]])," ", YEAR(CompilDonnées[[#This Row],[PlantationDate]]))</f>
        <v>2 2025</v>
      </c>
      <c r="M1594" t="str">
        <f>CONCATENATE(MONTH(CompilDonnées[[#This Row],[HarvestingDate]])," ", YEAR(CompilDonnées[[#This Row],[HarvestingDate]]))</f>
        <v>4 2025</v>
      </c>
      <c r="N1594">
        <f>_xlfn.NUMBERVALUE(CompilDonnées[[#This Row],[FarmID]]&amp;CompilDonnées[[#This Row],[ModuleNumber]]&amp;CompilDonnées[[#This Row],[PlantationDate]])</f>
        <v>71645716</v>
      </c>
      <c r="O1594" t="str">
        <f>CompilDonnées[[#This Row],[FarmID]]&amp;CompilDonnées[[#This Row],[ModuleNumber]]</f>
        <v>716</v>
      </c>
      <c r="P1594" t="str">
        <f>CompilDonnées[[#This Row],[Ref_Module]]&amp;CompilDonnées[[#This Row],[HarvestingDate]]</f>
        <v>71645755</v>
      </c>
    </row>
    <row r="1595" spans="1:16">
      <c r="A1595" s="5">
        <v>45716</v>
      </c>
      <c r="B1595">
        <v>43</v>
      </c>
      <c r="C1595" t="s">
        <v>45</v>
      </c>
      <c r="D1595">
        <v>5</v>
      </c>
      <c r="E1595">
        <v>100</v>
      </c>
      <c r="F1595" t="s">
        <v>1</v>
      </c>
      <c r="G1595" s="6">
        <v>45765</v>
      </c>
      <c r="H1595">
        <v>49</v>
      </c>
      <c r="I1595">
        <f>ROUND(CompilDonnées[[#This Row],[CultureDuration_days]]/7,0)</f>
        <v>7</v>
      </c>
      <c r="J1595">
        <v>3589</v>
      </c>
      <c r="K1595" t="str">
        <f>_xlfn.CONCAT(WEEKNUM(CompilDonnées[[#This Row],[PlantationDate]]), " ", YEAR(CompilDonnées[[#This Row],[PlantationDate]]))</f>
        <v>9 2025</v>
      </c>
      <c r="L1595" t="str">
        <f>CONCATENATE(MONTH(CompilDonnées[[#This Row],[PlantationDate]])," ", YEAR(CompilDonnées[[#This Row],[PlantationDate]]))</f>
        <v>2 2025</v>
      </c>
      <c r="M1595" t="str">
        <f>CONCATENATE(MONTH(CompilDonnées[[#This Row],[HarvestingDate]])," ", YEAR(CompilDonnées[[#This Row],[HarvestingDate]]))</f>
        <v>4 2025</v>
      </c>
      <c r="N1595">
        <f>_xlfn.NUMBERVALUE(CompilDonnées[[#This Row],[FarmID]]&amp;CompilDonnées[[#This Row],[ModuleNumber]]&amp;CompilDonnées[[#This Row],[PlantationDate]])</f>
        <v>43545716</v>
      </c>
      <c r="O1595" t="str">
        <f>CompilDonnées[[#This Row],[FarmID]]&amp;CompilDonnées[[#This Row],[ModuleNumber]]</f>
        <v>435</v>
      </c>
      <c r="P1595" t="str">
        <f>CompilDonnées[[#This Row],[Ref_Module]]&amp;CompilDonnées[[#This Row],[HarvestingDate]]</f>
        <v>43545765</v>
      </c>
    </row>
    <row r="1596" spans="1:16">
      <c r="A1596" s="5">
        <v>45716</v>
      </c>
      <c r="B1596">
        <v>42</v>
      </c>
      <c r="C1596" t="s">
        <v>89</v>
      </c>
      <c r="D1596">
        <v>4</v>
      </c>
      <c r="E1596">
        <v>100</v>
      </c>
      <c r="F1596" t="s">
        <v>1</v>
      </c>
      <c r="G1596" s="6">
        <v>45755</v>
      </c>
      <c r="H1596">
        <v>39</v>
      </c>
      <c r="I1596">
        <f>ROUND(CompilDonnées[[#This Row],[CultureDuration_days]]/7,0)</f>
        <v>6</v>
      </c>
      <c r="J1596">
        <v>3894</v>
      </c>
      <c r="K1596" t="str">
        <f>_xlfn.CONCAT(WEEKNUM(CompilDonnées[[#This Row],[PlantationDate]]), " ", YEAR(CompilDonnées[[#This Row],[PlantationDate]]))</f>
        <v>9 2025</v>
      </c>
      <c r="L1596" t="str">
        <f>CONCATENATE(MONTH(CompilDonnées[[#This Row],[PlantationDate]])," ", YEAR(CompilDonnées[[#This Row],[PlantationDate]]))</f>
        <v>2 2025</v>
      </c>
      <c r="M1596" t="str">
        <f>CONCATENATE(MONTH(CompilDonnées[[#This Row],[HarvestingDate]])," ", YEAR(CompilDonnées[[#This Row],[HarvestingDate]]))</f>
        <v>4 2025</v>
      </c>
      <c r="N1596">
        <f>_xlfn.NUMBERVALUE(CompilDonnées[[#This Row],[FarmID]]&amp;CompilDonnées[[#This Row],[ModuleNumber]]&amp;CompilDonnées[[#This Row],[PlantationDate]])</f>
        <v>42445716</v>
      </c>
      <c r="O1596" t="str">
        <f>CompilDonnées[[#This Row],[FarmID]]&amp;CompilDonnées[[#This Row],[ModuleNumber]]</f>
        <v>424</v>
      </c>
      <c r="P1596" t="str">
        <f>CompilDonnées[[#This Row],[Ref_Module]]&amp;CompilDonnées[[#This Row],[HarvestingDate]]</f>
        <v>42445755</v>
      </c>
    </row>
    <row r="1597" spans="1:16">
      <c r="A1597" s="5">
        <v>45716</v>
      </c>
      <c r="B1597">
        <v>39</v>
      </c>
      <c r="C1597" t="s">
        <v>81</v>
      </c>
      <c r="D1597">
        <v>2</v>
      </c>
      <c r="E1597">
        <v>100</v>
      </c>
      <c r="F1597" t="s">
        <v>1</v>
      </c>
      <c r="G1597" s="6">
        <v>45755</v>
      </c>
      <c r="H1597">
        <v>39</v>
      </c>
      <c r="I1597">
        <f>ROUND(CompilDonnées[[#This Row],[CultureDuration_days]]/7,0)</f>
        <v>6</v>
      </c>
      <c r="J1597">
        <v>3645</v>
      </c>
      <c r="K1597" t="str">
        <f>_xlfn.CONCAT(WEEKNUM(CompilDonnées[[#This Row],[PlantationDate]]), " ", YEAR(CompilDonnées[[#This Row],[PlantationDate]]))</f>
        <v>9 2025</v>
      </c>
      <c r="L1597" t="str">
        <f>CONCATENATE(MONTH(CompilDonnées[[#This Row],[PlantationDate]])," ", YEAR(CompilDonnées[[#This Row],[PlantationDate]]))</f>
        <v>2 2025</v>
      </c>
      <c r="M1597" t="str">
        <f>CONCATENATE(MONTH(CompilDonnées[[#This Row],[HarvestingDate]])," ", YEAR(CompilDonnées[[#This Row],[HarvestingDate]]))</f>
        <v>4 2025</v>
      </c>
      <c r="N1597">
        <f>_xlfn.NUMBERVALUE(CompilDonnées[[#This Row],[FarmID]]&amp;CompilDonnées[[#This Row],[ModuleNumber]]&amp;CompilDonnées[[#This Row],[PlantationDate]])</f>
        <v>39245716</v>
      </c>
      <c r="O1597" t="str">
        <f>CompilDonnées[[#This Row],[FarmID]]&amp;CompilDonnées[[#This Row],[ModuleNumber]]</f>
        <v>392</v>
      </c>
      <c r="P1597" t="str">
        <f>CompilDonnées[[#This Row],[Ref_Module]]&amp;CompilDonnées[[#This Row],[HarvestingDate]]</f>
        <v>39245755</v>
      </c>
    </row>
    <row r="1598" spans="1:16">
      <c r="A1598" s="5">
        <v>45716</v>
      </c>
      <c r="B1598">
        <v>123</v>
      </c>
      <c r="C1598" t="s">
        <v>13</v>
      </c>
      <c r="D1598">
        <v>1</v>
      </c>
      <c r="E1598">
        <v>100</v>
      </c>
      <c r="F1598" t="s">
        <v>1</v>
      </c>
      <c r="G1598" s="6">
        <v>45762</v>
      </c>
      <c r="H1598">
        <v>46</v>
      </c>
      <c r="I1598">
        <f>ROUND(CompilDonnées[[#This Row],[CultureDuration_days]]/7,0)</f>
        <v>7</v>
      </c>
      <c r="J1598">
        <v>3427</v>
      </c>
      <c r="K1598" t="str">
        <f>_xlfn.CONCAT(WEEKNUM(CompilDonnées[[#This Row],[PlantationDate]]), " ", YEAR(CompilDonnées[[#This Row],[PlantationDate]]))</f>
        <v>9 2025</v>
      </c>
      <c r="L1598" t="str">
        <f>CONCATENATE(MONTH(CompilDonnées[[#This Row],[PlantationDate]])," ", YEAR(CompilDonnées[[#This Row],[PlantationDate]]))</f>
        <v>2 2025</v>
      </c>
      <c r="M1598" t="str">
        <f>CONCATENATE(MONTH(CompilDonnées[[#This Row],[HarvestingDate]])," ", YEAR(CompilDonnées[[#This Row],[HarvestingDate]]))</f>
        <v>4 2025</v>
      </c>
      <c r="N1598">
        <f>_xlfn.NUMBERVALUE(CompilDonnées[[#This Row],[FarmID]]&amp;CompilDonnées[[#This Row],[ModuleNumber]]&amp;CompilDonnées[[#This Row],[PlantationDate]])</f>
        <v>123145716</v>
      </c>
      <c r="O1598" t="str">
        <f>CompilDonnées[[#This Row],[FarmID]]&amp;CompilDonnées[[#This Row],[ModuleNumber]]</f>
        <v>1231</v>
      </c>
      <c r="P1598" t="str">
        <f>CompilDonnées[[#This Row],[Ref_Module]]&amp;CompilDonnées[[#This Row],[HarvestingDate]]</f>
        <v>123145762</v>
      </c>
    </row>
    <row r="1599" spans="1:16">
      <c r="A1599" s="5">
        <v>45716</v>
      </c>
      <c r="B1599">
        <v>123</v>
      </c>
      <c r="C1599" t="s">
        <v>13</v>
      </c>
      <c r="D1599">
        <v>6</v>
      </c>
      <c r="E1599">
        <v>100</v>
      </c>
      <c r="F1599" t="s">
        <v>1</v>
      </c>
      <c r="G1599" s="6">
        <v>45758</v>
      </c>
      <c r="H1599">
        <v>42</v>
      </c>
      <c r="I1599">
        <f>ROUND(CompilDonnées[[#This Row],[CultureDuration_days]]/7,0)</f>
        <v>6</v>
      </c>
      <c r="J1599">
        <v>3969</v>
      </c>
      <c r="K1599" t="str">
        <f>_xlfn.CONCAT(WEEKNUM(CompilDonnées[[#This Row],[PlantationDate]]), " ", YEAR(CompilDonnées[[#This Row],[PlantationDate]]))</f>
        <v>9 2025</v>
      </c>
      <c r="L1599" t="str">
        <f>CONCATENATE(MONTH(CompilDonnées[[#This Row],[PlantationDate]])," ", YEAR(CompilDonnées[[#This Row],[PlantationDate]]))</f>
        <v>2 2025</v>
      </c>
      <c r="M1599" t="str">
        <f>CONCATENATE(MONTH(CompilDonnées[[#This Row],[HarvestingDate]])," ", YEAR(CompilDonnées[[#This Row],[HarvestingDate]]))</f>
        <v>4 2025</v>
      </c>
      <c r="N1599">
        <f>_xlfn.NUMBERVALUE(CompilDonnées[[#This Row],[FarmID]]&amp;CompilDonnées[[#This Row],[ModuleNumber]]&amp;CompilDonnées[[#This Row],[PlantationDate]])</f>
        <v>123645716</v>
      </c>
      <c r="O1599" t="str">
        <f>CompilDonnées[[#This Row],[FarmID]]&amp;CompilDonnées[[#This Row],[ModuleNumber]]</f>
        <v>1236</v>
      </c>
      <c r="P1599" t="str">
        <f>CompilDonnées[[#This Row],[Ref_Module]]&amp;CompilDonnées[[#This Row],[HarvestingDate]]</f>
        <v>123645758</v>
      </c>
    </row>
    <row r="1600" spans="1:16">
      <c r="A1600" s="5">
        <v>45716</v>
      </c>
      <c r="B1600">
        <v>108</v>
      </c>
      <c r="C1600" t="s">
        <v>58</v>
      </c>
      <c r="D1600">
        <v>3</v>
      </c>
      <c r="E1600">
        <v>100</v>
      </c>
      <c r="F1600" t="s">
        <v>1</v>
      </c>
      <c r="G1600" s="6">
        <v>45758</v>
      </c>
      <c r="H1600">
        <v>42</v>
      </c>
      <c r="I1600">
        <f>ROUND(CompilDonnées[[#This Row],[CultureDuration_days]]/7,0)</f>
        <v>6</v>
      </c>
      <c r="J1600">
        <v>3162</v>
      </c>
      <c r="K1600" t="str">
        <f>_xlfn.CONCAT(WEEKNUM(CompilDonnées[[#This Row],[PlantationDate]]), " ", YEAR(CompilDonnées[[#This Row],[PlantationDate]]))</f>
        <v>9 2025</v>
      </c>
      <c r="L1600" t="str">
        <f>CONCATENATE(MONTH(CompilDonnées[[#This Row],[PlantationDate]])," ", YEAR(CompilDonnées[[#This Row],[PlantationDate]]))</f>
        <v>2 2025</v>
      </c>
      <c r="M1600" t="str">
        <f>CONCATENATE(MONTH(CompilDonnées[[#This Row],[HarvestingDate]])," ", YEAR(CompilDonnées[[#This Row],[HarvestingDate]]))</f>
        <v>4 2025</v>
      </c>
      <c r="N1600">
        <f>_xlfn.NUMBERVALUE(CompilDonnées[[#This Row],[FarmID]]&amp;CompilDonnées[[#This Row],[ModuleNumber]]&amp;CompilDonnées[[#This Row],[PlantationDate]])</f>
        <v>108345716</v>
      </c>
      <c r="O1600" t="str">
        <f>CompilDonnées[[#This Row],[FarmID]]&amp;CompilDonnées[[#This Row],[ModuleNumber]]</f>
        <v>1083</v>
      </c>
      <c r="P1600" t="str">
        <f>CompilDonnées[[#This Row],[Ref_Module]]&amp;CompilDonnées[[#This Row],[HarvestingDate]]</f>
        <v>108345758</v>
      </c>
    </row>
    <row r="1601" spans="1:16">
      <c r="A1601" s="5">
        <v>45716</v>
      </c>
      <c r="B1601">
        <v>106</v>
      </c>
      <c r="C1601" t="s">
        <v>22</v>
      </c>
      <c r="D1601">
        <v>2</v>
      </c>
      <c r="E1601">
        <v>100</v>
      </c>
      <c r="F1601" t="s">
        <v>1</v>
      </c>
      <c r="G1601" s="6">
        <v>45758</v>
      </c>
      <c r="H1601">
        <v>42</v>
      </c>
      <c r="I1601">
        <f>ROUND(CompilDonnées[[#This Row],[CultureDuration_days]]/7,0)</f>
        <v>6</v>
      </c>
      <c r="J1601">
        <v>3430</v>
      </c>
      <c r="K1601" t="str">
        <f>_xlfn.CONCAT(WEEKNUM(CompilDonnées[[#This Row],[PlantationDate]]), " ", YEAR(CompilDonnées[[#This Row],[PlantationDate]]))</f>
        <v>9 2025</v>
      </c>
      <c r="L1601" t="str">
        <f>CONCATENATE(MONTH(CompilDonnées[[#This Row],[PlantationDate]])," ", YEAR(CompilDonnées[[#This Row],[PlantationDate]]))</f>
        <v>2 2025</v>
      </c>
      <c r="M1601" t="str">
        <f>CONCATENATE(MONTH(CompilDonnées[[#This Row],[HarvestingDate]])," ", YEAR(CompilDonnées[[#This Row],[HarvestingDate]]))</f>
        <v>4 2025</v>
      </c>
      <c r="N1601">
        <f>_xlfn.NUMBERVALUE(CompilDonnées[[#This Row],[FarmID]]&amp;CompilDonnées[[#This Row],[ModuleNumber]]&amp;CompilDonnées[[#This Row],[PlantationDate]])</f>
        <v>106245716</v>
      </c>
      <c r="O1601" t="str">
        <f>CompilDonnées[[#This Row],[FarmID]]&amp;CompilDonnées[[#This Row],[ModuleNumber]]</f>
        <v>1062</v>
      </c>
      <c r="P1601" t="str">
        <f>CompilDonnées[[#This Row],[Ref_Module]]&amp;CompilDonnées[[#This Row],[HarvestingDate]]</f>
        <v>106245758</v>
      </c>
    </row>
    <row r="1602" spans="1:16">
      <c r="A1602" s="5">
        <v>45716</v>
      </c>
      <c r="B1602">
        <v>98</v>
      </c>
      <c r="C1602" t="s">
        <v>79</v>
      </c>
      <c r="D1602">
        <v>3</v>
      </c>
      <c r="E1602">
        <v>100</v>
      </c>
      <c r="F1602" t="s">
        <v>1</v>
      </c>
      <c r="G1602" s="6">
        <v>45756</v>
      </c>
      <c r="H1602">
        <v>40</v>
      </c>
      <c r="I1602">
        <f>ROUND(CompilDonnées[[#This Row],[CultureDuration_days]]/7,0)</f>
        <v>6</v>
      </c>
      <c r="J1602">
        <v>3287</v>
      </c>
      <c r="K1602" t="str">
        <f>_xlfn.CONCAT(WEEKNUM(CompilDonnées[[#This Row],[PlantationDate]]), " ", YEAR(CompilDonnées[[#This Row],[PlantationDate]]))</f>
        <v>9 2025</v>
      </c>
      <c r="L1602" t="str">
        <f>CONCATENATE(MONTH(CompilDonnées[[#This Row],[PlantationDate]])," ", YEAR(CompilDonnées[[#This Row],[PlantationDate]]))</f>
        <v>2 2025</v>
      </c>
      <c r="M1602" t="str">
        <f>CONCATENATE(MONTH(CompilDonnées[[#This Row],[HarvestingDate]])," ", YEAR(CompilDonnées[[#This Row],[HarvestingDate]]))</f>
        <v>4 2025</v>
      </c>
      <c r="N1602">
        <f>_xlfn.NUMBERVALUE(CompilDonnées[[#This Row],[FarmID]]&amp;CompilDonnées[[#This Row],[ModuleNumber]]&amp;CompilDonnées[[#This Row],[PlantationDate]])</f>
        <v>98345716</v>
      </c>
      <c r="O1602" t="str">
        <f>CompilDonnées[[#This Row],[FarmID]]&amp;CompilDonnées[[#This Row],[ModuleNumber]]</f>
        <v>983</v>
      </c>
      <c r="P1602" t="str">
        <f>CompilDonnées[[#This Row],[Ref_Module]]&amp;CompilDonnées[[#This Row],[HarvestingDate]]</f>
        <v>98345756</v>
      </c>
    </row>
    <row r="1603" spans="1:16">
      <c r="A1603" s="5">
        <v>45716</v>
      </c>
      <c r="B1603">
        <v>93</v>
      </c>
      <c r="C1603" t="s">
        <v>10</v>
      </c>
      <c r="D1603">
        <v>1</v>
      </c>
      <c r="E1603">
        <v>100</v>
      </c>
      <c r="F1603" t="s">
        <v>1</v>
      </c>
      <c r="G1603" s="6">
        <v>45761</v>
      </c>
      <c r="H1603">
        <v>45</v>
      </c>
      <c r="I1603">
        <f>ROUND(CompilDonnées[[#This Row],[CultureDuration_days]]/7,0)</f>
        <v>6</v>
      </c>
      <c r="J1603">
        <v>3592</v>
      </c>
      <c r="K1603" t="str">
        <f>_xlfn.CONCAT(WEEKNUM(CompilDonnées[[#This Row],[PlantationDate]]), " ", YEAR(CompilDonnées[[#This Row],[PlantationDate]]))</f>
        <v>9 2025</v>
      </c>
      <c r="L1603" t="str">
        <f>CONCATENATE(MONTH(CompilDonnées[[#This Row],[PlantationDate]])," ", YEAR(CompilDonnées[[#This Row],[PlantationDate]]))</f>
        <v>2 2025</v>
      </c>
      <c r="M1603" t="str">
        <f>CONCATENATE(MONTH(CompilDonnées[[#This Row],[HarvestingDate]])," ", YEAR(CompilDonnées[[#This Row],[HarvestingDate]]))</f>
        <v>4 2025</v>
      </c>
      <c r="N1603">
        <f>_xlfn.NUMBERVALUE(CompilDonnées[[#This Row],[FarmID]]&amp;CompilDonnées[[#This Row],[ModuleNumber]]&amp;CompilDonnées[[#This Row],[PlantationDate]])</f>
        <v>93145716</v>
      </c>
      <c r="O1603" t="str">
        <f>CompilDonnées[[#This Row],[FarmID]]&amp;CompilDonnées[[#This Row],[ModuleNumber]]</f>
        <v>931</v>
      </c>
      <c r="P1603" t="str">
        <f>CompilDonnées[[#This Row],[Ref_Module]]&amp;CompilDonnées[[#This Row],[HarvestingDate]]</f>
        <v>93145761</v>
      </c>
    </row>
    <row r="1604" spans="1:16">
      <c r="A1604" s="5">
        <v>45716</v>
      </c>
      <c r="B1604">
        <v>93</v>
      </c>
      <c r="C1604" t="s">
        <v>10</v>
      </c>
      <c r="D1604">
        <v>4</v>
      </c>
      <c r="E1604">
        <v>100</v>
      </c>
      <c r="F1604" t="s">
        <v>1</v>
      </c>
      <c r="G1604" s="6">
        <v>45757</v>
      </c>
      <c r="H1604">
        <v>41</v>
      </c>
      <c r="I1604">
        <f>ROUND(CompilDonnées[[#This Row],[CultureDuration_days]]/7,0)</f>
        <v>6</v>
      </c>
      <c r="J1604">
        <v>3118</v>
      </c>
      <c r="K1604" t="str">
        <f>_xlfn.CONCAT(WEEKNUM(CompilDonnées[[#This Row],[PlantationDate]]), " ", YEAR(CompilDonnées[[#This Row],[PlantationDate]]))</f>
        <v>9 2025</v>
      </c>
      <c r="L1604" t="str">
        <f>CONCATENATE(MONTH(CompilDonnées[[#This Row],[PlantationDate]])," ", YEAR(CompilDonnées[[#This Row],[PlantationDate]]))</f>
        <v>2 2025</v>
      </c>
      <c r="M1604" t="str">
        <f>CONCATENATE(MONTH(CompilDonnées[[#This Row],[HarvestingDate]])," ", YEAR(CompilDonnées[[#This Row],[HarvestingDate]]))</f>
        <v>4 2025</v>
      </c>
      <c r="N1604">
        <f>_xlfn.NUMBERVALUE(CompilDonnées[[#This Row],[FarmID]]&amp;CompilDonnées[[#This Row],[ModuleNumber]]&amp;CompilDonnées[[#This Row],[PlantationDate]])</f>
        <v>93445716</v>
      </c>
      <c r="O1604" t="str">
        <f>CompilDonnées[[#This Row],[FarmID]]&amp;CompilDonnées[[#This Row],[ModuleNumber]]</f>
        <v>934</v>
      </c>
      <c r="P1604" t="str">
        <f>CompilDonnées[[#This Row],[Ref_Module]]&amp;CompilDonnées[[#This Row],[HarvestingDate]]</f>
        <v>93445757</v>
      </c>
    </row>
    <row r="1605" spans="1:16">
      <c r="A1605" s="5">
        <v>45716</v>
      </c>
      <c r="B1605">
        <v>92</v>
      </c>
      <c r="C1605" t="s">
        <v>66</v>
      </c>
      <c r="D1605">
        <v>4</v>
      </c>
      <c r="E1605">
        <v>100</v>
      </c>
      <c r="F1605" t="s">
        <v>1</v>
      </c>
      <c r="G1605" s="6">
        <v>45757</v>
      </c>
      <c r="H1605">
        <v>41</v>
      </c>
      <c r="I1605">
        <f>ROUND(CompilDonnées[[#This Row],[CultureDuration_days]]/7,0)</f>
        <v>6</v>
      </c>
      <c r="J1605">
        <v>3780</v>
      </c>
      <c r="K1605" t="str">
        <f>_xlfn.CONCAT(WEEKNUM(CompilDonnées[[#This Row],[PlantationDate]]), " ", YEAR(CompilDonnées[[#This Row],[PlantationDate]]))</f>
        <v>9 2025</v>
      </c>
      <c r="L1605" t="str">
        <f>CONCATENATE(MONTH(CompilDonnées[[#This Row],[PlantationDate]])," ", YEAR(CompilDonnées[[#This Row],[PlantationDate]]))</f>
        <v>2 2025</v>
      </c>
      <c r="M1605" t="str">
        <f>CONCATENATE(MONTH(CompilDonnées[[#This Row],[HarvestingDate]])," ", YEAR(CompilDonnées[[#This Row],[HarvestingDate]]))</f>
        <v>4 2025</v>
      </c>
      <c r="N1605">
        <f>_xlfn.NUMBERVALUE(CompilDonnées[[#This Row],[FarmID]]&amp;CompilDonnées[[#This Row],[ModuleNumber]]&amp;CompilDonnées[[#This Row],[PlantationDate]])</f>
        <v>92445716</v>
      </c>
      <c r="O1605" t="str">
        <f>CompilDonnées[[#This Row],[FarmID]]&amp;CompilDonnées[[#This Row],[ModuleNumber]]</f>
        <v>924</v>
      </c>
      <c r="P1605" t="str">
        <f>CompilDonnées[[#This Row],[Ref_Module]]&amp;CompilDonnées[[#This Row],[HarvestingDate]]</f>
        <v>92445757</v>
      </c>
    </row>
    <row r="1606" spans="1:16">
      <c r="A1606" s="5">
        <v>45716</v>
      </c>
      <c r="B1606">
        <v>102</v>
      </c>
      <c r="C1606" t="s">
        <v>85</v>
      </c>
      <c r="D1606">
        <v>4</v>
      </c>
      <c r="E1606">
        <v>100</v>
      </c>
      <c r="F1606" t="s">
        <v>1</v>
      </c>
      <c r="G1606" s="6">
        <v>45757</v>
      </c>
      <c r="H1606">
        <v>41</v>
      </c>
      <c r="I1606">
        <f>ROUND(CompilDonnées[[#This Row],[CultureDuration_days]]/7,0)</f>
        <v>6</v>
      </c>
      <c r="J1606">
        <v>3342</v>
      </c>
      <c r="K1606" t="str">
        <f>_xlfn.CONCAT(WEEKNUM(CompilDonnées[[#This Row],[PlantationDate]]), " ", YEAR(CompilDonnées[[#This Row],[PlantationDate]]))</f>
        <v>9 2025</v>
      </c>
      <c r="L1606" t="str">
        <f>CONCATENATE(MONTH(CompilDonnées[[#This Row],[PlantationDate]])," ", YEAR(CompilDonnées[[#This Row],[PlantationDate]]))</f>
        <v>2 2025</v>
      </c>
      <c r="M1606" t="str">
        <f>CONCATENATE(MONTH(CompilDonnées[[#This Row],[HarvestingDate]])," ", YEAR(CompilDonnées[[#This Row],[HarvestingDate]]))</f>
        <v>4 2025</v>
      </c>
      <c r="N1606">
        <f>_xlfn.NUMBERVALUE(CompilDonnées[[#This Row],[FarmID]]&amp;CompilDonnées[[#This Row],[ModuleNumber]]&amp;CompilDonnées[[#This Row],[PlantationDate]])</f>
        <v>102445716</v>
      </c>
      <c r="O1606" t="str">
        <f>CompilDonnées[[#This Row],[FarmID]]&amp;CompilDonnées[[#This Row],[ModuleNumber]]</f>
        <v>1024</v>
      </c>
      <c r="P1606" t="str">
        <f>CompilDonnées[[#This Row],[Ref_Module]]&amp;CompilDonnées[[#This Row],[HarvestingDate]]</f>
        <v>102445757</v>
      </c>
    </row>
    <row r="1607" spans="1:16">
      <c r="A1607" s="5">
        <v>45716</v>
      </c>
      <c r="B1607">
        <v>102</v>
      </c>
      <c r="C1607" t="s">
        <v>85</v>
      </c>
      <c r="D1607">
        <v>5</v>
      </c>
      <c r="E1607">
        <v>100</v>
      </c>
      <c r="F1607" t="s">
        <v>1</v>
      </c>
      <c r="G1607" s="6">
        <v>45757</v>
      </c>
      <c r="H1607">
        <v>41</v>
      </c>
      <c r="I1607">
        <f>ROUND(CompilDonnées[[#This Row],[CultureDuration_days]]/7,0)</f>
        <v>6</v>
      </c>
      <c r="J1607">
        <v>3589</v>
      </c>
      <c r="K1607" t="str">
        <f>_xlfn.CONCAT(WEEKNUM(CompilDonnées[[#This Row],[PlantationDate]]), " ", YEAR(CompilDonnées[[#This Row],[PlantationDate]]))</f>
        <v>9 2025</v>
      </c>
      <c r="L1607" t="str">
        <f>CONCATENATE(MONTH(CompilDonnées[[#This Row],[PlantationDate]])," ", YEAR(CompilDonnées[[#This Row],[PlantationDate]]))</f>
        <v>2 2025</v>
      </c>
      <c r="M1607" t="str">
        <f>CONCATENATE(MONTH(CompilDonnées[[#This Row],[HarvestingDate]])," ", YEAR(CompilDonnées[[#This Row],[HarvestingDate]]))</f>
        <v>4 2025</v>
      </c>
      <c r="N1607">
        <f>_xlfn.NUMBERVALUE(CompilDonnées[[#This Row],[FarmID]]&amp;CompilDonnées[[#This Row],[ModuleNumber]]&amp;CompilDonnées[[#This Row],[PlantationDate]])</f>
        <v>102545716</v>
      </c>
      <c r="O1607" t="str">
        <f>CompilDonnées[[#This Row],[FarmID]]&amp;CompilDonnées[[#This Row],[ModuleNumber]]</f>
        <v>1025</v>
      </c>
      <c r="P1607" t="str">
        <f>CompilDonnées[[#This Row],[Ref_Module]]&amp;CompilDonnées[[#This Row],[HarvestingDate]]</f>
        <v>102545757</v>
      </c>
    </row>
    <row r="1608" spans="1:16">
      <c r="A1608" s="5">
        <v>45716</v>
      </c>
      <c r="B1608">
        <v>88</v>
      </c>
      <c r="C1608" t="s">
        <v>94</v>
      </c>
      <c r="D1608">
        <v>2</v>
      </c>
      <c r="E1608">
        <v>100</v>
      </c>
      <c r="F1608" t="s">
        <v>1</v>
      </c>
      <c r="G1608" s="6">
        <v>45757</v>
      </c>
      <c r="H1608">
        <v>41</v>
      </c>
      <c r="I1608">
        <f>ROUND(CompilDonnées[[#This Row],[CultureDuration_days]]/7,0)</f>
        <v>6</v>
      </c>
      <c r="J1608">
        <v>3865</v>
      </c>
      <c r="K1608" t="str">
        <f>_xlfn.CONCAT(WEEKNUM(CompilDonnées[[#This Row],[PlantationDate]]), " ", YEAR(CompilDonnées[[#This Row],[PlantationDate]]))</f>
        <v>9 2025</v>
      </c>
      <c r="L1608" t="str">
        <f>CONCATENATE(MONTH(CompilDonnées[[#This Row],[PlantationDate]])," ", YEAR(CompilDonnées[[#This Row],[PlantationDate]]))</f>
        <v>2 2025</v>
      </c>
      <c r="M1608" t="str">
        <f>CONCATENATE(MONTH(CompilDonnées[[#This Row],[HarvestingDate]])," ", YEAR(CompilDonnées[[#This Row],[HarvestingDate]]))</f>
        <v>4 2025</v>
      </c>
      <c r="N1608">
        <f>_xlfn.NUMBERVALUE(CompilDonnées[[#This Row],[FarmID]]&amp;CompilDonnées[[#This Row],[ModuleNumber]]&amp;CompilDonnées[[#This Row],[PlantationDate]])</f>
        <v>88245716</v>
      </c>
      <c r="O1608" t="str">
        <f>CompilDonnées[[#This Row],[FarmID]]&amp;CompilDonnées[[#This Row],[ModuleNumber]]</f>
        <v>882</v>
      </c>
      <c r="P1608" t="str">
        <f>CompilDonnées[[#This Row],[Ref_Module]]&amp;CompilDonnées[[#This Row],[HarvestingDate]]</f>
        <v>88245757</v>
      </c>
    </row>
    <row r="1609" spans="1:16">
      <c r="A1609" s="5">
        <v>45716</v>
      </c>
      <c r="B1609">
        <v>88</v>
      </c>
      <c r="C1609" t="s">
        <v>94</v>
      </c>
      <c r="D1609">
        <v>4</v>
      </c>
      <c r="E1609">
        <v>100</v>
      </c>
      <c r="F1609" t="s">
        <v>1</v>
      </c>
      <c r="G1609" s="6">
        <v>45757</v>
      </c>
      <c r="H1609">
        <v>41</v>
      </c>
      <c r="I1609">
        <f>ROUND(CompilDonnées[[#This Row],[CultureDuration_days]]/7,0)</f>
        <v>6</v>
      </c>
      <c r="J1609">
        <v>4363</v>
      </c>
      <c r="K1609" t="str">
        <f>_xlfn.CONCAT(WEEKNUM(CompilDonnées[[#This Row],[PlantationDate]]), " ", YEAR(CompilDonnées[[#This Row],[PlantationDate]]))</f>
        <v>9 2025</v>
      </c>
      <c r="L1609" t="str">
        <f>CONCATENATE(MONTH(CompilDonnées[[#This Row],[PlantationDate]])," ", YEAR(CompilDonnées[[#This Row],[PlantationDate]]))</f>
        <v>2 2025</v>
      </c>
      <c r="M1609" t="str">
        <f>CONCATENATE(MONTH(CompilDonnées[[#This Row],[HarvestingDate]])," ", YEAR(CompilDonnées[[#This Row],[HarvestingDate]]))</f>
        <v>4 2025</v>
      </c>
      <c r="N1609">
        <f>_xlfn.NUMBERVALUE(CompilDonnées[[#This Row],[FarmID]]&amp;CompilDonnées[[#This Row],[ModuleNumber]]&amp;CompilDonnées[[#This Row],[PlantationDate]])</f>
        <v>88445716</v>
      </c>
      <c r="O1609" t="str">
        <f>CompilDonnées[[#This Row],[FarmID]]&amp;CompilDonnées[[#This Row],[ModuleNumber]]</f>
        <v>884</v>
      </c>
      <c r="P1609" t="str">
        <f>CompilDonnées[[#This Row],[Ref_Module]]&amp;CompilDonnées[[#This Row],[HarvestingDate]]</f>
        <v>88445757</v>
      </c>
    </row>
    <row r="1610" spans="1:16">
      <c r="A1610" s="5">
        <v>45716</v>
      </c>
      <c r="B1610">
        <v>86</v>
      </c>
      <c r="C1610" t="s">
        <v>37</v>
      </c>
      <c r="D1610">
        <v>4</v>
      </c>
      <c r="E1610">
        <v>100</v>
      </c>
      <c r="F1610" t="s">
        <v>1</v>
      </c>
      <c r="G1610" s="6">
        <v>45757</v>
      </c>
      <c r="H1610">
        <v>41</v>
      </c>
      <c r="I1610">
        <f>ROUND(CompilDonnées[[#This Row],[CultureDuration_days]]/7,0)</f>
        <v>6</v>
      </c>
      <c r="J1610">
        <v>3850</v>
      </c>
      <c r="K1610" t="str">
        <f>_xlfn.CONCAT(WEEKNUM(CompilDonnées[[#This Row],[PlantationDate]]), " ", YEAR(CompilDonnées[[#This Row],[PlantationDate]]))</f>
        <v>9 2025</v>
      </c>
      <c r="L1610" t="str">
        <f>CONCATENATE(MONTH(CompilDonnées[[#This Row],[PlantationDate]])," ", YEAR(CompilDonnées[[#This Row],[PlantationDate]]))</f>
        <v>2 2025</v>
      </c>
      <c r="M1610" t="str">
        <f>CONCATENATE(MONTH(CompilDonnées[[#This Row],[HarvestingDate]])," ", YEAR(CompilDonnées[[#This Row],[HarvestingDate]]))</f>
        <v>4 2025</v>
      </c>
      <c r="N1610">
        <f>_xlfn.NUMBERVALUE(CompilDonnées[[#This Row],[FarmID]]&amp;CompilDonnées[[#This Row],[ModuleNumber]]&amp;CompilDonnées[[#This Row],[PlantationDate]])</f>
        <v>86445716</v>
      </c>
      <c r="O1610" t="str">
        <f>CompilDonnées[[#This Row],[FarmID]]&amp;CompilDonnées[[#This Row],[ModuleNumber]]</f>
        <v>864</v>
      </c>
      <c r="P1610" t="str">
        <f>CompilDonnées[[#This Row],[Ref_Module]]&amp;CompilDonnées[[#This Row],[HarvestingDate]]</f>
        <v>86445757</v>
      </c>
    </row>
    <row r="1611" spans="1:16">
      <c r="A1611" s="5">
        <v>45716</v>
      </c>
      <c r="B1611">
        <v>99</v>
      </c>
      <c r="C1611" t="s">
        <v>117</v>
      </c>
      <c r="D1611">
        <v>5</v>
      </c>
      <c r="E1611">
        <v>100</v>
      </c>
      <c r="F1611" t="s">
        <v>1</v>
      </c>
      <c r="G1611" s="6">
        <v>45757</v>
      </c>
      <c r="H1611">
        <v>41</v>
      </c>
      <c r="I1611">
        <f>ROUND(CompilDonnées[[#This Row],[CultureDuration_days]]/7,0)</f>
        <v>6</v>
      </c>
      <c r="J1611">
        <v>3201</v>
      </c>
      <c r="K1611" t="str">
        <f>_xlfn.CONCAT(WEEKNUM(CompilDonnées[[#This Row],[PlantationDate]]), " ", YEAR(CompilDonnées[[#This Row],[PlantationDate]]))</f>
        <v>9 2025</v>
      </c>
      <c r="L1611" t="str">
        <f>CONCATENATE(MONTH(CompilDonnées[[#This Row],[PlantationDate]])," ", YEAR(CompilDonnées[[#This Row],[PlantationDate]]))</f>
        <v>2 2025</v>
      </c>
      <c r="M1611" t="str">
        <f>CONCATENATE(MONTH(CompilDonnées[[#This Row],[HarvestingDate]])," ", YEAR(CompilDonnées[[#This Row],[HarvestingDate]]))</f>
        <v>4 2025</v>
      </c>
      <c r="N1611">
        <f>_xlfn.NUMBERVALUE(CompilDonnées[[#This Row],[FarmID]]&amp;CompilDonnées[[#This Row],[ModuleNumber]]&amp;CompilDonnées[[#This Row],[PlantationDate]])</f>
        <v>99545716</v>
      </c>
      <c r="O1611" t="str">
        <f>CompilDonnées[[#This Row],[FarmID]]&amp;CompilDonnées[[#This Row],[ModuleNumber]]</f>
        <v>995</v>
      </c>
      <c r="P1611" t="str">
        <f>CompilDonnées[[#This Row],[Ref_Module]]&amp;CompilDonnées[[#This Row],[HarvestingDate]]</f>
        <v>99545757</v>
      </c>
    </row>
    <row r="1612" spans="1:16">
      <c r="A1612" s="5">
        <v>45716</v>
      </c>
      <c r="B1612">
        <v>137</v>
      </c>
      <c r="C1612" t="s">
        <v>3</v>
      </c>
      <c r="D1612">
        <v>1</v>
      </c>
      <c r="E1612">
        <v>100</v>
      </c>
      <c r="F1612" t="s">
        <v>1</v>
      </c>
      <c r="G1612" s="6">
        <v>45761</v>
      </c>
      <c r="H1612">
        <v>45</v>
      </c>
      <c r="I1612">
        <f>ROUND(CompilDonnées[[#This Row],[CultureDuration_days]]/7,0)</f>
        <v>6</v>
      </c>
      <c r="J1612">
        <v>941</v>
      </c>
      <c r="K1612" t="str">
        <f>_xlfn.CONCAT(WEEKNUM(CompilDonnées[[#This Row],[PlantationDate]]), " ", YEAR(CompilDonnées[[#This Row],[PlantationDate]]))</f>
        <v>9 2025</v>
      </c>
      <c r="L1612" t="str">
        <f>CONCATENATE(MONTH(CompilDonnées[[#This Row],[PlantationDate]])," ", YEAR(CompilDonnées[[#This Row],[PlantationDate]]))</f>
        <v>2 2025</v>
      </c>
      <c r="M1612" t="str">
        <f>CONCATENATE(MONTH(CompilDonnées[[#This Row],[HarvestingDate]])," ", YEAR(CompilDonnées[[#This Row],[HarvestingDate]]))</f>
        <v>4 2025</v>
      </c>
      <c r="N1612">
        <f>_xlfn.NUMBERVALUE(CompilDonnées[[#This Row],[FarmID]]&amp;CompilDonnées[[#This Row],[ModuleNumber]]&amp;CompilDonnées[[#This Row],[PlantationDate]])</f>
        <v>137145716</v>
      </c>
      <c r="O1612" t="str">
        <f>CompilDonnées[[#This Row],[FarmID]]&amp;CompilDonnées[[#This Row],[ModuleNumber]]</f>
        <v>1371</v>
      </c>
      <c r="P1612" t="str">
        <f>CompilDonnées[[#This Row],[Ref_Module]]&amp;CompilDonnées[[#This Row],[HarvestingDate]]</f>
        <v>137145761</v>
      </c>
    </row>
    <row r="1613" spans="1:16">
      <c r="A1613" s="5">
        <v>45716</v>
      </c>
      <c r="B1613">
        <v>137</v>
      </c>
      <c r="C1613" t="s">
        <v>3</v>
      </c>
      <c r="D1613">
        <v>2</v>
      </c>
      <c r="E1613">
        <v>68</v>
      </c>
      <c r="F1613" t="s">
        <v>1</v>
      </c>
      <c r="G1613" s="6">
        <v>45761</v>
      </c>
      <c r="H1613">
        <v>45</v>
      </c>
      <c r="I1613">
        <f>ROUND(CompilDonnées[[#This Row],[CultureDuration_days]]/7,0)</f>
        <v>6</v>
      </c>
      <c r="J1613">
        <v>1564</v>
      </c>
      <c r="K1613" t="str">
        <f>_xlfn.CONCAT(WEEKNUM(CompilDonnées[[#This Row],[PlantationDate]]), " ", YEAR(CompilDonnées[[#This Row],[PlantationDate]]))</f>
        <v>9 2025</v>
      </c>
      <c r="L1613" t="str">
        <f>CONCATENATE(MONTH(CompilDonnées[[#This Row],[PlantationDate]])," ", YEAR(CompilDonnées[[#This Row],[PlantationDate]]))</f>
        <v>2 2025</v>
      </c>
      <c r="M1613" t="str">
        <f>CONCATENATE(MONTH(CompilDonnées[[#This Row],[HarvestingDate]])," ", YEAR(CompilDonnées[[#This Row],[HarvestingDate]]))</f>
        <v>4 2025</v>
      </c>
      <c r="N1613">
        <f>_xlfn.NUMBERVALUE(CompilDonnées[[#This Row],[FarmID]]&amp;CompilDonnées[[#This Row],[ModuleNumber]]&amp;CompilDonnées[[#This Row],[PlantationDate]])</f>
        <v>137245716</v>
      </c>
      <c r="O1613" t="str">
        <f>CompilDonnées[[#This Row],[FarmID]]&amp;CompilDonnées[[#This Row],[ModuleNumber]]</f>
        <v>1372</v>
      </c>
      <c r="P1613" t="str">
        <f>CompilDonnées[[#This Row],[Ref_Module]]&amp;CompilDonnées[[#This Row],[HarvestingDate]]</f>
        <v>137245761</v>
      </c>
    </row>
    <row r="1614" spans="1:16">
      <c r="A1614" s="5">
        <v>45716</v>
      </c>
      <c r="B1614">
        <v>137</v>
      </c>
      <c r="C1614" t="s">
        <v>3</v>
      </c>
      <c r="D1614">
        <v>3</v>
      </c>
      <c r="E1614">
        <v>52</v>
      </c>
      <c r="F1614" t="s">
        <v>1</v>
      </c>
      <c r="G1614" s="6">
        <v>45761</v>
      </c>
      <c r="H1614">
        <v>45</v>
      </c>
      <c r="I1614">
        <f>ROUND(CompilDonnées[[#This Row],[CultureDuration_days]]/7,0)</f>
        <v>6</v>
      </c>
      <c r="J1614">
        <v>1800</v>
      </c>
      <c r="K1614" t="str">
        <f>_xlfn.CONCAT(WEEKNUM(CompilDonnées[[#This Row],[PlantationDate]]), " ", YEAR(CompilDonnées[[#This Row],[PlantationDate]]))</f>
        <v>9 2025</v>
      </c>
      <c r="L1614" t="str">
        <f>CONCATENATE(MONTH(CompilDonnées[[#This Row],[PlantationDate]])," ", YEAR(CompilDonnées[[#This Row],[PlantationDate]]))</f>
        <v>2 2025</v>
      </c>
      <c r="M1614" t="str">
        <f>CONCATENATE(MONTH(CompilDonnées[[#This Row],[HarvestingDate]])," ", YEAR(CompilDonnées[[#This Row],[HarvestingDate]]))</f>
        <v>4 2025</v>
      </c>
      <c r="N1614">
        <f>_xlfn.NUMBERVALUE(CompilDonnées[[#This Row],[FarmID]]&amp;CompilDonnées[[#This Row],[ModuleNumber]]&amp;CompilDonnées[[#This Row],[PlantationDate]])</f>
        <v>137345716</v>
      </c>
      <c r="O1614" t="str">
        <f>CompilDonnées[[#This Row],[FarmID]]&amp;CompilDonnées[[#This Row],[ModuleNumber]]</f>
        <v>1373</v>
      </c>
      <c r="P1614" t="str">
        <f>CompilDonnées[[#This Row],[Ref_Module]]&amp;CompilDonnées[[#This Row],[HarvestingDate]]</f>
        <v>137345761</v>
      </c>
    </row>
    <row r="1615" spans="1:16">
      <c r="A1615" s="5">
        <v>45716</v>
      </c>
      <c r="B1615">
        <v>128</v>
      </c>
      <c r="C1615" t="s">
        <v>3</v>
      </c>
      <c r="D1615">
        <v>4</v>
      </c>
      <c r="E1615">
        <v>60</v>
      </c>
      <c r="F1615" t="s">
        <v>105</v>
      </c>
      <c r="G1615" s="6">
        <v>45771</v>
      </c>
      <c r="H1615">
        <v>55</v>
      </c>
      <c r="I1615">
        <f>ROUND(CompilDonnées[[#This Row],[CultureDuration_days]]/7,0)</f>
        <v>8</v>
      </c>
      <c r="J1615">
        <v>780</v>
      </c>
      <c r="K1615" t="str">
        <f>_xlfn.CONCAT(WEEKNUM(CompilDonnées[[#This Row],[PlantationDate]]), " ", YEAR(CompilDonnées[[#This Row],[PlantationDate]]))</f>
        <v>9 2025</v>
      </c>
      <c r="L1615" t="str">
        <f>CONCATENATE(MONTH(CompilDonnées[[#This Row],[PlantationDate]])," ", YEAR(CompilDonnées[[#This Row],[PlantationDate]]))</f>
        <v>2 2025</v>
      </c>
      <c r="M1615" t="str">
        <f>CONCATENATE(MONTH(CompilDonnées[[#This Row],[HarvestingDate]])," ", YEAR(CompilDonnées[[#This Row],[HarvestingDate]]))</f>
        <v>4 2025</v>
      </c>
      <c r="N1615">
        <f>_xlfn.NUMBERVALUE(CompilDonnées[[#This Row],[FarmID]]&amp;CompilDonnées[[#This Row],[ModuleNumber]]&amp;CompilDonnées[[#This Row],[PlantationDate]])</f>
        <v>128445716</v>
      </c>
      <c r="O1615" t="str">
        <f>CompilDonnées[[#This Row],[FarmID]]&amp;CompilDonnées[[#This Row],[ModuleNumber]]</f>
        <v>1284</v>
      </c>
      <c r="P1615" t="str">
        <f>CompilDonnées[[#This Row],[Ref_Module]]&amp;CompilDonnées[[#This Row],[HarvestingDate]]</f>
        <v>128445771</v>
      </c>
    </row>
    <row r="1616" spans="1:16">
      <c r="A1616" s="5">
        <v>45716</v>
      </c>
      <c r="B1616">
        <v>128</v>
      </c>
      <c r="C1616" t="s">
        <v>3</v>
      </c>
      <c r="D1616">
        <v>5</v>
      </c>
      <c r="E1616">
        <v>60</v>
      </c>
      <c r="F1616" t="s">
        <v>105</v>
      </c>
      <c r="G1616" s="6">
        <v>45771</v>
      </c>
      <c r="H1616">
        <v>55</v>
      </c>
      <c r="I1616">
        <f>ROUND(CompilDonnées[[#This Row],[CultureDuration_days]]/7,0)</f>
        <v>8</v>
      </c>
      <c r="J1616">
        <v>690</v>
      </c>
      <c r="K1616" t="str">
        <f>_xlfn.CONCAT(WEEKNUM(CompilDonnées[[#This Row],[PlantationDate]]), " ", YEAR(CompilDonnées[[#This Row],[PlantationDate]]))</f>
        <v>9 2025</v>
      </c>
      <c r="L1616" t="str">
        <f>CONCATENATE(MONTH(CompilDonnées[[#This Row],[PlantationDate]])," ", YEAR(CompilDonnées[[#This Row],[PlantationDate]]))</f>
        <v>2 2025</v>
      </c>
      <c r="M1616" t="str">
        <f>CONCATENATE(MONTH(CompilDonnées[[#This Row],[HarvestingDate]])," ", YEAR(CompilDonnées[[#This Row],[HarvestingDate]]))</f>
        <v>4 2025</v>
      </c>
      <c r="N1616">
        <f>_xlfn.NUMBERVALUE(CompilDonnées[[#This Row],[FarmID]]&amp;CompilDonnées[[#This Row],[ModuleNumber]]&amp;CompilDonnées[[#This Row],[PlantationDate]])</f>
        <v>128545716</v>
      </c>
      <c r="O1616" t="str">
        <f>CompilDonnées[[#This Row],[FarmID]]&amp;CompilDonnées[[#This Row],[ModuleNumber]]</f>
        <v>1285</v>
      </c>
      <c r="P1616" t="str">
        <f>CompilDonnées[[#This Row],[Ref_Module]]&amp;CompilDonnées[[#This Row],[HarvestingDate]]</f>
        <v>128545771</v>
      </c>
    </row>
    <row r="1617" spans="1:16">
      <c r="A1617" s="5">
        <v>45716</v>
      </c>
      <c r="B1617">
        <v>128</v>
      </c>
      <c r="C1617" t="s">
        <v>3</v>
      </c>
      <c r="D1617">
        <v>6</v>
      </c>
      <c r="E1617">
        <v>60</v>
      </c>
      <c r="F1617" t="s">
        <v>105</v>
      </c>
      <c r="G1617" s="6">
        <v>45771</v>
      </c>
      <c r="H1617">
        <v>55</v>
      </c>
      <c r="I1617">
        <f>ROUND(CompilDonnées[[#This Row],[CultureDuration_days]]/7,0)</f>
        <v>8</v>
      </c>
      <c r="J1617">
        <v>500</v>
      </c>
      <c r="K1617" t="str">
        <f>_xlfn.CONCAT(WEEKNUM(CompilDonnées[[#This Row],[PlantationDate]]), " ", YEAR(CompilDonnées[[#This Row],[PlantationDate]]))</f>
        <v>9 2025</v>
      </c>
      <c r="L1617" t="str">
        <f>CONCATENATE(MONTH(CompilDonnées[[#This Row],[PlantationDate]])," ", YEAR(CompilDonnées[[#This Row],[PlantationDate]]))</f>
        <v>2 2025</v>
      </c>
      <c r="M1617" t="str">
        <f>CONCATENATE(MONTH(CompilDonnées[[#This Row],[HarvestingDate]])," ", YEAR(CompilDonnées[[#This Row],[HarvestingDate]]))</f>
        <v>4 2025</v>
      </c>
      <c r="N1617">
        <f>_xlfn.NUMBERVALUE(CompilDonnées[[#This Row],[FarmID]]&amp;CompilDonnées[[#This Row],[ModuleNumber]]&amp;CompilDonnées[[#This Row],[PlantationDate]])</f>
        <v>128645716</v>
      </c>
      <c r="O1617" t="str">
        <f>CompilDonnées[[#This Row],[FarmID]]&amp;CompilDonnées[[#This Row],[ModuleNumber]]</f>
        <v>1286</v>
      </c>
      <c r="P1617" t="str">
        <f>CompilDonnées[[#This Row],[Ref_Module]]&amp;CompilDonnées[[#This Row],[HarvestingDate]]</f>
        <v>128645771</v>
      </c>
    </row>
    <row r="1618" spans="1:16">
      <c r="A1618" s="5">
        <v>45716</v>
      </c>
      <c r="B1618">
        <v>127</v>
      </c>
      <c r="C1618" t="s">
        <v>3</v>
      </c>
      <c r="D1618">
        <v>1</v>
      </c>
      <c r="E1618">
        <v>60</v>
      </c>
      <c r="F1618" t="s">
        <v>105</v>
      </c>
      <c r="G1618" s="6">
        <v>45772</v>
      </c>
      <c r="H1618">
        <v>56</v>
      </c>
      <c r="I1618">
        <f>ROUND(CompilDonnées[[#This Row],[CultureDuration_days]]/7,0)</f>
        <v>8</v>
      </c>
      <c r="J1618">
        <v>958</v>
      </c>
      <c r="K1618" t="str">
        <f>_xlfn.CONCAT(WEEKNUM(CompilDonnées[[#This Row],[PlantationDate]]), " ", YEAR(CompilDonnées[[#This Row],[PlantationDate]]))</f>
        <v>9 2025</v>
      </c>
      <c r="L1618" t="str">
        <f>CONCATENATE(MONTH(CompilDonnées[[#This Row],[PlantationDate]])," ", YEAR(CompilDonnées[[#This Row],[PlantationDate]]))</f>
        <v>2 2025</v>
      </c>
      <c r="M1618" t="str">
        <f>CONCATENATE(MONTH(CompilDonnées[[#This Row],[HarvestingDate]])," ", YEAR(CompilDonnées[[#This Row],[HarvestingDate]]))</f>
        <v>4 2025</v>
      </c>
      <c r="N1618">
        <f>_xlfn.NUMBERVALUE(CompilDonnées[[#This Row],[FarmID]]&amp;CompilDonnées[[#This Row],[ModuleNumber]]&amp;CompilDonnées[[#This Row],[PlantationDate]])</f>
        <v>127145716</v>
      </c>
      <c r="O1618" t="str">
        <f>CompilDonnées[[#This Row],[FarmID]]&amp;CompilDonnées[[#This Row],[ModuleNumber]]</f>
        <v>1271</v>
      </c>
      <c r="P1618" t="str">
        <f>CompilDonnées[[#This Row],[Ref_Module]]&amp;CompilDonnées[[#This Row],[HarvestingDate]]</f>
        <v>127145772</v>
      </c>
    </row>
    <row r="1619" spans="1:16">
      <c r="A1619" s="5">
        <v>45716</v>
      </c>
      <c r="B1619">
        <v>127</v>
      </c>
      <c r="C1619" t="s">
        <v>3</v>
      </c>
      <c r="D1619">
        <v>2</v>
      </c>
      <c r="E1619">
        <v>60</v>
      </c>
      <c r="F1619" t="s">
        <v>105</v>
      </c>
      <c r="G1619" s="6">
        <v>45772</v>
      </c>
      <c r="H1619">
        <v>56</v>
      </c>
      <c r="I1619">
        <f>ROUND(CompilDonnées[[#This Row],[CultureDuration_days]]/7,0)</f>
        <v>8</v>
      </c>
      <c r="J1619">
        <v>831</v>
      </c>
      <c r="K1619" t="str">
        <f>_xlfn.CONCAT(WEEKNUM(CompilDonnées[[#This Row],[PlantationDate]]), " ", YEAR(CompilDonnées[[#This Row],[PlantationDate]]))</f>
        <v>9 2025</v>
      </c>
      <c r="L1619" t="str">
        <f>CONCATENATE(MONTH(CompilDonnées[[#This Row],[PlantationDate]])," ", YEAR(CompilDonnées[[#This Row],[PlantationDate]]))</f>
        <v>2 2025</v>
      </c>
      <c r="M1619" t="str">
        <f>CONCATENATE(MONTH(CompilDonnées[[#This Row],[HarvestingDate]])," ", YEAR(CompilDonnées[[#This Row],[HarvestingDate]]))</f>
        <v>4 2025</v>
      </c>
      <c r="N1619">
        <f>_xlfn.NUMBERVALUE(CompilDonnées[[#This Row],[FarmID]]&amp;CompilDonnées[[#This Row],[ModuleNumber]]&amp;CompilDonnées[[#This Row],[PlantationDate]])</f>
        <v>127245716</v>
      </c>
      <c r="O1619" t="str">
        <f>CompilDonnées[[#This Row],[FarmID]]&amp;CompilDonnées[[#This Row],[ModuleNumber]]</f>
        <v>1272</v>
      </c>
      <c r="P1619" t="str">
        <f>CompilDonnées[[#This Row],[Ref_Module]]&amp;CompilDonnées[[#This Row],[HarvestingDate]]</f>
        <v>127245772</v>
      </c>
    </row>
    <row r="1620" spans="1:16">
      <c r="A1620" s="5">
        <v>45717</v>
      </c>
      <c r="B1620">
        <v>42</v>
      </c>
      <c r="C1620" t="s">
        <v>89</v>
      </c>
      <c r="D1620">
        <v>3</v>
      </c>
      <c r="E1620">
        <v>100</v>
      </c>
      <c r="F1620" t="s">
        <v>1</v>
      </c>
      <c r="G1620" s="6">
        <v>45762</v>
      </c>
      <c r="H1620">
        <v>45</v>
      </c>
      <c r="I1620">
        <f>ROUND(CompilDonnées[[#This Row],[CultureDuration_days]]/7,0)</f>
        <v>6</v>
      </c>
      <c r="J1620">
        <v>3800</v>
      </c>
      <c r="K1620" t="str">
        <f>_xlfn.CONCAT(WEEKNUM(CompilDonnées[[#This Row],[PlantationDate]]), " ", YEAR(CompilDonnées[[#This Row],[PlantationDate]]))</f>
        <v>9 2025</v>
      </c>
      <c r="L1620" t="str">
        <f>CONCATENATE(MONTH(CompilDonnées[[#This Row],[PlantationDate]])," ", YEAR(CompilDonnées[[#This Row],[PlantationDate]]))</f>
        <v>3 2025</v>
      </c>
      <c r="M1620" t="str">
        <f>CONCATENATE(MONTH(CompilDonnées[[#This Row],[HarvestingDate]])," ", YEAR(CompilDonnées[[#This Row],[HarvestingDate]]))</f>
        <v>4 2025</v>
      </c>
      <c r="N1620">
        <f>_xlfn.NUMBERVALUE(CompilDonnées[[#This Row],[FarmID]]&amp;CompilDonnées[[#This Row],[ModuleNumber]]&amp;CompilDonnées[[#This Row],[PlantationDate]])</f>
        <v>42345717</v>
      </c>
      <c r="O1620" t="str">
        <f>CompilDonnées[[#This Row],[FarmID]]&amp;CompilDonnées[[#This Row],[ModuleNumber]]</f>
        <v>423</v>
      </c>
      <c r="P1620" t="str">
        <f>CompilDonnées[[#This Row],[Ref_Module]]&amp;CompilDonnées[[#This Row],[HarvestingDate]]</f>
        <v>42345762</v>
      </c>
    </row>
    <row r="1621" spans="1:16">
      <c r="A1621" s="5">
        <v>45717</v>
      </c>
      <c r="B1621">
        <v>43</v>
      </c>
      <c r="C1621" t="s">
        <v>45</v>
      </c>
      <c r="D1621">
        <v>2</v>
      </c>
      <c r="E1621">
        <v>100</v>
      </c>
      <c r="F1621" t="s">
        <v>1</v>
      </c>
      <c r="G1621" s="6">
        <v>45762</v>
      </c>
      <c r="H1621">
        <v>45</v>
      </c>
      <c r="I1621">
        <f>ROUND(CompilDonnées[[#This Row],[CultureDuration_days]]/7,0)</f>
        <v>6</v>
      </c>
      <c r="J1621">
        <v>3092</v>
      </c>
      <c r="K1621" t="str">
        <f>_xlfn.CONCAT(WEEKNUM(CompilDonnées[[#This Row],[PlantationDate]]), " ", YEAR(CompilDonnées[[#This Row],[PlantationDate]]))</f>
        <v>9 2025</v>
      </c>
      <c r="L1621" t="str">
        <f>CONCATENATE(MONTH(CompilDonnées[[#This Row],[PlantationDate]])," ", YEAR(CompilDonnées[[#This Row],[PlantationDate]]))</f>
        <v>3 2025</v>
      </c>
      <c r="M1621" t="str">
        <f>CONCATENATE(MONTH(CompilDonnées[[#This Row],[HarvestingDate]])," ", YEAR(CompilDonnées[[#This Row],[HarvestingDate]]))</f>
        <v>4 2025</v>
      </c>
      <c r="N1621">
        <f>_xlfn.NUMBERVALUE(CompilDonnées[[#This Row],[FarmID]]&amp;CompilDonnées[[#This Row],[ModuleNumber]]&amp;CompilDonnées[[#This Row],[PlantationDate]])</f>
        <v>43245717</v>
      </c>
      <c r="O1621" t="str">
        <f>CompilDonnées[[#This Row],[FarmID]]&amp;CompilDonnées[[#This Row],[ModuleNumber]]</f>
        <v>432</v>
      </c>
      <c r="P1621" t="str">
        <f>CompilDonnées[[#This Row],[Ref_Module]]&amp;CompilDonnées[[#This Row],[HarvestingDate]]</f>
        <v>43245762</v>
      </c>
    </row>
    <row r="1622" spans="1:16">
      <c r="A1622" s="5">
        <v>45717</v>
      </c>
      <c r="B1622">
        <v>67</v>
      </c>
      <c r="C1622" t="s">
        <v>28</v>
      </c>
      <c r="D1622">
        <v>4</v>
      </c>
      <c r="E1622">
        <v>100</v>
      </c>
      <c r="F1622" t="s">
        <v>1</v>
      </c>
      <c r="G1622" s="6">
        <v>45756</v>
      </c>
      <c r="H1622">
        <v>39</v>
      </c>
      <c r="I1622">
        <f>ROUND(CompilDonnées[[#This Row],[CultureDuration_days]]/7,0)</f>
        <v>6</v>
      </c>
      <c r="J1622">
        <v>2906</v>
      </c>
      <c r="K1622" t="str">
        <f>_xlfn.CONCAT(WEEKNUM(CompilDonnées[[#This Row],[PlantationDate]]), " ", YEAR(CompilDonnées[[#This Row],[PlantationDate]]))</f>
        <v>9 2025</v>
      </c>
      <c r="L1622" t="str">
        <f>CONCATENATE(MONTH(CompilDonnées[[#This Row],[PlantationDate]])," ", YEAR(CompilDonnées[[#This Row],[PlantationDate]]))</f>
        <v>3 2025</v>
      </c>
      <c r="M1622" t="str">
        <f>CONCATENATE(MONTH(CompilDonnées[[#This Row],[HarvestingDate]])," ", YEAR(CompilDonnées[[#This Row],[HarvestingDate]]))</f>
        <v>4 2025</v>
      </c>
      <c r="N1622">
        <f>_xlfn.NUMBERVALUE(CompilDonnées[[#This Row],[FarmID]]&amp;CompilDonnées[[#This Row],[ModuleNumber]]&amp;CompilDonnées[[#This Row],[PlantationDate]])</f>
        <v>67445717</v>
      </c>
      <c r="O1622" t="str">
        <f>CompilDonnées[[#This Row],[FarmID]]&amp;CompilDonnées[[#This Row],[ModuleNumber]]</f>
        <v>674</v>
      </c>
      <c r="P1622" t="str">
        <f>CompilDonnées[[#This Row],[Ref_Module]]&amp;CompilDonnées[[#This Row],[HarvestingDate]]</f>
        <v>67445756</v>
      </c>
    </row>
    <row r="1623" spans="1:16">
      <c r="A1623" s="5">
        <v>45717</v>
      </c>
      <c r="B1623">
        <v>69</v>
      </c>
      <c r="C1623" t="s">
        <v>102</v>
      </c>
      <c r="D1623">
        <v>2</v>
      </c>
      <c r="E1623">
        <v>100</v>
      </c>
      <c r="F1623" t="s">
        <v>1</v>
      </c>
      <c r="G1623" s="6">
        <v>45763</v>
      </c>
      <c r="H1623">
        <v>46</v>
      </c>
      <c r="I1623">
        <f>ROUND(CompilDonnées[[#This Row],[CultureDuration_days]]/7,0)</f>
        <v>7</v>
      </c>
      <c r="J1623">
        <v>3710</v>
      </c>
      <c r="K1623" t="str">
        <f>_xlfn.CONCAT(WEEKNUM(CompilDonnées[[#This Row],[PlantationDate]]), " ", YEAR(CompilDonnées[[#This Row],[PlantationDate]]))</f>
        <v>9 2025</v>
      </c>
      <c r="L1623" t="str">
        <f>CONCATENATE(MONTH(CompilDonnées[[#This Row],[PlantationDate]])," ", YEAR(CompilDonnées[[#This Row],[PlantationDate]]))</f>
        <v>3 2025</v>
      </c>
      <c r="M1623" t="str">
        <f>CONCATENATE(MONTH(CompilDonnées[[#This Row],[HarvestingDate]])," ", YEAR(CompilDonnées[[#This Row],[HarvestingDate]]))</f>
        <v>4 2025</v>
      </c>
      <c r="N1623">
        <f>_xlfn.NUMBERVALUE(CompilDonnées[[#This Row],[FarmID]]&amp;CompilDonnées[[#This Row],[ModuleNumber]]&amp;CompilDonnées[[#This Row],[PlantationDate]])</f>
        <v>69245717</v>
      </c>
      <c r="O1623" t="str">
        <f>CompilDonnées[[#This Row],[FarmID]]&amp;CompilDonnées[[#This Row],[ModuleNumber]]</f>
        <v>692</v>
      </c>
      <c r="P1623" t="str">
        <f>CompilDonnées[[#This Row],[Ref_Module]]&amp;CompilDonnées[[#This Row],[HarvestingDate]]</f>
        <v>69245763</v>
      </c>
    </row>
    <row r="1624" spans="1:16">
      <c r="A1624" s="5">
        <v>45717</v>
      </c>
      <c r="B1624">
        <v>74</v>
      </c>
      <c r="C1624" t="s">
        <v>21</v>
      </c>
      <c r="D1624">
        <v>2</v>
      </c>
      <c r="E1624">
        <v>100</v>
      </c>
      <c r="F1624" t="s">
        <v>1</v>
      </c>
      <c r="G1624" s="6">
        <v>45756</v>
      </c>
      <c r="H1624">
        <v>39</v>
      </c>
      <c r="I1624">
        <f>ROUND(CompilDonnées[[#This Row],[CultureDuration_days]]/7,0)</f>
        <v>6</v>
      </c>
      <c r="J1624">
        <v>3530</v>
      </c>
      <c r="K1624" t="str">
        <f>_xlfn.CONCAT(WEEKNUM(CompilDonnées[[#This Row],[PlantationDate]]), " ", YEAR(CompilDonnées[[#This Row],[PlantationDate]]))</f>
        <v>9 2025</v>
      </c>
      <c r="L1624" t="str">
        <f>CONCATENATE(MONTH(CompilDonnées[[#This Row],[PlantationDate]])," ", YEAR(CompilDonnées[[#This Row],[PlantationDate]]))</f>
        <v>3 2025</v>
      </c>
      <c r="M1624" t="str">
        <f>CONCATENATE(MONTH(CompilDonnées[[#This Row],[HarvestingDate]])," ", YEAR(CompilDonnées[[#This Row],[HarvestingDate]]))</f>
        <v>4 2025</v>
      </c>
      <c r="N1624">
        <f>_xlfn.NUMBERVALUE(CompilDonnées[[#This Row],[FarmID]]&amp;CompilDonnées[[#This Row],[ModuleNumber]]&amp;CompilDonnées[[#This Row],[PlantationDate]])</f>
        <v>74245717</v>
      </c>
      <c r="O1624" t="str">
        <f>CompilDonnées[[#This Row],[FarmID]]&amp;CompilDonnées[[#This Row],[ModuleNumber]]</f>
        <v>742</v>
      </c>
      <c r="P1624" t="str">
        <f>CompilDonnées[[#This Row],[Ref_Module]]&amp;CompilDonnées[[#This Row],[HarvestingDate]]</f>
        <v>74245756</v>
      </c>
    </row>
    <row r="1625" spans="1:16">
      <c r="A1625" s="5">
        <v>45717</v>
      </c>
      <c r="B1625">
        <v>79</v>
      </c>
      <c r="C1625" t="s">
        <v>61</v>
      </c>
      <c r="D1625">
        <v>5</v>
      </c>
      <c r="E1625">
        <v>97</v>
      </c>
      <c r="F1625" t="s">
        <v>1</v>
      </c>
      <c r="G1625" s="6">
        <v>45762</v>
      </c>
      <c r="H1625">
        <v>45</v>
      </c>
      <c r="I1625">
        <f>ROUND(CompilDonnées[[#This Row],[CultureDuration_days]]/7,0)</f>
        <v>6</v>
      </c>
      <c r="J1625">
        <v>3377</v>
      </c>
      <c r="K1625" t="str">
        <f>_xlfn.CONCAT(WEEKNUM(CompilDonnées[[#This Row],[PlantationDate]]), " ", YEAR(CompilDonnées[[#This Row],[PlantationDate]]))</f>
        <v>9 2025</v>
      </c>
      <c r="L1625" t="str">
        <f>CONCATENATE(MONTH(CompilDonnées[[#This Row],[PlantationDate]])," ", YEAR(CompilDonnées[[#This Row],[PlantationDate]]))</f>
        <v>3 2025</v>
      </c>
      <c r="M1625" t="str">
        <f>CONCATENATE(MONTH(CompilDonnées[[#This Row],[HarvestingDate]])," ", YEAR(CompilDonnées[[#This Row],[HarvestingDate]]))</f>
        <v>4 2025</v>
      </c>
      <c r="N1625">
        <f>_xlfn.NUMBERVALUE(CompilDonnées[[#This Row],[FarmID]]&amp;CompilDonnées[[#This Row],[ModuleNumber]]&amp;CompilDonnées[[#This Row],[PlantationDate]])</f>
        <v>79545717</v>
      </c>
      <c r="O1625" t="str">
        <f>CompilDonnées[[#This Row],[FarmID]]&amp;CompilDonnées[[#This Row],[ModuleNumber]]</f>
        <v>795</v>
      </c>
      <c r="P1625" t="str">
        <f>CompilDonnées[[#This Row],[Ref_Module]]&amp;CompilDonnées[[#This Row],[HarvestingDate]]</f>
        <v>79545762</v>
      </c>
    </row>
    <row r="1626" spans="1:16">
      <c r="A1626" s="5">
        <v>45717</v>
      </c>
      <c r="B1626">
        <v>85</v>
      </c>
      <c r="C1626" t="s">
        <v>56</v>
      </c>
      <c r="D1626">
        <v>6</v>
      </c>
      <c r="E1626">
        <v>100</v>
      </c>
      <c r="F1626" t="s">
        <v>1</v>
      </c>
      <c r="G1626" s="6">
        <v>45757</v>
      </c>
      <c r="H1626">
        <v>40</v>
      </c>
      <c r="I1626">
        <f>ROUND(CompilDonnées[[#This Row],[CultureDuration_days]]/7,0)</f>
        <v>6</v>
      </c>
      <c r="J1626">
        <v>3763</v>
      </c>
      <c r="K1626" t="str">
        <f>_xlfn.CONCAT(WEEKNUM(CompilDonnées[[#This Row],[PlantationDate]]), " ", YEAR(CompilDonnées[[#This Row],[PlantationDate]]))</f>
        <v>9 2025</v>
      </c>
      <c r="L1626" t="str">
        <f>CONCATENATE(MONTH(CompilDonnées[[#This Row],[PlantationDate]])," ", YEAR(CompilDonnées[[#This Row],[PlantationDate]]))</f>
        <v>3 2025</v>
      </c>
      <c r="M1626" t="str">
        <f>CONCATENATE(MONTH(CompilDonnées[[#This Row],[HarvestingDate]])," ", YEAR(CompilDonnées[[#This Row],[HarvestingDate]]))</f>
        <v>4 2025</v>
      </c>
      <c r="N1626">
        <f>_xlfn.NUMBERVALUE(CompilDonnées[[#This Row],[FarmID]]&amp;CompilDonnées[[#This Row],[ModuleNumber]]&amp;CompilDonnées[[#This Row],[PlantationDate]])</f>
        <v>85645717</v>
      </c>
      <c r="O1626" t="str">
        <f>CompilDonnées[[#This Row],[FarmID]]&amp;CompilDonnées[[#This Row],[ModuleNumber]]</f>
        <v>856</v>
      </c>
      <c r="P1626" t="str">
        <f>CompilDonnées[[#This Row],[Ref_Module]]&amp;CompilDonnées[[#This Row],[HarvestingDate]]</f>
        <v>85645757</v>
      </c>
    </row>
    <row r="1627" spans="1:16">
      <c r="A1627" s="5">
        <v>45717</v>
      </c>
      <c r="B1627">
        <v>86</v>
      </c>
      <c r="C1627" t="s">
        <v>37</v>
      </c>
      <c r="D1627">
        <v>6</v>
      </c>
      <c r="E1627">
        <v>100</v>
      </c>
      <c r="F1627" t="s">
        <v>1</v>
      </c>
      <c r="G1627" s="6">
        <v>45761</v>
      </c>
      <c r="H1627">
        <v>44</v>
      </c>
      <c r="I1627">
        <f>ROUND(CompilDonnées[[#This Row],[CultureDuration_days]]/7,0)</f>
        <v>6</v>
      </c>
      <c r="J1627">
        <v>3073</v>
      </c>
      <c r="K1627" t="str">
        <f>_xlfn.CONCAT(WEEKNUM(CompilDonnées[[#This Row],[PlantationDate]]), " ", YEAR(CompilDonnées[[#This Row],[PlantationDate]]))</f>
        <v>9 2025</v>
      </c>
      <c r="L1627" t="str">
        <f>CONCATENATE(MONTH(CompilDonnées[[#This Row],[PlantationDate]])," ", YEAR(CompilDonnées[[#This Row],[PlantationDate]]))</f>
        <v>3 2025</v>
      </c>
      <c r="M1627" t="str">
        <f>CONCATENATE(MONTH(CompilDonnées[[#This Row],[HarvestingDate]])," ", YEAR(CompilDonnées[[#This Row],[HarvestingDate]]))</f>
        <v>4 2025</v>
      </c>
      <c r="N1627">
        <f>_xlfn.NUMBERVALUE(CompilDonnées[[#This Row],[FarmID]]&amp;CompilDonnées[[#This Row],[ModuleNumber]]&amp;CompilDonnées[[#This Row],[PlantationDate]])</f>
        <v>86645717</v>
      </c>
      <c r="O1627" t="str">
        <f>CompilDonnées[[#This Row],[FarmID]]&amp;CompilDonnées[[#This Row],[ModuleNumber]]</f>
        <v>866</v>
      </c>
      <c r="P1627" t="str">
        <f>CompilDonnées[[#This Row],[Ref_Module]]&amp;CompilDonnées[[#This Row],[HarvestingDate]]</f>
        <v>86645761</v>
      </c>
    </row>
    <row r="1628" spans="1:16">
      <c r="A1628" s="5">
        <v>45717</v>
      </c>
      <c r="B1628">
        <v>92</v>
      </c>
      <c r="C1628" t="s">
        <v>66</v>
      </c>
      <c r="D1628">
        <v>6</v>
      </c>
      <c r="E1628">
        <v>100</v>
      </c>
      <c r="F1628" t="s">
        <v>1</v>
      </c>
      <c r="G1628" s="6">
        <v>45761</v>
      </c>
      <c r="H1628">
        <v>44</v>
      </c>
      <c r="I1628">
        <f>ROUND(CompilDonnées[[#This Row],[CultureDuration_days]]/7,0)</f>
        <v>6</v>
      </c>
      <c r="J1628">
        <v>3403</v>
      </c>
      <c r="K1628" t="str">
        <f>_xlfn.CONCAT(WEEKNUM(CompilDonnées[[#This Row],[PlantationDate]]), " ", YEAR(CompilDonnées[[#This Row],[PlantationDate]]))</f>
        <v>9 2025</v>
      </c>
      <c r="L1628" t="str">
        <f>CONCATENATE(MONTH(CompilDonnées[[#This Row],[PlantationDate]])," ", YEAR(CompilDonnées[[#This Row],[PlantationDate]]))</f>
        <v>3 2025</v>
      </c>
      <c r="M1628" t="str">
        <f>CONCATENATE(MONTH(CompilDonnées[[#This Row],[HarvestingDate]])," ", YEAR(CompilDonnées[[#This Row],[HarvestingDate]]))</f>
        <v>4 2025</v>
      </c>
      <c r="N1628">
        <f>_xlfn.NUMBERVALUE(CompilDonnées[[#This Row],[FarmID]]&amp;CompilDonnées[[#This Row],[ModuleNumber]]&amp;CompilDonnées[[#This Row],[PlantationDate]])</f>
        <v>92645717</v>
      </c>
      <c r="O1628" t="str">
        <f>CompilDonnées[[#This Row],[FarmID]]&amp;CompilDonnées[[#This Row],[ModuleNumber]]</f>
        <v>926</v>
      </c>
      <c r="P1628" t="str">
        <f>CompilDonnées[[#This Row],[Ref_Module]]&amp;CompilDonnées[[#This Row],[HarvestingDate]]</f>
        <v>92645761</v>
      </c>
    </row>
    <row r="1629" spans="1:16">
      <c r="A1629" s="5">
        <v>45717</v>
      </c>
      <c r="B1629">
        <v>99</v>
      </c>
      <c r="C1629" t="s">
        <v>117</v>
      </c>
      <c r="D1629">
        <v>6</v>
      </c>
      <c r="E1629">
        <v>100</v>
      </c>
      <c r="F1629" t="s">
        <v>1</v>
      </c>
      <c r="G1629" s="6">
        <v>45761</v>
      </c>
      <c r="H1629">
        <v>44</v>
      </c>
      <c r="I1629">
        <f>ROUND(CompilDonnées[[#This Row],[CultureDuration_days]]/7,0)</f>
        <v>6</v>
      </c>
      <c r="J1629">
        <v>3184</v>
      </c>
      <c r="K1629" t="str">
        <f>_xlfn.CONCAT(WEEKNUM(CompilDonnées[[#This Row],[PlantationDate]]), " ", YEAR(CompilDonnées[[#This Row],[PlantationDate]]))</f>
        <v>9 2025</v>
      </c>
      <c r="L1629" t="str">
        <f>CONCATENATE(MONTH(CompilDonnées[[#This Row],[PlantationDate]])," ", YEAR(CompilDonnées[[#This Row],[PlantationDate]]))</f>
        <v>3 2025</v>
      </c>
      <c r="M1629" t="str">
        <f>CONCATENATE(MONTH(CompilDonnées[[#This Row],[HarvestingDate]])," ", YEAR(CompilDonnées[[#This Row],[HarvestingDate]]))</f>
        <v>4 2025</v>
      </c>
      <c r="N1629">
        <f>_xlfn.NUMBERVALUE(CompilDonnées[[#This Row],[FarmID]]&amp;CompilDonnées[[#This Row],[ModuleNumber]]&amp;CompilDonnées[[#This Row],[PlantationDate]])</f>
        <v>99645717</v>
      </c>
      <c r="O1629" t="str">
        <f>CompilDonnées[[#This Row],[FarmID]]&amp;CompilDonnées[[#This Row],[ModuleNumber]]</f>
        <v>996</v>
      </c>
      <c r="P1629" t="str">
        <f>CompilDonnées[[#This Row],[Ref_Module]]&amp;CompilDonnées[[#This Row],[HarvestingDate]]</f>
        <v>99645761</v>
      </c>
    </row>
    <row r="1630" spans="1:16">
      <c r="A1630" s="5">
        <v>45717</v>
      </c>
      <c r="B1630">
        <v>100</v>
      </c>
      <c r="C1630" t="s">
        <v>84</v>
      </c>
      <c r="D1630">
        <v>2</v>
      </c>
      <c r="E1630">
        <v>100</v>
      </c>
      <c r="F1630" t="s">
        <v>1</v>
      </c>
      <c r="G1630" s="6">
        <v>45761</v>
      </c>
      <c r="H1630">
        <v>44</v>
      </c>
      <c r="I1630">
        <f>ROUND(CompilDonnées[[#This Row],[CultureDuration_days]]/7,0)</f>
        <v>6</v>
      </c>
      <c r="J1630">
        <v>3249</v>
      </c>
      <c r="K1630" t="str">
        <f>_xlfn.CONCAT(WEEKNUM(CompilDonnées[[#This Row],[PlantationDate]]), " ", YEAR(CompilDonnées[[#This Row],[PlantationDate]]))</f>
        <v>9 2025</v>
      </c>
      <c r="L1630" t="str">
        <f>CONCATENATE(MONTH(CompilDonnées[[#This Row],[PlantationDate]])," ", YEAR(CompilDonnées[[#This Row],[PlantationDate]]))</f>
        <v>3 2025</v>
      </c>
      <c r="M1630" t="str">
        <f>CONCATENATE(MONTH(CompilDonnées[[#This Row],[HarvestingDate]])," ", YEAR(CompilDonnées[[#This Row],[HarvestingDate]]))</f>
        <v>4 2025</v>
      </c>
      <c r="N1630">
        <f>_xlfn.NUMBERVALUE(CompilDonnées[[#This Row],[FarmID]]&amp;CompilDonnées[[#This Row],[ModuleNumber]]&amp;CompilDonnées[[#This Row],[PlantationDate]])</f>
        <v>100245717</v>
      </c>
      <c r="O1630" t="str">
        <f>CompilDonnées[[#This Row],[FarmID]]&amp;CompilDonnées[[#This Row],[ModuleNumber]]</f>
        <v>1002</v>
      </c>
      <c r="P1630" t="str">
        <f>CompilDonnées[[#This Row],[Ref_Module]]&amp;CompilDonnées[[#This Row],[HarvestingDate]]</f>
        <v>100245761</v>
      </c>
    </row>
    <row r="1631" spans="1:16">
      <c r="A1631" s="5">
        <v>45717</v>
      </c>
      <c r="B1631">
        <v>100</v>
      </c>
      <c r="C1631" t="s">
        <v>84</v>
      </c>
      <c r="D1631">
        <v>3</v>
      </c>
      <c r="E1631">
        <v>100</v>
      </c>
      <c r="F1631" t="s">
        <v>1</v>
      </c>
      <c r="G1631" s="6">
        <v>45761</v>
      </c>
      <c r="H1631">
        <v>44</v>
      </c>
      <c r="I1631">
        <f>ROUND(CompilDonnées[[#This Row],[CultureDuration_days]]/7,0)</f>
        <v>6</v>
      </c>
      <c r="J1631">
        <v>3341</v>
      </c>
      <c r="K1631" t="str">
        <f>_xlfn.CONCAT(WEEKNUM(CompilDonnées[[#This Row],[PlantationDate]]), " ", YEAR(CompilDonnées[[#This Row],[PlantationDate]]))</f>
        <v>9 2025</v>
      </c>
      <c r="L1631" t="str">
        <f>CONCATENATE(MONTH(CompilDonnées[[#This Row],[PlantationDate]])," ", YEAR(CompilDonnées[[#This Row],[PlantationDate]]))</f>
        <v>3 2025</v>
      </c>
      <c r="M1631" t="str">
        <f>CONCATENATE(MONTH(CompilDonnées[[#This Row],[HarvestingDate]])," ", YEAR(CompilDonnées[[#This Row],[HarvestingDate]]))</f>
        <v>4 2025</v>
      </c>
      <c r="N1631">
        <f>_xlfn.NUMBERVALUE(CompilDonnées[[#This Row],[FarmID]]&amp;CompilDonnées[[#This Row],[ModuleNumber]]&amp;CompilDonnées[[#This Row],[PlantationDate]])</f>
        <v>100345717</v>
      </c>
      <c r="O1631" t="str">
        <f>CompilDonnées[[#This Row],[FarmID]]&amp;CompilDonnées[[#This Row],[ModuleNumber]]</f>
        <v>1003</v>
      </c>
      <c r="P1631" t="str">
        <f>CompilDonnées[[#This Row],[Ref_Module]]&amp;CompilDonnées[[#This Row],[HarvestingDate]]</f>
        <v>100345761</v>
      </c>
    </row>
    <row r="1632" spans="1:16">
      <c r="A1632" s="5">
        <v>45717</v>
      </c>
      <c r="B1632">
        <v>107</v>
      </c>
      <c r="C1632" t="s">
        <v>23</v>
      </c>
      <c r="D1632">
        <v>2</v>
      </c>
      <c r="E1632">
        <v>100</v>
      </c>
      <c r="F1632" t="s">
        <v>1</v>
      </c>
      <c r="G1632" s="6">
        <v>45761</v>
      </c>
      <c r="H1632">
        <v>44</v>
      </c>
      <c r="I1632">
        <f>ROUND(CompilDonnées[[#This Row],[CultureDuration_days]]/7,0)</f>
        <v>6</v>
      </c>
      <c r="J1632">
        <v>2917</v>
      </c>
      <c r="K1632" t="str">
        <f>_xlfn.CONCAT(WEEKNUM(CompilDonnées[[#This Row],[PlantationDate]]), " ", YEAR(CompilDonnées[[#This Row],[PlantationDate]]))</f>
        <v>9 2025</v>
      </c>
      <c r="L1632" t="str">
        <f>CONCATENATE(MONTH(CompilDonnées[[#This Row],[PlantationDate]])," ", YEAR(CompilDonnées[[#This Row],[PlantationDate]]))</f>
        <v>3 2025</v>
      </c>
      <c r="M1632" t="str">
        <f>CONCATENATE(MONTH(CompilDonnées[[#This Row],[HarvestingDate]])," ", YEAR(CompilDonnées[[#This Row],[HarvestingDate]]))</f>
        <v>4 2025</v>
      </c>
      <c r="N1632">
        <f>_xlfn.NUMBERVALUE(CompilDonnées[[#This Row],[FarmID]]&amp;CompilDonnées[[#This Row],[ModuleNumber]]&amp;CompilDonnées[[#This Row],[PlantationDate]])</f>
        <v>107245717</v>
      </c>
      <c r="O1632" t="str">
        <f>CompilDonnées[[#This Row],[FarmID]]&amp;CompilDonnées[[#This Row],[ModuleNumber]]</f>
        <v>1072</v>
      </c>
      <c r="P1632" t="str">
        <f>CompilDonnées[[#This Row],[Ref_Module]]&amp;CompilDonnées[[#This Row],[HarvestingDate]]</f>
        <v>107245761</v>
      </c>
    </row>
    <row r="1633" spans="1:16">
      <c r="A1633" s="5">
        <v>45717</v>
      </c>
      <c r="B1633">
        <v>107</v>
      </c>
      <c r="C1633" t="s">
        <v>23</v>
      </c>
      <c r="D1633">
        <v>3</v>
      </c>
      <c r="E1633">
        <v>100</v>
      </c>
      <c r="F1633" t="s">
        <v>1</v>
      </c>
      <c r="G1633" s="6">
        <v>45758</v>
      </c>
      <c r="H1633">
        <v>41</v>
      </c>
      <c r="I1633">
        <f>ROUND(CompilDonnées[[#This Row],[CultureDuration_days]]/7,0)</f>
        <v>6</v>
      </c>
      <c r="J1633">
        <v>3215</v>
      </c>
      <c r="K1633" t="str">
        <f>_xlfn.CONCAT(WEEKNUM(CompilDonnées[[#This Row],[PlantationDate]]), " ", YEAR(CompilDonnées[[#This Row],[PlantationDate]]))</f>
        <v>9 2025</v>
      </c>
      <c r="L1633" t="str">
        <f>CONCATENATE(MONTH(CompilDonnées[[#This Row],[PlantationDate]])," ", YEAR(CompilDonnées[[#This Row],[PlantationDate]]))</f>
        <v>3 2025</v>
      </c>
      <c r="M1633" t="str">
        <f>CONCATENATE(MONTH(CompilDonnées[[#This Row],[HarvestingDate]])," ", YEAR(CompilDonnées[[#This Row],[HarvestingDate]]))</f>
        <v>4 2025</v>
      </c>
      <c r="N1633">
        <f>_xlfn.NUMBERVALUE(CompilDonnées[[#This Row],[FarmID]]&amp;CompilDonnées[[#This Row],[ModuleNumber]]&amp;CompilDonnées[[#This Row],[PlantationDate]])</f>
        <v>107345717</v>
      </c>
      <c r="O1633" t="str">
        <f>CompilDonnées[[#This Row],[FarmID]]&amp;CompilDonnées[[#This Row],[ModuleNumber]]</f>
        <v>1073</v>
      </c>
      <c r="P1633" t="str">
        <f>CompilDonnées[[#This Row],[Ref_Module]]&amp;CompilDonnées[[#This Row],[HarvestingDate]]</f>
        <v>107345758</v>
      </c>
    </row>
    <row r="1634" spans="1:16">
      <c r="A1634" s="5">
        <v>45717</v>
      </c>
      <c r="B1634">
        <v>112</v>
      </c>
      <c r="C1634" t="s">
        <v>15</v>
      </c>
      <c r="D1634">
        <v>5</v>
      </c>
      <c r="E1634">
        <v>100</v>
      </c>
      <c r="F1634" t="s">
        <v>1</v>
      </c>
      <c r="G1634" s="6">
        <v>45758</v>
      </c>
      <c r="H1634">
        <v>41</v>
      </c>
      <c r="I1634">
        <f>ROUND(CompilDonnées[[#This Row],[CultureDuration_days]]/7,0)</f>
        <v>6</v>
      </c>
      <c r="J1634">
        <v>3009</v>
      </c>
      <c r="K1634" t="str">
        <f>_xlfn.CONCAT(WEEKNUM(CompilDonnées[[#This Row],[PlantationDate]]), " ", YEAR(CompilDonnées[[#This Row],[PlantationDate]]))</f>
        <v>9 2025</v>
      </c>
      <c r="L1634" t="str">
        <f>CONCATENATE(MONTH(CompilDonnées[[#This Row],[PlantationDate]])," ", YEAR(CompilDonnées[[#This Row],[PlantationDate]]))</f>
        <v>3 2025</v>
      </c>
      <c r="M1634" t="str">
        <f>CONCATENATE(MONTH(CompilDonnées[[#This Row],[HarvestingDate]])," ", YEAR(CompilDonnées[[#This Row],[HarvestingDate]]))</f>
        <v>4 2025</v>
      </c>
      <c r="N1634">
        <f>_xlfn.NUMBERVALUE(CompilDonnées[[#This Row],[FarmID]]&amp;CompilDonnées[[#This Row],[ModuleNumber]]&amp;CompilDonnées[[#This Row],[PlantationDate]])</f>
        <v>112545717</v>
      </c>
      <c r="O1634" t="str">
        <f>CompilDonnées[[#This Row],[FarmID]]&amp;CompilDonnées[[#This Row],[ModuleNumber]]</f>
        <v>1125</v>
      </c>
      <c r="P1634" t="str">
        <f>CompilDonnées[[#This Row],[Ref_Module]]&amp;CompilDonnées[[#This Row],[HarvestingDate]]</f>
        <v>112545758</v>
      </c>
    </row>
    <row r="1635" spans="1:16">
      <c r="A1635" s="5">
        <v>45717</v>
      </c>
      <c r="B1635">
        <v>113</v>
      </c>
      <c r="C1635" t="s">
        <v>16</v>
      </c>
      <c r="D1635">
        <v>5</v>
      </c>
      <c r="E1635">
        <v>100</v>
      </c>
      <c r="F1635" t="s">
        <v>1</v>
      </c>
      <c r="G1635" s="6">
        <v>45758</v>
      </c>
      <c r="H1635">
        <v>41</v>
      </c>
      <c r="I1635">
        <f>ROUND(CompilDonnées[[#This Row],[CultureDuration_days]]/7,0)</f>
        <v>6</v>
      </c>
      <c r="J1635">
        <v>3584</v>
      </c>
      <c r="K1635" t="str">
        <f>_xlfn.CONCAT(WEEKNUM(CompilDonnées[[#This Row],[PlantationDate]]), " ", YEAR(CompilDonnées[[#This Row],[PlantationDate]]))</f>
        <v>9 2025</v>
      </c>
      <c r="L1635" t="str">
        <f>CONCATENATE(MONTH(CompilDonnées[[#This Row],[PlantationDate]])," ", YEAR(CompilDonnées[[#This Row],[PlantationDate]]))</f>
        <v>3 2025</v>
      </c>
      <c r="M1635" t="str">
        <f>CONCATENATE(MONTH(CompilDonnées[[#This Row],[HarvestingDate]])," ", YEAR(CompilDonnées[[#This Row],[HarvestingDate]]))</f>
        <v>4 2025</v>
      </c>
      <c r="N1635">
        <f>_xlfn.NUMBERVALUE(CompilDonnées[[#This Row],[FarmID]]&amp;CompilDonnées[[#This Row],[ModuleNumber]]&amp;CompilDonnées[[#This Row],[PlantationDate]])</f>
        <v>113545717</v>
      </c>
      <c r="O1635" t="str">
        <f>CompilDonnées[[#This Row],[FarmID]]&amp;CompilDonnées[[#This Row],[ModuleNumber]]</f>
        <v>1135</v>
      </c>
      <c r="P1635" t="str">
        <f>CompilDonnées[[#This Row],[Ref_Module]]&amp;CompilDonnées[[#This Row],[HarvestingDate]]</f>
        <v>113545758</v>
      </c>
    </row>
    <row r="1636" spans="1:16">
      <c r="A1636" s="5">
        <v>45717</v>
      </c>
      <c r="B1636">
        <v>115</v>
      </c>
      <c r="C1636" t="s">
        <v>121</v>
      </c>
      <c r="D1636">
        <v>5</v>
      </c>
      <c r="E1636">
        <v>100</v>
      </c>
      <c r="F1636" t="s">
        <v>1</v>
      </c>
      <c r="G1636" s="6">
        <v>45757</v>
      </c>
      <c r="H1636">
        <v>40</v>
      </c>
      <c r="I1636">
        <f>ROUND(CompilDonnées[[#This Row],[CultureDuration_days]]/7,0)</f>
        <v>6</v>
      </c>
      <c r="J1636">
        <v>3555</v>
      </c>
      <c r="K1636" t="str">
        <f>_xlfn.CONCAT(WEEKNUM(CompilDonnées[[#This Row],[PlantationDate]]), " ", YEAR(CompilDonnées[[#This Row],[PlantationDate]]))</f>
        <v>9 2025</v>
      </c>
      <c r="L1636" t="str">
        <f>CONCATENATE(MONTH(CompilDonnées[[#This Row],[PlantationDate]])," ", YEAR(CompilDonnées[[#This Row],[PlantationDate]]))</f>
        <v>3 2025</v>
      </c>
      <c r="M1636" t="str">
        <f>CONCATENATE(MONTH(CompilDonnées[[#This Row],[HarvestingDate]])," ", YEAR(CompilDonnées[[#This Row],[HarvestingDate]]))</f>
        <v>4 2025</v>
      </c>
      <c r="N1636">
        <f>_xlfn.NUMBERVALUE(CompilDonnées[[#This Row],[FarmID]]&amp;CompilDonnées[[#This Row],[ModuleNumber]]&amp;CompilDonnées[[#This Row],[PlantationDate]])</f>
        <v>115545717</v>
      </c>
      <c r="O1636" t="str">
        <f>CompilDonnées[[#This Row],[FarmID]]&amp;CompilDonnées[[#This Row],[ModuleNumber]]</f>
        <v>1155</v>
      </c>
      <c r="P1636" t="str">
        <f>CompilDonnées[[#This Row],[Ref_Module]]&amp;CompilDonnées[[#This Row],[HarvestingDate]]</f>
        <v>115545757</v>
      </c>
    </row>
    <row r="1637" spans="1:16">
      <c r="A1637" s="5">
        <v>45717</v>
      </c>
      <c r="B1637">
        <v>116</v>
      </c>
      <c r="C1637" t="s">
        <v>76</v>
      </c>
      <c r="D1637">
        <v>6</v>
      </c>
      <c r="E1637">
        <v>100</v>
      </c>
      <c r="F1637" t="s">
        <v>1</v>
      </c>
      <c r="G1637" s="6">
        <v>45758</v>
      </c>
      <c r="H1637">
        <v>41</v>
      </c>
      <c r="I1637">
        <f>ROUND(CompilDonnées[[#This Row],[CultureDuration_days]]/7,0)</f>
        <v>6</v>
      </c>
      <c r="J1637">
        <v>2965</v>
      </c>
      <c r="K1637" t="str">
        <f>_xlfn.CONCAT(WEEKNUM(CompilDonnées[[#This Row],[PlantationDate]]), " ", YEAR(CompilDonnées[[#This Row],[PlantationDate]]))</f>
        <v>9 2025</v>
      </c>
      <c r="L1637" t="str">
        <f>CONCATENATE(MONTH(CompilDonnées[[#This Row],[PlantationDate]])," ", YEAR(CompilDonnées[[#This Row],[PlantationDate]]))</f>
        <v>3 2025</v>
      </c>
      <c r="M1637" t="str">
        <f>CONCATENATE(MONTH(CompilDonnées[[#This Row],[HarvestingDate]])," ", YEAR(CompilDonnées[[#This Row],[HarvestingDate]]))</f>
        <v>4 2025</v>
      </c>
      <c r="N1637">
        <f>_xlfn.NUMBERVALUE(CompilDonnées[[#This Row],[FarmID]]&amp;CompilDonnées[[#This Row],[ModuleNumber]]&amp;CompilDonnées[[#This Row],[PlantationDate]])</f>
        <v>116645717</v>
      </c>
      <c r="O1637" t="str">
        <f>CompilDonnées[[#This Row],[FarmID]]&amp;CompilDonnées[[#This Row],[ModuleNumber]]</f>
        <v>1166</v>
      </c>
      <c r="P1637" t="str">
        <f>CompilDonnées[[#This Row],[Ref_Module]]&amp;CompilDonnées[[#This Row],[HarvestingDate]]</f>
        <v>116645758</v>
      </c>
    </row>
    <row r="1638" spans="1:16">
      <c r="A1638" s="5">
        <v>45717</v>
      </c>
      <c r="B1638">
        <v>120</v>
      </c>
      <c r="C1638" t="s">
        <v>100</v>
      </c>
      <c r="D1638">
        <v>5</v>
      </c>
      <c r="E1638">
        <v>100</v>
      </c>
      <c r="F1638" t="s">
        <v>1</v>
      </c>
      <c r="G1638" s="6">
        <v>45757</v>
      </c>
      <c r="H1638">
        <v>40</v>
      </c>
      <c r="I1638">
        <f>ROUND(CompilDonnées[[#This Row],[CultureDuration_days]]/7,0)</f>
        <v>6</v>
      </c>
      <c r="J1638">
        <v>2890</v>
      </c>
      <c r="K1638" t="str">
        <f>_xlfn.CONCAT(WEEKNUM(CompilDonnées[[#This Row],[PlantationDate]]), " ", YEAR(CompilDonnées[[#This Row],[PlantationDate]]))</f>
        <v>9 2025</v>
      </c>
      <c r="L1638" t="str">
        <f>CONCATENATE(MONTH(CompilDonnées[[#This Row],[PlantationDate]])," ", YEAR(CompilDonnées[[#This Row],[PlantationDate]]))</f>
        <v>3 2025</v>
      </c>
      <c r="M1638" t="str">
        <f>CONCATENATE(MONTH(CompilDonnées[[#This Row],[HarvestingDate]])," ", YEAR(CompilDonnées[[#This Row],[HarvestingDate]]))</f>
        <v>4 2025</v>
      </c>
      <c r="N1638">
        <f>_xlfn.NUMBERVALUE(CompilDonnées[[#This Row],[FarmID]]&amp;CompilDonnées[[#This Row],[ModuleNumber]]&amp;CompilDonnées[[#This Row],[PlantationDate]])</f>
        <v>120545717</v>
      </c>
      <c r="O1638" t="str">
        <f>CompilDonnées[[#This Row],[FarmID]]&amp;CompilDonnées[[#This Row],[ModuleNumber]]</f>
        <v>1205</v>
      </c>
      <c r="P1638" t="str">
        <f>CompilDonnées[[#This Row],[Ref_Module]]&amp;CompilDonnées[[#This Row],[HarvestingDate]]</f>
        <v>120545757</v>
      </c>
    </row>
    <row r="1639" spans="1:16">
      <c r="A1639" s="5">
        <v>45717</v>
      </c>
      <c r="B1639">
        <v>124</v>
      </c>
      <c r="C1639" t="s">
        <v>115</v>
      </c>
      <c r="D1639">
        <v>1</v>
      </c>
      <c r="E1639">
        <v>100</v>
      </c>
      <c r="F1639" t="s">
        <v>1</v>
      </c>
      <c r="G1639" s="6">
        <v>45757</v>
      </c>
      <c r="H1639">
        <v>40</v>
      </c>
      <c r="I1639">
        <f>ROUND(CompilDonnées[[#This Row],[CultureDuration_days]]/7,0)</f>
        <v>6</v>
      </c>
      <c r="J1639">
        <v>3169</v>
      </c>
      <c r="K1639" t="str">
        <f>_xlfn.CONCAT(WEEKNUM(CompilDonnées[[#This Row],[PlantationDate]]), " ", YEAR(CompilDonnées[[#This Row],[PlantationDate]]))</f>
        <v>9 2025</v>
      </c>
      <c r="L1639" t="str">
        <f>CONCATENATE(MONTH(CompilDonnées[[#This Row],[PlantationDate]])," ", YEAR(CompilDonnées[[#This Row],[PlantationDate]]))</f>
        <v>3 2025</v>
      </c>
      <c r="M1639" t="str">
        <f>CONCATENATE(MONTH(CompilDonnées[[#This Row],[HarvestingDate]])," ", YEAR(CompilDonnées[[#This Row],[HarvestingDate]]))</f>
        <v>4 2025</v>
      </c>
      <c r="N1639">
        <f>_xlfn.NUMBERVALUE(CompilDonnées[[#This Row],[FarmID]]&amp;CompilDonnées[[#This Row],[ModuleNumber]]&amp;CompilDonnées[[#This Row],[PlantationDate]])</f>
        <v>124145717</v>
      </c>
      <c r="O1639" t="str">
        <f>CompilDonnées[[#This Row],[FarmID]]&amp;CompilDonnées[[#This Row],[ModuleNumber]]</f>
        <v>1241</v>
      </c>
      <c r="P1639" t="str">
        <f>CompilDonnées[[#This Row],[Ref_Module]]&amp;CompilDonnées[[#This Row],[HarvestingDate]]</f>
        <v>124145757</v>
      </c>
    </row>
    <row r="1640" spans="1:16">
      <c r="A1640" s="5">
        <v>45717</v>
      </c>
      <c r="B1640">
        <v>124</v>
      </c>
      <c r="C1640" t="s">
        <v>115</v>
      </c>
      <c r="D1640">
        <v>2</v>
      </c>
      <c r="E1640">
        <v>100</v>
      </c>
      <c r="F1640" t="s">
        <v>1</v>
      </c>
      <c r="G1640" s="6">
        <v>45757</v>
      </c>
      <c r="H1640">
        <v>40</v>
      </c>
      <c r="I1640">
        <f>ROUND(CompilDonnées[[#This Row],[CultureDuration_days]]/7,0)</f>
        <v>6</v>
      </c>
      <c r="J1640">
        <v>3223</v>
      </c>
      <c r="K1640" t="str">
        <f>_xlfn.CONCAT(WEEKNUM(CompilDonnées[[#This Row],[PlantationDate]]), " ", YEAR(CompilDonnées[[#This Row],[PlantationDate]]))</f>
        <v>9 2025</v>
      </c>
      <c r="L1640" t="str">
        <f>CONCATENATE(MONTH(CompilDonnées[[#This Row],[PlantationDate]])," ", YEAR(CompilDonnées[[#This Row],[PlantationDate]]))</f>
        <v>3 2025</v>
      </c>
      <c r="M1640" t="str">
        <f>CONCATENATE(MONTH(CompilDonnées[[#This Row],[HarvestingDate]])," ", YEAR(CompilDonnées[[#This Row],[HarvestingDate]]))</f>
        <v>4 2025</v>
      </c>
      <c r="N1640">
        <f>_xlfn.NUMBERVALUE(CompilDonnées[[#This Row],[FarmID]]&amp;CompilDonnées[[#This Row],[ModuleNumber]]&amp;CompilDonnées[[#This Row],[PlantationDate]])</f>
        <v>124245717</v>
      </c>
      <c r="O1640" t="str">
        <f>CompilDonnées[[#This Row],[FarmID]]&amp;CompilDonnées[[#This Row],[ModuleNumber]]</f>
        <v>1242</v>
      </c>
      <c r="P1640" t="str">
        <f>CompilDonnées[[#This Row],[Ref_Module]]&amp;CompilDonnées[[#This Row],[HarvestingDate]]</f>
        <v>124245757</v>
      </c>
    </row>
    <row r="1641" spans="1:16">
      <c r="A1641" s="5">
        <v>45717</v>
      </c>
      <c r="B1641">
        <v>125</v>
      </c>
      <c r="C1641" t="s">
        <v>101</v>
      </c>
      <c r="D1641">
        <v>2</v>
      </c>
      <c r="E1641">
        <v>100</v>
      </c>
      <c r="F1641" t="s">
        <v>1</v>
      </c>
      <c r="G1641" s="6">
        <v>45761</v>
      </c>
      <c r="H1641">
        <v>44</v>
      </c>
      <c r="I1641">
        <f>ROUND(CompilDonnées[[#This Row],[CultureDuration_days]]/7,0)</f>
        <v>6</v>
      </c>
      <c r="J1641">
        <v>2618</v>
      </c>
      <c r="K1641" t="str">
        <f>_xlfn.CONCAT(WEEKNUM(CompilDonnées[[#This Row],[PlantationDate]]), " ", YEAR(CompilDonnées[[#This Row],[PlantationDate]]))</f>
        <v>9 2025</v>
      </c>
      <c r="L1641" t="str">
        <f>CONCATENATE(MONTH(CompilDonnées[[#This Row],[PlantationDate]])," ", YEAR(CompilDonnées[[#This Row],[PlantationDate]]))</f>
        <v>3 2025</v>
      </c>
      <c r="M1641" t="str">
        <f>CONCATENATE(MONTH(CompilDonnées[[#This Row],[HarvestingDate]])," ", YEAR(CompilDonnées[[#This Row],[HarvestingDate]]))</f>
        <v>4 2025</v>
      </c>
      <c r="N1641">
        <f>_xlfn.NUMBERVALUE(CompilDonnées[[#This Row],[FarmID]]&amp;CompilDonnées[[#This Row],[ModuleNumber]]&amp;CompilDonnées[[#This Row],[PlantationDate]])</f>
        <v>125245717</v>
      </c>
      <c r="O1641" t="str">
        <f>CompilDonnées[[#This Row],[FarmID]]&amp;CompilDonnées[[#This Row],[ModuleNumber]]</f>
        <v>1252</v>
      </c>
      <c r="P1641" t="str">
        <f>CompilDonnées[[#This Row],[Ref_Module]]&amp;CompilDonnées[[#This Row],[HarvestingDate]]</f>
        <v>125245761</v>
      </c>
    </row>
    <row r="1642" spans="1:16">
      <c r="A1642" s="5">
        <v>45717</v>
      </c>
      <c r="B1642">
        <v>125</v>
      </c>
      <c r="C1642" t="s">
        <v>101</v>
      </c>
      <c r="D1642">
        <v>6</v>
      </c>
      <c r="E1642">
        <v>100</v>
      </c>
      <c r="F1642" t="s">
        <v>1</v>
      </c>
      <c r="G1642" s="6">
        <v>45758</v>
      </c>
      <c r="H1642">
        <v>41</v>
      </c>
      <c r="I1642">
        <f>ROUND(CompilDonnées[[#This Row],[CultureDuration_days]]/7,0)</f>
        <v>6</v>
      </c>
      <c r="J1642">
        <v>3549</v>
      </c>
      <c r="K1642" t="str">
        <f>_xlfn.CONCAT(WEEKNUM(CompilDonnées[[#This Row],[PlantationDate]]), " ", YEAR(CompilDonnées[[#This Row],[PlantationDate]]))</f>
        <v>9 2025</v>
      </c>
      <c r="L1642" t="str">
        <f>CONCATENATE(MONTH(CompilDonnées[[#This Row],[PlantationDate]])," ", YEAR(CompilDonnées[[#This Row],[PlantationDate]]))</f>
        <v>3 2025</v>
      </c>
      <c r="M1642" t="str">
        <f>CONCATENATE(MONTH(CompilDonnées[[#This Row],[HarvestingDate]])," ", YEAR(CompilDonnées[[#This Row],[HarvestingDate]]))</f>
        <v>4 2025</v>
      </c>
      <c r="N1642">
        <f>_xlfn.NUMBERVALUE(CompilDonnées[[#This Row],[FarmID]]&amp;CompilDonnées[[#This Row],[ModuleNumber]]&amp;CompilDonnées[[#This Row],[PlantationDate]])</f>
        <v>125645717</v>
      </c>
      <c r="O1642" t="str">
        <f>CompilDonnées[[#This Row],[FarmID]]&amp;CompilDonnées[[#This Row],[ModuleNumber]]</f>
        <v>1256</v>
      </c>
      <c r="P1642" t="str">
        <f>CompilDonnées[[#This Row],[Ref_Module]]&amp;CompilDonnées[[#This Row],[HarvestingDate]]</f>
        <v>125645758</v>
      </c>
    </row>
    <row r="1643" spans="1:16">
      <c r="A1643" s="5">
        <v>45717</v>
      </c>
      <c r="B1643">
        <v>126</v>
      </c>
      <c r="C1643" t="s">
        <v>52</v>
      </c>
      <c r="D1643">
        <v>1</v>
      </c>
      <c r="E1643">
        <v>100</v>
      </c>
      <c r="F1643" t="s">
        <v>1</v>
      </c>
      <c r="G1643" s="6">
        <v>45757</v>
      </c>
      <c r="H1643">
        <v>40</v>
      </c>
      <c r="I1643">
        <f>ROUND(CompilDonnées[[#This Row],[CultureDuration_days]]/7,0)</f>
        <v>6</v>
      </c>
      <c r="J1643">
        <v>3267</v>
      </c>
      <c r="K1643" t="str">
        <f>_xlfn.CONCAT(WEEKNUM(CompilDonnées[[#This Row],[PlantationDate]]), " ", YEAR(CompilDonnées[[#This Row],[PlantationDate]]))</f>
        <v>9 2025</v>
      </c>
      <c r="L1643" t="str">
        <f>CONCATENATE(MONTH(CompilDonnées[[#This Row],[PlantationDate]])," ", YEAR(CompilDonnées[[#This Row],[PlantationDate]]))</f>
        <v>3 2025</v>
      </c>
      <c r="M1643" t="str">
        <f>CONCATENATE(MONTH(CompilDonnées[[#This Row],[HarvestingDate]])," ", YEAR(CompilDonnées[[#This Row],[HarvestingDate]]))</f>
        <v>4 2025</v>
      </c>
      <c r="N1643">
        <f>_xlfn.NUMBERVALUE(CompilDonnées[[#This Row],[FarmID]]&amp;CompilDonnées[[#This Row],[ModuleNumber]]&amp;CompilDonnées[[#This Row],[PlantationDate]])</f>
        <v>126145717</v>
      </c>
      <c r="O1643" t="str">
        <f>CompilDonnées[[#This Row],[FarmID]]&amp;CompilDonnées[[#This Row],[ModuleNumber]]</f>
        <v>1261</v>
      </c>
      <c r="P1643" t="str">
        <f>CompilDonnées[[#This Row],[Ref_Module]]&amp;CompilDonnées[[#This Row],[HarvestingDate]]</f>
        <v>126145757</v>
      </c>
    </row>
    <row r="1644" spans="1:16">
      <c r="A1644" s="5">
        <v>45717</v>
      </c>
      <c r="B1644">
        <v>131</v>
      </c>
      <c r="C1644" t="s">
        <v>64</v>
      </c>
      <c r="D1644">
        <v>6</v>
      </c>
      <c r="E1644">
        <v>100</v>
      </c>
      <c r="F1644" t="s">
        <v>1</v>
      </c>
      <c r="G1644" s="6">
        <v>45757</v>
      </c>
      <c r="H1644">
        <v>40</v>
      </c>
      <c r="I1644">
        <f>ROUND(CompilDonnées[[#This Row],[CultureDuration_days]]/7,0)</f>
        <v>6</v>
      </c>
      <c r="J1644">
        <v>2816</v>
      </c>
      <c r="K1644" t="str">
        <f>_xlfn.CONCAT(WEEKNUM(CompilDonnées[[#This Row],[PlantationDate]]), " ", YEAR(CompilDonnées[[#This Row],[PlantationDate]]))</f>
        <v>9 2025</v>
      </c>
      <c r="L1644" t="str">
        <f>CONCATENATE(MONTH(CompilDonnées[[#This Row],[PlantationDate]])," ", YEAR(CompilDonnées[[#This Row],[PlantationDate]]))</f>
        <v>3 2025</v>
      </c>
      <c r="M1644" t="str">
        <f>CONCATENATE(MONTH(CompilDonnées[[#This Row],[HarvestingDate]])," ", YEAR(CompilDonnées[[#This Row],[HarvestingDate]]))</f>
        <v>4 2025</v>
      </c>
      <c r="N1644">
        <f>_xlfn.NUMBERVALUE(CompilDonnées[[#This Row],[FarmID]]&amp;CompilDonnées[[#This Row],[ModuleNumber]]&amp;CompilDonnées[[#This Row],[PlantationDate]])</f>
        <v>131645717</v>
      </c>
      <c r="O1644" t="str">
        <f>CompilDonnées[[#This Row],[FarmID]]&amp;CompilDonnées[[#This Row],[ModuleNumber]]</f>
        <v>1316</v>
      </c>
      <c r="P1644" t="str">
        <f>CompilDonnées[[#This Row],[Ref_Module]]&amp;CompilDonnées[[#This Row],[HarvestingDate]]</f>
        <v>131645757</v>
      </c>
    </row>
    <row r="1645" spans="1:16">
      <c r="A1645" s="5">
        <v>45717</v>
      </c>
      <c r="B1645">
        <v>133</v>
      </c>
      <c r="C1645" t="s">
        <v>99</v>
      </c>
      <c r="D1645">
        <v>2</v>
      </c>
      <c r="E1645">
        <v>100</v>
      </c>
      <c r="F1645" t="s">
        <v>1</v>
      </c>
      <c r="G1645" s="6">
        <v>45758</v>
      </c>
      <c r="H1645">
        <v>41</v>
      </c>
      <c r="I1645">
        <f>ROUND(CompilDonnées[[#This Row],[CultureDuration_days]]/7,0)</f>
        <v>6</v>
      </c>
      <c r="J1645">
        <v>3096</v>
      </c>
      <c r="K1645" t="str">
        <f>_xlfn.CONCAT(WEEKNUM(CompilDonnées[[#This Row],[PlantationDate]]), " ", YEAR(CompilDonnées[[#This Row],[PlantationDate]]))</f>
        <v>9 2025</v>
      </c>
      <c r="L1645" t="str">
        <f>CONCATENATE(MONTH(CompilDonnées[[#This Row],[PlantationDate]])," ", YEAR(CompilDonnées[[#This Row],[PlantationDate]]))</f>
        <v>3 2025</v>
      </c>
      <c r="M1645" t="str">
        <f>CONCATENATE(MONTH(CompilDonnées[[#This Row],[HarvestingDate]])," ", YEAR(CompilDonnées[[#This Row],[HarvestingDate]]))</f>
        <v>4 2025</v>
      </c>
      <c r="N1645">
        <f>_xlfn.NUMBERVALUE(CompilDonnées[[#This Row],[FarmID]]&amp;CompilDonnées[[#This Row],[ModuleNumber]]&amp;CompilDonnées[[#This Row],[PlantationDate]])</f>
        <v>133245717</v>
      </c>
      <c r="O1645" t="str">
        <f>CompilDonnées[[#This Row],[FarmID]]&amp;CompilDonnées[[#This Row],[ModuleNumber]]</f>
        <v>1332</v>
      </c>
      <c r="P1645" t="str">
        <f>CompilDonnées[[#This Row],[Ref_Module]]&amp;CompilDonnées[[#This Row],[HarvestingDate]]</f>
        <v>133245758</v>
      </c>
    </row>
    <row r="1646" spans="1:16">
      <c r="A1646" s="5">
        <v>45717</v>
      </c>
      <c r="B1646">
        <v>139</v>
      </c>
      <c r="C1646" t="s">
        <v>103</v>
      </c>
      <c r="D1646">
        <v>5</v>
      </c>
      <c r="E1646">
        <v>100</v>
      </c>
      <c r="F1646" t="s">
        <v>1</v>
      </c>
      <c r="G1646" s="6">
        <v>45758</v>
      </c>
      <c r="H1646">
        <v>41</v>
      </c>
      <c r="I1646">
        <f>ROUND(CompilDonnées[[#This Row],[CultureDuration_days]]/7,0)</f>
        <v>6</v>
      </c>
      <c r="J1646">
        <v>3022</v>
      </c>
      <c r="K1646" t="str">
        <f>_xlfn.CONCAT(WEEKNUM(CompilDonnées[[#This Row],[PlantationDate]]), " ", YEAR(CompilDonnées[[#This Row],[PlantationDate]]))</f>
        <v>9 2025</v>
      </c>
      <c r="L1646" t="str">
        <f>CONCATENATE(MONTH(CompilDonnées[[#This Row],[PlantationDate]])," ", YEAR(CompilDonnées[[#This Row],[PlantationDate]]))</f>
        <v>3 2025</v>
      </c>
      <c r="M1646" t="str">
        <f>CONCATENATE(MONTH(CompilDonnées[[#This Row],[HarvestingDate]])," ", YEAR(CompilDonnées[[#This Row],[HarvestingDate]]))</f>
        <v>4 2025</v>
      </c>
      <c r="N1646">
        <f>_xlfn.NUMBERVALUE(CompilDonnées[[#This Row],[FarmID]]&amp;CompilDonnées[[#This Row],[ModuleNumber]]&amp;CompilDonnées[[#This Row],[PlantationDate]])</f>
        <v>139545717</v>
      </c>
      <c r="O1646" t="str">
        <f>CompilDonnées[[#This Row],[FarmID]]&amp;CompilDonnées[[#This Row],[ModuleNumber]]</f>
        <v>1395</v>
      </c>
      <c r="P1646" t="str">
        <f>CompilDonnées[[#This Row],[Ref_Module]]&amp;CompilDonnées[[#This Row],[HarvestingDate]]</f>
        <v>139545758</v>
      </c>
    </row>
    <row r="1647" spans="1:16">
      <c r="A1647" s="5">
        <v>45717</v>
      </c>
      <c r="B1647">
        <v>140</v>
      </c>
      <c r="C1647" t="s">
        <v>96</v>
      </c>
      <c r="D1647">
        <v>4</v>
      </c>
      <c r="E1647">
        <v>100</v>
      </c>
      <c r="F1647" t="s">
        <v>1</v>
      </c>
      <c r="G1647" s="6">
        <v>45758</v>
      </c>
      <c r="H1647">
        <v>41</v>
      </c>
      <c r="I1647">
        <f>ROUND(CompilDonnées[[#This Row],[CultureDuration_days]]/7,0)</f>
        <v>6</v>
      </c>
      <c r="J1647">
        <v>3413</v>
      </c>
      <c r="K1647" t="str">
        <f>_xlfn.CONCAT(WEEKNUM(CompilDonnées[[#This Row],[PlantationDate]]), " ", YEAR(CompilDonnées[[#This Row],[PlantationDate]]))</f>
        <v>9 2025</v>
      </c>
      <c r="L1647" t="str">
        <f>CONCATENATE(MONTH(CompilDonnées[[#This Row],[PlantationDate]])," ", YEAR(CompilDonnées[[#This Row],[PlantationDate]]))</f>
        <v>3 2025</v>
      </c>
      <c r="M1647" t="str">
        <f>CONCATENATE(MONTH(CompilDonnées[[#This Row],[HarvestingDate]])," ", YEAR(CompilDonnées[[#This Row],[HarvestingDate]]))</f>
        <v>4 2025</v>
      </c>
      <c r="N1647">
        <f>_xlfn.NUMBERVALUE(CompilDonnées[[#This Row],[FarmID]]&amp;CompilDonnées[[#This Row],[ModuleNumber]]&amp;CompilDonnées[[#This Row],[PlantationDate]])</f>
        <v>140445717</v>
      </c>
      <c r="O1647" t="str">
        <f>CompilDonnées[[#This Row],[FarmID]]&amp;CompilDonnées[[#This Row],[ModuleNumber]]</f>
        <v>1404</v>
      </c>
      <c r="P1647" t="str">
        <f>CompilDonnées[[#This Row],[Ref_Module]]&amp;CompilDonnées[[#This Row],[HarvestingDate]]</f>
        <v>140445758</v>
      </c>
    </row>
    <row r="1648" spans="1:16">
      <c r="A1648" s="5">
        <v>45717</v>
      </c>
      <c r="B1648">
        <v>140</v>
      </c>
      <c r="C1648" t="s">
        <v>96</v>
      </c>
      <c r="D1648">
        <v>6</v>
      </c>
      <c r="E1648">
        <v>100</v>
      </c>
      <c r="F1648" t="s">
        <v>1</v>
      </c>
      <c r="G1648" s="6">
        <v>45747</v>
      </c>
      <c r="H1648">
        <v>30</v>
      </c>
      <c r="I1648">
        <f>ROUND(CompilDonnées[[#This Row],[CultureDuration_days]]/7,0)</f>
        <v>4</v>
      </c>
      <c r="J1648">
        <v>3211</v>
      </c>
      <c r="K1648" t="str">
        <f>_xlfn.CONCAT(WEEKNUM(CompilDonnées[[#This Row],[PlantationDate]]), " ", YEAR(CompilDonnées[[#This Row],[PlantationDate]]))</f>
        <v>9 2025</v>
      </c>
      <c r="L1648" t="str">
        <f>CONCATENATE(MONTH(CompilDonnées[[#This Row],[PlantationDate]])," ", YEAR(CompilDonnées[[#This Row],[PlantationDate]]))</f>
        <v>3 2025</v>
      </c>
      <c r="M1648" t="str">
        <f>CONCATENATE(MONTH(CompilDonnées[[#This Row],[HarvestingDate]])," ", YEAR(CompilDonnées[[#This Row],[HarvestingDate]]))</f>
        <v>3 2025</v>
      </c>
      <c r="N1648">
        <f>_xlfn.NUMBERVALUE(CompilDonnées[[#This Row],[FarmID]]&amp;CompilDonnées[[#This Row],[ModuleNumber]]&amp;CompilDonnées[[#This Row],[PlantationDate]])</f>
        <v>140645717</v>
      </c>
      <c r="O1648" t="str">
        <f>CompilDonnées[[#This Row],[FarmID]]&amp;CompilDonnées[[#This Row],[ModuleNumber]]</f>
        <v>1406</v>
      </c>
      <c r="P1648" t="str">
        <f>CompilDonnées[[#This Row],[Ref_Module]]&amp;CompilDonnées[[#This Row],[HarvestingDate]]</f>
        <v>140645747</v>
      </c>
    </row>
    <row r="1649" spans="1:16">
      <c r="A1649" s="5">
        <v>45720</v>
      </c>
      <c r="B1649">
        <v>5</v>
      </c>
      <c r="C1649" t="s">
        <v>32</v>
      </c>
      <c r="D1649">
        <v>5</v>
      </c>
      <c r="E1649">
        <v>100</v>
      </c>
      <c r="F1649" t="s">
        <v>1</v>
      </c>
      <c r="G1649" s="6">
        <v>45765</v>
      </c>
      <c r="H1649">
        <v>45</v>
      </c>
      <c r="I1649">
        <f>ROUND(CompilDonnées[[#This Row],[CultureDuration_days]]/7,0)</f>
        <v>6</v>
      </c>
      <c r="J1649">
        <v>3556</v>
      </c>
      <c r="K1649" t="str">
        <f>_xlfn.CONCAT(WEEKNUM(CompilDonnées[[#This Row],[PlantationDate]]), " ", YEAR(CompilDonnées[[#This Row],[PlantationDate]]))</f>
        <v>10 2025</v>
      </c>
      <c r="L1649" t="str">
        <f>CONCATENATE(MONTH(CompilDonnées[[#This Row],[PlantationDate]])," ", YEAR(CompilDonnées[[#This Row],[PlantationDate]]))</f>
        <v>3 2025</v>
      </c>
      <c r="M1649" t="str">
        <f>CONCATENATE(MONTH(CompilDonnées[[#This Row],[HarvestingDate]])," ", YEAR(CompilDonnées[[#This Row],[HarvestingDate]]))</f>
        <v>4 2025</v>
      </c>
      <c r="N1649">
        <f>_xlfn.NUMBERVALUE(CompilDonnées[[#This Row],[FarmID]]&amp;CompilDonnées[[#This Row],[ModuleNumber]]&amp;CompilDonnées[[#This Row],[PlantationDate]])</f>
        <v>5545720</v>
      </c>
      <c r="O1649" t="str">
        <f>CompilDonnées[[#This Row],[FarmID]]&amp;CompilDonnées[[#This Row],[ModuleNumber]]</f>
        <v>55</v>
      </c>
      <c r="P1649" t="str">
        <f>CompilDonnées[[#This Row],[Ref_Module]]&amp;CompilDonnées[[#This Row],[HarvestingDate]]</f>
        <v>5545765</v>
      </c>
    </row>
    <row r="1650" spans="1:16">
      <c r="A1650" s="5">
        <v>45720</v>
      </c>
      <c r="B1650">
        <v>6</v>
      </c>
      <c r="C1650" t="s">
        <v>24</v>
      </c>
      <c r="D1650">
        <v>5</v>
      </c>
      <c r="E1650">
        <v>100</v>
      </c>
      <c r="F1650" t="s">
        <v>1</v>
      </c>
      <c r="G1650" s="6">
        <v>45765</v>
      </c>
      <c r="H1650">
        <v>45</v>
      </c>
      <c r="I1650">
        <f>ROUND(CompilDonnées[[#This Row],[CultureDuration_days]]/7,0)</f>
        <v>6</v>
      </c>
      <c r="J1650">
        <v>3787</v>
      </c>
      <c r="K1650" t="str">
        <f>_xlfn.CONCAT(WEEKNUM(CompilDonnées[[#This Row],[PlantationDate]]), " ", YEAR(CompilDonnées[[#This Row],[PlantationDate]]))</f>
        <v>10 2025</v>
      </c>
      <c r="L1650" t="str">
        <f>CONCATENATE(MONTH(CompilDonnées[[#This Row],[PlantationDate]])," ", YEAR(CompilDonnées[[#This Row],[PlantationDate]]))</f>
        <v>3 2025</v>
      </c>
      <c r="M1650" t="str">
        <f>CONCATENATE(MONTH(CompilDonnées[[#This Row],[HarvestingDate]])," ", YEAR(CompilDonnées[[#This Row],[HarvestingDate]]))</f>
        <v>4 2025</v>
      </c>
      <c r="N1650">
        <f>_xlfn.NUMBERVALUE(CompilDonnées[[#This Row],[FarmID]]&amp;CompilDonnées[[#This Row],[ModuleNumber]]&amp;CompilDonnées[[#This Row],[PlantationDate]])</f>
        <v>6545720</v>
      </c>
      <c r="O1650" t="str">
        <f>CompilDonnées[[#This Row],[FarmID]]&amp;CompilDonnées[[#This Row],[ModuleNumber]]</f>
        <v>65</v>
      </c>
      <c r="P1650" t="str">
        <f>CompilDonnées[[#This Row],[Ref_Module]]&amp;CompilDonnées[[#This Row],[HarvestingDate]]</f>
        <v>6545765</v>
      </c>
    </row>
    <row r="1651" spans="1:16">
      <c r="A1651" s="5">
        <v>45720</v>
      </c>
      <c r="B1651">
        <v>10</v>
      </c>
      <c r="C1651" t="s">
        <v>109</v>
      </c>
      <c r="D1651">
        <v>6</v>
      </c>
      <c r="E1651">
        <v>100</v>
      </c>
      <c r="F1651" t="s">
        <v>1</v>
      </c>
      <c r="G1651" s="6">
        <v>45763</v>
      </c>
      <c r="H1651">
        <v>43</v>
      </c>
      <c r="I1651">
        <f>ROUND(CompilDonnées[[#This Row],[CultureDuration_days]]/7,0)</f>
        <v>6</v>
      </c>
      <c r="J1651">
        <v>2802</v>
      </c>
      <c r="K1651" t="str">
        <f>_xlfn.CONCAT(WEEKNUM(CompilDonnées[[#This Row],[PlantationDate]]), " ", YEAR(CompilDonnées[[#This Row],[PlantationDate]]))</f>
        <v>10 2025</v>
      </c>
      <c r="L1651" t="str">
        <f>CONCATENATE(MONTH(CompilDonnées[[#This Row],[PlantationDate]])," ", YEAR(CompilDonnées[[#This Row],[PlantationDate]]))</f>
        <v>3 2025</v>
      </c>
      <c r="M1651" t="str">
        <f>CONCATENATE(MONTH(CompilDonnées[[#This Row],[HarvestingDate]])," ", YEAR(CompilDonnées[[#This Row],[HarvestingDate]]))</f>
        <v>4 2025</v>
      </c>
      <c r="N1651">
        <f>_xlfn.NUMBERVALUE(CompilDonnées[[#This Row],[FarmID]]&amp;CompilDonnées[[#This Row],[ModuleNumber]]&amp;CompilDonnées[[#This Row],[PlantationDate]])</f>
        <v>10645720</v>
      </c>
      <c r="O1651" t="str">
        <f>CompilDonnées[[#This Row],[FarmID]]&amp;CompilDonnées[[#This Row],[ModuleNumber]]</f>
        <v>106</v>
      </c>
      <c r="P1651" t="str">
        <f>CompilDonnées[[#This Row],[Ref_Module]]&amp;CompilDonnées[[#This Row],[HarvestingDate]]</f>
        <v>10645763</v>
      </c>
    </row>
    <row r="1652" spans="1:16">
      <c r="A1652" s="5">
        <v>45720</v>
      </c>
      <c r="B1652">
        <v>13</v>
      </c>
      <c r="C1652" t="s">
        <v>114</v>
      </c>
      <c r="D1652">
        <v>1</v>
      </c>
      <c r="E1652">
        <v>100</v>
      </c>
      <c r="F1652" t="s">
        <v>1</v>
      </c>
      <c r="G1652" s="6">
        <v>45765</v>
      </c>
      <c r="H1652">
        <v>45</v>
      </c>
      <c r="I1652">
        <f>ROUND(CompilDonnées[[#This Row],[CultureDuration_days]]/7,0)</f>
        <v>6</v>
      </c>
      <c r="J1652">
        <v>4007</v>
      </c>
      <c r="K1652" t="str">
        <f>_xlfn.CONCAT(WEEKNUM(CompilDonnées[[#This Row],[PlantationDate]]), " ", YEAR(CompilDonnées[[#This Row],[PlantationDate]]))</f>
        <v>10 2025</v>
      </c>
      <c r="L1652" t="str">
        <f>CONCATENATE(MONTH(CompilDonnées[[#This Row],[PlantationDate]])," ", YEAR(CompilDonnées[[#This Row],[PlantationDate]]))</f>
        <v>3 2025</v>
      </c>
      <c r="M1652" t="str">
        <f>CONCATENATE(MONTH(CompilDonnées[[#This Row],[HarvestingDate]])," ", YEAR(CompilDonnées[[#This Row],[HarvestingDate]]))</f>
        <v>4 2025</v>
      </c>
      <c r="N1652">
        <f>_xlfn.NUMBERVALUE(CompilDonnées[[#This Row],[FarmID]]&amp;CompilDonnées[[#This Row],[ModuleNumber]]&amp;CompilDonnées[[#This Row],[PlantationDate]])</f>
        <v>13145720</v>
      </c>
      <c r="O1652" t="str">
        <f>CompilDonnées[[#This Row],[FarmID]]&amp;CompilDonnées[[#This Row],[ModuleNumber]]</f>
        <v>131</v>
      </c>
      <c r="P1652" t="str">
        <f>CompilDonnées[[#This Row],[Ref_Module]]&amp;CompilDonnées[[#This Row],[HarvestingDate]]</f>
        <v>13145765</v>
      </c>
    </row>
    <row r="1653" spans="1:16">
      <c r="A1653" s="5">
        <v>45720</v>
      </c>
      <c r="B1653">
        <v>17</v>
      </c>
      <c r="C1653" t="s">
        <v>80</v>
      </c>
      <c r="D1653">
        <v>5</v>
      </c>
      <c r="E1653">
        <v>100</v>
      </c>
      <c r="F1653" t="s">
        <v>1</v>
      </c>
      <c r="G1653" s="6">
        <v>45765</v>
      </c>
      <c r="H1653">
        <v>45</v>
      </c>
      <c r="I1653">
        <f>ROUND(CompilDonnées[[#This Row],[CultureDuration_days]]/7,0)</f>
        <v>6</v>
      </c>
      <c r="J1653">
        <v>3263</v>
      </c>
      <c r="K1653" t="str">
        <f>_xlfn.CONCAT(WEEKNUM(CompilDonnées[[#This Row],[PlantationDate]]), " ", YEAR(CompilDonnées[[#This Row],[PlantationDate]]))</f>
        <v>10 2025</v>
      </c>
      <c r="L1653" t="str">
        <f>CONCATENATE(MONTH(CompilDonnées[[#This Row],[PlantationDate]])," ", YEAR(CompilDonnées[[#This Row],[PlantationDate]]))</f>
        <v>3 2025</v>
      </c>
      <c r="M1653" t="str">
        <f>CONCATENATE(MONTH(CompilDonnées[[#This Row],[HarvestingDate]])," ", YEAR(CompilDonnées[[#This Row],[HarvestingDate]]))</f>
        <v>4 2025</v>
      </c>
      <c r="N1653">
        <f>_xlfn.NUMBERVALUE(CompilDonnées[[#This Row],[FarmID]]&amp;CompilDonnées[[#This Row],[ModuleNumber]]&amp;CompilDonnées[[#This Row],[PlantationDate]])</f>
        <v>17545720</v>
      </c>
      <c r="O1653" t="str">
        <f>CompilDonnées[[#This Row],[FarmID]]&amp;CompilDonnées[[#This Row],[ModuleNumber]]</f>
        <v>175</v>
      </c>
      <c r="P1653" t="str">
        <f>CompilDonnées[[#This Row],[Ref_Module]]&amp;CompilDonnées[[#This Row],[HarvestingDate]]</f>
        <v>17545765</v>
      </c>
    </row>
    <row r="1654" spans="1:16">
      <c r="A1654" s="5">
        <v>45720</v>
      </c>
      <c r="B1654">
        <v>93</v>
      </c>
      <c r="C1654" t="s">
        <v>10</v>
      </c>
      <c r="D1654">
        <v>3</v>
      </c>
      <c r="E1654">
        <v>100</v>
      </c>
      <c r="F1654" t="s">
        <v>1</v>
      </c>
      <c r="G1654" s="6">
        <v>45761</v>
      </c>
      <c r="H1654">
        <v>41</v>
      </c>
      <c r="I1654">
        <f>ROUND(CompilDonnées[[#This Row],[CultureDuration_days]]/7,0)</f>
        <v>6</v>
      </c>
      <c r="J1654">
        <v>3596</v>
      </c>
      <c r="K1654" t="str">
        <f>_xlfn.CONCAT(WEEKNUM(CompilDonnées[[#This Row],[PlantationDate]]), " ", YEAR(CompilDonnées[[#This Row],[PlantationDate]]))</f>
        <v>10 2025</v>
      </c>
      <c r="L1654" t="str">
        <f>CONCATENATE(MONTH(CompilDonnées[[#This Row],[PlantationDate]])," ", YEAR(CompilDonnées[[#This Row],[PlantationDate]]))</f>
        <v>3 2025</v>
      </c>
      <c r="M1654" t="str">
        <f>CONCATENATE(MONTH(CompilDonnées[[#This Row],[HarvestingDate]])," ", YEAR(CompilDonnées[[#This Row],[HarvestingDate]]))</f>
        <v>4 2025</v>
      </c>
      <c r="N1654">
        <f>_xlfn.NUMBERVALUE(CompilDonnées[[#This Row],[FarmID]]&amp;CompilDonnées[[#This Row],[ModuleNumber]]&amp;CompilDonnées[[#This Row],[PlantationDate]])</f>
        <v>93345720</v>
      </c>
      <c r="O1654" t="str">
        <f>CompilDonnées[[#This Row],[FarmID]]&amp;CompilDonnées[[#This Row],[ModuleNumber]]</f>
        <v>933</v>
      </c>
      <c r="P1654" t="str">
        <f>CompilDonnées[[#This Row],[Ref_Module]]&amp;CompilDonnées[[#This Row],[HarvestingDate]]</f>
        <v>93345761</v>
      </c>
    </row>
    <row r="1655" spans="1:16">
      <c r="A1655" s="5">
        <v>45720</v>
      </c>
      <c r="B1655">
        <v>93</v>
      </c>
      <c r="C1655" t="s">
        <v>10</v>
      </c>
      <c r="D1655">
        <v>6</v>
      </c>
      <c r="E1655">
        <v>100</v>
      </c>
      <c r="F1655" t="s">
        <v>1</v>
      </c>
      <c r="G1655" s="6">
        <v>45771</v>
      </c>
      <c r="H1655">
        <v>51</v>
      </c>
      <c r="I1655">
        <f>ROUND(CompilDonnées[[#This Row],[CultureDuration_days]]/7,0)</f>
        <v>7</v>
      </c>
      <c r="J1655">
        <v>3653</v>
      </c>
      <c r="K1655" t="str">
        <f>_xlfn.CONCAT(WEEKNUM(CompilDonnées[[#This Row],[PlantationDate]]), " ", YEAR(CompilDonnées[[#This Row],[PlantationDate]]))</f>
        <v>10 2025</v>
      </c>
      <c r="L1655" t="str">
        <f>CONCATENATE(MONTH(CompilDonnées[[#This Row],[PlantationDate]])," ", YEAR(CompilDonnées[[#This Row],[PlantationDate]]))</f>
        <v>3 2025</v>
      </c>
      <c r="M1655" t="str">
        <f>CONCATENATE(MONTH(CompilDonnées[[#This Row],[HarvestingDate]])," ", YEAR(CompilDonnées[[#This Row],[HarvestingDate]]))</f>
        <v>4 2025</v>
      </c>
      <c r="N1655">
        <f>_xlfn.NUMBERVALUE(CompilDonnées[[#This Row],[FarmID]]&amp;CompilDonnées[[#This Row],[ModuleNumber]]&amp;CompilDonnées[[#This Row],[PlantationDate]])</f>
        <v>93645720</v>
      </c>
      <c r="O1655" t="str">
        <f>CompilDonnées[[#This Row],[FarmID]]&amp;CompilDonnées[[#This Row],[ModuleNumber]]</f>
        <v>936</v>
      </c>
      <c r="P1655" t="str">
        <f>CompilDonnées[[#This Row],[Ref_Module]]&amp;CompilDonnées[[#This Row],[HarvestingDate]]</f>
        <v>93645771</v>
      </c>
    </row>
    <row r="1656" spans="1:16">
      <c r="A1656" s="5">
        <v>45720</v>
      </c>
      <c r="B1656">
        <v>98</v>
      </c>
      <c r="C1656" t="s">
        <v>79</v>
      </c>
      <c r="D1656">
        <v>4</v>
      </c>
      <c r="E1656">
        <v>100</v>
      </c>
      <c r="F1656" t="s">
        <v>1</v>
      </c>
      <c r="G1656" s="6">
        <v>45761</v>
      </c>
      <c r="H1656">
        <v>41</v>
      </c>
      <c r="I1656">
        <f>ROUND(CompilDonnées[[#This Row],[CultureDuration_days]]/7,0)</f>
        <v>6</v>
      </c>
      <c r="J1656">
        <v>3147</v>
      </c>
      <c r="K1656" t="str">
        <f>_xlfn.CONCAT(WEEKNUM(CompilDonnées[[#This Row],[PlantationDate]]), " ", YEAR(CompilDonnées[[#This Row],[PlantationDate]]))</f>
        <v>10 2025</v>
      </c>
      <c r="L1656" t="str">
        <f>CONCATENATE(MONTH(CompilDonnées[[#This Row],[PlantationDate]])," ", YEAR(CompilDonnées[[#This Row],[PlantationDate]]))</f>
        <v>3 2025</v>
      </c>
      <c r="M1656" t="str">
        <f>CONCATENATE(MONTH(CompilDonnées[[#This Row],[HarvestingDate]])," ", YEAR(CompilDonnées[[#This Row],[HarvestingDate]]))</f>
        <v>4 2025</v>
      </c>
      <c r="N1656">
        <f>_xlfn.NUMBERVALUE(CompilDonnées[[#This Row],[FarmID]]&amp;CompilDonnées[[#This Row],[ModuleNumber]]&amp;CompilDonnées[[#This Row],[PlantationDate]])</f>
        <v>98445720</v>
      </c>
      <c r="O1656" t="str">
        <f>CompilDonnées[[#This Row],[FarmID]]&amp;CompilDonnées[[#This Row],[ModuleNumber]]</f>
        <v>984</v>
      </c>
      <c r="P1656" t="str">
        <f>CompilDonnées[[#This Row],[Ref_Module]]&amp;CompilDonnées[[#This Row],[HarvestingDate]]</f>
        <v>98445761</v>
      </c>
    </row>
    <row r="1657" spans="1:16">
      <c r="A1657" s="5">
        <v>45720</v>
      </c>
      <c r="B1657">
        <v>108</v>
      </c>
      <c r="C1657" t="s">
        <v>58</v>
      </c>
      <c r="D1657">
        <v>5</v>
      </c>
      <c r="E1657">
        <v>100</v>
      </c>
      <c r="F1657" t="s">
        <v>1</v>
      </c>
      <c r="G1657" s="6">
        <v>45761</v>
      </c>
      <c r="H1657">
        <v>41</v>
      </c>
      <c r="I1657">
        <f>ROUND(CompilDonnées[[#This Row],[CultureDuration_days]]/7,0)</f>
        <v>6</v>
      </c>
      <c r="J1657">
        <v>3331</v>
      </c>
      <c r="K1657" t="str">
        <f>_xlfn.CONCAT(WEEKNUM(CompilDonnées[[#This Row],[PlantationDate]]), " ", YEAR(CompilDonnées[[#This Row],[PlantationDate]]))</f>
        <v>10 2025</v>
      </c>
      <c r="L1657" t="str">
        <f>CONCATENATE(MONTH(CompilDonnées[[#This Row],[PlantationDate]])," ", YEAR(CompilDonnées[[#This Row],[PlantationDate]]))</f>
        <v>3 2025</v>
      </c>
      <c r="M1657" t="str">
        <f>CONCATENATE(MONTH(CompilDonnées[[#This Row],[HarvestingDate]])," ", YEAR(CompilDonnées[[#This Row],[HarvestingDate]]))</f>
        <v>4 2025</v>
      </c>
      <c r="N1657">
        <f>_xlfn.NUMBERVALUE(CompilDonnées[[#This Row],[FarmID]]&amp;CompilDonnées[[#This Row],[ModuleNumber]]&amp;CompilDonnées[[#This Row],[PlantationDate]])</f>
        <v>108545720</v>
      </c>
      <c r="O1657" t="str">
        <f>CompilDonnées[[#This Row],[FarmID]]&amp;CompilDonnées[[#This Row],[ModuleNumber]]</f>
        <v>1085</v>
      </c>
      <c r="P1657" t="str">
        <f>CompilDonnées[[#This Row],[Ref_Module]]&amp;CompilDonnées[[#This Row],[HarvestingDate]]</f>
        <v>108545761</v>
      </c>
    </row>
    <row r="1658" spans="1:16">
      <c r="A1658" s="5">
        <v>45720</v>
      </c>
      <c r="B1658">
        <v>110</v>
      </c>
      <c r="C1658" t="s">
        <v>14</v>
      </c>
      <c r="D1658">
        <v>5</v>
      </c>
      <c r="E1658">
        <v>100</v>
      </c>
      <c r="F1658" t="s">
        <v>1</v>
      </c>
      <c r="G1658" s="6">
        <v>45761</v>
      </c>
      <c r="H1658">
        <v>41</v>
      </c>
      <c r="I1658">
        <f>ROUND(CompilDonnées[[#This Row],[CultureDuration_days]]/7,0)</f>
        <v>6</v>
      </c>
      <c r="J1658">
        <v>3347</v>
      </c>
      <c r="K1658" t="str">
        <f>_xlfn.CONCAT(WEEKNUM(CompilDonnées[[#This Row],[PlantationDate]]), " ", YEAR(CompilDonnées[[#This Row],[PlantationDate]]))</f>
        <v>10 2025</v>
      </c>
      <c r="L1658" t="str">
        <f>CONCATENATE(MONTH(CompilDonnées[[#This Row],[PlantationDate]])," ", YEAR(CompilDonnées[[#This Row],[PlantationDate]]))</f>
        <v>3 2025</v>
      </c>
      <c r="M1658" t="str">
        <f>CONCATENATE(MONTH(CompilDonnées[[#This Row],[HarvestingDate]])," ", YEAR(CompilDonnées[[#This Row],[HarvestingDate]]))</f>
        <v>4 2025</v>
      </c>
      <c r="N1658">
        <f>_xlfn.NUMBERVALUE(CompilDonnées[[#This Row],[FarmID]]&amp;CompilDonnées[[#This Row],[ModuleNumber]]&amp;CompilDonnées[[#This Row],[PlantationDate]])</f>
        <v>110545720</v>
      </c>
      <c r="O1658" t="str">
        <f>CompilDonnées[[#This Row],[FarmID]]&amp;CompilDonnées[[#This Row],[ModuleNumber]]</f>
        <v>1105</v>
      </c>
      <c r="P1658" t="str">
        <f>CompilDonnées[[#This Row],[Ref_Module]]&amp;CompilDonnées[[#This Row],[HarvestingDate]]</f>
        <v>110545761</v>
      </c>
    </row>
    <row r="1659" spans="1:16">
      <c r="A1659" s="5">
        <v>45720</v>
      </c>
      <c r="B1659">
        <v>111</v>
      </c>
      <c r="C1659" t="s">
        <v>41</v>
      </c>
      <c r="D1659">
        <v>4</v>
      </c>
      <c r="E1659">
        <v>100</v>
      </c>
      <c r="F1659" t="s">
        <v>1</v>
      </c>
      <c r="G1659" s="6">
        <v>45761</v>
      </c>
      <c r="H1659">
        <v>41</v>
      </c>
      <c r="I1659">
        <f>ROUND(CompilDonnées[[#This Row],[CultureDuration_days]]/7,0)</f>
        <v>6</v>
      </c>
      <c r="J1659">
        <v>2331</v>
      </c>
      <c r="K1659" t="str">
        <f>_xlfn.CONCAT(WEEKNUM(CompilDonnées[[#This Row],[PlantationDate]]), " ", YEAR(CompilDonnées[[#This Row],[PlantationDate]]))</f>
        <v>10 2025</v>
      </c>
      <c r="L1659" t="str">
        <f>CONCATENATE(MONTH(CompilDonnées[[#This Row],[PlantationDate]])," ", YEAR(CompilDonnées[[#This Row],[PlantationDate]]))</f>
        <v>3 2025</v>
      </c>
      <c r="M1659" t="str">
        <f>CONCATENATE(MONTH(CompilDonnées[[#This Row],[HarvestingDate]])," ", YEAR(CompilDonnées[[#This Row],[HarvestingDate]]))</f>
        <v>4 2025</v>
      </c>
      <c r="N1659">
        <f>_xlfn.NUMBERVALUE(CompilDonnées[[#This Row],[FarmID]]&amp;CompilDonnées[[#This Row],[ModuleNumber]]&amp;CompilDonnées[[#This Row],[PlantationDate]])</f>
        <v>111445720</v>
      </c>
      <c r="O1659" t="str">
        <f>CompilDonnées[[#This Row],[FarmID]]&amp;CompilDonnées[[#This Row],[ModuleNumber]]</f>
        <v>1114</v>
      </c>
      <c r="P1659" t="str">
        <f>CompilDonnées[[#This Row],[Ref_Module]]&amp;CompilDonnées[[#This Row],[HarvestingDate]]</f>
        <v>111445761</v>
      </c>
    </row>
    <row r="1660" spans="1:16">
      <c r="A1660" s="5">
        <v>45720</v>
      </c>
      <c r="B1660">
        <v>112</v>
      </c>
      <c r="C1660" t="s">
        <v>15</v>
      </c>
      <c r="D1660">
        <v>6</v>
      </c>
      <c r="E1660">
        <v>100</v>
      </c>
      <c r="F1660" t="s">
        <v>1</v>
      </c>
      <c r="G1660" s="6">
        <v>45761</v>
      </c>
      <c r="H1660">
        <v>41</v>
      </c>
      <c r="I1660">
        <f>ROUND(CompilDonnées[[#This Row],[CultureDuration_days]]/7,0)</f>
        <v>6</v>
      </c>
      <c r="J1660">
        <v>3146</v>
      </c>
      <c r="K1660" t="str">
        <f>_xlfn.CONCAT(WEEKNUM(CompilDonnées[[#This Row],[PlantationDate]]), " ", YEAR(CompilDonnées[[#This Row],[PlantationDate]]))</f>
        <v>10 2025</v>
      </c>
      <c r="L1660" t="str">
        <f>CONCATENATE(MONTH(CompilDonnées[[#This Row],[PlantationDate]])," ", YEAR(CompilDonnées[[#This Row],[PlantationDate]]))</f>
        <v>3 2025</v>
      </c>
      <c r="M1660" t="str">
        <f>CONCATENATE(MONTH(CompilDonnées[[#This Row],[HarvestingDate]])," ", YEAR(CompilDonnées[[#This Row],[HarvestingDate]]))</f>
        <v>4 2025</v>
      </c>
      <c r="N1660">
        <f>_xlfn.NUMBERVALUE(CompilDonnées[[#This Row],[FarmID]]&amp;CompilDonnées[[#This Row],[ModuleNumber]]&amp;CompilDonnées[[#This Row],[PlantationDate]])</f>
        <v>112645720</v>
      </c>
      <c r="O1660" t="str">
        <f>CompilDonnées[[#This Row],[FarmID]]&amp;CompilDonnées[[#This Row],[ModuleNumber]]</f>
        <v>1126</v>
      </c>
      <c r="P1660" t="str">
        <f>CompilDonnées[[#This Row],[Ref_Module]]&amp;CompilDonnées[[#This Row],[HarvestingDate]]</f>
        <v>112645761</v>
      </c>
    </row>
    <row r="1661" spans="1:16">
      <c r="A1661" s="5">
        <v>45720</v>
      </c>
      <c r="B1661">
        <v>113</v>
      </c>
      <c r="C1661" t="s">
        <v>16</v>
      </c>
      <c r="D1661">
        <v>1</v>
      </c>
      <c r="E1661">
        <v>100</v>
      </c>
      <c r="F1661" t="s">
        <v>1</v>
      </c>
      <c r="G1661" s="6">
        <v>45761</v>
      </c>
      <c r="H1661">
        <v>41</v>
      </c>
      <c r="I1661">
        <f>ROUND(CompilDonnées[[#This Row],[CultureDuration_days]]/7,0)</f>
        <v>6</v>
      </c>
      <c r="J1661">
        <v>3003</v>
      </c>
      <c r="K1661" t="str">
        <f>_xlfn.CONCAT(WEEKNUM(CompilDonnées[[#This Row],[PlantationDate]]), " ", YEAR(CompilDonnées[[#This Row],[PlantationDate]]))</f>
        <v>10 2025</v>
      </c>
      <c r="L1661" t="str">
        <f>CONCATENATE(MONTH(CompilDonnées[[#This Row],[PlantationDate]])," ", YEAR(CompilDonnées[[#This Row],[PlantationDate]]))</f>
        <v>3 2025</v>
      </c>
      <c r="M1661" t="str">
        <f>CONCATENATE(MONTH(CompilDonnées[[#This Row],[HarvestingDate]])," ", YEAR(CompilDonnées[[#This Row],[HarvestingDate]]))</f>
        <v>4 2025</v>
      </c>
      <c r="N1661">
        <f>_xlfn.NUMBERVALUE(CompilDonnées[[#This Row],[FarmID]]&amp;CompilDonnées[[#This Row],[ModuleNumber]]&amp;CompilDonnées[[#This Row],[PlantationDate]])</f>
        <v>113145720</v>
      </c>
      <c r="O1661" t="str">
        <f>CompilDonnées[[#This Row],[FarmID]]&amp;CompilDonnées[[#This Row],[ModuleNumber]]</f>
        <v>1131</v>
      </c>
      <c r="P1661" t="str">
        <f>CompilDonnées[[#This Row],[Ref_Module]]&amp;CompilDonnées[[#This Row],[HarvestingDate]]</f>
        <v>113145761</v>
      </c>
    </row>
    <row r="1662" spans="1:16">
      <c r="A1662" s="5">
        <v>45720</v>
      </c>
      <c r="B1662">
        <v>115</v>
      </c>
      <c r="C1662" t="s">
        <v>121</v>
      </c>
      <c r="D1662">
        <v>1</v>
      </c>
      <c r="E1662">
        <v>100</v>
      </c>
      <c r="F1662" t="s">
        <v>1</v>
      </c>
      <c r="G1662" s="6">
        <v>45761</v>
      </c>
      <c r="H1662">
        <v>41</v>
      </c>
      <c r="I1662">
        <f>ROUND(CompilDonnées[[#This Row],[CultureDuration_days]]/7,0)</f>
        <v>6</v>
      </c>
      <c r="J1662">
        <v>3108</v>
      </c>
      <c r="K1662" t="str">
        <f>_xlfn.CONCAT(WEEKNUM(CompilDonnées[[#This Row],[PlantationDate]]), " ", YEAR(CompilDonnées[[#This Row],[PlantationDate]]))</f>
        <v>10 2025</v>
      </c>
      <c r="L1662" t="str">
        <f>CONCATENATE(MONTH(CompilDonnées[[#This Row],[PlantationDate]])," ", YEAR(CompilDonnées[[#This Row],[PlantationDate]]))</f>
        <v>3 2025</v>
      </c>
      <c r="M1662" t="str">
        <f>CONCATENATE(MONTH(CompilDonnées[[#This Row],[HarvestingDate]])," ", YEAR(CompilDonnées[[#This Row],[HarvestingDate]]))</f>
        <v>4 2025</v>
      </c>
      <c r="N1662">
        <f>_xlfn.NUMBERVALUE(CompilDonnées[[#This Row],[FarmID]]&amp;CompilDonnées[[#This Row],[ModuleNumber]]&amp;CompilDonnées[[#This Row],[PlantationDate]])</f>
        <v>115145720</v>
      </c>
      <c r="O1662" t="str">
        <f>CompilDonnées[[#This Row],[FarmID]]&amp;CompilDonnées[[#This Row],[ModuleNumber]]</f>
        <v>1151</v>
      </c>
      <c r="P1662" t="str">
        <f>CompilDonnées[[#This Row],[Ref_Module]]&amp;CompilDonnées[[#This Row],[HarvestingDate]]</f>
        <v>115145761</v>
      </c>
    </row>
    <row r="1663" spans="1:16">
      <c r="A1663" s="5">
        <v>45720</v>
      </c>
      <c r="B1663">
        <v>117</v>
      </c>
      <c r="C1663" t="s">
        <v>11</v>
      </c>
      <c r="D1663">
        <v>5</v>
      </c>
      <c r="E1663">
        <v>100</v>
      </c>
      <c r="F1663" t="s">
        <v>1</v>
      </c>
      <c r="G1663" s="6">
        <v>45762</v>
      </c>
      <c r="H1663">
        <v>42</v>
      </c>
      <c r="I1663">
        <f>ROUND(CompilDonnées[[#This Row],[CultureDuration_days]]/7,0)</f>
        <v>6</v>
      </c>
      <c r="J1663">
        <v>2980</v>
      </c>
      <c r="K1663" t="str">
        <f>_xlfn.CONCAT(WEEKNUM(CompilDonnées[[#This Row],[PlantationDate]]), " ", YEAR(CompilDonnées[[#This Row],[PlantationDate]]))</f>
        <v>10 2025</v>
      </c>
      <c r="L1663" t="str">
        <f>CONCATENATE(MONTH(CompilDonnées[[#This Row],[PlantationDate]])," ", YEAR(CompilDonnées[[#This Row],[PlantationDate]]))</f>
        <v>3 2025</v>
      </c>
      <c r="M1663" t="str">
        <f>CONCATENATE(MONTH(CompilDonnées[[#This Row],[HarvestingDate]])," ", YEAR(CompilDonnées[[#This Row],[HarvestingDate]]))</f>
        <v>4 2025</v>
      </c>
      <c r="N1663">
        <f>_xlfn.NUMBERVALUE(CompilDonnées[[#This Row],[FarmID]]&amp;CompilDonnées[[#This Row],[ModuleNumber]]&amp;CompilDonnées[[#This Row],[PlantationDate]])</f>
        <v>117545720</v>
      </c>
      <c r="O1663" t="str">
        <f>CompilDonnées[[#This Row],[FarmID]]&amp;CompilDonnées[[#This Row],[ModuleNumber]]</f>
        <v>1175</v>
      </c>
      <c r="P1663" t="str">
        <f>CompilDonnées[[#This Row],[Ref_Module]]&amp;CompilDonnées[[#This Row],[HarvestingDate]]</f>
        <v>117545762</v>
      </c>
    </row>
    <row r="1664" spans="1:16">
      <c r="A1664" s="5">
        <v>45720</v>
      </c>
      <c r="B1664">
        <v>118</v>
      </c>
      <c r="C1664" t="s">
        <v>51</v>
      </c>
      <c r="D1664">
        <v>4</v>
      </c>
      <c r="E1664">
        <v>100</v>
      </c>
      <c r="F1664" t="s">
        <v>1</v>
      </c>
      <c r="G1664" s="6">
        <v>45758</v>
      </c>
      <c r="H1664">
        <v>38</v>
      </c>
      <c r="I1664">
        <f>ROUND(CompilDonnées[[#This Row],[CultureDuration_days]]/7,0)</f>
        <v>5</v>
      </c>
      <c r="J1664">
        <v>3510</v>
      </c>
      <c r="K1664" t="str">
        <f>_xlfn.CONCAT(WEEKNUM(CompilDonnées[[#This Row],[PlantationDate]]), " ", YEAR(CompilDonnées[[#This Row],[PlantationDate]]))</f>
        <v>10 2025</v>
      </c>
      <c r="L1664" t="str">
        <f>CONCATENATE(MONTH(CompilDonnées[[#This Row],[PlantationDate]])," ", YEAR(CompilDonnées[[#This Row],[PlantationDate]]))</f>
        <v>3 2025</v>
      </c>
      <c r="M1664" t="str">
        <f>CONCATENATE(MONTH(CompilDonnées[[#This Row],[HarvestingDate]])," ", YEAR(CompilDonnées[[#This Row],[HarvestingDate]]))</f>
        <v>4 2025</v>
      </c>
      <c r="N1664">
        <f>_xlfn.NUMBERVALUE(CompilDonnées[[#This Row],[FarmID]]&amp;CompilDonnées[[#This Row],[ModuleNumber]]&amp;CompilDonnées[[#This Row],[PlantationDate]])</f>
        <v>118445720</v>
      </c>
      <c r="O1664" t="str">
        <f>CompilDonnées[[#This Row],[FarmID]]&amp;CompilDonnées[[#This Row],[ModuleNumber]]</f>
        <v>1184</v>
      </c>
      <c r="P1664" t="str">
        <f>CompilDonnées[[#This Row],[Ref_Module]]&amp;CompilDonnées[[#This Row],[HarvestingDate]]</f>
        <v>118445758</v>
      </c>
    </row>
    <row r="1665" spans="1:16">
      <c r="A1665" s="5">
        <v>45720</v>
      </c>
      <c r="B1665">
        <v>119</v>
      </c>
      <c r="C1665" t="s">
        <v>59</v>
      </c>
      <c r="D1665">
        <v>4</v>
      </c>
      <c r="E1665">
        <v>100</v>
      </c>
      <c r="F1665" t="s">
        <v>1</v>
      </c>
      <c r="G1665" s="6">
        <v>45758</v>
      </c>
      <c r="H1665">
        <v>38</v>
      </c>
      <c r="I1665">
        <f>ROUND(CompilDonnées[[#This Row],[CultureDuration_days]]/7,0)</f>
        <v>5</v>
      </c>
      <c r="J1665">
        <v>3018</v>
      </c>
      <c r="K1665" t="str">
        <f>_xlfn.CONCAT(WEEKNUM(CompilDonnées[[#This Row],[PlantationDate]]), " ", YEAR(CompilDonnées[[#This Row],[PlantationDate]]))</f>
        <v>10 2025</v>
      </c>
      <c r="L1665" t="str">
        <f>CONCATENATE(MONTH(CompilDonnées[[#This Row],[PlantationDate]])," ", YEAR(CompilDonnées[[#This Row],[PlantationDate]]))</f>
        <v>3 2025</v>
      </c>
      <c r="M1665" t="str">
        <f>CONCATENATE(MONTH(CompilDonnées[[#This Row],[HarvestingDate]])," ", YEAR(CompilDonnées[[#This Row],[HarvestingDate]]))</f>
        <v>4 2025</v>
      </c>
      <c r="N1665">
        <f>_xlfn.NUMBERVALUE(CompilDonnées[[#This Row],[FarmID]]&amp;CompilDonnées[[#This Row],[ModuleNumber]]&amp;CompilDonnées[[#This Row],[PlantationDate]])</f>
        <v>119445720</v>
      </c>
      <c r="O1665" t="str">
        <f>CompilDonnées[[#This Row],[FarmID]]&amp;CompilDonnées[[#This Row],[ModuleNumber]]</f>
        <v>1194</v>
      </c>
      <c r="P1665" t="str">
        <f>CompilDonnées[[#This Row],[Ref_Module]]&amp;CompilDonnées[[#This Row],[HarvestingDate]]</f>
        <v>119445758</v>
      </c>
    </row>
    <row r="1666" spans="1:16">
      <c r="A1666" s="5">
        <v>45720</v>
      </c>
      <c r="B1666">
        <v>120</v>
      </c>
      <c r="C1666" t="s">
        <v>100</v>
      </c>
      <c r="D1666">
        <v>2</v>
      </c>
      <c r="E1666">
        <v>100</v>
      </c>
      <c r="F1666" t="s">
        <v>1</v>
      </c>
      <c r="G1666" s="6">
        <v>45757</v>
      </c>
      <c r="H1666">
        <v>37</v>
      </c>
      <c r="I1666">
        <f>ROUND(CompilDonnées[[#This Row],[CultureDuration_days]]/7,0)</f>
        <v>5</v>
      </c>
      <c r="J1666">
        <v>2125</v>
      </c>
      <c r="K1666" t="str">
        <f>_xlfn.CONCAT(WEEKNUM(CompilDonnées[[#This Row],[PlantationDate]]), " ", YEAR(CompilDonnées[[#This Row],[PlantationDate]]))</f>
        <v>10 2025</v>
      </c>
      <c r="L1666" t="str">
        <f>CONCATENATE(MONTH(CompilDonnées[[#This Row],[PlantationDate]])," ", YEAR(CompilDonnées[[#This Row],[PlantationDate]]))</f>
        <v>3 2025</v>
      </c>
      <c r="M1666" t="str">
        <f>CONCATENATE(MONTH(CompilDonnées[[#This Row],[HarvestingDate]])," ", YEAR(CompilDonnées[[#This Row],[HarvestingDate]]))</f>
        <v>4 2025</v>
      </c>
      <c r="N1666">
        <f>_xlfn.NUMBERVALUE(CompilDonnées[[#This Row],[FarmID]]&amp;CompilDonnées[[#This Row],[ModuleNumber]]&amp;CompilDonnées[[#This Row],[PlantationDate]])</f>
        <v>120245720</v>
      </c>
      <c r="O1666" t="str">
        <f>CompilDonnées[[#This Row],[FarmID]]&amp;CompilDonnées[[#This Row],[ModuleNumber]]</f>
        <v>1202</v>
      </c>
      <c r="P1666" t="str">
        <f>CompilDonnées[[#This Row],[Ref_Module]]&amp;CompilDonnées[[#This Row],[HarvestingDate]]</f>
        <v>120245757</v>
      </c>
    </row>
    <row r="1667" spans="1:16">
      <c r="A1667" s="5">
        <v>45720</v>
      </c>
      <c r="B1667">
        <v>123</v>
      </c>
      <c r="C1667" t="s">
        <v>13</v>
      </c>
      <c r="D1667">
        <v>2</v>
      </c>
      <c r="E1667">
        <v>100</v>
      </c>
      <c r="F1667" t="s">
        <v>1</v>
      </c>
      <c r="G1667" s="6">
        <v>45762</v>
      </c>
      <c r="H1667">
        <v>42</v>
      </c>
      <c r="I1667">
        <f>ROUND(CompilDonnées[[#This Row],[CultureDuration_days]]/7,0)</f>
        <v>6</v>
      </c>
      <c r="J1667">
        <v>2627</v>
      </c>
      <c r="K1667" t="str">
        <f>_xlfn.CONCAT(WEEKNUM(CompilDonnées[[#This Row],[PlantationDate]]), " ", YEAR(CompilDonnées[[#This Row],[PlantationDate]]))</f>
        <v>10 2025</v>
      </c>
      <c r="L1667" t="str">
        <f>CONCATENATE(MONTH(CompilDonnées[[#This Row],[PlantationDate]])," ", YEAR(CompilDonnées[[#This Row],[PlantationDate]]))</f>
        <v>3 2025</v>
      </c>
      <c r="M1667" t="str">
        <f>CONCATENATE(MONTH(CompilDonnées[[#This Row],[HarvestingDate]])," ", YEAR(CompilDonnées[[#This Row],[HarvestingDate]]))</f>
        <v>4 2025</v>
      </c>
      <c r="N1667">
        <f>_xlfn.NUMBERVALUE(CompilDonnées[[#This Row],[FarmID]]&amp;CompilDonnées[[#This Row],[ModuleNumber]]&amp;CompilDonnées[[#This Row],[PlantationDate]])</f>
        <v>123245720</v>
      </c>
      <c r="O1667" t="str">
        <f>CompilDonnées[[#This Row],[FarmID]]&amp;CompilDonnées[[#This Row],[ModuleNumber]]</f>
        <v>1232</v>
      </c>
      <c r="P1667" t="str">
        <f>CompilDonnées[[#This Row],[Ref_Module]]&amp;CompilDonnées[[#This Row],[HarvestingDate]]</f>
        <v>123245762</v>
      </c>
    </row>
    <row r="1668" spans="1:16">
      <c r="A1668" s="5">
        <v>45720</v>
      </c>
      <c r="B1668">
        <v>124</v>
      </c>
      <c r="C1668" t="s">
        <v>115</v>
      </c>
      <c r="D1668">
        <v>3</v>
      </c>
      <c r="E1668">
        <v>100</v>
      </c>
      <c r="F1668" t="s">
        <v>1</v>
      </c>
      <c r="G1668" s="6">
        <v>45761</v>
      </c>
      <c r="H1668">
        <v>41</v>
      </c>
      <c r="I1668">
        <f>ROUND(CompilDonnées[[#This Row],[CultureDuration_days]]/7,0)</f>
        <v>6</v>
      </c>
      <c r="J1668">
        <v>2938</v>
      </c>
      <c r="K1668" t="str">
        <f>_xlfn.CONCAT(WEEKNUM(CompilDonnées[[#This Row],[PlantationDate]]), " ", YEAR(CompilDonnées[[#This Row],[PlantationDate]]))</f>
        <v>10 2025</v>
      </c>
      <c r="L1668" t="str">
        <f>CONCATENATE(MONTH(CompilDonnées[[#This Row],[PlantationDate]])," ", YEAR(CompilDonnées[[#This Row],[PlantationDate]]))</f>
        <v>3 2025</v>
      </c>
      <c r="M1668" t="str">
        <f>CONCATENATE(MONTH(CompilDonnées[[#This Row],[HarvestingDate]])," ", YEAR(CompilDonnées[[#This Row],[HarvestingDate]]))</f>
        <v>4 2025</v>
      </c>
      <c r="N1668">
        <f>_xlfn.NUMBERVALUE(CompilDonnées[[#This Row],[FarmID]]&amp;CompilDonnées[[#This Row],[ModuleNumber]]&amp;CompilDonnées[[#This Row],[PlantationDate]])</f>
        <v>124345720</v>
      </c>
      <c r="O1668" t="str">
        <f>CompilDonnées[[#This Row],[FarmID]]&amp;CompilDonnées[[#This Row],[ModuleNumber]]</f>
        <v>1243</v>
      </c>
      <c r="P1668" t="str">
        <f>CompilDonnées[[#This Row],[Ref_Module]]&amp;CompilDonnées[[#This Row],[HarvestingDate]]</f>
        <v>124345761</v>
      </c>
    </row>
    <row r="1669" spans="1:16">
      <c r="A1669" s="5">
        <v>45720</v>
      </c>
      <c r="B1669">
        <v>125</v>
      </c>
      <c r="C1669" t="s">
        <v>101</v>
      </c>
      <c r="D1669">
        <v>1</v>
      </c>
      <c r="E1669">
        <v>100</v>
      </c>
      <c r="F1669" t="s">
        <v>1</v>
      </c>
      <c r="G1669" s="6">
        <v>45773</v>
      </c>
      <c r="H1669">
        <v>53</v>
      </c>
      <c r="I1669">
        <f>ROUND(CompilDonnées[[#This Row],[CultureDuration_days]]/7,0)</f>
        <v>8</v>
      </c>
      <c r="J1669">
        <v>2500</v>
      </c>
      <c r="K1669" t="str">
        <f>_xlfn.CONCAT(WEEKNUM(CompilDonnées[[#This Row],[PlantationDate]]), " ", YEAR(CompilDonnées[[#This Row],[PlantationDate]]))</f>
        <v>10 2025</v>
      </c>
      <c r="L1669" t="str">
        <f>CONCATENATE(MONTH(CompilDonnées[[#This Row],[PlantationDate]])," ", YEAR(CompilDonnées[[#This Row],[PlantationDate]]))</f>
        <v>3 2025</v>
      </c>
      <c r="M1669" t="str">
        <f>CONCATENATE(MONTH(CompilDonnées[[#This Row],[HarvestingDate]])," ", YEAR(CompilDonnées[[#This Row],[HarvestingDate]]))</f>
        <v>4 2025</v>
      </c>
      <c r="N1669">
        <f>_xlfn.NUMBERVALUE(CompilDonnées[[#This Row],[FarmID]]&amp;CompilDonnées[[#This Row],[ModuleNumber]]&amp;CompilDonnées[[#This Row],[PlantationDate]])</f>
        <v>125145720</v>
      </c>
      <c r="O1669" t="str">
        <f>CompilDonnées[[#This Row],[FarmID]]&amp;CompilDonnées[[#This Row],[ModuleNumber]]</f>
        <v>1251</v>
      </c>
      <c r="P1669" t="str">
        <f>CompilDonnées[[#This Row],[Ref_Module]]&amp;CompilDonnées[[#This Row],[HarvestingDate]]</f>
        <v>125145773</v>
      </c>
    </row>
    <row r="1670" spans="1:16">
      <c r="A1670" s="5">
        <v>45720</v>
      </c>
      <c r="B1670">
        <v>127</v>
      </c>
      <c r="C1670" t="s">
        <v>3</v>
      </c>
      <c r="D1670">
        <v>4</v>
      </c>
      <c r="E1670">
        <v>60</v>
      </c>
      <c r="F1670" t="s">
        <v>105</v>
      </c>
      <c r="G1670" s="6">
        <v>45772</v>
      </c>
      <c r="H1670">
        <v>52</v>
      </c>
      <c r="I1670">
        <f>ROUND(CompilDonnées[[#This Row],[CultureDuration_days]]/7,0)</f>
        <v>7</v>
      </c>
      <c r="J1670">
        <v>1001</v>
      </c>
      <c r="K1670" t="str">
        <f>_xlfn.CONCAT(WEEKNUM(CompilDonnées[[#This Row],[PlantationDate]]), " ", YEAR(CompilDonnées[[#This Row],[PlantationDate]]))</f>
        <v>10 2025</v>
      </c>
      <c r="L1670" t="str">
        <f>CONCATENATE(MONTH(CompilDonnées[[#This Row],[PlantationDate]])," ", YEAR(CompilDonnées[[#This Row],[PlantationDate]]))</f>
        <v>3 2025</v>
      </c>
      <c r="M1670" t="str">
        <f>CONCATENATE(MONTH(CompilDonnées[[#This Row],[HarvestingDate]])," ", YEAR(CompilDonnées[[#This Row],[HarvestingDate]]))</f>
        <v>4 2025</v>
      </c>
      <c r="N1670">
        <f>_xlfn.NUMBERVALUE(CompilDonnées[[#This Row],[FarmID]]&amp;CompilDonnées[[#This Row],[ModuleNumber]]&amp;CompilDonnées[[#This Row],[PlantationDate]])</f>
        <v>127445720</v>
      </c>
      <c r="O1670" t="str">
        <f>CompilDonnées[[#This Row],[FarmID]]&amp;CompilDonnées[[#This Row],[ModuleNumber]]</f>
        <v>1274</v>
      </c>
      <c r="P1670" t="str">
        <f>CompilDonnées[[#This Row],[Ref_Module]]&amp;CompilDonnées[[#This Row],[HarvestingDate]]</f>
        <v>127445772</v>
      </c>
    </row>
    <row r="1671" spans="1:16">
      <c r="A1671" s="5">
        <v>45720</v>
      </c>
      <c r="B1671">
        <v>127</v>
      </c>
      <c r="C1671" t="s">
        <v>3</v>
      </c>
      <c r="D1671">
        <v>5</v>
      </c>
      <c r="E1671">
        <v>60</v>
      </c>
      <c r="F1671" t="s">
        <v>105</v>
      </c>
      <c r="G1671" s="6">
        <v>45772</v>
      </c>
      <c r="H1671">
        <v>52</v>
      </c>
      <c r="I1671">
        <f>ROUND(CompilDonnées[[#This Row],[CultureDuration_days]]/7,0)</f>
        <v>7</v>
      </c>
      <c r="J1671">
        <v>905</v>
      </c>
      <c r="K1671" t="str">
        <f>_xlfn.CONCAT(WEEKNUM(CompilDonnées[[#This Row],[PlantationDate]]), " ", YEAR(CompilDonnées[[#This Row],[PlantationDate]]))</f>
        <v>10 2025</v>
      </c>
      <c r="L1671" t="str">
        <f>CONCATENATE(MONTH(CompilDonnées[[#This Row],[PlantationDate]])," ", YEAR(CompilDonnées[[#This Row],[PlantationDate]]))</f>
        <v>3 2025</v>
      </c>
      <c r="M1671" t="str">
        <f>CONCATENATE(MONTH(CompilDonnées[[#This Row],[HarvestingDate]])," ", YEAR(CompilDonnées[[#This Row],[HarvestingDate]]))</f>
        <v>4 2025</v>
      </c>
      <c r="N1671">
        <f>_xlfn.NUMBERVALUE(CompilDonnées[[#This Row],[FarmID]]&amp;CompilDonnées[[#This Row],[ModuleNumber]]&amp;CompilDonnées[[#This Row],[PlantationDate]])</f>
        <v>127545720</v>
      </c>
      <c r="O1671" t="str">
        <f>CompilDonnées[[#This Row],[FarmID]]&amp;CompilDonnées[[#This Row],[ModuleNumber]]</f>
        <v>1275</v>
      </c>
      <c r="P1671" t="str">
        <f>CompilDonnées[[#This Row],[Ref_Module]]&amp;CompilDonnées[[#This Row],[HarvestingDate]]</f>
        <v>127545772</v>
      </c>
    </row>
    <row r="1672" spans="1:16">
      <c r="A1672" s="5">
        <v>45720</v>
      </c>
      <c r="B1672">
        <v>127</v>
      </c>
      <c r="C1672" t="s">
        <v>3</v>
      </c>
      <c r="D1672">
        <v>6</v>
      </c>
      <c r="E1672">
        <v>60</v>
      </c>
      <c r="F1672" t="s">
        <v>105</v>
      </c>
      <c r="G1672" s="6">
        <v>45772</v>
      </c>
      <c r="H1672">
        <v>52</v>
      </c>
      <c r="I1672">
        <f>ROUND(CompilDonnées[[#This Row],[CultureDuration_days]]/7,0)</f>
        <v>7</v>
      </c>
      <c r="J1672">
        <v>1060</v>
      </c>
      <c r="K1672" t="str">
        <f>_xlfn.CONCAT(WEEKNUM(CompilDonnées[[#This Row],[PlantationDate]]), " ", YEAR(CompilDonnées[[#This Row],[PlantationDate]]))</f>
        <v>10 2025</v>
      </c>
      <c r="L1672" t="str">
        <f>CONCATENATE(MONTH(CompilDonnées[[#This Row],[PlantationDate]])," ", YEAR(CompilDonnées[[#This Row],[PlantationDate]]))</f>
        <v>3 2025</v>
      </c>
      <c r="M1672" t="str">
        <f>CONCATENATE(MONTH(CompilDonnées[[#This Row],[HarvestingDate]])," ", YEAR(CompilDonnées[[#This Row],[HarvestingDate]]))</f>
        <v>4 2025</v>
      </c>
      <c r="N1672">
        <f>_xlfn.NUMBERVALUE(CompilDonnées[[#This Row],[FarmID]]&amp;CompilDonnées[[#This Row],[ModuleNumber]]&amp;CompilDonnées[[#This Row],[PlantationDate]])</f>
        <v>127645720</v>
      </c>
      <c r="O1672" t="str">
        <f>CompilDonnées[[#This Row],[FarmID]]&amp;CompilDonnées[[#This Row],[ModuleNumber]]</f>
        <v>1276</v>
      </c>
      <c r="P1672" t="str">
        <f>CompilDonnées[[#This Row],[Ref_Module]]&amp;CompilDonnées[[#This Row],[HarvestingDate]]</f>
        <v>127645772</v>
      </c>
    </row>
    <row r="1673" spans="1:16">
      <c r="A1673" s="5">
        <v>45720</v>
      </c>
      <c r="B1673">
        <v>133</v>
      </c>
      <c r="C1673" t="s">
        <v>99</v>
      </c>
      <c r="D1673">
        <v>6</v>
      </c>
      <c r="E1673">
        <v>100</v>
      </c>
      <c r="F1673" t="s">
        <v>1</v>
      </c>
      <c r="G1673" s="6">
        <v>45761</v>
      </c>
      <c r="H1673">
        <v>41</v>
      </c>
      <c r="I1673">
        <f>ROUND(CompilDonnées[[#This Row],[CultureDuration_days]]/7,0)</f>
        <v>6</v>
      </c>
      <c r="J1673">
        <v>3288</v>
      </c>
      <c r="K1673" t="str">
        <f>_xlfn.CONCAT(WEEKNUM(CompilDonnées[[#This Row],[PlantationDate]]), " ", YEAR(CompilDonnées[[#This Row],[PlantationDate]]))</f>
        <v>10 2025</v>
      </c>
      <c r="L1673" t="str">
        <f>CONCATENATE(MONTH(CompilDonnées[[#This Row],[PlantationDate]])," ", YEAR(CompilDonnées[[#This Row],[PlantationDate]]))</f>
        <v>3 2025</v>
      </c>
      <c r="M1673" t="str">
        <f>CONCATENATE(MONTH(CompilDonnées[[#This Row],[HarvestingDate]])," ", YEAR(CompilDonnées[[#This Row],[HarvestingDate]]))</f>
        <v>4 2025</v>
      </c>
      <c r="N1673">
        <f>_xlfn.NUMBERVALUE(CompilDonnées[[#This Row],[FarmID]]&amp;CompilDonnées[[#This Row],[ModuleNumber]]&amp;CompilDonnées[[#This Row],[PlantationDate]])</f>
        <v>133645720</v>
      </c>
      <c r="O1673" t="str">
        <f>CompilDonnées[[#This Row],[FarmID]]&amp;CompilDonnées[[#This Row],[ModuleNumber]]</f>
        <v>1336</v>
      </c>
      <c r="P1673" t="str">
        <f>CompilDonnées[[#This Row],[Ref_Module]]&amp;CompilDonnées[[#This Row],[HarvestingDate]]</f>
        <v>133645761</v>
      </c>
    </row>
    <row r="1674" spans="1:16">
      <c r="A1674" s="5">
        <v>45720</v>
      </c>
      <c r="B1674">
        <v>137</v>
      </c>
      <c r="C1674" t="s">
        <v>3</v>
      </c>
      <c r="D1674">
        <v>4</v>
      </c>
      <c r="E1674">
        <v>60</v>
      </c>
      <c r="F1674" t="s">
        <v>105</v>
      </c>
      <c r="G1674" s="6">
        <v>45761</v>
      </c>
      <c r="H1674">
        <v>41</v>
      </c>
      <c r="I1674">
        <f>ROUND(CompilDonnées[[#This Row],[CultureDuration_days]]/7,0)</f>
        <v>6</v>
      </c>
      <c r="J1674">
        <v>1000</v>
      </c>
      <c r="K1674" t="str">
        <f>_xlfn.CONCAT(WEEKNUM(CompilDonnées[[#This Row],[PlantationDate]]), " ", YEAR(CompilDonnées[[#This Row],[PlantationDate]]))</f>
        <v>10 2025</v>
      </c>
      <c r="L1674" t="str">
        <f>CONCATENATE(MONTH(CompilDonnées[[#This Row],[PlantationDate]])," ", YEAR(CompilDonnées[[#This Row],[PlantationDate]]))</f>
        <v>3 2025</v>
      </c>
      <c r="M1674" t="str">
        <f>CONCATENATE(MONTH(CompilDonnées[[#This Row],[HarvestingDate]])," ", YEAR(CompilDonnées[[#This Row],[HarvestingDate]]))</f>
        <v>4 2025</v>
      </c>
      <c r="N1674">
        <f>_xlfn.NUMBERVALUE(CompilDonnées[[#This Row],[FarmID]]&amp;CompilDonnées[[#This Row],[ModuleNumber]]&amp;CompilDonnées[[#This Row],[PlantationDate]])</f>
        <v>137445720</v>
      </c>
      <c r="O1674" t="str">
        <f>CompilDonnées[[#This Row],[FarmID]]&amp;CompilDonnées[[#This Row],[ModuleNumber]]</f>
        <v>1374</v>
      </c>
      <c r="P1674" t="str">
        <f>CompilDonnées[[#This Row],[Ref_Module]]&amp;CompilDonnées[[#This Row],[HarvestingDate]]</f>
        <v>137445761</v>
      </c>
    </row>
    <row r="1675" spans="1:16">
      <c r="A1675" s="5">
        <v>45720</v>
      </c>
      <c r="B1675">
        <v>137</v>
      </c>
      <c r="C1675" t="s">
        <v>3</v>
      </c>
      <c r="D1675">
        <v>5</v>
      </c>
      <c r="E1675">
        <v>60</v>
      </c>
      <c r="F1675" t="s">
        <v>105</v>
      </c>
      <c r="G1675" s="6">
        <v>45761</v>
      </c>
      <c r="H1675">
        <v>41</v>
      </c>
      <c r="I1675">
        <f>ROUND(CompilDonnées[[#This Row],[CultureDuration_days]]/7,0)</f>
        <v>6</v>
      </c>
      <c r="J1675">
        <v>891</v>
      </c>
      <c r="K1675" t="str">
        <f>_xlfn.CONCAT(WEEKNUM(CompilDonnées[[#This Row],[PlantationDate]]), " ", YEAR(CompilDonnées[[#This Row],[PlantationDate]]))</f>
        <v>10 2025</v>
      </c>
      <c r="L1675" t="str">
        <f>CONCATENATE(MONTH(CompilDonnées[[#This Row],[PlantationDate]])," ", YEAR(CompilDonnées[[#This Row],[PlantationDate]]))</f>
        <v>3 2025</v>
      </c>
      <c r="M1675" t="str">
        <f>CONCATENATE(MONTH(CompilDonnées[[#This Row],[HarvestingDate]])," ", YEAR(CompilDonnées[[#This Row],[HarvestingDate]]))</f>
        <v>4 2025</v>
      </c>
      <c r="N1675">
        <f>_xlfn.NUMBERVALUE(CompilDonnées[[#This Row],[FarmID]]&amp;CompilDonnées[[#This Row],[ModuleNumber]]&amp;CompilDonnées[[#This Row],[PlantationDate]])</f>
        <v>137545720</v>
      </c>
      <c r="O1675" t="str">
        <f>CompilDonnées[[#This Row],[FarmID]]&amp;CompilDonnées[[#This Row],[ModuleNumber]]</f>
        <v>1375</v>
      </c>
      <c r="P1675" t="str">
        <f>CompilDonnées[[#This Row],[Ref_Module]]&amp;CompilDonnées[[#This Row],[HarvestingDate]]</f>
        <v>137545761</v>
      </c>
    </row>
    <row r="1676" spans="1:16">
      <c r="A1676" s="5">
        <v>45720</v>
      </c>
      <c r="B1676">
        <v>137</v>
      </c>
      <c r="C1676" t="s">
        <v>3</v>
      </c>
      <c r="D1676">
        <v>6</v>
      </c>
      <c r="E1676">
        <v>60</v>
      </c>
      <c r="F1676" t="s">
        <v>105</v>
      </c>
      <c r="G1676" s="6">
        <v>45761</v>
      </c>
      <c r="H1676">
        <v>41</v>
      </c>
      <c r="I1676">
        <f>ROUND(CompilDonnées[[#This Row],[CultureDuration_days]]/7,0)</f>
        <v>6</v>
      </c>
      <c r="J1676">
        <v>950</v>
      </c>
      <c r="K1676" t="str">
        <f>_xlfn.CONCAT(WEEKNUM(CompilDonnées[[#This Row],[PlantationDate]]), " ", YEAR(CompilDonnées[[#This Row],[PlantationDate]]))</f>
        <v>10 2025</v>
      </c>
      <c r="L1676" t="str">
        <f>CONCATENATE(MONTH(CompilDonnées[[#This Row],[PlantationDate]])," ", YEAR(CompilDonnées[[#This Row],[PlantationDate]]))</f>
        <v>3 2025</v>
      </c>
      <c r="M1676" t="str">
        <f>CONCATENATE(MONTH(CompilDonnées[[#This Row],[HarvestingDate]])," ", YEAR(CompilDonnées[[#This Row],[HarvestingDate]]))</f>
        <v>4 2025</v>
      </c>
      <c r="N1676">
        <f>_xlfn.NUMBERVALUE(CompilDonnées[[#This Row],[FarmID]]&amp;CompilDonnées[[#This Row],[ModuleNumber]]&amp;CompilDonnées[[#This Row],[PlantationDate]])</f>
        <v>137645720</v>
      </c>
      <c r="O1676" t="str">
        <f>CompilDonnées[[#This Row],[FarmID]]&amp;CompilDonnées[[#This Row],[ModuleNumber]]</f>
        <v>1376</v>
      </c>
      <c r="P1676" t="str">
        <f>CompilDonnées[[#This Row],[Ref_Module]]&amp;CompilDonnées[[#This Row],[HarvestingDate]]</f>
        <v>137645761</v>
      </c>
    </row>
    <row r="1677" spans="1:16">
      <c r="A1677" s="5">
        <v>45720</v>
      </c>
      <c r="B1677">
        <v>138</v>
      </c>
      <c r="C1677" t="s">
        <v>8</v>
      </c>
      <c r="D1677">
        <v>4</v>
      </c>
      <c r="E1677">
        <v>100</v>
      </c>
      <c r="F1677" t="s">
        <v>1</v>
      </c>
      <c r="G1677" s="6">
        <v>45758</v>
      </c>
      <c r="H1677">
        <v>38</v>
      </c>
      <c r="I1677">
        <f>ROUND(CompilDonnées[[#This Row],[CultureDuration_days]]/7,0)</f>
        <v>5</v>
      </c>
      <c r="J1677">
        <v>2475</v>
      </c>
      <c r="K1677" t="str">
        <f>_xlfn.CONCAT(WEEKNUM(CompilDonnées[[#This Row],[PlantationDate]]), " ", YEAR(CompilDonnées[[#This Row],[PlantationDate]]))</f>
        <v>10 2025</v>
      </c>
      <c r="L1677" t="str">
        <f>CONCATENATE(MONTH(CompilDonnées[[#This Row],[PlantationDate]])," ", YEAR(CompilDonnées[[#This Row],[PlantationDate]]))</f>
        <v>3 2025</v>
      </c>
      <c r="M1677" t="str">
        <f>CONCATENATE(MONTH(CompilDonnées[[#This Row],[HarvestingDate]])," ", YEAR(CompilDonnées[[#This Row],[HarvestingDate]]))</f>
        <v>4 2025</v>
      </c>
      <c r="N1677">
        <f>_xlfn.NUMBERVALUE(CompilDonnées[[#This Row],[FarmID]]&amp;CompilDonnées[[#This Row],[ModuleNumber]]&amp;CompilDonnées[[#This Row],[PlantationDate]])</f>
        <v>138445720</v>
      </c>
      <c r="O1677" t="str">
        <f>CompilDonnées[[#This Row],[FarmID]]&amp;CompilDonnées[[#This Row],[ModuleNumber]]</f>
        <v>1384</v>
      </c>
      <c r="P1677" t="str">
        <f>CompilDonnées[[#This Row],[Ref_Module]]&amp;CompilDonnées[[#This Row],[HarvestingDate]]</f>
        <v>138445758</v>
      </c>
    </row>
    <row r="1678" spans="1:16">
      <c r="A1678" s="5">
        <v>45720</v>
      </c>
      <c r="B1678">
        <v>28</v>
      </c>
      <c r="C1678" t="s">
        <v>77</v>
      </c>
      <c r="D1678">
        <v>2</v>
      </c>
      <c r="E1678">
        <v>100</v>
      </c>
      <c r="F1678" t="s">
        <v>1</v>
      </c>
      <c r="G1678" s="6">
        <v>45765</v>
      </c>
      <c r="H1678">
        <v>45</v>
      </c>
      <c r="I1678">
        <f>ROUND(CompilDonnées[[#This Row],[CultureDuration_days]]/7,0)</f>
        <v>6</v>
      </c>
      <c r="J1678">
        <v>3040</v>
      </c>
      <c r="K1678" t="str">
        <f>_xlfn.CONCAT(WEEKNUM(CompilDonnées[[#This Row],[PlantationDate]]), " ", YEAR(CompilDonnées[[#This Row],[PlantationDate]]))</f>
        <v>10 2025</v>
      </c>
      <c r="L1678" t="str">
        <f>CONCATENATE(MONTH(CompilDonnées[[#This Row],[PlantationDate]])," ", YEAR(CompilDonnées[[#This Row],[PlantationDate]]))</f>
        <v>3 2025</v>
      </c>
      <c r="M1678" t="str">
        <f>CONCATENATE(MONTH(CompilDonnées[[#This Row],[HarvestingDate]])," ", YEAR(CompilDonnées[[#This Row],[HarvestingDate]]))</f>
        <v>4 2025</v>
      </c>
      <c r="N1678">
        <f>_xlfn.NUMBERVALUE(CompilDonnées[[#This Row],[FarmID]]&amp;CompilDonnées[[#This Row],[ModuleNumber]]&amp;CompilDonnées[[#This Row],[PlantationDate]])</f>
        <v>28245720</v>
      </c>
      <c r="O1678" t="str">
        <f>CompilDonnées[[#This Row],[FarmID]]&amp;CompilDonnées[[#This Row],[ModuleNumber]]</f>
        <v>282</v>
      </c>
      <c r="P1678" t="str">
        <f>CompilDonnées[[#This Row],[Ref_Module]]&amp;CompilDonnées[[#This Row],[HarvestingDate]]</f>
        <v>28245765</v>
      </c>
    </row>
    <row r="1679" spans="1:16">
      <c r="A1679" s="5">
        <v>45721</v>
      </c>
      <c r="B1679">
        <v>47</v>
      </c>
      <c r="C1679" t="s">
        <v>12</v>
      </c>
      <c r="D1679">
        <v>2</v>
      </c>
      <c r="E1679">
        <v>100</v>
      </c>
      <c r="F1679" t="s">
        <v>1</v>
      </c>
      <c r="G1679" s="6">
        <v>45764</v>
      </c>
      <c r="H1679">
        <v>43</v>
      </c>
      <c r="I1679">
        <f>ROUND(CompilDonnées[[#This Row],[CultureDuration_days]]/7,0)</f>
        <v>6</v>
      </c>
      <c r="J1679">
        <v>3197</v>
      </c>
      <c r="K1679" t="str">
        <f>_xlfn.CONCAT(WEEKNUM(CompilDonnées[[#This Row],[PlantationDate]]), " ", YEAR(CompilDonnées[[#This Row],[PlantationDate]]))</f>
        <v>10 2025</v>
      </c>
      <c r="L1679" t="str">
        <f>CONCATENATE(MONTH(CompilDonnées[[#This Row],[PlantationDate]])," ", YEAR(CompilDonnées[[#This Row],[PlantationDate]]))</f>
        <v>3 2025</v>
      </c>
      <c r="M1679" t="str">
        <f>CONCATENATE(MONTH(CompilDonnées[[#This Row],[HarvestingDate]])," ", YEAR(CompilDonnées[[#This Row],[HarvestingDate]]))</f>
        <v>4 2025</v>
      </c>
      <c r="N1679">
        <f>_xlfn.NUMBERVALUE(CompilDonnées[[#This Row],[FarmID]]&amp;CompilDonnées[[#This Row],[ModuleNumber]]&amp;CompilDonnées[[#This Row],[PlantationDate]])</f>
        <v>47245721</v>
      </c>
      <c r="O1679" t="str">
        <f>CompilDonnées[[#This Row],[FarmID]]&amp;CompilDonnées[[#This Row],[ModuleNumber]]</f>
        <v>472</v>
      </c>
      <c r="P1679" t="str">
        <f>CompilDonnées[[#This Row],[Ref_Module]]&amp;CompilDonnées[[#This Row],[HarvestingDate]]</f>
        <v>47245764</v>
      </c>
    </row>
    <row r="1680" spans="1:16">
      <c r="A1680" s="5">
        <v>45721</v>
      </c>
      <c r="B1680">
        <v>54</v>
      </c>
      <c r="C1680" t="s">
        <v>39</v>
      </c>
      <c r="D1680">
        <v>2</v>
      </c>
      <c r="E1680">
        <v>100</v>
      </c>
      <c r="F1680" t="s">
        <v>1</v>
      </c>
      <c r="G1680" s="6">
        <v>45763</v>
      </c>
      <c r="H1680">
        <v>42</v>
      </c>
      <c r="I1680">
        <f>ROUND(CompilDonnées[[#This Row],[CultureDuration_days]]/7,0)</f>
        <v>6</v>
      </c>
      <c r="J1680">
        <v>3017</v>
      </c>
      <c r="K1680" t="str">
        <f>_xlfn.CONCAT(WEEKNUM(CompilDonnées[[#This Row],[PlantationDate]]), " ", YEAR(CompilDonnées[[#This Row],[PlantationDate]]))</f>
        <v>10 2025</v>
      </c>
      <c r="L1680" t="str">
        <f>CONCATENATE(MONTH(CompilDonnées[[#This Row],[PlantationDate]])," ", YEAR(CompilDonnées[[#This Row],[PlantationDate]]))</f>
        <v>3 2025</v>
      </c>
      <c r="M1680" t="str">
        <f>CONCATENATE(MONTH(CompilDonnées[[#This Row],[HarvestingDate]])," ", YEAR(CompilDonnées[[#This Row],[HarvestingDate]]))</f>
        <v>4 2025</v>
      </c>
      <c r="N1680">
        <f>_xlfn.NUMBERVALUE(CompilDonnées[[#This Row],[FarmID]]&amp;CompilDonnées[[#This Row],[ModuleNumber]]&amp;CompilDonnées[[#This Row],[PlantationDate]])</f>
        <v>54245721</v>
      </c>
      <c r="O1680" t="str">
        <f>CompilDonnées[[#This Row],[FarmID]]&amp;CompilDonnées[[#This Row],[ModuleNumber]]</f>
        <v>542</v>
      </c>
      <c r="P1680" t="str">
        <f>CompilDonnées[[#This Row],[Ref_Module]]&amp;CompilDonnées[[#This Row],[HarvestingDate]]</f>
        <v>54245763</v>
      </c>
    </row>
    <row r="1681" spans="1:16">
      <c r="A1681" s="5">
        <v>45721</v>
      </c>
      <c r="B1681">
        <v>55</v>
      </c>
      <c r="C1681" t="s">
        <v>60</v>
      </c>
      <c r="D1681">
        <v>4</v>
      </c>
      <c r="E1681">
        <v>100</v>
      </c>
      <c r="F1681" t="s">
        <v>1</v>
      </c>
      <c r="G1681" s="6">
        <v>45762</v>
      </c>
      <c r="H1681">
        <v>41</v>
      </c>
      <c r="I1681">
        <f>ROUND(CompilDonnées[[#This Row],[CultureDuration_days]]/7,0)</f>
        <v>6</v>
      </c>
      <c r="J1681">
        <v>3142</v>
      </c>
      <c r="K1681" t="str">
        <f>_xlfn.CONCAT(WEEKNUM(CompilDonnées[[#This Row],[PlantationDate]]), " ", YEAR(CompilDonnées[[#This Row],[PlantationDate]]))</f>
        <v>10 2025</v>
      </c>
      <c r="L1681" t="str">
        <f>CONCATENATE(MONTH(CompilDonnées[[#This Row],[PlantationDate]])," ", YEAR(CompilDonnées[[#This Row],[PlantationDate]]))</f>
        <v>3 2025</v>
      </c>
      <c r="M1681" t="str">
        <f>CONCATENATE(MONTH(CompilDonnées[[#This Row],[HarvestingDate]])," ", YEAR(CompilDonnées[[#This Row],[HarvestingDate]]))</f>
        <v>4 2025</v>
      </c>
      <c r="N1681">
        <f>_xlfn.NUMBERVALUE(CompilDonnées[[#This Row],[FarmID]]&amp;CompilDonnées[[#This Row],[ModuleNumber]]&amp;CompilDonnées[[#This Row],[PlantationDate]])</f>
        <v>55445721</v>
      </c>
      <c r="O1681" t="str">
        <f>CompilDonnées[[#This Row],[FarmID]]&amp;CompilDonnées[[#This Row],[ModuleNumber]]</f>
        <v>554</v>
      </c>
      <c r="P1681" t="str">
        <f>CompilDonnées[[#This Row],[Ref_Module]]&amp;CompilDonnées[[#This Row],[HarvestingDate]]</f>
        <v>55445762</v>
      </c>
    </row>
    <row r="1682" spans="1:16">
      <c r="A1682" s="5">
        <v>45721</v>
      </c>
      <c r="B1682">
        <v>55</v>
      </c>
      <c r="C1682" t="s">
        <v>60</v>
      </c>
      <c r="D1682">
        <v>5</v>
      </c>
      <c r="E1682">
        <v>100</v>
      </c>
      <c r="F1682" t="s">
        <v>1</v>
      </c>
      <c r="G1682" s="6">
        <v>45762</v>
      </c>
      <c r="H1682">
        <v>41</v>
      </c>
      <c r="I1682">
        <f>ROUND(CompilDonnées[[#This Row],[CultureDuration_days]]/7,0)</f>
        <v>6</v>
      </c>
      <c r="J1682">
        <v>3141</v>
      </c>
      <c r="K1682" t="str">
        <f>_xlfn.CONCAT(WEEKNUM(CompilDonnées[[#This Row],[PlantationDate]]), " ", YEAR(CompilDonnées[[#This Row],[PlantationDate]]))</f>
        <v>10 2025</v>
      </c>
      <c r="L1682" t="str">
        <f>CONCATENATE(MONTH(CompilDonnées[[#This Row],[PlantationDate]])," ", YEAR(CompilDonnées[[#This Row],[PlantationDate]]))</f>
        <v>3 2025</v>
      </c>
      <c r="M1682" t="str">
        <f>CONCATENATE(MONTH(CompilDonnées[[#This Row],[HarvestingDate]])," ", YEAR(CompilDonnées[[#This Row],[HarvestingDate]]))</f>
        <v>4 2025</v>
      </c>
      <c r="N1682">
        <f>_xlfn.NUMBERVALUE(CompilDonnées[[#This Row],[FarmID]]&amp;CompilDonnées[[#This Row],[ModuleNumber]]&amp;CompilDonnées[[#This Row],[PlantationDate]])</f>
        <v>55545721</v>
      </c>
      <c r="O1682" t="str">
        <f>CompilDonnées[[#This Row],[FarmID]]&amp;CompilDonnées[[#This Row],[ModuleNumber]]</f>
        <v>555</v>
      </c>
      <c r="P1682" t="str">
        <f>CompilDonnées[[#This Row],[Ref_Module]]&amp;CompilDonnées[[#This Row],[HarvestingDate]]</f>
        <v>55545762</v>
      </c>
    </row>
    <row r="1683" spans="1:16">
      <c r="A1683" s="5">
        <v>45721</v>
      </c>
      <c r="B1683">
        <v>60</v>
      </c>
      <c r="C1683" t="s">
        <v>113</v>
      </c>
      <c r="D1683">
        <v>2</v>
      </c>
      <c r="E1683">
        <v>100</v>
      </c>
      <c r="F1683" t="s">
        <v>1</v>
      </c>
      <c r="G1683" s="6">
        <v>45762</v>
      </c>
      <c r="H1683">
        <v>41</v>
      </c>
      <c r="I1683">
        <f>ROUND(CompilDonnées[[#This Row],[CultureDuration_days]]/7,0)</f>
        <v>6</v>
      </c>
      <c r="J1683">
        <v>3250</v>
      </c>
      <c r="K1683" t="str">
        <f>_xlfn.CONCAT(WEEKNUM(CompilDonnées[[#This Row],[PlantationDate]]), " ", YEAR(CompilDonnées[[#This Row],[PlantationDate]]))</f>
        <v>10 2025</v>
      </c>
      <c r="L1683" t="str">
        <f>CONCATENATE(MONTH(CompilDonnées[[#This Row],[PlantationDate]])," ", YEAR(CompilDonnées[[#This Row],[PlantationDate]]))</f>
        <v>3 2025</v>
      </c>
      <c r="M1683" t="str">
        <f>CONCATENATE(MONTH(CompilDonnées[[#This Row],[HarvestingDate]])," ", YEAR(CompilDonnées[[#This Row],[HarvestingDate]]))</f>
        <v>4 2025</v>
      </c>
      <c r="N1683">
        <f>_xlfn.NUMBERVALUE(CompilDonnées[[#This Row],[FarmID]]&amp;CompilDonnées[[#This Row],[ModuleNumber]]&amp;CompilDonnées[[#This Row],[PlantationDate]])</f>
        <v>60245721</v>
      </c>
      <c r="O1683" t="str">
        <f>CompilDonnées[[#This Row],[FarmID]]&amp;CompilDonnées[[#This Row],[ModuleNumber]]</f>
        <v>602</v>
      </c>
      <c r="P1683" t="str">
        <f>CompilDonnées[[#This Row],[Ref_Module]]&amp;CompilDonnées[[#This Row],[HarvestingDate]]</f>
        <v>60245762</v>
      </c>
    </row>
    <row r="1684" spans="1:16">
      <c r="A1684" s="5">
        <v>45721</v>
      </c>
      <c r="B1684">
        <v>72</v>
      </c>
      <c r="C1684" t="s">
        <v>49</v>
      </c>
      <c r="D1684">
        <v>5</v>
      </c>
      <c r="E1684">
        <v>100</v>
      </c>
      <c r="F1684" t="s">
        <v>1</v>
      </c>
      <c r="G1684" s="6">
        <v>45762</v>
      </c>
      <c r="H1684">
        <v>41</v>
      </c>
      <c r="I1684">
        <f>ROUND(CompilDonnées[[#This Row],[CultureDuration_days]]/7,0)</f>
        <v>6</v>
      </c>
      <c r="J1684">
        <v>3238</v>
      </c>
      <c r="K1684" t="str">
        <f>_xlfn.CONCAT(WEEKNUM(CompilDonnées[[#This Row],[PlantationDate]]), " ", YEAR(CompilDonnées[[#This Row],[PlantationDate]]))</f>
        <v>10 2025</v>
      </c>
      <c r="L1684" t="str">
        <f>CONCATENATE(MONTH(CompilDonnées[[#This Row],[PlantationDate]])," ", YEAR(CompilDonnées[[#This Row],[PlantationDate]]))</f>
        <v>3 2025</v>
      </c>
      <c r="M1684" t="str">
        <f>CONCATENATE(MONTH(CompilDonnées[[#This Row],[HarvestingDate]])," ", YEAR(CompilDonnées[[#This Row],[HarvestingDate]]))</f>
        <v>4 2025</v>
      </c>
      <c r="N1684">
        <f>_xlfn.NUMBERVALUE(CompilDonnées[[#This Row],[FarmID]]&amp;CompilDonnées[[#This Row],[ModuleNumber]]&amp;CompilDonnées[[#This Row],[PlantationDate]])</f>
        <v>72545721</v>
      </c>
      <c r="O1684" t="str">
        <f>CompilDonnées[[#This Row],[FarmID]]&amp;CompilDonnées[[#This Row],[ModuleNumber]]</f>
        <v>725</v>
      </c>
      <c r="P1684" t="str">
        <f>CompilDonnées[[#This Row],[Ref_Module]]&amp;CompilDonnées[[#This Row],[HarvestingDate]]</f>
        <v>72545762</v>
      </c>
    </row>
    <row r="1685" spans="1:16">
      <c r="A1685" s="5">
        <v>45721</v>
      </c>
      <c r="B1685">
        <v>73</v>
      </c>
      <c r="C1685" t="s">
        <v>20</v>
      </c>
      <c r="D1685">
        <v>2</v>
      </c>
      <c r="E1685">
        <v>100</v>
      </c>
      <c r="F1685" t="s">
        <v>1</v>
      </c>
      <c r="G1685" s="6">
        <v>45763</v>
      </c>
      <c r="H1685">
        <v>42</v>
      </c>
      <c r="I1685">
        <f>ROUND(CompilDonnées[[#This Row],[CultureDuration_days]]/7,0)</f>
        <v>6</v>
      </c>
      <c r="J1685">
        <v>3175</v>
      </c>
      <c r="K1685" t="str">
        <f>_xlfn.CONCAT(WEEKNUM(CompilDonnées[[#This Row],[PlantationDate]]), " ", YEAR(CompilDonnées[[#This Row],[PlantationDate]]))</f>
        <v>10 2025</v>
      </c>
      <c r="L1685" t="str">
        <f>CONCATENATE(MONTH(CompilDonnées[[#This Row],[PlantationDate]])," ", YEAR(CompilDonnées[[#This Row],[PlantationDate]]))</f>
        <v>3 2025</v>
      </c>
      <c r="M1685" t="str">
        <f>CONCATENATE(MONTH(CompilDonnées[[#This Row],[HarvestingDate]])," ", YEAR(CompilDonnées[[#This Row],[HarvestingDate]]))</f>
        <v>4 2025</v>
      </c>
      <c r="N1685">
        <f>_xlfn.NUMBERVALUE(CompilDonnées[[#This Row],[FarmID]]&amp;CompilDonnées[[#This Row],[ModuleNumber]]&amp;CompilDonnées[[#This Row],[PlantationDate]])</f>
        <v>73245721</v>
      </c>
      <c r="O1685" t="str">
        <f>CompilDonnées[[#This Row],[FarmID]]&amp;CompilDonnées[[#This Row],[ModuleNumber]]</f>
        <v>732</v>
      </c>
      <c r="P1685" t="str">
        <f>CompilDonnées[[#This Row],[Ref_Module]]&amp;CompilDonnées[[#This Row],[HarvestingDate]]</f>
        <v>73245763</v>
      </c>
    </row>
    <row r="1686" spans="1:16">
      <c r="A1686" s="5">
        <v>45721</v>
      </c>
      <c r="B1686">
        <v>74</v>
      </c>
      <c r="C1686" t="s">
        <v>21</v>
      </c>
      <c r="D1686">
        <v>3</v>
      </c>
      <c r="E1686">
        <v>100</v>
      </c>
      <c r="F1686" t="s">
        <v>1</v>
      </c>
      <c r="G1686" s="6">
        <v>45762</v>
      </c>
      <c r="H1686">
        <v>41</v>
      </c>
      <c r="I1686">
        <f>ROUND(CompilDonnées[[#This Row],[CultureDuration_days]]/7,0)</f>
        <v>6</v>
      </c>
      <c r="J1686">
        <v>2523</v>
      </c>
      <c r="K1686" t="str">
        <f>_xlfn.CONCAT(WEEKNUM(CompilDonnées[[#This Row],[PlantationDate]]), " ", YEAR(CompilDonnées[[#This Row],[PlantationDate]]))</f>
        <v>10 2025</v>
      </c>
      <c r="L1686" t="str">
        <f>CONCATENATE(MONTH(CompilDonnées[[#This Row],[PlantationDate]])," ", YEAR(CompilDonnées[[#This Row],[PlantationDate]]))</f>
        <v>3 2025</v>
      </c>
      <c r="M1686" t="str">
        <f>CONCATENATE(MONTH(CompilDonnées[[#This Row],[HarvestingDate]])," ", YEAR(CompilDonnées[[#This Row],[HarvestingDate]]))</f>
        <v>4 2025</v>
      </c>
      <c r="N1686">
        <f>_xlfn.NUMBERVALUE(CompilDonnées[[#This Row],[FarmID]]&amp;CompilDonnées[[#This Row],[ModuleNumber]]&amp;CompilDonnées[[#This Row],[PlantationDate]])</f>
        <v>74345721</v>
      </c>
      <c r="O1686" t="str">
        <f>CompilDonnées[[#This Row],[FarmID]]&amp;CompilDonnées[[#This Row],[ModuleNumber]]</f>
        <v>743</v>
      </c>
      <c r="P1686" t="str">
        <f>CompilDonnées[[#This Row],[Ref_Module]]&amp;CompilDonnées[[#This Row],[HarvestingDate]]</f>
        <v>74345762</v>
      </c>
    </row>
    <row r="1687" spans="1:16">
      <c r="A1687" s="5">
        <v>45721</v>
      </c>
      <c r="B1687">
        <v>75</v>
      </c>
      <c r="C1687" t="s">
        <v>3</v>
      </c>
      <c r="D1687">
        <v>1</v>
      </c>
      <c r="E1687">
        <v>60</v>
      </c>
      <c r="F1687" t="s">
        <v>105</v>
      </c>
      <c r="G1687" s="6">
        <v>45769</v>
      </c>
      <c r="H1687">
        <v>48</v>
      </c>
      <c r="I1687">
        <f>ROUND(CompilDonnées[[#This Row],[CultureDuration_days]]/7,0)</f>
        <v>7</v>
      </c>
      <c r="J1687">
        <v>1030</v>
      </c>
      <c r="K1687" t="str">
        <f>_xlfn.CONCAT(WEEKNUM(CompilDonnées[[#This Row],[PlantationDate]]), " ", YEAR(CompilDonnées[[#This Row],[PlantationDate]]))</f>
        <v>10 2025</v>
      </c>
      <c r="L1687" t="str">
        <f>CONCATENATE(MONTH(CompilDonnées[[#This Row],[PlantationDate]])," ", YEAR(CompilDonnées[[#This Row],[PlantationDate]]))</f>
        <v>3 2025</v>
      </c>
      <c r="M1687" t="str">
        <f>CONCATENATE(MONTH(CompilDonnées[[#This Row],[HarvestingDate]])," ", YEAR(CompilDonnées[[#This Row],[HarvestingDate]]))</f>
        <v>4 2025</v>
      </c>
      <c r="N1687">
        <f>_xlfn.NUMBERVALUE(CompilDonnées[[#This Row],[FarmID]]&amp;CompilDonnées[[#This Row],[ModuleNumber]]&amp;CompilDonnées[[#This Row],[PlantationDate]])</f>
        <v>75145721</v>
      </c>
      <c r="O1687" t="str">
        <f>CompilDonnées[[#This Row],[FarmID]]&amp;CompilDonnées[[#This Row],[ModuleNumber]]</f>
        <v>751</v>
      </c>
      <c r="P1687" t="str">
        <f>CompilDonnées[[#This Row],[Ref_Module]]&amp;CompilDonnées[[#This Row],[HarvestingDate]]</f>
        <v>75145769</v>
      </c>
    </row>
    <row r="1688" spans="1:16">
      <c r="A1688" s="5">
        <v>45721</v>
      </c>
      <c r="B1688">
        <v>75</v>
      </c>
      <c r="C1688" t="s">
        <v>3</v>
      </c>
      <c r="D1688">
        <v>2</v>
      </c>
      <c r="E1688">
        <v>60</v>
      </c>
      <c r="F1688" t="s">
        <v>105</v>
      </c>
      <c r="G1688" s="6">
        <v>45769</v>
      </c>
      <c r="H1688">
        <v>48</v>
      </c>
      <c r="I1688">
        <f>ROUND(CompilDonnées[[#This Row],[CultureDuration_days]]/7,0)</f>
        <v>7</v>
      </c>
      <c r="J1688">
        <v>1042</v>
      </c>
      <c r="K1688" t="str">
        <f>_xlfn.CONCAT(WEEKNUM(CompilDonnées[[#This Row],[PlantationDate]]), " ", YEAR(CompilDonnées[[#This Row],[PlantationDate]]))</f>
        <v>10 2025</v>
      </c>
      <c r="L1688" t="str">
        <f>CONCATENATE(MONTH(CompilDonnées[[#This Row],[PlantationDate]])," ", YEAR(CompilDonnées[[#This Row],[PlantationDate]]))</f>
        <v>3 2025</v>
      </c>
      <c r="M1688" t="str">
        <f>CONCATENATE(MONTH(CompilDonnées[[#This Row],[HarvestingDate]])," ", YEAR(CompilDonnées[[#This Row],[HarvestingDate]]))</f>
        <v>4 2025</v>
      </c>
      <c r="N1688">
        <f>_xlfn.NUMBERVALUE(CompilDonnées[[#This Row],[FarmID]]&amp;CompilDonnées[[#This Row],[ModuleNumber]]&amp;CompilDonnées[[#This Row],[PlantationDate]])</f>
        <v>75245721</v>
      </c>
      <c r="O1688" t="str">
        <f>CompilDonnées[[#This Row],[FarmID]]&amp;CompilDonnées[[#This Row],[ModuleNumber]]</f>
        <v>752</v>
      </c>
      <c r="P1688" t="str">
        <f>CompilDonnées[[#This Row],[Ref_Module]]&amp;CompilDonnées[[#This Row],[HarvestingDate]]</f>
        <v>75245769</v>
      </c>
    </row>
    <row r="1689" spans="1:16">
      <c r="A1689" s="5">
        <v>45721</v>
      </c>
      <c r="B1689">
        <v>75</v>
      </c>
      <c r="C1689" t="s">
        <v>3</v>
      </c>
      <c r="D1689">
        <v>3</v>
      </c>
      <c r="E1689">
        <v>60</v>
      </c>
      <c r="F1689" t="s">
        <v>105</v>
      </c>
      <c r="G1689" s="6">
        <v>45769</v>
      </c>
      <c r="H1689">
        <v>48</v>
      </c>
      <c r="I1689">
        <f>ROUND(CompilDonnées[[#This Row],[CultureDuration_days]]/7,0)</f>
        <v>7</v>
      </c>
      <c r="J1689">
        <v>958</v>
      </c>
      <c r="K1689" t="str">
        <f>_xlfn.CONCAT(WEEKNUM(CompilDonnées[[#This Row],[PlantationDate]]), " ", YEAR(CompilDonnées[[#This Row],[PlantationDate]]))</f>
        <v>10 2025</v>
      </c>
      <c r="L1689" t="str">
        <f>CONCATENATE(MONTH(CompilDonnées[[#This Row],[PlantationDate]])," ", YEAR(CompilDonnées[[#This Row],[PlantationDate]]))</f>
        <v>3 2025</v>
      </c>
      <c r="M1689" t="str">
        <f>CONCATENATE(MONTH(CompilDonnées[[#This Row],[HarvestingDate]])," ", YEAR(CompilDonnées[[#This Row],[HarvestingDate]]))</f>
        <v>4 2025</v>
      </c>
      <c r="N1689">
        <f>_xlfn.NUMBERVALUE(CompilDonnées[[#This Row],[FarmID]]&amp;CompilDonnées[[#This Row],[ModuleNumber]]&amp;CompilDonnées[[#This Row],[PlantationDate]])</f>
        <v>75345721</v>
      </c>
      <c r="O1689" t="str">
        <f>CompilDonnées[[#This Row],[FarmID]]&amp;CompilDonnées[[#This Row],[ModuleNumber]]</f>
        <v>753</v>
      </c>
      <c r="P1689" t="str">
        <f>CompilDonnées[[#This Row],[Ref_Module]]&amp;CompilDonnées[[#This Row],[HarvestingDate]]</f>
        <v>75345769</v>
      </c>
    </row>
    <row r="1690" spans="1:16">
      <c r="A1690" s="5">
        <v>45721</v>
      </c>
      <c r="B1690">
        <v>76</v>
      </c>
      <c r="C1690" t="s">
        <v>18</v>
      </c>
      <c r="D1690">
        <v>2</v>
      </c>
      <c r="E1690">
        <v>100</v>
      </c>
      <c r="F1690" t="s">
        <v>1</v>
      </c>
      <c r="G1690" s="6">
        <v>45762</v>
      </c>
      <c r="H1690">
        <v>41</v>
      </c>
      <c r="I1690">
        <f>ROUND(CompilDonnées[[#This Row],[CultureDuration_days]]/7,0)</f>
        <v>6</v>
      </c>
      <c r="J1690">
        <v>3233</v>
      </c>
      <c r="K1690" t="str">
        <f>_xlfn.CONCAT(WEEKNUM(CompilDonnées[[#This Row],[PlantationDate]]), " ", YEAR(CompilDonnées[[#This Row],[PlantationDate]]))</f>
        <v>10 2025</v>
      </c>
      <c r="L1690" t="str">
        <f>CONCATENATE(MONTH(CompilDonnées[[#This Row],[PlantationDate]])," ", YEAR(CompilDonnées[[#This Row],[PlantationDate]]))</f>
        <v>3 2025</v>
      </c>
      <c r="M1690" t="str">
        <f>CONCATENATE(MONTH(CompilDonnées[[#This Row],[HarvestingDate]])," ", YEAR(CompilDonnées[[#This Row],[HarvestingDate]]))</f>
        <v>4 2025</v>
      </c>
      <c r="N1690">
        <f>_xlfn.NUMBERVALUE(CompilDonnées[[#This Row],[FarmID]]&amp;CompilDonnées[[#This Row],[ModuleNumber]]&amp;CompilDonnées[[#This Row],[PlantationDate]])</f>
        <v>76245721</v>
      </c>
      <c r="O1690" t="str">
        <f>CompilDonnées[[#This Row],[FarmID]]&amp;CompilDonnées[[#This Row],[ModuleNumber]]</f>
        <v>762</v>
      </c>
      <c r="P1690" t="str">
        <f>CompilDonnées[[#This Row],[Ref_Module]]&amp;CompilDonnées[[#This Row],[HarvestingDate]]</f>
        <v>76245762</v>
      </c>
    </row>
    <row r="1691" spans="1:16">
      <c r="A1691" s="5">
        <v>45721</v>
      </c>
      <c r="B1691">
        <v>77</v>
      </c>
      <c r="C1691" t="s">
        <v>75</v>
      </c>
      <c r="D1691">
        <v>2</v>
      </c>
      <c r="E1691">
        <v>100</v>
      </c>
      <c r="F1691" t="s">
        <v>1</v>
      </c>
      <c r="G1691" s="6">
        <v>45762</v>
      </c>
      <c r="H1691">
        <v>41</v>
      </c>
      <c r="I1691">
        <f>ROUND(CompilDonnées[[#This Row],[CultureDuration_days]]/7,0)</f>
        <v>6</v>
      </c>
      <c r="J1691">
        <v>3409</v>
      </c>
      <c r="K1691" t="str">
        <f>_xlfn.CONCAT(WEEKNUM(CompilDonnées[[#This Row],[PlantationDate]]), " ", YEAR(CompilDonnées[[#This Row],[PlantationDate]]))</f>
        <v>10 2025</v>
      </c>
      <c r="L1691" t="str">
        <f>CONCATENATE(MONTH(CompilDonnées[[#This Row],[PlantationDate]])," ", YEAR(CompilDonnées[[#This Row],[PlantationDate]]))</f>
        <v>3 2025</v>
      </c>
      <c r="M1691" t="str">
        <f>CONCATENATE(MONTH(CompilDonnées[[#This Row],[HarvestingDate]])," ", YEAR(CompilDonnées[[#This Row],[HarvestingDate]]))</f>
        <v>4 2025</v>
      </c>
      <c r="N1691">
        <f>_xlfn.NUMBERVALUE(CompilDonnées[[#This Row],[FarmID]]&amp;CompilDonnées[[#This Row],[ModuleNumber]]&amp;CompilDonnées[[#This Row],[PlantationDate]])</f>
        <v>77245721</v>
      </c>
      <c r="O1691" t="str">
        <f>CompilDonnées[[#This Row],[FarmID]]&amp;CompilDonnées[[#This Row],[ModuleNumber]]</f>
        <v>772</v>
      </c>
      <c r="P1691" t="str">
        <f>CompilDonnées[[#This Row],[Ref_Module]]&amp;CompilDonnées[[#This Row],[HarvestingDate]]</f>
        <v>77245762</v>
      </c>
    </row>
    <row r="1692" spans="1:16">
      <c r="A1692" s="5">
        <v>45721</v>
      </c>
      <c r="B1692">
        <v>78</v>
      </c>
      <c r="C1692" t="s">
        <v>3</v>
      </c>
      <c r="D1692">
        <v>1</v>
      </c>
      <c r="E1692">
        <v>60</v>
      </c>
      <c r="F1692" t="s">
        <v>105</v>
      </c>
      <c r="G1692" s="6">
        <v>45769</v>
      </c>
      <c r="H1692">
        <v>48</v>
      </c>
      <c r="I1692">
        <f>ROUND(CompilDonnées[[#This Row],[CultureDuration_days]]/7,0)</f>
        <v>7</v>
      </c>
      <c r="J1692">
        <v>1110</v>
      </c>
      <c r="K1692" t="str">
        <f>_xlfn.CONCAT(WEEKNUM(CompilDonnées[[#This Row],[PlantationDate]]), " ", YEAR(CompilDonnées[[#This Row],[PlantationDate]]))</f>
        <v>10 2025</v>
      </c>
      <c r="L1692" t="str">
        <f>CONCATENATE(MONTH(CompilDonnées[[#This Row],[PlantationDate]])," ", YEAR(CompilDonnées[[#This Row],[PlantationDate]]))</f>
        <v>3 2025</v>
      </c>
      <c r="M1692" t="str">
        <f>CONCATENATE(MONTH(CompilDonnées[[#This Row],[HarvestingDate]])," ", YEAR(CompilDonnées[[#This Row],[HarvestingDate]]))</f>
        <v>4 2025</v>
      </c>
      <c r="N1692">
        <f>_xlfn.NUMBERVALUE(CompilDonnées[[#This Row],[FarmID]]&amp;CompilDonnées[[#This Row],[ModuleNumber]]&amp;CompilDonnées[[#This Row],[PlantationDate]])</f>
        <v>78145721</v>
      </c>
      <c r="O1692" t="str">
        <f>CompilDonnées[[#This Row],[FarmID]]&amp;CompilDonnées[[#This Row],[ModuleNumber]]</f>
        <v>781</v>
      </c>
      <c r="P1692" t="str">
        <f>CompilDonnées[[#This Row],[Ref_Module]]&amp;CompilDonnées[[#This Row],[HarvestingDate]]</f>
        <v>78145769</v>
      </c>
    </row>
    <row r="1693" spans="1:16">
      <c r="A1693" s="5">
        <v>45721</v>
      </c>
      <c r="B1693">
        <v>81</v>
      </c>
      <c r="C1693" t="s">
        <v>30</v>
      </c>
      <c r="D1693">
        <v>2</v>
      </c>
      <c r="E1693">
        <v>100</v>
      </c>
      <c r="F1693" t="s">
        <v>1</v>
      </c>
      <c r="G1693" s="6">
        <v>45771</v>
      </c>
      <c r="H1693">
        <v>50</v>
      </c>
      <c r="I1693">
        <f>ROUND(CompilDonnées[[#This Row],[CultureDuration_days]]/7,0)</f>
        <v>7</v>
      </c>
      <c r="J1693">
        <v>3293</v>
      </c>
      <c r="K1693" t="str">
        <f>_xlfn.CONCAT(WEEKNUM(CompilDonnées[[#This Row],[PlantationDate]]), " ", YEAR(CompilDonnées[[#This Row],[PlantationDate]]))</f>
        <v>10 2025</v>
      </c>
      <c r="L1693" t="str">
        <f>CONCATENATE(MONTH(CompilDonnées[[#This Row],[PlantationDate]])," ", YEAR(CompilDonnées[[#This Row],[PlantationDate]]))</f>
        <v>3 2025</v>
      </c>
      <c r="M1693" t="str">
        <f>CONCATENATE(MONTH(CompilDonnées[[#This Row],[HarvestingDate]])," ", YEAR(CompilDonnées[[#This Row],[HarvestingDate]]))</f>
        <v>4 2025</v>
      </c>
      <c r="N1693">
        <f>_xlfn.NUMBERVALUE(CompilDonnées[[#This Row],[FarmID]]&amp;CompilDonnées[[#This Row],[ModuleNumber]]&amp;CompilDonnées[[#This Row],[PlantationDate]])</f>
        <v>81245721</v>
      </c>
      <c r="O1693" t="str">
        <f>CompilDonnées[[#This Row],[FarmID]]&amp;CompilDonnées[[#This Row],[ModuleNumber]]</f>
        <v>812</v>
      </c>
      <c r="P1693" t="str">
        <f>CompilDonnées[[#This Row],[Ref_Module]]&amp;CompilDonnées[[#This Row],[HarvestingDate]]</f>
        <v>81245771</v>
      </c>
    </row>
    <row r="1694" spans="1:16">
      <c r="A1694" s="5">
        <v>45721</v>
      </c>
      <c r="B1694">
        <v>83</v>
      </c>
      <c r="C1694" t="s">
        <v>73</v>
      </c>
      <c r="D1694">
        <v>1</v>
      </c>
      <c r="E1694">
        <v>100</v>
      </c>
      <c r="F1694" t="s">
        <v>1</v>
      </c>
      <c r="G1694" s="6">
        <v>45762</v>
      </c>
      <c r="H1694">
        <v>41</v>
      </c>
      <c r="I1694">
        <f>ROUND(CompilDonnées[[#This Row],[CultureDuration_days]]/7,0)</f>
        <v>6</v>
      </c>
      <c r="J1694">
        <v>2901</v>
      </c>
      <c r="K1694" t="str">
        <f>_xlfn.CONCAT(WEEKNUM(CompilDonnées[[#This Row],[PlantationDate]]), " ", YEAR(CompilDonnées[[#This Row],[PlantationDate]]))</f>
        <v>10 2025</v>
      </c>
      <c r="L1694" t="str">
        <f>CONCATENATE(MONTH(CompilDonnées[[#This Row],[PlantationDate]])," ", YEAR(CompilDonnées[[#This Row],[PlantationDate]]))</f>
        <v>3 2025</v>
      </c>
      <c r="M1694" t="str">
        <f>CONCATENATE(MONTH(CompilDonnées[[#This Row],[HarvestingDate]])," ", YEAR(CompilDonnées[[#This Row],[HarvestingDate]]))</f>
        <v>4 2025</v>
      </c>
      <c r="N1694">
        <f>_xlfn.NUMBERVALUE(CompilDonnées[[#This Row],[FarmID]]&amp;CompilDonnées[[#This Row],[ModuleNumber]]&amp;CompilDonnées[[#This Row],[PlantationDate]])</f>
        <v>83145721</v>
      </c>
      <c r="O1694" t="str">
        <f>CompilDonnées[[#This Row],[FarmID]]&amp;CompilDonnées[[#This Row],[ModuleNumber]]</f>
        <v>831</v>
      </c>
      <c r="P1694" t="str">
        <f>CompilDonnées[[#This Row],[Ref_Module]]&amp;CompilDonnées[[#This Row],[HarvestingDate]]</f>
        <v>83145762</v>
      </c>
    </row>
    <row r="1695" spans="1:16">
      <c r="A1695" s="5">
        <v>45721</v>
      </c>
      <c r="B1695">
        <v>85</v>
      </c>
      <c r="C1695" t="s">
        <v>56</v>
      </c>
      <c r="D1695">
        <v>1</v>
      </c>
      <c r="E1695">
        <v>100</v>
      </c>
      <c r="F1695" t="s">
        <v>1</v>
      </c>
      <c r="G1695" s="6">
        <v>45762</v>
      </c>
      <c r="H1695">
        <v>41</v>
      </c>
      <c r="I1695">
        <f>ROUND(CompilDonnées[[#This Row],[CultureDuration_days]]/7,0)</f>
        <v>6</v>
      </c>
      <c r="J1695">
        <v>2644</v>
      </c>
      <c r="K1695" t="str">
        <f>_xlfn.CONCAT(WEEKNUM(CompilDonnées[[#This Row],[PlantationDate]]), " ", YEAR(CompilDonnées[[#This Row],[PlantationDate]]))</f>
        <v>10 2025</v>
      </c>
      <c r="L1695" t="str">
        <f>CONCATENATE(MONTH(CompilDonnées[[#This Row],[PlantationDate]])," ", YEAR(CompilDonnées[[#This Row],[PlantationDate]]))</f>
        <v>3 2025</v>
      </c>
      <c r="M1695" t="str">
        <f>CONCATENATE(MONTH(CompilDonnées[[#This Row],[HarvestingDate]])," ", YEAR(CompilDonnées[[#This Row],[HarvestingDate]]))</f>
        <v>4 2025</v>
      </c>
      <c r="N1695">
        <f>_xlfn.NUMBERVALUE(CompilDonnées[[#This Row],[FarmID]]&amp;CompilDonnées[[#This Row],[ModuleNumber]]&amp;CompilDonnées[[#This Row],[PlantationDate]])</f>
        <v>85145721</v>
      </c>
      <c r="O1695" t="str">
        <f>CompilDonnées[[#This Row],[FarmID]]&amp;CompilDonnées[[#This Row],[ModuleNumber]]</f>
        <v>851</v>
      </c>
      <c r="P1695" t="str">
        <f>CompilDonnées[[#This Row],[Ref_Module]]&amp;CompilDonnées[[#This Row],[HarvestingDate]]</f>
        <v>85145762</v>
      </c>
    </row>
    <row r="1696" spans="1:16">
      <c r="A1696" s="5">
        <v>45721</v>
      </c>
      <c r="B1696">
        <v>86</v>
      </c>
      <c r="C1696" t="s">
        <v>37</v>
      </c>
      <c r="D1696">
        <v>5</v>
      </c>
      <c r="E1696">
        <v>100</v>
      </c>
      <c r="F1696" t="s">
        <v>1</v>
      </c>
      <c r="G1696" s="6">
        <v>45777</v>
      </c>
      <c r="H1696">
        <v>56</v>
      </c>
      <c r="I1696">
        <f>ROUND(CompilDonnées[[#This Row],[CultureDuration_days]]/7,0)</f>
        <v>8</v>
      </c>
      <c r="J1696">
        <v>1587</v>
      </c>
      <c r="K1696" t="str">
        <f>_xlfn.CONCAT(WEEKNUM(CompilDonnées[[#This Row],[PlantationDate]]), " ", YEAR(CompilDonnées[[#This Row],[PlantationDate]]))</f>
        <v>10 2025</v>
      </c>
      <c r="L1696" t="str">
        <f>CONCATENATE(MONTH(CompilDonnées[[#This Row],[PlantationDate]])," ", YEAR(CompilDonnées[[#This Row],[PlantationDate]]))</f>
        <v>3 2025</v>
      </c>
      <c r="M1696" t="str">
        <f>CONCATENATE(MONTH(CompilDonnées[[#This Row],[HarvestingDate]])," ", YEAR(CompilDonnées[[#This Row],[HarvestingDate]]))</f>
        <v>4 2025</v>
      </c>
      <c r="N1696">
        <f>_xlfn.NUMBERVALUE(CompilDonnées[[#This Row],[FarmID]]&amp;CompilDonnées[[#This Row],[ModuleNumber]]&amp;CompilDonnées[[#This Row],[PlantationDate]])</f>
        <v>86545721</v>
      </c>
      <c r="O1696" t="str">
        <f>CompilDonnées[[#This Row],[FarmID]]&amp;CompilDonnées[[#This Row],[ModuleNumber]]</f>
        <v>865</v>
      </c>
      <c r="P1696" t="str">
        <f>CompilDonnées[[#This Row],[Ref_Module]]&amp;CompilDonnées[[#This Row],[HarvestingDate]]</f>
        <v>86545777</v>
      </c>
    </row>
    <row r="1697" spans="1:16">
      <c r="A1697" s="5">
        <v>45721</v>
      </c>
      <c r="B1697">
        <v>91</v>
      </c>
      <c r="C1697" t="s">
        <v>9</v>
      </c>
      <c r="D1697">
        <v>6</v>
      </c>
      <c r="E1697">
        <v>100</v>
      </c>
      <c r="F1697" t="s">
        <v>1</v>
      </c>
      <c r="G1697" s="6">
        <v>45771</v>
      </c>
      <c r="H1697">
        <v>50</v>
      </c>
      <c r="I1697">
        <f>ROUND(CompilDonnées[[#This Row],[CultureDuration_days]]/7,0)</f>
        <v>7</v>
      </c>
      <c r="J1697">
        <v>3429</v>
      </c>
      <c r="K1697" t="str">
        <f>_xlfn.CONCAT(WEEKNUM(CompilDonnées[[#This Row],[PlantationDate]]), " ", YEAR(CompilDonnées[[#This Row],[PlantationDate]]))</f>
        <v>10 2025</v>
      </c>
      <c r="L1697" t="str">
        <f>CONCATENATE(MONTH(CompilDonnées[[#This Row],[PlantationDate]])," ", YEAR(CompilDonnées[[#This Row],[PlantationDate]]))</f>
        <v>3 2025</v>
      </c>
      <c r="M1697" t="str">
        <f>CONCATENATE(MONTH(CompilDonnées[[#This Row],[HarvestingDate]])," ", YEAR(CompilDonnées[[#This Row],[HarvestingDate]]))</f>
        <v>4 2025</v>
      </c>
      <c r="N1697">
        <f>_xlfn.NUMBERVALUE(CompilDonnées[[#This Row],[FarmID]]&amp;CompilDonnées[[#This Row],[ModuleNumber]]&amp;CompilDonnées[[#This Row],[PlantationDate]])</f>
        <v>91645721</v>
      </c>
      <c r="O1697" t="str">
        <f>CompilDonnées[[#This Row],[FarmID]]&amp;CompilDonnées[[#This Row],[ModuleNumber]]</f>
        <v>916</v>
      </c>
      <c r="P1697" t="str">
        <f>CompilDonnées[[#This Row],[Ref_Module]]&amp;CompilDonnées[[#This Row],[HarvestingDate]]</f>
        <v>91645771</v>
      </c>
    </row>
    <row r="1698" spans="1:16">
      <c r="A1698" s="5">
        <v>45721</v>
      </c>
      <c r="B1698">
        <v>98</v>
      </c>
      <c r="C1698" t="s">
        <v>79</v>
      </c>
      <c r="D1698">
        <v>5</v>
      </c>
      <c r="E1698">
        <v>100</v>
      </c>
      <c r="F1698" t="s">
        <v>1</v>
      </c>
      <c r="G1698" s="6">
        <v>45761</v>
      </c>
      <c r="H1698">
        <v>40</v>
      </c>
      <c r="I1698">
        <f>ROUND(CompilDonnées[[#This Row],[CultureDuration_days]]/7,0)</f>
        <v>6</v>
      </c>
      <c r="J1698">
        <v>3147</v>
      </c>
      <c r="K1698" t="str">
        <f>_xlfn.CONCAT(WEEKNUM(CompilDonnées[[#This Row],[PlantationDate]]), " ", YEAR(CompilDonnées[[#This Row],[PlantationDate]]))</f>
        <v>10 2025</v>
      </c>
      <c r="L1698" t="str">
        <f>CONCATENATE(MONTH(CompilDonnées[[#This Row],[PlantationDate]])," ", YEAR(CompilDonnées[[#This Row],[PlantationDate]]))</f>
        <v>3 2025</v>
      </c>
      <c r="M1698" t="str">
        <f>CONCATENATE(MONTH(CompilDonnées[[#This Row],[HarvestingDate]])," ", YEAR(CompilDonnées[[#This Row],[HarvestingDate]]))</f>
        <v>4 2025</v>
      </c>
      <c r="N1698">
        <f>_xlfn.NUMBERVALUE(CompilDonnées[[#This Row],[FarmID]]&amp;CompilDonnées[[#This Row],[ModuleNumber]]&amp;CompilDonnées[[#This Row],[PlantationDate]])</f>
        <v>98545721</v>
      </c>
      <c r="O1698" t="str">
        <f>CompilDonnées[[#This Row],[FarmID]]&amp;CompilDonnées[[#This Row],[ModuleNumber]]</f>
        <v>985</v>
      </c>
      <c r="P1698" t="str">
        <f>CompilDonnées[[#This Row],[Ref_Module]]&amp;CompilDonnées[[#This Row],[HarvestingDate]]</f>
        <v>98545761</v>
      </c>
    </row>
    <row r="1699" spans="1:16">
      <c r="A1699" s="5">
        <v>45721</v>
      </c>
      <c r="B1699">
        <v>102</v>
      </c>
      <c r="C1699" t="s">
        <v>85</v>
      </c>
      <c r="D1699">
        <v>6</v>
      </c>
      <c r="E1699">
        <v>100</v>
      </c>
      <c r="F1699" t="s">
        <v>1</v>
      </c>
      <c r="G1699" s="6">
        <v>45761</v>
      </c>
      <c r="H1699">
        <v>40</v>
      </c>
      <c r="I1699">
        <f>ROUND(CompilDonnées[[#This Row],[CultureDuration_days]]/7,0)</f>
        <v>6</v>
      </c>
      <c r="J1699">
        <v>2856</v>
      </c>
      <c r="K1699" t="str">
        <f>_xlfn.CONCAT(WEEKNUM(CompilDonnées[[#This Row],[PlantationDate]]), " ", YEAR(CompilDonnées[[#This Row],[PlantationDate]]))</f>
        <v>10 2025</v>
      </c>
      <c r="L1699" t="str">
        <f>CONCATENATE(MONTH(CompilDonnées[[#This Row],[PlantationDate]])," ", YEAR(CompilDonnées[[#This Row],[PlantationDate]]))</f>
        <v>3 2025</v>
      </c>
      <c r="M1699" t="str">
        <f>CONCATENATE(MONTH(CompilDonnées[[#This Row],[HarvestingDate]])," ", YEAR(CompilDonnées[[#This Row],[HarvestingDate]]))</f>
        <v>4 2025</v>
      </c>
      <c r="N1699">
        <f>_xlfn.NUMBERVALUE(CompilDonnées[[#This Row],[FarmID]]&amp;CompilDonnées[[#This Row],[ModuleNumber]]&amp;CompilDonnées[[#This Row],[PlantationDate]])</f>
        <v>102645721</v>
      </c>
      <c r="O1699" t="str">
        <f>CompilDonnées[[#This Row],[FarmID]]&amp;CompilDonnées[[#This Row],[ModuleNumber]]</f>
        <v>1026</v>
      </c>
      <c r="P1699" t="str">
        <f>CompilDonnées[[#This Row],[Ref_Module]]&amp;CompilDonnées[[#This Row],[HarvestingDate]]</f>
        <v>102645761</v>
      </c>
    </row>
    <row r="1700" spans="1:16">
      <c r="A1700" s="5">
        <v>45721</v>
      </c>
      <c r="B1700">
        <v>106</v>
      </c>
      <c r="C1700" t="s">
        <v>22</v>
      </c>
      <c r="D1700">
        <v>1</v>
      </c>
      <c r="E1700">
        <v>100</v>
      </c>
      <c r="F1700" t="s">
        <v>1</v>
      </c>
      <c r="G1700" s="6">
        <v>45761</v>
      </c>
      <c r="H1700">
        <v>40</v>
      </c>
      <c r="I1700">
        <f>ROUND(CompilDonnées[[#This Row],[CultureDuration_days]]/7,0)</f>
        <v>6</v>
      </c>
      <c r="J1700">
        <v>2551</v>
      </c>
      <c r="K1700" t="str">
        <f>_xlfn.CONCAT(WEEKNUM(CompilDonnées[[#This Row],[PlantationDate]]), " ", YEAR(CompilDonnées[[#This Row],[PlantationDate]]))</f>
        <v>10 2025</v>
      </c>
      <c r="L1700" t="str">
        <f>CONCATENATE(MONTH(CompilDonnées[[#This Row],[PlantationDate]])," ", YEAR(CompilDonnées[[#This Row],[PlantationDate]]))</f>
        <v>3 2025</v>
      </c>
      <c r="M1700" t="str">
        <f>CONCATENATE(MONTH(CompilDonnées[[#This Row],[HarvestingDate]])," ", YEAR(CompilDonnées[[#This Row],[HarvestingDate]]))</f>
        <v>4 2025</v>
      </c>
      <c r="N1700">
        <f>_xlfn.NUMBERVALUE(CompilDonnées[[#This Row],[FarmID]]&amp;CompilDonnées[[#This Row],[ModuleNumber]]&amp;CompilDonnées[[#This Row],[PlantationDate]])</f>
        <v>106145721</v>
      </c>
      <c r="O1700" t="str">
        <f>CompilDonnées[[#This Row],[FarmID]]&amp;CompilDonnées[[#This Row],[ModuleNumber]]</f>
        <v>1061</v>
      </c>
      <c r="P1700" t="str">
        <f>CompilDonnées[[#This Row],[Ref_Module]]&amp;CompilDonnées[[#This Row],[HarvestingDate]]</f>
        <v>106145761</v>
      </c>
    </row>
    <row r="1701" spans="1:16">
      <c r="A1701" s="5">
        <v>45721</v>
      </c>
      <c r="B1701">
        <v>115</v>
      </c>
      <c r="C1701" t="s">
        <v>121</v>
      </c>
      <c r="D1701">
        <v>2</v>
      </c>
      <c r="E1701">
        <v>100</v>
      </c>
      <c r="F1701" t="s">
        <v>1</v>
      </c>
      <c r="G1701" s="6">
        <v>45761</v>
      </c>
      <c r="H1701">
        <v>40</v>
      </c>
      <c r="I1701">
        <f>ROUND(CompilDonnées[[#This Row],[CultureDuration_days]]/7,0)</f>
        <v>6</v>
      </c>
      <c r="J1701">
        <v>2614</v>
      </c>
      <c r="K1701" t="str">
        <f>_xlfn.CONCAT(WEEKNUM(CompilDonnées[[#This Row],[PlantationDate]]), " ", YEAR(CompilDonnées[[#This Row],[PlantationDate]]))</f>
        <v>10 2025</v>
      </c>
      <c r="L1701" t="str">
        <f>CONCATENATE(MONTH(CompilDonnées[[#This Row],[PlantationDate]])," ", YEAR(CompilDonnées[[#This Row],[PlantationDate]]))</f>
        <v>3 2025</v>
      </c>
      <c r="M1701" t="str">
        <f>CONCATENATE(MONTH(CompilDonnées[[#This Row],[HarvestingDate]])," ", YEAR(CompilDonnées[[#This Row],[HarvestingDate]]))</f>
        <v>4 2025</v>
      </c>
      <c r="N1701">
        <f>_xlfn.NUMBERVALUE(CompilDonnées[[#This Row],[FarmID]]&amp;CompilDonnées[[#This Row],[ModuleNumber]]&amp;CompilDonnées[[#This Row],[PlantationDate]])</f>
        <v>115245721</v>
      </c>
      <c r="O1701" t="str">
        <f>CompilDonnées[[#This Row],[FarmID]]&amp;CompilDonnées[[#This Row],[ModuleNumber]]</f>
        <v>1152</v>
      </c>
      <c r="P1701" t="str">
        <f>CompilDonnées[[#This Row],[Ref_Module]]&amp;CompilDonnées[[#This Row],[HarvestingDate]]</f>
        <v>115245761</v>
      </c>
    </row>
    <row r="1702" spans="1:16">
      <c r="A1702" s="5">
        <v>45721</v>
      </c>
      <c r="B1702">
        <v>123</v>
      </c>
      <c r="C1702" t="s">
        <v>13</v>
      </c>
      <c r="D1702">
        <v>5</v>
      </c>
      <c r="E1702">
        <v>100</v>
      </c>
      <c r="F1702" t="s">
        <v>1</v>
      </c>
      <c r="G1702" s="6">
        <v>45771</v>
      </c>
      <c r="H1702">
        <v>50</v>
      </c>
      <c r="I1702">
        <f>ROUND(CompilDonnées[[#This Row],[CultureDuration_days]]/7,0)</f>
        <v>7</v>
      </c>
      <c r="J1702">
        <v>3565</v>
      </c>
      <c r="K1702" t="str">
        <f>_xlfn.CONCAT(WEEKNUM(CompilDonnées[[#This Row],[PlantationDate]]), " ", YEAR(CompilDonnées[[#This Row],[PlantationDate]]))</f>
        <v>10 2025</v>
      </c>
      <c r="L1702" t="str">
        <f>CONCATENATE(MONTH(CompilDonnées[[#This Row],[PlantationDate]])," ", YEAR(CompilDonnées[[#This Row],[PlantationDate]]))</f>
        <v>3 2025</v>
      </c>
      <c r="M1702" t="str">
        <f>CONCATENATE(MONTH(CompilDonnées[[#This Row],[HarvestingDate]])," ", YEAR(CompilDonnées[[#This Row],[HarvestingDate]]))</f>
        <v>4 2025</v>
      </c>
      <c r="N1702">
        <f>_xlfn.NUMBERVALUE(CompilDonnées[[#This Row],[FarmID]]&amp;CompilDonnées[[#This Row],[ModuleNumber]]&amp;CompilDonnées[[#This Row],[PlantationDate]])</f>
        <v>123545721</v>
      </c>
      <c r="O1702" t="str">
        <f>CompilDonnées[[#This Row],[FarmID]]&amp;CompilDonnées[[#This Row],[ModuleNumber]]</f>
        <v>1235</v>
      </c>
      <c r="P1702" t="str">
        <f>CompilDonnées[[#This Row],[Ref_Module]]&amp;CompilDonnées[[#This Row],[HarvestingDate]]</f>
        <v>123545771</v>
      </c>
    </row>
    <row r="1703" spans="1:16">
      <c r="A1703" s="5">
        <v>45721</v>
      </c>
      <c r="B1703">
        <v>107</v>
      </c>
      <c r="C1703" t="s">
        <v>23</v>
      </c>
      <c r="D1703">
        <v>1</v>
      </c>
      <c r="E1703">
        <v>100</v>
      </c>
      <c r="F1703" t="s">
        <v>1</v>
      </c>
      <c r="G1703" s="6">
        <v>45771</v>
      </c>
      <c r="H1703">
        <v>50</v>
      </c>
      <c r="I1703">
        <f>ROUND(CompilDonnées[[#This Row],[CultureDuration_days]]/7,0)</f>
        <v>7</v>
      </c>
      <c r="J1703">
        <v>2350</v>
      </c>
      <c r="K1703" t="str">
        <f>_xlfn.CONCAT(WEEKNUM(CompilDonnées[[#This Row],[PlantationDate]]), " ", YEAR(CompilDonnées[[#This Row],[PlantationDate]]))</f>
        <v>10 2025</v>
      </c>
      <c r="L1703" t="str">
        <f>CONCATENATE(MONTH(CompilDonnées[[#This Row],[PlantationDate]])," ", YEAR(CompilDonnées[[#This Row],[PlantationDate]]))</f>
        <v>3 2025</v>
      </c>
      <c r="M1703" t="str">
        <f>CONCATENATE(MONTH(CompilDonnées[[#This Row],[HarvestingDate]])," ", YEAR(CompilDonnées[[#This Row],[HarvestingDate]]))</f>
        <v>4 2025</v>
      </c>
      <c r="N1703">
        <f>_xlfn.NUMBERVALUE(CompilDonnées[[#This Row],[FarmID]]&amp;CompilDonnées[[#This Row],[ModuleNumber]]&amp;CompilDonnées[[#This Row],[PlantationDate]])</f>
        <v>107145721</v>
      </c>
      <c r="O1703" t="str">
        <f>CompilDonnées[[#This Row],[FarmID]]&amp;CompilDonnées[[#This Row],[ModuleNumber]]</f>
        <v>1071</v>
      </c>
      <c r="P1703" t="str">
        <f>CompilDonnées[[#This Row],[Ref_Module]]&amp;CompilDonnées[[#This Row],[HarvestingDate]]</f>
        <v>107145771</v>
      </c>
    </row>
    <row r="1704" spans="1:16">
      <c r="A1704" s="5">
        <v>45721</v>
      </c>
      <c r="B1704">
        <v>108</v>
      </c>
      <c r="C1704" t="s">
        <v>58</v>
      </c>
      <c r="D1704">
        <v>1</v>
      </c>
      <c r="E1704">
        <v>100</v>
      </c>
      <c r="F1704" t="s">
        <v>1</v>
      </c>
      <c r="G1704" s="6">
        <v>45772</v>
      </c>
      <c r="H1704">
        <v>51</v>
      </c>
      <c r="I1704">
        <f>ROUND(CompilDonnées[[#This Row],[CultureDuration_days]]/7,0)</f>
        <v>7</v>
      </c>
      <c r="J1704">
        <v>2314</v>
      </c>
      <c r="K1704" t="str">
        <f>_xlfn.CONCAT(WEEKNUM(CompilDonnées[[#This Row],[PlantationDate]]), " ", YEAR(CompilDonnées[[#This Row],[PlantationDate]]))</f>
        <v>10 2025</v>
      </c>
      <c r="L1704" t="str">
        <f>CONCATENATE(MONTH(CompilDonnées[[#This Row],[PlantationDate]])," ", YEAR(CompilDonnées[[#This Row],[PlantationDate]]))</f>
        <v>3 2025</v>
      </c>
      <c r="M1704" t="str">
        <f>CONCATENATE(MONTH(CompilDonnées[[#This Row],[HarvestingDate]])," ", YEAR(CompilDonnées[[#This Row],[HarvestingDate]]))</f>
        <v>4 2025</v>
      </c>
      <c r="N1704">
        <f>_xlfn.NUMBERVALUE(CompilDonnées[[#This Row],[FarmID]]&amp;CompilDonnées[[#This Row],[ModuleNumber]]&amp;CompilDonnées[[#This Row],[PlantationDate]])</f>
        <v>108145721</v>
      </c>
      <c r="O1704" t="str">
        <f>CompilDonnées[[#This Row],[FarmID]]&amp;CompilDonnées[[#This Row],[ModuleNumber]]</f>
        <v>1081</v>
      </c>
      <c r="P1704" t="str">
        <f>CompilDonnées[[#This Row],[Ref_Module]]&amp;CompilDonnées[[#This Row],[HarvestingDate]]</f>
        <v>108145772</v>
      </c>
    </row>
    <row r="1705" spans="1:16">
      <c r="A1705" s="5">
        <v>45722</v>
      </c>
      <c r="B1705">
        <v>1</v>
      </c>
      <c r="C1705" t="s">
        <v>111</v>
      </c>
      <c r="D1705">
        <v>4</v>
      </c>
      <c r="E1705">
        <v>100</v>
      </c>
      <c r="F1705" t="s">
        <v>1</v>
      </c>
      <c r="G1705" s="6">
        <v>45764</v>
      </c>
      <c r="H1705">
        <v>42</v>
      </c>
      <c r="I1705">
        <f>ROUND(CompilDonnées[[#This Row],[CultureDuration_days]]/7,0)</f>
        <v>6</v>
      </c>
      <c r="J1705">
        <v>2919</v>
      </c>
      <c r="K1705" t="str">
        <f>_xlfn.CONCAT(WEEKNUM(CompilDonnées[[#This Row],[PlantationDate]]), " ", YEAR(CompilDonnées[[#This Row],[PlantationDate]]))</f>
        <v>10 2025</v>
      </c>
      <c r="L1705" t="str">
        <f>CONCATENATE(MONTH(CompilDonnées[[#This Row],[PlantationDate]])," ", YEAR(CompilDonnées[[#This Row],[PlantationDate]]))</f>
        <v>3 2025</v>
      </c>
      <c r="M1705" t="str">
        <f>CONCATENATE(MONTH(CompilDonnées[[#This Row],[HarvestingDate]])," ", YEAR(CompilDonnées[[#This Row],[HarvestingDate]]))</f>
        <v>4 2025</v>
      </c>
      <c r="N1705">
        <f>_xlfn.NUMBERVALUE(CompilDonnées[[#This Row],[FarmID]]&amp;CompilDonnées[[#This Row],[ModuleNumber]]&amp;CompilDonnées[[#This Row],[PlantationDate]])</f>
        <v>1445722</v>
      </c>
      <c r="O1705" t="str">
        <f>CompilDonnées[[#This Row],[FarmID]]&amp;CompilDonnées[[#This Row],[ModuleNumber]]</f>
        <v>14</v>
      </c>
      <c r="P1705" t="str">
        <f>CompilDonnées[[#This Row],[Ref_Module]]&amp;CompilDonnées[[#This Row],[HarvestingDate]]</f>
        <v>1445764</v>
      </c>
    </row>
    <row r="1706" spans="1:16">
      <c r="A1706" s="5">
        <v>45722</v>
      </c>
      <c r="B1706">
        <v>1</v>
      </c>
      <c r="C1706" t="s">
        <v>111</v>
      </c>
      <c r="D1706">
        <v>5</v>
      </c>
      <c r="E1706">
        <v>100</v>
      </c>
      <c r="F1706" t="s">
        <v>1</v>
      </c>
      <c r="G1706" s="6">
        <v>45764</v>
      </c>
      <c r="H1706">
        <v>42</v>
      </c>
      <c r="I1706">
        <f>ROUND(CompilDonnées[[#This Row],[CultureDuration_days]]/7,0)</f>
        <v>6</v>
      </c>
      <c r="J1706">
        <v>3630</v>
      </c>
      <c r="K1706" t="str">
        <f>_xlfn.CONCAT(WEEKNUM(CompilDonnées[[#This Row],[PlantationDate]]), " ", YEAR(CompilDonnées[[#This Row],[PlantationDate]]))</f>
        <v>10 2025</v>
      </c>
      <c r="L1706" t="str">
        <f>CONCATENATE(MONTH(CompilDonnées[[#This Row],[PlantationDate]])," ", YEAR(CompilDonnées[[#This Row],[PlantationDate]]))</f>
        <v>3 2025</v>
      </c>
      <c r="M1706" t="str">
        <f>CONCATENATE(MONTH(CompilDonnées[[#This Row],[HarvestingDate]])," ", YEAR(CompilDonnées[[#This Row],[HarvestingDate]]))</f>
        <v>4 2025</v>
      </c>
      <c r="N1706">
        <f>_xlfn.NUMBERVALUE(CompilDonnées[[#This Row],[FarmID]]&amp;CompilDonnées[[#This Row],[ModuleNumber]]&amp;CompilDonnées[[#This Row],[PlantationDate]])</f>
        <v>1545722</v>
      </c>
      <c r="O1706" t="str">
        <f>CompilDonnées[[#This Row],[FarmID]]&amp;CompilDonnées[[#This Row],[ModuleNumber]]</f>
        <v>15</v>
      </c>
      <c r="P1706" t="str">
        <f>CompilDonnées[[#This Row],[Ref_Module]]&amp;CompilDonnées[[#This Row],[HarvestingDate]]</f>
        <v>1545764</v>
      </c>
    </row>
    <row r="1707" spans="1:16">
      <c r="A1707" s="5">
        <v>45722</v>
      </c>
      <c r="B1707">
        <v>2</v>
      </c>
      <c r="C1707" t="s">
        <v>119</v>
      </c>
      <c r="D1707">
        <v>2</v>
      </c>
      <c r="E1707">
        <v>100</v>
      </c>
      <c r="F1707" t="s">
        <v>1</v>
      </c>
      <c r="G1707" s="6">
        <v>45763</v>
      </c>
      <c r="H1707">
        <v>41</v>
      </c>
      <c r="I1707">
        <f>ROUND(CompilDonnées[[#This Row],[CultureDuration_days]]/7,0)</f>
        <v>6</v>
      </c>
      <c r="J1707">
        <v>3374</v>
      </c>
      <c r="K1707" t="str">
        <f>_xlfn.CONCAT(WEEKNUM(CompilDonnées[[#This Row],[PlantationDate]]), " ", YEAR(CompilDonnées[[#This Row],[PlantationDate]]))</f>
        <v>10 2025</v>
      </c>
      <c r="L1707" t="str">
        <f>CONCATENATE(MONTH(CompilDonnées[[#This Row],[PlantationDate]])," ", YEAR(CompilDonnées[[#This Row],[PlantationDate]]))</f>
        <v>3 2025</v>
      </c>
      <c r="M1707" t="str">
        <f>CONCATENATE(MONTH(CompilDonnées[[#This Row],[HarvestingDate]])," ", YEAR(CompilDonnées[[#This Row],[HarvestingDate]]))</f>
        <v>4 2025</v>
      </c>
      <c r="N1707">
        <f>_xlfn.NUMBERVALUE(CompilDonnées[[#This Row],[FarmID]]&amp;CompilDonnées[[#This Row],[ModuleNumber]]&amp;CompilDonnées[[#This Row],[PlantationDate]])</f>
        <v>2245722</v>
      </c>
      <c r="O1707" t="str">
        <f>CompilDonnées[[#This Row],[FarmID]]&amp;CompilDonnées[[#This Row],[ModuleNumber]]</f>
        <v>22</v>
      </c>
      <c r="P1707" t="str">
        <f>CompilDonnées[[#This Row],[Ref_Module]]&amp;CompilDonnées[[#This Row],[HarvestingDate]]</f>
        <v>2245763</v>
      </c>
    </row>
    <row r="1708" spans="1:16">
      <c r="A1708" s="5">
        <v>45722</v>
      </c>
      <c r="B1708">
        <v>2</v>
      </c>
      <c r="C1708" t="s">
        <v>119</v>
      </c>
      <c r="D1708">
        <v>3</v>
      </c>
      <c r="E1708">
        <v>100</v>
      </c>
      <c r="F1708" t="s">
        <v>1</v>
      </c>
      <c r="G1708" s="6">
        <v>45763</v>
      </c>
      <c r="H1708">
        <v>41</v>
      </c>
      <c r="I1708">
        <f>ROUND(CompilDonnées[[#This Row],[CultureDuration_days]]/7,0)</f>
        <v>6</v>
      </c>
      <c r="J1708">
        <v>3074</v>
      </c>
      <c r="K1708" t="str">
        <f>_xlfn.CONCAT(WEEKNUM(CompilDonnées[[#This Row],[PlantationDate]]), " ", YEAR(CompilDonnées[[#This Row],[PlantationDate]]))</f>
        <v>10 2025</v>
      </c>
      <c r="L1708" t="str">
        <f>CONCATENATE(MONTH(CompilDonnées[[#This Row],[PlantationDate]])," ", YEAR(CompilDonnées[[#This Row],[PlantationDate]]))</f>
        <v>3 2025</v>
      </c>
      <c r="M1708" t="str">
        <f>CONCATENATE(MONTH(CompilDonnées[[#This Row],[HarvestingDate]])," ", YEAR(CompilDonnées[[#This Row],[HarvestingDate]]))</f>
        <v>4 2025</v>
      </c>
      <c r="N1708">
        <f>_xlfn.NUMBERVALUE(CompilDonnées[[#This Row],[FarmID]]&amp;CompilDonnées[[#This Row],[ModuleNumber]]&amp;CompilDonnées[[#This Row],[PlantationDate]])</f>
        <v>2345722</v>
      </c>
      <c r="O1708" t="str">
        <f>CompilDonnées[[#This Row],[FarmID]]&amp;CompilDonnées[[#This Row],[ModuleNumber]]</f>
        <v>23</v>
      </c>
      <c r="P1708" t="str">
        <f>CompilDonnées[[#This Row],[Ref_Module]]&amp;CompilDonnées[[#This Row],[HarvestingDate]]</f>
        <v>2345763</v>
      </c>
    </row>
    <row r="1709" spans="1:16">
      <c r="A1709" s="5">
        <v>45722</v>
      </c>
      <c r="B1709">
        <v>3</v>
      </c>
      <c r="C1709" t="s">
        <v>116</v>
      </c>
      <c r="D1709">
        <v>1</v>
      </c>
      <c r="E1709">
        <v>100</v>
      </c>
      <c r="F1709" t="s">
        <v>1</v>
      </c>
      <c r="G1709" s="6">
        <v>45763</v>
      </c>
      <c r="H1709">
        <v>41</v>
      </c>
      <c r="I1709">
        <f>ROUND(CompilDonnées[[#This Row],[CultureDuration_days]]/7,0)</f>
        <v>6</v>
      </c>
      <c r="J1709">
        <v>3427</v>
      </c>
      <c r="K1709" t="str">
        <f>_xlfn.CONCAT(WEEKNUM(CompilDonnées[[#This Row],[PlantationDate]]), " ", YEAR(CompilDonnées[[#This Row],[PlantationDate]]))</f>
        <v>10 2025</v>
      </c>
      <c r="L1709" t="str">
        <f>CONCATENATE(MONTH(CompilDonnées[[#This Row],[PlantationDate]])," ", YEAR(CompilDonnées[[#This Row],[PlantationDate]]))</f>
        <v>3 2025</v>
      </c>
      <c r="M1709" t="str">
        <f>CONCATENATE(MONTH(CompilDonnées[[#This Row],[HarvestingDate]])," ", YEAR(CompilDonnées[[#This Row],[HarvestingDate]]))</f>
        <v>4 2025</v>
      </c>
      <c r="N1709">
        <f>_xlfn.NUMBERVALUE(CompilDonnées[[#This Row],[FarmID]]&amp;CompilDonnées[[#This Row],[ModuleNumber]]&amp;CompilDonnées[[#This Row],[PlantationDate]])</f>
        <v>3145722</v>
      </c>
      <c r="O1709" t="str">
        <f>CompilDonnées[[#This Row],[FarmID]]&amp;CompilDonnées[[#This Row],[ModuleNumber]]</f>
        <v>31</v>
      </c>
      <c r="P1709" t="str">
        <f>CompilDonnées[[#This Row],[Ref_Module]]&amp;CompilDonnées[[#This Row],[HarvestingDate]]</f>
        <v>3145763</v>
      </c>
    </row>
    <row r="1710" spans="1:16">
      <c r="A1710" s="5">
        <v>45722</v>
      </c>
      <c r="B1710">
        <v>3</v>
      </c>
      <c r="C1710" t="s">
        <v>116</v>
      </c>
      <c r="D1710">
        <v>6</v>
      </c>
      <c r="E1710">
        <v>100</v>
      </c>
      <c r="F1710" t="s">
        <v>1</v>
      </c>
      <c r="G1710" s="6">
        <v>45763</v>
      </c>
      <c r="H1710">
        <v>41</v>
      </c>
      <c r="I1710">
        <f>ROUND(CompilDonnées[[#This Row],[CultureDuration_days]]/7,0)</f>
        <v>6</v>
      </c>
      <c r="J1710">
        <v>2629</v>
      </c>
      <c r="K1710" t="str">
        <f>_xlfn.CONCAT(WEEKNUM(CompilDonnées[[#This Row],[PlantationDate]]), " ", YEAR(CompilDonnées[[#This Row],[PlantationDate]]))</f>
        <v>10 2025</v>
      </c>
      <c r="L1710" t="str">
        <f>CONCATENATE(MONTH(CompilDonnées[[#This Row],[PlantationDate]])," ", YEAR(CompilDonnées[[#This Row],[PlantationDate]]))</f>
        <v>3 2025</v>
      </c>
      <c r="M1710" t="str">
        <f>CONCATENATE(MONTH(CompilDonnées[[#This Row],[HarvestingDate]])," ", YEAR(CompilDonnées[[#This Row],[HarvestingDate]]))</f>
        <v>4 2025</v>
      </c>
      <c r="N1710">
        <f>_xlfn.NUMBERVALUE(CompilDonnées[[#This Row],[FarmID]]&amp;CompilDonnées[[#This Row],[ModuleNumber]]&amp;CompilDonnées[[#This Row],[PlantationDate]])</f>
        <v>3645722</v>
      </c>
      <c r="O1710" t="str">
        <f>CompilDonnées[[#This Row],[FarmID]]&amp;CompilDonnées[[#This Row],[ModuleNumber]]</f>
        <v>36</v>
      </c>
      <c r="P1710" t="str">
        <f>CompilDonnées[[#This Row],[Ref_Module]]&amp;CompilDonnées[[#This Row],[HarvestingDate]]</f>
        <v>3645763</v>
      </c>
    </row>
    <row r="1711" spans="1:16">
      <c r="A1711" s="5">
        <v>45722</v>
      </c>
      <c r="B1711">
        <v>9</v>
      </c>
      <c r="C1711" t="s">
        <v>107</v>
      </c>
      <c r="D1711">
        <v>5</v>
      </c>
      <c r="E1711">
        <v>100</v>
      </c>
      <c r="F1711" t="s">
        <v>1</v>
      </c>
      <c r="G1711" s="6">
        <v>45763</v>
      </c>
      <c r="H1711">
        <v>41</v>
      </c>
      <c r="I1711">
        <f>ROUND(CompilDonnées[[#This Row],[CultureDuration_days]]/7,0)</f>
        <v>6</v>
      </c>
      <c r="J1711">
        <v>3911</v>
      </c>
      <c r="K1711" t="str">
        <f>_xlfn.CONCAT(WEEKNUM(CompilDonnées[[#This Row],[PlantationDate]]), " ", YEAR(CompilDonnées[[#This Row],[PlantationDate]]))</f>
        <v>10 2025</v>
      </c>
      <c r="L1711" t="str">
        <f>CONCATENATE(MONTH(CompilDonnées[[#This Row],[PlantationDate]])," ", YEAR(CompilDonnées[[#This Row],[PlantationDate]]))</f>
        <v>3 2025</v>
      </c>
      <c r="M1711" t="str">
        <f>CONCATENATE(MONTH(CompilDonnées[[#This Row],[HarvestingDate]])," ", YEAR(CompilDonnées[[#This Row],[HarvestingDate]]))</f>
        <v>4 2025</v>
      </c>
      <c r="N1711">
        <f>_xlfn.NUMBERVALUE(CompilDonnées[[#This Row],[FarmID]]&amp;CompilDonnées[[#This Row],[ModuleNumber]]&amp;CompilDonnées[[#This Row],[PlantationDate]])</f>
        <v>9545722</v>
      </c>
      <c r="O1711" t="str">
        <f>CompilDonnées[[#This Row],[FarmID]]&amp;CompilDonnées[[#This Row],[ModuleNumber]]</f>
        <v>95</v>
      </c>
      <c r="P1711" t="str">
        <f>CompilDonnées[[#This Row],[Ref_Module]]&amp;CompilDonnées[[#This Row],[HarvestingDate]]</f>
        <v>9545763</v>
      </c>
    </row>
    <row r="1712" spans="1:16">
      <c r="A1712" s="5">
        <v>45722</v>
      </c>
      <c r="B1712">
        <v>9</v>
      </c>
      <c r="C1712" t="s">
        <v>107</v>
      </c>
      <c r="D1712">
        <v>6</v>
      </c>
      <c r="E1712">
        <v>100</v>
      </c>
      <c r="F1712" t="s">
        <v>1</v>
      </c>
      <c r="G1712" s="6">
        <v>45763</v>
      </c>
      <c r="H1712">
        <v>41</v>
      </c>
      <c r="I1712">
        <f>ROUND(CompilDonnées[[#This Row],[CultureDuration_days]]/7,0)</f>
        <v>6</v>
      </c>
      <c r="J1712">
        <v>3443</v>
      </c>
      <c r="K1712" t="str">
        <f>_xlfn.CONCAT(WEEKNUM(CompilDonnées[[#This Row],[PlantationDate]]), " ", YEAR(CompilDonnées[[#This Row],[PlantationDate]]))</f>
        <v>10 2025</v>
      </c>
      <c r="L1712" t="str">
        <f>CONCATENATE(MONTH(CompilDonnées[[#This Row],[PlantationDate]])," ", YEAR(CompilDonnées[[#This Row],[PlantationDate]]))</f>
        <v>3 2025</v>
      </c>
      <c r="M1712" t="str">
        <f>CONCATENATE(MONTH(CompilDonnées[[#This Row],[HarvestingDate]])," ", YEAR(CompilDonnées[[#This Row],[HarvestingDate]]))</f>
        <v>4 2025</v>
      </c>
      <c r="N1712">
        <f>_xlfn.NUMBERVALUE(CompilDonnées[[#This Row],[FarmID]]&amp;CompilDonnées[[#This Row],[ModuleNumber]]&amp;CompilDonnées[[#This Row],[PlantationDate]])</f>
        <v>9645722</v>
      </c>
      <c r="O1712" t="str">
        <f>CompilDonnées[[#This Row],[FarmID]]&amp;CompilDonnées[[#This Row],[ModuleNumber]]</f>
        <v>96</v>
      </c>
      <c r="P1712" t="str">
        <f>CompilDonnées[[#This Row],[Ref_Module]]&amp;CompilDonnées[[#This Row],[HarvestingDate]]</f>
        <v>9645763</v>
      </c>
    </row>
    <row r="1713" spans="1:16">
      <c r="A1713" s="5">
        <v>45722</v>
      </c>
      <c r="B1713">
        <v>16</v>
      </c>
      <c r="C1713" t="s">
        <v>112</v>
      </c>
      <c r="D1713">
        <v>4</v>
      </c>
      <c r="E1713">
        <v>100</v>
      </c>
      <c r="F1713" t="s">
        <v>1</v>
      </c>
      <c r="G1713" s="6">
        <v>45764</v>
      </c>
      <c r="H1713">
        <v>42</v>
      </c>
      <c r="I1713">
        <f>ROUND(CompilDonnées[[#This Row],[CultureDuration_days]]/7,0)</f>
        <v>6</v>
      </c>
      <c r="J1713">
        <v>3104</v>
      </c>
      <c r="K1713" t="str">
        <f>_xlfn.CONCAT(WEEKNUM(CompilDonnées[[#This Row],[PlantationDate]]), " ", YEAR(CompilDonnées[[#This Row],[PlantationDate]]))</f>
        <v>10 2025</v>
      </c>
      <c r="L1713" t="str">
        <f>CONCATENATE(MONTH(CompilDonnées[[#This Row],[PlantationDate]])," ", YEAR(CompilDonnées[[#This Row],[PlantationDate]]))</f>
        <v>3 2025</v>
      </c>
      <c r="M1713" t="str">
        <f>CONCATENATE(MONTH(CompilDonnées[[#This Row],[HarvestingDate]])," ", YEAR(CompilDonnées[[#This Row],[HarvestingDate]]))</f>
        <v>4 2025</v>
      </c>
      <c r="N1713">
        <f>_xlfn.NUMBERVALUE(CompilDonnées[[#This Row],[FarmID]]&amp;CompilDonnées[[#This Row],[ModuleNumber]]&amp;CompilDonnées[[#This Row],[PlantationDate]])</f>
        <v>16445722</v>
      </c>
      <c r="O1713" t="str">
        <f>CompilDonnées[[#This Row],[FarmID]]&amp;CompilDonnées[[#This Row],[ModuleNumber]]</f>
        <v>164</v>
      </c>
      <c r="P1713" t="str">
        <f>CompilDonnées[[#This Row],[Ref_Module]]&amp;CompilDonnées[[#This Row],[HarvestingDate]]</f>
        <v>16445764</v>
      </c>
    </row>
    <row r="1714" spans="1:16">
      <c r="A1714" s="5">
        <v>45722</v>
      </c>
      <c r="B1714">
        <v>22</v>
      </c>
      <c r="C1714" t="s">
        <v>43</v>
      </c>
      <c r="D1714">
        <v>1</v>
      </c>
      <c r="E1714">
        <v>100</v>
      </c>
      <c r="F1714" t="s">
        <v>1</v>
      </c>
      <c r="G1714" s="6">
        <v>45763</v>
      </c>
      <c r="H1714">
        <v>41</v>
      </c>
      <c r="I1714">
        <f>ROUND(CompilDonnées[[#This Row],[CultureDuration_days]]/7,0)</f>
        <v>6</v>
      </c>
      <c r="J1714">
        <v>2844</v>
      </c>
      <c r="K1714" t="str">
        <f>_xlfn.CONCAT(WEEKNUM(CompilDonnées[[#This Row],[PlantationDate]]), " ", YEAR(CompilDonnées[[#This Row],[PlantationDate]]))</f>
        <v>10 2025</v>
      </c>
      <c r="L1714" t="str">
        <f>CONCATENATE(MONTH(CompilDonnées[[#This Row],[PlantationDate]])," ", YEAR(CompilDonnées[[#This Row],[PlantationDate]]))</f>
        <v>3 2025</v>
      </c>
      <c r="M1714" t="str">
        <f>CONCATENATE(MONTH(CompilDonnées[[#This Row],[HarvestingDate]])," ", YEAR(CompilDonnées[[#This Row],[HarvestingDate]]))</f>
        <v>4 2025</v>
      </c>
      <c r="N1714">
        <f>_xlfn.NUMBERVALUE(CompilDonnées[[#This Row],[FarmID]]&amp;CompilDonnées[[#This Row],[ModuleNumber]]&amp;CompilDonnées[[#This Row],[PlantationDate]])</f>
        <v>22145722</v>
      </c>
      <c r="O1714" t="str">
        <f>CompilDonnées[[#This Row],[FarmID]]&amp;CompilDonnées[[#This Row],[ModuleNumber]]</f>
        <v>221</v>
      </c>
      <c r="P1714" t="str">
        <f>CompilDonnées[[#This Row],[Ref_Module]]&amp;CompilDonnées[[#This Row],[HarvestingDate]]</f>
        <v>22145763</v>
      </c>
    </row>
    <row r="1715" spans="1:16">
      <c r="A1715" s="5">
        <v>45722</v>
      </c>
      <c r="B1715">
        <v>22</v>
      </c>
      <c r="C1715" t="s">
        <v>43</v>
      </c>
      <c r="D1715">
        <v>2</v>
      </c>
      <c r="E1715">
        <v>100</v>
      </c>
      <c r="F1715" t="s">
        <v>1</v>
      </c>
      <c r="G1715" s="6">
        <v>45763</v>
      </c>
      <c r="H1715">
        <v>41</v>
      </c>
      <c r="I1715">
        <f>ROUND(CompilDonnées[[#This Row],[CultureDuration_days]]/7,0)</f>
        <v>6</v>
      </c>
      <c r="J1715">
        <v>3081</v>
      </c>
      <c r="K1715" t="str">
        <f>_xlfn.CONCAT(WEEKNUM(CompilDonnées[[#This Row],[PlantationDate]]), " ", YEAR(CompilDonnées[[#This Row],[PlantationDate]]))</f>
        <v>10 2025</v>
      </c>
      <c r="L1715" t="str">
        <f>CONCATENATE(MONTH(CompilDonnées[[#This Row],[PlantationDate]])," ", YEAR(CompilDonnées[[#This Row],[PlantationDate]]))</f>
        <v>3 2025</v>
      </c>
      <c r="M1715" t="str">
        <f>CONCATENATE(MONTH(CompilDonnées[[#This Row],[HarvestingDate]])," ", YEAR(CompilDonnées[[#This Row],[HarvestingDate]]))</f>
        <v>4 2025</v>
      </c>
      <c r="N1715">
        <f>_xlfn.NUMBERVALUE(CompilDonnées[[#This Row],[FarmID]]&amp;CompilDonnées[[#This Row],[ModuleNumber]]&amp;CompilDonnées[[#This Row],[PlantationDate]])</f>
        <v>22245722</v>
      </c>
      <c r="O1715" t="str">
        <f>CompilDonnées[[#This Row],[FarmID]]&amp;CompilDonnées[[#This Row],[ModuleNumber]]</f>
        <v>222</v>
      </c>
      <c r="P1715" t="str">
        <f>CompilDonnées[[#This Row],[Ref_Module]]&amp;CompilDonnées[[#This Row],[HarvestingDate]]</f>
        <v>22245763</v>
      </c>
    </row>
    <row r="1716" spans="1:16">
      <c r="A1716" s="5">
        <v>45722</v>
      </c>
      <c r="B1716">
        <v>27</v>
      </c>
      <c r="C1716" t="s">
        <v>88</v>
      </c>
      <c r="D1716">
        <v>1</v>
      </c>
      <c r="E1716">
        <v>100</v>
      </c>
      <c r="F1716" t="s">
        <v>1</v>
      </c>
      <c r="G1716" s="6">
        <v>45764</v>
      </c>
      <c r="H1716">
        <v>42</v>
      </c>
      <c r="I1716">
        <f>ROUND(CompilDonnées[[#This Row],[CultureDuration_days]]/7,0)</f>
        <v>6</v>
      </c>
      <c r="J1716">
        <v>3195</v>
      </c>
      <c r="K1716" t="str">
        <f>_xlfn.CONCAT(WEEKNUM(CompilDonnées[[#This Row],[PlantationDate]]), " ", YEAR(CompilDonnées[[#This Row],[PlantationDate]]))</f>
        <v>10 2025</v>
      </c>
      <c r="L1716" t="str">
        <f>CONCATENATE(MONTH(CompilDonnées[[#This Row],[PlantationDate]])," ", YEAR(CompilDonnées[[#This Row],[PlantationDate]]))</f>
        <v>3 2025</v>
      </c>
      <c r="M1716" t="str">
        <f>CONCATENATE(MONTH(CompilDonnées[[#This Row],[HarvestingDate]])," ", YEAR(CompilDonnées[[#This Row],[HarvestingDate]]))</f>
        <v>4 2025</v>
      </c>
      <c r="N1716">
        <f>_xlfn.NUMBERVALUE(CompilDonnées[[#This Row],[FarmID]]&amp;CompilDonnées[[#This Row],[ModuleNumber]]&amp;CompilDonnées[[#This Row],[PlantationDate]])</f>
        <v>27145722</v>
      </c>
      <c r="O1716" t="str">
        <f>CompilDonnées[[#This Row],[FarmID]]&amp;CompilDonnées[[#This Row],[ModuleNumber]]</f>
        <v>271</v>
      </c>
      <c r="P1716" t="str">
        <f>CompilDonnées[[#This Row],[Ref_Module]]&amp;CompilDonnées[[#This Row],[HarvestingDate]]</f>
        <v>27145764</v>
      </c>
    </row>
    <row r="1717" spans="1:16">
      <c r="A1717" s="5">
        <v>45722</v>
      </c>
      <c r="B1717">
        <v>37</v>
      </c>
      <c r="C1717" t="s">
        <v>26</v>
      </c>
      <c r="D1717">
        <v>4</v>
      </c>
      <c r="E1717">
        <v>100</v>
      </c>
      <c r="F1717" t="s">
        <v>1</v>
      </c>
      <c r="G1717" s="6">
        <v>45763</v>
      </c>
      <c r="H1717">
        <v>41</v>
      </c>
      <c r="I1717">
        <f>ROUND(CompilDonnées[[#This Row],[CultureDuration_days]]/7,0)</f>
        <v>6</v>
      </c>
      <c r="J1717">
        <v>3199</v>
      </c>
      <c r="K1717" t="str">
        <f>_xlfn.CONCAT(WEEKNUM(CompilDonnées[[#This Row],[PlantationDate]]), " ", YEAR(CompilDonnées[[#This Row],[PlantationDate]]))</f>
        <v>10 2025</v>
      </c>
      <c r="L1717" t="str">
        <f>CONCATENATE(MONTH(CompilDonnées[[#This Row],[PlantationDate]])," ", YEAR(CompilDonnées[[#This Row],[PlantationDate]]))</f>
        <v>3 2025</v>
      </c>
      <c r="M1717" t="str">
        <f>CONCATENATE(MONTH(CompilDonnées[[#This Row],[HarvestingDate]])," ", YEAR(CompilDonnées[[#This Row],[HarvestingDate]]))</f>
        <v>4 2025</v>
      </c>
      <c r="N1717">
        <f>_xlfn.NUMBERVALUE(CompilDonnées[[#This Row],[FarmID]]&amp;CompilDonnées[[#This Row],[ModuleNumber]]&amp;CompilDonnées[[#This Row],[PlantationDate]])</f>
        <v>37445722</v>
      </c>
      <c r="O1717" t="str">
        <f>CompilDonnées[[#This Row],[FarmID]]&amp;CompilDonnées[[#This Row],[ModuleNumber]]</f>
        <v>374</v>
      </c>
      <c r="P1717" t="str">
        <f>CompilDonnées[[#This Row],[Ref_Module]]&amp;CompilDonnées[[#This Row],[HarvestingDate]]</f>
        <v>37445763</v>
      </c>
    </row>
    <row r="1718" spans="1:16">
      <c r="A1718" s="5">
        <v>45722</v>
      </c>
      <c r="B1718">
        <v>43</v>
      </c>
      <c r="C1718" t="s">
        <v>45</v>
      </c>
      <c r="D1718">
        <v>3</v>
      </c>
      <c r="E1718">
        <v>100</v>
      </c>
      <c r="F1718" t="s">
        <v>1</v>
      </c>
      <c r="G1718" s="6">
        <v>45762</v>
      </c>
      <c r="H1718">
        <v>40</v>
      </c>
      <c r="I1718">
        <f>ROUND(CompilDonnées[[#This Row],[CultureDuration_days]]/7,0)</f>
        <v>6</v>
      </c>
      <c r="J1718">
        <v>3862</v>
      </c>
      <c r="K1718" t="str">
        <f>_xlfn.CONCAT(WEEKNUM(CompilDonnées[[#This Row],[PlantationDate]]), " ", YEAR(CompilDonnées[[#This Row],[PlantationDate]]))</f>
        <v>10 2025</v>
      </c>
      <c r="L1718" t="str">
        <f>CONCATENATE(MONTH(CompilDonnées[[#This Row],[PlantationDate]])," ", YEAR(CompilDonnées[[#This Row],[PlantationDate]]))</f>
        <v>3 2025</v>
      </c>
      <c r="M1718" t="str">
        <f>CONCATENATE(MONTH(CompilDonnées[[#This Row],[HarvestingDate]])," ", YEAR(CompilDonnées[[#This Row],[HarvestingDate]]))</f>
        <v>4 2025</v>
      </c>
      <c r="N1718">
        <f>_xlfn.NUMBERVALUE(CompilDonnées[[#This Row],[FarmID]]&amp;CompilDonnées[[#This Row],[ModuleNumber]]&amp;CompilDonnées[[#This Row],[PlantationDate]])</f>
        <v>43345722</v>
      </c>
      <c r="O1718" t="str">
        <f>CompilDonnées[[#This Row],[FarmID]]&amp;CompilDonnées[[#This Row],[ModuleNumber]]</f>
        <v>433</v>
      </c>
      <c r="P1718" t="str">
        <f>CompilDonnées[[#This Row],[Ref_Module]]&amp;CompilDonnées[[#This Row],[HarvestingDate]]</f>
        <v>43345762</v>
      </c>
    </row>
    <row r="1719" spans="1:16">
      <c r="A1719" s="5">
        <v>45722</v>
      </c>
      <c r="B1719">
        <v>47</v>
      </c>
      <c r="C1719" t="s">
        <v>12</v>
      </c>
      <c r="D1719">
        <v>4</v>
      </c>
      <c r="E1719">
        <v>100</v>
      </c>
      <c r="F1719" t="s">
        <v>1</v>
      </c>
      <c r="G1719" s="6">
        <v>45769</v>
      </c>
      <c r="H1719">
        <v>47</v>
      </c>
      <c r="I1719">
        <f>ROUND(CompilDonnées[[#This Row],[CultureDuration_days]]/7,0)</f>
        <v>7</v>
      </c>
      <c r="J1719">
        <v>2627</v>
      </c>
      <c r="K1719" t="str">
        <f>_xlfn.CONCAT(WEEKNUM(CompilDonnées[[#This Row],[PlantationDate]]), " ", YEAR(CompilDonnées[[#This Row],[PlantationDate]]))</f>
        <v>10 2025</v>
      </c>
      <c r="L1719" t="str">
        <f>CONCATENATE(MONTH(CompilDonnées[[#This Row],[PlantationDate]])," ", YEAR(CompilDonnées[[#This Row],[PlantationDate]]))</f>
        <v>3 2025</v>
      </c>
      <c r="M1719" t="str">
        <f>CONCATENATE(MONTH(CompilDonnées[[#This Row],[HarvestingDate]])," ", YEAR(CompilDonnées[[#This Row],[HarvestingDate]]))</f>
        <v>4 2025</v>
      </c>
      <c r="N1719">
        <f>_xlfn.NUMBERVALUE(CompilDonnées[[#This Row],[FarmID]]&amp;CompilDonnées[[#This Row],[ModuleNumber]]&amp;CompilDonnées[[#This Row],[PlantationDate]])</f>
        <v>47445722</v>
      </c>
      <c r="O1719" t="str">
        <f>CompilDonnées[[#This Row],[FarmID]]&amp;CompilDonnées[[#This Row],[ModuleNumber]]</f>
        <v>474</v>
      </c>
      <c r="P1719" t="str">
        <f>CompilDonnées[[#This Row],[Ref_Module]]&amp;CompilDonnées[[#This Row],[HarvestingDate]]</f>
        <v>47445769</v>
      </c>
    </row>
    <row r="1720" spans="1:16">
      <c r="A1720" s="5">
        <v>45722</v>
      </c>
      <c r="B1720">
        <v>49</v>
      </c>
      <c r="C1720" t="s">
        <v>110</v>
      </c>
      <c r="D1720">
        <v>4</v>
      </c>
      <c r="E1720">
        <v>100</v>
      </c>
      <c r="F1720" t="s">
        <v>1</v>
      </c>
      <c r="G1720" s="6">
        <v>45763</v>
      </c>
      <c r="H1720">
        <v>41</v>
      </c>
      <c r="I1720">
        <f>ROUND(CompilDonnées[[#This Row],[CultureDuration_days]]/7,0)</f>
        <v>6</v>
      </c>
      <c r="J1720">
        <v>3702</v>
      </c>
      <c r="K1720" t="str">
        <f>_xlfn.CONCAT(WEEKNUM(CompilDonnées[[#This Row],[PlantationDate]]), " ", YEAR(CompilDonnées[[#This Row],[PlantationDate]]))</f>
        <v>10 2025</v>
      </c>
      <c r="L1720" t="str">
        <f>CONCATENATE(MONTH(CompilDonnées[[#This Row],[PlantationDate]])," ", YEAR(CompilDonnées[[#This Row],[PlantationDate]]))</f>
        <v>3 2025</v>
      </c>
      <c r="M1720" t="str">
        <f>CONCATENATE(MONTH(CompilDonnées[[#This Row],[HarvestingDate]])," ", YEAR(CompilDonnées[[#This Row],[HarvestingDate]]))</f>
        <v>4 2025</v>
      </c>
      <c r="N1720">
        <f>_xlfn.NUMBERVALUE(CompilDonnées[[#This Row],[FarmID]]&amp;CompilDonnées[[#This Row],[ModuleNumber]]&amp;CompilDonnées[[#This Row],[PlantationDate]])</f>
        <v>49445722</v>
      </c>
      <c r="O1720" t="str">
        <f>CompilDonnées[[#This Row],[FarmID]]&amp;CompilDonnées[[#This Row],[ModuleNumber]]</f>
        <v>494</v>
      </c>
      <c r="P1720" t="str">
        <f>CompilDonnées[[#This Row],[Ref_Module]]&amp;CompilDonnées[[#This Row],[HarvestingDate]]</f>
        <v>49445763</v>
      </c>
    </row>
    <row r="1721" spans="1:16">
      <c r="A1721" s="5">
        <v>45722</v>
      </c>
      <c r="B1721">
        <v>51</v>
      </c>
      <c r="C1721" t="s">
        <v>27</v>
      </c>
      <c r="D1721">
        <v>6</v>
      </c>
      <c r="E1721">
        <v>100</v>
      </c>
      <c r="F1721" t="s">
        <v>1</v>
      </c>
      <c r="G1721" s="6">
        <v>45763</v>
      </c>
      <c r="H1721">
        <v>41</v>
      </c>
      <c r="I1721">
        <f>ROUND(CompilDonnées[[#This Row],[CultureDuration_days]]/7,0)</f>
        <v>6</v>
      </c>
      <c r="J1721">
        <v>3661</v>
      </c>
      <c r="K1721" t="str">
        <f>_xlfn.CONCAT(WEEKNUM(CompilDonnées[[#This Row],[PlantationDate]]), " ", YEAR(CompilDonnées[[#This Row],[PlantationDate]]))</f>
        <v>10 2025</v>
      </c>
      <c r="L1721" t="str">
        <f>CONCATENATE(MONTH(CompilDonnées[[#This Row],[PlantationDate]])," ", YEAR(CompilDonnées[[#This Row],[PlantationDate]]))</f>
        <v>3 2025</v>
      </c>
      <c r="M1721" t="str">
        <f>CONCATENATE(MONTH(CompilDonnées[[#This Row],[HarvestingDate]])," ", YEAR(CompilDonnées[[#This Row],[HarvestingDate]]))</f>
        <v>4 2025</v>
      </c>
      <c r="N1721">
        <f>_xlfn.NUMBERVALUE(CompilDonnées[[#This Row],[FarmID]]&amp;CompilDonnées[[#This Row],[ModuleNumber]]&amp;CompilDonnées[[#This Row],[PlantationDate]])</f>
        <v>51645722</v>
      </c>
      <c r="O1721" t="str">
        <f>CompilDonnées[[#This Row],[FarmID]]&amp;CompilDonnées[[#This Row],[ModuleNumber]]</f>
        <v>516</v>
      </c>
      <c r="P1721" t="str">
        <f>CompilDonnées[[#This Row],[Ref_Module]]&amp;CompilDonnées[[#This Row],[HarvestingDate]]</f>
        <v>51645763</v>
      </c>
    </row>
    <row r="1722" spans="1:16">
      <c r="A1722" s="5">
        <v>45722</v>
      </c>
      <c r="B1722">
        <v>53</v>
      </c>
      <c r="C1722" t="s">
        <v>83</v>
      </c>
      <c r="D1722">
        <v>3</v>
      </c>
      <c r="E1722">
        <v>100</v>
      </c>
      <c r="F1722" t="s">
        <v>1</v>
      </c>
      <c r="G1722" s="6">
        <v>45769</v>
      </c>
      <c r="H1722">
        <v>47</v>
      </c>
      <c r="I1722">
        <f>ROUND(CompilDonnées[[#This Row],[CultureDuration_days]]/7,0)</f>
        <v>7</v>
      </c>
      <c r="J1722">
        <v>3364</v>
      </c>
      <c r="K1722" t="str">
        <f>_xlfn.CONCAT(WEEKNUM(CompilDonnées[[#This Row],[PlantationDate]]), " ", YEAR(CompilDonnées[[#This Row],[PlantationDate]]))</f>
        <v>10 2025</v>
      </c>
      <c r="L1722" t="str">
        <f>CONCATENATE(MONTH(CompilDonnées[[#This Row],[PlantationDate]])," ", YEAR(CompilDonnées[[#This Row],[PlantationDate]]))</f>
        <v>3 2025</v>
      </c>
      <c r="M1722" t="str">
        <f>CONCATENATE(MONTH(CompilDonnées[[#This Row],[HarvestingDate]])," ", YEAR(CompilDonnées[[#This Row],[HarvestingDate]]))</f>
        <v>4 2025</v>
      </c>
      <c r="N1722">
        <f>_xlfn.NUMBERVALUE(CompilDonnées[[#This Row],[FarmID]]&amp;CompilDonnées[[#This Row],[ModuleNumber]]&amp;CompilDonnées[[#This Row],[PlantationDate]])</f>
        <v>53345722</v>
      </c>
      <c r="O1722" t="str">
        <f>CompilDonnées[[#This Row],[FarmID]]&amp;CompilDonnées[[#This Row],[ModuleNumber]]</f>
        <v>533</v>
      </c>
      <c r="P1722" t="str">
        <f>CompilDonnées[[#This Row],[Ref_Module]]&amp;CompilDonnées[[#This Row],[HarvestingDate]]</f>
        <v>53345769</v>
      </c>
    </row>
    <row r="1723" spans="1:16">
      <c r="A1723" s="5">
        <v>45722</v>
      </c>
      <c r="B1723">
        <v>54</v>
      </c>
      <c r="C1723" t="s">
        <v>39</v>
      </c>
      <c r="D1723">
        <v>3</v>
      </c>
      <c r="E1723">
        <v>100</v>
      </c>
      <c r="F1723" t="s">
        <v>1</v>
      </c>
      <c r="G1723" s="6">
        <v>45770</v>
      </c>
      <c r="H1723">
        <v>48</v>
      </c>
      <c r="I1723">
        <f>ROUND(CompilDonnées[[#This Row],[CultureDuration_days]]/7,0)</f>
        <v>7</v>
      </c>
      <c r="J1723">
        <v>2600</v>
      </c>
      <c r="K1723" t="str">
        <f>_xlfn.CONCAT(WEEKNUM(CompilDonnées[[#This Row],[PlantationDate]]), " ", YEAR(CompilDonnées[[#This Row],[PlantationDate]]))</f>
        <v>10 2025</v>
      </c>
      <c r="L1723" t="str">
        <f>CONCATENATE(MONTH(CompilDonnées[[#This Row],[PlantationDate]])," ", YEAR(CompilDonnées[[#This Row],[PlantationDate]]))</f>
        <v>3 2025</v>
      </c>
      <c r="M1723" t="str">
        <f>CONCATENATE(MONTH(CompilDonnées[[#This Row],[HarvestingDate]])," ", YEAR(CompilDonnées[[#This Row],[HarvestingDate]]))</f>
        <v>4 2025</v>
      </c>
      <c r="N1723">
        <f>_xlfn.NUMBERVALUE(CompilDonnées[[#This Row],[FarmID]]&amp;CompilDonnées[[#This Row],[ModuleNumber]]&amp;CompilDonnées[[#This Row],[PlantationDate]])</f>
        <v>54345722</v>
      </c>
      <c r="O1723" t="str">
        <f>CompilDonnées[[#This Row],[FarmID]]&amp;CompilDonnées[[#This Row],[ModuleNumber]]</f>
        <v>543</v>
      </c>
      <c r="P1723" t="str">
        <f>CompilDonnées[[#This Row],[Ref_Module]]&amp;CompilDonnées[[#This Row],[HarvestingDate]]</f>
        <v>54345770</v>
      </c>
    </row>
    <row r="1724" spans="1:16">
      <c r="A1724" s="5">
        <v>45722</v>
      </c>
      <c r="B1724">
        <v>56</v>
      </c>
      <c r="C1724" t="s">
        <v>6</v>
      </c>
      <c r="D1724">
        <v>3</v>
      </c>
      <c r="E1724">
        <v>100</v>
      </c>
      <c r="F1724" t="s">
        <v>1</v>
      </c>
      <c r="G1724" s="6">
        <v>45763</v>
      </c>
      <c r="H1724">
        <v>41</v>
      </c>
      <c r="I1724">
        <f>ROUND(CompilDonnées[[#This Row],[CultureDuration_days]]/7,0)</f>
        <v>6</v>
      </c>
      <c r="J1724">
        <v>3760</v>
      </c>
      <c r="K1724" t="str">
        <f>_xlfn.CONCAT(WEEKNUM(CompilDonnées[[#This Row],[PlantationDate]]), " ", YEAR(CompilDonnées[[#This Row],[PlantationDate]]))</f>
        <v>10 2025</v>
      </c>
      <c r="L1724" t="str">
        <f>CONCATENATE(MONTH(CompilDonnées[[#This Row],[PlantationDate]])," ", YEAR(CompilDonnées[[#This Row],[PlantationDate]]))</f>
        <v>3 2025</v>
      </c>
      <c r="M1724" t="str">
        <f>CONCATENATE(MONTH(CompilDonnées[[#This Row],[HarvestingDate]])," ", YEAR(CompilDonnées[[#This Row],[HarvestingDate]]))</f>
        <v>4 2025</v>
      </c>
      <c r="N1724">
        <f>_xlfn.NUMBERVALUE(CompilDonnées[[#This Row],[FarmID]]&amp;CompilDonnées[[#This Row],[ModuleNumber]]&amp;CompilDonnées[[#This Row],[PlantationDate]])</f>
        <v>56345722</v>
      </c>
      <c r="O1724" t="str">
        <f>CompilDonnées[[#This Row],[FarmID]]&amp;CompilDonnées[[#This Row],[ModuleNumber]]</f>
        <v>563</v>
      </c>
      <c r="P1724" t="str">
        <f>CompilDonnées[[#This Row],[Ref_Module]]&amp;CompilDonnées[[#This Row],[HarvestingDate]]</f>
        <v>56345763</v>
      </c>
    </row>
    <row r="1725" spans="1:16">
      <c r="A1725" s="5">
        <v>45722</v>
      </c>
      <c r="B1725">
        <v>60</v>
      </c>
      <c r="C1725" t="s">
        <v>113</v>
      </c>
      <c r="D1725">
        <v>4</v>
      </c>
      <c r="E1725">
        <v>100</v>
      </c>
      <c r="F1725" t="s">
        <v>1</v>
      </c>
      <c r="G1725" s="6">
        <v>45765</v>
      </c>
      <c r="H1725">
        <v>43</v>
      </c>
      <c r="I1725">
        <f>ROUND(CompilDonnées[[#This Row],[CultureDuration_days]]/7,0)</f>
        <v>6</v>
      </c>
      <c r="J1725">
        <v>3797</v>
      </c>
      <c r="K1725" t="str">
        <f>_xlfn.CONCAT(WEEKNUM(CompilDonnées[[#This Row],[PlantationDate]]), " ", YEAR(CompilDonnées[[#This Row],[PlantationDate]]))</f>
        <v>10 2025</v>
      </c>
      <c r="L1725" t="str">
        <f>CONCATENATE(MONTH(CompilDonnées[[#This Row],[PlantationDate]])," ", YEAR(CompilDonnées[[#This Row],[PlantationDate]]))</f>
        <v>3 2025</v>
      </c>
      <c r="M1725" t="str">
        <f>CONCATENATE(MONTH(CompilDonnées[[#This Row],[HarvestingDate]])," ", YEAR(CompilDonnées[[#This Row],[HarvestingDate]]))</f>
        <v>4 2025</v>
      </c>
      <c r="N1725">
        <f>_xlfn.NUMBERVALUE(CompilDonnées[[#This Row],[FarmID]]&amp;CompilDonnées[[#This Row],[ModuleNumber]]&amp;CompilDonnées[[#This Row],[PlantationDate]])</f>
        <v>60445722</v>
      </c>
      <c r="O1725" t="str">
        <f>CompilDonnées[[#This Row],[FarmID]]&amp;CompilDonnées[[#This Row],[ModuleNumber]]</f>
        <v>604</v>
      </c>
      <c r="P1725" t="str">
        <f>CompilDonnées[[#This Row],[Ref_Module]]&amp;CompilDonnées[[#This Row],[HarvestingDate]]</f>
        <v>60445765</v>
      </c>
    </row>
    <row r="1726" spans="1:16">
      <c r="A1726" s="5">
        <v>45722</v>
      </c>
      <c r="B1726">
        <v>62</v>
      </c>
      <c r="C1726" t="s">
        <v>3</v>
      </c>
      <c r="D1726">
        <v>1</v>
      </c>
      <c r="E1726">
        <v>60</v>
      </c>
      <c r="F1726" t="s">
        <v>105</v>
      </c>
      <c r="G1726" s="6">
        <v>45778</v>
      </c>
      <c r="H1726">
        <v>56</v>
      </c>
      <c r="I1726">
        <f>ROUND(CompilDonnées[[#This Row],[CultureDuration_days]]/7,0)</f>
        <v>8</v>
      </c>
      <c r="J1726">
        <v>1000</v>
      </c>
      <c r="K1726" t="str">
        <f>_xlfn.CONCAT(WEEKNUM(CompilDonnées[[#This Row],[PlantationDate]]), " ", YEAR(CompilDonnées[[#This Row],[PlantationDate]]))</f>
        <v>10 2025</v>
      </c>
      <c r="L1726" t="str">
        <f>CONCATENATE(MONTH(CompilDonnées[[#This Row],[PlantationDate]])," ", YEAR(CompilDonnées[[#This Row],[PlantationDate]]))</f>
        <v>3 2025</v>
      </c>
      <c r="M1726" t="str">
        <f>CONCATENATE(MONTH(CompilDonnées[[#This Row],[HarvestingDate]])," ", YEAR(CompilDonnées[[#This Row],[HarvestingDate]]))</f>
        <v>5 2025</v>
      </c>
      <c r="N1726">
        <f>_xlfn.NUMBERVALUE(CompilDonnées[[#This Row],[FarmID]]&amp;CompilDonnées[[#This Row],[ModuleNumber]]&amp;CompilDonnées[[#This Row],[PlantationDate]])</f>
        <v>62145722</v>
      </c>
      <c r="O1726" t="str">
        <f>CompilDonnées[[#This Row],[FarmID]]&amp;CompilDonnées[[#This Row],[ModuleNumber]]</f>
        <v>621</v>
      </c>
      <c r="P1726" t="str">
        <f>CompilDonnées[[#This Row],[Ref_Module]]&amp;CompilDonnées[[#This Row],[HarvestingDate]]</f>
        <v>62145778</v>
      </c>
    </row>
    <row r="1727" spans="1:16">
      <c r="A1727" s="5">
        <v>45722</v>
      </c>
      <c r="B1727">
        <v>62</v>
      </c>
      <c r="C1727" t="s">
        <v>3</v>
      </c>
      <c r="D1727">
        <v>2</v>
      </c>
      <c r="E1727">
        <v>60</v>
      </c>
      <c r="F1727" t="s">
        <v>105</v>
      </c>
      <c r="G1727" s="6">
        <v>45778</v>
      </c>
      <c r="H1727">
        <v>56</v>
      </c>
      <c r="I1727">
        <f>ROUND(CompilDonnées[[#This Row],[CultureDuration_days]]/7,0)</f>
        <v>8</v>
      </c>
      <c r="J1727">
        <v>1000</v>
      </c>
      <c r="K1727" t="str">
        <f>_xlfn.CONCAT(WEEKNUM(CompilDonnées[[#This Row],[PlantationDate]]), " ", YEAR(CompilDonnées[[#This Row],[PlantationDate]]))</f>
        <v>10 2025</v>
      </c>
      <c r="L1727" t="str">
        <f>CONCATENATE(MONTH(CompilDonnées[[#This Row],[PlantationDate]])," ", YEAR(CompilDonnées[[#This Row],[PlantationDate]]))</f>
        <v>3 2025</v>
      </c>
      <c r="M1727" t="str">
        <f>CONCATENATE(MONTH(CompilDonnées[[#This Row],[HarvestingDate]])," ", YEAR(CompilDonnées[[#This Row],[HarvestingDate]]))</f>
        <v>5 2025</v>
      </c>
      <c r="N1727">
        <f>_xlfn.NUMBERVALUE(CompilDonnées[[#This Row],[FarmID]]&amp;CompilDonnées[[#This Row],[ModuleNumber]]&amp;CompilDonnées[[#This Row],[PlantationDate]])</f>
        <v>62245722</v>
      </c>
      <c r="O1727" t="str">
        <f>CompilDonnées[[#This Row],[FarmID]]&amp;CompilDonnées[[#This Row],[ModuleNumber]]</f>
        <v>622</v>
      </c>
      <c r="P1727" t="str">
        <f>CompilDonnées[[#This Row],[Ref_Module]]&amp;CompilDonnées[[#This Row],[HarvestingDate]]</f>
        <v>62245778</v>
      </c>
    </row>
    <row r="1728" spans="1:16">
      <c r="A1728" s="5">
        <v>45722</v>
      </c>
      <c r="B1728">
        <v>64</v>
      </c>
      <c r="C1728" t="s">
        <v>47</v>
      </c>
      <c r="D1728">
        <v>4</v>
      </c>
      <c r="E1728">
        <v>100</v>
      </c>
      <c r="F1728" t="s">
        <v>1</v>
      </c>
      <c r="G1728" s="6">
        <v>45770</v>
      </c>
      <c r="H1728">
        <v>48</v>
      </c>
      <c r="I1728">
        <f>ROUND(CompilDonnées[[#This Row],[CultureDuration_days]]/7,0)</f>
        <v>7</v>
      </c>
      <c r="J1728">
        <v>3244</v>
      </c>
      <c r="K1728" t="str">
        <f>_xlfn.CONCAT(WEEKNUM(CompilDonnées[[#This Row],[PlantationDate]]), " ", YEAR(CompilDonnées[[#This Row],[PlantationDate]]))</f>
        <v>10 2025</v>
      </c>
      <c r="L1728" t="str">
        <f>CONCATENATE(MONTH(CompilDonnées[[#This Row],[PlantationDate]])," ", YEAR(CompilDonnées[[#This Row],[PlantationDate]]))</f>
        <v>3 2025</v>
      </c>
      <c r="M1728" t="str">
        <f>CONCATENATE(MONTH(CompilDonnées[[#This Row],[HarvestingDate]])," ", YEAR(CompilDonnées[[#This Row],[HarvestingDate]]))</f>
        <v>4 2025</v>
      </c>
      <c r="N1728">
        <f>_xlfn.NUMBERVALUE(CompilDonnées[[#This Row],[FarmID]]&amp;CompilDonnées[[#This Row],[ModuleNumber]]&amp;CompilDonnées[[#This Row],[PlantationDate]])</f>
        <v>64445722</v>
      </c>
      <c r="O1728" t="str">
        <f>CompilDonnées[[#This Row],[FarmID]]&amp;CompilDonnées[[#This Row],[ModuleNumber]]</f>
        <v>644</v>
      </c>
      <c r="P1728" t="str">
        <f>CompilDonnées[[#This Row],[Ref_Module]]&amp;CompilDonnées[[#This Row],[HarvestingDate]]</f>
        <v>64445770</v>
      </c>
    </row>
    <row r="1729" spans="1:16">
      <c r="A1729" s="5">
        <v>45722</v>
      </c>
      <c r="B1729">
        <v>65</v>
      </c>
      <c r="C1729" t="s">
        <v>36</v>
      </c>
      <c r="D1729">
        <v>3</v>
      </c>
      <c r="E1729">
        <v>100</v>
      </c>
      <c r="F1729" t="s">
        <v>1</v>
      </c>
      <c r="G1729" s="6">
        <v>45770</v>
      </c>
      <c r="H1729">
        <v>48</v>
      </c>
      <c r="I1729">
        <f>ROUND(CompilDonnées[[#This Row],[CultureDuration_days]]/7,0)</f>
        <v>7</v>
      </c>
      <c r="J1729">
        <v>3569</v>
      </c>
      <c r="K1729" t="str">
        <f>_xlfn.CONCAT(WEEKNUM(CompilDonnées[[#This Row],[PlantationDate]]), " ", YEAR(CompilDonnées[[#This Row],[PlantationDate]]))</f>
        <v>10 2025</v>
      </c>
      <c r="L1729" t="str">
        <f>CONCATENATE(MONTH(CompilDonnées[[#This Row],[PlantationDate]])," ", YEAR(CompilDonnées[[#This Row],[PlantationDate]]))</f>
        <v>3 2025</v>
      </c>
      <c r="M1729" t="str">
        <f>CONCATENATE(MONTH(CompilDonnées[[#This Row],[HarvestingDate]])," ", YEAR(CompilDonnées[[#This Row],[HarvestingDate]]))</f>
        <v>4 2025</v>
      </c>
      <c r="N1729">
        <f>_xlfn.NUMBERVALUE(CompilDonnées[[#This Row],[FarmID]]&amp;CompilDonnées[[#This Row],[ModuleNumber]]&amp;CompilDonnées[[#This Row],[PlantationDate]])</f>
        <v>65345722</v>
      </c>
      <c r="O1729" t="str">
        <f>CompilDonnées[[#This Row],[FarmID]]&amp;CompilDonnées[[#This Row],[ModuleNumber]]</f>
        <v>653</v>
      </c>
      <c r="P1729" t="str">
        <f>CompilDonnées[[#This Row],[Ref_Module]]&amp;CompilDonnées[[#This Row],[HarvestingDate]]</f>
        <v>65345770</v>
      </c>
    </row>
    <row r="1730" spans="1:16">
      <c r="A1730" s="5">
        <v>45722</v>
      </c>
      <c r="B1730">
        <v>66</v>
      </c>
      <c r="C1730" t="s">
        <v>48</v>
      </c>
      <c r="D1730">
        <v>5</v>
      </c>
      <c r="E1730">
        <v>100</v>
      </c>
      <c r="F1730" t="s">
        <v>1</v>
      </c>
      <c r="G1730" s="6">
        <v>45763</v>
      </c>
      <c r="H1730">
        <v>41</v>
      </c>
      <c r="I1730">
        <f>ROUND(CompilDonnées[[#This Row],[CultureDuration_days]]/7,0)</f>
        <v>6</v>
      </c>
      <c r="J1730">
        <v>3283</v>
      </c>
      <c r="K1730" t="str">
        <f>_xlfn.CONCAT(WEEKNUM(CompilDonnées[[#This Row],[PlantationDate]]), " ", YEAR(CompilDonnées[[#This Row],[PlantationDate]]))</f>
        <v>10 2025</v>
      </c>
      <c r="L1730" t="str">
        <f>CONCATENATE(MONTH(CompilDonnées[[#This Row],[PlantationDate]])," ", YEAR(CompilDonnées[[#This Row],[PlantationDate]]))</f>
        <v>3 2025</v>
      </c>
      <c r="M1730" t="str">
        <f>CONCATENATE(MONTH(CompilDonnées[[#This Row],[HarvestingDate]])," ", YEAR(CompilDonnées[[#This Row],[HarvestingDate]]))</f>
        <v>4 2025</v>
      </c>
      <c r="N1730">
        <f>_xlfn.NUMBERVALUE(CompilDonnées[[#This Row],[FarmID]]&amp;CompilDonnées[[#This Row],[ModuleNumber]]&amp;CompilDonnées[[#This Row],[PlantationDate]])</f>
        <v>66545722</v>
      </c>
      <c r="O1730" t="str">
        <f>CompilDonnées[[#This Row],[FarmID]]&amp;CompilDonnées[[#This Row],[ModuleNumber]]</f>
        <v>665</v>
      </c>
      <c r="P1730" t="str">
        <f>CompilDonnées[[#This Row],[Ref_Module]]&amp;CompilDonnées[[#This Row],[HarvestingDate]]</f>
        <v>66545763</v>
      </c>
    </row>
    <row r="1731" spans="1:16">
      <c r="A1731" s="5">
        <v>45722</v>
      </c>
      <c r="B1731">
        <v>69</v>
      </c>
      <c r="C1731" t="s">
        <v>102</v>
      </c>
      <c r="D1731">
        <v>5</v>
      </c>
      <c r="E1731">
        <v>100</v>
      </c>
      <c r="F1731" t="s">
        <v>1</v>
      </c>
      <c r="G1731" s="6">
        <v>45770</v>
      </c>
      <c r="H1731">
        <v>48</v>
      </c>
      <c r="I1731">
        <f>ROUND(CompilDonnées[[#This Row],[CultureDuration_days]]/7,0)</f>
        <v>7</v>
      </c>
      <c r="J1731">
        <v>3278</v>
      </c>
      <c r="K1731" t="str">
        <f>_xlfn.CONCAT(WEEKNUM(CompilDonnées[[#This Row],[PlantationDate]]), " ", YEAR(CompilDonnées[[#This Row],[PlantationDate]]))</f>
        <v>10 2025</v>
      </c>
      <c r="L1731" t="str">
        <f>CONCATENATE(MONTH(CompilDonnées[[#This Row],[PlantationDate]])," ", YEAR(CompilDonnées[[#This Row],[PlantationDate]]))</f>
        <v>3 2025</v>
      </c>
      <c r="M1731" t="str">
        <f>CONCATENATE(MONTH(CompilDonnées[[#This Row],[HarvestingDate]])," ", YEAR(CompilDonnées[[#This Row],[HarvestingDate]]))</f>
        <v>4 2025</v>
      </c>
      <c r="N1731">
        <f>_xlfn.NUMBERVALUE(CompilDonnées[[#This Row],[FarmID]]&amp;CompilDonnées[[#This Row],[ModuleNumber]]&amp;CompilDonnées[[#This Row],[PlantationDate]])</f>
        <v>69545722</v>
      </c>
      <c r="O1731" t="str">
        <f>CompilDonnées[[#This Row],[FarmID]]&amp;CompilDonnées[[#This Row],[ModuleNumber]]</f>
        <v>695</v>
      </c>
      <c r="P1731" t="str">
        <f>CompilDonnées[[#This Row],[Ref_Module]]&amp;CompilDonnées[[#This Row],[HarvestingDate]]</f>
        <v>69545770</v>
      </c>
    </row>
    <row r="1732" spans="1:16">
      <c r="A1732" s="5">
        <v>45722</v>
      </c>
      <c r="B1732">
        <v>71</v>
      </c>
      <c r="C1732" t="s">
        <v>19</v>
      </c>
      <c r="D1732">
        <v>4</v>
      </c>
      <c r="E1732">
        <v>100</v>
      </c>
      <c r="F1732" t="s">
        <v>1</v>
      </c>
      <c r="G1732" s="6">
        <v>45762</v>
      </c>
      <c r="H1732">
        <v>40</v>
      </c>
      <c r="I1732">
        <f>ROUND(CompilDonnées[[#This Row],[CultureDuration_days]]/7,0)</f>
        <v>6</v>
      </c>
      <c r="J1732">
        <v>3230</v>
      </c>
      <c r="K1732" t="str">
        <f>_xlfn.CONCAT(WEEKNUM(CompilDonnées[[#This Row],[PlantationDate]]), " ", YEAR(CompilDonnées[[#This Row],[PlantationDate]]))</f>
        <v>10 2025</v>
      </c>
      <c r="L1732" t="str">
        <f>CONCATENATE(MONTH(CompilDonnées[[#This Row],[PlantationDate]])," ", YEAR(CompilDonnées[[#This Row],[PlantationDate]]))</f>
        <v>3 2025</v>
      </c>
      <c r="M1732" t="str">
        <f>CONCATENATE(MONTH(CompilDonnées[[#This Row],[HarvestingDate]])," ", YEAR(CompilDonnées[[#This Row],[HarvestingDate]]))</f>
        <v>4 2025</v>
      </c>
      <c r="N1732">
        <f>_xlfn.NUMBERVALUE(CompilDonnées[[#This Row],[FarmID]]&amp;CompilDonnées[[#This Row],[ModuleNumber]]&amp;CompilDonnées[[#This Row],[PlantationDate]])</f>
        <v>71445722</v>
      </c>
      <c r="O1732" t="str">
        <f>CompilDonnées[[#This Row],[FarmID]]&amp;CompilDonnées[[#This Row],[ModuleNumber]]</f>
        <v>714</v>
      </c>
      <c r="P1732" t="str">
        <f>CompilDonnées[[#This Row],[Ref_Module]]&amp;CompilDonnées[[#This Row],[HarvestingDate]]</f>
        <v>71445762</v>
      </c>
    </row>
    <row r="1733" spans="1:16">
      <c r="A1733" s="5">
        <v>45722</v>
      </c>
      <c r="B1733">
        <v>74</v>
      </c>
      <c r="C1733" t="s">
        <v>21</v>
      </c>
      <c r="D1733">
        <v>1</v>
      </c>
      <c r="E1733">
        <v>100</v>
      </c>
      <c r="F1733" t="s">
        <v>1</v>
      </c>
      <c r="G1733" s="6">
        <v>45762</v>
      </c>
      <c r="H1733">
        <v>40</v>
      </c>
      <c r="I1733">
        <f>ROUND(CompilDonnées[[#This Row],[CultureDuration_days]]/7,0)</f>
        <v>6</v>
      </c>
      <c r="J1733">
        <v>2527</v>
      </c>
      <c r="K1733" t="str">
        <f>_xlfn.CONCAT(WEEKNUM(CompilDonnées[[#This Row],[PlantationDate]]), " ", YEAR(CompilDonnées[[#This Row],[PlantationDate]]))</f>
        <v>10 2025</v>
      </c>
      <c r="L1733" t="str">
        <f>CONCATENATE(MONTH(CompilDonnées[[#This Row],[PlantationDate]])," ", YEAR(CompilDonnées[[#This Row],[PlantationDate]]))</f>
        <v>3 2025</v>
      </c>
      <c r="M1733" t="str">
        <f>CONCATENATE(MONTH(CompilDonnées[[#This Row],[HarvestingDate]])," ", YEAR(CompilDonnées[[#This Row],[HarvestingDate]]))</f>
        <v>4 2025</v>
      </c>
      <c r="N1733">
        <f>_xlfn.NUMBERVALUE(CompilDonnées[[#This Row],[FarmID]]&amp;CompilDonnées[[#This Row],[ModuleNumber]]&amp;CompilDonnées[[#This Row],[PlantationDate]])</f>
        <v>74145722</v>
      </c>
      <c r="O1733" t="str">
        <f>CompilDonnées[[#This Row],[FarmID]]&amp;CompilDonnées[[#This Row],[ModuleNumber]]</f>
        <v>741</v>
      </c>
      <c r="P1733" t="str">
        <f>CompilDonnées[[#This Row],[Ref_Module]]&amp;CompilDonnées[[#This Row],[HarvestingDate]]</f>
        <v>74145762</v>
      </c>
    </row>
    <row r="1734" spans="1:16">
      <c r="A1734" s="5">
        <v>45722</v>
      </c>
      <c r="B1734">
        <v>78</v>
      </c>
      <c r="C1734" t="s">
        <v>3</v>
      </c>
      <c r="D1734">
        <v>2</v>
      </c>
      <c r="E1734">
        <v>60</v>
      </c>
      <c r="F1734" t="s">
        <v>105</v>
      </c>
      <c r="G1734" s="6">
        <v>45770</v>
      </c>
      <c r="H1734">
        <v>48</v>
      </c>
      <c r="I1734">
        <f>ROUND(CompilDonnées[[#This Row],[CultureDuration_days]]/7,0)</f>
        <v>7</v>
      </c>
      <c r="J1734">
        <v>1333</v>
      </c>
      <c r="K1734" t="str">
        <f>_xlfn.CONCAT(WEEKNUM(CompilDonnées[[#This Row],[PlantationDate]]), " ", YEAR(CompilDonnées[[#This Row],[PlantationDate]]))</f>
        <v>10 2025</v>
      </c>
      <c r="L1734" t="str">
        <f>CONCATENATE(MONTH(CompilDonnées[[#This Row],[PlantationDate]])," ", YEAR(CompilDonnées[[#This Row],[PlantationDate]]))</f>
        <v>3 2025</v>
      </c>
      <c r="M1734" t="str">
        <f>CONCATENATE(MONTH(CompilDonnées[[#This Row],[HarvestingDate]])," ", YEAR(CompilDonnées[[#This Row],[HarvestingDate]]))</f>
        <v>4 2025</v>
      </c>
      <c r="N1734">
        <f>_xlfn.NUMBERVALUE(CompilDonnées[[#This Row],[FarmID]]&amp;CompilDonnées[[#This Row],[ModuleNumber]]&amp;CompilDonnées[[#This Row],[PlantationDate]])</f>
        <v>78245722</v>
      </c>
      <c r="O1734" t="str">
        <f>CompilDonnées[[#This Row],[FarmID]]&amp;CompilDonnées[[#This Row],[ModuleNumber]]</f>
        <v>782</v>
      </c>
      <c r="P1734" t="str">
        <f>CompilDonnées[[#This Row],[Ref_Module]]&amp;CompilDonnées[[#This Row],[HarvestingDate]]</f>
        <v>78245770</v>
      </c>
    </row>
    <row r="1735" spans="1:16">
      <c r="A1735" s="5">
        <v>45722</v>
      </c>
      <c r="B1735">
        <v>78</v>
      </c>
      <c r="C1735" t="s">
        <v>3</v>
      </c>
      <c r="D1735">
        <v>3</v>
      </c>
      <c r="E1735">
        <v>60</v>
      </c>
      <c r="F1735" t="s">
        <v>105</v>
      </c>
      <c r="G1735" s="6">
        <v>45770</v>
      </c>
      <c r="H1735">
        <v>48</v>
      </c>
      <c r="I1735">
        <f>ROUND(CompilDonnées[[#This Row],[CultureDuration_days]]/7,0)</f>
        <v>7</v>
      </c>
      <c r="J1735">
        <v>1337</v>
      </c>
      <c r="K1735" t="str">
        <f>_xlfn.CONCAT(WEEKNUM(CompilDonnées[[#This Row],[PlantationDate]]), " ", YEAR(CompilDonnées[[#This Row],[PlantationDate]]))</f>
        <v>10 2025</v>
      </c>
      <c r="L1735" t="str">
        <f>CONCATENATE(MONTH(CompilDonnées[[#This Row],[PlantationDate]])," ", YEAR(CompilDonnées[[#This Row],[PlantationDate]]))</f>
        <v>3 2025</v>
      </c>
      <c r="M1735" t="str">
        <f>CONCATENATE(MONTH(CompilDonnées[[#This Row],[HarvestingDate]])," ", YEAR(CompilDonnées[[#This Row],[HarvestingDate]]))</f>
        <v>4 2025</v>
      </c>
      <c r="N1735">
        <f>_xlfn.NUMBERVALUE(CompilDonnées[[#This Row],[FarmID]]&amp;CompilDonnées[[#This Row],[ModuleNumber]]&amp;CompilDonnées[[#This Row],[PlantationDate]])</f>
        <v>78345722</v>
      </c>
      <c r="O1735" t="str">
        <f>CompilDonnées[[#This Row],[FarmID]]&amp;CompilDonnées[[#This Row],[ModuleNumber]]</f>
        <v>783</v>
      </c>
      <c r="P1735" t="str">
        <f>CompilDonnées[[#This Row],[Ref_Module]]&amp;CompilDonnées[[#This Row],[HarvestingDate]]</f>
        <v>78345770</v>
      </c>
    </row>
    <row r="1736" spans="1:16">
      <c r="A1736" s="5">
        <v>45722</v>
      </c>
      <c r="B1736">
        <v>127</v>
      </c>
      <c r="C1736" t="s">
        <v>3</v>
      </c>
      <c r="D1736">
        <v>3</v>
      </c>
      <c r="E1736">
        <v>60</v>
      </c>
      <c r="F1736" t="s">
        <v>105</v>
      </c>
      <c r="G1736" s="6">
        <v>45772</v>
      </c>
      <c r="H1736">
        <v>50</v>
      </c>
      <c r="I1736">
        <f>ROUND(CompilDonnées[[#This Row],[CultureDuration_days]]/7,0)</f>
        <v>7</v>
      </c>
      <c r="J1736">
        <v>722</v>
      </c>
      <c r="K1736" t="str">
        <f>_xlfn.CONCAT(WEEKNUM(CompilDonnées[[#This Row],[PlantationDate]]), " ", YEAR(CompilDonnées[[#This Row],[PlantationDate]]))</f>
        <v>10 2025</v>
      </c>
      <c r="L1736" t="str">
        <f>CONCATENATE(MONTH(CompilDonnées[[#This Row],[PlantationDate]])," ", YEAR(CompilDonnées[[#This Row],[PlantationDate]]))</f>
        <v>3 2025</v>
      </c>
      <c r="M1736" t="str">
        <f>CONCATENATE(MONTH(CompilDonnées[[#This Row],[HarvestingDate]])," ", YEAR(CompilDonnées[[#This Row],[HarvestingDate]]))</f>
        <v>4 2025</v>
      </c>
      <c r="N1736">
        <f>_xlfn.NUMBERVALUE(CompilDonnées[[#This Row],[FarmID]]&amp;CompilDonnées[[#This Row],[ModuleNumber]]&amp;CompilDonnées[[#This Row],[PlantationDate]])</f>
        <v>127345722</v>
      </c>
      <c r="O1736" t="str">
        <f>CompilDonnées[[#This Row],[FarmID]]&amp;CompilDonnées[[#This Row],[ModuleNumber]]</f>
        <v>1273</v>
      </c>
      <c r="P1736" t="str">
        <f>CompilDonnées[[#This Row],[Ref_Module]]&amp;CompilDonnées[[#This Row],[HarvestingDate]]</f>
        <v>127345772</v>
      </c>
    </row>
    <row r="1737" spans="1:16">
      <c r="A1737" s="5">
        <v>45722</v>
      </c>
      <c r="B1737">
        <v>209</v>
      </c>
      <c r="C1737" t="s">
        <v>118</v>
      </c>
      <c r="D1737">
        <v>1</v>
      </c>
      <c r="E1737">
        <v>100</v>
      </c>
      <c r="F1737" t="s">
        <v>1</v>
      </c>
      <c r="G1737" s="6">
        <v>45765</v>
      </c>
      <c r="H1737">
        <v>43</v>
      </c>
      <c r="I1737">
        <f>ROUND(CompilDonnées[[#This Row],[CultureDuration_days]]/7,0)</f>
        <v>6</v>
      </c>
      <c r="J1737">
        <v>3764</v>
      </c>
      <c r="K1737" t="str">
        <f>_xlfn.CONCAT(WEEKNUM(CompilDonnées[[#This Row],[PlantationDate]]), " ", YEAR(CompilDonnées[[#This Row],[PlantationDate]]))</f>
        <v>10 2025</v>
      </c>
      <c r="L1737" t="str">
        <f>CONCATENATE(MONTH(CompilDonnées[[#This Row],[PlantationDate]])," ", YEAR(CompilDonnées[[#This Row],[PlantationDate]]))</f>
        <v>3 2025</v>
      </c>
      <c r="M1737" t="str">
        <f>CONCATENATE(MONTH(CompilDonnées[[#This Row],[HarvestingDate]])," ", YEAR(CompilDonnées[[#This Row],[HarvestingDate]]))</f>
        <v>4 2025</v>
      </c>
      <c r="N1737">
        <f>_xlfn.NUMBERVALUE(CompilDonnées[[#This Row],[FarmID]]&amp;CompilDonnées[[#This Row],[ModuleNumber]]&amp;CompilDonnées[[#This Row],[PlantationDate]])</f>
        <v>209145722</v>
      </c>
      <c r="O1737" t="str">
        <f>CompilDonnées[[#This Row],[FarmID]]&amp;CompilDonnées[[#This Row],[ModuleNumber]]</f>
        <v>2091</v>
      </c>
      <c r="P1737" t="str">
        <f>CompilDonnées[[#This Row],[Ref_Module]]&amp;CompilDonnées[[#This Row],[HarvestingDate]]</f>
        <v>209145765</v>
      </c>
    </row>
    <row r="1738" spans="1:16">
      <c r="A1738" s="5">
        <v>45722</v>
      </c>
      <c r="B1738">
        <v>209</v>
      </c>
      <c r="C1738" t="s">
        <v>118</v>
      </c>
      <c r="D1738">
        <v>2</v>
      </c>
      <c r="E1738">
        <v>68</v>
      </c>
      <c r="F1738" t="s">
        <v>1</v>
      </c>
      <c r="G1738" s="6">
        <v>45765</v>
      </c>
      <c r="H1738">
        <v>43</v>
      </c>
      <c r="I1738">
        <f>ROUND(CompilDonnées[[#This Row],[CultureDuration_days]]/7,0)</f>
        <v>6</v>
      </c>
      <c r="J1738">
        <v>2559</v>
      </c>
      <c r="K1738" t="str">
        <f>_xlfn.CONCAT(WEEKNUM(CompilDonnées[[#This Row],[PlantationDate]]), " ", YEAR(CompilDonnées[[#This Row],[PlantationDate]]))</f>
        <v>10 2025</v>
      </c>
      <c r="L1738" t="str">
        <f>CONCATENATE(MONTH(CompilDonnées[[#This Row],[PlantationDate]])," ", YEAR(CompilDonnées[[#This Row],[PlantationDate]]))</f>
        <v>3 2025</v>
      </c>
      <c r="M1738" t="str">
        <f>CONCATENATE(MONTH(CompilDonnées[[#This Row],[HarvestingDate]])," ", YEAR(CompilDonnées[[#This Row],[HarvestingDate]]))</f>
        <v>4 2025</v>
      </c>
      <c r="N1738">
        <f>_xlfn.NUMBERVALUE(CompilDonnées[[#This Row],[FarmID]]&amp;CompilDonnées[[#This Row],[ModuleNumber]]&amp;CompilDonnées[[#This Row],[PlantationDate]])</f>
        <v>209245722</v>
      </c>
      <c r="O1738" t="str">
        <f>CompilDonnées[[#This Row],[FarmID]]&amp;CompilDonnées[[#This Row],[ModuleNumber]]</f>
        <v>2092</v>
      </c>
      <c r="P1738" t="str">
        <f>CompilDonnées[[#This Row],[Ref_Module]]&amp;CompilDonnées[[#This Row],[HarvestingDate]]</f>
        <v>209245765</v>
      </c>
    </row>
    <row r="1739" spans="1:16">
      <c r="A1739" s="5">
        <v>45722</v>
      </c>
      <c r="B1739">
        <v>209</v>
      </c>
      <c r="C1739" t="s">
        <v>118</v>
      </c>
      <c r="D1739">
        <v>3</v>
      </c>
      <c r="E1739">
        <v>52</v>
      </c>
      <c r="F1739" t="s">
        <v>1</v>
      </c>
      <c r="G1739" s="6">
        <v>45765</v>
      </c>
      <c r="H1739">
        <v>43</v>
      </c>
      <c r="I1739">
        <f>ROUND(CompilDonnées[[#This Row],[CultureDuration_days]]/7,0)</f>
        <v>6</v>
      </c>
      <c r="J1739">
        <v>1957</v>
      </c>
      <c r="K1739" t="str">
        <f>_xlfn.CONCAT(WEEKNUM(CompilDonnées[[#This Row],[PlantationDate]]), " ", YEAR(CompilDonnées[[#This Row],[PlantationDate]]))</f>
        <v>10 2025</v>
      </c>
      <c r="L1739" t="str">
        <f>CONCATENATE(MONTH(CompilDonnées[[#This Row],[PlantationDate]])," ", YEAR(CompilDonnées[[#This Row],[PlantationDate]]))</f>
        <v>3 2025</v>
      </c>
      <c r="M1739" t="str">
        <f>CONCATENATE(MONTH(CompilDonnées[[#This Row],[HarvestingDate]])," ", YEAR(CompilDonnées[[#This Row],[HarvestingDate]]))</f>
        <v>4 2025</v>
      </c>
      <c r="N1739">
        <f>_xlfn.NUMBERVALUE(CompilDonnées[[#This Row],[FarmID]]&amp;CompilDonnées[[#This Row],[ModuleNumber]]&amp;CompilDonnées[[#This Row],[PlantationDate]])</f>
        <v>209345722</v>
      </c>
      <c r="O1739" t="str">
        <f>CompilDonnées[[#This Row],[FarmID]]&amp;CompilDonnées[[#This Row],[ModuleNumber]]</f>
        <v>2093</v>
      </c>
      <c r="P1739" t="str">
        <f>CompilDonnées[[#This Row],[Ref_Module]]&amp;CompilDonnées[[#This Row],[HarvestingDate]]</f>
        <v>209345765</v>
      </c>
    </row>
    <row r="1740" spans="1:16">
      <c r="A1740" s="5">
        <v>45722</v>
      </c>
      <c r="B1740">
        <v>33</v>
      </c>
      <c r="C1740" t="s">
        <v>104</v>
      </c>
      <c r="D1740">
        <v>2</v>
      </c>
      <c r="E1740">
        <v>100</v>
      </c>
      <c r="F1740" t="s">
        <v>1</v>
      </c>
      <c r="G1740" s="6">
        <v>45765</v>
      </c>
      <c r="H1740">
        <v>43</v>
      </c>
      <c r="I1740">
        <f>ROUND(CompilDonnées[[#This Row],[CultureDuration_days]]/7,0)</f>
        <v>6</v>
      </c>
      <c r="J1740">
        <v>3070</v>
      </c>
      <c r="K1740" t="str">
        <f>_xlfn.CONCAT(WEEKNUM(CompilDonnées[[#This Row],[PlantationDate]]), " ", YEAR(CompilDonnées[[#This Row],[PlantationDate]]))</f>
        <v>10 2025</v>
      </c>
      <c r="L1740" t="str">
        <f>CONCATENATE(MONTH(CompilDonnées[[#This Row],[PlantationDate]])," ", YEAR(CompilDonnées[[#This Row],[PlantationDate]]))</f>
        <v>3 2025</v>
      </c>
      <c r="M1740" t="str">
        <f>CONCATENATE(MONTH(CompilDonnées[[#This Row],[HarvestingDate]])," ", YEAR(CompilDonnées[[#This Row],[HarvestingDate]]))</f>
        <v>4 2025</v>
      </c>
      <c r="N1740">
        <f>_xlfn.NUMBERVALUE(CompilDonnées[[#This Row],[FarmID]]&amp;CompilDonnées[[#This Row],[ModuleNumber]]&amp;CompilDonnées[[#This Row],[PlantationDate]])</f>
        <v>33245722</v>
      </c>
      <c r="O1740" t="str">
        <f>CompilDonnées[[#This Row],[FarmID]]&amp;CompilDonnées[[#This Row],[ModuleNumber]]</f>
        <v>332</v>
      </c>
      <c r="P1740" t="str">
        <f>CompilDonnées[[#This Row],[Ref_Module]]&amp;CompilDonnées[[#This Row],[HarvestingDate]]</f>
        <v>33245765</v>
      </c>
    </row>
    <row r="1741" spans="1:16">
      <c r="A1741" s="5">
        <v>45722</v>
      </c>
      <c r="B1741">
        <v>34</v>
      </c>
      <c r="C1741" t="s">
        <v>68</v>
      </c>
      <c r="D1741">
        <v>3</v>
      </c>
      <c r="E1741">
        <v>100</v>
      </c>
      <c r="F1741" t="s">
        <v>1</v>
      </c>
      <c r="G1741" s="6">
        <v>45764</v>
      </c>
      <c r="H1741">
        <v>42</v>
      </c>
      <c r="I1741">
        <f>ROUND(CompilDonnées[[#This Row],[CultureDuration_days]]/7,0)</f>
        <v>6</v>
      </c>
      <c r="J1741">
        <v>2988</v>
      </c>
      <c r="K1741" t="str">
        <f>_xlfn.CONCAT(WEEKNUM(CompilDonnées[[#This Row],[PlantationDate]]), " ", YEAR(CompilDonnées[[#This Row],[PlantationDate]]))</f>
        <v>10 2025</v>
      </c>
      <c r="L1741" t="str">
        <f>CONCATENATE(MONTH(CompilDonnées[[#This Row],[PlantationDate]])," ", YEAR(CompilDonnées[[#This Row],[PlantationDate]]))</f>
        <v>3 2025</v>
      </c>
      <c r="M1741" t="str">
        <f>CONCATENATE(MONTH(CompilDonnées[[#This Row],[HarvestingDate]])," ", YEAR(CompilDonnées[[#This Row],[HarvestingDate]]))</f>
        <v>4 2025</v>
      </c>
      <c r="N1741">
        <f>_xlfn.NUMBERVALUE(CompilDonnées[[#This Row],[FarmID]]&amp;CompilDonnées[[#This Row],[ModuleNumber]]&amp;CompilDonnées[[#This Row],[PlantationDate]])</f>
        <v>34345722</v>
      </c>
      <c r="O1741" t="str">
        <f>CompilDonnées[[#This Row],[FarmID]]&amp;CompilDonnées[[#This Row],[ModuleNumber]]</f>
        <v>343</v>
      </c>
      <c r="P1741" t="str">
        <f>CompilDonnées[[#This Row],[Ref_Module]]&amp;CompilDonnées[[#This Row],[HarvestingDate]]</f>
        <v>34345764</v>
      </c>
    </row>
    <row r="1742" spans="1:16">
      <c r="A1742" s="5">
        <v>45722</v>
      </c>
      <c r="B1742">
        <v>35</v>
      </c>
      <c r="C1742" t="s">
        <v>69</v>
      </c>
      <c r="D1742">
        <v>5</v>
      </c>
      <c r="E1742">
        <v>100</v>
      </c>
      <c r="F1742" t="s">
        <v>1</v>
      </c>
      <c r="G1742" s="6">
        <v>45764</v>
      </c>
      <c r="H1742">
        <v>42</v>
      </c>
      <c r="I1742">
        <f>ROUND(CompilDonnées[[#This Row],[CultureDuration_days]]/7,0)</f>
        <v>6</v>
      </c>
      <c r="J1742">
        <v>4297</v>
      </c>
      <c r="K1742" t="str">
        <f>_xlfn.CONCAT(WEEKNUM(CompilDonnées[[#This Row],[PlantationDate]]), " ", YEAR(CompilDonnées[[#This Row],[PlantationDate]]))</f>
        <v>10 2025</v>
      </c>
      <c r="L1742" t="str">
        <f>CONCATENATE(MONTH(CompilDonnées[[#This Row],[PlantationDate]])," ", YEAR(CompilDonnées[[#This Row],[PlantationDate]]))</f>
        <v>3 2025</v>
      </c>
      <c r="M1742" t="str">
        <f>CONCATENATE(MONTH(CompilDonnées[[#This Row],[HarvestingDate]])," ", YEAR(CompilDonnées[[#This Row],[HarvestingDate]]))</f>
        <v>4 2025</v>
      </c>
      <c r="N1742">
        <f>_xlfn.NUMBERVALUE(CompilDonnées[[#This Row],[FarmID]]&amp;CompilDonnées[[#This Row],[ModuleNumber]]&amp;CompilDonnées[[#This Row],[PlantationDate]])</f>
        <v>35545722</v>
      </c>
      <c r="O1742" t="str">
        <f>CompilDonnées[[#This Row],[FarmID]]&amp;CompilDonnées[[#This Row],[ModuleNumber]]</f>
        <v>355</v>
      </c>
      <c r="P1742" t="str">
        <f>CompilDonnées[[#This Row],[Ref_Module]]&amp;CompilDonnées[[#This Row],[HarvestingDate]]</f>
        <v>35545764</v>
      </c>
    </row>
    <row r="1743" spans="1:16">
      <c r="A1743" s="5">
        <v>45722</v>
      </c>
      <c r="B1743">
        <v>36</v>
      </c>
      <c r="C1743" t="s">
        <v>63</v>
      </c>
      <c r="D1743">
        <v>4</v>
      </c>
      <c r="E1743">
        <v>100</v>
      </c>
      <c r="F1743" t="s">
        <v>1</v>
      </c>
      <c r="G1743" s="6">
        <v>45764</v>
      </c>
      <c r="H1743">
        <v>42</v>
      </c>
      <c r="I1743">
        <f>ROUND(CompilDonnées[[#This Row],[CultureDuration_days]]/7,0)</f>
        <v>6</v>
      </c>
      <c r="J1743">
        <v>3435</v>
      </c>
      <c r="K1743" t="str">
        <f>_xlfn.CONCAT(WEEKNUM(CompilDonnées[[#This Row],[PlantationDate]]), " ", YEAR(CompilDonnées[[#This Row],[PlantationDate]]))</f>
        <v>10 2025</v>
      </c>
      <c r="L1743" t="str">
        <f>CONCATENATE(MONTH(CompilDonnées[[#This Row],[PlantationDate]])," ", YEAR(CompilDonnées[[#This Row],[PlantationDate]]))</f>
        <v>3 2025</v>
      </c>
      <c r="M1743" t="str">
        <f>CONCATENATE(MONTH(CompilDonnées[[#This Row],[HarvestingDate]])," ", YEAR(CompilDonnées[[#This Row],[HarvestingDate]]))</f>
        <v>4 2025</v>
      </c>
      <c r="N1743">
        <f>_xlfn.NUMBERVALUE(CompilDonnées[[#This Row],[FarmID]]&amp;CompilDonnées[[#This Row],[ModuleNumber]]&amp;CompilDonnées[[#This Row],[PlantationDate]])</f>
        <v>36445722</v>
      </c>
      <c r="O1743" t="str">
        <f>CompilDonnées[[#This Row],[FarmID]]&amp;CompilDonnées[[#This Row],[ModuleNumber]]</f>
        <v>364</v>
      </c>
      <c r="P1743" t="str">
        <f>CompilDonnées[[#This Row],[Ref_Module]]&amp;CompilDonnées[[#This Row],[HarvestingDate]]</f>
        <v>36445764</v>
      </c>
    </row>
    <row r="1744" spans="1:16">
      <c r="A1744" s="5">
        <v>45722</v>
      </c>
      <c r="B1744">
        <v>36</v>
      </c>
      <c r="C1744" t="s">
        <v>63</v>
      </c>
      <c r="D1744">
        <v>5</v>
      </c>
      <c r="E1744">
        <v>100</v>
      </c>
      <c r="F1744" t="s">
        <v>1</v>
      </c>
      <c r="G1744" s="6">
        <v>45764</v>
      </c>
      <c r="H1744">
        <v>42</v>
      </c>
      <c r="I1744">
        <f>ROUND(CompilDonnées[[#This Row],[CultureDuration_days]]/7,0)</f>
        <v>6</v>
      </c>
      <c r="J1744">
        <v>4009</v>
      </c>
      <c r="K1744" t="str">
        <f>_xlfn.CONCAT(WEEKNUM(CompilDonnées[[#This Row],[PlantationDate]]), " ", YEAR(CompilDonnées[[#This Row],[PlantationDate]]))</f>
        <v>10 2025</v>
      </c>
      <c r="L1744" t="str">
        <f>CONCATENATE(MONTH(CompilDonnées[[#This Row],[PlantationDate]])," ", YEAR(CompilDonnées[[#This Row],[PlantationDate]]))</f>
        <v>3 2025</v>
      </c>
      <c r="M1744" t="str">
        <f>CONCATENATE(MONTH(CompilDonnées[[#This Row],[HarvestingDate]])," ", YEAR(CompilDonnées[[#This Row],[HarvestingDate]]))</f>
        <v>4 2025</v>
      </c>
      <c r="N1744">
        <f>_xlfn.NUMBERVALUE(CompilDonnées[[#This Row],[FarmID]]&amp;CompilDonnées[[#This Row],[ModuleNumber]]&amp;CompilDonnées[[#This Row],[PlantationDate]])</f>
        <v>36545722</v>
      </c>
      <c r="O1744" t="str">
        <f>CompilDonnées[[#This Row],[FarmID]]&amp;CompilDonnées[[#This Row],[ModuleNumber]]</f>
        <v>365</v>
      </c>
      <c r="P1744" t="str">
        <f>CompilDonnées[[#This Row],[Ref_Module]]&amp;CompilDonnées[[#This Row],[HarvestingDate]]</f>
        <v>36545764</v>
      </c>
    </row>
    <row r="1745" spans="1:16">
      <c r="A1745" s="5">
        <v>45722</v>
      </c>
      <c r="B1745">
        <v>39</v>
      </c>
      <c r="C1745" t="s">
        <v>81</v>
      </c>
      <c r="D1745">
        <v>3</v>
      </c>
      <c r="E1745">
        <v>100</v>
      </c>
      <c r="F1745" t="s">
        <v>1</v>
      </c>
      <c r="G1745" s="6">
        <v>45764</v>
      </c>
      <c r="H1745">
        <v>42</v>
      </c>
      <c r="I1745">
        <f>ROUND(CompilDonnées[[#This Row],[CultureDuration_days]]/7,0)</f>
        <v>6</v>
      </c>
      <c r="J1745">
        <v>3155</v>
      </c>
      <c r="K1745" t="str">
        <f>_xlfn.CONCAT(WEEKNUM(CompilDonnées[[#This Row],[PlantationDate]]), " ", YEAR(CompilDonnées[[#This Row],[PlantationDate]]))</f>
        <v>10 2025</v>
      </c>
      <c r="L1745" t="str">
        <f>CONCATENATE(MONTH(CompilDonnées[[#This Row],[PlantationDate]])," ", YEAR(CompilDonnées[[#This Row],[PlantationDate]]))</f>
        <v>3 2025</v>
      </c>
      <c r="M1745" t="str">
        <f>CONCATENATE(MONTH(CompilDonnées[[#This Row],[HarvestingDate]])," ", YEAR(CompilDonnées[[#This Row],[HarvestingDate]]))</f>
        <v>4 2025</v>
      </c>
      <c r="N1745">
        <f>_xlfn.NUMBERVALUE(CompilDonnées[[#This Row],[FarmID]]&amp;CompilDonnées[[#This Row],[ModuleNumber]]&amp;CompilDonnées[[#This Row],[PlantationDate]])</f>
        <v>39345722</v>
      </c>
      <c r="O1745" t="str">
        <f>CompilDonnées[[#This Row],[FarmID]]&amp;CompilDonnées[[#This Row],[ModuleNumber]]</f>
        <v>393</v>
      </c>
      <c r="P1745" t="str">
        <f>CompilDonnées[[#This Row],[Ref_Module]]&amp;CompilDonnées[[#This Row],[HarvestingDate]]</f>
        <v>39345764</v>
      </c>
    </row>
    <row r="1746" spans="1:16">
      <c r="A1746" s="5">
        <v>45722</v>
      </c>
      <c r="B1746">
        <v>40</v>
      </c>
      <c r="C1746" t="s">
        <v>82</v>
      </c>
      <c r="D1746">
        <v>6</v>
      </c>
      <c r="E1746">
        <v>100</v>
      </c>
      <c r="F1746" t="s">
        <v>1</v>
      </c>
      <c r="G1746" s="6">
        <v>45764</v>
      </c>
      <c r="H1746">
        <v>42</v>
      </c>
      <c r="I1746">
        <f>ROUND(CompilDonnées[[#This Row],[CultureDuration_days]]/7,0)</f>
        <v>6</v>
      </c>
      <c r="J1746">
        <v>3404</v>
      </c>
      <c r="K1746" t="str">
        <f>_xlfn.CONCAT(WEEKNUM(CompilDonnées[[#This Row],[PlantationDate]]), " ", YEAR(CompilDonnées[[#This Row],[PlantationDate]]))</f>
        <v>10 2025</v>
      </c>
      <c r="L1746" t="str">
        <f>CONCATENATE(MONTH(CompilDonnées[[#This Row],[PlantationDate]])," ", YEAR(CompilDonnées[[#This Row],[PlantationDate]]))</f>
        <v>3 2025</v>
      </c>
      <c r="M1746" t="str">
        <f>CONCATENATE(MONTH(CompilDonnées[[#This Row],[HarvestingDate]])," ", YEAR(CompilDonnées[[#This Row],[HarvestingDate]]))</f>
        <v>4 2025</v>
      </c>
      <c r="N1746">
        <f>_xlfn.NUMBERVALUE(CompilDonnées[[#This Row],[FarmID]]&amp;CompilDonnées[[#This Row],[ModuleNumber]]&amp;CompilDonnées[[#This Row],[PlantationDate]])</f>
        <v>40645722</v>
      </c>
      <c r="O1746" t="str">
        <f>CompilDonnées[[#This Row],[FarmID]]&amp;CompilDonnées[[#This Row],[ModuleNumber]]</f>
        <v>406</v>
      </c>
      <c r="P1746" t="str">
        <f>CompilDonnées[[#This Row],[Ref_Module]]&amp;CompilDonnées[[#This Row],[HarvestingDate]]</f>
        <v>40645764</v>
      </c>
    </row>
    <row r="1747" spans="1:16">
      <c r="A1747" s="5">
        <v>45723</v>
      </c>
      <c r="B1747">
        <v>7</v>
      </c>
      <c r="C1747" t="s">
        <v>50</v>
      </c>
      <c r="D1747">
        <v>3</v>
      </c>
      <c r="E1747">
        <v>100</v>
      </c>
      <c r="F1747" t="s">
        <v>1</v>
      </c>
      <c r="G1747" s="6">
        <v>45769</v>
      </c>
      <c r="H1747">
        <v>46</v>
      </c>
      <c r="I1747">
        <f>ROUND(CompilDonnées[[#This Row],[CultureDuration_days]]/7,0)</f>
        <v>7</v>
      </c>
      <c r="J1747">
        <v>3227</v>
      </c>
      <c r="K1747" t="str">
        <f>_xlfn.CONCAT(WEEKNUM(CompilDonnées[[#This Row],[PlantationDate]]), " ", YEAR(CompilDonnées[[#This Row],[PlantationDate]]))</f>
        <v>10 2025</v>
      </c>
      <c r="L1747" t="str">
        <f>CONCATENATE(MONTH(CompilDonnées[[#This Row],[PlantationDate]])," ", YEAR(CompilDonnées[[#This Row],[PlantationDate]]))</f>
        <v>3 2025</v>
      </c>
      <c r="M1747" t="str">
        <f>CONCATENATE(MONTH(CompilDonnées[[#This Row],[HarvestingDate]])," ", YEAR(CompilDonnées[[#This Row],[HarvestingDate]]))</f>
        <v>4 2025</v>
      </c>
      <c r="N1747">
        <f>_xlfn.NUMBERVALUE(CompilDonnées[[#This Row],[FarmID]]&amp;CompilDonnées[[#This Row],[ModuleNumber]]&amp;CompilDonnées[[#This Row],[PlantationDate]])</f>
        <v>7345723</v>
      </c>
      <c r="O1747" t="str">
        <f>CompilDonnées[[#This Row],[FarmID]]&amp;CompilDonnées[[#This Row],[ModuleNumber]]</f>
        <v>73</v>
      </c>
      <c r="P1747" t="str">
        <f>CompilDonnées[[#This Row],[Ref_Module]]&amp;CompilDonnées[[#This Row],[HarvestingDate]]</f>
        <v>7345769</v>
      </c>
    </row>
    <row r="1748" spans="1:16">
      <c r="A1748" s="5">
        <v>45723</v>
      </c>
      <c r="B1748">
        <v>8</v>
      </c>
      <c r="C1748" t="s">
        <v>57</v>
      </c>
      <c r="D1748">
        <v>2</v>
      </c>
      <c r="E1748">
        <v>100</v>
      </c>
      <c r="F1748" t="s">
        <v>1</v>
      </c>
      <c r="G1748" s="6">
        <v>45765</v>
      </c>
      <c r="H1748">
        <v>42</v>
      </c>
      <c r="I1748">
        <f>ROUND(CompilDonnées[[#This Row],[CultureDuration_days]]/7,0)</f>
        <v>6</v>
      </c>
      <c r="J1748">
        <v>3633</v>
      </c>
      <c r="K1748" t="str">
        <f>_xlfn.CONCAT(WEEKNUM(CompilDonnées[[#This Row],[PlantationDate]]), " ", YEAR(CompilDonnées[[#This Row],[PlantationDate]]))</f>
        <v>10 2025</v>
      </c>
      <c r="L1748" t="str">
        <f>CONCATENATE(MONTH(CompilDonnées[[#This Row],[PlantationDate]])," ", YEAR(CompilDonnées[[#This Row],[PlantationDate]]))</f>
        <v>3 2025</v>
      </c>
      <c r="M1748" t="str">
        <f>CONCATENATE(MONTH(CompilDonnées[[#This Row],[HarvestingDate]])," ", YEAR(CompilDonnées[[#This Row],[HarvestingDate]]))</f>
        <v>4 2025</v>
      </c>
      <c r="N1748">
        <f>_xlfn.NUMBERVALUE(CompilDonnées[[#This Row],[FarmID]]&amp;CompilDonnées[[#This Row],[ModuleNumber]]&amp;CompilDonnées[[#This Row],[PlantationDate]])</f>
        <v>8245723</v>
      </c>
      <c r="O1748" t="str">
        <f>CompilDonnées[[#This Row],[FarmID]]&amp;CompilDonnées[[#This Row],[ModuleNumber]]</f>
        <v>82</v>
      </c>
      <c r="P1748" t="str">
        <f>CompilDonnées[[#This Row],[Ref_Module]]&amp;CompilDonnées[[#This Row],[HarvestingDate]]</f>
        <v>8245765</v>
      </c>
    </row>
    <row r="1749" spans="1:16">
      <c r="A1749" s="5">
        <v>45723</v>
      </c>
      <c r="B1749">
        <v>30</v>
      </c>
      <c r="C1749" t="s">
        <v>4</v>
      </c>
      <c r="D1749">
        <v>4</v>
      </c>
      <c r="E1749">
        <v>100</v>
      </c>
      <c r="F1749" t="s">
        <v>1</v>
      </c>
      <c r="G1749" s="6">
        <v>45764</v>
      </c>
      <c r="H1749">
        <v>41</v>
      </c>
      <c r="I1749">
        <f>ROUND(CompilDonnées[[#This Row],[CultureDuration_days]]/7,0)</f>
        <v>6</v>
      </c>
      <c r="J1749">
        <v>3709</v>
      </c>
      <c r="K1749" t="str">
        <f>_xlfn.CONCAT(WEEKNUM(CompilDonnées[[#This Row],[PlantationDate]]), " ", YEAR(CompilDonnées[[#This Row],[PlantationDate]]))</f>
        <v>10 2025</v>
      </c>
      <c r="L1749" t="str">
        <f>CONCATENATE(MONTH(CompilDonnées[[#This Row],[PlantationDate]])," ", YEAR(CompilDonnées[[#This Row],[PlantationDate]]))</f>
        <v>3 2025</v>
      </c>
      <c r="M1749" t="str">
        <f>CONCATENATE(MONTH(CompilDonnées[[#This Row],[HarvestingDate]])," ", YEAR(CompilDonnées[[#This Row],[HarvestingDate]]))</f>
        <v>4 2025</v>
      </c>
      <c r="N1749">
        <f>_xlfn.NUMBERVALUE(CompilDonnées[[#This Row],[FarmID]]&amp;CompilDonnées[[#This Row],[ModuleNumber]]&amp;CompilDonnées[[#This Row],[PlantationDate]])</f>
        <v>30445723</v>
      </c>
      <c r="O1749" t="str">
        <f>CompilDonnées[[#This Row],[FarmID]]&amp;CompilDonnées[[#This Row],[ModuleNumber]]</f>
        <v>304</v>
      </c>
      <c r="P1749" t="str">
        <f>CompilDonnées[[#This Row],[Ref_Module]]&amp;CompilDonnées[[#This Row],[HarvestingDate]]</f>
        <v>30445764</v>
      </c>
    </row>
    <row r="1750" spans="1:16">
      <c r="A1750" s="5">
        <v>45723</v>
      </c>
      <c r="B1750">
        <v>31</v>
      </c>
      <c r="C1750" t="s">
        <v>62</v>
      </c>
      <c r="D1750">
        <v>1</v>
      </c>
      <c r="E1750">
        <v>100</v>
      </c>
      <c r="F1750" t="s">
        <v>1</v>
      </c>
      <c r="G1750" s="6">
        <v>45764</v>
      </c>
      <c r="H1750">
        <v>41</v>
      </c>
      <c r="I1750">
        <f>ROUND(CompilDonnées[[#This Row],[CultureDuration_days]]/7,0)</f>
        <v>6</v>
      </c>
      <c r="J1750">
        <v>3603</v>
      </c>
      <c r="K1750" t="str">
        <f>_xlfn.CONCAT(WEEKNUM(CompilDonnées[[#This Row],[PlantationDate]]), " ", YEAR(CompilDonnées[[#This Row],[PlantationDate]]))</f>
        <v>10 2025</v>
      </c>
      <c r="L1750" t="str">
        <f>CONCATENATE(MONTH(CompilDonnées[[#This Row],[PlantationDate]])," ", YEAR(CompilDonnées[[#This Row],[PlantationDate]]))</f>
        <v>3 2025</v>
      </c>
      <c r="M1750" t="str">
        <f>CONCATENATE(MONTH(CompilDonnées[[#This Row],[HarvestingDate]])," ", YEAR(CompilDonnées[[#This Row],[HarvestingDate]]))</f>
        <v>4 2025</v>
      </c>
      <c r="N1750">
        <f>_xlfn.NUMBERVALUE(CompilDonnées[[#This Row],[FarmID]]&amp;CompilDonnées[[#This Row],[ModuleNumber]]&amp;CompilDonnées[[#This Row],[PlantationDate]])</f>
        <v>31145723</v>
      </c>
      <c r="O1750" t="str">
        <f>CompilDonnées[[#This Row],[FarmID]]&amp;CompilDonnées[[#This Row],[ModuleNumber]]</f>
        <v>311</v>
      </c>
      <c r="P1750" t="str">
        <f>CompilDonnées[[#This Row],[Ref_Module]]&amp;CompilDonnées[[#This Row],[HarvestingDate]]</f>
        <v>31145764</v>
      </c>
    </row>
    <row r="1751" spans="1:16">
      <c r="A1751" s="5">
        <v>45723</v>
      </c>
      <c r="B1751">
        <v>32</v>
      </c>
      <c r="C1751" t="s">
        <v>25</v>
      </c>
      <c r="D1751">
        <v>4</v>
      </c>
      <c r="E1751">
        <v>100</v>
      </c>
      <c r="F1751" t="s">
        <v>1</v>
      </c>
      <c r="G1751" s="6">
        <v>45764</v>
      </c>
      <c r="H1751">
        <v>41</v>
      </c>
      <c r="I1751">
        <f>ROUND(CompilDonnées[[#This Row],[CultureDuration_days]]/7,0)</f>
        <v>6</v>
      </c>
      <c r="J1751">
        <v>2604</v>
      </c>
      <c r="K1751" t="str">
        <f>_xlfn.CONCAT(WEEKNUM(CompilDonnées[[#This Row],[PlantationDate]]), " ", YEAR(CompilDonnées[[#This Row],[PlantationDate]]))</f>
        <v>10 2025</v>
      </c>
      <c r="L1751" t="str">
        <f>CONCATENATE(MONTH(CompilDonnées[[#This Row],[PlantationDate]])," ", YEAR(CompilDonnées[[#This Row],[PlantationDate]]))</f>
        <v>3 2025</v>
      </c>
      <c r="M1751" t="str">
        <f>CONCATENATE(MONTH(CompilDonnées[[#This Row],[HarvestingDate]])," ", YEAR(CompilDonnées[[#This Row],[HarvestingDate]]))</f>
        <v>4 2025</v>
      </c>
      <c r="N1751">
        <f>_xlfn.NUMBERVALUE(CompilDonnées[[#This Row],[FarmID]]&amp;CompilDonnées[[#This Row],[ModuleNumber]]&amp;CompilDonnées[[#This Row],[PlantationDate]])</f>
        <v>32445723</v>
      </c>
      <c r="O1751" t="str">
        <f>CompilDonnées[[#This Row],[FarmID]]&amp;CompilDonnées[[#This Row],[ModuleNumber]]</f>
        <v>324</v>
      </c>
      <c r="P1751" t="str">
        <f>CompilDonnées[[#This Row],[Ref_Module]]&amp;CompilDonnées[[#This Row],[HarvestingDate]]</f>
        <v>32445764</v>
      </c>
    </row>
    <row r="1752" spans="1:16">
      <c r="A1752" s="5">
        <v>45727</v>
      </c>
      <c r="B1752">
        <v>1</v>
      </c>
      <c r="C1752" t="s">
        <v>111</v>
      </c>
      <c r="D1752">
        <v>6</v>
      </c>
      <c r="E1752">
        <v>100</v>
      </c>
      <c r="F1752" t="s">
        <v>1</v>
      </c>
      <c r="G1752" s="6">
        <v>45769</v>
      </c>
      <c r="H1752">
        <v>42</v>
      </c>
      <c r="I1752">
        <f>ROUND(CompilDonnées[[#This Row],[CultureDuration_days]]/7,0)</f>
        <v>6</v>
      </c>
      <c r="J1752">
        <v>3587</v>
      </c>
      <c r="K1752" t="str">
        <f>_xlfn.CONCAT(WEEKNUM(CompilDonnées[[#This Row],[PlantationDate]]), " ", YEAR(CompilDonnées[[#This Row],[PlantationDate]]))</f>
        <v>11 2025</v>
      </c>
      <c r="L1752" t="str">
        <f>CONCATENATE(MONTH(CompilDonnées[[#This Row],[PlantationDate]])," ", YEAR(CompilDonnées[[#This Row],[PlantationDate]]))</f>
        <v>3 2025</v>
      </c>
      <c r="M1752" t="str">
        <f>CONCATENATE(MONTH(CompilDonnées[[#This Row],[HarvestingDate]])," ", YEAR(CompilDonnées[[#This Row],[HarvestingDate]]))</f>
        <v>4 2025</v>
      </c>
      <c r="N1752">
        <f>_xlfn.NUMBERVALUE(CompilDonnées[[#This Row],[FarmID]]&amp;CompilDonnées[[#This Row],[ModuleNumber]]&amp;CompilDonnées[[#This Row],[PlantationDate]])</f>
        <v>1645727</v>
      </c>
      <c r="O1752" t="str">
        <f>CompilDonnées[[#This Row],[FarmID]]&amp;CompilDonnées[[#This Row],[ModuleNumber]]</f>
        <v>16</v>
      </c>
      <c r="P1752" t="str">
        <f>CompilDonnées[[#This Row],[Ref_Module]]&amp;CompilDonnées[[#This Row],[HarvestingDate]]</f>
        <v>1645769</v>
      </c>
    </row>
    <row r="1753" spans="1:16">
      <c r="A1753" s="5">
        <v>45727</v>
      </c>
      <c r="B1753">
        <v>2</v>
      </c>
      <c r="C1753" t="s">
        <v>119</v>
      </c>
      <c r="D1753">
        <v>4</v>
      </c>
      <c r="E1753">
        <v>100</v>
      </c>
      <c r="F1753" t="s">
        <v>1</v>
      </c>
      <c r="G1753" s="6">
        <v>45769</v>
      </c>
      <c r="H1753">
        <v>42</v>
      </c>
      <c r="I1753">
        <f>ROUND(CompilDonnées[[#This Row],[CultureDuration_days]]/7,0)</f>
        <v>6</v>
      </c>
      <c r="J1753">
        <v>3094</v>
      </c>
      <c r="K1753" t="str">
        <f>_xlfn.CONCAT(WEEKNUM(CompilDonnées[[#This Row],[PlantationDate]]), " ", YEAR(CompilDonnées[[#This Row],[PlantationDate]]))</f>
        <v>11 2025</v>
      </c>
      <c r="L1753" t="str">
        <f>CONCATENATE(MONTH(CompilDonnées[[#This Row],[PlantationDate]])," ", YEAR(CompilDonnées[[#This Row],[PlantationDate]]))</f>
        <v>3 2025</v>
      </c>
      <c r="M1753" t="str">
        <f>CONCATENATE(MONTH(CompilDonnées[[#This Row],[HarvestingDate]])," ", YEAR(CompilDonnées[[#This Row],[HarvestingDate]]))</f>
        <v>4 2025</v>
      </c>
      <c r="N1753">
        <f>_xlfn.NUMBERVALUE(CompilDonnées[[#This Row],[FarmID]]&amp;CompilDonnées[[#This Row],[ModuleNumber]]&amp;CompilDonnées[[#This Row],[PlantationDate]])</f>
        <v>2445727</v>
      </c>
      <c r="O1753" t="str">
        <f>CompilDonnées[[#This Row],[FarmID]]&amp;CompilDonnées[[#This Row],[ModuleNumber]]</f>
        <v>24</v>
      </c>
      <c r="P1753" t="str">
        <f>CompilDonnées[[#This Row],[Ref_Module]]&amp;CompilDonnées[[#This Row],[HarvestingDate]]</f>
        <v>2445769</v>
      </c>
    </row>
    <row r="1754" spans="1:16">
      <c r="A1754" s="5">
        <v>45727</v>
      </c>
      <c r="B1754">
        <v>2</v>
      </c>
      <c r="C1754" t="s">
        <v>119</v>
      </c>
      <c r="D1754">
        <v>5</v>
      </c>
      <c r="E1754">
        <v>100</v>
      </c>
      <c r="F1754" t="s">
        <v>1</v>
      </c>
      <c r="G1754" s="6">
        <v>45769</v>
      </c>
      <c r="H1754">
        <v>42</v>
      </c>
      <c r="I1754">
        <f>ROUND(CompilDonnées[[#This Row],[CultureDuration_days]]/7,0)</f>
        <v>6</v>
      </c>
      <c r="J1754">
        <v>2941</v>
      </c>
      <c r="K1754" t="str">
        <f>_xlfn.CONCAT(WEEKNUM(CompilDonnées[[#This Row],[PlantationDate]]), " ", YEAR(CompilDonnées[[#This Row],[PlantationDate]]))</f>
        <v>11 2025</v>
      </c>
      <c r="L1754" t="str">
        <f>CONCATENATE(MONTH(CompilDonnées[[#This Row],[PlantationDate]])," ", YEAR(CompilDonnées[[#This Row],[PlantationDate]]))</f>
        <v>3 2025</v>
      </c>
      <c r="M1754" t="str">
        <f>CONCATENATE(MONTH(CompilDonnées[[#This Row],[HarvestingDate]])," ", YEAR(CompilDonnées[[#This Row],[HarvestingDate]]))</f>
        <v>4 2025</v>
      </c>
      <c r="N1754">
        <f>_xlfn.NUMBERVALUE(CompilDonnées[[#This Row],[FarmID]]&amp;CompilDonnées[[#This Row],[ModuleNumber]]&amp;CompilDonnées[[#This Row],[PlantationDate]])</f>
        <v>2545727</v>
      </c>
      <c r="O1754" t="str">
        <f>CompilDonnées[[#This Row],[FarmID]]&amp;CompilDonnées[[#This Row],[ModuleNumber]]</f>
        <v>25</v>
      </c>
      <c r="P1754" t="str">
        <f>CompilDonnées[[#This Row],[Ref_Module]]&amp;CompilDonnées[[#This Row],[HarvestingDate]]</f>
        <v>2545769</v>
      </c>
    </row>
    <row r="1755" spans="1:16">
      <c r="A1755" s="5">
        <v>45727</v>
      </c>
      <c r="B1755">
        <v>5</v>
      </c>
      <c r="C1755" t="s">
        <v>32</v>
      </c>
      <c r="D1755">
        <v>4</v>
      </c>
      <c r="E1755">
        <v>100</v>
      </c>
      <c r="F1755" t="s">
        <v>1</v>
      </c>
      <c r="G1755" s="6">
        <v>45769</v>
      </c>
      <c r="H1755">
        <v>42</v>
      </c>
      <c r="I1755">
        <f>ROUND(CompilDonnées[[#This Row],[CultureDuration_days]]/7,0)</f>
        <v>6</v>
      </c>
      <c r="J1755">
        <v>3240</v>
      </c>
      <c r="K1755" t="str">
        <f>_xlfn.CONCAT(WEEKNUM(CompilDonnées[[#This Row],[PlantationDate]]), " ", YEAR(CompilDonnées[[#This Row],[PlantationDate]]))</f>
        <v>11 2025</v>
      </c>
      <c r="L1755" t="str">
        <f>CONCATENATE(MONTH(CompilDonnées[[#This Row],[PlantationDate]])," ", YEAR(CompilDonnées[[#This Row],[PlantationDate]]))</f>
        <v>3 2025</v>
      </c>
      <c r="M1755" t="str">
        <f>CONCATENATE(MONTH(CompilDonnées[[#This Row],[HarvestingDate]])," ", YEAR(CompilDonnées[[#This Row],[HarvestingDate]]))</f>
        <v>4 2025</v>
      </c>
      <c r="N1755">
        <f>_xlfn.NUMBERVALUE(CompilDonnées[[#This Row],[FarmID]]&amp;CompilDonnées[[#This Row],[ModuleNumber]]&amp;CompilDonnées[[#This Row],[PlantationDate]])</f>
        <v>5445727</v>
      </c>
      <c r="O1755" t="str">
        <f>CompilDonnées[[#This Row],[FarmID]]&amp;CompilDonnées[[#This Row],[ModuleNumber]]</f>
        <v>54</v>
      </c>
      <c r="P1755" t="str">
        <f>CompilDonnées[[#This Row],[Ref_Module]]&amp;CompilDonnées[[#This Row],[HarvestingDate]]</f>
        <v>5445769</v>
      </c>
    </row>
    <row r="1756" spans="1:16">
      <c r="A1756" s="5">
        <v>45727</v>
      </c>
      <c r="B1756">
        <v>6</v>
      </c>
      <c r="C1756" t="s">
        <v>24</v>
      </c>
      <c r="D1756">
        <v>2</v>
      </c>
      <c r="E1756">
        <v>100</v>
      </c>
      <c r="F1756" t="s">
        <v>1</v>
      </c>
      <c r="G1756" s="6">
        <v>45769</v>
      </c>
      <c r="H1756">
        <v>42</v>
      </c>
      <c r="I1756">
        <f>ROUND(CompilDonnées[[#This Row],[CultureDuration_days]]/7,0)</f>
        <v>6</v>
      </c>
      <c r="J1756">
        <v>3603</v>
      </c>
      <c r="K1756" t="str">
        <f>_xlfn.CONCAT(WEEKNUM(CompilDonnées[[#This Row],[PlantationDate]]), " ", YEAR(CompilDonnées[[#This Row],[PlantationDate]]))</f>
        <v>11 2025</v>
      </c>
      <c r="L1756" t="str">
        <f>CONCATENATE(MONTH(CompilDonnées[[#This Row],[PlantationDate]])," ", YEAR(CompilDonnées[[#This Row],[PlantationDate]]))</f>
        <v>3 2025</v>
      </c>
      <c r="M1756" t="str">
        <f>CONCATENATE(MONTH(CompilDonnées[[#This Row],[HarvestingDate]])," ", YEAR(CompilDonnées[[#This Row],[HarvestingDate]]))</f>
        <v>4 2025</v>
      </c>
      <c r="N1756">
        <f>_xlfn.NUMBERVALUE(CompilDonnées[[#This Row],[FarmID]]&amp;CompilDonnées[[#This Row],[ModuleNumber]]&amp;CompilDonnées[[#This Row],[PlantationDate]])</f>
        <v>6245727</v>
      </c>
      <c r="O1756" t="str">
        <f>CompilDonnées[[#This Row],[FarmID]]&amp;CompilDonnées[[#This Row],[ModuleNumber]]</f>
        <v>62</v>
      </c>
      <c r="P1756" t="str">
        <f>CompilDonnées[[#This Row],[Ref_Module]]&amp;CompilDonnées[[#This Row],[HarvestingDate]]</f>
        <v>6245769</v>
      </c>
    </row>
    <row r="1757" spans="1:16">
      <c r="A1757" s="5">
        <v>45727</v>
      </c>
      <c r="B1757">
        <v>7</v>
      </c>
      <c r="C1757" t="s">
        <v>50</v>
      </c>
      <c r="D1757">
        <v>4</v>
      </c>
      <c r="E1757">
        <v>100</v>
      </c>
      <c r="F1757" t="s">
        <v>1</v>
      </c>
      <c r="G1757" s="6">
        <v>45769</v>
      </c>
      <c r="H1757">
        <v>42</v>
      </c>
      <c r="I1757">
        <f>ROUND(CompilDonnées[[#This Row],[CultureDuration_days]]/7,0)</f>
        <v>6</v>
      </c>
      <c r="J1757">
        <v>3160</v>
      </c>
      <c r="K1757" t="str">
        <f>_xlfn.CONCAT(WEEKNUM(CompilDonnées[[#This Row],[PlantationDate]]), " ", YEAR(CompilDonnées[[#This Row],[PlantationDate]]))</f>
        <v>11 2025</v>
      </c>
      <c r="L1757" t="str">
        <f>CONCATENATE(MONTH(CompilDonnées[[#This Row],[PlantationDate]])," ", YEAR(CompilDonnées[[#This Row],[PlantationDate]]))</f>
        <v>3 2025</v>
      </c>
      <c r="M1757" t="str">
        <f>CONCATENATE(MONTH(CompilDonnées[[#This Row],[HarvestingDate]])," ", YEAR(CompilDonnées[[#This Row],[HarvestingDate]]))</f>
        <v>4 2025</v>
      </c>
      <c r="N1757">
        <f>_xlfn.NUMBERVALUE(CompilDonnées[[#This Row],[FarmID]]&amp;CompilDonnées[[#This Row],[ModuleNumber]]&amp;CompilDonnées[[#This Row],[PlantationDate]])</f>
        <v>7445727</v>
      </c>
      <c r="O1757" t="str">
        <f>CompilDonnées[[#This Row],[FarmID]]&amp;CompilDonnées[[#This Row],[ModuleNumber]]</f>
        <v>74</v>
      </c>
      <c r="P1757" t="str">
        <f>CompilDonnées[[#This Row],[Ref_Module]]&amp;CompilDonnées[[#This Row],[HarvestingDate]]</f>
        <v>7445769</v>
      </c>
    </row>
    <row r="1758" spans="1:16">
      <c r="A1758" s="5">
        <v>45727</v>
      </c>
      <c r="B1758">
        <v>8</v>
      </c>
      <c r="C1758" t="s">
        <v>57</v>
      </c>
      <c r="D1758">
        <v>3</v>
      </c>
      <c r="E1758">
        <v>100</v>
      </c>
      <c r="F1758" t="s">
        <v>1</v>
      </c>
      <c r="G1758" s="6">
        <v>45769</v>
      </c>
      <c r="H1758">
        <v>42</v>
      </c>
      <c r="I1758">
        <f>ROUND(CompilDonnées[[#This Row],[CultureDuration_days]]/7,0)</f>
        <v>6</v>
      </c>
      <c r="J1758">
        <v>3109</v>
      </c>
      <c r="K1758" t="str">
        <f>_xlfn.CONCAT(WEEKNUM(CompilDonnées[[#This Row],[PlantationDate]]), " ", YEAR(CompilDonnées[[#This Row],[PlantationDate]]))</f>
        <v>11 2025</v>
      </c>
      <c r="L1758" t="str">
        <f>CONCATENATE(MONTH(CompilDonnées[[#This Row],[PlantationDate]])," ", YEAR(CompilDonnées[[#This Row],[PlantationDate]]))</f>
        <v>3 2025</v>
      </c>
      <c r="M1758" t="str">
        <f>CONCATENATE(MONTH(CompilDonnées[[#This Row],[HarvestingDate]])," ", YEAR(CompilDonnées[[#This Row],[HarvestingDate]]))</f>
        <v>4 2025</v>
      </c>
      <c r="N1758">
        <f>_xlfn.NUMBERVALUE(CompilDonnées[[#This Row],[FarmID]]&amp;CompilDonnées[[#This Row],[ModuleNumber]]&amp;CompilDonnées[[#This Row],[PlantationDate]])</f>
        <v>8345727</v>
      </c>
      <c r="O1758" t="str">
        <f>CompilDonnées[[#This Row],[FarmID]]&amp;CompilDonnées[[#This Row],[ModuleNumber]]</f>
        <v>83</v>
      </c>
      <c r="P1758" t="str">
        <f>CompilDonnées[[#This Row],[Ref_Module]]&amp;CompilDonnées[[#This Row],[HarvestingDate]]</f>
        <v>8345769</v>
      </c>
    </row>
    <row r="1759" spans="1:16">
      <c r="A1759" s="5">
        <v>45727</v>
      </c>
      <c r="B1759">
        <v>11</v>
      </c>
      <c r="C1759" t="s">
        <v>106</v>
      </c>
      <c r="D1759">
        <v>3</v>
      </c>
      <c r="E1759">
        <v>100</v>
      </c>
      <c r="F1759" t="s">
        <v>1</v>
      </c>
      <c r="G1759" s="6">
        <v>45765</v>
      </c>
      <c r="H1759">
        <v>38</v>
      </c>
      <c r="I1759">
        <f>ROUND(CompilDonnées[[#This Row],[CultureDuration_days]]/7,0)</f>
        <v>5</v>
      </c>
      <c r="J1759">
        <v>2489</v>
      </c>
      <c r="K1759" t="str">
        <f>_xlfn.CONCAT(WEEKNUM(CompilDonnées[[#This Row],[PlantationDate]]), " ", YEAR(CompilDonnées[[#This Row],[PlantationDate]]))</f>
        <v>11 2025</v>
      </c>
      <c r="L1759" t="str">
        <f>CONCATENATE(MONTH(CompilDonnées[[#This Row],[PlantationDate]])," ", YEAR(CompilDonnées[[#This Row],[PlantationDate]]))</f>
        <v>3 2025</v>
      </c>
      <c r="M1759" t="str">
        <f>CONCATENATE(MONTH(CompilDonnées[[#This Row],[HarvestingDate]])," ", YEAR(CompilDonnées[[#This Row],[HarvestingDate]]))</f>
        <v>4 2025</v>
      </c>
      <c r="N1759">
        <f>_xlfn.NUMBERVALUE(CompilDonnées[[#This Row],[FarmID]]&amp;CompilDonnées[[#This Row],[ModuleNumber]]&amp;CompilDonnées[[#This Row],[PlantationDate]])</f>
        <v>11345727</v>
      </c>
      <c r="O1759" t="str">
        <f>CompilDonnées[[#This Row],[FarmID]]&amp;CompilDonnées[[#This Row],[ModuleNumber]]</f>
        <v>113</v>
      </c>
      <c r="P1759" t="str">
        <f>CompilDonnées[[#This Row],[Ref_Module]]&amp;CompilDonnées[[#This Row],[HarvestingDate]]</f>
        <v>11345765</v>
      </c>
    </row>
    <row r="1760" spans="1:16">
      <c r="A1760" s="5">
        <v>45727</v>
      </c>
      <c r="B1760">
        <v>13</v>
      </c>
      <c r="C1760" t="s">
        <v>114</v>
      </c>
      <c r="D1760">
        <v>2</v>
      </c>
      <c r="E1760">
        <v>100</v>
      </c>
      <c r="F1760" t="s">
        <v>1</v>
      </c>
      <c r="G1760" s="6">
        <v>45765</v>
      </c>
      <c r="H1760">
        <v>38</v>
      </c>
      <c r="I1760">
        <f>ROUND(CompilDonnées[[#This Row],[CultureDuration_days]]/7,0)</f>
        <v>5</v>
      </c>
      <c r="J1760">
        <v>4005</v>
      </c>
      <c r="K1760" t="str">
        <f>_xlfn.CONCAT(WEEKNUM(CompilDonnées[[#This Row],[PlantationDate]]), " ", YEAR(CompilDonnées[[#This Row],[PlantationDate]]))</f>
        <v>11 2025</v>
      </c>
      <c r="L1760" t="str">
        <f>CONCATENATE(MONTH(CompilDonnées[[#This Row],[PlantationDate]])," ", YEAR(CompilDonnées[[#This Row],[PlantationDate]]))</f>
        <v>3 2025</v>
      </c>
      <c r="M1760" t="str">
        <f>CONCATENATE(MONTH(CompilDonnées[[#This Row],[HarvestingDate]])," ", YEAR(CompilDonnées[[#This Row],[HarvestingDate]]))</f>
        <v>4 2025</v>
      </c>
      <c r="N1760">
        <f>_xlfn.NUMBERVALUE(CompilDonnées[[#This Row],[FarmID]]&amp;CompilDonnées[[#This Row],[ModuleNumber]]&amp;CompilDonnées[[#This Row],[PlantationDate]])</f>
        <v>13245727</v>
      </c>
      <c r="O1760" t="str">
        <f>CompilDonnées[[#This Row],[FarmID]]&amp;CompilDonnées[[#This Row],[ModuleNumber]]</f>
        <v>132</v>
      </c>
      <c r="P1760" t="str">
        <f>CompilDonnées[[#This Row],[Ref_Module]]&amp;CompilDonnées[[#This Row],[HarvestingDate]]</f>
        <v>13245765</v>
      </c>
    </row>
    <row r="1761" spans="1:16">
      <c r="A1761" s="5">
        <v>45727</v>
      </c>
      <c r="B1761">
        <v>15</v>
      </c>
      <c r="C1761" t="s">
        <v>5</v>
      </c>
      <c r="D1761">
        <v>5</v>
      </c>
      <c r="E1761">
        <v>100</v>
      </c>
      <c r="F1761" t="s">
        <v>1</v>
      </c>
      <c r="G1761" s="6">
        <v>45769</v>
      </c>
      <c r="H1761">
        <v>42</v>
      </c>
      <c r="I1761">
        <f>ROUND(CompilDonnées[[#This Row],[CultureDuration_days]]/7,0)</f>
        <v>6</v>
      </c>
      <c r="J1761">
        <v>3361</v>
      </c>
      <c r="K1761" t="str">
        <f>_xlfn.CONCAT(WEEKNUM(CompilDonnées[[#This Row],[PlantationDate]]), " ", YEAR(CompilDonnées[[#This Row],[PlantationDate]]))</f>
        <v>11 2025</v>
      </c>
      <c r="L1761" t="str">
        <f>CONCATENATE(MONTH(CompilDonnées[[#This Row],[PlantationDate]])," ", YEAR(CompilDonnées[[#This Row],[PlantationDate]]))</f>
        <v>3 2025</v>
      </c>
      <c r="M1761" t="str">
        <f>CONCATENATE(MONTH(CompilDonnées[[#This Row],[HarvestingDate]])," ", YEAR(CompilDonnées[[#This Row],[HarvestingDate]]))</f>
        <v>4 2025</v>
      </c>
      <c r="N1761">
        <f>_xlfn.NUMBERVALUE(CompilDonnées[[#This Row],[FarmID]]&amp;CompilDonnées[[#This Row],[ModuleNumber]]&amp;CompilDonnées[[#This Row],[PlantationDate]])</f>
        <v>15545727</v>
      </c>
      <c r="O1761" t="str">
        <f>CompilDonnées[[#This Row],[FarmID]]&amp;CompilDonnées[[#This Row],[ModuleNumber]]</f>
        <v>155</v>
      </c>
      <c r="P1761" t="str">
        <f>CompilDonnées[[#This Row],[Ref_Module]]&amp;CompilDonnées[[#This Row],[HarvestingDate]]</f>
        <v>15545769</v>
      </c>
    </row>
    <row r="1762" spans="1:16">
      <c r="A1762" s="5">
        <v>45727</v>
      </c>
      <c r="B1762">
        <v>18</v>
      </c>
      <c r="C1762" t="s">
        <v>33</v>
      </c>
      <c r="D1762">
        <v>4</v>
      </c>
      <c r="E1762">
        <v>100</v>
      </c>
      <c r="F1762" t="s">
        <v>1</v>
      </c>
      <c r="G1762" s="6">
        <v>45764</v>
      </c>
      <c r="H1762">
        <v>37</v>
      </c>
      <c r="I1762">
        <f>ROUND(CompilDonnées[[#This Row],[CultureDuration_days]]/7,0)</f>
        <v>5</v>
      </c>
      <c r="J1762">
        <v>3370</v>
      </c>
      <c r="K1762" t="str">
        <f>_xlfn.CONCAT(WEEKNUM(CompilDonnées[[#This Row],[PlantationDate]]), " ", YEAR(CompilDonnées[[#This Row],[PlantationDate]]))</f>
        <v>11 2025</v>
      </c>
      <c r="L1762" t="str">
        <f>CONCATENATE(MONTH(CompilDonnées[[#This Row],[PlantationDate]])," ", YEAR(CompilDonnées[[#This Row],[PlantationDate]]))</f>
        <v>3 2025</v>
      </c>
      <c r="M1762" t="str">
        <f>CONCATENATE(MONTH(CompilDonnées[[#This Row],[HarvestingDate]])," ", YEAR(CompilDonnées[[#This Row],[HarvestingDate]]))</f>
        <v>4 2025</v>
      </c>
      <c r="N1762">
        <f>_xlfn.NUMBERVALUE(CompilDonnées[[#This Row],[FarmID]]&amp;CompilDonnées[[#This Row],[ModuleNumber]]&amp;CompilDonnées[[#This Row],[PlantationDate]])</f>
        <v>18445727</v>
      </c>
      <c r="O1762" t="str">
        <f>CompilDonnées[[#This Row],[FarmID]]&amp;CompilDonnées[[#This Row],[ModuleNumber]]</f>
        <v>184</v>
      </c>
      <c r="P1762" t="str">
        <f>CompilDonnées[[#This Row],[Ref_Module]]&amp;CompilDonnées[[#This Row],[HarvestingDate]]</f>
        <v>18445764</v>
      </c>
    </row>
    <row r="1763" spans="1:16">
      <c r="A1763" s="5">
        <v>45727</v>
      </c>
      <c r="B1763">
        <v>19</v>
      </c>
      <c r="C1763" t="s">
        <v>108</v>
      </c>
      <c r="D1763">
        <v>1</v>
      </c>
      <c r="E1763">
        <v>100</v>
      </c>
      <c r="F1763" t="s">
        <v>1</v>
      </c>
      <c r="G1763" s="6">
        <v>45765</v>
      </c>
      <c r="H1763">
        <v>38</v>
      </c>
      <c r="I1763">
        <f>ROUND(CompilDonnées[[#This Row],[CultureDuration_days]]/7,0)</f>
        <v>5</v>
      </c>
      <c r="J1763">
        <v>3200</v>
      </c>
      <c r="K1763" t="str">
        <f>_xlfn.CONCAT(WEEKNUM(CompilDonnées[[#This Row],[PlantationDate]]), " ", YEAR(CompilDonnées[[#This Row],[PlantationDate]]))</f>
        <v>11 2025</v>
      </c>
      <c r="L1763" t="str">
        <f>CONCATENATE(MONTH(CompilDonnées[[#This Row],[PlantationDate]])," ", YEAR(CompilDonnées[[#This Row],[PlantationDate]]))</f>
        <v>3 2025</v>
      </c>
      <c r="M1763" t="str">
        <f>CONCATENATE(MONTH(CompilDonnées[[#This Row],[HarvestingDate]])," ", YEAR(CompilDonnées[[#This Row],[HarvestingDate]]))</f>
        <v>4 2025</v>
      </c>
      <c r="N1763">
        <f>_xlfn.NUMBERVALUE(CompilDonnées[[#This Row],[FarmID]]&amp;CompilDonnées[[#This Row],[ModuleNumber]]&amp;CompilDonnées[[#This Row],[PlantationDate]])</f>
        <v>19145727</v>
      </c>
      <c r="O1763" t="str">
        <f>CompilDonnées[[#This Row],[FarmID]]&amp;CompilDonnées[[#This Row],[ModuleNumber]]</f>
        <v>191</v>
      </c>
      <c r="P1763" t="str">
        <f>CompilDonnées[[#This Row],[Ref_Module]]&amp;CompilDonnées[[#This Row],[HarvestingDate]]</f>
        <v>19145765</v>
      </c>
    </row>
    <row r="1764" spans="1:16">
      <c r="A1764" s="5">
        <v>45727</v>
      </c>
      <c r="B1764">
        <v>19</v>
      </c>
      <c r="C1764" t="s">
        <v>108</v>
      </c>
      <c r="D1764">
        <v>2</v>
      </c>
      <c r="E1764">
        <v>100</v>
      </c>
      <c r="F1764" t="s">
        <v>1</v>
      </c>
      <c r="G1764" s="6">
        <v>45765</v>
      </c>
      <c r="H1764">
        <v>38</v>
      </c>
      <c r="I1764">
        <f>ROUND(CompilDonnées[[#This Row],[CultureDuration_days]]/7,0)</f>
        <v>5</v>
      </c>
      <c r="J1764">
        <v>3478</v>
      </c>
      <c r="K1764" t="str">
        <f>_xlfn.CONCAT(WEEKNUM(CompilDonnées[[#This Row],[PlantationDate]]), " ", YEAR(CompilDonnées[[#This Row],[PlantationDate]]))</f>
        <v>11 2025</v>
      </c>
      <c r="L1764" t="str">
        <f>CONCATENATE(MONTH(CompilDonnées[[#This Row],[PlantationDate]])," ", YEAR(CompilDonnées[[#This Row],[PlantationDate]]))</f>
        <v>3 2025</v>
      </c>
      <c r="M1764" t="str">
        <f>CONCATENATE(MONTH(CompilDonnées[[#This Row],[HarvestingDate]])," ", YEAR(CompilDonnées[[#This Row],[HarvestingDate]]))</f>
        <v>4 2025</v>
      </c>
      <c r="N1764">
        <f>_xlfn.NUMBERVALUE(CompilDonnées[[#This Row],[FarmID]]&amp;CompilDonnées[[#This Row],[ModuleNumber]]&amp;CompilDonnées[[#This Row],[PlantationDate]])</f>
        <v>19245727</v>
      </c>
      <c r="O1764" t="str">
        <f>CompilDonnées[[#This Row],[FarmID]]&amp;CompilDonnées[[#This Row],[ModuleNumber]]</f>
        <v>192</v>
      </c>
      <c r="P1764" t="str">
        <f>CompilDonnées[[#This Row],[Ref_Module]]&amp;CompilDonnées[[#This Row],[HarvestingDate]]</f>
        <v>19245765</v>
      </c>
    </row>
    <row r="1765" spans="1:16">
      <c r="A1765" s="5">
        <v>45727</v>
      </c>
      <c r="B1765">
        <v>20</v>
      </c>
      <c r="C1765" t="s">
        <v>53</v>
      </c>
      <c r="D1765">
        <v>3</v>
      </c>
      <c r="E1765">
        <v>100</v>
      </c>
      <c r="F1765" t="s">
        <v>1</v>
      </c>
      <c r="G1765" s="6">
        <v>45769</v>
      </c>
      <c r="H1765">
        <v>42</v>
      </c>
      <c r="I1765">
        <f>ROUND(CompilDonnées[[#This Row],[CultureDuration_days]]/7,0)</f>
        <v>6</v>
      </c>
      <c r="J1765">
        <v>3092</v>
      </c>
      <c r="K1765" t="str">
        <f>_xlfn.CONCAT(WEEKNUM(CompilDonnées[[#This Row],[PlantationDate]]), " ", YEAR(CompilDonnées[[#This Row],[PlantationDate]]))</f>
        <v>11 2025</v>
      </c>
      <c r="L1765" t="str">
        <f>CONCATENATE(MONTH(CompilDonnées[[#This Row],[PlantationDate]])," ", YEAR(CompilDonnées[[#This Row],[PlantationDate]]))</f>
        <v>3 2025</v>
      </c>
      <c r="M1765" t="str">
        <f>CONCATENATE(MONTH(CompilDonnées[[#This Row],[HarvestingDate]])," ", YEAR(CompilDonnées[[#This Row],[HarvestingDate]]))</f>
        <v>4 2025</v>
      </c>
      <c r="N1765">
        <f>_xlfn.NUMBERVALUE(CompilDonnées[[#This Row],[FarmID]]&amp;CompilDonnées[[#This Row],[ModuleNumber]]&amp;CompilDonnées[[#This Row],[PlantationDate]])</f>
        <v>20345727</v>
      </c>
      <c r="O1765" t="str">
        <f>CompilDonnées[[#This Row],[FarmID]]&amp;CompilDonnées[[#This Row],[ModuleNumber]]</f>
        <v>203</v>
      </c>
      <c r="P1765" t="str">
        <f>CompilDonnées[[#This Row],[Ref_Module]]&amp;CompilDonnées[[#This Row],[HarvestingDate]]</f>
        <v>20345769</v>
      </c>
    </row>
    <row r="1766" spans="1:16">
      <c r="A1766" s="5">
        <v>45727</v>
      </c>
      <c r="B1766">
        <v>20</v>
      </c>
      <c r="C1766" t="s">
        <v>53</v>
      </c>
      <c r="D1766">
        <v>6</v>
      </c>
      <c r="E1766">
        <v>100</v>
      </c>
      <c r="F1766" t="s">
        <v>1</v>
      </c>
      <c r="G1766" s="6">
        <v>45769</v>
      </c>
      <c r="H1766">
        <v>42</v>
      </c>
      <c r="I1766">
        <f>ROUND(CompilDonnées[[#This Row],[CultureDuration_days]]/7,0)</f>
        <v>6</v>
      </c>
      <c r="J1766">
        <v>2909</v>
      </c>
      <c r="K1766" t="str">
        <f>_xlfn.CONCAT(WEEKNUM(CompilDonnées[[#This Row],[PlantationDate]]), " ", YEAR(CompilDonnées[[#This Row],[PlantationDate]]))</f>
        <v>11 2025</v>
      </c>
      <c r="L1766" t="str">
        <f>CONCATENATE(MONTH(CompilDonnées[[#This Row],[PlantationDate]])," ", YEAR(CompilDonnées[[#This Row],[PlantationDate]]))</f>
        <v>3 2025</v>
      </c>
      <c r="M1766" t="str">
        <f>CONCATENATE(MONTH(CompilDonnées[[#This Row],[HarvestingDate]])," ", YEAR(CompilDonnées[[#This Row],[HarvestingDate]]))</f>
        <v>4 2025</v>
      </c>
      <c r="N1766">
        <f>_xlfn.NUMBERVALUE(CompilDonnées[[#This Row],[FarmID]]&amp;CompilDonnées[[#This Row],[ModuleNumber]]&amp;CompilDonnées[[#This Row],[PlantationDate]])</f>
        <v>20645727</v>
      </c>
      <c r="O1766" t="str">
        <f>CompilDonnées[[#This Row],[FarmID]]&amp;CompilDonnées[[#This Row],[ModuleNumber]]</f>
        <v>206</v>
      </c>
      <c r="P1766" t="str">
        <f>CompilDonnées[[#This Row],[Ref_Module]]&amp;CompilDonnées[[#This Row],[HarvestingDate]]</f>
        <v>20645769</v>
      </c>
    </row>
    <row r="1767" spans="1:16">
      <c r="A1767" s="5">
        <v>45727</v>
      </c>
      <c r="B1767">
        <v>23</v>
      </c>
      <c r="C1767" t="s">
        <v>44</v>
      </c>
      <c r="D1767">
        <v>5</v>
      </c>
      <c r="E1767">
        <v>100</v>
      </c>
      <c r="F1767" t="s">
        <v>1</v>
      </c>
      <c r="G1767" s="6">
        <v>45769</v>
      </c>
      <c r="H1767">
        <v>42</v>
      </c>
      <c r="I1767">
        <f>ROUND(CompilDonnées[[#This Row],[CultureDuration_days]]/7,0)</f>
        <v>6</v>
      </c>
      <c r="J1767">
        <v>3768</v>
      </c>
      <c r="K1767" t="str">
        <f>_xlfn.CONCAT(WEEKNUM(CompilDonnées[[#This Row],[PlantationDate]]), " ", YEAR(CompilDonnées[[#This Row],[PlantationDate]]))</f>
        <v>11 2025</v>
      </c>
      <c r="L1767" t="str">
        <f>CONCATENATE(MONTH(CompilDonnées[[#This Row],[PlantationDate]])," ", YEAR(CompilDonnées[[#This Row],[PlantationDate]]))</f>
        <v>3 2025</v>
      </c>
      <c r="M1767" t="str">
        <f>CONCATENATE(MONTH(CompilDonnées[[#This Row],[HarvestingDate]])," ", YEAR(CompilDonnées[[#This Row],[HarvestingDate]]))</f>
        <v>4 2025</v>
      </c>
      <c r="N1767">
        <f>_xlfn.NUMBERVALUE(CompilDonnées[[#This Row],[FarmID]]&amp;CompilDonnées[[#This Row],[ModuleNumber]]&amp;CompilDonnées[[#This Row],[PlantationDate]])</f>
        <v>23545727</v>
      </c>
      <c r="O1767" t="str">
        <f>CompilDonnées[[#This Row],[FarmID]]&amp;CompilDonnées[[#This Row],[ModuleNumber]]</f>
        <v>235</v>
      </c>
      <c r="P1767" t="str">
        <f>CompilDonnées[[#This Row],[Ref_Module]]&amp;CompilDonnées[[#This Row],[HarvestingDate]]</f>
        <v>23545769</v>
      </c>
    </row>
    <row r="1768" spans="1:16">
      <c r="A1768" s="5">
        <v>45727</v>
      </c>
      <c r="B1768">
        <v>24</v>
      </c>
      <c r="C1768" t="s">
        <v>31</v>
      </c>
      <c r="D1768">
        <v>3</v>
      </c>
      <c r="E1768">
        <v>100</v>
      </c>
      <c r="F1768" t="s">
        <v>1</v>
      </c>
      <c r="G1768" s="6">
        <v>45764</v>
      </c>
      <c r="H1768">
        <v>37</v>
      </c>
      <c r="I1768">
        <f>ROUND(CompilDonnées[[#This Row],[CultureDuration_days]]/7,0)</f>
        <v>5</v>
      </c>
      <c r="J1768">
        <v>3945</v>
      </c>
      <c r="K1768" t="str">
        <f>_xlfn.CONCAT(WEEKNUM(CompilDonnées[[#This Row],[PlantationDate]]), " ", YEAR(CompilDonnées[[#This Row],[PlantationDate]]))</f>
        <v>11 2025</v>
      </c>
      <c r="L1768" t="str">
        <f>CONCATENATE(MONTH(CompilDonnées[[#This Row],[PlantationDate]])," ", YEAR(CompilDonnées[[#This Row],[PlantationDate]]))</f>
        <v>3 2025</v>
      </c>
      <c r="M1768" t="str">
        <f>CONCATENATE(MONTH(CompilDonnées[[#This Row],[HarvestingDate]])," ", YEAR(CompilDonnées[[#This Row],[HarvestingDate]]))</f>
        <v>4 2025</v>
      </c>
      <c r="N1768">
        <f>_xlfn.NUMBERVALUE(CompilDonnées[[#This Row],[FarmID]]&amp;CompilDonnées[[#This Row],[ModuleNumber]]&amp;CompilDonnées[[#This Row],[PlantationDate]])</f>
        <v>24345727</v>
      </c>
      <c r="O1768" t="str">
        <f>CompilDonnées[[#This Row],[FarmID]]&amp;CompilDonnées[[#This Row],[ModuleNumber]]</f>
        <v>243</v>
      </c>
      <c r="P1768" t="str">
        <f>CompilDonnées[[#This Row],[Ref_Module]]&amp;CompilDonnées[[#This Row],[HarvestingDate]]</f>
        <v>24345764</v>
      </c>
    </row>
    <row r="1769" spans="1:16">
      <c r="A1769" s="5">
        <v>45727</v>
      </c>
      <c r="B1769">
        <v>26</v>
      </c>
      <c r="C1769" t="s">
        <v>97</v>
      </c>
      <c r="D1769">
        <v>3</v>
      </c>
      <c r="E1769">
        <v>100</v>
      </c>
      <c r="F1769" t="s">
        <v>1</v>
      </c>
      <c r="G1769" s="6">
        <v>45769</v>
      </c>
      <c r="H1769">
        <v>42</v>
      </c>
      <c r="I1769">
        <f>ROUND(CompilDonnées[[#This Row],[CultureDuration_days]]/7,0)</f>
        <v>6</v>
      </c>
      <c r="J1769">
        <v>3408</v>
      </c>
      <c r="K1769" t="str">
        <f>_xlfn.CONCAT(WEEKNUM(CompilDonnées[[#This Row],[PlantationDate]]), " ", YEAR(CompilDonnées[[#This Row],[PlantationDate]]))</f>
        <v>11 2025</v>
      </c>
      <c r="L1769" t="str">
        <f>CONCATENATE(MONTH(CompilDonnées[[#This Row],[PlantationDate]])," ", YEAR(CompilDonnées[[#This Row],[PlantationDate]]))</f>
        <v>3 2025</v>
      </c>
      <c r="M1769" t="str">
        <f>CONCATENATE(MONTH(CompilDonnées[[#This Row],[HarvestingDate]])," ", YEAR(CompilDonnées[[#This Row],[HarvestingDate]]))</f>
        <v>4 2025</v>
      </c>
      <c r="N1769">
        <f>_xlfn.NUMBERVALUE(CompilDonnées[[#This Row],[FarmID]]&amp;CompilDonnées[[#This Row],[ModuleNumber]]&amp;CompilDonnées[[#This Row],[PlantationDate]])</f>
        <v>26345727</v>
      </c>
      <c r="O1769" t="str">
        <f>CompilDonnées[[#This Row],[FarmID]]&amp;CompilDonnées[[#This Row],[ModuleNumber]]</f>
        <v>263</v>
      </c>
      <c r="P1769" t="str">
        <f>CompilDonnées[[#This Row],[Ref_Module]]&amp;CompilDonnées[[#This Row],[HarvestingDate]]</f>
        <v>26345769</v>
      </c>
    </row>
    <row r="1770" spans="1:16">
      <c r="A1770" s="5">
        <v>45727</v>
      </c>
      <c r="B1770">
        <v>26</v>
      </c>
      <c r="C1770" t="s">
        <v>97</v>
      </c>
      <c r="D1770">
        <v>4</v>
      </c>
      <c r="E1770">
        <v>100</v>
      </c>
      <c r="F1770" t="s">
        <v>1</v>
      </c>
      <c r="G1770" s="6">
        <v>45769</v>
      </c>
      <c r="H1770">
        <v>42</v>
      </c>
      <c r="I1770">
        <f>ROUND(CompilDonnées[[#This Row],[CultureDuration_days]]/7,0)</f>
        <v>6</v>
      </c>
      <c r="J1770">
        <v>3487</v>
      </c>
      <c r="K1770" t="str">
        <f>_xlfn.CONCAT(WEEKNUM(CompilDonnées[[#This Row],[PlantationDate]]), " ", YEAR(CompilDonnées[[#This Row],[PlantationDate]]))</f>
        <v>11 2025</v>
      </c>
      <c r="L1770" t="str">
        <f>CONCATENATE(MONTH(CompilDonnées[[#This Row],[PlantationDate]])," ", YEAR(CompilDonnées[[#This Row],[PlantationDate]]))</f>
        <v>3 2025</v>
      </c>
      <c r="M1770" t="str">
        <f>CONCATENATE(MONTH(CompilDonnées[[#This Row],[HarvestingDate]])," ", YEAR(CompilDonnées[[#This Row],[HarvestingDate]]))</f>
        <v>4 2025</v>
      </c>
      <c r="N1770">
        <f>_xlfn.NUMBERVALUE(CompilDonnées[[#This Row],[FarmID]]&amp;CompilDonnées[[#This Row],[ModuleNumber]]&amp;CompilDonnées[[#This Row],[PlantationDate]])</f>
        <v>26445727</v>
      </c>
      <c r="O1770" t="str">
        <f>CompilDonnées[[#This Row],[FarmID]]&amp;CompilDonnées[[#This Row],[ModuleNumber]]</f>
        <v>264</v>
      </c>
      <c r="P1770" t="str">
        <f>CompilDonnées[[#This Row],[Ref_Module]]&amp;CompilDonnées[[#This Row],[HarvestingDate]]</f>
        <v>26445769</v>
      </c>
    </row>
    <row r="1771" spans="1:16">
      <c r="A1771" s="5">
        <v>45727</v>
      </c>
      <c r="B1771">
        <v>27</v>
      </c>
      <c r="C1771" t="s">
        <v>88</v>
      </c>
      <c r="D1771">
        <v>2</v>
      </c>
      <c r="E1771">
        <v>100</v>
      </c>
      <c r="F1771" t="s">
        <v>1</v>
      </c>
      <c r="G1771" s="6">
        <v>45769</v>
      </c>
      <c r="H1771">
        <v>42</v>
      </c>
      <c r="I1771">
        <f>ROUND(CompilDonnées[[#This Row],[CultureDuration_days]]/7,0)</f>
        <v>6</v>
      </c>
      <c r="J1771">
        <v>3162</v>
      </c>
      <c r="K1771" t="str">
        <f>_xlfn.CONCAT(WEEKNUM(CompilDonnées[[#This Row],[PlantationDate]]), " ", YEAR(CompilDonnées[[#This Row],[PlantationDate]]))</f>
        <v>11 2025</v>
      </c>
      <c r="L1771" t="str">
        <f>CONCATENATE(MONTH(CompilDonnées[[#This Row],[PlantationDate]])," ", YEAR(CompilDonnées[[#This Row],[PlantationDate]]))</f>
        <v>3 2025</v>
      </c>
      <c r="M1771" t="str">
        <f>CONCATENATE(MONTH(CompilDonnées[[#This Row],[HarvestingDate]])," ", YEAR(CompilDonnées[[#This Row],[HarvestingDate]]))</f>
        <v>4 2025</v>
      </c>
      <c r="N1771">
        <f>_xlfn.NUMBERVALUE(CompilDonnées[[#This Row],[FarmID]]&amp;CompilDonnées[[#This Row],[ModuleNumber]]&amp;CompilDonnées[[#This Row],[PlantationDate]])</f>
        <v>27245727</v>
      </c>
      <c r="O1771" t="str">
        <f>CompilDonnées[[#This Row],[FarmID]]&amp;CompilDonnées[[#This Row],[ModuleNumber]]</f>
        <v>272</v>
      </c>
      <c r="P1771" t="str">
        <f>CompilDonnées[[#This Row],[Ref_Module]]&amp;CompilDonnées[[#This Row],[HarvestingDate]]</f>
        <v>27245769</v>
      </c>
    </row>
    <row r="1772" spans="1:16">
      <c r="A1772" s="5">
        <v>45727</v>
      </c>
      <c r="B1772">
        <v>28</v>
      </c>
      <c r="C1772" t="s">
        <v>77</v>
      </c>
      <c r="D1772">
        <v>3</v>
      </c>
      <c r="E1772">
        <v>100</v>
      </c>
      <c r="F1772" t="s">
        <v>1</v>
      </c>
      <c r="G1772" s="6">
        <v>45769</v>
      </c>
      <c r="H1772">
        <v>42</v>
      </c>
      <c r="I1772">
        <f>ROUND(CompilDonnées[[#This Row],[CultureDuration_days]]/7,0)</f>
        <v>6</v>
      </c>
      <c r="J1772">
        <v>2268</v>
      </c>
      <c r="K1772" t="str">
        <f>_xlfn.CONCAT(WEEKNUM(CompilDonnées[[#This Row],[PlantationDate]]), " ", YEAR(CompilDonnées[[#This Row],[PlantationDate]]))</f>
        <v>11 2025</v>
      </c>
      <c r="L1772" t="str">
        <f>CONCATENATE(MONTH(CompilDonnées[[#This Row],[PlantationDate]])," ", YEAR(CompilDonnées[[#This Row],[PlantationDate]]))</f>
        <v>3 2025</v>
      </c>
      <c r="M1772" t="str">
        <f>CONCATENATE(MONTH(CompilDonnées[[#This Row],[HarvestingDate]])," ", YEAR(CompilDonnées[[#This Row],[HarvestingDate]]))</f>
        <v>4 2025</v>
      </c>
      <c r="N1772">
        <f>_xlfn.NUMBERVALUE(CompilDonnées[[#This Row],[FarmID]]&amp;CompilDonnées[[#This Row],[ModuleNumber]]&amp;CompilDonnées[[#This Row],[PlantationDate]])</f>
        <v>28345727</v>
      </c>
      <c r="O1772" t="str">
        <f>CompilDonnées[[#This Row],[FarmID]]&amp;CompilDonnées[[#This Row],[ModuleNumber]]</f>
        <v>283</v>
      </c>
      <c r="P1772" t="str">
        <f>CompilDonnées[[#This Row],[Ref_Module]]&amp;CompilDonnées[[#This Row],[HarvestingDate]]</f>
        <v>28345769</v>
      </c>
    </row>
    <row r="1773" spans="1:16">
      <c r="A1773" s="5">
        <v>45727</v>
      </c>
      <c r="B1773">
        <v>29</v>
      </c>
      <c r="C1773" t="s">
        <v>2</v>
      </c>
      <c r="D1773">
        <v>2</v>
      </c>
      <c r="E1773">
        <v>100</v>
      </c>
      <c r="F1773" t="s">
        <v>1</v>
      </c>
      <c r="G1773" s="6">
        <v>45764</v>
      </c>
      <c r="H1773">
        <v>37</v>
      </c>
      <c r="I1773">
        <f>ROUND(CompilDonnées[[#This Row],[CultureDuration_days]]/7,0)</f>
        <v>5</v>
      </c>
      <c r="J1773">
        <v>3157</v>
      </c>
      <c r="K1773" t="str">
        <f>_xlfn.CONCAT(WEEKNUM(CompilDonnées[[#This Row],[PlantationDate]]), " ", YEAR(CompilDonnées[[#This Row],[PlantationDate]]))</f>
        <v>11 2025</v>
      </c>
      <c r="L1773" t="str">
        <f>CONCATENATE(MONTH(CompilDonnées[[#This Row],[PlantationDate]])," ", YEAR(CompilDonnées[[#This Row],[PlantationDate]]))</f>
        <v>3 2025</v>
      </c>
      <c r="M1773" t="str">
        <f>CONCATENATE(MONTH(CompilDonnées[[#This Row],[HarvestingDate]])," ", YEAR(CompilDonnées[[#This Row],[HarvestingDate]]))</f>
        <v>4 2025</v>
      </c>
      <c r="N1773">
        <f>_xlfn.NUMBERVALUE(CompilDonnées[[#This Row],[FarmID]]&amp;CompilDonnées[[#This Row],[ModuleNumber]]&amp;CompilDonnées[[#This Row],[PlantationDate]])</f>
        <v>29245727</v>
      </c>
      <c r="O1773" t="str">
        <f>CompilDonnées[[#This Row],[FarmID]]&amp;CompilDonnées[[#This Row],[ModuleNumber]]</f>
        <v>292</v>
      </c>
      <c r="P1773" t="str">
        <f>CompilDonnées[[#This Row],[Ref_Module]]&amp;CompilDonnées[[#This Row],[HarvestingDate]]</f>
        <v>29245764</v>
      </c>
    </row>
    <row r="1774" spans="1:16">
      <c r="A1774" s="5">
        <v>45727</v>
      </c>
      <c r="B1774">
        <v>37</v>
      </c>
      <c r="C1774" t="s">
        <v>26</v>
      </c>
      <c r="D1774">
        <v>3</v>
      </c>
      <c r="E1774">
        <v>100</v>
      </c>
      <c r="F1774" t="s">
        <v>1</v>
      </c>
      <c r="G1774" s="6">
        <v>45763</v>
      </c>
      <c r="H1774">
        <v>36</v>
      </c>
      <c r="I1774">
        <f>ROUND(CompilDonnées[[#This Row],[CultureDuration_days]]/7,0)</f>
        <v>5</v>
      </c>
      <c r="J1774">
        <v>3160</v>
      </c>
      <c r="K1774" t="str">
        <f>_xlfn.CONCAT(WEEKNUM(CompilDonnées[[#This Row],[PlantationDate]]), " ", YEAR(CompilDonnées[[#This Row],[PlantationDate]]))</f>
        <v>11 2025</v>
      </c>
      <c r="L1774" t="str">
        <f>CONCATENATE(MONTH(CompilDonnées[[#This Row],[PlantationDate]])," ", YEAR(CompilDonnées[[#This Row],[PlantationDate]]))</f>
        <v>3 2025</v>
      </c>
      <c r="M1774" t="str">
        <f>CONCATENATE(MONTH(CompilDonnées[[#This Row],[HarvestingDate]])," ", YEAR(CompilDonnées[[#This Row],[HarvestingDate]]))</f>
        <v>4 2025</v>
      </c>
      <c r="N1774">
        <f>_xlfn.NUMBERVALUE(CompilDonnées[[#This Row],[FarmID]]&amp;CompilDonnées[[#This Row],[ModuleNumber]]&amp;CompilDonnées[[#This Row],[PlantationDate]])</f>
        <v>37345727</v>
      </c>
      <c r="O1774" t="str">
        <f>CompilDonnées[[#This Row],[FarmID]]&amp;CompilDonnées[[#This Row],[ModuleNumber]]</f>
        <v>373</v>
      </c>
      <c r="P1774" t="str">
        <f>CompilDonnées[[#This Row],[Ref_Module]]&amp;CompilDonnées[[#This Row],[HarvestingDate]]</f>
        <v>37345763</v>
      </c>
    </row>
    <row r="1775" spans="1:16">
      <c r="A1775" s="5">
        <v>45727</v>
      </c>
      <c r="B1775">
        <v>143</v>
      </c>
      <c r="C1775" t="s">
        <v>3</v>
      </c>
      <c r="D1775">
        <v>1</v>
      </c>
      <c r="E1775">
        <v>60</v>
      </c>
      <c r="F1775" t="s">
        <v>105</v>
      </c>
      <c r="G1775" s="6">
        <v>45775</v>
      </c>
      <c r="H1775">
        <v>48</v>
      </c>
      <c r="I1775">
        <f>ROUND(CompilDonnées[[#This Row],[CultureDuration_days]]/7,0)</f>
        <v>7</v>
      </c>
      <c r="J1775">
        <v>1442</v>
      </c>
      <c r="K1775" t="str">
        <f>_xlfn.CONCAT(WEEKNUM(CompilDonnées[[#This Row],[PlantationDate]]), " ", YEAR(CompilDonnées[[#This Row],[PlantationDate]]))</f>
        <v>11 2025</v>
      </c>
      <c r="L1775" t="str">
        <f>CONCATENATE(MONTH(CompilDonnées[[#This Row],[PlantationDate]])," ", YEAR(CompilDonnées[[#This Row],[PlantationDate]]))</f>
        <v>3 2025</v>
      </c>
      <c r="M1775" t="str">
        <f>CONCATENATE(MONTH(CompilDonnées[[#This Row],[HarvestingDate]])," ", YEAR(CompilDonnées[[#This Row],[HarvestingDate]]))</f>
        <v>4 2025</v>
      </c>
      <c r="N1775">
        <f>_xlfn.NUMBERVALUE(CompilDonnées[[#This Row],[FarmID]]&amp;CompilDonnées[[#This Row],[ModuleNumber]]&amp;CompilDonnées[[#This Row],[PlantationDate]])</f>
        <v>143145727</v>
      </c>
      <c r="O1775" t="str">
        <f>CompilDonnées[[#This Row],[FarmID]]&amp;CompilDonnées[[#This Row],[ModuleNumber]]</f>
        <v>1431</v>
      </c>
      <c r="P1775" t="str">
        <f>CompilDonnées[[#This Row],[Ref_Module]]&amp;CompilDonnées[[#This Row],[HarvestingDate]]</f>
        <v>143145775</v>
      </c>
    </row>
    <row r="1776" spans="1:16">
      <c r="A1776" s="5">
        <v>45727</v>
      </c>
      <c r="B1776">
        <v>143</v>
      </c>
      <c r="C1776" t="s">
        <v>3</v>
      </c>
      <c r="D1776">
        <v>2</v>
      </c>
      <c r="E1776">
        <v>60</v>
      </c>
      <c r="F1776" t="s">
        <v>105</v>
      </c>
      <c r="G1776" s="6">
        <v>45775</v>
      </c>
      <c r="H1776">
        <v>48</v>
      </c>
      <c r="I1776">
        <f>ROUND(CompilDonnées[[#This Row],[CultureDuration_days]]/7,0)</f>
        <v>7</v>
      </c>
      <c r="J1776">
        <v>1242</v>
      </c>
      <c r="K1776" t="str">
        <f>_xlfn.CONCAT(WEEKNUM(CompilDonnées[[#This Row],[PlantationDate]]), " ", YEAR(CompilDonnées[[#This Row],[PlantationDate]]))</f>
        <v>11 2025</v>
      </c>
      <c r="L1776" t="str">
        <f>CONCATENATE(MONTH(CompilDonnées[[#This Row],[PlantationDate]])," ", YEAR(CompilDonnées[[#This Row],[PlantationDate]]))</f>
        <v>3 2025</v>
      </c>
      <c r="M1776" t="str">
        <f>CONCATENATE(MONTH(CompilDonnées[[#This Row],[HarvestingDate]])," ", YEAR(CompilDonnées[[#This Row],[HarvestingDate]]))</f>
        <v>4 2025</v>
      </c>
      <c r="N1776">
        <f>_xlfn.NUMBERVALUE(CompilDonnées[[#This Row],[FarmID]]&amp;CompilDonnées[[#This Row],[ModuleNumber]]&amp;CompilDonnées[[#This Row],[PlantationDate]])</f>
        <v>143245727</v>
      </c>
      <c r="O1776" t="str">
        <f>CompilDonnées[[#This Row],[FarmID]]&amp;CompilDonnées[[#This Row],[ModuleNumber]]</f>
        <v>1432</v>
      </c>
      <c r="P1776" t="str">
        <f>CompilDonnées[[#This Row],[Ref_Module]]&amp;CompilDonnées[[#This Row],[HarvestingDate]]</f>
        <v>143245775</v>
      </c>
    </row>
    <row r="1777" spans="1:16">
      <c r="A1777" s="5">
        <v>45727</v>
      </c>
      <c r="B1777">
        <v>143</v>
      </c>
      <c r="C1777" t="s">
        <v>3</v>
      </c>
      <c r="D1777">
        <v>3</v>
      </c>
      <c r="E1777">
        <v>60</v>
      </c>
      <c r="F1777" t="s">
        <v>105</v>
      </c>
      <c r="G1777" s="6">
        <v>45775</v>
      </c>
      <c r="H1777">
        <v>48</v>
      </c>
      <c r="I1777">
        <f>ROUND(CompilDonnées[[#This Row],[CultureDuration_days]]/7,0)</f>
        <v>7</v>
      </c>
      <c r="J1777">
        <v>1292</v>
      </c>
      <c r="K1777" t="str">
        <f>_xlfn.CONCAT(WEEKNUM(CompilDonnées[[#This Row],[PlantationDate]]), " ", YEAR(CompilDonnées[[#This Row],[PlantationDate]]))</f>
        <v>11 2025</v>
      </c>
      <c r="L1777" t="str">
        <f>CONCATENATE(MONTH(CompilDonnées[[#This Row],[PlantationDate]])," ", YEAR(CompilDonnées[[#This Row],[PlantationDate]]))</f>
        <v>3 2025</v>
      </c>
      <c r="M1777" t="str">
        <f>CONCATENATE(MONTH(CompilDonnées[[#This Row],[HarvestingDate]])," ", YEAR(CompilDonnées[[#This Row],[HarvestingDate]]))</f>
        <v>4 2025</v>
      </c>
      <c r="N1777">
        <f>_xlfn.NUMBERVALUE(CompilDonnées[[#This Row],[FarmID]]&amp;CompilDonnées[[#This Row],[ModuleNumber]]&amp;CompilDonnées[[#This Row],[PlantationDate]])</f>
        <v>143345727</v>
      </c>
      <c r="O1777" t="str">
        <f>CompilDonnées[[#This Row],[FarmID]]&amp;CompilDonnées[[#This Row],[ModuleNumber]]</f>
        <v>1433</v>
      </c>
      <c r="P1777" t="str">
        <f>CompilDonnées[[#This Row],[Ref_Module]]&amp;CompilDonnées[[#This Row],[HarvestingDate]]</f>
        <v>143345775</v>
      </c>
    </row>
    <row r="1778" spans="1:16">
      <c r="A1778" s="5">
        <v>45727</v>
      </c>
      <c r="B1778">
        <v>143</v>
      </c>
      <c r="C1778" t="s">
        <v>3</v>
      </c>
      <c r="D1778">
        <v>4</v>
      </c>
      <c r="E1778">
        <v>60</v>
      </c>
      <c r="F1778" t="s">
        <v>105</v>
      </c>
      <c r="G1778" s="6">
        <v>45775</v>
      </c>
      <c r="H1778">
        <v>48</v>
      </c>
      <c r="I1778">
        <f>ROUND(CompilDonnées[[#This Row],[CultureDuration_days]]/7,0)</f>
        <v>7</v>
      </c>
      <c r="J1778">
        <v>1142</v>
      </c>
      <c r="K1778" t="str">
        <f>_xlfn.CONCAT(WEEKNUM(CompilDonnées[[#This Row],[PlantationDate]]), " ", YEAR(CompilDonnées[[#This Row],[PlantationDate]]))</f>
        <v>11 2025</v>
      </c>
      <c r="L1778" t="str">
        <f>CONCATENATE(MONTH(CompilDonnées[[#This Row],[PlantationDate]])," ", YEAR(CompilDonnées[[#This Row],[PlantationDate]]))</f>
        <v>3 2025</v>
      </c>
      <c r="M1778" t="str">
        <f>CONCATENATE(MONTH(CompilDonnées[[#This Row],[HarvestingDate]])," ", YEAR(CompilDonnées[[#This Row],[HarvestingDate]]))</f>
        <v>4 2025</v>
      </c>
      <c r="N1778">
        <f>_xlfn.NUMBERVALUE(CompilDonnées[[#This Row],[FarmID]]&amp;CompilDonnées[[#This Row],[ModuleNumber]]&amp;CompilDonnées[[#This Row],[PlantationDate]])</f>
        <v>143445727</v>
      </c>
      <c r="O1778" t="str">
        <f>CompilDonnées[[#This Row],[FarmID]]&amp;CompilDonnées[[#This Row],[ModuleNumber]]</f>
        <v>1434</v>
      </c>
      <c r="P1778" t="str">
        <f>CompilDonnées[[#This Row],[Ref_Module]]&amp;CompilDonnées[[#This Row],[HarvestingDate]]</f>
        <v>143445775</v>
      </c>
    </row>
    <row r="1779" spans="1:16">
      <c r="A1779" s="5">
        <v>45727</v>
      </c>
      <c r="B1779">
        <v>33</v>
      </c>
      <c r="C1779" t="s">
        <v>104</v>
      </c>
      <c r="D1779">
        <v>3</v>
      </c>
      <c r="E1779">
        <v>100</v>
      </c>
      <c r="F1779" t="s">
        <v>1</v>
      </c>
      <c r="G1779" s="6">
        <v>45769</v>
      </c>
      <c r="H1779">
        <v>42</v>
      </c>
      <c r="I1779">
        <f>ROUND(CompilDonnées[[#This Row],[CultureDuration_days]]/7,0)</f>
        <v>6</v>
      </c>
      <c r="J1779">
        <v>2620</v>
      </c>
      <c r="K1779" t="str">
        <f>_xlfn.CONCAT(WEEKNUM(CompilDonnées[[#This Row],[PlantationDate]]), " ", YEAR(CompilDonnées[[#This Row],[PlantationDate]]))</f>
        <v>11 2025</v>
      </c>
      <c r="L1779" t="str">
        <f>CONCATENATE(MONTH(CompilDonnées[[#This Row],[PlantationDate]])," ", YEAR(CompilDonnées[[#This Row],[PlantationDate]]))</f>
        <v>3 2025</v>
      </c>
      <c r="M1779" t="str">
        <f>CONCATENATE(MONTH(CompilDonnées[[#This Row],[HarvestingDate]])," ", YEAR(CompilDonnées[[#This Row],[HarvestingDate]]))</f>
        <v>4 2025</v>
      </c>
      <c r="N1779">
        <f>_xlfn.NUMBERVALUE(CompilDonnées[[#This Row],[FarmID]]&amp;CompilDonnées[[#This Row],[ModuleNumber]]&amp;CompilDonnées[[#This Row],[PlantationDate]])</f>
        <v>33345727</v>
      </c>
      <c r="O1779" t="str">
        <f>CompilDonnées[[#This Row],[FarmID]]&amp;CompilDonnées[[#This Row],[ModuleNumber]]</f>
        <v>333</v>
      </c>
      <c r="P1779" t="str">
        <f>CompilDonnées[[#This Row],[Ref_Module]]&amp;CompilDonnées[[#This Row],[HarvestingDate]]</f>
        <v>33345769</v>
      </c>
    </row>
    <row r="1780" spans="1:16">
      <c r="A1780" s="5">
        <v>45727</v>
      </c>
      <c r="B1780">
        <v>33</v>
      </c>
      <c r="C1780" t="s">
        <v>104</v>
      </c>
      <c r="D1780">
        <v>4</v>
      </c>
      <c r="E1780">
        <v>100</v>
      </c>
      <c r="F1780" t="s">
        <v>1</v>
      </c>
      <c r="G1780" s="6">
        <v>45769</v>
      </c>
      <c r="H1780">
        <v>42</v>
      </c>
      <c r="I1780">
        <f>ROUND(CompilDonnées[[#This Row],[CultureDuration_days]]/7,0)</f>
        <v>6</v>
      </c>
      <c r="J1780">
        <v>2502</v>
      </c>
      <c r="K1780" t="str">
        <f>_xlfn.CONCAT(WEEKNUM(CompilDonnées[[#This Row],[PlantationDate]]), " ", YEAR(CompilDonnées[[#This Row],[PlantationDate]]))</f>
        <v>11 2025</v>
      </c>
      <c r="L1780" t="str">
        <f>CONCATENATE(MONTH(CompilDonnées[[#This Row],[PlantationDate]])," ", YEAR(CompilDonnées[[#This Row],[PlantationDate]]))</f>
        <v>3 2025</v>
      </c>
      <c r="M1780" t="str">
        <f>CONCATENATE(MONTH(CompilDonnées[[#This Row],[HarvestingDate]])," ", YEAR(CompilDonnées[[#This Row],[HarvestingDate]]))</f>
        <v>4 2025</v>
      </c>
      <c r="N1780">
        <f>_xlfn.NUMBERVALUE(CompilDonnées[[#This Row],[FarmID]]&amp;CompilDonnées[[#This Row],[ModuleNumber]]&amp;CompilDonnées[[#This Row],[PlantationDate]])</f>
        <v>33445727</v>
      </c>
      <c r="O1780" t="str">
        <f>CompilDonnées[[#This Row],[FarmID]]&amp;CompilDonnées[[#This Row],[ModuleNumber]]</f>
        <v>334</v>
      </c>
      <c r="P1780" t="str">
        <f>CompilDonnées[[#This Row],[Ref_Module]]&amp;CompilDonnées[[#This Row],[HarvestingDate]]</f>
        <v>33445769</v>
      </c>
    </row>
    <row r="1781" spans="1:16">
      <c r="A1781" s="5">
        <v>45727</v>
      </c>
      <c r="B1781">
        <v>34</v>
      </c>
      <c r="C1781" t="s">
        <v>68</v>
      </c>
      <c r="D1781">
        <v>4</v>
      </c>
      <c r="E1781">
        <v>100</v>
      </c>
      <c r="F1781" t="s">
        <v>1</v>
      </c>
      <c r="G1781" s="6">
        <v>45769</v>
      </c>
      <c r="H1781">
        <v>42</v>
      </c>
      <c r="I1781">
        <f>ROUND(CompilDonnées[[#This Row],[CultureDuration_days]]/7,0)</f>
        <v>6</v>
      </c>
      <c r="J1781">
        <v>2597</v>
      </c>
      <c r="K1781" t="str">
        <f>_xlfn.CONCAT(WEEKNUM(CompilDonnées[[#This Row],[PlantationDate]]), " ", YEAR(CompilDonnées[[#This Row],[PlantationDate]]))</f>
        <v>11 2025</v>
      </c>
      <c r="L1781" t="str">
        <f>CONCATENATE(MONTH(CompilDonnées[[#This Row],[PlantationDate]])," ", YEAR(CompilDonnées[[#This Row],[PlantationDate]]))</f>
        <v>3 2025</v>
      </c>
      <c r="M1781" t="str">
        <f>CONCATENATE(MONTH(CompilDonnées[[#This Row],[HarvestingDate]])," ", YEAR(CompilDonnées[[#This Row],[HarvestingDate]]))</f>
        <v>4 2025</v>
      </c>
      <c r="N1781">
        <f>_xlfn.NUMBERVALUE(CompilDonnées[[#This Row],[FarmID]]&amp;CompilDonnées[[#This Row],[ModuleNumber]]&amp;CompilDonnées[[#This Row],[PlantationDate]])</f>
        <v>34445727</v>
      </c>
      <c r="O1781" t="str">
        <f>CompilDonnées[[#This Row],[FarmID]]&amp;CompilDonnées[[#This Row],[ModuleNumber]]</f>
        <v>344</v>
      </c>
      <c r="P1781" t="str">
        <f>CompilDonnées[[#This Row],[Ref_Module]]&amp;CompilDonnées[[#This Row],[HarvestingDate]]</f>
        <v>34445769</v>
      </c>
    </row>
    <row r="1782" spans="1:16">
      <c r="A1782" s="5">
        <v>45727</v>
      </c>
      <c r="B1782">
        <v>36</v>
      </c>
      <c r="C1782" t="s">
        <v>63</v>
      </c>
      <c r="D1782">
        <v>6</v>
      </c>
      <c r="E1782">
        <v>100</v>
      </c>
      <c r="F1782" t="s">
        <v>1</v>
      </c>
      <c r="G1782" s="6">
        <v>45769</v>
      </c>
      <c r="H1782">
        <v>42</v>
      </c>
      <c r="I1782">
        <f>ROUND(CompilDonnées[[#This Row],[CultureDuration_days]]/7,0)</f>
        <v>6</v>
      </c>
      <c r="J1782">
        <v>4286</v>
      </c>
      <c r="K1782" t="str">
        <f>_xlfn.CONCAT(WEEKNUM(CompilDonnées[[#This Row],[PlantationDate]]), " ", YEAR(CompilDonnées[[#This Row],[PlantationDate]]))</f>
        <v>11 2025</v>
      </c>
      <c r="L1782" t="str">
        <f>CONCATENATE(MONTH(CompilDonnées[[#This Row],[PlantationDate]])," ", YEAR(CompilDonnées[[#This Row],[PlantationDate]]))</f>
        <v>3 2025</v>
      </c>
      <c r="M1782" t="str">
        <f>CONCATENATE(MONTH(CompilDonnées[[#This Row],[HarvestingDate]])," ", YEAR(CompilDonnées[[#This Row],[HarvestingDate]]))</f>
        <v>4 2025</v>
      </c>
      <c r="N1782">
        <f>_xlfn.NUMBERVALUE(CompilDonnées[[#This Row],[FarmID]]&amp;CompilDonnées[[#This Row],[ModuleNumber]]&amp;CompilDonnées[[#This Row],[PlantationDate]])</f>
        <v>36645727</v>
      </c>
      <c r="O1782" t="str">
        <f>CompilDonnées[[#This Row],[FarmID]]&amp;CompilDonnées[[#This Row],[ModuleNumber]]</f>
        <v>366</v>
      </c>
      <c r="P1782" t="str">
        <f>CompilDonnées[[#This Row],[Ref_Module]]&amp;CompilDonnées[[#This Row],[HarvestingDate]]</f>
        <v>36645769</v>
      </c>
    </row>
    <row r="1783" spans="1:16">
      <c r="A1783" s="5">
        <v>45727</v>
      </c>
      <c r="B1783">
        <v>38</v>
      </c>
      <c r="C1783" t="s">
        <v>34</v>
      </c>
      <c r="D1783">
        <v>4</v>
      </c>
      <c r="E1783">
        <v>100</v>
      </c>
      <c r="F1783" t="s">
        <v>1</v>
      </c>
      <c r="G1783" s="6">
        <v>45764</v>
      </c>
      <c r="H1783">
        <v>37</v>
      </c>
      <c r="I1783">
        <f>ROUND(CompilDonnées[[#This Row],[CultureDuration_days]]/7,0)</f>
        <v>5</v>
      </c>
      <c r="J1783">
        <v>3966</v>
      </c>
      <c r="K1783" t="str">
        <f>_xlfn.CONCAT(WEEKNUM(CompilDonnées[[#This Row],[PlantationDate]]), " ", YEAR(CompilDonnées[[#This Row],[PlantationDate]]))</f>
        <v>11 2025</v>
      </c>
      <c r="L1783" t="str">
        <f>CONCATENATE(MONTH(CompilDonnées[[#This Row],[PlantationDate]])," ", YEAR(CompilDonnées[[#This Row],[PlantationDate]]))</f>
        <v>3 2025</v>
      </c>
      <c r="M1783" t="str">
        <f>CONCATENATE(MONTH(CompilDonnées[[#This Row],[HarvestingDate]])," ", YEAR(CompilDonnées[[#This Row],[HarvestingDate]]))</f>
        <v>4 2025</v>
      </c>
      <c r="N1783">
        <f>_xlfn.NUMBERVALUE(CompilDonnées[[#This Row],[FarmID]]&amp;CompilDonnées[[#This Row],[ModuleNumber]]&amp;CompilDonnées[[#This Row],[PlantationDate]])</f>
        <v>38445727</v>
      </c>
      <c r="O1783" t="str">
        <f>CompilDonnées[[#This Row],[FarmID]]&amp;CompilDonnées[[#This Row],[ModuleNumber]]</f>
        <v>384</v>
      </c>
      <c r="P1783" t="str">
        <f>CompilDonnées[[#This Row],[Ref_Module]]&amp;CompilDonnées[[#This Row],[HarvestingDate]]</f>
        <v>38445764</v>
      </c>
    </row>
    <row r="1784" spans="1:16">
      <c r="A1784" s="5">
        <v>45727</v>
      </c>
      <c r="B1784">
        <v>40</v>
      </c>
      <c r="C1784" t="s">
        <v>82</v>
      </c>
      <c r="D1784">
        <v>3</v>
      </c>
      <c r="E1784">
        <v>100</v>
      </c>
      <c r="F1784" t="s">
        <v>1</v>
      </c>
      <c r="G1784" s="6">
        <v>45770</v>
      </c>
      <c r="H1784">
        <v>43</v>
      </c>
      <c r="I1784">
        <f>ROUND(CompilDonnées[[#This Row],[CultureDuration_days]]/7,0)</f>
        <v>6</v>
      </c>
      <c r="J1784">
        <v>2816</v>
      </c>
      <c r="K1784" t="str">
        <f>_xlfn.CONCAT(WEEKNUM(CompilDonnées[[#This Row],[PlantationDate]]), " ", YEAR(CompilDonnées[[#This Row],[PlantationDate]]))</f>
        <v>11 2025</v>
      </c>
      <c r="L1784" t="str">
        <f>CONCATENATE(MONTH(CompilDonnées[[#This Row],[PlantationDate]])," ", YEAR(CompilDonnées[[#This Row],[PlantationDate]]))</f>
        <v>3 2025</v>
      </c>
      <c r="M1784" t="str">
        <f>CONCATENATE(MONTH(CompilDonnées[[#This Row],[HarvestingDate]])," ", YEAR(CompilDonnées[[#This Row],[HarvestingDate]]))</f>
        <v>4 2025</v>
      </c>
      <c r="N1784">
        <f>_xlfn.NUMBERVALUE(CompilDonnées[[#This Row],[FarmID]]&amp;CompilDonnées[[#This Row],[ModuleNumber]]&amp;CompilDonnées[[#This Row],[PlantationDate]])</f>
        <v>40345727</v>
      </c>
      <c r="O1784" t="str">
        <f>CompilDonnées[[#This Row],[FarmID]]&amp;CompilDonnées[[#This Row],[ModuleNumber]]</f>
        <v>403</v>
      </c>
      <c r="P1784" t="str">
        <f>CompilDonnées[[#This Row],[Ref_Module]]&amp;CompilDonnées[[#This Row],[HarvestingDate]]</f>
        <v>40345770</v>
      </c>
    </row>
    <row r="1785" spans="1:16">
      <c r="A1785" s="5">
        <v>45727</v>
      </c>
      <c r="B1785">
        <v>40</v>
      </c>
      <c r="C1785" t="s">
        <v>82</v>
      </c>
      <c r="D1785">
        <v>4</v>
      </c>
      <c r="E1785">
        <v>100</v>
      </c>
      <c r="F1785" t="s">
        <v>1</v>
      </c>
      <c r="G1785" s="6">
        <v>45770</v>
      </c>
      <c r="H1785">
        <v>43</v>
      </c>
      <c r="I1785">
        <f>ROUND(CompilDonnées[[#This Row],[CultureDuration_days]]/7,0)</f>
        <v>6</v>
      </c>
      <c r="J1785">
        <v>3147</v>
      </c>
      <c r="K1785" t="str">
        <f>_xlfn.CONCAT(WEEKNUM(CompilDonnées[[#This Row],[PlantationDate]]), " ", YEAR(CompilDonnées[[#This Row],[PlantationDate]]))</f>
        <v>11 2025</v>
      </c>
      <c r="L1785" t="str">
        <f>CONCATENATE(MONTH(CompilDonnées[[#This Row],[PlantationDate]])," ", YEAR(CompilDonnées[[#This Row],[PlantationDate]]))</f>
        <v>3 2025</v>
      </c>
      <c r="M1785" t="str">
        <f>CONCATENATE(MONTH(CompilDonnées[[#This Row],[HarvestingDate]])," ", YEAR(CompilDonnées[[#This Row],[HarvestingDate]]))</f>
        <v>4 2025</v>
      </c>
      <c r="N1785">
        <f>_xlfn.NUMBERVALUE(CompilDonnées[[#This Row],[FarmID]]&amp;CompilDonnées[[#This Row],[ModuleNumber]]&amp;CompilDonnées[[#This Row],[PlantationDate]])</f>
        <v>40445727</v>
      </c>
      <c r="O1785" t="str">
        <f>CompilDonnées[[#This Row],[FarmID]]&amp;CompilDonnées[[#This Row],[ModuleNumber]]</f>
        <v>404</v>
      </c>
      <c r="P1785" t="str">
        <f>CompilDonnées[[#This Row],[Ref_Module]]&amp;CompilDonnées[[#This Row],[HarvestingDate]]</f>
        <v>40445770</v>
      </c>
    </row>
    <row r="1786" spans="1:16">
      <c r="A1786" s="5">
        <v>45728</v>
      </c>
      <c r="B1786">
        <v>28</v>
      </c>
      <c r="C1786" t="s">
        <v>77</v>
      </c>
      <c r="D1786">
        <v>4</v>
      </c>
      <c r="E1786">
        <v>100</v>
      </c>
      <c r="F1786" t="s">
        <v>1</v>
      </c>
      <c r="G1786" s="6">
        <v>45778</v>
      </c>
      <c r="H1786">
        <v>50</v>
      </c>
      <c r="I1786">
        <f>ROUND(CompilDonnées[[#This Row],[CultureDuration_days]]/7,0)</f>
        <v>7</v>
      </c>
      <c r="J1786">
        <v>1978</v>
      </c>
      <c r="K1786" t="str">
        <f>_xlfn.CONCAT(WEEKNUM(CompilDonnées[[#This Row],[PlantationDate]]), " ", YEAR(CompilDonnées[[#This Row],[PlantationDate]]))</f>
        <v>11 2025</v>
      </c>
      <c r="L1786" t="str">
        <f>CONCATENATE(MONTH(CompilDonnées[[#This Row],[PlantationDate]])," ", YEAR(CompilDonnées[[#This Row],[PlantationDate]]))</f>
        <v>3 2025</v>
      </c>
      <c r="M1786" t="str">
        <f>CONCATENATE(MONTH(CompilDonnées[[#This Row],[HarvestingDate]])," ", YEAR(CompilDonnées[[#This Row],[HarvestingDate]]))</f>
        <v>5 2025</v>
      </c>
      <c r="N1786">
        <f>_xlfn.NUMBERVALUE(CompilDonnées[[#This Row],[FarmID]]&amp;CompilDonnées[[#This Row],[ModuleNumber]]&amp;CompilDonnées[[#This Row],[PlantationDate]])</f>
        <v>28445728</v>
      </c>
      <c r="O1786" t="str">
        <f>CompilDonnées[[#This Row],[FarmID]]&amp;CompilDonnées[[#This Row],[ModuleNumber]]</f>
        <v>284</v>
      </c>
      <c r="P1786" t="str">
        <f>CompilDonnées[[#This Row],[Ref_Module]]&amp;CompilDonnées[[#This Row],[HarvestingDate]]</f>
        <v>28445778</v>
      </c>
    </row>
    <row r="1787" spans="1:16">
      <c r="A1787" s="5">
        <v>45728</v>
      </c>
      <c r="B1787">
        <v>7</v>
      </c>
      <c r="C1787" t="s">
        <v>50</v>
      </c>
      <c r="D1787">
        <v>5</v>
      </c>
      <c r="E1787">
        <v>100</v>
      </c>
      <c r="F1787" t="s">
        <v>1</v>
      </c>
      <c r="G1787" s="6">
        <v>45777</v>
      </c>
      <c r="H1787">
        <v>49</v>
      </c>
      <c r="I1787">
        <f>ROUND(CompilDonnées[[#This Row],[CultureDuration_days]]/7,0)</f>
        <v>7</v>
      </c>
      <c r="J1787">
        <v>2334</v>
      </c>
      <c r="K1787" t="str">
        <f>_xlfn.CONCAT(WEEKNUM(CompilDonnées[[#This Row],[PlantationDate]]), " ", YEAR(CompilDonnées[[#This Row],[PlantationDate]]))</f>
        <v>11 2025</v>
      </c>
      <c r="L1787" t="str">
        <f>CONCATENATE(MONTH(CompilDonnées[[#This Row],[PlantationDate]])," ", YEAR(CompilDonnées[[#This Row],[PlantationDate]]))</f>
        <v>3 2025</v>
      </c>
      <c r="M1787" t="str">
        <f>CONCATENATE(MONTH(CompilDonnées[[#This Row],[HarvestingDate]])," ", YEAR(CompilDonnées[[#This Row],[HarvestingDate]]))</f>
        <v>4 2025</v>
      </c>
      <c r="N1787">
        <f>_xlfn.NUMBERVALUE(CompilDonnées[[#This Row],[FarmID]]&amp;CompilDonnées[[#This Row],[ModuleNumber]]&amp;CompilDonnées[[#This Row],[PlantationDate]])</f>
        <v>7545728</v>
      </c>
      <c r="O1787" t="str">
        <f>CompilDonnées[[#This Row],[FarmID]]&amp;CompilDonnées[[#This Row],[ModuleNumber]]</f>
        <v>75</v>
      </c>
      <c r="P1787" t="str">
        <f>CompilDonnées[[#This Row],[Ref_Module]]&amp;CompilDonnées[[#This Row],[HarvestingDate]]</f>
        <v>7545777</v>
      </c>
    </row>
    <row r="1788" spans="1:16">
      <c r="A1788" s="5">
        <v>45728</v>
      </c>
      <c r="B1788">
        <v>8</v>
      </c>
      <c r="C1788" t="s">
        <v>57</v>
      </c>
      <c r="D1788">
        <v>4</v>
      </c>
      <c r="E1788">
        <v>100</v>
      </c>
      <c r="F1788" t="s">
        <v>1</v>
      </c>
      <c r="G1788" s="6">
        <v>45777</v>
      </c>
      <c r="H1788">
        <v>49</v>
      </c>
      <c r="I1788">
        <f>ROUND(CompilDonnées[[#This Row],[CultureDuration_days]]/7,0)</f>
        <v>7</v>
      </c>
      <c r="J1788">
        <v>2027</v>
      </c>
      <c r="K1788" t="str">
        <f>_xlfn.CONCAT(WEEKNUM(CompilDonnées[[#This Row],[PlantationDate]]), " ", YEAR(CompilDonnées[[#This Row],[PlantationDate]]))</f>
        <v>11 2025</v>
      </c>
      <c r="L1788" t="str">
        <f>CONCATENATE(MONTH(CompilDonnées[[#This Row],[PlantationDate]])," ", YEAR(CompilDonnées[[#This Row],[PlantationDate]]))</f>
        <v>3 2025</v>
      </c>
      <c r="M1788" t="str">
        <f>CONCATENATE(MONTH(CompilDonnées[[#This Row],[HarvestingDate]])," ", YEAR(CompilDonnées[[#This Row],[HarvestingDate]]))</f>
        <v>4 2025</v>
      </c>
      <c r="N1788">
        <f>_xlfn.NUMBERVALUE(CompilDonnées[[#This Row],[FarmID]]&amp;CompilDonnées[[#This Row],[ModuleNumber]]&amp;CompilDonnées[[#This Row],[PlantationDate]])</f>
        <v>8445728</v>
      </c>
      <c r="O1788" t="str">
        <f>CompilDonnées[[#This Row],[FarmID]]&amp;CompilDonnées[[#This Row],[ModuleNumber]]</f>
        <v>84</v>
      </c>
      <c r="P1788" t="str">
        <f>CompilDonnées[[#This Row],[Ref_Module]]&amp;CompilDonnées[[#This Row],[HarvestingDate]]</f>
        <v>8445777</v>
      </c>
    </row>
    <row r="1789" spans="1:16">
      <c r="A1789" s="5">
        <v>45728</v>
      </c>
      <c r="B1789">
        <v>11</v>
      </c>
      <c r="C1789" t="s">
        <v>106</v>
      </c>
      <c r="D1789">
        <v>4</v>
      </c>
      <c r="E1789">
        <v>100</v>
      </c>
      <c r="F1789" t="s">
        <v>1</v>
      </c>
      <c r="G1789" s="6">
        <v>45769</v>
      </c>
      <c r="H1789">
        <v>41</v>
      </c>
      <c r="I1789">
        <f>ROUND(CompilDonnées[[#This Row],[CultureDuration_days]]/7,0)</f>
        <v>6</v>
      </c>
      <c r="J1789">
        <v>2494</v>
      </c>
      <c r="K1789" t="str">
        <f>_xlfn.CONCAT(WEEKNUM(CompilDonnées[[#This Row],[PlantationDate]]), " ", YEAR(CompilDonnées[[#This Row],[PlantationDate]]))</f>
        <v>11 2025</v>
      </c>
      <c r="L1789" t="str">
        <f>CONCATENATE(MONTH(CompilDonnées[[#This Row],[PlantationDate]])," ", YEAR(CompilDonnées[[#This Row],[PlantationDate]]))</f>
        <v>3 2025</v>
      </c>
      <c r="M1789" t="str">
        <f>CONCATENATE(MONTH(CompilDonnées[[#This Row],[HarvestingDate]])," ", YEAR(CompilDonnées[[#This Row],[HarvestingDate]]))</f>
        <v>4 2025</v>
      </c>
      <c r="N1789">
        <f>_xlfn.NUMBERVALUE(CompilDonnées[[#This Row],[FarmID]]&amp;CompilDonnées[[#This Row],[ModuleNumber]]&amp;CompilDonnées[[#This Row],[PlantationDate]])</f>
        <v>11445728</v>
      </c>
      <c r="O1789" t="str">
        <f>CompilDonnées[[#This Row],[FarmID]]&amp;CompilDonnées[[#This Row],[ModuleNumber]]</f>
        <v>114</v>
      </c>
      <c r="P1789" t="str">
        <f>CompilDonnées[[#This Row],[Ref_Module]]&amp;CompilDonnées[[#This Row],[HarvestingDate]]</f>
        <v>11445769</v>
      </c>
    </row>
    <row r="1790" spans="1:16">
      <c r="A1790" s="5">
        <v>45728</v>
      </c>
      <c r="B1790">
        <v>23</v>
      </c>
      <c r="C1790" t="s">
        <v>44</v>
      </c>
      <c r="D1790">
        <v>4</v>
      </c>
      <c r="E1790">
        <v>100</v>
      </c>
      <c r="F1790" t="s">
        <v>1</v>
      </c>
      <c r="G1790" s="6">
        <v>45764</v>
      </c>
      <c r="H1790">
        <v>36</v>
      </c>
      <c r="I1790">
        <f>ROUND(CompilDonnées[[#This Row],[CultureDuration_days]]/7,0)</f>
        <v>5</v>
      </c>
      <c r="J1790">
        <v>3795</v>
      </c>
      <c r="K1790" t="str">
        <f>_xlfn.CONCAT(WEEKNUM(CompilDonnées[[#This Row],[PlantationDate]]), " ", YEAR(CompilDonnées[[#This Row],[PlantationDate]]))</f>
        <v>11 2025</v>
      </c>
      <c r="L1790" t="str">
        <f>CONCATENATE(MONTH(CompilDonnées[[#This Row],[PlantationDate]])," ", YEAR(CompilDonnées[[#This Row],[PlantationDate]]))</f>
        <v>3 2025</v>
      </c>
      <c r="M1790" t="str">
        <f>CONCATENATE(MONTH(CompilDonnées[[#This Row],[HarvestingDate]])," ", YEAR(CompilDonnées[[#This Row],[HarvestingDate]]))</f>
        <v>4 2025</v>
      </c>
      <c r="N1790">
        <f>_xlfn.NUMBERVALUE(CompilDonnées[[#This Row],[FarmID]]&amp;CompilDonnées[[#This Row],[ModuleNumber]]&amp;CompilDonnées[[#This Row],[PlantationDate]])</f>
        <v>23445728</v>
      </c>
      <c r="O1790" t="str">
        <f>CompilDonnées[[#This Row],[FarmID]]&amp;CompilDonnées[[#This Row],[ModuleNumber]]</f>
        <v>234</v>
      </c>
      <c r="P1790" t="str">
        <f>CompilDonnées[[#This Row],[Ref_Module]]&amp;CompilDonnées[[#This Row],[HarvestingDate]]</f>
        <v>23445764</v>
      </c>
    </row>
    <row r="1791" spans="1:16">
      <c r="A1791" s="5">
        <v>45728</v>
      </c>
      <c r="B1791">
        <v>24</v>
      </c>
      <c r="C1791" t="s">
        <v>31</v>
      </c>
      <c r="D1791">
        <v>4</v>
      </c>
      <c r="E1791">
        <v>100</v>
      </c>
      <c r="F1791" t="s">
        <v>1</v>
      </c>
      <c r="G1791" s="6">
        <v>45765</v>
      </c>
      <c r="H1791">
        <v>37</v>
      </c>
      <c r="I1791">
        <f>ROUND(CompilDonnées[[#This Row],[CultureDuration_days]]/7,0)</f>
        <v>5</v>
      </c>
      <c r="J1791">
        <v>3805</v>
      </c>
      <c r="K1791" t="str">
        <f>_xlfn.CONCAT(WEEKNUM(CompilDonnées[[#This Row],[PlantationDate]]), " ", YEAR(CompilDonnées[[#This Row],[PlantationDate]]))</f>
        <v>11 2025</v>
      </c>
      <c r="L1791" t="str">
        <f>CONCATENATE(MONTH(CompilDonnées[[#This Row],[PlantationDate]])," ", YEAR(CompilDonnées[[#This Row],[PlantationDate]]))</f>
        <v>3 2025</v>
      </c>
      <c r="M1791" t="str">
        <f>CONCATENATE(MONTH(CompilDonnées[[#This Row],[HarvestingDate]])," ", YEAR(CompilDonnées[[#This Row],[HarvestingDate]]))</f>
        <v>4 2025</v>
      </c>
      <c r="N1791">
        <f>_xlfn.NUMBERVALUE(CompilDonnées[[#This Row],[FarmID]]&amp;CompilDonnées[[#This Row],[ModuleNumber]]&amp;CompilDonnées[[#This Row],[PlantationDate]])</f>
        <v>24445728</v>
      </c>
      <c r="O1791" t="str">
        <f>CompilDonnées[[#This Row],[FarmID]]&amp;CompilDonnées[[#This Row],[ModuleNumber]]</f>
        <v>244</v>
      </c>
      <c r="P1791" t="str">
        <f>CompilDonnées[[#This Row],[Ref_Module]]&amp;CompilDonnées[[#This Row],[HarvestingDate]]</f>
        <v>24445765</v>
      </c>
    </row>
    <row r="1792" spans="1:16">
      <c r="A1792" s="5">
        <v>45728</v>
      </c>
      <c r="B1792">
        <v>42</v>
      </c>
      <c r="C1792" t="s">
        <v>89</v>
      </c>
      <c r="D1792">
        <v>2</v>
      </c>
      <c r="E1792">
        <v>100</v>
      </c>
      <c r="F1792" t="s">
        <v>1</v>
      </c>
      <c r="G1792" s="6">
        <v>45762</v>
      </c>
      <c r="H1792">
        <v>34</v>
      </c>
      <c r="I1792">
        <f>ROUND(CompilDonnées[[#This Row],[CultureDuration_days]]/7,0)</f>
        <v>5</v>
      </c>
      <c r="J1792">
        <v>3311</v>
      </c>
      <c r="K1792" t="str">
        <f>_xlfn.CONCAT(WEEKNUM(CompilDonnées[[#This Row],[PlantationDate]]), " ", YEAR(CompilDonnées[[#This Row],[PlantationDate]]))</f>
        <v>11 2025</v>
      </c>
      <c r="L1792" t="str">
        <f>CONCATENATE(MONTH(CompilDonnées[[#This Row],[PlantationDate]])," ", YEAR(CompilDonnées[[#This Row],[PlantationDate]]))</f>
        <v>3 2025</v>
      </c>
      <c r="M1792" t="str">
        <f>CONCATENATE(MONTH(CompilDonnées[[#This Row],[HarvestingDate]])," ", YEAR(CompilDonnées[[#This Row],[HarvestingDate]]))</f>
        <v>4 2025</v>
      </c>
      <c r="N1792">
        <f>_xlfn.NUMBERVALUE(CompilDonnées[[#This Row],[FarmID]]&amp;CompilDonnées[[#This Row],[ModuleNumber]]&amp;CompilDonnées[[#This Row],[PlantationDate]])</f>
        <v>42245728</v>
      </c>
      <c r="O1792" t="str">
        <f>CompilDonnées[[#This Row],[FarmID]]&amp;CompilDonnées[[#This Row],[ModuleNumber]]</f>
        <v>422</v>
      </c>
      <c r="P1792" t="str">
        <f>CompilDonnées[[#This Row],[Ref_Module]]&amp;CompilDonnées[[#This Row],[HarvestingDate]]</f>
        <v>42245762</v>
      </c>
    </row>
    <row r="1793" spans="1:16">
      <c r="A1793" s="5">
        <v>45728</v>
      </c>
      <c r="B1793">
        <v>44</v>
      </c>
      <c r="C1793" t="s">
        <v>42</v>
      </c>
      <c r="D1793">
        <v>1</v>
      </c>
      <c r="E1793">
        <v>100</v>
      </c>
      <c r="F1793" t="s">
        <v>1</v>
      </c>
      <c r="G1793" s="6">
        <v>45763</v>
      </c>
      <c r="H1793">
        <v>35</v>
      </c>
      <c r="I1793">
        <f>ROUND(CompilDonnées[[#This Row],[CultureDuration_days]]/7,0)</f>
        <v>5</v>
      </c>
      <c r="J1793">
        <v>3730</v>
      </c>
      <c r="K1793" t="str">
        <f>_xlfn.CONCAT(WEEKNUM(CompilDonnées[[#This Row],[PlantationDate]]), " ", YEAR(CompilDonnées[[#This Row],[PlantationDate]]))</f>
        <v>11 2025</v>
      </c>
      <c r="L1793" t="str">
        <f>CONCATENATE(MONTH(CompilDonnées[[#This Row],[PlantationDate]])," ", YEAR(CompilDonnées[[#This Row],[PlantationDate]]))</f>
        <v>3 2025</v>
      </c>
      <c r="M1793" t="str">
        <f>CONCATENATE(MONTH(CompilDonnées[[#This Row],[HarvestingDate]])," ", YEAR(CompilDonnées[[#This Row],[HarvestingDate]]))</f>
        <v>4 2025</v>
      </c>
      <c r="N1793">
        <f>_xlfn.NUMBERVALUE(CompilDonnées[[#This Row],[FarmID]]&amp;CompilDonnées[[#This Row],[ModuleNumber]]&amp;CompilDonnées[[#This Row],[PlantationDate]])</f>
        <v>44145728</v>
      </c>
      <c r="O1793" t="str">
        <f>CompilDonnées[[#This Row],[FarmID]]&amp;CompilDonnées[[#This Row],[ModuleNumber]]</f>
        <v>441</v>
      </c>
      <c r="P1793" t="str">
        <f>CompilDonnées[[#This Row],[Ref_Module]]&amp;CompilDonnées[[#This Row],[HarvestingDate]]</f>
        <v>44145763</v>
      </c>
    </row>
    <row r="1794" spans="1:16">
      <c r="A1794" s="5">
        <v>45728</v>
      </c>
      <c r="B1794">
        <v>47</v>
      </c>
      <c r="C1794" t="s">
        <v>12</v>
      </c>
      <c r="D1794">
        <v>5</v>
      </c>
      <c r="E1794">
        <v>100</v>
      </c>
      <c r="F1794" t="s">
        <v>1</v>
      </c>
      <c r="G1794" s="6">
        <v>45769</v>
      </c>
      <c r="H1794">
        <v>41</v>
      </c>
      <c r="I1794">
        <f>ROUND(CompilDonnées[[#This Row],[CultureDuration_days]]/7,0)</f>
        <v>6</v>
      </c>
      <c r="J1794">
        <v>2592</v>
      </c>
      <c r="K1794" t="str">
        <f>_xlfn.CONCAT(WEEKNUM(CompilDonnées[[#This Row],[PlantationDate]]), " ", YEAR(CompilDonnées[[#This Row],[PlantationDate]]))</f>
        <v>11 2025</v>
      </c>
      <c r="L1794" t="str">
        <f>CONCATENATE(MONTH(CompilDonnées[[#This Row],[PlantationDate]])," ", YEAR(CompilDonnées[[#This Row],[PlantationDate]]))</f>
        <v>3 2025</v>
      </c>
      <c r="M1794" t="str">
        <f>CONCATENATE(MONTH(CompilDonnées[[#This Row],[HarvestingDate]])," ", YEAR(CompilDonnées[[#This Row],[HarvestingDate]]))</f>
        <v>4 2025</v>
      </c>
      <c r="N1794">
        <f>_xlfn.NUMBERVALUE(CompilDonnées[[#This Row],[FarmID]]&amp;CompilDonnées[[#This Row],[ModuleNumber]]&amp;CompilDonnées[[#This Row],[PlantationDate]])</f>
        <v>47545728</v>
      </c>
      <c r="O1794" t="str">
        <f>CompilDonnées[[#This Row],[FarmID]]&amp;CompilDonnées[[#This Row],[ModuleNumber]]</f>
        <v>475</v>
      </c>
      <c r="P1794" t="str">
        <f>CompilDonnées[[#This Row],[Ref_Module]]&amp;CompilDonnées[[#This Row],[HarvestingDate]]</f>
        <v>47545769</v>
      </c>
    </row>
    <row r="1795" spans="1:16">
      <c r="A1795" s="5">
        <v>45728</v>
      </c>
      <c r="B1795">
        <v>48</v>
      </c>
      <c r="C1795" t="s">
        <v>71</v>
      </c>
      <c r="D1795">
        <v>6</v>
      </c>
      <c r="E1795">
        <v>100</v>
      </c>
      <c r="F1795" t="s">
        <v>1</v>
      </c>
      <c r="G1795" s="6">
        <v>45769</v>
      </c>
      <c r="H1795">
        <v>41</v>
      </c>
      <c r="I1795">
        <f>ROUND(CompilDonnées[[#This Row],[CultureDuration_days]]/7,0)</f>
        <v>6</v>
      </c>
      <c r="J1795">
        <v>3649</v>
      </c>
      <c r="K1795" t="str">
        <f>_xlfn.CONCAT(WEEKNUM(CompilDonnées[[#This Row],[PlantationDate]]), " ", YEAR(CompilDonnées[[#This Row],[PlantationDate]]))</f>
        <v>11 2025</v>
      </c>
      <c r="L1795" t="str">
        <f>CONCATENATE(MONTH(CompilDonnées[[#This Row],[PlantationDate]])," ", YEAR(CompilDonnées[[#This Row],[PlantationDate]]))</f>
        <v>3 2025</v>
      </c>
      <c r="M1795" t="str">
        <f>CONCATENATE(MONTH(CompilDonnées[[#This Row],[HarvestingDate]])," ", YEAR(CompilDonnées[[#This Row],[HarvestingDate]]))</f>
        <v>4 2025</v>
      </c>
      <c r="N1795">
        <f>_xlfn.NUMBERVALUE(CompilDonnées[[#This Row],[FarmID]]&amp;CompilDonnées[[#This Row],[ModuleNumber]]&amp;CompilDonnées[[#This Row],[PlantationDate]])</f>
        <v>48645728</v>
      </c>
      <c r="O1795" t="str">
        <f>CompilDonnées[[#This Row],[FarmID]]&amp;CompilDonnées[[#This Row],[ModuleNumber]]</f>
        <v>486</v>
      </c>
      <c r="P1795" t="str">
        <f>CompilDonnées[[#This Row],[Ref_Module]]&amp;CompilDonnées[[#This Row],[HarvestingDate]]</f>
        <v>48645769</v>
      </c>
    </row>
    <row r="1796" spans="1:16">
      <c r="A1796" s="5">
        <v>45728</v>
      </c>
      <c r="B1796">
        <v>49</v>
      </c>
      <c r="C1796" t="s">
        <v>110</v>
      </c>
      <c r="D1796">
        <v>3</v>
      </c>
      <c r="E1796">
        <v>100</v>
      </c>
      <c r="F1796" t="s">
        <v>1</v>
      </c>
      <c r="G1796" s="6">
        <v>45769</v>
      </c>
      <c r="H1796">
        <v>41</v>
      </c>
      <c r="I1796">
        <f>ROUND(CompilDonnées[[#This Row],[CultureDuration_days]]/7,0)</f>
        <v>6</v>
      </c>
      <c r="J1796">
        <v>3479</v>
      </c>
      <c r="K1796" t="str">
        <f>_xlfn.CONCAT(WEEKNUM(CompilDonnées[[#This Row],[PlantationDate]]), " ", YEAR(CompilDonnées[[#This Row],[PlantationDate]]))</f>
        <v>11 2025</v>
      </c>
      <c r="L1796" t="str">
        <f>CONCATENATE(MONTH(CompilDonnées[[#This Row],[PlantationDate]])," ", YEAR(CompilDonnées[[#This Row],[PlantationDate]]))</f>
        <v>3 2025</v>
      </c>
      <c r="M1796" t="str">
        <f>CONCATENATE(MONTH(CompilDonnées[[#This Row],[HarvestingDate]])," ", YEAR(CompilDonnées[[#This Row],[HarvestingDate]]))</f>
        <v>4 2025</v>
      </c>
      <c r="N1796">
        <f>_xlfn.NUMBERVALUE(CompilDonnées[[#This Row],[FarmID]]&amp;CompilDonnées[[#This Row],[ModuleNumber]]&amp;CompilDonnées[[#This Row],[PlantationDate]])</f>
        <v>49345728</v>
      </c>
      <c r="O1796" t="str">
        <f>CompilDonnées[[#This Row],[FarmID]]&amp;CompilDonnées[[#This Row],[ModuleNumber]]</f>
        <v>493</v>
      </c>
      <c r="P1796" t="str">
        <f>CompilDonnées[[#This Row],[Ref_Module]]&amp;CompilDonnées[[#This Row],[HarvestingDate]]</f>
        <v>49345769</v>
      </c>
    </row>
    <row r="1797" spans="1:16">
      <c r="A1797" s="5">
        <v>45728</v>
      </c>
      <c r="B1797">
        <v>51</v>
      </c>
      <c r="C1797" t="s">
        <v>27</v>
      </c>
      <c r="D1797">
        <v>5</v>
      </c>
      <c r="E1797">
        <v>100</v>
      </c>
      <c r="F1797" t="s">
        <v>1</v>
      </c>
      <c r="G1797" s="6">
        <v>45769</v>
      </c>
      <c r="H1797">
        <v>41</v>
      </c>
      <c r="I1797">
        <f>ROUND(CompilDonnées[[#This Row],[CultureDuration_days]]/7,0)</f>
        <v>6</v>
      </c>
      <c r="J1797">
        <v>3407</v>
      </c>
      <c r="K1797" t="str">
        <f>_xlfn.CONCAT(WEEKNUM(CompilDonnées[[#This Row],[PlantationDate]]), " ", YEAR(CompilDonnées[[#This Row],[PlantationDate]]))</f>
        <v>11 2025</v>
      </c>
      <c r="L1797" t="str">
        <f>CONCATENATE(MONTH(CompilDonnées[[#This Row],[PlantationDate]])," ", YEAR(CompilDonnées[[#This Row],[PlantationDate]]))</f>
        <v>3 2025</v>
      </c>
      <c r="M1797" t="str">
        <f>CONCATENATE(MONTH(CompilDonnées[[#This Row],[HarvestingDate]])," ", YEAR(CompilDonnées[[#This Row],[HarvestingDate]]))</f>
        <v>4 2025</v>
      </c>
      <c r="N1797">
        <f>_xlfn.NUMBERVALUE(CompilDonnées[[#This Row],[FarmID]]&amp;CompilDonnées[[#This Row],[ModuleNumber]]&amp;CompilDonnées[[#This Row],[PlantationDate]])</f>
        <v>51545728</v>
      </c>
      <c r="O1797" t="str">
        <f>CompilDonnées[[#This Row],[FarmID]]&amp;CompilDonnées[[#This Row],[ModuleNumber]]</f>
        <v>515</v>
      </c>
      <c r="P1797" t="str">
        <f>CompilDonnées[[#This Row],[Ref_Module]]&amp;CompilDonnées[[#This Row],[HarvestingDate]]</f>
        <v>51545769</v>
      </c>
    </row>
    <row r="1798" spans="1:16">
      <c r="A1798" s="5">
        <v>45728</v>
      </c>
      <c r="B1798">
        <v>53</v>
      </c>
      <c r="C1798" t="s">
        <v>83</v>
      </c>
      <c r="D1798">
        <v>4</v>
      </c>
      <c r="E1798">
        <v>100</v>
      </c>
      <c r="F1798" t="s">
        <v>1</v>
      </c>
      <c r="G1798" s="6">
        <v>45777</v>
      </c>
      <c r="H1798">
        <v>49</v>
      </c>
      <c r="I1798">
        <f>ROUND(CompilDonnées[[#This Row],[CultureDuration_days]]/7,0)</f>
        <v>7</v>
      </c>
      <c r="J1798">
        <v>2235</v>
      </c>
      <c r="K1798" t="str">
        <f>_xlfn.CONCAT(WEEKNUM(CompilDonnées[[#This Row],[PlantationDate]]), " ", YEAR(CompilDonnées[[#This Row],[PlantationDate]]))</f>
        <v>11 2025</v>
      </c>
      <c r="L1798" t="str">
        <f>CONCATENATE(MONTH(CompilDonnées[[#This Row],[PlantationDate]])," ", YEAR(CompilDonnées[[#This Row],[PlantationDate]]))</f>
        <v>3 2025</v>
      </c>
      <c r="M1798" t="str">
        <f>CONCATENATE(MONTH(CompilDonnées[[#This Row],[HarvestingDate]])," ", YEAR(CompilDonnées[[#This Row],[HarvestingDate]]))</f>
        <v>4 2025</v>
      </c>
      <c r="N1798">
        <f>_xlfn.NUMBERVALUE(CompilDonnées[[#This Row],[FarmID]]&amp;CompilDonnées[[#This Row],[ModuleNumber]]&amp;CompilDonnées[[#This Row],[PlantationDate]])</f>
        <v>53445728</v>
      </c>
      <c r="O1798" t="str">
        <f>CompilDonnées[[#This Row],[FarmID]]&amp;CompilDonnées[[#This Row],[ModuleNumber]]</f>
        <v>534</v>
      </c>
      <c r="P1798" t="str">
        <f>CompilDonnées[[#This Row],[Ref_Module]]&amp;CompilDonnées[[#This Row],[HarvestingDate]]</f>
        <v>53445777</v>
      </c>
    </row>
    <row r="1799" spans="1:16">
      <c r="A1799" s="5">
        <v>45728</v>
      </c>
      <c r="B1799">
        <v>54</v>
      </c>
      <c r="C1799" t="s">
        <v>39</v>
      </c>
      <c r="D1799">
        <v>4</v>
      </c>
      <c r="E1799">
        <v>100</v>
      </c>
      <c r="F1799" t="s">
        <v>1</v>
      </c>
      <c r="G1799" s="6">
        <v>45770</v>
      </c>
      <c r="H1799">
        <v>42</v>
      </c>
      <c r="I1799">
        <f>ROUND(CompilDonnées[[#This Row],[CultureDuration_days]]/7,0)</f>
        <v>6</v>
      </c>
      <c r="J1799">
        <v>2734</v>
      </c>
      <c r="K1799" t="str">
        <f>_xlfn.CONCAT(WEEKNUM(CompilDonnées[[#This Row],[PlantationDate]]), " ", YEAR(CompilDonnées[[#This Row],[PlantationDate]]))</f>
        <v>11 2025</v>
      </c>
      <c r="L1799" t="str">
        <f>CONCATENATE(MONTH(CompilDonnées[[#This Row],[PlantationDate]])," ", YEAR(CompilDonnées[[#This Row],[PlantationDate]]))</f>
        <v>3 2025</v>
      </c>
      <c r="M1799" t="str">
        <f>CONCATENATE(MONTH(CompilDonnées[[#This Row],[HarvestingDate]])," ", YEAR(CompilDonnées[[#This Row],[HarvestingDate]]))</f>
        <v>4 2025</v>
      </c>
      <c r="N1799">
        <f>_xlfn.NUMBERVALUE(CompilDonnées[[#This Row],[FarmID]]&amp;CompilDonnées[[#This Row],[ModuleNumber]]&amp;CompilDonnées[[#This Row],[PlantationDate]])</f>
        <v>54445728</v>
      </c>
      <c r="O1799" t="str">
        <f>CompilDonnées[[#This Row],[FarmID]]&amp;CompilDonnées[[#This Row],[ModuleNumber]]</f>
        <v>544</v>
      </c>
      <c r="P1799" t="str">
        <f>CompilDonnées[[#This Row],[Ref_Module]]&amp;CompilDonnées[[#This Row],[HarvestingDate]]</f>
        <v>54445770</v>
      </c>
    </row>
    <row r="1800" spans="1:16">
      <c r="A1800" s="5">
        <v>45728</v>
      </c>
      <c r="B1800">
        <v>55</v>
      </c>
      <c r="C1800" t="s">
        <v>60</v>
      </c>
      <c r="D1800">
        <v>3</v>
      </c>
      <c r="E1800">
        <v>100</v>
      </c>
      <c r="F1800" t="s">
        <v>1</v>
      </c>
      <c r="G1800" s="6">
        <v>45770</v>
      </c>
      <c r="H1800">
        <v>42</v>
      </c>
      <c r="I1800">
        <f>ROUND(CompilDonnées[[#This Row],[CultureDuration_days]]/7,0)</f>
        <v>6</v>
      </c>
      <c r="J1800">
        <v>2937</v>
      </c>
      <c r="K1800" t="str">
        <f>_xlfn.CONCAT(WEEKNUM(CompilDonnées[[#This Row],[PlantationDate]]), " ", YEAR(CompilDonnées[[#This Row],[PlantationDate]]))</f>
        <v>11 2025</v>
      </c>
      <c r="L1800" t="str">
        <f>CONCATENATE(MONTH(CompilDonnées[[#This Row],[PlantationDate]])," ", YEAR(CompilDonnées[[#This Row],[PlantationDate]]))</f>
        <v>3 2025</v>
      </c>
      <c r="M1800" t="str">
        <f>CONCATENATE(MONTH(CompilDonnées[[#This Row],[HarvestingDate]])," ", YEAR(CompilDonnées[[#This Row],[HarvestingDate]]))</f>
        <v>4 2025</v>
      </c>
      <c r="N1800">
        <f>_xlfn.NUMBERVALUE(CompilDonnées[[#This Row],[FarmID]]&amp;CompilDonnées[[#This Row],[ModuleNumber]]&amp;CompilDonnées[[#This Row],[PlantationDate]])</f>
        <v>55345728</v>
      </c>
      <c r="O1800" t="str">
        <f>CompilDonnées[[#This Row],[FarmID]]&amp;CompilDonnées[[#This Row],[ModuleNumber]]</f>
        <v>553</v>
      </c>
      <c r="P1800" t="str">
        <f>CompilDonnées[[#This Row],[Ref_Module]]&amp;CompilDonnées[[#This Row],[HarvestingDate]]</f>
        <v>55345770</v>
      </c>
    </row>
    <row r="1801" spans="1:16">
      <c r="A1801" s="5">
        <v>45728</v>
      </c>
      <c r="B1801">
        <v>57</v>
      </c>
      <c r="C1801" t="s">
        <v>46</v>
      </c>
      <c r="D1801">
        <v>3</v>
      </c>
      <c r="E1801">
        <v>100</v>
      </c>
      <c r="F1801" t="s">
        <v>1</v>
      </c>
      <c r="G1801" s="6">
        <v>45770</v>
      </c>
      <c r="H1801">
        <v>42</v>
      </c>
      <c r="I1801">
        <f>ROUND(CompilDonnées[[#This Row],[CultureDuration_days]]/7,0)</f>
        <v>6</v>
      </c>
      <c r="J1801">
        <v>3842</v>
      </c>
      <c r="K1801" t="str">
        <f>_xlfn.CONCAT(WEEKNUM(CompilDonnées[[#This Row],[PlantationDate]]), " ", YEAR(CompilDonnées[[#This Row],[PlantationDate]]))</f>
        <v>11 2025</v>
      </c>
      <c r="L1801" t="str">
        <f>CONCATENATE(MONTH(CompilDonnées[[#This Row],[PlantationDate]])," ", YEAR(CompilDonnées[[#This Row],[PlantationDate]]))</f>
        <v>3 2025</v>
      </c>
      <c r="M1801" t="str">
        <f>CONCATENATE(MONTH(CompilDonnées[[#This Row],[HarvestingDate]])," ", YEAR(CompilDonnées[[#This Row],[HarvestingDate]]))</f>
        <v>4 2025</v>
      </c>
      <c r="N1801">
        <f>_xlfn.NUMBERVALUE(CompilDonnées[[#This Row],[FarmID]]&amp;CompilDonnées[[#This Row],[ModuleNumber]]&amp;CompilDonnées[[#This Row],[PlantationDate]])</f>
        <v>57345728</v>
      </c>
      <c r="O1801" t="str">
        <f>CompilDonnées[[#This Row],[FarmID]]&amp;CompilDonnées[[#This Row],[ModuleNumber]]</f>
        <v>573</v>
      </c>
      <c r="P1801" t="str">
        <f>CompilDonnées[[#This Row],[Ref_Module]]&amp;CompilDonnées[[#This Row],[HarvestingDate]]</f>
        <v>57345770</v>
      </c>
    </row>
    <row r="1802" spans="1:16">
      <c r="A1802" s="5">
        <v>45728</v>
      </c>
      <c r="B1802">
        <v>58</v>
      </c>
      <c r="C1802" t="s">
        <v>35</v>
      </c>
      <c r="D1802">
        <v>6</v>
      </c>
      <c r="E1802">
        <v>100</v>
      </c>
      <c r="F1802" t="s">
        <v>1</v>
      </c>
      <c r="G1802" s="6">
        <v>45763</v>
      </c>
      <c r="H1802">
        <v>35</v>
      </c>
      <c r="I1802">
        <f>ROUND(CompilDonnées[[#This Row],[CultureDuration_days]]/7,0)</f>
        <v>5</v>
      </c>
      <c r="J1802">
        <v>4151</v>
      </c>
      <c r="K1802" t="str">
        <f>_xlfn.CONCAT(WEEKNUM(CompilDonnées[[#This Row],[PlantationDate]]), " ", YEAR(CompilDonnées[[#This Row],[PlantationDate]]))</f>
        <v>11 2025</v>
      </c>
      <c r="L1802" t="str">
        <f>CONCATENATE(MONTH(CompilDonnées[[#This Row],[PlantationDate]])," ", YEAR(CompilDonnées[[#This Row],[PlantationDate]]))</f>
        <v>3 2025</v>
      </c>
      <c r="M1802" t="str">
        <f>CONCATENATE(MONTH(CompilDonnées[[#This Row],[HarvestingDate]])," ", YEAR(CompilDonnées[[#This Row],[HarvestingDate]]))</f>
        <v>4 2025</v>
      </c>
      <c r="N1802">
        <f>_xlfn.NUMBERVALUE(CompilDonnées[[#This Row],[FarmID]]&amp;CompilDonnées[[#This Row],[ModuleNumber]]&amp;CompilDonnées[[#This Row],[PlantationDate]])</f>
        <v>58645728</v>
      </c>
      <c r="O1802" t="str">
        <f>CompilDonnées[[#This Row],[FarmID]]&amp;CompilDonnées[[#This Row],[ModuleNumber]]</f>
        <v>586</v>
      </c>
      <c r="P1802" t="str">
        <f>CompilDonnées[[#This Row],[Ref_Module]]&amp;CompilDonnées[[#This Row],[HarvestingDate]]</f>
        <v>58645763</v>
      </c>
    </row>
    <row r="1803" spans="1:16">
      <c r="A1803" s="5">
        <v>45728</v>
      </c>
      <c r="B1803">
        <v>60</v>
      </c>
      <c r="C1803" t="s">
        <v>113</v>
      </c>
      <c r="D1803">
        <v>5</v>
      </c>
      <c r="E1803">
        <v>100</v>
      </c>
      <c r="F1803" t="s">
        <v>1</v>
      </c>
      <c r="G1803" s="6">
        <v>45770</v>
      </c>
      <c r="H1803">
        <v>42</v>
      </c>
      <c r="I1803">
        <f>ROUND(CompilDonnées[[#This Row],[CultureDuration_days]]/7,0)</f>
        <v>6</v>
      </c>
      <c r="J1803">
        <v>3563</v>
      </c>
      <c r="K1803" t="str">
        <f>_xlfn.CONCAT(WEEKNUM(CompilDonnées[[#This Row],[PlantationDate]]), " ", YEAR(CompilDonnées[[#This Row],[PlantationDate]]))</f>
        <v>11 2025</v>
      </c>
      <c r="L1803" t="str">
        <f>CONCATENATE(MONTH(CompilDonnées[[#This Row],[PlantationDate]])," ", YEAR(CompilDonnées[[#This Row],[PlantationDate]]))</f>
        <v>3 2025</v>
      </c>
      <c r="M1803" t="str">
        <f>CONCATENATE(MONTH(CompilDonnées[[#This Row],[HarvestingDate]])," ", YEAR(CompilDonnées[[#This Row],[HarvestingDate]]))</f>
        <v>4 2025</v>
      </c>
      <c r="N1803">
        <f>_xlfn.NUMBERVALUE(CompilDonnées[[#This Row],[FarmID]]&amp;CompilDonnées[[#This Row],[ModuleNumber]]&amp;CompilDonnées[[#This Row],[PlantationDate]])</f>
        <v>60545728</v>
      </c>
      <c r="O1803" t="str">
        <f>CompilDonnées[[#This Row],[FarmID]]&amp;CompilDonnées[[#This Row],[ModuleNumber]]</f>
        <v>605</v>
      </c>
      <c r="P1803" t="str">
        <f>CompilDonnées[[#This Row],[Ref_Module]]&amp;CompilDonnées[[#This Row],[HarvestingDate]]</f>
        <v>60545770</v>
      </c>
    </row>
    <row r="1804" spans="1:16">
      <c r="A1804" s="5">
        <v>45728</v>
      </c>
      <c r="B1804">
        <v>60</v>
      </c>
      <c r="C1804" t="s">
        <v>113</v>
      </c>
      <c r="D1804">
        <v>6</v>
      </c>
      <c r="E1804">
        <v>100</v>
      </c>
      <c r="F1804" t="s">
        <v>1</v>
      </c>
      <c r="G1804" s="6">
        <v>45777</v>
      </c>
      <c r="H1804">
        <v>49</v>
      </c>
      <c r="I1804">
        <f>ROUND(CompilDonnées[[#This Row],[CultureDuration_days]]/7,0)</f>
        <v>7</v>
      </c>
      <c r="J1804">
        <v>3000</v>
      </c>
      <c r="K1804" t="str">
        <f>_xlfn.CONCAT(WEEKNUM(CompilDonnées[[#This Row],[PlantationDate]]), " ", YEAR(CompilDonnées[[#This Row],[PlantationDate]]))</f>
        <v>11 2025</v>
      </c>
      <c r="L1804" t="str">
        <f>CONCATENATE(MONTH(CompilDonnées[[#This Row],[PlantationDate]])," ", YEAR(CompilDonnées[[#This Row],[PlantationDate]]))</f>
        <v>3 2025</v>
      </c>
      <c r="M1804" t="str">
        <f>CONCATENATE(MONTH(CompilDonnées[[#This Row],[HarvestingDate]])," ", YEAR(CompilDonnées[[#This Row],[HarvestingDate]]))</f>
        <v>4 2025</v>
      </c>
      <c r="N1804">
        <f>_xlfn.NUMBERVALUE(CompilDonnées[[#This Row],[FarmID]]&amp;CompilDonnées[[#This Row],[ModuleNumber]]&amp;CompilDonnées[[#This Row],[PlantationDate]])</f>
        <v>60645728</v>
      </c>
      <c r="O1804" t="str">
        <f>CompilDonnées[[#This Row],[FarmID]]&amp;CompilDonnées[[#This Row],[ModuleNumber]]</f>
        <v>606</v>
      </c>
      <c r="P1804" t="str">
        <f>CompilDonnées[[#This Row],[Ref_Module]]&amp;CompilDonnées[[#This Row],[HarvestingDate]]</f>
        <v>60645777</v>
      </c>
    </row>
    <row r="1805" spans="1:16">
      <c r="A1805" s="5">
        <v>45728</v>
      </c>
      <c r="B1805">
        <v>64</v>
      </c>
      <c r="C1805" t="s">
        <v>47</v>
      </c>
      <c r="D1805">
        <v>3</v>
      </c>
      <c r="E1805">
        <v>100</v>
      </c>
      <c r="F1805" t="s">
        <v>1</v>
      </c>
      <c r="G1805" s="6">
        <v>45776</v>
      </c>
      <c r="H1805">
        <v>48</v>
      </c>
      <c r="I1805">
        <f>ROUND(CompilDonnées[[#This Row],[CultureDuration_days]]/7,0)</f>
        <v>7</v>
      </c>
      <c r="J1805">
        <v>2649</v>
      </c>
      <c r="K1805" t="str">
        <f>_xlfn.CONCAT(WEEKNUM(CompilDonnées[[#This Row],[PlantationDate]]), " ", YEAR(CompilDonnées[[#This Row],[PlantationDate]]))</f>
        <v>11 2025</v>
      </c>
      <c r="L1805" t="str">
        <f>CONCATENATE(MONTH(CompilDonnées[[#This Row],[PlantationDate]])," ", YEAR(CompilDonnées[[#This Row],[PlantationDate]]))</f>
        <v>3 2025</v>
      </c>
      <c r="M1805" t="str">
        <f>CONCATENATE(MONTH(CompilDonnées[[#This Row],[HarvestingDate]])," ", YEAR(CompilDonnées[[#This Row],[HarvestingDate]]))</f>
        <v>4 2025</v>
      </c>
      <c r="N1805">
        <f>_xlfn.NUMBERVALUE(CompilDonnées[[#This Row],[FarmID]]&amp;CompilDonnées[[#This Row],[ModuleNumber]]&amp;CompilDonnées[[#This Row],[PlantationDate]])</f>
        <v>64345728</v>
      </c>
      <c r="O1805" t="str">
        <f>CompilDonnées[[#This Row],[FarmID]]&amp;CompilDonnées[[#This Row],[ModuleNumber]]</f>
        <v>643</v>
      </c>
      <c r="P1805" t="str">
        <f>CompilDonnées[[#This Row],[Ref_Module]]&amp;CompilDonnées[[#This Row],[HarvestingDate]]</f>
        <v>64345776</v>
      </c>
    </row>
    <row r="1806" spans="1:16">
      <c r="A1806" s="5">
        <v>45728</v>
      </c>
      <c r="B1806">
        <v>65</v>
      </c>
      <c r="C1806" t="s">
        <v>36</v>
      </c>
      <c r="D1806">
        <v>2</v>
      </c>
      <c r="E1806">
        <v>100</v>
      </c>
      <c r="F1806" t="s">
        <v>1</v>
      </c>
      <c r="G1806" s="6">
        <v>45777</v>
      </c>
      <c r="H1806">
        <v>49</v>
      </c>
      <c r="I1806">
        <f>ROUND(CompilDonnées[[#This Row],[CultureDuration_days]]/7,0)</f>
        <v>7</v>
      </c>
      <c r="J1806">
        <v>2975</v>
      </c>
      <c r="K1806" t="str">
        <f>_xlfn.CONCAT(WEEKNUM(CompilDonnées[[#This Row],[PlantationDate]]), " ", YEAR(CompilDonnées[[#This Row],[PlantationDate]]))</f>
        <v>11 2025</v>
      </c>
      <c r="L1806" t="str">
        <f>CONCATENATE(MONTH(CompilDonnées[[#This Row],[PlantationDate]])," ", YEAR(CompilDonnées[[#This Row],[PlantationDate]]))</f>
        <v>3 2025</v>
      </c>
      <c r="M1806" t="str">
        <f>CONCATENATE(MONTH(CompilDonnées[[#This Row],[HarvestingDate]])," ", YEAR(CompilDonnées[[#This Row],[HarvestingDate]]))</f>
        <v>4 2025</v>
      </c>
      <c r="N1806">
        <f>_xlfn.NUMBERVALUE(CompilDonnées[[#This Row],[FarmID]]&amp;CompilDonnées[[#This Row],[ModuleNumber]]&amp;CompilDonnées[[#This Row],[PlantationDate]])</f>
        <v>65245728</v>
      </c>
      <c r="O1806" t="str">
        <f>CompilDonnées[[#This Row],[FarmID]]&amp;CompilDonnées[[#This Row],[ModuleNumber]]</f>
        <v>652</v>
      </c>
      <c r="P1806" t="str">
        <f>CompilDonnées[[#This Row],[Ref_Module]]&amp;CompilDonnées[[#This Row],[HarvestingDate]]</f>
        <v>65245777</v>
      </c>
    </row>
    <row r="1807" spans="1:16">
      <c r="A1807" s="5">
        <v>45728</v>
      </c>
      <c r="B1807">
        <v>73</v>
      </c>
      <c r="C1807" t="s">
        <v>20</v>
      </c>
      <c r="D1807">
        <v>3</v>
      </c>
      <c r="E1807">
        <v>100</v>
      </c>
      <c r="F1807" t="s">
        <v>1</v>
      </c>
      <c r="G1807" s="6">
        <v>45770</v>
      </c>
      <c r="H1807">
        <v>42</v>
      </c>
      <c r="I1807">
        <f>ROUND(CompilDonnées[[#This Row],[CultureDuration_days]]/7,0)</f>
        <v>6</v>
      </c>
      <c r="J1807">
        <v>3119</v>
      </c>
      <c r="K1807" t="str">
        <f>_xlfn.CONCAT(WEEKNUM(CompilDonnées[[#This Row],[PlantationDate]]), " ", YEAR(CompilDonnées[[#This Row],[PlantationDate]]))</f>
        <v>11 2025</v>
      </c>
      <c r="L1807" t="str">
        <f>CONCATENATE(MONTH(CompilDonnées[[#This Row],[PlantationDate]])," ", YEAR(CompilDonnées[[#This Row],[PlantationDate]]))</f>
        <v>3 2025</v>
      </c>
      <c r="M1807" t="str">
        <f>CONCATENATE(MONTH(CompilDonnées[[#This Row],[HarvestingDate]])," ", YEAR(CompilDonnées[[#This Row],[HarvestingDate]]))</f>
        <v>4 2025</v>
      </c>
      <c r="N1807">
        <f>_xlfn.NUMBERVALUE(CompilDonnées[[#This Row],[FarmID]]&amp;CompilDonnées[[#This Row],[ModuleNumber]]&amp;CompilDonnées[[#This Row],[PlantationDate]])</f>
        <v>73345728</v>
      </c>
      <c r="O1807" t="str">
        <f>CompilDonnées[[#This Row],[FarmID]]&amp;CompilDonnées[[#This Row],[ModuleNumber]]</f>
        <v>733</v>
      </c>
      <c r="P1807" t="str">
        <f>CompilDonnées[[#This Row],[Ref_Module]]&amp;CompilDonnées[[#This Row],[HarvestingDate]]</f>
        <v>73345770</v>
      </c>
    </row>
    <row r="1808" spans="1:16">
      <c r="A1808" s="5">
        <v>45728</v>
      </c>
      <c r="B1808">
        <v>73</v>
      </c>
      <c r="C1808" t="s">
        <v>20</v>
      </c>
      <c r="D1808">
        <v>4</v>
      </c>
      <c r="E1808">
        <v>100</v>
      </c>
      <c r="F1808" t="s">
        <v>1</v>
      </c>
      <c r="G1808" s="6">
        <v>45770</v>
      </c>
      <c r="H1808">
        <v>42</v>
      </c>
      <c r="I1808">
        <f>ROUND(CompilDonnées[[#This Row],[CultureDuration_days]]/7,0)</f>
        <v>6</v>
      </c>
      <c r="J1808">
        <v>3260</v>
      </c>
      <c r="K1808" t="str">
        <f>_xlfn.CONCAT(WEEKNUM(CompilDonnées[[#This Row],[PlantationDate]]), " ", YEAR(CompilDonnées[[#This Row],[PlantationDate]]))</f>
        <v>11 2025</v>
      </c>
      <c r="L1808" t="str">
        <f>CONCATENATE(MONTH(CompilDonnées[[#This Row],[PlantationDate]])," ", YEAR(CompilDonnées[[#This Row],[PlantationDate]]))</f>
        <v>3 2025</v>
      </c>
      <c r="M1808" t="str">
        <f>CONCATENATE(MONTH(CompilDonnées[[#This Row],[HarvestingDate]])," ", YEAR(CompilDonnées[[#This Row],[HarvestingDate]]))</f>
        <v>4 2025</v>
      </c>
      <c r="N1808">
        <f>_xlfn.NUMBERVALUE(CompilDonnées[[#This Row],[FarmID]]&amp;CompilDonnées[[#This Row],[ModuleNumber]]&amp;CompilDonnées[[#This Row],[PlantationDate]])</f>
        <v>73445728</v>
      </c>
      <c r="O1808" t="str">
        <f>CompilDonnées[[#This Row],[FarmID]]&amp;CompilDonnées[[#This Row],[ModuleNumber]]</f>
        <v>734</v>
      </c>
      <c r="P1808" t="str">
        <f>CompilDonnées[[#This Row],[Ref_Module]]&amp;CompilDonnées[[#This Row],[HarvestingDate]]</f>
        <v>73445770</v>
      </c>
    </row>
    <row r="1809" spans="1:16">
      <c r="A1809" s="5">
        <v>45728</v>
      </c>
      <c r="B1809">
        <v>80</v>
      </c>
      <c r="C1809" t="s">
        <v>29</v>
      </c>
      <c r="D1809">
        <v>4</v>
      </c>
      <c r="E1809">
        <v>100</v>
      </c>
      <c r="F1809" t="s">
        <v>1</v>
      </c>
      <c r="G1809" s="6">
        <v>45771</v>
      </c>
      <c r="H1809">
        <v>43</v>
      </c>
      <c r="I1809">
        <f>ROUND(CompilDonnées[[#This Row],[CultureDuration_days]]/7,0)</f>
        <v>6</v>
      </c>
      <c r="J1809">
        <v>4603</v>
      </c>
      <c r="K1809" t="str">
        <f>_xlfn.CONCAT(WEEKNUM(CompilDonnées[[#This Row],[PlantationDate]]), " ", YEAR(CompilDonnées[[#This Row],[PlantationDate]]))</f>
        <v>11 2025</v>
      </c>
      <c r="L1809" t="str">
        <f>CONCATENATE(MONTH(CompilDonnées[[#This Row],[PlantationDate]])," ", YEAR(CompilDonnées[[#This Row],[PlantationDate]]))</f>
        <v>3 2025</v>
      </c>
      <c r="M1809" t="str">
        <f>CONCATENATE(MONTH(CompilDonnées[[#This Row],[HarvestingDate]])," ", YEAR(CompilDonnées[[#This Row],[HarvestingDate]]))</f>
        <v>4 2025</v>
      </c>
      <c r="N1809">
        <f>_xlfn.NUMBERVALUE(CompilDonnées[[#This Row],[FarmID]]&amp;CompilDonnées[[#This Row],[ModuleNumber]]&amp;CompilDonnées[[#This Row],[PlantationDate]])</f>
        <v>80445728</v>
      </c>
      <c r="O1809" t="str">
        <f>CompilDonnées[[#This Row],[FarmID]]&amp;CompilDonnées[[#This Row],[ModuleNumber]]</f>
        <v>804</v>
      </c>
      <c r="P1809" t="str">
        <f>CompilDonnées[[#This Row],[Ref_Module]]&amp;CompilDonnées[[#This Row],[HarvestingDate]]</f>
        <v>80445771</v>
      </c>
    </row>
    <row r="1810" spans="1:16">
      <c r="A1810" s="5">
        <v>45728</v>
      </c>
      <c r="B1810">
        <v>142</v>
      </c>
      <c r="C1810" t="s">
        <v>3</v>
      </c>
      <c r="D1810">
        <v>1</v>
      </c>
      <c r="E1810">
        <v>60</v>
      </c>
      <c r="F1810" t="s">
        <v>105</v>
      </c>
      <c r="G1810" s="6">
        <v>45776</v>
      </c>
      <c r="H1810">
        <v>48</v>
      </c>
      <c r="I1810">
        <f>ROUND(CompilDonnées[[#This Row],[CultureDuration_days]]/7,0)</f>
        <v>7</v>
      </c>
      <c r="J1810">
        <v>1108</v>
      </c>
      <c r="K1810" t="str">
        <f>_xlfn.CONCAT(WEEKNUM(CompilDonnées[[#This Row],[PlantationDate]]), " ", YEAR(CompilDonnées[[#This Row],[PlantationDate]]))</f>
        <v>11 2025</v>
      </c>
      <c r="L1810" t="str">
        <f>CONCATENATE(MONTH(CompilDonnées[[#This Row],[PlantationDate]])," ", YEAR(CompilDonnées[[#This Row],[PlantationDate]]))</f>
        <v>3 2025</v>
      </c>
      <c r="M1810" t="str">
        <f>CONCATENATE(MONTH(CompilDonnées[[#This Row],[HarvestingDate]])," ", YEAR(CompilDonnées[[#This Row],[HarvestingDate]]))</f>
        <v>4 2025</v>
      </c>
      <c r="N1810">
        <f>_xlfn.NUMBERVALUE(CompilDonnées[[#This Row],[FarmID]]&amp;CompilDonnées[[#This Row],[ModuleNumber]]&amp;CompilDonnées[[#This Row],[PlantationDate]])</f>
        <v>142145728</v>
      </c>
      <c r="O1810" t="str">
        <f>CompilDonnées[[#This Row],[FarmID]]&amp;CompilDonnées[[#This Row],[ModuleNumber]]</f>
        <v>1421</v>
      </c>
      <c r="P1810" t="str">
        <f>CompilDonnées[[#This Row],[Ref_Module]]&amp;CompilDonnées[[#This Row],[HarvestingDate]]</f>
        <v>142145776</v>
      </c>
    </row>
    <row r="1811" spans="1:16">
      <c r="A1811" s="5">
        <v>45728</v>
      </c>
      <c r="B1811">
        <v>142</v>
      </c>
      <c r="C1811" t="s">
        <v>3</v>
      </c>
      <c r="D1811">
        <v>2</v>
      </c>
      <c r="E1811">
        <v>60</v>
      </c>
      <c r="F1811" t="s">
        <v>105</v>
      </c>
      <c r="G1811" s="6">
        <v>45776</v>
      </c>
      <c r="H1811">
        <v>48</v>
      </c>
      <c r="I1811">
        <f>ROUND(CompilDonnées[[#This Row],[CultureDuration_days]]/7,0)</f>
        <v>7</v>
      </c>
      <c r="J1811">
        <v>900</v>
      </c>
      <c r="K1811" t="str">
        <f>_xlfn.CONCAT(WEEKNUM(CompilDonnées[[#This Row],[PlantationDate]]), " ", YEAR(CompilDonnées[[#This Row],[PlantationDate]]))</f>
        <v>11 2025</v>
      </c>
      <c r="L1811" t="str">
        <f>CONCATENATE(MONTH(CompilDonnées[[#This Row],[PlantationDate]])," ", YEAR(CompilDonnées[[#This Row],[PlantationDate]]))</f>
        <v>3 2025</v>
      </c>
      <c r="M1811" t="str">
        <f>CONCATENATE(MONTH(CompilDonnées[[#This Row],[HarvestingDate]])," ", YEAR(CompilDonnées[[#This Row],[HarvestingDate]]))</f>
        <v>4 2025</v>
      </c>
      <c r="N1811">
        <f>_xlfn.NUMBERVALUE(CompilDonnées[[#This Row],[FarmID]]&amp;CompilDonnées[[#This Row],[ModuleNumber]]&amp;CompilDonnées[[#This Row],[PlantationDate]])</f>
        <v>142245728</v>
      </c>
      <c r="O1811" t="str">
        <f>CompilDonnées[[#This Row],[FarmID]]&amp;CompilDonnées[[#This Row],[ModuleNumber]]</f>
        <v>1422</v>
      </c>
      <c r="P1811" t="str">
        <f>CompilDonnées[[#This Row],[Ref_Module]]&amp;CompilDonnées[[#This Row],[HarvestingDate]]</f>
        <v>142245776</v>
      </c>
    </row>
    <row r="1812" spans="1:16">
      <c r="A1812" s="5">
        <v>45728</v>
      </c>
      <c r="B1812">
        <v>142</v>
      </c>
      <c r="C1812" t="s">
        <v>3</v>
      </c>
      <c r="D1812">
        <v>3</v>
      </c>
      <c r="E1812">
        <v>60</v>
      </c>
      <c r="F1812" t="s">
        <v>105</v>
      </c>
      <c r="G1812" s="6">
        <v>45776</v>
      </c>
      <c r="H1812">
        <v>48</v>
      </c>
      <c r="I1812">
        <f>ROUND(CompilDonnées[[#This Row],[CultureDuration_days]]/7,0)</f>
        <v>7</v>
      </c>
      <c r="J1812">
        <v>1000</v>
      </c>
      <c r="K1812" t="str">
        <f>_xlfn.CONCAT(WEEKNUM(CompilDonnées[[#This Row],[PlantationDate]]), " ", YEAR(CompilDonnées[[#This Row],[PlantationDate]]))</f>
        <v>11 2025</v>
      </c>
      <c r="L1812" t="str">
        <f>CONCATENATE(MONTH(CompilDonnées[[#This Row],[PlantationDate]])," ", YEAR(CompilDonnées[[#This Row],[PlantationDate]]))</f>
        <v>3 2025</v>
      </c>
      <c r="M1812" t="str">
        <f>CONCATENATE(MONTH(CompilDonnées[[#This Row],[HarvestingDate]])," ", YEAR(CompilDonnées[[#This Row],[HarvestingDate]]))</f>
        <v>4 2025</v>
      </c>
      <c r="N1812">
        <f>_xlfn.NUMBERVALUE(CompilDonnées[[#This Row],[FarmID]]&amp;CompilDonnées[[#This Row],[ModuleNumber]]&amp;CompilDonnées[[#This Row],[PlantationDate]])</f>
        <v>142345728</v>
      </c>
      <c r="O1812" t="str">
        <f>CompilDonnées[[#This Row],[FarmID]]&amp;CompilDonnées[[#This Row],[ModuleNumber]]</f>
        <v>1423</v>
      </c>
      <c r="P1812" t="str">
        <f>CompilDonnées[[#This Row],[Ref_Module]]&amp;CompilDonnées[[#This Row],[HarvestingDate]]</f>
        <v>142345776</v>
      </c>
    </row>
    <row r="1813" spans="1:16">
      <c r="A1813" s="5">
        <v>45728</v>
      </c>
      <c r="B1813">
        <v>143</v>
      </c>
      <c r="C1813" t="s">
        <v>3</v>
      </c>
      <c r="D1813">
        <v>5</v>
      </c>
      <c r="E1813">
        <v>60</v>
      </c>
      <c r="F1813" t="s">
        <v>105</v>
      </c>
      <c r="G1813" s="6">
        <v>45775</v>
      </c>
      <c r="H1813">
        <v>47</v>
      </c>
      <c r="I1813">
        <f>ROUND(CompilDonnées[[#This Row],[CultureDuration_days]]/7,0)</f>
        <v>7</v>
      </c>
      <c r="J1813">
        <v>1000</v>
      </c>
      <c r="K1813" t="str">
        <f>_xlfn.CONCAT(WEEKNUM(CompilDonnées[[#This Row],[PlantationDate]]), " ", YEAR(CompilDonnées[[#This Row],[PlantationDate]]))</f>
        <v>11 2025</v>
      </c>
      <c r="L1813" t="str">
        <f>CONCATENATE(MONTH(CompilDonnées[[#This Row],[PlantationDate]])," ", YEAR(CompilDonnées[[#This Row],[PlantationDate]]))</f>
        <v>3 2025</v>
      </c>
      <c r="M1813" t="str">
        <f>CONCATENATE(MONTH(CompilDonnées[[#This Row],[HarvestingDate]])," ", YEAR(CompilDonnées[[#This Row],[HarvestingDate]]))</f>
        <v>4 2025</v>
      </c>
      <c r="N1813">
        <f>_xlfn.NUMBERVALUE(CompilDonnées[[#This Row],[FarmID]]&amp;CompilDonnées[[#This Row],[ModuleNumber]]&amp;CompilDonnées[[#This Row],[PlantationDate]])</f>
        <v>143545728</v>
      </c>
      <c r="O1813" t="str">
        <f>CompilDonnées[[#This Row],[FarmID]]&amp;CompilDonnées[[#This Row],[ModuleNumber]]</f>
        <v>1435</v>
      </c>
      <c r="P1813" t="str">
        <f>CompilDonnées[[#This Row],[Ref_Module]]&amp;CompilDonnées[[#This Row],[HarvestingDate]]</f>
        <v>143545775</v>
      </c>
    </row>
    <row r="1814" spans="1:16">
      <c r="A1814" s="5">
        <v>45728</v>
      </c>
      <c r="B1814">
        <v>143</v>
      </c>
      <c r="C1814" t="s">
        <v>3</v>
      </c>
      <c r="D1814">
        <v>6</v>
      </c>
      <c r="E1814">
        <v>60</v>
      </c>
      <c r="F1814" t="s">
        <v>105</v>
      </c>
      <c r="G1814" s="6">
        <v>45775</v>
      </c>
      <c r="H1814">
        <v>47</v>
      </c>
      <c r="I1814">
        <f>ROUND(CompilDonnées[[#This Row],[CultureDuration_days]]/7,0)</f>
        <v>7</v>
      </c>
      <c r="J1814">
        <v>1092</v>
      </c>
      <c r="K1814" t="str">
        <f>_xlfn.CONCAT(WEEKNUM(CompilDonnées[[#This Row],[PlantationDate]]), " ", YEAR(CompilDonnées[[#This Row],[PlantationDate]]))</f>
        <v>11 2025</v>
      </c>
      <c r="L1814" t="str">
        <f>CONCATENATE(MONTH(CompilDonnées[[#This Row],[PlantationDate]])," ", YEAR(CompilDonnées[[#This Row],[PlantationDate]]))</f>
        <v>3 2025</v>
      </c>
      <c r="M1814" t="str">
        <f>CONCATENATE(MONTH(CompilDonnées[[#This Row],[HarvestingDate]])," ", YEAR(CompilDonnées[[#This Row],[HarvestingDate]]))</f>
        <v>4 2025</v>
      </c>
      <c r="N1814">
        <f>_xlfn.NUMBERVALUE(CompilDonnées[[#This Row],[FarmID]]&amp;CompilDonnées[[#This Row],[ModuleNumber]]&amp;CompilDonnées[[#This Row],[PlantationDate]])</f>
        <v>143645728</v>
      </c>
      <c r="O1814" t="str">
        <f>CompilDonnées[[#This Row],[FarmID]]&amp;CompilDonnées[[#This Row],[ModuleNumber]]</f>
        <v>1436</v>
      </c>
      <c r="P1814" t="str">
        <f>CompilDonnées[[#This Row],[Ref_Module]]&amp;CompilDonnées[[#This Row],[HarvestingDate]]</f>
        <v>143645775</v>
      </c>
    </row>
    <row r="1815" spans="1:16">
      <c r="A1815" s="5">
        <v>45728</v>
      </c>
      <c r="B1815">
        <v>34</v>
      </c>
      <c r="C1815" t="s">
        <v>68</v>
      </c>
      <c r="D1815">
        <v>5</v>
      </c>
      <c r="E1815">
        <v>100</v>
      </c>
      <c r="F1815" t="s">
        <v>1</v>
      </c>
      <c r="G1815" s="6">
        <v>45765</v>
      </c>
      <c r="H1815">
        <v>37</v>
      </c>
      <c r="I1815">
        <f>ROUND(CompilDonnées[[#This Row],[CultureDuration_days]]/7,0)</f>
        <v>5</v>
      </c>
      <c r="J1815">
        <v>2381</v>
      </c>
      <c r="K1815" t="str">
        <f>_xlfn.CONCAT(WEEKNUM(CompilDonnées[[#This Row],[PlantationDate]]), " ", YEAR(CompilDonnées[[#This Row],[PlantationDate]]))</f>
        <v>11 2025</v>
      </c>
      <c r="L1815" t="str">
        <f>CONCATENATE(MONTH(CompilDonnées[[#This Row],[PlantationDate]])," ", YEAR(CompilDonnées[[#This Row],[PlantationDate]]))</f>
        <v>3 2025</v>
      </c>
      <c r="M1815" t="str">
        <f>CONCATENATE(MONTH(CompilDonnées[[#This Row],[HarvestingDate]])," ", YEAR(CompilDonnées[[#This Row],[HarvestingDate]]))</f>
        <v>4 2025</v>
      </c>
      <c r="N1815">
        <f>_xlfn.NUMBERVALUE(CompilDonnées[[#This Row],[FarmID]]&amp;CompilDonnées[[#This Row],[ModuleNumber]]&amp;CompilDonnées[[#This Row],[PlantationDate]])</f>
        <v>34545728</v>
      </c>
      <c r="O1815" t="str">
        <f>CompilDonnées[[#This Row],[FarmID]]&amp;CompilDonnées[[#This Row],[ModuleNumber]]</f>
        <v>345</v>
      </c>
      <c r="P1815" t="str">
        <f>CompilDonnées[[#This Row],[Ref_Module]]&amp;CompilDonnées[[#This Row],[HarvestingDate]]</f>
        <v>34545765</v>
      </c>
    </row>
    <row r="1816" spans="1:16">
      <c r="A1816" s="5">
        <v>45728</v>
      </c>
      <c r="B1816">
        <v>39</v>
      </c>
      <c r="C1816" t="s">
        <v>81</v>
      </c>
      <c r="D1816">
        <v>4</v>
      </c>
      <c r="E1816">
        <v>100</v>
      </c>
      <c r="F1816" t="s">
        <v>1</v>
      </c>
      <c r="G1816" s="6">
        <v>45769</v>
      </c>
      <c r="H1816">
        <v>41</v>
      </c>
      <c r="I1816">
        <f>ROUND(CompilDonnées[[#This Row],[CultureDuration_days]]/7,0)</f>
        <v>6</v>
      </c>
      <c r="J1816">
        <v>3055</v>
      </c>
      <c r="K1816" t="str">
        <f>_xlfn.CONCAT(WEEKNUM(CompilDonnées[[#This Row],[PlantationDate]]), " ", YEAR(CompilDonnées[[#This Row],[PlantationDate]]))</f>
        <v>11 2025</v>
      </c>
      <c r="L1816" t="str">
        <f>CONCATENATE(MONTH(CompilDonnées[[#This Row],[PlantationDate]])," ", YEAR(CompilDonnées[[#This Row],[PlantationDate]]))</f>
        <v>3 2025</v>
      </c>
      <c r="M1816" t="str">
        <f>CONCATENATE(MONTH(CompilDonnées[[#This Row],[HarvestingDate]])," ", YEAR(CompilDonnées[[#This Row],[HarvestingDate]]))</f>
        <v>4 2025</v>
      </c>
      <c r="N1816">
        <f>_xlfn.NUMBERVALUE(CompilDonnées[[#This Row],[FarmID]]&amp;CompilDonnées[[#This Row],[ModuleNumber]]&amp;CompilDonnées[[#This Row],[PlantationDate]])</f>
        <v>39445728</v>
      </c>
      <c r="O1816" t="str">
        <f>CompilDonnées[[#This Row],[FarmID]]&amp;CompilDonnées[[#This Row],[ModuleNumber]]</f>
        <v>394</v>
      </c>
      <c r="P1816" t="str">
        <f>CompilDonnées[[#This Row],[Ref_Module]]&amp;CompilDonnées[[#This Row],[HarvestingDate]]</f>
        <v>39445769</v>
      </c>
    </row>
    <row r="1817" spans="1:16">
      <c r="A1817" s="5">
        <v>45728</v>
      </c>
      <c r="B1817">
        <v>41</v>
      </c>
      <c r="C1817" t="s">
        <v>70</v>
      </c>
      <c r="D1817">
        <v>3</v>
      </c>
      <c r="E1817">
        <v>100</v>
      </c>
      <c r="F1817" t="s">
        <v>1</v>
      </c>
      <c r="G1817" s="6">
        <v>45769</v>
      </c>
      <c r="H1817">
        <v>41</v>
      </c>
      <c r="I1817">
        <f>ROUND(CompilDonnées[[#This Row],[CultureDuration_days]]/7,0)</f>
        <v>6</v>
      </c>
      <c r="J1817">
        <v>2607</v>
      </c>
      <c r="K1817" t="str">
        <f>_xlfn.CONCAT(WEEKNUM(CompilDonnées[[#This Row],[PlantationDate]]), " ", YEAR(CompilDonnées[[#This Row],[PlantationDate]]))</f>
        <v>11 2025</v>
      </c>
      <c r="L1817" t="str">
        <f>CONCATENATE(MONTH(CompilDonnées[[#This Row],[PlantationDate]])," ", YEAR(CompilDonnées[[#This Row],[PlantationDate]]))</f>
        <v>3 2025</v>
      </c>
      <c r="M1817" t="str">
        <f>CONCATENATE(MONTH(CompilDonnées[[#This Row],[HarvestingDate]])," ", YEAR(CompilDonnées[[#This Row],[HarvestingDate]]))</f>
        <v>4 2025</v>
      </c>
      <c r="N1817">
        <f>_xlfn.NUMBERVALUE(CompilDonnées[[#This Row],[FarmID]]&amp;CompilDonnées[[#This Row],[ModuleNumber]]&amp;CompilDonnées[[#This Row],[PlantationDate]])</f>
        <v>41345728</v>
      </c>
      <c r="O1817" t="str">
        <f>CompilDonnées[[#This Row],[FarmID]]&amp;CompilDonnées[[#This Row],[ModuleNumber]]</f>
        <v>413</v>
      </c>
      <c r="P1817" t="str">
        <f>CompilDonnées[[#This Row],[Ref_Module]]&amp;CompilDonnées[[#This Row],[HarvestingDate]]</f>
        <v>41345769</v>
      </c>
    </row>
    <row r="1818" spans="1:16">
      <c r="A1818" s="5">
        <v>45729</v>
      </c>
      <c r="B1818">
        <v>47</v>
      </c>
      <c r="C1818" t="s">
        <v>12</v>
      </c>
      <c r="D1818">
        <v>6</v>
      </c>
      <c r="E1818">
        <v>100</v>
      </c>
      <c r="F1818" t="s">
        <v>1</v>
      </c>
      <c r="G1818" s="6">
        <v>45778</v>
      </c>
      <c r="H1818">
        <v>49</v>
      </c>
      <c r="I1818">
        <f>ROUND(CompilDonnées[[#This Row],[CultureDuration_days]]/7,0)</f>
        <v>7</v>
      </c>
      <c r="J1818">
        <v>2002</v>
      </c>
      <c r="K1818" t="str">
        <f>_xlfn.CONCAT(WEEKNUM(CompilDonnées[[#This Row],[PlantationDate]]), " ", YEAR(CompilDonnées[[#This Row],[PlantationDate]]))</f>
        <v>11 2025</v>
      </c>
      <c r="L1818" t="str">
        <f>CONCATENATE(MONTH(CompilDonnées[[#This Row],[PlantationDate]])," ", YEAR(CompilDonnées[[#This Row],[PlantationDate]]))</f>
        <v>3 2025</v>
      </c>
      <c r="M1818" t="str">
        <f>CONCATENATE(MONTH(CompilDonnées[[#This Row],[HarvestingDate]])," ", YEAR(CompilDonnées[[#This Row],[HarvestingDate]]))</f>
        <v>5 2025</v>
      </c>
      <c r="N1818">
        <f>_xlfn.NUMBERVALUE(CompilDonnées[[#This Row],[FarmID]]&amp;CompilDonnées[[#This Row],[ModuleNumber]]&amp;CompilDonnées[[#This Row],[PlantationDate]])</f>
        <v>47645729</v>
      </c>
      <c r="O1818" t="str">
        <f>CompilDonnées[[#This Row],[FarmID]]&amp;CompilDonnées[[#This Row],[ModuleNumber]]</f>
        <v>476</v>
      </c>
      <c r="P1818" t="str">
        <f>CompilDonnées[[#This Row],[Ref_Module]]&amp;CompilDonnées[[#This Row],[HarvestingDate]]</f>
        <v>47645778</v>
      </c>
    </row>
    <row r="1819" spans="1:16">
      <c r="A1819" s="5">
        <v>45729</v>
      </c>
      <c r="B1819">
        <v>51</v>
      </c>
      <c r="C1819" t="s">
        <v>27</v>
      </c>
      <c r="D1819">
        <v>2</v>
      </c>
      <c r="E1819">
        <v>100</v>
      </c>
      <c r="F1819" t="s">
        <v>1</v>
      </c>
      <c r="G1819" s="6">
        <v>45778</v>
      </c>
      <c r="H1819">
        <v>49</v>
      </c>
      <c r="I1819">
        <f>ROUND(CompilDonnées[[#This Row],[CultureDuration_days]]/7,0)</f>
        <v>7</v>
      </c>
      <c r="J1819">
        <v>2353</v>
      </c>
      <c r="K1819" t="str">
        <f>_xlfn.CONCAT(WEEKNUM(CompilDonnées[[#This Row],[PlantationDate]]), " ", YEAR(CompilDonnées[[#This Row],[PlantationDate]]))</f>
        <v>11 2025</v>
      </c>
      <c r="L1819" t="str">
        <f>CONCATENATE(MONTH(CompilDonnées[[#This Row],[PlantationDate]])," ", YEAR(CompilDonnées[[#This Row],[PlantationDate]]))</f>
        <v>3 2025</v>
      </c>
      <c r="M1819" t="str">
        <f>CONCATENATE(MONTH(CompilDonnées[[#This Row],[HarvestingDate]])," ", YEAR(CompilDonnées[[#This Row],[HarvestingDate]]))</f>
        <v>5 2025</v>
      </c>
      <c r="N1819">
        <f>_xlfn.NUMBERVALUE(CompilDonnées[[#This Row],[FarmID]]&amp;CompilDonnées[[#This Row],[ModuleNumber]]&amp;CompilDonnées[[#This Row],[PlantationDate]])</f>
        <v>51245729</v>
      </c>
      <c r="O1819" t="str">
        <f>CompilDonnées[[#This Row],[FarmID]]&amp;CompilDonnées[[#This Row],[ModuleNumber]]</f>
        <v>512</v>
      </c>
      <c r="P1819" t="str">
        <f>CompilDonnées[[#This Row],[Ref_Module]]&amp;CompilDonnées[[#This Row],[HarvestingDate]]</f>
        <v>51245778</v>
      </c>
    </row>
    <row r="1820" spans="1:16">
      <c r="A1820" s="5">
        <v>45729</v>
      </c>
      <c r="B1820">
        <v>53</v>
      </c>
      <c r="C1820" t="s">
        <v>83</v>
      </c>
      <c r="D1820">
        <v>5</v>
      </c>
      <c r="E1820">
        <v>100</v>
      </c>
      <c r="F1820" t="s">
        <v>1</v>
      </c>
      <c r="G1820" s="6">
        <v>45777</v>
      </c>
      <c r="H1820">
        <v>48</v>
      </c>
      <c r="I1820">
        <f>ROUND(CompilDonnées[[#This Row],[CultureDuration_days]]/7,0)</f>
        <v>7</v>
      </c>
      <c r="J1820">
        <v>2440</v>
      </c>
      <c r="K1820" t="str">
        <f>_xlfn.CONCAT(WEEKNUM(CompilDonnées[[#This Row],[PlantationDate]]), " ", YEAR(CompilDonnées[[#This Row],[PlantationDate]]))</f>
        <v>11 2025</v>
      </c>
      <c r="L1820" t="str">
        <f>CONCATENATE(MONTH(CompilDonnées[[#This Row],[PlantationDate]])," ", YEAR(CompilDonnées[[#This Row],[PlantationDate]]))</f>
        <v>3 2025</v>
      </c>
      <c r="M1820" t="str">
        <f>CONCATENATE(MONTH(CompilDonnées[[#This Row],[HarvestingDate]])," ", YEAR(CompilDonnées[[#This Row],[HarvestingDate]]))</f>
        <v>4 2025</v>
      </c>
      <c r="N1820">
        <f>_xlfn.NUMBERVALUE(CompilDonnées[[#This Row],[FarmID]]&amp;CompilDonnées[[#This Row],[ModuleNumber]]&amp;CompilDonnées[[#This Row],[PlantationDate]])</f>
        <v>53545729</v>
      </c>
      <c r="O1820" t="str">
        <f>CompilDonnées[[#This Row],[FarmID]]&amp;CompilDonnées[[#This Row],[ModuleNumber]]</f>
        <v>535</v>
      </c>
      <c r="P1820" t="str">
        <f>CompilDonnées[[#This Row],[Ref_Module]]&amp;CompilDonnées[[#This Row],[HarvestingDate]]</f>
        <v>53545777</v>
      </c>
    </row>
    <row r="1821" spans="1:16">
      <c r="A1821" s="5">
        <v>45729</v>
      </c>
      <c r="B1821">
        <v>56</v>
      </c>
      <c r="C1821" t="s">
        <v>6</v>
      </c>
      <c r="D1821">
        <v>2</v>
      </c>
      <c r="E1821">
        <v>100</v>
      </c>
      <c r="F1821" t="s">
        <v>1</v>
      </c>
      <c r="G1821" s="6">
        <v>45777</v>
      </c>
      <c r="H1821">
        <v>48</v>
      </c>
      <c r="I1821">
        <f>ROUND(CompilDonnées[[#This Row],[CultureDuration_days]]/7,0)</f>
        <v>7</v>
      </c>
      <c r="J1821">
        <v>2278</v>
      </c>
      <c r="K1821" t="str">
        <f>_xlfn.CONCAT(WEEKNUM(CompilDonnées[[#This Row],[PlantationDate]]), " ", YEAR(CompilDonnées[[#This Row],[PlantationDate]]))</f>
        <v>11 2025</v>
      </c>
      <c r="L1821" t="str">
        <f>CONCATENATE(MONTH(CompilDonnées[[#This Row],[PlantationDate]])," ", YEAR(CompilDonnées[[#This Row],[PlantationDate]]))</f>
        <v>3 2025</v>
      </c>
      <c r="M1821" t="str">
        <f>CONCATENATE(MONTH(CompilDonnées[[#This Row],[HarvestingDate]])," ", YEAR(CompilDonnées[[#This Row],[HarvestingDate]]))</f>
        <v>4 2025</v>
      </c>
      <c r="N1821">
        <f>_xlfn.NUMBERVALUE(CompilDonnées[[#This Row],[FarmID]]&amp;CompilDonnées[[#This Row],[ModuleNumber]]&amp;CompilDonnées[[#This Row],[PlantationDate]])</f>
        <v>56245729</v>
      </c>
      <c r="O1821" t="str">
        <f>CompilDonnées[[#This Row],[FarmID]]&amp;CompilDonnées[[#This Row],[ModuleNumber]]</f>
        <v>562</v>
      </c>
      <c r="P1821" t="str">
        <f>CompilDonnées[[#This Row],[Ref_Module]]&amp;CompilDonnées[[#This Row],[HarvestingDate]]</f>
        <v>56245777</v>
      </c>
    </row>
    <row r="1822" spans="1:16">
      <c r="A1822" s="5">
        <v>45729</v>
      </c>
      <c r="B1822">
        <v>64</v>
      </c>
      <c r="C1822" t="s">
        <v>47</v>
      </c>
      <c r="D1822">
        <v>2</v>
      </c>
      <c r="E1822">
        <v>100</v>
      </c>
      <c r="F1822" t="s">
        <v>1</v>
      </c>
      <c r="G1822" s="6">
        <v>45776</v>
      </c>
      <c r="H1822">
        <v>47</v>
      </c>
      <c r="I1822">
        <f>ROUND(CompilDonnées[[#This Row],[CultureDuration_days]]/7,0)</f>
        <v>7</v>
      </c>
      <c r="J1822">
        <v>2615</v>
      </c>
      <c r="K1822" t="str">
        <f>_xlfn.CONCAT(WEEKNUM(CompilDonnées[[#This Row],[PlantationDate]]), " ", YEAR(CompilDonnées[[#This Row],[PlantationDate]]))</f>
        <v>11 2025</v>
      </c>
      <c r="L1822" t="str">
        <f>CONCATENATE(MONTH(CompilDonnées[[#This Row],[PlantationDate]])," ", YEAR(CompilDonnées[[#This Row],[PlantationDate]]))</f>
        <v>3 2025</v>
      </c>
      <c r="M1822" t="str">
        <f>CONCATENATE(MONTH(CompilDonnées[[#This Row],[HarvestingDate]])," ", YEAR(CompilDonnées[[#This Row],[HarvestingDate]]))</f>
        <v>4 2025</v>
      </c>
      <c r="N1822">
        <f>_xlfn.NUMBERVALUE(CompilDonnées[[#This Row],[FarmID]]&amp;CompilDonnées[[#This Row],[ModuleNumber]]&amp;CompilDonnées[[#This Row],[PlantationDate]])</f>
        <v>64245729</v>
      </c>
      <c r="O1822" t="str">
        <f>CompilDonnées[[#This Row],[FarmID]]&amp;CompilDonnées[[#This Row],[ModuleNumber]]</f>
        <v>642</v>
      </c>
      <c r="P1822" t="str">
        <f>CompilDonnées[[#This Row],[Ref_Module]]&amp;CompilDonnées[[#This Row],[HarvestingDate]]</f>
        <v>64245776</v>
      </c>
    </row>
    <row r="1823" spans="1:16">
      <c r="A1823" s="5">
        <v>45729</v>
      </c>
      <c r="B1823">
        <v>66</v>
      </c>
      <c r="C1823" t="s">
        <v>48</v>
      </c>
      <c r="D1823">
        <v>6</v>
      </c>
      <c r="E1823">
        <v>100</v>
      </c>
      <c r="F1823" t="s">
        <v>1</v>
      </c>
      <c r="G1823" s="6">
        <v>45770</v>
      </c>
      <c r="H1823">
        <v>41</v>
      </c>
      <c r="I1823">
        <f>ROUND(CompilDonnées[[#This Row],[CultureDuration_days]]/7,0)</f>
        <v>6</v>
      </c>
      <c r="J1823">
        <v>2820</v>
      </c>
      <c r="K1823" t="str">
        <f>_xlfn.CONCAT(WEEKNUM(CompilDonnées[[#This Row],[PlantationDate]]), " ", YEAR(CompilDonnées[[#This Row],[PlantationDate]]))</f>
        <v>11 2025</v>
      </c>
      <c r="L1823" t="str">
        <f>CONCATENATE(MONTH(CompilDonnées[[#This Row],[PlantationDate]])," ", YEAR(CompilDonnées[[#This Row],[PlantationDate]]))</f>
        <v>3 2025</v>
      </c>
      <c r="M1823" t="str">
        <f>CONCATENATE(MONTH(CompilDonnées[[#This Row],[HarvestingDate]])," ", YEAR(CompilDonnées[[#This Row],[HarvestingDate]]))</f>
        <v>4 2025</v>
      </c>
      <c r="N1823">
        <f>_xlfn.NUMBERVALUE(CompilDonnées[[#This Row],[FarmID]]&amp;CompilDonnées[[#This Row],[ModuleNumber]]&amp;CompilDonnées[[#This Row],[PlantationDate]])</f>
        <v>66645729</v>
      </c>
      <c r="O1823" t="str">
        <f>CompilDonnées[[#This Row],[FarmID]]&amp;CompilDonnées[[#This Row],[ModuleNumber]]</f>
        <v>666</v>
      </c>
      <c r="P1823" t="str">
        <f>CompilDonnées[[#This Row],[Ref_Module]]&amp;CompilDonnées[[#This Row],[HarvestingDate]]</f>
        <v>66645770</v>
      </c>
    </row>
    <row r="1824" spans="1:16">
      <c r="A1824" s="5">
        <v>45729</v>
      </c>
      <c r="B1824">
        <v>67</v>
      </c>
      <c r="C1824" t="s">
        <v>28</v>
      </c>
      <c r="D1824">
        <v>6</v>
      </c>
      <c r="E1824">
        <v>100</v>
      </c>
      <c r="F1824" t="s">
        <v>1</v>
      </c>
      <c r="G1824" s="6">
        <v>45770</v>
      </c>
      <c r="H1824">
        <v>41</v>
      </c>
      <c r="I1824">
        <f>ROUND(CompilDonnées[[#This Row],[CultureDuration_days]]/7,0)</f>
        <v>6</v>
      </c>
      <c r="J1824">
        <v>4133</v>
      </c>
      <c r="K1824" t="str">
        <f>_xlfn.CONCAT(WEEKNUM(CompilDonnées[[#This Row],[PlantationDate]]), " ", YEAR(CompilDonnées[[#This Row],[PlantationDate]]))</f>
        <v>11 2025</v>
      </c>
      <c r="L1824" t="str">
        <f>CONCATENATE(MONTH(CompilDonnées[[#This Row],[PlantationDate]])," ", YEAR(CompilDonnées[[#This Row],[PlantationDate]]))</f>
        <v>3 2025</v>
      </c>
      <c r="M1824" t="str">
        <f>CONCATENATE(MONTH(CompilDonnées[[#This Row],[HarvestingDate]])," ", YEAR(CompilDonnées[[#This Row],[HarvestingDate]]))</f>
        <v>4 2025</v>
      </c>
      <c r="N1824">
        <f>_xlfn.NUMBERVALUE(CompilDonnées[[#This Row],[FarmID]]&amp;CompilDonnées[[#This Row],[ModuleNumber]]&amp;CompilDonnées[[#This Row],[PlantationDate]])</f>
        <v>67645729</v>
      </c>
      <c r="O1824" t="str">
        <f>CompilDonnées[[#This Row],[FarmID]]&amp;CompilDonnées[[#This Row],[ModuleNumber]]</f>
        <v>676</v>
      </c>
      <c r="P1824" t="str">
        <f>CompilDonnées[[#This Row],[Ref_Module]]&amp;CompilDonnées[[#This Row],[HarvestingDate]]</f>
        <v>67645770</v>
      </c>
    </row>
    <row r="1825" spans="1:16">
      <c r="A1825" s="5">
        <v>45729</v>
      </c>
      <c r="B1825">
        <v>70</v>
      </c>
      <c r="C1825" t="s">
        <v>7</v>
      </c>
      <c r="D1825">
        <v>6</v>
      </c>
      <c r="E1825">
        <v>100</v>
      </c>
      <c r="F1825" t="s">
        <v>1</v>
      </c>
      <c r="G1825" s="6">
        <v>45776</v>
      </c>
      <c r="H1825">
        <v>47</v>
      </c>
      <c r="I1825">
        <f>ROUND(CompilDonnées[[#This Row],[CultureDuration_days]]/7,0)</f>
        <v>7</v>
      </c>
      <c r="J1825">
        <v>2813</v>
      </c>
      <c r="K1825" t="str">
        <f>_xlfn.CONCAT(WEEKNUM(CompilDonnées[[#This Row],[PlantationDate]]), " ", YEAR(CompilDonnées[[#This Row],[PlantationDate]]))</f>
        <v>11 2025</v>
      </c>
      <c r="L1825" t="str">
        <f>CONCATENATE(MONTH(CompilDonnées[[#This Row],[PlantationDate]])," ", YEAR(CompilDonnées[[#This Row],[PlantationDate]]))</f>
        <v>3 2025</v>
      </c>
      <c r="M1825" t="str">
        <f>CONCATENATE(MONTH(CompilDonnées[[#This Row],[HarvestingDate]])," ", YEAR(CompilDonnées[[#This Row],[HarvestingDate]]))</f>
        <v>4 2025</v>
      </c>
      <c r="N1825">
        <f>_xlfn.NUMBERVALUE(CompilDonnées[[#This Row],[FarmID]]&amp;CompilDonnées[[#This Row],[ModuleNumber]]&amp;CompilDonnées[[#This Row],[PlantationDate]])</f>
        <v>70645729</v>
      </c>
      <c r="O1825" t="str">
        <f>CompilDonnées[[#This Row],[FarmID]]&amp;CompilDonnées[[#This Row],[ModuleNumber]]</f>
        <v>706</v>
      </c>
      <c r="P1825" t="str">
        <f>CompilDonnées[[#This Row],[Ref_Module]]&amp;CompilDonnées[[#This Row],[HarvestingDate]]</f>
        <v>70645776</v>
      </c>
    </row>
    <row r="1826" spans="1:16">
      <c r="A1826" s="5">
        <v>45729</v>
      </c>
      <c r="B1826">
        <v>71</v>
      </c>
      <c r="C1826" t="s">
        <v>19</v>
      </c>
      <c r="D1826">
        <v>5</v>
      </c>
      <c r="E1826">
        <v>100</v>
      </c>
      <c r="F1826" t="s">
        <v>1</v>
      </c>
      <c r="G1826" s="6">
        <v>45772</v>
      </c>
      <c r="H1826">
        <v>43</v>
      </c>
      <c r="I1826">
        <f>ROUND(CompilDonnées[[#This Row],[CultureDuration_days]]/7,0)</f>
        <v>6</v>
      </c>
      <c r="J1826">
        <v>3938</v>
      </c>
      <c r="K1826" t="str">
        <f>_xlfn.CONCAT(WEEKNUM(CompilDonnées[[#This Row],[PlantationDate]]), " ", YEAR(CompilDonnées[[#This Row],[PlantationDate]]))</f>
        <v>11 2025</v>
      </c>
      <c r="L1826" t="str">
        <f>CONCATENATE(MONTH(CompilDonnées[[#This Row],[PlantationDate]])," ", YEAR(CompilDonnées[[#This Row],[PlantationDate]]))</f>
        <v>3 2025</v>
      </c>
      <c r="M1826" t="str">
        <f>CONCATENATE(MONTH(CompilDonnées[[#This Row],[HarvestingDate]])," ", YEAR(CompilDonnées[[#This Row],[HarvestingDate]]))</f>
        <v>4 2025</v>
      </c>
      <c r="N1826">
        <f>_xlfn.NUMBERVALUE(CompilDonnées[[#This Row],[FarmID]]&amp;CompilDonnées[[#This Row],[ModuleNumber]]&amp;CompilDonnées[[#This Row],[PlantationDate]])</f>
        <v>71545729</v>
      </c>
      <c r="O1826" t="str">
        <f>CompilDonnées[[#This Row],[FarmID]]&amp;CompilDonnées[[#This Row],[ModuleNumber]]</f>
        <v>715</v>
      </c>
      <c r="P1826" t="str">
        <f>CompilDonnées[[#This Row],[Ref_Module]]&amp;CompilDonnées[[#This Row],[HarvestingDate]]</f>
        <v>71545772</v>
      </c>
    </row>
    <row r="1827" spans="1:16">
      <c r="A1827" s="5">
        <v>45729</v>
      </c>
      <c r="B1827">
        <v>72</v>
      </c>
      <c r="C1827" t="s">
        <v>49</v>
      </c>
      <c r="D1827">
        <v>4</v>
      </c>
      <c r="E1827">
        <v>100</v>
      </c>
      <c r="F1827" t="s">
        <v>1</v>
      </c>
      <c r="G1827" s="6">
        <v>45770</v>
      </c>
      <c r="H1827">
        <v>41</v>
      </c>
      <c r="I1827">
        <f>ROUND(CompilDonnées[[#This Row],[CultureDuration_days]]/7,0)</f>
        <v>6</v>
      </c>
      <c r="J1827">
        <v>3839</v>
      </c>
      <c r="K1827" t="str">
        <f>_xlfn.CONCAT(WEEKNUM(CompilDonnées[[#This Row],[PlantationDate]]), " ", YEAR(CompilDonnées[[#This Row],[PlantationDate]]))</f>
        <v>11 2025</v>
      </c>
      <c r="L1827" t="str">
        <f>CONCATENATE(MONTH(CompilDonnées[[#This Row],[PlantationDate]])," ", YEAR(CompilDonnées[[#This Row],[PlantationDate]]))</f>
        <v>3 2025</v>
      </c>
      <c r="M1827" t="str">
        <f>CONCATENATE(MONTH(CompilDonnées[[#This Row],[HarvestingDate]])," ", YEAR(CompilDonnées[[#This Row],[HarvestingDate]]))</f>
        <v>4 2025</v>
      </c>
      <c r="N1827">
        <f>_xlfn.NUMBERVALUE(CompilDonnées[[#This Row],[FarmID]]&amp;CompilDonnées[[#This Row],[ModuleNumber]]&amp;CompilDonnées[[#This Row],[PlantationDate]])</f>
        <v>72445729</v>
      </c>
      <c r="O1827" t="str">
        <f>CompilDonnées[[#This Row],[FarmID]]&amp;CompilDonnées[[#This Row],[ModuleNumber]]</f>
        <v>724</v>
      </c>
      <c r="P1827" t="str">
        <f>CompilDonnées[[#This Row],[Ref_Module]]&amp;CompilDonnées[[#This Row],[HarvestingDate]]</f>
        <v>72445770</v>
      </c>
    </row>
    <row r="1828" spans="1:16">
      <c r="A1828" s="5">
        <v>45729</v>
      </c>
      <c r="B1828">
        <v>74</v>
      </c>
      <c r="C1828" t="s">
        <v>21</v>
      </c>
      <c r="D1828">
        <v>5</v>
      </c>
      <c r="E1828">
        <v>100</v>
      </c>
      <c r="F1828" t="s">
        <v>1</v>
      </c>
      <c r="G1828" s="6">
        <v>45770</v>
      </c>
      <c r="H1828">
        <v>41</v>
      </c>
      <c r="I1828">
        <f>ROUND(CompilDonnées[[#This Row],[CultureDuration_days]]/7,0)</f>
        <v>6</v>
      </c>
      <c r="J1828">
        <v>2653</v>
      </c>
      <c r="K1828" t="str">
        <f>_xlfn.CONCAT(WEEKNUM(CompilDonnées[[#This Row],[PlantationDate]]), " ", YEAR(CompilDonnées[[#This Row],[PlantationDate]]))</f>
        <v>11 2025</v>
      </c>
      <c r="L1828" t="str">
        <f>CONCATENATE(MONTH(CompilDonnées[[#This Row],[PlantationDate]])," ", YEAR(CompilDonnées[[#This Row],[PlantationDate]]))</f>
        <v>3 2025</v>
      </c>
      <c r="M1828" t="str">
        <f>CONCATENATE(MONTH(CompilDonnées[[#This Row],[HarvestingDate]])," ", YEAR(CompilDonnées[[#This Row],[HarvestingDate]]))</f>
        <v>4 2025</v>
      </c>
      <c r="N1828">
        <f>_xlfn.NUMBERVALUE(CompilDonnées[[#This Row],[FarmID]]&amp;CompilDonnées[[#This Row],[ModuleNumber]]&amp;CompilDonnées[[#This Row],[PlantationDate]])</f>
        <v>74545729</v>
      </c>
      <c r="O1828" t="str">
        <f>CompilDonnées[[#This Row],[FarmID]]&amp;CompilDonnées[[#This Row],[ModuleNumber]]</f>
        <v>745</v>
      </c>
      <c r="P1828" t="str">
        <f>CompilDonnées[[#This Row],[Ref_Module]]&amp;CompilDonnées[[#This Row],[HarvestingDate]]</f>
        <v>74545770</v>
      </c>
    </row>
    <row r="1829" spans="1:16">
      <c r="A1829" s="5">
        <v>45729</v>
      </c>
      <c r="B1829">
        <v>74</v>
      </c>
      <c r="C1829" t="s">
        <v>21</v>
      </c>
      <c r="D1829">
        <v>6</v>
      </c>
      <c r="E1829">
        <v>100</v>
      </c>
      <c r="F1829" t="s">
        <v>1</v>
      </c>
      <c r="G1829" s="6">
        <v>45770</v>
      </c>
      <c r="H1829">
        <v>41</v>
      </c>
      <c r="I1829">
        <f>ROUND(CompilDonnées[[#This Row],[CultureDuration_days]]/7,0)</f>
        <v>6</v>
      </c>
      <c r="J1829">
        <v>2751</v>
      </c>
      <c r="K1829" t="str">
        <f>_xlfn.CONCAT(WEEKNUM(CompilDonnées[[#This Row],[PlantationDate]]), " ", YEAR(CompilDonnées[[#This Row],[PlantationDate]]))</f>
        <v>11 2025</v>
      </c>
      <c r="L1829" t="str">
        <f>CONCATENATE(MONTH(CompilDonnées[[#This Row],[PlantationDate]])," ", YEAR(CompilDonnées[[#This Row],[PlantationDate]]))</f>
        <v>3 2025</v>
      </c>
      <c r="M1829" t="str">
        <f>CONCATENATE(MONTH(CompilDonnées[[#This Row],[HarvestingDate]])," ", YEAR(CompilDonnées[[#This Row],[HarvestingDate]]))</f>
        <v>4 2025</v>
      </c>
      <c r="N1829">
        <f>_xlfn.NUMBERVALUE(CompilDonnées[[#This Row],[FarmID]]&amp;CompilDonnées[[#This Row],[ModuleNumber]]&amp;CompilDonnées[[#This Row],[PlantationDate]])</f>
        <v>74645729</v>
      </c>
      <c r="O1829" t="str">
        <f>CompilDonnées[[#This Row],[FarmID]]&amp;CompilDonnées[[#This Row],[ModuleNumber]]</f>
        <v>746</v>
      </c>
      <c r="P1829" t="str">
        <f>CompilDonnées[[#This Row],[Ref_Module]]&amp;CompilDonnées[[#This Row],[HarvestingDate]]</f>
        <v>74645770</v>
      </c>
    </row>
    <row r="1830" spans="1:16">
      <c r="A1830" s="5">
        <v>45729</v>
      </c>
      <c r="B1830">
        <v>76</v>
      </c>
      <c r="C1830" t="s">
        <v>18</v>
      </c>
      <c r="D1830">
        <v>1</v>
      </c>
      <c r="E1830">
        <v>100</v>
      </c>
      <c r="F1830" t="s">
        <v>1</v>
      </c>
      <c r="G1830" s="6">
        <v>45770</v>
      </c>
      <c r="H1830">
        <v>41</v>
      </c>
      <c r="I1830">
        <f>ROUND(CompilDonnées[[#This Row],[CultureDuration_days]]/7,0)</f>
        <v>6</v>
      </c>
      <c r="J1830">
        <v>3836</v>
      </c>
      <c r="K1830" t="str">
        <f>_xlfn.CONCAT(WEEKNUM(CompilDonnées[[#This Row],[PlantationDate]]), " ", YEAR(CompilDonnées[[#This Row],[PlantationDate]]))</f>
        <v>11 2025</v>
      </c>
      <c r="L1830" t="str">
        <f>CONCATENATE(MONTH(CompilDonnées[[#This Row],[PlantationDate]])," ", YEAR(CompilDonnées[[#This Row],[PlantationDate]]))</f>
        <v>3 2025</v>
      </c>
      <c r="M1830" t="str">
        <f>CONCATENATE(MONTH(CompilDonnées[[#This Row],[HarvestingDate]])," ", YEAR(CompilDonnées[[#This Row],[HarvestingDate]]))</f>
        <v>4 2025</v>
      </c>
      <c r="N1830">
        <f>_xlfn.NUMBERVALUE(CompilDonnées[[#This Row],[FarmID]]&amp;CompilDonnées[[#This Row],[ModuleNumber]]&amp;CompilDonnées[[#This Row],[PlantationDate]])</f>
        <v>76145729</v>
      </c>
      <c r="O1830" t="str">
        <f>CompilDonnées[[#This Row],[FarmID]]&amp;CompilDonnées[[#This Row],[ModuleNumber]]</f>
        <v>761</v>
      </c>
      <c r="P1830" t="str">
        <f>CompilDonnées[[#This Row],[Ref_Module]]&amp;CompilDonnées[[#This Row],[HarvestingDate]]</f>
        <v>76145770</v>
      </c>
    </row>
    <row r="1831" spans="1:16">
      <c r="A1831" s="5">
        <v>45729</v>
      </c>
      <c r="B1831">
        <v>77</v>
      </c>
      <c r="C1831" t="s">
        <v>75</v>
      </c>
      <c r="D1831">
        <v>4</v>
      </c>
      <c r="E1831">
        <v>100</v>
      </c>
      <c r="F1831" t="s">
        <v>1</v>
      </c>
      <c r="G1831" s="6">
        <v>45775</v>
      </c>
      <c r="H1831">
        <v>46</v>
      </c>
      <c r="I1831">
        <f>ROUND(CompilDonnées[[#This Row],[CultureDuration_days]]/7,0)</f>
        <v>7</v>
      </c>
      <c r="J1831">
        <v>2960</v>
      </c>
      <c r="K1831" t="str">
        <f>_xlfn.CONCAT(WEEKNUM(CompilDonnées[[#This Row],[PlantationDate]]), " ", YEAR(CompilDonnées[[#This Row],[PlantationDate]]))</f>
        <v>11 2025</v>
      </c>
      <c r="L1831" t="str">
        <f>CONCATENATE(MONTH(CompilDonnées[[#This Row],[PlantationDate]])," ", YEAR(CompilDonnées[[#This Row],[PlantationDate]]))</f>
        <v>3 2025</v>
      </c>
      <c r="M1831" t="str">
        <f>CONCATENATE(MONTH(CompilDonnées[[#This Row],[HarvestingDate]])," ", YEAR(CompilDonnées[[#This Row],[HarvestingDate]]))</f>
        <v>4 2025</v>
      </c>
      <c r="N1831">
        <f>_xlfn.NUMBERVALUE(CompilDonnées[[#This Row],[FarmID]]&amp;CompilDonnées[[#This Row],[ModuleNumber]]&amp;CompilDonnées[[#This Row],[PlantationDate]])</f>
        <v>77445729</v>
      </c>
      <c r="O1831" t="str">
        <f>CompilDonnées[[#This Row],[FarmID]]&amp;CompilDonnées[[#This Row],[ModuleNumber]]</f>
        <v>774</v>
      </c>
      <c r="P1831" t="str">
        <f>CompilDonnées[[#This Row],[Ref_Module]]&amp;CompilDonnées[[#This Row],[HarvestingDate]]</f>
        <v>77445775</v>
      </c>
    </row>
    <row r="1832" spans="1:16">
      <c r="A1832" s="5">
        <v>45729</v>
      </c>
      <c r="B1832">
        <v>80</v>
      </c>
      <c r="C1832" t="s">
        <v>29</v>
      </c>
      <c r="D1832">
        <v>3</v>
      </c>
      <c r="E1832">
        <v>100</v>
      </c>
      <c r="F1832" t="s">
        <v>1</v>
      </c>
      <c r="G1832" s="6">
        <v>45776</v>
      </c>
      <c r="H1832">
        <v>47</v>
      </c>
      <c r="I1832">
        <f>ROUND(CompilDonnées[[#This Row],[CultureDuration_days]]/7,0)</f>
        <v>7</v>
      </c>
      <c r="J1832">
        <v>2778</v>
      </c>
      <c r="K1832" t="str">
        <f>_xlfn.CONCAT(WEEKNUM(CompilDonnées[[#This Row],[PlantationDate]]), " ", YEAR(CompilDonnées[[#This Row],[PlantationDate]]))</f>
        <v>11 2025</v>
      </c>
      <c r="L1832" t="str">
        <f>CONCATENATE(MONTH(CompilDonnées[[#This Row],[PlantationDate]])," ", YEAR(CompilDonnées[[#This Row],[PlantationDate]]))</f>
        <v>3 2025</v>
      </c>
      <c r="M1832" t="str">
        <f>CONCATENATE(MONTH(CompilDonnées[[#This Row],[HarvestingDate]])," ", YEAR(CompilDonnées[[#This Row],[HarvestingDate]]))</f>
        <v>4 2025</v>
      </c>
      <c r="N1832">
        <f>_xlfn.NUMBERVALUE(CompilDonnées[[#This Row],[FarmID]]&amp;CompilDonnées[[#This Row],[ModuleNumber]]&amp;CompilDonnées[[#This Row],[PlantationDate]])</f>
        <v>80345729</v>
      </c>
      <c r="O1832" t="str">
        <f>CompilDonnées[[#This Row],[FarmID]]&amp;CompilDonnées[[#This Row],[ModuleNumber]]</f>
        <v>803</v>
      </c>
      <c r="P1832" t="str">
        <f>CompilDonnées[[#This Row],[Ref_Module]]&amp;CompilDonnées[[#This Row],[HarvestingDate]]</f>
        <v>80345776</v>
      </c>
    </row>
    <row r="1833" spans="1:16">
      <c r="A1833" s="5">
        <v>45729</v>
      </c>
      <c r="B1833">
        <v>81</v>
      </c>
      <c r="C1833" t="s">
        <v>30</v>
      </c>
      <c r="D1833">
        <v>5</v>
      </c>
      <c r="E1833">
        <v>100</v>
      </c>
      <c r="F1833" t="s">
        <v>1</v>
      </c>
      <c r="G1833" s="6">
        <v>45776</v>
      </c>
      <c r="H1833">
        <v>47</v>
      </c>
      <c r="I1833">
        <f>ROUND(CompilDonnées[[#This Row],[CultureDuration_days]]/7,0)</f>
        <v>7</v>
      </c>
      <c r="J1833">
        <v>3269</v>
      </c>
      <c r="K1833" t="str">
        <f>_xlfn.CONCAT(WEEKNUM(CompilDonnées[[#This Row],[PlantationDate]]), " ", YEAR(CompilDonnées[[#This Row],[PlantationDate]]))</f>
        <v>11 2025</v>
      </c>
      <c r="L1833" t="str">
        <f>CONCATENATE(MONTH(CompilDonnées[[#This Row],[PlantationDate]])," ", YEAR(CompilDonnées[[#This Row],[PlantationDate]]))</f>
        <v>3 2025</v>
      </c>
      <c r="M1833" t="str">
        <f>CONCATENATE(MONTH(CompilDonnées[[#This Row],[HarvestingDate]])," ", YEAR(CompilDonnées[[#This Row],[HarvestingDate]]))</f>
        <v>4 2025</v>
      </c>
      <c r="N1833">
        <f>_xlfn.NUMBERVALUE(CompilDonnées[[#This Row],[FarmID]]&amp;CompilDonnées[[#This Row],[ModuleNumber]]&amp;CompilDonnées[[#This Row],[PlantationDate]])</f>
        <v>81545729</v>
      </c>
      <c r="O1833" t="str">
        <f>CompilDonnées[[#This Row],[FarmID]]&amp;CompilDonnées[[#This Row],[ModuleNumber]]</f>
        <v>815</v>
      </c>
      <c r="P1833" t="str">
        <f>CompilDonnées[[#This Row],[Ref_Module]]&amp;CompilDonnées[[#This Row],[HarvestingDate]]</f>
        <v>81545776</v>
      </c>
    </row>
    <row r="1834" spans="1:16">
      <c r="A1834" s="5">
        <v>45729</v>
      </c>
      <c r="B1834">
        <v>82</v>
      </c>
      <c r="C1834" t="s">
        <v>17</v>
      </c>
      <c r="D1834">
        <v>2</v>
      </c>
      <c r="E1834">
        <v>100</v>
      </c>
      <c r="F1834" t="s">
        <v>1</v>
      </c>
      <c r="G1834" s="6">
        <v>45770</v>
      </c>
      <c r="H1834">
        <v>41</v>
      </c>
      <c r="I1834">
        <f>ROUND(CompilDonnées[[#This Row],[CultureDuration_days]]/7,0)</f>
        <v>6</v>
      </c>
      <c r="J1834">
        <v>3626</v>
      </c>
      <c r="K1834" t="str">
        <f>_xlfn.CONCAT(WEEKNUM(CompilDonnées[[#This Row],[PlantationDate]]), " ", YEAR(CompilDonnées[[#This Row],[PlantationDate]]))</f>
        <v>11 2025</v>
      </c>
      <c r="L1834" t="str">
        <f>CONCATENATE(MONTH(CompilDonnées[[#This Row],[PlantationDate]])," ", YEAR(CompilDonnées[[#This Row],[PlantationDate]]))</f>
        <v>3 2025</v>
      </c>
      <c r="M1834" t="str">
        <f>CONCATENATE(MONTH(CompilDonnées[[#This Row],[HarvestingDate]])," ", YEAR(CompilDonnées[[#This Row],[HarvestingDate]]))</f>
        <v>4 2025</v>
      </c>
      <c r="N1834">
        <f>_xlfn.NUMBERVALUE(CompilDonnées[[#This Row],[FarmID]]&amp;CompilDonnées[[#This Row],[ModuleNumber]]&amp;CompilDonnées[[#This Row],[PlantationDate]])</f>
        <v>82245729</v>
      </c>
      <c r="O1834" t="str">
        <f>CompilDonnées[[#This Row],[FarmID]]&amp;CompilDonnées[[#This Row],[ModuleNumber]]</f>
        <v>822</v>
      </c>
      <c r="P1834" t="str">
        <f>CompilDonnées[[#This Row],[Ref_Module]]&amp;CompilDonnées[[#This Row],[HarvestingDate]]</f>
        <v>82245770</v>
      </c>
    </row>
    <row r="1835" spans="1:16">
      <c r="A1835" s="5">
        <v>45729</v>
      </c>
      <c r="B1835">
        <v>82</v>
      </c>
      <c r="C1835" t="s">
        <v>17</v>
      </c>
      <c r="D1835">
        <v>4</v>
      </c>
      <c r="E1835">
        <v>100</v>
      </c>
      <c r="F1835" t="s">
        <v>1</v>
      </c>
      <c r="G1835" s="6">
        <v>45770</v>
      </c>
      <c r="H1835">
        <v>41</v>
      </c>
      <c r="I1835">
        <f>ROUND(CompilDonnées[[#This Row],[CultureDuration_days]]/7,0)</f>
        <v>6</v>
      </c>
      <c r="J1835">
        <v>3710</v>
      </c>
      <c r="K1835" t="str">
        <f>_xlfn.CONCAT(WEEKNUM(CompilDonnées[[#This Row],[PlantationDate]]), " ", YEAR(CompilDonnées[[#This Row],[PlantationDate]]))</f>
        <v>11 2025</v>
      </c>
      <c r="L1835" t="str">
        <f>CONCATENATE(MONTH(CompilDonnées[[#This Row],[PlantationDate]])," ", YEAR(CompilDonnées[[#This Row],[PlantationDate]]))</f>
        <v>3 2025</v>
      </c>
      <c r="M1835" t="str">
        <f>CONCATENATE(MONTH(CompilDonnées[[#This Row],[HarvestingDate]])," ", YEAR(CompilDonnées[[#This Row],[HarvestingDate]]))</f>
        <v>4 2025</v>
      </c>
      <c r="N1835">
        <f>_xlfn.NUMBERVALUE(CompilDonnées[[#This Row],[FarmID]]&amp;CompilDonnées[[#This Row],[ModuleNumber]]&amp;CompilDonnées[[#This Row],[PlantationDate]])</f>
        <v>82445729</v>
      </c>
      <c r="O1835" t="str">
        <f>CompilDonnées[[#This Row],[FarmID]]&amp;CompilDonnées[[#This Row],[ModuleNumber]]</f>
        <v>824</v>
      </c>
      <c r="P1835" t="str">
        <f>CompilDonnées[[#This Row],[Ref_Module]]&amp;CompilDonnées[[#This Row],[HarvestingDate]]</f>
        <v>82445770</v>
      </c>
    </row>
    <row r="1836" spans="1:16">
      <c r="A1836" s="5">
        <v>45729</v>
      </c>
      <c r="B1836">
        <v>83</v>
      </c>
      <c r="C1836" t="s">
        <v>73</v>
      </c>
      <c r="D1836">
        <v>2</v>
      </c>
      <c r="E1836">
        <v>100</v>
      </c>
      <c r="F1836" t="s">
        <v>1</v>
      </c>
      <c r="G1836" s="6">
        <v>45771</v>
      </c>
      <c r="H1836">
        <v>42</v>
      </c>
      <c r="I1836">
        <f>ROUND(CompilDonnées[[#This Row],[CultureDuration_days]]/7,0)</f>
        <v>6</v>
      </c>
      <c r="J1836">
        <v>4005</v>
      </c>
      <c r="K1836" t="str">
        <f>_xlfn.CONCAT(WEEKNUM(CompilDonnées[[#This Row],[PlantationDate]]), " ", YEAR(CompilDonnées[[#This Row],[PlantationDate]]))</f>
        <v>11 2025</v>
      </c>
      <c r="L1836" t="str">
        <f>CONCATENATE(MONTH(CompilDonnées[[#This Row],[PlantationDate]])," ", YEAR(CompilDonnées[[#This Row],[PlantationDate]]))</f>
        <v>3 2025</v>
      </c>
      <c r="M1836" t="str">
        <f>CONCATENATE(MONTH(CompilDonnées[[#This Row],[HarvestingDate]])," ", YEAR(CompilDonnées[[#This Row],[HarvestingDate]]))</f>
        <v>4 2025</v>
      </c>
      <c r="N1836">
        <f>_xlfn.NUMBERVALUE(CompilDonnées[[#This Row],[FarmID]]&amp;CompilDonnées[[#This Row],[ModuleNumber]]&amp;CompilDonnées[[#This Row],[PlantationDate]])</f>
        <v>83245729</v>
      </c>
      <c r="O1836" t="str">
        <f>CompilDonnées[[#This Row],[FarmID]]&amp;CompilDonnées[[#This Row],[ModuleNumber]]</f>
        <v>832</v>
      </c>
      <c r="P1836" t="str">
        <f>CompilDonnées[[#This Row],[Ref_Module]]&amp;CompilDonnées[[#This Row],[HarvestingDate]]</f>
        <v>83245771</v>
      </c>
    </row>
    <row r="1837" spans="1:16">
      <c r="A1837" s="5">
        <v>45729</v>
      </c>
      <c r="B1837">
        <v>84</v>
      </c>
      <c r="C1837" t="s">
        <v>65</v>
      </c>
      <c r="D1837">
        <v>2</v>
      </c>
      <c r="E1837">
        <v>100</v>
      </c>
      <c r="F1837" t="s">
        <v>1</v>
      </c>
      <c r="G1837" s="6">
        <v>45771</v>
      </c>
      <c r="H1837">
        <v>42</v>
      </c>
      <c r="I1837">
        <f>ROUND(CompilDonnées[[#This Row],[CultureDuration_days]]/7,0)</f>
        <v>6</v>
      </c>
      <c r="J1837">
        <v>3933</v>
      </c>
      <c r="K1837" t="str">
        <f>_xlfn.CONCAT(WEEKNUM(CompilDonnées[[#This Row],[PlantationDate]]), " ", YEAR(CompilDonnées[[#This Row],[PlantationDate]]))</f>
        <v>11 2025</v>
      </c>
      <c r="L1837" t="str">
        <f>CONCATENATE(MONTH(CompilDonnées[[#This Row],[PlantationDate]])," ", YEAR(CompilDonnées[[#This Row],[PlantationDate]]))</f>
        <v>3 2025</v>
      </c>
      <c r="M1837" t="str">
        <f>CONCATENATE(MONTH(CompilDonnées[[#This Row],[HarvestingDate]])," ", YEAR(CompilDonnées[[#This Row],[HarvestingDate]]))</f>
        <v>4 2025</v>
      </c>
      <c r="N1837">
        <f>_xlfn.NUMBERVALUE(CompilDonnées[[#This Row],[FarmID]]&amp;CompilDonnées[[#This Row],[ModuleNumber]]&amp;CompilDonnées[[#This Row],[PlantationDate]])</f>
        <v>84245729</v>
      </c>
      <c r="O1837" t="str">
        <f>CompilDonnées[[#This Row],[FarmID]]&amp;CompilDonnées[[#This Row],[ModuleNumber]]</f>
        <v>842</v>
      </c>
      <c r="P1837" t="str">
        <f>CompilDonnées[[#This Row],[Ref_Module]]&amp;CompilDonnées[[#This Row],[HarvestingDate]]</f>
        <v>84245771</v>
      </c>
    </row>
    <row r="1838" spans="1:16">
      <c r="A1838" s="5">
        <v>45729</v>
      </c>
      <c r="B1838">
        <v>89</v>
      </c>
      <c r="C1838" t="s">
        <v>67</v>
      </c>
      <c r="D1838">
        <v>1</v>
      </c>
      <c r="E1838">
        <v>100</v>
      </c>
      <c r="F1838" t="s">
        <v>1</v>
      </c>
      <c r="G1838" s="6">
        <v>45770</v>
      </c>
      <c r="H1838">
        <v>41</v>
      </c>
      <c r="I1838">
        <f>ROUND(CompilDonnées[[#This Row],[CultureDuration_days]]/7,0)</f>
        <v>6</v>
      </c>
      <c r="J1838">
        <v>3226</v>
      </c>
      <c r="K1838" t="str">
        <f>_xlfn.CONCAT(WEEKNUM(CompilDonnées[[#This Row],[PlantationDate]]), " ", YEAR(CompilDonnées[[#This Row],[PlantationDate]]))</f>
        <v>11 2025</v>
      </c>
      <c r="L1838" t="str">
        <f>CONCATENATE(MONTH(CompilDonnées[[#This Row],[PlantationDate]])," ", YEAR(CompilDonnées[[#This Row],[PlantationDate]]))</f>
        <v>3 2025</v>
      </c>
      <c r="M1838" t="str">
        <f>CONCATENATE(MONTH(CompilDonnées[[#This Row],[HarvestingDate]])," ", YEAR(CompilDonnées[[#This Row],[HarvestingDate]]))</f>
        <v>4 2025</v>
      </c>
      <c r="N1838">
        <f>_xlfn.NUMBERVALUE(CompilDonnées[[#This Row],[FarmID]]&amp;CompilDonnées[[#This Row],[ModuleNumber]]&amp;CompilDonnées[[#This Row],[PlantationDate]])</f>
        <v>89145729</v>
      </c>
      <c r="O1838" t="str">
        <f>CompilDonnées[[#This Row],[FarmID]]&amp;CompilDonnées[[#This Row],[ModuleNumber]]</f>
        <v>891</v>
      </c>
      <c r="P1838" t="str">
        <f>CompilDonnées[[#This Row],[Ref_Module]]&amp;CompilDonnées[[#This Row],[HarvestingDate]]</f>
        <v>89145770</v>
      </c>
    </row>
    <row r="1839" spans="1:16">
      <c r="A1839" s="5">
        <v>45729</v>
      </c>
      <c r="B1839">
        <v>89</v>
      </c>
      <c r="C1839" t="s">
        <v>67</v>
      </c>
      <c r="D1839">
        <v>2</v>
      </c>
      <c r="E1839">
        <v>100</v>
      </c>
      <c r="F1839" t="s">
        <v>1</v>
      </c>
      <c r="G1839" s="6">
        <v>45770</v>
      </c>
      <c r="H1839">
        <v>41</v>
      </c>
      <c r="I1839">
        <f>ROUND(CompilDonnées[[#This Row],[CultureDuration_days]]/7,0)</f>
        <v>6</v>
      </c>
      <c r="J1839">
        <v>3320</v>
      </c>
      <c r="K1839" t="str">
        <f>_xlfn.CONCAT(WEEKNUM(CompilDonnées[[#This Row],[PlantationDate]]), " ", YEAR(CompilDonnées[[#This Row],[PlantationDate]]))</f>
        <v>11 2025</v>
      </c>
      <c r="L1839" t="str">
        <f>CONCATENATE(MONTH(CompilDonnées[[#This Row],[PlantationDate]])," ", YEAR(CompilDonnées[[#This Row],[PlantationDate]]))</f>
        <v>3 2025</v>
      </c>
      <c r="M1839" t="str">
        <f>CONCATENATE(MONTH(CompilDonnées[[#This Row],[HarvestingDate]])," ", YEAR(CompilDonnées[[#This Row],[HarvestingDate]]))</f>
        <v>4 2025</v>
      </c>
      <c r="N1839">
        <f>_xlfn.NUMBERVALUE(CompilDonnées[[#This Row],[FarmID]]&amp;CompilDonnées[[#This Row],[ModuleNumber]]&amp;CompilDonnées[[#This Row],[PlantationDate]])</f>
        <v>89245729</v>
      </c>
      <c r="O1839" t="str">
        <f>CompilDonnées[[#This Row],[FarmID]]&amp;CompilDonnées[[#This Row],[ModuleNumber]]</f>
        <v>892</v>
      </c>
      <c r="P1839" t="str">
        <f>CompilDonnées[[#This Row],[Ref_Module]]&amp;CompilDonnées[[#This Row],[HarvestingDate]]</f>
        <v>89245770</v>
      </c>
    </row>
    <row r="1840" spans="1:16">
      <c r="A1840" s="5">
        <v>45729</v>
      </c>
      <c r="B1840">
        <v>90</v>
      </c>
      <c r="C1840" t="s">
        <v>72</v>
      </c>
      <c r="D1840">
        <v>1</v>
      </c>
      <c r="E1840">
        <v>100</v>
      </c>
      <c r="F1840" t="s">
        <v>1</v>
      </c>
      <c r="G1840" s="6">
        <v>45770</v>
      </c>
      <c r="H1840">
        <v>41</v>
      </c>
      <c r="I1840">
        <f>ROUND(CompilDonnées[[#This Row],[CultureDuration_days]]/7,0)</f>
        <v>6</v>
      </c>
      <c r="J1840">
        <v>2862</v>
      </c>
      <c r="K1840" t="str">
        <f>_xlfn.CONCAT(WEEKNUM(CompilDonnées[[#This Row],[PlantationDate]]), " ", YEAR(CompilDonnées[[#This Row],[PlantationDate]]))</f>
        <v>11 2025</v>
      </c>
      <c r="L1840" t="str">
        <f>CONCATENATE(MONTH(CompilDonnées[[#This Row],[PlantationDate]])," ", YEAR(CompilDonnées[[#This Row],[PlantationDate]]))</f>
        <v>3 2025</v>
      </c>
      <c r="M1840" t="str">
        <f>CONCATENATE(MONTH(CompilDonnées[[#This Row],[HarvestingDate]])," ", YEAR(CompilDonnées[[#This Row],[HarvestingDate]]))</f>
        <v>4 2025</v>
      </c>
      <c r="N1840">
        <f>_xlfn.NUMBERVALUE(CompilDonnées[[#This Row],[FarmID]]&amp;CompilDonnées[[#This Row],[ModuleNumber]]&amp;CompilDonnées[[#This Row],[PlantationDate]])</f>
        <v>90145729</v>
      </c>
      <c r="O1840" t="str">
        <f>CompilDonnées[[#This Row],[FarmID]]&amp;CompilDonnées[[#This Row],[ModuleNumber]]</f>
        <v>901</v>
      </c>
      <c r="P1840" t="str">
        <f>CompilDonnées[[#This Row],[Ref_Module]]&amp;CompilDonnées[[#This Row],[HarvestingDate]]</f>
        <v>90145770</v>
      </c>
    </row>
    <row r="1841" spans="1:16">
      <c r="A1841" s="5">
        <v>45729</v>
      </c>
      <c r="B1841">
        <v>94</v>
      </c>
      <c r="C1841" t="s">
        <v>40</v>
      </c>
      <c r="D1841">
        <v>1</v>
      </c>
      <c r="E1841">
        <v>100</v>
      </c>
      <c r="F1841" t="s">
        <v>1</v>
      </c>
      <c r="G1841" s="6">
        <v>45771</v>
      </c>
      <c r="H1841">
        <v>42</v>
      </c>
      <c r="I1841">
        <f>ROUND(CompilDonnées[[#This Row],[CultureDuration_days]]/7,0)</f>
        <v>6</v>
      </c>
      <c r="J1841">
        <v>3148</v>
      </c>
      <c r="K1841" t="str">
        <f>_xlfn.CONCAT(WEEKNUM(CompilDonnées[[#This Row],[PlantationDate]]), " ", YEAR(CompilDonnées[[#This Row],[PlantationDate]]))</f>
        <v>11 2025</v>
      </c>
      <c r="L1841" t="str">
        <f>CONCATENATE(MONTH(CompilDonnées[[#This Row],[PlantationDate]])," ", YEAR(CompilDonnées[[#This Row],[PlantationDate]]))</f>
        <v>3 2025</v>
      </c>
      <c r="M1841" t="str">
        <f>CONCATENATE(MONTH(CompilDonnées[[#This Row],[HarvestingDate]])," ", YEAR(CompilDonnées[[#This Row],[HarvestingDate]]))</f>
        <v>4 2025</v>
      </c>
      <c r="N1841">
        <f>_xlfn.NUMBERVALUE(CompilDonnées[[#This Row],[FarmID]]&amp;CompilDonnées[[#This Row],[ModuleNumber]]&amp;CompilDonnées[[#This Row],[PlantationDate]])</f>
        <v>94145729</v>
      </c>
      <c r="O1841" t="str">
        <f>CompilDonnées[[#This Row],[FarmID]]&amp;CompilDonnées[[#This Row],[ModuleNumber]]</f>
        <v>941</v>
      </c>
      <c r="P1841" t="str">
        <f>CompilDonnées[[#This Row],[Ref_Module]]&amp;CompilDonnées[[#This Row],[HarvestingDate]]</f>
        <v>94145771</v>
      </c>
    </row>
    <row r="1842" spans="1:16">
      <c r="A1842" s="5">
        <v>45729</v>
      </c>
      <c r="B1842">
        <v>94</v>
      </c>
      <c r="C1842" t="s">
        <v>40</v>
      </c>
      <c r="D1842">
        <v>2</v>
      </c>
      <c r="E1842">
        <v>100</v>
      </c>
      <c r="F1842" t="s">
        <v>1</v>
      </c>
      <c r="G1842" s="6">
        <v>45771</v>
      </c>
      <c r="H1842">
        <v>42</v>
      </c>
      <c r="I1842">
        <f>ROUND(CompilDonnées[[#This Row],[CultureDuration_days]]/7,0)</f>
        <v>6</v>
      </c>
      <c r="J1842">
        <v>3169</v>
      </c>
      <c r="K1842" t="str">
        <f>_xlfn.CONCAT(WEEKNUM(CompilDonnées[[#This Row],[PlantationDate]]), " ", YEAR(CompilDonnées[[#This Row],[PlantationDate]]))</f>
        <v>11 2025</v>
      </c>
      <c r="L1842" t="str">
        <f>CONCATENATE(MONTH(CompilDonnées[[#This Row],[PlantationDate]])," ", YEAR(CompilDonnées[[#This Row],[PlantationDate]]))</f>
        <v>3 2025</v>
      </c>
      <c r="M1842" t="str">
        <f>CONCATENATE(MONTH(CompilDonnées[[#This Row],[HarvestingDate]])," ", YEAR(CompilDonnées[[#This Row],[HarvestingDate]]))</f>
        <v>4 2025</v>
      </c>
      <c r="N1842">
        <f>_xlfn.NUMBERVALUE(CompilDonnées[[#This Row],[FarmID]]&amp;CompilDonnées[[#This Row],[ModuleNumber]]&amp;CompilDonnées[[#This Row],[PlantationDate]])</f>
        <v>94245729</v>
      </c>
      <c r="O1842" t="str">
        <f>CompilDonnées[[#This Row],[FarmID]]&amp;CompilDonnées[[#This Row],[ModuleNumber]]</f>
        <v>942</v>
      </c>
      <c r="P1842" t="str">
        <f>CompilDonnées[[#This Row],[Ref_Module]]&amp;CompilDonnées[[#This Row],[HarvestingDate]]</f>
        <v>94245771</v>
      </c>
    </row>
    <row r="1843" spans="1:16">
      <c r="A1843" s="5">
        <v>45729</v>
      </c>
      <c r="B1843">
        <v>95</v>
      </c>
      <c r="C1843" t="s">
        <v>90</v>
      </c>
      <c r="D1843">
        <v>5</v>
      </c>
      <c r="E1843">
        <v>100</v>
      </c>
      <c r="F1843" t="s">
        <v>1</v>
      </c>
      <c r="G1843" s="6">
        <v>45771</v>
      </c>
      <c r="H1843">
        <v>42</v>
      </c>
      <c r="I1843">
        <f>ROUND(CompilDonnées[[#This Row],[CultureDuration_days]]/7,0)</f>
        <v>6</v>
      </c>
      <c r="J1843">
        <v>2870</v>
      </c>
      <c r="K1843" t="str">
        <f>_xlfn.CONCAT(WEEKNUM(CompilDonnées[[#This Row],[PlantationDate]]), " ", YEAR(CompilDonnées[[#This Row],[PlantationDate]]))</f>
        <v>11 2025</v>
      </c>
      <c r="L1843" t="str">
        <f>CONCATENATE(MONTH(CompilDonnées[[#This Row],[PlantationDate]])," ", YEAR(CompilDonnées[[#This Row],[PlantationDate]]))</f>
        <v>3 2025</v>
      </c>
      <c r="M1843" t="str">
        <f>CONCATENATE(MONTH(CompilDonnées[[#This Row],[HarvestingDate]])," ", YEAR(CompilDonnées[[#This Row],[HarvestingDate]]))</f>
        <v>4 2025</v>
      </c>
      <c r="N1843">
        <f>_xlfn.NUMBERVALUE(CompilDonnées[[#This Row],[FarmID]]&amp;CompilDonnées[[#This Row],[ModuleNumber]]&amp;CompilDonnées[[#This Row],[PlantationDate]])</f>
        <v>95545729</v>
      </c>
      <c r="O1843" t="str">
        <f>CompilDonnées[[#This Row],[FarmID]]&amp;CompilDonnées[[#This Row],[ModuleNumber]]</f>
        <v>955</v>
      </c>
      <c r="P1843" t="str">
        <f>CompilDonnées[[#This Row],[Ref_Module]]&amp;CompilDonnées[[#This Row],[HarvestingDate]]</f>
        <v>95545771</v>
      </c>
    </row>
    <row r="1844" spans="1:16">
      <c r="A1844" s="5">
        <v>45729</v>
      </c>
      <c r="B1844">
        <v>95</v>
      </c>
      <c r="C1844" t="s">
        <v>90</v>
      </c>
      <c r="D1844">
        <v>6</v>
      </c>
      <c r="E1844">
        <v>100</v>
      </c>
      <c r="F1844" t="s">
        <v>1</v>
      </c>
      <c r="G1844" s="6">
        <v>45771</v>
      </c>
      <c r="H1844">
        <v>42</v>
      </c>
      <c r="I1844">
        <f>ROUND(CompilDonnées[[#This Row],[CultureDuration_days]]/7,0)</f>
        <v>6</v>
      </c>
      <c r="J1844">
        <v>3048</v>
      </c>
      <c r="K1844" t="str">
        <f>_xlfn.CONCAT(WEEKNUM(CompilDonnées[[#This Row],[PlantationDate]]), " ", YEAR(CompilDonnées[[#This Row],[PlantationDate]]))</f>
        <v>11 2025</v>
      </c>
      <c r="L1844" t="str">
        <f>CONCATENATE(MONTH(CompilDonnées[[#This Row],[PlantationDate]])," ", YEAR(CompilDonnées[[#This Row],[PlantationDate]]))</f>
        <v>3 2025</v>
      </c>
      <c r="M1844" t="str">
        <f>CONCATENATE(MONTH(CompilDonnées[[#This Row],[HarvestingDate]])," ", YEAR(CompilDonnées[[#This Row],[HarvestingDate]]))</f>
        <v>4 2025</v>
      </c>
      <c r="N1844">
        <f>_xlfn.NUMBERVALUE(CompilDonnées[[#This Row],[FarmID]]&amp;CompilDonnées[[#This Row],[ModuleNumber]]&amp;CompilDonnées[[#This Row],[PlantationDate]])</f>
        <v>95645729</v>
      </c>
      <c r="O1844" t="str">
        <f>CompilDonnées[[#This Row],[FarmID]]&amp;CompilDonnées[[#This Row],[ModuleNumber]]</f>
        <v>956</v>
      </c>
      <c r="P1844" t="str">
        <f>CompilDonnées[[#This Row],[Ref_Module]]&amp;CompilDonnées[[#This Row],[HarvestingDate]]</f>
        <v>95645771</v>
      </c>
    </row>
    <row r="1845" spans="1:16">
      <c r="A1845" s="5">
        <v>45729</v>
      </c>
      <c r="B1845">
        <v>142</v>
      </c>
      <c r="C1845" t="s">
        <v>3</v>
      </c>
      <c r="D1845">
        <v>4</v>
      </c>
      <c r="E1845">
        <v>60</v>
      </c>
      <c r="F1845" t="s">
        <v>105</v>
      </c>
      <c r="G1845" s="6">
        <v>45776</v>
      </c>
      <c r="H1845">
        <v>47</v>
      </c>
      <c r="I1845">
        <f>ROUND(CompilDonnées[[#This Row],[CultureDuration_days]]/7,0)</f>
        <v>7</v>
      </c>
      <c r="J1845">
        <v>808</v>
      </c>
      <c r="K1845" t="str">
        <f>_xlfn.CONCAT(WEEKNUM(CompilDonnées[[#This Row],[PlantationDate]]), " ", YEAR(CompilDonnées[[#This Row],[PlantationDate]]))</f>
        <v>11 2025</v>
      </c>
      <c r="L1845" t="str">
        <f>CONCATENATE(MONTH(CompilDonnées[[#This Row],[PlantationDate]])," ", YEAR(CompilDonnées[[#This Row],[PlantationDate]]))</f>
        <v>3 2025</v>
      </c>
      <c r="M1845" t="str">
        <f>CONCATENATE(MONTH(CompilDonnées[[#This Row],[HarvestingDate]])," ", YEAR(CompilDonnées[[#This Row],[HarvestingDate]]))</f>
        <v>4 2025</v>
      </c>
      <c r="N1845">
        <f>_xlfn.NUMBERVALUE(CompilDonnées[[#This Row],[FarmID]]&amp;CompilDonnées[[#This Row],[ModuleNumber]]&amp;CompilDonnées[[#This Row],[PlantationDate]])</f>
        <v>142445729</v>
      </c>
      <c r="O1845" t="str">
        <f>CompilDonnées[[#This Row],[FarmID]]&amp;CompilDonnées[[#This Row],[ModuleNumber]]</f>
        <v>1424</v>
      </c>
      <c r="P1845" t="str">
        <f>CompilDonnées[[#This Row],[Ref_Module]]&amp;CompilDonnées[[#This Row],[HarvestingDate]]</f>
        <v>142445776</v>
      </c>
    </row>
    <row r="1846" spans="1:16">
      <c r="A1846" s="5">
        <v>45729</v>
      </c>
      <c r="B1846">
        <v>142</v>
      </c>
      <c r="C1846" t="s">
        <v>3</v>
      </c>
      <c r="D1846">
        <v>5</v>
      </c>
      <c r="E1846">
        <v>60</v>
      </c>
      <c r="F1846" t="s">
        <v>105</v>
      </c>
      <c r="G1846" s="6">
        <v>45776</v>
      </c>
      <c r="H1846">
        <v>47</v>
      </c>
      <c r="I1846">
        <f>ROUND(CompilDonnées[[#This Row],[CultureDuration_days]]/7,0)</f>
        <v>7</v>
      </c>
      <c r="J1846">
        <v>908</v>
      </c>
      <c r="K1846" t="str">
        <f>_xlfn.CONCAT(WEEKNUM(CompilDonnées[[#This Row],[PlantationDate]]), " ", YEAR(CompilDonnées[[#This Row],[PlantationDate]]))</f>
        <v>11 2025</v>
      </c>
      <c r="L1846" t="str">
        <f>CONCATENATE(MONTH(CompilDonnées[[#This Row],[PlantationDate]])," ", YEAR(CompilDonnées[[#This Row],[PlantationDate]]))</f>
        <v>3 2025</v>
      </c>
      <c r="M1846" t="str">
        <f>CONCATENATE(MONTH(CompilDonnées[[#This Row],[HarvestingDate]])," ", YEAR(CompilDonnées[[#This Row],[HarvestingDate]]))</f>
        <v>4 2025</v>
      </c>
      <c r="N1846">
        <f>_xlfn.NUMBERVALUE(CompilDonnées[[#This Row],[FarmID]]&amp;CompilDonnées[[#This Row],[ModuleNumber]]&amp;CompilDonnées[[#This Row],[PlantationDate]])</f>
        <v>142545729</v>
      </c>
      <c r="O1846" t="str">
        <f>CompilDonnées[[#This Row],[FarmID]]&amp;CompilDonnées[[#This Row],[ModuleNumber]]</f>
        <v>1425</v>
      </c>
      <c r="P1846" t="str">
        <f>CompilDonnées[[#This Row],[Ref_Module]]&amp;CompilDonnées[[#This Row],[HarvestingDate]]</f>
        <v>142545776</v>
      </c>
    </row>
    <row r="1847" spans="1:16">
      <c r="A1847" s="5">
        <v>45729</v>
      </c>
      <c r="B1847">
        <v>142</v>
      </c>
      <c r="C1847" t="s">
        <v>3</v>
      </c>
      <c r="D1847">
        <v>6</v>
      </c>
      <c r="E1847">
        <v>60</v>
      </c>
      <c r="F1847" t="s">
        <v>105</v>
      </c>
      <c r="G1847" s="6">
        <v>45776</v>
      </c>
      <c r="H1847">
        <v>47</v>
      </c>
      <c r="I1847">
        <f>ROUND(CompilDonnées[[#This Row],[CultureDuration_days]]/7,0)</f>
        <v>7</v>
      </c>
      <c r="J1847">
        <v>816</v>
      </c>
      <c r="K1847" t="str">
        <f>_xlfn.CONCAT(WEEKNUM(CompilDonnées[[#This Row],[PlantationDate]]), " ", YEAR(CompilDonnées[[#This Row],[PlantationDate]]))</f>
        <v>11 2025</v>
      </c>
      <c r="L1847" t="str">
        <f>CONCATENATE(MONTH(CompilDonnées[[#This Row],[PlantationDate]])," ", YEAR(CompilDonnées[[#This Row],[PlantationDate]]))</f>
        <v>3 2025</v>
      </c>
      <c r="M1847" t="str">
        <f>CONCATENATE(MONTH(CompilDonnées[[#This Row],[HarvestingDate]])," ", YEAR(CompilDonnées[[#This Row],[HarvestingDate]]))</f>
        <v>4 2025</v>
      </c>
      <c r="N1847">
        <f>_xlfn.NUMBERVALUE(CompilDonnées[[#This Row],[FarmID]]&amp;CompilDonnées[[#This Row],[ModuleNumber]]&amp;CompilDonnées[[#This Row],[PlantationDate]])</f>
        <v>142645729</v>
      </c>
      <c r="O1847" t="str">
        <f>CompilDonnées[[#This Row],[FarmID]]&amp;CompilDonnées[[#This Row],[ModuleNumber]]</f>
        <v>1426</v>
      </c>
      <c r="P1847" t="str">
        <f>CompilDonnées[[#This Row],[Ref_Module]]&amp;CompilDonnées[[#This Row],[HarvestingDate]]</f>
        <v>142645776</v>
      </c>
    </row>
    <row r="1848" spans="1:16">
      <c r="A1848" s="5">
        <v>45729</v>
      </c>
      <c r="B1848">
        <v>144</v>
      </c>
      <c r="C1848" t="s">
        <v>3</v>
      </c>
      <c r="D1848">
        <v>1</v>
      </c>
      <c r="E1848">
        <v>60</v>
      </c>
      <c r="F1848" t="s">
        <v>105</v>
      </c>
      <c r="G1848" s="6">
        <v>45775</v>
      </c>
      <c r="H1848">
        <v>46</v>
      </c>
      <c r="I1848">
        <f>ROUND(CompilDonnées[[#This Row],[CultureDuration_days]]/7,0)</f>
        <v>7</v>
      </c>
      <c r="J1848">
        <v>1242</v>
      </c>
      <c r="K1848" t="str">
        <f>_xlfn.CONCAT(WEEKNUM(CompilDonnées[[#This Row],[PlantationDate]]), " ", YEAR(CompilDonnées[[#This Row],[PlantationDate]]))</f>
        <v>11 2025</v>
      </c>
      <c r="L1848" t="str">
        <f>CONCATENATE(MONTH(CompilDonnées[[#This Row],[PlantationDate]])," ", YEAR(CompilDonnées[[#This Row],[PlantationDate]]))</f>
        <v>3 2025</v>
      </c>
      <c r="M1848" t="str">
        <f>CONCATENATE(MONTH(CompilDonnées[[#This Row],[HarvestingDate]])," ", YEAR(CompilDonnées[[#This Row],[HarvestingDate]]))</f>
        <v>4 2025</v>
      </c>
      <c r="N1848">
        <f>_xlfn.NUMBERVALUE(CompilDonnées[[#This Row],[FarmID]]&amp;CompilDonnées[[#This Row],[ModuleNumber]]&amp;CompilDonnées[[#This Row],[PlantationDate]])</f>
        <v>144145729</v>
      </c>
      <c r="O1848" t="str">
        <f>CompilDonnées[[#This Row],[FarmID]]&amp;CompilDonnées[[#This Row],[ModuleNumber]]</f>
        <v>1441</v>
      </c>
      <c r="P1848" t="str">
        <f>CompilDonnées[[#This Row],[Ref_Module]]&amp;CompilDonnées[[#This Row],[HarvestingDate]]</f>
        <v>144145775</v>
      </c>
    </row>
    <row r="1849" spans="1:16">
      <c r="A1849" s="5">
        <v>45729</v>
      </c>
      <c r="B1849">
        <v>39</v>
      </c>
      <c r="C1849" t="s">
        <v>81</v>
      </c>
      <c r="D1849">
        <v>5</v>
      </c>
      <c r="E1849">
        <v>100</v>
      </c>
      <c r="F1849" t="s">
        <v>1</v>
      </c>
      <c r="G1849" s="6">
        <v>45777</v>
      </c>
      <c r="H1849">
        <v>48</v>
      </c>
      <c r="I1849">
        <f>ROUND(CompilDonnées[[#This Row],[CultureDuration_days]]/7,0)</f>
        <v>7</v>
      </c>
      <c r="J1849">
        <v>2144</v>
      </c>
      <c r="K1849" t="str">
        <f>_xlfn.CONCAT(WEEKNUM(CompilDonnées[[#This Row],[PlantationDate]]), " ", YEAR(CompilDonnées[[#This Row],[PlantationDate]]))</f>
        <v>11 2025</v>
      </c>
      <c r="L1849" t="str">
        <f>CONCATENATE(MONTH(CompilDonnées[[#This Row],[PlantationDate]])," ", YEAR(CompilDonnées[[#This Row],[PlantationDate]]))</f>
        <v>3 2025</v>
      </c>
      <c r="M1849" t="str">
        <f>CONCATENATE(MONTH(CompilDonnées[[#This Row],[HarvestingDate]])," ", YEAR(CompilDonnées[[#This Row],[HarvestingDate]]))</f>
        <v>4 2025</v>
      </c>
      <c r="N1849">
        <f>_xlfn.NUMBERVALUE(CompilDonnées[[#This Row],[FarmID]]&amp;CompilDonnées[[#This Row],[ModuleNumber]]&amp;CompilDonnées[[#This Row],[PlantationDate]])</f>
        <v>39545729</v>
      </c>
      <c r="O1849" t="str">
        <f>CompilDonnées[[#This Row],[FarmID]]&amp;CompilDonnées[[#This Row],[ModuleNumber]]</f>
        <v>395</v>
      </c>
      <c r="P1849" t="str">
        <f>CompilDonnées[[#This Row],[Ref_Module]]&amp;CompilDonnées[[#This Row],[HarvestingDate]]</f>
        <v>39545777</v>
      </c>
    </row>
    <row r="1850" spans="1:16">
      <c r="A1850" s="5">
        <v>45730</v>
      </c>
      <c r="B1850">
        <v>69</v>
      </c>
      <c r="C1850" t="s">
        <v>102</v>
      </c>
      <c r="D1850">
        <v>1</v>
      </c>
      <c r="E1850">
        <v>100</v>
      </c>
      <c r="F1850" t="s">
        <v>1</v>
      </c>
      <c r="G1850" s="6">
        <v>45777</v>
      </c>
      <c r="H1850">
        <v>47</v>
      </c>
      <c r="I1850">
        <f>ROUND(CompilDonnées[[#This Row],[CultureDuration_days]]/7,0)</f>
        <v>7</v>
      </c>
      <c r="J1850">
        <v>2091</v>
      </c>
      <c r="K1850" t="str">
        <f>_xlfn.CONCAT(WEEKNUM(CompilDonnées[[#This Row],[PlantationDate]]), " ", YEAR(CompilDonnées[[#This Row],[PlantationDate]]))</f>
        <v>11 2025</v>
      </c>
      <c r="L1850" t="str">
        <f>CONCATENATE(MONTH(CompilDonnées[[#This Row],[PlantationDate]])," ", YEAR(CompilDonnées[[#This Row],[PlantationDate]]))</f>
        <v>3 2025</v>
      </c>
      <c r="M1850" t="str">
        <f>CONCATENATE(MONTH(CompilDonnées[[#This Row],[HarvestingDate]])," ", YEAR(CompilDonnées[[#This Row],[HarvestingDate]]))</f>
        <v>4 2025</v>
      </c>
      <c r="N1850">
        <f>_xlfn.NUMBERVALUE(CompilDonnées[[#This Row],[FarmID]]&amp;CompilDonnées[[#This Row],[ModuleNumber]]&amp;CompilDonnées[[#This Row],[PlantationDate]])</f>
        <v>69145730</v>
      </c>
      <c r="O1850" t="str">
        <f>CompilDonnées[[#This Row],[FarmID]]&amp;CompilDonnées[[#This Row],[ModuleNumber]]</f>
        <v>691</v>
      </c>
      <c r="P1850" t="str">
        <f>CompilDonnées[[#This Row],[Ref_Module]]&amp;CompilDonnées[[#This Row],[HarvestingDate]]</f>
        <v>69145777</v>
      </c>
    </row>
    <row r="1851" spans="1:16">
      <c r="A1851" s="5">
        <v>45730</v>
      </c>
      <c r="B1851">
        <v>79</v>
      </c>
      <c r="C1851" t="s">
        <v>61</v>
      </c>
      <c r="D1851">
        <v>4</v>
      </c>
      <c r="E1851">
        <v>100</v>
      </c>
      <c r="F1851" t="s">
        <v>1</v>
      </c>
      <c r="G1851" s="6">
        <v>45776</v>
      </c>
      <c r="H1851">
        <v>46</v>
      </c>
      <c r="I1851">
        <f>ROUND(CompilDonnées[[#This Row],[CultureDuration_days]]/7,0)</f>
        <v>7</v>
      </c>
      <c r="J1851">
        <v>2928</v>
      </c>
      <c r="K1851" t="str">
        <f>_xlfn.CONCAT(WEEKNUM(CompilDonnées[[#This Row],[PlantationDate]]), " ", YEAR(CompilDonnées[[#This Row],[PlantationDate]]))</f>
        <v>11 2025</v>
      </c>
      <c r="L1851" t="str">
        <f>CONCATENATE(MONTH(CompilDonnées[[#This Row],[PlantationDate]])," ", YEAR(CompilDonnées[[#This Row],[PlantationDate]]))</f>
        <v>3 2025</v>
      </c>
      <c r="M1851" t="str">
        <f>CONCATENATE(MONTH(CompilDonnées[[#This Row],[HarvestingDate]])," ", YEAR(CompilDonnées[[#This Row],[HarvestingDate]]))</f>
        <v>4 2025</v>
      </c>
      <c r="N1851">
        <f>_xlfn.NUMBERVALUE(CompilDonnées[[#This Row],[FarmID]]&amp;CompilDonnées[[#This Row],[ModuleNumber]]&amp;CompilDonnées[[#This Row],[PlantationDate]])</f>
        <v>79445730</v>
      </c>
      <c r="O1851" t="str">
        <f>CompilDonnées[[#This Row],[FarmID]]&amp;CompilDonnées[[#This Row],[ModuleNumber]]</f>
        <v>794</v>
      </c>
      <c r="P1851" t="str">
        <f>CompilDonnées[[#This Row],[Ref_Module]]&amp;CompilDonnées[[#This Row],[HarvestingDate]]</f>
        <v>79445776</v>
      </c>
    </row>
    <row r="1852" spans="1:16">
      <c r="A1852" s="5">
        <v>45730</v>
      </c>
      <c r="B1852">
        <v>85</v>
      </c>
      <c r="C1852" t="s">
        <v>56</v>
      </c>
      <c r="D1852">
        <v>2</v>
      </c>
      <c r="E1852">
        <v>100</v>
      </c>
      <c r="F1852" t="s">
        <v>1</v>
      </c>
      <c r="G1852" s="6">
        <v>45776</v>
      </c>
      <c r="H1852">
        <v>46</v>
      </c>
      <c r="I1852">
        <f>ROUND(CompilDonnées[[#This Row],[CultureDuration_days]]/7,0)</f>
        <v>7</v>
      </c>
      <c r="J1852">
        <v>2179</v>
      </c>
      <c r="K1852" t="str">
        <f>_xlfn.CONCAT(WEEKNUM(CompilDonnées[[#This Row],[PlantationDate]]), " ", YEAR(CompilDonnées[[#This Row],[PlantationDate]]))</f>
        <v>11 2025</v>
      </c>
      <c r="L1852" t="str">
        <f>CONCATENATE(MONTH(CompilDonnées[[#This Row],[PlantationDate]])," ", YEAR(CompilDonnées[[#This Row],[PlantationDate]]))</f>
        <v>3 2025</v>
      </c>
      <c r="M1852" t="str">
        <f>CONCATENATE(MONTH(CompilDonnées[[#This Row],[HarvestingDate]])," ", YEAR(CompilDonnées[[#This Row],[HarvestingDate]]))</f>
        <v>4 2025</v>
      </c>
      <c r="N1852">
        <f>_xlfn.NUMBERVALUE(CompilDonnées[[#This Row],[FarmID]]&amp;CompilDonnées[[#This Row],[ModuleNumber]]&amp;CompilDonnées[[#This Row],[PlantationDate]])</f>
        <v>85245730</v>
      </c>
      <c r="O1852" t="str">
        <f>CompilDonnées[[#This Row],[FarmID]]&amp;CompilDonnées[[#This Row],[ModuleNumber]]</f>
        <v>852</v>
      </c>
      <c r="P1852" t="str">
        <f>CompilDonnées[[#This Row],[Ref_Module]]&amp;CompilDonnées[[#This Row],[HarvestingDate]]</f>
        <v>85245776</v>
      </c>
    </row>
    <row r="1853" spans="1:16">
      <c r="A1853" s="5">
        <v>45730</v>
      </c>
      <c r="B1853">
        <v>86</v>
      </c>
      <c r="C1853" t="s">
        <v>37</v>
      </c>
      <c r="D1853">
        <v>1</v>
      </c>
      <c r="E1853">
        <v>100</v>
      </c>
      <c r="F1853" t="s">
        <v>1</v>
      </c>
      <c r="G1853" s="6">
        <v>45776</v>
      </c>
      <c r="H1853">
        <v>46</v>
      </c>
      <c r="I1853">
        <f>ROUND(CompilDonnées[[#This Row],[CultureDuration_days]]/7,0)</f>
        <v>7</v>
      </c>
      <c r="J1853">
        <v>2170</v>
      </c>
      <c r="K1853" t="str">
        <f>_xlfn.CONCAT(WEEKNUM(CompilDonnées[[#This Row],[PlantationDate]]), " ", YEAR(CompilDonnées[[#This Row],[PlantationDate]]))</f>
        <v>11 2025</v>
      </c>
      <c r="L1853" t="str">
        <f>CONCATENATE(MONTH(CompilDonnées[[#This Row],[PlantationDate]])," ", YEAR(CompilDonnées[[#This Row],[PlantationDate]]))</f>
        <v>3 2025</v>
      </c>
      <c r="M1853" t="str">
        <f>CONCATENATE(MONTH(CompilDonnées[[#This Row],[HarvestingDate]])," ", YEAR(CompilDonnées[[#This Row],[HarvestingDate]]))</f>
        <v>4 2025</v>
      </c>
      <c r="N1853">
        <f>_xlfn.NUMBERVALUE(CompilDonnées[[#This Row],[FarmID]]&amp;CompilDonnées[[#This Row],[ModuleNumber]]&amp;CompilDonnées[[#This Row],[PlantationDate]])</f>
        <v>86145730</v>
      </c>
      <c r="O1853" t="str">
        <f>CompilDonnées[[#This Row],[FarmID]]&amp;CompilDonnées[[#This Row],[ModuleNumber]]</f>
        <v>861</v>
      </c>
      <c r="P1853" t="str">
        <f>CompilDonnées[[#This Row],[Ref_Module]]&amp;CompilDonnées[[#This Row],[HarvestingDate]]</f>
        <v>86145776</v>
      </c>
    </row>
    <row r="1854" spans="1:16">
      <c r="A1854" s="5">
        <v>45730</v>
      </c>
      <c r="B1854">
        <v>87</v>
      </c>
      <c r="C1854" t="s">
        <v>38</v>
      </c>
      <c r="D1854">
        <v>4</v>
      </c>
      <c r="E1854">
        <v>100</v>
      </c>
      <c r="F1854" t="s">
        <v>1</v>
      </c>
      <c r="G1854" s="6">
        <v>45771</v>
      </c>
      <c r="H1854">
        <v>41</v>
      </c>
      <c r="I1854">
        <f>ROUND(CompilDonnées[[#This Row],[CultureDuration_days]]/7,0)</f>
        <v>6</v>
      </c>
      <c r="J1854">
        <v>4001</v>
      </c>
      <c r="K1854" t="str">
        <f>_xlfn.CONCAT(WEEKNUM(CompilDonnées[[#This Row],[PlantationDate]]), " ", YEAR(CompilDonnées[[#This Row],[PlantationDate]]))</f>
        <v>11 2025</v>
      </c>
      <c r="L1854" t="str">
        <f>CONCATENATE(MONTH(CompilDonnées[[#This Row],[PlantationDate]])," ", YEAR(CompilDonnées[[#This Row],[PlantationDate]]))</f>
        <v>3 2025</v>
      </c>
      <c r="M1854" t="str">
        <f>CONCATENATE(MONTH(CompilDonnées[[#This Row],[HarvestingDate]])," ", YEAR(CompilDonnées[[#This Row],[HarvestingDate]]))</f>
        <v>4 2025</v>
      </c>
      <c r="N1854">
        <f>_xlfn.NUMBERVALUE(CompilDonnées[[#This Row],[FarmID]]&amp;CompilDonnées[[#This Row],[ModuleNumber]]&amp;CompilDonnées[[#This Row],[PlantationDate]])</f>
        <v>87445730</v>
      </c>
      <c r="O1854" t="str">
        <f>CompilDonnées[[#This Row],[FarmID]]&amp;CompilDonnées[[#This Row],[ModuleNumber]]</f>
        <v>874</v>
      </c>
      <c r="P1854" t="str">
        <f>CompilDonnées[[#This Row],[Ref_Module]]&amp;CompilDonnées[[#This Row],[HarvestingDate]]</f>
        <v>87445771</v>
      </c>
    </row>
    <row r="1855" spans="1:16">
      <c r="A1855" s="5">
        <v>45730</v>
      </c>
      <c r="B1855">
        <v>88</v>
      </c>
      <c r="C1855" t="s">
        <v>94</v>
      </c>
      <c r="D1855">
        <v>1</v>
      </c>
      <c r="E1855">
        <v>100</v>
      </c>
      <c r="F1855" t="s">
        <v>1</v>
      </c>
      <c r="G1855" s="6">
        <v>45771</v>
      </c>
      <c r="H1855">
        <v>41</v>
      </c>
      <c r="I1855">
        <f>ROUND(CompilDonnées[[#This Row],[CultureDuration_days]]/7,0)</f>
        <v>6</v>
      </c>
      <c r="J1855">
        <v>4319</v>
      </c>
      <c r="K1855" t="str">
        <f>_xlfn.CONCAT(WEEKNUM(CompilDonnées[[#This Row],[PlantationDate]]), " ", YEAR(CompilDonnées[[#This Row],[PlantationDate]]))</f>
        <v>11 2025</v>
      </c>
      <c r="L1855" t="str">
        <f>CONCATENATE(MONTH(CompilDonnées[[#This Row],[PlantationDate]])," ", YEAR(CompilDonnées[[#This Row],[PlantationDate]]))</f>
        <v>3 2025</v>
      </c>
      <c r="M1855" t="str">
        <f>CONCATENATE(MONTH(CompilDonnées[[#This Row],[HarvestingDate]])," ", YEAR(CompilDonnées[[#This Row],[HarvestingDate]]))</f>
        <v>4 2025</v>
      </c>
      <c r="N1855">
        <f>_xlfn.NUMBERVALUE(CompilDonnées[[#This Row],[FarmID]]&amp;CompilDonnées[[#This Row],[ModuleNumber]]&amp;CompilDonnées[[#This Row],[PlantationDate]])</f>
        <v>88145730</v>
      </c>
      <c r="O1855" t="str">
        <f>CompilDonnées[[#This Row],[FarmID]]&amp;CompilDonnées[[#This Row],[ModuleNumber]]</f>
        <v>881</v>
      </c>
      <c r="P1855" t="str">
        <f>CompilDonnées[[#This Row],[Ref_Module]]&amp;CompilDonnées[[#This Row],[HarvestingDate]]</f>
        <v>88145771</v>
      </c>
    </row>
    <row r="1856" spans="1:16">
      <c r="A1856" s="5">
        <v>45730</v>
      </c>
      <c r="B1856">
        <v>88</v>
      </c>
      <c r="C1856" t="s">
        <v>94</v>
      </c>
      <c r="D1856">
        <v>3</v>
      </c>
      <c r="E1856">
        <v>100</v>
      </c>
      <c r="F1856" t="s">
        <v>1</v>
      </c>
      <c r="G1856" s="6">
        <v>45771</v>
      </c>
      <c r="H1856">
        <v>41</v>
      </c>
      <c r="I1856">
        <f>ROUND(CompilDonnées[[#This Row],[CultureDuration_days]]/7,0)</f>
        <v>6</v>
      </c>
      <c r="J1856">
        <v>4454</v>
      </c>
      <c r="K1856" t="str">
        <f>_xlfn.CONCAT(WEEKNUM(CompilDonnées[[#This Row],[PlantationDate]]), " ", YEAR(CompilDonnées[[#This Row],[PlantationDate]]))</f>
        <v>11 2025</v>
      </c>
      <c r="L1856" t="str">
        <f>CONCATENATE(MONTH(CompilDonnées[[#This Row],[PlantationDate]])," ", YEAR(CompilDonnées[[#This Row],[PlantationDate]]))</f>
        <v>3 2025</v>
      </c>
      <c r="M1856" t="str">
        <f>CONCATENATE(MONTH(CompilDonnées[[#This Row],[HarvestingDate]])," ", YEAR(CompilDonnées[[#This Row],[HarvestingDate]]))</f>
        <v>4 2025</v>
      </c>
      <c r="N1856">
        <f>_xlfn.NUMBERVALUE(CompilDonnées[[#This Row],[FarmID]]&amp;CompilDonnées[[#This Row],[ModuleNumber]]&amp;CompilDonnées[[#This Row],[PlantationDate]])</f>
        <v>88345730</v>
      </c>
      <c r="O1856" t="str">
        <f>CompilDonnées[[#This Row],[FarmID]]&amp;CompilDonnées[[#This Row],[ModuleNumber]]</f>
        <v>883</v>
      </c>
      <c r="P1856" t="str">
        <f>CompilDonnées[[#This Row],[Ref_Module]]&amp;CompilDonnées[[#This Row],[HarvestingDate]]</f>
        <v>88345771</v>
      </c>
    </row>
    <row r="1857" spans="1:16">
      <c r="A1857" s="5">
        <v>45730</v>
      </c>
      <c r="B1857">
        <v>90</v>
      </c>
      <c r="C1857" t="s">
        <v>72</v>
      </c>
      <c r="D1857">
        <v>2</v>
      </c>
      <c r="E1857">
        <v>100</v>
      </c>
      <c r="F1857" t="s">
        <v>1</v>
      </c>
      <c r="G1857" s="6">
        <v>45770</v>
      </c>
      <c r="H1857">
        <v>40</v>
      </c>
      <c r="I1857">
        <f>ROUND(CompilDonnées[[#This Row],[CultureDuration_days]]/7,0)</f>
        <v>6</v>
      </c>
      <c r="J1857">
        <v>2996</v>
      </c>
      <c r="K1857" t="str">
        <f>_xlfn.CONCAT(WEEKNUM(CompilDonnées[[#This Row],[PlantationDate]]), " ", YEAR(CompilDonnées[[#This Row],[PlantationDate]]))</f>
        <v>11 2025</v>
      </c>
      <c r="L1857" t="str">
        <f>CONCATENATE(MONTH(CompilDonnées[[#This Row],[PlantationDate]])," ", YEAR(CompilDonnées[[#This Row],[PlantationDate]]))</f>
        <v>3 2025</v>
      </c>
      <c r="M1857" t="str">
        <f>CONCATENATE(MONTH(CompilDonnées[[#This Row],[HarvestingDate]])," ", YEAR(CompilDonnées[[#This Row],[HarvestingDate]]))</f>
        <v>4 2025</v>
      </c>
      <c r="N1857">
        <f>_xlfn.NUMBERVALUE(CompilDonnées[[#This Row],[FarmID]]&amp;CompilDonnées[[#This Row],[ModuleNumber]]&amp;CompilDonnées[[#This Row],[PlantationDate]])</f>
        <v>90245730</v>
      </c>
      <c r="O1857" t="str">
        <f>CompilDonnées[[#This Row],[FarmID]]&amp;CompilDonnées[[#This Row],[ModuleNumber]]</f>
        <v>902</v>
      </c>
      <c r="P1857" t="str">
        <f>CompilDonnées[[#This Row],[Ref_Module]]&amp;CompilDonnées[[#This Row],[HarvestingDate]]</f>
        <v>90245770</v>
      </c>
    </row>
    <row r="1858" spans="1:16">
      <c r="A1858" s="5">
        <v>45730</v>
      </c>
      <c r="B1858">
        <v>91</v>
      </c>
      <c r="C1858" t="s">
        <v>9</v>
      </c>
      <c r="D1858">
        <v>5</v>
      </c>
      <c r="E1858">
        <v>100</v>
      </c>
      <c r="F1858" t="s">
        <v>1</v>
      </c>
      <c r="G1858" s="6">
        <v>45776</v>
      </c>
      <c r="H1858">
        <v>46</v>
      </c>
      <c r="I1858">
        <f>ROUND(CompilDonnées[[#This Row],[CultureDuration_days]]/7,0)</f>
        <v>7</v>
      </c>
      <c r="J1858">
        <v>2619</v>
      </c>
      <c r="K1858" t="str">
        <f>_xlfn.CONCAT(WEEKNUM(CompilDonnées[[#This Row],[PlantationDate]]), " ", YEAR(CompilDonnées[[#This Row],[PlantationDate]]))</f>
        <v>11 2025</v>
      </c>
      <c r="L1858" t="str">
        <f>CONCATENATE(MONTH(CompilDonnées[[#This Row],[PlantationDate]])," ", YEAR(CompilDonnées[[#This Row],[PlantationDate]]))</f>
        <v>3 2025</v>
      </c>
      <c r="M1858" t="str">
        <f>CONCATENATE(MONTH(CompilDonnées[[#This Row],[HarvestingDate]])," ", YEAR(CompilDonnées[[#This Row],[HarvestingDate]]))</f>
        <v>4 2025</v>
      </c>
      <c r="N1858">
        <f>_xlfn.NUMBERVALUE(CompilDonnées[[#This Row],[FarmID]]&amp;CompilDonnées[[#This Row],[ModuleNumber]]&amp;CompilDonnées[[#This Row],[PlantationDate]])</f>
        <v>91545730</v>
      </c>
      <c r="O1858" t="str">
        <f>CompilDonnées[[#This Row],[FarmID]]&amp;CompilDonnées[[#This Row],[ModuleNumber]]</f>
        <v>915</v>
      </c>
      <c r="P1858" t="str">
        <f>CompilDonnées[[#This Row],[Ref_Module]]&amp;CompilDonnées[[#This Row],[HarvestingDate]]</f>
        <v>91545776</v>
      </c>
    </row>
    <row r="1859" spans="1:16">
      <c r="A1859" s="5">
        <v>45730</v>
      </c>
      <c r="B1859">
        <v>93</v>
      </c>
      <c r="C1859" t="s">
        <v>10</v>
      </c>
      <c r="D1859">
        <v>2</v>
      </c>
      <c r="E1859">
        <v>100</v>
      </c>
      <c r="F1859" t="s">
        <v>1</v>
      </c>
      <c r="G1859" s="6">
        <v>45775</v>
      </c>
      <c r="H1859">
        <v>45</v>
      </c>
      <c r="I1859">
        <f>ROUND(CompilDonnées[[#This Row],[CultureDuration_days]]/7,0)</f>
        <v>6</v>
      </c>
      <c r="J1859">
        <v>2714</v>
      </c>
      <c r="K1859" t="str">
        <f>_xlfn.CONCAT(WEEKNUM(CompilDonnées[[#This Row],[PlantationDate]]), " ", YEAR(CompilDonnées[[#This Row],[PlantationDate]]))</f>
        <v>11 2025</v>
      </c>
      <c r="L1859" t="str">
        <f>CONCATENATE(MONTH(CompilDonnées[[#This Row],[PlantationDate]])," ", YEAR(CompilDonnées[[#This Row],[PlantationDate]]))</f>
        <v>3 2025</v>
      </c>
      <c r="M1859" t="str">
        <f>CONCATENATE(MONTH(CompilDonnées[[#This Row],[HarvestingDate]])," ", YEAR(CompilDonnées[[#This Row],[HarvestingDate]]))</f>
        <v>4 2025</v>
      </c>
      <c r="N1859">
        <f>_xlfn.NUMBERVALUE(CompilDonnées[[#This Row],[FarmID]]&amp;CompilDonnées[[#This Row],[ModuleNumber]]&amp;CompilDonnées[[#This Row],[PlantationDate]])</f>
        <v>93245730</v>
      </c>
      <c r="O1859" t="str">
        <f>CompilDonnées[[#This Row],[FarmID]]&amp;CompilDonnées[[#This Row],[ModuleNumber]]</f>
        <v>932</v>
      </c>
      <c r="P1859" t="str">
        <f>CompilDonnées[[#This Row],[Ref_Module]]&amp;CompilDonnées[[#This Row],[HarvestingDate]]</f>
        <v>93245775</v>
      </c>
    </row>
    <row r="1860" spans="1:16">
      <c r="A1860" s="5">
        <v>45730</v>
      </c>
      <c r="B1860">
        <v>98</v>
      </c>
      <c r="C1860" t="s">
        <v>79</v>
      </c>
      <c r="D1860">
        <v>2</v>
      </c>
      <c r="E1860">
        <v>100</v>
      </c>
      <c r="F1860" t="s">
        <v>1</v>
      </c>
      <c r="G1860" s="6">
        <v>45775</v>
      </c>
      <c r="H1860">
        <v>45</v>
      </c>
      <c r="I1860">
        <f>ROUND(CompilDonnées[[#This Row],[CultureDuration_days]]/7,0)</f>
        <v>6</v>
      </c>
      <c r="J1860">
        <v>3046</v>
      </c>
      <c r="K1860" t="str">
        <f>_xlfn.CONCAT(WEEKNUM(CompilDonnées[[#This Row],[PlantationDate]]), " ", YEAR(CompilDonnées[[#This Row],[PlantationDate]]))</f>
        <v>11 2025</v>
      </c>
      <c r="L1860" t="str">
        <f>CONCATENATE(MONTH(CompilDonnées[[#This Row],[PlantationDate]])," ", YEAR(CompilDonnées[[#This Row],[PlantationDate]]))</f>
        <v>3 2025</v>
      </c>
      <c r="M1860" t="str">
        <f>CONCATENATE(MONTH(CompilDonnées[[#This Row],[HarvestingDate]])," ", YEAR(CompilDonnées[[#This Row],[HarvestingDate]]))</f>
        <v>4 2025</v>
      </c>
      <c r="N1860">
        <f>_xlfn.NUMBERVALUE(CompilDonnées[[#This Row],[FarmID]]&amp;CompilDonnées[[#This Row],[ModuleNumber]]&amp;CompilDonnées[[#This Row],[PlantationDate]])</f>
        <v>98245730</v>
      </c>
      <c r="O1860" t="str">
        <f>CompilDonnées[[#This Row],[FarmID]]&amp;CompilDonnées[[#This Row],[ModuleNumber]]</f>
        <v>982</v>
      </c>
      <c r="P1860" t="str">
        <f>CompilDonnées[[#This Row],[Ref_Module]]&amp;CompilDonnées[[#This Row],[HarvestingDate]]</f>
        <v>98245775</v>
      </c>
    </row>
    <row r="1861" spans="1:16">
      <c r="A1861" s="5">
        <v>45730</v>
      </c>
      <c r="B1861">
        <v>99</v>
      </c>
      <c r="C1861" t="s">
        <v>117</v>
      </c>
      <c r="D1861">
        <v>1</v>
      </c>
      <c r="E1861">
        <v>100</v>
      </c>
      <c r="F1861" t="s">
        <v>1</v>
      </c>
      <c r="G1861" s="6">
        <v>45771</v>
      </c>
      <c r="H1861">
        <v>41</v>
      </c>
      <c r="I1861">
        <f>ROUND(CompilDonnées[[#This Row],[CultureDuration_days]]/7,0)</f>
        <v>6</v>
      </c>
      <c r="J1861">
        <v>3367</v>
      </c>
      <c r="K1861" t="str">
        <f>_xlfn.CONCAT(WEEKNUM(CompilDonnées[[#This Row],[PlantationDate]]), " ", YEAR(CompilDonnées[[#This Row],[PlantationDate]]))</f>
        <v>11 2025</v>
      </c>
      <c r="L1861" t="str">
        <f>CONCATENATE(MONTH(CompilDonnées[[#This Row],[PlantationDate]])," ", YEAR(CompilDonnées[[#This Row],[PlantationDate]]))</f>
        <v>3 2025</v>
      </c>
      <c r="M1861" t="str">
        <f>CONCATENATE(MONTH(CompilDonnées[[#This Row],[HarvestingDate]])," ", YEAR(CompilDonnées[[#This Row],[HarvestingDate]]))</f>
        <v>4 2025</v>
      </c>
      <c r="N1861">
        <f>_xlfn.NUMBERVALUE(CompilDonnées[[#This Row],[FarmID]]&amp;CompilDonnées[[#This Row],[ModuleNumber]]&amp;CompilDonnées[[#This Row],[PlantationDate]])</f>
        <v>99145730</v>
      </c>
      <c r="O1861" t="str">
        <f>CompilDonnées[[#This Row],[FarmID]]&amp;CompilDonnées[[#This Row],[ModuleNumber]]</f>
        <v>991</v>
      </c>
      <c r="P1861" t="str">
        <f>CompilDonnées[[#This Row],[Ref_Module]]&amp;CompilDonnées[[#This Row],[HarvestingDate]]</f>
        <v>99145771</v>
      </c>
    </row>
    <row r="1862" spans="1:16">
      <c r="A1862" s="5">
        <v>45730</v>
      </c>
      <c r="B1862">
        <v>100</v>
      </c>
      <c r="C1862" t="s">
        <v>84</v>
      </c>
      <c r="D1862">
        <v>4</v>
      </c>
      <c r="E1862">
        <v>100</v>
      </c>
      <c r="F1862" t="s">
        <v>1</v>
      </c>
      <c r="G1862" s="6">
        <v>45771</v>
      </c>
      <c r="H1862">
        <v>41</v>
      </c>
      <c r="I1862">
        <f>ROUND(CompilDonnées[[#This Row],[CultureDuration_days]]/7,0)</f>
        <v>6</v>
      </c>
      <c r="J1862">
        <v>2834</v>
      </c>
      <c r="K1862" t="str">
        <f>_xlfn.CONCAT(WEEKNUM(CompilDonnées[[#This Row],[PlantationDate]]), " ", YEAR(CompilDonnées[[#This Row],[PlantationDate]]))</f>
        <v>11 2025</v>
      </c>
      <c r="L1862" t="str">
        <f>CONCATENATE(MONTH(CompilDonnées[[#This Row],[PlantationDate]])," ", YEAR(CompilDonnées[[#This Row],[PlantationDate]]))</f>
        <v>3 2025</v>
      </c>
      <c r="M1862" t="str">
        <f>CONCATENATE(MONTH(CompilDonnées[[#This Row],[HarvestingDate]])," ", YEAR(CompilDonnées[[#This Row],[HarvestingDate]]))</f>
        <v>4 2025</v>
      </c>
      <c r="N1862">
        <f>_xlfn.NUMBERVALUE(CompilDonnées[[#This Row],[FarmID]]&amp;CompilDonnées[[#This Row],[ModuleNumber]]&amp;CompilDonnées[[#This Row],[PlantationDate]])</f>
        <v>100445730</v>
      </c>
      <c r="O1862" t="str">
        <f>CompilDonnées[[#This Row],[FarmID]]&amp;CompilDonnées[[#This Row],[ModuleNumber]]</f>
        <v>1004</v>
      </c>
      <c r="P1862" t="str">
        <f>CompilDonnées[[#This Row],[Ref_Module]]&amp;CompilDonnées[[#This Row],[HarvestingDate]]</f>
        <v>100445771</v>
      </c>
    </row>
    <row r="1863" spans="1:16">
      <c r="A1863" s="5">
        <v>45730</v>
      </c>
      <c r="B1863">
        <v>100</v>
      </c>
      <c r="C1863" t="s">
        <v>84</v>
      </c>
      <c r="D1863">
        <v>5</v>
      </c>
      <c r="E1863">
        <v>100</v>
      </c>
      <c r="F1863" t="s">
        <v>1</v>
      </c>
      <c r="G1863" s="6">
        <v>45771</v>
      </c>
      <c r="H1863">
        <v>41</v>
      </c>
      <c r="I1863">
        <f>ROUND(CompilDonnées[[#This Row],[CultureDuration_days]]/7,0)</f>
        <v>6</v>
      </c>
      <c r="J1863">
        <v>2803</v>
      </c>
      <c r="K1863" t="str">
        <f>_xlfn.CONCAT(WEEKNUM(CompilDonnées[[#This Row],[PlantationDate]]), " ", YEAR(CompilDonnées[[#This Row],[PlantationDate]]))</f>
        <v>11 2025</v>
      </c>
      <c r="L1863" t="str">
        <f>CONCATENATE(MONTH(CompilDonnées[[#This Row],[PlantationDate]])," ", YEAR(CompilDonnées[[#This Row],[PlantationDate]]))</f>
        <v>3 2025</v>
      </c>
      <c r="M1863" t="str">
        <f>CONCATENATE(MONTH(CompilDonnées[[#This Row],[HarvestingDate]])," ", YEAR(CompilDonnées[[#This Row],[HarvestingDate]]))</f>
        <v>4 2025</v>
      </c>
      <c r="N1863">
        <f>_xlfn.NUMBERVALUE(CompilDonnées[[#This Row],[FarmID]]&amp;CompilDonnées[[#This Row],[ModuleNumber]]&amp;CompilDonnées[[#This Row],[PlantationDate]])</f>
        <v>100545730</v>
      </c>
      <c r="O1863" t="str">
        <f>CompilDonnées[[#This Row],[FarmID]]&amp;CompilDonnées[[#This Row],[ModuleNumber]]</f>
        <v>1005</v>
      </c>
      <c r="P1863" t="str">
        <f>CompilDonnées[[#This Row],[Ref_Module]]&amp;CompilDonnées[[#This Row],[HarvestingDate]]</f>
        <v>100545771</v>
      </c>
    </row>
    <row r="1864" spans="1:16">
      <c r="A1864" s="5">
        <v>45730</v>
      </c>
      <c r="B1864">
        <v>101</v>
      </c>
      <c r="C1864" t="s">
        <v>54</v>
      </c>
      <c r="D1864">
        <v>4</v>
      </c>
      <c r="E1864">
        <v>100</v>
      </c>
      <c r="F1864" t="s">
        <v>1</v>
      </c>
      <c r="G1864" s="6">
        <v>45776</v>
      </c>
      <c r="H1864">
        <v>46</v>
      </c>
      <c r="I1864">
        <f>ROUND(CompilDonnées[[#This Row],[CultureDuration_days]]/7,0)</f>
        <v>7</v>
      </c>
      <c r="J1864">
        <v>3200</v>
      </c>
      <c r="K1864" t="str">
        <f>_xlfn.CONCAT(WEEKNUM(CompilDonnées[[#This Row],[PlantationDate]]), " ", YEAR(CompilDonnées[[#This Row],[PlantationDate]]))</f>
        <v>11 2025</v>
      </c>
      <c r="L1864" t="str">
        <f>CONCATENATE(MONTH(CompilDonnées[[#This Row],[PlantationDate]])," ", YEAR(CompilDonnées[[#This Row],[PlantationDate]]))</f>
        <v>3 2025</v>
      </c>
      <c r="M1864" t="str">
        <f>CONCATENATE(MONTH(CompilDonnées[[#This Row],[HarvestingDate]])," ", YEAR(CompilDonnées[[#This Row],[HarvestingDate]]))</f>
        <v>4 2025</v>
      </c>
      <c r="N1864">
        <f>_xlfn.NUMBERVALUE(CompilDonnées[[#This Row],[FarmID]]&amp;CompilDonnées[[#This Row],[ModuleNumber]]&amp;CompilDonnées[[#This Row],[PlantationDate]])</f>
        <v>101445730</v>
      </c>
      <c r="O1864" t="str">
        <f>CompilDonnées[[#This Row],[FarmID]]&amp;CompilDonnées[[#This Row],[ModuleNumber]]</f>
        <v>1014</v>
      </c>
      <c r="P1864" t="str">
        <f>CompilDonnées[[#This Row],[Ref_Module]]&amp;CompilDonnées[[#This Row],[HarvestingDate]]</f>
        <v>101445776</v>
      </c>
    </row>
    <row r="1865" spans="1:16">
      <c r="A1865" s="5">
        <v>45730</v>
      </c>
      <c r="B1865">
        <v>144</v>
      </c>
      <c r="C1865" t="s">
        <v>3</v>
      </c>
      <c r="D1865">
        <v>2</v>
      </c>
      <c r="E1865">
        <v>60</v>
      </c>
      <c r="F1865" t="s">
        <v>105</v>
      </c>
      <c r="G1865" s="6">
        <v>45775</v>
      </c>
      <c r="H1865">
        <v>45</v>
      </c>
      <c r="I1865">
        <f>ROUND(CompilDonnées[[#This Row],[CultureDuration_days]]/7,0)</f>
        <v>6</v>
      </c>
      <c r="J1865">
        <v>1000</v>
      </c>
      <c r="K1865" t="str">
        <f>_xlfn.CONCAT(WEEKNUM(CompilDonnées[[#This Row],[PlantationDate]]), " ", YEAR(CompilDonnées[[#This Row],[PlantationDate]]))</f>
        <v>11 2025</v>
      </c>
      <c r="L1865" t="str">
        <f>CONCATENATE(MONTH(CompilDonnées[[#This Row],[PlantationDate]])," ", YEAR(CompilDonnées[[#This Row],[PlantationDate]]))</f>
        <v>3 2025</v>
      </c>
      <c r="M1865" t="str">
        <f>CONCATENATE(MONTH(CompilDonnées[[#This Row],[HarvestingDate]])," ", YEAR(CompilDonnées[[#This Row],[HarvestingDate]]))</f>
        <v>4 2025</v>
      </c>
      <c r="N1865">
        <f>_xlfn.NUMBERVALUE(CompilDonnées[[#This Row],[FarmID]]&amp;CompilDonnées[[#This Row],[ModuleNumber]]&amp;CompilDonnées[[#This Row],[PlantationDate]])</f>
        <v>144245730</v>
      </c>
      <c r="O1865" t="str">
        <f>CompilDonnées[[#This Row],[FarmID]]&amp;CompilDonnées[[#This Row],[ModuleNumber]]</f>
        <v>1442</v>
      </c>
      <c r="P1865" t="str">
        <f>CompilDonnées[[#This Row],[Ref_Module]]&amp;CompilDonnées[[#This Row],[HarvestingDate]]</f>
        <v>144245775</v>
      </c>
    </row>
    <row r="1866" spans="1:16">
      <c r="A1866" s="5">
        <v>45730</v>
      </c>
      <c r="B1866">
        <v>144</v>
      </c>
      <c r="C1866" t="s">
        <v>3</v>
      </c>
      <c r="D1866">
        <v>3</v>
      </c>
      <c r="E1866">
        <v>60</v>
      </c>
      <c r="F1866" t="s">
        <v>105</v>
      </c>
      <c r="G1866" s="6">
        <v>45775</v>
      </c>
      <c r="H1866">
        <v>45</v>
      </c>
      <c r="I1866">
        <f>ROUND(CompilDonnées[[#This Row],[CultureDuration_days]]/7,0)</f>
        <v>6</v>
      </c>
      <c r="J1866">
        <v>700</v>
      </c>
      <c r="K1866" t="str">
        <f>_xlfn.CONCAT(WEEKNUM(CompilDonnées[[#This Row],[PlantationDate]]), " ", YEAR(CompilDonnées[[#This Row],[PlantationDate]]))</f>
        <v>11 2025</v>
      </c>
      <c r="L1866" t="str">
        <f>CONCATENATE(MONTH(CompilDonnées[[#This Row],[PlantationDate]])," ", YEAR(CompilDonnées[[#This Row],[PlantationDate]]))</f>
        <v>3 2025</v>
      </c>
      <c r="M1866" t="str">
        <f>CONCATENATE(MONTH(CompilDonnées[[#This Row],[HarvestingDate]])," ", YEAR(CompilDonnées[[#This Row],[HarvestingDate]]))</f>
        <v>4 2025</v>
      </c>
      <c r="N1866">
        <f>_xlfn.NUMBERVALUE(CompilDonnées[[#This Row],[FarmID]]&amp;CompilDonnées[[#This Row],[ModuleNumber]]&amp;CompilDonnées[[#This Row],[PlantationDate]])</f>
        <v>144345730</v>
      </c>
      <c r="O1866" t="str">
        <f>CompilDonnées[[#This Row],[FarmID]]&amp;CompilDonnées[[#This Row],[ModuleNumber]]</f>
        <v>1443</v>
      </c>
      <c r="P1866" t="str">
        <f>CompilDonnées[[#This Row],[Ref_Module]]&amp;CompilDonnées[[#This Row],[HarvestingDate]]</f>
        <v>144345775</v>
      </c>
    </row>
    <row r="1867" spans="1:16">
      <c r="A1867" s="5">
        <v>45730</v>
      </c>
      <c r="B1867">
        <v>144</v>
      </c>
      <c r="C1867" t="s">
        <v>3</v>
      </c>
      <c r="D1867">
        <v>4</v>
      </c>
      <c r="E1867">
        <v>60</v>
      </c>
      <c r="F1867" t="s">
        <v>105</v>
      </c>
      <c r="G1867" s="6">
        <v>45775</v>
      </c>
      <c r="H1867">
        <v>45</v>
      </c>
      <c r="I1867">
        <f>ROUND(CompilDonnées[[#This Row],[CultureDuration_days]]/7,0)</f>
        <v>6</v>
      </c>
      <c r="J1867">
        <v>942</v>
      </c>
      <c r="K1867" t="str">
        <f>_xlfn.CONCAT(WEEKNUM(CompilDonnées[[#This Row],[PlantationDate]]), " ", YEAR(CompilDonnées[[#This Row],[PlantationDate]]))</f>
        <v>11 2025</v>
      </c>
      <c r="L1867" t="str">
        <f>CONCATENATE(MONTH(CompilDonnées[[#This Row],[PlantationDate]])," ", YEAR(CompilDonnées[[#This Row],[PlantationDate]]))</f>
        <v>3 2025</v>
      </c>
      <c r="M1867" t="str">
        <f>CONCATENATE(MONTH(CompilDonnées[[#This Row],[HarvestingDate]])," ", YEAR(CompilDonnées[[#This Row],[HarvestingDate]]))</f>
        <v>4 2025</v>
      </c>
      <c r="N1867">
        <f>_xlfn.NUMBERVALUE(CompilDonnées[[#This Row],[FarmID]]&amp;CompilDonnées[[#This Row],[ModuleNumber]]&amp;CompilDonnées[[#This Row],[PlantationDate]])</f>
        <v>144445730</v>
      </c>
      <c r="O1867" t="str">
        <f>CompilDonnées[[#This Row],[FarmID]]&amp;CompilDonnées[[#This Row],[ModuleNumber]]</f>
        <v>1444</v>
      </c>
      <c r="P1867" t="str">
        <f>CompilDonnées[[#This Row],[Ref_Module]]&amp;CompilDonnées[[#This Row],[HarvestingDate]]</f>
        <v>144445775</v>
      </c>
    </row>
    <row r="1868" spans="1:16">
      <c r="A1868" s="5">
        <v>45730</v>
      </c>
      <c r="B1868">
        <v>144</v>
      </c>
      <c r="C1868" t="s">
        <v>3</v>
      </c>
      <c r="D1868">
        <v>5</v>
      </c>
      <c r="E1868">
        <v>60</v>
      </c>
      <c r="F1868" t="s">
        <v>105</v>
      </c>
      <c r="G1868" s="6">
        <v>45775</v>
      </c>
      <c r="H1868">
        <v>45</v>
      </c>
      <c r="I1868">
        <f>ROUND(CompilDonnées[[#This Row],[CultureDuration_days]]/7,0)</f>
        <v>6</v>
      </c>
      <c r="J1868">
        <v>962</v>
      </c>
      <c r="K1868" t="str">
        <f>_xlfn.CONCAT(WEEKNUM(CompilDonnées[[#This Row],[PlantationDate]]), " ", YEAR(CompilDonnées[[#This Row],[PlantationDate]]))</f>
        <v>11 2025</v>
      </c>
      <c r="L1868" t="str">
        <f>CONCATENATE(MONTH(CompilDonnées[[#This Row],[PlantationDate]])," ", YEAR(CompilDonnées[[#This Row],[PlantationDate]]))</f>
        <v>3 2025</v>
      </c>
      <c r="M1868" t="str">
        <f>CONCATENATE(MONTH(CompilDonnées[[#This Row],[HarvestingDate]])," ", YEAR(CompilDonnées[[#This Row],[HarvestingDate]]))</f>
        <v>4 2025</v>
      </c>
      <c r="N1868">
        <f>_xlfn.NUMBERVALUE(CompilDonnées[[#This Row],[FarmID]]&amp;CompilDonnées[[#This Row],[ModuleNumber]]&amp;CompilDonnées[[#This Row],[PlantationDate]])</f>
        <v>144545730</v>
      </c>
      <c r="O1868" t="str">
        <f>CompilDonnées[[#This Row],[FarmID]]&amp;CompilDonnées[[#This Row],[ModuleNumber]]</f>
        <v>1445</v>
      </c>
      <c r="P1868" t="str">
        <f>CompilDonnées[[#This Row],[Ref_Module]]&amp;CompilDonnées[[#This Row],[HarvestingDate]]</f>
        <v>144545775</v>
      </c>
    </row>
    <row r="1869" spans="1:16">
      <c r="A1869" s="5">
        <v>45730</v>
      </c>
      <c r="B1869">
        <v>144</v>
      </c>
      <c r="C1869" t="s">
        <v>3</v>
      </c>
      <c r="D1869">
        <v>6</v>
      </c>
      <c r="E1869">
        <v>60</v>
      </c>
      <c r="F1869" t="s">
        <v>105</v>
      </c>
      <c r="G1869" s="6">
        <v>45775</v>
      </c>
      <c r="H1869">
        <v>45</v>
      </c>
      <c r="I1869">
        <f>ROUND(CompilDonnées[[#This Row],[CultureDuration_days]]/7,0)</f>
        <v>6</v>
      </c>
      <c r="J1869">
        <v>1364</v>
      </c>
      <c r="K1869" t="str">
        <f>_xlfn.CONCAT(WEEKNUM(CompilDonnées[[#This Row],[PlantationDate]]), " ", YEAR(CompilDonnées[[#This Row],[PlantationDate]]))</f>
        <v>11 2025</v>
      </c>
      <c r="L1869" t="str">
        <f>CONCATENATE(MONTH(CompilDonnées[[#This Row],[PlantationDate]])," ", YEAR(CompilDonnées[[#This Row],[PlantationDate]]))</f>
        <v>3 2025</v>
      </c>
      <c r="M1869" t="str">
        <f>CONCATENATE(MONTH(CompilDonnées[[#This Row],[HarvestingDate]])," ", YEAR(CompilDonnées[[#This Row],[HarvestingDate]]))</f>
        <v>4 2025</v>
      </c>
      <c r="N1869">
        <f>_xlfn.NUMBERVALUE(CompilDonnées[[#This Row],[FarmID]]&amp;CompilDonnées[[#This Row],[ModuleNumber]]&amp;CompilDonnées[[#This Row],[PlantationDate]])</f>
        <v>144645730</v>
      </c>
      <c r="O1869" t="str">
        <f>CompilDonnées[[#This Row],[FarmID]]&amp;CompilDonnées[[#This Row],[ModuleNumber]]</f>
        <v>1446</v>
      </c>
      <c r="P1869" t="str">
        <f>CompilDonnées[[#This Row],[Ref_Module]]&amp;CompilDonnées[[#This Row],[HarvestingDate]]</f>
        <v>144645775</v>
      </c>
    </row>
    <row r="1870" spans="1:16">
      <c r="A1870" s="5">
        <v>45730</v>
      </c>
      <c r="B1870">
        <v>104</v>
      </c>
      <c r="C1870" t="s">
        <v>91</v>
      </c>
      <c r="D1870">
        <v>3</v>
      </c>
      <c r="E1870">
        <v>100</v>
      </c>
      <c r="F1870" t="s">
        <v>1</v>
      </c>
      <c r="G1870" s="6">
        <v>45790</v>
      </c>
      <c r="H1870">
        <v>60</v>
      </c>
      <c r="I1870">
        <f>ROUND(CompilDonnées[[#This Row],[CultureDuration_days]]/7,0)</f>
        <v>9</v>
      </c>
      <c r="J1870">
        <v>1913</v>
      </c>
      <c r="K1870" t="str">
        <f>_xlfn.CONCAT(WEEKNUM(CompilDonnées[[#This Row],[PlantationDate]]), " ", YEAR(CompilDonnées[[#This Row],[PlantationDate]]))</f>
        <v>11 2025</v>
      </c>
      <c r="L1870" t="str">
        <f>CONCATENATE(MONTH(CompilDonnées[[#This Row],[PlantationDate]])," ", YEAR(CompilDonnées[[#This Row],[PlantationDate]]))</f>
        <v>3 2025</v>
      </c>
      <c r="M1870" t="str">
        <f>CONCATENATE(MONTH(CompilDonnées[[#This Row],[HarvestingDate]])," ", YEAR(CompilDonnées[[#This Row],[HarvestingDate]]))</f>
        <v>5 2025</v>
      </c>
      <c r="N1870">
        <f>_xlfn.NUMBERVALUE(CompilDonnées[[#This Row],[FarmID]]&amp;CompilDonnées[[#This Row],[ModuleNumber]]&amp;CompilDonnées[[#This Row],[PlantationDate]])</f>
        <v>104345730</v>
      </c>
      <c r="O1870" t="str">
        <f>CompilDonnées[[#This Row],[FarmID]]&amp;CompilDonnées[[#This Row],[ModuleNumber]]</f>
        <v>1043</v>
      </c>
      <c r="P1870" t="str">
        <f>CompilDonnées[[#This Row],[Ref_Module]]&amp;CompilDonnées[[#This Row],[HarvestingDate]]</f>
        <v>104345790</v>
      </c>
    </row>
    <row r="1871" spans="1:16">
      <c r="A1871" s="5">
        <v>45730</v>
      </c>
      <c r="B1871">
        <v>107</v>
      </c>
      <c r="C1871" t="s">
        <v>23</v>
      </c>
      <c r="D1871">
        <v>6</v>
      </c>
      <c r="E1871">
        <v>100</v>
      </c>
      <c r="F1871" t="s">
        <v>1</v>
      </c>
      <c r="G1871" s="6">
        <v>45775</v>
      </c>
      <c r="H1871">
        <v>45</v>
      </c>
      <c r="I1871">
        <f>ROUND(CompilDonnées[[#This Row],[CultureDuration_days]]/7,0)</f>
        <v>6</v>
      </c>
      <c r="J1871">
        <v>2773</v>
      </c>
      <c r="K1871" t="str">
        <f>_xlfn.CONCAT(WEEKNUM(CompilDonnées[[#This Row],[PlantationDate]]), " ", YEAR(CompilDonnées[[#This Row],[PlantationDate]]))</f>
        <v>11 2025</v>
      </c>
      <c r="L1871" t="str">
        <f>CONCATENATE(MONTH(CompilDonnées[[#This Row],[PlantationDate]])," ", YEAR(CompilDonnées[[#This Row],[PlantationDate]]))</f>
        <v>3 2025</v>
      </c>
      <c r="M1871" t="str">
        <f>CONCATENATE(MONTH(CompilDonnées[[#This Row],[HarvestingDate]])," ", YEAR(CompilDonnées[[#This Row],[HarvestingDate]]))</f>
        <v>4 2025</v>
      </c>
      <c r="N1871">
        <f>_xlfn.NUMBERVALUE(CompilDonnées[[#This Row],[FarmID]]&amp;CompilDonnées[[#This Row],[ModuleNumber]]&amp;CompilDonnées[[#This Row],[PlantationDate]])</f>
        <v>107645730</v>
      </c>
      <c r="O1871" t="str">
        <f>CompilDonnées[[#This Row],[FarmID]]&amp;CompilDonnées[[#This Row],[ModuleNumber]]</f>
        <v>1076</v>
      </c>
      <c r="P1871" t="str">
        <f>CompilDonnées[[#This Row],[Ref_Module]]&amp;CompilDonnées[[#This Row],[HarvestingDate]]</f>
        <v>107645775</v>
      </c>
    </row>
    <row r="1872" spans="1:16">
      <c r="A1872" s="5">
        <v>45730</v>
      </c>
      <c r="B1872">
        <v>110</v>
      </c>
      <c r="C1872" t="s">
        <v>14</v>
      </c>
      <c r="D1872">
        <v>6</v>
      </c>
      <c r="E1872">
        <v>100</v>
      </c>
      <c r="F1872" t="s">
        <v>1</v>
      </c>
      <c r="G1872" s="6">
        <v>45771</v>
      </c>
      <c r="H1872">
        <v>41</v>
      </c>
      <c r="I1872">
        <f>ROUND(CompilDonnées[[#This Row],[CultureDuration_days]]/7,0)</f>
        <v>6</v>
      </c>
      <c r="J1872">
        <v>3767</v>
      </c>
      <c r="K1872" t="str">
        <f>_xlfn.CONCAT(WEEKNUM(CompilDonnées[[#This Row],[PlantationDate]]), " ", YEAR(CompilDonnées[[#This Row],[PlantationDate]]))</f>
        <v>11 2025</v>
      </c>
      <c r="L1872" t="str">
        <f>CONCATENATE(MONTH(CompilDonnées[[#This Row],[PlantationDate]])," ", YEAR(CompilDonnées[[#This Row],[PlantationDate]]))</f>
        <v>3 2025</v>
      </c>
      <c r="M1872" t="str">
        <f>CONCATENATE(MONTH(CompilDonnées[[#This Row],[HarvestingDate]])," ", YEAR(CompilDonnées[[#This Row],[HarvestingDate]]))</f>
        <v>4 2025</v>
      </c>
      <c r="N1872">
        <f>_xlfn.NUMBERVALUE(CompilDonnées[[#This Row],[FarmID]]&amp;CompilDonnées[[#This Row],[ModuleNumber]]&amp;CompilDonnées[[#This Row],[PlantationDate]])</f>
        <v>110645730</v>
      </c>
      <c r="O1872" t="str">
        <f>CompilDonnées[[#This Row],[FarmID]]&amp;CompilDonnées[[#This Row],[ModuleNumber]]</f>
        <v>1106</v>
      </c>
      <c r="P1872" t="str">
        <f>CompilDonnées[[#This Row],[Ref_Module]]&amp;CompilDonnées[[#This Row],[HarvestingDate]]</f>
        <v>110645771</v>
      </c>
    </row>
    <row r="1873" spans="1:16">
      <c r="A1873" s="5">
        <v>45730</v>
      </c>
      <c r="B1873">
        <v>113</v>
      </c>
      <c r="C1873" t="s">
        <v>16</v>
      </c>
      <c r="D1873">
        <v>2</v>
      </c>
      <c r="E1873">
        <v>100</v>
      </c>
      <c r="F1873" t="s">
        <v>1</v>
      </c>
      <c r="G1873" s="6">
        <v>45772</v>
      </c>
      <c r="H1873">
        <v>42</v>
      </c>
      <c r="I1873">
        <f>ROUND(CompilDonnées[[#This Row],[CultureDuration_days]]/7,0)</f>
        <v>6</v>
      </c>
      <c r="J1873">
        <v>3468</v>
      </c>
      <c r="K1873" t="str">
        <f>_xlfn.CONCAT(WEEKNUM(CompilDonnées[[#This Row],[PlantationDate]]), " ", YEAR(CompilDonnées[[#This Row],[PlantationDate]]))</f>
        <v>11 2025</v>
      </c>
      <c r="L1873" t="str">
        <f>CONCATENATE(MONTH(CompilDonnées[[#This Row],[PlantationDate]])," ", YEAR(CompilDonnées[[#This Row],[PlantationDate]]))</f>
        <v>3 2025</v>
      </c>
      <c r="M1873" t="str">
        <f>CONCATENATE(MONTH(CompilDonnées[[#This Row],[HarvestingDate]])," ", YEAR(CompilDonnées[[#This Row],[HarvestingDate]]))</f>
        <v>4 2025</v>
      </c>
      <c r="N1873">
        <f>_xlfn.NUMBERVALUE(CompilDonnées[[#This Row],[FarmID]]&amp;CompilDonnées[[#This Row],[ModuleNumber]]&amp;CompilDonnées[[#This Row],[PlantationDate]])</f>
        <v>113245730</v>
      </c>
      <c r="O1873" t="str">
        <f>CompilDonnées[[#This Row],[FarmID]]&amp;CompilDonnées[[#This Row],[ModuleNumber]]</f>
        <v>1132</v>
      </c>
      <c r="P1873" t="str">
        <f>CompilDonnées[[#This Row],[Ref_Module]]&amp;CompilDonnées[[#This Row],[HarvestingDate]]</f>
        <v>113245772</v>
      </c>
    </row>
    <row r="1874" spans="1:16">
      <c r="A1874" s="5">
        <v>45730</v>
      </c>
      <c r="B1874">
        <v>115</v>
      </c>
      <c r="C1874" t="s">
        <v>121</v>
      </c>
      <c r="D1874">
        <v>3</v>
      </c>
      <c r="E1874">
        <v>100</v>
      </c>
      <c r="F1874" t="s">
        <v>1</v>
      </c>
      <c r="G1874" s="6">
        <v>45772</v>
      </c>
      <c r="H1874">
        <v>42</v>
      </c>
      <c r="I1874">
        <f>ROUND(CompilDonnées[[#This Row],[CultureDuration_days]]/7,0)</f>
        <v>6</v>
      </c>
      <c r="J1874">
        <v>3403</v>
      </c>
      <c r="K1874" t="str">
        <f>_xlfn.CONCAT(WEEKNUM(CompilDonnées[[#This Row],[PlantationDate]]), " ", YEAR(CompilDonnées[[#This Row],[PlantationDate]]))</f>
        <v>11 2025</v>
      </c>
      <c r="L1874" t="str">
        <f>CONCATENATE(MONTH(CompilDonnées[[#This Row],[PlantationDate]])," ", YEAR(CompilDonnées[[#This Row],[PlantationDate]]))</f>
        <v>3 2025</v>
      </c>
      <c r="M1874" t="str">
        <f>CONCATENATE(MONTH(CompilDonnées[[#This Row],[HarvestingDate]])," ", YEAR(CompilDonnées[[#This Row],[HarvestingDate]]))</f>
        <v>4 2025</v>
      </c>
      <c r="N1874">
        <f>_xlfn.NUMBERVALUE(CompilDonnées[[#This Row],[FarmID]]&amp;CompilDonnées[[#This Row],[ModuleNumber]]&amp;CompilDonnées[[#This Row],[PlantationDate]])</f>
        <v>115345730</v>
      </c>
      <c r="O1874" t="str">
        <f>CompilDonnées[[#This Row],[FarmID]]&amp;CompilDonnées[[#This Row],[ModuleNumber]]</f>
        <v>1153</v>
      </c>
      <c r="P1874" t="str">
        <f>CompilDonnées[[#This Row],[Ref_Module]]&amp;CompilDonnées[[#This Row],[HarvestingDate]]</f>
        <v>115345772</v>
      </c>
    </row>
    <row r="1875" spans="1:16">
      <c r="A1875" s="5">
        <v>45730</v>
      </c>
      <c r="B1875">
        <v>116</v>
      </c>
      <c r="C1875" t="s">
        <v>76</v>
      </c>
      <c r="D1875">
        <v>1</v>
      </c>
      <c r="E1875">
        <v>100</v>
      </c>
      <c r="F1875" t="s">
        <v>1</v>
      </c>
      <c r="G1875" s="6">
        <v>45772</v>
      </c>
      <c r="H1875">
        <v>42</v>
      </c>
      <c r="I1875">
        <f>ROUND(CompilDonnées[[#This Row],[CultureDuration_days]]/7,0)</f>
        <v>6</v>
      </c>
      <c r="J1875">
        <v>2745</v>
      </c>
      <c r="K1875" t="str">
        <f>_xlfn.CONCAT(WEEKNUM(CompilDonnées[[#This Row],[PlantationDate]]), " ", YEAR(CompilDonnées[[#This Row],[PlantationDate]]))</f>
        <v>11 2025</v>
      </c>
      <c r="L1875" t="str">
        <f>CONCATENATE(MONTH(CompilDonnées[[#This Row],[PlantationDate]])," ", YEAR(CompilDonnées[[#This Row],[PlantationDate]]))</f>
        <v>3 2025</v>
      </c>
      <c r="M1875" t="str">
        <f>CONCATENATE(MONTH(CompilDonnées[[#This Row],[HarvestingDate]])," ", YEAR(CompilDonnées[[#This Row],[HarvestingDate]]))</f>
        <v>4 2025</v>
      </c>
      <c r="N1875">
        <f>_xlfn.NUMBERVALUE(CompilDonnées[[#This Row],[FarmID]]&amp;CompilDonnées[[#This Row],[ModuleNumber]]&amp;CompilDonnées[[#This Row],[PlantationDate]])</f>
        <v>116145730</v>
      </c>
      <c r="O1875" t="str">
        <f>CompilDonnées[[#This Row],[FarmID]]&amp;CompilDonnées[[#This Row],[ModuleNumber]]</f>
        <v>1161</v>
      </c>
      <c r="P1875" t="str">
        <f>CompilDonnées[[#This Row],[Ref_Module]]&amp;CompilDonnées[[#This Row],[HarvestingDate]]</f>
        <v>116145772</v>
      </c>
    </row>
    <row r="1876" spans="1:16">
      <c r="A1876" s="5">
        <v>45731</v>
      </c>
      <c r="B1876">
        <v>59</v>
      </c>
      <c r="C1876" t="s">
        <v>64</v>
      </c>
      <c r="D1876">
        <v>5</v>
      </c>
      <c r="E1876">
        <v>100</v>
      </c>
      <c r="F1876" t="s">
        <v>1</v>
      </c>
      <c r="G1876" s="6">
        <v>45770</v>
      </c>
      <c r="H1876">
        <v>39</v>
      </c>
      <c r="I1876">
        <f>ROUND(CompilDonnées[[#This Row],[CultureDuration_days]]/7,0)</f>
        <v>6</v>
      </c>
      <c r="J1876">
        <v>3748</v>
      </c>
      <c r="K1876" t="str">
        <f>_xlfn.CONCAT(WEEKNUM(CompilDonnées[[#This Row],[PlantationDate]]), " ", YEAR(CompilDonnées[[#This Row],[PlantationDate]]))</f>
        <v>11 2025</v>
      </c>
      <c r="L1876" t="str">
        <f>CONCATENATE(MONTH(CompilDonnées[[#This Row],[PlantationDate]])," ", YEAR(CompilDonnées[[#This Row],[PlantationDate]]))</f>
        <v>3 2025</v>
      </c>
      <c r="M1876" t="str">
        <f>CONCATENATE(MONTH(CompilDonnées[[#This Row],[HarvestingDate]])," ", YEAR(CompilDonnées[[#This Row],[HarvestingDate]]))</f>
        <v>4 2025</v>
      </c>
      <c r="N1876">
        <f>_xlfn.NUMBERVALUE(CompilDonnées[[#This Row],[FarmID]]&amp;CompilDonnées[[#This Row],[ModuleNumber]]&amp;CompilDonnées[[#This Row],[PlantationDate]])</f>
        <v>59545731</v>
      </c>
      <c r="O1876" t="str">
        <f>CompilDonnées[[#This Row],[FarmID]]&amp;CompilDonnées[[#This Row],[ModuleNumber]]</f>
        <v>595</v>
      </c>
      <c r="P1876" t="str">
        <f>CompilDonnées[[#This Row],[Ref_Module]]&amp;CompilDonnées[[#This Row],[HarvestingDate]]</f>
        <v>59545770</v>
      </c>
    </row>
    <row r="1877" spans="1:16">
      <c r="A1877" s="5">
        <v>45731</v>
      </c>
      <c r="B1877">
        <v>101</v>
      </c>
      <c r="C1877" t="s">
        <v>54</v>
      </c>
      <c r="D1877">
        <v>2</v>
      </c>
      <c r="E1877">
        <v>100</v>
      </c>
      <c r="F1877" t="s">
        <v>1</v>
      </c>
      <c r="G1877" s="6">
        <v>45776</v>
      </c>
      <c r="H1877">
        <v>45</v>
      </c>
      <c r="I1877">
        <f>ROUND(CompilDonnées[[#This Row],[CultureDuration_days]]/7,0)</f>
        <v>6</v>
      </c>
      <c r="J1877">
        <v>3199</v>
      </c>
      <c r="K1877" t="str">
        <f>_xlfn.CONCAT(WEEKNUM(CompilDonnées[[#This Row],[PlantationDate]]), " ", YEAR(CompilDonnées[[#This Row],[PlantationDate]]))</f>
        <v>11 2025</v>
      </c>
      <c r="L1877" t="str">
        <f>CONCATENATE(MONTH(CompilDonnées[[#This Row],[PlantationDate]])," ", YEAR(CompilDonnées[[#This Row],[PlantationDate]]))</f>
        <v>3 2025</v>
      </c>
      <c r="M1877" t="str">
        <f>CONCATENATE(MONTH(CompilDonnées[[#This Row],[HarvestingDate]])," ", YEAR(CompilDonnées[[#This Row],[HarvestingDate]]))</f>
        <v>4 2025</v>
      </c>
      <c r="N1877">
        <f>_xlfn.NUMBERVALUE(CompilDonnées[[#This Row],[FarmID]]&amp;CompilDonnées[[#This Row],[ModuleNumber]]&amp;CompilDonnées[[#This Row],[PlantationDate]])</f>
        <v>101245731</v>
      </c>
      <c r="O1877" t="str">
        <f>CompilDonnées[[#This Row],[FarmID]]&amp;CompilDonnées[[#This Row],[ModuleNumber]]</f>
        <v>1012</v>
      </c>
      <c r="P1877" t="str">
        <f>CompilDonnées[[#This Row],[Ref_Module]]&amp;CompilDonnées[[#This Row],[HarvestingDate]]</f>
        <v>101245776</v>
      </c>
    </row>
    <row r="1878" spans="1:16">
      <c r="A1878" s="5">
        <v>45731</v>
      </c>
      <c r="B1878">
        <v>123</v>
      </c>
      <c r="C1878" t="s">
        <v>13</v>
      </c>
      <c r="D1878">
        <v>4</v>
      </c>
      <c r="E1878">
        <v>100</v>
      </c>
      <c r="F1878" t="s">
        <v>1</v>
      </c>
      <c r="G1878" s="6">
        <v>45771</v>
      </c>
      <c r="H1878">
        <v>40</v>
      </c>
      <c r="I1878">
        <f>ROUND(CompilDonnées[[#This Row],[CultureDuration_days]]/7,0)</f>
        <v>6</v>
      </c>
      <c r="J1878">
        <v>3149</v>
      </c>
      <c r="K1878" t="str">
        <f>_xlfn.CONCAT(WEEKNUM(CompilDonnées[[#This Row],[PlantationDate]]), " ", YEAR(CompilDonnées[[#This Row],[PlantationDate]]))</f>
        <v>11 2025</v>
      </c>
      <c r="L1878" t="str">
        <f>CONCATENATE(MONTH(CompilDonnées[[#This Row],[PlantationDate]])," ", YEAR(CompilDonnées[[#This Row],[PlantationDate]]))</f>
        <v>3 2025</v>
      </c>
      <c r="M1878" t="str">
        <f>CONCATENATE(MONTH(CompilDonnées[[#This Row],[HarvestingDate]])," ", YEAR(CompilDonnées[[#This Row],[HarvestingDate]]))</f>
        <v>4 2025</v>
      </c>
      <c r="N1878">
        <f>_xlfn.NUMBERVALUE(CompilDonnées[[#This Row],[FarmID]]&amp;CompilDonnées[[#This Row],[ModuleNumber]]&amp;CompilDonnées[[#This Row],[PlantationDate]])</f>
        <v>123445731</v>
      </c>
      <c r="O1878" t="str">
        <f>CompilDonnées[[#This Row],[FarmID]]&amp;CompilDonnées[[#This Row],[ModuleNumber]]</f>
        <v>1234</v>
      </c>
      <c r="P1878" t="str">
        <f>CompilDonnées[[#This Row],[Ref_Module]]&amp;CompilDonnées[[#This Row],[HarvestingDate]]</f>
        <v>123445771</v>
      </c>
    </row>
    <row r="1879" spans="1:16">
      <c r="A1879" s="5">
        <v>45731</v>
      </c>
      <c r="B1879">
        <v>124</v>
      </c>
      <c r="C1879" t="s">
        <v>115</v>
      </c>
      <c r="D1879">
        <v>5</v>
      </c>
      <c r="E1879">
        <v>100</v>
      </c>
      <c r="F1879" t="s">
        <v>1</v>
      </c>
      <c r="G1879" s="6">
        <v>45775</v>
      </c>
      <c r="H1879">
        <v>44</v>
      </c>
      <c r="I1879">
        <f>ROUND(CompilDonnées[[#This Row],[CultureDuration_days]]/7,0)</f>
        <v>6</v>
      </c>
      <c r="J1879">
        <v>3358</v>
      </c>
      <c r="K1879" t="str">
        <f>_xlfn.CONCAT(WEEKNUM(CompilDonnées[[#This Row],[PlantationDate]]), " ", YEAR(CompilDonnées[[#This Row],[PlantationDate]]))</f>
        <v>11 2025</v>
      </c>
      <c r="L1879" t="str">
        <f>CONCATENATE(MONTH(CompilDonnées[[#This Row],[PlantationDate]])," ", YEAR(CompilDonnées[[#This Row],[PlantationDate]]))</f>
        <v>3 2025</v>
      </c>
      <c r="M1879" t="str">
        <f>CONCATENATE(MONTH(CompilDonnées[[#This Row],[HarvestingDate]])," ", YEAR(CompilDonnées[[#This Row],[HarvestingDate]]))</f>
        <v>4 2025</v>
      </c>
      <c r="N1879">
        <f>_xlfn.NUMBERVALUE(CompilDonnées[[#This Row],[FarmID]]&amp;CompilDonnées[[#This Row],[ModuleNumber]]&amp;CompilDonnées[[#This Row],[PlantationDate]])</f>
        <v>124545731</v>
      </c>
      <c r="O1879" t="str">
        <f>CompilDonnées[[#This Row],[FarmID]]&amp;CompilDonnées[[#This Row],[ModuleNumber]]</f>
        <v>1245</v>
      </c>
      <c r="P1879" t="str">
        <f>CompilDonnées[[#This Row],[Ref_Module]]&amp;CompilDonnées[[#This Row],[HarvestingDate]]</f>
        <v>124545775</v>
      </c>
    </row>
    <row r="1880" spans="1:16">
      <c r="A1880" s="5">
        <v>45731</v>
      </c>
      <c r="B1880">
        <v>124</v>
      </c>
      <c r="C1880" t="s">
        <v>115</v>
      </c>
      <c r="D1880">
        <v>6</v>
      </c>
      <c r="E1880">
        <v>100</v>
      </c>
      <c r="F1880" t="s">
        <v>1</v>
      </c>
      <c r="G1880" s="6">
        <v>45772</v>
      </c>
      <c r="H1880">
        <v>41</v>
      </c>
      <c r="I1880">
        <f>ROUND(CompilDonnées[[#This Row],[CultureDuration_days]]/7,0)</f>
        <v>6</v>
      </c>
      <c r="J1880">
        <v>3225</v>
      </c>
      <c r="K1880" t="str">
        <f>_xlfn.CONCAT(WEEKNUM(CompilDonnées[[#This Row],[PlantationDate]]), " ", YEAR(CompilDonnées[[#This Row],[PlantationDate]]))</f>
        <v>11 2025</v>
      </c>
      <c r="L1880" t="str">
        <f>CONCATENATE(MONTH(CompilDonnées[[#This Row],[PlantationDate]])," ", YEAR(CompilDonnées[[#This Row],[PlantationDate]]))</f>
        <v>3 2025</v>
      </c>
      <c r="M1880" t="str">
        <f>CONCATENATE(MONTH(CompilDonnées[[#This Row],[HarvestingDate]])," ", YEAR(CompilDonnées[[#This Row],[HarvestingDate]]))</f>
        <v>4 2025</v>
      </c>
      <c r="N1880">
        <f>_xlfn.NUMBERVALUE(CompilDonnées[[#This Row],[FarmID]]&amp;CompilDonnées[[#This Row],[ModuleNumber]]&amp;CompilDonnées[[#This Row],[PlantationDate]])</f>
        <v>124645731</v>
      </c>
      <c r="O1880" t="str">
        <f>CompilDonnées[[#This Row],[FarmID]]&amp;CompilDonnées[[#This Row],[ModuleNumber]]</f>
        <v>1246</v>
      </c>
      <c r="P1880" t="str">
        <f>CompilDonnées[[#This Row],[Ref_Module]]&amp;CompilDonnées[[#This Row],[HarvestingDate]]</f>
        <v>124645772</v>
      </c>
    </row>
    <row r="1881" spans="1:16">
      <c r="A1881" s="5">
        <v>45731</v>
      </c>
      <c r="B1881">
        <v>125</v>
      </c>
      <c r="C1881" t="s">
        <v>101</v>
      </c>
      <c r="D1881">
        <v>5</v>
      </c>
      <c r="E1881">
        <v>100</v>
      </c>
      <c r="F1881" t="s">
        <v>1</v>
      </c>
      <c r="G1881" s="6">
        <v>45772</v>
      </c>
      <c r="H1881">
        <v>41</v>
      </c>
      <c r="I1881">
        <f>ROUND(CompilDonnées[[#This Row],[CultureDuration_days]]/7,0)</f>
        <v>6</v>
      </c>
      <c r="J1881">
        <v>3540</v>
      </c>
      <c r="K1881" t="str">
        <f>_xlfn.CONCAT(WEEKNUM(CompilDonnées[[#This Row],[PlantationDate]]), " ", YEAR(CompilDonnées[[#This Row],[PlantationDate]]))</f>
        <v>11 2025</v>
      </c>
      <c r="L1881" t="str">
        <f>CONCATENATE(MONTH(CompilDonnées[[#This Row],[PlantationDate]])," ", YEAR(CompilDonnées[[#This Row],[PlantationDate]]))</f>
        <v>3 2025</v>
      </c>
      <c r="M1881" t="str">
        <f>CONCATENATE(MONTH(CompilDonnées[[#This Row],[HarvestingDate]])," ", YEAR(CompilDonnées[[#This Row],[HarvestingDate]]))</f>
        <v>4 2025</v>
      </c>
      <c r="N1881">
        <f>_xlfn.NUMBERVALUE(CompilDonnées[[#This Row],[FarmID]]&amp;CompilDonnées[[#This Row],[ModuleNumber]]&amp;CompilDonnées[[#This Row],[PlantationDate]])</f>
        <v>125545731</v>
      </c>
      <c r="O1881" t="str">
        <f>CompilDonnées[[#This Row],[FarmID]]&amp;CompilDonnées[[#This Row],[ModuleNumber]]</f>
        <v>1255</v>
      </c>
      <c r="P1881" t="str">
        <f>CompilDonnées[[#This Row],[Ref_Module]]&amp;CompilDonnées[[#This Row],[HarvestingDate]]</f>
        <v>125545772</v>
      </c>
    </row>
    <row r="1882" spans="1:16">
      <c r="A1882" s="5">
        <v>45731</v>
      </c>
      <c r="B1882">
        <v>132</v>
      </c>
      <c r="C1882" t="s">
        <v>120</v>
      </c>
      <c r="D1882">
        <v>1</v>
      </c>
      <c r="E1882">
        <v>100</v>
      </c>
      <c r="F1882" t="s">
        <v>1</v>
      </c>
      <c r="G1882" s="6">
        <v>45772</v>
      </c>
      <c r="H1882">
        <v>41</v>
      </c>
      <c r="I1882">
        <f>ROUND(CompilDonnées[[#This Row],[CultureDuration_days]]/7,0)</f>
        <v>6</v>
      </c>
      <c r="J1882">
        <v>3551</v>
      </c>
      <c r="K1882" t="str">
        <f>_xlfn.CONCAT(WEEKNUM(CompilDonnées[[#This Row],[PlantationDate]]), " ", YEAR(CompilDonnées[[#This Row],[PlantationDate]]))</f>
        <v>11 2025</v>
      </c>
      <c r="L1882" t="str">
        <f>CONCATENATE(MONTH(CompilDonnées[[#This Row],[PlantationDate]])," ", YEAR(CompilDonnées[[#This Row],[PlantationDate]]))</f>
        <v>3 2025</v>
      </c>
      <c r="M1882" t="str">
        <f>CONCATENATE(MONTH(CompilDonnées[[#This Row],[HarvestingDate]])," ", YEAR(CompilDonnées[[#This Row],[HarvestingDate]]))</f>
        <v>4 2025</v>
      </c>
      <c r="N1882">
        <f>_xlfn.NUMBERVALUE(CompilDonnées[[#This Row],[FarmID]]&amp;CompilDonnées[[#This Row],[ModuleNumber]]&amp;CompilDonnées[[#This Row],[PlantationDate]])</f>
        <v>132145731</v>
      </c>
      <c r="O1882" t="str">
        <f>CompilDonnées[[#This Row],[FarmID]]&amp;CompilDonnées[[#This Row],[ModuleNumber]]</f>
        <v>1321</v>
      </c>
      <c r="P1882" t="str">
        <f>CompilDonnées[[#This Row],[Ref_Module]]&amp;CompilDonnées[[#This Row],[HarvestingDate]]</f>
        <v>132145772</v>
      </c>
    </row>
    <row r="1883" spans="1:16">
      <c r="A1883" s="5">
        <v>45731</v>
      </c>
      <c r="B1883">
        <v>133</v>
      </c>
      <c r="C1883" t="s">
        <v>99</v>
      </c>
      <c r="D1883">
        <v>4</v>
      </c>
      <c r="E1883">
        <v>100</v>
      </c>
      <c r="F1883" t="s">
        <v>1</v>
      </c>
      <c r="G1883" s="6">
        <v>45765</v>
      </c>
      <c r="H1883">
        <v>34</v>
      </c>
      <c r="I1883">
        <f>ROUND(CompilDonnées[[#This Row],[CultureDuration_days]]/7,0)</f>
        <v>5</v>
      </c>
      <c r="J1883">
        <v>3139</v>
      </c>
      <c r="K1883" t="str">
        <f>_xlfn.CONCAT(WEEKNUM(CompilDonnées[[#This Row],[PlantationDate]]), " ", YEAR(CompilDonnées[[#This Row],[PlantationDate]]))</f>
        <v>11 2025</v>
      </c>
      <c r="L1883" t="str">
        <f>CONCATENATE(MONTH(CompilDonnées[[#This Row],[PlantationDate]])," ", YEAR(CompilDonnées[[#This Row],[PlantationDate]]))</f>
        <v>3 2025</v>
      </c>
      <c r="M1883" t="str">
        <f>CONCATENATE(MONTH(CompilDonnées[[#This Row],[HarvestingDate]])," ", YEAR(CompilDonnées[[#This Row],[HarvestingDate]]))</f>
        <v>4 2025</v>
      </c>
      <c r="N1883">
        <f>_xlfn.NUMBERVALUE(CompilDonnées[[#This Row],[FarmID]]&amp;CompilDonnées[[#This Row],[ModuleNumber]]&amp;CompilDonnées[[#This Row],[PlantationDate]])</f>
        <v>133445731</v>
      </c>
      <c r="O1883" t="str">
        <f>CompilDonnées[[#This Row],[FarmID]]&amp;CompilDonnées[[#This Row],[ModuleNumber]]</f>
        <v>1334</v>
      </c>
      <c r="P1883" t="str">
        <f>CompilDonnées[[#This Row],[Ref_Module]]&amp;CompilDonnées[[#This Row],[HarvestingDate]]</f>
        <v>133445765</v>
      </c>
    </row>
    <row r="1884" spans="1:16">
      <c r="A1884" s="5">
        <v>45731</v>
      </c>
      <c r="B1884">
        <v>133</v>
      </c>
      <c r="C1884" t="s">
        <v>99</v>
      </c>
      <c r="D1884">
        <v>5</v>
      </c>
      <c r="E1884">
        <v>100</v>
      </c>
      <c r="F1884" t="s">
        <v>1</v>
      </c>
      <c r="G1884" s="6">
        <v>45772</v>
      </c>
      <c r="H1884">
        <v>41</v>
      </c>
      <c r="I1884">
        <f>ROUND(CompilDonnées[[#This Row],[CultureDuration_days]]/7,0)</f>
        <v>6</v>
      </c>
      <c r="J1884">
        <v>3059</v>
      </c>
      <c r="K1884" t="str">
        <f>_xlfn.CONCAT(WEEKNUM(CompilDonnées[[#This Row],[PlantationDate]]), " ", YEAR(CompilDonnées[[#This Row],[PlantationDate]]))</f>
        <v>11 2025</v>
      </c>
      <c r="L1884" t="str">
        <f>CONCATENATE(MONTH(CompilDonnées[[#This Row],[PlantationDate]])," ", YEAR(CompilDonnées[[#This Row],[PlantationDate]]))</f>
        <v>3 2025</v>
      </c>
      <c r="M1884" t="str">
        <f>CONCATENATE(MONTH(CompilDonnées[[#This Row],[HarvestingDate]])," ", YEAR(CompilDonnées[[#This Row],[HarvestingDate]]))</f>
        <v>4 2025</v>
      </c>
      <c r="N1884">
        <f>_xlfn.NUMBERVALUE(CompilDonnées[[#This Row],[FarmID]]&amp;CompilDonnées[[#This Row],[ModuleNumber]]&amp;CompilDonnées[[#This Row],[PlantationDate]])</f>
        <v>133545731</v>
      </c>
      <c r="O1884" t="str">
        <f>CompilDonnées[[#This Row],[FarmID]]&amp;CompilDonnées[[#This Row],[ModuleNumber]]</f>
        <v>1335</v>
      </c>
      <c r="P1884" t="str">
        <f>CompilDonnées[[#This Row],[Ref_Module]]&amp;CompilDonnées[[#This Row],[HarvestingDate]]</f>
        <v>133545772</v>
      </c>
    </row>
    <row r="1885" spans="1:16">
      <c r="A1885" s="5">
        <v>45731</v>
      </c>
      <c r="B1885">
        <v>138</v>
      </c>
      <c r="C1885" t="s">
        <v>8</v>
      </c>
      <c r="D1885">
        <v>5</v>
      </c>
      <c r="E1885">
        <v>100</v>
      </c>
      <c r="F1885" t="s">
        <v>1</v>
      </c>
      <c r="G1885" s="6">
        <v>45772</v>
      </c>
      <c r="H1885">
        <v>41</v>
      </c>
      <c r="I1885">
        <f>ROUND(CompilDonnées[[#This Row],[CultureDuration_days]]/7,0)</f>
        <v>6</v>
      </c>
      <c r="J1885">
        <v>3050</v>
      </c>
      <c r="K1885" t="str">
        <f>_xlfn.CONCAT(WEEKNUM(CompilDonnées[[#This Row],[PlantationDate]]), " ", YEAR(CompilDonnées[[#This Row],[PlantationDate]]))</f>
        <v>11 2025</v>
      </c>
      <c r="L1885" t="str">
        <f>CONCATENATE(MONTH(CompilDonnées[[#This Row],[PlantationDate]])," ", YEAR(CompilDonnées[[#This Row],[PlantationDate]]))</f>
        <v>3 2025</v>
      </c>
      <c r="M1885" t="str">
        <f>CONCATENATE(MONTH(CompilDonnées[[#This Row],[HarvestingDate]])," ", YEAR(CompilDonnées[[#This Row],[HarvestingDate]]))</f>
        <v>4 2025</v>
      </c>
      <c r="N1885">
        <f>_xlfn.NUMBERVALUE(CompilDonnées[[#This Row],[FarmID]]&amp;CompilDonnées[[#This Row],[ModuleNumber]]&amp;CompilDonnées[[#This Row],[PlantationDate]])</f>
        <v>138545731</v>
      </c>
      <c r="O1885" t="str">
        <f>CompilDonnées[[#This Row],[FarmID]]&amp;CompilDonnées[[#This Row],[ModuleNumber]]</f>
        <v>1385</v>
      </c>
      <c r="P1885" t="str">
        <f>CompilDonnées[[#This Row],[Ref_Module]]&amp;CompilDonnées[[#This Row],[HarvestingDate]]</f>
        <v>138545772</v>
      </c>
    </row>
    <row r="1886" spans="1:16">
      <c r="A1886" s="5">
        <v>45731</v>
      </c>
      <c r="B1886">
        <v>138</v>
      </c>
      <c r="C1886" t="s">
        <v>8</v>
      </c>
      <c r="D1886">
        <v>6</v>
      </c>
      <c r="E1886">
        <v>100</v>
      </c>
      <c r="F1886" t="s">
        <v>1</v>
      </c>
      <c r="G1886" s="6">
        <v>45775</v>
      </c>
      <c r="H1886">
        <v>44</v>
      </c>
      <c r="I1886">
        <f>ROUND(CompilDonnées[[#This Row],[CultureDuration_days]]/7,0)</f>
        <v>6</v>
      </c>
      <c r="J1886">
        <v>2427</v>
      </c>
      <c r="K1886" t="str">
        <f>_xlfn.CONCAT(WEEKNUM(CompilDonnées[[#This Row],[PlantationDate]]), " ", YEAR(CompilDonnées[[#This Row],[PlantationDate]]))</f>
        <v>11 2025</v>
      </c>
      <c r="L1886" t="str">
        <f>CONCATENATE(MONTH(CompilDonnées[[#This Row],[PlantationDate]])," ", YEAR(CompilDonnées[[#This Row],[PlantationDate]]))</f>
        <v>3 2025</v>
      </c>
      <c r="M1886" t="str">
        <f>CONCATENATE(MONTH(CompilDonnées[[#This Row],[HarvestingDate]])," ", YEAR(CompilDonnées[[#This Row],[HarvestingDate]]))</f>
        <v>4 2025</v>
      </c>
      <c r="N1886">
        <f>_xlfn.NUMBERVALUE(CompilDonnées[[#This Row],[FarmID]]&amp;CompilDonnées[[#This Row],[ModuleNumber]]&amp;CompilDonnées[[#This Row],[PlantationDate]])</f>
        <v>138645731</v>
      </c>
      <c r="O1886" t="str">
        <f>CompilDonnées[[#This Row],[FarmID]]&amp;CompilDonnées[[#This Row],[ModuleNumber]]</f>
        <v>1386</v>
      </c>
      <c r="P1886" t="str">
        <f>CompilDonnées[[#This Row],[Ref_Module]]&amp;CompilDonnées[[#This Row],[HarvestingDate]]</f>
        <v>138645775</v>
      </c>
    </row>
    <row r="1887" spans="1:16">
      <c r="A1887" s="5">
        <v>45731</v>
      </c>
      <c r="B1887">
        <v>139</v>
      </c>
      <c r="C1887" t="s">
        <v>103</v>
      </c>
      <c r="D1887">
        <v>4</v>
      </c>
      <c r="E1887">
        <v>100</v>
      </c>
      <c r="F1887" t="s">
        <v>1</v>
      </c>
      <c r="G1887" s="6">
        <v>45772</v>
      </c>
      <c r="H1887">
        <v>41</v>
      </c>
      <c r="I1887">
        <f>ROUND(CompilDonnées[[#This Row],[CultureDuration_days]]/7,0)</f>
        <v>6</v>
      </c>
      <c r="J1887">
        <v>3312</v>
      </c>
      <c r="K1887" t="str">
        <f>_xlfn.CONCAT(WEEKNUM(CompilDonnées[[#This Row],[PlantationDate]]), " ", YEAR(CompilDonnées[[#This Row],[PlantationDate]]))</f>
        <v>11 2025</v>
      </c>
      <c r="L1887" t="str">
        <f>CONCATENATE(MONTH(CompilDonnées[[#This Row],[PlantationDate]])," ", YEAR(CompilDonnées[[#This Row],[PlantationDate]]))</f>
        <v>3 2025</v>
      </c>
      <c r="M1887" t="str">
        <f>CONCATENATE(MONTH(CompilDonnées[[#This Row],[HarvestingDate]])," ", YEAR(CompilDonnées[[#This Row],[HarvestingDate]]))</f>
        <v>4 2025</v>
      </c>
      <c r="N1887">
        <f>_xlfn.NUMBERVALUE(CompilDonnées[[#This Row],[FarmID]]&amp;CompilDonnées[[#This Row],[ModuleNumber]]&amp;CompilDonnées[[#This Row],[PlantationDate]])</f>
        <v>139445731</v>
      </c>
      <c r="O1887" t="str">
        <f>CompilDonnées[[#This Row],[FarmID]]&amp;CompilDonnées[[#This Row],[ModuleNumber]]</f>
        <v>1394</v>
      </c>
      <c r="P1887" t="str">
        <f>CompilDonnées[[#This Row],[Ref_Module]]&amp;CompilDonnées[[#This Row],[HarvestingDate]]</f>
        <v>139445772</v>
      </c>
    </row>
    <row r="1888" spans="1:16">
      <c r="A1888" s="5">
        <v>45731</v>
      </c>
      <c r="B1888">
        <v>140</v>
      </c>
      <c r="C1888" t="s">
        <v>96</v>
      </c>
      <c r="D1888">
        <v>1</v>
      </c>
      <c r="E1888">
        <v>100</v>
      </c>
      <c r="F1888" t="s">
        <v>1</v>
      </c>
      <c r="G1888" s="6">
        <v>45765</v>
      </c>
      <c r="H1888">
        <v>34</v>
      </c>
      <c r="I1888">
        <f>ROUND(CompilDonnées[[#This Row],[CultureDuration_days]]/7,0)</f>
        <v>5</v>
      </c>
      <c r="J1888">
        <v>3019</v>
      </c>
      <c r="K1888" t="str">
        <f>_xlfn.CONCAT(WEEKNUM(CompilDonnées[[#This Row],[PlantationDate]]), " ", YEAR(CompilDonnées[[#This Row],[PlantationDate]]))</f>
        <v>11 2025</v>
      </c>
      <c r="L1888" t="str">
        <f>CONCATENATE(MONTH(CompilDonnées[[#This Row],[PlantationDate]])," ", YEAR(CompilDonnées[[#This Row],[PlantationDate]]))</f>
        <v>3 2025</v>
      </c>
      <c r="M1888" t="str">
        <f>CONCATENATE(MONTH(CompilDonnées[[#This Row],[HarvestingDate]])," ", YEAR(CompilDonnées[[#This Row],[HarvestingDate]]))</f>
        <v>4 2025</v>
      </c>
      <c r="N1888">
        <f>_xlfn.NUMBERVALUE(CompilDonnées[[#This Row],[FarmID]]&amp;CompilDonnées[[#This Row],[ModuleNumber]]&amp;CompilDonnées[[#This Row],[PlantationDate]])</f>
        <v>140145731</v>
      </c>
      <c r="O1888" t="str">
        <f>CompilDonnées[[#This Row],[FarmID]]&amp;CompilDonnées[[#This Row],[ModuleNumber]]</f>
        <v>1401</v>
      </c>
      <c r="P1888" t="str">
        <f>CompilDonnées[[#This Row],[Ref_Module]]&amp;CompilDonnées[[#This Row],[HarvestingDate]]</f>
        <v>140145765</v>
      </c>
    </row>
    <row r="1889" spans="1:16">
      <c r="A1889" s="5">
        <v>45731</v>
      </c>
      <c r="B1889">
        <v>140</v>
      </c>
      <c r="C1889" t="s">
        <v>96</v>
      </c>
      <c r="D1889">
        <v>2</v>
      </c>
      <c r="E1889">
        <v>100</v>
      </c>
      <c r="F1889" t="s">
        <v>1</v>
      </c>
      <c r="G1889" s="6">
        <v>45773</v>
      </c>
      <c r="H1889">
        <v>42</v>
      </c>
      <c r="I1889">
        <f>ROUND(CompilDonnées[[#This Row],[CultureDuration_days]]/7,0)</f>
        <v>6</v>
      </c>
      <c r="J1889">
        <v>2986</v>
      </c>
      <c r="K1889" t="str">
        <f>_xlfn.CONCAT(WEEKNUM(CompilDonnées[[#This Row],[PlantationDate]]), " ", YEAR(CompilDonnées[[#This Row],[PlantationDate]]))</f>
        <v>11 2025</v>
      </c>
      <c r="L1889" t="str">
        <f>CONCATENATE(MONTH(CompilDonnées[[#This Row],[PlantationDate]])," ", YEAR(CompilDonnées[[#This Row],[PlantationDate]]))</f>
        <v>3 2025</v>
      </c>
      <c r="M1889" t="str">
        <f>CONCATENATE(MONTH(CompilDonnées[[#This Row],[HarvestingDate]])," ", YEAR(CompilDonnées[[#This Row],[HarvestingDate]]))</f>
        <v>4 2025</v>
      </c>
      <c r="N1889">
        <f>_xlfn.NUMBERVALUE(CompilDonnées[[#This Row],[FarmID]]&amp;CompilDonnées[[#This Row],[ModuleNumber]]&amp;CompilDonnées[[#This Row],[PlantationDate]])</f>
        <v>140245731</v>
      </c>
      <c r="O1889" t="str">
        <f>CompilDonnées[[#This Row],[FarmID]]&amp;CompilDonnées[[#This Row],[ModuleNumber]]</f>
        <v>1402</v>
      </c>
      <c r="P1889" t="str">
        <f>CompilDonnées[[#This Row],[Ref_Module]]&amp;CompilDonnées[[#This Row],[HarvestingDate]]</f>
        <v>140245773</v>
      </c>
    </row>
    <row r="1890" spans="1:16">
      <c r="A1890" s="5">
        <v>45731</v>
      </c>
      <c r="B1890">
        <v>108</v>
      </c>
      <c r="C1890" t="s">
        <v>58</v>
      </c>
      <c r="D1890">
        <v>2</v>
      </c>
      <c r="E1890">
        <v>100</v>
      </c>
      <c r="F1890" t="s">
        <v>1</v>
      </c>
      <c r="G1890" s="6">
        <v>45775</v>
      </c>
      <c r="H1890">
        <v>44</v>
      </c>
      <c r="I1890">
        <f>ROUND(CompilDonnées[[#This Row],[CultureDuration_days]]/7,0)</f>
        <v>6</v>
      </c>
      <c r="J1890">
        <v>3085</v>
      </c>
      <c r="K1890" t="str">
        <f>_xlfn.CONCAT(WEEKNUM(CompilDonnées[[#This Row],[PlantationDate]]), " ", YEAR(CompilDonnées[[#This Row],[PlantationDate]]))</f>
        <v>11 2025</v>
      </c>
      <c r="L1890" t="str">
        <f>CONCATENATE(MONTH(CompilDonnées[[#This Row],[PlantationDate]])," ", YEAR(CompilDonnées[[#This Row],[PlantationDate]]))</f>
        <v>3 2025</v>
      </c>
      <c r="M1890" t="str">
        <f>CONCATENATE(MONTH(CompilDonnées[[#This Row],[HarvestingDate]])," ", YEAR(CompilDonnées[[#This Row],[HarvestingDate]]))</f>
        <v>4 2025</v>
      </c>
      <c r="N1890">
        <f>_xlfn.NUMBERVALUE(CompilDonnées[[#This Row],[FarmID]]&amp;CompilDonnées[[#This Row],[ModuleNumber]]&amp;CompilDonnées[[#This Row],[PlantationDate]])</f>
        <v>108245731</v>
      </c>
      <c r="O1890" t="str">
        <f>CompilDonnées[[#This Row],[FarmID]]&amp;CompilDonnées[[#This Row],[ModuleNumber]]</f>
        <v>1082</v>
      </c>
      <c r="P1890" t="str">
        <f>CompilDonnées[[#This Row],[Ref_Module]]&amp;CompilDonnées[[#This Row],[HarvestingDate]]</f>
        <v>108245775</v>
      </c>
    </row>
    <row r="1891" spans="1:16">
      <c r="A1891" s="5">
        <v>45731</v>
      </c>
      <c r="B1891">
        <v>109</v>
      </c>
      <c r="C1891" t="s">
        <v>87</v>
      </c>
      <c r="D1891">
        <v>4</v>
      </c>
      <c r="E1891">
        <v>100</v>
      </c>
      <c r="F1891" t="s">
        <v>1</v>
      </c>
      <c r="G1891" s="6">
        <v>45775</v>
      </c>
      <c r="H1891">
        <v>44</v>
      </c>
      <c r="I1891">
        <f>ROUND(CompilDonnées[[#This Row],[CultureDuration_days]]/7,0)</f>
        <v>6</v>
      </c>
      <c r="J1891">
        <v>3455</v>
      </c>
      <c r="K1891" t="str">
        <f>_xlfn.CONCAT(WEEKNUM(CompilDonnées[[#This Row],[PlantationDate]]), " ", YEAR(CompilDonnées[[#This Row],[PlantationDate]]))</f>
        <v>11 2025</v>
      </c>
      <c r="L1891" t="str">
        <f>CONCATENATE(MONTH(CompilDonnées[[#This Row],[PlantationDate]])," ", YEAR(CompilDonnées[[#This Row],[PlantationDate]]))</f>
        <v>3 2025</v>
      </c>
      <c r="M1891" t="str">
        <f>CONCATENATE(MONTH(CompilDonnées[[#This Row],[HarvestingDate]])," ", YEAR(CompilDonnées[[#This Row],[HarvestingDate]]))</f>
        <v>4 2025</v>
      </c>
      <c r="N1891">
        <f>_xlfn.NUMBERVALUE(CompilDonnées[[#This Row],[FarmID]]&amp;CompilDonnées[[#This Row],[ModuleNumber]]&amp;CompilDonnées[[#This Row],[PlantationDate]])</f>
        <v>109445731</v>
      </c>
      <c r="O1891" t="str">
        <f>CompilDonnées[[#This Row],[FarmID]]&amp;CompilDonnées[[#This Row],[ModuleNumber]]</f>
        <v>1094</v>
      </c>
      <c r="P1891" t="str">
        <f>CompilDonnées[[#This Row],[Ref_Module]]&amp;CompilDonnées[[#This Row],[HarvestingDate]]</f>
        <v>109445775</v>
      </c>
    </row>
    <row r="1892" spans="1:16">
      <c r="A1892" s="5">
        <v>45731</v>
      </c>
      <c r="B1892">
        <v>109</v>
      </c>
      <c r="C1892" t="s">
        <v>87</v>
      </c>
      <c r="D1892">
        <v>5</v>
      </c>
      <c r="E1892">
        <v>100</v>
      </c>
      <c r="F1892" t="s">
        <v>1</v>
      </c>
      <c r="G1892" s="6">
        <v>45775</v>
      </c>
      <c r="H1892">
        <v>44</v>
      </c>
      <c r="I1892">
        <f>ROUND(CompilDonnées[[#This Row],[CultureDuration_days]]/7,0)</f>
        <v>6</v>
      </c>
      <c r="J1892">
        <v>3512</v>
      </c>
      <c r="K1892" t="str">
        <f>_xlfn.CONCAT(WEEKNUM(CompilDonnées[[#This Row],[PlantationDate]]), " ", YEAR(CompilDonnées[[#This Row],[PlantationDate]]))</f>
        <v>11 2025</v>
      </c>
      <c r="L1892" t="str">
        <f>CONCATENATE(MONTH(CompilDonnées[[#This Row],[PlantationDate]])," ", YEAR(CompilDonnées[[#This Row],[PlantationDate]]))</f>
        <v>3 2025</v>
      </c>
      <c r="M1892" t="str">
        <f>CONCATENATE(MONTH(CompilDonnées[[#This Row],[HarvestingDate]])," ", YEAR(CompilDonnées[[#This Row],[HarvestingDate]]))</f>
        <v>4 2025</v>
      </c>
      <c r="N1892">
        <f>_xlfn.NUMBERVALUE(CompilDonnées[[#This Row],[FarmID]]&amp;CompilDonnées[[#This Row],[ModuleNumber]]&amp;CompilDonnées[[#This Row],[PlantationDate]])</f>
        <v>109545731</v>
      </c>
      <c r="O1892" t="str">
        <f>CompilDonnées[[#This Row],[FarmID]]&amp;CompilDonnées[[#This Row],[ModuleNumber]]</f>
        <v>1095</v>
      </c>
      <c r="P1892" t="str">
        <f>CompilDonnées[[#This Row],[Ref_Module]]&amp;CompilDonnées[[#This Row],[HarvestingDate]]</f>
        <v>109545775</v>
      </c>
    </row>
    <row r="1893" spans="1:16">
      <c r="A1893" s="5">
        <v>45731</v>
      </c>
      <c r="B1893">
        <v>112</v>
      </c>
      <c r="C1893" t="s">
        <v>15</v>
      </c>
      <c r="D1893">
        <v>1</v>
      </c>
      <c r="E1893">
        <v>100</v>
      </c>
      <c r="F1893" t="s">
        <v>1</v>
      </c>
      <c r="G1893" s="6">
        <v>45772</v>
      </c>
      <c r="H1893">
        <v>41</v>
      </c>
      <c r="I1893">
        <f>ROUND(CompilDonnées[[#This Row],[CultureDuration_days]]/7,0)</f>
        <v>6</v>
      </c>
      <c r="J1893">
        <v>3098</v>
      </c>
      <c r="K1893" t="str">
        <f>_xlfn.CONCAT(WEEKNUM(CompilDonnées[[#This Row],[PlantationDate]]), " ", YEAR(CompilDonnées[[#This Row],[PlantationDate]]))</f>
        <v>11 2025</v>
      </c>
      <c r="L1893" t="str">
        <f>CONCATENATE(MONTH(CompilDonnées[[#This Row],[PlantationDate]])," ", YEAR(CompilDonnées[[#This Row],[PlantationDate]]))</f>
        <v>3 2025</v>
      </c>
      <c r="M1893" t="str">
        <f>CONCATENATE(MONTH(CompilDonnées[[#This Row],[HarvestingDate]])," ", YEAR(CompilDonnées[[#This Row],[HarvestingDate]]))</f>
        <v>4 2025</v>
      </c>
      <c r="N1893">
        <f>_xlfn.NUMBERVALUE(CompilDonnées[[#This Row],[FarmID]]&amp;CompilDonnées[[#This Row],[ModuleNumber]]&amp;CompilDonnées[[#This Row],[PlantationDate]])</f>
        <v>112145731</v>
      </c>
      <c r="O1893" t="str">
        <f>CompilDonnées[[#This Row],[FarmID]]&amp;CompilDonnées[[#This Row],[ModuleNumber]]</f>
        <v>1121</v>
      </c>
      <c r="P1893" t="str">
        <f>CompilDonnées[[#This Row],[Ref_Module]]&amp;CompilDonnées[[#This Row],[HarvestingDate]]</f>
        <v>112145772</v>
      </c>
    </row>
    <row r="1894" spans="1:16">
      <c r="A1894" s="5">
        <v>45731</v>
      </c>
      <c r="B1894">
        <v>113</v>
      </c>
      <c r="C1894" t="s">
        <v>16</v>
      </c>
      <c r="D1894">
        <v>3</v>
      </c>
      <c r="E1894">
        <v>100</v>
      </c>
      <c r="F1894" t="s">
        <v>1</v>
      </c>
      <c r="G1894" s="6">
        <v>45775</v>
      </c>
      <c r="H1894">
        <v>44</v>
      </c>
      <c r="I1894">
        <f>ROUND(CompilDonnées[[#This Row],[CultureDuration_days]]/7,0)</f>
        <v>6</v>
      </c>
      <c r="J1894">
        <v>3127</v>
      </c>
      <c r="K1894" t="str">
        <f>_xlfn.CONCAT(WEEKNUM(CompilDonnées[[#This Row],[PlantationDate]]), " ", YEAR(CompilDonnées[[#This Row],[PlantationDate]]))</f>
        <v>11 2025</v>
      </c>
      <c r="L1894" t="str">
        <f>CONCATENATE(MONTH(CompilDonnées[[#This Row],[PlantationDate]])," ", YEAR(CompilDonnées[[#This Row],[PlantationDate]]))</f>
        <v>3 2025</v>
      </c>
      <c r="M1894" t="str">
        <f>CONCATENATE(MONTH(CompilDonnées[[#This Row],[HarvestingDate]])," ", YEAR(CompilDonnées[[#This Row],[HarvestingDate]]))</f>
        <v>4 2025</v>
      </c>
      <c r="N1894">
        <f>_xlfn.NUMBERVALUE(CompilDonnées[[#This Row],[FarmID]]&amp;CompilDonnées[[#This Row],[ModuleNumber]]&amp;CompilDonnées[[#This Row],[PlantationDate]])</f>
        <v>113345731</v>
      </c>
      <c r="O1894" t="str">
        <f>CompilDonnées[[#This Row],[FarmID]]&amp;CompilDonnées[[#This Row],[ModuleNumber]]</f>
        <v>1133</v>
      </c>
      <c r="P1894" t="str">
        <f>CompilDonnées[[#This Row],[Ref_Module]]&amp;CompilDonnées[[#This Row],[HarvestingDate]]</f>
        <v>113345775</v>
      </c>
    </row>
    <row r="1895" spans="1:16">
      <c r="A1895" s="5">
        <v>45731</v>
      </c>
      <c r="B1895">
        <v>115</v>
      </c>
      <c r="C1895" t="s">
        <v>121</v>
      </c>
      <c r="D1895">
        <v>4</v>
      </c>
      <c r="E1895">
        <v>100</v>
      </c>
      <c r="F1895" t="s">
        <v>1</v>
      </c>
      <c r="G1895" s="6">
        <v>45775</v>
      </c>
      <c r="H1895">
        <v>44</v>
      </c>
      <c r="I1895">
        <f>ROUND(CompilDonnées[[#This Row],[CultureDuration_days]]/7,0)</f>
        <v>6</v>
      </c>
      <c r="J1895">
        <v>2902</v>
      </c>
      <c r="K1895" t="str">
        <f>_xlfn.CONCAT(WEEKNUM(CompilDonnées[[#This Row],[PlantationDate]]), " ", YEAR(CompilDonnées[[#This Row],[PlantationDate]]))</f>
        <v>11 2025</v>
      </c>
      <c r="L1895" t="str">
        <f>CONCATENATE(MONTH(CompilDonnées[[#This Row],[PlantationDate]])," ", YEAR(CompilDonnées[[#This Row],[PlantationDate]]))</f>
        <v>3 2025</v>
      </c>
      <c r="M1895" t="str">
        <f>CONCATENATE(MONTH(CompilDonnées[[#This Row],[HarvestingDate]])," ", YEAR(CompilDonnées[[#This Row],[HarvestingDate]]))</f>
        <v>4 2025</v>
      </c>
      <c r="N1895">
        <f>_xlfn.NUMBERVALUE(CompilDonnées[[#This Row],[FarmID]]&amp;CompilDonnées[[#This Row],[ModuleNumber]]&amp;CompilDonnées[[#This Row],[PlantationDate]])</f>
        <v>115445731</v>
      </c>
      <c r="O1895" t="str">
        <f>CompilDonnées[[#This Row],[FarmID]]&amp;CompilDonnées[[#This Row],[ModuleNumber]]</f>
        <v>1154</v>
      </c>
      <c r="P1895" t="str">
        <f>CompilDonnées[[#This Row],[Ref_Module]]&amp;CompilDonnées[[#This Row],[HarvestingDate]]</f>
        <v>115445775</v>
      </c>
    </row>
    <row r="1896" spans="1:16">
      <c r="A1896" s="5">
        <v>45731</v>
      </c>
      <c r="B1896">
        <v>116</v>
      </c>
      <c r="C1896" t="s">
        <v>76</v>
      </c>
      <c r="D1896">
        <v>4</v>
      </c>
      <c r="E1896">
        <v>100</v>
      </c>
      <c r="F1896" t="s">
        <v>1</v>
      </c>
      <c r="G1896" s="6">
        <v>45765</v>
      </c>
      <c r="H1896">
        <v>34</v>
      </c>
      <c r="I1896">
        <f>ROUND(CompilDonnées[[#This Row],[CultureDuration_days]]/7,0)</f>
        <v>5</v>
      </c>
      <c r="J1896">
        <v>2604</v>
      </c>
      <c r="K1896" t="str">
        <f>_xlfn.CONCAT(WEEKNUM(CompilDonnées[[#This Row],[PlantationDate]]), " ", YEAR(CompilDonnées[[#This Row],[PlantationDate]]))</f>
        <v>11 2025</v>
      </c>
      <c r="L1896" t="str">
        <f>CONCATENATE(MONTH(CompilDonnées[[#This Row],[PlantationDate]])," ", YEAR(CompilDonnées[[#This Row],[PlantationDate]]))</f>
        <v>3 2025</v>
      </c>
      <c r="M1896" t="str">
        <f>CONCATENATE(MONTH(CompilDonnées[[#This Row],[HarvestingDate]])," ", YEAR(CompilDonnées[[#This Row],[HarvestingDate]]))</f>
        <v>4 2025</v>
      </c>
      <c r="N1896">
        <f>_xlfn.NUMBERVALUE(CompilDonnées[[#This Row],[FarmID]]&amp;CompilDonnées[[#This Row],[ModuleNumber]]&amp;CompilDonnées[[#This Row],[PlantationDate]])</f>
        <v>116445731</v>
      </c>
      <c r="O1896" t="str">
        <f>CompilDonnées[[#This Row],[FarmID]]&amp;CompilDonnées[[#This Row],[ModuleNumber]]</f>
        <v>1164</v>
      </c>
      <c r="P1896" t="str">
        <f>CompilDonnées[[#This Row],[Ref_Module]]&amp;CompilDonnées[[#This Row],[HarvestingDate]]</f>
        <v>116445765</v>
      </c>
    </row>
    <row r="1897" spans="1:16">
      <c r="A1897" s="5">
        <v>45731</v>
      </c>
      <c r="B1897">
        <v>117</v>
      </c>
      <c r="C1897" t="s">
        <v>11</v>
      </c>
      <c r="D1897">
        <v>4</v>
      </c>
      <c r="E1897">
        <v>100</v>
      </c>
      <c r="F1897" t="s">
        <v>1</v>
      </c>
      <c r="G1897" s="6">
        <v>45772</v>
      </c>
      <c r="H1897">
        <v>41</v>
      </c>
      <c r="I1897">
        <f>ROUND(CompilDonnées[[#This Row],[CultureDuration_days]]/7,0)</f>
        <v>6</v>
      </c>
      <c r="J1897">
        <v>3425</v>
      </c>
      <c r="K1897" t="str">
        <f>_xlfn.CONCAT(WEEKNUM(CompilDonnées[[#This Row],[PlantationDate]]), " ", YEAR(CompilDonnées[[#This Row],[PlantationDate]]))</f>
        <v>11 2025</v>
      </c>
      <c r="L1897" t="str">
        <f>CONCATENATE(MONTH(CompilDonnées[[#This Row],[PlantationDate]])," ", YEAR(CompilDonnées[[#This Row],[PlantationDate]]))</f>
        <v>3 2025</v>
      </c>
      <c r="M1897" t="str">
        <f>CONCATENATE(MONTH(CompilDonnées[[#This Row],[HarvestingDate]])," ", YEAR(CompilDonnées[[#This Row],[HarvestingDate]]))</f>
        <v>4 2025</v>
      </c>
      <c r="N1897">
        <f>_xlfn.NUMBERVALUE(CompilDonnées[[#This Row],[FarmID]]&amp;CompilDonnées[[#This Row],[ModuleNumber]]&amp;CompilDonnées[[#This Row],[PlantationDate]])</f>
        <v>117445731</v>
      </c>
      <c r="O1897" t="str">
        <f>CompilDonnées[[#This Row],[FarmID]]&amp;CompilDonnées[[#This Row],[ModuleNumber]]</f>
        <v>1174</v>
      </c>
      <c r="P1897" t="str">
        <f>CompilDonnées[[#This Row],[Ref_Module]]&amp;CompilDonnées[[#This Row],[HarvestingDate]]</f>
        <v>117445772</v>
      </c>
    </row>
    <row r="1898" spans="1:16">
      <c r="A1898" s="5">
        <v>45731</v>
      </c>
      <c r="B1898">
        <v>118</v>
      </c>
      <c r="C1898" t="s">
        <v>51</v>
      </c>
      <c r="D1898">
        <v>3</v>
      </c>
      <c r="E1898">
        <v>100</v>
      </c>
      <c r="F1898" t="s">
        <v>1</v>
      </c>
      <c r="G1898" s="6">
        <v>45775</v>
      </c>
      <c r="H1898">
        <v>44</v>
      </c>
      <c r="I1898">
        <f>ROUND(CompilDonnées[[#This Row],[CultureDuration_days]]/7,0)</f>
        <v>6</v>
      </c>
      <c r="J1898">
        <v>3008</v>
      </c>
      <c r="K1898" t="str">
        <f>_xlfn.CONCAT(WEEKNUM(CompilDonnées[[#This Row],[PlantationDate]]), " ", YEAR(CompilDonnées[[#This Row],[PlantationDate]]))</f>
        <v>11 2025</v>
      </c>
      <c r="L1898" t="str">
        <f>CONCATENATE(MONTH(CompilDonnées[[#This Row],[PlantationDate]])," ", YEAR(CompilDonnées[[#This Row],[PlantationDate]]))</f>
        <v>3 2025</v>
      </c>
      <c r="M1898" t="str">
        <f>CONCATENATE(MONTH(CompilDonnées[[#This Row],[HarvestingDate]])," ", YEAR(CompilDonnées[[#This Row],[HarvestingDate]]))</f>
        <v>4 2025</v>
      </c>
      <c r="N1898">
        <f>_xlfn.NUMBERVALUE(CompilDonnées[[#This Row],[FarmID]]&amp;CompilDonnées[[#This Row],[ModuleNumber]]&amp;CompilDonnées[[#This Row],[PlantationDate]])</f>
        <v>118345731</v>
      </c>
      <c r="O1898" t="str">
        <f>CompilDonnées[[#This Row],[FarmID]]&amp;CompilDonnées[[#This Row],[ModuleNumber]]</f>
        <v>1183</v>
      </c>
      <c r="P1898" t="str">
        <f>CompilDonnées[[#This Row],[Ref_Module]]&amp;CompilDonnées[[#This Row],[HarvestingDate]]</f>
        <v>118345775</v>
      </c>
    </row>
    <row r="1899" spans="1:16">
      <c r="A1899" s="5">
        <v>45731</v>
      </c>
      <c r="B1899">
        <v>118</v>
      </c>
      <c r="C1899" t="s">
        <v>51</v>
      </c>
      <c r="D1899">
        <v>5</v>
      </c>
      <c r="E1899">
        <v>95</v>
      </c>
      <c r="F1899" t="s">
        <v>1</v>
      </c>
      <c r="G1899" s="6">
        <v>45772</v>
      </c>
      <c r="H1899">
        <v>41</v>
      </c>
      <c r="I1899">
        <f>ROUND(CompilDonnées[[#This Row],[CultureDuration_days]]/7,0)</f>
        <v>6</v>
      </c>
      <c r="J1899">
        <v>3444</v>
      </c>
      <c r="K1899" t="str">
        <f>_xlfn.CONCAT(WEEKNUM(CompilDonnées[[#This Row],[PlantationDate]]), " ", YEAR(CompilDonnées[[#This Row],[PlantationDate]]))</f>
        <v>11 2025</v>
      </c>
      <c r="L1899" t="str">
        <f>CONCATENATE(MONTH(CompilDonnées[[#This Row],[PlantationDate]])," ", YEAR(CompilDonnées[[#This Row],[PlantationDate]]))</f>
        <v>3 2025</v>
      </c>
      <c r="M1899" t="str">
        <f>CONCATENATE(MONTH(CompilDonnées[[#This Row],[HarvestingDate]])," ", YEAR(CompilDonnées[[#This Row],[HarvestingDate]]))</f>
        <v>4 2025</v>
      </c>
      <c r="N1899">
        <f>_xlfn.NUMBERVALUE(CompilDonnées[[#This Row],[FarmID]]&amp;CompilDonnées[[#This Row],[ModuleNumber]]&amp;CompilDonnées[[#This Row],[PlantationDate]])</f>
        <v>118545731</v>
      </c>
      <c r="O1899" t="str">
        <f>CompilDonnées[[#This Row],[FarmID]]&amp;CompilDonnées[[#This Row],[ModuleNumber]]</f>
        <v>1185</v>
      </c>
      <c r="P1899" t="str">
        <f>CompilDonnées[[#This Row],[Ref_Module]]&amp;CompilDonnées[[#This Row],[HarvestingDate]]</f>
        <v>118545772</v>
      </c>
    </row>
    <row r="1900" spans="1:16">
      <c r="A1900" s="5">
        <v>45731</v>
      </c>
      <c r="B1900">
        <v>119</v>
      </c>
      <c r="C1900" t="s">
        <v>59</v>
      </c>
      <c r="D1900">
        <v>3</v>
      </c>
      <c r="E1900">
        <v>100</v>
      </c>
      <c r="F1900" t="s">
        <v>1</v>
      </c>
      <c r="G1900" s="6">
        <v>45772</v>
      </c>
      <c r="H1900">
        <v>41</v>
      </c>
      <c r="I1900">
        <f>ROUND(CompilDonnées[[#This Row],[CultureDuration_days]]/7,0)</f>
        <v>6</v>
      </c>
      <c r="J1900">
        <v>3210</v>
      </c>
      <c r="K1900" t="str">
        <f>_xlfn.CONCAT(WEEKNUM(CompilDonnées[[#This Row],[PlantationDate]]), " ", YEAR(CompilDonnées[[#This Row],[PlantationDate]]))</f>
        <v>11 2025</v>
      </c>
      <c r="L1900" t="str">
        <f>CONCATENATE(MONTH(CompilDonnées[[#This Row],[PlantationDate]])," ", YEAR(CompilDonnées[[#This Row],[PlantationDate]]))</f>
        <v>3 2025</v>
      </c>
      <c r="M1900" t="str">
        <f>CONCATENATE(MONTH(CompilDonnées[[#This Row],[HarvestingDate]])," ", YEAR(CompilDonnées[[#This Row],[HarvestingDate]]))</f>
        <v>4 2025</v>
      </c>
      <c r="N1900">
        <f>_xlfn.NUMBERVALUE(CompilDonnées[[#This Row],[FarmID]]&amp;CompilDonnées[[#This Row],[ModuleNumber]]&amp;CompilDonnées[[#This Row],[PlantationDate]])</f>
        <v>119345731</v>
      </c>
      <c r="O1900" t="str">
        <f>CompilDonnées[[#This Row],[FarmID]]&amp;CompilDonnées[[#This Row],[ModuleNumber]]</f>
        <v>1193</v>
      </c>
      <c r="P1900" t="str">
        <f>CompilDonnées[[#This Row],[Ref_Module]]&amp;CompilDonnées[[#This Row],[HarvestingDate]]</f>
        <v>119345772</v>
      </c>
    </row>
    <row r="1901" spans="1:16">
      <c r="A1901" s="5">
        <v>45731</v>
      </c>
      <c r="B1901">
        <v>120</v>
      </c>
      <c r="C1901" t="s">
        <v>100</v>
      </c>
      <c r="D1901">
        <v>1</v>
      </c>
      <c r="E1901">
        <v>100</v>
      </c>
      <c r="F1901" t="s">
        <v>1</v>
      </c>
      <c r="G1901" s="6">
        <v>45772</v>
      </c>
      <c r="H1901">
        <v>41</v>
      </c>
      <c r="I1901">
        <f>ROUND(CompilDonnées[[#This Row],[CultureDuration_days]]/7,0)</f>
        <v>6</v>
      </c>
      <c r="J1901">
        <v>3597</v>
      </c>
      <c r="K1901" t="str">
        <f>_xlfn.CONCAT(WEEKNUM(CompilDonnées[[#This Row],[PlantationDate]]), " ", YEAR(CompilDonnées[[#This Row],[PlantationDate]]))</f>
        <v>11 2025</v>
      </c>
      <c r="L1901" t="str">
        <f>CONCATENATE(MONTH(CompilDonnées[[#This Row],[PlantationDate]])," ", YEAR(CompilDonnées[[#This Row],[PlantationDate]]))</f>
        <v>3 2025</v>
      </c>
      <c r="M1901" t="str">
        <f>CONCATENATE(MONTH(CompilDonnées[[#This Row],[HarvestingDate]])," ", YEAR(CompilDonnées[[#This Row],[HarvestingDate]]))</f>
        <v>4 2025</v>
      </c>
      <c r="N1901">
        <f>_xlfn.NUMBERVALUE(CompilDonnées[[#This Row],[FarmID]]&amp;CompilDonnées[[#This Row],[ModuleNumber]]&amp;CompilDonnées[[#This Row],[PlantationDate]])</f>
        <v>120145731</v>
      </c>
      <c r="O1901" t="str">
        <f>CompilDonnées[[#This Row],[FarmID]]&amp;CompilDonnées[[#This Row],[ModuleNumber]]</f>
        <v>1201</v>
      </c>
      <c r="P1901" t="str">
        <f>CompilDonnées[[#This Row],[Ref_Module]]&amp;CompilDonnées[[#This Row],[HarvestingDate]]</f>
        <v>120145772</v>
      </c>
    </row>
    <row r="1902" spans="1:16">
      <c r="A1902" s="5">
        <v>45736</v>
      </c>
      <c r="B1902">
        <v>105</v>
      </c>
      <c r="C1902" t="s">
        <v>3</v>
      </c>
      <c r="D1902">
        <v>1</v>
      </c>
      <c r="E1902">
        <v>60</v>
      </c>
      <c r="F1902" t="s">
        <v>105</v>
      </c>
      <c r="G1902" s="6">
        <v>45789</v>
      </c>
      <c r="H1902">
        <v>53</v>
      </c>
      <c r="I1902">
        <f>ROUND(CompilDonnées[[#This Row],[CultureDuration_days]]/7,0)</f>
        <v>8</v>
      </c>
      <c r="J1902">
        <v>810</v>
      </c>
      <c r="K1902" t="str">
        <f>_xlfn.CONCAT(WEEKNUM(CompilDonnées[[#This Row],[PlantationDate]]), " ", YEAR(CompilDonnées[[#This Row],[PlantationDate]]))</f>
        <v>12 2025</v>
      </c>
      <c r="L1902" t="str">
        <f>CONCATENATE(MONTH(CompilDonnées[[#This Row],[PlantationDate]])," ", YEAR(CompilDonnées[[#This Row],[PlantationDate]]))</f>
        <v>3 2025</v>
      </c>
      <c r="M1902" t="str">
        <f>CONCATENATE(MONTH(CompilDonnées[[#This Row],[HarvestingDate]])," ", YEAR(CompilDonnées[[#This Row],[HarvestingDate]]))</f>
        <v>5 2025</v>
      </c>
      <c r="N1902">
        <f>_xlfn.NUMBERVALUE(CompilDonnées[[#This Row],[FarmID]]&amp;CompilDonnées[[#This Row],[ModuleNumber]]&amp;CompilDonnées[[#This Row],[PlantationDate]])</f>
        <v>105145736</v>
      </c>
      <c r="O1902" t="str">
        <f>CompilDonnées[[#This Row],[FarmID]]&amp;CompilDonnées[[#This Row],[ModuleNumber]]</f>
        <v>1051</v>
      </c>
      <c r="P1902" t="str">
        <f>CompilDonnées[[#This Row],[Ref_Module]]&amp;CompilDonnées[[#This Row],[HarvestingDate]]</f>
        <v>105145789</v>
      </c>
    </row>
    <row r="1903" spans="1:16">
      <c r="A1903" s="5">
        <v>45736</v>
      </c>
      <c r="B1903">
        <v>105</v>
      </c>
      <c r="C1903" t="s">
        <v>3</v>
      </c>
      <c r="D1903">
        <v>2</v>
      </c>
      <c r="E1903">
        <v>60</v>
      </c>
      <c r="F1903" t="s">
        <v>105</v>
      </c>
      <c r="G1903" s="6">
        <v>45789</v>
      </c>
      <c r="H1903">
        <v>53</v>
      </c>
      <c r="I1903">
        <f>ROUND(CompilDonnées[[#This Row],[CultureDuration_days]]/7,0)</f>
        <v>8</v>
      </c>
      <c r="J1903">
        <v>805</v>
      </c>
      <c r="K1903" t="str">
        <f>_xlfn.CONCAT(WEEKNUM(CompilDonnées[[#This Row],[PlantationDate]]), " ", YEAR(CompilDonnées[[#This Row],[PlantationDate]]))</f>
        <v>12 2025</v>
      </c>
      <c r="L1903" t="str">
        <f>CONCATENATE(MONTH(CompilDonnées[[#This Row],[PlantationDate]])," ", YEAR(CompilDonnées[[#This Row],[PlantationDate]]))</f>
        <v>3 2025</v>
      </c>
      <c r="M1903" t="str">
        <f>CONCATENATE(MONTH(CompilDonnées[[#This Row],[HarvestingDate]])," ", YEAR(CompilDonnées[[#This Row],[HarvestingDate]]))</f>
        <v>5 2025</v>
      </c>
      <c r="N1903">
        <f>_xlfn.NUMBERVALUE(CompilDonnées[[#This Row],[FarmID]]&amp;CompilDonnées[[#This Row],[ModuleNumber]]&amp;CompilDonnées[[#This Row],[PlantationDate]])</f>
        <v>105245736</v>
      </c>
      <c r="O1903" t="str">
        <f>CompilDonnées[[#This Row],[FarmID]]&amp;CompilDonnées[[#This Row],[ModuleNumber]]</f>
        <v>1052</v>
      </c>
      <c r="P1903" t="str">
        <f>CompilDonnées[[#This Row],[Ref_Module]]&amp;CompilDonnées[[#This Row],[HarvestingDate]]</f>
        <v>105245789</v>
      </c>
    </row>
    <row r="1904" spans="1:16">
      <c r="A1904" s="5">
        <v>45736</v>
      </c>
      <c r="B1904">
        <v>105</v>
      </c>
      <c r="C1904" t="s">
        <v>3</v>
      </c>
      <c r="D1904">
        <v>3</v>
      </c>
      <c r="E1904">
        <v>60</v>
      </c>
      <c r="F1904" t="s">
        <v>105</v>
      </c>
      <c r="G1904" s="6">
        <v>45789</v>
      </c>
      <c r="H1904">
        <v>53</v>
      </c>
      <c r="I1904">
        <f>ROUND(CompilDonnées[[#This Row],[CultureDuration_days]]/7,0)</f>
        <v>8</v>
      </c>
      <c r="J1904">
        <v>887</v>
      </c>
      <c r="K1904" t="str">
        <f>_xlfn.CONCAT(WEEKNUM(CompilDonnées[[#This Row],[PlantationDate]]), " ", YEAR(CompilDonnées[[#This Row],[PlantationDate]]))</f>
        <v>12 2025</v>
      </c>
      <c r="L1904" t="str">
        <f>CONCATENATE(MONTH(CompilDonnées[[#This Row],[PlantationDate]])," ", YEAR(CompilDonnées[[#This Row],[PlantationDate]]))</f>
        <v>3 2025</v>
      </c>
      <c r="M1904" t="str">
        <f>CONCATENATE(MONTH(CompilDonnées[[#This Row],[HarvestingDate]])," ", YEAR(CompilDonnées[[#This Row],[HarvestingDate]]))</f>
        <v>5 2025</v>
      </c>
      <c r="N1904">
        <f>_xlfn.NUMBERVALUE(CompilDonnées[[#This Row],[FarmID]]&amp;CompilDonnées[[#This Row],[ModuleNumber]]&amp;CompilDonnées[[#This Row],[PlantationDate]])</f>
        <v>105345736</v>
      </c>
      <c r="O1904" t="str">
        <f>CompilDonnées[[#This Row],[FarmID]]&amp;CompilDonnées[[#This Row],[ModuleNumber]]</f>
        <v>1053</v>
      </c>
      <c r="P1904" t="str">
        <f>CompilDonnées[[#This Row],[Ref_Module]]&amp;CompilDonnées[[#This Row],[HarvestingDate]]</f>
        <v>105345789</v>
      </c>
    </row>
    <row r="1905" spans="1:16">
      <c r="A1905" s="5">
        <v>45737</v>
      </c>
      <c r="B1905">
        <v>103</v>
      </c>
      <c r="C1905" t="s">
        <v>86</v>
      </c>
      <c r="D1905">
        <v>6</v>
      </c>
      <c r="E1905">
        <v>100</v>
      </c>
      <c r="F1905" t="s">
        <v>1</v>
      </c>
      <c r="G1905" s="6">
        <v>45790</v>
      </c>
      <c r="H1905">
        <v>53</v>
      </c>
      <c r="I1905">
        <f>ROUND(CompilDonnées[[#This Row],[CultureDuration_days]]/7,0)</f>
        <v>8</v>
      </c>
      <c r="J1905">
        <v>2456</v>
      </c>
      <c r="K1905" t="str">
        <f>_xlfn.CONCAT(WEEKNUM(CompilDonnées[[#This Row],[PlantationDate]]), " ", YEAR(CompilDonnées[[#This Row],[PlantationDate]]))</f>
        <v>12 2025</v>
      </c>
      <c r="L1905" t="str">
        <f>CONCATENATE(MONTH(CompilDonnées[[#This Row],[PlantationDate]])," ", YEAR(CompilDonnées[[#This Row],[PlantationDate]]))</f>
        <v>3 2025</v>
      </c>
      <c r="M1905" t="str">
        <f>CONCATENATE(MONTH(CompilDonnées[[#This Row],[HarvestingDate]])," ", YEAR(CompilDonnées[[#This Row],[HarvestingDate]]))</f>
        <v>5 2025</v>
      </c>
      <c r="N1905">
        <f>_xlfn.NUMBERVALUE(CompilDonnées[[#This Row],[FarmID]]&amp;CompilDonnées[[#This Row],[ModuleNumber]]&amp;CompilDonnées[[#This Row],[PlantationDate]])</f>
        <v>103645737</v>
      </c>
      <c r="O1905" t="str">
        <f>CompilDonnées[[#This Row],[FarmID]]&amp;CompilDonnées[[#This Row],[ModuleNumber]]</f>
        <v>1036</v>
      </c>
      <c r="P1905" t="str">
        <f>CompilDonnées[[#This Row],[Ref_Module]]&amp;CompilDonnées[[#This Row],[HarvestingDate]]</f>
        <v>103645790</v>
      </c>
    </row>
    <row r="1906" spans="1:16">
      <c r="A1906" s="5">
        <v>45737</v>
      </c>
      <c r="B1906">
        <v>104</v>
      </c>
      <c r="C1906" t="s">
        <v>91</v>
      </c>
      <c r="D1906">
        <v>1</v>
      </c>
      <c r="E1906">
        <v>100</v>
      </c>
      <c r="F1906" t="s">
        <v>1</v>
      </c>
      <c r="G1906" s="6">
        <v>45789</v>
      </c>
      <c r="H1906">
        <v>52</v>
      </c>
      <c r="I1906">
        <f>ROUND(CompilDonnées[[#This Row],[CultureDuration_days]]/7,0)</f>
        <v>7</v>
      </c>
      <c r="J1906">
        <v>1833</v>
      </c>
      <c r="K1906" t="str">
        <f>_xlfn.CONCAT(WEEKNUM(CompilDonnées[[#This Row],[PlantationDate]]), " ", YEAR(CompilDonnées[[#This Row],[PlantationDate]]))</f>
        <v>12 2025</v>
      </c>
      <c r="L1906" t="str">
        <f>CONCATENATE(MONTH(CompilDonnées[[#This Row],[PlantationDate]])," ", YEAR(CompilDonnées[[#This Row],[PlantationDate]]))</f>
        <v>3 2025</v>
      </c>
      <c r="M1906" t="str">
        <f>CONCATENATE(MONTH(CompilDonnées[[#This Row],[HarvestingDate]])," ", YEAR(CompilDonnées[[#This Row],[HarvestingDate]]))</f>
        <v>5 2025</v>
      </c>
      <c r="N1906">
        <f>_xlfn.NUMBERVALUE(CompilDonnées[[#This Row],[FarmID]]&amp;CompilDonnées[[#This Row],[ModuleNumber]]&amp;CompilDonnées[[#This Row],[PlantationDate]])</f>
        <v>104145737</v>
      </c>
      <c r="O1906" t="str">
        <f>CompilDonnées[[#This Row],[FarmID]]&amp;CompilDonnées[[#This Row],[ModuleNumber]]</f>
        <v>1041</v>
      </c>
      <c r="P1906" t="str">
        <f>CompilDonnées[[#This Row],[Ref_Module]]&amp;CompilDonnées[[#This Row],[HarvestingDate]]</f>
        <v>104145789</v>
      </c>
    </row>
    <row r="1907" spans="1:16">
      <c r="A1907" s="5">
        <v>45737</v>
      </c>
      <c r="B1907">
        <v>79</v>
      </c>
      <c r="C1907" t="s">
        <v>61</v>
      </c>
      <c r="D1907">
        <v>2</v>
      </c>
      <c r="E1907">
        <v>100</v>
      </c>
      <c r="F1907" t="s">
        <v>1</v>
      </c>
      <c r="G1907" s="6">
        <v>45786</v>
      </c>
      <c r="H1907">
        <v>49</v>
      </c>
      <c r="I1907">
        <f>ROUND(CompilDonnées[[#This Row],[CultureDuration_days]]/7,0)</f>
        <v>7</v>
      </c>
      <c r="J1907">
        <v>2225</v>
      </c>
      <c r="K1907" t="str">
        <f>_xlfn.CONCAT(WEEKNUM(CompilDonnées[[#This Row],[PlantationDate]]), " ", YEAR(CompilDonnées[[#This Row],[PlantationDate]]))</f>
        <v>12 2025</v>
      </c>
      <c r="L1907" t="str">
        <f>CONCATENATE(MONTH(CompilDonnées[[#This Row],[PlantationDate]])," ", YEAR(CompilDonnées[[#This Row],[PlantationDate]]))</f>
        <v>3 2025</v>
      </c>
      <c r="M1907" t="str">
        <f>CONCATENATE(MONTH(CompilDonnées[[#This Row],[HarvestingDate]])," ", YEAR(CompilDonnées[[#This Row],[HarvestingDate]]))</f>
        <v>5 2025</v>
      </c>
      <c r="N1907">
        <f>_xlfn.NUMBERVALUE(CompilDonnées[[#This Row],[FarmID]]&amp;CompilDonnées[[#This Row],[ModuleNumber]]&amp;CompilDonnées[[#This Row],[PlantationDate]])</f>
        <v>79245737</v>
      </c>
      <c r="O1907" t="str">
        <f>CompilDonnées[[#This Row],[FarmID]]&amp;CompilDonnées[[#This Row],[ModuleNumber]]</f>
        <v>792</v>
      </c>
      <c r="P1907" t="str">
        <f>CompilDonnées[[#This Row],[Ref_Module]]&amp;CompilDonnées[[#This Row],[HarvestingDate]]</f>
        <v>79245786</v>
      </c>
    </row>
    <row r="1908" spans="1:16">
      <c r="A1908" s="5">
        <v>45737</v>
      </c>
      <c r="B1908">
        <v>80</v>
      </c>
      <c r="C1908" t="s">
        <v>29</v>
      </c>
      <c r="D1908">
        <v>2</v>
      </c>
      <c r="E1908">
        <v>100</v>
      </c>
      <c r="F1908" t="s">
        <v>1</v>
      </c>
      <c r="G1908" s="6">
        <v>45786</v>
      </c>
      <c r="H1908">
        <v>49</v>
      </c>
      <c r="I1908">
        <f>ROUND(CompilDonnées[[#This Row],[CultureDuration_days]]/7,0)</f>
        <v>7</v>
      </c>
      <c r="J1908">
        <v>2573</v>
      </c>
      <c r="K1908" t="str">
        <f>_xlfn.CONCAT(WEEKNUM(CompilDonnées[[#This Row],[PlantationDate]]), " ", YEAR(CompilDonnées[[#This Row],[PlantationDate]]))</f>
        <v>12 2025</v>
      </c>
      <c r="L1908" t="str">
        <f>CONCATENATE(MONTH(CompilDonnées[[#This Row],[PlantationDate]])," ", YEAR(CompilDonnées[[#This Row],[PlantationDate]]))</f>
        <v>3 2025</v>
      </c>
      <c r="M1908" t="str">
        <f>CONCATENATE(MONTH(CompilDonnées[[#This Row],[HarvestingDate]])," ", YEAR(CompilDonnées[[#This Row],[HarvestingDate]]))</f>
        <v>5 2025</v>
      </c>
      <c r="N1908">
        <f>_xlfn.NUMBERVALUE(CompilDonnées[[#This Row],[FarmID]]&amp;CompilDonnées[[#This Row],[ModuleNumber]]&amp;CompilDonnées[[#This Row],[PlantationDate]])</f>
        <v>80245737</v>
      </c>
      <c r="O1908" t="str">
        <f>CompilDonnées[[#This Row],[FarmID]]&amp;CompilDonnées[[#This Row],[ModuleNumber]]</f>
        <v>802</v>
      </c>
      <c r="P1908" t="str">
        <f>CompilDonnées[[#This Row],[Ref_Module]]&amp;CompilDonnées[[#This Row],[HarvestingDate]]</f>
        <v>80245786</v>
      </c>
    </row>
    <row r="1909" spans="1:16">
      <c r="A1909" s="5">
        <v>45737</v>
      </c>
      <c r="B1909">
        <v>81</v>
      </c>
      <c r="C1909" t="s">
        <v>30</v>
      </c>
      <c r="D1909">
        <v>4</v>
      </c>
      <c r="E1909">
        <v>100</v>
      </c>
      <c r="F1909" t="s">
        <v>1</v>
      </c>
      <c r="G1909" s="6">
        <v>45786</v>
      </c>
      <c r="H1909">
        <v>49</v>
      </c>
      <c r="I1909">
        <f>ROUND(CompilDonnées[[#This Row],[CultureDuration_days]]/7,0)</f>
        <v>7</v>
      </c>
      <c r="J1909">
        <v>2617</v>
      </c>
      <c r="K1909" t="str">
        <f>_xlfn.CONCAT(WEEKNUM(CompilDonnées[[#This Row],[PlantationDate]]), " ", YEAR(CompilDonnées[[#This Row],[PlantationDate]]))</f>
        <v>12 2025</v>
      </c>
      <c r="L1909" t="str">
        <f>CONCATENATE(MONTH(CompilDonnées[[#This Row],[PlantationDate]])," ", YEAR(CompilDonnées[[#This Row],[PlantationDate]]))</f>
        <v>3 2025</v>
      </c>
      <c r="M1909" t="str">
        <f>CONCATENATE(MONTH(CompilDonnées[[#This Row],[HarvestingDate]])," ", YEAR(CompilDonnées[[#This Row],[HarvestingDate]]))</f>
        <v>5 2025</v>
      </c>
      <c r="N1909">
        <f>_xlfn.NUMBERVALUE(CompilDonnées[[#This Row],[FarmID]]&amp;CompilDonnées[[#This Row],[ModuleNumber]]&amp;CompilDonnées[[#This Row],[PlantationDate]])</f>
        <v>81445737</v>
      </c>
      <c r="O1909" t="str">
        <f>CompilDonnées[[#This Row],[FarmID]]&amp;CompilDonnées[[#This Row],[ModuleNumber]]</f>
        <v>814</v>
      </c>
      <c r="P1909" t="str">
        <f>CompilDonnées[[#This Row],[Ref_Module]]&amp;CompilDonnées[[#This Row],[HarvestingDate]]</f>
        <v>81445786</v>
      </c>
    </row>
    <row r="1910" spans="1:16">
      <c r="A1910" s="5">
        <v>45737</v>
      </c>
      <c r="B1910">
        <v>82</v>
      </c>
      <c r="C1910" t="s">
        <v>17</v>
      </c>
      <c r="D1910">
        <v>5</v>
      </c>
      <c r="E1910">
        <v>100</v>
      </c>
      <c r="F1910" t="s">
        <v>1</v>
      </c>
      <c r="G1910" s="6">
        <v>45777</v>
      </c>
      <c r="H1910">
        <v>40</v>
      </c>
      <c r="I1910">
        <f>ROUND(CompilDonnées[[#This Row],[CultureDuration_days]]/7,0)</f>
        <v>6</v>
      </c>
      <c r="J1910">
        <v>3442</v>
      </c>
      <c r="K1910" t="str">
        <f>_xlfn.CONCAT(WEEKNUM(CompilDonnées[[#This Row],[PlantationDate]]), " ", YEAR(CompilDonnées[[#This Row],[PlantationDate]]))</f>
        <v>12 2025</v>
      </c>
      <c r="L1910" t="str">
        <f>CONCATENATE(MONTH(CompilDonnées[[#This Row],[PlantationDate]])," ", YEAR(CompilDonnées[[#This Row],[PlantationDate]]))</f>
        <v>3 2025</v>
      </c>
      <c r="M1910" t="str">
        <f>CONCATENATE(MONTH(CompilDonnées[[#This Row],[HarvestingDate]])," ", YEAR(CompilDonnées[[#This Row],[HarvestingDate]]))</f>
        <v>4 2025</v>
      </c>
      <c r="N1910">
        <f>_xlfn.NUMBERVALUE(CompilDonnées[[#This Row],[FarmID]]&amp;CompilDonnées[[#This Row],[ModuleNumber]]&amp;CompilDonnées[[#This Row],[PlantationDate]])</f>
        <v>82545737</v>
      </c>
      <c r="O1910" t="str">
        <f>CompilDonnées[[#This Row],[FarmID]]&amp;CompilDonnées[[#This Row],[ModuleNumber]]</f>
        <v>825</v>
      </c>
      <c r="P1910" t="str">
        <f>CompilDonnées[[#This Row],[Ref_Module]]&amp;CompilDonnées[[#This Row],[HarvestingDate]]</f>
        <v>82545777</v>
      </c>
    </row>
    <row r="1911" spans="1:16">
      <c r="A1911" s="5">
        <v>45737</v>
      </c>
      <c r="B1911">
        <v>83</v>
      </c>
      <c r="C1911" t="s">
        <v>73</v>
      </c>
      <c r="D1911">
        <v>4</v>
      </c>
      <c r="E1911">
        <v>100</v>
      </c>
      <c r="F1911" t="s">
        <v>1</v>
      </c>
      <c r="G1911" s="6">
        <v>45775</v>
      </c>
      <c r="H1911">
        <v>38</v>
      </c>
      <c r="I1911">
        <f>ROUND(CompilDonnées[[#This Row],[CultureDuration_days]]/7,0)</f>
        <v>5</v>
      </c>
      <c r="J1911">
        <v>2590</v>
      </c>
      <c r="K1911" t="str">
        <f>_xlfn.CONCAT(WEEKNUM(CompilDonnées[[#This Row],[PlantationDate]]), " ", YEAR(CompilDonnées[[#This Row],[PlantationDate]]))</f>
        <v>12 2025</v>
      </c>
      <c r="L1911" t="str">
        <f>CONCATENATE(MONTH(CompilDonnées[[#This Row],[PlantationDate]])," ", YEAR(CompilDonnées[[#This Row],[PlantationDate]]))</f>
        <v>3 2025</v>
      </c>
      <c r="M1911" t="str">
        <f>CONCATENATE(MONTH(CompilDonnées[[#This Row],[HarvestingDate]])," ", YEAR(CompilDonnées[[#This Row],[HarvestingDate]]))</f>
        <v>4 2025</v>
      </c>
      <c r="N1911">
        <f>_xlfn.NUMBERVALUE(CompilDonnées[[#This Row],[FarmID]]&amp;CompilDonnées[[#This Row],[ModuleNumber]]&amp;CompilDonnées[[#This Row],[PlantationDate]])</f>
        <v>83445737</v>
      </c>
      <c r="O1911" t="str">
        <f>CompilDonnées[[#This Row],[FarmID]]&amp;CompilDonnées[[#This Row],[ModuleNumber]]</f>
        <v>834</v>
      </c>
      <c r="P1911" t="str">
        <f>CompilDonnées[[#This Row],[Ref_Module]]&amp;CompilDonnées[[#This Row],[HarvestingDate]]</f>
        <v>83445775</v>
      </c>
    </row>
    <row r="1912" spans="1:16">
      <c r="A1912" s="5">
        <v>45737</v>
      </c>
      <c r="B1912">
        <v>84</v>
      </c>
      <c r="C1912" t="s">
        <v>65</v>
      </c>
      <c r="D1912">
        <v>4</v>
      </c>
      <c r="E1912">
        <v>100</v>
      </c>
      <c r="F1912" t="s">
        <v>1</v>
      </c>
      <c r="G1912" s="6">
        <v>45775</v>
      </c>
      <c r="H1912">
        <v>38</v>
      </c>
      <c r="I1912">
        <f>ROUND(CompilDonnées[[#This Row],[CultureDuration_days]]/7,0)</f>
        <v>5</v>
      </c>
      <c r="J1912">
        <v>2813</v>
      </c>
      <c r="K1912" t="str">
        <f>_xlfn.CONCAT(WEEKNUM(CompilDonnées[[#This Row],[PlantationDate]]), " ", YEAR(CompilDonnées[[#This Row],[PlantationDate]]))</f>
        <v>12 2025</v>
      </c>
      <c r="L1912" t="str">
        <f>CONCATENATE(MONTH(CompilDonnées[[#This Row],[PlantationDate]])," ", YEAR(CompilDonnées[[#This Row],[PlantationDate]]))</f>
        <v>3 2025</v>
      </c>
      <c r="M1912" t="str">
        <f>CONCATENATE(MONTH(CompilDonnées[[#This Row],[HarvestingDate]])," ", YEAR(CompilDonnées[[#This Row],[HarvestingDate]]))</f>
        <v>4 2025</v>
      </c>
      <c r="N1912">
        <f>_xlfn.NUMBERVALUE(CompilDonnées[[#This Row],[FarmID]]&amp;CompilDonnées[[#This Row],[ModuleNumber]]&amp;CompilDonnées[[#This Row],[PlantationDate]])</f>
        <v>84445737</v>
      </c>
      <c r="O1912" t="str">
        <f>CompilDonnées[[#This Row],[FarmID]]&amp;CompilDonnées[[#This Row],[ModuleNumber]]</f>
        <v>844</v>
      </c>
      <c r="P1912" t="str">
        <f>CompilDonnées[[#This Row],[Ref_Module]]&amp;CompilDonnées[[#This Row],[HarvestingDate]]</f>
        <v>84445775</v>
      </c>
    </row>
    <row r="1913" spans="1:16">
      <c r="A1913" s="5">
        <v>45737</v>
      </c>
      <c r="B1913">
        <v>85</v>
      </c>
      <c r="C1913" t="s">
        <v>56</v>
      </c>
      <c r="D1913">
        <v>5</v>
      </c>
      <c r="E1913">
        <v>100</v>
      </c>
      <c r="F1913" t="s">
        <v>1</v>
      </c>
      <c r="G1913" s="6">
        <v>45771</v>
      </c>
      <c r="H1913">
        <v>34</v>
      </c>
      <c r="I1913">
        <f>ROUND(CompilDonnées[[#This Row],[CultureDuration_days]]/7,0)</f>
        <v>5</v>
      </c>
      <c r="J1913">
        <v>2872</v>
      </c>
      <c r="K1913" t="str">
        <f>_xlfn.CONCAT(WEEKNUM(CompilDonnées[[#This Row],[PlantationDate]]), " ", YEAR(CompilDonnées[[#This Row],[PlantationDate]]))</f>
        <v>12 2025</v>
      </c>
      <c r="L1913" t="str">
        <f>CONCATENATE(MONTH(CompilDonnées[[#This Row],[PlantationDate]])," ", YEAR(CompilDonnées[[#This Row],[PlantationDate]]))</f>
        <v>3 2025</v>
      </c>
      <c r="M1913" t="str">
        <f>CONCATENATE(MONTH(CompilDonnées[[#This Row],[HarvestingDate]])," ", YEAR(CompilDonnées[[#This Row],[HarvestingDate]]))</f>
        <v>4 2025</v>
      </c>
      <c r="N1913">
        <f>_xlfn.NUMBERVALUE(CompilDonnées[[#This Row],[FarmID]]&amp;CompilDonnées[[#This Row],[ModuleNumber]]&amp;CompilDonnées[[#This Row],[PlantationDate]])</f>
        <v>85545737</v>
      </c>
      <c r="O1913" t="str">
        <f>CompilDonnées[[#This Row],[FarmID]]&amp;CompilDonnées[[#This Row],[ModuleNumber]]</f>
        <v>855</v>
      </c>
      <c r="P1913" t="str">
        <f>CompilDonnées[[#This Row],[Ref_Module]]&amp;CompilDonnées[[#This Row],[HarvestingDate]]</f>
        <v>85545771</v>
      </c>
    </row>
    <row r="1914" spans="1:16">
      <c r="A1914" s="5">
        <v>45737</v>
      </c>
      <c r="B1914">
        <v>86</v>
      </c>
      <c r="C1914" t="s">
        <v>37</v>
      </c>
      <c r="D1914">
        <v>2</v>
      </c>
      <c r="E1914">
        <v>100</v>
      </c>
      <c r="F1914" t="s">
        <v>1</v>
      </c>
      <c r="G1914" s="6">
        <v>45786</v>
      </c>
      <c r="H1914">
        <v>49</v>
      </c>
      <c r="I1914">
        <f>ROUND(CompilDonnées[[#This Row],[CultureDuration_days]]/7,0)</f>
        <v>7</v>
      </c>
      <c r="J1914">
        <v>2161</v>
      </c>
      <c r="K1914" t="str">
        <f>_xlfn.CONCAT(WEEKNUM(CompilDonnées[[#This Row],[PlantationDate]]), " ", YEAR(CompilDonnées[[#This Row],[PlantationDate]]))</f>
        <v>12 2025</v>
      </c>
      <c r="L1914" t="str">
        <f>CONCATENATE(MONTH(CompilDonnées[[#This Row],[PlantationDate]])," ", YEAR(CompilDonnées[[#This Row],[PlantationDate]]))</f>
        <v>3 2025</v>
      </c>
      <c r="M1914" t="str">
        <f>CONCATENATE(MONTH(CompilDonnées[[#This Row],[HarvestingDate]])," ", YEAR(CompilDonnées[[#This Row],[HarvestingDate]]))</f>
        <v>5 2025</v>
      </c>
      <c r="N1914">
        <f>_xlfn.NUMBERVALUE(CompilDonnées[[#This Row],[FarmID]]&amp;CompilDonnées[[#This Row],[ModuleNumber]]&amp;CompilDonnées[[#This Row],[PlantationDate]])</f>
        <v>86245737</v>
      </c>
      <c r="O1914" t="str">
        <f>CompilDonnées[[#This Row],[FarmID]]&amp;CompilDonnées[[#This Row],[ModuleNumber]]</f>
        <v>862</v>
      </c>
      <c r="P1914" t="str">
        <f>CompilDonnées[[#This Row],[Ref_Module]]&amp;CompilDonnées[[#This Row],[HarvestingDate]]</f>
        <v>86245786</v>
      </c>
    </row>
    <row r="1915" spans="1:16">
      <c r="A1915" s="5">
        <v>45737</v>
      </c>
      <c r="B1915">
        <v>87</v>
      </c>
      <c r="C1915" t="s">
        <v>38</v>
      </c>
      <c r="D1915">
        <v>3</v>
      </c>
      <c r="E1915">
        <v>100</v>
      </c>
      <c r="F1915" t="s">
        <v>1</v>
      </c>
      <c r="G1915" s="6">
        <v>45776</v>
      </c>
      <c r="H1915">
        <v>39</v>
      </c>
      <c r="I1915">
        <f>ROUND(CompilDonnées[[#This Row],[CultureDuration_days]]/7,0)</f>
        <v>6</v>
      </c>
      <c r="J1915">
        <v>2902</v>
      </c>
      <c r="K1915" t="str">
        <f>_xlfn.CONCAT(WEEKNUM(CompilDonnées[[#This Row],[PlantationDate]]), " ", YEAR(CompilDonnées[[#This Row],[PlantationDate]]))</f>
        <v>12 2025</v>
      </c>
      <c r="L1915" t="str">
        <f>CONCATENATE(MONTH(CompilDonnées[[#This Row],[PlantationDate]])," ", YEAR(CompilDonnées[[#This Row],[PlantationDate]]))</f>
        <v>3 2025</v>
      </c>
      <c r="M1915" t="str">
        <f>CONCATENATE(MONTH(CompilDonnées[[#This Row],[HarvestingDate]])," ", YEAR(CompilDonnées[[#This Row],[HarvestingDate]]))</f>
        <v>4 2025</v>
      </c>
      <c r="N1915">
        <f>_xlfn.NUMBERVALUE(CompilDonnées[[#This Row],[FarmID]]&amp;CompilDonnées[[#This Row],[ModuleNumber]]&amp;CompilDonnées[[#This Row],[PlantationDate]])</f>
        <v>87345737</v>
      </c>
      <c r="O1915" t="str">
        <f>CompilDonnées[[#This Row],[FarmID]]&amp;CompilDonnées[[#This Row],[ModuleNumber]]</f>
        <v>873</v>
      </c>
      <c r="P1915" t="str">
        <f>CompilDonnées[[#This Row],[Ref_Module]]&amp;CompilDonnées[[#This Row],[HarvestingDate]]</f>
        <v>87345776</v>
      </c>
    </row>
    <row r="1916" spans="1:16">
      <c r="A1916" s="5">
        <v>45737</v>
      </c>
      <c r="B1916">
        <v>89</v>
      </c>
      <c r="C1916" t="s">
        <v>67</v>
      </c>
      <c r="D1916">
        <v>3</v>
      </c>
      <c r="E1916">
        <v>100</v>
      </c>
      <c r="F1916" t="s">
        <v>1</v>
      </c>
      <c r="G1916" s="6">
        <v>45775</v>
      </c>
      <c r="H1916">
        <v>38</v>
      </c>
      <c r="I1916">
        <f>ROUND(CompilDonnées[[#This Row],[CultureDuration_days]]/7,0)</f>
        <v>5</v>
      </c>
      <c r="J1916">
        <v>2786</v>
      </c>
      <c r="K1916" t="str">
        <f>_xlfn.CONCAT(WEEKNUM(CompilDonnées[[#This Row],[PlantationDate]]), " ", YEAR(CompilDonnées[[#This Row],[PlantationDate]]))</f>
        <v>12 2025</v>
      </c>
      <c r="L1916" t="str">
        <f>CONCATENATE(MONTH(CompilDonnées[[#This Row],[PlantationDate]])," ", YEAR(CompilDonnées[[#This Row],[PlantationDate]]))</f>
        <v>3 2025</v>
      </c>
      <c r="M1916" t="str">
        <f>CONCATENATE(MONTH(CompilDonnées[[#This Row],[HarvestingDate]])," ", YEAR(CompilDonnées[[#This Row],[HarvestingDate]]))</f>
        <v>4 2025</v>
      </c>
      <c r="N1916">
        <f>_xlfn.NUMBERVALUE(CompilDonnées[[#This Row],[FarmID]]&amp;CompilDonnées[[#This Row],[ModuleNumber]]&amp;CompilDonnées[[#This Row],[PlantationDate]])</f>
        <v>89345737</v>
      </c>
      <c r="O1916" t="str">
        <f>CompilDonnées[[#This Row],[FarmID]]&amp;CompilDonnées[[#This Row],[ModuleNumber]]</f>
        <v>893</v>
      </c>
      <c r="P1916" t="str">
        <f>CompilDonnées[[#This Row],[Ref_Module]]&amp;CompilDonnées[[#This Row],[HarvestingDate]]</f>
        <v>89345775</v>
      </c>
    </row>
    <row r="1917" spans="1:16">
      <c r="A1917" s="5">
        <v>45737</v>
      </c>
      <c r="B1917">
        <v>90</v>
      </c>
      <c r="C1917" t="s">
        <v>72</v>
      </c>
      <c r="D1917">
        <v>3</v>
      </c>
      <c r="E1917">
        <v>100</v>
      </c>
      <c r="F1917" t="s">
        <v>1</v>
      </c>
      <c r="G1917" s="6">
        <v>45776</v>
      </c>
      <c r="H1917">
        <v>39</v>
      </c>
      <c r="I1917">
        <f>ROUND(CompilDonnées[[#This Row],[CultureDuration_days]]/7,0)</f>
        <v>6</v>
      </c>
      <c r="J1917">
        <v>2039</v>
      </c>
      <c r="K1917" t="str">
        <f>_xlfn.CONCAT(WEEKNUM(CompilDonnées[[#This Row],[PlantationDate]]), " ", YEAR(CompilDonnées[[#This Row],[PlantationDate]]))</f>
        <v>12 2025</v>
      </c>
      <c r="L1917" t="str">
        <f>CONCATENATE(MONTH(CompilDonnées[[#This Row],[PlantationDate]])," ", YEAR(CompilDonnées[[#This Row],[PlantationDate]]))</f>
        <v>3 2025</v>
      </c>
      <c r="M1917" t="str">
        <f>CONCATENATE(MONTH(CompilDonnées[[#This Row],[HarvestingDate]])," ", YEAR(CompilDonnées[[#This Row],[HarvestingDate]]))</f>
        <v>4 2025</v>
      </c>
      <c r="N1917">
        <f>_xlfn.NUMBERVALUE(CompilDonnées[[#This Row],[FarmID]]&amp;CompilDonnées[[#This Row],[ModuleNumber]]&amp;CompilDonnées[[#This Row],[PlantationDate]])</f>
        <v>90345737</v>
      </c>
      <c r="O1917" t="str">
        <f>CompilDonnées[[#This Row],[FarmID]]&amp;CompilDonnées[[#This Row],[ModuleNumber]]</f>
        <v>903</v>
      </c>
      <c r="P1917" t="str">
        <f>CompilDonnées[[#This Row],[Ref_Module]]&amp;CompilDonnées[[#This Row],[HarvestingDate]]</f>
        <v>90345776</v>
      </c>
    </row>
    <row r="1918" spans="1:16">
      <c r="A1918" s="5">
        <v>45737</v>
      </c>
      <c r="B1918">
        <v>92</v>
      </c>
      <c r="C1918" t="s">
        <v>66</v>
      </c>
      <c r="D1918">
        <v>3</v>
      </c>
      <c r="E1918">
        <v>100</v>
      </c>
      <c r="F1918" t="s">
        <v>1</v>
      </c>
      <c r="G1918" s="6">
        <v>45786</v>
      </c>
      <c r="H1918">
        <v>49</v>
      </c>
      <c r="I1918">
        <f>ROUND(CompilDonnées[[#This Row],[CultureDuration_days]]/7,0)</f>
        <v>7</v>
      </c>
      <c r="J1918">
        <v>1742</v>
      </c>
      <c r="K1918" t="str">
        <f>_xlfn.CONCAT(WEEKNUM(CompilDonnées[[#This Row],[PlantationDate]]), " ", YEAR(CompilDonnées[[#This Row],[PlantationDate]]))</f>
        <v>12 2025</v>
      </c>
      <c r="L1918" t="str">
        <f>CONCATENATE(MONTH(CompilDonnées[[#This Row],[PlantationDate]])," ", YEAR(CompilDonnées[[#This Row],[PlantationDate]]))</f>
        <v>3 2025</v>
      </c>
      <c r="M1918" t="str">
        <f>CONCATENATE(MONTH(CompilDonnées[[#This Row],[HarvestingDate]])," ", YEAR(CompilDonnées[[#This Row],[HarvestingDate]]))</f>
        <v>5 2025</v>
      </c>
      <c r="N1918">
        <f>_xlfn.NUMBERVALUE(CompilDonnées[[#This Row],[FarmID]]&amp;CompilDonnées[[#This Row],[ModuleNumber]]&amp;CompilDonnées[[#This Row],[PlantationDate]])</f>
        <v>92345737</v>
      </c>
      <c r="O1918" t="str">
        <f>CompilDonnées[[#This Row],[FarmID]]&amp;CompilDonnées[[#This Row],[ModuleNumber]]</f>
        <v>923</v>
      </c>
      <c r="P1918" t="str">
        <f>CompilDonnées[[#This Row],[Ref_Module]]&amp;CompilDonnées[[#This Row],[HarvestingDate]]</f>
        <v>92345786</v>
      </c>
    </row>
    <row r="1919" spans="1:16">
      <c r="A1919" s="5">
        <v>45737</v>
      </c>
      <c r="B1919">
        <v>94</v>
      </c>
      <c r="C1919" t="s">
        <v>40</v>
      </c>
      <c r="D1919">
        <v>3</v>
      </c>
      <c r="E1919">
        <v>100</v>
      </c>
      <c r="F1919" t="s">
        <v>1</v>
      </c>
      <c r="G1919" s="6">
        <v>45775</v>
      </c>
      <c r="H1919">
        <v>38</v>
      </c>
      <c r="I1919">
        <f>ROUND(CompilDonnées[[#This Row],[CultureDuration_days]]/7,0)</f>
        <v>5</v>
      </c>
      <c r="J1919">
        <v>3542</v>
      </c>
      <c r="K1919" t="str">
        <f>_xlfn.CONCAT(WEEKNUM(CompilDonnées[[#This Row],[PlantationDate]]), " ", YEAR(CompilDonnées[[#This Row],[PlantationDate]]))</f>
        <v>12 2025</v>
      </c>
      <c r="L1919" t="str">
        <f>CONCATENATE(MONTH(CompilDonnées[[#This Row],[PlantationDate]])," ", YEAR(CompilDonnées[[#This Row],[PlantationDate]]))</f>
        <v>3 2025</v>
      </c>
      <c r="M1919" t="str">
        <f>CONCATENATE(MONTH(CompilDonnées[[#This Row],[HarvestingDate]])," ", YEAR(CompilDonnées[[#This Row],[HarvestingDate]]))</f>
        <v>4 2025</v>
      </c>
      <c r="N1919">
        <f>_xlfn.NUMBERVALUE(CompilDonnées[[#This Row],[FarmID]]&amp;CompilDonnées[[#This Row],[ModuleNumber]]&amp;CompilDonnées[[#This Row],[PlantationDate]])</f>
        <v>94345737</v>
      </c>
      <c r="O1919" t="str">
        <f>CompilDonnées[[#This Row],[FarmID]]&amp;CompilDonnées[[#This Row],[ModuleNumber]]</f>
        <v>943</v>
      </c>
      <c r="P1919" t="str">
        <f>CompilDonnées[[#This Row],[Ref_Module]]&amp;CompilDonnées[[#This Row],[HarvestingDate]]</f>
        <v>94345775</v>
      </c>
    </row>
    <row r="1920" spans="1:16">
      <c r="A1920" s="5">
        <v>45737</v>
      </c>
      <c r="B1920">
        <v>95</v>
      </c>
      <c r="C1920" t="s">
        <v>90</v>
      </c>
      <c r="D1920">
        <v>4</v>
      </c>
      <c r="E1920">
        <v>100</v>
      </c>
      <c r="F1920" t="s">
        <v>1</v>
      </c>
      <c r="G1920" s="6">
        <v>45775</v>
      </c>
      <c r="H1920">
        <v>38</v>
      </c>
      <c r="I1920">
        <f>ROUND(CompilDonnées[[#This Row],[CultureDuration_days]]/7,0)</f>
        <v>5</v>
      </c>
      <c r="J1920">
        <v>2567</v>
      </c>
      <c r="K1920" t="str">
        <f>_xlfn.CONCAT(WEEKNUM(CompilDonnées[[#This Row],[PlantationDate]]), " ", YEAR(CompilDonnées[[#This Row],[PlantationDate]]))</f>
        <v>12 2025</v>
      </c>
      <c r="L1920" t="str">
        <f>CONCATENATE(MONTH(CompilDonnées[[#This Row],[PlantationDate]])," ", YEAR(CompilDonnées[[#This Row],[PlantationDate]]))</f>
        <v>3 2025</v>
      </c>
      <c r="M1920" t="str">
        <f>CONCATENATE(MONTH(CompilDonnées[[#This Row],[HarvestingDate]])," ", YEAR(CompilDonnées[[#This Row],[HarvestingDate]]))</f>
        <v>4 2025</v>
      </c>
      <c r="N1920">
        <f>_xlfn.NUMBERVALUE(CompilDonnées[[#This Row],[FarmID]]&amp;CompilDonnées[[#This Row],[ModuleNumber]]&amp;CompilDonnées[[#This Row],[PlantationDate]])</f>
        <v>95445737</v>
      </c>
      <c r="O1920" t="str">
        <f>CompilDonnées[[#This Row],[FarmID]]&amp;CompilDonnées[[#This Row],[ModuleNumber]]</f>
        <v>954</v>
      </c>
      <c r="P1920" t="str">
        <f>CompilDonnées[[#This Row],[Ref_Module]]&amp;CompilDonnées[[#This Row],[HarvestingDate]]</f>
        <v>95445775</v>
      </c>
    </row>
    <row r="1921" spans="1:16">
      <c r="A1921" s="5">
        <v>45737</v>
      </c>
      <c r="B1921">
        <v>97</v>
      </c>
      <c r="C1921" t="s">
        <v>78</v>
      </c>
      <c r="D1921">
        <v>6</v>
      </c>
      <c r="E1921">
        <v>100</v>
      </c>
      <c r="F1921" t="s">
        <v>1</v>
      </c>
      <c r="G1921" s="6">
        <v>45776</v>
      </c>
      <c r="H1921">
        <v>39</v>
      </c>
      <c r="I1921">
        <f>ROUND(CompilDonnées[[#This Row],[CultureDuration_days]]/7,0)</f>
        <v>6</v>
      </c>
      <c r="J1921">
        <v>2571</v>
      </c>
      <c r="K1921" t="str">
        <f>_xlfn.CONCAT(WEEKNUM(CompilDonnées[[#This Row],[PlantationDate]]), " ", YEAR(CompilDonnées[[#This Row],[PlantationDate]]))</f>
        <v>12 2025</v>
      </c>
      <c r="L1921" t="str">
        <f>CONCATENATE(MONTH(CompilDonnées[[#This Row],[PlantationDate]])," ", YEAR(CompilDonnées[[#This Row],[PlantationDate]]))</f>
        <v>3 2025</v>
      </c>
      <c r="M1921" t="str">
        <f>CONCATENATE(MONTH(CompilDonnées[[#This Row],[HarvestingDate]])," ", YEAR(CompilDonnées[[#This Row],[HarvestingDate]]))</f>
        <v>4 2025</v>
      </c>
      <c r="N1921">
        <f>_xlfn.NUMBERVALUE(CompilDonnées[[#This Row],[FarmID]]&amp;CompilDonnées[[#This Row],[ModuleNumber]]&amp;CompilDonnées[[#This Row],[PlantationDate]])</f>
        <v>97645737</v>
      </c>
      <c r="O1921" t="str">
        <f>CompilDonnées[[#This Row],[FarmID]]&amp;CompilDonnées[[#This Row],[ModuleNumber]]</f>
        <v>976</v>
      </c>
      <c r="P1921" t="str">
        <f>CompilDonnées[[#This Row],[Ref_Module]]&amp;CompilDonnées[[#This Row],[HarvestingDate]]</f>
        <v>97645776</v>
      </c>
    </row>
    <row r="1922" spans="1:16">
      <c r="A1922" s="5">
        <v>45737</v>
      </c>
      <c r="B1922">
        <v>98</v>
      </c>
      <c r="C1922" t="s">
        <v>79</v>
      </c>
      <c r="D1922">
        <v>6</v>
      </c>
      <c r="E1922">
        <v>100</v>
      </c>
      <c r="F1922" t="s">
        <v>1</v>
      </c>
      <c r="G1922" s="6">
        <v>45790</v>
      </c>
      <c r="H1922">
        <v>53</v>
      </c>
      <c r="I1922">
        <f>ROUND(CompilDonnées[[#This Row],[CultureDuration_days]]/7,0)</f>
        <v>8</v>
      </c>
      <c r="J1922">
        <v>2521</v>
      </c>
      <c r="K1922" t="str">
        <f>_xlfn.CONCAT(WEEKNUM(CompilDonnées[[#This Row],[PlantationDate]]), " ", YEAR(CompilDonnées[[#This Row],[PlantationDate]]))</f>
        <v>12 2025</v>
      </c>
      <c r="L1922" t="str">
        <f>CONCATENATE(MONTH(CompilDonnées[[#This Row],[PlantationDate]])," ", YEAR(CompilDonnées[[#This Row],[PlantationDate]]))</f>
        <v>3 2025</v>
      </c>
      <c r="M1922" t="str">
        <f>CONCATENATE(MONTH(CompilDonnées[[#This Row],[HarvestingDate]])," ", YEAR(CompilDonnées[[#This Row],[HarvestingDate]]))</f>
        <v>5 2025</v>
      </c>
      <c r="N1922">
        <f>_xlfn.NUMBERVALUE(CompilDonnées[[#This Row],[FarmID]]&amp;CompilDonnées[[#This Row],[ModuleNumber]]&amp;CompilDonnées[[#This Row],[PlantationDate]])</f>
        <v>98645737</v>
      </c>
      <c r="O1922" t="str">
        <f>CompilDonnées[[#This Row],[FarmID]]&amp;CompilDonnées[[#This Row],[ModuleNumber]]</f>
        <v>986</v>
      </c>
      <c r="P1922" t="str">
        <f>CompilDonnées[[#This Row],[Ref_Module]]&amp;CompilDonnées[[#This Row],[HarvestingDate]]</f>
        <v>98645790</v>
      </c>
    </row>
    <row r="1923" spans="1:16">
      <c r="A1923" s="5">
        <v>45737</v>
      </c>
      <c r="B1923">
        <v>99</v>
      </c>
      <c r="C1923" t="s">
        <v>117</v>
      </c>
      <c r="D1923">
        <v>4</v>
      </c>
      <c r="E1923">
        <v>100</v>
      </c>
      <c r="F1923" t="s">
        <v>1</v>
      </c>
      <c r="G1923" s="6">
        <v>45775</v>
      </c>
      <c r="H1923">
        <v>38</v>
      </c>
      <c r="I1923">
        <f>ROUND(CompilDonnées[[#This Row],[CultureDuration_days]]/7,0)</f>
        <v>5</v>
      </c>
      <c r="J1923">
        <v>2834</v>
      </c>
      <c r="K1923" t="str">
        <f>_xlfn.CONCAT(WEEKNUM(CompilDonnées[[#This Row],[PlantationDate]]), " ", YEAR(CompilDonnées[[#This Row],[PlantationDate]]))</f>
        <v>12 2025</v>
      </c>
      <c r="L1923" t="str">
        <f>CONCATENATE(MONTH(CompilDonnées[[#This Row],[PlantationDate]])," ", YEAR(CompilDonnées[[#This Row],[PlantationDate]]))</f>
        <v>3 2025</v>
      </c>
      <c r="M1923" t="str">
        <f>CONCATENATE(MONTH(CompilDonnées[[#This Row],[HarvestingDate]])," ", YEAR(CompilDonnées[[#This Row],[HarvestingDate]]))</f>
        <v>4 2025</v>
      </c>
      <c r="N1923">
        <f>_xlfn.NUMBERVALUE(CompilDonnées[[#This Row],[FarmID]]&amp;CompilDonnées[[#This Row],[ModuleNumber]]&amp;CompilDonnées[[#This Row],[PlantationDate]])</f>
        <v>99445737</v>
      </c>
      <c r="O1923" t="str">
        <f>CompilDonnées[[#This Row],[FarmID]]&amp;CompilDonnées[[#This Row],[ModuleNumber]]</f>
        <v>994</v>
      </c>
      <c r="P1923" t="str">
        <f>CompilDonnées[[#This Row],[Ref_Module]]&amp;CompilDonnées[[#This Row],[HarvestingDate]]</f>
        <v>99445775</v>
      </c>
    </row>
    <row r="1924" spans="1:16">
      <c r="A1924" s="5">
        <v>45737</v>
      </c>
      <c r="B1924">
        <v>101</v>
      </c>
      <c r="C1924" t="s">
        <v>54</v>
      </c>
      <c r="D1924">
        <v>1</v>
      </c>
      <c r="E1924">
        <v>100</v>
      </c>
      <c r="F1924" t="s">
        <v>1</v>
      </c>
      <c r="G1924" s="6">
        <v>45790</v>
      </c>
      <c r="H1924">
        <v>53</v>
      </c>
      <c r="I1924">
        <f>ROUND(CompilDonnées[[#This Row],[CultureDuration_days]]/7,0)</f>
        <v>8</v>
      </c>
      <c r="J1924">
        <v>3108</v>
      </c>
      <c r="K1924" t="str">
        <f>_xlfn.CONCAT(WEEKNUM(CompilDonnées[[#This Row],[PlantationDate]]), " ", YEAR(CompilDonnées[[#This Row],[PlantationDate]]))</f>
        <v>12 2025</v>
      </c>
      <c r="L1924" t="str">
        <f>CONCATENATE(MONTH(CompilDonnées[[#This Row],[PlantationDate]])," ", YEAR(CompilDonnées[[#This Row],[PlantationDate]]))</f>
        <v>3 2025</v>
      </c>
      <c r="M1924" t="str">
        <f>CONCATENATE(MONTH(CompilDonnées[[#This Row],[HarvestingDate]])," ", YEAR(CompilDonnées[[#This Row],[HarvestingDate]]))</f>
        <v>5 2025</v>
      </c>
      <c r="N1924">
        <f>_xlfn.NUMBERVALUE(CompilDonnées[[#This Row],[FarmID]]&amp;CompilDonnées[[#This Row],[ModuleNumber]]&amp;CompilDonnées[[#This Row],[PlantationDate]])</f>
        <v>101145737</v>
      </c>
      <c r="O1924" t="str">
        <f>CompilDonnées[[#This Row],[FarmID]]&amp;CompilDonnées[[#This Row],[ModuleNumber]]</f>
        <v>1011</v>
      </c>
      <c r="P1924" t="str">
        <f>CompilDonnées[[#This Row],[Ref_Module]]&amp;CompilDonnées[[#This Row],[HarvestingDate]]</f>
        <v>101145790</v>
      </c>
    </row>
    <row r="1925" spans="1:16">
      <c r="A1925" s="5">
        <v>45737</v>
      </c>
      <c r="B1925">
        <v>109</v>
      </c>
      <c r="C1925" t="s">
        <v>87</v>
      </c>
      <c r="D1925">
        <v>6</v>
      </c>
      <c r="E1925">
        <v>100</v>
      </c>
      <c r="F1925" t="s">
        <v>1</v>
      </c>
      <c r="G1925" s="6">
        <v>45790</v>
      </c>
      <c r="H1925">
        <v>53</v>
      </c>
      <c r="I1925">
        <f>ROUND(CompilDonnées[[#This Row],[CultureDuration_days]]/7,0)</f>
        <v>8</v>
      </c>
      <c r="J1925">
        <v>2681</v>
      </c>
      <c r="K1925" t="str">
        <f>_xlfn.CONCAT(WEEKNUM(CompilDonnées[[#This Row],[PlantationDate]]), " ", YEAR(CompilDonnées[[#This Row],[PlantationDate]]))</f>
        <v>12 2025</v>
      </c>
      <c r="L1925" t="str">
        <f>CONCATENATE(MONTH(CompilDonnées[[#This Row],[PlantationDate]])," ", YEAR(CompilDonnées[[#This Row],[PlantationDate]]))</f>
        <v>3 2025</v>
      </c>
      <c r="M1925" t="str">
        <f>CONCATENATE(MONTH(CompilDonnées[[#This Row],[HarvestingDate]])," ", YEAR(CompilDonnées[[#This Row],[HarvestingDate]]))</f>
        <v>5 2025</v>
      </c>
      <c r="N1925">
        <f>_xlfn.NUMBERVALUE(CompilDonnées[[#This Row],[FarmID]]&amp;CompilDonnées[[#This Row],[ModuleNumber]]&amp;CompilDonnées[[#This Row],[PlantationDate]])</f>
        <v>109645737</v>
      </c>
      <c r="O1925" t="str">
        <f>CompilDonnées[[#This Row],[FarmID]]&amp;CompilDonnées[[#This Row],[ModuleNumber]]</f>
        <v>1096</v>
      </c>
      <c r="P1925" t="str">
        <f>CompilDonnées[[#This Row],[Ref_Module]]&amp;CompilDonnées[[#This Row],[HarvestingDate]]</f>
        <v>109645790</v>
      </c>
    </row>
    <row r="1926" spans="1:16">
      <c r="A1926" s="5">
        <v>45738</v>
      </c>
      <c r="B1926">
        <v>53</v>
      </c>
      <c r="C1926" t="s">
        <v>83</v>
      </c>
      <c r="D1926">
        <v>6</v>
      </c>
      <c r="E1926">
        <v>100</v>
      </c>
      <c r="F1926" t="s">
        <v>1</v>
      </c>
      <c r="G1926" s="6">
        <v>45758</v>
      </c>
      <c r="H1926">
        <v>20</v>
      </c>
      <c r="I1926">
        <f>ROUND(CompilDonnées[[#This Row],[CultureDuration_days]]/7,0)</f>
        <v>3</v>
      </c>
      <c r="J1926">
        <v>824</v>
      </c>
      <c r="K1926" t="str">
        <f>_xlfn.CONCAT(WEEKNUM(CompilDonnées[[#This Row],[PlantationDate]]), " ", YEAR(CompilDonnées[[#This Row],[PlantationDate]]))</f>
        <v>12 2025</v>
      </c>
      <c r="L1926" t="str">
        <f>CONCATENATE(MONTH(CompilDonnées[[#This Row],[PlantationDate]])," ", YEAR(CompilDonnées[[#This Row],[PlantationDate]]))</f>
        <v>3 2025</v>
      </c>
      <c r="M1926" t="str">
        <f>CONCATENATE(MONTH(CompilDonnées[[#This Row],[HarvestingDate]])," ", YEAR(CompilDonnées[[#This Row],[HarvestingDate]]))</f>
        <v>4 2025</v>
      </c>
      <c r="N1926">
        <f>_xlfn.NUMBERVALUE(CompilDonnées[[#This Row],[FarmID]]&amp;CompilDonnées[[#This Row],[ModuleNumber]]&amp;CompilDonnées[[#This Row],[PlantationDate]])</f>
        <v>53645738</v>
      </c>
      <c r="O1926" t="str">
        <f>CompilDonnées[[#This Row],[FarmID]]&amp;CompilDonnées[[#This Row],[ModuleNumber]]</f>
        <v>536</v>
      </c>
      <c r="P1926" t="str">
        <f>CompilDonnées[[#This Row],[Ref_Module]]&amp;CompilDonnées[[#This Row],[HarvestingDate]]</f>
        <v>53645758</v>
      </c>
    </row>
    <row r="1927" spans="1:16">
      <c r="A1927" s="5">
        <v>45738</v>
      </c>
      <c r="B1927">
        <v>54</v>
      </c>
      <c r="C1927" t="s">
        <v>39</v>
      </c>
      <c r="D1927">
        <v>5</v>
      </c>
      <c r="E1927">
        <v>100</v>
      </c>
      <c r="F1927" t="s">
        <v>1</v>
      </c>
      <c r="G1927" s="6">
        <v>45777</v>
      </c>
      <c r="H1927">
        <v>39</v>
      </c>
      <c r="I1927">
        <f>ROUND(CompilDonnées[[#This Row],[CultureDuration_days]]/7,0)</f>
        <v>6</v>
      </c>
      <c r="J1927">
        <v>1463</v>
      </c>
      <c r="K1927" t="str">
        <f>_xlfn.CONCAT(WEEKNUM(CompilDonnées[[#This Row],[PlantationDate]]), " ", YEAR(CompilDonnées[[#This Row],[PlantationDate]]))</f>
        <v>12 2025</v>
      </c>
      <c r="L1927" t="str">
        <f>CONCATENATE(MONTH(CompilDonnées[[#This Row],[PlantationDate]])," ", YEAR(CompilDonnées[[#This Row],[PlantationDate]]))</f>
        <v>3 2025</v>
      </c>
      <c r="M1927" t="str">
        <f>CONCATENATE(MONTH(CompilDonnées[[#This Row],[HarvestingDate]])," ", YEAR(CompilDonnées[[#This Row],[HarvestingDate]]))</f>
        <v>4 2025</v>
      </c>
      <c r="N1927">
        <f>_xlfn.NUMBERVALUE(CompilDonnées[[#This Row],[FarmID]]&amp;CompilDonnées[[#This Row],[ModuleNumber]]&amp;CompilDonnées[[#This Row],[PlantationDate]])</f>
        <v>54545738</v>
      </c>
      <c r="O1927" t="str">
        <f>CompilDonnées[[#This Row],[FarmID]]&amp;CompilDonnées[[#This Row],[ModuleNumber]]</f>
        <v>545</v>
      </c>
      <c r="P1927" t="str">
        <f>CompilDonnées[[#This Row],[Ref_Module]]&amp;CompilDonnées[[#This Row],[HarvestingDate]]</f>
        <v>54545777</v>
      </c>
    </row>
    <row r="1928" spans="1:16">
      <c r="A1928" s="5">
        <v>45738</v>
      </c>
      <c r="B1928">
        <v>54</v>
      </c>
      <c r="C1928" t="s">
        <v>39</v>
      </c>
      <c r="D1928">
        <v>6</v>
      </c>
      <c r="E1928">
        <v>100</v>
      </c>
      <c r="F1928" t="s">
        <v>1</v>
      </c>
      <c r="G1928" s="6">
        <v>45758</v>
      </c>
      <c r="H1928">
        <v>20</v>
      </c>
      <c r="I1928">
        <f>ROUND(CompilDonnées[[#This Row],[CultureDuration_days]]/7,0)</f>
        <v>3</v>
      </c>
      <c r="J1928">
        <v>612</v>
      </c>
      <c r="K1928" t="str">
        <f>_xlfn.CONCAT(WEEKNUM(CompilDonnées[[#This Row],[PlantationDate]]), " ", YEAR(CompilDonnées[[#This Row],[PlantationDate]]))</f>
        <v>12 2025</v>
      </c>
      <c r="L1928" t="str">
        <f>CONCATENATE(MONTH(CompilDonnées[[#This Row],[PlantationDate]])," ", YEAR(CompilDonnées[[#This Row],[PlantationDate]]))</f>
        <v>3 2025</v>
      </c>
      <c r="M1928" t="str">
        <f>CONCATENATE(MONTH(CompilDonnées[[#This Row],[HarvestingDate]])," ", YEAR(CompilDonnées[[#This Row],[HarvestingDate]]))</f>
        <v>4 2025</v>
      </c>
      <c r="N1928">
        <f>_xlfn.NUMBERVALUE(CompilDonnées[[#This Row],[FarmID]]&amp;CompilDonnées[[#This Row],[ModuleNumber]]&amp;CompilDonnées[[#This Row],[PlantationDate]])</f>
        <v>54645738</v>
      </c>
      <c r="O1928" t="str">
        <f>CompilDonnées[[#This Row],[FarmID]]&amp;CompilDonnées[[#This Row],[ModuleNumber]]</f>
        <v>546</v>
      </c>
      <c r="P1928" t="str">
        <f>CompilDonnées[[#This Row],[Ref_Module]]&amp;CompilDonnées[[#This Row],[HarvestingDate]]</f>
        <v>54645758</v>
      </c>
    </row>
    <row r="1929" spans="1:16">
      <c r="A1929" s="5">
        <v>45738</v>
      </c>
      <c r="B1929">
        <v>55</v>
      </c>
      <c r="C1929" t="s">
        <v>60</v>
      </c>
      <c r="D1929">
        <v>2</v>
      </c>
      <c r="E1929">
        <v>100</v>
      </c>
      <c r="F1929" t="s">
        <v>1</v>
      </c>
      <c r="G1929" s="6">
        <v>45786</v>
      </c>
      <c r="H1929">
        <v>48</v>
      </c>
      <c r="I1929">
        <f>ROUND(CompilDonnées[[#This Row],[CultureDuration_days]]/7,0)</f>
        <v>7</v>
      </c>
      <c r="J1929">
        <v>1601</v>
      </c>
      <c r="K1929" t="str">
        <f>_xlfn.CONCAT(WEEKNUM(CompilDonnées[[#This Row],[PlantationDate]]), " ", YEAR(CompilDonnées[[#This Row],[PlantationDate]]))</f>
        <v>12 2025</v>
      </c>
      <c r="L1929" t="str">
        <f>CONCATENATE(MONTH(CompilDonnées[[#This Row],[PlantationDate]])," ", YEAR(CompilDonnées[[#This Row],[PlantationDate]]))</f>
        <v>3 2025</v>
      </c>
      <c r="M1929" t="str">
        <f>CONCATENATE(MONTH(CompilDonnées[[#This Row],[HarvestingDate]])," ", YEAR(CompilDonnées[[#This Row],[HarvestingDate]]))</f>
        <v>5 2025</v>
      </c>
      <c r="N1929">
        <f>_xlfn.NUMBERVALUE(CompilDonnées[[#This Row],[FarmID]]&amp;CompilDonnées[[#This Row],[ModuleNumber]]&amp;CompilDonnées[[#This Row],[PlantationDate]])</f>
        <v>55245738</v>
      </c>
      <c r="O1929" t="str">
        <f>CompilDonnées[[#This Row],[FarmID]]&amp;CompilDonnées[[#This Row],[ModuleNumber]]</f>
        <v>552</v>
      </c>
      <c r="P1929" t="str">
        <f>CompilDonnées[[#This Row],[Ref_Module]]&amp;CompilDonnées[[#This Row],[HarvestingDate]]</f>
        <v>55245786</v>
      </c>
    </row>
    <row r="1930" spans="1:16">
      <c r="A1930" s="5">
        <v>45738</v>
      </c>
      <c r="B1930">
        <v>56</v>
      </c>
      <c r="C1930" t="s">
        <v>6</v>
      </c>
      <c r="D1930">
        <v>1</v>
      </c>
      <c r="E1930">
        <v>100</v>
      </c>
      <c r="F1930" t="s">
        <v>1</v>
      </c>
      <c r="G1930" s="6">
        <v>45785</v>
      </c>
      <c r="H1930">
        <v>47</v>
      </c>
      <c r="I1930">
        <f>ROUND(CompilDonnées[[#This Row],[CultureDuration_days]]/7,0)</f>
        <v>7</v>
      </c>
      <c r="J1930">
        <v>1819</v>
      </c>
      <c r="K1930" t="str">
        <f>_xlfn.CONCAT(WEEKNUM(CompilDonnées[[#This Row],[PlantationDate]]), " ", YEAR(CompilDonnées[[#This Row],[PlantationDate]]))</f>
        <v>12 2025</v>
      </c>
      <c r="L1930" t="str">
        <f>CONCATENATE(MONTH(CompilDonnées[[#This Row],[PlantationDate]])," ", YEAR(CompilDonnées[[#This Row],[PlantationDate]]))</f>
        <v>3 2025</v>
      </c>
      <c r="M1930" t="str">
        <f>CONCATENATE(MONTH(CompilDonnées[[#This Row],[HarvestingDate]])," ", YEAR(CompilDonnées[[#This Row],[HarvestingDate]]))</f>
        <v>5 2025</v>
      </c>
      <c r="N1930">
        <f>_xlfn.NUMBERVALUE(CompilDonnées[[#This Row],[FarmID]]&amp;CompilDonnées[[#This Row],[ModuleNumber]]&amp;CompilDonnées[[#This Row],[PlantationDate]])</f>
        <v>56145738</v>
      </c>
      <c r="O1930" t="str">
        <f>CompilDonnées[[#This Row],[FarmID]]&amp;CompilDonnées[[#This Row],[ModuleNumber]]</f>
        <v>561</v>
      </c>
      <c r="P1930" t="str">
        <f>CompilDonnées[[#This Row],[Ref_Module]]&amp;CompilDonnées[[#This Row],[HarvestingDate]]</f>
        <v>56145785</v>
      </c>
    </row>
    <row r="1931" spans="1:16">
      <c r="A1931" s="5">
        <v>45738</v>
      </c>
      <c r="B1931">
        <v>57</v>
      </c>
      <c r="C1931" t="s">
        <v>46</v>
      </c>
      <c r="D1931">
        <v>4</v>
      </c>
      <c r="E1931">
        <v>100</v>
      </c>
      <c r="F1931" t="s">
        <v>1</v>
      </c>
      <c r="G1931" s="6">
        <v>45777</v>
      </c>
      <c r="H1931">
        <v>39</v>
      </c>
      <c r="I1931">
        <f>ROUND(CompilDonnées[[#This Row],[CultureDuration_days]]/7,0)</f>
        <v>6</v>
      </c>
      <c r="J1931">
        <v>2988</v>
      </c>
      <c r="K1931" t="str">
        <f>_xlfn.CONCAT(WEEKNUM(CompilDonnées[[#This Row],[PlantationDate]]), " ", YEAR(CompilDonnées[[#This Row],[PlantationDate]]))</f>
        <v>12 2025</v>
      </c>
      <c r="L1931" t="str">
        <f>CONCATENATE(MONTH(CompilDonnées[[#This Row],[PlantationDate]])," ", YEAR(CompilDonnées[[#This Row],[PlantationDate]]))</f>
        <v>3 2025</v>
      </c>
      <c r="M1931" t="str">
        <f>CONCATENATE(MONTH(CompilDonnées[[#This Row],[HarvestingDate]])," ", YEAR(CompilDonnées[[#This Row],[HarvestingDate]]))</f>
        <v>4 2025</v>
      </c>
      <c r="N1931">
        <f>_xlfn.NUMBERVALUE(CompilDonnées[[#This Row],[FarmID]]&amp;CompilDonnées[[#This Row],[ModuleNumber]]&amp;CompilDonnées[[#This Row],[PlantationDate]])</f>
        <v>57445738</v>
      </c>
      <c r="O1931" t="str">
        <f>CompilDonnées[[#This Row],[FarmID]]&amp;CompilDonnées[[#This Row],[ModuleNumber]]</f>
        <v>574</v>
      </c>
      <c r="P1931" t="str">
        <f>CompilDonnées[[#This Row],[Ref_Module]]&amp;CompilDonnées[[#This Row],[HarvestingDate]]</f>
        <v>57445777</v>
      </c>
    </row>
    <row r="1932" spans="1:16">
      <c r="A1932" s="5">
        <v>45738</v>
      </c>
      <c r="B1932">
        <v>58</v>
      </c>
      <c r="C1932" t="s">
        <v>35</v>
      </c>
      <c r="D1932">
        <v>2</v>
      </c>
      <c r="E1932">
        <v>100</v>
      </c>
      <c r="F1932" t="s">
        <v>1</v>
      </c>
      <c r="G1932" s="6">
        <v>45776</v>
      </c>
      <c r="H1932">
        <v>38</v>
      </c>
      <c r="I1932">
        <f>ROUND(CompilDonnées[[#This Row],[CultureDuration_days]]/7,0)</f>
        <v>5</v>
      </c>
      <c r="J1932">
        <v>3091</v>
      </c>
      <c r="K1932" t="str">
        <f>_xlfn.CONCAT(WEEKNUM(CompilDonnées[[#This Row],[PlantationDate]]), " ", YEAR(CompilDonnées[[#This Row],[PlantationDate]]))</f>
        <v>12 2025</v>
      </c>
      <c r="L1932" t="str">
        <f>CONCATENATE(MONTH(CompilDonnées[[#This Row],[PlantationDate]])," ", YEAR(CompilDonnées[[#This Row],[PlantationDate]]))</f>
        <v>3 2025</v>
      </c>
      <c r="M1932" t="str">
        <f>CONCATENATE(MONTH(CompilDonnées[[#This Row],[HarvestingDate]])," ", YEAR(CompilDonnées[[#This Row],[HarvestingDate]]))</f>
        <v>4 2025</v>
      </c>
      <c r="N1932">
        <f>_xlfn.NUMBERVALUE(CompilDonnées[[#This Row],[FarmID]]&amp;CompilDonnées[[#This Row],[ModuleNumber]]&amp;CompilDonnées[[#This Row],[PlantationDate]])</f>
        <v>58245738</v>
      </c>
      <c r="O1932" t="str">
        <f>CompilDonnées[[#This Row],[FarmID]]&amp;CompilDonnées[[#This Row],[ModuleNumber]]</f>
        <v>582</v>
      </c>
      <c r="P1932" t="str">
        <f>CompilDonnées[[#This Row],[Ref_Module]]&amp;CompilDonnées[[#This Row],[HarvestingDate]]</f>
        <v>58245776</v>
      </c>
    </row>
    <row r="1933" spans="1:16">
      <c r="A1933" s="5">
        <v>45738</v>
      </c>
      <c r="B1933">
        <v>64</v>
      </c>
      <c r="C1933" t="s">
        <v>47</v>
      </c>
      <c r="D1933">
        <v>1</v>
      </c>
      <c r="E1933">
        <v>100</v>
      </c>
      <c r="F1933" t="s">
        <v>1</v>
      </c>
      <c r="G1933" s="6">
        <v>45786</v>
      </c>
      <c r="H1933">
        <v>48</v>
      </c>
      <c r="I1933">
        <f>ROUND(CompilDonnées[[#This Row],[CultureDuration_days]]/7,0)</f>
        <v>7</v>
      </c>
      <c r="J1933">
        <v>1989</v>
      </c>
      <c r="K1933" t="str">
        <f>_xlfn.CONCAT(WEEKNUM(CompilDonnées[[#This Row],[PlantationDate]]), " ", YEAR(CompilDonnées[[#This Row],[PlantationDate]]))</f>
        <v>12 2025</v>
      </c>
      <c r="L1933" t="str">
        <f>CONCATENATE(MONTH(CompilDonnées[[#This Row],[PlantationDate]])," ", YEAR(CompilDonnées[[#This Row],[PlantationDate]]))</f>
        <v>3 2025</v>
      </c>
      <c r="M1933" t="str">
        <f>CONCATENATE(MONTH(CompilDonnées[[#This Row],[HarvestingDate]])," ", YEAR(CompilDonnées[[#This Row],[HarvestingDate]]))</f>
        <v>5 2025</v>
      </c>
      <c r="N1933">
        <f>_xlfn.NUMBERVALUE(CompilDonnées[[#This Row],[FarmID]]&amp;CompilDonnées[[#This Row],[ModuleNumber]]&amp;CompilDonnées[[#This Row],[PlantationDate]])</f>
        <v>64145738</v>
      </c>
      <c r="O1933" t="str">
        <f>CompilDonnées[[#This Row],[FarmID]]&amp;CompilDonnées[[#This Row],[ModuleNumber]]</f>
        <v>641</v>
      </c>
      <c r="P1933" t="str">
        <f>CompilDonnées[[#This Row],[Ref_Module]]&amp;CompilDonnées[[#This Row],[HarvestingDate]]</f>
        <v>64145786</v>
      </c>
    </row>
    <row r="1934" spans="1:16">
      <c r="A1934" s="5">
        <v>45738</v>
      </c>
      <c r="B1934">
        <v>65</v>
      </c>
      <c r="C1934" t="s">
        <v>36</v>
      </c>
      <c r="D1934">
        <v>1</v>
      </c>
      <c r="E1934">
        <v>100</v>
      </c>
      <c r="F1934" t="s">
        <v>1</v>
      </c>
      <c r="G1934" s="6">
        <v>45786</v>
      </c>
      <c r="H1934">
        <v>48</v>
      </c>
      <c r="I1934">
        <f>ROUND(CompilDonnées[[#This Row],[CultureDuration_days]]/7,0)</f>
        <v>7</v>
      </c>
      <c r="J1934">
        <v>1852</v>
      </c>
      <c r="K1934" t="str">
        <f>_xlfn.CONCAT(WEEKNUM(CompilDonnées[[#This Row],[PlantationDate]]), " ", YEAR(CompilDonnées[[#This Row],[PlantationDate]]))</f>
        <v>12 2025</v>
      </c>
      <c r="L1934" t="str">
        <f>CONCATENATE(MONTH(CompilDonnées[[#This Row],[PlantationDate]])," ", YEAR(CompilDonnées[[#This Row],[PlantationDate]]))</f>
        <v>3 2025</v>
      </c>
      <c r="M1934" t="str">
        <f>CONCATENATE(MONTH(CompilDonnées[[#This Row],[HarvestingDate]])," ", YEAR(CompilDonnées[[#This Row],[HarvestingDate]]))</f>
        <v>5 2025</v>
      </c>
      <c r="N1934">
        <f>_xlfn.NUMBERVALUE(CompilDonnées[[#This Row],[FarmID]]&amp;CompilDonnées[[#This Row],[ModuleNumber]]&amp;CompilDonnées[[#This Row],[PlantationDate]])</f>
        <v>65145738</v>
      </c>
      <c r="O1934" t="str">
        <f>CompilDonnées[[#This Row],[FarmID]]&amp;CompilDonnées[[#This Row],[ModuleNumber]]</f>
        <v>651</v>
      </c>
      <c r="P1934" t="str">
        <f>CompilDonnées[[#This Row],[Ref_Module]]&amp;CompilDonnées[[#This Row],[HarvestingDate]]</f>
        <v>65145786</v>
      </c>
    </row>
    <row r="1935" spans="1:16">
      <c r="A1935" s="5">
        <v>45738</v>
      </c>
      <c r="B1935">
        <v>66</v>
      </c>
      <c r="C1935" t="s">
        <v>48</v>
      </c>
      <c r="D1935">
        <v>1</v>
      </c>
      <c r="E1935">
        <v>100</v>
      </c>
      <c r="F1935" t="s">
        <v>1</v>
      </c>
      <c r="G1935" s="6">
        <v>45777</v>
      </c>
      <c r="H1935">
        <v>39</v>
      </c>
      <c r="I1935">
        <f>ROUND(CompilDonnées[[#This Row],[CultureDuration_days]]/7,0)</f>
        <v>6</v>
      </c>
      <c r="J1935">
        <v>2489</v>
      </c>
      <c r="K1935" t="str">
        <f>_xlfn.CONCAT(WEEKNUM(CompilDonnées[[#This Row],[PlantationDate]]), " ", YEAR(CompilDonnées[[#This Row],[PlantationDate]]))</f>
        <v>12 2025</v>
      </c>
      <c r="L1935" t="str">
        <f>CONCATENATE(MONTH(CompilDonnées[[#This Row],[PlantationDate]])," ", YEAR(CompilDonnées[[#This Row],[PlantationDate]]))</f>
        <v>3 2025</v>
      </c>
      <c r="M1935" t="str">
        <f>CONCATENATE(MONTH(CompilDonnées[[#This Row],[HarvestingDate]])," ", YEAR(CompilDonnées[[#This Row],[HarvestingDate]]))</f>
        <v>4 2025</v>
      </c>
      <c r="N1935">
        <f>_xlfn.NUMBERVALUE(CompilDonnées[[#This Row],[FarmID]]&amp;CompilDonnées[[#This Row],[ModuleNumber]]&amp;CompilDonnées[[#This Row],[PlantationDate]])</f>
        <v>66145738</v>
      </c>
      <c r="O1935" t="str">
        <f>CompilDonnées[[#This Row],[FarmID]]&amp;CompilDonnées[[#This Row],[ModuleNumber]]</f>
        <v>661</v>
      </c>
      <c r="P1935" t="str">
        <f>CompilDonnées[[#This Row],[Ref_Module]]&amp;CompilDonnées[[#This Row],[HarvestingDate]]</f>
        <v>66145777</v>
      </c>
    </row>
    <row r="1936" spans="1:16">
      <c r="A1936" s="5">
        <v>45738</v>
      </c>
      <c r="B1936">
        <v>67</v>
      </c>
      <c r="C1936" t="s">
        <v>28</v>
      </c>
      <c r="D1936">
        <v>1</v>
      </c>
      <c r="E1936">
        <v>100</v>
      </c>
      <c r="F1936" t="s">
        <v>1</v>
      </c>
      <c r="G1936" s="6">
        <v>45776</v>
      </c>
      <c r="H1936">
        <v>38</v>
      </c>
      <c r="I1936">
        <f>ROUND(CompilDonnées[[#This Row],[CultureDuration_days]]/7,0)</f>
        <v>5</v>
      </c>
      <c r="J1936">
        <v>3011</v>
      </c>
      <c r="K1936" t="str">
        <f>_xlfn.CONCAT(WEEKNUM(CompilDonnées[[#This Row],[PlantationDate]]), " ", YEAR(CompilDonnées[[#This Row],[PlantationDate]]))</f>
        <v>12 2025</v>
      </c>
      <c r="L1936" t="str">
        <f>CONCATENATE(MONTH(CompilDonnées[[#This Row],[PlantationDate]])," ", YEAR(CompilDonnées[[#This Row],[PlantationDate]]))</f>
        <v>3 2025</v>
      </c>
      <c r="M1936" t="str">
        <f>CONCATENATE(MONTH(CompilDonnées[[#This Row],[HarvestingDate]])," ", YEAR(CompilDonnées[[#This Row],[HarvestingDate]]))</f>
        <v>4 2025</v>
      </c>
      <c r="N1936">
        <f>_xlfn.NUMBERVALUE(CompilDonnées[[#This Row],[FarmID]]&amp;CompilDonnées[[#This Row],[ModuleNumber]]&amp;CompilDonnées[[#This Row],[PlantationDate]])</f>
        <v>67145738</v>
      </c>
      <c r="O1936" t="str">
        <f>CompilDonnées[[#This Row],[FarmID]]&amp;CompilDonnées[[#This Row],[ModuleNumber]]</f>
        <v>671</v>
      </c>
      <c r="P1936" t="str">
        <f>CompilDonnées[[#This Row],[Ref_Module]]&amp;CompilDonnées[[#This Row],[HarvestingDate]]</f>
        <v>67145776</v>
      </c>
    </row>
    <row r="1937" spans="1:16">
      <c r="A1937" s="5">
        <v>45738</v>
      </c>
      <c r="B1937">
        <v>71</v>
      </c>
      <c r="C1937" t="s">
        <v>19</v>
      </c>
      <c r="D1937">
        <v>3</v>
      </c>
      <c r="E1937">
        <v>100</v>
      </c>
      <c r="F1937" t="s">
        <v>1</v>
      </c>
      <c r="G1937" s="6">
        <v>45786</v>
      </c>
      <c r="H1937">
        <v>48</v>
      </c>
      <c r="I1937">
        <f>ROUND(CompilDonnées[[#This Row],[CultureDuration_days]]/7,0)</f>
        <v>7</v>
      </c>
      <c r="J1937">
        <v>1926</v>
      </c>
      <c r="K1937" t="str">
        <f>_xlfn.CONCAT(WEEKNUM(CompilDonnées[[#This Row],[PlantationDate]]), " ", YEAR(CompilDonnées[[#This Row],[PlantationDate]]))</f>
        <v>12 2025</v>
      </c>
      <c r="L1937" t="str">
        <f>CONCATENATE(MONTH(CompilDonnées[[#This Row],[PlantationDate]])," ", YEAR(CompilDonnées[[#This Row],[PlantationDate]]))</f>
        <v>3 2025</v>
      </c>
      <c r="M1937" t="str">
        <f>CONCATENATE(MONTH(CompilDonnées[[#This Row],[HarvestingDate]])," ", YEAR(CompilDonnées[[#This Row],[HarvestingDate]]))</f>
        <v>5 2025</v>
      </c>
      <c r="N1937">
        <f>_xlfn.NUMBERVALUE(CompilDonnées[[#This Row],[FarmID]]&amp;CompilDonnées[[#This Row],[ModuleNumber]]&amp;CompilDonnées[[#This Row],[PlantationDate]])</f>
        <v>71345738</v>
      </c>
      <c r="O1937" t="str">
        <f>CompilDonnées[[#This Row],[FarmID]]&amp;CompilDonnées[[#This Row],[ModuleNumber]]</f>
        <v>713</v>
      </c>
      <c r="P1937" t="str">
        <f>CompilDonnées[[#This Row],[Ref_Module]]&amp;CompilDonnées[[#This Row],[HarvestingDate]]</f>
        <v>71345786</v>
      </c>
    </row>
    <row r="1938" spans="1:16">
      <c r="A1938" s="5">
        <v>45738</v>
      </c>
      <c r="B1938">
        <v>72</v>
      </c>
      <c r="C1938" t="s">
        <v>49</v>
      </c>
      <c r="D1938">
        <v>1</v>
      </c>
      <c r="E1938">
        <v>100</v>
      </c>
      <c r="F1938" t="s">
        <v>1</v>
      </c>
      <c r="G1938" s="6">
        <v>45786</v>
      </c>
      <c r="H1938">
        <v>48</v>
      </c>
      <c r="I1938">
        <f>ROUND(CompilDonnées[[#This Row],[CultureDuration_days]]/7,0)</f>
        <v>7</v>
      </c>
      <c r="J1938">
        <v>1722</v>
      </c>
      <c r="K1938" t="str">
        <f>_xlfn.CONCAT(WEEKNUM(CompilDonnées[[#This Row],[PlantationDate]]), " ", YEAR(CompilDonnées[[#This Row],[PlantationDate]]))</f>
        <v>12 2025</v>
      </c>
      <c r="L1938" t="str">
        <f>CONCATENATE(MONTH(CompilDonnées[[#This Row],[PlantationDate]])," ", YEAR(CompilDonnées[[#This Row],[PlantationDate]]))</f>
        <v>3 2025</v>
      </c>
      <c r="M1938" t="str">
        <f>CONCATENATE(MONTH(CompilDonnées[[#This Row],[HarvestingDate]])," ", YEAR(CompilDonnées[[#This Row],[HarvestingDate]]))</f>
        <v>5 2025</v>
      </c>
      <c r="N1938">
        <f>_xlfn.NUMBERVALUE(CompilDonnées[[#This Row],[FarmID]]&amp;CompilDonnées[[#This Row],[ModuleNumber]]&amp;CompilDonnées[[#This Row],[PlantationDate]])</f>
        <v>72145738</v>
      </c>
      <c r="O1938" t="str">
        <f>CompilDonnées[[#This Row],[FarmID]]&amp;CompilDonnées[[#This Row],[ModuleNumber]]</f>
        <v>721</v>
      </c>
      <c r="P1938" t="str">
        <f>CompilDonnées[[#This Row],[Ref_Module]]&amp;CompilDonnées[[#This Row],[HarvestingDate]]</f>
        <v>72145786</v>
      </c>
    </row>
    <row r="1939" spans="1:16">
      <c r="A1939" s="5">
        <v>45738</v>
      </c>
      <c r="B1939">
        <v>72</v>
      </c>
      <c r="C1939" t="s">
        <v>49</v>
      </c>
      <c r="D1939">
        <v>2</v>
      </c>
      <c r="E1939">
        <v>100</v>
      </c>
      <c r="F1939" t="s">
        <v>1</v>
      </c>
      <c r="G1939" s="6">
        <v>45785</v>
      </c>
      <c r="H1939">
        <v>47</v>
      </c>
      <c r="I1939">
        <f>ROUND(CompilDonnées[[#This Row],[CultureDuration_days]]/7,0)</f>
        <v>7</v>
      </c>
      <c r="J1939">
        <v>2803</v>
      </c>
      <c r="K1939" t="str">
        <f>_xlfn.CONCAT(WEEKNUM(CompilDonnées[[#This Row],[PlantationDate]]), " ", YEAR(CompilDonnées[[#This Row],[PlantationDate]]))</f>
        <v>12 2025</v>
      </c>
      <c r="L1939" t="str">
        <f>CONCATENATE(MONTH(CompilDonnées[[#This Row],[PlantationDate]])," ", YEAR(CompilDonnées[[#This Row],[PlantationDate]]))</f>
        <v>3 2025</v>
      </c>
      <c r="M1939" t="str">
        <f>CONCATENATE(MONTH(CompilDonnées[[#This Row],[HarvestingDate]])," ", YEAR(CompilDonnées[[#This Row],[HarvestingDate]]))</f>
        <v>5 2025</v>
      </c>
      <c r="N1939">
        <f>_xlfn.NUMBERVALUE(CompilDonnées[[#This Row],[FarmID]]&amp;CompilDonnées[[#This Row],[ModuleNumber]]&amp;CompilDonnées[[#This Row],[PlantationDate]])</f>
        <v>72245738</v>
      </c>
      <c r="O1939" t="str">
        <f>CompilDonnées[[#This Row],[FarmID]]&amp;CompilDonnées[[#This Row],[ModuleNumber]]</f>
        <v>722</v>
      </c>
      <c r="P1939" t="str">
        <f>CompilDonnées[[#This Row],[Ref_Module]]&amp;CompilDonnées[[#This Row],[HarvestingDate]]</f>
        <v>72245785</v>
      </c>
    </row>
    <row r="1940" spans="1:16">
      <c r="A1940" s="5">
        <v>45738</v>
      </c>
      <c r="B1940">
        <v>73</v>
      </c>
      <c r="C1940" t="s">
        <v>20</v>
      </c>
      <c r="D1940">
        <v>5</v>
      </c>
      <c r="E1940">
        <v>100</v>
      </c>
      <c r="F1940" t="s">
        <v>1</v>
      </c>
      <c r="G1940" s="6">
        <v>45776</v>
      </c>
      <c r="H1940">
        <v>38</v>
      </c>
      <c r="I1940">
        <f>ROUND(CompilDonnées[[#This Row],[CultureDuration_days]]/7,0)</f>
        <v>5</v>
      </c>
      <c r="J1940">
        <v>2792</v>
      </c>
      <c r="K1940" t="str">
        <f>_xlfn.CONCAT(WEEKNUM(CompilDonnées[[#This Row],[PlantationDate]]), " ", YEAR(CompilDonnées[[#This Row],[PlantationDate]]))</f>
        <v>12 2025</v>
      </c>
      <c r="L1940" t="str">
        <f>CONCATENATE(MONTH(CompilDonnées[[#This Row],[PlantationDate]])," ", YEAR(CompilDonnées[[#This Row],[PlantationDate]]))</f>
        <v>3 2025</v>
      </c>
      <c r="M1940" t="str">
        <f>CONCATENATE(MONTH(CompilDonnées[[#This Row],[HarvestingDate]])," ", YEAR(CompilDonnées[[#This Row],[HarvestingDate]]))</f>
        <v>4 2025</v>
      </c>
      <c r="N1940">
        <f>_xlfn.NUMBERVALUE(CompilDonnées[[#This Row],[FarmID]]&amp;CompilDonnées[[#This Row],[ModuleNumber]]&amp;CompilDonnées[[#This Row],[PlantationDate]])</f>
        <v>73545738</v>
      </c>
      <c r="O1940" t="str">
        <f>CompilDonnées[[#This Row],[FarmID]]&amp;CompilDonnées[[#This Row],[ModuleNumber]]</f>
        <v>735</v>
      </c>
      <c r="P1940" t="str">
        <f>CompilDonnées[[#This Row],[Ref_Module]]&amp;CompilDonnées[[#This Row],[HarvestingDate]]</f>
        <v>73545776</v>
      </c>
    </row>
    <row r="1941" spans="1:16">
      <c r="A1941" s="5">
        <v>45738</v>
      </c>
      <c r="B1941">
        <v>73</v>
      </c>
      <c r="C1941" t="s">
        <v>20</v>
      </c>
      <c r="D1941">
        <v>6</v>
      </c>
      <c r="E1941">
        <v>100</v>
      </c>
      <c r="F1941" t="s">
        <v>1</v>
      </c>
      <c r="G1941" s="6">
        <v>45776</v>
      </c>
      <c r="H1941">
        <v>38</v>
      </c>
      <c r="I1941">
        <f>ROUND(CompilDonnées[[#This Row],[CultureDuration_days]]/7,0)</f>
        <v>5</v>
      </c>
      <c r="J1941">
        <v>2665</v>
      </c>
      <c r="K1941" t="str">
        <f>_xlfn.CONCAT(WEEKNUM(CompilDonnées[[#This Row],[PlantationDate]]), " ", YEAR(CompilDonnées[[#This Row],[PlantationDate]]))</f>
        <v>12 2025</v>
      </c>
      <c r="L1941" t="str">
        <f>CONCATENATE(MONTH(CompilDonnées[[#This Row],[PlantationDate]])," ", YEAR(CompilDonnées[[#This Row],[PlantationDate]]))</f>
        <v>3 2025</v>
      </c>
      <c r="M1941" t="str">
        <f>CONCATENATE(MONTH(CompilDonnées[[#This Row],[HarvestingDate]])," ", YEAR(CompilDonnées[[#This Row],[HarvestingDate]]))</f>
        <v>4 2025</v>
      </c>
      <c r="N1941">
        <f>_xlfn.NUMBERVALUE(CompilDonnées[[#This Row],[FarmID]]&amp;CompilDonnées[[#This Row],[ModuleNumber]]&amp;CompilDonnées[[#This Row],[PlantationDate]])</f>
        <v>73645738</v>
      </c>
      <c r="O1941" t="str">
        <f>CompilDonnées[[#This Row],[FarmID]]&amp;CompilDonnées[[#This Row],[ModuleNumber]]</f>
        <v>736</v>
      </c>
      <c r="P1941" t="str">
        <f>CompilDonnées[[#This Row],[Ref_Module]]&amp;CompilDonnées[[#This Row],[HarvestingDate]]</f>
        <v>73645776</v>
      </c>
    </row>
    <row r="1942" spans="1:16">
      <c r="A1942" s="5">
        <v>45738</v>
      </c>
      <c r="B1942">
        <v>74</v>
      </c>
      <c r="C1942" t="s">
        <v>21</v>
      </c>
      <c r="D1942">
        <v>4</v>
      </c>
      <c r="E1942">
        <v>100</v>
      </c>
      <c r="F1942" t="s">
        <v>1</v>
      </c>
      <c r="G1942" s="6">
        <v>45777</v>
      </c>
      <c r="H1942">
        <v>39</v>
      </c>
      <c r="I1942">
        <f>ROUND(CompilDonnées[[#This Row],[CultureDuration_days]]/7,0)</f>
        <v>6</v>
      </c>
      <c r="J1942">
        <v>2695</v>
      </c>
      <c r="K1942" t="str">
        <f>_xlfn.CONCAT(WEEKNUM(CompilDonnées[[#This Row],[PlantationDate]]), " ", YEAR(CompilDonnées[[#This Row],[PlantationDate]]))</f>
        <v>12 2025</v>
      </c>
      <c r="L1942" t="str">
        <f>CONCATENATE(MONTH(CompilDonnées[[#This Row],[PlantationDate]])," ", YEAR(CompilDonnées[[#This Row],[PlantationDate]]))</f>
        <v>3 2025</v>
      </c>
      <c r="M1942" t="str">
        <f>CONCATENATE(MONTH(CompilDonnées[[#This Row],[HarvestingDate]])," ", YEAR(CompilDonnées[[#This Row],[HarvestingDate]]))</f>
        <v>4 2025</v>
      </c>
      <c r="N1942">
        <f>_xlfn.NUMBERVALUE(CompilDonnées[[#This Row],[FarmID]]&amp;CompilDonnées[[#This Row],[ModuleNumber]]&amp;CompilDonnées[[#This Row],[PlantationDate]])</f>
        <v>74445738</v>
      </c>
      <c r="O1942" t="str">
        <f>CompilDonnées[[#This Row],[FarmID]]&amp;CompilDonnées[[#This Row],[ModuleNumber]]</f>
        <v>744</v>
      </c>
      <c r="P1942" t="str">
        <f>CompilDonnées[[#This Row],[Ref_Module]]&amp;CompilDonnées[[#This Row],[HarvestingDate]]</f>
        <v>74445777</v>
      </c>
    </row>
    <row r="1943" spans="1:16">
      <c r="A1943" s="5">
        <v>45738</v>
      </c>
      <c r="B1943">
        <v>76</v>
      </c>
      <c r="C1943" t="s">
        <v>18</v>
      </c>
      <c r="D1943">
        <v>4</v>
      </c>
      <c r="E1943">
        <v>100</v>
      </c>
      <c r="F1943" t="s">
        <v>1</v>
      </c>
      <c r="G1943" s="6">
        <v>45775</v>
      </c>
      <c r="H1943">
        <v>37</v>
      </c>
      <c r="I1943">
        <f>ROUND(CompilDonnées[[#This Row],[CultureDuration_days]]/7,0)</f>
        <v>5</v>
      </c>
      <c r="J1943">
        <v>3027</v>
      </c>
      <c r="K1943" t="str">
        <f>_xlfn.CONCAT(WEEKNUM(CompilDonnées[[#This Row],[PlantationDate]]), " ", YEAR(CompilDonnées[[#This Row],[PlantationDate]]))</f>
        <v>12 2025</v>
      </c>
      <c r="L1943" t="str">
        <f>CONCATENATE(MONTH(CompilDonnées[[#This Row],[PlantationDate]])," ", YEAR(CompilDonnées[[#This Row],[PlantationDate]]))</f>
        <v>3 2025</v>
      </c>
      <c r="M1943" t="str">
        <f>CONCATENATE(MONTH(CompilDonnées[[#This Row],[HarvestingDate]])," ", YEAR(CompilDonnées[[#This Row],[HarvestingDate]]))</f>
        <v>4 2025</v>
      </c>
      <c r="N1943">
        <f>_xlfn.NUMBERVALUE(CompilDonnées[[#This Row],[FarmID]]&amp;CompilDonnées[[#This Row],[ModuleNumber]]&amp;CompilDonnées[[#This Row],[PlantationDate]])</f>
        <v>76445738</v>
      </c>
      <c r="O1943" t="str">
        <f>CompilDonnées[[#This Row],[FarmID]]&amp;CompilDonnées[[#This Row],[ModuleNumber]]</f>
        <v>764</v>
      </c>
      <c r="P1943" t="str">
        <f>CompilDonnées[[#This Row],[Ref_Module]]&amp;CompilDonnées[[#This Row],[HarvestingDate]]</f>
        <v>76445775</v>
      </c>
    </row>
    <row r="1944" spans="1:16">
      <c r="A1944" s="5">
        <v>45738</v>
      </c>
      <c r="B1944">
        <v>77</v>
      </c>
      <c r="C1944" t="s">
        <v>75</v>
      </c>
      <c r="D1944">
        <v>3</v>
      </c>
      <c r="E1944">
        <v>100</v>
      </c>
      <c r="F1944" t="s">
        <v>1</v>
      </c>
      <c r="G1944" s="6">
        <v>45786</v>
      </c>
      <c r="H1944">
        <v>48</v>
      </c>
      <c r="I1944">
        <f>ROUND(CompilDonnées[[#This Row],[CultureDuration_days]]/7,0)</f>
        <v>7</v>
      </c>
      <c r="J1944">
        <v>1912</v>
      </c>
      <c r="K1944" t="str">
        <f>_xlfn.CONCAT(WEEKNUM(CompilDonnées[[#This Row],[PlantationDate]]), " ", YEAR(CompilDonnées[[#This Row],[PlantationDate]]))</f>
        <v>12 2025</v>
      </c>
      <c r="L1944" t="str">
        <f>CONCATENATE(MONTH(CompilDonnées[[#This Row],[PlantationDate]])," ", YEAR(CompilDonnées[[#This Row],[PlantationDate]]))</f>
        <v>3 2025</v>
      </c>
      <c r="M1944" t="str">
        <f>CONCATENATE(MONTH(CompilDonnées[[#This Row],[HarvestingDate]])," ", YEAR(CompilDonnées[[#This Row],[HarvestingDate]]))</f>
        <v>5 2025</v>
      </c>
      <c r="N1944">
        <f>_xlfn.NUMBERVALUE(CompilDonnées[[#This Row],[FarmID]]&amp;CompilDonnées[[#This Row],[ModuleNumber]]&amp;CompilDonnées[[#This Row],[PlantationDate]])</f>
        <v>77345738</v>
      </c>
      <c r="O1944" t="str">
        <f>CompilDonnées[[#This Row],[FarmID]]&amp;CompilDonnées[[#This Row],[ModuleNumber]]</f>
        <v>773</v>
      </c>
      <c r="P1944" t="str">
        <f>CompilDonnées[[#This Row],[Ref_Module]]&amp;CompilDonnées[[#This Row],[HarvestingDate]]</f>
        <v>77345786</v>
      </c>
    </row>
    <row r="1945" spans="1:16">
      <c r="A1945" s="5">
        <v>45738</v>
      </c>
      <c r="B1945">
        <v>80</v>
      </c>
      <c r="C1945" t="s">
        <v>29</v>
      </c>
      <c r="D1945">
        <v>1</v>
      </c>
      <c r="E1945">
        <v>100</v>
      </c>
      <c r="F1945" t="s">
        <v>1</v>
      </c>
      <c r="G1945" s="6">
        <v>45791</v>
      </c>
      <c r="H1945">
        <v>53</v>
      </c>
      <c r="I1945">
        <f>ROUND(CompilDonnées[[#This Row],[CultureDuration_days]]/7,0)</f>
        <v>8</v>
      </c>
      <c r="J1945">
        <v>3208</v>
      </c>
      <c r="K1945" t="str">
        <f>_xlfn.CONCAT(WEEKNUM(CompilDonnées[[#This Row],[PlantationDate]]), " ", YEAR(CompilDonnées[[#This Row],[PlantationDate]]))</f>
        <v>12 2025</v>
      </c>
      <c r="L1945" t="str">
        <f>CONCATENATE(MONTH(CompilDonnées[[#This Row],[PlantationDate]])," ", YEAR(CompilDonnées[[#This Row],[PlantationDate]]))</f>
        <v>3 2025</v>
      </c>
      <c r="M1945" t="str">
        <f>CONCATENATE(MONTH(CompilDonnées[[#This Row],[HarvestingDate]])," ", YEAR(CompilDonnées[[#This Row],[HarvestingDate]]))</f>
        <v>5 2025</v>
      </c>
      <c r="N1945">
        <f>_xlfn.NUMBERVALUE(CompilDonnées[[#This Row],[FarmID]]&amp;CompilDonnées[[#This Row],[ModuleNumber]]&amp;CompilDonnées[[#This Row],[PlantationDate]])</f>
        <v>80145738</v>
      </c>
      <c r="O1945" t="str">
        <f>CompilDonnées[[#This Row],[FarmID]]&amp;CompilDonnées[[#This Row],[ModuleNumber]]</f>
        <v>801</v>
      </c>
      <c r="P1945" t="str">
        <f>CompilDonnées[[#This Row],[Ref_Module]]&amp;CompilDonnées[[#This Row],[HarvestingDate]]</f>
        <v>80145791</v>
      </c>
    </row>
    <row r="1946" spans="1:16">
      <c r="A1946" s="5">
        <v>45738</v>
      </c>
      <c r="B1946">
        <v>83</v>
      </c>
      <c r="C1946" t="s">
        <v>73</v>
      </c>
      <c r="D1946">
        <v>3</v>
      </c>
      <c r="E1946">
        <v>100</v>
      </c>
      <c r="F1946" t="s">
        <v>1</v>
      </c>
      <c r="G1946" s="6">
        <v>45786</v>
      </c>
      <c r="H1946">
        <v>48</v>
      </c>
      <c r="I1946">
        <f>ROUND(CompilDonnées[[#This Row],[CultureDuration_days]]/7,0)</f>
        <v>7</v>
      </c>
      <c r="J1946">
        <v>1777</v>
      </c>
      <c r="K1946" t="str">
        <f>_xlfn.CONCAT(WEEKNUM(CompilDonnées[[#This Row],[PlantationDate]]), " ", YEAR(CompilDonnées[[#This Row],[PlantationDate]]))</f>
        <v>12 2025</v>
      </c>
      <c r="L1946" t="str">
        <f>CONCATENATE(MONTH(CompilDonnées[[#This Row],[PlantationDate]])," ", YEAR(CompilDonnées[[#This Row],[PlantationDate]]))</f>
        <v>3 2025</v>
      </c>
      <c r="M1946" t="str">
        <f>CONCATENATE(MONTH(CompilDonnées[[#This Row],[HarvestingDate]])," ", YEAR(CompilDonnées[[#This Row],[HarvestingDate]]))</f>
        <v>5 2025</v>
      </c>
      <c r="N1946">
        <f>_xlfn.NUMBERVALUE(CompilDonnées[[#This Row],[FarmID]]&amp;CompilDonnées[[#This Row],[ModuleNumber]]&amp;CompilDonnées[[#This Row],[PlantationDate]])</f>
        <v>83345738</v>
      </c>
      <c r="O1946" t="str">
        <f>CompilDonnées[[#This Row],[FarmID]]&amp;CompilDonnées[[#This Row],[ModuleNumber]]</f>
        <v>833</v>
      </c>
      <c r="P1946" t="str">
        <f>CompilDonnées[[#This Row],[Ref_Module]]&amp;CompilDonnées[[#This Row],[HarvestingDate]]</f>
        <v>83345786</v>
      </c>
    </row>
    <row r="1947" spans="1:16">
      <c r="A1947" s="5">
        <v>45738</v>
      </c>
      <c r="B1947">
        <v>85</v>
      </c>
      <c r="C1947" t="s">
        <v>56</v>
      </c>
      <c r="D1947">
        <v>3</v>
      </c>
      <c r="E1947">
        <v>100</v>
      </c>
      <c r="F1947" t="s">
        <v>1</v>
      </c>
      <c r="G1947" s="6">
        <v>45786</v>
      </c>
      <c r="H1947">
        <v>48</v>
      </c>
      <c r="I1947">
        <f>ROUND(CompilDonnées[[#This Row],[CultureDuration_days]]/7,0)</f>
        <v>7</v>
      </c>
      <c r="J1947">
        <v>1687</v>
      </c>
      <c r="K1947" t="str">
        <f>_xlfn.CONCAT(WEEKNUM(CompilDonnées[[#This Row],[PlantationDate]]), " ", YEAR(CompilDonnées[[#This Row],[PlantationDate]]))</f>
        <v>12 2025</v>
      </c>
      <c r="L1947" t="str">
        <f>CONCATENATE(MONTH(CompilDonnées[[#This Row],[PlantationDate]])," ", YEAR(CompilDonnées[[#This Row],[PlantationDate]]))</f>
        <v>3 2025</v>
      </c>
      <c r="M1947" t="str">
        <f>CONCATENATE(MONTH(CompilDonnées[[#This Row],[HarvestingDate]])," ", YEAR(CompilDonnées[[#This Row],[HarvestingDate]]))</f>
        <v>5 2025</v>
      </c>
      <c r="N1947">
        <f>_xlfn.NUMBERVALUE(CompilDonnées[[#This Row],[FarmID]]&amp;CompilDonnées[[#This Row],[ModuleNumber]]&amp;CompilDonnées[[#This Row],[PlantationDate]])</f>
        <v>85345738</v>
      </c>
      <c r="O1947" t="str">
        <f>CompilDonnées[[#This Row],[FarmID]]&amp;CompilDonnées[[#This Row],[ModuleNumber]]</f>
        <v>853</v>
      </c>
      <c r="P1947" t="str">
        <f>CompilDonnées[[#This Row],[Ref_Module]]&amp;CompilDonnées[[#This Row],[HarvestingDate]]</f>
        <v>85345786</v>
      </c>
    </row>
    <row r="1948" spans="1:16">
      <c r="A1948" s="5">
        <v>45738</v>
      </c>
      <c r="B1948">
        <v>87</v>
      </c>
      <c r="C1948" t="s">
        <v>38</v>
      </c>
      <c r="D1948">
        <v>1</v>
      </c>
      <c r="E1948">
        <v>100</v>
      </c>
      <c r="F1948" t="s">
        <v>1</v>
      </c>
      <c r="G1948" s="6">
        <v>45786</v>
      </c>
      <c r="H1948">
        <v>48</v>
      </c>
      <c r="I1948">
        <f>ROUND(CompilDonnées[[#This Row],[CultureDuration_days]]/7,0)</f>
        <v>7</v>
      </c>
      <c r="J1948">
        <v>1870</v>
      </c>
      <c r="K1948" t="str">
        <f>_xlfn.CONCAT(WEEKNUM(CompilDonnées[[#This Row],[PlantationDate]]), " ", YEAR(CompilDonnées[[#This Row],[PlantationDate]]))</f>
        <v>12 2025</v>
      </c>
      <c r="L1948" t="str">
        <f>CONCATENATE(MONTH(CompilDonnées[[#This Row],[PlantationDate]])," ", YEAR(CompilDonnées[[#This Row],[PlantationDate]]))</f>
        <v>3 2025</v>
      </c>
      <c r="M1948" t="str">
        <f>CONCATENATE(MONTH(CompilDonnées[[#This Row],[HarvestingDate]])," ", YEAR(CompilDonnées[[#This Row],[HarvestingDate]]))</f>
        <v>5 2025</v>
      </c>
      <c r="N1948">
        <f>_xlfn.NUMBERVALUE(CompilDonnées[[#This Row],[FarmID]]&amp;CompilDonnées[[#This Row],[ModuleNumber]]&amp;CompilDonnées[[#This Row],[PlantationDate]])</f>
        <v>87145738</v>
      </c>
      <c r="O1948" t="str">
        <f>CompilDonnées[[#This Row],[FarmID]]&amp;CompilDonnées[[#This Row],[ModuleNumber]]</f>
        <v>871</v>
      </c>
      <c r="P1948" t="str">
        <f>CompilDonnées[[#This Row],[Ref_Module]]&amp;CompilDonnées[[#This Row],[HarvestingDate]]</f>
        <v>87145786</v>
      </c>
    </row>
    <row r="1949" spans="1:16">
      <c r="A1949" s="5">
        <v>45738</v>
      </c>
      <c r="B1949">
        <v>89</v>
      </c>
      <c r="C1949" t="s">
        <v>67</v>
      </c>
      <c r="D1949">
        <v>4</v>
      </c>
      <c r="E1949">
        <v>100</v>
      </c>
      <c r="F1949" t="s">
        <v>1</v>
      </c>
      <c r="G1949" s="6">
        <v>45775</v>
      </c>
      <c r="H1949">
        <v>37</v>
      </c>
      <c r="I1949">
        <f>ROUND(CompilDonnées[[#This Row],[CultureDuration_days]]/7,0)</f>
        <v>5</v>
      </c>
      <c r="J1949">
        <v>2753</v>
      </c>
      <c r="K1949" t="str">
        <f>_xlfn.CONCAT(WEEKNUM(CompilDonnées[[#This Row],[PlantationDate]]), " ", YEAR(CompilDonnées[[#This Row],[PlantationDate]]))</f>
        <v>12 2025</v>
      </c>
      <c r="L1949" t="str">
        <f>CONCATENATE(MONTH(CompilDonnées[[#This Row],[PlantationDate]])," ", YEAR(CompilDonnées[[#This Row],[PlantationDate]]))</f>
        <v>3 2025</v>
      </c>
      <c r="M1949" t="str">
        <f>CONCATENATE(MONTH(CompilDonnées[[#This Row],[HarvestingDate]])," ", YEAR(CompilDonnées[[#This Row],[HarvestingDate]]))</f>
        <v>4 2025</v>
      </c>
      <c r="N1949">
        <f>_xlfn.NUMBERVALUE(CompilDonnées[[#This Row],[FarmID]]&amp;CompilDonnées[[#This Row],[ModuleNumber]]&amp;CompilDonnées[[#This Row],[PlantationDate]])</f>
        <v>89445738</v>
      </c>
      <c r="O1949" t="str">
        <f>CompilDonnées[[#This Row],[FarmID]]&amp;CompilDonnées[[#This Row],[ModuleNumber]]</f>
        <v>894</v>
      </c>
      <c r="P1949" t="str">
        <f>CompilDonnées[[#This Row],[Ref_Module]]&amp;CompilDonnées[[#This Row],[HarvestingDate]]</f>
        <v>89445775</v>
      </c>
    </row>
    <row r="1950" spans="1:16">
      <c r="A1950" s="5">
        <v>45738</v>
      </c>
      <c r="B1950">
        <v>92</v>
      </c>
      <c r="C1950" t="s">
        <v>66</v>
      </c>
      <c r="D1950">
        <v>2</v>
      </c>
      <c r="E1950">
        <v>100</v>
      </c>
      <c r="F1950" t="s">
        <v>1</v>
      </c>
      <c r="G1950" s="6">
        <v>45786</v>
      </c>
      <c r="H1950">
        <v>48</v>
      </c>
      <c r="I1950">
        <f>ROUND(CompilDonnées[[#This Row],[CultureDuration_days]]/7,0)</f>
        <v>7</v>
      </c>
      <c r="J1950">
        <v>2446</v>
      </c>
      <c r="K1950" t="str">
        <f>_xlfn.CONCAT(WEEKNUM(CompilDonnées[[#This Row],[PlantationDate]]), " ", YEAR(CompilDonnées[[#This Row],[PlantationDate]]))</f>
        <v>12 2025</v>
      </c>
      <c r="L1950" t="str">
        <f>CONCATENATE(MONTH(CompilDonnées[[#This Row],[PlantationDate]])," ", YEAR(CompilDonnées[[#This Row],[PlantationDate]]))</f>
        <v>3 2025</v>
      </c>
      <c r="M1950" t="str">
        <f>CONCATENATE(MONTH(CompilDonnées[[#This Row],[HarvestingDate]])," ", YEAR(CompilDonnées[[#This Row],[HarvestingDate]]))</f>
        <v>5 2025</v>
      </c>
      <c r="N1950">
        <f>_xlfn.NUMBERVALUE(CompilDonnées[[#This Row],[FarmID]]&amp;CompilDonnées[[#This Row],[ModuleNumber]]&amp;CompilDonnées[[#This Row],[PlantationDate]])</f>
        <v>92245738</v>
      </c>
      <c r="O1950" t="str">
        <f>CompilDonnées[[#This Row],[FarmID]]&amp;CompilDonnées[[#This Row],[ModuleNumber]]</f>
        <v>922</v>
      </c>
      <c r="P1950" t="str">
        <f>CompilDonnées[[#This Row],[Ref_Module]]&amp;CompilDonnées[[#This Row],[HarvestingDate]]</f>
        <v>92245786</v>
      </c>
    </row>
    <row r="1951" spans="1:16">
      <c r="A1951" s="5">
        <v>45738</v>
      </c>
      <c r="B1951">
        <v>95</v>
      </c>
      <c r="C1951" t="s">
        <v>90</v>
      </c>
      <c r="D1951">
        <v>3</v>
      </c>
      <c r="E1951">
        <v>100</v>
      </c>
      <c r="F1951" t="s">
        <v>1</v>
      </c>
      <c r="G1951" s="6">
        <v>45775</v>
      </c>
      <c r="H1951">
        <v>37</v>
      </c>
      <c r="I1951">
        <f>ROUND(CompilDonnées[[#This Row],[CultureDuration_days]]/7,0)</f>
        <v>5</v>
      </c>
      <c r="J1951">
        <v>2567</v>
      </c>
      <c r="K1951" t="str">
        <f>_xlfn.CONCAT(WEEKNUM(CompilDonnées[[#This Row],[PlantationDate]]), " ", YEAR(CompilDonnées[[#This Row],[PlantationDate]]))</f>
        <v>12 2025</v>
      </c>
      <c r="L1951" t="str">
        <f>CONCATENATE(MONTH(CompilDonnées[[#This Row],[PlantationDate]])," ", YEAR(CompilDonnées[[#This Row],[PlantationDate]]))</f>
        <v>3 2025</v>
      </c>
      <c r="M1951" t="str">
        <f>CONCATENATE(MONTH(CompilDonnées[[#This Row],[HarvestingDate]])," ", YEAR(CompilDonnées[[#This Row],[HarvestingDate]]))</f>
        <v>4 2025</v>
      </c>
      <c r="N1951">
        <f>_xlfn.NUMBERVALUE(CompilDonnées[[#This Row],[FarmID]]&amp;CompilDonnées[[#This Row],[ModuleNumber]]&amp;CompilDonnées[[#This Row],[PlantationDate]])</f>
        <v>95345738</v>
      </c>
      <c r="O1951" t="str">
        <f>CompilDonnées[[#This Row],[FarmID]]&amp;CompilDonnées[[#This Row],[ModuleNumber]]</f>
        <v>953</v>
      </c>
      <c r="P1951" t="str">
        <f>CompilDonnées[[#This Row],[Ref_Module]]&amp;CompilDonnées[[#This Row],[HarvestingDate]]</f>
        <v>95345775</v>
      </c>
    </row>
    <row r="1952" spans="1:16">
      <c r="A1952" s="5">
        <v>45738</v>
      </c>
      <c r="B1952">
        <v>41</v>
      </c>
      <c r="C1952" t="s">
        <v>70</v>
      </c>
      <c r="D1952">
        <v>1</v>
      </c>
      <c r="E1952">
        <v>100</v>
      </c>
      <c r="F1952" t="s">
        <v>1</v>
      </c>
      <c r="G1952" s="6">
        <v>45778</v>
      </c>
      <c r="H1952">
        <v>40</v>
      </c>
      <c r="I1952">
        <f>ROUND(CompilDonnées[[#This Row],[CultureDuration_days]]/7,0)</f>
        <v>6</v>
      </c>
      <c r="J1952">
        <v>1796</v>
      </c>
      <c r="K1952" t="str">
        <f>_xlfn.CONCAT(WEEKNUM(CompilDonnées[[#This Row],[PlantationDate]]), " ", YEAR(CompilDonnées[[#This Row],[PlantationDate]]))</f>
        <v>12 2025</v>
      </c>
      <c r="L1952" t="str">
        <f>CONCATENATE(MONTH(CompilDonnées[[#This Row],[PlantationDate]])," ", YEAR(CompilDonnées[[#This Row],[PlantationDate]]))</f>
        <v>3 2025</v>
      </c>
      <c r="M1952" t="str">
        <f>CONCATENATE(MONTH(CompilDonnées[[#This Row],[HarvestingDate]])," ", YEAR(CompilDonnées[[#This Row],[HarvestingDate]]))</f>
        <v>5 2025</v>
      </c>
      <c r="N1952">
        <f>_xlfn.NUMBERVALUE(CompilDonnées[[#This Row],[FarmID]]&amp;CompilDonnées[[#This Row],[ModuleNumber]]&amp;CompilDonnées[[#This Row],[PlantationDate]])</f>
        <v>41145738</v>
      </c>
      <c r="O1952" t="str">
        <f>CompilDonnées[[#This Row],[FarmID]]&amp;CompilDonnées[[#This Row],[ModuleNumber]]</f>
        <v>411</v>
      </c>
      <c r="P1952" t="str">
        <f>CompilDonnées[[#This Row],[Ref_Module]]&amp;CompilDonnées[[#This Row],[HarvestingDate]]</f>
        <v>41145778</v>
      </c>
    </row>
    <row r="1953" spans="1:16">
      <c r="A1953" s="5">
        <v>45738</v>
      </c>
      <c r="B1953">
        <v>44</v>
      </c>
      <c r="C1953" t="s">
        <v>42</v>
      </c>
      <c r="D1953">
        <v>5</v>
      </c>
      <c r="E1953">
        <v>100</v>
      </c>
      <c r="F1953" t="s">
        <v>1</v>
      </c>
      <c r="G1953" s="6">
        <v>45777</v>
      </c>
      <c r="H1953">
        <v>39</v>
      </c>
      <c r="I1953">
        <f>ROUND(CompilDonnées[[#This Row],[CultureDuration_days]]/7,0)</f>
        <v>6</v>
      </c>
      <c r="J1953">
        <v>3098</v>
      </c>
      <c r="K1953" t="str">
        <f>_xlfn.CONCAT(WEEKNUM(CompilDonnées[[#This Row],[PlantationDate]]), " ", YEAR(CompilDonnées[[#This Row],[PlantationDate]]))</f>
        <v>12 2025</v>
      </c>
      <c r="L1953" t="str">
        <f>CONCATENATE(MONTH(CompilDonnées[[#This Row],[PlantationDate]])," ", YEAR(CompilDonnées[[#This Row],[PlantationDate]]))</f>
        <v>3 2025</v>
      </c>
      <c r="M1953" t="str">
        <f>CONCATENATE(MONTH(CompilDonnées[[#This Row],[HarvestingDate]])," ", YEAR(CompilDonnées[[#This Row],[HarvestingDate]]))</f>
        <v>4 2025</v>
      </c>
      <c r="N1953">
        <f>_xlfn.NUMBERVALUE(CompilDonnées[[#This Row],[FarmID]]&amp;CompilDonnées[[#This Row],[ModuleNumber]]&amp;CompilDonnées[[#This Row],[PlantationDate]])</f>
        <v>44545738</v>
      </c>
      <c r="O1953" t="str">
        <f>CompilDonnées[[#This Row],[FarmID]]&amp;CompilDonnées[[#This Row],[ModuleNumber]]</f>
        <v>445</v>
      </c>
      <c r="P1953" t="str">
        <f>CompilDonnées[[#This Row],[Ref_Module]]&amp;CompilDonnées[[#This Row],[HarvestingDate]]</f>
        <v>44545777</v>
      </c>
    </row>
    <row r="1954" spans="1:16">
      <c r="A1954" s="5">
        <v>45739</v>
      </c>
      <c r="B1954">
        <v>26</v>
      </c>
      <c r="C1954" t="s">
        <v>97</v>
      </c>
      <c r="D1954">
        <v>5</v>
      </c>
      <c r="E1954">
        <v>100</v>
      </c>
      <c r="F1954" t="s">
        <v>1</v>
      </c>
      <c r="G1954" s="6">
        <v>45777</v>
      </c>
      <c r="H1954">
        <v>38</v>
      </c>
      <c r="I1954">
        <f>ROUND(CompilDonnées[[#This Row],[CultureDuration_days]]/7,0)</f>
        <v>5</v>
      </c>
      <c r="J1954">
        <v>1958</v>
      </c>
      <c r="K1954" t="str">
        <f>_xlfn.CONCAT(WEEKNUM(CompilDonnées[[#This Row],[PlantationDate]]), " ", YEAR(CompilDonnées[[#This Row],[PlantationDate]]))</f>
        <v>13 2025</v>
      </c>
      <c r="L1954" t="str">
        <f>CONCATENATE(MONTH(CompilDonnées[[#This Row],[PlantationDate]])," ", YEAR(CompilDonnées[[#This Row],[PlantationDate]]))</f>
        <v>3 2025</v>
      </c>
      <c r="M1954" t="str">
        <f>CONCATENATE(MONTH(CompilDonnées[[#This Row],[HarvestingDate]])," ", YEAR(CompilDonnées[[#This Row],[HarvestingDate]]))</f>
        <v>4 2025</v>
      </c>
      <c r="N1954">
        <f>_xlfn.NUMBERVALUE(CompilDonnées[[#This Row],[FarmID]]&amp;CompilDonnées[[#This Row],[ModuleNumber]]&amp;CompilDonnées[[#This Row],[PlantationDate]])</f>
        <v>26545739</v>
      </c>
      <c r="O1954" t="str">
        <f>CompilDonnées[[#This Row],[FarmID]]&amp;CompilDonnées[[#This Row],[ModuleNumber]]</f>
        <v>265</v>
      </c>
      <c r="P1954" t="str">
        <f>CompilDonnées[[#This Row],[Ref_Module]]&amp;CompilDonnées[[#This Row],[HarvestingDate]]</f>
        <v>26545777</v>
      </c>
    </row>
    <row r="1955" spans="1:16">
      <c r="A1955" s="5">
        <v>45739</v>
      </c>
      <c r="B1955">
        <v>26</v>
      </c>
      <c r="C1955" t="s">
        <v>97</v>
      </c>
      <c r="D1955">
        <v>6</v>
      </c>
      <c r="E1955">
        <v>100</v>
      </c>
      <c r="F1955" t="s">
        <v>1</v>
      </c>
      <c r="G1955" s="6">
        <v>45777</v>
      </c>
      <c r="H1955">
        <v>38</v>
      </c>
      <c r="I1955">
        <f>ROUND(CompilDonnées[[#This Row],[CultureDuration_days]]/7,0)</f>
        <v>5</v>
      </c>
      <c r="J1955">
        <v>1938</v>
      </c>
      <c r="K1955" t="str">
        <f>_xlfn.CONCAT(WEEKNUM(CompilDonnées[[#This Row],[PlantationDate]]), " ", YEAR(CompilDonnées[[#This Row],[PlantationDate]]))</f>
        <v>13 2025</v>
      </c>
      <c r="L1955" t="str">
        <f>CONCATENATE(MONTH(CompilDonnées[[#This Row],[PlantationDate]])," ", YEAR(CompilDonnées[[#This Row],[PlantationDate]]))</f>
        <v>3 2025</v>
      </c>
      <c r="M1955" t="str">
        <f>CONCATENATE(MONTH(CompilDonnées[[#This Row],[HarvestingDate]])," ", YEAR(CompilDonnées[[#This Row],[HarvestingDate]]))</f>
        <v>4 2025</v>
      </c>
      <c r="N1955">
        <f>_xlfn.NUMBERVALUE(CompilDonnées[[#This Row],[FarmID]]&amp;CompilDonnées[[#This Row],[ModuleNumber]]&amp;CompilDonnées[[#This Row],[PlantationDate]])</f>
        <v>26645739</v>
      </c>
      <c r="O1955" t="str">
        <f>CompilDonnées[[#This Row],[FarmID]]&amp;CompilDonnées[[#This Row],[ModuleNumber]]</f>
        <v>266</v>
      </c>
      <c r="P1955" t="str">
        <f>CompilDonnées[[#This Row],[Ref_Module]]&amp;CompilDonnées[[#This Row],[HarvestingDate]]</f>
        <v>26645777</v>
      </c>
    </row>
    <row r="1956" spans="1:16">
      <c r="A1956" s="5">
        <v>45739</v>
      </c>
      <c r="B1956">
        <v>27</v>
      </c>
      <c r="C1956" t="s">
        <v>88</v>
      </c>
      <c r="D1956">
        <v>3</v>
      </c>
      <c r="E1956">
        <v>100</v>
      </c>
      <c r="F1956" t="s">
        <v>1</v>
      </c>
      <c r="G1956" s="6">
        <v>45778</v>
      </c>
      <c r="H1956">
        <v>39</v>
      </c>
      <c r="I1956">
        <f>ROUND(CompilDonnées[[#This Row],[CultureDuration_days]]/7,0)</f>
        <v>6</v>
      </c>
      <c r="J1956">
        <v>1724</v>
      </c>
      <c r="K1956" t="str">
        <f>_xlfn.CONCAT(WEEKNUM(CompilDonnées[[#This Row],[PlantationDate]]), " ", YEAR(CompilDonnées[[#This Row],[PlantationDate]]))</f>
        <v>13 2025</v>
      </c>
      <c r="L1956" t="str">
        <f>CONCATENATE(MONTH(CompilDonnées[[#This Row],[PlantationDate]])," ", YEAR(CompilDonnées[[#This Row],[PlantationDate]]))</f>
        <v>3 2025</v>
      </c>
      <c r="M1956" t="str">
        <f>CONCATENATE(MONTH(CompilDonnées[[#This Row],[HarvestingDate]])," ", YEAR(CompilDonnées[[#This Row],[HarvestingDate]]))</f>
        <v>5 2025</v>
      </c>
      <c r="N1956">
        <f>_xlfn.NUMBERVALUE(CompilDonnées[[#This Row],[FarmID]]&amp;CompilDonnées[[#This Row],[ModuleNumber]]&amp;CompilDonnées[[#This Row],[PlantationDate]])</f>
        <v>27345739</v>
      </c>
      <c r="O1956" t="str">
        <f>CompilDonnées[[#This Row],[FarmID]]&amp;CompilDonnées[[#This Row],[ModuleNumber]]</f>
        <v>273</v>
      </c>
      <c r="P1956" t="str">
        <f>CompilDonnées[[#This Row],[Ref_Module]]&amp;CompilDonnées[[#This Row],[HarvestingDate]]</f>
        <v>27345778</v>
      </c>
    </row>
    <row r="1957" spans="1:16">
      <c r="A1957" s="5">
        <v>45739</v>
      </c>
      <c r="B1957">
        <v>27</v>
      </c>
      <c r="C1957" t="s">
        <v>88</v>
      </c>
      <c r="D1957">
        <v>4</v>
      </c>
      <c r="E1957">
        <v>100</v>
      </c>
      <c r="F1957" t="s">
        <v>1</v>
      </c>
      <c r="G1957" s="6">
        <v>45782</v>
      </c>
      <c r="H1957">
        <v>43</v>
      </c>
      <c r="I1957">
        <f>ROUND(CompilDonnées[[#This Row],[CultureDuration_days]]/7,0)</f>
        <v>6</v>
      </c>
      <c r="J1957">
        <v>1716</v>
      </c>
      <c r="K1957" t="str">
        <f>_xlfn.CONCAT(WEEKNUM(CompilDonnées[[#This Row],[PlantationDate]]), " ", YEAR(CompilDonnées[[#This Row],[PlantationDate]]))</f>
        <v>13 2025</v>
      </c>
      <c r="L1957" t="str">
        <f>CONCATENATE(MONTH(CompilDonnées[[#This Row],[PlantationDate]])," ", YEAR(CompilDonnées[[#This Row],[PlantationDate]]))</f>
        <v>3 2025</v>
      </c>
      <c r="M1957" t="str">
        <f>CONCATENATE(MONTH(CompilDonnées[[#This Row],[HarvestingDate]])," ", YEAR(CompilDonnées[[#This Row],[HarvestingDate]]))</f>
        <v>5 2025</v>
      </c>
      <c r="N1957">
        <f>_xlfn.NUMBERVALUE(CompilDonnées[[#This Row],[FarmID]]&amp;CompilDonnées[[#This Row],[ModuleNumber]]&amp;CompilDonnées[[#This Row],[PlantationDate]])</f>
        <v>27445739</v>
      </c>
      <c r="O1957" t="str">
        <f>CompilDonnées[[#This Row],[FarmID]]&amp;CompilDonnées[[#This Row],[ModuleNumber]]</f>
        <v>274</v>
      </c>
      <c r="P1957" t="str">
        <f>CompilDonnées[[#This Row],[Ref_Module]]&amp;CompilDonnées[[#This Row],[HarvestingDate]]</f>
        <v>27445782</v>
      </c>
    </row>
    <row r="1958" spans="1:16">
      <c r="A1958" s="5">
        <v>45739</v>
      </c>
      <c r="B1958">
        <v>29</v>
      </c>
      <c r="C1958" t="s">
        <v>2</v>
      </c>
      <c r="D1958">
        <v>1</v>
      </c>
      <c r="E1958">
        <v>100</v>
      </c>
      <c r="F1958" t="s">
        <v>1</v>
      </c>
      <c r="G1958" s="6">
        <v>45778</v>
      </c>
      <c r="H1958">
        <v>39</v>
      </c>
      <c r="I1958">
        <f>ROUND(CompilDonnées[[#This Row],[CultureDuration_days]]/7,0)</f>
        <v>6</v>
      </c>
      <c r="J1958">
        <v>2660</v>
      </c>
      <c r="K1958" t="str">
        <f>_xlfn.CONCAT(WEEKNUM(CompilDonnées[[#This Row],[PlantationDate]]), " ", YEAR(CompilDonnées[[#This Row],[PlantationDate]]))</f>
        <v>13 2025</v>
      </c>
      <c r="L1958" t="str">
        <f>CONCATENATE(MONTH(CompilDonnées[[#This Row],[PlantationDate]])," ", YEAR(CompilDonnées[[#This Row],[PlantationDate]]))</f>
        <v>3 2025</v>
      </c>
      <c r="M1958" t="str">
        <f>CONCATENATE(MONTH(CompilDonnées[[#This Row],[HarvestingDate]])," ", YEAR(CompilDonnées[[#This Row],[HarvestingDate]]))</f>
        <v>5 2025</v>
      </c>
      <c r="N1958">
        <f>_xlfn.NUMBERVALUE(CompilDonnées[[#This Row],[FarmID]]&amp;CompilDonnées[[#This Row],[ModuleNumber]]&amp;CompilDonnées[[#This Row],[PlantationDate]])</f>
        <v>29145739</v>
      </c>
      <c r="O1958" t="str">
        <f>CompilDonnées[[#This Row],[FarmID]]&amp;CompilDonnées[[#This Row],[ModuleNumber]]</f>
        <v>291</v>
      </c>
      <c r="P1958" t="str">
        <f>CompilDonnées[[#This Row],[Ref_Module]]&amp;CompilDonnées[[#This Row],[HarvestingDate]]</f>
        <v>29145778</v>
      </c>
    </row>
    <row r="1959" spans="1:16">
      <c r="A1959" s="5">
        <v>45739</v>
      </c>
      <c r="B1959">
        <v>30</v>
      </c>
      <c r="C1959" t="s">
        <v>4</v>
      </c>
      <c r="D1959">
        <v>2</v>
      </c>
      <c r="E1959">
        <v>100</v>
      </c>
      <c r="F1959" t="s">
        <v>1</v>
      </c>
      <c r="G1959" s="6">
        <v>45778</v>
      </c>
      <c r="H1959">
        <v>39</v>
      </c>
      <c r="I1959">
        <f>ROUND(CompilDonnées[[#This Row],[CultureDuration_days]]/7,0)</f>
        <v>6</v>
      </c>
      <c r="J1959">
        <v>2586</v>
      </c>
      <c r="K1959" t="str">
        <f>_xlfn.CONCAT(WEEKNUM(CompilDonnées[[#This Row],[PlantationDate]]), " ", YEAR(CompilDonnées[[#This Row],[PlantationDate]]))</f>
        <v>13 2025</v>
      </c>
      <c r="L1959" t="str">
        <f>CONCATENATE(MONTH(CompilDonnées[[#This Row],[PlantationDate]])," ", YEAR(CompilDonnées[[#This Row],[PlantationDate]]))</f>
        <v>3 2025</v>
      </c>
      <c r="M1959" t="str">
        <f>CONCATENATE(MONTH(CompilDonnées[[#This Row],[HarvestingDate]])," ", YEAR(CompilDonnées[[#This Row],[HarvestingDate]]))</f>
        <v>5 2025</v>
      </c>
      <c r="N1959">
        <f>_xlfn.NUMBERVALUE(CompilDonnées[[#This Row],[FarmID]]&amp;CompilDonnées[[#This Row],[ModuleNumber]]&amp;CompilDonnées[[#This Row],[PlantationDate]])</f>
        <v>30245739</v>
      </c>
      <c r="O1959" t="str">
        <f>CompilDonnées[[#This Row],[FarmID]]&amp;CompilDonnées[[#This Row],[ModuleNumber]]</f>
        <v>302</v>
      </c>
      <c r="P1959" t="str">
        <f>CompilDonnées[[#This Row],[Ref_Module]]&amp;CompilDonnées[[#This Row],[HarvestingDate]]</f>
        <v>30245778</v>
      </c>
    </row>
    <row r="1960" spans="1:16">
      <c r="A1960" s="5">
        <v>45739</v>
      </c>
      <c r="B1960">
        <v>31</v>
      </c>
      <c r="C1960" t="s">
        <v>62</v>
      </c>
      <c r="D1960">
        <v>4</v>
      </c>
      <c r="E1960">
        <v>100</v>
      </c>
      <c r="F1960" t="s">
        <v>1</v>
      </c>
      <c r="G1960" s="6">
        <v>45778</v>
      </c>
      <c r="H1960">
        <v>39</v>
      </c>
      <c r="I1960">
        <f>ROUND(CompilDonnées[[#This Row],[CultureDuration_days]]/7,0)</f>
        <v>6</v>
      </c>
      <c r="J1960">
        <v>3422</v>
      </c>
      <c r="K1960" t="str">
        <f>_xlfn.CONCAT(WEEKNUM(CompilDonnées[[#This Row],[PlantationDate]]), " ", YEAR(CompilDonnées[[#This Row],[PlantationDate]]))</f>
        <v>13 2025</v>
      </c>
      <c r="L1960" t="str">
        <f>CONCATENATE(MONTH(CompilDonnées[[#This Row],[PlantationDate]])," ", YEAR(CompilDonnées[[#This Row],[PlantationDate]]))</f>
        <v>3 2025</v>
      </c>
      <c r="M1960" t="str">
        <f>CONCATENATE(MONTH(CompilDonnées[[#This Row],[HarvestingDate]])," ", YEAR(CompilDonnées[[#This Row],[HarvestingDate]]))</f>
        <v>5 2025</v>
      </c>
      <c r="N1960">
        <f>_xlfn.NUMBERVALUE(CompilDonnées[[#This Row],[FarmID]]&amp;CompilDonnées[[#This Row],[ModuleNumber]]&amp;CompilDonnées[[#This Row],[PlantationDate]])</f>
        <v>31445739</v>
      </c>
      <c r="O1960" t="str">
        <f>CompilDonnées[[#This Row],[FarmID]]&amp;CompilDonnées[[#This Row],[ModuleNumber]]</f>
        <v>314</v>
      </c>
      <c r="P1960" t="str">
        <f>CompilDonnées[[#This Row],[Ref_Module]]&amp;CompilDonnées[[#This Row],[HarvestingDate]]</f>
        <v>31445778</v>
      </c>
    </row>
    <row r="1961" spans="1:16">
      <c r="A1961" s="5">
        <v>45739</v>
      </c>
      <c r="B1961">
        <v>32</v>
      </c>
      <c r="C1961" t="s">
        <v>25</v>
      </c>
      <c r="D1961">
        <v>1</v>
      </c>
      <c r="E1961">
        <v>100</v>
      </c>
      <c r="F1961" t="s">
        <v>1</v>
      </c>
      <c r="G1961" s="6">
        <v>45778</v>
      </c>
      <c r="H1961">
        <v>39</v>
      </c>
      <c r="I1961">
        <f>ROUND(CompilDonnées[[#This Row],[CultureDuration_days]]/7,0)</f>
        <v>6</v>
      </c>
      <c r="J1961">
        <v>3306</v>
      </c>
      <c r="K1961" t="str">
        <f>_xlfn.CONCAT(WEEKNUM(CompilDonnées[[#This Row],[PlantationDate]]), " ", YEAR(CompilDonnées[[#This Row],[PlantationDate]]))</f>
        <v>13 2025</v>
      </c>
      <c r="L1961" t="str">
        <f>CONCATENATE(MONTH(CompilDonnées[[#This Row],[PlantationDate]])," ", YEAR(CompilDonnées[[#This Row],[PlantationDate]]))</f>
        <v>3 2025</v>
      </c>
      <c r="M1961" t="str">
        <f>CONCATENATE(MONTH(CompilDonnées[[#This Row],[HarvestingDate]])," ", YEAR(CompilDonnées[[#This Row],[HarvestingDate]]))</f>
        <v>5 2025</v>
      </c>
      <c r="N1961">
        <f>_xlfn.NUMBERVALUE(CompilDonnées[[#This Row],[FarmID]]&amp;CompilDonnées[[#This Row],[ModuleNumber]]&amp;CompilDonnées[[#This Row],[PlantationDate]])</f>
        <v>32145739</v>
      </c>
      <c r="O1961" t="str">
        <f>CompilDonnées[[#This Row],[FarmID]]&amp;CompilDonnées[[#This Row],[ModuleNumber]]</f>
        <v>321</v>
      </c>
      <c r="P1961" t="str">
        <f>CompilDonnées[[#This Row],[Ref_Module]]&amp;CompilDonnées[[#This Row],[HarvestingDate]]</f>
        <v>32145778</v>
      </c>
    </row>
    <row r="1962" spans="1:16">
      <c r="A1962" s="5">
        <v>45739</v>
      </c>
      <c r="B1962">
        <v>33</v>
      </c>
      <c r="C1962" t="s">
        <v>104</v>
      </c>
      <c r="D1962">
        <v>5</v>
      </c>
      <c r="E1962">
        <v>100</v>
      </c>
      <c r="F1962" t="s">
        <v>1</v>
      </c>
      <c r="G1962" s="6">
        <v>45777</v>
      </c>
      <c r="H1962">
        <v>38</v>
      </c>
      <c r="I1962">
        <f>ROUND(CompilDonnées[[#This Row],[CultureDuration_days]]/7,0)</f>
        <v>5</v>
      </c>
      <c r="J1962">
        <v>1488</v>
      </c>
      <c r="K1962" t="str">
        <f>_xlfn.CONCAT(WEEKNUM(CompilDonnées[[#This Row],[PlantationDate]]), " ", YEAR(CompilDonnées[[#This Row],[PlantationDate]]))</f>
        <v>13 2025</v>
      </c>
      <c r="L1962" t="str">
        <f>CONCATENATE(MONTH(CompilDonnées[[#This Row],[PlantationDate]])," ", YEAR(CompilDonnées[[#This Row],[PlantationDate]]))</f>
        <v>3 2025</v>
      </c>
      <c r="M1962" t="str">
        <f>CONCATENATE(MONTH(CompilDonnées[[#This Row],[HarvestingDate]])," ", YEAR(CompilDonnées[[#This Row],[HarvestingDate]]))</f>
        <v>4 2025</v>
      </c>
      <c r="N1962">
        <f>_xlfn.NUMBERVALUE(CompilDonnées[[#This Row],[FarmID]]&amp;CompilDonnées[[#This Row],[ModuleNumber]]&amp;CompilDonnées[[#This Row],[PlantationDate]])</f>
        <v>33545739</v>
      </c>
      <c r="O1962" t="str">
        <f>CompilDonnées[[#This Row],[FarmID]]&amp;CompilDonnées[[#This Row],[ModuleNumber]]</f>
        <v>335</v>
      </c>
      <c r="P1962" t="str">
        <f>CompilDonnées[[#This Row],[Ref_Module]]&amp;CompilDonnées[[#This Row],[HarvestingDate]]</f>
        <v>33545777</v>
      </c>
    </row>
    <row r="1963" spans="1:16">
      <c r="A1963" s="5">
        <v>45739</v>
      </c>
      <c r="B1963">
        <v>48</v>
      </c>
      <c r="C1963" t="s">
        <v>71</v>
      </c>
      <c r="D1963">
        <v>4</v>
      </c>
      <c r="E1963">
        <v>100</v>
      </c>
      <c r="F1963" t="s">
        <v>1</v>
      </c>
      <c r="G1963" s="6">
        <v>45785</v>
      </c>
      <c r="H1963">
        <v>46</v>
      </c>
      <c r="I1963">
        <f>ROUND(CompilDonnées[[#This Row],[CultureDuration_days]]/7,0)</f>
        <v>7</v>
      </c>
      <c r="J1963">
        <v>2409</v>
      </c>
      <c r="K1963" t="str">
        <f>_xlfn.CONCAT(WEEKNUM(CompilDonnées[[#This Row],[PlantationDate]]), " ", YEAR(CompilDonnées[[#This Row],[PlantationDate]]))</f>
        <v>13 2025</v>
      </c>
      <c r="L1963" t="str">
        <f>CONCATENATE(MONTH(CompilDonnées[[#This Row],[PlantationDate]])," ", YEAR(CompilDonnées[[#This Row],[PlantationDate]]))</f>
        <v>3 2025</v>
      </c>
      <c r="M1963" t="str">
        <f>CONCATENATE(MONTH(CompilDonnées[[#This Row],[HarvestingDate]])," ", YEAR(CompilDonnées[[#This Row],[HarvestingDate]]))</f>
        <v>5 2025</v>
      </c>
      <c r="N1963">
        <f>_xlfn.NUMBERVALUE(CompilDonnées[[#This Row],[FarmID]]&amp;CompilDonnées[[#This Row],[ModuleNumber]]&amp;CompilDonnées[[#This Row],[PlantationDate]])</f>
        <v>48445739</v>
      </c>
      <c r="O1963" t="str">
        <f>CompilDonnées[[#This Row],[FarmID]]&amp;CompilDonnées[[#This Row],[ModuleNumber]]</f>
        <v>484</v>
      </c>
      <c r="P1963" t="str">
        <f>CompilDonnées[[#This Row],[Ref_Module]]&amp;CompilDonnées[[#This Row],[HarvestingDate]]</f>
        <v>48445785</v>
      </c>
    </row>
    <row r="1964" spans="1:16">
      <c r="A1964" s="5">
        <v>45739</v>
      </c>
      <c r="B1964">
        <v>49</v>
      </c>
      <c r="C1964" t="s">
        <v>110</v>
      </c>
      <c r="D1964">
        <v>2</v>
      </c>
      <c r="E1964">
        <v>100</v>
      </c>
      <c r="F1964" t="s">
        <v>1</v>
      </c>
      <c r="G1964" s="6">
        <v>45777</v>
      </c>
      <c r="H1964">
        <v>38</v>
      </c>
      <c r="I1964">
        <f>ROUND(CompilDonnées[[#This Row],[CultureDuration_days]]/7,0)</f>
        <v>5</v>
      </c>
      <c r="J1964">
        <v>2540</v>
      </c>
      <c r="K1964" t="str">
        <f>_xlfn.CONCAT(WEEKNUM(CompilDonnées[[#This Row],[PlantationDate]]), " ", YEAR(CompilDonnées[[#This Row],[PlantationDate]]))</f>
        <v>13 2025</v>
      </c>
      <c r="L1964" t="str">
        <f>CONCATENATE(MONTH(CompilDonnées[[#This Row],[PlantationDate]])," ", YEAR(CompilDonnées[[#This Row],[PlantationDate]]))</f>
        <v>3 2025</v>
      </c>
      <c r="M1964" t="str">
        <f>CONCATENATE(MONTH(CompilDonnées[[#This Row],[HarvestingDate]])," ", YEAR(CompilDonnées[[#This Row],[HarvestingDate]]))</f>
        <v>4 2025</v>
      </c>
      <c r="N1964">
        <f>_xlfn.NUMBERVALUE(CompilDonnées[[#This Row],[FarmID]]&amp;CompilDonnées[[#This Row],[ModuleNumber]]&amp;CompilDonnées[[#This Row],[PlantationDate]])</f>
        <v>49245739</v>
      </c>
      <c r="O1964" t="str">
        <f>CompilDonnées[[#This Row],[FarmID]]&amp;CompilDonnées[[#This Row],[ModuleNumber]]</f>
        <v>492</v>
      </c>
      <c r="P1964" t="str">
        <f>CompilDonnées[[#This Row],[Ref_Module]]&amp;CompilDonnées[[#This Row],[HarvestingDate]]</f>
        <v>49245777</v>
      </c>
    </row>
    <row r="1965" spans="1:16">
      <c r="A1965" s="5">
        <v>45739</v>
      </c>
      <c r="B1965">
        <v>50</v>
      </c>
      <c r="C1965" t="s">
        <v>55</v>
      </c>
      <c r="D1965">
        <v>6</v>
      </c>
      <c r="E1965">
        <v>100</v>
      </c>
      <c r="F1965" t="s">
        <v>1</v>
      </c>
      <c r="G1965" s="6">
        <v>45785</v>
      </c>
      <c r="H1965">
        <v>46</v>
      </c>
      <c r="I1965">
        <f>ROUND(CompilDonnées[[#This Row],[CultureDuration_days]]/7,0)</f>
        <v>7</v>
      </c>
      <c r="J1965">
        <v>2782</v>
      </c>
      <c r="K1965" t="str">
        <f>_xlfn.CONCAT(WEEKNUM(CompilDonnées[[#This Row],[PlantationDate]]), " ", YEAR(CompilDonnées[[#This Row],[PlantationDate]]))</f>
        <v>13 2025</v>
      </c>
      <c r="L1965" t="str">
        <f>CONCATENATE(MONTH(CompilDonnées[[#This Row],[PlantationDate]])," ", YEAR(CompilDonnées[[#This Row],[PlantationDate]]))</f>
        <v>3 2025</v>
      </c>
      <c r="M1965" t="str">
        <f>CONCATENATE(MONTH(CompilDonnées[[#This Row],[HarvestingDate]])," ", YEAR(CompilDonnées[[#This Row],[HarvestingDate]]))</f>
        <v>5 2025</v>
      </c>
      <c r="N1965">
        <f>_xlfn.NUMBERVALUE(CompilDonnées[[#This Row],[FarmID]]&amp;CompilDonnées[[#This Row],[ModuleNumber]]&amp;CompilDonnées[[#This Row],[PlantationDate]])</f>
        <v>50645739</v>
      </c>
      <c r="O1965" t="str">
        <f>CompilDonnées[[#This Row],[FarmID]]&amp;CompilDonnées[[#This Row],[ModuleNumber]]</f>
        <v>506</v>
      </c>
      <c r="P1965" t="str">
        <f>CompilDonnées[[#This Row],[Ref_Module]]&amp;CompilDonnées[[#This Row],[HarvestingDate]]</f>
        <v>50645785</v>
      </c>
    </row>
    <row r="1966" spans="1:16">
      <c r="A1966" s="5">
        <v>45739</v>
      </c>
      <c r="B1966">
        <v>58</v>
      </c>
      <c r="C1966" t="s">
        <v>35</v>
      </c>
      <c r="D1966">
        <v>5</v>
      </c>
      <c r="E1966">
        <v>100</v>
      </c>
      <c r="F1966" t="s">
        <v>1</v>
      </c>
      <c r="G1966" s="6">
        <v>45776</v>
      </c>
      <c r="H1966">
        <v>37</v>
      </c>
      <c r="I1966">
        <f>ROUND(CompilDonnées[[#This Row],[CultureDuration_days]]/7,0)</f>
        <v>5</v>
      </c>
      <c r="J1966">
        <v>3307</v>
      </c>
      <c r="K1966" t="str">
        <f>_xlfn.CONCAT(WEEKNUM(CompilDonnées[[#This Row],[PlantationDate]]), " ", YEAR(CompilDonnées[[#This Row],[PlantationDate]]))</f>
        <v>13 2025</v>
      </c>
      <c r="L1966" t="str">
        <f>CONCATENATE(MONTH(CompilDonnées[[#This Row],[PlantationDate]])," ", YEAR(CompilDonnées[[#This Row],[PlantationDate]]))</f>
        <v>3 2025</v>
      </c>
      <c r="M1966" t="str">
        <f>CONCATENATE(MONTH(CompilDonnées[[#This Row],[HarvestingDate]])," ", YEAR(CompilDonnées[[#This Row],[HarvestingDate]]))</f>
        <v>4 2025</v>
      </c>
      <c r="N1966">
        <f>_xlfn.NUMBERVALUE(CompilDonnées[[#This Row],[FarmID]]&amp;CompilDonnées[[#This Row],[ModuleNumber]]&amp;CompilDonnées[[#This Row],[PlantationDate]])</f>
        <v>58545739</v>
      </c>
      <c r="O1966" t="str">
        <f>CompilDonnées[[#This Row],[FarmID]]&amp;CompilDonnées[[#This Row],[ModuleNumber]]</f>
        <v>585</v>
      </c>
      <c r="P1966" t="str">
        <f>CompilDonnées[[#This Row],[Ref_Module]]&amp;CompilDonnées[[#This Row],[HarvestingDate]]</f>
        <v>58545776</v>
      </c>
    </row>
    <row r="1967" spans="1:16">
      <c r="A1967" s="5">
        <v>45739</v>
      </c>
      <c r="B1967">
        <v>67</v>
      </c>
      <c r="C1967" t="s">
        <v>28</v>
      </c>
      <c r="D1967">
        <v>5</v>
      </c>
      <c r="E1967">
        <v>100</v>
      </c>
      <c r="F1967" t="s">
        <v>1</v>
      </c>
      <c r="G1967" s="6">
        <v>45776</v>
      </c>
      <c r="H1967">
        <v>37</v>
      </c>
      <c r="I1967">
        <f>ROUND(CompilDonnées[[#This Row],[CultureDuration_days]]/7,0)</f>
        <v>5</v>
      </c>
      <c r="J1967">
        <v>3225</v>
      </c>
      <c r="K1967" t="str">
        <f>_xlfn.CONCAT(WEEKNUM(CompilDonnées[[#This Row],[PlantationDate]]), " ", YEAR(CompilDonnées[[#This Row],[PlantationDate]]))</f>
        <v>13 2025</v>
      </c>
      <c r="L1967" t="str">
        <f>CONCATENATE(MONTH(CompilDonnées[[#This Row],[PlantationDate]])," ", YEAR(CompilDonnées[[#This Row],[PlantationDate]]))</f>
        <v>3 2025</v>
      </c>
      <c r="M1967" t="str">
        <f>CONCATENATE(MONTH(CompilDonnées[[#This Row],[HarvestingDate]])," ", YEAR(CompilDonnées[[#This Row],[HarvestingDate]]))</f>
        <v>4 2025</v>
      </c>
      <c r="N1967">
        <f>_xlfn.NUMBERVALUE(CompilDonnées[[#This Row],[FarmID]]&amp;CompilDonnées[[#This Row],[ModuleNumber]]&amp;CompilDonnées[[#This Row],[PlantationDate]])</f>
        <v>67545739</v>
      </c>
      <c r="O1967" t="str">
        <f>CompilDonnées[[#This Row],[FarmID]]&amp;CompilDonnées[[#This Row],[ModuleNumber]]</f>
        <v>675</v>
      </c>
      <c r="P1967" t="str">
        <f>CompilDonnées[[#This Row],[Ref_Module]]&amp;CompilDonnées[[#This Row],[HarvestingDate]]</f>
        <v>67545776</v>
      </c>
    </row>
    <row r="1968" spans="1:16">
      <c r="A1968" s="5">
        <v>45739</v>
      </c>
      <c r="B1968">
        <v>68</v>
      </c>
      <c r="C1968" t="s">
        <v>89</v>
      </c>
      <c r="D1968">
        <v>1</v>
      </c>
      <c r="E1968">
        <v>100</v>
      </c>
      <c r="F1968" t="s">
        <v>1</v>
      </c>
      <c r="G1968" s="6">
        <v>45776</v>
      </c>
      <c r="H1968">
        <v>37</v>
      </c>
      <c r="I1968">
        <f>ROUND(CompilDonnées[[#This Row],[CultureDuration_days]]/7,0)</f>
        <v>5</v>
      </c>
      <c r="J1968">
        <v>3153</v>
      </c>
      <c r="K1968" t="str">
        <f>_xlfn.CONCAT(WEEKNUM(CompilDonnées[[#This Row],[PlantationDate]]), " ", YEAR(CompilDonnées[[#This Row],[PlantationDate]]))</f>
        <v>13 2025</v>
      </c>
      <c r="L1968" t="str">
        <f>CONCATENATE(MONTH(CompilDonnées[[#This Row],[PlantationDate]])," ", YEAR(CompilDonnées[[#This Row],[PlantationDate]]))</f>
        <v>3 2025</v>
      </c>
      <c r="M1968" t="str">
        <f>CONCATENATE(MONTH(CompilDonnées[[#This Row],[HarvestingDate]])," ", YEAR(CompilDonnées[[#This Row],[HarvestingDate]]))</f>
        <v>4 2025</v>
      </c>
      <c r="N1968">
        <f>_xlfn.NUMBERVALUE(CompilDonnées[[#This Row],[FarmID]]&amp;CompilDonnées[[#This Row],[ModuleNumber]]&amp;CompilDonnées[[#This Row],[PlantationDate]])</f>
        <v>68145739</v>
      </c>
      <c r="O1968" t="str">
        <f>CompilDonnées[[#This Row],[FarmID]]&amp;CompilDonnées[[#This Row],[ModuleNumber]]</f>
        <v>681</v>
      </c>
      <c r="P1968" t="str">
        <f>CompilDonnées[[#This Row],[Ref_Module]]&amp;CompilDonnées[[#This Row],[HarvestingDate]]</f>
        <v>68145776</v>
      </c>
    </row>
    <row r="1969" spans="1:16">
      <c r="A1969" s="5">
        <v>45739</v>
      </c>
      <c r="B1969">
        <v>72</v>
      </c>
      <c r="C1969" t="s">
        <v>49</v>
      </c>
      <c r="D1969">
        <v>3</v>
      </c>
      <c r="E1969">
        <v>100</v>
      </c>
      <c r="F1969" t="s">
        <v>1</v>
      </c>
      <c r="G1969" s="6">
        <v>45777</v>
      </c>
      <c r="H1969">
        <v>38</v>
      </c>
      <c r="I1969">
        <f>ROUND(CompilDonnées[[#This Row],[CultureDuration_days]]/7,0)</f>
        <v>5</v>
      </c>
      <c r="J1969">
        <v>2702</v>
      </c>
      <c r="K1969" t="str">
        <f>_xlfn.CONCAT(WEEKNUM(CompilDonnées[[#This Row],[PlantationDate]]), " ", YEAR(CompilDonnées[[#This Row],[PlantationDate]]))</f>
        <v>13 2025</v>
      </c>
      <c r="L1969" t="str">
        <f>CONCATENATE(MONTH(CompilDonnées[[#This Row],[PlantationDate]])," ", YEAR(CompilDonnées[[#This Row],[PlantationDate]]))</f>
        <v>3 2025</v>
      </c>
      <c r="M1969" t="str">
        <f>CONCATENATE(MONTH(CompilDonnées[[#This Row],[HarvestingDate]])," ", YEAR(CompilDonnées[[#This Row],[HarvestingDate]]))</f>
        <v>4 2025</v>
      </c>
      <c r="N1969">
        <f>_xlfn.NUMBERVALUE(CompilDonnées[[#This Row],[FarmID]]&amp;CompilDonnées[[#This Row],[ModuleNumber]]&amp;CompilDonnées[[#This Row],[PlantationDate]])</f>
        <v>72345739</v>
      </c>
      <c r="O1969" t="str">
        <f>CompilDonnées[[#This Row],[FarmID]]&amp;CompilDonnées[[#This Row],[ModuleNumber]]</f>
        <v>723</v>
      </c>
      <c r="P1969" t="str">
        <f>CompilDonnées[[#This Row],[Ref_Module]]&amp;CompilDonnées[[#This Row],[HarvestingDate]]</f>
        <v>72345777</v>
      </c>
    </row>
    <row r="1970" spans="1:16">
      <c r="A1970" s="5">
        <v>45739</v>
      </c>
      <c r="B1970">
        <v>83</v>
      </c>
      <c r="C1970" t="s">
        <v>73</v>
      </c>
      <c r="D1970">
        <v>6</v>
      </c>
      <c r="E1970">
        <v>100</v>
      </c>
      <c r="F1970" t="s">
        <v>1</v>
      </c>
      <c r="G1970" s="6">
        <v>45789</v>
      </c>
      <c r="H1970">
        <v>50</v>
      </c>
      <c r="I1970">
        <f>ROUND(CompilDonnées[[#This Row],[CultureDuration_days]]/7,0)</f>
        <v>7</v>
      </c>
      <c r="J1970">
        <v>2033</v>
      </c>
      <c r="K1970" t="str">
        <f>_xlfn.CONCAT(WEEKNUM(CompilDonnées[[#This Row],[PlantationDate]]), " ", YEAR(CompilDonnées[[#This Row],[PlantationDate]]))</f>
        <v>13 2025</v>
      </c>
      <c r="L1970" t="str">
        <f>CONCATENATE(MONTH(CompilDonnées[[#This Row],[PlantationDate]])," ", YEAR(CompilDonnées[[#This Row],[PlantationDate]]))</f>
        <v>3 2025</v>
      </c>
      <c r="M1970" t="str">
        <f>CONCATENATE(MONTH(CompilDonnées[[#This Row],[HarvestingDate]])," ", YEAR(CompilDonnées[[#This Row],[HarvestingDate]]))</f>
        <v>5 2025</v>
      </c>
      <c r="N1970">
        <f>_xlfn.NUMBERVALUE(CompilDonnées[[#This Row],[FarmID]]&amp;CompilDonnées[[#This Row],[ModuleNumber]]&amp;CompilDonnées[[#This Row],[PlantationDate]])</f>
        <v>83645739</v>
      </c>
      <c r="O1970" t="str">
        <f>CompilDonnées[[#This Row],[FarmID]]&amp;CompilDonnées[[#This Row],[ModuleNumber]]</f>
        <v>836</v>
      </c>
      <c r="P1970" t="str">
        <f>CompilDonnées[[#This Row],[Ref_Module]]&amp;CompilDonnées[[#This Row],[HarvestingDate]]</f>
        <v>83645789</v>
      </c>
    </row>
    <row r="1971" spans="1:16">
      <c r="A1971" s="5">
        <v>45739</v>
      </c>
      <c r="B1971">
        <v>34</v>
      </c>
      <c r="C1971" t="s">
        <v>68</v>
      </c>
      <c r="D1971">
        <v>6</v>
      </c>
      <c r="E1971">
        <v>100</v>
      </c>
      <c r="F1971" t="s">
        <v>1</v>
      </c>
      <c r="G1971" s="6">
        <v>45778</v>
      </c>
      <c r="H1971">
        <v>39</v>
      </c>
      <c r="I1971">
        <f>ROUND(CompilDonnées[[#This Row],[CultureDuration_days]]/7,0)</f>
        <v>6</v>
      </c>
      <c r="J1971">
        <v>1212</v>
      </c>
      <c r="K1971" t="str">
        <f>_xlfn.CONCAT(WEEKNUM(CompilDonnées[[#This Row],[PlantationDate]]), " ", YEAR(CompilDonnées[[#This Row],[PlantationDate]]))</f>
        <v>13 2025</v>
      </c>
      <c r="L1971" t="str">
        <f>CONCATENATE(MONTH(CompilDonnées[[#This Row],[PlantationDate]])," ", YEAR(CompilDonnées[[#This Row],[PlantationDate]]))</f>
        <v>3 2025</v>
      </c>
      <c r="M1971" t="str">
        <f>CONCATENATE(MONTH(CompilDonnées[[#This Row],[HarvestingDate]])," ", YEAR(CompilDonnées[[#This Row],[HarvestingDate]]))</f>
        <v>5 2025</v>
      </c>
      <c r="N1971">
        <f>_xlfn.NUMBERVALUE(CompilDonnées[[#This Row],[FarmID]]&amp;CompilDonnées[[#This Row],[ModuleNumber]]&amp;CompilDonnées[[#This Row],[PlantationDate]])</f>
        <v>34645739</v>
      </c>
      <c r="O1971" t="str">
        <f>CompilDonnées[[#This Row],[FarmID]]&amp;CompilDonnées[[#This Row],[ModuleNumber]]</f>
        <v>346</v>
      </c>
      <c r="P1971" t="str">
        <f>CompilDonnées[[#This Row],[Ref_Module]]&amp;CompilDonnées[[#This Row],[HarvestingDate]]</f>
        <v>34645778</v>
      </c>
    </row>
    <row r="1972" spans="1:16">
      <c r="A1972" s="5">
        <v>45739</v>
      </c>
      <c r="B1972">
        <v>38</v>
      </c>
      <c r="C1972" t="s">
        <v>34</v>
      </c>
      <c r="D1972">
        <v>5</v>
      </c>
      <c r="E1972">
        <v>100</v>
      </c>
      <c r="F1972" t="s">
        <v>1</v>
      </c>
      <c r="G1972" s="6">
        <v>45777</v>
      </c>
      <c r="H1972">
        <v>38</v>
      </c>
      <c r="I1972">
        <f>ROUND(CompilDonnées[[#This Row],[CultureDuration_days]]/7,0)</f>
        <v>5</v>
      </c>
      <c r="J1972">
        <v>3204</v>
      </c>
      <c r="K1972" t="str">
        <f>_xlfn.CONCAT(WEEKNUM(CompilDonnées[[#This Row],[PlantationDate]]), " ", YEAR(CompilDonnées[[#This Row],[PlantationDate]]))</f>
        <v>13 2025</v>
      </c>
      <c r="L1972" t="str">
        <f>CONCATENATE(MONTH(CompilDonnées[[#This Row],[PlantationDate]])," ", YEAR(CompilDonnées[[#This Row],[PlantationDate]]))</f>
        <v>3 2025</v>
      </c>
      <c r="M1972" t="str">
        <f>CONCATENATE(MONTH(CompilDonnées[[#This Row],[HarvestingDate]])," ", YEAR(CompilDonnées[[#This Row],[HarvestingDate]]))</f>
        <v>4 2025</v>
      </c>
      <c r="N1972">
        <f>_xlfn.NUMBERVALUE(CompilDonnées[[#This Row],[FarmID]]&amp;CompilDonnées[[#This Row],[ModuleNumber]]&amp;CompilDonnées[[#This Row],[PlantationDate]])</f>
        <v>38545739</v>
      </c>
      <c r="O1972" t="str">
        <f>CompilDonnées[[#This Row],[FarmID]]&amp;CompilDonnées[[#This Row],[ModuleNumber]]</f>
        <v>385</v>
      </c>
      <c r="P1972" t="str">
        <f>CompilDonnées[[#This Row],[Ref_Module]]&amp;CompilDonnées[[#This Row],[HarvestingDate]]</f>
        <v>38545777</v>
      </c>
    </row>
    <row r="1973" spans="1:16">
      <c r="A1973" s="5">
        <v>45739</v>
      </c>
      <c r="B1973">
        <v>39</v>
      </c>
      <c r="C1973" t="s">
        <v>81</v>
      </c>
      <c r="D1973">
        <v>6</v>
      </c>
      <c r="E1973">
        <v>100</v>
      </c>
      <c r="F1973" t="s">
        <v>1</v>
      </c>
      <c r="G1973" s="6">
        <v>45777</v>
      </c>
      <c r="H1973">
        <v>38</v>
      </c>
      <c r="I1973">
        <f>ROUND(CompilDonnées[[#This Row],[CultureDuration_days]]/7,0)</f>
        <v>5</v>
      </c>
      <c r="J1973">
        <v>2076</v>
      </c>
      <c r="K1973" t="str">
        <f>_xlfn.CONCAT(WEEKNUM(CompilDonnées[[#This Row],[PlantationDate]]), " ", YEAR(CompilDonnées[[#This Row],[PlantationDate]]))</f>
        <v>13 2025</v>
      </c>
      <c r="L1973" t="str">
        <f>CONCATENATE(MONTH(CompilDonnées[[#This Row],[PlantationDate]])," ", YEAR(CompilDonnées[[#This Row],[PlantationDate]]))</f>
        <v>3 2025</v>
      </c>
      <c r="M1973" t="str">
        <f>CONCATENATE(MONTH(CompilDonnées[[#This Row],[HarvestingDate]])," ", YEAR(CompilDonnées[[#This Row],[HarvestingDate]]))</f>
        <v>4 2025</v>
      </c>
      <c r="N1973">
        <f>_xlfn.NUMBERVALUE(CompilDonnées[[#This Row],[FarmID]]&amp;CompilDonnées[[#This Row],[ModuleNumber]]&amp;CompilDonnées[[#This Row],[PlantationDate]])</f>
        <v>39645739</v>
      </c>
      <c r="O1973" t="str">
        <f>CompilDonnées[[#This Row],[FarmID]]&amp;CompilDonnées[[#This Row],[ModuleNumber]]</f>
        <v>396</v>
      </c>
      <c r="P1973" t="str">
        <f>CompilDonnées[[#This Row],[Ref_Module]]&amp;CompilDonnées[[#This Row],[HarvestingDate]]</f>
        <v>39645777</v>
      </c>
    </row>
    <row r="1974" spans="1:16">
      <c r="A1974" s="5">
        <v>45739</v>
      </c>
      <c r="B1974">
        <v>40</v>
      </c>
      <c r="C1974" t="s">
        <v>82</v>
      </c>
      <c r="D1974">
        <v>5</v>
      </c>
      <c r="E1974">
        <v>100</v>
      </c>
      <c r="F1974" t="s">
        <v>1</v>
      </c>
      <c r="G1974" s="6">
        <v>45782</v>
      </c>
      <c r="H1974">
        <v>43</v>
      </c>
      <c r="I1974">
        <f>ROUND(CompilDonnées[[#This Row],[CultureDuration_days]]/7,0)</f>
        <v>6</v>
      </c>
      <c r="J1974">
        <v>1812</v>
      </c>
      <c r="K1974" t="str">
        <f>_xlfn.CONCAT(WEEKNUM(CompilDonnées[[#This Row],[PlantationDate]]), " ", YEAR(CompilDonnées[[#This Row],[PlantationDate]]))</f>
        <v>13 2025</v>
      </c>
      <c r="L1974" t="str">
        <f>CONCATENATE(MONTH(CompilDonnées[[#This Row],[PlantationDate]])," ", YEAR(CompilDonnées[[#This Row],[PlantationDate]]))</f>
        <v>3 2025</v>
      </c>
      <c r="M1974" t="str">
        <f>CONCATENATE(MONTH(CompilDonnées[[#This Row],[HarvestingDate]])," ", YEAR(CompilDonnées[[#This Row],[HarvestingDate]]))</f>
        <v>5 2025</v>
      </c>
      <c r="N1974">
        <f>_xlfn.NUMBERVALUE(CompilDonnées[[#This Row],[FarmID]]&amp;CompilDonnées[[#This Row],[ModuleNumber]]&amp;CompilDonnées[[#This Row],[PlantationDate]])</f>
        <v>40545739</v>
      </c>
      <c r="O1974" t="str">
        <f>CompilDonnées[[#This Row],[FarmID]]&amp;CompilDonnées[[#This Row],[ModuleNumber]]</f>
        <v>405</v>
      </c>
      <c r="P1974" t="str">
        <f>CompilDonnées[[#This Row],[Ref_Module]]&amp;CompilDonnées[[#This Row],[HarvestingDate]]</f>
        <v>40545782</v>
      </c>
    </row>
    <row r="1975" spans="1:16">
      <c r="A1975" s="5">
        <v>45739</v>
      </c>
      <c r="B1975">
        <v>41</v>
      </c>
      <c r="C1975" t="s">
        <v>70</v>
      </c>
      <c r="D1975">
        <v>2</v>
      </c>
      <c r="E1975">
        <v>100</v>
      </c>
      <c r="F1975" t="s">
        <v>1</v>
      </c>
      <c r="G1975" s="6">
        <v>45792</v>
      </c>
      <c r="H1975">
        <v>53</v>
      </c>
      <c r="I1975">
        <f>ROUND(CompilDonnées[[#This Row],[CultureDuration_days]]/7,0)</f>
        <v>8</v>
      </c>
      <c r="J1975">
        <v>2115</v>
      </c>
      <c r="K1975" t="str">
        <f>_xlfn.CONCAT(WEEKNUM(CompilDonnées[[#This Row],[PlantationDate]]), " ", YEAR(CompilDonnées[[#This Row],[PlantationDate]]))</f>
        <v>13 2025</v>
      </c>
      <c r="L1975" t="str">
        <f>CONCATENATE(MONTH(CompilDonnées[[#This Row],[PlantationDate]])," ", YEAR(CompilDonnées[[#This Row],[PlantationDate]]))</f>
        <v>3 2025</v>
      </c>
      <c r="M1975" t="str">
        <f>CONCATENATE(MONTH(CompilDonnées[[#This Row],[HarvestingDate]])," ", YEAR(CompilDonnées[[#This Row],[HarvestingDate]]))</f>
        <v>5 2025</v>
      </c>
      <c r="N1975">
        <f>_xlfn.NUMBERVALUE(CompilDonnées[[#This Row],[FarmID]]&amp;CompilDonnées[[#This Row],[ModuleNumber]]&amp;CompilDonnées[[#This Row],[PlantationDate]])</f>
        <v>41245739</v>
      </c>
      <c r="O1975" t="str">
        <f>CompilDonnées[[#This Row],[FarmID]]&amp;CompilDonnées[[#This Row],[ModuleNumber]]</f>
        <v>412</v>
      </c>
      <c r="P1975" t="str">
        <f>CompilDonnées[[#This Row],[Ref_Module]]&amp;CompilDonnées[[#This Row],[HarvestingDate]]</f>
        <v>41245792</v>
      </c>
    </row>
    <row r="1976" spans="1:16">
      <c r="A1976" s="5">
        <v>45739</v>
      </c>
      <c r="B1976">
        <v>43</v>
      </c>
      <c r="C1976" t="s">
        <v>45</v>
      </c>
      <c r="D1976">
        <v>1</v>
      </c>
      <c r="E1976">
        <v>100</v>
      </c>
      <c r="F1976" t="s">
        <v>1</v>
      </c>
      <c r="G1976" s="6">
        <v>45778</v>
      </c>
      <c r="H1976">
        <v>39</v>
      </c>
      <c r="I1976">
        <f>ROUND(CompilDonnées[[#This Row],[CultureDuration_days]]/7,0)</f>
        <v>6</v>
      </c>
      <c r="J1976">
        <v>2290</v>
      </c>
      <c r="K1976" t="str">
        <f>_xlfn.CONCAT(WEEKNUM(CompilDonnées[[#This Row],[PlantationDate]]), " ", YEAR(CompilDonnées[[#This Row],[PlantationDate]]))</f>
        <v>13 2025</v>
      </c>
      <c r="L1976" t="str">
        <f>CONCATENATE(MONTH(CompilDonnées[[#This Row],[PlantationDate]])," ", YEAR(CompilDonnées[[#This Row],[PlantationDate]]))</f>
        <v>3 2025</v>
      </c>
      <c r="M1976" t="str">
        <f>CONCATENATE(MONTH(CompilDonnées[[#This Row],[HarvestingDate]])," ", YEAR(CompilDonnées[[#This Row],[HarvestingDate]]))</f>
        <v>5 2025</v>
      </c>
      <c r="N1976">
        <f>_xlfn.NUMBERVALUE(CompilDonnées[[#This Row],[FarmID]]&amp;CompilDonnées[[#This Row],[ModuleNumber]]&amp;CompilDonnées[[#This Row],[PlantationDate]])</f>
        <v>43145739</v>
      </c>
      <c r="O1976" t="str">
        <f>CompilDonnées[[#This Row],[FarmID]]&amp;CompilDonnées[[#This Row],[ModuleNumber]]</f>
        <v>431</v>
      </c>
      <c r="P1976" t="str">
        <f>CompilDonnées[[#This Row],[Ref_Module]]&amp;CompilDonnées[[#This Row],[HarvestingDate]]</f>
        <v>43145778</v>
      </c>
    </row>
    <row r="1977" spans="1:16">
      <c r="A1977" s="5">
        <v>45739</v>
      </c>
      <c r="B1977">
        <v>44</v>
      </c>
      <c r="C1977" t="s">
        <v>42</v>
      </c>
      <c r="D1977">
        <v>6</v>
      </c>
      <c r="E1977">
        <v>100</v>
      </c>
      <c r="F1977" t="s">
        <v>1</v>
      </c>
      <c r="G1977" s="6">
        <v>45777</v>
      </c>
      <c r="H1977">
        <v>38</v>
      </c>
      <c r="I1977">
        <f>ROUND(CompilDonnées[[#This Row],[CultureDuration_days]]/7,0)</f>
        <v>5</v>
      </c>
      <c r="J1977">
        <v>3008</v>
      </c>
      <c r="K1977" t="str">
        <f>_xlfn.CONCAT(WEEKNUM(CompilDonnées[[#This Row],[PlantationDate]]), " ", YEAR(CompilDonnées[[#This Row],[PlantationDate]]))</f>
        <v>13 2025</v>
      </c>
      <c r="L1977" t="str">
        <f>CONCATENATE(MONTH(CompilDonnées[[#This Row],[PlantationDate]])," ", YEAR(CompilDonnées[[#This Row],[PlantationDate]]))</f>
        <v>3 2025</v>
      </c>
      <c r="M1977" t="str">
        <f>CONCATENATE(MONTH(CompilDonnées[[#This Row],[HarvestingDate]])," ", YEAR(CompilDonnées[[#This Row],[HarvestingDate]]))</f>
        <v>4 2025</v>
      </c>
      <c r="N1977">
        <f>_xlfn.NUMBERVALUE(CompilDonnées[[#This Row],[FarmID]]&amp;CompilDonnées[[#This Row],[ModuleNumber]]&amp;CompilDonnées[[#This Row],[PlantationDate]])</f>
        <v>44645739</v>
      </c>
      <c r="O1977" t="str">
        <f>CompilDonnées[[#This Row],[FarmID]]&amp;CompilDonnées[[#This Row],[ModuleNumber]]</f>
        <v>446</v>
      </c>
      <c r="P1977" t="str">
        <f>CompilDonnées[[#This Row],[Ref_Module]]&amp;CompilDonnées[[#This Row],[HarvestingDate]]</f>
        <v>44645777</v>
      </c>
    </row>
    <row r="1978" spans="1:16">
      <c r="A1978" s="5">
        <v>45739</v>
      </c>
      <c r="B1978">
        <v>45</v>
      </c>
      <c r="C1978" t="s">
        <v>77</v>
      </c>
      <c r="D1978">
        <v>6</v>
      </c>
      <c r="E1978">
        <v>100</v>
      </c>
      <c r="F1978" t="s">
        <v>1</v>
      </c>
      <c r="G1978" s="6">
        <v>45785</v>
      </c>
      <c r="H1978">
        <v>46</v>
      </c>
      <c r="I1978">
        <f>ROUND(CompilDonnées[[#This Row],[CultureDuration_days]]/7,0)</f>
        <v>7</v>
      </c>
      <c r="J1978">
        <v>2499</v>
      </c>
      <c r="K1978" t="str">
        <f>_xlfn.CONCAT(WEEKNUM(CompilDonnées[[#This Row],[PlantationDate]]), " ", YEAR(CompilDonnées[[#This Row],[PlantationDate]]))</f>
        <v>13 2025</v>
      </c>
      <c r="L1978" t="str">
        <f>CONCATENATE(MONTH(CompilDonnées[[#This Row],[PlantationDate]])," ", YEAR(CompilDonnées[[#This Row],[PlantationDate]]))</f>
        <v>3 2025</v>
      </c>
      <c r="M1978" t="str">
        <f>CONCATENATE(MONTH(CompilDonnées[[#This Row],[HarvestingDate]])," ", YEAR(CompilDonnées[[#This Row],[HarvestingDate]]))</f>
        <v>5 2025</v>
      </c>
      <c r="N1978">
        <f>_xlfn.NUMBERVALUE(CompilDonnées[[#This Row],[FarmID]]&amp;CompilDonnées[[#This Row],[ModuleNumber]]&amp;CompilDonnées[[#This Row],[PlantationDate]])</f>
        <v>45645739</v>
      </c>
      <c r="O1978" t="str">
        <f>CompilDonnées[[#This Row],[FarmID]]&amp;CompilDonnées[[#This Row],[ModuleNumber]]</f>
        <v>456</v>
      </c>
      <c r="P1978" t="str">
        <f>CompilDonnées[[#This Row],[Ref_Module]]&amp;CompilDonnées[[#This Row],[HarvestingDate]]</f>
        <v>45645785</v>
      </c>
    </row>
    <row r="1979" spans="1:16">
      <c r="A1979" s="5">
        <v>45740</v>
      </c>
      <c r="B1979">
        <v>24</v>
      </c>
      <c r="C1979" t="s">
        <v>31</v>
      </c>
      <c r="D1979">
        <v>1</v>
      </c>
      <c r="E1979">
        <v>100</v>
      </c>
      <c r="F1979" t="s">
        <v>1</v>
      </c>
      <c r="G1979" s="6">
        <v>45778</v>
      </c>
      <c r="H1979">
        <v>38</v>
      </c>
      <c r="I1979">
        <f>ROUND(CompilDonnées[[#This Row],[CultureDuration_days]]/7,0)</f>
        <v>5</v>
      </c>
      <c r="J1979">
        <v>3028</v>
      </c>
      <c r="K1979" t="str">
        <f>_xlfn.CONCAT(WEEKNUM(CompilDonnées[[#This Row],[PlantationDate]]), " ", YEAR(CompilDonnées[[#This Row],[PlantationDate]]))</f>
        <v>13 2025</v>
      </c>
      <c r="L1979" t="str">
        <f>CONCATENATE(MONTH(CompilDonnées[[#This Row],[PlantationDate]])," ", YEAR(CompilDonnées[[#This Row],[PlantationDate]]))</f>
        <v>3 2025</v>
      </c>
      <c r="M1979" t="str">
        <f>CONCATENATE(MONTH(CompilDonnées[[#This Row],[HarvestingDate]])," ", YEAR(CompilDonnées[[#This Row],[HarvestingDate]]))</f>
        <v>5 2025</v>
      </c>
      <c r="N1979">
        <f>_xlfn.NUMBERVALUE(CompilDonnées[[#This Row],[FarmID]]&amp;CompilDonnées[[#This Row],[ModuleNumber]]&amp;CompilDonnées[[#This Row],[PlantationDate]])</f>
        <v>24145740</v>
      </c>
      <c r="O1979" t="str">
        <f>CompilDonnées[[#This Row],[FarmID]]&amp;CompilDonnées[[#This Row],[ModuleNumber]]</f>
        <v>241</v>
      </c>
      <c r="P1979" t="str">
        <f>CompilDonnées[[#This Row],[Ref_Module]]&amp;CompilDonnées[[#This Row],[HarvestingDate]]</f>
        <v>24145778</v>
      </c>
    </row>
    <row r="1980" spans="1:16">
      <c r="A1980" s="5">
        <v>45740</v>
      </c>
      <c r="B1980">
        <v>95</v>
      </c>
      <c r="C1980" t="s">
        <v>90</v>
      </c>
      <c r="D1980">
        <v>1</v>
      </c>
      <c r="E1980">
        <v>100</v>
      </c>
      <c r="F1980" t="s">
        <v>1</v>
      </c>
      <c r="G1980" s="6">
        <v>45790</v>
      </c>
      <c r="H1980">
        <v>50</v>
      </c>
      <c r="I1980">
        <f>ROUND(CompilDonnées[[#This Row],[CultureDuration_days]]/7,0)</f>
        <v>7</v>
      </c>
      <c r="J1980">
        <v>2566</v>
      </c>
      <c r="K1980" t="str">
        <f>_xlfn.CONCAT(WEEKNUM(CompilDonnées[[#This Row],[PlantationDate]]), " ", YEAR(CompilDonnées[[#This Row],[PlantationDate]]))</f>
        <v>13 2025</v>
      </c>
      <c r="L1980" t="str">
        <f>CONCATENATE(MONTH(CompilDonnées[[#This Row],[PlantationDate]])," ", YEAR(CompilDonnées[[#This Row],[PlantationDate]]))</f>
        <v>3 2025</v>
      </c>
      <c r="M1980" t="str">
        <f>CONCATENATE(MONTH(CompilDonnées[[#This Row],[HarvestingDate]])," ", YEAR(CompilDonnées[[#This Row],[HarvestingDate]]))</f>
        <v>5 2025</v>
      </c>
      <c r="N1980">
        <f>_xlfn.NUMBERVALUE(CompilDonnées[[#This Row],[FarmID]]&amp;CompilDonnées[[#This Row],[ModuleNumber]]&amp;CompilDonnées[[#This Row],[PlantationDate]])</f>
        <v>95145740</v>
      </c>
      <c r="O1980" t="str">
        <f>CompilDonnées[[#This Row],[FarmID]]&amp;CompilDonnées[[#This Row],[ModuleNumber]]</f>
        <v>951</v>
      </c>
      <c r="P1980" t="str">
        <f>CompilDonnées[[#This Row],[Ref_Module]]&amp;CompilDonnées[[#This Row],[HarvestingDate]]</f>
        <v>95145790</v>
      </c>
    </row>
    <row r="1981" spans="1:16">
      <c r="A1981" s="5">
        <v>45740</v>
      </c>
      <c r="B1981">
        <v>97</v>
      </c>
      <c r="C1981" t="s">
        <v>78</v>
      </c>
      <c r="D1981">
        <v>2</v>
      </c>
      <c r="E1981">
        <v>100</v>
      </c>
      <c r="F1981" t="s">
        <v>1</v>
      </c>
      <c r="G1981" s="6">
        <v>45786</v>
      </c>
      <c r="H1981">
        <v>46</v>
      </c>
      <c r="I1981">
        <f>ROUND(CompilDonnées[[#This Row],[CultureDuration_days]]/7,0)</f>
        <v>7</v>
      </c>
      <c r="J1981">
        <v>2378</v>
      </c>
      <c r="K1981" t="str">
        <f>_xlfn.CONCAT(WEEKNUM(CompilDonnées[[#This Row],[PlantationDate]]), " ", YEAR(CompilDonnées[[#This Row],[PlantationDate]]))</f>
        <v>13 2025</v>
      </c>
      <c r="L1981" t="str">
        <f>CONCATENATE(MONTH(CompilDonnées[[#This Row],[PlantationDate]])," ", YEAR(CompilDonnées[[#This Row],[PlantationDate]]))</f>
        <v>3 2025</v>
      </c>
      <c r="M1981" t="str">
        <f>CONCATENATE(MONTH(CompilDonnées[[#This Row],[HarvestingDate]])," ", YEAR(CompilDonnées[[#This Row],[HarvestingDate]]))</f>
        <v>5 2025</v>
      </c>
      <c r="N1981">
        <f>_xlfn.NUMBERVALUE(CompilDonnées[[#This Row],[FarmID]]&amp;CompilDonnées[[#This Row],[ModuleNumber]]&amp;CompilDonnées[[#This Row],[PlantationDate]])</f>
        <v>97245740</v>
      </c>
      <c r="O1981" t="str">
        <f>CompilDonnées[[#This Row],[FarmID]]&amp;CompilDonnées[[#This Row],[ModuleNumber]]</f>
        <v>972</v>
      </c>
      <c r="P1981" t="str">
        <f>CompilDonnées[[#This Row],[Ref_Module]]&amp;CompilDonnées[[#This Row],[HarvestingDate]]</f>
        <v>97245786</v>
      </c>
    </row>
    <row r="1982" spans="1:16">
      <c r="A1982" s="5">
        <v>45740</v>
      </c>
      <c r="B1982">
        <v>100</v>
      </c>
      <c r="C1982" t="s">
        <v>84</v>
      </c>
      <c r="D1982">
        <v>1</v>
      </c>
      <c r="E1982">
        <v>100</v>
      </c>
      <c r="F1982" t="s">
        <v>1</v>
      </c>
      <c r="G1982" s="6">
        <v>45790</v>
      </c>
      <c r="H1982">
        <v>50</v>
      </c>
      <c r="I1982">
        <f>ROUND(CompilDonnées[[#This Row],[CultureDuration_days]]/7,0)</f>
        <v>7</v>
      </c>
      <c r="J1982">
        <v>2808</v>
      </c>
      <c r="K1982" t="str">
        <f>_xlfn.CONCAT(WEEKNUM(CompilDonnées[[#This Row],[PlantationDate]]), " ", YEAR(CompilDonnées[[#This Row],[PlantationDate]]))</f>
        <v>13 2025</v>
      </c>
      <c r="L1982" t="str">
        <f>CONCATENATE(MONTH(CompilDonnées[[#This Row],[PlantationDate]])," ", YEAR(CompilDonnées[[#This Row],[PlantationDate]]))</f>
        <v>3 2025</v>
      </c>
      <c r="M1982" t="str">
        <f>CONCATENATE(MONTH(CompilDonnées[[#This Row],[HarvestingDate]])," ", YEAR(CompilDonnées[[#This Row],[HarvestingDate]]))</f>
        <v>5 2025</v>
      </c>
      <c r="N1982">
        <f>_xlfn.NUMBERVALUE(CompilDonnées[[#This Row],[FarmID]]&amp;CompilDonnées[[#This Row],[ModuleNumber]]&amp;CompilDonnées[[#This Row],[PlantationDate]])</f>
        <v>100145740</v>
      </c>
      <c r="O1982" t="str">
        <f>CompilDonnées[[#This Row],[FarmID]]&amp;CompilDonnées[[#This Row],[ModuleNumber]]</f>
        <v>1001</v>
      </c>
      <c r="P1982" t="str">
        <f>CompilDonnées[[#This Row],[Ref_Module]]&amp;CompilDonnées[[#This Row],[HarvestingDate]]</f>
        <v>100145790</v>
      </c>
    </row>
    <row r="1983" spans="1:16">
      <c r="A1983" s="5">
        <v>45740</v>
      </c>
      <c r="B1983">
        <v>124</v>
      </c>
      <c r="C1983" t="s">
        <v>115</v>
      </c>
      <c r="D1983">
        <v>4</v>
      </c>
      <c r="E1983">
        <v>100</v>
      </c>
      <c r="F1983" t="s">
        <v>1</v>
      </c>
      <c r="G1983" s="6">
        <v>45800</v>
      </c>
      <c r="H1983">
        <v>60</v>
      </c>
      <c r="I1983">
        <f>ROUND(CompilDonnées[[#This Row],[CultureDuration_days]]/7,0)</f>
        <v>9</v>
      </c>
      <c r="J1983">
        <v>2379</v>
      </c>
      <c r="K1983" t="str">
        <f>_xlfn.CONCAT(WEEKNUM(CompilDonnées[[#This Row],[PlantationDate]]), " ", YEAR(CompilDonnées[[#This Row],[PlantationDate]]))</f>
        <v>13 2025</v>
      </c>
      <c r="L1983" t="str">
        <f>CONCATENATE(MONTH(CompilDonnées[[#This Row],[PlantationDate]])," ", YEAR(CompilDonnées[[#This Row],[PlantationDate]]))</f>
        <v>3 2025</v>
      </c>
      <c r="M1983" t="str">
        <f>CONCATENATE(MONTH(CompilDonnées[[#This Row],[HarvestingDate]])," ", YEAR(CompilDonnées[[#This Row],[HarvestingDate]]))</f>
        <v>5 2025</v>
      </c>
      <c r="N1983">
        <f>_xlfn.NUMBERVALUE(CompilDonnées[[#This Row],[FarmID]]&amp;CompilDonnées[[#This Row],[ModuleNumber]]&amp;CompilDonnées[[#This Row],[PlantationDate]])</f>
        <v>124445740</v>
      </c>
      <c r="O1983" t="str">
        <f>CompilDonnées[[#This Row],[FarmID]]&amp;CompilDonnées[[#This Row],[ModuleNumber]]</f>
        <v>1244</v>
      </c>
      <c r="P1983" t="str">
        <f>CompilDonnées[[#This Row],[Ref_Module]]&amp;CompilDonnées[[#This Row],[HarvestingDate]]</f>
        <v>124445800</v>
      </c>
    </row>
    <row r="1984" spans="1:16">
      <c r="A1984" s="5">
        <v>45740</v>
      </c>
      <c r="B1984">
        <v>126</v>
      </c>
      <c r="C1984" t="s">
        <v>52</v>
      </c>
      <c r="D1984">
        <v>4</v>
      </c>
      <c r="E1984">
        <v>100</v>
      </c>
      <c r="F1984" t="s">
        <v>1</v>
      </c>
      <c r="G1984" s="6">
        <v>45776</v>
      </c>
      <c r="H1984">
        <v>36</v>
      </c>
      <c r="I1984">
        <f>ROUND(CompilDonnées[[#This Row],[CultureDuration_days]]/7,0)</f>
        <v>5</v>
      </c>
      <c r="J1984">
        <v>3049</v>
      </c>
      <c r="K1984" t="str">
        <f>_xlfn.CONCAT(WEEKNUM(CompilDonnées[[#This Row],[PlantationDate]]), " ", YEAR(CompilDonnées[[#This Row],[PlantationDate]]))</f>
        <v>13 2025</v>
      </c>
      <c r="L1984" t="str">
        <f>CONCATENATE(MONTH(CompilDonnées[[#This Row],[PlantationDate]])," ", YEAR(CompilDonnées[[#This Row],[PlantationDate]]))</f>
        <v>3 2025</v>
      </c>
      <c r="M1984" t="str">
        <f>CONCATENATE(MONTH(CompilDonnées[[#This Row],[HarvestingDate]])," ", YEAR(CompilDonnées[[#This Row],[HarvestingDate]]))</f>
        <v>4 2025</v>
      </c>
      <c r="N1984">
        <f>_xlfn.NUMBERVALUE(CompilDonnées[[#This Row],[FarmID]]&amp;CompilDonnées[[#This Row],[ModuleNumber]]&amp;CompilDonnées[[#This Row],[PlantationDate]])</f>
        <v>126445740</v>
      </c>
      <c r="O1984" t="str">
        <f>CompilDonnées[[#This Row],[FarmID]]&amp;CompilDonnées[[#This Row],[ModuleNumber]]</f>
        <v>1264</v>
      </c>
      <c r="P1984" t="str">
        <f>CompilDonnées[[#This Row],[Ref_Module]]&amp;CompilDonnées[[#This Row],[HarvestingDate]]</f>
        <v>126445776</v>
      </c>
    </row>
    <row r="1985" spans="1:16">
      <c r="A1985" s="5">
        <v>45740</v>
      </c>
      <c r="B1985">
        <v>132</v>
      </c>
      <c r="C1985" t="s">
        <v>120</v>
      </c>
      <c r="D1985">
        <v>2</v>
      </c>
      <c r="E1985">
        <v>100</v>
      </c>
      <c r="F1985" t="s">
        <v>1</v>
      </c>
      <c r="G1985" s="6">
        <v>45775</v>
      </c>
      <c r="H1985">
        <v>35</v>
      </c>
      <c r="I1985">
        <f>ROUND(CompilDonnées[[#This Row],[CultureDuration_days]]/7,0)</f>
        <v>5</v>
      </c>
      <c r="J1985">
        <v>2684</v>
      </c>
      <c r="K1985" t="str">
        <f>_xlfn.CONCAT(WEEKNUM(CompilDonnées[[#This Row],[PlantationDate]]), " ", YEAR(CompilDonnées[[#This Row],[PlantationDate]]))</f>
        <v>13 2025</v>
      </c>
      <c r="L1985" t="str">
        <f>CONCATENATE(MONTH(CompilDonnées[[#This Row],[PlantationDate]])," ", YEAR(CompilDonnées[[#This Row],[PlantationDate]]))</f>
        <v>3 2025</v>
      </c>
      <c r="M1985" t="str">
        <f>CONCATENATE(MONTH(CompilDonnées[[#This Row],[HarvestingDate]])," ", YEAR(CompilDonnées[[#This Row],[HarvestingDate]]))</f>
        <v>4 2025</v>
      </c>
      <c r="N1985">
        <f>_xlfn.NUMBERVALUE(CompilDonnées[[#This Row],[FarmID]]&amp;CompilDonnées[[#This Row],[ModuleNumber]]&amp;CompilDonnées[[#This Row],[PlantationDate]])</f>
        <v>132245740</v>
      </c>
      <c r="O1985" t="str">
        <f>CompilDonnées[[#This Row],[FarmID]]&amp;CompilDonnées[[#This Row],[ModuleNumber]]</f>
        <v>1322</v>
      </c>
      <c r="P1985" t="str">
        <f>CompilDonnées[[#This Row],[Ref_Module]]&amp;CompilDonnées[[#This Row],[HarvestingDate]]</f>
        <v>132245775</v>
      </c>
    </row>
    <row r="1986" spans="1:16">
      <c r="A1986" s="5">
        <v>45740</v>
      </c>
      <c r="B1986">
        <v>138</v>
      </c>
      <c r="C1986" t="s">
        <v>8</v>
      </c>
      <c r="D1986">
        <v>1</v>
      </c>
      <c r="E1986">
        <v>100</v>
      </c>
      <c r="F1986" t="s">
        <v>1</v>
      </c>
      <c r="G1986" s="6">
        <v>45789</v>
      </c>
      <c r="H1986">
        <v>49</v>
      </c>
      <c r="I1986">
        <f>ROUND(CompilDonnées[[#This Row],[CultureDuration_days]]/7,0)</f>
        <v>7</v>
      </c>
      <c r="J1986">
        <v>2418</v>
      </c>
      <c r="K1986" t="str">
        <f>_xlfn.CONCAT(WEEKNUM(CompilDonnées[[#This Row],[PlantationDate]]), " ", YEAR(CompilDonnées[[#This Row],[PlantationDate]]))</f>
        <v>13 2025</v>
      </c>
      <c r="L1986" t="str">
        <f>CONCATENATE(MONTH(CompilDonnées[[#This Row],[PlantationDate]])," ", YEAR(CompilDonnées[[#This Row],[PlantationDate]]))</f>
        <v>3 2025</v>
      </c>
      <c r="M1986" t="str">
        <f>CONCATENATE(MONTH(CompilDonnées[[#This Row],[HarvestingDate]])," ", YEAR(CompilDonnées[[#This Row],[HarvestingDate]]))</f>
        <v>5 2025</v>
      </c>
      <c r="N1986">
        <f>_xlfn.NUMBERVALUE(CompilDonnées[[#This Row],[FarmID]]&amp;CompilDonnées[[#This Row],[ModuleNumber]]&amp;CompilDonnées[[#This Row],[PlantationDate]])</f>
        <v>138145740</v>
      </c>
      <c r="O1986" t="str">
        <f>CompilDonnées[[#This Row],[FarmID]]&amp;CompilDonnées[[#This Row],[ModuleNumber]]</f>
        <v>1381</v>
      </c>
      <c r="P1986" t="str">
        <f>CompilDonnées[[#This Row],[Ref_Module]]&amp;CompilDonnées[[#This Row],[HarvestingDate]]</f>
        <v>138145789</v>
      </c>
    </row>
    <row r="1987" spans="1:16">
      <c r="A1987" s="5">
        <v>45740</v>
      </c>
      <c r="B1987">
        <v>139</v>
      </c>
      <c r="C1987" t="s">
        <v>103</v>
      </c>
      <c r="D1987">
        <v>3</v>
      </c>
      <c r="E1987">
        <v>100</v>
      </c>
      <c r="F1987" t="s">
        <v>1</v>
      </c>
      <c r="G1987" s="6">
        <v>45775</v>
      </c>
      <c r="H1987">
        <v>35</v>
      </c>
      <c r="I1987">
        <f>ROUND(CompilDonnées[[#This Row],[CultureDuration_days]]/7,0)</f>
        <v>5</v>
      </c>
      <c r="J1987">
        <v>3092</v>
      </c>
      <c r="K1987" t="str">
        <f>_xlfn.CONCAT(WEEKNUM(CompilDonnées[[#This Row],[PlantationDate]]), " ", YEAR(CompilDonnées[[#This Row],[PlantationDate]]))</f>
        <v>13 2025</v>
      </c>
      <c r="L1987" t="str">
        <f>CONCATENATE(MONTH(CompilDonnées[[#This Row],[PlantationDate]])," ", YEAR(CompilDonnées[[#This Row],[PlantationDate]]))</f>
        <v>3 2025</v>
      </c>
      <c r="M1987" t="str">
        <f>CONCATENATE(MONTH(CompilDonnées[[#This Row],[HarvestingDate]])," ", YEAR(CompilDonnées[[#This Row],[HarvestingDate]]))</f>
        <v>4 2025</v>
      </c>
      <c r="N1987">
        <f>_xlfn.NUMBERVALUE(CompilDonnées[[#This Row],[FarmID]]&amp;CompilDonnées[[#This Row],[ModuleNumber]]&amp;CompilDonnées[[#This Row],[PlantationDate]])</f>
        <v>139345740</v>
      </c>
      <c r="O1987" t="str">
        <f>CompilDonnées[[#This Row],[FarmID]]&amp;CompilDonnées[[#This Row],[ModuleNumber]]</f>
        <v>1393</v>
      </c>
      <c r="P1987" t="str">
        <f>CompilDonnées[[#This Row],[Ref_Module]]&amp;CompilDonnées[[#This Row],[HarvestingDate]]</f>
        <v>139345775</v>
      </c>
    </row>
    <row r="1988" spans="1:16">
      <c r="A1988" s="5">
        <v>45740</v>
      </c>
      <c r="B1988">
        <v>140</v>
      </c>
      <c r="C1988" t="s">
        <v>96</v>
      </c>
      <c r="D1988">
        <v>3</v>
      </c>
      <c r="E1988">
        <v>100</v>
      </c>
      <c r="F1988" t="s">
        <v>1</v>
      </c>
      <c r="G1988" s="6">
        <v>45775</v>
      </c>
      <c r="H1988">
        <v>35</v>
      </c>
      <c r="I1988">
        <f>ROUND(CompilDonnées[[#This Row],[CultureDuration_days]]/7,0)</f>
        <v>5</v>
      </c>
      <c r="J1988">
        <v>3097</v>
      </c>
      <c r="K1988" t="str">
        <f>_xlfn.CONCAT(WEEKNUM(CompilDonnées[[#This Row],[PlantationDate]]), " ", YEAR(CompilDonnées[[#This Row],[PlantationDate]]))</f>
        <v>13 2025</v>
      </c>
      <c r="L1988" t="str">
        <f>CONCATENATE(MONTH(CompilDonnées[[#This Row],[PlantationDate]])," ", YEAR(CompilDonnées[[#This Row],[PlantationDate]]))</f>
        <v>3 2025</v>
      </c>
      <c r="M1988" t="str">
        <f>CONCATENATE(MONTH(CompilDonnées[[#This Row],[HarvestingDate]])," ", YEAR(CompilDonnées[[#This Row],[HarvestingDate]]))</f>
        <v>4 2025</v>
      </c>
      <c r="N1988">
        <f>_xlfn.NUMBERVALUE(CompilDonnées[[#This Row],[FarmID]]&amp;CompilDonnées[[#This Row],[ModuleNumber]]&amp;CompilDonnées[[#This Row],[PlantationDate]])</f>
        <v>140345740</v>
      </c>
      <c r="O1988" t="str">
        <f>CompilDonnées[[#This Row],[FarmID]]&amp;CompilDonnées[[#This Row],[ModuleNumber]]</f>
        <v>1403</v>
      </c>
      <c r="P1988" t="str">
        <f>CompilDonnées[[#This Row],[Ref_Module]]&amp;CompilDonnées[[#This Row],[HarvestingDate]]</f>
        <v>140345775</v>
      </c>
    </row>
    <row r="1989" spans="1:16">
      <c r="A1989" s="5">
        <v>45740</v>
      </c>
      <c r="B1989">
        <v>107</v>
      </c>
      <c r="C1989" t="s">
        <v>23</v>
      </c>
      <c r="D1989">
        <v>5</v>
      </c>
      <c r="E1989">
        <v>100</v>
      </c>
      <c r="F1989" t="s">
        <v>1</v>
      </c>
      <c r="G1989" s="6">
        <v>45789</v>
      </c>
      <c r="H1989">
        <v>49</v>
      </c>
      <c r="I1989">
        <f>ROUND(CompilDonnées[[#This Row],[CultureDuration_days]]/7,0)</f>
        <v>7</v>
      </c>
      <c r="J1989">
        <v>2590</v>
      </c>
      <c r="K1989" t="str">
        <f>_xlfn.CONCAT(WEEKNUM(CompilDonnées[[#This Row],[PlantationDate]]), " ", YEAR(CompilDonnées[[#This Row],[PlantationDate]]))</f>
        <v>13 2025</v>
      </c>
      <c r="L1989" t="str">
        <f>CONCATENATE(MONTH(CompilDonnées[[#This Row],[PlantationDate]])," ", YEAR(CompilDonnées[[#This Row],[PlantationDate]]))</f>
        <v>3 2025</v>
      </c>
      <c r="M1989" t="str">
        <f>CONCATENATE(MONTH(CompilDonnées[[#This Row],[HarvestingDate]])," ", YEAR(CompilDonnées[[#This Row],[HarvestingDate]]))</f>
        <v>5 2025</v>
      </c>
      <c r="N1989">
        <f>_xlfn.NUMBERVALUE(CompilDonnées[[#This Row],[FarmID]]&amp;CompilDonnées[[#This Row],[ModuleNumber]]&amp;CompilDonnées[[#This Row],[PlantationDate]])</f>
        <v>107545740</v>
      </c>
      <c r="O1989" t="str">
        <f>CompilDonnées[[#This Row],[FarmID]]&amp;CompilDonnées[[#This Row],[ModuleNumber]]</f>
        <v>1075</v>
      </c>
      <c r="P1989" t="str">
        <f>CompilDonnées[[#This Row],[Ref_Module]]&amp;CompilDonnées[[#This Row],[HarvestingDate]]</f>
        <v>107545789</v>
      </c>
    </row>
    <row r="1990" spans="1:16">
      <c r="A1990" s="5">
        <v>45740</v>
      </c>
      <c r="B1990">
        <v>108</v>
      </c>
      <c r="C1990" t="s">
        <v>58</v>
      </c>
      <c r="D1990">
        <v>4</v>
      </c>
      <c r="E1990">
        <v>100</v>
      </c>
      <c r="F1990" t="s">
        <v>1</v>
      </c>
      <c r="G1990" s="6">
        <v>45790</v>
      </c>
      <c r="H1990">
        <v>50</v>
      </c>
      <c r="I1990">
        <f>ROUND(CompilDonnées[[#This Row],[CultureDuration_days]]/7,0)</f>
        <v>7</v>
      </c>
      <c r="J1990">
        <v>2723</v>
      </c>
      <c r="K1990" t="str">
        <f>_xlfn.CONCAT(WEEKNUM(CompilDonnées[[#This Row],[PlantationDate]]), " ", YEAR(CompilDonnées[[#This Row],[PlantationDate]]))</f>
        <v>13 2025</v>
      </c>
      <c r="L1990" t="str">
        <f>CONCATENATE(MONTH(CompilDonnées[[#This Row],[PlantationDate]])," ", YEAR(CompilDonnées[[#This Row],[PlantationDate]]))</f>
        <v>3 2025</v>
      </c>
      <c r="M1990" t="str">
        <f>CONCATENATE(MONTH(CompilDonnées[[#This Row],[HarvestingDate]])," ", YEAR(CompilDonnées[[#This Row],[HarvestingDate]]))</f>
        <v>5 2025</v>
      </c>
      <c r="N1990">
        <f>_xlfn.NUMBERVALUE(CompilDonnées[[#This Row],[FarmID]]&amp;CompilDonnées[[#This Row],[ModuleNumber]]&amp;CompilDonnées[[#This Row],[PlantationDate]])</f>
        <v>108445740</v>
      </c>
      <c r="O1990" t="str">
        <f>CompilDonnées[[#This Row],[FarmID]]&amp;CompilDonnées[[#This Row],[ModuleNumber]]</f>
        <v>1084</v>
      </c>
      <c r="P1990" t="str">
        <f>CompilDonnées[[#This Row],[Ref_Module]]&amp;CompilDonnées[[#This Row],[HarvestingDate]]</f>
        <v>108445790</v>
      </c>
    </row>
    <row r="1991" spans="1:16">
      <c r="A1991" s="5">
        <v>45740</v>
      </c>
      <c r="B1991">
        <v>110</v>
      </c>
      <c r="C1991" t="s">
        <v>14</v>
      </c>
      <c r="D1991">
        <v>1</v>
      </c>
      <c r="E1991">
        <v>100</v>
      </c>
      <c r="F1991" t="s">
        <v>1</v>
      </c>
      <c r="G1991" s="6">
        <v>45789</v>
      </c>
      <c r="H1991">
        <v>49</v>
      </c>
      <c r="I1991">
        <f>ROUND(CompilDonnées[[#This Row],[CultureDuration_days]]/7,0)</f>
        <v>7</v>
      </c>
      <c r="J1991">
        <v>2383</v>
      </c>
      <c r="K1991" t="str">
        <f>_xlfn.CONCAT(WEEKNUM(CompilDonnées[[#This Row],[PlantationDate]]), " ", YEAR(CompilDonnées[[#This Row],[PlantationDate]]))</f>
        <v>13 2025</v>
      </c>
      <c r="L1991" t="str">
        <f>CONCATENATE(MONTH(CompilDonnées[[#This Row],[PlantationDate]])," ", YEAR(CompilDonnées[[#This Row],[PlantationDate]]))</f>
        <v>3 2025</v>
      </c>
      <c r="M1991" t="str">
        <f>CONCATENATE(MONTH(CompilDonnées[[#This Row],[HarvestingDate]])," ", YEAR(CompilDonnées[[#This Row],[HarvestingDate]]))</f>
        <v>5 2025</v>
      </c>
      <c r="N1991">
        <f>_xlfn.NUMBERVALUE(CompilDonnées[[#This Row],[FarmID]]&amp;CompilDonnées[[#This Row],[ModuleNumber]]&amp;CompilDonnées[[#This Row],[PlantationDate]])</f>
        <v>110145740</v>
      </c>
      <c r="O1991" t="str">
        <f>CompilDonnées[[#This Row],[FarmID]]&amp;CompilDonnées[[#This Row],[ModuleNumber]]</f>
        <v>1101</v>
      </c>
      <c r="P1991" t="str">
        <f>CompilDonnées[[#This Row],[Ref_Module]]&amp;CompilDonnées[[#This Row],[HarvestingDate]]</f>
        <v>110145789</v>
      </c>
    </row>
    <row r="1992" spans="1:16">
      <c r="A1992" s="5">
        <v>45740</v>
      </c>
      <c r="B1992">
        <v>111</v>
      </c>
      <c r="C1992" t="s">
        <v>41</v>
      </c>
      <c r="D1992">
        <v>3</v>
      </c>
      <c r="E1992">
        <v>100</v>
      </c>
      <c r="F1992" t="s">
        <v>1</v>
      </c>
      <c r="G1992" s="6">
        <v>45775</v>
      </c>
      <c r="H1992">
        <v>35</v>
      </c>
      <c r="I1992">
        <f>ROUND(CompilDonnées[[#This Row],[CultureDuration_days]]/7,0)</f>
        <v>5</v>
      </c>
      <c r="J1992">
        <v>2914</v>
      </c>
      <c r="K1992" t="str">
        <f>_xlfn.CONCAT(WEEKNUM(CompilDonnées[[#This Row],[PlantationDate]]), " ", YEAR(CompilDonnées[[#This Row],[PlantationDate]]))</f>
        <v>13 2025</v>
      </c>
      <c r="L1992" t="str">
        <f>CONCATENATE(MONTH(CompilDonnées[[#This Row],[PlantationDate]])," ", YEAR(CompilDonnées[[#This Row],[PlantationDate]]))</f>
        <v>3 2025</v>
      </c>
      <c r="M1992" t="str">
        <f>CONCATENATE(MONTH(CompilDonnées[[#This Row],[HarvestingDate]])," ", YEAR(CompilDonnées[[#This Row],[HarvestingDate]]))</f>
        <v>4 2025</v>
      </c>
      <c r="N1992">
        <f>_xlfn.NUMBERVALUE(CompilDonnées[[#This Row],[FarmID]]&amp;CompilDonnées[[#This Row],[ModuleNumber]]&amp;CompilDonnées[[#This Row],[PlantationDate]])</f>
        <v>111345740</v>
      </c>
      <c r="O1992" t="str">
        <f>CompilDonnées[[#This Row],[FarmID]]&amp;CompilDonnées[[#This Row],[ModuleNumber]]</f>
        <v>1113</v>
      </c>
      <c r="P1992" t="str">
        <f>CompilDonnées[[#This Row],[Ref_Module]]&amp;CompilDonnées[[#This Row],[HarvestingDate]]</f>
        <v>111345775</v>
      </c>
    </row>
    <row r="1993" spans="1:16">
      <c r="A1993" s="5">
        <v>45740</v>
      </c>
      <c r="B1993">
        <v>112</v>
      </c>
      <c r="C1993" t="s">
        <v>15</v>
      </c>
      <c r="D1993">
        <v>3</v>
      </c>
      <c r="E1993">
        <v>100</v>
      </c>
      <c r="F1993" t="s">
        <v>1</v>
      </c>
      <c r="G1993" s="6">
        <v>45775</v>
      </c>
      <c r="H1993">
        <v>35</v>
      </c>
      <c r="I1993">
        <f>ROUND(CompilDonnées[[#This Row],[CultureDuration_days]]/7,0)</f>
        <v>5</v>
      </c>
      <c r="J1993">
        <v>2476</v>
      </c>
      <c r="K1993" t="str">
        <f>_xlfn.CONCAT(WEEKNUM(CompilDonnées[[#This Row],[PlantationDate]]), " ", YEAR(CompilDonnées[[#This Row],[PlantationDate]]))</f>
        <v>13 2025</v>
      </c>
      <c r="L1993" t="str">
        <f>CONCATENATE(MONTH(CompilDonnées[[#This Row],[PlantationDate]])," ", YEAR(CompilDonnées[[#This Row],[PlantationDate]]))</f>
        <v>3 2025</v>
      </c>
      <c r="M1993" t="str">
        <f>CONCATENATE(MONTH(CompilDonnées[[#This Row],[HarvestingDate]])," ", YEAR(CompilDonnées[[#This Row],[HarvestingDate]]))</f>
        <v>4 2025</v>
      </c>
      <c r="N1993">
        <f>_xlfn.NUMBERVALUE(CompilDonnées[[#This Row],[FarmID]]&amp;CompilDonnées[[#This Row],[ModuleNumber]]&amp;CompilDonnées[[#This Row],[PlantationDate]])</f>
        <v>112345740</v>
      </c>
      <c r="O1993" t="str">
        <f>CompilDonnées[[#This Row],[FarmID]]&amp;CompilDonnées[[#This Row],[ModuleNumber]]</f>
        <v>1123</v>
      </c>
      <c r="P1993" t="str">
        <f>CompilDonnées[[#This Row],[Ref_Module]]&amp;CompilDonnées[[#This Row],[HarvestingDate]]</f>
        <v>112345775</v>
      </c>
    </row>
    <row r="1994" spans="1:16">
      <c r="A1994" s="5">
        <v>45740</v>
      </c>
      <c r="B1994">
        <v>116</v>
      </c>
      <c r="C1994" t="s">
        <v>76</v>
      </c>
      <c r="D1994">
        <v>3</v>
      </c>
      <c r="E1994">
        <v>100</v>
      </c>
      <c r="F1994" t="s">
        <v>1</v>
      </c>
      <c r="G1994" s="6">
        <v>45775</v>
      </c>
      <c r="H1994">
        <v>35</v>
      </c>
      <c r="I1994">
        <f>ROUND(CompilDonnées[[#This Row],[CultureDuration_days]]/7,0)</f>
        <v>5</v>
      </c>
      <c r="J1994">
        <v>2380</v>
      </c>
      <c r="K1994" t="str">
        <f>_xlfn.CONCAT(WEEKNUM(CompilDonnées[[#This Row],[PlantationDate]]), " ", YEAR(CompilDonnées[[#This Row],[PlantationDate]]))</f>
        <v>13 2025</v>
      </c>
      <c r="L1994" t="str">
        <f>CONCATENATE(MONTH(CompilDonnées[[#This Row],[PlantationDate]])," ", YEAR(CompilDonnées[[#This Row],[PlantationDate]]))</f>
        <v>3 2025</v>
      </c>
      <c r="M1994" t="str">
        <f>CONCATENATE(MONTH(CompilDonnées[[#This Row],[HarvestingDate]])," ", YEAR(CompilDonnées[[#This Row],[HarvestingDate]]))</f>
        <v>4 2025</v>
      </c>
      <c r="N1994">
        <f>_xlfn.NUMBERVALUE(CompilDonnées[[#This Row],[FarmID]]&amp;CompilDonnées[[#This Row],[ModuleNumber]]&amp;CompilDonnées[[#This Row],[PlantationDate]])</f>
        <v>116345740</v>
      </c>
      <c r="O1994" t="str">
        <f>CompilDonnées[[#This Row],[FarmID]]&amp;CompilDonnées[[#This Row],[ModuleNumber]]</f>
        <v>1163</v>
      </c>
      <c r="P1994" t="str">
        <f>CompilDonnées[[#This Row],[Ref_Module]]&amp;CompilDonnées[[#This Row],[HarvestingDate]]</f>
        <v>116345775</v>
      </c>
    </row>
    <row r="1995" spans="1:16">
      <c r="A1995" s="5">
        <v>45741</v>
      </c>
      <c r="B1995">
        <v>1</v>
      </c>
      <c r="C1995" t="s">
        <v>111</v>
      </c>
      <c r="D1995">
        <v>1</v>
      </c>
      <c r="E1995">
        <v>100</v>
      </c>
      <c r="F1995" t="s">
        <v>1</v>
      </c>
      <c r="G1995" s="6">
        <v>45782</v>
      </c>
      <c r="H1995">
        <v>41</v>
      </c>
      <c r="I1995">
        <f>ROUND(CompilDonnées[[#This Row],[CultureDuration_days]]/7,0)</f>
        <v>6</v>
      </c>
      <c r="J1995">
        <v>2143</v>
      </c>
      <c r="K1995" t="str">
        <f>_xlfn.CONCAT(WEEKNUM(CompilDonnées[[#This Row],[PlantationDate]]), " ", YEAR(CompilDonnées[[#This Row],[PlantationDate]]))</f>
        <v>13 2025</v>
      </c>
      <c r="L1995" t="str">
        <f>CONCATENATE(MONTH(CompilDonnées[[#This Row],[PlantationDate]])," ", YEAR(CompilDonnées[[#This Row],[PlantationDate]]))</f>
        <v>3 2025</v>
      </c>
      <c r="M1995" t="str">
        <f>CONCATENATE(MONTH(CompilDonnées[[#This Row],[HarvestingDate]])," ", YEAR(CompilDonnées[[#This Row],[HarvestingDate]]))</f>
        <v>5 2025</v>
      </c>
      <c r="N1995">
        <f>_xlfn.NUMBERVALUE(CompilDonnées[[#This Row],[FarmID]]&amp;CompilDonnées[[#This Row],[ModuleNumber]]&amp;CompilDonnées[[#This Row],[PlantationDate]])</f>
        <v>1145741</v>
      </c>
      <c r="O1995" t="str">
        <f>CompilDonnées[[#This Row],[FarmID]]&amp;CompilDonnées[[#This Row],[ModuleNumber]]</f>
        <v>11</v>
      </c>
      <c r="P1995" t="str">
        <f>CompilDonnées[[#This Row],[Ref_Module]]&amp;CompilDonnées[[#This Row],[HarvestingDate]]</f>
        <v>1145782</v>
      </c>
    </row>
    <row r="1996" spans="1:16">
      <c r="A1996" s="5">
        <v>45741</v>
      </c>
      <c r="B1996">
        <v>2</v>
      </c>
      <c r="C1996" t="s">
        <v>119</v>
      </c>
      <c r="D1996">
        <v>1</v>
      </c>
      <c r="E1996">
        <v>100</v>
      </c>
      <c r="F1996" t="s">
        <v>1</v>
      </c>
      <c r="G1996" s="6">
        <v>45782</v>
      </c>
      <c r="H1996">
        <v>41</v>
      </c>
      <c r="I1996">
        <f>ROUND(CompilDonnées[[#This Row],[CultureDuration_days]]/7,0)</f>
        <v>6</v>
      </c>
      <c r="J1996">
        <v>1771</v>
      </c>
      <c r="K1996" t="str">
        <f>_xlfn.CONCAT(WEEKNUM(CompilDonnées[[#This Row],[PlantationDate]]), " ", YEAR(CompilDonnées[[#This Row],[PlantationDate]]))</f>
        <v>13 2025</v>
      </c>
      <c r="L1996" t="str">
        <f>CONCATENATE(MONTH(CompilDonnées[[#This Row],[PlantationDate]])," ", YEAR(CompilDonnées[[#This Row],[PlantationDate]]))</f>
        <v>3 2025</v>
      </c>
      <c r="M1996" t="str">
        <f>CONCATENATE(MONTH(CompilDonnées[[#This Row],[HarvestingDate]])," ", YEAR(CompilDonnées[[#This Row],[HarvestingDate]]))</f>
        <v>5 2025</v>
      </c>
      <c r="N1996">
        <f>_xlfn.NUMBERVALUE(CompilDonnées[[#This Row],[FarmID]]&amp;CompilDonnées[[#This Row],[ModuleNumber]]&amp;CompilDonnées[[#This Row],[PlantationDate]])</f>
        <v>2145741</v>
      </c>
      <c r="O1996" t="str">
        <f>CompilDonnées[[#This Row],[FarmID]]&amp;CompilDonnées[[#This Row],[ModuleNumber]]</f>
        <v>21</v>
      </c>
      <c r="P1996" t="str">
        <f>CompilDonnées[[#This Row],[Ref_Module]]&amp;CompilDonnées[[#This Row],[HarvestingDate]]</f>
        <v>2145782</v>
      </c>
    </row>
    <row r="1997" spans="1:16">
      <c r="A1997" s="5">
        <v>45741</v>
      </c>
      <c r="B1997">
        <v>3</v>
      </c>
      <c r="C1997" t="s">
        <v>116</v>
      </c>
      <c r="D1997">
        <v>2</v>
      </c>
      <c r="E1997">
        <v>100</v>
      </c>
      <c r="F1997" t="s">
        <v>1</v>
      </c>
      <c r="G1997" s="6">
        <v>45778</v>
      </c>
      <c r="H1997">
        <v>37</v>
      </c>
      <c r="I1997">
        <f>ROUND(CompilDonnées[[#This Row],[CultureDuration_days]]/7,0)</f>
        <v>5</v>
      </c>
      <c r="J1997">
        <v>1820</v>
      </c>
      <c r="K1997" t="str">
        <f>_xlfn.CONCAT(WEEKNUM(CompilDonnées[[#This Row],[PlantationDate]]), " ", YEAR(CompilDonnées[[#This Row],[PlantationDate]]))</f>
        <v>13 2025</v>
      </c>
      <c r="L1997" t="str">
        <f>CONCATENATE(MONTH(CompilDonnées[[#This Row],[PlantationDate]])," ", YEAR(CompilDonnées[[#This Row],[PlantationDate]]))</f>
        <v>3 2025</v>
      </c>
      <c r="M1997" t="str">
        <f>CONCATENATE(MONTH(CompilDonnées[[#This Row],[HarvestingDate]])," ", YEAR(CompilDonnées[[#This Row],[HarvestingDate]]))</f>
        <v>5 2025</v>
      </c>
      <c r="N1997">
        <f>_xlfn.NUMBERVALUE(CompilDonnées[[#This Row],[FarmID]]&amp;CompilDonnées[[#This Row],[ModuleNumber]]&amp;CompilDonnées[[#This Row],[PlantationDate]])</f>
        <v>3245741</v>
      </c>
      <c r="O1997" t="str">
        <f>CompilDonnées[[#This Row],[FarmID]]&amp;CompilDonnées[[#This Row],[ModuleNumber]]</f>
        <v>32</v>
      </c>
      <c r="P1997" t="str">
        <f>CompilDonnées[[#This Row],[Ref_Module]]&amp;CompilDonnées[[#This Row],[HarvestingDate]]</f>
        <v>3245778</v>
      </c>
    </row>
    <row r="1998" spans="1:16">
      <c r="A1998" s="5">
        <v>45741</v>
      </c>
      <c r="B1998">
        <v>4</v>
      </c>
      <c r="C1998" t="s">
        <v>74</v>
      </c>
      <c r="D1998">
        <v>2</v>
      </c>
      <c r="E1998">
        <v>100</v>
      </c>
      <c r="F1998" t="s">
        <v>1</v>
      </c>
      <c r="G1998" s="6">
        <v>45778</v>
      </c>
      <c r="H1998">
        <v>37</v>
      </c>
      <c r="I1998">
        <f>ROUND(CompilDonnées[[#This Row],[CultureDuration_days]]/7,0)</f>
        <v>5</v>
      </c>
      <c r="J1998">
        <v>1826</v>
      </c>
      <c r="K1998" t="str">
        <f>_xlfn.CONCAT(WEEKNUM(CompilDonnées[[#This Row],[PlantationDate]]), " ", YEAR(CompilDonnées[[#This Row],[PlantationDate]]))</f>
        <v>13 2025</v>
      </c>
      <c r="L1998" t="str">
        <f>CONCATENATE(MONTH(CompilDonnées[[#This Row],[PlantationDate]])," ", YEAR(CompilDonnées[[#This Row],[PlantationDate]]))</f>
        <v>3 2025</v>
      </c>
      <c r="M1998" t="str">
        <f>CONCATENATE(MONTH(CompilDonnées[[#This Row],[HarvestingDate]])," ", YEAR(CompilDonnées[[#This Row],[HarvestingDate]]))</f>
        <v>5 2025</v>
      </c>
      <c r="N1998">
        <f>_xlfn.NUMBERVALUE(CompilDonnées[[#This Row],[FarmID]]&amp;CompilDonnées[[#This Row],[ModuleNumber]]&amp;CompilDonnées[[#This Row],[PlantationDate]])</f>
        <v>4245741</v>
      </c>
      <c r="O1998" t="str">
        <f>CompilDonnées[[#This Row],[FarmID]]&amp;CompilDonnées[[#This Row],[ModuleNumber]]</f>
        <v>42</v>
      </c>
      <c r="P1998" t="str">
        <f>CompilDonnées[[#This Row],[Ref_Module]]&amp;CompilDonnées[[#This Row],[HarvestingDate]]</f>
        <v>4245778</v>
      </c>
    </row>
    <row r="1999" spans="1:16">
      <c r="A1999" s="5">
        <v>45741</v>
      </c>
      <c r="B1999">
        <v>5</v>
      </c>
      <c r="C1999" t="s">
        <v>32</v>
      </c>
      <c r="D1999">
        <v>1</v>
      </c>
      <c r="E1999">
        <v>100</v>
      </c>
      <c r="F1999" t="s">
        <v>1</v>
      </c>
      <c r="G1999" s="6">
        <v>45782</v>
      </c>
      <c r="H1999">
        <v>41</v>
      </c>
      <c r="I1999">
        <f>ROUND(CompilDonnées[[#This Row],[CultureDuration_days]]/7,0)</f>
        <v>6</v>
      </c>
      <c r="J1999">
        <v>2487</v>
      </c>
      <c r="K1999" t="str">
        <f>_xlfn.CONCAT(WEEKNUM(CompilDonnées[[#This Row],[PlantationDate]]), " ", YEAR(CompilDonnées[[#This Row],[PlantationDate]]))</f>
        <v>13 2025</v>
      </c>
      <c r="L1999" t="str">
        <f>CONCATENATE(MONTH(CompilDonnées[[#This Row],[PlantationDate]])," ", YEAR(CompilDonnées[[#This Row],[PlantationDate]]))</f>
        <v>3 2025</v>
      </c>
      <c r="M1999" t="str">
        <f>CONCATENATE(MONTH(CompilDonnées[[#This Row],[HarvestingDate]])," ", YEAR(CompilDonnées[[#This Row],[HarvestingDate]]))</f>
        <v>5 2025</v>
      </c>
      <c r="N1999">
        <f>_xlfn.NUMBERVALUE(CompilDonnées[[#This Row],[FarmID]]&amp;CompilDonnées[[#This Row],[ModuleNumber]]&amp;CompilDonnées[[#This Row],[PlantationDate]])</f>
        <v>5145741</v>
      </c>
      <c r="O1999" t="str">
        <f>CompilDonnées[[#This Row],[FarmID]]&amp;CompilDonnées[[#This Row],[ModuleNumber]]</f>
        <v>51</v>
      </c>
      <c r="P1999" t="str">
        <f>CompilDonnées[[#This Row],[Ref_Module]]&amp;CompilDonnées[[#This Row],[HarvestingDate]]</f>
        <v>5145782</v>
      </c>
    </row>
    <row r="2000" spans="1:16">
      <c r="A2000" s="5">
        <v>45741</v>
      </c>
      <c r="B2000">
        <v>6</v>
      </c>
      <c r="C2000" t="s">
        <v>24</v>
      </c>
      <c r="D2000">
        <v>3</v>
      </c>
      <c r="E2000">
        <v>100</v>
      </c>
      <c r="F2000" t="s">
        <v>1</v>
      </c>
      <c r="G2000" s="6">
        <v>45782</v>
      </c>
      <c r="H2000">
        <v>41</v>
      </c>
      <c r="I2000">
        <f>ROUND(CompilDonnées[[#This Row],[CultureDuration_days]]/7,0)</f>
        <v>6</v>
      </c>
      <c r="J2000">
        <v>2554</v>
      </c>
      <c r="K2000" t="str">
        <f>_xlfn.CONCAT(WEEKNUM(CompilDonnées[[#This Row],[PlantationDate]]), " ", YEAR(CompilDonnées[[#This Row],[PlantationDate]]))</f>
        <v>13 2025</v>
      </c>
      <c r="L2000" t="str">
        <f>CONCATENATE(MONTH(CompilDonnées[[#This Row],[PlantationDate]])," ", YEAR(CompilDonnées[[#This Row],[PlantationDate]]))</f>
        <v>3 2025</v>
      </c>
      <c r="M2000" t="str">
        <f>CONCATENATE(MONTH(CompilDonnées[[#This Row],[HarvestingDate]])," ", YEAR(CompilDonnées[[#This Row],[HarvestingDate]]))</f>
        <v>5 2025</v>
      </c>
      <c r="N2000">
        <f>_xlfn.NUMBERVALUE(CompilDonnées[[#This Row],[FarmID]]&amp;CompilDonnées[[#This Row],[ModuleNumber]]&amp;CompilDonnées[[#This Row],[PlantationDate]])</f>
        <v>6345741</v>
      </c>
      <c r="O2000" t="str">
        <f>CompilDonnées[[#This Row],[FarmID]]&amp;CompilDonnées[[#This Row],[ModuleNumber]]</f>
        <v>63</v>
      </c>
      <c r="P2000" t="str">
        <f>CompilDonnées[[#This Row],[Ref_Module]]&amp;CompilDonnées[[#This Row],[HarvestingDate]]</f>
        <v>6345782</v>
      </c>
    </row>
    <row r="2001" spans="1:16">
      <c r="A2001" s="5">
        <v>45741</v>
      </c>
      <c r="B2001">
        <v>8</v>
      </c>
      <c r="C2001" t="s">
        <v>57</v>
      </c>
      <c r="D2001">
        <v>5</v>
      </c>
      <c r="E2001">
        <v>100</v>
      </c>
      <c r="F2001" t="s">
        <v>1</v>
      </c>
      <c r="G2001" s="6">
        <v>45782</v>
      </c>
      <c r="H2001">
        <v>41</v>
      </c>
      <c r="I2001">
        <f>ROUND(CompilDonnées[[#This Row],[CultureDuration_days]]/7,0)</f>
        <v>6</v>
      </c>
      <c r="J2001">
        <v>1453</v>
      </c>
      <c r="K2001" t="str">
        <f>_xlfn.CONCAT(WEEKNUM(CompilDonnées[[#This Row],[PlantationDate]]), " ", YEAR(CompilDonnées[[#This Row],[PlantationDate]]))</f>
        <v>13 2025</v>
      </c>
      <c r="L2001" t="str">
        <f>CONCATENATE(MONTH(CompilDonnées[[#This Row],[PlantationDate]])," ", YEAR(CompilDonnées[[#This Row],[PlantationDate]]))</f>
        <v>3 2025</v>
      </c>
      <c r="M2001" t="str">
        <f>CONCATENATE(MONTH(CompilDonnées[[#This Row],[HarvestingDate]])," ", YEAR(CompilDonnées[[#This Row],[HarvestingDate]]))</f>
        <v>5 2025</v>
      </c>
      <c r="N2001">
        <f>_xlfn.NUMBERVALUE(CompilDonnées[[#This Row],[FarmID]]&amp;CompilDonnées[[#This Row],[ModuleNumber]]&amp;CompilDonnées[[#This Row],[PlantationDate]])</f>
        <v>8545741</v>
      </c>
      <c r="O2001" t="str">
        <f>CompilDonnées[[#This Row],[FarmID]]&amp;CompilDonnées[[#This Row],[ModuleNumber]]</f>
        <v>85</v>
      </c>
      <c r="P2001" t="str">
        <f>CompilDonnées[[#This Row],[Ref_Module]]&amp;CompilDonnées[[#This Row],[HarvestingDate]]</f>
        <v>8545782</v>
      </c>
    </row>
    <row r="2002" spans="1:16">
      <c r="A2002" s="5">
        <v>45741</v>
      </c>
      <c r="B2002">
        <v>9</v>
      </c>
      <c r="C2002" t="s">
        <v>107</v>
      </c>
      <c r="D2002">
        <v>2</v>
      </c>
      <c r="E2002">
        <v>100</v>
      </c>
      <c r="F2002" t="s">
        <v>1</v>
      </c>
      <c r="G2002" s="6">
        <v>45778</v>
      </c>
      <c r="H2002">
        <v>37</v>
      </c>
      <c r="I2002">
        <f>ROUND(CompilDonnées[[#This Row],[CultureDuration_days]]/7,0)</f>
        <v>5</v>
      </c>
      <c r="J2002">
        <v>2314</v>
      </c>
      <c r="K2002" t="str">
        <f>_xlfn.CONCAT(WEEKNUM(CompilDonnées[[#This Row],[PlantationDate]]), " ", YEAR(CompilDonnées[[#This Row],[PlantationDate]]))</f>
        <v>13 2025</v>
      </c>
      <c r="L2002" t="str">
        <f>CONCATENATE(MONTH(CompilDonnées[[#This Row],[PlantationDate]])," ", YEAR(CompilDonnées[[#This Row],[PlantationDate]]))</f>
        <v>3 2025</v>
      </c>
      <c r="M2002" t="str">
        <f>CONCATENATE(MONTH(CompilDonnées[[#This Row],[HarvestingDate]])," ", YEAR(CompilDonnées[[#This Row],[HarvestingDate]]))</f>
        <v>5 2025</v>
      </c>
      <c r="N2002">
        <f>_xlfn.NUMBERVALUE(CompilDonnées[[#This Row],[FarmID]]&amp;CompilDonnées[[#This Row],[ModuleNumber]]&amp;CompilDonnées[[#This Row],[PlantationDate]])</f>
        <v>9245741</v>
      </c>
      <c r="O2002" t="str">
        <f>CompilDonnées[[#This Row],[FarmID]]&amp;CompilDonnées[[#This Row],[ModuleNumber]]</f>
        <v>92</v>
      </c>
      <c r="P2002" t="str">
        <f>CompilDonnées[[#This Row],[Ref_Module]]&amp;CompilDonnées[[#This Row],[HarvestingDate]]</f>
        <v>9245778</v>
      </c>
    </row>
    <row r="2003" spans="1:16">
      <c r="A2003" s="5">
        <v>45741</v>
      </c>
      <c r="B2003">
        <v>11</v>
      </c>
      <c r="C2003" t="s">
        <v>106</v>
      </c>
      <c r="D2003">
        <v>6</v>
      </c>
      <c r="E2003">
        <v>100</v>
      </c>
      <c r="F2003" t="s">
        <v>1</v>
      </c>
      <c r="G2003" s="6">
        <v>45782</v>
      </c>
      <c r="H2003">
        <v>41</v>
      </c>
      <c r="I2003">
        <f>ROUND(CompilDonnées[[#This Row],[CultureDuration_days]]/7,0)</f>
        <v>6</v>
      </c>
      <c r="J2003">
        <v>1556</v>
      </c>
      <c r="K2003" t="str">
        <f>_xlfn.CONCAT(WEEKNUM(CompilDonnées[[#This Row],[PlantationDate]]), " ", YEAR(CompilDonnées[[#This Row],[PlantationDate]]))</f>
        <v>13 2025</v>
      </c>
      <c r="L2003" t="str">
        <f>CONCATENATE(MONTH(CompilDonnées[[#This Row],[PlantationDate]])," ", YEAR(CompilDonnées[[#This Row],[PlantationDate]]))</f>
        <v>3 2025</v>
      </c>
      <c r="M2003" t="str">
        <f>CONCATENATE(MONTH(CompilDonnées[[#This Row],[HarvestingDate]])," ", YEAR(CompilDonnées[[#This Row],[HarvestingDate]]))</f>
        <v>5 2025</v>
      </c>
      <c r="N2003">
        <f>_xlfn.NUMBERVALUE(CompilDonnées[[#This Row],[FarmID]]&amp;CompilDonnées[[#This Row],[ModuleNumber]]&amp;CompilDonnées[[#This Row],[PlantationDate]])</f>
        <v>11645741</v>
      </c>
      <c r="O2003" t="str">
        <f>CompilDonnées[[#This Row],[FarmID]]&amp;CompilDonnées[[#This Row],[ModuleNumber]]</f>
        <v>116</v>
      </c>
      <c r="P2003" t="str">
        <f>CompilDonnées[[#This Row],[Ref_Module]]&amp;CompilDonnées[[#This Row],[HarvestingDate]]</f>
        <v>11645782</v>
      </c>
    </row>
    <row r="2004" spans="1:16">
      <c r="A2004" s="5">
        <v>45741</v>
      </c>
      <c r="B2004">
        <v>13</v>
      </c>
      <c r="C2004" t="s">
        <v>114</v>
      </c>
      <c r="D2004">
        <v>3</v>
      </c>
      <c r="E2004">
        <v>100</v>
      </c>
      <c r="F2004" t="s">
        <v>1</v>
      </c>
      <c r="G2004" s="6">
        <v>45782</v>
      </c>
      <c r="H2004">
        <v>41</v>
      </c>
      <c r="I2004">
        <f>ROUND(CompilDonnées[[#This Row],[CultureDuration_days]]/7,0)</f>
        <v>6</v>
      </c>
      <c r="J2004">
        <v>2749</v>
      </c>
      <c r="K2004" t="str">
        <f>_xlfn.CONCAT(WEEKNUM(CompilDonnées[[#This Row],[PlantationDate]]), " ", YEAR(CompilDonnées[[#This Row],[PlantationDate]]))</f>
        <v>13 2025</v>
      </c>
      <c r="L2004" t="str">
        <f>CONCATENATE(MONTH(CompilDonnées[[#This Row],[PlantationDate]])," ", YEAR(CompilDonnées[[#This Row],[PlantationDate]]))</f>
        <v>3 2025</v>
      </c>
      <c r="M2004" t="str">
        <f>CONCATENATE(MONTH(CompilDonnées[[#This Row],[HarvestingDate]])," ", YEAR(CompilDonnées[[#This Row],[HarvestingDate]]))</f>
        <v>5 2025</v>
      </c>
      <c r="N2004">
        <f>_xlfn.NUMBERVALUE(CompilDonnées[[#This Row],[FarmID]]&amp;CompilDonnées[[#This Row],[ModuleNumber]]&amp;CompilDonnées[[#This Row],[PlantationDate]])</f>
        <v>13345741</v>
      </c>
      <c r="O2004" t="str">
        <f>CompilDonnées[[#This Row],[FarmID]]&amp;CompilDonnées[[#This Row],[ModuleNumber]]</f>
        <v>133</v>
      </c>
      <c r="P2004" t="str">
        <f>CompilDonnées[[#This Row],[Ref_Module]]&amp;CompilDonnées[[#This Row],[HarvestingDate]]</f>
        <v>13345782</v>
      </c>
    </row>
    <row r="2005" spans="1:16">
      <c r="A2005" s="5">
        <v>45741</v>
      </c>
      <c r="B2005">
        <v>15</v>
      </c>
      <c r="C2005" t="s">
        <v>5</v>
      </c>
      <c r="D2005">
        <v>4</v>
      </c>
      <c r="E2005">
        <v>100</v>
      </c>
      <c r="F2005" t="s">
        <v>1</v>
      </c>
      <c r="G2005" s="6">
        <v>45778</v>
      </c>
      <c r="H2005">
        <v>37</v>
      </c>
      <c r="I2005">
        <f>ROUND(CompilDonnées[[#This Row],[CultureDuration_days]]/7,0)</f>
        <v>5</v>
      </c>
      <c r="J2005">
        <v>2107</v>
      </c>
      <c r="K2005" t="str">
        <f>_xlfn.CONCAT(WEEKNUM(CompilDonnées[[#This Row],[PlantationDate]]), " ", YEAR(CompilDonnées[[#This Row],[PlantationDate]]))</f>
        <v>13 2025</v>
      </c>
      <c r="L2005" t="str">
        <f>CONCATENATE(MONTH(CompilDonnées[[#This Row],[PlantationDate]])," ", YEAR(CompilDonnées[[#This Row],[PlantationDate]]))</f>
        <v>3 2025</v>
      </c>
      <c r="M2005" t="str">
        <f>CONCATENATE(MONTH(CompilDonnées[[#This Row],[HarvestingDate]])," ", YEAR(CompilDonnées[[#This Row],[HarvestingDate]]))</f>
        <v>5 2025</v>
      </c>
      <c r="N2005">
        <f>_xlfn.NUMBERVALUE(CompilDonnées[[#This Row],[FarmID]]&amp;CompilDonnées[[#This Row],[ModuleNumber]]&amp;CompilDonnées[[#This Row],[PlantationDate]])</f>
        <v>15445741</v>
      </c>
      <c r="O2005" t="str">
        <f>CompilDonnées[[#This Row],[FarmID]]&amp;CompilDonnées[[#This Row],[ModuleNumber]]</f>
        <v>154</v>
      </c>
      <c r="P2005" t="str">
        <f>CompilDonnées[[#This Row],[Ref_Module]]&amp;CompilDonnées[[#This Row],[HarvestingDate]]</f>
        <v>15445778</v>
      </c>
    </row>
    <row r="2006" spans="1:16">
      <c r="A2006" s="5">
        <v>45741</v>
      </c>
      <c r="B2006">
        <v>17</v>
      </c>
      <c r="C2006" t="s">
        <v>80</v>
      </c>
      <c r="D2006">
        <v>1</v>
      </c>
      <c r="E2006">
        <v>100</v>
      </c>
      <c r="F2006" t="s">
        <v>1</v>
      </c>
      <c r="G2006" s="6">
        <v>45778</v>
      </c>
      <c r="H2006">
        <v>37</v>
      </c>
      <c r="I2006">
        <f>ROUND(CompilDonnées[[#This Row],[CultureDuration_days]]/7,0)</f>
        <v>5</v>
      </c>
      <c r="J2006">
        <v>2827</v>
      </c>
      <c r="K2006" t="str">
        <f>_xlfn.CONCAT(WEEKNUM(CompilDonnées[[#This Row],[PlantationDate]]), " ", YEAR(CompilDonnées[[#This Row],[PlantationDate]]))</f>
        <v>13 2025</v>
      </c>
      <c r="L2006" t="str">
        <f>CONCATENATE(MONTH(CompilDonnées[[#This Row],[PlantationDate]])," ", YEAR(CompilDonnées[[#This Row],[PlantationDate]]))</f>
        <v>3 2025</v>
      </c>
      <c r="M2006" t="str">
        <f>CONCATENATE(MONTH(CompilDonnées[[#This Row],[HarvestingDate]])," ", YEAR(CompilDonnées[[#This Row],[HarvestingDate]]))</f>
        <v>5 2025</v>
      </c>
      <c r="N2006">
        <f>_xlfn.NUMBERVALUE(CompilDonnées[[#This Row],[FarmID]]&amp;CompilDonnées[[#This Row],[ModuleNumber]]&amp;CompilDonnées[[#This Row],[PlantationDate]])</f>
        <v>17145741</v>
      </c>
      <c r="O2006" t="str">
        <f>CompilDonnées[[#This Row],[FarmID]]&amp;CompilDonnées[[#This Row],[ModuleNumber]]</f>
        <v>171</v>
      </c>
      <c r="P2006" t="str">
        <f>CompilDonnées[[#This Row],[Ref_Module]]&amp;CompilDonnées[[#This Row],[HarvestingDate]]</f>
        <v>17145778</v>
      </c>
    </row>
    <row r="2007" spans="1:16">
      <c r="A2007" s="5">
        <v>45741</v>
      </c>
      <c r="B2007">
        <v>18</v>
      </c>
      <c r="C2007" t="s">
        <v>33</v>
      </c>
      <c r="D2007">
        <v>1</v>
      </c>
      <c r="E2007">
        <v>100</v>
      </c>
      <c r="F2007" t="s">
        <v>1</v>
      </c>
      <c r="G2007" s="6">
        <v>45778</v>
      </c>
      <c r="H2007">
        <v>37</v>
      </c>
      <c r="I2007">
        <f>ROUND(CompilDonnées[[#This Row],[CultureDuration_days]]/7,0)</f>
        <v>5</v>
      </c>
      <c r="J2007">
        <v>3105</v>
      </c>
      <c r="K2007" t="str">
        <f>_xlfn.CONCAT(WEEKNUM(CompilDonnées[[#This Row],[PlantationDate]]), " ", YEAR(CompilDonnées[[#This Row],[PlantationDate]]))</f>
        <v>13 2025</v>
      </c>
      <c r="L2007" t="str">
        <f>CONCATENATE(MONTH(CompilDonnées[[#This Row],[PlantationDate]])," ", YEAR(CompilDonnées[[#This Row],[PlantationDate]]))</f>
        <v>3 2025</v>
      </c>
      <c r="M2007" t="str">
        <f>CONCATENATE(MONTH(CompilDonnées[[#This Row],[HarvestingDate]])," ", YEAR(CompilDonnées[[#This Row],[HarvestingDate]]))</f>
        <v>5 2025</v>
      </c>
      <c r="N2007">
        <f>_xlfn.NUMBERVALUE(CompilDonnées[[#This Row],[FarmID]]&amp;CompilDonnées[[#This Row],[ModuleNumber]]&amp;CompilDonnées[[#This Row],[PlantationDate]])</f>
        <v>18145741</v>
      </c>
      <c r="O2007" t="str">
        <f>CompilDonnées[[#This Row],[FarmID]]&amp;CompilDonnées[[#This Row],[ModuleNumber]]</f>
        <v>181</v>
      </c>
      <c r="P2007" t="str">
        <f>CompilDonnées[[#This Row],[Ref_Module]]&amp;CompilDonnées[[#This Row],[HarvestingDate]]</f>
        <v>18145778</v>
      </c>
    </row>
    <row r="2008" spans="1:16">
      <c r="A2008" s="5">
        <v>45741</v>
      </c>
      <c r="B2008">
        <v>19</v>
      </c>
      <c r="C2008" t="s">
        <v>108</v>
      </c>
      <c r="D2008">
        <v>3</v>
      </c>
      <c r="E2008">
        <v>100</v>
      </c>
      <c r="F2008" t="s">
        <v>1</v>
      </c>
      <c r="G2008" s="6">
        <v>45782</v>
      </c>
      <c r="H2008">
        <v>41</v>
      </c>
      <c r="I2008">
        <f>ROUND(CompilDonnées[[#This Row],[CultureDuration_days]]/7,0)</f>
        <v>6</v>
      </c>
      <c r="J2008">
        <v>2089</v>
      </c>
      <c r="K2008" t="str">
        <f>_xlfn.CONCAT(WEEKNUM(CompilDonnées[[#This Row],[PlantationDate]]), " ", YEAR(CompilDonnées[[#This Row],[PlantationDate]]))</f>
        <v>13 2025</v>
      </c>
      <c r="L2008" t="str">
        <f>CONCATENATE(MONTH(CompilDonnées[[#This Row],[PlantationDate]])," ", YEAR(CompilDonnées[[#This Row],[PlantationDate]]))</f>
        <v>3 2025</v>
      </c>
      <c r="M2008" t="str">
        <f>CONCATENATE(MONTH(CompilDonnées[[#This Row],[HarvestingDate]])," ", YEAR(CompilDonnées[[#This Row],[HarvestingDate]]))</f>
        <v>5 2025</v>
      </c>
      <c r="N2008">
        <f>_xlfn.NUMBERVALUE(CompilDonnées[[#This Row],[FarmID]]&amp;CompilDonnées[[#This Row],[ModuleNumber]]&amp;CompilDonnées[[#This Row],[PlantationDate]])</f>
        <v>19345741</v>
      </c>
      <c r="O2008" t="str">
        <f>CompilDonnées[[#This Row],[FarmID]]&amp;CompilDonnées[[#This Row],[ModuleNumber]]</f>
        <v>193</v>
      </c>
      <c r="P2008" t="str">
        <f>CompilDonnées[[#This Row],[Ref_Module]]&amp;CompilDonnées[[#This Row],[HarvestingDate]]</f>
        <v>19345782</v>
      </c>
    </row>
    <row r="2009" spans="1:16">
      <c r="A2009" s="5">
        <v>45741</v>
      </c>
      <c r="B2009">
        <v>19</v>
      </c>
      <c r="C2009" t="s">
        <v>108</v>
      </c>
      <c r="D2009">
        <v>4</v>
      </c>
      <c r="E2009">
        <v>100</v>
      </c>
      <c r="F2009" t="s">
        <v>1</v>
      </c>
      <c r="G2009" s="6">
        <v>45782</v>
      </c>
      <c r="H2009">
        <v>41</v>
      </c>
      <c r="I2009">
        <f>ROUND(CompilDonnées[[#This Row],[CultureDuration_days]]/7,0)</f>
        <v>6</v>
      </c>
      <c r="J2009">
        <v>1807</v>
      </c>
      <c r="K2009" t="str">
        <f>_xlfn.CONCAT(WEEKNUM(CompilDonnées[[#This Row],[PlantationDate]]), " ", YEAR(CompilDonnées[[#This Row],[PlantationDate]]))</f>
        <v>13 2025</v>
      </c>
      <c r="L2009" t="str">
        <f>CONCATENATE(MONTH(CompilDonnées[[#This Row],[PlantationDate]])," ", YEAR(CompilDonnées[[#This Row],[PlantationDate]]))</f>
        <v>3 2025</v>
      </c>
      <c r="M2009" t="str">
        <f>CONCATENATE(MONTH(CompilDonnées[[#This Row],[HarvestingDate]])," ", YEAR(CompilDonnées[[#This Row],[HarvestingDate]]))</f>
        <v>5 2025</v>
      </c>
      <c r="N2009">
        <f>_xlfn.NUMBERVALUE(CompilDonnées[[#This Row],[FarmID]]&amp;CompilDonnées[[#This Row],[ModuleNumber]]&amp;CompilDonnées[[#This Row],[PlantationDate]])</f>
        <v>19445741</v>
      </c>
      <c r="O2009" t="str">
        <f>CompilDonnées[[#This Row],[FarmID]]&amp;CompilDonnées[[#This Row],[ModuleNumber]]</f>
        <v>194</v>
      </c>
      <c r="P2009" t="str">
        <f>CompilDonnées[[#This Row],[Ref_Module]]&amp;CompilDonnées[[#This Row],[HarvestingDate]]</f>
        <v>19445782</v>
      </c>
    </row>
    <row r="2010" spans="1:16">
      <c r="A2010" s="5">
        <v>45741</v>
      </c>
      <c r="B2010">
        <v>20</v>
      </c>
      <c r="C2010" t="s">
        <v>53</v>
      </c>
      <c r="D2010">
        <v>5</v>
      </c>
      <c r="E2010">
        <v>100</v>
      </c>
      <c r="F2010" t="s">
        <v>1</v>
      </c>
      <c r="G2010" s="6">
        <v>45782</v>
      </c>
      <c r="H2010">
        <v>41</v>
      </c>
      <c r="I2010">
        <f>ROUND(CompilDonnées[[#This Row],[CultureDuration_days]]/7,0)</f>
        <v>6</v>
      </c>
      <c r="J2010">
        <v>1468</v>
      </c>
      <c r="K2010" t="str">
        <f>_xlfn.CONCAT(WEEKNUM(CompilDonnées[[#This Row],[PlantationDate]]), " ", YEAR(CompilDonnées[[#This Row],[PlantationDate]]))</f>
        <v>13 2025</v>
      </c>
      <c r="L2010" t="str">
        <f>CONCATENATE(MONTH(CompilDonnées[[#This Row],[PlantationDate]])," ", YEAR(CompilDonnées[[#This Row],[PlantationDate]]))</f>
        <v>3 2025</v>
      </c>
      <c r="M2010" t="str">
        <f>CONCATENATE(MONTH(CompilDonnées[[#This Row],[HarvestingDate]])," ", YEAR(CompilDonnées[[#This Row],[HarvestingDate]]))</f>
        <v>5 2025</v>
      </c>
      <c r="N2010">
        <f>_xlfn.NUMBERVALUE(CompilDonnées[[#This Row],[FarmID]]&amp;CompilDonnées[[#This Row],[ModuleNumber]]&amp;CompilDonnées[[#This Row],[PlantationDate]])</f>
        <v>20545741</v>
      </c>
      <c r="O2010" t="str">
        <f>CompilDonnées[[#This Row],[FarmID]]&amp;CompilDonnées[[#This Row],[ModuleNumber]]</f>
        <v>205</v>
      </c>
      <c r="P2010" t="str">
        <f>CompilDonnées[[#This Row],[Ref_Module]]&amp;CompilDonnées[[#This Row],[HarvestingDate]]</f>
        <v>20545782</v>
      </c>
    </row>
    <row r="2011" spans="1:16">
      <c r="A2011" s="5">
        <v>45741</v>
      </c>
      <c r="B2011">
        <v>21</v>
      </c>
      <c r="C2011" t="s">
        <v>0</v>
      </c>
      <c r="D2011">
        <v>5</v>
      </c>
      <c r="E2011">
        <v>100</v>
      </c>
      <c r="F2011" t="s">
        <v>1</v>
      </c>
      <c r="G2011" s="6">
        <v>45782</v>
      </c>
      <c r="H2011">
        <v>41</v>
      </c>
      <c r="I2011">
        <f>ROUND(CompilDonnées[[#This Row],[CultureDuration_days]]/7,0)</f>
        <v>6</v>
      </c>
      <c r="J2011">
        <v>2842</v>
      </c>
      <c r="K2011" t="str">
        <f>_xlfn.CONCAT(WEEKNUM(CompilDonnées[[#This Row],[PlantationDate]]), " ", YEAR(CompilDonnées[[#This Row],[PlantationDate]]))</f>
        <v>13 2025</v>
      </c>
      <c r="L2011" t="str">
        <f>CONCATENATE(MONTH(CompilDonnées[[#This Row],[PlantationDate]])," ", YEAR(CompilDonnées[[#This Row],[PlantationDate]]))</f>
        <v>3 2025</v>
      </c>
      <c r="M2011" t="str">
        <f>CONCATENATE(MONTH(CompilDonnées[[#This Row],[HarvestingDate]])," ", YEAR(CompilDonnées[[#This Row],[HarvestingDate]]))</f>
        <v>5 2025</v>
      </c>
      <c r="N2011">
        <f>_xlfn.NUMBERVALUE(CompilDonnées[[#This Row],[FarmID]]&amp;CompilDonnées[[#This Row],[ModuleNumber]]&amp;CompilDonnées[[#This Row],[PlantationDate]])</f>
        <v>21545741</v>
      </c>
      <c r="O2011" t="str">
        <f>CompilDonnées[[#This Row],[FarmID]]&amp;CompilDonnées[[#This Row],[ModuleNumber]]</f>
        <v>215</v>
      </c>
      <c r="P2011" t="str">
        <f>CompilDonnées[[#This Row],[Ref_Module]]&amp;CompilDonnées[[#This Row],[HarvestingDate]]</f>
        <v>21545782</v>
      </c>
    </row>
    <row r="2012" spans="1:16">
      <c r="A2012" s="5">
        <v>45741</v>
      </c>
      <c r="B2012">
        <v>21</v>
      </c>
      <c r="C2012" t="s">
        <v>0</v>
      </c>
      <c r="D2012">
        <v>6</v>
      </c>
      <c r="E2012">
        <v>100</v>
      </c>
      <c r="F2012" t="s">
        <v>1</v>
      </c>
      <c r="G2012" s="6">
        <v>45778</v>
      </c>
      <c r="H2012">
        <v>37</v>
      </c>
      <c r="I2012">
        <f>ROUND(CompilDonnées[[#This Row],[CultureDuration_days]]/7,0)</f>
        <v>5</v>
      </c>
      <c r="J2012">
        <v>2953</v>
      </c>
      <c r="K2012" t="str">
        <f>_xlfn.CONCAT(WEEKNUM(CompilDonnées[[#This Row],[PlantationDate]]), " ", YEAR(CompilDonnées[[#This Row],[PlantationDate]]))</f>
        <v>13 2025</v>
      </c>
      <c r="L2012" t="str">
        <f>CONCATENATE(MONTH(CompilDonnées[[#This Row],[PlantationDate]])," ", YEAR(CompilDonnées[[#This Row],[PlantationDate]]))</f>
        <v>3 2025</v>
      </c>
      <c r="M2012" t="str">
        <f>CONCATENATE(MONTH(CompilDonnées[[#This Row],[HarvestingDate]])," ", YEAR(CompilDonnées[[#This Row],[HarvestingDate]]))</f>
        <v>5 2025</v>
      </c>
      <c r="N2012">
        <f>_xlfn.NUMBERVALUE(CompilDonnées[[#This Row],[FarmID]]&amp;CompilDonnées[[#This Row],[ModuleNumber]]&amp;CompilDonnées[[#This Row],[PlantationDate]])</f>
        <v>21645741</v>
      </c>
      <c r="O2012" t="str">
        <f>CompilDonnées[[#This Row],[FarmID]]&amp;CompilDonnées[[#This Row],[ModuleNumber]]</f>
        <v>216</v>
      </c>
      <c r="P2012" t="str">
        <f>CompilDonnées[[#This Row],[Ref_Module]]&amp;CompilDonnées[[#This Row],[HarvestingDate]]</f>
        <v>21645778</v>
      </c>
    </row>
    <row r="2013" spans="1:16">
      <c r="A2013" s="5">
        <v>45741</v>
      </c>
      <c r="B2013">
        <v>22</v>
      </c>
      <c r="C2013" t="s">
        <v>43</v>
      </c>
      <c r="D2013">
        <v>5</v>
      </c>
      <c r="E2013">
        <v>100</v>
      </c>
      <c r="F2013" t="s">
        <v>1</v>
      </c>
      <c r="G2013" s="6">
        <v>45782</v>
      </c>
      <c r="H2013">
        <v>41</v>
      </c>
      <c r="I2013">
        <f>ROUND(CompilDonnées[[#This Row],[CultureDuration_days]]/7,0)</f>
        <v>6</v>
      </c>
      <c r="J2013">
        <v>2819</v>
      </c>
      <c r="K2013" t="str">
        <f>_xlfn.CONCAT(WEEKNUM(CompilDonnées[[#This Row],[PlantationDate]]), " ", YEAR(CompilDonnées[[#This Row],[PlantationDate]]))</f>
        <v>13 2025</v>
      </c>
      <c r="L2013" t="str">
        <f>CONCATENATE(MONTH(CompilDonnées[[#This Row],[PlantationDate]])," ", YEAR(CompilDonnées[[#This Row],[PlantationDate]]))</f>
        <v>3 2025</v>
      </c>
      <c r="M2013" t="str">
        <f>CONCATENATE(MONTH(CompilDonnées[[#This Row],[HarvestingDate]])," ", YEAR(CompilDonnées[[#This Row],[HarvestingDate]]))</f>
        <v>5 2025</v>
      </c>
      <c r="N2013">
        <f>_xlfn.NUMBERVALUE(CompilDonnées[[#This Row],[FarmID]]&amp;CompilDonnées[[#This Row],[ModuleNumber]]&amp;CompilDonnées[[#This Row],[PlantationDate]])</f>
        <v>22545741</v>
      </c>
      <c r="O2013" t="str">
        <f>CompilDonnées[[#This Row],[FarmID]]&amp;CompilDonnées[[#This Row],[ModuleNumber]]</f>
        <v>225</v>
      </c>
      <c r="P2013" t="str">
        <f>CompilDonnées[[#This Row],[Ref_Module]]&amp;CompilDonnées[[#This Row],[HarvestingDate]]</f>
        <v>22545782</v>
      </c>
    </row>
    <row r="2014" spans="1:16">
      <c r="A2014" s="5">
        <v>45741</v>
      </c>
      <c r="B2014">
        <v>22</v>
      </c>
      <c r="C2014" t="s">
        <v>43</v>
      </c>
      <c r="D2014">
        <v>6</v>
      </c>
      <c r="E2014">
        <v>100</v>
      </c>
      <c r="F2014" t="s">
        <v>1</v>
      </c>
      <c r="G2014" s="6">
        <v>45778</v>
      </c>
      <c r="H2014">
        <v>37</v>
      </c>
      <c r="I2014">
        <f>ROUND(CompilDonnées[[#This Row],[CultureDuration_days]]/7,0)</f>
        <v>5</v>
      </c>
      <c r="J2014">
        <v>3255</v>
      </c>
      <c r="K2014" t="str">
        <f>_xlfn.CONCAT(WEEKNUM(CompilDonnées[[#This Row],[PlantationDate]]), " ", YEAR(CompilDonnées[[#This Row],[PlantationDate]]))</f>
        <v>13 2025</v>
      </c>
      <c r="L2014" t="str">
        <f>CONCATENATE(MONTH(CompilDonnées[[#This Row],[PlantationDate]])," ", YEAR(CompilDonnées[[#This Row],[PlantationDate]]))</f>
        <v>3 2025</v>
      </c>
      <c r="M2014" t="str">
        <f>CONCATENATE(MONTH(CompilDonnées[[#This Row],[HarvestingDate]])," ", YEAR(CompilDonnées[[#This Row],[HarvestingDate]]))</f>
        <v>5 2025</v>
      </c>
      <c r="N2014">
        <f>_xlfn.NUMBERVALUE(CompilDonnées[[#This Row],[FarmID]]&amp;CompilDonnées[[#This Row],[ModuleNumber]]&amp;CompilDonnées[[#This Row],[PlantationDate]])</f>
        <v>22645741</v>
      </c>
      <c r="O2014" t="str">
        <f>CompilDonnées[[#This Row],[FarmID]]&amp;CompilDonnées[[#This Row],[ModuleNumber]]</f>
        <v>226</v>
      </c>
      <c r="P2014" t="str">
        <f>CompilDonnées[[#This Row],[Ref_Module]]&amp;CompilDonnées[[#This Row],[HarvestingDate]]</f>
        <v>22645778</v>
      </c>
    </row>
    <row r="2015" spans="1:16">
      <c r="A2015" s="5">
        <v>45741</v>
      </c>
      <c r="B2015">
        <v>23</v>
      </c>
      <c r="C2015" t="s">
        <v>44</v>
      </c>
      <c r="D2015">
        <v>1</v>
      </c>
      <c r="E2015">
        <v>100</v>
      </c>
      <c r="F2015" t="s">
        <v>1</v>
      </c>
      <c r="G2015" s="6">
        <v>45782</v>
      </c>
      <c r="H2015">
        <v>41</v>
      </c>
      <c r="I2015">
        <f>ROUND(CompilDonnées[[#This Row],[CultureDuration_days]]/7,0)</f>
        <v>6</v>
      </c>
      <c r="J2015">
        <v>2377</v>
      </c>
      <c r="K2015" t="str">
        <f>_xlfn.CONCAT(WEEKNUM(CompilDonnées[[#This Row],[PlantationDate]]), " ", YEAR(CompilDonnées[[#This Row],[PlantationDate]]))</f>
        <v>13 2025</v>
      </c>
      <c r="L2015" t="str">
        <f>CONCATENATE(MONTH(CompilDonnées[[#This Row],[PlantationDate]])," ", YEAR(CompilDonnées[[#This Row],[PlantationDate]]))</f>
        <v>3 2025</v>
      </c>
      <c r="M2015" t="str">
        <f>CONCATENATE(MONTH(CompilDonnées[[#This Row],[HarvestingDate]])," ", YEAR(CompilDonnées[[#This Row],[HarvestingDate]]))</f>
        <v>5 2025</v>
      </c>
      <c r="N2015">
        <f>_xlfn.NUMBERVALUE(CompilDonnées[[#This Row],[FarmID]]&amp;CompilDonnées[[#This Row],[ModuleNumber]]&amp;CompilDonnées[[#This Row],[PlantationDate]])</f>
        <v>23145741</v>
      </c>
      <c r="O2015" t="str">
        <f>CompilDonnées[[#This Row],[FarmID]]&amp;CompilDonnées[[#This Row],[ModuleNumber]]</f>
        <v>231</v>
      </c>
      <c r="P2015" t="str">
        <f>CompilDonnées[[#This Row],[Ref_Module]]&amp;CompilDonnées[[#This Row],[HarvestingDate]]</f>
        <v>23145782</v>
      </c>
    </row>
    <row r="2016" spans="1:16">
      <c r="A2016" s="5">
        <v>45741</v>
      </c>
      <c r="B2016">
        <v>24</v>
      </c>
      <c r="C2016" t="s">
        <v>31</v>
      </c>
      <c r="D2016">
        <v>2</v>
      </c>
      <c r="E2016">
        <v>100</v>
      </c>
      <c r="F2016" t="s">
        <v>1</v>
      </c>
      <c r="G2016" s="6">
        <v>45778</v>
      </c>
      <c r="H2016">
        <v>37</v>
      </c>
      <c r="I2016">
        <f>ROUND(CompilDonnées[[#This Row],[CultureDuration_days]]/7,0)</f>
        <v>5</v>
      </c>
      <c r="J2016">
        <v>3407</v>
      </c>
      <c r="K2016" t="str">
        <f>_xlfn.CONCAT(WEEKNUM(CompilDonnées[[#This Row],[PlantationDate]]), " ", YEAR(CompilDonnées[[#This Row],[PlantationDate]]))</f>
        <v>13 2025</v>
      </c>
      <c r="L2016" t="str">
        <f>CONCATENATE(MONTH(CompilDonnées[[#This Row],[PlantationDate]])," ", YEAR(CompilDonnées[[#This Row],[PlantationDate]]))</f>
        <v>3 2025</v>
      </c>
      <c r="M2016" t="str">
        <f>CONCATENATE(MONTH(CompilDonnées[[#This Row],[HarvestingDate]])," ", YEAR(CompilDonnées[[#This Row],[HarvestingDate]]))</f>
        <v>5 2025</v>
      </c>
      <c r="N2016">
        <f>_xlfn.NUMBERVALUE(CompilDonnées[[#This Row],[FarmID]]&amp;CompilDonnées[[#This Row],[ModuleNumber]]&amp;CompilDonnées[[#This Row],[PlantationDate]])</f>
        <v>24245741</v>
      </c>
      <c r="O2016" t="str">
        <f>CompilDonnées[[#This Row],[FarmID]]&amp;CompilDonnées[[#This Row],[ModuleNumber]]</f>
        <v>242</v>
      </c>
      <c r="P2016" t="str">
        <f>CompilDonnées[[#This Row],[Ref_Module]]&amp;CompilDonnées[[#This Row],[HarvestingDate]]</f>
        <v>24245778</v>
      </c>
    </row>
    <row r="2017" spans="1:16">
      <c r="A2017" s="5">
        <v>45741</v>
      </c>
      <c r="B2017">
        <v>121</v>
      </c>
      <c r="C2017" t="s">
        <v>3</v>
      </c>
      <c r="D2017">
        <v>1</v>
      </c>
      <c r="E2017">
        <v>60</v>
      </c>
      <c r="F2017" t="s">
        <v>105</v>
      </c>
      <c r="G2017" s="6">
        <v>45799</v>
      </c>
      <c r="H2017">
        <v>58</v>
      </c>
      <c r="I2017">
        <f>ROUND(CompilDonnées[[#This Row],[CultureDuration_days]]/7,0)</f>
        <v>8</v>
      </c>
      <c r="J2017">
        <v>500</v>
      </c>
      <c r="K2017" t="str">
        <f>_xlfn.CONCAT(WEEKNUM(CompilDonnées[[#This Row],[PlantationDate]]), " ", YEAR(CompilDonnées[[#This Row],[PlantationDate]]))</f>
        <v>13 2025</v>
      </c>
      <c r="L2017" t="str">
        <f>CONCATENATE(MONTH(CompilDonnées[[#This Row],[PlantationDate]])," ", YEAR(CompilDonnées[[#This Row],[PlantationDate]]))</f>
        <v>3 2025</v>
      </c>
      <c r="M2017" t="str">
        <f>CONCATENATE(MONTH(CompilDonnées[[#This Row],[HarvestingDate]])," ", YEAR(CompilDonnées[[#This Row],[HarvestingDate]]))</f>
        <v>5 2025</v>
      </c>
      <c r="N2017">
        <f>_xlfn.NUMBERVALUE(CompilDonnées[[#This Row],[FarmID]]&amp;CompilDonnées[[#This Row],[ModuleNumber]]&amp;CompilDonnées[[#This Row],[PlantationDate]])</f>
        <v>121145741</v>
      </c>
      <c r="O2017" t="str">
        <f>CompilDonnées[[#This Row],[FarmID]]&amp;CompilDonnées[[#This Row],[ModuleNumber]]</f>
        <v>1211</v>
      </c>
      <c r="P2017" t="str">
        <f>CompilDonnées[[#This Row],[Ref_Module]]&amp;CompilDonnées[[#This Row],[HarvestingDate]]</f>
        <v>121145799</v>
      </c>
    </row>
    <row r="2018" spans="1:16">
      <c r="A2018" s="5">
        <v>45741</v>
      </c>
      <c r="B2018">
        <v>121</v>
      </c>
      <c r="C2018" t="s">
        <v>3</v>
      </c>
      <c r="D2018">
        <v>2</v>
      </c>
      <c r="E2018">
        <v>60</v>
      </c>
      <c r="F2018" t="s">
        <v>105</v>
      </c>
      <c r="G2018" s="6">
        <v>45799</v>
      </c>
      <c r="H2018">
        <v>58</v>
      </c>
      <c r="I2018">
        <f>ROUND(CompilDonnées[[#This Row],[CultureDuration_days]]/7,0)</f>
        <v>8</v>
      </c>
      <c r="J2018">
        <v>600</v>
      </c>
      <c r="K2018" t="str">
        <f>_xlfn.CONCAT(WEEKNUM(CompilDonnées[[#This Row],[PlantationDate]]), " ", YEAR(CompilDonnées[[#This Row],[PlantationDate]]))</f>
        <v>13 2025</v>
      </c>
      <c r="L2018" t="str">
        <f>CONCATENATE(MONTH(CompilDonnées[[#This Row],[PlantationDate]])," ", YEAR(CompilDonnées[[#This Row],[PlantationDate]]))</f>
        <v>3 2025</v>
      </c>
      <c r="M2018" t="str">
        <f>CONCATENATE(MONTH(CompilDonnées[[#This Row],[HarvestingDate]])," ", YEAR(CompilDonnées[[#This Row],[HarvestingDate]]))</f>
        <v>5 2025</v>
      </c>
      <c r="N2018">
        <f>_xlfn.NUMBERVALUE(CompilDonnées[[#This Row],[FarmID]]&amp;CompilDonnées[[#This Row],[ModuleNumber]]&amp;CompilDonnées[[#This Row],[PlantationDate]])</f>
        <v>121245741</v>
      </c>
      <c r="O2018" t="str">
        <f>CompilDonnées[[#This Row],[FarmID]]&amp;CompilDonnées[[#This Row],[ModuleNumber]]</f>
        <v>1212</v>
      </c>
      <c r="P2018" t="str">
        <f>CompilDonnées[[#This Row],[Ref_Module]]&amp;CompilDonnées[[#This Row],[HarvestingDate]]</f>
        <v>121245799</v>
      </c>
    </row>
    <row r="2019" spans="1:16">
      <c r="A2019" s="5">
        <v>45741</v>
      </c>
      <c r="B2019">
        <v>121</v>
      </c>
      <c r="C2019" t="s">
        <v>3</v>
      </c>
      <c r="D2019">
        <v>3</v>
      </c>
      <c r="E2019">
        <v>60</v>
      </c>
      <c r="F2019" t="s">
        <v>105</v>
      </c>
      <c r="G2019" s="6">
        <v>45799</v>
      </c>
      <c r="H2019">
        <v>58</v>
      </c>
      <c r="I2019">
        <f>ROUND(CompilDonnées[[#This Row],[CultureDuration_days]]/7,0)</f>
        <v>8</v>
      </c>
      <c r="J2019">
        <v>700</v>
      </c>
      <c r="K2019" t="str">
        <f>_xlfn.CONCAT(WEEKNUM(CompilDonnées[[#This Row],[PlantationDate]]), " ", YEAR(CompilDonnées[[#This Row],[PlantationDate]]))</f>
        <v>13 2025</v>
      </c>
      <c r="L2019" t="str">
        <f>CONCATENATE(MONTH(CompilDonnées[[#This Row],[PlantationDate]])," ", YEAR(CompilDonnées[[#This Row],[PlantationDate]]))</f>
        <v>3 2025</v>
      </c>
      <c r="M2019" t="str">
        <f>CONCATENATE(MONTH(CompilDonnées[[#This Row],[HarvestingDate]])," ", YEAR(CompilDonnées[[#This Row],[HarvestingDate]]))</f>
        <v>5 2025</v>
      </c>
      <c r="N2019">
        <f>_xlfn.NUMBERVALUE(CompilDonnées[[#This Row],[FarmID]]&amp;CompilDonnées[[#This Row],[ModuleNumber]]&amp;CompilDonnées[[#This Row],[PlantationDate]])</f>
        <v>121345741</v>
      </c>
      <c r="O2019" t="str">
        <f>CompilDonnées[[#This Row],[FarmID]]&amp;CompilDonnées[[#This Row],[ModuleNumber]]</f>
        <v>1213</v>
      </c>
      <c r="P2019" t="str">
        <f>CompilDonnées[[#This Row],[Ref_Module]]&amp;CompilDonnées[[#This Row],[HarvestingDate]]</f>
        <v>121345799</v>
      </c>
    </row>
    <row r="2020" spans="1:16">
      <c r="A2020" s="5">
        <v>45741</v>
      </c>
      <c r="B2020">
        <v>121</v>
      </c>
      <c r="C2020" t="s">
        <v>3</v>
      </c>
      <c r="D2020">
        <v>4</v>
      </c>
      <c r="E2020">
        <v>60</v>
      </c>
      <c r="F2020" t="s">
        <v>105</v>
      </c>
      <c r="G2020" s="6">
        <v>45803</v>
      </c>
      <c r="H2020">
        <v>62</v>
      </c>
      <c r="I2020">
        <f>ROUND(CompilDonnées[[#This Row],[CultureDuration_days]]/7,0)</f>
        <v>9</v>
      </c>
      <c r="J2020">
        <v>700</v>
      </c>
      <c r="K2020" t="str">
        <f>_xlfn.CONCAT(WEEKNUM(CompilDonnées[[#This Row],[PlantationDate]]), " ", YEAR(CompilDonnées[[#This Row],[PlantationDate]]))</f>
        <v>13 2025</v>
      </c>
      <c r="L2020" t="str">
        <f>CONCATENATE(MONTH(CompilDonnées[[#This Row],[PlantationDate]])," ", YEAR(CompilDonnées[[#This Row],[PlantationDate]]))</f>
        <v>3 2025</v>
      </c>
      <c r="M2020" t="str">
        <f>CONCATENATE(MONTH(CompilDonnées[[#This Row],[HarvestingDate]])," ", YEAR(CompilDonnées[[#This Row],[HarvestingDate]]))</f>
        <v>5 2025</v>
      </c>
      <c r="N2020">
        <f>_xlfn.NUMBERVALUE(CompilDonnées[[#This Row],[FarmID]]&amp;CompilDonnées[[#This Row],[ModuleNumber]]&amp;CompilDonnées[[#This Row],[PlantationDate]])</f>
        <v>121445741</v>
      </c>
      <c r="O2020" t="str">
        <f>CompilDonnées[[#This Row],[FarmID]]&amp;CompilDonnées[[#This Row],[ModuleNumber]]</f>
        <v>1214</v>
      </c>
      <c r="P2020" t="str">
        <f>CompilDonnées[[#This Row],[Ref_Module]]&amp;CompilDonnées[[#This Row],[HarvestingDate]]</f>
        <v>121445803</v>
      </c>
    </row>
    <row r="2021" spans="1:16">
      <c r="A2021" s="5">
        <v>45741</v>
      </c>
      <c r="B2021">
        <v>125</v>
      </c>
      <c r="C2021" t="s">
        <v>101</v>
      </c>
      <c r="D2021">
        <v>4</v>
      </c>
      <c r="E2021">
        <v>100</v>
      </c>
      <c r="F2021" t="s">
        <v>1</v>
      </c>
      <c r="G2021" s="6">
        <v>45775</v>
      </c>
      <c r="H2021">
        <v>34</v>
      </c>
      <c r="I2021">
        <f>ROUND(CompilDonnées[[#This Row],[CultureDuration_days]]/7,0)</f>
        <v>5</v>
      </c>
      <c r="J2021">
        <v>2867</v>
      </c>
      <c r="K2021" t="str">
        <f>_xlfn.CONCAT(WEEKNUM(CompilDonnées[[#This Row],[PlantationDate]]), " ", YEAR(CompilDonnées[[#This Row],[PlantationDate]]))</f>
        <v>13 2025</v>
      </c>
      <c r="L2021" t="str">
        <f>CONCATENATE(MONTH(CompilDonnées[[#This Row],[PlantationDate]])," ", YEAR(CompilDonnées[[#This Row],[PlantationDate]]))</f>
        <v>3 2025</v>
      </c>
      <c r="M2021" t="str">
        <f>CONCATENATE(MONTH(CompilDonnées[[#This Row],[HarvestingDate]])," ", YEAR(CompilDonnées[[#This Row],[HarvestingDate]]))</f>
        <v>4 2025</v>
      </c>
      <c r="N2021">
        <f>_xlfn.NUMBERVALUE(CompilDonnées[[#This Row],[FarmID]]&amp;CompilDonnées[[#This Row],[ModuleNumber]]&amp;CompilDonnées[[#This Row],[PlantationDate]])</f>
        <v>125445741</v>
      </c>
      <c r="O2021" t="str">
        <f>CompilDonnées[[#This Row],[FarmID]]&amp;CompilDonnées[[#This Row],[ModuleNumber]]</f>
        <v>1254</v>
      </c>
      <c r="P2021" t="str">
        <f>CompilDonnées[[#This Row],[Ref_Module]]&amp;CompilDonnées[[#This Row],[HarvestingDate]]</f>
        <v>125445775</v>
      </c>
    </row>
    <row r="2022" spans="1:16">
      <c r="A2022" s="5">
        <v>45741</v>
      </c>
      <c r="B2022">
        <v>133</v>
      </c>
      <c r="C2022" t="s">
        <v>99</v>
      </c>
      <c r="D2022">
        <v>3</v>
      </c>
      <c r="E2022">
        <v>100</v>
      </c>
      <c r="F2022" t="s">
        <v>1</v>
      </c>
      <c r="G2022" s="6">
        <v>45789</v>
      </c>
      <c r="H2022">
        <v>48</v>
      </c>
      <c r="I2022">
        <f>ROUND(CompilDonnées[[#This Row],[CultureDuration_days]]/7,0)</f>
        <v>7</v>
      </c>
      <c r="J2022">
        <v>2519</v>
      </c>
      <c r="K2022" t="str">
        <f>_xlfn.CONCAT(WEEKNUM(CompilDonnées[[#This Row],[PlantationDate]]), " ", YEAR(CompilDonnées[[#This Row],[PlantationDate]]))</f>
        <v>13 2025</v>
      </c>
      <c r="L2022" t="str">
        <f>CONCATENATE(MONTH(CompilDonnées[[#This Row],[PlantationDate]])," ", YEAR(CompilDonnées[[#This Row],[PlantationDate]]))</f>
        <v>3 2025</v>
      </c>
      <c r="M2022" t="str">
        <f>CONCATENATE(MONTH(CompilDonnées[[#This Row],[HarvestingDate]])," ", YEAR(CompilDonnées[[#This Row],[HarvestingDate]]))</f>
        <v>5 2025</v>
      </c>
      <c r="N2022">
        <f>_xlfn.NUMBERVALUE(CompilDonnées[[#This Row],[FarmID]]&amp;CompilDonnées[[#This Row],[ModuleNumber]]&amp;CompilDonnées[[#This Row],[PlantationDate]])</f>
        <v>133345741</v>
      </c>
      <c r="O2022" t="str">
        <f>CompilDonnées[[#This Row],[FarmID]]&amp;CompilDonnées[[#This Row],[ModuleNumber]]</f>
        <v>1333</v>
      </c>
      <c r="P2022" t="str">
        <f>CompilDonnées[[#This Row],[Ref_Module]]&amp;CompilDonnées[[#This Row],[HarvestingDate]]</f>
        <v>133345789</v>
      </c>
    </row>
    <row r="2023" spans="1:16">
      <c r="A2023" s="5">
        <v>45741</v>
      </c>
      <c r="B2023">
        <v>109</v>
      </c>
      <c r="C2023" t="s">
        <v>87</v>
      </c>
      <c r="D2023">
        <v>1</v>
      </c>
      <c r="E2023">
        <v>100</v>
      </c>
      <c r="F2023" t="s">
        <v>1</v>
      </c>
      <c r="G2023" s="6">
        <v>45790</v>
      </c>
      <c r="H2023">
        <v>49</v>
      </c>
      <c r="I2023">
        <f>ROUND(CompilDonnées[[#This Row],[CultureDuration_days]]/7,0)</f>
        <v>7</v>
      </c>
      <c r="J2023">
        <v>2706</v>
      </c>
      <c r="K2023" t="str">
        <f>_xlfn.CONCAT(WEEKNUM(CompilDonnées[[#This Row],[PlantationDate]]), " ", YEAR(CompilDonnées[[#This Row],[PlantationDate]]))</f>
        <v>13 2025</v>
      </c>
      <c r="L2023" t="str">
        <f>CONCATENATE(MONTH(CompilDonnées[[#This Row],[PlantationDate]])," ", YEAR(CompilDonnées[[#This Row],[PlantationDate]]))</f>
        <v>3 2025</v>
      </c>
      <c r="M2023" t="str">
        <f>CONCATENATE(MONTH(CompilDonnées[[#This Row],[HarvestingDate]])," ", YEAR(CompilDonnées[[#This Row],[HarvestingDate]]))</f>
        <v>5 2025</v>
      </c>
      <c r="N2023">
        <f>_xlfn.NUMBERVALUE(CompilDonnées[[#This Row],[FarmID]]&amp;CompilDonnées[[#This Row],[ModuleNumber]]&amp;CompilDonnées[[#This Row],[PlantationDate]])</f>
        <v>109145741</v>
      </c>
      <c r="O2023" t="str">
        <f>CompilDonnées[[#This Row],[FarmID]]&amp;CompilDonnées[[#This Row],[ModuleNumber]]</f>
        <v>1091</v>
      </c>
      <c r="P2023" t="str">
        <f>CompilDonnées[[#This Row],[Ref_Module]]&amp;CompilDonnées[[#This Row],[HarvestingDate]]</f>
        <v>109145790</v>
      </c>
    </row>
    <row r="2024" spans="1:16">
      <c r="A2024" s="5">
        <v>45741</v>
      </c>
      <c r="B2024">
        <v>118</v>
      </c>
      <c r="C2024" t="s">
        <v>51</v>
      </c>
      <c r="D2024">
        <v>2</v>
      </c>
      <c r="E2024">
        <v>100</v>
      </c>
      <c r="F2024" t="s">
        <v>1</v>
      </c>
      <c r="G2024" s="6">
        <v>45789</v>
      </c>
      <c r="H2024">
        <v>48</v>
      </c>
      <c r="I2024">
        <f>ROUND(CompilDonnées[[#This Row],[CultureDuration_days]]/7,0)</f>
        <v>7</v>
      </c>
      <c r="J2024">
        <v>2569</v>
      </c>
      <c r="K2024" t="str">
        <f>_xlfn.CONCAT(WEEKNUM(CompilDonnées[[#This Row],[PlantationDate]]), " ", YEAR(CompilDonnées[[#This Row],[PlantationDate]]))</f>
        <v>13 2025</v>
      </c>
      <c r="L2024" t="str">
        <f>CONCATENATE(MONTH(CompilDonnées[[#This Row],[PlantationDate]])," ", YEAR(CompilDonnées[[#This Row],[PlantationDate]]))</f>
        <v>3 2025</v>
      </c>
      <c r="M2024" t="str">
        <f>CONCATENATE(MONTH(CompilDonnées[[#This Row],[HarvestingDate]])," ", YEAR(CompilDonnées[[#This Row],[HarvestingDate]]))</f>
        <v>5 2025</v>
      </c>
      <c r="N2024">
        <f>_xlfn.NUMBERVALUE(CompilDonnées[[#This Row],[FarmID]]&amp;CompilDonnées[[#This Row],[ModuleNumber]]&amp;CompilDonnées[[#This Row],[PlantationDate]])</f>
        <v>118245741</v>
      </c>
      <c r="O2024" t="str">
        <f>CompilDonnées[[#This Row],[FarmID]]&amp;CompilDonnées[[#This Row],[ModuleNumber]]</f>
        <v>1182</v>
      </c>
      <c r="P2024" t="str">
        <f>CompilDonnées[[#This Row],[Ref_Module]]&amp;CompilDonnées[[#This Row],[HarvestingDate]]</f>
        <v>118245789</v>
      </c>
    </row>
    <row r="2025" spans="1:16">
      <c r="A2025" s="5">
        <v>45741</v>
      </c>
      <c r="B2025">
        <v>45</v>
      </c>
      <c r="C2025" t="s">
        <v>77</v>
      </c>
      <c r="D2025">
        <v>5</v>
      </c>
      <c r="E2025">
        <v>100</v>
      </c>
      <c r="F2025" t="s">
        <v>1</v>
      </c>
      <c r="G2025" s="6">
        <v>45792</v>
      </c>
      <c r="H2025">
        <v>51</v>
      </c>
      <c r="I2025">
        <f>ROUND(CompilDonnées[[#This Row],[CultureDuration_days]]/7,0)</f>
        <v>7</v>
      </c>
      <c r="J2025">
        <v>3127</v>
      </c>
      <c r="K2025" t="str">
        <f>_xlfn.CONCAT(WEEKNUM(CompilDonnées[[#This Row],[PlantationDate]]), " ", YEAR(CompilDonnées[[#This Row],[PlantationDate]]))</f>
        <v>13 2025</v>
      </c>
      <c r="L2025" t="str">
        <f>CONCATENATE(MONTH(CompilDonnées[[#This Row],[PlantationDate]])," ", YEAR(CompilDonnées[[#This Row],[PlantationDate]]))</f>
        <v>3 2025</v>
      </c>
      <c r="M2025" t="str">
        <f>CONCATENATE(MONTH(CompilDonnées[[#This Row],[HarvestingDate]])," ", YEAR(CompilDonnées[[#This Row],[HarvestingDate]]))</f>
        <v>5 2025</v>
      </c>
      <c r="N2025">
        <f>_xlfn.NUMBERVALUE(CompilDonnées[[#This Row],[FarmID]]&amp;CompilDonnées[[#This Row],[ModuleNumber]]&amp;CompilDonnées[[#This Row],[PlantationDate]])</f>
        <v>45545741</v>
      </c>
      <c r="O2025" t="str">
        <f>CompilDonnées[[#This Row],[FarmID]]&amp;CompilDonnées[[#This Row],[ModuleNumber]]</f>
        <v>455</v>
      </c>
      <c r="P2025" t="str">
        <f>CompilDonnées[[#This Row],[Ref_Module]]&amp;CompilDonnées[[#This Row],[HarvestingDate]]</f>
        <v>45545792</v>
      </c>
    </row>
    <row r="2026" spans="1:16">
      <c r="A2026" s="5">
        <v>45742</v>
      </c>
      <c r="B2026">
        <v>27</v>
      </c>
      <c r="C2026" t="s">
        <v>88</v>
      </c>
      <c r="D2026">
        <v>5</v>
      </c>
      <c r="E2026">
        <v>100</v>
      </c>
      <c r="F2026" t="s">
        <v>1</v>
      </c>
      <c r="G2026" s="6">
        <v>45782</v>
      </c>
      <c r="H2026">
        <v>40</v>
      </c>
      <c r="I2026">
        <f>ROUND(CompilDonnées[[#This Row],[CultureDuration_days]]/7,0)</f>
        <v>6</v>
      </c>
      <c r="J2026">
        <v>1618</v>
      </c>
      <c r="K2026" t="str">
        <f>_xlfn.CONCAT(WEEKNUM(CompilDonnées[[#This Row],[PlantationDate]]), " ", YEAR(CompilDonnées[[#This Row],[PlantationDate]]))</f>
        <v>13 2025</v>
      </c>
      <c r="L2026" t="str">
        <f>CONCATENATE(MONTH(CompilDonnées[[#This Row],[PlantationDate]])," ", YEAR(CompilDonnées[[#This Row],[PlantationDate]]))</f>
        <v>3 2025</v>
      </c>
      <c r="M2026" t="str">
        <f>CONCATENATE(MONTH(CompilDonnées[[#This Row],[HarvestingDate]])," ", YEAR(CompilDonnées[[#This Row],[HarvestingDate]]))</f>
        <v>5 2025</v>
      </c>
      <c r="N2026">
        <f>_xlfn.NUMBERVALUE(CompilDonnées[[#This Row],[FarmID]]&amp;CompilDonnées[[#This Row],[ModuleNumber]]&amp;CompilDonnées[[#This Row],[PlantationDate]])</f>
        <v>27545742</v>
      </c>
      <c r="O2026" t="str">
        <f>CompilDonnées[[#This Row],[FarmID]]&amp;CompilDonnées[[#This Row],[ModuleNumber]]</f>
        <v>275</v>
      </c>
      <c r="P2026" t="str">
        <f>CompilDonnées[[#This Row],[Ref_Module]]&amp;CompilDonnées[[#This Row],[HarvestingDate]]</f>
        <v>27545782</v>
      </c>
    </row>
    <row r="2027" spans="1:16">
      <c r="A2027" s="5">
        <v>45742</v>
      </c>
      <c r="B2027">
        <v>29</v>
      </c>
      <c r="C2027" t="s">
        <v>2</v>
      </c>
      <c r="D2027">
        <v>3</v>
      </c>
      <c r="E2027">
        <v>100</v>
      </c>
      <c r="F2027" t="s">
        <v>1</v>
      </c>
      <c r="G2027" s="6">
        <v>45782</v>
      </c>
      <c r="H2027">
        <v>40</v>
      </c>
      <c r="I2027">
        <f>ROUND(CompilDonnées[[#This Row],[CultureDuration_days]]/7,0)</f>
        <v>6</v>
      </c>
      <c r="J2027">
        <v>2521</v>
      </c>
      <c r="K2027" t="str">
        <f>_xlfn.CONCAT(WEEKNUM(CompilDonnées[[#This Row],[PlantationDate]]), " ", YEAR(CompilDonnées[[#This Row],[PlantationDate]]))</f>
        <v>13 2025</v>
      </c>
      <c r="L2027" t="str">
        <f>CONCATENATE(MONTH(CompilDonnées[[#This Row],[PlantationDate]])," ", YEAR(CompilDonnées[[#This Row],[PlantationDate]]))</f>
        <v>3 2025</v>
      </c>
      <c r="M2027" t="str">
        <f>CONCATENATE(MONTH(CompilDonnées[[#This Row],[HarvestingDate]])," ", YEAR(CompilDonnées[[#This Row],[HarvestingDate]]))</f>
        <v>5 2025</v>
      </c>
      <c r="N2027">
        <f>_xlfn.NUMBERVALUE(CompilDonnées[[#This Row],[FarmID]]&amp;CompilDonnées[[#This Row],[ModuleNumber]]&amp;CompilDonnées[[#This Row],[PlantationDate]])</f>
        <v>29345742</v>
      </c>
      <c r="O2027" t="str">
        <f>CompilDonnées[[#This Row],[FarmID]]&amp;CompilDonnées[[#This Row],[ModuleNumber]]</f>
        <v>293</v>
      </c>
      <c r="P2027" t="str">
        <f>CompilDonnées[[#This Row],[Ref_Module]]&amp;CompilDonnées[[#This Row],[HarvestingDate]]</f>
        <v>29345782</v>
      </c>
    </row>
    <row r="2028" spans="1:16">
      <c r="A2028" s="5">
        <v>45742</v>
      </c>
      <c r="B2028">
        <v>30</v>
      </c>
      <c r="C2028" t="s">
        <v>4</v>
      </c>
      <c r="D2028">
        <v>6</v>
      </c>
      <c r="E2028">
        <v>100</v>
      </c>
      <c r="F2028" t="s">
        <v>1</v>
      </c>
      <c r="G2028" s="6">
        <v>45782</v>
      </c>
      <c r="H2028">
        <v>40</v>
      </c>
      <c r="I2028">
        <f>ROUND(CompilDonnées[[#This Row],[CultureDuration_days]]/7,0)</f>
        <v>6</v>
      </c>
      <c r="J2028">
        <v>3385</v>
      </c>
      <c r="K2028" t="str">
        <f>_xlfn.CONCAT(WEEKNUM(CompilDonnées[[#This Row],[PlantationDate]]), " ", YEAR(CompilDonnées[[#This Row],[PlantationDate]]))</f>
        <v>13 2025</v>
      </c>
      <c r="L2028" t="str">
        <f>CONCATENATE(MONTH(CompilDonnées[[#This Row],[PlantationDate]])," ", YEAR(CompilDonnées[[#This Row],[PlantationDate]]))</f>
        <v>3 2025</v>
      </c>
      <c r="M2028" t="str">
        <f>CONCATENATE(MONTH(CompilDonnées[[#This Row],[HarvestingDate]])," ", YEAR(CompilDonnées[[#This Row],[HarvestingDate]]))</f>
        <v>5 2025</v>
      </c>
      <c r="N2028">
        <f>_xlfn.NUMBERVALUE(CompilDonnées[[#This Row],[FarmID]]&amp;CompilDonnées[[#This Row],[ModuleNumber]]&amp;CompilDonnées[[#This Row],[PlantationDate]])</f>
        <v>30645742</v>
      </c>
      <c r="O2028" t="str">
        <f>CompilDonnées[[#This Row],[FarmID]]&amp;CompilDonnées[[#This Row],[ModuleNumber]]</f>
        <v>306</v>
      </c>
      <c r="P2028" t="str">
        <f>CompilDonnées[[#This Row],[Ref_Module]]&amp;CompilDonnées[[#This Row],[HarvestingDate]]</f>
        <v>30645782</v>
      </c>
    </row>
    <row r="2029" spans="1:16">
      <c r="A2029" s="5">
        <v>45742</v>
      </c>
      <c r="B2029">
        <v>103</v>
      </c>
      <c r="C2029" t="s">
        <v>86</v>
      </c>
      <c r="D2029">
        <v>5</v>
      </c>
      <c r="E2029">
        <v>100</v>
      </c>
      <c r="F2029" t="s">
        <v>1</v>
      </c>
      <c r="G2029" s="6">
        <v>45790</v>
      </c>
      <c r="H2029">
        <v>48</v>
      </c>
      <c r="I2029">
        <f>ROUND(CompilDonnées[[#This Row],[CultureDuration_days]]/7,0)</f>
        <v>7</v>
      </c>
      <c r="J2029">
        <v>2450</v>
      </c>
      <c r="K2029" t="str">
        <f>_xlfn.CONCAT(WEEKNUM(CompilDonnées[[#This Row],[PlantationDate]]), " ", YEAR(CompilDonnées[[#This Row],[PlantationDate]]))</f>
        <v>13 2025</v>
      </c>
      <c r="L2029" t="str">
        <f>CONCATENATE(MONTH(CompilDonnées[[#This Row],[PlantationDate]])," ", YEAR(CompilDonnées[[#This Row],[PlantationDate]]))</f>
        <v>3 2025</v>
      </c>
      <c r="M2029" t="str">
        <f>CONCATENATE(MONTH(CompilDonnées[[#This Row],[HarvestingDate]])," ", YEAR(CompilDonnées[[#This Row],[HarvestingDate]]))</f>
        <v>5 2025</v>
      </c>
      <c r="N2029">
        <f>_xlfn.NUMBERVALUE(CompilDonnées[[#This Row],[FarmID]]&amp;CompilDonnées[[#This Row],[ModuleNumber]]&amp;CompilDonnées[[#This Row],[PlantationDate]])</f>
        <v>103545742</v>
      </c>
      <c r="O2029" t="str">
        <f>CompilDonnées[[#This Row],[FarmID]]&amp;CompilDonnées[[#This Row],[ModuleNumber]]</f>
        <v>1035</v>
      </c>
      <c r="P2029" t="str">
        <f>CompilDonnées[[#This Row],[Ref_Module]]&amp;CompilDonnées[[#This Row],[HarvestingDate]]</f>
        <v>103545790</v>
      </c>
    </row>
    <row r="2030" spans="1:16">
      <c r="A2030" s="5">
        <v>45742</v>
      </c>
      <c r="B2030">
        <v>31</v>
      </c>
      <c r="C2030" t="s">
        <v>62</v>
      </c>
      <c r="D2030">
        <v>5</v>
      </c>
      <c r="E2030">
        <v>100</v>
      </c>
      <c r="F2030" t="s">
        <v>1</v>
      </c>
      <c r="G2030" s="6">
        <v>45785</v>
      </c>
      <c r="H2030">
        <v>43</v>
      </c>
      <c r="I2030">
        <f>ROUND(CompilDonnées[[#This Row],[CultureDuration_days]]/7,0)</f>
        <v>6</v>
      </c>
      <c r="J2030">
        <v>2533</v>
      </c>
      <c r="K2030" t="str">
        <f>_xlfn.CONCAT(WEEKNUM(CompilDonnées[[#This Row],[PlantationDate]]), " ", YEAR(CompilDonnées[[#This Row],[PlantationDate]]))</f>
        <v>13 2025</v>
      </c>
      <c r="L2030" t="str">
        <f>CONCATENATE(MONTH(CompilDonnées[[#This Row],[PlantationDate]])," ", YEAR(CompilDonnées[[#This Row],[PlantationDate]]))</f>
        <v>3 2025</v>
      </c>
      <c r="M2030" t="str">
        <f>CONCATENATE(MONTH(CompilDonnées[[#This Row],[HarvestingDate]])," ", YEAR(CompilDonnées[[#This Row],[HarvestingDate]]))</f>
        <v>5 2025</v>
      </c>
      <c r="N2030">
        <f>_xlfn.NUMBERVALUE(CompilDonnées[[#This Row],[FarmID]]&amp;CompilDonnées[[#This Row],[ModuleNumber]]&amp;CompilDonnées[[#This Row],[PlantationDate]])</f>
        <v>31545742</v>
      </c>
      <c r="O2030" t="str">
        <f>CompilDonnées[[#This Row],[FarmID]]&amp;CompilDonnées[[#This Row],[ModuleNumber]]</f>
        <v>315</v>
      </c>
      <c r="P2030" t="str">
        <f>CompilDonnées[[#This Row],[Ref_Module]]&amp;CompilDonnées[[#This Row],[HarvestingDate]]</f>
        <v>31545785</v>
      </c>
    </row>
    <row r="2031" spans="1:16">
      <c r="A2031" s="5">
        <v>45742</v>
      </c>
      <c r="B2031">
        <v>32</v>
      </c>
      <c r="C2031" t="s">
        <v>25</v>
      </c>
      <c r="D2031">
        <v>6</v>
      </c>
      <c r="E2031">
        <v>100</v>
      </c>
      <c r="F2031" t="s">
        <v>1</v>
      </c>
      <c r="G2031" s="6">
        <v>45782</v>
      </c>
      <c r="H2031">
        <v>40</v>
      </c>
      <c r="I2031">
        <f>ROUND(CompilDonnées[[#This Row],[CultureDuration_days]]/7,0)</f>
        <v>6</v>
      </c>
      <c r="J2031">
        <v>3659</v>
      </c>
      <c r="K2031" t="str">
        <f>_xlfn.CONCAT(WEEKNUM(CompilDonnées[[#This Row],[PlantationDate]]), " ", YEAR(CompilDonnées[[#This Row],[PlantationDate]]))</f>
        <v>13 2025</v>
      </c>
      <c r="L2031" t="str">
        <f>CONCATENATE(MONTH(CompilDonnées[[#This Row],[PlantationDate]])," ", YEAR(CompilDonnées[[#This Row],[PlantationDate]]))</f>
        <v>3 2025</v>
      </c>
      <c r="M2031" t="str">
        <f>CONCATENATE(MONTH(CompilDonnées[[#This Row],[HarvestingDate]])," ", YEAR(CompilDonnées[[#This Row],[HarvestingDate]]))</f>
        <v>5 2025</v>
      </c>
      <c r="N2031">
        <f>_xlfn.NUMBERVALUE(CompilDonnées[[#This Row],[FarmID]]&amp;CompilDonnées[[#This Row],[ModuleNumber]]&amp;CompilDonnées[[#This Row],[PlantationDate]])</f>
        <v>32645742</v>
      </c>
      <c r="O2031" t="str">
        <f>CompilDonnées[[#This Row],[FarmID]]&amp;CompilDonnées[[#This Row],[ModuleNumber]]</f>
        <v>326</v>
      </c>
      <c r="P2031" t="str">
        <f>CompilDonnées[[#This Row],[Ref_Module]]&amp;CompilDonnées[[#This Row],[HarvestingDate]]</f>
        <v>32645782</v>
      </c>
    </row>
    <row r="2032" spans="1:16">
      <c r="A2032" s="5">
        <v>45742</v>
      </c>
      <c r="B2032">
        <v>33</v>
      </c>
      <c r="C2032" t="s">
        <v>104</v>
      </c>
      <c r="D2032">
        <v>6</v>
      </c>
      <c r="E2032">
        <v>100</v>
      </c>
      <c r="F2032" t="s">
        <v>1</v>
      </c>
      <c r="G2032" s="6">
        <v>45777</v>
      </c>
      <c r="H2032">
        <v>35</v>
      </c>
      <c r="I2032">
        <f>ROUND(CompilDonnées[[#This Row],[CultureDuration_days]]/7,0)</f>
        <v>5</v>
      </c>
      <c r="J2032">
        <v>1351</v>
      </c>
      <c r="K2032" t="str">
        <f>_xlfn.CONCAT(WEEKNUM(CompilDonnées[[#This Row],[PlantationDate]]), " ", YEAR(CompilDonnées[[#This Row],[PlantationDate]]))</f>
        <v>13 2025</v>
      </c>
      <c r="L2032" t="str">
        <f>CONCATENATE(MONTH(CompilDonnées[[#This Row],[PlantationDate]])," ", YEAR(CompilDonnées[[#This Row],[PlantationDate]]))</f>
        <v>3 2025</v>
      </c>
      <c r="M2032" t="str">
        <f>CONCATENATE(MONTH(CompilDonnées[[#This Row],[HarvestingDate]])," ", YEAR(CompilDonnées[[#This Row],[HarvestingDate]]))</f>
        <v>4 2025</v>
      </c>
      <c r="N2032">
        <f>_xlfn.NUMBERVALUE(CompilDonnées[[#This Row],[FarmID]]&amp;CompilDonnées[[#This Row],[ModuleNumber]]&amp;CompilDonnées[[#This Row],[PlantationDate]])</f>
        <v>33645742</v>
      </c>
      <c r="O2032" t="str">
        <f>CompilDonnées[[#This Row],[FarmID]]&amp;CompilDonnées[[#This Row],[ModuleNumber]]</f>
        <v>336</v>
      </c>
      <c r="P2032" t="str">
        <f>CompilDonnées[[#This Row],[Ref_Module]]&amp;CompilDonnées[[#This Row],[HarvestingDate]]</f>
        <v>33645777</v>
      </c>
    </row>
    <row r="2033" spans="1:16">
      <c r="A2033" s="5">
        <v>45742</v>
      </c>
      <c r="B2033">
        <v>2</v>
      </c>
      <c r="C2033" t="s">
        <v>119</v>
      </c>
      <c r="D2033">
        <v>6</v>
      </c>
      <c r="E2033">
        <v>100</v>
      </c>
      <c r="F2033" t="s">
        <v>1</v>
      </c>
      <c r="G2033" s="6">
        <v>45782</v>
      </c>
      <c r="H2033">
        <v>40</v>
      </c>
      <c r="I2033">
        <f>ROUND(CompilDonnées[[#This Row],[CultureDuration_days]]/7,0)</f>
        <v>6</v>
      </c>
      <c r="J2033">
        <v>1764</v>
      </c>
      <c r="K2033" t="str">
        <f>_xlfn.CONCAT(WEEKNUM(CompilDonnées[[#This Row],[PlantationDate]]), " ", YEAR(CompilDonnées[[#This Row],[PlantationDate]]))</f>
        <v>13 2025</v>
      </c>
      <c r="L2033" t="str">
        <f>CONCATENATE(MONTH(CompilDonnées[[#This Row],[PlantationDate]])," ", YEAR(CompilDonnées[[#This Row],[PlantationDate]]))</f>
        <v>3 2025</v>
      </c>
      <c r="M2033" t="str">
        <f>CONCATENATE(MONTH(CompilDonnées[[#This Row],[HarvestingDate]])," ", YEAR(CompilDonnées[[#This Row],[HarvestingDate]]))</f>
        <v>5 2025</v>
      </c>
      <c r="N2033">
        <f>_xlfn.NUMBERVALUE(CompilDonnées[[#This Row],[FarmID]]&amp;CompilDonnées[[#This Row],[ModuleNumber]]&amp;CompilDonnées[[#This Row],[PlantationDate]])</f>
        <v>2645742</v>
      </c>
      <c r="O2033" t="str">
        <f>CompilDonnées[[#This Row],[FarmID]]&amp;CompilDonnées[[#This Row],[ModuleNumber]]</f>
        <v>26</v>
      </c>
      <c r="P2033" t="str">
        <f>CompilDonnées[[#This Row],[Ref_Module]]&amp;CompilDonnées[[#This Row],[HarvestingDate]]</f>
        <v>2645782</v>
      </c>
    </row>
    <row r="2034" spans="1:16">
      <c r="A2034" s="5">
        <v>45742</v>
      </c>
      <c r="B2034">
        <v>3</v>
      </c>
      <c r="C2034" t="s">
        <v>116</v>
      </c>
      <c r="D2034">
        <v>3</v>
      </c>
      <c r="E2034">
        <v>100</v>
      </c>
      <c r="F2034" t="s">
        <v>1</v>
      </c>
      <c r="G2034" s="6">
        <v>45782</v>
      </c>
      <c r="H2034">
        <v>40</v>
      </c>
      <c r="I2034">
        <f>ROUND(CompilDonnées[[#This Row],[CultureDuration_days]]/7,0)</f>
        <v>6</v>
      </c>
      <c r="J2034">
        <v>1829</v>
      </c>
      <c r="K2034" t="str">
        <f>_xlfn.CONCAT(WEEKNUM(CompilDonnées[[#This Row],[PlantationDate]]), " ", YEAR(CompilDonnées[[#This Row],[PlantationDate]]))</f>
        <v>13 2025</v>
      </c>
      <c r="L2034" t="str">
        <f>CONCATENATE(MONTH(CompilDonnées[[#This Row],[PlantationDate]])," ", YEAR(CompilDonnées[[#This Row],[PlantationDate]]))</f>
        <v>3 2025</v>
      </c>
      <c r="M2034" t="str">
        <f>CONCATENATE(MONTH(CompilDonnées[[#This Row],[HarvestingDate]])," ", YEAR(CompilDonnées[[#This Row],[HarvestingDate]]))</f>
        <v>5 2025</v>
      </c>
      <c r="N2034">
        <f>_xlfn.NUMBERVALUE(CompilDonnées[[#This Row],[FarmID]]&amp;CompilDonnées[[#This Row],[ModuleNumber]]&amp;CompilDonnées[[#This Row],[PlantationDate]])</f>
        <v>3345742</v>
      </c>
      <c r="O2034" t="str">
        <f>CompilDonnées[[#This Row],[FarmID]]&amp;CompilDonnées[[#This Row],[ModuleNumber]]</f>
        <v>33</v>
      </c>
      <c r="P2034" t="str">
        <f>CompilDonnées[[#This Row],[Ref_Module]]&amp;CompilDonnées[[#This Row],[HarvestingDate]]</f>
        <v>3345782</v>
      </c>
    </row>
    <row r="2035" spans="1:16">
      <c r="A2035" s="5">
        <v>45742</v>
      </c>
      <c r="B2035">
        <v>4</v>
      </c>
      <c r="C2035" t="s">
        <v>74</v>
      </c>
      <c r="D2035">
        <v>4</v>
      </c>
      <c r="E2035">
        <v>100</v>
      </c>
      <c r="F2035" t="s">
        <v>1</v>
      </c>
      <c r="G2035" s="6">
        <v>45782</v>
      </c>
      <c r="H2035">
        <v>40</v>
      </c>
      <c r="I2035">
        <f>ROUND(CompilDonnées[[#This Row],[CultureDuration_days]]/7,0)</f>
        <v>6</v>
      </c>
      <c r="J2035">
        <v>2118</v>
      </c>
      <c r="K2035" t="str">
        <f>_xlfn.CONCAT(WEEKNUM(CompilDonnées[[#This Row],[PlantationDate]]), " ", YEAR(CompilDonnées[[#This Row],[PlantationDate]]))</f>
        <v>13 2025</v>
      </c>
      <c r="L2035" t="str">
        <f>CONCATENATE(MONTH(CompilDonnées[[#This Row],[PlantationDate]])," ", YEAR(CompilDonnées[[#This Row],[PlantationDate]]))</f>
        <v>3 2025</v>
      </c>
      <c r="M2035" t="str">
        <f>CONCATENATE(MONTH(CompilDonnées[[#This Row],[HarvestingDate]])," ", YEAR(CompilDonnées[[#This Row],[HarvestingDate]]))</f>
        <v>5 2025</v>
      </c>
      <c r="N2035">
        <f>_xlfn.NUMBERVALUE(CompilDonnées[[#This Row],[FarmID]]&amp;CompilDonnées[[#This Row],[ModuleNumber]]&amp;CompilDonnées[[#This Row],[PlantationDate]])</f>
        <v>4445742</v>
      </c>
      <c r="O2035" t="str">
        <f>CompilDonnées[[#This Row],[FarmID]]&amp;CompilDonnées[[#This Row],[ModuleNumber]]</f>
        <v>44</v>
      </c>
      <c r="P2035" t="str">
        <f>CompilDonnées[[#This Row],[Ref_Module]]&amp;CompilDonnées[[#This Row],[HarvestingDate]]</f>
        <v>4445782</v>
      </c>
    </row>
    <row r="2036" spans="1:16">
      <c r="A2036" s="5">
        <v>45742</v>
      </c>
      <c r="B2036">
        <v>5</v>
      </c>
      <c r="C2036" t="s">
        <v>32</v>
      </c>
      <c r="D2036">
        <v>6</v>
      </c>
      <c r="E2036">
        <v>100</v>
      </c>
      <c r="F2036" t="s">
        <v>1</v>
      </c>
      <c r="G2036" s="6">
        <v>45793</v>
      </c>
      <c r="H2036">
        <v>51</v>
      </c>
      <c r="I2036">
        <f>ROUND(CompilDonnées[[#This Row],[CultureDuration_days]]/7,0)</f>
        <v>7</v>
      </c>
      <c r="J2036">
        <v>2817</v>
      </c>
      <c r="K2036" t="str">
        <f>_xlfn.CONCAT(WEEKNUM(CompilDonnées[[#This Row],[PlantationDate]]), " ", YEAR(CompilDonnées[[#This Row],[PlantationDate]]))</f>
        <v>13 2025</v>
      </c>
      <c r="L2036" t="str">
        <f>CONCATENATE(MONTH(CompilDonnées[[#This Row],[PlantationDate]])," ", YEAR(CompilDonnées[[#This Row],[PlantationDate]]))</f>
        <v>3 2025</v>
      </c>
      <c r="M2036" t="str">
        <f>CONCATENATE(MONTH(CompilDonnées[[#This Row],[HarvestingDate]])," ", YEAR(CompilDonnées[[#This Row],[HarvestingDate]]))</f>
        <v>5 2025</v>
      </c>
      <c r="N2036">
        <f>_xlfn.NUMBERVALUE(CompilDonnées[[#This Row],[FarmID]]&amp;CompilDonnées[[#This Row],[ModuleNumber]]&amp;CompilDonnées[[#This Row],[PlantationDate]])</f>
        <v>5645742</v>
      </c>
      <c r="O2036" t="str">
        <f>CompilDonnées[[#This Row],[FarmID]]&amp;CompilDonnées[[#This Row],[ModuleNumber]]</f>
        <v>56</v>
      </c>
      <c r="P2036" t="str">
        <f>CompilDonnées[[#This Row],[Ref_Module]]&amp;CompilDonnées[[#This Row],[HarvestingDate]]</f>
        <v>5645793</v>
      </c>
    </row>
    <row r="2037" spans="1:16">
      <c r="A2037" s="5">
        <v>45742</v>
      </c>
      <c r="B2037">
        <v>6</v>
      </c>
      <c r="C2037" t="s">
        <v>24</v>
      </c>
      <c r="D2037">
        <v>6</v>
      </c>
      <c r="E2037">
        <v>100</v>
      </c>
      <c r="F2037" t="s">
        <v>1</v>
      </c>
      <c r="G2037" s="6">
        <v>45793</v>
      </c>
      <c r="H2037">
        <v>51</v>
      </c>
      <c r="I2037">
        <f>ROUND(CompilDonnées[[#This Row],[CultureDuration_days]]/7,0)</f>
        <v>7</v>
      </c>
      <c r="J2037">
        <v>2565</v>
      </c>
      <c r="K2037" t="str">
        <f>_xlfn.CONCAT(WEEKNUM(CompilDonnées[[#This Row],[PlantationDate]]), " ", YEAR(CompilDonnées[[#This Row],[PlantationDate]]))</f>
        <v>13 2025</v>
      </c>
      <c r="L2037" t="str">
        <f>CONCATENATE(MONTH(CompilDonnées[[#This Row],[PlantationDate]])," ", YEAR(CompilDonnées[[#This Row],[PlantationDate]]))</f>
        <v>3 2025</v>
      </c>
      <c r="M2037" t="str">
        <f>CONCATENATE(MONTH(CompilDonnées[[#This Row],[HarvestingDate]])," ", YEAR(CompilDonnées[[#This Row],[HarvestingDate]]))</f>
        <v>5 2025</v>
      </c>
      <c r="N2037">
        <f>_xlfn.NUMBERVALUE(CompilDonnées[[#This Row],[FarmID]]&amp;CompilDonnées[[#This Row],[ModuleNumber]]&amp;CompilDonnées[[#This Row],[PlantationDate]])</f>
        <v>6645742</v>
      </c>
      <c r="O2037" t="str">
        <f>CompilDonnées[[#This Row],[FarmID]]&amp;CompilDonnées[[#This Row],[ModuleNumber]]</f>
        <v>66</v>
      </c>
      <c r="P2037" t="str">
        <f>CompilDonnées[[#This Row],[Ref_Module]]&amp;CompilDonnées[[#This Row],[HarvestingDate]]</f>
        <v>6645793</v>
      </c>
    </row>
    <row r="2038" spans="1:16">
      <c r="A2038" s="5">
        <v>45742</v>
      </c>
      <c r="B2038">
        <v>8</v>
      </c>
      <c r="C2038" t="s">
        <v>57</v>
      </c>
      <c r="D2038">
        <v>6</v>
      </c>
      <c r="E2038">
        <v>100</v>
      </c>
      <c r="F2038" t="s">
        <v>1</v>
      </c>
      <c r="G2038" s="6">
        <v>45782</v>
      </c>
      <c r="H2038">
        <v>40</v>
      </c>
      <c r="I2038">
        <f>ROUND(CompilDonnées[[#This Row],[CultureDuration_days]]/7,0)</f>
        <v>6</v>
      </c>
      <c r="J2038">
        <v>1381</v>
      </c>
      <c r="K2038" t="str">
        <f>_xlfn.CONCAT(WEEKNUM(CompilDonnées[[#This Row],[PlantationDate]]), " ", YEAR(CompilDonnées[[#This Row],[PlantationDate]]))</f>
        <v>13 2025</v>
      </c>
      <c r="L2038" t="str">
        <f>CONCATENATE(MONTH(CompilDonnées[[#This Row],[PlantationDate]])," ", YEAR(CompilDonnées[[#This Row],[PlantationDate]]))</f>
        <v>3 2025</v>
      </c>
      <c r="M2038" t="str">
        <f>CONCATENATE(MONTH(CompilDonnées[[#This Row],[HarvestingDate]])," ", YEAR(CompilDonnées[[#This Row],[HarvestingDate]]))</f>
        <v>5 2025</v>
      </c>
      <c r="N2038">
        <f>_xlfn.NUMBERVALUE(CompilDonnées[[#This Row],[FarmID]]&amp;CompilDonnées[[#This Row],[ModuleNumber]]&amp;CompilDonnées[[#This Row],[PlantationDate]])</f>
        <v>8645742</v>
      </c>
      <c r="O2038" t="str">
        <f>CompilDonnées[[#This Row],[FarmID]]&amp;CompilDonnées[[#This Row],[ModuleNumber]]</f>
        <v>86</v>
      </c>
      <c r="P2038" t="str">
        <f>CompilDonnées[[#This Row],[Ref_Module]]&amp;CompilDonnées[[#This Row],[HarvestingDate]]</f>
        <v>8645782</v>
      </c>
    </row>
    <row r="2039" spans="1:16">
      <c r="A2039" s="5">
        <v>45742</v>
      </c>
      <c r="B2039">
        <v>10</v>
      </c>
      <c r="C2039" t="s">
        <v>109</v>
      </c>
      <c r="D2039">
        <v>1</v>
      </c>
      <c r="E2039">
        <v>100</v>
      </c>
      <c r="F2039" t="s">
        <v>1</v>
      </c>
      <c r="G2039" s="6">
        <v>45782</v>
      </c>
      <c r="H2039">
        <v>40</v>
      </c>
      <c r="I2039">
        <f>ROUND(CompilDonnées[[#This Row],[CultureDuration_days]]/7,0)</f>
        <v>6</v>
      </c>
      <c r="J2039">
        <v>2477</v>
      </c>
      <c r="K2039" t="str">
        <f>_xlfn.CONCAT(WEEKNUM(CompilDonnées[[#This Row],[PlantationDate]]), " ", YEAR(CompilDonnées[[#This Row],[PlantationDate]]))</f>
        <v>13 2025</v>
      </c>
      <c r="L2039" t="str">
        <f>CONCATENATE(MONTH(CompilDonnées[[#This Row],[PlantationDate]])," ", YEAR(CompilDonnées[[#This Row],[PlantationDate]]))</f>
        <v>3 2025</v>
      </c>
      <c r="M2039" t="str">
        <f>CONCATENATE(MONTH(CompilDonnées[[#This Row],[HarvestingDate]])," ", YEAR(CompilDonnées[[#This Row],[HarvestingDate]]))</f>
        <v>5 2025</v>
      </c>
      <c r="N2039">
        <f>_xlfn.NUMBERVALUE(CompilDonnées[[#This Row],[FarmID]]&amp;CompilDonnées[[#This Row],[ModuleNumber]]&amp;CompilDonnées[[#This Row],[PlantationDate]])</f>
        <v>10145742</v>
      </c>
      <c r="O2039" t="str">
        <f>CompilDonnées[[#This Row],[FarmID]]&amp;CompilDonnées[[#This Row],[ModuleNumber]]</f>
        <v>101</v>
      </c>
      <c r="P2039" t="str">
        <f>CompilDonnées[[#This Row],[Ref_Module]]&amp;CompilDonnées[[#This Row],[HarvestingDate]]</f>
        <v>10145782</v>
      </c>
    </row>
    <row r="2040" spans="1:16">
      <c r="A2040" s="5">
        <v>45742</v>
      </c>
      <c r="B2040">
        <v>11</v>
      </c>
      <c r="C2040" t="s">
        <v>106</v>
      </c>
      <c r="D2040">
        <v>5</v>
      </c>
      <c r="E2040">
        <v>100</v>
      </c>
      <c r="F2040" t="s">
        <v>1</v>
      </c>
      <c r="G2040" s="6">
        <v>45782</v>
      </c>
      <c r="H2040">
        <v>40</v>
      </c>
      <c r="I2040">
        <f>ROUND(CompilDonnées[[#This Row],[CultureDuration_days]]/7,0)</f>
        <v>6</v>
      </c>
      <c r="J2040">
        <v>1442</v>
      </c>
      <c r="K2040" t="str">
        <f>_xlfn.CONCAT(WEEKNUM(CompilDonnées[[#This Row],[PlantationDate]]), " ", YEAR(CompilDonnées[[#This Row],[PlantationDate]]))</f>
        <v>13 2025</v>
      </c>
      <c r="L2040" t="str">
        <f>CONCATENATE(MONTH(CompilDonnées[[#This Row],[PlantationDate]])," ", YEAR(CompilDonnées[[#This Row],[PlantationDate]]))</f>
        <v>3 2025</v>
      </c>
      <c r="M2040" t="str">
        <f>CONCATENATE(MONTH(CompilDonnées[[#This Row],[HarvestingDate]])," ", YEAR(CompilDonnées[[#This Row],[HarvestingDate]]))</f>
        <v>5 2025</v>
      </c>
      <c r="N2040">
        <f>_xlfn.NUMBERVALUE(CompilDonnées[[#This Row],[FarmID]]&amp;CompilDonnées[[#This Row],[ModuleNumber]]&amp;CompilDonnées[[#This Row],[PlantationDate]])</f>
        <v>11545742</v>
      </c>
      <c r="O2040" t="str">
        <f>CompilDonnées[[#This Row],[FarmID]]&amp;CompilDonnées[[#This Row],[ModuleNumber]]</f>
        <v>115</v>
      </c>
      <c r="P2040" t="str">
        <f>CompilDonnées[[#This Row],[Ref_Module]]&amp;CompilDonnées[[#This Row],[HarvestingDate]]</f>
        <v>11545782</v>
      </c>
    </row>
    <row r="2041" spans="1:16">
      <c r="A2041" s="5">
        <v>45742</v>
      </c>
      <c r="B2041">
        <v>13</v>
      </c>
      <c r="C2041" t="s">
        <v>114</v>
      </c>
      <c r="D2041">
        <v>4</v>
      </c>
      <c r="E2041">
        <v>100</v>
      </c>
      <c r="F2041" t="s">
        <v>1</v>
      </c>
      <c r="G2041" s="6">
        <v>45782</v>
      </c>
      <c r="H2041">
        <v>40</v>
      </c>
      <c r="I2041">
        <f>ROUND(CompilDonnées[[#This Row],[CultureDuration_days]]/7,0)</f>
        <v>6</v>
      </c>
      <c r="J2041">
        <v>2638</v>
      </c>
      <c r="K2041" t="str">
        <f>_xlfn.CONCAT(WEEKNUM(CompilDonnées[[#This Row],[PlantationDate]]), " ", YEAR(CompilDonnées[[#This Row],[PlantationDate]]))</f>
        <v>13 2025</v>
      </c>
      <c r="L2041" t="str">
        <f>CONCATENATE(MONTH(CompilDonnées[[#This Row],[PlantationDate]])," ", YEAR(CompilDonnées[[#This Row],[PlantationDate]]))</f>
        <v>3 2025</v>
      </c>
      <c r="M2041" t="str">
        <f>CONCATENATE(MONTH(CompilDonnées[[#This Row],[HarvestingDate]])," ", YEAR(CompilDonnées[[#This Row],[HarvestingDate]]))</f>
        <v>5 2025</v>
      </c>
      <c r="N2041">
        <f>_xlfn.NUMBERVALUE(CompilDonnées[[#This Row],[FarmID]]&amp;CompilDonnées[[#This Row],[ModuleNumber]]&amp;CompilDonnées[[#This Row],[PlantationDate]])</f>
        <v>13445742</v>
      </c>
      <c r="O2041" t="str">
        <f>CompilDonnées[[#This Row],[FarmID]]&amp;CompilDonnées[[#This Row],[ModuleNumber]]</f>
        <v>134</v>
      </c>
      <c r="P2041" t="str">
        <f>CompilDonnées[[#This Row],[Ref_Module]]&amp;CompilDonnées[[#This Row],[HarvestingDate]]</f>
        <v>13445782</v>
      </c>
    </row>
    <row r="2042" spans="1:16">
      <c r="A2042" s="5">
        <v>45742</v>
      </c>
      <c r="B2042">
        <v>15</v>
      </c>
      <c r="C2042" t="s">
        <v>5</v>
      </c>
      <c r="D2042">
        <v>3</v>
      </c>
      <c r="E2042">
        <v>100</v>
      </c>
      <c r="F2042" t="s">
        <v>1</v>
      </c>
      <c r="G2042" s="6">
        <v>45793</v>
      </c>
      <c r="H2042">
        <v>51</v>
      </c>
      <c r="I2042">
        <f>ROUND(CompilDonnées[[#This Row],[CultureDuration_days]]/7,0)</f>
        <v>7</v>
      </c>
      <c r="J2042">
        <v>2586</v>
      </c>
      <c r="K2042" t="str">
        <f>_xlfn.CONCAT(WEEKNUM(CompilDonnées[[#This Row],[PlantationDate]]), " ", YEAR(CompilDonnées[[#This Row],[PlantationDate]]))</f>
        <v>13 2025</v>
      </c>
      <c r="L2042" t="str">
        <f>CONCATENATE(MONTH(CompilDonnées[[#This Row],[PlantationDate]])," ", YEAR(CompilDonnées[[#This Row],[PlantationDate]]))</f>
        <v>3 2025</v>
      </c>
      <c r="M2042" t="str">
        <f>CONCATENATE(MONTH(CompilDonnées[[#This Row],[HarvestingDate]])," ", YEAR(CompilDonnées[[#This Row],[HarvestingDate]]))</f>
        <v>5 2025</v>
      </c>
      <c r="N2042">
        <f>_xlfn.NUMBERVALUE(CompilDonnées[[#This Row],[FarmID]]&amp;CompilDonnées[[#This Row],[ModuleNumber]]&amp;CompilDonnées[[#This Row],[PlantationDate]])</f>
        <v>15345742</v>
      </c>
      <c r="O2042" t="str">
        <f>CompilDonnées[[#This Row],[FarmID]]&amp;CompilDonnées[[#This Row],[ModuleNumber]]</f>
        <v>153</v>
      </c>
      <c r="P2042" t="str">
        <f>CompilDonnées[[#This Row],[Ref_Module]]&amp;CompilDonnées[[#This Row],[HarvestingDate]]</f>
        <v>15345793</v>
      </c>
    </row>
    <row r="2043" spans="1:16">
      <c r="A2043" s="5">
        <v>45742</v>
      </c>
      <c r="B2043">
        <v>16</v>
      </c>
      <c r="C2043" t="s">
        <v>112</v>
      </c>
      <c r="D2043">
        <v>3</v>
      </c>
      <c r="E2043">
        <v>100</v>
      </c>
      <c r="F2043" t="s">
        <v>1</v>
      </c>
      <c r="G2043" s="6">
        <v>45782</v>
      </c>
      <c r="H2043">
        <v>40</v>
      </c>
      <c r="I2043">
        <f>ROUND(CompilDonnées[[#This Row],[CultureDuration_days]]/7,0)</f>
        <v>6</v>
      </c>
      <c r="J2043">
        <v>2376</v>
      </c>
      <c r="K2043" t="str">
        <f>_xlfn.CONCAT(WEEKNUM(CompilDonnées[[#This Row],[PlantationDate]]), " ", YEAR(CompilDonnées[[#This Row],[PlantationDate]]))</f>
        <v>13 2025</v>
      </c>
      <c r="L2043" t="str">
        <f>CONCATENATE(MONTH(CompilDonnées[[#This Row],[PlantationDate]])," ", YEAR(CompilDonnées[[#This Row],[PlantationDate]]))</f>
        <v>3 2025</v>
      </c>
      <c r="M2043" t="str">
        <f>CONCATENATE(MONTH(CompilDonnées[[#This Row],[HarvestingDate]])," ", YEAR(CompilDonnées[[#This Row],[HarvestingDate]]))</f>
        <v>5 2025</v>
      </c>
      <c r="N2043">
        <f>_xlfn.NUMBERVALUE(CompilDonnées[[#This Row],[FarmID]]&amp;CompilDonnées[[#This Row],[ModuleNumber]]&amp;CompilDonnées[[#This Row],[PlantationDate]])</f>
        <v>16345742</v>
      </c>
      <c r="O2043" t="str">
        <f>CompilDonnées[[#This Row],[FarmID]]&amp;CompilDonnées[[#This Row],[ModuleNumber]]</f>
        <v>163</v>
      </c>
      <c r="P2043" t="str">
        <f>CompilDonnées[[#This Row],[Ref_Module]]&amp;CompilDonnées[[#This Row],[HarvestingDate]]</f>
        <v>16345782</v>
      </c>
    </row>
    <row r="2044" spans="1:16">
      <c r="A2044" s="5">
        <v>45742</v>
      </c>
      <c r="B2044">
        <v>17</v>
      </c>
      <c r="C2044" t="s">
        <v>80</v>
      </c>
      <c r="D2044">
        <v>2</v>
      </c>
      <c r="E2044">
        <v>98</v>
      </c>
      <c r="F2044" t="s">
        <v>1</v>
      </c>
      <c r="G2044" s="6">
        <v>45782</v>
      </c>
      <c r="H2044">
        <v>40</v>
      </c>
      <c r="I2044">
        <f>ROUND(CompilDonnées[[#This Row],[CultureDuration_days]]/7,0)</f>
        <v>6</v>
      </c>
      <c r="J2044">
        <v>2868</v>
      </c>
      <c r="K2044" t="str">
        <f>_xlfn.CONCAT(WEEKNUM(CompilDonnées[[#This Row],[PlantationDate]]), " ", YEAR(CompilDonnées[[#This Row],[PlantationDate]]))</f>
        <v>13 2025</v>
      </c>
      <c r="L2044" t="str">
        <f>CONCATENATE(MONTH(CompilDonnées[[#This Row],[PlantationDate]])," ", YEAR(CompilDonnées[[#This Row],[PlantationDate]]))</f>
        <v>3 2025</v>
      </c>
      <c r="M2044" t="str">
        <f>CONCATENATE(MONTH(CompilDonnées[[#This Row],[HarvestingDate]])," ", YEAR(CompilDonnées[[#This Row],[HarvestingDate]]))</f>
        <v>5 2025</v>
      </c>
      <c r="N2044">
        <f>_xlfn.NUMBERVALUE(CompilDonnées[[#This Row],[FarmID]]&amp;CompilDonnées[[#This Row],[ModuleNumber]]&amp;CompilDonnées[[#This Row],[PlantationDate]])</f>
        <v>17245742</v>
      </c>
      <c r="O2044" t="str">
        <f>CompilDonnées[[#This Row],[FarmID]]&amp;CompilDonnées[[#This Row],[ModuleNumber]]</f>
        <v>172</v>
      </c>
      <c r="P2044" t="str">
        <f>CompilDonnées[[#This Row],[Ref_Module]]&amp;CompilDonnées[[#This Row],[HarvestingDate]]</f>
        <v>17245782</v>
      </c>
    </row>
    <row r="2045" spans="1:16">
      <c r="A2045" s="5">
        <v>45742</v>
      </c>
      <c r="B2045">
        <v>18</v>
      </c>
      <c r="C2045" t="s">
        <v>33</v>
      </c>
      <c r="D2045">
        <v>5</v>
      </c>
      <c r="E2045">
        <v>100</v>
      </c>
      <c r="F2045" t="s">
        <v>1</v>
      </c>
      <c r="G2045" s="6">
        <v>45782</v>
      </c>
      <c r="H2045">
        <v>40</v>
      </c>
      <c r="I2045">
        <f>ROUND(CompilDonnées[[#This Row],[CultureDuration_days]]/7,0)</f>
        <v>6</v>
      </c>
      <c r="J2045">
        <v>2905</v>
      </c>
      <c r="K2045" t="str">
        <f>_xlfn.CONCAT(WEEKNUM(CompilDonnées[[#This Row],[PlantationDate]]), " ", YEAR(CompilDonnées[[#This Row],[PlantationDate]]))</f>
        <v>13 2025</v>
      </c>
      <c r="L2045" t="str">
        <f>CONCATENATE(MONTH(CompilDonnées[[#This Row],[PlantationDate]])," ", YEAR(CompilDonnées[[#This Row],[PlantationDate]]))</f>
        <v>3 2025</v>
      </c>
      <c r="M2045" t="str">
        <f>CONCATENATE(MONTH(CompilDonnées[[#This Row],[HarvestingDate]])," ", YEAR(CompilDonnées[[#This Row],[HarvestingDate]]))</f>
        <v>5 2025</v>
      </c>
      <c r="N2045">
        <f>_xlfn.NUMBERVALUE(CompilDonnées[[#This Row],[FarmID]]&amp;CompilDonnées[[#This Row],[ModuleNumber]]&amp;CompilDonnées[[#This Row],[PlantationDate]])</f>
        <v>18545742</v>
      </c>
      <c r="O2045" t="str">
        <f>CompilDonnées[[#This Row],[FarmID]]&amp;CompilDonnées[[#This Row],[ModuleNumber]]</f>
        <v>185</v>
      </c>
      <c r="P2045" t="str">
        <f>CompilDonnées[[#This Row],[Ref_Module]]&amp;CompilDonnées[[#This Row],[HarvestingDate]]</f>
        <v>18545782</v>
      </c>
    </row>
    <row r="2046" spans="1:16">
      <c r="A2046" s="5">
        <v>45742</v>
      </c>
      <c r="B2046">
        <v>19</v>
      </c>
      <c r="C2046" t="s">
        <v>108</v>
      </c>
      <c r="D2046">
        <v>5</v>
      </c>
      <c r="E2046">
        <v>100</v>
      </c>
      <c r="F2046" t="s">
        <v>1</v>
      </c>
      <c r="G2046" s="6">
        <v>45793</v>
      </c>
      <c r="H2046">
        <v>51</v>
      </c>
      <c r="I2046">
        <f>ROUND(CompilDonnées[[#This Row],[CultureDuration_days]]/7,0)</f>
        <v>7</v>
      </c>
      <c r="J2046">
        <v>2515</v>
      </c>
      <c r="K2046" t="str">
        <f>_xlfn.CONCAT(WEEKNUM(CompilDonnées[[#This Row],[PlantationDate]]), " ", YEAR(CompilDonnées[[#This Row],[PlantationDate]]))</f>
        <v>13 2025</v>
      </c>
      <c r="L2046" t="str">
        <f>CONCATENATE(MONTH(CompilDonnées[[#This Row],[PlantationDate]])," ", YEAR(CompilDonnées[[#This Row],[PlantationDate]]))</f>
        <v>3 2025</v>
      </c>
      <c r="M2046" t="str">
        <f>CONCATENATE(MONTH(CompilDonnées[[#This Row],[HarvestingDate]])," ", YEAR(CompilDonnées[[#This Row],[HarvestingDate]]))</f>
        <v>5 2025</v>
      </c>
      <c r="N2046">
        <f>_xlfn.NUMBERVALUE(CompilDonnées[[#This Row],[FarmID]]&amp;CompilDonnées[[#This Row],[ModuleNumber]]&amp;CompilDonnées[[#This Row],[PlantationDate]])</f>
        <v>19545742</v>
      </c>
      <c r="O2046" t="str">
        <f>CompilDonnées[[#This Row],[FarmID]]&amp;CompilDonnées[[#This Row],[ModuleNumber]]</f>
        <v>195</v>
      </c>
      <c r="P2046" t="str">
        <f>CompilDonnées[[#This Row],[Ref_Module]]&amp;CompilDonnées[[#This Row],[HarvestingDate]]</f>
        <v>19545793</v>
      </c>
    </row>
    <row r="2047" spans="1:16">
      <c r="A2047" s="5">
        <v>45742</v>
      </c>
      <c r="B2047">
        <v>22</v>
      </c>
      <c r="C2047" t="s">
        <v>43</v>
      </c>
      <c r="D2047">
        <v>4</v>
      </c>
      <c r="E2047">
        <v>98</v>
      </c>
      <c r="F2047" t="s">
        <v>1</v>
      </c>
      <c r="G2047" s="6">
        <v>45782</v>
      </c>
      <c r="H2047">
        <v>40</v>
      </c>
      <c r="I2047">
        <f>ROUND(CompilDonnées[[#This Row],[CultureDuration_days]]/7,0)</f>
        <v>6</v>
      </c>
      <c r="J2047">
        <v>3125</v>
      </c>
      <c r="K2047" t="str">
        <f>_xlfn.CONCAT(WEEKNUM(CompilDonnées[[#This Row],[PlantationDate]]), " ", YEAR(CompilDonnées[[#This Row],[PlantationDate]]))</f>
        <v>13 2025</v>
      </c>
      <c r="L2047" t="str">
        <f>CONCATENATE(MONTH(CompilDonnées[[#This Row],[PlantationDate]])," ", YEAR(CompilDonnées[[#This Row],[PlantationDate]]))</f>
        <v>3 2025</v>
      </c>
      <c r="M2047" t="str">
        <f>CONCATENATE(MONTH(CompilDonnées[[#This Row],[HarvestingDate]])," ", YEAR(CompilDonnées[[#This Row],[HarvestingDate]]))</f>
        <v>5 2025</v>
      </c>
      <c r="N2047">
        <f>_xlfn.NUMBERVALUE(CompilDonnées[[#This Row],[FarmID]]&amp;CompilDonnées[[#This Row],[ModuleNumber]]&amp;CompilDonnées[[#This Row],[PlantationDate]])</f>
        <v>22445742</v>
      </c>
      <c r="O2047" t="str">
        <f>CompilDonnées[[#This Row],[FarmID]]&amp;CompilDonnées[[#This Row],[ModuleNumber]]</f>
        <v>224</v>
      </c>
      <c r="P2047" t="str">
        <f>CompilDonnées[[#This Row],[Ref_Module]]&amp;CompilDonnées[[#This Row],[HarvestingDate]]</f>
        <v>22445782</v>
      </c>
    </row>
    <row r="2048" spans="1:16">
      <c r="A2048" s="5">
        <v>45742</v>
      </c>
      <c r="B2048">
        <v>23</v>
      </c>
      <c r="C2048" t="s">
        <v>44</v>
      </c>
      <c r="D2048">
        <v>2</v>
      </c>
      <c r="E2048">
        <v>100</v>
      </c>
      <c r="F2048" t="s">
        <v>1</v>
      </c>
      <c r="G2048" s="6">
        <v>45782</v>
      </c>
      <c r="H2048">
        <v>40</v>
      </c>
      <c r="I2048">
        <f>ROUND(CompilDonnées[[#This Row],[CultureDuration_days]]/7,0)</f>
        <v>6</v>
      </c>
      <c r="J2048">
        <v>2477</v>
      </c>
      <c r="K2048" t="str">
        <f>_xlfn.CONCAT(WEEKNUM(CompilDonnées[[#This Row],[PlantationDate]]), " ", YEAR(CompilDonnées[[#This Row],[PlantationDate]]))</f>
        <v>13 2025</v>
      </c>
      <c r="L2048" t="str">
        <f>CONCATENATE(MONTH(CompilDonnées[[#This Row],[PlantationDate]])," ", YEAR(CompilDonnées[[#This Row],[PlantationDate]]))</f>
        <v>3 2025</v>
      </c>
      <c r="M2048" t="str">
        <f>CONCATENATE(MONTH(CompilDonnées[[#This Row],[HarvestingDate]])," ", YEAR(CompilDonnées[[#This Row],[HarvestingDate]]))</f>
        <v>5 2025</v>
      </c>
      <c r="N2048">
        <f>_xlfn.NUMBERVALUE(CompilDonnées[[#This Row],[FarmID]]&amp;CompilDonnées[[#This Row],[ModuleNumber]]&amp;CompilDonnées[[#This Row],[PlantationDate]])</f>
        <v>23245742</v>
      </c>
      <c r="O2048" t="str">
        <f>CompilDonnées[[#This Row],[FarmID]]&amp;CompilDonnées[[#This Row],[ModuleNumber]]</f>
        <v>232</v>
      </c>
      <c r="P2048" t="str">
        <f>CompilDonnées[[#This Row],[Ref_Module]]&amp;CompilDonnées[[#This Row],[HarvestingDate]]</f>
        <v>23245782</v>
      </c>
    </row>
    <row r="2049" spans="1:16">
      <c r="A2049" s="5">
        <v>45742</v>
      </c>
      <c r="B2049">
        <v>35</v>
      </c>
      <c r="C2049" t="s">
        <v>69</v>
      </c>
      <c r="D2049">
        <v>1</v>
      </c>
      <c r="E2049">
        <v>100</v>
      </c>
      <c r="F2049" t="s">
        <v>1</v>
      </c>
      <c r="G2049" s="6">
        <v>45778</v>
      </c>
      <c r="H2049">
        <v>36</v>
      </c>
      <c r="I2049">
        <f>ROUND(CompilDonnées[[#This Row],[CultureDuration_days]]/7,0)</f>
        <v>5</v>
      </c>
      <c r="J2049">
        <v>1652</v>
      </c>
      <c r="K2049" t="str">
        <f>_xlfn.CONCAT(WEEKNUM(CompilDonnées[[#This Row],[PlantationDate]]), " ", YEAR(CompilDonnées[[#This Row],[PlantationDate]]))</f>
        <v>13 2025</v>
      </c>
      <c r="L2049" t="str">
        <f>CONCATENATE(MONTH(CompilDonnées[[#This Row],[PlantationDate]])," ", YEAR(CompilDonnées[[#This Row],[PlantationDate]]))</f>
        <v>3 2025</v>
      </c>
      <c r="M2049" t="str">
        <f>CONCATENATE(MONTH(CompilDonnées[[#This Row],[HarvestingDate]])," ", YEAR(CompilDonnées[[#This Row],[HarvestingDate]]))</f>
        <v>5 2025</v>
      </c>
      <c r="N2049">
        <f>_xlfn.NUMBERVALUE(CompilDonnées[[#This Row],[FarmID]]&amp;CompilDonnées[[#This Row],[ModuleNumber]]&amp;CompilDonnées[[#This Row],[PlantationDate]])</f>
        <v>35145742</v>
      </c>
      <c r="O2049" t="str">
        <f>CompilDonnées[[#This Row],[FarmID]]&amp;CompilDonnées[[#This Row],[ModuleNumber]]</f>
        <v>351</v>
      </c>
      <c r="P2049" t="str">
        <f>CompilDonnées[[#This Row],[Ref_Module]]&amp;CompilDonnées[[#This Row],[HarvestingDate]]</f>
        <v>35145778</v>
      </c>
    </row>
    <row r="2050" spans="1:16">
      <c r="A2050" s="5">
        <v>45742</v>
      </c>
      <c r="B2050">
        <v>47</v>
      </c>
      <c r="C2050" t="s">
        <v>12</v>
      </c>
      <c r="D2050">
        <v>3</v>
      </c>
      <c r="E2050">
        <v>100</v>
      </c>
      <c r="F2050" t="s">
        <v>1</v>
      </c>
      <c r="G2050" s="6">
        <v>45785</v>
      </c>
      <c r="H2050">
        <v>43</v>
      </c>
      <c r="I2050">
        <f>ROUND(CompilDonnées[[#This Row],[CultureDuration_days]]/7,0)</f>
        <v>6</v>
      </c>
      <c r="J2050">
        <v>1512</v>
      </c>
      <c r="K2050" t="str">
        <f>_xlfn.CONCAT(WEEKNUM(CompilDonnées[[#This Row],[PlantationDate]]), " ", YEAR(CompilDonnées[[#This Row],[PlantationDate]]))</f>
        <v>13 2025</v>
      </c>
      <c r="L2050" t="str">
        <f>CONCATENATE(MONTH(CompilDonnées[[#This Row],[PlantationDate]])," ", YEAR(CompilDonnées[[#This Row],[PlantationDate]]))</f>
        <v>3 2025</v>
      </c>
      <c r="M2050" t="str">
        <f>CONCATENATE(MONTH(CompilDonnées[[#This Row],[HarvestingDate]])," ", YEAR(CompilDonnées[[#This Row],[HarvestingDate]]))</f>
        <v>5 2025</v>
      </c>
      <c r="N2050">
        <f>_xlfn.NUMBERVALUE(CompilDonnées[[#This Row],[FarmID]]&amp;CompilDonnées[[#This Row],[ModuleNumber]]&amp;CompilDonnées[[#This Row],[PlantationDate]])</f>
        <v>47345742</v>
      </c>
      <c r="O2050" t="str">
        <f>CompilDonnées[[#This Row],[FarmID]]&amp;CompilDonnées[[#This Row],[ModuleNumber]]</f>
        <v>473</v>
      </c>
      <c r="P2050" t="str">
        <f>CompilDonnées[[#This Row],[Ref_Module]]&amp;CompilDonnées[[#This Row],[HarvestingDate]]</f>
        <v>47345785</v>
      </c>
    </row>
    <row r="2051" spans="1:16">
      <c r="A2051" s="5">
        <v>45742</v>
      </c>
      <c r="B2051">
        <v>50</v>
      </c>
      <c r="C2051" t="s">
        <v>55</v>
      </c>
      <c r="D2051">
        <v>1</v>
      </c>
      <c r="E2051">
        <v>100</v>
      </c>
      <c r="F2051" t="s">
        <v>1</v>
      </c>
      <c r="G2051" s="6">
        <v>45791</v>
      </c>
      <c r="H2051">
        <v>49</v>
      </c>
      <c r="I2051">
        <f>ROUND(CompilDonnées[[#This Row],[CultureDuration_days]]/7,0)</f>
        <v>7</v>
      </c>
      <c r="J2051">
        <v>2420</v>
      </c>
      <c r="K2051" t="str">
        <f>_xlfn.CONCAT(WEEKNUM(CompilDonnées[[#This Row],[PlantationDate]]), " ", YEAR(CompilDonnées[[#This Row],[PlantationDate]]))</f>
        <v>13 2025</v>
      </c>
      <c r="L2051" t="str">
        <f>CONCATENATE(MONTH(CompilDonnées[[#This Row],[PlantationDate]])," ", YEAR(CompilDonnées[[#This Row],[PlantationDate]]))</f>
        <v>3 2025</v>
      </c>
      <c r="M2051" t="str">
        <f>CONCATENATE(MONTH(CompilDonnées[[#This Row],[HarvestingDate]])," ", YEAR(CompilDonnées[[#This Row],[HarvestingDate]]))</f>
        <v>5 2025</v>
      </c>
      <c r="N2051">
        <f>_xlfn.NUMBERVALUE(CompilDonnées[[#This Row],[FarmID]]&amp;CompilDonnées[[#This Row],[ModuleNumber]]&amp;CompilDonnées[[#This Row],[PlantationDate]])</f>
        <v>50145742</v>
      </c>
      <c r="O2051" t="str">
        <f>CompilDonnées[[#This Row],[FarmID]]&amp;CompilDonnées[[#This Row],[ModuleNumber]]</f>
        <v>501</v>
      </c>
      <c r="P2051" t="str">
        <f>CompilDonnées[[#This Row],[Ref_Module]]&amp;CompilDonnées[[#This Row],[HarvestingDate]]</f>
        <v>50145791</v>
      </c>
    </row>
    <row r="2052" spans="1:16">
      <c r="A2052" s="5">
        <v>45742</v>
      </c>
      <c r="B2052">
        <v>56</v>
      </c>
      <c r="C2052" t="s">
        <v>6</v>
      </c>
      <c r="D2052">
        <v>6</v>
      </c>
      <c r="E2052">
        <v>100</v>
      </c>
      <c r="F2052" t="s">
        <v>1</v>
      </c>
      <c r="G2052" s="6">
        <v>45791</v>
      </c>
      <c r="H2052">
        <v>49</v>
      </c>
      <c r="I2052">
        <f>ROUND(CompilDonnées[[#This Row],[CultureDuration_days]]/7,0)</f>
        <v>7</v>
      </c>
      <c r="J2052">
        <v>3013</v>
      </c>
      <c r="K2052" t="str">
        <f>_xlfn.CONCAT(WEEKNUM(CompilDonnées[[#This Row],[PlantationDate]]), " ", YEAR(CompilDonnées[[#This Row],[PlantationDate]]))</f>
        <v>13 2025</v>
      </c>
      <c r="L2052" t="str">
        <f>CONCATENATE(MONTH(CompilDonnées[[#This Row],[PlantationDate]])," ", YEAR(CompilDonnées[[#This Row],[PlantationDate]]))</f>
        <v>3 2025</v>
      </c>
      <c r="M2052" t="str">
        <f>CONCATENATE(MONTH(CompilDonnées[[#This Row],[HarvestingDate]])," ", YEAR(CompilDonnées[[#This Row],[HarvestingDate]]))</f>
        <v>5 2025</v>
      </c>
      <c r="N2052">
        <f>_xlfn.NUMBERVALUE(CompilDonnées[[#This Row],[FarmID]]&amp;CompilDonnées[[#This Row],[ModuleNumber]]&amp;CompilDonnées[[#This Row],[PlantationDate]])</f>
        <v>56645742</v>
      </c>
      <c r="O2052" t="str">
        <f>CompilDonnées[[#This Row],[FarmID]]&amp;CompilDonnées[[#This Row],[ModuleNumber]]</f>
        <v>566</v>
      </c>
      <c r="P2052" t="str">
        <f>CompilDonnées[[#This Row],[Ref_Module]]&amp;CompilDonnées[[#This Row],[HarvestingDate]]</f>
        <v>56645791</v>
      </c>
    </row>
    <row r="2053" spans="1:16">
      <c r="A2053" s="5">
        <v>45742</v>
      </c>
      <c r="B2053">
        <v>63</v>
      </c>
      <c r="C2053" t="s">
        <v>98</v>
      </c>
      <c r="D2053">
        <v>3</v>
      </c>
      <c r="E2053">
        <v>100</v>
      </c>
      <c r="F2053" t="s">
        <v>1</v>
      </c>
      <c r="G2053" s="6">
        <v>45785</v>
      </c>
      <c r="H2053">
        <v>43</v>
      </c>
      <c r="I2053">
        <f>ROUND(CompilDonnées[[#This Row],[CultureDuration_days]]/7,0)</f>
        <v>6</v>
      </c>
      <c r="J2053">
        <v>1507</v>
      </c>
      <c r="K2053" t="str">
        <f>_xlfn.CONCAT(WEEKNUM(CompilDonnées[[#This Row],[PlantationDate]]), " ", YEAR(CompilDonnées[[#This Row],[PlantationDate]]))</f>
        <v>13 2025</v>
      </c>
      <c r="L2053" t="str">
        <f>CONCATENATE(MONTH(CompilDonnées[[#This Row],[PlantationDate]])," ", YEAR(CompilDonnées[[#This Row],[PlantationDate]]))</f>
        <v>3 2025</v>
      </c>
      <c r="M2053" t="str">
        <f>CONCATENATE(MONTH(CompilDonnées[[#This Row],[HarvestingDate]])," ", YEAR(CompilDonnées[[#This Row],[HarvestingDate]]))</f>
        <v>5 2025</v>
      </c>
      <c r="N2053">
        <f>_xlfn.NUMBERVALUE(CompilDonnées[[#This Row],[FarmID]]&amp;CompilDonnées[[#This Row],[ModuleNumber]]&amp;CompilDonnées[[#This Row],[PlantationDate]])</f>
        <v>63345742</v>
      </c>
      <c r="O2053" t="str">
        <f>CompilDonnées[[#This Row],[FarmID]]&amp;CompilDonnées[[#This Row],[ModuleNumber]]</f>
        <v>633</v>
      </c>
      <c r="P2053" t="str">
        <f>CompilDonnées[[#This Row],[Ref_Module]]&amp;CompilDonnées[[#This Row],[HarvestingDate]]</f>
        <v>63345785</v>
      </c>
    </row>
    <row r="2054" spans="1:16">
      <c r="A2054" s="5">
        <v>45742</v>
      </c>
      <c r="B2054">
        <v>68</v>
      </c>
      <c r="C2054" t="s">
        <v>89</v>
      </c>
      <c r="D2054">
        <v>6</v>
      </c>
      <c r="E2054">
        <v>100</v>
      </c>
      <c r="F2054" t="s">
        <v>1</v>
      </c>
      <c r="G2054" s="6">
        <v>45776</v>
      </c>
      <c r="H2054">
        <v>34</v>
      </c>
      <c r="I2054">
        <f>ROUND(CompilDonnées[[#This Row],[CultureDuration_days]]/7,0)</f>
        <v>5</v>
      </c>
      <c r="J2054">
        <v>3153</v>
      </c>
      <c r="K2054" t="str">
        <f>_xlfn.CONCAT(WEEKNUM(CompilDonnées[[#This Row],[PlantationDate]]), " ", YEAR(CompilDonnées[[#This Row],[PlantationDate]]))</f>
        <v>13 2025</v>
      </c>
      <c r="L2054" t="str">
        <f>CONCATENATE(MONTH(CompilDonnées[[#This Row],[PlantationDate]])," ", YEAR(CompilDonnées[[#This Row],[PlantationDate]]))</f>
        <v>3 2025</v>
      </c>
      <c r="M2054" t="str">
        <f>CONCATENATE(MONTH(CompilDonnées[[#This Row],[HarvestingDate]])," ", YEAR(CompilDonnées[[#This Row],[HarvestingDate]]))</f>
        <v>4 2025</v>
      </c>
      <c r="N2054">
        <f>_xlfn.NUMBERVALUE(CompilDonnées[[#This Row],[FarmID]]&amp;CompilDonnées[[#This Row],[ModuleNumber]]&amp;CompilDonnées[[#This Row],[PlantationDate]])</f>
        <v>68645742</v>
      </c>
      <c r="O2054" t="str">
        <f>CompilDonnées[[#This Row],[FarmID]]&amp;CompilDonnées[[#This Row],[ModuleNumber]]</f>
        <v>686</v>
      </c>
      <c r="P2054" t="str">
        <f>CompilDonnées[[#This Row],[Ref_Module]]&amp;CompilDonnées[[#This Row],[HarvestingDate]]</f>
        <v>68645776</v>
      </c>
    </row>
    <row r="2055" spans="1:16">
      <c r="A2055" s="5">
        <v>45742</v>
      </c>
      <c r="B2055">
        <v>69</v>
      </c>
      <c r="C2055" t="s">
        <v>102</v>
      </c>
      <c r="D2055">
        <v>3</v>
      </c>
      <c r="E2055">
        <v>100</v>
      </c>
      <c r="F2055" t="s">
        <v>1</v>
      </c>
      <c r="G2055" s="6">
        <v>45786</v>
      </c>
      <c r="H2055">
        <v>44</v>
      </c>
      <c r="I2055">
        <f>ROUND(CompilDonnées[[#This Row],[CultureDuration_days]]/7,0)</f>
        <v>6</v>
      </c>
      <c r="J2055">
        <v>1346</v>
      </c>
      <c r="K2055" t="str">
        <f>_xlfn.CONCAT(WEEKNUM(CompilDonnées[[#This Row],[PlantationDate]]), " ", YEAR(CompilDonnées[[#This Row],[PlantationDate]]))</f>
        <v>13 2025</v>
      </c>
      <c r="L2055" t="str">
        <f>CONCATENATE(MONTH(CompilDonnées[[#This Row],[PlantationDate]])," ", YEAR(CompilDonnées[[#This Row],[PlantationDate]]))</f>
        <v>3 2025</v>
      </c>
      <c r="M2055" t="str">
        <f>CONCATENATE(MONTH(CompilDonnées[[#This Row],[HarvestingDate]])," ", YEAR(CompilDonnées[[#This Row],[HarvestingDate]]))</f>
        <v>5 2025</v>
      </c>
      <c r="N2055">
        <f>_xlfn.NUMBERVALUE(CompilDonnées[[#This Row],[FarmID]]&amp;CompilDonnées[[#This Row],[ModuleNumber]]&amp;CompilDonnées[[#This Row],[PlantationDate]])</f>
        <v>69345742</v>
      </c>
      <c r="O2055" t="str">
        <f>CompilDonnées[[#This Row],[FarmID]]&amp;CompilDonnées[[#This Row],[ModuleNumber]]</f>
        <v>693</v>
      </c>
      <c r="P2055" t="str">
        <f>CompilDonnées[[#This Row],[Ref_Module]]&amp;CompilDonnées[[#This Row],[HarvestingDate]]</f>
        <v>69345786</v>
      </c>
    </row>
    <row r="2056" spans="1:16">
      <c r="A2056" s="5">
        <v>45742</v>
      </c>
      <c r="B2056">
        <v>100</v>
      </c>
      <c r="C2056" t="s">
        <v>84</v>
      </c>
      <c r="D2056">
        <v>6</v>
      </c>
      <c r="E2056">
        <v>100</v>
      </c>
      <c r="F2056" t="s">
        <v>1</v>
      </c>
      <c r="G2056" s="6">
        <v>45790</v>
      </c>
      <c r="H2056">
        <v>48</v>
      </c>
      <c r="I2056">
        <f>ROUND(CompilDonnées[[#This Row],[CultureDuration_days]]/7,0)</f>
        <v>7</v>
      </c>
      <c r="J2056">
        <v>2740</v>
      </c>
      <c r="K2056" t="str">
        <f>_xlfn.CONCAT(WEEKNUM(CompilDonnées[[#This Row],[PlantationDate]]), " ", YEAR(CompilDonnées[[#This Row],[PlantationDate]]))</f>
        <v>13 2025</v>
      </c>
      <c r="L2056" t="str">
        <f>CONCATENATE(MONTH(CompilDonnées[[#This Row],[PlantationDate]])," ", YEAR(CompilDonnées[[#This Row],[PlantationDate]]))</f>
        <v>3 2025</v>
      </c>
      <c r="M2056" t="str">
        <f>CONCATENATE(MONTH(CompilDonnées[[#This Row],[HarvestingDate]])," ", YEAR(CompilDonnées[[#This Row],[HarvestingDate]]))</f>
        <v>5 2025</v>
      </c>
      <c r="N2056">
        <f>_xlfn.NUMBERVALUE(CompilDonnées[[#This Row],[FarmID]]&amp;CompilDonnées[[#This Row],[ModuleNumber]]&amp;CompilDonnées[[#This Row],[PlantationDate]])</f>
        <v>100645742</v>
      </c>
      <c r="O2056" t="str">
        <f>CompilDonnées[[#This Row],[FarmID]]&amp;CompilDonnées[[#This Row],[ModuleNumber]]</f>
        <v>1006</v>
      </c>
      <c r="P2056" t="str">
        <f>CompilDonnées[[#This Row],[Ref_Module]]&amp;CompilDonnées[[#This Row],[HarvestingDate]]</f>
        <v>100645790</v>
      </c>
    </row>
    <row r="2057" spans="1:16">
      <c r="A2057" s="5">
        <v>45742</v>
      </c>
      <c r="B2057">
        <v>101</v>
      </c>
      <c r="C2057" t="s">
        <v>54</v>
      </c>
      <c r="D2057">
        <v>3</v>
      </c>
      <c r="E2057">
        <v>100</v>
      </c>
      <c r="F2057" t="s">
        <v>1</v>
      </c>
      <c r="G2057" s="6">
        <v>45790</v>
      </c>
      <c r="H2057">
        <v>48</v>
      </c>
      <c r="I2057">
        <f>ROUND(CompilDonnées[[#This Row],[CultureDuration_days]]/7,0)</f>
        <v>7</v>
      </c>
      <c r="J2057">
        <v>2510</v>
      </c>
      <c r="K2057" t="str">
        <f>_xlfn.CONCAT(WEEKNUM(CompilDonnées[[#This Row],[PlantationDate]]), " ", YEAR(CompilDonnées[[#This Row],[PlantationDate]]))</f>
        <v>13 2025</v>
      </c>
      <c r="L2057" t="str">
        <f>CONCATENATE(MONTH(CompilDonnées[[#This Row],[PlantationDate]])," ", YEAR(CompilDonnées[[#This Row],[PlantationDate]]))</f>
        <v>3 2025</v>
      </c>
      <c r="M2057" t="str">
        <f>CONCATENATE(MONTH(CompilDonnées[[#This Row],[HarvestingDate]])," ", YEAR(CompilDonnées[[#This Row],[HarvestingDate]]))</f>
        <v>5 2025</v>
      </c>
      <c r="N2057">
        <f>_xlfn.NUMBERVALUE(CompilDonnées[[#This Row],[FarmID]]&amp;CompilDonnées[[#This Row],[ModuleNumber]]&amp;CompilDonnées[[#This Row],[PlantationDate]])</f>
        <v>101345742</v>
      </c>
      <c r="O2057" t="str">
        <f>CompilDonnées[[#This Row],[FarmID]]&amp;CompilDonnées[[#This Row],[ModuleNumber]]</f>
        <v>1013</v>
      </c>
      <c r="P2057" t="str">
        <f>CompilDonnées[[#This Row],[Ref_Module]]&amp;CompilDonnées[[#This Row],[HarvestingDate]]</f>
        <v>101345790</v>
      </c>
    </row>
    <row r="2058" spans="1:16">
      <c r="A2058" s="5">
        <v>45742</v>
      </c>
      <c r="B2058">
        <v>121</v>
      </c>
      <c r="C2058" t="s">
        <v>3</v>
      </c>
      <c r="D2058">
        <v>5</v>
      </c>
      <c r="E2058">
        <v>60</v>
      </c>
      <c r="F2058" t="s">
        <v>105</v>
      </c>
      <c r="G2058" s="6">
        <v>45803</v>
      </c>
      <c r="H2058">
        <v>61</v>
      </c>
      <c r="I2058">
        <f>ROUND(CompilDonnées[[#This Row],[CultureDuration_days]]/7,0)</f>
        <v>9</v>
      </c>
      <c r="J2058">
        <v>500</v>
      </c>
      <c r="K2058" t="str">
        <f>_xlfn.CONCAT(WEEKNUM(CompilDonnées[[#This Row],[PlantationDate]]), " ", YEAR(CompilDonnées[[#This Row],[PlantationDate]]))</f>
        <v>13 2025</v>
      </c>
      <c r="L2058" t="str">
        <f>CONCATENATE(MONTH(CompilDonnées[[#This Row],[PlantationDate]])," ", YEAR(CompilDonnées[[#This Row],[PlantationDate]]))</f>
        <v>3 2025</v>
      </c>
      <c r="M2058" t="str">
        <f>CONCATENATE(MONTH(CompilDonnées[[#This Row],[HarvestingDate]])," ", YEAR(CompilDonnées[[#This Row],[HarvestingDate]]))</f>
        <v>5 2025</v>
      </c>
      <c r="N2058">
        <f>_xlfn.NUMBERVALUE(CompilDonnées[[#This Row],[FarmID]]&amp;CompilDonnées[[#This Row],[ModuleNumber]]&amp;CompilDonnées[[#This Row],[PlantationDate]])</f>
        <v>121545742</v>
      </c>
      <c r="O2058" t="str">
        <f>CompilDonnées[[#This Row],[FarmID]]&amp;CompilDonnées[[#This Row],[ModuleNumber]]</f>
        <v>1215</v>
      </c>
      <c r="P2058" t="str">
        <f>CompilDonnées[[#This Row],[Ref_Module]]&amp;CompilDonnées[[#This Row],[HarvestingDate]]</f>
        <v>121545803</v>
      </c>
    </row>
    <row r="2059" spans="1:16">
      <c r="A2059" s="5">
        <v>45742</v>
      </c>
      <c r="B2059">
        <v>121</v>
      </c>
      <c r="C2059" t="s">
        <v>3</v>
      </c>
      <c r="D2059">
        <v>6</v>
      </c>
      <c r="E2059">
        <v>60</v>
      </c>
      <c r="F2059" t="s">
        <v>105</v>
      </c>
      <c r="G2059" s="6">
        <v>45803</v>
      </c>
      <c r="H2059">
        <v>61</v>
      </c>
      <c r="I2059">
        <f>ROUND(CompilDonnées[[#This Row],[CultureDuration_days]]/7,0)</f>
        <v>9</v>
      </c>
      <c r="J2059">
        <v>600</v>
      </c>
      <c r="K2059" t="str">
        <f>_xlfn.CONCAT(WEEKNUM(CompilDonnées[[#This Row],[PlantationDate]]), " ", YEAR(CompilDonnées[[#This Row],[PlantationDate]]))</f>
        <v>13 2025</v>
      </c>
      <c r="L2059" t="str">
        <f>CONCATENATE(MONTH(CompilDonnées[[#This Row],[PlantationDate]])," ", YEAR(CompilDonnées[[#This Row],[PlantationDate]]))</f>
        <v>3 2025</v>
      </c>
      <c r="M2059" t="str">
        <f>CONCATENATE(MONTH(CompilDonnées[[#This Row],[HarvestingDate]])," ", YEAR(CompilDonnées[[#This Row],[HarvestingDate]]))</f>
        <v>5 2025</v>
      </c>
      <c r="N2059">
        <f>_xlfn.NUMBERVALUE(CompilDonnées[[#This Row],[FarmID]]&amp;CompilDonnées[[#This Row],[ModuleNumber]]&amp;CompilDonnées[[#This Row],[PlantationDate]])</f>
        <v>121645742</v>
      </c>
      <c r="O2059" t="str">
        <f>CompilDonnées[[#This Row],[FarmID]]&amp;CompilDonnées[[#This Row],[ModuleNumber]]</f>
        <v>1216</v>
      </c>
      <c r="P2059" t="str">
        <f>CompilDonnées[[#This Row],[Ref_Module]]&amp;CompilDonnées[[#This Row],[HarvestingDate]]</f>
        <v>121645803</v>
      </c>
    </row>
    <row r="2060" spans="1:16">
      <c r="A2060" s="5">
        <v>45742</v>
      </c>
      <c r="B2060">
        <v>145</v>
      </c>
      <c r="C2060" t="s">
        <v>3</v>
      </c>
      <c r="D2060">
        <v>1</v>
      </c>
      <c r="E2060">
        <v>60</v>
      </c>
      <c r="F2060" t="s">
        <v>105</v>
      </c>
      <c r="G2060" s="6">
        <v>45789</v>
      </c>
      <c r="H2060">
        <v>47</v>
      </c>
      <c r="I2060">
        <f>ROUND(CompilDonnées[[#This Row],[CultureDuration_days]]/7,0)</f>
        <v>7</v>
      </c>
      <c r="J2060">
        <v>820</v>
      </c>
      <c r="K2060" t="str">
        <f>_xlfn.CONCAT(WEEKNUM(CompilDonnées[[#This Row],[PlantationDate]]), " ", YEAR(CompilDonnées[[#This Row],[PlantationDate]]))</f>
        <v>13 2025</v>
      </c>
      <c r="L2060" t="str">
        <f>CONCATENATE(MONTH(CompilDonnées[[#This Row],[PlantationDate]])," ", YEAR(CompilDonnées[[#This Row],[PlantationDate]]))</f>
        <v>3 2025</v>
      </c>
      <c r="M2060" t="str">
        <f>CONCATENATE(MONTH(CompilDonnées[[#This Row],[HarvestingDate]])," ", YEAR(CompilDonnées[[#This Row],[HarvestingDate]]))</f>
        <v>5 2025</v>
      </c>
      <c r="N2060">
        <f>_xlfn.NUMBERVALUE(CompilDonnées[[#This Row],[FarmID]]&amp;CompilDonnées[[#This Row],[ModuleNumber]]&amp;CompilDonnées[[#This Row],[PlantationDate]])</f>
        <v>145145742</v>
      </c>
      <c r="O2060" t="str">
        <f>CompilDonnées[[#This Row],[FarmID]]&amp;CompilDonnées[[#This Row],[ModuleNumber]]</f>
        <v>1451</v>
      </c>
      <c r="P2060" t="str">
        <f>CompilDonnées[[#This Row],[Ref_Module]]&amp;CompilDonnées[[#This Row],[HarvestingDate]]</f>
        <v>145145789</v>
      </c>
    </row>
    <row r="2061" spans="1:16">
      <c r="A2061" s="5">
        <v>45742</v>
      </c>
      <c r="B2061">
        <v>145</v>
      </c>
      <c r="C2061" t="s">
        <v>3</v>
      </c>
      <c r="D2061">
        <v>2</v>
      </c>
      <c r="E2061">
        <v>60</v>
      </c>
      <c r="F2061" t="s">
        <v>105</v>
      </c>
      <c r="G2061" s="6">
        <v>45789</v>
      </c>
      <c r="H2061">
        <v>47</v>
      </c>
      <c r="I2061">
        <f>ROUND(CompilDonnées[[#This Row],[CultureDuration_days]]/7,0)</f>
        <v>7</v>
      </c>
      <c r="J2061">
        <v>815</v>
      </c>
      <c r="K2061" t="str">
        <f>_xlfn.CONCAT(WEEKNUM(CompilDonnées[[#This Row],[PlantationDate]]), " ", YEAR(CompilDonnées[[#This Row],[PlantationDate]]))</f>
        <v>13 2025</v>
      </c>
      <c r="L2061" t="str">
        <f>CONCATENATE(MONTH(CompilDonnées[[#This Row],[PlantationDate]])," ", YEAR(CompilDonnées[[#This Row],[PlantationDate]]))</f>
        <v>3 2025</v>
      </c>
      <c r="M2061" t="str">
        <f>CONCATENATE(MONTH(CompilDonnées[[#This Row],[HarvestingDate]])," ", YEAR(CompilDonnées[[#This Row],[HarvestingDate]]))</f>
        <v>5 2025</v>
      </c>
      <c r="N2061">
        <f>_xlfn.NUMBERVALUE(CompilDonnées[[#This Row],[FarmID]]&amp;CompilDonnées[[#This Row],[ModuleNumber]]&amp;CompilDonnées[[#This Row],[PlantationDate]])</f>
        <v>145245742</v>
      </c>
      <c r="O2061" t="str">
        <f>CompilDonnées[[#This Row],[FarmID]]&amp;CompilDonnées[[#This Row],[ModuleNumber]]</f>
        <v>1452</v>
      </c>
      <c r="P2061" t="str">
        <f>CompilDonnées[[#This Row],[Ref_Module]]&amp;CompilDonnées[[#This Row],[HarvestingDate]]</f>
        <v>145245789</v>
      </c>
    </row>
    <row r="2062" spans="1:16">
      <c r="A2062" s="5">
        <v>45742</v>
      </c>
      <c r="B2062">
        <v>37</v>
      </c>
      <c r="C2062" t="s">
        <v>26</v>
      </c>
      <c r="D2062">
        <v>6</v>
      </c>
      <c r="E2062">
        <v>100</v>
      </c>
      <c r="F2062" t="s">
        <v>1</v>
      </c>
      <c r="G2062" s="6">
        <v>45785</v>
      </c>
      <c r="H2062">
        <v>43</v>
      </c>
      <c r="I2062">
        <f>ROUND(CompilDonnées[[#This Row],[CultureDuration_days]]/7,0)</f>
        <v>6</v>
      </c>
      <c r="J2062">
        <v>2474</v>
      </c>
      <c r="K2062" t="str">
        <f>_xlfn.CONCAT(WEEKNUM(CompilDonnées[[#This Row],[PlantationDate]]), " ", YEAR(CompilDonnées[[#This Row],[PlantationDate]]))</f>
        <v>13 2025</v>
      </c>
      <c r="L2062" t="str">
        <f>CONCATENATE(MONTH(CompilDonnées[[#This Row],[PlantationDate]])," ", YEAR(CompilDonnées[[#This Row],[PlantationDate]]))</f>
        <v>3 2025</v>
      </c>
      <c r="M2062" t="str">
        <f>CONCATENATE(MONTH(CompilDonnées[[#This Row],[HarvestingDate]])," ", YEAR(CompilDonnées[[#This Row],[HarvestingDate]]))</f>
        <v>5 2025</v>
      </c>
      <c r="N2062">
        <f>_xlfn.NUMBERVALUE(CompilDonnées[[#This Row],[FarmID]]&amp;CompilDonnées[[#This Row],[ModuleNumber]]&amp;CompilDonnées[[#This Row],[PlantationDate]])</f>
        <v>37645742</v>
      </c>
      <c r="O2062" t="str">
        <f>CompilDonnées[[#This Row],[FarmID]]&amp;CompilDonnées[[#This Row],[ModuleNumber]]</f>
        <v>376</v>
      </c>
      <c r="P2062" t="str">
        <f>CompilDonnées[[#This Row],[Ref_Module]]&amp;CompilDonnées[[#This Row],[HarvestingDate]]</f>
        <v>37645785</v>
      </c>
    </row>
    <row r="2063" spans="1:16">
      <c r="A2063" s="5">
        <v>45742</v>
      </c>
      <c r="B2063">
        <v>38</v>
      </c>
      <c r="C2063" t="s">
        <v>34</v>
      </c>
      <c r="D2063">
        <v>6</v>
      </c>
      <c r="E2063">
        <v>100</v>
      </c>
      <c r="F2063" t="s">
        <v>1</v>
      </c>
      <c r="G2063" s="6">
        <v>45777</v>
      </c>
      <c r="H2063">
        <v>35</v>
      </c>
      <c r="I2063">
        <f>ROUND(CompilDonnées[[#This Row],[CultureDuration_days]]/7,0)</f>
        <v>5</v>
      </c>
      <c r="J2063">
        <v>3244</v>
      </c>
      <c r="K2063" t="str">
        <f>_xlfn.CONCAT(WEEKNUM(CompilDonnées[[#This Row],[PlantationDate]]), " ", YEAR(CompilDonnées[[#This Row],[PlantationDate]]))</f>
        <v>13 2025</v>
      </c>
      <c r="L2063" t="str">
        <f>CONCATENATE(MONTH(CompilDonnées[[#This Row],[PlantationDate]])," ", YEAR(CompilDonnées[[#This Row],[PlantationDate]]))</f>
        <v>3 2025</v>
      </c>
      <c r="M2063" t="str">
        <f>CONCATENATE(MONTH(CompilDonnées[[#This Row],[HarvestingDate]])," ", YEAR(CompilDonnées[[#This Row],[HarvestingDate]]))</f>
        <v>4 2025</v>
      </c>
      <c r="N2063">
        <f>_xlfn.NUMBERVALUE(CompilDonnées[[#This Row],[FarmID]]&amp;CompilDonnées[[#This Row],[ModuleNumber]]&amp;CompilDonnées[[#This Row],[PlantationDate]])</f>
        <v>38645742</v>
      </c>
      <c r="O2063" t="str">
        <f>CompilDonnées[[#This Row],[FarmID]]&amp;CompilDonnées[[#This Row],[ModuleNumber]]</f>
        <v>386</v>
      </c>
      <c r="P2063" t="str">
        <f>CompilDonnées[[#This Row],[Ref_Module]]&amp;CompilDonnées[[#This Row],[HarvestingDate]]</f>
        <v>38645777</v>
      </c>
    </row>
    <row r="2064" spans="1:16">
      <c r="A2064" s="5">
        <v>45742</v>
      </c>
      <c r="B2064">
        <v>41</v>
      </c>
      <c r="C2064" t="s">
        <v>70</v>
      </c>
      <c r="D2064">
        <v>6</v>
      </c>
      <c r="E2064">
        <v>100</v>
      </c>
      <c r="F2064" t="s">
        <v>1</v>
      </c>
      <c r="G2064" s="6">
        <v>45785</v>
      </c>
      <c r="H2064">
        <v>43</v>
      </c>
      <c r="I2064">
        <f>ROUND(CompilDonnées[[#This Row],[CultureDuration_days]]/7,0)</f>
        <v>6</v>
      </c>
      <c r="J2064">
        <v>2178</v>
      </c>
      <c r="K2064" t="str">
        <f>_xlfn.CONCAT(WEEKNUM(CompilDonnées[[#This Row],[PlantationDate]]), " ", YEAR(CompilDonnées[[#This Row],[PlantationDate]]))</f>
        <v>13 2025</v>
      </c>
      <c r="L2064" t="str">
        <f>CONCATENATE(MONTH(CompilDonnées[[#This Row],[PlantationDate]])," ", YEAR(CompilDonnées[[#This Row],[PlantationDate]]))</f>
        <v>3 2025</v>
      </c>
      <c r="M2064" t="str">
        <f>CONCATENATE(MONTH(CompilDonnées[[#This Row],[HarvestingDate]])," ", YEAR(CompilDonnées[[#This Row],[HarvestingDate]]))</f>
        <v>5 2025</v>
      </c>
      <c r="N2064">
        <f>_xlfn.NUMBERVALUE(CompilDonnées[[#This Row],[FarmID]]&amp;CompilDonnées[[#This Row],[ModuleNumber]]&amp;CompilDonnées[[#This Row],[PlantationDate]])</f>
        <v>41645742</v>
      </c>
      <c r="O2064" t="str">
        <f>CompilDonnées[[#This Row],[FarmID]]&amp;CompilDonnées[[#This Row],[ModuleNumber]]</f>
        <v>416</v>
      </c>
      <c r="P2064" t="str">
        <f>CompilDonnées[[#This Row],[Ref_Module]]&amp;CompilDonnées[[#This Row],[HarvestingDate]]</f>
        <v>41645785</v>
      </c>
    </row>
    <row r="2065" spans="1:16">
      <c r="A2065" s="5">
        <v>45742</v>
      </c>
      <c r="B2065">
        <v>43</v>
      </c>
      <c r="C2065" t="s">
        <v>45</v>
      </c>
      <c r="D2065">
        <v>4</v>
      </c>
      <c r="E2065">
        <v>100</v>
      </c>
      <c r="F2065" t="s">
        <v>1</v>
      </c>
      <c r="G2065" s="6">
        <v>45785</v>
      </c>
      <c r="H2065">
        <v>43</v>
      </c>
      <c r="I2065">
        <f>ROUND(CompilDonnées[[#This Row],[CultureDuration_days]]/7,0)</f>
        <v>6</v>
      </c>
      <c r="J2065">
        <v>2080</v>
      </c>
      <c r="K2065" t="str">
        <f>_xlfn.CONCAT(WEEKNUM(CompilDonnées[[#This Row],[PlantationDate]]), " ", YEAR(CompilDonnées[[#This Row],[PlantationDate]]))</f>
        <v>13 2025</v>
      </c>
      <c r="L2065" t="str">
        <f>CONCATENATE(MONTH(CompilDonnées[[#This Row],[PlantationDate]])," ", YEAR(CompilDonnées[[#This Row],[PlantationDate]]))</f>
        <v>3 2025</v>
      </c>
      <c r="M2065" t="str">
        <f>CONCATENATE(MONTH(CompilDonnées[[#This Row],[HarvestingDate]])," ", YEAR(CompilDonnées[[#This Row],[HarvestingDate]]))</f>
        <v>5 2025</v>
      </c>
      <c r="N2065">
        <f>_xlfn.NUMBERVALUE(CompilDonnées[[#This Row],[FarmID]]&amp;CompilDonnées[[#This Row],[ModuleNumber]]&amp;CompilDonnées[[#This Row],[PlantationDate]])</f>
        <v>43445742</v>
      </c>
      <c r="O2065" t="str">
        <f>CompilDonnées[[#This Row],[FarmID]]&amp;CompilDonnées[[#This Row],[ModuleNumber]]</f>
        <v>434</v>
      </c>
      <c r="P2065" t="str">
        <f>CompilDonnées[[#This Row],[Ref_Module]]&amp;CompilDonnées[[#This Row],[HarvestingDate]]</f>
        <v>43445785</v>
      </c>
    </row>
    <row r="2066" spans="1:16">
      <c r="A2066" s="5">
        <v>45742</v>
      </c>
      <c r="B2066">
        <v>44</v>
      </c>
      <c r="C2066" t="s">
        <v>42</v>
      </c>
      <c r="D2066">
        <v>2</v>
      </c>
      <c r="E2066">
        <v>100</v>
      </c>
      <c r="F2066" t="s">
        <v>1</v>
      </c>
      <c r="G2066" s="6">
        <v>45792</v>
      </c>
      <c r="H2066">
        <v>50</v>
      </c>
      <c r="I2066">
        <f>ROUND(CompilDonnées[[#This Row],[CultureDuration_days]]/7,0)</f>
        <v>7</v>
      </c>
      <c r="J2066">
        <v>2219</v>
      </c>
      <c r="K2066" t="str">
        <f>_xlfn.CONCAT(WEEKNUM(CompilDonnées[[#This Row],[PlantationDate]]), " ", YEAR(CompilDonnées[[#This Row],[PlantationDate]]))</f>
        <v>13 2025</v>
      </c>
      <c r="L2066" t="str">
        <f>CONCATENATE(MONTH(CompilDonnées[[#This Row],[PlantationDate]])," ", YEAR(CompilDonnées[[#This Row],[PlantationDate]]))</f>
        <v>3 2025</v>
      </c>
      <c r="M2066" t="str">
        <f>CONCATENATE(MONTH(CompilDonnées[[#This Row],[HarvestingDate]])," ", YEAR(CompilDonnées[[#This Row],[HarvestingDate]]))</f>
        <v>5 2025</v>
      </c>
      <c r="N2066">
        <f>_xlfn.NUMBERVALUE(CompilDonnées[[#This Row],[FarmID]]&amp;CompilDonnées[[#This Row],[ModuleNumber]]&amp;CompilDonnées[[#This Row],[PlantationDate]])</f>
        <v>44245742</v>
      </c>
      <c r="O2066" t="str">
        <f>CompilDonnées[[#This Row],[FarmID]]&amp;CompilDonnées[[#This Row],[ModuleNumber]]</f>
        <v>442</v>
      </c>
      <c r="P2066" t="str">
        <f>CompilDonnées[[#This Row],[Ref_Module]]&amp;CompilDonnées[[#This Row],[HarvestingDate]]</f>
        <v>44245792</v>
      </c>
    </row>
    <row r="2067" spans="1:16">
      <c r="A2067" s="5">
        <v>45743</v>
      </c>
      <c r="B2067">
        <v>27</v>
      </c>
      <c r="C2067" t="s">
        <v>88</v>
      </c>
      <c r="D2067">
        <v>6</v>
      </c>
      <c r="E2067">
        <v>100</v>
      </c>
      <c r="F2067" t="s">
        <v>1</v>
      </c>
      <c r="G2067" s="6">
        <v>45793</v>
      </c>
      <c r="H2067">
        <v>50</v>
      </c>
      <c r="I2067">
        <f>ROUND(CompilDonnées[[#This Row],[CultureDuration_days]]/7,0)</f>
        <v>7</v>
      </c>
      <c r="J2067">
        <v>2390</v>
      </c>
      <c r="K2067" t="str">
        <f>_xlfn.CONCAT(WEEKNUM(CompilDonnées[[#This Row],[PlantationDate]]), " ", YEAR(CompilDonnées[[#This Row],[PlantationDate]]))</f>
        <v>13 2025</v>
      </c>
      <c r="L2067" t="str">
        <f>CONCATENATE(MONTH(CompilDonnées[[#This Row],[PlantationDate]])," ", YEAR(CompilDonnées[[#This Row],[PlantationDate]]))</f>
        <v>3 2025</v>
      </c>
      <c r="M2067" t="str">
        <f>CONCATENATE(MONTH(CompilDonnées[[#This Row],[HarvestingDate]])," ", YEAR(CompilDonnées[[#This Row],[HarvestingDate]]))</f>
        <v>5 2025</v>
      </c>
      <c r="N2067">
        <f>_xlfn.NUMBERVALUE(CompilDonnées[[#This Row],[FarmID]]&amp;CompilDonnées[[#This Row],[ModuleNumber]]&amp;CompilDonnées[[#This Row],[PlantationDate]])</f>
        <v>27645743</v>
      </c>
      <c r="O2067" t="str">
        <f>CompilDonnées[[#This Row],[FarmID]]&amp;CompilDonnées[[#This Row],[ModuleNumber]]</f>
        <v>276</v>
      </c>
      <c r="P2067" t="str">
        <f>CompilDonnées[[#This Row],[Ref_Module]]&amp;CompilDonnées[[#This Row],[HarvestingDate]]</f>
        <v>27645793</v>
      </c>
    </row>
    <row r="2068" spans="1:16">
      <c r="A2068" s="5">
        <v>45743</v>
      </c>
      <c r="B2068">
        <v>30</v>
      </c>
      <c r="C2068" t="s">
        <v>4</v>
      </c>
      <c r="D2068">
        <v>3</v>
      </c>
      <c r="E2068">
        <v>100</v>
      </c>
      <c r="F2068" t="s">
        <v>1</v>
      </c>
      <c r="G2068" s="6">
        <v>45792</v>
      </c>
      <c r="H2068">
        <v>49</v>
      </c>
      <c r="I2068">
        <f>ROUND(CompilDonnées[[#This Row],[CultureDuration_days]]/7,0)</f>
        <v>7</v>
      </c>
      <c r="J2068">
        <v>2522</v>
      </c>
      <c r="K2068" t="str">
        <f>_xlfn.CONCAT(WEEKNUM(CompilDonnées[[#This Row],[PlantationDate]]), " ", YEAR(CompilDonnées[[#This Row],[PlantationDate]]))</f>
        <v>13 2025</v>
      </c>
      <c r="L2068" t="str">
        <f>CONCATENATE(MONTH(CompilDonnées[[#This Row],[PlantationDate]])," ", YEAR(CompilDonnées[[#This Row],[PlantationDate]]))</f>
        <v>3 2025</v>
      </c>
      <c r="M2068" t="str">
        <f>CONCATENATE(MONTH(CompilDonnées[[#This Row],[HarvestingDate]])," ", YEAR(CompilDonnées[[#This Row],[HarvestingDate]]))</f>
        <v>5 2025</v>
      </c>
      <c r="N2068">
        <f>_xlfn.NUMBERVALUE(CompilDonnées[[#This Row],[FarmID]]&amp;CompilDonnées[[#This Row],[ModuleNumber]]&amp;CompilDonnées[[#This Row],[PlantationDate]])</f>
        <v>30345743</v>
      </c>
      <c r="O2068" t="str">
        <f>CompilDonnées[[#This Row],[FarmID]]&amp;CompilDonnées[[#This Row],[ModuleNumber]]</f>
        <v>303</v>
      </c>
      <c r="P2068" t="str">
        <f>CompilDonnées[[#This Row],[Ref_Module]]&amp;CompilDonnées[[#This Row],[HarvestingDate]]</f>
        <v>30345792</v>
      </c>
    </row>
    <row r="2069" spans="1:16">
      <c r="A2069" s="5">
        <v>45743</v>
      </c>
      <c r="B2069">
        <v>31</v>
      </c>
      <c r="C2069" t="s">
        <v>62</v>
      </c>
      <c r="D2069">
        <v>6</v>
      </c>
      <c r="E2069">
        <v>100</v>
      </c>
      <c r="F2069" t="s">
        <v>1</v>
      </c>
      <c r="G2069" s="6">
        <v>45785</v>
      </c>
      <c r="H2069">
        <v>42</v>
      </c>
      <c r="I2069">
        <f>ROUND(CompilDonnées[[#This Row],[CultureDuration_days]]/7,0)</f>
        <v>6</v>
      </c>
      <c r="J2069">
        <v>2448</v>
      </c>
      <c r="K2069" t="str">
        <f>_xlfn.CONCAT(WEEKNUM(CompilDonnées[[#This Row],[PlantationDate]]), " ", YEAR(CompilDonnées[[#This Row],[PlantationDate]]))</f>
        <v>13 2025</v>
      </c>
      <c r="L2069" t="str">
        <f>CONCATENATE(MONTH(CompilDonnées[[#This Row],[PlantationDate]])," ", YEAR(CompilDonnées[[#This Row],[PlantationDate]]))</f>
        <v>3 2025</v>
      </c>
      <c r="M2069" t="str">
        <f>CONCATENATE(MONTH(CompilDonnées[[#This Row],[HarvestingDate]])," ", YEAR(CompilDonnées[[#This Row],[HarvestingDate]]))</f>
        <v>5 2025</v>
      </c>
      <c r="N2069">
        <f>_xlfn.NUMBERVALUE(CompilDonnées[[#This Row],[FarmID]]&amp;CompilDonnées[[#This Row],[ModuleNumber]]&amp;CompilDonnées[[#This Row],[PlantationDate]])</f>
        <v>31645743</v>
      </c>
      <c r="O2069" t="str">
        <f>CompilDonnées[[#This Row],[FarmID]]&amp;CompilDonnées[[#This Row],[ModuleNumber]]</f>
        <v>316</v>
      </c>
      <c r="P2069" t="str">
        <f>CompilDonnées[[#This Row],[Ref_Module]]&amp;CompilDonnées[[#This Row],[HarvestingDate]]</f>
        <v>31645785</v>
      </c>
    </row>
    <row r="2070" spans="1:16">
      <c r="A2070" s="5">
        <v>45743</v>
      </c>
      <c r="B2070">
        <v>36</v>
      </c>
      <c r="C2070" t="s">
        <v>63</v>
      </c>
      <c r="D2070">
        <v>1</v>
      </c>
      <c r="E2070">
        <v>100</v>
      </c>
      <c r="F2070" t="s">
        <v>1</v>
      </c>
      <c r="G2070" s="6">
        <v>45782</v>
      </c>
      <c r="H2070">
        <v>39</v>
      </c>
      <c r="I2070">
        <f>ROUND(CompilDonnées[[#This Row],[CultureDuration_days]]/7,0)</f>
        <v>6</v>
      </c>
      <c r="J2070">
        <v>2333</v>
      </c>
      <c r="K2070" t="str">
        <f>_xlfn.CONCAT(WEEKNUM(CompilDonnées[[#This Row],[PlantationDate]]), " ", YEAR(CompilDonnées[[#This Row],[PlantationDate]]))</f>
        <v>13 2025</v>
      </c>
      <c r="L2070" t="str">
        <f>CONCATENATE(MONTH(CompilDonnées[[#This Row],[PlantationDate]])," ", YEAR(CompilDonnées[[#This Row],[PlantationDate]]))</f>
        <v>3 2025</v>
      </c>
      <c r="M2070" t="str">
        <f>CONCATENATE(MONTH(CompilDonnées[[#This Row],[HarvestingDate]])," ", YEAR(CompilDonnées[[#This Row],[HarvestingDate]]))</f>
        <v>5 2025</v>
      </c>
      <c r="N2070">
        <f>_xlfn.NUMBERVALUE(CompilDonnées[[#This Row],[FarmID]]&amp;CompilDonnées[[#This Row],[ModuleNumber]]&amp;CompilDonnées[[#This Row],[PlantationDate]])</f>
        <v>36145743</v>
      </c>
      <c r="O2070" t="str">
        <f>CompilDonnées[[#This Row],[FarmID]]&amp;CompilDonnées[[#This Row],[ModuleNumber]]</f>
        <v>361</v>
      </c>
      <c r="P2070" t="str">
        <f>CompilDonnées[[#This Row],[Ref_Module]]&amp;CompilDonnées[[#This Row],[HarvestingDate]]</f>
        <v>36145782</v>
      </c>
    </row>
    <row r="2071" spans="1:16">
      <c r="A2071" s="5">
        <v>45743</v>
      </c>
      <c r="B2071">
        <v>10</v>
      </c>
      <c r="C2071" t="s">
        <v>109</v>
      </c>
      <c r="D2071">
        <v>2</v>
      </c>
      <c r="E2071">
        <v>100</v>
      </c>
      <c r="F2071" t="s">
        <v>1</v>
      </c>
      <c r="G2071" s="6">
        <v>45782</v>
      </c>
      <c r="H2071">
        <v>39</v>
      </c>
      <c r="I2071">
        <f>ROUND(CompilDonnées[[#This Row],[CultureDuration_days]]/7,0)</f>
        <v>6</v>
      </c>
      <c r="J2071">
        <v>2425</v>
      </c>
      <c r="K2071" t="str">
        <f>_xlfn.CONCAT(WEEKNUM(CompilDonnées[[#This Row],[PlantationDate]]), " ", YEAR(CompilDonnées[[#This Row],[PlantationDate]]))</f>
        <v>13 2025</v>
      </c>
      <c r="L2071" t="str">
        <f>CONCATENATE(MONTH(CompilDonnées[[#This Row],[PlantationDate]])," ", YEAR(CompilDonnées[[#This Row],[PlantationDate]]))</f>
        <v>3 2025</v>
      </c>
      <c r="M2071" t="str">
        <f>CONCATENATE(MONTH(CompilDonnées[[#This Row],[HarvestingDate]])," ", YEAR(CompilDonnées[[#This Row],[HarvestingDate]]))</f>
        <v>5 2025</v>
      </c>
      <c r="N2071">
        <f>_xlfn.NUMBERVALUE(CompilDonnées[[#This Row],[FarmID]]&amp;CompilDonnées[[#This Row],[ModuleNumber]]&amp;CompilDonnées[[#This Row],[PlantationDate]])</f>
        <v>10245743</v>
      </c>
      <c r="O2071" t="str">
        <f>CompilDonnées[[#This Row],[FarmID]]&amp;CompilDonnées[[#This Row],[ModuleNumber]]</f>
        <v>102</v>
      </c>
      <c r="P2071" t="str">
        <f>CompilDonnées[[#This Row],[Ref_Module]]&amp;CompilDonnées[[#This Row],[HarvestingDate]]</f>
        <v>10245782</v>
      </c>
    </row>
    <row r="2072" spans="1:16">
      <c r="A2072" s="5">
        <v>45743</v>
      </c>
      <c r="B2072">
        <v>13</v>
      </c>
      <c r="C2072" t="s">
        <v>114</v>
      </c>
      <c r="D2072">
        <v>5</v>
      </c>
      <c r="E2072">
        <v>100</v>
      </c>
      <c r="F2072" t="s">
        <v>1</v>
      </c>
      <c r="G2072" s="6">
        <v>45793</v>
      </c>
      <c r="H2072">
        <v>50</v>
      </c>
      <c r="I2072">
        <f>ROUND(CompilDonnées[[#This Row],[CultureDuration_days]]/7,0)</f>
        <v>7</v>
      </c>
      <c r="J2072">
        <v>3177</v>
      </c>
      <c r="K2072" t="str">
        <f>_xlfn.CONCAT(WEEKNUM(CompilDonnées[[#This Row],[PlantationDate]]), " ", YEAR(CompilDonnées[[#This Row],[PlantationDate]]))</f>
        <v>13 2025</v>
      </c>
      <c r="L2072" t="str">
        <f>CONCATENATE(MONTH(CompilDonnées[[#This Row],[PlantationDate]])," ", YEAR(CompilDonnées[[#This Row],[PlantationDate]]))</f>
        <v>3 2025</v>
      </c>
      <c r="M2072" t="str">
        <f>CONCATENATE(MONTH(CompilDonnées[[#This Row],[HarvestingDate]])," ", YEAR(CompilDonnées[[#This Row],[HarvestingDate]]))</f>
        <v>5 2025</v>
      </c>
      <c r="N2072">
        <f>_xlfn.NUMBERVALUE(CompilDonnées[[#This Row],[FarmID]]&amp;CompilDonnées[[#This Row],[ModuleNumber]]&amp;CompilDonnées[[#This Row],[PlantationDate]])</f>
        <v>13545743</v>
      </c>
      <c r="O2072" t="str">
        <f>CompilDonnées[[#This Row],[FarmID]]&amp;CompilDonnées[[#This Row],[ModuleNumber]]</f>
        <v>135</v>
      </c>
      <c r="P2072" t="str">
        <f>CompilDonnées[[#This Row],[Ref_Module]]&amp;CompilDonnées[[#This Row],[HarvestingDate]]</f>
        <v>13545793</v>
      </c>
    </row>
    <row r="2073" spans="1:16">
      <c r="A2073" s="5">
        <v>45743</v>
      </c>
      <c r="B2073">
        <v>19</v>
      </c>
      <c r="C2073" t="s">
        <v>108</v>
      </c>
      <c r="D2073">
        <v>6</v>
      </c>
      <c r="E2073">
        <v>100</v>
      </c>
      <c r="F2073" t="s">
        <v>1</v>
      </c>
      <c r="G2073" s="6">
        <v>45793</v>
      </c>
      <c r="H2073">
        <v>50</v>
      </c>
      <c r="I2073">
        <f>ROUND(CompilDonnées[[#This Row],[CultureDuration_days]]/7,0)</f>
        <v>7</v>
      </c>
      <c r="J2073">
        <v>2306</v>
      </c>
      <c r="K2073" t="str">
        <f>_xlfn.CONCAT(WEEKNUM(CompilDonnées[[#This Row],[PlantationDate]]), " ", YEAR(CompilDonnées[[#This Row],[PlantationDate]]))</f>
        <v>13 2025</v>
      </c>
      <c r="L2073" t="str">
        <f>CONCATENATE(MONTH(CompilDonnées[[#This Row],[PlantationDate]])," ", YEAR(CompilDonnées[[#This Row],[PlantationDate]]))</f>
        <v>3 2025</v>
      </c>
      <c r="M2073" t="str">
        <f>CONCATENATE(MONTH(CompilDonnées[[#This Row],[HarvestingDate]])," ", YEAR(CompilDonnées[[#This Row],[HarvestingDate]]))</f>
        <v>5 2025</v>
      </c>
      <c r="N2073">
        <f>_xlfn.NUMBERVALUE(CompilDonnées[[#This Row],[FarmID]]&amp;CompilDonnées[[#This Row],[ModuleNumber]]&amp;CompilDonnées[[#This Row],[PlantationDate]])</f>
        <v>19645743</v>
      </c>
      <c r="O2073" t="str">
        <f>CompilDonnées[[#This Row],[FarmID]]&amp;CompilDonnées[[#This Row],[ModuleNumber]]</f>
        <v>196</v>
      </c>
      <c r="P2073" t="str">
        <f>CompilDonnées[[#This Row],[Ref_Module]]&amp;CompilDonnées[[#This Row],[HarvestingDate]]</f>
        <v>19645793</v>
      </c>
    </row>
    <row r="2074" spans="1:16">
      <c r="A2074" s="5">
        <v>45743</v>
      </c>
      <c r="B2074">
        <v>20</v>
      </c>
      <c r="C2074" t="s">
        <v>53</v>
      </c>
      <c r="D2074">
        <v>4</v>
      </c>
      <c r="E2074">
        <v>100</v>
      </c>
      <c r="F2074" t="s">
        <v>1</v>
      </c>
      <c r="G2074" s="6">
        <v>45782</v>
      </c>
      <c r="H2074">
        <v>39</v>
      </c>
      <c r="I2074">
        <f>ROUND(CompilDonnées[[#This Row],[CultureDuration_days]]/7,0)</f>
        <v>6</v>
      </c>
      <c r="J2074">
        <v>1381</v>
      </c>
      <c r="K2074" t="str">
        <f>_xlfn.CONCAT(WEEKNUM(CompilDonnées[[#This Row],[PlantationDate]]), " ", YEAR(CompilDonnées[[#This Row],[PlantationDate]]))</f>
        <v>13 2025</v>
      </c>
      <c r="L2074" t="str">
        <f>CONCATENATE(MONTH(CompilDonnées[[#This Row],[PlantationDate]])," ", YEAR(CompilDonnées[[#This Row],[PlantationDate]]))</f>
        <v>3 2025</v>
      </c>
      <c r="M2074" t="str">
        <f>CONCATENATE(MONTH(CompilDonnées[[#This Row],[HarvestingDate]])," ", YEAR(CompilDonnées[[#This Row],[HarvestingDate]]))</f>
        <v>5 2025</v>
      </c>
      <c r="N2074">
        <f>_xlfn.NUMBERVALUE(CompilDonnées[[#This Row],[FarmID]]&amp;CompilDonnées[[#This Row],[ModuleNumber]]&amp;CompilDonnées[[#This Row],[PlantationDate]])</f>
        <v>20445743</v>
      </c>
      <c r="O2074" t="str">
        <f>CompilDonnées[[#This Row],[FarmID]]&amp;CompilDonnées[[#This Row],[ModuleNumber]]</f>
        <v>204</v>
      </c>
      <c r="P2074" t="str">
        <f>CompilDonnées[[#This Row],[Ref_Module]]&amp;CompilDonnées[[#This Row],[HarvestingDate]]</f>
        <v>20445782</v>
      </c>
    </row>
    <row r="2075" spans="1:16">
      <c r="A2075" s="5">
        <v>45743</v>
      </c>
      <c r="B2075">
        <v>21</v>
      </c>
      <c r="C2075" t="s">
        <v>0</v>
      </c>
      <c r="D2075">
        <v>4</v>
      </c>
      <c r="E2075">
        <v>100</v>
      </c>
      <c r="F2075" t="s">
        <v>1</v>
      </c>
      <c r="G2075" s="6">
        <v>45792</v>
      </c>
      <c r="H2075">
        <v>49</v>
      </c>
      <c r="I2075">
        <f>ROUND(CompilDonnées[[#This Row],[CultureDuration_days]]/7,0)</f>
        <v>7</v>
      </c>
      <c r="J2075">
        <v>2848</v>
      </c>
      <c r="K2075" t="str">
        <f>_xlfn.CONCAT(WEEKNUM(CompilDonnées[[#This Row],[PlantationDate]]), " ", YEAR(CompilDonnées[[#This Row],[PlantationDate]]))</f>
        <v>13 2025</v>
      </c>
      <c r="L2075" t="str">
        <f>CONCATENATE(MONTH(CompilDonnées[[#This Row],[PlantationDate]])," ", YEAR(CompilDonnées[[#This Row],[PlantationDate]]))</f>
        <v>3 2025</v>
      </c>
      <c r="M2075" t="str">
        <f>CONCATENATE(MONTH(CompilDonnées[[#This Row],[HarvestingDate]])," ", YEAR(CompilDonnées[[#This Row],[HarvestingDate]]))</f>
        <v>5 2025</v>
      </c>
      <c r="N2075">
        <f>_xlfn.NUMBERVALUE(CompilDonnées[[#This Row],[FarmID]]&amp;CompilDonnées[[#This Row],[ModuleNumber]]&amp;CompilDonnées[[#This Row],[PlantationDate]])</f>
        <v>21445743</v>
      </c>
      <c r="O2075" t="str">
        <f>CompilDonnées[[#This Row],[FarmID]]&amp;CompilDonnées[[#This Row],[ModuleNumber]]</f>
        <v>214</v>
      </c>
      <c r="P2075" t="str">
        <f>CompilDonnées[[#This Row],[Ref_Module]]&amp;CompilDonnées[[#This Row],[HarvestingDate]]</f>
        <v>21445792</v>
      </c>
    </row>
    <row r="2076" spans="1:16">
      <c r="A2076" s="5">
        <v>45743</v>
      </c>
      <c r="B2076">
        <v>22</v>
      </c>
      <c r="C2076" t="s">
        <v>43</v>
      </c>
      <c r="D2076">
        <v>3</v>
      </c>
      <c r="E2076">
        <v>100</v>
      </c>
      <c r="F2076" t="s">
        <v>1</v>
      </c>
      <c r="G2076" s="6">
        <v>45793</v>
      </c>
      <c r="H2076">
        <v>50</v>
      </c>
      <c r="I2076">
        <f>ROUND(CompilDonnées[[#This Row],[CultureDuration_days]]/7,0)</f>
        <v>7</v>
      </c>
      <c r="J2076">
        <v>2876</v>
      </c>
      <c r="K2076" t="str">
        <f>_xlfn.CONCAT(WEEKNUM(CompilDonnées[[#This Row],[PlantationDate]]), " ", YEAR(CompilDonnées[[#This Row],[PlantationDate]]))</f>
        <v>13 2025</v>
      </c>
      <c r="L2076" t="str">
        <f>CONCATENATE(MONTH(CompilDonnées[[#This Row],[PlantationDate]])," ", YEAR(CompilDonnées[[#This Row],[PlantationDate]]))</f>
        <v>3 2025</v>
      </c>
      <c r="M2076" t="str">
        <f>CONCATENATE(MONTH(CompilDonnées[[#This Row],[HarvestingDate]])," ", YEAR(CompilDonnées[[#This Row],[HarvestingDate]]))</f>
        <v>5 2025</v>
      </c>
      <c r="N2076">
        <f>_xlfn.NUMBERVALUE(CompilDonnées[[#This Row],[FarmID]]&amp;CompilDonnées[[#This Row],[ModuleNumber]]&amp;CompilDonnées[[#This Row],[PlantationDate]])</f>
        <v>22345743</v>
      </c>
      <c r="O2076" t="str">
        <f>CompilDonnées[[#This Row],[FarmID]]&amp;CompilDonnées[[#This Row],[ModuleNumber]]</f>
        <v>223</v>
      </c>
      <c r="P2076" t="str">
        <f>CompilDonnées[[#This Row],[Ref_Module]]&amp;CompilDonnées[[#This Row],[HarvestingDate]]</f>
        <v>22345793</v>
      </c>
    </row>
    <row r="2077" spans="1:16">
      <c r="A2077" s="5">
        <v>45743</v>
      </c>
      <c r="B2077">
        <v>48</v>
      </c>
      <c r="C2077" t="s">
        <v>71</v>
      </c>
      <c r="D2077">
        <v>5</v>
      </c>
      <c r="E2077">
        <v>100</v>
      </c>
      <c r="F2077" t="s">
        <v>1</v>
      </c>
      <c r="G2077" s="6">
        <v>45792</v>
      </c>
      <c r="H2077">
        <v>49</v>
      </c>
      <c r="I2077">
        <f>ROUND(CompilDonnées[[#This Row],[CultureDuration_days]]/7,0)</f>
        <v>7</v>
      </c>
      <c r="J2077">
        <v>2823</v>
      </c>
      <c r="K2077" t="str">
        <f>_xlfn.CONCAT(WEEKNUM(CompilDonnées[[#This Row],[PlantationDate]]), " ", YEAR(CompilDonnées[[#This Row],[PlantationDate]]))</f>
        <v>13 2025</v>
      </c>
      <c r="L2077" t="str">
        <f>CONCATENATE(MONTH(CompilDonnées[[#This Row],[PlantationDate]])," ", YEAR(CompilDonnées[[#This Row],[PlantationDate]]))</f>
        <v>3 2025</v>
      </c>
      <c r="M2077" t="str">
        <f>CONCATENATE(MONTH(CompilDonnées[[#This Row],[HarvestingDate]])," ", YEAR(CompilDonnées[[#This Row],[HarvestingDate]]))</f>
        <v>5 2025</v>
      </c>
      <c r="N2077">
        <f>_xlfn.NUMBERVALUE(CompilDonnées[[#This Row],[FarmID]]&amp;CompilDonnées[[#This Row],[ModuleNumber]]&amp;CompilDonnées[[#This Row],[PlantationDate]])</f>
        <v>48545743</v>
      </c>
      <c r="O2077" t="str">
        <f>CompilDonnées[[#This Row],[FarmID]]&amp;CompilDonnées[[#This Row],[ModuleNumber]]</f>
        <v>485</v>
      </c>
      <c r="P2077" t="str">
        <f>CompilDonnées[[#This Row],[Ref_Module]]&amp;CompilDonnées[[#This Row],[HarvestingDate]]</f>
        <v>48545792</v>
      </c>
    </row>
    <row r="2078" spans="1:16">
      <c r="A2078" s="5">
        <v>45743</v>
      </c>
      <c r="B2078">
        <v>49</v>
      </c>
      <c r="C2078" t="s">
        <v>110</v>
      </c>
      <c r="D2078">
        <v>1</v>
      </c>
      <c r="E2078">
        <v>100</v>
      </c>
      <c r="F2078" t="s">
        <v>1</v>
      </c>
      <c r="G2078" s="6">
        <v>45792</v>
      </c>
      <c r="H2078">
        <v>49</v>
      </c>
      <c r="I2078">
        <f>ROUND(CompilDonnées[[#This Row],[CultureDuration_days]]/7,0)</f>
        <v>7</v>
      </c>
      <c r="J2078">
        <v>2509</v>
      </c>
      <c r="K2078" t="str">
        <f>_xlfn.CONCAT(WEEKNUM(CompilDonnées[[#This Row],[PlantationDate]]), " ", YEAR(CompilDonnées[[#This Row],[PlantationDate]]))</f>
        <v>13 2025</v>
      </c>
      <c r="L2078" t="str">
        <f>CONCATENATE(MONTH(CompilDonnées[[#This Row],[PlantationDate]])," ", YEAR(CompilDonnées[[#This Row],[PlantationDate]]))</f>
        <v>3 2025</v>
      </c>
      <c r="M2078" t="str">
        <f>CONCATENATE(MONTH(CompilDonnées[[#This Row],[HarvestingDate]])," ", YEAR(CompilDonnées[[#This Row],[HarvestingDate]]))</f>
        <v>5 2025</v>
      </c>
      <c r="N2078">
        <f>_xlfn.NUMBERVALUE(CompilDonnées[[#This Row],[FarmID]]&amp;CompilDonnées[[#This Row],[ModuleNumber]]&amp;CompilDonnées[[#This Row],[PlantationDate]])</f>
        <v>49145743</v>
      </c>
      <c r="O2078" t="str">
        <f>CompilDonnées[[#This Row],[FarmID]]&amp;CompilDonnées[[#This Row],[ModuleNumber]]</f>
        <v>491</v>
      </c>
      <c r="P2078" t="str">
        <f>CompilDonnées[[#This Row],[Ref_Module]]&amp;CompilDonnées[[#This Row],[HarvestingDate]]</f>
        <v>49145792</v>
      </c>
    </row>
    <row r="2079" spans="1:16">
      <c r="A2079" s="5">
        <v>45743</v>
      </c>
      <c r="B2079">
        <v>50</v>
      </c>
      <c r="C2079" t="s">
        <v>55</v>
      </c>
      <c r="D2079">
        <v>2</v>
      </c>
      <c r="E2079">
        <v>100</v>
      </c>
      <c r="F2079" t="s">
        <v>1</v>
      </c>
      <c r="G2079" s="6">
        <v>45791</v>
      </c>
      <c r="H2079">
        <v>48</v>
      </c>
      <c r="I2079">
        <f>ROUND(CompilDonnées[[#This Row],[CultureDuration_days]]/7,0)</f>
        <v>7</v>
      </c>
      <c r="J2079">
        <v>2398</v>
      </c>
      <c r="K2079" t="str">
        <f>_xlfn.CONCAT(WEEKNUM(CompilDonnées[[#This Row],[PlantationDate]]), " ", YEAR(CompilDonnées[[#This Row],[PlantationDate]]))</f>
        <v>13 2025</v>
      </c>
      <c r="L2079" t="str">
        <f>CONCATENATE(MONTH(CompilDonnées[[#This Row],[PlantationDate]])," ", YEAR(CompilDonnées[[#This Row],[PlantationDate]]))</f>
        <v>3 2025</v>
      </c>
      <c r="M2079" t="str">
        <f>CONCATENATE(MONTH(CompilDonnées[[#This Row],[HarvestingDate]])," ", YEAR(CompilDonnées[[#This Row],[HarvestingDate]]))</f>
        <v>5 2025</v>
      </c>
      <c r="N2079">
        <f>_xlfn.NUMBERVALUE(CompilDonnées[[#This Row],[FarmID]]&amp;CompilDonnées[[#This Row],[ModuleNumber]]&amp;CompilDonnées[[#This Row],[PlantationDate]])</f>
        <v>50245743</v>
      </c>
      <c r="O2079" t="str">
        <f>CompilDonnées[[#This Row],[FarmID]]&amp;CompilDonnées[[#This Row],[ModuleNumber]]</f>
        <v>502</v>
      </c>
      <c r="P2079" t="str">
        <f>CompilDonnées[[#This Row],[Ref_Module]]&amp;CompilDonnées[[#This Row],[HarvestingDate]]</f>
        <v>50245791</v>
      </c>
    </row>
    <row r="2080" spans="1:16">
      <c r="A2080" s="5">
        <v>45743</v>
      </c>
      <c r="B2080">
        <v>51</v>
      </c>
      <c r="C2080" t="s">
        <v>27</v>
      </c>
      <c r="D2080">
        <v>4</v>
      </c>
      <c r="E2080">
        <v>100</v>
      </c>
      <c r="F2080" t="s">
        <v>1</v>
      </c>
      <c r="G2080" s="6">
        <v>45786</v>
      </c>
      <c r="H2080">
        <v>43</v>
      </c>
      <c r="I2080">
        <f>ROUND(CompilDonnées[[#This Row],[CultureDuration_days]]/7,0)</f>
        <v>6</v>
      </c>
      <c r="J2080">
        <v>2522</v>
      </c>
      <c r="K2080" t="str">
        <f>_xlfn.CONCAT(WEEKNUM(CompilDonnées[[#This Row],[PlantationDate]]), " ", YEAR(CompilDonnées[[#This Row],[PlantationDate]]))</f>
        <v>13 2025</v>
      </c>
      <c r="L2080" t="str">
        <f>CONCATENATE(MONTH(CompilDonnées[[#This Row],[PlantationDate]])," ", YEAR(CompilDonnées[[#This Row],[PlantationDate]]))</f>
        <v>3 2025</v>
      </c>
      <c r="M2080" t="str">
        <f>CONCATENATE(MONTH(CompilDonnées[[#This Row],[HarvestingDate]])," ", YEAR(CompilDonnées[[#This Row],[HarvestingDate]]))</f>
        <v>5 2025</v>
      </c>
      <c r="N2080">
        <f>_xlfn.NUMBERVALUE(CompilDonnées[[#This Row],[FarmID]]&amp;CompilDonnées[[#This Row],[ModuleNumber]]&amp;CompilDonnées[[#This Row],[PlantationDate]])</f>
        <v>51445743</v>
      </c>
      <c r="O2080" t="str">
        <f>CompilDonnées[[#This Row],[FarmID]]&amp;CompilDonnées[[#This Row],[ModuleNumber]]</f>
        <v>514</v>
      </c>
      <c r="P2080" t="str">
        <f>CompilDonnées[[#This Row],[Ref_Module]]&amp;CompilDonnées[[#This Row],[HarvestingDate]]</f>
        <v>51445786</v>
      </c>
    </row>
    <row r="2081" spans="1:16">
      <c r="A2081" s="5">
        <v>45743</v>
      </c>
      <c r="B2081">
        <v>55</v>
      </c>
      <c r="C2081" t="s">
        <v>60</v>
      </c>
      <c r="D2081">
        <v>1</v>
      </c>
      <c r="E2081">
        <v>100</v>
      </c>
      <c r="F2081" t="s">
        <v>1</v>
      </c>
      <c r="G2081" s="6">
        <v>45792</v>
      </c>
      <c r="H2081">
        <v>49</v>
      </c>
      <c r="I2081">
        <f>ROUND(CompilDonnées[[#This Row],[CultureDuration_days]]/7,0)</f>
        <v>7</v>
      </c>
      <c r="J2081">
        <v>2172</v>
      </c>
      <c r="K2081" t="str">
        <f>_xlfn.CONCAT(WEEKNUM(CompilDonnées[[#This Row],[PlantationDate]]), " ", YEAR(CompilDonnées[[#This Row],[PlantationDate]]))</f>
        <v>13 2025</v>
      </c>
      <c r="L2081" t="str">
        <f>CONCATENATE(MONTH(CompilDonnées[[#This Row],[PlantationDate]])," ", YEAR(CompilDonnées[[#This Row],[PlantationDate]]))</f>
        <v>3 2025</v>
      </c>
      <c r="M2081" t="str">
        <f>CONCATENATE(MONTH(CompilDonnées[[#This Row],[HarvestingDate]])," ", YEAR(CompilDonnées[[#This Row],[HarvestingDate]]))</f>
        <v>5 2025</v>
      </c>
      <c r="N2081">
        <f>_xlfn.NUMBERVALUE(CompilDonnées[[#This Row],[FarmID]]&amp;CompilDonnées[[#This Row],[ModuleNumber]]&amp;CompilDonnées[[#This Row],[PlantationDate]])</f>
        <v>55145743</v>
      </c>
      <c r="O2081" t="str">
        <f>CompilDonnées[[#This Row],[FarmID]]&amp;CompilDonnées[[#This Row],[ModuleNumber]]</f>
        <v>551</v>
      </c>
      <c r="P2081" t="str">
        <f>CompilDonnées[[#This Row],[Ref_Module]]&amp;CompilDonnées[[#This Row],[HarvestingDate]]</f>
        <v>55145792</v>
      </c>
    </row>
    <row r="2082" spans="1:16">
      <c r="A2082" s="5">
        <v>45743</v>
      </c>
      <c r="B2082">
        <v>56</v>
      </c>
      <c r="C2082" t="s">
        <v>6</v>
      </c>
      <c r="D2082">
        <v>5</v>
      </c>
      <c r="E2082">
        <v>100</v>
      </c>
      <c r="F2082" t="s">
        <v>1</v>
      </c>
      <c r="G2082" s="6">
        <v>45791</v>
      </c>
      <c r="H2082">
        <v>48</v>
      </c>
      <c r="I2082">
        <f>ROUND(CompilDonnées[[#This Row],[CultureDuration_days]]/7,0)</f>
        <v>7</v>
      </c>
      <c r="J2082">
        <v>2728</v>
      </c>
      <c r="K2082" t="str">
        <f>_xlfn.CONCAT(WEEKNUM(CompilDonnées[[#This Row],[PlantationDate]]), " ", YEAR(CompilDonnées[[#This Row],[PlantationDate]]))</f>
        <v>13 2025</v>
      </c>
      <c r="L2082" t="str">
        <f>CONCATENATE(MONTH(CompilDonnées[[#This Row],[PlantationDate]])," ", YEAR(CompilDonnées[[#This Row],[PlantationDate]]))</f>
        <v>3 2025</v>
      </c>
      <c r="M2082" t="str">
        <f>CONCATENATE(MONTH(CompilDonnées[[#This Row],[HarvestingDate]])," ", YEAR(CompilDonnées[[#This Row],[HarvestingDate]]))</f>
        <v>5 2025</v>
      </c>
      <c r="N2082">
        <f>_xlfn.NUMBERVALUE(CompilDonnées[[#This Row],[FarmID]]&amp;CompilDonnées[[#This Row],[ModuleNumber]]&amp;CompilDonnées[[#This Row],[PlantationDate]])</f>
        <v>56545743</v>
      </c>
      <c r="O2082" t="str">
        <f>CompilDonnées[[#This Row],[FarmID]]&amp;CompilDonnées[[#This Row],[ModuleNumber]]</f>
        <v>565</v>
      </c>
      <c r="P2082" t="str">
        <f>CompilDonnées[[#This Row],[Ref_Module]]&amp;CompilDonnées[[#This Row],[HarvestingDate]]</f>
        <v>56545791</v>
      </c>
    </row>
    <row r="2083" spans="1:16">
      <c r="A2083" s="5">
        <v>45743</v>
      </c>
      <c r="B2083">
        <v>57</v>
      </c>
      <c r="C2083" t="s">
        <v>46</v>
      </c>
      <c r="D2083">
        <v>1</v>
      </c>
      <c r="E2083">
        <v>100</v>
      </c>
      <c r="F2083" t="s">
        <v>1</v>
      </c>
      <c r="G2083" s="6">
        <v>45785</v>
      </c>
      <c r="H2083">
        <v>42</v>
      </c>
      <c r="I2083">
        <f>ROUND(CompilDonnées[[#This Row],[CultureDuration_days]]/7,0)</f>
        <v>6</v>
      </c>
      <c r="J2083">
        <v>2102</v>
      </c>
      <c r="K2083" t="str">
        <f>_xlfn.CONCAT(WEEKNUM(CompilDonnées[[#This Row],[PlantationDate]]), " ", YEAR(CompilDonnées[[#This Row],[PlantationDate]]))</f>
        <v>13 2025</v>
      </c>
      <c r="L2083" t="str">
        <f>CONCATENATE(MONTH(CompilDonnées[[#This Row],[PlantationDate]])," ", YEAR(CompilDonnées[[#This Row],[PlantationDate]]))</f>
        <v>3 2025</v>
      </c>
      <c r="M2083" t="str">
        <f>CONCATENATE(MONTH(CompilDonnées[[#This Row],[HarvestingDate]])," ", YEAR(CompilDonnées[[#This Row],[HarvestingDate]]))</f>
        <v>5 2025</v>
      </c>
      <c r="N2083">
        <f>_xlfn.NUMBERVALUE(CompilDonnées[[#This Row],[FarmID]]&amp;CompilDonnées[[#This Row],[ModuleNumber]]&amp;CompilDonnées[[#This Row],[PlantationDate]])</f>
        <v>57145743</v>
      </c>
      <c r="O2083" t="str">
        <f>CompilDonnées[[#This Row],[FarmID]]&amp;CompilDonnées[[#This Row],[ModuleNumber]]</f>
        <v>571</v>
      </c>
      <c r="P2083" t="str">
        <f>CompilDonnées[[#This Row],[Ref_Module]]&amp;CompilDonnées[[#This Row],[HarvestingDate]]</f>
        <v>57145785</v>
      </c>
    </row>
    <row r="2084" spans="1:16">
      <c r="A2084" s="5">
        <v>45743</v>
      </c>
      <c r="B2084">
        <v>58</v>
      </c>
      <c r="C2084" t="s">
        <v>35</v>
      </c>
      <c r="D2084">
        <v>1</v>
      </c>
      <c r="E2084">
        <v>100</v>
      </c>
      <c r="F2084" t="s">
        <v>1</v>
      </c>
      <c r="G2084" s="6">
        <v>45785</v>
      </c>
      <c r="H2084">
        <v>42</v>
      </c>
      <c r="I2084">
        <f>ROUND(CompilDonnées[[#This Row],[CultureDuration_days]]/7,0)</f>
        <v>6</v>
      </c>
      <c r="J2084">
        <v>2217</v>
      </c>
      <c r="K2084" t="str">
        <f>_xlfn.CONCAT(WEEKNUM(CompilDonnées[[#This Row],[PlantationDate]]), " ", YEAR(CompilDonnées[[#This Row],[PlantationDate]]))</f>
        <v>13 2025</v>
      </c>
      <c r="L2084" t="str">
        <f>CONCATENATE(MONTH(CompilDonnées[[#This Row],[PlantationDate]])," ", YEAR(CompilDonnées[[#This Row],[PlantationDate]]))</f>
        <v>3 2025</v>
      </c>
      <c r="M2084" t="str">
        <f>CONCATENATE(MONTH(CompilDonnées[[#This Row],[HarvestingDate]])," ", YEAR(CompilDonnées[[#This Row],[HarvestingDate]]))</f>
        <v>5 2025</v>
      </c>
      <c r="N2084">
        <f>_xlfn.NUMBERVALUE(CompilDonnées[[#This Row],[FarmID]]&amp;CompilDonnées[[#This Row],[ModuleNumber]]&amp;CompilDonnées[[#This Row],[PlantationDate]])</f>
        <v>58145743</v>
      </c>
      <c r="O2084" t="str">
        <f>CompilDonnées[[#This Row],[FarmID]]&amp;CompilDonnées[[#This Row],[ModuleNumber]]</f>
        <v>581</v>
      </c>
      <c r="P2084" t="str">
        <f>CompilDonnées[[#This Row],[Ref_Module]]&amp;CompilDonnées[[#This Row],[HarvestingDate]]</f>
        <v>58145785</v>
      </c>
    </row>
    <row r="2085" spans="1:16">
      <c r="A2085" s="5">
        <v>45743</v>
      </c>
      <c r="B2085">
        <v>59</v>
      </c>
      <c r="C2085" t="s">
        <v>64</v>
      </c>
      <c r="D2085">
        <v>4</v>
      </c>
      <c r="E2085">
        <v>100</v>
      </c>
      <c r="F2085" t="s">
        <v>1</v>
      </c>
      <c r="G2085" s="6">
        <v>45786</v>
      </c>
      <c r="H2085">
        <v>43</v>
      </c>
      <c r="I2085">
        <f>ROUND(CompilDonnées[[#This Row],[CultureDuration_days]]/7,0)</f>
        <v>6</v>
      </c>
      <c r="J2085">
        <v>2399</v>
      </c>
      <c r="K2085" t="str">
        <f>_xlfn.CONCAT(WEEKNUM(CompilDonnées[[#This Row],[PlantationDate]]), " ", YEAR(CompilDonnées[[#This Row],[PlantationDate]]))</f>
        <v>13 2025</v>
      </c>
      <c r="L2085" t="str">
        <f>CONCATENATE(MONTH(CompilDonnées[[#This Row],[PlantationDate]])," ", YEAR(CompilDonnées[[#This Row],[PlantationDate]]))</f>
        <v>3 2025</v>
      </c>
      <c r="M2085" t="str">
        <f>CONCATENATE(MONTH(CompilDonnées[[#This Row],[HarvestingDate]])," ", YEAR(CompilDonnées[[#This Row],[HarvestingDate]]))</f>
        <v>5 2025</v>
      </c>
      <c r="N2085">
        <f>_xlfn.NUMBERVALUE(CompilDonnées[[#This Row],[FarmID]]&amp;CompilDonnées[[#This Row],[ModuleNumber]]&amp;CompilDonnées[[#This Row],[PlantationDate]])</f>
        <v>59445743</v>
      </c>
      <c r="O2085" t="str">
        <f>CompilDonnées[[#This Row],[FarmID]]&amp;CompilDonnées[[#This Row],[ModuleNumber]]</f>
        <v>594</v>
      </c>
      <c r="P2085" t="str">
        <f>CompilDonnées[[#This Row],[Ref_Module]]&amp;CompilDonnées[[#This Row],[HarvestingDate]]</f>
        <v>59445786</v>
      </c>
    </row>
    <row r="2086" spans="1:16">
      <c r="A2086" s="5">
        <v>45743</v>
      </c>
      <c r="B2086">
        <v>60</v>
      </c>
      <c r="C2086" t="s">
        <v>113</v>
      </c>
      <c r="D2086">
        <v>3</v>
      </c>
      <c r="E2086">
        <v>100</v>
      </c>
      <c r="F2086" t="s">
        <v>1</v>
      </c>
      <c r="G2086" s="6">
        <v>45785</v>
      </c>
      <c r="H2086">
        <v>42</v>
      </c>
      <c r="I2086">
        <f>ROUND(CompilDonnées[[#This Row],[CultureDuration_days]]/7,0)</f>
        <v>6</v>
      </c>
      <c r="J2086">
        <v>1706</v>
      </c>
      <c r="K2086" t="str">
        <f>_xlfn.CONCAT(WEEKNUM(CompilDonnées[[#This Row],[PlantationDate]]), " ", YEAR(CompilDonnées[[#This Row],[PlantationDate]]))</f>
        <v>13 2025</v>
      </c>
      <c r="L2086" t="str">
        <f>CONCATENATE(MONTH(CompilDonnées[[#This Row],[PlantationDate]])," ", YEAR(CompilDonnées[[#This Row],[PlantationDate]]))</f>
        <v>3 2025</v>
      </c>
      <c r="M2086" t="str">
        <f>CONCATENATE(MONTH(CompilDonnées[[#This Row],[HarvestingDate]])," ", YEAR(CompilDonnées[[#This Row],[HarvestingDate]]))</f>
        <v>5 2025</v>
      </c>
      <c r="N2086">
        <f>_xlfn.NUMBERVALUE(CompilDonnées[[#This Row],[FarmID]]&amp;CompilDonnées[[#This Row],[ModuleNumber]]&amp;CompilDonnées[[#This Row],[PlantationDate]])</f>
        <v>60345743</v>
      </c>
      <c r="O2086" t="str">
        <f>CompilDonnées[[#This Row],[FarmID]]&amp;CompilDonnées[[#This Row],[ModuleNumber]]</f>
        <v>603</v>
      </c>
      <c r="P2086" t="str">
        <f>CompilDonnées[[#This Row],[Ref_Module]]&amp;CompilDonnées[[#This Row],[HarvestingDate]]</f>
        <v>60345785</v>
      </c>
    </row>
    <row r="2087" spans="1:16">
      <c r="A2087" s="5">
        <v>45743</v>
      </c>
      <c r="B2087">
        <v>61</v>
      </c>
      <c r="C2087" t="s">
        <v>95</v>
      </c>
      <c r="D2087">
        <v>3</v>
      </c>
      <c r="E2087">
        <v>100</v>
      </c>
      <c r="F2087" t="s">
        <v>1</v>
      </c>
      <c r="G2087" s="6">
        <v>45785</v>
      </c>
      <c r="H2087">
        <v>42</v>
      </c>
      <c r="I2087">
        <f>ROUND(CompilDonnées[[#This Row],[CultureDuration_days]]/7,0)</f>
        <v>6</v>
      </c>
      <c r="J2087">
        <v>1557</v>
      </c>
      <c r="K2087" t="str">
        <f>_xlfn.CONCAT(WEEKNUM(CompilDonnées[[#This Row],[PlantationDate]]), " ", YEAR(CompilDonnées[[#This Row],[PlantationDate]]))</f>
        <v>13 2025</v>
      </c>
      <c r="L2087" t="str">
        <f>CONCATENATE(MONTH(CompilDonnées[[#This Row],[PlantationDate]])," ", YEAR(CompilDonnées[[#This Row],[PlantationDate]]))</f>
        <v>3 2025</v>
      </c>
      <c r="M2087" t="str">
        <f>CONCATENATE(MONTH(CompilDonnées[[#This Row],[HarvestingDate]])," ", YEAR(CompilDonnées[[#This Row],[HarvestingDate]]))</f>
        <v>5 2025</v>
      </c>
      <c r="N2087">
        <f>_xlfn.NUMBERVALUE(CompilDonnées[[#This Row],[FarmID]]&amp;CompilDonnées[[#This Row],[ModuleNumber]]&amp;CompilDonnées[[#This Row],[PlantationDate]])</f>
        <v>61345743</v>
      </c>
      <c r="O2087" t="str">
        <f>CompilDonnées[[#This Row],[FarmID]]&amp;CompilDonnées[[#This Row],[ModuleNumber]]</f>
        <v>613</v>
      </c>
      <c r="P2087" t="str">
        <f>CompilDonnées[[#This Row],[Ref_Module]]&amp;CompilDonnées[[#This Row],[HarvestingDate]]</f>
        <v>61345785</v>
      </c>
    </row>
    <row r="2088" spans="1:16">
      <c r="A2088" s="5">
        <v>45743</v>
      </c>
      <c r="B2088">
        <v>61</v>
      </c>
      <c r="C2088" t="s">
        <v>95</v>
      </c>
      <c r="D2088">
        <v>4</v>
      </c>
      <c r="E2088">
        <v>100</v>
      </c>
      <c r="F2088" t="s">
        <v>1</v>
      </c>
      <c r="G2088" s="6">
        <v>45785</v>
      </c>
      <c r="H2088">
        <v>42</v>
      </c>
      <c r="I2088">
        <f>ROUND(CompilDonnées[[#This Row],[CultureDuration_days]]/7,0)</f>
        <v>6</v>
      </c>
      <c r="J2088">
        <v>940</v>
      </c>
      <c r="K2088" t="str">
        <f>_xlfn.CONCAT(WEEKNUM(CompilDonnées[[#This Row],[PlantationDate]]), " ", YEAR(CompilDonnées[[#This Row],[PlantationDate]]))</f>
        <v>13 2025</v>
      </c>
      <c r="L2088" t="str">
        <f>CONCATENATE(MONTH(CompilDonnées[[#This Row],[PlantationDate]])," ", YEAR(CompilDonnées[[#This Row],[PlantationDate]]))</f>
        <v>3 2025</v>
      </c>
      <c r="M2088" t="str">
        <f>CONCATENATE(MONTH(CompilDonnées[[#This Row],[HarvestingDate]])," ", YEAR(CompilDonnées[[#This Row],[HarvestingDate]]))</f>
        <v>5 2025</v>
      </c>
      <c r="N2088">
        <f>_xlfn.NUMBERVALUE(CompilDonnées[[#This Row],[FarmID]]&amp;CompilDonnées[[#This Row],[ModuleNumber]]&amp;CompilDonnées[[#This Row],[PlantationDate]])</f>
        <v>61445743</v>
      </c>
      <c r="O2088" t="str">
        <f>CompilDonnées[[#This Row],[FarmID]]&amp;CompilDonnées[[#This Row],[ModuleNumber]]</f>
        <v>614</v>
      </c>
      <c r="P2088" t="str">
        <f>CompilDonnées[[#This Row],[Ref_Module]]&amp;CompilDonnées[[#This Row],[HarvestingDate]]</f>
        <v>61445785</v>
      </c>
    </row>
    <row r="2089" spans="1:16">
      <c r="A2089" s="5">
        <v>45743</v>
      </c>
      <c r="B2089">
        <v>63</v>
      </c>
      <c r="C2089" t="s">
        <v>98</v>
      </c>
      <c r="D2089">
        <v>4</v>
      </c>
      <c r="E2089">
        <v>100</v>
      </c>
      <c r="F2089" t="s">
        <v>1</v>
      </c>
      <c r="G2089" s="6">
        <v>45785</v>
      </c>
      <c r="H2089">
        <v>42</v>
      </c>
      <c r="I2089">
        <f>ROUND(CompilDonnées[[#This Row],[CultureDuration_days]]/7,0)</f>
        <v>6</v>
      </c>
      <c r="J2089">
        <v>1345</v>
      </c>
      <c r="K2089" t="str">
        <f>_xlfn.CONCAT(WEEKNUM(CompilDonnées[[#This Row],[PlantationDate]]), " ", YEAR(CompilDonnées[[#This Row],[PlantationDate]]))</f>
        <v>13 2025</v>
      </c>
      <c r="L2089" t="str">
        <f>CONCATENATE(MONTH(CompilDonnées[[#This Row],[PlantationDate]])," ", YEAR(CompilDonnées[[#This Row],[PlantationDate]]))</f>
        <v>3 2025</v>
      </c>
      <c r="M2089" t="str">
        <f>CONCATENATE(MONTH(CompilDonnées[[#This Row],[HarvestingDate]])," ", YEAR(CompilDonnées[[#This Row],[HarvestingDate]]))</f>
        <v>5 2025</v>
      </c>
      <c r="N2089">
        <f>_xlfn.NUMBERVALUE(CompilDonnées[[#This Row],[FarmID]]&amp;CompilDonnées[[#This Row],[ModuleNumber]]&amp;CompilDonnées[[#This Row],[PlantationDate]])</f>
        <v>63445743</v>
      </c>
      <c r="O2089" t="str">
        <f>CompilDonnées[[#This Row],[FarmID]]&amp;CompilDonnées[[#This Row],[ModuleNumber]]</f>
        <v>634</v>
      </c>
      <c r="P2089" t="str">
        <f>CompilDonnées[[#This Row],[Ref_Module]]&amp;CompilDonnées[[#This Row],[HarvestingDate]]</f>
        <v>63445785</v>
      </c>
    </row>
    <row r="2090" spans="1:16">
      <c r="A2090" s="5">
        <v>45743</v>
      </c>
      <c r="B2090">
        <v>65</v>
      </c>
      <c r="C2090" t="s">
        <v>36</v>
      </c>
      <c r="D2090">
        <v>5</v>
      </c>
      <c r="E2090">
        <v>100</v>
      </c>
      <c r="F2090" t="s">
        <v>1</v>
      </c>
      <c r="G2090" s="6">
        <v>45791</v>
      </c>
      <c r="H2090">
        <v>48</v>
      </c>
      <c r="I2090">
        <f>ROUND(CompilDonnées[[#This Row],[CultureDuration_days]]/7,0)</f>
        <v>7</v>
      </c>
      <c r="J2090">
        <v>2652</v>
      </c>
      <c r="K2090" t="str">
        <f>_xlfn.CONCAT(WEEKNUM(CompilDonnées[[#This Row],[PlantationDate]]), " ", YEAR(CompilDonnées[[#This Row],[PlantationDate]]))</f>
        <v>13 2025</v>
      </c>
      <c r="L2090" t="str">
        <f>CONCATENATE(MONTH(CompilDonnées[[#This Row],[PlantationDate]])," ", YEAR(CompilDonnées[[#This Row],[PlantationDate]]))</f>
        <v>3 2025</v>
      </c>
      <c r="M2090" t="str">
        <f>CONCATENATE(MONTH(CompilDonnées[[#This Row],[HarvestingDate]])," ", YEAR(CompilDonnées[[#This Row],[HarvestingDate]]))</f>
        <v>5 2025</v>
      </c>
      <c r="N2090">
        <f>_xlfn.NUMBERVALUE(CompilDonnées[[#This Row],[FarmID]]&amp;CompilDonnées[[#This Row],[ModuleNumber]]&amp;CompilDonnées[[#This Row],[PlantationDate]])</f>
        <v>65545743</v>
      </c>
      <c r="O2090" t="str">
        <f>CompilDonnées[[#This Row],[FarmID]]&amp;CompilDonnées[[#This Row],[ModuleNumber]]</f>
        <v>655</v>
      </c>
      <c r="P2090" t="str">
        <f>CompilDonnées[[#This Row],[Ref_Module]]&amp;CompilDonnées[[#This Row],[HarvestingDate]]</f>
        <v>65545791</v>
      </c>
    </row>
    <row r="2091" spans="1:16">
      <c r="A2091" s="5">
        <v>45743</v>
      </c>
      <c r="B2091">
        <v>66</v>
      </c>
      <c r="C2091" t="s">
        <v>48</v>
      </c>
      <c r="D2091">
        <v>3</v>
      </c>
      <c r="E2091">
        <v>100</v>
      </c>
      <c r="F2091" t="s">
        <v>1</v>
      </c>
      <c r="G2091" s="6">
        <v>45786</v>
      </c>
      <c r="H2091">
        <v>43</v>
      </c>
      <c r="I2091">
        <f>ROUND(CompilDonnées[[#This Row],[CultureDuration_days]]/7,0)</f>
        <v>6</v>
      </c>
      <c r="J2091">
        <v>2075</v>
      </c>
      <c r="K2091" t="str">
        <f>_xlfn.CONCAT(WEEKNUM(CompilDonnées[[#This Row],[PlantationDate]]), " ", YEAR(CompilDonnées[[#This Row],[PlantationDate]]))</f>
        <v>13 2025</v>
      </c>
      <c r="L2091" t="str">
        <f>CONCATENATE(MONTH(CompilDonnées[[#This Row],[PlantationDate]])," ", YEAR(CompilDonnées[[#This Row],[PlantationDate]]))</f>
        <v>3 2025</v>
      </c>
      <c r="M2091" t="str">
        <f>CONCATENATE(MONTH(CompilDonnées[[#This Row],[HarvestingDate]])," ", YEAR(CompilDonnées[[#This Row],[HarvestingDate]]))</f>
        <v>5 2025</v>
      </c>
      <c r="N2091">
        <f>_xlfn.NUMBERVALUE(CompilDonnées[[#This Row],[FarmID]]&amp;CompilDonnées[[#This Row],[ModuleNumber]]&amp;CompilDonnées[[#This Row],[PlantationDate]])</f>
        <v>66345743</v>
      </c>
      <c r="O2091" t="str">
        <f>CompilDonnées[[#This Row],[FarmID]]&amp;CompilDonnées[[#This Row],[ModuleNumber]]</f>
        <v>663</v>
      </c>
      <c r="P2091" t="str">
        <f>CompilDonnées[[#This Row],[Ref_Module]]&amp;CompilDonnées[[#This Row],[HarvestingDate]]</f>
        <v>66345786</v>
      </c>
    </row>
    <row r="2092" spans="1:16">
      <c r="A2092" s="5">
        <v>45743</v>
      </c>
      <c r="B2092">
        <v>67</v>
      </c>
      <c r="C2092" t="s">
        <v>28</v>
      </c>
      <c r="D2092">
        <v>3</v>
      </c>
      <c r="E2092">
        <v>100</v>
      </c>
      <c r="F2092" t="s">
        <v>1</v>
      </c>
      <c r="G2092" s="6">
        <v>45786</v>
      </c>
      <c r="H2092">
        <v>43</v>
      </c>
      <c r="I2092">
        <f>ROUND(CompilDonnées[[#This Row],[CultureDuration_days]]/7,0)</f>
        <v>6</v>
      </c>
      <c r="J2092">
        <v>2548</v>
      </c>
      <c r="K2092" t="str">
        <f>_xlfn.CONCAT(WEEKNUM(CompilDonnées[[#This Row],[PlantationDate]]), " ", YEAR(CompilDonnées[[#This Row],[PlantationDate]]))</f>
        <v>13 2025</v>
      </c>
      <c r="L2092" t="str">
        <f>CONCATENATE(MONTH(CompilDonnées[[#This Row],[PlantationDate]])," ", YEAR(CompilDonnées[[#This Row],[PlantationDate]]))</f>
        <v>3 2025</v>
      </c>
      <c r="M2092" t="str">
        <f>CONCATENATE(MONTH(CompilDonnées[[#This Row],[HarvestingDate]])," ", YEAR(CompilDonnées[[#This Row],[HarvestingDate]]))</f>
        <v>5 2025</v>
      </c>
      <c r="N2092">
        <f>_xlfn.NUMBERVALUE(CompilDonnées[[#This Row],[FarmID]]&amp;CompilDonnées[[#This Row],[ModuleNumber]]&amp;CompilDonnées[[#This Row],[PlantationDate]])</f>
        <v>67345743</v>
      </c>
      <c r="O2092" t="str">
        <f>CompilDonnées[[#This Row],[FarmID]]&amp;CompilDonnées[[#This Row],[ModuleNumber]]</f>
        <v>673</v>
      </c>
      <c r="P2092" t="str">
        <f>CompilDonnées[[#This Row],[Ref_Module]]&amp;CompilDonnées[[#This Row],[HarvestingDate]]</f>
        <v>67345786</v>
      </c>
    </row>
    <row r="2093" spans="1:16">
      <c r="A2093" s="5">
        <v>45743</v>
      </c>
      <c r="B2093">
        <v>89</v>
      </c>
      <c r="C2093" t="s">
        <v>67</v>
      </c>
      <c r="D2093">
        <v>5</v>
      </c>
      <c r="E2093">
        <v>100</v>
      </c>
      <c r="F2093" t="s">
        <v>1</v>
      </c>
      <c r="G2093" s="6">
        <v>45786</v>
      </c>
      <c r="H2093">
        <v>43</v>
      </c>
      <c r="I2093">
        <f>ROUND(CompilDonnées[[#This Row],[CultureDuration_days]]/7,0)</f>
        <v>6</v>
      </c>
      <c r="J2093">
        <v>1847</v>
      </c>
      <c r="K2093" t="str">
        <f>_xlfn.CONCAT(WEEKNUM(CompilDonnées[[#This Row],[PlantationDate]]), " ", YEAR(CompilDonnées[[#This Row],[PlantationDate]]))</f>
        <v>13 2025</v>
      </c>
      <c r="L2093" t="str">
        <f>CONCATENATE(MONTH(CompilDonnées[[#This Row],[PlantationDate]])," ", YEAR(CompilDonnées[[#This Row],[PlantationDate]]))</f>
        <v>3 2025</v>
      </c>
      <c r="M2093" t="str">
        <f>CONCATENATE(MONTH(CompilDonnées[[#This Row],[HarvestingDate]])," ", YEAR(CompilDonnées[[#This Row],[HarvestingDate]]))</f>
        <v>5 2025</v>
      </c>
      <c r="N2093">
        <f>_xlfn.NUMBERVALUE(CompilDonnées[[#This Row],[FarmID]]&amp;CompilDonnées[[#This Row],[ModuleNumber]]&amp;CompilDonnées[[#This Row],[PlantationDate]])</f>
        <v>89545743</v>
      </c>
      <c r="O2093" t="str">
        <f>CompilDonnées[[#This Row],[FarmID]]&amp;CompilDonnées[[#This Row],[ModuleNumber]]</f>
        <v>895</v>
      </c>
      <c r="P2093" t="str">
        <f>CompilDonnées[[#This Row],[Ref_Module]]&amp;CompilDonnées[[#This Row],[HarvestingDate]]</f>
        <v>89545786</v>
      </c>
    </row>
    <row r="2094" spans="1:16">
      <c r="A2094" s="5">
        <v>45743</v>
      </c>
      <c r="B2094">
        <v>91</v>
      </c>
      <c r="C2094" t="s">
        <v>9</v>
      </c>
      <c r="D2094">
        <v>4</v>
      </c>
      <c r="E2094">
        <v>100</v>
      </c>
      <c r="F2094" t="s">
        <v>1</v>
      </c>
      <c r="G2094" s="6">
        <v>45790</v>
      </c>
      <c r="H2094">
        <v>47</v>
      </c>
      <c r="I2094">
        <f>ROUND(CompilDonnées[[#This Row],[CultureDuration_days]]/7,0)</f>
        <v>7</v>
      </c>
      <c r="J2094">
        <v>2192</v>
      </c>
      <c r="K2094" t="str">
        <f>_xlfn.CONCAT(WEEKNUM(CompilDonnées[[#This Row],[PlantationDate]]), " ", YEAR(CompilDonnées[[#This Row],[PlantationDate]]))</f>
        <v>13 2025</v>
      </c>
      <c r="L2094" t="str">
        <f>CONCATENATE(MONTH(CompilDonnées[[#This Row],[PlantationDate]])," ", YEAR(CompilDonnées[[#This Row],[PlantationDate]]))</f>
        <v>3 2025</v>
      </c>
      <c r="M2094" t="str">
        <f>CONCATENATE(MONTH(CompilDonnées[[#This Row],[HarvestingDate]])," ", YEAR(CompilDonnées[[#This Row],[HarvestingDate]]))</f>
        <v>5 2025</v>
      </c>
      <c r="N2094">
        <f>_xlfn.NUMBERVALUE(CompilDonnées[[#This Row],[FarmID]]&amp;CompilDonnées[[#This Row],[ModuleNumber]]&amp;CompilDonnées[[#This Row],[PlantationDate]])</f>
        <v>91445743</v>
      </c>
      <c r="O2094" t="str">
        <f>CompilDonnées[[#This Row],[FarmID]]&amp;CompilDonnées[[#This Row],[ModuleNumber]]</f>
        <v>914</v>
      </c>
      <c r="P2094" t="str">
        <f>CompilDonnées[[#This Row],[Ref_Module]]&amp;CompilDonnées[[#This Row],[HarvestingDate]]</f>
        <v>91445790</v>
      </c>
    </row>
    <row r="2095" spans="1:16">
      <c r="A2095" s="5">
        <v>45743</v>
      </c>
      <c r="B2095">
        <v>145</v>
      </c>
      <c r="C2095" t="s">
        <v>3</v>
      </c>
      <c r="D2095">
        <v>3</v>
      </c>
      <c r="E2095">
        <v>60</v>
      </c>
      <c r="F2095" t="s">
        <v>105</v>
      </c>
      <c r="G2095" s="6">
        <v>45789</v>
      </c>
      <c r="H2095">
        <v>46</v>
      </c>
      <c r="I2095">
        <f>ROUND(CompilDonnées[[#This Row],[CultureDuration_days]]/7,0)</f>
        <v>7</v>
      </c>
      <c r="J2095">
        <v>818</v>
      </c>
      <c r="K2095" t="str">
        <f>_xlfn.CONCAT(WEEKNUM(CompilDonnées[[#This Row],[PlantationDate]]), " ", YEAR(CompilDonnées[[#This Row],[PlantationDate]]))</f>
        <v>13 2025</v>
      </c>
      <c r="L2095" t="str">
        <f>CONCATENATE(MONTH(CompilDonnées[[#This Row],[PlantationDate]])," ", YEAR(CompilDonnées[[#This Row],[PlantationDate]]))</f>
        <v>3 2025</v>
      </c>
      <c r="M2095" t="str">
        <f>CONCATENATE(MONTH(CompilDonnées[[#This Row],[HarvestingDate]])," ", YEAR(CompilDonnées[[#This Row],[HarvestingDate]]))</f>
        <v>5 2025</v>
      </c>
      <c r="N2095">
        <f>_xlfn.NUMBERVALUE(CompilDonnées[[#This Row],[FarmID]]&amp;CompilDonnées[[#This Row],[ModuleNumber]]&amp;CompilDonnées[[#This Row],[PlantationDate]])</f>
        <v>145345743</v>
      </c>
      <c r="O2095" t="str">
        <f>CompilDonnées[[#This Row],[FarmID]]&amp;CompilDonnées[[#This Row],[ModuleNumber]]</f>
        <v>1453</v>
      </c>
      <c r="P2095" t="str">
        <f>CompilDonnées[[#This Row],[Ref_Module]]&amp;CompilDonnées[[#This Row],[HarvestingDate]]</f>
        <v>145345789</v>
      </c>
    </row>
    <row r="2096" spans="1:16">
      <c r="A2096" s="5">
        <v>45743</v>
      </c>
      <c r="B2096">
        <v>145</v>
      </c>
      <c r="C2096" t="s">
        <v>3</v>
      </c>
      <c r="D2096">
        <v>5</v>
      </c>
      <c r="E2096">
        <v>60</v>
      </c>
      <c r="F2096" t="s">
        <v>105</v>
      </c>
      <c r="G2096" s="6">
        <v>45789</v>
      </c>
      <c r="H2096">
        <v>46</v>
      </c>
      <c r="I2096">
        <f>ROUND(CompilDonnées[[#This Row],[CultureDuration_days]]/7,0)</f>
        <v>7</v>
      </c>
      <c r="J2096">
        <v>809</v>
      </c>
      <c r="K2096" t="str">
        <f>_xlfn.CONCAT(WEEKNUM(CompilDonnées[[#This Row],[PlantationDate]]), " ", YEAR(CompilDonnées[[#This Row],[PlantationDate]]))</f>
        <v>13 2025</v>
      </c>
      <c r="L2096" t="str">
        <f>CONCATENATE(MONTH(CompilDonnées[[#This Row],[PlantationDate]])," ", YEAR(CompilDonnées[[#This Row],[PlantationDate]]))</f>
        <v>3 2025</v>
      </c>
      <c r="M2096" t="str">
        <f>CONCATENATE(MONTH(CompilDonnées[[#This Row],[HarvestingDate]])," ", YEAR(CompilDonnées[[#This Row],[HarvestingDate]]))</f>
        <v>5 2025</v>
      </c>
      <c r="N2096">
        <f>_xlfn.NUMBERVALUE(CompilDonnées[[#This Row],[FarmID]]&amp;CompilDonnées[[#This Row],[ModuleNumber]]&amp;CompilDonnées[[#This Row],[PlantationDate]])</f>
        <v>145545743</v>
      </c>
      <c r="O2096" t="str">
        <f>CompilDonnées[[#This Row],[FarmID]]&amp;CompilDonnées[[#This Row],[ModuleNumber]]</f>
        <v>1455</v>
      </c>
      <c r="P2096" t="str">
        <f>CompilDonnées[[#This Row],[Ref_Module]]&amp;CompilDonnées[[#This Row],[HarvestingDate]]</f>
        <v>145545789</v>
      </c>
    </row>
    <row r="2097" spans="1:16">
      <c r="A2097" s="5">
        <v>45743</v>
      </c>
      <c r="B2097">
        <v>145</v>
      </c>
      <c r="C2097" t="s">
        <v>3</v>
      </c>
      <c r="D2097">
        <v>6</v>
      </c>
      <c r="E2097">
        <v>60</v>
      </c>
      <c r="F2097" t="s">
        <v>105</v>
      </c>
      <c r="G2097" s="6">
        <v>45789</v>
      </c>
      <c r="H2097">
        <v>46</v>
      </c>
      <c r="I2097">
        <f>ROUND(CompilDonnées[[#This Row],[CultureDuration_days]]/7,0)</f>
        <v>7</v>
      </c>
      <c r="J2097">
        <v>833</v>
      </c>
      <c r="K2097" t="str">
        <f>_xlfn.CONCAT(WEEKNUM(CompilDonnées[[#This Row],[PlantationDate]]), " ", YEAR(CompilDonnées[[#This Row],[PlantationDate]]))</f>
        <v>13 2025</v>
      </c>
      <c r="L2097" t="str">
        <f>CONCATENATE(MONTH(CompilDonnées[[#This Row],[PlantationDate]])," ", YEAR(CompilDonnées[[#This Row],[PlantationDate]]))</f>
        <v>3 2025</v>
      </c>
      <c r="M2097" t="str">
        <f>CONCATENATE(MONTH(CompilDonnées[[#This Row],[HarvestingDate]])," ", YEAR(CompilDonnées[[#This Row],[HarvestingDate]]))</f>
        <v>5 2025</v>
      </c>
      <c r="N2097">
        <f>_xlfn.NUMBERVALUE(CompilDonnées[[#This Row],[FarmID]]&amp;CompilDonnées[[#This Row],[ModuleNumber]]&amp;CompilDonnées[[#This Row],[PlantationDate]])</f>
        <v>145645743</v>
      </c>
      <c r="O2097" t="str">
        <f>CompilDonnées[[#This Row],[FarmID]]&amp;CompilDonnées[[#This Row],[ModuleNumber]]</f>
        <v>1456</v>
      </c>
      <c r="P2097" t="str">
        <f>CompilDonnées[[#This Row],[Ref_Module]]&amp;CompilDonnées[[#This Row],[HarvestingDate]]</f>
        <v>145645789</v>
      </c>
    </row>
    <row r="2098" spans="1:16">
      <c r="A2098" s="5">
        <v>45743</v>
      </c>
      <c r="B2098">
        <v>117</v>
      </c>
      <c r="C2098" t="s">
        <v>11</v>
      </c>
      <c r="D2098">
        <v>3</v>
      </c>
      <c r="E2098">
        <v>100</v>
      </c>
      <c r="F2098" t="s">
        <v>1</v>
      </c>
      <c r="G2098" s="6">
        <v>45789</v>
      </c>
      <c r="H2098">
        <v>46</v>
      </c>
      <c r="I2098">
        <f>ROUND(CompilDonnées[[#This Row],[CultureDuration_days]]/7,0)</f>
        <v>7</v>
      </c>
      <c r="J2098">
        <v>2237</v>
      </c>
      <c r="K2098" t="str">
        <f>_xlfn.CONCAT(WEEKNUM(CompilDonnées[[#This Row],[PlantationDate]]), " ", YEAR(CompilDonnées[[#This Row],[PlantationDate]]))</f>
        <v>13 2025</v>
      </c>
      <c r="L2098" t="str">
        <f>CONCATENATE(MONTH(CompilDonnées[[#This Row],[PlantationDate]])," ", YEAR(CompilDonnées[[#This Row],[PlantationDate]]))</f>
        <v>3 2025</v>
      </c>
      <c r="M2098" t="str">
        <f>CONCATENATE(MONTH(CompilDonnées[[#This Row],[HarvestingDate]])," ", YEAR(CompilDonnées[[#This Row],[HarvestingDate]]))</f>
        <v>5 2025</v>
      </c>
      <c r="N2098">
        <f>_xlfn.NUMBERVALUE(CompilDonnées[[#This Row],[FarmID]]&amp;CompilDonnées[[#This Row],[ModuleNumber]]&amp;CompilDonnées[[#This Row],[PlantationDate]])</f>
        <v>117345743</v>
      </c>
      <c r="O2098" t="str">
        <f>CompilDonnées[[#This Row],[FarmID]]&amp;CompilDonnées[[#This Row],[ModuleNumber]]</f>
        <v>1173</v>
      </c>
      <c r="P2098" t="str">
        <f>CompilDonnées[[#This Row],[Ref_Module]]&amp;CompilDonnées[[#This Row],[HarvestingDate]]</f>
        <v>117345789</v>
      </c>
    </row>
    <row r="2099" spans="1:16">
      <c r="A2099" s="5">
        <v>45743</v>
      </c>
      <c r="B2099">
        <v>44</v>
      </c>
      <c r="C2099" t="s">
        <v>42</v>
      </c>
      <c r="D2099">
        <v>3</v>
      </c>
      <c r="E2099">
        <v>100</v>
      </c>
      <c r="F2099" t="s">
        <v>1</v>
      </c>
      <c r="G2099" s="6">
        <v>45792</v>
      </c>
      <c r="H2099">
        <v>49</v>
      </c>
      <c r="I2099">
        <f>ROUND(CompilDonnées[[#This Row],[CultureDuration_days]]/7,0)</f>
        <v>7</v>
      </c>
      <c r="J2099">
        <v>2580</v>
      </c>
      <c r="K2099" t="str">
        <f>_xlfn.CONCAT(WEEKNUM(CompilDonnées[[#This Row],[PlantationDate]]), " ", YEAR(CompilDonnées[[#This Row],[PlantationDate]]))</f>
        <v>13 2025</v>
      </c>
      <c r="L2099" t="str">
        <f>CONCATENATE(MONTH(CompilDonnées[[#This Row],[PlantationDate]])," ", YEAR(CompilDonnées[[#This Row],[PlantationDate]]))</f>
        <v>3 2025</v>
      </c>
      <c r="M2099" t="str">
        <f>CONCATENATE(MONTH(CompilDonnées[[#This Row],[HarvestingDate]])," ", YEAR(CompilDonnées[[#This Row],[HarvestingDate]]))</f>
        <v>5 2025</v>
      </c>
      <c r="N2099">
        <f>_xlfn.NUMBERVALUE(CompilDonnées[[#This Row],[FarmID]]&amp;CompilDonnées[[#This Row],[ModuleNumber]]&amp;CompilDonnées[[#This Row],[PlantationDate]])</f>
        <v>44345743</v>
      </c>
      <c r="O2099" t="str">
        <f>CompilDonnées[[#This Row],[FarmID]]&amp;CompilDonnées[[#This Row],[ModuleNumber]]</f>
        <v>443</v>
      </c>
      <c r="P2099" t="str">
        <f>CompilDonnées[[#This Row],[Ref_Module]]&amp;CompilDonnées[[#This Row],[HarvestingDate]]</f>
        <v>44345792</v>
      </c>
    </row>
    <row r="2100" spans="1:16">
      <c r="A2100" s="5">
        <v>45744</v>
      </c>
      <c r="B2100">
        <v>30</v>
      </c>
      <c r="C2100" t="s">
        <v>4</v>
      </c>
      <c r="D2100">
        <v>1</v>
      </c>
      <c r="E2100">
        <v>100</v>
      </c>
      <c r="F2100" t="s">
        <v>1</v>
      </c>
      <c r="G2100" s="6">
        <v>45792</v>
      </c>
      <c r="H2100">
        <v>48</v>
      </c>
      <c r="I2100">
        <f>ROUND(CompilDonnées[[#This Row],[CultureDuration_days]]/7,0)</f>
        <v>7</v>
      </c>
      <c r="J2100">
        <v>2509</v>
      </c>
      <c r="K2100" t="str">
        <f>_xlfn.CONCAT(WEEKNUM(CompilDonnées[[#This Row],[PlantationDate]]), " ", YEAR(CompilDonnées[[#This Row],[PlantationDate]]))</f>
        <v>13 2025</v>
      </c>
      <c r="L2100" t="str">
        <f>CONCATENATE(MONTH(CompilDonnées[[#This Row],[PlantationDate]])," ", YEAR(CompilDonnées[[#This Row],[PlantationDate]]))</f>
        <v>3 2025</v>
      </c>
      <c r="M2100" t="str">
        <f>CONCATENATE(MONTH(CompilDonnées[[#This Row],[HarvestingDate]])," ", YEAR(CompilDonnées[[#This Row],[HarvestingDate]]))</f>
        <v>5 2025</v>
      </c>
      <c r="N2100">
        <f>_xlfn.NUMBERVALUE(CompilDonnées[[#This Row],[FarmID]]&amp;CompilDonnées[[#This Row],[ModuleNumber]]&amp;CompilDonnées[[#This Row],[PlantationDate]])</f>
        <v>30145744</v>
      </c>
      <c r="O2100" t="str">
        <f>CompilDonnées[[#This Row],[FarmID]]&amp;CompilDonnées[[#This Row],[ModuleNumber]]</f>
        <v>301</v>
      </c>
      <c r="P2100" t="str">
        <f>CompilDonnées[[#This Row],[Ref_Module]]&amp;CompilDonnées[[#This Row],[HarvestingDate]]</f>
        <v>30145792</v>
      </c>
    </row>
    <row r="2101" spans="1:16">
      <c r="A2101" s="5">
        <v>45744</v>
      </c>
      <c r="B2101">
        <v>103</v>
      </c>
      <c r="C2101" t="s">
        <v>86</v>
      </c>
      <c r="D2101">
        <v>3</v>
      </c>
      <c r="E2101">
        <v>100</v>
      </c>
      <c r="F2101" t="s">
        <v>1</v>
      </c>
      <c r="G2101" s="6">
        <v>45799</v>
      </c>
      <c r="H2101">
        <v>55</v>
      </c>
      <c r="I2101">
        <f>ROUND(CompilDonnées[[#This Row],[CultureDuration_days]]/7,0)</f>
        <v>8</v>
      </c>
      <c r="J2101">
        <v>3043</v>
      </c>
      <c r="K2101" t="str">
        <f>_xlfn.CONCAT(WEEKNUM(CompilDonnées[[#This Row],[PlantationDate]]), " ", YEAR(CompilDonnées[[#This Row],[PlantationDate]]))</f>
        <v>13 2025</v>
      </c>
      <c r="L2101" t="str">
        <f>CONCATENATE(MONTH(CompilDonnées[[#This Row],[PlantationDate]])," ", YEAR(CompilDonnées[[#This Row],[PlantationDate]]))</f>
        <v>3 2025</v>
      </c>
      <c r="M2101" t="str">
        <f>CONCATENATE(MONTH(CompilDonnées[[#This Row],[HarvestingDate]])," ", YEAR(CompilDonnées[[#This Row],[HarvestingDate]]))</f>
        <v>5 2025</v>
      </c>
      <c r="N2101">
        <f>_xlfn.NUMBERVALUE(CompilDonnées[[#This Row],[FarmID]]&amp;CompilDonnées[[#This Row],[ModuleNumber]]&amp;CompilDonnées[[#This Row],[PlantationDate]])</f>
        <v>103345744</v>
      </c>
      <c r="O2101" t="str">
        <f>CompilDonnées[[#This Row],[FarmID]]&amp;CompilDonnées[[#This Row],[ModuleNumber]]</f>
        <v>1033</v>
      </c>
      <c r="P2101" t="str">
        <f>CompilDonnées[[#This Row],[Ref_Module]]&amp;CompilDonnées[[#This Row],[HarvestingDate]]</f>
        <v>103345799</v>
      </c>
    </row>
    <row r="2102" spans="1:16">
      <c r="A2102" s="5">
        <v>45744</v>
      </c>
      <c r="B2102">
        <v>103</v>
      </c>
      <c r="C2102" t="s">
        <v>86</v>
      </c>
      <c r="D2102">
        <v>4</v>
      </c>
      <c r="E2102">
        <v>100</v>
      </c>
      <c r="F2102" t="s">
        <v>1</v>
      </c>
      <c r="G2102" s="6">
        <v>45789</v>
      </c>
      <c r="H2102">
        <v>45</v>
      </c>
      <c r="I2102">
        <f>ROUND(CompilDonnées[[#This Row],[CultureDuration_days]]/7,0)</f>
        <v>6</v>
      </c>
      <c r="J2102">
        <v>2256</v>
      </c>
      <c r="K2102" t="str">
        <f>_xlfn.CONCAT(WEEKNUM(CompilDonnées[[#This Row],[PlantationDate]]), " ", YEAR(CompilDonnées[[#This Row],[PlantationDate]]))</f>
        <v>13 2025</v>
      </c>
      <c r="L2102" t="str">
        <f>CONCATENATE(MONTH(CompilDonnées[[#This Row],[PlantationDate]])," ", YEAR(CompilDonnées[[#This Row],[PlantationDate]]))</f>
        <v>3 2025</v>
      </c>
      <c r="M2102" t="str">
        <f>CONCATENATE(MONTH(CompilDonnées[[#This Row],[HarvestingDate]])," ", YEAR(CompilDonnées[[#This Row],[HarvestingDate]]))</f>
        <v>5 2025</v>
      </c>
      <c r="N2102">
        <f>_xlfn.NUMBERVALUE(CompilDonnées[[#This Row],[FarmID]]&amp;CompilDonnées[[#This Row],[ModuleNumber]]&amp;CompilDonnées[[#This Row],[PlantationDate]])</f>
        <v>103445744</v>
      </c>
      <c r="O2102" t="str">
        <f>CompilDonnées[[#This Row],[FarmID]]&amp;CompilDonnées[[#This Row],[ModuleNumber]]</f>
        <v>1034</v>
      </c>
      <c r="P2102" t="str">
        <f>CompilDonnées[[#This Row],[Ref_Module]]&amp;CompilDonnées[[#This Row],[HarvestingDate]]</f>
        <v>103445789</v>
      </c>
    </row>
    <row r="2103" spans="1:16">
      <c r="A2103" s="5">
        <v>45744</v>
      </c>
      <c r="B2103">
        <v>104</v>
      </c>
      <c r="C2103" t="s">
        <v>91</v>
      </c>
      <c r="D2103">
        <v>2</v>
      </c>
      <c r="E2103">
        <v>100</v>
      </c>
      <c r="F2103" t="s">
        <v>1</v>
      </c>
      <c r="G2103" s="6">
        <v>45789</v>
      </c>
      <c r="H2103">
        <v>45</v>
      </c>
      <c r="I2103">
        <f>ROUND(CompilDonnées[[#This Row],[CultureDuration_days]]/7,0)</f>
        <v>6</v>
      </c>
      <c r="J2103">
        <v>1706</v>
      </c>
      <c r="K2103" t="str">
        <f>_xlfn.CONCAT(WEEKNUM(CompilDonnées[[#This Row],[PlantationDate]]), " ", YEAR(CompilDonnées[[#This Row],[PlantationDate]]))</f>
        <v>13 2025</v>
      </c>
      <c r="L2103" t="str">
        <f>CONCATENATE(MONTH(CompilDonnées[[#This Row],[PlantationDate]])," ", YEAR(CompilDonnées[[#This Row],[PlantationDate]]))</f>
        <v>3 2025</v>
      </c>
      <c r="M2103" t="str">
        <f>CONCATENATE(MONTH(CompilDonnées[[#This Row],[HarvestingDate]])," ", YEAR(CompilDonnées[[#This Row],[HarvestingDate]]))</f>
        <v>5 2025</v>
      </c>
      <c r="N2103">
        <f>_xlfn.NUMBERVALUE(CompilDonnées[[#This Row],[FarmID]]&amp;CompilDonnées[[#This Row],[ModuleNumber]]&amp;CompilDonnées[[#This Row],[PlantationDate]])</f>
        <v>104245744</v>
      </c>
      <c r="O2103" t="str">
        <f>CompilDonnées[[#This Row],[FarmID]]&amp;CompilDonnées[[#This Row],[ModuleNumber]]</f>
        <v>1042</v>
      </c>
      <c r="P2103" t="str">
        <f>CompilDonnées[[#This Row],[Ref_Module]]&amp;CompilDonnées[[#This Row],[HarvestingDate]]</f>
        <v>104245789</v>
      </c>
    </row>
    <row r="2104" spans="1:16">
      <c r="A2104" s="5">
        <v>45744</v>
      </c>
      <c r="B2104">
        <v>105</v>
      </c>
      <c r="C2104" t="s">
        <v>3</v>
      </c>
      <c r="D2104">
        <v>4</v>
      </c>
      <c r="E2104">
        <v>60</v>
      </c>
      <c r="F2104" t="s">
        <v>105</v>
      </c>
      <c r="G2104" s="6">
        <v>45798</v>
      </c>
      <c r="H2104">
        <v>54</v>
      </c>
      <c r="I2104">
        <f>ROUND(CompilDonnées[[#This Row],[CultureDuration_days]]/7,0)</f>
        <v>8</v>
      </c>
      <c r="J2104">
        <v>1341</v>
      </c>
      <c r="K2104" t="str">
        <f>_xlfn.CONCAT(WEEKNUM(CompilDonnées[[#This Row],[PlantationDate]]), " ", YEAR(CompilDonnées[[#This Row],[PlantationDate]]))</f>
        <v>13 2025</v>
      </c>
      <c r="L2104" t="str">
        <f>CONCATENATE(MONTH(CompilDonnées[[#This Row],[PlantationDate]])," ", YEAR(CompilDonnées[[#This Row],[PlantationDate]]))</f>
        <v>3 2025</v>
      </c>
      <c r="M2104" t="str">
        <f>CONCATENATE(MONTH(CompilDonnées[[#This Row],[HarvestingDate]])," ", YEAR(CompilDonnées[[#This Row],[HarvestingDate]]))</f>
        <v>5 2025</v>
      </c>
      <c r="N2104">
        <f>_xlfn.NUMBERVALUE(CompilDonnées[[#This Row],[FarmID]]&amp;CompilDonnées[[#This Row],[ModuleNumber]]&amp;CompilDonnées[[#This Row],[PlantationDate]])</f>
        <v>105445744</v>
      </c>
      <c r="O2104" t="str">
        <f>CompilDonnées[[#This Row],[FarmID]]&amp;CompilDonnées[[#This Row],[ModuleNumber]]</f>
        <v>1054</v>
      </c>
      <c r="P2104" t="str">
        <f>CompilDonnées[[#This Row],[Ref_Module]]&amp;CompilDonnées[[#This Row],[HarvestingDate]]</f>
        <v>105445798</v>
      </c>
    </row>
    <row r="2105" spans="1:16">
      <c r="A2105" s="5">
        <v>45744</v>
      </c>
      <c r="B2105">
        <v>105</v>
      </c>
      <c r="C2105" t="s">
        <v>3</v>
      </c>
      <c r="D2105">
        <v>5</v>
      </c>
      <c r="E2105">
        <v>60</v>
      </c>
      <c r="F2105" t="s">
        <v>105</v>
      </c>
      <c r="G2105" s="6">
        <v>45798</v>
      </c>
      <c r="H2105">
        <v>54</v>
      </c>
      <c r="I2105">
        <f>ROUND(CompilDonnées[[#This Row],[CultureDuration_days]]/7,0)</f>
        <v>8</v>
      </c>
      <c r="J2105">
        <v>1350</v>
      </c>
      <c r="K2105" t="str">
        <f>_xlfn.CONCAT(WEEKNUM(CompilDonnées[[#This Row],[PlantationDate]]), " ", YEAR(CompilDonnées[[#This Row],[PlantationDate]]))</f>
        <v>13 2025</v>
      </c>
      <c r="L2105" t="str">
        <f>CONCATENATE(MONTH(CompilDonnées[[#This Row],[PlantationDate]])," ", YEAR(CompilDonnées[[#This Row],[PlantationDate]]))</f>
        <v>3 2025</v>
      </c>
      <c r="M2105" t="str">
        <f>CONCATENATE(MONTH(CompilDonnées[[#This Row],[HarvestingDate]])," ", YEAR(CompilDonnées[[#This Row],[HarvestingDate]]))</f>
        <v>5 2025</v>
      </c>
      <c r="N2105">
        <f>_xlfn.NUMBERVALUE(CompilDonnées[[#This Row],[FarmID]]&amp;CompilDonnées[[#This Row],[ModuleNumber]]&amp;CompilDonnées[[#This Row],[PlantationDate]])</f>
        <v>105545744</v>
      </c>
      <c r="O2105" t="str">
        <f>CompilDonnées[[#This Row],[FarmID]]&amp;CompilDonnées[[#This Row],[ModuleNumber]]</f>
        <v>1055</v>
      </c>
      <c r="P2105" t="str">
        <f>CompilDonnées[[#This Row],[Ref_Module]]&amp;CompilDonnées[[#This Row],[HarvestingDate]]</f>
        <v>105545798</v>
      </c>
    </row>
    <row r="2106" spans="1:16">
      <c r="A2106" s="5">
        <v>45744</v>
      </c>
      <c r="B2106">
        <v>105</v>
      </c>
      <c r="C2106" t="s">
        <v>3</v>
      </c>
      <c r="D2106">
        <v>6</v>
      </c>
      <c r="E2106">
        <v>60</v>
      </c>
      <c r="F2106" t="s">
        <v>105</v>
      </c>
      <c r="G2106" s="6">
        <v>45804</v>
      </c>
      <c r="H2106">
        <v>60</v>
      </c>
      <c r="I2106">
        <f>ROUND(CompilDonnées[[#This Row],[CultureDuration_days]]/7,0)</f>
        <v>9</v>
      </c>
      <c r="J2106">
        <v>1368</v>
      </c>
      <c r="K2106" t="str">
        <f>_xlfn.CONCAT(WEEKNUM(CompilDonnées[[#This Row],[PlantationDate]]), " ", YEAR(CompilDonnées[[#This Row],[PlantationDate]]))</f>
        <v>13 2025</v>
      </c>
      <c r="L2106" t="str">
        <f>CONCATENATE(MONTH(CompilDonnées[[#This Row],[PlantationDate]])," ", YEAR(CompilDonnées[[#This Row],[PlantationDate]]))</f>
        <v>3 2025</v>
      </c>
      <c r="M2106" t="str">
        <f>CONCATENATE(MONTH(CompilDonnées[[#This Row],[HarvestingDate]])," ", YEAR(CompilDonnées[[#This Row],[HarvestingDate]]))</f>
        <v>5 2025</v>
      </c>
      <c r="N2106">
        <f>_xlfn.NUMBERVALUE(CompilDonnées[[#This Row],[FarmID]]&amp;CompilDonnées[[#This Row],[ModuleNumber]]&amp;CompilDonnées[[#This Row],[PlantationDate]])</f>
        <v>105645744</v>
      </c>
      <c r="O2106" t="str">
        <f>CompilDonnées[[#This Row],[FarmID]]&amp;CompilDonnées[[#This Row],[ModuleNumber]]</f>
        <v>1056</v>
      </c>
      <c r="P2106" t="str">
        <f>CompilDonnées[[#This Row],[Ref_Module]]&amp;CompilDonnées[[#This Row],[HarvestingDate]]</f>
        <v>105645804</v>
      </c>
    </row>
    <row r="2107" spans="1:16">
      <c r="A2107" s="5">
        <v>45744</v>
      </c>
      <c r="B2107">
        <v>106</v>
      </c>
      <c r="C2107" t="s">
        <v>22</v>
      </c>
      <c r="D2107">
        <v>5</v>
      </c>
      <c r="E2107">
        <v>100</v>
      </c>
      <c r="F2107" t="s">
        <v>1</v>
      </c>
      <c r="G2107" s="6">
        <v>45789</v>
      </c>
      <c r="H2107">
        <v>45</v>
      </c>
      <c r="I2107">
        <f>ROUND(CompilDonnées[[#This Row],[CultureDuration_days]]/7,0)</f>
        <v>6</v>
      </c>
      <c r="J2107">
        <v>2792</v>
      </c>
      <c r="K2107" t="str">
        <f>_xlfn.CONCAT(WEEKNUM(CompilDonnées[[#This Row],[PlantationDate]]), " ", YEAR(CompilDonnées[[#This Row],[PlantationDate]]))</f>
        <v>13 2025</v>
      </c>
      <c r="L2107" t="str">
        <f>CONCATENATE(MONTH(CompilDonnées[[#This Row],[PlantationDate]])," ", YEAR(CompilDonnées[[#This Row],[PlantationDate]]))</f>
        <v>3 2025</v>
      </c>
      <c r="M2107" t="str">
        <f>CONCATENATE(MONTH(CompilDonnées[[#This Row],[HarvestingDate]])," ", YEAR(CompilDonnées[[#This Row],[HarvestingDate]]))</f>
        <v>5 2025</v>
      </c>
      <c r="N2107">
        <f>_xlfn.NUMBERVALUE(CompilDonnées[[#This Row],[FarmID]]&amp;CompilDonnées[[#This Row],[ModuleNumber]]&amp;CompilDonnées[[#This Row],[PlantationDate]])</f>
        <v>106545744</v>
      </c>
      <c r="O2107" t="str">
        <f>CompilDonnées[[#This Row],[FarmID]]&amp;CompilDonnées[[#This Row],[ModuleNumber]]</f>
        <v>1065</v>
      </c>
      <c r="P2107" t="str">
        <f>CompilDonnées[[#This Row],[Ref_Module]]&amp;CompilDonnées[[#This Row],[HarvestingDate]]</f>
        <v>106545789</v>
      </c>
    </row>
    <row r="2108" spans="1:16">
      <c r="A2108" s="5">
        <v>45744</v>
      </c>
      <c r="B2108">
        <v>106</v>
      </c>
      <c r="C2108" t="s">
        <v>22</v>
      </c>
      <c r="D2108">
        <v>6</v>
      </c>
      <c r="E2108">
        <v>100</v>
      </c>
      <c r="F2108" t="s">
        <v>1</v>
      </c>
      <c r="G2108" s="6">
        <v>45789</v>
      </c>
      <c r="H2108">
        <v>45</v>
      </c>
      <c r="I2108">
        <f>ROUND(CompilDonnées[[#This Row],[CultureDuration_days]]/7,0)</f>
        <v>6</v>
      </c>
      <c r="J2108">
        <v>2650</v>
      </c>
      <c r="K2108" t="str">
        <f>_xlfn.CONCAT(WEEKNUM(CompilDonnées[[#This Row],[PlantationDate]]), " ", YEAR(CompilDonnées[[#This Row],[PlantationDate]]))</f>
        <v>13 2025</v>
      </c>
      <c r="L2108" t="str">
        <f>CONCATENATE(MONTH(CompilDonnées[[#This Row],[PlantationDate]])," ", YEAR(CompilDonnées[[#This Row],[PlantationDate]]))</f>
        <v>3 2025</v>
      </c>
      <c r="M2108" t="str">
        <f>CONCATENATE(MONTH(CompilDonnées[[#This Row],[HarvestingDate]])," ", YEAR(CompilDonnées[[#This Row],[HarvestingDate]]))</f>
        <v>5 2025</v>
      </c>
      <c r="N2108">
        <f>_xlfn.NUMBERVALUE(CompilDonnées[[#This Row],[FarmID]]&amp;CompilDonnées[[#This Row],[ModuleNumber]]&amp;CompilDonnées[[#This Row],[PlantationDate]])</f>
        <v>106645744</v>
      </c>
      <c r="O2108" t="str">
        <f>CompilDonnées[[#This Row],[FarmID]]&amp;CompilDonnées[[#This Row],[ModuleNumber]]</f>
        <v>1066</v>
      </c>
      <c r="P2108" t="str">
        <f>CompilDonnées[[#This Row],[Ref_Module]]&amp;CompilDonnées[[#This Row],[HarvestingDate]]</f>
        <v>106645789</v>
      </c>
    </row>
    <row r="2109" spans="1:16">
      <c r="A2109" s="5">
        <v>45744</v>
      </c>
      <c r="B2109">
        <v>3</v>
      </c>
      <c r="C2109" t="s">
        <v>116</v>
      </c>
      <c r="D2109">
        <v>4</v>
      </c>
      <c r="E2109">
        <v>100</v>
      </c>
      <c r="F2109" t="s">
        <v>1</v>
      </c>
      <c r="G2109" s="6">
        <v>45793</v>
      </c>
      <c r="H2109">
        <v>49</v>
      </c>
      <c r="I2109">
        <f>ROUND(CompilDonnées[[#This Row],[CultureDuration_days]]/7,0)</f>
        <v>7</v>
      </c>
      <c r="J2109">
        <v>2293</v>
      </c>
      <c r="K2109" t="str">
        <f>_xlfn.CONCAT(WEEKNUM(CompilDonnées[[#This Row],[PlantationDate]]), " ", YEAR(CompilDonnées[[#This Row],[PlantationDate]]))</f>
        <v>13 2025</v>
      </c>
      <c r="L2109" t="str">
        <f>CONCATENATE(MONTH(CompilDonnées[[#This Row],[PlantationDate]])," ", YEAR(CompilDonnées[[#This Row],[PlantationDate]]))</f>
        <v>3 2025</v>
      </c>
      <c r="M2109" t="str">
        <f>CONCATENATE(MONTH(CompilDonnées[[#This Row],[HarvestingDate]])," ", YEAR(CompilDonnées[[#This Row],[HarvestingDate]]))</f>
        <v>5 2025</v>
      </c>
      <c r="N2109">
        <f>_xlfn.NUMBERVALUE(CompilDonnées[[#This Row],[FarmID]]&amp;CompilDonnées[[#This Row],[ModuleNumber]]&amp;CompilDonnées[[#This Row],[PlantationDate]])</f>
        <v>3445744</v>
      </c>
      <c r="O2109" t="str">
        <f>CompilDonnées[[#This Row],[FarmID]]&amp;CompilDonnées[[#This Row],[ModuleNumber]]</f>
        <v>34</v>
      </c>
      <c r="P2109" t="str">
        <f>CompilDonnées[[#This Row],[Ref_Module]]&amp;CompilDonnées[[#This Row],[HarvestingDate]]</f>
        <v>3445793</v>
      </c>
    </row>
    <row r="2110" spans="1:16">
      <c r="A2110" s="5">
        <v>45744</v>
      </c>
      <c r="B2110">
        <v>15</v>
      </c>
      <c r="C2110" t="s">
        <v>5</v>
      </c>
      <c r="D2110">
        <v>2</v>
      </c>
      <c r="E2110">
        <v>100</v>
      </c>
      <c r="F2110" t="s">
        <v>1</v>
      </c>
      <c r="G2110" s="6">
        <v>45793</v>
      </c>
      <c r="H2110">
        <v>49</v>
      </c>
      <c r="I2110">
        <f>ROUND(CompilDonnées[[#This Row],[CultureDuration_days]]/7,0)</f>
        <v>7</v>
      </c>
      <c r="J2110">
        <v>2371</v>
      </c>
      <c r="K2110" t="str">
        <f>_xlfn.CONCAT(WEEKNUM(CompilDonnées[[#This Row],[PlantationDate]]), " ", YEAR(CompilDonnées[[#This Row],[PlantationDate]]))</f>
        <v>13 2025</v>
      </c>
      <c r="L2110" t="str">
        <f>CONCATENATE(MONTH(CompilDonnées[[#This Row],[PlantationDate]])," ", YEAR(CompilDonnées[[#This Row],[PlantationDate]]))</f>
        <v>3 2025</v>
      </c>
      <c r="M2110" t="str">
        <f>CONCATENATE(MONTH(CompilDonnées[[#This Row],[HarvestingDate]])," ", YEAR(CompilDonnées[[#This Row],[HarvestingDate]]))</f>
        <v>5 2025</v>
      </c>
      <c r="N2110">
        <f>_xlfn.NUMBERVALUE(CompilDonnées[[#This Row],[FarmID]]&amp;CompilDonnées[[#This Row],[ModuleNumber]]&amp;CompilDonnées[[#This Row],[PlantationDate]])</f>
        <v>15245744</v>
      </c>
      <c r="O2110" t="str">
        <f>CompilDonnées[[#This Row],[FarmID]]&amp;CompilDonnées[[#This Row],[ModuleNumber]]</f>
        <v>152</v>
      </c>
      <c r="P2110" t="str">
        <f>CompilDonnées[[#This Row],[Ref_Module]]&amp;CompilDonnées[[#This Row],[HarvestingDate]]</f>
        <v>15245793</v>
      </c>
    </row>
    <row r="2111" spans="1:16">
      <c r="A2111" s="5">
        <v>45744</v>
      </c>
      <c r="B2111">
        <v>16</v>
      </c>
      <c r="C2111" t="s">
        <v>112</v>
      </c>
      <c r="D2111">
        <v>2</v>
      </c>
      <c r="E2111">
        <v>100</v>
      </c>
      <c r="F2111" t="s">
        <v>1</v>
      </c>
      <c r="G2111" s="6">
        <v>45792</v>
      </c>
      <c r="H2111">
        <v>48</v>
      </c>
      <c r="I2111">
        <f>ROUND(CompilDonnées[[#This Row],[CultureDuration_days]]/7,0)</f>
        <v>7</v>
      </c>
      <c r="J2111">
        <v>2742</v>
      </c>
      <c r="K2111" t="str">
        <f>_xlfn.CONCAT(WEEKNUM(CompilDonnées[[#This Row],[PlantationDate]]), " ", YEAR(CompilDonnées[[#This Row],[PlantationDate]]))</f>
        <v>13 2025</v>
      </c>
      <c r="L2111" t="str">
        <f>CONCATENATE(MONTH(CompilDonnées[[#This Row],[PlantationDate]])," ", YEAR(CompilDonnées[[#This Row],[PlantationDate]]))</f>
        <v>3 2025</v>
      </c>
      <c r="M2111" t="str">
        <f>CONCATENATE(MONTH(CompilDonnées[[#This Row],[HarvestingDate]])," ", YEAR(CompilDonnées[[#This Row],[HarvestingDate]]))</f>
        <v>5 2025</v>
      </c>
      <c r="N2111">
        <f>_xlfn.NUMBERVALUE(CompilDonnées[[#This Row],[FarmID]]&amp;CompilDonnées[[#This Row],[ModuleNumber]]&amp;CompilDonnées[[#This Row],[PlantationDate]])</f>
        <v>16245744</v>
      </c>
      <c r="O2111" t="str">
        <f>CompilDonnées[[#This Row],[FarmID]]&amp;CompilDonnées[[#This Row],[ModuleNumber]]</f>
        <v>162</v>
      </c>
      <c r="P2111" t="str">
        <f>CompilDonnées[[#This Row],[Ref_Module]]&amp;CompilDonnées[[#This Row],[HarvestingDate]]</f>
        <v>16245792</v>
      </c>
    </row>
    <row r="2112" spans="1:16">
      <c r="A2112" s="5">
        <v>45744</v>
      </c>
      <c r="B2112">
        <v>17</v>
      </c>
      <c r="C2112" t="s">
        <v>80</v>
      </c>
      <c r="D2112">
        <v>6</v>
      </c>
      <c r="E2112">
        <v>100</v>
      </c>
      <c r="F2112" t="s">
        <v>1</v>
      </c>
      <c r="G2112" s="6">
        <v>45793</v>
      </c>
      <c r="H2112">
        <v>49</v>
      </c>
      <c r="I2112">
        <f>ROUND(CompilDonnées[[#This Row],[CultureDuration_days]]/7,0)</f>
        <v>7</v>
      </c>
      <c r="J2112">
        <v>2940</v>
      </c>
      <c r="K2112" t="str">
        <f>_xlfn.CONCAT(WEEKNUM(CompilDonnées[[#This Row],[PlantationDate]]), " ", YEAR(CompilDonnées[[#This Row],[PlantationDate]]))</f>
        <v>13 2025</v>
      </c>
      <c r="L2112" t="str">
        <f>CONCATENATE(MONTH(CompilDonnées[[#This Row],[PlantationDate]])," ", YEAR(CompilDonnées[[#This Row],[PlantationDate]]))</f>
        <v>3 2025</v>
      </c>
      <c r="M2112" t="str">
        <f>CONCATENATE(MONTH(CompilDonnées[[#This Row],[HarvestingDate]])," ", YEAR(CompilDonnées[[#This Row],[HarvestingDate]]))</f>
        <v>5 2025</v>
      </c>
      <c r="N2112">
        <f>_xlfn.NUMBERVALUE(CompilDonnées[[#This Row],[FarmID]]&amp;CompilDonnées[[#This Row],[ModuleNumber]]&amp;CompilDonnées[[#This Row],[PlantationDate]])</f>
        <v>17645744</v>
      </c>
      <c r="O2112" t="str">
        <f>CompilDonnées[[#This Row],[FarmID]]&amp;CompilDonnées[[#This Row],[ModuleNumber]]</f>
        <v>176</v>
      </c>
      <c r="P2112" t="str">
        <f>CompilDonnées[[#This Row],[Ref_Module]]&amp;CompilDonnées[[#This Row],[HarvestingDate]]</f>
        <v>17645793</v>
      </c>
    </row>
    <row r="2113" spans="1:16">
      <c r="A2113" s="5">
        <v>45744</v>
      </c>
      <c r="B2113">
        <v>18</v>
      </c>
      <c r="C2113" t="s">
        <v>33</v>
      </c>
      <c r="D2113">
        <v>6</v>
      </c>
      <c r="E2113">
        <v>100</v>
      </c>
      <c r="F2113" t="s">
        <v>1</v>
      </c>
      <c r="G2113" s="6">
        <v>45793</v>
      </c>
      <c r="H2113">
        <v>49</v>
      </c>
      <c r="I2113">
        <f>ROUND(CompilDonnées[[#This Row],[CultureDuration_days]]/7,0)</f>
        <v>7</v>
      </c>
      <c r="J2113">
        <v>2973</v>
      </c>
      <c r="K2113" t="str">
        <f>_xlfn.CONCAT(WEEKNUM(CompilDonnées[[#This Row],[PlantationDate]]), " ", YEAR(CompilDonnées[[#This Row],[PlantationDate]]))</f>
        <v>13 2025</v>
      </c>
      <c r="L2113" t="str">
        <f>CONCATENATE(MONTH(CompilDonnées[[#This Row],[PlantationDate]])," ", YEAR(CompilDonnées[[#This Row],[PlantationDate]]))</f>
        <v>3 2025</v>
      </c>
      <c r="M2113" t="str">
        <f>CONCATENATE(MONTH(CompilDonnées[[#This Row],[HarvestingDate]])," ", YEAR(CompilDonnées[[#This Row],[HarvestingDate]]))</f>
        <v>5 2025</v>
      </c>
      <c r="N2113">
        <f>_xlfn.NUMBERVALUE(CompilDonnées[[#This Row],[FarmID]]&amp;CompilDonnées[[#This Row],[ModuleNumber]]&amp;CompilDonnées[[#This Row],[PlantationDate]])</f>
        <v>18645744</v>
      </c>
      <c r="O2113" t="str">
        <f>CompilDonnées[[#This Row],[FarmID]]&amp;CompilDonnées[[#This Row],[ModuleNumber]]</f>
        <v>186</v>
      </c>
      <c r="P2113" t="str">
        <f>CompilDonnées[[#This Row],[Ref_Module]]&amp;CompilDonnées[[#This Row],[HarvestingDate]]</f>
        <v>18645793</v>
      </c>
    </row>
    <row r="2114" spans="1:16">
      <c r="A2114" s="5">
        <v>45744</v>
      </c>
      <c r="B2114">
        <v>21</v>
      </c>
      <c r="C2114" t="s">
        <v>0</v>
      </c>
      <c r="D2114">
        <v>3</v>
      </c>
      <c r="E2114">
        <v>100</v>
      </c>
      <c r="F2114" t="s">
        <v>1</v>
      </c>
      <c r="G2114" s="6">
        <v>45792</v>
      </c>
      <c r="H2114">
        <v>48</v>
      </c>
      <c r="I2114">
        <f>ROUND(CompilDonnées[[#This Row],[CultureDuration_days]]/7,0)</f>
        <v>7</v>
      </c>
      <c r="J2114">
        <v>2709</v>
      </c>
      <c r="K2114" t="str">
        <f>_xlfn.CONCAT(WEEKNUM(CompilDonnées[[#This Row],[PlantationDate]]), " ", YEAR(CompilDonnées[[#This Row],[PlantationDate]]))</f>
        <v>13 2025</v>
      </c>
      <c r="L2114" t="str">
        <f>CONCATENATE(MONTH(CompilDonnées[[#This Row],[PlantationDate]])," ", YEAR(CompilDonnées[[#This Row],[PlantationDate]]))</f>
        <v>3 2025</v>
      </c>
      <c r="M2114" t="str">
        <f>CONCATENATE(MONTH(CompilDonnées[[#This Row],[HarvestingDate]])," ", YEAR(CompilDonnées[[#This Row],[HarvestingDate]]))</f>
        <v>5 2025</v>
      </c>
      <c r="N2114">
        <f>_xlfn.NUMBERVALUE(CompilDonnées[[#This Row],[FarmID]]&amp;CompilDonnées[[#This Row],[ModuleNumber]]&amp;CompilDonnées[[#This Row],[PlantationDate]])</f>
        <v>21345744</v>
      </c>
      <c r="O2114" t="str">
        <f>CompilDonnées[[#This Row],[FarmID]]&amp;CompilDonnées[[#This Row],[ModuleNumber]]</f>
        <v>213</v>
      </c>
      <c r="P2114" t="str">
        <f>CompilDonnées[[#This Row],[Ref_Module]]&amp;CompilDonnées[[#This Row],[HarvestingDate]]</f>
        <v>21345792</v>
      </c>
    </row>
    <row r="2115" spans="1:16">
      <c r="A2115" s="5">
        <v>45744</v>
      </c>
      <c r="B2115">
        <v>23</v>
      </c>
      <c r="C2115" t="s">
        <v>44</v>
      </c>
      <c r="D2115">
        <v>3</v>
      </c>
      <c r="E2115">
        <v>100</v>
      </c>
      <c r="F2115" t="s">
        <v>1</v>
      </c>
      <c r="G2115" s="6">
        <v>45796</v>
      </c>
      <c r="H2115">
        <v>52</v>
      </c>
      <c r="I2115">
        <f>ROUND(CompilDonnées[[#This Row],[CultureDuration_days]]/7,0)</f>
        <v>7</v>
      </c>
      <c r="J2115">
        <v>2451</v>
      </c>
      <c r="K2115" t="str">
        <f>_xlfn.CONCAT(WEEKNUM(CompilDonnées[[#This Row],[PlantationDate]]), " ", YEAR(CompilDonnées[[#This Row],[PlantationDate]]))</f>
        <v>13 2025</v>
      </c>
      <c r="L2115" t="str">
        <f>CONCATENATE(MONTH(CompilDonnées[[#This Row],[PlantationDate]])," ", YEAR(CompilDonnées[[#This Row],[PlantationDate]]))</f>
        <v>3 2025</v>
      </c>
      <c r="M2115" t="str">
        <f>CONCATENATE(MONTH(CompilDonnées[[#This Row],[HarvestingDate]])," ", YEAR(CompilDonnées[[#This Row],[HarvestingDate]]))</f>
        <v>5 2025</v>
      </c>
      <c r="N2115">
        <f>_xlfn.NUMBERVALUE(CompilDonnées[[#This Row],[FarmID]]&amp;CompilDonnées[[#This Row],[ModuleNumber]]&amp;CompilDonnées[[#This Row],[PlantationDate]])</f>
        <v>23345744</v>
      </c>
      <c r="O2115" t="str">
        <f>CompilDonnées[[#This Row],[FarmID]]&amp;CompilDonnées[[#This Row],[ModuleNumber]]</f>
        <v>233</v>
      </c>
      <c r="P2115" t="str">
        <f>CompilDonnées[[#This Row],[Ref_Module]]&amp;CompilDonnées[[#This Row],[HarvestingDate]]</f>
        <v>23345796</v>
      </c>
    </row>
    <row r="2116" spans="1:16">
      <c r="A2116" s="5">
        <v>45744</v>
      </c>
      <c r="B2116">
        <v>69</v>
      </c>
      <c r="C2116" t="s">
        <v>102</v>
      </c>
      <c r="D2116">
        <v>4</v>
      </c>
      <c r="E2116">
        <v>100</v>
      </c>
      <c r="F2116" t="s">
        <v>1</v>
      </c>
      <c r="G2116" s="6">
        <v>45791</v>
      </c>
      <c r="H2116">
        <v>47</v>
      </c>
      <c r="I2116">
        <f>ROUND(CompilDonnées[[#This Row],[CultureDuration_days]]/7,0)</f>
        <v>7</v>
      </c>
      <c r="J2116">
        <v>2035</v>
      </c>
      <c r="K2116" t="str">
        <f>_xlfn.CONCAT(WEEKNUM(CompilDonnées[[#This Row],[PlantationDate]]), " ", YEAR(CompilDonnées[[#This Row],[PlantationDate]]))</f>
        <v>13 2025</v>
      </c>
      <c r="L2116" t="str">
        <f>CONCATENATE(MONTH(CompilDonnées[[#This Row],[PlantationDate]])," ", YEAR(CompilDonnées[[#This Row],[PlantationDate]]))</f>
        <v>3 2025</v>
      </c>
      <c r="M2116" t="str">
        <f>CONCATENATE(MONTH(CompilDonnées[[#This Row],[HarvestingDate]])," ", YEAR(CompilDonnées[[#This Row],[HarvestingDate]]))</f>
        <v>5 2025</v>
      </c>
      <c r="N2116">
        <f>_xlfn.NUMBERVALUE(CompilDonnées[[#This Row],[FarmID]]&amp;CompilDonnées[[#This Row],[ModuleNumber]]&amp;CompilDonnées[[#This Row],[PlantationDate]])</f>
        <v>69445744</v>
      </c>
      <c r="O2116" t="str">
        <f>CompilDonnées[[#This Row],[FarmID]]&amp;CompilDonnées[[#This Row],[ModuleNumber]]</f>
        <v>694</v>
      </c>
      <c r="P2116" t="str">
        <f>CompilDonnées[[#This Row],[Ref_Module]]&amp;CompilDonnées[[#This Row],[HarvestingDate]]</f>
        <v>69445791</v>
      </c>
    </row>
    <row r="2117" spans="1:16">
      <c r="A2117" s="5">
        <v>45744</v>
      </c>
      <c r="B2117">
        <v>70</v>
      </c>
      <c r="C2117" t="s">
        <v>7</v>
      </c>
      <c r="D2117">
        <v>1</v>
      </c>
      <c r="E2117">
        <v>100</v>
      </c>
      <c r="F2117" t="s">
        <v>1</v>
      </c>
      <c r="G2117" s="6">
        <v>45785</v>
      </c>
      <c r="H2117">
        <v>41</v>
      </c>
      <c r="I2117">
        <f>ROUND(CompilDonnées[[#This Row],[CultureDuration_days]]/7,0)</f>
        <v>6</v>
      </c>
      <c r="J2117">
        <v>1867</v>
      </c>
      <c r="K2117" t="str">
        <f>_xlfn.CONCAT(WEEKNUM(CompilDonnées[[#This Row],[PlantationDate]]), " ", YEAR(CompilDonnées[[#This Row],[PlantationDate]]))</f>
        <v>13 2025</v>
      </c>
      <c r="L2117" t="str">
        <f>CONCATENATE(MONTH(CompilDonnées[[#This Row],[PlantationDate]])," ", YEAR(CompilDonnées[[#This Row],[PlantationDate]]))</f>
        <v>3 2025</v>
      </c>
      <c r="M2117" t="str">
        <f>CONCATENATE(MONTH(CompilDonnées[[#This Row],[HarvestingDate]])," ", YEAR(CompilDonnées[[#This Row],[HarvestingDate]]))</f>
        <v>5 2025</v>
      </c>
      <c r="N2117">
        <f>_xlfn.NUMBERVALUE(CompilDonnées[[#This Row],[FarmID]]&amp;CompilDonnées[[#This Row],[ModuleNumber]]&amp;CompilDonnées[[#This Row],[PlantationDate]])</f>
        <v>70145744</v>
      </c>
      <c r="O2117" t="str">
        <f>CompilDonnées[[#This Row],[FarmID]]&amp;CompilDonnées[[#This Row],[ModuleNumber]]</f>
        <v>701</v>
      </c>
      <c r="P2117" t="str">
        <f>CompilDonnées[[#This Row],[Ref_Module]]&amp;CompilDonnées[[#This Row],[HarvestingDate]]</f>
        <v>70145785</v>
      </c>
    </row>
    <row r="2118" spans="1:16">
      <c r="A2118" s="5">
        <v>45744</v>
      </c>
      <c r="B2118">
        <v>70</v>
      </c>
      <c r="C2118" t="s">
        <v>7</v>
      </c>
      <c r="D2118">
        <v>2</v>
      </c>
      <c r="E2118">
        <v>100</v>
      </c>
      <c r="F2118" t="s">
        <v>1</v>
      </c>
      <c r="G2118" s="6">
        <v>45791</v>
      </c>
      <c r="H2118">
        <v>47</v>
      </c>
      <c r="I2118">
        <f>ROUND(CompilDonnées[[#This Row],[CultureDuration_days]]/7,0)</f>
        <v>7</v>
      </c>
      <c r="J2118">
        <v>2207</v>
      </c>
      <c r="K2118" t="str">
        <f>_xlfn.CONCAT(WEEKNUM(CompilDonnées[[#This Row],[PlantationDate]]), " ", YEAR(CompilDonnées[[#This Row],[PlantationDate]]))</f>
        <v>13 2025</v>
      </c>
      <c r="L2118" t="str">
        <f>CONCATENATE(MONTH(CompilDonnées[[#This Row],[PlantationDate]])," ", YEAR(CompilDonnées[[#This Row],[PlantationDate]]))</f>
        <v>3 2025</v>
      </c>
      <c r="M2118" t="str">
        <f>CONCATENATE(MONTH(CompilDonnées[[#This Row],[HarvestingDate]])," ", YEAR(CompilDonnées[[#This Row],[HarvestingDate]]))</f>
        <v>5 2025</v>
      </c>
      <c r="N2118">
        <f>_xlfn.NUMBERVALUE(CompilDonnées[[#This Row],[FarmID]]&amp;CompilDonnées[[#This Row],[ModuleNumber]]&amp;CompilDonnées[[#This Row],[PlantationDate]])</f>
        <v>70245744</v>
      </c>
      <c r="O2118" t="str">
        <f>CompilDonnées[[#This Row],[FarmID]]&amp;CompilDonnées[[#This Row],[ModuleNumber]]</f>
        <v>702</v>
      </c>
      <c r="P2118" t="str">
        <f>CompilDonnées[[#This Row],[Ref_Module]]&amp;CompilDonnées[[#This Row],[HarvestingDate]]</f>
        <v>70245791</v>
      </c>
    </row>
    <row r="2119" spans="1:16">
      <c r="A2119" s="5">
        <v>45744</v>
      </c>
      <c r="B2119">
        <v>71</v>
      </c>
      <c r="C2119" t="s">
        <v>19</v>
      </c>
      <c r="D2119">
        <v>2</v>
      </c>
      <c r="E2119">
        <v>100</v>
      </c>
      <c r="F2119" t="s">
        <v>1</v>
      </c>
      <c r="G2119" s="6">
        <v>45791</v>
      </c>
      <c r="H2119">
        <v>47</v>
      </c>
      <c r="I2119">
        <f>ROUND(CompilDonnées[[#This Row],[CultureDuration_days]]/7,0)</f>
        <v>7</v>
      </c>
      <c r="J2119">
        <v>2166</v>
      </c>
      <c r="K2119" t="str">
        <f>_xlfn.CONCAT(WEEKNUM(CompilDonnées[[#This Row],[PlantationDate]]), " ", YEAR(CompilDonnées[[#This Row],[PlantationDate]]))</f>
        <v>13 2025</v>
      </c>
      <c r="L2119" t="str">
        <f>CONCATENATE(MONTH(CompilDonnées[[#This Row],[PlantationDate]])," ", YEAR(CompilDonnées[[#This Row],[PlantationDate]]))</f>
        <v>3 2025</v>
      </c>
      <c r="M2119" t="str">
        <f>CONCATENATE(MONTH(CompilDonnées[[#This Row],[HarvestingDate]])," ", YEAR(CompilDonnées[[#This Row],[HarvestingDate]]))</f>
        <v>5 2025</v>
      </c>
      <c r="N2119">
        <f>_xlfn.NUMBERVALUE(CompilDonnées[[#This Row],[FarmID]]&amp;CompilDonnées[[#This Row],[ModuleNumber]]&amp;CompilDonnées[[#This Row],[PlantationDate]])</f>
        <v>71245744</v>
      </c>
      <c r="O2119" t="str">
        <f>CompilDonnées[[#This Row],[FarmID]]&amp;CompilDonnées[[#This Row],[ModuleNumber]]</f>
        <v>712</v>
      </c>
      <c r="P2119" t="str">
        <f>CompilDonnées[[#This Row],[Ref_Module]]&amp;CompilDonnées[[#This Row],[HarvestingDate]]</f>
        <v>71245791</v>
      </c>
    </row>
    <row r="2120" spans="1:16">
      <c r="A2120" s="5">
        <v>45744</v>
      </c>
      <c r="B2120">
        <v>76</v>
      </c>
      <c r="C2120" t="s">
        <v>18</v>
      </c>
      <c r="D2120">
        <v>3</v>
      </c>
      <c r="E2120">
        <v>100</v>
      </c>
      <c r="F2120" t="s">
        <v>1</v>
      </c>
      <c r="G2120" s="6">
        <v>45786</v>
      </c>
      <c r="H2120">
        <v>42</v>
      </c>
      <c r="I2120">
        <f>ROUND(CompilDonnées[[#This Row],[CultureDuration_days]]/7,0)</f>
        <v>6</v>
      </c>
      <c r="J2120">
        <v>2243</v>
      </c>
      <c r="K2120" t="str">
        <f>_xlfn.CONCAT(WEEKNUM(CompilDonnées[[#This Row],[PlantationDate]]), " ", YEAR(CompilDonnées[[#This Row],[PlantationDate]]))</f>
        <v>13 2025</v>
      </c>
      <c r="L2120" t="str">
        <f>CONCATENATE(MONTH(CompilDonnées[[#This Row],[PlantationDate]])," ", YEAR(CompilDonnées[[#This Row],[PlantationDate]]))</f>
        <v>3 2025</v>
      </c>
      <c r="M2120" t="str">
        <f>CONCATENATE(MONTH(CompilDonnées[[#This Row],[HarvestingDate]])," ", YEAR(CompilDonnées[[#This Row],[HarvestingDate]]))</f>
        <v>5 2025</v>
      </c>
      <c r="N2120">
        <f>_xlfn.NUMBERVALUE(CompilDonnées[[#This Row],[FarmID]]&amp;CompilDonnées[[#This Row],[ModuleNumber]]&amp;CompilDonnées[[#This Row],[PlantationDate]])</f>
        <v>76345744</v>
      </c>
      <c r="O2120" t="str">
        <f>CompilDonnées[[#This Row],[FarmID]]&amp;CompilDonnées[[#This Row],[ModuleNumber]]</f>
        <v>763</v>
      </c>
      <c r="P2120" t="str">
        <f>CompilDonnées[[#This Row],[Ref_Module]]&amp;CompilDonnées[[#This Row],[HarvestingDate]]</f>
        <v>76345786</v>
      </c>
    </row>
    <row r="2121" spans="1:16">
      <c r="A2121" s="5">
        <v>45744</v>
      </c>
      <c r="B2121">
        <v>77</v>
      </c>
      <c r="C2121" t="s">
        <v>75</v>
      </c>
      <c r="D2121">
        <v>5</v>
      </c>
      <c r="E2121">
        <v>100</v>
      </c>
      <c r="F2121" t="s">
        <v>1</v>
      </c>
      <c r="G2121" s="6">
        <v>45790</v>
      </c>
      <c r="H2121">
        <v>46</v>
      </c>
      <c r="I2121">
        <f>ROUND(CompilDonnées[[#This Row],[CultureDuration_days]]/7,0)</f>
        <v>7</v>
      </c>
      <c r="J2121">
        <v>1995</v>
      </c>
      <c r="K2121" t="str">
        <f>_xlfn.CONCAT(WEEKNUM(CompilDonnées[[#This Row],[PlantationDate]]), " ", YEAR(CompilDonnées[[#This Row],[PlantationDate]]))</f>
        <v>13 2025</v>
      </c>
      <c r="L2121" t="str">
        <f>CONCATENATE(MONTH(CompilDonnées[[#This Row],[PlantationDate]])," ", YEAR(CompilDonnées[[#This Row],[PlantationDate]]))</f>
        <v>3 2025</v>
      </c>
      <c r="M2121" t="str">
        <f>CONCATENATE(MONTH(CompilDonnées[[#This Row],[HarvestingDate]])," ", YEAR(CompilDonnées[[#This Row],[HarvestingDate]]))</f>
        <v>5 2025</v>
      </c>
      <c r="N2121">
        <f>_xlfn.NUMBERVALUE(CompilDonnées[[#This Row],[FarmID]]&amp;CompilDonnées[[#This Row],[ModuleNumber]]&amp;CompilDonnées[[#This Row],[PlantationDate]])</f>
        <v>77545744</v>
      </c>
      <c r="O2121" t="str">
        <f>CompilDonnées[[#This Row],[FarmID]]&amp;CompilDonnées[[#This Row],[ModuleNumber]]</f>
        <v>775</v>
      </c>
      <c r="P2121" t="str">
        <f>CompilDonnées[[#This Row],[Ref_Module]]&amp;CompilDonnées[[#This Row],[HarvestingDate]]</f>
        <v>77545790</v>
      </c>
    </row>
    <row r="2122" spans="1:16">
      <c r="A2122" s="5">
        <v>45744</v>
      </c>
      <c r="B2122">
        <v>82</v>
      </c>
      <c r="C2122" t="s">
        <v>17</v>
      </c>
      <c r="D2122">
        <v>6</v>
      </c>
      <c r="E2122">
        <v>100</v>
      </c>
      <c r="F2122" t="s">
        <v>1</v>
      </c>
      <c r="G2122" s="6">
        <v>45786</v>
      </c>
      <c r="H2122">
        <v>42</v>
      </c>
      <c r="I2122">
        <f>ROUND(CompilDonnées[[#This Row],[CultureDuration_days]]/7,0)</f>
        <v>6</v>
      </c>
      <c r="J2122">
        <v>3110</v>
      </c>
      <c r="K2122" t="str">
        <f>_xlfn.CONCAT(WEEKNUM(CompilDonnées[[#This Row],[PlantationDate]]), " ", YEAR(CompilDonnées[[#This Row],[PlantationDate]]))</f>
        <v>13 2025</v>
      </c>
      <c r="L2122" t="str">
        <f>CONCATENATE(MONTH(CompilDonnées[[#This Row],[PlantationDate]])," ", YEAR(CompilDonnées[[#This Row],[PlantationDate]]))</f>
        <v>3 2025</v>
      </c>
      <c r="M2122" t="str">
        <f>CONCATENATE(MONTH(CompilDonnées[[#This Row],[HarvestingDate]])," ", YEAR(CompilDonnées[[#This Row],[HarvestingDate]]))</f>
        <v>5 2025</v>
      </c>
      <c r="N2122">
        <f>_xlfn.NUMBERVALUE(CompilDonnées[[#This Row],[FarmID]]&amp;CompilDonnées[[#This Row],[ModuleNumber]]&amp;CompilDonnées[[#This Row],[PlantationDate]])</f>
        <v>82645744</v>
      </c>
      <c r="O2122" t="str">
        <f>CompilDonnées[[#This Row],[FarmID]]&amp;CompilDonnées[[#This Row],[ModuleNumber]]</f>
        <v>826</v>
      </c>
      <c r="P2122" t="str">
        <f>CompilDonnées[[#This Row],[Ref_Module]]&amp;CompilDonnées[[#This Row],[HarvestingDate]]</f>
        <v>82645786</v>
      </c>
    </row>
    <row r="2123" spans="1:16">
      <c r="A2123" s="5">
        <v>45744</v>
      </c>
      <c r="B2123">
        <v>83</v>
      </c>
      <c r="C2123" t="s">
        <v>73</v>
      </c>
      <c r="D2123">
        <v>5</v>
      </c>
      <c r="E2123">
        <v>100</v>
      </c>
      <c r="F2123" t="s">
        <v>1</v>
      </c>
      <c r="G2123" s="6">
        <v>45799</v>
      </c>
      <c r="H2123">
        <v>55</v>
      </c>
      <c r="I2123">
        <f>ROUND(CompilDonnées[[#This Row],[CultureDuration_days]]/7,0)</f>
        <v>8</v>
      </c>
      <c r="J2123">
        <v>2694</v>
      </c>
      <c r="K2123" t="str">
        <f>_xlfn.CONCAT(WEEKNUM(CompilDonnées[[#This Row],[PlantationDate]]), " ", YEAR(CompilDonnées[[#This Row],[PlantationDate]]))</f>
        <v>13 2025</v>
      </c>
      <c r="L2123" t="str">
        <f>CONCATENATE(MONTH(CompilDonnées[[#This Row],[PlantationDate]])," ", YEAR(CompilDonnées[[#This Row],[PlantationDate]]))</f>
        <v>3 2025</v>
      </c>
      <c r="M2123" t="str">
        <f>CONCATENATE(MONTH(CompilDonnées[[#This Row],[HarvestingDate]])," ", YEAR(CompilDonnées[[#This Row],[HarvestingDate]]))</f>
        <v>5 2025</v>
      </c>
      <c r="N2123">
        <f>_xlfn.NUMBERVALUE(CompilDonnées[[#This Row],[FarmID]]&amp;CompilDonnées[[#This Row],[ModuleNumber]]&amp;CompilDonnées[[#This Row],[PlantationDate]])</f>
        <v>83545744</v>
      </c>
      <c r="O2123" t="str">
        <f>CompilDonnées[[#This Row],[FarmID]]&amp;CompilDonnées[[#This Row],[ModuleNumber]]</f>
        <v>835</v>
      </c>
      <c r="P2123" t="str">
        <f>CompilDonnées[[#This Row],[Ref_Module]]&amp;CompilDonnées[[#This Row],[HarvestingDate]]</f>
        <v>83545799</v>
      </c>
    </row>
    <row r="2124" spans="1:16">
      <c r="A2124" s="5">
        <v>45744</v>
      </c>
      <c r="B2124">
        <v>84</v>
      </c>
      <c r="C2124" t="s">
        <v>65</v>
      </c>
      <c r="D2124">
        <v>3</v>
      </c>
      <c r="E2124">
        <v>100</v>
      </c>
      <c r="F2124" t="s">
        <v>1</v>
      </c>
      <c r="G2124" s="6">
        <v>45786</v>
      </c>
      <c r="H2124">
        <v>42</v>
      </c>
      <c r="I2124">
        <f>ROUND(CompilDonnées[[#This Row],[CultureDuration_days]]/7,0)</f>
        <v>6</v>
      </c>
      <c r="J2124">
        <v>1743</v>
      </c>
      <c r="K2124" t="str">
        <f>_xlfn.CONCAT(WEEKNUM(CompilDonnées[[#This Row],[PlantationDate]]), " ", YEAR(CompilDonnées[[#This Row],[PlantationDate]]))</f>
        <v>13 2025</v>
      </c>
      <c r="L2124" t="str">
        <f>CONCATENATE(MONTH(CompilDonnées[[#This Row],[PlantationDate]])," ", YEAR(CompilDonnées[[#This Row],[PlantationDate]]))</f>
        <v>3 2025</v>
      </c>
      <c r="M2124" t="str">
        <f>CONCATENATE(MONTH(CompilDonnées[[#This Row],[HarvestingDate]])," ", YEAR(CompilDonnées[[#This Row],[HarvestingDate]]))</f>
        <v>5 2025</v>
      </c>
      <c r="N2124">
        <f>_xlfn.NUMBERVALUE(CompilDonnées[[#This Row],[FarmID]]&amp;CompilDonnées[[#This Row],[ModuleNumber]]&amp;CompilDonnées[[#This Row],[PlantationDate]])</f>
        <v>84345744</v>
      </c>
      <c r="O2124" t="str">
        <f>CompilDonnées[[#This Row],[FarmID]]&amp;CompilDonnées[[#This Row],[ModuleNumber]]</f>
        <v>843</v>
      </c>
      <c r="P2124" t="str">
        <f>CompilDonnées[[#This Row],[Ref_Module]]&amp;CompilDonnées[[#This Row],[HarvestingDate]]</f>
        <v>84345786</v>
      </c>
    </row>
    <row r="2125" spans="1:16">
      <c r="A2125" s="5">
        <v>45744</v>
      </c>
      <c r="B2125">
        <v>85</v>
      </c>
      <c r="C2125" t="s">
        <v>56</v>
      </c>
      <c r="D2125">
        <v>4</v>
      </c>
      <c r="E2125">
        <v>100</v>
      </c>
      <c r="F2125" t="s">
        <v>1</v>
      </c>
      <c r="G2125" s="6">
        <v>45790</v>
      </c>
      <c r="H2125">
        <v>46</v>
      </c>
      <c r="I2125">
        <f>ROUND(CompilDonnées[[#This Row],[CultureDuration_days]]/7,0)</f>
        <v>7</v>
      </c>
      <c r="J2125">
        <v>2395</v>
      </c>
      <c r="K2125" t="str">
        <f>_xlfn.CONCAT(WEEKNUM(CompilDonnées[[#This Row],[PlantationDate]]), " ", YEAR(CompilDonnées[[#This Row],[PlantationDate]]))</f>
        <v>13 2025</v>
      </c>
      <c r="L2125" t="str">
        <f>CONCATENATE(MONTH(CompilDonnées[[#This Row],[PlantationDate]])," ", YEAR(CompilDonnées[[#This Row],[PlantationDate]]))</f>
        <v>3 2025</v>
      </c>
      <c r="M2125" t="str">
        <f>CONCATENATE(MONTH(CompilDonnées[[#This Row],[HarvestingDate]])," ", YEAR(CompilDonnées[[#This Row],[HarvestingDate]]))</f>
        <v>5 2025</v>
      </c>
      <c r="N2125">
        <f>_xlfn.NUMBERVALUE(CompilDonnées[[#This Row],[FarmID]]&amp;CompilDonnées[[#This Row],[ModuleNumber]]&amp;CompilDonnées[[#This Row],[PlantationDate]])</f>
        <v>85445744</v>
      </c>
      <c r="O2125" t="str">
        <f>CompilDonnées[[#This Row],[FarmID]]&amp;CompilDonnées[[#This Row],[ModuleNumber]]</f>
        <v>854</v>
      </c>
      <c r="P2125" t="str">
        <f>CompilDonnées[[#This Row],[Ref_Module]]&amp;CompilDonnées[[#This Row],[HarvestingDate]]</f>
        <v>85445790</v>
      </c>
    </row>
    <row r="2126" spans="1:16">
      <c r="A2126" s="5">
        <v>45744</v>
      </c>
      <c r="B2126">
        <v>86</v>
      </c>
      <c r="C2126" t="s">
        <v>37</v>
      </c>
      <c r="D2126">
        <v>3</v>
      </c>
      <c r="E2126">
        <v>100</v>
      </c>
      <c r="F2126" t="s">
        <v>1</v>
      </c>
      <c r="G2126" s="6">
        <v>45790</v>
      </c>
      <c r="H2126">
        <v>46</v>
      </c>
      <c r="I2126">
        <f>ROUND(CompilDonnées[[#This Row],[CultureDuration_days]]/7,0)</f>
        <v>7</v>
      </c>
      <c r="J2126">
        <v>2451</v>
      </c>
      <c r="K2126" t="str">
        <f>_xlfn.CONCAT(WEEKNUM(CompilDonnées[[#This Row],[PlantationDate]]), " ", YEAR(CompilDonnées[[#This Row],[PlantationDate]]))</f>
        <v>13 2025</v>
      </c>
      <c r="L2126" t="str">
        <f>CONCATENATE(MONTH(CompilDonnées[[#This Row],[PlantationDate]])," ", YEAR(CompilDonnées[[#This Row],[PlantationDate]]))</f>
        <v>3 2025</v>
      </c>
      <c r="M2126" t="str">
        <f>CONCATENATE(MONTH(CompilDonnées[[#This Row],[HarvestingDate]])," ", YEAR(CompilDonnées[[#This Row],[HarvestingDate]]))</f>
        <v>5 2025</v>
      </c>
      <c r="N2126">
        <f>_xlfn.NUMBERVALUE(CompilDonnées[[#This Row],[FarmID]]&amp;CompilDonnées[[#This Row],[ModuleNumber]]&amp;CompilDonnées[[#This Row],[PlantationDate]])</f>
        <v>86345744</v>
      </c>
      <c r="O2126" t="str">
        <f>CompilDonnées[[#This Row],[FarmID]]&amp;CompilDonnées[[#This Row],[ModuleNumber]]</f>
        <v>863</v>
      </c>
      <c r="P2126" t="str">
        <f>CompilDonnées[[#This Row],[Ref_Module]]&amp;CompilDonnées[[#This Row],[HarvestingDate]]</f>
        <v>86345790</v>
      </c>
    </row>
    <row r="2127" spans="1:16">
      <c r="A2127" s="5">
        <v>45744</v>
      </c>
      <c r="B2127">
        <v>87</v>
      </c>
      <c r="C2127" t="s">
        <v>38</v>
      </c>
      <c r="D2127">
        <v>2</v>
      </c>
      <c r="E2127">
        <v>100</v>
      </c>
      <c r="F2127" t="s">
        <v>1</v>
      </c>
      <c r="G2127" s="6">
        <v>45790</v>
      </c>
      <c r="H2127">
        <v>46</v>
      </c>
      <c r="I2127">
        <f>ROUND(CompilDonnées[[#This Row],[CultureDuration_days]]/7,0)</f>
        <v>7</v>
      </c>
      <c r="J2127">
        <v>2642</v>
      </c>
      <c r="K2127" t="str">
        <f>_xlfn.CONCAT(WEEKNUM(CompilDonnées[[#This Row],[PlantationDate]]), " ", YEAR(CompilDonnées[[#This Row],[PlantationDate]]))</f>
        <v>13 2025</v>
      </c>
      <c r="L2127" t="str">
        <f>CONCATENATE(MONTH(CompilDonnées[[#This Row],[PlantationDate]])," ", YEAR(CompilDonnées[[#This Row],[PlantationDate]]))</f>
        <v>3 2025</v>
      </c>
      <c r="M2127" t="str">
        <f>CONCATENATE(MONTH(CompilDonnées[[#This Row],[HarvestingDate]])," ", YEAR(CompilDonnées[[#This Row],[HarvestingDate]]))</f>
        <v>5 2025</v>
      </c>
      <c r="N2127">
        <f>_xlfn.NUMBERVALUE(CompilDonnées[[#This Row],[FarmID]]&amp;CompilDonnées[[#This Row],[ModuleNumber]]&amp;CompilDonnées[[#This Row],[PlantationDate]])</f>
        <v>87245744</v>
      </c>
      <c r="O2127" t="str">
        <f>CompilDonnées[[#This Row],[FarmID]]&amp;CompilDonnées[[#This Row],[ModuleNumber]]</f>
        <v>872</v>
      </c>
      <c r="P2127" t="str">
        <f>CompilDonnées[[#This Row],[Ref_Module]]&amp;CompilDonnées[[#This Row],[HarvestingDate]]</f>
        <v>87245790</v>
      </c>
    </row>
    <row r="2128" spans="1:16">
      <c r="A2128" s="5">
        <v>45744</v>
      </c>
      <c r="B2128">
        <v>89</v>
      </c>
      <c r="C2128" t="s">
        <v>67</v>
      </c>
      <c r="D2128">
        <v>6</v>
      </c>
      <c r="E2128">
        <v>100</v>
      </c>
      <c r="F2128" t="s">
        <v>1</v>
      </c>
      <c r="G2128" s="6">
        <v>45786</v>
      </c>
      <c r="H2128">
        <v>42</v>
      </c>
      <c r="I2128">
        <f>ROUND(CompilDonnées[[#This Row],[CultureDuration_days]]/7,0)</f>
        <v>6</v>
      </c>
      <c r="J2128">
        <v>2228</v>
      </c>
      <c r="K2128" t="str">
        <f>_xlfn.CONCAT(WEEKNUM(CompilDonnées[[#This Row],[PlantationDate]]), " ", YEAR(CompilDonnées[[#This Row],[PlantationDate]]))</f>
        <v>13 2025</v>
      </c>
      <c r="L2128" t="str">
        <f>CONCATENATE(MONTH(CompilDonnées[[#This Row],[PlantationDate]])," ", YEAR(CompilDonnées[[#This Row],[PlantationDate]]))</f>
        <v>3 2025</v>
      </c>
      <c r="M2128" t="str">
        <f>CONCATENATE(MONTH(CompilDonnées[[#This Row],[HarvestingDate]])," ", YEAR(CompilDonnées[[#This Row],[HarvestingDate]]))</f>
        <v>5 2025</v>
      </c>
      <c r="N2128">
        <f>_xlfn.NUMBERVALUE(CompilDonnées[[#This Row],[FarmID]]&amp;CompilDonnées[[#This Row],[ModuleNumber]]&amp;CompilDonnées[[#This Row],[PlantationDate]])</f>
        <v>89645744</v>
      </c>
      <c r="O2128" t="str">
        <f>CompilDonnées[[#This Row],[FarmID]]&amp;CompilDonnées[[#This Row],[ModuleNumber]]</f>
        <v>896</v>
      </c>
      <c r="P2128" t="str">
        <f>CompilDonnées[[#This Row],[Ref_Module]]&amp;CompilDonnées[[#This Row],[HarvestingDate]]</f>
        <v>89645786</v>
      </c>
    </row>
    <row r="2129" spans="1:16">
      <c r="A2129" s="5">
        <v>45744</v>
      </c>
      <c r="B2129">
        <v>90</v>
      </c>
      <c r="C2129" t="s">
        <v>72</v>
      </c>
      <c r="D2129">
        <v>4</v>
      </c>
      <c r="E2129">
        <v>100</v>
      </c>
      <c r="F2129" t="s">
        <v>1</v>
      </c>
      <c r="G2129" s="6">
        <v>45786</v>
      </c>
      <c r="H2129">
        <v>42</v>
      </c>
      <c r="I2129">
        <f>ROUND(CompilDonnées[[#This Row],[CultureDuration_days]]/7,0)</f>
        <v>6</v>
      </c>
      <c r="J2129">
        <v>1914</v>
      </c>
      <c r="K2129" t="str">
        <f>_xlfn.CONCAT(WEEKNUM(CompilDonnées[[#This Row],[PlantationDate]]), " ", YEAR(CompilDonnées[[#This Row],[PlantationDate]]))</f>
        <v>13 2025</v>
      </c>
      <c r="L2129" t="str">
        <f>CONCATENATE(MONTH(CompilDonnées[[#This Row],[PlantationDate]])," ", YEAR(CompilDonnées[[#This Row],[PlantationDate]]))</f>
        <v>3 2025</v>
      </c>
      <c r="M2129" t="str">
        <f>CONCATENATE(MONTH(CompilDonnées[[#This Row],[HarvestingDate]])," ", YEAR(CompilDonnées[[#This Row],[HarvestingDate]]))</f>
        <v>5 2025</v>
      </c>
      <c r="N2129">
        <f>_xlfn.NUMBERVALUE(CompilDonnées[[#This Row],[FarmID]]&amp;CompilDonnées[[#This Row],[ModuleNumber]]&amp;CompilDonnées[[#This Row],[PlantationDate]])</f>
        <v>90445744</v>
      </c>
      <c r="O2129" t="str">
        <f>CompilDonnées[[#This Row],[FarmID]]&amp;CompilDonnées[[#This Row],[ModuleNumber]]</f>
        <v>904</v>
      </c>
      <c r="P2129" t="str">
        <f>CompilDonnées[[#This Row],[Ref_Module]]&amp;CompilDonnées[[#This Row],[HarvestingDate]]</f>
        <v>90445786</v>
      </c>
    </row>
    <row r="2130" spans="1:16">
      <c r="A2130" s="5">
        <v>45744</v>
      </c>
      <c r="B2130">
        <v>91</v>
      </c>
      <c r="C2130" t="s">
        <v>9</v>
      </c>
      <c r="D2130">
        <v>3</v>
      </c>
      <c r="E2130">
        <v>100</v>
      </c>
      <c r="F2130" t="s">
        <v>1</v>
      </c>
      <c r="G2130" s="6">
        <v>45790</v>
      </c>
      <c r="H2130">
        <v>46</v>
      </c>
      <c r="I2130">
        <f>ROUND(CompilDonnées[[#This Row],[CultureDuration_days]]/7,0)</f>
        <v>7</v>
      </c>
      <c r="J2130">
        <v>2611</v>
      </c>
      <c r="K2130" t="str">
        <f>_xlfn.CONCAT(WEEKNUM(CompilDonnées[[#This Row],[PlantationDate]]), " ", YEAR(CompilDonnées[[#This Row],[PlantationDate]]))</f>
        <v>13 2025</v>
      </c>
      <c r="L2130" t="str">
        <f>CONCATENATE(MONTH(CompilDonnées[[#This Row],[PlantationDate]])," ", YEAR(CompilDonnées[[#This Row],[PlantationDate]]))</f>
        <v>3 2025</v>
      </c>
      <c r="M2130" t="str">
        <f>CONCATENATE(MONTH(CompilDonnées[[#This Row],[HarvestingDate]])," ", YEAR(CompilDonnées[[#This Row],[HarvestingDate]]))</f>
        <v>5 2025</v>
      </c>
      <c r="N2130">
        <f>_xlfn.NUMBERVALUE(CompilDonnées[[#This Row],[FarmID]]&amp;CompilDonnées[[#This Row],[ModuleNumber]]&amp;CompilDonnées[[#This Row],[PlantationDate]])</f>
        <v>91345744</v>
      </c>
      <c r="O2130" t="str">
        <f>CompilDonnées[[#This Row],[FarmID]]&amp;CompilDonnées[[#This Row],[ModuleNumber]]</f>
        <v>913</v>
      </c>
      <c r="P2130" t="str">
        <f>CompilDonnées[[#This Row],[Ref_Module]]&amp;CompilDonnées[[#This Row],[HarvestingDate]]</f>
        <v>91345790</v>
      </c>
    </row>
    <row r="2131" spans="1:16">
      <c r="A2131" s="5">
        <v>45744</v>
      </c>
      <c r="B2131">
        <v>92</v>
      </c>
      <c r="C2131" t="s">
        <v>66</v>
      </c>
      <c r="D2131">
        <v>1</v>
      </c>
      <c r="E2131">
        <v>100</v>
      </c>
      <c r="F2131" t="s">
        <v>1</v>
      </c>
      <c r="G2131" s="6">
        <v>45791</v>
      </c>
      <c r="H2131">
        <v>47</v>
      </c>
      <c r="I2131">
        <f>ROUND(CompilDonnées[[#This Row],[CultureDuration_days]]/7,0)</f>
        <v>7</v>
      </c>
      <c r="J2131">
        <v>2585</v>
      </c>
      <c r="K2131" t="str">
        <f>_xlfn.CONCAT(WEEKNUM(CompilDonnées[[#This Row],[PlantationDate]]), " ", YEAR(CompilDonnées[[#This Row],[PlantationDate]]))</f>
        <v>13 2025</v>
      </c>
      <c r="L2131" t="str">
        <f>CONCATENATE(MONTH(CompilDonnées[[#This Row],[PlantationDate]])," ", YEAR(CompilDonnées[[#This Row],[PlantationDate]]))</f>
        <v>3 2025</v>
      </c>
      <c r="M2131" t="str">
        <f>CONCATENATE(MONTH(CompilDonnées[[#This Row],[HarvestingDate]])," ", YEAR(CompilDonnées[[#This Row],[HarvestingDate]]))</f>
        <v>5 2025</v>
      </c>
      <c r="N2131">
        <f>_xlfn.NUMBERVALUE(CompilDonnées[[#This Row],[FarmID]]&amp;CompilDonnées[[#This Row],[ModuleNumber]]&amp;CompilDonnées[[#This Row],[PlantationDate]])</f>
        <v>92145744</v>
      </c>
      <c r="O2131" t="str">
        <f>CompilDonnées[[#This Row],[FarmID]]&amp;CompilDonnées[[#This Row],[ModuleNumber]]</f>
        <v>921</v>
      </c>
      <c r="P2131" t="str">
        <f>CompilDonnées[[#This Row],[Ref_Module]]&amp;CompilDonnées[[#This Row],[HarvestingDate]]</f>
        <v>92145791</v>
      </c>
    </row>
    <row r="2132" spans="1:16">
      <c r="A2132" s="5">
        <v>45744</v>
      </c>
      <c r="B2132">
        <v>93</v>
      </c>
      <c r="C2132" t="s">
        <v>10</v>
      </c>
      <c r="D2132">
        <v>5</v>
      </c>
      <c r="E2132">
        <v>100</v>
      </c>
      <c r="F2132" t="s">
        <v>1</v>
      </c>
      <c r="G2132" s="6">
        <v>45790</v>
      </c>
      <c r="H2132">
        <v>46</v>
      </c>
      <c r="I2132">
        <f>ROUND(CompilDonnées[[#This Row],[CultureDuration_days]]/7,0)</f>
        <v>7</v>
      </c>
      <c r="J2132">
        <v>2791</v>
      </c>
      <c r="K2132" t="str">
        <f>_xlfn.CONCAT(WEEKNUM(CompilDonnées[[#This Row],[PlantationDate]]), " ", YEAR(CompilDonnées[[#This Row],[PlantationDate]]))</f>
        <v>13 2025</v>
      </c>
      <c r="L2132" t="str">
        <f>CONCATENATE(MONTH(CompilDonnées[[#This Row],[PlantationDate]])," ", YEAR(CompilDonnées[[#This Row],[PlantationDate]]))</f>
        <v>3 2025</v>
      </c>
      <c r="M2132" t="str">
        <f>CONCATENATE(MONTH(CompilDonnées[[#This Row],[HarvestingDate]])," ", YEAR(CompilDonnées[[#This Row],[HarvestingDate]]))</f>
        <v>5 2025</v>
      </c>
      <c r="N2132">
        <f>_xlfn.NUMBERVALUE(CompilDonnées[[#This Row],[FarmID]]&amp;CompilDonnées[[#This Row],[ModuleNumber]]&amp;CompilDonnées[[#This Row],[PlantationDate]])</f>
        <v>93545744</v>
      </c>
      <c r="O2132" t="str">
        <f>CompilDonnées[[#This Row],[FarmID]]&amp;CompilDonnées[[#This Row],[ModuleNumber]]</f>
        <v>935</v>
      </c>
      <c r="P2132" t="str">
        <f>CompilDonnées[[#This Row],[Ref_Module]]&amp;CompilDonnées[[#This Row],[HarvestingDate]]</f>
        <v>93545790</v>
      </c>
    </row>
    <row r="2133" spans="1:16">
      <c r="A2133" s="5">
        <v>45744</v>
      </c>
      <c r="B2133">
        <v>95</v>
      </c>
      <c r="C2133" t="s">
        <v>90</v>
      </c>
      <c r="D2133">
        <v>2</v>
      </c>
      <c r="E2133">
        <v>100</v>
      </c>
      <c r="F2133" t="s">
        <v>1</v>
      </c>
      <c r="G2133" s="6">
        <v>45790</v>
      </c>
      <c r="H2133">
        <v>46</v>
      </c>
      <c r="I2133">
        <f>ROUND(CompilDonnées[[#This Row],[CultureDuration_days]]/7,0)</f>
        <v>7</v>
      </c>
      <c r="J2133">
        <v>2609</v>
      </c>
      <c r="K2133" t="str">
        <f>_xlfn.CONCAT(WEEKNUM(CompilDonnées[[#This Row],[PlantationDate]]), " ", YEAR(CompilDonnées[[#This Row],[PlantationDate]]))</f>
        <v>13 2025</v>
      </c>
      <c r="L2133" t="str">
        <f>CONCATENATE(MONTH(CompilDonnées[[#This Row],[PlantationDate]])," ", YEAR(CompilDonnées[[#This Row],[PlantationDate]]))</f>
        <v>3 2025</v>
      </c>
      <c r="M2133" t="str">
        <f>CONCATENATE(MONTH(CompilDonnées[[#This Row],[HarvestingDate]])," ", YEAR(CompilDonnées[[#This Row],[HarvestingDate]]))</f>
        <v>5 2025</v>
      </c>
      <c r="N2133">
        <f>_xlfn.NUMBERVALUE(CompilDonnées[[#This Row],[FarmID]]&amp;CompilDonnées[[#This Row],[ModuleNumber]]&amp;CompilDonnées[[#This Row],[PlantationDate]])</f>
        <v>95245744</v>
      </c>
      <c r="O2133" t="str">
        <f>CompilDonnées[[#This Row],[FarmID]]&amp;CompilDonnées[[#This Row],[ModuleNumber]]</f>
        <v>952</v>
      </c>
      <c r="P2133" t="str">
        <f>CompilDonnées[[#This Row],[Ref_Module]]&amp;CompilDonnées[[#This Row],[HarvestingDate]]</f>
        <v>95245790</v>
      </c>
    </row>
    <row r="2134" spans="1:16">
      <c r="A2134" s="5">
        <v>45744</v>
      </c>
      <c r="B2134">
        <v>97</v>
      </c>
      <c r="C2134" t="s">
        <v>78</v>
      </c>
      <c r="D2134">
        <v>5</v>
      </c>
      <c r="E2134">
        <v>100</v>
      </c>
      <c r="F2134" t="s">
        <v>1</v>
      </c>
      <c r="G2134" s="6">
        <v>45790</v>
      </c>
      <c r="H2134">
        <v>46</v>
      </c>
      <c r="I2134">
        <f>ROUND(CompilDonnées[[#This Row],[CultureDuration_days]]/7,0)</f>
        <v>7</v>
      </c>
      <c r="J2134">
        <v>2679</v>
      </c>
      <c r="K2134" t="str">
        <f>_xlfn.CONCAT(WEEKNUM(CompilDonnées[[#This Row],[PlantationDate]]), " ", YEAR(CompilDonnées[[#This Row],[PlantationDate]]))</f>
        <v>13 2025</v>
      </c>
      <c r="L2134" t="str">
        <f>CONCATENATE(MONTH(CompilDonnées[[#This Row],[PlantationDate]])," ", YEAR(CompilDonnées[[#This Row],[PlantationDate]]))</f>
        <v>3 2025</v>
      </c>
      <c r="M2134" t="str">
        <f>CONCATENATE(MONTH(CompilDonnées[[#This Row],[HarvestingDate]])," ", YEAR(CompilDonnées[[#This Row],[HarvestingDate]]))</f>
        <v>5 2025</v>
      </c>
      <c r="N2134">
        <f>_xlfn.NUMBERVALUE(CompilDonnées[[#This Row],[FarmID]]&amp;CompilDonnées[[#This Row],[ModuleNumber]]&amp;CompilDonnées[[#This Row],[PlantationDate]])</f>
        <v>97545744</v>
      </c>
      <c r="O2134" t="str">
        <f>CompilDonnées[[#This Row],[FarmID]]&amp;CompilDonnées[[#This Row],[ModuleNumber]]</f>
        <v>975</v>
      </c>
      <c r="P2134" t="str">
        <f>CompilDonnées[[#This Row],[Ref_Module]]&amp;CompilDonnées[[#This Row],[HarvestingDate]]</f>
        <v>97545790</v>
      </c>
    </row>
    <row r="2135" spans="1:16">
      <c r="A2135" s="5">
        <v>45744</v>
      </c>
      <c r="B2135">
        <v>98</v>
      </c>
      <c r="C2135" t="s">
        <v>79</v>
      </c>
      <c r="D2135">
        <v>1</v>
      </c>
      <c r="E2135">
        <v>100</v>
      </c>
      <c r="F2135" t="s">
        <v>1</v>
      </c>
      <c r="G2135" s="6">
        <v>45790</v>
      </c>
      <c r="H2135">
        <v>46</v>
      </c>
      <c r="I2135">
        <f>ROUND(CompilDonnées[[#This Row],[CultureDuration_days]]/7,0)</f>
        <v>7</v>
      </c>
      <c r="J2135">
        <v>2706</v>
      </c>
      <c r="K2135" t="str">
        <f>_xlfn.CONCAT(WEEKNUM(CompilDonnées[[#This Row],[PlantationDate]]), " ", YEAR(CompilDonnées[[#This Row],[PlantationDate]]))</f>
        <v>13 2025</v>
      </c>
      <c r="L2135" t="str">
        <f>CONCATENATE(MONTH(CompilDonnées[[#This Row],[PlantationDate]])," ", YEAR(CompilDonnées[[#This Row],[PlantationDate]]))</f>
        <v>3 2025</v>
      </c>
      <c r="M2135" t="str">
        <f>CONCATENATE(MONTH(CompilDonnées[[#This Row],[HarvestingDate]])," ", YEAR(CompilDonnées[[#This Row],[HarvestingDate]]))</f>
        <v>5 2025</v>
      </c>
      <c r="N2135">
        <f>_xlfn.NUMBERVALUE(CompilDonnées[[#This Row],[FarmID]]&amp;CompilDonnées[[#This Row],[ModuleNumber]]&amp;CompilDonnées[[#This Row],[PlantationDate]])</f>
        <v>98145744</v>
      </c>
      <c r="O2135" t="str">
        <f>CompilDonnées[[#This Row],[FarmID]]&amp;CompilDonnées[[#This Row],[ModuleNumber]]</f>
        <v>981</v>
      </c>
      <c r="P2135" t="str">
        <f>CompilDonnées[[#This Row],[Ref_Module]]&amp;CompilDonnées[[#This Row],[HarvestingDate]]</f>
        <v>98145790</v>
      </c>
    </row>
    <row r="2136" spans="1:16">
      <c r="A2136" s="5">
        <v>45744</v>
      </c>
      <c r="B2136">
        <v>38</v>
      </c>
      <c r="C2136" t="s">
        <v>34</v>
      </c>
      <c r="D2136">
        <v>1</v>
      </c>
      <c r="E2136">
        <v>100</v>
      </c>
      <c r="F2136" t="s">
        <v>1</v>
      </c>
      <c r="G2136" s="6">
        <v>45792</v>
      </c>
      <c r="H2136">
        <v>48</v>
      </c>
      <c r="I2136">
        <f>ROUND(CompilDonnées[[#This Row],[CultureDuration_days]]/7,0)</f>
        <v>7</v>
      </c>
      <c r="J2136">
        <v>3048</v>
      </c>
      <c r="K2136" t="str">
        <f>_xlfn.CONCAT(WEEKNUM(CompilDonnées[[#This Row],[PlantationDate]]), " ", YEAR(CompilDonnées[[#This Row],[PlantationDate]]))</f>
        <v>13 2025</v>
      </c>
      <c r="L2136" t="str">
        <f>CONCATENATE(MONTH(CompilDonnées[[#This Row],[PlantationDate]])," ", YEAR(CompilDonnées[[#This Row],[PlantationDate]]))</f>
        <v>3 2025</v>
      </c>
      <c r="M2136" t="str">
        <f>CONCATENATE(MONTH(CompilDonnées[[#This Row],[HarvestingDate]])," ", YEAR(CompilDonnées[[#This Row],[HarvestingDate]]))</f>
        <v>5 2025</v>
      </c>
      <c r="N2136">
        <f>_xlfn.NUMBERVALUE(CompilDonnées[[#This Row],[FarmID]]&amp;CompilDonnées[[#This Row],[ModuleNumber]]&amp;CompilDonnées[[#This Row],[PlantationDate]])</f>
        <v>38145744</v>
      </c>
      <c r="O2136" t="str">
        <f>CompilDonnées[[#This Row],[FarmID]]&amp;CompilDonnées[[#This Row],[ModuleNumber]]</f>
        <v>381</v>
      </c>
      <c r="P2136" t="str">
        <f>CompilDonnées[[#This Row],[Ref_Module]]&amp;CompilDonnées[[#This Row],[HarvestingDate]]</f>
        <v>38145792</v>
      </c>
    </row>
    <row r="2137" spans="1:16">
      <c r="A2137" s="5">
        <v>45745</v>
      </c>
      <c r="B2137">
        <v>102</v>
      </c>
      <c r="C2137" t="s">
        <v>85</v>
      </c>
      <c r="D2137">
        <v>1</v>
      </c>
      <c r="E2137">
        <v>100</v>
      </c>
      <c r="F2137" t="s">
        <v>1</v>
      </c>
      <c r="G2137" s="6">
        <v>45789</v>
      </c>
      <c r="H2137">
        <v>44</v>
      </c>
      <c r="I2137">
        <f>ROUND(CompilDonnées[[#This Row],[CultureDuration_days]]/7,0)</f>
        <v>6</v>
      </c>
      <c r="J2137">
        <v>1490</v>
      </c>
      <c r="K2137" t="str">
        <f>_xlfn.CONCAT(WEEKNUM(CompilDonnées[[#This Row],[PlantationDate]]), " ", YEAR(CompilDonnées[[#This Row],[PlantationDate]]))</f>
        <v>13 2025</v>
      </c>
      <c r="L2137" t="str">
        <f>CONCATENATE(MONTH(CompilDonnées[[#This Row],[PlantationDate]])," ", YEAR(CompilDonnées[[#This Row],[PlantationDate]]))</f>
        <v>3 2025</v>
      </c>
      <c r="M2137" t="str">
        <f>CONCATENATE(MONTH(CompilDonnées[[#This Row],[HarvestingDate]])," ", YEAR(CompilDonnées[[#This Row],[HarvestingDate]]))</f>
        <v>5 2025</v>
      </c>
      <c r="N2137">
        <f>_xlfn.NUMBERVALUE(CompilDonnées[[#This Row],[FarmID]]&amp;CompilDonnées[[#This Row],[ModuleNumber]]&amp;CompilDonnées[[#This Row],[PlantationDate]])</f>
        <v>102145745</v>
      </c>
      <c r="O2137" t="str">
        <f>CompilDonnées[[#This Row],[FarmID]]&amp;CompilDonnées[[#This Row],[ModuleNumber]]</f>
        <v>1021</v>
      </c>
      <c r="P2137" t="str">
        <f>CompilDonnées[[#This Row],[Ref_Module]]&amp;CompilDonnées[[#This Row],[HarvestingDate]]</f>
        <v>102145789</v>
      </c>
    </row>
    <row r="2138" spans="1:16">
      <c r="A2138" s="5">
        <v>45745</v>
      </c>
      <c r="B2138">
        <v>104</v>
      </c>
      <c r="C2138" t="s">
        <v>91</v>
      </c>
      <c r="D2138">
        <v>6</v>
      </c>
      <c r="E2138">
        <v>100</v>
      </c>
      <c r="F2138" t="s">
        <v>1</v>
      </c>
      <c r="G2138" s="6">
        <v>45790</v>
      </c>
      <c r="H2138">
        <v>45</v>
      </c>
      <c r="I2138">
        <f>ROUND(CompilDonnées[[#This Row],[CultureDuration_days]]/7,0)</f>
        <v>6</v>
      </c>
      <c r="J2138">
        <v>1796</v>
      </c>
      <c r="K2138" t="str">
        <f>_xlfn.CONCAT(WEEKNUM(CompilDonnées[[#This Row],[PlantationDate]]), " ", YEAR(CompilDonnées[[#This Row],[PlantationDate]]))</f>
        <v>13 2025</v>
      </c>
      <c r="L2138" t="str">
        <f>CONCATENATE(MONTH(CompilDonnées[[#This Row],[PlantationDate]])," ", YEAR(CompilDonnées[[#This Row],[PlantationDate]]))</f>
        <v>3 2025</v>
      </c>
      <c r="M2138" t="str">
        <f>CONCATENATE(MONTH(CompilDonnées[[#This Row],[HarvestingDate]])," ", YEAR(CompilDonnées[[#This Row],[HarvestingDate]]))</f>
        <v>5 2025</v>
      </c>
      <c r="N2138">
        <f>_xlfn.NUMBERVALUE(CompilDonnées[[#This Row],[FarmID]]&amp;CompilDonnées[[#This Row],[ModuleNumber]]&amp;CompilDonnées[[#This Row],[PlantationDate]])</f>
        <v>104645745</v>
      </c>
      <c r="O2138" t="str">
        <f>CompilDonnées[[#This Row],[FarmID]]&amp;CompilDonnées[[#This Row],[ModuleNumber]]</f>
        <v>1046</v>
      </c>
      <c r="P2138" t="str">
        <f>CompilDonnées[[#This Row],[Ref_Module]]&amp;CompilDonnées[[#This Row],[HarvestingDate]]</f>
        <v>104645790</v>
      </c>
    </row>
    <row r="2139" spans="1:16">
      <c r="A2139" s="5">
        <v>45745</v>
      </c>
      <c r="B2139">
        <v>107</v>
      </c>
      <c r="C2139" t="s">
        <v>23</v>
      </c>
      <c r="D2139">
        <v>4</v>
      </c>
      <c r="E2139">
        <v>100</v>
      </c>
      <c r="F2139" t="s">
        <v>1</v>
      </c>
      <c r="G2139" s="6">
        <v>45789</v>
      </c>
      <c r="H2139">
        <v>44</v>
      </c>
      <c r="I2139">
        <f>ROUND(CompilDonnées[[#This Row],[CultureDuration_days]]/7,0)</f>
        <v>6</v>
      </c>
      <c r="J2139">
        <v>2443</v>
      </c>
      <c r="K2139" t="str">
        <f>_xlfn.CONCAT(WEEKNUM(CompilDonnées[[#This Row],[PlantationDate]]), " ", YEAR(CompilDonnées[[#This Row],[PlantationDate]]))</f>
        <v>13 2025</v>
      </c>
      <c r="L2139" t="str">
        <f>CONCATENATE(MONTH(CompilDonnées[[#This Row],[PlantationDate]])," ", YEAR(CompilDonnées[[#This Row],[PlantationDate]]))</f>
        <v>3 2025</v>
      </c>
      <c r="M2139" t="str">
        <f>CONCATENATE(MONTH(CompilDonnées[[#This Row],[HarvestingDate]])," ", YEAR(CompilDonnées[[#This Row],[HarvestingDate]]))</f>
        <v>5 2025</v>
      </c>
      <c r="N2139">
        <f>_xlfn.NUMBERVALUE(CompilDonnées[[#This Row],[FarmID]]&amp;CompilDonnées[[#This Row],[ModuleNumber]]&amp;CompilDonnées[[#This Row],[PlantationDate]])</f>
        <v>107445745</v>
      </c>
      <c r="O2139" t="str">
        <f>CompilDonnées[[#This Row],[FarmID]]&amp;CompilDonnées[[#This Row],[ModuleNumber]]</f>
        <v>1074</v>
      </c>
      <c r="P2139" t="str">
        <f>CompilDonnées[[#This Row],[Ref_Module]]&amp;CompilDonnées[[#This Row],[HarvestingDate]]</f>
        <v>107445789</v>
      </c>
    </row>
    <row r="2140" spans="1:16">
      <c r="A2140" s="5">
        <v>45745</v>
      </c>
      <c r="B2140">
        <v>109</v>
      </c>
      <c r="C2140" t="s">
        <v>87</v>
      </c>
      <c r="D2140">
        <v>2</v>
      </c>
      <c r="E2140">
        <v>100</v>
      </c>
      <c r="F2140" t="s">
        <v>1</v>
      </c>
      <c r="G2140" s="6">
        <v>45789</v>
      </c>
      <c r="H2140">
        <v>44</v>
      </c>
      <c r="I2140">
        <f>ROUND(CompilDonnées[[#This Row],[CultureDuration_days]]/7,0)</f>
        <v>6</v>
      </c>
      <c r="J2140">
        <v>2731</v>
      </c>
      <c r="K2140" t="str">
        <f>_xlfn.CONCAT(WEEKNUM(CompilDonnées[[#This Row],[PlantationDate]]), " ", YEAR(CompilDonnées[[#This Row],[PlantationDate]]))</f>
        <v>13 2025</v>
      </c>
      <c r="L2140" t="str">
        <f>CONCATENATE(MONTH(CompilDonnées[[#This Row],[PlantationDate]])," ", YEAR(CompilDonnées[[#This Row],[PlantationDate]]))</f>
        <v>3 2025</v>
      </c>
      <c r="M2140" t="str">
        <f>CONCATENATE(MONTH(CompilDonnées[[#This Row],[HarvestingDate]])," ", YEAR(CompilDonnées[[#This Row],[HarvestingDate]]))</f>
        <v>5 2025</v>
      </c>
      <c r="N2140">
        <f>_xlfn.NUMBERVALUE(CompilDonnées[[#This Row],[FarmID]]&amp;CompilDonnées[[#This Row],[ModuleNumber]]&amp;CompilDonnées[[#This Row],[PlantationDate]])</f>
        <v>109245745</v>
      </c>
      <c r="O2140" t="str">
        <f>CompilDonnées[[#This Row],[FarmID]]&amp;CompilDonnées[[#This Row],[ModuleNumber]]</f>
        <v>1092</v>
      </c>
      <c r="P2140" t="str">
        <f>CompilDonnées[[#This Row],[Ref_Module]]&amp;CompilDonnées[[#This Row],[HarvestingDate]]</f>
        <v>109245789</v>
      </c>
    </row>
    <row r="2141" spans="1:16">
      <c r="A2141" s="5">
        <v>45745</v>
      </c>
      <c r="B2141">
        <v>4</v>
      </c>
      <c r="C2141" t="s">
        <v>74</v>
      </c>
      <c r="D2141">
        <v>3</v>
      </c>
      <c r="E2141">
        <v>100</v>
      </c>
      <c r="F2141" t="s">
        <v>1</v>
      </c>
      <c r="G2141" s="6">
        <v>45793</v>
      </c>
      <c r="H2141">
        <v>48</v>
      </c>
      <c r="I2141">
        <f>ROUND(CompilDonnées[[#This Row],[CultureDuration_days]]/7,0)</f>
        <v>7</v>
      </c>
      <c r="J2141">
        <v>2571</v>
      </c>
      <c r="K2141" t="str">
        <f>_xlfn.CONCAT(WEEKNUM(CompilDonnées[[#This Row],[PlantationDate]]), " ", YEAR(CompilDonnées[[#This Row],[PlantationDate]]))</f>
        <v>13 2025</v>
      </c>
      <c r="L2141" t="str">
        <f>CONCATENATE(MONTH(CompilDonnées[[#This Row],[PlantationDate]])," ", YEAR(CompilDonnées[[#This Row],[PlantationDate]]))</f>
        <v>3 2025</v>
      </c>
      <c r="M2141" t="str">
        <f>CONCATENATE(MONTH(CompilDonnées[[#This Row],[HarvestingDate]])," ", YEAR(CompilDonnées[[#This Row],[HarvestingDate]]))</f>
        <v>5 2025</v>
      </c>
      <c r="N2141">
        <f>_xlfn.NUMBERVALUE(CompilDonnées[[#This Row],[FarmID]]&amp;CompilDonnées[[#This Row],[ModuleNumber]]&amp;CompilDonnées[[#This Row],[PlantationDate]])</f>
        <v>4345745</v>
      </c>
      <c r="O2141" t="str">
        <f>CompilDonnées[[#This Row],[FarmID]]&amp;CompilDonnées[[#This Row],[ModuleNumber]]</f>
        <v>43</v>
      </c>
      <c r="P2141" t="str">
        <f>CompilDonnées[[#This Row],[Ref_Module]]&amp;CompilDonnées[[#This Row],[HarvestingDate]]</f>
        <v>4345793</v>
      </c>
    </row>
    <row r="2142" spans="1:16">
      <c r="A2142" s="5">
        <v>45745</v>
      </c>
      <c r="B2142">
        <v>7</v>
      </c>
      <c r="C2142" t="s">
        <v>50</v>
      </c>
      <c r="D2142">
        <v>6</v>
      </c>
      <c r="E2142">
        <v>100</v>
      </c>
      <c r="F2142" t="s">
        <v>1</v>
      </c>
      <c r="G2142" s="6">
        <v>45782</v>
      </c>
      <c r="H2142">
        <v>37</v>
      </c>
      <c r="I2142">
        <f>ROUND(CompilDonnées[[#This Row],[CultureDuration_days]]/7,0)</f>
        <v>5</v>
      </c>
      <c r="J2142">
        <v>2327</v>
      </c>
      <c r="K2142" t="str">
        <f>_xlfn.CONCAT(WEEKNUM(CompilDonnées[[#This Row],[PlantationDate]]), " ", YEAR(CompilDonnées[[#This Row],[PlantationDate]]))</f>
        <v>13 2025</v>
      </c>
      <c r="L2142" t="str">
        <f>CONCATENATE(MONTH(CompilDonnées[[#This Row],[PlantationDate]])," ", YEAR(CompilDonnées[[#This Row],[PlantationDate]]))</f>
        <v>3 2025</v>
      </c>
      <c r="M2142" t="str">
        <f>CONCATENATE(MONTH(CompilDonnées[[#This Row],[HarvestingDate]])," ", YEAR(CompilDonnées[[#This Row],[HarvestingDate]]))</f>
        <v>5 2025</v>
      </c>
      <c r="N2142">
        <f>_xlfn.NUMBERVALUE(CompilDonnées[[#This Row],[FarmID]]&amp;CompilDonnées[[#This Row],[ModuleNumber]]&amp;CompilDonnées[[#This Row],[PlantationDate]])</f>
        <v>7645745</v>
      </c>
      <c r="O2142" t="str">
        <f>CompilDonnées[[#This Row],[FarmID]]&amp;CompilDonnées[[#This Row],[ModuleNumber]]</f>
        <v>76</v>
      </c>
      <c r="P2142" t="str">
        <f>CompilDonnées[[#This Row],[Ref_Module]]&amp;CompilDonnées[[#This Row],[HarvestingDate]]</f>
        <v>7645782</v>
      </c>
    </row>
    <row r="2143" spans="1:16">
      <c r="A2143" s="5">
        <v>45745</v>
      </c>
      <c r="B2143">
        <v>59</v>
      </c>
      <c r="C2143" t="s">
        <v>64</v>
      </c>
      <c r="D2143">
        <v>2</v>
      </c>
      <c r="E2143">
        <v>100</v>
      </c>
      <c r="F2143" t="s">
        <v>1</v>
      </c>
      <c r="G2143" s="6">
        <v>45791</v>
      </c>
      <c r="H2143">
        <v>46</v>
      </c>
      <c r="I2143">
        <f>ROUND(CompilDonnées[[#This Row],[CultureDuration_days]]/7,0)</f>
        <v>7</v>
      </c>
      <c r="J2143">
        <v>2318</v>
      </c>
      <c r="K2143" t="str">
        <f>_xlfn.CONCAT(WEEKNUM(CompilDonnées[[#This Row],[PlantationDate]]), " ", YEAR(CompilDonnées[[#This Row],[PlantationDate]]))</f>
        <v>13 2025</v>
      </c>
      <c r="L2143" t="str">
        <f>CONCATENATE(MONTH(CompilDonnées[[#This Row],[PlantationDate]])," ", YEAR(CompilDonnées[[#This Row],[PlantationDate]]))</f>
        <v>3 2025</v>
      </c>
      <c r="M2143" t="str">
        <f>CONCATENATE(MONTH(CompilDonnées[[#This Row],[HarvestingDate]])," ", YEAR(CompilDonnées[[#This Row],[HarvestingDate]]))</f>
        <v>5 2025</v>
      </c>
      <c r="N2143">
        <f>_xlfn.NUMBERVALUE(CompilDonnées[[#This Row],[FarmID]]&amp;CompilDonnées[[#This Row],[ModuleNumber]]&amp;CompilDonnées[[#This Row],[PlantationDate]])</f>
        <v>59245745</v>
      </c>
      <c r="O2143" t="str">
        <f>CompilDonnées[[#This Row],[FarmID]]&amp;CompilDonnées[[#This Row],[ModuleNumber]]</f>
        <v>592</v>
      </c>
      <c r="P2143" t="str">
        <f>CompilDonnées[[#This Row],[Ref_Module]]&amp;CompilDonnées[[#This Row],[HarvestingDate]]</f>
        <v>59245791</v>
      </c>
    </row>
    <row r="2144" spans="1:16">
      <c r="A2144" s="5">
        <v>45745</v>
      </c>
      <c r="B2144">
        <v>59</v>
      </c>
      <c r="C2144" t="s">
        <v>64</v>
      </c>
      <c r="D2144">
        <v>3</v>
      </c>
      <c r="E2144">
        <v>100</v>
      </c>
      <c r="F2144" t="s">
        <v>1</v>
      </c>
      <c r="G2144" s="6">
        <v>45791</v>
      </c>
      <c r="H2144">
        <v>46</v>
      </c>
      <c r="I2144">
        <f>ROUND(CompilDonnées[[#This Row],[CultureDuration_days]]/7,0)</f>
        <v>7</v>
      </c>
      <c r="J2144">
        <v>2496</v>
      </c>
      <c r="K2144" t="str">
        <f>_xlfn.CONCAT(WEEKNUM(CompilDonnées[[#This Row],[PlantationDate]]), " ", YEAR(CompilDonnées[[#This Row],[PlantationDate]]))</f>
        <v>13 2025</v>
      </c>
      <c r="L2144" t="str">
        <f>CONCATENATE(MONTH(CompilDonnées[[#This Row],[PlantationDate]])," ", YEAR(CompilDonnées[[#This Row],[PlantationDate]]))</f>
        <v>3 2025</v>
      </c>
      <c r="M2144" t="str">
        <f>CONCATENATE(MONTH(CompilDonnées[[#This Row],[HarvestingDate]])," ", YEAR(CompilDonnées[[#This Row],[HarvestingDate]]))</f>
        <v>5 2025</v>
      </c>
      <c r="N2144">
        <f>_xlfn.NUMBERVALUE(CompilDonnées[[#This Row],[FarmID]]&amp;CompilDonnées[[#This Row],[ModuleNumber]]&amp;CompilDonnées[[#This Row],[PlantationDate]])</f>
        <v>59345745</v>
      </c>
      <c r="O2144" t="str">
        <f>CompilDonnées[[#This Row],[FarmID]]&amp;CompilDonnées[[#This Row],[ModuleNumber]]</f>
        <v>593</v>
      </c>
      <c r="P2144" t="str">
        <f>CompilDonnées[[#This Row],[Ref_Module]]&amp;CompilDonnées[[#This Row],[HarvestingDate]]</f>
        <v>59345791</v>
      </c>
    </row>
    <row r="2145" spans="1:16">
      <c r="A2145" s="5">
        <v>45745</v>
      </c>
      <c r="B2145">
        <v>76</v>
      </c>
      <c r="C2145" t="s">
        <v>18</v>
      </c>
      <c r="D2145">
        <v>5</v>
      </c>
      <c r="E2145">
        <v>100</v>
      </c>
      <c r="F2145" t="s">
        <v>1</v>
      </c>
      <c r="G2145" s="6">
        <v>45790</v>
      </c>
      <c r="H2145">
        <v>45</v>
      </c>
      <c r="I2145">
        <f>ROUND(CompilDonnées[[#This Row],[CultureDuration_days]]/7,0)</f>
        <v>6</v>
      </c>
      <c r="J2145">
        <v>2525</v>
      </c>
      <c r="K2145" t="str">
        <f>_xlfn.CONCAT(WEEKNUM(CompilDonnées[[#This Row],[PlantationDate]]), " ", YEAR(CompilDonnées[[#This Row],[PlantationDate]]))</f>
        <v>13 2025</v>
      </c>
      <c r="L2145" t="str">
        <f>CONCATENATE(MONTH(CompilDonnées[[#This Row],[PlantationDate]])," ", YEAR(CompilDonnées[[#This Row],[PlantationDate]]))</f>
        <v>3 2025</v>
      </c>
      <c r="M2145" t="str">
        <f>CONCATENATE(MONTH(CompilDonnées[[#This Row],[HarvestingDate]])," ", YEAR(CompilDonnées[[#This Row],[HarvestingDate]]))</f>
        <v>5 2025</v>
      </c>
      <c r="N2145">
        <f>_xlfn.NUMBERVALUE(CompilDonnées[[#This Row],[FarmID]]&amp;CompilDonnées[[#This Row],[ModuleNumber]]&amp;CompilDonnées[[#This Row],[PlantationDate]])</f>
        <v>76545745</v>
      </c>
      <c r="O2145" t="str">
        <f>CompilDonnées[[#This Row],[FarmID]]&amp;CompilDonnées[[#This Row],[ModuleNumber]]</f>
        <v>765</v>
      </c>
      <c r="P2145" t="str">
        <f>CompilDonnées[[#This Row],[Ref_Module]]&amp;CompilDonnées[[#This Row],[HarvestingDate]]</f>
        <v>76545790</v>
      </c>
    </row>
    <row r="2146" spans="1:16">
      <c r="A2146" s="5">
        <v>45745</v>
      </c>
      <c r="B2146">
        <v>79</v>
      </c>
      <c r="C2146" t="s">
        <v>61</v>
      </c>
      <c r="D2146">
        <v>1</v>
      </c>
      <c r="E2146">
        <v>100</v>
      </c>
      <c r="F2146" t="s">
        <v>1</v>
      </c>
      <c r="G2146" s="6">
        <v>45791</v>
      </c>
      <c r="H2146">
        <v>46</v>
      </c>
      <c r="I2146">
        <f>ROUND(CompilDonnées[[#This Row],[CultureDuration_days]]/7,0)</f>
        <v>7</v>
      </c>
      <c r="J2146">
        <v>2722</v>
      </c>
      <c r="K2146" t="str">
        <f>_xlfn.CONCAT(WEEKNUM(CompilDonnées[[#This Row],[PlantationDate]]), " ", YEAR(CompilDonnées[[#This Row],[PlantationDate]]))</f>
        <v>13 2025</v>
      </c>
      <c r="L2146" t="str">
        <f>CONCATENATE(MONTH(CompilDonnées[[#This Row],[PlantationDate]])," ", YEAR(CompilDonnées[[#This Row],[PlantationDate]]))</f>
        <v>3 2025</v>
      </c>
      <c r="M2146" t="str">
        <f>CONCATENATE(MONTH(CompilDonnées[[#This Row],[HarvestingDate]])," ", YEAR(CompilDonnées[[#This Row],[HarvestingDate]]))</f>
        <v>5 2025</v>
      </c>
      <c r="N2146">
        <f>_xlfn.NUMBERVALUE(CompilDonnées[[#This Row],[FarmID]]&amp;CompilDonnées[[#This Row],[ModuleNumber]]&amp;CompilDonnées[[#This Row],[PlantationDate]])</f>
        <v>79145745</v>
      </c>
      <c r="O2146" t="str">
        <f>CompilDonnées[[#This Row],[FarmID]]&amp;CompilDonnées[[#This Row],[ModuleNumber]]</f>
        <v>791</v>
      </c>
      <c r="P2146" t="str">
        <f>CompilDonnées[[#This Row],[Ref_Module]]&amp;CompilDonnées[[#This Row],[HarvestingDate]]</f>
        <v>79145791</v>
      </c>
    </row>
    <row r="2147" spans="1:16">
      <c r="A2147" s="5">
        <v>45745</v>
      </c>
      <c r="B2147">
        <v>90</v>
      </c>
      <c r="C2147" t="s">
        <v>72</v>
      </c>
      <c r="D2147">
        <v>6</v>
      </c>
      <c r="E2147">
        <v>100</v>
      </c>
      <c r="F2147" t="s">
        <v>1</v>
      </c>
      <c r="G2147" s="6">
        <v>45789</v>
      </c>
      <c r="H2147">
        <v>44</v>
      </c>
      <c r="I2147">
        <f>ROUND(CompilDonnées[[#This Row],[CultureDuration_days]]/7,0)</f>
        <v>6</v>
      </c>
      <c r="J2147">
        <v>2153</v>
      </c>
      <c r="K2147" t="str">
        <f>_xlfn.CONCAT(WEEKNUM(CompilDonnées[[#This Row],[PlantationDate]]), " ", YEAR(CompilDonnées[[#This Row],[PlantationDate]]))</f>
        <v>13 2025</v>
      </c>
      <c r="L2147" t="str">
        <f>CONCATENATE(MONTH(CompilDonnées[[#This Row],[PlantationDate]])," ", YEAR(CompilDonnées[[#This Row],[PlantationDate]]))</f>
        <v>3 2025</v>
      </c>
      <c r="M2147" t="str">
        <f>CONCATENATE(MONTH(CompilDonnées[[#This Row],[HarvestingDate]])," ", YEAR(CompilDonnées[[#This Row],[HarvestingDate]]))</f>
        <v>5 2025</v>
      </c>
      <c r="N2147">
        <f>_xlfn.NUMBERVALUE(CompilDonnées[[#This Row],[FarmID]]&amp;CompilDonnées[[#This Row],[ModuleNumber]]&amp;CompilDonnées[[#This Row],[PlantationDate]])</f>
        <v>90645745</v>
      </c>
      <c r="O2147" t="str">
        <f>CompilDonnées[[#This Row],[FarmID]]&amp;CompilDonnées[[#This Row],[ModuleNumber]]</f>
        <v>906</v>
      </c>
      <c r="P2147" t="str">
        <f>CompilDonnées[[#This Row],[Ref_Module]]&amp;CompilDonnées[[#This Row],[HarvestingDate]]</f>
        <v>90645789</v>
      </c>
    </row>
    <row r="2148" spans="1:16">
      <c r="A2148" s="5">
        <v>45745</v>
      </c>
      <c r="B2148">
        <v>94</v>
      </c>
      <c r="C2148" t="s">
        <v>40</v>
      </c>
      <c r="D2148">
        <v>4</v>
      </c>
      <c r="E2148">
        <v>100</v>
      </c>
      <c r="F2148" t="s">
        <v>1</v>
      </c>
      <c r="G2148" s="6">
        <v>45790</v>
      </c>
      <c r="H2148">
        <v>45</v>
      </c>
      <c r="I2148">
        <f>ROUND(CompilDonnées[[#This Row],[CultureDuration_days]]/7,0)</f>
        <v>6</v>
      </c>
      <c r="J2148">
        <v>2967</v>
      </c>
      <c r="K2148" t="str">
        <f>_xlfn.CONCAT(WEEKNUM(CompilDonnées[[#This Row],[PlantationDate]]), " ", YEAR(CompilDonnées[[#This Row],[PlantationDate]]))</f>
        <v>13 2025</v>
      </c>
      <c r="L2148" t="str">
        <f>CONCATENATE(MONTH(CompilDonnées[[#This Row],[PlantationDate]])," ", YEAR(CompilDonnées[[#This Row],[PlantationDate]]))</f>
        <v>3 2025</v>
      </c>
      <c r="M2148" t="str">
        <f>CONCATENATE(MONTH(CompilDonnées[[#This Row],[HarvestingDate]])," ", YEAR(CompilDonnées[[#This Row],[HarvestingDate]]))</f>
        <v>5 2025</v>
      </c>
      <c r="N2148">
        <f>_xlfn.NUMBERVALUE(CompilDonnées[[#This Row],[FarmID]]&amp;CompilDonnées[[#This Row],[ModuleNumber]]&amp;CompilDonnées[[#This Row],[PlantationDate]])</f>
        <v>94445745</v>
      </c>
      <c r="O2148" t="str">
        <f>CompilDonnées[[#This Row],[FarmID]]&amp;CompilDonnées[[#This Row],[ModuleNumber]]</f>
        <v>944</v>
      </c>
      <c r="P2148" t="str">
        <f>CompilDonnées[[#This Row],[Ref_Module]]&amp;CompilDonnées[[#This Row],[HarvestingDate]]</f>
        <v>94445790</v>
      </c>
    </row>
    <row r="2149" spans="1:16">
      <c r="A2149" s="5">
        <v>45745</v>
      </c>
      <c r="B2149">
        <v>94</v>
      </c>
      <c r="C2149" t="s">
        <v>40</v>
      </c>
      <c r="D2149">
        <v>6</v>
      </c>
      <c r="E2149">
        <v>100</v>
      </c>
      <c r="F2149" t="s">
        <v>1</v>
      </c>
      <c r="G2149" s="6">
        <v>45786</v>
      </c>
      <c r="H2149">
        <v>41</v>
      </c>
      <c r="I2149">
        <f>ROUND(CompilDonnées[[#This Row],[CultureDuration_days]]/7,0)</f>
        <v>6</v>
      </c>
      <c r="J2149">
        <v>2769</v>
      </c>
      <c r="K2149" t="str">
        <f>_xlfn.CONCAT(WEEKNUM(CompilDonnées[[#This Row],[PlantationDate]]), " ", YEAR(CompilDonnées[[#This Row],[PlantationDate]]))</f>
        <v>13 2025</v>
      </c>
      <c r="L2149" t="str">
        <f>CONCATENATE(MONTH(CompilDonnées[[#This Row],[PlantationDate]])," ", YEAR(CompilDonnées[[#This Row],[PlantationDate]]))</f>
        <v>3 2025</v>
      </c>
      <c r="M2149" t="str">
        <f>CONCATENATE(MONTH(CompilDonnées[[#This Row],[HarvestingDate]])," ", YEAR(CompilDonnées[[#This Row],[HarvestingDate]]))</f>
        <v>5 2025</v>
      </c>
      <c r="N2149">
        <f>_xlfn.NUMBERVALUE(CompilDonnées[[#This Row],[FarmID]]&amp;CompilDonnées[[#This Row],[ModuleNumber]]&amp;CompilDonnées[[#This Row],[PlantationDate]])</f>
        <v>94645745</v>
      </c>
      <c r="O2149" t="str">
        <f>CompilDonnées[[#This Row],[FarmID]]&amp;CompilDonnées[[#This Row],[ModuleNumber]]</f>
        <v>946</v>
      </c>
      <c r="P2149" t="str">
        <f>CompilDonnées[[#This Row],[Ref_Module]]&amp;CompilDonnées[[#This Row],[HarvestingDate]]</f>
        <v>94645786</v>
      </c>
    </row>
    <row r="2150" spans="1:16">
      <c r="A2150" s="5">
        <v>45745</v>
      </c>
      <c r="B2150">
        <v>97</v>
      </c>
      <c r="C2150" t="s">
        <v>78</v>
      </c>
      <c r="D2150">
        <v>1</v>
      </c>
      <c r="E2150">
        <v>100</v>
      </c>
      <c r="F2150" t="s">
        <v>1</v>
      </c>
      <c r="G2150" s="6">
        <v>45790</v>
      </c>
      <c r="H2150">
        <v>45</v>
      </c>
      <c r="I2150">
        <f>ROUND(CompilDonnées[[#This Row],[CultureDuration_days]]/7,0)</f>
        <v>6</v>
      </c>
      <c r="J2150">
        <v>2070</v>
      </c>
      <c r="K2150" t="str">
        <f>_xlfn.CONCAT(WEEKNUM(CompilDonnées[[#This Row],[PlantationDate]]), " ", YEAR(CompilDonnées[[#This Row],[PlantationDate]]))</f>
        <v>13 2025</v>
      </c>
      <c r="L2150" t="str">
        <f>CONCATENATE(MONTH(CompilDonnées[[#This Row],[PlantationDate]])," ", YEAR(CompilDonnées[[#This Row],[PlantationDate]]))</f>
        <v>3 2025</v>
      </c>
      <c r="M2150" t="str">
        <f>CONCATENATE(MONTH(CompilDonnées[[#This Row],[HarvestingDate]])," ", YEAR(CompilDonnées[[#This Row],[HarvestingDate]]))</f>
        <v>5 2025</v>
      </c>
      <c r="N2150">
        <f>_xlfn.NUMBERVALUE(CompilDonnées[[#This Row],[FarmID]]&amp;CompilDonnées[[#This Row],[ModuleNumber]]&amp;CompilDonnées[[#This Row],[PlantationDate]])</f>
        <v>97145745</v>
      </c>
      <c r="O2150" t="str">
        <f>CompilDonnées[[#This Row],[FarmID]]&amp;CompilDonnées[[#This Row],[ModuleNumber]]</f>
        <v>971</v>
      </c>
      <c r="P2150" t="str">
        <f>CompilDonnées[[#This Row],[Ref_Module]]&amp;CompilDonnées[[#This Row],[HarvestingDate]]</f>
        <v>97145790</v>
      </c>
    </row>
    <row r="2151" spans="1:16">
      <c r="A2151" s="5">
        <v>45745</v>
      </c>
      <c r="B2151">
        <v>97</v>
      </c>
      <c r="C2151" t="s">
        <v>78</v>
      </c>
      <c r="D2151">
        <v>4</v>
      </c>
      <c r="E2151">
        <v>100</v>
      </c>
      <c r="F2151" t="s">
        <v>1</v>
      </c>
      <c r="G2151" s="6">
        <v>45798</v>
      </c>
      <c r="H2151">
        <v>53</v>
      </c>
      <c r="I2151">
        <f>ROUND(CompilDonnées[[#This Row],[CultureDuration_days]]/7,0)</f>
        <v>8</v>
      </c>
      <c r="J2151">
        <v>3030</v>
      </c>
      <c r="K2151" t="str">
        <f>_xlfn.CONCAT(WEEKNUM(CompilDonnées[[#This Row],[PlantationDate]]), " ", YEAR(CompilDonnées[[#This Row],[PlantationDate]]))</f>
        <v>13 2025</v>
      </c>
      <c r="L2151" t="str">
        <f>CONCATENATE(MONTH(CompilDonnées[[#This Row],[PlantationDate]])," ", YEAR(CompilDonnées[[#This Row],[PlantationDate]]))</f>
        <v>3 2025</v>
      </c>
      <c r="M2151" t="str">
        <f>CONCATENATE(MONTH(CompilDonnées[[#This Row],[HarvestingDate]])," ", YEAR(CompilDonnées[[#This Row],[HarvestingDate]]))</f>
        <v>5 2025</v>
      </c>
      <c r="N2151">
        <f>_xlfn.NUMBERVALUE(CompilDonnées[[#This Row],[FarmID]]&amp;CompilDonnées[[#This Row],[ModuleNumber]]&amp;CompilDonnées[[#This Row],[PlantationDate]])</f>
        <v>97445745</v>
      </c>
      <c r="O2151" t="str">
        <f>CompilDonnées[[#This Row],[FarmID]]&amp;CompilDonnées[[#This Row],[ModuleNumber]]</f>
        <v>974</v>
      </c>
      <c r="P2151" t="str">
        <f>CompilDonnées[[#This Row],[Ref_Module]]&amp;CompilDonnées[[#This Row],[HarvestingDate]]</f>
        <v>97445798</v>
      </c>
    </row>
    <row r="2152" spans="1:16">
      <c r="A2152" s="5">
        <v>45745</v>
      </c>
      <c r="B2152">
        <v>99</v>
      </c>
      <c r="C2152" t="s">
        <v>117</v>
      </c>
      <c r="D2152">
        <v>2</v>
      </c>
      <c r="E2152">
        <v>100</v>
      </c>
      <c r="F2152" t="s">
        <v>1</v>
      </c>
      <c r="G2152" s="6">
        <v>45790</v>
      </c>
      <c r="H2152">
        <v>45</v>
      </c>
      <c r="I2152">
        <f>ROUND(CompilDonnées[[#This Row],[CultureDuration_days]]/7,0)</f>
        <v>6</v>
      </c>
      <c r="J2152">
        <v>2619</v>
      </c>
      <c r="K2152" t="str">
        <f>_xlfn.CONCAT(WEEKNUM(CompilDonnées[[#This Row],[PlantationDate]]), " ", YEAR(CompilDonnées[[#This Row],[PlantationDate]]))</f>
        <v>13 2025</v>
      </c>
      <c r="L2152" t="str">
        <f>CONCATENATE(MONTH(CompilDonnées[[#This Row],[PlantationDate]])," ", YEAR(CompilDonnées[[#This Row],[PlantationDate]]))</f>
        <v>3 2025</v>
      </c>
      <c r="M2152" t="str">
        <f>CONCATENATE(MONTH(CompilDonnées[[#This Row],[HarvestingDate]])," ", YEAR(CompilDonnées[[#This Row],[HarvestingDate]]))</f>
        <v>5 2025</v>
      </c>
      <c r="N2152">
        <f>_xlfn.NUMBERVALUE(CompilDonnées[[#This Row],[FarmID]]&amp;CompilDonnées[[#This Row],[ModuleNumber]]&amp;CompilDonnées[[#This Row],[PlantationDate]])</f>
        <v>99245745</v>
      </c>
      <c r="O2152" t="str">
        <f>CompilDonnées[[#This Row],[FarmID]]&amp;CompilDonnées[[#This Row],[ModuleNumber]]</f>
        <v>992</v>
      </c>
      <c r="P2152" t="str">
        <f>CompilDonnées[[#This Row],[Ref_Module]]&amp;CompilDonnées[[#This Row],[HarvestingDate]]</f>
        <v>99245790</v>
      </c>
    </row>
    <row r="2153" spans="1:16">
      <c r="A2153" s="5">
        <v>45745</v>
      </c>
      <c r="B2153">
        <v>101</v>
      </c>
      <c r="C2153" t="s">
        <v>54</v>
      </c>
      <c r="D2153">
        <v>5</v>
      </c>
      <c r="E2153">
        <v>100</v>
      </c>
      <c r="F2153" t="s">
        <v>1</v>
      </c>
      <c r="G2153" s="6">
        <v>45791</v>
      </c>
      <c r="H2153">
        <v>46</v>
      </c>
      <c r="I2153">
        <f>ROUND(CompilDonnées[[#This Row],[CultureDuration_days]]/7,0)</f>
        <v>7</v>
      </c>
      <c r="J2153">
        <v>3778</v>
      </c>
      <c r="K2153" t="str">
        <f>_xlfn.CONCAT(WEEKNUM(CompilDonnées[[#This Row],[PlantationDate]]), " ", YEAR(CompilDonnées[[#This Row],[PlantationDate]]))</f>
        <v>13 2025</v>
      </c>
      <c r="L2153" t="str">
        <f>CONCATENATE(MONTH(CompilDonnées[[#This Row],[PlantationDate]])," ", YEAR(CompilDonnées[[#This Row],[PlantationDate]]))</f>
        <v>3 2025</v>
      </c>
      <c r="M2153" t="str">
        <f>CONCATENATE(MONTH(CompilDonnées[[#This Row],[HarvestingDate]])," ", YEAR(CompilDonnées[[#This Row],[HarvestingDate]]))</f>
        <v>5 2025</v>
      </c>
      <c r="N2153">
        <f>_xlfn.NUMBERVALUE(CompilDonnées[[#This Row],[FarmID]]&amp;CompilDonnées[[#This Row],[ModuleNumber]]&amp;CompilDonnées[[#This Row],[PlantationDate]])</f>
        <v>101545745</v>
      </c>
      <c r="O2153" t="str">
        <f>CompilDonnées[[#This Row],[FarmID]]&amp;CompilDonnées[[#This Row],[ModuleNumber]]</f>
        <v>1015</v>
      </c>
      <c r="P2153" t="str">
        <f>CompilDonnées[[#This Row],[Ref_Module]]&amp;CompilDonnées[[#This Row],[HarvestingDate]]</f>
        <v>101545791</v>
      </c>
    </row>
    <row r="2154" spans="1:16">
      <c r="A2154" s="5">
        <v>45745</v>
      </c>
      <c r="B2154">
        <v>101</v>
      </c>
      <c r="C2154" t="s">
        <v>54</v>
      </c>
      <c r="D2154">
        <v>6</v>
      </c>
      <c r="E2154">
        <v>100</v>
      </c>
      <c r="F2154" t="s">
        <v>1</v>
      </c>
      <c r="G2154" s="6">
        <v>45791</v>
      </c>
      <c r="H2154">
        <v>46</v>
      </c>
      <c r="I2154">
        <f>ROUND(CompilDonnées[[#This Row],[CultureDuration_days]]/7,0)</f>
        <v>7</v>
      </c>
      <c r="J2154">
        <v>3733</v>
      </c>
      <c r="K2154" t="str">
        <f>_xlfn.CONCAT(WEEKNUM(CompilDonnées[[#This Row],[PlantationDate]]), " ", YEAR(CompilDonnées[[#This Row],[PlantationDate]]))</f>
        <v>13 2025</v>
      </c>
      <c r="L2154" t="str">
        <f>CONCATENATE(MONTH(CompilDonnées[[#This Row],[PlantationDate]])," ", YEAR(CompilDonnées[[#This Row],[PlantationDate]]))</f>
        <v>3 2025</v>
      </c>
      <c r="M2154" t="str">
        <f>CONCATENATE(MONTH(CompilDonnées[[#This Row],[HarvestingDate]])," ", YEAR(CompilDonnées[[#This Row],[HarvestingDate]]))</f>
        <v>5 2025</v>
      </c>
      <c r="N2154">
        <f>_xlfn.NUMBERVALUE(CompilDonnées[[#This Row],[FarmID]]&amp;CompilDonnées[[#This Row],[ModuleNumber]]&amp;CompilDonnées[[#This Row],[PlantationDate]])</f>
        <v>101645745</v>
      </c>
      <c r="O2154" t="str">
        <f>CompilDonnées[[#This Row],[FarmID]]&amp;CompilDonnées[[#This Row],[ModuleNumber]]</f>
        <v>1016</v>
      </c>
      <c r="P2154" t="str">
        <f>CompilDonnées[[#This Row],[Ref_Module]]&amp;CompilDonnées[[#This Row],[HarvestingDate]]</f>
        <v>101645791</v>
      </c>
    </row>
    <row r="2155" spans="1:16">
      <c r="A2155" s="5">
        <v>45745</v>
      </c>
      <c r="B2155">
        <v>109</v>
      </c>
      <c r="C2155" t="s">
        <v>87</v>
      </c>
      <c r="D2155">
        <v>3</v>
      </c>
      <c r="E2155">
        <v>100</v>
      </c>
      <c r="F2155" t="s">
        <v>1</v>
      </c>
      <c r="G2155" s="6">
        <v>45789</v>
      </c>
      <c r="H2155">
        <v>44</v>
      </c>
      <c r="I2155">
        <f>ROUND(CompilDonnées[[#This Row],[CultureDuration_days]]/7,0)</f>
        <v>6</v>
      </c>
      <c r="J2155">
        <v>3011</v>
      </c>
      <c r="K2155" t="str">
        <f>_xlfn.CONCAT(WEEKNUM(CompilDonnées[[#This Row],[PlantationDate]]), " ", YEAR(CompilDonnées[[#This Row],[PlantationDate]]))</f>
        <v>13 2025</v>
      </c>
      <c r="L2155" t="str">
        <f>CONCATENATE(MONTH(CompilDonnées[[#This Row],[PlantationDate]])," ", YEAR(CompilDonnées[[#This Row],[PlantationDate]]))</f>
        <v>3 2025</v>
      </c>
      <c r="M2155" t="str">
        <f>CONCATENATE(MONTH(CompilDonnées[[#This Row],[HarvestingDate]])," ", YEAR(CompilDonnées[[#This Row],[HarvestingDate]]))</f>
        <v>5 2025</v>
      </c>
      <c r="N2155">
        <f>_xlfn.NUMBERVALUE(CompilDonnées[[#This Row],[FarmID]]&amp;CompilDonnées[[#This Row],[ModuleNumber]]&amp;CompilDonnées[[#This Row],[PlantationDate]])</f>
        <v>109345745</v>
      </c>
      <c r="O2155" t="str">
        <f>CompilDonnées[[#This Row],[FarmID]]&amp;CompilDonnées[[#This Row],[ModuleNumber]]</f>
        <v>1093</v>
      </c>
      <c r="P2155" t="str">
        <f>CompilDonnées[[#This Row],[Ref_Module]]&amp;CompilDonnées[[#This Row],[HarvestingDate]]</f>
        <v>109345789</v>
      </c>
    </row>
    <row r="2156" spans="1:16">
      <c r="A2156" s="5">
        <v>45745</v>
      </c>
      <c r="B2156">
        <v>110</v>
      </c>
      <c r="C2156" t="s">
        <v>14</v>
      </c>
      <c r="D2156">
        <v>2</v>
      </c>
      <c r="E2156">
        <v>100</v>
      </c>
      <c r="F2156" t="s">
        <v>1</v>
      </c>
      <c r="G2156" s="6">
        <v>45789</v>
      </c>
      <c r="H2156">
        <v>44</v>
      </c>
      <c r="I2156">
        <f>ROUND(CompilDonnées[[#This Row],[CultureDuration_days]]/7,0)</f>
        <v>6</v>
      </c>
      <c r="J2156">
        <v>2538</v>
      </c>
      <c r="K2156" t="str">
        <f>_xlfn.CONCAT(WEEKNUM(CompilDonnées[[#This Row],[PlantationDate]]), " ", YEAR(CompilDonnées[[#This Row],[PlantationDate]]))</f>
        <v>13 2025</v>
      </c>
      <c r="L2156" t="str">
        <f>CONCATENATE(MONTH(CompilDonnées[[#This Row],[PlantationDate]])," ", YEAR(CompilDonnées[[#This Row],[PlantationDate]]))</f>
        <v>3 2025</v>
      </c>
      <c r="M2156" t="str">
        <f>CONCATENATE(MONTH(CompilDonnées[[#This Row],[HarvestingDate]])," ", YEAR(CompilDonnées[[#This Row],[HarvestingDate]]))</f>
        <v>5 2025</v>
      </c>
      <c r="N2156">
        <f>_xlfn.NUMBERVALUE(CompilDonnées[[#This Row],[FarmID]]&amp;CompilDonnées[[#This Row],[ModuleNumber]]&amp;CompilDonnées[[#This Row],[PlantationDate]])</f>
        <v>110245745</v>
      </c>
      <c r="O2156" t="str">
        <f>CompilDonnées[[#This Row],[FarmID]]&amp;CompilDonnées[[#This Row],[ModuleNumber]]</f>
        <v>1102</v>
      </c>
      <c r="P2156" t="str">
        <f>CompilDonnées[[#This Row],[Ref_Module]]&amp;CompilDonnées[[#This Row],[HarvestingDate]]</f>
        <v>110245789</v>
      </c>
    </row>
    <row r="2157" spans="1:16">
      <c r="A2157" s="5">
        <v>45745</v>
      </c>
      <c r="B2157">
        <v>111</v>
      </c>
      <c r="C2157" t="s">
        <v>41</v>
      </c>
      <c r="D2157">
        <v>2</v>
      </c>
      <c r="E2157">
        <v>100</v>
      </c>
      <c r="F2157" t="s">
        <v>1</v>
      </c>
      <c r="G2157" s="6">
        <v>45789</v>
      </c>
      <c r="H2157">
        <v>44</v>
      </c>
      <c r="I2157">
        <f>ROUND(CompilDonnées[[#This Row],[CultureDuration_days]]/7,0)</f>
        <v>6</v>
      </c>
      <c r="J2157">
        <v>2529</v>
      </c>
      <c r="K2157" t="str">
        <f>_xlfn.CONCAT(WEEKNUM(CompilDonnées[[#This Row],[PlantationDate]]), " ", YEAR(CompilDonnées[[#This Row],[PlantationDate]]))</f>
        <v>13 2025</v>
      </c>
      <c r="L2157" t="str">
        <f>CONCATENATE(MONTH(CompilDonnées[[#This Row],[PlantationDate]])," ", YEAR(CompilDonnées[[#This Row],[PlantationDate]]))</f>
        <v>3 2025</v>
      </c>
      <c r="M2157" t="str">
        <f>CONCATENATE(MONTH(CompilDonnées[[#This Row],[HarvestingDate]])," ", YEAR(CompilDonnées[[#This Row],[HarvestingDate]]))</f>
        <v>5 2025</v>
      </c>
      <c r="N2157">
        <f>_xlfn.NUMBERVALUE(CompilDonnées[[#This Row],[FarmID]]&amp;CompilDonnées[[#This Row],[ModuleNumber]]&amp;CompilDonnées[[#This Row],[PlantationDate]])</f>
        <v>111245745</v>
      </c>
      <c r="O2157" t="str">
        <f>CompilDonnées[[#This Row],[FarmID]]&amp;CompilDonnées[[#This Row],[ModuleNumber]]</f>
        <v>1112</v>
      </c>
      <c r="P2157" t="str">
        <f>CompilDonnées[[#This Row],[Ref_Module]]&amp;CompilDonnées[[#This Row],[HarvestingDate]]</f>
        <v>111245789</v>
      </c>
    </row>
    <row r="2158" spans="1:16">
      <c r="A2158" s="5">
        <v>45745</v>
      </c>
      <c r="B2158">
        <v>123</v>
      </c>
      <c r="C2158" t="s">
        <v>13</v>
      </c>
      <c r="D2158">
        <v>3</v>
      </c>
      <c r="E2158">
        <v>100</v>
      </c>
      <c r="F2158" t="s">
        <v>1</v>
      </c>
      <c r="G2158" s="6">
        <v>45789</v>
      </c>
      <c r="H2158">
        <v>44</v>
      </c>
      <c r="I2158">
        <f>ROUND(CompilDonnées[[#This Row],[CultureDuration_days]]/7,0)</f>
        <v>6</v>
      </c>
      <c r="J2158">
        <v>3002</v>
      </c>
      <c r="K2158" t="str">
        <f>_xlfn.CONCAT(WEEKNUM(CompilDonnées[[#This Row],[PlantationDate]]), " ", YEAR(CompilDonnées[[#This Row],[PlantationDate]]))</f>
        <v>13 2025</v>
      </c>
      <c r="L2158" t="str">
        <f>CONCATENATE(MONTH(CompilDonnées[[#This Row],[PlantationDate]])," ", YEAR(CompilDonnées[[#This Row],[PlantationDate]]))</f>
        <v>3 2025</v>
      </c>
      <c r="M2158" t="str">
        <f>CONCATENATE(MONTH(CompilDonnées[[#This Row],[HarvestingDate]])," ", YEAR(CompilDonnées[[#This Row],[HarvestingDate]]))</f>
        <v>5 2025</v>
      </c>
      <c r="N2158">
        <f>_xlfn.NUMBERVALUE(CompilDonnées[[#This Row],[FarmID]]&amp;CompilDonnées[[#This Row],[ModuleNumber]]&amp;CompilDonnées[[#This Row],[PlantationDate]])</f>
        <v>123345745</v>
      </c>
      <c r="O2158" t="str">
        <f>CompilDonnées[[#This Row],[FarmID]]&amp;CompilDonnées[[#This Row],[ModuleNumber]]</f>
        <v>1233</v>
      </c>
      <c r="P2158" t="str">
        <f>CompilDonnées[[#This Row],[Ref_Module]]&amp;CompilDonnées[[#This Row],[HarvestingDate]]</f>
        <v>123345789</v>
      </c>
    </row>
    <row r="2159" spans="1:16">
      <c r="A2159" s="5">
        <v>45745</v>
      </c>
      <c r="B2159">
        <v>132</v>
      </c>
      <c r="C2159" t="s">
        <v>120</v>
      </c>
      <c r="D2159">
        <v>5</v>
      </c>
      <c r="E2159">
        <v>100</v>
      </c>
      <c r="F2159" t="s">
        <v>1</v>
      </c>
      <c r="G2159" s="6">
        <v>45789</v>
      </c>
      <c r="H2159">
        <v>44</v>
      </c>
      <c r="I2159">
        <f>ROUND(CompilDonnées[[#This Row],[CultureDuration_days]]/7,0)</f>
        <v>6</v>
      </c>
      <c r="J2159">
        <v>2697</v>
      </c>
      <c r="K2159" t="str">
        <f>_xlfn.CONCAT(WEEKNUM(CompilDonnées[[#This Row],[PlantationDate]]), " ", YEAR(CompilDonnées[[#This Row],[PlantationDate]]))</f>
        <v>13 2025</v>
      </c>
      <c r="L2159" t="str">
        <f>CONCATENATE(MONTH(CompilDonnées[[#This Row],[PlantationDate]])," ", YEAR(CompilDonnées[[#This Row],[PlantationDate]]))</f>
        <v>3 2025</v>
      </c>
      <c r="M2159" t="str">
        <f>CONCATENATE(MONTH(CompilDonnées[[#This Row],[HarvestingDate]])," ", YEAR(CompilDonnées[[#This Row],[HarvestingDate]]))</f>
        <v>5 2025</v>
      </c>
      <c r="N2159">
        <f>_xlfn.NUMBERVALUE(CompilDonnées[[#This Row],[FarmID]]&amp;CompilDonnées[[#This Row],[ModuleNumber]]&amp;CompilDonnées[[#This Row],[PlantationDate]])</f>
        <v>132545745</v>
      </c>
      <c r="O2159" t="str">
        <f>CompilDonnées[[#This Row],[FarmID]]&amp;CompilDonnées[[#This Row],[ModuleNumber]]</f>
        <v>1325</v>
      </c>
      <c r="P2159" t="str">
        <f>CompilDonnées[[#This Row],[Ref_Module]]&amp;CompilDonnées[[#This Row],[HarvestingDate]]</f>
        <v>132545789</v>
      </c>
    </row>
    <row r="2160" spans="1:16">
      <c r="A2160" s="5">
        <v>45745</v>
      </c>
      <c r="B2160">
        <v>138</v>
      </c>
      <c r="C2160" t="s">
        <v>8</v>
      </c>
      <c r="D2160">
        <v>2</v>
      </c>
      <c r="E2160">
        <v>100</v>
      </c>
      <c r="F2160" t="s">
        <v>1</v>
      </c>
      <c r="G2160" s="6">
        <v>45789</v>
      </c>
      <c r="H2160">
        <v>44</v>
      </c>
      <c r="I2160">
        <f>ROUND(CompilDonnées[[#This Row],[CultureDuration_days]]/7,0)</f>
        <v>6</v>
      </c>
      <c r="J2160">
        <v>2602</v>
      </c>
      <c r="K2160" t="str">
        <f>_xlfn.CONCAT(WEEKNUM(CompilDonnées[[#This Row],[PlantationDate]]), " ", YEAR(CompilDonnées[[#This Row],[PlantationDate]]))</f>
        <v>13 2025</v>
      </c>
      <c r="L2160" t="str">
        <f>CONCATENATE(MONTH(CompilDonnées[[#This Row],[PlantationDate]])," ", YEAR(CompilDonnées[[#This Row],[PlantationDate]]))</f>
        <v>3 2025</v>
      </c>
      <c r="M2160" t="str">
        <f>CONCATENATE(MONTH(CompilDonnées[[#This Row],[HarvestingDate]])," ", YEAR(CompilDonnées[[#This Row],[HarvestingDate]]))</f>
        <v>5 2025</v>
      </c>
      <c r="N2160">
        <f>_xlfn.NUMBERVALUE(CompilDonnées[[#This Row],[FarmID]]&amp;CompilDonnées[[#This Row],[ModuleNumber]]&amp;CompilDonnées[[#This Row],[PlantationDate]])</f>
        <v>138245745</v>
      </c>
      <c r="O2160" t="str">
        <f>CompilDonnées[[#This Row],[FarmID]]&amp;CompilDonnées[[#This Row],[ModuleNumber]]</f>
        <v>1382</v>
      </c>
      <c r="P2160" t="str">
        <f>CompilDonnées[[#This Row],[Ref_Module]]&amp;CompilDonnées[[#This Row],[HarvestingDate]]</f>
        <v>138245789</v>
      </c>
    </row>
    <row r="2161" spans="1:16">
      <c r="A2161" s="5">
        <v>45745</v>
      </c>
      <c r="B2161">
        <v>139</v>
      </c>
      <c r="C2161" t="s">
        <v>103</v>
      </c>
      <c r="D2161">
        <v>1</v>
      </c>
      <c r="E2161">
        <v>100</v>
      </c>
      <c r="F2161" t="s">
        <v>1</v>
      </c>
      <c r="G2161" s="6">
        <v>45789</v>
      </c>
      <c r="H2161">
        <v>44</v>
      </c>
      <c r="I2161">
        <f>ROUND(CompilDonnées[[#This Row],[CultureDuration_days]]/7,0)</f>
        <v>6</v>
      </c>
      <c r="J2161">
        <v>2594</v>
      </c>
      <c r="K2161" t="str">
        <f>_xlfn.CONCAT(WEEKNUM(CompilDonnées[[#This Row],[PlantationDate]]), " ", YEAR(CompilDonnées[[#This Row],[PlantationDate]]))</f>
        <v>13 2025</v>
      </c>
      <c r="L2161" t="str">
        <f>CONCATENATE(MONTH(CompilDonnées[[#This Row],[PlantationDate]])," ", YEAR(CompilDonnées[[#This Row],[PlantationDate]]))</f>
        <v>3 2025</v>
      </c>
      <c r="M2161" t="str">
        <f>CONCATENATE(MONTH(CompilDonnées[[#This Row],[HarvestingDate]])," ", YEAR(CompilDonnées[[#This Row],[HarvestingDate]]))</f>
        <v>5 2025</v>
      </c>
      <c r="N2161">
        <f>_xlfn.NUMBERVALUE(CompilDonnées[[#This Row],[FarmID]]&amp;CompilDonnées[[#This Row],[ModuleNumber]]&amp;CompilDonnées[[#This Row],[PlantationDate]])</f>
        <v>139145745</v>
      </c>
      <c r="O2161" t="str">
        <f>CompilDonnées[[#This Row],[FarmID]]&amp;CompilDonnées[[#This Row],[ModuleNumber]]</f>
        <v>1391</v>
      </c>
      <c r="P2161" t="str">
        <f>CompilDonnées[[#This Row],[Ref_Module]]&amp;CompilDonnées[[#This Row],[HarvestingDate]]</f>
        <v>139145789</v>
      </c>
    </row>
    <row r="2162" spans="1:16">
      <c r="A2162" s="5">
        <v>45745</v>
      </c>
      <c r="B2162">
        <v>139</v>
      </c>
      <c r="C2162" t="s">
        <v>103</v>
      </c>
      <c r="D2162">
        <v>2</v>
      </c>
      <c r="E2162">
        <v>100</v>
      </c>
      <c r="F2162" t="s">
        <v>1</v>
      </c>
      <c r="G2162" s="6">
        <v>45789</v>
      </c>
      <c r="H2162">
        <v>44</v>
      </c>
      <c r="I2162">
        <f>ROUND(CompilDonnées[[#This Row],[CultureDuration_days]]/7,0)</f>
        <v>6</v>
      </c>
      <c r="J2162">
        <v>2348</v>
      </c>
      <c r="K2162" t="str">
        <f>_xlfn.CONCAT(WEEKNUM(CompilDonnées[[#This Row],[PlantationDate]]), " ", YEAR(CompilDonnées[[#This Row],[PlantationDate]]))</f>
        <v>13 2025</v>
      </c>
      <c r="L2162" t="str">
        <f>CONCATENATE(MONTH(CompilDonnées[[#This Row],[PlantationDate]])," ", YEAR(CompilDonnées[[#This Row],[PlantationDate]]))</f>
        <v>3 2025</v>
      </c>
      <c r="M2162" t="str">
        <f>CONCATENATE(MONTH(CompilDonnées[[#This Row],[HarvestingDate]])," ", YEAR(CompilDonnées[[#This Row],[HarvestingDate]]))</f>
        <v>5 2025</v>
      </c>
      <c r="N2162">
        <f>_xlfn.NUMBERVALUE(CompilDonnées[[#This Row],[FarmID]]&amp;CompilDonnées[[#This Row],[ModuleNumber]]&amp;CompilDonnées[[#This Row],[PlantationDate]])</f>
        <v>139245745</v>
      </c>
      <c r="O2162" t="str">
        <f>CompilDonnées[[#This Row],[FarmID]]&amp;CompilDonnées[[#This Row],[ModuleNumber]]</f>
        <v>1392</v>
      </c>
      <c r="P2162" t="str">
        <f>CompilDonnées[[#This Row],[Ref_Module]]&amp;CompilDonnées[[#This Row],[HarvestingDate]]</f>
        <v>139245789</v>
      </c>
    </row>
    <row r="2163" spans="1:16">
      <c r="A2163" s="5">
        <v>45745</v>
      </c>
      <c r="B2163">
        <v>112</v>
      </c>
      <c r="C2163" t="s">
        <v>15</v>
      </c>
      <c r="D2163">
        <v>2</v>
      </c>
      <c r="E2163">
        <v>100</v>
      </c>
      <c r="F2163" t="s">
        <v>1</v>
      </c>
      <c r="G2163" s="6">
        <v>45790</v>
      </c>
      <c r="H2163">
        <v>45</v>
      </c>
      <c r="I2163">
        <f>ROUND(CompilDonnées[[#This Row],[CultureDuration_days]]/7,0)</f>
        <v>6</v>
      </c>
      <c r="J2163">
        <v>2533</v>
      </c>
      <c r="K2163" t="str">
        <f>_xlfn.CONCAT(WEEKNUM(CompilDonnées[[#This Row],[PlantationDate]]), " ", YEAR(CompilDonnées[[#This Row],[PlantationDate]]))</f>
        <v>13 2025</v>
      </c>
      <c r="L2163" t="str">
        <f>CONCATENATE(MONTH(CompilDonnées[[#This Row],[PlantationDate]])," ", YEAR(CompilDonnées[[#This Row],[PlantationDate]]))</f>
        <v>3 2025</v>
      </c>
      <c r="M2163" t="str">
        <f>CONCATENATE(MONTH(CompilDonnées[[#This Row],[HarvestingDate]])," ", YEAR(CompilDonnées[[#This Row],[HarvestingDate]]))</f>
        <v>5 2025</v>
      </c>
      <c r="N2163">
        <f>_xlfn.NUMBERVALUE(CompilDonnées[[#This Row],[FarmID]]&amp;CompilDonnées[[#This Row],[ModuleNumber]]&amp;CompilDonnées[[#This Row],[PlantationDate]])</f>
        <v>112245745</v>
      </c>
      <c r="O2163" t="str">
        <f>CompilDonnées[[#This Row],[FarmID]]&amp;CompilDonnées[[#This Row],[ModuleNumber]]</f>
        <v>1122</v>
      </c>
      <c r="P2163" t="str">
        <f>CompilDonnées[[#This Row],[Ref_Module]]&amp;CompilDonnées[[#This Row],[HarvestingDate]]</f>
        <v>112245790</v>
      </c>
    </row>
    <row r="2164" spans="1:16">
      <c r="A2164" s="5">
        <v>45745</v>
      </c>
      <c r="B2164">
        <v>113</v>
      </c>
      <c r="C2164" t="s">
        <v>16</v>
      </c>
      <c r="D2164">
        <v>6</v>
      </c>
      <c r="E2164">
        <v>100</v>
      </c>
      <c r="F2164" t="s">
        <v>1</v>
      </c>
      <c r="G2164" s="6">
        <v>45790</v>
      </c>
      <c r="H2164">
        <v>45</v>
      </c>
      <c r="I2164">
        <f>ROUND(CompilDonnées[[#This Row],[CultureDuration_days]]/7,0)</f>
        <v>6</v>
      </c>
      <c r="J2164">
        <v>2524</v>
      </c>
      <c r="K2164" t="str">
        <f>_xlfn.CONCAT(WEEKNUM(CompilDonnées[[#This Row],[PlantationDate]]), " ", YEAR(CompilDonnées[[#This Row],[PlantationDate]]))</f>
        <v>13 2025</v>
      </c>
      <c r="L2164" t="str">
        <f>CONCATENATE(MONTH(CompilDonnées[[#This Row],[PlantationDate]])," ", YEAR(CompilDonnées[[#This Row],[PlantationDate]]))</f>
        <v>3 2025</v>
      </c>
      <c r="M2164" t="str">
        <f>CONCATENATE(MONTH(CompilDonnées[[#This Row],[HarvestingDate]])," ", YEAR(CompilDonnées[[#This Row],[HarvestingDate]]))</f>
        <v>5 2025</v>
      </c>
      <c r="N2164">
        <f>_xlfn.NUMBERVALUE(CompilDonnées[[#This Row],[FarmID]]&amp;CompilDonnées[[#This Row],[ModuleNumber]]&amp;CompilDonnées[[#This Row],[PlantationDate]])</f>
        <v>113645745</v>
      </c>
      <c r="O2164" t="str">
        <f>CompilDonnées[[#This Row],[FarmID]]&amp;CompilDonnées[[#This Row],[ModuleNumber]]</f>
        <v>1136</v>
      </c>
      <c r="P2164" t="str">
        <f>CompilDonnées[[#This Row],[Ref_Module]]&amp;CompilDonnées[[#This Row],[HarvestingDate]]</f>
        <v>113645790</v>
      </c>
    </row>
    <row r="2165" spans="1:16">
      <c r="A2165" s="5">
        <v>45745</v>
      </c>
      <c r="B2165">
        <v>38</v>
      </c>
      <c r="C2165" t="s">
        <v>34</v>
      </c>
      <c r="D2165">
        <v>2</v>
      </c>
      <c r="E2165">
        <v>100</v>
      </c>
      <c r="F2165" t="s">
        <v>1</v>
      </c>
      <c r="G2165" s="6">
        <v>45792</v>
      </c>
      <c r="H2165">
        <v>47</v>
      </c>
      <c r="I2165">
        <f>ROUND(CompilDonnées[[#This Row],[CultureDuration_days]]/7,0)</f>
        <v>7</v>
      </c>
      <c r="J2165">
        <v>2699</v>
      </c>
      <c r="K2165" t="str">
        <f>_xlfn.CONCAT(WEEKNUM(CompilDonnées[[#This Row],[PlantationDate]]), " ", YEAR(CompilDonnées[[#This Row],[PlantationDate]]))</f>
        <v>13 2025</v>
      </c>
      <c r="L2165" t="str">
        <f>CONCATENATE(MONTH(CompilDonnées[[#This Row],[PlantationDate]])," ", YEAR(CompilDonnées[[#This Row],[PlantationDate]]))</f>
        <v>3 2025</v>
      </c>
      <c r="M2165" t="str">
        <f>CONCATENATE(MONTH(CompilDonnées[[#This Row],[HarvestingDate]])," ", YEAR(CompilDonnées[[#This Row],[HarvestingDate]]))</f>
        <v>5 2025</v>
      </c>
      <c r="N2165">
        <f>_xlfn.NUMBERVALUE(CompilDonnées[[#This Row],[FarmID]]&amp;CompilDonnées[[#This Row],[ModuleNumber]]&amp;CompilDonnées[[#This Row],[PlantationDate]])</f>
        <v>38245745</v>
      </c>
      <c r="O2165" t="str">
        <f>CompilDonnées[[#This Row],[FarmID]]&amp;CompilDonnées[[#This Row],[ModuleNumber]]</f>
        <v>382</v>
      </c>
      <c r="P2165" t="str">
        <f>CompilDonnées[[#This Row],[Ref_Module]]&amp;CompilDonnées[[#This Row],[HarvestingDate]]</f>
        <v>38245792</v>
      </c>
    </row>
    <row r="2166" spans="1:16">
      <c r="A2166" s="5">
        <v>45745</v>
      </c>
      <c r="B2166">
        <v>116</v>
      </c>
      <c r="C2166" t="s">
        <v>76</v>
      </c>
      <c r="D2166">
        <v>2</v>
      </c>
      <c r="E2166">
        <v>100</v>
      </c>
      <c r="F2166" t="s">
        <v>1</v>
      </c>
      <c r="G2166" s="6">
        <v>45789</v>
      </c>
      <c r="H2166">
        <v>44</v>
      </c>
      <c r="I2166">
        <f>ROUND(CompilDonnées[[#This Row],[CultureDuration_days]]/7,0)</f>
        <v>6</v>
      </c>
      <c r="J2166">
        <v>1634</v>
      </c>
      <c r="K2166" t="str">
        <f>_xlfn.CONCAT(WEEKNUM(CompilDonnées[[#This Row],[PlantationDate]]), " ", YEAR(CompilDonnées[[#This Row],[PlantationDate]]))</f>
        <v>13 2025</v>
      </c>
      <c r="L2166" t="str">
        <f>CONCATENATE(MONTH(CompilDonnées[[#This Row],[PlantationDate]])," ", YEAR(CompilDonnées[[#This Row],[PlantationDate]]))</f>
        <v>3 2025</v>
      </c>
      <c r="M2166" t="str">
        <f>CONCATENATE(MONTH(CompilDonnées[[#This Row],[HarvestingDate]])," ", YEAR(CompilDonnées[[#This Row],[HarvestingDate]]))</f>
        <v>5 2025</v>
      </c>
      <c r="N2166">
        <f>_xlfn.NUMBERVALUE(CompilDonnées[[#This Row],[FarmID]]&amp;CompilDonnées[[#This Row],[ModuleNumber]]&amp;CompilDonnées[[#This Row],[PlantationDate]])</f>
        <v>116245745</v>
      </c>
      <c r="O2166" t="str">
        <f>CompilDonnées[[#This Row],[FarmID]]&amp;CompilDonnées[[#This Row],[ModuleNumber]]</f>
        <v>1162</v>
      </c>
      <c r="P2166" t="str">
        <f>CompilDonnées[[#This Row],[Ref_Module]]&amp;CompilDonnées[[#This Row],[HarvestingDate]]</f>
        <v>116245789</v>
      </c>
    </row>
    <row r="2167" spans="1:16">
      <c r="A2167" s="5">
        <v>45745</v>
      </c>
      <c r="B2167">
        <v>117</v>
      </c>
      <c r="C2167" t="s">
        <v>11</v>
      </c>
      <c r="D2167">
        <v>1</v>
      </c>
      <c r="E2167">
        <v>100</v>
      </c>
      <c r="F2167" t="s">
        <v>1</v>
      </c>
      <c r="G2167" s="6">
        <v>45789</v>
      </c>
      <c r="H2167">
        <v>44</v>
      </c>
      <c r="I2167">
        <f>ROUND(CompilDonnées[[#This Row],[CultureDuration_days]]/7,0)</f>
        <v>6</v>
      </c>
      <c r="J2167">
        <v>2412</v>
      </c>
      <c r="K2167" t="str">
        <f>_xlfn.CONCAT(WEEKNUM(CompilDonnées[[#This Row],[PlantationDate]]), " ", YEAR(CompilDonnées[[#This Row],[PlantationDate]]))</f>
        <v>13 2025</v>
      </c>
      <c r="L2167" t="str">
        <f>CONCATENATE(MONTH(CompilDonnées[[#This Row],[PlantationDate]])," ", YEAR(CompilDonnées[[#This Row],[PlantationDate]]))</f>
        <v>3 2025</v>
      </c>
      <c r="M2167" t="str">
        <f>CONCATENATE(MONTH(CompilDonnées[[#This Row],[HarvestingDate]])," ", YEAR(CompilDonnées[[#This Row],[HarvestingDate]]))</f>
        <v>5 2025</v>
      </c>
      <c r="N2167">
        <f>_xlfn.NUMBERVALUE(CompilDonnées[[#This Row],[FarmID]]&amp;CompilDonnées[[#This Row],[ModuleNumber]]&amp;CompilDonnées[[#This Row],[PlantationDate]])</f>
        <v>117145745</v>
      </c>
      <c r="O2167" t="str">
        <f>CompilDonnées[[#This Row],[FarmID]]&amp;CompilDonnées[[#This Row],[ModuleNumber]]</f>
        <v>1171</v>
      </c>
      <c r="P2167" t="str">
        <f>CompilDonnées[[#This Row],[Ref_Module]]&amp;CompilDonnées[[#This Row],[HarvestingDate]]</f>
        <v>117145789</v>
      </c>
    </row>
    <row r="2168" spans="1:16">
      <c r="A2168" s="5">
        <v>45745</v>
      </c>
      <c r="B2168">
        <v>117</v>
      </c>
      <c r="C2168" t="s">
        <v>11</v>
      </c>
      <c r="D2168">
        <v>2</v>
      </c>
      <c r="E2168">
        <v>100</v>
      </c>
      <c r="F2168" t="s">
        <v>1</v>
      </c>
      <c r="G2168" s="6">
        <v>45800</v>
      </c>
      <c r="H2168">
        <v>55</v>
      </c>
      <c r="I2168">
        <f>ROUND(CompilDonnées[[#This Row],[CultureDuration_days]]/7,0)</f>
        <v>8</v>
      </c>
      <c r="J2168">
        <v>2586</v>
      </c>
      <c r="K2168" t="str">
        <f>_xlfn.CONCAT(WEEKNUM(CompilDonnées[[#This Row],[PlantationDate]]), " ", YEAR(CompilDonnées[[#This Row],[PlantationDate]]))</f>
        <v>13 2025</v>
      </c>
      <c r="L2168" t="str">
        <f>CONCATENATE(MONTH(CompilDonnées[[#This Row],[PlantationDate]])," ", YEAR(CompilDonnées[[#This Row],[PlantationDate]]))</f>
        <v>3 2025</v>
      </c>
      <c r="M2168" t="str">
        <f>CONCATENATE(MONTH(CompilDonnées[[#This Row],[HarvestingDate]])," ", YEAR(CompilDonnées[[#This Row],[HarvestingDate]]))</f>
        <v>5 2025</v>
      </c>
      <c r="N2168">
        <f>_xlfn.NUMBERVALUE(CompilDonnées[[#This Row],[FarmID]]&amp;CompilDonnées[[#This Row],[ModuleNumber]]&amp;CompilDonnées[[#This Row],[PlantationDate]])</f>
        <v>117245745</v>
      </c>
      <c r="O2168" t="str">
        <f>CompilDonnées[[#This Row],[FarmID]]&amp;CompilDonnées[[#This Row],[ModuleNumber]]</f>
        <v>1172</v>
      </c>
      <c r="P2168" t="str">
        <f>CompilDonnées[[#This Row],[Ref_Module]]&amp;CompilDonnées[[#This Row],[HarvestingDate]]</f>
        <v>117245800</v>
      </c>
    </row>
    <row r="2169" spans="1:16">
      <c r="A2169" s="5">
        <v>45748</v>
      </c>
      <c r="B2169">
        <v>102</v>
      </c>
      <c r="C2169" t="s">
        <v>85</v>
      </c>
      <c r="D2169">
        <v>3</v>
      </c>
      <c r="E2169">
        <v>100</v>
      </c>
      <c r="F2169" t="s">
        <v>1</v>
      </c>
      <c r="G2169" s="6">
        <v>45799</v>
      </c>
      <c r="H2169">
        <v>51</v>
      </c>
      <c r="I2169">
        <f>ROUND(CompilDonnées[[#This Row],[CultureDuration_days]]/7,0)</f>
        <v>7</v>
      </c>
      <c r="J2169">
        <v>2285</v>
      </c>
      <c r="K2169" t="str">
        <f>_xlfn.CONCAT(WEEKNUM(CompilDonnées[[#This Row],[PlantationDate]]), " ", YEAR(CompilDonnées[[#This Row],[PlantationDate]]))</f>
        <v>14 2025</v>
      </c>
      <c r="L2169" t="str">
        <f>CONCATENATE(MONTH(CompilDonnées[[#This Row],[PlantationDate]])," ", YEAR(CompilDonnées[[#This Row],[PlantationDate]]))</f>
        <v>4 2025</v>
      </c>
      <c r="M2169" t="str">
        <f>CONCATENATE(MONTH(CompilDonnées[[#This Row],[HarvestingDate]])," ", YEAR(CompilDonnées[[#This Row],[HarvestingDate]]))</f>
        <v>5 2025</v>
      </c>
      <c r="N2169">
        <f>_xlfn.NUMBERVALUE(CompilDonnées[[#This Row],[FarmID]]&amp;CompilDonnées[[#This Row],[ModuleNumber]]&amp;CompilDonnées[[#This Row],[PlantationDate]])</f>
        <v>102345748</v>
      </c>
      <c r="O2169" t="str">
        <f>CompilDonnées[[#This Row],[FarmID]]&amp;CompilDonnées[[#This Row],[ModuleNumber]]</f>
        <v>1023</v>
      </c>
      <c r="P2169" t="str">
        <f>CompilDonnées[[#This Row],[Ref_Module]]&amp;CompilDonnées[[#This Row],[HarvestingDate]]</f>
        <v>102345799</v>
      </c>
    </row>
    <row r="2170" spans="1:16">
      <c r="A2170" s="5">
        <v>45748</v>
      </c>
      <c r="B2170">
        <v>103</v>
      </c>
      <c r="C2170" t="s">
        <v>86</v>
      </c>
      <c r="D2170">
        <v>2</v>
      </c>
      <c r="E2170">
        <v>100</v>
      </c>
      <c r="F2170" t="s">
        <v>1</v>
      </c>
      <c r="G2170" s="6">
        <v>45799</v>
      </c>
      <c r="H2170">
        <v>51</v>
      </c>
      <c r="I2170">
        <f>ROUND(CompilDonnées[[#This Row],[CultureDuration_days]]/7,0)</f>
        <v>7</v>
      </c>
      <c r="J2170">
        <v>2797</v>
      </c>
      <c r="K2170" t="str">
        <f>_xlfn.CONCAT(WEEKNUM(CompilDonnées[[#This Row],[PlantationDate]]), " ", YEAR(CompilDonnées[[#This Row],[PlantationDate]]))</f>
        <v>14 2025</v>
      </c>
      <c r="L2170" t="str">
        <f>CONCATENATE(MONTH(CompilDonnées[[#This Row],[PlantationDate]])," ", YEAR(CompilDonnées[[#This Row],[PlantationDate]]))</f>
        <v>4 2025</v>
      </c>
      <c r="M2170" t="str">
        <f>CONCATENATE(MONTH(CompilDonnées[[#This Row],[HarvestingDate]])," ", YEAR(CompilDonnées[[#This Row],[HarvestingDate]]))</f>
        <v>5 2025</v>
      </c>
      <c r="N2170">
        <f>_xlfn.NUMBERVALUE(CompilDonnées[[#This Row],[FarmID]]&amp;CompilDonnées[[#This Row],[ModuleNumber]]&amp;CompilDonnées[[#This Row],[PlantationDate]])</f>
        <v>103245748</v>
      </c>
      <c r="O2170" t="str">
        <f>CompilDonnées[[#This Row],[FarmID]]&amp;CompilDonnées[[#This Row],[ModuleNumber]]</f>
        <v>1032</v>
      </c>
      <c r="P2170" t="str">
        <f>CompilDonnées[[#This Row],[Ref_Module]]&amp;CompilDonnées[[#This Row],[HarvestingDate]]</f>
        <v>103245799</v>
      </c>
    </row>
    <row r="2171" spans="1:16">
      <c r="A2171" s="5">
        <v>45748</v>
      </c>
      <c r="B2171">
        <v>104</v>
      </c>
      <c r="C2171" t="s">
        <v>91</v>
      </c>
      <c r="D2171">
        <v>4</v>
      </c>
      <c r="E2171">
        <v>100</v>
      </c>
      <c r="F2171" t="s">
        <v>1</v>
      </c>
      <c r="G2171" s="6">
        <v>45799</v>
      </c>
      <c r="H2171">
        <v>51</v>
      </c>
      <c r="I2171">
        <f>ROUND(CompilDonnées[[#This Row],[CultureDuration_days]]/7,0)</f>
        <v>7</v>
      </c>
      <c r="J2171">
        <v>2595</v>
      </c>
      <c r="K2171" t="str">
        <f>_xlfn.CONCAT(WEEKNUM(CompilDonnées[[#This Row],[PlantationDate]]), " ", YEAR(CompilDonnées[[#This Row],[PlantationDate]]))</f>
        <v>14 2025</v>
      </c>
      <c r="L2171" t="str">
        <f>CONCATENATE(MONTH(CompilDonnées[[#This Row],[PlantationDate]])," ", YEAR(CompilDonnées[[#This Row],[PlantationDate]]))</f>
        <v>4 2025</v>
      </c>
      <c r="M2171" t="str">
        <f>CONCATENATE(MONTH(CompilDonnées[[#This Row],[HarvestingDate]])," ", YEAR(CompilDonnées[[#This Row],[HarvestingDate]]))</f>
        <v>5 2025</v>
      </c>
      <c r="N2171">
        <f>_xlfn.NUMBERVALUE(CompilDonnées[[#This Row],[FarmID]]&amp;CompilDonnées[[#This Row],[ModuleNumber]]&amp;CompilDonnées[[#This Row],[PlantationDate]])</f>
        <v>104445748</v>
      </c>
      <c r="O2171" t="str">
        <f>CompilDonnées[[#This Row],[FarmID]]&amp;CompilDonnées[[#This Row],[ModuleNumber]]</f>
        <v>1044</v>
      </c>
      <c r="P2171" t="str">
        <f>CompilDonnées[[#This Row],[Ref_Module]]&amp;CompilDonnées[[#This Row],[HarvestingDate]]</f>
        <v>104445799</v>
      </c>
    </row>
    <row r="2172" spans="1:16">
      <c r="A2172" s="5">
        <v>45748</v>
      </c>
      <c r="B2172">
        <v>106</v>
      </c>
      <c r="C2172" t="s">
        <v>22</v>
      </c>
      <c r="D2172">
        <v>3</v>
      </c>
      <c r="E2172">
        <v>100</v>
      </c>
      <c r="F2172" t="s">
        <v>1</v>
      </c>
      <c r="G2172" s="6">
        <v>45800</v>
      </c>
      <c r="H2172">
        <v>52</v>
      </c>
      <c r="I2172">
        <f>ROUND(CompilDonnées[[#This Row],[CultureDuration_days]]/7,0)</f>
        <v>7</v>
      </c>
      <c r="J2172">
        <v>2627</v>
      </c>
      <c r="K2172" t="str">
        <f>_xlfn.CONCAT(WEEKNUM(CompilDonnées[[#This Row],[PlantationDate]]), " ", YEAR(CompilDonnées[[#This Row],[PlantationDate]]))</f>
        <v>14 2025</v>
      </c>
      <c r="L2172" t="str">
        <f>CONCATENATE(MONTH(CompilDonnées[[#This Row],[PlantationDate]])," ", YEAR(CompilDonnées[[#This Row],[PlantationDate]]))</f>
        <v>4 2025</v>
      </c>
      <c r="M2172" t="str">
        <f>CONCATENATE(MONTH(CompilDonnées[[#This Row],[HarvestingDate]])," ", YEAR(CompilDonnées[[#This Row],[HarvestingDate]]))</f>
        <v>5 2025</v>
      </c>
      <c r="N2172">
        <f>_xlfn.NUMBERVALUE(CompilDonnées[[#This Row],[FarmID]]&amp;CompilDonnées[[#This Row],[ModuleNumber]]&amp;CompilDonnées[[#This Row],[PlantationDate]])</f>
        <v>106345748</v>
      </c>
      <c r="O2172" t="str">
        <f>CompilDonnées[[#This Row],[FarmID]]&amp;CompilDonnées[[#This Row],[ModuleNumber]]</f>
        <v>1063</v>
      </c>
      <c r="P2172" t="str">
        <f>CompilDonnées[[#This Row],[Ref_Module]]&amp;CompilDonnées[[#This Row],[HarvestingDate]]</f>
        <v>106345800</v>
      </c>
    </row>
    <row r="2173" spans="1:16">
      <c r="A2173" s="5">
        <v>45748</v>
      </c>
      <c r="B2173">
        <v>106</v>
      </c>
      <c r="C2173" t="s">
        <v>22</v>
      </c>
      <c r="D2173">
        <v>4</v>
      </c>
      <c r="E2173">
        <v>100</v>
      </c>
      <c r="F2173" t="s">
        <v>1</v>
      </c>
      <c r="G2173" s="6">
        <v>45800</v>
      </c>
      <c r="H2173">
        <v>52</v>
      </c>
      <c r="I2173">
        <f>ROUND(CompilDonnées[[#This Row],[CultureDuration_days]]/7,0)</f>
        <v>7</v>
      </c>
      <c r="J2173">
        <v>2635</v>
      </c>
      <c r="K2173" t="str">
        <f>_xlfn.CONCAT(WEEKNUM(CompilDonnées[[#This Row],[PlantationDate]]), " ", YEAR(CompilDonnées[[#This Row],[PlantationDate]]))</f>
        <v>14 2025</v>
      </c>
      <c r="L2173" t="str">
        <f>CONCATENATE(MONTH(CompilDonnées[[#This Row],[PlantationDate]])," ", YEAR(CompilDonnées[[#This Row],[PlantationDate]]))</f>
        <v>4 2025</v>
      </c>
      <c r="M2173" t="str">
        <f>CONCATENATE(MONTH(CompilDonnées[[#This Row],[HarvestingDate]])," ", YEAR(CompilDonnées[[#This Row],[HarvestingDate]]))</f>
        <v>5 2025</v>
      </c>
      <c r="N2173">
        <f>_xlfn.NUMBERVALUE(CompilDonnées[[#This Row],[FarmID]]&amp;CompilDonnées[[#This Row],[ModuleNumber]]&amp;CompilDonnées[[#This Row],[PlantationDate]])</f>
        <v>106445748</v>
      </c>
      <c r="O2173" t="str">
        <f>CompilDonnées[[#This Row],[FarmID]]&amp;CompilDonnées[[#This Row],[ModuleNumber]]</f>
        <v>1064</v>
      </c>
      <c r="P2173" t="str">
        <f>CompilDonnées[[#This Row],[Ref_Module]]&amp;CompilDonnées[[#This Row],[HarvestingDate]]</f>
        <v>106445800</v>
      </c>
    </row>
    <row r="2174" spans="1:16">
      <c r="A2174" s="5">
        <v>45748</v>
      </c>
      <c r="B2174">
        <v>108</v>
      </c>
      <c r="C2174" t="s">
        <v>58</v>
      </c>
      <c r="D2174">
        <v>6</v>
      </c>
      <c r="E2174">
        <v>100</v>
      </c>
      <c r="F2174" t="s">
        <v>1</v>
      </c>
      <c r="G2174" s="6">
        <v>45790</v>
      </c>
      <c r="H2174">
        <v>42</v>
      </c>
      <c r="I2174">
        <f>ROUND(CompilDonnées[[#This Row],[CultureDuration_days]]/7,0)</f>
        <v>6</v>
      </c>
      <c r="J2174">
        <v>2814</v>
      </c>
      <c r="K2174" t="str">
        <f>_xlfn.CONCAT(WEEKNUM(CompilDonnées[[#This Row],[PlantationDate]]), " ", YEAR(CompilDonnées[[#This Row],[PlantationDate]]))</f>
        <v>14 2025</v>
      </c>
      <c r="L2174" t="str">
        <f>CONCATENATE(MONTH(CompilDonnées[[#This Row],[PlantationDate]])," ", YEAR(CompilDonnées[[#This Row],[PlantationDate]]))</f>
        <v>4 2025</v>
      </c>
      <c r="M2174" t="str">
        <f>CONCATENATE(MONTH(CompilDonnées[[#This Row],[HarvestingDate]])," ", YEAR(CompilDonnées[[#This Row],[HarvestingDate]]))</f>
        <v>5 2025</v>
      </c>
      <c r="N2174">
        <f>_xlfn.NUMBERVALUE(CompilDonnées[[#This Row],[FarmID]]&amp;CompilDonnées[[#This Row],[ModuleNumber]]&amp;CompilDonnées[[#This Row],[PlantationDate]])</f>
        <v>108645748</v>
      </c>
      <c r="O2174" t="str">
        <f>CompilDonnées[[#This Row],[FarmID]]&amp;CompilDonnées[[#This Row],[ModuleNumber]]</f>
        <v>1086</v>
      </c>
      <c r="P2174" t="str">
        <f>CompilDonnées[[#This Row],[Ref_Module]]&amp;CompilDonnées[[#This Row],[HarvestingDate]]</f>
        <v>108645790</v>
      </c>
    </row>
    <row r="2175" spans="1:16">
      <c r="A2175" s="5">
        <v>45748</v>
      </c>
      <c r="B2175">
        <v>110</v>
      </c>
      <c r="C2175" t="s">
        <v>14</v>
      </c>
      <c r="D2175">
        <v>3</v>
      </c>
      <c r="E2175">
        <v>100</v>
      </c>
      <c r="F2175" t="s">
        <v>1</v>
      </c>
      <c r="G2175" s="6">
        <v>45800</v>
      </c>
      <c r="H2175">
        <v>52</v>
      </c>
      <c r="I2175">
        <f>ROUND(CompilDonnées[[#This Row],[CultureDuration_days]]/7,0)</f>
        <v>7</v>
      </c>
      <c r="J2175">
        <v>3433</v>
      </c>
      <c r="K2175" t="str">
        <f>_xlfn.CONCAT(WEEKNUM(CompilDonnées[[#This Row],[PlantationDate]]), " ", YEAR(CompilDonnées[[#This Row],[PlantationDate]]))</f>
        <v>14 2025</v>
      </c>
      <c r="L2175" t="str">
        <f>CONCATENATE(MONTH(CompilDonnées[[#This Row],[PlantationDate]])," ", YEAR(CompilDonnées[[#This Row],[PlantationDate]]))</f>
        <v>4 2025</v>
      </c>
      <c r="M2175" t="str">
        <f>CONCATENATE(MONTH(CompilDonnées[[#This Row],[HarvestingDate]])," ", YEAR(CompilDonnées[[#This Row],[HarvestingDate]]))</f>
        <v>5 2025</v>
      </c>
      <c r="N2175">
        <f>_xlfn.NUMBERVALUE(CompilDonnées[[#This Row],[FarmID]]&amp;CompilDonnées[[#This Row],[ModuleNumber]]&amp;CompilDonnées[[#This Row],[PlantationDate]])</f>
        <v>110345748</v>
      </c>
      <c r="O2175" t="str">
        <f>CompilDonnées[[#This Row],[FarmID]]&amp;CompilDonnées[[#This Row],[ModuleNumber]]</f>
        <v>1103</v>
      </c>
      <c r="P2175" t="str">
        <f>CompilDonnées[[#This Row],[Ref_Module]]&amp;CompilDonnées[[#This Row],[HarvestingDate]]</f>
        <v>110345800</v>
      </c>
    </row>
    <row r="2176" spans="1:16">
      <c r="A2176" s="5">
        <v>45748</v>
      </c>
      <c r="B2176">
        <v>111</v>
      </c>
      <c r="C2176" t="s">
        <v>41</v>
      </c>
      <c r="D2176">
        <v>1</v>
      </c>
      <c r="E2176">
        <v>100</v>
      </c>
      <c r="F2176" t="s">
        <v>1</v>
      </c>
      <c r="G2176" s="6">
        <v>45789</v>
      </c>
      <c r="H2176">
        <v>41</v>
      </c>
      <c r="I2176">
        <f>ROUND(CompilDonnées[[#This Row],[CultureDuration_days]]/7,0)</f>
        <v>6</v>
      </c>
      <c r="J2176">
        <v>2352</v>
      </c>
      <c r="K2176" t="str">
        <f>_xlfn.CONCAT(WEEKNUM(CompilDonnées[[#This Row],[PlantationDate]]), " ", YEAR(CompilDonnées[[#This Row],[PlantationDate]]))</f>
        <v>14 2025</v>
      </c>
      <c r="L2176" t="str">
        <f>CONCATENATE(MONTH(CompilDonnées[[#This Row],[PlantationDate]])," ", YEAR(CompilDonnées[[#This Row],[PlantationDate]]))</f>
        <v>4 2025</v>
      </c>
      <c r="M2176" t="str">
        <f>CONCATENATE(MONTH(CompilDonnées[[#This Row],[HarvestingDate]])," ", YEAR(CompilDonnées[[#This Row],[HarvestingDate]]))</f>
        <v>5 2025</v>
      </c>
      <c r="N2176">
        <f>_xlfn.NUMBERVALUE(CompilDonnées[[#This Row],[FarmID]]&amp;CompilDonnées[[#This Row],[ModuleNumber]]&amp;CompilDonnées[[#This Row],[PlantationDate]])</f>
        <v>111145748</v>
      </c>
      <c r="O2176" t="str">
        <f>CompilDonnées[[#This Row],[FarmID]]&amp;CompilDonnées[[#This Row],[ModuleNumber]]</f>
        <v>1111</v>
      </c>
      <c r="P2176" t="str">
        <f>CompilDonnées[[#This Row],[Ref_Module]]&amp;CompilDonnées[[#This Row],[HarvestingDate]]</f>
        <v>111145789</v>
      </c>
    </row>
    <row r="2177" spans="1:16">
      <c r="A2177" s="5">
        <v>45748</v>
      </c>
      <c r="B2177">
        <v>90</v>
      </c>
      <c r="C2177" t="s">
        <v>72</v>
      </c>
      <c r="D2177">
        <v>5</v>
      </c>
      <c r="E2177">
        <v>100</v>
      </c>
      <c r="F2177" t="s">
        <v>1</v>
      </c>
      <c r="G2177" s="6">
        <v>45799</v>
      </c>
      <c r="H2177">
        <v>51</v>
      </c>
      <c r="I2177">
        <f>ROUND(CompilDonnées[[#This Row],[CultureDuration_days]]/7,0)</f>
        <v>7</v>
      </c>
      <c r="J2177">
        <v>3205</v>
      </c>
      <c r="K2177" t="str">
        <f>_xlfn.CONCAT(WEEKNUM(CompilDonnées[[#This Row],[PlantationDate]]), " ", YEAR(CompilDonnées[[#This Row],[PlantationDate]]))</f>
        <v>14 2025</v>
      </c>
      <c r="L2177" t="str">
        <f>CONCATENATE(MONTH(CompilDonnées[[#This Row],[PlantationDate]])," ", YEAR(CompilDonnées[[#This Row],[PlantationDate]]))</f>
        <v>4 2025</v>
      </c>
      <c r="M2177" t="str">
        <f>CONCATENATE(MONTH(CompilDonnées[[#This Row],[HarvestingDate]])," ", YEAR(CompilDonnées[[#This Row],[HarvestingDate]]))</f>
        <v>5 2025</v>
      </c>
      <c r="N2177">
        <f>_xlfn.NUMBERVALUE(CompilDonnées[[#This Row],[FarmID]]&amp;CompilDonnées[[#This Row],[ModuleNumber]]&amp;CompilDonnées[[#This Row],[PlantationDate]])</f>
        <v>90545748</v>
      </c>
      <c r="O2177" t="str">
        <f>CompilDonnées[[#This Row],[FarmID]]&amp;CompilDonnées[[#This Row],[ModuleNumber]]</f>
        <v>905</v>
      </c>
      <c r="P2177" t="str">
        <f>CompilDonnées[[#This Row],[Ref_Module]]&amp;CompilDonnées[[#This Row],[HarvestingDate]]</f>
        <v>90545799</v>
      </c>
    </row>
    <row r="2178" spans="1:16">
      <c r="A2178" s="5">
        <v>45748</v>
      </c>
      <c r="B2178">
        <v>91</v>
      </c>
      <c r="C2178" t="s">
        <v>9</v>
      </c>
      <c r="D2178">
        <v>1</v>
      </c>
      <c r="E2178">
        <v>100</v>
      </c>
      <c r="F2178" t="s">
        <v>1</v>
      </c>
      <c r="G2178" s="6">
        <v>45798</v>
      </c>
      <c r="H2178">
        <v>50</v>
      </c>
      <c r="I2178">
        <f>ROUND(CompilDonnées[[#This Row],[CultureDuration_days]]/7,0)</f>
        <v>7</v>
      </c>
      <c r="J2178">
        <v>3026</v>
      </c>
      <c r="K2178" t="str">
        <f>_xlfn.CONCAT(WEEKNUM(CompilDonnées[[#This Row],[PlantationDate]]), " ", YEAR(CompilDonnées[[#This Row],[PlantationDate]]))</f>
        <v>14 2025</v>
      </c>
      <c r="L2178" t="str">
        <f>CONCATENATE(MONTH(CompilDonnées[[#This Row],[PlantationDate]])," ", YEAR(CompilDonnées[[#This Row],[PlantationDate]]))</f>
        <v>4 2025</v>
      </c>
      <c r="M2178" t="str">
        <f>CONCATENATE(MONTH(CompilDonnées[[#This Row],[HarvestingDate]])," ", YEAR(CompilDonnées[[#This Row],[HarvestingDate]]))</f>
        <v>5 2025</v>
      </c>
      <c r="N2178">
        <f>_xlfn.NUMBERVALUE(CompilDonnées[[#This Row],[FarmID]]&amp;CompilDonnées[[#This Row],[ModuleNumber]]&amp;CompilDonnées[[#This Row],[PlantationDate]])</f>
        <v>91145748</v>
      </c>
      <c r="O2178" t="str">
        <f>CompilDonnées[[#This Row],[FarmID]]&amp;CompilDonnées[[#This Row],[ModuleNumber]]</f>
        <v>911</v>
      </c>
      <c r="P2178" t="str">
        <f>CompilDonnées[[#This Row],[Ref_Module]]&amp;CompilDonnées[[#This Row],[HarvestingDate]]</f>
        <v>91145798</v>
      </c>
    </row>
    <row r="2179" spans="1:16">
      <c r="A2179" s="5">
        <v>45748</v>
      </c>
      <c r="B2179">
        <v>91</v>
      </c>
      <c r="C2179" t="s">
        <v>9</v>
      </c>
      <c r="D2179">
        <v>2</v>
      </c>
      <c r="E2179">
        <v>100</v>
      </c>
      <c r="F2179" t="s">
        <v>1</v>
      </c>
      <c r="G2179" s="6">
        <v>45798</v>
      </c>
      <c r="H2179">
        <v>50</v>
      </c>
      <c r="I2179">
        <f>ROUND(CompilDonnées[[#This Row],[CultureDuration_days]]/7,0)</f>
        <v>7</v>
      </c>
      <c r="J2179">
        <v>3149</v>
      </c>
      <c r="K2179" t="str">
        <f>_xlfn.CONCAT(WEEKNUM(CompilDonnées[[#This Row],[PlantationDate]]), " ", YEAR(CompilDonnées[[#This Row],[PlantationDate]]))</f>
        <v>14 2025</v>
      </c>
      <c r="L2179" t="str">
        <f>CONCATENATE(MONTH(CompilDonnées[[#This Row],[PlantationDate]])," ", YEAR(CompilDonnées[[#This Row],[PlantationDate]]))</f>
        <v>4 2025</v>
      </c>
      <c r="M2179" t="str">
        <f>CONCATENATE(MONTH(CompilDonnées[[#This Row],[HarvestingDate]])," ", YEAR(CompilDonnées[[#This Row],[HarvestingDate]]))</f>
        <v>5 2025</v>
      </c>
      <c r="N2179">
        <f>_xlfn.NUMBERVALUE(CompilDonnées[[#This Row],[FarmID]]&amp;CompilDonnées[[#This Row],[ModuleNumber]]&amp;CompilDonnées[[#This Row],[PlantationDate]])</f>
        <v>91245748</v>
      </c>
      <c r="O2179" t="str">
        <f>CompilDonnées[[#This Row],[FarmID]]&amp;CompilDonnées[[#This Row],[ModuleNumber]]</f>
        <v>912</v>
      </c>
      <c r="P2179" t="str">
        <f>CompilDonnées[[#This Row],[Ref_Module]]&amp;CompilDonnées[[#This Row],[HarvestingDate]]</f>
        <v>91245798</v>
      </c>
    </row>
    <row r="2180" spans="1:16">
      <c r="A2180" s="5">
        <v>45748</v>
      </c>
      <c r="B2180">
        <v>92</v>
      </c>
      <c r="C2180" t="s">
        <v>66</v>
      </c>
      <c r="D2180">
        <v>5</v>
      </c>
      <c r="E2180">
        <v>100</v>
      </c>
      <c r="F2180" t="s">
        <v>1</v>
      </c>
      <c r="G2180" s="6">
        <v>45791</v>
      </c>
      <c r="H2180">
        <v>43</v>
      </c>
      <c r="I2180">
        <f>ROUND(CompilDonnées[[#This Row],[CultureDuration_days]]/7,0)</f>
        <v>6</v>
      </c>
      <c r="J2180">
        <v>2513</v>
      </c>
      <c r="K2180" t="str">
        <f>_xlfn.CONCAT(WEEKNUM(CompilDonnées[[#This Row],[PlantationDate]]), " ", YEAR(CompilDonnées[[#This Row],[PlantationDate]]))</f>
        <v>14 2025</v>
      </c>
      <c r="L2180" t="str">
        <f>CONCATENATE(MONTH(CompilDonnées[[#This Row],[PlantationDate]])," ", YEAR(CompilDonnées[[#This Row],[PlantationDate]]))</f>
        <v>4 2025</v>
      </c>
      <c r="M2180" t="str">
        <f>CONCATENATE(MONTH(CompilDonnées[[#This Row],[HarvestingDate]])," ", YEAR(CompilDonnées[[#This Row],[HarvestingDate]]))</f>
        <v>5 2025</v>
      </c>
      <c r="N2180">
        <f>_xlfn.NUMBERVALUE(CompilDonnées[[#This Row],[FarmID]]&amp;CompilDonnées[[#This Row],[ModuleNumber]]&amp;CompilDonnées[[#This Row],[PlantationDate]])</f>
        <v>92545748</v>
      </c>
      <c r="O2180" t="str">
        <f>CompilDonnées[[#This Row],[FarmID]]&amp;CompilDonnées[[#This Row],[ModuleNumber]]</f>
        <v>925</v>
      </c>
      <c r="P2180" t="str">
        <f>CompilDonnées[[#This Row],[Ref_Module]]&amp;CompilDonnées[[#This Row],[HarvestingDate]]</f>
        <v>92545791</v>
      </c>
    </row>
    <row r="2181" spans="1:16">
      <c r="A2181" s="5">
        <v>45748</v>
      </c>
      <c r="B2181">
        <v>94</v>
      </c>
      <c r="C2181" t="s">
        <v>40</v>
      </c>
      <c r="D2181">
        <v>5</v>
      </c>
      <c r="E2181">
        <v>100</v>
      </c>
      <c r="F2181" t="s">
        <v>1</v>
      </c>
      <c r="G2181" s="6">
        <v>45799</v>
      </c>
      <c r="H2181">
        <v>51</v>
      </c>
      <c r="I2181">
        <f>ROUND(CompilDonnées[[#This Row],[CultureDuration_days]]/7,0)</f>
        <v>7</v>
      </c>
      <c r="J2181">
        <v>2923</v>
      </c>
      <c r="K2181" t="str">
        <f>_xlfn.CONCAT(WEEKNUM(CompilDonnées[[#This Row],[PlantationDate]]), " ", YEAR(CompilDonnées[[#This Row],[PlantationDate]]))</f>
        <v>14 2025</v>
      </c>
      <c r="L2181" t="str">
        <f>CONCATENATE(MONTH(CompilDonnées[[#This Row],[PlantationDate]])," ", YEAR(CompilDonnées[[#This Row],[PlantationDate]]))</f>
        <v>4 2025</v>
      </c>
      <c r="M2181" t="str">
        <f>CONCATENATE(MONTH(CompilDonnées[[#This Row],[HarvestingDate]])," ", YEAR(CompilDonnées[[#This Row],[HarvestingDate]]))</f>
        <v>5 2025</v>
      </c>
      <c r="N2181">
        <f>_xlfn.NUMBERVALUE(CompilDonnées[[#This Row],[FarmID]]&amp;CompilDonnées[[#This Row],[ModuleNumber]]&amp;CompilDonnées[[#This Row],[PlantationDate]])</f>
        <v>94545748</v>
      </c>
      <c r="O2181" t="str">
        <f>CompilDonnées[[#This Row],[FarmID]]&amp;CompilDonnées[[#This Row],[ModuleNumber]]</f>
        <v>945</v>
      </c>
      <c r="P2181" t="str">
        <f>CompilDonnées[[#This Row],[Ref_Module]]&amp;CompilDonnées[[#This Row],[HarvestingDate]]</f>
        <v>94545799</v>
      </c>
    </row>
    <row r="2182" spans="1:16">
      <c r="A2182" s="5">
        <v>45748</v>
      </c>
      <c r="B2182">
        <v>97</v>
      </c>
      <c r="C2182" t="s">
        <v>78</v>
      </c>
      <c r="D2182">
        <v>3</v>
      </c>
      <c r="E2182">
        <v>100</v>
      </c>
      <c r="F2182" t="s">
        <v>1</v>
      </c>
      <c r="G2182" s="6">
        <v>45798</v>
      </c>
      <c r="H2182">
        <v>50</v>
      </c>
      <c r="I2182">
        <f>ROUND(CompilDonnées[[#This Row],[CultureDuration_days]]/7,0)</f>
        <v>7</v>
      </c>
      <c r="J2182">
        <v>2942</v>
      </c>
      <c r="K2182" t="str">
        <f>_xlfn.CONCAT(WEEKNUM(CompilDonnées[[#This Row],[PlantationDate]]), " ", YEAR(CompilDonnées[[#This Row],[PlantationDate]]))</f>
        <v>14 2025</v>
      </c>
      <c r="L2182" t="str">
        <f>CONCATENATE(MONTH(CompilDonnées[[#This Row],[PlantationDate]])," ", YEAR(CompilDonnées[[#This Row],[PlantationDate]]))</f>
        <v>4 2025</v>
      </c>
      <c r="M2182" t="str">
        <f>CONCATENATE(MONTH(CompilDonnées[[#This Row],[HarvestingDate]])," ", YEAR(CompilDonnées[[#This Row],[HarvestingDate]]))</f>
        <v>5 2025</v>
      </c>
      <c r="N2182">
        <f>_xlfn.NUMBERVALUE(CompilDonnées[[#This Row],[FarmID]]&amp;CompilDonnées[[#This Row],[ModuleNumber]]&amp;CompilDonnées[[#This Row],[PlantationDate]])</f>
        <v>97345748</v>
      </c>
      <c r="O2182" t="str">
        <f>CompilDonnées[[#This Row],[FarmID]]&amp;CompilDonnées[[#This Row],[ModuleNumber]]</f>
        <v>973</v>
      </c>
      <c r="P2182" t="str">
        <f>CompilDonnées[[#This Row],[Ref_Module]]&amp;CompilDonnées[[#This Row],[HarvestingDate]]</f>
        <v>97345798</v>
      </c>
    </row>
    <row r="2183" spans="1:16">
      <c r="A2183" s="5">
        <v>45748</v>
      </c>
      <c r="B2183">
        <v>99</v>
      </c>
      <c r="C2183" t="s">
        <v>117</v>
      </c>
      <c r="D2183">
        <v>3</v>
      </c>
      <c r="E2183">
        <v>100</v>
      </c>
      <c r="F2183" t="s">
        <v>1</v>
      </c>
      <c r="G2183" s="6">
        <v>45790</v>
      </c>
      <c r="H2183">
        <v>42</v>
      </c>
      <c r="I2183">
        <f>ROUND(CompilDonnées[[#This Row],[CultureDuration_days]]/7,0)</f>
        <v>6</v>
      </c>
      <c r="J2183">
        <v>2642</v>
      </c>
      <c r="K2183" t="str">
        <f>_xlfn.CONCAT(WEEKNUM(CompilDonnées[[#This Row],[PlantationDate]]), " ", YEAR(CompilDonnées[[#This Row],[PlantationDate]]))</f>
        <v>14 2025</v>
      </c>
      <c r="L2183" t="str">
        <f>CONCATENATE(MONTH(CompilDonnées[[#This Row],[PlantationDate]])," ", YEAR(CompilDonnées[[#This Row],[PlantationDate]]))</f>
        <v>4 2025</v>
      </c>
      <c r="M2183" t="str">
        <f>CONCATENATE(MONTH(CompilDonnées[[#This Row],[HarvestingDate]])," ", YEAR(CompilDonnées[[#This Row],[HarvestingDate]]))</f>
        <v>5 2025</v>
      </c>
      <c r="N2183">
        <f>_xlfn.NUMBERVALUE(CompilDonnées[[#This Row],[FarmID]]&amp;CompilDonnées[[#This Row],[ModuleNumber]]&amp;CompilDonnées[[#This Row],[PlantationDate]])</f>
        <v>99345748</v>
      </c>
      <c r="O2183" t="str">
        <f>CompilDonnées[[#This Row],[FarmID]]&amp;CompilDonnées[[#This Row],[ModuleNumber]]</f>
        <v>993</v>
      </c>
      <c r="P2183" t="str">
        <f>CompilDonnées[[#This Row],[Ref_Module]]&amp;CompilDonnées[[#This Row],[HarvestingDate]]</f>
        <v>99345790</v>
      </c>
    </row>
    <row r="2184" spans="1:16">
      <c r="A2184" s="5">
        <v>45748</v>
      </c>
      <c r="B2184">
        <v>111</v>
      </c>
      <c r="C2184" t="s">
        <v>41</v>
      </c>
      <c r="D2184">
        <v>6</v>
      </c>
      <c r="E2184">
        <v>100</v>
      </c>
      <c r="F2184" t="s">
        <v>1</v>
      </c>
      <c r="G2184" s="6">
        <v>45790</v>
      </c>
      <c r="H2184">
        <v>42</v>
      </c>
      <c r="I2184">
        <f>ROUND(CompilDonnées[[#This Row],[CultureDuration_days]]/7,0)</f>
        <v>6</v>
      </c>
      <c r="J2184">
        <v>2729</v>
      </c>
      <c r="K2184" t="str">
        <f>_xlfn.CONCAT(WEEKNUM(CompilDonnées[[#This Row],[PlantationDate]]), " ", YEAR(CompilDonnées[[#This Row],[PlantationDate]]))</f>
        <v>14 2025</v>
      </c>
      <c r="L2184" t="str">
        <f>CONCATENATE(MONTH(CompilDonnées[[#This Row],[PlantationDate]])," ", YEAR(CompilDonnées[[#This Row],[PlantationDate]]))</f>
        <v>4 2025</v>
      </c>
      <c r="M2184" t="str">
        <f>CONCATENATE(MONTH(CompilDonnées[[#This Row],[HarvestingDate]])," ", YEAR(CompilDonnées[[#This Row],[HarvestingDate]]))</f>
        <v>5 2025</v>
      </c>
      <c r="N2184">
        <f>_xlfn.NUMBERVALUE(CompilDonnées[[#This Row],[FarmID]]&amp;CompilDonnées[[#This Row],[ModuleNumber]]&amp;CompilDonnées[[#This Row],[PlantationDate]])</f>
        <v>111645748</v>
      </c>
      <c r="O2184" t="str">
        <f>CompilDonnées[[#This Row],[FarmID]]&amp;CompilDonnées[[#This Row],[ModuleNumber]]</f>
        <v>1116</v>
      </c>
      <c r="P2184" t="str">
        <f>CompilDonnées[[#This Row],[Ref_Module]]&amp;CompilDonnées[[#This Row],[HarvestingDate]]</f>
        <v>111645790</v>
      </c>
    </row>
    <row r="2185" spans="1:16">
      <c r="A2185" s="5">
        <v>45748</v>
      </c>
      <c r="B2185">
        <v>112</v>
      </c>
      <c r="C2185" t="s">
        <v>15</v>
      </c>
      <c r="D2185">
        <v>4</v>
      </c>
      <c r="E2185">
        <v>100</v>
      </c>
      <c r="F2185" t="s">
        <v>1</v>
      </c>
      <c r="G2185" s="6">
        <v>45790</v>
      </c>
      <c r="H2185">
        <v>42</v>
      </c>
      <c r="I2185">
        <f>ROUND(CompilDonnées[[#This Row],[CultureDuration_days]]/7,0)</f>
        <v>6</v>
      </c>
      <c r="J2185">
        <v>2387</v>
      </c>
      <c r="K2185" t="str">
        <f>_xlfn.CONCAT(WEEKNUM(CompilDonnées[[#This Row],[PlantationDate]]), " ", YEAR(CompilDonnées[[#This Row],[PlantationDate]]))</f>
        <v>14 2025</v>
      </c>
      <c r="L2185" t="str">
        <f>CONCATENATE(MONTH(CompilDonnées[[#This Row],[PlantationDate]])," ", YEAR(CompilDonnées[[#This Row],[PlantationDate]]))</f>
        <v>4 2025</v>
      </c>
      <c r="M2185" t="str">
        <f>CONCATENATE(MONTH(CompilDonnées[[#This Row],[HarvestingDate]])," ", YEAR(CompilDonnées[[#This Row],[HarvestingDate]]))</f>
        <v>5 2025</v>
      </c>
      <c r="N2185">
        <f>_xlfn.NUMBERVALUE(CompilDonnées[[#This Row],[FarmID]]&amp;CompilDonnées[[#This Row],[ModuleNumber]]&amp;CompilDonnées[[#This Row],[PlantationDate]])</f>
        <v>112445748</v>
      </c>
      <c r="O2185" t="str">
        <f>CompilDonnées[[#This Row],[FarmID]]&amp;CompilDonnées[[#This Row],[ModuleNumber]]</f>
        <v>1124</v>
      </c>
      <c r="P2185" t="str">
        <f>CompilDonnées[[#This Row],[Ref_Module]]&amp;CompilDonnées[[#This Row],[HarvestingDate]]</f>
        <v>112445790</v>
      </c>
    </row>
    <row r="2186" spans="1:16">
      <c r="A2186" s="5">
        <v>45748</v>
      </c>
      <c r="B2186">
        <v>113</v>
      </c>
      <c r="C2186" t="s">
        <v>16</v>
      </c>
      <c r="D2186">
        <v>4</v>
      </c>
      <c r="E2186">
        <v>100</v>
      </c>
      <c r="F2186" t="s">
        <v>1</v>
      </c>
      <c r="G2186" s="6">
        <v>45790</v>
      </c>
      <c r="H2186">
        <v>42</v>
      </c>
      <c r="I2186">
        <f>ROUND(CompilDonnées[[#This Row],[CultureDuration_days]]/7,0)</f>
        <v>6</v>
      </c>
      <c r="J2186">
        <v>2761</v>
      </c>
      <c r="K2186" t="str">
        <f>_xlfn.CONCAT(WEEKNUM(CompilDonnées[[#This Row],[PlantationDate]]), " ", YEAR(CompilDonnées[[#This Row],[PlantationDate]]))</f>
        <v>14 2025</v>
      </c>
      <c r="L2186" t="str">
        <f>CONCATENATE(MONTH(CompilDonnées[[#This Row],[PlantationDate]])," ", YEAR(CompilDonnées[[#This Row],[PlantationDate]]))</f>
        <v>4 2025</v>
      </c>
      <c r="M2186" t="str">
        <f>CONCATENATE(MONTH(CompilDonnées[[#This Row],[HarvestingDate]])," ", YEAR(CompilDonnées[[#This Row],[HarvestingDate]]))</f>
        <v>5 2025</v>
      </c>
      <c r="N2186">
        <f>_xlfn.NUMBERVALUE(CompilDonnées[[#This Row],[FarmID]]&amp;CompilDonnées[[#This Row],[ModuleNumber]]&amp;CompilDonnées[[#This Row],[PlantationDate]])</f>
        <v>113445748</v>
      </c>
      <c r="O2186" t="str">
        <f>CompilDonnées[[#This Row],[FarmID]]&amp;CompilDonnées[[#This Row],[ModuleNumber]]</f>
        <v>1134</v>
      </c>
      <c r="P2186" t="str">
        <f>CompilDonnées[[#This Row],[Ref_Module]]&amp;CompilDonnées[[#This Row],[HarvestingDate]]</f>
        <v>113445790</v>
      </c>
    </row>
    <row r="2187" spans="1:16">
      <c r="A2187" s="5">
        <v>45748</v>
      </c>
      <c r="B2187">
        <v>130</v>
      </c>
      <c r="C2187" t="s">
        <v>3</v>
      </c>
      <c r="D2187">
        <v>3</v>
      </c>
      <c r="E2187">
        <v>60</v>
      </c>
      <c r="F2187" t="s">
        <v>105</v>
      </c>
      <c r="G2187" s="6">
        <v>45798</v>
      </c>
      <c r="H2187">
        <v>50</v>
      </c>
      <c r="I2187">
        <f>ROUND(CompilDonnées[[#This Row],[CultureDuration_days]]/7,0)</f>
        <v>7</v>
      </c>
      <c r="J2187">
        <v>1340</v>
      </c>
      <c r="K2187" t="str">
        <f>_xlfn.CONCAT(WEEKNUM(CompilDonnées[[#This Row],[PlantationDate]]), " ", YEAR(CompilDonnées[[#This Row],[PlantationDate]]))</f>
        <v>14 2025</v>
      </c>
      <c r="L2187" t="str">
        <f>CONCATENATE(MONTH(CompilDonnées[[#This Row],[PlantationDate]])," ", YEAR(CompilDonnées[[#This Row],[PlantationDate]]))</f>
        <v>4 2025</v>
      </c>
      <c r="M2187" t="str">
        <f>CONCATENATE(MONTH(CompilDonnées[[#This Row],[HarvestingDate]])," ", YEAR(CompilDonnées[[#This Row],[HarvestingDate]]))</f>
        <v>5 2025</v>
      </c>
      <c r="N2187">
        <f>_xlfn.NUMBERVALUE(CompilDonnées[[#This Row],[FarmID]]&amp;CompilDonnées[[#This Row],[ModuleNumber]]&amp;CompilDonnées[[#This Row],[PlantationDate]])</f>
        <v>130345748</v>
      </c>
      <c r="O2187" t="str">
        <f>CompilDonnées[[#This Row],[FarmID]]&amp;CompilDonnées[[#This Row],[ModuleNumber]]</f>
        <v>1303</v>
      </c>
      <c r="P2187" t="str">
        <f>CompilDonnées[[#This Row],[Ref_Module]]&amp;CompilDonnées[[#This Row],[HarvestingDate]]</f>
        <v>130345798</v>
      </c>
    </row>
    <row r="2188" spans="1:16">
      <c r="A2188" s="5">
        <v>45748</v>
      </c>
      <c r="B2188">
        <v>130</v>
      </c>
      <c r="C2188" t="s">
        <v>3</v>
      </c>
      <c r="D2188">
        <v>4</v>
      </c>
      <c r="E2188">
        <v>60</v>
      </c>
      <c r="F2188" t="s">
        <v>105</v>
      </c>
      <c r="G2188" s="6">
        <v>45798</v>
      </c>
      <c r="H2188">
        <v>50</v>
      </c>
      <c r="I2188">
        <f>ROUND(CompilDonnées[[#This Row],[CultureDuration_days]]/7,0)</f>
        <v>7</v>
      </c>
      <c r="J2188">
        <v>1344</v>
      </c>
      <c r="K2188" t="str">
        <f>_xlfn.CONCAT(WEEKNUM(CompilDonnées[[#This Row],[PlantationDate]]), " ", YEAR(CompilDonnées[[#This Row],[PlantationDate]]))</f>
        <v>14 2025</v>
      </c>
      <c r="L2188" t="str">
        <f>CONCATENATE(MONTH(CompilDonnées[[#This Row],[PlantationDate]])," ", YEAR(CompilDonnées[[#This Row],[PlantationDate]]))</f>
        <v>4 2025</v>
      </c>
      <c r="M2188" t="str">
        <f>CONCATENATE(MONTH(CompilDonnées[[#This Row],[HarvestingDate]])," ", YEAR(CompilDonnées[[#This Row],[HarvestingDate]]))</f>
        <v>5 2025</v>
      </c>
      <c r="N2188">
        <f>_xlfn.NUMBERVALUE(CompilDonnées[[#This Row],[FarmID]]&amp;CompilDonnées[[#This Row],[ModuleNumber]]&amp;CompilDonnées[[#This Row],[PlantationDate]])</f>
        <v>130445748</v>
      </c>
      <c r="O2188" t="str">
        <f>CompilDonnées[[#This Row],[FarmID]]&amp;CompilDonnées[[#This Row],[ModuleNumber]]</f>
        <v>1304</v>
      </c>
      <c r="P2188" t="str">
        <f>CompilDonnées[[#This Row],[Ref_Module]]&amp;CompilDonnées[[#This Row],[HarvestingDate]]</f>
        <v>130445798</v>
      </c>
    </row>
    <row r="2189" spans="1:16">
      <c r="A2189" s="5">
        <v>45748</v>
      </c>
      <c r="B2189">
        <v>130</v>
      </c>
      <c r="C2189" t="s">
        <v>3</v>
      </c>
      <c r="D2189">
        <v>5</v>
      </c>
      <c r="E2189">
        <v>60</v>
      </c>
      <c r="F2189" t="s">
        <v>105</v>
      </c>
      <c r="G2189" s="6">
        <v>45798</v>
      </c>
      <c r="H2189">
        <v>50</v>
      </c>
      <c r="I2189">
        <f>ROUND(CompilDonnées[[#This Row],[CultureDuration_days]]/7,0)</f>
        <v>7</v>
      </c>
      <c r="J2189">
        <v>1338</v>
      </c>
      <c r="K2189" t="str">
        <f>_xlfn.CONCAT(WEEKNUM(CompilDonnées[[#This Row],[PlantationDate]]), " ", YEAR(CompilDonnées[[#This Row],[PlantationDate]]))</f>
        <v>14 2025</v>
      </c>
      <c r="L2189" t="str">
        <f>CONCATENATE(MONTH(CompilDonnées[[#This Row],[PlantationDate]])," ", YEAR(CompilDonnées[[#This Row],[PlantationDate]]))</f>
        <v>4 2025</v>
      </c>
      <c r="M2189" t="str">
        <f>CONCATENATE(MONTH(CompilDonnées[[#This Row],[HarvestingDate]])," ", YEAR(CompilDonnées[[#This Row],[HarvestingDate]]))</f>
        <v>5 2025</v>
      </c>
      <c r="N2189">
        <f>_xlfn.NUMBERVALUE(CompilDonnées[[#This Row],[FarmID]]&amp;CompilDonnées[[#This Row],[ModuleNumber]]&amp;CompilDonnées[[#This Row],[PlantationDate]])</f>
        <v>130545748</v>
      </c>
      <c r="O2189" t="str">
        <f>CompilDonnées[[#This Row],[FarmID]]&amp;CompilDonnées[[#This Row],[ModuleNumber]]</f>
        <v>1305</v>
      </c>
      <c r="P2189" t="str">
        <f>CompilDonnées[[#This Row],[Ref_Module]]&amp;CompilDonnées[[#This Row],[HarvestingDate]]</f>
        <v>130545798</v>
      </c>
    </row>
    <row r="2190" spans="1:16">
      <c r="A2190" s="5">
        <v>45748</v>
      </c>
      <c r="B2190">
        <v>130</v>
      </c>
      <c r="C2190" t="s">
        <v>3</v>
      </c>
      <c r="D2190">
        <v>6</v>
      </c>
      <c r="E2190">
        <v>60</v>
      </c>
      <c r="F2190" t="s">
        <v>105</v>
      </c>
      <c r="G2190" s="6">
        <v>45798</v>
      </c>
      <c r="H2190">
        <v>50</v>
      </c>
      <c r="I2190">
        <f>ROUND(CompilDonnées[[#This Row],[CultureDuration_days]]/7,0)</f>
        <v>7</v>
      </c>
      <c r="J2190">
        <v>1342</v>
      </c>
      <c r="K2190" t="str">
        <f>_xlfn.CONCAT(WEEKNUM(CompilDonnées[[#This Row],[PlantationDate]]), " ", YEAR(CompilDonnées[[#This Row],[PlantationDate]]))</f>
        <v>14 2025</v>
      </c>
      <c r="L2190" t="str">
        <f>CONCATENATE(MONTH(CompilDonnées[[#This Row],[PlantationDate]])," ", YEAR(CompilDonnées[[#This Row],[PlantationDate]]))</f>
        <v>4 2025</v>
      </c>
      <c r="M2190" t="str">
        <f>CONCATENATE(MONTH(CompilDonnées[[#This Row],[HarvestingDate]])," ", YEAR(CompilDonnées[[#This Row],[HarvestingDate]]))</f>
        <v>5 2025</v>
      </c>
      <c r="N2190">
        <f>_xlfn.NUMBERVALUE(CompilDonnées[[#This Row],[FarmID]]&amp;CompilDonnées[[#This Row],[ModuleNumber]]&amp;CompilDonnées[[#This Row],[PlantationDate]])</f>
        <v>130645748</v>
      </c>
      <c r="O2190" t="str">
        <f>CompilDonnées[[#This Row],[FarmID]]&amp;CompilDonnées[[#This Row],[ModuleNumber]]</f>
        <v>1306</v>
      </c>
      <c r="P2190" t="str">
        <f>CompilDonnées[[#This Row],[Ref_Module]]&amp;CompilDonnées[[#This Row],[HarvestingDate]]</f>
        <v>130645798</v>
      </c>
    </row>
    <row r="2191" spans="1:16">
      <c r="A2191" s="5">
        <v>45748</v>
      </c>
      <c r="B2191">
        <v>132</v>
      </c>
      <c r="C2191" t="s">
        <v>120</v>
      </c>
      <c r="D2191">
        <v>4</v>
      </c>
      <c r="E2191">
        <v>100</v>
      </c>
      <c r="F2191" t="s">
        <v>1</v>
      </c>
      <c r="G2191" s="6">
        <v>45789</v>
      </c>
      <c r="H2191">
        <v>41</v>
      </c>
      <c r="I2191">
        <f>ROUND(CompilDonnées[[#This Row],[CultureDuration_days]]/7,0)</f>
        <v>6</v>
      </c>
      <c r="J2191">
        <v>2601</v>
      </c>
      <c r="K2191" t="str">
        <f>_xlfn.CONCAT(WEEKNUM(CompilDonnées[[#This Row],[PlantationDate]]), " ", YEAR(CompilDonnées[[#This Row],[PlantationDate]]))</f>
        <v>14 2025</v>
      </c>
      <c r="L2191" t="str">
        <f>CONCATENATE(MONTH(CompilDonnées[[#This Row],[PlantationDate]])," ", YEAR(CompilDonnées[[#This Row],[PlantationDate]]))</f>
        <v>4 2025</v>
      </c>
      <c r="M2191" t="str">
        <f>CONCATENATE(MONTH(CompilDonnées[[#This Row],[HarvestingDate]])," ", YEAR(CompilDonnées[[#This Row],[HarvestingDate]]))</f>
        <v>5 2025</v>
      </c>
      <c r="N2191">
        <f>_xlfn.NUMBERVALUE(CompilDonnées[[#This Row],[FarmID]]&amp;CompilDonnées[[#This Row],[ModuleNumber]]&amp;CompilDonnées[[#This Row],[PlantationDate]])</f>
        <v>132445748</v>
      </c>
      <c r="O2191" t="str">
        <f>CompilDonnées[[#This Row],[FarmID]]&amp;CompilDonnées[[#This Row],[ModuleNumber]]</f>
        <v>1324</v>
      </c>
      <c r="P2191" t="str">
        <f>CompilDonnées[[#This Row],[Ref_Module]]&amp;CompilDonnées[[#This Row],[HarvestingDate]]</f>
        <v>132445789</v>
      </c>
    </row>
    <row r="2192" spans="1:16">
      <c r="A2192" s="5">
        <v>45748</v>
      </c>
      <c r="B2192">
        <v>133</v>
      </c>
      <c r="C2192" t="s">
        <v>99</v>
      </c>
      <c r="D2192">
        <v>1</v>
      </c>
      <c r="E2192">
        <v>100</v>
      </c>
      <c r="F2192" t="s">
        <v>1</v>
      </c>
      <c r="G2192" s="6">
        <v>45789</v>
      </c>
      <c r="H2192">
        <v>41</v>
      </c>
      <c r="I2192">
        <f>ROUND(CompilDonnées[[#This Row],[CultureDuration_days]]/7,0)</f>
        <v>6</v>
      </c>
      <c r="J2192">
        <v>2684</v>
      </c>
      <c r="K2192" t="str">
        <f>_xlfn.CONCAT(WEEKNUM(CompilDonnées[[#This Row],[PlantationDate]]), " ", YEAR(CompilDonnées[[#This Row],[PlantationDate]]))</f>
        <v>14 2025</v>
      </c>
      <c r="L2192" t="str">
        <f>CONCATENATE(MONTH(CompilDonnées[[#This Row],[PlantationDate]])," ", YEAR(CompilDonnées[[#This Row],[PlantationDate]]))</f>
        <v>4 2025</v>
      </c>
      <c r="M2192" t="str">
        <f>CONCATENATE(MONTH(CompilDonnées[[#This Row],[HarvestingDate]])," ", YEAR(CompilDonnées[[#This Row],[HarvestingDate]]))</f>
        <v>5 2025</v>
      </c>
      <c r="N2192">
        <f>_xlfn.NUMBERVALUE(CompilDonnées[[#This Row],[FarmID]]&amp;CompilDonnées[[#This Row],[ModuleNumber]]&amp;CompilDonnées[[#This Row],[PlantationDate]])</f>
        <v>133145748</v>
      </c>
      <c r="O2192" t="str">
        <f>CompilDonnées[[#This Row],[FarmID]]&amp;CompilDonnées[[#This Row],[ModuleNumber]]</f>
        <v>1331</v>
      </c>
      <c r="P2192" t="str">
        <f>CompilDonnées[[#This Row],[Ref_Module]]&amp;CompilDonnées[[#This Row],[HarvestingDate]]</f>
        <v>133145789</v>
      </c>
    </row>
    <row r="2193" spans="1:16">
      <c r="A2193" s="5">
        <v>45748</v>
      </c>
      <c r="B2193">
        <v>139</v>
      </c>
      <c r="C2193" t="s">
        <v>103</v>
      </c>
      <c r="D2193">
        <v>6</v>
      </c>
      <c r="E2193">
        <v>100</v>
      </c>
      <c r="F2193" t="s">
        <v>1</v>
      </c>
      <c r="G2193" s="6">
        <v>45790</v>
      </c>
      <c r="H2193">
        <v>42</v>
      </c>
      <c r="I2193">
        <f>ROUND(CompilDonnées[[#This Row],[CultureDuration_days]]/7,0)</f>
        <v>6</v>
      </c>
      <c r="J2193">
        <v>2772</v>
      </c>
      <c r="K2193" t="str">
        <f>_xlfn.CONCAT(WEEKNUM(CompilDonnées[[#This Row],[PlantationDate]]), " ", YEAR(CompilDonnées[[#This Row],[PlantationDate]]))</f>
        <v>14 2025</v>
      </c>
      <c r="L2193" t="str">
        <f>CONCATENATE(MONTH(CompilDonnées[[#This Row],[PlantationDate]])," ", YEAR(CompilDonnées[[#This Row],[PlantationDate]]))</f>
        <v>4 2025</v>
      </c>
      <c r="M2193" t="str">
        <f>CONCATENATE(MONTH(CompilDonnées[[#This Row],[HarvestingDate]])," ", YEAR(CompilDonnées[[#This Row],[HarvestingDate]]))</f>
        <v>5 2025</v>
      </c>
      <c r="N2193">
        <f>_xlfn.NUMBERVALUE(CompilDonnées[[#This Row],[FarmID]]&amp;CompilDonnées[[#This Row],[ModuleNumber]]&amp;CompilDonnées[[#This Row],[PlantationDate]])</f>
        <v>139645748</v>
      </c>
      <c r="O2193" t="str">
        <f>CompilDonnées[[#This Row],[FarmID]]&amp;CompilDonnées[[#This Row],[ModuleNumber]]</f>
        <v>1396</v>
      </c>
      <c r="P2193" t="str">
        <f>CompilDonnées[[#This Row],[Ref_Module]]&amp;CompilDonnées[[#This Row],[HarvestingDate]]</f>
        <v>139645790</v>
      </c>
    </row>
    <row r="2194" spans="1:16">
      <c r="A2194" s="5">
        <v>45748</v>
      </c>
      <c r="B2194">
        <v>140</v>
      </c>
      <c r="C2194" t="s">
        <v>96</v>
      </c>
      <c r="D2194">
        <v>5</v>
      </c>
      <c r="E2194">
        <v>100</v>
      </c>
      <c r="F2194" t="s">
        <v>1</v>
      </c>
      <c r="G2194" s="6">
        <v>45789</v>
      </c>
      <c r="H2194">
        <v>41</v>
      </c>
      <c r="I2194">
        <f>ROUND(CompilDonnées[[#This Row],[CultureDuration_days]]/7,0)</f>
        <v>6</v>
      </c>
      <c r="J2194">
        <v>2437</v>
      </c>
      <c r="K2194" t="str">
        <f>_xlfn.CONCAT(WEEKNUM(CompilDonnées[[#This Row],[PlantationDate]]), " ", YEAR(CompilDonnées[[#This Row],[PlantationDate]]))</f>
        <v>14 2025</v>
      </c>
      <c r="L2194" t="str">
        <f>CONCATENATE(MONTH(CompilDonnées[[#This Row],[PlantationDate]])," ", YEAR(CompilDonnées[[#This Row],[PlantationDate]]))</f>
        <v>4 2025</v>
      </c>
      <c r="M2194" t="str">
        <f>CONCATENATE(MONTH(CompilDonnées[[#This Row],[HarvestingDate]])," ", YEAR(CompilDonnées[[#This Row],[HarvestingDate]]))</f>
        <v>5 2025</v>
      </c>
      <c r="N2194">
        <f>_xlfn.NUMBERVALUE(CompilDonnées[[#This Row],[FarmID]]&amp;CompilDonnées[[#This Row],[ModuleNumber]]&amp;CompilDonnées[[#This Row],[PlantationDate]])</f>
        <v>140545748</v>
      </c>
      <c r="O2194" t="str">
        <f>CompilDonnées[[#This Row],[FarmID]]&amp;CompilDonnées[[#This Row],[ModuleNumber]]</f>
        <v>1405</v>
      </c>
      <c r="P2194" t="str">
        <f>CompilDonnées[[#This Row],[Ref_Module]]&amp;CompilDonnées[[#This Row],[HarvestingDate]]</f>
        <v>140545789</v>
      </c>
    </row>
    <row r="2195" spans="1:16">
      <c r="A2195" s="5">
        <v>45748</v>
      </c>
      <c r="B2195">
        <v>140</v>
      </c>
      <c r="C2195" t="s">
        <v>96</v>
      </c>
      <c r="D2195">
        <v>6</v>
      </c>
      <c r="E2195">
        <v>100</v>
      </c>
      <c r="F2195" t="s">
        <v>1</v>
      </c>
      <c r="G2195" s="6">
        <v>45789</v>
      </c>
      <c r="H2195">
        <v>41</v>
      </c>
      <c r="I2195">
        <f>ROUND(CompilDonnées[[#This Row],[CultureDuration_days]]/7,0)</f>
        <v>6</v>
      </c>
      <c r="J2195">
        <v>2703</v>
      </c>
      <c r="K2195" t="str">
        <f>_xlfn.CONCAT(WEEKNUM(CompilDonnées[[#This Row],[PlantationDate]]), " ", YEAR(CompilDonnées[[#This Row],[PlantationDate]]))</f>
        <v>14 2025</v>
      </c>
      <c r="L2195" t="str">
        <f>CONCATENATE(MONTH(CompilDonnées[[#This Row],[PlantationDate]])," ", YEAR(CompilDonnées[[#This Row],[PlantationDate]]))</f>
        <v>4 2025</v>
      </c>
      <c r="M2195" t="str">
        <f>CONCATENATE(MONTH(CompilDonnées[[#This Row],[HarvestingDate]])," ", YEAR(CompilDonnées[[#This Row],[HarvestingDate]]))</f>
        <v>5 2025</v>
      </c>
      <c r="N2195">
        <f>_xlfn.NUMBERVALUE(CompilDonnées[[#This Row],[FarmID]]&amp;CompilDonnées[[#This Row],[ModuleNumber]]&amp;CompilDonnées[[#This Row],[PlantationDate]])</f>
        <v>140645748</v>
      </c>
      <c r="O2195" t="str">
        <f>CompilDonnées[[#This Row],[FarmID]]&amp;CompilDonnées[[#This Row],[ModuleNumber]]</f>
        <v>1406</v>
      </c>
      <c r="P2195" t="str">
        <f>CompilDonnées[[#This Row],[Ref_Module]]&amp;CompilDonnées[[#This Row],[HarvestingDate]]</f>
        <v>140645789</v>
      </c>
    </row>
    <row r="2196" spans="1:16">
      <c r="A2196" s="5">
        <v>45748</v>
      </c>
      <c r="B2196">
        <v>115</v>
      </c>
      <c r="C2196" t="s">
        <v>121</v>
      </c>
      <c r="D2196">
        <v>6</v>
      </c>
      <c r="E2196">
        <v>100</v>
      </c>
      <c r="F2196" t="s">
        <v>1</v>
      </c>
      <c r="G2196" s="6">
        <v>45789</v>
      </c>
      <c r="H2196">
        <v>41</v>
      </c>
      <c r="I2196">
        <f>ROUND(CompilDonnées[[#This Row],[CultureDuration_days]]/7,0)</f>
        <v>6</v>
      </c>
      <c r="J2196">
        <v>1910</v>
      </c>
      <c r="K2196" t="str">
        <f>_xlfn.CONCAT(WEEKNUM(CompilDonnées[[#This Row],[PlantationDate]]), " ", YEAR(CompilDonnées[[#This Row],[PlantationDate]]))</f>
        <v>14 2025</v>
      </c>
      <c r="L2196" t="str">
        <f>CONCATENATE(MONTH(CompilDonnées[[#This Row],[PlantationDate]])," ", YEAR(CompilDonnées[[#This Row],[PlantationDate]]))</f>
        <v>4 2025</v>
      </c>
      <c r="M2196" t="str">
        <f>CONCATENATE(MONTH(CompilDonnées[[#This Row],[HarvestingDate]])," ", YEAR(CompilDonnées[[#This Row],[HarvestingDate]]))</f>
        <v>5 2025</v>
      </c>
      <c r="N2196">
        <f>_xlfn.NUMBERVALUE(CompilDonnées[[#This Row],[FarmID]]&amp;CompilDonnées[[#This Row],[ModuleNumber]]&amp;CompilDonnées[[#This Row],[PlantationDate]])</f>
        <v>115645748</v>
      </c>
      <c r="O2196" t="str">
        <f>CompilDonnées[[#This Row],[FarmID]]&amp;CompilDonnées[[#This Row],[ModuleNumber]]</f>
        <v>1156</v>
      </c>
      <c r="P2196" t="str">
        <f>CompilDonnées[[#This Row],[Ref_Module]]&amp;CompilDonnées[[#This Row],[HarvestingDate]]</f>
        <v>115645789</v>
      </c>
    </row>
    <row r="2197" spans="1:16">
      <c r="A2197" s="5">
        <v>45748</v>
      </c>
      <c r="B2197">
        <v>116</v>
      </c>
      <c r="C2197" t="s">
        <v>76</v>
      </c>
      <c r="D2197">
        <v>5</v>
      </c>
      <c r="E2197">
        <v>100</v>
      </c>
      <c r="F2197" t="s">
        <v>1</v>
      </c>
      <c r="G2197" s="6">
        <v>45789</v>
      </c>
      <c r="H2197">
        <v>41</v>
      </c>
      <c r="I2197">
        <f>ROUND(CompilDonnées[[#This Row],[CultureDuration_days]]/7,0)</f>
        <v>6</v>
      </c>
      <c r="J2197">
        <v>1878</v>
      </c>
      <c r="K2197" t="str">
        <f>_xlfn.CONCAT(WEEKNUM(CompilDonnées[[#This Row],[PlantationDate]]), " ", YEAR(CompilDonnées[[#This Row],[PlantationDate]]))</f>
        <v>14 2025</v>
      </c>
      <c r="L2197" t="str">
        <f>CONCATENATE(MONTH(CompilDonnées[[#This Row],[PlantationDate]])," ", YEAR(CompilDonnées[[#This Row],[PlantationDate]]))</f>
        <v>4 2025</v>
      </c>
      <c r="M2197" t="str">
        <f>CONCATENATE(MONTH(CompilDonnées[[#This Row],[HarvestingDate]])," ", YEAR(CompilDonnées[[#This Row],[HarvestingDate]]))</f>
        <v>5 2025</v>
      </c>
      <c r="N2197">
        <f>_xlfn.NUMBERVALUE(CompilDonnées[[#This Row],[FarmID]]&amp;CompilDonnées[[#This Row],[ModuleNumber]]&amp;CompilDonnées[[#This Row],[PlantationDate]])</f>
        <v>116545748</v>
      </c>
      <c r="O2197" t="str">
        <f>CompilDonnées[[#This Row],[FarmID]]&amp;CompilDonnées[[#This Row],[ModuleNumber]]</f>
        <v>1165</v>
      </c>
      <c r="P2197" t="str">
        <f>CompilDonnées[[#This Row],[Ref_Module]]&amp;CompilDonnées[[#This Row],[HarvestingDate]]</f>
        <v>116545789</v>
      </c>
    </row>
    <row r="2198" spans="1:16">
      <c r="A2198" s="5">
        <v>45748</v>
      </c>
      <c r="B2198">
        <v>118</v>
      </c>
      <c r="C2198" t="s">
        <v>51</v>
      </c>
      <c r="D2198">
        <v>1</v>
      </c>
      <c r="E2198">
        <v>100</v>
      </c>
      <c r="F2198" t="s">
        <v>1</v>
      </c>
      <c r="G2198" s="6">
        <v>45789</v>
      </c>
      <c r="H2198">
        <v>41</v>
      </c>
      <c r="I2198">
        <f>ROUND(CompilDonnées[[#This Row],[CultureDuration_days]]/7,0)</f>
        <v>6</v>
      </c>
      <c r="J2198">
        <v>2568</v>
      </c>
      <c r="K2198" t="str">
        <f>_xlfn.CONCAT(WEEKNUM(CompilDonnées[[#This Row],[PlantationDate]]), " ", YEAR(CompilDonnées[[#This Row],[PlantationDate]]))</f>
        <v>14 2025</v>
      </c>
      <c r="L2198" t="str">
        <f>CONCATENATE(MONTH(CompilDonnées[[#This Row],[PlantationDate]])," ", YEAR(CompilDonnées[[#This Row],[PlantationDate]]))</f>
        <v>4 2025</v>
      </c>
      <c r="M2198" t="str">
        <f>CONCATENATE(MONTH(CompilDonnées[[#This Row],[HarvestingDate]])," ", YEAR(CompilDonnées[[#This Row],[HarvestingDate]]))</f>
        <v>5 2025</v>
      </c>
      <c r="N2198">
        <f>_xlfn.NUMBERVALUE(CompilDonnées[[#This Row],[FarmID]]&amp;CompilDonnées[[#This Row],[ModuleNumber]]&amp;CompilDonnées[[#This Row],[PlantationDate]])</f>
        <v>118145748</v>
      </c>
      <c r="O2198" t="str">
        <f>CompilDonnées[[#This Row],[FarmID]]&amp;CompilDonnées[[#This Row],[ModuleNumber]]</f>
        <v>1181</v>
      </c>
      <c r="P2198" t="str">
        <f>CompilDonnées[[#This Row],[Ref_Module]]&amp;CompilDonnées[[#This Row],[HarvestingDate]]</f>
        <v>118145789</v>
      </c>
    </row>
    <row r="2199" spans="1:16">
      <c r="A2199" s="5">
        <v>45748</v>
      </c>
      <c r="B2199">
        <v>119</v>
      </c>
      <c r="C2199" t="s">
        <v>59</v>
      </c>
      <c r="D2199">
        <v>2</v>
      </c>
      <c r="E2199">
        <v>100</v>
      </c>
      <c r="F2199" t="s">
        <v>1</v>
      </c>
      <c r="G2199" s="6">
        <v>45790</v>
      </c>
      <c r="H2199">
        <v>42</v>
      </c>
      <c r="I2199">
        <f>ROUND(CompilDonnées[[#This Row],[CultureDuration_days]]/7,0)</f>
        <v>6</v>
      </c>
      <c r="J2199">
        <v>2790</v>
      </c>
      <c r="K2199" t="str">
        <f>_xlfn.CONCAT(WEEKNUM(CompilDonnées[[#This Row],[PlantationDate]]), " ", YEAR(CompilDonnées[[#This Row],[PlantationDate]]))</f>
        <v>14 2025</v>
      </c>
      <c r="L2199" t="str">
        <f>CONCATENATE(MONTH(CompilDonnées[[#This Row],[PlantationDate]])," ", YEAR(CompilDonnées[[#This Row],[PlantationDate]]))</f>
        <v>4 2025</v>
      </c>
      <c r="M2199" t="str">
        <f>CONCATENATE(MONTH(CompilDonnées[[#This Row],[HarvestingDate]])," ", YEAR(CompilDonnées[[#This Row],[HarvestingDate]]))</f>
        <v>5 2025</v>
      </c>
      <c r="N2199">
        <f>_xlfn.NUMBERVALUE(CompilDonnées[[#This Row],[FarmID]]&amp;CompilDonnées[[#This Row],[ModuleNumber]]&amp;CompilDonnées[[#This Row],[PlantationDate]])</f>
        <v>119245748</v>
      </c>
      <c r="O2199" t="str">
        <f>CompilDonnées[[#This Row],[FarmID]]&amp;CompilDonnées[[#This Row],[ModuleNumber]]</f>
        <v>1192</v>
      </c>
      <c r="P2199" t="str">
        <f>CompilDonnées[[#This Row],[Ref_Module]]&amp;CompilDonnées[[#This Row],[HarvestingDate]]</f>
        <v>119245790</v>
      </c>
    </row>
    <row r="2200" spans="1:16">
      <c r="A2200" s="5">
        <v>45748</v>
      </c>
      <c r="B2200">
        <v>119</v>
      </c>
      <c r="C2200" t="s">
        <v>59</v>
      </c>
      <c r="D2200">
        <v>5</v>
      </c>
      <c r="E2200">
        <v>100</v>
      </c>
      <c r="F2200" t="s">
        <v>1</v>
      </c>
      <c r="G2200" s="6">
        <v>45789</v>
      </c>
      <c r="H2200">
        <v>41</v>
      </c>
      <c r="I2200">
        <f>ROUND(CompilDonnées[[#This Row],[CultureDuration_days]]/7,0)</f>
        <v>6</v>
      </c>
      <c r="J2200">
        <v>2633</v>
      </c>
      <c r="K2200" t="str">
        <f>_xlfn.CONCAT(WEEKNUM(CompilDonnées[[#This Row],[PlantationDate]]), " ", YEAR(CompilDonnées[[#This Row],[PlantationDate]]))</f>
        <v>14 2025</v>
      </c>
      <c r="L2200" t="str">
        <f>CONCATENATE(MONTH(CompilDonnées[[#This Row],[PlantationDate]])," ", YEAR(CompilDonnées[[#This Row],[PlantationDate]]))</f>
        <v>4 2025</v>
      </c>
      <c r="M2200" t="str">
        <f>CONCATENATE(MONTH(CompilDonnées[[#This Row],[HarvestingDate]])," ", YEAR(CompilDonnées[[#This Row],[HarvestingDate]]))</f>
        <v>5 2025</v>
      </c>
      <c r="N2200">
        <f>_xlfn.NUMBERVALUE(CompilDonnées[[#This Row],[FarmID]]&amp;CompilDonnées[[#This Row],[ModuleNumber]]&amp;CompilDonnées[[#This Row],[PlantationDate]])</f>
        <v>119545748</v>
      </c>
      <c r="O2200" t="str">
        <f>CompilDonnées[[#This Row],[FarmID]]&amp;CompilDonnées[[#This Row],[ModuleNumber]]</f>
        <v>1195</v>
      </c>
      <c r="P2200" t="str">
        <f>CompilDonnées[[#This Row],[Ref_Module]]&amp;CompilDonnées[[#This Row],[HarvestingDate]]</f>
        <v>119545789</v>
      </c>
    </row>
    <row r="2201" spans="1:16">
      <c r="A2201" s="5">
        <v>45749</v>
      </c>
      <c r="B2201">
        <v>102</v>
      </c>
      <c r="C2201" t="s">
        <v>85</v>
      </c>
      <c r="D2201">
        <v>2</v>
      </c>
      <c r="E2201">
        <v>100</v>
      </c>
      <c r="F2201" t="s">
        <v>1</v>
      </c>
      <c r="G2201" s="6">
        <v>45799</v>
      </c>
      <c r="H2201">
        <v>50</v>
      </c>
      <c r="I2201">
        <f>ROUND(CompilDonnées[[#This Row],[CultureDuration_days]]/7,0)</f>
        <v>7</v>
      </c>
      <c r="J2201">
        <v>2264</v>
      </c>
      <c r="K2201" t="str">
        <f>_xlfn.CONCAT(WEEKNUM(CompilDonnées[[#This Row],[PlantationDate]]), " ", YEAR(CompilDonnées[[#This Row],[PlantationDate]]))</f>
        <v>14 2025</v>
      </c>
      <c r="L2201" t="str">
        <f>CONCATENATE(MONTH(CompilDonnées[[#This Row],[PlantationDate]])," ", YEAR(CompilDonnées[[#This Row],[PlantationDate]]))</f>
        <v>4 2025</v>
      </c>
      <c r="M2201" t="str">
        <f>CONCATENATE(MONTH(CompilDonnées[[#This Row],[HarvestingDate]])," ", YEAR(CompilDonnées[[#This Row],[HarvestingDate]]))</f>
        <v>5 2025</v>
      </c>
      <c r="N2201">
        <f>_xlfn.NUMBERVALUE(CompilDonnées[[#This Row],[FarmID]]&amp;CompilDonnées[[#This Row],[ModuleNumber]]&amp;CompilDonnées[[#This Row],[PlantationDate]])</f>
        <v>102245749</v>
      </c>
      <c r="O2201" t="str">
        <f>CompilDonnées[[#This Row],[FarmID]]&amp;CompilDonnées[[#This Row],[ModuleNumber]]</f>
        <v>1022</v>
      </c>
      <c r="P2201" t="str">
        <f>CompilDonnées[[#This Row],[Ref_Module]]&amp;CompilDonnées[[#This Row],[HarvestingDate]]</f>
        <v>102245799</v>
      </c>
    </row>
    <row r="2202" spans="1:16">
      <c r="A2202" s="5">
        <v>45749</v>
      </c>
      <c r="B2202">
        <v>103</v>
      </c>
      <c r="C2202" t="s">
        <v>86</v>
      </c>
      <c r="D2202">
        <v>1</v>
      </c>
      <c r="E2202">
        <v>100</v>
      </c>
      <c r="F2202" t="s">
        <v>1</v>
      </c>
      <c r="G2202" s="6">
        <v>45804</v>
      </c>
      <c r="H2202">
        <v>55</v>
      </c>
      <c r="I2202">
        <f>ROUND(CompilDonnées[[#This Row],[CultureDuration_days]]/7,0)</f>
        <v>8</v>
      </c>
      <c r="J2202">
        <v>1906</v>
      </c>
      <c r="K2202" t="str">
        <f>_xlfn.CONCAT(WEEKNUM(CompilDonnées[[#This Row],[PlantationDate]]), " ", YEAR(CompilDonnées[[#This Row],[PlantationDate]]))</f>
        <v>14 2025</v>
      </c>
      <c r="L2202" t="str">
        <f>CONCATENATE(MONTH(CompilDonnées[[#This Row],[PlantationDate]])," ", YEAR(CompilDonnées[[#This Row],[PlantationDate]]))</f>
        <v>4 2025</v>
      </c>
      <c r="M2202" t="str">
        <f>CONCATENATE(MONTH(CompilDonnées[[#This Row],[HarvestingDate]])," ", YEAR(CompilDonnées[[#This Row],[HarvestingDate]]))</f>
        <v>5 2025</v>
      </c>
      <c r="N2202">
        <f>_xlfn.NUMBERVALUE(CompilDonnées[[#This Row],[FarmID]]&amp;CompilDonnées[[#This Row],[ModuleNumber]]&amp;CompilDonnées[[#This Row],[PlantationDate]])</f>
        <v>103145749</v>
      </c>
      <c r="O2202" t="str">
        <f>CompilDonnées[[#This Row],[FarmID]]&amp;CompilDonnées[[#This Row],[ModuleNumber]]</f>
        <v>1031</v>
      </c>
      <c r="P2202" t="str">
        <f>CompilDonnées[[#This Row],[Ref_Module]]&amp;CompilDonnées[[#This Row],[HarvestingDate]]</f>
        <v>103145804</v>
      </c>
    </row>
    <row r="2203" spans="1:16">
      <c r="A2203" s="5">
        <v>45749</v>
      </c>
      <c r="B2203">
        <v>104</v>
      </c>
      <c r="C2203" t="s">
        <v>91</v>
      </c>
      <c r="D2203">
        <v>5</v>
      </c>
      <c r="E2203">
        <v>100</v>
      </c>
      <c r="F2203" t="s">
        <v>1</v>
      </c>
      <c r="G2203" s="6">
        <v>45799</v>
      </c>
      <c r="H2203">
        <v>50</v>
      </c>
      <c r="I2203">
        <f>ROUND(CompilDonnées[[#This Row],[CultureDuration_days]]/7,0)</f>
        <v>7</v>
      </c>
      <c r="J2203">
        <v>1958</v>
      </c>
      <c r="K2203" t="str">
        <f>_xlfn.CONCAT(WEEKNUM(CompilDonnées[[#This Row],[PlantationDate]]), " ", YEAR(CompilDonnées[[#This Row],[PlantationDate]]))</f>
        <v>14 2025</v>
      </c>
      <c r="L2203" t="str">
        <f>CONCATENATE(MONTH(CompilDonnées[[#This Row],[PlantationDate]])," ", YEAR(CompilDonnées[[#This Row],[PlantationDate]]))</f>
        <v>4 2025</v>
      </c>
      <c r="M2203" t="str">
        <f>CONCATENATE(MONTH(CompilDonnées[[#This Row],[HarvestingDate]])," ", YEAR(CompilDonnées[[#This Row],[HarvestingDate]]))</f>
        <v>5 2025</v>
      </c>
      <c r="N2203">
        <f>_xlfn.NUMBERVALUE(CompilDonnées[[#This Row],[FarmID]]&amp;CompilDonnées[[#This Row],[ModuleNumber]]&amp;CompilDonnées[[#This Row],[PlantationDate]])</f>
        <v>104545749</v>
      </c>
      <c r="O2203" t="str">
        <f>CompilDonnées[[#This Row],[FarmID]]&amp;CompilDonnées[[#This Row],[ModuleNumber]]</f>
        <v>1045</v>
      </c>
      <c r="P2203" t="str">
        <f>CompilDonnées[[#This Row],[Ref_Module]]&amp;CompilDonnées[[#This Row],[HarvestingDate]]</f>
        <v>104545799</v>
      </c>
    </row>
    <row r="2204" spans="1:16">
      <c r="A2204" s="5">
        <v>45749</v>
      </c>
      <c r="B2204">
        <v>35</v>
      </c>
      <c r="C2204" t="s">
        <v>69</v>
      </c>
      <c r="D2204">
        <v>2</v>
      </c>
      <c r="E2204">
        <v>100</v>
      </c>
      <c r="F2204" t="s">
        <v>1</v>
      </c>
      <c r="G2204" s="6">
        <v>45792</v>
      </c>
      <c r="H2204">
        <v>43</v>
      </c>
      <c r="I2204">
        <f>ROUND(CompilDonnées[[#This Row],[CultureDuration_days]]/7,0)</f>
        <v>6</v>
      </c>
      <c r="J2204">
        <v>2546</v>
      </c>
      <c r="K2204" t="str">
        <f>_xlfn.CONCAT(WEEKNUM(CompilDonnées[[#This Row],[PlantationDate]]), " ", YEAR(CompilDonnées[[#This Row],[PlantationDate]]))</f>
        <v>14 2025</v>
      </c>
      <c r="L2204" t="str">
        <f>CONCATENATE(MONTH(CompilDonnées[[#This Row],[PlantationDate]])," ", YEAR(CompilDonnées[[#This Row],[PlantationDate]]))</f>
        <v>4 2025</v>
      </c>
      <c r="M2204" t="str">
        <f>CONCATENATE(MONTH(CompilDonnées[[#This Row],[HarvestingDate]])," ", YEAR(CompilDonnées[[#This Row],[HarvestingDate]]))</f>
        <v>5 2025</v>
      </c>
      <c r="N2204">
        <f>_xlfn.NUMBERVALUE(CompilDonnées[[#This Row],[FarmID]]&amp;CompilDonnées[[#This Row],[ModuleNumber]]&amp;CompilDonnées[[#This Row],[PlantationDate]])</f>
        <v>35245749</v>
      </c>
      <c r="O2204" t="str">
        <f>CompilDonnées[[#This Row],[FarmID]]&amp;CompilDonnées[[#This Row],[ModuleNumber]]</f>
        <v>352</v>
      </c>
      <c r="P2204" t="str">
        <f>CompilDonnées[[#This Row],[Ref_Module]]&amp;CompilDonnées[[#This Row],[HarvestingDate]]</f>
        <v>35245792</v>
      </c>
    </row>
    <row r="2205" spans="1:16">
      <c r="A2205" s="5">
        <v>45749</v>
      </c>
      <c r="B2205">
        <v>35</v>
      </c>
      <c r="C2205" t="s">
        <v>69</v>
      </c>
      <c r="D2205">
        <v>3</v>
      </c>
      <c r="E2205">
        <v>100</v>
      </c>
      <c r="F2205" t="s">
        <v>1</v>
      </c>
      <c r="G2205" s="6">
        <v>45792</v>
      </c>
      <c r="H2205">
        <v>43</v>
      </c>
      <c r="I2205">
        <f>ROUND(CompilDonnées[[#This Row],[CultureDuration_days]]/7,0)</f>
        <v>6</v>
      </c>
      <c r="J2205">
        <v>2947</v>
      </c>
      <c r="K2205" t="str">
        <f>_xlfn.CONCAT(WEEKNUM(CompilDonnées[[#This Row],[PlantationDate]]), " ", YEAR(CompilDonnées[[#This Row],[PlantationDate]]))</f>
        <v>14 2025</v>
      </c>
      <c r="L2205" t="str">
        <f>CONCATENATE(MONTH(CompilDonnées[[#This Row],[PlantationDate]])," ", YEAR(CompilDonnées[[#This Row],[PlantationDate]]))</f>
        <v>4 2025</v>
      </c>
      <c r="M2205" t="str">
        <f>CONCATENATE(MONTH(CompilDonnées[[#This Row],[HarvestingDate]])," ", YEAR(CompilDonnées[[#This Row],[HarvestingDate]]))</f>
        <v>5 2025</v>
      </c>
      <c r="N2205">
        <f>_xlfn.NUMBERVALUE(CompilDonnées[[#This Row],[FarmID]]&amp;CompilDonnées[[#This Row],[ModuleNumber]]&amp;CompilDonnées[[#This Row],[PlantationDate]])</f>
        <v>35345749</v>
      </c>
      <c r="O2205" t="str">
        <f>CompilDonnées[[#This Row],[FarmID]]&amp;CompilDonnées[[#This Row],[ModuleNumber]]</f>
        <v>353</v>
      </c>
      <c r="P2205" t="str">
        <f>CompilDonnées[[#This Row],[Ref_Module]]&amp;CompilDonnées[[#This Row],[HarvestingDate]]</f>
        <v>35345792</v>
      </c>
    </row>
    <row r="2206" spans="1:16">
      <c r="A2206" s="5">
        <v>45749</v>
      </c>
      <c r="B2206">
        <v>25</v>
      </c>
      <c r="C2206" t="s">
        <v>100</v>
      </c>
      <c r="D2206">
        <v>3</v>
      </c>
      <c r="E2206">
        <v>100</v>
      </c>
      <c r="F2206" t="s">
        <v>1</v>
      </c>
      <c r="G2206" s="6">
        <v>45793</v>
      </c>
      <c r="H2206">
        <v>44</v>
      </c>
      <c r="I2206">
        <f>ROUND(CompilDonnées[[#This Row],[CultureDuration_days]]/7,0)</f>
        <v>6</v>
      </c>
      <c r="J2206">
        <v>2610</v>
      </c>
      <c r="K2206" t="str">
        <f>_xlfn.CONCAT(WEEKNUM(CompilDonnées[[#This Row],[PlantationDate]]), " ", YEAR(CompilDonnées[[#This Row],[PlantationDate]]))</f>
        <v>14 2025</v>
      </c>
      <c r="L2206" t="str">
        <f>CONCATENATE(MONTH(CompilDonnées[[#This Row],[PlantationDate]])," ", YEAR(CompilDonnées[[#This Row],[PlantationDate]]))</f>
        <v>4 2025</v>
      </c>
      <c r="M2206" t="str">
        <f>CONCATENATE(MONTH(CompilDonnées[[#This Row],[HarvestingDate]])," ", YEAR(CompilDonnées[[#This Row],[HarvestingDate]]))</f>
        <v>5 2025</v>
      </c>
      <c r="N2206">
        <f>_xlfn.NUMBERVALUE(CompilDonnées[[#This Row],[FarmID]]&amp;CompilDonnées[[#This Row],[ModuleNumber]]&amp;CompilDonnées[[#This Row],[PlantationDate]])</f>
        <v>25345749</v>
      </c>
      <c r="O2206" t="str">
        <f>CompilDonnées[[#This Row],[FarmID]]&amp;CompilDonnées[[#This Row],[ModuleNumber]]</f>
        <v>253</v>
      </c>
      <c r="P2206" t="str">
        <f>CompilDonnées[[#This Row],[Ref_Module]]&amp;CompilDonnées[[#This Row],[HarvestingDate]]</f>
        <v>25345793</v>
      </c>
    </row>
    <row r="2207" spans="1:16">
      <c r="A2207" s="5">
        <v>45749</v>
      </c>
      <c r="B2207">
        <v>51</v>
      </c>
      <c r="C2207" t="s">
        <v>27</v>
      </c>
      <c r="D2207">
        <v>3</v>
      </c>
      <c r="E2207">
        <v>100</v>
      </c>
      <c r="F2207" t="s">
        <v>1</v>
      </c>
      <c r="G2207" s="6">
        <v>45794</v>
      </c>
      <c r="H2207">
        <v>45</v>
      </c>
      <c r="I2207">
        <f>ROUND(CompilDonnées[[#This Row],[CultureDuration_days]]/7,0)</f>
        <v>6</v>
      </c>
      <c r="J2207">
        <v>2721</v>
      </c>
      <c r="K2207" t="str">
        <f>_xlfn.CONCAT(WEEKNUM(CompilDonnées[[#This Row],[PlantationDate]]), " ", YEAR(CompilDonnées[[#This Row],[PlantationDate]]))</f>
        <v>14 2025</v>
      </c>
      <c r="L2207" t="str">
        <f>CONCATENATE(MONTH(CompilDonnées[[#This Row],[PlantationDate]])," ", YEAR(CompilDonnées[[#This Row],[PlantationDate]]))</f>
        <v>4 2025</v>
      </c>
      <c r="M2207" t="str">
        <f>CONCATENATE(MONTH(CompilDonnées[[#This Row],[HarvestingDate]])," ", YEAR(CompilDonnées[[#This Row],[HarvestingDate]]))</f>
        <v>5 2025</v>
      </c>
      <c r="N2207">
        <f>_xlfn.NUMBERVALUE(CompilDonnées[[#This Row],[FarmID]]&amp;CompilDonnées[[#This Row],[ModuleNumber]]&amp;CompilDonnées[[#This Row],[PlantationDate]])</f>
        <v>51345749</v>
      </c>
      <c r="O2207" t="str">
        <f>CompilDonnées[[#This Row],[FarmID]]&amp;CompilDonnées[[#This Row],[ModuleNumber]]</f>
        <v>513</v>
      </c>
      <c r="P2207" t="str">
        <f>CompilDonnées[[#This Row],[Ref_Module]]&amp;CompilDonnées[[#This Row],[HarvestingDate]]</f>
        <v>51345794</v>
      </c>
    </row>
    <row r="2208" spans="1:16">
      <c r="A2208" s="5">
        <v>45749</v>
      </c>
      <c r="B2208">
        <v>57</v>
      </c>
      <c r="C2208" t="s">
        <v>46</v>
      </c>
      <c r="D2208">
        <v>2</v>
      </c>
      <c r="E2208">
        <v>100</v>
      </c>
      <c r="F2208" t="s">
        <v>1</v>
      </c>
      <c r="G2208" s="6">
        <v>45792</v>
      </c>
      <c r="H2208">
        <v>43</v>
      </c>
      <c r="I2208">
        <f>ROUND(CompilDonnées[[#This Row],[CultureDuration_days]]/7,0)</f>
        <v>6</v>
      </c>
      <c r="J2208">
        <v>2761</v>
      </c>
      <c r="K2208" t="str">
        <f>_xlfn.CONCAT(WEEKNUM(CompilDonnées[[#This Row],[PlantationDate]]), " ", YEAR(CompilDonnées[[#This Row],[PlantationDate]]))</f>
        <v>14 2025</v>
      </c>
      <c r="L2208" t="str">
        <f>CONCATENATE(MONTH(CompilDonnées[[#This Row],[PlantationDate]])," ", YEAR(CompilDonnées[[#This Row],[PlantationDate]]))</f>
        <v>4 2025</v>
      </c>
      <c r="M2208" t="str">
        <f>CONCATENATE(MONTH(CompilDonnées[[#This Row],[HarvestingDate]])," ", YEAR(CompilDonnées[[#This Row],[HarvestingDate]]))</f>
        <v>5 2025</v>
      </c>
      <c r="N2208">
        <f>_xlfn.NUMBERVALUE(CompilDonnées[[#This Row],[FarmID]]&amp;CompilDonnées[[#This Row],[ModuleNumber]]&amp;CompilDonnées[[#This Row],[PlantationDate]])</f>
        <v>57245749</v>
      </c>
      <c r="O2208" t="str">
        <f>CompilDonnées[[#This Row],[FarmID]]&amp;CompilDonnées[[#This Row],[ModuleNumber]]</f>
        <v>572</v>
      </c>
      <c r="P2208" t="str">
        <f>CompilDonnées[[#This Row],[Ref_Module]]&amp;CompilDonnées[[#This Row],[HarvestingDate]]</f>
        <v>57245792</v>
      </c>
    </row>
    <row r="2209" spans="1:16">
      <c r="A2209" s="5">
        <v>45749</v>
      </c>
      <c r="B2209">
        <v>60</v>
      </c>
      <c r="C2209" t="s">
        <v>113</v>
      </c>
      <c r="D2209">
        <v>1</v>
      </c>
      <c r="E2209">
        <v>100</v>
      </c>
      <c r="F2209" t="s">
        <v>1</v>
      </c>
      <c r="G2209" s="6">
        <v>45791</v>
      </c>
      <c r="H2209">
        <v>42</v>
      </c>
      <c r="I2209">
        <f>ROUND(CompilDonnées[[#This Row],[CultureDuration_days]]/7,0)</f>
        <v>6</v>
      </c>
      <c r="J2209">
        <v>1660</v>
      </c>
      <c r="K2209" t="str">
        <f>_xlfn.CONCAT(WEEKNUM(CompilDonnées[[#This Row],[PlantationDate]]), " ", YEAR(CompilDonnées[[#This Row],[PlantationDate]]))</f>
        <v>14 2025</v>
      </c>
      <c r="L2209" t="str">
        <f>CONCATENATE(MONTH(CompilDonnées[[#This Row],[PlantationDate]])," ", YEAR(CompilDonnées[[#This Row],[PlantationDate]]))</f>
        <v>4 2025</v>
      </c>
      <c r="M2209" t="str">
        <f>CONCATENATE(MONTH(CompilDonnées[[#This Row],[HarvestingDate]])," ", YEAR(CompilDonnées[[#This Row],[HarvestingDate]]))</f>
        <v>5 2025</v>
      </c>
      <c r="N2209">
        <f>_xlfn.NUMBERVALUE(CompilDonnées[[#This Row],[FarmID]]&amp;CompilDonnées[[#This Row],[ModuleNumber]]&amp;CompilDonnées[[#This Row],[PlantationDate]])</f>
        <v>60145749</v>
      </c>
      <c r="O2209" t="str">
        <f>CompilDonnées[[#This Row],[FarmID]]&amp;CompilDonnées[[#This Row],[ModuleNumber]]</f>
        <v>601</v>
      </c>
      <c r="P2209" t="str">
        <f>CompilDonnées[[#This Row],[Ref_Module]]&amp;CompilDonnées[[#This Row],[HarvestingDate]]</f>
        <v>60145791</v>
      </c>
    </row>
    <row r="2210" spans="1:16">
      <c r="A2210" s="5">
        <v>45749</v>
      </c>
      <c r="B2210">
        <v>61</v>
      </c>
      <c r="C2210" t="s">
        <v>95</v>
      </c>
      <c r="D2210">
        <v>1</v>
      </c>
      <c r="E2210">
        <v>100</v>
      </c>
      <c r="F2210" t="s">
        <v>1</v>
      </c>
      <c r="G2210" s="6">
        <v>45791</v>
      </c>
      <c r="H2210">
        <v>42</v>
      </c>
      <c r="I2210">
        <f>ROUND(CompilDonnées[[#This Row],[CultureDuration_days]]/7,0)</f>
        <v>6</v>
      </c>
      <c r="J2210">
        <v>2010</v>
      </c>
      <c r="K2210" t="str">
        <f>_xlfn.CONCAT(WEEKNUM(CompilDonnées[[#This Row],[PlantationDate]]), " ", YEAR(CompilDonnées[[#This Row],[PlantationDate]]))</f>
        <v>14 2025</v>
      </c>
      <c r="L2210" t="str">
        <f>CONCATENATE(MONTH(CompilDonnées[[#This Row],[PlantationDate]])," ", YEAR(CompilDonnées[[#This Row],[PlantationDate]]))</f>
        <v>4 2025</v>
      </c>
      <c r="M2210" t="str">
        <f>CONCATENATE(MONTH(CompilDonnées[[#This Row],[HarvestingDate]])," ", YEAR(CompilDonnées[[#This Row],[HarvestingDate]]))</f>
        <v>5 2025</v>
      </c>
      <c r="N2210">
        <f>_xlfn.NUMBERVALUE(CompilDonnées[[#This Row],[FarmID]]&amp;CompilDonnées[[#This Row],[ModuleNumber]]&amp;CompilDonnées[[#This Row],[PlantationDate]])</f>
        <v>61145749</v>
      </c>
      <c r="O2210" t="str">
        <f>CompilDonnées[[#This Row],[FarmID]]&amp;CompilDonnées[[#This Row],[ModuleNumber]]</f>
        <v>611</v>
      </c>
      <c r="P2210" t="str">
        <f>CompilDonnées[[#This Row],[Ref_Module]]&amp;CompilDonnées[[#This Row],[HarvestingDate]]</f>
        <v>61145791</v>
      </c>
    </row>
    <row r="2211" spans="1:16">
      <c r="A2211" s="5">
        <v>45749</v>
      </c>
      <c r="B2211">
        <v>63</v>
      </c>
      <c r="C2211" t="s">
        <v>98</v>
      </c>
      <c r="D2211">
        <v>1</v>
      </c>
      <c r="E2211">
        <v>100</v>
      </c>
      <c r="F2211" t="s">
        <v>1</v>
      </c>
      <c r="G2211" s="6">
        <v>45791</v>
      </c>
      <c r="H2211">
        <v>42</v>
      </c>
      <c r="I2211">
        <f>ROUND(CompilDonnées[[#This Row],[CultureDuration_days]]/7,0)</f>
        <v>6</v>
      </c>
      <c r="J2211">
        <v>1885</v>
      </c>
      <c r="K2211" t="str">
        <f>_xlfn.CONCAT(WEEKNUM(CompilDonnées[[#This Row],[PlantationDate]]), " ", YEAR(CompilDonnées[[#This Row],[PlantationDate]]))</f>
        <v>14 2025</v>
      </c>
      <c r="L2211" t="str">
        <f>CONCATENATE(MONTH(CompilDonnées[[#This Row],[PlantationDate]])," ", YEAR(CompilDonnées[[#This Row],[PlantationDate]]))</f>
        <v>4 2025</v>
      </c>
      <c r="M2211" t="str">
        <f>CONCATENATE(MONTH(CompilDonnées[[#This Row],[HarvestingDate]])," ", YEAR(CompilDonnées[[#This Row],[HarvestingDate]]))</f>
        <v>5 2025</v>
      </c>
      <c r="N2211">
        <f>_xlfn.NUMBERVALUE(CompilDonnées[[#This Row],[FarmID]]&amp;CompilDonnées[[#This Row],[ModuleNumber]]&amp;CompilDonnées[[#This Row],[PlantationDate]])</f>
        <v>63145749</v>
      </c>
      <c r="O2211" t="str">
        <f>CompilDonnées[[#This Row],[FarmID]]&amp;CompilDonnées[[#This Row],[ModuleNumber]]</f>
        <v>631</v>
      </c>
      <c r="P2211" t="str">
        <f>CompilDonnées[[#This Row],[Ref_Module]]&amp;CompilDonnées[[#This Row],[HarvestingDate]]</f>
        <v>63145791</v>
      </c>
    </row>
    <row r="2212" spans="1:16">
      <c r="A2212" s="5">
        <v>45749</v>
      </c>
      <c r="B2212">
        <v>63</v>
      </c>
      <c r="C2212" t="s">
        <v>98</v>
      </c>
      <c r="D2212">
        <v>2</v>
      </c>
      <c r="E2212">
        <v>100</v>
      </c>
      <c r="F2212" t="s">
        <v>1</v>
      </c>
      <c r="G2212" s="6">
        <v>45791</v>
      </c>
      <c r="H2212">
        <v>42</v>
      </c>
      <c r="I2212">
        <f>ROUND(CompilDonnées[[#This Row],[CultureDuration_days]]/7,0)</f>
        <v>6</v>
      </c>
      <c r="J2212">
        <v>1796</v>
      </c>
      <c r="K2212" t="str">
        <f>_xlfn.CONCAT(WEEKNUM(CompilDonnées[[#This Row],[PlantationDate]]), " ", YEAR(CompilDonnées[[#This Row],[PlantationDate]]))</f>
        <v>14 2025</v>
      </c>
      <c r="L2212" t="str">
        <f>CONCATENATE(MONTH(CompilDonnées[[#This Row],[PlantationDate]])," ", YEAR(CompilDonnées[[#This Row],[PlantationDate]]))</f>
        <v>4 2025</v>
      </c>
      <c r="M2212" t="str">
        <f>CONCATENATE(MONTH(CompilDonnées[[#This Row],[HarvestingDate]])," ", YEAR(CompilDonnées[[#This Row],[HarvestingDate]]))</f>
        <v>5 2025</v>
      </c>
      <c r="N2212">
        <f>_xlfn.NUMBERVALUE(CompilDonnées[[#This Row],[FarmID]]&amp;CompilDonnées[[#This Row],[ModuleNumber]]&amp;CompilDonnées[[#This Row],[PlantationDate]])</f>
        <v>63245749</v>
      </c>
      <c r="O2212" t="str">
        <f>CompilDonnées[[#This Row],[FarmID]]&amp;CompilDonnées[[#This Row],[ModuleNumber]]</f>
        <v>632</v>
      </c>
      <c r="P2212" t="str">
        <f>CompilDonnées[[#This Row],[Ref_Module]]&amp;CompilDonnées[[#This Row],[HarvestingDate]]</f>
        <v>63245791</v>
      </c>
    </row>
    <row r="2213" spans="1:16">
      <c r="A2213" s="5">
        <v>45749</v>
      </c>
      <c r="B2213">
        <v>69</v>
      </c>
      <c r="C2213" t="s">
        <v>102</v>
      </c>
      <c r="D2213">
        <v>6</v>
      </c>
      <c r="E2213">
        <v>100</v>
      </c>
      <c r="F2213" t="s">
        <v>1</v>
      </c>
      <c r="G2213" s="6">
        <v>45798</v>
      </c>
      <c r="H2213">
        <v>49</v>
      </c>
      <c r="I2213">
        <f>ROUND(CompilDonnées[[#This Row],[CultureDuration_days]]/7,0)</f>
        <v>7</v>
      </c>
      <c r="J2213">
        <v>2415</v>
      </c>
      <c r="K2213" t="str">
        <f>_xlfn.CONCAT(WEEKNUM(CompilDonnées[[#This Row],[PlantationDate]]), " ", YEAR(CompilDonnées[[#This Row],[PlantationDate]]))</f>
        <v>14 2025</v>
      </c>
      <c r="L2213" t="str">
        <f>CONCATENATE(MONTH(CompilDonnées[[#This Row],[PlantationDate]])," ", YEAR(CompilDonnées[[#This Row],[PlantationDate]]))</f>
        <v>4 2025</v>
      </c>
      <c r="M2213" t="str">
        <f>CONCATENATE(MONTH(CompilDonnées[[#This Row],[HarvestingDate]])," ", YEAR(CompilDonnées[[#This Row],[HarvestingDate]]))</f>
        <v>5 2025</v>
      </c>
      <c r="N2213">
        <f>_xlfn.NUMBERVALUE(CompilDonnées[[#This Row],[FarmID]]&amp;CompilDonnées[[#This Row],[ModuleNumber]]&amp;CompilDonnées[[#This Row],[PlantationDate]])</f>
        <v>69645749</v>
      </c>
      <c r="O2213" t="str">
        <f>CompilDonnées[[#This Row],[FarmID]]&amp;CompilDonnées[[#This Row],[ModuleNumber]]</f>
        <v>696</v>
      </c>
      <c r="P2213" t="str">
        <f>CompilDonnées[[#This Row],[Ref_Module]]&amp;CompilDonnées[[#This Row],[HarvestingDate]]</f>
        <v>69645798</v>
      </c>
    </row>
    <row r="2214" spans="1:16">
      <c r="A2214" s="5">
        <v>45749</v>
      </c>
      <c r="B2214">
        <v>71</v>
      </c>
      <c r="C2214" t="s">
        <v>19</v>
      </c>
      <c r="D2214">
        <v>1</v>
      </c>
      <c r="E2214">
        <v>100</v>
      </c>
      <c r="F2214" t="s">
        <v>1</v>
      </c>
      <c r="G2214" s="6">
        <v>45797</v>
      </c>
      <c r="H2214">
        <v>48</v>
      </c>
      <c r="I2214">
        <f>ROUND(CompilDonnées[[#This Row],[CultureDuration_days]]/7,0)</f>
        <v>7</v>
      </c>
      <c r="J2214">
        <v>2532</v>
      </c>
      <c r="K2214" t="str">
        <f>_xlfn.CONCAT(WEEKNUM(CompilDonnées[[#This Row],[PlantationDate]]), " ", YEAR(CompilDonnées[[#This Row],[PlantationDate]]))</f>
        <v>14 2025</v>
      </c>
      <c r="L2214" t="str">
        <f>CONCATENATE(MONTH(CompilDonnées[[#This Row],[PlantationDate]])," ", YEAR(CompilDonnées[[#This Row],[PlantationDate]]))</f>
        <v>4 2025</v>
      </c>
      <c r="M2214" t="str">
        <f>CONCATENATE(MONTH(CompilDonnées[[#This Row],[HarvestingDate]])," ", YEAR(CompilDonnées[[#This Row],[HarvestingDate]]))</f>
        <v>5 2025</v>
      </c>
      <c r="N2214">
        <f>_xlfn.NUMBERVALUE(CompilDonnées[[#This Row],[FarmID]]&amp;CompilDonnées[[#This Row],[ModuleNumber]]&amp;CompilDonnées[[#This Row],[PlantationDate]])</f>
        <v>71145749</v>
      </c>
      <c r="O2214" t="str">
        <f>CompilDonnées[[#This Row],[FarmID]]&amp;CompilDonnées[[#This Row],[ModuleNumber]]</f>
        <v>711</v>
      </c>
      <c r="P2214" t="str">
        <f>CompilDonnées[[#This Row],[Ref_Module]]&amp;CompilDonnées[[#This Row],[HarvestingDate]]</f>
        <v>71145797</v>
      </c>
    </row>
    <row r="2215" spans="1:16">
      <c r="A2215" s="5">
        <v>45749</v>
      </c>
      <c r="B2215">
        <v>76</v>
      </c>
      <c r="C2215" t="s">
        <v>18</v>
      </c>
      <c r="D2215">
        <v>6</v>
      </c>
      <c r="E2215">
        <v>100</v>
      </c>
      <c r="F2215" t="s">
        <v>1</v>
      </c>
      <c r="G2215" s="6">
        <v>45798</v>
      </c>
      <c r="H2215">
        <v>49</v>
      </c>
      <c r="I2215">
        <f>ROUND(CompilDonnées[[#This Row],[CultureDuration_days]]/7,0)</f>
        <v>7</v>
      </c>
      <c r="J2215">
        <v>2339</v>
      </c>
      <c r="K2215" t="str">
        <f>_xlfn.CONCAT(WEEKNUM(CompilDonnées[[#This Row],[PlantationDate]]), " ", YEAR(CompilDonnées[[#This Row],[PlantationDate]]))</f>
        <v>14 2025</v>
      </c>
      <c r="L2215" t="str">
        <f>CONCATENATE(MONTH(CompilDonnées[[#This Row],[PlantationDate]])," ", YEAR(CompilDonnées[[#This Row],[PlantationDate]]))</f>
        <v>4 2025</v>
      </c>
      <c r="M2215" t="str">
        <f>CONCATENATE(MONTH(CompilDonnées[[#This Row],[HarvestingDate]])," ", YEAR(CompilDonnées[[#This Row],[HarvestingDate]]))</f>
        <v>5 2025</v>
      </c>
      <c r="N2215">
        <f>_xlfn.NUMBERVALUE(CompilDonnées[[#This Row],[FarmID]]&amp;CompilDonnées[[#This Row],[ModuleNumber]]&amp;CompilDonnées[[#This Row],[PlantationDate]])</f>
        <v>76645749</v>
      </c>
      <c r="O2215" t="str">
        <f>CompilDonnées[[#This Row],[FarmID]]&amp;CompilDonnées[[#This Row],[ModuleNumber]]</f>
        <v>766</v>
      </c>
      <c r="P2215" t="str">
        <f>CompilDonnées[[#This Row],[Ref_Module]]&amp;CompilDonnées[[#This Row],[HarvestingDate]]</f>
        <v>76645798</v>
      </c>
    </row>
    <row r="2216" spans="1:16">
      <c r="A2216" s="5">
        <v>45749</v>
      </c>
      <c r="B2216">
        <v>77</v>
      </c>
      <c r="C2216" t="s">
        <v>75</v>
      </c>
      <c r="D2216">
        <v>6</v>
      </c>
      <c r="E2216">
        <v>100</v>
      </c>
      <c r="F2216" t="s">
        <v>1</v>
      </c>
      <c r="G2216" s="6">
        <v>45798</v>
      </c>
      <c r="H2216">
        <v>49</v>
      </c>
      <c r="I2216">
        <f>ROUND(CompilDonnées[[#This Row],[CultureDuration_days]]/7,0)</f>
        <v>7</v>
      </c>
      <c r="J2216">
        <v>2759</v>
      </c>
      <c r="K2216" t="str">
        <f>_xlfn.CONCAT(WEEKNUM(CompilDonnées[[#This Row],[PlantationDate]]), " ", YEAR(CompilDonnées[[#This Row],[PlantationDate]]))</f>
        <v>14 2025</v>
      </c>
      <c r="L2216" t="str">
        <f>CONCATENATE(MONTH(CompilDonnées[[#This Row],[PlantationDate]])," ", YEAR(CompilDonnées[[#This Row],[PlantationDate]]))</f>
        <v>4 2025</v>
      </c>
      <c r="M2216" t="str">
        <f>CONCATENATE(MONTH(CompilDonnées[[#This Row],[HarvestingDate]])," ", YEAR(CompilDonnées[[#This Row],[HarvestingDate]]))</f>
        <v>5 2025</v>
      </c>
      <c r="N2216">
        <f>_xlfn.NUMBERVALUE(CompilDonnées[[#This Row],[FarmID]]&amp;CompilDonnées[[#This Row],[ModuleNumber]]&amp;CompilDonnées[[#This Row],[PlantationDate]])</f>
        <v>77645749</v>
      </c>
      <c r="O2216" t="str">
        <f>CompilDonnées[[#This Row],[FarmID]]&amp;CompilDonnées[[#This Row],[ModuleNumber]]</f>
        <v>776</v>
      </c>
      <c r="P2216" t="str">
        <f>CompilDonnées[[#This Row],[Ref_Module]]&amp;CompilDonnées[[#This Row],[HarvestingDate]]</f>
        <v>77645798</v>
      </c>
    </row>
    <row r="2217" spans="1:16">
      <c r="A2217" s="5">
        <v>45749</v>
      </c>
      <c r="B2217">
        <v>78</v>
      </c>
      <c r="C2217" t="s">
        <v>3</v>
      </c>
      <c r="D2217">
        <v>4</v>
      </c>
      <c r="E2217">
        <v>60</v>
      </c>
      <c r="F2217" t="s">
        <v>105</v>
      </c>
      <c r="G2217" s="6">
        <v>45797</v>
      </c>
      <c r="H2217">
        <v>48</v>
      </c>
      <c r="I2217">
        <f>ROUND(CompilDonnées[[#This Row],[CultureDuration_days]]/7,0)</f>
        <v>7</v>
      </c>
      <c r="J2217">
        <v>2032</v>
      </c>
      <c r="K2217" t="str">
        <f>_xlfn.CONCAT(WEEKNUM(CompilDonnées[[#This Row],[PlantationDate]]), " ", YEAR(CompilDonnées[[#This Row],[PlantationDate]]))</f>
        <v>14 2025</v>
      </c>
      <c r="L2217" t="str">
        <f>CONCATENATE(MONTH(CompilDonnées[[#This Row],[PlantationDate]])," ", YEAR(CompilDonnées[[#This Row],[PlantationDate]]))</f>
        <v>4 2025</v>
      </c>
      <c r="M2217" t="str">
        <f>CONCATENATE(MONTH(CompilDonnées[[#This Row],[HarvestingDate]])," ", YEAR(CompilDonnées[[#This Row],[HarvestingDate]]))</f>
        <v>5 2025</v>
      </c>
      <c r="N2217">
        <f>_xlfn.NUMBERVALUE(CompilDonnées[[#This Row],[FarmID]]&amp;CompilDonnées[[#This Row],[ModuleNumber]]&amp;CompilDonnées[[#This Row],[PlantationDate]])</f>
        <v>78445749</v>
      </c>
      <c r="O2217" t="str">
        <f>CompilDonnées[[#This Row],[FarmID]]&amp;CompilDonnées[[#This Row],[ModuleNumber]]</f>
        <v>784</v>
      </c>
      <c r="P2217" t="str">
        <f>CompilDonnées[[#This Row],[Ref_Module]]&amp;CompilDonnées[[#This Row],[HarvestingDate]]</f>
        <v>78445797</v>
      </c>
    </row>
    <row r="2218" spans="1:16">
      <c r="A2218" s="5">
        <v>45749</v>
      </c>
      <c r="B2218">
        <v>78</v>
      </c>
      <c r="C2218" t="s">
        <v>3</v>
      </c>
      <c r="D2218">
        <v>5</v>
      </c>
      <c r="E2218">
        <v>60</v>
      </c>
      <c r="F2218" t="s">
        <v>105</v>
      </c>
      <c r="G2218" s="6">
        <v>45797</v>
      </c>
      <c r="H2218">
        <v>48</v>
      </c>
      <c r="I2218">
        <f>ROUND(CompilDonnées[[#This Row],[CultureDuration_days]]/7,0)</f>
        <v>7</v>
      </c>
      <c r="J2218">
        <v>2055</v>
      </c>
      <c r="K2218" t="str">
        <f>_xlfn.CONCAT(WEEKNUM(CompilDonnées[[#This Row],[PlantationDate]]), " ", YEAR(CompilDonnées[[#This Row],[PlantationDate]]))</f>
        <v>14 2025</v>
      </c>
      <c r="L2218" t="str">
        <f>CONCATENATE(MONTH(CompilDonnées[[#This Row],[PlantationDate]])," ", YEAR(CompilDonnées[[#This Row],[PlantationDate]]))</f>
        <v>4 2025</v>
      </c>
      <c r="M2218" t="str">
        <f>CONCATENATE(MONTH(CompilDonnées[[#This Row],[HarvestingDate]])," ", YEAR(CompilDonnées[[#This Row],[HarvestingDate]]))</f>
        <v>5 2025</v>
      </c>
      <c r="N2218">
        <f>_xlfn.NUMBERVALUE(CompilDonnées[[#This Row],[FarmID]]&amp;CompilDonnées[[#This Row],[ModuleNumber]]&amp;CompilDonnées[[#This Row],[PlantationDate]])</f>
        <v>78545749</v>
      </c>
      <c r="O2218" t="str">
        <f>CompilDonnées[[#This Row],[FarmID]]&amp;CompilDonnées[[#This Row],[ModuleNumber]]</f>
        <v>785</v>
      </c>
      <c r="P2218" t="str">
        <f>CompilDonnées[[#This Row],[Ref_Module]]&amp;CompilDonnées[[#This Row],[HarvestingDate]]</f>
        <v>78545797</v>
      </c>
    </row>
    <row r="2219" spans="1:16">
      <c r="A2219" s="5">
        <v>45749</v>
      </c>
      <c r="B2219">
        <v>80</v>
      </c>
      <c r="C2219" t="s">
        <v>29</v>
      </c>
      <c r="D2219">
        <v>5</v>
      </c>
      <c r="E2219">
        <v>100</v>
      </c>
      <c r="F2219" t="s">
        <v>1</v>
      </c>
      <c r="G2219" s="6">
        <v>45791</v>
      </c>
      <c r="H2219">
        <v>42</v>
      </c>
      <c r="I2219">
        <f>ROUND(CompilDonnées[[#This Row],[CultureDuration_days]]/7,0)</f>
        <v>6</v>
      </c>
      <c r="J2219">
        <v>3270</v>
      </c>
      <c r="K2219" t="str">
        <f>_xlfn.CONCAT(WEEKNUM(CompilDonnées[[#This Row],[PlantationDate]]), " ", YEAR(CompilDonnées[[#This Row],[PlantationDate]]))</f>
        <v>14 2025</v>
      </c>
      <c r="L2219" t="str">
        <f>CONCATENATE(MONTH(CompilDonnées[[#This Row],[PlantationDate]])," ", YEAR(CompilDonnées[[#This Row],[PlantationDate]]))</f>
        <v>4 2025</v>
      </c>
      <c r="M2219" t="str">
        <f>CONCATENATE(MONTH(CompilDonnées[[#This Row],[HarvestingDate]])," ", YEAR(CompilDonnées[[#This Row],[HarvestingDate]]))</f>
        <v>5 2025</v>
      </c>
      <c r="N2219">
        <f>_xlfn.NUMBERVALUE(CompilDonnées[[#This Row],[FarmID]]&amp;CompilDonnées[[#This Row],[ModuleNumber]]&amp;CompilDonnées[[#This Row],[PlantationDate]])</f>
        <v>80545749</v>
      </c>
      <c r="O2219" t="str">
        <f>CompilDonnées[[#This Row],[FarmID]]&amp;CompilDonnées[[#This Row],[ModuleNumber]]</f>
        <v>805</v>
      </c>
      <c r="P2219" t="str">
        <f>CompilDonnées[[#This Row],[Ref_Module]]&amp;CompilDonnées[[#This Row],[HarvestingDate]]</f>
        <v>80545791</v>
      </c>
    </row>
    <row r="2220" spans="1:16">
      <c r="A2220" s="5">
        <v>45749</v>
      </c>
      <c r="B2220">
        <v>81</v>
      </c>
      <c r="C2220" t="s">
        <v>30</v>
      </c>
      <c r="D2220">
        <v>1</v>
      </c>
      <c r="E2220">
        <v>100</v>
      </c>
      <c r="F2220" t="s">
        <v>1</v>
      </c>
      <c r="G2220" s="6">
        <v>45791</v>
      </c>
      <c r="H2220">
        <v>42</v>
      </c>
      <c r="I2220">
        <f>ROUND(CompilDonnées[[#This Row],[CultureDuration_days]]/7,0)</f>
        <v>6</v>
      </c>
      <c r="J2220">
        <v>3159</v>
      </c>
      <c r="K2220" t="str">
        <f>_xlfn.CONCAT(WEEKNUM(CompilDonnées[[#This Row],[PlantationDate]]), " ", YEAR(CompilDonnées[[#This Row],[PlantationDate]]))</f>
        <v>14 2025</v>
      </c>
      <c r="L2220" t="str">
        <f>CONCATENATE(MONTH(CompilDonnées[[#This Row],[PlantationDate]])," ", YEAR(CompilDonnées[[#This Row],[PlantationDate]]))</f>
        <v>4 2025</v>
      </c>
      <c r="M2220" t="str">
        <f>CONCATENATE(MONTH(CompilDonnées[[#This Row],[HarvestingDate]])," ", YEAR(CompilDonnées[[#This Row],[HarvestingDate]]))</f>
        <v>5 2025</v>
      </c>
      <c r="N2220">
        <f>_xlfn.NUMBERVALUE(CompilDonnées[[#This Row],[FarmID]]&amp;CompilDonnées[[#This Row],[ModuleNumber]]&amp;CompilDonnées[[#This Row],[PlantationDate]])</f>
        <v>81145749</v>
      </c>
      <c r="O2220" t="str">
        <f>CompilDonnées[[#This Row],[FarmID]]&amp;CompilDonnées[[#This Row],[ModuleNumber]]</f>
        <v>811</v>
      </c>
      <c r="P2220" t="str">
        <f>CompilDonnées[[#This Row],[Ref_Module]]&amp;CompilDonnées[[#This Row],[HarvestingDate]]</f>
        <v>81145791</v>
      </c>
    </row>
    <row r="2221" spans="1:16">
      <c r="A2221" s="5">
        <v>45749</v>
      </c>
      <c r="B2221">
        <v>82</v>
      </c>
      <c r="C2221" t="s">
        <v>17</v>
      </c>
      <c r="D2221">
        <v>1</v>
      </c>
      <c r="E2221">
        <v>100</v>
      </c>
      <c r="F2221" t="s">
        <v>1</v>
      </c>
      <c r="G2221" s="6">
        <v>45791</v>
      </c>
      <c r="H2221">
        <v>42</v>
      </c>
      <c r="I2221">
        <f>ROUND(CompilDonnées[[#This Row],[CultureDuration_days]]/7,0)</f>
        <v>6</v>
      </c>
      <c r="J2221">
        <v>3283</v>
      </c>
      <c r="K2221" t="str">
        <f>_xlfn.CONCAT(WEEKNUM(CompilDonnées[[#This Row],[PlantationDate]]), " ", YEAR(CompilDonnées[[#This Row],[PlantationDate]]))</f>
        <v>14 2025</v>
      </c>
      <c r="L2221" t="str">
        <f>CONCATENATE(MONTH(CompilDonnées[[#This Row],[PlantationDate]])," ", YEAR(CompilDonnées[[#This Row],[PlantationDate]]))</f>
        <v>4 2025</v>
      </c>
      <c r="M2221" t="str">
        <f>CONCATENATE(MONTH(CompilDonnées[[#This Row],[HarvestingDate]])," ", YEAR(CompilDonnées[[#This Row],[HarvestingDate]]))</f>
        <v>5 2025</v>
      </c>
      <c r="N2221">
        <f>_xlfn.NUMBERVALUE(CompilDonnées[[#This Row],[FarmID]]&amp;CompilDonnées[[#This Row],[ModuleNumber]]&amp;CompilDonnées[[#This Row],[PlantationDate]])</f>
        <v>82145749</v>
      </c>
      <c r="O2221" t="str">
        <f>CompilDonnées[[#This Row],[FarmID]]&amp;CompilDonnées[[#This Row],[ModuleNumber]]</f>
        <v>821</v>
      </c>
      <c r="P2221" t="str">
        <f>CompilDonnées[[#This Row],[Ref_Module]]&amp;CompilDonnées[[#This Row],[HarvestingDate]]</f>
        <v>82145791</v>
      </c>
    </row>
    <row r="2222" spans="1:16">
      <c r="A2222" s="5">
        <v>45749</v>
      </c>
      <c r="B2222">
        <v>84</v>
      </c>
      <c r="C2222" t="s">
        <v>65</v>
      </c>
      <c r="D2222">
        <v>5</v>
      </c>
      <c r="E2222">
        <v>100</v>
      </c>
      <c r="F2222" t="s">
        <v>1</v>
      </c>
      <c r="G2222" s="6">
        <v>45790</v>
      </c>
      <c r="H2222">
        <v>41</v>
      </c>
      <c r="I2222">
        <f>ROUND(CompilDonnées[[#This Row],[CultureDuration_days]]/7,0)</f>
        <v>6</v>
      </c>
      <c r="J2222">
        <v>2344</v>
      </c>
      <c r="K2222" t="str">
        <f>_xlfn.CONCAT(WEEKNUM(CompilDonnées[[#This Row],[PlantationDate]]), " ", YEAR(CompilDonnées[[#This Row],[PlantationDate]]))</f>
        <v>14 2025</v>
      </c>
      <c r="L2222" t="str">
        <f>CONCATENATE(MONTH(CompilDonnées[[#This Row],[PlantationDate]])," ", YEAR(CompilDonnées[[#This Row],[PlantationDate]]))</f>
        <v>4 2025</v>
      </c>
      <c r="M2222" t="str">
        <f>CONCATENATE(MONTH(CompilDonnées[[#This Row],[HarvestingDate]])," ", YEAR(CompilDonnées[[#This Row],[HarvestingDate]]))</f>
        <v>5 2025</v>
      </c>
      <c r="N2222">
        <f>_xlfn.NUMBERVALUE(CompilDonnées[[#This Row],[FarmID]]&amp;CompilDonnées[[#This Row],[ModuleNumber]]&amp;CompilDonnées[[#This Row],[PlantationDate]])</f>
        <v>84545749</v>
      </c>
      <c r="O2222" t="str">
        <f>CompilDonnées[[#This Row],[FarmID]]&amp;CompilDonnées[[#This Row],[ModuleNumber]]</f>
        <v>845</v>
      </c>
      <c r="P2222" t="str">
        <f>CompilDonnées[[#This Row],[Ref_Module]]&amp;CompilDonnées[[#This Row],[HarvestingDate]]</f>
        <v>84545790</v>
      </c>
    </row>
    <row r="2223" spans="1:16">
      <c r="A2223" s="5">
        <v>45749</v>
      </c>
      <c r="B2223">
        <v>84</v>
      </c>
      <c r="C2223" t="s">
        <v>65</v>
      </c>
      <c r="D2223">
        <v>6</v>
      </c>
      <c r="E2223">
        <v>100</v>
      </c>
      <c r="F2223" t="s">
        <v>1</v>
      </c>
      <c r="G2223" s="6">
        <v>45790</v>
      </c>
      <c r="H2223">
        <v>41</v>
      </c>
      <c r="I2223">
        <f>ROUND(CompilDonnées[[#This Row],[CultureDuration_days]]/7,0)</f>
        <v>6</v>
      </c>
      <c r="J2223">
        <v>1707</v>
      </c>
      <c r="K2223" t="str">
        <f>_xlfn.CONCAT(WEEKNUM(CompilDonnées[[#This Row],[PlantationDate]]), " ", YEAR(CompilDonnées[[#This Row],[PlantationDate]]))</f>
        <v>14 2025</v>
      </c>
      <c r="L2223" t="str">
        <f>CONCATENATE(MONTH(CompilDonnées[[#This Row],[PlantationDate]])," ", YEAR(CompilDonnées[[#This Row],[PlantationDate]]))</f>
        <v>4 2025</v>
      </c>
      <c r="M2223" t="str">
        <f>CONCATENATE(MONTH(CompilDonnées[[#This Row],[HarvestingDate]])," ", YEAR(CompilDonnées[[#This Row],[HarvestingDate]]))</f>
        <v>5 2025</v>
      </c>
      <c r="N2223">
        <f>_xlfn.NUMBERVALUE(CompilDonnées[[#This Row],[FarmID]]&amp;CompilDonnées[[#This Row],[ModuleNumber]]&amp;CompilDonnées[[#This Row],[PlantationDate]])</f>
        <v>84645749</v>
      </c>
      <c r="O2223" t="str">
        <f>CompilDonnées[[#This Row],[FarmID]]&amp;CompilDonnées[[#This Row],[ModuleNumber]]</f>
        <v>846</v>
      </c>
      <c r="P2223" t="str">
        <f>CompilDonnées[[#This Row],[Ref_Module]]&amp;CompilDonnées[[#This Row],[HarvestingDate]]</f>
        <v>84645790</v>
      </c>
    </row>
    <row r="2224" spans="1:16">
      <c r="A2224" s="5">
        <v>45749</v>
      </c>
      <c r="B2224">
        <v>87</v>
      </c>
      <c r="C2224" t="s">
        <v>38</v>
      </c>
      <c r="D2224">
        <v>5</v>
      </c>
      <c r="E2224">
        <v>100</v>
      </c>
      <c r="F2224" t="s">
        <v>1</v>
      </c>
      <c r="G2224" s="6">
        <v>45799</v>
      </c>
      <c r="H2224">
        <v>50</v>
      </c>
      <c r="I2224">
        <f>ROUND(CompilDonnées[[#This Row],[CultureDuration_days]]/7,0)</f>
        <v>7</v>
      </c>
      <c r="J2224">
        <v>3396</v>
      </c>
      <c r="K2224" t="str">
        <f>_xlfn.CONCAT(WEEKNUM(CompilDonnées[[#This Row],[PlantationDate]]), " ", YEAR(CompilDonnées[[#This Row],[PlantationDate]]))</f>
        <v>14 2025</v>
      </c>
      <c r="L2224" t="str">
        <f>CONCATENATE(MONTH(CompilDonnées[[#This Row],[PlantationDate]])," ", YEAR(CompilDonnées[[#This Row],[PlantationDate]]))</f>
        <v>4 2025</v>
      </c>
      <c r="M2224" t="str">
        <f>CONCATENATE(MONTH(CompilDonnées[[#This Row],[HarvestingDate]])," ", YEAR(CompilDonnées[[#This Row],[HarvestingDate]]))</f>
        <v>5 2025</v>
      </c>
      <c r="N2224">
        <f>_xlfn.NUMBERVALUE(CompilDonnées[[#This Row],[FarmID]]&amp;CompilDonnées[[#This Row],[ModuleNumber]]&amp;CompilDonnées[[#This Row],[PlantationDate]])</f>
        <v>87545749</v>
      </c>
      <c r="O2224" t="str">
        <f>CompilDonnées[[#This Row],[FarmID]]&amp;CompilDonnées[[#This Row],[ModuleNumber]]</f>
        <v>875</v>
      </c>
      <c r="P2224" t="str">
        <f>CompilDonnées[[#This Row],[Ref_Module]]&amp;CompilDonnées[[#This Row],[HarvestingDate]]</f>
        <v>87545799</v>
      </c>
    </row>
    <row r="2225" spans="1:16">
      <c r="A2225" s="5">
        <v>45749</v>
      </c>
      <c r="B2225">
        <v>88</v>
      </c>
      <c r="C2225" t="s">
        <v>94</v>
      </c>
      <c r="D2225">
        <v>5</v>
      </c>
      <c r="E2225">
        <v>100</v>
      </c>
      <c r="F2225" t="s">
        <v>1</v>
      </c>
      <c r="G2225" s="6">
        <v>45791</v>
      </c>
      <c r="H2225">
        <v>42</v>
      </c>
      <c r="I2225">
        <f>ROUND(CompilDonnées[[#This Row],[CultureDuration_days]]/7,0)</f>
        <v>6</v>
      </c>
      <c r="J2225">
        <v>3509</v>
      </c>
      <c r="K2225" t="str">
        <f>_xlfn.CONCAT(WEEKNUM(CompilDonnées[[#This Row],[PlantationDate]]), " ", YEAR(CompilDonnées[[#This Row],[PlantationDate]]))</f>
        <v>14 2025</v>
      </c>
      <c r="L2225" t="str">
        <f>CONCATENATE(MONTH(CompilDonnées[[#This Row],[PlantationDate]])," ", YEAR(CompilDonnées[[#This Row],[PlantationDate]]))</f>
        <v>4 2025</v>
      </c>
      <c r="M2225" t="str">
        <f>CONCATENATE(MONTH(CompilDonnées[[#This Row],[HarvestingDate]])," ", YEAR(CompilDonnées[[#This Row],[HarvestingDate]]))</f>
        <v>5 2025</v>
      </c>
      <c r="N2225">
        <f>_xlfn.NUMBERVALUE(CompilDonnées[[#This Row],[FarmID]]&amp;CompilDonnées[[#This Row],[ModuleNumber]]&amp;CompilDonnées[[#This Row],[PlantationDate]])</f>
        <v>88545749</v>
      </c>
      <c r="O2225" t="str">
        <f>CompilDonnées[[#This Row],[FarmID]]&amp;CompilDonnées[[#This Row],[ModuleNumber]]</f>
        <v>885</v>
      </c>
      <c r="P2225" t="str">
        <f>CompilDonnées[[#This Row],[Ref_Module]]&amp;CompilDonnées[[#This Row],[HarvestingDate]]</f>
        <v>88545791</v>
      </c>
    </row>
    <row r="2226" spans="1:16">
      <c r="A2226" s="5">
        <v>45749</v>
      </c>
      <c r="B2226">
        <v>88</v>
      </c>
      <c r="C2226" t="s">
        <v>94</v>
      </c>
      <c r="D2226">
        <v>6</v>
      </c>
      <c r="E2226">
        <v>100</v>
      </c>
      <c r="F2226" t="s">
        <v>1</v>
      </c>
      <c r="G2226" s="6">
        <v>45791</v>
      </c>
      <c r="H2226">
        <v>42</v>
      </c>
      <c r="I2226">
        <f>ROUND(CompilDonnées[[#This Row],[CultureDuration_days]]/7,0)</f>
        <v>6</v>
      </c>
      <c r="J2226">
        <v>3149</v>
      </c>
      <c r="K2226" t="str">
        <f>_xlfn.CONCAT(WEEKNUM(CompilDonnées[[#This Row],[PlantationDate]]), " ", YEAR(CompilDonnées[[#This Row],[PlantationDate]]))</f>
        <v>14 2025</v>
      </c>
      <c r="L2226" t="str">
        <f>CONCATENATE(MONTH(CompilDonnées[[#This Row],[PlantationDate]])," ", YEAR(CompilDonnées[[#This Row],[PlantationDate]]))</f>
        <v>4 2025</v>
      </c>
      <c r="M2226" t="str">
        <f>CONCATENATE(MONTH(CompilDonnées[[#This Row],[HarvestingDate]])," ", YEAR(CompilDonnées[[#This Row],[HarvestingDate]]))</f>
        <v>5 2025</v>
      </c>
      <c r="N2226">
        <f>_xlfn.NUMBERVALUE(CompilDonnées[[#This Row],[FarmID]]&amp;CompilDonnées[[#This Row],[ModuleNumber]]&amp;CompilDonnées[[#This Row],[PlantationDate]])</f>
        <v>88645749</v>
      </c>
      <c r="O2226" t="str">
        <f>CompilDonnées[[#This Row],[FarmID]]&amp;CompilDonnées[[#This Row],[ModuleNumber]]</f>
        <v>886</v>
      </c>
      <c r="P2226" t="str">
        <f>CompilDonnées[[#This Row],[Ref_Module]]&amp;CompilDonnées[[#This Row],[HarvestingDate]]</f>
        <v>88645791</v>
      </c>
    </row>
    <row r="2227" spans="1:16">
      <c r="A2227" s="5">
        <v>45749</v>
      </c>
      <c r="B2227">
        <v>132</v>
      </c>
      <c r="C2227" t="s">
        <v>120</v>
      </c>
      <c r="D2227">
        <v>3</v>
      </c>
      <c r="E2227">
        <v>100</v>
      </c>
      <c r="F2227" t="s">
        <v>1</v>
      </c>
      <c r="G2227" s="6">
        <v>45800</v>
      </c>
      <c r="H2227">
        <v>51</v>
      </c>
      <c r="I2227">
        <f>ROUND(CompilDonnées[[#This Row],[CultureDuration_days]]/7,0)</f>
        <v>7</v>
      </c>
      <c r="J2227">
        <v>2986</v>
      </c>
      <c r="K2227" t="str">
        <f>_xlfn.CONCAT(WEEKNUM(CompilDonnées[[#This Row],[PlantationDate]]), " ", YEAR(CompilDonnées[[#This Row],[PlantationDate]]))</f>
        <v>14 2025</v>
      </c>
      <c r="L2227" t="str">
        <f>CONCATENATE(MONTH(CompilDonnées[[#This Row],[PlantationDate]])," ", YEAR(CompilDonnées[[#This Row],[PlantationDate]]))</f>
        <v>4 2025</v>
      </c>
      <c r="M2227" t="str">
        <f>CONCATENATE(MONTH(CompilDonnées[[#This Row],[HarvestingDate]])," ", YEAR(CompilDonnées[[#This Row],[HarvestingDate]]))</f>
        <v>5 2025</v>
      </c>
      <c r="N2227">
        <f>_xlfn.NUMBERVALUE(CompilDonnées[[#This Row],[FarmID]]&amp;CompilDonnées[[#This Row],[ModuleNumber]]&amp;CompilDonnées[[#This Row],[PlantationDate]])</f>
        <v>132345749</v>
      </c>
      <c r="O2227" t="str">
        <f>CompilDonnées[[#This Row],[FarmID]]&amp;CompilDonnées[[#This Row],[ModuleNumber]]</f>
        <v>1323</v>
      </c>
      <c r="P2227" t="str">
        <f>CompilDonnées[[#This Row],[Ref_Module]]&amp;CompilDonnées[[#This Row],[HarvestingDate]]</f>
        <v>132345800</v>
      </c>
    </row>
    <row r="2228" spans="1:16">
      <c r="A2228" s="5">
        <v>45749</v>
      </c>
      <c r="B2228">
        <v>145</v>
      </c>
      <c r="C2228" t="s">
        <v>3</v>
      </c>
      <c r="D2228">
        <v>4</v>
      </c>
      <c r="E2228">
        <v>60</v>
      </c>
      <c r="F2228" t="s">
        <v>105</v>
      </c>
      <c r="G2228" s="6">
        <v>45789</v>
      </c>
      <c r="H2228">
        <v>40</v>
      </c>
      <c r="I2228">
        <f>ROUND(CompilDonnées[[#This Row],[CultureDuration_days]]/7,0)</f>
        <v>6</v>
      </c>
      <c r="J2228">
        <v>813</v>
      </c>
      <c r="K2228" t="str">
        <f>_xlfn.CONCAT(WEEKNUM(CompilDonnées[[#This Row],[PlantationDate]]), " ", YEAR(CompilDonnées[[#This Row],[PlantationDate]]))</f>
        <v>14 2025</v>
      </c>
      <c r="L2228" t="str">
        <f>CONCATENATE(MONTH(CompilDonnées[[#This Row],[PlantationDate]])," ", YEAR(CompilDonnées[[#This Row],[PlantationDate]]))</f>
        <v>4 2025</v>
      </c>
      <c r="M2228" t="str">
        <f>CONCATENATE(MONTH(CompilDonnées[[#This Row],[HarvestingDate]])," ", YEAR(CompilDonnées[[#This Row],[HarvestingDate]]))</f>
        <v>5 2025</v>
      </c>
      <c r="N2228">
        <f>_xlfn.NUMBERVALUE(CompilDonnées[[#This Row],[FarmID]]&amp;CompilDonnées[[#This Row],[ModuleNumber]]&amp;CompilDonnées[[#This Row],[PlantationDate]])</f>
        <v>145445749</v>
      </c>
      <c r="O2228" t="str">
        <f>CompilDonnées[[#This Row],[FarmID]]&amp;CompilDonnées[[#This Row],[ModuleNumber]]</f>
        <v>1454</v>
      </c>
      <c r="P2228" t="str">
        <f>CompilDonnées[[#This Row],[Ref_Module]]&amp;CompilDonnées[[#This Row],[HarvestingDate]]</f>
        <v>145445789</v>
      </c>
    </row>
    <row r="2229" spans="1:16">
      <c r="A2229" s="5">
        <v>45749</v>
      </c>
      <c r="B2229">
        <v>118</v>
      </c>
      <c r="C2229" t="s">
        <v>51</v>
      </c>
      <c r="D2229">
        <v>6</v>
      </c>
      <c r="E2229">
        <v>100</v>
      </c>
      <c r="F2229" t="s">
        <v>1</v>
      </c>
      <c r="G2229" s="6">
        <v>45800</v>
      </c>
      <c r="H2229">
        <v>51</v>
      </c>
      <c r="I2229">
        <f>ROUND(CompilDonnées[[#This Row],[CultureDuration_days]]/7,0)</f>
        <v>7</v>
      </c>
      <c r="J2229">
        <v>2542</v>
      </c>
      <c r="K2229" t="str">
        <f>_xlfn.CONCAT(WEEKNUM(CompilDonnées[[#This Row],[PlantationDate]]), " ", YEAR(CompilDonnées[[#This Row],[PlantationDate]]))</f>
        <v>14 2025</v>
      </c>
      <c r="L2229" t="str">
        <f>CONCATENATE(MONTH(CompilDonnées[[#This Row],[PlantationDate]])," ", YEAR(CompilDonnées[[#This Row],[PlantationDate]]))</f>
        <v>4 2025</v>
      </c>
      <c r="M2229" t="str">
        <f>CONCATENATE(MONTH(CompilDonnées[[#This Row],[HarvestingDate]])," ", YEAR(CompilDonnées[[#This Row],[HarvestingDate]]))</f>
        <v>5 2025</v>
      </c>
      <c r="N2229">
        <f>_xlfn.NUMBERVALUE(CompilDonnées[[#This Row],[FarmID]]&amp;CompilDonnées[[#This Row],[ModuleNumber]]&amp;CompilDonnées[[#This Row],[PlantationDate]])</f>
        <v>118645749</v>
      </c>
      <c r="O2229" t="str">
        <f>CompilDonnées[[#This Row],[FarmID]]&amp;CompilDonnées[[#This Row],[ModuleNumber]]</f>
        <v>1186</v>
      </c>
      <c r="P2229" t="str">
        <f>CompilDonnées[[#This Row],[Ref_Module]]&amp;CompilDonnées[[#This Row],[HarvestingDate]]</f>
        <v>118645800</v>
      </c>
    </row>
    <row r="2230" spans="1:16">
      <c r="A2230" s="5">
        <v>45749</v>
      </c>
      <c r="B2230">
        <v>119</v>
      </c>
      <c r="C2230" t="s">
        <v>59</v>
      </c>
      <c r="D2230">
        <v>1</v>
      </c>
      <c r="E2230">
        <v>100</v>
      </c>
      <c r="F2230" t="s">
        <v>1</v>
      </c>
      <c r="G2230" s="6">
        <v>45789</v>
      </c>
      <c r="H2230">
        <v>40</v>
      </c>
      <c r="I2230">
        <f>ROUND(CompilDonnées[[#This Row],[CultureDuration_days]]/7,0)</f>
        <v>6</v>
      </c>
      <c r="J2230">
        <v>2733</v>
      </c>
      <c r="K2230" t="str">
        <f>_xlfn.CONCAT(WEEKNUM(CompilDonnées[[#This Row],[PlantationDate]]), " ", YEAR(CompilDonnées[[#This Row],[PlantationDate]]))</f>
        <v>14 2025</v>
      </c>
      <c r="L2230" t="str">
        <f>CONCATENATE(MONTH(CompilDonnées[[#This Row],[PlantationDate]])," ", YEAR(CompilDonnées[[#This Row],[PlantationDate]]))</f>
        <v>4 2025</v>
      </c>
      <c r="M2230" t="str">
        <f>CONCATENATE(MONTH(CompilDonnées[[#This Row],[HarvestingDate]])," ", YEAR(CompilDonnées[[#This Row],[HarvestingDate]]))</f>
        <v>5 2025</v>
      </c>
      <c r="N2230">
        <f>_xlfn.NUMBERVALUE(CompilDonnées[[#This Row],[FarmID]]&amp;CompilDonnées[[#This Row],[ModuleNumber]]&amp;CompilDonnées[[#This Row],[PlantationDate]])</f>
        <v>119145749</v>
      </c>
      <c r="O2230" t="str">
        <f>CompilDonnées[[#This Row],[FarmID]]&amp;CompilDonnées[[#This Row],[ModuleNumber]]</f>
        <v>1191</v>
      </c>
      <c r="P2230" t="str">
        <f>CompilDonnées[[#This Row],[Ref_Module]]&amp;CompilDonnées[[#This Row],[HarvestingDate]]</f>
        <v>119145789</v>
      </c>
    </row>
    <row r="2231" spans="1:16">
      <c r="A2231" s="5">
        <v>45749</v>
      </c>
      <c r="B2231">
        <v>119</v>
      </c>
      <c r="C2231" t="s">
        <v>59</v>
      </c>
      <c r="D2231">
        <v>6</v>
      </c>
      <c r="E2231">
        <v>100</v>
      </c>
      <c r="F2231" t="s">
        <v>1</v>
      </c>
      <c r="G2231" s="6">
        <v>45790</v>
      </c>
      <c r="H2231">
        <v>41</v>
      </c>
      <c r="I2231">
        <f>ROUND(CompilDonnées[[#This Row],[CultureDuration_days]]/7,0)</f>
        <v>6</v>
      </c>
      <c r="J2231">
        <v>2792</v>
      </c>
      <c r="K2231" t="str">
        <f>_xlfn.CONCAT(WEEKNUM(CompilDonnées[[#This Row],[PlantationDate]]), " ", YEAR(CompilDonnées[[#This Row],[PlantationDate]]))</f>
        <v>14 2025</v>
      </c>
      <c r="L2231" t="str">
        <f>CONCATENATE(MONTH(CompilDonnées[[#This Row],[PlantationDate]])," ", YEAR(CompilDonnées[[#This Row],[PlantationDate]]))</f>
        <v>4 2025</v>
      </c>
      <c r="M2231" t="str">
        <f>CONCATENATE(MONTH(CompilDonnées[[#This Row],[HarvestingDate]])," ", YEAR(CompilDonnées[[#This Row],[HarvestingDate]]))</f>
        <v>5 2025</v>
      </c>
      <c r="N2231">
        <f>_xlfn.NUMBERVALUE(CompilDonnées[[#This Row],[FarmID]]&amp;CompilDonnées[[#This Row],[ModuleNumber]]&amp;CompilDonnées[[#This Row],[PlantationDate]])</f>
        <v>119645749</v>
      </c>
      <c r="O2231" t="str">
        <f>CompilDonnées[[#This Row],[FarmID]]&amp;CompilDonnées[[#This Row],[ModuleNumber]]</f>
        <v>1196</v>
      </c>
      <c r="P2231" t="str">
        <f>CompilDonnées[[#This Row],[Ref_Module]]&amp;CompilDonnées[[#This Row],[HarvestingDate]]</f>
        <v>119645790</v>
      </c>
    </row>
    <row r="2232" spans="1:16">
      <c r="A2232" s="5">
        <v>45750</v>
      </c>
      <c r="B2232">
        <v>29</v>
      </c>
      <c r="C2232" t="s">
        <v>2</v>
      </c>
      <c r="D2232">
        <v>6</v>
      </c>
      <c r="E2232">
        <v>100</v>
      </c>
      <c r="F2232" t="s">
        <v>1</v>
      </c>
      <c r="G2232" s="6">
        <v>45792</v>
      </c>
      <c r="H2232">
        <v>42</v>
      </c>
      <c r="I2232">
        <f>ROUND(CompilDonnées[[#This Row],[CultureDuration_days]]/7,0)</f>
        <v>6</v>
      </c>
      <c r="J2232">
        <v>3379</v>
      </c>
      <c r="K2232" t="str">
        <f>_xlfn.CONCAT(WEEKNUM(CompilDonnées[[#This Row],[PlantationDate]]), " ", YEAR(CompilDonnées[[#This Row],[PlantationDate]]))</f>
        <v>14 2025</v>
      </c>
      <c r="L2232" t="str">
        <f>CONCATENATE(MONTH(CompilDonnées[[#This Row],[PlantationDate]])," ", YEAR(CompilDonnées[[#This Row],[PlantationDate]]))</f>
        <v>4 2025</v>
      </c>
      <c r="M2232" t="str">
        <f>CONCATENATE(MONTH(CompilDonnées[[#This Row],[HarvestingDate]])," ", YEAR(CompilDonnées[[#This Row],[HarvestingDate]]))</f>
        <v>5 2025</v>
      </c>
      <c r="N2232">
        <f>_xlfn.NUMBERVALUE(CompilDonnées[[#This Row],[FarmID]]&amp;CompilDonnées[[#This Row],[ModuleNumber]]&amp;CompilDonnées[[#This Row],[PlantationDate]])</f>
        <v>29645750</v>
      </c>
      <c r="O2232" t="str">
        <f>CompilDonnées[[#This Row],[FarmID]]&amp;CompilDonnées[[#This Row],[ModuleNumber]]</f>
        <v>296</v>
      </c>
      <c r="P2232" t="str">
        <f>CompilDonnées[[#This Row],[Ref_Module]]&amp;CompilDonnées[[#This Row],[HarvestingDate]]</f>
        <v>29645792</v>
      </c>
    </row>
    <row r="2233" spans="1:16">
      <c r="A2233" s="5">
        <v>45750</v>
      </c>
      <c r="B2233">
        <v>30</v>
      </c>
      <c r="C2233" t="s">
        <v>4</v>
      </c>
      <c r="D2233">
        <v>5</v>
      </c>
      <c r="E2233">
        <v>100</v>
      </c>
      <c r="F2233" t="s">
        <v>1</v>
      </c>
      <c r="G2233" s="6">
        <v>45796</v>
      </c>
      <c r="H2233">
        <v>46</v>
      </c>
      <c r="I2233">
        <f>ROUND(CompilDonnées[[#This Row],[CultureDuration_days]]/7,0)</f>
        <v>7</v>
      </c>
      <c r="J2233">
        <v>3130</v>
      </c>
      <c r="K2233" t="str">
        <f>_xlfn.CONCAT(WEEKNUM(CompilDonnées[[#This Row],[PlantationDate]]), " ", YEAR(CompilDonnées[[#This Row],[PlantationDate]]))</f>
        <v>14 2025</v>
      </c>
      <c r="L2233" t="str">
        <f>CONCATENATE(MONTH(CompilDonnées[[#This Row],[PlantationDate]])," ", YEAR(CompilDonnées[[#This Row],[PlantationDate]]))</f>
        <v>4 2025</v>
      </c>
      <c r="M2233" t="str">
        <f>CONCATENATE(MONTH(CompilDonnées[[#This Row],[HarvestingDate]])," ", YEAR(CompilDonnées[[#This Row],[HarvestingDate]]))</f>
        <v>5 2025</v>
      </c>
      <c r="N2233">
        <f>_xlfn.NUMBERVALUE(CompilDonnées[[#This Row],[FarmID]]&amp;CompilDonnées[[#This Row],[ModuleNumber]]&amp;CompilDonnées[[#This Row],[PlantationDate]])</f>
        <v>30545750</v>
      </c>
      <c r="O2233" t="str">
        <f>CompilDonnées[[#This Row],[FarmID]]&amp;CompilDonnées[[#This Row],[ModuleNumber]]</f>
        <v>305</v>
      </c>
      <c r="P2233" t="str">
        <f>CompilDonnées[[#This Row],[Ref_Module]]&amp;CompilDonnées[[#This Row],[HarvestingDate]]</f>
        <v>30545796</v>
      </c>
    </row>
    <row r="2234" spans="1:16">
      <c r="A2234" s="5">
        <v>45750</v>
      </c>
      <c r="B2234">
        <v>31</v>
      </c>
      <c r="C2234" t="s">
        <v>62</v>
      </c>
      <c r="D2234">
        <v>3</v>
      </c>
      <c r="E2234">
        <v>100</v>
      </c>
      <c r="F2234" t="s">
        <v>1</v>
      </c>
      <c r="G2234" s="6">
        <v>45792</v>
      </c>
      <c r="H2234">
        <v>42</v>
      </c>
      <c r="I2234">
        <f>ROUND(CompilDonnées[[#This Row],[CultureDuration_days]]/7,0)</f>
        <v>6</v>
      </c>
      <c r="J2234">
        <v>3294</v>
      </c>
      <c r="K2234" t="str">
        <f>_xlfn.CONCAT(WEEKNUM(CompilDonnées[[#This Row],[PlantationDate]]), " ", YEAR(CompilDonnées[[#This Row],[PlantationDate]]))</f>
        <v>14 2025</v>
      </c>
      <c r="L2234" t="str">
        <f>CONCATENATE(MONTH(CompilDonnées[[#This Row],[PlantationDate]])," ", YEAR(CompilDonnées[[#This Row],[PlantationDate]]))</f>
        <v>4 2025</v>
      </c>
      <c r="M2234" t="str">
        <f>CONCATENATE(MONTH(CompilDonnées[[#This Row],[HarvestingDate]])," ", YEAR(CompilDonnées[[#This Row],[HarvestingDate]]))</f>
        <v>5 2025</v>
      </c>
      <c r="N2234">
        <f>_xlfn.NUMBERVALUE(CompilDonnées[[#This Row],[FarmID]]&amp;CompilDonnées[[#This Row],[ModuleNumber]]&amp;CompilDonnées[[#This Row],[PlantationDate]])</f>
        <v>31345750</v>
      </c>
      <c r="O2234" t="str">
        <f>CompilDonnées[[#This Row],[FarmID]]&amp;CompilDonnées[[#This Row],[ModuleNumber]]</f>
        <v>313</v>
      </c>
      <c r="P2234" t="str">
        <f>CompilDonnées[[#This Row],[Ref_Module]]&amp;CompilDonnées[[#This Row],[HarvestingDate]]</f>
        <v>31345792</v>
      </c>
    </row>
    <row r="2235" spans="1:16">
      <c r="A2235" s="5">
        <v>45750</v>
      </c>
      <c r="B2235">
        <v>32</v>
      </c>
      <c r="C2235" t="s">
        <v>25</v>
      </c>
      <c r="D2235">
        <v>3</v>
      </c>
      <c r="E2235">
        <v>100</v>
      </c>
      <c r="F2235" t="s">
        <v>1</v>
      </c>
      <c r="G2235" s="6">
        <v>45792</v>
      </c>
      <c r="H2235">
        <v>42</v>
      </c>
      <c r="I2235">
        <f>ROUND(CompilDonnées[[#This Row],[CultureDuration_days]]/7,0)</f>
        <v>6</v>
      </c>
      <c r="J2235">
        <v>3078</v>
      </c>
      <c r="K2235" t="str">
        <f>_xlfn.CONCAT(WEEKNUM(CompilDonnées[[#This Row],[PlantationDate]]), " ", YEAR(CompilDonnées[[#This Row],[PlantationDate]]))</f>
        <v>14 2025</v>
      </c>
      <c r="L2235" t="str">
        <f>CONCATENATE(MONTH(CompilDonnées[[#This Row],[PlantationDate]])," ", YEAR(CompilDonnées[[#This Row],[PlantationDate]]))</f>
        <v>4 2025</v>
      </c>
      <c r="M2235" t="str">
        <f>CONCATENATE(MONTH(CompilDonnées[[#This Row],[HarvestingDate]])," ", YEAR(CompilDonnées[[#This Row],[HarvestingDate]]))</f>
        <v>5 2025</v>
      </c>
      <c r="N2235">
        <f>_xlfn.NUMBERVALUE(CompilDonnées[[#This Row],[FarmID]]&amp;CompilDonnées[[#This Row],[ModuleNumber]]&amp;CompilDonnées[[#This Row],[PlantationDate]])</f>
        <v>32345750</v>
      </c>
      <c r="O2235" t="str">
        <f>CompilDonnées[[#This Row],[FarmID]]&amp;CompilDonnées[[#This Row],[ModuleNumber]]</f>
        <v>323</v>
      </c>
      <c r="P2235" t="str">
        <f>CompilDonnées[[#This Row],[Ref_Module]]&amp;CompilDonnées[[#This Row],[HarvestingDate]]</f>
        <v>32345792</v>
      </c>
    </row>
    <row r="2236" spans="1:16">
      <c r="A2236" s="5">
        <v>45750</v>
      </c>
      <c r="B2236">
        <v>32</v>
      </c>
      <c r="C2236" t="s">
        <v>25</v>
      </c>
      <c r="D2236">
        <v>5</v>
      </c>
      <c r="E2236">
        <v>100</v>
      </c>
      <c r="F2236" t="s">
        <v>1</v>
      </c>
      <c r="G2236" s="6">
        <v>45792</v>
      </c>
      <c r="H2236">
        <v>42</v>
      </c>
      <c r="I2236">
        <f>ROUND(CompilDonnées[[#This Row],[CultureDuration_days]]/7,0)</f>
        <v>6</v>
      </c>
      <c r="J2236">
        <v>2540</v>
      </c>
      <c r="K2236" t="str">
        <f>_xlfn.CONCAT(WEEKNUM(CompilDonnées[[#This Row],[PlantationDate]]), " ", YEAR(CompilDonnées[[#This Row],[PlantationDate]]))</f>
        <v>14 2025</v>
      </c>
      <c r="L2236" t="str">
        <f>CONCATENATE(MONTH(CompilDonnées[[#This Row],[PlantationDate]])," ", YEAR(CompilDonnées[[#This Row],[PlantationDate]]))</f>
        <v>4 2025</v>
      </c>
      <c r="M2236" t="str">
        <f>CONCATENATE(MONTH(CompilDonnées[[#This Row],[HarvestingDate]])," ", YEAR(CompilDonnées[[#This Row],[HarvestingDate]]))</f>
        <v>5 2025</v>
      </c>
      <c r="N2236">
        <f>_xlfn.NUMBERVALUE(CompilDonnées[[#This Row],[FarmID]]&amp;CompilDonnées[[#This Row],[ModuleNumber]]&amp;CompilDonnées[[#This Row],[PlantationDate]])</f>
        <v>32545750</v>
      </c>
      <c r="O2236" t="str">
        <f>CompilDonnées[[#This Row],[FarmID]]&amp;CompilDonnées[[#This Row],[ModuleNumber]]</f>
        <v>325</v>
      </c>
      <c r="P2236" t="str">
        <f>CompilDonnées[[#This Row],[Ref_Module]]&amp;CompilDonnées[[#This Row],[HarvestingDate]]</f>
        <v>32545792</v>
      </c>
    </row>
    <row r="2237" spans="1:16">
      <c r="A2237" s="5">
        <v>45750</v>
      </c>
      <c r="B2237">
        <v>36</v>
      </c>
      <c r="C2237" t="s">
        <v>63</v>
      </c>
      <c r="D2237">
        <v>2</v>
      </c>
      <c r="E2237">
        <v>100</v>
      </c>
      <c r="F2237" t="s">
        <v>1</v>
      </c>
      <c r="G2237" s="6">
        <v>45792</v>
      </c>
      <c r="H2237">
        <v>42</v>
      </c>
      <c r="I2237">
        <f>ROUND(CompilDonnées[[#This Row],[CultureDuration_days]]/7,0)</f>
        <v>6</v>
      </c>
      <c r="J2237">
        <v>3169</v>
      </c>
      <c r="K2237" t="str">
        <f>_xlfn.CONCAT(WEEKNUM(CompilDonnées[[#This Row],[PlantationDate]]), " ", YEAR(CompilDonnées[[#This Row],[PlantationDate]]))</f>
        <v>14 2025</v>
      </c>
      <c r="L2237" t="str">
        <f>CONCATENATE(MONTH(CompilDonnées[[#This Row],[PlantationDate]])," ", YEAR(CompilDonnées[[#This Row],[PlantationDate]]))</f>
        <v>4 2025</v>
      </c>
      <c r="M2237" t="str">
        <f>CONCATENATE(MONTH(CompilDonnées[[#This Row],[HarvestingDate]])," ", YEAR(CompilDonnées[[#This Row],[HarvestingDate]]))</f>
        <v>5 2025</v>
      </c>
      <c r="N2237">
        <f>_xlfn.NUMBERVALUE(CompilDonnées[[#This Row],[FarmID]]&amp;CompilDonnées[[#This Row],[ModuleNumber]]&amp;CompilDonnées[[#This Row],[PlantationDate]])</f>
        <v>36245750</v>
      </c>
      <c r="O2237" t="str">
        <f>CompilDonnées[[#This Row],[FarmID]]&amp;CompilDonnées[[#This Row],[ModuleNumber]]</f>
        <v>362</v>
      </c>
      <c r="P2237" t="str">
        <f>CompilDonnées[[#This Row],[Ref_Module]]&amp;CompilDonnées[[#This Row],[HarvestingDate]]</f>
        <v>36245792</v>
      </c>
    </row>
    <row r="2238" spans="1:16">
      <c r="A2238" s="5">
        <v>45750</v>
      </c>
      <c r="B2238">
        <v>37</v>
      </c>
      <c r="C2238" t="s">
        <v>26</v>
      </c>
      <c r="D2238">
        <v>1</v>
      </c>
      <c r="E2238">
        <v>100</v>
      </c>
      <c r="F2238" t="s">
        <v>1</v>
      </c>
      <c r="G2238" s="6">
        <v>45792</v>
      </c>
      <c r="H2238">
        <v>42</v>
      </c>
      <c r="I2238">
        <f>ROUND(CompilDonnées[[#This Row],[CultureDuration_days]]/7,0)</f>
        <v>6</v>
      </c>
      <c r="J2238">
        <v>3105</v>
      </c>
      <c r="K2238" t="str">
        <f>_xlfn.CONCAT(WEEKNUM(CompilDonnées[[#This Row],[PlantationDate]]), " ", YEAR(CompilDonnées[[#This Row],[PlantationDate]]))</f>
        <v>14 2025</v>
      </c>
      <c r="L2238" t="str">
        <f>CONCATENATE(MONTH(CompilDonnées[[#This Row],[PlantationDate]])," ", YEAR(CompilDonnées[[#This Row],[PlantationDate]]))</f>
        <v>4 2025</v>
      </c>
      <c r="M2238" t="str">
        <f>CONCATENATE(MONTH(CompilDonnées[[#This Row],[HarvestingDate]])," ", YEAR(CompilDonnées[[#This Row],[HarvestingDate]]))</f>
        <v>5 2025</v>
      </c>
      <c r="N2238">
        <f>_xlfn.NUMBERVALUE(CompilDonnées[[#This Row],[FarmID]]&amp;CompilDonnées[[#This Row],[ModuleNumber]]&amp;CompilDonnées[[#This Row],[PlantationDate]])</f>
        <v>37145750</v>
      </c>
      <c r="O2238" t="str">
        <f>CompilDonnées[[#This Row],[FarmID]]&amp;CompilDonnées[[#This Row],[ModuleNumber]]</f>
        <v>371</v>
      </c>
      <c r="P2238" t="str">
        <f>CompilDonnées[[#This Row],[Ref_Module]]&amp;CompilDonnées[[#This Row],[HarvestingDate]]</f>
        <v>37145792</v>
      </c>
    </row>
    <row r="2239" spans="1:16">
      <c r="A2239" s="5">
        <v>45750</v>
      </c>
      <c r="B2239">
        <v>1</v>
      </c>
      <c r="C2239" t="s">
        <v>111</v>
      </c>
      <c r="D2239">
        <v>2</v>
      </c>
      <c r="E2239">
        <v>100</v>
      </c>
      <c r="F2239" t="s">
        <v>1</v>
      </c>
      <c r="G2239" s="6">
        <v>45793</v>
      </c>
      <c r="H2239">
        <v>43</v>
      </c>
      <c r="I2239">
        <f>ROUND(CompilDonnées[[#This Row],[CultureDuration_days]]/7,0)</f>
        <v>6</v>
      </c>
      <c r="J2239">
        <v>3081</v>
      </c>
      <c r="K2239" t="str">
        <f>_xlfn.CONCAT(WEEKNUM(CompilDonnées[[#This Row],[PlantationDate]]), " ", YEAR(CompilDonnées[[#This Row],[PlantationDate]]))</f>
        <v>14 2025</v>
      </c>
      <c r="L2239" t="str">
        <f>CONCATENATE(MONTH(CompilDonnées[[#This Row],[PlantationDate]])," ", YEAR(CompilDonnées[[#This Row],[PlantationDate]]))</f>
        <v>4 2025</v>
      </c>
      <c r="M2239" t="str">
        <f>CONCATENATE(MONTH(CompilDonnées[[#This Row],[HarvestingDate]])," ", YEAR(CompilDonnées[[#This Row],[HarvestingDate]]))</f>
        <v>5 2025</v>
      </c>
      <c r="N2239">
        <f>_xlfn.NUMBERVALUE(CompilDonnées[[#This Row],[FarmID]]&amp;CompilDonnées[[#This Row],[ModuleNumber]]&amp;CompilDonnées[[#This Row],[PlantationDate]])</f>
        <v>1245750</v>
      </c>
      <c r="O2239" t="str">
        <f>CompilDonnées[[#This Row],[FarmID]]&amp;CompilDonnées[[#This Row],[ModuleNumber]]</f>
        <v>12</v>
      </c>
      <c r="P2239" t="str">
        <f>CompilDonnées[[#This Row],[Ref_Module]]&amp;CompilDonnées[[#This Row],[HarvestingDate]]</f>
        <v>1245793</v>
      </c>
    </row>
    <row r="2240" spans="1:16">
      <c r="A2240" s="5">
        <v>45750</v>
      </c>
      <c r="B2240">
        <v>4</v>
      </c>
      <c r="C2240" t="s">
        <v>74</v>
      </c>
      <c r="D2240">
        <v>1</v>
      </c>
      <c r="E2240">
        <v>100</v>
      </c>
      <c r="F2240" t="s">
        <v>1</v>
      </c>
      <c r="G2240" s="6">
        <v>45793</v>
      </c>
      <c r="H2240">
        <v>43</v>
      </c>
      <c r="I2240">
        <f>ROUND(CompilDonnées[[#This Row],[CultureDuration_days]]/7,0)</f>
        <v>6</v>
      </c>
      <c r="J2240">
        <v>2341</v>
      </c>
      <c r="K2240" t="str">
        <f>_xlfn.CONCAT(WEEKNUM(CompilDonnées[[#This Row],[PlantationDate]]), " ", YEAR(CompilDonnées[[#This Row],[PlantationDate]]))</f>
        <v>14 2025</v>
      </c>
      <c r="L2240" t="str">
        <f>CONCATENATE(MONTH(CompilDonnées[[#This Row],[PlantationDate]])," ", YEAR(CompilDonnées[[#This Row],[PlantationDate]]))</f>
        <v>4 2025</v>
      </c>
      <c r="M2240" t="str">
        <f>CONCATENATE(MONTH(CompilDonnées[[#This Row],[HarvestingDate]])," ", YEAR(CompilDonnées[[#This Row],[HarvestingDate]]))</f>
        <v>5 2025</v>
      </c>
      <c r="N2240">
        <f>_xlfn.NUMBERVALUE(CompilDonnées[[#This Row],[FarmID]]&amp;CompilDonnées[[#This Row],[ModuleNumber]]&amp;CompilDonnées[[#This Row],[PlantationDate]])</f>
        <v>4145750</v>
      </c>
      <c r="O2240" t="str">
        <f>CompilDonnées[[#This Row],[FarmID]]&amp;CompilDonnées[[#This Row],[ModuleNumber]]</f>
        <v>41</v>
      </c>
      <c r="P2240" t="str">
        <f>CompilDonnées[[#This Row],[Ref_Module]]&amp;CompilDonnées[[#This Row],[HarvestingDate]]</f>
        <v>4145793</v>
      </c>
    </row>
    <row r="2241" spans="1:16">
      <c r="A2241" s="5">
        <v>45750</v>
      </c>
      <c r="B2241">
        <v>5</v>
      </c>
      <c r="C2241" t="s">
        <v>32</v>
      </c>
      <c r="D2241">
        <v>3</v>
      </c>
      <c r="E2241">
        <v>100</v>
      </c>
      <c r="F2241" t="s">
        <v>1</v>
      </c>
      <c r="G2241" s="6">
        <v>45793</v>
      </c>
      <c r="H2241">
        <v>43</v>
      </c>
      <c r="I2241">
        <f>ROUND(CompilDonnées[[#This Row],[CultureDuration_days]]/7,0)</f>
        <v>6</v>
      </c>
      <c r="J2241">
        <v>3054</v>
      </c>
      <c r="K2241" t="str">
        <f>_xlfn.CONCAT(WEEKNUM(CompilDonnées[[#This Row],[PlantationDate]]), " ", YEAR(CompilDonnées[[#This Row],[PlantationDate]]))</f>
        <v>14 2025</v>
      </c>
      <c r="L2241" t="str">
        <f>CONCATENATE(MONTH(CompilDonnées[[#This Row],[PlantationDate]])," ", YEAR(CompilDonnées[[#This Row],[PlantationDate]]))</f>
        <v>4 2025</v>
      </c>
      <c r="M2241" t="str">
        <f>CONCATENATE(MONTH(CompilDonnées[[#This Row],[HarvestingDate]])," ", YEAR(CompilDonnées[[#This Row],[HarvestingDate]]))</f>
        <v>5 2025</v>
      </c>
      <c r="N2241">
        <f>_xlfn.NUMBERVALUE(CompilDonnées[[#This Row],[FarmID]]&amp;CompilDonnées[[#This Row],[ModuleNumber]]&amp;CompilDonnées[[#This Row],[PlantationDate]])</f>
        <v>5345750</v>
      </c>
      <c r="O2241" t="str">
        <f>CompilDonnées[[#This Row],[FarmID]]&amp;CompilDonnées[[#This Row],[ModuleNumber]]</f>
        <v>53</v>
      </c>
      <c r="P2241" t="str">
        <f>CompilDonnées[[#This Row],[Ref_Module]]&amp;CompilDonnées[[#This Row],[HarvestingDate]]</f>
        <v>5345793</v>
      </c>
    </row>
    <row r="2242" spans="1:16">
      <c r="A2242" s="5">
        <v>45750</v>
      </c>
      <c r="B2242">
        <v>6</v>
      </c>
      <c r="C2242" t="s">
        <v>24</v>
      </c>
      <c r="D2242">
        <v>4</v>
      </c>
      <c r="E2242">
        <v>100</v>
      </c>
      <c r="F2242" t="s">
        <v>1</v>
      </c>
      <c r="G2242" s="6">
        <v>45793</v>
      </c>
      <c r="H2242">
        <v>43</v>
      </c>
      <c r="I2242">
        <f>ROUND(CompilDonnées[[#This Row],[CultureDuration_days]]/7,0)</f>
        <v>6</v>
      </c>
      <c r="J2242">
        <v>2794</v>
      </c>
      <c r="K2242" t="str">
        <f>_xlfn.CONCAT(WEEKNUM(CompilDonnées[[#This Row],[PlantationDate]]), " ", YEAR(CompilDonnées[[#This Row],[PlantationDate]]))</f>
        <v>14 2025</v>
      </c>
      <c r="L2242" t="str">
        <f>CONCATENATE(MONTH(CompilDonnées[[#This Row],[PlantationDate]])," ", YEAR(CompilDonnées[[#This Row],[PlantationDate]]))</f>
        <v>4 2025</v>
      </c>
      <c r="M2242" t="str">
        <f>CONCATENATE(MONTH(CompilDonnées[[#This Row],[HarvestingDate]])," ", YEAR(CompilDonnées[[#This Row],[HarvestingDate]]))</f>
        <v>5 2025</v>
      </c>
      <c r="N2242">
        <f>_xlfn.NUMBERVALUE(CompilDonnées[[#This Row],[FarmID]]&amp;CompilDonnées[[#This Row],[ModuleNumber]]&amp;CompilDonnées[[#This Row],[PlantationDate]])</f>
        <v>6445750</v>
      </c>
      <c r="O2242" t="str">
        <f>CompilDonnées[[#This Row],[FarmID]]&amp;CompilDonnées[[#This Row],[ModuleNumber]]</f>
        <v>64</v>
      </c>
      <c r="P2242" t="str">
        <f>CompilDonnées[[#This Row],[Ref_Module]]&amp;CompilDonnées[[#This Row],[HarvestingDate]]</f>
        <v>6445793</v>
      </c>
    </row>
    <row r="2243" spans="1:16">
      <c r="A2243" s="5">
        <v>45750</v>
      </c>
      <c r="B2243">
        <v>7</v>
      </c>
      <c r="C2243" t="s">
        <v>50</v>
      </c>
      <c r="D2243">
        <v>1</v>
      </c>
      <c r="E2243">
        <v>100</v>
      </c>
      <c r="F2243" t="s">
        <v>1</v>
      </c>
      <c r="G2243" s="6">
        <v>45794</v>
      </c>
      <c r="H2243">
        <v>44</v>
      </c>
      <c r="I2243">
        <f>ROUND(CompilDonnées[[#This Row],[CultureDuration_days]]/7,0)</f>
        <v>6</v>
      </c>
      <c r="J2243">
        <v>2422</v>
      </c>
      <c r="K2243" t="str">
        <f>_xlfn.CONCAT(WEEKNUM(CompilDonnées[[#This Row],[PlantationDate]]), " ", YEAR(CompilDonnées[[#This Row],[PlantationDate]]))</f>
        <v>14 2025</v>
      </c>
      <c r="L2243" t="str">
        <f>CONCATENATE(MONTH(CompilDonnées[[#This Row],[PlantationDate]])," ", YEAR(CompilDonnées[[#This Row],[PlantationDate]]))</f>
        <v>4 2025</v>
      </c>
      <c r="M2243" t="str">
        <f>CONCATENATE(MONTH(CompilDonnées[[#This Row],[HarvestingDate]])," ", YEAR(CompilDonnées[[#This Row],[HarvestingDate]]))</f>
        <v>5 2025</v>
      </c>
      <c r="N2243">
        <f>_xlfn.NUMBERVALUE(CompilDonnées[[#This Row],[FarmID]]&amp;CompilDonnées[[#This Row],[ModuleNumber]]&amp;CompilDonnées[[#This Row],[PlantationDate]])</f>
        <v>7145750</v>
      </c>
      <c r="O2243" t="str">
        <f>CompilDonnées[[#This Row],[FarmID]]&amp;CompilDonnées[[#This Row],[ModuleNumber]]</f>
        <v>71</v>
      </c>
      <c r="P2243" t="str">
        <f>CompilDonnées[[#This Row],[Ref_Module]]&amp;CompilDonnées[[#This Row],[HarvestingDate]]</f>
        <v>7145794</v>
      </c>
    </row>
    <row r="2244" spans="1:16">
      <c r="A2244" s="5">
        <v>45750</v>
      </c>
      <c r="B2244">
        <v>9</v>
      </c>
      <c r="C2244" t="s">
        <v>107</v>
      </c>
      <c r="D2244">
        <v>1</v>
      </c>
      <c r="E2244">
        <v>100</v>
      </c>
      <c r="F2244" t="s">
        <v>1</v>
      </c>
      <c r="G2244" s="6">
        <v>45793</v>
      </c>
      <c r="H2244">
        <v>43</v>
      </c>
      <c r="I2244">
        <f>ROUND(CompilDonnées[[#This Row],[CultureDuration_days]]/7,0)</f>
        <v>6</v>
      </c>
      <c r="J2244">
        <v>2866</v>
      </c>
      <c r="K2244" t="str">
        <f>_xlfn.CONCAT(WEEKNUM(CompilDonnées[[#This Row],[PlantationDate]]), " ", YEAR(CompilDonnées[[#This Row],[PlantationDate]]))</f>
        <v>14 2025</v>
      </c>
      <c r="L2244" t="str">
        <f>CONCATENATE(MONTH(CompilDonnées[[#This Row],[PlantationDate]])," ", YEAR(CompilDonnées[[#This Row],[PlantationDate]]))</f>
        <v>4 2025</v>
      </c>
      <c r="M2244" t="str">
        <f>CONCATENATE(MONTH(CompilDonnées[[#This Row],[HarvestingDate]])," ", YEAR(CompilDonnées[[#This Row],[HarvestingDate]]))</f>
        <v>5 2025</v>
      </c>
      <c r="N2244">
        <f>_xlfn.NUMBERVALUE(CompilDonnées[[#This Row],[FarmID]]&amp;CompilDonnées[[#This Row],[ModuleNumber]]&amp;CompilDonnées[[#This Row],[PlantationDate]])</f>
        <v>9145750</v>
      </c>
      <c r="O2244" t="str">
        <f>CompilDonnées[[#This Row],[FarmID]]&amp;CompilDonnées[[#This Row],[ModuleNumber]]</f>
        <v>91</v>
      </c>
      <c r="P2244" t="str">
        <f>CompilDonnées[[#This Row],[Ref_Module]]&amp;CompilDonnées[[#This Row],[HarvestingDate]]</f>
        <v>9145793</v>
      </c>
    </row>
    <row r="2245" spans="1:16">
      <c r="A2245" s="5">
        <v>45750</v>
      </c>
      <c r="B2245">
        <v>13</v>
      </c>
      <c r="C2245" t="s">
        <v>114</v>
      </c>
      <c r="D2245">
        <v>6</v>
      </c>
      <c r="E2245">
        <v>100</v>
      </c>
      <c r="F2245" t="s">
        <v>1</v>
      </c>
      <c r="G2245" s="6">
        <v>45796</v>
      </c>
      <c r="H2245">
        <v>46</v>
      </c>
      <c r="I2245">
        <f>ROUND(CompilDonnées[[#This Row],[CultureDuration_days]]/7,0)</f>
        <v>7</v>
      </c>
      <c r="J2245">
        <v>3454</v>
      </c>
      <c r="K2245" t="str">
        <f>_xlfn.CONCAT(WEEKNUM(CompilDonnées[[#This Row],[PlantationDate]]), " ", YEAR(CompilDonnées[[#This Row],[PlantationDate]]))</f>
        <v>14 2025</v>
      </c>
      <c r="L2245" t="str">
        <f>CONCATENATE(MONTH(CompilDonnées[[#This Row],[PlantationDate]])," ", YEAR(CompilDonnées[[#This Row],[PlantationDate]]))</f>
        <v>4 2025</v>
      </c>
      <c r="M2245" t="str">
        <f>CONCATENATE(MONTH(CompilDonnées[[#This Row],[HarvestingDate]])," ", YEAR(CompilDonnées[[#This Row],[HarvestingDate]]))</f>
        <v>5 2025</v>
      </c>
      <c r="N2245">
        <f>_xlfn.NUMBERVALUE(CompilDonnées[[#This Row],[FarmID]]&amp;CompilDonnées[[#This Row],[ModuleNumber]]&amp;CompilDonnées[[#This Row],[PlantationDate]])</f>
        <v>13645750</v>
      </c>
      <c r="O2245" t="str">
        <f>CompilDonnées[[#This Row],[FarmID]]&amp;CompilDonnées[[#This Row],[ModuleNumber]]</f>
        <v>136</v>
      </c>
      <c r="P2245" t="str">
        <f>CompilDonnées[[#This Row],[Ref_Module]]&amp;CompilDonnées[[#This Row],[HarvestingDate]]</f>
        <v>13645796</v>
      </c>
    </row>
    <row r="2246" spans="1:16">
      <c r="A2246" s="5">
        <v>45750</v>
      </c>
      <c r="B2246">
        <v>15</v>
      </c>
      <c r="C2246" t="s">
        <v>5</v>
      </c>
      <c r="D2246">
        <v>1</v>
      </c>
      <c r="E2246">
        <v>100</v>
      </c>
      <c r="F2246" t="s">
        <v>1</v>
      </c>
      <c r="G2246" s="6">
        <v>45796</v>
      </c>
      <c r="H2246">
        <v>46</v>
      </c>
      <c r="I2246">
        <f>ROUND(CompilDonnées[[#This Row],[CultureDuration_days]]/7,0)</f>
        <v>7</v>
      </c>
      <c r="J2246">
        <v>2960</v>
      </c>
      <c r="K2246" t="str">
        <f>_xlfn.CONCAT(WEEKNUM(CompilDonnées[[#This Row],[PlantationDate]]), " ", YEAR(CompilDonnées[[#This Row],[PlantationDate]]))</f>
        <v>14 2025</v>
      </c>
      <c r="L2246" t="str">
        <f>CONCATENATE(MONTH(CompilDonnées[[#This Row],[PlantationDate]])," ", YEAR(CompilDonnées[[#This Row],[PlantationDate]]))</f>
        <v>4 2025</v>
      </c>
      <c r="M2246" t="str">
        <f>CONCATENATE(MONTH(CompilDonnées[[#This Row],[HarvestingDate]])," ", YEAR(CompilDonnées[[#This Row],[HarvestingDate]]))</f>
        <v>5 2025</v>
      </c>
      <c r="N2246">
        <f>_xlfn.NUMBERVALUE(CompilDonnées[[#This Row],[FarmID]]&amp;CompilDonnées[[#This Row],[ModuleNumber]]&amp;CompilDonnées[[#This Row],[PlantationDate]])</f>
        <v>15145750</v>
      </c>
      <c r="O2246" t="str">
        <f>CompilDonnées[[#This Row],[FarmID]]&amp;CompilDonnées[[#This Row],[ModuleNumber]]</f>
        <v>151</v>
      </c>
      <c r="P2246" t="str">
        <f>CompilDonnées[[#This Row],[Ref_Module]]&amp;CompilDonnées[[#This Row],[HarvestingDate]]</f>
        <v>15145796</v>
      </c>
    </row>
    <row r="2247" spans="1:16">
      <c r="A2247" s="5">
        <v>45750</v>
      </c>
      <c r="B2247">
        <v>15</v>
      </c>
      <c r="C2247" t="s">
        <v>5</v>
      </c>
      <c r="D2247">
        <v>6</v>
      </c>
      <c r="E2247">
        <v>100</v>
      </c>
      <c r="F2247" t="s">
        <v>1</v>
      </c>
      <c r="G2247" s="6">
        <v>45796</v>
      </c>
      <c r="H2247">
        <v>46</v>
      </c>
      <c r="I2247">
        <f>ROUND(CompilDonnées[[#This Row],[CultureDuration_days]]/7,0)</f>
        <v>7</v>
      </c>
      <c r="J2247">
        <v>2588</v>
      </c>
      <c r="K2247" t="str">
        <f>_xlfn.CONCAT(WEEKNUM(CompilDonnées[[#This Row],[PlantationDate]]), " ", YEAR(CompilDonnées[[#This Row],[PlantationDate]]))</f>
        <v>14 2025</v>
      </c>
      <c r="L2247" t="str">
        <f>CONCATENATE(MONTH(CompilDonnées[[#This Row],[PlantationDate]])," ", YEAR(CompilDonnées[[#This Row],[PlantationDate]]))</f>
        <v>4 2025</v>
      </c>
      <c r="M2247" t="str">
        <f>CONCATENATE(MONTH(CompilDonnées[[#This Row],[HarvestingDate]])," ", YEAR(CompilDonnées[[#This Row],[HarvestingDate]]))</f>
        <v>5 2025</v>
      </c>
      <c r="N2247">
        <f>_xlfn.NUMBERVALUE(CompilDonnées[[#This Row],[FarmID]]&amp;CompilDonnées[[#This Row],[ModuleNumber]]&amp;CompilDonnées[[#This Row],[PlantationDate]])</f>
        <v>15645750</v>
      </c>
      <c r="O2247" t="str">
        <f>CompilDonnées[[#This Row],[FarmID]]&amp;CompilDonnées[[#This Row],[ModuleNumber]]</f>
        <v>156</v>
      </c>
      <c r="P2247" t="str">
        <f>CompilDonnées[[#This Row],[Ref_Module]]&amp;CompilDonnées[[#This Row],[HarvestingDate]]</f>
        <v>15645796</v>
      </c>
    </row>
    <row r="2248" spans="1:16">
      <c r="A2248" s="5">
        <v>45750</v>
      </c>
      <c r="B2248">
        <v>16</v>
      </c>
      <c r="C2248" t="s">
        <v>112</v>
      </c>
      <c r="D2248">
        <v>1</v>
      </c>
      <c r="E2248">
        <v>100</v>
      </c>
      <c r="F2248" t="s">
        <v>1</v>
      </c>
      <c r="G2248" s="6">
        <v>45792</v>
      </c>
      <c r="H2248">
        <v>42</v>
      </c>
      <c r="I2248">
        <f>ROUND(CompilDonnées[[#This Row],[CultureDuration_days]]/7,0)</f>
        <v>6</v>
      </c>
      <c r="J2248">
        <v>2741</v>
      </c>
      <c r="K2248" t="str">
        <f>_xlfn.CONCAT(WEEKNUM(CompilDonnées[[#This Row],[PlantationDate]]), " ", YEAR(CompilDonnées[[#This Row],[PlantationDate]]))</f>
        <v>14 2025</v>
      </c>
      <c r="L2248" t="str">
        <f>CONCATENATE(MONTH(CompilDonnées[[#This Row],[PlantationDate]])," ", YEAR(CompilDonnées[[#This Row],[PlantationDate]]))</f>
        <v>4 2025</v>
      </c>
      <c r="M2248" t="str">
        <f>CONCATENATE(MONTH(CompilDonnées[[#This Row],[HarvestingDate]])," ", YEAR(CompilDonnées[[#This Row],[HarvestingDate]]))</f>
        <v>5 2025</v>
      </c>
      <c r="N2248">
        <f>_xlfn.NUMBERVALUE(CompilDonnées[[#This Row],[FarmID]]&amp;CompilDonnées[[#This Row],[ModuleNumber]]&amp;CompilDonnées[[#This Row],[PlantationDate]])</f>
        <v>16145750</v>
      </c>
      <c r="O2248" t="str">
        <f>CompilDonnées[[#This Row],[FarmID]]&amp;CompilDonnées[[#This Row],[ModuleNumber]]</f>
        <v>161</v>
      </c>
      <c r="P2248" t="str">
        <f>CompilDonnées[[#This Row],[Ref_Module]]&amp;CompilDonnées[[#This Row],[HarvestingDate]]</f>
        <v>16145792</v>
      </c>
    </row>
    <row r="2249" spans="1:16">
      <c r="A2249" s="5">
        <v>45750</v>
      </c>
      <c r="B2249">
        <v>16</v>
      </c>
      <c r="C2249" t="s">
        <v>112</v>
      </c>
      <c r="D2249">
        <v>6</v>
      </c>
      <c r="E2249">
        <v>100</v>
      </c>
      <c r="F2249" t="s">
        <v>1</v>
      </c>
      <c r="G2249" s="6">
        <v>45793</v>
      </c>
      <c r="H2249">
        <v>43</v>
      </c>
      <c r="I2249">
        <f>ROUND(CompilDonnées[[#This Row],[CultureDuration_days]]/7,0)</f>
        <v>6</v>
      </c>
      <c r="J2249">
        <v>3261</v>
      </c>
      <c r="K2249" t="str">
        <f>_xlfn.CONCAT(WEEKNUM(CompilDonnées[[#This Row],[PlantationDate]]), " ", YEAR(CompilDonnées[[#This Row],[PlantationDate]]))</f>
        <v>14 2025</v>
      </c>
      <c r="L2249" t="str">
        <f>CONCATENATE(MONTH(CompilDonnées[[#This Row],[PlantationDate]])," ", YEAR(CompilDonnées[[#This Row],[PlantationDate]]))</f>
        <v>4 2025</v>
      </c>
      <c r="M2249" t="str">
        <f>CONCATENATE(MONTH(CompilDonnées[[#This Row],[HarvestingDate]])," ", YEAR(CompilDonnées[[#This Row],[HarvestingDate]]))</f>
        <v>5 2025</v>
      </c>
      <c r="N2249">
        <f>_xlfn.NUMBERVALUE(CompilDonnées[[#This Row],[FarmID]]&amp;CompilDonnées[[#This Row],[ModuleNumber]]&amp;CompilDonnées[[#This Row],[PlantationDate]])</f>
        <v>16645750</v>
      </c>
      <c r="O2249" t="str">
        <f>CompilDonnées[[#This Row],[FarmID]]&amp;CompilDonnées[[#This Row],[ModuleNumber]]</f>
        <v>166</v>
      </c>
      <c r="P2249" t="str">
        <f>CompilDonnées[[#This Row],[Ref_Module]]&amp;CompilDonnées[[#This Row],[HarvestingDate]]</f>
        <v>16645793</v>
      </c>
    </row>
    <row r="2250" spans="1:16">
      <c r="A2250" s="5">
        <v>45750</v>
      </c>
      <c r="B2250">
        <v>18</v>
      </c>
      <c r="C2250" t="s">
        <v>33</v>
      </c>
      <c r="D2250">
        <v>2</v>
      </c>
      <c r="E2250">
        <v>100</v>
      </c>
      <c r="F2250" t="s">
        <v>1</v>
      </c>
      <c r="G2250" s="6">
        <v>45793</v>
      </c>
      <c r="H2250">
        <v>43</v>
      </c>
      <c r="I2250">
        <f>ROUND(CompilDonnées[[#This Row],[CultureDuration_days]]/7,0)</f>
        <v>6</v>
      </c>
      <c r="J2250">
        <v>2898</v>
      </c>
      <c r="K2250" t="str">
        <f>_xlfn.CONCAT(WEEKNUM(CompilDonnées[[#This Row],[PlantationDate]]), " ", YEAR(CompilDonnées[[#This Row],[PlantationDate]]))</f>
        <v>14 2025</v>
      </c>
      <c r="L2250" t="str">
        <f>CONCATENATE(MONTH(CompilDonnées[[#This Row],[PlantationDate]])," ", YEAR(CompilDonnées[[#This Row],[PlantationDate]]))</f>
        <v>4 2025</v>
      </c>
      <c r="M2250" t="str">
        <f>CONCATENATE(MONTH(CompilDonnées[[#This Row],[HarvestingDate]])," ", YEAR(CompilDonnées[[#This Row],[HarvestingDate]]))</f>
        <v>5 2025</v>
      </c>
      <c r="N2250">
        <f>_xlfn.NUMBERVALUE(CompilDonnées[[#This Row],[FarmID]]&amp;CompilDonnées[[#This Row],[ModuleNumber]]&amp;CompilDonnées[[#This Row],[PlantationDate]])</f>
        <v>18245750</v>
      </c>
      <c r="O2250" t="str">
        <f>CompilDonnées[[#This Row],[FarmID]]&amp;CompilDonnées[[#This Row],[ModuleNumber]]</f>
        <v>182</v>
      </c>
      <c r="P2250" t="str">
        <f>CompilDonnées[[#This Row],[Ref_Module]]&amp;CompilDonnées[[#This Row],[HarvestingDate]]</f>
        <v>18245793</v>
      </c>
    </row>
    <row r="2251" spans="1:16">
      <c r="A2251" s="5">
        <v>45750</v>
      </c>
      <c r="B2251">
        <v>21</v>
      </c>
      <c r="C2251" t="s">
        <v>0</v>
      </c>
      <c r="D2251">
        <v>1</v>
      </c>
      <c r="E2251">
        <v>100</v>
      </c>
      <c r="F2251" t="s">
        <v>1</v>
      </c>
      <c r="G2251" s="6">
        <v>45796</v>
      </c>
      <c r="H2251">
        <v>46</v>
      </c>
      <c r="I2251">
        <f>ROUND(CompilDonnées[[#This Row],[CultureDuration_days]]/7,0)</f>
        <v>7</v>
      </c>
      <c r="J2251">
        <v>2874</v>
      </c>
      <c r="K2251" t="str">
        <f>_xlfn.CONCAT(WEEKNUM(CompilDonnées[[#This Row],[PlantationDate]]), " ", YEAR(CompilDonnées[[#This Row],[PlantationDate]]))</f>
        <v>14 2025</v>
      </c>
      <c r="L2251" t="str">
        <f>CONCATENATE(MONTH(CompilDonnées[[#This Row],[PlantationDate]])," ", YEAR(CompilDonnées[[#This Row],[PlantationDate]]))</f>
        <v>4 2025</v>
      </c>
      <c r="M2251" t="str">
        <f>CONCATENATE(MONTH(CompilDonnées[[#This Row],[HarvestingDate]])," ", YEAR(CompilDonnées[[#This Row],[HarvestingDate]]))</f>
        <v>5 2025</v>
      </c>
      <c r="N2251">
        <f>_xlfn.NUMBERVALUE(CompilDonnées[[#This Row],[FarmID]]&amp;CompilDonnées[[#This Row],[ModuleNumber]]&amp;CompilDonnées[[#This Row],[PlantationDate]])</f>
        <v>21145750</v>
      </c>
      <c r="O2251" t="str">
        <f>CompilDonnées[[#This Row],[FarmID]]&amp;CompilDonnées[[#This Row],[ModuleNumber]]</f>
        <v>211</v>
      </c>
      <c r="P2251" t="str">
        <f>CompilDonnées[[#This Row],[Ref_Module]]&amp;CompilDonnées[[#This Row],[HarvestingDate]]</f>
        <v>21145796</v>
      </c>
    </row>
    <row r="2252" spans="1:16">
      <c r="A2252" s="5">
        <v>45750</v>
      </c>
      <c r="B2252">
        <v>23</v>
      </c>
      <c r="C2252" t="s">
        <v>44</v>
      </c>
      <c r="D2252">
        <v>6</v>
      </c>
      <c r="E2252">
        <v>100</v>
      </c>
      <c r="F2252" t="s">
        <v>1</v>
      </c>
      <c r="G2252" s="6">
        <v>45792</v>
      </c>
      <c r="H2252">
        <v>42</v>
      </c>
      <c r="I2252">
        <f>ROUND(CompilDonnées[[#This Row],[CultureDuration_days]]/7,0)</f>
        <v>6</v>
      </c>
      <c r="J2252">
        <v>3645</v>
      </c>
      <c r="K2252" t="str">
        <f>_xlfn.CONCAT(WEEKNUM(CompilDonnées[[#This Row],[PlantationDate]]), " ", YEAR(CompilDonnées[[#This Row],[PlantationDate]]))</f>
        <v>14 2025</v>
      </c>
      <c r="L2252" t="str">
        <f>CONCATENATE(MONTH(CompilDonnées[[#This Row],[PlantationDate]])," ", YEAR(CompilDonnées[[#This Row],[PlantationDate]]))</f>
        <v>4 2025</v>
      </c>
      <c r="M2252" t="str">
        <f>CONCATENATE(MONTH(CompilDonnées[[#This Row],[HarvestingDate]])," ", YEAR(CompilDonnées[[#This Row],[HarvestingDate]]))</f>
        <v>5 2025</v>
      </c>
      <c r="N2252">
        <f>_xlfn.NUMBERVALUE(CompilDonnées[[#This Row],[FarmID]]&amp;CompilDonnées[[#This Row],[ModuleNumber]]&amp;CompilDonnées[[#This Row],[PlantationDate]])</f>
        <v>23645750</v>
      </c>
      <c r="O2252" t="str">
        <f>CompilDonnées[[#This Row],[FarmID]]&amp;CompilDonnées[[#This Row],[ModuleNumber]]</f>
        <v>236</v>
      </c>
      <c r="P2252" t="str">
        <f>CompilDonnées[[#This Row],[Ref_Module]]&amp;CompilDonnées[[#This Row],[HarvestingDate]]</f>
        <v>23645792</v>
      </c>
    </row>
    <row r="2253" spans="1:16">
      <c r="A2253" s="5">
        <v>45750</v>
      </c>
      <c r="B2253">
        <v>24</v>
      </c>
      <c r="C2253" t="s">
        <v>31</v>
      </c>
      <c r="D2253">
        <v>5</v>
      </c>
      <c r="E2253">
        <v>100</v>
      </c>
      <c r="F2253" t="s">
        <v>1</v>
      </c>
      <c r="G2253" s="6">
        <v>45796</v>
      </c>
      <c r="H2253">
        <v>46</v>
      </c>
      <c r="I2253">
        <f>ROUND(CompilDonnées[[#This Row],[CultureDuration_days]]/7,0)</f>
        <v>7</v>
      </c>
      <c r="J2253">
        <v>3012</v>
      </c>
      <c r="K2253" t="str">
        <f>_xlfn.CONCAT(WEEKNUM(CompilDonnées[[#This Row],[PlantationDate]]), " ", YEAR(CompilDonnées[[#This Row],[PlantationDate]]))</f>
        <v>14 2025</v>
      </c>
      <c r="L2253" t="str">
        <f>CONCATENATE(MONTH(CompilDonnées[[#This Row],[PlantationDate]])," ", YEAR(CompilDonnées[[#This Row],[PlantationDate]]))</f>
        <v>4 2025</v>
      </c>
      <c r="M2253" t="str">
        <f>CONCATENATE(MONTH(CompilDonnées[[#This Row],[HarvestingDate]])," ", YEAR(CompilDonnées[[#This Row],[HarvestingDate]]))</f>
        <v>5 2025</v>
      </c>
      <c r="N2253">
        <f>_xlfn.NUMBERVALUE(CompilDonnées[[#This Row],[FarmID]]&amp;CompilDonnées[[#This Row],[ModuleNumber]]&amp;CompilDonnées[[#This Row],[PlantationDate]])</f>
        <v>24545750</v>
      </c>
      <c r="O2253" t="str">
        <f>CompilDonnées[[#This Row],[FarmID]]&amp;CompilDonnées[[#This Row],[ModuleNumber]]</f>
        <v>245</v>
      </c>
      <c r="P2253" t="str">
        <f>CompilDonnées[[#This Row],[Ref_Module]]&amp;CompilDonnées[[#This Row],[HarvestingDate]]</f>
        <v>24545796</v>
      </c>
    </row>
    <row r="2254" spans="1:16">
      <c r="A2254" s="5">
        <v>45750</v>
      </c>
      <c r="B2254">
        <v>24</v>
      </c>
      <c r="C2254" t="s">
        <v>31</v>
      </c>
      <c r="D2254">
        <v>6</v>
      </c>
      <c r="E2254">
        <v>100</v>
      </c>
      <c r="F2254" t="s">
        <v>1</v>
      </c>
      <c r="G2254" s="6">
        <v>45793</v>
      </c>
      <c r="H2254">
        <v>43</v>
      </c>
      <c r="I2254">
        <f>ROUND(CompilDonnées[[#This Row],[CultureDuration_days]]/7,0)</f>
        <v>6</v>
      </c>
      <c r="J2254">
        <v>3831</v>
      </c>
      <c r="K2254" t="str">
        <f>_xlfn.CONCAT(WEEKNUM(CompilDonnées[[#This Row],[PlantationDate]]), " ", YEAR(CompilDonnées[[#This Row],[PlantationDate]]))</f>
        <v>14 2025</v>
      </c>
      <c r="L2254" t="str">
        <f>CONCATENATE(MONTH(CompilDonnées[[#This Row],[PlantationDate]])," ", YEAR(CompilDonnées[[#This Row],[PlantationDate]]))</f>
        <v>4 2025</v>
      </c>
      <c r="M2254" t="str">
        <f>CONCATENATE(MONTH(CompilDonnées[[#This Row],[HarvestingDate]])," ", YEAR(CompilDonnées[[#This Row],[HarvestingDate]]))</f>
        <v>5 2025</v>
      </c>
      <c r="N2254">
        <f>_xlfn.NUMBERVALUE(CompilDonnées[[#This Row],[FarmID]]&amp;CompilDonnées[[#This Row],[ModuleNumber]]&amp;CompilDonnées[[#This Row],[PlantationDate]])</f>
        <v>24645750</v>
      </c>
      <c r="O2254" t="str">
        <f>CompilDonnées[[#This Row],[FarmID]]&amp;CompilDonnées[[#This Row],[ModuleNumber]]</f>
        <v>246</v>
      </c>
      <c r="P2254" t="str">
        <f>CompilDonnées[[#This Row],[Ref_Module]]&amp;CompilDonnées[[#This Row],[HarvestingDate]]</f>
        <v>24645793</v>
      </c>
    </row>
    <row r="2255" spans="1:16">
      <c r="A2255" s="5">
        <v>45750</v>
      </c>
      <c r="B2255">
        <v>25</v>
      </c>
      <c r="C2255" t="s">
        <v>100</v>
      </c>
      <c r="D2255">
        <v>4</v>
      </c>
      <c r="E2255">
        <v>100</v>
      </c>
      <c r="F2255" t="s">
        <v>1</v>
      </c>
      <c r="G2255" s="6">
        <v>45796</v>
      </c>
      <c r="H2255">
        <v>46</v>
      </c>
      <c r="I2255">
        <f>ROUND(CompilDonnées[[#This Row],[CultureDuration_days]]/7,0)</f>
        <v>7</v>
      </c>
      <c r="J2255">
        <v>2621</v>
      </c>
      <c r="K2255" t="str">
        <f>_xlfn.CONCAT(WEEKNUM(CompilDonnées[[#This Row],[PlantationDate]]), " ", YEAR(CompilDonnées[[#This Row],[PlantationDate]]))</f>
        <v>14 2025</v>
      </c>
      <c r="L2255" t="str">
        <f>CONCATENATE(MONTH(CompilDonnées[[#This Row],[PlantationDate]])," ", YEAR(CompilDonnées[[#This Row],[PlantationDate]]))</f>
        <v>4 2025</v>
      </c>
      <c r="M2255" t="str">
        <f>CONCATENATE(MONTH(CompilDonnées[[#This Row],[HarvestingDate]])," ", YEAR(CompilDonnées[[#This Row],[HarvestingDate]]))</f>
        <v>5 2025</v>
      </c>
      <c r="N2255">
        <f>_xlfn.NUMBERVALUE(CompilDonnées[[#This Row],[FarmID]]&amp;CompilDonnées[[#This Row],[ModuleNumber]]&amp;CompilDonnées[[#This Row],[PlantationDate]])</f>
        <v>25445750</v>
      </c>
      <c r="O2255" t="str">
        <f>CompilDonnées[[#This Row],[FarmID]]&amp;CompilDonnées[[#This Row],[ModuleNumber]]</f>
        <v>254</v>
      </c>
      <c r="P2255" t="str">
        <f>CompilDonnées[[#This Row],[Ref_Module]]&amp;CompilDonnées[[#This Row],[HarvestingDate]]</f>
        <v>25445796</v>
      </c>
    </row>
    <row r="2256" spans="1:16">
      <c r="A2256" s="5">
        <v>45750</v>
      </c>
      <c r="B2256">
        <v>25</v>
      </c>
      <c r="C2256" t="s">
        <v>100</v>
      </c>
      <c r="D2256">
        <v>6</v>
      </c>
      <c r="E2256">
        <v>100</v>
      </c>
      <c r="F2256" t="s">
        <v>1</v>
      </c>
      <c r="G2256" s="6">
        <v>45805</v>
      </c>
      <c r="H2256">
        <v>55</v>
      </c>
      <c r="I2256">
        <f>ROUND(CompilDonnées[[#This Row],[CultureDuration_days]]/7,0)</f>
        <v>8</v>
      </c>
      <c r="J2256">
        <v>2341</v>
      </c>
      <c r="K2256" t="str">
        <f>_xlfn.CONCAT(WEEKNUM(CompilDonnées[[#This Row],[PlantationDate]]), " ", YEAR(CompilDonnées[[#This Row],[PlantationDate]]))</f>
        <v>14 2025</v>
      </c>
      <c r="L2256" t="str">
        <f>CONCATENATE(MONTH(CompilDonnées[[#This Row],[PlantationDate]])," ", YEAR(CompilDonnées[[#This Row],[PlantationDate]]))</f>
        <v>4 2025</v>
      </c>
      <c r="M2256" t="str">
        <f>CONCATENATE(MONTH(CompilDonnées[[#This Row],[HarvestingDate]])," ", YEAR(CompilDonnées[[#This Row],[HarvestingDate]]))</f>
        <v>5 2025</v>
      </c>
      <c r="N2256">
        <f>_xlfn.NUMBERVALUE(CompilDonnées[[#This Row],[FarmID]]&amp;CompilDonnées[[#This Row],[ModuleNumber]]&amp;CompilDonnées[[#This Row],[PlantationDate]])</f>
        <v>25645750</v>
      </c>
      <c r="O2256" t="str">
        <f>CompilDonnées[[#This Row],[FarmID]]&amp;CompilDonnées[[#This Row],[ModuleNumber]]</f>
        <v>256</v>
      </c>
      <c r="P2256" t="str">
        <f>CompilDonnées[[#This Row],[Ref_Module]]&amp;CompilDonnées[[#This Row],[HarvestingDate]]</f>
        <v>25645805</v>
      </c>
    </row>
    <row r="2257" spans="1:16">
      <c r="A2257" s="5">
        <v>45750</v>
      </c>
      <c r="B2257">
        <v>38</v>
      </c>
      <c r="C2257" t="s">
        <v>34</v>
      </c>
      <c r="D2257">
        <v>3</v>
      </c>
      <c r="E2257">
        <v>100</v>
      </c>
      <c r="F2257" t="s">
        <v>1</v>
      </c>
      <c r="G2257" s="6">
        <v>45797</v>
      </c>
      <c r="H2257">
        <v>47</v>
      </c>
      <c r="I2257">
        <f>ROUND(CompilDonnées[[#This Row],[CultureDuration_days]]/7,0)</f>
        <v>7</v>
      </c>
      <c r="J2257">
        <v>3335</v>
      </c>
      <c r="K2257" t="str">
        <f>_xlfn.CONCAT(WEEKNUM(CompilDonnées[[#This Row],[PlantationDate]]), " ", YEAR(CompilDonnées[[#This Row],[PlantationDate]]))</f>
        <v>14 2025</v>
      </c>
      <c r="L2257" t="str">
        <f>CONCATENATE(MONTH(CompilDonnées[[#This Row],[PlantationDate]])," ", YEAR(CompilDonnées[[#This Row],[PlantationDate]]))</f>
        <v>4 2025</v>
      </c>
      <c r="M2257" t="str">
        <f>CONCATENATE(MONTH(CompilDonnées[[#This Row],[HarvestingDate]])," ", YEAR(CompilDonnées[[#This Row],[HarvestingDate]]))</f>
        <v>5 2025</v>
      </c>
      <c r="N2257">
        <f>_xlfn.NUMBERVALUE(CompilDonnées[[#This Row],[FarmID]]&amp;CompilDonnées[[#This Row],[ModuleNumber]]&amp;CompilDonnées[[#This Row],[PlantationDate]])</f>
        <v>38345750</v>
      </c>
      <c r="O2257" t="str">
        <f>CompilDonnées[[#This Row],[FarmID]]&amp;CompilDonnées[[#This Row],[ModuleNumber]]</f>
        <v>383</v>
      </c>
      <c r="P2257" t="str">
        <f>CompilDonnées[[#This Row],[Ref_Module]]&amp;CompilDonnées[[#This Row],[HarvestingDate]]</f>
        <v>38345797</v>
      </c>
    </row>
    <row r="2258" spans="1:16">
      <c r="A2258" s="5">
        <v>45750</v>
      </c>
      <c r="B2258">
        <v>46</v>
      </c>
      <c r="C2258" t="s">
        <v>8</v>
      </c>
      <c r="D2258">
        <v>4</v>
      </c>
      <c r="E2258">
        <v>100</v>
      </c>
      <c r="F2258" t="s">
        <v>1</v>
      </c>
      <c r="G2258" s="6">
        <v>45794</v>
      </c>
      <c r="H2258">
        <v>44</v>
      </c>
      <c r="I2258">
        <f>ROUND(CompilDonnées[[#This Row],[CultureDuration_days]]/7,0)</f>
        <v>6</v>
      </c>
      <c r="J2258">
        <v>2854</v>
      </c>
      <c r="K2258" t="str">
        <f>_xlfn.CONCAT(WEEKNUM(CompilDonnées[[#This Row],[PlantationDate]]), " ", YEAR(CompilDonnées[[#This Row],[PlantationDate]]))</f>
        <v>14 2025</v>
      </c>
      <c r="L2258" t="str">
        <f>CONCATENATE(MONTH(CompilDonnées[[#This Row],[PlantationDate]])," ", YEAR(CompilDonnées[[#This Row],[PlantationDate]]))</f>
        <v>4 2025</v>
      </c>
      <c r="M2258" t="str">
        <f>CONCATENATE(MONTH(CompilDonnées[[#This Row],[HarvestingDate]])," ", YEAR(CompilDonnées[[#This Row],[HarvestingDate]]))</f>
        <v>5 2025</v>
      </c>
      <c r="N2258">
        <f>_xlfn.NUMBERVALUE(CompilDonnées[[#This Row],[FarmID]]&amp;CompilDonnées[[#This Row],[ModuleNumber]]&amp;CompilDonnées[[#This Row],[PlantationDate]])</f>
        <v>46445750</v>
      </c>
      <c r="O2258" t="str">
        <f>CompilDonnées[[#This Row],[FarmID]]&amp;CompilDonnées[[#This Row],[ModuleNumber]]</f>
        <v>464</v>
      </c>
      <c r="P2258" t="str">
        <f>CompilDonnées[[#This Row],[Ref_Module]]&amp;CompilDonnées[[#This Row],[HarvestingDate]]</f>
        <v>46445794</v>
      </c>
    </row>
    <row r="2259" spans="1:16">
      <c r="A2259" s="5">
        <v>45750</v>
      </c>
      <c r="B2259">
        <v>49</v>
      </c>
      <c r="C2259" t="s">
        <v>110</v>
      </c>
      <c r="D2259">
        <v>6</v>
      </c>
      <c r="E2259">
        <v>100</v>
      </c>
      <c r="F2259" t="s">
        <v>1</v>
      </c>
      <c r="G2259" s="6">
        <v>45794</v>
      </c>
      <c r="H2259">
        <v>44</v>
      </c>
      <c r="I2259">
        <f>ROUND(CompilDonnées[[#This Row],[CultureDuration_days]]/7,0)</f>
        <v>6</v>
      </c>
      <c r="J2259">
        <v>3480</v>
      </c>
      <c r="K2259" t="str">
        <f>_xlfn.CONCAT(WEEKNUM(CompilDonnées[[#This Row],[PlantationDate]]), " ", YEAR(CompilDonnées[[#This Row],[PlantationDate]]))</f>
        <v>14 2025</v>
      </c>
      <c r="L2259" t="str">
        <f>CONCATENATE(MONTH(CompilDonnées[[#This Row],[PlantationDate]])," ", YEAR(CompilDonnées[[#This Row],[PlantationDate]]))</f>
        <v>4 2025</v>
      </c>
      <c r="M2259" t="str">
        <f>CONCATENATE(MONTH(CompilDonnées[[#This Row],[HarvestingDate]])," ", YEAR(CompilDonnées[[#This Row],[HarvestingDate]]))</f>
        <v>5 2025</v>
      </c>
      <c r="N2259">
        <f>_xlfn.NUMBERVALUE(CompilDonnées[[#This Row],[FarmID]]&amp;CompilDonnées[[#This Row],[ModuleNumber]]&amp;CompilDonnées[[#This Row],[PlantationDate]])</f>
        <v>49645750</v>
      </c>
      <c r="O2259" t="str">
        <f>CompilDonnées[[#This Row],[FarmID]]&amp;CompilDonnées[[#This Row],[ModuleNumber]]</f>
        <v>496</v>
      </c>
      <c r="P2259" t="str">
        <f>CompilDonnées[[#This Row],[Ref_Module]]&amp;CompilDonnées[[#This Row],[HarvestingDate]]</f>
        <v>49645794</v>
      </c>
    </row>
    <row r="2260" spans="1:16">
      <c r="A2260" s="5">
        <v>45750</v>
      </c>
      <c r="B2260">
        <v>50</v>
      </c>
      <c r="C2260" t="s">
        <v>55</v>
      </c>
      <c r="D2260">
        <v>5</v>
      </c>
      <c r="E2260">
        <v>100</v>
      </c>
      <c r="F2260" t="s">
        <v>1</v>
      </c>
      <c r="G2260" s="6">
        <v>45794</v>
      </c>
      <c r="H2260">
        <v>44</v>
      </c>
      <c r="I2260">
        <f>ROUND(CompilDonnées[[#This Row],[CultureDuration_days]]/7,0)</f>
        <v>6</v>
      </c>
      <c r="J2260">
        <v>3126</v>
      </c>
      <c r="K2260" t="str">
        <f>_xlfn.CONCAT(WEEKNUM(CompilDonnées[[#This Row],[PlantationDate]]), " ", YEAR(CompilDonnées[[#This Row],[PlantationDate]]))</f>
        <v>14 2025</v>
      </c>
      <c r="L2260" t="str">
        <f>CONCATENATE(MONTH(CompilDonnées[[#This Row],[PlantationDate]])," ", YEAR(CompilDonnées[[#This Row],[PlantationDate]]))</f>
        <v>4 2025</v>
      </c>
      <c r="M2260" t="str">
        <f>CONCATENATE(MONTH(CompilDonnées[[#This Row],[HarvestingDate]])," ", YEAR(CompilDonnées[[#This Row],[HarvestingDate]]))</f>
        <v>5 2025</v>
      </c>
      <c r="N2260">
        <f>_xlfn.NUMBERVALUE(CompilDonnées[[#This Row],[FarmID]]&amp;CompilDonnées[[#This Row],[ModuleNumber]]&amp;CompilDonnées[[#This Row],[PlantationDate]])</f>
        <v>50545750</v>
      </c>
      <c r="O2260" t="str">
        <f>CompilDonnées[[#This Row],[FarmID]]&amp;CompilDonnées[[#This Row],[ModuleNumber]]</f>
        <v>505</v>
      </c>
      <c r="P2260" t="str">
        <f>CompilDonnées[[#This Row],[Ref_Module]]&amp;CompilDonnées[[#This Row],[HarvestingDate]]</f>
        <v>50545794</v>
      </c>
    </row>
    <row r="2261" spans="1:16">
      <c r="A2261" s="5">
        <v>45750</v>
      </c>
      <c r="B2261">
        <v>61</v>
      </c>
      <c r="C2261" t="s">
        <v>95</v>
      </c>
      <c r="D2261">
        <v>2</v>
      </c>
      <c r="E2261">
        <v>100</v>
      </c>
      <c r="F2261" t="s">
        <v>1</v>
      </c>
      <c r="G2261" s="6">
        <v>45791</v>
      </c>
      <c r="H2261">
        <v>41</v>
      </c>
      <c r="I2261">
        <f>ROUND(CompilDonnées[[#This Row],[CultureDuration_days]]/7,0)</f>
        <v>6</v>
      </c>
      <c r="J2261">
        <v>1791</v>
      </c>
      <c r="K2261" t="str">
        <f>_xlfn.CONCAT(WEEKNUM(CompilDonnées[[#This Row],[PlantationDate]]), " ", YEAR(CompilDonnées[[#This Row],[PlantationDate]]))</f>
        <v>14 2025</v>
      </c>
      <c r="L2261" t="str">
        <f>CONCATENATE(MONTH(CompilDonnées[[#This Row],[PlantationDate]])," ", YEAR(CompilDonnées[[#This Row],[PlantationDate]]))</f>
        <v>4 2025</v>
      </c>
      <c r="M2261" t="str">
        <f>CONCATENATE(MONTH(CompilDonnées[[#This Row],[HarvestingDate]])," ", YEAR(CompilDonnées[[#This Row],[HarvestingDate]]))</f>
        <v>5 2025</v>
      </c>
      <c r="N2261">
        <f>_xlfn.NUMBERVALUE(CompilDonnées[[#This Row],[FarmID]]&amp;CompilDonnées[[#This Row],[ModuleNumber]]&amp;CompilDonnées[[#This Row],[PlantationDate]])</f>
        <v>61245750</v>
      </c>
      <c r="O2261" t="str">
        <f>CompilDonnées[[#This Row],[FarmID]]&amp;CompilDonnées[[#This Row],[ModuleNumber]]</f>
        <v>612</v>
      </c>
      <c r="P2261" t="str">
        <f>CompilDonnées[[#This Row],[Ref_Module]]&amp;CompilDonnées[[#This Row],[HarvestingDate]]</f>
        <v>61245791</v>
      </c>
    </row>
    <row r="2262" spans="1:16">
      <c r="A2262" s="5">
        <v>45750</v>
      </c>
      <c r="B2262">
        <v>62</v>
      </c>
      <c r="C2262" t="s">
        <v>3</v>
      </c>
      <c r="D2262">
        <v>4</v>
      </c>
      <c r="E2262">
        <v>17</v>
      </c>
      <c r="F2262" t="s">
        <v>105</v>
      </c>
      <c r="G2262" s="6">
        <v>45778</v>
      </c>
      <c r="H2262">
        <v>28</v>
      </c>
      <c r="I2262">
        <f>ROUND(CompilDonnées[[#This Row],[CultureDuration_days]]/7,0)</f>
        <v>4</v>
      </c>
      <c r="J2262">
        <v>70</v>
      </c>
      <c r="K2262" t="str">
        <f>_xlfn.CONCAT(WEEKNUM(CompilDonnées[[#This Row],[PlantationDate]]), " ", YEAR(CompilDonnées[[#This Row],[PlantationDate]]))</f>
        <v>14 2025</v>
      </c>
      <c r="L2262" t="str">
        <f>CONCATENATE(MONTH(CompilDonnées[[#This Row],[PlantationDate]])," ", YEAR(CompilDonnées[[#This Row],[PlantationDate]]))</f>
        <v>4 2025</v>
      </c>
      <c r="M2262" t="str">
        <f>CONCATENATE(MONTH(CompilDonnées[[#This Row],[HarvestingDate]])," ", YEAR(CompilDonnées[[#This Row],[HarvestingDate]]))</f>
        <v>5 2025</v>
      </c>
      <c r="N2262">
        <f>_xlfn.NUMBERVALUE(CompilDonnées[[#This Row],[FarmID]]&amp;CompilDonnées[[#This Row],[ModuleNumber]]&amp;CompilDonnées[[#This Row],[PlantationDate]])</f>
        <v>62445750</v>
      </c>
      <c r="O2262" t="str">
        <f>CompilDonnées[[#This Row],[FarmID]]&amp;CompilDonnées[[#This Row],[ModuleNumber]]</f>
        <v>624</v>
      </c>
      <c r="P2262" t="str">
        <f>CompilDonnées[[#This Row],[Ref_Module]]&amp;CompilDonnées[[#This Row],[HarvestingDate]]</f>
        <v>62445778</v>
      </c>
    </row>
    <row r="2263" spans="1:16">
      <c r="A2263" s="5">
        <v>45750</v>
      </c>
      <c r="B2263">
        <v>70</v>
      </c>
      <c r="C2263" t="s">
        <v>7</v>
      </c>
      <c r="D2263">
        <v>4</v>
      </c>
      <c r="E2263">
        <v>100</v>
      </c>
      <c r="F2263" t="s">
        <v>1</v>
      </c>
      <c r="G2263" s="6">
        <v>45805</v>
      </c>
      <c r="H2263">
        <v>55</v>
      </c>
      <c r="I2263">
        <f>ROUND(CompilDonnées[[#This Row],[CultureDuration_days]]/7,0)</f>
        <v>8</v>
      </c>
      <c r="J2263">
        <v>2089</v>
      </c>
      <c r="K2263" t="str">
        <f>_xlfn.CONCAT(WEEKNUM(CompilDonnées[[#This Row],[PlantationDate]]), " ", YEAR(CompilDonnées[[#This Row],[PlantationDate]]))</f>
        <v>14 2025</v>
      </c>
      <c r="L2263" t="str">
        <f>CONCATENATE(MONTH(CompilDonnées[[#This Row],[PlantationDate]])," ", YEAR(CompilDonnées[[#This Row],[PlantationDate]]))</f>
        <v>4 2025</v>
      </c>
      <c r="M2263" t="str">
        <f>CONCATENATE(MONTH(CompilDonnées[[#This Row],[HarvestingDate]])," ", YEAR(CompilDonnées[[#This Row],[HarvestingDate]]))</f>
        <v>5 2025</v>
      </c>
      <c r="N2263">
        <f>_xlfn.NUMBERVALUE(CompilDonnées[[#This Row],[FarmID]]&amp;CompilDonnées[[#This Row],[ModuleNumber]]&amp;CompilDonnées[[#This Row],[PlantationDate]])</f>
        <v>70445750</v>
      </c>
      <c r="O2263" t="str">
        <f>CompilDonnées[[#This Row],[FarmID]]&amp;CompilDonnées[[#This Row],[ModuleNumber]]</f>
        <v>704</v>
      </c>
      <c r="P2263" t="str">
        <f>CompilDonnées[[#This Row],[Ref_Module]]&amp;CompilDonnées[[#This Row],[HarvestingDate]]</f>
        <v>70445805</v>
      </c>
    </row>
    <row r="2264" spans="1:16">
      <c r="A2264" s="5">
        <v>45750</v>
      </c>
      <c r="B2264">
        <v>78</v>
      </c>
      <c r="C2264" t="s">
        <v>3</v>
      </c>
      <c r="D2264">
        <v>6</v>
      </c>
      <c r="E2264">
        <v>60</v>
      </c>
      <c r="F2264" t="s">
        <v>105</v>
      </c>
      <c r="G2264" s="6">
        <v>45797</v>
      </c>
      <c r="H2264">
        <v>47</v>
      </c>
      <c r="I2264">
        <f>ROUND(CompilDonnées[[#This Row],[CultureDuration_days]]/7,0)</f>
        <v>7</v>
      </c>
      <c r="J2264">
        <v>1501</v>
      </c>
      <c r="K2264" t="str">
        <f>_xlfn.CONCAT(WEEKNUM(CompilDonnées[[#This Row],[PlantationDate]]), " ", YEAR(CompilDonnées[[#This Row],[PlantationDate]]))</f>
        <v>14 2025</v>
      </c>
      <c r="L2264" t="str">
        <f>CONCATENATE(MONTH(CompilDonnées[[#This Row],[PlantationDate]])," ", YEAR(CompilDonnées[[#This Row],[PlantationDate]]))</f>
        <v>4 2025</v>
      </c>
      <c r="M2264" t="str">
        <f>CONCATENATE(MONTH(CompilDonnées[[#This Row],[HarvestingDate]])," ", YEAR(CompilDonnées[[#This Row],[HarvestingDate]]))</f>
        <v>5 2025</v>
      </c>
      <c r="N2264">
        <f>_xlfn.NUMBERVALUE(CompilDonnées[[#This Row],[FarmID]]&amp;CompilDonnées[[#This Row],[ModuleNumber]]&amp;CompilDonnées[[#This Row],[PlantationDate]])</f>
        <v>78645750</v>
      </c>
      <c r="O2264" t="str">
        <f>CompilDonnées[[#This Row],[FarmID]]&amp;CompilDonnées[[#This Row],[ModuleNumber]]</f>
        <v>786</v>
      </c>
      <c r="P2264" t="str">
        <f>CompilDonnées[[#This Row],[Ref_Module]]&amp;CompilDonnées[[#This Row],[HarvestingDate]]</f>
        <v>78645797</v>
      </c>
    </row>
    <row r="2265" spans="1:16">
      <c r="A2265" s="5">
        <v>45750</v>
      </c>
      <c r="B2265">
        <v>79</v>
      </c>
      <c r="C2265" t="s">
        <v>61</v>
      </c>
      <c r="D2265">
        <v>3</v>
      </c>
      <c r="E2265">
        <v>100</v>
      </c>
      <c r="F2265" t="s">
        <v>1</v>
      </c>
      <c r="G2265" s="6">
        <v>45797</v>
      </c>
      <c r="H2265">
        <v>47</v>
      </c>
      <c r="I2265">
        <f>ROUND(CompilDonnées[[#This Row],[CultureDuration_days]]/7,0)</f>
        <v>7</v>
      </c>
      <c r="J2265">
        <v>2730</v>
      </c>
      <c r="K2265" t="str">
        <f>_xlfn.CONCAT(WEEKNUM(CompilDonnées[[#This Row],[PlantationDate]]), " ", YEAR(CompilDonnées[[#This Row],[PlantationDate]]))</f>
        <v>14 2025</v>
      </c>
      <c r="L2265" t="str">
        <f>CONCATENATE(MONTH(CompilDonnées[[#This Row],[PlantationDate]])," ", YEAR(CompilDonnées[[#This Row],[PlantationDate]]))</f>
        <v>4 2025</v>
      </c>
      <c r="M2265" t="str">
        <f>CONCATENATE(MONTH(CompilDonnées[[#This Row],[HarvestingDate]])," ", YEAR(CompilDonnées[[#This Row],[HarvestingDate]]))</f>
        <v>5 2025</v>
      </c>
      <c r="N2265">
        <f>_xlfn.NUMBERVALUE(CompilDonnées[[#This Row],[FarmID]]&amp;CompilDonnées[[#This Row],[ModuleNumber]]&amp;CompilDonnées[[#This Row],[PlantationDate]])</f>
        <v>79345750</v>
      </c>
      <c r="O2265" t="str">
        <f>CompilDonnées[[#This Row],[FarmID]]&amp;CompilDonnées[[#This Row],[ModuleNumber]]</f>
        <v>793</v>
      </c>
      <c r="P2265" t="str">
        <f>CompilDonnées[[#This Row],[Ref_Module]]&amp;CompilDonnées[[#This Row],[HarvestingDate]]</f>
        <v>79345797</v>
      </c>
    </row>
    <row r="2266" spans="1:16">
      <c r="A2266" s="5">
        <v>45750</v>
      </c>
      <c r="B2266">
        <v>84</v>
      </c>
      <c r="C2266" t="s">
        <v>65</v>
      </c>
      <c r="D2266">
        <v>1</v>
      </c>
      <c r="E2266">
        <v>100</v>
      </c>
      <c r="F2266" t="s">
        <v>1</v>
      </c>
      <c r="G2266" s="6">
        <v>45799</v>
      </c>
      <c r="H2266">
        <v>49</v>
      </c>
      <c r="I2266">
        <f>ROUND(CompilDonnées[[#This Row],[CultureDuration_days]]/7,0)</f>
        <v>7</v>
      </c>
      <c r="J2266">
        <v>3111</v>
      </c>
      <c r="K2266" t="str">
        <f>_xlfn.CONCAT(WEEKNUM(CompilDonnées[[#This Row],[PlantationDate]]), " ", YEAR(CompilDonnées[[#This Row],[PlantationDate]]))</f>
        <v>14 2025</v>
      </c>
      <c r="L2266" t="str">
        <f>CONCATENATE(MONTH(CompilDonnées[[#This Row],[PlantationDate]])," ", YEAR(CompilDonnées[[#This Row],[PlantationDate]]))</f>
        <v>4 2025</v>
      </c>
      <c r="M2266" t="str">
        <f>CONCATENATE(MONTH(CompilDonnées[[#This Row],[HarvestingDate]])," ", YEAR(CompilDonnées[[#This Row],[HarvestingDate]]))</f>
        <v>5 2025</v>
      </c>
      <c r="N2266">
        <f>_xlfn.NUMBERVALUE(CompilDonnées[[#This Row],[FarmID]]&amp;CompilDonnées[[#This Row],[ModuleNumber]]&amp;CompilDonnées[[#This Row],[PlantationDate]])</f>
        <v>84145750</v>
      </c>
      <c r="O2266" t="str">
        <f>CompilDonnées[[#This Row],[FarmID]]&amp;CompilDonnées[[#This Row],[ModuleNumber]]</f>
        <v>841</v>
      </c>
      <c r="P2266" t="str">
        <f>CompilDonnées[[#This Row],[Ref_Module]]&amp;CompilDonnées[[#This Row],[HarvestingDate]]</f>
        <v>84145799</v>
      </c>
    </row>
    <row r="2267" spans="1:16">
      <c r="A2267" s="5">
        <v>45755</v>
      </c>
      <c r="B2267">
        <v>26</v>
      </c>
      <c r="C2267" t="s">
        <v>97</v>
      </c>
      <c r="D2267">
        <v>1</v>
      </c>
      <c r="E2267">
        <v>100</v>
      </c>
      <c r="F2267" t="s">
        <v>1</v>
      </c>
      <c r="G2267" s="6">
        <v>45796</v>
      </c>
      <c r="H2267">
        <v>41</v>
      </c>
      <c r="I2267">
        <f>ROUND(CompilDonnées[[#This Row],[CultureDuration_days]]/7,0)</f>
        <v>6</v>
      </c>
      <c r="J2267">
        <v>2794</v>
      </c>
      <c r="K2267" t="str">
        <f>_xlfn.CONCAT(WEEKNUM(CompilDonnées[[#This Row],[PlantationDate]]), " ", YEAR(CompilDonnées[[#This Row],[PlantationDate]]))</f>
        <v>15 2025</v>
      </c>
      <c r="L2267" t="str">
        <f>CONCATENATE(MONTH(CompilDonnées[[#This Row],[PlantationDate]])," ", YEAR(CompilDonnées[[#This Row],[PlantationDate]]))</f>
        <v>4 2025</v>
      </c>
      <c r="M2267" t="str">
        <f>CONCATENATE(MONTH(CompilDonnées[[#This Row],[HarvestingDate]])," ", YEAR(CompilDonnées[[#This Row],[HarvestingDate]]))</f>
        <v>5 2025</v>
      </c>
      <c r="N2267">
        <f>_xlfn.NUMBERVALUE(CompilDonnées[[#This Row],[FarmID]]&amp;CompilDonnées[[#This Row],[ModuleNumber]]&amp;CompilDonnées[[#This Row],[PlantationDate]])</f>
        <v>26145755</v>
      </c>
      <c r="O2267" t="str">
        <f>CompilDonnées[[#This Row],[FarmID]]&amp;CompilDonnées[[#This Row],[ModuleNumber]]</f>
        <v>261</v>
      </c>
      <c r="P2267" t="str">
        <f>CompilDonnées[[#This Row],[Ref_Module]]&amp;CompilDonnées[[#This Row],[HarvestingDate]]</f>
        <v>26145796</v>
      </c>
    </row>
    <row r="2268" spans="1:16">
      <c r="A2268" s="5">
        <v>45755</v>
      </c>
      <c r="B2268">
        <v>26</v>
      </c>
      <c r="C2268" t="s">
        <v>97</v>
      </c>
      <c r="D2268">
        <v>2</v>
      </c>
      <c r="E2268">
        <v>100</v>
      </c>
      <c r="F2268" t="s">
        <v>1</v>
      </c>
      <c r="G2268" s="6">
        <v>45796</v>
      </c>
      <c r="H2268">
        <v>41</v>
      </c>
      <c r="I2268">
        <f>ROUND(CompilDonnées[[#This Row],[CultureDuration_days]]/7,0)</f>
        <v>6</v>
      </c>
      <c r="J2268">
        <v>2657</v>
      </c>
      <c r="K2268" t="str">
        <f>_xlfn.CONCAT(WEEKNUM(CompilDonnées[[#This Row],[PlantationDate]]), " ", YEAR(CompilDonnées[[#This Row],[PlantationDate]]))</f>
        <v>15 2025</v>
      </c>
      <c r="L2268" t="str">
        <f>CONCATENATE(MONTH(CompilDonnées[[#This Row],[PlantationDate]])," ", YEAR(CompilDonnées[[#This Row],[PlantationDate]]))</f>
        <v>4 2025</v>
      </c>
      <c r="M2268" t="str">
        <f>CONCATENATE(MONTH(CompilDonnées[[#This Row],[HarvestingDate]])," ", YEAR(CompilDonnées[[#This Row],[HarvestingDate]]))</f>
        <v>5 2025</v>
      </c>
      <c r="N2268">
        <f>_xlfn.NUMBERVALUE(CompilDonnées[[#This Row],[FarmID]]&amp;CompilDonnées[[#This Row],[ModuleNumber]]&amp;CompilDonnées[[#This Row],[PlantationDate]])</f>
        <v>26245755</v>
      </c>
      <c r="O2268" t="str">
        <f>CompilDonnées[[#This Row],[FarmID]]&amp;CompilDonnées[[#This Row],[ModuleNumber]]</f>
        <v>262</v>
      </c>
      <c r="P2268" t="str">
        <f>CompilDonnées[[#This Row],[Ref_Module]]&amp;CompilDonnées[[#This Row],[HarvestingDate]]</f>
        <v>26245796</v>
      </c>
    </row>
    <row r="2269" spans="1:16">
      <c r="A2269" s="5">
        <v>45755</v>
      </c>
      <c r="B2269">
        <v>31</v>
      </c>
      <c r="C2269" t="s">
        <v>62</v>
      </c>
      <c r="D2269">
        <v>2</v>
      </c>
      <c r="E2269">
        <v>100</v>
      </c>
      <c r="F2269" t="s">
        <v>1</v>
      </c>
      <c r="G2269" s="6">
        <v>45796</v>
      </c>
      <c r="H2269">
        <v>41</v>
      </c>
      <c r="I2269">
        <f>ROUND(CompilDonnées[[#This Row],[CultureDuration_days]]/7,0)</f>
        <v>6</v>
      </c>
      <c r="J2269">
        <v>2882</v>
      </c>
      <c r="K2269" t="str">
        <f>_xlfn.CONCAT(WEEKNUM(CompilDonnées[[#This Row],[PlantationDate]]), " ", YEAR(CompilDonnées[[#This Row],[PlantationDate]]))</f>
        <v>15 2025</v>
      </c>
      <c r="L2269" t="str">
        <f>CONCATENATE(MONTH(CompilDonnées[[#This Row],[PlantationDate]])," ", YEAR(CompilDonnées[[#This Row],[PlantationDate]]))</f>
        <v>4 2025</v>
      </c>
      <c r="M2269" t="str">
        <f>CONCATENATE(MONTH(CompilDonnées[[#This Row],[HarvestingDate]])," ", YEAR(CompilDonnées[[#This Row],[HarvestingDate]]))</f>
        <v>5 2025</v>
      </c>
      <c r="N2269">
        <f>_xlfn.NUMBERVALUE(CompilDonnées[[#This Row],[FarmID]]&amp;CompilDonnées[[#This Row],[ModuleNumber]]&amp;CompilDonnées[[#This Row],[PlantationDate]])</f>
        <v>31245755</v>
      </c>
      <c r="O2269" t="str">
        <f>CompilDonnées[[#This Row],[FarmID]]&amp;CompilDonnées[[#This Row],[ModuleNumber]]</f>
        <v>312</v>
      </c>
      <c r="P2269" t="str">
        <f>CompilDonnées[[#This Row],[Ref_Module]]&amp;CompilDonnées[[#This Row],[HarvestingDate]]</f>
        <v>31245796</v>
      </c>
    </row>
    <row r="2270" spans="1:16">
      <c r="A2270" s="5">
        <v>45755</v>
      </c>
      <c r="B2270">
        <v>32</v>
      </c>
      <c r="C2270" t="s">
        <v>25</v>
      </c>
      <c r="D2270">
        <v>2</v>
      </c>
      <c r="E2270">
        <v>100</v>
      </c>
      <c r="F2270" t="s">
        <v>1</v>
      </c>
      <c r="G2270" s="6">
        <v>45796</v>
      </c>
      <c r="H2270">
        <v>41</v>
      </c>
      <c r="I2270">
        <f>ROUND(CompilDonnées[[#This Row],[CultureDuration_days]]/7,0)</f>
        <v>6</v>
      </c>
      <c r="J2270">
        <v>3366</v>
      </c>
      <c r="K2270" t="str">
        <f>_xlfn.CONCAT(WEEKNUM(CompilDonnées[[#This Row],[PlantationDate]]), " ", YEAR(CompilDonnées[[#This Row],[PlantationDate]]))</f>
        <v>15 2025</v>
      </c>
      <c r="L2270" t="str">
        <f>CONCATENATE(MONTH(CompilDonnées[[#This Row],[PlantationDate]])," ", YEAR(CompilDonnées[[#This Row],[PlantationDate]]))</f>
        <v>4 2025</v>
      </c>
      <c r="M2270" t="str">
        <f>CONCATENATE(MONTH(CompilDonnées[[#This Row],[HarvestingDate]])," ", YEAR(CompilDonnées[[#This Row],[HarvestingDate]]))</f>
        <v>5 2025</v>
      </c>
      <c r="N2270">
        <f>_xlfn.NUMBERVALUE(CompilDonnées[[#This Row],[FarmID]]&amp;CompilDonnées[[#This Row],[ModuleNumber]]&amp;CompilDonnées[[#This Row],[PlantationDate]])</f>
        <v>32245755</v>
      </c>
      <c r="O2270" t="str">
        <f>CompilDonnées[[#This Row],[FarmID]]&amp;CompilDonnées[[#This Row],[ModuleNumber]]</f>
        <v>322</v>
      </c>
      <c r="P2270" t="str">
        <f>CompilDonnées[[#This Row],[Ref_Module]]&amp;CompilDonnées[[#This Row],[HarvestingDate]]</f>
        <v>32245796</v>
      </c>
    </row>
    <row r="2271" spans="1:16">
      <c r="A2271" s="5">
        <v>45755</v>
      </c>
      <c r="B2271">
        <v>33</v>
      </c>
      <c r="C2271" t="s">
        <v>104</v>
      </c>
      <c r="D2271">
        <v>1</v>
      </c>
      <c r="E2271">
        <v>100</v>
      </c>
      <c r="F2271" t="s">
        <v>1</v>
      </c>
      <c r="G2271" s="6">
        <v>45796</v>
      </c>
      <c r="H2271">
        <v>41</v>
      </c>
      <c r="I2271">
        <f>ROUND(CompilDonnées[[#This Row],[CultureDuration_days]]/7,0)</f>
        <v>6</v>
      </c>
      <c r="J2271">
        <v>2989</v>
      </c>
      <c r="K2271" t="str">
        <f>_xlfn.CONCAT(WEEKNUM(CompilDonnées[[#This Row],[PlantationDate]]), " ", YEAR(CompilDonnées[[#This Row],[PlantationDate]]))</f>
        <v>15 2025</v>
      </c>
      <c r="L2271" t="str">
        <f>CONCATENATE(MONTH(CompilDonnées[[#This Row],[PlantationDate]])," ", YEAR(CompilDonnées[[#This Row],[PlantationDate]]))</f>
        <v>4 2025</v>
      </c>
      <c r="M2271" t="str">
        <f>CONCATENATE(MONTH(CompilDonnées[[#This Row],[HarvestingDate]])," ", YEAR(CompilDonnées[[#This Row],[HarvestingDate]]))</f>
        <v>5 2025</v>
      </c>
      <c r="N2271">
        <f>_xlfn.NUMBERVALUE(CompilDonnées[[#This Row],[FarmID]]&amp;CompilDonnées[[#This Row],[ModuleNumber]]&amp;CompilDonnées[[#This Row],[PlantationDate]])</f>
        <v>33145755</v>
      </c>
      <c r="O2271" t="str">
        <f>CompilDonnées[[#This Row],[FarmID]]&amp;CompilDonnées[[#This Row],[ModuleNumber]]</f>
        <v>331</v>
      </c>
      <c r="P2271" t="str">
        <f>CompilDonnées[[#This Row],[Ref_Module]]&amp;CompilDonnées[[#This Row],[HarvestingDate]]</f>
        <v>33145796</v>
      </c>
    </row>
    <row r="2272" spans="1:16">
      <c r="A2272" s="5">
        <v>45755</v>
      </c>
      <c r="B2272">
        <v>1</v>
      </c>
      <c r="C2272" t="s">
        <v>111</v>
      </c>
      <c r="D2272">
        <v>3</v>
      </c>
      <c r="E2272">
        <v>100</v>
      </c>
      <c r="F2272" t="s">
        <v>1</v>
      </c>
      <c r="G2272" s="6">
        <v>45796</v>
      </c>
      <c r="H2272">
        <v>41</v>
      </c>
      <c r="I2272">
        <f>ROUND(CompilDonnées[[#This Row],[CultureDuration_days]]/7,0)</f>
        <v>6</v>
      </c>
      <c r="J2272">
        <v>3117</v>
      </c>
      <c r="K2272" t="str">
        <f>_xlfn.CONCAT(WEEKNUM(CompilDonnées[[#This Row],[PlantationDate]]), " ", YEAR(CompilDonnées[[#This Row],[PlantationDate]]))</f>
        <v>15 2025</v>
      </c>
      <c r="L2272" t="str">
        <f>CONCATENATE(MONTH(CompilDonnées[[#This Row],[PlantationDate]])," ", YEAR(CompilDonnées[[#This Row],[PlantationDate]]))</f>
        <v>4 2025</v>
      </c>
      <c r="M2272" t="str">
        <f>CONCATENATE(MONTH(CompilDonnées[[#This Row],[HarvestingDate]])," ", YEAR(CompilDonnées[[#This Row],[HarvestingDate]]))</f>
        <v>5 2025</v>
      </c>
      <c r="N2272">
        <f>_xlfn.NUMBERVALUE(CompilDonnées[[#This Row],[FarmID]]&amp;CompilDonnées[[#This Row],[ModuleNumber]]&amp;CompilDonnées[[#This Row],[PlantationDate]])</f>
        <v>1345755</v>
      </c>
      <c r="O2272" t="str">
        <f>CompilDonnées[[#This Row],[FarmID]]&amp;CompilDonnées[[#This Row],[ModuleNumber]]</f>
        <v>13</v>
      </c>
      <c r="P2272" t="str">
        <f>CompilDonnées[[#This Row],[Ref_Module]]&amp;CompilDonnées[[#This Row],[HarvestingDate]]</f>
        <v>1345796</v>
      </c>
    </row>
    <row r="2273" spans="1:16">
      <c r="A2273" s="5">
        <v>45755</v>
      </c>
      <c r="B2273">
        <v>3</v>
      </c>
      <c r="C2273" t="s">
        <v>116</v>
      </c>
      <c r="D2273">
        <v>5</v>
      </c>
      <c r="E2273">
        <v>100</v>
      </c>
      <c r="F2273" t="s">
        <v>1</v>
      </c>
      <c r="G2273" s="6">
        <v>45796</v>
      </c>
      <c r="H2273">
        <v>41</v>
      </c>
      <c r="I2273">
        <f>ROUND(CompilDonnées[[#This Row],[CultureDuration_days]]/7,0)</f>
        <v>6</v>
      </c>
      <c r="J2273">
        <v>2674</v>
      </c>
      <c r="K2273" t="str">
        <f>_xlfn.CONCAT(WEEKNUM(CompilDonnées[[#This Row],[PlantationDate]]), " ", YEAR(CompilDonnées[[#This Row],[PlantationDate]]))</f>
        <v>15 2025</v>
      </c>
      <c r="L2273" t="str">
        <f>CONCATENATE(MONTH(CompilDonnées[[#This Row],[PlantationDate]])," ", YEAR(CompilDonnées[[#This Row],[PlantationDate]]))</f>
        <v>4 2025</v>
      </c>
      <c r="M2273" t="str">
        <f>CONCATENATE(MONTH(CompilDonnées[[#This Row],[HarvestingDate]])," ", YEAR(CompilDonnées[[#This Row],[HarvestingDate]]))</f>
        <v>5 2025</v>
      </c>
      <c r="N2273">
        <f>_xlfn.NUMBERVALUE(CompilDonnées[[#This Row],[FarmID]]&amp;CompilDonnées[[#This Row],[ModuleNumber]]&amp;CompilDonnées[[#This Row],[PlantationDate]])</f>
        <v>3545755</v>
      </c>
      <c r="O2273" t="str">
        <f>CompilDonnées[[#This Row],[FarmID]]&amp;CompilDonnées[[#This Row],[ModuleNumber]]</f>
        <v>35</v>
      </c>
      <c r="P2273" t="str">
        <f>CompilDonnées[[#This Row],[Ref_Module]]&amp;CompilDonnées[[#This Row],[HarvestingDate]]</f>
        <v>3545796</v>
      </c>
    </row>
    <row r="2274" spans="1:16">
      <c r="A2274" s="5">
        <v>45755</v>
      </c>
      <c r="B2274">
        <v>4</v>
      </c>
      <c r="C2274" t="s">
        <v>74</v>
      </c>
      <c r="D2274">
        <v>5</v>
      </c>
      <c r="E2274">
        <v>100</v>
      </c>
      <c r="F2274" t="s">
        <v>1</v>
      </c>
      <c r="G2274" s="6">
        <v>45796</v>
      </c>
      <c r="H2274">
        <v>41</v>
      </c>
      <c r="I2274">
        <f>ROUND(CompilDonnées[[#This Row],[CultureDuration_days]]/7,0)</f>
        <v>6</v>
      </c>
      <c r="J2274">
        <v>2430</v>
      </c>
      <c r="K2274" t="str">
        <f>_xlfn.CONCAT(WEEKNUM(CompilDonnées[[#This Row],[PlantationDate]]), " ", YEAR(CompilDonnées[[#This Row],[PlantationDate]]))</f>
        <v>15 2025</v>
      </c>
      <c r="L2274" t="str">
        <f>CONCATENATE(MONTH(CompilDonnées[[#This Row],[PlantationDate]])," ", YEAR(CompilDonnées[[#This Row],[PlantationDate]]))</f>
        <v>4 2025</v>
      </c>
      <c r="M2274" t="str">
        <f>CONCATENATE(MONTH(CompilDonnées[[#This Row],[HarvestingDate]])," ", YEAR(CompilDonnées[[#This Row],[HarvestingDate]]))</f>
        <v>5 2025</v>
      </c>
      <c r="N2274">
        <f>_xlfn.NUMBERVALUE(CompilDonnées[[#This Row],[FarmID]]&amp;CompilDonnées[[#This Row],[ModuleNumber]]&amp;CompilDonnées[[#This Row],[PlantationDate]])</f>
        <v>4545755</v>
      </c>
      <c r="O2274" t="str">
        <f>CompilDonnées[[#This Row],[FarmID]]&amp;CompilDonnées[[#This Row],[ModuleNumber]]</f>
        <v>45</v>
      </c>
      <c r="P2274" t="str">
        <f>CompilDonnées[[#This Row],[Ref_Module]]&amp;CompilDonnées[[#This Row],[HarvestingDate]]</f>
        <v>4545796</v>
      </c>
    </row>
    <row r="2275" spans="1:16">
      <c r="A2275" s="5">
        <v>45755</v>
      </c>
      <c r="B2275">
        <v>5</v>
      </c>
      <c r="C2275" t="s">
        <v>32</v>
      </c>
      <c r="D2275">
        <v>2</v>
      </c>
      <c r="E2275">
        <v>100</v>
      </c>
      <c r="F2275" t="s">
        <v>1</v>
      </c>
      <c r="G2275" s="6">
        <v>45796</v>
      </c>
      <c r="H2275">
        <v>41</v>
      </c>
      <c r="I2275">
        <f>ROUND(CompilDonnées[[#This Row],[CultureDuration_days]]/7,0)</f>
        <v>6</v>
      </c>
      <c r="J2275">
        <v>3113</v>
      </c>
      <c r="K2275" t="str">
        <f>_xlfn.CONCAT(WEEKNUM(CompilDonnées[[#This Row],[PlantationDate]]), " ", YEAR(CompilDonnées[[#This Row],[PlantationDate]]))</f>
        <v>15 2025</v>
      </c>
      <c r="L2275" t="str">
        <f>CONCATENATE(MONTH(CompilDonnées[[#This Row],[PlantationDate]])," ", YEAR(CompilDonnées[[#This Row],[PlantationDate]]))</f>
        <v>4 2025</v>
      </c>
      <c r="M2275" t="str">
        <f>CONCATENATE(MONTH(CompilDonnées[[#This Row],[HarvestingDate]])," ", YEAR(CompilDonnées[[#This Row],[HarvestingDate]]))</f>
        <v>5 2025</v>
      </c>
      <c r="N2275">
        <f>_xlfn.NUMBERVALUE(CompilDonnées[[#This Row],[FarmID]]&amp;CompilDonnées[[#This Row],[ModuleNumber]]&amp;CompilDonnées[[#This Row],[PlantationDate]])</f>
        <v>5245755</v>
      </c>
      <c r="O2275" t="str">
        <f>CompilDonnées[[#This Row],[FarmID]]&amp;CompilDonnées[[#This Row],[ModuleNumber]]</f>
        <v>52</v>
      </c>
      <c r="P2275" t="str">
        <f>CompilDonnées[[#This Row],[Ref_Module]]&amp;CompilDonnées[[#This Row],[HarvestingDate]]</f>
        <v>5245796</v>
      </c>
    </row>
    <row r="2276" spans="1:16">
      <c r="A2276" s="5">
        <v>45755</v>
      </c>
      <c r="B2276">
        <v>6</v>
      </c>
      <c r="C2276" t="s">
        <v>24</v>
      </c>
      <c r="D2276">
        <v>1</v>
      </c>
      <c r="E2276">
        <v>100</v>
      </c>
      <c r="F2276" t="s">
        <v>1</v>
      </c>
      <c r="G2276" s="6">
        <v>45796</v>
      </c>
      <c r="H2276">
        <v>41</v>
      </c>
      <c r="I2276">
        <f>ROUND(CompilDonnées[[#This Row],[CultureDuration_days]]/7,0)</f>
        <v>6</v>
      </c>
      <c r="J2276">
        <v>3237</v>
      </c>
      <c r="K2276" t="str">
        <f>_xlfn.CONCAT(WEEKNUM(CompilDonnées[[#This Row],[PlantationDate]]), " ", YEAR(CompilDonnées[[#This Row],[PlantationDate]]))</f>
        <v>15 2025</v>
      </c>
      <c r="L2276" t="str">
        <f>CONCATENATE(MONTH(CompilDonnées[[#This Row],[PlantationDate]])," ", YEAR(CompilDonnées[[#This Row],[PlantationDate]]))</f>
        <v>4 2025</v>
      </c>
      <c r="M2276" t="str">
        <f>CONCATENATE(MONTH(CompilDonnées[[#This Row],[HarvestingDate]])," ", YEAR(CompilDonnées[[#This Row],[HarvestingDate]]))</f>
        <v>5 2025</v>
      </c>
      <c r="N2276">
        <f>_xlfn.NUMBERVALUE(CompilDonnées[[#This Row],[FarmID]]&amp;CompilDonnées[[#This Row],[ModuleNumber]]&amp;CompilDonnées[[#This Row],[PlantationDate]])</f>
        <v>6145755</v>
      </c>
      <c r="O2276" t="str">
        <f>CompilDonnées[[#This Row],[FarmID]]&amp;CompilDonnées[[#This Row],[ModuleNumber]]</f>
        <v>61</v>
      </c>
      <c r="P2276" t="str">
        <f>CompilDonnées[[#This Row],[Ref_Module]]&amp;CompilDonnées[[#This Row],[HarvestingDate]]</f>
        <v>6145796</v>
      </c>
    </row>
    <row r="2277" spans="1:16">
      <c r="A2277" s="5">
        <v>45755</v>
      </c>
      <c r="B2277">
        <v>7</v>
      </c>
      <c r="C2277" t="s">
        <v>50</v>
      </c>
      <c r="D2277">
        <v>2</v>
      </c>
      <c r="E2277">
        <v>99</v>
      </c>
      <c r="F2277" t="s">
        <v>1</v>
      </c>
      <c r="G2277" s="6">
        <v>45806</v>
      </c>
      <c r="H2277">
        <v>51</v>
      </c>
      <c r="I2277">
        <f>ROUND(CompilDonnées[[#This Row],[CultureDuration_days]]/7,0)</f>
        <v>7</v>
      </c>
      <c r="J2277">
        <v>2115</v>
      </c>
      <c r="K2277" t="str">
        <f>_xlfn.CONCAT(WEEKNUM(CompilDonnées[[#This Row],[PlantationDate]]), " ", YEAR(CompilDonnées[[#This Row],[PlantationDate]]))</f>
        <v>15 2025</v>
      </c>
      <c r="L2277" t="str">
        <f>CONCATENATE(MONTH(CompilDonnées[[#This Row],[PlantationDate]])," ", YEAR(CompilDonnées[[#This Row],[PlantationDate]]))</f>
        <v>4 2025</v>
      </c>
      <c r="M2277" t="str">
        <f>CONCATENATE(MONTH(CompilDonnées[[#This Row],[HarvestingDate]])," ", YEAR(CompilDonnées[[#This Row],[HarvestingDate]]))</f>
        <v>5 2025</v>
      </c>
      <c r="N2277">
        <f>_xlfn.NUMBERVALUE(CompilDonnées[[#This Row],[FarmID]]&amp;CompilDonnées[[#This Row],[ModuleNumber]]&amp;CompilDonnées[[#This Row],[PlantationDate]])</f>
        <v>7245755</v>
      </c>
      <c r="O2277" t="str">
        <f>CompilDonnées[[#This Row],[FarmID]]&amp;CompilDonnées[[#This Row],[ModuleNumber]]</f>
        <v>72</v>
      </c>
      <c r="P2277" t="str">
        <f>CompilDonnées[[#This Row],[Ref_Module]]&amp;CompilDonnées[[#This Row],[HarvestingDate]]</f>
        <v>7245806</v>
      </c>
    </row>
    <row r="2278" spans="1:16">
      <c r="A2278" s="5">
        <v>45755</v>
      </c>
      <c r="B2278">
        <v>8</v>
      </c>
      <c r="C2278" t="s">
        <v>57</v>
      </c>
      <c r="D2278">
        <v>1</v>
      </c>
      <c r="E2278">
        <v>100</v>
      </c>
      <c r="F2278" t="s">
        <v>1</v>
      </c>
      <c r="G2278" s="6">
        <v>45807</v>
      </c>
      <c r="H2278">
        <v>52</v>
      </c>
      <c r="I2278">
        <f>ROUND(CompilDonnées[[#This Row],[CultureDuration_days]]/7,0)</f>
        <v>7</v>
      </c>
      <c r="J2278">
        <v>2640</v>
      </c>
      <c r="K2278" t="str">
        <f>_xlfn.CONCAT(WEEKNUM(CompilDonnées[[#This Row],[PlantationDate]]), " ", YEAR(CompilDonnées[[#This Row],[PlantationDate]]))</f>
        <v>15 2025</v>
      </c>
      <c r="L2278" t="str">
        <f>CONCATENATE(MONTH(CompilDonnées[[#This Row],[PlantationDate]])," ", YEAR(CompilDonnées[[#This Row],[PlantationDate]]))</f>
        <v>4 2025</v>
      </c>
      <c r="M2278" t="str">
        <f>CONCATENATE(MONTH(CompilDonnées[[#This Row],[HarvestingDate]])," ", YEAR(CompilDonnées[[#This Row],[HarvestingDate]]))</f>
        <v>5 2025</v>
      </c>
      <c r="N2278">
        <f>_xlfn.NUMBERVALUE(CompilDonnées[[#This Row],[FarmID]]&amp;CompilDonnées[[#This Row],[ModuleNumber]]&amp;CompilDonnées[[#This Row],[PlantationDate]])</f>
        <v>8145755</v>
      </c>
      <c r="O2278" t="str">
        <f>CompilDonnées[[#This Row],[FarmID]]&amp;CompilDonnées[[#This Row],[ModuleNumber]]</f>
        <v>81</v>
      </c>
      <c r="P2278" t="str">
        <f>CompilDonnées[[#This Row],[Ref_Module]]&amp;CompilDonnées[[#This Row],[HarvestingDate]]</f>
        <v>8145807</v>
      </c>
    </row>
    <row r="2279" spans="1:16">
      <c r="A2279" s="5">
        <v>45755</v>
      </c>
      <c r="B2279">
        <v>9</v>
      </c>
      <c r="C2279" t="s">
        <v>107</v>
      </c>
      <c r="D2279">
        <v>4</v>
      </c>
      <c r="E2279">
        <v>100</v>
      </c>
      <c r="F2279" t="s">
        <v>1</v>
      </c>
      <c r="G2279" s="6">
        <v>45794</v>
      </c>
      <c r="H2279">
        <v>39</v>
      </c>
      <c r="I2279">
        <f>ROUND(CompilDonnées[[#This Row],[CultureDuration_days]]/7,0)</f>
        <v>6</v>
      </c>
      <c r="J2279">
        <v>2449</v>
      </c>
      <c r="K2279" t="str">
        <f>_xlfn.CONCAT(WEEKNUM(CompilDonnées[[#This Row],[PlantationDate]]), " ", YEAR(CompilDonnées[[#This Row],[PlantationDate]]))</f>
        <v>15 2025</v>
      </c>
      <c r="L2279" t="str">
        <f>CONCATENATE(MONTH(CompilDonnées[[#This Row],[PlantationDate]])," ", YEAR(CompilDonnées[[#This Row],[PlantationDate]]))</f>
        <v>4 2025</v>
      </c>
      <c r="M2279" t="str">
        <f>CONCATENATE(MONTH(CompilDonnées[[#This Row],[HarvestingDate]])," ", YEAR(CompilDonnées[[#This Row],[HarvestingDate]]))</f>
        <v>5 2025</v>
      </c>
      <c r="N2279">
        <f>_xlfn.NUMBERVALUE(CompilDonnées[[#This Row],[FarmID]]&amp;CompilDonnées[[#This Row],[ModuleNumber]]&amp;CompilDonnées[[#This Row],[PlantationDate]])</f>
        <v>9445755</v>
      </c>
      <c r="O2279" t="str">
        <f>CompilDonnées[[#This Row],[FarmID]]&amp;CompilDonnées[[#This Row],[ModuleNumber]]</f>
        <v>94</v>
      </c>
      <c r="P2279" t="str">
        <f>CompilDonnées[[#This Row],[Ref_Module]]&amp;CompilDonnées[[#This Row],[HarvestingDate]]</f>
        <v>9445794</v>
      </c>
    </row>
    <row r="2280" spans="1:16">
      <c r="A2280" s="5">
        <v>45755</v>
      </c>
      <c r="B2280">
        <v>10</v>
      </c>
      <c r="C2280" t="s">
        <v>109</v>
      </c>
      <c r="D2280">
        <v>3</v>
      </c>
      <c r="E2280">
        <v>100</v>
      </c>
      <c r="F2280" t="s">
        <v>1</v>
      </c>
      <c r="G2280" s="6">
        <v>45806</v>
      </c>
      <c r="H2280">
        <v>51</v>
      </c>
      <c r="I2280">
        <f>ROUND(CompilDonnées[[#This Row],[CultureDuration_days]]/7,0)</f>
        <v>7</v>
      </c>
      <c r="J2280">
        <v>2405</v>
      </c>
      <c r="K2280" t="str">
        <f>_xlfn.CONCAT(WEEKNUM(CompilDonnées[[#This Row],[PlantationDate]]), " ", YEAR(CompilDonnées[[#This Row],[PlantationDate]]))</f>
        <v>15 2025</v>
      </c>
      <c r="L2280" t="str">
        <f>CONCATENATE(MONTH(CompilDonnées[[#This Row],[PlantationDate]])," ", YEAR(CompilDonnées[[#This Row],[PlantationDate]]))</f>
        <v>4 2025</v>
      </c>
      <c r="M2280" t="str">
        <f>CONCATENATE(MONTH(CompilDonnées[[#This Row],[HarvestingDate]])," ", YEAR(CompilDonnées[[#This Row],[HarvestingDate]]))</f>
        <v>5 2025</v>
      </c>
      <c r="N2280">
        <f>_xlfn.NUMBERVALUE(CompilDonnées[[#This Row],[FarmID]]&amp;CompilDonnées[[#This Row],[ModuleNumber]]&amp;CompilDonnées[[#This Row],[PlantationDate]])</f>
        <v>10345755</v>
      </c>
      <c r="O2280" t="str">
        <f>CompilDonnées[[#This Row],[FarmID]]&amp;CompilDonnées[[#This Row],[ModuleNumber]]</f>
        <v>103</v>
      </c>
      <c r="P2280" t="str">
        <f>CompilDonnées[[#This Row],[Ref_Module]]&amp;CompilDonnées[[#This Row],[HarvestingDate]]</f>
        <v>10345806</v>
      </c>
    </row>
    <row r="2281" spans="1:16">
      <c r="A2281" s="5">
        <v>45755</v>
      </c>
      <c r="B2281">
        <v>10</v>
      </c>
      <c r="C2281" t="s">
        <v>109</v>
      </c>
      <c r="D2281">
        <v>4</v>
      </c>
      <c r="E2281">
        <v>100</v>
      </c>
      <c r="F2281" t="s">
        <v>1</v>
      </c>
      <c r="G2281" s="6">
        <v>45806</v>
      </c>
      <c r="H2281">
        <v>51</v>
      </c>
      <c r="I2281">
        <f>ROUND(CompilDonnées[[#This Row],[CultureDuration_days]]/7,0)</f>
        <v>7</v>
      </c>
      <c r="J2281">
        <v>2406</v>
      </c>
      <c r="K2281" t="str">
        <f>_xlfn.CONCAT(WEEKNUM(CompilDonnées[[#This Row],[PlantationDate]]), " ", YEAR(CompilDonnées[[#This Row],[PlantationDate]]))</f>
        <v>15 2025</v>
      </c>
      <c r="L2281" t="str">
        <f>CONCATENATE(MONTH(CompilDonnées[[#This Row],[PlantationDate]])," ", YEAR(CompilDonnées[[#This Row],[PlantationDate]]))</f>
        <v>4 2025</v>
      </c>
      <c r="M2281" t="str">
        <f>CONCATENATE(MONTH(CompilDonnées[[#This Row],[HarvestingDate]])," ", YEAR(CompilDonnées[[#This Row],[HarvestingDate]]))</f>
        <v>5 2025</v>
      </c>
      <c r="N2281">
        <f>_xlfn.NUMBERVALUE(CompilDonnées[[#This Row],[FarmID]]&amp;CompilDonnées[[#This Row],[ModuleNumber]]&amp;CompilDonnées[[#This Row],[PlantationDate]])</f>
        <v>10445755</v>
      </c>
      <c r="O2281" t="str">
        <f>CompilDonnées[[#This Row],[FarmID]]&amp;CompilDonnées[[#This Row],[ModuleNumber]]</f>
        <v>104</v>
      </c>
      <c r="P2281" t="str">
        <f>CompilDonnées[[#This Row],[Ref_Module]]&amp;CompilDonnées[[#This Row],[HarvestingDate]]</f>
        <v>10445806</v>
      </c>
    </row>
    <row r="2282" spans="1:16">
      <c r="A2282" s="5">
        <v>45755</v>
      </c>
      <c r="B2282">
        <v>11</v>
      </c>
      <c r="C2282" t="s">
        <v>106</v>
      </c>
      <c r="D2282">
        <v>1</v>
      </c>
      <c r="E2282">
        <v>100</v>
      </c>
      <c r="F2282" t="s">
        <v>1</v>
      </c>
      <c r="G2282" s="6">
        <v>45794</v>
      </c>
      <c r="H2282">
        <v>39</v>
      </c>
      <c r="I2282">
        <f>ROUND(CompilDonnées[[#This Row],[CultureDuration_days]]/7,0)</f>
        <v>6</v>
      </c>
      <c r="J2282">
        <v>2081</v>
      </c>
      <c r="K2282" t="str">
        <f>_xlfn.CONCAT(WEEKNUM(CompilDonnées[[#This Row],[PlantationDate]]), " ", YEAR(CompilDonnées[[#This Row],[PlantationDate]]))</f>
        <v>15 2025</v>
      </c>
      <c r="L2282" t="str">
        <f>CONCATENATE(MONTH(CompilDonnées[[#This Row],[PlantationDate]])," ", YEAR(CompilDonnées[[#This Row],[PlantationDate]]))</f>
        <v>4 2025</v>
      </c>
      <c r="M2282" t="str">
        <f>CONCATENATE(MONTH(CompilDonnées[[#This Row],[HarvestingDate]])," ", YEAR(CompilDonnées[[#This Row],[HarvestingDate]]))</f>
        <v>5 2025</v>
      </c>
      <c r="N2282">
        <f>_xlfn.NUMBERVALUE(CompilDonnées[[#This Row],[FarmID]]&amp;CompilDonnées[[#This Row],[ModuleNumber]]&amp;CompilDonnées[[#This Row],[PlantationDate]])</f>
        <v>11145755</v>
      </c>
      <c r="O2282" t="str">
        <f>CompilDonnées[[#This Row],[FarmID]]&amp;CompilDonnées[[#This Row],[ModuleNumber]]</f>
        <v>111</v>
      </c>
      <c r="P2282" t="str">
        <f>CompilDonnées[[#This Row],[Ref_Module]]&amp;CompilDonnées[[#This Row],[HarvestingDate]]</f>
        <v>11145794</v>
      </c>
    </row>
    <row r="2283" spans="1:16">
      <c r="A2283" s="5">
        <v>45755</v>
      </c>
      <c r="B2283">
        <v>16</v>
      </c>
      <c r="C2283" t="s">
        <v>112</v>
      </c>
      <c r="D2283">
        <v>5</v>
      </c>
      <c r="E2283">
        <v>100</v>
      </c>
      <c r="F2283" t="s">
        <v>1</v>
      </c>
      <c r="G2283" s="6">
        <v>45796</v>
      </c>
      <c r="H2283">
        <v>41</v>
      </c>
      <c r="I2283">
        <f>ROUND(CompilDonnées[[#This Row],[CultureDuration_days]]/7,0)</f>
        <v>6</v>
      </c>
      <c r="J2283">
        <v>3011</v>
      </c>
      <c r="K2283" t="str">
        <f>_xlfn.CONCAT(WEEKNUM(CompilDonnées[[#This Row],[PlantationDate]]), " ", YEAR(CompilDonnées[[#This Row],[PlantationDate]]))</f>
        <v>15 2025</v>
      </c>
      <c r="L2283" t="str">
        <f>CONCATENATE(MONTH(CompilDonnées[[#This Row],[PlantationDate]])," ", YEAR(CompilDonnées[[#This Row],[PlantationDate]]))</f>
        <v>4 2025</v>
      </c>
      <c r="M2283" t="str">
        <f>CONCATENATE(MONTH(CompilDonnées[[#This Row],[HarvestingDate]])," ", YEAR(CompilDonnées[[#This Row],[HarvestingDate]]))</f>
        <v>5 2025</v>
      </c>
      <c r="N2283">
        <f>_xlfn.NUMBERVALUE(CompilDonnées[[#This Row],[FarmID]]&amp;CompilDonnées[[#This Row],[ModuleNumber]]&amp;CompilDonnées[[#This Row],[PlantationDate]])</f>
        <v>16545755</v>
      </c>
      <c r="O2283" t="str">
        <f>CompilDonnées[[#This Row],[FarmID]]&amp;CompilDonnées[[#This Row],[ModuleNumber]]</f>
        <v>165</v>
      </c>
      <c r="P2283" t="str">
        <f>CompilDonnées[[#This Row],[Ref_Module]]&amp;CompilDonnées[[#This Row],[HarvestingDate]]</f>
        <v>16545796</v>
      </c>
    </row>
    <row r="2284" spans="1:16">
      <c r="A2284" s="5">
        <v>45755</v>
      </c>
      <c r="B2284">
        <v>17</v>
      </c>
      <c r="C2284" t="s">
        <v>80</v>
      </c>
      <c r="D2284">
        <v>3</v>
      </c>
      <c r="E2284">
        <v>100</v>
      </c>
      <c r="F2284" t="s">
        <v>1</v>
      </c>
      <c r="G2284" s="6">
        <v>45796</v>
      </c>
      <c r="H2284">
        <v>41</v>
      </c>
      <c r="I2284">
        <f>ROUND(CompilDonnées[[#This Row],[CultureDuration_days]]/7,0)</f>
        <v>6</v>
      </c>
      <c r="J2284">
        <v>3167</v>
      </c>
      <c r="K2284" t="str">
        <f>_xlfn.CONCAT(WEEKNUM(CompilDonnées[[#This Row],[PlantationDate]]), " ", YEAR(CompilDonnées[[#This Row],[PlantationDate]]))</f>
        <v>15 2025</v>
      </c>
      <c r="L2284" t="str">
        <f>CONCATENATE(MONTH(CompilDonnées[[#This Row],[PlantationDate]])," ", YEAR(CompilDonnées[[#This Row],[PlantationDate]]))</f>
        <v>4 2025</v>
      </c>
      <c r="M2284" t="str">
        <f>CONCATENATE(MONTH(CompilDonnées[[#This Row],[HarvestingDate]])," ", YEAR(CompilDonnées[[#This Row],[HarvestingDate]]))</f>
        <v>5 2025</v>
      </c>
      <c r="N2284">
        <f>_xlfn.NUMBERVALUE(CompilDonnées[[#This Row],[FarmID]]&amp;CompilDonnées[[#This Row],[ModuleNumber]]&amp;CompilDonnées[[#This Row],[PlantationDate]])</f>
        <v>17345755</v>
      </c>
      <c r="O2284" t="str">
        <f>CompilDonnées[[#This Row],[FarmID]]&amp;CompilDonnées[[#This Row],[ModuleNumber]]</f>
        <v>173</v>
      </c>
      <c r="P2284" t="str">
        <f>CompilDonnées[[#This Row],[Ref_Module]]&amp;CompilDonnées[[#This Row],[HarvestingDate]]</f>
        <v>17345796</v>
      </c>
    </row>
    <row r="2285" spans="1:16">
      <c r="A2285" s="5">
        <v>45755</v>
      </c>
      <c r="B2285">
        <v>17</v>
      </c>
      <c r="C2285" t="s">
        <v>80</v>
      </c>
      <c r="D2285">
        <v>4</v>
      </c>
      <c r="E2285">
        <v>100</v>
      </c>
      <c r="F2285" t="s">
        <v>1</v>
      </c>
      <c r="G2285" s="6">
        <v>45796</v>
      </c>
      <c r="H2285">
        <v>41</v>
      </c>
      <c r="I2285">
        <f>ROUND(CompilDonnées[[#This Row],[CultureDuration_days]]/7,0)</f>
        <v>6</v>
      </c>
      <c r="J2285">
        <v>3157</v>
      </c>
      <c r="K2285" t="str">
        <f>_xlfn.CONCAT(WEEKNUM(CompilDonnées[[#This Row],[PlantationDate]]), " ", YEAR(CompilDonnées[[#This Row],[PlantationDate]]))</f>
        <v>15 2025</v>
      </c>
      <c r="L2285" t="str">
        <f>CONCATENATE(MONTH(CompilDonnées[[#This Row],[PlantationDate]])," ", YEAR(CompilDonnées[[#This Row],[PlantationDate]]))</f>
        <v>4 2025</v>
      </c>
      <c r="M2285" t="str">
        <f>CONCATENATE(MONTH(CompilDonnées[[#This Row],[HarvestingDate]])," ", YEAR(CompilDonnées[[#This Row],[HarvestingDate]]))</f>
        <v>5 2025</v>
      </c>
      <c r="N2285">
        <f>_xlfn.NUMBERVALUE(CompilDonnées[[#This Row],[FarmID]]&amp;CompilDonnées[[#This Row],[ModuleNumber]]&amp;CompilDonnées[[#This Row],[PlantationDate]])</f>
        <v>17445755</v>
      </c>
      <c r="O2285" t="str">
        <f>CompilDonnées[[#This Row],[FarmID]]&amp;CompilDonnées[[#This Row],[ModuleNumber]]</f>
        <v>174</v>
      </c>
      <c r="P2285" t="str">
        <f>CompilDonnées[[#This Row],[Ref_Module]]&amp;CompilDonnées[[#This Row],[HarvestingDate]]</f>
        <v>17445796</v>
      </c>
    </row>
    <row r="2286" spans="1:16">
      <c r="A2286" s="5">
        <v>45755</v>
      </c>
      <c r="B2286">
        <v>18</v>
      </c>
      <c r="C2286" t="s">
        <v>33</v>
      </c>
      <c r="D2286">
        <v>3</v>
      </c>
      <c r="E2286">
        <v>100</v>
      </c>
      <c r="F2286" t="s">
        <v>1</v>
      </c>
      <c r="G2286" s="6">
        <v>45796</v>
      </c>
      <c r="H2286">
        <v>41</v>
      </c>
      <c r="I2286">
        <f>ROUND(CompilDonnées[[#This Row],[CultureDuration_days]]/7,0)</f>
        <v>6</v>
      </c>
      <c r="J2286">
        <v>3471</v>
      </c>
      <c r="K2286" t="str">
        <f>_xlfn.CONCAT(WEEKNUM(CompilDonnées[[#This Row],[PlantationDate]]), " ", YEAR(CompilDonnées[[#This Row],[PlantationDate]]))</f>
        <v>15 2025</v>
      </c>
      <c r="L2286" t="str">
        <f>CONCATENATE(MONTH(CompilDonnées[[#This Row],[PlantationDate]])," ", YEAR(CompilDonnées[[#This Row],[PlantationDate]]))</f>
        <v>4 2025</v>
      </c>
      <c r="M2286" t="str">
        <f>CONCATENATE(MONTH(CompilDonnées[[#This Row],[HarvestingDate]])," ", YEAR(CompilDonnées[[#This Row],[HarvestingDate]]))</f>
        <v>5 2025</v>
      </c>
      <c r="N2286">
        <f>_xlfn.NUMBERVALUE(CompilDonnées[[#This Row],[FarmID]]&amp;CompilDonnées[[#This Row],[ModuleNumber]]&amp;CompilDonnées[[#This Row],[PlantationDate]])</f>
        <v>18345755</v>
      </c>
      <c r="O2286" t="str">
        <f>CompilDonnées[[#This Row],[FarmID]]&amp;CompilDonnées[[#This Row],[ModuleNumber]]</f>
        <v>183</v>
      </c>
      <c r="P2286" t="str">
        <f>CompilDonnées[[#This Row],[Ref_Module]]&amp;CompilDonnées[[#This Row],[HarvestingDate]]</f>
        <v>18345796</v>
      </c>
    </row>
    <row r="2287" spans="1:16">
      <c r="A2287" s="5">
        <v>45755</v>
      </c>
      <c r="B2287">
        <v>20</v>
      </c>
      <c r="C2287" t="s">
        <v>53</v>
      </c>
      <c r="D2287">
        <v>1</v>
      </c>
      <c r="E2287">
        <v>100</v>
      </c>
      <c r="F2287" t="s">
        <v>1</v>
      </c>
      <c r="G2287" s="6">
        <v>45806</v>
      </c>
      <c r="H2287">
        <v>51</v>
      </c>
      <c r="I2287">
        <f>ROUND(CompilDonnées[[#This Row],[CultureDuration_days]]/7,0)</f>
        <v>7</v>
      </c>
      <c r="J2287">
        <v>2550</v>
      </c>
      <c r="K2287" t="str">
        <f>_xlfn.CONCAT(WEEKNUM(CompilDonnées[[#This Row],[PlantationDate]]), " ", YEAR(CompilDonnées[[#This Row],[PlantationDate]]))</f>
        <v>15 2025</v>
      </c>
      <c r="L2287" t="str">
        <f>CONCATENATE(MONTH(CompilDonnées[[#This Row],[PlantationDate]])," ", YEAR(CompilDonnées[[#This Row],[PlantationDate]]))</f>
        <v>4 2025</v>
      </c>
      <c r="M2287" t="str">
        <f>CONCATENATE(MONTH(CompilDonnées[[#This Row],[HarvestingDate]])," ", YEAR(CompilDonnées[[#This Row],[HarvestingDate]]))</f>
        <v>5 2025</v>
      </c>
      <c r="N2287">
        <f>_xlfn.NUMBERVALUE(CompilDonnées[[#This Row],[FarmID]]&amp;CompilDonnées[[#This Row],[ModuleNumber]]&amp;CompilDonnées[[#This Row],[PlantationDate]])</f>
        <v>20145755</v>
      </c>
      <c r="O2287" t="str">
        <f>CompilDonnées[[#This Row],[FarmID]]&amp;CompilDonnées[[#This Row],[ModuleNumber]]</f>
        <v>201</v>
      </c>
      <c r="P2287" t="str">
        <f>CompilDonnées[[#This Row],[Ref_Module]]&amp;CompilDonnées[[#This Row],[HarvestingDate]]</f>
        <v>20145806</v>
      </c>
    </row>
    <row r="2288" spans="1:16">
      <c r="A2288" s="5">
        <v>45755</v>
      </c>
      <c r="B2288">
        <v>20</v>
      </c>
      <c r="C2288" t="s">
        <v>53</v>
      </c>
      <c r="D2288">
        <v>2</v>
      </c>
      <c r="E2288">
        <v>100</v>
      </c>
      <c r="F2288" t="s">
        <v>1</v>
      </c>
      <c r="G2288" s="6">
        <v>45806</v>
      </c>
      <c r="H2288">
        <v>51</v>
      </c>
      <c r="I2288">
        <f>ROUND(CompilDonnées[[#This Row],[CultureDuration_days]]/7,0)</f>
        <v>7</v>
      </c>
      <c r="J2288">
        <v>2744</v>
      </c>
      <c r="K2288" t="str">
        <f>_xlfn.CONCAT(WEEKNUM(CompilDonnées[[#This Row],[PlantationDate]]), " ", YEAR(CompilDonnées[[#This Row],[PlantationDate]]))</f>
        <v>15 2025</v>
      </c>
      <c r="L2288" t="str">
        <f>CONCATENATE(MONTH(CompilDonnées[[#This Row],[PlantationDate]])," ", YEAR(CompilDonnées[[#This Row],[PlantationDate]]))</f>
        <v>4 2025</v>
      </c>
      <c r="M2288" t="str">
        <f>CONCATENATE(MONTH(CompilDonnées[[#This Row],[HarvestingDate]])," ", YEAR(CompilDonnées[[#This Row],[HarvestingDate]]))</f>
        <v>5 2025</v>
      </c>
      <c r="N2288">
        <f>_xlfn.NUMBERVALUE(CompilDonnées[[#This Row],[FarmID]]&amp;CompilDonnées[[#This Row],[ModuleNumber]]&amp;CompilDonnées[[#This Row],[PlantationDate]])</f>
        <v>20245755</v>
      </c>
      <c r="O2288" t="str">
        <f>CompilDonnées[[#This Row],[FarmID]]&amp;CompilDonnées[[#This Row],[ModuleNumber]]</f>
        <v>202</v>
      </c>
      <c r="P2288" t="str">
        <f>CompilDonnées[[#This Row],[Ref_Module]]&amp;CompilDonnées[[#This Row],[HarvestingDate]]</f>
        <v>20245806</v>
      </c>
    </row>
    <row r="2289" spans="1:16">
      <c r="A2289" s="5">
        <v>45755</v>
      </c>
      <c r="B2289">
        <v>21</v>
      </c>
      <c r="C2289" t="s">
        <v>0</v>
      </c>
      <c r="D2289">
        <v>2</v>
      </c>
      <c r="E2289">
        <v>100</v>
      </c>
      <c r="F2289" t="s">
        <v>1</v>
      </c>
      <c r="G2289" s="6">
        <v>45796</v>
      </c>
      <c r="H2289">
        <v>41</v>
      </c>
      <c r="I2289">
        <f>ROUND(CompilDonnées[[#This Row],[CultureDuration_days]]/7,0)</f>
        <v>6</v>
      </c>
      <c r="J2289">
        <v>2773</v>
      </c>
      <c r="K2289" t="str">
        <f>_xlfn.CONCAT(WEEKNUM(CompilDonnées[[#This Row],[PlantationDate]]), " ", YEAR(CompilDonnées[[#This Row],[PlantationDate]]))</f>
        <v>15 2025</v>
      </c>
      <c r="L2289" t="str">
        <f>CONCATENATE(MONTH(CompilDonnées[[#This Row],[PlantationDate]])," ", YEAR(CompilDonnées[[#This Row],[PlantationDate]]))</f>
        <v>4 2025</v>
      </c>
      <c r="M2289" t="str">
        <f>CONCATENATE(MONTH(CompilDonnées[[#This Row],[HarvestingDate]])," ", YEAR(CompilDonnées[[#This Row],[HarvestingDate]]))</f>
        <v>5 2025</v>
      </c>
      <c r="N2289">
        <f>_xlfn.NUMBERVALUE(CompilDonnées[[#This Row],[FarmID]]&amp;CompilDonnées[[#This Row],[ModuleNumber]]&amp;CompilDonnées[[#This Row],[PlantationDate]])</f>
        <v>21245755</v>
      </c>
      <c r="O2289" t="str">
        <f>CompilDonnées[[#This Row],[FarmID]]&amp;CompilDonnées[[#This Row],[ModuleNumber]]</f>
        <v>212</v>
      </c>
      <c r="P2289" t="str">
        <f>CompilDonnées[[#This Row],[Ref_Module]]&amp;CompilDonnées[[#This Row],[HarvestingDate]]</f>
        <v>21245796</v>
      </c>
    </row>
    <row r="2290" spans="1:16">
      <c r="A2290" s="5">
        <v>45755</v>
      </c>
      <c r="B2290">
        <v>70</v>
      </c>
      <c r="C2290" t="s">
        <v>7</v>
      </c>
      <c r="D2290">
        <v>3</v>
      </c>
      <c r="E2290">
        <v>100</v>
      </c>
      <c r="F2290" t="s">
        <v>1</v>
      </c>
      <c r="G2290" s="6">
        <v>45798</v>
      </c>
      <c r="H2290">
        <v>43</v>
      </c>
      <c r="I2290">
        <f>ROUND(CompilDonnées[[#This Row],[CultureDuration_days]]/7,0)</f>
        <v>6</v>
      </c>
      <c r="J2290">
        <v>2412</v>
      </c>
      <c r="K2290" t="str">
        <f>_xlfn.CONCAT(WEEKNUM(CompilDonnées[[#This Row],[PlantationDate]]), " ", YEAR(CompilDonnées[[#This Row],[PlantationDate]]))</f>
        <v>15 2025</v>
      </c>
      <c r="L2290" t="str">
        <f>CONCATENATE(MONTH(CompilDonnées[[#This Row],[PlantationDate]])," ", YEAR(CompilDonnées[[#This Row],[PlantationDate]]))</f>
        <v>4 2025</v>
      </c>
      <c r="M2290" t="str">
        <f>CONCATENATE(MONTH(CompilDonnées[[#This Row],[HarvestingDate]])," ", YEAR(CompilDonnées[[#This Row],[HarvestingDate]]))</f>
        <v>5 2025</v>
      </c>
      <c r="N2290">
        <f>_xlfn.NUMBERVALUE(CompilDonnées[[#This Row],[FarmID]]&amp;CompilDonnées[[#This Row],[ModuleNumber]]&amp;CompilDonnées[[#This Row],[PlantationDate]])</f>
        <v>70345755</v>
      </c>
      <c r="O2290" t="str">
        <f>CompilDonnées[[#This Row],[FarmID]]&amp;CompilDonnées[[#This Row],[ModuleNumber]]</f>
        <v>703</v>
      </c>
      <c r="P2290" t="str">
        <f>CompilDonnées[[#This Row],[Ref_Module]]&amp;CompilDonnées[[#This Row],[HarvestingDate]]</f>
        <v>70345798</v>
      </c>
    </row>
    <row r="2291" spans="1:16">
      <c r="A2291" s="5">
        <v>45755</v>
      </c>
      <c r="B2291">
        <v>45</v>
      </c>
      <c r="C2291" t="s">
        <v>77</v>
      </c>
      <c r="D2291">
        <v>1</v>
      </c>
      <c r="E2291">
        <v>100</v>
      </c>
      <c r="F2291" t="s">
        <v>1</v>
      </c>
      <c r="G2291" s="6">
        <v>45792</v>
      </c>
      <c r="H2291">
        <v>37</v>
      </c>
      <c r="I2291">
        <f>ROUND(CompilDonnées[[#This Row],[CultureDuration_days]]/7,0)</f>
        <v>5</v>
      </c>
      <c r="J2291">
        <v>3123</v>
      </c>
      <c r="K2291" t="str">
        <f>_xlfn.CONCAT(WEEKNUM(CompilDonnées[[#This Row],[PlantationDate]]), " ", YEAR(CompilDonnées[[#This Row],[PlantationDate]]))</f>
        <v>15 2025</v>
      </c>
      <c r="L2291" t="str">
        <f>CONCATENATE(MONTH(CompilDonnées[[#This Row],[PlantationDate]])," ", YEAR(CompilDonnées[[#This Row],[PlantationDate]]))</f>
        <v>4 2025</v>
      </c>
      <c r="M2291" t="str">
        <f>CONCATENATE(MONTH(CompilDonnées[[#This Row],[HarvestingDate]])," ", YEAR(CompilDonnées[[#This Row],[HarvestingDate]]))</f>
        <v>5 2025</v>
      </c>
      <c r="N2291">
        <f>_xlfn.NUMBERVALUE(CompilDonnées[[#This Row],[FarmID]]&amp;CompilDonnées[[#This Row],[ModuleNumber]]&amp;CompilDonnées[[#This Row],[PlantationDate]])</f>
        <v>45145755</v>
      </c>
      <c r="O2291" t="str">
        <f>CompilDonnées[[#This Row],[FarmID]]&amp;CompilDonnées[[#This Row],[ModuleNumber]]</f>
        <v>451</v>
      </c>
      <c r="P2291" t="str">
        <f>CompilDonnées[[#This Row],[Ref_Module]]&amp;CompilDonnées[[#This Row],[HarvestingDate]]</f>
        <v>45145792</v>
      </c>
    </row>
    <row r="2292" spans="1:16">
      <c r="A2292" s="5">
        <v>45756</v>
      </c>
      <c r="B2292">
        <v>29</v>
      </c>
      <c r="C2292" t="s">
        <v>2</v>
      </c>
      <c r="D2292">
        <v>4</v>
      </c>
      <c r="E2292">
        <v>100</v>
      </c>
      <c r="F2292" t="s">
        <v>1</v>
      </c>
      <c r="G2292" s="6">
        <v>45796</v>
      </c>
      <c r="H2292">
        <v>40</v>
      </c>
      <c r="I2292">
        <f>ROUND(CompilDonnées[[#This Row],[CultureDuration_days]]/7,0)</f>
        <v>6</v>
      </c>
      <c r="J2292">
        <v>2758</v>
      </c>
      <c r="K2292" t="str">
        <f>_xlfn.CONCAT(WEEKNUM(CompilDonnées[[#This Row],[PlantationDate]]), " ", YEAR(CompilDonnées[[#This Row],[PlantationDate]]))</f>
        <v>15 2025</v>
      </c>
      <c r="L2292" t="str">
        <f>CONCATENATE(MONTH(CompilDonnées[[#This Row],[PlantationDate]])," ", YEAR(CompilDonnées[[#This Row],[PlantationDate]]))</f>
        <v>4 2025</v>
      </c>
      <c r="M2292" t="str">
        <f>CONCATENATE(MONTH(CompilDonnées[[#This Row],[HarvestingDate]])," ", YEAR(CompilDonnées[[#This Row],[HarvestingDate]]))</f>
        <v>5 2025</v>
      </c>
      <c r="N2292">
        <f>_xlfn.NUMBERVALUE(CompilDonnées[[#This Row],[FarmID]]&amp;CompilDonnées[[#This Row],[ModuleNumber]]&amp;CompilDonnées[[#This Row],[PlantationDate]])</f>
        <v>29445756</v>
      </c>
      <c r="O2292" t="str">
        <f>CompilDonnées[[#This Row],[FarmID]]&amp;CompilDonnées[[#This Row],[ModuleNumber]]</f>
        <v>294</v>
      </c>
      <c r="P2292" t="str">
        <f>CompilDonnées[[#This Row],[Ref_Module]]&amp;CompilDonnées[[#This Row],[HarvestingDate]]</f>
        <v>29445796</v>
      </c>
    </row>
    <row r="2293" spans="1:16">
      <c r="A2293" s="5">
        <v>45756</v>
      </c>
      <c r="B2293">
        <v>34</v>
      </c>
      <c r="C2293" t="s">
        <v>68</v>
      </c>
      <c r="D2293">
        <v>1</v>
      </c>
      <c r="E2293">
        <v>100</v>
      </c>
      <c r="F2293" t="s">
        <v>1</v>
      </c>
      <c r="G2293" s="6">
        <v>45796</v>
      </c>
      <c r="H2293">
        <v>40</v>
      </c>
      <c r="I2293">
        <f>ROUND(CompilDonnées[[#This Row],[CultureDuration_days]]/7,0)</f>
        <v>6</v>
      </c>
      <c r="J2293">
        <v>2468</v>
      </c>
      <c r="K2293" t="str">
        <f>_xlfn.CONCAT(WEEKNUM(CompilDonnées[[#This Row],[PlantationDate]]), " ", YEAR(CompilDonnées[[#This Row],[PlantationDate]]))</f>
        <v>15 2025</v>
      </c>
      <c r="L2293" t="str">
        <f>CONCATENATE(MONTH(CompilDonnées[[#This Row],[PlantationDate]])," ", YEAR(CompilDonnées[[#This Row],[PlantationDate]]))</f>
        <v>4 2025</v>
      </c>
      <c r="M2293" t="str">
        <f>CONCATENATE(MONTH(CompilDonnées[[#This Row],[HarvestingDate]])," ", YEAR(CompilDonnées[[#This Row],[HarvestingDate]]))</f>
        <v>5 2025</v>
      </c>
      <c r="N2293">
        <f>_xlfn.NUMBERVALUE(CompilDonnées[[#This Row],[FarmID]]&amp;CompilDonnées[[#This Row],[ModuleNumber]]&amp;CompilDonnées[[#This Row],[PlantationDate]])</f>
        <v>34145756</v>
      </c>
      <c r="O2293" t="str">
        <f>CompilDonnées[[#This Row],[FarmID]]&amp;CompilDonnées[[#This Row],[ModuleNumber]]</f>
        <v>341</v>
      </c>
      <c r="P2293" t="str">
        <f>CompilDonnées[[#This Row],[Ref_Module]]&amp;CompilDonnées[[#This Row],[HarvestingDate]]</f>
        <v>34145796</v>
      </c>
    </row>
    <row r="2294" spans="1:16">
      <c r="A2294" s="5">
        <v>45756</v>
      </c>
      <c r="B2294">
        <v>35</v>
      </c>
      <c r="C2294" t="s">
        <v>69</v>
      </c>
      <c r="D2294">
        <v>4</v>
      </c>
      <c r="E2294">
        <v>100</v>
      </c>
      <c r="F2294" t="s">
        <v>1</v>
      </c>
      <c r="G2294" s="6">
        <v>45796</v>
      </c>
      <c r="H2294">
        <v>40</v>
      </c>
      <c r="I2294">
        <f>ROUND(CompilDonnées[[#This Row],[CultureDuration_days]]/7,0)</f>
        <v>6</v>
      </c>
      <c r="J2294">
        <v>3284</v>
      </c>
      <c r="K2294" t="str">
        <f>_xlfn.CONCAT(WEEKNUM(CompilDonnées[[#This Row],[PlantationDate]]), " ", YEAR(CompilDonnées[[#This Row],[PlantationDate]]))</f>
        <v>15 2025</v>
      </c>
      <c r="L2294" t="str">
        <f>CONCATENATE(MONTH(CompilDonnées[[#This Row],[PlantationDate]])," ", YEAR(CompilDonnées[[#This Row],[PlantationDate]]))</f>
        <v>4 2025</v>
      </c>
      <c r="M2294" t="str">
        <f>CONCATENATE(MONTH(CompilDonnées[[#This Row],[HarvestingDate]])," ", YEAR(CompilDonnées[[#This Row],[HarvestingDate]]))</f>
        <v>5 2025</v>
      </c>
      <c r="N2294">
        <f>_xlfn.NUMBERVALUE(CompilDonnées[[#This Row],[FarmID]]&amp;CompilDonnées[[#This Row],[ModuleNumber]]&amp;CompilDonnées[[#This Row],[PlantationDate]])</f>
        <v>35445756</v>
      </c>
      <c r="O2294" t="str">
        <f>CompilDonnées[[#This Row],[FarmID]]&amp;CompilDonnées[[#This Row],[ModuleNumber]]</f>
        <v>354</v>
      </c>
      <c r="P2294" t="str">
        <f>CompilDonnées[[#This Row],[Ref_Module]]&amp;CompilDonnées[[#This Row],[HarvestingDate]]</f>
        <v>35445796</v>
      </c>
    </row>
    <row r="2295" spans="1:16">
      <c r="A2295" s="5">
        <v>45756</v>
      </c>
      <c r="B2295">
        <v>35</v>
      </c>
      <c r="C2295" t="s">
        <v>69</v>
      </c>
      <c r="D2295">
        <v>6</v>
      </c>
      <c r="E2295">
        <v>100</v>
      </c>
      <c r="F2295" t="s">
        <v>1</v>
      </c>
      <c r="G2295" s="6">
        <v>45796</v>
      </c>
      <c r="H2295">
        <v>40</v>
      </c>
      <c r="I2295">
        <f>ROUND(CompilDonnées[[#This Row],[CultureDuration_days]]/7,0)</f>
        <v>6</v>
      </c>
      <c r="J2295">
        <v>3248</v>
      </c>
      <c r="K2295" t="str">
        <f>_xlfn.CONCAT(WEEKNUM(CompilDonnées[[#This Row],[PlantationDate]]), " ", YEAR(CompilDonnées[[#This Row],[PlantationDate]]))</f>
        <v>15 2025</v>
      </c>
      <c r="L2295" t="str">
        <f>CONCATENATE(MONTH(CompilDonnées[[#This Row],[PlantationDate]])," ", YEAR(CompilDonnées[[#This Row],[PlantationDate]]))</f>
        <v>4 2025</v>
      </c>
      <c r="M2295" t="str">
        <f>CONCATENATE(MONTH(CompilDonnées[[#This Row],[HarvestingDate]])," ", YEAR(CompilDonnées[[#This Row],[HarvestingDate]]))</f>
        <v>5 2025</v>
      </c>
      <c r="N2295">
        <f>_xlfn.NUMBERVALUE(CompilDonnées[[#This Row],[FarmID]]&amp;CompilDonnées[[#This Row],[ModuleNumber]]&amp;CompilDonnées[[#This Row],[PlantationDate]])</f>
        <v>35645756</v>
      </c>
      <c r="O2295" t="str">
        <f>CompilDonnées[[#This Row],[FarmID]]&amp;CompilDonnées[[#This Row],[ModuleNumber]]</f>
        <v>356</v>
      </c>
      <c r="P2295" t="str">
        <f>CompilDonnées[[#This Row],[Ref_Module]]&amp;CompilDonnées[[#This Row],[HarvestingDate]]</f>
        <v>35645796</v>
      </c>
    </row>
    <row r="2296" spans="1:16">
      <c r="A2296" s="5">
        <v>45756</v>
      </c>
      <c r="B2296">
        <v>36</v>
      </c>
      <c r="C2296" t="s">
        <v>63</v>
      </c>
      <c r="D2296">
        <v>3</v>
      </c>
      <c r="E2296">
        <v>100</v>
      </c>
      <c r="F2296" t="s">
        <v>1</v>
      </c>
      <c r="G2296" s="6">
        <v>45796</v>
      </c>
      <c r="H2296">
        <v>40</v>
      </c>
      <c r="I2296">
        <f>ROUND(CompilDonnées[[#This Row],[CultureDuration_days]]/7,0)</f>
        <v>6</v>
      </c>
      <c r="J2296">
        <v>3097</v>
      </c>
      <c r="K2296" t="str">
        <f>_xlfn.CONCAT(WEEKNUM(CompilDonnées[[#This Row],[PlantationDate]]), " ", YEAR(CompilDonnées[[#This Row],[PlantationDate]]))</f>
        <v>15 2025</v>
      </c>
      <c r="L2296" t="str">
        <f>CONCATENATE(MONTH(CompilDonnées[[#This Row],[PlantationDate]])," ", YEAR(CompilDonnées[[#This Row],[PlantationDate]]))</f>
        <v>4 2025</v>
      </c>
      <c r="M2296" t="str">
        <f>CONCATENATE(MONTH(CompilDonnées[[#This Row],[HarvestingDate]])," ", YEAR(CompilDonnées[[#This Row],[HarvestingDate]]))</f>
        <v>5 2025</v>
      </c>
      <c r="N2296">
        <f>_xlfn.NUMBERVALUE(CompilDonnées[[#This Row],[FarmID]]&amp;CompilDonnées[[#This Row],[ModuleNumber]]&amp;CompilDonnées[[#This Row],[PlantationDate]])</f>
        <v>36345756</v>
      </c>
      <c r="O2296" t="str">
        <f>CompilDonnées[[#This Row],[FarmID]]&amp;CompilDonnées[[#This Row],[ModuleNumber]]</f>
        <v>363</v>
      </c>
      <c r="P2296" t="str">
        <f>CompilDonnées[[#This Row],[Ref_Module]]&amp;CompilDonnées[[#This Row],[HarvestingDate]]</f>
        <v>36345796</v>
      </c>
    </row>
    <row r="2297" spans="1:16">
      <c r="A2297" s="5">
        <v>45756</v>
      </c>
      <c r="B2297">
        <v>37</v>
      </c>
      <c r="C2297" t="s">
        <v>26</v>
      </c>
      <c r="D2297">
        <v>5</v>
      </c>
      <c r="E2297">
        <v>100</v>
      </c>
      <c r="F2297" t="s">
        <v>1</v>
      </c>
      <c r="G2297" s="6">
        <v>45797</v>
      </c>
      <c r="H2297">
        <v>41</v>
      </c>
      <c r="I2297">
        <f>ROUND(CompilDonnées[[#This Row],[CultureDuration_days]]/7,0)</f>
        <v>6</v>
      </c>
      <c r="J2297">
        <v>3319</v>
      </c>
      <c r="K2297" t="str">
        <f>_xlfn.CONCAT(WEEKNUM(CompilDonnées[[#This Row],[PlantationDate]]), " ", YEAR(CompilDonnées[[#This Row],[PlantationDate]]))</f>
        <v>15 2025</v>
      </c>
      <c r="L2297" t="str">
        <f>CONCATENATE(MONTH(CompilDonnées[[#This Row],[PlantationDate]])," ", YEAR(CompilDonnées[[#This Row],[PlantationDate]]))</f>
        <v>4 2025</v>
      </c>
      <c r="M2297" t="str">
        <f>CONCATENATE(MONTH(CompilDonnées[[#This Row],[HarvestingDate]])," ", YEAR(CompilDonnées[[#This Row],[HarvestingDate]]))</f>
        <v>5 2025</v>
      </c>
      <c r="N2297">
        <f>_xlfn.NUMBERVALUE(CompilDonnées[[#This Row],[FarmID]]&amp;CompilDonnées[[#This Row],[ModuleNumber]]&amp;CompilDonnées[[#This Row],[PlantationDate]])</f>
        <v>37545756</v>
      </c>
      <c r="O2297" t="str">
        <f>CompilDonnées[[#This Row],[FarmID]]&amp;CompilDonnées[[#This Row],[ModuleNumber]]</f>
        <v>375</v>
      </c>
      <c r="P2297" t="str">
        <f>CompilDonnées[[#This Row],[Ref_Module]]&amp;CompilDonnées[[#This Row],[HarvestingDate]]</f>
        <v>37545797</v>
      </c>
    </row>
    <row r="2298" spans="1:16">
      <c r="A2298" s="5">
        <v>45756</v>
      </c>
      <c r="B2298">
        <v>39</v>
      </c>
      <c r="C2298" t="s">
        <v>81</v>
      </c>
      <c r="D2298">
        <v>2</v>
      </c>
      <c r="E2298">
        <v>100</v>
      </c>
      <c r="F2298" t="s">
        <v>1</v>
      </c>
      <c r="G2298" s="6">
        <v>45807</v>
      </c>
      <c r="H2298">
        <v>51</v>
      </c>
      <c r="I2298">
        <f>ROUND(CompilDonnées[[#This Row],[CultureDuration_days]]/7,0)</f>
        <v>7</v>
      </c>
      <c r="J2298">
        <v>2017</v>
      </c>
      <c r="K2298" t="str">
        <f>_xlfn.CONCAT(WEEKNUM(CompilDonnées[[#This Row],[PlantationDate]]), " ", YEAR(CompilDonnées[[#This Row],[PlantationDate]]))</f>
        <v>15 2025</v>
      </c>
      <c r="L2298" t="str">
        <f>CONCATENATE(MONTH(CompilDonnées[[#This Row],[PlantationDate]])," ", YEAR(CompilDonnées[[#This Row],[PlantationDate]]))</f>
        <v>4 2025</v>
      </c>
      <c r="M2298" t="str">
        <f>CONCATENATE(MONTH(CompilDonnées[[#This Row],[HarvestingDate]])," ", YEAR(CompilDonnées[[#This Row],[HarvestingDate]]))</f>
        <v>5 2025</v>
      </c>
      <c r="N2298">
        <f>_xlfn.NUMBERVALUE(CompilDonnées[[#This Row],[FarmID]]&amp;CompilDonnées[[#This Row],[ModuleNumber]]&amp;CompilDonnées[[#This Row],[PlantationDate]])</f>
        <v>39245756</v>
      </c>
      <c r="O2298" t="str">
        <f>CompilDonnées[[#This Row],[FarmID]]&amp;CompilDonnées[[#This Row],[ModuleNumber]]</f>
        <v>392</v>
      </c>
      <c r="P2298" t="str">
        <f>CompilDonnées[[#This Row],[Ref_Module]]&amp;CompilDonnées[[#This Row],[HarvestingDate]]</f>
        <v>39245807</v>
      </c>
    </row>
    <row r="2299" spans="1:16">
      <c r="A2299" s="5">
        <v>45756</v>
      </c>
      <c r="B2299">
        <v>40</v>
      </c>
      <c r="C2299" t="s">
        <v>82</v>
      </c>
      <c r="D2299">
        <v>1</v>
      </c>
      <c r="E2299">
        <v>100</v>
      </c>
      <c r="F2299" t="s">
        <v>1</v>
      </c>
      <c r="G2299" s="6">
        <v>45807</v>
      </c>
      <c r="H2299">
        <v>51</v>
      </c>
      <c r="I2299">
        <f>ROUND(CompilDonnées[[#This Row],[CultureDuration_days]]/7,0)</f>
        <v>7</v>
      </c>
      <c r="J2299">
        <v>2480</v>
      </c>
      <c r="K2299" t="str">
        <f>_xlfn.CONCAT(WEEKNUM(CompilDonnées[[#This Row],[PlantationDate]]), " ", YEAR(CompilDonnées[[#This Row],[PlantationDate]]))</f>
        <v>15 2025</v>
      </c>
      <c r="L2299" t="str">
        <f>CONCATENATE(MONTH(CompilDonnées[[#This Row],[PlantationDate]])," ", YEAR(CompilDonnées[[#This Row],[PlantationDate]]))</f>
        <v>4 2025</v>
      </c>
      <c r="M2299" t="str">
        <f>CONCATENATE(MONTH(CompilDonnées[[#This Row],[HarvestingDate]])," ", YEAR(CompilDonnées[[#This Row],[HarvestingDate]]))</f>
        <v>5 2025</v>
      </c>
      <c r="N2299">
        <f>_xlfn.NUMBERVALUE(CompilDonnées[[#This Row],[FarmID]]&amp;CompilDonnées[[#This Row],[ModuleNumber]]&amp;CompilDonnées[[#This Row],[PlantationDate]])</f>
        <v>40145756</v>
      </c>
      <c r="O2299" t="str">
        <f>CompilDonnées[[#This Row],[FarmID]]&amp;CompilDonnées[[#This Row],[ModuleNumber]]</f>
        <v>401</v>
      </c>
      <c r="P2299" t="str">
        <f>CompilDonnées[[#This Row],[Ref_Module]]&amp;CompilDonnées[[#This Row],[HarvestingDate]]</f>
        <v>40145807</v>
      </c>
    </row>
    <row r="2300" spans="1:16">
      <c r="A2300" s="5">
        <v>45756</v>
      </c>
      <c r="B2300">
        <v>40</v>
      </c>
      <c r="C2300" t="s">
        <v>82</v>
      </c>
      <c r="D2300">
        <v>2</v>
      </c>
      <c r="E2300">
        <v>100</v>
      </c>
      <c r="F2300" t="s">
        <v>1</v>
      </c>
      <c r="G2300" s="6">
        <v>45807</v>
      </c>
      <c r="H2300">
        <v>51</v>
      </c>
      <c r="I2300">
        <f>ROUND(CompilDonnées[[#This Row],[CultureDuration_days]]/7,0)</f>
        <v>7</v>
      </c>
      <c r="J2300">
        <v>2208</v>
      </c>
      <c r="K2300" t="str">
        <f>_xlfn.CONCAT(WEEKNUM(CompilDonnées[[#This Row],[PlantationDate]]), " ", YEAR(CompilDonnées[[#This Row],[PlantationDate]]))</f>
        <v>15 2025</v>
      </c>
      <c r="L2300" t="str">
        <f>CONCATENATE(MONTH(CompilDonnées[[#This Row],[PlantationDate]])," ", YEAR(CompilDonnées[[#This Row],[PlantationDate]]))</f>
        <v>4 2025</v>
      </c>
      <c r="M2300" t="str">
        <f>CONCATENATE(MONTH(CompilDonnées[[#This Row],[HarvestingDate]])," ", YEAR(CompilDonnées[[#This Row],[HarvestingDate]]))</f>
        <v>5 2025</v>
      </c>
      <c r="N2300">
        <f>_xlfn.NUMBERVALUE(CompilDonnées[[#This Row],[FarmID]]&amp;CompilDonnées[[#This Row],[ModuleNumber]]&amp;CompilDonnées[[#This Row],[PlantationDate]])</f>
        <v>40245756</v>
      </c>
      <c r="O2300" t="str">
        <f>CompilDonnées[[#This Row],[FarmID]]&amp;CompilDonnées[[#This Row],[ModuleNumber]]</f>
        <v>402</v>
      </c>
      <c r="P2300" t="str">
        <f>CompilDonnées[[#This Row],[Ref_Module]]&amp;CompilDonnées[[#This Row],[HarvestingDate]]</f>
        <v>40245807</v>
      </c>
    </row>
    <row r="2301" spans="1:16">
      <c r="A2301" s="5">
        <v>45756</v>
      </c>
      <c r="B2301">
        <v>4</v>
      </c>
      <c r="C2301" t="s">
        <v>74</v>
      </c>
      <c r="D2301">
        <v>6</v>
      </c>
      <c r="E2301">
        <v>100</v>
      </c>
      <c r="F2301" t="s">
        <v>1</v>
      </c>
      <c r="G2301" s="6">
        <v>45796</v>
      </c>
      <c r="H2301">
        <v>40</v>
      </c>
      <c r="I2301">
        <f>ROUND(CompilDonnées[[#This Row],[CultureDuration_days]]/7,0)</f>
        <v>6</v>
      </c>
      <c r="J2301">
        <v>2438</v>
      </c>
      <c r="K2301" t="str">
        <f>_xlfn.CONCAT(WEEKNUM(CompilDonnées[[#This Row],[PlantationDate]]), " ", YEAR(CompilDonnées[[#This Row],[PlantationDate]]))</f>
        <v>15 2025</v>
      </c>
      <c r="L2301" t="str">
        <f>CONCATENATE(MONTH(CompilDonnées[[#This Row],[PlantationDate]])," ", YEAR(CompilDonnées[[#This Row],[PlantationDate]]))</f>
        <v>4 2025</v>
      </c>
      <c r="M2301" t="str">
        <f>CONCATENATE(MONTH(CompilDonnées[[#This Row],[HarvestingDate]])," ", YEAR(CompilDonnées[[#This Row],[HarvestingDate]]))</f>
        <v>5 2025</v>
      </c>
      <c r="N2301">
        <f>_xlfn.NUMBERVALUE(CompilDonnées[[#This Row],[FarmID]]&amp;CompilDonnées[[#This Row],[ModuleNumber]]&amp;CompilDonnées[[#This Row],[PlantationDate]])</f>
        <v>4645756</v>
      </c>
      <c r="O2301" t="str">
        <f>CompilDonnées[[#This Row],[FarmID]]&amp;CompilDonnées[[#This Row],[ModuleNumber]]</f>
        <v>46</v>
      </c>
      <c r="P2301" t="str">
        <f>CompilDonnées[[#This Row],[Ref_Module]]&amp;CompilDonnées[[#This Row],[HarvestingDate]]</f>
        <v>4645796</v>
      </c>
    </row>
    <row r="2302" spans="1:16">
      <c r="A2302" s="5">
        <v>45756</v>
      </c>
      <c r="B2302">
        <v>9</v>
      </c>
      <c r="C2302" t="s">
        <v>107</v>
      </c>
      <c r="D2302">
        <v>3</v>
      </c>
      <c r="E2302">
        <v>100</v>
      </c>
      <c r="F2302" t="s">
        <v>1</v>
      </c>
      <c r="G2302" s="6">
        <v>45794</v>
      </c>
      <c r="H2302">
        <v>38</v>
      </c>
      <c r="I2302">
        <f>ROUND(CompilDonnées[[#This Row],[CultureDuration_days]]/7,0)</f>
        <v>5</v>
      </c>
      <c r="J2302">
        <v>2338</v>
      </c>
      <c r="K2302" t="str">
        <f>_xlfn.CONCAT(WEEKNUM(CompilDonnées[[#This Row],[PlantationDate]]), " ", YEAR(CompilDonnées[[#This Row],[PlantationDate]]))</f>
        <v>15 2025</v>
      </c>
      <c r="L2302" t="str">
        <f>CONCATENATE(MONTH(CompilDonnées[[#This Row],[PlantationDate]])," ", YEAR(CompilDonnées[[#This Row],[PlantationDate]]))</f>
        <v>4 2025</v>
      </c>
      <c r="M2302" t="str">
        <f>CONCATENATE(MONTH(CompilDonnées[[#This Row],[HarvestingDate]])," ", YEAR(CompilDonnées[[#This Row],[HarvestingDate]]))</f>
        <v>5 2025</v>
      </c>
      <c r="N2302">
        <f>_xlfn.NUMBERVALUE(CompilDonnées[[#This Row],[FarmID]]&amp;CompilDonnées[[#This Row],[ModuleNumber]]&amp;CompilDonnées[[#This Row],[PlantationDate]])</f>
        <v>9345756</v>
      </c>
      <c r="O2302" t="str">
        <f>CompilDonnées[[#This Row],[FarmID]]&amp;CompilDonnées[[#This Row],[ModuleNumber]]</f>
        <v>93</v>
      </c>
      <c r="P2302" t="str">
        <f>CompilDonnées[[#This Row],[Ref_Module]]&amp;CompilDonnées[[#This Row],[HarvestingDate]]</f>
        <v>9345794</v>
      </c>
    </row>
    <row r="2303" spans="1:16">
      <c r="A2303" s="5">
        <v>45756</v>
      </c>
      <c r="B2303">
        <v>11</v>
      </c>
      <c r="C2303" t="s">
        <v>106</v>
      </c>
      <c r="D2303">
        <v>2</v>
      </c>
      <c r="E2303">
        <v>100</v>
      </c>
      <c r="F2303" t="s">
        <v>1</v>
      </c>
      <c r="G2303" s="6">
        <v>45806</v>
      </c>
      <c r="H2303">
        <v>50</v>
      </c>
      <c r="I2303">
        <f>ROUND(CompilDonnées[[#This Row],[CultureDuration_days]]/7,0)</f>
        <v>7</v>
      </c>
      <c r="J2303">
        <v>2218</v>
      </c>
      <c r="K2303" t="str">
        <f>_xlfn.CONCAT(WEEKNUM(CompilDonnées[[#This Row],[PlantationDate]]), " ", YEAR(CompilDonnées[[#This Row],[PlantationDate]]))</f>
        <v>15 2025</v>
      </c>
      <c r="L2303" t="str">
        <f>CONCATENATE(MONTH(CompilDonnées[[#This Row],[PlantationDate]])," ", YEAR(CompilDonnées[[#This Row],[PlantationDate]]))</f>
        <v>4 2025</v>
      </c>
      <c r="M2303" t="str">
        <f>CONCATENATE(MONTH(CompilDonnées[[#This Row],[HarvestingDate]])," ", YEAR(CompilDonnées[[#This Row],[HarvestingDate]]))</f>
        <v>5 2025</v>
      </c>
      <c r="N2303">
        <f>_xlfn.NUMBERVALUE(CompilDonnées[[#This Row],[FarmID]]&amp;CompilDonnées[[#This Row],[ModuleNumber]]&amp;CompilDonnées[[#This Row],[PlantationDate]])</f>
        <v>11245756</v>
      </c>
      <c r="O2303" t="str">
        <f>CompilDonnées[[#This Row],[FarmID]]&amp;CompilDonnées[[#This Row],[ModuleNumber]]</f>
        <v>112</v>
      </c>
      <c r="P2303" t="str">
        <f>CompilDonnées[[#This Row],[Ref_Module]]&amp;CompilDonnées[[#This Row],[HarvestingDate]]</f>
        <v>11245806</v>
      </c>
    </row>
    <row r="2304" spans="1:16">
      <c r="A2304" s="5">
        <v>45756</v>
      </c>
      <c r="B2304">
        <v>41</v>
      </c>
      <c r="C2304" t="s">
        <v>70</v>
      </c>
      <c r="D2304">
        <v>5</v>
      </c>
      <c r="E2304">
        <v>100</v>
      </c>
      <c r="F2304" t="s">
        <v>1</v>
      </c>
      <c r="G2304" s="6">
        <v>45797</v>
      </c>
      <c r="H2304">
        <v>41</v>
      </c>
      <c r="I2304">
        <f>ROUND(CompilDonnées[[#This Row],[CultureDuration_days]]/7,0)</f>
        <v>6</v>
      </c>
      <c r="J2304">
        <v>2642</v>
      </c>
      <c r="K2304" t="str">
        <f>_xlfn.CONCAT(WEEKNUM(CompilDonnées[[#This Row],[PlantationDate]]), " ", YEAR(CompilDonnées[[#This Row],[PlantationDate]]))</f>
        <v>15 2025</v>
      </c>
      <c r="L2304" t="str">
        <f>CONCATENATE(MONTH(CompilDonnées[[#This Row],[PlantationDate]])," ", YEAR(CompilDonnées[[#This Row],[PlantationDate]]))</f>
        <v>4 2025</v>
      </c>
      <c r="M2304" t="str">
        <f>CONCATENATE(MONTH(CompilDonnées[[#This Row],[HarvestingDate]])," ", YEAR(CompilDonnées[[#This Row],[HarvestingDate]]))</f>
        <v>5 2025</v>
      </c>
      <c r="N2304">
        <f>_xlfn.NUMBERVALUE(CompilDonnées[[#This Row],[FarmID]]&amp;CompilDonnées[[#This Row],[ModuleNumber]]&amp;CompilDonnées[[#This Row],[PlantationDate]])</f>
        <v>41545756</v>
      </c>
      <c r="O2304" t="str">
        <f>CompilDonnées[[#This Row],[FarmID]]&amp;CompilDonnées[[#This Row],[ModuleNumber]]</f>
        <v>415</v>
      </c>
      <c r="P2304" t="str">
        <f>CompilDonnées[[#This Row],[Ref_Module]]&amp;CompilDonnées[[#This Row],[HarvestingDate]]</f>
        <v>41545797</v>
      </c>
    </row>
    <row r="2305" spans="1:16">
      <c r="A2305" s="5">
        <v>45756</v>
      </c>
      <c r="B2305">
        <v>47</v>
      </c>
      <c r="C2305" t="s">
        <v>12</v>
      </c>
      <c r="D2305">
        <v>1</v>
      </c>
      <c r="E2305">
        <v>100</v>
      </c>
      <c r="F2305" t="s">
        <v>1</v>
      </c>
      <c r="G2305" s="6">
        <v>45797</v>
      </c>
      <c r="H2305">
        <v>41</v>
      </c>
      <c r="I2305">
        <f>ROUND(CompilDonnées[[#This Row],[CultureDuration_days]]/7,0)</f>
        <v>6</v>
      </c>
      <c r="J2305">
        <v>2801</v>
      </c>
      <c r="K2305" t="str">
        <f>_xlfn.CONCAT(WEEKNUM(CompilDonnées[[#This Row],[PlantationDate]]), " ", YEAR(CompilDonnées[[#This Row],[PlantationDate]]))</f>
        <v>15 2025</v>
      </c>
      <c r="L2305" t="str">
        <f>CONCATENATE(MONTH(CompilDonnées[[#This Row],[PlantationDate]])," ", YEAR(CompilDonnées[[#This Row],[PlantationDate]]))</f>
        <v>4 2025</v>
      </c>
      <c r="M2305" t="str">
        <f>CONCATENATE(MONTH(CompilDonnées[[#This Row],[HarvestingDate]])," ", YEAR(CompilDonnées[[#This Row],[HarvestingDate]]))</f>
        <v>5 2025</v>
      </c>
      <c r="N2305">
        <f>_xlfn.NUMBERVALUE(CompilDonnées[[#This Row],[FarmID]]&amp;CompilDonnées[[#This Row],[ModuleNumber]]&amp;CompilDonnées[[#This Row],[PlantationDate]])</f>
        <v>47145756</v>
      </c>
      <c r="O2305" t="str">
        <f>CompilDonnées[[#This Row],[FarmID]]&amp;CompilDonnées[[#This Row],[ModuleNumber]]</f>
        <v>471</v>
      </c>
      <c r="P2305" t="str">
        <f>CompilDonnées[[#This Row],[Ref_Module]]&amp;CompilDonnées[[#This Row],[HarvestingDate]]</f>
        <v>47145797</v>
      </c>
    </row>
    <row r="2306" spans="1:16">
      <c r="A2306" s="5">
        <v>45756</v>
      </c>
      <c r="B2306">
        <v>48</v>
      </c>
      <c r="C2306" t="s">
        <v>71</v>
      </c>
      <c r="D2306">
        <v>1</v>
      </c>
      <c r="E2306">
        <v>100</v>
      </c>
      <c r="F2306" t="s">
        <v>1</v>
      </c>
      <c r="G2306" s="6">
        <v>45797</v>
      </c>
      <c r="H2306">
        <v>41</v>
      </c>
      <c r="I2306">
        <f>ROUND(CompilDonnées[[#This Row],[CultureDuration_days]]/7,0)</f>
        <v>6</v>
      </c>
      <c r="J2306">
        <v>2361</v>
      </c>
      <c r="K2306" t="str">
        <f>_xlfn.CONCAT(WEEKNUM(CompilDonnées[[#This Row],[PlantationDate]]), " ", YEAR(CompilDonnées[[#This Row],[PlantationDate]]))</f>
        <v>15 2025</v>
      </c>
      <c r="L2306" t="str">
        <f>CONCATENATE(MONTH(CompilDonnées[[#This Row],[PlantationDate]])," ", YEAR(CompilDonnées[[#This Row],[PlantationDate]]))</f>
        <v>4 2025</v>
      </c>
      <c r="M2306" t="str">
        <f>CONCATENATE(MONTH(CompilDonnées[[#This Row],[HarvestingDate]])," ", YEAR(CompilDonnées[[#This Row],[HarvestingDate]]))</f>
        <v>5 2025</v>
      </c>
      <c r="N2306">
        <f>_xlfn.NUMBERVALUE(CompilDonnées[[#This Row],[FarmID]]&amp;CompilDonnées[[#This Row],[ModuleNumber]]&amp;CompilDonnées[[#This Row],[PlantationDate]])</f>
        <v>48145756</v>
      </c>
      <c r="O2306" t="str">
        <f>CompilDonnées[[#This Row],[FarmID]]&amp;CompilDonnées[[#This Row],[ModuleNumber]]</f>
        <v>481</v>
      </c>
      <c r="P2306" t="str">
        <f>CompilDonnées[[#This Row],[Ref_Module]]&amp;CompilDonnées[[#This Row],[HarvestingDate]]</f>
        <v>48145797</v>
      </c>
    </row>
    <row r="2307" spans="1:16">
      <c r="A2307" s="5">
        <v>45756</v>
      </c>
      <c r="B2307">
        <v>49</v>
      </c>
      <c r="C2307" t="s">
        <v>110</v>
      </c>
      <c r="D2307">
        <v>5</v>
      </c>
      <c r="E2307">
        <v>100</v>
      </c>
      <c r="F2307" t="s">
        <v>1</v>
      </c>
      <c r="G2307" s="6">
        <v>45806</v>
      </c>
      <c r="H2307">
        <v>50</v>
      </c>
      <c r="I2307">
        <f>ROUND(CompilDonnées[[#This Row],[CultureDuration_days]]/7,0)</f>
        <v>7</v>
      </c>
      <c r="J2307">
        <v>2499</v>
      </c>
      <c r="K2307" t="str">
        <f>_xlfn.CONCAT(WEEKNUM(CompilDonnées[[#This Row],[PlantationDate]]), " ", YEAR(CompilDonnées[[#This Row],[PlantationDate]]))</f>
        <v>15 2025</v>
      </c>
      <c r="L2307" t="str">
        <f>CONCATENATE(MONTH(CompilDonnées[[#This Row],[PlantationDate]])," ", YEAR(CompilDonnées[[#This Row],[PlantationDate]]))</f>
        <v>4 2025</v>
      </c>
      <c r="M2307" t="str">
        <f>CONCATENATE(MONTH(CompilDonnées[[#This Row],[HarvestingDate]])," ", YEAR(CompilDonnées[[#This Row],[HarvestingDate]]))</f>
        <v>5 2025</v>
      </c>
      <c r="N2307">
        <f>_xlfn.NUMBERVALUE(CompilDonnées[[#This Row],[FarmID]]&amp;CompilDonnées[[#This Row],[ModuleNumber]]&amp;CompilDonnées[[#This Row],[PlantationDate]])</f>
        <v>49545756</v>
      </c>
      <c r="O2307" t="str">
        <f>CompilDonnées[[#This Row],[FarmID]]&amp;CompilDonnées[[#This Row],[ModuleNumber]]</f>
        <v>495</v>
      </c>
      <c r="P2307" t="str">
        <f>CompilDonnées[[#This Row],[Ref_Module]]&amp;CompilDonnées[[#This Row],[HarvestingDate]]</f>
        <v>49545806</v>
      </c>
    </row>
    <row r="2308" spans="1:16">
      <c r="A2308" s="5">
        <v>45756</v>
      </c>
      <c r="B2308">
        <v>51</v>
      </c>
      <c r="C2308" t="s">
        <v>27</v>
      </c>
      <c r="D2308">
        <v>1</v>
      </c>
      <c r="E2308">
        <v>100</v>
      </c>
      <c r="F2308" t="s">
        <v>1</v>
      </c>
      <c r="G2308" s="6">
        <v>45806</v>
      </c>
      <c r="H2308">
        <v>50</v>
      </c>
      <c r="I2308">
        <f>ROUND(CompilDonnées[[#This Row],[CultureDuration_days]]/7,0)</f>
        <v>7</v>
      </c>
      <c r="J2308">
        <v>1968</v>
      </c>
      <c r="K2308" t="str">
        <f>_xlfn.CONCAT(WEEKNUM(CompilDonnées[[#This Row],[PlantationDate]]), " ", YEAR(CompilDonnées[[#This Row],[PlantationDate]]))</f>
        <v>15 2025</v>
      </c>
      <c r="L2308" t="str">
        <f>CONCATENATE(MONTH(CompilDonnées[[#This Row],[PlantationDate]])," ", YEAR(CompilDonnées[[#This Row],[PlantationDate]]))</f>
        <v>4 2025</v>
      </c>
      <c r="M2308" t="str">
        <f>CONCATENATE(MONTH(CompilDonnées[[#This Row],[HarvestingDate]])," ", YEAR(CompilDonnées[[#This Row],[HarvestingDate]]))</f>
        <v>5 2025</v>
      </c>
      <c r="N2308">
        <f>_xlfn.NUMBERVALUE(CompilDonnées[[#This Row],[FarmID]]&amp;CompilDonnées[[#This Row],[ModuleNumber]]&amp;CompilDonnées[[#This Row],[PlantationDate]])</f>
        <v>51145756</v>
      </c>
      <c r="O2308" t="str">
        <f>CompilDonnées[[#This Row],[FarmID]]&amp;CompilDonnées[[#This Row],[ModuleNumber]]</f>
        <v>511</v>
      </c>
      <c r="P2308" t="str">
        <f>CompilDonnées[[#This Row],[Ref_Module]]&amp;CompilDonnées[[#This Row],[HarvestingDate]]</f>
        <v>51145806</v>
      </c>
    </row>
    <row r="2309" spans="1:16">
      <c r="A2309" s="5">
        <v>45756</v>
      </c>
      <c r="B2309">
        <v>53</v>
      </c>
      <c r="C2309" t="s">
        <v>83</v>
      </c>
      <c r="D2309">
        <v>1</v>
      </c>
      <c r="E2309">
        <v>100</v>
      </c>
      <c r="F2309" t="s">
        <v>1</v>
      </c>
      <c r="G2309" s="6">
        <v>45797</v>
      </c>
      <c r="H2309">
        <v>41</v>
      </c>
      <c r="I2309">
        <f>ROUND(CompilDonnées[[#This Row],[CultureDuration_days]]/7,0)</f>
        <v>6</v>
      </c>
      <c r="J2309">
        <v>3076</v>
      </c>
      <c r="K2309" t="str">
        <f>_xlfn.CONCAT(WEEKNUM(CompilDonnées[[#This Row],[PlantationDate]]), " ", YEAR(CompilDonnées[[#This Row],[PlantationDate]]))</f>
        <v>15 2025</v>
      </c>
      <c r="L2309" t="str">
        <f>CONCATENATE(MONTH(CompilDonnées[[#This Row],[PlantationDate]])," ", YEAR(CompilDonnées[[#This Row],[PlantationDate]]))</f>
        <v>4 2025</v>
      </c>
      <c r="M2309" t="str">
        <f>CONCATENATE(MONTH(CompilDonnées[[#This Row],[HarvestingDate]])," ", YEAR(CompilDonnées[[#This Row],[HarvestingDate]]))</f>
        <v>5 2025</v>
      </c>
      <c r="N2309">
        <f>_xlfn.NUMBERVALUE(CompilDonnées[[#This Row],[FarmID]]&amp;CompilDonnées[[#This Row],[ModuleNumber]]&amp;CompilDonnées[[#This Row],[PlantationDate]])</f>
        <v>53145756</v>
      </c>
      <c r="O2309" t="str">
        <f>CompilDonnées[[#This Row],[FarmID]]&amp;CompilDonnées[[#This Row],[ModuleNumber]]</f>
        <v>531</v>
      </c>
      <c r="P2309" t="str">
        <f>CompilDonnées[[#This Row],[Ref_Module]]&amp;CompilDonnées[[#This Row],[HarvestingDate]]</f>
        <v>53145797</v>
      </c>
    </row>
    <row r="2310" spans="1:16">
      <c r="A2310" s="5">
        <v>45756</v>
      </c>
      <c r="B2310">
        <v>68</v>
      </c>
      <c r="C2310" t="s">
        <v>89</v>
      </c>
      <c r="D2310">
        <v>4</v>
      </c>
      <c r="E2310">
        <v>100</v>
      </c>
      <c r="F2310" t="s">
        <v>1</v>
      </c>
      <c r="G2310" s="6">
        <v>45791</v>
      </c>
      <c r="H2310">
        <v>35</v>
      </c>
      <c r="I2310">
        <f>ROUND(CompilDonnées[[#This Row],[CultureDuration_days]]/7,0)</f>
        <v>5</v>
      </c>
      <c r="J2310">
        <v>2755</v>
      </c>
      <c r="K2310" t="str">
        <f>_xlfn.CONCAT(WEEKNUM(CompilDonnées[[#This Row],[PlantationDate]]), " ", YEAR(CompilDonnées[[#This Row],[PlantationDate]]))</f>
        <v>15 2025</v>
      </c>
      <c r="L2310" t="str">
        <f>CONCATENATE(MONTH(CompilDonnées[[#This Row],[PlantationDate]])," ", YEAR(CompilDonnées[[#This Row],[PlantationDate]]))</f>
        <v>4 2025</v>
      </c>
      <c r="M2310" t="str">
        <f>CONCATENATE(MONTH(CompilDonnées[[#This Row],[HarvestingDate]])," ", YEAR(CompilDonnées[[#This Row],[HarvestingDate]]))</f>
        <v>5 2025</v>
      </c>
      <c r="N2310">
        <f>_xlfn.NUMBERVALUE(CompilDonnées[[#This Row],[FarmID]]&amp;CompilDonnées[[#This Row],[ModuleNumber]]&amp;CompilDonnées[[#This Row],[PlantationDate]])</f>
        <v>68445756</v>
      </c>
      <c r="O2310" t="str">
        <f>CompilDonnées[[#This Row],[FarmID]]&amp;CompilDonnées[[#This Row],[ModuleNumber]]</f>
        <v>684</v>
      </c>
      <c r="P2310" t="str">
        <f>CompilDonnées[[#This Row],[Ref_Module]]&amp;CompilDonnées[[#This Row],[HarvestingDate]]</f>
        <v>68445791</v>
      </c>
    </row>
    <row r="2311" spans="1:16">
      <c r="A2311" s="5">
        <v>45756</v>
      </c>
      <c r="B2311">
        <v>71</v>
      </c>
      <c r="C2311" t="s">
        <v>19</v>
      </c>
      <c r="D2311">
        <v>6</v>
      </c>
      <c r="E2311">
        <v>100</v>
      </c>
      <c r="F2311" t="s">
        <v>1</v>
      </c>
      <c r="G2311" s="6">
        <v>45797</v>
      </c>
      <c r="H2311">
        <v>41</v>
      </c>
      <c r="I2311">
        <f>ROUND(CompilDonnées[[#This Row],[CultureDuration_days]]/7,0)</f>
        <v>6</v>
      </c>
      <c r="J2311">
        <v>3094</v>
      </c>
      <c r="K2311" t="str">
        <f>_xlfn.CONCAT(WEEKNUM(CompilDonnées[[#This Row],[PlantationDate]]), " ", YEAR(CompilDonnées[[#This Row],[PlantationDate]]))</f>
        <v>15 2025</v>
      </c>
      <c r="L2311" t="str">
        <f>CONCATENATE(MONTH(CompilDonnées[[#This Row],[PlantationDate]])," ", YEAR(CompilDonnées[[#This Row],[PlantationDate]]))</f>
        <v>4 2025</v>
      </c>
      <c r="M2311" t="str">
        <f>CONCATENATE(MONTH(CompilDonnées[[#This Row],[HarvestingDate]])," ", YEAR(CompilDonnées[[#This Row],[HarvestingDate]]))</f>
        <v>5 2025</v>
      </c>
      <c r="N2311">
        <f>_xlfn.NUMBERVALUE(CompilDonnées[[#This Row],[FarmID]]&amp;CompilDonnées[[#This Row],[ModuleNumber]]&amp;CompilDonnées[[#This Row],[PlantationDate]])</f>
        <v>71645756</v>
      </c>
      <c r="O2311" t="str">
        <f>CompilDonnées[[#This Row],[FarmID]]&amp;CompilDonnées[[#This Row],[ModuleNumber]]</f>
        <v>716</v>
      </c>
      <c r="P2311" t="str">
        <f>CompilDonnées[[#This Row],[Ref_Module]]&amp;CompilDonnées[[#This Row],[HarvestingDate]]</f>
        <v>71645797</v>
      </c>
    </row>
    <row r="2312" spans="1:16">
      <c r="A2312" s="5">
        <v>45756</v>
      </c>
      <c r="B2312">
        <v>43</v>
      </c>
      <c r="C2312" t="s">
        <v>45</v>
      </c>
      <c r="D2312">
        <v>6</v>
      </c>
      <c r="E2312">
        <v>100</v>
      </c>
      <c r="F2312" t="s">
        <v>1</v>
      </c>
      <c r="G2312" s="6">
        <v>45797</v>
      </c>
      <c r="H2312">
        <v>41</v>
      </c>
      <c r="I2312">
        <f>ROUND(CompilDonnées[[#This Row],[CultureDuration_days]]/7,0)</f>
        <v>6</v>
      </c>
      <c r="J2312">
        <v>3246</v>
      </c>
      <c r="K2312" t="str">
        <f>_xlfn.CONCAT(WEEKNUM(CompilDonnées[[#This Row],[PlantationDate]]), " ", YEAR(CompilDonnées[[#This Row],[PlantationDate]]))</f>
        <v>15 2025</v>
      </c>
      <c r="L2312" t="str">
        <f>CONCATENATE(MONTH(CompilDonnées[[#This Row],[PlantationDate]])," ", YEAR(CompilDonnées[[#This Row],[PlantationDate]]))</f>
        <v>4 2025</v>
      </c>
      <c r="M2312" t="str">
        <f>CONCATENATE(MONTH(CompilDonnées[[#This Row],[HarvestingDate]])," ", YEAR(CompilDonnées[[#This Row],[HarvestingDate]]))</f>
        <v>5 2025</v>
      </c>
      <c r="N2312">
        <f>_xlfn.NUMBERVALUE(CompilDonnées[[#This Row],[FarmID]]&amp;CompilDonnées[[#This Row],[ModuleNumber]]&amp;CompilDonnées[[#This Row],[PlantationDate]])</f>
        <v>43645756</v>
      </c>
      <c r="O2312" t="str">
        <f>CompilDonnées[[#This Row],[FarmID]]&amp;CompilDonnées[[#This Row],[ModuleNumber]]</f>
        <v>436</v>
      </c>
      <c r="P2312" t="str">
        <f>CompilDonnées[[#This Row],[Ref_Module]]&amp;CompilDonnées[[#This Row],[HarvestingDate]]</f>
        <v>43645797</v>
      </c>
    </row>
    <row r="2313" spans="1:16">
      <c r="A2313" s="5">
        <v>45756</v>
      </c>
      <c r="B2313">
        <v>44</v>
      </c>
      <c r="C2313" t="s">
        <v>42</v>
      </c>
      <c r="D2313">
        <v>4</v>
      </c>
      <c r="E2313">
        <v>100</v>
      </c>
      <c r="F2313" t="s">
        <v>1</v>
      </c>
      <c r="G2313" s="6">
        <v>45797</v>
      </c>
      <c r="H2313">
        <v>41</v>
      </c>
      <c r="I2313">
        <f>ROUND(CompilDonnées[[#This Row],[CultureDuration_days]]/7,0)</f>
        <v>6</v>
      </c>
      <c r="J2313">
        <v>3107</v>
      </c>
      <c r="K2313" t="str">
        <f>_xlfn.CONCAT(WEEKNUM(CompilDonnées[[#This Row],[PlantationDate]]), " ", YEAR(CompilDonnées[[#This Row],[PlantationDate]]))</f>
        <v>15 2025</v>
      </c>
      <c r="L2313" t="str">
        <f>CONCATENATE(MONTH(CompilDonnées[[#This Row],[PlantationDate]])," ", YEAR(CompilDonnées[[#This Row],[PlantationDate]]))</f>
        <v>4 2025</v>
      </c>
      <c r="M2313" t="str">
        <f>CONCATENATE(MONTH(CompilDonnées[[#This Row],[HarvestingDate]])," ", YEAR(CompilDonnées[[#This Row],[HarvestingDate]]))</f>
        <v>5 2025</v>
      </c>
      <c r="N2313">
        <f>_xlfn.NUMBERVALUE(CompilDonnées[[#This Row],[FarmID]]&amp;CompilDonnées[[#This Row],[ModuleNumber]]&amp;CompilDonnées[[#This Row],[PlantationDate]])</f>
        <v>44445756</v>
      </c>
      <c r="O2313" t="str">
        <f>CompilDonnées[[#This Row],[FarmID]]&amp;CompilDonnées[[#This Row],[ModuleNumber]]</f>
        <v>444</v>
      </c>
      <c r="P2313" t="str">
        <f>CompilDonnées[[#This Row],[Ref_Module]]&amp;CompilDonnées[[#This Row],[HarvestingDate]]</f>
        <v>44445797</v>
      </c>
    </row>
    <row r="2314" spans="1:16">
      <c r="A2314" s="5">
        <v>45757</v>
      </c>
      <c r="B2314">
        <v>29</v>
      </c>
      <c r="C2314" t="s">
        <v>2</v>
      </c>
      <c r="D2314">
        <v>5</v>
      </c>
      <c r="E2314">
        <v>100</v>
      </c>
      <c r="F2314" t="s">
        <v>1</v>
      </c>
      <c r="G2314" s="6">
        <v>45805</v>
      </c>
      <c r="H2314">
        <v>48</v>
      </c>
      <c r="I2314">
        <f>ROUND(CompilDonnées[[#This Row],[CultureDuration_days]]/7,0)</f>
        <v>7</v>
      </c>
      <c r="J2314">
        <v>1709</v>
      </c>
      <c r="K2314" t="str">
        <f>_xlfn.CONCAT(WEEKNUM(CompilDonnées[[#This Row],[PlantationDate]]), " ", YEAR(CompilDonnées[[#This Row],[PlantationDate]]))</f>
        <v>15 2025</v>
      </c>
      <c r="L2314" t="str">
        <f>CONCATENATE(MONTH(CompilDonnées[[#This Row],[PlantationDate]])," ", YEAR(CompilDonnées[[#This Row],[PlantationDate]]))</f>
        <v>4 2025</v>
      </c>
      <c r="M2314" t="str">
        <f>CONCATENATE(MONTH(CompilDonnées[[#This Row],[HarvestingDate]])," ", YEAR(CompilDonnées[[#This Row],[HarvestingDate]]))</f>
        <v>5 2025</v>
      </c>
      <c r="N2314">
        <f>_xlfn.NUMBERVALUE(CompilDonnées[[#This Row],[FarmID]]&amp;CompilDonnées[[#This Row],[ModuleNumber]]&amp;CompilDonnées[[#This Row],[PlantationDate]])</f>
        <v>29545757</v>
      </c>
      <c r="O2314" t="str">
        <f>CompilDonnées[[#This Row],[FarmID]]&amp;CompilDonnées[[#This Row],[ModuleNumber]]</f>
        <v>295</v>
      </c>
      <c r="P2314" t="str">
        <f>CompilDonnées[[#This Row],[Ref_Module]]&amp;CompilDonnées[[#This Row],[HarvestingDate]]</f>
        <v>29545805</v>
      </c>
    </row>
    <row r="2315" spans="1:16">
      <c r="A2315" s="5">
        <v>45757</v>
      </c>
      <c r="B2315">
        <v>34</v>
      </c>
      <c r="C2315" t="s">
        <v>68</v>
      </c>
      <c r="D2315">
        <v>2</v>
      </c>
      <c r="E2315">
        <v>100</v>
      </c>
      <c r="F2315" t="s">
        <v>1</v>
      </c>
      <c r="G2315" s="6">
        <v>45807</v>
      </c>
      <c r="H2315">
        <v>50</v>
      </c>
      <c r="I2315">
        <f>ROUND(CompilDonnées[[#This Row],[CultureDuration_days]]/7,0)</f>
        <v>7</v>
      </c>
      <c r="J2315">
        <v>1742</v>
      </c>
      <c r="K2315" t="str">
        <f>_xlfn.CONCAT(WEEKNUM(CompilDonnées[[#This Row],[PlantationDate]]), " ", YEAR(CompilDonnées[[#This Row],[PlantationDate]]))</f>
        <v>15 2025</v>
      </c>
      <c r="L2315" t="str">
        <f>CONCATENATE(MONTH(CompilDonnées[[#This Row],[PlantationDate]])," ", YEAR(CompilDonnées[[#This Row],[PlantationDate]]))</f>
        <v>4 2025</v>
      </c>
      <c r="M2315" t="str">
        <f>CONCATENATE(MONTH(CompilDonnées[[#This Row],[HarvestingDate]])," ", YEAR(CompilDonnées[[#This Row],[HarvestingDate]]))</f>
        <v>5 2025</v>
      </c>
      <c r="N2315">
        <f>_xlfn.NUMBERVALUE(CompilDonnées[[#This Row],[FarmID]]&amp;CompilDonnées[[#This Row],[ModuleNumber]]&amp;CompilDonnées[[#This Row],[PlantationDate]])</f>
        <v>34245757</v>
      </c>
      <c r="O2315" t="str">
        <f>CompilDonnées[[#This Row],[FarmID]]&amp;CompilDonnées[[#This Row],[ModuleNumber]]</f>
        <v>342</v>
      </c>
      <c r="P2315" t="str">
        <f>CompilDonnées[[#This Row],[Ref_Module]]&amp;CompilDonnées[[#This Row],[HarvestingDate]]</f>
        <v>34245807</v>
      </c>
    </row>
    <row r="2316" spans="1:16">
      <c r="A2316" s="5">
        <v>45757</v>
      </c>
      <c r="B2316">
        <v>37</v>
      </c>
      <c r="C2316" t="s">
        <v>26</v>
      </c>
      <c r="D2316">
        <v>2</v>
      </c>
      <c r="E2316">
        <v>100</v>
      </c>
      <c r="F2316" t="s">
        <v>1</v>
      </c>
      <c r="G2316" s="6">
        <v>45806</v>
      </c>
      <c r="H2316">
        <v>49</v>
      </c>
      <c r="I2316">
        <f>ROUND(CompilDonnées[[#This Row],[CultureDuration_days]]/7,0)</f>
        <v>7</v>
      </c>
      <c r="J2316">
        <v>1860</v>
      </c>
      <c r="K2316" t="str">
        <f>_xlfn.CONCAT(WEEKNUM(CompilDonnées[[#This Row],[PlantationDate]]), " ", YEAR(CompilDonnées[[#This Row],[PlantationDate]]))</f>
        <v>15 2025</v>
      </c>
      <c r="L2316" t="str">
        <f>CONCATENATE(MONTH(CompilDonnées[[#This Row],[PlantationDate]])," ", YEAR(CompilDonnées[[#This Row],[PlantationDate]]))</f>
        <v>4 2025</v>
      </c>
      <c r="M2316" t="str">
        <f>CONCATENATE(MONTH(CompilDonnées[[#This Row],[HarvestingDate]])," ", YEAR(CompilDonnées[[#This Row],[HarvestingDate]]))</f>
        <v>5 2025</v>
      </c>
      <c r="N2316">
        <f>_xlfn.NUMBERVALUE(CompilDonnées[[#This Row],[FarmID]]&amp;CompilDonnées[[#This Row],[ModuleNumber]]&amp;CompilDonnées[[#This Row],[PlantationDate]])</f>
        <v>37245757</v>
      </c>
      <c r="O2316" t="str">
        <f>CompilDonnées[[#This Row],[FarmID]]&amp;CompilDonnées[[#This Row],[ModuleNumber]]</f>
        <v>372</v>
      </c>
      <c r="P2316" t="str">
        <f>CompilDonnées[[#This Row],[Ref_Module]]&amp;CompilDonnées[[#This Row],[HarvestingDate]]</f>
        <v>37245806</v>
      </c>
    </row>
    <row r="2317" spans="1:16">
      <c r="A2317" s="5">
        <v>45757</v>
      </c>
      <c r="B2317">
        <v>39</v>
      </c>
      <c r="C2317" t="s">
        <v>81</v>
      </c>
      <c r="D2317">
        <v>1</v>
      </c>
      <c r="E2317">
        <v>100</v>
      </c>
      <c r="F2317" t="s">
        <v>1</v>
      </c>
      <c r="G2317" s="6">
        <v>45807</v>
      </c>
      <c r="H2317">
        <v>50</v>
      </c>
      <c r="I2317">
        <f>ROUND(CompilDonnées[[#This Row],[CultureDuration_days]]/7,0)</f>
        <v>7</v>
      </c>
      <c r="J2317">
        <v>2069</v>
      </c>
      <c r="K2317" t="str">
        <f>_xlfn.CONCAT(WEEKNUM(CompilDonnées[[#This Row],[PlantationDate]]), " ", YEAR(CompilDonnées[[#This Row],[PlantationDate]]))</f>
        <v>15 2025</v>
      </c>
      <c r="L2317" t="str">
        <f>CONCATENATE(MONTH(CompilDonnées[[#This Row],[PlantationDate]])," ", YEAR(CompilDonnées[[#This Row],[PlantationDate]]))</f>
        <v>4 2025</v>
      </c>
      <c r="M2317" t="str">
        <f>CONCATENATE(MONTH(CompilDonnées[[#This Row],[HarvestingDate]])," ", YEAR(CompilDonnées[[#This Row],[HarvestingDate]]))</f>
        <v>5 2025</v>
      </c>
      <c r="N2317">
        <f>_xlfn.NUMBERVALUE(CompilDonnées[[#This Row],[FarmID]]&amp;CompilDonnées[[#This Row],[ModuleNumber]]&amp;CompilDonnées[[#This Row],[PlantationDate]])</f>
        <v>39145757</v>
      </c>
      <c r="O2317" t="str">
        <f>CompilDonnées[[#This Row],[FarmID]]&amp;CompilDonnées[[#This Row],[ModuleNumber]]</f>
        <v>391</v>
      </c>
      <c r="P2317" t="str">
        <f>CompilDonnées[[#This Row],[Ref_Module]]&amp;CompilDonnées[[#This Row],[HarvestingDate]]</f>
        <v>39145807</v>
      </c>
    </row>
    <row r="2318" spans="1:16">
      <c r="A2318" s="5">
        <v>45757</v>
      </c>
      <c r="B2318">
        <v>41</v>
      </c>
      <c r="C2318" t="s">
        <v>70</v>
      </c>
      <c r="D2318">
        <v>4</v>
      </c>
      <c r="E2318">
        <v>100</v>
      </c>
      <c r="F2318" t="s">
        <v>1</v>
      </c>
      <c r="G2318" s="6">
        <v>45804</v>
      </c>
      <c r="H2318">
        <v>47</v>
      </c>
      <c r="I2318">
        <f>ROUND(CompilDonnées[[#This Row],[CultureDuration_days]]/7,0)</f>
        <v>7</v>
      </c>
      <c r="J2318">
        <v>2001</v>
      </c>
      <c r="K2318" t="str">
        <f>_xlfn.CONCAT(WEEKNUM(CompilDonnées[[#This Row],[PlantationDate]]), " ", YEAR(CompilDonnées[[#This Row],[PlantationDate]]))</f>
        <v>15 2025</v>
      </c>
      <c r="L2318" t="str">
        <f>CONCATENATE(MONTH(CompilDonnées[[#This Row],[PlantationDate]])," ", YEAR(CompilDonnées[[#This Row],[PlantationDate]]))</f>
        <v>4 2025</v>
      </c>
      <c r="M2318" t="str">
        <f>CONCATENATE(MONTH(CompilDonnées[[#This Row],[HarvestingDate]])," ", YEAR(CompilDonnées[[#This Row],[HarvestingDate]]))</f>
        <v>5 2025</v>
      </c>
      <c r="N2318">
        <f>_xlfn.NUMBERVALUE(CompilDonnées[[#This Row],[FarmID]]&amp;CompilDonnées[[#This Row],[ModuleNumber]]&amp;CompilDonnées[[#This Row],[PlantationDate]])</f>
        <v>41445757</v>
      </c>
      <c r="O2318" t="str">
        <f>CompilDonnées[[#This Row],[FarmID]]&amp;CompilDonnées[[#This Row],[ModuleNumber]]</f>
        <v>414</v>
      </c>
      <c r="P2318" t="str">
        <f>CompilDonnées[[#This Row],[Ref_Module]]&amp;CompilDonnées[[#This Row],[HarvestingDate]]</f>
        <v>41445804</v>
      </c>
    </row>
    <row r="2319" spans="1:16">
      <c r="A2319" s="5">
        <v>45757</v>
      </c>
      <c r="B2319">
        <v>48</v>
      </c>
      <c r="C2319" t="s">
        <v>71</v>
      </c>
      <c r="D2319">
        <v>2</v>
      </c>
      <c r="E2319">
        <v>100</v>
      </c>
      <c r="F2319" t="s">
        <v>1</v>
      </c>
      <c r="G2319" s="6">
        <v>45806</v>
      </c>
      <c r="H2319">
        <v>49</v>
      </c>
      <c r="I2319">
        <f>ROUND(CompilDonnées[[#This Row],[CultureDuration_days]]/7,0)</f>
        <v>7</v>
      </c>
      <c r="J2319">
        <v>1871</v>
      </c>
      <c r="K2319" t="str">
        <f>_xlfn.CONCAT(WEEKNUM(CompilDonnées[[#This Row],[PlantationDate]]), " ", YEAR(CompilDonnées[[#This Row],[PlantationDate]]))</f>
        <v>15 2025</v>
      </c>
      <c r="L2319" t="str">
        <f>CONCATENATE(MONTH(CompilDonnées[[#This Row],[PlantationDate]])," ", YEAR(CompilDonnées[[#This Row],[PlantationDate]]))</f>
        <v>4 2025</v>
      </c>
      <c r="M2319" t="str">
        <f>CONCATENATE(MONTH(CompilDonnées[[#This Row],[HarvestingDate]])," ", YEAR(CompilDonnées[[#This Row],[HarvestingDate]]))</f>
        <v>5 2025</v>
      </c>
      <c r="N2319">
        <f>_xlfn.NUMBERVALUE(CompilDonnées[[#This Row],[FarmID]]&amp;CompilDonnées[[#This Row],[ModuleNumber]]&amp;CompilDonnées[[#This Row],[PlantationDate]])</f>
        <v>48245757</v>
      </c>
      <c r="O2319" t="str">
        <f>CompilDonnées[[#This Row],[FarmID]]&amp;CompilDonnées[[#This Row],[ModuleNumber]]</f>
        <v>482</v>
      </c>
      <c r="P2319" t="str">
        <f>CompilDonnées[[#This Row],[Ref_Module]]&amp;CompilDonnées[[#This Row],[HarvestingDate]]</f>
        <v>48245806</v>
      </c>
    </row>
    <row r="2320" spans="1:16">
      <c r="A2320" s="5">
        <v>45757</v>
      </c>
      <c r="B2320">
        <v>50</v>
      </c>
      <c r="C2320" t="s">
        <v>55</v>
      </c>
      <c r="D2320">
        <v>3</v>
      </c>
      <c r="E2320">
        <v>100</v>
      </c>
      <c r="F2320" t="s">
        <v>1</v>
      </c>
      <c r="G2320" s="6">
        <v>45806</v>
      </c>
      <c r="H2320">
        <v>49</v>
      </c>
      <c r="I2320">
        <f>ROUND(CompilDonnées[[#This Row],[CultureDuration_days]]/7,0)</f>
        <v>7</v>
      </c>
      <c r="J2320">
        <v>1812</v>
      </c>
      <c r="K2320" t="str">
        <f>_xlfn.CONCAT(WEEKNUM(CompilDonnées[[#This Row],[PlantationDate]]), " ", YEAR(CompilDonnées[[#This Row],[PlantationDate]]))</f>
        <v>15 2025</v>
      </c>
      <c r="L2320" t="str">
        <f>CONCATENATE(MONTH(CompilDonnées[[#This Row],[PlantationDate]])," ", YEAR(CompilDonnées[[#This Row],[PlantationDate]]))</f>
        <v>4 2025</v>
      </c>
      <c r="M2320" t="str">
        <f>CONCATENATE(MONTH(CompilDonnées[[#This Row],[HarvestingDate]])," ", YEAR(CompilDonnées[[#This Row],[HarvestingDate]]))</f>
        <v>5 2025</v>
      </c>
      <c r="N2320">
        <f>_xlfn.NUMBERVALUE(CompilDonnées[[#This Row],[FarmID]]&amp;CompilDonnées[[#This Row],[ModuleNumber]]&amp;CompilDonnées[[#This Row],[PlantationDate]])</f>
        <v>50345757</v>
      </c>
      <c r="O2320" t="str">
        <f>CompilDonnées[[#This Row],[FarmID]]&amp;CompilDonnées[[#This Row],[ModuleNumber]]</f>
        <v>503</v>
      </c>
      <c r="P2320" t="str">
        <f>CompilDonnées[[#This Row],[Ref_Module]]&amp;CompilDonnées[[#This Row],[HarvestingDate]]</f>
        <v>50345806</v>
      </c>
    </row>
    <row r="2321" spans="1:16">
      <c r="A2321" s="5">
        <v>45757</v>
      </c>
      <c r="B2321">
        <v>50</v>
      </c>
      <c r="C2321" t="s">
        <v>55</v>
      </c>
      <c r="D2321">
        <v>4</v>
      </c>
      <c r="E2321">
        <v>100</v>
      </c>
      <c r="F2321" t="s">
        <v>1</v>
      </c>
      <c r="G2321" s="6">
        <v>45811</v>
      </c>
      <c r="H2321">
        <v>54</v>
      </c>
      <c r="I2321">
        <f>ROUND(CompilDonnées[[#This Row],[CultureDuration_days]]/7,0)</f>
        <v>8</v>
      </c>
      <c r="J2321">
        <v>2195</v>
      </c>
      <c r="K2321" t="str">
        <f>_xlfn.CONCAT(WEEKNUM(CompilDonnées[[#This Row],[PlantationDate]]), " ", YEAR(CompilDonnées[[#This Row],[PlantationDate]]))</f>
        <v>15 2025</v>
      </c>
      <c r="L2321" t="str">
        <f>CONCATENATE(MONTH(CompilDonnées[[#This Row],[PlantationDate]])," ", YEAR(CompilDonnées[[#This Row],[PlantationDate]]))</f>
        <v>4 2025</v>
      </c>
      <c r="M2321" t="str">
        <f>CONCATENATE(MONTH(CompilDonnées[[#This Row],[HarvestingDate]])," ", YEAR(CompilDonnées[[#This Row],[HarvestingDate]]))</f>
        <v>6 2025</v>
      </c>
      <c r="N2321">
        <f>_xlfn.NUMBERVALUE(CompilDonnées[[#This Row],[FarmID]]&amp;CompilDonnées[[#This Row],[ModuleNumber]]&amp;CompilDonnées[[#This Row],[PlantationDate]])</f>
        <v>50445757</v>
      </c>
      <c r="O2321" t="str">
        <f>CompilDonnées[[#This Row],[FarmID]]&amp;CompilDonnées[[#This Row],[ModuleNumber]]</f>
        <v>504</v>
      </c>
      <c r="P2321" t="str">
        <f>CompilDonnées[[#This Row],[Ref_Module]]&amp;CompilDonnées[[#This Row],[HarvestingDate]]</f>
        <v>50445811</v>
      </c>
    </row>
    <row r="2322" spans="1:16">
      <c r="A2322" s="5">
        <v>45757</v>
      </c>
      <c r="B2322">
        <v>52</v>
      </c>
      <c r="C2322" t="s">
        <v>3</v>
      </c>
      <c r="D2322">
        <v>1</v>
      </c>
      <c r="E2322">
        <v>45</v>
      </c>
      <c r="F2322" t="s">
        <v>1</v>
      </c>
      <c r="G2322" s="6">
        <v>45811</v>
      </c>
      <c r="H2322">
        <v>54</v>
      </c>
      <c r="I2322">
        <f>ROUND(CompilDonnées[[#This Row],[CultureDuration_days]]/7,0)</f>
        <v>8</v>
      </c>
      <c r="J2322">
        <v>1005</v>
      </c>
      <c r="K2322" t="str">
        <f>_xlfn.CONCAT(WEEKNUM(CompilDonnées[[#This Row],[PlantationDate]]), " ", YEAR(CompilDonnées[[#This Row],[PlantationDate]]))</f>
        <v>15 2025</v>
      </c>
      <c r="L2322" t="str">
        <f>CONCATENATE(MONTH(CompilDonnées[[#This Row],[PlantationDate]])," ", YEAR(CompilDonnées[[#This Row],[PlantationDate]]))</f>
        <v>4 2025</v>
      </c>
      <c r="M2322" t="str">
        <f>CONCATENATE(MONTH(CompilDonnées[[#This Row],[HarvestingDate]])," ", YEAR(CompilDonnées[[#This Row],[HarvestingDate]]))</f>
        <v>6 2025</v>
      </c>
      <c r="N2322">
        <f>_xlfn.NUMBERVALUE(CompilDonnées[[#This Row],[FarmID]]&amp;CompilDonnées[[#This Row],[ModuleNumber]]&amp;CompilDonnées[[#This Row],[PlantationDate]])</f>
        <v>52145757</v>
      </c>
      <c r="O2322" t="str">
        <f>CompilDonnées[[#This Row],[FarmID]]&amp;CompilDonnées[[#This Row],[ModuleNumber]]</f>
        <v>521</v>
      </c>
      <c r="P2322" t="str">
        <f>CompilDonnées[[#This Row],[Ref_Module]]&amp;CompilDonnées[[#This Row],[HarvestingDate]]</f>
        <v>52145811</v>
      </c>
    </row>
    <row r="2323" spans="1:16">
      <c r="A2323" s="5">
        <v>45757</v>
      </c>
      <c r="B2323">
        <v>52</v>
      </c>
      <c r="C2323" t="s">
        <v>3</v>
      </c>
      <c r="D2323">
        <v>2</v>
      </c>
      <c r="E2323">
        <v>45</v>
      </c>
      <c r="F2323" t="s">
        <v>1</v>
      </c>
      <c r="G2323" s="6">
        <v>45811</v>
      </c>
      <c r="H2323">
        <v>54</v>
      </c>
      <c r="I2323">
        <f>ROUND(CompilDonnées[[#This Row],[CultureDuration_days]]/7,0)</f>
        <v>8</v>
      </c>
      <c r="J2323">
        <v>1020</v>
      </c>
      <c r="K2323" t="str">
        <f>_xlfn.CONCAT(WEEKNUM(CompilDonnées[[#This Row],[PlantationDate]]), " ", YEAR(CompilDonnées[[#This Row],[PlantationDate]]))</f>
        <v>15 2025</v>
      </c>
      <c r="L2323" t="str">
        <f>CONCATENATE(MONTH(CompilDonnées[[#This Row],[PlantationDate]])," ", YEAR(CompilDonnées[[#This Row],[PlantationDate]]))</f>
        <v>4 2025</v>
      </c>
      <c r="M2323" t="str">
        <f>CONCATENATE(MONTH(CompilDonnées[[#This Row],[HarvestingDate]])," ", YEAR(CompilDonnées[[#This Row],[HarvestingDate]]))</f>
        <v>6 2025</v>
      </c>
      <c r="N2323">
        <f>_xlfn.NUMBERVALUE(CompilDonnées[[#This Row],[FarmID]]&amp;CompilDonnées[[#This Row],[ModuleNumber]]&amp;CompilDonnées[[#This Row],[PlantationDate]])</f>
        <v>52245757</v>
      </c>
      <c r="O2323" t="str">
        <f>CompilDonnées[[#This Row],[FarmID]]&amp;CompilDonnées[[#This Row],[ModuleNumber]]</f>
        <v>522</v>
      </c>
      <c r="P2323" t="str">
        <f>CompilDonnées[[#This Row],[Ref_Module]]&amp;CompilDonnées[[#This Row],[HarvestingDate]]</f>
        <v>52245811</v>
      </c>
    </row>
    <row r="2324" spans="1:16">
      <c r="A2324" s="5">
        <v>45757</v>
      </c>
      <c r="B2324">
        <v>52</v>
      </c>
      <c r="C2324" t="s">
        <v>3</v>
      </c>
      <c r="D2324">
        <v>3</v>
      </c>
      <c r="E2324">
        <v>45</v>
      </c>
      <c r="F2324" t="s">
        <v>1</v>
      </c>
      <c r="G2324" s="6">
        <v>45811</v>
      </c>
      <c r="H2324">
        <v>54</v>
      </c>
      <c r="I2324">
        <f>ROUND(CompilDonnées[[#This Row],[CultureDuration_days]]/7,0)</f>
        <v>8</v>
      </c>
      <c r="J2324">
        <v>1030</v>
      </c>
      <c r="K2324" t="str">
        <f>_xlfn.CONCAT(WEEKNUM(CompilDonnées[[#This Row],[PlantationDate]]), " ", YEAR(CompilDonnées[[#This Row],[PlantationDate]]))</f>
        <v>15 2025</v>
      </c>
      <c r="L2324" t="str">
        <f>CONCATENATE(MONTH(CompilDonnées[[#This Row],[PlantationDate]])," ", YEAR(CompilDonnées[[#This Row],[PlantationDate]]))</f>
        <v>4 2025</v>
      </c>
      <c r="M2324" t="str">
        <f>CONCATENATE(MONTH(CompilDonnées[[#This Row],[HarvestingDate]])," ", YEAR(CompilDonnées[[#This Row],[HarvestingDate]]))</f>
        <v>6 2025</v>
      </c>
      <c r="N2324">
        <f>_xlfn.NUMBERVALUE(CompilDonnées[[#This Row],[FarmID]]&amp;CompilDonnées[[#This Row],[ModuleNumber]]&amp;CompilDonnées[[#This Row],[PlantationDate]])</f>
        <v>52345757</v>
      </c>
      <c r="O2324" t="str">
        <f>CompilDonnées[[#This Row],[FarmID]]&amp;CompilDonnées[[#This Row],[ModuleNumber]]</f>
        <v>523</v>
      </c>
      <c r="P2324" t="str">
        <f>CompilDonnées[[#This Row],[Ref_Module]]&amp;CompilDonnées[[#This Row],[HarvestingDate]]</f>
        <v>52345811</v>
      </c>
    </row>
    <row r="2325" spans="1:16">
      <c r="A2325" s="5">
        <v>45757</v>
      </c>
      <c r="B2325">
        <v>52</v>
      </c>
      <c r="C2325" t="s">
        <v>3</v>
      </c>
      <c r="D2325">
        <v>4</v>
      </c>
      <c r="E2325">
        <v>45</v>
      </c>
      <c r="F2325" t="s">
        <v>1</v>
      </c>
      <c r="G2325" s="6">
        <v>45811</v>
      </c>
      <c r="H2325">
        <v>54</v>
      </c>
      <c r="I2325">
        <f>ROUND(CompilDonnées[[#This Row],[CultureDuration_days]]/7,0)</f>
        <v>8</v>
      </c>
      <c r="J2325">
        <v>1015</v>
      </c>
      <c r="K2325" t="str">
        <f>_xlfn.CONCAT(WEEKNUM(CompilDonnées[[#This Row],[PlantationDate]]), " ", YEAR(CompilDonnées[[#This Row],[PlantationDate]]))</f>
        <v>15 2025</v>
      </c>
      <c r="L2325" t="str">
        <f>CONCATENATE(MONTH(CompilDonnées[[#This Row],[PlantationDate]])," ", YEAR(CompilDonnées[[#This Row],[PlantationDate]]))</f>
        <v>4 2025</v>
      </c>
      <c r="M2325" t="str">
        <f>CONCATENATE(MONTH(CompilDonnées[[#This Row],[HarvestingDate]])," ", YEAR(CompilDonnées[[#This Row],[HarvestingDate]]))</f>
        <v>6 2025</v>
      </c>
      <c r="N2325">
        <f>_xlfn.NUMBERVALUE(CompilDonnées[[#This Row],[FarmID]]&amp;CompilDonnées[[#This Row],[ModuleNumber]]&amp;CompilDonnées[[#This Row],[PlantationDate]])</f>
        <v>52445757</v>
      </c>
      <c r="O2325" t="str">
        <f>CompilDonnées[[#This Row],[FarmID]]&amp;CompilDonnées[[#This Row],[ModuleNumber]]</f>
        <v>524</v>
      </c>
      <c r="P2325" t="str">
        <f>CompilDonnées[[#This Row],[Ref_Module]]&amp;CompilDonnées[[#This Row],[HarvestingDate]]</f>
        <v>52445811</v>
      </c>
    </row>
    <row r="2326" spans="1:16">
      <c r="A2326" s="5">
        <v>45757</v>
      </c>
      <c r="B2326">
        <v>52</v>
      </c>
      <c r="C2326" t="s">
        <v>3</v>
      </c>
      <c r="D2326">
        <v>5</v>
      </c>
      <c r="E2326">
        <v>45</v>
      </c>
      <c r="F2326" t="s">
        <v>1</v>
      </c>
      <c r="G2326" s="6">
        <v>45811</v>
      </c>
      <c r="H2326">
        <v>54</v>
      </c>
      <c r="I2326">
        <f>ROUND(CompilDonnées[[#This Row],[CultureDuration_days]]/7,0)</f>
        <v>8</v>
      </c>
      <c r="J2326">
        <v>1105</v>
      </c>
      <c r="K2326" t="str">
        <f>_xlfn.CONCAT(WEEKNUM(CompilDonnées[[#This Row],[PlantationDate]]), " ", YEAR(CompilDonnées[[#This Row],[PlantationDate]]))</f>
        <v>15 2025</v>
      </c>
      <c r="L2326" t="str">
        <f>CONCATENATE(MONTH(CompilDonnées[[#This Row],[PlantationDate]])," ", YEAR(CompilDonnées[[#This Row],[PlantationDate]]))</f>
        <v>4 2025</v>
      </c>
      <c r="M2326" t="str">
        <f>CONCATENATE(MONTH(CompilDonnées[[#This Row],[HarvestingDate]])," ", YEAR(CompilDonnées[[#This Row],[HarvestingDate]]))</f>
        <v>6 2025</v>
      </c>
      <c r="N2326">
        <f>_xlfn.NUMBERVALUE(CompilDonnées[[#This Row],[FarmID]]&amp;CompilDonnées[[#This Row],[ModuleNumber]]&amp;CompilDonnées[[#This Row],[PlantationDate]])</f>
        <v>52545757</v>
      </c>
      <c r="O2326" t="str">
        <f>CompilDonnées[[#This Row],[FarmID]]&amp;CompilDonnées[[#This Row],[ModuleNumber]]</f>
        <v>525</v>
      </c>
      <c r="P2326" t="str">
        <f>CompilDonnées[[#This Row],[Ref_Module]]&amp;CompilDonnées[[#This Row],[HarvestingDate]]</f>
        <v>52545811</v>
      </c>
    </row>
    <row r="2327" spans="1:16">
      <c r="A2327" s="5">
        <v>45757</v>
      </c>
      <c r="B2327">
        <v>54</v>
      </c>
      <c r="C2327" t="s">
        <v>39</v>
      </c>
      <c r="D2327">
        <v>1</v>
      </c>
      <c r="E2327">
        <v>100</v>
      </c>
      <c r="F2327" t="s">
        <v>1</v>
      </c>
      <c r="G2327" s="6">
        <v>45797</v>
      </c>
      <c r="H2327">
        <v>40</v>
      </c>
      <c r="I2327">
        <f>ROUND(CompilDonnées[[#This Row],[CultureDuration_days]]/7,0)</f>
        <v>6</v>
      </c>
      <c r="J2327">
        <v>2198</v>
      </c>
      <c r="K2327" t="str">
        <f>_xlfn.CONCAT(WEEKNUM(CompilDonnées[[#This Row],[PlantationDate]]), " ", YEAR(CompilDonnées[[#This Row],[PlantationDate]]))</f>
        <v>15 2025</v>
      </c>
      <c r="L2327" t="str">
        <f>CONCATENATE(MONTH(CompilDonnées[[#This Row],[PlantationDate]])," ", YEAR(CompilDonnées[[#This Row],[PlantationDate]]))</f>
        <v>4 2025</v>
      </c>
      <c r="M2327" t="str">
        <f>CONCATENATE(MONTH(CompilDonnées[[#This Row],[HarvestingDate]])," ", YEAR(CompilDonnées[[#This Row],[HarvestingDate]]))</f>
        <v>5 2025</v>
      </c>
      <c r="N2327">
        <f>_xlfn.NUMBERVALUE(CompilDonnées[[#This Row],[FarmID]]&amp;CompilDonnées[[#This Row],[ModuleNumber]]&amp;CompilDonnées[[#This Row],[PlantationDate]])</f>
        <v>54145757</v>
      </c>
      <c r="O2327" t="str">
        <f>CompilDonnées[[#This Row],[FarmID]]&amp;CompilDonnées[[#This Row],[ModuleNumber]]</f>
        <v>541</v>
      </c>
      <c r="P2327" t="str">
        <f>CompilDonnées[[#This Row],[Ref_Module]]&amp;CompilDonnées[[#This Row],[HarvestingDate]]</f>
        <v>54145797</v>
      </c>
    </row>
    <row r="2328" spans="1:16">
      <c r="A2328" s="5">
        <v>45757</v>
      </c>
      <c r="B2328">
        <v>55</v>
      </c>
      <c r="C2328" t="s">
        <v>60</v>
      </c>
      <c r="D2328">
        <v>6</v>
      </c>
      <c r="E2328">
        <v>100</v>
      </c>
      <c r="F2328" t="s">
        <v>1</v>
      </c>
      <c r="G2328" s="6">
        <v>45806</v>
      </c>
      <c r="H2328">
        <v>49</v>
      </c>
      <c r="I2328">
        <f>ROUND(CompilDonnées[[#This Row],[CultureDuration_days]]/7,0)</f>
        <v>7</v>
      </c>
      <c r="J2328">
        <v>1879</v>
      </c>
      <c r="K2328" t="str">
        <f>_xlfn.CONCAT(WEEKNUM(CompilDonnées[[#This Row],[PlantationDate]]), " ", YEAR(CompilDonnées[[#This Row],[PlantationDate]]))</f>
        <v>15 2025</v>
      </c>
      <c r="L2328" t="str">
        <f>CONCATENATE(MONTH(CompilDonnées[[#This Row],[PlantationDate]])," ", YEAR(CompilDonnées[[#This Row],[PlantationDate]]))</f>
        <v>4 2025</v>
      </c>
      <c r="M2328" t="str">
        <f>CONCATENATE(MONTH(CompilDonnées[[#This Row],[HarvestingDate]])," ", YEAR(CompilDonnées[[#This Row],[HarvestingDate]]))</f>
        <v>5 2025</v>
      </c>
      <c r="N2328">
        <f>_xlfn.NUMBERVALUE(CompilDonnées[[#This Row],[FarmID]]&amp;CompilDonnées[[#This Row],[ModuleNumber]]&amp;CompilDonnées[[#This Row],[PlantationDate]])</f>
        <v>55645757</v>
      </c>
      <c r="O2328" t="str">
        <f>CompilDonnées[[#This Row],[FarmID]]&amp;CompilDonnées[[#This Row],[ModuleNumber]]</f>
        <v>556</v>
      </c>
      <c r="P2328" t="str">
        <f>CompilDonnées[[#This Row],[Ref_Module]]&amp;CompilDonnées[[#This Row],[HarvestingDate]]</f>
        <v>55645806</v>
      </c>
    </row>
    <row r="2329" spans="1:16">
      <c r="A2329" s="5">
        <v>45757</v>
      </c>
      <c r="B2329">
        <v>56</v>
      </c>
      <c r="C2329" t="s">
        <v>6</v>
      </c>
      <c r="D2329">
        <v>4</v>
      </c>
      <c r="E2329">
        <v>100</v>
      </c>
      <c r="F2329" t="s">
        <v>1</v>
      </c>
      <c r="G2329" s="6">
        <v>45797</v>
      </c>
      <c r="H2329">
        <v>40</v>
      </c>
      <c r="I2329">
        <f>ROUND(CompilDonnées[[#This Row],[CultureDuration_days]]/7,0)</f>
        <v>6</v>
      </c>
      <c r="J2329">
        <v>2584</v>
      </c>
      <c r="K2329" t="str">
        <f>_xlfn.CONCAT(WEEKNUM(CompilDonnées[[#This Row],[PlantationDate]]), " ", YEAR(CompilDonnées[[#This Row],[PlantationDate]]))</f>
        <v>15 2025</v>
      </c>
      <c r="L2329" t="str">
        <f>CONCATENATE(MONTH(CompilDonnées[[#This Row],[PlantationDate]])," ", YEAR(CompilDonnées[[#This Row],[PlantationDate]]))</f>
        <v>4 2025</v>
      </c>
      <c r="M2329" t="str">
        <f>CONCATENATE(MONTH(CompilDonnées[[#This Row],[HarvestingDate]])," ", YEAR(CompilDonnées[[#This Row],[HarvestingDate]]))</f>
        <v>5 2025</v>
      </c>
      <c r="N2329">
        <f>_xlfn.NUMBERVALUE(CompilDonnées[[#This Row],[FarmID]]&amp;CompilDonnées[[#This Row],[ModuleNumber]]&amp;CompilDonnées[[#This Row],[PlantationDate]])</f>
        <v>56445757</v>
      </c>
      <c r="O2329" t="str">
        <f>CompilDonnées[[#This Row],[FarmID]]&amp;CompilDonnées[[#This Row],[ModuleNumber]]</f>
        <v>564</v>
      </c>
      <c r="P2329" t="str">
        <f>CompilDonnées[[#This Row],[Ref_Module]]&amp;CompilDonnées[[#This Row],[HarvestingDate]]</f>
        <v>56445797</v>
      </c>
    </row>
    <row r="2330" spans="1:16">
      <c r="A2330" s="5">
        <v>45757</v>
      </c>
      <c r="B2330">
        <v>57</v>
      </c>
      <c r="C2330" t="s">
        <v>46</v>
      </c>
      <c r="D2330">
        <v>6</v>
      </c>
      <c r="E2330">
        <v>100</v>
      </c>
      <c r="F2330" t="s">
        <v>1</v>
      </c>
      <c r="G2330" s="6">
        <v>45794</v>
      </c>
      <c r="H2330">
        <v>37</v>
      </c>
      <c r="I2330">
        <f>ROUND(CompilDonnées[[#This Row],[CultureDuration_days]]/7,0)</f>
        <v>5</v>
      </c>
      <c r="J2330">
        <v>2635</v>
      </c>
      <c r="K2330" t="str">
        <f>_xlfn.CONCAT(WEEKNUM(CompilDonnées[[#This Row],[PlantationDate]]), " ", YEAR(CompilDonnées[[#This Row],[PlantationDate]]))</f>
        <v>15 2025</v>
      </c>
      <c r="L2330" t="str">
        <f>CONCATENATE(MONTH(CompilDonnées[[#This Row],[PlantationDate]])," ", YEAR(CompilDonnées[[#This Row],[PlantationDate]]))</f>
        <v>4 2025</v>
      </c>
      <c r="M2330" t="str">
        <f>CONCATENATE(MONTH(CompilDonnées[[#This Row],[HarvestingDate]])," ", YEAR(CompilDonnées[[#This Row],[HarvestingDate]]))</f>
        <v>5 2025</v>
      </c>
      <c r="N2330">
        <f>_xlfn.NUMBERVALUE(CompilDonnées[[#This Row],[FarmID]]&amp;CompilDonnées[[#This Row],[ModuleNumber]]&amp;CompilDonnées[[#This Row],[PlantationDate]])</f>
        <v>57645757</v>
      </c>
      <c r="O2330" t="str">
        <f>CompilDonnées[[#This Row],[FarmID]]&amp;CompilDonnées[[#This Row],[ModuleNumber]]</f>
        <v>576</v>
      </c>
      <c r="P2330" t="str">
        <f>CompilDonnées[[#This Row],[Ref_Module]]&amp;CompilDonnées[[#This Row],[HarvestingDate]]</f>
        <v>57645794</v>
      </c>
    </row>
    <row r="2331" spans="1:16">
      <c r="A2331" s="5">
        <v>45757</v>
      </c>
      <c r="B2331">
        <v>58</v>
      </c>
      <c r="C2331" t="s">
        <v>35</v>
      </c>
      <c r="D2331">
        <v>3</v>
      </c>
      <c r="E2331">
        <v>100</v>
      </c>
      <c r="F2331" t="s">
        <v>1</v>
      </c>
      <c r="G2331" s="6">
        <v>45797</v>
      </c>
      <c r="H2331">
        <v>40</v>
      </c>
      <c r="I2331">
        <f>ROUND(CompilDonnées[[#This Row],[CultureDuration_days]]/7,0)</f>
        <v>6</v>
      </c>
      <c r="J2331">
        <v>2340</v>
      </c>
      <c r="K2331" t="str">
        <f>_xlfn.CONCAT(WEEKNUM(CompilDonnées[[#This Row],[PlantationDate]]), " ", YEAR(CompilDonnées[[#This Row],[PlantationDate]]))</f>
        <v>15 2025</v>
      </c>
      <c r="L2331" t="str">
        <f>CONCATENATE(MONTH(CompilDonnées[[#This Row],[PlantationDate]])," ", YEAR(CompilDonnées[[#This Row],[PlantationDate]]))</f>
        <v>4 2025</v>
      </c>
      <c r="M2331" t="str">
        <f>CONCATENATE(MONTH(CompilDonnées[[#This Row],[HarvestingDate]])," ", YEAR(CompilDonnées[[#This Row],[HarvestingDate]]))</f>
        <v>5 2025</v>
      </c>
      <c r="N2331">
        <f>_xlfn.NUMBERVALUE(CompilDonnées[[#This Row],[FarmID]]&amp;CompilDonnées[[#This Row],[ModuleNumber]]&amp;CompilDonnées[[#This Row],[PlantationDate]])</f>
        <v>58345757</v>
      </c>
      <c r="O2331" t="str">
        <f>CompilDonnées[[#This Row],[FarmID]]&amp;CompilDonnées[[#This Row],[ModuleNumber]]</f>
        <v>583</v>
      </c>
      <c r="P2331" t="str">
        <f>CompilDonnées[[#This Row],[Ref_Module]]&amp;CompilDonnées[[#This Row],[HarvestingDate]]</f>
        <v>58345797</v>
      </c>
    </row>
    <row r="2332" spans="1:16">
      <c r="A2332" s="5">
        <v>45757</v>
      </c>
      <c r="B2332">
        <v>58</v>
      </c>
      <c r="C2332" t="s">
        <v>35</v>
      </c>
      <c r="D2332">
        <v>4</v>
      </c>
      <c r="E2332">
        <v>100</v>
      </c>
      <c r="F2332" t="s">
        <v>1</v>
      </c>
      <c r="G2332" s="6">
        <v>45805</v>
      </c>
      <c r="H2332">
        <v>48</v>
      </c>
      <c r="I2332">
        <f>ROUND(CompilDonnées[[#This Row],[CultureDuration_days]]/7,0)</f>
        <v>7</v>
      </c>
      <c r="J2332">
        <v>1703</v>
      </c>
      <c r="K2332" t="str">
        <f>_xlfn.CONCAT(WEEKNUM(CompilDonnées[[#This Row],[PlantationDate]]), " ", YEAR(CompilDonnées[[#This Row],[PlantationDate]]))</f>
        <v>15 2025</v>
      </c>
      <c r="L2332" t="str">
        <f>CONCATENATE(MONTH(CompilDonnées[[#This Row],[PlantationDate]])," ", YEAR(CompilDonnées[[#This Row],[PlantationDate]]))</f>
        <v>4 2025</v>
      </c>
      <c r="M2332" t="str">
        <f>CONCATENATE(MONTH(CompilDonnées[[#This Row],[HarvestingDate]])," ", YEAR(CompilDonnées[[#This Row],[HarvestingDate]]))</f>
        <v>5 2025</v>
      </c>
      <c r="N2332">
        <f>_xlfn.NUMBERVALUE(CompilDonnées[[#This Row],[FarmID]]&amp;CompilDonnées[[#This Row],[ModuleNumber]]&amp;CompilDonnées[[#This Row],[PlantationDate]])</f>
        <v>58445757</v>
      </c>
      <c r="O2332" t="str">
        <f>CompilDonnées[[#This Row],[FarmID]]&amp;CompilDonnées[[#This Row],[ModuleNumber]]</f>
        <v>584</v>
      </c>
      <c r="P2332" t="str">
        <f>CompilDonnées[[#This Row],[Ref_Module]]&amp;CompilDonnées[[#This Row],[HarvestingDate]]</f>
        <v>58445805</v>
      </c>
    </row>
    <row r="2333" spans="1:16">
      <c r="A2333" s="5">
        <v>45757</v>
      </c>
      <c r="B2333">
        <v>61</v>
      </c>
      <c r="C2333" t="s">
        <v>95</v>
      </c>
      <c r="D2333">
        <v>6</v>
      </c>
      <c r="E2333">
        <v>100</v>
      </c>
      <c r="F2333" t="s">
        <v>1</v>
      </c>
      <c r="G2333" s="6">
        <v>45805</v>
      </c>
      <c r="H2333">
        <v>48</v>
      </c>
      <c r="I2333">
        <f>ROUND(CompilDonnées[[#This Row],[CultureDuration_days]]/7,0)</f>
        <v>7</v>
      </c>
      <c r="J2333">
        <v>1996</v>
      </c>
      <c r="K2333" t="str">
        <f>_xlfn.CONCAT(WEEKNUM(CompilDonnées[[#This Row],[PlantationDate]]), " ", YEAR(CompilDonnées[[#This Row],[PlantationDate]]))</f>
        <v>15 2025</v>
      </c>
      <c r="L2333" t="str">
        <f>CONCATENATE(MONTH(CompilDonnées[[#This Row],[PlantationDate]])," ", YEAR(CompilDonnées[[#This Row],[PlantationDate]]))</f>
        <v>4 2025</v>
      </c>
      <c r="M2333" t="str">
        <f>CONCATENATE(MONTH(CompilDonnées[[#This Row],[HarvestingDate]])," ", YEAR(CompilDonnées[[#This Row],[HarvestingDate]]))</f>
        <v>5 2025</v>
      </c>
      <c r="N2333">
        <f>_xlfn.NUMBERVALUE(CompilDonnées[[#This Row],[FarmID]]&amp;CompilDonnées[[#This Row],[ModuleNumber]]&amp;CompilDonnées[[#This Row],[PlantationDate]])</f>
        <v>61645757</v>
      </c>
      <c r="O2333" t="str">
        <f>CompilDonnées[[#This Row],[FarmID]]&amp;CompilDonnées[[#This Row],[ModuleNumber]]</f>
        <v>616</v>
      </c>
      <c r="P2333" t="str">
        <f>CompilDonnées[[#This Row],[Ref_Module]]&amp;CompilDonnées[[#This Row],[HarvestingDate]]</f>
        <v>61645805</v>
      </c>
    </row>
    <row r="2334" spans="1:16">
      <c r="A2334" s="5">
        <v>45757</v>
      </c>
      <c r="B2334">
        <v>64</v>
      </c>
      <c r="C2334" t="s">
        <v>47</v>
      </c>
      <c r="D2334">
        <v>5</v>
      </c>
      <c r="E2334">
        <v>100</v>
      </c>
      <c r="F2334" t="s">
        <v>1</v>
      </c>
      <c r="G2334" s="6">
        <v>45804</v>
      </c>
      <c r="H2334">
        <v>47</v>
      </c>
      <c r="I2334">
        <f>ROUND(CompilDonnées[[#This Row],[CultureDuration_days]]/7,0)</f>
        <v>7</v>
      </c>
      <c r="J2334">
        <v>1956</v>
      </c>
      <c r="K2334" t="str">
        <f>_xlfn.CONCAT(WEEKNUM(CompilDonnées[[#This Row],[PlantationDate]]), " ", YEAR(CompilDonnées[[#This Row],[PlantationDate]]))</f>
        <v>15 2025</v>
      </c>
      <c r="L2334" t="str">
        <f>CONCATENATE(MONTH(CompilDonnées[[#This Row],[PlantationDate]])," ", YEAR(CompilDonnées[[#This Row],[PlantationDate]]))</f>
        <v>4 2025</v>
      </c>
      <c r="M2334" t="str">
        <f>CONCATENATE(MONTH(CompilDonnées[[#This Row],[HarvestingDate]])," ", YEAR(CompilDonnées[[#This Row],[HarvestingDate]]))</f>
        <v>5 2025</v>
      </c>
      <c r="N2334">
        <f>_xlfn.NUMBERVALUE(CompilDonnées[[#This Row],[FarmID]]&amp;CompilDonnées[[#This Row],[ModuleNumber]]&amp;CompilDonnées[[#This Row],[PlantationDate]])</f>
        <v>64545757</v>
      </c>
      <c r="O2334" t="str">
        <f>CompilDonnées[[#This Row],[FarmID]]&amp;CompilDonnées[[#This Row],[ModuleNumber]]</f>
        <v>645</v>
      </c>
      <c r="P2334" t="str">
        <f>CompilDonnées[[#This Row],[Ref_Module]]&amp;CompilDonnées[[#This Row],[HarvestingDate]]</f>
        <v>64545804</v>
      </c>
    </row>
    <row r="2335" spans="1:16">
      <c r="A2335" s="5">
        <v>45757</v>
      </c>
      <c r="B2335">
        <v>64</v>
      </c>
      <c r="C2335" t="s">
        <v>47</v>
      </c>
      <c r="D2335">
        <v>6</v>
      </c>
      <c r="E2335">
        <v>100</v>
      </c>
      <c r="F2335" t="s">
        <v>1</v>
      </c>
      <c r="G2335" s="6">
        <v>45804</v>
      </c>
      <c r="H2335">
        <v>47</v>
      </c>
      <c r="I2335">
        <f>ROUND(CompilDonnées[[#This Row],[CultureDuration_days]]/7,0)</f>
        <v>7</v>
      </c>
      <c r="J2335">
        <v>2047</v>
      </c>
      <c r="K2335" t="str">
        <f>_xlfn.CONCAT(WEEKNUM(CompilDonnées[[#This Row],[PlantationDate]]), " ", YEAR(CompilDonnées[[#This Row],[PlantationDate]]))</f>
        <v>15 2025</v>
      </c>
      <c r="L2335" t="str">
        <f>CONCATENATE(MONTH(CompilDonnées[[#This Row],[PlantationDate]])," ", YEAR(CompilDonnées[[#This Row],[PlantationDate]]))</f>
        <v>4 2025</v>
      </c>
      <c r="M2335" t="str">
        <f>CONCATENATE(MONTH(CompilDonnées[[#This Row],[HarvestingDate]])," ", YEAR(CompilDonnées[[#This Row],[HarvestingDate]]))</f>
        <v>5 2025</v>
      </c>
      <c r="N2335">
        <f>_xlfn.NUMBERVALUE(CompilDonnées[[#This Row],[FarmID]]&amp;CompilDonnées[[#This Row],[ModuleNumber]]&amp;CompilDonnées[[#This Row],[PlantationDate]])</f>
        <v>64645757</v>
      </c>
      <c r="O2335" t="str">
        <f>CompilDonnées[[#This Row],[FarmID]]&amp;CompilDonnées[[#This Row],[ModuleNumber]]</f>
        <v>646</v>
      </c>
      <c r="P2335" t="str">
        <f>CompilDonnées[[#This Row],[Ref_Module]]&amp;CompilDonnées[[#This Row],[HarvestingDate]]</f>
        <v>64645804</v>
      </c>
    </row>
    <row r="2336" spans="1:16">
      <c r="A2336" s="5">
        <v>45757</v>
      </c>
      <c r="B2336">
        <v>65</v>
      </c>
      <c r="C2336" t="s">
        <v>36</v>
      </c>
      <c r="D2336">
        <v>6</v>
      </c>
      <c r="E2336">
        <v>100</v>
      </c>
      <c r="F2336" t="s">
        <v>1</v>
      </c>
      <c r="G2336" s="6">
        <v>45798</v>
      </c>
      <c r="H2336">
        <v>41</v>
      </c>
      <c r="I2336">
        <f>ROUND(CompilDonnées[[#This Row],[CultureDuration_days]]/7,0)</f>
        <v>6</v>
      </c>
      <c r="J2336">
        <v>2539</v>
      </c>
      <c r="K2336" t="str">
        <f>_xlfn.CONCAT(WEEKNUM(CompilDonnées[[#This Row],[PlantationDate]]), " ", YEAR(CompilDonnées[[#This Row],[PlantationDate]]))</f>
        <v>15 2025</v>
      </c>
      <c r="L2336" t="str">
        <f>CONCATENATE(MONTH(CompilDonnées[[#This Row],[PlantationDate]])," ", YEAR(CompilDonnées[[#This Row],[PlantationDate]]))</f>
        <v>4 2025</v>
      </c>
      <c r="M2336" t="str">
        <f>CONCATENATE(MONTH(CompilDonnées[[#This Row],[HarvestingDate]])," ", YEAR(CompilDonnées[[#This Row],[HarvestingDate]]))</f>
        <v>5 2025</v>
      </c>
      <c r="N2336">
        <f>_xlfn.NUMBERVALUE(CompilDonnées[[#This Row],[FarmID]]&amp;CompilDonnées[[#This Row],[ModuleNumber]]&amp;CompilDonnées[[#This Row],[PlantationDate]])</f>
        <v>65645757</v>
      </c>
      <c r="O2336" t="str">
        <f>CompilDonnées[[#This Row],[FarmID]]&amp;CompilDonnées[[#This Row],[ModuleNumber]]</f>
        <v>656</v>
      </c>
      <c r="P2336" t="str">
        <f>CompilDonnées[[#This Row],[Ref_Module]]&amp;CompilDonnées[[#This Row],[HarvestingDate]]</f>
        <v>65645798</v>
      </c>
    </row>
    <row r="2337" spans="1:16">
      <c r="A2337" s="5">
        <v>45757</v>
      </c>
      <c r="B2337">
        <v>66</v>
      </c>
      <c r="C2337" t="s">
        <v>48</v>
      </c>
      <c r="D2337">
        <v>2</v>
      </c>
      <c r="E2337">
        <v>100</v>
      </c>
      <c r="F2337" t="s">
        <v>1</v>
      </c>
      <c r="G2337" s="6">
        <v>45798</v>
      </c>
      <c r="H2337">
        <v>41</v>
      </c>
      <c r="I2337">
        <f>ROUND(CompilDonnées[[#This Row],[CultureDuration_days]]/7,0)</f>
        <v>6</v>
      </c>
      <c r="J2337">
        <v>2292</v>
      </c>
      <c r="K2337" t="str">
        <f>_xlfn.CONCAT(WEEKNUM(CompilDonnées[[#This Row],[PlantationDate]]), " ", YEAR(CompilDonnées[[#This Row],[PlantationDate]]))</f>
        <v>15 2025</v>
      </c>
      <c r="L2337" t="str">
        <f>CONCATENATE(MONTH(CompilDonnées[[#This Row],[PlantationDate]])," ", YEAR(CompilDonnées[[#This Row],[PlantationDate]]))</f>
        <v>4 2025</v>
      </c>
      <c r="M2337" t="str">
        <f>CONCATENATE(MONTH(CompilDonnées[[#This Row],[HarvestingDate]])," ", YEAR(CompilDonnées[[#This Row],[HarvestingDate]]))</f>
        <v>5 2025</v>
      </c>
      <c r="N2337">
        <f>_xlfn.NUMBERVALUE(CompilDonnées[[#This Row],[FarmID]]&amp;CompilDonnées[[#This Row],[ModuleNumber]]&amp;CompilDonnées[[#This Row],[PlantationDate]])</f>
        <v>66245757</v>
      </c>
      <c r="O2337" t="str">
        <f>CompilDonnées[[#This Row],[FarmID]]&amp;CompilDonnées[[#This Row],[ModuleNumber]]</f>
        <v>662</v>
      </c>
      <c r="P2337" t="str">
        <f>CompilDonnées[[#This Row],[Ref_Module]]&amp;CompilDonnées[[#This Row],[HarvestingDate]]</f>
        <v>66245798</v>
      </c>
    </row>
    <row r="2338" spans="1:16">
      <c r="A2338" s="5">
        <v>45757</v>
      </c>
      <c r="B2338">
        <v>67</v>
      </c>
      <c r="C2338" t="s">
        <v>28</v>
      </c>
      <c r="D2338">
        <v>4</v>
      </c>
      <c r="E2338">
        <v>100</v>
      </c>
      <c r="F2338" t="s">
        <v>1</v>
      </c>
      <c r="G2338" s="6">
        <v>45798</v>
      </c>
      <c r="H2338">
        <v>41</v>
      </c>
      <c r="I2338">
        <f>ROUND(CompilDonnées[[#This Row],[CultureDuration_days]]/7,0)</f>
        <v>6</v>
      </c>
      <c r="J2338">
        <v>2469</v>
      </c>
      <c r="K2338" t="str">
        <f>_xlfn.CONCAT(WEEKNUM(CompilDonnées[[#This Row],[PlantationDate]]), " ", YEAR(CompilDonnées[[#This Row],[PlantationDate]]))</f>
        <v>15 2025</v>
      </c>
      <c r="L2338" t="str">
        <f>CONCATENATE(MONTH(CompilDonnées[[#This Row],[PlantationDate]])," ", YEAR(CompilDonnées[[#This Row],[PlantationDate]]))</f>
        <v>4 2025</v>
      </c>
      <c r="M2338" t="str">
        <f>CONCATENATE(MONTH(CompilDonnées[[#This Row],[HarvestingDate]])," ", YEAR(CompilDonnées[[#This Row],[HarvestingDate]]))</f>
        <v>5 2025</v>
      </c>
      <c r="N2338">
        <f>_xlfn.NUMBERVALUE(CompilDonnées[[#This Row],[FarmID]]&amp;CompilDonnées[[#This Row],[ModuleNumber]]&amp;CompilDonnées[[#This Row],[PlantationDate]])</f>
        <v>67445757</v>
      </c>
      <c r="O2338" t="str">
        <f>CompilDonnées[[#This Row],[FarmID]]&amp;CompilDonnées[[#This Row],[ModuleNumber]]</f>
        <v>674</v>
      </c>
      <c r="P2338" t="str">
        <f>CompilDonnées[[#This Row],[Ref_Module]]&amp;CompilDonnées[[#This Row],[HarvestingDate]]</f>
        <v>67445798</v>
      </c>
    </row>
    <row r="2339" spans="1:16">
      <c r="A2339" s="5">
        <v>45757</v>
      </c>
      <c r="B2339">
        <v>68</v>
      </c>
      <c r="C2339" t="s">
        <v>89</v>
      </c>
      <c r="D2339">
        <v>5</v>
      </c>
      <c r="E2339">
        <v>100</v>
      </c>
      <c r="F2339" t="s">
        <v>1</v>
      </c>
      <c r="G2339" s="6">
        <v>45797</v>
      </c>
      <c r="H2339">
        <v>40</v>
      </c>
      <c r="I2339">
        <f>ROUND(CompilDonnées[[#This Row],[CultureDuration_days]]/7,0)</f>
        <v>6</v>
      </c>
      <c r="J2339">
        <v>2628</v>
      </c>
      <c r="K2339" t="str">
        <f>_xlfn.CONCAT(WEEKNUM(CompilDonnées[[#This Row],[PlantationDate]]), " ", YEAR(CompilDonnées[[#This Row],[PlantationDate]]))</f>
        <v>15 2025</v>
      </c>
      <c r="L2339" t="str">
        <f>CONCATENATE(MONTH(CompilDonnées[[#This Row],[PlantationDate]])," ", YEAR(CompilDonnées[[#This Row],[PlantationDate]]))</f>
        <v>4 2025</v>
      </c>
      <c r="M2339" t="str">
        <f>CONCATENATE(MONTH(CompilDonnées[[#This Row],[HarvestingDate]])," ", YEAR(CompilDonnées[[#This Row],[HarvestingDate]]))</f>
        <v>5 2025</v>
      </c>
      <c r="N2339">
        <f>_xlfn.NUMBERVALUE(CompilDonnées[[#This Row],[FarmID]]&amp;CompilDonnées[[#This Row],[ModuleNumber]]&amp;CompilDonnées[[#This Row],[PlantationDate]])</f>
        <v>68545757</v>
      </c>
      <c r="O2339" t="str">
        <f>CompilDonnées[[#This Row],[FarmID]]&amp;CompilDonnées[[#This Row],[ModuleNumber]]</f>
        <v>685</v>
      </c>
      <c r="P2339" t="str">
        <f>CompilDonnées[[#This Row],[Ref_Module]]&amp;CompilDonnées[[#This Row],[HarvestingDate]]</f>
        <v>68545797</v>
      </c>
    </row>
    <row r="2340" spans="1:16">
      <c r="A2340" s="5">
        <v>45757</v>
      </c>
      <c r="B2340">
        <v>72</v>
      </c>
      <c r="C2340" t="s">
        <v>49</v>
      </c>
      <c r="D2340">
        <v>6</v>
      </c>
      <c r="E2340">
        <v>100</v>
      </c>
      <c r="F2340" t="s">
        <v>1</v>
      </c>
      <c r="G2340" s="6">
        <v>45798</v>
      </c>
      <c r="H2340">
        <v>41</v>
      </c>
      <c r="I2340">
        <f>ROUND(CompilDonnées[[#This Row],[CultureDuration_days]]/7,0)</f>
        <v>6</v>
      </c>
      <c r="J2340">
        <v>2874</v>
      </c>
      <c r="K2340" t="str">
        <f>_xlfn.CONCAT(WEEKNUM(CompilDonnées[[#This Row],[PlantationDate]]), " ", YEAR(CompilDonnées[[#This Row],[PlantationDate]]))</f>
        <v>15 2025</v>
      </c>
      <c r="L2340" t="str">
        <f>CONCATENATE(MONTH(CompilDonnées[[#This Row],[PlantationDate]])," ", YEAR(CompilDonnées[[#This Row],[PlantationDate]]))</f>
        <v>4 2025</v>
      </c>
      <c r="M2340" t="str">
        <f>CONCATENATE(MONTH(CompilDonnées[[#This Row],[HarvestingDate]])," ", YEAR(CompilDonnées[[#This Row],[HarvestingDate]]))</f>
        <v>5 2025</v>
      </c>
      <c r="N2340">
        <f>_xlfn.NUMBERVALUE(CompilDonnées[[#This Row],[FarmID]]&amp;CompilDonnées[[#This Row],[ModuleNumber]]&amp;CompilDonnées[[#This Row],[PlantationDate]])</f>
        <v>72645757</v>
      </c>
      <c r="O2340" t="str">
        <f>CompilDonnées[[#This Row],[FarmID]]&amp;CompilDonnées[[#This Row],[ModuleNumber]]</f>
        <v>726</v>
      </c>
      <c r="P2340" t="str">
        <f>CompilDonnées[[#This Row],[Ref_Module]]&amp;CompilDonnées[[#This Row],[HarvestingDate]]</f>
        <v>72645798</v>
      </c>
    </row>
    <row r="2341" spans="1:16">
      <c r="A2341" s="5">
        <v>45757</v>
      </c>
      <c r="B2341">
        <v>73</v>
      </c>
      <c r="C2341" t="s">
        <v>20</v>
      </c>
      <c r="D2341">
        <v>1</v>
      </c>
      <c r="E2341">
        <v>100</v>
      </c>
      <c r="F2341" t="s">
        <v>1</v>
      </c>
      <c r="G2341" s="6">
        <v>45798</v>
      </c>
      <c r="H2341">
        <v>41</v>
      </c>
      <c r="I2341">
        <f>ROUND(CompilDonnées[[#This Row],[CultureDuration_days]]/7,0)</f>
        <v>6</v>
      </c>
      <c r="J2341">
        <v>2804</v>
      </c>
      <c r="K2341" t="str">
        <f>_xlfn.CONCAT(WEEKNUM(CompilDonnées[[#This Row],[PlantationDate]]), " ", YEAR(CompilDonnées[[#This Row],[PlantationDate]]))</f>
        <v>15 2025</v>
      </c>
      <c r="L2341" t="str">
        <f>CONCATENATE(MONTH(CompilDonnées[[#This Row],[PlantationDate]])," ", YEAR(CompilDonnées[[#This Row],[PlantationDate]]))</f>
        <v>4 2025</v>
      </c>
      <c r="M2341" t="str">
        <f>CONCATENATE(MONTH(CompilDonnées[[#This Row],[HarvestingDate]])," ", YEAR(CompilDonnées[[#This Row],[HarvestingDate]]))</f>
        <v>5 2025</v>
      </c>
      <c r="N2341">
        <f>_xlfn.NUMBERVALUE(CompilDonnées[[#This Row],[FarmID]]&amp;CompilDonnées[[#This Row],[ModuleNumber]]&amp;CompilDonnées[[#This Row],[PlantationDate]])</f>
        <v>73145757</v>
      </c>
      <c r="O2341" t="str">
        <f>CompilDonnées[[#This Row],[FarmID]]&amp;CompilDonnées[[#This Row],[ModuleNumber]]</f>
        <v>731</v>
      </c>
      <c r="P2341" t="str">
        <f>CompilDonnées[[#This Row],[Ref_Module]]&amp;CompilDonnées[[#This Row],[HarvestingDate]]</f>
        <v>73145798</v>
      </c>
    </row>
    <row r="2342" spans="1:16">
      <c r="A2342" s="5">
        <v>45757</v>
      </c>
      <c r="B2342">
        <v>74</v>
      </c>
      <c r="C2342" t="s">
        <v>21</v>
      </c>
      <c r="D2342">
        <v>2</v>
      </c>
      <c r="E2342">
        <v>100</v>
      </c>
      <c r="F2342" t="s">
        <v>1</v>
      </c>
      <c r="G2342" s="6">
        <v>45798</v>
      </c>
      <c r="H2342">
        <v>41</v>
      </c>
      <c r="I2342">
        <f>ROUND(CompilDonnées[[#This Row],[CultureDuration_days]]/7,0)</f>
        <v>6</v>
      </c>
      <c r="J2342">
        <v>2688</v>
      </c>
      <c r="K2342" t="str">
        <f>_xlfn.CONCAT(WEEKNUM(CompilDonnées[[#This Row],[PlantationDate]]), " ", YEAR(CompilDonnées[[#This Row],[PlantationDate]]))</f>
        <v>15 2025</v>
      </c>
      <c r="L2342" t="str">
        <f>CONCATENATE(MONTH(CompilDonnées[[#This Row],[PlantationDate]])," ", YEAR(CompilDonnées[[#This Row],[PlantationDate]]))</f>
        <v>4 2025</v>
      </c>
      <c r="M2342" t="str">
        <f>CONCATENATE(MONTH(CompilDonnées[[#This Row],[HarvestingDate]])," ", YEAR(CompilDonnées[[#This Row],[HarvestingDate]]))</f>
        <v>5 2025</v>
      </c>
      <c r="N2342">
        <f>_xlfn.NUMBERVALUE(CompilDonnées[[#This Row],[FarmID]]&amp;CompilDonnées[[#This Row],[ModuleNumber]]&amp;CompilDonnées[[#This Row],[PlantationDate]])</f>
        <v>74245757</v>
      </c>
      <c r="O2342" t="str">
        <f>CompilDonnées[[#This Row],[FarmID]]&amp;CompilDonnées[[#This Row],[ModuleNumber]]</f>
        <v>742</v>
      </c>
      <c r="P2342" t="str">
        <f>CompilDonnées[[#This Row],[Ref_Module]]&amp;CompilDonnées[[#This Row],[HarvestingDate]]</f>
        <v>74245798</v>
      </c>
    </row>
    <row r="2343" spans="1:16">
      <c r="A2343" s="5">
        <v>45757</v>
      </c>
      <c r="B2343">
        <v>77</v>
      </c>
      <c r="C2343" t="s">
        <v>75</v>
      </c>
      <c r="D2343">
        <v>1</v>
      </c>
      <c r="E2343">
        <v>100</v>
      </c>
      <c r="F2343" t="s">
        <v>1</v>
      </c>
      <c r="G2343" s="6">
        <v>45804</v>
      </c>
      <c r="H2343">
        <v>47</v>
      </c>
      <c r="I2343">
        <f>ROUND(CompilDonnées[[#This Row],[CultureDuration_days]]/7,0)</f>
        <v>7</v>
      </c>
      <c r="J2343">
        <v>1775</v>
      </c>
      <c r="K2343" t="str">
        <f>_xlfn.CONCAT(WEEKNUM(CompilDonnées[[#This Row],[PlantationDate]]), " ", YEAR(CompilDonnées[[#This Row],[PlantationDate]]))</f>
        <v>15 2025</v>
      </c>
      <c r="L2343" t="str">
        <f>CONCATENATE(MONTH(CompilDonnées[[#This Row],[PlantationDate]])," ", YEAR(CompilDonnées[[#This Row],[PlantationDate]]))</f>
        <v>4 2025</v>
      </c>
      <c r="M2343" t="str">
        <f>CONCATENATE(MONTH(CompilDonnées[[#This Row],[HarvestingDate]])," ", YEAR(CompilDonnées[[#This Row],[HarvestingDate]]))</f>
        <v>5 2025</v>
      </c>
      <c r="N2343">
        <f>_xlfn.NUMBERVALUE(CompilDonnées[[#This Row],[FarmID]]&amp;CompilDonnées[[#This Row],[ModuleNumber]]&amp;CompilDonnées[[#This Row],[PlantationDate]])</f>
        <v>77145757</v>
      </c>
      <c r="O2343" t="str">
        <f>CompilDonnées[[#This Row],[FarmID]]&amp;CompilDonnées[[#This Row],[ModuleNumber]]</f>
        <v>771</v>
      </c>
      <c r="P2343" t="str">
        <f>CompilDonnées[[#This Row],[Ref_Module]]&amp;CompilDonnées[[#This Row],[HarvestingDate]]</f>
        <v>77145804</v>
      </c>
    </row>
    <row r="2344" spans="1:16">
      <c r="A2344" s="5">
        <v>45757</v>
      </c>
      <c r="B2344">
        <v>98</v>
      </c>
      <c r="C2344" t="s">
        <v>79</v>
      </c>
      <c r="D2344">
        <v>3</v>
      </c>
      <c r="E2344">
        <v>100</v>
      </c>
      <c r="F2344" t="s">
        <v>1</v>
      </c>
      <c r="G2344" s="6">
        <v>45799</v>
      </c>
      <c r="H2344">
        <v>42</v>
      </c>
      <c r="I2344">
        <f>ROUND(CompilDonnées[[#This Row],[CultureDuration_days]]/7,0)</f>
        <v>6</v>
      </c>
      <c r="J2344">
        <v>2423</v>
      </c>
      <c r="K2344" t="str">
        <f>_xlfn.CONCAT(WEEKNUM(CompilDonnées[[#This Row],[PlantationDate]]), " ", YEAR(CompilDonnées[[#This Row],[PlantationDate]]))</f>
        <v>15 2025</v>
      </c>
      <c r="L2344" t="str">
        <f>CONCATENATE(MONTH(CompilDonnées[[#This Row],[PlantationDate]])," ", YEAR(CompilDonnées[[#This Row],[PlantationDate]]))</f>
        <v>4 2025</v>
      </c>
      <c r="M2344" t="str">
        <f>CONCATENATE(MONTH(CompilDonnées[[#This Row],[HarvestingDate]])," ", YEAR(CompilDonnées[[#This Row],[HarvestingDate]]))</f>
        <v>5 2025</v>
      </c>
      <c r="N2344">
        <f>_xlfn.NUMBERVALUE(CompilDonnées[[#This Row],[FarmID]]&amp;CompilDonnées[[#This Row],[ModuleNumber]]&amp;CompilDonnées[[#This Row],[PlantationDate]])</f>
        <v>98345757</v>
      </c>
      <c r="O2344" t="str">
        <f>CompilDonnées[[#This Row],[FarmID]]&amp;CompilDonnées[[#This Row],[ModuleNumber]]</f>
        <v>983</v>
      </c>
      <c r="P2344" t="str">
        <f>CompilDonnées[[#This Row],[Ref_Module]]&amp;CompilDonnées[[#This Row],[HarvestingDate]]</f>
        <v>98345799</v>
      </c>
    </row>
    <row r="2345" spans="1:16">
      <c r="A2345" s="5">
        <v>45758</v>
      </c>
      <c r="B2345">
        <v>28</v>
      </c>
      <c r="C2345" t="s">
        <v>122</v>
      </c>
      <c r="D2345">
        <v>1</v>
      </c>
      <c r="E2345">
        <v>100</v>
      </c>
      <c r="F2345" t="s">
        <v>1</v>
      </c>
      <c r="G2345" s="6">
        <v>45805</v>
      </c>
      <c r="H2345">
        <v>47</v>
      </c>
      <c r="I2345">
        <f>ROUND(CompilDonnées[[#This Row],[CultureDuration_days]]/7,0)</f>
        <v>7</v>
      </c>
      <c r="J2345">
        <v>2475</v>
      </c>
      <c r="K2345" t="str">
        <f>_xlfn.CONCAT(WEEKNUM(CompilDonnées[[#This Row],[PlantationDate]]), " ", YEAR(CompilDonnées[[#This Row],[PlantationDate]]))</f>
        <v>15 2025</v>
      </c>
      <c r="L2345" t="str">
        <f>CONCATENATE(MONTH(CompilDonnées[[#This Row],[PlantationDate]])," ", YEAR(CompilDonnées[[#This Row],[PlantationDate]]))</f>
        <v>4 2025</v>
      </c>
      <c r="M2345" t="str">
        <f>CONCATENATE(MONTH(CompilDonnées[[#This Row],[HarvestingDate]])," ", YEAR(CompilDonnées[[#This Row],[HarvestingDate]]))</f>
        <v>5 2025</v>
      </c>
      <c r="N2345">
        <f>_xlfn.NUMBERVALUE(CompilDonnées[[#This Row],[FarmID]]&amp;CompilDonnées[[#This Row],[ModuleNumber]]&amp;CompilDonnées[[#This Row],[PlantationDate]])</f>
        <v>28145758</v>
      </c>
      <c r="O2345" t="str">
        <f>CompilDonnées[[#This Row],[FarmID]]&amp;CompilDonnées[[#This Row],[ModuleNumber]]</f>
        <v>281</v>
      </c>
      <c r="P2345" t="str">
        <f>CompilDonnées[[#This Row],[Ref_Module]]&amp;CompilDonnées[[#This Row],[HarvestingDate]]</f>
        <v>28145805</v>
      </c>
    </row>
    <row r="2346" spans="1:16">
      <c r="A2346" s="5">
        <v>45758</v>
      </c>
      <c r="B2346">
        <v>102</v>
      </c>
      <c r="C2346" t="s">
        <v>85</v>
      </c>
      <c r="D2346">
        <v>4</v>
      </c>
      <c r="E2346">
        <v>100</v>
      </c>
      <c r="F2346" t="s">
        <v>1</v>
      </c>
      <c r="G2346" s="6">
        <v>45803</v>
      </c>
      <c r="H2346">
        <v>45</v>
      </c>
      <c r="I2346">
        <f>ROUND(CompilDonnées[[#This Row],[CultureDuration_days]]/7,0)</f>
        <v>6</v>
      </c>
      <c r="J2346">
        <v>1851</v>
      </c>
      <c r="K2346" t="str">
        <f>_xlfn.CONCAT(WEEKNUM(CompilDonnées[[#This Row],[PlantationDate]]), " ", YEAR(CompilDonnées[[#This Row],[PlantationDate]]))</f>
        <v>15 2025</v>
      </c>
      <c r="L2346" t="str">
        <f>CONCATENATE(MONTH(CompilDonnées[[#This Row],[PlantationDate]])," ", YEAR(CompilDonnées[[#This Row],[PlantationDate]]))</f>
        <v>4 2025</v>
      </c>
      <c r="M2346" t="str">
        <f>CONCATENATE(MONTH(CompilDonnées[[#This Row],[HarvestingDate]])," ", YEAR(CompilDonnées[[#This Row],[HarvestingDate]]))</f>
        <v>5 2025</v>
      </c>
      <c r="N2346">
        <f>_xlfn.NUMBERVALUE(CompilDonnées[[#This Row],[FarmID]]&amp;CompilDonnées[[#This Row],[ModuleNumber]]&amp;CompilDonnées[[#This Row],[PlantationDate]])</f>
        <v>102445758</v>
      </c>
      <c r="O2346" t="str">
        <f>CompilDonnées[[#This Row],[FarmID]]&amp;CompilDonnées[[#This Row],[ModuleNumber]]</f>
        <v>1024</v>
      </c>
      <c r="P2346" t="str">
        <f>CompilDonnées[[#This Row],[Ref_Module]]&amp;CompilDonnées[[#This Row],[HarvestingDate]]</f>
        <v>102445803</v>
      </c>
    </row>
    <row r="2347" spans="1:16">
      <c r="A2347" s="5">
        <v>45758</v>
      </c>
      <c r="B2347">
        <v>42</v>
      </c>
      <c r="C2347" t="s">
        <v>3</v>
      </c>
      <c r="D2347">
        <v>1</v>
      </c>
      <c r="E2347">
        <v>60</v>
      </c>
      <c r="F2347" t="s">
        <v>105</v>
      </c>
      <c r="G2347" s="6">
        <v>45811</v>
      </c>
      <c r="H2347">
        <v>53</v>
      </c>
      <c r="I2347">
        <f>ROUND(CompilDonnées[[#This Row],[CultureDuration_days]]/7,0)</f>
        <v>8</v>
      </c>
      <c r="J2347">
        <v>1135</v>
      </c>
      <c r="K2347" t="str">
        <f>_xlfn.CONCAT(WEEKNUM(CompilDonnées[[#This Row],[PlantationDate]]), " ", YEAR(CompilDonnées[[#This Row],[PlantationDate]]))</f>
        <v>15 2025</v>
      </c>
      <c r="L2347" t="str">
        <f>CONCATENATE(MONTH(CompilDonnées[[#This Row],[PlantationDate]])," ", YEAR(CompilDonnées[[#This Row],[PlantationDate]]))</f>
        <v>4 2025</v>
      </c>
      <c r="M2347" t="str">
        <f>CONCATENATE(MONTH(CompilDonnées[[#This Row],[HarvestingDate]])," ", YEAR(CompilDonnées[[#This Row],[HarvestingDate]]))</f>
        <v>6 2025</v>
      </c>
      <c r="N2347">
        <f>_xlfn.NUMBERVALUE(CompilDonnées[[#This Row],[FarmID]]&amp;CompilDonnées[[#This Row],[ModuleNumber]]&amp;CompilDonnées[[#This Row],[PlantationDate]])</f>
        <v>42145758</v>
      </c>
      <c r="O2347" t="str">
        <f>CompilDonnées[[#This Row],[FarmID]]&amp;CompilDonnées[[#This Row],[ModuleNumber]]</f>
        <v>421</v>
      </c>
      <c r="P2347" t="str">
        <f>CompilDonnées[[#This Row],[Ref_Module]]&amp;CompilDonnées[[#This Row],[HarvestingDate]]</f>
        <v>42145811</v>
      </c>
    </row>
    <row r="2348" spans="1:16">
      <c r="A2348" s="5">
        <v>45758</v>
      </c>
      <c r="B2348">
        <v>42</v>
      </c>
      <c r="C2348" t="s">
        <v>3</v>
      </c>
      <c r="D2348">
        <v>4</v>
      </c>
      <c r="E2348">
        <v>52</v>
      </c>
      <c r="F2348" t="s">
        <v>1</v>
      </c>
      <c r="G2348" s="6">
        <v>45805</v>
      </c>
      <c r="H2348">
        <v>47</v>
      </c>
      <c r="I2348">
        <f>ROUND(CompilDonnées[[#This Row],[CultureDuration_days]]/7,0)</f>
        <v>7</v>
      </c>
      <c r="J2348">
        <v>1305</v>
      </c>
      <c r="K2348" t="str">
        <f>_xlfn.CONCAT(WEEKNUM(CompilDonnées[[#This Row],[PlantationDate]]), " ", YEAR(CompilDonnées[[#This Row],[PlantationDate]]))</f>
        <v>15 2025</v>
      </c>
      <c r="L2348" t="str">
        <f>CONCATENATE(MONTH(CompilDonnées[[#This Row],[PlantationDate]])," ", YEAR(CompilDonnées[[#This Row],[PlantationDate]]))</f>
        <v>4 2025</v>
      </c>
      <c r="M2348" t="str">
        <f>CONCATENATE(MONTH(CompilDonnées[[#This Row],[HarvestingDate]])," ", YEAR(CompilDonnées[[#This Row],[HarvestingDate]]))</f>
        <v>5 2025</v>
      </c>
      <c r="N2348">
        <f>_xlfn.NUMBERVALUE(CompilDonnées[[#This Row],[FarmID]]&amp;CompilDonnées[[#This Row],[ModuleNumber]]&amp;CompilDonnées[[#This Row],[PlantationDate]])</f>
        <v>42445758</v>
      </c>
      <c r="O2348" t="str">
        <f>CompilDonnées[[#This Row],[FarmID]]&amp;CompilDonnées[[#This Row],[ModuleNumber]]</f>
        <v>424</v>
      </c>
      <c r="P2348" t="str">
        <f>CompilDonnées[[#This Row],[Ref_Module]]&amp;CompilDonnées[[#This Row],[HarvestingDate]]</f>
        <v>42445805</v>
      </c>
    </row>
    <row r="2349" spans="1:16">
      <c r="A2349" s="5">
        <v>45758</v>
      </c>
      <c r="B2349">
        <v>42</v>
      </c>
      <c r="C2349" t="s">
        <v>3</v>
      </c>
      <c r="D2349">
        <v>5</v>
      </c>
      <c r="E2349">
        <v>68</v>
      </c>
      <c r="F2349" t="s">
        <v>1</v>
      </c>
      <c r="G2349" s="6">
        <v>45805</v>
      </c>
      <c r="H2349">
        <v>47</v>
      </c>
      <c r="I2349">
        <f>ROUND(CompilDonnées[[#This Row],[CultureDuration_days]]/7,0)</f>
        <v>7</v>
      </c>
      <c r="J2349">
        <v>1306</v>
      </c>
      <c r="K2349" t="str">
        <f>_xlfn.CONCAT(WEEKNUM(CompilDonnées[[#This Row],[PlantationDate]]), " ", YEAR(CompilDonnées[[#This Row],[PlantationDate]]))</f>
        <v>15 2025</v>
      </c>
      <c r="L2349" t="str">
        <f>CONCATENATE(MONTH(CompilDonnées[[#This Row],[PlantationDate]])," ", YEAR(CompilDonnées[[#This Row],[PlantationDate]]))</f>
        <v>4 2025</v>
      </c>
      <c r="M2349" t="str">
        <f>CONCATENATE(MONTH(CompilDonnées[[#This Row],[HarvestingDate]])," ", YEAR(CompilDonnées[[#This Row],[HarvestingDate]]))</f>
        <v>5 2025</v>
      </c>
      <c r="N2349">
        <f>_xlfn.NUMBERVALUE(CompilDonnées[[#This Row],[FarmID]]&amp;CompilDonnées[[#This Row],[ModuleNumber]]&amp;CompilDonnées[[#This Row],[PlantationDate]])</f>
        <v>42545758</v>
      </c>
      <c r="O2349" t="str">
        <f>CompilDonnées[[#This Row],[FarmID]]&amp;CompilDonnées[[#This Row],[ModuleNumber]]</f>
        <v>425</v>
      </c>
      <c r="P2349" t="str">
        <f>CompilDonnées[[#This Row],[Ref_Module]]&amp;CompilDonnées[[#This Row],[HarvestingDate]]</f>
        <v>42545805</v>
      </c>
    </row>
    <row r="2350" spans="1:16">
      <c r="A2350" s="5">
        <v>45758</v>
      </c>
      <c r="B2350">
        <v>42</v>
      </c>
      <c r="C2350" t="s">
        <v>3</v>
      </c>
      <c r="D2350">
        <v>6</v>
      </c>
      <c r="E2350">
        <v>100</v>
      </c>
      <c r="F2350" t="s">
        <v>1</v>
      </c>
      <c r="G2350" s="6">
        <v>45805</v>
      </c>
      <c r="H2350">
        <v>47</v>
      </c>
      <c r="I2350">
        <f>ROUND(CompilDonnées[[#This Row],[CultureDuration_days]]/7,0)</f>
        <v>7</v>
      </c>
      <c r="J2350">
        <v>1306</v>
      </c>
      <c r="K2350" t="str">
        <f>_xlfn.CONCAT(WEEKNUM(CompilDonnées[[#This Row],[PlantationDate]]), " ", YEAR(CompilDonnées[[#This Row],[PlantationDate]]))</f>
        <v>15 2025</v>
      </c>
      <c r="L2350" t="str">
        <f>CONCATENATE(MONTH(CompilDonnées[[#This Row],[PlantationDate]])," ", YEAR(CompilDonnées[[#This Row],[PlantationDate]]))</f>
        <v>4 2025</v>
      </c>
      <c r="M2350" t="str">
        <f>CONCATENATE(MONTH(CompilDonnées[[#This Row],[HarvestingDate]])," ", YEAR(CompilDonnées[[#This Row],[HarvestingDate]]))</f>
        <v>5 2025</v>
      </c>
      <c r="N2350">
        <f>_xlfn.NUMBERVALUE(CompilDonnées[[#This Row],[FarmID]]&amp;CompilDonnées[[#This Row],[ModuleNumber]]&amp;CompilDonnées[[#This Row],[PlantationDate]])</f>
        <v>42645758</v>
      </c>
      <c r="O2350" t="str">
        <f>CompilDonnées[[#This Row],[FarmID]]&amp;CompilDonnées[[#This Row],[ModuleNumber]]</f>
        <v>426</v>
      </c>
      <c r="P2350" t="str">
        <f>CompilDonnées[[#This Row],[Ref_Module]]&amp;CompilDonnées[[#This Row],[HarvestingDate]]</f>
        <v>42645805</v>
      </c>
    </row>
    <row r="2351" spans="1:16">
      <c r="A2351" s="5">
        <v>45758</v>
      </c>
      <c r="B2351">
        <v>12</v>
      </c>
      <c r="C2351" t="s">
        <v>123</v>
      </c>
      <c r="D2351">
        <v>3</v>
      </c>
      <c r="E2351">
        <v>100</v>
      </c>
      <c r="F2351" t="s">
        <v>1</v>
      </c>
      <c r="G2351" s="6">
        <v>45807</v>
      </c>
      <c r="H2351">
        <v>49</v>
      </c>
      <c r="I2351">
        <f>ROUND(CompilDonnées[[#This Row],[CultureDuration_days]]/7,0)</f>
        <v>7</v>
      </c>
      <c r="J2351">
        <v>2509</v>
      </c>
      <c r="K2351" t="str">
        <f>_xlfn.CONCAT(WEEKNUM(CompilDonnées[[#This Row],[PlantationDate]]), " ", YEAR(CompilDonnées[[#This Row],[PlantationDate]]))</f>
        <v>15 2025</v>
      </c>
      <c r="L2351" t="str">
        <f>CONCATENATE(MONTH(CompilDonnées[[#This Row],[PlantationDate]])," ", YEAR(CompilDonnées[[#This Row],[PlantationDate]]))</f>
        <v>4 2025</v>
      </c>
      <c r="M2351" t="str">
        <f>CONCATENATE(MONTH(CompilDonnées[[#This Row],[HarvestingDate]])," ", YEAR(CompilDonnées[[#This Row],[HarvestingDate]]))</f>
        <v>5 2025</v>
      </c>
      <c r="N2351">
        <f>_xlfn.NUMBERVALUE(CompilDonnées[[#This Row],[FarmID]]&amp;CompilDonnées[[#This Row],[ModuleNumber]]&amp;CompilDonnées[[#This Row],[PlantationDate]])</f>
        <v>12345758</v>
      </c>
      <c r="O2351" t="str">
        <f>CompilDonnées[[#This Row],[FarmID]]&amp;CompilDonnées[[#This Row],[ModuleNumber]]</f>
        <v>123</v>
      </c>
      <c r="P2351" t="str">
        <f>CompilDonnées[[#This Row],[Ref_Module]]&amp;CompilDonnées[[#This Row],[HarvestingDate]]</f>
        <v>12345807</v>
      </c>
    </row>
    <row r="2352" spans="1:16">
      <c r="A2352" s="5">
        <v>45758</v>
      </c>
      <c r="B2352">
        <v>25</v>
      </c>
      <c r="C2352" t="s">
        <v>100</v>
      </c>
      <c r="D2352">
        <v>2</v>
      </c>
      <c r="E2352">
        <v>100</v>
      </c>
      <c r="F2352" t="s">
        <v>1</v>
      </c>
      <c r="G2352" s="6">
        <v>45807</v>
      </c>
      <c r="H2352">
        <v>49</v>
      </c>
      <c r="I2352">
        <f>ROUND(CompilDonnées[[#This Row],[CultureDuration_days]]/7,0)</f>
        <v>7</v>
      </c>
      <c r="J2352">
        <v>2189</v>
      </c>
      <c r="K2352" t="str">
        <f>_xlfn.CONCAT(WEEKNUM(CompilDonnées[[#This Row],[PlantationDate]]), " ", YEAR(CompilDonnées[[#This Row],[PlantationDate]]))</f>
        <v>15 2025</v>
      </c>
      <c r="L2352" t="str">
        <f>CONCATENATE(MONTH(CompilDonnées[[#This Row],[PlantationDate]])," ", YEAR(CompilDonnées[[#This Row],[PlantationDate]]))</f>
        <v>4 2025</v>
      </c>
      <c r="M2352" t="str">
        <f>CONCATENATE(MONTH(CompilDonnées[[#This Row],[HarvestingDate]])," ", YEAR(CompilDonnées[[#This Row],[HarvestingDate]]))</f>
        <v>5 2025</v>
      </c>
      <c r="N2352">
        <f>_xlfn.NUMBERVALUE(CompilDonnées[[#This Row],[FarmID]]&amp;CompilDonnées[[#This Row],[ModuleNumber]]&amp;CompilDonnées[[#This Row],[PlantationDate]])</f>
        <v>25245758</v>
      </c>
      <c r="O2352" t="str">
        <f>CompilDonnées[[#This Row],[FarmID]]&amp;CompilDonnées[[#This Row],[ModuleNumber]]</f>
        <v>252</v>
      </c>
      <c r="P2352" t="str">
        <f>CompilDonnées[[#This Row],[Ref_Module]]&amp;CompilDonnées[[#This Row],[HarvestingDate]]</f>
        <v>25245807</v>
      </c>
    </row>
    <row r="2353" spans="1:16">
      <c r="A2353" s="5">
        <v>45758</v>
      </c>
      <c r="B2353">
        <v>25</v>
      </c>
      <c r="C2353" t="s">
        <v>100</v>
      </c>
      <c r="D2353">
        <v>5</v>
      </c>
      <c r="E2353">
        <v>100</v>
      </c>
      <c r="F2353" t="s">
        <v>1</v>
      </c>
      <c r="G2353" s="6">
        <v>45805</v>
      </c>
      <c r="H2353">
        <v>47</v>
      </c>
      <c r="I2353">
        <f>ROUND(CompilDonnées[[#This Row],[CultureDuration_days]]/7,0)</f>
        <v>7</v>
      </c>
      <c r="J2353">
        <v>2589</v>
      </c>
      <c r="K2353" t="str">
        <f>_xlfn.CONCAT(WEEKNUM(CompilDonnées[[#This Row],[PlantationDate]]), " ", YEAR(CompilDonnées[[#This Row],[PlantationDate]]))</f>
        <v>15 2025</v>
      </c>
      <c r="L2353" t="str">
        <f>CONCATENATE(MONTH(CompilDonnées[[#This Row],[PlantationDate]])," ", YEAR(CompilDonnées[[#This Row],[PlantationDate]]))</f>
        <v>4 2025</v>
      </c>
      <c r="M2353" t="str">
        <f>CONCATENATE(MONTH(CompilDonnées[[#This Row],[HarvestingDate]])," ", YEAR(CompilDonnées[[#This Row],[HarvestingDate]]))</f>
        <v>5 2025</v>
      </c>
      <c r="N2353">
        <f>_xlfn.NUMBERVALUE(CompilDonnées[[#This Row],[FarmID]]&amp;CompilDonnées[[#This Row],[ModuleNumber]]&amp;CompilDonnées[[#This Row],[PlantationDate]])</f>
        <v>25545758</v>
      </c>
      <c r="O2353" t="str">
        <f>CompilDonnées[[#This Row],[FarmID]]&amp;CompilDonnées[[#This Row],[ModuleNumber]]</f>
        <v>255</v>
      </c>
      <c r="P2353" t="str">
        <f>CompilDonnées[[#This Row],[Ref_Module]]&amp;CompilDonnées[[#This Row],[HarvestingDate]]</f>
        <v>25545805</v>
      </c>
    </row>
    <row r="2354" spans="1:16">
      <c r="A2354" s="5">
        <v>45758</v>
      </c>
      <c r="B2354">
        <v>52</v>
      </c>
      <c r="C2354" t="s">
        <v>3</v>
      </c>
      <c r="D2354">
        <v>6</v>
      </c>
      <c r="E2354">
        <v>45</v>
      </c>
      <c r="F2354" t="s">
        <v>1</v>
      </c>
      <c r="G2354" s="6">
        <v>45813</v>
      </c>
      <c r="H2354">
        <v>55</v>
      </c>
      <c r="I2354">
        <f>ROUND(CompilDonnées[[#This Row],[CultureDuration_days]]/7,0)</f>
        <v>8</v>
      </c>
      <c r="J2354">
        <v>820</v>
      </c>
      <c r="K2354" t="str">
        <f>_xlfn.CONCAT(WEEKNUM(CompilDonnées[[#This Row],[PlantationDate]]), " ", YEAR(CompilDonnées[[#This Row],[PlantationDate]]))</f>
        <v>15 2025</v>
      </c>
      <c r="L2354" t="str">
        <f>CONCATENATE(MONTH(CompilDonnées[[#This Row],[PlantationDate]])," ", YEAR(CompilDonnées[[#This Row],[PlantationDate]]))</f>
        <v>4 2025</v>
      </c>
      <c r="M2354" t="str">
        <f>CONCATENATE(MONTH(CompilDonnées[[#This Row],[HarvestingDate]])," ", YEAR(CompilDonnées[[#This Row],[HarvestingDate]]))</f>
        <v>6 2025</v>
      </c>
      <c r="N2354">
        <f>_xlfn.NUMBERVALUE(CompilDonnées[[#This Row],[FarmID]]&amp;CompilDonnées[[#This Row],[ModuleNumber]]&amp;CompilDonnées[[#This Row],[PlantationDate]])</f>
        <v>52645758</v>
      </c>
      <c r="O2354" t="str">
        <f>CompilDonnées[[#This Row],[FarmID]]&amp;CompilDonnées[[#This Row],[ModuleNumber]]</f>
        <v>526</v>
      </c>
      <c r="P2354" t="str">
        <f>CompilDonnées[[#This Row],[Ref_Module]]&amp;CompilDonnées[[#This Row],[HarvestingDate]]</f>
        <v>52645813</v>
      </c>
    </row>
    <row r="2355" spans="1:16">
      <c r="A2355" s="5">
        <v>45758</v>
      </c>
      <c r="B2355">
        <v>57</v>
      </c>
      <c r="C2355" t="s">
        <v>46</v>
      </c>
      <c r="D2355">
        <v>5</v>
      </c>
      <c r="E2355">
        <v>100</v>
      </c>
      <c r="F2355" t="s">
        <v>1</v>
      </c>
      <c r="G2355" s="6">
        <v>45805</v>
      </c>
      <c r="H2355">
        <v>47</v>
      </c>
      <c r="I2355">
        <f>ROUND(CompilDonnées[[#This Row],[CultureDuration_days]]/7,0)</f>
        <v>7</v>
      </c>
      <c r="J2355">
        <v>2509</v>
      </c>
      <c r="K2355" t="str">
        <f>_xlfn.CONCAT(WEEKNUM(CompilDonnées[[#This Row],[PlantationDate]]), " ", YEAR(CompilDonnées[[#This Row],[PlantationDate]]))</f>
        <v>15 2025</v>
      </c>
      <c r="L2355" t="str">
        <f>CONCATENATE(MONTH(CompilDonnées[[#This Row],[PlantationDate]])," ", YEAR(CompilDonnées[[#This Row],[PlantationDate]]))</f>
        <v>4 2025</v>
      </c>
      <c r="M2355" t="str">
        <f>CONCATENATE(MONTH(CompilDonnées[[#This Row],[HarvestingDate]])," ", YEAR(CompilDonnées[[#This Row],[HarvestingDate]]))</f>
        <v>5 2025</v>
      </c>
      <c r="N2355">
        <f>_xlfn.NUMBERVALUE(CompilDonnées[[#This Row],[FarmID]]&amp;CompilDonnées[[#This Row],[ModuleNumber]]&amp;CompilDonnées[[#This Row],[PlantationDate]])</f>
        <v>57545758</v>
      </c>
      <c r="O2355" t="str">
        <f>CompilDonnées[[#This Row],[FarmID]]&amp;CompilDonnées[[#This Row],[ModuleNumber]]</f>
        <v>575</v>
      </c>
      <c r="P2355" t="str">
        <f>CompilDonnées[[#This Row],[Ref_Module]]&amp;CompilDonnées[[#This Row],[HarvestingDate]]</f>
        <v>57545805</v>
      </c>
    </row>
    <row r="2356" spans="1:16">
      <c r="A2356" s="5">
        <v>45758</v>
      </c>
      <c r="B2356">
        <v>59</v>
      </c>
      <c r="C2356" t="s">
        <v>64</v>
      </c>
      <c r="D2356">
        <v>1</v>
      </c>
      <c r="E2356">
        <v>100</v>
      </c>
      <c r="F2356" t="s">
        <v>1</v>
      </c>
      <c r="G2356" s="6">
        <v>45805</v>
      </c>
      <c r="H2356">
        <v>47</v>
      </c>
      <c r="I2356">
        <f>ROUND(CompilDonnées[[#This Row],[CultureDuration_days]]/7,0)</f>
        <v>7</v>
      </c>
      <c r="J2356">
        <v>2165</v>
      </c>
      <c r="K2356" t="str">
        <f>_xlfn.CONCAT(WEEKNUM(CompilDonnées[[#This Row],[PlantationDate]]), " ", YEAR(CompilDonnées[[#This Row],[PlantationDate]]))</f>
        <v>15 2025</v>
      </c>
      <c r="L2356" t="str">
        <f>CONCATENATE(MONTH(CompilDonnées[[#This Row],[PlantationDate]])," ", YEAR(CompilDonnées[[#This Row],[PlantationDate]]))</f>
        <v>4 2025</v>
      </c>
      <c r="M2356" t="str">
        <f>CONCATENATE(MONTH(CompilDonnées[[#This Row],[HarvestingDate]])," ", YEAR(CompilDonnées[[#This Row],[HarvestingDate]]))</f>
        <v>5 2025</v>
      </c>
      <c r="N2356">
        <f>_xlfn.NUMBERVALUE(CompilDonnées[[#This Row],[FarmID]]&amp;CompilDonnées[[#This Row],[ModuleNumber]]&amp;CompilDonnées[[#This Row],[PlantationDate]])</f>
        <v>59145758</v>
      </c>
      <c r="O2356" t="str">
        <f>CompilDonnées[[#This Row],[FarmID]]&amp;CompilDonnées[[#This Row],[ModuleNumber]]</f>
        <v>591</v>
      </c>
      <c r="P2356" t="str">
        <f>CompilDonnées[[#This Row],[Ref_Module]]&amp;CompilDonnées[[#This Row],[HarvestingDate]]</f>
        <v>59145805</v>
      </c>
    </row>
    <row r="2357" spans="1:16">
      <c r="A2357" s="5">
        <v>45758</v>
      </c>
      <c r="B2357">
        <v>59</v>
      </c>
      <c r="C2357" t="s">
        <v>64</v>
      </c>
      <c r="D2357">
        <v>6</v>
      </c>
      <c r="E2357">
        <v>100</v>
      </c>
      <c r="F2357" t="s">
        <v>1</v>
      </c>
      <c r="G2357" s="6">
        <v>45797</v>
      </c>
      <c r="H2357">
        <v>39</v>
      </c>
      <c r="I2357">
        <f>ROUND(CompilDonnées[[#This Row],[CultureDuration_days]]/7,0)</f>
        <v>6</v>
      </c>
      <c r="J2357">
        <v>3003</v>
      </c>
      <c r="K2357" t="str">
        <f>_xlfn.CONCAT(WEEKNUM(CompilDonnées[[#This Row],[PlantationDate]]), " ", YEAR(CompilDonnées[[#This Row],[PlantationDate]]))</f>
        <v>15 2025</v>
      </c>
      <c r="L2357" t="str">
        <f>CONCATENATE(MONTH(CompilDonnées[[#This Row],[PlantationDate]])," ", YEAR(CompilDonnées[[#This Row],[PlantationDate]]))</f>
        <v>4 2025</v>
      </c>
      <c r="M2357" t="str">
        <f>CONCATENATE(MONTH(CompilDonnées[[#This Row],[HarvestingDate]])," ", YEAR(CompilDonnées[[#This Row],[HarvestingDate]]))</f>
        <v>5 2025</v>
      </c>
      <c r="N2357">
        <f>_xlfn.NUMBERVALUE(CompilDonnées[[#This Row],[FarmID]]&amp;CompilDonnées[[#This Row],[ModuleNumber]]&amp;CompilDonnées[[#This Row],[PlantationDate]])</f>
        <v>59645758</v>
      </c>
      <c r="O2357" t="str">
        <f>CompilDonnées[[#This Row],[FarmID]]&amp;CompilDonnées[[#This Row],[ModuleNumber]]</f>
        <v>596</v>
      </c>
      <c r="P2357" t="str">
        <f>CompilDonnées[[#This Row],[Ref_Module]]&amp;CompilDonnées[[#This Row],[HarvestingDate]]</f>
        <v>59645797</v>
      </c>
    </row>
    <row r="2358" spans="1:16">
      <c r="A2358" s="5">
        <v>45758</v>
      </c>
      <c r="B2358">
        <v>62</v>
      </c>
      <c r="C2358" t="s">
        <v>124</v>
      </c>
      <c r="D2358">
        <v>3</v>
      </c>
      <c r="E2358">
        <v>100</v>
      </c>
      <c r="F2358" t="s">
        <v>1</v>
      </c>
      <c r="G2358" s="6">
        <v>45805</v>
      </c>
      <c r="H2358">
        <v>47</v>
      </c>
      <c r="I2358">
        <f>ROUND(CompilDonnées[[#This Row],[CultureDuration_days]]/7,0)</f>
        <v>7</v>
      </c>
      <c r="J2358">
        <v>2258</v>
      </c>
      <c r="K2358" t="str">
        <f>_xlfn.CONCAT(WEEKNUM(CompilDonnées[[#This Row],[PlantationDate]]), " ", YEAR(CompilDonnées[[#This Row],[PlantationDate]]))</f>
        <v>15 2025</v>
      </c>
      <c r="L2358" t="str">
        <f>CONCATENATE(MONTH(CompilDonnées[[#This Row],[PlantationDate]])," ", YEAR(CompilDonnées[[#This Row],[PlantationDate]]))</f>
        <v>4 2025</v>
      </c>
      <c r="M2358" t="str">
        <f>CONCATENATE(MONTH(CompilDonnées[[#This Row],[HarvestingDate]])," ", YEAR(CompilDonnées[[#This Row],[HarvestingDate]]))</f>
        <v>5 2025</v>
      </c>
      <c r="N2358">
        <f>_xlfn.NUMBERVALUE(CompilDonnées[[#This Row],[FarmID]]&amp;CompilDonnées[[#This Row],[ModuleNumber]]&amp;CompilDonnées[[#This Row],[PlantationDate]])</f>
        <v>62345758</v>
      </c>
      <c r="O2358" t="str">
        <f>CompilDonnées[[#This Row],[FarmID]]&amp;CompilDonnées[[#This Row],[ModuleNumber]]</f>
        <v>623</v>
      </c>
      <c r="P2358" t="str">
        <f>CompilDonnées[[#This Row],[Ref_Module]]&amp;CompilDonnées[[#This Row],[HarvestingDate]]</f>
        <v>62345805</v>
      </c>
    </row>
    <row r="2359" spans="1:16">
      <c r="A2359" s="5">
        <v>45758</v>
      </c>
      <c r="B2359">
        <v>66</v>
      </c>
      <c r="C2359" t="s">
        <v>48</v>
      </c>
      <c r="D2359">
        <v>4</v>
      </c>
      <c r="E2359">
        <v>100</v>
      </c>
      <c r="F2359" t="s">
        <v>1</v>
      </c>
      <c r="G2359" s="6">
        <v>45805</v>
      </c>
      <c r="H2359">
        <v>47</v>
      </c>
      <c r="I2359">
        <f>ROUND(CompilDonnées[[#This Row],[CultureDuration_days]]/7,0)</f>
        <v>7</v>
      </c>
      <c r="J2359">
        <v>1761</v>
      </c>
      <c r="K2359" t="str">
        <f>_xlfn.CONCAT(WEEKNUM(CompilDonnées[[#This Row],[PlantationDate]]), " ", YEAR(CompilDonnées[[#This Row],[PlantationDate]]))</f>
        <v>15 2025</v>
      </c>
      <c r="L2359" t="str">
        <f>CONCATENATE(MONTH(CompilDonnées[[#This Row],[PlantationDate]])," ", YEAR(CompilDonnées[[#This Row],[PlantationDate]]))</f>
        <v>4 2025</v>
      </c>
      <c r="M2359" t="str">
        <f>CONCATENATE(MONTH(CompilDonnées[[#This Row],[HarvestingDate]])," ", YEAR(CompilDonnées[[#This Row],[HarvestingDate]]))</f>
        <v>5 2025</v>
      </c>
      <c r="N2359">
        <f>_xlfn.NUMBERVALUE(CompilDonnées[[#This Row],[FarmID]]&amp;CompilDonnées[[#This Row],[ModuleNumber]]&amp;CompilDonnées[[#This Row],[PlantationDate]])</f>
        <v>66445758</v>
      </c>
      <c r="O2359" t="str">
        <f>CompilDonnées[[#This Row],[FarmID]]&amp;CompilDonnées[[#This Row],[ModuleNumber]]</f>
        <v>664</v>
      </c>
      <c r="P2359" t="str">
        <f>CompilDonnées[[#This Row],[Ref_Module]]&amp;CompilDonnées[[#This Row],[HarvestingDate]]</f>
        <v>66445805</v>
      </c>
    </row>
    <row r="2360" spans="1:16">
      <c r="A2360" s="5">
        <v>45758</v>
      </c>
      <c r="B2360">
        <v>67</v>
      </c>
      <c r="C2360" t="s">
        <v>28</v>
      </c>
      <c r="D2360">
        <v>2</v>
      </c>
      <c r="E2360">
        <v>100</v>
      </c>
      <c r="F2360" t="s">
        <v>1</v>
      </c>
      <c r="G2360" s="6">
        <v>45805</v>
      </c>
      <c r="H2360">
        <v>47</v>
      </c>
      <c r="I2360">
        <f>ROUND(CompilDonnées[[#This Row],[CultureDuration_days]]/7,0)</f>
        <v>7</v>
      </c>
      <c r="J2360">
        <v>1947</v>
      </c>
      <c r="K2360" t="str">
        <f>_xlfn.CONCAT(WEEKNUM(CompilDonnées[[#This Row],[PlantationDate]]), " ", YEAR(CompilDonnées[[#This Row],[PlantationDate]]))</f>
        <v>15 2025</v>
      </c>
      <c r="L2360" t="str">
        <f>CONCATENATE(MONTH(CompilDonnées[[#This Row],[PlantationDate]])," ", YEAR(CompilDonnées[[#This Row],[PlantationDate]]))</f>
        <v>4 2025</v>
      </c>
      <c r="M2360" t="str">
        <f>CONCATENATE(MONTH(CompilDonnées[[#This Row],[HarvestingDate]])," ", YEAR(CompilDonnées[[#This Row],[HarvestingDate]]))</f>
        <v>5 2025</v>
      </c>
      <c r="N2360">
        <f>_xlfn.NUMBERVALUE(CompilDonnées[[#This Row],[FarmID]]&amp;CompilDonnées[[#This Row],[ModuleNumber]]&amp;CompilDonnées[[#This Row],[PlantationDate]])</f>
        <v>67245758</v>
      </c>
      <c r="O2360" t="str">
        <f>CompilDonnées[[#This Row],[FarmID]]&amp;CompilDonnées[[#This Row],[ModuleNumber]]</f>
        <v>672</v>
      </c>
      <c r="P2360" t="str">
        <f>CompilDonnées[[#This Row],[Ref_Module]]&amp;CompilDonnées[[#This Row],[HarvestingDate]]</f>
        <v>67245805</v>
      </c>
    </row>
    <row r="2361" spans="1:16">
      <c r="A2361" s="5">
        <v>45758</v>
      </c>
      <c r="B2361">
        <v>79</v>
      </c>
      <c r="C2361" t="s">
        <v>61</v>
      </c>
      <c r="D2361">
        <v>6</v>
      </c>
      <c r="E2361">
        <v>100</v>
      </c>
      <c r="F2361" t="s">
        <v>1</v>
      </c>
      <c r="G2361" s="6">
        <v>45797</v>
      </c>
      <c r="H2361">
        <v>39</v>
      </c>
      <c r="I2361">
        <f>ROUND(CompilDonnées[[#This Row],[CultureDuration_days]]/7,0)</f>
        <v>6</v>
      </c>
      <c r="J2361">
        <v>2246</v>
      </c>
      <c r="K2361" t="str">
        <f>_xlfn.CONCAT(WEEKNUM(CompilDonnées[[#This Row],[PlantationDate]]), " ", YEAR(CompilDonnées[[#This Row],[PlantationDate]]))</f>
        <v>15 2025</v>
      </c>
      <c r="L2361" t="str">
        <f>CONCATENATE(MONTH(CompilDonnées[[#This Row],[PlantationDate]])," ", YEAR(CompilDonnées[[#This Row],[PlantationDate]]))</f>
        <v>4 2025</v>
      </c>
      <c r="M2361" t="str">
        <f>CONCATENATE(MONTH(CompilDonnées[[#This Row],[HarvestingDate]])," ", YEAR(CompilDonnées[[#This Row],[HarvestingDate]]))</f>
        <v>5 2025</v>
      </c>
      <c r="N2361">
        <f>_xlfn.NUMBERVALUE(CompilDonnées[[#This Row],[FarmID]]&amp;CompilDonnées[[#This Row],[ModuleNumber]]&amp;CompilDonnées[[#This Row],[PlantationDate]])</f>
        <v>79645758</v>
      </c>
      <c r="O2361" t="str">
        <f>CompilDonnées[[#This Row],[FarmID]]&amp;CompilDonnées[[#This Row],[ModuleNumber]]</f>
        <v>796</v>
      </c>
      <c r="P2361" t="str">
        <f>CompilDonnées[[#This Row],[Ref_Module]]&amp;CompilDonnées[[#This Row],[HarvestingDate]]</f>
        <v>79645797</v>
      </c>
    </row>
    <row r="2362" spans="1:16">
      <c r="A2362" s="5">
        <v>45758</v>
      </c>
      <c r="B2362">
        <v>80</v>
      </c>
      <c r="C2362" t="s">
        <v>29</v>
      </c>
      <c r="D2362">
        <v>6</v>
      </c>
      <c r="E2362">
        <v>100</v>
      </c>
      <c r="F2362" t="s">
        <v>1</v>
      </c>
      <c r="G2362" s="6">
        <v>45798</v>
      </c>
      <c r="H2362">
        <v>40</v>
      </c>
      <c r="I2362">
        <f>ROUND(CompilDonnées[[#This Row],[CultureDuration_days]]/7,0)</f>
        <v>6</v>
      </c>
      <c r="J2362">
        <v>4192</v>
      </c>
      <c r="K2362" t="str">
        <f>_xlfn.CONCAT(WEEKNUM(CompilDonnées[[#This Row],[PlantationDate]]), " ", YEAR(CompilDonnées[[#This Row],[PlantationDate]]))</f>
        <v>15 2025</v>
      </c>
      <c r="L2362" t="str">
        <f>CONCATENATE(MONTH(CompilDonnées[[#This Row],[PlantationDate]])," ", YEAR(CompilDonnées[[#This Row],[PlantationDate]]))</f>
        <v>4 2025</v>
      </c>
      <c r="M2362" t="str">
        <f>CONCATENATE(MONTH(CompilDonnées[[#This Row],[HarvestingDate]])," ", YEAR(CompilDonnées[[#This Row],[HarvestingDate]]))</f>
        <v>5 2025</v>
      </c>
      <c r="N2362">
        <f>_xlfn.NUMBERVALUE(CompilDonnées[[#This Row],[FarmID]]&amp;CompilDonnées[[#This Row],[ModuleNumber]]&amp;CompilDonnées[[#This Row],[PlantationDate]])</f>
        <v>80645758</v>
      </c>
      <c r="O2362" t="str">
        <f>CompilDonnées[[#This Row],[FarmID]]&amp;CompilDonnées[[#This Row],[ModuleNumber]]</f>
        <v>806</v>
      </c>
      <c r="P2362" t="str">
        <f>CompilDonnées[[#This Row],[Ref_Module]]&amp;CompilDonnées[[#This Row],[HarvestingDate]]</f>
        <v>80645798</v>
      </c>
    </row>
    <row r="2363" spans="1:16">
      <c r="A2363" s="5">
        <v>45758</v>
      </c>
      <c r="B2363">
        <v>81</v>
      </c>
      <c r="C2363" t="s">
        <v>30</v>
      </c>
      <c r="D2363">
        <v>6</v>
      </c>
      <c r="E2363">
        <v>100</v>
      </c>
      <c r="F2363" t="s">
        <v>1</v>
      </c>
      <c r="G2363" s="6">
        <v>45798</v>
      </c>
      <c r="H2363">
        <v>40</v>
      </c>
      <c r="I2363">
        <f>ROUND(CompilDonnées[[#This Row],[CultureDuration_days]]/7,0)</f>
        <v>6</v>
      </c>
      <c r="J2363">
        <v>3930</v>
      </c>
      <c r="K2363" t="str">
        <f>_xlfn.CONCAT(WEEKNUM(CompilDonnées[[#This Row],[PlantationDate]]), " ", YEAR(CompilDonnées[[#This Row],[PlantationDate]]))</f>
        <v>15 2025</v>
      </c>
      <c r="L2363" t="str">
        <f>CONCATENATE(MONTH(CompilDonnées[[#This Row],[PlantationDate]])," ", YEAR(CompilDonnées[[#This Row],[PlantationDate]]))</f>
        <v>4 2025</v>
      </c>
      <c r="M2363" t="str">
        <f>CONCATENATE(MONTH(CompilDonnées[[#This Row],[HarvestingDate]])," ", YEAR(CompilDonnées[[#This Row],[HarvestingDate]]))</f>
        <v>5 2025</v>
      </c>
      <c r="N2363">
        <f>_xlfn.NUMBERVALUE(CompilDonnées[[#This Row],[FarmID]]&amp;CompilDonnées[[#This Row],[ModuleNumber]]&amp;CompilDonnées[[#This Row],[PlantationDate]])</f>
        <v>81645758</v>
      </c>
      <c r="O2363" t="str">
        <f>CompilDonnées[[#This Row],[FarmID]]&amp;CompilDonnées[[#This Row],[ModuleNumber]]</f>
        <v>816</v>
      </c>
      <c r="P2363" t="str">
        <f>CompilDonnées[[#This Row],[Ref_Module]]&amp;CompilDonnées[[#This Row],[HarvestingDate]]</f>
        <v>81645798</v>
      </c>
    </row>
    <row r="2364" spans="1:16">
      <c r="A2364" s="5">
        <v>45758</v>
      </c>
      <c r="B2364">
        <v>82</v>
      </c>
      <c r="C2364" t="s">
        <v>17</v>
      </c>
      <c r="D2364">
        <v>3</v>
      </c>
      <c r="E2364">
        <v>100</v>
      </c>
      <c r="F2364" t="s">
        <v>1</v>
      </c>
      <c r="G2364" s="6">
        <v>45798</v>
      </c>
      <c r="H2364">
        <v>40</v>
      </c>
      <c r="I2364">
        <f>ROUND(CompilDonnées[[#This Row],[CultureDuration_days]]/7,0)</f>
        <v>6</v>
      </c>
      <c r="J2364">
        <v>3217</v>
      </c>
      <c r="K2364" t="str">
        <f>_xlfn.CONCAT(WEEKNUM(CompilDonnées[[#This Row],[PlantationDate]]), " ", YEAR(CompilDonnées[[#This Row],[PlantationDate]]))</f>
        <v>15 2025</v>
      </c>
      <c r="L2364" t="str">
        <f>CONCATENATE(MONTH(CompilDonnées[[#This Row],[PlantationDate]])," ", YEAR(CompilDonnées[[#This Row],[PlantationDate]]))</f>
        <v>4 2025</v>
      </c>
      <c r="M2364" t="str">
        <f>CONCATENATE(MONTH(CompilDonnées[[#This Row],[HarvestingDate]])," ", YEAR(CompilDonnées[[#This Row],[HarvestingDate]]))</f>
        <v>5 2025</v>
      </c>
      <c r="N2364">
        <f>_xlfn.NUMBERVALUE(CompilDonnées[[#This Row],[FarmID]]&amp;CompilDonnées[[#This Row],[ModuleNumber]]&amp;CompilDonnées[[#This Row],[PlantationDate]])</f>
        <v>82345758</v>
      </c>
      <c r="O2364" t="str">
        <f>CompilDonnées[[#This Row],[FarmID]]&amp;CompilDonnées[[#This Row],[ModuleNumber]]</f>
        <v>823</v>
      </c>
      <c r="P2364" t="str">
        <f>CompilDonnées[[#This Row],[Ref_Module]]&amp;CompilDonnées[[#This Row],[HarvestingDate]]</f>
        <v>82345798</v>
      </c>
    </row>
    <row r="2365" spans="1:16">
      <c r="A2365" s="5">
        <v>45758</v>
      </c>
      <c r="B2365">
        <v>85</v>
      </c>
      <c r="C2365" t="s">
        <v>56</v>
      </c>
      <c r="D2365">
        <v>6</v>
      </c>
      <c r="E2365">
        <v>100</v>
      </c>
      <c r="F2365" t="s">
        <v>1</v>
      </c>
      <c r="G2365" s="6">
        <v>45804</v>
      </c>
      <c r="H2365">
        <v>46</v>
      </c>
      <c r="I2365">
        <f>ROUND(CompilDonnées[[#This Row],[CultureDuration_days]]/7,0)</f>
        <v>7</v>
      </c>
      <c r="J2365">
        <v>1456</v>
      </c>
      <c r="K2365" t="str">
        <f>_xlfn.CONCAT(WEEKNUM(CompilDonnées[[#This Row],[PlantationDate]]), " ", YEAR(CompilDonnées[[#This Row],[PlantationDate]]))</f>
        <v>15 2025</v>
      </c>
      <c r="L2365" t="str">
        <f>CONCATENATE(MONTH(CompilDonnées[[#This Row],[PlantationDate]])," ", YEAR(CompilDonnées[[#This Row],[PlantationDate]]))</f>
        <v>4 2025</v>
      </c>
      <c r="M2365" t="str">
        <f>CONCATENATE(MONTH(CompilDonnées[[#This Row],[HarvestingDate]])," ", YEAR(CompilDonnées[[#This Row],[HarvestingDate]]))</f>
        <v>5 2025</v>
      </c>
      <c r="N2365">
        <f>_xlfn.NUMBERVALUE(CompilDonnées[[#This Row],[FarmID]]&amp;CompilDonnées[[#This Row],[ModuleNumber]]&amp;CompilDonnées[[#This Row],[PlantationDate]])</f>
        <v>85645758</v>
      </c>
      <c r="O2365" t="str">
        <f>CompilDonnées[[#This Row],[FarmID]]&amp;CompilDonnées[[#This Row],[ModuleNumber]]</f>
        <v>856</v>
      </c>
      <c r="P2365" t="str">
        <f>CompilDonnées[[#This Row],[Ref_Module]]&amp;CompilDonnées[[#This Row],[HarvestingDate]]</f>
        <v>85645804</v>
      </c>
    </row>
    <row r="2366" spans="1:16">
      <c r="A2366" s="5">
        <v>45758</v>
      </c>
      <c r="B2366">
        <v>86</v>
      </c>
      <c r="C2366" t="s">
        <v>37</v>
      </c>
      <c r="D2366">
        <v>4</v>
      </c>
      <c r="E2366">
        <v>100</v>
      </c>
      <c r="F2366" t="s">
        <v>1</v>
      </c>
      <c r="G2366" s="6">
        <v>45799</v>
      </c>
      <c r="H2366">
        <v>41</v>
      </c>
      <c r="I2366">
        <f>ROUND(CompilDonnées[[#This Row],[CultureDuration_days]]/7,0)</f>
        <v>6</v>
      </c>
      <c r="J2366">
        <v>2954</v>
      </c>
      <c r="K2366" t="str">
        <f>_xlfn.CONCAT(WEEKNUM(CompilDonnées[[#This Row],[PlantationDate]]), " ", YEAR(CompilDonnées[[#This Row],[PlantationDate]]))</f>
        <v>15 2025</v>
      </c>
      <c r="L2366" t="str">
        <f>CONCATENATE(MONTH(CompilDonnées[[#This Row],[PlantationDate]])," ", YEAR(CompilDonnées[[#This Row],[PlantationDate]]))</f>
        <v>4 2025</v>
      </c>
      <c r="M2366" t="str">
        <f>CONCATENATE(MONTH(CompilDonnées[[#This Row],[HarvestingDate]])," ", YEAR(CompilDonnées[[#This Row],[HarvestingDate]]))</f>
        <v>5 2025</v>
      </c>
      <c r="N2366">
        <f>_xlfn.NUMBERVALUE(CompilDonnées[[#This Row],[FarmID]]&amp;CompilDonnées[[#This Row],[ModuleNumber]]&amp;CompilDonnées[[#This Row],[PlantationDate]])</f>
        <v>86445758</v>
      </c>
      <c r="O2366" t="str">
        <f>CompilDonnées[[#This Row],[FarmID]]&amp;CompilDonnées[[#This Row],[ModuleNumber]]</f>
        <v>864</v>
      </c>
      <c r="P2366" t="str">
        <f>CompilDonnées[[#This Row],[Ref_Module]]&amp;CompilDonnées[[#This Row],[HarvestingDate]]</f>
        <v>86445799</v>
      </c>
    </row>
    <row r="2367" spans="1:16">
      <c r="A2367" s="5">
        <v>45758</v>
      </c>
      <c r="B2367">
        <v>87</v>
      </c>
      <c r="C2367" t="s">
        <v>38</v>
      </c>
      <c r="D2367">
        <v>6</v>
      </c>
      <c r="E2367">
        <v>100</v>
      </c>
      <c r="F2367" t="s">
        <v>1</v>
      </c>
      <c r="G2367" s="6">
        <v>45803</v>
      </c>
      <c r="H2367">
        <v>45</v>
      </c>
      <c r="I2367">
        <f>ROUND(CompilDonnées[[#This Row],[CultureDuration_days]]/7,0)</f>
        <v>6</v>
      </c>
      <c r="J2367">
        <v>1683</v>
      </c>
      <c r="K2367" t="str">
        <f>_xlfn.CONCAT(WEEKNUM(CompilDonnées[[#This Row],[PlantationDate]]), " ", YEAR(CompilDonnées[[#This Row],[PlantationDate]]))</f>
        <v>15 2025</v>
      </c>
      <c r="L2367" t="str">
        <f>CONCATENATE(MONTH(CompilDonnées[[#This Row],[PlantationDate]])," ", YEAR(CompilDonnées[[#This Row],[PlantationDate]]))</f>
        <v>4 2025</v>
      </c>
      <c r="M2367" t="str">
        <f>CONCATENATE(MONTH(CompilDonnées[[#This Row],[HarvestingDate]])," ", YEAR(CompilDonnées[[#This Row],[HarvestingDate]]))</f>
        <v>5 2025</v>
      </c>
      <c r="N2367">
        <f>_xlfn.NUMBERVALUE(CompilDonnées[[#This Row],[FarmID]]&amp;CompilDonnées[[#This Row],[ModuleNumber]]&amp;CompilDonnées[[#This Row],[PlantationDate]])</f>
        <v>87645758</v>
      </c>
      <c r="O2367" t="str">
        <f>CompilDonnées[[#This Row],[FarmID]]&amp;CompilDonnées[[#This Row],[ModuleNumber]]</f>
        <v>876</v>
      </c>
      <c r="P2367" t="str">
        <f>CompilDonnées[[#This Row],[Ref_Module]]&amp;CompilDonnées[[#This Row],[HarvestingDate]]</f>
        <v>87645803</v>
      </c>
    </row>
    <row r="2368" spans="1:16">
      <c r="A2368" s="5">
        <v>45758</v>
      </c>
      <c r="B2368">
        <v>88</v>
      </c>
      <c r="C2368" t="s">
        <v>94</v>
      </c>
      <c r="D2368">
        <v>2</v>
      </c>
      <c r="E2368">
        <v>100</v>
      </c>
      <c r="F2368" t="s">
        <v>1</v>
      </c>
      <c r="G2368" s="6">
        <v>45797</v>
      </c>
      <c r="H2368">
        <v>39</v>
      </c>
      <c r="I2368">
        <f>ROUND(CompilDonnées[[#This Row],[CultureDuration_days]]/7,0)</f>
        <v>6</v>
      </c>
      <c r="J2368">
        <v>3246</v>
      </c>
      <c r="K2368" t="str">
        <f>_xlfn.CONCAT(WEEKNUM(CompilDonnées[[#This Row],[PlantationDate]]), " ", YEAR(CompilDonnées[[#This Row],[PlantationDate]]))</f>
        <v>15 2025</v>
      </c>
      <c r="L2368" t="str">
        <f>CONCATENATE(MONTH(CompilDonnées[[#This Row],[PlantationDate]])," ", YEAR(CompilDonnées[[#This Row],[PlantationDate]]))</f>
        <v>4 2025</v>
      </c>
      <c r="M2368" t="str">
        <f>CONCATENATE(MONTH(CompilDonnées[[#This Row],[HarvestingDate]])," ", YEAR(CompilDonnées[[#This Row],[HarvestingDate]]))</f>
        <v>5 2025</v>
      </c>
      <c r="N2368">
        <f>_xlfn.NUMBERVALUE(CompilDonnées[[#This Row],[FarmID]]&amp;CompilDonnées[[#This Row],[ModuleNumber]]&amp;CompilDonnées[[#This Row],[PlantationDate]])</f>
        <v>88245758</v>
      </c>
      <c r="O2368" t="str">
        <f>CompilDonnées[[#This Row],[FarmID]]&amp;CompilDonnées[[#This Row],[ModuleNumber]]</f>
        <v>882</v>
      </c>
      <c r="P2368" t="str">
        <f>CompilDonnées[[#This Row],[Ref_Module]]&amp;CompilDonnées[[#This Row],[HarvestingDate]]</f>
        <v>88245797</v>
      </c>
    </row>
    <row r="2369" spans="1:16">
      <c r="A2369" s="5">
        <v>45758</v>
      </c>
      <c r="B2369">
        <v>88</v>
      </c>
      <c r="C2369" t="s">
        <v>94</v>
      </c>
      <c r="D2369">
        <v>4</v>
      </c>
      <c r="E2369">
        <v>100</v>
      </c>
      <c r="F2369" t="s">
        <v>1</v>
      </c>
      <c r="G2369" s="6">
        <v>45797</v>
      </c>
      <c r="H2369">
        <v>39</v>
      </c>
      <c r="I2369">
        <f>ROUND(CompilDonnées[[#This Row],[CultureDuration_days]]/7,0)</f>
        <v>6</v>
      </c>
      <c r="J2369">
        <v>3140</v>
      </c>
      <c r="K2369" t="str">
        <f>_xlfn.CONCAT(WEEKNUM(CompilDonnées[[#This Row],[PlantationDate]]), " ", YEAR(CompilDonnées[[#This Row],[PlantationDate]]))</f>
        <v>15 2025</v>
      </c>
      <c r="L2369" t="str">
        <f>CONCATENATE(MONTH(CompilDonnées[[#This Row],[PlantationDate]])," ", YEAR(CompilDonnées[[#This Row],[PlantationDate]]))</f>
        <v>4 2025</v>
      </c>
      <c r="M2369" t="str">
        <f>CONCATENATE(MONTH(CompilDonnées[[#This Row],[HarvestingDate]])," ", YEAR(CompilDonnées[[#This Row],[HarvestingDate]]))</f>
        <v>5 2025</v>
      </c>
      <c r="N2369">
        <f>_xlfn.NUMBERVALUE(CompilDonnées[[#This Row],[FarmID]]&amp;CompilDonnées[[#This Row],[ModuleNumber]]&amp;CompilDonnées[[#This Row],[PlantationDate]])</f>
        <v>88445758</v>
      </c>
      <c r="O2369" t="str">
        <f>CompilDonnées[[#This Row],[FarmID]]&amp;CompilDonnées[[#This Row],[ModuleNumber]]</f>
        <v>884</v>
      </c>
      <c r="P2369" t="str">
        <f>CompilDonnées[[#This Row],[Ref_Module]]&amp;CompilDonnées[[#This Row],[HarvestingDate]]</f>
        <v>88445797</v>
      </c>
    </row>
    <row r="2370" spans="1:16">
      <c r="A2370" s="5">
        <v>45758</v>
      </c>
      <c r="B2370">
        <v>92</v>
      </c>
      <c r="C2370" t="s">
        <v>66</v>
      </c>
      <c r="D2370">
        <v>4</v>
      </c>
      <c r="E2370">
        <v>100</v>
      </c>
      <c r="F2370" t="s">
        <v>1</v>
      </c>
      <c r="G2370" s="6">
        <v>45814</v>
      </c>
      <c r="H2370">
        <v>56</v>
      </c>
      <c r="I2370">
        <f>ROUND(CompilDonnées[[#This Row],[CultureDuration_days]]/7,0)</f>
        <v>8</v>
      </c>
      <c r="J2370">
        <v>2471</v>
      </c>
      <c r="K2370" t="str">
        <f>_xlfn.CONCAT(WEEKNUM(CompilDonnées[[#This Row],[PlantationDate]]), " ", YEAR(CompilDonnées[[#This Row],[PlantationDate]]))</f>
        <v>15 2025</v>
      </c>
      <c r="L2370" t="str">
        <f>CONCATENATE(MONTH(CompilDonnées[[#This Row],[PlantationDate]])," ", YEAR(CompilDonnées[[#This Row],[PlantationDate]]))</f>
        <v>4 2025</v>
      </c>
      <c r="M2370" t="str">
        <f>CONCATENATE(MONTH(CompilDonnées[[#This Row],[HarvestingDate]])," ", YEAR(CompilDonnées[[#This Row],[HarvestingDate]]))</f>
        <v>6 2025</v>
      </c>
      <c r="N2370">
        <f>_xlfn.NUMBERVALUE(CompilDonnées[[#This Row],[FarmID]]&amp;CompilDonnées[[#This Row],[ModuleNumber]]&amp;CompilDonnées[[#This Row],[PlantationDate]])</f>
        <v>92445758</v>
      </c>
      <c r="O2370" t="str">
        <f>CompilDonnées[[#This Row],[FarmID]]&amp;CompilDonnées[[#This Row],[ModuleNumber]]</f>
        <v>924</v>
      </c>
      <c r="P2370" t="str">
        <f>CompilDonnées[[#This Row],[Ref_Module]]&amp;CompilDonnées[[#This Row],[HarvestingDate]]</f>
        <v>92445814</v>
      </c>
    </row>
    <row r="2371" spans="1:16">
      <c r="A2371" s="5">
        <v>45758</v>
      </c>
      <c r="B2371">
        <v>93</v>
      </c>
      <c r="C2371" t="s">
        <v>10</v>
      </c>
      <c r="D2371">
        <v>4</v>
      </c>
      <c r="E2371">
        <v>100</v>
      </c>
      <c r="F2371" t="s">
        <v>1</v>
      </c>
      <c r="G2371" s="6">
        <v>45799</v>
      </c>
      <c r="H2371">
        <v>41</v>
      </c>
      <c r="I2371">
        <f>ROUND(CompilDonnées[[#This Row],[CultureDuration_days]]/7,0)</f>
        <v>6</v>
      </c>
      <c r="J2371">
        <v>3200</v>
      </c>
      <c r="K2371" t="str">
        <f>_xlfn.CONCAT(WEEKNUM(CompilDonnées[[#This Row],[PlantationDate]]), " ", YEAR(CompilDonnées[[#This Row],[PlantationDate]]))</f>
        <v>15 2025</v>
      </c>
      <c r="L2371" t="str">
        <f>CONCATENATE(MONTH(CompilDonnées[[#This Row],[PlantationDate]])," ", YEAR(CompilDonnées[[#This Row],[PlantationDate]]))</f>
        <v>4 2025</v>
      </c>
      <c r="M2371" t="str">
        <f>CONCATENATE(MONTH(CompilDonnées[[#This Row],[HarvestingDate]])," ", YEAR(CompilDonnées[[#This Row],[HarvestingDate]]))</f>
        <v>5 2025</v>
      </c>
      <c r="N2371">
        <f>_xlfn.NUMBERVALUE(CompilDonnées[[#This Row],[FarmID]]&amp;CompilDonnées[[#This Row],[ModuleNumber]]&amp;CompilDonnées[[#This Row],[PlantationDate]])</f>
        <v>93445758</v>
      </c>
      <c r="O2371" t="str">
        <f>CompilDonnées[[#This Row],[FarmID]]&amp;CompilDonnées[[#This Row],[ModuleNumber]]</f>
        <v>934</v>
      </c>
      <c r="P2371" t="str">
        <f>CompilDonnées[[#This Row],[Ref_Module]]&amp;CompilDonnées[[#This Row],[HarvestingDate]]</f>
        <v>93445799</v>
      </c>
    </row>
    <row r="2372" spans="1:16">
      <c r="A2372" s="5">
        <v>45758</v>
      </c>
      <c r="B2372">
        <v>99</v>
      </c>
      <c r="C2372" t="s">
        <v>117</v>
      </c>
      <c r="D2372">
        <v>5</v>
      </c>
      <c r="E2372">
        <v>100</v>
      </c>
      <c r="F2372" t="s">
        <v>1</v>
      </c>
      <c r="G2372" s="6">
        <v>45799</v>
      </c>
      <c r="H2372">
        <v>41</v>
      </c>
      <c r="I2372">
        <f>ROUND(CompilDonnées[[#This Row],[CultureDuration_days]]/7,0)</f>
        <v>6</v>
      </c>
      <c r="J2372">
        <v>2859</v>
      </c>
      <c r="K2372" t="str">
        <f>_xlfn.CONCAT(WEEKNUM(CompilDonnées[[#This Row],[PlantationDate]]), " ", YEAR(CompilDonnées[[#This Row],[PlantationDate]]))</f>
        <v>15 2025</v>
      </c>
      <c r="L2372" t="str">
        <f>CONCATENATE(MONTH(CompilDonnées[[#This Row],[PlantationDate]])," ", YEAR(CompilDonnées[[#This Row],[PlantationDate]]))</f>
        <v>4 2025</v>
      </c>
      <c r="M2372" t="str">
        <f>CONCATENATE(MONTH(CompilDonnées[[#This Row],[HarvestingDate]])," ", YEAR(CompilDonnées[[#This Row],[HarvestingDate]]))</f>
        <v>5 2025</v>
      </c>
      <c r="N2372">
        <f>_xlfn.NUMBERVALUE(CompilDonnées[[#This Row],[FarmID]]&amp;CompilDonnées[[#This Row],[ModuleNumber]]&amp;CompilDonnées[[#This Row],[PlantationDate]])</f>
        <v>99545758</v>
      </c>
      <c r="O2372" t="str">
        <f>CompilDonnées[[#This Row],[FarmID]]&amp;CompilDonnées[[#This Row],[ModuleNumber]]</f>
        <v>995</v>
      </c>
      <c r="P2372" t="str">
        <f>CompilDonnées[[#This Row],[Ref_Module]]&amp;CompilDonnées[[#This Row],[HarvestingDate]]</f>
        <v>99545799</v>
      </c>
    </row>
    <row r="2373" spans="1:16">
      <c r="A2373" s="5">
        <v>45758</v>
      </c>
      <c r="B2373">
        <v>124</v>
      </c>
      <c r="C2373" t="s">
        <v>115</v>
      </c>
      <c r="D2373">
        <v>1</v>
      </c>
      <c r="E2373">
        <v>100</v>
      </c>
      <c r="F2373" t="s">
        <v>1</v>
      </c>
      <c r="G2373" s="6">
        <v>45800</v>
      </c>
      <c r="H2373">
        <v>42</v>
      </c>
      <c r="I2373">
        <f>ROUND(CompilDonnées[[#This Row],[CultureDuration_days]]/7,0)</f>
        <v>6</v>
      </c>
      <c r="J2373">
        <v>2500</v>
      </c>
      <c r="K2373" t="str">
        <f>_xlfn.CONCAT(WEEKNUM(CompilDonnées[[#This Row],[PlantationDate]]), " ", YEAR(CompilDonnées[[#This Row],[PlantationDate]]))</f>
        <v>15 2025</v>
      </c>
      <c r="L2373" t="str">
        <f>CONCATENATE(MONTH(CompilDonnées[[#This Row],[PlantationDate]])," ", YEAR(CompilDonnées[[#This Row],[PlantationDate]]))</f>
        <v>4 2025</v>
      </c>
      <c r="M2373" t="str">
        <f>CONCATENATE(MONTH(CompilDonnées[[#This Row],[HarvestingDate]])," ", YEAR(CompilDonnées[[#This Row],[HarvestingDate]]))</f>
        <v>5 2025</v>
      </c>
      <c r="N2373">
        <f>_xlfn.NUMBERVALUE(CompilDonnées[[#This Row],[FarmID]]&amp;CompilDonnées[[#This Row],[ModuleNumber]]&amp;CompilDonnées[[#This Row],[PlantationDate]])</f>
        <v>124145758</v>
      </c>
      <c r="O2373" t="str">
        <f>CompilDonnées[[#This Row],[FarmID]]&amp;CompilDonnées[[#This Row],[ModuleNumber]]</f>
        <v>1241</v>
      </c>
      <c r="P2373" t="str">
        <f>CompilDonnées[[#This Row],[Ref_Module]]&amp;CompilDonnées[[#This Row],[HarvestingDate]]</f>
        <v>124145800</v>
      </c>
    </row>
    <row r="2374" spans="1:16">
      <c r="A2374" s="5">
        <v>45758</v>
      </c>
      <c r="B2374">
        <v>124</v>
      </c>
      <c r="C2374" t="s">
        <v>115</v>
      </c>
      <c r="D2374">
        <v>2</v>
      </c>
      <c r="E2374">
        <v>100</v>
      </c>
      <c r="F2374" t="s">
        <v>1</v>
      </c>
      <c r="G2374" s="6">
        <v>45803</v>
      </c>
      <c r="H2374">
        <v>45</v>
      </c>
      <c r="I2374">
        <f>ROUND(CompilDonnées[[#This Row],[CultureDuration_days]]/7,0)</f>
        <v>6</v>
      </c>
      <c r="J2374">
        <v>2250</v>
      </c>
      <c r="K2374" t="str">
        <f>_xlfn.CONCAT(WEEKNUM(CompilDonnées[[#This Row],[PlantationDate]]), " ", YEAR(CompilDonnées[[#This Row],[PlantationDate]]))</f>
        <v>15 2025</v>
      </c>
      <c r="L2374" t="str">
        <f>CONCATENATE(MONTH(CompilDonnées[[#This Row],[PlantationDate]])," ", YEAR(CompilDonnées[[#This Row],[PlantationDate]]))</f>
        <v>4 2025</v>
      </c>
      <c r="M2374" t="str">
        <f>CONCATENATE(MONTH(CompilDonnées[[#This Row],[HarvestingDate]])," ", YEAR(CompilDonnées[[#This Row],[HarvestingDate]]))</f>
        <v>5 2025</v>
      </c>
      <c r="N2374">
        <f>_xlfn.NUMBERVALUE(CompilDonnées[[#This Row],[FarmID]]&amp;CompilDonnées[[#This Row],[ModuleNumber]]&amp;CompilDonnées[[#This Row],[PlantationDate]])</f>
        <v>124245758</v>
      </c>
      <c r="O2374" t="str">
        <f>CompilDonnées[[#This Row],[FarmID]]&amp;CompilDonnées[[#This Row],[ModuleNumber]]</f>
        <v>1242</v>
      </c>
      <c r="P2374" t="str">
        <f>CompilDonnées[[#This Row],[Ref_Module]]&amp;CompilDonnées[[#This Row],[HarvestingDate]]</f>
        <v>124245803</v>
      </c>
    </row>
    <row r="2375" spans="1:16">
      <c r="A2375" s="5">
        <v>45758</v>
      </c>
      <c r="B2375">
        <v>126</v>
      </c>
      <c r="C2375" t="s">
        <v>52</v>
      </c>
      <c r="D2375">
        <v>2</v>
      </c>
      <c r="E2375">
        <v>100</v>
      </c>
      <c r="F2375" t="s">
        <v>1</v>
      </c>
      <c r="G2375" s="6">
        <v>45799</v>
      </c>
      <c r="H2375">
        <v>41</v>
      </c>
      <c r="I2375">
        <f>ROUND(CompilDonnées[[#This Row],[CultureDuration_days]]/7,0)</f>
        <v>6</v>
      </c>
      <c r="J2375">
        <v>2300</v>
      </c>
      <c r="K2375" t="str">
        <f>_xlfn.CONCAT(WEEKNUM(CompilDonnées[[#This Row],[PlantationDate]]), " ", YEAR(CompilDonnées[[#This Row],[PlantationDate]]))</f>
        <v>15 2025</v>
      </c>
      <c r="L2375" t="str">
        <f>CONCATENATE(MONTH(CompilDonnées[[#This Row],[PlantationDate]])," ", YEAR(CompilDonnées[[#This Row],[PlantationDate]]))</f>
        <v>4 2025</v>
      </c>
      <c r="M2375" t="str">
        <f>CONCATENATE(MONTH(CompilDonnées[[#This Row],[HarvestingDate]])," ", YEAR(CompilDonnées[[#This Row],[HarvestingDate]]))</f>
        <v>5 2025</v>
      </c>
      <c r="N2375">
        <f>_xlfn.NUMBERVALUE(CompilDonnées[[#This Row],[FarmID]]&amp;CompilDonnées[[#This Row],[ModuleNumber]]&amp;CompilDonnées[[#This Row],[PlantationDate]])</f>
        <v>126245758</v>
      </c>
      <c r="O2375" t="str">
        <f>CompilDonnées[[#This Row],[FarmID]]&amp;CompilDonnées[[#This Row],[ModuleNumber]]</f>
        <v>1262</v>
      </c>
      <c r="P2375" t="str">
        <f>CompilDonnées[[#This Row],[Ref_Module]]&amp;CompilDonnées[[#This Row],[HarvestingDate]]</f>
        <v>126245799</v>
      </c>
    </row>
    <row r="2376" spans="1:16">
      <c r="A2376" s="5">
        <v>45758</v>
      </c>
      <c r="B2376">
        <v>115</v>
      </c>
      <c r="C2376" t="s">
        <v>121</v>
      </c>
      <c r="D2376">
        <v>5</v>
      </c>
      <c r="E2376">
        <v>100</v>
      </c>
      <c r="F2376" t="s">
        <v>1</v>
      </c>
      <c r="G2376" s="6">
        <v>45803</v>
      </c>
      <c r="H2376">
        <v>45</v>
      </c>
      <c r="I2376">
        <f>ROUND(CompilDonnées[[#This Row],[CultureDuration_days]]/7,0)</f>
        <v>6</v>
      </c>
      <c r="J2376">
        <v>2117</v>
      </c>
      <c r="K2376" t="str">
        <f>_xlfn.CONCAT(WEEKNUM(CompilDonnées[[#This Row],[PlantationDate]]), " ", YEAR(CompilDonnées[[#This Row],[PlantationDate]]))</f>
        <v>15 2025</v>
      </c>
      <c r="L2376" t="str">
        <f>CONCATENATE(MONTH(CompilDonnées[[#This Row],[PlantationDate]])," ", YEAR(CompilDonnées[[#This Row],[PlantationDate]]))</f>
        <v>4 2025</v>
      </c>
      <c r="M2376" t="str">
        <f>CONCATENATE(MONTH(CompilDonnées[[#This Row],[HarvestingDate]])," ", YEAR(CompilDonnées[[#This Row],[HarvestingDate]]))</f>
        <v>5 2025</v>
      </c>
      <c r="N2376">
        <f>_xlfn.NUMBERVALUE(CompilDonnées[[#This Row],[FarmID]]&amp;CompilDonnées[[#This Row],[ModuleNumber]]&amp;CompilDonnées[[#This Row],[PlantationDate]])</f>
        <v>115545758</v>
      </c>
      <c r="O2376" t="str">
        <f>CompilDonnées[[#This Row],[FarmID]]&amp;CompilDonnées[[#This Row],[ModuleNumber]]</f>
        <v>1155</v>
      </c>
      <c r="P2376" t="str">
        <f>CompilDonnées[[#This Row],[Ref_Module]]&amp;CompilDonnées[[#This Row],[HarvestingDate]]</f>
        <v>115545803</v>
      </c>
    </row>
    <row r="2377" spans="1:16">
      <c r="A2377" s="5">
        <v>45759</v>
      </c>
      <c r="B2377">
        <v>102</v>
      </c>
      <c r="C2377" t="s">
        <v>85</v>
      </c>
      <c r="D2377">
        <v>5</v>
      </c>
      <c r="E2377">
        <v>100</v>
      </c>
      <c r="F2377" t="s">
        <v>1</v>
      </c>
      <c r="G2377" s="6">
        <v>45814</v>
      </c>
      <c r="H2377">
        <v>55</v>
      </c>
      <c r="I2377">
        <f>ROUND(CompilDonnées[[#This Row],[CultureDuration_days]]/7,0)</f>
        <v>8</v>
      </c>
      <c r="J2377">
        <v>2830</v>
      </c>
      <c r="K2377" t="str">
        <f>_xlfn.CONCAT(WEEKNUM(CompilDonnées[[#This Row],[PlantationDate]]), " ", YEAR(CompilDonnées[[#This Row],[PlantationDate]]))</f>
        <v>15 2025</v>
      </c>
      <c r="L2377" t="str">
        <f>CONCATENATE(MONTH(CompilDonnées[[#This Row],[PlantationDate]])," ", YEAR(CompilDonnées[[#This Row],[PlantationDate]]))</f>
        <v>4 2025</v>
      </c>
      <c r="M2377" t="str">
        <f>CONCATENATE(MONTH(CompilDonnées[[#This Row],[HarvestingDate]])," ", YEAR(CompilDonnées[[#This Row],[HarvestingDate]]))</f>
        <v>6 2025</v>
      </c>
      <c r="N2377">
        <f>_xlfn.NUMBERVALUE(CompilDonnées[[#This Row],[FarmID]]&amp;CompilDonnées[[#This Row],[ModuleNumber]]&amp;CompilDonnées[[#This Row],[PlantationDate]])</f>
        <v>102545759</v>
      </c>
      <c r="O2377" t="str">
        <f>CompilDonnées[[#This Row],[FarmID]]&amp;CompilDonnées[[#This Row],[ModuleNumber]]</f>
        <v>1025</v>
      </c>
      <c r="P2377" t="str">
        <f>CompilDonnées[[#This Row],[Ref_Module]]&amp;CompilDonnées[[#This Row],[HarvestingDate]]</f>
        <v>102545814</v>
      </c>
    </row>
    <row r="2378" spans="1:16">
      <c r="A2378" s="5">
        <v>45759</v>
      </c>
      <c r="B2378">
        <v>106</v>
      </c>
      <c r="C2378" t="s">
        <v>22</v>
      </c>
      <c r="D2378">
        <v>2</v>
      </c>
      <c r="E2378">
        <v>100</v>
      </c>
      <c r="F2378" t="s">
        <v>1</v>
      </c>
      <c r="G2378" s="6">
        <v>45803</v>
      </c>
      <c r="H2378">
        <v>44</v>
      </c>
      <c r="I2378">
        <f>ROUND(CompilDonnées[[#This Row],[CultureDuration_days]]/7,0)</f>
        <v>6</v>
      </c>
      <c r="J2378">
        <v>2255</v>
      </c>
      <c r="K2378" t="str">
        <f>_xlfn.CONCAT(WEEKNUM(CompilDonnées[[#This Row],[PlantationDate]]), " ", YEAR(CompilDonnées[[#This Row],[PlantationDate]]))</f>
        <v>15 2025</v>
      </c>
      <c r="L2378" t="str">
        <f>CONCATENATE(MONTH(CompilDonnées[[#This Row],[PlantationDate]])," ", YEAR(CompilDonnées[[#This Row],[PlantationDate]]))</f>
        <v>4 2025</v>
      </c>
      <c r="M2378" t="str">
        <f>CONCATENATE(MONTH(CompilDonnées[[#This Row],[HarvestingDate]])," ", YEAR(CompilDonnées[[#This Row],[HarvestingDate]]))</f>
        <v>5 2025</v>
      </c>
      <c r="N2378">
        <f>_xlfn.NUMBERVALUE(CompilDonnées[[#This Row],[FarmID]]&amp;CompilDonnées[[#This Row],[ModuleNumber]]&amp;CompilDonnées[[#This Row],[PlantationDate]])</f>
        <v>106245759</v>
      </c>
      <c r="O2378" t="str">
        <f>CompilDonnées[[#This Row],[FarmID]]&amp;CompilDonnées[[#This Row],[ModuleNumber]]</f>
        <v>1062</v>
      </c>
      <c r="P2378" t="str">
        <f>CompilDonnées[[#This Row],[Ref_Module]]&amp;CompilDonnées[[#This Row],[HarvestingDate]]</f>
        <v>106245803</v>
      </c>
    </row>
    <row r="2379" spans="1:16">
      <c r="A2379" s="5">
        <v>45759</v>
      </c>
      <c r="B2379">
        <v>107</v>
      </c>
      <c r="C2379" t="s">
        <v>23</v>
      </c>
      <c r="D2379">
        <v>3</v>
      </c>
      <c r="E2379">
        <v>100</v>
      </c>
      <c r="F2379" t="s">
        <v>1</v>
      </c>
      <c r="G2379" s="6">
        <v>45799</v>
      </c>
      <c r="H2379">
        <v>40</v>
      </c>
      <c r="I2379">
        <f>ROUND(CompilDonnées[[#This Row],[CultureDuration_days]]/7,0)</f>
        <v>6</v>
      </c>
      <c r="J2379">
        <v>2530</v>
      </c>
      <c r="K2379" t="str">
        <f>_xlfn.CONCAT(WEEKNUM(CompilDonnées[[#This Row],[PlantationDate]]), " ", YEAR(CompilDonnées[[#This Row],[PlantationDate]]))</f>
        <v>15 2025</v>
      </c>
      <c r="L2379" t="str">
        <f>CONCATENATE(MONTH(CompilDonnées[[#This Row],[PlantationDate]])," ", YEAR(CompilDonnées[[#This Row],[PlantationDate]]))</f>
        <v>4 2025</v>
      </c>
      <c r="M2379" t="str">
        <f>CONCATENATE(MONTH(CompilDonnées[[#This Row],[HarvestingDate]])," ", YEAR(CompilDonnées[[#This Row],[HarvestingDate]]))</f>
        <v>5 2025</v>
      </c>
      <c r="N2379">
        <f>_xlfn.NUMBERVALUE(CompilDonnées[[#This Row],[FarmID]]&amp;CompilDonnées[[#This Row],[ModuleNumber]]&amp;CompilDonnées[[#This Row],[PlantationDate]])</f>
        <v>107345759</v>
      </c>
      <c r="O2379" t="str">
        <f>CompilDonnées[[#This Row],[FarmID]]&amp;CompilDonnées[[#This Row],[ModuleNumber]]</f>
        <v>1073</v>
      </c>
      <c r="P2379" t="str">
        <f>CompilDonnées[[#This Row],[Ref_Module]]&amp;CompilDonnées[[#This Row],[HarvestingDate]]</f>
        <v>107345799</v>
      </c>
    </row>
    <row r="2380" spans="1:16">
      <c r="A2380" s="5">
        <v>45759</v>
      </c>
      <c r="B2380">
        <v>108</v>
      </c>
      <c r="C2380" t="s">
        <v>58</v>
      </c>
      <c r="D2380">
        <v>3</v>
      </c>
      <c r="E2380">
        <v>100</v>
      </c>
      <c r="F2380" t="s">
        <v>1</v>
      </c>
      <c r="G2380" s="6">
        <v>45799</v>
      </c>
      <c r="H2380">
        <v>40</v>
      </c>
      <c r="I2380">
        <f>ROUND(CompilDonnées[[#This Row],[CultureDuration_days]]/7,0)</f>
        <v>6</v>
      </c>
      <c r="J2380">
        <v>2732</v>
      </c>
      <c r="K2380" t="str">
        <f>_xlfn.CONCAT(WEEKNUM(CompilDonnées[[#This Row],[PlantationDate]]), " ", YEAR(CompilDonnées[[#This Row],[PlantationDate]]))</f>
        <v>15 2025</v>
      </c>
      <c r="L2380" t="str">
        <f>CONCATENATE(MONTH(CompilDonnées[[#This Row],[PlantationDate]])," ", YEAR(CompilDonnées[[#This Row],[PlantationDate]]))</f>
        <v>4 2025</v>
      </c>
      <c r="M2380" t="str">
        <f>CONCATENATE(MONTH(CompilDonnées[[#This Row],[HarvestingDate]])," ", YEAR(CompilDonnées[[#This Row],[HarvestingDate]]))</f>
        <v>5 2025</v>
      </c>
      <c r="N2380">
        <f>_xlfn.NUMBERVALUE(CompilDonnées[[#This Row],[FarmID]]&amp;CompilDonnées[[#This Row],[ModuleNumber]]&amp;CompilDonnées[[#This Row],[PlantationDate]])</f>
        <v>108345759</v>
      </c>
      <c r="O2380" t="str">
        <f>CompilDonnées[[#This Row],[FarmID]]&amp;CompilDonnées[[#This Row],[ModuleNumber]]</f>
        <v>1083</v>
      </c>
      <c r="P2380" t="str">
        <f>CompilDonnées[[#This Row],[Ref_Module]]&amp;CompilDonnées[[#This Row],[HarvestingDate]]</f>
        <v>108345799</v>
      </c>
    </row>
    <row r="2381" spans="1:16">
      <c r="A2381" s="5">
        <v>45759</v>
      </c>
      <c r="B2381">
        <v>110</v>
      </c>
      <c r="C2381" t="s">
        <v>14</v>
      </c>
      <c r="D2381">
        <v>4</v>
      </c>
      <c r="E2381">
        <v>100</v>
      </c>
      <c r="F2381" t="s">
        <v>1</v>
      </c>
      <c r="G2381" s="6">
        <v>45803</v>
      </c>
      <c r="H2381">
        <v>44</v>
      </c>
      <c r="I2381">
        <f>ROUND(CompilDonnées[[#This Row],[CultureDuration_days]]/7,0)</f>
        <v>6</v>
      </c>
      <c r="J2381">
        <v>2187</v>
      </c>
      <c r="K2381" t="str">
        <f>_xlfn.CONCAT(WEEKNUM(CompilDonnées[[#This Row],[PlantationDate]]), " ", YEAR(CompilDonnées[[#This Row],[PlantationDate]]))</f>
        <v>15 2025</v>
      </c>
      <c r="L2381" t="str">
        <f>CONCATENATE(MONTH(CompilDonnées[[#This Row],[PlantationDate]])," ", YEAR(CompilDonnées[[#This Row],[PlantationDate]]))</f>
        <v>4 2025</v>
      </c>
      <c r="M2381" t="str">
        <f>CONCATENATE(MONTH(CompilDonnées[[#This Row],[HarvestingDate]])," ", YEAR(CompilDonnées[[#This Row],[HarvestingDate]]))</f>
        <v>5 2025</v>
      </c>
      <c r="N2381">
        <f>_xlfn.NUMBERVALUE(CompilDonnées[[#This Row],[FarmID]]&amp;CompilDonnées[[#This Row],[ModuleNumber]]&amp;CompilDonnées[[#This Row],[PlantationDate]])</f>
        <v>110445759</v>
      </c>
      <c r="O2381" t="str">
        <f>CompilDonnées[[#This Row],[FarmID]]&amp;CompilDonnées[[#This Row],[ModuleNumber]]</f>
        <v>1104</v>
      </c>
      <c r="P2381" t="str">
        <f>CompilDonnées[[#This Row],[Ref_Module]]&amp;CompilDonnées[[#This Row],[HarvestingDate]]</f>
        <v>110445803</v>
      </c>
    </row>
    <row r="2382" spans="1:16">
      <c r="A2382" s="5">
        <v>45759</v>
      </c>
      <c r="B2382">
        <v>111</v>
      </c>
      <c r="C2382" t="s">
        <v>41</v>
      </c>
      <c r="D2382">
        <v>5</v>
      </c>
      <c r="E2382">
        <v>100</v>
      </c>
      <c r="F2382" t="s">
        <v>1</v>
      </c>
      <c r="G2382" s="6">
        <v>45800</v>
      </c>
      <c r="H2382">
        <v>41</v>
      </c>
      <c r="I2382">
        <f>ROUND(CompilDonnées[[#This Row],[CultureDuration_days]]/7,0)</f>
        <v>6</v>
      </c>
      <c r="J2382">
        <v>3200</v>
      </c>
      <c r="K2382" t="str">
        <f>_xlfn.CONCAT(WEEKNUM(CompilDonnées[[#This Row],[PlantationDate]]), " ", YEAR(CompilDonnées[[#This Row],[PlantationDate]]))</f>
        <v>15 2025</v>
      </c>
      <c r="L2382" t="str">
        <f>CONCATENATE(MONTH(CompilDonnées[[#This Row],[PlantationDate]])," ", YEAR(CompilDonnées[[#This Row],[PlantationDate]]))</f>
        <v>4 2025</v>
      </c>
      <c r="M2382" t="str">
        <f>CONCATENATE(MONTH(CompilDonnées[[#This Row],[HarvestingDate]])," ", YEAR(CompilDonnées[[#This Row],[HarvestingDate]]))</f>
        <v>5 2025</v>
      </c>
      <c r="N2382">
        <f>_xlfn.NUMBERVALUE(CompilDonnées[[#This Row],[FarmID]]&amp;CompilDonnées[[#This Row],[ModuleNumber]]&amp;CompilDonnées[[#This Row],[PlantationDate]])</f>
        <v>111545759</v>
      </c>
      <c r="O2382" t="str">
        <f>CompilDonnées[[#This Row],[FarmID]]&amp;CompilDonnées[[#This Row],[ModuleNumber]]</f>
        <v>1115</v>
      </c>
      <c r="P2382" t="str">
        <f>CompilDonnées[[#This Row],[Ref_Module]]&amp;CompilDonnées[[#This Row],[HarvestingDate]]</f>
        <v>111545800</v>
      </c>
    </row>
    <row r="2383" spans="1:16">
      <c r="A2383" s="5">
        <v>45759</v>
      </c>
      <c r="B2383">
        <v>112</v>
      </c>
      <c r="C2383" t="s">
        <v>15</v>
      </c>
      <c r="D2383">
        <v>5</v>
      </c>
      <c r="E2383">
        <v>100</v>
      </c>
      <c r="F2383" t="s">
        <v>1</v>
      </c>
      <c r="G2383" s="6">
        <v>45800</v>
      </c>
      <c r="H2383">
        <v>41</v>
      </c>
      <c r="I2383">
        <f>ROUND(CompilDonnées[[#This Row],[CultureDuration_days]]/7,0)</f>
        <v>6</v>
      </c>
      <c r="J2383">
        <v>2780</v>
      </c>
      <c r="K2383" t="str">
        <f>_xlfn.CONCAT(WEEKNUM(CompilDonnées[[#This Row],[PlantationDate]]), " ", YEAR(CompilDonnées[[#This Row],[PlantationDate]]))</f>
        <v>15 2025</v>
      </c>
      <c r="L2383" t="str">
        <f>CONCATENATE(MONTH(CompilDonnées[[#This Row],[PlantationDate]])," ", YEAR(CompilDonnées[[#This Row],[PlantationDate]]))</f>
        <v>4 2025</v>
      </c>
      <c r="M2383" t="str">
        <f>CONCATENATE(MONTH(CompilDonnées[[#This Row],[HarvestingDate]])," ", YEAR(CompilDonnées[[#This Row],[HarvestingDate]]))</f>
        <v>5 2025</v>
      </c>
      <c r="N2383">
        <f>_xlfn.NUMBERVALUE(CompilDonnées[[#This Row],[FarmID]]&amp;CompilDonnées[[#This Row],[ModuleNumber]]&amp;CompilDonnées[[#This Row],[PlantationDate]])</f>
        <v>112545759</v>
      </c>
      <c r="O2383" t="str">
        <f>CompilDonnées[[#This Row],[FarmID]]&amp;CompilDonnées[[#This Row],[ModuleNumber]]</f>
        <v>1125</v>
      </c>
      <c r="P2383" t="str">
        <f>CompilDonnées[[#This Row],[Ref_Module]]&amp;CompilDonnées[[#This Row],[HarvestingDate]]</f>
        <v>112545800</v>
      </c>
    </row>
    <row r="2384" spans="1:16">
      <c r="A2384" s="5">
        <v>45759</v>
      </c>
      <c r="B2384">
        <v>113</v>
      </c>
      <c r="C2384" t="s">
        <v>16</v>
      </c>
      <c r="D2384">
        <v>5</v>
      </c>
      <c r="E2384">
        <v>100</v>
      </c>
      <c r="F2384" t="s">
        <v>1</v>
      </c>
      <c r="G2384" s="6">
        <v>45800</v>
      </c>
      <c r="H2384">
        <v>41</v>
      </c>
      <c r="I2384">
        <f>ROUND(CompilDonnées[[#This Row],[CultureDuration_days]]/7,0)</f>
        <v>6</v>
      </c>
      <c r="J2384">
        <v>3414</v>
      </c>
      <c r="K2384" t="str">
        <f>_xlfn.CONCAT(WEEKNUM(CompilDonnées[[#This Row],[PlantationDate]]), " ", YEAR(CompilDonnées[[#This Row],[PlantationDate]]))</f>
        <v>15 2025</v>
      </c>
      <c r="L2384" t="str">
        <f>CONCATENATE(MONTH(CompilDonnées[[#This Row],[PlantationDate]])," ", YEAR(CompilDonnées[[#This Row],[PlantationDate]]))</f>
        <v>4 2025</v>
      </c>
      <c r="M2384" t="str">
        <f>CONCATENATE(MONTH(CompilDonnées[[#This Row],[HarvestingDate]])," ", YEAR(CompilDonnées[[#This Row],[HarvestingDate]]))</f>
        <v>5 2025</v>
      </c>
      <c r="N2384">
        <f>_xlfn.NUMBERVALUE(CompilDonnées[[#This Row],[FarmID]]&amp;CompilDonnées[[#This Row],[ModuleNumber]]&amp;CompilDonnées[[#This Row],[PlantationDate]])</f>
        <v>113545759</v>
      </c>
      <c r="O2384" t="str">
        <f>CompilDonnées[[#This Row],[FarmID]]&amp;CompilDonnées[[#This Row],[ModuleNumber]]</f>
        <v>1135</v>
      </c>
      <c r="P2384" t="str">
        <f>CompilDonnées[[#This Row],[Ref_Module]]&amp;CompilDonnées[[#This Row],[HarvestingDate]]</f>
        <v>113545800</v>
      </c>
    </row>
    <row r="2385" spans="1:16">
      <c r="A2385" s="5">
        <v>45759</v>
      </c>
      <c r="B2385">
        <v>46</v>
      </c>
      <c r="C2385" t="s">
        <v>8</v>
      </c>
      <c r="D2385">
        <v>5</v>
      </c>
      <c r="E2385">
        <v>100</v>
      </c>
      <c r="F2385" t="s">
        <v>1</v>
      </c>
      <c r="G2385" s="6">
        <v>45806</v>
      </c>
      <c r="H2385">
        <v>47</v>
      </c>
      <c r="I2385">
        <f>ROUND(CompilDonnées[[#This Row],[CultureDuration_days]]/7,0)</f>
        <v>7</v>
      </c>
      <c r="J2385">
        <v>2745</v>
      </c>
      <c r="K2385" t="str">
        <f>_xlfn.CONCAT(WEEKNUM(CompilDonnées[[#This Row],[PlantationDate]]), " ", YEAR(CompilDonnées[[#This Row],[PlantationDate]]))</f>
        <v>15 2025</v>
      </c>
      <c r="L2385" t="str">
        <f>CONCATENATE(MONTH(CompilDonnées[[#This Row],[PlantationDate]])," ", YEAR(CompilDonnées[[#This Row],[PlantationDate]]))</f>
        <v>4 2025</v>
      </c>
      <c r="M2385" t="str">
        <f>CONCATENATE(MONTH(CompilDonnées[[#This Row],[HarvestingDate]])," ", YEAR(CompilDonnées[[#This Row],[HarvestingDate]]))</f>
        <v>5 2025</v>
      </c>
      <c r="N2385">
        <f>_xlfn.NUMBERVALUE(CompilDonnées[[#This Row],[FarmID]]&amp;CompilDonnées[[#This Row],[ModuleNumber]]&amp;CompilDonnées[[#This Row],[PlantationDate]])</f>
        <v>46545759</v>
      </c>
      <c r="O2385" t="str">
        <f>CompilDonnées[[#This Row],[FarmID]]&amp;CompilDonnées[[#This Row],[ModuleNumber]]</f>
        <v>465</v>
      </c>
      <c r="P2385" t="str">
        <f>CompilDonnées[[#This Row],[Ref_Module]]&amp;CompilDonnées[[#This Row],[HarvestingDate]]</f>
        <v>46545806</v>
      </c>
    </row>
    <row r="2386" spans="1:16">
      <c r="A2386" s="5">
        <v>45759</v>
      </c>
      <c r="B2386">
        <v>96</v>
      </c>
      <c r="C2386" t="s">
        <v>125</v>
      </c>
      <c r="D2386">
        <v>1</v>
      </c>
      <c r="E2386">
        <v>100</v>
      </c>
      <c r="F2386" t="s">
        <v>1</v>
      </c>
      <c r="G2386" s="6">
        <v>45803</v>
      </c>
      <c r="H2386">
        <v>44</v>
      </c>
      <c r="I2386">
        <f>ROUND(CompilDonnées[[#This Row],[CultureDuration_days]]/7,0)</f>
        <v>6</v>
      </c>
      <c r="J2386">
        <v>1975</v>
      </c>
      <c r="K2386" t="str">
        <f>_xlfn.CONCAT(WEEKNUM(CompilDonnées[[#This Row],[PlantationDate]]), " ", YEAR(CompilDonnées[[#This Row],[PlantationDate]]))</f>
        <v>15 2025</v>
      </c>
      <c r="L2386" t="str">
        <f>CONCATENATE(MONTH(CompilDonnées[[#This Row],[PlantationDate]])," ", YEAR(CompilDonnées[[#This Row],[PlantationDate]]))</f>
        <v>4 2025</v>
      </c>
      <c r="M2386" t="str">
        <f>CONCATENATE(MONTH(CompilDonnées[[#This Row],[HarvestingDate]])," ", YEAR(CompilDonnées[[#This Row],[HarvestingDate]]))</f>
        <v>5 2025</v>
      </c>
      <c r="N2386">
        <f>_xlfn.NUMBERVALUE(CompilDonnées[[#This Row],[FarmID]]&amp;CompilDonnées[[#This Row],[ModuleNumber]]&amp;CompilDonnées[[#This Row],[PlantationDate]])</f>
        <v>96145759</v>
      </c>
      <c r="O2386" t="str">
        <f>CompilDonnées[[#This Row],[FarmID]]&amp;CompilDonnées[[#This Row],[ModuleNumber]]</f>
        <v>961</v>
      </c>
      <c r="P2386" t="str">
        <f>CompilDonnées[[#This Row],[Ref_Module]]&amp;CompilDonnées[[#This Row],[HarvestingDate]]</f>
        <v>96145803</v>
      </c>
    </row>
    <row r="2387" spans="1:16">
      <c r="A2387" s="5">
        <v>45759</v>
      </c>
      <c r="B2387">
        <v>116</v>
      </c>
      <c r="C2387" t="s">
        <v>76</v>
      </c>
      <c r="D2387">
        <v>6</v>
      </c>
      <c r="E2387">
        <v>100</v>
      </c>
      <c r="F2387" t="s">
        <v>1</v>
      </c>
      <c r="G2387" s="6">
        <v>45800</v>
      </c>
      <c r="H2387">
        <v>41</v>
      </c>
      <c r="I2387">
        <f>ROUND(CompilDonnées[[#This Row],[CultureDuration_days]]/7,0)</f>
        <v>6</v>
      </c>
      <c r="J2387">
        <v>2829</v>
      </c>
      <c r="K2387" t="str">
        <f>_xlfn.CONCAT(WEEKNUM(CompilDonnées[[#This Row],[PlantationDate]]), " ", YEAR(CompilDonnées[[#This Row],[PlantationDate]]))</f>
        <v>15 2025</v>
      </c>
      <c r="L2387" t="str">
        <f>CONCATENATE(MONTH(CompilDonnées[[#This Row],[PlantationDate]])," ", YEAR(CompilDonnées[[#This Row],[PlantationDate]]))</f>
        <v>4 2025</v>
      </c>
      <c r="M2387" t="str">
        <f>CONCATENATE(MONTH(CompilDonnées[[#This Row],[HarvestingDate]])," ", YEAR(CompilDonnées[[#This Row],[HarvestingDate]]))</f>
        <v>5 2025</v>
      </c>
      <c r="N2387">
        <f>_xlfn.NUMBERVALUE(CompilDonnées[[#This Row],[FarmID]]&amp;CompilDonnées[[#This Row],[ModuleNumber]]&amp;CompilDonnées[[#This Row],[PlantationDate]])</f>
        <v>116645759</v>
      </c>
      <c r="O2387" t="str">
        <f>CompilDonnées[[#This Row],[FarmID]]&amp;CompilDonnées[[#This Row],[ModuleNumber]]</f>
        <v>1166</v>
      </c>
      <c r="P2387" t="str">
        <f>CompilDonnées[[#This Row],[Ref_Module]]&amp;CompilDonnées[[#This Row],[HarvestingDate]]</f>
        <v>116645800</v>
      </c>
    </row>
    <row r="2388" spans="1:16">
      <c r="A2388" s="5">
        <v>45759</v>
      </c>
      <c r="B2388">
        <v>123</v>
      </c>
      <c r="C2388" t="s">
        <v>13</v>
      </c>
      <c r="D2388">
        <v>6</v>
      </c>
      <c r="E2388">
        <v>100</v>
      </c>
      <c r="F2388" t="s">
        <v>1</v>
      </c>
      <c r="G2388" s="6">
        <v>45800</v>
      </c>
      <c r="H2388">
        <v>41</v>
      </c>
      <c r="I2388">
        <f>ROUND(CompilDonnées[[#This Row],[CultureDuration_days]]/7,0)</f>
        <v>6</v>
      </c>
      <c r="J2388">
        <v>3389</v>
      </c>
      <c r="K2388" t="str">
        <f>_xlfn.CONCAT(WEEKNUM(CompilDonnées[[#This Row],[PlantationDate]]), " ", YEAR(CompilDonnées[[#This Row],[PlantationDate]]))</f>
        <v>15 2025</v>
      </c>
      <c r="L2388" t="str">
        <f>CONCATENATE(MONTH(CompilDonnées[[#This Row],[PlantationDate]])," ", YEAR(CompilDonnées[[#This Row],[PlantationDate]]))</f>
        <v>4 2025</v>
      </c>
      <c r="M2388" t="str">
        <f>CONCATENATE(MONTH(CompilDonnées[[#This Row],[HarvestingDate]])," ", YEAR(CompilDonnées[[#This Row],[HarvestingDate]]))</f>
        <v>5 2025</v>
      </c>
      <c r="N2388">
        <f>_xlfn.NUMBERVALUE(CompilDonnées[[#This Row],[FarmID]]&amp;CompilDonnées[[#This Row],[ModuleNumber]]&amp;CompilDonnées[[#This Row],[PlantationDate]])</f>
        <v>123645759</v>
      </c>
      <c r="O2388" t="str">
        <f>CompilDonnées[[#This Row],[FarmID]]&amp;CompilDonnées[[#This Row],[ModuleNumber]]</f>
        <v>1236</v>
      </c>
      <c r="P2388" t="str">
        <f>CompilDonnées[[#This Row],[Ref_Module]]&amp;CompilDonnées[[#This Row],[HarvestingDate]]</f>
        <v>123645800</v>
      </c>
    </row>
    <row r="2389" spans="1:16">
      <c r="A2389" s="5">
        <v>45759</v>
      </c>
      <c r="B2389">
        <v>125</v>
      </c>
      <c r="C2389" t="s">
        <v>101</v>
      </c>
      <c r="D2389">
        <v>6</v>
      </c>
      <c r="E2389">
        <v>100</v>
      </c>
      <c r="F2389" t="s">
        <v>1</v>
      </c>
      <c r="G2389" s="6">
        <v>45800</v>
      </c>
      <c r="H2389">
        <v>41</v>
      </c>
      <c r="I2389">
        <f>ROUND(CompilDonnées[[#This Row],[CultureDuration_days]]/7,0)</f>
        <v>6</v>
      </c>
      <c r="J2389">
        <v>2275</v>
      </c>
      <c r="K2389" t="str">
        <f>_xlfn.CONCAT(WEEKNUM(CompilDonnées[[#This Row],[PlantationDate]]), " ", YEAR(CompilDonnées[[#This Row],[PlantationDate]]))</f>
        <v>15 2025</v>
      </c>
      <c r="L2389" t="str">
        <f>CONCATENATE(MONTH(CompilDonnées[[#This Row],[PlantationDate]])," ", YEAR(CompilDonnées[[#This Row],[PlantationDate]]))</f>
        <v>4 2025</v>
      </c>
      <c r="M2389" t="str">
        <f>CONCATENATE(MONTH(CompilDonnées[[#This Row],[HarvestingDate]])," ", YEAR(CompilDonnées[[#This Row],[HarvestingDate]]))</f>
        <v>5 2025</v>
      </c>
      <c r="N2389">
        <f>_xlfn.NUMBERVALUE(CompilDonnées[[#This Row],[FarmID]]&amp;CompilDonnées[[#This Row],[ModuleNumber]]&amp;CompilDonnées[[#This Row],[PlantationDate]])</f>
        <v>125645759</v>
      </c>
      <c r="O2389" t="str">
        <f>CompilDonnées[[#This Row],[FarmID]]&amp;CompilDonnées[[#This Row],[ModuleNumber]]</f>
        <v>1256</v>
      </c>
      <c r="P2389" t="str">
        <f>CompilDonnées[[#This Row],[Ref_Module]]&amp;CompilDonnées[[#This Row],[HarvestingDate]]</f>
        <v>125645800</v>
      </c>
    </row>
    <row r="2390" spans="1:16">
      <c r="A2390" s="5">
        <v>45759</v>
      </c>
      <c r="B2390">
        <v>126</v>
      </c>
      <c r="C2390" t="s">
        <v>52</v>
      </c>
      <c r="D2390">
        <v>1</v>
      </c>
      <c r="E2390">
        <v>100</v>
      </c>
      <c r="F2390" t="s">
        <v>1</v>
      </c>
      <c r="G2390" s="6">
        <v>45803</v>
      </c>
      <c r="H2390">
        <v>44</v>
      </c>
      <c r="I2390">
        <f>ROUND(CompilDonnées[[#This Row],[CultureDuration_days]]/7,0)</f>
        <v>6</v>
      </c>
      <c r="J2390">
        <v>1600</v>
      </c>
      <c r="K2390" t="str">
        <f>_xlfn.CONCAT(WEEKNUM(CompilDonnées[[#This Row],[PlantationDate]]), " ", YEAR(CompilDonnées[[#This Row],[PlantationDate]]))</f>
        <v>15 2025</v>
      </c>
      <c r="L2390" t="str">
        <f>CONCATENATE(MONTH(CompilDonnées[[#This Row],[PlantationDate]])," ", YEAR(CompilDonnées[[#This Row],[PlantationDate]]))</f>
        <v>4 2025</v>
      </c>
      <c r="M2390" t="str">
        <f>CONCATENATE(MONTH(CompilDonnées[[#This Row],[HarvestingDate]])," ", YEAR(CompilDonnées[[#This Row],[HarvestingDate]]))</f>
        <v>5 2025</v>
      </c>
      <c r="N2390">
        <f>_xlfn.NUMBERVALUE(CompilDonnées[[#This Row],[FarmID]]&amp;CompilDonnées[[#This Row],[ModuleNumber]]&amp;CompilDonnées[[#This Row],[PlantationDate]])</f>
        <v>126145759</v>
      </c>
      <c r="O2390" t="str">
        <f>CompilDonnées[[#This Row],[FarmID]]&amp;CompilDonnées[[#This Row],[ModuleNumber]]</f>
        <v>1261</v>
      </c>
      <c r="P2390" t="str">
        <f>CompilDonnées[[#This Row],[Ref_Module]]&amp;CompilDonnées[[#This Row],[HarvestingDate]]</f>
        <v>126145803</v>
      </c>
    </row>
    <row r="2391" spans="1:16">
      <c r="A2391" s="5">
        <v>45759</v>
      </c>
      <c r="B2391">
        <v>133</v>
      </c>
      <c r="C2391" t="s">
        <v>99</v>
      </c>
      <c r="D2391">
        <v>2</v>
      </c>
      <c r="E2391">
        <v>100</v>
      </c>
      <c r="F2391" t="s">
        <v>1</v>
      </c>
      <c r="G2391" s="6">
        <v>45803</v>
      </c>
      <c r="H2391">
        <v>44</v>
      </c>
      <c r="I2391">
        <f>ROUND(CompilDonnées[[#This Row],[CultureDuration_days]]/7,0)</f>
        <v>6</v>
      </c>
      <c r="J2391">
        <v>1949</v>
      </c>
      <c r="K2391" t="str">
        <f>_xlfn.CONCAT(WEEKNUM(CompilDonnées[[#This Row],[PlantationDate]]), " ", YEAR(CompilDonnées[[#This Row],[PlantationDate]]))</f>
        <v>15 2025</v>
      </c>
      <c r="L2391" t="str">
        <f>CONCATENATE(MONTH(CompilDonnées[[#This Row],[PlantationDate]])," ", YEAR(CompilDonnées[[#This Row],[PlantationDate]]))</f>
        <v>4 2025</v>
      </c>
      <c r="M2391" t="str">
        <f>CONCATENATE(MONTH(CompilDonnées[[#This Row],[HarvestingDate]])," ", YEAR(CompilDonnées[[#This Row],[HarvestingDate]]))</f>
        <v>5 2025</v>
      </c>
      <c r="N2391">
        <f>_xlfn.NUMBERVALUE(CompilDonnées[[#This Row],[FarmID]]&amp;CompilDonnées[[#This Row],[ModuleNumber]]&amp;CompilDonnées[[#This Row],[PlantationDate]])</f>
        <v>133245759</v>
      </c>
      <c r="O2391" t="str">
        <f>CompilDonnées[[#This Row],[FarmID]]&amp;CompilDonnées[[#This Row],[ModuleNumber]]</f>
        <v>1332</v>
      </c>
      <c r="P2391" t="str">
        <f>CompilDonnées[[#This Row],[Ref_Module]]&amp;CompilDonnées[[#This Row],[HarvestingDate]]</f>
        <v>133245803</v>
      </c>
    </row>
    <row r="2392" spans="1:16">
      <c r="A2392" s="5">
        <v>45759</v>
      </c>
      <c r="B2392">
        <v>139</v>
      </c>
      <c r="C2392" t="s">
        <v>103</v>
      </c>
      <c r="D2392">
        <v>5</v>
      </c>
      <c r="E2392">
        <v>100</v>
      </c>
      <c r="F2392" t="s">
        <v>1</v>
      </c>
      <c r="G2392" s="6">
        <v>45800</v>
      </c>
      <c r="H2392">
        <v>41</v>
      </c>
      <c r="I2392">
        <f>ROUND(CompilDonnées[[#This Row],[CultureDuration_days]]/7,0)</f>
        <v>6</v>
      </c>
      <c r="J2392">
        <v>3004</v>
      </c>
      <c r="K2392" t="str">
        <f>_xlfn.CONCAT(WEEKNUM(CompilDonnées[[#This Row],[PlantationDate]]), " ", YEAR(CompilDonnées[[#This Row],[PlantationDate]]))</f>
        <v>15 2025</v>
      </c>
      <c r="L2392" t="str">
        <f>CONCATENATE(MONTH(CompilDonnées[[#This Row],[PlantationDate]])," ", YEAR(CompilDonnées[[#This Row],[PlantationDate]]))</f>
        <v>4 2025</v>
      </c>
      <c r="M2392" t="str">
        <f>CONCATENATE(MONTH(CompilDonnées[[#This Row],[HarvestingDate]])," ", YEAR(CompilDonnées[[#This Row],[HarvestingDate]]))</f>
        <v>5 2025</v>
      </c>
      <c r="N2392">
        <f>_xlfn.NUMBERVALUE(CompilDonnées[[#This Row],[FarmID]]&amp;CompilDonnées[[#This Row],[ModuleNumber]]&amp;CompilDonnées[[#This Row],[PlantationDate]])</f>
        <v>139545759</v>
      </c>
      <c r="O2392" t="str">
        <f>CompilDonnées[[#This Row],[FarmID]]&amp;CompilDonnées[[#This Row],[ModuleNumber]]</f>
        <v>1395</v>
      </c>
      <c r="P2392" t="str">
        <f>CompilDonnées[[#This Row],[Ref_Module]]&amp;CompilDonnées[[#This Row],[HarvestingDate]]</f>
        <v>139545800</v>
      </c>
    </row>
    <row r="2393" spans="1:16">
      <c r="A2393" s="5">
        <v>45759</v>
      </c>
      <c r="B2393">
        <v>140</v>
      </c>
      <c r="C2393" t="s">
        <v>96</v>
      </c>
      <c r="D2393">
        <v>4</v>
      </c>
      <c r="E2393">
        <v>100</v>
      </c>
      <c r="F2393" t="s">
        <v>1</v>
      </c>
      <c r="G2393" s="6">
        <v>45800</v>
      </c>
      <c r="H2393">
        <v>41</v>
      </c>
      <c r="I2393">
        <f>ROUND(CompilDonnées[[#This Row],[CultureDuration_days]]/7,0)</f>
        <v>6</v>
      </c>
      <c r="J2393">
        <v>2748</v>
      </c>
      <c r="K2393" t="str">
        <f>_xlfn.CONCAT(WEEKNUM(CompilDonnées[[#This Row],[PlantationDate]]), " ", YEAR(CompilDonnées[[#This Row],[PlantationDate]]))</f>
        <v>15 2025</v>
      </c>
      <c r="L2393" t="str">
        <f>CONCATENATE(MONTH(CompilDonnées[[#This Row],[PlantationDate]])," ", YEAR(CompilDonnées[[#This Row],[PlantationDate]]))</f>
        <v>4 2025</v>
      </c>
      <c r="M2393" t="str">
        <f>CONCATENATE(MONTH(CompilDonnées[[#This Row],[HarvestingDate]])," ", YEAR(CompilDonnées[[#This Row],[HarvestingDate]]))</f>
        <v>5 2025</v>
      </c>
      <c r="N2393">
        <f>_xlfn.NUMBERVALUE(CompilDonnées[[#This Row],[FarmID]]&amp;CompilDonnées[[#This Row],[ModuleNumber]]&amp;CompilDonnées[[#This Row],[PlantationDate]])</f>
        <v>140445759</v>
      </c>
      <c r="O2393" t="str">
        <f>CompilDonnées[[#This Row],[FarmID]]&amp;CompilDonnées[[#This Row],[ModuleNumber]]</f>
        <v>1404</v>
      </c>
      <c r="P2393" t="str">
        <f>CompilDonnées[[#This Row],[Ref_Module]]&amp;CompilDonnées[[#This Row],[HarvestingDate]]</f>
        <v>140445800</v>
      </c>
    </row>
    <row r="2394" spans="1:16">
      <c r="A2394" s="5">
        <v>45759</v>
      </c>
      <c r="B2394">
        <v>117</v>
      </c>
      <c r="C2394" t="s">
        <v>11</v>
      </c>
      <c r="D2394">
        <v>6</v>
      </c>
      <c r="E2394">
        <v>100</v>
      </c>
      <c r="F2394" t="s">
        <v>1</v>
      </c>
      <c r="G2394" s="6">
        <v>45803</v>
      </c>
      <c r="H2394">
        <v>44</v>
      </c>
      <c r="I2394">
        <f>ROUND(CompilDonnées[[#This Row],[CultureDuration_days]]/7,0)</f>
        <v>6</v>
      </c>
      <c r="J2394">
        <v>1707</v>
      </c>
      <c r="K2394" t="str">
        <f>_xlfn.CONCAT(WEEKNUM(CompilDonnées[[#This Row],[PlantationDate]]), " ", YEAR(CompilDonnées[[#This Row],[PlantationDate]]))</f>
        <v>15 2025</v>
      </c>
      <c r="L2394" t="str">
        <f>CONCATENATE(MONTH(CompilDonnées[[#This Row],[PlantationDate]])," ", YEAR(CompilDonnées[[#This Row],[PlantationDate]]))</f>
        <v>4 2025</v>
      </c>
      <c r="M2394" t="str">
        <f>CONCATENATE(MONTH(CompilDonnées[[#This Row],[HarvestingDate]])," ", YEAR(CompilDonnées[[#This Row],[HarvestingDate]]))</f>
        <v>5 2025</v>
      </c>
      <c r="N2394">
        <f>_xlfn.NUMBERVALUE(CompilDonnées[[#This Row],[FarmID]]&amp;CompilDonnées[[#This Row],[ModuleNumber]]&amp;CompilDonnées[[#This Row],[PlantationDate]])</f>
        <v>117645759</v>
      </c>
      <c r="O2394" t="str">
        <f>CompilDonnées[[#This Row],[FarmID]]&amp;CompilDonnées[[#This Row],[ModuleNumber]]</f>
        <v>1176</v>
      </c>
      <c r="P2394" t="str">
        <f>CompilDonnées[[#This Row],[Ref_Module]]&amp;CompilDonnées[[#This Row],[HarvestingDate]]</f>
        <v>117645803</v>
      </c>
    </row>
    <row r="2395" spans="1:16">
      <c r="A2395" s="5">
        <v>45759</v>
      </c>
      <c r="B2395">
        <v>118</v>
      </c>
      <c r="C2395" t="s">
        <v>51</v>
      </c>
      <c r="D2395">
        <v>4</v>
      </c>
      <c r="E2395">
        <v>100</v>
      </c>
      <c r="F2395" t="s">
        <v>1</v>
      </c>
      <c r="G2395" s="6">
        <v>45800</v>
      </c>
      <c r="H2395">
        <v>41</v>
      </c>
      <c r="I2395">
        <f>ROUND(CompilDonnées[[#This Row],[CultureDuration_days]]/7,0)</f>
        <v>6</v>
      </c>
      <c r="J2395">
        <v>3040</v>
      </c>
      <c r="K2395" t="str">
        <f>_xlfn.CONCAT(WEEKNUM(CompilDonnées[[#This Row],[PlantationDate]]), " ", YEAR(CompilDonnées[[#This Row],[PlantationDate]]))</f>
        <v>15 2025</v>
      </c>
      <c r="L2395" t="str">
        <f>CONCATENATE(MONTH(CompilDonnées[[#This Row],[PlantationDate]])," ", YEAR(CompilDonnées[[#This Row],[PlantationDate]]))</f>
        <v>4 2025</v>
      </c>
      <c r="M2395" t="str">
        <f>CONCATENATE(MONTH(CompilDonnées[[#This Row],[HarvestingDate]])," ", YEAR(CompilDonnées[[#This Row],[HarvestingDate]]))</f>
        <v>5 2025</v>
      </c>
      <c r="N2395">
        <f>_xlfn.NUMBERVALUE(CompilDonnées[[#This Row],[FarmID]]&amp;CompilDonnées[[#This Row],[ModuleNumber]]&amp;CompilDonnées[[#This Row],[PlantationDate]])</f>
        <v>118445759</v>
      </c>
      <c r="O2395" t="str">
        <f>CompilDonnées[[#This Row],[FarmID]]&amp;CompilDonnées[[#This Row],[ModuleNumber]]</f>
        <v>1184</v>
      </c>
      <c r="P2395" t="str">
        <f>CompilDonnées[[#This Row],[Ref_Module]]&amp;CompilDonnées[[#This Row],[HarvestingDate]]</f>
        <v>118445800</v>
      </c>
    </row>
    <row r="2396" spans="1:16">
      <c r="A2396" s="5">
        <v>45759</v>
      </c>
      <c r="B2396">
        <v>119</v>
      </c>
      <c r="C2396" t="s">
        <v>59</v>
      </c>
      <c r="D2396">
        <v>4</v>
      </c>
      <c r="E2396">
        <v>100</v>
      </c>
      <c r="F2396" t="s">
        <v>1</v>
      </c>
      <c r="G2396" s="6">
        <v>45800</v>
      </c>
      <c r="H2396">
        <v>41</v>
      </c>
      <c r="I2396">
        <f>ROUND(CompilDonnées[[#This Row],[CultureDuration_days]]/7,0)</f>
        <v>6</v>
      </c>
      <c r="J2396">
        <v>2755</v>
      </c>
      <c r="K2396" t="str">
        <f>_xlfn.CONCAT(WEEKNUM(CompilDonnées[[#This Row],[PlantationDate]]), " ", YEAR(CompilDonnées[[#This Row],[PlantationDate]]))</f>
        <v>15 2025</v>
      </c>
      <c r="L2396" t="str">
        <f>CONCATENATE(MONTH(CompilDonnées[[#This Row],[PlantationDate]])," ", YEAR(CompilDonnées[[#This Row],[PlantationDate]]))</f>
        <v>4 2025</v>
      </c>
      <c r="M2396" t="str">
        <f>CONCATENATE(MONTH(CompilDonnées[[#This Row],[HarvestingDate]])," ", YEAR(CompilDonnées[[#This Row],[HarvestingDate]]))</f>
        <v>5 2025</v>
      </c>
      <c r="N2396">
        <f>_xlfn.NUMBERVALUE(CompilDonnées[[#This Row],[FarmID]]&amp;CompilDonnées[[#This Row],[ModuleNumber]]&amp;CompilDonnées[[#This Row],[PlantationDate]])</f>
        <v>119445759</v>
      </c>
      <c r="O2396" t="str">
        <f>CompilDonnées[[#This Row],[FarmID]]&amp;CompilDonnées[[#This Row],[ModuleNumber]]</f>
        <v>1194</v>
      </c>
      <c r="P2396" t="str">
        <f>CompilDonnées[[#This Row],[Ref_Module]]&amp;CompilDonnées[[#This Row],[HarvestingDate]]</f>
        <v>119445800</v>
      </c>
    </row>
    <row r="2397" spans="1:16">
      <c r="A2397" s="5">
        <v>45762</v>
      </c>
      <c r="B2397">
        <v>102</v>
      </c>
      <c r="C2397" t="s">
        <v>85</v>
      </c>
      <c r="D2397">
        <v>6</v>
      </c>
      <c r="E2397">
        <v>100</v>
      </c>
      <c r="F2397" t="s">
        <v>1</v>
      </c>
      <c r="G2397" s="6">
        <v>45814</v>
      </c>
      <c r="H2397">
        <v>52</v>
      </c>
      <c r="I2397">
        <f>ROUND(CompilDonnées[[#This Row],[CultureDuration_days]]/7,0)</f>
        <v>7</v>
      </c>
      <c r="J2397">
        <v>2709</v>
      </c>
      <c r="K2397" t="str">
        <f>_xlfn.CONCAT(WEEKNUM(CompilDonnées[[#This Row],[PlantationDate]]), " ", YEAR(CompilDonnées[[#This Row],[PlantationDate]]))</f>
        <v>16 2025</v>
      </c>
      <c r="L2397" t="str">
        <f>CONCATENATE(MONTH(CompilDonnées[[#This Row],[PlantationDate]])," ", YEAR(CompilDonnées[[#This Row],[PlantationDate]]))</f>
        <v>4 2025</v>
      </c>
      <c r="M2397" t="str">
        <f>CONCATENATE(MONTH(CompilDonnées[[#This Row],[HarvestingDate]])," ", YEAR(CompilDonnées[[#This Row],[HarvestingDate]]))</f>
        <v>6 2025</v>
      </c>
      <c r="N2397">
        <f>_xlfn.NUMBERVALUE(CompilDonnées[[#This Row],[FarmID]]&amp;CompilDonnées[[#This Row],[ModuleNumber]]&amp;CompilDonnées[[#This Row],[PlantationDate]])</f>
        <v>102645762</v>
      </c>
      <c r="O2397" t="str">
        <f>CompilDonnées[[#This Row],[FarmID]]&amp;CompilDonnées[[#This Row],[ModuleNumber]]</f>
        <v>1026</v>
      </c>
      <c r="P2397" t="str">
        <f>CompilDonnées[[#This Row],[Ref_Module]]&amp;CompilDonnées[[#This Row],[HarvestingDate]]</f>
        <v>102645814</v>
      </c>
    </row>
    <row r="2398" spans="1:16">
      <c r="A2398" s="5">
        <v>45762</v>
      </c>
      <c r="B2398">
        <v>106</v>
      </c>
      <c r="C2398" t="s">
        <v>22</v>
      </c>
      <c r="D2398">
        <v>1</v>
      </c>
      <c r="E2398">
        <v>100</v>
      </c>
      <c r="F2398" t="s">
        <v>1</v>
      </c>
      <c r="G2398" s="6">
        <v>45814</v>
      </c>
      <c r="H2398">
        <v>52</v>
      </c>
      <c r="I2398">
        <f>ROUND(CompilDonnées[[#This Row],[CultureDuration_days]]/7,0)</f>
        <v>7</v>
      </c>
      <c r="J2398">
        <v>2518</v>
      </c>
      <c r="K2398" t="str">
        <f>_xlfn.CONCAT(WEEKNUM(CompilDonnées[[#This Row],[PlantationDate]]), " ", YEAR(CompilDonnées[[#This Row],[PlantationDate]]))</f>
        <v>16 2025</v>
      </c>
      <c r="L2398" t="str">
        <f>CONCATENATE(MONTH(CompilDonnées[[#This Row],[PlantationDate]])," ", YEAR(CompilDonnées[[#This Row],[PlantationDate]]))</f>
        <v>4 2025</v>
      </c>
      <c r="M2398" t="str">
        <f>CONCATENATE(MONTH(CompilDonnées[[#This Row],[HarvestingDate]])," ", YEAR(CompilDonnées[[#This Row],[HarvestingDate]]))</f>
        <v>6 2025</v>
      </c>
      <c r="N2398">
        <f>_xlfn.NUMBERVALUE(CompilDonnées[[#This Row],[FarmID]]&amp;CompilDonnées[[#This Row],[ModuleNumber]]&amp;CompilDonnées[[#This Row],[PlantationDate]])</f>
        <v>106145762</v>
      </c>
      <c r="O2398" t="str">
        <f>CompilDonnées[[#This Row],[FarmID]]&amp;CompilDonnées[[#This Row],[ModuleNumber]]</f>
        <v>1061</v>
      </c>
      <c r="P2398" t="str">
        <f>CompilDonnées[[#This Row],[Ref_Module]]&amp;CompilDonnées[[#This Row],[HarvestingDate]]</f>
        <v>106145814</v>
      </c>
    </row>
    <row r="2399" spans="1:16">
      <c r="A2399" s="5">
        <v>45762</v>
      </c>
      <c r="B2399">
        <v>107</v>
      </c>
      <c r="C2399" t="s">
        <v>23</v>
      </c>
      <c r="D2399">
        <v>2</v>
      </c>
      <c r="E2399">
        <v>100</v>
      </c>
      <c r="F2399" t="s">
        <v>1</v>
      </c>
      <c r="G2399" s="6">
        <v>45803</v>
      </c>
      <c r="H2399">
        <v>41</v>
      </c>
      <c r="I2399">
        <f>ROUND(CompilDonnées[[#This Row],[CultureDuration_days]]/7,0)</f>
        <v>6</v>
      </c>
      <c r="J2399">
        <v>2171</v>
      </c>
      <c r="K2399" t="str">
        <f>_xlfn.CONCAT(WEEKNUM(CompilDonnées[[#This Row],[PlantationDate]]), " ", YEAR(CompilDonnées[[#This Row],[PlantationDate]]))</f>
        <v>16 2025</v>
      </c>
      <c r="L2399" t="str">
        <f>CONCATENATE(MONTH(CompilDonnées[[#This Row],[PlantationDate]])," ", YEAR(CompilDonnées[[#This Row],[PlantationDate]]))</f>
        <v>4 2025</v>
      </c>
      <c r="M2399" t="str">
        <f>CONCATENATE(MONTH(CompilDonnées[[#This Row],[HarvestingDate]])," ", YEAR(CompilDonnées[[#This Row],[HarvestingDate]]))</f>
        <v>5 2025</v>
      </c>
      <c r="N2399">
        <f>_xlfn.NUMBERVALUE(CompilDonnées[[#This Row],[FarmID]]&amp;CompilDonnées[[#This Row],[ModuleNumber]]&amp;CompilDonnées[[#This Row],[PlantationDate]])</f>
        <v>107245762</v>
      </c>
      <c r="O2399" t="str">
        <f>CompilDonnées[[#This Row],[FarmID]]&amp;CompilDonnées[[#This Row],[ModuleNumber]]</f>
        <v>1072</v>
      </c>
      <c r="P2399" t="str">
        <f>CompilDonnées[[#This Row],[Ref_Module]]&amp;CompilDonnées[[#This Row],[HarvestingDate]]</f>
        <v>107245803</v>
      </c>
    </row>
    <row r="2400" spans="1:16">
      <c r="A2400" s="5">
        <v>45762</v>
      </c>
      <c r="B2400">
        <v>108</v>
      </c>
      <c r="C2400" t="s">
        <v>58</v>
      </c>
      <c r="D2400">
        <v>5</v>
      </c>
      <c r="E2400">
        <v>100</v>
      </c>
      <c r="F2400" t="s">
        <v>1</v>
      </c>
      <c r="G2400" s="6">
        <v>45803</v>
      </c>
      <c r="H2400">
        <v>41</v>
      </c>
      <c r="I2400">
        <f>ROUND(CompilDonnées[[#This Row],[CultureDuration_days]]/7,0)</f>
        <v>6</v>
      </c>
      <c r="J2400">
        <v>2745</v>
      </c>
      <c r="K2400" t="str">
        <f>_xlfn.CONCAT(WEEKNUM(CompilDonnées[[#This Row],[PlantationDate]]), " ", YEAR(CompilDonnées[[#This Row],[PlantationDate]]))</f>
        <v>16 2025</v>
      </c>
      <c r="L2400" t="str">
        <f>CONCATENATE(MONTH(CompilDonnées[[#This Row],[PlantationDate]])," ", YEAR(CompilDonnées[[#This Row],[PlantationDate]]))</f>
        <v>4 2025</v>
      </c>
      <c r="M2400" t="str">
        <f>CONCATENATE(MONTH(CompilDonnées[[#This Row],[HarvestingDate]])," ", YEAR(CompilDonnées[[#This Row],[HarvestingDate]]))</f>
        <v>5 2025</v>
      </c>
      <c r="N2400">
        <f>_xlfn.NUMBERVALUE(CompilDonnées[[#This Row],[FarmID]]&amp;CompilDonnées[[#This Row],[ModuleNumber]]&amp;CompilDonnées[[#This Row],[PlantationDate]])</f>
        <v>108545762</v>
      </c>
      <c r="O2400" t="str">
        <f>CompilDonnées[[#This Row],[FarmID]]&amp;CompilDonnées[[#This Row],[ModuleNumber]]</f>
        <v>1085</v>
      </c>
      <c r="P2400" t="str">
        <f>CompilDonnées[[#This Row],[Ref_Module]]&amp;CompilDonnées[[#This Row],[HarvestingDate]]</f>
        <v>108545803</v>
      </c>
    </row>
    <row r="2401" spans="1:16">
      <c r="A2401" s="5">
        <v>45762</v>
      </c>
      <c r="B2401">
        <v>110</v>
      </c>
      <c r="C2401" t="s">
        <v>14</v>
      </c>
      <c r="D2401">
        <v>5</v>
      </c>
      <c r="E2401">
        <v>100</v>
      </c>
      <c r="F2401" t="s">
        <v>1</v>
      </c>
      <c r="G2401" s="6">
        <v>45814</v>
      </c>
      <c r="H2401">
        <v>52</v>
      </c>
      <c r="I2401">
        <f>ROUND(CompilDonnées[[#This Row],[CultureDuration_days]]/7,0)</f>
        <v>7</v>
      </c>
      <c r="J2401">
        <v>2783</v>
      </c>
      <c r="K2401" t="str">
        <f>_xlfn.CONCAT(WEEKNUM(CompilDonnées[[#This Row],[PlantationDate]]), " ", YEAR(CompilDonnées[[#This Row],[PlantationDate]]))</f>
        <v>16 2025</v>
      </c>
      <c r="L2401" t="str">
        <f>CONCATENATE(MONTH(CompilDonnées[[#This Row],[PlantationDate]])," ", YEAR(CompilDonnées[[#This Row],[PlantationDate]]))</f>
        <v>4 2025</v>
      </c>
      <c r="M2401" t="str">
        <f>CONCATENATE(MONTH(CompilDonnées[[#This Row],[HarvestingDate]])," ", YEAR(CompilDonnées[[#This Row],[HarvestingDate]]))</f>
        <v>6 2025</v>
      </c>
      <c r="N2401">
        <f>_xlfn.NUMBERVALUE(CompilDonnées[[#This Row],[FarmID]]&amp;CompilDonnées[[#This Row],[ModuleNumber]]&amp;CompilDonnées[[#This Row],[PlantationDate]])</f>
        <v>110545762</v>
      </c>
      <c r="O2401" t="str">
        <f>CompilDonnées[[#This Row],[FarmID]]&amp;CompilDonnées[[#This Row],[ModuleNumber]]</f>
        <v>1105</v>
      </c>
      <c r="P2401" t="str">
        <f>CompilDonnées[[#This Row],[Ref_Module]]&amp;CompilDonnées[[#This Row],[HarvestingDate]]</f>
        <v>110545814</v>
      </c>
    </row>
    <row r="2402" spans="1:16">
      <c r="A2402" s="5">
        <v>45762</v>
      </c>
      <c r="B2402">
        <v>111</v>
      </c>
      <c r="C2402" t="s">
        <v>41</v>
      </c>
      <c r="D2402">
        <v>4</v>
      </c>
      <c r="E2402">
        <v>100</v>
      </c>
      <c r="F2402" t="s">
        <v>1</v>
      </c>
      <c r="G2402" s="6">
        <v>45803</v>
      </c>
      <c r="H2402">
        <v>41</v>
      </c>
      <c r="I2402">
        <f>ROUND(CompilDonnées[[#This Row],[CultureDuration_days]]/7,0)</f>
        <v>6</v>
      </c>
      <c r="J2402">
        <v>2066</v>
      </c>
      <c r="K2402" t="str">
        <f>_xlfn.CONCAT(WEEKNUM(CompilDonnées[[#This Row],[PlantationDate]]), " ", YEAR(CompilDonnées[[#This Row],[PlantationDate]]))</f>
        <v>16 2025</v>
      </c>
      <c r="L2402" t="str">
        <f>CONCATENATE(MONTH(CompilDonnées[[#This Row],[PlantationDate]])," ", YEAR(CompilDonnées[[#This Row],[PlantationDate]]))</f>
        <v>4 2025</v>
      </c>
      <c r="M2402" t="str">
        <f>CONCATENATE(MONTH(CompilDonnées[[#This Row],[HarvestingDate]])," ", YEAR(CompilDonnées[[#This Row],[HarvestingDate]]))</f>
        <v>5 2025</v>
      </c>
      <c r="N2402">
        <f>_xlfn.NUMBERVALUE(CompilDonnées[[#This Row],[FarmID]]&amp;CompilDonnées[[#This Row],[ModuleNumber]]&amp;CompilDonnées[[#This Row],[PlantationDate]])</f>
        <v>111445762</v>
      </c>
      <c r="O2402" t="str">
        <f>CompilDonnées[[#This Row],[FarmID]]&amp;CompilDonnées[[#This Row],[ModuleNumber]]</f>
        <v>1114</v>
      </c>
      <c r="P2402" t="str">
        <f>CompilDonnées[[#This Row],[Ref_Module]]&amp;CompilDonnées[[#This Row],[HarvestingDate]]</f>
        <v>111445803</v>
      </c>
    </row>
    <row r="2403" spans="1:16">
      <c r="A2403" s="5">
        <v>45762</v>
      </c>
      <c r="B2403">
        <v>112</v>
      </c>
      <c r="C2403" t="s">
        <v>15</v>
      </c>
      <c r="D2403">
        <v>6</v>
      </c>
      <c r="E2403">
        <v>100</v>
      </c>
      <c r="F2403" t="s">
        <v>1</v>
      </c>
      <c r="G2403" s="6">
        <v>45803</v>
      </c>
      <c r="H2403">
        <v>41</v>
      </c>
      <c r="I2403">
        <f>ROUND(CompilDonnées[[#This Row],[CultureDuration_days]]/7,0)</f>
        <v>6</v>
      </c>
      <c r="J2403">
        <v>2175</v>
      </c>
      <c r="K2403" t="str">
        <f>_xlfn.CONCAT(WEEKNUM(CompilDonnées[[#This Row],[PlantationDate]]), " ", YEAR(CompilDonnées[[#This Row],[PlantationDate]]))</f>
        <v>16 2025</v>
      </c>
      <c r="L2403" t="str">
        <f>CONCATENATE(MONTH(CompilDonnées[[#This Row],[PlantationDate]])," ", YEAR(CompilDonnées[[#This Row],[PlantationDate]]))</f>
        <v>4 2025</v>
      </c>
      <c r="M2403" t="str">
        <f>CONCATENATE(MONTH(CompilDonnées[[#This Row],[HarvestingDate]])," ", YEAR(CompilDonnées[[#This Row],[HarvestingDate]]))</f>
        <v>5 2025</v>
      </c>
      <c r="N2403">
        <f>_xlfn.NUMBERVALUE(CompilDonnées[[#This Row],[FarmID]]&amp;CompilDonnées[[#This Row],[ModuleNumber]]&amp;CompilDonnées[[#This Row],[PlantationDate]])</f>
        <v>112645762</v>
      </c>
      <c r="O2403" t="str">
        <f>CompilDonnées[[#This Row],[FarmID]]&amp;CompilDonnées[[#This Row],[ModuleNumber]]</f>
        <v>1126</v>
      </c>
      <c r="P2403" t="str">
        <f>CompilDonnées[[#This Row],[Ref_Module]]&amp;CompilDonnées[[#This Row],[HarvestingDate]]</f>
        <v>112645803</v>
      </c>
    </row>
    <row r="2404" spans="1:16">
      <c r="A2404" s="5">
        <v>45762</v>
      </c>
      <c r="B2404">
        <v>113</v>
      </c>
      <c r="C2404" t="s">
        <v>16</v>
      </c>
      <c r="D2404">
        <v>1</v>
      </c>
      <c r="E2404">
        <v>100</v>
      </c>
      <c r="F2404" t="s">
        <v>1</v>
      </c>
      <c r="G2404" s="6">
        <v>45803</v>
      </c>
      <c r="H2404">
        <v>41</v>
      </c>
      <c r="I2404">
        <f>ROUND(CompilDonnées[[#This Row],[CultureDuration_days]]/7,0)</f>
        <v>6</v>
      </c>
      <c r="J2404">
        <v>2110</v>
      </c>
      <c r="K2404" t="str">
        <f>_xlfn.CONCAT(WEEKNUM(CompilDonnées[[#This Row],[PlantationDate]]), " ", YEAR(CompilDonnées[[#This Row],[PlantationDate]]))</f>
        <v>16 2025</v>
      </c>
      <c r="L2404" t="str">
        <f>CONCATENATE(MONTH(CompilDonnées[[#This Row],[PlantationDate]])," ", YEAR(CompilDonnées[[#This Row],[PlantationDate]]))</f>
        <v>4 2025</v>
      </c>
      <c r="M2404" t="str">
        <f>CONCATENATE(MONTH(CompilDonnées[[#This Row],[HarvestingDate]])," ", YEAR(CompilDonnées[[#This Row],[HarvestingDate]]))</f>
        <v>5 2025</v>
      </c>
      <c r="N2404">
        <f>_xlfn.NUMBERVALUE(CompilDonnées[[#This Row],[FarmID]]&amp;CompilDonnées[[#This Row],[ModuleNumber]]&amp;CompilDonnées[[#This Row],[PlantationDate]])</f>
        <v>113145762</v>
      </c>
      <c r="O2404" t="str">
        <f>CompilDonnées[[#This Row],[FarmID]]&amp;CompilDonnées[[#This Row],[ModuleNumber]]</f>
        <v>1131</v>
      </c>
      <c r="P2404" t="str">
        <f>CompilDonnées[[#This Row],[Ref_Module]]&amp;CompilDonnées[[#This Row],[HarvestingDate]]</f>
        <v>113145803</v>
      </c>
    </row>
    <row r="2405" spans="1:16">
      <c r="A2405" s="5">
        <v>45762</v>
      </c>
      <c r="B2405">
        <v>114</v>
      </c>
      <c r="C2405" t="s">
        <v>3</v>
      </c>
      <c r="D2405">
        <v>1</v>
      </c>
      <c r="E2405">
        <v>60</v>
      </c>
      <c r="F2405" t="s">
        <v>105</v>
      </c>
      <c r="G2405" s="6">
        <v>45826</v>
      </c>
      <c r="H2405">
        <v>64</v>
      </c>
      <c r="I2405">
        <f>ROUND(CompilDonnées[[#This Row],[CultureDuration_days]]/7,0)</f>
        <v>9</v>
      </c>
      <c r="J2405">
        <v>1300</v>
      </c>
      <c r="K2405" t="str">
        <f>_xlfn.CONCAT(WEEKNUM(CompilDonnées[[#This Row],[PlantationDate]]), " ", YEAR(CompilDonnées[[#This Row],[PlantationDate]]))</f>
        <v>16 2025</v>
      </c>
      <c r="L2405" t="str">
        <f>CONCATENATE(MONTH(CompilDonnées[[#This Row],[PlantationDate]])," ", YEAR(CompilDonnées[[#This Row],[PlantationDate]]))</f>
        <v>4 2025</v>
      </c>
      <c r="M2405" t="str">
        <f>CONCATENATE(MONTH(CompilDonnées[[#This Row],[HarvestingDate]])," ", YEAR(CompilDonnées[[#This Row],[HarvestingDate]]))</f>
        <v>6 2025</v>
      </c>
      <c r="N2405">
        <f>_xlfn.NUMBERVALUE(CompilDonnées[[#This Row],[FarmID]]&amp;CompilDonnées[[#This Row],[ModuleNumber]]&amp;CompilDonnées[[#This Row],[PlantationDate]])</f>
        <v>114145762</v>
      </c>
      <c r="O2405" t="str">
        <f>CompilDonnées[[#This Row],[FarmID]]&amp;CompilDonnées[[#This Row],[ModuleNumber]]</f>
        <v>1141</v>
      </c>
      <c r="P2405" t="str">
        <f>CompilDonnées[[#This Row],[Ref_Module]]&amp;CompilDonnées[[#This Row],[HarvestingDate]]</f>
        <v>114145826</v>
      </c>
    </row>
    <row r="2406" spans="1:16">
      <c r="A2406" s="5">
        <v>45762</v>
      </c>
      <c r="B2406">
        <v>114</v>
      </c>
      <c r="C2406" t="s">
        <v>3</v>
      </c>
      <c r="D2406">
        <v>2</v>
      </c>
      <c r="E2406">
        <v>60</v>
      </c>
      <c r="F2406" t="s">
        <v>105</v>
      </c>
      <c r="G2406" s="6">
        <v>45826</v>
      </c>
      <c r="H2406">
        <v>64</v>
      </c>
      <c r="I2406">
        <f>ROUND(CompilDonnées[[#This Row],[CultureDuration_days]]/7,0)</f>
        <v>9</v>
      </c>
      <c r="J2406">
        <v>900</v>
      </c>
      <c r="K2406" t="str">
        <f>_xlfn.CONCAT(WEEKNUM(CompilDonnées[[#This Row],[PlantationDate]]), " ", YEAR(CompilDonnées[[#This Row],[PlantationDate]]))</f>
        <v>16 2025</v>
      </c>
      <c r="L2406" t="str">
        <f>CONCATENATE(MONTH(CompilDonnées[[#This Row],[PlantationDate]])," ", YEAR(CompilDonnées[[#This Row],[PlantationDate]]))</f>
        <v>4 2025</v>
      </c>
      <c r="M2406" t="str">
        <f>CONCATENATE(MONTH(CompilDonnées[[#This Row],[HarvestingDate]])," ", YEAR(CompilDonnées[[#This Row],[HarvestingDate]]))</f>
        <v>6 2025</v>
      </c>
      <c r="N2406">
        <f>_xlfn.NUMBERVALUE(CompilDonnées[[#This Row],[FarmID]]&amp;CompilDonnées[[#This Row],[ModuleNumber]]&amp;CompilDonnées[[#This Row],[PlantationDate]])</f>
        <v>114245762</v>
      </c>
      <c r="O2406" t="str">
        <f>CompilDonnées[[#This Row],[FarmID]]&amp;CompilDonnées[[#This Row],[ModuleNumber]]</f>
        <v>1142</v>
      </c>
      <c r="P2406" t="str">
        <f>CompilDonnées[[#This Row],[Ref_Module]]&amp;CompilDonnées[[#This Row],[HarvestingDate]]</f>
        <v>114245826</v>
      </c>
    </row>
    <row r="2407" spans="1:16">
      <c r="A2407" s="5">
        <v>45762</v>
      </c>
      <c r="B2407">
        <v>114</v>
      </c>
      <c r="C2407" t="s">
        <v>3</v>
      </c>
      <c r="D2407">
        <v>3</v>
      </c>
      <c r="E2407">
        <v>60</v>
      </c>
      <c r="F2407" t="s">
        <v>105</v>
      </c>
      <c r="G2407" s="6">
        <v>45826</v>
      </c>
      <c r="H2407">
        <v>64</v>
      </c>
      <c r="I2407">
        <f>ROUND(CompilDonnées[[#This Row],[CultureDuration_days]]/7,0)</f>
        <v>9</v>
      </c>
      <c r="J2407">
        <v>1000</v>
      </c>
      <c r="K2407" t="str">
        <f>_xlfn.CONCAT(WEEKNUM(CompilDonnées[[#This Row],[PlantationDate]]), " ", YEAR(CompilDonnées[[#This Row],[PlantationDate]]))</f>
        <v>16 2025</v>
      </c>
      <c r="L2407" t="str">
        <f>CONCATENATE(MONTH(CompilDonnées[[#This Row],[PlantationDate]])," ", YEAR(CompilDonnées[[#This Row],[PlantationDate]]))</f>
        <v>4 2025</v>
      </c>
      <c r="M2407" t="str">
        <f>CONCATENATE(MONTH(CompilDonnées[[#This Row],[HarvestingDate]])," ", YEAR(CompilDonnées[[#This Row],[HarvestingDate]]))</f>
        <v>6 2025</v>
      </c>
      <c r="N2407">
        <f>_xlfn.NUMBERVALUE(CompilDonnées[[#This Row],[FarmID]]&amp;CompilDonnées[[#This Row],[ModuleNumber]]&amp;CompilDonnées[[#This Row],[PlantationDate]])</f>
        <v>114345762</v>
      </c>
      <c r="O2407" t="str">
        <f>CompilDonnées[[#This Row],[FarmID]]&amp;CompilDonnées[[#This Row],[ModuleNumber]]</f>
        <v>1143</v>
      </c>
      <c r="P2407" t="str">
        <f>CompilDonnées[[#This Row],[Ref_Module]]&amp;CompilDonnées[[#This Row],[HarvestingDate]]</f>
        <v>114345826</v>
      </c>
    </row>
    <row r="2408" spans="1:16">
      <c r="A2408" s="5">
        <v>45762</v>
      </c>
      <c r="B2408">
        <v>114</v>
      </c>
      <c r="C2408" t="s">
        <v>3</v>
      </c>
      <c r="D2408">
        <v>4</v>
      </c>
      <c r="E2408">
        <v>60</v>
      </c>
      <c r="F2408" t="s">
        <v>105</v>
      </c>
      <c r="G2408" s="6">
        <v>45826</v>
      </c>
      <c r="H2408">
        <v>64</v>
      </c>
      <c r="I2408">
        <f>ROUND(CompilDonnées[[#This Row],[CultureDuration_days]]/7,0)</f>
        <v>9</v>
      </c>
      <c r="J2408">
        <v>800</v>
      </c>
      <c r="K2408" t="str">
        <f>_xlfn.CONCAT(WEEKNUM(CompilDonnées[[#This Row],[PlantationDate]]), " ", YEAR(CompilDonnées[[#This Row],[PlantationDate]]))</f>
        <v>16 2025</v>
      </c>
      <c r="L2408" t="str">
        <f>CONCATENATE(MONTH(CompilDonnées[[#This Row],[PlantationDate]])," ", YEAR(CompilDonnées[[#This Row],[PlantationDate]]))</f>
        <v>4 2025</v>
      </c>
      <c r="M2408" t="str">
        <f>CONCATENATE(MONTH(CompilDonnées[[#This Row],[HarvestingDate]])," ", YEAR(CompilDonnées[[#This Row],[HarvestingDate]]))</f>
        <v>6 2025</v>
      </c>
      <c r="N2408">
        <f>_xlfn.NUMBERVALUE(CompilDonnées[[#This Row],[FarmID]]&amp;CompilDonnées[[#This Row],[ModuleNumber]]&amp;CompilDonnées[[#This Row],[PlantationDate]])</f>
        <v>114445762</v>
      </c>
      <c r="O2408" t="str">
        <f>CompilDonnées[[#This Row],[FarmID]]&amp;CompilDonnées[[#This Row],[ModuleNumber]]</f>
        <v>1144</v>
      </c>
      <c r="P2408" t="str">
        <f>CompilDonnées[[#This Row],[Ref_Module]]&amp;CompilDonnées[[#This Row],[HarvestingDate]]</f>
        <v>114445826</v>
      </c>
    </row>
    <row r="2409" spans="1:16">
      <c r="A2409" s="5">
        <v>45762</v>
      </c>
      <c r="B2409">
        <v>115</v>
      </c>
      <c r="C2409" t="s">
        <v>121</v>
      </c>
      <c r="D2409">
        <v>1</v>
      </c>
      <c r="E2409">
        <v>100</v>
      </c>
      <c r="F2409" t="s">
        <v>1</v>
      </c>
      <c r="G2409" s="6">
        <v>45814</v>
      </c>
      <c r="H2409">
        <v>52</v>
      </c>
      <c r="I2409">
        <f>ROUND(CompilDonnées[[#This Row],[CultureDuration_days]]/7,0)</f>
        <v>7</v>
      </c>
      <c r="J2409">
        <v>2562</v>
      </c>
      <c r="K2409" t="str">
        <f>_xlfn.CONCAT(WEEKNUM(CompilDonnées[[#This Row],[PlantationDate]]), " ", YEAR(CompilDonnées[[#This Row],[PlantationDate]]))</f>
        <v>16 2025</v>
      </c>
      <c r="L2409" t="str">
        <f>CONCATENATE(MONTH(CompilDonnées[[#This Row],[PlantationDate]])," ", YEAR(CompilDonnées[[#This Row],[PlantationDate]]))</f>
        <v>4 2025</v>
      </c>
      <c r="M2409" t="str">
        <f>CONCATENATE(MONTH(CompilDonnées[[#This Row],[HarvestingDate]])," ", YEAR(CompilDonnées[[#This Row],[HarvestingDate]]))</f>
        <v>6 2025</v>
      </c>
      <c r="N2409">
        <f>_xlfn.NUMBERVALUE(CompilDonnées[[#This Row],[FarmID]]&amp;CompilDonnées[[#This Row],[ModuleNumber]]&amp;CompilDonnées[[#This Row],[PlantationDate]])</f>
        <v>115145762</v>
      </c>
      <c r="O2409" t="str">
        <f>CompilDonnées[[#This Row],[FarmID]]&amp;CompilDonnées[[#This Row],[ModuleNumber]]</f>
        <v>1151</v>
      </c>
      <c r="P2409" t="str">
        <f>CompilDonnées[[#This Row],[Ref_Module]]&amp;CompilDonnées[[#This Row],[HarvestingDate]]</f>
        <v>115145814</v>
      </c>
    </row>
    <row r="2410" spans="1:16">
      <c r="A2410" s="5">
        <v>45762</v>
      </c>
      <c r="B2410">
        <v>86</v>
      </c>
      <c r="C2410" t="s">
        <v>37</v>
      </c>
      <c r="D2410">
        <v>6</v>
      </c>
      <c r="E2410">
        <v>100</v>
      </c>
      <c r="F2410" t="s">
        <v>1</v>
      </c>
      <c r="G2410" s="6">
        <v>45804</v>
      </c>
      <c r="H2410">
        <v>42</v>
      </c>
      <c r="I2410">
        <f>ROUND(CompilDonnées[[#This Row],[CultureDuration_days]]/7,0)</f>
        <v>6</v>
      </c>
      <c r="J2410">
        <v>1710</v>
      </c>
      <c r="K2410" t="str">
        <f>_xlfn.CONCAT(WEEKNUM(CompilDonnées[[#This Row],[PlantationDate]]), " ", YEAR(CompilDonnées[[#This Row],[PlantationDate]]))</f>
        <v>16 2025</v>
      </c>
      <c r="L2410" t="str">
        <f>CONCATENATE(MONTH(CompilDonnées[[#This Row],[PlantationDate]])," ", YEAR(CompilDonnées[[#This Row],[PlantationDate]]))</f>
        <v>4 2025</v>
      </c>
      <c r="M2410" t="str">
        <f>CONCATENATE(MONTH(CompilDonnées[[#This Row],[HarvestingDate]])," ", YEAR(CompilDonnées[[#This Row],[HarvestingDate]]))</f>
        <v>5 2025</v>
      </c>
      <c r="N2410">
        <f>_xlfn.NUMBERVALUE(CompilDonnées[[#This Row],[FarmID]]&amp;CompilDonnées[[#This Row],[ModuleNumber]]&amp;CompilDonnées[[#This Row],[PlantationDate]])</f>
        <v>86645762</v>
      </c>
      <c r="O2410" t="str">
        <f>CompilDonnées[[#This Row],[FarmID]]&amp;CompilDonnées[[#This Row],[ModuleNumber]]</f>
        <v>866</v>
      </c>
      <c r="P2410" t="str">
        <f>CompilDonnées[[#This Row],[Ref_Module]]&amp;CompilDonnées[[#This Row],[HarvestingDate]]</f>
        <v>86645804</v>
      </c>
    </row>
    <row r="2411" spans="1:16">
      <c r="A2411" s="5">
        <v>45762</v>
      </c>
      <c r="B2411">
        <v>92</v>
      </c>
      <c r="C2411" t="s">
        <v>66</v>
      </c>
      <c r="D2411">
        <v>6</v>
      </c>
      <c r="E2411">
        <v>100</v>
      </c>
      <c r="F2411" t="s">
        <v>1</v>
      </c>
      <c r="G2411" s="6">
        <v>45803</v>
      </c>
      <c r="H2411">
        <v>41</v>
      </c>
      <c r="I2411">
        <f>ROUND(CompilDonnées[[#This Row],[CultureDuration_days]]/7,0)</f>
        <v>6</v>
      </c>
      <c r="J2411">
        <v>1971</v>
      </c>
      <c r="K2411" t="str">
        <f>_xlfn.CONCAT(WEEKNUM(CompilDonnées[[#This Row],[PlantationDate]]), " ", YEAR(CompilDonnées[[#This Row],[PlantationDate]]))</f>
        <v>16 2025</v>
      </c>
      <c r="L2411" t="str">
        <f>CONCATENATE(MONTH(CompilDonnées[[#This Row],[PlantationDate]])," ", YEAR(CompilDonnées[[#This Row],[PlantationDate]]))</f>
        <v>4 2025</v>
      </c>
      <c r="M2411" t="str">
        <f>CONCATENATE(MONTH(CompilDonnées[[#This Row],[HarvestingDate]])," ", YEAR(CompilDonnées[[#This Row],[HarvestingDate]]))</f>
        <v>5 2025</v>
      </c>
      <c r="N2411">
        <f>_xlfn.NUMBERVALUE(CompilDonnées[[#This Row],[FarmID]]&amp;CompilDonnées[[#This Row],[ModuleNumber]]&amp;CompilDonnées[[#This Row],[PlantationDate]])</f>
        <v>92645762</v>
      </c>
      <c r="O2411" t="str">
        <f>CompilDonnées[[#This Row],[FarmID]]&amp;CompilDonnées[[#This Row],[ModuleNumber]]</f>
        <v>926</v>
      </c>
      <c r="P2411" t="str">
        <f>CompilDonnées[[#This Row],[Ref_Module]]&amp;CompilDonnées[[#This Row],[HarvestingDate]]</f>
        <v>92645803</v>
      </c>
    </row>
    <row r="2412" spans="1:16">
      <c r="A2412" s="5">
        <v>45762</v>
      </c>
      <c r="B2412">
        <v>93</v>
      </c>
      <c r="C2412" t="s">
        <v>10</v>
      </c>
      <c r="D2412">
        <v>1</v>
      </c>
      <c r="E2412">
        <v>100</v>
      </c>
      <c r="F2412" t="s">
        <v>1</v>
      </c>
      <c r="G2412" s="6">
        <v>45814</v>
      </c>
      <c r="H2412">
        <v>52</v>
      </c>
      <c r="I2412">
        <f>ROUND(CompilDonnées[[#This Row],[CultureDuration_days]]/7,0)</f>
        <v>7</v>
      </c>
      <c r="J2412">
        <v>3153</v>
      </c>
      <c r="K2412" t="str">
        <f>_xlfn.CONCAT(WEEKNUM(CompilDonnées[[#This Row],[PlantationDate]]), " ", YEAR(CompilDonnées[[#This Row],[PlantationDate]]))</f>
        <v>16 2025</v>
      </c>
      <c r="L2412" t="str">
        <f>CONCATENATE(MONTH(CompilDonnées[[#This Row],[PlantationDate]])," ", YEAR(CompilDonnées[[#This Row],[PlantationDate]]))</f>
        <v>4 2025</v>
      </c>
      <c r="M2412" t="str">
        <f>CONCATENATE(MONTH(CompilDonnées[[#This Row],[HarvestingDate]])," ", YEAR(CompilDonnées[[#This Row],[HarvestingDate]]))</f>
        <v>6 2025</v>
      </c>
      <c r="N2412">
        <f>_xlfn.NUMBERVALUE(CompilDonnées[[#This Row],[FarmID]]&amp;CompilDonnées[[#This Row],[ModuleNumber]]&amp;CompilDonnées[[#This Row],[PlantationDate]])</f>
        <v>93145762</v>
      </c>
      <c r="O2412" t="str">
        <f>CompilDonnées[[#This Row],[FarmID]]&amp;CompilDonnées[[#This Row],[ModuleNumber]]</f>
        <v>931</v>
      </c>
      <c r="P2412" t="str">
        <f>CompilDonnées[[#This Row],[Ref_Module]]&amp;CompilDonnées[[#This Row],[HarvestingDate]]</f>
        <v>93145814</v>
      </c>
    </row>
    <row r="2413" spans="1:16">
      <c r="A2413" s="5">
        <v>45762</v>
      </c>
      <c r="B2413">
        <v>93</v>
      </c>
      <c r="C2413" t="s">
        <v>10</v>
      </c>
      <c r="D2413">
        <v>3</v>
      </c>
      <c r="E2413">
        <v>100</v>
      </c>
      <c r="F2413" t="s">
        <v>1</v>
      </c>
      <c r="G2413" s="6">
        <v>45804</v>
      </c>
      <c r="H2413">
        <v>42</v>
      </c>
      <c r="I2413">
        <f>ROUND(CompilDonnées[[#This Row],[CultureDuration_days]]/7,0)</f>
        <v>6</v>
      </c>
      <c r="J2413">
        <v>2381</v>
      </c>
      <c r="K2413" t="str">
        <f>_xlfn.CONCAT(WEEKNUM(CompilDonnées[[#This Row],[PlantationDate]]), " ", YEAR(CompilDonnées[[#This Row],[PlantationDate]]))</f>
        <v>16 2025</v>
      </c>
      <c r="L2413" t="str">
        <f>CONCATENATE(MONTH(CompilDonnées[[#This Row],[PlantationDate]])," ", YEAR(CompilDonnées[[#This Row],[PlantationDate]]))</f>
        <v>4 2025</v>
      </c>
      <c r="M2413" t="str">
        <f>CONCATENATE(MONTH(CompilDonnées[[#This Row],[HarvestingDate]])," ", YEAR(CompilDonnées[[#This Row],[HarvestingDate]]))</f>
        <v>5 2025</v>
      </c>
      <c r="N2413">
        <f>_xlfn.NUMBERVALUE(CompilDonnées[[#This Row],[FarmID]]&amp;CompilDonnées[[#This Row],[ModuleNumber]]&amp;CompilDonnées[[#This Row],[PlantationDate]])</f>
        <v>93345762</v>
      </c>
      <c r="O2413" t="str">
        <f>CompilDonnées[[#This Row],[FarmID]]&amp;CompilDonnées[[#This Row],[ModuleNumber]]</f>
        <v>933</v>
      </c>
      <c r="P2413" t="str">
        <f>CompilDonnées[[#This Row],[Ref_Module]]&amp;CompilDonnées[[#This Row],[HarvestingDate]]</f>
        <v>93345804</v>
      </c>
    </row>
    <row r="2414" spans="1:16">
      <c r="A2414" s="5">
        <v>45762</v>
      </c>
      <c r="B2414">
        <v>98</v>
      </c>
      <c r="C2414" t="s">
        <v>79</v>
      </c>
      <c r="D2414">
        <v>4</v>
      </c>
      <c r="E2414">
        <v>100</v>
      </c>
      <c r="F2414" t="s">
        <v>1</v>
      </c>
      <c r="G2414" s="6">
        <v>45804</v>
      </c>
      <c r="H2414">
        <v>42</v>
      </c>
      <c r="I2414">
        <f>ROUND(CompilDonnées[[#This Row],[CultureDuration_days]]/7,0)</f>
        <v>6</v>
      </c>
      <c r="J2414">
        <v>2000</v>
      </c>
      <c r="K2414" t="str">
        <f>_xlfn.CONCAT(WEEKNUM(CompilDonnées[[#This Row],[PlantationDate]]), " ", YEAR(CompilDonnées[[#This Row],[PlantationDate]]))</f>
        <v>16 2025</v>
      </c>
      <c r="L2414" t="str">
        <f>CONCATENATE(MONTH(CompilDonnées[[#This Row],[PlantationDate]])," ", YEAR(CompilDonnées[[#This Row],[PlantationDate]]))</f>
        <v>4 2025</v>
      </c>
      <c r="M2414" t="str">
        <f>CONCATENATE(MONTH(CompilDonnées[[#This Row],[HarvestingDate]])," ", YEAR(CompilDonnées[[#This Row],[HarvestingDate]]))</f>
        <v>5 2025</v>
      </c>
      <c r="N2414">
        <f>_xlfn.NUMBERVALUE(CompilDonnées[[#This Row],[FarmID]]&amp;CompilDonnées[[#This Row],[ModuleNumber]]&amp;CompilDonnées[[#This Row],[PlantationDate]])</f>
        <v>98445762</v>
      </c>
      <c r="O2414" t="str">
        <f>CompilDonnées[[#This Row],[FarmID]]&amp;CompilDonnées[[#This Row],[ModuleNumber]]</f>
        <v>984</v>
      </c>
      <c r="P2414" t="str">
        <f>CompilDonnées[[#This Row],[Ref_Module]]&amp;CompilDonnées[[#This Row],[HarvestingDate]]</f>
        <v>98445804</v>
      </c>
    </row>
    <row r="2415" spans="1:16">
      <c r="A2415" s="5">
        <v>45762</v>
      </c>
      <c r="B2415">
        <v>99</v>
      </c>
      <c r="C2415" t="s">
        <v>117</v>
      </c>
      <c r="D2415">
        <v>6</v>
      </c>
      <c r="E2415">
        <v>100</v>
      </c>
      <c r="F2415" t="s">
        <v>1</v>
      </c>
      <c r="G2415" s="6">
        <v>45803</v>
      </c>
      <c r="H2415">
        <v>41</v>
      </c>
      <c r="I2415">
        <f>ROUND(CompilDonnées[[#This Row],[CultureDuration_days]]/7,0)</f>
        <v>6</v>
      </c>
      <c r="J2415">
        <v>2109</v>
      </c>
      <c r="K2415" t="str">
        <f>_xlfn.CONCAT(WEEKNUM(CompilDonnées[[#This Row],[PlantationDate]]), " ", YEAR(CompilDonnées[[#This Row],[PlantationDate]]))</f>
        <v>16 2025</v>
      </c>
      <c r="L2415" t="str">
        <f>CONCATENATE(MONTH(CompilDonnées[[#This Row],[PlantationDate]])," ", YEAR(CompilDonnées[[#This Row],[PlantationDate]]))</f>
        <v>4 2025</v>
      </c>
      <c r="M2415" t="str">
        <f>CONCATENATE(MONTH(CompilDonnées[[#This Row],[HarvestingDate]])," ", YEAR(CompilDonnées[[#This Row],[HarvestingDate]]))</f>
        <v>5 2025</v>
      </c>
      <c r="N2415">
        <f>_xlfn.NUMBERVALUE(CompilDonnées[[#This Row],[FarmID]]&amp;CompilDonnées[[#This Row],[ModuleNumber]]&amp;CompilDonnées[[#This Row],[PlantationDate]])</f>
        <v>99645762</v>
      </c>
      <c r="O2415" t="str">
        <f>CompilDonnées[[#This Row],[FarmID]]&amp;CompilDonnées[[#This Row],[ModuleNumber]]</f>
        <v>996</v>
      </c>
      <c r="P2415" t="str">
        <f>CompilDonnées[[#This Row],[Ref_Module]]&amp;CompilDonnées[[#This Row],[HarvestingDate]]</f>
        <v>99645803</v>
      </c>
    </row>
    <row r="2416" spans="1:16">
      <c r="A2416" s="5">
        <v>45762</v>
      </c>
      <c r="B2416">
        <v>100</v>
      </c>
      <c r="C2416" t="s">
        <v>84</v>
      </c>
      <c r="D2416">
        <v>2</v>
      </c>
      <c r="E2416">
        <v>100</v>
      </c>
      <c r="F2416" t="s">
        <v>1</v>
      </c>
      <c r="G2416" s="6">
        <v>45803</v>
      </c>
      <c r="H2416">
        <v>41</v>
      </c>
      <c r="I2416">
        <f>ROUND(CompilDonnées[[#This Row],[CultureDuration_days]]/7,0)</f>
        <v>6</v>
      </c>
      <c r="J2416">
        <v>1971</v>
      </c>
      <c r="K2416" t="str">
        <f>_xlfn.CONCAT(WEEKNUM(CompilDonnées[[#This Row],[PlantationDate]]), " ", YEAR(CompilDonnées[[#This Row],[PlantationDate]]))</f>
        <v>16 2025</v>
      </c>
      <c r="L2416" t="str">
        <f>CONCATENATE(MONTH(CompilDonnées[[#This Row],[PlantationDate]])," ", YEAR(CompilDonnées[[#This Row],[PlantationDate]]))</f>
        <v>4 2025</v>
      </c>
      <c r="M2416" t="str">
        <f>CONCATENATE(MONTH(CompilDonnées[[#This Row],[HarvestingDate]])," ", YEAR(CompilDonnées[[#This Row],[HarvestingDate]]))</f>
        <v>5 2025</v>
      </c>
      <c r="N2416">
        <f>_xlfn.NUMBERVALUE(CompilDonnées[[#This Row],[FarmID]]&amp;CompilDonnées[[#This Row],[ModuleNumber]]&amp;CompilDonnées[[#This Row],[PlantationDate]])</f>
        <v>100245762</v>
      </c>
      <c r="O2416" t="str">
        <f>CompilDonnées[[#This Row],[FarmID]]&amp;CompilDonnées[[#This Row],[ModuleNumber]]</f>
        <v>1002</v>
      </c>
      <c r="P2416" t="str">
        <f>CompilDonnées[[#This Row],[Ref_Module]]&amp;CompilDonnées[[#This Row],[HarvestingDate]]</f>
        <v>100245803</v>
      </c>
    </row>
    <row r="2417" spans="1:16">
      <c r="A2417" s="5">
        <v>45762</v>
      </c>
      <c r="B2417">
        <v>100</v>
      </c>
      <c r="C2417" t="s">
        <v>84</v>
      </c>
      <c r="D2417">
        <v>3</v>
      </c>
      <c r="E2417">
        <v>100</v>
      </c>
      <c r="F2417" t="s">
        <v>1</v>
      </c>
      <c r="G2417" s="6">
        <v>45814</v>
      </c>
      <c r="H2417">
        <v>52</v>
      </c>
      <c r="I2417">
        <f>ROUND(CompilDonnées[[#This Row],[CultureDuration_days]]/7,0)</f>
        <v>7</v>
      </c>
      <c r="J2417">
        <v>2451</v>
      </c>
      <c r="K2417" t="str">
        <f>_xlfn.CONCAT(WEEKNUM(CompilDonnées[[#This Row],[PlantationDate]]), " ", YEAR(CompilDonnées[[#This Row],[PlantationDate]]))</f>
        <v>16 2025</v>
      </c>
      <c r="L2417" t="str">
        <f>CONCATENATE(MONTH(CompilDonnées[[#This Row],[PlantationDate]])," ", YEAR(CompilDonnées[[#This Row],[PlantationDate]]))</f>
        <v>4 2025</v>
      </c>
      <c r="M2417" t="str">
        <f>CONCATENATE(MONTH(CompilDonnées[[#This Row],[HarvestingDate]])," ", YEAR(CompilDonnées[[#This Row],[HarvestingDate]]))</f>
        <v>6 2025</v>
      </c>
      <c r="N2417">
        <f>_xlfn.NUMBERVALUE(CompilDonnées[[#This Row],[FarmID]]&amp;CompilDonnées[[#This Row],[ModuleNumber]]&amp;CompilDonnées[[#This Row],[PlantationDate]])</f>
        <v>100345762</v>
      </c>
      <c r="O2417" t="str">
        <f>CompilDonnées[[#This Row],[FarmID]]&amp;CompilDonnées[[#This Row],[ModuleNumber]]</f>
        <v>1003</v>
      </c>
      <c r="P2417" t="str">
        <f>CompilDonnées[[#This Row],[Ref_Module]]&amp;CompilDonnées[[#This Row],[HarvestingDate]]</f>
        <v>100345814</v>
      </c>
    </row>
    <row r="2418" spans="1:16">
      <c r="A2418" s="5">
        <v>45762</v>
      </c>
      <c r="B2418">
        <v>124</v>
      </c>
      <c r="C2418" t="s">
        <v>115</v>
      </c>
      <c r="D2418">
        <v>3</v>
      </c>
      <c r="E2418">
        <v>100</v>
      </c>
      <c r="F2418" t="s">
        <v>1</v>
      </c>
      <c r="G2418" s="6">
        <v>45803</v>
      </c>
      <c r="H2418">
        <v>41</v>
      </c>
      <c r="I2418">
        <f>ROUND(CompilDonnées[[#This Row],[CultureDuration_days]]/7,0)</f>
        <v>6</v>
      </c>
      <c r="J2418">
        <v>1742</v>
      </c>
      <c r="K2418" t="str">
        <f>_xlfn.CONCAT(WEEKNUM(CompilDonnées[[#This Row],[PlantationDate]]), " ", YEAR(CompilDonnées[[#This Row],[PlantationDate]]))</f>
        <v>16 2025</v>
      </c>
      <c r="L2418" t="str">
        <f>CONCATENATE(MONTH(CompilDonnées[[#This Row],[PlantationDate]])," ", YEAR(CompilDonnées[[#This Row],[PlantationDate]]))</f>
        <v>4 2025</v>
      </c>
      <c r="M2418" t="str">
        <f>CONCATENATE(MONTH(CompilDonnées[[#This Row],[HarvestingDate]])," ", YEAR(CompilDonnées[[#This Row],[HarvestingDate]]))</f>
        <v>5 2025</v>
      </c>
      <c r="N2418">
        <f>_xlfn.NUMBERVALUE(CompilDonnées[[#This Row],[FarmID]]&amp;CompilDonnées[[#This Row],[ModuleNumber]]&amp;CompilDonnées[[#This Row],[PlantationDate]])</f>
        <v>124345762</v>
      </c>
      <c r="O2418" t="str">
        <f>CompilDonnées[[#This Row],[FarmID]]&amp;CompilDonnées[[#This Row],[ModuleNumber]]</f>
        <v>1243</v>
      </c>
      <c r="P2418" t="str">
        <f>CompilDonnées[[#This Row],[Ref_Module]]&amp;CompilDonnées[[#This Row],[HarvestingDate]]</f>
        <v>124345803</v>
      </c>
    </row>
    <row r="2419" spans="1:16">
      <c r="A2419" s="5">
        <v>45762</v>
      </c>
      <c r="B2419">
        <v>126</v>
      </c>
      <c r="C2419" t="s">
        <v>52</v>
      </c>
      <c r="D2419">
        <v>3</v>
      </c>
      <c r="E2419">
        <v>100</v>
      </c>
      <c r="F2419" t="s">
        <v>1</v>
      </c>
      <c r="G2419" s="6">
        <v>45789</v>
      </c>
      <c r="H2419">
        <v>27</v>
      </c>
      <c r="I2419">
        <f>ROUND(CompilDonnées[[#This Row],[CultureDuration_days]]/7,0)</f>
        <v>4</v>
      </c>
      <c r="J2419">
        <v>1978</v>
      </c>
      <c r="K2419" t="str">
        <f>_xlfn.CONCAT(WEEKNUM(CompilDonnées[[#This Row],[PlantationDate]]), " ", YEAR(CompilDonnées[[#This Row],[PlantationDate]]))</f>
        <v>16 2025</v>
      </c>
      <c r="L2419" t="str">
        <f>CONCATENATE(MONTH(CompilDonnées[[#This Row],[PlantationDate]])," ", YEAR(CompilDonnées[[#This Row],[PlantationDate]]))</f>
        <v>4 2025</v>
      </c>
      <c r="M2419" t="str">
        <f>CONCATENATE(MONTH(CompilDonnées[[#This Row],[HarvestingDate]])," ", YEAR(CompilDonnées[[#This Row],[HarvestingDate]]))</f>
        <v>5 2025</v>
      </c>
      <c r="N2419">
        <f>_xlfn.NUMBERVALUE(CompilDonnées[[#This Row],[FarmID]]&amp;CompilDonnées[[#This Row],[ModuleNumber]]&amp;CompilDonnées[[#This Row],[PlantationDate]])</f>
        <v>126345762</v>
      </c>
      <c r="O2419" t="str">
        <f>CompilDonnées[[#This Row],[FarmID]]&amp;CompilDonnées[[#This Row],[ModuleNumber]]</f>
        <v>1263</v>
      </c>
      <c r="P2419" t="str">
        <f>CompilDonnées[[#This Row],[Ref_Module]]&amp;CompilDonnées[[#This Row],[HarvestingDate]]</f>
        <v>126345789</v>
      </c>
    </row>
    <row r="2420" spans="1:16">
      <c r="A2420" s="5">
        <v>45762</v>
      </c>
      <c r="B2420">
        <v>132</v>
      </c>
      <c r="C2420" t="s">
        <v>120</v>
      </c>
      <c r="D2420">
        <v>6</v>
      </c>
      <c r="E2420">
        <v>100</v>
      </c>
      <c r="F2420" t="s">
        <v>1</v>
      </c>
      <c r="G2420" s="6">
        <v>45803</v>
      </c>
      <c r="H2420">
        <v>41</v>
      </c>
      <c r="I2420">
        <f>ROUND(CompilDonnées[[#This Row],[CultureDuration_days]]/7,0)</f>
        <v>6</v>
      </c>
      <c r="J2420">
        <v>2145</v>
      </c>
      <c r="K2420" t="str">
        <f>_xlfn.CONCAT(WEEKNUM(CompilDonnées[[#This Row],[PlantationDate]]), " ", YEAR(CompilDonnées[[#This Row],[PlantationDate]]))</f>
        <v>16 2025</v>
      </c>
      <c r="L2420" t="str">
        <f>CONCATENATE(MONTH(CompilDonnées[[#This Row],[PlantationDate]])," ", YEAR(CompilDonnées[[#This Row],[PlantationDate]]))</f>
        <v>4 2025</v>
      </c>
      <c r="M2420" t="str">
        <f>CONCATENATE(MONTH(CompilDonnées[[#This Row],[HarvestingDate]])," ", YEAR(CompilDonnées[[#This Row],[HarvestingDate]]))</f>
        <v>5 2025</v>
      </c>
      <c r="N2420">
        <f>_xlfn.NUMBERVALUE(CompilDonnées[[#This Row],[FarmID]]&amp;CompilDonnées[[#This Row],[ModuleNumber]]&amp;CompilDonnées[[#This Row],[PlantationDate]])</f>
        <v>132645762</v>
      </c>
      <c r="O2420" t="str">
        <f>CompilDonnées[[#This Row],[FarmID]]&amp;CompilDonnées[[#This Row],[ModuleNumber]]</f>
        <v>1326</v>
      </c>
      <c r="P2420" t="str">
        <f>CompilDonnées[[#This Row],[Ref_Module]]&amp;CompilDonnées[[#This Row],[HarvestingDate]]</f>
        <v>132645803</v>
      </c>
    </row>
    <row r="2421" spans="1:16">
      <c r="A2421" s="5">
        <v>45762</v>
      </c>
      <c r="B2421">
        <v>133</v>
      </c>
      <c r="C2421" t="s">
        <v>99</v>
      </c>
      <c r="D2421">
        <v>6</v>
      </c>
      <c r="E2421">
        <v>100</v>
      </c>
      <c r="F2421" t="s">
        <v>1</v>
      </c>
      <c r="G2421" s="6">
        <v>45800</v>
      </c>
      <c r="H2421">
        <v>38</v>
      </c>
      <c r="I2421">
        <f>ROUND(CompilDonnées[[#This Row],[CultureDuration_days]]/7,0)</f>
        <v>5</v>
      </c>
      <c r="J2421">
        <v>2528</v>
      </c>
      <c r="K2421" t="str">
        <f>_xlfn.CONCAT(WEEKNUM(CompilDonnées[[#This Row],[PlantationDate]]), " ", YEAR(CompilDonnées[[#This Row],[PlantationDate]]))</f>
        <v>16 2025</v>
      </c>
      <c r="L2421" t="str">
        <f>CONCATENATE(MONTH(CompilDonnées[[#This Row],[PlantationDate]])," ", YEAR(CompilDonnées[[#This Row],[PlantationDate]]))</f>
        <v>4 2025</v>
      </c>
      <c r="M2421" t="str">
        <f>CONCATENATE(MONTH(CompilDonnées[[#This Row],[HarvestingDate]])," ", YEAR(CompilDonnées[[#This Row],[HarvestingDate]]))</f>
        <v>5 2025</v>
      </c>
      <c r="N2421">
        <f>_xlfn.NUMBERVALUE(CompilDonnées[[#This Row],[FarmID]]&amp;CompilDonnées[[#This Row],[ModuleNumber]]&amp;CompilDonnées[[#This Row],[PlantationDate]])</f>
        <v>133645762</v>
      </c>
      <c r="O2421" t="str">
        <f>CompilDonnées[[#This Row],[FarmID]]&amp;CompilDonnées[[#This Row],[ModuleNumber]]</f>
        <v>1336</v>
      </c>
      <c r="P2421" t="str">
        <f>CompilDonnées[[#This Row],[Ref_Module]]&amp;CompilDonnées[[#This Row],[HarvestingDate]]</f>
        <v>133645800</v>
      </c>
    </row>
    <row r="2422" spans="1:16">
      <c r="A2422" s="5">
        <v>45763</v>
      </c>
      <c r="B2422">
        <v>114</v>
      </c>
      <c r="C2422" t="s">
        <v>3</v>
      </c>
      <c r="D2422">
        <v>5</v>
      </c>
      <c r="E2422">
        <v>60</v>
      </c>
      <c r="F2422" t="s">
        <v>105</v>
      </c>
      <c r="G2422" s="6">
        <v>45838</v>
      </c>
      <c r="H2422">
        <v>75</v>
      </c>
      <c r="I2422">
        <f>ROUND(CompilDonnées[[#This Row],[CultureDuration_days]]/7,0)</f>
        <v>11</v>
      </c>
      <c r="J2422">
        <v>600</v>
      </c>
      <c r="K2422" t="str">
        <f>_xlfn.CONCAT(WEEKNUM(CompilDonnées[[#This Row],[PlantationDate]]), " ", YEAR(CompilDonnées[[#This Row],[PlantationDate]]))</f>
        <v>16 2025</v>
      </c>
      <c r="L2422" t="str">
        <f>CONCATENATE(MONTH(CompilDonnées[[#This Row],[PlantationDate]])," ", YEAR(CompilDonnées[[#This Row],[PlantationDate]]))</f>
        <v>4 2025</v>
      </c>
      <c r="M2422" t="str">
        <f>CONCATENATE(MONTH(CompilDonnées[[#This Row],[HarvestingDate]])," ", YEAR(CompilDonnées[[#This Row],[HarvestingDate]]))</f>
        <v>6 2025</v>
      </c>
      <c r="N2422">
        <f>_xlfn.NUMBERVALUE(CompilDonnées[[#This Row],[FarmID]]&amp;CompilDonnées[[#This Row],[ModuleNumber]]&amp;CompilDonnées[[#This Row],[PlantationDate]])</f>
        <v>114545763</v>
      </c>
      <c r="O2422" t="str">
        <f>CompilDonnées[[#This Row],[FarmID]]&amp;CompilDonnées[[#This Row],[ModuleNumber]]</f>
        <v>1145</v>
      </c>
      <c r="P2422" t="str">
        <f>CompilDonnées[[#This Row],[Ref_Module]]&amp;CompilDonnées[[#This Row],[HarvestingDate]]</f>
        <v>114545838</v>
      </c>
    </row>
    <row r="2423" spans="1:16">
      <c r="A2423" s="5">
        <v>45763</v>
      </c>
      <c r="B2423">
        <v>114</v>
      </c>
      <c r="C2423" t="s">
        <v>3</v>
      </c>
      <c r="D2423">
        <v>6</v>
      </c>
      <c r="E2423">
        <v>60</v>
      </c>
      <c r="F2423" t="s">
        <v>105</v>
      </c>
      <c r="G2423" s="6">
        <v>45838</v>
      </c>
      <c r="H2423">
        <v>75</v>
      </c>
      <c r="I2423">
        <f>ROUND(CompilDonnées[[#This Row],[CultureDuration_days]]/7,0)</f>
        <v>11</v>
      </c>
      <c r="J2423">
        <v>700</v>
      </c>
      <c r="K2423" t="str">
        <f>_xlfn.CONCAT(WEEKNUM(CompilDonnées[[#This Row],[PlantationDate]]), " ", YEAR(CompilDonnées[[#This Row],[PlantationDate]]))</f>
        <v>16 2025</v>
      </c>
      <c r="L2423" t="str">
        <f>CONCATENATE(MONTH(CompilDonnées[[#This Row],[PlantationDate]])," ", YEAR(CompilDonnées[[#This Row],[PlantationDate]]))</f>
        <v>4 2025</v>
      </c>
      <c r="M2423" t="str">
        <f>CONCATENATE(MONTH(CompilDonnées[[#This Row],[HarvestingDate]])," ", YEAR(CompilDonnées[[#This Row],[HarvestingDate]]))</f>
        <v>6 2025</v>
      </c>
      <c r="N2423">
        <f>_xlfn.NUMBERVALUE(CompilDonnées[[#This Row],[FarmID]]&amp;CompilDonnées[[#This Row],[ModuleNumber]]&amp;CompilDonnées[[#This Row],[PlantationDate]])</f>
        <v>114645763</v>
      </c>
      <c r="O2423" t="str">
        <f>CompilDonnées[[#This Row],[FarmID]]&amp;CompilDonnées[[#This Row],[ModuleNumber]]</f>
        <v>1146</v>
      </c>
      <c r="P2423" t="str">
        <f>CompilDonnées[[#This Row],[Ref_Module]]&amp;CompilDonnées[[#This Row],[HarvestingDate]]</f>
        <v>114645838</v>
      </c>
    </row>
    <row r="2424" spans="1:16">
      <c r="A2424" s="5">
        <v>45763</v>
      </c>
      <c r="B2424">
        <v>42</v>
      </c>
      <c r="C2424" t="s">
        <v>3</v>
      </c>
      <c r="D2424">
        <v>2</v>
      </c>
      <c r="E2424">
        <v>60</v>
      </c>
      <c r="F2424" t="s">
        <v>105</v>
      </c>
      <c r="G2424" s="6">
        <v>45811</v>
      </c>
      <c r="H2424">
        <v>48</v>
      </c>
      <c r="I2424">
        <f>ROUND(CompilDonnées[[#This Row],[CultureDuration_days]]/7,0)</f>
        <v>7</v>
      </c>
      <c r="J2424">
        <v>835</v>
      </c>
      <c r="K2424" t="str">
        <f>_xlfn.CONCAT(WEEKNUM(CompilDonnées[[#This Row],[PlantationDate]]), " ", YEAR(CompilDonnées[[#This Row],[PlantationDate]]))</f>
        <v>16 2025</v>
      </c>
      <c r="L2424" t="str">
        <f>CONCATENATE(MONTH(CompilDonnées[[#This Row],[PlantationDate]])," ", YEAR(CompilDonnées[[#This Row],[PlantationDate]]))</f>
        <v>4 2025</v>
      </c>
      <c r="M2424" t="str">
        <f>CONCATENATE(MONTH(CompilDonnées[[#This Row],[HarvestingDate]])," ", YEAR(CompilDonnées[[#This Row],[HarvestingDate]]))</f>
        <v>6 2025</v>
      </c>
      <c r="N2424">
        <f>_xlfn.NUMBERVALUE(CompilDonnées[[#This Row],[FarmID]]&amp;CompilDonnées[[#This Row],[ModuleNumber]]&amp;CompilDonnées[[#This Row],[PlantationDate]])</f>
        <v>42245763</v>
      </c>
      <c r="O2424" t="str">
        <f>CompilDonnées[[#This Row],[FarmID]]&amp;CompilDonnées[[#This Row],[ModuleNumber]]</f>
        <v>422</v>
      </c>
      <c r="P2424" t="str">
        <f>CompilDonnées[[#This Row],[Ref_Module]]&amp;CompilDonnées[[#This Row],[HarvestingDate]]</f>
        <v>42245811</v>
      </c>
    </row>
    <row r="2425" spans="1:16">
      <c r="A2425" s="5">
        <v>45763</v>
      </c>
      <c r="B2425">
        <v>42</v>
      </c>
      <c r="C2425" t="s">
        <v>3</v>
      </c>
      <c r="D2425">
        <v>3</v>
      </c>
      <c r="E2425">
        <v>60</v>
      </c>
      <c r="F2425" t="s">
        <v>105</v>
      </c>
      <c r="G2425" s="6">
        <v>45811</v>
      </c>
      <c r="H2425">
        <v>48</v>
      </c>
      <c r="I2425">
        <f>ROUND(CompilDonnées[[#This Row],[CultureDuration_days]]/7,0)</f>
        <v>7</v>
      </c>
      <c r="J2425">
        <v>900</v>
      </c>
      <c r="K2425" t="str">
        <f>_xlfn.CONCAT(WEEKNUM(CompilDonnées[[#This Row],[PlantationDate]]), " ", YEAR(CompilDonnées[[#This Row],[PlantationDate]]))</f>
        <v>16 2025</v>
      </c>
      <c r="L2425" t="str">
        <f>CONCATENATE(MONTH(CompilDonnées[[#This Row],[PlantationDate]])," ", YEAR(CompilDonnées[[#This Row],[PlantationDate]]))</f>
        <v>4 2025</v>
      </c>
      <c r="M2425" t="str">
        <f>CONCATENATE(MONTH(CompilDonnées[[#This Row],[HarvestingDate]])," ", YEAR(CompilDonnées[[#This Row],[HarvestingDate]]))</f>
        <v>6 2025</v>
      </c>
      <c r="N2425">
        <f>_xlfn.NUMBERVALUE(CompilDonnées[[#This Row],[FarmID]]&amp;CompilDonnées[[#This Row],[ModuleNumber]]&amp;CompilDonnées[[#This Row],[PlantationDate]])</f>
        <v>42345763</v>
      </c>
      <c r="O2425" t="str">
        <f>CompilDonnées[[#This Row],[FarmID]]&amp;CompilDonnées[[#This Row],[ModuleNumber]]</f>
        <v>423</v>
      </c>
      <c r="P2425" t="str">
        <f>CompilDonnées[[#This Row],[Ref_Module]]&amp;CompilDonnées[[#This Row],[HarvestingDate]]</f>
        <v>42345811</v>
      </c>
    </row>
    <row r="2426" spans="1:16">
      <c r="A2426" s="5">
        <v>45763</v>
      </c>
      <c r="B2426">
        <v>43</v>
      </c>
      <c r="C2426" t="s">
        <v>45</v>
      </c>
      <c r="D2426">
        <v>2</v>
      </c>
      <c r="E2426">
        <v>100</v>
      </c>
      <c r="F2426" t="s">
        <v>1</v>
      </c>
      <c r="G2426" s="6">
        <v>45806</v>
      </c>
      <c r="H2426">
        <v>43</v>
      </c>
      <c r="I2426">
        <f>ROUND(CompilDonnées[[#This Row],[CultureDuration_days]]/7,0)</f>
        <v>6</v>
      </c>
      <c r="J2426">
        <v>2314</v>
      </c>
      <c r="K2426" t="str">
        <f>_xlfn.CONCAT(WEEKNUM(CompilDonnées[[#This Row],[PlantationDate]]), " ", YEAR(CompilDonnées[[#This Row],[PlantationDate]]))</f>
        <v>16 2025</v>
      </c>
      <c r="L2426" t="str">
        <f>CONCATENATE(MONTH(CompilDonnées[[#This Row],[PlantationDate]])," ", YEAR(CompilDonnées[[#This Row],[PlantationDate]]))</f>
        <v>4 2025</v>
      </c>
      <c r="M2426" t="str">
        <f>CONCATENATE(MONTH(CompilDonnées[[#This Row],[HarvestingDate]])," ", YEAR(CompilDonnées[[#This Row],[HarvestingDate]]))</f>
        <v>5 2025</v>
      </c>
      <c r="N2426">
        <f>_xlfn.NUMBERVALUE(CompilDonnées[[#This Row],[FarmID]]&amp;CompilDonnées[[#This Row],[ModuleNumber]]&amp;CompilDonnées[[#This Row],[PlantationDate]])</f>
        <v>43245763</v>
      </c>
      <c r="O2426" t="str">
        <f>CompilDonnées[[#This Row],[FarmID]]&amp;CompilDonnées[[#This Row],[ModuleNumber]]</f>
        <v>432</v>
      </c>
      <c r="P2426" t="str">
        <f>CompilDonnées[[#This Row],[Ref_Module]]&amp;CompilDonnées[[#This Row],[HarvestingDate]]</f>
        <v>43245806</v>
      </c>
    </row>
    <row r="2427" spans="1:16">
      <c r="A2427" s="5">
        <v>45763</v>
      </c>
      <c r="B2427">
        <v>43</v>
      </c>
      <c r="C2427" t="s">
        <v>45</v>
      </c>
      <c r="D2427">
        <v>3</v>
      </c>
      <c r="E2427">
        <v>100</v>
      </c>
      <c r="F2427" t="s">
        <v>1</v>
      </c>
      <c r="G2427" s="6">
        <v>45807</v>
      </c>
      <c r="H2427">
        <v>44</v>
      </c>
      <c r="I2427">
        <f>ROUND(CompilDonnées[[#This Row],[CultureDuration_days]]/7,0)</f>
        <v>6</v>
      </c>
      <c r="J2427">
        <v>1802</v>
      </c>
      <c r="K2427" t="str">
        <f>_xlfn.CONCAT(WEEKNUM(CompilDonnées[[#This Row],[PlantationDate]]), " ", YEAR(CompilDonnées[[#This Row],[PlantationDate]]))</f>
        <v>16 2025</v>
      </c>
      <c r="L2427" t="str">
        <f>CONCATENATE(MONTH(CompilDonnées[[#This Row],[PlantationDate]])," ", YEAR(CompilDonnées[[#This Row],[PlantationDate]]))</f>
        <v>4 2025</v>
      </c>
      <c r="M2427" t="str">
        <f>CONCATENATE(MONTH(CompilDonnées[[#This Row],[HarvestingDate]])," ", YEAR(CompilDonnées[[#This Row],[HarvestingDate]]))</f>
        <v>5 2025</v>
      </c>
      <c r="N2427">
        <f>_xlfn.NUMBERVALUE(CompilDonnées[[#This Row],[FarmID]]&amp;CompilDonnées[[#This Row],[ModuleNumber]]&amp;CompilDonnées[[#This Row],[PlantationDate]])</f>
        <v>43345763</v>
      </c>
      <c r="O2427" t="str">
        <f>CompilDonnées[[#This Row],[FarmID]]&amp;CompilDonnées[[#This Row],[ModuleNumber]]</f>
        <v>433</v>
      </c>
      <c r="P2427" t="str">
        <f>CompilDonnées[[#This Row],[Ref_Module]]&amp;CompilDonnées[[#This Row],[HarvestingDate]]</f>
        <v>43345807</v>
      </c>
    </row>
    <row r="2428" spans="1:16">
      <c r="A2428" s="5">
        <v>45763</v>
      </c>
      <c r="B2428">
        <v>115</v>
      </c>
      <c r="C2428" t="s">
        <v>121</v>
      </c>
      <c r="D2428">
        <v>2</v>
      </c>
      <c r="E2428">
        <v>100</v>
      </c>
      <c r="F2428" t="s">
        <v>1</v>
      </c>
      <c r="G2428" s="6">
        <v>45814</v>
      </c>
      <c r="H2428">
        <v>51</v>
      </c>
      <c r="I2428">
        <f>ROUND(CompilDonnées[[#This Row],[CultureDuration_days]]/7,0)</f>
        <v>7</v>
      </c>
      <c r="J2428">
        <v>2175</v>
      </c>
      <c r="K2428" t="str">
        <f>_xlfn.CONCAT(WEEKNUM(CompilDonnées[[#This Row],[PlantationDate]]), " ", YEAR(CompilDonnées[[#This Row],[PlantationDate]]))</f>
        <v>16 2025</v>
      </c>
      <c r="L2428" t="str">
        <f>CONCATENATE(MONTH(CompilDonnées[[#This Row],[PlantationDate]])," ", YEAR(CompilDonnées[[#This Row],[PlantationDate]]))</f>
        <v>4 2025</v>
      </c>
      <c r="M2428" t="str">
        <f>CONCATENATE(MONTH(CompilDonnées[[#This Row],[HarvestingDate]])," ", YEAR(CompilDonnées[[#This Row],[HarvestingDate]]))</f>
        <v>6 2025</v>
      </c>
      <c r="N2428">
        <f>_xlfn.NUMBERVALUE(CompilDonnées[[#This Row],[FarmID]]&amp;CompilDonnées[[#This Row],[ModuleNumber]]&amp;CompilDonnées[[#This Row],[PlantationDate]])</f>
        <v>115245763</v>
      </c>
      <c r="O2428" t="str">
        <f>CompilDonnées[[#This Row],[FarmID]]&amp;CompilDonnées[[#This Row],[ModuleNumber]]</f>
        <v>1152</v>
      </c>
      <c r="P2428" t="str">
        <f>CompilDonnées[[#This Row],[Ref_Module]]&amp;CompilDonnées[[#This Row],[HarvestingDate]]</f>
        <v>115245814</v>
      </c>
    </row>
    <row r="2429" spans="1:16">
      <c r="A2429" s="5">
        <v>45763</v>
      </c>
      <c r="B2429">
        <v>117</v>
      </c>
      <c r="C2429" t="s">
        <v>11</v>
      </c>
      <c r="D2429">
        <v>5</v>
      </c>
      <c r="E2429">
        <v>100</v>
      </c>
      <c r="F2429" t="s">
        <v>1</v>
      </c>
      <c r="G2429" s="6">
        <v>45803</v>
      </c>
      <c r="H2429">
        <v>40</v>
      </c>
      <c r="I2429">
        <f>ROUND(CompilDonnées[[#This Row],[CultureDuration_days]]/7,0)</f>
        <v>6</v>
      </c>
      <c r="J2429">
        <v>2137</v>
      </c>
      <c r="K2429" t="str">
        <f>_xlfn.CONCAT(WEEKNUM(CompilDonnées[[#This Row],[PlantationDate]]), " ", YEAR(CompilDonnées[[#This Row],[PlantationDate]]))</f>
        <v>16 2025</v>
      </c>
      <c r="L2429" t="str">
        <f>CONCATENATE(MONTH(CompilDonnées[[#This Row],[PlantationDate]])," ", YEAR(CompilDonnées[[#This Row],[PlantationDate]]))</f>
        <v>4 2025</v>
      </c>
      <c r="M2429" t="str">
        <f>CONCATENATE(MONTH(CompilDonnées[[#This Row],[HarvestingDate]])," ", YEAR(CompilDonnées[[#This Row],[HarvestingDate]]))</f>
        <v>5 2025</v>
      </c>
      <c r="N2429">
        <f>_xlfn.NUMBERVALUE(CompilDonnées[[#This Row],[FarmID]]&amp;CompilDonnées[[#This Row],[ModuleNumber]]&amp;CompilDonnées[[#This Row],[PlantationDate]])</f>
        <v>117545763</v>
      </c>
      <c r="O2429" t="str">
        <f>CompilDonnées[[#This Row],[FarmID]]&amp;CompilDonnées[[#This Row],[ModuleNumber]]</f>
        <v>1175</v>
      </c>
      <c r="P2429" t="str">
        <f>CompilDonnées[[#This Row],[Ref_Module]]&amp;CompilDonnées[[#This Row],[HarvestingDate]]</f>
        <v>117545803</v>
      </c>
    </row>
    <row r="2430" spans="1:16">
      <c r="A2430" s="5">
        <v>45763</v>
      </c>
      <c r="B2430">
        <v>55</v>
      </c>
      <c r="C2430" t="s">
        <v>60</v>
      </c>
      <c r="D2430">
        <v>4</v>
      </c>
      <c r="E2430">
        <v>100</v>
      </c>
      <c r="F2430" t="s">
        <v>1</v>
      </c>
      <c r="G2430" s="6">
        <v>45812</v>
      </c>
      <c r="H2430">
        <v>49</v>
      </c>
      <c r="I2430">
        <f>ROUND(CompilDonnées[[#This Row],[CultureDuration_days]]/7,0)</f>
        <v>7</v>
      </c>
      <c r="J2430">
        <v>2495</v>
      </c>
      <c r="K2430" t="str">
        <f>_xlfn.CONCAT(WEEKNUM(CompilDonnées[[#This Row],[PlantationDate]]), " ", YEAR(CompilDonnées[[#This Row],[PlantationDate]]))</f>
        <v>16 2025</v>
      </c>
      <c r="L2430" t="str">
        <f>CONCATENATE(MONTH(CompilDonnées[[#This Row],[PlantationDate]])," ", YEAR(CompilDonnées[[#This Row],[PlantationDate]]))</f>
        <v>4 2025</v>
      </c>
      <c r="M2430" t="str">
        <f>CONCATENATE(MONTH(CompilDonnées[[#This Row],[HarvestingDate]])," ", YEAR(CompilDonnées[[#This Row],[HarvestingDate]]))</f>
        <v>6 2025</v>
      </c>
      <c r="N2430">
        <f>_xlfn.NUMBERVALUE(CompilDonnées[[#This Row],[FarmID]]&amp;CompilDonnées[[#This Row],[ModuleNumber]]&amp;CompilDonnées[[#This Row],[PlantationDate]])</f>
        <v>55445763</v>
      </c>
      <c r="O2430" t="str">
        <f>CompilDonnées[[#This Row],[FarmID]]&amp;CompilDonnées[[#This Row],[ModuleNumber]]</f>
        <v>554</v>
      </c>
      <c r="P2430" t="str">
        <f>CompilDonnées[[#This Row],[Ref_Module]]&amp;CompilDonnées[[#This Row],[HarvestingDate]]</f>
        <v>55445812</v>
      </c>
    </row>
    <row r="2431" spans="1:16">
      <c r="A2431" s="5">
        <v>45763</v>
      </c>
      <c r="B2431">
        <v>55</v>
      </c>
      <c r="C2431" t="s">
        <v>60</v>
      </c>
      <c r="D2431">
        <v>5</v>
      </c>
      <c r="E2431">
        <v>100</v>
      </c>
      <c r="F2431" t="s">
        <v>1</v>
      </c>
      <c r="G2431" s="6">
        <v>45812</v>
      </c>
      <c r="H2431">
        <v>49</v>
      </c>
      <c r="I2431">
        <f>ROUND(CompilDonnées[[#This Row],[CultureDuration_days]]/7,0)</f>
        <v>7</v>
      </c>
      <c r="J2431">
        <v>2415</v>
      </c>
      <c r="K2431" t="str">
        <f>_xlfn.CONCAT(WEEKNUM(CompilDonnées[[#This Row],[PlantationDate]]), " ", YEAR(CompilDonnées[[#This Row],[PlantationDate]]))</f>
        <v>16 2025</v>
      </c>
      <c r="L2431" t="str">
        <f>CONCATENATE(MONTH(CompilDonnées[[#This Row],[PlantationDate]])," ", YEAR(CompilDonnées[[#This Row],[PlantationDate]]))</f>
        <v>4 2025</v>
      </c>
      <c r="M2431" t="str">
        <f>CONCATENATE(MONTH(CompilDonnées[[#This Row],[HarvestingDate]])," ", YEAR(CompilDonnées[[#This Row],[HarvestingDate]]))</f>
        <v>6 2025</v>
      </c>
      <c r="N2431">
        <f>_xlfn.NUMBERVALUE(CompilDonnées[[#This Row],[FarmID]]&amp;CompilDonnées[[#This Row],[ModuleNumber]]&amp;CompilDonnées[[#This Row],[PlantationDate]])</f>
        <v>55545763</v>
      </c>
      <c r="O2431" t="str">
        <f>CompilDonnées[[#This Row],[FarmID]]&amp;CompilDonnées[[#This Row],[ModuleNumber]]</f>
        <v>555</v>
      </c>
      <c r="P2431" t="str">
        <f>CompilDonnées[[#This Row],[Ref_Module]]&amp;CompilDonnées[[#This Row],[HarvestingDate]]</f>
        <v>55545812</v>
      </c>
    </row>
    <row r="2432" spans="1:16">
      <c r="A2432" s="5">
        <v>45763</v>
      </c>
      <c r="B2432">
        <v>60</v>
      </c>
      <c r="C2432" t="s">
        <v>113</v>
      </c>
      <c r="D2432">
        <v>2</v>
      </c>
      <c r="E2432">
        <v>100</v>
      </c>
      <c r="F2432" t="s">
        <v>1</v>
      </c>
      <c r="G2432" s="6">
        <v>45805</v>
      </c>
      <c r="H2432">
        <v>42</v>
      </c>
      <c r="I2432">
        <f>ROUND(CompilDonnées[[#This Row],[CultureDuration_days]]/7,0)</f>
        <v>6</v>
      </c>
      <c r="J2432">
        <v>2462</v>
      </c>
      <c r="K2432" t="str">
        <f>_xlfn.CONCAT(WEEKNUM(CompilDonnées[[#This Row],[PlantationDate]]), " ", YEAR(CompilDonnées[[#This Row],[PlantationDate]]))</f>
        <v>16 2025</v>
      </c>
      <c r="L2432" t="str">
        <f>CONCATENATE(MONTH(CompilDonnées[[#This Row],[PlantationDate]])," ", YEAR(CompilDonnées[[#This Row],[PlantationDate]]))</f>
        <v>4 2025</v>
      </c>
      <c r="M2432" t="str">
        <f>CONCATENATE(MONTH(CompilDonnées[[#This Row],[HarvestingDate]])," ", YEAR(CompilDonnées[[#This Row],[HarvestingDate]]))</f>
        <v>5 2025</v>
      </c>
      <c r="N2432">
        <f>_xlfn.NUMBERVALUE(CompilDonnées[[#This Row],[FarmID]]&amp;CompilDonnées[[#This Row],[ModuleNumber]]&amp;CompilDonnées[[#This Row],[PlantationDate]])</f>
        <v>60245763</v>
      </c>
      <c r="O2432" t="str">
        <f>CompilDonnées[[#This Row],[FarmID]]&amp;CompilDonnées[[#This Row],[ModuleNumber]]</f>
        <v>602</v>
      </c>
      <c r="P2432" t="str">
        <f>CompilDonnées[[#This Row],[Ref_Module]]&amp;CompilDonnées[[#This Row],[HarvestingDate]]</f>
        <v>60245805</v>
      </c>
    </row>
    <row r="2433" spans="1:16">
      <c r="A2433" s="5">
        <v>45763</v>
      </c>
      <c r="B2433">
        <v>62</v>
      </c>
      <c r="C2433" t="s">
        <v>124</v>
      </c>
      <c r="D2433">
        <v>5</v>
      </c>
      <c r="E2433">
        <v>100</v>
      </c>
      <c r="F2433" t="s">
        <v>1</v>
      </c>
      <c r="G2433" s="6">
        <v>45812</v>
      </c>
      <c r="H2433">
        <v>49</v>
      </c>
      <c r="I2433">
        <f>ROUND(CompilDonnées[[#This Row],[CultureDuration_days]]/7,0)</f>
        <v>7</v>
      </c>
      <c r="J2433">
        <v>2831</v>
      </c>
      <c r="K2433" t="str">
        <f>_xlfn.CONCAT(WEEKNUM(CompilDonnées[[#This Row],[PlantationDate]]), " ", YEAR(CompilDonnées[[#This Row],[PlantationDate]]))</f>
        <v>16 2025</v>
      </c>
      <c r="L2433" t="str">
        <f>CONCATENATE(MONTH(CompilDonnées[[#This Row],[PlantationDate]])," ", YEAR(CompilDonnées[[#This Row],[PlantationDate]]))</f>
        <v>4 2025</v>
      </c>
      <c r="M2433" t="str">
        <f>CONCATENATE(MONTH(CompilDonnées[[#This Row],[HarvestingDate]])," ", YEAR(CompilDonnées[[#This Row],[HarvestingDate]]))</f>
        <v>6 2025</v>
      </c>
      <c r="N2433">
        <f>_xlfn.NUMBERVALUE(CompilDonnées[[#This Row],[FarmID]]&amp;CompilDonnées[[#This Row],[ModuleNumber]]&amp;CompilDonnées[[#This Row],[PlantationDate]])</f>
        <v>62545763</v>
      </c>
      <c r="O2433" t="str">
        <f>CompilDonnées[[#This Row],[FarmID]]&amp;CompilDonnées[[#This Row],[ModuleNumber]]</f>
        <v>625</v>
      </c>
      <c r="P2433" t="str">
        <f>CompilDonnées[[#This Row],[Ref_Module]]&amp;CompilDonnées[[#This Row],[HarvestingDate]]</f>
        <v>62545812</v>
      </c>
    </row>
    <row r="2434" spans="1:16">
      <c r="A2434" s="5">
        <v>45763</v>
      </c>
      <c r="B2434">
        <v>63</v>
      </c>
      <c r="C2434" t="s">
        <v>98</v>
      </c>
      <c r="D2434">
        <v>6</v>
      </c>
      <c r="E2434">
        <v>100</v>
      </c>
      <c r="F2434" t="s">
        <v>1</v>
      </c>
      <c r="G2434" s="6">
        <v>45805</v>
      </c>
      <c r="H2434">
        <v>42</v>
      </c>
      <c r="I2434">
        <f>ROUND(CompilDonnées[[#This Row],[CultureDuration_days]]/7,0)</f>
        <v>6</v>
      </c>
      <c r="J2434">
        <v>1737</v>
      </c>
      <c r="K2434" t="str">
        <f>_xlfn.CONCAT(WEEKNUM(CompilDonnées[[#This Row],[PlantationDate]]), " ", YEAR(CompilDonnées[[#This Row],[PlantationDate]]))</f>
        <v>16 2025</v>
      </c>
      <c r="L2434" t="str">
        <f>CONCATENATE(MONTH(CompilDonnées[[#This Row],[PlantationDate]])," ", YEAR(CompilDonnées[[#This Row],[PlantationDate]]))</f>
        <v>4 2025</v>
      </c>
      <c r="M2434" t="str">
        <f>CONCATENATE(MONTH(CompilDonnées[[#This Row],[HarvestingDate]])," ", YEAR(CompilDonnées[[#This Row],[HarvestingDate]]))</f>
        <v>5 2025</v>
      </c>
      <c r="N2434">
        <f>_xlfn.NUMBERVALUE(CompilDonnées[[#This Row],[FarmID]]&amp;CompilDonnées[[#This Row],[ModuleNumber]]&amp;CompilDonnées[[#This Row],[PlantationDate]])</f>
        <v>63645763</v>
      </c>
      <c r="O2434" t="str">
        <f>CompilDonnées[[#This Row],[FarmID]]&amp;CompilDonnées[[#This Row],[ModuleNumber]]</f>
        <v>636</v>
      </c>
      <c r="P2434" t="str">
        <f>CompilDonnées[[#This Row],[Ref_Module]]&amp;CompilDonnées[[#This Row],[HarvestingDate]]</f>
        <v>63645805</v>
      </c>
    </row>
    <row r="2435" spans="1:16">
      <c r="A2435" s="5">
        <v>45763</v>
      </c>
      <c r="B2435">
        <v>68</v>
      </c>
      <c r="C2435" t="s">
        <v>89</v>
      </c>
      <c r="D2435">
        <v>2</v>
      </c>
      <c r="E2435">
        <v>100</v>
      </c>
      <c r="F2435" t="s">
        <v>1</v>
      </c>
      <c r="G2435" s="6">
        <v>45797</v>
      </c>
      <c r="H2435">
        <v>34</v>
      </c>
      <c r="I2435">
        <f>ROUND(CompilDonnées[[#This Row],[CultureDuration_days]]/7,0)</f>
        <v>5</v>
      </c>
      <c r="J2435">
        <v>2147</v>
      </c>
      <c r="K2435" t="str">
        <f>_xlfn.CONCAT(WEEKNUM(CompilDonnées[[#This Row],[PlantationDate]]), " ", YEAR(CompilDonnées[[#This Row],[PlantationDate]]))</f>
        <v>16 2025</v>
      </c>
      <c r="L2435" t="str">
        <f>CONCATENATE(MONTH(CompilDonnées[[#This Row],[PlantationDate]])," ", YEAR(CompilDonnées[[#This Row],[PlantationDate]]))</f>
        <v>4 2025</v>
      </c>
      <c r="M2435" t="str">
        <f>CONCATENATE(MONTH(CompilDonnées[[#This Row],[HarvestingDate]])," ", YEAR(CompilDonnées[[#This Row],[HarvestingDate]]))</f>
        <v>5 2025</v>
      </c>
      <c r="N2435">
        <f>_xlfn.NUMBERVALUE(CompilDonnées[[#This Row],[FarmID]]&amp;CompilDonnées[[#This Row],[ModuleNumber]]&amp;CompilDonnées[[#This Row],[PlantationDate]])</f>
        <v>68245763</v>
      </c>
      <c r="O2435" t="str">
        <f>CompilDonnées[[#This Row],[FarmID]]&amp;CompilDonnées[[#This Row],[ModuleNumber]]</f>
        <v>682</v>
      </c>
      <c r="P2435" t="str">
        <f>CompilDonnées[[#This Row],[Ref_Module]]&amp;CompilDonnées[[#This Row],[HarvestingDate]]</f>
        <v>68245797</v>
      </c>
    </row>
    <row r="2436" spans="1:16">
      <c r="A2436" s="5">
        <v>45763</v>
      </c>
      <c r="B2436">
        <v>68</v>
      </c>
      <c r="C2436" t="s">
        <v>89</v>
      </c>
      <c r="D2436">
        <v>3</v>
      </c>
      <c r="E2436">
        <v>100</v>
      </c>
      <c r="F2436" t="s">
        <v>1</v>
      </c>
      <c r="G2436" s="6">
        <v>45807</v>
      </c>
      <c r="H2436">
        <v>44</v>
      </c>
      <c r="I2436">
        <f>ROUND(CompilDonnées[[#This Row],[CultureDuration_days]]/7,0)</f>
        <v>6</v>
      </c>
      <c r="J2436">
        <v>1656</v>
      </c>
      <c r="K2436" t="str">
        <f>_xlfn.CONCAT(WEEKNUM(CompilDonnées[[#This Row],[PlantationDate]]), " ", YEAR(CompilDonnées[[#This Row],[PlantationDate]]))</f>
        <v>16 2025</v>
      </c>
      <c r="L2436" t="str">
        <f>CONCATENATE(MONTH(CompilDonnées[[#This Row],[PlantationDate]])," ", YEAR(CompilDonnées[[#This Row],[PlantationDate]]))</f>
        <v>4 2025</v>
      </c>
      <c r="M2436" t="str">
        <f>CONCATENATE(MONTH(CompilDonnées[[#This Row],[HarvestingDate]])," ", YEAR(CompilDonnées[[#This Row],[HarvestingDate]]))</f>
        <v>5 2025</v>
      </c>
      <c r="N2436">
        <f>_xlfn.NUMBERVALUE(CompilDonnées[[#This Row],[FarmID]]&amp;CompilDonnées[[#This Row],[ModuleNumber]]&amp;CompilDonnées[[#This Row],[PlantationDate]])</f>
        <v>68345763</v>
      </c>
      <c r="O2436" t="str">
        <f>CompilDonnées[[#This Row],[FarmID]]&amp;CompilDonnées[[#This Row],[ModuleNumber]]</f>
        <v>683</v>
      </c>
      <c r="P2436" t="str">
        <f>CompilDonnées[[#This Row],[Ref_Module]]&amp;CompilDonnées[[#This Row],[HarvestingDate]]</f>
        <v>68345807</v>
      </c>
    </row>
    <row r="2437" spans="1:16">
      <c r="A2437" s="5">
        <v>45763</v>
      </c>
      <c r="B2437">
        <v>70</v>
      </c>
      <c r="C2437" t="s">
        <v>7</v>
      </c>
      <c r="D2437">
        <v>5</v>
      </c>
      <c r="E2437">
        <v>100</v>
      </c>
      <c r="F2437" t="s">
        <v>1</v>
      </c>
      <c r="G2437" s="6">
        <v>45813</v>
      </c>
      <c r="H2437">
        <v>50</v>
      </c>
      <c r="I2437">
        <f>ROUND(CompilDonnées[[#This Row],[CultureDuration_days]]/7,0)</f>
        <v>7</v>
      </c>
      <c r="J2437">
        <v>2094</v>
      </c>
      <c r="K2437" t="str">
        <f>_xlfn.CONCAT(WEEKNUM(CompilDonnées[[#This Row],[PlantationDate]]), " ", YEAR(CompilDonnées[[#This Row],[PlantationDate]]))</f>
        <v>16 2025</v>
      </c>
      <c r="L2437" t="str">
        <f>CONCATENATE(MONTH(CompilDonnées[[#This Row],[PlantationDate]])," ", YEAR(CompilDonnées[[#This Row],[PlantationDate]]))</f>
        <v>4 2025</v>
      </c>
      <c r="M2437" t="str">
        <f>CONCATENATE(MONTH(CompilDonnées[[#This Row],[HarvestingDate]])," ", YEAR(CompilDonnées[[#This Row],[HarvestingDate]]))</f>
        <v>6 2025</v>
      </c>
      <c r="N2437">
        <f>_xlfn.NUMBERVALUE(CompilDonnées[[#This Row],[FarmID]]&amp;CompilDonnées[[#This Row],[ModuleNumber]]&amp;CompilDonnées[[#This Row],[PlantationDate]])</f>
        <v>70545763</v>
      </c>
      <c r="O2437" t="str">
        <f>CompilDonnées[[#This Row],[FarmID]]&amp;CompilDonnées[[#This Row],[ModuleNumber]]</f>
        <v>705</v>
      </c>
      <c r="P2437" t="str">
        <f>CompilDonnées[[#This Row],[Ref_Module]]&amp;CompilDonnées[[#This Row],[HarvestingDate]]</f>
        <v>70545813</v>
      </c>
    </row>
    <row r="2438" spans="1:16">
      <c r="A2438" s="5">
        <v>45763</v>
      </c>
      <c r="B2438">
        <v>71</v>
      </c>
      <c r="C2438" t="s">
        <v>19</v>
      </c>
      <c r="D2438">
        <v>4</v>
      </c>
      <c r="E2438">
        <v>100</v>
      </c>
      <c r="F2438" t="s">
        <v>1</v>
      </c>
      <c r="G2438" s="6">
        <v>45805</v>
      </c>
      <c r="H2438">
        <v>42</v>
      </c>
      <c r="I2438">
        <f>ROUND(CompilDonnées[[#This Row],[CultureDuration_days]]/7,0)</f>
        <v>6</v>
      </c>
      <c r="J2438">
        <v>2309</v>
      </c>
      <c r="K2438" t="str">
        <f>_xlfn.CONCAT(WEEKNUM(CompilDonnées[[#This Row],[PlantationDate]]), " ", YEAR(CompilDonnées[[#This Row],[PlantationDate]]))</f>
        <v>16 2025</v>
      </c>
      <c r="L2438" t="str">
        <f>CONCATENATE(MONTH(CompilDonnées[[#This Row],[PlantationDate]])," ", YEAR(CompilDonnées[[#This Row],[PlantationDate]]))</f>
        <v>4 2025</v>
      </c>
      <c r="M2438" t="str">
        <f>CONCATENATE(MONTH(CompilDonnées[[#This Row],[HarvestingDate]])," ", YEAR(CompilDonnées[[#This Row],[HarvestingDate]]))</f>
        <v>5 2025</v>
      </c>
      <c r="N2438">
        <f>_xlfn.NUMBERVALUE(CompilDonnées[[#This Row],[FarmID]]&amp;CompilDonnées[[#This Row],[ModuleNumber]]&amp;CompilDonnées[[#This Row],[PlantationDate]])</f>
        <v>71445763</v>
      </c>
      <c r="O2438" t="str">
        <f>CompilDonnées[[#This Row],[FarmID]]&amp;CompilDonnées[[#This Row],[ModuleNumber]]</f>
        <v>714</v>
      </c>
      <c r="P2438" t="str">
        <f>CompilDonnées[[#This Row],[Ref_Module]]&amp;CompilDonnées[[#This Row],[HarvestingDate]]</f>
        <v>71445805</v>
      </c>
    </row>
    <row r="2439" spans="1:16">
      <c r="A2439" s="5">
        <v>45763</v>
      </c>
      <c r="B2439">
        <v>72</v>
      </c>
      <c r="C2439" t="s">
        <v>49</v>
      </c>
      <c r="D2439">
        <v>5</v>
      </c>
      <c r="E2439">
        <v>100</v>
      </c>
      <c r="F2439" t="s">
        <v>1</v>
      </c>
      <c r="G2439" s="6">
        <v>45804</v>
      </c>
      <c r="H2439">
        <v>41</v>
      </c>
      <c r="I2439">
        <f>ROUND(CompilDonnées[[#This Row],[CultureDuration_days]]/7,0)</f>
        <v>6</v>
      </c>
      <c r="J2439">
        <v>2092</v>
      </c>
      <c r="K2439" t="str">
        <f>_xlfn.CONCAT(WEEKNUM(CompilDonnées[[#This Row],[PlantationDate]]), " ", YEAR(CompilDonnées[[#This Row],[PlantationDate]]))</f>
        <v>16 2025</v>
      </c>
      <c r="L2439" t="str">
        <f>CONCATENATE(MONTH(CompilDonnées[[#This Row],[PlantationDate]])," ", YEAR(CompilDonnées[[#This Row],[PlantationDate]]))</f>
        <v>4 2025</v>
      </c>
      <c r="M2439" t="str">
        <f>CONCATENATE(MONTH(CompilDonnées[[#This Row],[HarvestingDate]])," ", YEAR(CompilDonnées[[#This Row],[HarvestingDate]]))</f>
        <v>5 2025</v>
      </c>
      <c r="N2439">
        <f>_xlfn.NUMBERVALUE(CompilDonnées[[#This Row],[FarmID]]&amp;CompilDonnées[[#This Row],[ModuleNumber]]&amp;CompilDonnées[[#This Row],[PlantationDate]])</f>
        <v>72545763</v>
      </c>
      <c r="O2439" t="str">
        <f>CompilDonnées[[#This Row],[FarmID]]&amp;CompilDonnées[[#This Row],[ModuleNumber]]</f>
        <v>725</v>
      </c>
      <c r="P2439" t="str">
        <f>CompilDonnées[[#This Row],[Ref_Module]]&amp;CompilDonnées[[#This Row],[HarvestingDate]]</f>
        <v>72545804</v>
      </c>
    </row>
    <row r="2440" spans="1:16">
      <c r="A2440" s="5">
        <v>45763</v>
      </c>
      <c r="B2440">
        <v>74</v>
      </c>
      <c r="C2440" t="s">
        <v>21</v>
      </c>
      <c r="D2440">
        <v>1</v>
      </c>
      <c r="E2440">
        <v>100</v>
      </c>
      <c r="F2440" t="s">
        <v>1</v>
      </c>
      <c r="G2440" s="6">
        <v>45804</v>
      </c>
      <c r="H2440">
        <v>41</v>
      </c>
      <c r="I2440">
        <f>ROUND(CompilDonnées[[#This Row],[CultureDuration_days]]/7,0)</f>
        <v>6</v>
      </c>
      <c r="J2440">
        <v>2033</v>
      </c>
      <c r="K2440" t="str">
        <f>_xlfn.CONCAT(WEEKNUM(CompilDonnées[[#This Row],[PlantationDate]]), " ", YEAR(CompilDonnées[[#This Row],[PlantationDate]]))</f>
        <v>16 2025</v>
      </c>
      <c r="L2440" t="str">
        <f>CONCATENATE(MONTH(CompilDonnées[[#This Row],[PlantationDate]])," ", YEAR(CompilDonnées[[#This Row],[PlantationDate]]))</f>
        <v>4 2025</v>
      </c>
      <c r="M2440" t="str">
        <f>CONCATENATE(MONTH(CompilDonnées[[#This Row],[HarvestingDate]])," ", YEAR(CompilDonnées[[#This Row],[HarvestingDate]]))</f>
        <v>5 2025</v>
      </c>
      <c r="N2440">
        <f>_xlfn.NUMBERVALUE(CompilDonnées[[#This Row],[FarmID]]&amp;CompilDonnées[[#This Row],[ModuleNumber]]&amp;CompilDonnées[[#This Row],[PlantationDate]])</f>
        <v>74145763</v>
      </c>
      <c r="O2440" t="str">
        <f>CompilDonnées[[#This Row],[FarmID]]&amp;CompilDonnées[[#This Row],[ModuleNumber]]</f>
        <v>741</v>
      </c>
      <c r="P2440" t="str">
        <f>CompilDonnées[[#This Row],[Ref_Module]]&amp;CompilDonnées[[#This Row],[HarvestingDate]]</f>
        <v>74145804</v>
      </c>
    </row>
    <row r="2441" spans="1:16">
      <c r="A2441" s="5">
        <v>45763</v>
      </c>
      <c r="B2441">
        <v>75</v>
      </c>
      <c r="C2441" t="s">
        <v>3</v>
      </c>
      <c r="D2441">
        <v>4</v>
      </c>
      <c r="E2441">
        <v>60</v>
      </c>
      <c r="F2441" t="s">
        <v>105</v>
      </c>
      <c r="G2441" s="6">
        <v>45804</v>
      </c>
      <c r="H2441">
        <v>41</v>
      </c>
      <c r="I2441">
        <f>ROUND(CompilDonnées[[#This Row],[CultureDuration_days]]/7,0)</f>
        <v>6</v>
      </c>
      <c r="J2441">
        <v>1300</v>
      </c>
      <c r="K2441" t="str">
        <f>_xlfn.CONCAT(WEEKNUM(CompilDonnées[[#This Row],[PlantationDate]]), " ", YEAR(CompilDonnées[[#This Row],[PlantationDate]]))</f>
        <v>16 2025</v>
      </c>
      <c r="L2441" t="str">
        <f>CONCATENATE(MONTH(CompilDonnées[[#This Row],[PlantationDate]])," ", YEAR(CompilDonnées[[#This Row],[PlantationDate]]))</f>
        <v>4 2025</v>
      </c>
      <c r="M2441" t="str">
        <f>CONCATENATE(MONTH(CompilDonnées[[#This Row],[HarvestingDate]])," ", YEAR(CompilDonnées[[#This Row],[HarvestingDate]]))</f>
        <v>5 2025</v>
      </c>
      <c r="N2441">
        <f>_xlfn.NUMBERVALUE(CompilDonnées[[#This Row],[FarmID]]&amp;CompilDonnées[[#This Row],[ModuleNumber]]&amp;CompilDonnées[[#This Row],[PlantationDate]])</f>
        <v>75445763</v>
      </c>
      <c r="O2441" t="str">
        <f>CompilDonnées[[#This Row],[FarmID]]&amp;CompilDonnées[[#This Row],[ModuleNumber]]</f>
        <v>754</v>
      </c>
      <c r="P2441" t="str">
        <f>CompilDonnées[[#This Row],[Ref_Module]]&amp;CompilDonnées[[#This Row],[HarvestingDate]]</f>
        <v>75445804</v>
      </c>
    </row>
    <row r="2442" spans="1:16">
      <c r="A2442" s="5">
        <v>45763</v>
      </c>
      <c r="B2442">
        <v>75</v>
      </c>
      <c r="C2442" t="s">
        <v>3</v>
      </c>
      <c r="D2442">
        <v>5</v>
      </c>
      <c r="E2442">
        <v>60</v>
      </c>
      <c r="F2442" t="s">
        <v>105</v>
      </c>
      <c r="G2442" s="6">
        <v>45804</v>
      </c>
      <c r="H2442">
        <v>41</v>
      </c>
      <c r="I2442">
        <f>ROUND(CompilDonnées[[#This Row],[CultureDuration_days]]/7,0)</f>
        <v>6</v>
      </c>
      <c r="J2442">
        <v>1350</v>
      </c>
      <c r="K2442" t="str">
        <f>_xlfn.CONCAT(WEEKNUM(CompilDonnées[[#This Row],[PlantationDate]]), " ", YEAR(CompilDonnées[[#This Row],[PlantationDate]]))</f>
        <v>16 2025</v>
      </c>
      <c r="L2442" t="str">
        <f>CONCATENATE(MONTH(CompilDonnées[[#This Row],[PlantationDate]])," ", YEAR(CompilDonnées[[#This Row],[PlantationDate]]))</f>
        <v>4 2025</v>
      </c>
      <c r="M2442" t="str">
        <f>CONCATENATE(MONTH(CompilDonnées[[#This Row],[HarvestingDate]])," ", YEAR(CompilDonnées[[#This Row],[HarvestingDate]]))</f>
        <v>5 2025</v>
      </c>
      <c r="N2442">
        <f>_xlfn.NUMBERVALUE(CompilDonnées[[#This Row],[FarmID]]&amp;CompilDonnées[[#This Row],[ModuleNumber]]&amp;CompilDonnées[[#This Row],[PlantationDate]])</f>
        <v>75545763</v>
      </c>
      <c r="O2442" t="str">
        <f>CompilDonnées[[#This Row],[FarmID]]&amp;CompilDonnées[[#This Row],[ModuleNumber]]</f>
        <v>755</v>
      </c>
      <c r="P2442" t="str">
        <f>CompilDonnées[[#This Row],[Ref_Module]]&amp;CompilDonnées[[#This Row],[HarvestingDate]]</f>
        <v>75545804</v>
      </c>
    </row>
    <row r="2443" spans="1:16">
      <c r="A2443" s="5">
        <v>45763</v>
      </c>
      <c r="B2443">
        <v>75</v>
      </c>
      <c r="C2443" t="s">
        <v>3</v>
      </c>
      <c r="D2443">
        <v>6</v>
      </c>
      <c r="E2443">
        <v>60</v>
      </c>
      <c r="F2443" t="s">
        <v>105</v>
      </c>
      <c r="G2443" s="6">
        <v>45804</v>
      </c>
      <c r="H2443">
        <v>41</v>
      </c>
      <c r="I2443">
        <f>ROUND(CompilDonnées[[#This Row],[CultureDuration_days]]/7,0)</f>
        <v>6</v>
      </c>
      <c r="J2443">
        <v>1230</v>
      </c>
      <c r="K2443" t="str">
        <f>_xlfn.CONCAT(WEEKNUM(CompilDonnées[[#This Row],[PlantationDate]]), " ", YEAR(CompilDonnées[[#This Row],[PlantationDate]]))</f>
        <v>16 2025</v>
      </c>
      <c r="L2443" t="str">
        <f>CONCATENATE(MONTH(CompilDonnées[[#This Row],[PlantationDate]])," ", YEAR(CompilDonnées[[#This Row],[PlantationDate]]))</f>
        <v>4 2025</v>
      </c>
      <c r="M2443" t="str">
        <f>CONCATENATE(MONTH(CompilDonnées[[#This Row],[HarvestingDate]])," ", YEAR(CompilDonnées[[#This Row],[HarvestingDate]]))</f>
        <v>5 2025</v>
      </c>
      <c r="N2443">
        <f>_xlfn.NUMBERVALUE(CompilDonnées[[#This Row],[FarmID]]&amp;CompilDonnées[[#This Row],[ModuleNumber]]&amp;CompilDonnées[[#This Row],[PlantationDate]])</f>
        <v>75645763</v>
      </c>
      <c r="O2443" t="str">
        <f>CompilDonnées[[#This Row],[FarmID]]&amp;CompilDonnées[[#This Row],[ModuleNumber]]</f>
        <v>756</v>
      </c>
      <c r="P2443" t="str">
        <f>CompilDonnées[[#This Row],[Ref_Module]]&amp;CompilDonnées[[#This Row],[HarvestingDate]]</f>
        <v>75645804</v>
      </c>
    </row>
    <row r="2444" spans="1:16">
      <c r="A2444" s="5">
        <v>45763</v>
      </c>
      <c r="B2444">
        <v>76</v>
      </c>
      <c r="C2444" t="s">
        <v>18</v>
      </c>
      <c r="D2444">
        <v>2</v>
      </c>
      <c r="E2444">
        <v>100</v>
      </c>
      <c r="F2444" t="s">
        <v>1</v>
      </c>
      <c r="G2444" s="6">
        <v>45804</v>
      </c>
      <c r="H2444">
        <v>41</v>
      </c>
      <c r="I2444">
        <f>ROUND(CompilDonnées[[#This Row],[CultureDuration_days]]/7,0)</f>
        <v>6</v>
      </c>
      <c r="J2444">
        <v>2141</v>
      </c>
      <c r="K2444" t="str">
        <f>_xlfn.CONCAT(WEEKNUM(CompilDonnées[[#This Row],[PlantationDate]]), " ", YEAR(CompilDonnées[[#This Row],[PlantationDate]]))</f>
        <v>16 2025</v>
      </c>
      <c r="L2444" t="str">
        <f>CONCATENATE(MONTH(CompilDonnées[[#This Row],[PlantationDate]])," ", YEAR(CompilDonnées[[#This Row],[PlantationDate]]))</f>
        <v>4 2025</v>
      </c>
      <c r="M2444" t="str">
        <f>CONCATENATE(MONTH(CompilDonnées[[#This Row],[HarvestingDate]])," ", YEAR(CompilDonnées[[#This Row],[HarvestingDate]]))</f>
        <v>5 2025</v>
      </c>
      <c r="N2444">
        <f>_xlfn.NUMBERVALUE(CompilDonnées[[#This Row],[FarmID]]&amp;CompilDonnées[[#This Row],[ModuleNumber]]&amp;CompilDonnées[[#This Row],[PlantationDate]])</f>
        <v>76245763</v>
      </c>
      <c r="O2444" t="str">
        <f>CompilDonnées[[#This Row],[FarmID]]&amp;CompilDonnées[[#This Row],[ModuleNumber]]</f>
        <v>762</v>
      </c>
      <c r="P2444" t="str">
        <f>CompilDonnées[[#This Row],[Ref_Module]]&amp;CompilDonnées[[#This Row],[HarvestingDate]]</f>
        <v>76245804</v>
      </c>
    </row>
    <row r="2445" spans="1:16">
      <c r="A2445" s="5">
        <v>45763</v>
      </c>
      <c r="B2445">
        <v>77</v>
      </c>
      <c r="C2445" t="s">
        <v>75</v>
      </c>
      <c r="D2445">
        <v>2</v>
      </c>
      <c r="E2445">
        <v>100</v>
      </c>
      <c r="F2445" t="s">
        <v>1</v>
      </c>
      <c r="G2445" s="6">
        <v>45813</v>
      </c>
      <c r="H2445">
        <v>50</v>
      </c>
      <c r="I2445">
        <f>ROUND(CompilDonnées[[#This Row],[CultureDuration_days]]/7,0)</f>
        <v>7</v>
      </c>
      <c r="J2445">
        <v>2581</v>
      </c>
      <c r="K2445" t="str">
        <f>_xlfn.CONCAT(WEEKNUM(CompilDonnées[[#This Row],[PlantationDate]]), " ", YEAR(CompilDonnées[[#This Row],[PlantationDate]]))</f>
        <v>16 2025</v>
      </c>
      <c r="L2445" t="str">
        <f>CONCATENATE(MONTH(CompilDonnées[[#This Row],[PlantationDate]])," ", YEAR(CompilDonnées[[#This Row],[PlantationDate]]))</f>
        <v>4 2025</v>
      </c>
      <c r="M2445" t="str">
        <f>CONCATENATE(MONTH(CompilDonnées[[#This Row],[HarvestingDate]])," ", YEAR(CompilDonnées[[#This Row],[HarvestingDate]]))</f>
        <v>6 2025</v>
      </c>
      <c r="N2445">
        <f>_xlfn.NUMBERVALUE(CompilDonnées[[#This Row],[FarmID]]&amp;CompilDonnées[[#This Row],[ModuleNumber]]&amp;CompilDonnées[[#This Row],[PlantationDate]])</f>
        <v>77245763</v>
      </c>
      <c r="O2445" t="str">
        <f>CompilDonnées[[#This Row],[FarmID]]&amp;CompilDonnées[[#This Row],[ModuleNumber]]</f>
        <v>772</v>
      </c>
      <c r="P2445" t="str">
        <f>CompilDonnées[[#This Row],[Ref_Module]]&amp;CompilDonnées[[#This Row],[HarvestingDate]]</f>
        <v>77245813</v>
      </c>
    </row>
    <row r="2446" spans="1:16">
      <c r="A2446" s="5">
        <v>45763</v>
      </c>
      <c r="B2446">
        <v>79</v>
      </c>
      <c r="C2446" t="s">
        <v>61</v>
      </c>
      <c r="D2446">
        <v>5</v>
      </c>
      <c r="E2446">
        <v>100</v>
      </c>
      <c r="F2446" t="s">
        <v>1</v>
      </c>
      <c r="G2446" s="6">
        <v>45804</v>
      </c>
      <c r="H2446">
        <v>41</v>
      </c>
      <c r="I2446">
        <f>ROUND(CompilDonnées[[#This Row],[CultureDuration_days]]/7,0)</f>
        <v>6</v>
      </c>
      <c r="J2446">
        <v>1910</v>
      </c>
      <c r="K2446" t="str">
        <f>_xlfn.CONCAT(WEEKNUM(CompilDonnées[[#This Row],[PlantationDate]]), " ", YEAR(CompilDonnées[[#This Row],[PlantationDate]]))</f>
        <v>16 2025</v>
      </c>
      <c r="L2446" t="str">
        <f>CONCATENATE(MONTH(CompilDonnées[[#This Row],[PlantationDate]])," ", YEAR(CompilDonnées[[#This Row],[PlantationDate]]))</f>
        <v>4 2025</v>
      </c>
      <c r="M2446" t="str">
        <f>CONCATENATE(MONTH(CompilDonnées[[#This Row],[HarvestingDate]])," ", YEAR(CompilDonnées[[#This Row],[HarvestingDate]]))</f>
        <v>5 2025</v>
      </c>
      <c r="N2446">
        <f>_xlfn.NUMBERVALUE(CompilDonnées[[#This Row],[FarmID]]&amp;CompilDonnées[[#This Row],[ModuleNumber]]&amp;CompilDonnées[[#This Row],[PlantationDate]])</f>
        <v>79545763</v>
      </c>
      <c r="O2446" t="str">
        <f>CompilDonnées[[#This Row],[FarmID]]&amp;CompilDonnées[[#This Row],[ModuleNumber]]</f>
        <v>795</v>
      </c>
      <c r="P2446" t="str">
        <f>CompilDonnées[[#This Row],[Ref_Module]]&amp;CompilDonnées[[#This Row],[HarvestingDate]]</f>
        <v>79545804</v>
      </c>
    </row>
    <row r="2447" spans="1:16">
      <c r="A2447" s="5">
        <v>45763</v>
      </c>
      <c r="B2447">
        <v>81</v>
      </c>
      <c r="C2447" t="s">
        <v>30</v>
      </c>
      <c r="D2447">
        <v>3</v>
      </c>
      <c r="E2447">
        <v>100</v>
      </c>
      <c r="F2447" t="s">
        <v>1</v>
      </c>
      <c r="G2447" s="6">
        <v>45804</v>
      </c>
      <c r="H2447">
        <v>41</v>
      </c>
      <c r="I2447">
        <f>ROUND(CompilDonnées[[#This Row],[CultureDuration_days]]/7,0)</f>
        <v>6</v>
      </c>
      <c r="J2447">
        <v>2327</v>
      </c>
      <c r="K2447" t="str">
        <f>_xlfn.CONCAT(WEEKNUM(CompilDonnées[[#This Row],[PlantationDate]]), " ", YEAR(CompilDonnées[[#This Row],[PlantationDate]]))</f>
        <v>16 2025</v>
      </c>
      <c r="L2447" t="str">
        <f>CONCATENATE(MONTH(CompilDonnées[[#This Row],[PlantationDate]])," ", YEAR(CompilDonnées[[#This Row],[PlantationDate]]))</f>
        <v>4 2025</v>
      </c>
      <c r="M2447" t="str">
        <f>CONCATENATE(MONTH(CompilDonnées[[#This Row],[HarvestingDate]])," ", YEAR(CompilDonnées[[#This Row],[HarvestingDate]]))</f>
        <v>5 2025</v>
      </c>
      <c r="N2447">
        <f>_xlfn.NUMBERVALUE(CompilDonnées[[#This Row],[FarmID]]&amp;CompilDonnées[[#This Row],[ModuleNumber]]&amp;CompilDonnées[[#This Row],[PlantationDate]])</f>
        <v>81345763</v>
      </c>
      <c r="O2447" t="str">
        <f>CompilDonnées[[#This Row],[FarmID]]&amp;CompilDonnées[[#This Row],[ModuleNumber]]</f>
        <v>813</v>
      </c>
      <c r="P2447" t="str">
        <f>CompilDonnées[[#This Row],[Ref_Module]]&amp;CompilDonnées[[#This Row],[HarvestingDate]]</f>
        <v>81345804</v>
      </c>
    </row>
    <row r="2448" spans="1:16">
      <c r="A2448" s="5">
        <v>45763</v>
      </c>
      <c r="B2448">
        <v>83</v>
      </c>
      <c r="C2448" t="s">
        <v>73</v>
      </c>
      <c r="D2448">
        <v>1</v>
      </c>
      <c r="E2448">
        <v>100</v>
      </c>
      <c r="F2448" t="s">
        <v>1</v>
      </c>
      <c r="G2448" s="6">
        <v>45804</v>
      </c>
      <c r="H2448">
        <v>41</v>
      </c>
      <c r="I2448">
        <f>ROUND(CompilDonnées[[#This Row],[CultureDuration_days]]/7,0)</f>
        <v>6</v>
      </c>
      <c r="J2448">
        <v>2152</v>
      </c>
      <c r="K2448" t="str">
        <f>_xlfn.CONCAT(WEEKNUM(CompilDonnées[[#This Row],[PlantationDate]]), " ", YEAR(CompilDonnées[[#This Row],[PlantationDate]]))</f>
        <v>16 2025</v>
      </c>
      <c r="L2448" t="str">
        <f>CONCATENATE(MONTH(CompilDonnées[[#This Row],[PlantationDate]])," ", YEAR(CompilDonnées[[#This Row],[PlantationDate]]))</f>
        <v>4 2025</v>
      </c>
      <c r="M2448" t="str">
        <f>CONCATENATE(MONTH(CompilDonnées[[#This Row],[HarvestingDate]])," ", YEAR(CompilDonnées[[#This Row],[HarvestingDate]]))</f>
        <v>5 2025</v>
      </c>
      <c r="N2448">
        <f>_xlfn.NUMBERVALUE(CompilDonnées[[#This Row],[FarmID]]&amp;CompilDonnées[[#This Row],[ModuleNumber]]&amp;CompilDonnées[[#This Row],[PlantationDate]])</f>
        <v>83145763</v>
      </c>
      <c r="O2448" t="str">
        <f>CompilDonnées[[#This Row],[FarmID]]&amp;CompilDonnées[[#This Row],[ModuleNumber]]</f>
        <v>831</v>
      </c>
      <c r="P2448" t="str">
        <f>CompilDonnées[[#This Row],[Ref_Module]]&amp;CompilDonnées[[#This Row],[HarvestingDate]]</f>
        <v>83145804</v>
      </c>
    </row>
    <row r="2449" spans="1:16">
      <c r="A2449" s="5">
        <v>45763</v>
      </c>
      <c r="B2449">
        <v>85</v>
      </c>
      <c r="C2449" t="s">
        <v>56</v>
      </c>
      <c r="D2449">
        <v>1</v>
      </c>
      <c r="E2449">
        <v>100</v>
      </c>
      <c r="F2449" t="s">
        <v>1</v>
      </c>
      <c r="G2449" s="6">
        <v>45812</v>
      </c>
      <c r="H2449">
        <v>49</v>
      </c>
      <c r="I2449">
        <f>ROUND(CompilDonnées[[#This Row],[CultureDuration_days]]/7,0)</f>
        <v>7</v>
      </c>
      <c r="J2449">
        <v>2590</v>
      </c>
      <c r="K2449" t="str">
        <f>_xlfn.CONCAT(WEEKNUM(CompilDonnées[[#This Row],[PlantationDate]]), " ", YEAR(CompilDonnées[[#This Row],[PlantationDate]]))</f>
        <v>16 2025</v>
      </c>
      <c r="L2449" t="str">
        <f>CONCATENATE(MONTH(CompilDonnées[[#This Row],[PlantationDate]])," ", YEAR(CompilDonnées[[#This Row],[PlantationDate]]))</f>
        <v>4 2025</v>
      </c>
      <c r="M2449" t="str">
        <f>CONCATENATE(MONTH(CompilDonnées[[#This Row],[HarvestingDate]])," ", YEAR(CompilDonnées[[#This Row],[HarvestingDate]]))</f>
        <v>6 2025</v>
      </c>
      <c r="N2449">
        <f>_xlfn.NUMBERVALUE(CompilDonnées[[#This Row],[FarmID]]&amp;CompilDonnées[[#This Row],[ModuleNumber]]&amp;CompilDonnées[[#This Row],[PlantationDate]])</f>
        <v>85145763</v>
      </c>
      <c r="O2449" t="str">
        <f>CompilDonnées[[#This Row],[FarmID]]&amp;CompilDonnées[[#This Row],[ModuleNumber]]</f>
        <v>851</v>
      </c>
      <c r="P2449" t="str">
        <f>CompilDonnées[[#This Row],[Ref_Module]]&amp;CompilDonnées[[#This Row],[HarvestingDate]]</f>
        <v>85145812</v>
      </c>
    </row>
    <row r="2450" spans="1:16">
      <c r="A2450" s="5">
        <v>45763</v>
      </c>
      <c r="B2450">
        <v>96</v>
      </c>
      <c r="C2450" t="s">
        <v>125</v>
      </c>
      <c r="D2450">
        <v>2</v>
      </c>
      <c r="E2450">
        <v>100</v>
      </c>
      <c r="F2450" t="s">
        <v>1</v>
      </c>
      <c r="G2450" s="6">
        <v>45813</v>
      </c>
      <c r="H2450">
        <v>50</v>
      </c>
      <c r="I2450">
        <f>ROUND(CompilDonnées[[#This Row],[CultureDuration_days]]/7,0)</f>
        <v>7</v>
      </c>
      <c r="J2450">
        <v>2103</v>
      </c>
      <c r="K2450" t="str">
        <f>_xlfn.CONCAT(WEEKNUM(CompilDonnées[[#This Row],[PlantationDate]]), " ", YEAR(CompilDonnées[[#This Row],[PlantationDate]]))</f>
        <v>16 2025</v>
      </c>
      <c r="L2450" t="str">
        <f>CONCATENATE(MONTH(CompilDonnées[[#This Row],[PlantationDate]])," ", YEAR(CompilDonnées[[#This Row],[PlantationDate]]))</f>
        <v>4 2025</v>
      </c>
      <c r="M2450" t="str">
        <f>CONCATENATE(MONTH(CompilDonnées[[#This Row],[HarvestingDate]])," ", YEAR(CompilDonnées[[#This Row],[HarvestingDate]]))</f>
        <v>6 2025</v>
      </c>
      <c r="N2450">
        <f>_xlfn.NUMBERVALUE(CompilDonnées[[#This Row],[FarmID]]&amp;CompilDonnées[[#This Row],[ModuleNumber]]&amp;CompilDonnées[[#This Row],[PlantationDate]])</f>
        <v>96245763</v>
      </c>
      <c r="O2450" t="str">
        <f>CompilDonnées[[#This Row],[FarmID]]&amp;CompilDonnées[[#This Row],[ModuleNumber]]</f>
        <v>962</v>
      </c>
      <c r="P2450" t="str">
        <f>CompilDonnées[[#This Row],[Ref_Module]]&amp;CompilDonnées[[#This Row],[HarvestingDate]]</f>
        <v>96245813</v>
      </c>
    </row>
    <row r="2451" spans="1:16">
      <c r="A2451" s="5">
        <v>45763</v>
      </c>
      <c r="B2451">
        <v>98</v>
      </c>
      <c r="C2451" t="s">
        <v>79</v>
      </c>
      <c r="D2451">
        <v>5</v>
      </c>
      <c r="E2451">
        <v>100</v>
      </c>
      <c r="F2451" t="s">
        <v>1</v>
      </c>
      <c r="G2451" s="6">
        <v>45804</v>
      </c>
      <c r="H2451">
        <v>41</v>
      </c>
      <c r="I2451">
        <f>ROUND(CompilDonnées[[#This Row],[CultureDuration_days]]/7,0)</f>
        <v>6</v>
      </c>
      <c r="J2451">
        <v>2123</v>
      </c>
      <c r="K2451" t="str">
        <f>_xlfn.CONCAT(WEEKNUM(CompilDonnées[[#This Row],[PlantationDate]]), " ", YEAR(CompilDonnées[[#This Row],[PlantationDate]]))</f>
        <v>16 2025</v>
      </c>
      <c r="L2451" t="str">
        <f>CONCATENATE(MONTH(CompilDonnées[[#This Row],[PlantationDate]])," ", YEAR(CompilDonnées[[#This Row],[PlantationDate]]))</f>
        <v>4 2025</v>
      </c>
      <c r="M2451" t="str">
        <f>CONCATENATE(MONTH(CompilDonnées[[#This Row],[HarvestingDate]])," ", YEAR(CompilDonnées[[#This Row],[HarvestingDate]]))</f>
        <v>5 2025</v>
      </c>
      <c r="N2451">
        <f>_xlfn.NUMBERVALUE(CompilDonnées[[#This Row],[FarmID]]&amp;CompilDonnées[[#This Row],[ModuleNumber]]&amp;CompilDonnées[[#This Row],[PlantationDate]])</f>
        <v>98545763</v>
      </c>
      <c r="O2451" t="str">
        <f>CompilDonnées[[#This Row],[FarmID]]&amp;CompilDonnées[[#This Row],[ModuleNumber]]</f>
        <v>985</v>
      </c>
      <c r="P2451" t="str">
        <f>CompilDonnées[[#This Row],[Ref_Module]]&amp;CompilDonnées[[#This Row],[HarvestingDate]]</f>
        <v>98545804</v>
      </c>
    </row>
    <row r="2452" spans="1:16">
      <c r="A2452" s="5">
        <v>45763</v>
      </c>
      <c r="B2452">
        <v>123</v>
      </c>
      <c r="C2452" t="s">
        <v>13</v>
      </c>
      <c r="D2452">
        <v>2</v>
      </c>
      <c r="E2452">
        <v>100</v>
      </c>
      <c r="F2452" t="s">
        <v>1</v>
      </c>
      <c r="G2452" s="6">
        <v>45803</v>
      </c>
      <c r="H2452">
        <v>40</v>
      </c>
      <c r="I2452">
        <f>ROUND(CompilDonnées[[#This Row],[CultureDuration_days]]/7,0)</f>
        <v>6</v>
      </c>
      <c r="J2452">
        <v>2171</v>
      </c>
      <c r="K2452" t="str">
        <f>_xlfn.CONCAT(WEEKNUM(CompilDonnées[[#This Row],[PlantationDate]]), " ", YEAR(CompilDonnées[[#This Row],[PlantationDate]]))</f>
        <v>16 2025</v>
      </c>
      <c r="L2452" t="str">
        <f>CONCATENATE(MONTH(CompilDonnées[[#This Row],[PlantationDate]])," ", YEAR(CompilDonnées[[#This Row],[PlantationDate]]))</f>
        <v>4 2025</v>
      </c>
      <c r="M2452" t="str">
        <f>CONCATENATE(MONTH(CompilDonnées[[#This Row],[HarvestingDate]])," ", YEAR(CompilDonnées[[#This Row],[HarvestingDate]]))</f>
        <v>5 2025</v>
      </c>
      <c r="N2452">
        <f>_xlfn.NUMBERVALUE(CompilDonnées[[#This Row],[FarmID]]&amp;CompilDonnées[[#This Row],[ModuleNumber]]&amp;CompilDonnées[[#This Row],[PlantationDate]])</f>
        <v>123245763</v>
      </c>
      <c r="O2452" t="str">
        <f>CompilDonnées[[#This Row],[FarmID]]&amp;CompilDonnées[[#This Row],[ModuleNumber]]</f>
        <v>1232</v>
      </c>
      <c r="P2452" t="str">
        <f>CompilDonnées[[#This Row],[Ref_Module]]&amp;CompilDonnées[[#This Row],[HarvestingDate]]</f>
        <v>123245803</v>
      </c>
    </row>
    <row r="2453" spans="1:16">
      <c r="A2453" s="5">
        <v>45763</v>
      </c>
      <c r="B2453">
        <v>125</v>
      </c>
      <c r="C2453" t="s">
        <v>101</v>
      </c>
      <c r="D2453">
        <v>2</v>
      </c>
      <c r="E2453">
        <v>100</v>
      </c>
      <c r="F2453" t="s">
        <v>1</v>
      </c>
      <c r="G2453" s="6">
        <v>45800</v>
      </c>
      <c r="H2453">
        <v>37</v>
      </c>
      <c r="I2453">
        <f>ROUND(CompilDonnées[[#This Row],[CultureDuration_days]]/7,0)</f>
        <v>5</v>
      </c>
      <c r="J2453">
        <v>2347</v>
      </c>
      <c r="K2453" t="str">
        <f>_xlfn.CONCAT(WEEKNUM(CompilDonnées[[#This Row],[PlantationDate]]), " ", YEAR(CompilDonnées[[#This Row],[PlantationDate]]))</f>
        <v>16 2025</v>
      </c>
      <c r="L2453" t="str">
        <f>CONCATENATE(MONTH(CompilDonnées[[#This Row],[PlantationDate]])," ", YEAR(CompilDonnées[[#This Row],[PlantationDate]]))</f>
        <v>4 2025</v>
      </c>
      <c r="M2453" t="str">
        <f>CONCATENATE(MONTH(CompilDonnées[[#This Row],[HarvestingDate]])," ", YEAR(CompilDonnées[[#This Row],[HarvestingDate]]))</f>
        <v>5 2025</v>
      </c>
      <c r="N2453">
        <f>_xlfn.NUMBERVALUE(CompilDonnées[[#This Row],[FarmID]]&amp;CompilDonnées[[#This Row],[ModuleNumber]]&amp;CompilDonnées[[#This Row],[PlantationDate]])</f>
        <v>125245763</v>
      </c>
      <c r="O2453" t="str">
        <f>CompilDonnées[[#This Row],[FarmID]]&amp;CompilDonnées[[#This Row],[ModuleNumber]]</f>
        <v>1252</v>
      </c>
      <c r="P2453" t="str">
        <f>CompilDonnées[[#This Row],[Ref_Module]]&amp;CompilDonnées[[#This Row],[HarvestingDate]]</f>
        <v>125245800</v>
      </c>
    </row>
    <row r="2454" spans="1:16">
      <c r="A2454" s="5">
        <v>45763</v>
      </c>
      <c r="B2454">
        <v>126</v>
      </c>
      <c r="C2454" t="s">
        <v>52</v>
      </c>
      <c r="D2454">
        <v>5</v>
      </c>
      <c r="E2454">
        <v>100</v>
      </c>
      <c r="F2454" t="s">
        <v>1</v>
      </c>
      <c r="G2454" s="6">
        <v>45799</v>
      </c>
      <c r="H2454">
        <v>36</v>
      </c>
      <c r="I2454">
        <f>ROUND(CompilDonnées[[#This Row],[CultureDuration_days]]/7,0)</f>
        <v>5</v>
      </c>
      <c r="J2454">
        <v>2366</v>
      </c>
      <c r="K2454" t="str">
        <f>_xlfn.CONCAT(WEEKNUM(CompilDonnées[[#This Row],[PlantationDate]]), " ", YEAR(CompilDonnées[[#This Row],[PlantationDate]]))</f>
        <v>16 2025</v>
      </c>
      <c r="L2454" t="str">
        <f>CONCATENATE(MONTH(CompilDonnées[[#This Row],[PlantationDate]])," ", YEAR(CompilDonnées[[#This Row],[PlantationDate]]))</f>
        <v>4 2025</v>
      </c>
      <c r="M2454" t="str">
        <f>CONCATENATE(MONTH(CompilDonnées[[#This Row],[HarvestingDate]])," ", YEAR(CompilDonnées[[#This Row],[HarvestingDate]]))</f>
        <v>5 2025</v>
      </c>
      <c r="N2454">
        <f>_xlfn.NUMBERVALUE(CompilDonnées[[#This Row],[FarmID]]&amp;CompilDonnées[[#This Row],[ModuleNumber]]&amp;CompilDonnées[[#This Row],[PlantationDate]])</f>
        <v>126545763</v>
      </c>
      <c r="O2454" t="str">
        <f>CompilDonnées[[#This Row],[FarmID]]&amp;CompilDonnées[[#This Row],[ModuleNumber]]</f>
        <v>1265</v>
      </c>
      <c r="P2454" t="str">
        <f>CompilDonnées[[#This Row],[Ref_Module]]&amp;CompilDonnées[[#This Row],[HarvestingDate]]</f>
        <v>126545799</v>
      </c>
    </row>
    <row r="2455" spans="1:16">
      <c r="A2455" s="5">
        <v>45764</v>
      </c>
      <c r="B2455">
        <v>37</v>
      </c>
      <c r="C2455" t="s">
        <v>26</v>
      </c>
      <c r="D2455">
        <v>3</v>
      </c>
      <c r="E2455">
        <v>100</v>
      </c>
      <c r="F2455" t="s">
        <v>1</v>
      </c>
      <c r="G2455" s="6">
        <v>45811</v>
      </c>
      <c r="H2455">
        <v>47</v>
      </c>
      <c r="I2455">
        <f>ROUND(CompilDonnées[[#This Row],[CultureDuration_days]]/7,0)</f>
        <v>7</v>
      </c>
      <c r="J2455">
        <v>2161</v>
      </c>
      <c r="K2455" t="str">
        <f>_xlfn.CONCAT(WEEKNUM(CompilDonnées[[#This Row],[PlantationDate]]), " ", YEAR(CompilDonnées[[#This Row],[PlantationDate]]))</f>
        <v>16 2025</v>
      </c>
      <c r="L2455" t="str">
        <f>CONCATENATE(MONTH(CompilDonnées[[#This Row],[PlantationDate]])," ", YEAR(CompilDonnées[[#This Row],[PlantationDate]]))</f>
        <v>4 2025</v>
      </c>
      <c r="M2455" t="str">
        <f>CONCATENATE(MONTH(CompilDonnées[[#This Row],[HarvestingDate]])," ", YEAR(CompilDonnées[[#This Row],[HarvestingDate]]))</f>
        <v>6 2025</v>
      </c>
      <c r="N2455">
        <f>_xlfn.NUMBERVALUE(CompilDonnées[[#This Row],[FarmID]]&amp;CompilDonnées[[#This Row],[ModuleNumber]]&amp;CompilDonnées[[#This Row],[PlantationDate]])</f>
        <v>37345764</v>
      </c>
      <c r="O2455" t="str">
        <f>CompilDonnées[[#This Row],[FarmID]]&amp;CompilDonnées[[#This Row],[ModuleNumber]]</f>
        <v>373</v>
      </c>
      <c r="P2455" t="str">
        <f>CompilDonnées[[#This Row],[Ref_Module]]&amp;CompilDonnées[[#This Row],[HarvestingDate]]</f>
        <v>37345811</v>
      </c>
    </row>
    <row r="2456" spans="1:16">
      <c r="A2456" s="5">
        <v>45764</v>
      </c>
      <c r="B2456">
        <v>37</v>
      </c>
      <c r="C2456" t="s">
        <v>26</v>
      </c>
      <c r="D2456">
        <v>4</v>
      </c>
      <c r="E2456">
        <v>100</v>
      </c>
      <c r="F2456" t="s">
        <v>1</v>
      </c>
      <c r="G2456" s="6">
        <v>45813</v>
      </c>
      <c r="H2456">
        <v>49</v>
      </c>
      <c r="I2456">
        <f>ROUND(CompilDonnées[[#This Row],[CultureDuration_days]]/7,0)</f>
        <v>7</v>
      </c>
      <c r="J2456">
        <v>2304</v>
      </c>
      <c r="K2456" t="str">
        <f>_xlfn.CONCAT(WEEKNUM(CompilDonnées[[#This Row],[PlantationDate]]), " ", YEAR(CompilDonnées[[#This Row],[PlantationDate]]))</f>
        <v>16 2025</v>
      </c>
      <c r="L2456" t="str">
        <f>CONCATENATE(MONTH(CompilDonnées[[#This Row],[PlantationDate]])," ", YEAR(CompilDonnées[[#This Row],[PlantationDate]]))</f>
        <v>4 2025</v>
      </c>
      <c r="M2456" t="str">
        <f>CONCATENATE(MONTH(CompilDonnées[[#This Row],[HarvestingDate]])," ", YEAR(CompilDonnées[[#This Row],[HarvestingDate]]))</f>
        <v>6 2025</v>
      </c>
      <c r="N2456">
        <f>_xlfn.NUMBERVALUE(CompilDonnées[[#This Row],[FarmID]]&amp;CompilDonnées[[#This Row],[ModuleNumber]]&amp;CompilDonnées[[#This Row],[PlantationDate]])</f>
        <v>37445764</v>
      </c>
      <c r="O2456" t="str">
        <f>CompilDonnées[[#This Row],[FarmID]]&amp;CompilDonnées[[#This Row],[ModuleNumber]]</f>
        <v>374</v>
      </c>
      <c r="P2456" t="str">
        <f>CompilDonnées[[#This Row],[Ref_Module]]&amp;CompilDonnées[[#This Row],[HarvestingDate]]</f>
        <v>37445813</v>
      </c>
    </row>
    <row r="2457" spans="1:16">
      <c r="A2457" s="5">
        <v>45764</v>
      </c>
      <c r="B2457">
        <v>44</v>
      </c>
      <c r="C2457" t="s">
        <v>42</v>
      </c>
      <c r="D2457">
        <v>1</v>
      </c>
      <c r="E2457">
        <v>100</v>
      </c>
      <c r="F2457" t="s">
        <v>1</v>
      </c>
      <c r="G2457" s="6">
        <v>45813</v>
      </c>
      <c r="H2457">
        <v>49</v>
      </c>
      <c r="I2457">
        <f>ROUND(CompilDonnées[[#This Row],[CultureDuration_days]]/7,0)</f>
        <v>7</v>
      </c>
      <c r="J2457">
        <v>2722</v>
      </c>
      <c r="K2457" t="str">
        <f>_xlfn.CONCAT(WEEKNUM(CompilDonnées[[#This Row],[PlantationDate]]), " ", YEAR(CompilDonnées[[#This Row],[PlantationDate]]))</f>
        <v>16 2025</v>
      </c>
      <c r="L2457" t="str">
        <f>CONCATENATE(MONTH(CompilDonnées[[#This Row],[PlantationDate]])," ", YEAR(CompilDonnées[[#This Row],[PlantationDate]]))</f>
        <v>4 2025</v>
      </c>
      <c r="M2457" t="str">
        <f>CONCATENATE(MONTH(CompilDonnées[[#This Row],[HarvestingDate]])," ", YEAR(CompilDonnées[[#This Row],[HarvestingDate]]))</f>
        <v>6 2025</v>
      </c>
      <c r="N2457">
        <f>_xlfn.NUMBERVALUE(CompilDonnées[[#This Row],[FarmID]]&amp;CompilDonnées[[#This Row],[ModuleNumber]]&amp;CompilDonnées[[#This Row],[PlantationDate]])</f>
        <v>44145764</v>
      </c>
      <c r="O2457" t="str">
        <f>CompilDonnées[[#This Row],[FarmID]]&amp;CompilDonnées[[#This Row],[ModuleNumber]]</f>
        <v>441</v>
      </c>
      <c r="P2457" t="str">
        <f>CompilDonnées[[#This Row],[Ref_Module]]&amp;CompilDonnées[[#This Row],[HarvestingDate]]</f>
        <v>44145813</v>
      </c>
    </row>
    <row r="2458" spans="1:16">
      <c r="A2458" s="5">
        <v>45764</v>
      </c>
      <c r="B2458">
        <v>2</v>
      </c>
      <c r="C2458" t="s">
        <v>119</v>
      </c>
      <c r="D2458">
        <v>2</v>
      </c>
      <c r="E2458">
        <v>100</v>
      </c>
      <c r="F2458" t="s">
        <v>1</v>
      </c>
      <c r="G2458" s="6">
        <v>45807</v>
      </c>
      <c r="H2458">
        <v>43</v>
      </c>
      <c r="I2458">
        <f>ROUND(CompilDonnées[[#This Row],[CultureDuration_days]]/7,0)</f>
        <v>6</v>
      </c>
      <c r="J2458">
        <v>1853</v>
      </c>
      <c r="K2458" t="str">
        <f>_xlfn.CONCAT(WEEKNUM(CompilDonnées[[#This Row],[PlantationDate]]), " ", YEAR(CompilDonnées[[#This Row],[PlantationDate]]))</f>
        <v>16 2025</v>
      </c>
      <c r="L2458" t="str">
        <f>CONCATENATE(MONTH(CompilDonnées[[#This Row],[PlantationDate]])," ", YEAR(CompilDonnées[[#This Row],[PlantationDate]]))</f>
        <v>4 2025</v>
      </c>
      <c r="M2458" t="str">
        <f>CONCATENATE(MONTH(CompilDonnées[[#This Row],[HarvestingDate]])," ", YEAR(CompilDonnées[[#This Row],[HarvestingDate]]))</f>
        <v>5 2025</v>
      </c>
      <c r="N2458">
        <f>_xlfn.NUMBERVALUE(CompilDonnées[[#This Row],[FarmID]]&amp;CompilDonnées[[#This Row],[ModuleNumber]]&amp;CompilDonnées[[#This Row],[PlantationDate]])</f>
        <v>2245764</v>
      </c>
      <c r="O2458" t="str">
        <f>CompilDonnées[[#This Row],[FarmID]]&amp;CompilDonnées[[#This Row],[ModuleNumber]]</f>
        <v>22</v>
      </c>
      <c r="P2458" t="str">
        <f>CompilDonnées[[#This Row],[Ref_Module]]&amp;CompilDonnées[[#This Row],[HarvestingDate]]</f>
        <v>2245807</v>
      </c>
    </row>
    <row r="2459" spans="1:16">
      <c r="A2459" s="5">
        <v>45764</v>
      </c>
      <c r="B2459">
        <v>2</v>
      </c>
      <c r="C2459" t="s">
        <v>119</v>
      </c>
      <c r="D2459">
        <v>3</v>
      </c>
      <c r="E2459">
        <v>100</v>
      </c>
      <c r="F2459" t="s">
        <v>1</v>
      </c>
      <c r="G2459" s="6">
        <v>45807</v>
      </c>
      <c r="H2459">
        <v>43</v>
      </c>
      <c r="I2459">
        <f>ROUND(CompilDonnées[[#This Row],[CultureDuration_days]]/7,0)</f>
        <v>6</v>
      </c>
      <c r="J2459">
        <v>2119</v>
      </c>
      <c r="K2459" t="str">
        <f>_xlfn.CONCAT(WEEKNUM(CompilDonnées[[#This Row],[PlantationDate]]), " ", YEAR(CompilDonnées[[#This Row],[PlantationDate]]))</f>
        <v>16 2025</v>
      </c>
      <c r="L2459" t="str">
        <f>CONCATENATE(MONTH(CompilDonnées[[#This Row],[PlantationDate]])," ", YEAR(CompilDonnées[[#This Row],[PlantationDate]]))</f>
        <v>4 2025</v>
      </c>
      <c r="M2459" t="str">
        <f>CONCATENATE(MONTH(CompilDonnées[[#This Row],[HarvestingDate]])," ", YEAR(CompilDonnées[[#This Row],[HarvestingDate]]))</f>
        <v>5 2025</v>
      </c>
      <c r="N2459">
        <f>_xlfn.NUMBERVALUE(CompilDonnées[[#This Row],[FarmID]]&amp;CompilDonnées[[#This Row],[ModuleNumber]]&amp;CompilDonnées[[#This Row],[PlantationDate]])</f>
        <v>2345764</v>
      </c>
      <c r="O2459" t="str">
        <f>CompilDonnées[[#This Row],[FarmID]]&amp;CompilDonnées[[#This Row],[ModuleNumber]]</f>
        <v>23</v>
      </c>
      <c r="P2459" t="str">
        <f>CompilDonnées[[#This Row],[Ref_Module]]&amp;CompilDonnées[[#This Row],[HarvestingDate]]</f>
        <v>2345807</v>
      </c>
    </row>
    <row r="2460" spans="1:16">
      <c r="A2460" s="5">
        <v>45764</v>
      </c>
      <c r="B2460">
        <v>3</v>
      </c>
      <c r="C2460" t="s">
        <v>116</v>
      </c>
      <c r="D2460">
        <v>1</v>
      </c>
      <c r="E2460">
        <v>100</v>
      </c>
      <c r="F2460" t="s">
        <v>1</v>
      </c>
      <c r="G2460" s="6">
        <v>45807</v>
      </c>
      <c r="H2460">
        <v>43</v>
      </c>
      <c r="I2460">
        <f>ROUND(CompilDonnées[[#This Row],[CultureDuration_days]]/7,0)</f>
        <v>6</v>
      </c>
      <c r="J2460">
        <v>1832</v>
      </c>
      <c r="K2460" t="str">
        <f>_xlfn.CONCAT(WEEKNUM(CompilDonnées[[#This Row],[PlantationDate]]), " ", YEAR(CompilDonnées[[#This Row],[PlantationDate]]))</f>
        <v>16 2025</v>
      </c>
      <c r="L2460" t="str">
        <f>CONCATENATE(MONTH(CompilDonnées[[#This Row],[PlantationDate]])," ", YEAR(CompilDonnées[[#This Row],[PlantationDate]]))</f>
        <v>4 2025</v>
      </c>
      <c r="M2460" t="str">
        <f>CONCATENATE(MONTH(CompilDonnées[[#This Row],[HarvestingDate]])," ", YEAR(CompilDonnées[[#This Row],[HarvestingDate]]))</f>
        <v>5 2025</v>
      </c>
      <c r="N2460">
        <f>_xlfn.NUMBERVALUE(CompilDonnées[[#This Row],[FarmID]]&amp;CompilDonnées[[#This Row],[ModuleNumber]]&amp;CompilDonnées[[#This Row],[PlantationDate]])</f>
        <v>3145764</v>
      </c>
      <c r="O2460" t="str">
        <f>CompilDonnées[[#This Row],[FarmID]]&amp;CompilDonnées[[#This Row],[ModuleNumber]]</f>
        <v>31</v>
      </c>
      <c r="P2460" t="str">
        <f>CompilDonnées[[#This Row],[Ref_Module]]&amp;CompilDonnées[[#This Row],[HarvestingDate]]</f>
        <v>3145807</v>
      </c>
    </row>
    <row r="2461" spans="1:16">
      <c r="A2461" s="5">
        <v>45764</v>
      </c>
      <c r="B2461">
        <v>3</v>
      </c>
      <c r="C2461" t="s">
        <v>116</v>
      </c>
      <c r="D2461">
        <v>6</v>
      </c>
      <c r="E2461">
        <v>100</v>
      </c>
      <c r="F2461" t="s">
        <v>1</v>
      </c>
      <c r="G2461" s="6">
        <v>45811</v>
      </c>
      <c r="H2461">
        <v>47</v>
      </c>
      <c r="I2461">
        <f>ROUND(CompilDonnées[[#This Row],[CultureDuration_days]]/7,0)</f>
        <v>7</v>
      </c>
      <c r="J2461">
        <v>2188</v>
      </c>
      <c r="K2461" t="str">
        <f>_xlfn.CONCAT(WEEKNUM(CompilDonnées[[#This Row],[PlantationDate]]), " ", YEAR(CompilDonnées[[#This Row],[PlantationDate]]))</f>
        <v>16 2025</v>
      </c>
      <c r="L2461" t="str">
        <f>CONCATENATE(MONTH(CompilDonnées[[#This Row],[PlantationDate]])," ", YEAR(CompilDonnées[[#This Row],[PlantationDate]]))</f>
        <v>4 2025</v>
      </c>
      <c r="M2461" t="str">
        <f>CONCATENATE(MONTH(CompilDonnées[[#This Row],[HarvestingDate]])," ", YEAR(CompilDonnées[[#This Row],[HarvestingDate]]))</f>
        <v>6 2025</v>
      </c>
      <c r="N2461">
        <f>_xlfn.NUMBERVALUE(CompilDonnées[[#This Row],[FarmID]]&amp;CompilDonnées[[#This Row],[ModuleNumber]]&amp;CompilDonnées[[#This Row],[PlantationDate]])</f>
        <v>3645764</v>
      </c>
      <c r="O2461" t="str">
        <f>CompilDonnées[[#This Row],[FarmID]]&amp;CompilDonnées[[#This Row],[ModuleNumber]]</f>
        <v>36</v>
      </c>
      <c r="P2461" t="str">
        <f>CompilDonnées[[#This Row],[Ref_Module]]&amp;CompilDonnées[[#This Row],[HarvestingDate]]</f>
        <v>3645811</v>
      </c>
    </row>
    <row r="2462" spans="1:16">
      <c r="A2462" s="5">
        <v>45764</v>
      </c>
      <c r="B2462">
        <v>9</v>
      </c>
      <c r="C2462" t="s">
        <v>107</v>
      </c>
      <c r="D2462">
        <v>5</v>
      </c>
      <c r="E2462">
        <v>100</v>
      </c>
      <c r="F2462" t="s">
        <v>1</v>
      </c>
      <c r="G2462" s="6">
        <v>45806</v>
      </c>
      <c r="H2462">
        <v>42</v>
      </c>
      <c r="I2462">
        <f>ROUND(CompilDonnées[[#This Row],[CultureDuration_days]]/7,0)</f>
        <v>6</v>
      </c>
      <c r="J2462">
        <v>2370</v>
      </c>
      <c r="K2462" t="str">
        <f>_xlfn.CONCAT(WEEKNUM(CompilDonnées[[#This Row],[PlantationDate]]), " ", YEAR(CompilDonnées[[#This Row],[PlantationDate]]))</f>
        <v>16 2025</v>
      </c>
      <c r="L2462" t="str">
        <f>CONCATENATE(MONTH(CompilDonnées[[#This Row],[PlantationDate]])," ", YEAR(CompilDonnées[[#This Row],[PlantationDate]]))</f>
        <v>4 2025</v>
      </c>
      <c r="M2462" t="str">
        <f>CONCATENATE(MONTH(CompilDonnées[[#This Row],[HarvestingDate]])," ", YEAR(CompilDonnées[[#This Row],[HarvestingDate]]))</f>
        <v>5 2025</v>
      </c>
      <c r="N2462">
        <f>_xlfn.NUMBERVALUE(CompilDonnées[[#This Row],[FarmID]]&amp;CompilDonnées[[#This Row],[ModuleNumber]]&amp;CompilDonnées[[#This Row],[PlantationDate]])</f>
        <v>9545764</v>
      </c>
      <c r="O2462" t="str">
        <f>CompilDonnées[[#This Row],[FarmID]]&amp;CompilDonnées[[#This Row],[ModuleNumber]]</f>
        <v>95</v>
      </c>
      <c r="P2462" t="str">
        <f>CompilDonnées[[#This Row],[Ref_Module]]&amp;CompilDonnées[[#This Row],[HarvestingDate]]</f>
        <v>9545806</v>
      </c>
    </row>
    <row r="2463" spans="1:16">
      <c r="A2463" s="5">
        <v>45764</v>
      </c>
      <c r="B2463">
        <v>9</v>
      </c>
      <c r="C2463" t="s">
        <v>107</v>
      </c>
      <c r="D2463">
        <v>6</v>
      </c>
      <c r="E2463">
        <v>100</v>
      </c>
      <c r="F2463" t="s">
        <v>1</v>
      </c>
      <c r="G2463" s="6">
        <v>45806</v>
      </c>
      <c r="H2463">
        <v>42</v>
      </c>
      <c r="I2463">
        <f>ROUND(CompilDonnées[[#This Row],[CultureDuration_days]]/7,0)</f>
        <v>6</v>
      </c>
      <c r="J2463">
        <v>2523</v>
      </c>
      <c r="K2463" t="str">
        <f>_xlfn.CONCAT(WEEKNUM(CompilDonnées[[#This Row],[PlantationDate]]), " ", YEAR(CompilDonnées[[#This Row],[PlantationDate]]))</f>
        <v>16 2025</v>
      </c>
      <c r="L2463" t="str">
        <f>CONCATENATE(MONTH(CompilDonnées[[#This Row],[PlantationDate]])," ", YEAR(CompilDonnées[[#This Row],[PlantationDate]]))</f>
        <v>4 2025</v>
      </c>
      <c r="M2463" t="str">
        <f>CONCATENATE(MONTH(CompilDonnées[[#This Row],[HarvestingDate]])," ", YEAR(CompilDonnées[[#This Row],[HarvestingDate]]))</f>
        <v>5 2025</v>
      </c>
      <c r="N2463">
        <f>_xlfn.NUMBERVALUE(CompilDonnées[[#This Row],[FarmID]]&amp;CompilDonnées[[#This Row],[ModuleNumber]]&amp;CompilDonnées[[#This Row],[PlantationDate]])</f>
        <v>9645764</v>
      </c>
      <c r="O2463" t="str">
        <f>CompilDonnées[[#This Row],[FarmID]]&amp;CompilDonnées[[#This Row],[ModuleNumber]]</f>
        <v>96</v>
      </c>
      <c r="P2463" t="str">
        <f>CompilDonnées[[#This Row],[Ref_Module]]&amp;CompilDonnées[[#This Row],[HarvestingDate]]</f>
        <v>9645806</v>
      </c>
    </row>
    <row r="2464" spans="1:16">
      <c r="A2464" s="5">
        <v>45764</v>
      </c>
      <c r="B2464">
        <v>10</v>
      </c>
      <c r="C2464" t="s">
        <v>109</v>
      </c>
      <c r="D2464">
        <v>5</v>
      </c>
      <c r="E2464">
        <v>100</v>
      </c>
      <c r="F2464" t="s">
        <v>1</v>
      </c>
      <c r="G2464" s="6">
        <v>45811</v>
      </c>
      <c r="H2464">
        <v>47</v>
      </c>
      <c r="I2464">
        <f>ROUND(CompilDonnées[[#This Row],[CultureDuration_days]]/7,0)</f>
        <v>7</v>
      </c>
      <c r="J2464">
        <v>2515</v>
      </c>
      <c r="K2464" t="str">
        <f>_xlfn.CONCAT(WEEKNUM(CompilDonnées[[#This Row],[PlantationDate]]), " ", YEAR(CompilDonnées[[#This Row],[PlantationDate]]))</f>
        <v>16 2025</v>
      </c>
      <c r="L2464" t="str">
        <f>CONCATENATE(MONTH(CompilDonnées[[#This Row],[PlantationDate]])," ", YEAR(CompilDonnées[[#This Row],[PlantationDate]]))</f>
        <v>4 2025</v>
      </c>
      <c r="M2464" t="str">
        <f>CONCATENATE(MONTH(CompilDonnées[[#This Row],[HarvestingDate]])," ", YEAR(CompilDonnées[[#This Row],[HarvestingDate]]))</f>
        <v>6 2025</v>
      </c>
      <c r="N2464">
        <f>_xlfn.NUMBERVALUE(CompilDonnées[[#This Row],[FarmID]]&amp;CompilDonnées[[#This Row],[ModuleNumber]]&amp;CompilDonnées[[#This Row],[PlantationDate]])</f>
        <v>10545764</v>
      </c>
      <c r="O2464" t="str">
        <f>CompilDonnées[[#This Row],[FarmID]]&amp;CompilDonnées[[#This Row],[ModuleNumber]]</f>
        <v>105</v>
      </c>
      <c r="P2464" t="str">
        <f>CompilDonnées[[#This Row],[Ref_Module]]&amp;CompilDonnées[[#This Row],[HarvestingDate]]</f>
        <v>10545811</v>
      </c>
    </row>
    <row r="2465" spans="1:16">
      <c r="A2465" s="5">
        <v>45764</v>
      </c>
      <c r="B2465">
        <v>10</v>
      </c>
      <c r="C2465" t="s">
        <v>109</v>
      </c>
      <c r="D2465">
        <v>6</v>
      </c>
      <c r="E2465">
        <v>100</v>
      </c>
      <c r="F2465" t="s">
        <v>1</v>
      </c>
      <c r="G2465" s="6">
        <v>45811</v>
      </c>
      <c r="H2465">
        <v>47</v>
      </c>
      <c r="I2465">
        <f>ROUND(CompilDonnées[[#This Row],[CultureDuration_days]]/7,0)</f>
        <v>7</v>
      </c>
      <c r="J2465">
        <v>2592</v>
      </c>
      <c r="K2465" t="str">
        <f>_xlfn.CONCAT(WEEKNUM(CompilDonnées[[#This Row],[PlantationDate]]), " ", YEAR(CompilDonnées[[#This Row],[PlantationDate]]))</f>
        <v>16 2025</v>
      </c>
      <c r="L2465" t="str">
        <f>CONCATENATE(MONTH(CompilDonnées[[#This Row],[PlantationDate]])," ", YEAR(CompilDonnées[[#This Row],[PlantationDate]]))</f>
        <v>4 2025</v>
      </c>
      <c r="M2465" t="str">
        <f>CONCATENATE(MONTH(CompilDonnées[[#This Row],[HarvestingDate]])," ", YEAR(CompilDonnées[[#This Row],[HarvestingDate]]))</f>
        <v>6 2025</v>
      </c>
      <c r="N2465">
        <f>_xlfn.NUMBERVALUE(CompilDonnées[[#This Row],[FarmID]]&amp;CompilDonnées[[#This Row],[ModuleNumber]]&amp;CompilDonnées[[#This Row],[PlantationDate]])</f>
        <v>10645764</v>
      </c>
      <c r="O2465" t="str">
        <f>CompilDonnées[[#This Row],[FarmID]]&amp;CompilDonnées[[#This Row],[ModuleNumber]]</f>
        <v>106</v>
      </c>
      <c r="P2465" t="str">
        <f>CompilDonnées[[#This Row],[Ref_Module]]&amp;CompilDonnées[[#This Row],[HarvestingDate]]</f>
        <v>10645811</v>
      </c>
    </row>
    <row r="2466" spans="1:16">
      <c r="A2466" s="5">
        <v>45764</v>
      </c>
      <c r="B2466">
        <v>12</v>
      </c>
      <c r="C2466" t="s">
        <v>123</v>
      </c>
      <c r="D2466">
        <v>1</v>
      </c>
      <c r="E2466">
        <v>100</v>
      </c>
      <c r="F2466" t="s">
        <v>1</v>
      </c>
      <c r="G2466" s="6">
        <v>45811</v>
      </c>
      <c r="H2466">
        <v>47</v>
      </c>
      <c r="I2466">
        <f>ROUND(CompilDonnées[[#This Row],[CultureDuration_days]]/7,0)</f>
        <v>7</v>
      </c>
      <c r="J2466">
        <v>2454</v>
      </c>
      <c r="K2466" t="str">
        <f>_xlfn.CONCAT(WEEKNUM(CompilDonnées[[#This Row],[PlantationDate]]), " ", YEAR(CompilDonnées[[#This Row],[PlantationDate]]))</f>
        <v>16 2025</v>
      </c>
      <c r="L2466" t="str">
        <f>CONCATENATE(MONTH(CompilDonnées[[#This Row],[PlantationDate]])," ", YEAR(CompilDonnées[[#This Row],[PlantationDate]]))</f>
        <v>4 2025</v>
      </c>
      <c r="M2466" t="str">
        <f>CONCATENATE(MONTH(CompilDonnées[[#This Row],[HarvestingDate]])," ", YEAR(CompilDonnées[[#This Row],[HarvestingDate]]))</f>
        <v>6 2025</v>
      </c>
      <c r="N2466">
        <f>_xlfn.NUMBERVALUE(CompilDonnées[[#This Row],[FarmID]]&amp;CompilDonnées[[#This Row],[ModuleNumber]]&amp;CompilDonnées[[#This Row],[PlantationDate]])</f>
        <v>12145764</v>
      </c>
      <c r="O2466" t="str">
        <f>CompilDonnées[[#This Row],[FarmID]]&amp;CompilDonnées[[#This Row],[ModuleNumber]]</f>
        <v>121</v>
      </c>
      <c r="P2466" t="str">
        <f>CompilDonnées[[#This Row],[Ref_Module]]&amp;CompilDonnées[[#This Row],[HarvestingDate]]</f>
        <v>12145811</v>
      </c>
    </row>
    <row r="2467" spans="1:16">
      <c r="A2467" s="5">
        <v>45764</v>
      </c>
      <c r="B2467">
        <v>22</v>
      </c>
      <c r="C2467" t="s">
        <v>43</v>
      </c>
      <c r="D2467">
        <v>1</v>
      </c>
      <c r="E2467">
        <v>100</v>
      </c>
      <c r="F2467" t="s">
        <v>1</v>
      </c>
      <c r="G2467" s="6">
        <v>45811</v>
      </c>
      <c r="H2467">
        <v>47</v>
      </c>
      <c r="I2467">
        <f>ROUND(CompilDonnées[[#This Row],[CultureDuration_days]]/7,0)</f>
        <v>7</v>
      </c>
      <c r="J2467">
        <v>2575</v>
      </c>
      <c r="K2467" t="str">
        <f>_xlfn.CONCAT(WEEKNUM(CompilDonnées[[#This Row],[PlantationDate]]), " ", YEAR(CompilDonnées[[#This Row],[PlantationDate]]))</f>
        <v>16 2025</v>
      </c>
      <c r="L2467" t="str">
        <f>CONCATENATE(MONTH(CompilDonnées[[#This Row],[PlantationDate]])," ", YEAR(CompilDonnées[[#This Row],[PlantationDate]]))</f>
        <v>4 2025</v>
      </c>
      <c r="M2467" t="str">
        <f>CONCATENATE(MONTH(CompilDonnées[[#This Row],[HarvestingDate]])," ", YEAR(CompilDonnées[[#This Row],[HarvestingDate]]))</f>
        <v>6 2025</v>
      </c>
      <c r="N2467">
        <f>_xlfn.NUMBERVALUE(CompilDonnées[[#This Row],[FarmID]]&amp;CompilDonnées[[#This Row],[ModuleNumber]]&amp;CompilDonnées[[#This Row],[PlantationDate]])</f>
        <v>22145764</v>
      </c>
      <c r="O2467" t="str">
        <f>CompilDonnées[[#This Row],[FarmID]]&amp;CompilDonnées[[#This Row],[ModuleNumber]]</f>
        <v>221</v>
      </c>
      <c r="P2467" t="str">
        <f>CompilDonnées[[#This Row],[Ref_Module]]&amp;CompilDonnées[[#This Row],[HarvestingDate]]</f>
        <v>22145811</v>
      </c>
    </row>
    <row r="2468" spans="1:16">
      <c r="A2468" s="5">
        <v>45764</v>
      </c>
      <c r="B2468">
        <v>22</v>
      </c>
      <c r="C2468" t="s">
        <v>43</v>
      </c>
      <c r="D2468">
        <v>2</v>
      </c>
      <c r="E2468">
        <v>100</v>
      </c>
      <c r="F2468" t="s">
        <v>1</v>
      </c>
      <c r="G2468" s="6">
        <v>45811</v>
      </c>
      <c r="H2468">
        <v>47</v>
      </c>
      <c r="I2468">
        <f>ROUND(CompilDonnées[[#This Row],[CultureDuration_days]]/7,0)</f>
        <v>7</v>
      </c>
      <c r="J2468">
        <v>2431</v>
      </c>
      <c r="K2468" t="str">
        <f>_xlfn.CONCAT(WEEKNUM(CompilDonnées[[#This Row],[PlantationDate]]), " ", YEAR(CompilDonnées[[#This Row],[PlantationDate]]))</f>
        <v>16 2025</v>
      </c>
      <c r="L2468" t="str">
        <f>CONCATENATE(MONTH(CompilDonnées[[#This Row],[PlantationDate]])," ", YEAR(CompilDonnées[[#This Row],[PlantationDate]]))</f>
        <v>4 2025</v>
      </c>
      <c r="M2468" t="str">
        <f>CONCATENATE(MONTH(CompilDonnées[[#This Row],[HarvestingDate]])," ", YEAR(CompilDonnées[[#This Row],[HarvestingDate]]))</f>
        <v>6 2025</v>
      </c>
      <c r="N2468">
        <f>_xlfn.NUMBERVALUE(CompilDonnées[[#This Row],[FarmID]]&amp;CompilDonnées[[#This Row],[ModuleNumber]]&amp;CompilDonnées[[#This Row],[PlantationDate]])</f>
        <v>22245764</v>
      </c>
      <c r="O2468" t="str">
        <f>CompilDonnées[[#This Row],[FarmID]]&amp;CompilDonnées[[#This Row],[ModuleNumber]]</f>
        <v>222</v>
      </c>
      <c r="P2468" t="str">
        <f>CompilDonnées[[#This Row],[Ref_Module]]&amp;CompilDonnées[[#This Row],[HarvestingDate]]</f>
        <v>22245811</v>
      </c>
    </row>
    <row r="2469" spans="1:16">
      <c r="A2469" s="5">
        <v>45764</v>
      </c>
      <c r="B2469">
        <v>48</v>
      </c>
      <c r="C2469" t="s">
        <v>71</v>
      </c>
      <c r="D2469">
        <v>3</v>
      </c>
      <c r="E2469">
        <v>100</v>
      </c>
      <c r="F2469" t="s">
        <v>1</v>
      </c>
      <c r="G2469" s="6">
        <v>45812</v>
      </c>
      <c r="H2469">
        <v>48</v>
      </c>
      <c r="I2469">
        <f>ROUND(CompilDonnées[[#This Row],[CultureDuration_days]]/7,0)</f>
        <v>7</v>
      </c>
      <c r="J2469">
        <v>2902</v>
      </c>
      <c r="K2469" t="str">
        <f>_xlfn.CONCAT(WEEKNUM(CompilDonnées[[#This Row],[PlantationDate]]), " ", YEAR(CompilDonnées[[#This Row],[PlantationDate]]))</f>
        <v>16 2025</v>
      </c>
      <c r="L2469" t="str">
        <f>CONCATENATE(MONTH(CompilDonnées[[#This Row],[PlantationDate]])," ", YEAR(CompilDonnées[[#This Row],[PlantationDate]]))</f>
        <v>4 2025</v>
      </c>
      <c r="M2469" t="str">
        <f>CONCATENATE(MONTH(CompilDonnées[[#This Row],[HarvestingDate]])," ", YEAR(CompilDonnées[[#This Row],[HarvestingDate]]))</f>
        <v>6 2025</v>
      </c>
      <c r="N2469">
        <f>_xlfn.NUMBERVALUE(CompilDonnées[[#This Row],[FarmID]]&amp;CompilDonnées[[#This Row],[ModuleNumber]]&amp;CompilDonnées[[#This Row],[PlantationDate]])</f>
        <v>48345764</v>
      </c>
      <c r="O2469" t="str">
        <f>CompilDonnées[[#This Row],[FarmID]]&amp;CompilDonnées[[#This Row],[ModuleNumber]]</f>
        <v>483</v>
      </c>
      <c r="P2469" t="str">
        <f>CompilDonnées[[#This Row],[Ref_Module]]&amp;CompilDonnées[[#This Row],[HarvestingDate]]</f>
        <v>48345812</v>
      </c>
    </row>
    <row r="2470" spans="1:16">
      <c r="A2470" s="5">
        <v>45764</v>
      </c>
      <c r="B2470">
        <v>49</v>
      </c>
      <c r="C2470" t="s">
        <v>110</v>
      </c>
      <c r="D2470">
        <v>4</v>
      </c>
      <c r="E2470">
        <v>100</v>
      </c>
      <c r="F2470" t="s">
        <v>1</v>
      </c>
      <c r="G2470" s="6">
        <v>45812</v>
      </c>
      <c r="H2470">
        <v>48</v>
      </c>
      <c r="I2470">
        <f>ROUND(CompilDonnées[[#This Row],[CultureDuration_days]]/7,0)</f>
        <v>7</v>
      </c>
      <c r="J2470">
        <v>3109</v>
      </c>
      <c r="K2470" t="str">
        <f>_xlfn.CONCAT(WEEKNUM(CompilDonnées[[#This Row],[PlantationDate]]), " ", YEAR(CompilDonnées[[#This Row],[PlantationDate]]))</f>
        <v>16 2025</v>
      </c>
      <c r="L2470" t="str">
        <f>CONCATENATE(MONTH(CompilDonnées[[#This Row],[PlantationDate]])," ", YEAR(CompilDonnées[[#This Row],[PlantationDate]]))</f>
        <v>4 2025</v>
      </c>
      <c r="M2470" t="str">
        <f>CONCATENATE(MONTH(CompilDonnées[[#This Row],[HarvestingDate]])," ", YEAR(CompilDonnées[[#This Row],[HarvestingDate]]))</f>
        <v>6 2025</v>
      </c>
      <c r="N2470">
        <f>_xlfn.NUMBERVALUE(CompilDonnées[[#This Row],[FarmID]]&amp;CompilDonnées[[#This Row],[ModuleNumber]]&amp;CompilDonnées[[#This Row],[PlantationDate]])</f>
        <v>49445764</v>
      </c>
      <c r="O2470" t="str">
        <f>CompilDonnées[[#This Row],[FarmID]]&amp;CompilDonnées[[#This Row],[ModuleNumber]]</f>
        <v>494</v>
      </c>
      <c r="P2470" t="str">
        <f>CompilDonnées[[#This Row],[Ref_Module]]&amp;CompilDonnées[[#This Row],[HarvestingDate]]</f>
        <v>49445812</v>
      </c>
    </row>
    <row r="2471" spans="1:16">
      <c r="A2471" s="5">
        <v>45764</v>
      </c>
      <c r="B2471">
        <v>51</v>
      </c>
      <c r="C2471" t="s">
        <v>27</v>
      </c>
      <c r="D2471">
        <v>6</v>
      </c>
      <c r="E2471">
        <v>100</v>
      </c>
      <c r="F2471" t="s">
        <v>1</v>
      </c>
      <c r="G2471" s="6">
        <v>45812</v>
      </c>
      <c r="H2471">
        <v>48</v>
      </c>
      <c r="I2471">
        <f>ROUND(CompilDonnées[[#This Row],[CultureDuration_days]]/7,0)</f>
        <v>7</v>
      </c>
      <c r="J2471">
        <v>3245</v>
      </c>
      <c r="K2471" t="str">
        <f>_xlfn.CONCAT(WEEKNUM(CompilDonnées[[#This Row],[PlantationDate]]), " ", YEAR(CompilDonnées[[#This Row],[PlantationDate]]))</f>
        <v>16 2025</v>
      </c>
      <c r="L2471" t="str">
        <f>CONCATENATE(MONTH(CompilDonnées[[#This Row],[PlantationDate]])," ", YEAR(CompilDonnées[[#This Row],[PlantationDate]]))</f>
        <v>4 2025</v>
      </c>
      <c r="M2471" t="str">
        <f>CONCATENATE(MONTH(CompilDonnées[[#This Row],[HarvestingDate]])," ", YEAR(CompilDonnées[[#This Row],[HarvestingDate]]))</f>
        <v>6 2025</v>
      </c>
      <c r="N2471">
        <f>_xlfn.NUMBERVALUE(CompilDonnées[[#This Row],[FarmID]]&amp;CompilDonnées[[#This Row],[ModuleNumber]]&amp;CompilDonnées[[#This Row],[PlantationDate]])</f>
        <v>51645764</v>
      </c>
      <c r="O2471" t="str">
        <f>CompilDonnées[[#This Row],[FarmID]]&amp;CompilDonnées[[#This Row],[ModuleNumber]]</f>
        <v>516</v>
      </c>
      <c r="P2471" t="str">
        <f>CompilDonnées[[#This Row],[Ref_Module]]&amp;CompilDonnées[[#This Row],[HarvestingDate]]</f>
        <v>51645812</v>
      </c>
    </row>
    <row r="2472" spans="1:16">
      <c r="A2472" s="5">
        <v>45764</v>
      </c>
      <c r="B2472">
        <v>53</v>
      </c>
      <c r="C2472" t="s">
        <v>83</v>
      </c>
      <c r="D2472">
        <v>2</v>
      </c>
      <c r="E2472">
        <v>100</v>
      </c>
      <c r="F2472" t="s">
        <v>1</v>
      </c>
      <c r="G2472" s="6">
        <v>45812</v>
      </c>
      <c r="H2472">
        <v>48</v>
      </c>
      <c r="I2472">
        <f>ROUND(CompilDonnées[[#This Row],[CultureDuration_days]]/7,0)</f>
        <v>7</v>
      </c>
      <c r="J2472">
        <v>3175</v>
      </c>
      <c r="K2472" t="str">
        <f>_xlfn.CONCAT(WEEKNUM(CompilDonnées[[#This Row],[PlantationDate]]), " ", YEAR(CompilDonnées[[#This Row],[PlantationDate]]))</f>
        <v>16 2025</v>
      </c>
      <c r="L2472" t="str">
        <f>CONCATENATE(MONTH(CompilDonnées[[#This Row],[PlantationDate]])," ", YEAR(CompilDonnées[[#This Row],[PlantationDate]]))</f>
        <v>4 2025</v>
      </c>
      <c r="M2472" t="str">
        <f>CONCATENATE(MONTH(CompilDonnées[[#This Row],[HarvestingDate]])," ", YEAR(CompilDonnées[[#This Row],[HarvestingDate]]))</f>
        <v>6 2025</v>
      </c>
      <c r="N2472">
        <f>_xlfn.NUMBERVALUE(CompilDonnées[[#This Row],[FarmID]]&amp;CompilDonnées[[#This Row],[ModuleNumber]]&amp;CompilDonnées[[#This Row],[PlantationDate]])</f>
        <v>53245764</v>
      </c>
      <c r="O2472" t="str">
        <f>CompilDonnées[[#This Row],[FarmID]]&amp;CompilDonnées[[#This Row],[ModuleNumber]]</f>
        <v>532</v>
      </c>
      <c r="P2472" t="str">
        <f>CompilDonnées[[#This Row],[Ref_Module]]&amp;CompilDonnées[[#This Row],[HarvestingDate]]</f>
        <v>53245812</v>
      </c>
    </row>
    <row r="2473" spans="1:16">
      <c r="A2473" s="5">
        <v>45764</v>
      </c>
      <c r="B2473">
        <v>54</v>
      </c>
      <c r="C2473" t="s">
        <v>39</v>
      </c>
      <c r="D2473">
        <v>2</v>
      </c>
      <c r="E2473">
        <v>100</v>
      </c>
      <c r="F2473" t="s">
        <v>1</v>
      </c>
      <c r="G2473" s="6">
        <v>45812</v>
      </c>
      <c r="H2473">
        <v>48</v>
      </c>
      <c r="I2473">
        <f>ROUND(CompilDonnées[[#This Row],[CultureDuration_days]]/7,0)</f>
        <v>7</v>
      </c>
      <c r="J2473">
        <v>2412</v>
      </c>
      <c r="K2473" t="str">
        <f>_xlfn.CONCAT(WEEKNUM(CompilDonnées[[#This Row],[PlantationDate]]), " ", YEAR(CompilDonnées[[#This Row],[PlantationDate]]))</f>
        <v>16 2025</v>
      </c>
      <c r="L2473" t="str">
        <f>CONCATENATE(MONTH(CompilDonnées[[#This Row],[PlantationDate]])," ", YEAR(CompilDonnées[[#This Row],[PlantationDate]]))</f>
        <v>4 2025</v>
      </c>
      <c r="M2473" t="str">
        <f>CONCATENATE(MONTH(CompilDonnées[[#This Row],[HarvestingDate]])," ", YEAR(CompilDonnées[[#This Row],[HarvestingDate]]))</f>
        <v>6 2025</v>
      </c>
      <c r="N2473">
        <f>_xlfn.NUMBERVALUE(CompilDonnées[[#This Row],[FarmID]]&amp;CompilDonnées[[#This Row],[ModuleNumber]]&amp;CompilDonnées[[#This Row],[PlantationDate]])</f>
        <v>54245764</v>
      </c>
      <c r="O2473" t="str">
        <f>CompilDonnées[[#This Row],[FarmID]]&amp;CompilDonnées[[#This Row],[ModuleNumber]]</f>
        <v>542</v>
      </c>
      <c r="P2473" t="str">
        <f>CompilDonnées[[#This Row],[Ref_Module]]&amp;CompilDonnées[[#This Row],[HarvestingDate]]</f>
        <v>54245812</v>
      </c>
    </row>
    <row r="2474" spans="1:16">
      <c r="A2474" s="5">
        <v>45764</v>
      </c>
      <c r="B2474">
        <v>56</v>
      </c>
      <c r="C2474" t="s">
        <v>6</v>
      </c>
      <c r="D2474">
        <v>3</v>
      </c>
      <c r="E2474">
        <v>100</v>
      </c>
      <c r="F2474" t="s">
        <v>1</v>
      </c>
      <c r="G2474" s="6">
        <v>45805</v>
      </c>
      <c r="H2474">
        <v>41</v>
      </c>
      <c r="I2474">
        <f>ROUND(CompilDonnées[[#This Row],[CultureDuration_days]]/7,0)</f>
        <v>6</v>
      </c>
      <c r="J2474">
        <v>1986</v>
      </c>
      <c r="K2474" t="str">
        <f>_xlfn.CONCAT(WEEKNUM(CompilDonnées[[#This Row],[PlantationDate]]), " ", YEAR(CompilDonnées[[#This Row],[PlantationDate]]))</f>
        <v>16 2025</v>
      </c>
      <c r="L2474" t="str">
        <f>CONCATENATE(MONTH(CompilDonnées[[#This Row],[PlantationDate]])," ", YEAR(CompilDonnées[[#This Row],[PlantationDate]]))</f>
        <v>4 2025</v>
      </c>
      <c r="M2474" t="str">
        <f>CONCATENATE(MONTH(CompilDonnées[[#This Row],[HarvestingDate]])," ", YEAR(CompilDonnées[[#This Row],[HarvestingDate]]))</f>
        <v>5 2025</v>
      </c>
      <c r="N2474">
        <f>_xlfn.NUMBERVALUE(CompilDonnées[[#This Row],[FarmID]]&amp;CompilDonnées[[#This Row],[ModuleNumber]]&amp;CompilDonnées[[#This Row],[PlantationDate]])</f>
        <v>56345764</v>
      </c>
      <c r="O2474" t="str">
        <f>CompilDonnées[[#This Row],[FarmID]]&amp;CompilDonnées[[#This Row],[ModuleNumber]]</f>
        <v>563</v>
      </c>
      <c r="P2474" t="str">
        <f>CompilDonnées[[#This Row],[Ref_Module]]&amp;CompilDonnées[[#This Row],[HarvestingDate]]</f>
        <v>56345805</v>
      </c>
    </row>
    <row r="2475" spans="1:16">
      <c r="A2475" s="5">
        <v>45764</v>
      </c>
      <c r="B2475">
        <v>58</v>
      </c>
      <c r="C2475" t="s">
        <v>35</v>
      </c>
      <c r="D2475">
        <v>6</v>
      </c>
      <c r="E2475">
        <v>100</v>
      </c>
      <c r="F2475" t="s">
        <v>1</v>
      </c>
      <c r="G2475" s="6">
        <v>45812</v>
      </c>
      <c r="H2475">
        <v>48</v>
      </c>
      <c r="I2475">
        <f>ROUND(CompilDonnées[[#This Row],[CultureDuration_days]]/7,0)</f>
        <v>7</v>
      </c>
      <c r="J2475">
        <v>3057</v>
      </c>
      <c r="K2475" t="str">
        <f>_xlfn.CONCAT(WEEKNUM(CompilDonnées[[#This Row],[PlantationDate]]), " ", YEAR(CompilDonnées[[#This Row],[PlantationDate]]))</f>
        <v>16 2025</v>
      </c>
      <c r="L2475" t="str">
        <f>CONCATENATE(MONTH(CompilDonnées[[#This Row],[PlantationDate]])," ", YEAR(CompilDonnées[[#This Row],[PlantationDate]]))</f>
        <v>4 2025</v>
      </c>
      <c r="M2475" t="str">
        <f>CONCATENATE(MONTH(CompilDonnées[[#This Row],[HarvestingDate]])," ", YEAR(CompilDonnées[[#This Row],[HarvestingDate]]))</f>
        <v>6 2025</v>
      </c>
      <c r="N2475">
        <f>_xlfn.NUMBERVALUE(CompilDonnées[[#This Row],[FarmID]]&amp;CompilDonnées[[#This Row],[ModuleNumber]]&amp;CompilDonnées[[#This Row],[PlantationDate]])</f>
        <v>58645764</v>
      </c>
      <c r="O2475" t="str">
        <f>CompilDonnées[[#This Row],[FarmID]]&amp;CompilDonnées[[#This Row],[ModuleNumber]]</f>
        <v>586</v>
      </c>
      <c r="P2475" t="str">
        <f>CompilDonnées[[#This Row],[Ref_Module]]&amp;CompilDonnées[[#This Row],[HarvestingDate]]</f>
        <v>58645812</v>
      </c>
    </row>
    <row r="2476" spans="1:16">
      <c r="A2476" s="5">
        <v>45764</v>
      </c>
      <c r="B2476">
        <v>61</v>
      </c>
      <c r="C2476" t="s">
        <v>95</v>
      </c>
      <c r="D2476">
        <v>5</v>
      </c>
      <c r="E2476">
        <v>100</v>
      </c>
      <c r="F2476" t="s">
        <v>1</v>
      </c>
      <c r="G2476" s="6">
        <v>45813</v>
      </c>
      <c r="H2476">
        <v>49</v>
      </c>
      <c r="I2476">
        <f>ROUND(CompilDonnées[[#This Row],[CultureDuration_days]]/7,0)</f>
        <v>7</v>
      </c>
      <c r="J2476">
        <v>2531</v>
      </c>
      <c r="K2476" t="str">
        <f>_xlfn.CONCAT(WEEKNUM(CompilDonnées[[#This Row],[PlantationDate]]), " ", YEAR(CompilDonnées[[#This Row],[PlantationDate]]))</f>
        <v>16 2025</v>
      </c>
      <c r="L2476" t="str">
        <f>CONCATENATE(MONTH(CompilDonnées[[#This Row],[PlantationDate]])," ", YEAR(CompilDonnées[[#This Row],[PlantationDate]]))</f>
        <v>4 2025</v>
      </c>
      <c r="M2476" t="str">
        <f>CONCATENATE(MONTH(CompilDonnées[[#This Row],[HarvestingDate]])," ", YEAR(CompilDonnées[[#This Row],[HarvestingDate]]))</f>
        <v>6 2025</v>
      </c>
      <c r="N2476">
        <f>_xlfn.NUMBERVALUE(CompilDonnées[[#This Row],[FarmID]]&amp;CompilDonnées[[#This Row],[ModuleNumber]]&amp;CompilDonnées[[#This Row],[PlantationDate]])</f>
        <v>61545764</v>
      </c>
      <c r="O2476" t="str">
        <f>CompilDonnées[[#This Row],[FarmID]]&amp;CompilDonnées[[#This Row],[ModuleNumber]]</f>
        <v>615</v>
      </c>
      <c r="P2476" t="str">
        <f>CompilDonnées[[#This Row],[Ref_Module]]&amp;CompilDonnées[[#This Row],[HarvestingDate]]</f>
        <v>61545813</v>
      </c>
    </row>
    <row r="2477" spans="1:16">
      <c r="A2477" s="5">
        <v>45764</v>
      </c>
      <c r="B2477">
        <v>63</v>
      </c>
      <c r="C2477" t="s">
        <v>98</v>
      </c>
      <c r="D2477">
        <v>5</v>
      </c>
      <c r="E2477">
        <v>100</v>
      </c>
      <c r="F2477" t="s">
        <v>1</v>
      </c>
      <c r="G2477" s="6">
        <v>45813</v>
      </c>
      <c r="H2477">
        <v>49</v>
      </c>
      <c r="I2477">
        <f>ROUND(CompilDonnées[[#This Row],[CultureDuration_days]]/7,0)</f>
        <v>7</v>
      </c>
      <c r="J2477">
        <v>2389</v>
      </c>
      <c r="K2477" t="str">
        <f>_xlfn.CONCAT(WEEKNUM(CompilDonnées[[#This Row],[PlantationDate]]), " ", YEAR(CompilDonnées[[#This Row],[PlantationDate]]))</f>
        <v>16 2025</v>
      </c>
      <c r="L2477" t="str">
        <f>CONCATENATE(MONTH(CompilDonnées[[#This Row],[PlantationDate]])," ", YEAR(CompilDonnées[[#This Row],[PlantationDate]]))</f>
        <v>4 2025</v>
      </c>
      <c r="M2477" t="str">
        <f>CONCATENATE(MONTH(CompilDonnées[[#This Row],[HarvestingDate]])," ", YEAR(CompilDonnées[[#This Row],[HarvestingDate]]))</f>
        <v>6 2025</v>
      </c>
      <c r="N2477">
        <f>_xlfn.NUMBERVALUE(CompilDonnées[[#This Row],[FarmID]]&amp;CompilDonnées[[#This Row],[ModuleNumber]]&amp;CompilDonnées[[#This Row],[PlantationDate]])</f>
        <v>63545764</v>
      </c>
      <c r="O2477" t="str">
        <f>CompilDonnées[[#This Row],[FarmID]]&amp;CompilDonnées[[#This Row],[ModuleNumber]]</f>
        <v>635</v>
      </c>
      <c r="P2477" t="str">
        <f>CompilDonnées[[#This Row],[Ref_Module]]&amp;CompilDonnées[[#This Row],[HarvestingDate]]</f>
        <v>63545813</v>
      </c>
    </row>
    <row r="2478" spans="1:16">
      <c r="A2478" s="5">
        <v>45764</v>
      </c>
      <c r="B2478">
        <v>66</v>
      </c>
      <c r="C2478" t="s">
        <v>48</v>
      </c>
      <c r="D2478">
        <v>5</v>
      </c>
      <c r="E2478">
        <v>100</v>
      </c>
      <c r="F2478" t="s">
        <v>1</v>
      </c>
      <c r="G2478" s="6">
        <v>45812</v>
      </c>
      <c r="H2478">
        <v>48</v>
      </c>
      <c r="I2478">
        <f>ROUND(CompilDonnées[[#This Row],[CultureDuration_days]]/7,0)</f>
        <v>7</v>
      </c>
      <c r="J2478">
        <v>1824</v>
      </c>
      <c r="K2478" t="str">
        <f>_xlfn.CONCAT(WEEKNUM(CompilDonnées[[#This Row],[PlantationDate]]), " ", YEAR(CompilDonnées[[#This Row],[PlantationDate]]))</f>
        <v>16 2025</v>
      </c>
      <c r="L2478" t="str">
        <f>CONCATENATE(MONTH(CompilDonnées[[#This Row],[PlantationDate]])," ", YEAR(CompilDonnées[[#This Row],[PlantationDate]]))</f>
        <v>4 2025</v>
      </c>
      <c r="M2478" t="str">
        <f>CONCATENATE(MONTH(CompilDonnées[[#This Row],[HarvestingDate]])," ", YEAR(CompilDonnées[[#This Row],[HarvestingDate]]))</f>
        <v>6 2025</v>
      </c>
      <c r="N2478">
        <f>_xlfn.NUMBERVALUE(CompilDonnées[[#This Row],[FarmID]]&amp;CompilDonnées[[#This Row],[ModuleNumber]]&amp;CompilDonnées[[#This Row],[PlantationDate]])</f>
        <v>66545764</v>
      </c>
      <c r="O2478" t="str">
        <f>CompilDonnées[[#This Row],[FarmID]]&amp;CompilDonnées[[#This Row],[ModuleNumber]]</f>
        <v>665</v>
      </c>
      <c r="P2478" t="str">
        <f>CompilDonnées[[#This Row],[Ref_Module]]&amp;CompilDonnées[[#This Row],[HarvestingDate]]</f>
        <v>66545812</v>
      </c>
    </row>
    <row r="2479" spans="1:16">
      <c r="A2479" s="5">
        <v>45764</v>
      </c>
      <c r="B2479">
        <v>69</v>
      </c>
      <c r="C2479" t="s">
        <v>102</v>
      </c>
      <c r="D2479">
        <v>2</v>
      </c>
      <c r="E2479">
        <v>100</v>
      </c>
      <c r="F2479" t="s">
        <v>1</v>
      </c>
      <c r="G2479" s="6">
        <v>45812</v>
      </c>
      <c r="H2479">
        <v>48</v>
      </c>
      <c r="I2479">
        <f>ROUND(CompilDonnées[[#This Row],[CultureDuration_days]]/7,0)</f>
        <v>7</v>
      </c>
      <c r="J2479">
        <v>2472</v>
      </c>
      <c r="K2479" t="str">
        <f>_xlfn.CONCAT(WEEKNUM(CompilDonnées[[#This Row],[PlantationDate]]), " ", YEAR(CompilDonnées[[#This Row],[PlantationDate]]))</f>
        <v>16 2025</v>
      </c>
      <c r="L2479" t="str">
        <f>CONCATENATE(MONTH(CompilDonnées[[#This Row],[PlantationDate]])," ", YEAR(CompilDonnées[[#This Row],[PlantationDate]]))</f>
        <v>4 2025</v>
      </c>
      <c r="M2479" t="str">
        <f>CONCATENATE(MONTH(CompilDonnées[[#This Row],[HarvestingDate]])," ", YEAR(CompilDonnées[[#This Row],[HarvestingDate]]))</f>
        <v>6 2025</v>
      </c>
      <c r="N2479">
        <f>_xlfn.NUMBERVALUE(CompilDonnées[[#This Row],[FarmID]]&amp;CompilDonnées[[#This Row],[ModuleNumber]]&amp;CompilDonnées[[#This Row],[PlantationDate]])</f>
        <v>69245764</v>
      </c>
      <c r="O2479" t="str">
        <f>CompilDonnées[[#This Row],[FarmID]]&amp;CompilDonnées[[#This Row],[ModuleNumber]]</f>
        <v>692</v>
      </c>
      <c r="P2479" t="str">
        <f>CompilDonnées[[#This Row],[Ref_Module]]&amp;CompilDonnées[[#This Row],[HarvestingDate]]</f>
        <v>69245812</v>
      </c>
    </row>
    <row r="2480" spans="1:16">
      <c r="A2480" s="5">
        <v>45764</v>
      </c>
      <c r="B2480">
        <v>73</v>
      </c>
      <c r="C2480" t="s">
        <v>20</v>
      </c>
      <c r="D2480">
        <v>2</v>
      </c>
      <c r="E2480">
        <v>100</v>
      </c>
      <c r="F2480" t="s">
        <v>1</v>
      </c>
      <c r="G2480" s="6">
        <v>45804</v>
      </c>
      <c r="H2480">
        <v>40</v>
      </c>
      <c r="I2480">
        <f>ROUND(CompilDonnées[[#This Row],[CultureDuration_days]]/7,0)</f>
        <v>6</v>
      </c>
      <c r="J2480">
        <v>1980</v>
      </c>
      <c r="K2480" t="str">
        <f>_xlfn.CONCAT(WEEKNUM(CompilDonnées[[#This Row],[PlantationDate]]), " ", YEAR(CompilDonnées[[#This Row],[PlantationDate]]))</f>
        <v>16 2025</v>
      </c>
      <c r="L2480" t="str">
        <f>CONCATENATE(MONTH(CompilDonnées[[#This Row],[PlantationDate]])," ", YEAR(CompilDonnées[[#This Row],[PlantationDate]]))</f>
        <v>4 2025</v>
      </c>
      <c r="M2480" t="str">
        <f>CONCATENATE(MONTH(CompilDonnées[[#This Row],[HarvestingDate]])," ", YEAR(CompilDonnées[[#This Row],[HarvestingDate]]))</f>
        <v>5 2025</v>
      </c>
      <c r="N2480">
        <f>_xlfn.NUMBERVALUE(CompilDonnées[[#This Row],[FarmID]]&amp;CompilDonnées[[#This Row],[ModuleNumber]]&amp;CompilDonnées[[#This Row],[PlantationDate]])</f>
        <v>73245764</v>
      </c>
      <c r="O2480" t="str">
        <f>CompilDonnées[[#This Row],[FarmID]]&amp;CompilDonnées[[#This Row],[ModuleNumber]]</f>
        <v>732</v>
      </c>
      <c r="P2480" t="str">
        <f>CompilDonnées[[#This Row],[Ref_Module]]&amp;CompilDonnées[[#This Row],[HarvestingDate]]</f>
        <v>73245804</v>
      </c>
    </row>
    <row r="2481" spans="1:16">
      <c r="A2481" s="5">
        <v>45764</v>
      </c>
      <c r="B2481">
        <v>74</v>
      </c>
      <c r="C2481" t="s">
        <v>21</v>
      </c>
      <c r="D2481">
        <v>3</v>
      </c>
      <c r="E2481">
        <v>100</v>
      </c>
      <c r="F2481" t="s">
        <v>1</v>
      </c>
      <c r="G2481" s="6">
        <v>45807</v>
      </c>
      <c r="H2481">
        <v>43</v>
      </c>
      <c r="I2481">
        <f>ROUND(CompilDonnées[[#This Row],[CultureDuration_days]]/7,0)</f>
        <v>6</v>
      </c>
      <c r="J2481">
        <v>1433</v>
      </c>
      <c r="K2481" t="str">
        <f>_xlfn.CONCAT(WEEKNUM(CompilDonnées[[#This Row],[PlantationDate]]), " ", YEAR(CompilDonnées[[#This Row],[PlantationDate]]))</f>
        <v>16 2025</v>
      </c>
      <c r="L2481" t="str">
        <f>CONCATENATE(MONTH(CompilDonnées[[#This Row],[PlantationDate]])," ", YEAR(CompilDonnées[[#This Row],[PlantationDate]]))</f>
        <v>4 2025</v>
      </c>
      <c r="M2481" t="str">
        <f>CONCATENATE(MONTH(CompilDonnées[[#This Row],[HarvestingDate]])," ", YEAR(CompilDonnées[[#This Row],[HarvestingDate]]))</f>
        <v>5 2025</v>
      </c>
      <c r="N2481">
        <f>_xlfn.NUMBERVALUE(CompilDonnées[[#This Row],[FarmID]]&amp;CompilDonnées[[#This Row],[ModuleNumber]]&amp;CompilDonnées[[#This Row],[PlantationDate]])</f>
        <v>74345764</v>
      </c>
      <c r="O2481" t="str">
        <f>CompilDonnées[[#This Row],[FarmID]]&amp;CompilDonnées[[#This Row],[ModuleNumber]]</f>
        <v>743</v>
      </c>
      <c r="P2481" t="str">
        <f>CompilDonnées[[#This Row],[Ref_Module]]&amp;CompilDonnées[[#This Row],[HarvestingDate]]</f>
        <v>74345807</v>
      </c>
    </row>
    <row r="2482" spans="1:16">
      <c r="A2482" s="5">
        <v>45764</v>
      </c>
      <c r="B2482">
        <v>120</v>
      </c>
      <c r="C2482" t="s">
        <v>3</v>
      </c>
      <c r="D2482">
        <v>3</v>
      </c>
      <c r="E2482">
        <v>60</v>
      </c>
      <c r="F2482" t="s">
        <v>105</v>
      </c>
      <c r="G2482" s="6">
        <v>45813</v>
      </c>
      <c r="H2482">
        <v>49</v>
      </c>
      <c r="I2482">
        <f>ROUND(CompilDonnées[[#This Row],[CultureDuration_days]]/7,0)</f>
        <v>7</v>
      </c>
      <c r="J2482">
        <v>830</v>
      </c>
      <c r="K2482" t="str">
        <f>_xlfn.CONCAT(WEEKNUM(CompilDonnées[[#This Row],[PlantationDate]]), " ", YEAR(CompilDonnées[[#This Row],[PlantationDate]]))</f>
        <v>16 2025</v>
      </c>
      <c r="L2482" t="str">
        <f>CONCATENATE(MONTH(CompilDonnées[[#This Row],[PlantationDate]])," ", YEAR(CompilDonnées[[#This Row],[PlantationDate]]))</f>
        <v>4 2025</v>
      </c>
      <c r="M2482" t="str">
        <f>CONCATENATE(MONTH(CompilDonnées[[#This Row],[HarvestingDate]])," ", YEAR(CompilDonnées[[#This Row],[HarvestingDate]]))</f>
        <v>6 2025</v>
      </c>
      <c r="N2482">
        <f>_xlfn.NUMBERVALUE(CompilDonnées[[#This Row],[FarmID]]&amp;CompilDonnées[[#This Row],[ModuleNumber]]&amp;CompilDonnées[[#This Row],[PlantationDate]])</f>
        <v>120345764</v>
      </c>
      <c r="O2482" t="str">
        <f>CompilDonnées[[#This Row],[FarmID]]&amp;CompilDonnées[[#This Row],[ModuleNumber]]</f>
        <v>1203</v>
      </c>
      <c r="P2482" t="str">
        <f>CompilDonnées[[#This Row],[Ref_Module]]&amp;CompilDonnées[[#This Row],[HarvestingDate]]</f>
        <v>120345813</v>
      </c>
    </row>
    <row r="2483" spans="1:16">
      <c r="A2483" s="5">
        <v>45764</v>
      </c>
      <c r="B2483">
        <v>120</v>
      </c>
      <c r="C2483" t="s">
        <v>3</v>
      </c>
      <c r="D2483">
        <v>4</v>
      </c>
      <c r="E2483">
        <v>60</v>
      </c>
      <c r="F2483" t="s">
        <v>105</v>
      </c>
      <c r="G2483" s="6">
        <v>45814</v>
      </c>
      <c r="H2483">
        <v>50</v>
      </c>
      <c r="I2483">
        <f>ROUND(CompilDonnées[[#This Row],[CultureDuration_days]]/7,0)</f>
        <v>7</v>
      </c>
      <c r="J2483">
        <v>1000</v>
      </c>
      <c r="K2483" t="str">
        <f>_xlfn.CONCAT(WEEKNUM(CompilDonnées[[#This Row],[PlantationDate]]), " ", YEAR(CompilDonnées[[#This Row],[PlantationDate]]))</f>
        <v>16 2025</v>
      </c>
      <c r="L2483" t="str">
        <f>CONCATENATE(MONTH(CompilDonnées[[#This Row],[PlantationDate]])," ", YEAR(CompilDonnées[[#This Row],[PlantationDate]]))</f>
        <v>4 2025</v>
      </c>
      <c r="M2483" t="str">
        <f>CONCATENATE(MONTH(CompilDonnées[[#This Row],[HarvestingDate]])," ", YEAR(CompilDonnées[[#This Row],[HarvestingDate]]))</f>
        <v>6 2025</v>
      </c>
      <c r="N2483">
        <f>_xlfn.NUMBERVALUE(CompilDonnées[[#This Row],[FarmID]]&amp;CompilDonnées[[#This Row],[ModuleNumber]]&amp;CompilDonnées[[#This Row],[PlantationDate]])</f>
        <v>120445764</v>
      </c>
      <c r="O2483" t="str">
        <f>CompilDonnées[[#This Row],[FarmID]]&amp;CompilDonnées[[#This Row],[ModuleNumber]]</f>
        <v>1204</v>
      </c>
      <c r="P2483" t="str">
        <f>CompilDonnées[[#This Row],[Ref_Module]]&amp;CompilDonnées[[#This Row],[HarvestingDate]]</f>
        <v>120445814</v>
      </c>
    </row>
    <row r="2484" spans="1:16">
      <c r="A2484" s="5">
        <v>45764</v>
      </c>
      <c r="B2484">
        <v>120</v>
      </c>
      <c r="C2484" t="s">
        <v>3</v>
      </c>
      <c r="D2484">
        <v>5</v>
      </c>
      <c r="E2484">
        <v>60</v>
      </c>
      <c r="F2484" t="s">
        <v>105</v>
      </c>
      <c r="G2484" s="6">
        <v>45814</v>
      </c>
      <c r="H2484">
        <v>50</v>
      </c>
      <c r="I2484">
        <f>ROUND(CompilDonnées[[#This Row],[CultureDuration_days]]/7,0)</f>
        <v>7</v>
      </c>
      <c r="J2484">
        <v>1100</v>
      </c>
      <c r="K2484" t="str">
        <f>_xlfn.CONCAT(WEEKNUM(CompilDonnées[[#This Row],[PlantationDate]]), " ", YEAR(CompilDonnées[[#This Row],[PlantationDate]]))</f>
        <v>16 2025</v>
      </c>
      <c r="L2484" t="str">
        <f>CONCATENATE(MONTH(CompilDonnées[[#This Row],[PlantationDate]])," ", YEAR(CompilDonnées[[#This Row],[PlantationDate]]))</f>
        <v>4 2025</v>
      </c>
      <c r="M2484" t="str">
        <f>CONCATENATE(MONTH(CompilDonnées[[#This Row],[HarvestingDate]])," ", YEAR(CompilDonnées[[#This Row],[HarvestingDate]]))</f>
        <v>6 2025</v>
      </c>
      <c r="N2484">
        <f>_xlfn.NUMBERVALUE(CompilDonnées[[#This Row],[FarmID]]&amp;CompilDonnées[[#This Row],[ModuleNumber]]&amp;CompilDonnées[[#This Row],[PlantationDate]])</f>
        <v>120545764</v>
      </c>
      <c r="O2484" t="str">
        <f>CompilDonnées[[#This Row],[FarmID]]&amp;CompilDonnées[[#This Row],[ModuleNumber]]</f>
        <v>1205</v>
      </c>
      <c r="P2484" t="str">
        <f>CompilDonnées[[#This Row],[Ref_Module]]&amp;CompilDonnées[[#This Row],[HarvestingDate]]</f>
        <v>120545814</v>
      </c>
    </row>
    <row r="2485" spans="1:16">
      <c r="A2485" s="5">
        <v>45764</v>
      </c>
      <c r="B2485">
        <v>120</v>
      </c>
      <c r="C2485" t="s">
        <v>3</v>
      </c>
      <c r="D2485">
        <v>6</v>
      </c>
      <c r="E2485">
        <v>60</v>
      </c>
      <c r="F2485" t="s">
        <v>105</v>
      </c>
      <c r="G2485" s="6">
        <v>45814</v>
      </c>
      <c r="H2485">
        <v>50</v>
      </c>
      <c r="I2485">
        <f>ROUND(CompilDonnées[[#This Row],[CultureDuration_days]]/7,0)</f>
        <v>7</v>
      </c>
      <c r="J2485">
        <v>1005</v>
      </c>
      <c r="K2485" t="str">
        <f>_xlfn.CONCAT(WEEKNUM(CompilDonnées[[#This Row],[PlantationDate]]), " ", YEAR(CompilDonnées[[#This Row],[PlantationDate]]))</f>
        <v>16 2025</v>
      </c>
      <c r="L2485" t="str">
        <f>CONCATENATE(MONTH(CompilDonnées[[#This Row],[PlantationDate]])," ", YEAR(CompilDonnées[[#This Row],[PlantationDate]]))</f>
        <v>4 2025</v>
      </c>
      <c r="M2485" t="str">
        <f>CONCATENATE(MONTH(CompilDonnées[[#This Row],[HarvestingDate]])," ", YEAR(CompilDonnées[[#This Row],[HarvestingDate]]))</f>
        <v>6 2025</v>
      </c>
      <c r="N2485">
        <f>_xlfn.NUMBERVALUE(CompilDonnées[[#This Row],[FarmID]]&amp;CompilDonnées[[#This Row],[ModuleNumber]]&amp;CompilDonnées[[#This Row],[PlantationDate]])</f>
        <v>120645764</v>
      </c>
      <c r="O2485" t="str">
        <f>CompilDonnées[[#This Row],[FarmID]]&amp;CompilDonnées[[#This Row],[ModuleNumber]]</f>
        <v>1206</v>
      </c>
      <c r="P2485" t="str">
        <f>CompilDonnées[[#This Row],[Ref_Module]]&amp;CompilDonnées[[#This Row],[HarvestingDate]]</f>
        <v>120645814</v>
      </c>
    </row>
    <row r="2486" spans="1:16">
      <c r="A2486" s="5">
        <v>45764</v>
      </c>
      <c r="B2486">
        <v>123</v>
      </c>
      <c r="C2486" t="s">
        <v>13</v>
      </c>
      <c r="D2486">
        <v>1</v>
      </c>
      <c r="E2486">
        <v>100</v>
      </c>
      <c r="F2486" t="s">
        <v>1</v>
      </c>
      <c r="G2486" s="6">
        <v>45803</v>
      </c>
      <c r="H2486">
        <v>39</v>
      </c>
      <c r="I2486">
        <f>ROUND(CompilDonnées[[#This Row],[CultureDuration_days]]/7,0)</f>
        <v>6</v>
      </c>
      <c r="J2486">
        <v>1888</v>
      </c>
      <c r="K2486" t="str">
        <f>_xlfn.CONCAT(WEEKNUM(CompilDonnées[[#This Row],[PlantationDate]]), " ", YEAR(CompilDonnées[[#This Row],[PlantationDate]]))</f>
        <v>16 2025</v>
      </c>
      <c r="L2486" t="str">
        <f>CONCATENATE(MONTH(CompilDonnées[[#This Row],[PlantationDate]])," ", YEAR(CompilDonnées[[#This Row],[PlantationDate]]))</f>
        <v>4 2025</v>
      </c>
      <c r="M2486" t="str">
        <f>CONCATENATE(MONTH(CompilDonnées[[#This Row],[HarvestingDate]])," ", YEAR(CompilDonnées[[#This Row],[HarvestingDate]]))</f>
        <v>5 2025</v>
      </c>
      <c r="N2486">
        <f>_xlfn.NUMBERVALUE(CompilDonnées[[#This Row],[FarmID]]&amp;CompilDonnées[[#This Row],[ModuleNumber]]&amp;CompilDonnées[[#This Row],[PlantationDate]])</f>
        <v>123145764</v>
      </c>
      <c r="O2486" t="str">
        <f>CompilDonnées[[#This Row],[FarmID]]&amp;CompilDonnées[[#This Row],[ModuleNumber]]</f>
        <v>1231</v>
      </c>
      <c r="P2486" t="str">
        <f>CompilDonnées[[#This Row],[Ref_Module]]&amp;CompilDonnées[[#This Row],[HarvestingDate]]</f>
        <v>123145803</v>
      </c>
    </row>
    <row r="2487" spans="1:16">
      <c r="A2487" s="5">
        <v>45764</v>
      </c>
      <c r="B2487">
        <v>125</v>
      </c>
      <c r="C2487" t="s">
        <v>101</v>
      </c>
      <c r="D2487">
        <v>3</v>
      </c>
      <c r="E2487">
        <v>100</v>
      </c>
      <c r="F2487" t="s">
        <v>1</v>
      </c>
      <c r="G2487" s="6">
        <v>45803</v>
      </c>
      <c r="H2487">
        <v>39</v>
      </c>
      <c r="I2487">
        <f>ROUND(CompilDonnées[[#This Row],[CultureDuration_days]]/7,0)</f>
        <v>6</v>
      </c>
      <c r="J2487">
        <v>1987</v>
      </c>
      <c r="K2487" t="str">
        <f>_xlfn.CONCAT(WEEKNUM(CompilDonnées[[#This Row],[PlantationDate]]), " ", YEAR(CompilDonnées[[#This Row],[PlantationDate]]))</f>
        <v>16 2025</v>
      </c>
      <c r="L2487" t="str">
        <f>CONCATENATE(MONTH(CompilDonnées[[#This Row],[PlantationDate]])," ", YEAR(CompilDonnées[[#This Row],[PlantationDate]]))</f>
        <v>4 2025</v>
      </c>
      <c r="M2487" t="str">
        <f>CONCATENATE(MONTH(CompilDonnées[[#This Row],[HarvestingDate]])," ", YEAR(CompilDonnées[[#This Row],[HarvestingDate]]))</f>
        <v>5 2025</v>
      </c>
      <c r="N2487">
        <f>_xlfn.NUMBERVALUE(CompilDonnées[[#This Row],[FarmID]]&amp;CompilDonnées[[#This Row],[ModuleNumber]]&amp;CompilDonnées[[#This Row],[PlantationDate]])</f>
        <v>125345764</v>
      </c>
      <c r="O2487" t="str">
        <f>CompilDonnées[[#This Row],[FarmID]]&amp;CompilDonnées[[#This Row],[ModuleNumber]]</f>
        <v>1253</v>
      </c>
      <c r="P2487" t="str">
        <f>CompilDonnées[[#This Row],[Ref_Module]]&amp;CompilDonnées[[#This Row],[HarvestingDate]]</f>
        <v>125345803</v>
      </c>
    </row>
    <row r="2488" spans="1:16">
      <c r="A2488" s="5">
        <v>45764</v>
      </c>
      <c r="B2488">
        <v>126</v>
      </c>
      <c r="C2488" t="s">
        <v>52</v>
      </c>
      <c r="D2488">
        <v>6</v>
      </c>
      <c r="E2488">
        <v>100</v>
      </c>
      <c r="F2488" t="s">
        <v>1</v>
      </c>
      <c r="G2488" s="6">
        <v>45803</v>
      </c>
      <c r="H2488">
        <v>39</v>
      </c>
      <c r="I2488">
        <f>ROUND(CompilDonnées[[#This Row],[CultureDuration_days]]/7,0)</f>
        <v>6</v>
      </c>
      <c r="J2488">
        <v>1634</v>
      </c>
      <c r="K2488" t="str">
        <f>_xlfn.CONCAT(WEEKNUM(CompilDonnées[[#This Row],[PlantationDate]]), " ", YEAR(CompilDonnées[[#This Row],[PlantationDate]]))</f>
        <v>16 2025</v>
      </c>
      <c r="L2488" t="str">
        <f>CONCATENATE(MONTH(CompilDonnées[[#This Row],[PlantationDate]])," ", YEAR(CompilDonnées[[#This Row],[PlantationDate]]))</f>
        <v>4 2025</v>
      </c>
      <c r="M2488" t="str">
        <f>CONCATENATE(MONTH(CompilDonnées[[#This Row],[HarvestingDate]])," ", YEAR(CompilDonnées[[#This Row],[HarvestingDate]]))</f>
        <v>5 2025</v>
      </c>
      <c r="N2488">
        <f>_xlfn.NUMBERVALUE(CompilDonnées[[#This Row],[FarmID]]&amp;CompilDonnées[[#This Row],[ModuleNumber]]&amp;CompilDonnées[[#This Row],[PlantationDate]])</f>
        <v>126645764</v>
      </c>
      <c r="O2488" t="str">
        <f>CompilDonnées[[#This Row],[FarmID]]&amp;CompilDonnées[[#This Row],[ModuleNumber]]</f>
        <v>1266</v>
      </c>
      <c r="P2488" t="str">
        <f>CompilDonnées[[#This Row],[Ref_Module]]&amp;CompilDonnées[[#This Row],[HarvestingDate]]</f>
        <v>126645803</v>
      </c>
    </row>
    <row r="2489" spans="1:16">
      <c r="A2489" s="5">
        <v>45765</v>
      </c>
      <c r="B2489">
        <v>1</v>
      </c>
      <c r="C2489" t="s">
        <v>111</v>
      </c>
      <c r="D2489">
        <v>4</v>
      </c>
      <c r="E2489">
        <v>100</v>
      </c>
      <c r="F2489" t="s">
        <v>1</v>
      </c>
      <c r="G2489" s="6">
        <v>45806</v>
      </c>
      <c r="H2489">
        <v>41</v>
      </c>
      <c r="I2489">
        <f>ROUND(CompilDonnées[[#This Row],[CultureDuration_days]]/7,0)</f>
        <v>6</v>
      </c>
      <c r="J2489">
        <v>2369</v>
      </c>
      <c r="K2489" t="str">
        <f>_xlfn.CONCAT(WEEKNUM(CompilDonnées[[#This Row],[PlantationDate]]), " ", YEAR(CompilDonnées[[#This Row],[PlantationDate]]))</f>
        <v>16 2025</v>
      </c>
      <c r="L2489" t="str">
        <f>CONCATENATE(MONTH(CompilDonnées[[#This Row],[PlantationDate]])," ", YEAR(CompilDonnées[[#This Row],[PlantationDate]]))</f>
        <v>4 2025</v>
      </c>
      <c r="M2489" t="str">
        <f>CONCATENATE(MONTH(CompilDonnées[[#This Row],[HarvestingDate]])," ", YEAR(CompilDonnées[[#This Row],[HarvestingDate]]))</f>
        <v>5 2025</v>
      </c>
      <c r="N2489">
        <f>_xlfn.NUMBERVALUE(CompilDonnées[[#This Row],[FarmID]]&amp;CompilDonnées[[#This Row],[ModuleNumber]]&amp;CompilDonnées[[#This Row],[PlantationDate]])</f>
        <v>1445765</v>
      </c>
      <c r="O2489" t="str">
        <f>CompilDonnées[[#This Row],[FarmID]]&amp;CompilDonnées[[#This Row],[ModuleNumber]]</f>
        <v>14</v>
      </c>
      <c r="P2489" t="str">
        <f>CompilDonnées[[#This Row],[Ref_Module]]&amp;CompilDonnées[[#This Row],[HarvestingDate]]</f>
        <v>1445806</v>
      </c>
    </row>
    <row r="2490" spans="1:16">
      <c r="A2490" s="5">
        <v>45765</v>
      </c>
      <c r="B2490">
        <v>1</v>
      </c>
      <c r="C2490" t="s">
        <v>111</v>
      </c>
      <c r="D2490">
        <v>5</v>
      </c>
      <c r="E2490">
        <v>100</v>
      </c>
      <c r="F2490" t="s">
        <v>1</v>
      </c>
      <c r="G2490" s="6">
        <v>45807</v>
      </c>
      <c r="H2490">
        <v>42</v>
      </c>
      <c r="I2490">
        <f>ROUND(CompilDonnées[[#This Row],[CultureDuration_days]]/7,0)</f>
        <v>6</v>
      </c>
      <c r="J2490">
        <v>3056</v>
      </c>
      <c r="K2490" t="str">
        <f>_xlfn.CONCAT(WEEKNUM(CompilDonnées[[#This Row],[PlantationDate]]), " ", YEAR(CompilDonnées[[#This Row],[PlantationDate]]))</f>
        <v>16 2025</v>
      </c>
      <c r="L2490" t="str">
        <f>CONCATENATE(MONTH(CompilDonnées[[#This Row],[PlantationDate]])," ", YEAR(CompilDonnées[[#This Row],[PlantationDate]]))</f>
        <v>4 2025</v>
      </c>
      <c r="M2490" t="str">
        <f>CONCATENATE(MONTH(CompilDonnées[[#This Row],[HarvestingDate]])," ", YEAR(CompilDonnées[[#This Row],[HarvestingDate]]))</f>
        <v>5 2025</v>
      </c>
      <c r="N2490">
        <f>_xlfn.NUMBERVALUE(CompilDonnées[[#This Row],[FarmID]]&amp;CompilDonnées[[#This Row],[ModuleNumber]]&amp;CompilDonnées[[#This Row],[PlantationDate]])</f>
        <v>1545765</v>
      </c>
      <c r="O2490" t="str">
        <f>CompilDonnées[[#This Row],[FarmID]]&amp;CompilDonnées[[#This Row],[ModuleNumber]]</f>
        <v>15</v>
      </c>
      <c r="P2490" t="str">
        <f>CompilDonnées[[#This Row],[Ref_Module]]&amp;CompilDonnées[[#This Row],[HarvestingDate]]</f>
        <v>1545807</v>
      </c>
    </row>
    <row r="2491" spans="1:16">
      <c r="A2491" s="5">
        <v>45765</v>
      </c>
      <c r="B2491">
        <v>16</v>
      </c>
      <c r="C2491" t="s">
        <v>112</v>
      </c>
      <c r="D2491">
        <v>4</v>
      </c>
      <c r="E2491">
        <v>100</v>
      </c>
      <c r="F2491" t="s">
        <v>1</v>
      </c>
      <c r="G2491" s="6">
        <v>45807</v>
      </c>
      <c r="H2491">
        <v>42</v>
      </c>
      <c r="I2491">
        <f>ROUND(CompilDonnées[[#This Row],[CultureDuration_days]]/7,0)</f>
        <v>6</v>
      </c>
      <c r="J2491">
        <v>2362</v>
      </c>
      <c r="K2491" t="str">
        <f>_xlfn.CONCAT(WEEKNUM(CompilDonnées[[#This Row],[PlantationDate]]), " ", YEAR(CompilDonnées[[#This Row],[PlantationDate]]))</f>
        <v>16 2025</v>
      </c>
      <c r="L2491" t="str">
        <f>CONCATENATE(MONTH(CompilDonnées[[#This Row],[PlantationDate]])," ", YEAR(CompilDonnées[[#This Row],[PlantationDate]]))</f>
        <v>4 2025</v>
      </c>
      <c r="M2491" t="str">
        <f>CONCATENATE(MONTH(CompilDonnées[[#This Row],[HarvestingDate]])," ", YEAR(CompilDonnées[[#This Row],[HarvestingDate]]))</f>
        <v>5 2025</v>
      </c>
      <c r="N2491">
        <f>_xlfn.NUMBERVALUE(CompilDonnées[[#This Row],[FarmID]]&amp;CompilDonnées[[#This Row],[ModuleNumber]]&amp;CompilDonnées[[#This Row],[PlantationDate]])</f>
        <v>16445765</v>
      </c>
      <c r="O2491" t="str">
        <f>CompilDonnées[[#This Row],[FarmID]]&amp;CompilDonnées[[#This Row],[ModuleNumber]]</f>
        <v>164</v>
      </c>
      <c r="P2491" t="str">
        <f>CompilDonnées[[#This Row],[Ref_Module]]&amp;CompilDonnées[[#This Row],[HarvestingDate]]</f>
        <v>16445807</v>
      </c>
    </row>
    <row r="2492" spans="1:16">
      <c r="A2492" s="5">
        <v>45765</v>
      </c>
      <c r="B2492">
        <v>18</v>
      </c>
      <c r="C2492" t="s">
        <v>33</v>
      </c>
      <c r="D2492">
        <v>4</v>
      </c>
      <c r="E2492">
        <v>100</v>
      </c>
      <c r="F2492" t="s">
        <v>1</v>
      </c>
      <c r="G2492" s="6">
        <v>45811</v>
      </c>
      <c r="H2492">
        <v>46</v>
      </c>
      <c r="I2492">
        <f>ROUND(CompilDonnées[[#This Row],[CultureDuration_days]]/7,0)</f>
        <v>7</v>
      </c>
      <c r="J2492">
        <v>2562</v>
      </c>
      <c r="K2492" t="str">
        <f>_xlfn.CONCAT(WEEKNUM(CompilDonnées[[#This Row],[PlantationDate]]), " ", YEAR(CompilDonnées[[#This Row],[PlantationDate]]))</f>
        <v>16 2025</v>
      </c>
      <c r="L2492" t="str">
        <f>CONCATENATE(MONTH(CompilDonnées[[#This Row],[PlantationDate]])," ", YEAR(CompilDonnées[[#This Row],[PlantationDate]]))</f>
        <v>4 2025</v>
      </c>
      <c r="M2492" t="str">
        <f>CONCATENATE(MONTH(CompilDonnées[[#This Row],[HarvestingDate]])," ", YEAR(CompilDonnées[[#This Row],[HarvestingDate]]))</f>
        <v>6 2025</v>
      </c>
      <c r="N2492">
        <f>_xlfn.NUMBERVALUE(CompilDonnées[[#This Row],[FarmID]]&amp;CompilDonnées[[#This Row],[ModuleNumber]]&amp;CompilDonnées[[#This Row],[PlantationDate]])</f>
        <v>18445765</v>
      </c>
      <c r="O2492" t="str">
        <f>CompilDonnées[[#This Row],[FarmID]]&amp;CompilDonnées[[#This Row],[ModuleNumber]]</f>
        <v>184</v>
      </c>
      <c r="P2492" t="str">
        <f>CompilDonnées[[#This Row],[Ref_Module]]&amp;CompilDonnées[[#This Row],[HarvestingDate]]</f>
        <v>18445811</v>
      </c>
    </row>
    <row r="2493" spans="1:16">
      <c r="A2493" s="5">
        <v>45765</v>
      </c>
      <c r="B2493">
        <v>23</v>
      </c>
      <c r="C2493" t="s">
        <v>44</v>
      </c>
      <c r="D2493">
        <v>4</v>
      </c>
      <c r="E2493">
        <v>100</v>
      </c>
      <c r="F2493" t="s">
        <v>1</v>
      </c>
      <c r="G2493" s="6">
        <v>45805</v>
      </c>
      <c r="H2493">
        <v>40</v>
      </c>
      <c r="I2493">
        <f>ROUND(CompilDonnées[[#This Row],[CultureDuration_days]]/7,0)</f>
        <v>6</v>
      </c>
      <c r="J2493">
        <v>2269</v>
      </c>
      <c r="K2493" t="str">
        <f>_xlfn.CONCAT(WEEKNUM(CompilDonnées[[#This Row],[PlantationDate]]), " ", YEAR(CompilDonnées[[#This Row],[PlantationDate]]))</f>
        <v>16 2025</v>
      </c>
      <c r="L2493" t="str">
        <f>CONCATENATE(MONTH(CompilDonnées[[#This Row],[PlantationDate]])," ", YEAR(CompilDonnées[[#This Row],[PlantationDate]]))</f>
        <v>4 2025</v>
      </c>
      <c r="M2493" t="str">
        <f>CONCATENATE(MONTH(CompilDonnées[[#This Row],[HarvestingDate]])," ", YEAR(CompilDonnées[[#This Row],[HarvestingDate]]))</f>
        <v>5 2025</v>
      </c>
      <c r="N2493">
        <f>_xlfn.NUMBERVALUE(CompilDonnées[[#This Row],[FarmID]]&amp;CompilDonnées[[#This Row],[ModuleNumber]]&amp;CompilDonnées[[#This Row],[PlantationDate]])</f>
        <v>23445765</v>
      </c>
      <c r="O2493" t="str">
        <f>CompilDonnées[[#This Row],[FarmID]]&amp;CompilDonnées[[#This Row],[ModuleNumber]]</f>
        <v>234</v>
      </c>
      <c r="P2493" t="str">
        <f>CompilDonnées[[#This Row],[Ref_Module]]&amp;CompilDonnées[[#This Row],[HarvestingDate]]</f>
        <v>23445805</v>
      </c>
    </row>
    <row r="2494" spans="1:16">
      <c r="A2494" s="5">
        <v>45765</v>
      </c>
      <c r="B2494">
        <v>24</v>
      </c>
      <c r="C2494" t="s">
        <v>31</v>
      </c>
      <c r="D2494">
        <v>3</v>
      </c>
      <c r="E2494">
        <v>100</v>
      </c>
      <c r="F2494" t="s">
        <v>1</v>
      </c>
      <c r="G2494" s="6">
        <v>45805</v>
      </c>
      <c r="H2494">
        <v>40</v>
      </c>
      <c r="I2494">
        <f>ROUND(CompilDonnées[[#This Row],[CultureDuration_days]]/7,0)</f>
        <v>6</v>
      </c>
      <c r="J2494">
        <v>2251</v>
      </c>
      <c r="K2494" t="str">
        <f>_xlfn.CONCAT(WEEKNUM(CompilDonnées[[#This Row],[PlantationDate]]), " ", YEAR(CompilDonnées[[#This Row],[PlantationDate]]))</f>
        <v>16 2025</v>
      </c>
      <c r="L2494" t="str">
        <f>CONCATENATE(MONTH(CompilDonnées[[#This Row],[PlantationDate]])," ", YEAR(CompilDonnées[[#This Row],[PlantationDate]]))</f>
        <v>4 2025</v>
      </c>
      <c r="M2494" t="str">
        <f>CONCATENATE(MONTH(CompilDonnées[[#This Row],[HarvestingDate]])," ", YEAR(CompilDonnées[[#This Row],[HarvestingDate]]))</f>
        <v>5 2025</v>
      </c>
      <c r="N2494">
        <f>_xlfn.NUMBERVALUE(CompilDonnées[[#This Row],[FarmID]]&amp;CompilDonnées[[#This Row],[ModuleNumber]]&amp;CompilDonnées[[#This Row],[PlantationDate]])</f>
        <v>24345765</v>
      </c>
      <c r="O2494" t="str">
        <f>CompilDonnées[[#This Row],[FarmID]]&amp;CompilDonnées[[#This Row],[ModuleNumber]]</f>
        <v>243</v>
      </c>
      <c r="P2494" t="str">
        <f>CompilDonnées[[#This Row],[Ref_Module]]&amp;CompilDonnées[[#This Row],[HarvestingDate]]</f>
        <v>24345805</v>
      </c>
    </row>
    <row r="2495" spans="1:16">
      <c r="A2495" s="5">
        <v>45765</v>
      </c>
      <c r="B2495">
        <v>27</v>
      </c>
      <c r="C2495" t="s">
        <v>88</v>
      </c>
      <c r="D2495">
        <v>1</v>
      </c>
      <c r="E2495">
        <v>100</v>
      </c>
      <c r="F2495" t="s">
        <v>1</v>
      </c>
      <c r="G2495" s="6">
        <v>45807</v>
      </c>
      <c r="H2495">
        <v>42</v>
      </c>
      <c r="I2495">
        <f>ROUND(CompilDonnées[[#This Row],[CultureDuration_days]]/7,0)</f>
        <v>6</v>
      </c>
      <c r="J2495">
        <v>2935</v>
      </c>
      <c r="K2495" t="str">
        <f>_xlfn.CONCAT(WEEKNUM(CompilDonnées[[#This Row],[PlantationDate]]), " ", YEAR(CompilDonnées[[#This Row],[PlantationDate]]))</f>
        <v>16 2025</v>
      </c>
      <c r="L2495" t="str">
        <f>CONCATENATE(MONTH(CompilDonnées[[#This Row],[PlantationDate]])," ", YEAR(CompilDonnées[[#This Row],[PlantationDate]]))</f>
        <v>4 2025</v>
      </c>
      <c r="M2495" t="str">
        <f>CONCATENATE(MONTH(CompilDonnées[[#This Row],[HarvestingDate]])," ", YEAR(CompilDonnées[[#This Row],[HarvestingDate]]))</f>
        <v>5 2025</v>
      </c>
      <c r="N2495">
        <f>_xlfn.NUMBERVALUE(CompilDonnées[[#This Row],[FarmID]]&amp;CompilDonnées[[#This Row],[ModuleNumber]]&amp;CompilDonnées[[#This Row],[PlantationDate]])</f>
        <v>27145765</v>
      </c>
      <c r="O2495" t="str">
        <f>CompilDonnées[[#This Row],[FarmID]]&amp;CompilDonnées[[#This Row],[ModuleNumber]]</f>
        <v>271</v>
      </c>
      <c r="P2495" t="str">
        <f>CompilDonnées[[#This Row],[Ref_Module]]&amp;CompilDonnées[[#This Row],[HarvestingDate]]</f>
        <v>27145807</v>
      </c>
    </row>
    <row r="2496" spans="1:16">
      <c r="A2496" s="5">
        <v>45765</v>
      </c>
      <c r="B2496">
        <v>28</v>
      </c>
      <c r="C2496" t="s">
        <v>122</v>
      </c>
      <c r="D2496">
        <v>2</v>
      </c>
      <c r="E2496">
        <v>100</v>
      </c>
      <c r="F2496" t="s">
        <v>1</v>
      </c>
      <c r="G2496" s="6">
        <v>45805</v>
      </c>
      <c r="H2496">
        <v>40</v>
      </c>
      <c r="I2496">
        <f>ROUND(CompilDonnées[[#This Row],[CultureDuration_days]]/7,0)</f>
        <v>6</v>
      </c>
      <c r="J2496">
        <v>2570</v>
      </c>
      <c r="K2496" t="str">
        <f>_xlfn.CONCAT(WEEKNUM(CompilDonnées[[#This Row],[PlantationDate]]), " ", YEAR(CompilDonnées[[#This Row],[PlantationDate]]))</f>
        <v>16 2025</v>
      </c>
      <c r="L2496" t="str">
        <f>CONCATENATE(MONTH(CompilDonnées[[#This Row],[PlantationDate]])," ", YEAR(CompilDonnées[[#This Row],[PlantationDate]]))</f>
        <v>4 2025</v>
      </c>
      <c r="M2496" t="str">
        <f>CONCATENATE(MONTH(CompilDonnées[[#This Row],[HarvestingDate]])," ", YEAR(CompilDonnées[[#This Row],[HarvestingDate]]))</f>
        <v>5 2025</v>
      </c>
      <c r="N2496">
        <f>_xlfn.NUMBERVALUE(CompilDonnées[[#This Row],[FarmID]]&amp;CompilDonnées[[#This Row],[ModuleNumber]]&amp;CompilDonnées[[#This Row],[PlantationDate]])</f>
        <v>28245765</v>
      </c>
      <c r="O2496" t="str">
        <f>CompilDonnées[[#This Row],[FarmID]]&amp;CompilDonnées[[#This Row],[ModuleNumber]]</f>
        <v>282</v>
      </c>
      <c r="P2496" t="str">
        <f>CompilDonnées[[#This Row],[Ref_Module]]&amp;CompilDonnées[[#This Row],[HarvestingDate]]</f>
        <v>28245805</v>
      </c>
    </row>
    <row r="2497" spans="1:16">
      <c r="A2497" s="5">
        <v>45765</v>
      </c>
      <c r="B2497">
        <v>28</v>
      </c>
      <c r="C2497" t="s">
        <v>122</v>
      </c>
      <c r="D2497">
        <v>6</v>
      </c>
      <c r="E2497">
        <v>100</v>
      </c>
      <c r="F2497" t="s">
        <v>1</v>
      </c>
      <c r="G2497" s="6">
        <v>45811</v>
      </c>
      <c r="H2497">
        <v>46</v>
      </c>
      <c r="I2497">
        <f>ROUND(CompilDonnées[[#This Row],[CultureDuration_days]]/7,0)</f>
        <v>7</v>
      </c>
      <c r="J2497">
        <v>2775</v>
      </c>
      <c r="K2497" t="str">
        <f>_xlfn.CONCAT(WEEKNUM(CompilDonnées[[#This Row],[PlantationDate]]), " ", YEAR(CompilDonnées[[#This Row],[PlantationDate]]))</f>
        <v>16 2025</v>
      </c>
      <c r="L2497" t="str">
        <f>CONCATENATE(MONTH(CompilDonnées[[#This Row],[PlantationDate]])," ", YEAR(CompilDonnées[[#This Row],[PlantationDate]]))</f>
        <v>4 2025</v>
      </c>
      <c r="M2497" t="str">
        <f>CONCATENATE(MONTH(CompilDonnées[[#This Row],[HarvestingDate]])," ", YEAR(CompilDonnées[[#This Row],[HarvestingDate]]))</f>
        <v>6 2025</v>
      </c>
      <c r="N2497">
        <f>_xlfn.NUMBERVALUE(CompilDonnées[[#This Row],[FarmID]]&amp;CompilDonnées[[#This Row],[ModuleNumber]]&amp;CompilDonnées[[#This Row],[PlantationDate]])</f>
        <v>28645765</v>
      </c>
      <c r="O2497" t="str">
        <f>CompilDonnées[[#This Row],[FarmID]]&amp;CompilDonnées[[#This Row],[ModuleNumber]]</f>
        <v>286</v>
      </c>
      <c r="P2497" t="str">
        <f>CompilDonnées[[#This Row],[Ref_Module]]&amp;CompilDonnées[[#This Row],[HarvestingDate]]</f>
        <v>28645811</v>
      </c>
    </row>
    <row r="2498" spans="1:16">
      <c r="A2498" s="5">
        <v>45765</v>
      </c>
      <c r="B2498">
        <v>29</v>
      </c>
      <c r="C2498" t="s">
        <v>2</v>
      </c>
      <c r="D2498">
        <v>2</v>
      </c>
      <c r="E2498">
        <v>100</v>
      </c>
      <c r="F2498" t="s">
        <v>1</v>
      </c>
      <c r="G2498" s="6">
        <v>45805</v>
      </c>
      <c r="H2498">
        <v>40</v>
      </c>
      <c r="I2498">
        <f>ROUND(CompilDonnées[[#This Row],[CultureDuration_days]]/7,0)</f>
        <v>6</v>
      </c>
      <c r="J2498">
        <v>2587</v>
      </c>
      <c r="K2498" t="str">
        <f>_xlfn.CONCAT(WEEKNUM(CompilDonnées[[#This Row],[PlantationDate]]), " ", YEAR(CompilDonnées[[#This Row],[PlantationDate]]))</f>
        <v>16 2025</v>
      </c>
      <c r="L2498" t="str">
        <f>CONCATENATE(MONTH(CompilDonnées[[#This Row],[PlantationDate]])," ", YEAR(CompilDonnées[[#This Row],[PlantationDate]]))</f>
        <v>4 2025</v>
      </c>
      <c r="M2498" t="str">
        <f>CONCATENATE(MONTH(CompilDonnées[[#This Row],[HarvestingDate]])," ", YEAR(CompilDonnées[[#This Row],[HarvestingDate]]))</f>
        <v>5 2025</v>
      </c>
      <c r="N2498">
        <f>_xlfn.NUMBERVALUE(CompilDonnées[[#This Row],[FarmID]]&amp;CompilDonnées[[#This Row],[ModuleNumber]]&amp;CompilDonnées[[#This Row],[PlantationDate]])</f>
        <v>29245765</v>
      </c>
      <c r="O2498" t="str">
        <f>CompilDonnées[[#This Row],[FarmID]]&amp;CompilDonnées[[#This Row],[ModuleNumber]]</f>
        <v>292</v>
      </c>
      <c r="P2498" t="str">
        <f>CompilDonnées[[#This Row],[Ref_Module]]&amp;CompilDonnées[[#This Row],[HarvestingDate]]</f>
        <v>29245805</v>
      </c>
    </row>
    <row r="2499" spans="1:16">
      <c r="A2499" s="5">
        <v>45765</v>
      </c>
      <c r="B2499">
        <v>30</v>
      </c>
      <c r="C2499" t="s">
        <v>4</v>
      </c>
      <c r="D2499">
        <v>4</v>
      </c>
      <c r="E2499">
        <v>100</v>
      </c>
      <c r="F2499" t="s">
        <v>1</v>
      </c>
      <c r="G2499" s="6">
        <v>45807</v>
      </c>
      <c r="H2499">
        <v>42</v>
      </c>
      <c r="I2499">
        <f>ROUND(CompilDonnées[[#This Row],[CultureDuration_days]]/7,0)</f>
        <v>6</v>
      </c>
      <c r="J2499">
        <v>2102</v>
      </c>
      <c r="K2499" t="str">
        <f>_xlfn.CONCAT(WEEKNUM(CompilDonnées[[#This Row],[PlantationDate]]), " ", YEAR(CompilDonnées[[#This Row],[PlantationDate]]))</f>
        <v>16 2025</v>
      </c>
      <c r="L2499" t="str">
        <f>CONCATENATE(MONTH(CompilDonnées[[#This Row],[PlantationDate]])," ", YEAR(CompilDonnées[[#This Row],[PlantationDate]]))</f>
        <v>4 2025</v>
      </c>
      <c r="M2499" t="str">
        <f>CONCATENATE(MONTH(CompilDonnées[[#This Row],[HarvestingDate]])," ", YEAR(CompilDonnées[[#This Row],[HarvestingDate]]))</f>
        <v>5 2025</v>
      </c>
      <c r="N2499">
        <f>_xlfn.NUMBERVALUE(CompilDonnées[[#This Row],[FarmID]]&amp;CompilDonnées[[#This Row],[ModuleNumber]]&amp;CompilDonnées[[#This Row],[PlantationDate]])</f>
        <v>30445765</v>
      </c>
      <c r="O2499" t="str">
        <f>CompilDonnées[[#This Row],[FarmID]]&amp;CompilDonnées[[#This Row],[ModuleNumber]]</f>
        <v>304</v>
      </c>
      <c r="P2499" t="str">
        <f>CompilDonnées[[#This Row],[Ref_Module]]&amp;CompilDonnées[[#This Row],[HarvestingDate]]</f>
        <v>30445807</v>
      </c>
    </row>
    <row r="2500" spans="1:16">
      <c r="A2500" s="5">
        <v>45765</v>
      </c>
      <c r="B2500">
        <v>31</v>
      </c>
      <c r="C2500" t="s">
        <v>62</v>
      </c>
      <c r="D2500">
        <v>1</v>
      </c>
      <c r="E2500">
        <v>100</v>
      </c>
      <c r="F2500" t="s">
        <v>1</v>
      </c>
      <c r="G2500" s="6">
        <v>45807</v>
      </c>
      <c r="H2500">
        <v>42</v>
      </c>
      <c r="I2500">
        <f>ROUND(CompilDonnées[[#This Row],[CultureDuration_days]]/7,0)</f>
        <v>6</v>
      </c>
      <c r="J2500">
        <v>2504</v>
      </c>
      <c r="K2500" t="str">
        <f>_xlfn.CONCAT(WEEKNUM(CompilDonnées[[#This Row],[PlantationDate]]), " ", YEAR(CompilDonnées[[#This Row],[PlantationDate]]))</f>
        <v>16 2025</v>
      </c>
      <c r="L2500" t="str">
        <f>CONCATENATE(MONTH(CompilDonnées[[#This Row],[PlantationDate]])," ", YEAR(CompilDonnées[[#This Row],[PlantationDate]]))</f>
        <v>4 2025</v>
      </c>
      <c r="M2500" t="str">
        <f>CONCATENATE(MONTH(CompilDonnées[[#This Row],[HarvestingDate]])," ", YEAR(CompilDonnées[[#This Row],[HarvestingDate]]))</f>
        <v>5 2025</v>
      </c>
      <c r="N2500">
        <f>_xlfn.NUMBERVALUE(CompilDonnées[[#This Row],[FarmID]]&amp;CompilDonnées[[#This Row],[ModuleNumber]]&amp;CompilDonnées[[#This Row],[PlantationDate]])</f>
        <v>31145765</v>
      </c>
      <c r="O2500" t="str">
        <f>CompilDonnées[[#This Row],[FarmID]]&amp;CompilDonnées[[#This Row],[ModuleNumber]]</f>
        <v>311</v>
      </c>
      <c r="P2500" t="str">
        <f>CompilDonnées[[#This Row],[Ref_Module]]&amp;CompilDonnées[[#This Row],[HarvestingDate]]</f>
        <v>31145807</v>
      </c>
    </row>
    <row r="2501" spans="1:16">
      <c r="A2501" s="5">
        <v>45765</v>
      </c>
      <c r="B2501">
        <v>32</v>
      </c>
      <c r="C2501" t="s">
        <v>25</v>
      </c>
      <c r="D2501">
        <v>4</v>
      </c>
      <c r="E2501">
        <v>100</v>
      </c>
      <c r="F2501" t="s">
        <v>1</v>
      </c>
      <c r="G2501" s="6">
        <v>45811</v>
      </c>
      <c r="H2501">
        <v>46</v>
      </c>
      <c r="I2501">
        <f>ROUND(CompilDonnées[[#This Row],[CultureDuration_days]]/7,0)</f>
        <v>7</v>
      </c>
      <c r="J2501">
        <v>2806</v>
      </c>
      <c r="K2501" t="str">
        <f>_xlfn.CONCAT(WEEKNUM(CompilDonnées[[#This Row],[PlantationDate]]), " ", YEAR(CompilDonnées[[#This Row],[PlantationDate]]))</f>
        <v>16 2025</v>
      </c>
      <c r="L2501" t="str">
        <f>CONCATENATE(MONTH(CompilDonnées[[#This Row],[PlantationDate]])," ", YEAR(CompilDonnées[[#This Row],[PlantationDate]]))</f>
        <v>4 2025</v>
      </c>
      <c r="M2501" t="str">
        <f>CONCATENATE(MONTH(CompilDonnées[[#This Row],[HarvestingDate]])," ", YEAR(CompilDonnées[[#This Row],[HarvestingDate]]))</f>
        <v>6 2025</v>
      </c>
      <c r="N2501">
        <f>_xlfn.NUMBERVALUE(CompilDonnées[[#This Row],[FarmID]]&amp;CompilDonnées[[#This Row],[ModuleNumber]]&amp;CompilDonnées[[#This Row],[PlantationDate]])</f>
        <v>32445765</v>
      </c>
      <c r="O2501" t="str">
        <f>CompilDonnées[[#This Row],[FarmID]]&amp;CompilDonnées[[#This Row],[ModuleNumber]]</f>
        <v>324</v>
      </c>
      <c r="P2501" t="str">
        <f>CompilDonnées[[#This Row],[Ref_Module]]&amp;CompilDonnées[[#This Row],[HarvestingDate]]</f>
        <v>32445811</v>
      </c>
    </row>
    <row r="2502" spans="1:16">
      <c r="A2502" s="5">
        <v>45765</v>
      </c>
      <c r="B2502">
        <v>34</v>
      </c>
      <c r="C2502" t="s">
        <v>68</v>
      </c>
      <c r="D2502">
        <v>3</v>
      </c>
      <c r="E2502">
        <v>100</v>
      </c>
      <c r="F2502" t="s">
        <v>1</v>
      </c>
      <c r="G2502" s="6">
        <v>45812</v>
      </c>
      <c r="H2502">
        <v>47</v>
      </c>
      <c r="I2502">
        <f>ROUND(CompilDonnées[[#This Row],[CultureDuration_days]]/7,0)</f>
        <v>7</v>
      </c>
      <c r="J2502">
        <v>2929</v>
      </c>
      <c r="K2502" t="str">
        <f>_xlfn.CONCAT(WEEKNUM(CompilDonnées[[#This Row],[PlantationDate]]), " ", YEAR(CompilDonnées[[#This Row],[PlantationDate]]))</f>
        <v>16 2025</v>
      </c>
      <c r="L2502" t="str">
        <f>CONCATENATE(MONTH(CompilDonnées[[#This Row],[PlantationDate]])," ", YEAR(CompilDonnées[[#This Row],[PlantationDate]]))</f>
        <v>4 2025</v>
      </c>
      <c r="M2502" t="str">
        <f>CONCATENATE(MONTH(CompilDonnées[[#This Row],[HarvestingDate]])," ", YEAR(CompilDonnées[[#This Row],[HarvestingDate]]))</f>
        <v>6 2025</v>
      </c>
      <c r="N2502">
        <f>_xlfn.NUMBERVALUE(CompilDonnées[[#This Row],[FarmID]]&amp;CompilDonnées[[#This Row],[ModuleNumber]]&amp;CompilDonnées[[#This Row],[PlantationDate]])</f>
        <v>34345765</v>
      </c>
      <c r="O2502" t="str">
        <f>CompilDonnées[[#This Row],[FarmID]]&amp;CompilDonnées[[#This Row],[ModuleNumber]]</f>
        <v>343</v>
      </c>
      <c r="P2502" t="str">
        <f>CompilDonnées[[#This Row],[Ref_Module]]&amp;CompilDonnées[[#This Row],[HarvestingDate]]</f>
        <v>34345812</v>
      </c>
    </row>
    <row r="2503" spans="1:16">
      <c r="A2503" s="5">
        <v>45765</v>
      </c>
      <c r="B2503">
        <v>35</v>
      </c>
      <c r="C2503" t="s">
        <v>69</v>
      </c>
      <c r="D2503">
        <v>5</v>
      </c>
      <c r="E2503">
        <v>100</v>
      </c>
      <c r="F2503" t="s">
        <v>1</v>
      </c>
      <c r="G2503" s="6">
        <v>45806</v>
      </c>
      <c r="H2503">
        <v>41</v>
      </c>
      <c r="I2503">
        <f>ROUND(CompilDonnées[[#This Row],[CultureDuration_days]]/7,0)</f>
        <v>6</v>
      </c>
      <c r="J2503">
        <v>2804</v>
      </c>
      <c r="K2503" t="str">
        <f>_xlfn.CONCAT(WEEKNUM(CompilDonnées[[#This Row],[PlantationDate]]), " ", YEAR(CompilDonnées[[#This Row],[PlantationDate]]))</f>
        <v>16 2025</v>
      </c>
      <c r="L2503" t="str">
        <f>CONCATENATE(MONTH(CompilDonnées[[#This Row],[PlantationDate]])," ", YEAR(CompilDonnées[[#This Row],[PlantationDate]]))</f>
        <v>4 2025</v>
      </c>
      <c r="M2503" t="str">
        <f>CONCATENATE(MONTH(CompilDonnées[[#This Row],[HarvestingDate]])," ", YEAR(CompilDonnées[[#This Row],[HarvestingDate]]))</f>
        <v>5 2025</v>
      </c>
      <c r="N2503">
        <f>_xlfn.NUMBERVALUE(CompilDonnées[[#This Row],[FarmID]]&amp;CompilDonnées[[#This Row],[ModuleNumber]]&amp;CompilDonnées[[#This Row],[PlantationDate]])</f>
        <v>35545765</v>
      </c>
      <c r="O2503" t="str">
        <f>CompilDonnées[[#This Row],[FarmID]]&amp;CompilDonnées[[#This Row],[ModuleNumber]]</f>
        <v>355</v>
      </c>
      <c r="P2503" t="str">
        <f>CompilDonnées[[#This Row],[Ref_Module]]&amp;CompilDonnées[[#This Row],[HarvestingDate]]</f>
        <v>35545806</v>
      </c>
    </row>
    <row r="2504" spans="1:16">
      <c r="A2504" s="5">
        <v>45765</v>
      </c>
      <c r="B2504">
        <v>36</v>
      </c>
      <c r="C2504" t="s">
        <v>63</v>
      </c>
      <c r="D2504">
        <v>4</v>
      </c>
      <c r="E2504">
        <v>100</v>
      </c>
      <c r="F2504" t="s">
        <v>1</v>
      </c>
      <c r="G2504" s="6">
        <v>45805</v>
      </c>
      <c r="H2504">
        <v>40</v>
      </c>
      <c r="I2504">
        <f>ROUND(CompilDonnées[[#This Row],[CultureDuration_days]]/7,0)</f>
        <v>6</v>
      </c>
      <c r="J2504">
        <v>2897</v>
      </c>
      <c r="K2504" t="str">
        <f>_xlfn.CONCAT(WEEKNUM(CompilDonnées[[#This Row],[PlantationDate]]), " ", YEAR(CompilDonnées[[#This Row],[PlantationDate]]))</f>
        <v>16 2025</v>
      </c>
      <c r="L2504" t="str">
        <f>CONCATENATE(MONTH(CompilDonnées[[#This Row],[PlantationDate]])," ", YEAR(CompilDonnées[[#This Row],[PlantationDate]]))</f>
        <v>4 2025</v>
      </c>
      <c r="M2504" t="str">
        <f>CONCATENATE(MONTH(CompilDonnées[[#This Row],[HarvestingDate]])," ", YEAR(CompilDonnées[[#This Row],[HarvestingDate]]))</f>
        <v>5 2025</v>
      </c>
      <c r="N2504">
        <f>_xlfn.NUMBERVALUE(CompilDonnées[[#This Row],[FarmID]]&amp;CompilDonnées[[#This Row],[ModuleNumber]]&amp;CompilDonnées[[#This Row],[PlantationDate]])</f>
        <v>36445765</v>
      </c>
      <c r="O2504" t="str">
        <f>CompilDonnées[[#This Row],[FarmID]]&amp;CompilDonnées[[#This Row],[ModuleNumber]]</f>
        <v>364</v>
      </c>
      <c r="P2504" t="str">
        <f>CompilDonnées[[#This Row],[Ref_Module]]&amp;CompilDonnées[[#This Row],[HarvestingDate]]</f>
        <v>36445805</v>
      </c>
    </row>
    <row r="2505" spans="1:16">
      <c r="A2505" s="5">
        <v>45765</v>
      </c>
      <c r="B2505">
        <v>36</v>
      </c>
      <c r="C2505" t="s">
        <v>63</v>
      </c>
      <c r="D2505">
        <v>5</v>
      </c>
      <c r="E2505">
        <v>100</v>
      </c>
      <c r="F2505" t="s">
        <v>1</v>
      </c>
      <c r="G2505" s="6">
        <v>45805</v>
      </c>
      <c r="H2505">
        <v>40</v>
      </c>
      <c r="I2505">
        <f>ROUND(CompilDonnées[[#This Row],[CultureDuration_days]]/7,0)</f>
        <v>6</v>
      </c>
      <c r="J2505">
        <v>2802</v>
      </c>
      <c r="K2505" t="str">
        <f>_xlfn.CONCAT(WEEKNUM(CompilDonnées[[#This Row],[PlantationDate]]), " ", YEAR(CompilDonnées[[#This Row],[PlantationDate]]))</f>
        <v>16 2025</v>
      </c>
      <c r="L2505" t="str">
        <f>CONCATENATE(MONTH(CompilDonnées[[#This Row],[PlantationDate]])," ", YEAR(CompilDonnées[[#This Row],[PlantationDate]]))</f>
        <v>4 2025</v>
      </c>
      <c r="M2505" t="str">
        <f>CONCATENATE(MONTH(CompilDonnées[[#This Row],[HarvestingDate]])," ", YEAR(CompilDonnées[[#This Row],[HarvestingDate]]))</f>
        <v>5 2025</v>
      </c>
      <c r="N2505">
        <f>_xlfn.NUMBERVALUE(CompilDonnées[[#This Row],[FarmID]]&amp;CompilDonnées[[#This Row],[ModuleNumber]]&amp;CompilDonnées[[#This Row],[PlantationDate]])</f>
        <v>36545765</v>
      </c>
      <c r="O2505" t="str">
        <f>CompilDonnées[[#This Row],[FarmID]]&amp;CompilDonnées[[#This Row],[ModuleNumber]]</f>
        <v>365</v>
      </c>
      <c r="P2505" t="str">
        <f>CompilDonnées[[#This Row],[Ref_Module]]&amp;CompilDonnées[[#This Row],[HarvestingDate]]</f>
        <v>36545805</v>
      </c>
    </row>
    <row r="2506" spans="1:16">
      <c r="A2506" s="5">
        <v>45765</v>
      </c>
      <c r="B2506">
        <v>38</v>
      </c>
      <c r="C2506" t="s">
        <v>34</v>
      </c>
      <c r="D2506">
        <v>4</v>
      </c>
      <c r="E2506">
        <v>100</v>
      </c>
      <c r="F2506" t="s">
        <v>1</v>
      </c>
      <c r="G2506" s="6">
        <v>45806</v>
      </c>
      <c r="H2506">
        <v>41</v>
      </c>
      <c r="I2506">
        <f>ROUND(CompilDonnées[[#This Row],[CultureDuration_days]]/7,0)</f>
        <v>6</v>
      </c>
      <c r="J2506">
        <v>1838</v>
      </c>
      <c r="K2506" t="str">
        <f>_xlfn.CONCAT(WEEKNUM(CompilDonnées[[#This Row],[PlantationDate]]), " ", YEAR(CompilDonnées[[#This Row],[PlantationDate]]))</f>
        <v>16 2025</v>
      </c>
      <c r="L2506" t="str">
        <f>CONCATENATE(MONTH(CompilDonnées[[#This Row],[PlantationDate]])," ", YEAR(CompilDonnées[[#This Row],[PlantationDate]]))</f>
        <v>4 2025</v>
      </c>
      <c r="M2506" t="str">
        <f>CONCATENATE(MONTH(CompilDonnées[[#This Row],[HarvestingDate]])," ", YEAR(CompilDonnées[[#This Row],[HarvestingDate]]))</f>
        <v>5 2025</v>
      </c>
      <c r="N2506">
        <f>_xlfn.NUMBERVALUE(CompilDonnées[[#This Row],[FarmID]]&amp;CompilDonnées[[#This Row],[ModuleNumber]]&amp;CompilDonnées[[#This Row],[PlantationDate]])</f>
        <v>38445765</v>
      </c>
      <c r="O2506" t="str">
        <f>CompilDonnées[[#This Row],[FarmID]]&amp;CompilDonnées[[#This Row],[ModuleNumber]]</f>
        <v>384</v>
      </c>
      <c r="P2506" t="str">
        <f>CompilDonnées[[#This Row],[Ref_Module]]&amp;CompilDonnées[[#This Row],[HarvestingDate]]</f>
        <v>38445806</v>
      </c>
    </row>
    <row r="2507" spans="1:16">
      <c r="A2507" s="5">
        <v>45765</v>
      </c>
      <c r="B2507">
        <v>39</v>
      </c>
      <c r="C2507" t="s">
        <v>81</v>
      </c>
      <c r="D2507">
        <v>3</v>
      </c>
      <c r="E2507">
        <v>100</v>
      </c>
      <c r="F2507" t="s">
        <v>1</v>
      </c>
      <c r="G2507" s="6">
        <v>45811</v>
      </c>
      <c r="H2507">
        <v>46</v>
      </c>
      <c r="I2507">
        <f>ROUND(CompilDonnées[[#This Row],[CultureDuration_days]]/7,0)</f>
        <v>7</v>
      </c>
      <c r="J2507">
        <v>3556</v>
      </c>
      <c r="K2507" t="str">
        <f>_xlfn.CONCAT(WEEKNUM(CompilDonnées[[#This Row],[PlantationDate]]), " ", YEAR(CompilDonnées[[#This Row],[PlantationDate]]))</f>
        <v>16 2025</v>
      </c>
      <c r="L2507" t="str">
        <f>CONCATENATE(MONTH(CompilDonnées[[#This Row],[PlantationDate]])," ", YEAR(CompilDonnées[[#This Row],[PlantationDate]]))</f>
        <v>4 2025</v>
      </c>
      <c r="M2507" t="str">
        <f>CONCATENATE(MONTH(CompilDonnées[[#This Row],[HarvestingDate]])," ", YEAR(CompilDonnées[[#This Row],[HarvestingDate]]))</f>
        <v>6 2025</v>
      </c>
      <c r="N2507">
        <f>_xlfn.NUMBERVALUE(CompilDonnées[[#This Row],[FarmID]]&amp;CompilDonnées[[#This Row],[ModuleNumber]]&amp;CompilDonnées[[#This Row],[PlantationDate]])</f>
        <v>39345765</v>
      </c>
      <c r="O2507" t="str">
        <f>CompilDonnées[[#This Row],[FarmID]]&amp;CompilDonnées[[#This Row],[ModuleNumber]]</f>
        <v>393</v>
      </c>
      <c r="P2507" t="str">
        <f>CompilDonnées[[#This Row],[Ref_Module]]&amp;CompilDonnées[[#This Row],[HarvestingDate]]</f>
        <v>39345811</v>
      </c>
    </row>
    <row r="2508" spans="1:16">
      <c r="A2508" s="5">
        <v>45765</v>
      </c>
      <c r="B2508">
        <v>47</v>
      </c>
      <c r="C2508" t="s">
        <v>12</v>
      </c>
      <c r="D2508">
        <v>2</v>
      </c>
      <c r="E2508">
        <v>100</v>
      </c>
      <c r="F2508" t="s">
        <v>1</v>
      </c>
      <c r="G2508" s="6">
        <v>45820</v>
      </c>
      <c r="H2508">
        <v>55</v>
      </c>
      <c r="I2508">
        <f>ROUND(CompilDonnées[[#This Row],[CultureDuration_days]]/7,0)</f>
        <v>8</v>
      </c>
      <c r="J2508">
        <v>3532</v>
      </c>
      <c r="K2508" t="str">
        <f>_xlfn.CONCAT(WEEKNUM(CompilDonnées[[#This Row],[PlantationDate]]), " ", YEAR(CompilDonnées[[#This Row],[PlantationDate]]))</f>
        <v>16 2025</v>
      </c>
      <c r="L2508" t="str">
        <f>CONCATENATE(MONTH(CompilDonnées[[#This Row],[PlantationDate]])," ", YEAR(CompilDonnées[[#This Row],[PlantationDate]]))</f>
        <v>4 2025</v>
      </c>
      <c r="M2508" t="str">
        <f>CONCATENATE(MONTH(CompilDonnées[[#This Row],[HarvestingDate]])," ", YEAR(CompilDonnées[[#This Row],[HarvestingDate]]))</f>
        <v>6 2025</v>
      </c>
      <c r="N2508">
        <f>_xlfn.NUMBERVALUE(CompilDonnées[[#This Row],[FarmID]]&amp;CompilDonnées[[#This Row],[ModuleNumber]]&amp;CompilDonnées[[#This Row],[PlantationDate]])</f>
        <v>47245765</v>
      </c>
      <c r="O2508" t="str">
        <f>CompilDonnées[[#This Row],[FarmID]]&amp;CompilDonnées[[#This Row],[ModuleNumber]]</f>
        <v>472</v>
      </c>
      <c r="P2508" t="str">
        <f>CompilDonnées[[#This Row],[Ref_Module]]&amp;CompilDonnées[[#This Row],[HarvestingDate]]</f>
        <v>47245820</v>
      </c>
    </row>
    <row r="2509" spans="1:16">
      <c r="A2509" s="5">
        <v>45765</v>
      </c>
      <c r="B2509">
        <v>65</v>
      </c>
      <c r="C2509" t="s">
        <v>36</v>
      </c>
      <c r="D2509">
        <v>4</v>
      </c>
      <c r="E2509">
        <v>100</v>
      </c>
      <c r="F2509" t="s">
        <v>1</v>
      </c>
      <c r="G2509" s="6">
        <v>45813</v>
      </c>
      <c r="H2509">
        <v>48</v>
      </c>
      <c r="I2509">
        <f>ROUND(CompilDonnées[[#This Row],[CultureDuration_days]]/7,0)</f>
        <v>7</v>
      </c>
      <c r="J2509">
        <v>3178</v>
      </c>
      <c r="K2509" t="str">
        <f>_xlfn.CONCAT(WEEKNUM(CompilDonnées[[#This Row],[PlantationDate]]), " ", YEAR(CompilDonnées[[#This Row],[PlantationDate]]))</f>
        <v>16 2025</v>
      </c>
      <c r="L2509" t="str">
        <f>CONCATENATE(MONTH(CompilDonnées[[#This Row],[PlantationDate]])," ", YEAR(CompilDonnées[[#This Row],[PlantationDate]]))</f>
        <v>4 2025</v>
      </c>
      <c r="M2509" t="str">
        <f>CONCATENATE(MONTH(CompilDonnées[[#This Row],[HarvestingDate]])," ", YEAR(CompilDonnées[[#This Row],[HarvestingDate]]))</f>
        <v>6 2025</v>
      </c>
      <c r="N2509">
        <f>_xlfn.NUMBERVALUE(CompilDonnées[[#This Row],[FarmID]]&amp;CompilDonnées[[#This Row],[ModuleNumber]]&amp;CompilDonnées[[#This Row],[PlantationDate]])</f>
        <v>65445765</v>
      </c>
      <c r="O2509" t="str">
        <f>CompilDonnées[[#This Row],[FarmID]]&amp;CompilDonnées[[#This Row],[ModuleNumber]]</f>
        <v>654</v>
      </c>
      <c r="P2509" t="str">
        <f>CompilDonnées[[#This Row],[Ref_Module]]&amp;CompilDonnées[[#This Row],[HarvestingDate]]</f>
        <v>65445813</v>
      </c>
    </row>
    <row r="2510" spans="1:16">
      <c r="A2510" s="5">
        <v>45765</v>
      </c>
      <c r="B2510">
        <v>120</v>
      </c>
      <c r="C2510" t="s">
        <v>3</v>
      </c>
      <c r="D2510">
        <v>2</v>
      </c>
      <c r="E2510">
        <v>60</v>
      </c>
      <c r="F2510" t="s">
        <v>105</v>
      </c>
      <c r="G2510" s="6">
        <v>45813</v>
      </c>
      <c r="H2510">
        <v>48</v>
      </c>
      <c r="I2510">
        <f>ROUND(CompilDonnées[[#This Row],[CultureDuration_days]]/7,0)</f>
        <v>7</v>
      </c>
      <c r="J2510">
        <v>850</v>
      </c>
      <c r="K2510" t="str">
        <f>_xlfn.CONCAT(WEEKNUM(CompilDonnées[[#This Row],[PlantationDate]]), " ", YEAR(CompilDonnées[[#This Row],[PlantationDate]]))</f>
        <v>16 2025</v>
      </c>
      <c r="L2510" t="str">
        <f>CONCATENATE(MONTH(CompilDonnées[[#This Row],[PlantationDate]])," ", YEAR(CompilDonnées[[#This Row],[PlantationDate]]))</f>
        <v>4 2025</v>
      </c>
      <c r="M2510" t="str">
        <f>CONCATENATE(MONTH(CompilDonnées[[#This Row],[HarvestingDate]])," ", YEAR(CompilDonnées[[#This Row],[HarvestingDate]]))</f>
        <v>6 2025</v>
      </c>
      <c r="N2510">
        <f>_xlfn.NUMBERVALUE(CompilDonnées[[#This Row],[FarmID]]&amp;CompilDonnées[[#This Row],[ModuleNumber]]&amp;CompilDonnées[[#This Row],[PlantationDate]])</f>
        <v>120245765</v>
      </c>
      <c r="O2510" t="str">
        <f>CompilDonnées[[#This Row],[FarmID]]&amp;CompilDonnées[[#This Row],[ModuleNumber]]</f>
        <v>1202</v>
      </c>
      <c r="P2510" t="str">
        <f>CompilDonnées[[#This Row],[Ref_Module]]&amp;CompilDonnées[[#This Row],[HarvestingDate]]</f>
        <v>120245813</v>
      </c>
    </row>
    <row r="2511" spans="1:16">
      <c r="A2511" s="5">
        <v>45765</v>
      </c>
      <c r="B2511">
        <v>137</v>
      </c>
      <c r="C2511" t="s">
        <v>3</v>
      </c>
      <c r="D2511">
        <v>1</v>
      </c>
      <c r="E2511">
        <v>60</v>
      </c>
      <c r="F2511" t="s">
        <v>105</v>
      </c>
      <c r="G2511" s="6">
        <v>45818</v>
      </c>
      <c r="H2511">
        <v>53</v>
      </c>
      <c r="I2511">
        <f>ROUND(CompilDonnées[[#This Row],[CultureDuration_days]]/7,0)</f>
        <v>8</v>
      </c>
      <c r="J2511">
        <v>510</v>
      </c>
      <c r="K2511" t="str">
        <f>_xlfn.CONCAT(WEEKNUM(CompilDonnées[[#This Row],[PlantationDate]]), " ", YEAR(CompilDonnées[[#This Row],[PlantationDate]]))</f>
        <v>16 2025</v>
      </c>
      <c r="L2511" t="str">
        <f>CONCATENATE(MONTH(CompilDonnées[[#This Row],[PlantationDate]])," ", YEAR(CompilDonnées[[#This Row],[PlantationDate]]))</f>
        <v>4 2025</v>
      </c>
      <c r="M2511" t="str">
        <f>CONCATENATE(MONTH(CompilDonnées[[#This Row],[HarvestingDate]])," ", YEAR(CompilDonnées[[#This Row],[HarvestingDate]]))</f>
        <v>6 2025</v>
      </c>
      <c r="N2511">
        <f>_xlfn.NUMBERVALUE(CompilDonnées[[#This Row],[FarmID]]&amp;CompilDonnées[[#This Row],[ModuleNumber]]&amp;CompilDonnées[[#This Row],[PlantationDate]])</f>
        <v>137145765</v>
      </c>
      <c r="O2511" t="str">
        <f>CompilDonnées[[#This Row],[FarmID]]&amp;CompilDonnées[[#This Row],[ModuleNumber]]</f>
        <v>1371</v>
      </c>
      <c r="P2511" t="str">
        <f>CompilDonnées[[#This Row],[Ref_Module]]&amp;CompilDonnées[[#This Row],[HarvestingDate]]</f>
        <v>137145818</v>
      </c>
    </row>
    <row r="2512" spans="1:16">
      <c r="A2512" s="5">
        <v>45765</v>
      </c>
      <c r="B2512">
        <v>137</v>
      </c>
      <c r="C2512" t="s">
        <v>3</v>
      </c>
      <c r="D2512">
        <v>2</v>
      </c>
      <c r="E2512">
        <v>60</v>
      </c>
      <c r="F2512" t="s">
        <v>105</v>
      </c>
      <c r="G2512" s="6">
        <v>45818</v>
      </c>
      <c r="H2512">
        <v>53</v>
      </c>
      <c r="I2512">
        <f>ROUND(CompilDonnées[[#This Row],[CultureDuration_days]]/7,0)</f>
        <v>8</v>
      </c>
      <c r="J2512">
        <v>520</v>
      </c>
      <c r="K2512" t="str">
        <f>_xlfn.CONCAT(WEEKNUM(CompilDonnées[[#This Row],[PlantationDate]]), " ", YEAR(CompilDonnées[[#This Row],[PlantationDate]]))</f>
        <v>16 2025</v>
      </c>
      <c r="L2512" t="str">
        <f>CONCATENATE(MONTH(CompilDonnées[[#This Row],[PlantationDate]])," ", YEAR(CompilDonnées[[#This Row],[PlantationDate]]))</f>
        <v>4 2025</v>
      </c>
      <c r="M2512" t="str">
        <f>CONCATENATE(MONTH(CompilDonnées[[#This Row],[HarvestingDate]])," ", YEAR(CompilDonnées[[#This Row],[HarvestingDate]]))</f>
        <v>6 2025</v>
      </c>
      <c r="N2512">
        <f>_xlfn.NUMBERVALUE(CompilDonnées[[#This Row],[FarmID]]&amp;CompilDonnées[[#This Row],[ModuleNumber]]&amp;CompilDonnées[[#This Row],[PlantationDate]])</f>
        <v>137245765</v>
      </c>
      <c r="O2512" t="str">
        <f>CompilDonnées[[#This Row],[FarmID]]&amp;CompilDonnées[[#This Row],[ModuleNumber]]</f>
        <v>1372</v>
      </c>
      <c r="P2512" t="str">
        <f>CompilDonnées[[#This Row],[Ref_Module]]&amp;CompilDonnées[[#This Row],[HarvestingDate]]</f>
        <v>137245818</v>
      </c>
    </row>
    <row r="2513" spans="1:16">
      <c r="A2513" s="5">
        <v>45766</v>
      </c>
      <c r="B2513">
        <v>5</v>
      </c>
      <c r="C2513" t="s">
        <v>32</v>
      </c>
      <c r="D2513">
        <v>5</v>
      </c>
      <c r="E2513">
        <v>100</v>
      </c>
      <c r="F2513" t="s">
        <v>1</v>
      </c>
      <c r="G2513" s="6">
        <v>45807</v>
      </c>
      <c r="H2513">
        <v>41</v>
      </c>
      <c r="I2513">
        <f>ROUND(CompilDonnées[[#This Row],[CultureDuration_days]]/7,0)</f>
        <v>6</v>
      </c>
      <c r="J2513">
        <v>1798</v>
      </c>
      <c r="K2513" t="str">
        <f>_xlfn.CONCAT(WEEKNUM(CompilDonnées[[#This Row],[PlantationDate]]), " ", YEAR(CompilDonnées[[#This Row],[PlantationDate]]))</f>
        <v>16 2025</v>
      </c>
      <c r="L2513" t="str">
        <f>CONCATENATE(MONTH(CompilDonnées[[#This Row],[PlantationDate]])," ", YEAR(CompilDonnées[[#This Row],[PlantationDate]]))</f>
        <v>4 2025</v>
      </c>
      <c r="M2513" t="str">
        <f>CONCATENATE(MONTH(CompilDonnées[[#This Row],[HarvestingDate]])," ", YEAR(CompilDonnées[[#This Row],[HarvestingDate]]))</f>
        <v>5 2025</v>
      </c>
      <c r="N2513">
        <f>_xlfn.NUMBERVALUE(CompilDonnées[[#This Row],[FarmID]]&amp;CompilDonnées[[#This Row],[ModuleNumber]]&amp;CompilDonnées[[#This Row],[PlantationDate]])</f>
        <v>5545766</v>
      </c>
      <c r="O2513" t="str">
        <f>CompilDonnées[[#This Row],[FarmID]]&amp;CompilDonnées[[#This Row],[ModuleNumber]]</f>
        <v>55</v>
      </c>
      <c r="P2513" t="str">
        <f>CompilDonnées[[#This Row],[Ref_Module]]&amp;CompilDonnées[[#This Row],[HarvestingDate]]</f>
        <v>5545807</v>
      </c>
    </row>
    <row r="2514" spans="1:16">
      <c r="A2514" s="5">
        <v>45766</v>
      </c>
      <c r="B2514">
        <v>6</v>
      </c>
      <c r="C2514" t="s">
        <v>24</v>
      </c>
      <c r="D2514">
        <v>5</v>
      </c>
      <c r="E2514">
        <v>100</v>
      </c>
      <c r="F2514" t="s">
        <v>1</v>
      </c>
      <c r="G2514" s="6">
        <v>45811</v>
      </c>
      <c r="H2514">
        <v>45</v>
      </c>
      <c r="I2514">
        <f>ROUND(CompilDonnées[[#This Row],[CultureDuration_days]]/7,0)</f>
        <v>6</v>
      </c>
      <c r="J2514">
        <v>2304</v>
      </c>
      <c r="K2514" t="str">
        <f>_xlfn.CONCAT(WEEKNUM(CompilDonnées[[#This Row],[PlantationDate]]), " ", YEAR(CompilDonnées[[#This Row],[PlantationDate]]))</f>
        <v>16 2025</v>
      </c>
      <c r="L2514" t="str">
        <f>CONCATENATE(MONTH(CompilDonnées[[#This Row],[PlantationDate]])," ", YEAR(CompilDonnées[[#This Row],[PlantationDate]]))</f>
        <v>4 2025</v>
      </c>
      <c r="M2514" t="str">
        <f>CONCATENATE(MONTH(CompilDonnées[[#This Row],[HarvestingDate]])," ", YEAR(CompilDonnées[[#This Row],[HarvestingDate]]))</f>
        <v>6 2025</v>
      </c>
      <c r="N2514">
        <f>_xlfn.NUMBERVALUE(CompilDonnées[[#This Row],[FarmID]]&amp;CompilDonnées[[#This Row],[ModuleNumber]]&amp;CompilDonnées[[#This Row],[PlantationDate]])</f>
        <v>6545766</v>
      </c>
      <c r="O2514" t="str">
        <f>CompilDonnées[[#This Row],[FarmID]]&amp;CompilDonnées[[#This Row],[ModuleNumber]]</f>
        <v>65</v>
      </c>
      <c r="P2514" t="str">
        <f>CompilDonnées[[#This Row],[Ref_Module]]&amp;CompilDonnées[[#This Row],[HarvestingDate]]</f>
        <v>6545811</v>
      </c>
    </row>
    <row r="2515" spans="1:16">
      <c r="A2515" s="5">
        <v>45766</v>
      </c>
      <c r="B2515">
        <v>8</v>
      </c>
      <c r="C2515" t="s">
        <v>57</v>
      </c>
      <c r="D2515">
        <v>2</v>
      </c>
      <c r="E2515">
        <v>100</v>
      </c>
      <c r="F2515" t="s">
        <v>1</v>
      </c>
      <c r="G2515" s="6">
        <v>45811</v>
      </c>
      <c r="H2515">
        <v>45</v>
      </c>
      <c r="I2515">
        <f>ROUND(CompilDonnées[[#This Row],[CultureDuration_days]]/7,0)</f>
        <v>6</v>
      </c>
      <c r="J2515">
        <v>3061</v>
      </c>
      <c r="K2515" t="str">
        <f>_xlfn.CONCAT(WEEKNUM(CompilDonnées[[#This Row],[PlantationDate]]), " ", YEAR(CompilDonnées[[#This Row],[PlantationDate]]))</f>
        <v>16 2025</v>
      </c>
      <c r="L2515" t="str">
        <f>CONCATENATE(MONTH(CompilDonnées[[#This Row],[PlantationDate]])," ", YEAR(CompilDonnées[[#This Row],[PlantationDate]]))</f>
        <v>4 2025</v>
      </c>
      <c r="M2515" t="str">
        <f>CONCATENATE(MONTH(CompilDonnées[[#This Row],[HarvestingDate]])," ", YEAR(CompilDonnées[[#This Row],[HarvestingDate]]))</f>
        <v>6 2025</v>
      </c>
      <c r="N2515">
        <f>_xlfn.NUMBERVALUE(CompilDonnées[[#This Row],[FarmID]]&amp;CompilDonnées[[#This Row],[ModuleNumber]]&amp;CompilDonnées[[#This Row],[PlantationDate]])</f>
        <v>8245766</v>
      </c>
      <c r="O2515" t="str">
        <f>CompilDonnées[[#This Row],[FarmID]]&amp;CompilDonnées[[#This Row],[ModuleNumber]]</f>
        <v>82</v>
      </c>
      <c r="P2515" t="str">
        <f>CompilDonnées[[#This Row],[Ref_Module]]&amp;CompilDonnées[[#This Row],[HarvestingDate]]</f>
        <v>8245811</v>
      </c>
    </row>
    <row r="2516" spans="1:16">
      <c r="A2516" s="5">
        <v>45766</v>
      </c>
      <c r="B2516">
        <v>11</v>
      </c>
      <c r="C2516" t="s">
        <v>106</v>
      </c>
      <c r="D2516">
        <v>3</v>
      </c>
      <c r="E2516">
        <v>100</v>
      </c>
      <c r="F2516" t="s">
        <v>1</v>
      </c>
      <c r="G2516" s="6">
        <v>45813</v>
      </c>
      <c r="H2516">
        <v>47</v>
      </c>
      <c r="I2516">
        <f>ROUND(CompilDonnées[[#This Row],[CultureDuration_days]]/7,0)</f>
        <v>7</v>
      </c>
      <c r="J2516">
        <v>2965</v>
      </c>
      <c r="K2516" t="str">
        <f>_xlfn.CONCAT(WEEKNUM(CompilDonnées[[#This Row],[PlantationDate]]), " ", YEAR(CompilDonnées[[#This Row],[PlantationDate]]))</f>
        <v>16 2025</v>
      </c>
      <c r="L2516" t="str">
        <f>CONCATENATE(MONTH(CompilDonnées[[#This Row],[PlantationDate]])," ", YEAR(CompilDonnées[[#This Row],[PlantationDate]]))</f>
        <v>4 2025</v>
      </c>
      <c r="M2516" t="str">
        <f>CONCATENATE(MONTH(CompilDonnées[[#This Row],[HarvestingDate]])," ", YEAR(CompilDonnées[[#This Row],[HarvestingDate]]))</f>
        <v>6 2025</v>
      </c>
      <c r="N2516">
        <f>_xlfn.NUMBERVALUE(CompilDonnées[[#This Row],[FarmID]]&amp;CompilDonnées[[#This Row],[ModuleNumber]]&amp;CompilDonnées[[#This Row],[PlantationDate]])</f>
        <v>11345766</v>
      </c>
      <c r="O2516" t="str">
        <f>CompilDonnées[[#This Row],[FarmID]]&amp;CompilDonnées[[#This Row],[ModuleNumber]]</f>
        <v>113</v>
      </c>
      <c r="P2516" t="str">
        <f>CompilDonnées[[#This Row],[Ref_Module]]&amp;CompilDonnées[[#This Row],[HarvestingDate]]</f>
        <v>11345813</v>
      </c>
    </row>
    <row r="2517" spans="1:16">
      <c r="A2517" s="5">
        <v>45766</v>
      </c>
      <c r="B2517">
        <v>12</v>
      </c>
      <c r="C2517" t="s">
        <v>123</v>
      </c>
      <c r="D2517">
        <v>2</v>
      </c>
      <c r="E2517">
        <v>100</v>
      </c>
      <c r="F2517" t="s">
        <v>1</v>
      </c>
      <c r="G2517" s="6">
        <v>45811</v>
      </c>
      <c r="H2517">
        <v>45</v>
      </c>
      <c r="I2517">
        <f>ROUND(CompilDonnées[[#This Row],[CultureDuration_days]]/7,0)</f>
        <v>6</v>
      </c>
      <c r="J2517">
        <v>2544</v>
      </c>
      <c r="K2517" t="str">
        <f>_xlfn.CONCAT(WEEKNUM(CompilDonnées[[#This Row],[PlantationDate]]), " ", YEAR(CompilDonnées[[#This Row],[PlantationDate]]))</f>
        <v>16 2025</v>
      </c>
      <c r="L2517" t="str">
        <f>CONCATENATE(MONTH(CompilDonnées[[#This Row],[PlantationDate]])," ", YEAR(CompilDonnées[[#This Row],[PlantationDate]]))</f>
        <v>4 2025</v>
      </c>
      <c r="M2517" t="str">
        <f>CONCATENATE(MONTH(CompilDonnées[[#This Row],[HarvestingDate]])," ", YEAR(CompilDonnées[[#This Row],[HarvestingDate]]))</f>
        <v>6 2025</v>
      </c>
      <c r="N2517">
        <f>_xlfn.NUMBERVALUE(CompilDonnées[[#This Row],[FarmID]]&amp;CompilDonnées[[#This Row],[ModuleNumber]]&amp;CompilDonnées[[#This Row],[PlantationDate]])</f>
        <v>12245766</v>
      </c>
      <c r="O2517" t="str">
        <f>CompilDonnées[[#This Row],[FarmID]]&amp;CompilDonnées[[#This Row],[ModuleNumber]]</f>
        <v>122</v>
      </c>
      <c r="P2517" t="str">
        <f>CompilDonnées[[#This Row],[Ref_Module]]&amp;CompilDonnées[[#This Row],[HarvestingDate]]</f>
        <v>12245811</v>
      </c>
    </row>
    <row r="2518" spans="1:16">
      <c r="A2518" s="5">
        <v>45766</v>
      </c>
      <c r="B2518">
        <v>13</v>
      </c>
      <c r="C2518" t="s">
        <v>114</v>
      </c>
      <c r="D2518">
        <v>1</v>
      </c>
      <c r="E2518">
        <v>100</v>
      </c>
      <c r="F2518" t="s">
        <v>1</v>
      </c>
      <c r="G2518" s="6">
        <v>45806</v>
      </c>
      <c r="H2518">
        <v>40</v>
      </c>
      <c r="I2518">
        <f>ROUND(CompilDonnées[[#This Row],[CultureDuration_days]]/7,0)</f>
        <v>6</v>
      </c>
      <c r="J2518">
        <v>2778</v>
      </c>
      <c r="K2518" t="str">
        <f>_xlfn.CONCAT(WEEKNUM(CompilDonnées[[#This Row],[PlantationDate]]), " ", YEAR(CompilDonnées[[#This Row],[PlantationDate]]))</f>
        <v>16 2025</v>
      </c>
      <c r="L2518" t="str">
        <f>CONCATENATE(MONTH(CompilDonnées[[#This Row],[PlantationDate]])," ", YEAR(CompilDonnées[[#This Row],[PlantationDate]]))</f>
        <v>4 2025</v>
      </c>
      <c r="M2518" t="str">
        <f>CONCATENATE(MONTH(CompilDonnées[[#This Row],[HarvestingDate]])," ", YEAR(CompilDonnées[[#This Row],[HarvestingDate]]))</f>
        <v>5 2025</v>
      </c>
      <c r="N2518">
        <f>_xlfn.NUMBERVALUE(CompilDonnées[[#This Row],[FarmID]]&amp;CompilDonnées[[#This Row],[ModuleNumber]]&amp;CompilDonnées[[#This Row],[PlantationDate]])</f>
        <v>13145766</v>
      </c>
      <c r="O2518" t="str">
        <f>CompilDonnées[[#This Row],[FarmID]]&amp;CompilDonnées[[#This Row],[ModuleNumber]]</f>
        <v>131</v>
      </c>
      <c r="P2518" t="str">
        <f>CompilDonnées[[#This Row],[Ref_Module]]&amp;CompilDonnées[[#This Row],[HarvestingDate]]</f>
        <v>13145806</v>
      </c>
    </row>
    <row r="2519" spans="1:16">
      <c r="A2519" s="5">
        <v>45766</v>
      </c>
      <c r="B2519">
        <v>13</v>
      </c>
      <c r="C2519" t="s">
        <v>114</v>
      </c>
      <c r="D2519">
        <v>2</v>
      </c>
      <c r="E2519">
        <v>100</v>
      </c>
      <c r="F2519" t="s">
        <v>1</v>
      </c>
      <c r="G2519" s="6">
        <v>45806</v>
      </c>
      <c r="H2519">
        <v>40</v>
      </c>
      <c r="I2519">
        <f>ROUND(CompilDonnées[[#This Row],[CultureDuration_days]]/7,0)</f>
        <v>6</v>
      </c>
      <c r="J2519">
        <v>2715</v>
      </c>
      <c r="K2519" t="str">
        <f>_xlfn.CONCAT(WEEKNUM(CompilDonnées[[#This Row],[PlantationDate]]), " ", YEAR(CompilDonnées[[#This Row],[PlantationDate]]))</f>
        <v>16 2025</v>
      </c>
      <c r="L2519" t="str">
        <f>CONCATENATE(MONTH(CompilDonnées[[#This Row],[PlantationDate]])," ", YEAR(CompilDonnées[[#This Row],[PlantationDate]]))</f>
        <v>4 2025</v>
      </c>
      <c r="M2519" t="str">
        <f>CONCATENATE(MONTH(CompilDonnées[[#This Row],[HarvestingDate]])," ", YEAR(CompilDonnées[[#This Row],[HarvestingDate]]))</f>
        <v>5 2025</v>
      </c>
      <c r="N2519">
        <f>_xlfn.NUMBERVALUE(CompilDonnées[[#This Row],[FarmID]]&amp;CompilDonnées[[#This Row],[ModuleNumber]]&amp;CompilDonnées[[#This Row],[PlantationDate]])</f>
        <v>13245766</v>
      </c>
      <c r="O2519" t="str">
        <f>CompilDonnées[[#This Row],[FarmID]]&amp;CompilDonnées[[#This Row],[ModuleNumber]]</f>
        <v>132</v>
      </c>
      <c r="P2519" t="str">
        <f>CompilDonnées[[#This Row],[Ref_Module]]&amp;CompilDonnées[[#This Row],[HarvestingDate]]</f>
        <v>13245806</v>
      </c>
    </row>
    <row r="2520" spans="1:16">
      <c r="A2520" s="5">
        <v>45766</v>
      </c>
      <c r="B2520">
        <v>17</v>
      </c>
      <c r="C2520" t="s">
        <v>80</v>
      </c>
      <c r="D2520">
        <v>5</v>
      </c>
      <c r="E2520">
        <v>100</v>
      </c>
      <c r="F2520" t="s">
        <v>1</v>
      </c>
      <c r="G2520" s="6">
        <v>45811</v>
      </c>
      <c r="H2520">
        <v>45</v>
      </c>
      <c r="I2520">
        <f>ROUND(CompilDonnées[[#This Row],[CultureDuration_days]]/7,0)</f>
        <v>6</v>
      </c>
      <c r="J2520">
        <v>2371</v>
      </c>
      <c r="K2520" t="str">
        <f>_xlfn.CONCAT(WEEKNUM(CompilDonnées[[#This Row],[PlantationDate]]), " ", YEAR(CompilDonnées[[#This Row],[PlantationDate]]))</f>
        <v>16 2025</v>
      </c>
      <c r="L2520" t="str">
        <f>CONCATENATE(MONTH(CompilDonnées[[#This Row],[PlantationDate]])," ", YEAR(CompilDonnées[[#This Row],[PlantationDate]]))</f>
        <v>4 2025</v>
      </c>
      <c r="M2520" t="str">
        <f>CONCATENATE(MONTH(CompilDonnées[[#This Row],[HarvestingDate]])," ", YEAR(CompilDonnées[[#This Row],[HarvestingDate]]))</f>
        <v>6 2025</v>
      </c>
      <c r="N2520">
        <f>_xlfn.NUMBERVALUE(CompilDonnées[[#This Row],[FarmID]]&amp;CompilDonnées[[#This Row],[ModuleNumber]]&amp;CompilDonnées[[#This Row],[PlantationDate]])</f>
        <v>17545766</v>
      </c>
      <c r="O2520" t="str">
        <f>CompilDonnées[[#This Row],[FarmID]]&amp;CompilDonnées[[#This Row],[ModuleNumber]]</f>
        <v>175</v>
      </c>
      <c r="P2520" t="str">
        <f>CompilDonnées[[#This Row],[Ref_Module]]&amp;CompilDonnées[[#This Row],[HarvestingDate]]</f>
        <v>17545811</v>
      </c>
    </row>
    <row r="2521" spans="1:16">
      <c r="A2521" s="5">
        <v>45766</v>
      </c>
      <c r="B2521">
        <v>19</v>
      </c>
      <c r="C2521" t="s">
        <v>108</v>
      </c>
      <c r="D2521">
        <v>1</v>
      </c>
      <c r="E2521">
        <v>100</v>
      </c>
      <c r="F2521" t="s">
        <v>1</v>
      </c>
      <c r="G2521" s="6">
        <v>45806</v>
      </c>
      <c r="H2521">
        <v>40</v>
      </c>
      <c r="I2521">
        <f>ROUND(CompilDonnées[[#This Row],[CultureDuration_days]]/7,0)</f>
        <v>6</v>
      </c>
      <c r="J2521">
        <v>2637</v>
      </c>
      <c r="K2521" t="str">
        <f>_xlfn.CONCAT(WEEKNUM(CompilDonnées[[#This Row],[PlantationDate]]), " ", YEAR(CompilDonnées[[#This Row],[PlantationDate]]))</f>
        <v>16 2025</v>
      </c>
      <c r="L2521" t="str">
        <f>CONCATENATE(MONTH(CompilDonnées[[#This Row],[PlantationDate]])," ", YEAR(CompilDonnées[[#This Row],[PlantationDate]]))</f>
        <v>4 2025</v>
      </c>
      <c r="M2521" t="str">
        <f>CONCATENATE(MONTH(CompilDonnées[[#This Row],[HarvestingDate]])," ", YEAR(CompilDonnées[[#This Row],[HarvestingDate]]))</f>
        <v>5 2025</v>
      </c>
      <c r="N2521">
        <f>_xlfn.NUMBERVALUE(CompilDonnées[[#This Row],[FarmID]]&amp;CompilDonnées[[#This Row],[ModuleNumber]]&amp;CompilDonnées[[#This Row],[PlantationDate]])</f>
        <v>19145766</v>
      </c>
      <c r="O2521" t="str">
        <f>CompilDonnées[[#This Row],[FarmID]]&amp;CompilDonnées[[#This Row],[ModuleNumber]]</f>
        <v>191</v>
      </c>
      <c r="P2521" t="str">
        <f>CompilDonnées[[#This Row],[Ref_Module]]&amp;CompilDonnées[[#This Row],[HarvestingDate]]</f>
        <v>19145806</v>
      </c>
    </row>
    <row r="2522" spans="1:16">
      <c r="A2522" s="5">
        <v>45766</v>
      </c>
      <c r="B2522">
        <v>19</v>
      </c>
      <c r="C2522" t="s">
        <v>108</v>
      </c>
      <c r="D2522">
        <v>2</v>
      </c>
      <c r="E2522">
        <v>100</v>
      </c>
      <c r="F2522" t="s">
        <v>1</v>
      </c>
      <c r="G2522" s="6">
        <v>45806</v>
      </c>
      <c r="H2522">
        <v>40</v>
      </c>
      <c r="I2522">
        <f>ROUND(CompilDonnées[[#This Row],[CultureDuration_days]]/7,0)</f>
        <v>6</v>
      </c>
      <c r="J2522">
        <v>2714</v>
      </c>
      <c r="K2522" t="str">
        <f>_xlfn.CONCAT(WEEKNUM(CompilDonnées[[#This Row],[PlantationDate]]), " ", YEAR(CompilDonnées[[#This Row],[PlantationDate]]))</f>
        <v>16 2025</v>
      </c>
      <c r="L2522" t="str">
        <f>CONCATENATE(MONTH(CompilDonnées[[#This Row],[PlantationDate]])," ", YEAR(CompilDonnées[[#This Row],[PlantationDate]]))</f>
        <v>4 2025</v>
      </c>
      <c r="M2522" t="str">
        <f>CONCATENATE(MONTH(CompilDonnées[[#This Row],[HarvestingDate]])," ", YEAR(CompilDonnées[[#This Row],[HarvestingDate]]))</f>
        <v>5 2025</v>
      </c>
      <c r="N2522">
        <f>_xlfn.NUMBERVALUE(CompilDonnées[[#This Row],[FarmID]]&amp;CompilDonnées[[#This Row],[ModuleNumber]]&amp;CompilDonnées[[#This Row],[PlantationDate]])</f>
        <v>19245766</v>
      </c>
      <c r="O2522" t="str">
        <f>CompilDonnées[[#This Row],[FarmID]]&amp;CompilDonnées[[#This Row],[ModuleNumber]]</f>
        <v>192</v>
      </c>
      <c r="P2522" t="str">
        <f>CompilDonnées[[#This Row],[Ref_Module]]&amp;CompilDonnées[[#This Row],[HarvestingDate]]</f>
        <v>19245806</v>
      </c>
    </row>
    <row r="2523" spans="1:16">
      <c r="A2523" s="5">
        <v>45766</v>
      </c>
      <c r="B2523">
        <v>24</v>
      </c>
      <c r="C2523" t="s">
        <v>31</v>
      </c>
      <c r="D2523">
        <v>4</v>
      </c>
      <c r="E2523">
        <v>100</v>
      </c>
      <c r="F2523" t="s">
        <v>1</v>
      </c>
      <c r="G2523" s="6">
        <v>45805</v>
      </c>
      <c r="H2523">
        <v>39</v>
      </c>
      <c r="I2523">
        <f>ROUND(CompilDonnées[[#This Row],[CultureDuration_days]]/7,0)</f>
        <v>6</v>
      </c>
      <c r="J2523">
        <v>2451</v>
      </c>
      <c r="K2523" t="str">
        <f>_xlfn.CONCAT(WEEKNUM(CompilDonnées[[#This Row],[PlantationDate]]), " ", YEAR(CompilDonnées[[#This Row],[PlantationDate]]))</f>
        <v>16 2025</v>
      </c>
      <c r="L2523" t="str">
        <f>CONCATENATE(MONTH(CompilDonnées[[#This Row],[PlantationDate]])," ", YEAR(CompilDonnées[[#This Row],[PlantationDate]]))</f>
        <v>4 2025</v>
      </c>
      <c r="M2523" t="str">
        <f>CONCATENATE(MONTH(CompilDonnées[[#This Row],[HarvestingDate]])," ", YEAR(CompilDonnées[[#This Row],[HarvestingDate]]))</f>
        <v>5 2025</v>
      </c>
      <c r="N2523">
        <f>_xlfn.NUMBERVALUE(CompilDonnées[[#This Row],[FarmID]]&amp;CompilDonnées[[#This Row],[ModuleNumber]]&amp;CompilDonnées[[#This Row],[PlantationDate]])</f>
        <v>24445766</v>
      </c>
      <c r="O2523" t="str">
        <f>CompilDonnées[[#This Row],[FarmID]]&amp;CompilDonnées[[#This Row],[ModuleNumber]]</f>
        <v>244</v>
      </c>
      <c r="P2523" t="str">
        <f>CompilDonnées[[#This Row],[Ref_Module]]&amp;CompilDonnées[[#This Row],[HarvestingDate]]</f>
        <v>24445805</v>
      </c>
    </row>
    <row r="2524" spans="1:16">
      <c r="A2524" s="5">
        <v>45766</v>
      </c>
      <c r="B2524">
        <v>33</v>
      </c>
      <c r="C2524" t="s">
        <v>104</v>
      </c>
      <c r="D2524">
        <v>2</v>
      </c>
      <c r="E2524">
        <v>100</v>
      </c>
      <c r="F2524" t="s">
        <v>1</v>
      </c>
      <c r="G2524" s="6">
        <v>45796</v>
      </c>
      <c r="H2524">
        <v>30</v>
      </c>
      <c r="I2524">
        <f>ROUND(CompilDonnées[[#This Row],[CultureDuration_days]]/7,0)</f>
        <v>4</v>
      </c>
      <c r="J2524">
        <v>1551</v>
      </c>
      <c r="K2524" t="str">
        <f>_xlfn.CONCAT(WEEKNUM(CompilDonnées[[#This Row],[PlantationDate]]), " ", YEAR(CompilDonnées[[#This Row],[PlantationDate]]))</f>
        <v>16 2025</v>
      </c>
      <c r="L2524" t="str">
        <f>CONCATENATE(MONTH(CompilDonnées[[#This Row],[PlantationDate]])," ", YEAR(CompilDonnées[[#This Row],[PlantationDate]]))</f>
        <v>4 2025</v>
      </c>
      <c r="M2524" t="str">
        <f>CONCATENATE(MONTH(CompilDonnées[[#This Row],[HarvestingDate]])," ", YEAR(CompilDonnées[[#This Row],[HarvestingDate]]))</f>
        <v>5 2025</v>
      </c>
      <c r="N2524">
        <f>_xlfn.NUMBERVALUE(CompilDonnées[[#This Row],[FarmID]]&amp;CompilDonnées[[#This Row],[ModuleNumber]]&amp;CompilDonnées[[#This Row],[PlantationDate]])</f>
        <v>33245766</v>
      </c>
      <c r="O2524" t="str">
        <f>CompilDonnées[[#This Row],[FarmID]]&amp;CompilDonnées[[#This Row],[ModuleNumber]]</f>
        <v>332</v>
      </c>
      <c r="P2524" t="str">
        <f>CompilDonnées[[#This Row],[Ref_Module]]&amp;CompilDonnées[[#This Row],[HarvestingDate]]</f>
        <v>33245796</v>
      </c>
    </row>
    <row r="2525" spans="1:16">
      <c r="A2525" s="5">
        <v>45766</v>
      </c>
      <c r="B2525">
        <v>43</v>
      </c>
      <c r="C2525" t="s">
        <v>45</v>
      </c>
      <c r="D2525">
        <v>5</v>
      </c>
      <c r="E2525">
        <v>100</v>
      </c>
      <c r="F2525" t="s">
        <v>1</v>
      </c>
      <c r="G2525" s="6">
        <v>45807</v>
      </c>
      <c r="H2525">
        <v>41</v>
      </c>
      <c r="I2525">
        <f>ROUND(CompilDonnées[[#This Row],[CultureDuration_days]]/7,0)</f>
        <v>6</v>
      </c>
      <c r="J2525">
        <v>2564</v>
      </c>
      <c r="K2525" t="str">
        <f>_xlfn.CONCAT(WEEKNUM(CompilDonnées[[#This Row],[PlantationDate]]), " ", YEAR(CompilDonnées[[#This Row],[PlantationDate]]))</f>
        <v>16 2025</v>
      </c>
      <c r="L2525" t="str">
        <f>CONCATENATE(MONTH(CompilDonnées[[#This Row],[PlantationDate]])," ", YEAR(CompilDonnées[[#This Row],[PlantationDate]]))</f>
        <v>4 2025</v>
      </c>
      <c r="M2525" t="str">
        <f>CONCATENATE(MONTH(CompilDonnées[[#This Row],[HarvestingDate]])," ", YEAR(CompilDonnées[[#This Row],[HarvestingDate]]))</f>
        <v>5 2025</v>
      </c>
      <c r="N2525">
        <f>_xlfn.NUMBERVALUE(CompilDonnées[[#This Row],[FarmID]]&amp;CompilDonnées[[#This Row],[ModuleNumber]]&amp;CompilDonnées[[#This Row],[PlantationDate]])</f>
        <v>43545766</v>
      </c>
      <c r="O2525" t="str">
        <f>CompilDonnées[[#This Row],[FarmID]]&amp;CompilDonnées[[#This Row],[ModuleNumber]]</f>
        <v>435</v>
      </c>
      <c r="P2525" t="str">
        <f>CompilDonnées[[#This Row],[Ref_Module]]&amp;CompilDonnées[[#This Row],[HarvestingDate]]</f>
        <v>43545807</v>
      </c>
    </row>
    <row r="2526" spans="1:16">
      <c r="A2526" s="5">
        <v>45766</v>
      </c>
      <c r="B2526">
        <v>45</v>
      </c>
      <c r="C2526" t="s">
        <v>77</v>
      </c>
      <c r="D2526">
        <v>2</v>
      </c>
      <c r="E2526">
        <v>100</v>
      </c>
      <c r="F2526" t="s">
        <v>1</v>
      </c>
      <c r="G2526" s="6">
        <v>45804</v>
      </c>
      <c r="H2526">
        <v>38</v>
      </c>
      <c r="I2526">
        <f>ROUND(CompilDonnées[[#This Row],[CultureDuration_days]]/7,0)</f>
        <v>5</v>
      </c>
      <c r="J2526">
        <v>2251</v>
      </c>
      <c r="K2526" t="str">
        <f>_xlfn.CONCAT(WEEKNUM(CompilDonnées[[#This Row],[PlantationDate]]), " ", YEAR(CompilDonnées[[#This Row],[PlantationDate]]))</f>
        <v>16 2025</v>
      </c>
      <c r="L2526" t="str">
        <f>CONCATENATE(MONTH(CompilDonnées[[#This Row],[PlantationDate]])," ", YEAR(CompilDonnées[[#This Row],[PlantationDate]]))</f>
        <v>4 2025</v>
      </c>
      <c r="M2526" t="str">
        <f>CONCATENATE(MONTH(CompilDonnées[[#This Row],[HarvestingDate]])," ", YEAR(CompilDonnées[[#This Row],[HarvestingDate]]))</f>
        <v>5 2025</v>
      </c>
      <c r="N2526">
        <f>_xlfn.NUMBERVALUE(CompilDonnées[[#This Row],[FarmID]]&amp;CompilDonnées[[#This Row],[ModuleNumber]]&amp;CompilDonnées[[#This Row],[PlantationDate]])</f>
        <v>45245766</v>
      </c>
      <c r="O2526" t="str">
        <f>CompilDonnées[[#This Row],[FarmID]]&amp;CompilDonnées[[#This Row],[ModuleNumber]]</f>
        <v>452</v>
      </c>
      <c r="P2526" t="str">
        <f>CompilDonnées[[#This Row],[Ref_Module]]&amp;CompilDonnées[[#This Row],[HarvestingDate]]</f>
        <v>45245804</v>
      </c>
    </row>
    <row r="2527" spans="1:16">
      <c r="A2527" s="5">
        <v>45766</v>
      </c>
      <c r="B2527">
        <v>60</v>
      </c>
      <c r="C2527" t="s">
        <v>113</v>
      </c>
      <c r="D2527">
        <v>4</v>
      </c>
      <c r="E2527">
        <v>100</v>
      </c>
      <c r="F2527" t="s">
        <v>1</v>
      </c>
      <c r="G2527" s="6">
        <v>45805</v>
      </c>
      <c r="H2527">
        <v>39</v>
      </c>
      <c r="I2527">
        <f>ROUND(CompilDonnées[[#This Row],[CultureDuration_days]]/7,0)</f>
        <v>6</v>
      </c>
      <c r="J2527">
        <v>1741</v>
      </c>
      <c r="K2527" t="str">
        <f>_xlfn.CONCAT(WEEKNUM(CompilDonnées[[#This Row],[PlantationDate]]), " ", YEAR(CompilDonnées[[#This Row],[PlantationDate]]))</f>
        <v>16 2025</v>
      </c>
      <c r="L2527" t="str">
        <f>CONCATENATE(MONTH(CompilDonnées[[#This Row],[PlantationDate]])," ", YEAR(CompilDonnées[[#This Row],[PlantationDate]]))</f>
        <v>4 2025</v>
      </c>
      <c r="M2527" t="str">
        <f>CONCATENATE(MONTH(CompilDonnées[[#This Row],[HarvestingDate]])," ", YEAR(CompilDonnées[[#This Row],[HarvestingDate]]))</f>
        <v>5 2025</v>
      </c>
      <c r="N2527">
        <f>_xlfn.NUMBERVALUE(CompilDonnées[[#This Row],[FarmID]]&amp;CompilDonnées[[#This Row],[ModuleNumber]]&amp;CompilDonnées[[#This Row],[PlantationDate]])</f>
        <v>60445766</v>
      </c>
      <c r="O2527" t="str">
        <f>CompilDonnées[[#This Row],[FarmID]]&amp;CompilDonnées[[#This Row],[ModuleNumber]]</f>
        <v>604</v>
      </c>
      <c r="P2527" t="str">
        <f>CompilDonnées[[#This Row],[Ref_Module]]&amp;CompilDonnées[[#This Row],[HarvestingDate]]</f>
        <v>60445805</v>
      </c>
    </row>
    <row r="2528" spans="1:16">
      <c r="A2528" s="5">
        <v>45766</v>
      </c>
      <c r="B2528">
        <v>62</v>
      </c>
      <c r="C2528" t="s">
        <v>124</v>
      </c>
      <c r="D2528">
        <v>6</v>
      </c>
      <c r="E2528">
        <v>100</v>
      </c>
      <c r="F2528" t="s">
        <v>1</v>
      </c>
      <c r="G2528" s="6">
        <v>45812</v>
      </c>
      <c r="H2528">
        <v>46</v>
      </c>
      <c r="I2528">
        <f>ROUND(CompilDonnées[[#This Row],[CultureDuration_days]]/7,0)</f>
        <v>7</v>
      </c>
      <c r="J2528">
        <v>2572</v>
      </c>
      <c r="K2528" t="str">
        <f>_xlfn.CONCAT(WEEKNUM(CompilDonnées[[#This Row],[PlantationDate]]), " ", YEAR(CompilDonnées[[#This Row],[PlantationDate]]))</f>
        <v>16 2025</v>
      </c>
      <c r="L2528" t="str">
        <f>CONCATENATE(MONTH(CompilDonnées[[#This Row],[PlantationDate]])," ", YEAR(CompilDonnées[[#This Row],[PlantationDate]]))</f>
        <v>4 2025</v>
      </c>
      <c r="M2528" t="str">
        <f>CONCATENATE(MONTH(CompilDonnées[[#This Row],[HarvestingDate]])," ", YEAR(CompilDonnées[[#This Row],[HarvestingDate]]))</f>
        <v>6 2025</v>
      </c>
      <c r="N2528">
        <f>_xlfn.NUMBERVALUE(CompilDonnées[[#This Row],[FarmID]]&amp;CompilDonnées[[#This Row],[ModuleNumber]]&amp;CompilDonnées[[#This Row],[PlantationDate]])</f>
        <v>62645766</v>
      </c>
      <c r="O2528" t="str">
        <f>CompilDonnées[[#This Row],[FarmID]]&amp;CompilDonnées[[#This Row],[ModuleNumber]]</f>
        <v>626</v>
      </c>
      <c r="P2528" t="str">
        <f>CompilDonnées[[#This Row],[Ref_Module]]&amp;CompilDonnées[[#This Row],[HarvestingDate]]</f>
        <v>62645812</v>
      </c>
    </row>
    <row r="2529" spans="1:16">
      <c r="A2529" s="5">
        <v>45766</v>
      </c>
      <c r="B2529">
        <v>96</v>
      </c>
      <c r="C2529" t="s">
        <v>125</v>
      </c>
      <c r="D2529">
        <v>3</v>
      </c>
      <c r="E2529">
        <v>100</v>
      </c>
      <c r="F2529" t="s">
        <v>1</v>
      </c>
      <c r="G2529" s="6">
        <v>45813</v>
      </c>
      <c r="H2529">
        <v>47</v>
      </c>
      <c r="I2529">
        <f>ROUND(CompilDonnées[[#This Row],[CultureDuration_days]]/7,0)</f>
        <v>7</v>
      </c>
      <c r="J2529">
        <v>2103</v>
      </c>
      <c r="K2529" t="str">
        <f>_xlfn.CONCAT(WEEKNUM(CompilDonnées[[#This Row],[PlantationDate]]), " ", YEAR(CompilDonnées[[#This Row],[PlantationDate]]))</f>
        <v>16 2025</v>
      </c>
      <c r="L2529" t="str">
        <f>CONCATENATE(MONTH(CompilDonnées[[#This Row],[PlantationDate]])," ", YEAR(CompilDonnées[[#This Row],[PlantationDate]]))</f>
        <v>4 2025</v>
      </c>
      <c r="M2529" t="str">
        <f>CONCATENATE(MONTH(CompilDonnées[[#This Row],[HarvestingDate]])," ", YEAR(CompilDonnées[[#This Row],[HarvestingDate]]))</f>
        <v>6 2025</v>
      </c>
      <c r="N2529">
        <f>_xlfn.NUMBERVALUE(CompilDonnées[[#This Row],[FarmID]]&amp;CompilDonnées[[#This Row],[ModuleNumber]]&amp;CompilDonnées[[#This Row],[PlantationDate]])</f>
        <v>96345766</v>
      </c>
      <c r="O2529" t="str">
        <f>CompilDonnées[[#This Row],[FarmID]]&amp;CompilDonnées[[#This Row],[ModuleNumber]]</f>
        <v>963</v>
      </c>
      <c r="P2529" t="str">
        <f>CompilDonnées[[#This Row],[Ref_Module]]&amp;CompilDonnées[[#This Row],[HarvestingDate]]</f>
        <v>96345813</v>
      </c>
    </row>
    <row r="2530" spans="1:16">
      <c r="A2530" s="5">
        <v>45766</v>
      </c>
      <c r="B2530">
        <v>116</v>
      </c>
      <c r="C2530" t="s">
        <v>76</v>
      </c>
      <c r="D2530">
        <v>4</v>
      </c>
      <c r="E2530">
        <v>100</v>
      </c>
      <c r="F2530" t="s">
        <v>1</v>
      </c>
      <c r="G2530" s="6">
        <v>45803</v>
      </c>
      <c r="H2530">
        <v>37</v>
      </c>
      <c r="I2530">
        <f>ROUND(CompilDonnées[[#This Row],[CultureDuration_days]]/7,0)</f>
        <v>5</v>
      </c>
      <c r="J2530">
        <v>1921</v>
      </c>
      <c r="K2530" t="str">
        <f>_xlfn.CONCAT(WEEKNUM(CompilDonnées[[#This Row],[PlantationDate]]), " ", YEAR(CompilDonnées[[#This Row],[PlantationDate]]))</f>
        <v>16 2025</v>
      </c>
      <c r="L2530" t="str">
        <f>CONCATENATE(MONTH(CompilDonnées[[#This Row],[PlantationDate]])," ", YEAR(CompilDonnées[[#This Row],[PlantationDate]]))</f>
        <v>4 2025</v>
      </c>
      <c r="M2530" t="str">
        <f>CONCATENATE(MONTH(CompilDonnées[[#This Row],[HarvestingDate]])," ", YEAR(CompilDonnées[[#This Row],[HarvestingDate]]))</f>
        <v>5 2025</v>
      </c>
      <c r="N2530">
        <f>_xlfn.NUMBERVALUE(CompilDonnées[[#This Row],[FarmID]]&amp;CompilDonnées[[#This Row],[ModuleNumber]]&amp;CompilDonnées[[#This Row],[PlantationDate]])</f>
        <v>116445766</v>
      </c>
      <c r="O2530" t="str">
        <f>CompilDonnées[[#This Row],[FarmID]]&amp;CompilDonnées[[#This Row],[ModuleNumber]]</f>
        <v>1164</v>
      </c>
      <c r="P2530" t="str">
        <f>CompilDonnées[[#This Row],[Ref_Module]]&amp;CompilDonnées[[#This Row],[HarvestingDate]]</f>
        <v>116445803</v>
      </c>
    </row>
    <row r="2531" spans="1:16">
      <c r="A2531" s="5">
        <v>45766</v>
      </c>
      <c r="B2531">
        <v>133</v>
      </c>
      <c r="C2531" t="s">
        <v>99</v>
      </c>
      <c r="D2531">
        <v>4</v>
      </c>
      <c r="E2531">
        <v>100</v>
      </c>
      <c r="F2531" t="s">
        <v>1</v>
      </c>
      <c r="G2531" s="6">
        <v>45803</v>
      </c>
      <c r="H2531">
        <v>37</v>
      </c>
      <c r="I2531">
        <f>ROUND(CompilDonnées[[#This Row],[CultureDuration_days]]/7,0)</f>
        <v>5</v>
      </c>
      <c r="J2531">
        <v>2162</v>
      </c>
      <c r="K2531" t="str">
        <f>_xlfn.CONCAT(WEEKNUM(CompilDonnées[[#This Row],[PlantationDate]]), " ", YEAR(CompilDonnées[[#This Row],[PlantationDate]]))</f>
        <v>16 2025</v>
      </c>
      <c r="L2531" t="str">
        <f>CONCATENATE(MONTH(CompilDonnées[[#This Row],[PlantationDate]])," ", YEAR(CompilDonnées[[#This Row],[PlantationDate]]))</f>
        <v>4 2025</v>
      </c>
      <c r="M2531" t="str">
        <f>CONCATENATE(MONTH(CompilDonnées[[#This Row],[HarvestingDate]])," ", YEAR(CompilDonnées[[#This Row],[HarvestingDate]]))</f>
        <v>5 2025</v>
      </c>
      <c r="N2531">
        <f>_xlfn.NUMBERVALUE(CompilDonnées[[#This Row],[FarmID]]&amp;CompilDonnées[[#This Row],[ModuleNumber]]&amp;CompilDonnées[[#This Row],[PlantationDate]])</f>
        <v>133445766</v>
      </c>
      <c r="O2531" t="str">
        <f>CompilDonnées[[#This Row],[FarmID]]&amp;CompilDonnées[[#This Row],[ModuleNumber]]</f>
        <v>1334</v>
      </c>
      <c r="P2531" t="str">
        <f>CompilDonnées[[#This Row],[Ref_Module]]&amp;CompilDonnées[[#This Row],[HarvestingDate]]</f>
        <v>133445803</v>
      </c>
    </row>
    <row r="2532" spans="1:16">
      <c r="A2532" s="5">
        <v>45766</v>
      </c>
      <c r="B2532">
        <v>140</v>
      </c>
      <c r="C2532" t="s">
        <v>96</v>
      </c>
      <c r="D2532">
        <v>1</v>
      </c>
      <c r="E2532">
        <v>100</v>
      </c>
      <c r="F2532" t="s">
        <v>1</v>
      </c>
      <c r="G2532" s="6">
        <v>45803</v>
      </c>
      <c r="H2532">
        <v>37</v>
      </c>
      <c r="I2532">
        <f>ROUND(CompilDonnées[[#This Row],[CultureDuration_days]]/7,0)</f>
        <v>5</v>
      </c>
      <c r="J2532">
        <v>1908</v>
      </c>
      <c r="K2532" t="str">
        <f>_xlfn.CONCAT(WEEKNUM(CompilDonnées[[#This Row],[PlantationDate]]), " ", YEAR(CompilDonnées[[#This Row],[PlantationDate]]))</f>
        <v>16 2025</v>
      </c>
      <c r="L2532" t="str">
        <f>CONCATENATE(MONTH(CompilDonnées[[#This Row],[PlantationDate]])," ", YEAR(CompilDonnées[[#This Row],[PlantationDate]]))</f>
        <v>4 2025</v>
      </c>
      <c r="M2532" t="str">
        <f>CONCATENATE(MONTH(CompilDonnées[[#This Row],[HarvestingDate]])," ", YEAR(CompilDonnées[[#This Row],[HarvestingDate]]))</f>
        <v>5 2025</v>
      </c>
      <c r="N2532">
        <f>_xlfn.NUMBERVALUE(CompilDonnées[[#This Row],[FarmID]]&amp;CompilDonnées[[#This Row],[ModuleNumber]]&amp;CompilDonnées[[#This Row],[PlantationDate]])</f>
        <v>140145766</v>
      </c>
      <c r="O2532" t="str">
        <f>CompilDonnées[[#This Row],[FarmID]]&amp;CompilDonnées[[#This Row],[ModuleNumber]]</f>
        <v>1401</v>
      </c>
      <c r="P2532" t="str">
        <f>CompilDonnées[[#This Row],[Ref_Module]]&amp;CompilDonnées[[#This Row],[HarvestingDate]]</f>
        <v>140145803</v>
      </c>
    </row>
    <row r="2533" spans="1:16">
      <c r="A2533" s="5">
        <v>45770</v>
      </c>
      <c r="B2533">
        <v>1</v>
      </c>
      <c r="C2533" t="s">
        <v>111</v>
      </c>
      <c r="D2533">
        <v>6</v>
      </c>
      <c r="E2533">
        <v>100</v>
      </c>
      <c r="F2533" t="s">
        <v>1</v>
      </c>
      <c r="G2533" s="6">
        <v>45807</v>
      </c>
      <c r="H2533">
        <v>37</v>
      </c>
      <c r="I2533">
        <f>ROUND(CompilDonnées[[#This Row],[CultureDuration_days]]/7,0)</f>
        <v>5</v>
      </c>
      <c r="J2533">
        <v>2859</v>
      </c>
      <c r="K2533" t="str">
        <f>_xlfn.CONCAT(WEEKNUM(CompilDonnées[[#This Row],[PlantationDate]]), " ", YEAR(CompilDonnées[[#This Row],[PlantationDate]]))</f>
        <v>17 2025</v>
      </c>
      <c r="L2533" t="str">
        <f>CONCATENATE(MONTH(CompilDonnées[[#This Row],[PlantationDate]])," ", YEAR(CompilDonnées[[#This Row],[PlantationDate]]))</f>
        <v>4 2025</v>
      </c>
      <c r="M2533" t="str">
        <f>CONCATENATE(MONTH(CompilDonnées[[#This Row],[HarvestingDate]])," ", YEAR(CompilDonnées[[#This Row],[HarvestingDate]]))</f>
        <v>5 2025</v>
      </c>
      <c r="N2533">
        <f>_xlfn.NUMBERVALUE(CompilDonnées[[#This Row],[FarmID]]&amp;CompilDonnées[[#This Row],[ModuleNumber]]&amp;CompilDonnées[[#This Row],[PlantationDate]])</f>
        <v>1645770</v>
      </c>
      <c r="O2533" t="str">
        <f>CompilDonnées[[#This Row],[FarmID]]&amp;CompilDonnées[[#This Row],[ModuleNumber]]</f>
        <v>16</v>
      </c>
      <c r="P2533" t="str">
        <f>CompilDonnées[[#This Row],[Ref_Module]]&amp;CompilDonnées[[#This Row],[HarvestingDate]]</f>
        <v>1645807</v>
      </c>
    </row>
    <row r="2534" spans="1:16">
      <c r="A2534" s="5">
        <v>45770</v>
      </c>
      <c r="B2534">
        <v>2</v>
      </c>
      <c r="C2534" t="s">
        <v>119</v>
      </c>
      <c r="D2534">
        <v>4</v>
      </c>
      <c r="E2534">
        <v>100</v>
      </c>
      <c r="F2534" t="s">
        <v>1</v>
      </c>
      <c r="G2534" s="6">
        <v>45811</v>
      </c>
      <c r="H2534">
        <v>41</v>
      </c>
      <c r="I2534">
        <f>ROUND(CompilDonnées[[#This Row],[CultureDuration_days]]/7,0)</f>
        <v>6</v>
      </c>
      <c r="J2534">
        <v>3091</v>
      </c>
      <c r="K2534" t="str">
        <f>_xlfn.CONCAT(WEEKNUM(CompilDonnées[[#This Row],[PlantationDate]]), " ", YEAR(CompilDonnées[[#This Row],[PlantationDate]]))</f>
        <v>17 2025</v>
      </c>
      <c r="L2534" t="str">
        <f>CONCATENATE(MONTH(CompilDonnées[[#This Row],[PlantationDate]])," ", YEAR(CompilDonnées[[#This Row],[PlantationDate]]))</f>
        <v>4 2025</v>
      </c>
      <c r="M2534" t="str">
        <f>CONCATENATE(MONTH(CompilDonnées[[#This Row],[HarvestingDate]])," ", YEAR(CompilDonnées[[#This Row],[HarvestingDate]]))</f>
        <v>6 2025</v>
      </c>
      <c r="N2534">
        <f>_xlfn.NUMBERVALUE(CompilDonnées[[#This Row],[FarmID]]&amp;CompilDonnées[[#This Row],[ModuleNumber]]&amp;CompilDonnées[[#This Row],[PlantationDate]])</f>
        <v>2445770</v>
      </c>
      <c r="O2534" t="str">
        <f>CompilDonnées[[#This Row],[FarmID]]&amp;CompilDonnées[[#This Row],[ModuleNumber]]</f>
        <v>24</v>
      </c>
      <c r="P2534" t="str">
        <f>CompilDonnées[[#This Row],[Ref_Module]]&amp;CompilDonnées[[#This Row],[HarvestingDate]]</f>
        <v>2445811</v>
      </c>
    </row>
    <row r="2535" spans="1:16">
      <c r="A2535" s="5">
        <v>45770</v>
      </c>
      <c r="B2535">
        <v>5</v>
      </c>
      <c r="C2535" t="s">
        <v>32</v>
      </c>
      <c r="D2535">
        <v>4</v>
      </c>
      <c r="E2535">
        <v>100</v>
      </c>
      <c r="F2535" t="s">
        <v>1</v>
      </c>
      <c r="G2535" s="6">
        <v>45811</v>
      </c>
      <c r="H2535">
        <v>41</v>
      </c>
      <c r="I2535">
        <f>ROUND(CompilDonnées[[#This Row],[CultureDuration_days]]/7,0)</f>
        <v>6</v>
      </c>
      <c r="J2535">
        <v>1776</v>
      </c>
      <c r="K2535" t="str">
        <f>_xlfn.CONCAT(WEEKNUM(CompilDonnées[[#This Row],[PlantationDate]]), " ", YEAR(CompilDonnées[[#This Row],[PlantationDate]]))</f>
        <v>17 2025</v>
      </c>
      <c r="L2535" t="str">
        <f>CONCATENATE(MONTH(CompilDonnées[[#This Row],[PlantationDate]])," ", YEAR(CompilDonnées[[#This Row],[PlantationDate]]))</f>
        <v>4 2025</v>
      </c>
      <c r="M2535" t="str">
        <f>CONCATENATE(MONTH(CompilDonnées[[#This Row],[HarvestingDate]])," ", YEAR(CompilDonnées[[#This Row],[HarvestingDate]]))</f>
        <v>6 2025</v>
      </c>
      <c r="N2535">
        <f>_xlfn.NUMBERVALUE(CompilDonnées[[#This Row],[FarmID]]&amp;CompilDonnées[[#This Row],[ModuleNumber]]&amp;CompilDonnées[[#This Row],[PlantationDate]])</f>
        <v>5445770</v>
      </c>
      <c r="O2535" t="str">
        <f>CompilDonnées[[#This Row],[FarmID]]&amp;CompilDonnées[[#This Row],[ModuleNumber]]</f>
        <v>54</v>
      </c>
      <c r="P2535" t="str">
        <f>CompilDonnées[[#This Row],[Ref_Module]]&amp;CompilDonnées[[#This Row],[HarvestingDate]]</f>
        <v>5445811</v>
      </c>
    </row>
    <row r="2536" spans="1:16">
      <c r="A2536" s="5">
        <v>45770</v>
      </c>
      <c r="B2536">
        <v>6</v>
      </c>
      <c r="C2536" t="s">
        <v>24</v>
      </c>
      <c r="D2536">
        <v>2</v>
      </c>
      <c r="E2536">
        <v>100</v>
      </c>
      <c r="F2536" t="s">
        <v>1</v>
      </c>
      <c r="G2536" s="6">
        <v>45811</v>
      </c>
      <c r="H2536">
        <v>41</v>
      </c>
      <c r="I2536">
        <f>ROUND(CompilDonnées[[#This Row],[CultureDuration_days]]/7,0)</f>
        <v>6</v>
      </c>
      <c r="J2536">
        <v>2329</v>
      </c>
      <c r="K2536" t="str">
        <f>_xlfn.CONCAT(WEEKNUM(CompilDonnées[[#This Row],[PlantationDate]]), " ", YEAR(CompilDonnées[[#This Row],[PlantationDate]]))</f>
        <v>17 2025</v>
      </c>
      <c r="L2536" t="str">
        <f>CONCATENATE(MONTH(CompilDonnées[[#This Row],[PlantationDate]])," ", YEAR(CompilDonnées[[#This Row],[PlantationDate]]))</f>
        <v>4 2025</v>
      </c>
      <c r="M2536" t="str">
        <f>CONCATENATE(MONTH(CompilDonnées[[#This Row],[HarvestingDate]])," ", YEAR(CompilDonnées[[#This Row],[HarvestingDate]]))</f>
        <v>6 2025</v>
      </c>
      <c r="N2536">
        <f>_xlfn.NUMBERVALUE(CompilDonnées[[#This Row],[FarmID]]&amp;CompilDonnées[[#This Row],[ModuleNumber]]&amp;CompilDonnées[[#This Row],[PlantationDate]])</f>
        <v>6245770</v>
      </c>
      <c r="O2536" t="str">
        <f>CompilDonnées[[#This Row],[FarmID]]&amp;CompilDonnées[[#This Row],[ModuleNumber]]</f>
        <v>62</v>
      </c>
      <c r="P2536" t="str">
        <f>CompilDonnées[[#This Row],[Ref_Module]]&amp;CompilDonnées[[#This Row],[HarvestingDate]]</f>
        <v>6245811</v>
      </c>
    </row>
    <row r="2537" spans="1:16">
      <c r="A2537" s="5">
        <v>45770</v>
      </c>
      <c r="B2537">
        <v>7</v>
      </c>
      <c r="C2537" t="s">
        <v>50</v>
      </c>
      <c r="D2537">
        <v>4</v>
      </c>
      <c r="E2537">
        <v>100</v>
      </c>
      <c r="F2537" t="s">
        <v>1</v>
      </c>
      <c r="G2537" s="6">
        <v>45806</v>
      </c>
      <c r="H2537">
        <v>36</v>
      </c>
      <c r="I2537">
        <f>ROUND(CompilDonnées[[#This Row],[CultureDuration_days]]/7,0)</f>
        <v>5</v>
      </c>
      <c r="J2537">
        <v>2041</v>
      </c>
      <c r="K2537" t="str">
        <f>_xlfn.CONCAT(WEEKNUM(CompilDonnées[[#This Row],[PlantationDate]]), " ", YEAR(CompilDonnées[[#This Row],[PlantationDate]]))</f>
        <v>17 2025</v>
      </c>
      <c r="L2537" t="str">
        <f>CONCATENATE(MONTH(CompilDonnées[[#This Row],[PlantationDate]])," ", YEAR(CompilDonnées[[#This Row],[PlantationDate]]))</f>
        <v>4 2025</v>
      </c>
      <c r="M2537" t="str">
        <f>CONCATENATE(MONTH(CompilDonnées[[#This Row],[HarvestingDate]])," ", YEAR(CompilDonnées[[#This Row],[HarvestingDate]]))</f>
        <v>5 2025</v>
      </c>
      <c r="N2537">
        <f>_xlfn.NUMBERVALUE(CompilDonnées[[#This Row],[FarmID]]&amp;CompilDonnées[[#This Row],[ModuleNumber]]&amp;CompilDonnées[[#This Row],[PlantationDate]])</f>
        <v>7445770</v>
      </c>
      <c r="O2537" t="str">
        <f>CompilDonnées[[#This Row],[FarmID]]&amp;CompilDonnées[[#This Row],[ModuleNumber]]</f>
        <v>74</v>
      </c>
      <c r="P2537" t="str">
        <f>CompilDonnées[[#This Row],[Ref_Module]]&amp;CompilDonnées[[#This Row],[HarvestingDate]]</f>
        <v>7445806</v>
      </c>
    </row>
    <row r="2538" spans="1:16">
      <c r="A2538" s="5">
        <v>45770</v>
      </c>
      <c r="B2538">
        <v>8</v>
      </c>
      <c r="C2538" t="s">
        <v>57</v>
      </c>
      <c r="D2538">
        <v>3</v>
      </c>
      <c r="E2538">
        <v>100</v>
      </c>
      <c r="F2538" t="s">
        <v>1</v>
      </c>
      <c r="G2538" s="6">
        <v>45811</v>
      </c>
      <c r="H2538">
        <v>41</v>
      </c>
      <c r="I2538">
        <f>ROUND(CompilDonnées[[#This Row],[CultureDuration_days]]/7,0)</f>
        <v>6</v>
      </c>
      <c r="J2538">
        <v>3329</v>
      </c>
      <c r="K2538" t="str">
        <f>_xlfn.CONCAT(WEEKNUM(CompilDonnées[[#This Row],[PlantationDate]]), " ", YEAR(CompilDonnées[[#This Row],[PlantationDate]]))</f>
        <v>17 2025</v>
      </c>
      <c r="L2538" t="str">
        <f>CONCATENATE(MONTH(CompilDonnées[[#This Row],[PlantationDate]])," ", YEAR(CompilDonnées[[#This Row],[PlantationDate]]))</f>
        <v>4 2025</v>
      </c>
      <c r="M2538" t="str">
        <f>CONCATENATE(MONTH(CompilDonnées[[#This Row],[HarvestingDate]])," ", YEAR(CompilDonnées[[#This Row],[HarvestingDate]]))</f>
        <v>6 2025</v>
      </c>
      <c r="N2538">
        <f>_xlfn.NUMBERVALUE(CompilDonnées[[#This Row],[FarmID]]&amp;CompilDonnées[[#This Row],[ModuleNumber]]&amp;CompilDonnées[[#This Row],[PlantationDate]])</f>
        <v>8345770</v>
      </c>
      <c r="O2538" t="str">
        <f>CompilDonnées[[#This Row],[FarmID]]&amp;CompilDonnées[[#This Row],[ModuleNumber]]</f>
        <v>83</v>
      </c>
      <c r="P2538" t="str">
        <f>CompilDonnées[[#This Row],[Ref_Module]]&amp;CompilDonnées[[#This Row],[HarvestingDate]]</f>
        <v>8345811</v>
      </c>
    </row>
    <row r="2539" spans="1:16">
      <c r="A2539" s="5">
        <v>45770</v>
      </c>
      <c r="B2539">
        <v>11</v>
      </c>
      <c r="C2539" t="s">
        <v>106</v>
      </c>
      <c r="D2539">
        <v>4</v>
      </c>
      <c r="E2539">
        <v>100</v>
      </c>
      <c r="F2539" t="s">
        <v>1</v>
      </c>
      <c r="G2539" s="6">
        <v>45806</v>
      </c>
      <c r="H2539">
        <v>36</v>
      </c>
      <c r="I2539">
        <f>ROUND(CompilDonnées[[#This Row],[CultureDuration_days]]/7,0)</f>
        <v>5</v>
      </c>
      <c r="J2539">
        <v>2451</v>
      </c>
      <c r="K2539" t="str">
        <f>_xlfn.CONCAT(WEEKNUM(CompilDonnées[[#This Row],[PlantationDate]]), " ", YEAR(CompilDonnées[[#This Row],[PlantationDate]]))</f>
        <v>17 2025</v>
      </c>
      <c r="L2539" t="str">
        <f>CONCATENATE(MONTH(CompilDonnées[[#This Row],[PlantationDate]])," ", YEAR(CompilDonnées[[#This Row],[PlantationDate]]))</f>
        <v>4 2025</v>
      </c>
      <c r="M2539" t="str">
        <f>CONCATENATE(MONTH(CompilDonnées[[#This Row],[HarvestingDate]])," ", YEAR(CompilDonnées[[#This Row],[HarvestingDate]]))</f>
        <v>5 2025</v>
      </c>
      <c r="N2539">
        <f>_xlfn.NUMBERVALUE(CompilDonnées[[#This Row],[FarmID]]&amp;CompilDonnées[[#This Row],[ModuleNumber]]&amp;CompilDonnées[[#This Row],[PlantationDate]])</f>
        <v>11445770</v>
      </c>
      <c r="O2539" t="str">
        <f>CompilDonnées[[#This Row],[FarmID]]&amp;CompilDonnées[[#This Row],[ModuleNumber]]</f>
        <v>114</v>
      </c>
      <c r="P2539" t="str">
        <f>CompilDonnées[[#This Row],[Ref_Module]]&amp;CompilDonnées[[#This Row],[HarvestingDate]]</f>
        <v>11445806</v>
      </c>
    </row>
    <row r="2540" spans="1:16">
      <c r="A2540" s="5">
        <v>45770</v>
      </c>
      <c r="B2540">
        <v>15</v>
      </c>
      <c r="C2540" t="s">
        <v>5</v>
      </c>
      <c r="D2540">
        <v>5</v>
      </c>
      <c r="E2540">
        <v>100</v>
      </c>
      <c r="F2540" t="s">
        <v>1</v>
      </c>
      <c r="G2540" s="6">
        <v>45807</v>
      </c>
      <c r="H2540">
        <v>37</v>
      </c>
      <c r="I2540">
        <f>ROUND(CompilDonnées[[#This Row],[CultureDuration_days]]/7,0)</f>
        <v>5</v>
      </c>
      <c r="J2540">
        <v>2489</v>
      </c>
      <c r="K2540" t="str">
        <f>_xlfn.CONCAT(WEEKNUM(CompilDonnées[[#This Row],[PlantationDate]]), " ", YEAR(CompilDonnées[[#This Row],[PlantationDate]]))</f>
        <v>17 2025</v>
      </c>
      <c r="L2540" t="str">
        <f>CONCATENATE(MONTH(CompilDonnées[[#This Row],[PlantationDate]])," ", YEAR(CompilDonnées[[#This Row],[PlantationDate]]))</f>
        <v>4 2025</v>
      </c>
      <c r="M2540" t="str">
        <f>CONCATENATE(MONTH(CompilDonnées[[#This Row],[HarvestingDate]])," ", YEAR(CompilDonnées[[#This Row],[HarvestingDate]]))</f>
        <v>5 2025</v>
      </c>
      <c r="N2540">
        <f>_xlfn.NUMBERVALUE(CompilDonnées[[#This Row],[FarmID]]&amp;CompilDonnées[[#This Row],[ModuleNumber]]&amp;CompilDonnées[[#This Row],[PlantationDate]])</f>
        <v>15545770</v>
      </c>
      <c r="O2540" t="str">
        <f>CompilDonnées[[#This Row],[FarmID]]&amp;CompilDonnées[[#This Row],[ModuleNumber]]</f>
        <v>155</v>
      </c>
      <c r="P2540" t="str">
        <f>CompilDonnées[[#This Row],[Ref_Module]]&amp;CompilDonnées[[#This Row],[HarvestingDate]]</f>
        <v>15545807</v>
      </c>
    </row>
    <row r="2541" spans="1:16">
      <c r="A2541" s="5">
        <v>45770</v>
      </c>
      <c r="B2541">
        <v>20</v>
      </c>
      <c r="C2541" t="s">
        <v>53</v>
      </c>
      <c r="D2541">
        <v>3</v>
      </c>
      <c r="E2541">
        <v>100</v>
      </c>
      <c r="F2541" t="s">
        <v>1</v>
      </c>
      <c r="G2541" s="6">
        <v>45811</v>
      </c>
      <c r="H2541">
        <v>41</v>
      </c>
      <c r="I2541">
        <f>ROUND(CompilDonnées[[#This Row],[CultureDuration_days]]/7,0)</f>
        <v>6</v>
      </c>
      <c r="J2541">
        <v>2880</v>
      </c>
      <c r="K2541" t="str">
        <f>_xlfn.CONCAT(WEEKNUM(CompilDonnées[[#This Row],[PlantationDate]]), " ", YEAR(CompilDonnées[[#This Row],[PlantationDate]]))</f>
        <v>17 2025</v>
      </c>
      <c r="L2541" t="str">
        <f>CONCATENATE(MONTH(CompilDonnées[[#This Row],[PlantationDate]])," ", YEAR(CompilDonnées[[#This Row],[PlantationDate]]))</f>
        <v>4 2025</v>
      </c>
      <c r="M2541" t="str">
        <f>CONCATENATE(MONTH(CompilDonnées[[#This Row],[HarvestingDate]])," ", YEAR(CompilDonnées[[#This Row],[HarvestingDate]]))</f>
        <v>6 2025</v>
      </c>
      <c r="N2541">
        <f>_xlfn.NUMBERVALUE(CompilDonnées[[#This Row],[FarmID]]&amp;CompilDonnées[[#This Row],[ModuleNumber]]&amp;CompilDonnées[[#This Row],[PlantationDate]])</f>
        <v>20345770</v>
      </c>
      <c r="O2541" t="str">
        <f>CompilDonnées[[#This Row],[FarmID]]&amp;CompilDonnées[[#This Row],[ModuleNumber]]</f>
        <v>203</v>
      </c>
      <c r="P2541" t="str">
        <f>CompilDonnées[[#This Row],[Ref_Module]]&amp;CompilDonnées[[#This Row],[HarvestingDate]]</f>
        <v>20345811</v>
      </c>
    </row>
    <row r="2542" spans="1:16">
      <c r="A2542" s="5">
        <v>45770</v>
      </c>
      <c r="B2542">
        <v>20</v>
      </c>
      <c r="C2542" t="s">
        <v>53</v>
      </c>
      <c r="D2542">
        <v>6</v>
      </c>
      <c r="E2542">
        <v>100</v>
      </c>
      <c r="F2542" t="s">
        <v>1</v>
      </c>
      <c r="G2542" s="6">
        <v>45811</v>
      </c>
      <c r="H2542">
        <v>41</v>
      </c>
      <c r="I2542">
        <f>ROUND(CompilDonnées[[#This Row],[CultureDuration_days]]/7,0)</f>
        <v>6</v>
      </c>
      <c r="J2542">
        <v>3054</v>
      </c>
      <c r="K2542" t="str">
        <f>_xlfn.CONCAT(WEEKNUM(CompilDonnées[[#This Row],[PlantationDate]]), " ", YEAR(CompilDonnées[[#This Row],[PlantationDate]]))</f>
        <v>17 2025</v>
      </c>
      <c r="L2542" t="str">
        <f>CONCATENATE(MONTH(CompilDonnées[[#This Row],[PlantationDate]])," ", YEAR(CompilDonnées[[#This Row],[PlantationDate]]))</f>
        <v>4 2025</v>
      </c>
      <c r="M2542" t="str">
        <f>CONCATENATE(MONTH(CompilDonnées[[#This Row],[HarvestingDate]])," ", YEAR(CompilDonnées[[#This Row],[HarvestingDate]]))</f>
        <v>6 2025</v>
      </c>
      <c r="N2542">
        <f>_xlfn.NUMBERVALUE(CompilDonnées[[#This Row],[FarmID]]&amp;CompilDonnées[[#This Row],[ModuleNumber]]&amp;CompilDonnées[[#This Row],[PlantationDate]])</f>
        <v>20645770</v>
      </c>
      <c r="O2542" t="str">
        <f>CompilDonnées[[#This Row],[FarmID]]&amp;CompilDonnées[[#This Row],[ModuleNumber]]</f>
        <v>206</v>
      </c>
      <c r="P2542" t="str">
        <f>CompilDonnées[[#This Row],[Ref_Module]]&amp;CompilDonnées[[#This Row],[HarvestingDate]]</f>
        <v>20645811</v>
      </c>
    </row>
    <row r="2543" spans="1:16">
      <c r="A2543" s="5">
        <v>45770</v>
      </c>
      <c r="B2543">
        <v>23</v>
      </c>
      <c r="C2543" t="s">
        <v>44</v>
      </c>
      <c r="D2543">
        <v>5</v>
      </c>
      <c r="E2543">
        <v>99</v>
      </c>
      <c r="F2543" t="s">
        <v>1</v>
      </c>
      <c r="G2543" s="6">
        <v>45805</v>
      </c>
      <c r="H2543">
        <v>35</v>
      </c>
      <c r="I2543">
        <f>ROUND(CompilDonnées[[#This Row],[CultureDuration_days]]/7,0)</f>
        <v>5</v>
      </c>
      <c r="J2543">
        <v>2391</v>
      </c>
      <c r="K2543" t="str">
        <f>_xlfn.CONCAT(WEEKNUM(CompilDonnées[[#This Row],[PlantationDate]]), " ", YEAR(CompilDonnées[[#This Row],[PlantationDate]]))</f>
        <v>17 2025</v>
      </c>
      <c r="L2543" t="str">
        <f>CONCATENATE(MONTH(CompilDonnées[[#This Row],[PlantationDate]])," ", YEAR(CompilDonnées[[#This Row],[PlantationDate]]))</f>
        <v>4 2025</v>
      </c>
      <c r="M2543" t="str">
        <f>CONCATENATE(MONTH(CompilDonnées[[#This Row],[HarvestingDate]])," ", YEAR(CompilDonnées[[#This Row],[HarvestingDate]]))</f>
        <v>5 2025</v>
      </c>
      <c r="N2543">
        <f>_xlfn.NUMBERVALUE(CompilDonnées[[#This Row],[FarmID]]&amp;CompilDonnées[[#This Row],[ModuleNumber]]&amp;CompilDonnées[[#This Row],[PlantationDate]])</f>
        <v>23545770</v>
      </c>
      <c r="O2543" t="str">
        <f>CompilDonnées[[#This Row],[FarmID]]&amp;CompilDonnées[[#This Row],[ModuleNumber]]</f>
        <v>235</v>
      </c>
      <c r="P2543" t="str">
        <f>CompilDonnées[[#This Row],[Ref_Module]]&amp;CompilDonnées[[#This Row],[HarvestingDate]]</f>
        <v>23545805</v>
      </c>
    </row>
    <row r="2544" spans="1:16">
      <c r="A2544" s="5">
        <v>45770</v>
      </c>
      <c r="B2544">
        <v>26</v>
      </c>
      <c r="C2544" t="s">
        <v>97</v>
      </c>
      <c r="D2544">
        <v>3</v>
      </c>
      <c r="E2544">
        <v>100</v>
      </c>
      <c r="F2544" t="s">
        <v>1</v>
      </c>
      <c r="G2544" s="6">
        <v>45811</v>
      </c>
      <c r="H2544">
        <v>41</v>
      </c>
      <c r="I2544">
        <f>ROUND(CompilDonnées[[#This Row],[CultureDuration_days]]/7,0)</f>
        <v>6</v>
      </c>
      <c r="J2544">
        <v>2069</v>
      </c>
      <c r="K2544" t="str">
        <f>_xlfn.CONCAT(WEEKNUM(CompilDonnées[[#This Row],[PlantationDate]]), " ", YEAR(CompilDonnées[[#This Row],[PlantationDate]]))</f>
        <v>17 2025</v>
      </c>
      <c r="L2544" t="str">
        <f>CONCATENATE(MONTH(CompilDonnées[[#This Row],[PlantationDate]])," ", YEAR(CompilDonnées[[#This Row],[PlantationDate]]))</f>
        <v>4 2025</v>
      </c>
      <c r="M2544" t="str">
        <f>CONCATENATE(MONTH(CompilDonnées[[#This Row],[HarvestingDate]])," ", YEAR(CompilDonnées[[#This Row],[HarvestingDate]]))</f>
        <v>6 2025</v>
      </c>
      <c r="N2544">
        <f>_xlfn.NUMBERVALUE(CompilDonnées[[#This Row],[FarmID]]&amp;CompilDonnées[[#This Row],[ModuleNumber]]&amp;CompilDonnées[[#This Row],[PlantationDate]])</f>
        <v>26345770</v>
      </c>
      <c r="O2544" t="str">
        <f>CompilDonnées[[#This Row],[FarmID]]&amp;CompilDonnées[[#This Row],[ModuleNumber]]</f>
        <v>263</v>
      </c>
      <c r="P2544" t="str">
        <f>CompilDonnées[[#This Row],[Ref_Module]]&amp;CompilDonnées[[#This Row],[HarvestingDate]]</f>
        <v>26345811</v>
      </c>
    </row>
    <row r="2545" spans="1:16">
      <c r="A2545" s="5">
        <v>45770</v>
      </c>
      <c r="B2545">
        <v>27</v>
      </c>
      <c r="C2545" t="s">
        <v>88</v>
      </c>
      <c r="D2545">
        <v>2</v>
      </c>
      <c r="E2545">
        <v>100</v>
      </c>
      <c r="F2545" t="s">
        <v>1</v>
      </c>
      <c r="G2545" s="6">
        <v>45811</v>
      </c>
      <c r="H2545">
        <v>41</v>
      </c>
      <c r="I2545">
        <f>ROUND(CompilDonnées[[#This Row],[CultureDuration_days]]/7,0)</f>
        <v>6</v>
      </c>
      <c r="J2545">
        <v>3467</v>
      </c>
      <c r="K2545" t="str">
        <f>_xlfn.CONCAT(WEEKNUM(CompilDonnées[[#This Row],[PlantationDate]]), " ", YEAR(CompilDonnées[[#This Row],[PlantationDate]]))</f>
        <v>17 2025</v>
      </c>
      <c r="L2545" t="str">
        <f>CONCATENATE(MONTH(CompilDonnées[[#This Row],[PlantationDate]])," ", YEAR(CompilDonnées[[#This Row],[PlantationDate]]))</f>
        <v>4 2025</v>
      </c>
      <c r="M2545" t="str">
        <f>CONCATENATE(MONTH(CompilDonnées[[#This Row],[HarvestingDate]])," ", YEAR(CompilDonnées[[#This Row],[HarvestingDate]]))</f>
        <v>6 2025</v>
      </c>
      <c r="N2545">
        <f>_xlfn.NUMBERVALUE(CompilDonnées[[#This Row],[FarmID]]&amp;CompilDonnées[[#This Row],[ModuleNumber]]&amp;CompilDonnées[[#This Row],[PlantationDate]])</f>
        <v>27245770</v>
      </c>
      <c r="O2545" t="str">
        <f>CompilDonnées[[#This Row],[FarmID]]&amp;CompilDonnées[[#This Row],[ModuleNumber]]</f>
        <v>272</v>
      </c>
      <c r="P2545" t="str">
        <f>CompilDonnées[[#This Row],[Ref_Module]]&amp;CompilDonnées[[#This Row],[HarvestingDate]]</f>
        <v>27245811</v>
      </c>
    </row>
    <row r="2546" spans="1:16">
      <c r="A2546" s="5">
        <v>45770</v>
      </c>
      <c r="B2546">
        <v>28</v>
      </c>
      <c r="C2546" t="s">
        <v>122</v>
      </c>
      <c r="D2546">
        <v>3</v>
      </c>
      <c r="E2546">
        <v>100</v>
      </c>
      <c r="F2546" t="s">
        <v>1</v>
      </c>
      <c r="G2546" s="6">
        <v>45811</v>
      </c>
      <c r="H2546">
        <v>41</v>
      </c>
      <c r="I2546">
        <f>ROUND(CompilDonnées[[#This Row],[CultureDuration_days]]/7,0)</f>
        <v>6</v>
      </c>
      <c r="J2546">
        <v>2797</v>
      </c>
      <c r="K2546" t="str">
        <f>_xlfn.CONCAT(WEEKNUM(CompilDonnées[[#This Row],[PlantationDate]]), " ", YEAR(CompilDonnées[[#This Row],[PlantationDate]]))</f>
        <v>17 2025</v>
      </c>
      <c r="L2546" t="str">
        <f>CONCATENATE(MONTH(CompilDonnées[[#This Row],[PlantationDate]])," ", YEAR(CompilDonnées[[#This Row],[PlantationDate]]))</f>
        <v>4 2025</v>
      </c>
      <c r="M2546" t="str">
        <f>CONCATENATE(MONTH(CompilDonnées[[#This Row],[HarvestingDate]])," ", YEAR(CompilDonnées[[#This Row],[HarvestingDate]]))</f>
        <v>6 2025</v>
      </c>
      <c r="N2546">
        <f>_xlfn.NUMBERVALUE(CompilDonnées[[#This Row],[FarmID]]&amp;CompilDonnées[[#This Row],[ModuleNumber]]&amp;CompilDonnées[[#This Row],[PlantationDate]])</f>
        <v>28345770</v>
      </c>
      <c r="O2546" t="str">
        <f>CompilDonnées[[#This Row],[FarmID]]&amp;CompilDonnées[[#This Row],[ModuleNumber]]</f>
        <v>283</v>
      </c>
      <c r="P2546" t="str">
        <f>CompilDonnées[[#This Row],[Ref_Module]]&amp;CompilDonnées[[#This Row],[HarvestingDate]]</f>
        <v>28345811</v>
      </c>
    </row>
    <row r="2547" spans="1:16">
      <c r="A2547" s="5">
        <v>45770</v>
      </c>
      <c r="B2547">
        <v>36</v>
      </c>
      <c r="C2547" t="s">
        <v>63</v>
      </c>
      <c r="D2547">
        <v>6</v>
      </c>
      <c r="E2547">
        <v>100</v>
      </c>
      <c r="F2547" t="s">
        <v>1</v>
      </c>
      <c r="G2547" s="6">
        <v>45812</v>
      </c>
      <c r="H2547">
        <v>42</v>
      </c>
      <c r="I2547">
        <f>ROUND(CompilDonnées[[#This Row],[CultureDuration_days]]/7,0)</f>
        <v>6</v>
      </c>
      <c r="J2547">
        <v>3614</v>
      </c>
      <c r="K2547" t="str">
        <f>_xlfn.CONCAT(WEEKNUM(CompilDonnées[[#This Row],[PlantationDate]]), " ", YEAR(CompilDonnées[[#This Row],[PlantationDate]]))</f>
        <v>17 2025</v>
      </c>
      <c r="L2547" t="str">
        <f>CONCATENATE(MONTH(CompilDonnées[[#This Row],[PlantationDate]])," ", YEAR(CompilDonnées[[#This Row],[PlantationDate]]))</f>
        <v>4 2025</v>
      </c>
      <c r="M2547" t="str">
        <f>CONCATENATE(MONTH(CompilDonnées[[#This Row],[HarvestingDate]])," ", YEAR(CompilDonnées[[#This Row],[HarvestingDate]]))</f>
        <v>6 2025</v>
      </c>
      <c r="N2547">
        <f>_xlfn.NUMBERVALUE(CompilDonnées[[#This Row],[FarmID]]&amp;CompilDonnées[[#This Row],[ModuleNumber]]&amp;CompilDonnées[[#This Row],[PlantationDate]])</f>
        <v>36645770</v>
      </c>
      <c r="O2547" t="str">
        <f>CompilDonnées[[#This Row],[FarmID]]&amp;CompilDonnées[[#This Row],[ModuleNumber]]</f>
        <v>366</v>
      </c>
      <c r="P2547" t="str">
        <f>CompilDonnées[[#This Row],[Ref_Module]]&amp;CompilDonnées[[#This Row],[HarvestingDate]]</f>
        <v>36645812</v>
      </c>
    </row>
    <row r="2548" spans="1:16">
      <c r="A2548" s="5">
        <v>45770</v>
      </c>
      <c r="B2548">
        <v>39</v>
      </c>
      <c r="C2548" t="s">
        <v>81</v>
      </c>
      <c r="D2548">
        <v>4</v>
      </c>
      <c r="E2548">
        <v>100</v>
      </c>
      <c r="F2548" t="s">
        <v>1</v>
      </c>
      <c r="G2548" s="6">
        <v>45811</v>
      </c>
      <c r="H2548">
        <v>41</v>
      </c>
      <c r="I2548">
        <f>ROUND(CompilDonnées[[#This Row],[CultureDuration_days]]/7,0)</f>
        <v>6</v>
      </c>
      <c r="J2548">
        <v>3230</v>
      </c>
      <c r="K2548" t="str">
        <f>_xlfn.CONCAT(WEEKNUM(CompilDonnées[[#This Row],[PlantationDate]]), " ", YEAR(CompilDonnées[[#This Row],[PlantationDate]]))</f>
        <v>17 2025</v>
      </c>
      <c r="L2548" t="str">
        <f>CONCATENATE(MONTH(CompilDonnées[[#This Row],[PlantationDate]])," ", YEAR(CompilDonnées[[#This Row],[PlantationDate]]))</f>
        <v>4 2025</v>
      </c>
      <c r="M2548" t="str">
        <f>CONCATENATE(MONTH(CompilDonnées[[#This Row],[HarvestingDate]])," ", YEAR(CompilDonnées[[#This Row],[HarvestingDate]]))</f>
        <v>6 2025</v>
      </c>
      <c r="N2548">
        <f>_xlfn.NUMBERVALUE(CompilDonnées[[#This Row],[FarmID]]&amp;CompilDonnées[[#This Row],[ModuleNumber]]&amp;CompilDonnées[[#This Row],[PlantationDate]])</f>
        <v>39445770</v>
      </c>
      <c r="O2548" t="str">
        <f>CompilDonnées[[#This Row],[FarmID]]&amp;CompilDonnées[[#This Row],[ModuleNumber]]</f>
        <v>394</v>
      </c>
      <c r="P2548" t="str">
        <f>CompilDonnées[[#This Row],[Ref_Module]]&amp;CompilDonnées[[#This Row],[HarvestingDate]]</f>
        <v>39445811</v>
      </c>
    </row>
    <row r="2549" spans="1:16">
      <c r="A2549" s="5">
        <v>45770</v>
      </c>
      <c r="B2549">
        <v>41</v>
      </c>
      <c r="C2549" t="s">
        <v>70</v>
      </c>
      <c r="D2549">
        <v>3</v>
      </c>
      <c r="E2549">
        <v>100</v>
      </c>
      <c r="F2549" t="s">
        <v>1</v>
      </c>
      <c r="G2549" s="6">
        <v>45804</v>
      </c>
      <c r="H2549">
        <v>34</v>
      </c>
      <c r="I2549">
        <f>ROUND(CompilDonnées[[#This Row],[CultureDuration_days]]/7,0)</f>
        <v>5</v>
      </c>
      <c r="J2549">
        <v>2020</v>
      </c>
      <c r="K2549" t="str">
        <f>_xlfn.CONCAT(WEEKNUM(CompilDonnées[[#This Row],[PlantationDate]]), " ", YEAR(CompilDonnées[[#This Row],[PlantationDate]]))</f>
        <v>17 2025</v>
      </c>
      <c r="L2549" t="str">
        <f>CONCATENATE(MONTH(CompilDonnées[[#This Row],[PlantationDate]])," ", YEAR(CompilDonnées[[#This Row],[PlantationDate]]))</f>
        <v>4 2025</v>
      </c>
      <c r="M2549" t="str">
        <f>CONCATENATE(MONTH(CompilDonnées[[#This Row],[HarvestingDate]])," ", YEAR(CompilDonnées[[#This Row],[HarvestingDate]]))</f>
        <v>5 2025</v>
      </c>
      <c r="N2549">
        <f>_xlfn.NUMBERVALUE(CompilDonnées[[#This Row],[FarmID]]&amp;CompilDonnées[[#This Row],[ModuleNumber]]&amp;CompilDonnées[[#This Row],[PlantationDate]])</f>
        <v>41345770</v>
      </c>
      <c r="O2549" t="str">
        <f>CompilDonnées[[#This Row],[FarmID]]&amp;CompilDonnées[[#This Row],[ModuleNumber]]</f>
        <v>413</v>
      </c>
      <c r="P2549" t="str">
        <f>CompilDonnées[[#This Row],[Ref_Module]]&amp;CompilDonnées[[#This Row],[HarvestingDate]]</f>
        <v>41345804</v>
      </c>
    </row>
    <row r="2550" spans="1:16">
      <c r="A2550" s="5">
        <v>45770</v>
      </c>
      <c r="B2550">
        <v>45</v>
      </c>
      <c r="C2550" t="s">
        <v>77</v>
      </c>
      <c r="D2550">
        <v>3</v>
      </c>
      <c r="E2550">
        <v>100</v>
      </c>
      <c r="F2550" t="s">
        <v>1</v>
      </c>
      <c r="G2550" s="6">
        <v>45804</v>
      </c>
      <c r="H2550">
        <v>34</v>
      </c>
      <c r="I2550">
        <f>ROUND(CompilDonnées[[#This Row],[CultureDuration_days]]/7,0)</f>
        <v>5</v>
      </c>
      <c r="J2550">
        <v>2354</v>
      </c>
      <c r="K2550" t="str">
        <f>_xlfn.CONCAT(WEEKNUM(CompilDonnées[[#This Row],[PlantationDate]]), " ", YEAR(CompilDonnées[[#This Row],[PlantationDate]]))</f>
        <v>17 2025</v>
      </c>
      <c r="L2550" t="str">
        <f>CONCATENATE(MONTH(CompilDonnées[[#This Row],[PlantationDate]])," ", YEAR(CompilDonnées[[#This Row],[PlantationDate]]))</f>
        <v>4 2025</v>
      </c>
      <c r="M2550" t="str">
        <f>CONCATENATE(MONTH(CompilDonnées[[#This Row],[HarvestingDate]])," ", YEAR(CompilDonnées[[#This Row],[HarvestingDate]]))</f>
        <v>5 2025</v>
      </c>
      <c r="N2550">
        <f>_xlfn.NUMBERVALUE(CompilDonnées[[#This Row],[FarmID]]&amp;CompilDonnées[[#This Row],[ModuleNumber]]&amp;CompilDonnées[[#This Row],[PlantationDate]])</f>
        <v>45345770</v>
      </c>
      <c r="O2550" t="str">
        <f>CompilDonnées[[#This Row],[FarmID]]&amp;CompilDonnées[[#This Row],[ModuleNumber]]</f>
        <v>453</v>
      </c>
      <c r="P2550" t="str">
        <f>CompilDonnées[[#This Row],[Ref_Module]]&amp;CompilDonnées[[#This Row],[HarvestingDate]]</f>
        <v>45345804</v>
      </c>
    </row>
    <row r="2551" spans="1:16">
      <c r="A2551" s="5">
        <v>45770</v>
      </c>
      <c r="B2551">
        <v>47</v>
      </c>
      <c r="C2551" t="s">
        <v>12</v>
      </c>
      <c r="D2551">
        <v>4</v>
      </c>
      <c r="E2551">
        <v>100</v>
      </c>
      <c r="F2551" t="s">
        <v>1</v>
      </c>
      <c r="G2551" s="6">
        <v>45812</v>
      </c>
      <c r="H2551">
        <v>42</v>
      </c>
      <c r="I2551">
        <f>ROUND(CompilDonnées[[#This Row],[CultureDuration_days]]/7,0)</f>
        <v>6</v>
      </c>
      <c r="J2551">
        <v>3218</v>
      </c>
      <c r="K2551" t="str">
        <f>_xlfn.CONCAT(WEEKNUM(CompilDonnées[[#This Row],[PlantationDate]]), " ", YEAR(CompilDonnées[[#This Row],[PlantationDate]]))</f>
        <v>17 2025</v>
      </c>
      <c r="L2551" t="str">
        <f>CONCATENATE(MONTH(CompilDonnées[[#This Row],[PlantationDate]])," ", YEAR(CompilDonnées[[#This Row],[PlantationDate]]))</f>
        <v>4 2025</v>
      </c>
      <c r="M2551" t="str">
        <f>CONCATENATE(MONTH(CompilDonnées[[#This Row],[HarvestingDate]])," ", YEAR(CompilDonnées[[#This Row],[HarvestingDate]]))</f>
        <v>6 2025</v>
      </c>
      <c r="N2551">
        <f>_xlfn.NUMBERVALUE(CompilDonnées[[#This Row],[FarmID]]&amp;CompilDonnées[[#This Row],[ModuleNumber]]&amp;CompilDonnées[[#This Row],[PlantationDate]])</f>
        <v>47445770</v>
      </c>
      <c r="O2551" t="str">
        <f>CompilDonnées[[#This Row],[FarmID]]&amp;CompilDonnées[[#This Row],[ModuleNumber]]</f>
        <v>474</v>
      </c>
      <c r="P2551" t="str">
        <f>CompilDonnées[[#This Row],[Ref_Module]]&amp;CompilDonnées[[#This Row],[HarvestingDate]]</f>
        <v>47445812</v>
      </c>
    </row>
    <row r="2552" spans="1:16">
      <c r="A2552" s="5">
        <v>45770</v>
      </c>
      <c r="B2552">
        <v>47</v>
      </c>
      <c r="C2552" t="s">
        <v>12</v>
      </c>
      <c r="D2552">
        <v>5</v>
      </c>
      <c r="E2552">
        <v>100</v>
      </c>
      <c r="F2552" t="s">
        <v>1</v>
      </c>
      <c r="G2552" s="6">
        <v>45812</v>
      </c>
      <c r="H2552">
        <v>42</v>
      </c>
      <c r="I2552">
        <f>ROUND(CompilDonnées[[#This Row],[CultureDuration_days]]/7,0)</f>
        <v>6</v>
      </c>
      <c r="J2552">
        <v>3575</v>
      </c>
      <c r="K2552" t="str">
        <f>_xlfn.CONCAT(WEEKNUM(CompilDonnées[[#This Row],[PlantationDate]]), " ", YEAR(CompilDonnées[[#This Row],[PlantationDate]]))</f>
        <v>17 2025</v>
      </c>
      <c r="L2552" t="str">
        <f>CONCATENATE(MONTH(CompilDonnées[[#This Row],[PlantationDate]])," ", YEAR(CompilDonnées[[#This Row],[PlantationDate]]))</f>
        <v>4 2025</v>
      </c>
      <c r="M2552" t="str">
        <f>CONCATENATE(MONTH(CompilDonnées[[#This Row],[HarvestingDate]])," ", YEAR(CompilDonnées[[#This Row],[HarvestingDate]]))</f>
        <v>6 2025</v>
      </c>
      <c r="N2552">
        <f>_xlfn.NUMBERVALUE(CompilDonnées[[#This Row],[FarmID]]&amp;CompilDonnées[[#This Row],[ModuleNumber]]&amp;CompilDonnées[[#This Row],[PlantationDate]])</f>
        <v>47545770</v>
      </c>
      <c r="O2552" t="str">
        <f>CompilDonnées[[#This Row],[FarmID]]&amp;CompilDonnées[[#This Row],[ModuleNumber]]</f>
        <v>475</v>
      </c>
      <c r="P2552" t="str">
        <f>CompilDonnées[[#This Row],[Ref_Module]]&amp;CompilDonnées[[#This Row],[HarvestingDate]]</f>
        <v>47545812</v>
      </c>
    </row>
    <row r="2553" spans="1:16">
      <c r="A2553" s="5">
        <v>45770</v>
      </c>
      <c r="B2553">
        <v>48</v>
      </c>
      <c r="C2553" t="s">
        <v>71</v>
      </c>
      <c r="D2553">
        <v>6</v>
      </c>
      <c r="E2553">
        <v>100</v>
      </c>
      <c r="F2553" t="s">
        <v>1</v>
      </c>
      <c r="G2553" s="6">
        <v>45812</v>
      </c>
      <c r="H2553">
        <v>42</v>
      </c>
      <c r="I2553">
        <f>ROUND(CompilDonnées[[#This Row],[CultureDuration_days]]/7,0)</f>
        <v>6</v>
      </c>
      <c r="J2553">
        <v>3083</v>
      </c>
      <c r="K2553" t="str">
        <f>_xlfn.CONCAT(WEEKNUM(CompilDonnées[[#This Row],[PlantationDate]]), " ", YEAR(CompilDonnées[[#This Row],[PlantationDate]]))</f>
        <v>17 2025</v>
      </c>
      <c r="L2553" t="str">
        <f>CONCATENATE(MONTH(CompilDonnées[[#This Row],[PlantationDate]])," ", YEAR(CompilDonnées[[#This Row],[PlantationDate]]))</f>
        <v>4 2025</v>
      </c>
      <c r="M2553" t="str">
        <f>CONCATENATE(MONTH(CompilDonnées[[#This Row],[HarvestingDate]])," ", YEAR(CompilDonnées[[#This Row],[HarvestingDate]]))</f>
        <v>6 2025</v>
      </c>
      <c r="N2553">
        <f>_xlfn.NUMBERVALUE(CompilDonnées[[#This Row],[FarmID]]&amp;CompilDonnées[[#This Row],[ModuleNumber]]&amp;CompilDonnées[[#This Row],[PlantationDate]])</f>
        <v>48645770</v>
      </c>
      <c r="O2553" t="str">
        <f>CompilDonnées[[#This Row],[FarmID]]&amp;CompilDonnées[[#This Row],[ModuleNumber]]</f>
        <v>486</v>
      </c>
      <c r="P2553" t="str">
        <f>CompilDonnées[[#This Row],[Ref_Module]]&amp;CompilDonnées[[#This Row],[HarvestingDate]]</f>
        <v>48645812</v>
      </c>
    </row>
    <row r="2554" spans="1:16">
      <c r="A2554" s="5">
        <v>45770</v>
      </c>
      <c r="B2554">
        <v>49</v>
      </c>
      <c r="C2554" t="s">
        <v>110</v>
      </c>
      <c r="D2554">
        <v>3</v>
      </c>
      <c r="E2554">
        <v>100</v>
      </c>
      <c r="F2554" t="s">
        <v>1</v>
      </c>
      <c r="G2554" s="6">
        <v>45812</v>
      </c>
      <c r="H2554">
        <v>42</v>
      </c>
      <c r="I2554">
        <f>ROUND(CompilDonnées[[#This Row],[CultureDuration_days]]/7,0)</f>
        <v>6</v>
      </c>
      <c r="J2554">
        <v>3030</v>
      </c>
      <c r="K2554" t="str">
        <f>_xlfn.CONCAT(WEEKNUM(CompilDonnées[[#This Row],[PlantationDate]]), " ", YEAR(CompilDonnées[[#This Row],[PlantationDate]]))</f>
        <v>17 2025</v>
      </c>
      <c r="L2554" t="str">
        <f>CONCATENATE(MONTH(CompilDonnées[[#This Row],[PlantationDate]])," ", YEAR(CompilDonnées[[#This Row],[PlantationDate]]))</f>
        <v>4 2025</v>
      </c>
      <c r="M2554" t="str">
        <f>CONCATENATE(MONTH(CompilDonnées[[#This Row],[HarvestingDate]])," ", YEAR(CompilDonnées[[#This Row],[HarvestingDate]]))</f>
        <v>6 2025</v>
      </c>
      <c r="N2554">
        <f>_xlfn.NUMBERVALUE(CompilDonnées[[#This Row],[FarmID]]&amp;CompilDonnées[[#This Row],[ModuleNumber]]&amp;CompilDonnées[[#This Row],[PlantationDate]])</f>
        <v>49345770</v>
      </c>
      <c r="O2554" t="str">
        <f>CompilDonnées[[#This Row],[FarmID]]&amp;CompilDonnées[[#This Row],[ModuleNumber]]</f>
        <v>493</v>
      </c>
      <c r="P2554" t="str">
        <f>CompilDonnées[[#This Row],[Ref_Module]]&amp;CompilDonnées[[#This Row],[HarvestingDate]]</f>
        <v>49345812</v>
      </c>
    </row>
    <row r="2555" spans="1:16">
      <c r="A2555" s="5">
        <v>45770</v>
      </c>
      <c r="B2555">
        <v>51</v>
      </c>
      <c r="C2555" t="s">
        <v>27</v>
      </c>
      <c r="D2555">
        <v>5</v>
      </c>
      <c r="E2555">
        <v>100</v>
      </c>
      <c r="F2555" t="s">
        <v>1</v>
      </c>
      <c r="G2555" s="6">
        <v>45812</v>
      </c>
      <c r="H2555">
        <v>42</v>
      </c>
      <c r="I2555">
        <f>ROUND(CompilDonnées[[#This Row],[CultureDuration_days]]/7,0)</f>
        <v>6</v>
      </c>
      <c r="J2555">
        <v>2297</v>
      </c>
      <c r="K2555" t="str">
        <f>_xlfn.CONCAT(WEEKNUM(CompilDonnées[[#This Row],[PlantationDate]]), " ", YEAR(CompilDonnées[[#This Row],[PlantationDate]]))</f>
        <v>17 2025</v>
      </c>
      <c r="L2555" t="str">
        <f>CONCATENATE(MONTH(CompilDonnées[[#This Row],[PlantationDate]])," ", YEAR(CompilDonnées[[#This Row],[PlantationDate]]))</f>
        <v>4 2025</v>
      </c>
      <c r="M2555" t="str">
        <f>CONCATENATE(MONTH(CompilDonnées[[#This Row],[HarvestingDate]])," ", YEAR(CompilDonnées[[#This Row],[HarvestingDate]]))</f>
        <v>6 2025</v>
      </c>
      <c r="N2555">
        <f>_xlfn.NUMBERVALUE(CompilDonnées[[#This Row],[FarmID]]&amp;CompilDonnées[[#This Row],[ModuleNumber]]&amp;CompilDonnées[[#This Row],[PlantationDate]])</f>
        <v>51545770</v>
      </c>
      <c r="O2555" t="str">
        <f>CompilDonnées[[#This Row],[FarmID]]&amp;CompilDonnées[[#This Row],[ModuleNumber]]</f>
        <v>515</v>
      </c>
      <c r="P2555" t="str">
        <f>CompilDonnées[[#This Row],[Ref_Module]]&amp;CompilDonnées[[#This Row],[HarvestingDate]]</f>
        <v>51545812</v>
      </c>
    </row>
    <row r="2556" spans="1:16">
      <c r="A2556" s="5">
        <v>45770</v>
      </c>
      <c r="B2556">
        <v>53</v>
      </c>
      <c r="C2556" t="s">
        <v>83</v>
      </c>
      <c r="D2556">
        <v>3</v>
      </c>
      <c r="E2556">
        <v>100</v>
      </c>
      <c r="F2556" t="s">
        <v>1</v>
      </c>
      <c r="G2556" s="6">
        <v>45812</v>
      </c>
      <c r="H2556">
        <v>42</v>
      </c>
      <c r="I2556">
        <f>ROUND(CompilDonnées[[#This Row],[CultureDuration_days]]/7,0)</f>
        <v>6</v>
      </c>
      <c r="J2556">
        <v>3359</v>
      </c>
      <c r="K2556" t="str">
        <f>_xlfn.CONCAT(WEEKNUM(CompilDonnées[[#This Row],[PlantationDate]]), " ", YEAR(CompilDonnées[[#This Row],[PlantationDate]]))</f>
        <v>17 2025</v>
      </c>
      <c r="L2556" t="str">
        <f>CONCATENATE(MONTH(CompilDonnées[[#This Row],[PlantationDate]])," ", YEAR(CompilDonnées[[#This Row],[PlantationDate]]))</f>
        <v>4 2025</v>
      </c>
      <c r="M2556" t="str">
        <f>CONCATENATE(MONTH(CompilDonnées[[#This Row],[HarvestingDate]])," ", YEAR(CompilDonnées[[#This Row],[HarvestingDate]]))</f>
        <v>6 2025</v>
      </c>
      <c r="N2556">
        <f>_xlfn.NUMBERVALUE(CompilDonnées[[#This Row],[FarmID]]&amp;CompilDonnées[[#This Row],[ModuleNumber]]&amp;CompilDonnées[[#This Row],[PlantationDate]])</f>
        <v>53345770</v>
      </c>
      <c r="O2556" t="str">
        <f>CompilDonnées[[#This Row],[FarmID]]&amp;CompilDonnées[[#This Row],[ModuleNumber]]</f>
        <v>533</v>
      </c>
      <c r="P2556" t="str">
        <f>CompilDonnées[[#This Row],[Ref_Module]]&amp;CompilDonnées[[#This Row],[HarvestingDate]]</f>
        <v>53345812</v>
      </c>
    </row>
    <row r="2557" spans="1:16">
      <c r="A2557" s="5">
        <v>45770</v>
      </c>
      <c r="B2557">
        <v>96</v>
      </c>
      <c r="C2557" t="s">
        <v>125</v>
      </c>
      <c r="D2557">
        <v>4</v>
      </c>
      <c r="E2557">
        <v>100</v>
      </c>
      <c r="F2557" t="s">
        <v>1</v>
      </c>
      <c r="G2557" s="6">
        <v>45819</v>
      </c>
      <c r="H2557">
        <v>49</v>
      </c>
      <c r="I2557">
        <f>ROUND(CompilDonnées[[#This Row],[CultureDuration_days]]/7,0)</f>
        <v>7</v>
      </c>
      <c r="J2557">
        <v>2165</v>
      </c>
      <c r="K2557" t="str">
        <f>_xlfn.CONCAT(WEEKNUM(CompilDonnées[[#This Row],[PlantationDate]]), " ", YEAR(CompilDonnées[[#This Row],[PlantationDate]]))</f>
        <v>17 2025</v>
      </c>
      <c r="L2557" t="str">
        <f>CONCATENATE(MONTH(CompilDonnées[[#This Row],[PlantationDate]])," ", YEAR(CompilDonnées[[#This Row],[PlantationDate]]))</f>
        <v>4 2025</v>
      </c>
      <c r="M2557" t="str">
        <f>CONCATENATE(MONTH(CompilDonnées[[#This Row],[HarvestingDate]])," ", YEAR(CompilDonnées[[#This Row],[HarvestingDate]]))</f>
        <v>6 2025</v>
      </c>
      <c r="N2557">
        <f>_xlfn.NUMBERVALUE(CompilDonnées[[#This Row],[FarmID]]&amp;CompilDonnées[[#This Row],[ModuleNumber]]&amp;CompilDonnées[[#This Row],[PlantationDate]])</f>
        <v>96445770</v>
      </c>
      <c r="O2557" t="str">
        <f>CompilDonnées[[#This Row],[FarmID]]&amp;CompilDonnées[[#This Row],[ModuleNumber]]</f>
        <v>964</v>
      </c>
      <c r="P2557" t="str">
        <f>CompilDonnées[[#This Row],[Ref_Module]]&amp;CompilDonnées[[#This Row],[HarvestingDate]]</f>
        <v>96445819</v>
      </c>
    </row>
    <row r="2558" spans="1:16">
      <c r="A2558" s="5">
        <v>45770</v>
      </c>
      <c r="B2558">
        <v>137</v>
      </c>
      <c r="C2558" t="s">
        <v>3</v>
      </c>
      <c r="D2558">
        <v>3</v>
      </c>
      <c r="E2558">
        <v>60</v>
      </c>
      <c r="F2558" t="s">
        <v>105</v>
      </c>
      <c r="G2558" s="6">
        <v>45818</v>
      </c>
      <c r="H2558">
        <v>48</v>
      </c>
      <c r="I2558">
        <f>ROUND(CompilDonnées[[#This Row],[CultureDuration_days]]/7,0)</f>
        <v>7</v>
      </c>
      <c r="J2558">
        <v>480</v>
      </c>
      <c r="K2558" t="str">
        <f>_xlfn.CONCAT(WEEKNUM(CompilDonnées[[#This Row],[PlantationDate]]), " ", YEAR(CompilDonnées[[#This Row],[PlantationDate]]))</f>
        <v>17 2025</v>
      </c>
      <c r="L2558" t="str">
        <f>CONCATENATE(MONTH(CompilDonnées[[#This Row],[PlantationDate]])," ", YEAR(CompilDonnées[[#This Row],[PlantationDate]]))</f>
        <v>4 2025</v>
      </c>
      <c r="M2558" t="str">
        <f>CONCATENATE(MONTH(CompilDonnées[[#This Row],[HarvestingDate]])," ", YEAR(CompilDonnées[[#This Row],[HarvestingDate]]))</f>
        <v>6 2025</v>
      </c>
      <c r="N2558">
        <f>_xlfn.NUMBERVALUE(CompilDonnées[[#This Row],[FarmID]]&amp;CompilDonnées[[#This Row],[ModuleNumber]]&amp;CompilDonnées[[#This Row],[PlantationDate]])</f>
        <v>137345770</v>
      </c>
      <c r="O2558" t="str">
        <f>CompilDonnées[[#This Row],[FarmID]]&amp;CompilDonnées[[#This Row],[ModuleNumber]]</f>
        <v>1373</v>
      </c>
      <c r="P2558" t="str">
        <f>CompilDonnées[[#This Row],[Ref_Module]]&amp;CompilDonnées[[#This Row],[HarvestingDate]]</f>
        <v>137345818</v>
      </c>
    </row>
    <row r="2559" spans="1:16">
      <c r="A2559" s="5">
        <v>45770</v>
      </c>
      <c r="B2559">
        <v>137</v>
      </c>
      <c r="C2559" t="s">
        <v>3</v>
      </c>
      <c r="D2559">
        <v>4</v>
      </c>
      <c r="E2559">
        <v>60</v>
      </c>
      <c r="F2559" t="s">
        <v>105</v>
      </c>
      <c r="G2559" s="6">
        <v>45818</v>
      </c>
      <c r="H2559">
        <v>48</v>
      </c>
      <c r="I2559">
        <f>ROUND(CompilDonnées[[#This Row],[CultureDuration_days]]/7,0)</f>
        <v>7</v>
      </c>
      <c r="J2559">
        <v>490</v>
      </c>
      <c r="K2559" t="str">
        <f>_xlfn.CONCAT(WEEKNUM(CompilDonnées[[#This Row],[PlantationDate]]), " ", YEAR(CompilDonnées[[#This Row],[PlantationDate]]))</f>
        <v>17 2025</v>
      </c>
      <c r="L2559" t="str">
        <f>CONCATENATE(MONTH(CompilDonnées[[#This Row],[PlantationDate]])," ", YEAR(CompilDonnées[[#This Row],[PlantationDate]]))</f>
        <v>4 2025</v>
      </c>
      <c r="M2559" t="str">
        <f>CONCATENATE(MONTH(CompilDonnées[[#This Row],[HarvestingDate]])," ", YEAR(CompilDonnées[[#This Row],[HarvestingDate]]))</f>
        <v>6 2025</v>
      </c>
      <c r="N2559">
        <f>_xlfn.NUMBERVALUE(CompilDonnées[[#This Row],[FarmID]]&amp;CompilDonnées[[#This Row],[ModuleNumber]]&amp;CompilDonnées[[#This Row],[PlantationDate]])</f>
        <v>137445770</v>
      </c>
      <c r="O2559" t="str">
        <f>CompilDonnées[[#This Row],[FarmID]]&amp;CompilDonnées[[#This Row],[ModuleNumber]]</f>
        <v>1374</v>
      </c>
      <c r="P2559" t="str">
        <f>CompilDonnées[[#This Row],[Ref_Module]]&amp;CompilDonnées[[#This Row],[HarvestingDate]]</f>
        <v>137445818</v>
      </c>
    </row>
    <row r="2560" spans="1:16">
      <c r="A2560" s="5">
        <v>45771</v>
      </c>
      <c r="B2560">
        <v>2</v>
      </c>
      <c r="C2560" t="s">
        <v>119</v>
      </c>
      <c r="D2560">
        <v>5</v>
      </c>
      <c r="E2560">
        <v>100</v>
      </c>
      <c r="F2560" t="s">
        <v>1</v>
      </c>
      <c r="G2560" s="6">
        <v>45811</v>
      </c>
      <c r="H2560">
        <v>40</v>
      </c>
      <c r="I2560">
        <f>ROUND(CompilDonnées[[#This Row],[CultureDuration_days]]/7,0)</f>
        <v>6</v>
      </c>
      <c r="J2560">
        <v>2595</v>
      </c>
      <c r="K2560" t="str">
        <f>_xlfn.CONCAT(WEEKNUM(CompilDonnées[[#This Row],[PlantationDate]]), " ", YEAR(CompilDonnées[[#This Row],[PlantationDate]]))</f>
        <v>17 2025</v>
      </c>
      <c r="L2560" t="str">
        <f>CONCATENATE(MONTH(CompilDonnées[[#This Row],[PlantationDate]])," ", YEAR(CompilDonnées[[#This Row],[PlantationDate]]))</f>
        <v>4 2025</v>
      </c>
      <c r="M2560" t="str">
        <f>CONCATENATE(MONTH(CompilDonnées[[#This Row],[HarvestingDate]])," ", YEAR(CompilDonnées[[#This Row],[HarvestingDate]]))</f>
        <v>6 2025</v>
      </c>
      <c r="N2560">
        <f>_xlfn.NUMBERVALUE(CompilDonnées[[#This Row],[FarmID]]&amp;CompilDonnées[[#This Row],[ModuleNumber]]&amp;CompilDonnées[[#This Row],[PlantationDate]])</f>
        <v>2545771</v>
      </c>
      <c r="O2560" t="str">
        <f>CompilDonnées[[#This Row],[FarmID]]&amp;CompilDonnées[[#This Row],[ModuleNumber]]</f>
        <v>25</v>
      </c>
      <c r="P2560" t="str">
        <f>CompilDonnées[[#This Row],[Ref_Module]]&amp;CompilDonnées[[#This Row],[HarvestingDate]]</f>
        <v>2545811</v>
      </c>
    </row>
    <row r="2561" spans="1:16">
      <c r="A2561" s="5">
        <v>45771</v>
      </c>
      <c r="B2561">
        <v>7</v>
      </c>
      <c r="C2561" t="s">
        <v>50</v>
      </c>
      <c r="D2561">
        <v>3</v>
      </c>
      <c r="E2561">
        <v>100</v>
      </c>
      <c r="F2561" t="s">
        <v>1</v>
      </c>
      <c r="G2561" s="6">
        <v>45811</v>
      </c>
      <c r="H2561">
        <v>40</v>
      </c>
      <c r="I2561">
        <f>ROUND(CompilDonnées[[#This Row],[CultureDuration_days]]/7,0)</f>
        <v>6</v>
      </c>
      <c r="J2561">
        <v>3198</v>
      </c>
      <c r="K2561" t="str">
        <f>_xlfn.CONCAT(WEEKNUM(CompilDonnées[[#This Row],[PlantationDate]]), " ", YEAR(CompilDonnées[[#This Row],[PlantationDate]]))</f>
        <v>17 2025</v>
      </c>
      <c r="L2561" t="str">
        <f>CONCATENATE(MONTH(CompilDonnées[[#This Row],[PlantationDate]])," ", YEAR(CompilDonnées[[#This Row],[PlantationDate]]))</f>
        <v>4 2025</v>
      </c>
      <c r="M2561" t="str">
        <f>CONCATENATE(MONTH(CompilDonnées[[#This Row],[HarvestingDate]])," ", YEAR(CompilDonnées[[#This Row],[HarvestingDate]]))</f>
        <v>6 2025</v>
      </c>
      <c r="N2561">
        <f>_xlfn.NUMBERVALUE(CompilDonnées[[#This Row],[FarmID]]&amp;CompilDonnées[[#This Row],[ModuleNumber]]&amp;CompilDonnées[[#This Row],[PlantationDate]])</f>
        <v>7345771</v>
      </c>
      <c r="O2561" t="str">
        <f>CompilDonnées[[#This Row],[FarmID]]&amp;CompilDonnées[[#This Row],[ModuleNumber]]</f>
        <v>73</v>
      </c>
      <c r="P2561" t="str">
        <f>CompilDonnées[[#This Row],[Ref_Module]]&amp;CompilDonnées[[#This Row],[HarvestingDate]]</f>
        <v>7345811</v>
      </c>
    </row>
    <row r="2562" spans="1:16">
      <c r="A2562" s="5">
        <v>45771</v>
      </c>
      <c r="B2562">
        <v>26</v>
      </c>
      <c r="C2562" t="s">
        <v>97</v>
      </c>
      <c r="D2562">
        <v>4</v>
      </c>
      <c r="E2562">
        <v>100</v>
      </c>
      <c r="F2562" t="s">
        <v>1</v>
      </c>
      <c r="G2562" s="6">
        <v>45811</v>
      </c>
      <c r="H2562">
        <v>40</v>
      </c>
      <c r="I2562">
        <f>ROUND(CompilDonnées[[#This Row],[CultureDuration_days]]/7,0)</f>
        <v>6</v>
      </c>
      <c r="J2562">
        <v>2329</v>
      </c>
      <c r="K2562" t="str">
        <f>_xlfn.CONCAT(WEEKNUM(CompilDonnées[[#This Row],[PlantationDate]]), " ", YEAR(CompilDonnées[[#This Row],[PlantationDate]]))</f>
        <v>17 2025</v>
      </c>
      <c r="L2562" t="str">
        <f>CONCATENATE(MONTH(CompilDonnées[[#This Row],[PlantationDate]])," ", YEAR(CompilDonnées[[#This Row],[PlantationDate]]))</f>
        <v>4 2025</v>
      </c>
      <c r="M2562" t="str">
        <f>CONCATENATE(MONTH(CompilDonnées[[#This Row],[HarvestingDate]])," ", YEAR(CompilDonnées[[#This Row],[HarvestingDate]]))</f>
        <v>6 2025</v>
      </c>
      <c r="N2562">
        <f>_xlfn.NUMBERVALUE(CompilDonnées[[#This Row],[FarmID]]&amp;CompilDonnées[[#This Row],[ModuleNumber]]&amp;CompilDonnées[[#This Row],[PlantationDate]])</f>
        <v>26445771</v>
      </c>
      <c r="O2562" t="str">
        <f>CompilDonnées[[#This Row],[FarmID]]&amp;CompilDonnées[[#This Row],[ModuleNumber]]</f>
        <v>264</v>
      </c>
      <c r="P2562" t="str">
        <f>CompilDonnées[[#This Row],[Ref_Module]]&amp;CompilDonnées[[#This Row],[HarvestingDate]]</f>
        <v>26445811</v>
      </c>
    </row>
    <row r="2563" spans="1:16">
      <c r="A2563" s="5">
        <v>45771</v>
      </c>
      <c r="B2563">
        <v>40</v>
      </c>
      <c r="C2563" t="s">
        <v>82</v>
      </c>
      <c r="D2563">
        <v>3</v>
      </c>
      <c r="E2563">
        <v>100</v>
      </c>
      <c r="F2563" t="s">
        <v>1</v>
      </c>
      <c r="G2563" s="6">
        <v>45812</v>
      </c>
      <c r="H2563">
        <v>41</v>
      </c>
      <c r="I2563">
        <f>ROUND(CompilDonnées[[#This Row],[CultureDuration_days]]/7,0)</f>
        <v>6</v>
      </c>
      <c r="J2563">
        <v>2920</v>
      </c>
      <c r="K2563" t="str">
        <f>_xlfn.CONCAT(WEEKNUM(CompilDonnées[[#This Row],[PlantationDate]]), " ", YEAR(CompilDonnées[[#This Row],[PlantationDate]]))</f>
        <v>17 2025</v>
      </c>
      <c r="L2563" t="str">
        <f>CONCATENATE(MONTH(CompilDonnées[[#This Row],[PlantationDate]])," ", YEAR(CompilDonnées[[#This Row],[PlantationDate]]))</f>
        <v>4 2025</v>
      </c>
      <c r="M2563" t="str">
        <f>CONCATENATE(MONTH(CompilDonnées[[#This Row],[HarvestingDate]])," ", YEAR(CompilDonnées[[#This Row],[HarvestingDate]]))</f>
        <v>6 2025</v>
      </c>
      <c r="N2563">
        <f>_xlfn.NUMBERVALUE(CompilDonnées[[#This Row],[FarmID]]&amp;CompilDonnées[[#This Row],[ModuleNumber]]&amp;CompilDonnées[[#This Row],[PlantationDate]])</f>
        <v>40345771</v>
      </c>
      <c r="O2563" t="str">
        <f>CompilDonnées[[#This Row],[FarmID]]&amp;CompilDonnées[[#This Row],[ModuleNumber]]</f>
        <v>403</v>
      </c>
      <c r="P2563" t="str">
        <f>CompilDonnées[[#This Row],[Ref_Module]]&amp;CompilDonnées[[#This Row],[HarvestingDate]]</f>
        <v>40345812</v>
      </c>
    </row>
    <row r="2564" spans="1:16">
      <c r="A2564" s="5">
        <v>45771</v>
      </c>
      <c r="B2564">
        <v>40</v>
      </c>
      <c r="C2564" t="s">
        <v>82</v>
      </c>
      <c r="D2564">
        <v>4</v>
      </c>
      <c r="E2564">
        <v>100</v>
      </c>
      <c r="F2564" t="s">
        <v>1</v>
      </c>
      <c r="G2564" s="6">
        <v>45812</v>
      </c>
      <c r="H2564">
        <v>41</v>
      </c>
      <c r="I2564">
        <f>ROUND(CompilDonnées[[#This Row],[CultureDuration_days]]/7,0)</f>
        <v>6</v>
      </c>
      <c r="J2564">
        <v>3012</v>
      </c>
      <c r="K2564" t="str">
        <f>_xlfn.CONCAT(WEEKNUM(CompilDonnées[[#This Row],[PlantationDate]]), " ", YEAR(CompilDonnées[[#This Row],[PlantationDate]]))</f>
        <v>17 2025</v>
      </c>
      <c r="L2564" t="str">
        <f>CONCATENATE(MONTH(CompilDonnées[[#This Row],[PlantationDate]])," ", YEAR(CompilDonnées[[#This Row],[PlantationDate]]))</f>
        <v>4 2025</v>
      </c>
      <c r="M2564" t="str">
        <f>CONCATENATE(MONTH(CompilDonnées[[#This Row],[HarvestingDate]])," ", YEAR(CompilDonnées[[#This Row],[HarvestingDate]]))</f>
        <v>6 2025</v>
      </c>
      <c r="N2564">
        <f>_xlfn.NUMBERVALUE(CompilDonnées[[#This Row],[FarmID]]&amp;CompilDonnées[[#This Row],[ModuleNumber]]&amp;CompilDonnées[[#This Row],[PlantationDate]])</f>
        <v>40445771</v>
      </c>
      <c r="O2564" t="str">
        <f>CompilDonnées[[#This Row],[FarmID]]&amp;CompilDonnées[[#This Row],[ModuleNumber]]</f>
        <v>404</v>
      </c>
      <c r="P2564" t="str">
        <f>CompilDonnées[[#This Row],[Ref_Module]]&amp;CompilDonnées[[#This Row],[HarvestingDate]]</f>
        <v>40445812</v>
      </c>
    </row>
    <row r="2565" spans="1:16">
      <c r="A2565" s="5">
        <v>45771</v>
      </c>
      <c r="B2565">
        <v>54</v>
      </c>
      <c r="C2565" t="s">
        <v>39</v>
      </c>
      <c r="D2565">
        <v>3</v>
      </c>
      <c r="E2565">
        <v>100</v>
      </c>
      <c r="F2565" t="s">
        <v>1</v>
      </c>
      <c r="G2565" s="6">
        <v>45812</v>
      </c>
      <c r="H2565">
        <v>41</v>
      </c>
      <c r="I2565">
        <f>ROUND(CompilDonnées[[#This Row],[CultureDuration_days]]/7,0)</f>
        <v>6</v>
      </c>
      <c r="J2565">
        <v>2406</v>
      </c>
      <c r="K2565" t="str">
        <f>_xlfn.CONCAT(WEEKNUM(CompilDonnées[[#This Row],[PlantationDate]]), " ", YEAR(CompilDonnées[[#This Row],[PlantationDate]]))</f>
        <v>17 2025</v>
      </c>
      <c r="L2565" t="str">
        <f>CONCATENATE(MONTH(CompilDonnées[[#This Row],[PlantationDate]])," ", YEAR(CompilDonnées[[#This Row],[PlantationDate]]))</f>
        <v>4 2025</v>
      </c>
      <c r="M2565" t="str">
        <f>CONCATENATE(MONTH(CompilDonnées[[#This Row],[HarvestingDate]])," ", YEAR(CompilDonnées[[#This Row],[HarvestingDate]]))</f>
        <v>6 2025</v>
      </c>
      <c r="N2565">
        <f>_xlfn.NUMBERVALUE(CompilDonnées[[#This Row],[FarmID]]&amp;CompilDonnées[[#This Row],[ModuleNumber]]&amp;CompilDonnées[[#This Row],[PlantationDate]])</f>
        <v>54345771</v>
      </c>
      <c r="O2565" t="str">
        <f>CompilDonnées[[#This Row],[FarmID]]&amp;CompilDonnées[[#This Row],[ModuleNumber]]</f>
        <v>543</v>
      </c>
      <c r="P2565" t="str">
        <f>CompilDonnées[[#This Row],[Ref_Module]]&amp;CompilDonnées[[#This Row],[HarvestingDate]]</f>
        <v>54345812</v>
      </c>
    </row>
    <row r="2566" spans="1:16">
      <c r="A2566" s="5">
        <v>45771</v>
      </c>
      <c r="B2566">
        <v>55</v>
      </c>
      <c r="C2566" t="s">
        <v>60</v>
      </c>
      <c r="D2566">
        <v>3</v>
      </c>
      <c r="E2566">
        <v>100</v>
      </c>
      <c r="F2566" t="s">
        <v>1</v>
      </c>
      <c r="G2566" s="6">
        <v>45820</v>
      </c>
      <c r="H2566">
        <v>49</v>
      </c>
      <c r="I2566">
        <f>ROUND(CompilDonnées[[#This Row],[CultureDuration_days]]/7,0)</f>
        <v>7</v>
      </c>
      <c r="J2566">
        <v>2999</v>
      </c>
      <c r="K2566" t="str">
        <f>_xlfn.CONCAT(WEEKNUM(CompilDonnées[[#This Row],[PlantationDate]]), " ", YEAR(CompilDonnées[[#This Row],[PlantationDate]]))</f>
        <v>17 2025</v>
      </c>
      <c r="L2566" t="str">
        <f>CONCATENATE(MONTH(CompilDonnées[[#This Row],[PlantationDate]])," ", YEAR(CompilDonnées[[#This Row],[PlantationDate]]))</f>
        <v>4 2025</v>
      </c>
      <c r="M2566" t="str">
        <f>CONCATENATE(MONTH(CompilDonnées[[#This Row],[HarvestingDate]])," ", YEAR(CompilDonnées[[#This Row],[HarvestingDate]]))</f>
        <v>6 2025</v>
      </c>
      <c r="N2566">
        <f>_xlfn.NUMBERVALUE(CompilDonnées[[#This Row],[FarmID]]&amp;CompilDonnées[[#This Row],[ModuleNumber]]&amp;CompilDonnées[[#This Row],[PlantationDate]])</f>
        <v>55345771</v>
      </c>
      <c r="O2566" t="str">
        <f>CompilDonnées[[#This Row],[FarmID]]&amp;CompilDonnées[[#This Row],[ModuleNumber]]</f>
        <v>553</v>
      </c>
      <c r="P2566" t="str">
        <f>CompilDonnées[[#This Row],[Ref_Module]]&amp;CompilDonnées[[#This Row],[HarvestingDate]]</f>
        <v>55345820</v>
      </c>
    </row>
    <row r="2567" spans="1:16">
      <c r="A2567" s="5">
        <v>45771</v>
      </c>
      <c r="B2567">
        <v>57</v>
      </c>
      <c r="C2567" t="s">
        <v>46</v>
      </c>
      <c r="D2567">
        <v>3</v>
      </c>
      <c r="E2567">
        <v>100</v>
      </c>
      <c r="F2567" t="s">
        <v>1</v>
      </c>
      <c r="G2567" s="6">
        <v>45811</v>
      </c>
      <c r="H2567">
        <v>40</v>
      </c>
      <c r="I2567">
        <f>ROUND(CompilDonnées[[#This Row],[CultureDuration_days]]/7,0)</f>
        <v>6</v>
      </c>
      <c r="J2567">
        <v>2917</v>
      </c>
      <c r="K2567" t="str">
        <f>_xlfn.CONCAT(WEEKNUM(CompilDonnées[[#This Row],[PlantationDate]]), " ", YEAR(CompilDonnées[[#This Row],[PlantationDate]]))</f>
        <v>17 2025</v>
      </c>
      <c r="L2567" t="str">
        <f>CONCATENATE(MONTH(CompilDonnées[[#This Row],[PlantationDate]])," ", YEAR(CompilDonnées[[#This Row],[PlantationDate]]))</f>
        <v>4 2025</v>
      </c>
      <c r="M2567" t="str">
        <f>CONCATENATE(MONTH(CompilDonnées[[#This Row],[HarvestingDate]])," ", YEAR(CompilDonnées[[#This Row],[HarvestingDate]]))</f>
        <v>6 2025</v>
      </c>
      <c r="N2567">
        <f>_xlfn.NUMBERVALUE(CompilDonnées[[#This Row],[FarmID]]&amp;CompilDonnées[[#This Row],[ModuleNumber]]&amp;CompilDonnées[[#This Row],[PlantationDate]])</f>
        <v>57345771</v>
      </c>
      <c r="O2567" t="str">
        <f>CompilDonnées[[#This Row],[FarmID]]&amp;CompilDonnées[[#This Row],[ModuleNumber]]</f>
        <v>573</v>
      </c>
      <c r="P2567" t="str">
        <f>CompilDonnées[[#This Row],[Ref_Module]]&amp;CompilDonnées[[#This Row],[HarvestingDate]]</f>
        <v>57345811</v>
      </c>
    </row>
    <row r="2568" spans="1:16">
      <c r="A2568" s="5">
        <v>45771</v>
      </c>
      <c r="B2568">
        <v>59</v>
      </c>
      <c r="C2568" t="s">
        <v>64</v>
      </c>
      <c r="D2568">
        <v>5</v>
      </c>
      <c r="E2568">
        <v>100</v>
      </c>
      <c r="F2568" t="s">
        <v>1</v>
      </c>
      <c r="G2568" s="6">
        <v>45813</v>
      </c>
      <c r="H2568">
        <v>42</v>
      </c>
      <c r="I2568">
        <f>ROUND(CompilDonnées[[#This Row],[CultureDuration_days]]/7,0)</f>
        <v>6</v>
      </c>
      <c r="J2568">
        <v>2827</v>
      </c>
      <c r="K2568" t="str">
        <f>_xlfn.CONCAT(WEEKNUM(CompilDonnées[[#This Row],[PlantationDate]]), " ", YEAR(CompilDonnées[[#This Row],[PlantationDate]]))</f>
        <v>17 2025</v>
      </c>
      <c r="L2568" t="str">
        <f>CONCATENATE(MONTH(CompilDonnées[[#This Row],[PlantationDate]])," ", YEAR(CompilDonnées[[#This Row],[PlantationDate]]))</f>
        <v>4 2025</v>
      </c>
      <c r="M2568" t="str">
        <f>CONCATENATE(MONTH(CompilDonnées[[#This Row],[HarvestingDate]])," ", YEAR(CompilDonnées[[#This Row],[HarvestingDate]]))</f>
        <v>6 2025</v>
      </c>
      <c r="N2568">
        <f>_xlfn.NUMBERVALUE(CompilDonnées[[#This Row],[FarmID]]&amp;CompilDonnées[[#This Row],[ModuleNumber]]&amp;CompilDonnées[[#This Row],[PlantationDate]])</f>
        <v>59545771</v>
      </c>
      <c r="O2568" t="str">
        <f>CompilDonnées[[#This Row],[FarmID]]&amp;CompilDonnées[[#This Row],[ModuleNumber]]</f>
        <v>595</v>
      </c>
      <c r="P2568" t="str">
        <f>CompilDonnées[[#This Row],[Ref_Module]]&amp;CompilDonnées[[#This Row],[HarvestingDate]]</f>
        <v>59545813</v>
      </c>
    </row>
    <row r="2569" spans="1:16">
      <c r="A2569" s="5">
        <v>45771</v>
      </c>
      <c r="B2569">
        <v>60</v>
      </c>
      <c r="C2569" t="s">
        <v>113</v>
      </c>
      <c r="D2569">
        <v>5</v>
      </c>
      <c r="E2569">
        <v>100</v>
      </c>
      <c r="F2569" t="s">
        <v>1</v>
      </c>
      <c r="G2569" s="6">
        <v>45813</v>
      </c>
      <c r="H2569">
        <v>42</v>
      </c>
      <c r="I2569">
        <f>ROUND(CompilDonnées[[#This Row],[CultureDuration_days]]/7,0)</f>
        <v>6</v>
      </c>
      <c r="J2569">
        <v>3350</v>
      </c>
      <c r="K2569" t="str">
        <f>_xlfn.CONCAT(WEEKNUM(CompilDonnées[[#This Row],[PlantationDate]]), " ", YEAR(CompilDonnées[[#This Row],[PlantationDate]]))</f>
        <v>17 2025</v>
      </c>
      <c r="L2569" t="str">
        <f>CONCATENATE(MONTH(CompilDonnées[[#This Row],[PlantationDate]])," ", YEAR(CompilDonnées[[#This Row],[PlantationDate]]))</f>
        <v>4 2025</v>
      </c>
      <c r="M2569" t="str">
        <f>CONCATENATE(MONTH(CompilDonnées[[#This Row],[HarvestingDate]])," ", YEAR(CompilDonnées[[#This Row],[HarvestingDate]]))</f>
        <v>6 2025</v>
      </c>
      <c r="N2569">
        <f>_xlfn.NUMBERVALUE(CompilDonnées[[#This Row],[FarmID]]&amp;CompilDonnées[[#This Row],[ModuleNumber]]&amp;CompilDonnées[[#This Row],[PlantationDate]])</f>
        <v>60545771</v>
      </c>
      <c r="O2569" t="str">
        <f>CompilDonnées[[#This Row],[FarmID]]&amp;CompilDonnées[[#This Row],[ModuleNumber]]</f>
        <v>605</v>
      </c>
      <c r="P2569" t="str">
        <f>CompilDonnées[[#This Row],[Ref_Module]]&amp;CompilDonnées[[#This Row],[HarvestingDate]]</f>
        <v>60545813</v>
      </c>
    </row>
    <row r="2570" spans="1:16">
      <c r="A2570" s="5">
        <v>45771</v>
      </c>
      <c r="B2570">
        <v>64</v>
      </c>
      <c r="C2570" t="s">
        <v>47</v>
      </c>
      <c r="D2570">
        <v>4</v>
      </c>
      <c r="E2570">
        <v>100</v>
      </c>
      <c r="F2570" t="s">
        <v>1</v>
      </c>
      <c r="G2570" s="6">
        <v>45813</v>
      </c>
      <c r="H2570">
        <v>42</v>
      </c>
      <c r="I2570">
        <f>ROUND(CompilDonnées[[#This Row],[CultureDuration_days]]/7,0)</f>
        <v>6</v>
      </c>
      <c r="J2570">
        <v>2855</v>
      </c>
      <c r="K2570" t="str">
        <f>_xlfn.CONCAT(WEEKNUM(CompilDonnées[[#This Row],[PlantationDate]]), " ", YEAR(CompilDonnées[[#This Row],[PlantationDate]]))</f>
        <v>17 2025</v>
      </c>
      <c r="L2570" t="str">
        <f>CONCATENATE(MONTH(CompilDonnées[[#This Row],[PlantationDate]])," ", YEAR(CompilDonnées[[#This Row],[PlantationDate]]))</f>
        <v>4 2025</v>
      </c>
      <c r="M2570" t="str">
        <f>CONCATENATE(MONTH(CompilDonnées[[#This Row],[HarvestingDate]])," ", YEAR(CompilDonnées[[#This Row],[HarvestingDate]]))</f>
        <v>6 2025</v>
      </c>
      <c r="N2570">
        <f>_xlfn.NUMBERVALUE(CompilDonnées[[#This Row],[FarmID]]&amp;CompilDonnées[[#This Row],[ModuleNumber]]&amp;CompilDonnées[[#This Row],[PlantationDate]])</f>
        <v>64445771</v>
      </c>
      <c r="O2570" t="str">
        <f>CompilDonnées[[#This Row],[FarmID]]&amp;CompilDonnées[[#This Row],[ModuleNumber]]</f>
        <v>644</v>
      </c>
      <c r="P2570" t="str">
        <f>CompilDonnées[[#This Row],[Ref_Module]]&amp;CompilDonnées[[#This Row],[HarvestingDate]]</f>
        <v>64445813</v>
      </c>
    </row>
    <row r="2571" spans="1:16">
      <c r="A2571" s="5">
        <v>45771</v>
      </c>
      <c r="B2571">
        <v>65</v>
      </c>
      <c r="C2571" t="s">
        <v>36</v>
      </c>
      <c r="D2571">
        <v>3</v>
      </c>
      <c r="E2571">
        <v>100</v>
      </c>
      <c r="F2571" t="s">
        <v>1</v>
      </c>
      <c r="G2571" s="6">
        <v>45820</v>
      </c>
      <c r="H2571">
        <v>49</v>
      </c>
      <c r="I2571">
        <f>ROUND(CompilDonnées[[#This Row],[CultureDuration_days]]/7,0)</f>
        <v>7</v>
      </c>
      <c r="J2571">
        <v>3209</v>
      </c>
      <c r="K2571" t="str">
        <f>_xlfn.CONCAT(WEEKNUM(CompilDonnées[[#This Row],[PlantationDate]]), " ", YEAR(CompilDonnées[[#This Row],[PlantationDate]]))</f>
        <v>17 2025</v>
      </c>
      <c r="L2571" t="str">
        <f>CONCATENATE(MONTH(CompilDonnées[[#This Row],[PlantationDate]])," ", YEAR(CompilDonnées[[#This Row],[PlantationDate]]))</f>
        <v>4 2025</v>
      </c>
      <c r="M2571" t="str">
        <f>CONCATENATE(MONTH(CompilDonnées[[#This Row],[HarvestingDate]])," ", YEAR(CompilDonnées[[#This Row],[HarvestingDate]]))</f>
        <v>6 2025</v>
      </c>
      <c r="N2571">
        <f>_xlfn.NUMBERVALUE(CompilDonnées[[#This Row],[FarmID]]&amp;CompilDonnées[[#This Row],[ModuleNumber]]&amp;CompilDonnées[[#This Row],[PlantationDate]])</f>
        <v>65345771</v>
      </c>
      <c r="O2571" t="str">
        <f>CompilDonnées[[#This Row],[FarmID]]&amp;CompilDonnées[[#This Row],[ModuleNumber]]</f>
        <v>653</v>
      </c>
      <c r="P2571" t="str">
        <f>CompilDonnées[[#This Row],[Ref_Module]]&amp;CompilDonnées[[#This Row],[HarvestingDate]]</f>
        <v>65345820</v>
      </c>
    </row>
    <row r="2572" spans="1:16">
      <c r="A2572" s="5">
        <v>45771</v>
      </c>
      <c r="B2572">
        <v>66</v>
      </c>
      <c r="C2572" t="s">
        <v>48</v>
      </c>
      <c r="D2572">
        <v>6</v>
      </c>
      <c r="E2572">
        <v>100</v>
      </c>
      <c r="F2572" t="s">
        <v>1</v>
      </c>
      <c r="G2572" s="6">
        <v>45819</v>
      </c>
      <c r="H2572">
        <v>48</v>
      </c>
      <c r="I2572">
        <f>ROUND(CompilDonnées[[#This Row],[CultureDuration_days]]/7,0)</f>
        <v>7</v>
      </c>
      <c r="J2572">
        <v>3147</v>
      </c>
      <c r="K2572" t="str">
        <f>_xlfn.CONCAT(WEEKNUM(CompilDonnées[[#This Row],[PlantationDate]]), " ", YEAR(CompilDonnées[[#This Row],[PlantationDate]]))</f>
        <v>17 2025</v>
      </c>
      <c r="L2572" t="str">
        <f>CONCATENATE(MONTH(CompilDonnées[[#This Row],[PlantationDate]])," ", YEAR(CompilDonnées[[#This Row],[PlantationDate]]))</f>
        <v>4 2025</v>
      </c>
      <c r="M2572" t="str">
        <f>CONCATENATE(MONTH(CompilDonnées[[#This Row],[HarvestingDate]])," ", YEAR(CompilDonnées[[#This Row],[HarvestingDate]]))</f>
        <v>6 2025</v>
      </c>
      <c r="N2572">
        <f>_xlfn.NUMBERVALUE(CompilDonnées[[#This Row],[FarmID]]&amp;CompilDonnées[[#This Row],[ModuleNumber]]&amp;CompilDonnées[[#This Row],[PlantationDate]])</f>
        <v>66645771</v>
      </c>
      <c r="O2572" t="str">
        <f>CompilDonnées[[#This Row],[FarmID]]&amp;CompilDonnées[[#This Row],[ModuleNumber]]</f>
        <v>666</v>
      </c>
      <c r="P2572" t="str">
        <f>CompilDonnées[[#This Row],[Ref_Module]]&amp;CompilDonnées[[#This Row],[HarvestingDate]]</f>
        <v>66645819</v>
      </c>
    </row>
    <row r="2573" spans="1:16">
      <c r="A2573" s="5">
        <v>45771</v>
      </c>
      <c r="B2573">
        <v>67</v>
      </c>
      <c r="C2573" t="s">
        <v>28</v>
      </c>
      <c r="D2573">
        <v>6</v>
      </c>
      <c r="E2573">
        <v>100</v>
      </c>
      <c r="F2573" t="s">
        <v>1</v>
      </c>
      <c r="G2573" s="6">
        <v>45813</v>
      </c>
      <c r="H2573">
        <v>42</v>
      </c>
      <c r="I2573">
        <f>ROUND(CompilDonnées[[#This Row],[CultureDuration_days]]/7,0)</f>
        <v>6</v>
      </c>
      <c r="J2573">
        <v>3282</v>
      </c>
      <c r="K2573" t="str">
        <f>_xlfn.CONCAT(WEEKNUM(CompilDonnées[[#This Row],[PlantationDate]]), " ", YEAR(CompilDonnées[[#This Row],[PlantationDate]]))</f>
        <v>17 2025</v>
      </c>
      <c r="L2573" t="str">
        <f>CONCATENATE(MONTH(CompilDonnées[[#This Row],[PlantationDate]])," ", YEAR(CompilDonnées[[#This Row],[PlantationDate]]))</f>
        <v>4 2025</v>
      </c>
      <c r="M2573" t="str">
        <f>CONCATENATE(MONTH(CompilDonnées[[#This Row],[HarvestingDate]])," ", YEAR(CompilDonnées[[#This Row],[HarvestingDate]]))</f>
        <v>6 2025</v>
      </c>
      <c r="N2573">
        <f>_xlfn.NUMBERVALUE(CompilDonnées[[#This Row],[FarmID]]&amp;CompilDonnées[[#This Row],[ModuleNumber]]&amp;CompilDonnées[[#This Row],[PlantationDate]])</f>
        <v>67645771</v>
      </c>
      <c r="O2573" t="str">
        <f>CompilDonnées[[#This Row],[FarmID]]&amp;CompilDonnées[[#This Row],[ModuleNumber]]</f>
        <v>676</v>
      </c>
      <c r="P2573" t="str">
        <f>CompilDonnées[[#This Row],[Ref_Module]]&amp;CompilDonnées[[#This Row],[HarvestingDate]]</f>
        <v>67645813</v>
      </c>
    </row>
    <row r="2574" spans="1:16">
      <c r="A2574" s="5">
        <v>45771</v>
      </c>
      <c r="B2574">
        <v>69</v>
      </c>
      <c r="C2574" t="s">
        <v>102</v>
      </c>
      <c r="D2574">
        <v>5</v>
      </c>
      <c r="E2574">
        <v>100</v>
      </c>
      <c r="F2574" t="s">
        <v>1</v>
      </c>
      <c r="G2574" s="6">
        <v>45812</v>
      </c>
      <c r="H2574">
        <v>41</v>
      </c>
      <c r="I2574">
        <f>ROUND(CompilDonnées[[#This Row],[CultureDuration_days]]/7,0)</f>
        <v>6</v>
      </c>
      <c r="J2574">
        <v>2451</v>
      </c>
      <c r="K2574" t="str">
        <f>_xlfn.CONCAT(WEEKNUM(CompilDonnées[[#This Row],[PlantationDate]]), " ", YEAR(CompilDonnées[[#This Row],[PlantationDate]]))</f>
        <v>17 2025</v>
      </c>
      <c r="L2574" t="str">
        <f>CONCATENATE(MONTH(CompilDonnées[[#This Row],[PlantationDate]])," ", YEAR(CompilDonnées[[#This Row],[PlantationDate]]))</f>
        <v>4 2025</v>
      </c>
      <c r="M2574" t="str">
        <f>CONCATENATE(MONTH(CompilDonnées[[#This Row],[HarvestingDate]])," ", YEAR(CompilDonnées[[#This Row],[HarvestingDate]]))</f>
        <v>6 2025</v>
      </c>
      <c r="N2574">
        <f>_xlfn.NUMBERVALUE(CompilDonnées[[#This Row],[FarmID]]&amp;CompilDonnées[[#This Row],[ModuleNumber]]&amp;CompilDonnées[[#This Row],[PlantationDate]])</f>
        <v>69545771</v>
      </c>
      <c r="O2574" t="str">
        <f>CompilDonnées[[#This Row],[FarmID]]&amp;CompilDonnées[[#This Row],[ModuleNumber]]</f>
        <v>695</v>
      </c>
      <c r="P2574" t="str">
        <f>CompilDonnées[[#This Row],[Ref_Module]]&amp;CompilDonnées[[#This Row],[HarvestingDate]]</f>
        <v>69545812</v>
      </c>
    </row>
    <row r="2575" spans="1:16">
      <c r="A2575" s="5">
        <v>45771</v>
      </c>
      <c r="B2575">
        <v>72</v>
      </c>
      <c r="C2575" t="s">
        <v>49</v>
      </c>
      <c r="D2575">
        <v>4</v>
      </c>
      <c r="E2575">
        <v>100</v>
      </c>
      <c r="F2575" t="s">
        <v>1</v>
      </c>
      <c r="G2575" s="6">
        <v>45813</v>
      </c>
      <c r="H2575">
        <v>42</v>
      </c>
      <c r="I2575">
        <f>ROUND(CompilDonnées[[#This Row],[CultureDuration_days]]/7,0)</f>
        <v>6</v>
      </c>
      <c r="J2575">
        <v>3108</v>
      </c>
      <c r="K2575" t="str">
        <f>_xlfn.CONCAT(WEEKNUM(CompilDonnées[[#This Row],[PlantationDate]]), " ", YEAR(CompilDonnées[[#This Row],[PlantationDate]]))</f>
        <v>17 2025</v>
      </c>
      <c r="L2575" t="str">
        <f>CONCATENATE(MONTH(CompilDonnées[[#This Row],[PlantationDate]])," ", YEAR(CompilDonnées[[#This Row],[PlantationDate]]))</f>
        <v>4 2025</v>
      </c>
      <c r="M2575" t="str">
        <f>CONCATENATE(MONTH(CompilDonnées[[#This Row],[HarvestingDate]])," ", YEAR(CompilDonnées[[#This Row],[HarvestingDate]]))</f>
        <v>6 2025</v>
      </c>
      <c r="N2575">
        <f>_xlfn.NUMBERVALUE(CompilDonnées[[#This Row],[FarmID]]&amp;CompilDonnées[[#This Row],[ModuleNumber]]&amp;CompilDonnées[[#This Row],[PlantationDate]])</f>
        <v>72445771</v>
      </c>
      <c r="O2575" t="str">
        <f>CompilDonnées[[#This Row],[FarmID]]&amp;CompilDonnées[[#This Row],[ModuleNumber]]</f>
        <v>724</v>
      </c>
      <c r="P2575" t="str">
        <f>CompilDonnées[[#This Row],[Ref_Module]]&amp;CompilDonnées[[#This Row],[HarvestingDate]]</f>
        <v>72445813</v>
      </c>
    </row>
    <row r="2576" spans="1:16">
      <c r="A2576" s="5">
        <v>45771</v>
      </c>
      <c r="B2576">
        <v>73</v>
      </c>
      <c r="C2576" t="s">
        <v>20</v>
      </c>
      <c r="D2576">
        <v>3</v>
      </c>
      <c r="E2576">
        <v>100</v>
      </c>
      <c r="F2576" t="s">
        <v>1</v>
      </c>
      <c r="G2576" s="6">
        <v>45812</v>
      </c>
      <c r="H2576">
        <v>41</v>
      </c>
      <c r="I2576">
        <f>ROUND(CompilDonnées[[#This Row],[CultureDuration_days]]/7,0)</f>
        <v>6</v>
      </c>
      <c r="J2576">
        <v>3042</v>
      </c>
      <c r="K2576" t="str">
        <f>_xlfn.CONCAT(WEEKNUM(CompilDonnées[[#This Row],[PlantationDate]]), " ", YEAR(CompilDonnées[[#This Row],[PlantationDate]]))</f>
        <v>17 2025</v>
      </c>
      <c r="L2576" t="str">
        <f>CONCATENATE(MONTH(CompilDonnées[[#This Row],[PlantationDate]])," ", YEAR(CompilDonnées[[#This Row],[PlantationDate]]))</f>
        <v>4 2025</v>
      </c>
      <c r="M2576" t="str">
        <f>CONCATENATE(MONTH(CompilDonnées[[#This Row],[HarvestingDate]])," ", YEAR(CompilDonnées[[#This Row],[HarvestingDate]]))</f>
        <v>6 2025</v>
      </c>
      <c r="N2576">
        <f>_xlfn.NUMBERVALUE(CompilDonnées[[#This Row],[FarmID]]&amp;CompilDonnées[[#This Row],[ModuleNumber]]&amp;CompilDonnées[[#This Row],[PlantationDate]])</f>
        <v>73345771</v>
      </c>
      <c r="O2576" t="str">
        <f>CompilDonnées[[#This Row],[FarmID]]&amp;CompilDonnées[[#This Row],[ModuleNumber]]</f>
        <v>733</v>
      </c>
      <c r="P2576" t="str">
        <f>CompilDonnées[[#This Row],[Ref_Module]]&amp;CompilDonnées[[#This Row],[HarvestingDate]]</f>
        <v>73345812</v>
      </c>
    </row>
    <row r="2577" spans="1:16">
      <c r="A2577" s="5">
        <v>45771</v>
      </c>
      <c r="B2577">
        <v>73</v>
      </c>
      <c r="C2577" t="s">
        <v>20</v>
      </c>
      <c r="D2577">
        <v>4</v>
      </c>
      <c r="E2577">
        <v>100</v>
      </c>
      <c r="F2577" t="s">
        <v>1</v>
      </c>
      <c r="G2577" s="6">
        <v>45812</v>
      </c>
      <c r="H2577">
        <v>41</v>
      </c>
      <c r="I2577">
        <f>ROUND(CompilDonnées[[#This Row],[CultureDuration_days]]/7,0)</f>
        <v>6</v>
      </c>
      <c r="J2577">
        <v>2842</v>
      </c>
      <c r="K2577" t="str">
        <f>_xlfn.CONCAT(WEEKNUM(CompilDonnées[[#This Row],[PlantationDate]]), " ", YEAR(CompilDonnées[[#This Row],[PlantationDate]]))</f>
        <v>17 2025</v>
      </c>
      <c r="L2577" t="str">
        <f>CONCATENATE(MONTH(CompilDonnées[[#This Row],[PlantationDate]])," ", YEAR(CompilDonnées[[#This Row],[PlantationDate]]))</f>
        <v>4 2025</v>
      </c>
      <c r="M2577" t="str">
        <f>CONCATENATE(MONTH(CompilDonnées[[#This Row],[HarvestingDate]])," ", YEAR(CompilDonnées[[#This Row],[HarvestingDate]]))</f>
        <v>6 2025</v>
      </c>
      <c r="N2577">
        <f>_xlfn.NUMBERVALUE(CompilDonnées[[#This Row],[FarmID]]&amp;CompilDonnées[[#This Row],[ModuleNumber]]&amp;CompilDonnées[[#This Row],[PlantationDate]])</f>
        <v>73445771</v>
      </c>
      <c r="O2577" t="str">
        <f>CompilDonnées[[#This Row],[FarmID]]&amp;CompilDonnées[[#This Row],[ModuleNumber]]</f>
        <v>734</v>
      </c>
      <c r="P2577" t="str">
        <f>CompilDonnées[[#This Row],[Ref_Module]]&amp;CompilDonnées[[#This Row],[HarvestingDate]]</f>
        <v>73445812</v>
      </c>
    </row>
    <row r="2578" spans="1:16">
      <c r="A2578" s="5">
        <v>45771</v>
      </c>
      <c r="B2578">
        <v>74</v>
      </c>
      <c r="C2578" t="s">
        <v>21</v>
      </c>
      <c r="D2578">
        <v>5</v>
      </c>
      <c r="E2578">
        <v>100</v>
      </c>
      <c r="F2578" t="s">
        <v>1</v>
      </c>
      <c r="G2578" s="6">
        <v>45813</v>
      </c>
      <c r="H2578">
        <v>42</v>
      </c>
      <c r="I2578">
        <f>ROUND(CompilDonnées[[#This Row],[CultureDuration_days]]/7,0)</f>
        <v>6</v>
      </c>
      <c r="J2578">
        <v>2200</v>
      </c>
      <c r="K2578" t="str">
        <f>_xlfn.CONCAT(WEEKNUM(CompilDonnées[[#This Row],[PlantationDate]]), " ", YEAR(CompilDonnées[[#This Row],[PlantationDate]]))</f>
        <v>17 2025</v>
      </c>
      <c r="L2578" t="str">
        <f>CONCATENATE(MONTH(CompilDonnées[[#This Row],[PlantationDate]])," ", YEAR(CompilDonnées[[#This Row],[PlantationDate]]))</f>
        <v>4 2025</v>
      </c>
      <c r="M2578" t="str">
        <f>CONCATENATE(MONTH(CompilDonnées[[#This Row],[HarvestingDate]])," ", YEAR(CompilDonnées[[#This Row],[HarvestingDate]]))</f>
        <v>6 2025</v>
      </c>
      <c r="N2578">
        <f>_xlfn.NUMBERVALUE(CompilDonnées[[#This Row],[FarmID]]&amp;CompilDonnées[[#This Row],[ModuleNumber]]&amp;CompilDonnées[[#This Row],[PlantationDate]])</f>
        <v>74545771</v>
      </c>
      <c r="O2578" t="str">
        <f>CompilDonnées[[#This Row],[FarmID]]&amp;CompilDonnées[[#This Row],[ModuleNumber]]</f>
        <v>745</v>
      </c>
      <c r="P2578" t="str">
        <f>CompilDonnées[[#This Row],[Ref_Module]]&amp;CompilDonnées[[#This Row],[HarvestingDate]]</f>
        <v>74545813</v>
      </c>
    </row>
    <row r="2579" spans="1:16">
      <c r="A2579" s="5">
        <v>45771</v>
      </c>
      <c r="B2579">
        <v>76</v>
      </c>
      <c r="C2579" t="s">
        <v>18</v>
      </c>
      <c r="D2579">
        <v>1</v>
      </c>
      <c r="E2579">
        <v>100</v>
      </c>
      <c r="F2579" t="s">
        <v>1</v>
      </c>
      <c r="G2579" s="6">
        <v>45813</v>
      </c>
      <c r="H2579">
        <v>42</v>
      </c>
      <c r="I2579">
        <f>ROUND(CompilDonnées[[#This Row],[CultureDuration_days]]/7,0)</f>
        <v>6</v>
      </c>
      <c r="J2579">
        <v>3025</v>
      </c>
      <c r="K2579" t="str">
        <f>_xlfn.CONCAT(WEEKNUM(CompilDonnées[[#This Row],[PlantationDate]]), " ", YEAR(CompilDonnées[[#This Row],[PlantationDate]]))</f>
        <v>17 2025</v>
      </c>
      <c r="L2579" t="str">
        <f>CONCATENATE(MONTH(CompilDonnées[[#This Row],[PlantationDate]])," ", YEAR(CompilDonnées[[#This Row],[PlantationDate]]))</f>
        <v>4 2025</v>
      </c>
      <c r="M2579" t="str">
        <f>CONCATENATE(MONTH(CompilDonnées[[#This Row],[HarvestingDate]])," ", YEAR(CompilDonnées[[#This Row],[HarvestingDate]]))</f>
        <v>6 2025</v>
      </c>
      <c r="N2579">
        <f>_xlfn.NUMBERVALUE(CompilDonnées[[#This Row],[FarmID]]&amp;CompilDonnées[[#This Row],[ModuleNumber]]&amp;CompilDonnées[[#This Row],[PlantationDate]])</f>
        <v>76145771</v>
      </c>
      <c r="O2579" t="str">
        <f>CompilDonnées[[#This Row],[FarmID]]&amp;CompilDonnées[[#This Row],[ModuleNumber]]</f>
        <v>761</v>
      </c>
      <c r="P2579" t="str">
        <f>CompilDonnées[[#This Row],[Ref_Module]]&amp;CompilDonnées[[#This Row],[HarvestingDate]]</f>
        <v>76145813</v>
      </c>
    </row>
    <row r="2580" spans="1:16">
      <c r="A2580" s="5">
        <v>45771</v>
      </c>
      <c r="B2580">
        <v>82</v>
      </c>
      <c r="C2580" t="s">
        <v>17</v>
      </c>
      <c r="D2580">
        <v>4</v>
      </c>
      <c r="E2580">
        <v>100</v>
      </c>
      <c r="F2580" t="s">
        <v>1</v>
      </c>
      <c r="G2580" s="6">
        <v>45820</v>
      </c>
      <c r="H2580">
        <v>49</v>
      </c>
      <c r="I2580">
        <f>ROUND(CompilDonnées[[#This Row],[CultureDuration_days]]/7,0)</f>
        <v>7</v>
      </c>
      <c r="J2580">
        <v>4071</v>
      </c>
      <c r="K2580" t="str">
        <f>_xlfn.CONCAT(WEEKNUM(CompilDonnées[[#This Row],[PlantationDate]]), " ", YEAR(CompilDonnées[[#This Row],[PlantationDate]]))</f>
        <v>17 2025</v>
      </c>
      <c r="L2580" t="str">
        <f>CONCATENATE(MONTH(CompilDonnées[[#This Row],[PlantationDate]])," ", YEAR(CompilDonnées[[#This Row],[PlantationDate]]))</f>
        <v>4 2025</v>
      </c>
      <c r="M2580" t="str">
        <f>CONCATENATE(MONTH(CompilDonnées[[#This Row],[HarvestingDate]])," ", YEAR(CompilDonnées[[#This Row],[HarvestingDate]]))</f>
        <v>6 2025</v>
      </c>
      <c r="N2580">
        <f>_xlfn.NUMBERVALUE(CompilDonnées[[#This Row],[FarmID]]&amp;CompilDonnées[[#This Row],[ModuleNumber]]&amp;CompilDonnées[[#This Row],[PlantationDate]])</f>
        <v>82445771</v>
      </c>
      <c r="O2580" t="str">
        <f>CompilDonnées[[#This Row],[FarmID]]&amp;CompilDonnées[[#This Row],[ModuleNumber]]</f>
        <v>824</v>
      </c>
      <c r="P2580" t="str">
        <f>CompilDonnées[[#This Row],[Ref_Module]]&amp;CompilDonnées[[#This Row],[HarvestingDate]]</f>
        <v>82445820</v>
      </c>
    </row>
    <row r="2581" spans="1:16">
      <c r="A2581" s="5">
        <v>45771</v>
      </c>
      <c r="B2581">
        <v>89</v>
      </c>
      <c r="C2581" t="s">
        <v>67</v>
      </c>
      <c r="D2581">
        <v>1</v>
      </c>
      <c r="E2581">
        <v>100</v>
      </c>
      <c r="F2581" t="s">
        <v>1</v>
      </c>
      <c r="G2581" s="6">
        <v>45813</v>
      </c>
      <c r="H2581">
        <v>42</v>
      </c>
      <c r="I2581">
        <f>ROUND(CompilDonnées[[#This Row],[CultureDuration_days]]/7,0)</f>
        <v>6</v>
      </c>
      <c r="J2581">
        <v>3108</v>
      </c>
      <c r="K2581" t="str">
        <f>_xlfn.CONCAT(WEEKNUM(CompilDonnées[[#This Row],[PlantationDate]]), " ", YEAR(CompilDonnées[[#This Row],[PlantationDate]]))</f>
        <v>17 2025</v>
      </c>
      <c r="L2581" t="str">
        <f>CONCATENATE(MONTH(CompilDonnées[[#This Row],[PlantationDate]])," ", YEAR(CompilDonnées[[#This Row],[PlantationDate]]))</f>
        <v>4 2025</v>
      </c>
      <c r="M2581" t="str">
        <f>CONCATENATE(MONTH(CompilDonnées[[#This Row],[HarvestingDate]])," ", YEAR(CompilDonnées[[#This Row],[HarvestingDate]]))</f>
        <v>6 2025</v>
      </c>
      <c r="N2581">
        <f>_xlfn.NUMBERVALUE(CompilDonnées[[#This Row],[FarmID]]&amp;CompilDonnées[[#This Row],[ModuleNumber]]&amp;CompilDonnées[[#This Row],[PlantationDate]])</f>
        <v>89145771</v>
      </c>
      <c r="O2581" t="str">
        <f>CompilDonnées[[#This Row],[FarmID]]&amp;CompilDonnées[[#This Row],[ModuleNumber]]</f>
        <v>891</v>
      </c>
      <c r="P2581" t="str">
        <f>CompilDonnées[[#This Row],[Ref_Module]]&amp;CompilDonnées[[#This Row],[HarvestingDate]]</f>
        <v>89145813</v>
      </c>
    </row>
    <row r="2582" spans="1:16">
      <c r="A2582" s="5">
        <v>45771</v>
      </c>
      <c r="B2582">
        <v>90</v>
      </c>
      <c r="C2582" t="s">
        <v>72</v>
      </c>
      <c r="D2582">
        <v>1</v>
      </c>
      <c r="E2582">
        <v>100</v>
      </c>
      <c r="F2582" t="s">
        <v>1</v>
      </c>
      <c r="G2582" s="6">
        <v>45814</v>
      </c>
      <c r="H2582">
        <v>43</v>
      </c>
      <c r="I2582">
        <f>ROUND(CompilDonnées[[#This Row],[CultureDuration_days]]/7,0)</f>
        <v>6</v>
      </c>
      <c r="J2582">
        <v>2980</v>
      </c>
      <c r="K2582" t="str">
        <f>_xlfn.CONCAT(WEEKNUM(CompilDonnées[[#This Row],[PlantationDate]]), " ", YEAR(CompilDonnées[[#This Row],[PlantationDate]]))</f>
        <v>17 2025</v>
      </c>
      <c r="L2582" t="str">
        <f>CONCATENATE(MONTH(CompilDonnées[[#This Row],[PlantationDate]])," ", YEAR(CompilDonnées[[#This Row],[PlantationDate]]))</f>
        <v>4 2025</v>
      </c>
      <c r="M2582" t="str">
        <f>CONCATENATE(MONTH(CompilDonnées[[#This Row],[HarvestingDate]])," ", YEAR(CompilDonnées[[#This Row],[HarvestingDate]]))</f>
        <v>6 2025</v>
      </c>
      <c r="N2582">
        <f>_xlfn.NUMBERVALUE(CompilDonnées[[#This Row],[FarmID]]&amp;CompilDonnées[[#This Row],[ModuleNumber]]&amp;CompilDonnées[[#This Row],[PlantationDate]])</f>
        <v>90145771</v>
      </c>
      <c r="O2582" t="str">
        <f>CompilDonnées[[#This Row],[FarmID]]&amp;CompilDonnées[[#This Row],[ModuleNumber]]</f>
        <v>901</v>
      </c>
      <c r="P2582" t="str">
        <f>CompilDonnées[[#This Row],[Ref_Module]]&amp;CompilDonnées[[#This Row],[HarvestingDate]]</f>
        <v>90145814</v>
      </c>
    </row>
    <row r="2583" spans="1:16">
      <c r="A2583" s="5">
        <v>45771</v>
      </c>
      <c r="B2583">
        <v>130</v>
      </c>
      <c r="C2583" t="s">
        <v>3</v>
      </c>
      <c r="D2583">
        <v>1</v>
      </c>
      <c r="E2583">
        <v>60</v>
      </c>
      <c r="F2583" t="s">
        <v>105</v>
      </c>
      <c r="G2583" s="6">
        <v>45819</v>
      </c>
      <c r="H2583">
        <v>48</v>
      </c>
      <c r="I2583">
        <f>ROUND(CompilDonnées[[#This Row],[CultureDuration_days]]/7,0)</f>
        <v>7</v>
      </c>
      <c r="J2583">
        <v>995</v>
      </c>
      <c r="K2583" t="str">
        <f>_xlfn.CONCAT(WEEKNUM(CompilDonnées[[#This Row],[PlantationDate]]), " ", YEAR(CompilDonnées[[#This Row],[PlantationDate]]))</f>
        <v>17 2025</v>
      </c>
      <c r="L2583" t="str">
        <f>CONCATENATE(MONTH(CompilDonnées[[#This Row],[PlantationDate]])," ", YEAR(CompilDonnées[[#This Row],[PlantationDate]]))</f>
        <v>4 2025</v>
      </c>
      <c r="M2583" t="str">
        <f>CONCATENATE(MONTH(CompilDonnées[[#This Row],[HarvestingDate]])," ", YEAR(CompilDonnées[[#This Row],[HarvestingDate]]))</f>
        <v>6 2025</v>
      </c>
      <c r="N2583">
        <f>_xlfn.NUMBERVALUE(CompilDonnées[[#This Row],[FarmID]]&amp;CompilDonnées[[#This Row],[ModuleNumber]]&amp;CompilDonnées[[#This Row],[PlantationDate]])</f>
        <v>130145771</v>
      </c>
      <c r="O2583" t="str">
        <f>CompilDonnées[[#This Row],[FarmID]]&amp;CompilDonnées[[#This Row],[ModuleNumber]]</f>
        <v>1301</v>
      </c>
      <c r="P2583" t="str">
        <f>CompilDonnées[[#This Row],[Ref_Module]]&amp;CompilDonnées[[#This Row],[HarvestingDate]]</f>
        <v>130145819</v>
      </c>
    </row>
    <row r="2584" spans="1:16">
      <c r="A2584" s="5">
        <v>45771</v>
      </c>
      <c r="B2584">
        <v>137</v>
      </c>
      <c r="C2584" t="s">
        <v>3</v>
      </c>
      <c r="D2584">
        <v>5</v>
      </c>
      <c r="E2584">
        <v>60</v>
      </c>
      <c r="F2584" t="s">
        <v>105</v>
      </c>
      <c r="G2584" s="6">
        <v>45818</v>
      </c>
      <c r="H2584">
        <v>47</v>
      </c>
      <c r="I2584">
        <f>ROUND(CompilDonnées[[#This Row],[CultureDuration_days]]/7,0)</f>
        <v>7</v>
      </c>
      <c r="J2584">
        <v>499</v>
      </c>
      <c r="K2584" t="str">
        <f>_xlfn.CONCAT(WEEKNUM(CompilDonnées[[#This Row],[PlantationDate]]), " ", YEAR(CompilDonnées[[#This Row],[PlantationDate]]))</f>
        <v>17 2025</v>
      </c>
      <c r="L2584" t="str">
        <f>CONCATENATE(MONTH(CompilDonnées[[#This Row],[PlantationDate]])," ", YEAR(CompilDonnées[[#This Row],[PlantationDate]]))</f>
        <v>4 2025</v>
      </c>
      <c r="M2584" t="str">
        <f>CONCATENATE(MONTH(CompilDonnées[[#This Row],[HarvestingDate]])," ", YEAR(CompilDonnées[[#This Row],[HarvestingDate]]))</f>
        <v>6 2025</v>
      </c>
      <c r="N2584">
        <f>_xlfn.NUMBERVALUE(CompilDonnées[[#This Row],[FarmID]]&amp;CompilDonnées[[#This Row],[ModuleNumber]]&amp;CompilDonnées[[#This Row],[PlantationDate]])</f>
        <v>137545771</v>
      </c>
      <c r="O2584" t="str">
        <f>CompilDonnées[[#This Row],[FarmID]]&amp;CompilDonnées[[#This Row],[ModuleNumber]]</f>
        <v>1375</v>
      </c>
      <c r="P2584" t="str">
        <f>CompilDonnées[[#This Row],[Ref_Module]]&amp;CompilDonnées[[#This Row],[HarvestingDate]]</f>
        <v>137545818</v>
      </c>
    </row>
    <row r="2585" spans="1:16">
      <c r="A2585" s="5">
        <v>45771</v>
      </c>
      <c r="B2585">
        <v>137</v>
      </c>
      <c r="C2585" t="s">
        <v>3</v>
      </c>
      <c r="D2585">
        <v>6</v>
      </c>
      <c r="E2585">
        <v>60</v>
      </c>
      <c r="F2585" t="s">
        <v>105</v>
      </c>
      <c r="G2585" s="6">
        <v>45818</v>
      </c>
      <c r="H2585">
        <v>47</v>
      </c>
      <c r="I2585">
        <f>ROUND(CompilDonnées[[#This Row],[CultureDuration_days]]/7,0)</f>
        <v>7</v>
      </c>
      <c r="J2585">
        <v>501</v>
      </c>
      <c r="K2585" t="str">
        <f>_xlfn.CONCAT(WEEKNUM(CompilDonnées[[#This Row],[PlantationDate]]), " ", YEAR(CompilDonnées[[#This Row],[PlantationDate]]))</f>
        <v>17 2025</v>
      </c>
      <c r="L2585" t="str">
        <f>CONCATENATE(MONTH(CompilDonnées[[#This Row],[PlantationDate]])," ", YEAR(CompilDonnées[[#This Row],[PlantationDate]]))</f>
        <v>4 2025</v>
      </c>
      <c r="M2585" t="str">
        <f>CONCATENATE(MONTH(CompilDonnées[[#This Row],[HarvestingDate]])," ", YEAR(CompilDonnées[[#This Row],[HarvestingDate]]))</f>
        <v>6 2025</v>
      </c>
      <c r="N2585">
        <f>_xlfn.NUMBERVALUE(CompilDonnées[[#This Row],[FarmID]]&amp;CompilDonnées[[#This Row],[ModuleNumber]]&amp;CompilDonnées[[#This Row],[PlantationDate]])</f>
        <v>137645771</v>
      </c>
      <c r="O2585" t="str">
        <f>CompilDonnées[[#This Row],[FarmID]]&amp;CompilDonnées[[#This Row],[ModuleNumber]]</f>
        <v>1376</v>
      </c>
      <c r="P2585" t="str">
        <f>CompilDonnées[[#This Row],[Ref_Module]]&amp;CompilDonnées[[#This Row],[HarvestingDate]]</f>
        <v>137645818</v>
      </c>
    </row>
    <row r="2586" spans="1:16">
      <c r="A2586" s="5">
        <v>45772</v>
      </c>
      <c r="B2586">
        <v>12</v>
      </c>
      <c r="C2586" t="s">
        <v>123</v>
      </c>
      <c r="D2586">
        <v>4</v>
      </c>
      <c r="E2586">
        <v>100</v>
      </c>
      <c r="F2586" t="s">
        <v>1</v>
      </c>
      <c r="G2586" s="6">
        <v>45821</v>
      </c>
      <c r="H2586">
        <v>49</v>
      </c>
      <c r="I2586">
        <f>ROUND(CompilDonnées[[#This Row],[CultureDuration_days]]/7,0)</f>
        <v>7</v>
      </c>
      <c r="J2586">
        <v>3312</v>
      </c>
      <c r="K2586" t="str">
        <f>_xlfn.CONCAT(WEEKNUM(CompilDonnées[[#This Row],[PlantationDate]]), " ", YEAR(CompilDonnées[[#This Row],[PlantationDate]]))</f>
        <v>17 2025</v>
      </c>
      <c r="L2586" t="str">
        <f>CONCATENATE(MONTH(CompilDonnées[[#This Row],[PlantationDate]])," ", YEAR(CompilDonnées[[#This Row],[PlantationDate]]))</f>
        <v>4 2025</v>
      </c>
      <c r="M2586" t="str">
        <f>CONCATENATE(MONTH(CompilDonnées[[#This Row],[HarvestingDate]])," ", YEAR(CompilDonnées[[#This Row],[HarvestingDate]]))</f>
        <v>6 2025</v>
      </c>
      <c r="N2586">
        <f>_xlfn.NUMBERVALUE(CompilDonnées[[#This Row],[FarmID]]&amp;CompilDonnées[[#This Row],[ModuleNumber]]&amp;CompilDonnées[[#This Row],[PlantationDate]])</f>
        <v>12445772</v>
      </c>
      <c r="O2586" t="str">
        <f>CompilDonnées[[#This Row],[FarmID]]&amp;CompilDonnées[[#This Row],[ModuleNumber]]</f>
        <v>124</v>
      </c>
      <c r="P2586" t="str">
        <f>CompilDonnées[[#This Row],[Ref_Module]]&amp;CompilDonnées[[#This Row],[HarvestingDate]]</f>
        <v>12445821</v>
      </c>
    </row>
    <row r="2587" spans="1:16">
      <c r="A2587" s="5">
        <v>45772</v>
      </c>
      <c r="B2587">
        <v>54</v>
      </c>
      <c r="C2587" t="s">
        <v>39</v>
      </c>
      <c r="D2587">
        <v>4</v>
      </c>
      <c r="E2587">
        <v>100</v>
      </c>
      <c r="F2587" t="s">
        <v>1</v>
      </c>
      <c r="G2587" s="6">
        <v>45821</v>
      </c>
      <c r="H2587">
        <v>49</v>
      </c>
      <c r="I2587">
        <f>ROUND(CompilDonnées[[#This Row],[CultureDuration_days]]/7,0)</f>
        <v>7</v>
      </c>
      <c r="J2587">
        <v>3798</v>
      </c>
      <c r="K2587" t="str">
        <f>_xlfn.CONCAT(WEEKNUM(CompilDonnées[[#This Row],[PlantationDate]]), " ", YEAR(CompilDonnées[[#This Row],[PlantationDate]]))</f>
        <v>17 2025</v>
      </c>
      <c r="L2587" t="str">
        <f>CONCATENATE(MONTH(CompilDonnées[[#This Row],[PlantationDate]])," ", YEAR(CompilDonnées[[#This Row],[PlantationDate]]))</f>
        <v>4 2025</v>
      </c>
      <c r="M2587" t="str">
        <f>CONCATENATE(MONTH(CompilDonnées[[#This Row],[HarvestingDate]])," ", YEAR(CompilDonnées[[#This Row],[HarvestingDate]]))</f>
        <v>6 2025</v>
      </c>
      <c r="N2587">
        <f>_xlfn.NUMBERVALUE(CompilDonnées[[#This Row],[FarmID]]&amp;CompilDonnées[[#This Row],[ModuleNumber]]&amp;CompilDonnées[[#This Row],[PlantationDate]])</f>
        <v>54445772</v>
      </c>
      <c r="O2587" t="str">
        <f>CompilDonnées[[#This Row],[FarmID]]&amp;CompilDonnées[[#This Row],[ModuleNumber]]</f>
        <v>544</v>
      </c>
      <c r="P2587" t="str">
        <f>CompilDonnées[[#This Row],[Ref_Module]]&amp;CompilDonnées[[#This Row],[HarvestingDate]]</f>
        <v>54445821</v>
      </c>
    </row>
    <row r="2588" spans="1:16">
      <c r="A2588" s="5">
        <v>45772</v>
      </c>
      <c r="B2588">
        <v>74</v>
      </c>
      <c r="C2588" t="s">
        <v>21</v>
      </c>
      <c r="D2588">
        <v>6</v>
      </c>
      <c r="E2588">
        <v>100</v>
      </c>
      <c r="F2588" t="s">
        <v>1</v>
      </c>
      <c r="G2588" s="6">
        <v>45819</v>
      </c>
      <c r="H2588">
        <v>47</v>
      </c>
      <c r="I2588">
        <f>ROUND(CompilDonnées[[#This Row],[CultureDuration_days]]/7,0)</f>
        <v>7</v>
      </c>
      <c r="J2588">
        <v>2802</v>
      </c>
      <c r="K2588" t="str">
        <f>_xlfn.CONCAT(WEEKNUM(CompilDonnées[[#This Row],[PlantationDate]]), " ", YEAR(CompilDonnées[[#This Row],[PlantationDate]]))</f>
        <v>17 2025</v>
      </c>
      <c r="L2588" t="str">
        <f>CONCATENATE(MONTH(CompilDonnées[[#This Row],[PlantationDate]])," ", YEAR(CompilDonnées[[#This Row],[PlantationDate]]))</f>
        <v>4 2025</v>
      </c>
      <c r="M2588" t="str">
        <f>CONCATENATE(MONTH(CompilDonnées[[#This Row],[HarvestingDate]])," ", YEAR(CompilDonnées[[#This Row],[HarvestingDate]]))</f>
        <v>6 2025</v>
      </c>
      <c r="N2588">
        <f>_xlfn.NUMBERVALUE(CompilDonnées[[#This Row],[FarmID]]&amp;CompilDonnées[[#This Row],[ModuleNumber]]&amp;CompilDonnées[[#This Row],[PlantationDate]])</f>
        <v>74645772</v>
      </c>
      <c r="O2588" t="str">
        <f>CompilDonnées[[#This Row],[FarmID]]&amp;CompilDonnées[[#This Row],[ModuleNumber]]</f>
        <v>746</v>
      </c>
      <c r="P2588" t="str">
        <f>CompilDonnées[[#This Row],[Ref_Module]]&amp;CompilDonnées[[#This Row],[HarvestingDate]]</f>
        <v>74645819</v>
      </c>
    </row>
    <row r="2589" spans="1:16">
      <c r="A2589" s="5">
        <v>45772</v>
      </c>
      <c r="B2589">
        <v>80</v>
      </c>
      <c r="C2589" t="s">
        <v>29</v>
      </c>
      <c r="D2589">
        <v>4</v>
      </c>
      <c r="E2589">
        <v>100</v>
      </c>
      <c r="F2589" t="s">
        <v>1</v>
      </c>
      <c r="G2589" s="6">
        <v>45814</v>
      </c>
      <c r="H2589">
        <v>42</v>
      </c>
      <c r="I2589">
        <f>ROUND(CompilDonnées[[#This Row],[CultureDuration_days]]/7,0)</f>
        <v>6</v>
      </c>
      <c r="J2589">
        <v>4014</v>
      </c>
      <c r="K2589" t="str">
        <f>_xlfn.CONCAT(WEEKNUM(CompilDonnées[[#This Row],[PlantationDate]]), " ", YEAR(CompilDonnées[[#This Row],[PlantationDate]]))</f>
        <v>17 2025</v>
      </c>
      <c r="L2589" t="str">
        <f>CONCATENATE(MONTH(CompilDonnées[[#This Row],[PlantationDate]])," ", YEAR(CompilDonnées[[#This Row],[PlantationDate]]))</f>
        <v>4 2025</v>
      </c>
      <c r="M2589" t="str">
        <f>CONCATENATE(MONTH(CompilDonnées[[#This Row],[HarvestingDate]])," ", YEAR(CompilDonnées[[#This Row],[HarvestingDate]]))</f>
        <v>6 2025</v>
      </c>
      <c r="N2589">
        <f>_xlfn.NUMBERVALUE(CompilDonnées[[#This Row],[FarmID]]&amp;CompilDonnées[[#This Row],[ModuleNumber]]&amp;CompilDonnées[[#This Row],[PlantationDate]])</f>
        <v>80445772</v>
      </c>
      <c r="O2589" t="str">
        <f>CompilDonnées[[#This Row],[FarmID]]&amp;CompilDonnées[[#This Row],[ModuleNumber]]</f>
        <v>804</v>
      </c>
      <c r="P2589" t="str">
        <f>CompilDonnées[[#This Row],[Ref_Module]]&amp;CompilDonnées[[#This Row],[HarvestingDate]]</f>
        <v>80445814</v>
      </c>
    </row>
    <row r="2590" spans="1:16">
      <c r="A2590" s="5">
        <v>45772</v>
      </c>
      <c r="B2590">
        <v>81</v>
      </c>
      <c r="C2590" t="s">
        <v>30</v>
      </c>
      <c r="D2590">
        <v>2</v>
      </c>
      <c r="E2590">
        <v>100</v>
      </c>
      <c r="F2590" t="s">
        <v>1</v>
      </c>
      <c r="G2590" s="6">
        <v>45812</v>
      </c>
      <c r="H2590">
        <v>40</v>
      </c>
      <c r="I2590">
        <f>ROUND(CompilDonnées[[#This Row],[CultureDuration_days]]/7,0)</f>
        <v>6</v>
      </c>
      <c r="J2590">
        <v>3783</v>
      </c>
      <c r="K2590" t="str">
        <f>_xlfn.CONCAT(WEEKNUM(CompilDonnées[[#This Row],[PlantationDate]]), " ", YEAR(CompilDonnées[[#This Row],[PlantationDate]]))</f>
        <v>17 2025</v>
      </c>
      <c r="L2590" t="str">
        <f>CONCATENATE(MONTH(CompilDonnées[[#This Row],[PlantationDate]])," ", YEAR(CompilDonnées[[#This Row],[PlantationDate]]))</f>
        <v>4 2025</v>
      </c>
      <c r="M2590" t="str">
        <f>CONCATENATE(MONTH(CompilDonnées[[#This Row],[HarvestingDate]])," ", YEAR(CompilDonnées[[#This Row],[HarvestingDate]]))</f>
        <v>6 2025</v>
      </c>
      <c r="N2590">
        <f>_xlfn.NUMBERVALUE(CompilDonnées[[#This Row],[FarmID]]&amp;CompilDonnées[[#This Row],[ModuleNumber]]&amp;CompilDonnées[[#This Row],[PlantationDate]])</f>
        <v>81245772</v>
      </c>
      <c r="O2590" t="str">
        <f>CompilDonnées[[#This Row],[FarmID]]&amp;CompilDonnées[[#This Row],[ModuleNumber]]</f>
        <v>812</v>
      </c>
      <c r="P2590" t="str">
        <f>CompilDonnées[[#This Row],[Ref_Module]]&amp;CompilDonnées[[#This Row],[HarvestingDate]]</f>
        <v>81245812</v>
      </c>
    </row>
    <row r="2591" spans="1:16">
      <c r="A2591" s="5">
        <v>45772</v>
      </c>
      <c r="B2591">
        <v>82</v>
      </c>
      <c r="C2591" t="s">
        <v>17</v>
      </c>
      <c r="D2591">
        <v>2</v>
      </c>
      <c r="E2591">
        <v>100</v>
      </c>
      <c r="F2591" t="s">
        <v>1</v>
      </c>
      <c r="G2591" s="6">
        <v>45814</v>
      </c>
      <c r="H2591">
        <v>42</v>
      </c>
      <c r="I2591">
        <f>ROUND(CompilDonnées[[#This Row],[CultureDuration_days]]/7,0)</f>
        <v>6</v>
      </c>
      <c r="J2591">
        <v>3448</v>
      </c>
      <c r="K2591" t="str">
        <f>_xlfn.CONCAT(WEEKNUM(CompilDonnées[[#This Row],[PlantationDate]]), " ", YEAR(CompilDonnées[[#This Row],[PlantationDate]]))</f>
        <v>17 2025</v>
      </c>
      <c r="L2591" t="str">
        <f>CONCATENATE(MONTH(CompilDonnées[[#This Row],[PlantationDate]])," ", YEAR(CompilDonnées[[#This Row],[PlantationDate]]))</f>
        <v>4 2025</v>
      </c>
      <c r="M2591" t="str">
        <f>CONCATENATE(MONTH(CompilDonnées[[#This Row],[HarvestingDate]])," ", YEAR(CompilDonnées[[#This Row],[HarvestingDate]]))</f>
        <v>6 2025</v>
      </c>
      <c r="N2591">
        <f>_xlfn.NUMBERVALUE(CompilDonnées[[#This Row],[FarmID]]&amp;CompilDonnées[[#This Row],[ModuleNumber]]&amp;CompilDonnées[[#This Row],[PlantationDate]])</f>
        <v>82245772</v>
      </c>
      <c r="O2591" t="str">
        <f>CompilDonnées[[#This Row],[FarmID]]&amp;CompilDonnées[[#This Row],[ModuleNumber]]</f>
        <v>822</v>
      </c>
      <c r="P2591" t="str">
        <f>CompilDonnées[[#This Row],[Ref_Module]]&amp;CompilDonnées[[#This Row],[HarvestingDate]]</f>
        <v>82245814</v>
      </c>
    </row>
    <row r="2592" spans="1:16">
      <c r="A2592" s="5">
        <v>45772</v>
      </c>
      <c r="B2592">
        <v>83</v>
      </c>
      <c r="C2592" t="s">
        <v>73</v>
      </c>
      <c r="D2592">
        <v>2</v>
      </c>
      <c r="E2592">
        <v>100</v>
      </c>
      <c r="F2592" t="s">
        <v>1</v>
      </c>
      <c r="G2592" s="6">
        <v>45814</v>
      </c>
      <c r="H2592">
        <v>42</v>
      </c>
      <c r="I2592">
        <f>ROUND(CompilDonnées[[#This Row],[CultureDuration_days]]/7,0)</f>
        <v>6</v>
      </c>
      <c r="J2592">
        <v>3495</v>
      </c>
      <c r="K2592" t="str">
        <f>_xlfn.CONCAT(WEEKNUM(CompilDonnées[[#This Row],[PlantationDate]]), " ", YEAR(CompilDonnées[[#This Row],[PlantationDate]]))</f>
        <v>17 2025</v>
      </c>
      <c r="L2592" t="str">
        <f>CONCATENATE(MONTH(CompilDonnées[[#This Row],[PlantationDate]])," ", YEAR(CompilDonnées[[#This Row],[PlantationDate]]))</f>
        <v>4 2025</v>
      </c>
      <c r="M2592" t="str">
        <f>CONCATENATE(MONTH(CompilDonnées[[#This Row],[HarvestingDate]])," ", YEAR(CompilDonnées[[#This Row],[HarvestingDate]]))</f>
        <v>6 2025</v>
      </c>
      <c r="N2592">
        <f>_xlfn.NUMBERVALUE(CompilDonnées[[#This Row],[FarmID]]&amp;CompilDonnées[[#This Row],[ModuleNumber]]&amp;CompilDonnées[[#This Row],[PlantationDate]])</f>
        <v>83245772</v>
      </c>
      <c r="O2592" t="str">
        <f>CompilDonnées[[#This Row],[FarmID]]&amp;CompilDonnées[[#This Row],[ModuleNumber]]</f>
        <v>832</v>
      </c>
      <c r="P2592" t="str">
        <f>CompilDonnées[[#This Row],[Ref_Module]]&amp;CompilDonnées[[#This Row],[HarvestingDate]]</f>
        <v>83245814</v>
      </c>
    </row>
    <row r="2593" spans="1:16">
      <c r="A2593" s="5">
        <v>45772</v>
      </c>
      <c r="B2593">
        <v>84</v>
      </c>
      <c r="C2593" t="s">
        <v>65</v>
      </c>
      <c r="D2593">
        <v>2</v>
      </c>
      <c r="E2593">
        <v>100</v>
      </c>
      <c r="F2593" t="s">
        <v>1</v>
      </c>
      <c r="G2593" s="6">
        <v>45819</v>
      </c>
      <c r="H2593">
        <v>47</v>
      </c>
      <c r="I2593">
        <f>ROUND(CompilDonnées[[#This Row],[CultureDuration_days]]/7,0)</f>
        <v>7</v>
      </c>
      <c r="J2593">
        <v>3746</v>
      </c>
      <c r="K2593" t="str">
        <f>_xlfn.CONCAT(WEEKNUM(CompilDonnées[[#This Row],[PlantationDate]]), " ", YEAR(CompilDonnées[[#This Row],[PlantationDate]]))</f>
        <v>17 2025</v>
      </c>
      <c r="L2593" t="str">
        <f>CONCATENATE(MONTH(CompilDonnées[[#This Row],[PlantationDate]])," ", YEAR(CompilDonnées[[#This Row],[PlantationDate]]))</f>
        <v>4 2025</v>
      </c>
      <c r="M2593" t="str">
        <f>CONCATENATE(MONTH(CompilDonnées[[#This Row],[HarvestingDate]])," ", YEAR(CompilDonnées[[#This Row],[HarvestingDate]]))</f>
        <v>6 2025</v>
      </c>
      <c r="N2593">
        <f>_xlfn.NUMBERVALUE(CompilDonnées[[#This Row],[FarmID]]&amp;CompilDonnées[[#This Row],[ModuleNumber]]&amp;CompilDonnées[[#This Row],[PlantationDate]])</f>
        <v>84245772</v>
      </c>
      <c r="O2593" t="str">
        <f>CompilDonnées[[#This Row],[FarmID]]&amp;CompilDonnées[[#This Row],[ModuleNumber]]</f>
        <v>842</v>
      </c>
      <c r="P2593" t="str">
        <f>CompilDonnées[[#This Row],[Ref_Module]]&amp;CompilDonnées[[#This Row],[HarvestingDate]]</f>
        <v>84245819</v>
      </c>
    </row>
    <row r="2594" spans="1:16">
      <c r="A2594" s="5">
        <v>45772</v>
      </c>
      <c r="B2594">
        <v>85</v>
      </c>
      <c r="C2594" t="s">
        <v>56</v>
      </c>
      <c r="D2594">
        <v>5</v>
      </c>
      <c r="E2594">
        <v>100</v>
      </c>
      <c r="F2594" t="s">
        <v>1</v>
      </c>
      <c r="G2594" s="6">
        <v>45812</v>
      </c>
      <c r="H2594">
        <v>40</v>
      </c>
      <c r="I2594">
        <f>ROUND(CompilDonnées[[#This Row],[CultureDuration_days]]/7,0)</f>
        <v>6</v>
      </c>
      <c r="J2594">
        <v>2318</v>
      </c>
      <c r="K2594" t="str">
        <f>_xlfn.CONCAT(WEEKNUM(CompilDonnées[[#This Row],[PlantationDate]]), " ", YEAR(CompilDonnées[[#This Row],[PlantationDate]]))</f>
        <v>17 2025</v>
      </c>
      <c r="L2594" t="str">
        <f>CONCATENATE(MONTH(CompilDonnées[[#This Row],[PlantationDate]])," ", YEAR(CompilDonnées[[#This Row],[PlantationDate]]))</f>
        <v>4 2025</v>
      </c>
      <c r="M2594" t="str">
        <f>CONCATENATE(MONTH(CompilDonnées[[#This Row],[HarvestingDate]])," ", YEAR(CompilDonnées[[#This Row],[HarvestingDate]]))</f>
        <v>6 2025</v>
      </c>
      <c r="N2594">
        <f>_xlfn.NUMBERVALUE(CompilDonnées[[#This Row],[FarmID]]&amp;CompilDonnées[[#This Row],[ModuleNumber]]&amp;CompilDonnées[[#This Row],[PlantationDate]])</f>
        <v>85545772</v>
      </c>
      <c r="O2594" t="str">
        <f>CompilDonnées[[#This Row],[FarmID]]&amp;CompilDonnées[[#This Row],[ModuleNumber]]</f>
        <v>855</v>
      </c>
      <c r="P2594" t="str">
        <f>CompilDonnées[[#This Row],[Ref_Module]]&amp;CompilDonnées[[#This Row],[HarvestingDate]]</f>
        <v>85545812</v>
      </c>
    </row>
    <row r="2595" spans="1:16">
      <c r="A2595" s="5">
        <v>45772</v>
      </c>
      <c r="B2595">
        <v>87</v>
      </c>
      <c r="C2595" t="s">
        <v>38</v>
      </c>
      <c r="D2595">
        <v>4</v>
      </c>
      <c r="E2595">
        <v>100</v>
      </c>
      <c r="F2595" t="s">
        <v>1</v>
      </c>
      <c r="G2595" s="6">
        <v>45820</v>
      </c>
      <c r="H2595">
        <v>48</v>
      </c>
      <c r="I2595">
        <f>ROUND(CompilDonnées[[#This Row],[CultureDuration_days]]/7,0)</f>
        <v>7</v>
      </c>
      <c r="J2595">
        <v>3446</v>
      </c>
      <c r="K2595" t="str">
        <f>_xlfn.CONCAT(WEEKNUM(CompilDonnées[[#This Row],[PlantationDate]]), " ", YEAR(CompilDonnées[[#This Row],[PlantationDate]]))</f>
        <v>17 2025</v>
      </c>
      <c r="L2595" t="str">
        <f>CONCATENATE(MONTH(CompilDonnées[[#This Row],[PlantationDate]])," ", YEAR(CompilDonnées[[#This Row],[PlantationDate]]))</f>
        <v>4 2025</v>
      </c>
      <c r="M2595" t="str">
        <f>CONCATENATE(MONTH(CompilDonnées[[#This Row],[HarvestingDate]])," ", YEAR(CompilDonnées[[#This Row],[HarvestingDate]]))</f>
        <v>6 2025</v>
      </c>
      <c r="N2595">
        <f>_xlfn.NUMBERVALUE(CompilDonnées[[#This Row],[FarmID]]&amp;CompilDonnées[[#This Row],[ModuleNumber]]&amp;CompilDonnées[[#This Row],[PlantationDate]])</f>
        <v>87445772</v>
      </c>
      <c r="O2595" t="str">
        <f>CompilDonnées[[#This Row],[FarmID]]&amp;CompilDonnées[[#This Row],[ModuleNumber]]</f>
        <v>874</v>
      </c>
      <c r="P2595" t="str">
        <f>CompilDonnées[[#This Row],[Ref_Module]]&amp;CompilDonnées[[#This Row],[HarvestingDate]]</f>
        <v>87445820</v>
      </c>
    </row>
    <row r="2596" spans="1:16">
      <c r="A2596" s="5">
        <v>45772</v>
      </c>
      <c r="B2596">
        <v>88</v>
      </c>
      <c r="C2596" t="s">
        <v>94</v>
      </c>
      <c r="D2596">
        <v>1</v>
      </c>
      <c r="E2596">
        <v>100</v>
      </c>
      <c r="F2596" t="s">
        <v>1</v>
      </c>
      <c r="G2596" s="6">
        <v>45813</v>
      </c>
      <c r="H2596">
        <v>41</v>
      </c>
      <c r="I2596">
        <f>ROUND(CompilDonnées[[#This Row],[CultureDuration_days]]/7,0)</f>
        <v>6</v>
      </c>
      <c r="J2596">
        <v>3800</v>
      </c>
      <c r="K2596" t="str">
        <f>_xlfn.CONCAT(WEEKNUM(CompilDonnées[[#This Row],[PlantationDate]]), " ", YEAR(CompilDonnées[[#This Row],[PlantationDate]]))</f>
        <v>17 2025</v>
      </c>
      <c r="L2596" t="str">
        <f>CONCATENATE(MONTH(CompilDonnées[[#This Row],[PlantationDate]])," ", YEAR(CompilDonnées[[#This Row],[PlantationDate]]))</f>
        <v>4 2025</v>
      </c>
      <c r="M2596" t="str">
        <f>CONCATENATE(MONTH(CompilDonnées[[#This Row],[HarvestingDate]])," ", YEAR(CompilDonnées[[#This Row],[HarvestingDate]]))</f>
        <v>6 2025</v>
      </c>
      <c r="N2596">
        <f>_xlfn.NUMBERVALUE(CompilDonnées[[#This Row],[FarmID]]&amp;CompilDonnées[[#This Row],[ModuleNumber]]&amp;CompilDonnées[[#This Row],[PlantationDate]])</f>
        <v>88145772</v>
      </c>
      <c r="O2596" t="str">
        <f>CompilDonnées[[#This Row],[FarmID]]&amp;CompilDonnées[[#This Row],[ModuleNumber]]</f>
        <v>881</v>
      </c>
      <c r="P2596" t="str">
        <f>CompilDonnées[[#This Row],[Ref_Module]]&amp;CompilDonnées[[#This Row],[HarvestingDate]]</f>
        <v>88145813</v>
      </c>
    </row>
    <row r="2597" spans="1:16">
      <c r="A2597" s="5">
        <v>45772</v>
      </c>
      <c r="B2597">
        <v>88</v>
      </c>
      <c r="C2597" t="s">
        <v>94</v>
      </c>
      <c r="D2597">
        <v>3</v>
      </c>
      <c r="E2597">
        <v>100</v>
      </c>
      <c r="F2597" t="s">
        <v>1</v>
      </c>
      <c r="G2597" s="6">
        <v>45813</v>
      </c>
      <c r="H2597">
        <v>41</v>
      </c>
      <c r="I2597">
        <f>ROUND(CompilDonnées[[#This Row],[CultureDuration_days]]/7,0)</f>
        <v>6</v>
      </c>
      <c r="J2597">
        <v>3995</v>
      </c>
      <c r="K2597" t="str">
        <f>_xlfn.CONCAT(WEEKNUM(CompilDonnées[[#This Row],[PlantationDate]]), " ", YEAR(CompilDonnées[[#This Row],[PlantationDate]]))</f>
        <v>17 2025</v>
      </c>
      <c r="L2597" t="str">
        <f>CONCATENATE(MONTH(CompilDonnées[[#This Row],[PlantationDate]])," ", YEAR(CompilDonnées[[#This Row],[PlantationDate]]))</f>
        <v>4 2025</v>
      </c>
      <c r="M2597" t="str">
        <f>CONCATENATE(MONTH(CompilDonnées[[#This Row],[HarvestingDate]])," ", YEAR(CompilDonnées[[#This Row],[HarvestingDate]]))</f>
        <v>6 2025</v>
      </c>
      <c r="N2597">
        <f>_xlfn.NUMBERVALUE(CompilDonnées[[#This Row],[FarmID]]&amp;CompilDonnées[[#This Row],[ModuleNumber]]&amp;CompilDonnées[[#This Row],[PlantationDate]])</f>
        <v>88345772</v>
      </c>
      <c r="O2597" t="str">
        <f>CompilDonnées[[#This Row],[FarmID]]&amp;CompilDonnées[[#This Row],[ModuleNumber]]</f>
        <v>883</v>
      </c>
      <c r="P2597" t="str">
        <f>CompilDonnées[[#This Row],[Ref_Module]]&amp;CompilDonnées[[#This Row],[HarvestingDate]]</f>
        <v>88345813</v>
      </c>
    </row>
    <row r="2598" spans="1:16">
      <c r="A2598" s="5">
        <v>45772</v>
      </c>
      <c r="B2598">
        <v>89</v>
      </c>
      <c r="C2598" t="s">
        <v>67</v>
      </c>
      <c r="D2598">
        <v>2</v>
      </c>
      <c r="E2598">
        <v>100</v>
      </c>
      <c r="F2598" t="s">
        <v>1</v>
      </c>
      <c r="G2598" s="6">
        <v>45813</v>
      </c>
      <c r="H2598">
        <v>41</v>
      </c>
      <c r="I2598">
        <f>ROUND(CompilDonnées[[#This Row],[CultureDuration_days]]/7,0)</f>
        <v>6</v>
      </c>
      <c r="J2598">
        <v>3104</v>
      </c>
      <c r="K2598" t="str">
        <f>_xlfn.CONCAT(WEEKNUM(CompilDonnées[[#This Row],[PlantationDate]]), " ", YEAR(CompilDonnées[[#This Row],[PlantationDate]]))</f>
        <v>17 2025</v>
      </c>
      <c r="L2598" t="str">
        <f>CONCATENATE(MONTH(CompilDonnées[[#This Row],[PlantationDate]])," ", YEAR(CompilDonnées[[#This Row],[PlantationDate]]))</f>
        <v>4 2025</v>
      </c>
      <c r="M2598" t="str">
        <f>CONCATENATE(MONTH(CompilDonnées[[#This Row],[HarvestingDate]])," ", YEAR(CompilDonnées[[#This Row],[HarvestingDate]]))</f>
        <v>6 2025</v>
      </c>
      <c r="N2598">
        <f>_xlfn.NUMBERVALUE(CompilDonnées[[#This Row],[FarmID]]&amp;CompilDonnées[[#This Row],[ModuleNumber]]&amp;CompilDonnées[[#This Row],[PlantationDate]])</f>
        <v>89245772</v>
      </c>
      <c r="O2598" t="str">
        <f>CompilDonnées[[#This Row],[FarmID]]&amp;CompilDonnées[[#This Row],[ModuleNumber]]</f>
        <v>892</v>
      </c>
      <c r="P2598" t="str">
        <f>CompilDonnées[[#This Row],[Ref_Module]]&amp;CompilDonnées[[#This Row],[HarvestingDate]]</f>
        <v>89245813</v>
      </c>
    </row>
    <row r="2599" spans="1:16">
      <c r="A2599" s="5">
        <v>45772</v>
      </c>
      <c r="B2599">
        <v>90</v>
      </c>
      <c r="C2599" t="s">
        <v>72</v>
      </c>
      <c r="D2599">
        <v>2</v>
      </c>
      <c r="E2599">
        <v>100</v>
      </c>
      <c r="F2599" t="s">
        <v>1</v>
      </c>
      <c r="G2599" s="6">
        <v>45818</v>
      </c>
      <c r="H2599">
        <v>46</v>
      </c>
      <c r="I2599">
        <f>ROUND(CompilDonnées[[#This Row],[CultureDuration_days]]/7,0)</f>
        <v>7</v>
      </c>
      <c r="J2599">
        <v>3472</v>
      </c>
      <c r="K2599" t="str">
        <f>_xlfn.CONCAT(WEEKNUM(CompilDonnées[[#This Row],[PlantationDate]]), " ", YEAR(CompilDonnées[[#This Row],[PlantationDate]]))</f>
        <v>17 2025</v>
      </c>
      <c r="L2599" t="str">
        <f>CONCATENATE(MONTH(CompilDonnées[[#This Row],[PlantationDate]])," ", YEAR(CompilDonnées[[#This Row],[PlantationDate]]))</f>
        <v>4 2025</v>
      </c>
      <c r="M2599" t="str">
        <f>CONCATENATE(MONTH(CompilDonnées[[#This Row],[HarvestingDate]])," ", YEAR(CompilDonnées[[#This Row],[HarvestingDate]]))</f>
        <v>6 2025</v>
      </c>
      <c r="N2599">
        <f>_xlfn.NUMBERVALUE(CompilDonnées[[#This Row],[FarmID]]&amp;CompilDonnées[[#This Row],[ModuleNumber]]&amp;CompilDonnées[[#This Row],[PlantationDate]])</f>
        <v>90245772</v>
      </c>
      <c r="O2599" t="str">
        <f>CompilDonnées[[#This Row],[FarmID]]&amp;CompilDonnées[[#This Row],[ModuleNumber]]</f>
        <v>902</v>
      </c>
      <c r="P2599" t="str">
        <f>CompilDonnées[[#This Row],[Ref_Module]]&amp;CompilDonnées[[#This Row],[HarvestingDate]]</f>
        <v>90245818</v>
      </c>
    </row>
    <row r="2600" spans="1:16">
      <c r="A2600" s="5">
        <v>45772</v>
      </c>
      <c r="B2600">
        <v>91</v>
      </c>
      <c r="C2600" t="s">
        <v>9</v>
      </c>
      <c r="D2600">
        <v>6</v>
      </c>
      <c r="E2600">
        <v>100</v>
      </c>
      <c r="F2600" t="s">
        <v>1</v>
      </c>
      <c r="G2600" s="6">
        <v>45820</v>
      </c>
      <c r="H2600">
        <v>48</v>
      </c>
      <c r="I2600">
        <f>ROUND(CompilDonnées[[#This Row],[CultureDuration_days]]/7,0)</f>
        <v>7</v>
      </c>
      <c r="J2600">
        <v>3710</v>
      </c>
      <c r="K2600" t="str">
        <f>_xlfn.CONCAT(WEEKNUM(CompilDonnées[[#This Row],[PlantationDate]]), " ", YEAR(CompilDonnées[[#This Row],[PlantationDate]]))</f>
        <v>17 2025</v>
      </c>
      <c r="L2600" t="str">
        <f>CONCATENATE(MONTH(CompilDonnées[[#This Row],[PlantationDate]])," ", YEAR(CompilDonnées[[#This Row],[PlantationDate]]))</f>
        <v>4 2025</v>
      </c>
      <c r="M2600" t="str">
        <f>CONCATENATE(MONTH(CompilDonnées[[#This Row],[HarvestingDate]])," ", YEAR(CompilDonnées[[#This Row],[HarvestingDate]]))</f>
        <v>6 2025</v>
      </c>
      <c r="N2600">
        <f>_xlfn.NUMBERVALUE(CompilDonnées[[#This Row],[FarmID]]&amp;CompilDonnées[[#This Row],[ModuleNumber]]&amp;CompilDonnées[[#This Row],[PlantationDate]])</f>
        <v>91645772</v>
      </c>
      <c r="O2600" t="str">
        <f>CompilDonnées[[#This Row],[FarmID]]&amp;CompilDonnées[[#This Row],[ModuleNumber]]</f>
        <v>916</v>
      </c>
      <c r="P2600" t="str">
        <f>CompilDonnées[[#This Row],[Ref_Module]]&amp;CompilDonnées[[#This Row],[HarvestingDate]]</f>
        <v>91645820</v>
      </c>
    </row>
    <row r="2601" spans="1:16">
      <c r="A2601" s="5">
        <v>45772</v>
      </c>
      <c r="B2601">
        <v>93</v>
      </c>
      <c r="C2601" t="s">
        <v>10</v>
      </c>
      <c r="D2601">
        <v>6</v>
      </c>
      <c r="E2601">
        <v>100</v>
      </c>
      <c r="F2601" t="s">
        <v>1</v>
      </c>
      <c r="G2601" s="6">
        <v>45818</v>
      </c>
      <c r="H2601">
        <v>46</v>
      </c>
      <c r="I2601">
        <f>ROUND(CompilDonnées[[#This Row],[CultureDuration_days]]/7,0)</f>
        <v>7</v>
      </c>
      <c r="J2601">
        <v>3700</v>
      </c>
      <c r="K2601" t="str">
        <f>_xlfn.CONCAT(WEEKNUM(CompilDonnées[[#This Row],[PlantationDate]]), " ", YEAR(CompilDonnées[[#This Row],[PlantationDate]]))</f>
        <v>17 2025</v>
      </c>
      <c r="L2601" t="str">
        <f>CONCATENATE(MONTH(CompilDonnées[[#This Row],[PlantationDate]])," ", YEAR(CompilDonnées[[#This Row],[PlantationDate]]))</f>
        <v>4 2025</v>
      </c>
      <c r="M2601" t="str">
        <f>CONCATENATE(MONTH(CompilDonnées[[#This Row],[HarvestingDate]])," ", YEAR(CompilDonnées[[#This Row],[HarvestingDate]]))</f>
        <v>6 2025</v>
      </c>
      <c r="N2601">
        <f>_xlfn.NUMBERVALUE(CompilDonnées[[#This Row],[FarmID]]&amp;CompilDonnées[[#This Row],[ModuleNumber]]&amp;CompilDonnées[[#This Row],[PlantationDate]])</f>
        <v>93645772</v>
      </c>
      <c r="O2601" t="str">
        <f>CompilDonnées[[#This Row],[FarmID]]&amp;CompilDonnées[[#This Row],[ModuleNumber]]</f>
        <v>936</v>
      </c>
      <c r="P2601" t="str">
        <f>CompilDonnées[[#This Row],[Ref_Module]]&amp;CompilDonnées[[#This Row],[HarvestingDate]]</f>
        <v>93645818</v>
      </c>
    </row>
    <row r="2602" spans="1:16">
      <c r="A2602" s="5">
        <v>45772</v>
      </c>
      <c r="B2602">
        <v>94</v>
      </c>
      <c r="C2602" t="s">
        <v>40</v>
      </c>
      <c r="D2602">
        <v>1</v>
      </c>
      <c r="E2602">
        <v>100</v>
      </c>
      <c r="F2602" t="s">
        <v>1</v>
      </c>
      <c r="G2602" s="6">
        <v>45814</v>
      </c>
      <c r="H2602">
        <v>42</v>
      </c>
      <c r="I2602">
        <f>ROUND(CompilDonnées[[#This Row],[CultureDuration_days]]/7,0)</f>
        <v>6</v>
      </c>
      <c r="J2602">
        <v>1654</v>
      </c>
      <c r="K2602" t="str">
        <f>_xlfn.CONCAT(WEEKNUM(CompilDonnées[[#This Row],[PlantationDate]]), " ", YEAR(CompilDonnées[[#This Row],[PlantationDate]]))</f>
        <v>17 2025</v>
      </c>
      <c r="L2602" t="str">
        <f>CONCATENATE(MONTH(CompilDonnées[[#This Row],[PlantationDate]])," ", YEAR(CompilDonnées[[#This Row],[PlantationDate]]))</f>
        <v>4 2025</v>
      </c>
      <c r="M2602" t="str">
        <f>CONCATENATE(MONTH(CompilDonnées[[#This Row],[HarvestingDate]])," ", YEAR(CompilDonnées[[#This Row],[HarvestingDate]]))</f>
        <v>6 2025</v>
      </c>
      <c r="N2602">
        <f>_xlfn.NUMBERVALUE(CompilDonnées[[#This Row],[FarmID]]&amp;CompilDonnées[[#This Row],[ModuleNumber]]&amp;CompilDonnées[[#This Row],[PlantationDate]])</f>
        <v>94145772</v>
      </c>
      <c r="O2602" t="str">
        <f>CompilDonnées[[#This Row],[FarmID]]&amp;CompilDonnées[[#This Row],[ModuleNumber]]</f>
        <v>941</v>
      </c>
      <c r="P2602" t="str">
        <f>CompilDonnées[[#This Row],[Ref_Module]]&amp;CompilDonnées[[#This Row],[HarvestingDate]]</f>
        <v>94145814</v>
      </c>
    </row>
    <row r="2603" spans="1:16">
      <c r="A2603" s="5">
        <v>45772</v>
      </c>
      <c r="B2603">
        <v>94</v>
      </c>
      <c r="C2603" t="s">
        <v>40</v>
      </c>
      <c r="D2603">
        <v>2</v>
      </c>
      <c r="E2603">
        <v>100</v>
      </c>
      <c r="F2603" t="s">
        <v>1</v>
      </c>
      <c r="G2603" s="6">
        <v>45820</v>
      </c>
      <c r="H2603">
        <v>48</v>
      </c>
      <c r="I2603">
        <f>ROUND(CompilDonnées[[#This Row],[CultureDuration_days]]/7,0)</f>
        <v>7</v>
      </c>
      <c r="J2603">
        <v>2836</v>
      </c>
      <c r="K2603" t="str">
        <f>_xlfn.CONCAT(WEEKNUM(CompilDonnées[[#This Row],[PlantationDate]]), " ", YEAR(CompilDonnées[[#This Row],[PlantationDate]]))</f>
        <v>17 2025</v>
      </c>
      <c r="L2603" t="str">
        <f>CONCATENATE(MONTH(CompilDonnées[[#This Row],[PlantationDate]])," ", YEAR(CompilDonnées[[#This Row],[PlantationDate]]))</f>
        <v>4 2025</v>
      </c>
      <c r="M2603" t="str">
        <f>CONCATENATE(MONTH(CompilDonnées[[#This Row],[HarvestingDate]])," ", YEAR(CompilDonnées[[#This Row],[HarvestingDate]]))</f>
        <v>6 2025</v>
      </c>
      <c r="N2603">
        <f>_xlfn.NUMBERVALUE(CompilDonnées[[#This Row],[FarmID]]&amp;CompilDonnées[[#This Row],[ModuleNumber]]&amp;CompilDonnées[[#This Row],[PlantationDate]])</f>
        <v>94245772</v>
      </c>
      <c r="O2603" t="str">
        <f>CompilDonnées[[#This Row],[FarmID]]&amp;CompilDonnées[[#This Row],[ModuleNumber]]</f>
        <v>942</v>
      </c>
      <c r="P2603" t="str">
        <f>CompilDonnées[[#This Row],[Ref_Module]]&amp;CompilDonnées[[#This Row],[HarvestingDate]]</f>
        <v>94245820</v>
      </c>
    </row>
    <row r="2604" spans="1:16">
      <c r="A2604" s="5">
        <v>45772</v>
      </c>
      <c r="B2604">
        <v>95</v>
      </c>
      <c r="C2604" t="s">
        <v>90</v>
      </c>
      <c r="D2604">
        <v>5</v>
      </c>
      <c r="E2604">
        <v>100</v>
      </c>
      <c r="F2604" t="s">
        <v>1</v>
      </c>
      <c r="G2604" s="6">
        <v>45820</v>
      </c>
      <c r="H2604">
        <v>48</v>
      </c>
      <c r="I2604">
        <f>ROUND(CompilDonnées[[#This Row],[CultureDuration_days]]/7,0)</f>
        <v>7</v>
      </c>
      <c r="J2604">
        <v>2645</v>
      </c>
      <c r="K2604" t="str">
        <f>_xlfn.CONCAT(WEEKNUM(CompilDonnées[[#This Row],[PlantationDate]]), " ", YEAR(CompilDonnées[[#This Row],[PlantationDate]]))</f>
        <v>17 2025</v>
      </c>
      <c r="L2604" t="str">
        <f>CONCATENATE(MONTH(CompilDonnées[[#This Row],[PlantationDate]])," ", YEAR(CompilDonnées[[#This Row],[PlantationDate]]))</f>
        <v>4 2025</v>
      </c>
      <c r="M2604" t="str">
        <f>CONCATENATE(MONTH(CompilDonnées[[#This Row],[HarvestingDate]])," ", YEAR(CompilDonnées[[#This Row],[HarvestingDate]]))</f>
        <v>6 2025</v>
      </c>
      <c r="N2604">
        <f>_xlfn.NUMBERVALUE(CompilDonnées[[#This Row],[FarmID]]&amp;CompilDonnées[[#This Row],[ModuleNumber]]&amp;CompilDonnées[[#This Row],[PlantationDate]])</f>
        <v>95545772</v>
      </c>
      <c r="O2604" t="str">
        <f>CompilDonnées[[#This Row],[FarmID]]&amp;CompilDonnées[[#This Row],[ModuleNumber]]</f>
        <v>955</v>
      </c>
      <c r="P2604" t="str">
        <f>CompilDonnées[[#This Row],[Ref_Module]]&amp;CompilDonnées[[#This Row],[HarvestingDate]]</f>
        <v>95545820</v>
      </c>
    </row>
    <row r="2605" spans="1:16">
      <c r="A2605" s="5">
        <v>45772</v>
      </c>
      <c r="B2605">
        <v>95</v>
      </c>
      <c r="C2605" t="s">
        <v>90</v>
      </c>
      <c r="D2605">
        <v>6</v>
      </c>
      <c r="E2605">
        <v>100</v>
      </c>
      <c r="F2605" t="s">
        <v>1</v>
      </c>
      <c r="G2605" s="6">
        <v>45820</v>
      </c>
      <c r="H2605">
        <v>48</v>
      </c>
      <c r="I2605">
        <f>ROUND(CompilDonnées[[#This Row],[CultureDuration_days]]/7,0)</f>
        <v>7</v>
      </c>
      <c r="J2605">
        <v>2578</v>
      </c>
      <c r="K2605" t="str">
        <f>_xlfn.CONCAT(WEEKNUM(CompilDonnées[[#This Row],[PlantationDate]]), " ", YEAR(CompilDonnées[[#This Row],[PlantationDate]]))</f>
        <v>17 2025</v>
      </c>
      <c r="L2605" t="str">
        <f>CONCATENATE(MONTH(CompilDonnées[[#This Row],[PlantationDate]])," ", YEAR(CompilDonnées[[#This Row],[PlantationDate]]))</f>
        <v>4 2025</v>
      </c>
      <c r="M2605" t="str">
        <f>CONCATENATE(MONTH(CompilDonnées[[#This Row],[HarvestingDate]])," ", YEAR(CompilDonnées[[#This Row],[HarvestingDate]]))</f>
        <v>6 2025</v>
      </c>
      <c r="N2605">
        <f>_xlfn.NUMBERVALUE(CompilDonnées[[#This Row],[FarmID]]&amp;CompilDonnées[[#This Row],[ModuleNumber]]&amp;CompilDonnées[[#This Row],[PlantationDate]])</f>
        <v>95645772</v>
      </c>
      <c r="O2605" t="str">
        <f>CompilDonnées[[#This Row],[FarmID]]&amp;CompilDonnées[[#This Row],[ModuleNumber]]</f>
        <v>956</v>
      </c>
      <c r="P2605" t="str">
        <f>CompilDonnées[[#This Row],[Ref_Module]]&amp;CompilDonnées[[#This Row],[HarvestingDate]]</f>
        <v>95645820</v>
      </c>
    </row>
    <row r="2606" spans="1:16">
      <c r="A2606" s="5">
        <v>45772</v>
      </c>
      <c r="B2606">
        <v>99</v>
      </c>
      <c r="C2606" t="s">
        <v>117</v>
      </c>
      <c r="D2606">
        <v>1</v>
      </c>
      <c r="E2606">
        <v>100</v>
      </c>
      <c r="F2606" t="s">
        <v>1</v>
      </c>
      <c r="G2606" s="6">
        <v>45819</v>
      </c>
      <c r="H2606">
        <v>47</v>
      </c>
      <c r="I2606">
        <f>ROUND(CompilDonnées[[#This Row],[CultureDuration_days]]/7,0)</f>
        <v>7</v>
      </c>
      <c r="J2606">
        <v>3274</v>
      </c>
      <c r="K2606" t="str">
        <f>_xlfn.CONCAT(WEEKNUM(CompilDonnées[[#This Row],[PlantationDate]]), " ", YEAR(CompilDonnées[[#This Row],[PlantationDate]]))</f>
        <v>17 2025</v>
      </c>
      <c r="L2606" t="str">
        <f>CONCATENATE(MONTH(CompilDonnées[[#This Row],[PlantationDate]])," ", YEAR(CompilDonnées[[#This Row],[PlantationDate]]))</f>
        <v>4 2025</v>
      </c>
      <c r="M2606" t="str">
        <f>CONCATENATE(MONTH(CompilDonnées[[#This Row],[HarvestingDate]])," ", YEAR(CompilDonnées[[#This Row],[HarvestingDate]]))</f>
        <v>6 2025</v>
      </c>
      <c r="N2606">
        <f>_xlfn.NUMBERVALUE(CompilDonnées[[#This Row],[FarmID]]&amp;CompilDonnées[[#This Row],[ModuleNumber]]&amp;CompilDonnées[[#This Row],[PlantationDate]])</f>
        <v>99145772</v>
      </c>
      <c r="O2606" t="str">
        <f>CompilDonnées[[#This Row],[FarmID]]&amp;CompilDonnées[[#This Row],[ModuleNumber]]</f>
        <v>991</v>
      </c>
      <c r="P2606" t="str">
        <f>CompilDonnées[[#This Row],[Ref_Module]]&amp;CompilDonnées[[#This Row],[HarvestingDate]]</f>
        <v>99145819</v>
      </c>
    </row>
    <row r="2607" spans="1:16">
      <c r="A2607" s="5">
        <v>45772</v>
      </c>
      <c r="B2607">
        <v>100</v>
      </c>
      <c r="C2607" t="s">
        <v>84</v>
      </c>
      <c r="D2607">
        <v>4</v>
      </c>
      <c r="E2607">
        <v>100</v>
      </c>
      <c r="F2607" t="s">
        <v>1</v>
      </c>
      <c r="G2607" s="6">
        <v>45819</v>
      </c>
      <c r="H2607">
        <v>47</v>
      </c>
      <c r="I2607">
        <f>ROUND(CompilDonnées[[#This Row],[CultureDuration_days]]/7,0)</f>
        <v>7</v>
      </c>
      <c r="J2607">
        <v>3331</v>
      </c>
      <c r="K2607" t="str">
        <f>_xlfn.CONCAT(WEEKNUM(CompilDonnées[[#This Row],[PlantationDate]]), " ", YEAR(CompilDonnées[[#This Row],[PlantationDate]]))</f>
        <v>17 2025</v>
      </c>
      <c r="L2607" t="str">
        <f>CONCATENATE(MONTH(CompilDonnées[[#This Row],[PlantationDate]])," ", YEAR(CompilDonnées[[#This Row],[PlantationDate]]))</f>
        <v>4 2025</v>
      </c>
      <c r="M2607" t="str">
        <f>CONCATENATE(MONTH(CompilDonnées[[#This Row],[HarvestingDate]])," ", YEAR(CompilDonnées[[#This Row],[HarvestingDate]]))</f>
        <v>6 2025</v>
      </c>
      <c r="N2607">
        <f>_xlfn.NUMBERVALUE(CompilDonnées[[#This Row],[FarmID]]&amp;CompilDonnées[[#This Row],[ModuleNumber]]&amp;CompilDonnées[[#This Row],[PlantationDate]])</f>
        <v>100445772</v>
      </c>
      <c r="O2607" t="str">
        <f>CompilDonnées[[#This Row],[FarmID]]&amp;CompilDonnées[[#This Row],[ModuleNumber]]</f>
        <v>1004</v>
      </c>
      <c r="P2607" t="str">
        <f>CompilDonnées[[#This Row],[Ref_Module]]&amp;CompilDonnées[[#This Row],[HarvestingDate]]</f>
        <v>100445819</v>
      </c>
    </row>
    <row r="2608" spans="1:16">
      <c r="A2608" s="5">
        <v>45772</v>
      </c>
      <c r="B2608">
        <v>100</v>
      </c>
      <c r="C2608" t="s">
        <v>84</v>
      </c>
      <c r="D2608">
        <v>5</v>
      </c>
      <c r="E2608">
        <v>100</v>
      </c>
      <c r="F2608" t="s">
        <v>1</v>
      </c>
      <c r="G2608" s="6">
        <v>45819</v>
      </c>
      <c r="H2608">
        <v>47</v>
      </c>
      <c r="I2608">
        <f>ROUND(CompilDonnées[[#This Row],[CultureDuration_days]]/7,0)</f>
        <v>7</v>
      </c>
      <c r="J2608">
        <v>3396</v>
      </c>
      <c r="K2608" t="str">
        <f>_xlfn.CONCAT(WEEKNUM(CompilDonnées[[#This Row],[PlantationDate]]), " ", YEAR(CompilDonnées[[#This Row],[PlantationDate]]))</f>
        <v>17 2025</v>
      </c>
      <c r="L2608" t="str">
        <f>CONCATENATE(MONTH(CompilDonnées[[#This Row],[PlantationDate]])," ", YEAR(CompilDonnées[[#This Row],[PlantationDate]]))</f>
        <v>4 2025</v>
      </c>
      <c r="M2608" t="str">
        <f>CONCATENATE(MONTH(CompilDonnées[[#This Row],[HarvestingDate]])," ", YEAR(CompilDonnées[[#This Row],[HarvestingDate]]))</f>
        <v>6 2025</v>
      </c>
      <c r="N2608">
        <f>_xlfn.NUMBERVALUE(CompilDonnées[[#This Row],[FarmID]]&amp;CompilDonnées[[#This Row],[ModuleNumber]]&amp;CompilDonnées[[#This Row],[PlantationDate]])</f>
        <v>100545772</v>
      </c>
      <c r="O2608" t="str">
        <f>CompilDonnées[[#This Row],[FarmID]]&amp;CompilDonnées[[#This Row],[ModuleNumber]]</f>
        <v>1005</v>
      </c>
      <c r="P2608" t="str">
        <f>CompilDonnées[[#This Row],[Ref_Module]]&amp;CompilDonnées[[#This Row],[HarvestingDate]]</f>
        <v>100545819</v>
      </c>
    </row>
    <row r="2609" spans="1:16">
      <c r="A2609" s="5">
        <v>45772</v>
      </c>
      <c r="B2609">
        <v>107</v>
      </c>
      <c r="C2609" t="s">
        <v>23</v>
      </c>
      <c r="D2609">
        <v>1</v>
      </c>
      <c r="E2609">
        <v>100</v>
      </c>
      <c r="F2609" t="s">
        <v>1</v>
      </c>
      <c r="G2609" s="6">
        <v>45819</v>
      </c>
      <c r="H2609">
        <v>47</v>
      </c>
      <c r="I2609">
        <f>ROUND(CompilDonnées[[#This Row],[CultureDuration_days]]/7,0)</f>
        <v>7</v>
      </c>
      <c r="J2609">
        <v>3003</v>
      </c>
      <c r="K2609" t="str">
        <f>_xlfn.CONCAT(WEEKNUM(CompilDonnées[[#This Row],[PlantationDate]]), " ", YEAR(CompilDonnées[[#This Row],[PlantationDate]]))</f>
        <v>17 2025</v>
      </c>
      <c r="L2609" t="str">
        <f>CONCATENATE(MONTH(CompilDonnées[[#This Row],[PlantationDate]])," ", YEAR(CompilDonnées[[#This Row],[PlantationDate]]))</f>
        <v>4 2025</v>
      </c>
      <c r="M2609" t="str">
        <f>CONCATENATE(MONTH(CompilDonnées[[#This Row],[HarvestingDate]])," ", YEAR(CompilDonnées[[#This Row],[HarvestingDate]]))</f>
        <v>6 2025</v>
      </c>
      <c r="N2609">
        <f>_xlfn.NUMBERVALUE(CompilDonnées[[#This Row],[FarmID]]&amp;CompilDonnées[[#This Row],[ModuleNumber]]&amp;CompilDonnées[[#This Row],[PlantationDate]])</f>
        <v>107145772</v>
      </c>
      <c r="O2609" t="str">
        <f>CompilDonnées[[#This Row],[FarmID]]&amp;CompilDonnées[[#This Row],[ModuleNumber]]</f>
        <v>1071</v>
      </c>
      <c r="P2609" t="str">
        <f>CompilDonnées[[#This Row],[Ref_Module]]&amp;CompilDonnées[[#This Row],[HarvestingDate]]</f>
        <v>107145819</v>
      </c>
    </row>
    <row r="2610" spans="1:16">
      <c r="A2610" s="5">
        <v>45772</v>
      </c>
      <c r="B2610">
        <v>110</v>
      </c>
      <c r="C2610" t="s">
        <v>14</v>
      </c>
      <c r="D2610">
        <v>6</v>
      </c>
      <c r="E2610">
        <v>100</v>
      </c>
      <c r="F2610" t="s">
        <v>1</v>
      </c>
      <c r="G2610" s="6">
        <v>45818</v>
      </c>
      <c r="H2610">
        <v>46</v>
      </c>
      <c r="I2610">
        <f>ROUND(CompilDonnées[[#This Row],[CultureDuration_days]]/7,0)</f>
        <v>7</v>
      </c>
      <c r="J2610">
        <v>3382</v>
      </c>
      <c r="K2610" t="str">
        <f>_xlfn.CONCAT(WEEKNUM(CompilDonnées[[#This Row],[PlantationDate]]), " ", YEAR(CompilDonnées[[#This Row],[PlantationDate]]))</f>
        <v>17 2025</v>
      </c>
      <c r="L2610" t="str">
        <f>CONCATENATE(MONTH(CompilDonnées[[#This Row],[PlantationDate]])," ", YEAR(CompilDonnées[[#This Row],[PlantationDate]]))</f>
        <v>4 2025</v>
      </c>
      <c r="M2610" t="str">
        <f>CONCATENATE(MONTH(CompilDonnées[[#This Row],[HarvestingDate]])," ", YEAR(CompilDonnées[[#This Row],[HarvestingDate]]))</f>
        <v>6 2025</v>
      </c>
      <c r="N2610">
        <f>_xlfn.NUMBERVALUE(CompilDonnées[[#This Row],[FarmID]]&amp;CompilDonnées[[#This Row],[ModuleNumber]]&amp;CompilDonnées[[#This Row],[PlantationDate]])</f>
        <v>110645772</v>
      </c>
      <c r="O2610" t="str">
        <f>CompilDonnées[[#This Row],[FarmID]]&amp;CompilDonnées[[#This Row],[ModuleNumber]]</f>
        <v>1106</v>
      </c>
      <c r="P2610" t="str">
        <f>CompilDonnées[[#This Row],[Ref_Module]]&amp;CompilDonnées[[#This Row],[HarvestingDate]]</f>
        <v>110645818</v>
      </c>
    </row>
    <row r="2611" spans="1:16">
      <c r="A2611" s="5">
        <v>45772</v>
      </c>
      <c r="B2611">
        <v>122</v>
      </c>
      <c r="C2611" t="s">
        <v>3</v>
      </c>
      <c r="D2611">
        <v>1</v>
      </c>
      <c r="E2611">
        <v>60</v>
      </c>
      <c r="F2611" t="s">
        <v>105</v>
      </c>
      <c r="G2611" s="6">
        <v>45838</v>
      </c>
      <c r="H2611">
        <v>66</v>
      </c>
      <c r="I2611">
        <f>ROUND(CompilDonnées[[#This Row],[CultureDuration_days]]/7,0)</f>
        <v>9</v>
      </c>
      <c r="J2611">
        <v>500</v>
      </c>
      <c r="K2611" t="str">
        <f>_xlfn.CONCAT(WEEKNUM(CompilDonnées[[#This Row],[PlantationDate]]), " ", YEAR(CompilDonnées[[#This Row],[PlantationDate]]))</f>
        <v>17 2025</v>
      </c>
      <c r="L2611" t="str">
        <f>CONCATENATE(MONTH(CompilDonnées[[#This Row],[PlantationDate]])," ", YEAR(CompilDonnées[[#This Row],[PlantationDate]]))</f>
        <v>4 2025</v>
      </c>
      <c r="M2611" t="str">
        <f>CONCATENATE(MONTH(CompilDonnées[[#This Row],[HarvestingDate]])," ", YEAR(CompilDonnées[[#This Row],[HarvestingDate]]))</f>
        <v>6 2025</v>
      </c>
      <c r="N2611">
        <f>_xlfn.NUMBERVALUE(CompilDonnées[[#This Row],[FarmID]]&amp;CompilDonnées[[#This Row],[ModuleNumber]]&amp;CompilDonnées[[#This Row],[PlantationDate]])</f>
        <v>122145772</v>
      </c>
      <c r="O2611" t="str">
        <f>CompilDonnées[[#This Row],[FarmID]]&amp;CompilDonnées[[#This Row],[ModuleNumber]]</f>
        <v>1221</v>
      </c>
      <c r="P2611" t="str">
        <f>CompilDonnées[[#This Row],[Ref_Module]]&amp;CompilDonnées[[#This Row],[HarvestingDate]]</f>
        <v>122145838</v>
      </c>
    </row>
    <row r="2612" spans="1:16">
      <c r="A2612" s="5">
        <v>45772</v>
      </c>
      <c r="B2612">
        <v>123</v>
      </c>
      <c r="C2612" t="s">
        <v>13</v>
      </c>
      <c r="D2612">
        <v>4</v>
      </c>
      <c r="E2612">
        <v>100</v>
      </c>
      <c r="F2612" t="s">
        <v>1</v>
      </c>
      <c r="G2612" s="6">
        <v>45818</v>
      </c>
      <c r="H2612">
        <v>46</v>
      </c>
      <c r="I2612">
        <f>ROUND(CompilDonnées[[#This Row],[CultureDuration_days]]/7,0)</f>
        <v>7</v>
      </c>
      <c r="J2612">
        <v>3195</v>
      </c>
      <c r="K2612" t="str">
        <f>_xlfn.CONCAT(WEEKNUM(CompilDonnées[[#This Row],[PlantationDate]]), " ", YEAR(CompilDonnées[[#This Row],[PlantationDate]]))</f>
        <v>17 2025</v>
      </c>
      <c r="L2612" t="str">
        <f>CONCATENATE(MONTH(CompilDonnées[[#This Row],[PlantationDate]])," ", YEAR(CompilDonnées[[#This Row],[PlantationDate]]))</f>
        <v>4 2025</v>
      </c>
      <c r="M2612" t="str">
        <f>CONCATENATE(MONTH(CompilDonnées[[#This Row],[HarvestingDate]])," ", YEAR(CompilDonnées[[#This Row],[HarvestingDate]]))</f>
        <v>6 2025</v>
      </c>
      <c r="N2612">
        <f>_xlfn.NUMBERVALUE(CompilDonnées[[#This Row],[FarmID]]&amp;CompilDonnées[[#This Row],[ModuleNumber]]&amp;CompilDonnées[[#This Row],[PlantationDate]])</f>
        <v>123445772</v>
      </c>
      <c r="O2612" t="str">
        <f>CompilDonnées[[#This Row],[FarmID]]&amp;CompilDonnées[[#This Row],[ModuleNumber]]</f>
        <v>1234</v>
      </c>
      <c r="P2612" t="str">
        <f>CompilDonnées[[#This Row],[Ref_Module]]&amp;CompilDonnées[[#This Row],[HarvestingDate]]</f>
        <v>123445818</v>
      </c>
    </row>
    <row r="2613" spans="1:16">
      <c r="A2613" s="5">
        <v>45772</v>
      </c>
      <c r="B2613">
        <v>123</v>
      </c>
      <c r="C2613" t="s">
        <v>13</v>
      </c>
      <c r="D2613">
        <v>5</v>
      </c>
      <c r="E2613">
        <v>100</v>
      </c>
      <c r="F2613" t="s">
        <v>1</v>
      </c>
      <c r="G2613" s="6">
        <v>45818</v>
      </c>
      <c r="H2613">
        <v>46</v>
      </c>
      <c r="I2613">
        <f>ROUND(CompilDonnées[[#This Row],[CultureDuration_days]]/7,0)</f>
        <v>7</v>
      </c>
      <c r="J2613">
        <v>3091</v>
      </c>
      <c r="K2613" t="str">
        <f>_xlfn.CONCAT(WEEKNUM(CompilDonnées[[#This Row],[PlantationDate]]), " ", YEAR(CompilDonnées[[#This Row],[PlantationDate]]))</f>
        <v>17 2025</v>
      </c>
      <c r="L2613" t="str">
        <f>CONCATENATE(MONTH(CompilDonnées[[#This Row],[PlantationDate]])," ", YEAR(CompilDonnées[[#This Row],[PlantationDate]]))</f>
        <v>4 2025</v>
      </c>
      <c r="M2613" t="str">
        <f>CONCATENATE(MONTH(CompilDonnées[[#This Row],[HarvestingDate]])," ", YEAR(CompilDonnées[[#This Row],[HarvestingDate]]))</f>
        <v>6 2025</v>
      </c>
      <c r="N2613">
        <f>_xlfn.NUMBERVALUE(CompilDonnées[[#This Row],[FarmID]]&amp;CompilDonnées[[#This Row],[ModuleNumber]]&amp;CompilDonnées[[#This Row],[PlantationDate]])</f>
        <v>123545772</v>
      </c>
      <c r="O2613" t="str">
        <f>CompilDonnées[[#This Row],[FarmID]]&amp;CompilDonnées[[#This Row],[ModuleNumber]]</f>
        <v>1235</v>
      </c>
      <c r="P2613" t="str">
        <f>CompilDonnées[[#This Row],[Ref_Module]]&amp;CompilDonnées[[#This Row],[HarvestingDate]]</f>
        <v>123545818</v>
      </c>
    </row>
    <row r="2614" spans="1:16">
      <c r="A2614" s="5">
        <v>45772</v>
      </c>
      <c r="B2614">
        <v>130</v>
      </c>
      <c r="C2614" t="s">
        <v>3</v>
      </c>
      <c r="D2614">
        <v>2</v>
      </c>
      <c r="E2614">
        <v>60</v>
      </c>
      <c r="F2614" t="s">
        <v>105</v>
      </c>
      <c r="G2614" s="6">
        <v>45819</v>
      </c>
      <c r="H2614">
        <v>47</v>
      </c>
      <c r="I2614">
        <f>ROUND(CompilDonnées[[#This Row],[CultureDuration_days]]/7,0)</f>
        <v>7</v>
      </c>
      <c r="J2614">
        <v>1005</v>
      </c>
      <c r="K2614" t="str">
        <f>_xlfn.CONCAT(WEEKNUM(CompilDonnées[[#This Row],[PlantationDate]]), " ", YEAR(CompilDonnées[[#This Row],[PlantationDate]]))</f>
        <v>17 2025</v>
      </c>
      <c r="L2614" t="str">
        <f>CONCATENATE(MONTH(CompilDonnées[[#This Row],[PlantationDate]])," ", YEAR(CompilDonnées[[#This Row],[PlantationDate]]))</f>
        <v>4 2025</v>
      </c>
      <c r="M2614" t="str">
        <f>CONCATENATE(MONTH(CompilDonnées[[#This Row],[HarvestingDate]])," ", YEAR(CompilDonnées[[#This Row],[HarvestingDate]]))</f>
        <v>6 2025</v>
      </c>
      <c r="N2614">
        <f>_xlfn.NUMBERVALUE(CompilDonnées[[#This Row],[FarmID]]&amp;CompilDonnées[[#This Row],[ModuleNumber]]&amp;CompilDonnées[[#This Row],[PlantationDate]])</f>
        <v>130245772</v>
      </c>
      <c r="O2614" t="str">
        <f>CompilDonnées[[#This Row],[FarmID]]&amp;CompilDonnées[[#This Row],[ModuleNumber]]</f>
        <v>1302</v>
      </c>
      <c r="P2614" t="str">
        <f>CompilDonnées[[#This Row],[Ref_Module]]&amp;CompilDonnées[[#This Row],[HarvestingDate]]</f>
        <v>130245819</v>
      </c>
    </row>
    <row r="2615" spans="1:16">
      <c r="A2615" s="5">
        <v>45773</v>
      </c>
      <c r="B2615">
        <v>25</v>
      </c>
      <c r="C2615" t="s">
        <v>100</v>
      </c>
      <c r="D2615">
        <v>1</v>
      </c>
      <c r="E2615">
        <v>100</v>
      </c>
      <c r="F2615" t="s">
        <v>1</v>
      </c>
      <c r="G2615" s="6">
        <v>45821</v>
      </c>
      <c r="H2615">
        <v>48</v>
      </c>
      <c r="I2615">
        <f>ROUND(CompilDonnées[[#This Row],[CultureDuration_days]]/7,0)</f>
        <v>7</v>
      </c>
      <c r="J2615">
        <v>4100</v>
      </c>
      <c r="K2615" t="str">
        <f>_xlfn.CONCAT(WEEKNUM(CompilDonnées[[#This Row],[PlantationDate]]), " ", YEAR(CompilDonnées[[#This Row],[PlantationDate]]))</f>
        <v>17 2025</v>
      </c>
      <c r="L2615" t="str">
        <f>CONCATENATE(MONTH(CompilDonnées[[#This Row],[PlantationDate]])," ", YEAR(CompilDonnées[[#This Row],[PlantationDate]]))</f>
        <v>4 2025</v>
      </c>
      <c r="M2615" t="str">
        <f>CONCATENATE(MONTH(CompilDonnées[[#This Row],[HarvestingDate]])," ", YEAR(CompilDonnées[[#This Row],[HarvestingDate]]))</f>
        <v>6 2025</v>
      </c>
      <c r="N2615">
        <f>_xlfn.NUMBERVALUE(CompilDonnées[[#This Row],[FarmID]]&amp;CompilDonnées[[#This Row],[ModuleNumber]]&amp;CompilDonnées[[#This Row],[PlantationDate]])</f>
        <v>25145773</v>
      </c>
      <c r="O2615" t="str">
        <f>CompilDonnées[[#This Row],[FarmID]]&amp;CompilDonnées[[#This Row],[ModuleNumber]]</f>
        <v>251</v>
      </c>
      <c r="P2615" t="str">
        <f>CompilDonnées[[#This Row],[Ref_Module]]&amp;CompilDonnées[[#This Row],[HarvestingDate]]</f>
        <v>25145821</v>
      </c>
    </row>
    <row r="2616" spans="1:16">
      <c r="A2616" s="5">
        <v>45773</v>
      </c>
      <c r="B2616">
        <v>33</v>
      </c>
      <c r="C2616" t="s">
        <v>104</v>
      </c>
      <c r="D2616">
        <v>3</v>
      </c>
      <c r="E2616">
        <v>100</v>
      </c>
      <c r="F2616" t="s">
        <v>1</v>
      </c>
      <c r="G2616" s="6">
        <v>45811</v>
      </c>
      <c r="H2616">
        <v>38</v>
      </c>
      <c r="I2616">
        <f>ROUND(CompilDonnées[[#This Row],[CultureDuration_days]]/7,0)</f>
        <v>5</v>
      </c>
      <c r="J2616">
        <v>3198</v>
      </c>
      <c r="K2616" t="str">
        <f>_xlfn.CONCAT(WEEKNUM(CompilDonnées[[#This Row],[PlantationDate]]), " ", YEAR(CompilDonnées[[#This Row],[PlantationDate]]))</f>
        <v>17 2025</v>
      </c>
      <c r="L2616" t="str">
        <f>CONCATENATE(MONTH(CompilDonnées[[#This Row],[PlantationDate]])," ", YEAR(CompilDonnées[[#This Row],[PlantationDate]]))</f>
        <v>4 2025</v>
      </c>
      <c r="M2616" t="str">
        <f>CONCATENATE(MONTH(CompilDonnées[[#This Row],[HarvestingDate]])," ", YEAR(CompilDonnées[[#This Row],[HarvestingDate]]))</f>
        <v>6 2025</v>
      </c>
      <c r="N2616">
        <f>_xlfn.NUMBERVALUE(CompilDonnées[[#This Row],[FarmID]]&amp;CompilDonnées[[#This Row],[ModuleNumber]]&amp;CompilDonnées[[#This Row],[PlantationDate]])</f>
        <v>33345773</v>
      </c>
      <c r="O2616" t="str">
        <f>CompilDonnées[[#This Row],[FarmID]]&amp;CompilDonnées[[#This Row],[ModuleNumber]]</f>
        <v>333</v>
      </c>
      <c r="P2616" t="str">
        <f>CompilDonnées[[#This Row],[Ref_Module]]&amp;CompilDonnées[[#This Row],[HarvestingDate]]</f>
        <v>33345811</v>
      </c>
    </row>
    <row r="2617" spans="1:16">
      <c r="A2617" s="5">
        <v>45773</v>
      </c>
      <c r="B2617">
        <v>33</v>
      </c>
      <c r="C2617" t="s">
        <v>104</v>
      </c>
      <c r="D2617">
        <v>4</v>
      </c>
      <c r="E2617">
        <v>100</v>
      </c>
      <c r="F2617" t="s">
        <v>1</v>
      </c>
      <c r="G2617" s="6">
        <v>45807</v>
      </c>
      <c r="H2617">
        <v>34</v>
      </c>
      <c r="I2617">
        <f>ROUND(CompilDonnées[[#This Row],[CultureDuration_days]]/7,0)</f>
        <v>5</v>
      </c>
      <c r="J2617">
        <v>2507</v>
      </c>
      <c r="K2617" t="str">
        <f>_xlfn.CONCAT(WEEKNUM(CompilDonnées[[#This Row],[PlantationDate]]), " ", YEAR(CompilDonnées[[#This Row],[PlantationDate]]))</f>
        <v>17 2025</v>
      </c>
      <c r="L2617" t="str">
        <f>CONCATENATE(MONTH(CompilDonnées[[#This Row],[PlantationDate]])," ", YEAR(CompilDonnées[[#This Row],[PlantationDate]]))</f>
        <v>4 2025</v>
      </c>
      <c r="M2617" t="str">
        <f>CONCATENATE(MONTH(CompilDonnées[[#This Row],[HarvestingDate]])," ", YEAR(CompilDonnées[[#This Row],[HarvestingDate]]))</f>
        <v>5 2025</v>
      </c>
      <c r="N2617">
        <f>_xlfn.NUMBERVALUE(CompilDonnées[[#This Row],[FarmID]]&amp;CompilDonnées[[#This Row],[ModuleNumber]]&amp;CompilDonnées[[#This Row],[PlantationDate]])</f>
        <v>33445773</v>
      </c>
      <c r="O2617" t="str">
        <f>CompilDonnées[[#This Row],[FarmID]]&amp;CompilDonnées[[#This Row],[ModuleNumber]]</f>
        <v>334</v>
      </c>
      <c r="P2617" t="str">
        <f>CompilDonnées[[#This Row],[Ref_Module]]&amp;CompilDonnées[[#This Row],[HarvestingDate]]</f>
        <v>33445807</v>
      </c>
    </row>
    <row r="2618" spans="1:16">
      <c r="A2618" s="5">
        <v>45773</v>
      </c>
      <c r="B2618">
        <v>46</v>
      </c>
      <c r="C2618" t="s">
        <v>8</v>
      </c>
      <c r="D2618">
        <v>1</v>
      </c>
      <c r="E2618">
        <v>100</v>
      </c>
      <c r="F2618" t="s">
        <v>1</v>
      </c>
      <c r="G2618" s="6">
        <v>45821</v>
      </c>
      <c r="H2618">
        <v>48</v>
      </c>
      <c r="I2618">
        <f>ROUND(CompilDonnées[[#This Row],[CultureDuration_days]]/7,0)</f>
        <v>7</v>
      </c>
      <c r="J2618">
        <v>4024</v>
      </c>
      <c r="K2618" t="str">
        <f>_xlfn.CONCAT(WEEKNUM(CompilDonnées[[#This Row],[PlantationDate]]), " ", YEAR(CompilDonnées[[#This Row],[PlantationDate]]))</f>
        <v>17 2025</v>
      </c>
      <c r="L2618" t="str">
        <f>CONCATENATE(MONTH(CompilDonnées[[#This Row],[PlantationDate]])," ", YEAR(CompilDonnées[[#This Row],[PlantationDate]]))</f>
        <v>4 2025</v>
      </c>
      <c r="M2618" t="str">
        <f>CONCATENATE(MONTH(CompilDonnées[[#This Row],[HarvestingDate]])," ", YEAR(CompilDonnées[[#This Row],[HarvestingDate]]))</f>
        <v>6 2025</v>
      </c>
      <c r="N2618">
        <f>_xlfn.NUMBERVALUE(CompilDonnées[[#This Row],[FarmID]]&amp;CompilDonnées[[#This Row],[ModuleNumber]]&amp;CompilDonnées[[#This Row],[PlantationDate]])</f>
        <v>46145773</v>
      </c>
      <c r="O2618" t="str">
        <f>CompilDonnées[[#This Row],[FarmID]]&amp;CompilDonnées[[#This Row],[ModuleNumber]]</f>
        <v>461</v>
      </c>
      <c r="P2618" t="str">
        <f>CompilDonnées[[#This Row],[Ref_Module]]&amp;CompilDonnées[[#This Row],[HarvestingDate]]</f>
        <v>46145821</v>
      </c>
    </row>
    <row r="2619" spans="1:16">
      <c r="A2619" s="5">
        <v>45773</v>
      </c>
      <c r="B2619">
        <v>71</v>
      </c>
      <c r="C2619" t="s">
        <v>19</v>
      </c>
      <c r="D2619">
        <v>5</v>
      </c>
      <c r="E2619">
        <v>100</v>
      </c>
      <c r="F2619" t="s">
        <v>1</v>
      </c>
      <c r="G2619" s="6">
        <v>45819</v>
      </c>
      <c r="H2619">
        <v>46</v>
      </c>
      <c r="I2619">
        <f>ROUND(CompilDonnées[[#This Row],[CultureDuration_days]]/7,0)</f>
        <v>7</v>
      </c>
      <c r="J2619">
        <v>3318</v>
      </c>
      <c r="K2619" t="str">
        <f>_xlfn.CONCAT(WEEKNUM(CompilDonnées[[#This Row],[PlantationDate]]), " ", YEAR(CompilDonnées[[#This Row],[PlantationDate]]))</f>
        <v>17 2025</v>
      </c>
      <c r="L2619" t="str">
        <f>CONCATENATE(MONTH(CompilDonnées[[#This Row],[PlantationDate]])," ", YEAR(CompilDonnées[[#This Row],[PlantationDate]]))</f>
        <v>4 2025</v>
      </c>
      <c r="M2619" t="str">
        <f>CONCATENATE(MONTH(CompilDonnées[[#This Row],[HarvestingDate]])," ", YEAR(CompilDonnées[[#This Row],[HarvestingDate]]))</f>
        <v>6 2025</v>
      </c>
      <c r="N2619">
        <f>_xlfn.NUMBERVALUE(CompilDonnées[[#This Row],[FarmID]]&amp;CompilDonnées[[#This Row],[ModuleNumber]]&amp;CompilDonnées[[#This Row],[PlantationDate]])</f>
        <v>71545773</v>
      </c>
      <c r="O2619" t="str">
        <f>CompilDonnées[[#This Row],[FarmID]]&amp;CompilDonnées[[#This Row],[ModuleNumber]]</f>
        <v>715</v>
      </c>
      <c r="P2619" t="str">
        <f>CompilDonnées[[#This Row],[Ref_Module]]&amp;CompilDonnées[[#This Row],[HarvestingDate]]</f>
        <v>71545819</v>
      </c>
    </row>
    <row r="2620" spans="1:16">
      <c r="A2620" s="5">
        <v>45773</v>
      </c>
      <c r="B2620">
        <v>108</v>
      </c>
      <c r="C2620" t="s">
        <v>58</v>
      </c>
      <c r="D2620">
        <v>1</v>
      </c>
      <c r="E2620">
        <v>100</v>
      </c>
      <c r="F2620" t="s">
        <v>1</v>
      </c>
      <c r="G2620" s="6">
        <v>45818</v>
      </c>
      <c r="H2620">
        <v>45</v>
      </c>
      <c r="I2620">
        <f>ROUND(CompilDonnées[[#This Row],[CultureDuration_days]]/7,0)</f>
        <v>6</v>
      </c>
      <c r="J2620">
        <v>3095</v>
      </c>
      <c r="K2620" t="str">
        <f>_xlfn.CONCAT(WEEKNUM(CompilDonnées[[#This Row],[PlantationDate]]), " ", YEAR(CompilDonnées[[#This Row],[PlantationDate]]))</f>
        <v>17 2025</v>
      </c>
      <c r="L2620" t="str">
        <f>CONCATENATE(MONTH(CompilDonnées[[#This Row],[PlantationDate]])," ", YEAR(CompilDonnées[[#This Row],[PlantationDate]]))</f>
        <v>4 2025</v>
      </c>
      <c r="M2620" t="str">
        <f>CONCATENATE(MONTH(CompilDonnées[[#This Row],[HarvestingDate]])," ", YEAR(CompilDonnées[[#This Row],[HarvestingDate]]))</f>
        <v>6 2025</v>
      </c>
      <c r="N2620">
        <f>_xlfn.NUMBERVALUE(CompilDonnées[[#This Row],[FarmID]]&amp;CompilDonnées[[#This Row],[ModuleNumber]]&amp;CompilDonnées[[#This Row],[PlantationDate]])</f>
        <v>108145773</v>
      </c>
      <c r="O2620" t="str">
        <f>CompilDonnées[[#This Row],[FarmID]]&amp;CompilDonnées[[#This Row],[ModuleNumber]]</f>
        <v>1081</v>
      </c>
      <c r="P2620" t="str">
        <f>CompilDonnées[[#This Row],[Ref_Module]]&amp;CompilDonnées[[#This Row],[HarvestingDate]]</f>
        <v>108145818</v>
      </c>
    </row>
    <row r="2621" spans="1:16">
      <c r="A2621" s="5">
        <v>45773</v>
      </c>
      <c r="B2621">
        <v>112</v>
      </c>
      <c r="C2621" t="s">
        <v>15</v>
      </c>
      <c r="D2621">
        <v>1</v>
      </c>
      <c r="E2621">
        <v>100</v>
      </c>
      <c r="F2621" t="s">
        <v>1</v>
      </c>
      <c r="G2621" s="6">
        <v>45818</v>
      </c>
      <c r="H2621">
        <v>45</v>
      </c>
      <c r="I2621">
        <f>ROUND(CompilDonnées[[#This Row],[CultureDuration_days]]/7,0)</f>
        <v>6</v>
      </c>
      <c r="J2621">
        <v>3080</v>
      </c>
      <c r="K2621" t="str">
        <f>_xlfn.CONCAT(WEEKNUM(CompilDonnées[[#This Row],[PlantationDate]]), " ", YEAR(CompilDonnées[[#This Row],[PlantationDate]]))</f>
        <v>17 2025</v>
      </c>
      <c r="L2621" t="str">
        <f>CONCATENATE(MONTH(CompilDonnées[[#This Row],[PlantationDate]])," ", YEAR(CompilDonnées[[#This Row],[PlantationDate]]))</f>
        <v>4 2025</v>
      </c>
      <c r="M2621" t="str">
        <f>CONCATENATE(MONTH(CompilDonnées[[#This Row],[HarvestingDate]])," ", YEAR(CompilDonnées[[#This Row],[HarvestingDate]]))</f>
        <v>6 2025</v>
      </c>
      <c r="N2621">
        <f>_xlfn.NUMBERVALUE(CompilDonnées[[#This Row],[FarmID]]&amp;CompilDonnées[[#This Row],[ModuleNumber]]&amp;CompilDonnées[[#This Row],[PlantationDate]])</f>
        <v>112145773</v>
      </c>
      <c r="O2621" t="str">
        <f>CompilDonnées[[#This Row],[FarmID]]&amp;CompilDonnées[[#This Row],[ModuleNumber]]</f>
        <v>1121</v>
      </c>
      <c r="P2621" t="str">
        <f>CompilDonnées[[#This Row],[Ref_Module]]&amp;CompilDonnées[[#This Row],[HarvestingDate]]</f>
        <v>112145818</v>
      </c>
    </row>
    <row r="2622" spans="1:16">
      <c r="A2622" s="5">
        <v>45773</v>
      </c>
      <c r="B2622">
        <v>113</v>
      </c>
      <c r="C2622" t="s">
        <v>16</v>
      </c>
      <c r="D2622">
        <v>2</v>
      </c>
      <c r="E2622">
        <v>100</v>
      </c>
      <c r="F2622" t="s">
        <v>1</v>
      </c>
      <c r="G2622" s="6">
        <v>45814</v>
      </c>
      <c r="H2622">
        <v>41</v>
      </c>
      <c r="I2622">
        <f>ROUND(CompilDonnées[[#This Row],[CultureDuration_days]]/7,0)</f>
        <v>6</v>
      </c>
      <c r="J2622">
        <v>2991</v>
      </c>
      <c r="K2622" t="str">
        <f>_xlfn.CONCAT(WEEKNUM(CompilDonnées[[#This Row],[PlantationDate]]), " ", YEAR(CompilDonnées[[#This Row],[PlantationDate]]))</f>
        <v>17 2025</v>
      </c>
      <c r="L2622" t="str">
        <f>CONCATENATE(MONTH(CompilDonnées[[#This Row],[PlantationDate]])," ", YEAR(CompilDonnées[[#This Row],[PlantationDate]]))</f>
        <v>4 2025</v>
      </c>
      <c r="M2622" t="str">
        <f>CONCATENATE(MONTH(CompilDonnées[[#This Row],[HarvestingDate]])," ", YEAR(CompilDonnées[[#This Row],[HarvestingDate]]))</f>
        <v>6 2025</v>
      </c>
      <c r="N2622">
        <f>_xlfn.NUMBERVALUE(CompilDonnées[[#This Row],[FarmID]]&amp;CompilDonnées[[#This Row],[ModuleNumber]]&amp;CompilDonnées[[#This Row],[PlantationDate]])</f>
        <v>113245773</v>
      </c>
      <c r="O2622" t="str">
        <f>CompilDonnées[[#This Row],[FarmID]]&amp;CompilDonnées[[#This Row],[ModuleNumber]]</f>
        <v>1132</v>
      </c>
      <c r="P2622" t="str">
        <f>CompilDonnées[[#This Row],[Ref_Module]]&amp;CompilDonnées[[#This Row],[HarvestingDate]]</f>
        <v>113245814</v>
      </c>
    </row>
    <row r="2623" spans="1:16">
      <c r="A2623" s="5">
        <v>45773</v>
      </c>
      <c r="B2623">
        <v>115</v>
      </c>
      <c r="C2623" t="s">
        <v>121</v>
      </c>
      <c r="D2623">
        <v>3</v>
      </c>
      <c r="E2623">
        <v>100</v>
      </c>
      <c r="F2623" t="s">
        <v>1</v>
      </c>
      <c r="G2623" s="6">
        <v>45818</v>
      </c>
      <c r="H2623">
        <v>45</v>
      </c>
      <c r="I2623">
        <f>ROUND(CompilDonnées[[#This Row],[CultureDuration_days]]/7,0)</f>
        <v>6</v>
      </c>
      <c r="J2623">
        <v>3060</v>
      </c>
      <c r="K2623" t="str">
        <f>_xlfn.CONCAT(WEEKNUM(CompilDonnées[[#This Row],[PlantationDate]]), " ", YEAR(CompilDonnées[[#This Row],[PlantationDate]]))</f>
        <v>17 2025</v>
      </c>
      <c r="L2623" t="str">
        <f>CONCATENATE(MONTH(CompilDonnées[[#This Row],[PlantationDate]])," ", YEAR(CompilDonnées[[#This Row],[PlantationDate]]))</f>
        <v>4 2025</v>
      </c>
      <c r="M2623" t="str">
        <f>CONCATENATE(MONTH(CompilDonnées[[#This Row],[HarvestingDate]])," ", YEAR(CompilDonnées[[#This Row],[HarvestingDate]]))</f>
        <v>6 2025</v>
      </c>
      <c r="N2623">
        <f>_xlfn.NUMBERVALUE(CompilDonnées[[#This Row],[FarmID]]&amp;CompilDonnées[[#This Row],[ModuleNumber]]&amp;CompilDonnées[[#This Row],[PlantationDate]])</f>
        <v>115345773</v>
      </c>
      <c r="O2623" t="str">
        <f>CompilDonnées[[#This Row],[FarmID]]&amp;CompilDonnées[[#This Row],[ModuleNumber]]</f>
        <v>1153</v>
      </c>
      <c r="P2623" t="str">
        <f>CompilDonnées[[#This Row],[Ref_Module]]&amp;CompilDonnées[[#This Row],[HarvestingDate]]</f>
        <v>115345818</v>
      </c>
    </row>
    <row r="2624" spans="1:16">
      <c r="A2624" s="5">
        <v>45773</v>
      </c>
      <c r="B2624">
        <v>116</v>
      </c>
      <c r="C2624" t="s">
        <v>76</v>
      </c>
      <c r="D2624">
        <v>1</v>
      </c>
      <c r="E2624">
        <v>100</v>
      </c>
      <c r="F2624" t="s">
        <v>1</v>
      </c>
      <c r="G2624" s="6">
        <v>45819</v>
      </c>
      <c r="H2624">
        <v>46</v>
      </c>
      <c r="I2624">
        <f>ROUND(CompilDonnées[[#This Row],[CultureDuration_days]]/7,0)</f>
        <v>7</v>
      </c>
      <c r="J2624">
        <v>3021</v>
      </c>
      <c r="K2624" t="str">
        <f>_xlfn.CONCAT(WEEKNUM(CompilDonnées[[#This Row],[PlantationDate]]), " ", YEAR(CompilDonnées[[#This Row],[PlantationDate]]))</f>
        <v>17 2025</v>
      </c>
      <c r="L2624" t="str">
        <f>CONCATENATE(MONTH(CompilDonnées[[#This Row],[PlantationDate]])," ", YEAR(CompilDonnées[[#This Row],[PlantationDate]]))</f>
        <v>4 2025</v>
      </c>
      <c r="M2624" t="str">
        <f>CONCATENATE(MONTH(CompilDonnées[[#This Row],[HarvestingDate]])," ", YEAR(CompilDonnées[[#This Row],[HarvestingDate]]))</f>
        <v>6 2025</v>
      </c>
      <c r="N2624">
        <f>_xlfn.NUMBERVALUE(CompilDonnées[[#This Row],[FarmID]]&amp;CompilDonnées[[#This Row],[ModuleNumber]]&amp;CompilDonnées[[#This Row],[PlantationDate]])</f>
        <v>116145773</v>
      </c>
      <c r="O2624" t="str">
        <f>CompilDonnées[[#This Row],[FarmID]]&amp;CompilDonnées[[#This Row],[ModuleNumber]]</f>
        <v>1161</v>
      </c>
      <c r="P2624" t="str">
        <f>CompilDonnées[[#This Row],[Ref_Module]]&amp;CompilDonnées[[#This Row],[HarvestingDate]]</f>
        <v>116145819</v>
      </c>
    </row>
    <row r="2625" spans="1:16">
      <c r="A2625" s="5">
        <v>45773</v>
      </c>
      <c r="B2625">
        <v>117</v>
      </c>
      <c r="C2625" t="s">
        <v>11</v>
      </c>
      <c r="D2625">
        <v>4</v>
      </c>
      <c r="E2625">
        <v>100</v>
      </c>
      <c r="F2625" t="s">
        <v>1</v>
      </c>
      <c r="G2625" s="6">
        <v>45818</v>
      </c>
      <c r="H2625">
        <v>45</v>
      </c>
      <c r="I2625">
        <f>ROUND(CompilDonnées[[#This Row],[CultureDuration_days]]/7,0)</f>
        <v>6</v>
      </c>
      <c r="J2625">
        <v>3411</v>
      </c>
      <c r="K2625" t="str">
        <f>_xlfn.CONCAT(WEEKNUM(CompilDonnées[[#This Row],[PlantationDate]]), " ", YEAR(CompilDonnées[[#This Row],[PlantationDate]]))</f>
        <v>17 2025</v>
      </c>
      <c r="L2625" t="str">
        <f>CONCATENATE(MONTH(CompilDonnées[[#This Row],[PlantationDate]])," ", YEAR(CompilDonnées[[#This Row],[PlantationDate]]))</f>
        <v>4 2025</v>
      </c>
      <c r="M2625" t="str">
        <f>CONCATENATE(MONTH(CompilDonnées[[#This Row],[HarvestingDate]])," ", YEAR(CompilDonnées[[#This Row],[HarvestingDate]]))</f>
        <v>6 2025</v>
      </c>
      <c r="N2625">
        <f>_xlfn.NUMBERVALUE(CompilDonnées[[#This Row],[FarmID]]&amp;CompilDonnées[[#This Row],[ModuleNumber]]&amp;CompilDonnées[[#This Row],[PlantationDate]])</f>
        <v>117445773</v>
      </c>
      <c r="O2625" t="str">
        <f>CompilDonnées[[#This Row],[FarmID]]&amp;CompilDonnées[[#This Row],[ModuleNumber]]</f>
        <v>1174</v>
      </c>
      <c r="P2625" t="str">
        <f>CompilDonnées[[#This Row],[Ref_Module]]&amp;CompilDonnées[[#This Row],[HarvestingDate]]</f>
        <v>117445818</v>
      </c>
    </row>
    <row r="2626" spans="1:16">
      <c r="A2626" s="5">
        <v>45773</v>
      </c>
      <c r="B2626">
        <v>118</v>
      </c>
      <c r="C2626" t="s">
        <v>51</v>
      </c>
      <c r="D2626">
        <v>5</v>
      </c>
      <c r="E2626">
        <v>100</v>
      </c>
      <c r="F2626" t="s">
        <v>1</v>
      </c>
      <c r="G2626" s="6">
        <v>45818</v>
      </c>
      <c r="H2626">
        <v>45</v>
      </c>
      <c r="I2626">
        <f>ROUND(CompilDonnées[[#This Row],[CultureDuration_days]]/7,0)</f>
        <v>6</v>
      </c>
      <c r="J2626">
        <v>3044</v>
      </c>
      <c r="K2626" t="str">
        <f>_xlfn.CONCAT(WEEKNUM(CompilDonnées[[#This Row],[PlantationDate]]), " ", YEAR(CompilDonnées[[#This Row],[PlantationDate]]))</f>
        <v>17 2025</v>
      </c>
      <c r="L2626" t="str">
        <f>CONCATENATE(MONTH(CompilDonnées[[#This Row],[PlantationDate]])," ", YEAR(CompilDonnées[[#This Row],[PlantationDate]]))</f>
        <v>4 2025</v>
      </c>
      <c r="M2626" t="str">
        <f>CONCATENATE(MONTH(CompilDonnées[[#This Row],[HarvestingDate]])," ", YEAR(CompilDonnées[[#This Row],[HarvestingDate]]))</f>
        <v>6 2025</v>
      </c>
      <c r="N2626">
        <f>_xlfn.NUMBERVALUE(CompilDonnées[[#This Row],[FarmID]]&amp;CompilDonnées[[#This Row],[ModuleNumber]]&amp;CompilDonnées[[#This Row],[PlantationDate]])</f>
        <v>118545773</v>
      </c>
      <c r="O2626" t="str">
        <f>CompilDonnées[[#This Row],[FarmID]]&amp;CompilDonnées[[#This Row],[ModuleNumber]]</f>
        <v>1185</v>
      </c>
      <c r="P2626" t="str">
        <f>CompilDonnées[[#This Row],[Ref_Module]]&amp;CompilDonnées[[#This Row],[HarvestingDate]]</f>
        <v>118545818</v>
      </c>
    </row>
    <row r="2627" spans="1:16">
      <c r="A2627" s="5">
        <v>45773</v>
      </c>
      <c r="B2627">
        <v>119</v>
      </c>
      <c r="C2627" t="s">
        <v>59</v>
      </c>
      <c r="D2627">
        <v>3</v>
      </c>
      <c r="E2627">
        <v>100</v>
      </c>
      <c r="F2627" t="s">
        <v>1</v>
      </c>
      <c r="G2627" s="6">
        <v>45818</v>
      </c>
      <c r="H2627">
        <v>45</v>
      </c>
      <c r="I2627">
        <f>ROUND(CompilDonnées[[#This Row],[CultureDuration_days]]/7,0)</f>
        <v>6</v>
      </c>
      <c r="J2627">
        <v>3081</v>
      </c>
      <c r="K2627" t="str">
        <f>_xlfn.CONCAT(WEEKNUM(CompilDonnées[[#This Row],[PlantationDate]]), " ", YEAR(CompilDonnées[[#This Row],[PlantationDate]]))</f>
        <v>17 2025</v>
      </c>
      <c r="L2627" t="str">
        <f>CONCATENATE(MONTH(CompilDonnées[[#This Row],[PlantationDate]])," ", YEAR(CompilDonnées[[#This Row],[PlantationDate]]))</f>
        <v>4 2025</v>
      </c>
      <c r="M2627" t="str">
        <f>CONCATENATE(MONTH(CompilDonnées[[#This Row],[HarvestingDate]])," ", YEAR(CompilDonnées[[#This Row],[HarvestingDate]]))</f>
        <v>6 2025</v>
      </c>
      <c r="N2627">
        <f>_xlfn.NUMBERVALUE(CompilDonnées[[#This Row],[FarmID]]&amp;CompilDonnées[[#This Row],[ModuleNumber]]&amp;CompilDonnées[[#This Row],[PlantationDate]])</f>
        <v>119345773</v>
      </c>
      <c r="O2627" t="str">
        <f>CompilDonnées[[#This Row],[FarmID]]&amp;CompilDonnées[[#This Row],[ModuleNumber]]</f>
        <v>1193</v>
      </c>
      <c r="P2627" t="str">
        <f>CompilDonnées[[#This Row],[Ref_Module]]&amp;CompilDonnées[[#This Row],[HarvestingDate]]</f>
        <v>119345818</v>
      </c>
    </row>
    <row r="2628" spans="1:16">
      <c r="A2628" s="5">
        <v>45773</v>
      </c>
      <c r="B2628">
        <v>124</v>
      </c>
      <c r="C2628" t="s">
        <v>115</v>
      </c>
      <c r="D2628">
        <v>6</v>
      </c>
      <c r="E2628">
        <v>100</v>
      </c>
      <c r="F2628" t="s">
        <v>1</v>
      </c>
      <c r="G2628" s="6">
        <v>45814</v>
      </c>
      <c r="H2628">
        <v>41</v>
      </c>
      <c r="I2628">
        <f>ROUND(CompilDonnées[[#This Row],[CultureDuration_days]]/7,0)</f>
        <v>6</v>
      </c>
      <c r="J2628">
        <v>3262</v>
      </c>
      <c r="K2628" t="str">
        <f>_xlfn.CONCAT(WEEKNUM(CompilDonnées[[#This Row],[PlantationDate]]), " ", YEAR(CompilDonnées[[#This Row],[PlantationDate]]))</f>
        <v>17 2025</v>
      </c>
      <c r="L2628" t="str">
        <f>CONCATENATE(MONTH(CompilDonnées[[#This Row],[PlantationDate]])," ", YEAR(CompilDonnées[[#This Row],[PlantationDate]]))</f>
        <v>4 2025</v>
      </c>
      <c r="M2628" t="str">
        <f>CONCATENATE(MONTH(CompilDonnées[[#This Row],[HarvestingDate]])," ", YEAR(CompilDonnées[[#This Row],[HarvestingDate]]))</f>
        <v>6 2025</v>
      </c>
      <c r="N2628">
        <f>_xlfn.NUMBERVALUE(CompilDonnées[[#This Row],[FarmID]]&amp;CompilDonnées[[#This Row],[ModuleNumber]]&amp;CompilDonnées[[#This Row],[PlantationDate]])</f>
        <v>124645773</v>
      </c>
      <c r="O2628" t="str">
        <f>CompilDonnées[[#This Row],[FarmID]]&amp;CompilDonnées[[#This Row],[ModuleNumber]]</f>
        <v>1246</v>
      </c>
      <c r="P2628" t="str">
        <f>CompilDonnées[[#This Row],[Ref_Module]]&amp;CompilDonnées[[#This Row],[HarvestingDate]]</f>
        <v>124645814</v>
      </c>
    </row>
    <row r="2629" spans="1:16">
      <c r="A2629" s="5">
        <v>45773</v>
      </c>
      <c r="B2629">
        <v>125</v>
      </c>
      <c r="C2629" t="s">
        <v>101</v>
      </c>
      <c r="D2629">
        <v>1</v>
      </c>
      <c r="E2629">
        <v>100</v>
      </c>
      <c r="F2629" t="s">
        <v>1</v>
      </c>
      <c r="G2629" s="6">
        <v>45818</v>
      </c>
      <c r="H2629">
        <v>45</v>
      </c>
      <c r="I2629">
        <f>ROUND(CompilDonnées[[#This Row],[CultureDuration_days]]/7,0)</f>
        <v>6</v>
      </c>
      <c r="J2629">
        <v>3109</v>
      </c>
      <c r="K2629" t="str">
        <f>_xlfn.CONCAT(WEEKNUM(CompilDonnées[[#This Row],[PlantationDate]]), " ", YEAR(CompilDonnées[[#This Row],[PlantationDate]]))</f>
        <v>17 2025</v>
      </c>
      <c r="L2629" t="str">
        <f>CONCATENATE(MONTH(CompilDonnées[[#This Row],[PlantationDate]])," ", YEAR(CompilDonnées[[#This Row],[PlantationDate]]))</f>
        <v>4 2025</v>
      </c>
      <c r="M2629" t="str">
        <f>CONCATENATE(MONTH(CompilDonnées[[#This Row],[HarvestingDate]])," ", YEAR(CompilDonnées[[#This Row],[HarvestingDate]]))</f>
        <v>6 2025</v>
      </c>
      <c r="N2629">
        <f>_xlfn.NUMBERVALUE(CompilDonnées[[#This Row],[FarmID]]&amp;CompilDonnées[[#This Row],[ModuleNumber]]&amp;CompilDonnées[[#This Row],[PlantationDate]])</f>
        <v>125145773</v>
      </c>
      <c r="O2629" t="str">
        <f>CompilDonnées[[#This Row],[FarmID]]&amp;CompilDonnées[[#This Row],[ModuleNumber]]</f>
        <v>1251</v>
      </c>
      <c r="P2629" t="str">
        <f>CompilDonnées[[#This Row],[Ref_Module]]&amp;CompilDonnées[[#This Row],[HarvestingDate]]</f>
        <v>125145818</v>
      </c>
    </row>
    <row r="2630" spans="1:16">
      <c r="A2630" s="5">
        <v>45773</v>
      </c>
      <c r="B2630">
        <v>125</v>
      </c>
      <c r="C2630" t="s">
        <v>101</v>
      </c>
      <c r="D2630">
        <v>5</v>
      </c>
      <c r="E2630">
        <v>100</v>
      </c>
      <c r="F2630" t="s">
        <v>1</v>
      </c>
      <c r="G2630" s="6">
        <v>45814</v>
      </c>
      <c r="H2630">
        <v>41</v>
      </c>
      <c r="I2630">
        <f>ROUND(CompilDonnées[[#This Row],[CultureDuration_days]]/7,0)</f>
        <v>6</v>
      </c>
      <c r="J2630">
        <v>2728</v>
      </c>
      <c r="K2630" t="str">
        <f>_xlfn.CONCAT(WEEKNUM(CompilDonnées[[#This Row],[PlantationDate]]), " ", YEAR(CompilDonnées[[#This Row],[PlantationDate]]))</f>
        <v>17 2025</v>
      </c>
      <c r="L2630" t="str">
        <f>CONCATENATE(MONTH(CompilDonnées[[#This Row],[PlantationDate]])," ", YEAR(CompilDonnées[[#This Row],[PlantationDate]]))</f>
        <v>4 2025</v>
      </c>
      <c r="M2630" t="str">
        <f>CONCATENATE(MONTH(CompilDonnées[[#This Row],[HarvestingDate]])," ", YEAR(CompilDonnées[[#This Row],[HarvestingDate]]))</f>
        <v>6 2025</v>
      </c>
      <c r="N2630">
        <f>_xlfn.NUMBERVALUE(CompilDonnées[[#This Row],[FarmID]]&amp;CompilDonnées[[#This Row],[ModuleNumber]]&amp;CompilDonnées[[#This Row],[PlantationDate]])</f>
        <v>125545773</v>
      </c>
      <c r="O2630" t="str">
        <f>CompilDonnées[[#This Row],[FarmID]]&amp;CompilDonnées[[#This Row],[ModuleNumber]]</f>
        <v>1255</v>
      </c>
      <c r="P2630" t="str">
        <f>CompilDonnées[[#This Row],[Ref_Module]]&amp;CompilDonnées[[#This Row],[HarvestingDate]]</f>
        <v>125545814</v>
      </c>
    </row>
    <row r="2631" spans="1:16">
      <c r="A2631" s="5">
        <v>45773</v>
      </c>
      <c r="B2631">
        <v>132</v>
      </c>
      <c r="C2631" t="s">
        <v>120</v>
      </c>
      <c r="D2631">
        <v>1</v>
      </c>
      <c r="E2631">
        <v>100</v>
      </c>
      <c r="F2631" t="s">
        <v>1</v>
      </c>
      <c r="G2631" s="6">
        <v>45814</v>
      </c>
      <c r="H2631">
        <v>41</v>
      </c>
      <c r="I2631">
        <f>ROUND(CompilDonnées[[#This Row],[CultureDuration_days]]/7,0)</f>
        <v>6</v>
      </c>
      <c r="J2631">
        <v>3041</v>
      </c>
      <c r="K2631" t="str">
        <f>_xlfn.CONCAT(WEEKNUM(CompilDonnées[[#This Row],[PlantationDate]]), " ", YEAR(CompilDonnées[[#This Row],[PlantationDate]]))</f>
        <v>17 2025</v>
      </c>
      <c r="L2631" t="str">
        <f>CONCATENATE(MONTH(CompilDonnées[[#This Row],[PlantationDate]])," ", YEAR(CompilDonnées[[#This Row],[PlantationDate]]))</f>
        <v>4 2025</v>
      </c>
      <c r="M2631" t="str">
        <f>CONCATENATE(MONTH(CompilDonnées[[#This Row],[HarvestingDate]])," ", YEAR(CompilDonnées[[#This Row],[HarvestingDate]]))</f>
        <v>6 2025</v>
      </c>
      <c r="N2631">
        <f>_xlfn.NUMBERVALUE(CompilDonnées[[#This Row],[FarmID]]&amp;CompilDonnées[[#This Row],[ModuleNumber]]&amp;CompilDonnées[[#This Row],[PlantationDate]])</f>
        <v>132145773</v>
      </c>
      <c r="O2631" t="str">
        <f>CompilDonnées[[#This Row],[FarmID]]&amp;CompilDonnées[[#This Row],[ModuleNumber]]</f>
        <v>1321</v>
      </c>
      <c r="P2631" t="str">
        <f>CompilDonnées[[#This Row],[Ref_Module]]&amp;CompilDonnées[[#This Row],[HarvestingDate]]</f>
        <v>132145814</v>
      </c>
    </row>
    <row r="2632" spans="1:16">
      <c r="A2632" s="5">
        <v>45773</v>
      </c>
      <c r="B2632">
        <v>133</v>
      </c>
      <c r="C2632" t="s">
        <v>99</v>
      </c>
      <c r="D2632">
        <v>5</v>
      </c>
      <c r="E2632">
        <v>100</v>
      </c>
      <c r="F2632" t="s">
        <v>1</v>
      </c>
      <c r="G2632" s="6">
        <v>45818</v>
      </c>
      <c r="H2632">
        <v>45</v>
      </c>
      <c r="I2632">
        <f>ROUND(CompilDonnées[[#This Row],[CultureDuration_days]]/7,0)</f>
        <v>6</v>
      </c>
      <c r="J2632">
        <v>2704</v>
      </c>
      <c r="K2632" t="str">
        <f>_xlfn.CONCAT(WEEKNUM(CompilDonnées[[#This Row],[PlantationDate]]), " ", YEAR(CompilDonnées[[#This Row],[PlantationDate]]))</f>
        <v>17 2025</v>
      </c>
      <c r="L2632" t="str">
        <f>CONCATENATE(MONTH(CompilDonnées[[#This Row],[PlantationDate]])," ", YEAR(CompilDonnées[[#This Row],[PlantationDate]]))</f>
        <v>4 2025</v>
      </c>
      <c r="M2632" t="str">
        <f>CONCATENATE(MONTH(CompilDonnées[[#This Row],[HarvestingDate]])," ", YEAR(CompilDonnées[[#This Row],[HarvestingDate]]))</f>
        <v>6 2025</v>
      </c>
      <c r="N2632">
        <f>_xlfn.NUMBERVALUE(CompilDonnées[[#This Row],[FarmID]]&amp;CompilDonnées[[#This Row],[ModuleNumber]]&amp;CompilDonnées[[#This Row],[PlantationDate]])</f>
        <v>133545773</v>
      </c>
      <c r="O2632" t="str">
        <f>CompilDonnées[[#This Row],[FarmID]]&amp;CompilDonnées[[#This Row],[ModuleNumber]]</f>
        <v>1335</v>
      </c>
      <c r="P2632" t="str">
        <f>CompilDonnées[[#This Row],[Ref_Module]]&amp;CompilDonnées[[#This Row],[HarvestingDate]]</f>
        <v>133545818</v>
      </c>
    </row>
    <row r="2633" spans="1:16">
      <c r="A2633" s="5">
        <v>45773</v>
      </c>
      <c r="B2633">
        <v>139</v>
      </c>
      <c r="C2633" t="s">
        <v>103</v>
      </c>
      <c r="D2633">
        <v>4</v>
      </c>
      <c r="E2633">
        <v>100</v>
      </c>
      <c r="F2633" t="s">
        <v>1</v>
      </c>
      <c r="G2633" s="6">
        <v>45818</v>
      </c>
      <c r="H2633">
        <v>45</v>
      </c>
      <c r="I2633">
        <f>ROUND(CompilDonnées[[#This Row],[CultureDuration_days]]/7,0)</f>
        <v>6</v>
      </c>
      <c r="J2633">
        <v>2569</v>
      </c>
      <c r="K2633" t="str">
        <f>_xlfn.CONCAT(WEEKNUM(CompilDonnées[[#This Row],[PlantationDate]]), " ", YEAR(CompilDonnées[[#This Row],[PlantationDate]]))</f>
        <v>17 2025</v>
      </c>
      <c r="L2633" t="str">
        <f>CONCATENATE(MONTH(CompilDonnées[[#This Row],[PlantationDate]])," ", YEAR(CompilDonnées[[#This Row],[PlantationDate]]))</f>
        <v>4 2025</v>
      </c>
      <c r="M2633" t="str">
        <f>CONCATENATE(MONTH(CompilDonnées[[#This Row],[HarvestingDate]])," ", YEAR(CompilDonnées[[#This Row],[HarvestingDate]]))</f>
        <v>6 2025</v>
      </c>
      <c r="N2633">
        <f>_xlfn.NUMBERVALUE(CompilDonnées[[#This Row],[FarmID]]&amp;CompilDonnées[[#This Row],[ModuleNumber]]&amp;CompilDonnées[[#This Row],[PlantationDate]])</f>
        <v>139445773</v>
      </c>
      <c r="O2633" t="str">
        <f>CompilDonnées[[#This Row],[FarmID]]&amp;CompilDonnées[[#This Row],[ModuleNumber]]</f>
        <v>1394</v>
      </c>
      <c r="P2633" t="str">
        <f>CompilDonnées[[#This Row],[Ref_Module]]&amp;CompilDonnées[[#This Row],[HarvestingDate]]</f>
        <v>139445818</v>
      </c>
    </row>
    <row r="2634" spans="1:16">
      <c r="A2634" s="5">
        <v>45773</v>
      </c>
      <c r="B2634">
        <v>140</v>
      </c>
      <c r="C2634" t="s">
        <v>96</v>
      </c>
      <c r="D2634">
        <v>2</v>
      </c>
      <c r="E2634">
        <v>100</v>
      </c>
      <c r="F2634" t="s">
        <v>1</v>
      </c>
      <c r="G2634" s="6">
        <v>45814</v>
      </c>
      <c r="H2634">
        <v>41</v>
      </c>
      <c r="I2634">
        <f>ROUND(CompilDonnées[[#This Row],[CultureDuration_days]]/7,0)</f>
        <v>6</v>
      </c>
      <c r="J2634">
        <v>2184</v>
      </c>
      <c r="K2634" t="str">
        <f>_xlfn.CONCAT(WEEKNUM(CompilDonnées[[#This Row],[PlantationDate]]), " ", YEAR(CompilDonnées[[#This Row],[PlantationDate]]))</f>
        <v>17 2025</v>
      </c>
      <c r="L2634" t="str">
        <f>CONCATENATE(MONTH(CompilDonnées[[#This Row],[PlantationDate]])," ", YEAR(CompilDonnées[[#This Row],[PlantationDate]]))</f>
        <v>4 2025</v>
      </c>
      <c r="M2634" t="str">
        <f>CONCATENATE(MONTH(CompilDonnées[[#This Row],[HarvestingDate]])," ", YEAR(CompilDonnées[[#This Row],[HarvestingDate]]))</f>
        <v>6 2025</v>
      </c>
      <c r="N2634">
        <f>_xlfn.NUMBERVALUE(CompilDonnées[[#This Row],[FarmID]]&amp;CompilDonnées[[#This Row],[ModuleNumber]]&amp;CompilDonnées[[#This Row],[PlantationDate]])</f>
        <v>140245773</v>
      </c>
      <c r="O2634" t="str">
        <f>CompilDonnées[[#This Row],[FarmID]]&amp;CompilDonnées[[#This Row],[ModuleNumber]]</f>
        <v>1402</v>
      </c>
      <c r="P2634" t="str">
        <f>CompilDonnées[[#This Row],[Ref_Module]]&amp;CompilDonnées[[#This Row],[HarvestingDate]]</f>
        <v>140245814</v>
      </c>
    </row>
    <row r="2635" spans="1:16">
      <c r="A2635" s="5">
        <v>45776</v>
      </c>
      <c r="B2635">
        <v>46</v>
      </c>
      <c r="C2635" t="s">
        <v>8</v>
      </c>
      <c r="D2635">
        <v>2</v>
      </c>
      <c r="E2635">
        <v>100</v>
      </c>
      <c r="F2635" t="s">
        <v>1</v>
      </c>
      <c r="G2635" s="6">
        <v>45821</v>
      </c>
      <c r="H2635">
        <v>45</v>
      </c>
      <c r="I2635">
        <f>ROUND(CompilDonnées[[#This Row],[CultureDuration_days]]/7,0)</f>
        <v>6</v>
      </c>
      <c r="J2635">
        <v>3795</v>
      </c>
      <c r="K2635" t="str">
        <f>_xlfn.CONCAT(WEEKNUM(CompilDonnées[[#This Row],[PlantationDate]]), " ", YEAR(CompilDonnées[[#This Row],[PlantationDate]]))</f>
        <v>18 2025</v>
      </c>
      <c r="L2635" t="str">
        <f>CONCATENATE(MONTH(CompilDonnées[[#This Row],[PlantationDate]])," ", YEAR(CompilDonnées[[#This Row],[PlantationDate]]))</f>
        <v>4 2025</v>
      </c>
      <c r="M2635" t="str">
        <f>CONCATENATE(MONTH(CompilDonnées[[#This Row],[HarvestingDate]])," ", YEAR(CompilDonnées[[#This Row],[HarvestingDate]]))</f>
        <v>6 2025</v>
      </c>
      <c r="N2635">
        <f>_xlfn.NUMBERVALUE(CompilDonnées[[#This Row],[FarmID]]&amp;CompilDonnées[[#This Row],[ModuleNumber]]&amp;CompilDonnées[[#This Row],[PlantationDate]])</f>
        <v>46245776</v>
      </c>
      <c r="O2635" t="str">
        <f>CompilDonnées[[#This Row],[FarmID]]&amp;CompilDonnées[[#This Row],[ModuleNumber]]</f>
        <v>462</v>
      </c>
      <c r="P2635" t="str">
        <f>CompilDonnées[[#This Row],[Ref_Module]]&amp;CompilDonnées[[#This Row],[HarvestingDate]]</f>
        <v>46245821</v>
      </c>
    </row>
    <row r="2636" spans="1:16">
      <c r="A2636" s="5">
        <v>45776</v>
      </c>
      <c r="B2636">
        <v>76</v>
      </c>
      <c r="C2636" t="s">
        <v>18</v>
      </c>
      <c r="D2636">
        <v>4</v>
      </c>
      <c r="E2636">
        <v>100</v>
      </c>
      <c r="F2636" t="s">
        <v>1</v>
      </c>
      <c r="G2636" s="6">
        <v>45819</v>
      </c>
      <c r="H2636">
        <v>43</v>
      </c>
      <c r="I2636">
        <f>ROUND(CompilDonnées[[#This Row],[CultureDuration_days]]/7,0)</f>
        <v>6</v>
      </c>
      <c r="J2636">
        <v>4190</v>
      </c>
      <c r="K2636" t="str">
        <f>_xlfn.CONCAT(WEEKNUM(CompilDonnées[[#This Row],[PlantationDate]]), " ", YEAR(CompilDonnées[[#This Row],[PlantationDate]]))</f>
        <v>18 2025</v>
      </c>
      <c r="L2636" t="str">
        <f>CONCATENATE(MONTH(CompilDonnées[[#This Row],[PlantationDate]])," ", YEAR(CompilDonnées[[#This Row],[PlantationDate]]))</f>
        <v>4 2025</v>
      </c>
      <c r="M2636" t="str">
        <f>CONCATENATE(MONTH(CompilDonnées[[#This Row],[HarvestingDate]])," ", YEAR(CompilDonnées[[#This Row],[HarvestingDate]]))</f>
        <v>6 2025</v>
      </c>
      <c r="N2636">
        <f>_xlfn.NUMBERVALUE(CompilDonnées[[#This Row],[FarmID]]&amp;CompilDonnées[[#This Row],[ModuleNumber]]&amp;CompilDonnées[[#This Row],[PlantationDate]])</f>
        <v>76445776</v>
      </c>
      <c r="O2636" t="str">
        <f>CompilDonnées[[#This Row],[FarmID]]&amp;CompilDonnées[[#This Row],[ModuleNumber]]</f>
        <v>764</v>
      </c>
      <c r="P2636" t="str">
        <f>CompilDonnées[[#This Row],[Ref_Module]]&amp;CompilDonnées[[#This Row],[HarvestingDate]]</f>
        <v>76445819</v>
      </c>
    </row>
    <row r="2637" spans="1:16">
      <c r="A2637" s="5">
        <v>45776</v>
      </c>
      <c r="B2637">
        <v>77</v>
      </c>
      <c r="C2637" t="s">
        <v>75</v>
      </c>
      <c r="D2637">
        <v>4</v>
      </c>
      <c r="E2637">
        <v>100</v>
      </c>
      <c r="F2637" t="s">
        <v>1</v>
      </c>
      <c r="G2637" s="6">
        <v>45819</v>
      </c>
      <c r="H2637">
        <v>43</v>
      </c>
      <c r="I2637">
        <f>ROUND(CompilDonnées[[#This Row],[CultureDuration_days]]/7,0)</f>
        <v>6</v>
      </c>
      <c r="J2637">
        <v>3526</v>
      </c>
      <c r="K2637" t="str">
        <f>_xlfn.CONCAT(WEEKNUM(CompilDonnées[[#This Row],[PlantationDate]]), " ", YEAR(CompilDonnées[[#This Row],[PlantationDate]]))</f>
        <v>18 2025</v>
      </c>
      <c r="L2637" t="str">
        <f>CONCATENATE(MONTH(CompilDonnées[[#This Row],[PlantationDate]])," ", YEAR(CompilDonnées[[#This Row],[PlantationDate]]))</f>
        <v>4 2025</v>
      </c>
      <c r="M2637" t="str">
        <f>CONCATENATE(MONTH(CompilDonnées[[#This Row],[HarvestingDate]])," ", YEAR(CompilDonnées[[#This Row],[HarvestingDate]]))</f>
        <v>6 2025</v>
      </c>
      <c r="N2637">
        <f>_xlfn.NUMBERVALUE(CompilDonnées[[#This Row],[FarmID]]&amp;CompilDonnées[[#This Row],[ModuleNumber]]&amp;CompilDonnées[[#This Row],[PlantationDate]])</f>
        <v>77445776</v>
      </c>
      <c r="O2637" t="str">
        <f>CompilDonnées[[#This Row],[FarmID]]&amp;CompilDonnées[[#This Row],[ModuleNumber]]</f>
        <v>774</v>
      </c>
      <c r="P2637" t="str">
        <f>CompilDonnées[[#This Row],[Ref_Module]]&amp;CompilDonnées[[#This Row],[HarvestingDate]]</f>
        <v>77445819</v>
      </c>
    </row>
    <row r="2638" spans="1:16">
      <c r="A2638" s="5">
        <v>45776</v>
      </c>
      <c r="B2638">
        <v>83</v>
      </c>
      <c r="C2638" t="s">
        <v>73</v>
      </c>
      <c r="D2638">
        <v>4</v>
      </c>
      <c r="E2638">
        <v>100</v>
      </c>
      <c r="F2638" t="s">
        <v>1</v>
      </c>
      <c r="G2638" s="6">
        <v>45821</v>
      </c>
      <c r="H2638">
        <v>45</v>
      </c>
      <c r="I2638">
        <f>ROUND(CompilDonnées[[#This Row],[CultureDuration_days]]/7,0)</f>
        <v>6</v>
      </c>
      <c r="J2638">
        <v>4045</v>
      </c>
      <c r="K2638" t="str">
        <f>_xlfn.CONCAT(WEEKNUM(CompilDonnées[[#This Row],[PlantationDate]]), " ", YEAR(CompilDonnées[[#This Row],[PlantationDate]]))</f>
        <v>18 2025</v>
      </c>
      <c r="L2638" t="str">
        <f>CONCATENATE(MONTH(CompilDonnées[[#This Row],[PlantationDate]])," ", YEAR(CompilDonnées[[#This Row],[PlantationDate]]))</f>
        <v>4 2025</v>
      </c>
      <c r="M2638" t="str">
        <f>CONCATENATE(MONTH(CompilDonnées[[#This Row],[HarvestingDate]])," ", YEAR(CompilDonnées[[#This Row],[HarvestingDate]]))</f>
        <v>6 2025</v>
      </c>
      <c r="N2638">
        <f>_xlfn.NUMBERVALUE(CompilDonnées[[#This Row],[FarmID]]&amp;CompilDonnées[[#This Row],[ModuleNumber]]&amp;CompilDonnées[[#This Row],[PlantationDate]])</f>
        <v>83445776</v>
      </c>
      <c r="O2638" t="str">
        <f>CompilDonnées[[#This Row],[FarmID]]&amp;CompilDonnées[[#This Row],[ModuleNumber]]</f>
        <v>834</v>
      </c>
      <c r="P2638" t="str">
        <f>CompilDonnées[[#This Row],[Ref_Module]]&amp;CompilDonnées[[#This Row],[HarvestingDate]]</f>
        <v>83445821</v>
      </c>
    </row>
    <row r="2639" spans="1:16">
      <c r="A2639" s="5">
        <v>45776</v>
      </c>
      <c r="B2639">
        <v>84</v>
      </c>
      <c r="C2639" t="s">
        <v>65</v>
      </c>
      <c r="D2639">
        <v>4</v>
      </c>
      <c r="E2639">
        <v>100</v>
      </c>
      <c r="F2639" t="s">
        <v>1</v>
      </c>
      <c r="G2639" s="6">
        <v>45827</v>
      </c>
      <c r="H2639">
        <v>51</v>
      </c>
      <c r="I2639">
        <f>ROUND(CompilDonnées[[#This Row],[CultureDuration_days]]/7,0)</f>
        <v>7</v>
      </c>
      <c r="J2639">
        <v>3233</v>
      </c>
      <c r="K2639" t="str">
        <f>_xlfn.CONCAT(WEEKNUM(CompilDonnées[[#This Row],[PlantationDate]]), " ", YEAR(CompilDonnées[[#This Row],[PlantationDate]]))</f>
        <v>18 2025</v>
      </c>
      <c r="L2639" t="str">
        <f>CONCATENATE(MONTH(CompilDonnées[[#This Row],[PlantationDate]])," ", YEAR(CompilDonnées[[#This Row],[PlantationDate]]))</f>
        <v>4 2025</v>
      </c>
      <c r="M2639" t="str">
        <f>CONCATENATE(MONTH(CompilDonnées[[#This Row],[HarvestingDate]])," ", YEAR(CompilDonnées[[#This Row],[HarvestingDate]]))</f>
        <v>6 2025</v>
      </c>
      <c r="N2639">
        <f>_xlfn.NUMBERVALUE(CompilDonnées[[#This Row],[FarmID]]&amp;CompilDonnées[[#This Row],[ModuleNumber]]&amp;CompilDonnées[[#This Row],[PlantationDate]])</f>
        <v>84445776</v>
      </c>
      <c r="O2639" t="str">
        <f>CompilDonnées[[#This Row],[FarmID]]&amp;CompilDonnées[[#This Row],[ModuleNumber]]</f>
        <v>844</v>
      </c>
      <c r="P2639" t="str">
        <f>CompilDonnées[[#This Row],[Ref_Module]]&amp;CompilDonnées[[#This Row],[HarvestingDate]]</f>
        <v>84445827</v>
      </c>
    </row>
    <row r="2640" spans="1:16">
      <c r="A2640" s="5">
        <v>45776</v>
      </c>
      <c r="B2640">
        <v>89</v>
      </c>
      <c r="C2640" t="s">
        <v>67</v>
      </c>
      <c r="D2640">
        <v>3</v>
      </c>
      <c r="E2640">
        <v>100</v>
      </c>
      <c r="F2640" t="s">
        <v>1</v>
      </c>
      <c r="G2640" s="6">
        <v>45827</v>
      </c>
      <c r="H2640">
        <v>51</v>
      </c>
      <c r="I2640">
        <f>ROUND(CompilDonnées[[#This Row],[CultureDuration_days]]/7,0)</f>
        <v>7</v>
      </c>
      <c r="J2640">
        <v>3031</v>
      </c>
      <c r="K2640" t="str">
        <f>_xlfn.CONCAT(WEEKNUM(CompilDonnées[[#This Row],[PlantationDate]]), " ", YEAR(CompilDonnées[[#This Row],[PlantationDate]]))</f>
        <v>18 2025</v>
      </c>
      <c r="L2640" t="str">
        <f>CONCATENATE(MONTH(CompilDonnées[[#This Row],[PlantationDate]])," ", YEAR(CompilDonnées[[#This Row],[PlantationDate]]))</f>
        <v>4 2025</v>
      </c>
      <c r="M2640" t="str">
        <f>CONCATENATE(MONTH(CompilDonnées[[#This Row],[HarvestingDate]])," ", YEAR(CompilDonnées[[#This Row],[HarvestingDate]]))</f>
        <v>6 2025</v>
      </c>
      <c r="N2640">
        <f>_xlfn.NUMBERVALUE(CompilDonnées[[#This Row],[FarmID]]&amp;CompilDonnées[[#This Row],[ModuleNumber]]&amp;CompilDonnées[[#This Row],[PlantationDate]])</f>
        <v>89345776</v>
      </c>
      <c r="O2640" t="str">
        <f>CompilDonnées[[#This Row],[FarmID]]&amp;CompilDonnées[[#This Row],[ModuleNumber]]</f>
        <v>893</v>
      </c>
      <c r="P2640" t="str">
        <f>CompilDonnées[[#This Row],[Ref_Module]]&amp;CompilDonnées[[#This Row],[HarvestingDate]]</f>
        <v>89345827</v>
      </c>
    </row>
    <row r="2641" spans="1:16">
      <c r="A2641" s="5">
        <v>45776</v>
      </c>
      <c r="B2641">
        <v>89</v>
      </c>
      <c r="C2641" t="s">
        <v>67</v>
      </c>
      <c r="D2641">
        <v>4</v>
      </c>
      <c r="E2641">
        <v>100</v>
      </c>
      <c r="F2641" t="s">
        <v>1</v>
      </c>
      <c r="G2641" s="6">
        <v>45818</v>
      </c>
      <c r="H2641">
        <v>42</v>
      </c>
      <c r="I2641">
        <f>ROUND(CompilDonnées[[#This Row],[CultureDuration_days]]/7,0)</f>
        <v>6</v>
      </c>
      <c r="J2641">
        <v>3513</v>
      </c>
      <c r="K2641" t="str">
        <f>_xlfn.CONCAT(WEEKNUM(CompilDonnées[[#This Row],[PlantationDate]]), " ", YEAR(CompilDonnées[[#This Row],[PlantationDate]]))</f>
        <v>18 2025</v>
      </c>
      <c r="L2641" t="str">
        <f>CONCATENATE(MONTH(CompilDonnées[[#This Row],[PlantationDate]])," ", YEAR(CompilDonnées[[#This Row],[PlantationDate]]))</f>
        <v>4 2025</v>
      </c>
      <c r="M2641" t="str">
        <f>CONCATENATE(MONTH(CompilDonnées[[#This Row],[HarvestingDate]])," ", YEAR(CompilDonnées[[#This Row],[HarvestingDate]]))</f>
        <v>6 2025</v>
      </c>
      <c r="N2641">
        <f>_xlfn.NUMBERVALUE(CompilDonnées[[#This Row],[FarmID]]&amp;CompilDonnées[[#This Row],[ModuleNumber]]&amp;CompilDonnées[[#This Row],[PlantationDate]])</f>
        <v>89445776</v>
      </c>
      <c r="O2641" t="str">
        <f>CompilDonnées[[#This Row],[FarmID]]&amp;CompilDonnées[[#This Row],[ModuleNumber]]</f>
        <v>894</v>
      </c>
      <c r="P2641" t="str">
        <f>CompilDonnées[[#This Row],[Ref_Module]]&amp;CompilDonnées[[#This Row],[HarvestingDate]]</f>
        <v>89445818</v>
      </c>
    </row>
    <row r="2642" spans="1:16">
      <c r="A2642" s="5">
        <v>45776</v>
      </c>
      <c r="B2642">
        <v>93</v>
      </c>
      <c r="C2642" t="s">
        <v>10</v>
      </c>
      <c r="D2642">
        <v>2</v>
      </c>
      <c r="E2642">
        <v>100</v>
      </c>
      <c r="F2642" t="s">
        <v>1</v>
      </c>
      <c r="G2642" s="6">
        <v>45804</v>
      </c>
      <c r="H2642">
        <v>28</v>
      </c>
      <c r="I2642">
        <f>ROUND(CompilDonnées[[#This Row],[CultureDuration_days]]/7,0)</f>
        <v>4</v>
      </c>
      <c r="J2642">
        <v>2161</v>
      </c>
      <c r="K2642" t="str">
        <f>_xlfn.CONCAT(WEEKNUM(CompilDonnées[[#This Row],[PlantationDate]]), " ", YEAR(CompilDonnées[[#This Row],[PlantationDate]]))</f>
        <v>18 2025</v>
      </c>
      <c r="L2642" t="str">
        <f>CONCATENATE(MONTH(CompilDonnées[[#This Row],[PlantationDate]])," ", YEAR(CompilDonnées[[#This Row],[PlantationDate]]))</f>
        <v>4 2025</v>
      </c>
      <c r="M2642" t="str">
        <f>CONCATENATE(MONTH(CompilDonnées[[#This Row],[HarvestingDate]])," ", YEAR(CompilDonnées[[#This Row],[HarvestingDate]]))</f>
        <v>5 2025</v>
      </c>
      <c r="N2642">
        <f>_xlfn.NUMBERVALUE(CompilDonnées[[#This Row],[FarmID]]&amp;CompilDonnées[[#This Row],[ModuleNumber]]&amp;CompilDonnées[[#This Row],[PlantationDate]])</f>
        <v>93245776</v>
      </c>
      <c r="O2642" t="str">
        <f>CompilDonnées[[#This Row],[FarmID]]&amp;CompilDonnées[[#This Row],[ModuleNumber]]</f>
        <v>932</v>
      </c>
      <c r="P2642" t="str">
        <f>CompilDonnées[[#This Row],[Ref_Module]]&amp;CompilDonnées[[#This Row],[HarvestingDate]]</f>
        <v>93245804</v>
      </c>
    </row>
    <row r="2643" spans="1:16">
      <c r="A2643" s="5">
        <v>45776</v>
      </c>
      <c r="B2643">
        <v>94</v>
      </c>
      <c r="C2643" t="s">
        <v>40</v>
      </c>
      <c r="D2643">
        <v>3</v>
      </c>
      <c r="E2643">
        <v>100</v>
      </c>
      <c r="F2643" t="s">
        <v>1</v>
      </c>
      <c r="G2643" s="6">
        <v>45820</v>
      </c>
      <c r="H2643">
        <v>44</v>
      </c>
      <c r="I2643">
        <f>ROUND(CompilDonnées[[#This Row],[CultureDuration_days]]/7,0)</f>
        <v>6</v>
      </c>
      <c r="J2643">
        <v>2791</v>
      </c>
      <c r="K2643" t="str">
        <f>_xlfn.CONCAT(WEEKNUM(CompilDonnées[[#This Row],[PlantationDate]]), " ", YEAR(CompilDonnées[[#This Row],[PlantationDate]]))</f>
        <v>18 2025</v>
      </c>
      <c r="L2643" t="str">
        <f>CONCATENATE(MONTH(CompilDonnées[[#This Row],[PlantationDate]])," ", YEAR(CompilDonnées[[#This Row],[PlantationDate]]))</f>
        <v>4 2025</v>
      </c>
      <c r="M2643" t="str">
        <f>CONCATENATE(MONTH(CompilDonnées[[#This Row],[HarvestingDate]])," ", YEAR(CompilDonnées[[#This Row],[HarvestingDate]]))</f>
        <v>6 2025</v>
      </c>
      <c r="N2643">
        <f>_xlfn.NUMBERVALUE(CompilDonnées[[#This Row],[FarmID]]&amp;CompilDonnées[[#This Row],[ModuleNumber]]&amp;CompilDonnées[[#This Row],[PlantationDate]])</f>
        <v>94345776</v>
      </c>
      <c r="O2643" t="str">
        <f>CompilDonnées[[#This Row],[FarmID]]&amp;CompilDonnées[[#This Row],[ModuleNumber]]</f>
        <v>943</v>
      </c>
      <c r="P2643" t="str">
        <f>CompilDonnées[[#This Row],[Ref_Module]]&amp;CompilDonnées[[#This Row],[HarvestingDate]]</f>
        <v>94345820</v>
      </c>
    </row>
    <row r="2644" spans="1:16">
      <c r="A2644" s="5">
        <v>45776</v>
      </c>
      <c r="B2644">
        <v>95</v>
      </c>
      <c r="C2644" t="s">
        <v>90</v>
      </c>
      <c r="D2644">
        <v>4</v>
      </c>
      <c r="E2644">
        <v>100</v>
      </c>
      <c r="F2644" t="s">
        <v>1</v>
      </c>
      <c r="G2644" s="6">
        <v>45827</v>
      </c>
      <c r="H2644">
        <v>51</v>
      </c>
      <c r="I2644">
        <f>ROUND(CompilDonnées[[#This Row],[CultureDuration_days]]/7,0)</f>
        <v>7</v>
      </c>
      <c r="J2644">
        <v>3029</v>
      </c>
      <c r="K2644" t="str">
        <f>_xlfn.CONCAT(WEEKNUM(CompilDonnées[[#This Row],[PlantationDate]]), " ", YEAR(CompilDonnées[[#This Row],[PlantationDate]]))</f>
        <v>18 2025</v>
      </c>
      <c r="L2644" t="str">
        <f>CONCATENATE(MONTH(CompilDonnées[[#This Row],[PlantationDate]])," ", YEAR(CompilDonnées[[#This Row],[PlantationDate]]))</f>
        <v>4 2025</v>
      </c>
      <c r="M2644" t="str">
        <f>CONCATENATE(MONTH(CompilDonnées[[#This Row],[HarvestingDate]])," ", YEAR(CompilDonnées[[#This Row],[HarvestingDate]]))</f>
        <v>6 2025</v>
      </c>
      <c r="N2644">
        <f>_xlfn.NUMBERVALUE(CompilDonnées[[#This Row],[FarmID]]&amp;CompilDonnées[[#This Row],[ModuleNumber]]&amp;CompilDonnées[[#This Row],[PlantationDate]])</f>
        <v>95445776</v>
      </c>
      <c r="O2644" t="str">
        <f>CompilDonnées[[#This Row],[FarmID]]&amp;CompilDonnées[[#This Row],[ModuleNumber]]</f>
        <v>954</v>
      </c>
      <c r="P2644" t="str">
        <f>CompilDonnées[[#This Row],[Ref_Module]]&amp;CompilDonnées[[#This Row],[HarvestingDate]]</f>
        <v>95445827</v>
      </c>
    </row>
    <row r="2645" spans="1:16">
      <c r="A2645" s="5">
        <v>45776</v>
      </c>
      <c r="B2645">
        <v>98</v>
      </c>
      <c r="C2645" t="s">
        <v>79</v>
      </c>
      <c r="D2645">
        <v>2</v>
      </c>
      <c r="E2645">
        <v>100</v>
      </c>
      <c r="F2645" t="s">
        <v>1</v>
      </c>
      <c r="G2645" s="6">
        <v>45818</v>
      </c>
      <c r="H2645">
        <v>42</v>
      </c>
      <c r="I2645">
        <f>ROUND(CompilDonnées[[#This Row],[CultureDuration_days]]/7,0)</f>
        <v>6</v>
      </c>
      <c r="J2645">
        <v>2891</v>
      </c>
      <c r="K2645" t="str">
        <f>_xlfn.CONCAT(WEEKNUM(CompilDonnées[[#This Row],[PlantationDate]]), " ", YEAR(CompilDonnées[[#This Row],[PlantationDate]]))</f>
        <v>18 2025</v>
      </c>
      <c r="L2645" t="str">
        <f>CONCATENATE(MONTH(CompilDonnées[[#This Row],[PlantationDate]])," ", YEAR(CompilDonnées[[#This Row],[PlantationDate]]))</f>
        <v>4 2025</v>
      </c>
      <c r="M2645" t="str">
        <f>CONCATENATE(MONTH(CompilDonnées[[#This Row],[HarvestingDate]])," ", YEAR(CompilDonnées[[#This Row],[HarvestingDate]]))</f>
        <v>6 2025</v>
      </c>
      <c r="N2645">
        <f>_xlfn.NUMBERVALUE(CompilDonnées[[#This Row],[FarmID]]&amp;CompilDonnées[[#This Row],[ModuleNumber]]&amp;CompilDonnées[[#This Row],[PlantationDate]])</f>
        <v>98245776</v>
      </c>
      <c r="O2645" t="str">
        <f>CompilDonnées[[#This Row],[FarmID]]&amp;CompilDonnées[[#This Row],[ModuleNumber]]</f>
        <v>982</v>
      </c>
      <c r="P2645" t="str">
        <f>CompilDonnées[[#This Row],[Ref_Module]]&amp;CompilDonnées[[#This Row],[HarvestingDate]]</f>
        <v>98245818</v>
      </c>
    </row>
    <row r="2646" spans="1:16">
      <c r="A2646" s="5">
        <v>45776</v>
      </c>
      <c r="B2646">
        <v>99</v>
      </c>
      <c r="C2646" t="s">
        <v>117</v>
      </c>
      <c r="D2646">
        <v>4</v>
      </c>
      <c r="E2646">
        <v>100</v>
      </c>
      <c r="F2646" t="s">
        <v>1</v>
      </c>
      <c r="G2646" s="6">
        <v>45819</v>
      </c>
      <c r="H2646">
        <v>43</v>
      </c>
      <c r="I2646">
        <f>ROUND(CompilDonnées[[#This Row],[CultureDuration_days]]/7,0)</f>
        <v>6</v>
      </c>
      <c r="J2646">
        <v>3119</v>
      </c>
      <c r="K2646" t="str">
        <f>_xlfn.CONCAT(WEEKNUM(CompilDonnées[[#This Row],[PlantationDate]]), " ", YEAR(CompilDonnées[[#This Row],[PlantationDate]]))</f>
        <v>18 2025</v>
      </c>
      <c r="L2646" t="str">
        <f>CONCATENATE(MONTH(CompilDonnées[[#This Row],[PlantationDate]])," ", YEAR(CompilDonnées[[#This Row],[PlantationDate]]))</f>
        <v>4 2025</v>
      </c>
      <c r="M2646" t="str">
        <f>CONCATENATE(MONTH(CompilDonnées[[#This Row],[HarvestingDate]])," ", YEAR(CompilDonnées[[#This Row],[HarvestingDate]]))</f>
        <v>6 2025</v>
      </c>
      <c r="N2646">
        <f>_xlfn.NUMBERVALUE(CompilDonnées[[#This Row],[FarmID]]&amp;CompilDonnées[[#This Row],[ModuleNumber]]&amp;CompilDonnées[[#This Row],[PlantationDate]])</f>
        <v>99445776</v>
      </c>
      <c r="O2646" t="str">
        <f>CompilDonnées[[#This Row],[FarmID]]&amp;CompilDonnées[[#This Row],[ModuleNumber]]</f>
        <v>994</v>
      </c>
      <c r="P2646" t="str">
        <f>CompilDonnées[[#This Row],[Ref_Module]]&amp;CompilDonnées[[#This Row],[HarvestingDate]]</f>
        <v>99445819</v>
      </c>
    </row>
    <row r="2647" spans="1:16">
      <c r="A2647" s="5">
        <v>45776</v>
      </c>
      <c r="B2647">
        <v>107</v>
      </c>
      <c r="C2647" t="s">
        <v>23</v>
      </c>
      <c r="D2647">
        <v>6</v>
      </c>
      <c r="E2647">
        <v>100</v>
      </c>
      <c r="F2647" t="s">
        <v>1</v>
      </c>
      <c r="G2647" s="6">
        <v>45819</v>
      </c>
      <c r="H2647">
        <v>43</v>
      </c>
      <c r="I2647">
        <f>ROUND(CompilDonnées[[#This Row],[CultureDuration_days]]/7,0)</f>
        <v>6</v>
      </c>
      <c r="J2647">
        <v>3037</v>
      </c>
      <c r="K2647" t="str">
        <f>_xlfn.CONCAT(WEEKNUM(CompilDonnées[[#This Row],[PlantationDate]]), " ", YEAR(CompilDonnées[[#This Row],[PlantationDate]]))</f>
        <v>18 2025</v>
      </c>
      <c r="L2647" t="str">
        <f>CONCATENATE(MONTH(CompilDonnées[[#This Row],[PlantationDate]])," ", YEAR(CompilDonnées[[#This Row],[PlantationDate]]))</f>
        <v>4 2025</v>
      </c>
      <c r="M2647" t="str">
        <f>CONCATENATE(MONTH(CompilDonnées[[#This Row],[HarvestingDate]])," ", YEAR(CompilDonnées[[#This Row],[HarvestingDate]]))</f>
        <v>6 2025</v>
      </c>
      <c r="N2647">
        <f>_xlfn.NUMBERVALUE(CompilDonnées[[#This Row],[FarmID]]&amp;CompilDonnées[[#This Row],[ModuleNumber]]&amp;CompilDonnées[[#This Row],[PlantationDate]])</f>
        <v>107645776</v>
      </c>
      <c r="O2647" t="str">
        <f>CompilDonnées[[#This Row],[FarmID]]&amp;CompilDonnées[[#This Row],[ModuleNumber]]</f>
        <v>1076</v>
      </c>
      <c r="P2647" t="str">
        <f>CompilDonnées[[#This Row],[Ref_Module]]&amp;CompilDonnées[[#This Row],[HarvestingDate]]</f>
        <v>107645819</v>
      </c>
    </row>
    <row r="2648" spans="1:16">
      <c r="A2648" s="5">
        <v>45776</v>
      </c>
      <c r="B2648">
        <v>108</v>
      </c>
      <c r="C2648" t="s">
        <v>58</v>
      </c>
      <c r="D2648">
        <v>2</v>
      </c>
      <c r="E2648">
        <v>100</v>
      </c>
      <c r="F2648" t="s">
        <v>1</v>
      </c>
      <c r="G2648" s="6">
        <v>45818</v>
      </c>
      <c r="H2648">
        <v>42</v>
      </c>
      <c r="I2648">
        <f>ROUND(CompilDonnées[[#This Row],[CultureDuration_days]]/7,0)</f>
        <v>6</v>
      </c>
      <c r="J2648">
        <v>2807</v>
      </c>
      <c r="K2648" t="str">
        <f>_xlfn.CONCAT(WEEKNUM(CompilDonnées[[#This Row],[PlantationDate]]), " ", YEAR(CompilDonnées[[#This Row],[PlantationDate]]))</f>
        <v>18 2025</v>
      </c>
      <c r="L2648" t="str">
        <f>CONCATENATE(MONTH(CompilDonnées[[#This Row],[PlantationDate]])," ", YEAR(CompilDonnées[[#This Row],[PlantationDate]]))</f>
        <v>4 2025</v>
      </c>
      <c r="M2648" t="str">
        <f>CONCATENATE(MONTH(CompilDonnées[[#This Row],[HarvestingDate]])," ", YEAR(CompilDonnées[[#This Row],[HarvestingDate]]))</f>
        <v>6 2025</v>
      </c>
      <c r="N2648">
        <f>_xlfn.NUMBERVALUE(CompilDonnées[[#This Row],[FarmID]]&amp;CompilDonnées[[#This Row],[ModuleNumber]]&amp;CompilDonnées[[#This Row],[PlantationDate]])</f>
        <v>108245776</v>
      </c>
      <c r="O2648" t="str">
        <f>CompilDonnées[[#This Row],[FarmID]]&amp;CompilDonnées[[#This Row],[ModuleNumber]]</f>
        <v>1082</v>
      </c>
      <c r="P2648" t="str">
        <f>CompilDonnées[[#This Row],[Ref_Module]]&amp;CompilDonnées[[#This Row],[HarvestingDate]]</f>
        <v>108245818</v>
      </c>
    </row>
    <row r="2649" spans="1:16">
      <c r="A2649" s="5">
        <v>45776</v>
      </c>
      <c r="B2649">
        <v>109</v>
      </c>
      <c r="C2649" t="s">
        <v>87</v>
      </c>
      <c r="D2649">
        <v>5</v>
      </c>
      <c r="E2649">
        <v>100</v>
      </c>
      <c r="F2649" t="s">
        <v>1</v>
      </c>
      <c r="G2649" s="6">
        <v>45818</v>
      </c>
      <c r="H2649">
        <v>42</v>
      </c>
      <c r="I2649">
        <f>ROUND(CompilDonnées[[#This Row],[CultureDuration_days]]/7,0)</f>
        <v>6</v>
      </c>
      <c r="J2649">
        <v>3738</v>
      </c>
      <c r="K2649" t="str">
        <f>_xlfn.CONCAT(WEEKNUM(CompilDonnées[[#This Row],[PlantationDate]]), " ", YEAR(CompilDonnées[[#This Row],[PlantationDate]]))</f>
        <v>18 2025</v>
      </c>
      <c r="L2649" t="str">
        <f>CONCATENATE(MONTH(CompilDonnées[[#This Row],[PlantationDate]])," ", YEAR(CompilDonnées[[#This Row],[PlantationDate]]))</f>
        <v>4 2025</v>
      </c>
      <c r="M2649" t="str">
        <f>CONCATENATE(MONTH(CompilDonnées[[#This Row],[HarvestingDate]])," ", YEAR(CompilDonnées[[#This Row],[HarvestingDate]]))</f>
        <v>6 2025</v>
      </c>
      <c r="N2649">
        <f>_xlfn.NUMBERVALUE(CompilDonnées[[#This Row],[FarmID]]&amp;CompilDonnées[[#This Row],[ModuleNumber]]&amp;CompilDonnées[[#This Row],[PlantationDate]])</f>
        <v>109545776</v>
      </c>
      <c r="O2649" t="str">
        <f>CompilDonnées[[#This Row],[FarmID]]&amp;CompilDonnées[[#This Row],[ModuleNumber]]</f>
        <v>1095</v>
      </c>
      <c r="P2649" t="str">
        <f>CompilDonnées[[#This Row],[Ref_Module]]&amp;CompilDonnées[[#This Row],[HarvestingDate]]</f>
        <v>109545818</v>
      </c>
    </row>
    <row r="2650" spans="1:16">
      <c r="A2650" s="5">
        <v>45776</v>
      </c>
      <c r="B2650">
        <v>111</v>
      </c>
      <c r="C2650" t="s">
        <v>41</v>
      </c>
      <c r="D2650">
        <v>3</v>
      </c>
      <c r="E2650">
        <v>100</v>
      </c>
      <c r="F2650" t="s">
        <v>1</v>
      </c>
      <c r="G2650" s="6">
        <v>45814</v>
      </c>
      <c r="H2650">
        <v>38</v>
      </c>
      <c r="I2650">
        <f>ROUND(CompilDonnées[[#This Row],[CultureDuration_days]]/7,0)</f>
        <v>5</v>
      </c>
      <c r="J2650">
        <v>3176</v>
      </c>
      <c r="K2650" t="str">
        <f>_xlfn.CONCAT(WEEKNUM(CompilDonnées[[#This Row],[PlantationDate]]), " ", YEAR(CompilDonnées[[#This Row],[PlantationDate]]))</f>
        <v>18 2025</v>
      </c>
      <c r="L2650" t="str">
        <f>CONCATENATE(MONTH(CompilDonnées[[#This Row],[PlantationDate]])," ", YEAR(CompilDonnées[[#This Row],[PlantationDate]]))</f>
        <v>4 2025</v>
      </c>
      <c r="M2650" t="str">
        <f>CONCATENATE(MONTH(CompilDonnées[[#This Row],[HarvestingDate]])," ", YEAR(CompilDonnées[[#This Row],[HarvestingDate]]))</f>
        <v>6 2025</v>
      </c>
      <c r="N2650">
        <f>_xlfn.NUMBERVALUE(CompilDonnées[[#This Row],[FarmID]]&amp;CompilDonnées[[#This Row],[ModuleNumber]]&amp;CompilDonnées[[#This Row],[PlantationDate]])</f>
        <v>111345776</v>
      </c>
      <c r="O2650" t="str">
        <f>CompilDonnées[[#This Row],[FarmID]]&amp;CompilDonnées[[#This Row],[ModuleNumber]]</f>
        <v>1113</v>
      </c>
      <c r="P2650" t="str">
        <f>CompilDonnées[[#This Row],[Ref_Module]]&amp;CompilDonnées[[#This Row],[HarvestingDate]]</f>
        <v>111345814</v>
      </c>
    </row>
    <row r="2651" spans="1:16">
      <c r="A2651" s="5">
        <v>45776</v>
      </c>
      <c r="B2651">
        <v>112</v>
      </c>
      <c r="C2651" t="s">
        <v>15</v>
      </c>
      <c r="D2651">
        <v>3</v>
      </c>
      <c r="E2651">
        <v>100</v>
      </c>
      <c r="F2651" t="s">
        <v>1</v>
      </c>
      <c r="G2651" s="6">
        <v>45814</v>
      </c>
      <c r="H2651">
        <v>38</v>
      </c>
      <c r="I2651">
        <f>ROUND(CompilDonnées[[#This Row],[CultureDuration_days]]/7,0)</f>
        <v>5</v>
      </c>
      <c r="J2651">
        <v>2756</v>
      </c>
      <c r="K2651" t="str">
        <f>_xlfn.CONCAT(WEEKNUM(CompilDonnées[[#This Row],[PlantationDate]]), " ", YEAR(CompilDonnées[[#This Row],[PlantationDate]]))</f>
        <v>18 2025</v>
      </c>
      <c r="L2651" t="str">
        <f>CONCATENATE(MONTH(CompilDonnées[[#This Row],[PlantationDate]])," ", YEAR(CompilDonnées[[#This Row],[PlantationDate]]))</f>
        <v>4 2025</v>
      </c>
      <c r="M2651" t="str">
        <f>CONCATENATE(MONTH(CompilDonnées[[#This Row],[HarvestingDate]])," ", YEAR(CompilDonnées[[#This Row],[HarvestingDate]]))</f>
        <v>6 2025</v>
      </c>
      <c r="N2651">
        <f>_xlfn.NUMBERVALUE(CompilDonnées[[#This Row],[FarmID]]&amp;CompilDonnées[[#This Row],[ModuleNumber]]&amp;CompilDonnées[[#This Row],[PlantationDate]])</f>
        <v>112345776</v>
      </c>
      <c r="O2651" t="str">
        <f>CompilDonnées[[#This Row],[FarmID]]&amp;CompilDonnées[[#This Row],[ModuleNumber]]</f>
        <v>1123</v>
      </c>
      <c r="P2651" t="str">
        <f>CompilDonnées[[#This Row],[Ref_Module]]&amp;CompilDonnées[[#This Row],[HarvestingDate]]</f>
        <v>112345814</v>
      </c>
    </row>
    <row r="2652" spans="1:16">
      <c r="A2652" s="5">
        <v>45776</v>
      </c>
      <c r="B2652">
        <v>113</v>
      </c>
      <c r="C2652" t="s">
        <v>16</v>
      </c>
      <c r="D2652">
        <v>3</v>
      </c>
      <c r="E2652">
        <v>100</v>
      </c>
      <c r="F2652" t="s">
        <v>1</v>
      </c>
      <c r="G2652" s="6">
        <v>45818</v>
      </c>
      <c r="H2652">
        <v>42</v>
      </c>
      <c r="I2652">
        <f>ROUND(CompilDonnées[[#This Row],[CultureDuration_days]]/7,0)</f>
        <v>6</v>
      </c>
      <c r="J2652">
        <v>3147</v>
      </c>
      <c r="K2652" t="str">
        <f>_xlfn.CONCAT(WEEKNUM(CompilDonnées[[#This Row],[PlantationDate]]), " ", YEAR(CompilDonnées[[#This Row],[PlantationDate]]))</f>
        <v>18 2025</v>
      </c>
      <c r="L2652" t="str">
        <f>CONCATENATE(MONTH(CompilDonnées[[#This Row],[PlantationDate]])," ", YEAR(CompilDonnées[[#This Row],[PlantationDate]]))</f>
        <v>4 2025</v>
      </c>
      <c r="M2652" t="str">
        <f>CONCATENATE(MONTH(CompilDonnées[[#This Row],[HarvestingDate]])," ", YEAR(CompilDonnées[[#This Row],[HarvestingDate]]))</f>
        <v>6 2025</v>
      </c>
      <c r="N2652">
        <f>_xlfn.NUMBERVALUE(CompilDonnées[[#This Row],[FarmID]]&amp;CompilDonnées[[#This Row],[ModuleNumber]]&amp;CompilDonnées[[#This Row],[PlantationDate]])</f>
        <v>113345776</v>
      </c>
      <c r="O2652" t="str">
        <f>CompilDonnées[[#This Row],[FarmID]]&amp;CompilDonnées[[#This Row],[ModuleNumber]]</f>
        <v>1133</v>
      </c>
      <c r="P2652" t="str">
        <f>CompilDonnées[[#This Row],[Ref_Module]]&amp;CompilDonnées[[#This Row],[HarvestingDate]]</f>
        <v>113345818</v>
      </c>
    </row>
    <row r="2653" spans="1:16">
      <c r="A2653" s="5">
        <v>45776</v>
      </c>
      <c r="B2653">
        <v>115</v>
      </c>
      <c r="C2653" t="s">
        <v>121</v>
      </c>
      <c r="D2653">
        <v>4</v>
      </c>
      <c r="E2653">
        <v>100</v>
      </c>
      <c r="F2653" t="s">
        <v>1</v>
      </c>
      <c r="G2653" s="6">
        <v>45818</v>
      </c>
      <c r="H2653">
        <v>42</v>
      </c>
      <c r="I2653">
        <f>ROUND(CompilDonnées[[#This Row],[CultureDuration_days]]/7,0)</f>
        <v>6</v>
      </c>
      <c r="J2653">
        <v>3135</v>
      </c>
      <c r="K2653" t="str">
        <f>_xlfn.CONCAT(WEEKNUM(CompilDonnées[[#This Row],[PlantationDate]]), " ", YEAR(CompilDonnées[[#This Row],[PlantationDate]]))</f>
        <v>18 2025</v>
      </c>
      <c r="L2653" t="str">
        <f>CONCATENATE(MONTH(CompilDonnées[[#This Row],[PlantationDate]])," ", YEAR(CompilDonnées[[#This Row],[PlantationDate]]))</f>
        <v>4 2025</v>
      </c>
      <c r="M2653" t="str">
        <f>CONCATENATE(MONTH(CompilDonnées[[#This Row],[HarvestingDate]])," ", YEAR(CompilDonnées[[#This Row],[HarvestingDate]]))</f>
        <v>6 2025</v>
      </c>
      <c r="N2653">
        <f>_xlfn.NUMBERVALUE(CompilDonnées[[#This Row],[FarmID]]&amp;CompilDonnées[[#This Row],[ModuleNumber]]&amp;CompilDonnées[[#This Row],[PlantationDate]])</f>
        <v>115445776</v>
      </c>
      <c r="O2653" t="str">
        <f>CompilDonnées[[#This Row],[FarmID]]&amp;CompilDonnées[[#This Row],[ModuleNumber]]</f>
        <v>1154</v>
      </c>
      <c r="P2653" t="str">
        <f>CompilDonnées[[#This Row],[Ref_Module]]&amp;CompilDonnées[[#This Row],[HarvestingDate]]</f>
        <v>115445818</v>
      </c>
    </row>
    <row r="2654" spans="1:16">
      <c r="A2654" s="5">
        <v>45776</v>
      </c>
      <c r="B2654">
        <v>116</v>
      </c>
      <c r="C2654" t="s">
        <v>76</v>
      </c>
      <c r="D2654">
        <v>3</v>
      </c>
      <c r="E2654">
        <v>100</v>
      </c>
      <c r="F2654" t="s">
        <v>1</v>
      </c>
      <c r="G2654" s="6">
        <v>45819</v>
      </c>
      <c r="H2654">
        <v>43</v>
      </c>
      <c r="I2654">
        <f>ROUND(CompilDonnées[[#This Row],[CultureDuration_days]]/7,0)</f>
        <v>6</v>
      </c>
      <c r="J2654">
        <v>3156</v>
      </c>
      <c r="K2654" t="str">
        <f>_xlfn.CONCAT(WEEKNUM(CompilDonnées[[#This Row],[PlantationDate]]), " ", YEAR(CompilDonnées[[#This Row],[PlantationDate]]))</f>
        <v>18 2025</v>
      </c>
      <c r="L2654" t="str">
        <f>CONCATENATE(MONTH(CompilDonnées[[#This Row],[PlantationDate]])," ", YEAR(CompilDonnées[[#This Row],[PlantationDate]]))</f>
        <v>4 2025</v>
      </c>
      <c r="M2654" t="str">
        <f>CONCATENATE(MONTH(CompilDonnées[[#This Row],[HarvestingDate]])," ", YEAR(CompilDonnées[[#This Row],[HarvestingDate]]))</f>
        <v>6 2025</v>
      </c>
      <c r="N2654">
        <f>_xlfn.NUMBERVALUE(CompilDonnées[[#This Row],[FarmID]]&amp;CompilDonnées[[#This Row],[ModuleNumber]]&amp;CompilDonnées[[#This Row],[PlantationDate]])</f>
        <v>116345776</v>
      </c>
      <c r="O2654" t="str">
        <f>CompilDonnées[[#This Row],[FarmID]]&amp;CompilDonnées[[#This Row],[ModuleNumber]]</f>
        <v>1163</v>
      </c>
      <c r="P2654" t="str">
        <f>CompilDonnées[[#This Row],[Ref_Module]]&amp;CompilDonnées[[#This Row],[HarvestingDate]]</f>
        <v>116345819</v>
      </c>
    </row>
    <row r="2655" spans="1:16">
      <c r="A2655" s="5">
        <v>45776</v>
      </c>
      <c r="B2655">
        <v>118</v>
      </c>
      <c r="C2655" t="s">
        <v>51</v>
      </c>
      <c r="D2655">
        <v>3</v>
      </c>
      <c r="E2655">
        <v>100</v>
      </c>
      <c r="F2655" t="s">
        <v>1</v>
      </c>
      <c r="G2655" s="6">
        <v>45818</v>
      </c>
      <c r="H2655">
        <v>42</v>
      </c>
      <c r="I2655">
        <f>ROUND(CompilDonnées[[#This Row],[CultureDuration_days]]/7,0)</f>
        <v>6</v>
      </c>
      <c r="J2655">
        <v>2889</v>
      </c>
      <c r="K2655" t="str">
        <f>_xlfn.CONCAT(WEEKNUM(CompilDonnées[[#This Row],[PlantationDate]]), " ", YEAR(CompilDonnées[[#This Row],[PlantationDate]]))</f>
        <v>18 2025</v>
      </c>
      <c r="L2655" t="str">
        <f>CONCATENATE(MONTH(CompilDonnées[[#This Row],[PlantationDate]])," ", YEAR(CompilDonnées[[#This Row],[PlantationDate]]))</f>
        <v>4 2025</v>
      </c>
      <c r="M2655" t="str">
        <f>CONCATENATE(MONTH(CompilDonnées[[#This Row],[HarvestingDate]])," ", YEAR(CompilDonnées[[#This Row],[HarvestingDate]]))</f>
        <v>6 2025</v>
      </c>
      <c r="N2655">
        <f>_xlfn.NUMBERVALUE(CompilDonnées[[#This Row],[FarmID]]&amp;CompilDonnées[[#This Row],[ModuleNumber]]&amp;CompilDonnées[[#This Row],[PlantationDate]])</f>
        <v>118345776</v>
      </c>
      <c r="O2655" t="str">
        <f>CompilDonnées[[#This Row],[FarmID]]&amp;CompilDonnées[[#This Row],[ModuleNumber]]</f>
        <v>1183</v>
      </c>
      <c r="P2655" t="str">
        <f>CompilDonnées[[#This Row],[Ref_Module]]&amp;CompilDonnées[[#This Row],[HarvestingDate]]</f>
        <v>118345818</v>
      </c>
    </row>
    <row r="2656" spans="1:16">
      <c r="A2656" s="5">
        <v>45776</v>
      </c>
      <c r="B2656">
        <v>124</v>
      </c>
      <c r="C2656" t="s">
        <v>115</v>
      </c>
      <c r="D2656">
        <v>5</v>
      </c>
      <c r="E2656">
        <v>100</v>
      </c>
      <c r="F2656" t="s">
        <v>1</v>
      </c>
      <c r="G2656" s="6">
        <v>45814</v>
      </c>
      <c r="H2656">
        <v>38</v>
      </c>
      <c r="I2656">
        <f>ROUND(CompilDonnées[[#This Row],[CultureDuration_days]]/7,0)</f>
        <v>5</v>
      </c>
      <c r="J2656">
        <v>3503</v>
      </c>
      <c r="K2656" t="str">
        <f>_xlfn.CONCAT(WEEKNUM(CompilDonnées[[#This Row],[PlantationDate]]), " ", YEAR(CompilDonnées[[#This Row],[PlantationDate]]))</f>
        <v>18 2025</v>
      </c>
      <c r="L2656" t="str">
        <f>CONCATENATE(MONTH(CompilDonnées[[#This Row],[PlantationDate]])," ", YEAR(CompilDonnées[[#This Row],[PlantationDate]]))</f>
        <v>4 2025</v>
      </c>
      <c r="M2656" t="str">
        <f>CONCATENATE(MONTH(CompilDonnées[[#This Row],[HarvestingDate]])," ", YEAR(CompilDonnées[[#This Row],[HarvestingDate]]))</f>
        <v>6 2025</v>
      </c>
      <c r="N2656">
        <f>_xlfn.NUMBERVALUE(CompilDonnées[[#This Row],[FarmID]]&amp;CompilDonnées[[#This Row],[ModuleNumber]]&amp;CompilDonnées[[#This Row],[PlantationDate]])</f>
        <v>124545776</v>
      </c>
      <c r="O2656" t="str">
        <f>CompilDonnées[[#This Row],[FarmID]]&amp;CompilDonnées[[#This Row],[ModuleNumber]]</f>
        <v>1245</v>
      </c>
      <c r="P2656" t="str">
        <f>CompilDonnées[[#This Row],[Ref_Module]]&amp;CompilDonnées[[#This Row],[HarvestingDate]]</f>
        <v>124545814</v>
      </c>
    </row>
    <row r="2657" spans="1:16">
      <c r="A2657" s="5">
        <v>45776</v>
      </c>
      <c r="B2657">
        <v>125</v>
      </c>
      <c r="C2657" t="s">
        <v>101</v>
      </c>
      <c r="D2657">
        <v>4</v>
      </c>
      <c r="E2657">
        <v>100</v>
      </c>
      <c r="F2657" t="s">
        <v>1</v>
      </c>
      <c r="G2657" s="6">
        <v>45818</v>
      </c>
      <c r="H2657">
        <v>42</v>
      </c>
      <c r="I2657">
        <f>ROUND(CompilDonnées[[#This Row],[CultureDuration_days]]/7,0)</f>
        <v>6</v>
      </c>
      <c r="J2657">
        <v>3258</v>
      </c>
      <c r="K2657" t="str">
        <f>_xlfn.CONCAT(WEEKNUM(CompilDonnées[[#This Row],[PlantationDate]]), " ", YEAR(CompilDonnées[[#This Row],[PlantationDate]]))</f>
        <v>18 2025</v>
      </c>
      <c r="L2657" t="str">
        <f>CONCATENATE(MONTH(CompilDonnées[[#This Row],[PlantationDate]])," ", YEAR(CompilDonnées[[#This Row],[PlantationDate]]))</f>
        <v>4 2025</v>
      </c>
      <c r="M2657" t="str">
        <f>CONCATENATE(MONTH(CompilDonnées[[#This Row],[HarvestingDate]])," ", YEAR(CompilDonnées[[#This Row],[HarvestingDate]]))</f>
        <v>6 2025</v>
      </c>
      <c r="N2657">
        <f>_xlfn.NUMBERVALUE(CompilDonnées[[#This Row],[FarmID]]&amp;CompilDonnées[[#This Row],[ModuleNumber]]&amp;CompilDonnées[[#This Row],[PlantationDate]])</f>
        <v>125445776</v>
      </c>
      <c r="O2657" t="str">
        <f>CompilDonnées[[#This Row],[FarmID]]&amp;CompilDonnées[[#This Row],[ModuleNumber]]</f>
        <v>1254</v>
      </c>
      <c r="P2657" t="str">
        <f>CompilDonnées[[#This Row],[Ref_Module]]&amp;CompilDonnées[[#This Row],[HarvestingDate]]</f>
        <v>125445818</v>
      </c>
    </row>
    <row r="2658" spans="1:16">
      <c r="A2658" s="5">
        <v>45776</v>
      </c>
      <c r="B2658">
        <v>132</v>
      </c>
      <c r="C2658" t="s">
        <v>120</v>
      </c>
      <c r="D2658">
        <v>2</v>
      </c>
      <c r="E2658">
        <v>100</v>
      </c>
      <c r="F2658" t="s">
        <v>1</v>
      </c>
      <c r="G2658" s="6">
        <v>45818</v>
      </c>
      <c r="H2658">
        <v>42</v>
      </c>
      <c r="I2658">
        <f>ROUND(CompilDonnées[[#This Row],[CultureDuration_days]]/7,0)</f>
        <v>6</v>
      </c>
      <c r="J2658">
        <v>3313</v>
      </c>
      <c r="K2658" t="str">
        <f>_xlfn.CONCAT(WEEKNUM(CompilDonnées[[#This Row],[PlantationDate]]), " ", YEAR(CompilDonnées[[#This Row],[PlantationDate]]))</f>
        <v>18 2025</v>
      </c>
      <c r="L2658" t="str">
        <f>CONCATENATE(MONTH(CompilDonnées[[#This Row],[PlantationDate]])," ", YEAR(CompilDonnées[[#This Row],[PlantationDate]]))</f>
        <v>4 2025</v>
      </c>
      <c r="M2658" t="str">
        <f>CONCATENATE(MONTH(CompilDonnées[[#This Row],[HarvestingDate]])," ", YEAR(CompilDonnées[[#This Row],[HarvestingDate]]))</f>
        <v>6 2025</v>
      </c>
      <c r="N2658">
        <f>_xlfn.NUMBERVALUE(CompilDonnées[[#This Row],[FarmID]]&amp;CompilDonnées[[#This Row],[ModuleNumber]]&amp;CompilDonnées[[#This Row],[PlantationDate]])</f>
        <v>132245776</v>
      </c>
      <c r="O2658" t="str">
        <f>CompilDonnées[[#This Row],[FarmID]]&amp;CompilDonnées[[#This Row],[ModuleNumber]]</f>
        <v>1322</v>
      </c>
      <c r="P2658" t="str">
        <f>CompilDonnées[[#This Row],[Ref_Module]]&amp;CompilDonnées[[#This Row],[HarvestingDate]]</f>
        <v>132245818</v>
      </c>
    </row>
    <row r="2659" spans="1:16">
      <c r="A2659" s="5">
        <v>45776</v>
      </c>
      <c r="B2659">
        <v>139</v>
      </c>
      <c r="C2659" t="s">
        <v>103</v>
      </c>
      <c r="D2659">
        <v>3</v>
      </c>
      <c r="E2659">
        <v>100</v>
      </c>
      <c r="F2659" t="s">
        <v>1</v>
      </c>
      <c r="G2659" s="6">
        <v>45818</v>
      </c>
      <c r="H2659">
        <v>42</v>
      </c>
      <c r="I2659">
        <f>ROUND(CompilDonnées[[#This Row],[CultureDuration_days]]/7,0)</f>
        <v>6</v>
      </c>
      <c r="J2659">
        <v>2786</v>
      </c>
      <c r="K2659" t="str">
        <f>_xlfn.CONCAT(WEEKNUM(CompilDonnées[[#This Row],[PlantationDate]]), " ", YEAR(CompilDonnées[[#This Row],[PlantationDate]]))</f>
        <v>18 2025</v>
      </c>
      <c r="L2659" t="str">
        <f>CONCATENATE(MONTH(CompilDonnées[[#This Row],[PlantationDate]])," ", YEAR(CompilDonnées[[#This Row],[PlantationDate]]))</f>
        <v>4 2025</v>
      </c>
      <c r="M2659" t="str">
        <f>CONCATENATE(MONTH(CompilDonnées[[#This Row],[HarvestingDate]])," ", YEAR(CompilDonnées[[#This Row],[HarvestingDate]]))</f>
        <v>6 2025</v>
      </c>
      <c r="N2659">
        <f>_xlfn.NUMBERVALUE(CompilDonnées[[#This Row],[FarmID]]&amp;CompilDonnées[[#This Row],[ModuleNumber]]&amp;CompilDonnées[[#This Row],[PlantationDate]])</f>
        <v>139345776</v>
      </c>
      <c r="O2659" t="str">
        <f>CompilDonnées[[#This Row],[FarmID]]&amp;CompilDonnées[[#This Row],[ModuleNumber]]</f>
        <v>1393</v>
      </c>
      <c r="P2659" t="str">
        <f>CompilDonnées[[#This Row],[Ref_Module]]&amp;CompilDonnées[[#This Row],[HarvestingDate]]</f>
        <v>139345818</v>
      </c>
    </row>
    <row r="2660" spans="1:16">
      <c r="A2660" s="5">
        <v>45776</v>
      </c>
      <c r="B2660">
        <v>140</v>
      </c>
      <c r="C2660" t="s">
        <v>96</v>
      </c>
      <c r="D2660">
        <v>3</v>
      </c>
      <c r="E2660">
        <v>100</v>
      </c>
      <c r="F2660" t="s">
        <v>1</v>
      </c>
      <c r="G2660" s="6">
        <v>45818</v>
      </c>
      <c r="H2660">
        <v>42</v>
      </c>
      <c r="I2660">
        <f>ROUND(CompilDonnées[[#This Row],[CultureDuration_days]]/7,0)</f>
        <v>6</v>
      </c>
      <c r="J2660">
        <v>2878</v>
      </c>
      <c r="K2660" t="str">
        <f>_xlfn.CONCAT(WEEKNUM(CompilDonnées[[#This Row],[PlantationDate]]), " ", YEAR(CompilDonnées[[#This Row],[PlantationDate]]))</f>
        <v>18 2025</v>
      </c>
      <c r="L2660" t="str">
        <f>CONCATENATE(MONTH(CompilDonnées[[#This Row],[PlantationDate]])," ", YEAR(CompilDonnées[[#This Row],[PlantationDate]]))</f>
        <v>4 2025</v>
      </c>
      <c r="M2660" t="str">
        <f>CONCATENATE(MONTH(CompilDonnées[[#This Row],[HarvestingDate]])," ", YEAR(CompilDonnées[[#This Row],[HarvestingDate]]))</f>
        <v>6 2025</v>
      </c>
      <c r="N2660">
        <f>_xlfn.NUMBERVALUE(CompilDonnées[[#This Row],[FarmID]]&amp;CompilDonnées[[#This Row],[ModuleNumber]]&amp;CompilDonnées[[#This Row],[PlantationDate]])</f>
        <v>140345776</v>
      </c>
      <c r="O2660" t="str">
        <f>CompilDonnées[[#This Row],[FarmID]]&amp;CompilDonnées[[#This Row],[ModuleNumber]]</f>
        <v>1403</v>
      </c>
      <c r="P2660" t="str">
        <f>CompilDonnées[[#This Row],[Ref_Module]]&amp;CompilDonnées[[#This Row],[HarvestingDate]]</f>
        <v>140345818</v>
      </c>
    </row>
    <row r="2661" spans="1:16">
      <c r="A2661" s="5">
        <v>45776</v>
      </c>
      <c r="B2661">
        <v>144</v>
      </c>
      <c r="C2661" t="s">
        <v>3</v>
      </c>
      <c r="D2661">
        <v>1</v>
      </c>
      <c r="E2661">
        <v>60</v>
      </c>
      <c r="F2661" t="s">
        <v>105</v>
      </c>
      <c r="G2661" s="6">
        <v>45827</v>
      </c>
      <c r="H2661">
        <v>51</v>
      </c>
      <c r="I2661">
        <f>ROUND(CompilDonnées[[#This Row],[CultureDuration_days]]/7,0)</f>
        <v>7</v>
      </c>
      <c r="J2661">
        <v>1030</v>
      </c>
      <c r="K2661" t="str">
        <f>_xlfn.CONCAT(WEEKNUM(CompilDonnées[[#This Row],[PlantationDate]]), " ", YEAR(CompilDonnées[[#This Row],[PlantationDate]]))</f>
        <v>18 2025</v>
      </c>
      <c r="L2661" t="str">
        <f>CONCATENATE(MONTH(CompilDonnées[[#This Row],[PlantationDate]])," ", YEAR(CompilDonnées[[#This Row],[PlantationDate]]))</f>
        <v>4 2025</v>
      </c>
      <c r="M2661" t="str">
        <f>CONCATENATE(MONTH(CompilDonnées[[#This Row],[HarvestingDate]])," ", YEAR(CompilDonnées[[#This Row],[HarvestingDate]]))</f>
        <v>6 2025</v>
      </c>
      <c r="N2661">
        <f>_xlfn.NUMBERVALUE(CompilDonnées[[#This Row],[FarmID]]&amp;CompilDonnées[[#This Row],[ModuleNumber]]&amp;CompilDonnées[[#This Row],[PlantationDate]])</f>
        <v>144145776</v>
      </c>
      <c r="O2661" t="str">
        <f>CompilDonnées[[#This Row],[FarmID]]&amp;CompilDonnées[[#This Row],[ModuleNumber]]</f>
        <v>1441</v>
      </c>
      <c r="P2661" t="str">
        <f>CompilDonnées[[#This Row],[Ref_Module]]&amp;CompilDonnées[[#This Row],[HarvestingDate]]</f>
        <v>144145827</v>
      </c>
    </row>
    <row r="2662" spans="1:16">
      <c r="A2662" s="5">
        <v>45776</v>
      </c>
      <c r="B2662">
        <v>144</v>
      </c>
      <c r="C2662" t="s">
        <v>3</v>
      </c>
      <c r="D2662">
        <v>2</v>
      </c>
      <c r="E2662">
        <v>60</v>
      </c>
      <c r="F2662" t="s">
        <v>105</v>
      </c>
      <c r="G2662" s="6">
        <v>45827</v>
      </c>
      <c r="H2662">
        <v>51</v>
      </c>
      <c r="I2662">
        <f>ROUND(CompilDonnées[[#This Row],[CultureDuration_days]]/7,0)</f>
        <v>7</v>
      </c>
      <c r="J2662">
        <v>1038</v>
      </c>
      <c r="K2662" t="str">
        <f>_xlfn.CONCAT(WEEKNUM(CompilDonnées[[#This Row],[PlantationDate]]), " ", YEAR(CompilDonnées[[#This Row],[PlantationDate]]))</f>
        <v>18 2025</v>
      </c>
      <c r="L2662" t="str">
        <f>CONCATENATE(MONTH(CompilDonnées[[#This Row],[PlantationDate]])," ", YEAR(CompilDonnées[[#This Row],[PlantationDate]]))</f>
        <v>4 2025</v>
      </c>
      <c r="M2662" t="str">
        <f>CONCATENATE(MONTH(CompilDonnées[[#This Row],[HarvestingDate]])," ", YEAR(CompilDonnées[[#This Row],[HarvestingDate]]))</f>
        <v>6 2025</v>
      </c>
      <c r="N2662">
        <f>_xlfn.NUMBERVALUE(CompilDonnées[[#This Row],[FarmID]]&amp;CompilDonnées[[#This Row],[ModuleNumber]]&amp;CompilDonnées[[#This Row],[PlantationDate]])</f>
        <v>144245776</v>
      </c>
      <c r="O2662" t="str">
        <f>CompilDonnées[[#This Row],[FarmID]]&amp;CompilDonnées[[#This Row],[ModuleNumber]]</f>
        <v>1442</v>
      </c>
      <c r="P2662" t="str">
        <f>CompilDonnées[[#This Row],[Ref_Module]]&amp;CompilDonnées[[#This Row],[HarvestingDate]]</f>
        <v>144245827</v>
      </c>
    </row>
    <row r="2663" spans="1:16">
      <c r="A2663" s="5">
        <v>45777</v>
      </c>
      <c r="B2663">
        <v>58</v>
      </c>
      <c r="C2663" t="s">
        <v>35</v>
      </c>
      <c r="D2663">
        <v>2</v>
      </c>
      <c r="E2663">
        <v>100</v>
      </c>
      <c r="F2663" t="s">
        <v>1</v>
      </c>
      <c r="G2663" s="6">
        <v>45820</v>
      </c>
      <c r="H2663">
        <v>43</v>
      </c>
      <c r="I2663">
        <f>ROUND(CompilDonnées[[#This Row],[CultureDuration_days]]/7,0)</f>
        <v>6</v>
      </c>
      <c r="J2663">
        <v>3954</v>
      </c>
      <c r="K2663" t="str">
        <f>_xlfn.CONCAT(WEEKNUM(CompilDonnées[[#This Row],[PlantationDate]]), " ", YEAR(CompilDonnées[[#This Row],[PlantationDate]]))</f>
        <v>18 2025</v>
      </c>
      <c r="L2663" t="str">
        <f>CONCATENATE(MONTH(CompilDonnées[[#This Row],[PlantationDate]])," ", YEAR(CompilDonnées[[#This Row],[PlantationDate]]))</f>
        <v>4 2025</v>
      </c>
      <c r="M2663" t="str">
        <f>CONCATENATE(MONTH(CompilDonnées[[#This Row],[HarvestingDate]])," ", YEAR(CompilDonnées[[#This Row],[HarvestingDate]]))</f>
        <v>6 2025</v>
      </c>
      <c r="N2663">
        <f>_xlfn.NUMBERVALUE(CompilDonnées[[#This Row],[FarmID]]&amp;CompilDonnées[[#This Row],[ModuleNumber]]&amp;CompilDonnées[[#This Row],[PlantationDate]])</f>
        <v>58245777</v>
      </c>
      <c r="O2663" t="str">
        <f>CompilDonnées[[#This Row],[FarmID]]&amp;CompilDonnées[[#This Row],[ModuleNumber]]</f>
        <v>582</v>
      </c>
      <c r="P2663" t="str">
        <f>CompilDonnées[[#This Row],[Ref_Module]]&amp;CompilDonnées[[#This Row],[HarvestingDate]]</f>
        <v>58245820</v>
      </c>
    </row>
    <row r="2664" spans="1:16">
      <c r="A2664" s="5">
        <v>45777</v>
      </c>
      <c r="B2664">
        <v>64</v>
      </c>
      <c r="C2664" t="s">
        <v>47</v>
      </c>
      <c r="D2664">
        <v>2</v>
      </c>
      <c r="E2664">
        <v>100</v>
      </c>
      <c r="F2664" t="s">
        <v>1</v>
      </c>
      <c r="G2664" s="6">
        <v>45826</v>
      </c>
      <c r="H2664">
        <v>49</v>
      </c>
      <c r="I2664">
        <f>ROUND(CompilDonnées[[#This Row],[CultureDuration_days]]/7,0)</f>
        <v>7</v>
      </c>
      <c r="J2664">
        <v>2923</v>
      </c>
      <c r="K2664" t="str">
        <f>_xlfn.CONCAT(WEEKNUM(CompilDonnées[[#This Row],[PlantationDate]]), " ", YEAR(CompilDonnées[[#This Row],[PlantationDate]]))</f>
        <v>18 2025</v>
      </c>
      <c r="L2664" t="str">
        <f>CONCATENATE(MONTH(CompilDonnées[[#This Row],[PlantationDate]])," ", YEAR(CompilDonnées[[#This Row],[PlantationDate]]))</f>
        <v>4 2025</v>
      </c>
      <c r="M2664" t="str">
        <f>CONCATENATE(MONTH(CompilDonnées[[#This Row],[HarvestingDate]])," ", YEAR(CompilDonnées[[#This Row],[HarvestingDate]]))</f>
        <v>6 2025</v>
      </c>
      <c r="N2664">
        <f>_xlfn.NUMBERVALUE(CompilDonnées[[#This Row],[FarmID]]&amp;CompilDonnées[[#This Row],[ModuleNumber]]&amp;CompilDonnées[[#This Row],[PlantationDate]])</f>
        <v>64245777</v>
      </c>
      <c r="O2664" t="str">
        <f>CompilDonnées[[#This Row],[FarmID]]&amp;CompilDonnées[[#This Row],[ModuleNumber]]</f>
        <v>642</v>
      </c>
      <c r="P2664" t="str">
        <f>CompilDonnées[[#This Row],[Ref_Module]]&amp;CompilDonnées[[#This Row],[HarvestingDate]]</f>
        <v>64245826</v>
      </c>
    </row>
    <row r="2665" spans="1:16">
      <c r="A2665" s="5">
        <v>45777</v>
      </c>
      <c r="B2665">
        <v>64</v>
      </c>
      <c r="C2665" t="s">
        <v>47</v>
      </c>
      <c r="D2665">
        <v>3</v>
      </c>
      <c r="E2665">
        <v>100</v>
      </c>
      <c r="F2665" t="s">
        <v>1</v>
      </c>
      <c r="G2665" s="6">
        <v>45820</v>
      </c>
      <c r="H2665">
        <v>43</v>
      </c>
      <c r="I2665">
        <f>ROUND(CompilDonnées[[#This Row],[CultureDuration_days]]/7,0)</f>
        <v>6</v>
      </c>
      <c r="J2665">
        <v>2865</v>
      </c>
      <c r="K2665" t="str">
        <f>_xlfn.CONCAT(WEEKNUM(CompilDonnées[[#This Row],[PlantationDate]]), " ", YEAR(CompilDonnées[[#This Row],[PlantationDate]]))</f>
        <v>18 2025</v>
      </c>
      <c r="L2665" t="str">
        <f>CONCATENATE(MONTH(CompilDonnées[[#This Row],[PlantationDate]])," ", YEAR(CompilDonnées[[#This Row],[PlantationDate]]))</f>
        <v>4 2025</v>
      </c>
      <c r="M2665" t="str">
        <f>CONCATENATE(MONTH(CompilDonnées[[#This Row],[HarvestingDate]])," ", YEAR(CompilDonnées[[#This Row],[HarvestingDate]]))</f>
        <v>6 2025</v>
      </c>
      <c r="N2665">
        <f>_xlfn.NUMBERVALUE(CompilDonnées[[#This Row],[FarmID]]&amp;CompilDonnées[[#This Row],[ModuleNumber]]&amp;CompilDonnées[[#This Row],[PlantationDate]])</f>
        <v>64345777</v>
      </c>
      <c r="O2665" t="str">
        <f>CompilDonnées[[#This Row],[FarmID]]&amp;CompilDonnées[[#This Row],[ModuleNumber]]</f>
        <v>643</v>
      </c>
      <c r="P2665" t="str">
        <f>CompilDonnées[[#This Row],[Ref_Module]]&amp;CompilDonnées[[#This Row],[HarvestingDate]]</f>
        <v>64345820</v>
      </c>
    </row>
    <row r="2666" spans="1:16">
      <c r="A2666" s="5">
        <v>45777</v>
      </c>
      <c r="B2666">
        <v>67</v>
      </c>
      <c r="C2666" t="s">
        <v>28</v>
      </c>
      <c r="D2666">
        <v>1</v>
      </c>
      <c r="E2666">
        <v>100</v>
      </c>
      <c r="F2666" t="s">
        <v>1</v>
      </c>
      <c r="G2666" s="6">
        <v>45827</v>
      </c>
      <c r="H2666">
        <v>50</v>
      </c>
      <c r="I2666">
        <f>ROUND(CompilDonnées[[#This Row],[CultureDuration_days]]/7,0)</f>
        <v>7</v>
      </c>
      <c r="J2666">
        <v>2331</v>
      </c>
      <c r="K2666" t="str">
        <f>_xlfn.CONCAT(WEEKNUM(CompilDonnées[[#This Row],[PlantationDate]]), " ", YEAR(CompilDonnées[[#This Row],[PlantationDate]]))</f>
        <v>18 2025</v>
      </c>
      <c r="L2666" t="str">
        <f>CONCATENATE(MONTH(CompilDonnées[[#This Row],[PlantationDate]])," ", YEAR(CompilDonnées[[#This Row],[PlantationDate]]))</f>
        <v>4 2025</v>
      </c>
      <c r="M2666" t="str">
        <f>CONCATENATE(MONTH(CompilDonnées[[#This Row],[HarvestingDate]])," ", YEAR(CompilDonnées[[#This Row],[HarvestingDate]]))</f>
        <v>6 2025</v>
      </c>
      <c r="N2666">
        <f>_xlfn.NUMBERVALUE(CompilDonnées[[#This Row],[FarmID]]&amp;CompilDonnées[[#This Row],[ModuleNumber]]&amp;CompilDonnées[[#This Row],[PlantationDate]])</f>
        <v>67145777</v>
      </c>
      <c r="O2666" t="str">
        <f>CompilDonnées[[#This Row],[FarmID]]&amp;CompilDonnées[[#This Row],[ModuleNumber]]</f>
        <v>671</v>
      </c>
      <c r="P2666" t="str">
        <f>CompilDonnées[[#This Row],[Ref_Module]]&amp;CompilDonnées[[#This Row],[HarvestingDate]]</f>
        <v>67145827</v>
      </c>
    </row>
    <row r="2667" spans="1:16">
      <c r="A2667" s="5">
        <v>45777</v>
      </c>
      <c r="B2667">
        <v>67</v>
      </c>
      <c r="C2667" t="s">
        <v>28</v>
      </c>
      <c r="D2667">
        <v>5</v>
      </c>
      <c r="E2667">
        <v>100</v>
      </c>
      <c r="F2667" t="s">
        <v>1</v>
      </c>
      <c r="G2667" s="6">
        <v>45819</v>
      </c>
      <c r="H2667">
        <v>42</v>
      </c>
      <c r="I2667">
        <f>ROUND(CompilDonnées[[#This Row],[CultureDuration_days]]/7,0)</f>
        <v>6</v>
      </c>
      <c r="J2667">
        <v>4052</v>
      </c>
      <c r="K2667" t="str">
        <f>_xlfn.CONCAT(WEEKNUM(CompilDonnées[[#This Row],[PlantationDate]]), " ", YEAR(CompilDonnées[[#This Row],[PlantationDate]]))</f>
        <v>18 2025</v>
      </c>
      <c r="L2667" t="str">
        <f>CONCATENATE(MONTH(CompilDonnées[[#This Row],[PlantationDate]])," ", YEAR(CompilDonnées[[#This Row],[PlantationDate]]))</f>
        <v>4 2025</v>
      </c>
      <c r="M2667" t="str">
        <f>CONCATENATE(MONTH(CompilDonnées[[#This Row],[HarvestingDate]])," ", YEAR(CompilDonnées[[#This Row],[HarvestingDate]]))</f>
        <v>6 2025</v>
      </c>
      <c r="N2667">
        <f>_xlfn.NUMBERVALUE(CompilDonnées[[#This Row],[FarmID]]&amp;CompilDonnées[[#This Row],[ModuleNumber]]&amp;CompilDonnées[[#This Row],[PlantationDate]])</f>
        <v>67545777</v>
      </c>
      <c r="O2667" t="str">
        <f>CompilDonnées[[#This Row],[FarmID]]&amp;CompilDonnées[[#This Row],[ModuleNumber]]</f>
        <v>675</v>
      </c>
      <c r="P2667" t="str">
        <f>CompilDonnées[[#This Row],[Ref_Module]]&amp;CompilDonnées[[#This Row],[HarvestingDate]]</f>
        <v>67545819</v>
      </c>
    </row>
    <row r="2668" spans="1:16">
      <c r="A2668" s="5">
        <v>45777</v>
      </c>
      <c r="B2668">
        <v>68</v>
      </c>
      <c r="C2668" t="s">
        <v>89</v>
      </c>
      <c r="D2668">
        <v>1</v>
      </c>
      <c r="E2668">
        <v>100</v>
      </c>
      <c r="F2668" t="s">
        <v>1</v>
      </c>
      <c r="G2668" s="6">
        <v>45820</v>
      </c>
      <c r="H2668">
        <v>43</v>
      </c>
      <c r="I2668">
        <f>ROUND(CompilDonnées[[#This Row],[CultureDuration_days]]/7,0)</f>
        <v>6</v>
      </c>
      <c r="J2668">
        <v>3694</v>
      </c>
      <c r="K2668" t="str">
        <f>_xlfn.CONCAT(WEEKNUM(CompilDonnées[[#This Row],[PlantationDate]]), " ", YEAR(CompilDonnées[[#This Row],[PlantationDate]]))</f>
        <v>18 2025</v>
      </c>
      <c r="L2668" t="str">
        <f>CONCATENATE(MONTH(CompilDonnées[[#This Row],[PlantationDate]])," ", YEAR(CompilDonnées[[#This Row],[PlantationDate]]))</f>
        <v>4 2025</v>
      </c>
      <c r="M2668" t="str">
        <f>CONCATENATE(MONTH(CompilDonnées[[#This Row],[HarvestingDate]])," ", YEAR(CompilDonnées[[#This Row],[HarvestingDate]]))</f>
        <v>6 2025</v>
      </c>
      <c r="N2668">
        <f>_xlfn.NUMBERVALUE(CompilDonnées[[#This Row],[FarmID]]&amp;CompilDonnées[[#This Row],[ModuleNumber]]&amp;CompilDonnées[[#This Row],[PlantationDate]])</f>
        <v>68145777</v>
      </c>
      <c r="O2668" t="str">
        <f>CompilDonnées[[#This Row],[FarmID]]&amp;CompilDonnées[[#This Row],[ModuleNumber]]</f>
        <v>681</v>
      </c>
      <c r="P2668" t="str">
        <f>CompilDonnées[[#This Row],[Ref_Module]]&amp;CompilDonnées[[#This Row],[HarvestingDate]]</f>
        <v>68145820</v>
      </c>
    </row>
    <row r="2669" spans="1:16">
      <c r="A2669" s="5">
        <v>45777</v>
      </c>
      <c r="B2669">
        <v>68</v>
      </c>
      <c r="C2669" t="s">
        <v>89</v>
      </c>
      <c r="D2669">
        <v>6</v>
      </c>
      <c r="E2669">
        <v>100</v>
      </c>
      <c r="F2669" t="s">
        <v>1</v>
      </c>
      <c r="G2669" s="6">
        <v>45820</v>
      </c>
      <c r="H2669">
        <v>43</v>
      </c>
      <c r="I2669">
        <f>ROUND(CompilDonnées[[#This Row],[CultureDuration_days]]/7,0)</f>
        <v>6</v>
      </c>
      <c r="J2669">
        <v>3539</v>
      </c>
      <c r="K2669" t="str">
        <f>_xlfn.CONCAT(WEEKNUM(CompilDonnées[[#This Row],[PlantationDate]]), " ", YEAR(CompilDonnées[[#This Row],[PlantationDate]]))</f>
        <v>18 2025</v>
      </c>
      <c r="L2669" t="str">
        <f>CONCATENATE(MONTH(CompilDonnées[[#This Row],[PlantationDate]])," ", YEAR(CompilDonnées[[#This Row],[PlantationDate]]))</f>
        <v>4 2025</v>
      </c>
      <c r="M2669" t="str">
        <f>CONCATENATE(MONTH(CompilDonnées[[#This Row],[HarvestingDate]])," ", YEAR(CompilDonnées[[#This Row],[HarvestingDate]]))</f>
        <v>6 2025</v>
      </c>
      <c r="N2669">
        <f>_xlfn.NUMBERVALUE(CompilDonnées[[#This Row],[FarmID]]&amp;CompilDonnées[[#This Row],[ModuleNumber]]&amp;CompilDonnées[[#This Row],[PlantationDate]])</f>
        <v>68645777</v>
      </c>
      <c r="O2669" t="str">
        <f>CompilDonnées[[#This Row],[FarmID]]&amp;CompilDonnées[[#This Row],[ModuleNumber]]</f>
        <v>686</v>
      </c>
      <c r="P2669" t="str">
        <f>CompilDonnées[[#This Row],[Ref_Module]]&amp;CompilDonnées[[#This Row],[HarvestingDate]]</f>
        <v>68645820</v>
      </c>
    </row>
    <row r="2670" spans="1:16">
      <c r="A2670" s="5">
        <v>45777</v>
      </c>
      <c r="B2670">
        <v>70</v>
      </c>
      <c r="C2670" t="s">
        <v>7</v>
      </c>
      <c r="D2670">
        <v>6</v>
      </c>
      <c r="E2670">
        <v>100</v>
      </c>
      <c r="F2670" t="s">
        <v>1</v>
      </c>
      <c r="G2670" s="6">
        <v>45819</v>
      </c>
      <c r="H2670">
        <v>42</v>
      </c>
      <c r="I2670">
        <f>ROUND(CompilDonnées[[#This Row],[CultureDuration_days]]/7,0)</f>
        <v>6</v>
      </c>
      <c r="J2670">
        <v>3158</v>
      </c>
      <c r="K2670" t="str">
        <f>_xlfn.CONCAT(WEEKNUM(CompilDonnées[[#This Row],[PlantationDate]]), " ", YEAR(CompilDonnées[[#This Row],[PlantationDate]]))</f>
        <v>18 2025</v>
      </c>
      <c r="L2670" t="str">
        <f>CONCATENATE(MONTH(CompilDonnées[[#This Row],[PlantationDate]])," ", YEAR(CompilDonnées[[#This Row],[PlantationDate]]))</f>
        <v>4 2025</v>
      </c>
      <c r="M2670" t="str">
        <f>CONCATENATE(MONTH(CompilDonnées[[#This Row],[HarvestingDate]])," ", YEAR(CompilDonnées[[#This Row],[HarvestingDate]]))</f>
        <v>6 2025</v>
      </c>
      <c r="N2670">
        <f>_xlfn.NUMBERVALUE(CompilDonnées[[#This Row],[FarmID]]&amp;CompilDonnées[[#This Row],[ModuleNumber]]&amp;CompilDonnées[[#This Row],[PlantationDate]])</f>
        <v>70645777</v>
      </c>
      <c r="O2670" t="str">
        <f>CompilDonnées[[#This Row],[FarmID]]&amp;CompilDonnées[[#This Row],[ModuleNumber]]</f>
        <v>706</v>
      </c>
      <c r="P2670" t="str">
        <f>CompilDonnées[[#This Row],[Ref_Module]]&amp;CompilDonnées[[#This Row],[HarvestingDate]]</f>
        <v>70645819</v>
      </c>
    </row>
    <row r="2671" spans="1:16">
      <c r="A2671" s="5">
        <v>45777</v>
      </c>
      <c r="B2671">
        <v>73</v>
      </c>
      <c r="C2671" t="s">
        <v>20</v>
      </c>
      <c r="D2671">
        <v>5</v>
      </c>
      <c r="E2671">
        <v>100</v>
      </c>
      <c r="F2671" t="s">
        <v>1</v>
      </c>
      <c r="G2671" s="6">
        <v>45820</v>
      </c>
      <c r="H2671">
        <v>43</v>
      </c>
      <c r="I2671">
        <f>ROUND(CompilDonnées[[#This Row],[CultureDuration_days]]/7,0)</f>
        <v>6</v>
      </c>
      <c r="J2671">
        <v>3301</v>
      </c>
      <c r="K2671" t="str">
        <f>_xlfn.CONCAT(WEEKNUM(CompilDonnées[[#This Row],[PlantationDate]]), " ", YEAR(CompilDonnées[[#This Row],[PlantationDate]]))</f>
        <v>18 2025</v>
      </c>
      <c r="L2671" t="str">
        <f>CONCATENATE(MONTH(CompilDonnées[[#This Row],[PlantationDate]])," ", YEAR(CompilDonnées[[#This Row],[PlantationDate]]))</f>
        <v>4 2025</v>
      </c>
      <c r="M2671" t="str">
        <f>CONCATENATE(MONTH(CompilDonnées[[#This Row],[HarvestingDate]])," ", YEAR(CompilDonnées[[#This Row],[HarvestingDate]]))</f>
        <v>6 2025</v>
      </c>
      <c r="N2671">
        <f>_xlfn.NUMBERVALUE(CompilDonnées[[#This Row],[FarmID]]&amp;CompilDonnées[[#This Row],[ModuleNumber]]&amp;CompilDonnées[[#This Row],[PlantationDate]])</f>
        <v>73545777</v>
      </c>
      <c r="O2671" t="str">
        <f>CompilDonnées[[#This Row],[FarmID]]&amp;CompilDonnées[[#This Row],[ModuleNumber]]</f>
        <v>735</v>
      </c>
      <c r="P2671" t="str">
        <f>CompilDonnées[[#This Row],[Ref_Module]]&amp;CompilDonnées[[#This Row],[HarvestingDate]]</f>
        <v>73545820</v>
      </c>
    </row>
    <row r="2672" spans="1:16">
      <c r="A2672" s="5">
        <v>45777</v>
      </c>
      <c r="B2672">
        <v>73</v>
      </c>
      <c r="C2672" t="s">
        <v>20</v>
      </c>
      <c r="D2672">
        <v>6</v>
      </c>
      <c r="E2672">
        <v>100</v>
      </c>
      <c r="F2672" t="s">
        <v>1</v>
      </c>
      <c r="G2672" s="6">
        <v>45819</v>
      </c>
      <c r="H2672">
        <v>42</v>
      </c>
      <c r="I2672">
        <f>ROUND(CompilDonnées[[#This Row],[CultureDuration_days]]/7,0)</f>
        <v>6</v>
      </c>
      <c r="J2672">
        <v>3534</v>
      </c>
      <c r="K2672" t="str">
        <f>_xlfn.CONCAT(WEEKNUM(CompilDonnées[[#This Row],[PlantationDate]]), " ", YEAR(CompilDonnées[[#This Row],[PlantationDate]]))</f>
        <v>18 2025</v>
      </c>
      <c r="L2672" t="str">
        <f>CONCATENATE(MONTH(CompilDonnées[[#This Row],[PlantationDate]])," ", YEAR(CompilDonnées[[#This Row],[PlantationDate]]))</f>
        <v>4 2025</v>
      </c>
      <c r="M2672" t="str">
        <f>CONCATENATE(MONTH(CompilDonnées[[#This Row],[HarvestingDate]])," ", YEAR(CompilDonnées[[#This Row],[HarvestingDate]]))</f>
        <v>6 2025</v>
      </c>
      <c r="N2672">
        <f>_xlfn.NUMBERVALUE(CompilDonnées[[#This Row],[FarmID]]&amp;CompilDonnées[[#This Row],[ModuleNumber]]&amp;CompilDonnées[[#This Row],[PlantationDate]])</f>
        <v>73645777</v>
      </c>
      <c r="O2672" t="str">
        <f>CompilDonnées[[#This Row],[FarmID]]&amp;CompilDonnées[[#This Row],[ModuleNumber]]</f>
        <v>736</v>
      </c>
      <c r="P2672" t="str">
        <f>CompilDonnées[[#This Row],[Ref_Module]]&amp;CompilDonnées[[#This Row],[HarvestingDate]]</f>
        <v>73645819</v>
      </c>
    </row>
    <row r="2673" spans="1:16">
      <c r="A2673" s="5">
        <v>45777</v>
      </c>
      <c r="B2673">
        <v>79</v>
      </c>
      <c r="C2673" t="s">
        <v>61</v>
      </c>
      <c r="D2673">
        <v>4</v>
      </c>
      <c r="E2673">
        <v>100</v>
      </c>
      <c r="F2673" t="s">
        <v>1</v>
      </c>
      <c r="G2673" s="6">
        <v>45813</v>
      </c>
      <c r="H2673">
        <v>36</v>
      </c>
      <c r="I2673">
        <f>ROUND(CompilDonnées[[#This Row],[CultureDuration_days]]/7,0)</f>
        <v>5</v>
      </c>
      <c r="J2673">
        <v>3529</v>
      </c>
      <c r="K2673" t="str">
        <f>_xlfn.CONCAT(WEEKNUM(CompilDonnées[[#This Row],[PlantationDate]]), " ", YEAR(CompilDonnées[[#This Row],[PlantationDate]]))</f>
        <v>18 2025</v>
      </c>
      <c r="L2673" t="str">
        <f>CONCATENATE(MONTH(CompilDonnées[[#This Row],[PlantationDate]])," ", YEAR(CompilDonnées[[#This Row],[PlantationDate]]))</f>
        <v>4 2025</v>
      </c>
      <c r="M2673" t="str">
        <f>CONCATENATE(MONTH(CompilDonnées[[#This Row],[HarvestingDate]])," ", YEAR(CompilDonnées[[#This Row],[HarvestingDate]]))</f>
        <v>6 2025</v>
      </c>
      <c r="N2673">
        <f>_xlfn.NUMBERVALUE(CompilDonnées[[#This Row],[FarmID]]&amp;CompilDonnées[[#This Row],[ModuleNumber]]&amp;CompilDonnées[[#This Row],[PlantationDate]])</f>
        <v>79445777</v>
      </c>
      <c r="O2673" t="str">
        <f>CompilDonnées[[#This Row],[FarmID]]&amp;CompilDonnées[[#This Row],[ModuleNumber]]</f>
        <v>794</v>
      </c>
      <c r="P2673" t="str">
        <f>CompilDonnées[[#This Row],[Ref_Module]]&amp;CompilDonnées[[#This Row],[HarvestingDate]]</f>
        <v>79445813</v>
      </c>
    </row>
    <row r="2674" spans="1:16">
      <c r="A2674" s="5">
        <v>45777</v>
      </c>
      <c r="B2674">
        <v>80</v>
      </c>
      <c r="C2674" t="s">
        <v>29</v>
      </c>
      <c r="D2674">
        <v>3</v>
      </c>
      <c r="E2674">
        <v>100</v>
      </c>
      <c r="F2674" t="s">
        <v>1</v>
      </c>
      <c r="G2674" s="6">
        <v>45820</v>
      </c>
      <c r="H2674">
        <v>43</v>
      </c>
      <c r="I2674">
        <f>ROUND(CompilDonnées[[#This Row],[CultureDuration_days]]/7,0)</f>
        <v>6</v>
      </c>
      <c r="J2674">
        <v>4277</v>
      </c>
      <c r="K2674" t="str">
        <f>_xlfn.CONCAT(WEEKNUM(CompilDonnées[[#This Row],[PlantationDate]]), " ", YEAR(CompilDonnées[[#This Row],[PlantationDate]]))</f>
        <v>18 2025</v>
      </c>
      <c r="L2674" t="str">
        <f>CONCATENATE(MONTH(CompilDonnées[[#This Row],[PlantationDate]])," ", YEAR(CompilDonnées[[#This Row],[PlantationDate]]))</f>
        <v>4 2025</v>
      </c>
      <c r="M2674" t="str">
        <f>CONCATENATE(MONTH(CompilDonnées[[#This Row],[HarvestingDate]])," ", YEAR(CompilDonnées[[#This Row],[HarvestingDate]]))</f>
        <v>6 2025</v>
      </c>
      <c r="N2674">
        <f>_xlfn.NUMBERVALUE(CompilDonnées[[#This Row],[FarmID]]&amp;CompilDonnées[[#This Row],[ModuleNumber]]&amp;CompilDonnées[[#This Row],[PlantationDate]])</f>
        <v>80345777</v>
      </c>
      <c r="O2674" t="str">
        <f>CompilDonnées[[#This Row],[FarmID]]&amp;CompilDonnées[[#This Row],[ModuleNumber]]</f>
        <v>803</v>
      </c>
      <c r="P2674" t="str">
        <f>CompilDonnées[[#This Row],[Ref_Module]]&amp;CompilDonnées[[#This Row],[HarvestingDate]]</f>
        <v>80345820</v>
      </c>
    </row>
    <row r="2675" spans="1:16">
      <c r="A2675" s="5">
        <v>45777</v>
      </c>
      <c r="B2675">
        <v>81</v>
      </c>
      <c r="C2675" t="s">
        <v>30</v>
      </c>
      <c r="D2675">
        <v>5</v>
      </c>
      <c r="E2675">
        <v>100</v>
      </c>
      <c r="F2675" t="s">
        <v>1</v>
      </c>
      <c r="G2675" s="6">
        <v>45812</v>
      </c>
      <c r="H2675">
        <v>35</v>
      </c>
      <c r="I2675">
        <f>ROUND(CompilDonnées[[#This Row],[CultureDuration_days]]/7,0)</f>
        <v>5</v>
      </c>
      <c r="J2675">
        <v>2938</v>
      </c>
      <c r="K2675" t="str">
        <f>_xlfn.CONCAT(WEEKNUM(CompilDonnées[[#This Row],[PlantationDate]]), " ", YEAR(CompilDonnées[[#This Row],[PlantationDate]]))</f>
        <v>18 2025</v>
      </c>
      <c r="L2675" t="str">
        <f>CONCATENATE(MONTH(CompilDonnées[[#This Row],[PlantationDate]])," ", YEAR(CompilDonnées[[#This Row],[PlantationDate]]))</f>
        <v>4 2025</v>
      </c>
      <c r="M2675" t="str">
        <f>CONCATENATE(MONTH(CompilDonnées[[#This Row],[HarvestingDate]])," ", YEAR(CompilDonnées[[#This Row],[HarvestingDate]]))</f>
        <v>6 2025</v>
      </c>
      <c r="N2675">
        <f>_xlfn.NUMBERVALUE(CompilDonnées[[#This Row],[FarmID]]&amp;CompilDonnées[[#This Row],[ModuleNumber]]&amp;CompilDonnées[[#This Row],[PlantationDate]])</f>
        <v>81545777</v>
      </c>
      <c r="O2675" t="str">
        <f>CompilDonnées[[#This Row],[FarmID]]&amp;CompilDonnées[[#This Row],[ModuleNumber]]</f>
        <v>815</v>
      </c>
      <c r="P2675" t="str">
        <f>CompilDonnées[[#This Row],[Ref_Module]]&amp;CompilDonnées[[#This Row],[HarvestingDate]]</f>
        <v>81545812</v>
      </c>
    </row>
    <row r="2676" spans="1:16">
      <c r="A2676" s="5">
        <v>45777</v>
      </c>
      <c r="B2676">
        <v>85</v>
      </c>
      <c r="C2676" t="s">
        <v>56</v>
      </c>
      <c r="D2676">
        <v>2</v>
      </c>
      <c r="E2676">
        <v>100</v>
      </c>
      <c r="F2676" t="s">
        <v>1</v>
      </c>
      <c r="G2676" s="6">
        <v>45827</v>
      </c>
      <c r="H2676">
        <v>50</v>
      </c>
      <c r="I2676">
        <f>ROUND(CompilDonnées[[#This Row],[CultureDuration_days]]/7,0)</f>
        <v>7</v>
      </c>
      <c r="J2676">
        <v>2766</v>
      </c>
      <c r="K2676" t="str">
        <f>_xlfn.CONCAT(WEEKNUM(CompilDonnées[[#This Row],[PlantationDate]]), " ", YEAR(CompilDonnées[[#This Row],[PlantationDate]]))</f>
        <v>18 2025</v>
      </c>
      <c r="L2676" t="str">
        <f>CONCATENATE(MONTH(CompilDonnées[[#This Row],[PlantationDate]])," ", YEAR(CompilDonnées[[#This Row],[PlantationDate]]))</f>
        <v>4 2025</v>
      </c>
      <c r="M2676" t="str">
        <f>CONCATENATE(MONTH(CompilDonnées[[#This Row],[HarvestingDate]])," ", YEAR(CompilDonnées[[#This Row],[HarvestingDate]]))</f>
        <v>6 2025</v>
      </c>
      <c r="N2676">
        <f>_xlfn.NUMBERVALUE(CompilDonnées[[#This Row],[FarmID]]&amp;CompilDonnées[[#This Row],[ModuleNumber]]&amp;CompilDonnées[[#This Row],[PlantationDate]])</f>
        <v>85245777</v>
      </c>
      <c r="O2676" t="str">
        <f>CompilDonnées[[#This Row],[FarmID]]&amp;CompilDonnées[[#This Row],[ModuleNumber]]</f>
        <v>852</v>
      </c>
      <c r="P2676" t="str">
        <f>CompilDonnées[[#This Row],[Ref_Module]]&amp;CompilDonnées[[#This Row],[HarvestingDate]]</f>
        <v>85245827</v>
      </c>
    </row>
    <row r="2677" spans="1:16">
      <c r="A2677" s="5">
        <v>45777</v>
      </c>
      <c r="B2677">
        <v>86</v>
      </c>
      <c r="C2677" t="s">
        <v>37</v>
      </c>
      <c r="D2677">
        <v>1</v>
      </c>
      <c r="E2677">
        <v>100</v>
      </c>
      <c r="F2677" t="s">
        <v>1</v>
      </c>
      <c r="G2677" s="6">
        <v>45814</v>
      </c>
      <c r="H2677">
        <v>37</v>
      </c>
      <c r="I2677">
        <f>ROUND(CompilDonnées[[#This Row],[CultureDuration_days]]/7,0)</f>
        <v>5</v>
      </c>
      <c r="J2677">
        <v>2346</v>
      </c>
      <c r="K2677" t="str">
        <f>_xlfn.CONCAT(WEEKNUM(CompilDonnées[[#This Row],[PlantationDate]]), " ", YEAR(CompilDonnées[[#This Row],[PlantationDate]]))</f>
        <v>18 2025</v>
      </c>
      <c r="L2677" t="str">
        <f>CONCATENATE(MONTH(CompilDonnées[[#This Row],[PlantationDate]])," ", YEAR(CompilDonnées[[#This Row],[PlantationDate]]))</f>
        <v>4 2025</v>
      </c>
      <c r="M2677" t="str">
        <f>CONCATENATE(MONTH(CompilDonnées[[#This Row],[HarvestingDate]])," ", YEAR(CompilDonnées[[#This Row],[HarvestingDate]]))</f>
        <v>6 2025</v>
      </c>
      <c r="N2677">
        <f>_xlfn.NUMBERVALUE(CompilDonnées[[#This Row],[FarmID]]&amp;CompilDonnées[[#This Row],[ModuleNumber]]&amp;CompilDonnées[[#This Row],[PlantationDate]])</f>
        <v>86145777</v>
      </c>
      <c r="O2677" t="str">
        <f>CompilDonnées[[#This Row],[FarmID]]&amp;CompilDonnées[[#This Row],[ModuleNumber]]</f>
        <v>861</v>
      </c>
      <c r="P2677" t="str">
        <f>CompilDonnées[[#This Row],[Ref_Module]]&amp;CompilDonnées[[#This Row],[HarvestingDate]]</f>
        <v>86145814</v>
      </c>
    </row>
    <row r="2678" spans="1:16">
      <c r="A2678" s="5">
        <v>45777</v>
      </c>
      <c r="B2678">
        <v>87</v>
      </c>
      <c r="C2678" t="s">
        <v>38</v>
      </c>
      <c r="D2678">
        <v>3</v>
      </c>
      <c r="E2678">
        <v>100</v>
      </c>
      <c r="F2678" t="s">
        <v>1</v>
      </c>
      <c r="G2678" s="6">
        <v>45820</v>
      </c>
      <c r="H2678">
        <v>43</v>
      </c>
      <c r="I2678">
        <f>ROUND(CompilDonnées[[#This Row],[CultureDuration_days]]/7,0)</f>
        <v>6</v>
      </c>
      <c r="J2678">
        <v>3487</v>
      </c>
      <c r="K2678" t="str">
        <f>_xlfn.CONCAT(WEEKNUM(CompilDonnées[[#This Row],[PlantationDate]]), " ", YEAR(CompilDonnées[[#This Row],[PlantationDate]]))</f>
        <v>18 2025</v>
      </c>
      <c r="L2678" t="str">
        <f>CONCATENATE(MONTH(CompilDonnées[[#This Row],[PlantationDate]])," ", YEAR(CompilDonnées[[#This Row],[PlantationDate]]))</f>
        <v>4 2025</v>
      </c>
      <c r="M2678" t="str">
        <f>CONCATENATE(MONTH(CompilDonnées[[#This Row],[HarvestingDate]])," ", YEAR(CompilDonnées[[#This Row],[HarvestingDate]]))</f>
        <v>6 2025</v>
      </c>
      <c r="N2678">
        <f>_xlfn.NUMBERVALUE(CompilDonnées[[#This Row],[FarmID]]&amp;CompilDonnées[[#This Row],[ModuleNumber]]&amp;CompilDonnées[[#This Row],[PlantationDate]])</f>
        <v>87345777</v>
      </c>
      <c r="O2678" t="str">
        <f>CompilDonnées[[#This Row],[FarmID]]&amp;CompilDonnées[[#This Row],[ModuleNumber]]</f>
        <v>873</v>
      </c>
      <c r="P2678" t="str">
        <f>CompilDonnées[[#This Row],[Ref_Module]]&amp;CompilDonnées[[#This Row],[HarvestingDate]]</f>
        <v>87345820</v>
      </c>
    </row>
    <row r="2679" spans="1:16">
      <c r="A2679" s="5">
        <v>45777</v>
      </c>
      <c r="B2679">
        <v>90</v>
      </c>
      <c r="C2679" t="s">
        <v>72</v>
      </c>
      <c r="D2679">
        <v>3</v>
      </c>
      <c r="E2679">
        <v>100</v>
      </c>
      <c r="F2679" t="s">
        <v>1</v>
      </c>
      <c r="G2679" s="6">
        <v>45827</v>
      </c>
      <c r="H2679">
        <v>50</v>
      </c>
      <c r="I2679">
        <f>ROUND(CompilDonnées[[#This Row],[CultureDuration_days]]/7,0)</f>
        <v>7</v>
      </c>
      <c r="J2679">
        <v>2762</v>
      </c>
      <c r="K2679" t="str">
        <f>_xlfn.CONCAT(WEEKNUM(CompilDonnées[[#This Row],[PlantationDate]]), " ", YEAR(CompilDonnées[[#This Row],[PlantationDate]]))</f>
        <v>18 2025</v>
      </c>
      <c r="L2679" t="str">
        <f>CONCATENATE(MONTH(CompilDonnées[[#This Row],[PlantationDate]])," ", YEAR(CompilDonnées[[#This Row],[PlantationDate]]))</f>
        <v>4 2025</v>
      </c>
      <c r="M2679" t="str">
        <f>CONCATENATE(MONTH(CompilDonnées[[#This Row],[HarvestingDate]])," ", YEAR(CompilDonnées[[#This Row],[HarvestingDate]]))</f>
        <v>6 2025</v>
      </c>
      <c r="N2679">
        <f>_xlfn.NUMBERVALUE(CompilDonnées[[#This Row],[FarmID]]&amp;CompilDonnées[[#This Row],[ModuleNumber]]&amp;CompilDonnées[[#This Row],[PlantationDate]])</f>
        <v>90345777</v>
      </c>
      <c r="O2679" t="str">
        <f>CompilDonnées[[#This Row],[FarmID]]&amp;CompilDonnées[[#This Row],[ModuleNumber]]</f>
        <v>903</v>
      </c>
      <c r="P2679" t="str">
        <f>CompilDonnées[[#This Row],[Ref_Module]]&amp;CompilDonnées[[#This Row],[HarvestingDate]]</f>
        <v>90345827</v>
      </c>
    </row>
    <row r="2680" spans="1:16">
      <c r="A2680" s="5">
        <v>45777</v>
      </c>
      <c r="B2680">
        <v>91</v>
      </c>
      <c r="C2680" t="s">
        <v>9</v>
      </c>
      <c r="D2680">
        <v>5</v>
      </c>
      <c r="E2680">
        <v>100</v>
      </c>
      <c r="F2680" t="s">
        <v>1</v>
      </c>
      <c r="G2680" s="6">
        <v>45820</v>
      </c>
      <c r="H2680">
        <v>43</v>
      </c>
      <c r="I2680">
        <f>ROUND(CompilDonnées[[#This Row],[CultureDuration_days]]/7,0)</f>
        <v>6</v>
      </c>
      <c r="J2680">
        <v>3447</v>
      </c>
      <c r="K2680" t="str">
        <f>_xlfn.CONCAT(WEEKNUM(CompilDonnées[[#This Row],[PlantationDate]]), " ", YEAR(CompilDonnées[[#This Row],[PlantationDate]]))</f>
        <v>18 2025</v>
      </c>
      <c r="L2680" t="str">
        <f>CONCATENATE(MONTH(CompilDonnées[[#This Row],[PlantationDate]])," ", YEAR(CompilDonnées[[#This Row],[PlantationDate]]))</f>
        <v>4 2025</v>
      </c>
      <c r="M2680" t="str">
        <f>CONCATENATE(MONTH(CompilDonnées[[#This Row],[HarvestingDate]])," ", YEAR(CompilDonnées[[#This Row],[HarvestingDate]]))</f>
        <v>6 2025</v>
      </c>
      <c r="N2680">
        <f>_xlfn.NUMBERVALUE(CompilDonnées[[#This Row],[FarmID]]&amp;CompilDonnées[[#This Row],[ModuleNumber]]&amp;CompilDonnées[[#This Row],[PlantationDate]])</f>
        <v>91545777</v>
      </c>
      <c r="O2680" t="str">
        <f>CompilDonnées[[#This Row],[FarmID]]&amp;CompilDonnées[[#This Row],[ModuleNumber]]</f>
        <v>915</v>
      </c>
      <c r="P2680" t="str">
        <f>CompilDonnées[[#This Row],[Ref_Module]]&amp;CompilDonnées[[#This Row],[HarvestingDate]]</f>
        <v>91545820</v>
      </c>
    </row>
    <row r="2681" spans="1:16">
      <c r="A2681" s="5">
        <v>45777</v>
      </c>
      <c r="B2681">
        <v>95</v>
      </c>
      <c r="C2681" t="s">
        <v>90</v>
      </c>
      <c r="D2681">
        <v>3</v>
      </c>
      <c r="E2681">
        <v>100</v>
      </c>
      <c r="F2681" t="s">
        <v>1</v>
      </c>
      <c r="G2681" s="6">
        <v>45827</v>
      </c>
      <c r="H2681">
        <v>50</v>
      </c>
      <c r="I2681">
        <f>ROUND(CompilDonnées[[#This Row],[CultureDuration_days]]/7,0)</f>
        <v>7</v>
      </c>
      <c r="J2681">
        <v>3004</v>
      </c>
      <c r="K2681" t="str">
        <f>_xlfn.CONCAT(WEEKNUM(CompilDonnées[[#This Row],[PlantationDate]]), " ", YEAR(CompilDonnées[[#This Row],[PlantationDate]]))</f>
        <v>18 2025</v>
      </c>
      <c r="L2681" t="str">
        <f>CONCATENATE(MONTH(CompilDonnées[[#This Row],[PlantationDate]])," ", YEAR(CompilDonnées[[#This Row],[PlantationDate]]))</f>
        <v>4 2025</v>
      </c>
      <c r="M2681" t="str">
        <f>CONCATENATE(MONTH(CompilDonnées[[#This Row],[HarvestingDate]])," ", YEAR(CompilDonnées[[#This Row],[HarvestingDate]]))</f>
        <v>6 2025</v>
      </c>
      <c r="N2681">
        <f>_xlfn.NUMBERVALUE(CompilDonnées[[#This Row],[FarmID]]&amp;CompilDonnées[[#This Row],[ModuleNumber]]&amp;CompilDonnées[[#This Row],[PlantationDate]])</f>
        <v>95345777</v>
      </c>
      <c r="O2681" t="str">
        <f>CompilDonnées[[#This Row],[FarmID]]&amp;CompilDonnées[[#This Row],[ModuleNumber]]</f>
        <v>953</v>
      </c>
      <c r="P2681" t="str">
        <f>CompilDonnées[[#This Row],[Ref_Module]]&amp;CompilDonnées[[#This Row],[HarvestingDate]]</f>
        <v>95345827</v>
      </c>
    </row>
    <row r="2682" spans="1:16">
      <c r="A2682" s="5">
        <v>45777</v>
      </c>
      <c r="B2682">
        <v>96</v>
      </c>
      <c r="C2682" t="s">
        <v>125</v>
      </c>
      <c r="D2682">
        <v>5</v>
      </c>
      <c r="E2682">
        <v>100</v>
      </c>
      <c r="F2682" t="s">
        <v>1</v>
      </c>
      <c r="G2682" s="6">
        <v>45819</v>
      </c>
      <c r="H2682">
        <v>42</v>
      </c>
      <c r="I2682">
        <f>ROUND(CompilDonnées[[#This Row],[CultureDuration_days]]/7,0)</f>
        <v>6</v>
      </c>
      <c r="J2682">
        <v>2822</v>
      </c>
      <c r="K2682" t="str">
        <f>_xlfn.CONCAT(WEEKNUM(CompilDonnées[[#This Row],[PlantationDate]]), " ", YEAR(CompilDonnées[[#This Row],[PlantationDate]]))</f>
        <v>18 2025</v>
      </c>
      <c r="L2682" t="str">
        <f>CONCATENATE(MONTH(CompilDonnées[[#This Row],[PlantationDate]])," ", YEAR(CompilDonnées[[#This Row],[PlantationDate]]))</f>
        <v>4 2025</v>
      </c>
      <c r="M2682" t="str">
        <f>CONCATENATE(MONTH(CompilDonnées[[#This Row],[HarvestingDate]])," ", YEAR(CompilDonnées[[#This Row],[HarvestingDate]]))</f>
        <v>6 2025</v>
      </c>
      <c r="N2682">
        <f>_xlfn.NUMBERVALUE(CompilDonnées[[#This Row],[FarmID]]&amp;CompilDonnées[[#This Row],[ModuleNumber]]&amp;CompilDonnées[[#This Row],[PlantationDate]])</f>
        <v>96545777</v>
      </c>
      <c r="O2682" t="str">
        <f>CompilDonnées[[#This Row],[FarmID]]&amp;CompilDonnées[[#This Row],[ModuleNumber]]</f>
        <v>965</v>
      </c>
      <c r="P2682" t="str">
        <f>CompilDonnées[[#This Row],[Ref_Module]]&amp;CompilDonnées[[#This Row],[HarvestingDate]]</f>
        <v>96545819</v>
      </c>
    </row>
    <row r="2683" spans="1:16">
      <c r="A2683" s="5">
        <v>45777</v>
      </c>
      <c r="B2683">
        <v>97</v>
      </c>
      <c r="C2683" t="s">
        <v>78</v>
      </c>
      <c r="D2683">
        <v>6</v>
      </c>
      <c r="E2683">
        <v>100</v>
      </c>
      <c r="F2683" t="s">
        <v>1</v>
      </c>
      <c r="G2683" s="6">
        <v>45818</v>
      </c>
      <c r="H2683">
        <v>41</v>
      </c>
      <c r="I2683">
        <f>ROUND(CompilDonnées[[#This Row],[CultureDuration_days]]/7,0)</f>
        <v>6</v>
      </c>
      <c r="J2683">
        <v>3561</v>
      </c>
      <c r="K2683" t="str">
        <f>_xlfn.CONCAT(WEEKNUM(CompilDonnées[[#This Row],[PlantationDate]]), " ", YEAR(CompilDonnées[[#This Row],[PlantationDate]]))</f>
        <v>18 2025</v>
      </c>
      <c r="L2683" t="str">
        <f>CONCATENATE(MONTH(CompilDonnées[[#This Row],[PlantationDate]])," ", YEAR(CompilDonnées[[#This Row],[PlantationDate]]))</f>
        <v>4 2025</v>
      </c>
      <c r="M2683" t="str">
        <f>CONCATENATE(MONTH(CompilDonnées[[#This Row],[HarvestingDate]])," ", YEAR(CompilDonnées[[#This Row],[HarvestingDate]]))</f>
        <v>6 2025</v>
      </c>
      <c r="N2683">
        <f>_xlfn.NUMBERVALUE(CompilDonnées[[#This Row],[FarmID]]&amp;CompilDonnées[[#This Row],[ModuleNumber]]&amp;CompilDonnées[[#This Row],[PlantationDate]])</f>
        <v>97645777</v>
      </c>
      <c r="O2683" t="str">
        <f>CompilDonnées[[#This Row],[FarmID]]&amp;CompilDonnées[[#This Row],[ModuleNumber]]</f>
        <v>976</v>
      </c>
      <c r="P2683" t="str">
        <f>CompilDonnées[[#This Row],[Ref_Module]]&amp;CompilDonnées[[#This Row],[HarvestingDate]]</f>
        <v>97645818</v>
      </c>
    </row>
    <row r="2684" spans="1:16">
      <c r="A2684" s="5">
        <v>45777</v>
      </c>
      <c r="B2684">
        <v>101</v>
      </c>
      <c r="C2684" t="s">
        <v>54</v>
      </c>
      <c r="D2684">
        <v>2</v>
      </c>
      <c r="E2684">
        <v>100</v>
      </c>
      <c r="F2684" t="s">
        <v>1</v>
      </c>
      <c r="G2684" s="6">
        <v>45819</v>
      </c>
      <c r="H2684">
        <v>42</v>
      </c>
      <c r="I2684">
        <f>ROUND(CompilDonnées[[#This Row],[CultureDuration_days]]/7,0)</f>
        <v>6</v>
      </c>
      <c r="J2684">
        <v>3812</v>
      </c>
      <c r="K2684" t="str">
        <f>_xlfn.CONCAT(WEEKNUM(CompilDonnées[[#This Row],[PlantationDate]]), " ", YEAR(CompilDonnées[[#This Row],[PlantationDate]]))</f>
        <v>18 2025</v>
      </c>
      <c r="L2684" t="str">
        <f>CONCATENATE(MONTH(CompilDonnées[[#This Row],[PlantationDate]])," ", YEAR(CompilDonnées[[#This Row],[PlantationDate]]))</f>
        <v>4 2025</v>
      </c>
      <c r="M2684" t="str">
        <f>CONCATENATE(MONTH(CompilDonnées[[#This Row],[HarvestingDate]])," ", YEAR(CompilDonnées[[#This Row],[HarvestingDate]]))</f>
        <v>6 2025</v>
      </c>
      <c r="N2684">
        <f>_xlfn.NUMBERVALUE(CompilDonnées[[#This Row],[FarmID]]&amp;CompilDonnées[[#This Row],[ModuleNumber]]&amp;CompilDonnées[[#This Row],[PlantationDate]])</f>
        <v>101245777</v>
      </c>
      <c r="O2684" t="str">
        <f>CompilDonnées[[#This Row],[FarmID]]&amp;CompilDonnées[[#This Row],[ModuleNumber]]</f>
        <v>1012</v>
      </c>
      <c r="P2684" t="str">
        <f>CompilDonnées[[#This Row],[Ref_Module]]&amp;CompilDonnées[[#This Row],[HarvestingDate]]</f>
        <v>101245819</v>
      </c>
    </row>
    <row r="2685" spans="1:16">
      <c r="A2685" s="5">
        <v>45777</v>
      </c>
      <c r="B2685">
        <v>109</v>
      </c>
      <c r="C2685" t="s">
        <v>87</v>
      </c>
      <c r="D2685">
        <v>4</v>
      </c>
      <c r="E2685">
        <v>100</v>
      </c>
      <c r="F2685" t="s">
        <v>1</v>
      </c>
      <c r="G2685" s="6">
        <v>45818</v>
      </c>
      <c r="H2685">
        <v>41</v>
      </c>
      <c r="I2685">
        <f>ROUND(CompilDonnées[[#This Row],[CultureDuration_days]]/7,0)</f>
        <v>6</v>
      </c>
      <c r="J2685">
        <v>3766</v>
      </c>
      <c r="K2685" t="str">
        <f>_xlfn.CONCAT(WEEKNUM(CompilDonnées[[#This Row],[PlantationDate]]), " ", YEAR(CompilDonnées[[#This Row],[PlantationDate]]))</f>
        <v>18 2025</v>
      </c>
      <c r="L2685" t="str">
        <f>CONCATENATE(MONTH(CompilDonnées[[#This Row],[PlantationDate]])," ", YEAR(CompilDonnées[[#This Row],[PlantationDate]]))</f>
        <v>4 2025</v>
      </c>
      <c r="M2685" t="str">
        <f>CONCATENATE(MONTH(CompilDonnées[[#This Row],[HarvestingDate]])," ", YEAR(CompilDonnées[[#This Row],[HarvestingDate]]))</f>
        <v>6 2025</v>
      </c>
      <c r="N2685">
        <f>_xlfn.NUMBERVALUE(CompilDonnées[[#This Row],[FarmID]]&amp;CompilDonnées[[#This Row],[ModuleNumber]]&amp;CompilDonnées[[#This Row],[PlantationDate]])</f>
        <v>109445777</v>
      </c>
      <c r="O2685" t="str">
        <f>CompilDonnées[[#This Row],[FarmID]]&amp;CompilDonnées[[#This Row],[ModuleNumber]]</f>
        <v>1094</v>
      </c>
      <c r="P2685" t="str">
        <f>CompilDonnées[[#This Row],[Ref_Module]]&amp;CompilDonnées[[#This Row],[HarvestingDate]]</f>
        <v>109445818</v>
      </c>
    </row>
    <row r="2686" spans="1:16">
      <c r="A2686" s="5">
        <v>45777</v>
      </c>
      <c r="B2686">
        <v>126</v>
      </c>
      <c r="C2686" t="s">
        <v>52</v>
      </c>
      <c r="D2686">
        <v>4</v>
      </c>
      <c r="E2686">
        <v>100</v>
      </c>
      <c r="F2686" t="s">
        <v>1</v>
      </c>
      <c r="G2686" s="6">
        <v>45814</v>
      </c>
      <c r="H2686">
        <v>37</v>
      </c>
      <c r="I2686">
        <f>ROUND(CompilDonnées[[#This Row],[CultureDuration_days]]/7,0)</f>
        <v>5</v>
      </c>
      <c r="J2686">
        <v>2933</v>
      </c>
      <c r="K2686" t="str">
        <f>_xlfn.CONCAT(WEEKNUM(CompilDonnées[[#This Row],[PlantationDate]]), " ", YEAR(CompilDonnées[[#This Row],[PlantationDate]]))</f>
        <v>18 2025</v>
      </c>
      <c r="L2686" t="str">
        <f>CONCATENATE(MONTH(CompilDonnées[[#This Row],[PlantationDate]])," ", YEAR(CompilDonnées[[#This Row],[PlantationDate]]))</f>
        <v>4 2025</v>
      </c>
      <c r="M2686" t="str">
        <f>CONCATENATE(MONTH(CompilDonnées[[#This Row],[HarvestingDate]])," ", YEAR(CompilDonnées[[#This Row],[HarvestingDate]]))</f>
        <v>6 2025</v>
      </c>
      <c r="N2686">
        <f>_xlfn.NUMBERVALUE(CompilDonnées[[#This Row],[FarmID]]&amp;CompilDonnées[[#This Row],[ModuleNumber]]&amp;CompilDonnées[[#This Row],[PlantationDate]])</f>
        <v>126445777</v>
      </c>
      <c r="O2686" t="str">
        <f>CompilDonnées[[#This Row],[FarmID]]&amp;CompilDonnées[[#This Row],[ModuleNumber]]</f>
        <v>1264</v>
      </c>
      <c r="P2686" t="str">
        <f>CompilDonnées[[#This Row],[Ref_Module]]&amp;CompilDonnées[[#This Row],[HarvestingDate]]</f>
        <v>126445814</v>
      </c>
    </row>
    <row r="2687" spans="1:16">
      <c r="A2687" s="5">
        <v>45777</v>
      </c>
      <c r="B2687">
        <v>144</v>
      </c>
      <c r="C2687" t="s">
        <v>3</v>
      </c>
      <c r="D2687">
        <v>3</v>
      </c>
      <c r="E2687">
        <v>60</v>
      </c>
      <c r="F2687" t="s">
        <v>105</v>
      </c>
      <c r="G2687" s="6">
        <v>45827</v>
      </c>
      <c r="H2687">
        <v>50</v>
      </c>
      <c r="I2687">
        <f>ROUND(CompilDonnées[[#This Row],[CultureDuration_days]]/7,0)</f>
        <v>7</v>
      </c>
      <c r="J2687">
        <v>1042</v>
      </c>
      <c r="K2687" t="str">
        <f>_xlfn.CONCAT(WEEKNUM(CompilDonnées[[#This Row],[PlantationDate]]), " ", YEAR(CompilDonnées[[#This Row],[PlantationDate]]))</f>
        <v>18 2025</v>
      </c>
      <c r="L2687" t="str">
        <f>CONCATENATE(MONTH(CompilDonnées[[#This Row],[PlantationDate]])," ", YEAR(CompilDonnées[[#This Row],[PlantationDate]]))</f>
        <v>4 2025</v>
      </c>
      <c r="M2687" t="str">
        <f>CONCATENATE(MONTH(CompilDonnées[[#This Row],[HarvestingDate]])," ", YEAR(CompilDonnées[[#This Row],[HarvestingDate]]))</f>
        <v>6 2025</v>
      </c>
      <c r="N2687">
        <f>_xlfn.NUMBERVALUE(CompilDonnées[[#This Row],[FarmID]]&amp;CompilDonnées[[#This Row],[ModuleNumber]]&amp;CompilDonnées[[#This Row],[PlantationDate]])</f>
        <v>144345777</v>
      </c>
      <c r="O2687" t="str">
        <f>CompilDonnées[[#This Row],[FarmID]]&amp;CompilDonnées[[#This Row],[ModuleNumber]]</f>
        <v>1443</v>
      </c>
      <c r="P2687" t="str">
        <f>CompilDonnées[[#This Row],[Ref_Module]]&amp;CompilDonnées[[#This Row],[HarvestingDate]]</f>
        <v>144345827</v>
      </c>
    </row>
    <row r="2688" spans="1:16">
      <c r="A2688" s="5">
        <v>45777</v>
      </c>
      <c r="B2688">
        <v>144</v>
      </c>
      <c r="C2688" t="s">
        <v>3</v>
      </c>
      <c r="D2688">
        <v>4</v>
      </c>
      <c r="E2688">
        <v>60</v>
      </c>
      <c r="F2688" t="s">
        <v>105</v>
      </c>
      <c r="G2688" s="6">
        <v>45827</v>
      </c>
      <c r="H2688">
        <v>50</v>
      </c>
      <c r="I2688">
        <f>ROUND(CompilDonnées[[#This Row],[CultureDuration_days]]/7,0)</f>
        <v>7</v>
      </c>
      <c r="J2688">
        <v>1030</v>
      </c>
      <c r="K2688" t="str">
        <f>_xlfn.CONCAT(WEEKNUM(CompilDonnées[[#This Row],[PlantationDate]]), " ", YEAR(CompilDonnées[[#This Row],[PlantationDate]]))</f>
        <v>18 2025</v>
      </c>
      <c r="L2688" t="str">
        <f>CONCATENATE(MONTH(CompilDonnées[[#This Row],[PlantationDate]])," ", YEAR(CompilDonnées[[#This Row],[PlantationDate]]))</f>
        <v>4 2025</v>
      </c>
      <c r="M2688" t="str">
        <f>CONCATENATE(MONTH(CompilDonnées[[#This Row],[HarvestingDate]])," ", YEAR(CompilDonnées[[#This Row],[HarvestingDate]]))</f>
        <v>6 2025</v>
      </c>
      <c r="N2688">
        <f>_xlfn.NUMBERVALUE(CompilDonnées[[#This Row],[FarmID]]&amp;CompilDonnées[[#This Row],[ModuleNumber]]&amp;CompilDonnées[[#This Row],[PlantationDate]])</f>
        <v>144445777</v>
      </c>
      <c r="O2688" t="str">
        <f>CompilDonnées[[#This Row],[FarmID]]&amp;CompilDonnées[[#This Row],[ModuleNumber]]</f>
        <v>1444</v>
      </c>
      <c r="P2688" t="str">
        <f>CompilDonnées[[#This Row],[Ref_Module]]&amp;CompilDonnées[[#This Row],[HarvestingDate]]</f>
        <v>144445827</v>
      </c>
    </row>
    <row r="2689" spans="1:16">
      <c r="A2689" s="5">
        <v>45777</v>
      </c>
      <c r="B2689">
        <v>144</v>
      </c>
      <c r="C2689" t="s">
        <v>3</v>
      </c>
      <c r="D2689">
        <v>5</v>
      </c>
      <c r="E2689">
        <v>60</v>
      </c>
      <c r="F2689" t="s">
        <v>105</v>
      </c>
      <c r="G2689" s="6">
        <v>45829</v>
      </c>
      <c r="H2689">
        <v>52</v>
      </c>
      <c r="I2689">
        <f>ROUND(CompilDonnées[[#This Row],[CultureDuration_days]]/7,0)</f>
        <v>7</v>
      </c>
      <c r="J2689">
        <v>600</v>
      </c>
      <c r="K2689" t="str">
        <f>_xlfn.CONCAT(WEEKNUM(CompilDonnées[[#This Row],[PlantationDate]]), " ", YEAR(CompilDonnées[[#This Row],[PlantationDate]]))</f>
        <v>18 2025</v>
      </c>
      <c r="L2689" t="str">
        <f>CONCATENATE(MONTH(CompilDonnées[[#This Row],[PlantationDate]])," ", YEAR(CompilDonnées[[#This Row],[PlantationDate]]))</f>
        <v>4 2025</v>
      </c>
      <c r="M2689" t="str">
        <f>CONCATENATE(MONTH(CompilDonnées[[#This Row],[HarvestingDate]])," ", YEAR(CompilDonnées[[#This Row],[HarvestingDate]]))</f>
        <v>6 2025</v>
      </c>
      <c r="N2689">
        <f>_xlfn.NUMBERVALUE(CompilDonnées[[#This Row],[FarmID]]&amp;CompilDonnées[[#This Row],[ModuleNumber]]&amp;CompilDonnées[[#This Row],[PlantationDate]])</f>
        <v>144545777</v>
      </c>
      <c r="O2689" t="str">
        <f>CompilDonnées[[#This Row],[FarmID]]&amp;CompilDonnées[[#This Row],[ModuleNumber]]</f>
        <v>1445</v>
      </c>
      <c r="P2689" t="str">
        <f>CompilDonnées[[#This Row],[Ref_Module]]&amp;CompilDonnées[[#This Row],[HarvestingDate]]</f>
        <v>144545829</v>
      </c>
    </row>
    <row r="2690" spans="1:16">
      <c r="A2690" s="5">
        <v>45778</v>
      </c>
      <c r="B2690">
        <v>8</v>
      </c>
      <c r="C2690" t="s">
        <v>57</v>
      </c>
      <c r="D2690">
        <v>4</v>
      </c>
      <c r="E2690">
        <v>100</v>
      </c>
      <c r="F2690" t="s">
        <v>1</v>
      </c>
      <c r="G2690" s="6">
        <v>45821</v>
      </c>
      <c r="H2690">
        <v>43</v>
      </c>
      <c r="I2690">
        <f>ROUND(CompilDonnées[[#This Row],[CultureDuration_days]]/7,0)</f>
        <v>6</v>
      </c>
      <c r="J2690">
        <v>3574</v>
      </c>
      <c r="K2690" t="str">
        <f>_xlfn.CONCAT(WEEKNUM(CompilDonnées[[#This Row],[PlantationDate]]), " ", YEAR(CompilDonnées[[#This Row],[PlantationDate]]))</f>
        <v>18 2025</v>
      </c>
      <c r="L2690" t="str">
        <f>CONCATENATE(MONTH(CompilDonnées[[#This Row],[PlantationDate]])," ", YEAR(CompilDonnées[[#This Row],[PlantationDate]]))</f>
        <v>5 2025</v>
      </c>
      <c r="M2690" t="str">
        <f>CONCATENATE(MONTH(CompilDonnées[[#This Row],[HarvestingDate]])," ", YEAR(CompilDonnées[[#This Row],[HarvestingDate]]))</f>
        <v>6 2025</v>
      </c>
      <c r="N2690">
        <f>_xlfn.NUMBERVALUE(CompilDonnées[[#This Row],[FarmID]]&amp;CompilDonnées[[#This Row],[ModuleNumber]]&amp;CompilDonnées[[#This Row],[PlantationDate]])</f>
        <v>8445778</v>
      </c>
      <c r="O2690" t="str">
        <f>CompilDonnées[[#This Row],[FarmID]]&amp;CompilDonnées[[#This Row],[ModuleNumber]]</f>
        <v>84</v>
      </c>
      <c r="P2690" t="str">
        <f>CompilDonnées[[#This Row],[Ref_Module]]&amp;CompilDonnées[[#This Row],[HarvestingDate]]</f>
        <v>8445821</v>
      </c>
    </row>
    <row r="2691" spans="1:16">
      <c r="A2691" s="5">
        <v>45778</v>
      </c>
      <c r="B2691">
        <v>38</v>
      </c>
      <c r="C2691" t="s">
        <v>34</v>
      </c>
      <c r="D2691">
        <v>5</v>
      </c>
      <c r="E2691">
        <v>100</v>
      </c>
      <c r="F2691" t="s">
        <v>1</v>
      </c>
      <c r="G2691" s="6">
        <v>45821</v>
      </c>
      <c r="H2691">
        <v>43</v>
      </c>
      <c r="I2691">
        <f>ROUND(CompilDonnées[[#This Row],[CultureDuration_days]]/7,0)</f>
        <v>6</v>
      </c>
      <c r="J2691">
        <v>3512</v>
      </c>
      <c r="K2691" t="str">
        <f>_xlfn.CONCAT(WEEKNUM(CompilDonnées[[#This Row],[PlantationDate]]), " ", YEAR(CompilDonnées[[#This Row],[PlantationDate]]))</f>
        <v>18 2025</v>
      </c>
      <c r="L2691" t="str">
        <f>CONCATENATE(MONTH(CompilDonnées[[#This Row],[PlantationDate]])," ", YEAR(CompilDonnées[[#This Row],[PlantationDate]]))</f>
        <v>5 2025</v>
      </c>
      <c r="M2691" t="str">
        <f>CONCATENATE(MONTH(CompilDonnées[[#This Row],[HarvestingDate]])," ", YEAR(CompilDonnées[[#This Row],[HarvestingDate]]))</f>
        <v>6 2025</v>
      </c>
      <c r="N2691">
        <f>_xlfn.NUMBERVALUE(CompilDonnées[[#This Row],[FarmID]]&amp;CompilDonnées[[#This Row],[ModuleNumber]]&amp;CompilDonnées[[#This Row],[PlantationDate]])</f>
        <v>38545778</v>
      </c>
      <c r="O2691" t="str">
        <f>CompilDonnées[[#This Row],[FarmID]]&amp;CompilDonnées[[#This Row],[ModuleNumber]]</f>
        <v>385</v>
      </c>
      <c r="P2691" t="str">
        <f>CompilDonnées[[#This Row],[Ref_Module]]&amp;CompilDonnées[[#This Row],[HarvestingDate]]</f>
        <v>38545821</v>
      </c>
    </row>
    <row r="2692" spans="1:16">
      <c r="A2692" s="5">
        <v>45778</v>
      </c>
      <c r="B2692">
        <v>44</v>
      </c>
      <c r="C2692" t="s">
        <v>42</v>
      </c>
      <c r="D2692">
        <v>5</v>
      </c>
      <c r="E2692">
        <v>100</v>
      </c>
      <c r="F2692" t="s">
        <v>1</v>
      </c>
      <c r="G2692" s="6">
        <v>45821</v>
      </c>
      <c r="H2692">
        <v>43</v>
      </c>
      <c r="I2692">
        <f>ROUND(CompilDonnées[[#This Row],[CultureDuration_days]]/7,0)</f>
        <v>6</v>
      </c>
      <c r="J2692">
        <v>3840</v>
      </c>
      <c r="K2692" t="str">
        <f>_xlfn.CONCAT(WEEKNUM(CompilDonnées[[#This Row],[PlantationDate]]), " ", YEAR(CompilDonnées[[#This Row],[PlantationDate]]))</f>
        <v>18 2025</v>
      </c>
      <c r="L2692" t="str">
        <f>CONCATENATE(MONTH(CompilDonnées[[#This Row],[PlantationDate]])," ", YEAR(CompilDonnées[[#This Row],[PlantationDate]]))</f>
        <v>5 2025</v>
      </c>
      <c r="M2692" t="str">
        <f>CONCATENATE(MONTH(CompilDonnées[[#This Row],[HarvestingDate]])," ", YEAR(CompilDonnées[[#This Row],[HarvestingDate]]))</f>
        <v>6 2025</v>
      </c>
      <c r="N2692">
        <f>_xlfn.NUMBERVALUE(CompilDonnées[[#This Row],[FarmID]]&amp;CompilDonnées[[#This Row],[ModuleNumber]]&amp;CompilDonnées[[#This Row],[PlantationDate]])</f>
        <v>44545778</v>
      </c>
      <c r="O2692" t="str">
        <f>CompilDonnées[[#This Row],[FarmID]]&amp;CompilDonnées[[#This Row],[ModuleNumber]]</f>
        <v>445</v>
      </c>
      <c r="P2692" t="str">
        <f>CompilDonnées[[#This Row],[Ref_Module]]&amp;CompilDonnées[[#This Row],[HarvestingDate]]</f>
        <v>44545821</v>
      </c>
    </row>
    <row r="2693" spans="1:16">
      <c r="A2693" s="5">
        <v>45778</v>
      </c>
      <c r="B2693">
        <v>44</v>
      </c>
      <c r="C2693" t="s">
        <v>42</v>
      </c>
      <c r="D2693">
        <v>6</v>
      </c>
      <c r="E2693">
        <v>100</v>
      </c>
      <c r="F2693" t="s">
        <v>1</v>
      </c>
      <c r="G2693" s="6">
        <v>45821</v>
      </c>
      <c r="H2693">
        <v>43</v>
      </c>
      <c r="I2693">
        <f>ROUND(CompilDonnées[[#This Row],[CultureDuration_days]]/7,0)</f>
        <v>6</v>
      </c>
      <c r="J2693">
        <v>3847</v>
      </c>
      <c r="K2693" t="str">
        <f>_xlfn.CONCAT(WEEKNUM(CompilDonnées[[#This Row],[PlantationDate]]), " ", YEAR(CompilDonnées[[#This Row],[PlantationDate]]))</f>
        <v>18 2025</v>
      </c>
      <c r="L2693" t="str">
        <f>CONCATENATE(MONTH(CompilDonnées[[#This Row],[PlantationDate]])," ", YEAR(CompilDonnées[[#This Row],[PlantationDate]]))</f>
        <v>5 2025</v>
      </c>
      <c r="M2693" t="str">
        <f>CONCATENATE(MONTH(CompilDonnées[[#This Row],[HarvestingDate]])," ", YEAR(CompilDonnées[[#This Row],[HarvestingDate]]))</f>
        <v>6 2025</v>
      </c>
      <c r="N2693">
        <f>_xlfn.NUMBERVALUE(CompilDonnées[[#This Row],[FarmID]]&amp;CompilDonnées[[#This Row],[ModuleNumber]]&amp;CompilDonnées[[#This Row],[PlantationDate]])</f>
        <v>44645778</v>
      </c>
      <c r="O2693" t="str">
        <f>CompilDonnées[[#This Row],[FarmID]]&amp;CompilDonnées[[#This Row],[ModuleNumber]]</f>
        <v>446</v>
      </c>
      <c r="P2693" t="str">
        <f>CompilDonnées[[#This Row],[Ref_Module]]&amp;CompilDonnées[[#This Row],[HarvestingDate]]</f>
        <v>44645821</v>
      </c>
    </row>
    <row r="2694" spans="1:16">
      <c r="A2694" s="5">
        <v>45778</v>
      </c>
      <c r="B2694">
        <v>49</v>
      </c>
      <c r="C2694" t="s">
        <v>110</v>
      </c>
      <c r="D2694">
        <v>2</v>
      </c>
      <c r="E2694">
        <v>100</v>
      </c>
      <c r="F2694" t="s">
        <v>1</v>
      </c>
      <c r="G2694" s="6">
        <v>45820</v>
      </c>
      <c r="H2694">
        <v>42</v>
      </c>
      <c r="I2694">
        <f>ROUND(CompilDonnées[[#This Row],[CultureDuration_days]]/7,0)</f>
        <v>6</v>
      </c>
      <c r="J2694">
        <v>3828</v>
      </c>
      <c r="K2694" t="str">
        <f>_xlfn.CONCAT(WEEKNUM(CompilDonnées[[#This Row],[PlantationDate]]), " ", YEAR(CompilDonnées[[#This Row],[PlantationDate]]))</f>
        <v>18 2025</v>
      </c>
      <c r="L2694" t="str">
        <f>CONCATENATE(MONTH(CompilDonnées[[#This Row],[PlantationDate]])," ", YEAR(CompilDonnées[[#This Row],[PlantationDate]]))</f>
        <v>5 2025</v>
      </c>
      <c r="M2694" t="str">
        <f>CONCATENATE(MONTH(CompilDonnées[[#This Row],[HarvestingDate]])," ", YEAR(CompilDonnées[[#This Row],[HarvestingDate]]))</f>
        <v>6 2025</v>
      </c>
      <c r="N2694">
        <f>_xlfn.NUMBERVALUE(CompilDonnées[[#This Row],[FarmID]]&amp;CompilDonnées[[#This Row],[ModuleNumber]]&amp;CompilDonnées[[#This Row],[PlantationDate]])</f>
        <v>49245778</v>
      </c>
      <c r="O2694" t="str">
        <f>CompilDonnées[[#This Row],[FarmID]]&amp;CompilDonnées[[#This Row],[ModuleNumber]]</f>
        <v>492</v>
      </c>
      <c r="P2694" t="str">
        <f>CompilDonnées[[#This Row],[Ref_Module]]&amp;CompilDonnées[[#This Row],[HarvestingDate]]</f>
        <v>49245820</v>
      </c>
    </row>
    <row r="2695" spans="1:16">
      <c r="A2695" s="5">
        <v>45778</v>
      </c>
      <c r="B2695">
        <v>53</v>
      </c>
      <c r="C2695" t="s">
        <v>83</v>
      </c>
      <c r="D2695">
        <v>4</v>
      </c>
      <c r="E2695">
        <v>100</v>
      </c>
      <c r="F2695" t="s">
        <v>1</v>
      </c>
      <c r="G2695" s="6">
        <v>45821</v>
      </c>
      <c r="H2695">
        <v>43</v>
      </c>
      <c r="I2695">
        <f>ROUND(CompilDonnées[[#This Row],[CultureDuration_days]]/7,0)</f>
        <v>6</v>
      </c>
      <c r="J2695">
        <v>4490</v>
      </c>
      <c r="K2695" t="str">
        <f>_xlfn.CONCAT(WEEKNUM(CompilDonnées[[#This Row],[PlantationDate]]), " ", YEAR(CompilDonnées[[#This Row],[PlantationDate]]))</f>
        <v>18 2025</v>
      </c>
      <c r="L2695" t="str">
        <f>CONCATENATE(MONTH(CompilDonnées[[#This Row],[PlantationDate]])," ", YEAR(CompilDonnées[[#This Row],[PlantationDate]]))</f>
        <v>5 2025</v>
      </c>
      <c r="M2695" t="str">
        <f>CONCATENATE(MONTH(CompilDonnées[[#This Row],[HarvestingDate]])," ", YEAR(CompilDonnées[[#This Row],[HarvestingDate]]))</f>
        <v>6 2025</v>
      </c>
      <c r="N2695">
        <f>_xlfn.NUMBERVALUE(CompilDonnées[[#This Row],[FarmID]]&amp;CompilDonnées[[#This Row],[ModuleNumber]]&amp;CompilDonnées[[#This Row],[PlantationDate]])</f>
        <v>53445778</v>
      </c>
      <c r="O2695" t="str">
        <f>CompilDonnées[[#This Row],[FarmID]]&amp;CompilDonnées[[#This Row],[ModuleNumber]]</f>
        <v>534</v>
      </c>
      <c r="P2695" t="str">
        <f>CompilDonnées[[#This Row],[Ref_Module]]&amp;CompilDonnées[[#This Row],[HarvestingDate]]</f>
        <v>53445821</v>
      </c>
    </row>
    <row r="2696" spans="1:16">
      <c r="A2696" s="5">
        <v>45778</v>
      </c>
      <c r="B2696">
        <v>57</v>
      </c>
      <c r="C2696" t="s">
        <v>46</v>
      </c>
      <c r="D2696">
        <v>4</v>
      </c>
      <c r="E2696">
        <v>100</v>
      </c>
      <c r="F2696" t="s">
        <v>1</v>
      </c>
      <c r="G2696" s="6">
        <v>45821</v>
      </c>
      <c r="H2696">
        <v>43</v>
      </c>
      <c r="I2696">
        <f>ROUND(CompilDonnées[[#This Row],[CultureDuration_days]]/7,0)</f>
        <v>6</v>
      </c>
      <c r="J2696">
        <v>4013</v>
      </c>
      <c r="K2696" t="str">
        <f>_xlfn.CONCAT(WEEKNUM(CompilDonnées[[#This Row],[PlantationDate]]), " ", YEAR(CompilDonnées[[#This Row],[PlantationDate]]))</f>
        <v>18 2025</v>
      </c>
      <c r="L2696" t="str">
        <f>CONCATENATE(MONTH(CompilDonnées[[#This Row],[PlantationDate]])," ", YEAR(CompilDonnées[[#This Row],[PlantationDate]]))</f>
        <v>5 2025</v>
      </c>
      <c r="M2696" t="str">
        <f>CONCATENATE(MONTH(CompilDonnées[[#This Row],[HarvestingDate]])," ", YEAR(CompilDonnées[[#This Row],[HarvestingDate]]))</f>
        <v>6 2025</v>
      </c>
      <c r="N2696">
        <f>_xlfn.NUMBERVALUE(CompilDonnées[[#This Row],[FarmID]]&amp;CompilDonnées[[#This Row],[ModuleNumber]]&amp;CompilDonnées[[#This Row],[PlantationDate]])</f>
        <v>57445778</v>
      </c>
      <c r="O2696" t="str">
        <f>CompilDonnées[[#This Row],[FarmID]]&amp;CompilDonnées[[#This Row],[ModuleNumber]]</f>
        <v>574</v>
      </c>
      <c r="P2696" t="str">
        <f>CompilDonnées[[#This Row],[Ref_Module]]&amp;CompilDonnées[[#This Row],[HarvestingDate]]</f>
        <v>57445821</v>
      </c>
    </row>
    <row r="2697" spans="1:16">
      <c r="A2697" s="5">
        <v>45778</v>
      </c>
      <c r="B2697">
        <v>58</v>
      </c>
      <c r="C2697" t="s">
        <v>35</v>
      </c>
      <c r="D2697">
        <v>5</v>
      </c>
      <c r="E2697">
        <v>100</v>
      </c>
      <c r="F2697" t="s">
        <v>1</v>
      </c>
      <c r="G2697" s="6">
        <v>45821</v>
      </c>
      <c r="H2697">
        <v>43</v>
      </c>
      <c r="I2697">
        <f>ROUND(CompilDonnées[[#This Row],[CultureDuration_days]]/7,0)</f>
        <v>6</v>
      </c>
      <c r="J2697">
        <v>3961</v>
      </c>
      <c r="K2697" t="str">
        <f>_xlfn.CONCAT(WEEKNUM(CompilDonnées[[#This Row],[PlantationDate]]), " ", YEAR(CompilDonnées[[#This Row],[PlantationDate]]))</f>
        <v>18 2025</v>
      </c>
      <c r="L2697" t="str">
        <f>CONCATENATE(MONTH(CompilDonnées[[#This Row],[PlantationDate]])," ", YEAR(CompilDonnées[[#This Row],[PlantationDate]]))</f>
        <v>5 2025</v>
      </c>
      <c r="M2697" t="str">
        <f>CONCATENATE(MONTH(CompilDonnées[[#This Row],[HarvestingDate]])," ", YEAR(CompilDonnées[[#This Row],[HarvestingDate]]))</f>
        <v>6 2025</v>
      </c>
      <c r="N2697">
        <f>_xlfn.NUMBERVALUE(CompilDonnées[[#This Row],[FarmID]]&amp;CompilDonnées[[#This Row],[ModuleNumber]]&amp;CompilDonnées[[#This Row],[PlantationDate]])</f>
        <v>58545778</v>
      </c>
      <c r="O2697" t="str">
        <f>CompilDonnées[[#This Row],[FarmID]]&amp;CompilDonnées[[#This Row],[ModuleNumber]]</f>
        <v>585</v>
      </c>
      <c r="P2697" t="str">
        <f>CompilDonnées[[#This Row],[Ref_Module]]&amp;CompilDonnées[[#This Row],[HarvestingDate]]</f>
        <v>58545821</v>
      </c>
    </row>
    <row r="2698" spans="1:16">
      <c r="A2698" s="5">
        <v>45778</v>
      </c>
      <c r="B2698">
        <v>65</v>
      </c>
      <c r="C2698" t="s">
        <v>36</v>
      </c>
      <c r="D2698">
        <v>2</v>
      </c>
      <c r="E2698">
        <v>100</v>
      </c>
      <c r="F2698" t="s">
        <v>1</v>
      </c>
      <c r="G2698" s="6">
        <v>45826</v>
      </c>
      <c r="H2698">
        <v>48</v>
      </c>
      <c r="I2698">
        <f>ROUND(CompilDonnées[[#This Row],[CultureDuration_days]]/7,0)</f>
        <v>7</v>
      </c>
      <c r="J2698">
        <v>3051</v>
      </c>
      <c r="K2698" t="str">
        <f>_xlfn.CONCAT(WEEKNUM(CompilDonnées[[#This Row],[PlantationDate]]), " ", YEAR(CompilDonnées[[#This Row],[PlantationDate]]))</f>
        <v>18 2025</v>
      </c>
      <c r="L2698" t="str">
        <f>CONCATENATE(MONTH(CompilDonnées[[#This Row],[PlantationDate]])," ", YEAR(CompilDonnées[[#This Row],[PlantationDate]]))</f>
        <v>5 2025</v>
      </c>
      <c r="M2698" t="str">
        <f>CONCATENATE(MONTH(CompilDonnées[[#This Row],[HarvestingDate]])," ", YEAR(CompilDonnées[[#This Row],[HarvestingDate]]))</f>
        <v>6 2025</v>
      </c>
      <c r="N2698">
        <f>_xlfn.NUMBERVALUE(CompilDonnées[[#This Row],[FarmID]]&amp;CompilDonnées[[#This Row],[ModuleNumber]]&amp;CompilDonnées[[#This Row],[PlantationDate]])</f>
        <v>65245778</v>
      </c>
      <c r="O2698" t="str">
        <f>CompilDonnées[[#This Row],[FarmID]]&amp;CompilDonnées[[#This Row],[ModuleNumber]]</f>
        <v>652</v>
      </c>
      <c r="P2698" t="str">
        <f>CompilDonnées[[#This Row],[Ref_Module]]&amp;CompilDonnées[[#This Row],[HarvestingDate]]</f>
        <v>65245826</v>
      </c>
    </row>
    <row r="2699" spans="1:16">
      <c r="A2699" s="5">
        <v>45778</v>
      </c>
      <c r="B2699">
        <v>66</v>
      </c>
      <c r="C2699" t="s">
        <v>48</v>
      </c>
      <c r="D2699">
        <v>1</v>
      </c>
      <c r="E2699">
        <v>100</v>
      </c>
      <c r="F2699" t="s">
        <v>1</v>
      </c>
      <c r="G2699" s="6">
        <v>45812</v>
      </c>
      <c r="H2699">
        <v>34</v>
      </c>
      <c r="I2699">
        <f>ROUND(CompilDonnées[[#This Row],[CultureDuration_days]]/7,0)</f>
        <v>5</v>
      </c>
      <c r="J2699">
        <v>2083</v>
      </c>
      <c r="K2699" t="str">
        <f>_xlfn.CONCAT(WEEKNUM(CompilDonnées[[#This Row],[PlantationDate]]), " ", YEAR(CompilDonnées[[#This Row],[PlantationDate]]))</f>
        <v>18 2025</v>
      </c>
      <c r="L2699" t="str">
        <f>CONCATENATE(MONTH(CompilDonnées[[#This Row],[PlantationDate]])," ", YEAR(CompilDonnées[[#This Row],[PlantationDate]]))</f>
        <v>5 2025</v>
      </c>
      <c r="M2699" t="str">
        <f>CONCATENATE(MONTH(CompilDonnées[[#This Row],[HarvestingDate]])," ", YEAR(CompilDonnées[[#This Row],[HarvestingDate]]))</f>
        <v>6 2025</v>
      </c>
      <c r="N2699">
        <f>_xlfn.NUMBERVALUE(CompilDonnées[[#This Row],[FarmID]]&amp;CompilDonnées[[#This Row],[ModuleNumber]]&amp;CompilDonnées[[#This Row],[PlantationDate]])</f>
        <v>66145778</v>
      </c>
      <c r="O2699" t="str">
        <f>CompilDonnées[[#This Row],[FarmID]]&amp;CompilDonnées[[#This Row],[ModuleNumber]]</f>
        <v>661</v>
      </c>
      <c r="P2699" t="str">
        <f>CompilDonnées[[#This Row],[Ref_Module]]&amp;CompilDonnées[[#This Row],[HarvestingDate]]</f>
        <v>66145812</v>
      </c>
    </row>
    <row r="2700" spans="1:16">
      <c r="A2700" s="5">
        <v>45778</v>
      </c>
      <c r="B2700">
        <v>69</v>
      </c>
      <c r="C2700" t="s">
        <v>102</v>
      </c>
      <c r="D2700">
        <v>1</v>
      </c>
      <c r="E2700">
        <v>100</v>
      </c>
      <c r="F2700" t="s">
        <v>1</v>
      </c>
      <c r="G2700" s="6">
        <v>45821</v>
      </c>
      <c r="H2700">
        <v>43</v>
      </c>
      <c r="I2700">
        <f>ROUND(CompilDonnées[[#This Row],[CultureDuration_days]]/7,0)</f>
        <v>6</v>
      </c>
      <c r="J2700">
        <v>3322</v>
      </c>
      <c r="K2700" t="str">
        <f>_xlfn.CONCAT(WEEKNUM(CompilDonnées[[#This Row],[PlantationDate]]), " ", YEAR(CompilDonnées[[#This Row],[PlantationDate]]))</f>
        <v>18 2025</v>
      </c>
      <c r="L2700" t="str">
        <f>CONCATENATE(MONTH(CompilDonnées[[#This Row],[PlantationDate]])," ", YEAR(CompilDonnées[[#This Row],[PlantationDate]]))</f>
        <v>5 2025</v>
      </c>
      <c r="M2700" t="str">
        <f>CONCATENATE(MONTH(CompilDonnées[[#This Row],[HarvestingDate]])," ", YEAR(CompilDonnées[[#This Row],[HarvestingDate]]))</f>
        <v>6 2025</v>
      </c>
      <c r="N2700">
        <f>_xlfn.NUMBERVALUE(CompilDonnées[[#This Row],[FarmID]]&amp;CompilDonnées[[#This Row],[ModuleNumber]]&amp;CompilDonnées[[#This Row],[PlantationDate]])</f>
        <v>69145778</v>
      </c>
      <c r="O2700" t="str">
        <f>CompilDonnées[[#This Row],[FarmID]]&amp;CompilDonnées[[#This Row],[ModuleNumber]]</f>
        <v>691</v>
      </c>
      <c r="P2700" t="str">
        <f>CompilDonnées[[#This Row],[Ref_Module]]&amp;CompilDonnées[[#This Row],[HarvestingDate]]</f>
        <v>69145821</v>
      </c>
    </row>
    <row r="2701" spans="1:16">
      <c r="A2701" s="5">
        <v>45778</v>
      </c>
      <c r="B2701">
        <v>72</v>
      </c>
      <c r="C2701" t="s">
        <v>49</v>
      </c>
      <c r="D2701">
        <v>3</v>
      </c>
      <c r="E2701">
        <v>100</v>
      </c>
      <c r="F2701" t="s">
        <v>1</v>
      </c>
      <c r="G2701" s="6">
        <v>45819</v>
      </c>
      <c r="H2701">
        <v>41</v>
      </c>
      <c r="I2701">
        <f>ROUND(CompilDonnées[[#This Row],[CultureDuration_days]]/7,0)</f>
        <v>6</v>
      </c>
      <c r="J2701">
        <v>3517</v>
      </c>
      <c r="K2701" t="str">
        <f>_xlfn.CONCAT(WEEKNUM(CompilDonnées[[#This Row],[PlantationDate]]), " ", YEAR(CompilDonnées[[#This Row],[PlantationDate]]))</f>
        <v>18 2025</v>
      </c>
      <c r="L2701" t="str">
        <f>CONCATENATE(MONTH(CompilDonnées[[#This Row],[PlantationDate]])," ", YEAR(CompilDonnées[[#This Row],[PlantationDate]]))</f>
        <v>5 2025</v>
      </c>
      <c r="M2701" t="str">
        <f>CONCATENATE(MONTH(CompilDonnées[[#This Row],[HarvestingDate]])," ", YEAR(CompilDonnées[[#This Row],[HarvestingDate]]))</f>
        <v>6 2025</v>
      </c>
      <c r="N2701">
        <f>_xlfn.NUMBERVALUE(CompilDonnées[[#This Row],[FarmID]]&amp;CompilDonnées[[#This Row],[ModuleNumber]]&amp;CompilDonnées[[#This Row],[PlantationDate]])</f>
        <v>72345778</v>
      </c>
      <c r="O2701" t="str">
        <f>CompilDonnées[[#This Row],[FarmID]]&amp;CompilDonnées[[#This Row],[ModuleNumber]]</f>
        <v>723</v>
      </c>
      <c r="P2701" t="str">
        <f>CompilDonnées[[#This Row],[Ref_Module]]&amp;CompilDonnées[[#This Row],[HarvestingDate]]</f>
        <v>72345819</v>
      </c>
    </row>
    <row r="2702" spans="1:16">
      <c r="A2702" s="5">
        <v>45778</v>
      </c>
      <c r="B2702">
        <v>74</v>
      </c>
      <c r="C2702" t="s">
        <v>21</v>
      </c>
      <c r="D2702">
        <v>4</v>
      </c>
      <c r="E2702">
        <v>100</v>
      </c>
      <c r="F2702" t="s">
        <v>1</v>
      </c>
      <c r="G2702" s="6">
        <v>45819</v>
      </c>
      <c r="H2702">
        <v>41</v>
      </c>
      <c r="I2702">
        <f>ROUND(CompilDonnées[[#This Row],[CultureDuration_days]]/7,0)</f>
        <v>6</v>
      </c>
      <c r="J2702">
        <v>3009</v>
      </c>
      <c r="K2702" t="str">
        <f>_xlfn.CONCAT(WEEKNUM(CompilDonnées[[#This Row],[PlantationDate]]), " ", YEAR(CompilDonnées[[#This Row],[PlantationDate]]))</f>
        <v>18 2025</v>
      </c>
      <c r="L2702" t="str">
        <f>CONCATENATE(MONTH(CompilDonnées[[#This Row],[PlantationDate]])," ", YEAR(CompilDonnées[[#This Row],[PlantationDate]]))</f>
        <v>5 2025</v>
      </c>
      <c r="M2702" t="str">
        <f>CONCATENATE(MONTH(CompilDonnées[[#This Row],[HarvestingDate]])," ", YEAR(CompilDonnées[[#This Row],[HarvestingDate]]))</f>
        <v>6 2025</v>
      </c>
      <c r="N2702">
        <f>_xlfn.NUMBERVALUE(CompilDonnées[[#This Row],[FarmID]]&amp;CompilDonnées[[#This Row],[ModuleNumber]]&amp;CompilDonnées[[#This Row],[PlantationDate]])</f>
        <v>74445778</v>
      </c>
      <c r="O2702" t="str">
        <f>CompilDonnées[[#This Row],[FarmID]]&amp;CompilDonnées[[#This Row],[ModuleNumber]]</f>
        <v>744</v>
      </c>
      <c r="P2702" t="str">
        <f>CompilDonnées[[#This Row],[Ref_Module]]&amp;CompilDonnées[[#This Row],[HarvestingDate]]</f>
        <v>74445819</v>
      </c>
    </row>
    <row r="2703" spans="1:16">
      <c r="A2703" s="5">
        <v>45778</v>
      </c>
      <c r="B2703">
        <v>82</v>
      </c>
      <c r="C2703" t="s">
        <v>17</v>
      </c>
      <c r="D2703">
        <v>5</v>
      </c>
      <c r="E2703">
        <v>100</v>
      </c>
      <c r="F2703" t="s">
        <v>1</v>
      </c>
      <c r="G2703" s="6">
        <v>45820</v>
      </c>
      <c r="H2703">
        <v>42</v>
      </c>
      <c r="I2703">
        <f>ROUND(CompilDonnées[[#This Row],[CultureDuration_days]]/7,0)</f>
        <v>6</v>
      </c>
      <c r="J2703">
        <v>3296</v>
      </c>
      <c r="K2703" t="str">
        <f>_xlfn.CONCAT(WEEKNUM(CompilDonnées[[#This Row],[PlantationDate]]), " ", YEAR(CompilDonnées[[#This Row],[PlantationDate]]))</f>
        <v>18 2025</v>
      </c>
      <c r="L2703" t="str">
        <f>CONCATENATE(MONTH(CompilDonnées[[#This Row],[PlantationDate]])," ", YEAR(CompilDonnées[[#This Row],[PlantationDate]]))</f>
        <v>5 2025</v>
      </c>
      <c r="M2703" t="str">
        <f>CONCATENATE(MONTH(CompilDonnées[[#This Row],[HarvestingDate]])," ", YEAR(CompilDonnées[[#This Row],[HarvestingDate]]))</f>
        <v>6 2025</v>
      </c>
      <c r="N2703">
        <f>_xlfn.NUMBERVALUE(CompilDonnées[[#This Row],[FarmID]]&amp;CompilDonnées[[#This Row],[ModuleNumber]]&amp;CompilDonnées[[#This Row],[PlantationDate]])</f>
        <v>82545778</v>
      </c>
      <c r="O2703" t="str">
        <f>CompilDonnées[[#This Row],[FarmID]]&amp;CompilDonnées[[#This Row],[ModuleNumber]]</f>
        <v>825</v>
      </c>
      <c r="P2703" t="str">
        <f>CompilDonnées[[#This Row],[Ref_Module]]&amp;CompilDonnées[[#This Row],[HarvestingDate]]</f>
        <v>82545820</v>
      </c>
    </row>
    <row r="2704" spans="1:16">
      <c r="A2704" s="5">
        <v>45778</v>
      </c>
      <c r="B2704">
        <v>86</v>
      </c>
      <c r="C2704" t="s">
        <v>37</v>
      </c>
      <c r="D2704">
        <v>5</v>
      </c>
      <c r="E2704">
        <v>100</v>
      </c>
      <c r="F2704" t="s">
        <v>1</v>
      </c>
      <c r="G2704" s="6">
        <v>45818</v>
      </c>
      <c r="H2704">
        <v>40</v>
      </c>
      <c r="I2704">
        <f>ROUND(CompilDonnées[[#This Row],[CultureDuration_days]]/7,0)</f>
        <v>6</v>
      </c>
      <c r="J2704">
        <v>2898</v>
      </c>
      <c r="K2704" t="str">
        <f>_xlfn.CONCAT(WEEKNUM(CompilDonnées[[#This Row],[PlantationDate]]), " ", YEAR(CompilDonnées[[#This Row],[PlantationDate]]))</f>
        <v>18 2025</v>
      </c>
      <c r="L2704" t="str">
        <f>CONCATENATE(MONTH(CompilDonnées[[#This Row],[PlantationDate]])," ", YEAR(CompilDonnées[[#This Row],[PlantationDate]]))</f>
        <v>5 2025</v>
      </c>
      <c r="M2704" t="str">
        <f>CONCATENATE(MONTH(CompilDonnées[[#This Row],[HarvestingDate]])," ", YEAR(CompilDonnées[[#This Row],[HarvestingDate]]))</f>
        <v>6 2025</v>
      </c>
      <c r="N2704">
        <f>_xlfn.NUMBERVALUE(CompilDonnées[[#This Row],[FarmID]]&amp;CompilDonnées[[#This Row],[ModuleNumber]]&amp;CompilDonnées[[#This Row],[PlantationDate]])</f>
        <v>86545778</v>
      </c>
      <c r="O2704" t="str">
        <f>CompilDonnées[[#This Row],[FarmID]]&amp;CompilDonnées[[#This Row],[ModuleNumber]]</f>
        <v>865</v>
      </c>
      <c r="P2704" t="str">
        <f>CompilDonnées[[#This Row],[Ref_Module]]&amp;CompilDonnées[[#This Row],[HarvestingDate]]</f>
        <v>86545818</v>
      </c>
    </row>
    <row r="2705" spans="1:16">
      <c r="A2705" s="5">
        <v>45778</v>
      </c>
      <c r="B2705">
        <v>101</v>
      </c>
      <c r="C2705" t="s">
        <v>54</v>
      </c>
      <c r="D2705">
        <v>4</v>
      </c>
      <c r="E2705">
        <v>100</v>
      </c>
      <c r="F2705" t="s">
        <v>1</v>
      </c>
      <c r="G2705" s="6">
        <v>45819</v>
      </c>
      <c r="H2705">
        <v>41</v>
      </c>
      <c r="I2705">
        <f>ROUND(CompilDonnées[[#This Row],[CultureDuration_days]]/7,0)</f>
        <v>6</v>
      </c>
      <c r="J2705">
        <v>3608</v>
      </c>
      <c r="K2705" t="str">
        <f>_xlfn.CONCAT(WEEKNUM(CompilDonnées[[#This Row],[PlantationDate]]), " ", YEAR(CompilDonnées[[#This Row],[PlantationDate]]))</f>
        <v>18 2025</v>
      </c>
      <c r="L2705" t="str">
        <f>CONCATENATE(MONTH(CompilDonnées[[#This Row],[PlantationDate]])," ", YEAR(CompilDonnées[[#This Row],[PlantationDate]]))</f>
        <v>5 2025</v>
      </c>
      <c r="M2705" t="str">
        <f>CONCATENATE(MONTH(CompilDonnées[[#This Row],[HarvestingDate]])," ", YEAR(CompilDonnées[[#This Row],[HarvestingDate]]))</f>
        <v>6 2025</v>
      </c>
      <c r="N2705">
        <f>_xlfn.NUMBERVALUE(CompilDonnées[[#This Row],[FarmID]]&amp;CompilDonnées[[#This Row],[ModuleNumber]]&amp;CompilDonnées[[#This Row],[PlantationDate]])</f>
        <v>101445778</v>
      </c>
      <c r="O2705" t="str">
        <f>CompilDonnées[[#This Row],[FarmID]]&amp;CompilDonnées[[#This Row],[ModuleNumber]]</f>
        <v>1014</v>
      </c>
      <c r="P2705" t="str">
        <f>CompilDonnées[[#This Row],[Ref_Module]]&amp;CompilDonnées[[#This Row],[HarvestingDate]]</f>
        <v>101445819</v>
      </c>
    </row>
    <row r="2706" spans="1:16">
      <c r="A2706" s="5">
        <v>45778</v>
      </c>
      <c r="B2706">
        <v>143</v>
      </c>
      <c r="C2706" t="s">
        <v>3</v>
      </c>
      <c r="D2706">
        <v>1</v>
      </c>
      <c r="E2706">
        <v>60</v>
      </c>
      <c r="F2706" t="s">
        <v>105</v>
      </c>
      <c r="G2706" s="6">
        <v>45828</v>
      </c>
      <c r="H2706">
        <v>50</v>
      </c>
      <c r="I2706">
        <f>ROUND(CompilDonnées[[#This Row],[CultureDuration_days]]/7,0)</f>
        <v>7</v>
      </c>
      <c r="J2706">
        <v>1000</v>
      </c>
      <c r="K2706" t="str">
        <f>_xlfn.CONCAT(WEEKNUM(CompilDonnées[[#This Row],[PlantationDate]]), " ", YEAR(CompilDonnées[[#This Row],[PlantationDate]]))</f>
        <v>18 2025</v>
      </c>
      <c r="L2706" t="str">
        <f>CONCATENATE(MONTH(CompilDonnées[[#This Row],[PlantationDate]])," ", YEAR(CompilDonnées[[#This Row],[PlantationDate]]))</f>
        <v>5 2025</v>
      </c>
      <c r="M2706" t="str">
        <f>CONCATENATE(MONTH(CompilDonnées[[#This Row],[HarvestingDate]])," ", YEAR(CompilDonnées[[#This Row],[HarvestingDate]]))</f>
        <v>6 2025</v>
      </c>
      <c r="N2706">
        <f>_xlfn.NUMBERVALUE(CompilDonnées[[#This Row],[FarmID]]&amp;CompilDonnées[[#This Row],[ModuleNumber]]&amp;CompilDonnées[[#This Row],[PlantationDate]])</f>
        <v>143145778</v>
      </c>
      <c r="O2706" t="str">
        <f>CompilDonnées[[#This Row],[FarmID]]&amp;CompilDonnées[[#This Row],[ModuleNumber]]</f>
        <v>1431</v>
      </c>
      <c r="P2706" t="str">
        <f>CompilDonnées[[#This Row],[Ref_Module]]&amp;CompilDonnées[[#This Row],[HarvestingDate]]</f>
        <v>143145828</v>
      </c>
    </row>
    <row r="2707" spans="1:16">
      <c r="A2707" s="5">
        <v>45778</v>
      </c>
      <c r="B2707">
        <v>143</v>
      </c>
      <c r="C2707" t="s">
        <v>3</v>
      </c>
      <c r="D2707">
        <v>2</v>
      </c>
      <c r="E2707">
        <v>60</v>
      </c>
      <c r="F2707" t="s">
        <v>105</v>
      </c>
      <c r="G2707" s="6">
        <v>45828</v>
      </c>
      <c r="H2707">
        <v>50</v>
      </c>
      <c r="I2707">
        <f>ROUND(CompilDonnées[[#This Row],[CultureDuration_days]]/7,0)</f>
        <v>7</v>
      </c>
      <c r="J2707">
        <v>700</v>
      </c>
      <c r="K2707" t="str">
        <f>_xlfn.CONCAT(WEEKNUM(CompilDonnées[[#This Row],[PlantationDate]]), " ", YEAR(CompilDonnées[[#This Row],[PlantationDate]]))</f>
        <v>18 2025</v>
      </c>
      <c r="L2707" t="str">
        <f>CONCATENATE(MONTH(CompilDonnées[[#This Row],[PlantationDate]])," ", YEAR(CompilDonnées[[#This Row],[PlantationDate]]))</f>
        <v>5 2025</v>
      </c>
      <c r="M2707" t="str">
        <f>CONCATENATE(MONTH(CompilDonnées[[#This Row],[HarvestingDate]])," ", YEAR(CompilDonnées[[#This Row],[HarvestingDate]]))</f>
        <v>6 2025</v>
      </c>
      <c r="N2707">
        <f>_xlfn.NUMBERVALUE(CompilDonnées[[#This Row],[FarmID]]&amp;CompilDonnées[[#This Row],[ModuleNumber]]&amp;CompilDonnées[[#This Row],[PlantationDate]])</f>
        <v>143245778</v>
      </c>
      <c r="O2707" t="str">
        <f>CompilDonnées[[#This Row],[FarmID]]&amp;CompilDonnées[[#This Row],[ModuleNumber]]</f>
        <v>1432</v>
      </c>
      <c r="P2707" t="str">
        <f>CompilDonnées[[#This Row],[Ref_Module]]&amp;CompilDonnées[[#This Row],[HarvestingDate]]</f>
        <v>143245828</v>
      </c>
    </row>
    <row r="2708" spans="1:16">
      <c r="A2708" s="5">
        <v>45778</v>
      </c>
      <c r="B2708">
        <v>143</v>
      </c>
      <c r="C2708" t="s">
        <v>3</v>
      </c>
      <c r="D2708">
        <v>3</v>
      </c>
      <c r="E2708">
        <v>22</v>
      </c>
      <c r="F2708" t="s">
        <v>105</v>
      </c>
      <c r="G2708" s="6">
        <v>45830</v>
      </c>
      <c r="H2708">
        <v>52</v>
      </c>
      <c r="I2708">
        <f>ROUND(CompilDonnées[[#This Row],[CultureDuration_days]]/7,0)</f>
        <v>7</v>
      </c>
      <c r="J2708">
        <v>650</v>
      </c>
      <c r="K2708" t="str">
        <f>_xlfn.CONCAT(WEEKNUM(CompilDonnées[[#This Row],[PlantationDate]]), " ", YEAR(CompilDonnées[[#This Row],[PlantationDate]]))</f>
        <v>18 2025</v>
      </c>
      <c r="L2708" t="str">
        <f>CONCATENATE(MONTH(CompilDonnées[[#This Row],[PlantationDate]])," ", YEAR(CompilDonnées[[#This Row],[PlantationDate]]))</f>
        <v>5 2025</v>
      </c>
      <c r="M2708" t="str">
        <f>CONCATENATE(MONTH(CompilDonnées[[#This Row],[HarvestingDate]])," ", YEAR(CompilDonnées[[#This Row],[HarvestingDate]]))</f>
        <v>6 2025</v>
      </c>
      <c r="N2708">
        <f>_xlfn.NUMBERVALUE(CompilDonnées[[#This Row],[FarmID]]&amp;CompilDonnées[[#This Row],[ModuleNumber]]&amp;CompilDonnées[[#This Row],[PlantationDate]])</f>
        <v>143345778</v>
      </c>
      <c r="O2708" t="str">
        <f>CompilDonnées[[#This Row],[FarmID]]&amp;CompilDonnées[[#This Row],[ModuleNumber]]</f>
        <v>1433</v>
      </c>
      <c r="P2708" t="str">
        <f>CompilDonnées[[#This Row],[Ref_Module]]&amp;CompilDonnées[[#This Row],[HarvestingDate]]</f>
        <v>143345830</v>
      </c>
    </row>
    <row r="2709" spans="1:16">
      <c r="A2709" s="5">
        <v>45778</v>
      </c>
      <c r="B2709">
        <v>144</v>
      </c>
      <c r="C2709" t="s">
        <v>3</v>
      </c>
      <c r="D2709">
        <v>6</v>
      </c>
      <c r="E2709">
        <v>60</v>
      </c>
      <c r="F2709" t="s">
        <v>105</v>
      </c>
      <c r="G2709" s="6">
        <v>45829</v>
      </c>
      <c r="H2709">
        <v>51</v>
      </c>
      <c r="I2709">
        <f>ROUND(CompilDonnées[[#This Row],[CultureDuration_days]]/7,0)</f>
        <v>7</v>
      </c>
      <c r="J2709">
        <v>750</v>
      </c>
      <c r="K2709" t="str">
        <f>_xlfn.CONCAT(WEEKNUM(CompilDonnées[[#This Row],[PlantationDate]]), " ", YEAR(CompilDonnées[[#This Row],[PlantationDate]]))</f>
        <v>18 2025</v>
      </c>
      <c r="L2709" t="str">
        <f>CONCATENATE(MONTH(CompilDonnées[[#This Row],[PlantationDate]])," ", YEAR(CompilDonnées[[#This Row],[PlantationDate]]))</f>
        <v>5 2025</v>
      </c>
      <c r="M2709" t="str">
        <f>CONCATENATE(MONTH(CompilDonnées[[#This Row],[HarvestingDate]])," ", YEAR(CompilDonnées[[#This Row],[HarvestingDate]]))</f>
        <v>6 2025</v>
      </c>
      <c r="N2709">
        <f>_xlfn.NUMBERVALUE(CompilDonnées[[#This Row],[FarmID]]&amp;CompilDonnées[[#This Row],[ModuleNumber]]&amp;CompilDonnées[[#This Row],[PlantationDate]])</f>
        <v>144645778</v>
      </c>
      <c r="O2709" t="str">
        <f>CompilDonnées[[#This Row],[FarmID]]&amp;CompilDonnées[[#This Row],[ModuleNumber]]</f>
        <v>1446</v>
      </c>
      <c r="P2709" t="str">
        <f>CompilDonnées[[#This Row],[Ref_Module]]&amp;CompilDonnées[[#This Row],[HarvestingDate]]</f>
        <v>144645829</v>
      </c>
    </row>
    <row r="2710" spans="1:16">
      <c r="A2710" s="5">
        <v>45779</v>
      </c>
      <c r="B2710">
        <v>3</v>
      </c>
      <c r="C2710" t="s">
        <v>116</v>
      </c>
      <c r="D2710">
        <v>2</v>
      </c>
      <c r="E2710">
        <v>100</v>
      </c>
      <c r="F2710" t="s">
        <v>1</v>
      </c>
      <c r="G2710" s="6">
        <v>45821</v>
      </c>
      <c r="H2710">
        <v>42</v>
      </c>
      <c r="I2710">
        <f>ROUND(CompilDonnées[[#This Row],[CultureDuration_days]]/7,0)</f>
        <v>6</v>
      </c>
      <c r="J2710">
        <v>2937</v>
      </c>
      <c r="K2710" t="str">
        <f>_xlfn.CONCAT(WEEKNUM(CompilDonnées[[#This Row],[PlantationDate]]), " ", YEAR(CompilDonnées[[#This Row],[PlantationDate]]))</f>
        <v>18 2025</v>
      </c>
      <c r="L2710" t="str">
        <f>CONCATENATE(MONTH(CompilDonnées[[#This Row],[PlantationDate]])," ", YEAR(CompilDonnées[[#This Row],[PlantationDate]]))</f>
        <v>5 2025</v>
      </c>
      <c r="M2710" t="str">
        <f>CONCATENATE(MONTH(CompilDonnées[[#This Row],[HarvestingDate]])," ", YEAR(CompilDonnées[[#This Row],[HarvestingDate]]))</f>
        <v>6 2025</v>
      </c>
      <c r="N2710">
        <f>_xlfn.NUMBERVALUE(CompilDonnées[[#This Row],[FarmID]]&amp;CompilDonnées[[#This Row],[ModuleNumber]]&amp;CompilDonnées[[#This Row],[PlantationDate]])</f>
        <v>3245779</v>
      </c>
      <c r="O2710" t="str">
        <f>CompilDonnées[[#This Row],[FarmID]]&amp;CompilDonnées[[#This Row],[ModuleNumber]]</f>
        <v>32</v>
      </c>
      <c r="P2710" t="str">
        <f>CompilDonnées[[#This Row],[Ref_Module]]&amp;CompilDonnées[[#This Row],[HarvestingDate]]</f>
        <v>3245821</v>
      </c>
    </row>
    <row r="2711" spans="1:16">
      <c r="A2711" s="5">
        <v>45779</v>
      </c>
      <c r="B2711">
        <v>4</v>
      </c>
      <c r="C2711" t="s">
        <v>74</v>
      </c>
      <c r="D2711">
        <v>2</v>
      </c>
      <c r="E2711">
        <v>100</v>
      </c>
      <c r="F2711" t="s">
        <v>1</v>
      </c>
      <c r="G2711" s="6">
        <v>45821</v>
      </c>
      <c r="H2711">
        <v>42</v>
      </c>
      <c r="I2711">
        <f>ROUND(CompilDonnées[[#This Row],[CultureDuration_days]]/7,0)</f>
        <v>6</v>
      </c>
      <c r="J2711">
        <v>2914</v>
      </c>
      <c r="K2711" t="str">
        <f>_xlfn.CONCAT(WEEKNUM(CompilDonnées[[#This Row],[PlantationDate]]), " ", YEAR(CompilDonnées[[#This Row],[PlantationDate]]))</f>
        <v>18 2025</v>
      </c>
      <c r="L2711" t="str">
        <f>CONCATENATE(MONTH(CompilDonnées[[#This Row],[PlantationDate]])," ", YEAR(CompilDonnées[[#This Row],[PlantationDate]]))</f>
        <v>5 2025</v>
      </c>
      <c r="M2711" t="str">
        <f>CONCATENATE(MONTH(CompilDonnées[[#This Row],[HarvestingDate]])," ", YEAR(CompilDonnées[[#This Row],[HarvestingDate]]))</f>
        <v>6 2025</v>
      </c>
      <c r="N2711">
        <f>_xlfn.NUMBERVALUE(CompilDonnées[[#This Row],[FarmID]]&amp;CompilDonnées[[#This Row],[ModuleNumber]]&amp;CompilDonnées[[#This Row],[PlantationDate]])</f>
        <v>4245779</v>
      </c>
      <c r="O2711" t="str">
        <f>CompilDonnées[[#This Row],[FarmID]]&amp;CompilDonnées[[#This Row],[ModuleNumber]]</f>
        <v>42</v>
      </c>
      <c r="P2711" t="str">
        <f>CompilDonnées[[#This Row],[Ref_Module]]&amp;CompilDonnées[[#This Row],[HarvestingDate]]</f>
        <v>4245821</v>
      </c>
    </row>
    <row r="2712" spans="1:16">
      <c r="A2712" s="5">
        <v>45779</v>
      </c>
      <c r="B2712">
        <v>9</v>
      </c>
      <c r="C2712" t="s">
        <v>107</v>
      </c>
      <c r="D2712">
        <v>2</v>
      </c>
      <c r="E2712">
        <v>100</v>
      </c>
      <c r="F2712" t="s">
        <v>1</v>
      </c>
      <c r="G2712" s="6">
        <v>45821</v>
      </c>
      <c r="H2712">
        <v>42</v>
      </c>
      <c r="I2712">
        <f>ROUND(CompilDonnées[[#This Row],[CultureDuration_days]]/7,0)</f>
        <v>6</v>
      </c>
      <c r="J2712">
        <v>3252</v>
      </c>
      <c r="K2712" t="str">
        <f>_xlfn.CONCAT(WEEKNUM(CompilDonnées[[#This Row],[PlantationDate]]), " ", YEAR(CompilDonnées[[#This Row],[PlantationDate]]))</f>
        <v>18 2025</v>
      </c>
      <c r="L2712" t="str">
        <f>CONCATENATE(MONTH(CompilDonnées[[#This Row],[PlantationDate]])," ", YEAR(CompilDonnées[[#This Row],[PlantationDate]]))</f>
        <v>5 2025</v>
      </c>
      <c r="M2712" t="str">
        <f>CONCATENATE(MONTH(CompilDonnées[[#This Row],[HarvestingDate]])," ", YEAR(CompilDonnées[[#This Row],[HarvestingDate]]))</f>
        <v>6 2025</v>
      </c>
      <c r="N2712">
        <f>_xlfn.NUMBERVALUE(CompilDonnées[[#This Row],[FarmID]]&amp;CompilDonnées[[#This Row],[ModuleNumber]]&amp;CompilDonnées[[#This Row],[PlantationDate]])</f>
        <v>9245779</v>
      </c>
      <c r="O2712" t="str">
        <f>CompilDonnées[[#This Row],[FarmID]]&amp;CompilDonnées[[#This Row],[ModuleNumber]]</f>
        <v>92</v>
      </c>
      <c r="P2712" t="str">
        <f>CompilDonnées[[#This Row],[Ref_Module]]&amp;CompilDonnées[[#This Row],[HarvestingDate]]</f>
        <v>9245821</v>
      </c>
    </row>
    <row r="2713" spans="1:16">
      <c r="A2713" s="5">
        <v>45779</v>
      </c>
      <c r="B2713">
        <v>15</v>
      </c>
      <c r="C2713" t="s">
        <v>5</v>
      </c>
      <c r="D2713">
        <v>4</v>
      </c>
      <c r="E2713">
        <v>100</v>
      </c>
      <c r="F2713" t="s">
        <v>1</v>
      </c>
      <c r="G2713" s="6">
        <v>45819</v>
      </c>
      <c r="H2713">
        <v>40</v>
      </c>
      <c r="I2713">
        <f>ROUND(CompilDonnées[[#This Row],[CultureDuration_days]]/7,0)</f>
        <v>6</v>
      </c>
      <c r="J2713">
        <v>2795</v>
      </c>
      <c r="K2713" t="str">
        <f>_xlfn.CONCAT(WEEKNUM(CompilDonnées[[#This Row],[PlantationDate]]), " ", YEAR(CompilDonnées[[#This Row],[PlantationDate]]))</f>
        <v>18 2025</v>
      </c>
      <c r="L2713" t="str">
        <f>CONCATENATE(MONTH(CompilDonnées[[#This Row],[PlantationDate]])," ", YEAR(CompilDonnées[[#This Row],[PlantationDate]]))</f>
        <v>5 2025</v>
      </c>
      <c r="M2713" t="str">
        <f>CONCATENATE(MONTH(CompilDonnées[[#This Row],[HarvestingDate]])," ", YEAR(CompilDonnées[[#This Row],[HarvestingDate]]))</f>
        <v>6 2025</v>
      </c>
      <c r="N2713">
        <f>_xlfn.NUMBERVALUE(CompilDonnées[[#This Row],[FarmID]]&amp;CompilDonnées[[#This Row],[ModuleNumber]]&amp;CompilDonnées[[#This Row],[PlantationDate]])</f>
        <v>15445779</v>
      </c>
      <c r="O2713" t="str">
        <f>CompilDonnées[[#This Row],[FarmID]]&amp;CompilDonnées[[#This Row],[ModuleNumber]]</f>
        <v>154</v>
      </c>
      <c r="P2713" t="str">
        <f>CompilDonnées[[#This Row],[Ref_Module]]&amp;CompilDonnées[[#This Row],[HarvestingDate]]</f>
        <v>15445819</v>
      </c>
    </row>
    <row r="2714" spans="1:16">
      <c r="A2714" s="5">
        <v>45779</v>
      </c>
      <c r="B2714">
        <v>17</v>
      </c>
      <c r="C2714" t="s">
        <v>80</v>
      </c>
      <c r="D2714">
        <v>1</v>
      </c>
      <c r="E2714">
        <v>100</v>
      </c>
      <c r="F2714" t="s">
        <v>1</v>
      </c>
      <c r="G2714" s="6">
        <v>45821</v>
      </c>
      <c r="H2714">
        <v>42</v>
      </c>
      <c r="I2714">
        <f>ROUND(CompilDonnées[[#This Row],[CultureDuration_days]]/7,0)</f>
        <v>6</v>
      </c>
      <c r="J2714">
        <v>3563</v>
      </c>
      <c r="K2714" t="str">
        <f>_xlfn.CONCAT(WEEKNUM(CompilDonnées[[#This Row],[PlantationDate]]), " ", YEAR(CompilDonnées[[#This Row],[PlantationDate]]))</f>
        <v>18 2025</v>
      </c>
      <c r="L2714" t="str">
        <f>CONCATENATE(MONTH(CompilDonnées[[#This Row],[PlantationDate]])," ", YEAR(CompilDonnées[[#This Row],[PlantationDate]]))</f>
        <v>5 2025</v>
      </c>
      <c r="M2714" t="str">
        <f>CONCATENATE(MONTH(CompilDonnées[[#This Row],[HarvestingDate]])," ", YEAR(CompilDonnées[[#This Row],[HarvestingDate]]))</f>
        <v>6 2025</v>
      </c>
      <c r="N2714">
        <f>_xlfn.NUMBERVALUE(CompilDonnées[[#This Row],[FarmID]]&amp;CompilDonnées[[#This Row],[ModuleNumber]]&amp;CompilDonnées[[#This Row],[PlantationDate]])</f>
        <v>17145779</v>
      </c>
      <c r="O2714" t="str">
        <f>CompilDonnées[[#This Row],[FarmID]]&amp;CompilDonnées[[#This Row],[ModuleNumber]]</f>
        <v>171</v>
      </c>
      <c r="P2714" t="str">
        <f>CompilDonnées[[#This Row],[Ref_Module]]&amp;CompilDonnées[[#This Row],[HarvestingDate]]</f>
        <v>17145821</v>
      </c>
    </row>
    <row r="2715" spans="1:16">
      <c r="A2715" s="5">
        <v>45779</v>
      </c>
      <c r="B2715">
        <v>18</v>
      </c>
      <c r="C2715" t="s">
        <v>33</v>
      </c>
      <c r="D2715">
        <v>1</v>
      </c>
      <c r="E2715">
        <v>100</v>
      </c>
      <c r="F2715" t="s">
        <v>1</v>
      </c>
      <c r="G2715" s="6">
        <v>45821</v>
      </c>
      <c r="H2715">
        <v>42</v>
      </c>
      <c r="I2715">
        <f>ROUND(CompilDonnées[[#This Row],[CultureDuration_days]]/7,0)</f>
        <v>6</v>
      </c>
      <c r="J2715">
        <v>3938</v>
      </c>
      <c r="K2715" t="str">
        <f>_xlfn.CONCAT(WEEKNUM(CompilDonnées[[#This Row],[PlantationDate]]), " ", YEAR(CompilDonnées[[#This Row],[PlantationDate]]))</f>
        <v>18 2025</v>
      </c>
      <c r="L2715" t="str">
        <f>CONCATENATE(MONTH(CompilDonnées[[#This Row],[PlantationDate]])," ", YEAR(CompilDonnées[[#This Row],[PlantationDate]]))</f>
        <v>5 2025</v>
      </c>
      <c r="M2715" t="str">
        <f>CONCATENATE(MONTH(CompilDonnées[[#This Row],[HarvestingDate]])," ", YEAR(CompilDonnées[[#This Row],[HarvestingDate]]))</f>
        <v>6 2025</v>
      </c>
      <c r="N2715">
        <f>_xlfn.NUMBERVALUE(CompilDonnées[[#This Row],[FarmID]]&amp;CompilDonnées[[#This Row],[ModuleNumber]]&amp;CompilDonnées[[#This Row],[PlantationDate]])</f>
        <v>18145779</v>
      </c>
      <c r="O2715" t="str">
        <f>CompilDonnées[[#This Row],[FarmID]]&amp;CompilDonnées[[#This Row],[ModuleNumber]]</f>
        <v>181</v>
      </c>
      <c r="P2715" t="str">
        <f>CompilDonnées[[#This Row],[Ref_Module]]&amp;CompilDonnées[[#This Row],[HarvestingDate]]</f>
        <v>18145821</v>
      </c>
    </row>
    <row r="2716" spans="1:16">
      <c r="A2716" s="5">
        <v>45779</v>
      </c>
      <c r="B2716">
        <v>21</v>
      </c>
      <c r="C2716" t="s">
        <v>0</v>
      </c>
      <c r="D2716">
        <v>6</v>
      </c>
      <c r="E2716">
        <v>100</v>
      </c>
      <c r="F2716" t="s">
        <v>1</v>
      </c>
      <c r="G2716" s="6">
        <v>45821</v>
      </c>
      <c r="H2716">
        <v>42</v>
      </c>
      <c r="I2716">
        <f>ROUND(CompilDonnées[[#This Row],[CultureDuration_days]]/7,0)</f>
        <v>6</v>
      </c>
      <c r="J2716">
        <v>4073</v>
      </c>
      <c r="K2716" t="str">
        <f>_xlfn.CONCAT(WEEKNUM(CompilDonnées[[#This Row],[PlantationDate]]), " ", YEAR(CompilDonnées[[#This Row],[PlantationDate]]))</f>
        <v>18 2025</v>
      </c>
      <c r="L2716" t="str">
        <f>CONCATENATE(MONTH(CompilDonnées[[#This Row],[PlantationDate]])," ", YEAR(CompilDonnées[[#This Row],[PlantationDate]]))</f>
        <v>5 2025</v>
      </c>
      <c r="M2716" t="str">
        <f>CONCATENATE(MONTH(CompilDonnées[[#This Row],[HarvestingDate]])," ", YEAR(CompilDonnées[[#This Row],[HarvestingDate]]))</f>
        <v>6 2025</v>
      </c>
      <c r="N2716">
        <f>_xlfn.NUMBERVALUE(CompilDonnées[[#This Row],[FarmID]]&amp;CompilDonnées[[#This Row],[ModuleNumber]]&amp;CompilDonnées[[#This Row],[PlantationDate]])</f>
        <v>21645779</v>
      </c>
      <c r="O2716" t="str">
        <f>CompilDonnées[[#This Row],[FarmID]]&amp;CompilDonnées[[#This Row],[ModuleNumber]]</f>
        <v>216</v>
      </c>
      <c r="P2716" t="str">
        <f>CompilDonnées[[#This Row],[Ref_Module]]&amp;CompilDonnées[[#This Row],[HarvestingDate]]</f>
        <v>21645821</v>
      </c>
    </row>
    <row r="2717" spans="1:16">
      <c r="A2717" s="5">
        <v>45779</v>
      </c>
      <c r="B2717">
        <v>22</v>
      </c>
      <c r="C2717" t="s">
        <v>43</v>
      </c>
      <c r="D2717">
        <v>6</v>
      </c>
      <c r="E2717">
        <v>100</v>
      </c>
      <c r="F2717" t="s">
        <v>1</v>
      </c>
      <c r="G2717" s="6">
        <v>45821</v>
      </c>
      <c r="H2717">
        <v>42</v>
      </c>
      <c r="I2717">
        <f>ROUND(CompilDonnées[[#This Row],[CultureDuration_days]]/7,0)</f>
        <v>6</v>
      </c>
      <c r="J2717">
        <v>4254</v>
      </c>
      <c r="K2717" t="str">
        <f>_xlfn.CONCAT(WEEKNUM(CompilDonnées[[#This Row],[PlantationDate]]), " ", YEAR(CompilDonnées[[#This Row],[PlantationDate]]))</f>
        <v>18 2025</v>
      </c>
      <c r="L2717" t="str">
        <f>CONCATENATE(MONTH(CompilDonnées[[#This Row],[PlantationDate]])," ", YEAR(CompilDonnées[[#This Row],[PlantationDate]]))</f>
        <v>5 2025</v>
      </c>
      <c r="M2717" t="str">
        <f>CONCATENATE(MONTH(CompilDonnées[[#This Row],[HarvestingDate]])," ", YEAR(CompilDonnées[[#This Row],[HarvestingDate]]))</f>
        <v>6 2025</v>
      </c>
      <c r="N2717">
        <f>_xlfn.NUMBERVALUE(CompilDonnées[[#This Row],[FarmID]]&amp;CompilDonnées[[#This Row],[ModuleNumber]]&amp;CompilDonnées[[#This Row],[PlantationDate]])</f>
        <v>22645779</v>
      </c>
      <c r="O2717" t="str">
        <f>CompilDonnées[[#This Row],[FarmID]]&amp;CompilDonnées[[#This Row],[ModuleNumber]]</f>
        <v>226</v>
      </c>
      <c r="P2717" t="str">
        <f>CompilDonnées[[#This Row],[Ref_Module]]&amp;CompilDonnées[[#This Row],[HarvestingDate]]</f>
        <v>22645821</v>
      </c>
    </row>
    <row r="2718" spans="1:16">
      <c r="A2718" s="5">
        <v>45779</v>
      </c>
      <c r="B2718">
        <v>24</v>
      </c>
      <c r="C2718" t="s">
        <v>31</v>
      </c>
      <c r="D2718">
        <v>1</v>
      </c>
      <c r="E2718">
        <v>100</v>
      </c>
      <c r="F2718" t="s">
        <v>1</v>
      </c>
      <c r="G2718" s="6">
        <v>45821</v>
      </c>
      <c r="H2718">
        <v>42</v>
      </c>
      <c r="I2718">
        <f>ROUND(CompilDonnées[[#This Row],[CultureDuration_days]]/7,0)</f>
        <v>6</v>
      </c>
      <c r="J2718">
        <v>3681</v>
      </c>
      <c r="K2718" t="str">
        <f>_xlfn.CONCAT(WEEKNUM(CompilDonnées[[#This Row],[PlantationDate]]), " ", YEAR(CompilDonnées[[#This Row],[PlantationDate]]))</f>
        <v>18 2025</v>
      </c>
      <c r="L2718" t="str">
        <f>CONCATENATE(MONTH(CompilDonnées[[#This Row],[PlantationDate]])," ", YEAR(CompilDonnées[[#This Row],[PlantationDate]]))</f>
        <v>5 2025</v>
      </c>
      <c r="M2718" t="str">
        <f>CONCATENATE(MONTH(CompilDonnées[[#This Row],[HarvestingDate]])," ", YEAR(CompilDonnées[[#This Row],[HarvestingDate]]))</f>
        <v>6 2025</v>
      </c>
      <c r="N2718">
        <f>_xlfn.NUMBERVALUE(CompilDonnées[[#This Row],[FarmID]]&amp;CompilDonnées[[#This Row],[ModuleNumber]]&amp;CompilDonnées[[#This Row],[PlantationDate]])</f>
        <v>24145779</v>
      </c>
      <c r="O2718" t="str">
        <f>CompilDonnées[[#This Row],[FarmID]]&amp;CompilDonnées[[#This Row],[ModuleNumber]]</f>
        <v>241</v>
      </c>
      <c r="P2718" t="str">
        <f>CompilDonnées[[#This Row],[Ref_Module]]&amp;CompilDonnées[[#This Row],[HarvestingDate]]</f>
        <v>24145821</v>
      </c>
    </row>
    <row r="2719" spans="1:16">
      <c r="A2719" s="5">
        <v>45779</v>
      </c>
      <c r="B2719">
        <v>24</v>
      </c>
      <c r="C2719" t="s">
        <v>31</v>
      </c>
      <c r="D2719">
        <v>2</v>
      </c>
      <c r="E2719">
        <v>100</v>
      </c>
      <c r="F2719" t="s">
        <v>1</v>
      </c>
      <c r="G2719" s="6">
        <v>45821</v>
      </c>
      <c r="H2719">
        <v>42</v>
      </c>
      <c r="I2719">
        <f>ROUND(CompilDonnées[[#This Row],[CultureDuration_days]]/7,0)</f>
        <v>6</v>
      </c>
      <c r="J2719">
        <v>3616</v>
      </c>
      <c r="K2719" t="str">
        <f>_xlfn.CONCAT(WEEKNUM(CompilDonnées[[#This Row],[PlantationDate]]), " ", YEAR(CompilDonnées[[#This Row],[PlantationDate]]))</f>
        <v>18 2025</v>
      </c>
      <c r="L2719" t="str">
        <f>CONCATENATE(MONTH(CompilDonnées[[#This Row],[PlantationDate]])," ", YEAR(CompilDonnées[[#This Row],[PlantationDate]]))</f>
        <v>5 2025</v>
      </c>
      <c r="M2719" t="str">
        <f>CONCATENATE(MONTH(CompilDonnées[[#This Row],[HarvestingDate]])," ", YEAR(CompilDonnées[[#This Row],[HarvestingDate]]))</f>
        <v>6 2025</v>
      </c>
      <c r="N2719">
        <f>_xlfn.NUMBERVALUE(CompilDonnées[[#This Row],[FarmID]]&amp;CompilDonnées[[#This Row],[ModuleNumber]]&amp;CompilDonnées[[#This Row],[PlantationDate]])</f>
        <v>24245779</v>
      </c>
      <c r="O2719" t="str">
        <f>CompilDonnées[[#This Row],[FarmID]]&amp;CompilDonnées[[#This Row],[ModuleNumber]]</f>
        <v>242</v>
      </c>
      <c r="P2719" t="str">
        <f>CompilDonnées[[#This Row],[Ref_Module]]&amp;CompilDonnées[[#This Row],[HarvestingDate]]</f>
        <v>24245821</v>
      </c>
    </row>
    <row r="2720" spans="1:16">
      <c r="A2720" s="5">
        <v>45779</v>
      </c>
      <c r="B2720">
        <v>27</v>
      </c>
      <c r="C2720" t="s">
        <v>88</v>
      </c>
      <c r="D2720">
        <v>3</v>
      </c>
      <c r="E2720">
        <v>100</v>
      </c>
      <c r="F2720" t="s">
        <v>1</v>
      </c>
      <c r="G2720" s="6">
        <v>45825</v>
      </c>
      <c r="H2720">
        <v>46</v>
      </c>
      <c r="I2720">
        <f>ROUND(CompilDonnées[[#This Row],[CultureDuration_days]]/7,0)</f>
        <v>7</v>
      </c>
      <c r="J2720">
        <v>3246</v>
      </c>
      <c r="K2720" t="str">
        <f>_xlfn.CONCAT(WEEKNUM(CompilDonnées[[#This Row],[PlantationDate]]), " ", YEAR(CompilDonnées[[#This Row],[PlantationDate]]))</f>
        <v>18 2025</v>
      </c>
      <c r="L2720" t="str">
        <f>CONCATENATE(MONTH(CompilDonnées[[#This Row],[PlantationDate]])," ", YEAR(CompilDonnées[[#This Row],[PlantationDate]]))</f>
        <v>5 2025</v>
      </c>
      <c r="M2720" t="str">
        <f>CONCATENATE(MONTH(CompilDonnées[[#This Row],[HarvestingDate]])," ", YEAR(CompilDonnées[[#This Row],[HarvestingDate]]))</f>
        <v>6 2025</v>
      </c>
      <c r="N2720">
        <f>_xlfn.NUMBERVALUE(CompilDonnées[[#This Row],[FarmID]]&amp;CompilDonnées[[#This Row],[ModuleNumber]]&amp;CompilDonnées[[#This Row],[PlantationDate]])</f>
        <v>27345779</v>
      </c>
      <c r="O2720" t="str">
        <f>CompilDonnées[[#This Row],[FarmID]]&amp;CompilDonnées[[#This Row],[ModuleNumber]]</f>
        <v>273</v>
      </c>
      <c r="P2720" t="str">
        <f>CompilDonnées[[#This Row],[Ref_Module]]&amp;CompilDonnées[[#This Row],[HarvestingDate]]</f>
        <v>27345825</v>
      </c>
    </row>
    <row r="2721" spans="1:16">
      <c r="A2721" s="5">
        <v>45779</v>
      </c>
      <c r="B2721">
        <v>28</v>
      </c>
      <c r="C2721" t="s">
        <v>122</v>
      </c>
      <c r="D2721">
        <v>4</v>
      </c>
      <c r="E2721">
        <v>100</v>
      </c>
      <c r="F2721" t="s">
        <v>1</v>
      </c>
      <c r="G2721" s="6">
        <v>45821</v>
      </c>
      <c r="H2721">
        <v>42</v>
      </c>
      <c r="I2721">
        <f>ROUND(CompilDonnées[[#This Row],[CultureDuration_days]]/7,0)</f>
        <v>6</v>
      </c>
      <c r="J2721">
        <v>3622</v>
      </c>
      <c r="K2721" t="str">
        <f>_xlfn.CONCAT(WEEKNUM(CompilDonnées[[#This Row],[PlantationDate]]), " ", YEAR(CompilDonnées[[#This Row],[PlantationDate]]))</f>
        <v>18 2025</v>
      </c>
      <c r="L2721" t="str">
        <f>CONCATENATE(MONTH(CompilDonnées[[#This Row],[PlantationDate]])," ", YEAR(CompilDonnées[[#This Row],[PlantationDate]]))</f>
        <v>5 2025</v>
      </c>
      <c r="M2721" t="str">
        <f>CONCATENATE(MONTH(CompilDonnées[[#This Row],[HarvestingDate]])," ", YEAR(CompilDonnées[[#This Row],[HarvestingDate]]))</f>
        <v>6 2025</v>
      </c>
      <c r="N2721">
        <f>_xlfn.NUMBERVALUE(CompilDonnées[[#This Row],[FarmID]]&amp;CompilDonnées[[#This Row],[ModuleNumber]]&amp;CompilDonnées[[#This Row],[PlantationDate]])</f>
        <v>28445779</v>
      </c>
      <c r="O2721" t="str">
        <f>CompilDonnées[[#This Row],[FarmID]]&amp;CompilDonnées[[#This Row],[ModuleNumber]]</f>
        <v>284</v>
      </c>
      <c r="P2721" t="str">
        <f>CompilDonnées[[#This Row],[Ref_Module]]&amp;CompilDonnées[[#This Row],[HarvestingDate]]</f>
        <v>28445821</v>
      </c>
    </row>
    <row r="2722" spans="1:16">
      <c r="A2722" s="5">
        <v>45779</v>
      </c>
      <c r="B2722">
        <v>29</v>
      </c>
      <c r="C2722" t="s">
        <v>2</v>
      </c>
      <c r="D2722">
        <v>1</v>
      </c>
      <c r="E2722">
        <v>100</v>
      </c>
      <c r="F2722" t="s">
        <v>1</v>
      </c>
      <c r="G2722" s="6">
        <v>45821</v>
      </c>
      <c r="H2722">
        <v>42</v>
      </c>
      <c r="I2722">
        <f>ROUND(CompilDonnées[[#This Row],[CultureDuration_days]]/7,0)</f>
        <v>6</v>
      </c>
      <c r="J2722">
        <v>3475</v>
      </c>
      <c r="K2722" t="str">
        <f>_xlfn.CONCAT(WEEKNUM(CompilDonnées[[#This Row],[PlantationDate]]), " ", YEAR(CompilDonnées[[#This Row],[PlantationDate]]))</f>
        <v>18 2025</v>
      </c>
      <c r="L2722" t="str">
        <f>CONCATENATE(MONTH(CompilDonnées[[#This Row],[PlantationDate]])," ", YEAR(CompilDonnées[[#This Row],[PlantationDate]]))</f>
        <v>5 2025</v>
      </c>
      <c r="M2722" t="str">
        <f>CONCATENATE(MONTH(CompilDonnées[[#This Row],[HarvestingDate]])," ", YEAR(CompilDonnées[[#This Row],[HarvestingDate]]))</f>
        <v>6 2025</v>
      </c>
      <c r="N2722">
        <f>_xlfn.NUMBERVALUE(CompilDonnées[[#This Row],[FarmID]]&amp;CompilDonnées[[#This Row],[ModuleNumber]]&amp;CompilDonnées[[#This Row],[PlantationDate]])</f>
        <v>29145779</v>
      </c>
      <c r="O2722" t="str">
        <f>CompilDonnées[[#This Row],[FarmID]]&amp;CompilDonnées[[#This Row],[ModuleNumber]]</f>
        <v>291</v>
      </c>
      <c r="P2722" t="str">
        <f>CompilDonnées[[#This Row],[Ref_Module]]&amp;CompilDonnées[[#This Row],[HarvestingDate]]</f>
        <v>29145821</v>
      </c>
    </row>
    <row r="2723" spans="1:16">
      <c r="A2723" s="5">
        <v>45779</v>
      </c>
      <c r="B2723">
        <v>30</v>
      </c>
      <c r="C2723" t="s">
        <v>4</v>
      </c>
      <c r="D2723">
        <v>2</v>
      </c>
      <c r="E2723">
        <v>100</v>
      </c>
      <c r="F2723" t="s">
        <v>1</v>
      </c>
      <c r="G2723" s="6">
        <v>45825</v>
      </c>
      <c r="H2723">
        <v>46</v>
      </c>
      <c r="I2723">
        <f>ROUND(CompilDonnées[[#This Row],[CultureDuration_days]]/7,0)</f>
        <v>7</v>
      </c>
      <c r="J2723">
        <v>3123</v>
      </c>
      <c r="K2723" t="str">
        <f>_xlfn.CONCAT(WEEKNUM(CompilDonnées[[#This Row],[PlantationDate]]), " ", YEAR(CompilDonnées[[#This Row],[PlantationDate]]))</f>
        <v>18 2025</v>
      </c>
      <c r="L2723" t="str">
        <f>CONCATENATE(MONTH(CompilDonnées[[#This Row],[PlantationDate]])," ", YEAR(CompilDonnées[[#This Row],[PlantationDate]]))</f>
        <v>5 2025</v>
      </c>
      <c r="M2723" t="str">
        <f>CONCATENATE(MONTH(CompilDonnées[[#This Row],[HarvestingDate]])," ", YEAR(CompilDonnées[[#This Row],[HarvestingDate]]))</f>
        <v>6 2025</v>
      </c>
      <c r="N2723">
        <f>_xlfn.NUMBERVALUE(CompilDonnées[[#This Row],[FarmID]]&amp;CompilDonnées[[#This Row],[ModuleNumber]]&amp;CompilDonnées[[#This Row],[PlantationDate]])</f>
        <v>30245779</v>
      </c>
      <c r="O2723" t="str">
        <f>CompilDonnées[[#This Row],[FarmID]]&amp;CompilDonnées[[#This Row],[ModuleNumber]]</f>
        <v>302</v>
      </c>
      <c r="P2723" t="str">
        <f>CompilDonnées[[#This Row],[Ref_Module]]&amp;CompilDonnées[[#This Row],[HarvestingDate]]</f>
        <v>30245825</v>
      </c>
    </row>
    <row r="2724" spans="1:16">
      <c r="A2724" s="5">
        <v>45779</v>
      </c>
      <c r="B2724">
        <v>31</v>
      </c>
      <c r="C2724" t="s">
        <v>62</v>
      </c>
      <c r="D2724">
        <v>4</v>
      </c>
      <c r="E2724">
        <v>100</v>
      </c>
      <c r="F2724" t="s">
        <v>1</v>
      </c>
      <c r="G2724" s="6">
        <v>45821</v>
      </c>
      <c r="H2724">
        <v>42</v>
      </c>
      <c r="I2724">
        <f>ROUND(CompilDonnées[[#This Row],[CultureDuration_days]]/7,0)</f>
        <v>6</v>
      </c>
      <c r="J2724">
        <v>2843</v>
      </c>
      <c r="K2724" t="str">
        <f>_xlfn.CONCAT(WEEKNUM(CompilDonnées[[#This Row],[PlantationDate]]), " ", YEAR(CompilDonnées[[#This Row],[PlantationDate]]))</f>
        <v>18 2025</v>
      </c>
      <c r="L2724" t="str">
        <f>CONCATENATE(MONTH(CompilDonnées[[#This Row],[PlantationDate]])," ", YEAR(CompilDonnées[[#This Row],[PlantationDate]]))</f>
        <v>5 2025</v>
      </c>
      <c r="M2724" t="str">
        <f>CONCATENATE(MONTH(CompilDonnées[[#This Row],[HarvestingDate]])," ", YEAR(CompilDonnées[[#This Row],[HarvestingDate]]))</f>
        <v>6 2025</v>
      </c>
      <c r="N2724">
        <f>_xlfn.NUMBERVALUE(CompilDonnées[[#This Row],[FarmID]]&amp;CompilDonnées[[#This Row],[ModuleNumber]]&amp;CompilDonnées[[#This Row],[PlantationDate]])</f>
        <v>31445779</v>
      </c>
      <c r="O2724" t="str">
        <f>CompilDonnées[[#This Row],[FarmID]]&amp;CompilDonnées[[#This Row],[ModuleNumber]]</f>
        <v>314</v>
      </c>
      <c r="P2724" t="str">
        <f>CompilDonnées[[#This Row],[Ref_Module]]&amp;CompilDonnées[[#This Row],[HarvestingDate]]</f>
        <v>31445821</v>
      </c>
    </row>
    <row r="2725" spans="1:16">
      <c r="A2725" s="5">
        <v>45779</v>
      </c>
      <c r="B2725">
        <v>32</v>
      </c>
      <c r="C2725" t="s">
        <v>25</v>
      </c>
      <c r="D2725">
        <v>1</v>
      </c>
      <c r="E2725">
        <v>100</v>
      </c>
      <c r="F2725" t="s">
        <v>1</v>
      </c>
      <c r="G2725" s="6">
        <v>45821</v>
      </c>
      <c r="H2725">
        <v>42</v>
      </c>
      <c r="I2725">
        <f>ROUND(CompilDonnées[[#This Row],[CultureDuration_days]]/7,0)</f>
        <v>6</v>
      </c>
      <c r="J2725">
        <v>3792</v>
      </c>
      <c r="K2725" t="str">
        <f>_xlfn.CONCAT(WEEKNUM(CompilDonnées[[#This Row],[PlantationDate]]), " ", YEAR(CompilDonnées[[#This Row],[PlantationDate]]))</f>
        <v>18 2025</v>
      </c>
      <c r="L2725" t="str">
        <f>CONCATENATE(MONTH(CompilDonnées[[#This Row],[PlantationDate]])," ", YEAR(CompilDonnées[[#This Row],[PlantationDate]]))</f>
        <v>5 2025</v>
      </c>
      <c r="M2725" t="str">
        <f>CONCATENATE(MONTH(CompilDonnées[[#This Row],[HarvestingDate]])," ", YEAR(CompilDonnées[[#This Row],[HarvestingDate]]))</f>
        <v>6 2025</v>
      </c>
      <c r="N2725">
        <f>_xlfn.NUMBERVALUE(CompilDonnées[[#This Row],[FarmID]]&amp;CompilDonnées[[#This Row],[ModuleNumber]]&amp;CompilDonnées[[#This Row],[PlantationDate]])</f>
        <v>32145779</v>
      </c>
      <c r="O2725" t="str">
        <f>CompilDonnées[[#This Row],[FarmID]]&amp;CompilDonnées[[#This Row],[ModuleNumber]]</f>
        <v>321</v>
      </c>
      <c r="P2725" t="str">
        <f>CompilDonnées[[#This Row],[Ref_Module]]&amp;CompilDonnées[[#This Row],[HarvestingDate]]</f>
        <v>32145821</v>
      </c>
    </row>
    <row r="2726" spans="1:16">
      <c r="A2726" s="5">
        <v>45779</v>
      </c>
      <c r="B2726">
        <v>35</v>
      </c>
      <c r="C2726" t="s">
        <v>69</v>
      </c>
      <c r="D2726">
        <v>1</v>
      </c>
      <c r="E2726">
        <v>100</v>
      </c>
      <c r="F2726" t="s">
        <v>1</v>
      </c>
      <c r="G2726" s="6">
        <v>45825</v>
      </c>
      <c r="H2726">
        <v>46</v>
      </c>
      <c r="I2726">
        <f>ROUND(CompilDonnées[[#This Row],[CultureDuration_days]]/7,0)</f>
        <v>7</v>
      </c>
      <c r="J2726">
        <v>2555</v>
      </c>
      <c r="K2726" t="str">
        <f>_xlfn.CONCAT(WEEKNUM(CompilDonnées[[#This Row],[PlantationDate]]), " ", YEAR(CompilDonnées[[#This Row],[PlantationDate]]))</f>
        <v>18 2025</v>
      </c>
      <c r="L2726" t="str">
        <f>CONCATENATE(MONTH(CompilDonnées[[#This Row],[PlantationDate]])," ", YEAR(CompilDonnées[[#This Row],[PlantationDate]]))</f>
        <v>5 2025</v>
      </c>
      <c r="M2726" t="str">
        <f>CONCATENATE(MONTH(CompilDonnées[[#This Row],[HarvestingDate]])," ", YEAR(CompilDonnées[[#This Row],[HarvestingDate]]))</f>
        <v>6 2025</v>
      </c>
      <c r="N2726">
        <f>_xlfn.NUMBERVALUE(CompilDonnées[[#This Row],[FarmID]]&amp;CompilDonnées[[#This Row],[ModuleNumber]]&amp;CompilDonnées[[#This Row],[PlantationDate]])</f>
        <v>35145779</v>
      </c>
      <c r="O2726" t="str">
        <f>CompilDonnées[[#This Row],[FarmID]]&amp;CompilDonnées[[#This Row],[ModuleNumber]]</f>
        <v>351</v>
      </c>
      <c r="P2726" t="str">
        <f>CompilDonnées[[#This Row],[Ref_Module]]&amp;CompilDonnées[[#This Row],[HarvestingDate]]</f>
        <v>35145825</v>
      </c>
    </row>
    <row r="2727" spans="1:16">
      <c r="A2727" s="5">
        <v>45779</v>
      </c>
      <c r="B2727">
        <v>38</v>
      </c>
      <c r="C2727" t="s">
        <v>34</v>
      </c>
      <c r="D2727">
        <v>6</v>
      </c>
      <c r="E2727">
        <v>100</v>
      </c>
      <c r="F2727" t="s">
        <v>1</v>
      </c>
      <c r="G2727" s="6">
        <v>45821</v>
      </c>
      <c r="H2727">
        <v>42</v>
      </c>
      <c r="I2727">
        <f>ROUND(CompilDonnées[[#This Row],[CultureDuration_days]]/7,0)</f>
        <v>6</v>
      </c>
      <c r="J2727">
        <v>3402</v>
      </c>
      <c r="K2727" t="str">
        <f>_xlfn.CONCAT(WEEKNUM(CompilDonnées[[#This Row],[PlantationDate]]), " ", YEAR(CompilDonnées[[#This Row],[PlantationDate]]))</f>
        <v>18 2025</v>
      </c>
      <c r="L2727" t="str">
        <f>CONCATENATE(MONTH(CompilDonnées[[#This Row],[PlantationDate]])," ", YEAR(CompilDonnées[[#This Row],[PlantationDate]]))</f>
        <v>5 2025</v>
      </c>
      <c r="M2727" t="str">
        <f>CONCATENATE(MONTH(CompilDonnées[[#This Row],[HarvestingDate]])," ", YEAR(CompilDonnées[[#This Row],[HarvestingDate]]))</f>
        <v>6 2025</v>
      </c>
      <c r="N2727">
        <f>_xlfn.NUMBERVALUE(CompilDonnées[[#This Row],[FarmID]]&amp;CompilDonnées[[#This Row],[ModuleNumber]]&amp;CompilDonnées[[#This Row],[PlantationDate]])</f>
        <v>38645779</v>
      </c>
      <c r="O2727" t="str">
        <f>CompilDonnées[[#This Row],[FarmID]]&amp;CompilDonnées[[#This Row],[ModuleNumber]]</f>
        <v>386</v>
      </c>
      <c r="P2727" t="str">
        <f>CompilDonnées[[#This Row],[Ref_Module]]&amp;CompilDonnées[[#This Row],[HarvestingDate]]</f>
        <v>38645821</v>
      </c>
    </row>
    <row r="2728" spans="1:16">
      <c r="A2728" s="5">
        <v>45779</v>
      </c>
      <c r="B2728">
        <v>41</v>
      </c>
      <c r="C2728" t="s">
        <v>70</v>
      </c>
      <c r="D2728">
        <v>1</v>
      </c>
      <c r="E2728">
        <v>100</v>
      </c>
      <c r="F2728" t="s">
        <v>1</v>
      </c>
      <c r="G2728" s="6">
        <v>45820</v>
      </c>
      <c r="H2728">
        <v>41</v>
      </c>
      <c r="I2728">
        <f>ROUND(CompilDonnées[[#This Row],[CultureDuration_days]]/7,0)</f>
        <v>6</v>
      </c>
      <c r="J2728">
        <v>3241</v>
      </c>
      <c r="K2728" t="str">
        <f>_xlfn.CONCAT(WEEKNUM(CompilDonnées[[#This Row],[PlantationDate]]), " ", YEAR(CompilDonnées[[#This Row],[PlantationDate]]))</f>
        <v>18 2025</v>
      </c>
      <c r="L2728" t="str">
        <f>CONCATENATE(MONTH(CompilDonnées[[#This Row],[PlantationDate]])," ", YEAR(CompilDonnées[[#This Row],[PlantationDate]]))</f>
        <v>5 2025</v>
      </c>
      <c r="M2728" t="str">
        <f>CONCATENATE(MONTH(CompilDonnées[[#This Row],[HarvestingDate]])," ", YEAR(CompilDonnées[[#This Row],[HarvestingDate]]))</f>
        <v>6 2025</v>
      </c>
      <c r="N2728">
        <f>_xlfn.NUMBERVALUE(CompilDonnées[[#This Row],[FarmID]]&amp;CompilDonnées[[#This Row],[ModuleNumber]]&amp;CompilDonnées[[#This Row],[PlantationDate]])</f>
        <v>41145779</v>
      </c>
      <c r="O2728" t="str">
        <f>CompilDonnées[[#This Row],[FarmID]]&amp;CompilDonnées[[#This Row],[ModuleNumber]]</f>
        <v>411</v>
      </c>
      <c r="P2728" t="str">
        <f>CompilDonnées[[#This Row],[Ref_Module]]&amp;CompilDonnées[[#This Row],[HarvestingDate]]</f>
        <v>41145820</v>
      </c>
    </row>
    <row r="2729" spans="1:16">
      <c r="A2729" s="5">
        <v>45779</v>
      </c>
      <c r="B2729">
        <v>43</v>
      </c>
      <c r="C2729" t="s">
        <v>45</v>
      </c>
      <c r="D2729">
        <v>1</v>
      </c>
      <c r="E2729">
        <v>100</v>
      </c>
      <c r="F2729" t="s">
        <v>1</v>
      </c>
      <c r="G2729" s="6">
        <v>45820</v>
      </c>
      <c r="H2729">
        <v>41</v>
      </c>
      <c r="I2729">
        <f>ROUND(CompilDonnées[[#This Row],[CultureDuration_days]]/7,0)</f>
        <v>6</v>
      </c>
      <c r="J2729">
        <v>2996</v>
      </c>
      <c r="K2729" t="str">
        <f>_xlfn.CONCAT(WEEKNUM(CompilDonnées[[#This Row],[PlantationDate]]), " ", YEAR(CompilDonnées[[#This Row],[PlantationDate]]))</f>
        <v>18 2025</v>
      </c>
      <c r="L2729" t="str">
        <f>CONCATENATE(MONTH(CompilDonnées[[#This Row],[PlantationDate]])," ", YEAR(CompilDonnées[[#This Row],[PlantationDate]]))</f>
        <v>5 2025</v>
      </c>
      <c r="M2729" t="str">
        <f>CONCATENATE(MONTH(CompilDonnées[[#This Row],[HarvestingDate]])," ", YEAR(CompilDonnées[[#This Row],[HarvestingDate]]))</f>
        <v>6 2025</v>
      </c>
      <c r="N2729">
        <f>_xlfn.NUMBERVALUE(CompilDonnées[[#This Row],[FarmID]]&amp;CompilDonnées[[#This Row],[ModuleNumber]]&amp;CompilDonnées[[#This Row],[PlantationDate]])</f>
        <v>43145779</v>
      </c>
      <c r="O2729" t="str">
        <f>CompilDonnées[[#This Row],[FarmID]]&amp;CompilDonnées[[#This Row],[ModuleNumber]]</f>
        <v>431</v>
      </c>
      <c r="P2729" t="str">
        <f>CompilDonnées[[#This Row],[Ref_Module]]&amp;CompilDonnées[[#This Row],[HarvestingDate]]</f>
        <v>43145820</v>
      </c>
    </row>
    <row r="2730" spans="1:16">
      <c r="A2730" s="5">
        <v>45779</v>
      </c>
      <c r="B2730">
        <v>45</v>
      </c>
      <c r="C2730" t="s">
        <v>77</v>
      </c>
      <c r="D2730">
        <v>4</v>
      </c>
      <c r="E2730">
        <v>100</v>
      </c>
      <c r="F2730" t="s">
        <v>1</v>
      </c>
      <c r="G2730" s="6">
        <v>45820</v>
      </c>
      <c r="H2730">
        <v>41</v>
      </c>
      <c r="I2730">
        <f>ROUND(CompilDonnées[[#This Row],[CultureDuration_days]]/7,0)</f>
        <v>6</v>
      </c>
      <c r="J2730">
        <v>3822</v>
      </c>
      <c r="K2730" t="str">
        <f>_xlfn.CONCAT(WEEKNUM(CompilDonnées[[#This Row],[PlantationDate]]), " ", YEAR(CompilDonnées[[#This Row],[PlantationDate]]))</f>
        <v>18 2025</v>
      </c>
      <c r="L2730" t="str">
        <f>CONCATENATE(MONTH(CompilDonnées[[#This Row],[PlantationDate]])," ", YEAR(CompilDonnées[[#This Row],[PlantationDate]]))</f>
        <v>5 2025</v>
      </c>
      <c r="M2730" t="str">
        <f>CONCATENATE(MONTH(CompilDonnées[[#This Row],[HarvestingDate]])," ", YEAR(CompilDonnées[[#This Row],[HarvestingDate]]))</f>
        <v>6 2025</v>
      </c>
      <c r="N2730">
        <f>_xlfn.NUMBERVALUE(CompilDonnées[[#This Row],[FarmID]]&amp;CompilDonnées[[#This Row],[ModuleNumber]]&amp;CompilDonnées[[#This Row],[PlantationDate]])</f>
        <v>45445779</v>
      </c>
      <c r="O2730" t="str">
        <f>CompilDonnées[[#This Row],[FarmID]]&amp;CompilDonnées[[#This Row],[ModuleNumber]]</f>
        <v>454</v>
      </c>
      <c r="P2730" t="str">
        <f>CompilDonnées[[#This Row],[Ref_Module]]&amp;CompilDonnées[[#This Row],[HarvestingDate]]</f>
        <v>45445820</v>
      </c>
    </row>
    <row r="2731" spans="1:16">
      <c r="A2731" s="5">
        <v>45779</v>
      </c>
      <c r="B2731">
        <v>51</v>
      </c>
      <c r="C2731" t="s">
        <v>27</v>
      </c>
      <c r="D2731">
        <v>2</v>
      </c>
      <c r="E2731">
        <v>100</v>
      </c>
      <c r="F2731" t="s">
        <v>1</v>
      </c>
      <c r="G2731" s="6">
        <v>45826</v>
      </c>
      <c r="H2731">
        <v>47</v>
      </c>
      <c r="I2731">
        <f>ROUND(CompilDonnées[[#This Row],[CultureDuration_days]]/7,0)</f>
        <v>7</v>
      </c>
      <c r="J2731">
        <v>2694</v>
      </c>
      <c r="K2731" t="str">
        <f>_xlfn.CONCAT(WEEKNUM(CompilDonnées[[#This Row],[PlantationDate]]), " ", YEAR(CompilDonnées[[#This Row],[PlantationDate]]))</f>
        <v>18 2025</v>
      </c>
      <c r="L2731" t="str">
        <f>CONCATENATE(MONTH(CompilDonnées[[#This Row],[PlantationDate]])," ", YEAR(CompilDonnées[[#This Row],[PlantationDate]]))</f>
        <v>5 2025</v>
      </c>
      <c r="M2731" t="str">
        <f>CONCATENATE(MONTH(CompilDonnées[[#This Row],[HarvestingDate]])," ", YEAR(CompilDonnées[[#This Row],[HarvestingDate]]))</f>
        <v>6 2025</v>
      </c>
      <c r="N2731">
        <f>_xlfn.NUMBERVALUE(CompilDonnées[[#This Row],[FarmID]]&amp;CompilDonnées[[#This Row],[ModuleNumber]]&amp;CompilDonnées[[#This Row],[PlantationDate]])</f>
        <v>51245779</v>
      </c>
      <c r="O2731" t="str">
        <f>CompilDonnées[[#This Row],[FarmID]]&amp;CompilDonnées[[#This Row],[ModuleNumber]]</f>
        <v>512</v>
      </c>
      <c r="P2731" t="str">
        <f>CompilDonnées[[#This Row],[Ref_Module]]&amp;CompilDonnées[[#This Row],[HarvestingDate]]</f>
        <v>51245826</v>
      </c>
    </row>
    <row r="2732" spans="1:16">
      <c r="A2732" s="5">
        <v>45779</v>
      </c>
      <c r="B2732">
        <v>56</v>
      </c>
      <c r="C2732" t="s">
        <v>6</v>
      </c>
      <c r="D2732">
        <v>2</v>
      </c>
      <c r="E2732">
        <v>100</v>
      </c>
      <c r="F2732" t="s">
        <v>1</v>
      </c>
      <c r="G2732" s="6">
        <v>45820</v>
      </c>
      <c r="H2732">
        <v>41</v>
      </c>
      <c r="I2732">
        <f>ROUND(CompilDonnées[[#This Row],[CultureDuration_days]]/7,0)</f>
        <v>6</v>
      </c>
      <c r="J2732">
        <v>3241</v>
      </c>
      <c r="K2732" t="str">
        <f>_xlfn.CONCAT(WEEKNUM(CompilDonnées[[#This Row],[PlantationDate]]), " ", YEAR(CompilDonnées[[#This Row],[PlantationDate]]))</f>
        <v>18 2025</v>
      </c>
      <c r="L2732" t="str">
        <f>CONCATENATE(MONTH(CompilDonnées[[#This Row],[PlantationDate]])," ", YEAR(CompilDonnées[[#This Row],[PlantationDate]]))</f>
        <v>5 2025</v>
      </c>
      <c r="M2732" t="str">
        <f>CONCATENATE(MONTH(CompilDonnées[[#This Row],[HarvestingDate]])," ", YEAR(CompilDonnées[[#This Row],[HarvestingDate]]))</f>
        <v>6 2025</v>
      </c>
      <c r="N2732">
        <f>_xlfn.NUMBERVALUE(CompilDonnées[[#This Row],[FarmID]]&amp;CompilDonnées[[#This Row],[ModuleNumber]]&amp;CompilDonnées[[#This Row],[PlantationDate]])</f>
        <v>56245779</v>
      </c>
      <c r="O2732" t="str">
        <f>CompilDonnées[[#This Row],[FarmID]]&amp;CompilDonnées[[#This Row],[ModuleNumber]]</f>
        <v>562</v>
      </c>
      <c r="P2732" t="str">
        <f>CompilDonnées[[#This Row],[Ref_Module]]&amp;CompilDonnées[[#This Row],[HarvestingDate]]</f>
        <v>56245820</v>
      </c>
    </row>
    <row r="2733" spans="1:16">
      <c r="A2733" s="5">
        <v>45779</v>
      </c>
      <c r="B2733">
        <v>62</v>
      </c>
      <c r="C2733" t="s">
        <v>124</v>
      </c>
      <c r="D2733">
        <v>1</v>
      </c>
      <c r="E2733">
        <v>100</v>
      </c>
      <c r="F2733" t="s">
        <v>1</v>
      </c>
      <c r="G2733" s="6">
        <v>45820</v>
      </c>
      <c r="H2733">
        <v>41</v>
      </c>
      <c r="I2733">
        <f>ROUND(CompilDonnées[[#This Row],[CultureDuration_days]]/7,0)</f>
        <v>6</v>
      </c>
      <c r="J2733">
        <v>3724</v>
      </c>
      <c r="K2733" t="str">
        <f>_xlfn.CONCAT(WEEKNUM(CompilDonnées[[#This Row],[PlantationDate]]), " ", YEAR(CompilDonnées[[#This Row],[PlantationDate]]))</f>
        <v>18 2025</v>
      </c>
      <c r="L2733" t="str">
        <f>CONCATENATE(MONTH(CompilDonnées[[#This Row],[PlantationDate]])," ", YEAR(CompilDonnées[[#This Row],[PlantationDate]]))</f>
        <v>5 2025</v>
      </c>
      <c r="M2733" t="str">
        <f>CONCATENATE(MONTH(CompilDonnées[[#This Row],[HarvestingDate]])," ", YEAR(CompilDonnées[[#This Row],[HarvestingDate]]))</f>
        <v>6 2025</v>
      </c>
      <c r="N2733">
        <f>_xlfn.NUMBERVALUE(CompilDonnées[[#This Row],[FarmID]]&amp;CompilDonnées[[#This Row],[ModuleNumber]]&amp;CompilDonnées[[#This Row],[PlantationDate]])</f>
        <v>62145779</v>
      </c>
      <c r="O2733" t="str">
        <f>CompilDonnées[[#This Row],[FarmID]]&amp;CompilDonnées[[#This Row],[ModuleNumber]]</f>
        <v>621</v>
      </c>
      <c r="P2733" t="str">
        <f>CompilDonnées[[#This Row],[Ref_Module]]&amp;CompilDonnées[[#This Row],[HarvestingDate]]</f>
        <v>62145820</v>
      </c>
    </row>
    <row r="2734" spans="1:16">
      <c r="A2734" s="5">
        <v>45785</v>
      </c>
      <c r="B2734">
        <v>75</v>
      </c>
      <c r="C2734" t="s">
        <v>3</v>
      </c>
      <c r="D2734">
        <v>2</v>
      </c>
      <c r="E2734">
        <v>60</v>
      </c>
      <c r="F2734" t="s">
        <v>105</v>
      </c>
      <c r="G2734" s="6">
        <v>45800</v>
      </c>
      <c r="H2734">
        <v>15</v>
      </c>
      <c r="I2734">
        <f>ROUND(CompilDonnées[[#This Row],[CultureDuration_days]]/7,0)</f>
        <v>2</v>
      </c>
      <c r="J2734">
        <v>0</v>
      </c>
      <c r="K2734" t="str">
        <f>_xlfn.CONCAT(WEEKNUM(CompilDonnées[[#This Row],[PlantationDate]]), " ", YEAR(CompilDonnées[[#This Row],[PlantationDate]]))</f>
        <v>19 2025</v>
      </c>
      <c r="L2734" t="str">
        <f>CONCATENATE(MONTH(CompilDonnées[[#This Row],[PlantationDate]])," ", YEAR(CompilDonnées[[#This Row],[PlantationDate]]))</f>
        <v>5 2025</v>
      </c>
      <c r="M2734" t="str">
        <f>CONCATENATE(MONTH(CompilDonnées[[#This Row],[HarvestingDate]])," ", YEAR(CompilDonnées[[#This Row],[HarvestingDate]]))</f>
        <v>5 2025</v>
      </c>
      <c r="N2734">
        <f>_xlfn.NUMBERVALUE(CompilDonnées[[#This Row],[FarmID]]&amp;CompilDonnées[[#This Row],[ModuleNumber]]&amp;CompilDonnées[[#This Row],[PlantationDate]])</f>
        <v>75245785</v>
      </c>
      <c r="O2734" t="str">
        <f>CompilDonnées[[#This Row],[FarmID]]&amp;CompilDonnées[[#This Row],[ModuleNumber]]</f>
        <v>752</v>
      </c>
      <c r="P2734" t="str">
        <f>CompilDonnées[[#This Row],[Ref_Module]]&amp;CompilDonnées[[#This Row],[HarvestingDate]]</f>
        <v>75245800</v>
      </c>
    </row>
    <row r="2735" spans="1:16">
      <c r="A2735" s="5">
        <v>45785</v>
      </c>
      <c r="B2735">
        <v>75</v>
      </c>
      <c r="C2735" t="s">
        <v>3</v>
      </c>
      <c r="D2735">
        <v>3</v>
      </c>
      <c r="E2735">
        <v>60</v>
      </c>
      <c r="F2735" t="s">
        <v>105</v>
      </c>
      <c r="G2735" s="6">
        <v>45800</v>
      </c>
      <c r="H2735">
        <v>15</v>
      </c>
      <c r="I2735">
        <f>ROUND(CompilDonnées[[#This Row],[CultureDuration_days]]/7,0)</f>
        <v>2</v>
      </c>
      <c r="J2735">
        <v>0</v>
      </c>
      <c r="K2735" t="str">
        <f>_xlfn.CONCAT(WEEKNUM(CompilDonnées[[#This Row],[PlantationDate]]), " ", YEAR(CompilDonnées[[#This Row],[PlantationDate]]))</f>
        <v>19 2025</v>
      </c>
      <c r="L2735" t="str">
        <f>CONCATENATE(MONTH(CompilDonnées[[#This Row],[PlantationDate]])," ", YEAR(CompilDonnées[[#This Row],[PlantationDate]]))</f>
        <v>5 2025</v>
      </c>
      <c r="M2735" t="str">
        <f>CONCATENATE(MONTH(CompilDonnées[[#This Row],[HarvestingDate]])," ", YEAR(CompilDonnées[[#This Row],[HarvestingDate]]))</f>
        <v>5 2025</v>
      </c>
      <c r="N2735">
        <f>_xlfn.NUMBERVALUE(CompilDonnées[[#This Row],[FarmID]]&amp;CompilDonnées[[#This Row],[ModuleNumber]]&amp;CompilDonnées[[#This Row],[PlantationDate]])</f>
        <v>75345785</v>
      </c>
      <c r="O2735" t="str">
        <f>CompilDonnées[[#This Row],[FarmID]]&amp;CompilDonnées[[#This Row],[ModuleNumber]]</f>
        <v>753</v>
      </c>
      <c r="P2735" t="str">
        <f>CompilDonnées[[#This Row],[Ref_Module]]&amp;CompilDonnées[[#This Row],[HarvestingDate]]</f>
        <v>75345800</v>
      </c>
    </row>
    <row r="2736" spans="1:16">
      <c r="A2736" s="5">
        <v>45786</v>
      </c>
      <c r="B2736">
        <v>3</v>
      </c>
      <c r="C2736" t="s">
        <v>116</v>
      </c>
      <c r="D2736">
        <v>3</v>
      </c>
      <c r="E2736">
        <v>100</v>
      </c>
      <c r="F2736" t="s">
        <v>1</v>
      </c>
      <c r="G2736" s="6">
        <v>45825</v>
      </c>
      <c r="H2736">
        <v>39</v>
      </c>
      <c r="I2736">
        <f>ROUND(CompilDonnées[[#This Row],[CultureDuration_days]]/7,0)</f>
        <v>6</v>
      </c>
      <c r="J2736">
        <v>2476</v>
      </c>
      <c r="K2736" t="str">
        <f>_xlfn.CONCAT(WEEKNUM(CompilDonnées[[#This Row],[PlantationDate]]), " ", YEAR(CompilDonnées[[#This Row],[PlantationDate]]))</f>
        <v>19 2025</v>
      </c>
      <c r="L2736" t="str">
        <f>CONCATENATE(MONTH(CompilDonnées[[#This Row],[PlantationDate]])," ", YEAR(CompilDonnées[[#This Row],[PlantationDate]]))</f>
        <v>5 2025</v>
      </c>
      <c r="M2736" t="str">
        <f>CONCATENATE(MONTH(CompilDonnées[[#This Row],[HarvestingDate]])," ", YEAR(CompilDonnées[[#This Row],[HarvestingDate]]))</f>
        <v>6 2025</v>
      </c>
      <c r="N2736">
        <f>_xlfn.NUMBERVALUE(CompilDonnées[[#This Row],[FarmID]]&amp;CompilDonnées[[#This Row],[ModuleNumber]]&amp;CompilDonnées[[#This Row],[PlantationDate]])</f>
        <v>3345786</v>
      </c>
      <c r="O2736" t="str">
        <f>CompilDonnées[[#This Row],[FarmID]]&amp;CompilDonnées[[#This Row],[ModuleNumber]]</f>
        <v>33</v>
      </c>
      <c r="P2736" t="str">
        <f>CompilDonnées[[#This Row],[Ref_Module]]&amp;CompilDonnées[[#This Row],[HarvestingDate]]</f>
        <v>3345825</v>
      </c>
    </row>
    <row r="2737" spans="1:16">
      <c r="A2737" s="5">
        <v>45786</v>
      </c>
      <c r="B2737">
        <v>13</v>
      </c>
      <c r="C2737" t="s">
        <v>114</v>
      </c>
      <c r="D2737">
        <v>3</v>
      </c>
      <c r="E2737">
        <v>100</v>
      </c>
      <c r="F2737" t="s">
        <v>1</v>
      </c>
      <c r="G2737" s="6">
        <v>45825</v>
      </c>
      <c r="H2737">
        <v>39</v>
      </c>
      <c r="I2737">
        <f>ROUND(CompilDonnées[[#This Row],[CultureDuration_days]]/7,0)</f>
        <v>6</v>
      </c>
      <c r="J2737">
        <v>3139</v>
      </c>
      <c r="K2737" t="str">
        <f>_xlfn.CONCAT(WEEKNUM(CompilDonnées[[#This Row],[PlantationDate]]), " ", YEAR(CompilDonnées[[#This Row],[PlantationDate]]))</f>
        <v>19 2025</v>
      </c>
      <c r="L2737" t="str">
        <f>CONCATENATE(MONTH(CompilDonnées[[#This Row],[PlantationDate]])," ", YEAR(CompilDonnées[[#This Row],[PlantationDate]]))</f>
        <v>5 2025</v>
      </c>
      <c r="M2737" t="str">
        <f>CONCATENATE(MONTH(CompilDonnées[[#This Row],[HarvestingDate]])," ", YEAR(CompilDonnées[[#This Row],[HarvestingDate]]))</f>
        <v>6 2025</v>
      </c>
      <c r="N2737">
        <f>_xlfn.NUMBERVALUE(CompilDonnées[[#This Row],[FarmID]]&amp;CompilDonnées[[#This Row],[ModuleNumber]]&amp;CompilDonnées[[#This Row],[PlantationDate]])</f>
        <v>13345786</v>
      </c>
      <c r="O2737" t="str">
        <f>CompilDonnées[[#This Row],[FarmID]]&amp;CompilDonnées[[#This Row],[ModuleNumber]]</f>
        <v>133</v>
      </c>
      <c r="P2737" t="str">
        <f>CompilDonnées[[#This Row],[Ref_Module]]&amp;CompilDonnées[[#This Row],[HarvestingDate]]</f>
        <v>13345825</v>
      </c>
    </row>
    <row r="2738" spans="1:16">
      <c r="A2738" s="5">
        <v>45786</v>
      </c>
      <c r="B2738">
        <v>17</v>
      </c>
      <c r="C2738" t="s">
        <v>80</v>
      </c>
      <c r="D2738">
        <v>2</v>
      </c>
      <c r="E2738">
        <v>100</v>
      </c>
      <c r="F2738" t="s">
        <v>1</v>
      </c>
      <c r="G2738" s="6">
        <v>45825</v>
      </c>
      <c r="H2738">
        <v>39</v>
      </c>
      <c r="I2738">
        <f>ROUND(CompilDonnées[[#This Row],[CultureDuration_days]]/7,0)</f>
        <v>6</v>
      </c>
      <c r="J2738">
        <v>2917</v>
      </c>
      <c r="K2738" t="str">
        <f>_xlfn.CONCAT(WEEKNUM(CompilDonnées[[#This Row],[PlantationDate]]), " ", YEAR(CompilDonnées[[#This Row],[PlantationDate]]))</f>
        <v>19 2025</v>
      </c>
      <c r="L2738" t="str">
        <f>CONCATENATE(MONTH(CompilDonnées[[#This Row],[PlantationDate]])," ", YEAR(CompilDonnées[[#This Row],[PlantationDate]]))</f>
        <v>5 2025</v>
      </c>
      <c r="M2738" t="str">
        <f>CONCATENATE(MONTH(CompilDonnées[[#This Row],[HarvestingDate]])," ", YEAR(CompilDonnées[[#This Row],[HarvestingDate]]))</f>
        <v>6 2025</v>
      </c>
      <c r="N2738">
        <f>_xlfn.NUMBERVALUE(CompilDonnées[[#This Row],[FarmID]]&amp;CompilDonnées[[#This Row],[ModuleNumber]]&amp;CompilDonnées[[#This Row],[PlantationDate]])</f>
        <v>17245786</v>
      </c>
      <c r="O2738" t="str">
        <f>CompilDonnées[[#This Row],[FarmID]]&amp;CompilDonnées[[#This Row],[ModuleNumber]]</f>
        <v>172</v>
      </c>
      <c r="P2738" t="str">
        <f>CompilDonnées[[#This Row],[Ref_Module]]&amp;CompilDonnées[[#This Row],[HarvestingDate]]</f>
        <v>17245825</v>
      </c>
    </row>
    <row r="2739" spans="1:16">
      <c r="A2739" s="5">
        <v>45786</v>
      </c>
      <c r="B2739">
        <v>18</v>
      </c>
      <c r="C2739" t="s">
        <v>33</v>
      </c>
      <c r="D2739">
        <v>5</v>
      </c>
      <c r="E2739">
        <v>100</v>
      </c>
      <c r="F2739" t="s">
        <v>1</v>
      </c>
      <c r="G2739" s="6">
        <v>45825</v>
      </c>
      <c r="H2739">
        <v>39</v>
      </c>
      <c r="I2739">
        <f>ROUND(CompilDonnées[[#This Row],[CultureDuration_days]]/7,0)</f>
        <v>6</v>
      </c>
      <c r="J2739">
        <v>2605</v>
      </c>
      <c r="K2739" t="str">
        <f>_xlfn.CONCAT(WEEKNUM(CompilDonnées[[#This Row],[PlantationDate]]), " ", YEAR(CompilDonnées[[#This Row],[PlantationDate]]))</f>
        <v>19 2025</v>
      </c>
      <c r="L2739" t="str">
        <f>CONCATENATE(MONTH(CompilDonnées[[#This Row],[PlantationDate]])," ", YEAR(CompilDonnées[[#This Row],[PlantationDate]]))</f>
        <v>5 2025</v>
      </c>
      <c r="M2739" t="str">
        <f>CONCATENATE(MONTH(CompilDonnées[[#This Row],[HarvestingDate]])," ", YEAR(CompilDonnées[[#This Row],[HarvestingDate]]))</f>
        <v>6 2025</v>
      </c>
      <c r="N2739">
        <f>_xlfn.NUMBERVALUE(CompilDonnées[[#This Row],[FarmID]]&amp;CompilDonnées[[#This Row],[ModuleNumber]]&amp;CompilDonnées[[#This Row],[PlantationDate]])</f>
        <v>18545786</v>
      </c>
      <c r="O2739" t="str">
        <f>CompilDonnées[[#This Row],[FarmID]]&amp;CompilDonnées[[#This Row],[ModuleNumber]]</f>
        <v>185</v>
      </c>
      <c r="P2739" t="str">
        <f>CompilDonnées[[#This Row],[Ref_Module]]&amp;CompilDonnées[[#This Row],[HarvestingDate]]</f>
        <v>18545825</v>
      </c>
    </row>
    <row r="2740" spans="1:16">
      <c r="A2740" s="5">
        <v>45786</v>
      </c>
      <c r="B2740">
        <v>19</v>
      </c>
      <c r="C2740" t="s">
        <v>108</v>
      </c>
      <c r="D2740">
        <v>3</v>
      </c>
      <c r="E2740">
        <v>100</v>
      </c>
      <c r="F2740" t="s">
        <v>1</v>
      </c>
      <c r="G2740" s="6">
        <v>45825</v>
      </c>
      <c r="H2740">
        <v>39</v>
      </c>
      <c r="I2740">
        <f>ROUND(CompilDonnées[[#This Row],[CultureDuration_days]]/7,0)</f>
        <v>6</v>
      </c>
      <c r="J2740">
        <v>2168</v>
      </c>
      <c r="K2740" t="str">
        <f>_xlfn.CONCAT(WEEKNUM(CompilDonnées[[#This Row],[PlantationDate]]), " ", YEAR(CompilDonnées[[#This Row],[PlantationDate]]))</f>
        <v>19 2025</v>
      </c>
      <c r="L2740" t="str">
        <f>CONCATENATE(MONTH(CompilDonnées[[#This Row],[PlantationDate]])," ", YEAR(CompilDonnées[[#This Row],[PlantationDate]]))</f>
        <v>5 2025</v>
      </c>
      <c r="M2740" t="str">
        <f>CONCATENATE(MONTH(CompilDonnées[[#This Row],[HarvestingDate]])," ", YEAR(CompilDonnées[[#This Row],[HarvestingDate]]))</f>
        <v>6 2025</v>
      </c>
      <c r="N2740">
        <f>_xlfn.NUMBERVALUE(CompilDonnées[[#This Row],[FarmID]]&amp;CompilDonnées[[#This Row],[ModuleNumber]]&amp;CompilDonnées[[#This Row],[PlantationDate]])</f>
        <v>19345786</v>
      </c>
      <c r="O2740" t="str">
        <f>CompilDonnées[[#This Row],[FarmID]]&amp;CompilDonnées[[#This Row],[ModuleNumber]]</f>
        <v>193</v>
      </c>
      <c r="P2740" t="str">
        <f>CompilDonnées[[#This Row],[Ref_Module]]&amp;CompilDonnées[[#This Row],[HarvestingDate]]</f>
        <v>19345825</v>
      </c>
    </row>
    <row r="2741" spans="1:16">
      <c r="A2741" s="5">
        <v>45786</v>
      </c>
      <c r="B2741">
        <v>29</v>
      </c>
      <c r="C2741" t="s">
        <v>2</v>
      </c>
      <c r="D2741">
        <v>3</v>
      </c>
      <c r="E2741">
        <v>100</v>
      </c>
      <c r="F2741" t="s">
        <v>1</v>
      </c>
      <c r="G2741" s="6">
        <v>45826</v>
      </c>
      <c r="H2741">
        <v>40</v>
      </c>
      <c r="I2741">
        <f>ROUND(CompilDonnées[[#This Row],[CultureDuration_days]]/7,0)</f>
        <v>6</v>
      </c>
      <c r="J2741">
        <v>2022</v>
      </c>
      <c r="K2741" t="str">
        <f>_xlfn.CONCAT(WEEKNUM(CompilDonnées[[#This Row],[PlantationDate]]), " ", YEAR(CompilDonnées[[#This Row],[PlantationDate]]))</f>
        <v>19 2025</v>
      </c>
      <c r="L2741" t="str">
        <f>CONCATENATE(MONTH(CompilDonnées[[#This Row],[PlantationDate]])," ", YEAR(CompilDonnées[[#This Row],[PlantationDate]]))</f>
        <v>5 2025</v>
      </c>
      <c r="M2741" t="str">
        <f>CONCATENATE(MONTH(CompilDonnées[[#This Row],[HarvestingDate]])," ", YEAR(CompilDonnées[[#This Row],[HarvestingDate]]))</f>
        <v>6 2025</v>
      </c>
      <c r="N2741">
        <f>_xlfn.NUMBERVALUE(CompilDonnées[[#This Row],[FarmID]]&amp;CompilDonnées[[#This Row],[ModuleNumber]]&amp;CompilDonnées[[#This Row],[PlantationDate]])</f>
        <v>29345786</v>
      </c>
      <c r="O2741" t="str">
        <f>CompilDonnées[[#This Row],[FarmID]]&amp;CompilDonnées[[#This Row],[ModuleNumber]]</f>
        <v>293</v>
      </c>
      <c r="P2741" t="str">
        <f>CompilDonnées[[#This Row],[Ref_Module]]&amp;CompilDonnées[[#This Row],[HarvestingDate]]</f>
        <v>29345826</v>
      </c>
    </row>
    <row r="2742" spans="1:16">
      <c r="A2742" s="5">
        <v>45786</v>
      </c>
      <c r="B2742">
        <v>31</v>
      </c>
      <c r="C2742" t="s">
        <v>62</v>
      </c>
      <c r="D2742">
        <v>5</v>
      </c>
      <c r="E2742">
        <v>100</v>
      </c>
      <c r="F2742" t="s">
        <v>1</v>
      </c>
      <c r="G2742" s="6">
        <v>45825</v>
      </c>
      <c r="H2742">
        <v>39</v>
      </c>
      <c r="I2742">
        <f>ROUND(CompilDonnées[[#This Row],[CultureDuration_days]]/7,0)</f>
        <v>6</v>
      </c>
      <c r="J2742">
        <v>2751</v>
      </c>
      <c r="K2742" t="str">
        <f>_xlfn.CONCAT(WEEKNUM(CompilDonnées[[#This Row],[PlantationDate]]), " ", YEAR(CompilDonnées[[#This Row],[PlantationDate]]))</f>
        <v>19 2025</v>
      </c>
      <c r="L2742" t="str">
        <f>CONCATENATE(MONTH(CompilDonnées[[#This Row],[PlantationDate]])," ", YEAR(CompilDonnées[[#This Row],[PlantationDate]]))</f>
        <v>5 2025</v>
      </c>
      <c r="M2742" t="str">
        <f>CONCATENATE(MONTH(CompilDonnées[[#This Row],[HarvestingDate]])," ", YEAR(CompilDonnées[[#This Row],[HarvestingDate]]))</f>
        <v>6 2025</v>
      </c>
      <c r="N2742">
        <f>_xlfn.NUMBERVALUE(CompilDonnées[[#This Row],[FarmID]]&amp;CompilDonnées[[#This Row],[ModuleNumber]]&amp;CompilDonnées[[#This Row],[PlantationDate]])</f>
        <v>31545786</v>
      </c>
      <c r="O2742" t="str">
        <f>CompilDonnées[[#This Row],[FarmID]]&amp;CompilDonnées[[#This Row],[ModuleNumber]]</f>
        <v>315</v>
      </c>
      <c r="P2742" t="str">
        <f>CompilDonnées[[#This Row],[Ref_Module]]&amp;CompilDonnées[[#This Row],[HarvestingDate]]</f>
        <v>31545825</v>
      </c>
    </row>
    <row r="2743" spans="1:16">
      <c r="A2743" s="5">
        <v>45786</v>
      </c>
      <c r="B2743">
        <v>32</v>
      </c>
      <c r="C2743" t="s">
        <v>25</v>
      </c>
      <c r="D2743">
        <v>6</v>
      </c>
      <c r="E2743">
        <v>100</v>
      </c>
      <c r="F2743" t="s">
        <v>1</v>
      </c>
      <c r="G2743" s="6">
        <v>45825</v>
      </c>
      <c r="H2743">
        <v>39</v>
      </c>
      <c r="I2743">
        <f>ROUND(CompilDonnées[[#This Row],[CultureDuration_days]]/7,0)</f>
        <v>6</v>
      </c>
      <c r="J2743">
        <v>2828</v>
      </c>
      <c r="K2743" t="str">
        <f>_xlfn.CONCAT(WEEKNUM(CompilDonnées[[#This Row],[PlantationDate]]), " ", YEAR(CompilDonnées[[#This Row],[PlantationDate]]))</f>
        <v>19 2025</v>
      </c>
      <c r="L2743" t="str">
        <f>CONCATENATE(MONTH(CompilDonnées[[#This Row],[PlantationDate]])," ", YEAR(CompilDonnées[[#This Row],[PlantationDate]]))</f>
        <v>5 2025</v>
      </c>
      <c r="M2743" t="str">
        <f>CONCATENATE(MONTH(CompilDonnées[[#This Row],[HarvestingDate]])," ", YEAR(CompilDonnées[[#This Row],[HarvestingDate]]))</f>
        <v>6 2025</v>
      </c>
      <c r="N2743">
        <f>_xlfn.NUMBERVALUE(CompilDonnées[[#This Row],[FarmID]]&amp;CompilDonnées[[#This Row],[ModuleNumber]]&amp;CompilDonnées[[#This Row],[PlantationDate]])</f>
        <v>32645786</v>
      </c>
      <c r="O2743" t="str">
        <f>CompilDonnées[[#This Row],[FarmID]]&amp;CompilDonnées[[#This Row],[ModuleNumber]]</f>
        <v>326</v>
      </c>
      <c r="P2743" t="str">
        <f>CompilDonnées[[#This Row],[Ref_Module]]&amp;CompilDonnées[[#This Row],[HarvestingDate]]</f>
        <v>32645825</v>
      </c>
    </row>
    <row r="2744" spans="1:16">
      <c r="A2744" s="5">
        <v>45786</v>
      </c>
      <c r="B2744">
        <v>47</v>
      </c>
      <c r="C2744" t="s">
        <v>12</v>
      </c>
      <c r="D2744">
        <v>3</v>
      </c>
      <c r="E2744">
        <v>100</v>
      </c>
      <c r="F2744" t="s">
        <v>1</v>
      </c>
      <c r="G2744" s="6">
        <v>45827</v>
      </c>
      <c r="H2744">
        <v>41</v>
      </c>
      <c r="I2744">
        <f>ROUND(CompilDonnées[[#This Row],[CultureDuration_days]]/7,0)</f>
        <v>6</v>
      </c>
      <c r="J2744">
        <v>2390</v>
      </c>
      <c r="K2744" t="str">
        <f>_xlfn.CONCAT(WEEKNUM(CompilDonnées[[#This Row],[PlantationDate]]), " ", YEAR(CompilDonnées[[#This Row],[PlantationDate]]))</f>
        <v>19 2025</v>
      </c>
      <c r="L2744" t="str">
        <f>CONCATENATE(MONTH(CompilDonnées[[#This Row],[PlantationDate]])," ", YEAR(CompilDonnées[[#This Row],[PlantationDate]]))</f>
        <v>5 2025</v>
      </c>
      <c r="M2744" t="str">
        <f>CONCATENATE(MONTH(CompilDonnées[[#This Row],[HarvestingDate]])," ", YEAR(CompilDonnées[[#This Row],[HarvestingDate]]))</f>
        <v>6 2025</v>
      </c>
      <c r="N2744">
        <f>_xlfn.NUMBERVALUE(CompilDonnées[[#This Row],[FarmID]]&amp;CompilDonnées[[#This Row],[ModuleNumber]]&amp;CompilDonnées[[#This Row],[PlantationDate]])</f>
        <v>47345786</v>
      </c>
      <c r="O2744" t="str">
        <f>CompilDonnées[[#This Row],[FarmID]]&amp;CompilDonnées[[#This Row],[ModuleNumber]]</f>
        <v>473</v>
      </c>
      <c r="P2744" t="str">
        <f>CompilDonnées[[#This Row],[Ref_Module]]&amp;CompilDonnées[[#This Row],[HarvestingDate]]</f>
        <v>47345827</v>
      </c>
    </row>
    <row r="2745" spans="1:16">
      <c r="A2745" s="5">
        <v>45786</v>
      </c>
      <c r="B2745">
        <v>50</v>
      </c>
      <c r="C2745" t="s">
        <v>55</v>
      </c>
      <c r="D2745">
        <v>6</v>
      </c>
      <c r="E2745">
        <v>100</v>
      </c>
      <c r="F2745" t="s">
        <v>1</v>
      </c>
      <c r="G2745" s="6">
        <v>45826</v>
      </c>
      <c r="H2745">
        <v>40</v>
      </c>
      <c r="I2745">
        <f>ROUND(CompilDonnées[[#This Row],[CultureDuration_days]]/7,0)</f>
        <v>6</v>
      </c>
      <c r="J2745">
        <v>2629</v>
      </c>
      <c r="K2745" t="str">
        <f>_xlfn.CONCAT(WEEKNUM(CompilDonnées[[#This Row],[PlantationDate]]), " ", YEAR(CompilDonnées[[#This Row],[PlantationDate]]))</f>
        <v>19 2025</v>
      </c>
      <c r="L2745" t="str">
        <f>CONCATENATE(MONTH(CompilDonnées[[#This Row],[PlantationDate]])," ", YEAR(CompilDonnées[[#This Row],[PlantationDate]]))</f>
        <v>5 2025</v>
      </c>
      <c r="M2745" t="str">
        <f>CONCATENATE(MONTH(CompilDonnées[[#This Row],[HarvestingDate]])," ", YEAR(CompilDonnées[[#This Row],[HarvestingDate]]))</f>
        <v>6 2025</v>
      </c>
      <c r="N2745">
        <f>_xlfn.NUMBERVALUE(CompilDonnées[[#This Row],[FarmID]]&amp;CompilDonnées[[#This Row],[ModuleNumber]]&amp;CompilDonnées[[#This Row],[PlantationDate]])</f>
        <v>50645786</v>
      </c>
      <c r="O2745" t="str">
        <f>CompilDonnées[[#This Row],[FarmID]]&amp;CompilDonnées[[#This Row],[ModuleNumber]]</f>
        <v>506</v>
      </c>
      <c r="P2745" t="str">
        <f>CompilDonnées[[#This Row],[Ref_Module]]&amp;CompilDonnées[[#This Row],[HarvestingDate]]</f>
        <v>50645826</v>
      </c>
    </row>
    <row r="2746" spans="1:16">
      <c r="A2746" s="5">
        <v>45786</v>
      </c>
      <c r="B2746">
        <v>61</v>
      </c>
      <c r="C2746" t="s">
        <v>95</v>
      </c>
      <c r="D2746">
        <v>3</v>
      </c>
      <c r="E2746">
        <v>100</v>
      </c>
      <c r="F2746" t="s">
        <v>1</v>
      </c>
      <c r="G2746" s="6">
        <v>45826</v>
      </c>
      <c r="H2746">
        <v>40</v>
      </c>
      <c r="I2746">
        <f>ROUND(CompilDonnées[[#This Row],[CultureDuration_days]]/7,0)</f>
        <v>6</v>
      </c>
      <c r="J2746">
        <v>2217</v>
      </c>
      <c r="K2746" t="str">
        <f>_xlfn.CONCAT(WEEKNUM(CompilDonnées[[#This Row],[PlantationDate]]), " ", YEAR(CompilDonnées[[#This Row],[PlantationDate]]))</f>
        <v>19 2025</v>
      </c>
      <c r="L2746" t="str">
        <f>CONCATENATE(MONTH(CompilDonnées[[#This Row],[PlantationDate]])," ", YEAR(CompilDonnées[[#This Row],[PlantationDate]]))</f>
        <v>5 2025</v>
      </c>
      <c r="M2746" t="str">
        <f>CONCATENATE(MONTH(CompilDonnées[[#This Row],[HarvestingDate]])," ", YEAR(CompilDonnées[[#This Row],[HarvestingDate]]))</f>
        <v>6 2025</v>
      </c>
      <c r="N2746">
        <f>_xlfn.NUMBERVALUE(CompilDonnées[[#This Row],[FarmID]]&amp;CompilDonnées[[#This Row],[ModuleNumber]]&amp;CompilDonnées[[#This Row],[PlantationDate]])</f>
        <v>61345786</v>
      </c>
      <c r="O2746" t="str">
        <f>CompilDonnées[[#This Row],[FarmID]]&amp;CompilDonnées[[#This Row],[ModuleNumber]]</f>
        <v>613</v>
      </c>
      <c r="P2746" t="str">
        <f>CompilDonnées[[#This Row],[Ref_Module]]&amp;CompilDonnées[[#This Row],[HarvestingDate]]</f>
        <v>61345826</v>
      </c>
    </row>
    <row r="2747" spans="1:16">
      <c r="A2747" s="5">
        <v>45786</v>
      </c>
      <c r="B2747">
        <v>63</v>
      </c>
      <c r="C2747" t="s">
        <v>98</v>
      </c>
      <c r="D2747">
        <v>3</v>
      </c>
      <c r="E2747">
        <v>100</v>
      </c>
      <c r="F2747" t="s">
        <v>1</v>
      </c>
      <c r="G2747" s="6">
        <v>45826</v>
      </c>
      <c r="H2747">
        <v>40</v>
      </c>
      <c r="I2747">
        <f>ROUND(CompilDonnées[[#This Row],[CultureDuration_days]]/7,0)</f>
        <v>6</v>
      </c>
      <c r="J2747">
        <v>2135</v>
      </c>
      <c r="K2747" t="str">
        <f>_xlfn.CONCAT(WEEKNUM(CompilDonnées[[#This Row],[PlantationDate]]), " ", YEAR(CompilDonnées[[#This Row],[PlantationDate]]))</f>
        <v>19 2025</v>
      </c>
      <c r="L2747" t="str">
        <f>CONCATENATE(MONTH(CompilDonnées[[#This Row],[PlantationDate]])," ", YEAR(CompilDonnées[[#This Row],[PlantationDate]]))</f>
        <v>5 2025</v>
      </c>
      <c r="M2747" t="str">
        <f>CONCATENATE(MONTH(CompilDonnées[[#This Row],[HarvestingDate]])," ", YEAR(CompilDonnées[[#This Row],[HarvestingDate]]))</f>
        <v>6 2025</v>
      </c>
      <c r="N2747">
        <f>_xlfn.NUMBERVALUE(CompilDonnées[[#This Row],[FarmID]]&amp;CompilDonnées[[#This Row],[ModuleNumber]]&amp;CompilDonnées[[#This Row],[PlantationDate]])</f>
        <v>63345786</v>
      </c>
      <c r="O2747" t="str">
        <f>CompilDonnées[[#This Row],[FarmID]]&amp;CompilDonnées[[#This Row],[ModuleNumber]]</f>
        <v>633</v>
      </c>
      <c r="P2747" t="str">
        <f>CompilDonnées[[#This Row],[Ref_Module]]&amp;CompilDonnées[[#This Row],[HarvestingDate]]</f>
        <v>63345826</v>
      </c>
    </row>
    <row r="2748" spans="1:16">
      <c r="A2748" s="5">
        <v>45786</v>
      </c>
      <c r="B2748">
        <v>78</v>
      </c>
      <c r="C2748" t="s">
        <v>3</v>
      </c>
      <c r="D2748">
        <v>1</v>
      </c>
      <c r="E2748">
        <v>60</v>
      </c>
      <c r="F2748" t="s">
        <v>105</v>
      </c>
      <c r="G2748" s="6">
        <v>45797</v>
      </c>
      <c r="H2748">
        <v>11</v>
      </c>
      <c r="I2748">
        <f>ROUND(CompilDonnées[[#This Row],[CultureDuration_days]]/7,0)</f>
        <v>2</v>
      </c>
      <c r="J2748">
        <v>0</v>
      </c>
      <c r="K2748" t="str">
        <f>_xlfn.CONCAT(WEEKNUM(CompilDonnées[[#This Row],[PlantationDate]]), " ", YEAR(CompilDonnées[[#This Row],[PlantationDate]]))</f>
        <v>19 2025</v>
      </c>
      <c r="L2748" t="str">
        <f>CONCATENATE(MONTH(CompilDonnées[[#This Row],[PlantationDate]])," ", YEAR(CompilDonnées[[#This Row],[PlantationDate]]))</f>
        <v>5 2025</v>
      </c>
      <c r="M2748" t="str">
        <f>CONCATENATE(MONTH(CompilDonnées[[#This Row],[HarvestingDate]])," ", YEAR(CompilDonnées[[#This Row],[HarvestingDate]]))</f>
        <v>5 2025</v>
      </c>
      <c r="N2748">
        <f>_xlfn.NUMBERVALUE(CompilDonnées[[#This Row],[FarmID]]&amp;CompilDonnées[[#This Row],[ModuleNumber]]&amp;CompilDonnées[[#This Row],[PlantationDate]])</f>
        <v>78145786</v>
      </c>
      <c r="O2748" t="str">
        <f>CompilDonnées[[#This Row],[FarmID]]&amp;CompilDonnées[[#This Row],[ModuleNumber]]</f>
        <v>781</v>
      </c>
      <c r="P2748" t="str">
        <f>CompilDonnées[[#This Row],[Ref_Module]]&amp;CompilDonnées[[#This Row],[HarvestingDate]]</f>
        <v>78145797</v>
      </c>
    </row>
    <row r="2749" spans="1:16">
      <c r="A2749" s="5">
        <v>45786</v>
      </c>
      <c r="B2749">
        <v>78</v>
      </c>
      <c r="C2749" t="s">
        <v>3</v>
      </c>
      <c r="D2749">
        <v>2</v>
      </c>
      <c r="E2749">
        <v>60</v>
      </c>
      <c r="F2749" t="s">
        <v>105</v>
      </c>
      <c r="G2749" s="6">
        <v>45797</v>
      </c>
      <c r="H2749">
        <v>11</v>
      </c>
      <c r="I2749">
        <f>ROUND(CompilDonnées[[#This Row],[CultureDuration_days]]/7,0)</f>
        <v>2</v>
      </c>
      <c r="J2749">
        <v>0</v>
      </c>
      <c r="K2749" t="str">
        <f>_xlfn.CONCAT(WEEKNUM(CompilDonnées[[#This Row],[PlantationDate]]), " ", YEAR(CompilDonnées[[#This Row],[PlantationDate]]))</f>
        <v>19 2025</v>
      </c>
      <c r="L2749" t="str">
        <f>CONCATENATE(MONTH(CompilDonnées[[#This Row],[PlantationDate]])," ", YEAR(CompilDonnées[[#This Row],[PlantationDate]]))</f>
        <v>5 2025</v>
      </c>
      <c r="M2749" t="str">
        <f>CONCATENATE(MONTH(CompilDonnées[[#This Row],[HarvestingDate]])," ", YEAR(CompilDonnées[[#This Row],[HarvestingDate]]))</f>
        <v>5 2025</v>
      </c>
      <c r="N2749">
        <f>_xlfn.NUMBERVALUE(CompilDonnées[[#This Row],[FarmID]]&amp;CompilDonnées[[#This Row],[ModuleNumber]]&amp;CompilDonnées[[#This Row],[PlantationDate]])</f>
        <v>78245786</v>
      </c>
      <c r="O2749" t="str">
        <f>CompilDonnées[[#This Row],[FarmID]]&amp;CompilDonnées[[#This Row],[ModuleNumber]]</f>
        <v>782</v>
      </c>
      <c r="P2749" t="str">
        <f>CompilDonnées[[#This Row],[Ref_Module]]&amp;CompilDonnées[[#This Row],[HarvestingDate]]</f>
        <v>78245797</v>
      </c>
    </row>
    <row r="2750" spans="1:16">
      <c r="A2750" s="5">
        <v>45786</v>
      </c>
      <c r="B2750">
        <v>78</v>
      </c>
      <c r="C2750" t="s">
        <v>3</v>
      </c>
      <c r="D2750">
        <v>3</v>
      </c>
      <c r="E2750">
        <v>60</v>
      </c>
      <c r="F2750" t="s">
        <v>105</v>
      </c>
      <c r="G2750" s="6">
        <v>45797</v>
      </c>
      <c r="H2750">
        <v>11</v>
      </c>
      <c r="I2750">
        <f>ROUND(CompilDonnées[[#This Row],[CultureDuration_days]]/7,0)</f>
        <v>2</v>
      </c>
      <c r="J2750">
        <v>0</v>
      </c>
      <c r="K2750" t="str">
        <f>_xlfn.CONCAT(WEEKNUM(CompilDonnées[[#This Row],[PlantationDate]]), " ", YEAR(CompilDonnées[[#This Row],[PlantationDate]]))</f>
        <v>19 2025</v>
      </c>
      <c r="L2750" t="str">
        <f>CONCATENATE(MONTH(CompilDonnées[[#This Row],[PlantationDate]])," ", YEAR(CompilDonnées[[#This Row],[PlantationDate]]))</f>
        <v>5 2025</v>
      </c>
      <c r="M2750" t="str">
        <f>CONCATENATE(MONTH(CompilDonnées[[#This Row],[HarvestingDate]])," ", YEAR(CompilDonnées[[#This Row],[HarvestingDate]]))</f>
        <v>5 2025</v>
      </c>
      <c r="N2750">
        <f>_xlfn.NUMBERVALUE(CompilDonnées[[#This Row],[FarmID]]&amp;CompilDonnées[[#This Row],[ModuleNumber]]&amp;CompilDonnées[[#This Row],[PlantationDate]])</f>
        <v>78345786</v>
      </c>
      <c r="O2750" t="str">
        <f>CompilDonnées[[#This Row],[FarmID]]&amp;CompilDonnées[[#This Row],[ModuleNumber]]</f>
        <v>783</v>
      </c>
      <c r="P2750" t="str">
        <f>CompilDonnées[[#This Row],[Ref_Module]]&amp;CompilDonnées[[#This Row],[HarvestingDate]]</f>
        <v>78345797</v>
      </c>
    </row>
    <row r="2751" spans="1:16">
      <c r="A2751" s="5">
        <v>45791</v>
      </c>
      <c r="B2751">
        <v>85</v>
      </c>
      <c r="C2751" t="s">
        <v>56</v>
      </c>
      <c r="D2751">
        <v>3</v>
      </c>
      <c r="E2751">
        <v>100</v>
      </c>
      <c r="F2751" t="s">
        <v>1</v>
      </c>
      <c r="G2751" s="6">
        <v>45832</v>
      </c>
      <c r="H2751">
        <v>41</v>
      </c>
      <c r="I2751">
        <f>ROUND(CompilDonnées[[#This Row],[CultureDuration_days]]/7,0)</f>
        <v>6</v>
      </c>
      <c r="J2751">
        <v>2614</v>
      </c>
      <c r="K2751" t="str">
        <f>_xlfn.CONCAT(WEEKNUM(CompilDonnées[[#This Row],[PlantationDate]]), " ", YEAR(CompilDonnées[[#This Row],[PlantationDate]]))</f>
        <v>20 2025</v>
      </c>
      <c r="L2751" t="str">
        <f>CONCATENATE(MONTH(CompilDonnées[[#This Row],[PlantationDate]])," ", YEAR(CompilDonnées[[#This Row],[PlantationDate]]))</f>
        <v>5 2025</v>
      </c>
      <c r="M2751" t="str">
        <f>CONCATENATE(MONTH(CompilDonnées[[#This Row],[HarvestingDate]])," ", YEAR(CompilDonnées[[#This Row],[HarvestingDate]]))</f>
        <v>6 2025</v>
      </c>
      <c r="N2751">
        <f>_xlfn.NUMBERVALUE(CompilDonnées[[#This Row],[FarmID]]&amp;CompilDonnées[[#This Row],[ModuleNumber]]&amp;CompilDonnées[[#This Row],[PlantationDate]])</f>
        <v>85345791</v>
      </c>
      <c r="O2751" t="str">
        <f>CompilDonnées[[#This Row],[FarmID]]&amp;CompilDonnées[[#This Row],[ModuleNumber]]</f>
        <v>853</v>
      </c>
      <c r="P2751" t="str">
        <f>CompilDonnées[[#This Row],[Ref_Module]]&amp;CompilDonnées[[#This Row],[HarvestingDate]]</f>
        <v>85345832</v>
      </c>
    </row>
    <row r="2752" spans="1:16">
      <c r="A2752" s="5">
        <v>45791</v>
      </c>
      <c r="B2752">
        <v>86</v>
      </c>
      <c r="C2752" t="s">
        <v>37</v>
      </c>
      <c r="D2752">
        <v>2</v>
      </c>
      <c r="E2752">
        <v>100</v>
      </c>
      <c r="F2752" t="s">
        <v>1</v>
      </c>
      <c r="G2752" s="6">
        <v>45827</v>
      </c>
      <c r="H2752">
        <v>36</v>
      </c>
      <c r="I2752">
        <f>ROUND(CompilDonnées[[#This Row],[CultureDuration_days]]/7,0)</f>
        <v>5</v>
      </c>
      <c r="J2752">
        <v>2444</v>
      </c>
      <c r="K2752" t="str">
        <f>_xlfn.CONCAT(WEEKNUM(CompilDonnées[[#This Row],[PlantationDate]]), " ", YEAR(CompilDonnées[[#This Row],[PlantationDate]]))</f>
        <v>20 2025</v>
      </c>
      <c r="L2752" t="str">
        <f>CONCATENATE(MONTH(CompilDonnées[[#This Row],[PlantationDate]])," ", YEAR(CompilDonnées[[#This Row],[PlantationDate]]))</f>
        <v>5 2025</v>
      </c>
      <c r="M2752" t="str">
        <f>CONCATENATE(MONTH(CompilDonnées[[#This Row],[HarvestingDate]])," ", YEAR(CompilDonnées[[#This Row],[HarvestingDate]]))</f>
        <v>6 2025</v>
      </c>
      <c r="N2752">
        <f>_xlfn.NUMBERVALUE(CompilDonnées[[#This Row],[FarmID]]&amp;CompilDonnées[[#This Row],[ModuleNumber]]&amp;CompilDonnées[[#This Row],[PlantationDate]])</f>
        <v>86245791</v>
      </c>
      <c r="O2752" t="str">
        <f>CompilDonnées[[#This Row],[FarmID]]&amp;CompilDonnées[[#This Row],[ModuleNumber]]</f>
        <v>862</v>
      </c>
      <c r="P2752" t="str">
        <f>CompilDonnées[[#This Row],[Ref_Module]]&amp;CompilDonnées[[#This Row],[HarvestingDate]]</f>
        <v>86245827</v>
      </c>
    </row>
    <row r="2753" spans="1:16">
      <c r="A2753" s="5">
        <v>45791</v>
      </c>
      <c r="B2753">
        <v>87</v>
      </c>
      <c r="C2753" t="s">
        <v>38</v>
      </c>
      <c r="D2753">
        <v>2</v>
      </c>
      <c r="E2753">
        <v>100</v>
      </c>
      <c r="F2753" t="s">
        <v>1</v>
      </c>
      <c r="G2753" s="6">
        <v>45827</v>
      </c>
      <c r="H2753">
        <v>36</v>
      </c>
      <c r="I2753">
        <f>ROUND(CompilDonnées[[#This Row],[CultureDuration_days]]/7,0)</f>
        <v>5</v>
      </c>
      <c r="J2753">
        <v>2237</v>
      </c>
      <c r="K2753" t="str">
        <f>_xlfn.CONCAT(WEEKNUM(CompilDonnées[[#This Row],[PlantationDate]]), " ", YEAR(CompilDonnées[[#This Row],[PlantationDate]]))</f>
        <v>20 2025</v>
      </c>
      <c r="L2753" t="str">
        <f>CONCATENATE(MONTH(CompilDonnées[[#This Row],[PlantationDate]])," ", YEAR(CompilDonnées[[#This Row],[PlantationDate]]))</f>
        <v>5 2025</v>
      </c>
      <c r="M2753" t="str">
        <f>CONCATENATE(MONTH(CompilDonnées[[#This Row],[HarvestingDate]])," ", YEAR(CompilDonnées[[#This Row],[HarvestingDate]]))</f>
        <v>6 2025</v>
      </c>
      <c r="N2753">
        <f>_xlfn.NUMBERVALUE(CompilDonnées[[#This Row],[FarmID]]&amp;CompilDonnées[[#This Row],[ModuleNumber]]&amp;CompilDonnées[[#This Row],[PlantationDate]])</f>
        <v>87245791</v>
      </c>
      <c r="O2753" t="str">
        <f>CompilDonnées[[#This Row],[FarmID]]&amp;CompilDonnées[[#This Row],[ModuleNumber]]</f>
        <v>872</v>
      </c>
      <c r="P2753" t="str">
        <f>CompilDonnées[[#This Row],[Ref_Module]]&amp;CompilDonnées[[#This Row],[HarvestingDate]]</f>
        <v>87245827</v>
      </c>
    </row>
    <row r="2754" spans="1:16">
      <c r="A2754" s="5">
        <v>45791</v>
      </c>
      <c r="B2754">
        <v>89</v>
      </c>
      <c r="C2754" t="s">
        <v>67</v>
      </c>
      <c r="D2754">
        <v>5</v>
      </c>
      <c r="E2754">
        <v>100</v>
      </c>
      <c r="F2754" t="s">
        <v>1</v>
      </c>
      <c r="G2754" s="6">
        <v>45832</v>
      </c>
      <c r="H2754">
        <v>41</v>
      </c>
      <c r="I2754">
        <f>ROUND(CompilDonnées[[#This Row],[CultureDuration_days]]/7,0)</f>
        <v>6</v>
      </c>
      <c r="J2754">
        <v>2959</v>
      </c>
      <c r="K2754" t="str">
        <f>_xlfn.CONCAT(WEEKNUM(CompilDonnées[[#This Row],[PlantationDate]]), " ", YEAR(CompilDonnées[[#This Row],[PlantationDate]]))</f>
        <v>20 2025</v>
      </c>
      <c r="L2754" t="str">
        <f>CONCATENATE(MONTH(CompilDonnées[[#This Row],[PlantationDate]])," ", YEAR(CompilDonnées[[#This Row],[PlantationDate]]))</f>
        <v>5 2025</v>
      </c>
      <c r="M2754" t="str">
        <f>CONCATENATE(MONTH(CompilDonnées[[#This Row],[HarvestingDate]])," ", YEAR(CompilDonnées[[#This Row],[HarvestingDate]]))</f>
        <v>6 2025</v>
      </c>
      <c r="N2754">
        <f>_xlfn.NUMBERVALUE(CompilDonnées[[#This Row],[FarmID]]&amp;CompilDonnées[[#This Row],[ModuleNumber]]&amp;CompilDonnées[[#This Row],[PlantationDate]])</f>
        <v>89545791</v>
      </c>
      <c r="O2754" t="str">
        <f>CompilDonnées[[#This Row],[FarmID]]&amp;CompilDonnées[[#This Row],[ModuleNumber]]</f>
        <v>895</v>
      </c>
      <c r="P2754" t="str">
        <f>CompilDonnées[[#This Row],[Ref_Module]]&amp;CompilDonnées[[#This Row],[HarvestingDate]]</f>
        <v>89545832</v>
      </c>
    </row>
    <row r="2755" spans="1:16">
      <c r="A2755" s="5">
        <v>45791</v>
      </c>
      <c r="B2755">
        <v>92</v>
      </c>
      <c r="C2755" t="s">
        <v>66</v>
      </c>
      <c r="D2755">
        <v>3</v>
      </c>
      <c r="E2755">
        <v>100</v>
      </c>
      <c r="F2755" t="s">
        <v>1</v>
      </c>
      <c r="G2755" s="6">
        <v>45827</v>
      </c>
      <c r="H2755">
        <v>36</v>
      </c>
      <c r="I2755">
        <f>ROUND(CompilDonnées[[#This Row],[CultureDuration_days]]/7,0)</f>
        <v>5</v>
      </c>
      <c r="J2755">
        <v>2778</v>
      </c>
      <c r="K2755" t="str">
        <f>_xlfn.CONCAT(WEEKNUM(CompilDonnées[[#This Row],[PlantationDate]]), " ", YEAR(CompilDonnées[[#This Row],[PlantationDate]]))</f>
        <v>20 2025</v>
      </c>
      <c r="L2755" t="str">
        <f>CONCATENATE(MONTH(CompilDonnées[[#This Row],[PlantationDate]])," ", YEAR(CompilDonnées[[#This Row],[PlantationDate]]))</f>
        <v>5 2025</v>
      </c>
      <c r="M2755" t="str">
        <f>CONCATENATE(MONTH(CompilDonnées[[#This Row],[HarvestingDate]])," ", YEAR(CompilDonnées[[#This Row],[HarvestingDate]]))</f>
        <v>6 2025</v>
      </c>
      <c r="N2755">
        <f>_xlfn.NUMBERVALUE(CompilDonnées[[#This Row],[FarmID]]&amp;CompilDonnées[[#This Row],[ModuleNumber]]&amp;CompilDonnées[[#This Row],[PlantationDate]])</f>
        <v>92345791</v>
      </c>
      <c r="O2755" t="str">
        <f>CompilDonnées[[#This Row],[FarmID]]&amp;CompilDonnées[[#This Row],[ModuleNumber]]</f>
        <v>923</v>
      </c>
      <c r="P2755" t="str">
        <f>CompilDonnées[[#This Row],[Ref_Module]]&amp;CompilDonnées[[#This Row],[HarvestingDate]]</f>
        <v>92345827</v>
      </c>
    </row>
    <row r="2756" spans="1:16">
      <c r="A2756" s="5">
        <v>45791</v>
      </c>
      <c r="B2756">
        <v>93</v>
      </c>
      <c r="C2756" t="s">
        <v>10</v>
      </c>
      <c r="D2756">
        <v>5</v>
      </c>
      <c r="E2756">
        <v>100</v>
      </c>
      <c r="F2756" t="s">
        <v>1</v>
      </c>
      <c r="G2756" s="6">
        <v>45839</v>
      </c>
      <c r="H2756">
        <v>48</v>
      </c>
      <c r="I2756">
        <f>ROUND(CompilDonnées[[#This Row],[CultureDuration_days]]/7,0)</f>
        <v>7</v>
      </c>
      <c r="J2756">
        <v>3230</v>
      </c>
      <c r="K2756" t="str">
        <f>_xlfn.CONCAT(WEEKNUM(CompilDonnées[[#This Row],[PlantationDate]]), " ", YEAR(CompilDonnées[[#This Row],[PlantationDate]]))</f>
        <v>20 2025</v>
      </c>
      <c r="L2756" t="str">
        <f>CONCATENATE(MONTH(CompilDonnées[[#This Row],[PlantationDate]])," ", YEAR(CompilDonnées[[#This Row],[PlantationDate]]))</f>
        <v>5 2025</v>
      </c>
      <c r="M2756" t="str">
        <f>CONCATENATE(MONTH(CompilDonnées[[#This Row],[HarvestingDate]])," ", YEAR(CompilDonnées[[#This Row],[HarvestingDate]]))</f>
        <v>7 2025</v>
      </c>
      <c r="N2756">
        <f>_xlfn.NUMBERVALUE(CompilDonnées[[#This Row],[FarmID]]&amp;CompilDonnées[[#This Row],[ModuleNumber]]&amp;CompilDonnées[[#This Row],[PlantationDate]])</f>
        <v>93545791</v>
      </c>
      <c r="O2756" t="str">
        <f>CompilDonnées[[#This Row],[FarmID]]&amp;CompilDonnées[[#This Row],[ModuleNumber]]</f>
        <v>935</v>
      </c>
      <c r="P2756" t="str">
        <f>CompilDonnées[[#This Row],[Ref_Module]]&amp;CompilDonnées[[#This Row],[HarvestingDate]]</f>
        <v>93545839</v>
      </c>
    </row>
    <row r="2757" spans="1:16">
      <c r="A2757" s="5">
        <v>45791</v>
      </c>
      <c r="B2757">
        <v>97</v>
      </c>
      <c r="C2757" t="s">
        <v>78</v>
      </c>
      <c r="D2757">
        <v>5</v>
      </c>
      <c r="E2757">
        <v>100</v>
      </c>
      <c r="F2757" t="s">
        <v>1</v>
      </c>
      <c r="G2757" s="6">
        <v>45828</v>
      </c>
      <c r="H2757">
        <v>37</v>
      </c>
      <c r="I2757">
        <f>ROUND(CompilDonnées[[#This Row],[CultureDuration_days]]/7,0)</f>
        <v>5</v>
      </c>
      <c r="J2757">
        <v>2831</v>
      </c>
      <c r="K2757" t="str">
        <f>_xlfn.CONCAT(WEEKNUM(CompilDonnées[[#This Row],[PlantationDate]]), " ", YEAR(CompilDonnées[[#This Row],[PlantationDate]]))</f>
        <v>20 2025</v>
      </c>
      <c r="L2757" t="str">
        <f>CONCATENATE(MONTH(CompilDonnées[[#This Row],[PlantationDate]])," ", YEAR(CompilDonnées[[#This Row],[PlantationDate]]))</f>
        <v>5 2025</v>
      </c>
      <c r="M2757" t="str">
        <f>CONCATENATE(MONTH(CompilDonnées[[#This Row],[HarvestingDate]])," ", YEAR(CompilDonnées[[#This Row],[HarvestingDate]]))</f>
        <v>6 2025</v>
      </c>
      <c r="N2757">
        <f>_xlfn.NUMBERVALUE(CompilDonnées[[#This Row],[FarmID]]&amp;CompilDonnées[[#This Row],[ModuleNumber]]&amp;CompilDonnées[[#This Row],[PlantationDate]])</f>
        <v>97545791</v>
      </c>
      <c r="O2757" t="str">
        <f>CompilDonnées[[#This Row],[FarmID]]&amp;CompilDonnées[[#This Row],[ModuleNumber]]</f>
        <v>975</v>
      </c>
      <c r="P2757" t="str">
        <f>CompilDonnées[[#This Row],[Ref_Module]]&amp;CompilDonnées[[#This Row],[HarvestingDate]]</f>
        <v>97545828</v>
      </c>
    </row>
    <row r="2758" spans="1:16">
      <c r="A2758" s="5">
        <v>45791</v>
      </c>
      <c r="B2758">
        <v>99</v>
      </c>
      <c r="C2758" t="s">
        <v>117</v>
      </c>
      <c r="D2758">
        <v>3</v>
      </c>
      <c r="E2758">
        <v>100</v>
      </c>
      <c r="F2758" t="s">
        <v>1</v>
      </c>
      <c r="G2758" s="6">
        <v>45827</v>
      </c>
      <c r="H2758">
        <v>36</v>
      </c>
      <c r="I2758">
        <f>ROUND(CompilDonnées[[#This Row],[CultureDuration_days]]/7,0)</f>
        <v>5</v>
      </c>
      <c r="J2758">
        <v>2431</v>
      </c>
      <c r="K2758" t="str">
        <f>_xlfn.CONCAT(WEEKNUM(CompilDonnées[[#This Row],[PlantationDate]]), " ", YEAR(CompilDonnées[[#This Row],[PlantationDate]]))</f>
        <v>20 2025</v>
      </c>
      <c r="L2758" t="str">
        <f>CONCATENATE(MONTH(CompilDonnées[[#This Row],[PlantationDate]])," ", YEAR(CompilDonnées[[#This Row],[PlantationDate]]))</f>
        <v>5 2025</v>
      </c>
      <c r="M2758" t="str">
        <f>CONCATENATE(MONTH(CompilDonnées[[#This Row],[HarvestingDate]])," ", YEAR(CompilDonnées[[#This Row],[HarvestingDate]]))</f>
        <v>6 2025</v>
      </c>
      <c r="N2758">
        <f>_xlfn.NUMBERVALUE(CompilDonnées[[#This Row],[FarmID]]&amp;CompilDonnées[[#This Row],[ModuleNumber]]&amp;CompilDonnées[[#This Row],[PlantationDate]])</f>
        <v>99345791</v>
      </c>
      <c r="O2758" t="str">
        <f>CompilDonnées[[#This Row],[FarmID]]&amp;CompilDonnées[[#This Row],[ModuleNumber]]</f>
        <v>993</v>
      </c>
      <c r="P2758" t="str">
        <f>CompilDonnées[[#This Row],[Ref_Module]]&amp;CompilDonnées[[#This Row],[HarvestingDate]]</f>
        <v>99345827</v>
      </c>
    </row>
    <row r="2759" spans="1:16">
      <c r="A2759" s="5">
        <v>45791</v>
      </c>
      <c r="B2759">
        <v>100</v>
      </c>
      <c r="C2759" t="s">
        <v>84</v>
      </c>
      <c r="D2759">
        <v>6</v>
      </c>
      <c r="E2759">
        <v>100</v>
      </c>
      <c r="F2759" t="s">
        <v>1</v>
      </c>
      <c r="G2759" s="6">
        <v>45827</v>
      </c>
      <c r="H2759">
        <v>36</v>
      </c>
      <c r="I2759">
        <f>ROUND(CompilDonnées[[#This Row],[CultureDuration_days]]/7,0)</f>
        <v>5</v>
      </c>
      <c r="J2759">
        <v>3153</v>
      </c>
      <c r="K2759" t="str">
        <f>_xlfn.CONCAT(WEEKNUM(CompilDonnées[[#This Row],[PlantationDate]]), " ", YEAR(CompilDonnées[[#This Row],[PlantationDate]]))</f>
        <v>20 2025</v>
      </c>
      <c r="L2759" t="str">
        <f>CONCATENATE(MONTH(CompilDonnées[[#This Row],[PlantationDate]])," ", YEAR(CompilDonnées[[#This Row],[PlantationDate]]))</f>
        <v>5 2025</v>
      </c>
      <c r="M2759" t="str">
        <f>CONCATENATE(MONTH(CompilDonnées[[#This Row],[HarvestingDate]])," ", YEAR(CompilDonnées[[#This Row],[HarvestingDate]]))</f>
        <v>6 2025</v>
      </c>
      <c r="N2759">
        <f>_xlfn.NUMBERVALUE(CompilDonnées[[#This Row],[FarmID]]&amp;CompilDonnées[[#This Row],[ModuleNumber]]&amp;CompilDonnées[[#This Row],[PlantationDate]])</f>
        <v>100645791</v>
      </c>
      <c r="O2759" t="str">
        <f>CompilDonnées[[#This Row],[FarmID]]&amp;CompilDonnées[[#This Row],[ModuleNumber]]</f>
        <v>1006</v>
      </c>
      <c r="P2759" t="str">
        <f>CompilDonnées[[#This Row],[Ref_Module]]&amp;CompilDonnées[[#This Row],[HarvestingDate]]</f>
        <v>100645827</v>
      </c>
    </row>
    <row r="2760" spans="1:16">
      <c r="A2760" s="5">
        <v>45791</v>
      </c>
      <c r="B2760">
        <v>103</v>
      </c>
      <c r="C2760" t="s">
        <v>86</v>
      </c>
      <c r="D2760">
        <v>5</v>
      </c>
      <c r="E2760">
        <v>100</v>
      </c>
      <c r="F2760" t="s">
        <v>1</v>
      </c>
      <c r="G2760" s="6">
        <v>45828</v>
      </c>
      <c r="H2760">
        <v>37</v>
      </c>
      <c r="I2760">
        <f>ROUND(CompilDonnées[[#This Row],[CultureDuration_days]]/7,0)</f>
        <v>5</v>
      </c>
      <c r="J2760">
        <v>2734</v>
      </c>
      <c r="K2760" t="str">
        <f>_xlfn.CONCAT(WEEKNUM(CompilDonnées[[#This Row],[PlantationDate]]), " ", YEAR(CompilDonnées[[#This Row],[PlantationDate]]))</f>
        <v>20 2025</v>
      </c>
      <c r="L2760" t="str">
        <f>CONCATENATE(MONTH(CompilDonnées[[#This Row],[PlantationDate]])," ", YEAR(CompilDonnées[[#This Row],[PlantationDate]]))</f>
        <v>5 2025</v>
      </c>
      <c r="M2760" t="str">
        <f>CONCATENATE(MONTH(CompilDonnées[[#This Row],[HarvestingDate]])," ", YEAR(CompilDonnées[[#This Row],[HarvestingDate]]))</f>
        <v>6 2025</v>
      </c>
      <c r="N2760">
        <f>_xlfn.NUMBERVALUE(CompilDonnées[[#This Row],[FarmID]]&amp;CompilDonnées[[#This Row],[ModuleNumber]]&amp;CompilDonnées[[#This Row],[PlantationDate]])</f>
        <v>103545791</v>
      </c>
      <c r="O2760" t="str">
        <f>CompilDonnées[[#This Row],[FarmID]]&amp;CompilDonnées[[#This Row],[ModuleNumber]]</f>
        <v>1035</v>
      </c>
      <c r="P2760" t="str">
        <f>CompilDonnées[[#This Row],[Ref_Module]]&amp;CompilDonnées[[#This Row],[HarvestingDate]]</f>
        <v>103545828</v>
      </c>
    </row>
    <row r="2761" spans="1:16">
      <c r="A2761" s="5">
        <v>45791</v>
      </c>
      <c r="B2761">
        <v>104</v>
      </c>
      <c r="C2761" t="s">
        <v>91</v>
      </c>
      <c r="D2761">
        <v>6</v>
      </c>
      <c r="E2761">
        <v>100</v>
      </c>
      <c r="F2761" t="s">
        <v>1</v>
      </c>
      <c r="G2761" s="6">
        <v>45828</v>
      </c>
      <c r="H2761">
        <v>37</v>
      </c>
      <c r="I2761">
        <f>ROUND(CompilDonnées[[#This Row],[CultureDuration_days]]/7,0)</f>
        <v>5</v>
      </c>
      <c r="J2761">
        <v>2553</v>
      </c>
      <c r="K2761" t="str">
        <f>_xlfn.CONCAT(WEEKNUM(CompilDonnées[[#This Row],[PlantationDate]]), " ", YEAR(CompilDonnées[[#This Row],[PlantationDate]]))</f>
        <v>20 2025</v>
      </c>
      <c r="L2761" t="str">
        <f>CONCATENATE(MONTH(CompilDonnées[[#This Row],[PlantationDate]])," ", YEAR(CompilDonnées[[#This Row],[PlantationDate]]))</f>
        <v>5 2025</v>
      </c>
      <c r="M2761" t="str">
        <f>CONCATENATE(MONTH(CompilDonnées[[#This Row],[HarvestingDate]])," ", YEAR(CompilDonnées[[#This Row],[HarvestingDate]]))</f>
        <v>6 2025</v>
      </c>
      <c r="N2761">
        <f>_xlfn.NUMBERVALUE(CompilDonnées[[#This Row],[FarmID]]&amp;CompilDonnées[[#This Row],[ModuleNumber]]&amp;CompilDonnées[[#This Row],[PlantationDate]])</f>
        <v>104645791</v>
      </c>
      <c r="O2761" t="str">
        <f>CompilDonnées[[#This Row],[FarmID]]&amp;CompilDonnées[[#This Row],[ModuleNumber]]</f>
        <v>1046</v>
      </c>
      <c r="P2761" t="str">
        <f>CompilDonnées[[#This Row],[Ref_Module]]&amp;CompilDonnées[[#This Row],[HarvestingDate]]</f>
        <v>104645828</v>
      </c>
    </row>
    <row r="2762" spans="1:16">
      <c r="A2762" s="5">
        <v>45791</v>
      </c>
      <c r="B2762">
        <v>106</v>
      </c>
      <c r="C2762" t="s">
        <v>22</v>
      </c>
      <c r="D2762">
        <v>6</v>
      </c>
      <c r="E2762">
        <v>100</v>
      </c>
      <c r="F2762" t="s">
        <v>1</v>
      </c>
      <c r="G2762" s="6">
        <v>45838</v>
      </c>
      <c r="H2762">
        <v>47</v>
      </c>
      <c r="I2762">
        <f>ROUND(CompilDonnées[[#This Row],[CultureDuration_days]]/7,0)</f>
        <v>7</v>
      </c>
      <c r="J2762">
        <v>3411</v>
      </c>
      <c r="K2762" t="str">
        <f>_xlfn.CONCAT(WEEKNUM(CompilDonnées[[#This Row],[PlantationDate]]), " ", YEAR(CompilDonnées[[#This Row],[PlantationDate]]))</f>
        <v>20 2025</v>
      </c>
      <c r="L2762" t="str">
        <f>CONCATENATE(MONTH(CompilDonnées[[#This Row],[PlantationDate]])," ", YEAR(CompilDonnées[[#This Row],[PlantationDate]]))</f>
        <v>5 2025</v>
      </c>
      <c r="M2762" t="str">
        <f>CONCATENATE(MONTH(CompilDonnées[[#This Row],[HarvestingDate]])," ", YEAR(CompilDonnées[[#This Row],[HarvestingDate]]))</f>
        <v>6 2025</v>
      </c>
      <c r="N2762">
        <f>_xlfn.NUMBERVALUE(CompilDonnées[[#This Row],[FarmID]]&amp;CompilDonnées[[#This Row],[ModuleNumber]]&amp;CompilDonnées[[#This Row],[PlantationDate]])</f>
        <v>106645791</v>
      </c>
      <c r="O2762" t="str">
        <f>CompilDonnées[[#This Row],[FarmID]]&amp;CompilDonnées[[#This Row],[ModuleNumber]]</f>
        <v>1066</v>
      </c>
      <c r="P2762" t="str">
        <f>CompilDonnées[[#This Row],[Ref_Module]]&amp;CompilDonnées[[#This Row],[HarvestingDate]]</f>
        <v>106645838</v>
      </c>
    </row>
    <row r="2763" spans="1:16">
      <c r="A2763" s="5">
        <v>45791</v>
      </c>
      <c r="B2763">
        <v>107</v>
      </c>
      <c r="C2763" t="s">
        <v>23</v>
      </c>
      <c r="D2763">
        <v>5</v>
      </c>
      <c r="E2763">
        <v>100</v>
      </c>
      <c r="F2763" t="s">
        <v>1</v>
      </c>
      <c r="G2763" s="6">
        <v>45828</v>
      </c>
      <c r="H2763">
        <v>37</v>
      </c>
      <c r="I2763">
        <f>ROUND(CompilDonnées[[#This Row],[CultureDuration_days]]/7,0)</f>
        <v>5</v>
      </c>
      <c r="J2763">
        <v>2980</v>
      </c>
      <c r="K2763" t="str">
        <f>_xlfn.CONCAT(WEEKNUM(CompilDonnées[[#This Row],[PlantationDate]]), " ", YEAR(CompilDonnées[[#This Row],[PlantationDate]]))</f>
        <v>20 2025</v>
      </c>
      <c r="L2763" t="str">
        <f>CONCATENATE(MONTH(CompilDonnées[[#This Row],[PlantationDate]])," ", YEAR(CompilDonnées[[#This Row],[PlantationDate]]))</f>
        <v>5 2025</v>
      </c>
      <c r="M2763" t="str">
        <f>CONCATENATE(MONTH(CompilDonnées[[#This Row],[HarvestingDate]])," ", YEAR(CompilDonnées[[#This Row],[HarvestingDate]]))</f>
        <v>6 2025</v>
      </c>
      <c r="N2763">
        <f>_xlfn.NUMBERVALUE(CompilDonnées[[#This Row],[FarmID]]&amp;CompilDonnées[[#This Row],[ModuleNumber]]&amp;CompilDonnées[[#This Row],[PlantationDate]])</f>
        <v>107545791</v>
      </c>
      <c r="O2763" t="str">
        <f>CompilDonnées[[#This Row],[FarmID]]&amp;CompilDonnées[[#This Row],[ModuleNumber]]</f>
        <v>1075</v>
      </c>
      <c r="P2763" t="str">
        <f>CompilDonnées[[#This Row],[Ref_Module]]&amp;CompilDonnées[[#This Row],[HarvestingDate]]</f>
        <v>107545828</v>
      </c>
    </row>
    <row r="2764" spans="1:16">
      <c r="A2764" s="5">
        <v>45791</v>
      </c>
      <c r="B2764">
        <v>110</v>
      </c>
      <c r="C2764" t="s">
        <v>14</v>
      </c>
      <c r="D2764">
        <v>1</v>
      </c>
      <c r="E2764">
        <v>100</v>
      </c>
      <c r="F2764" t="s">
        <v>1</v>
      </c>
      <c r="G2764" s="6">
        <v>45828</v>
      </c>
      <c r="H2764">
        <v>37</v>
      </c>
      <c r="I2764">
        <f>ROUND(CompilDonnées[[#This Row],[CultureDuration_days]]/7,0)</f>
        <v>5</v>
      </c>
      <c r="J2764">
        <v>3211</v>
      </c>
      <c r="K2764" t="str">
        <f>_xlfn.CONCAT(WEEKNUM(CompilDonnées[[#This Row],[PlantationDate]]), " ", YEAR(CompilDonnées[[#This Row],[PlantationDate]]))</f>
        <v>20 2025</v>
      </c>
      <c r="L2764" t="str">
        <f>CONCATENATE(MONTH(CompilDonnées[[#This Row],[PlantationDate]])," ", YEAR(CompilDonnées[[#This Row],[PlantationDate]]))</f>
        <v>5 2025</v>
      </c>
      <c r="M2764" t="str">
        <f>CONCATENATE(MONTH(CompilDonnées[[#This Row],[HarvestingDate]])," ", YEAR(CompilDonnées[[#This Row],[HarvestingDate]]))</f>
        <v>6 2025</v>
      </c>
      <c r="N2764">
        <f>_xlfn.NUMBERVALUE(CompilDonnées[[#This Row],[FarmID]]&amp;CompilDonnées[[#This Row],[ModuleNumber]]&amp;CompilDonnées[[#This Row],[PlantationDate]])</f>
        <v>110145791</v>
      </c>
      <c r="O2764" t="str">
        <f>CompilDonnées[[#This Row],[FarmID]]&amp;CompilDonnées[[#This Row],[ModuleNumber]]</f>
        <v>1101</v>
      </c>
      <c r="P2764" t="str">
        <f>CompilDonnées[[#This Row],[Ref_Module]]&amp;CompilDonnées[[#This Row],[HarvestingDate]]</f>
        <v>110145828</v>
      </c>
    </row>
    <row r="2765" spans="1:16">
      <c r="A2765" s="5">
        <v>45791</v>
      </c>
      <c r="B2765">
        <v>111</v>
      </c>
      <c r="C2765" t="s">
        <v>41</v>
      </c>
      <c r="D2765">
        <v>6</v>
      </c>
      <c r="E2765">
        <v>100</v>
      </c>
      <c r="F2765" t="s">
        <v>1</v>
      </c>
      <c r="G2765" s="6">
        <v>45828</v>
      </c>
      <c r="H2765">
        <v>37</v>
      </c>
      <c r="I2765">
        <f>ROUND(CompilDonnées[[#This Row],[CultureDuration_days]]/7,0)</f>
        <v>5</v>
      </c>
      <c r="J2765">
        <v>2621</v>
      </c>
      <c r="K2765" t="str">
        <f>_xlfn.CONCAT(WEEKNUM(CompilDonnées[[#This Row],[PlantationDate]]), " ", YEAR(CompilDonnées[[#This Row],[PlantationDate]]))</f>
        <v>20 2025</v>
      </c>
      <c r="L2765" t="str">
        <f>CONCATENATE(MONTH(CompilDonnées[[#This Row],[PlantationDate]])," ", YEAR(CompilDonnées[[#This Row],[PlantationDate]]))</f>
        <v>5 2025</v>
      </c>
      <c r="M2765" t="str">
        <f>CONCATENATE(MONTH(CompilDonnées[[#This Row],[HarvestingDate]])," ", YEAR(CompilDonnées[[#This Row],[HarvestingDate]]))</f>
        <v>6 2025</v>
      </c>
      <c r="N2765">
        <f>_xlfn.NUMBERVALUE(CompilDonnées[[#This Row],[FarmID]]&amp;CompilDonnées[[#This Row],[ModuleNumber]]&amp;CompilDonnées[[#This Row],[PlantationDate]])</f>
        <v>111645791</v>
      </c>
      <c r="O2765" t="str">
        <f>CompilDonnées[[#This Row],[FarmID]]&amp;CompilDonnées[[#This Row],[ModuleNumber]]</f>
        <v>1116</v>
      </c>
      <c r="P2765" t="str">
        <f>CompilDonnées[[#This Row],[Ref_Module]]&amp;CompilDonnées[[#This Row],[HarvestingDate]]</f>
        <v>111645828</v>
      </c>
    </row>
    <row r="2766" spans="1:16">
      <c r="A2766" s="5">
        <v>45791</v>
      </c>
      <c r="B2766">
        <v>112</v>
      </c>
      <c r="C2766" t="s">
        <v>15</v>
      </c>
      <c r="D2766">
        <v>4</v>
      </c>
      <c r="E2766">
        <v>100</v>
      </c>
      <c r="F2766" t="s">
        <v>1</v>
      </c>
      <c r="G2766" s="6">
        <v>45831</v>
      </c>
      <c r="H2766">
        <v>40</v>
      </c>
      <c r="I2766">
        <f>ROUND(CompilDonnées[[#This Row],[CultureDuration_days]]/7,0)</f>
        <v>6</v>
      </c>
      <c r="J2766">
        <v>2454</v>
      </c>
      <c r="K2766" t="str">
        <f>_xlfn.CONCAT(WEEKNUM(CompilDonnées[[#This Row],[PlantationDate]]), " ", YEAR(CompilDonnées[[#This Row],[PlantationDate]]))</f>
        <v>20 2025</v>
      </c>
      <c r="L2766" t="str">
        <f>CONCATENATE(MONTH(CompilDonnées[[#This Row],[PlantationDate]])," ", YEAR(CompilDonnées[[#This Row],[PlantationDate]]))</f>
        <v>5 2025</v>
      </c>
      <c r="M2766" t="str">
        <f>CONCATENATE(MONTH(CompilDonnées[[#This Row],[HarvestingDate]])," ", YEAR(CompilDonnées[[#This Row],[HarvestingDate]]))</f>
        <v>6 2025</v>
      </c>
      <c r="N2766">
        <f>_xlfn.NUMBERVALUE(CompilDonnées[[#This Row],[FarmID]]&amp;CompilDonnées[[#This Row],[ModuleNumber]]&amp;CompilDonnées[[#This Row],[PlantationDate]])</f>
        <v>112445791</v>
      </c>
      <c r="O2766" t="str">
        <f>CompilDonnées[[#This Row],[FarmID]]&amp;CompilDonnées[[#This Row],[ModuleNumber]]</f>
        <v>1124</v>
      </c>
      <c r="P2766" t="str">
        <f>CompilDonnées[[#This Row],[Ref_Module]]&amp;CompilDonnées[[#This Row],[HarvestingDate]]</f>
        <v>112445831</v>
      </c>
    </row>
    <row r="2767" spans="1:16">
      <c r="A2767" s="5">
        <v>45791</v>
      </c>
      <c r="B2767">
        <v>113</v>
      </c>
      <c r="C2767" t="s">
        <v>16</v>
      </c>
      <c r="D2767">
        <v>6</v>
      </c>
      <c r="E2767">
        <v>100</v>
      </c>
      <c r="F2767" t="s">
        <v>1</v>
      </c>
      <c r="G2767" s="6">
        <v>45828</v>
      </c>
      <c r="H2767">
        <v>37</v>
      </c>
      <c r="I2767">
        <f>ROUND(CompilDonnées[[#This Row],[CultureDuration_days]]/7,0)</f>
        <v>5</v>
      </c>
      <c r="J2767">
        <v>2888</v>
      </c>
      <c r="K2767" t="str">
        <f>_xlfn.CONCAT(WEEKNUM(CompilDonnées[[#This Row],[PlantationDate]]), " ", YEAR(CompilDonnées[[#This Row],[PlantationDate]]))</f>
        <v>20 2025</v>
      </c>
      <c r="L2767" t="str">
        <f>CONCATENATE(MONTH(CompilDonnées[[#This Row],[PlantationDate]])," ", YEAR(CompilDonnées[[#This Row],[PlantationDate]]))</f>
        <v>5 2025</v>
      </c>
      <c r="M2767" t="str">
        <f>CONCATENATE(MONTH(CompilDonnées[[#This Row],[HarvestingDate]])," ", YEAR(CompilDonnées[[#This Row],[HarvestingDate]]))</f>
        <v>6 2025</v>
      </c>
      <c r="N2767">
        <f>_xlfn.NUMBERVALUE(CompilDonnées[[#This Row],[FarmID]]&amp;CompilDonnées[[#This Row],[ModuleNumber]]&amp;CompilDonnées[[#This Row],[PlantationDate]])</f>
        <v>113645791</v>
      </c>
      <c r="O2767" t="str">
        <f>CompilDonnées[[#This Row],[FarmID]]&amp;CompilDonnées[[#This Row],[ModuleNumber]]</f>
        <v>1136</v>
      </c>
      <c r="P2767" t="str">
        <f>CompilDonnées[[#This Row],[Ref_Module]]&amp;CompilDonnées[[#This Row],[HarvestingDate]]</f>
        <v>113645828</v>
      </c>
    </row>
    <row r="2768" spans="1:16">
      <c r="A2768" s="5">
        <v>45791</v>
      </c>
      <c r="B2768">
        <v>118</v>
      </c>
      <c r="C2768" t="s">
        <v>51</v>
      </c>
      <c r="D2768">
        <v>2</v>
      </c>
      <c r="E2768">
        <v>100</v>
      </c>
      <c r="F2768" t="s">
        <v>1</v>
      </c>
      <c r="G2768" s="6">
        <v>45838</v>
      </c>
      <c r="H2768">
        <v>47</v>
      </c>
      <c r="I2768">
        <f>ROUND(CompilDonnées[[#This Row],[CultureDuration_days]]/7,0)</f>
        <v>7</v>
      </c>
      <c r="J2768">
        <v>2784</v>
      </c>
      <c r="K2768" t="str">
        <f>_xlfn.CONCAT(WEEKNUM(CompilDonnées[[#This Row],[PlantationDate]]), " ", YEAR(CompilDonnées[[#This Row],[PlantationDate]]))</f>
        <v>20 2025</v>
      </c>
      <c r="L2768" t="str">
        <f>CONCATENATE(MONTH(CompilDonnées[[#This Row],[PlantationDate]])," ", YEAR(CompilDonnées[[#This Row],[PlantationDate]]))</f>
        <v>5 2025</v>
      </c>
      <c r="M2768" t="str">
        <f>CONCATENATE(MONTH(CompilDonnées[[#This Row],[HarvestingDate]])," ", YEAR(CompilDonnées[[#This Row],[HarvestingDate]]))</f>
        <v>6 2025</v>
      </c>
      <c r="N2768">
        <f>_xlfn.NUMBERVALUE(CompilDonnées[[#This Row],[FarmID]]&amp;CompilDonnées[[#This Row],[ModuleNumber]]&amp;CompilDonnées[[#This Row],[PlantationDate]])</f>
        <v>118245791</v>
      </c>
      <c r="O2768" t="str">
        <f>CompilDonnées[[#This Row],[FarmID]]&amp;CompilDonnées[[#This Row],[ModuleNumber]]</f>
        <v>1182</v>
      </c>
      <c r="P2768" t="str">
        <f>CompilDonnées[[#This Row],[Ref_Module]]&amp;CompilDonnées[[#This Row],[HarvestingDate]]</f>
        <v>118245838</v>
      </c>
    </row>
    <row r="2769" spans="1:16">
      <c r="A2769" s="5">
        <v>45791</v>
      </c>
      <c r="B2769">
        <v>119</v>
      </c>
      <c r="C2769" t="s">
        <v>59</v>
      </c>
      <c r="D2769">
        <v>5</v>
      </c>
      <c r="E2769">
        <v>100</v>
      </c>
      <c r="F2769" t="s">
        <v>1</v>
      </c>
      <c r="G2769" s="6">
        <v>45828</v>
      </c>
      <c r="H2769">
        <v>37</v>
      </c>
      <c r="I2769">
        <f>ROUND(CompilDonnées[[#This Row],[CultureDuration_days]]/7,0)</f>
        <v>5</v>
      </c>
      <c r="J2769">
        <v>2536</v>
      </c>
      <c r="K2769" t="str">
        <f>_xlfn.CONCAT(WEEKNUM(CompilDonnées[[#This Row],[PlantationDate]]), " ", YEAR(CompilDonnées[[#This Row],[PlantationDate]]))</f>
        <v>20 2025</v>
      </c>
      <c r="L2769" t="str">
        <f>CONCATENATE(MONTH(CompilDonnées[[#This Row],[PlantationDate]])," ", YEAR(CompilDonnées[[#This Row],[PlantationDate]]))</f>
        <v>5 2025</v>
      </c>
      <c r="M2769" t="str">
        <f>CONCATENATE(MONTH(CompilDonnées[[#This Row],[HarvestingDate]])," ", YEAR(CompilDonnées[[#This Row],[HarvestingDate]]))</f>
        <v>6 2025</v>
      </c>
      <c r="N2769">
        <f>_xlfn.NUMBERVALUE(CompilDonnées[[#This Row],[FarmID]]&amp;CompilDonnées[[#This Row],[ModuleNumber]]&amp;CompilDonnées[[#This Row],[PlantationDate]])</f>
        <v>119545791</v>
      </c>
      <c r="O2769" t="str">
        <f>CompilDonnées[[#This Row],[FarmID]]&amp;CompilDonnées[[#This Row],[ModuleNumber]]</f>
        <v>1195</v>
      </c>
      <c r="P2769" t="str">
        <f>CompilDonnées[[#This Row],[Ref_Module]]&amp;CompilDonnées[[#This Row],[HarvestingDate]]</f>
        <v>119545828</v>
      </c>
    </row>
    <row r="2770" spans="1:16">
      <c r="A2770" s="5">
        <v>45791</v>
      </c>
      <c r="B2770">
        <v>132</v>
      </c>
      <c r="C2770" t="s">
        <v>120</v>
      </c>
      <c r="D2770">
        <v>4</v>
      </c>
      <c r="E2770">
        <v>100</v>
      </c>
      <c r="F2770" t="s">
        <v>1</v>
      </c>
      <c r="G2770" s="6">
        <v>45828</v>
      </c>
      <c r="H2770">
        <v>37</v>
      </c>
      <c r="I2770">
        <f>ROUND(CompilDonnées[[#This Row],[CultureDuration_days]]/7,0)</f>
        <v>5</v>
      </c>
      <c r="J2770">
        <v>3142</v>
      </c>
      <c r="K2770" t="str">
        <f>_xlfn.CONCAT(WEEKNUM(CompilDonnées[[#This Row],[PlantationDate]]), " ", YEAR(CompilDonnées[[#This Row],[PlantationDate]]))</f>
        <v>20 2025</v>
      </c>
      <c r="L2770" t="str">
        <f>CONCATENATE(MONTH(CompilDonnées[[#This Row],[PlantationDate]])," ", YEAR(CompilDonnées[[#This Row],[PlantationDate]]))</f>
        <v>5 2025</v>
      </c>
      <c r="M2770" t="str">
        <f>CONCATENATE(MONTH(CompilDonnées[[#This Row],[HarvestingDate]])," ", YEAR(CompilDonnées[[#This Row],[HarvestingDate]]))</f>
        <v>6 2025</v>
      </c>
      <c r="N2770">
        <f>_xlfn.NUMBERVALUE(CompilDonnées[[#This Row],[FarmID]]&amp;CompilDonnées[[#This Row],[ModuleNumber]]&amp;CompilDonnées[[#This Row],[PlantationDate]])</f>
        <v>132445791</v>
      </c>
      <c r="O2770" t="str">
        <f>CompilDonnées[[#This Row],[FarmID]]&amp;CompilDonnées[[#This Row],[ModuleNumber]]</f>
        <v>1324</v>
      </c>
      <c r="P2770" t="str">
        <f>CompilDonnées[[#This Row],[Ref_Module]]&amp;CompilDonnées[[#This Row],[HarvestingDate]]</f>
        <v>132445828</v>
      </c>
    </row>
    <row r="2771" spans="1:16">
      <c r="A2771" s="5">
        <v>45791</v>
      </c>
      <c r="B2771">
        <v>133</v>
      </c>
      <c r="C2771" t="s">
        <v>99</v>
      </c>
      <c r="D2771">
        <v>3</v>
      </c>
      <c r="E2771">
        <v>100</v>
      </c>
      <c r="F2771" t="s">
        <v>1</v>
      </c>
      <c r="G2771" s="6">
        <v>45828</v>
      </c>
      <c r="H2771">
        <v>37</v>
      </c>
      <c r="I2771">
        <f>ROUND(CompilDonnées[[#This Row],[CultureDuration_days]]/7,0)</f>
        <v>5</v>
      </c>
      <c r="J2771">
        <v>3141</v>
      </c>
      <c r="K2771" t="str">
        <f>_xlfn.CONCAT(WEEKNUM(CompilDonnées[[#This Row],[PlantationDate]]), " ", YEAR(CompilDonnées[[#This Row],[PlantationDate]]))</f>
        <v>20 2025</v>
      </c>
      <c r="L2771" t="str">
        <f>CONCATENATE(MONTH(CompilDonnées[[#This Row],[PlantationDate]])," ", YEAR(CompilDonnées[[#This Row],[PlantationDate]]))</f>
        <v>5 2025</v>
      </c>
      <c r="M2771" t="str">
        <f>CONCATENATE(MONTH(CompilDonnées[[#This Row],[HarvestingDate]])," ", YEAR(CompilDonnées[[#This Row],[HarvestingDate]]))</f>
        <v>6 2025</v>
      </c>
      <c r="N2771">
        <f>_xlfn.NUMBERVALUE(CompilDonnées[[#This Row],[FarmID]]&amp;CompilDonnées[[#This Row],[ModuleNumber]]&amp;CompilDonnées[[#This Row],[PlantationDate]])</f>
        <v>133345791</v>
      </c>
      <c r="O2771" t="str">
        <f>CompilDonnées[[#This Row],[FarmID]]&amp;CompilDonnées[[#This Row],[ModuleNumber]]</f>
        <v>1333</v>
      </c>
      <c r="P2771" t="str">
        <f>CompilDonnées[[#This Row],[Ref_Module]]&amp;CompilDonnées[[#This Row],[HarvestingDate]]</f>
        <v>133345828</v>
      </c>
    </row>
    <row r="2772" spans="1:16">
      <c r="A2772" s="5">
        <v>45791</v>
      </c>
      <c r="B2772">
        <v>139</v>
      </c>
      <c r="C2772" t="s">
        <v>103</v>
      </c>
      <c r="D2772">
        <v>2</v>
      </c>
      <c r="E2772">
        <v>100</v>
      </c>
      <c r="F2772" t="s">
        <v>1</v>
      </c>
      <c r="G2772" s="6">
        <v>45828</v>
      </c>
      <c r="H2772">
        <v>37</v>
      </c>
      <c r="I2772">
        <f>ROUND(CompilDonnées[[#This Row],[CultureDuration_days]]/7,0)</f>
        <v>5</v>
      </c>
      <c r="J2772">
        <v>2783</v>
      </c>
      <c r="K2772" t="str">
        <f>_xlfn.CONCAT(WEEKNUM(CompilDonnées[[#This Row],[PlantationDate]]), " ", YEAR(CompilDonnées[[#This Row],[PlantationDate]]))</f>
        <v>20 2025</v>
      </c>
      <c r="L2772" t="str">
        <f>CONCATENATE(MONTH(CompilDonnées[[#This Row],[PlantationDate]])," ", YEAR(CompilDonnées[[#This Row],[PlantationDate]]))</f>
        <v>5 2025</v>
      </c>
      <c r="M2772" t="str">
        <f>CONCATENATE(MONTH(CompilDonnées[[#This Row],[HarvestingDate]])," ", YEAR(CompilDonnées[[#This Row],[HarvestingDate]]))</f>
        <v>6 2025</v>
      </c>
      <c r="N2772">
        <f>_xlfn.NUMBERVALUE(CompilDonnées[[#This Row],[FarmID]]&amp;CompilDonnées[[#This Row],[ModuleNumber]]&amp;CompilDonnées[[#This Row],[PlantationDate]])</f>
        <v>139245791</v>
      </c>
      <c r="O2772" t="str">
        <f>CompilDonnées[[#This Row],[FarmID]]&amp;CompilDonnées[[#This Row],[ModuleNumber]]</f>
        <v>1392</v>
      </c>
      <c r="P2772" t="str">
        <f>CompilDonnées[[#This Row],[Ref_Module]]&amp;CompilDonnées[[#This Row],[HarvestingDate]]</f>
        <v>139245828</v>
      </c>
    </row>
    <row r="2773" spans="1:16">
      <c r="A2773" s="5">
        <v>45791</v>
      </c>
      <c r="B2773">
        <v>140</v>
      </c>
      <c r="C2773" t="s">
        <v>96</v>
      </c>
      <c r="D2773">
        <v>5</v>
      </c>
      <c r="E2773">
        <v>100</v>
      </c>
      <c r="F2773" t="s">
        <v>1</v>
      </c>
      <c r="G2773" s="6">
        <v>45828</v>
      </c>
      <c r="H2773">
        <v>37</v>
      </c>
      <c r="I2773">
        <f>ROUND(CompilDonnées[[#This Row],[CultureDuration_days]]/7,0)</f>
        <v>5</v>
      </c>
      <c r="J2773">
        <v>2719</v>
      </c>
      <c r="K2773" t="str">
        <f>_xlfn.CONCAT(WEEKNUM(CompilDonnées[[#This Row],[PlantationDate]]), " ", YEAR(CompilDonnées[[#This Row],[PlantationDate]]))</f>
        <v>20 2025</v>
      </c>
      <c r="L2773" t="str">
        <f>CONCATENATE(MONTH(CompilDonnées[[#This Row],[PlantationDate]])," ", YEAR(CompilDonnées[[#This Row],[PlantationDate]]))</f>
        <v>5 2025</v>
      </c>
      <c r="M2773" t="str">
        <f>CONCATENATE(MONTH(CompilDonnées[[#This Row],[HarvestingDate]])," ", YEAR(CompilDonnées[[#This Row],[HarvestingDate]]))</f>
        <v>6 2025</v>
      </c>
      <c r="N2773">
        <f>_xlfn.NUMBERVALUE(CompilDonnées[[#This Row],[FarmID]]&amp;CompilDonnées[[#This Row],[ModuleNumber]]&amp;CompilDonnées[[#This Row],[PlantationDate]])</f>
        <v>140545791</v>
      </c>
      <c r="O2773" t="str">
        <f>CompilDonnées[[#This Row],[FarmID]]&amp;CompilDonnées[[#This Row],[ModuleNumber]]</f>
        <v>1405</v>
      </c>
      <c r="P2773" t="str">
        <f>CompilDonnées[[#This Row],[Ref_Module]]&amp;CompilDonnées[[#This Row],[HarvestingDate]]</f>
        <v>140545828</v>
      </c>
    </row>
    <row r="2774" spans="1:16">
      <c r="A2774" s="5">
        <v>45792</v>
      </c>
      <c r="B2774">
        <v>56</v>
      </c>
      <c r="C2774" t="s">
        <v>6</v>
      </c>
      <c r="D2774">
        <v>5</v>
      </c>
      <c r="E2774">
        <v>100</v>
      </c>
      <c r="F2774" t="s">
        <v>1</v>
      </c>
      <c r="G2774" s="6">
        <v>45826</v>
      </c>
      <c r="H2774">
        <v>34</v>
      </c>
      <c r="I2774">
        <f>ROUND(CompilDonnées[[#This Row],[CultureDuration_days]]/7,0)</f>
        <v>5</v>
      </c>
      <c r="J2774">
        <v>2613</v>
      </c>
      <c r="K2774" t="str">
        <f>_xlfn.CONCAT(WEEKNUM(CompilDonnées[[#This Row],[PlantationDate]]), " ", YEAR(CompilDonnées[[#This Row],[PlantationDate]]))</f>
        <v>20 2025</v>
      </c>
      <c r="L2774" t="str">
        <f>CONCATENATE(MONTH(CompilDonnées[[#This Row],[PlantationDate]])," ", YEAR(CompilDonnées[[#This Row],[PlantationDate]]))</f>
        <v>5 2025</v>
      </c>
      <c r="M2774" t="str">
        <f>CONCATENATE(MONTH(CompilDonnées[[#This Row],[HarvestingDate]])," ", YEAR(CompilDonnées[[#This Row],[HarvestingDate]]))</f>
        <v>6 2025</v>
      </c>
      <c r="N2774">
        <f>_xlfn.NUMBERVALUE(CompilDonnées[[#This Row],[FarmID]]&amp;CompilDonnées[[#This Row],[ModuleNumber]]&amp;CompilDonnées[[#This Row],[PlantationDate]])</f>
        <v>56545792</v>
      </c>
      <c r="O2774" t="str">
        <f>CompilDonnées[[#This Row],[FarmID]]&amp;CompilDonnées[[#This Row],[ModuleNumber]]</f>
        <v>565</v>
      </c>
      <c r="P2774" t="str">
        <f>CompilDonnées[[#This Row],[Ref_Module]]&amp;CompilDonnées[[#This Row],[HarvestingDate]]</f>
        <v>56545826</v>
      </c>
    </row>
    <row r="2775" spans="1:16">
      <c r="A2775" s="5">
        <v>45792</v>
      </c>
      <c r="B2775">
        <v>56</v>
      </c>
      <c r="C2775" t="s">
        <v>6</v>
      </c>
      <c r="D2775">
        <v>6</v>
      </c>
      <c r="E2775">
        <v>100</v>
      </c>
      <c r="F2775" t="s">
        <v>1</v>
      </c>
      <c r="G2775" s="6">
        <v>45826</v>
      </c>
      <c r="H2775">
        <v>34</v>
      </c>
      <c r="I2775">
        <f>ROUND(CompilDonnées[[#This Row],[CultureDuration_days]]/7,0)</f>
        <v>5</v>
      </c>
      <c r="J2775">
        <v>2625</v>
      </c>
      <c r="K2775" t="str">
        <f>_xlfn.CONCAT(WEEKNUM(CompilDonnées[[#This Row],[PlantationDate]]), " ", YEAR(CompilDonnées[[#This Row],[PlantationDate]]))</f>
        <v>20 2025</v>
      </c>
      <c r="L2775" t="str">
        <f>CONCATENATE(MONTH(CompilDonnées[[#This Row],[PlantationDate]])," ", YEAR(CompilDonnées[[#This Row],[PlantationDate]]))</f>
        <v>5 2025</v>
      </c>
      <c r="M2775" t="str">
        <f>CONCATENATE(MONTH(CompilDonnées[[#This Row],[HarvestingDate]])," ", YEAR(CompilDonnées[[#This Row],[HarvestingDate]]))</f>
        <v>6 2025</v>
      </c>
      <c r="N2775">
        <f>_xlfn.NUMBERVALUE(CompilDonnées[[#This Row],[FarmID]]&amp;CompilDonnées[[#This Row],[ModuleNumber]]&amp;CompilDonnées[[#This Row],[PlantationDate]])</f>
        <v>56645792</v>
      </c>
      <c r="O2775" t="str">
        <f>CompilDonnées[[#This Row],[FarmID]]&amp;CompilDonnées[[#This Row],[ModuleNumber]]</f>
        <v>566</v>
      </c>
      <c r="P2775" t="str">
        <f>CompilDonnées[[#This Row],[Ref_Module]]&amp;CompilDonnées[[#This Row],[HarvestingDate]]</f>
        <v>56645826</v>
      </c>
    </row>
    <row r="2776" spans="1:16">
      <c r="A2776" s="5">
        <v>45792</v>
      </c>
      <c r="B2776">
        <v>80</v>
      </c>
      <c r="C2776" t="s">
        <v>29</v>
      </c>
      <c r="D2776">
        <v>5</v>
      </c>
      <c r="E2776">
        <v>100</v>
      </c>
      <c r="F2776" t="s">
        <v>1</v>
      </c>
      <c r="G2776" s="6">
        <v>45826</v>
      </c>
      <c r="H2776">
        <v>34</v>
      </c>
      <c r="I2776">
        <f>ROUND(CompilDonnées[[#This Row],[CultureDuration_days]]/7,0)</f>
        <v>5</v>
      </c>
      <c r="J2776">
        <v>3019</v>
      </c>
      <c r="K2776" t="str">
        <f>_xlfn.CONCAT(WEEKNUM(CompilDonnées[[#This Row],[PlantationDate]]), " ", YEAR(CompilDonnées[[#This Row],[PlantationDate]]))</f>
        <v>20 2025</v>
      </c>
      <c r="L2776" t="str">
        <f>CONCATENATE(MONTH(CompilDonnées[[#This Row],[PlantationDate]])," ", YEAR(CompilDonnées[[#This Row],[PlantationDate]]))</f>
        <v>5 2025</v>
      </c>
      <c r="M2776" t="str">
        <f>CONCATENATE(MONTH(CompilDonnées[[#This Row],[HarvestingDate]])," ", YEAR(CompilDonnées[[#This Row],[HarvestingDate]]))</f>
        <v>6 2025</v>
      </c>
      <c r="N2776">
        <f>_xlfn.NUMBERVALUE(CompilDonnées[[#This Row],[FarmID]]&amp;CompilDonnées[[#This Row],[ModuleNumber]]&amp;CompilDonnées[[#This Row],[PlantationDate]])</f>
        <v>80545792</v>
      </c>
      <c r="O2776" t="str">
        <f>CompilDonnées[[#This Row],[FarmID]]&amp;CompilDonnées[[#This Row],[ModuleNumber]]</f>
        <v>805</v>
      </c>
      <c r="P2776" t="str">
        <f>CompilDonnées[[#This Row],[Ref_Module]]&amp;CompilDonnées[[#This Row],[HarvestingDate]]</f>
        <v>80545826</v>
      </c>
    </row>
    <row r="2777" spans="1:16">
      <c r="A2777" s="5">
        <v>45792</v>
      </c>
      <c r="B2777">
        <v>83</v>
      </c>
      <c r="C2777" t="s">
        <v>73</v>
      </c>
      <c r="D2777">
        <v>3</v>
      </c>
      <c r="E2777">
        <v>100</v>
      </c>
      <c r="F2777" t="s">
        <v>1</v>
      </c>
      <c r="G2777" s="6">
        <v>45827</v>
      </c>
      <c r="H2777">
        <v>35</v>
      </c>
      <c r="I2777">
        <f>ROUND(CompilDonnées[[#This Row],[CultureDuration_days]]/7,0)</f>
        <v>5</v>
      </c>
      <c r="J2777">
        <v>3045</v>
      </c>
      <c r="K2777" t="str">
        <f>_xlfn.CONCAT(WEEKNUM(CompilDonnées[[#This Row],[PlantationDate]]), " ", YEAR(CompilDonnées[[#This Row],[PlantationDate]]))</f>
        <v>20 2025</v>
      </c>
      <c r="L2777" t="str">
        <f>CONCATENATE(MONTH(CompilDonnées[[#This Row],[PlantationDate]])," ", YEAR(CompilDonnées[[#This Row],[PlantationDate]]))</f>
        <v>5 2025</v>
      </c>
      <c r="M2777" t="str">
        <f>CONCATENATE(MONTH(CompilDonnées[[#This Row],[HarvestingDate]])," ", YEAR(CompilDonnées[[#This Row],[HarvestingDate]]))</f>
        <v>6 2025</v>
      </c>
      <c r="N2777">
        <f>_xlfn.NUMBERVALUE(CompilDonnées[[#This Row],[FarmID]]&amp;CompilDonnées[[#This Row],[ModuleNumber]]&amp;CompilDonnées[[#This Row],[PlantationDate]])</f>
        <v>83345792</v>
      </c>
      <c r="O2777" t="str">
        <f>CompilDonnées[[#This Row],[FarmID]]&amp;CompilDonnées[[#This Row],[ModuleNumber]]</f>
        <v>833</v>
      </c>
      <c r="P2777" t="str">
        <f>CompilDonnées[[#This Row],[Ref_Module]]&amp;CompilDonnées[[#This Row],[HarvestingDate]]</f>
        <v>83345827</v>
      </c>
    </row>
    <row r="2778" spans="1:16">
      <c r="A2778" s="5">
        <v>45792</v>
      </c>
      <c r="B2778">
        <v>87</v>
      </c>
      <c r="C2778" t="s">
        <v>38</v>
      </c>
      <c r="D2778">
        <v>1</v>
      </c>
      <c r="E2778">
        <v>100</v>
      </c>
      <c r="F2778" t="s">
        <v>1</v>
      </c>
      <c r="G2778" s="6">
        <v>45843</v>
      </c>
      <c r="H2778">
        <v>51</v>
      </c>
      <c r="I2778">
        <f>ROUND(CompilDonnées[[#This Row],[CultureDuration_days]]/7,0)</f>
        <v>7</v>
      </c>
      <c r="J2778">
        <v>2188</v>
      </c>
      <c r="K2778" t="str">
        <f>_xlfn.CONCAT(WEEKNUM(CompilDonnées[[#This Row],[PlantationDate]]), " ", YEAR(CompilDonnées[[#This Row],[PlantationDate]]))</f>
        <v>20 2025</v>
      </c>
      <c r="L2778" t="str">
        <f>CONCATENATE(MONTH(CompilDonnées[[#This Row],[PlantationDate]])," ", YEAR(CompilDonnées[[#This Row],[PlantationDate]]))</f>
        <v>5 2025</v>
      </c>
      <c r="M2778" t="str">
        <f>CONCATENATE(MONTH(CompilDonnées[[#This Row],[HarvestingDate]])," ", YEAR(CompilDonnées[[#This Row],[HarvestingDate]]))</f>
        <v>7 2025</v>
      </c>
      <c r="N2778">
        <f>_xlfn.NUMBERVALUE(CompilDonnées[[#This Row],[FarmID]]&amp;CompilDonnées[[#This Row],[ModuleNumber]]&amp;CompilDonnées[[#This Row],[PlantationDate]])</f>
        <v>87145792</v>
      </c>
      <c r="O2778" t="str">
        <f>CompilDonnées[[#This Row],[FarmID]]&amp;CompilDonnées[[#This Row],[ModuleNumber]]</f>
        <v>871</v>
      </c>
      <c r="P2778" t="str">
        <f>CompilDonnées[[#This Row],[Ref_Module]]&amp;CompilDonnées[[#This Row],[HarvestingDate]]</f>
        <v>87145843</v>
      </c>
    </row>
    <row r="2779" spans="1:16">
      <c r="A2779" s="5">
        <v>45792</v>
      </c>
      <c r="B2779">
        <v>88</v>
      </c>
      <c r="C2779" t="s">
        <v>94</v>
      </c>
      <c r="D2779">
        <v>5</v>
      </c>
      <c r="E2779">
        <v>100</v>
      </c>
      <c r="F2779" t="s">
        <v>1</v>
      </c>
      <c r="G2779" s="6">
        <v>45827</v>
      </c>
      <c r="H2779">
        <v>35</v>
      </c>
      <c r="I2779">
        <f>ROUND(CompilDonnées[[#This Row],[CultureDuration_days]]/7,0)</f>
        <v>5</v>
      </c>
      <c r="J2779">
        <v>3058</v>
      </c>
      <c r="K2779" t="str">
        <f>_xlfn.CONCAT(WEEKNUM(CompilDonnées[[#This Row],[PlantationDate]]), " ", YEAR(CompilDonnées[[#This Row],[PlantationDate]]))</f>
        <v>20 2025</v>
      </c>
      <c r="L2779" t="str">
        <f>CONCATENATE(MONTH(CompilDonnées[[#This Row],[PlantationDate]])," ", YEAR(CompilDonnées[[#This Row],[PlantationDate]]))</f>
        <v>5 2025</v>
      </c>
      <c r="M2779" t="str">
        <f>CONCATENATE(MONTH(CompilDonnées[[#This Row],[HarvestingDate]])," ", YEAR(CompilDonnées[[#This Row],[HarvestingDate]]))</f>
        <v>6 2025</v>
      </c>
      <c r="N2779">
        <f>_xlfn.NUMBERVALUE(CompilDonnées[[#This Row],[FarmID]]&amp;CompilDonnées[[#This Row],[ModuleNumber]]&amp;CompilDonnées[[#This Row],[PlantationDate]])</f>
        <v>88545792</v>
      </c>
      <c r="O2779" t="str">
        <f>CompilDonnées[[#This Row],[FarmID]]&amp;CompilDonnées[[#This Row],[ModuleNumber]]</f>
        <v>885</v>
      </c>
      <c r="P2779" t="str">
        <f>CompilDonnées[[#This Row],[Ref_Module]]&amp;CompilDonnées[[#This Row],[HarvestingDate]]</f>
        <v>88545827</v>
      </c>
    </row>
    <row r="2780" spans="1:16">
      <c r="A2780" s="5">
        <v>45792</v>
      </c>
      <c r="B2780">
        <v>90</v>
      </c>
      <c r="C2780" t="s">
        <v>72</v>
      </c>
      <c r="D2780">
        <v>4</v>
      </c>
      <c r="E2780">
        <v>100</v>
      </c>
      <c r="F2780" t="s">
        <v>1</v>
      </c>
      <c r="G2780" s="6">
        <v>45827</v>
      </c>
      <c r="H2780">
        <v>35</v>
      </c>
      <c r="I2780">
        <f>ROUND(CompilDonnées[[#This Row],[CultureDuration_days]]/7,0)</f>
        <v>5</v>
      </c>
      <c r="J2780">
        <v>2393</v>
      </c>
      <c r="K2780" t="str">
        <f>_xlfn.CONCAT(WEEKNUM(CompilDonnées[[#This Row],[PlantationDate]]), " ", YEAR(CompilDonnées[[#This Row],[PlantationDate]]))</f>
        <v>20 2025</v>
      </c>
      <c r="L2780" t="str">
        <f>CONCATENATE(MONTH(CompilDonnées[[#This Row],[PlantationDate]])," ", YEAR(CompilDonnées[[#This Row],[PlantationDate]]))</f>
        <v>5 2025</v>
      </c>
      <c r="M2780" t="str">
        <f>CONCATENATE(MONTH(CompilDonnées[[#This Row],[HarvestingDate]])," ", YEAR(CompilDonnées[[#This Row],[HarvestingDate]]))</f>
        <v>6 2025</v>
      </c>
      <c r="N2780">
        <f>_xlfn.NUMBERVALUE(CompilDonnées[[#This Row],[FarmID]]&amp;CompilDonnées[[#This Row],[ModuleNumber]]&amp;CompilDonnées[[#This Row],[PlantationDate]])</f>
        <v>90445792</v>
      </c>
      <c r="O2780" t="str">
        <f>CompilDonnées[[#This Row],[FarmID]]&amp;CompilDonnées[[#This Row],[ModuleNumber]]</f>
        <v>904</v>
      </c>
      <c r="P2780" t="str">
        <f>CompilDonnées[[#This Row],[Ref_Module]]&amp;CompilDonnées[[#This Row],[HarvestingDate]]</f>
        <v>90445827</v>
      </c>
    </row>
    <row r="2781" spans="1:16">
      <c r="A2781" s="5">
        <v>45792</v>
      </c>
      <c r="B2781">
        <v>91</v>
      </c>
      <c r="C2781" t="s">
        <v>9</v>
      </c>
      <c r="D2781">
        <v>4</v>
      </c>
      <c r="E2781">
        <v>100</v>
      </c>
      <c r="F2781" t="s">
        <v>1</v>
      </c>
      <c r="G2781" s="6">
        <v>45827</v>
      </c>
      <c r="H2781">
        <v>35</v>
      </c>
      <c r="I2781">
        <f>ROUND(CompilDonnées[[#This Row],[CultureDuration_days]]/7,0)</f>
        <v>5</v>
      </c>
      <c r="J2781">
        <v>2539</v>
      </c>
      <c r="K2781" t="str">
        <f>_xlfn.CONCAT(WEEKNUM(CompilDonnées[[#This Row],[PlantationDate]]), " ", YEAR(CompilDonnées[[#This Row],[PlantationDate]]))</f>
        <v>20 2025</v>
      </c>
      <c r="L2781" t="str">
        <f>CONCATENATE(MONTH(CompilDonnées[[#This Row],[PlantationDate]])," ", YEAR(CompilDonnées[[#This Row],[PlantationDate]]))</f>
        <v>5 2025</v>
      </c>
      <c r="M2781" t="str">
        <f>CONCATENATE(MONTH(CompilDonnées[[#This Row],[HarvestingDate]])," ", YEAR(CompilDonnées[[#This Row],[HarvestingDate]]))</f>
        <v>6 2025</v>
      </c>
      <c r="N2781">
        <f>_xlfn.NUMBERVALUE(CompilDonnées[[#This Row],[FarmID]]&amp;CompilDonnées[[#This Row],[ModuleNumber]]&amp;CompilDonnées[[#This Row],[PlantationDate]])</f>
        <v>91445792</v>
      </c>
      <c r="O2781" t="str">
        <f>CompilDonnées[[#This Row],[FarmID]]&amp;CompilDonnées[[#This Row],[ModuleNumber]]</f>
        <v>914</v>
      </c>
      <c r="P2781" t="str">
        <f>CompilDonnées[[#This Row],[Ref_Module]]&amp;CompilDonnées[[#This Row],[HarvestingDate]]</f>
        <v>91445827</v>
      </c>
    </row>
    <row r="2782" spans="1:16">
      <c r="A2782" s="5">
        <v>45792</v>
      </c>
      <c r="B2782">
        <v>92</v>
      </c>
      <c r="C2782" t="s">
        <v>66</v>
      </c>
      <c r="D2782">
        <v>2</v>
      </c>
      <c r="E2782">
        <v>100</v>
      </c>
      <c r="F2782" t="s">
        <v>1</v>
      </c>
      <c r="G2782" s="6">
        <v>45831</v>
      </c>
      <c r="H2782">
        <v>39</v>
      </c>
      <c r="I2782">
        <f>ROUND(CompilDonnées[[#This Row],[CultureDuration_days]]/7,0)</f>
        <v>6</v>
      </c>
      <c r="J2782">
        <v>3151</v>
      </c>
      <c r="K2782" t="str">
        <f>_xlfn.CONCAT(WEEKNUM(CompilDonnées[[#This Row],[PlantationDate]]), " ", YEAR(CompilDonnées[[#This Row],[PlantationDate]]))</f>
        <v>20 2025</v>
      </c>
      <c r="L2782" t="str">
        <f>CONCATENATE(MONTH(CompilDonnées[[#This Row],[PlantationDate]])," ", YEAR(CompilDonnées[[#This Row],[PlantationDate]]))</f>
        <v>5 2025</v>
      </c>
      <c r="M2782" t="str">
        <f>CONCATENATE(MONTH(CompilDonnées[[#This Row],[HarvestingDate]])," ", YEAR(CompilDonnées[[#This Row],[HarvestingDate]]))</f>
        <v>6 2025</v>
      </c>
      <c r="N2782">
        <f>_xlfn.NUMBERVALUE(CompilDonnées[[#This Row],[FarmID]]&amp;CompilDonnées[[#This Row],[ModuleNumber]]&amp;CompilDonnées[[#This Row],[PlantationDate]])</f>
        <v>92245792</v>
      </c>
      <c r="O2782" t="str">
        <f>CompilDonnées[[#This Row],[FarmID]]&amp;CompilDonnées[[#This Row],[ModuleNumber]]</f>
        <v>922</v>
      </c>
      <c r="P2782" t="str">
        <f>CompilDonnées[[#This Row],[Ref_Module]]&amp;CompilDonnées[[#This Row],[HarvestingDate]]</f>
        <v>92245831</v>
      </c>
    </row>
    <row r="2783" spans="1:16">
      <c r="A2783" s="5">
        <v>45792</v>
      </c>
      <c r="B2783">
        <v>94</v>
      </c>
      <c r="C2783" t="s">
        <v>40</v>
      </c>
      <c r="D2783">
        <v>6</v>
      </c>
      <c r="E2783">
        <v>100</v>
      </c>
      <c r="F2783" t="s">
        <v>1</v>
      </c>
      <c r="G2783" s="6">
        <v>45828</v>
      </c>
      <c r="H2783">
        <v>36</v>
      </c>
      <c r="I2783">
        <f>ROUND(CompilDonnées[[#This Row],[CultureDuration_days]]/7,0)</f>
        <v>5</v>
      </c>
      <c r="J2783">
        <v>3383</v>
      </c>
      <c r="K2783" t="str">
        <f>_xlfn.CONCAT(WEEKNUM(CompilDonnées[[#This Row],[PlantationDate]]), " ", YEAR(CompilDonnées[[#This Row],[PlantationDate]]))</f>
        <v>20 2025</v>
      </c>
      <c r="L2783" t="str">
        <f>CONCATENATE(MONTH(CompilDonnées[[#This Row],[PlantationDate]])," ", YEAR(CompilDonnées[[#This Row],[PlantationDate]]))</f>
        <v>5 2025</v>
      </c>
      <c r="M2783" t="str">
        <f>CONCATENATE(MONTH(CompilDonnées[[#This Row],[HarvestingDate]])," ", YEAR(CompilDonnées[[#This Row],[HarvestingDate]]))</f>
        <v>6 2025</v>
      </c>
      <c r="N2783">
        <f>_xlfn.NUMBERVALUE(CompilDonnées[[#This Row],[FarmID]]&amp;CompilDonnées[[#This Row],[ModuleNumber]]&amp;CompilDonnées[[#This Row],[PlantationDate]])</f>
        <v>94645792</v>
      </c>
      <c r="O2783" t="str">
        <f>CompilDonnées[[#This Row],[FarmID]]&amp;CompilDonnées[[#This Row],[ModuleNumber]]</f>
        <v>946</v>
      </c>
      <c r="P2783" t="str">
        <f>CompilDonnées[[#This Row],[Ref_Module]]&amp;CompilDonnées[[#This Row],[HarvestingDate]]</f>
        <v>94645828</v>
      </c>
    </row>
    <row r="2784" spans="1:16">
      <c r="A2784" s="5">
        <v>45792</v>
      </c>
      <c r="B2784">
        <v>95</v>
      </c>
      <c r="C2784" t="s">
        <v>90</v>
      </c>
      <c r="D2784">
        <v>2</v>
      </c>
      <c r="E2784">
        <v>100</v>
      </c>
      <c r="F2784" t="s">
        <v>1</v>
      </c>
      <c r="G2784" s="6">
        <v>45832</v>
      </c>
      <c r="H2784">
        <v>40</v>
      </c>
      <c r="I2784">
        <f>ROUND(CompilDonnées[[#This Row],[CultureDuration_days]]/7,0)</f>
        <v>6</v>
      </c>
      <c r="J2784">
        <v>3044</v>
      </c>
      <c r="K2784" t="str">
        <f>_xlfn.CONCAT(WEEKNUM(CompilDonnées[[#This Row],[PlantationDate]]), " ", YEAR(CompilDonnées[[#This Row],[PlantationDate]]))</f>
        <v>20 2025</v>
      </c>
      <c r="L2784" t="str">
        <f>CONCATENATE(MONTH(CompilDonnées[[#This Row],[PlantationDate]])," ", YEAR(CompilDonnées[[#This Row],[PlantationDate]]))</f>
        <v>5 2025</v>
      </c>
      <c r="M2784" t="str">
        <f>CONCATENATE(MONTH(CompilDonnées[[#This Row],[HarvestingDate]])," ", YEAR(CompilDonnées[[#This Row],[HarvestingDate]]))</f>
        <v>6 2025</v>
      </c>
      <c r="N2784">
        <f>_xlfn.NUMBERVALUE(CompilDonnées[[#This Row],[FarmID]]&amp;CompilDonnées[[#This Row],[ModuleNumber]]&amp;CompilDonnées[[#This Row],[PlantationDate]])</f>
        <v>95245792</v>
      </c>
      <c r="O2784" t="str">
        <f>CompilDonnées[[#This Row],[FarmID]]&amp;CompilDonnées[[#This Row],[ModuleNumber]]</f>
        <v>952</v>
      </c>
      <c r="P2784" t="str">
        <f>CompilDonnées[[#This Row],[Ref_Module]]&amp;CompilDonnées[[#This Row],[HarvestingDate]]</f>
        <v>95245832</v>
      </c>
    </row>
    <row r="2785" spans="1:16">
      <c r="A2785" s="5">
        <v>45792</v>
      </c>
      <c r="B2785">
        <v>97</v>
      </c>
      <c r="C2785" t="s">
        <v>78</v>
      </c>
      <c r="D2785">
        <v>2</v>
      </c>
      <c r="E2785">
        <v>100</v>
      </c>
      <c r="F2785" t="s">
        <v>1</v>
      </c>
      <c r="G2785" s="6">
        <v>45832</v>
      </c>
      <c r="H2785">
        <v>40</v>
      </c>
      <c r="I2785">
        <f>ROUND(CompilDonnées[[#This Row],[CultureDuration_days]]/7,0)</f>
        <v>6</v>
      </c>
      <c r="J2785">
        <v>3138</v>
      </c>
      <c r="K2785" t="str">
        <f>_xlfn.CONCAT(WEEKNUM(CompilDonnées[[#This Row],[PlantationDate]]), " ", YEAR(CompilDonnées[[#This Row],[PlantationDate]]))</f>
        <v>20 2025</v>
      </c>
      <c r="L2785" t="str">
        <f>CONCATENATE(MONTH(CompilDonnées[[#This Row],[PlantationDate]])," ", YEAR(CompilDonnées[[#This Row],[PlantationDate]]))</f>
        <v>5 2025</v>
      </c>
      <c r="M2785" t="str">
        <f>CONCATENATE(MONTH(CompilDonnées[[#This Row],[HarvestingDate]])," ", YEAR(CompilDonnées[[#This Row],[HarvestingDate]]))</f>
        <v>6 2025</v>
      </c>
      <c r="N2785">
        <f>_xlfn.NUMBERVALUE(CompilDonnées[[#This Row],[FarmID]]&amp;CompilDonnées[[#This Row],[ModuleNumber]]&amp;CompilDonnées[[#This Row],[PlantationDate]])</f>
        <v>97245792</v>
      </c>
      <c r="O2785" t="str">
        <f>CompilDonnées[[#This Row],[FarmID]]&amp;CompilDonnées[[#This Row],[ModuleNumber]]</f>
        <v>972</v>
      </c>
      <c r="P2785" t="str">
        <f>CompilDonnées[[#This Row],[Ref_Module]]&amp;CompilDonnées[[#This Row],[HarvestingDate]]</f>
        <v>97245832</v>
      </c>
    </row>
    <row r="2786" spans="1:16">
      <c r="A2786" s="5">
        <v>45792</v>
      </c>
      <c r="B2786">
        <v>98</v>
      </c>
      <c r="C2786" t="s">
        <v>79</v>
      </c>
      <c r="D2786">
        <v>1</v>
      </c>
      <c r="E2786">
        <v>100</v>
      </c>
      <c r="F2786" t="s">
        <v>1</v>
      </c>
      <c r="G2786" s="6">
        <v>45827</v>
      </c>
      <c r="H2786">
        <v>35</v>
      </c>
      <c r="I2786">
        <f>ROUND(CompilDonnées[[#This Row],[CultureDuration_days]]/7,0)</f>
        <v>5</v>
      </c>
      <c r="J2786">
        <v>2729</v>
      </c>
      <c r="K2786" t="str">
        <f>_xlfn.CONCAT(WEEKNUM(CompilDonnées[[#This Row],[PlantationDate]]), " ", YEAR(CompilDonnées[[#This Row],[PlantationDate]]))</f>
        <v>20 2025</v>
      </c>
      <c r="L2786" t="str">
        <f>CONCATENATE(MONTH(CompilDonnées[[#This Row],[PlantationDate]])," ", YEAR(CompilDonnées[[#This Row],[PlantationDate]]))</f>
        <v>5 2025</v>
      </c>
      <c r="M2786" t="str">
        <f>CONCATENATE(MONTH(CompilDonnées[[#This Row],[HarvestingDate]])," ", YEAR(CompilDonnées[[#This Row],[HarvestingDate]]))</f>
        <v>6 2025</v>
      </c>
      <c r="N2786">
        <f>_xlfn.NUMBERVALUE(CompilDonnées[[#This Row],[FarmID]]&amp;CompilDonnées[[#This Row],[ModuleNumber]]&amp;CompilDonnées[[#This Row],[PlantationDate]])</f>
        <v>98145792</v>
      </c>
      <c r="O2786" t="str">
        <f>CompilDonnées[[#This Row],[FarmID]]&amp;CompilDonnées[[#This Row],[ModuleNumber]]</f>
        <v>981</v>
      </c>
      <c r="P2786" t="str">
        <f>CompilDonnées[[#This Row],[Ref_Module]]&amp;CompilDonnées[[#This Row],[HarvestingDate]]</f>
        <v>98145827</v>
      </c>
    </row>
    <row r="2787" spans="1:16">
      <c r="A2787" s="5">
        <v>45792</v>
      </c>
      <c r="B2787">
        <v>99</v>
      </c>
      <c r="C2787" t="s">
        <v>117</v>
      </c>
      <c r="D2787">
        <v>2</v>
      </c>
      <c r="E2787">
        <v>100</v>
      </c>
      <c r="F2787" t="s">
        <v>1</v>
      </c>
      <c r="G2787" s="6">
        <v>45839</v>
      </c>
      <c r="H2787">
        <v>47</v>
      </c>
      <c r="I2787">
        <f>ROUND(CompilDonnées[[#This Row],[CultureDuration_days]]/7,0)</f>
        <v>7</v>
      </c>
      <c r="J2787">
        <v>3200</v>
      </c>
      <c r="K2787" t="str">
        <f>_xlfn.CONCAT(WEEKNUM(CompilDonnées[[#This Row],[PlantationDate]]), " ", YEAR(CompilDonnées[[#This Row],[PlantationDate]]))</f>
        <v>20 2025</v>
      </c>
      <c r="L2787" t="str">
        <f>CONCATENATE(MONTH(CompilDonnées[[#This Row],[PlantationDate]])," ", YEAR(CompilDonnées[[#This Row],[PlantationDate]]))</f>
        <v>5 2025</v>
      </c>
      <c r="M2787" t="str">
        <f>CONCATENATE(MONTH(CompilDonnées[[#This Row],[HarvestingDate]])," ", YEAR(CompilDonnées[[#This Row],[HarvestingDate]]))</f>
        <v>7 2025</v>
      </c>
      <c r="N2787">
        <f>_xlfn.NUMBERVALUE(CompilDonnées[[#This Row],[FarmID]]&amp;CompilDonnées[[#This Row],[ModuleNumber]]&amp;CompilDonnées[[#This Row],[PlantationDate]])</f>
        <v>99245792</v>
      </c>
      <c r="O2787" t="str">
        <f>CompilDonnées[[#This Row],[FarmID]]&amp;CompilDonnées[[#This Row],[ModuleNumber]]</f>
        <v>992</v>
      </c>
      <c r="P2787" t="str">
        <f>CompilDonnées[[#This Row],[Ref_Module]]&amp;CompilDonnées[[#This Row],[HarvestingDate]]</f>
        <v>99245839</v>
      </c>
    </row>
    <row r="2788" spans="1:16">
      <c r="A2788" s="5">
        <v>45792</v>
      </c>
      <c r="B2788">
        <v>100</v>
      </c>
      <c r="C2788" t="s">
        <v>84</v>
      </c>
      <c r="D2788">
        <v>1</v>
      </c>
      <c r="E2788">
        <v>100</v>
      </c>
      <c r="F2788" t="s">
        <v>1</v>
      </c>
      <c r="G2788" s="6">
        <v>45842</v>
      </c>
      <c r="H2788">
        <v>50</v>
      </c>
      <c r="I2788">
        <f>ROUND(CompilDonnées[[#This Row],[CultureDuration_days]]/7,0)</f>
        <v>7</v>
      </c>
      <c r="J2788">
        <v>2873</v>
      </c>
      <c r="K2788" t="str">
        <f>_xlfn.CONCAT(WEEKNUM(CompilDonnées[[#This Row],[PlantationDate]]), " ", YEAR(CompilDonnées[[#This Row],[PlantationDate]]))</f>
        <v>20 2025</v>
      </c>
      <c r="L2788" t="str">
        <f>CONCATENATE(MONTH(CompilDonnées[[#This Row],[PlantationDate]])," ", YEAR(CompilDonnées[[#This Row],[PlantationDate]]))</f>
        <v>5 2025</v>
      </c>
      <c r="M2788" t="str">
        <f>CONCATENATE(MONTH(CompilDonnées[[#This Row],[HarvestingDate]])," ", YEAR(CompilDonnées[[#This Row],[HarvestingDate]]))</f>
        <v>7 2025</v>
      </c>
      <c r="N2788">
        <f>_xlfn.NUMBERVALUE(CompilDonnées[[#This Row],[FarmID]]&amp;CompilDonnées[[#This Row],[ModuleNumber]]&amp;CompilDonnées[[#This Row],[PlantationDate]])</f>
        <v>100145792</v>
      </c>
      <c r="O2788" t="str">
        <f>CompilDonnées[[#This Row],[FarmID]]&amp;CompilDonnées[[#This Row],[ModuleNumber]]</f>
        <v>1001</v>
      </c>
      <c r="P2788" t="str">
        <f>CompilDonnées[[#This Row],[Ref_Module]]&amp;CompilDonnées[[#This Row],[HarvestingDate]]</f>
        <v>100145842</v>
      </c>
    </row>
    <row r="2789" spans="1:16">
      <c r="A2789" s="5">
        <v>45792</v>
      </c>
      <c r="B2789">
        <v>102</v>
      </c>
      <c r="C2789" t="s">
        <v>85</v>
      </c>
      <c r="D2789">
        <v>1</v>
      </c>
      <c r="E2789">
        <v>100</v>
      </c>
      <c r="F2789" t="s">
        <v>1</v>
      </c>
      <c r="G2789" s="6">
        <v>45838</v>
      </c>
      <c r="H2789">
        <v>46</v>
      </c>
      <c r="I2789">
        <f>ROUND(CompilDonnées[[#This Row],[CultureDuration_days]]/7,0)</f>
        <v>7</v>
      </c>
      <c r="J2789">
        <v>2081</v>
      </c>
      <c r="K2789" t="str">
        <f>_xlfn.CONCAT(WEEKNUM(CompilDonnées[[#This Row],[PlantationDate]]), " ", YEAR(CompilDonnées[[#This Row],[PlantationDate]]))</f>
        <v>20 2025</v>
      </c>
      <c r="L2789" t="str">
        <f>CONCATENATE(MONTH(CompilDonnées[[#This Row],[PlantationDate]])," ", YEAR(CompilDonnées[[#This Row],[PlantationDate]]))</f>
        <v>5 2025</v>
      </c>
      <c r="M2789" t="str">
        <f>CONCATENATE(MONTH(CompilDonnées[[#This Row],[HarvestingDate]])," ", YEAR(CompilDonnées[[#This Row],[HarvestingDate]]))</f>
        <v>6 2025</v>
      </c>
      <c r="N2789">
        <f>_xlfn.NUMBERVALUE(CompilDonnées[[#This Row],[FarmID]]&amp;CompilDonnées[[#This Row],[ModuleNumber]]&amp;CompilDonnées[[#This Row],[PlantationDate]])</f>
        <v>102145792</v>
      </c>
      <c r="O2789" t="str">
        <f>CompilDonnées[[#This Row],[FarmID]]&amp;CompilDonnées[[#This Row],[ModuleNumber]]</f>
        <v>1021</v>
      </c>
      <c r="P2789" t="str">
        <f>CompilDonnées[[#This Row],[Ref_Module]]&amp;CompilDonnées[[#This Row],[HarvestingDate]]</f>
        <v>102145838</v>
      </c>
    </row>
    <row r="2790" spans="1:16">
      <c r="A2790" s="5">
        <v>45792</v>
      </c>
      <c r="B2790">
        <v>103</v>
      </c>
      <c r="C2790" t="s">
        <v>86</v>
      </c>
      <c r="D2790">
        <v>4</v>
      </c>
      <c r="E2790">
        <v>100</v>
      </c>
      <c r="F2790" t="s">
        <v>1</v>
      </c>
      <c r="G2790" s="6">
        <v>45838</v>
      </c>
      <c r="H2790">
        <v>46</v>
      </c>
      <c r="I2790">
        <f>ROUND(CompilDonnées[[#This Row],[CultureDuration_days]]/7,0)</f>
        <v>7</v>
      </c>
      <c r="J2790">
        <v>2291</v>
      </c>
      <c r="K2790" t="str">
        <f>_xlfn.CONCAT(WEEKNUM(CompilDonnées[[#This Row],[PlantationDate]]), " ", YEAR(CompilDonnées[[#This Row],[PlantationDate]]))</f>
        <v>20 2025</v>
      </c>
      <c r="L2790" t="str">
        <f>CONCATENATE(MONTH(CompilDonnées[[#This Row],[PlantationDate]])," ", YEAR(CompilDonnées[[#This Row],[PlantationDate]]))</f>
        <v>5 2025</v>
      </c>
      <c r="M2790" t="str">
        <f>CONCATENATE(MONTH(CompilDonnées[[#This Row],[HarvestingDate]])," ", YEAR(CompilDonnées[[#This Row],[HarvestingDate]]))</f>
        <v>6 2025</v>
      </c>
      <c r="N2790">
        <f>_xlfn.NUMBERVALUE(CompilDonnées[[#This Row],[FarmID]]&amp;CompilDonnées[[#This Row],[ModuleNumber]]&amp;CompilDonnées[[#This Row],[PlantationDate]])</f>
        <v>103445792</v>
      </c>
      <c r="O2790" t="str">
        <f>CompilDonnées[[#This Row],[FarmID]]&amp;CompilDonnées[[#This Row],[ModuleNumber]]</f>
        <v>1034</v>
      </c>
      <c r="P2790" t="str">
        <f>CompilDonnées[[#This Row],[Ref_Module]]&amp;CompilDonnées[[#This Row],[HarvestingDate]]</f>
        <v>103445838</v>
      </c>
    </row>
    <row r="2791" spans="1:16">
      <c r="A2791" s="5">
        <v>45792</v>
      </c>
      <c r="B2791">
        <v>104</v>
      </c>
      <c r="C2791" t="s">
        <v>91</v>
      </c>
      <c r="D2791">
        <v>3</v>
      </c>
      <c r="E2791">
        <v>100</v>
      </c>
      <c r="F2791" t="s">
        <v>1</v>
      </c>
      <c r="G2791" s="6">
        <v>45848</v>
      </c>
      <c r="H2791">
        <v>56</v>
      </c>
      <c r="I2791">
        <f>ROUND(CompilDonnées[[#This Row],[CultureDuration_days]]/7,0)</f>
        <v>8</v>
      </c>
      <c r="J2791">
        <v>2931</v>
      </c>
      <c r="K2791" t="str">
        <f>_xlfn.CONCAT(WEEKNUM(CompilDonnées[[#This Row],[PlantationDate]]), " ", YEAR(CompilDonnées[[#This Row],[PlantationDate]]))</f>
        <v>20 2025</v>
      </c>
      <c r="L2791" t="str">
        <f>CONCATENATE(MONTH(CompilDonnées[[#This Row],[PlantationDate]])," ", YEAR(CompilDonnées[[#This Row],[PlantationDate]]))</f>
        <v>5 2025</v>
      </c>
      <c r="M2791" t="str">
        <f>CONCATENATE(MONTH(CompilDonnées[[#This Row],[HarvestingDate]])," ", YEAR(CompilDonnées[[#This Row],[HarvestingDate]]))</f>
        <v>7 2025</v>
      </c>
      <c r="N2791">
        <f>_xlfn.NUMBERVALUE(CompilDonnées[[#This Row],[FarmID]]&amp;CompilDonnées[[#This Row],[ModuleNumber]]&amp;CompilDonnées[[#This Row],[PlantationDate]])</f>
        <v>104345792</v>
      </c>
      <c r="O2791" t="str">
        <f>CompilDonnées[[#This Row],[FarmID]]&amp;CompilDonnées[[#This Row],[ModuleNumber]]</f>
        <v>1043</v>
      </c>
      <c r="P2791" t="str">
        <f>CompilDonnées[[#This Row],[Ref_Module]]&amp;CompilDonnées[[#This Row],[HarvestingDate]]</f>
        <v>104345848</v>
      </c>
    </row>
    <row r="2792" spans="1:16">
      <c r="A2792" s="5">
        <v>45792</v>
      </c>
      <c r="B2792">
        <v>108</v>
      </c>
      <c r="C2792" t="s">
        <v>58</v>
      </c>
      <c r="D2792">
        <v>4</v>
      </c>
      <c r="E2792">
        <v>100</v>
      </c>
      <c r="F2792" t="s">
        <v>1</v>
      </c>
      <c r="G2792" s="6">
        <v>45828</v>
      </c>
      <c r="H2792">
        <v>36</v>
      </c>
      <c r="I2792">
        <f>ROUND(CompilDonnées[[#This Row],[CultureDuration_days]]/7,0)</f>
        <v>5</v>
      </c>
      <c r="J2792">
        <v>2873</v>
      </c>
      <c r="K2792" t="str">
        <f>_xlfn.CONCAT(WEEKNUM(CompilDonnées[[#This Row],[PlantationDate]]), " ", YEAR(CompilDonnées[[#This Row],[PlantationDate]]))</f>
        <v>20 2025</v>
      </c>
      <c r="L2792" t="str">
        <f>CONCATENATE(MONTH(CompilDonnées[[#This Row],[PlantationDate]])," ", YEAR(CompilDonnées[[#This Row],[PlantationDate]]))</f>
        <v>5 2025</v>
      </c>
      <c r="M2792" t="str">
        <f>CONCATENATE(MONTH(CompilDonnées[[#This Row],[HarvestingDate]])," ", YEAR(CompilDonnées[[#This Row],[HarvestingDate]]))</f>
        <v>6 2025</v>
      </c>
      <c r="N2792">
        <f>_xlfn.NUMBERVALUE(CompilDonnées[[#This Row],[FarmID]]&amp;CompilDonnées[[#This Row],[ModuleNumber]]&amp;CompilDonnées[[#This Row],[PlantationDate]])</f>
        <v>108445792</v>
      </c>
      <c r="O2792" t="str">
        <f>CompilDonnées[[#This Row],[FarmID]]&amp;CompilDonnées[[#This Row],[ModuleNumber]]</f>
        <v>1084</v>
      </c>
      <c r="P2792" t="str">
        <f>CompilDonnées[[#This Row],[Ref_Module]]&amp;CompilDonnées[[#This Row],[HarvestingDate]]</f>
        <v>108445828</v>
      </c>
    </row>
    <row r="2793" spans="1:16">
      <c r="A2793" s="5">
        <v>45792</v>
      </c>
      <c r="B2793">
        <v>109</v>
      </c>
      <c r="C2793" t="s">
        <v>87</v>
      </c>
      <c r="D2793">
        <v>2</v>
      </c>
      <c r="E2793">
        <v>100</v>
      </c>
      <c r="F2793" t="s">
        <v>1</v>
      </c>
      <c r="G2793" s="6">
        <v>45828</v>
      </c>
      <c r="H2793">
        <v>36</v>
      </c>
      <c r="I2793">
        <f>ROUND(CompilDonnées[[#This Row],[CultureDuration_days]]/7,0)</f>
        <v>5</v>
      </c>
      <c r="J2793">
        <v>3191</v>
      </c>
      <c r="K2793" t="str">
        <f>_xlfn.CONCAT(WEEKNUM(CompilDonnées[[#This Row],[PlantationDate]]), " ", YEAR(CompilDonnées[[#This Row],[PlantationDate]]))</f>
        <v>20 2025</v>
      </c>
      <c r="L2793" t="str">
        <f>CONCATENATE(MONTH(CompilDonnées[[#This Row],[PlantationDate]])," ", YEAR(CompilDonnées[[#This Row],[PlantationDate]]))</f>
        <v>5 2025</v>
      </c>
      <c r="M2793" t="str">
        <f>CONCATENATE(MONTH(CompilDonnées[[#This Row],[HarvestingDate]])," ", YEAR(CompilDonnées[[#This Row],[HarvestingDate]]))</f>
        <v>6 2025</v>
      </c>
      <c r="N2793">
        <f>_xlfn.NUMBERVALUE(CompilDonnées[[#This Row],[FarmID]]&amp;CompilDonnées[[#This Row],[ModuleNumber]]&amp;CompilDonnées[[#This Row],[PlantationDate]])</f>
        <v>109245792</v>
      </c>
      <c r="O2793" t="str">
        <f>CompilDonnées[[#This Row],[FarmID]]&amp;CompilDonnées[[#This Row],[ModuleNumber]]</f>
        <v>1092</v>
      </c>
      <c r="P2793" t="str">
        <f>CompilDonnées[[#This Row],[Ref_Module]]&amp;CompilDonnées[[#This Row],[HarvestingDate]]</f>
        <v>109245828</v>
      </c>
    </row>
    <row r="2794" spans="1:16">
      <c r="A2794" s="5">
        <v>45792</v>
      </c>
      <c r="B2794">
        <v>109</v>
      </c>
      <c r="C2794" t="s">
        <v>87</v>
      </c>
      <c r="D2794">
        <v>3</v>
      </c>
      <c r="E2794">
        <v>100</v>
      </c>
      <c r="F2794" t="s">
        <v>1</v>
      </c>
      <c r="G2794" s="6">
        <v>45828</v>
      </c>
      <c r="H2794">
        <v>36</v>
      </c>
      <c r="I2794">
        <f>ROUND(CompilDonnées[[#This Row],[CultureDuration_days]]/7,0)</f>
        <v>5</v>
      </c>
      <c r="J2794">
        <v>3122</v>
      </c>
      <c r="K2794" t="str">
        <f>_xlfn.CONCAT(WEEKNUM(CompilDonnées[[#This Row],[PlantationDate]]), " ", YEAR(CompilDonnées[[#This Row],[PlantationDate]]))</f>
        <v>20 2025</v>
      </c>
      <c r="L2794" t="str">
        <f>CONCATENATE(MONTH(CompilDonnées[[#This Row],[PlantationDate]])," ", YEAR(CompilDonnées[[#This Row],[PlantationDate]]))</f>
        <v>5 2025</v>
      </c>
      <c r="M2794" t="str">
        <f>CONCATENATE(MONTH(CompilDonnées[[#This Row],[HarvestingDate]])," ", YEAR(CompilDonnées[[#This Row],[HarvestingDate]]))</f>
        <v>6 2025</v>
      </c>
      <c r="N2794">
        <f>_xlfn.NUMBERVALUE(CompilDonnées[[#This Row],[FarmID]]&amp;CompilDonnées[[#This Row],[ModuleNumber]]&amp;CompilDonnées[[#This Row],[PlantationDate]])</f>
        <v>109345792</v>
      </c>
      <c r="O2794" t="str">
        <f>CompilDonnées[[#This Row],[FarmID]]&amp;CompilDonnées[[#This Row],[ModuleNumber]]</f>
        <v>1093</v>
      </c>
      <c r="P2794" t="str">
        <f>CompilDonnées[[#This Row],[Ref_Module]]&amp;CompilDonnées[[#This Row],[HarvestingDate]]</f>
        <v>109345828</v>
      </c>
    </row>
    <row r="2795" spans="1:16">
      <c r="A2795" s="5">
        <v>45792</v>
      </c>
      <c r="B2795">
        <v>111</v>
      </c>
      <c r="C2795" t="s">
        <v>41</v>
      </c>
      <c r="D2795">
        <v>2</v>
      </c>
      <c r="E2795">
        <v>100</v>
      </c>
      <c r="F2795" t="s">
        <v>1</v>
      </c>
      <c r="G2795" s="6">
        <v>45828</v>
      </c>
      <c r="H2795">
        <v>36</v>
      </c>
      <c r="I2795">
        <f>ROUND(CompilDonnées[[#This Row],[CultureDuration_days]]/7,0)</f>
        <v>5</v>
      </c>
      <c r="J2795">
        <v>3231</v>
      </c>
      <c r="K2795" t="str">
        <f>_xlfn.CONCAT(WEEKNUM(CompilDonnées[[#This Row],[PlantationDate]]), " ", YEAR(CompilDonnées[[#This Row],[PlantationDate]]))</f>
        <v>20 2025</v>
      </c>
      <c r="L2795" t="str">
        <f>CONCATENATE(MONTH(CompilDonnées[[#This Row],[PlantationDate]])," ", YEAR(CompilDonnées[[#This Row],[PlantationDate]]))</f>
        <v>5 2025</v>
      </c>
      <c r="M2795" t="str">
        <f>CONCATENATE(MONTH(CompilDonnées[[#This Row],[HarvestingDate]])," ", YEAR(CompilDonnées[[#This Row],[HarvestingDate]]))</f>
        <v>6 2025</v>
      </c>
      <c r="N2795">
        <f>_xlfn.NUMBERVALUE(CompilDonnées[[#This Row],[FarmID]]&amp;CompilDonnées[[#This Row],[ModuleNumber]]&amp;CompilDonnées[[#This Row],[PlantationDate]])</f>
        <v>111245792</v>
      </c>
      <c r="O2795" t="str">
        <f>CompilDonnées[[#This Row],[FarmID]]&amp;CompilDonnées[[#This Row],[ModuleNumber]]</f>
        <v>1112</v>
      </c>
      <c r="P2795" t="str">
        <f>CompilDonnées[[#This Row],[Ref_Module]]&amp;CompilDonnées[[#This Row],[HarvestingDate]]</f>
        <v>111245828</v>
      </c>
    </row>
    <row r="2796" spans="1:16">
      <c r="A2796" s="5">
        <v>45792</v>
      </c>
      <c r="B2796">
        <v>113</v>
      </c>
      <c r="C2796" t="s">
        <v>16</v>
      </c>
      <c r="D2796">
        <v>4</v>
      </c>
      <c r="E2796">
        <v>100</v>
      </c>
      <c r="F2796" t="s">
        <v>1</v>
      </c>
      <c r="G2796" s="6">
        <v>45828</v>
      </c>
      <c r="H2796">
        <v>36</v>
      </c>
      <c r="I2796">
        <f>ROUND(CompilDonnées[[#This Row],[CultureDuration_days]]/7,0)</f>
        <v>5</v>
      </c>
      <c r="J2796">
        <v>2791</v>
      </c>
      <c r="K2796" t="str">
        <f>_xlfn.CONCAT(WEEKNUM(CompilDonnées[[#This Row],[PlantationDate]]), " ", YEAR(CompilDonnées[[#This Row],[PlantationDate]]))</f>
        <v>20 2025</v>
      </c>
      <c r="L2796" t="str">
        <f>CONCATENATE(MONTH(CompilDonnées[[#This Row],[PlantationDate]])," ", YEAR(CompilDonnées[[#This Row],[PlantationDate]]))</f>
        <v>5 2025</v>
      </c>
      <c r="M2796" t="str">
        <f>CONCATENATE(MONTH(CompilDonnées[[#This Row],[HarvestingDate]])," ", YEAR(CompilDonnées[[#This Row],[HarvestingDate]]))</f>
        <v>6 2025</v>
      </c>
      <c r="N2796">
        <f>_xlfn.NUMBERVALUE(CompilDonnées[[#This Row],[FarmID]]&amp;CompilDonnées[[#This Row],[ModuleNumber]]&amp;CompilDonnées[[#This Row],[PlantationDate]])</f>
        <v>113445792</v>
      </c>
      <c r="O2796" t="str">
        <f>CompilDonnées[[#This Row],[FarmID]]&amp;CompilDonnées[[#This Row],[ModuleNumber]]</f>
        <v>1134</v>
      </c>
      <c r="P2796" t="str">
        <f>CompilDonnées[[#This Row],[Ref_Module]]&amp;CompilDonnées[[#This Row],[HarvestingDate]]</f>
        <v>113445828</v>
      </c>
    </row>
    <row r="2797" spans="1:16">
      <c r="A2797" s="5">
        <v>45792</v>
      </c>
      <c r="B2797">
        <v>115</v>
      </c>
      <c r="C2797" t="s">
        <v>121</v>
      </c>
      <c r="D2797">
        <v>6</v>
      </c>
      <c r="E2797">
        <v>100</v>
      </c>
      <c r="F2797" t="s">
        <v>1</v>
      </c>
      <c r="G2797" s="6">
        <v>45831</v>
      </c>
      <c r="H2797">
        <v>39</v>
      </c>
      <c r="I2797">
        <f>ROUND(CompilDonnées[[#This Row],[CultureDuration_days]]/7,0)</f>
        <v>6</v>
      </c>
      <c r="J2797">
        <v>2384</v>
      </c>
      <c r="K2797" t="str">
        <f>_xlfn.CONCAT(WEEKNUM(CompilDonnées[[#This Row],[PlantationDate]]), " ", YEAR(CompilDonnées[[#This Row],[PlantationDate]]))</f>
        <v>20 2025</v>
      </c>
      <c r="L2797" t="str">
        <f>CONCATENATE(MONTH(CompilDonnées[[#This Row],[PlantationDate]])," ", YEAR(CompilDonnées[[#This Row],[PlantationDate]]))</f>
        <v>5 2025</v>
      </c>
      <c r="M2797" t="str">
        <f>CONCATENATE(MONTH(CompilDonnées[[#This Row],[HarvestingDate]])," ", YEAR(CompilDonnées[[#This Row],[HarvestingDate]]))</f>
        <v>6 2025</v>
      </c>
      <c r="N2797">
        <f>_xlfn.NUMBERVALUE(CompilDonnées[[#This Row],[FarmID]]&amp;CompilDonnées[[#This Row],[ModuleNumber]]&amp;CompilDonnées[[#This Row],[PlantationDate]])</f>
        <v>115645792</v>
      </c>
      <c r="O2797" t="str">
        <f>CompilDonnées[[#This Row],[FarmID]]&amp;CompilDonnées[[#This Row],[ModuleNumber]]</f>
        <v>1156</v>
      </c>
      <c r="P2797" t="str">
        <f>CompilDonnées[[#This Row],[Ref_Module]]&amp;CompilDonnées[[#This Row],[HarvestingDate]]</f>
        <v>115645831</v>
      </c>
    </row>
    <row r="2798" spans="1:16">
      <c r="A2798" s="5">
        <v>45792</v>
      </c>
      <c r="B2798">
        <v>116</v>
      </c>
      <c r="C2798" t="s">
        <v>76</v>
      </c>
      <c r="D2798">
        <v>5</v>
      </c>
      <c r="E2798">
        <v>100</v>
      </c>
      <c r="F2798" t="s">
        <v>1</v>
      </c>
      <c r="G2798" s="6">
        <v>45831</v>
      </c>
      <c r="H2798">
        <v>39</v>
      </c>
      <c r="I2798">
        <f>ROUND(CompilDonnées[[#This Row],[CultureDuration_days]]/7,0)</f>
        <v>6</v>
      </c>
      <c r="J2798">
        <v>2532</v>
      </c>
      <c r="K2798" t="str">
        <f>_xlfn.CONCAT(WEEKNUM(CompilDonnées[[#This Row],[PlantationDate]]), " ", YEAR(CompilDonnées[[#This Row],[PlantationDate]]))</f>
        <v>20 2025</v>
      </c>
      <c r="L2798" t="str">
        <f>CONCATENATE(MONTH(CompilDonnées[[#This Row],[PlantationDate]])," ", YEAR(CompilDonnées[[#This Row],[PlantationDate]]))</f>
        <v>5 2025</v>
      </c>
      <c r="M2798" t="str">
        <f>CONCATENATE(MONTH(CompilDonnées[[#This Row],[HarvestingDate]])," ", YEAR(CompilDonnées[[#This Row],[HarvestingDate]]))</f>
        <v>6 2025</v>
      </c>
      <c r="N2798">
        <f>_xlfn.NUMBERVALUE(CompilDonnées[[#This Row],[FarmID]]&amp;CompilDonnées[[#This Row],[ModuleNumber]]&amp;CompilDonnées[[#This Row],[PlantationDate]])</f>
        <v>116545792</v>
      </c>
      <c r="O2798" t="str">
        <f>CompilDonnées[[#This Row],[FarmID]]&amp;CompilDonnées[[#This Row],[ModuleNumber]]</f>
        <v>1165</v>
      </c>
      <c r="P2798" t="str">
        <f>CompilDonnées[[#This Row],[Ref_Module]]&amp;CompilDonnées[[#This Row],[HarvestingDate]]</f>
        <v>116545831</v>
      </c>
    </row>
    <row r="2799" spans="1:16">
      <c r="A2799" s="5">
        <v>45792</v>
      </c>
      <c r="B2799">
        <v>117</v>
      </c>
      <c r="C2799" t="s">
        <v>11</v>
      </c>
      <c r="D2799">
        <v>3</v>
      </c>
      <c r="E2799">
        <v>100</v>
      </c>
      <c r="F2799" t="s">
        <v>1</v>
      </c>
      <c r="G2799" s="6">
        <v>45831</v>
      </c>
      <c r="H2799">
        <v>39</v>
      </c>
      <c r="I2799">
        <f>ROUND(CompilDonnées[[#This Row],[CultureDuration_days]]/7,0)</f>
        <v>6</v>
      </c>
      <c r="J2799">
        <v>2963</v>
      </c>
      <c r="K2799" t="str">
        <f>_xlfn.CONCAT(WEEKNUM(CompilDonnées[[#This Row],[PlantationDate]]), " ", YEAR(CompilDonnées[[#This Row],[PlantationDate]]))</f>
        <v>20 2025</v>
      </c>
      <c r="L2799" t="str">
        <f>CONCATENATE(MONTH(CompilDonnées[[#This Row],[PlantationDate]])," ", YEAR(CompilDonnées[[#This Row],[PlantationDate]]))</f>
        <v>5 2025</v>
      </c>
      <c r="M2799" t="str">
        <f>CONCATENATE(MONTH(CompilDonnées[[#This Row],[HarvestingDate]])," ", YEAR(CompilDonnées[[#This Row],[HarvestingDate]]))</f>
        <v>6 2025</v>
      </c>
      <c r="N2799">
        <f>_xlfn.NUMBERVALUE(CompilDonnées[[#This Row],[FarmID]]&amp;CompilDonnées[[#This Row],[ModuleNumber]]&amp;CompilDonnées[[#This Row],[PlantationDate]])</f>
        <v>117345792</v>
      </c>
      <c r="O2799" t="str">
        <f>CompilDonnées[[#This Row],[FarmID]]&amp;CompilDonnées[[#This Row],[ModuleNumber]]</f>
        <v>1173</v>
      </c>
      <c r="P2799" t="str">
        <f>CompilDonnées[[#This Row],[Ref_Module]]&amp;CompilDonnées[[#This Row],[HarvestingDate]]</f>
        <v>117345831</v>
      </c>
    </row>
    <row r="2800" spans="1:16">
      <c r="A2800" s="5">
        <v>45792</v>
      </c>
      <c r="B2800">
        <v>119</v>
      </c>
      <c r="C2800" t="s">
        <v>59</v>
      </c>
      <c r="D2800">
        <v>6</v>
      </c>
      <c r="E2800">
        <v>100</v>
      </c>
      <c r="F2800" t="s">
        <v>1</v>
      </c>
      <c r="G2800" s="6">
        <v>45828</v>
      </c>
      <c r="H2800">
        <v>36</v>
      </c>
      <c r="I2800">
        <f>ROUND(CompilDonnées[[#This Row],[CultureDuration_days]]/7,0)</f>
        <v>5</v>
      </c>
      <c r="J2800">
        <v>2610</v>
      </c>
      <c r="K2800" t="str">
        <f>_xlfn.CONCAT(WEEKNUM(CompilDonnées[[#This Row],[PlantationDate]]), " ", YEAR(CompilDonnées[[#This Row],[PlantationDate]]))</f>
        <v>20 2025</v>
      </c>
      <c r="L2800" t="str">
        <f>CONCATENATE(MONTH(CompilDonnées[[#This Row],[PlantationDate]])," ", YEAR(CompilDonnées[[#This Row],[PlantationDate]]))</f>
        <v>5 2025</v>
      </c>
      <c r="M2800" t="str">
        <f>CONCATENATE(MONTH(CompilDonnées[[#This Row],[HarvestingDate]])," ", YEAR(CompilDonnées[[#This Row],[HarvestingDate]]))</f>
        <v>6 2025</v>
      </c>
      <c r="N2800">
        <f>_xlfn.NUMBERVALUE(CompilDonnées[[#This Row],[FarmID]]&amp;CompilDonnées[[#This Row],[ModuleNumber]]&amp;CompilDonnées[[#This Row],[PlantationDate]])</f>
        <v>119645792</v>
      </c>
      <c r="O2800" t="str">
        <f>CompilDonnées[[#This Row],[FarmID]]&amp;CompilDonnées[[#This Row],[ModuleNumber]]</f>
        <v>1196</v>
      </c>
      <c r="P2800" t="str">
        <f>CompilDonnées[[#This Row],[Ref_Module]]&amp;CompilDonnées[[#This Row],[HarvestingDate]]</f>
        <v>119645828</v>
      </c>
    </row>
    <row r="2801" spans="1:16">
      <c r="A2801" s="5">
        <v>45792</v>
      </c>
      <c r="B2801">
        <v>126</v>
      </c>
      <c r="C2801" t="s">
        <v>52</v>
      </c>
      <c r="D2801">
        <v>3</v>
      </c>
      <c r="E2801">
        <v>100</v>
      </c>
      <c r="F2801" t="s">
        <v>1</v>
      </c>
      <c r="G2801" s="6">
        <v>45828</v>
      </c>
      <c r="H2801">
        <v>36</v>
      </c>
      <c r="I2801">
        <f>ROUND(CompilDonnées[[#This Row],[CultureDuration_days]]/7,0)</f>
        <v>5</v>
      </c>
      <c r="J2801">
        <v>2730</v>
      </c>
      <c r="K2801" t="str">
        <f>_xlfn.CONCAT(WEEKNUM(CompilDonnées[[#This Row],[PlantationDate]]), " ", YEAR(CompilDonnées[[#This Row],[PlantationDate]]))</f>
        <v>20 2025</v>
      </c>
      <c r="L2801" t="str">
        <f>CONCATENATE(MONTH(CompilDonnées[[#This Row],[PlantationDate]])," ", YEAR(CompilDonnées[[#This Row],[PlantationDate]]))</f>
        <v>5 2025</v>
      </c>
      <c r="M2801" t="str">
        <f>CONCATENATE(MONTH(CompilDonnées[[#This Row],[HarvestingDate]])," ", YEAR(CompilDonnées[[#This Row],[HarvestingDate]]))</f>
        <v>6 2025</v>
      </c>
      <c r="N2801">
        <f>_xlfn.NUMBERVALUE(CompilDonnées[[#This Row],[FarmID]]&amp;CompilDonnées[[#This Row],[ModuleNumber]]&amp;CompilDonnées[[#This Row],[PlantationDate]])</f>
        <v>126345792</v>
      </c>
      <c r="O2801" t="str">
        <f>CompilDonnées[[#This Row],[FarmID]]&amp;CompilDonnées[[#This Row],[ModuleNumber]]</f>
        <v>1263</v>
      </c>
      <c r="P2801" t="str">
        <f>CompilDonnées[[#This Row],[Ref_Module]]&amp;CompilDonnées[[#This Row],[HarvestingDate]]</f>
        <v>126345828</v>
      </c>
    </row>
    <row r="2802" spans="1:16">
      <c r="A2802" s="5">
        <v>45792</v>
      </c>
      <c r="B2802">
        <v>132</v>
      </c>
      <c r="C2802" t="s">
        <v>120</v>
      </c>
      <c r="D2802">
        <v>5</v>
      </c>
      <c r="E2802">
        <v>100</v>
      </c>
      <c r="F2802" t="s">
        <v>1</v>
      </c>
      <c r="G2802" s="6">
        <v>45838</v>
      </c>
      <c r="H2802">
        <v>46</v>
      </c>
      <c r="I2802">
        <f>ROUND(CompilDonnées[[#This Row],[CultureDuration_days]]/7,0)</f>
        <v>7</v>
      </c>
      <c r="J2802">
        <v>3077</v>
      </c>
      <c r="K2802" t="str">
        <f>_xlfn.CONCAT(WEEKNUM(CompilDonnées[[#This Row],[PlantationDate]]), " ", YEAR(CompilDonnées[[#This Row],[PlantationDate]]))</f>
        <v>20 2025</v>
      </c>
      <c r="L2802" t="str">
        <f>CONCATENATE(MONTH(CompilDonnées[[#This Row],[PlantationDate]])," ", YEAR(CompilDonnées[[#This Row],[PlantationDate]]))</f>
        <v>5 2025</v>
      </c>
      <c r="M2802" t="str">
        <f>CONCATENATE(MONTH(CompilDonnées[[#This Row],[HarvestingDate]])," ", YEAR(CompilDonnées[[#This Row],[HarvestingDate]]))</f>
        <v>6 2025</v>
      </c>
      <c r="N2802">
        <f>_xlfn.NUMBERVALUE(CompilDonnées[[#This Row],[FarmID]]&amp;CompilDonnées[[#This Row],[ModuleNumber]]&amp;CompilDonnées[[#This Row],[PlantationDate]])</f>
        <v>132545792</v>
      </c>
      <c r="O2802" t="str">
        <f>CompilDonnées[[#This Row],[FarmID]]&amp;CompilDonnées[[#This Row],[ModuleNumber]]</f>
        <v>1325</v>
      </c>
      <c r="P2802" t="str">
        <f>CompilDonnées[[#This Row],[Ref_Module]]&amp;CompilDonnées[[#This Row],[HarvestingDate]]</f>
        <v>132545838</v>
      </c>
    </row>
    <row r="2803" spans="1:16">
      <c r="A2803" s="5">
        <v>45792</v>
      </c>
      <c r="B2803">
        <v>133</v>
      </c>
      <c r="C2803" t="s">
        <v>99</v>
      </c>
      <c r="D2803">
        <v>1</v>
      </c>
      <c r="E2803">
        <v>100</v>
      </c>
      <c r="F2803" t="s">
        <v>1</v>
      </c>
      <c r="G2803" s="6">
        <v>45839</v>
      </c>
      <c r="H2803">
        <v>47</v>
      </c>
      <c r="I2803">
        <f>ROUND(CompilDonnées[[#This Row],[CultureDuration_days]]/7,0)</f>
        <v>7</v>
      </c>
      <c r="J2803">
        <v>3078</v>
      </c>
      <c r="K2803" t="str">
        <f>_xlfn.CONCAT(WEEKNUM(CompilDonnées[[#This Row],[PlantationDate]]), " ", YEAR(CompilDonnées[[#This Row],[PlantationDate]]))</f>
        <v>20 2025</v>
      </c>
      <c r="L2803" t="str">
        <f>CONCATENATE(MONTH(CompilDonnées[[#This Row],[PlantationDate]])," ", YEAR(CompilDonnées[[#This Row],[PlantationDate]]))</f>
        <v>5 2025</v>
      </c>
      <c r="M2803" t="str">
        <f>CONCATENATE(MONTH(CompilDonnées[[#This Row],[HarvestingDate]])," ", YEAR(CompilDonnées[[#This Row],[HarvestingDate]]))</f>
        <v>7 2025</v>
      </c>
      <c r="N2803">
        <f>_xlfn.NUMBERVALUE(CompilDonnées[[#This Row],[FarmID]]&amp;CompilDonnées[[#This Row],[ModuleNumber]]&amp;CompilDonnées[[#This Row],[PlantationDate]])</f>
        <v>133145792</v>
      </c>
      <c r="O2803" t="str">
        <f>CompilDonnées[[#This Row],[FarmID]]&amp;CompilDonnées[[#This Row],[ModuleNumber]]</f>
        <v>1331</v>
      </c>
      <c r="P2803" t="str">
        <f>CompilDonnées[[#This Row],[Ref_Module]]&amp;CompilDonnées[[#This Row],[HarvestingDate]]</f>
        <v>133145839</v>
      </c>
    </row>
    <row r="2804" spans="1:16">
      <c r="A2804" s="5">
        <v>45792</v>
      </c>
      <c r="B2804">
        <v>139</v>
      </c>
      <c r="C2804" t="s">
        <v>103</v>
      </c>
      <c r="D2804">
        <v>1</v>
      </c>
      <c r="E2804">
        <v>100</v>
      </c>
      <c r="F2804" t="s">
        <v>1</v>
      </c>
      <c r="G2804" s="6">
        <v>45838</v>
      </c>
      <c r="H2804">
        <v>46</v>
      </c>
      <c r="I2804">
        <f>ROUND(CompilDonnées[[#This Row],[CultureDuration_days]]/7,0)</f>
        <v>7</v>
      </c>
      <c r="J2804">
        <v>3356</v>
      </c>
      <c r="K2804" t="str">
        <f>_xlfn.CONCAT(WEEKNUM(CompilDonnées[[#This Row],[PlantationDate]]), " ", YEAR(CompilDonnées[[#This Row],[PlantationDate]]))</f>
        <v>20 2025</v>
      </c>
      <c r="L2804" t="str">
        <f>CONCATENATE(MONTH(CompilDonnées[[#This Row],[PlantationDate]])," ", YEAR(CompilDonnées[[#This Row],[PlantationDate]]))</f>
        <v>5 2025</v>
      </c>
      <c r="M2804" t="str">
        <f>CONCATENATE(MONTH(CompilDonnées[[#This Row],[HarvestingDate]])," ", YEAR(CompilDonnées[[#This Row],[HarvestingDate]]))</f>
        <v>6 2025</v>
      </c>
      <c r="N2804">
        <f>_xlfn.NUMBERVALUE(CompilDonnées[[#This Row],[FarmID]]&amp;CompilDonnées[[#This Row],[ModuleNumber]]&amp;CompilDonnées[[#This Row],[PlantationDate]])</f>
        <v>139145792</v>
      </c>
      <c r="O2804" t="str">
        <f>CompilDonnées[[#This Row],[FarmID]]&amp;CompilDonnées[[#This Row],[ModuleNumber]]</f>
        <v>1391</v>
      </c>
      <c r="P2804" t="str">
        <f>CompilDonnées[[#This Row],[Ref_Module]]&amp;CompilDonnées[[#This Row],[HarvestingDate]]</f>
        <v>139145838</v>
      </c>
    </row>
    <row r="2805" spans="1:16">
      <c r="A2805" s="5">
        <v>45792</v>
      </c>
      <c r="B2805">
        <v>140</v>
      </c>
      <c r="C2805" t="s">
        <v>96</v>
      </c>
      <c r="D2805">
        <v>6</v>
      </c>
      <c r="E2805">
        <v>100</v>
      </c>
      <c r="F2805" t="s">
        <v>1</v>
      </c>
      <c r="G2805" s="6">
        <v>45829</v>
      </c>
      <c r="H2805">
        <v>37</v>
      </c>
      <c r="I2805">
        <f>ROUND(CompilDonnées[[#This Row],[CultureDuration_days]]/7,0)</f>
        <v>5</v>
      </c>
      <c r="J2805">
        <v>2577</v>
      </c>
      <c r="K2805" t="str">
        <f>_xlfn.CONCAT(WEEKNUM(CompilDonnées[[#This Row],[PlantationDate]]), " ", YEAR(CompilDonnées[[#This Row],[PlantationDate]]))</f>
        <v>20 2025</v>
      </c>
      <c r="L2805" t="str">
        <f>CONCATENATE(MONTH(CompilDonnées[[#This Row],[PlantationDate]])," ", YEAR(CompilDonnées[[#This Row],[PlantationDate]]))</f>
        <v>5 2025</v>
      </c>
      <c r="M2805" t="str">
        <f>CONCATENATE(MONTH(CompilDonnées[[#This Row],[HarvestingDate]])," ", YEAR(CompilDonnées[[#This Row],[HarvestingDate]]))</f>
        <v>6 2025</v>
      </c>
      <c r="N2805">
        <f>_xlfn.NUMBERVALUE(CompilDonnées[[#This Row],[FarmID]]&amp;CompilDonnées[[#This Row],[ModuleNumber]]&amp;CompilDonnées[[#This Row],[PlantationDate]])</f>
        <v>140645792</v>
      </c>
      <c r="O2805" t="str">
        <f>CompilDonnées[[#This Row],[FarmID]]&amp;CompilDonnées[[#This Row],[ModuleNumber]]</f>
        <v>1406</v>
      </c>
      <c r="P2805" t="str">
        <f>CompilDonnées[[#This Row],[Ref_Module]]&amp;CompilDonnées[[#This Row],[HarvestingDate]]</f>
        <v>140645829</v>
      </c>
    </row>
    <row r="2806" spans="1:16">
      <c r="A2806" s="5">
        <v>45793</v>
      </c>
      <c r="B2806">
        <v>35</v>
      </c>
      <c r="C2806" t="s">
        <v>69</v>
      </c>
      <c r="D2806">
        <v>2</v>
      </c>
      <c r="E2806">
        <v>100</v>
      </c>
      <c r="F2806" t="s">
        <v>1</v>
      </c>
      <c r="G2806" s="6">
        <v>45825</v>
      </c>
      <c r="H2806">
        <v>32</v>
      </c>
      <c r="I2806">
        <f>ROUND(CompilDonnées[[#This Row],[CultureDuration_days]]/7,0)</f>
        <v>5</v>
      </c>
      <c r="J2806">
        <v>2437</v>
      </c>
      <c r="K2806" t="str">
        <f>_xlfn.CONCAT(WEEKNUM(CompilDonnées[[#This Row],[PlantationDate]]), " ", YEAR(CompilDonnées[[#This Row],[PlantationDate]]))</f>
        <v>20 2025</v>
      </c>
      <c r="L2806" t="str">
        <f>CONCATENATE(MONTH(CompilDonnées[[#This Row],[PlantationDate]])," ", YEAR(CompilDonnées[[#This Row],[PlantationDate]]))</f>
        <v>5 2025</v>
      </c>
      <c r="M2806" t="str">
        <f>CONCATENATE(MONTH(CompilDonnées[[#This Row],[HarvestingDate]])," ", YEAR(CompilDonnées[[#This Row],[HarvestingDate]]))</f>
        <v>6 2025</v>
      </c>
      <c r="N2806">
        <f>_xlfn.NUMBERVALUE(CompilDonnées[[#This Row],[FarmID]]&amp;CompilDonnées[[#This Row],[ModuleNumber]]&amp;CompilDonnées[[#This Row],[PlantationDate]])</f>
        <v>35245793</v>
      </c>
      <c r="O2806" t="str">
        <f>CompilDonnées[[#This Row],[FarmID]]&amp;CompilDonnées[[#This Row],[ModuleNumber]]</f>
        <v>352</v>
      </c>
      <c r="P2806" t="str">
        <f>CompilDonnées[[#This Row],[Ref_Module]]&amp;CompilDonnées[[#This Row],[HarvestingDate]]</f>
        <v>35245825</v>
      </c>
    </row>
    <row r="2807" spans="1:16">
      <c r="A2807" s="5">
        <v>45793</v>
      </c>
      <c r="B2807">
        <v>35</v>
      </c>
      <c r="C2807" t="s">
        <v>69</v>
      </c>
      <c r="D2807">
        <v>3</v>
      </c>
      <c r="E2807">
        <v>100</v>
      </c>
      <c r="F2807" t="s">
        <v>1</v>
      </c>
      <c r="G2807" s="6">
        <v>45829</v>
      </c>
      <c r="H2807">
        <v>36</v>
      </c>
      <c r="I2807">
        <f>ROUND(CompilDonnées[[#This Row],[CultureDuration_days]]/7,0)</f>
        <v>5</v>
      </c>
      <c r="J2807">
        <v>2973</v>
      </c>
      <c r="K2807" t="str">
        <f>_xlfn.CONCAT(WEEKNUM(CompilDonnées[[#This Row],[PlantationDate]]), " ", YEAR(CompilDonnées[[#This Row],[PlantationDate]]))</f>
        <v>20 2025</v>
      </c>
      <c r="L2807" t="str">
        <f>CONCATENATE(MONTH(CompilDonnées[[#This Row],[PlantationDate]])," ", YEAR(CompilDonnées[[#This Row],[PlantationDate]]))</f>
        <v>5 2025</v>
      </c>
      <c r="M2807" t="str">
        <f>CONCATENATE(MONTH(CompilDonnées[[#This Row],[HarvestingDate]])," ", YEAR(CompilDonnées[[#This Row],[HarvestingDate]]))</f>
        <v>6 2025</v>
      </c>
      <c r="N2807">
        <f>_xlfn.NUMBERVALUE(CompilDonnées[[#This Row],[FarmID]]&amp;CompilDonnées[[#This Row],[ModuleNumber]]&amp;CompilDonnées[[#This Row],[PlantationDate]])</f>
        <v>35345793</v>
      </c>
      <c r="O2807" t="str">
        <f>CompilDonnées[[#This Row],[FarmID]]&amp;CompilDonnées[[#This Row],[ModuleNumber]]</f>
        <v>353</v>
      </c>
      <c r="P2807" t="str">
        <f>CompilDonnées[[#This Row],[Ref_Module]]&amp;CompilDonnées[[#This Row],[HarvestingDate]]</f>
        <v>35345829</v>
      </c>
    </row>
    <row r="2808" spans="1:16">
      <c r="A2808" s="5">
        <v>45793</v>
      </c>
      <c r="B2808">
        <v>44</v>
      </c>
      <c r="C2808" t="s">
        <v>42</v>
      </c>
      <c r="D2808">
        <v>2</v>
      </c>
      <c r="E2808">
        <v>100</v>
      </c>
      <c r="F2808" t="s">
        <v>1</v>
      </c>
      <c r="G2808" s="6">
        <v>45843</v>
      </c>
      <c r="H2808">
        <v>50</v>
      </c>
      <c r="I2808">
        <f>ROUND(CompilDonnées[[#This Row],[CultureDuration_days]]/7,0)</f>
        <v>7</v>
      </c>
      <c r="J2808">
        <v>2900</v>
      </c>
      <c r="K2808" t="str">
        <f>_xlfn.CONCAT(WEEKNUM(CompilDonnées[[#This Row],[PlantationDate]]), " ", YEAR(CompilDonnées[[#This Row],[PlantationDate]]))</f>
        <v>20 2025</v>
      </c>
      <c r="L2808" t="str">
        <f>CONCATENATE(MONTH(CompilDonnées[[#This Row],[PlantationDate]])," ", YEAR(CompilDonnées[[#This Row],[PlantationDate]]))</f>
        <v>5 2025</v>
      </c>
      <c r="M2808" t="str">
        <f>CONCATENATE(MONTH(CompilDonnées[[#This Row],[HarvestingDate]])," ", YEAR(CompilDonnées[[#This Row],[HarvestingDate]]))</f>
        <v>7 2025</v>
      </c>
      <c r="N2808">
        <f>_xlfn.NUMBERVALUE(CompilDonnées[[#This Row],[FarmID]]&amp;CompilDonnées[[#This Row],[ModuleNumber]]&amp;CompilDonnées[[#This Row],[PlantationDate]])</f>
        <v>44245793</v>
      </c>
      <c r="O2808" t="str">
        <f>CompilDonnées[[#This Row],[FarmID]]&amp;CompilDonnées[[#This Row],[ModuleNumber]]</f>
        <v>442</v>
      </c>
      <c r="P2808" t="str">
        <f>CompilDonnées[[#This Row],[Ref_Module]]&amp;CompilDonnées[[#This Row],[HarvestingDate]]</f>
        <v>44245843</v>
      </c>
    </row>
    <row r="2809" spans="1:16">
      <c r="A2809" s="5">
        <v>45793</v>
      </c>
      <c r="B2809">
        <v>45</v>
      </c>
      <c r="C2809" t="s">
        <v>77</v>
      </c>
      <c r="D2809">
        <v>6</v>
      </c>
      <c r="E2809">
        <v>100</v>
      </c>
      <c r="F2809" t="s">
        <v>1</v>
      </c>
      <c r="G2809" s="6">
        <v>45825</v>
      </c>
      <c r="H2809">
        <v>32</v>
      </c>
      <c r="I2809">
        <f>ROUND(CompilDonnées[[#This Row],[CultureDuration_days]]/7,0)</f>
        <v>5</v>
      </c>
      <c r="J2809">
        <v>3095</v>
      </c>
      <c r="K2809" t="str">
        <f>_xlfn.CONCAT(WEEKNUM(CompilDonnées[[#This Row],[PlantationDate]]), " ", YEAR(CompilDonnées[[#This Row],[PlantationDate]]))</f>
        <v>20 2025</v>
      </c>
      <c r="L2809" t="str">
        <f>CONCATENATE(MONTH(CompilDonnées[[#This Row],[PlantationDate]])," ", YEAR(CompilDonnées[[#This Row],[PlantationDate]]))</f>
        <v>5 2025</v>
      </c>
      <c r="M2809" t="str">
        <f>CONCATENATE(MONTH(CompilDonnées[[#This Row],[HarvestingDate]])," ", YEAR(CompilDonnées[[#This Row],[HarvestingDate]]))</f>
        <v>6 2025</v>
      </c>
      <c r="N2809">
        <f>_xlfn.NUMBERVALUE(CompilDonnées[[#This Row],[FarmID]]&amp;CompilDonnées[[#This Row],[ModuleNumber]]&amp;CompilDonnées[[#This Row],[PlantationDate]])</f>
        <v>45645793</v>
      </c>
      <c r="O2809" t="str">
        <f>CompilDonnées[[#This Row],[FarmID]]&amp;CompilDonnées[[#This Row],[ModuleNumber]]</f>
        <v>456</v>
      </c>
      <c r="P2809" t="str">
        <f>CompilDonnées[[#This Row],[Ref_Module]]&amp;CompilDonnées[[#This Row],[HarvestingDate]]</f>
        <v>45645825</v>
      </c>
    </row>
    <row r="2810" spans="1:16">
      <c r="A2810" s="5">
        <v>45793</v>
      </c>
      <c r="B2810">
        <v>110</v>
      </c>
      <c r="C2810" t="s">
        <v>14</v>
      </c>
      <c r="D2810">
        <v>2</v>
      </c>
      <c r="E2810">
        <v>100</v>
      </c>
      <c r="F2810" t="s">
        <v>1</v>
      </c>
      <c r="G2810" s="6">
        <v>45831</v>
      </c>
      <c r="H2810">
        <v>38</v>
      </c>
      <c r="I2810">
        <f>ROUND(CompilDonnées[[#This Row],[CultureDuration_days]]/7,0)</f>
        <v>5</v>
      </c>
      <c r="J2810">
        <v>3643</v>
      </c>
      <c r="K2810" t="str">
        <f>_xlfn.CONCAT(WEEKNUM(CompilDonnées[[#This Row],[PlantationDate]]), " ", YEAR(CompilDonnées[[#This Row],[PlantationDate]]))</f>
        <v>20 2025</v>
      </c>
      <c r="L2810" t="str">
        <f>CONCATENATE(MONTH(CompilDonnées[[#This Row],[PlantationDate]])," ", YEAR(CompilDonnées[[#This Row],[PlantationDate]]))</f>
        <v>5 2025</v>
      </c>
      <c r="M2810" t="str">
        <f>CONCATENATE(MONTH(CompilDonnées[[#This Row],[HarvestingDate]])," ", YEAR(CompilDonnées[[#This Row],[HarvestingDate]]))</f>
        <v>6 2025</v>
      </c>
      <c r="N2810">
        <f>_xlfn.NUMBERVALUE(CompilDonnées[[#This Row],[FarmID]]&amp;CompilDonnées[[#This Row],[ModuleNumber]]&amp;CompilDonnées[[#This Row],[PlantationDate]])</f>
        <v>110245793</v>
      </c>
      <c r="O2810" t="str">
        <f>CompilDonnées[[#This Row],[FarmID]]&amp;CompilDonnées[[#This Row],[ModuleNumber]]</f>
        <v>1102</v>
      </c>
      <c r="P2810" t="str">
        <f>CompilDonnées[[#This Row],[Ref_Module]]&amp;CompilDonnées[[#This Row],[HarvestingDate]]</f>
        <v>110245831</v>
      </c>
    </row>
    <row r="2811" spans="1:16">
      <c r="A2811" s="5">
        <v>45793</v>
      </c>
      <c r="B2811">
        <v>112</v>
      </c>
      <c r="C2811" t="s">
        <v>15</v>
      </c>
      <c r="D2811">
        <v>2</v>
      </c>
      <c r="E2811">
        <v>100</v>
      </c>
      <c r="F2811" t="s">
        <v>1</v>
      </c>
      <c r="G2811" s="6">
        <v>45828</v>
      </c>
      <c r="H2811">
        <v>35</v>
      </c>
      <c r="I2811">
        <f>ROUND(CompilDonnées[[#This Row],[CultureDuration_days]]/7,0)</f>
        <v>5</v>
      </c>
      <c r="J2811">
        <v>2927</v>
      </c>
      <c r="K2811" t="str">
        <f>_xlfn.CONCAT(WEEKNUM(CompilDonnées[[#This Row],[PlantationDate]]), " ", YEAR(CompilDonnées[[#This Row],[PlantationDate]]))</f>
        <v>20 2025</v>
      </c>
      <c r="L2811" t="str">
        <f>CONCATENATE(MONTH(CompilDonnées[[#This Row],[PlantationDate]])," ", YEAR(CompilDonnées[[#This Row],[PlantationDate]]))</f>
        <v>5 2025</v>
      </c>
      <c r="M2811" t="str">
        <f>CONCATENATE(MONTH(CompilDonnées[[#This Row],[HarvestingDate]])," ", YEAR(CompilDonnées[[#This Row],[HarvestingDate]]))</f>
        <v>6 2025</v>
      </c>
      <c r="N2811">
        <f>_xlfn.NUMBERVALUE(CompilDonnées[[#This Row],[FarmID]]&amp;CompilDonnées[[#This Row],[ModuleNumber]]&amp;CompilDonnées[[#This Row],[PlantationDate]])</f>
        <v>112245793</v>
      </c>
      <c r="O2811" t="str">
        <f>CompilDonnées[[#This Row],[FarmID]]&amp;CompilDonnées[[#This Row],[ModuleNumber]]</f>
        <v>1122</v>
      </c>
      <c r="P2811" t="str">
        <f>CompilDonnées[[#This Row],[Ref_Module]]&amp;CompilDonnées[[#This Row],[HarvestingDate]]</f>
        <v>112245828</v>
      </c>
    </row>
    <row r="2812" spans="1:16">
      <c r="A2812" s="5">
        <v>45793</v>
      </c>
      <c r="B2812">
        <v>118</v>
      </c>
      <c r="C2812" t="s">
        <v>51</v>
      </c>
      <c r="D2812">
        <v>1</v>
      </c>
      <c r="E2812">
        <v>100</v>
      </c>
      <c r="F2812" t="s">
        <v>1</v>
      </c>
      <c r="G2812" s="6">
        <v>45828</v>
      </c>
      <c r="H2812">
        <v>35</v>
      </c>
      <c r="I2812">
        <f>ROUND(CompilDonnées[[#This Row],[CultureDuration_days]]/7,0)</f>
        <v>5</v>
      </c>
      <c r="J2812">
        <v>3259</v>
      </c>
      <c r="K2812" t="str">
        <f>_xlfn.CONCAT(WEEKNUM(CompilDonnées[[#This Row],[PlantationDate]]), " ", YEAR(CompilDonnées[[#This Row],[PlantationDate]]))</f>
        <v>20 2025</v>
      </c>
      <c r="L2812" t="str">
        <f>CONCATENATE(MONTH(CompilDonnées[[#This Row],[PlantationDate]])," ", YEAR(CompilDonnées[[#This Row],[PlantationDate]]))</f>
        <v>5 2025</v>
      </c>
      <c r="M2812" t="str">
        <f>CONCATENATE(MONTH(CompilDonnées[[#This Row],[HarvestingDate]])," ", YEAR(CompilDonnées[[#This Row],[HarvestingDate]]))</f>
        <v>6 2025</v>
      </c>
      <c r="N2812">
        <f>_xlfn.NUMBERVALUE(CompilDonnées[[#This Row],[FarmID]]&amp;CompilDonnées[[#This Row],[ModuleNumber]]&amp;CompilDonnées[[#This Row],[PlantationDate]])</f>
        <v>118145793</v>
      </c>
      <c r="O2812" t="str">
        <f>CompilDonnées[[#This Row],[FarmID]]&amp;CompilDonnées[[#This Row],[ModuleNumber]]</f>
        <v>1181</v>
      </c>
      <c r="P2812" t="str">
        <f>CompilDonnées[[#This Row],[Ref_Module]]&amp;CompilDonnées[[#This Row],[HarvestingDate]]</f>
        <v>118145828</v>
      </c>
    </row>
    <row r="2813" spans="1:16">
      <c r="A2813" s="5">
        <v>45793</v>
      </c>
      <c r="B2813">
        <v>123</v>
      </c>
      <c r="C2813" t="s">
        <v>13</v>
      </c>
      <c r="D2813">
        <v>3</v>
      </c>
      <c r="E2813">
        <v>100</v>
      </c>
      <c r="F2813" t="s">
        <v>1</v>
      </c>
      <c r="G2813" s="6">
        <v>45832</v>
      </c>
      <c r="H2813">
        <v>39</v>
      </c>
      <c r="I2813">
        <f>ROUND(CompilDonnées[[#This Row],[CultureDuration_days]]/7,0)</f>
        <v>6</v>
      </c>
      <c r="J2813">
        <v>3651</v>
      </c>
      <c r="K2813" t="str">
        <f>_xlfn.CONCAT(WEEKNUM(CompilDonnées[[#This Row],[PlantationDate]]), " ", YEAR(CompilDonnées[[#This Row],[PlantationDate]]))</f>
        <v>20 2025</v>
      </c>
      <c r="L2813" t="str">
        <f>CONCATENATE(MONTH(CompilDonnées[[#This Row],[PlantationDate]])," ", YEAR(CompilDonnées[[#This Row],[PlantationDate]]))</f>
        <v>5 2025</v>
      </c>
      <c r="M2813" t="str">
        <f>CONCATENATE(MONTH(CompilDonnées[[#This Row],[HarvestingDate]])," ", YEAR(CompilDonnées[[#This Row],[HarvestingDate]]))</f>
        <v>6 2025</v>
      </c>
      <c r="N2813">
        <f>_xlfn.NUMBERVALUE(CompilDonnées[[#This Row],[FarmID]]&amp;CompilDonnées[[#This Row],[ModuleNumber]]&amp;CompilDonnées[[#This Row],[PlantationDate]])</f>
        <v>123345793</v>
      </c>
      <c r="O2813" t="str">
        <f>CompilDonnées[[#This Row],[FarmID]]&amp;CompilDonnées[[#This Row],[ModuleNumber]]</f>
        <v>1233</v>
      </c>
      <c r="P2813" t="str">
        <f>CompilDonnées[[#This Row],[Ref_Module]]&amp;CompilDonnées[[#This Row],[HarvestingDate]]</f>
        <v>123345832</v>
      </c>
    </row>
    <row r="2814" spans="1:16">
      <c r="A2814" s="5">
        <v>45794</v>
      </c>
      <c r="B2814">
        <v>2</v>
      </c>
      <c r="C2814" t="s">
        <v>119</v>
      </c>
      <c r="D2814">
        <v>1</v>
      </c>
      <c r="E2814">
        <v>100</v>
      </c>
      <c r="F2814" t="s">
        <v>1</v>
      </c>
      <c r="G2814" s="6">
        <v>45829</v>
      </c>
      <c r="H2814">
        <v>35</v>
      </c>
      <c r="I2814">
        <f>ROUND(CompilDonnées[[#This Row],[CultureDuration_days]]/7,0)</f>
        <v>5</v>
      </c>
      <c r="J2814">
        <v>2230</v>
      </c>
      <c r="K2814" t="str">
        <f>_xlfn.CONCAT(WEEKNUM(CompilDonnées[[#This Row],[PlantationDate]]), " ", YEAR(CompilDonnées[[#This Row],[PlantationDate]]))</f>
        <v>20 2025</v>
      </c>
      <c r="L2814" t="str">
        <f>CONCATENATE(MONTH(CompilDonnées[[#This Row],[PlantationDate]])," ", YEAR(CompilDonnées[[#This Row],[PlantationDate]]))</f>
        <v>5 2025</v>
      </c>
      <c r="M2814" t="str">
        <f>CONCATENATE(MONTH(CompilDonnées[[#This Row],[HarvestingDate]])," ", YEAR(CompilDonnées[[#This Row],[HarvestingDate]]))</f>
        <v>6 2025</v>
      </c>
      <c r="N2814">
        <f>_xlfn.NUMBERVALUE(CompilDonnées[[#This Row],[FarmID]]&amp;CompilDonnées[[#This Row],[ModuleNumber]]&amp;CompilDonnées[[#This Row],[PlantationDate]])</f>
        <v>2145794</v>
      </c>
      <c r="O2814" t="str">
        <f>CompilDonnées[[#This Row],[FarmID]]&amp;CompilDonnées[[#This Row],[ModuleNumber]]</f>
        <v>21</v>
      </c>
      <c r="P2814" t="str">
        <f>CompilDonnées[[#This Row],[Ref_Module]]&amp;CompilDonnées[[#This Row],[HarvestingDate]]</f>
        <v>2145829</v>
      </c>
    </row>
    <row r="2815" spans="1:16">
      <c r="A2815" s="5">
        <v>45794</v>
      </c>
      <c r="B2815">
        <v>6</v>
      </c>
      <c r="C2815" t="s">
        <v>24</v>
      </c>
      <c r="D2815">
        <v>3</v>
      </c>
      <c r="E2815">
        <v>100</v>
      </c>
      <c r="F2815" t="s">
        <v>1</v>
      </c>
      <c r="G2815" s="6">
        <v>45825</v>
      </c>
      <c r="H2815">
        <v>31</v>
      </c>
      <c r="I2815">
        <f>ROUND(CompilDonnées[[#This Row],[CultureDuration_days]]/7,0)</f>
        <v>4</v>
      </c>
      <c r="J2815">
        <v>2130</v>
      </c>
      <c r="K2815" t="str">
        <f>_xlfn.CONCAT(WEEKNUM(CompilDonnées[[#This Row],[PlantationDate]]), " ", YEAR(CompilDonnées[[#This Row],[PlantationDate]]))</f>
        <v>20 2025</v>
      </c>
      <c r="L2815" t="str">
        <f>CONCATENATE(MONTH(CompilDonnées[[#This Row],[PlantationDate]])," ", YEAR(CompilDonnées[[#This Row],[PlantationDate]]))</f>
        <v>5 2025</v>
      </c>
      <c r="M2815" t="str">
        <f>CONCATENATE(MONTH(CompilDonnées[[#This Row],[HarvestingDate]])," ", YEAR(CompilDonnées[[#This Row],[HarvestingDate]]))</f>
        <v>6 2025</v>
      </c>
      <c r="N2815">
        <f>_xlfn.NUMBERVALUE(CompilDonnées[[#This Row],[FarmID]]&amp;CompilDonnées[[#This Row],[ModuleNumber]]&amp;CompilDonnées[[#This Row],[PlantationDate]])</f>
        <v>6345794</v>
      </c>
      <c r="O2815" t="str">
        <f>CompilDonnées[[#This Row],[FarmID]]&amp;CompilDonnées[[#This Row],[ModuleNumber]]</f>
        <v>63</v>
      </c>
      <c r="P2815" t="str">
        <f>CompilDonnées[[#This Row],[Ref_Module]]&amp;CompilDonnées[[#This Row],[HarvestingDate]]</f>
        <v>6345825</v>
      </c>
    </row>
    <row r="2816" spans="1:16">
      <c r="A2816" s="5">
        <v>45794</v>
      </c>
      <c r="B2816">
        <v>10</v>
      </c>
      <c r="C2816" t="s">
        <v>109</v>
      </c>
      <c r="D2816">
        <v>1</v>
      </c>
      <c r="E2816">
        <v>100</v>
      </c>
      <c r="F2816" t="s">
        <v>1</v>
      </c>
      <c r="G2816" s="6">
        <v>45829</v>
      </c>
      <c r="H2816">
        <v>35</v>
      </c>
      <c r="I2816">
        <f>ROUND(CompilDonnées[[#This Row],[CultureDuration_days]]/7,0)</f>
        <v>5</v>
      </c>
      <c r="J2816">
        <v>2700</v>
      </c>
      <c r="K2816" t="str">
        <f>_xlfn.CONCAT(WEEKNUM(CompilDonnées[[#This Row],[PlantationDate]]), " ", YEAR(CompilDonnées[[#This Row],[PlantationDate]]))</f>
        <v>20 2025</v>
      </c>
      <c r="L2816" t="str">
        <f>CONCATENATE(MONTH(CompilDonnées[[#This Row],[PlantationDate]])," ", YEAR(CompilDonnées[[#This Row],[PlantationDate]]))</f>
        <v>5 2025</v>
      </c>
      <c r="M2816" t="str">
        <f>CONCATENATE(MONTH(CompilDonnées[[#This Row],[HarvestingDate]])," ", YEAR(CompilDonnées[[#This Row],[HarvestingDate]]))</f>
        <v>6 2025</v>
      </c>
      <c r="N2816">
        <f>_xlfn.NUMBERVALUE(CompilDonnées[[#This Row],[FarmID]]&amp;CompilDonnées[[#This Row],[ModuleNumber]]&amp;CompilDonnées[[#This Row],[PlantationDate]])</f>
        <v>10145794</v>
      </c>
      <c r="O2816" t="str">
        <f>CompilDonnées[[#This Row],[FarmID]]&amp;CompilDonnées[[#This Row],[ModuleNumber]]</f>
        <v>101</v>
      </c>
      <c r="P2816" t="str">
        <f>CompilDonnées[[#This Row],[Ref_Module]]&amp;CompilDonnées[[#This Row],[HarvestingDate]]</f>
        <v>10145829</v>
      </c>
    </row>
    <row r="2817" spans="1:16">
      <c r="A2817" s="5">
        <v>45794</v>
      </c>
      <c r="B2817">
        <v>13</v>
      </c>
      <c r="C2817" t="s">
        <v>114</v>
      </c>
      <c r="D2817">
        <v>4</v>
      </c>
      <c r="E2817">
        <v>100</v>
      </c>
      <c r="F2817" t="s">
        <v>1</v>
      </c>
      <c r="G2817" s="6">
        <v>45825</v>
      </c>
      <c r="H2817">
        <v>31</v>
      </c>
      <c r="I2817">
        <f>ROUND(CompilDonnées[[#This Row],[CultureDuration_days]]/7,0)</f>
        <v>4</v>
      </c>
      <c r="J2817">
        <v>2536</v>
      </c>
      <c r="K2817" t="str">
        <f>_xlfn.CONCAT(WEEKNUM(CompilDonnées[[#This Row],[PlantationDate]]), " ", YEAR(CompilDonnées[[#This Row],[PlantationDate]]))</f>
        <v>20 2025</v>
      </c>
      <c r="L2817" t="str">
        <f>CONCATENATE(MONTH(CompilDonnées[[#This Row],[PlantationDate]])," ", YEAR(CompilDonnées[[#This Row],[PlantationDate]]))</f>
        <v>5 2025</v>
      </c>
      <c r="M2817" t="str">
        <f>CONCATENATE(MONTH(CompilDonnées[[#This Row],[HarvestingDate]])," ", YEAR(CompilDonnées[[#This Row],[HarvestingDate]]))</f>
        <v>6 2025</v>
      </c>
      <c r="N2817">
        <f>_xlfn.NUMBERVALUE(CompilDonnées[[#This Row],[FarmID]]&amp;CompilDonnées[[#This Row],[ModuleNumber]]&amp;CompilDonnées[[#This Row],[PlantationDate]])</f>
        <v>13445794</v>
      </c>
      <c r="O2817" t="str">
        <f>CompilDonnées[[#This Row],[FarmID]]&amp;CompilDonnées[[#This Row],[ModuleNumber]]</f>
        <v>134</v>
      </c>
      <c r="P2817" t="str">
        <f>CompilDonnées[[#This Row],[Ref_Module]]&amp;CompilDonnées[[#This Row],[HarvestingDate]]</f>
        <v>13445825</v>
      </c>
    </row>
    <row r="2818" spans="1:16">
      <c r="A2818" s="5">
        <v>45794</v>
      </c>
      <c r="B2818">
        <v>16</v>
      </c>
      <c r="C2818" t="s">
        <v>112</v>
      </c>
      <c r="D2818">
        <v>1</v>
      </c>
      <c r="E2818">
        <v>100</v>
      </c>
      <c r="F2818" t="s">
        <v>1</v>
      </c>
      <c r="G2818" s="6">
        <v>45829</v>
      </c>
      <c r="H2818">
        <v>35</v>
      </c>
      <c r="I2818">
        <f>ROUND(CompilDonnées[[#This Row],[CultureDuration_days]]/7,0)</f>
        <v>5</v>
      </c>
      <c r="J2818">
        <v>2230</v>
      </c>
      <c r="K2818" t="str">
        <f>_xlfn.CONCAT(WEEKNUM(CompilDonnées[[#This Row],[PlantationDate]]), " ", YEAR(CompilDonnées[[#This Row],[PlantationDate]]))</f>
        <v>20 2025</v>
      </c>
      <c r="L2818" t="str">
        <f>CONCATENATE(MONTH(CompilDonnées[[#This Row],[PlantationDate]])," ", YEAR(CompilDonnées[[#This Row],[PlantationDate]]))</f>
        <v>5 2025</v>
      </c>
      <c r="M2818" t="str">
        <f>CONCATENATE(MONTH(CompilDonnées[[#This Row],[HarvestingDate]])," ", YEAR(CompilDonnées[[#This Row],[HarvestingDate]]))</f>
        <v>6 2025</v>
      </c>
      <c r="N2818">
        <f>_xlfn.NUMBERVALUE(CompilDonnées[[#This Row],[FarmID]]&amp;CompilDonnées[[#This Row],[ModuleNumber]]&amp;CompilDonnées[[#This Row],[PlantationDate]])</f>
        <v>16145794</v>
      </c>
      <c r="O2818" t="str">
        <f>CompilDonnées[[#This Row],[FarmID]]&amp;CompilDonnées[[#This Row],[ModuleNumber]]</f>
        <v>161</v>
      </c>
      <c r="P2818" t="str">
        <f>CompilDonnées[[#This Row],[Ref_Module]]&amp;CompilDonnées[[#This Row],[HarvestingDate]]</f>
        <v>16145829</v>
      </c>
    </row>
    <row r="2819" spans="1:16">
      <c r="A2819" s="5">
        <v>45794</v>
      </c>
      <c r="B2819">
        <v>19</v>
      </c>
      <c r="C2819" t="s">
        <v>108</v>
      </c>
      <c r="D2819">
        <v>4</v>
      </c>
      <c r="E2819">
        <v>100</v>
      </c>
      <c r="F2819" t="s">
        <v>1</v>
      </c>
      <c r="G2819" s="6">
        <v>45825</v>
      </c>
      <c r="H2819">
        <v>31</v>
      </c>
      <c r="I2819">
        <f>ROUND(CompilDonnées[[#This Row],[CultureDuration_days]]/7,0)</f>
        <v>4</v>
      </c>
      <c r="J2819">
        <v>2132</v>
      </c>
      <c r="K2819" t="str">
        <f>_xlfn.CONCAT(WEEKNUM(CompilDonnées[[#This Row],[PlantationDate]]), " ", YEAR(CompilDonnées[[#This Row],[PlantationDate]]))</f>
        <v>20 2025</v>
      </c>
      <c r="L2819" t="str">
        <f>CONCATENATE(MONTH(CompilDonnées[[#This Row],[PlantationDate]])," ", YEAR(CompilDonnées[[#This Row],[PlantationDate]]))</f>
        <v>5 2025</v>
      </c>
      <c r="M2819" t="str">
        <f>CONCATENATE(MONTH(CompilDonnées[[#This Row],[HarvestingDate]])," ", YEAR(CompilDonnées[[#This Row],[HarvestingDate]]))</f>
        <v>6 2025</v>
      </c>
      <c r="N2819">
        <f>_xlfn.NUMBERVALUE(CompilDonnées[[#This Row],[FarmID]]&amp;CompilDonnées[[#This Row],[ModuleNumber]]&amp;CompilDonnées[[#This Row],[PlantationDate]])</f>
        <v>19445794</v>
      </c>
      <c r="O2819" t="str">
        <f>CompilDonnées[[#This Row],[FarmID]]&amp;CompilDonnées[[#This Row],[ModuleNumber]]</f>
        <v>194</v>
      </c>
      <c r="P2819" t="str">
        <f>CompilDonnées[[#This Row],[Ref_Module]]&amp;CompilDonnées[[#This Row],[HarvestingDate]]</f>
        <v>19445825</v>
      </c>
    </row>
    <row r="2820" spans="1:16">
      <c r="A2820" s="5">
        <v>45794</v>
      </c>
      <c r="B2820">
        <v>20</v>
      </c>
      <c r="C2820" t="s">
        <v>53</v>
      </c>
      <c r="D2820">
        <v>4</v>
      </c>
      <c r="E2820">
        <v>100</v>
      </c>
      <c r="F2820" t="s">
        <v>1</v>
      </c>
      <c r="G2820" s="6">
        <v>45825</v>
      </c>
      <c r="H2820">
        <v>31</v>
      </c>
      <c r="I2820">
        <f>ROUND(CompilDonnées[[#This Row],[CultureDuration_days]]/7,0)</f>
        <v>4</v>
      </c>
      <c r="J2820">
        <v>1978</v>
      </c>
      <c r="K2820" t="str">
        <f>_xlfn.CONCAT(WEEKNUM(CompilDonnées[[#This Row],[PlantationDate]]), " ", YEAR(CompilDonnées[[#This Row],[PlantationDate]]))</f>
        <v>20 2025</v>
      </c>
      <c r="L2820" t="str">
        <f>CONCATENATE(MONTH(CompilDonnées[[#This Row],[PlantationDate]])," ", YEAR(CompilDonnées[[#This Row],[PlantationDate]]))</f>
        <v>5 2025</v>
      </c>
      <c r="M2820" t="str">
        <f>CONCATENATE(MONTH(CompilDonnées[[#This Row],[HarvestingDate]])," ", YEAR(CompilDonnées[[#This Row],[HarvestingDate]]))</f>
        <v>6 2025</v>
      </c>
      <c r="N2820">
        <f>_xlfn.NUMBERVALUE(CompilDonnées[[#This Row],[FarmID]]&amp;CompilDonnées[[#This Row],[ModuleNumber]]&amp;CompilDonnées[[#This Row],[PlantationDate]])</f>
        <v>20445794</v>
      </c>
      <c r="O2820" t="str">
        <f>CompilDonnées[[#This Row],[FarmID]]&amp;CompilDonnées[[#This Row],[ModuleNumber]]</f>
        <v>204</v>
      </c>
      <c r="P2820" t="str">
        <f>CompilDonnées[[#This Row],[Ref_Module]]&amp;CompilDonnées[[#This Row],[HarvestingDate]]</f>
        <v>20445825</v>
      </c>
    </row>
    <row r="2821" spans="1:16">
      <c r="A2821" s="5">
        <v>45794</v>
      </c>
      <c r="B2821">
        <v>21</v>
      </c>
      <c r="C2821" t="s">
        <v>0</v>
      </c>
      <c r="D2821">
        <v>5</v>
      </c>
      <c r="E2821">
        <v>100</v>
      </c>
      <c r="F2821" t="s">
        <v>1</v>
      </c>
      <c r="G2821" s="6">
        <v>45825</v>
      </c>
      <c r="H2821">
        <v>31</v>
      </c>
      <c r="I2821">
        <f>ROUND(CompilDonnées[[#This Row],[CultureDuration_days]]/7,0)</f>
        <v>4</v>
      </c>
      <c r="J2821">
        <v>2447</v>
      </c>
      <c r="K2821" t="str">
        <f>_xlfn.CONCAT(WEEKNUM(CompilDonnées[[#This Row],[PlantationDate]]), " ", YEAR(CompilDonnées[[#This Row],[PlantationDate]]))</f>
        <v>20 2025</v>
      </c>
      <c r="L2821" t="str">
        <f>CONCATENATE(MONTH(CompilDonnées[[#This Row],[PlantationDate]])," ", YEAR(CompilDonnées[[#This Row],[PlantationDate]]))</f>
        <v>5 2025</v>
      </c>
      <c r="M2821" t="str">
        <f>CONCATENATE(MONTH(CompilDonnées[[#This Row],[HarvestingDate]])," ", YEAR(CompilDonnées[[#This Row],[HarvestingDate]]))</f>
        <v>6 2025</v>
      </c>
      <c r="N2821">
        <f>_xlfn.NUMBERVALUE(CompilDonnées[[#This Row],[FarmID]]&amp;CompilDonnées[[#This Row],[ModuleNumber]]&amp;CompilDonnées[[#This Row],[PlantationDate]])</f>
        <v>21545794</v>
      </c>
      <c r="O2821" t="str">
        <f>CompilDonnées[[#This Row],[FarmID]]&amp;CompilDonnées[[#This Row],[ModuleNumber]]</f>
        <v>215</v>
      </c>
      <c r="P2821" t="str">
        <f>CompilDonnées[[#This Row],[Ref_Module]]&amp;CompilDonnées[[#This Row],[HarvestingDate]]</f>
        <v>21545825</v>
      </c>
    </row>
    <row r="2822" spans="1:16">
      <c r="A2822" s="5">
        <v>45794</v>
      </c>
      <c r="B2822">
        <v>22</v>
      </c>
      <c r="C2822" t="s">
        <v>43</v>
      </c>
      <c r="D2822">
        <v>5</v>
      </c>
      <c r="E2822">
        <v>100</v>
      </c>
      <c r="F2822" t="s">
        <v>1</v>
      </c>
      <c r="G2822" s="6">
        <v>45825</v>
      </c>
      <c r="H2822">
        <v>31</v>
      </c>
      <c r="I2822">
        <f>ROUND(CompilDonnées[[#This Row],[CultureDuration_days]]/7,0)</f>
        <v>4</v>
      </c>
      <c r="J2822">
        <v>2897</v>
      </c>
      <c r="K2822" t="str">
        <f>_xlfn.CONCAT(WEEKNUM(CompilDonnées[[#This Row],[PlantationDate]]), " ", YEAR(CompilDonnées[[#This Row],[PlantationDate]]))</f>
        <v>20 2025</v>
      </c>
      <c r="L2822" t="str">
        <f>CONCATENATE(MONTH(CompilDonnées[[#This Row],[PlantationDate]])," ", YEAR(CompilDonnées[[#This Row],[PlantationDate]]))</f>
        <v>5 2025</v>
      </c>
      <c r="M2822" t="str">
        <f>CONCATENATE(MONTH(CompilDonnées[[#This Row],[HarvestingDate]])," ", YEAR(CompilDonnées[[#This Row],[HarvestingDate]]))</f>
        <v>6 2025</v>
      </c>
      <c r="N2822">
        <f>_xlfn.NUMBERVALUE(CompilDonnées[[#This Row],[FarmID]]&amp;CompilDonnées[[#This Row],[ModuleNumber]]&amp;CompilDonnées[[#This Row],[PlantationDate]])</f>
        <v>22545794</v>
      </c>
      <c r="O2822" t="str">
        <f>CompilDonnées[[#This Row],[FarmID]]&amp;CompilDonnées[[#This Row],[ModuleNumber]]</f>
        <v>225</v>
      </c>
      <c r="P2822" t="str">
        <f>CompilDonnées[[#This Row],[Ref_Module]]&amp;CompilDonnées[[#This Row],[HarvestingDate]]</f>
        <v>22545825</v>
      </c>
    </row>
    <row r="2823" spans="1:16">
      <c r="A2823" s="5">
        <v>45794</v>
      </c>
      <c r="B2823">
        <v>23</v>
      </c>
      <c r="C2823" t="s">
        <v>44</v>
      </c>
      <c r="D2823">
        <v>1</v>
      </c>
      <c r="E2823">
        <v>100</v>
      </c>
      <c r="F2823" t="s">
        <v>1</v>
      </c>
      <c r="G2823" s="6">
        <v>45825</v>
      </c>
      <c r="H2823">
        <v>31</v>
      </c>
      <c r="I2823">
        <f>ROUND(CompilDonnées[[#This Row],[CultureDuration_days]]/7,0)</f>
        <v>4</v>
      </c>
      <c r="J2823">
        <v>2136</v>
      </c>
      <c r="K2823" t="str">
        <f>_xlfn.CONCAT(WEEKNUM(CompilDonnées[[#This Row],[PlantationDate]]), " ", YEAR(CompilDonnées[[#This Row],[PlantationDate]]))</f>
        <v>20 2025</v>
      </c>
      <c r="L2823" t="str">
        <f>CONCATENATE(MONTH(CompilDonnées[[#This Row],[PlantationDate]])," ", YEAR(CompilDonnées[[#This Row],[PlantationDate]]))</f>
        <v>5 2025</v>
      </c>
      <c r="M2823" t="str">
        <f>CONCATENATE(MONTH(CompilDonnées[[#This Row],[HarvestingDate]])," ", YEAR(CompilDonnées[[#This Row],[HarvestingDate]]))</f>
        <v>6 2025</v>
      </c>
      <c r="N2823">
        <f>_xlfn.NUMBERVALUE(CompilDonnées[[#This Row],[FarmID]]&amp;CompilDonnées[[#This Row],[ModuleNumber]]&amp;CompilDonnées[[#This Row],[PlantationDate]])</f>
        <v>23145794</v>
      </c>
      <c r="O2823" t="str">
        <f>CompilDonnées[[#This Row],[FarmID]]&amp;CompilDonnées[[#This Row],[ModuleNumber]]</f>
        <v>231</v>
      </c>
      <c r="P2823" t="str">
        <f>CompilDonnées[[#This Row],[Ref_Module]]&amp;CompilDonnées[[#This Row],[HarvestingDate]]</f>
        <v>23145825</v>
      </c>
    </row>
    <row r="2824" spans="1:16">
      <c r="A2824" s="5">
        <v>45794</v>
      </c>
      <c r="B2824">
        <v>27</v>
      </c>
      <c r="C2824" t="s">
        <v>88</v>
      </c>
      <c r="D2824">
        <v>4</v>
      </c>
      <c r="E2824">
        <v>100</v>
      </c>
      <c r="F2824" t="s">
        <v>1</v>
      </c>
      <c r="G2824" s="6">
        <v>45830</v>
      </c>
      <c r="H2824">
        <v>36</v>
      </c>
      <c r="I2824">
        <f>ROUND(CompilDonnées[[#This Row],[CultureDuration_days]]/7,0)</f>
        <v>5</v>
      </c>
      <c r="J2824">
        <v>2828</v>
      </c>
      <c r="K2824" t="str">
        <f>_xlfn.CONCAT(WEEKNUM(CompilDonnées[[#This Row],[PlantationDate]]), " ", YEAR(CompilDonnées[[#This Row],[PlantationDate]]))</f>
        <v>20 2025</v>
      </c>
      <c r="L2824" t="str">
        <f>CONCATENATE(MONTH(CompilDonnées[[#This Row],[PlantationDate]])," ", YEAR(CompilDonnées[[#This Row],[PlantationDate]]))</f>
        <v>5 2025</v>
      </c>
      <c r="M2824" t="str">
        <f>CONCATENATE(MONTH(CompilDonnées[[#This Row],[HarvestingDate]])," ", YEAR(CompilDonnées[[#This Row],[HarvestingDate]]))</f>
        <v>6 2025</v>
      </c>
      <c r="N2824">
        <f>_xlfn.NUMBERVALUE(CompilDonnées[[#This Row],[FarmID]]&amp;CompilDonnées[[#This Row],[ModuleNumber]]&amp;CompilDonnées[[#This Row],[PlantationDate]])</f>
        <v>27445794</v>
      </c>
      <c r="O2824" t="str">
        <f>CompilDonnées[[#This Row],[FarmID]]&amp;CompilDonnées[[#This Row],[ModuleNumber]]</f>
        <v>274</v>
      </c>
      <c r="P2824" t="str">
        <f>CompilDonnées[[#This Row],[Ref_Module]]&amp;CompilDonnées[[#This Row],[HarvestingDate]]</f>
        <v>27445830</v>
      </c>
    </row>
    <row r="2825" spans="1:16">
      <c r="A2825" s="5">
        <v>45794</v>
      </c>
      <c r="B2825">
        <v>48</v>
      </c>
      <c r="C2825" t="s">
        <v>71</v>
      </c>
      <c r="D2825">
        <v>5</v>
      </c>
      <c r="E2825">
        <v>100</v>
      </c>
      <c r="F2825" t="s">
        <v>1</v>
      </c>
      <c r="G2825" s="6">
        <v>45830</v>
      </c>
      <c r="H2825">
        <v>36</v>
      </c>
      <c r="I2825">
        <f>ROUND(CompilDonnées[[#This Row],[CultureDuration_days]]/7,0)</f>
        <v>5</v>
      </c>
      <c r="J2825">
        <v>2841</v>
      </c>
      <c r="K2825" t="str">
        <f>_xlfn.CONCAT(WEEKNUM(CompilDonnées[[#This Row],[PlantationDate]]), " ", YEAR(CompilDonnées[[#This Row],[PlantationDate]]))</f>
        <v>20 2025</v>
      </c>
      <c r="L2825" t="str">
        <f>CONCATENATE(MONTH(CompilDonnées[[#This Row],[PlantationDate]])," ", YEAR(CompilDonnées[[#This Row],[PlantationDate]]))</f>
        <v>5 2025</v>
      </c>
      <c r="M2825" t="str">
        <f>CONCATENATE(MONTH(CompilDonnées[[#This Row],[HarvestingDate]])," ", YEAR(CompilDonnées[[#This Row],[HarvestingDate]]))</f>
        <v>6 2025</v>
      </c>
      <c r="N2825">
        <f>_xlfn.NUMBERVALUE(CompilDonnées[[#This Row],[FarmID]]&amp;CompilDonnées[[#This Row],[ModuleNumber]]&amp;CompilDonnées[[#This Row],[PlantationDate]])</f>
        <v>48545794</v>
      </c>
      <c r="O2825" t="str">
        <f>CompilDonnées[[#This Row],[FarmID]]&amp;CompilDonnées[[#This Row],[ModuleNumber]]</f>
        <v>485</v>
      </c>
      <c r="P2825" t="str">
        <f>CompilDonnées[[#This Row],[Ref_Module]]&amp;CompilDonnées[[#This Row],[HarvestingDate]]</f>
        <v>48545830</v>
      </c>
    </row>
    <row r="2826" spans="1:16">
      <c r="A2826" s="5">
        <v>45794</v>
      </c>
      <c r="B2826">
        <v>59</v>
      </c>
      <c r="C2826" t="s">
        <v>64</v>
      </c>
      <c r="D2826">
        <v>3</v>
      </c>
      <c r="E2826">
        <v>100</v>
      </c>
      <c r="F2826" t="s">
        <v>1</v>
      </c>
      <c r="G2826" s="6">
        <v>45827</v>
      </c>
      <c r="H2826">
        <v>33</v>
      </c>
      <c r="I2826">
        <f>ROUND(CompilDonnées[[#This Row],[CultureDuration_days]]/7,0)</f>
        <v>5</v>
      </c>
      <c r="J2826">
        <v>2757</v>
      </c>
      <c r="K2826" t="str">
        <f>_xlfn.CONCAT(WEEKNUM(CompilDonnées[[#This Row],[PlantationDate]]), " ", YEAR(CompilDonnées[[#This Row],[PlantationDate]]))</f>
        <v>20 2025</v>
      </c>
      <c r="L2826" t="str">
        <f>CONCATENATE(MONTH(CompilDonnées[[#This Row],[PlantationDate]])," ", YEAR(CompilDonnées[[#This Row],[PlantationDate]]))</f>
        <v>5 2025</v>
      </c>
      <c r="M2826" t="str">
        <f>CONCATENATE(MONTH(CompilDonnées[[#This Row],[HarvestingDate]])," ", YEAR(CompilDonnées[[#This Row],[HarvestingDate]]))</f>
        <v>6 2025</v>
      </c>
      <c r="N2826">
        <f>_xlfn.NUMBERVALUE(CompilDonnées[[#This Row],[FarmID]]&amp;CompilDonnées[[#This Row],[ModuleNumber]]&amp;CompilDonnées[[#This Row],[PlantationDate]])</f>
        <v>59345794</v>
      </c>
      <c r="O2826" t="str">
        <f>CompilDonnées[[#This Row],[FarmID]]&amp;CompilDonnées[[#This Row],[ModuleNumber]]</f>
        <v>593</v>
      </c>
      <c r="P2826" t="str">
        <f>CompilDonnées[[#This Row],[Ref_Module]]&amp;CompilDonnées[[#This Row],[HarvestingDate]]</f>
        <v>59345827</v>
      </c>
    </row>
    <row r="2827" spans="1:16">
      <c r="A2827" s="5">
        <v>45794</v>
      </c>
      <c r="B2827">
        <v>59</v>
      </c>
      <c r="C2827" t="s">
        <v>64</v>
      </c>
      <c r="D2827">
        <v>4</v>
      </c>
      <c r="E2827">
        <v>100</v>
      </c>
      <c r="F2827" t="s">
        <v>1</v>
      </c>
      <c r="G2827" s="6">
        <v>45827</v>
      </c>
      <c r="H2827">
        <v>33</v>
      </c>
      <c r="I2827">
        <f>ROUND(CompilDonnées[[#This Row],[CultureDuration_days]]/7,0)</f>
        <v>5</v>
      </c>
      <c r="J2827">
        <v>2750</v>
      </c>
      <c r="K2827" t="str">
        <f>_xlfn.CONCAT(WEEKNUM(CompilDonnées[[#This Row],[PlantationDate]]), " ", YEAR(CompilDonnées[[#This Row],[PlantationDate]]))</f>
        <v>20 2025</v>
      </c>
      <c r="L2827" t="str">
        <f>CONCATENATE(MONTH(CompilDonnées[[#This Row],[PlantationDate]])," ", YEAR(CompilDonnées[[#This Row],[PlantationDate]]))</f>
        <v>5 2025</v>
      </c>
      <c r="M2827" t="str">
        <f>CONCATENATE(MONTH(CompilDonnées[[#This Row],[HarvestingDate]])," ", YEAR(CompilDonnées[[#This Row],[HarvestingDate]]))</f>
        <v>6 2025</v>
      </c>
      <c r="N2827">
        <f>_xlfn.NUMBERVALUE(CompilDonnées[[#This Row],[FarmID]]&amp;CompilDonnées[[#This Row],[ModuleNumber]]&amp;CompilDonnées[[#This Row],[PlantationDate]])</f>
        <v>59445794</v>
      </c>
      <c r="O2827" t="str">
        <f>CompilDonnées[[#This Row],[FarmID]]&amp;CompilDonnées[[#This Row],[ModuleNumber]]</f>
        <v>594</v>
      </c>
      <c r="P2827" t="str">
        <f>CompilDonnées[[#This Row],[Ref_Module]]&amp;CompilDonnées[[#This Row],[HarvestingDate]]</f>
        <v>59445827</v>
      </c>
    </row>
    <row r="2828" spans="1:16">
      <c r="A2828" s="5">
        <v>45794</v>
      </c>
      <c r="B2828">
        <v>60</v>
      </c>
      <c r="C2828" t="s">
        <v>113</v>
      </c>
      <c r="D2828">
        <v>1</v>
      </c>
      <c r="E2828">
        <v>100</v>
      </c>
      <c r="F2828" t="s">
        <v>1</v>
      </c>
      <c r="G2828" s="6">
        <v>45831</v>
      </c>
      <c r="H2828">
        <v>37</v>
      </c>
      <c r="I2828">
        <f>ROUND(CompilDonnées[[#This Row],[CultureDuration_days]]/7,0)</f>
        <v>5</v>
      </c>
      <c r="J2828">
        <v>2479</v>
      </c>
      <c r="K2828" t="str">
        <f>_xlfn.CONCAT(WEEKNUM(CompilDonnées[[#This Row],[PlantationDate]]), " ", YEAR(CompilDonnées[[#This Row],[PlantationDate]]))</f>
        <v>20 2025</v>
      </c>
      <c r="L2828" t="str">
        <f>CONCATENATE(MONTH(CompilDonnées[[#This Row],[PlantationDate]])," ", YEAR(CompilDonnées[[#This Row],[PlantationDate]]))</f>
        <v>5 2025</v>
      </c>
      <c r="M2828" t="str">
        <f>CONCATENATE(MONTH(CompilDonnées[[#This Row],[HarvestingDate]])," ", YEAR(CompilDonnées[[#This Row],[HarvestingDate]]))</f>
        <v>6 2025</v>
      </c>
      <c r="N2828">
        <f>_xlfn.NUMBERVALUE(CompilDonnées[[#This Row],[FarmID]]&amp;CompilDonnées[[#This Row],[ModuleNumber]]&amp;CompilDonnées[[#This Row],[PlantationDate]])</f>
        <v>60145794</v>
      </c>
      <c r="O2828" t="str">
        <f>CompilDonnées[[#This Row],[FarmID]]&amp;CompilDonnées[[#This Row],[ModuleNumber]]</f>
        <v>601</v>
      </c>
      <c r="P2828" t="str">
        <f>CompilDonnées[[#This Row],[Ref_Module]]&amp;CompilDonnées[[#This Row],[HarvestingDate]]</f>
        <v>60145831</v>
      </c>
    </row>
    <row r="2829" spans="1:16">
      <c r="A2829" s="5">
        <v>45794</v>
      </c>
      <c r="B2829">
        <v>61</v>
      </c>
      <c r="C2829" t="s">
        <v>95</v>
      </c>
      <c r="D2829">
        <v>1</v>
      </c>
      <c r="E2829">
        <v>100</v>
      </c>
      <c r="F2829" t="s">
        <v>1</v>
      </c>
      <c r="G2829" s="6">
        <v>45826</v>
      </c>
      <c r="H2829">
        <v>32</v>
      </c>
      <c r="I2829">
        <f>ROUND(CompilDonnées[[#This Row],[CultureDuration_days]]/7,0)</f>
        <v>5</v>
      </c>
      <c r="J2829">
        <v>2385</v>
      </c>
      <c r="K2829" t="str">
        <f>_xlfn.CONCAT(WEEKNUM(CompilDonnées[[#This Row],[PlantationDate]]), " ", YEAR(CompilDonnées[[#This Row],[PlantationDate]]))</f>
        <v>20 2025</v>
      </c>
      <c r="L2829" t="str">
        <f>CONCATENATE(MONTH(CompilDonnées[[#This Row],[PlantationDate]])," ", YEAR(CompilDonnées[[#This Row],[PlantationDate]]))</f>
        <v>5 2025</v>
      </c>
      <c r="M2829" t="str">
        <f>CONCATENATE(MONTH(CompilDonnées[[#This Row],[HarvestingDate]])," ", YEAR(CompilDonnées[[#This Row],[HarvestingDate]]))</f>
        <v>6 2025</v>
      </c>
      <c r="N2829">
        <f>_xlfn.NUMBERVALUE(CompilDonnées[[#This Row],[FarmID]]&amp;CompilDonnées[[#This Row],[ModuleNumber]]&amp;CompilDonnées[[#This Row],[PlantationDate]])</f>
        <v>61145794</v>
      </c>
      <c r="O2829" t="str">
        <f>CompilDonnées[[#This Row],[FarmID]]&amp;CompilDonnées[[#This Row],[ModuleNumber]]</f>
        <v>611</v>
      </c>
      <c r="P2829" t="str">
        <f>CompilDonnées[[#This Row],[Ref_Module]]&amp;CompilDonnées[[#This Row],[HarvestingDate]]</f>
        <v>61145826</v>
      </c>
    </row>
    <row r="2830" spans="1:16">
      <c r="A2830" s="5">
        <v>45794</v>
      </c>
      <c r="B2830">
        <v>63</v>
      </c>
      <c r="C2830" t="s">
        <v>98</v>
      </c>
      <c r="D2830">
        <v>1</v>
      </c>
      <c r="E2830">
        <v>100</v>
      </c>
      <c r="F2830" t="s">
        <v>1</v>
      </c>
      <c r="G2830" s="6">
        <v>45826</v>
      </c>
      <c r="H2830">
        <v>32</v>
      </c>
      <c r="I2830">
        <f>ROUND(CompilDonnées[[#This Row],[CultureDuration_days]]/7,0)</f>
        <v>5</v>
      </c>
      <c r="J2830">
        <v>1705</v>
      </c>
      <c r="K2830" t="str">
        <f>_xlfn.CONCAT(WEEKNUM(CompilDonnées[[#This Row],[PlantationDate]]), " ", YEAR(CompilDonnées[[#This Row],[PlantationDate]]))</f>
        <v>20 2025</v>
      </c>
      <c r="L2830" t="str">
        <f>CONCATENATE(MONTH(CompilDonnées[[#This Row],[PlantationDate]])," ", YEAR(CompilDonnées[[#This Row],[PlantationDate]]))</f>
        <v>5 2025</v>
      </c>
      <c r="M2830" t="str">
        <f>CONCATENATE(MONTH(CompilDonnées[[#This Row],[HarvestingDate]])," ", YEAR(CompilDonnées[[#This Row],[HarvestingDate]]))</f>
        <v>6 2025</v>
      </c>
      <c r="N2830">
        <f>_xlfn.NUMBERVALUE(CompilDonnées[[#This Row],[FarmID]]&amp;CompilDonnées[[#This Row],[ModuleNumber]]&amp;CompilDonnées[[#This Row],[PlantationDate]])</f>
        <v>63145794</v>
      </c>
      <c r="O2830" t="str">
        <f>CompilDonnées[[#This Row],[FarmID]]&amp;CompilDonnées[[#This Row],[ModuleNumber]]</f>
        <v>631</v>
      </c>
      <c r="P2830" t="str">
        <f>CompilDonnées[[#This Row],[Ref_Module]]&amp;CompilDonnées[[#This Row],[HarvestingDate]]</f>
        <v>63145826</v>
      </c>
    </row>
    <row r="2831" spans="1:16">
      <c r="A2831" s="5">
        <v>45794</v>
      </c>
      <c r="B2831">
        <v>64</v>
      </c>
      <c r="C2831" t="s">
        <v>47</v>
      </c>
      <c r="D2831">
        <v>1</v>
      </c>
      <c r="E2831">
        <v>100</v>
      </c>
      <c r="F2831" t="s">
        <v>1</v>
      </c>
      <c r="G2831" s="6">
        <v>45831</v>
      </c>
      <c r="H2831">
        <v>37</v>
      </c>
      <c r="I2831">
        <f>ROUND(CompilDonnées[[#This Row],[CultureDuration_days]]/7,0)</f>
        <v>5</v>
      </c>
      <c r="J2831">
        <v>2160</v>
      </c>
      <c r="K2831" t="str">
        <f>_xlfn.CONCAT(WEEKNUM(CompilDonnées[[#This Row],[PlantationDate]]), " ", YEAR(CompilDonnées[[#This Row],[PlantationDate]]))</f>
        <v>20 2025</v>
      </c>
      <c r="L2831" t="str">
        <f>CONCATENATE(MONTH(CompilDonnées[[#This Row],[PlantationDate]])," ", YEAR(CompilDonnées[[#This Row],[PlantationDate]]))</f>
        <v>5 2025</v>
      </c>
      <c r="M2831" t="str">
        <f>CONCATENATE(MONTH(CompilDonnées[[#This Row],[HarvestingDate]])," ", YEAR(CompilDonnées[[#This Row],[HarvestingDate]]))</f>
        <v>6 2025</v>
      </c>
      <c r="N2831">
        <f>_xlfn.NUMBERVALUE(CompilDonnées[[#This Row],[FarmID]]&amp;CompilDonnées[[#This Row],[ModuleNumber]]&amp;CompilDonnées[[#This Row],[PlantationDate]])</f>
        <v>64145794</v>
      </c>
      <c r="O2831" t="str">
        <f>CompilDonnées[[#This Row],[FarmID]]&amp;CompilDonnées[[#This Row],[ModuleNumber]]</f>
        <v>641</v>
      </c>
      <c r="P2831" t="str">
        <f>CompilDonnées[[#This Row],[Ref_Module]]&amp;CompilDonnées[[#This Row],[HarvestingDate]]</f>
        <v>64145831</v>
      </c>
    </row>
    <row r="2832" spans="1:16">
      <c r="A2832" s="5">
        <v>45794</v>
      </c>
      <c r="B2832">
        <v>65</v>
      </c>
      <c r="C2832" t="s">
        <v>36</v>
      </c>
      <c r="D2832">
        <v>5</v>
      </c>
      <c r="E2832">
        <v>100</v>
      </c>
      <c r="F2832" t="s">
        <v>1</v>
      </c>
      <c r="G2832" s="6">
        <v>45843</v>
      </c>
      <c r="H2832">
        <v>49</v>
      </c>
      <c r="I2832">
        <f>ROUND(CompilDonnées[[#This Row],[CultureDuration_days]]/7,0)</f>
        <v>7</v>
      </c>
      <c r="J2832">
        <v>2811</v>
      </c>
      <c r="K2832" t="str">
        <f>_xlfn.CONCAT(WEEKNUM(CompilDonnées[[#This Row],[PlantationDate]]), " ", YEAR(CompilDonnées[[#This Row],[PlantationDate]]))</f>
        <v>20 2025</v>
      </c>
      <c r="L2832" t="str">
        <f>CONCATENATE(MONTH(CompilDonnées[[#This Row],[PlantationDate]])," ", YEAR(CompilDonnées[[#This Row],[PlantationDate]]))</f>
        <v>5 2025</v>
      </c>
      <c r="M2832" t="str">
        <f>CONCATENATE(MONTH(CompilDonnées[[#This Row],[HarvestingDate]])," ", YEAR(CompilDonnées[[#This Row],[HarvestingDate]]))</f>
        <v>7 2025</v>
      </c>
      <c r="N2832">
        <f>_xlfn.NUMBERVALUE(CompilDonnées[[#This Row],[FarmID]]&amp;CompilDonnées[[#This Row],[ModuleNumber]]&amp;CompilDonnées[[#This Row],[PlantationDate]])</f>
        <v>65545794</v>
      </c>
      <c r="O2832" t="str">
        <f>CompilDonnées[[#This Row],[FarmID]]&amp;CompilDonnées[[#This Row],[ModuleNumber]]</f>
        <v>655</v>
      </c>
      <c r="P2832" t="str">
        <f>CompilDonnées[[#This Row],[Ref_Module]]&amp;CompilDonnées[[#This Row],[HarvestingDate]]</f>
        <v>65545843</v>
      </c>
    </row>
    <row r="2833" spans="1:16">
      <c r="A2833" s="5">
        <v>45794</v>
      </c>
      <c r="B2833">
        <v>68</v>
      </c>
      <c r="C2833" t="s">
        <v>89</v>
      </c>
      <c r="D2833">
        <v>4</v>
      </c>
      <c r="E2833">
        <v>100</v>
      </c>
      <c r="F2833" t="s">
        <v>1</v>
      </c>
      <c r="G2833" s="6">
        <v>45831</v>
      </c>
      <c r="H2833">
        <v>37</v>
      </c>
      <c r="I2833">
        <f>ROUND(CompilDonnées[[#This Row],[CultureDuration_days]]/7,0)</f>
        <v>5</v>
      </c>
      <c r="J2833">
        <v>3323</v>
      </c>
      <c r="K2833" t="str">
        <f>_xlfn.CONCAT(WEEKNUM(CompilDonnées[[#This Row],[PlantationDate]]), " ", YEAR(CompilDonnées[[#This Row],[PlantationDate]]))</f>
        <v>20 2025</v>
      </c>
      <c r="L2833" t="str">
        <f>CONCATENATE(MONTH(CompilDonnées[[#This Row],[PlantationDate]])," ", YEAR(CompilDonnées[[#This Row],[PlantationDate]]))</f>
        <v>5 2025</v>
      </c>
      <c r="M2833" t="str">
        <f>CONCATENATE(MONTH(CompilDonnées[[#This Row],[HarvestingDate]])," ", YEAR(CompilDonnées[[#This Row],[HarvestingDate]]))</f>
        <v>6 2025</v>
      </c>
      <c r="N2833">
        <f>_xlfn.NUMBERVALUE(CompilDonnées[[#This Row],[FarmID]]&amp;CompilDonnées[[#This Row],[ModuleNumber]]&amp;CompilDonnées[[#This Row],[PlantationDate]])</f>
        <v>68445794</v>
      </c>
      <c r="O2833" t="str">
        <f>CompilDonnées[[#This Row],[FarmID]]&amp;CompilDonnées[[#This Row],[ModuleNumber]]</f>
        <v>684</v>
      </c>
      <c r="P2833" t="str">
        <f>CompilDonnées[[#This Row],[Ref_Module]]&amp;CompilDonnées[[#This Row],[HarvestingDate]]</f>
        <v>68445831</v>
      </c>
    </row>
    <row r="2834" spans="1:16">
      <c r="A2834" s="5">
        <v>45794</v>
      </c>
      <c r="B2834">
        <v>71</v>
      </c>
      <c r="C2834" t="s">
        <v>19</v>
      </c>
      <c r="D2834">
        <v>3</v>
      </c>
      <c r="E2834">
        <v>100</v>
      </c>
      <c r="F2834" t="s">
        <v>1</v>
      </c>
      <c r="G2834" s="6">
        <v>45843</v>
      </c>
      <c r="H2834">
        <v>49</v>
      </c>
      <c r="I2834">
        <f>ROUND(CompilDonnées[[#This Row],[CultureDuration_days]]/7,0)</f>
        <v>7</v>
      </c>
      <c r="J2834">
        <v>2320</v>
      </c>
      <c r="K2834" t="str">
        <f>_xlfn.CONCAT(WEEKNUM(CompilDonnées[[#This Row],[PlantationDate]]), " ", YEAR(CompilDonnées[[#This Row],[PlantationDate]]))</f>
        <v>20 2025</v>
      </c>
      <c r="L2834" t="str">
        <f>CONCATENATE(MONTH(CompilDonnées[[#This Row],[PlantationDate]])," ", YEAR(CompilDonnées[[#This Row],[PlantationDate]]))</f>
        <v>5 2025</v>
      </c>
      <c r="M2834" t="str">
        <f>CONCATENATE(MONTH(CompilDonnées[[#This Row],[HarvestingDate]])," ", YEAR(CompilDonnées[[#This Row],[HarvestingDate]]))</f>
        <v>7 2025</v>
      </c>
      <c r="N2834">
        <f>_xlfn.NUMBERVALUE(CompilDonnées[[#This Row],[FarmID]]&amp;CompilDonnées[[#This Row],[ModuleNumber]]&amp;CompilDonnées[[#This Row],[PlantationDate]])</f>
        <v>71345794</v>
      </c>
      <c r="O2834" t="str">
        <f>CompilDonnées[[#This Row],[FarmID]]&amp;CompilDonnées[[#This Row],[ModuleNumber]]</f>
        <v>713</v>
      </c>
      <c r="P2834" t="str">
        <f>CompilDonnées[[#This Row],[Ref_Module]]&amp;CompilDonnées[[#This Row],[HarvestingDate]]</f>
        <v>71345843</v>
      </c>
    </row>
    <row r="2835" spans="1:16">
      <c r="A2835" s="5">
        <v>45794</v>
      </c>
      <c r="B2835">
        <v>72</v>
      </c>
      <c r="C2835" t="s">
        <v>49</v>
      </c>
      <c r="D2835">
        <v>2</v>
      </c>
      <c r="E2835">
        <v>100</v>
      </c>
      <c r="F2835" t="s">
        <v>1</v>
      </c>
      <c r="G2835" s="6">
        <v>45827</v>
      </c>
      <c r="H2835">
        <v>33</v>
      </c>
      <c r="I2835">
        <f>ROUND(CompilDonnées[[#This Row],[CultureDuration_days]]/7,0)</f>
        <v>5</v>
      </c>
      <c r="J2835">
        <v>2221</v>
      </c>
      <c r="K2835" t="str">
        <f>_xlfn.CONCAT(WEEKNUM(CompilDonnées[[#This Row],[PlantationDate]]), " ", YEAR(CompilDonnées[[#This Row],[PlantationDate]]))</f>
        <v>20 2025</v>
      </c>
      <c r="L2835" t="str">
        <f>CONCATENATE(MONTH(CompilDonnées[[#This Row],[PlantationDate]])," ", YEAR(CompilDonnées[[#This Row],[PlantationDate]]))</f>
        <v>5 2025</v>
      </c>
      <c r="M2835" t="str">
        <f>CONCATENATE(MONTH(CompilDonnées[[#This Row],[HarvestingDate]])," ", YEAR(CompilDonnées[[#This Row],[HarvestingDate]]))</f>
        <v>6 2025</v>
      </c>
      <c r="N2835">
        <f>_xlfn.NUMBERVALUE(CompilDonnées[[#This Row],[FarmID]]&amp;CompilDonnées[[#This Row],[ModuleNumber]]&amp;CompilDonnées[[#This Row],[PlantationDate]])</f>
        <v>72245794</v>
      </c>
      <c r="O2835" t="str">
        <f>CompilDonnées[[#This Row],[FarmID]]&amp;CompilDonnées[[#This Row],[ModuleNumber]]</f>
        <v>722</v>
      </c>
      <c r="P2835" t="str">
        <f>CompilDonnées[[#This Row],[Ref_Module]]&amp;CompilDonnées[[#This Row],[HarvestingDate]]</f>
        <v>72245827</v>
      </c>
    </row>
    <row r="2836" spans="1:16">
      <c r="A2836" s="5">
        <v>45794</v>
      </c>
      <c r="B2836">
        <v>77</v>
      </c>
      <c r="C2836" t="s">
        <v>75</v>
      </c>
      <c r="D2836">
        <v>3</v>
      </c>
      <c r="E2836">
        <v>100</v>
      </c>
      <c r="F2836" t="s">
        <v>1</v>
      </c>
      <c r="G2836" s="6">
        <v>45830</v>
      </c>
      <c r="H2836">
        <v>36</v>
      </c>
      <c r="I2836">
        <f>ROUND(CompilDonnées[[#This Row],[CultureDuration_days]]/7,0)</f>
        <v>5</v>
      </c>
      <c r="J2836">
        <v>2527</v>
      </c>
      <c r="K2836" t="str">
        <f>_xlfn.CONCAT(WEEKNUM(CompilDonnées[[#This Row],[PlantationDate]]), " ", YEAR(CompilDonnées[[#This Row],[PlantationDate]]))</f>
        <v>20 2025</v>
      </c>
      <c r="L2836" t="str">
        <f>CONCATENATE(MONTH(CompilDonnées[[#This Row],[PlantationDate]])," ", YEAR(CompilDonnées[[#This Row],[PlantationDate]]))</f>
        <v>5 2025</v>
      </c>
      <c r="M2836" t="str">
        <f>CONCATENATE(MONTH(CompilDonnées[[#This Row],[HarvestingDate]])," ", YEAR(CompilDonnées[[#This Row],[HarvestingDate]]))</f>
        <v>6 2025</v>
      </c>
      <c r="N2836">
        <f>_xlfn.NUMBERVALUE(CompilDonnées[[#This Row],[FarmID]]&amp;CompilDonnées[[#This Row],[ModuleNumber]]&amp;CompilDonnées[[#This Row],[PlantationDate]])</f>
        <v>77345794</v>
      </c>
      <c r="O2836" t="str">
        <f>CompilDonnées[[#This Row],[FarmID]]&amp;CompilDonnées[[#This Row],[ModuleNumber]]</f>
        <v>773</v>
      </c>
      <c r="P2836" t="str">
        <f>CompilDonnées[[#This Row],[Ref_Module]]&amp;CompilDonnées[[#This Row],[HarvestingDate]]</f>
        <v>77345830</v>
      </c>
    </row>
    <row r="2837" spans="1:16">
      <c r="A2837" s="5">
        <v>45794</v>
      </c>
      <c r="B2837">
        <v>79</v>
      </c>
      <c r="C2837" t="s">
        <v>61</v>
      </c>
      <c r="D2837">
        <v>2</v>
      </c>
      <c r="E2837">
        <v>100</v>
      </c>
      <c r="F2837" t="s">
        <v>1</v>
      </c>
      <c r="G2837" s="6">
        <v>45848</v>
      </c>
      <c r="H2837">
        <v>54</v>
      </c>
      <c r="I2837">
        <f>ROUND(CompilDonnées[[#This Row],[CultureDuration_days]]/7,0)</f>
        <v>8</v>
      </c>
      <c r="J2837">
        <v>3079</v>
      </c>
      <c r="K2837" t="str">
        <f>_xlfn.CONCAT(WEEKNUM(CompilDonnées[[#This Row],[PlantationDate]]), " ", YEAR(CompilDonnées[[#This Row],[PlantationDate]]))</f>
        <v>20 2025</v>
      </c>
      <c r="L2837" t="str">
        <f>CONCATENATE(MONTH(CompilDonnées[[#This Row],[PlantationDate]])," ", YEAR(CompilDonnées[[#This Row],[PlantationDate]]))</f>
        <v>5 2025</v>
      </c>
      <c r="M2837" t="str">
        <f>CONCATENATE(MONTH(CompilDonnées[[#This Row],[HarvestingDate]])," ", YEAR(CompilDonnées[[#This Row],[HarvestingDate]]))</f>
        <v>7 2025</v>
      </c>
      <c r="N2837">
        <f>_xlfn.NUMBERVALUE(CompilDonnées[[#This Row],[FarmID]]&amp;CompilDonnées[[#This Row],[ModuleNumber]]&amp;CompilDonnées[[#This Row],[PlantationDate]])</f>
        <v>79245794</v>
      </c>
      <c r="O2837" t="str">
        <f>CompilDonnées[[#This Row],[FarmID]]&amp;CompilDonnées[[#This Row],[ModuleNumber]]</f>
        <v>792</v>
      </c>
      <c r="P2837" t="str">
        <f>CompilDonnées[[#This Row],[Ref_Module]]&amp;CompilDonnées[[#This Row],[HarvestingDate]]</f>
        <v>79245848</v>
      </c>
    </row>
    <row r="2838" spans="1:16">
      <c r="A2838" s="5">
        <v>45794</v>
      </c>
      <c r="B2838">
        <v>80</v>
      </c>
      <c r="C2838" t="s">
        <v>29</v>
      </c>
      <c r="D2838">
        <v>2</v>
      </c>
      <c r="E2838">
        <v>100</v>
      </c>
      <c r="F2838" t="s">
        <v>1</v>
      </c>
      <c r="G2838" s="6">
        <v>45826</v>
      </c>
      <c r="H2838">
        <v>32</v>
      </c>
      <c r="I2838">
        <f>ROUND(CompilDonnées[[#This Row],[CultureDuration_days]]/7,0)</f>
        <v>5</v>
      </c>
      <c r="J2838">
        <v>3017</v>
      </c>
      <c r="K2838" t="str">
        <f>_xlfn.CONCAT(WEEKNUM(CompilDonnées[[#This Row],[PlantationDate]]), " ", YEAR(CompilDonnées[[#This Row],[PlantationDate]]))</f>
        <v>20 2025</v>
      </c>
      <c r="L2838" t="str">
        <f>CONCATENATE(MONTH(CompilDonnées[[#This Row],[PlantationDate]])," ", YEAR(CompilDonnées[[#This Row],[PlantationDate]]))</f>
        <v>5 2025</v>
      </c>
      <c r="M2838" t="str">
        <f>CONCATENATE(MONTH(CompilDonnées[[#This Row],[HarvestingDate]])," ", YEAR(CompilDonnées[[#This Row],[HarvestingDate]]))</f>
        <v>6 2025</v>
      </c>
      <c r="N2838">
        <f>_xlfn.NUMBERVALUE(CompilDonnées[[#This Row],[FarmID]]&amp;CompilDonnées[[#This Row],[ModuleNumber]]&amp;CompilDonnées[[#This Row],[PlantationDate]])</f>
        <v>80245794</v>
      </c>
      <c r="O2838" t="str">
        <f>CompilDonnées[[#This Row],[FarmID]]&amp;CompilDonnées[[#This Row],[ModuleNumber]]</f>
        <v>802</v>
      </c>
      <c r="P2838" t="str">
        <f>CompilDonnées[[#This Row],[Ref_Module]]&amp;CompilDonnées[[#This Row],[HarvestingDate]]</f>
        <v>80245826</v>
      </c>
    </row>
    <row r="2839" spans="1:16">
      <c r="A2839" s="5">
        <v>45794</v>
      </c>
      <c r="B2839">
        <v>82</v>
      </c>
      <c r="C2839" t="s">
        <v>17</v>
      </c>
      <c r="D2839">
        <v>6</v>
      </c>
      <c r="E2839">
        <v>100</v>
      </c>
      <c r="F2839" t="s">
        <v>1</v>
      </c>
      <c r="G2839" s="6">
        <v>45826</v>
      </c>
      <c r="H2839">
        <v>32</v>
      </c>
      <c r="I2839">
        <f>ROUND(CompilDonnées[[#This Row],[CultureDuration_days]]/7,0)</f>
        <v>5</v>
      </c>
      <c r="J2839">
        <v>2734</v>
      </c>
      <c r="K2839" t="str">
        <f>_xlfn.CONCAT(WEEKNUM(CompilDonnées[[#This Row],[PlantationDate]]), " ", YEAR(CompilDonnées[[#This Row],[PlantationDate]]))</f>
        <v>20 2025</v>
      </c>
      <c r="L2839" t="str">
        <f>CONCATENATE(MONTH(CompilDonnées[[#This Row],[PlantationDate]])," ", YEAR(CompilDonnées[[#This Row],[PlantationDate]]))</f>
        <v>5 2025</v>
      </c>
      <c r="M2839" t="str">
        <f>CONCATENATE(MONTH(CompilDonnées[[#This Row],[HarvestingDate]])," ", YEAR(CompilDonnées[[#This Row],[HarvestingDate]]))</f>
        <v>6 2025</v>
      </c>
      <c r="N2839">
        <f>_xlfn.NUMBERVALUE(CompilDonnées[[#This Row],[FarmID]]&amp;CompilDonnées[[#This Row],[ModuleNumber]]&amp;CompilDonnées[[#This Row],[PlantationDate]])</f>
        <v>82645794</v>
      </c>
      <c r="O2839" t="str">
        <f>CompilDonnées[[#This Row],[FarmID]]&amp;CompilDonnées[[#This Row],[ModuleNumber]]</f>
        <v>826</v>
      </c>
      <c r="P2839" t="str">
        <f>CompilDonnées[[#This Row],[Ref_Module]]&amp;CompilDonnées[[#This Row],[HarvestingDate]]</f>
        <v>82645826</v>
      </c>
    </row>
    <row r="2840" spans="1:16">
      <c r="A2840" s="5">
        <v>45794</v>
      </c>
      <c r="B2840">
        <v>84</v>
      </c>
      <c r="C2840" t="s">
        <v>65</v>
      </c>
      <c r="D2840">
        <v>5</v>
      </c>
      <c r="E2840">
        <v>100</v>
      </c>
      <c r="F2840" t="s">
        <v>1</v>
      </c>
      <c r="G2840" s="6">
        <v>45842</v>
      </c>
      <c r="H2840">
        <v>48</v>
      </c>
      <c r="I2840">
        <f>ROUND(CompilDonnées[[#This Row],[CultureDuration_days]]/7,0)</f>
        <v>7</v>
      </c>
      <c r="J2840">
        <v>2717</v>
      </c>
      <c r="K2840" t="str">
        <f>_xlfn.CONCAT(WEEKNUM(CompilDonnées[[#This Row],[PlantationDate]]), " ", YEAR(CompilDonnées[[#This Row],[PlantationDate]]))</f>
        <v>20 2025</v>
      </c>
      <c r="L2840" t="str">
        <f>CONCATENATE(MONTH(CompilDonnées[[#This Row],[PlantationDate]])," ", YEAR(CompilDonnées[[#This Row],[PlantationDate]]))</f>
        <v>5 2025</v>
      </c>
      <c r="M2840" t="str">
        <f>CONCATENATE(MONTH(CompilDonnées[[#This Row],[HarvestingDate]])," ", YEAR(CompilDonnées[[#This Row],[HarvestingDate]]))</f>
        <v>7 2025</v>
      </c>
      <c r="N2840">
        <f>_xlfn.NUMBERVALUE(CompilDonnées[[#This Row],[FarmID]]&amp;CompilDonnées[[#This Row],[ModuleNumber]]&amp;CompilDonnées[[#This Row],[PlantationDate]])</f>
        <v>84545794</v>
      </c>
      <c r="O2840" t="str">
        <f>CompilDonnées[[#This Row],[FarmID]]&amp;CompilDonnées[[#This Row],[ModuleNumber]]</f>
        <v>845</v>
      </c>
      <c r="P2840" t="str">
        <f>CompilDonnées[[#This Row],[Ref_Module]]&amp;CompilDonnées[[#This Row],[HarvestingDate]]</f>
        <v>84545842</v>
      </c>
    </row>
    <row r="2841" spans="1:16">
      <c r="A2841" s="5">
        <v>45794</v>
      </c>
      <c r="B2841">
        <v>85</v>
      </c>
      <c r="C2841" t="s">
        <v>56</v>
      </c>
      <c r="D2841">
        <v>4</v>
      </c>
      <c r="E2841">
        <v>100</v>
      </c>
      <c r="F2841" t="s">
        <v>1</v>
      </c>
      <c r="G2841" s="6">
        <v>45842</v>
      </c>
      <c r="H2841">
        <v>48</v>
      </c>
      <c r="I2841">
        <f>ROUND(CompilDonnées[[#This Row],[CultureDuration_days]]/7,0)</f>
        <v>7</v>
      </c>
      <c r="J2841">
        <v>2818</v>
      </c>
      <c r="K2841" t="str">
        <f>_xlfn.CONCAT(WEEKNUM(CompilDonnées[[#This Row],[PlantationDate]]), " ", YEAR(CompilDonnées[[#This Row],[PlantationDate]]))</f>
        <v>20 2025</v>
      </c>
      <c r="L2841" t="str">
        <f>CONCATENATE(MONTH(CompilDonnées[[#This Row],[PlantationDate]])," ", YEAR(CompilDonnées[[#This Row],[PlantationDate]]))</f>
        <v>5 2025</v>
      </c>
      <c r="M2841" t="str">
        <f>CONCATENATE(MONTH(CompilDonnées[[#This Row],[HarvestingDate]])," ", YEAR(CompilDonnées[[#This Row],[HarvestingDate]]))</f>
        <v>7 2025</v>
      </c>
      <c r="N2841">
        <f>_xlfn.NUMBERVALUE(CompilDonnées[[#This Row],[FarmID]]&amp;CompilDonnées[[#This Row],[ModuleNumber]]&amp;CompilDonnées[[#This Row],[PlantationDate]])</f>
        <v>85445794</v>
      </c>
      <c r="O2841" t="str">
        <f>CompilDonnées[[#This Row],[FarmID]]&amp;CompilDonnées[[#This Row],[ModuleNumber]]</f>
        <v>854</v>
      </c>
      <c r="P2841" t="str">
        <f>CompilDonnées[[#This Row],[Ref_Module]]&amp;CompilDonnées[[#This Row],[HarvestingDate]]</f>
        <v>85445842</v>
      </c>
    </row>
    <row r="2842" spans="1:16">
      <c r="A2842" s="5">
        <v>45794</v>
      </c>
      <c r="B2842">
        <v>86</v>
      </c>
      <c r="C2842" t="s">
        <v>37</v>
      </c>
      <c r="D2842">
        <v>3</v>
      </c>
      <c r="E2842">
        <v>100</v>
      </c>
      <c r="F2842" t="s">
        <v>1</v>
      </c>
      <c r="G2842" s="6">
        <v>45842</v>
      </c>
      <c r="H2842">
        <v>48</v>
      </c>
      <c r="I2842">
        <f>ROUND(CompilDonnées[[#This Row],[CultureDuration_days]]/7,0)</f>
        <v>7</v>
      </c>
      <c r="J2842">
        <v>2762</v>
      </c>
      <c r="K2842" t="str">
        <f>_xlfn.CONCAT(WEEKNUM(CompilDonnées[[#This Row],[PlantationDate]]), " ", YEAR(CompilDonnées[[#This Row],[PlantationDate]]))</f>
        <v>20 2025</v>
      </c>
      <c r="L2842" t="str">
        <f>CONCATENATE(MONTH(CompilDonnées[[#This Row],[PlantationDate]])," ", YEAR(CompilDonnées[[#This Row],[PlantationDate]]))</f>
        <v>5 2025</v>
      </c>
      <c r="M2842" t="str">
        <f>CONCATENATE(MONTH(CompilDonnées[[#This Row],[HarvestingDate]])," ", YEAR(CompilDonnées[[#This Row],[HarvestingDate]]))</f>
        <v>7 2025</v>
      </c>
      <c r="N2842">
        <f>_xlfn.NUMBERVALUE(CompilDonnées[[#This Row],[FarmID]]&amp;CompilDonnées[[#This Row],[ModuleNumber]]&amp;CompilDonnées[[#This Row],[PlantationDate]])</f>
        <v>86345794</v>
      </c>
      <c r="O2842" t="str">
        <f>CompilDonnées[[#This Row],[FarmID]]&amp;CompilDonnées[[#This Row],[ModuleNumber]]</f>
        <v>863</v>
      </c>
      <c r="P2842" t="str">
        <f>CompilDonnées[[#This Row],[Ref_Module]]&amp;CompilDonnées[[#This Row],[HarvestingDate]]</f>
        <v>86345842</v>
      </c>
    </row>
    <row r="2843" spans="1:16">
      <c r="A2843" s="5">
        <v>45794</v>
      </c>
      <c r="B2843">
        <v>88</v>
      </c>
      <c r="C2843" t="s">
        <v>94</v>
      </c>
      <c r="D2843">
        <v>6</v>
      </c>
      <c r="E2843">
        <v>100</v>
      </c>
      <c r="F2843" t="s">
        <v>1</v>
      </c>
      <c r="G2843" s="6">
        <v>45827</v>
      </c>
      <c r="H2843">
        <v>33</v>
      </c>
      <c r="I2843">
        <f>ROUND(CompilDonnées[[#This Row],[CultureDuration_days]]/7,0)</f>
        <v>5</v>
      </c>
      <c r="J2843">
        <v>3081</v>
      </c>
      <c r="K2843" t="str">
        <f>_xlfn.CONCAT(WEEKNUM(CompilDonnées[[#This Row],[PlantationDate]]), " ", YEAR(CompilDonnées[[#This Row],[PlantationDate]]))</f>
        <v>20 2025</v>
      </c>
      <c r="L2843" t="str">
        <f>CONCATENATE(MONTH(CompilDonnées[[#This Row],[PlantationDate]])," ", YEAR(CompilDonnées[[#This Row],[PlantationDate]]))</f>
        <v>5 2025</v>
      </c>
      <c r="M2843" t="str">
        <f>CONCATENATE(MONTH(CompilDonnées[[#This Row],[HarvestingDate]])," ", YEAR(CompilDonnées[[#This Row],[HarvestingDate]]))</f>
        <v>6 2025</v>
      </c>
      <c r="N2843">
        <f>_xlfn.NUMBERVALUE(CompilDonnées[[#This Row],[FarmID]]&amp;CompilDonnées[[#This Row],[ModuleNumber]]&amp;CompilDonnées[[#This Row],[PlantationDate]])</f>
        <v>88645794</v>
      </c>
      <c r="O2843" t="str">
        <f>CompilDonnées[[#This Row],[FarmID]]&amp;CompilDonnées[[#This Row],[ModuleNumber]]</f>
        <v>886</v>
      </c>
      <c r="P2843" t="str">
        <f>CompilDonnées[[#This Row],[Ref_Module]]&amp;CompilDonnées[[#This Row],[HarvestingDate]]</f>
        <v>88645827</v>
      </c>
    </row>
    <row r="2844" spans="1:16">
      <c r="A2844" s="5">
        <v>45794</v>
      </c>
      <c r="B2844">
        <v>89</v>
      </c>
      <c r="C2844" t="s">
        <v>67</v>
      </c>
      <c r="D2844">
        <v>6</v>
      </c>
      <c r="E2844">
        <v>100</v>
      </c>
      <c r="F2844" t="s">
        <v>1</v>
      </c>
      <c r="G2844" s="6">
        <v>45842</v>
      </c>
      <c r="H2844">
        <v>48</v>
      </c>
      <c r="I2844">
        <f>ROUND(CompilDonnées[[#This Row],[CultureDuration_days]]/7,0)</f>
        <v>7</v>
      </c>
      <c r="J2844">
        <v>2986</v>
      </c>
      <c r="K2844" t="str">
        <f>_xlfn.CONCAT(WEEKNUM(CompilDonnées[[#This Row],[PlantationDate]]), " ", YEAR(CompilDonnées[[#This Row],[PlantationDate]]))</f>
        <v>20 2025</v>
      </c>
      <c r="L2844" t="str">
        <f>CONCATENATE(MONTH(CompilDonnées[[#This Row],[PlantationDate]])," ", YEAR(CompilDonnées[[#This Row],[PlantationDate]]))</f>
        <v>5 2025</v>
      </c>
      <c r="M2844" t="str">
        <f>CONCATENATE(MONTH(CompilDonnées[[#This Row],[HarvestingDate]])," ", YEAR(CompilDonnées[[#This Row],[HarvestingDate]]))</f>
        <v>7 2025</v>
      </c>
      <c r="N2844">
        <f>_xlfn.NUMBERVALUE(CompilDonnées[[#This Row],[FarmID]]&amp;CompilDonnées[[#This Row],[ModuleNumber]]&amp;CompilDonnées[[#This Row],[PlantationDate]])</f>
        <v>89645794</v>
      </c>
      <c r="O2844" t="str">
        <f>CompilDonnées[[#This Row],[FarmID]]&amp;CompilDonnées[[#This Row],[ModuleNumber]]</f>
        <v>896</v>
      </c>
      <c r="P2844" t="str">
        <f>CompilDonnées[[#This Row],[Ref_Module]]&amp;CompilDonnées[[#This Row],[HarvestingDate]]</f>
        <v>89645842</v>
      </c>
    </row>
    <row r="2845" spans="1:16">
      <c r="A2845" s="5">
        <v>45794</v>
      </c>
      <c r="B2845">
        <v>91</v>
      </c>
      <c r="C2845" t="s">
        <v>9</v>
      </c>
      <c r="D2845">
        <v>3</v>
      </c>
      <c r="E2845">
        <v>100</v>
      </c>
      <c r="F2845" t="s">
        <v>1</v>
      </c>
      <c r="G2845" s="6">
        <v>45839</v>
      </c>
      <c r="H2845">
        <v>45</v>
      </c>
      <c r="I2845">
        <f>ROUND(CompilDonnées[[#This Row],[CultureDuration_days]]/7,0)</f>
        <v>6</v>
      </c>
      <c r="J2845">
        <v>3091</v>
      </c>
      <c r="K2845" t="str">
        <f>_xlfn.CONCAT(WEEKNUM(CompilDonnées[[#This Row],[PlantationDate]]), " ", YEAR(CompilDonnées[[#This Row],[PlantationDate]]))</f>
        <v>20 2025</v>
      </c>
      <c r="L2845" t="str">
        <f>CONCATENATE(MONTH(CompilDonnées[[#This Row],[PlantationDate]])," ", YEAR(CompilDonnées[[#This Row],[PlantationDate]]))</f>
        <v>5 2025</v>
      </c>
      <c r="M2845" t="str">
        <f>CONCATENATE(MONTH(CompilDonnées[[#This Row],[HarvestingDate]])," ", YEAR(CompilDonnées[[#This Row],[HarvestingDate]]))</f>
        <v>7 2025</v>
      </c>
      <c r="N2845">
        <f>_xlfn.NUMBERVALUE(CompilDonnées[[#This Row],[FarmID]]&amp;CompilDonnées[[#This Row],[ModuleNumber]]&amp;CompilDonnées[[#This Row],[PlantationDate]])</f>
        <v>91345794</v>
      </c>
      <c r="O2845" t="str">
        <f>CompilDonnées[[#This Row],[FarmID]]&amp;CompilDonnées[[#This Row],[ModuleNumber]]</f>
        <v>913</v>
      </c>
      <c r="P2845" t="str">
        <f>CompilDonnées[[#This Row],[Ref_Module]]&amp;CompilDonnées[[#This Row],[HarvestingDate]]</f>
        <v>91345839</v>
      </c>
    </row>
    <row r="2846" spans="1:16">
      <c r="A2846" s="5">
        <v>45794</v>
      </c>
      <c r="B2846">
        <v>95</v>
      </c>
      <c r="C2846" t="s">
        <v>90</v>
      </c>
      <c r="D2846">
        <v>1</v>
      </c>
      <c r="E2846">
        <v>100</v>
      </c>
      <c r="F2846" t="s">
        <v>1</v>
      </c>
      <c r="G2846" s="6">
        <v>45839</v>
      </c>
      <c r="H2846">
        <v>45</v>
      </c>
      <c r="I2846">
        <f>ROUND(CompilDonnées[[#This Row],[CultureDuration_days]]/7,0)</f>
        <v>6</v>
      </c>
      <c r="J2846">
        <v>3140</v>
      </c>
      <c r="K2846" t="str">
        <f>_xlfn.CONCAT(WEEKNUM(CompilDonnées[[#This Row],[PlantationDate]]), " ", YEAR(CompilDonnées[[#This Row],[PlantationDate]]))</f>
        <v>20 2025</v>
      </c>
      <c r="L2846" t="str">
        <f>CONCATENATE(MONTH(CompilDonnées[[#This Row],[PlantationDate]])," ", YEAR(CompilDonnées[[#This Row],[PlantationDate]]))</f>
        <v>5 2025</v>
      </c>
      <c r="M2846" t="str">
        <f>CONCATENATE(MONTH(CompilDonnées[[#This Row],[HarvestingDate]])," ", YEAR(CompilDonnées[[#This Row],[HarvestingDate]]))</f>
        <v>7 2025</v>
      </c>
      <c r="N2846">
        <f>_xlfn.NUMBERVALUE(CompilDonnées[[#This Row],[FarmID]]&amp;CompilDonnées[[#This Row],[ModuleNumber]]&amp;CompilDonnées[[#This Row],[PlantationDate]])</f>
        <v>95145794</v>
      </c>
      <c r="O2846" t="str">
        <f>CompilDonnées[[#This Row],[FarmID]]&amp;CompilDonnées[[#This Row],[ModuleNumber]]</f>
        <v>951</v>
      </c>
      <c r="P2846" t="str">
        <f>CompilDonnées[[#This Row],[Ref_Module]]&amp;CompilDonnées[[#This Row],[HarvestingDate]]</f>
        <v>95145839</v>
      </c>
    </row>
    <row r="2847" spans="1:16">
      <c r="A2847" s="5">
        <v>45794</v>
      </c>
      <c r="B2847">
        <v>101</v>
      </c>
      <c r="C2847" t="s">
        <v>54</v>
      </c>
      <c r="D2847">
        <v>5</v>
      </c>
      <c r="E2847">
        <v>100</v>
      </c>
      <c r="F2847" t="s">
        <v>1</v>
      </c>
      <c r="G2847" s="6">
        <v>45839</v>
      </c>
      <c r="H2847">
        <v>45</v>
      </c>
      <c r="I2847">
        <f>ROUND(CompilDonnées[[#This Row],[CultureDuration_days]]/7,0)</f>
        <v>6</v>
      </c>
      <c r="J2847">
        <v>3122</v>
      </c>
      <c r="K2847" t="str">
        <f>_xlfn.CONCAT(WEEKNUM(CompilDonnées[[#This Row],[PlantationDate]]), " ", YEAR(CompilDonnées[[#This Row],[PlantationDate]]))</f>
        <v>20 2025</v>
      </c>
      <c r="L2847" t="str">
        <f>CONCATENATE(MONTH(CompilDonnées[[#This Row],[PlantationDate]])," ", YEAR(CompilDonnées[[#This Row],[PlantationDate]]))</f>
        <v>5 2025</v>
      </c>
      <c r="M2847" t="str">
        <f>CONCATENATE(MONTH(CompilDonnées[[#This Row],[HarvestingDate]])," ", YEAR(CompilDonnées[[#This Row],[HarvestingDate]]))</f>
        <v>7 2025</v>
      </c>
      <c r="N2847">
        <f>_xlfn.NUMBERVALUE(CompilDonnées[[#This Row],[FarmID]]&amp;CompilDonnées[[#This Row],[ModuleNumber]]&amp;CompilDonnées[[#This Row],[PlantationDate]])</f>
        <v>101545794</v>
      </c>
      <c r="O2847" t="str">
        <f>CompilDonnées[[#This Row],[FarmID]]&amp;CompilDonnées[[#This Row],[ModuleNumber]]</f>
        <v>1015</v>
      </c>
      <c r="P2847" t="str">
        <f>CompilDonnées[[#This Row],[Ref_Module]]&amp;CompilDonnées[[#This Row],[HarvestingDate]]</f>
        <v>101545839</v>
      </c>
    </row>
    <row r="2848" spans="1:16">
      <c r="A2848" s="5">
        <v>45794</v>
      </c>
      <c r="B2848">
        <v>106</v>
      </c>
      <c r="C2848" t="s">
        <v>22</v>
      </c>
      <c r="D2848">
        <v>5</v>
      </c>
      <c r="E2848">
        <v>100</v>
      </c>
      <c r="F2848" t="s">
        <v>1</v>
      </c>
      <c r="G2848" s="6">
        <v>45838</v>
      </c>
      <c r="H2848">
        <v>44</v>
      </c>
      <c r="I2848">
        <f>ROUND(CompilDonnées[[#This Row],[CultureDuration_days]]/7,0)</f>
        <v>6</v>
      </c>
      <c r="J2848">
        <v>2798</v>
      </c>
      <c r="K2848" t="str">
        <f>_xlfn.CONCAT(WEEKNUM(CompilDonnées[[#This Row],[PlantationDate]]), " ", YEAR(CompilDonnées[[#This Row],[PlantationDate]]))</f>
        <v>20 2025</v>
      </c>
      <c r="L2848" t="str">
        <f>CONCATENATE(MONTH(CompilDonnées[[#This Row],[PlantationDate]])," ", YEAR(CompilDonnées[[#This Row],[PlantationDate]]))</f>
        <v>5 2025</v>
      </c>
      <c r="M2848" t="str">
        <f>CONCATENATE(MONTH(CompilDonnées[[#This Row],[HarvestingDate]])," ", YEAR(CompilDonnées[[#This Row],[HarvestingDate]]))</f>
        <v>6 2025</v>
      </c>
      <c r="N2848">
        <f>_xlfn.NUMBERVALUE(CompilDonnées[[#This Row],[FarmID]]&amp;CompilDonnées[[#This Row],[ModuleNumber]]&amp;CompilDonnées[[#This Row],[PlantationDate]])</f>
        <v>106545794</v>
      </c>
      <c r="O2848" t="str">
        <f>CompilDonnées[[#This Row],[FarmID]]&amp;CompilDonnées[[#This Row],[ModuleNumber]]</f>
        <v>1065</v>
      </c>
      <c r="P2848" t="str">
        <f>CompilDonnées[[#This Row],[Ref_Module]]&amp;CompilDonnées[[#This Row],[HarvestingDate]]</f>
        <v>106545838</v>
      </c>
    </row>
    <row r="2849" spans="1:16">
      <c r="A2849" s="5">
        <v>45794</v>
      </c>
      <c r="B2849">
        <v>107</v>
      </c>
      <c r="C2849" t="s">
        <v>23</v>
      </c>
      <c r="D2849">
        <v>4</v>
      </c>
      <c r="E2849">
        <v>100</v>
      </c>
      <c r="F2849" t="s">
        <v>1</v>
      </c>
      <c r="G2849" s="6">
        <v>45831</v>
      </c>
      <c r="H2849">
        <v>37</v>
      </c>
      <c r="I2849">
        <f>ROUND(CompilDonnées[[#This Row],[CultureDuration_days]]/7,0)</f>
        <v>5</v>
      </c>
      <c r="J2849">
        <v>2982</v>
      </c>
      <c r="K2849" t="str">
        <f>_xlfn.CONCAT(WEEKNUM(CompilDonnées[[#This Row],[PlantationDate]]), " ", YEAR(CompilDonnées[[#This Row],[PlantationDate]]))</f>
        <v>20 2025</v>
      </c>
      <c r="L2849" t="str">
        <f>CONCATENATE(MONTH(CompilDonnées[[#This Row],[PlantationDate]])," ", YEAR(CompilDonnées[[#This Row],[PlantationDate]]))</f>
        <v>5 2025</v>
      </c>
      <c r="M2849" t="str">
        <f>CONCATENATE(MONTH(CompilDonnées[[#This Row],[HarvestingDate]])," ", YEAR(CompilDonnées[[#This Row],[HarvestingDate]]))</f>
        <v>6 2025</v>
      </c>
      <c r="N2849">
        <f>_xlfn.NUMBERVALUE(CompilDonnées[[#This Row],[FarmID]]&amp;CompilDonnées[[#This Row],[ModuleNumber]]&amp;CompilDonnées[[#This Row],[PlantationDate]])</f>
        <v>107445794</v>
      </c>
      <c r="O2849" t="str">
        <f>CompilDonnées[[#This Row],[FarmID]]&amp;CompilDonnées[[#This Row],[ModuleNumber]]</f>
        <v>1074</v>
      </c>
      <c r="P2849" t="str">
        <f>CompilDonnées[[#This Row],[Ref_Module]]&amp;CompilDonnées[[#This Row],[HarvestingDate]]</f>
        <v>107445831</v>
      </c>
    </row>
    <row r="2850" spans="1:16">
      <c r="A2850" s="5">
        <v>45795</v>
      </c>
      <c r="B2850">
        <v>1</v>
      </c>
      <c r="C2850" t="s">
        <v>111</v>
      </c>
      <c r="D2850">
        <v>1</v>
      </c>
      <c r="E2850">
        <v>100</v>
      </c>
      <c r="F2850" t="s">
        <v>1</v>
      </c>
      <c r="G2850" s="6">
        <v>45825</v>
      </c>
      <c r="H2850">
        <v>30</v>
      </c>
      <c r="I2850">
        <f>ROUND(CompilDonnées[[#This Row],[CultureDuration_days]]/7,0)</f>
        <v>4</v>
      </c>
      <c r="J2850">
        <v>2397</v>
      </c>
      <c r="K2850" t="str">
        <f>_xlfn.CONCAT(WEEKNUM(CompilDonnées[[#This Row],[PlantationDate]]), " ", YEAR(CompilDonnées[[#This Row],[PlantationDate]]))</f>
        <v>21 2025</v>
      </c>
      <c r="L2850" t="str">
        <f>CONCATENATE(MONTH(CompilDonnées[[#This Row],[PlantationDate]])," ", YEAR(CompilDonnées[[#This Row],[PlantationDate]]))</f>
        <v>5 2025</v>
      </c>
      <c r="M2850" t="str">
        <f>CONCATENATE(MONTH(CompilDonnées[[#This Row],[HarvestingDate]])," ", YEAR(CompilDonnées[[#This Row],[HarvestingDate]]))</f>
        <v>6 2025</v>
      </c>
      <c r="N2850">
        <f>_xlfn.NUMBERVALUE(CompilDonnées[[#This Row],[FarmID]]&amp;CompilDonnées[[#This Row],[ModuleNumber]]&amp;CompilDonnées[[#This Row],[PlantationDate]])</f>
        <v>1145795</v>
      </c>
      <c r="O2850" t="str">
        <f>CompilDonnées[[#This Row],[FarmID]]&amp;CompilDonnées[[#This Row],[ModuleNumber]]</f>
        <v>11</v>
      </c>
      <c r="P2850" t="str">
        <f>CompilDonnées[[#This Row],[Ref_Module]]&amp;CompilDonnées[[#This Row],[HarvestingDate]]</f>
        <v>1145825</v>
      </c>
    </row>
    <row r="2851" spans="1:16">
      <c r="A2851" s="5">
        <v>45795</v>
      </c>
      <c r="B2851">
        <v>4</v>
      </c>
      <c r="C2851" t="s">
        <v>74</v>
      </c>
      <c r="D2851">
        <v>4</v>
      </c>
      <c r="E2851">
        <v>100</v>
      </c>
      <c r="F2851" t="s">
        <v>1</v>
      </c>
      <c r="G2851" s="6">
        <v>45829</v>
      </c>
      <c r="H2851">
        <v>34</v>
      </c>
      <c r="I2851">
        <f>ROUND(CompilDonnées[[#This Row],[CultureDuration_days]]/7,0)</f>
        <v>5</v>
      </c>
      <c r="J2851">
        <v>2451</v>
      </c>
      <c r="K2851" t="str">
        <f>_xlfn.CONCAT(WEEKNUM(CompilDonnées[[#This Row],[PlantationDate]]), " ", YEAR(CompilDonnées[[#This Row],[PlantationDate]]))</f>
        <v>21 2025</v>
      </c>
      <c r="L2851" t="str">
        <f>CONCATENATE(MONTH(CompilDonnées[[#This Row],[PlantationDate]])," ", YEAR(CompilDonnées[[#This Row],[PlantationDate]]))</f>
        <v>5 2025</v>
      </c>
      <c r="M2851" t="str">
        <f>CONCATENATE(MONTH(CompilDonnées[[#This Row],[HarvestingDate]])," ", YEAR(CompilDonnées[[#This Row],[HarvestingDate]]))</f>
        <v>6 2025</v>
      </c>
      <c r="N2851">
        <f>_xlfn.NUMBERVALUE(CompilDonnées[[#This Row],[FarmID]]&amp;CompilDonnées[[#This Row],[ModuleNumber]]&amp;CompilDonnées[[#This Row],[PlantationDate]])</f>
        <v>4445795</v>
      </c>
      <c r="O2851" t="str">
        <f>CompilDonnées[[#This Row],[FarmID]]&amp;CompilDonnées[[#This Row],[ModuleNumber]]</f>
        <v>44</v>
      </c>
      <c r="P2851" t="str">
        <f>CompilDonnées[[#This Row],[Ref_Module]]&amp;CompilDonnées[[#This Row],[HarvestingDate]]</f>
        <v>4445829</v>
      </c>
    </row>
    <row r="2852" spans="1:16">
      <c r="A2852" s="5">
        <v>45795</v>
      </c>
      <c r="B2852">
        <v>7</v>
      </c>
      <c r="C2852" t="s">
        <v>50</v>
      </c>
      <c r="D2852">
        <v>1</v>
      </c>
      <c r="E2852">
        <v>100</v>
      </c>
      <c r="F2852" t="s">
        <v>1</v>
      </c>
      <c r="G2852" s="6">
        <v>45855</v>
      </c>
      <c r="H2852">
        <v>60</v>
      </c>
      <c r="I2852">
        <f>ROUND(CompilDonnées[[#This Row],[CultureDuration_days]]/7,0)</f>
        <v>9</v>
      </c>
      <c r="J2852">
        <v>2637</v>
      </c>
      <c r="K2852" t="str">
        <f>_xlfn.CONCAT(WEEKNUM(CompilDonnées[[#This Row],[PlantationDate]]), " ", YEAR(CompilDonnées[[#This Row],[PlantationDate]]))</f>
        <v>21 2025</v>
      </c>
      <c r="L2852" t="str">
        <f>CONCATENATE(MONTH(CompilDonnées[[#This Row],[PlantationDate]])," ", YEAR(CompilDonnées[[#This Row],[PlantationDate]]))</f>
        <v>5 2025</v>
      </c>
      <c r="M2852" t="str">
        <f>CONCATENATE(MONTH(CompilDonnées[[#This Row],[HarvestingDate]])," ", YEAR(CompilDonnées[[#This Row],[HarvestingDate]]))</f>
        <v>7 2025</v>
      </c>
      <c r="N2852">
        <f>_xlfn.NUMBERVALUE(CompilDonnées[[#This Row],[FarmID]]&amp;CompilDonnées[[#This Row],[ModuleNumber]]&amp;CompilDonnées[[#This Row],[PlantationDate]])</f>
        <v>7145795</v>
      </c>
      <c r="O2852" t="str">
        <f>CompilDonnées[[#This Row],[FarmID]]&amp;CompilDonnées[[#This Row],[ModuleNumber]]</f>
        <v>71</v>
      </c>
      <c r="P2852" t="str">
        <f>CompilDonnées[[#This Row],[Ref_Module]]&amp;CompilDonnées[[#This Row],[HarvestingDate]]</f>
        <v>7145855</v>
      </c>
    </row>
    <row r="2853" spans="1:16">
      <c r="A2853" s="5">
        <v>45795</v>
      </c>
      <c r="B2853">
        <v>9</v>
      </c>
      <c r="C2853" t="s">
        <v>107</v>
      </c>
      <c r="D2853">
        <v>1</v>
      </c>
      <c r="E2853">
        <v>100</v>
      </c>
      <c r="F2853" t="s">
        <v>1</v>
      </c>
      <c r="G2853" s="6">
        <v>45825</v>
      </c>
      <c r="H2853">
        <v>30</v>
      </c>
      <c r="I2853">
        <f>ROUND(CompilDonnées[[#This Row],[CultureDuration_days]]/7,0)</f>
        <v>4</v>
      </c>
      <c r="J2853">
        <v>2137</v>
      </c>
      <c r="K2853" t="str">
        <f>_xlfn.CONCAT(WEEKNUM(CompilDonnées[[#This Row],[PlantationDate]]), " ", YEAR(CompilDonnées[[#This Row],[PlantationDate]]))</f>
        <v>21 2025</v>
      </c>
      <c r="L2853" t="str">
        <f>CONCATENATE(MONTH(CompilDonnées[[#This Row],[PlantationDate]])," ", YEAR(CompilDonnées[[#This Row],[PlantationDate]]))</f>
        <v>5 2025</v>
      </c>
      <c r="M2853" t="str">
        <f>CONCATENATE(MONTH(CompilDonnées[[#This Row],[HarvestingDate]])," ", YEAR(CompilDonnées[[#This Row],[HarvestingDate]]))</f>
        <v>6 2025</v>
      </c>
      <c r="N2853">
        <f>_xlfn.NUMBERVALUE(CompilDonnées[[#This Row],[FarmID]]&amp;CompilDonnées[[#This Row],[ModuleNumber]]&amp;CompilDonnées[[#This Row],[PlantationDate]])</f>
        <v>9145795</v>
      </c>
      <c r="O2853" t="str">
        <f>CompilDonnées[[#This Row],[FarmID]]&amp;CompilDonnées[[#This Row],[ModuleNumber]]</f>
        <v>91</v>
      </c>
      <c r="P2853" t="str">
        <f>CompilDonnées[[#This Row],[Ref_Module]]&amp;CompilDonnées[[#This Row],[HarvestingDate]]</f>
        <v>9145825</v>
      </c>
    </row>
    <row r="2854" spans="1:16">
      <c r="A2854" s="5">
        <v>45795</v>
      </c>
      <c r="B2854">
        <v>11</v>
      </c>
      <c r="C2854" t="s">
        <v>106</v>
      </c>
      <c r="D2854">
        <v>1</v>
      </c>
      <c r="E2854">
        <v>100</v>
      </c>
      <c r="F2854" t="s">
        <v>1</v>
      </c>
      <c r="G2854" s="6">
        <v>45825</v>
      </c>
      <c r="H2854">
        <v>30</v>
      </c>
      <c r="I2854">
        <f>ROUND(CompilDonnées[[#This Row],[CultureDuration_days]]/7,0)</f>
        <v>4</v>
      </c>
      <c r="J2854">
        <v>1673</v>
      </c>
      <c r="K2854" t="str">
        <f>_xlfn.CONCAT(WEEKNUM(CompilDonnées[[#This Row],[PlantationDate]]), " ", YEAR(CompilDonnées[[#This Row],[PlantationDate]]))</f>
        <v>21 2025</v>
      </c>
      <c r="L2854" t="str">
        <f>CONCATENATE(MONTH(CompilDonnées[[#This Row],[PlantationDate]])," ", YEAR(CompilDonnées[[#This Row],[PlantationDate]]))</f>
        <v>5 2025</v>
      </c>
      <c r="M2854" t="str">
        <f>CONCATENATE(MONTH(CompilDonnées[[#This Row],[HarvestingDate]])," ", YEAR(CompilDonnées[[#This Row],[HarvestingDate]]))</f>
        <v>6 2025</v>
      </c>
      <c r="N2854">
        <f>_xlfn.NUMBERVALUE(CompilDonnées[[#This Row],[FarmID]]&amp;CompilDonnées[[#This Row],[ModuleNumber]]&amp;CompilDonnées[[#This Row],[PlantationDate]])</f>
        <v>11145795</v>
      </c>
      <c r="O2854" t="str">
        <f>CompilDonnées[[#This Row],[FarmID]]&amp;CompilDonnées[[#This Row],[ModuleNumber]]</f>
        <v>111</v>
      </c>
      <c r="P2854" t="str">
        <f>CompilDonnées[[#This Row],[Ref_Module]]&amp;CompilDonnées[[#This Row],[HarvestingDate]]</f>
        <v>11145825</v>
      </c>
    </row>
    <row r="2855" spans="1:16">
      <c r="A2855" s="5">
        <v>45795</v>
      </c>
      <c r="B2855">
        <v>15</v>
      </c>
      <c r="C2855" t="s">
        <v>5</v>
      </c>
      <c r="D2855">
        <v>3</v>
      </c>
      <c r="E2855">
        <v>100</v>
      </c>
      <c r="F2855" t="s">
        <v>1</v>
      </c>
      <c r="G2855" s="6">
        <v>45829</v>
      </c>
      <c r="H2855">
        <v>34</v>
      </c>
      <c r="I2855">
        <f>ROUND(CompilDonnées[[#This Row],[CultureDuration_days]]/7,0)</f>
        <v>5</v>
      </c>
      <c r="J2855">
        <v>2117</v>
      </c>
      <c r="K2855" t="str">
        <f>_xlfn.CONCAT(WEEKNUM(CompilDonnées[[#This Row],[PlantationDate]]), " ", YEAR(CompilDonnées[[#This Row],[PlantationDate]]))</f>
        <v>21 2025</v>
      </c>
      <c r="L2855" t="str">
        <f>CONCATENATE(MONTH(CompilDonnées[[#This Row],[PlantationDate]])," ", YEAR(CompilDonnées[[#This Row],[PlantationDate]]))</f>
        <v>5 2025</v>
      </c>
      <c r="M2855" t="str">
        <f>CONCATENATE(MONTH(CompilDonnées[[#This Row],[HarvestingDate]])," ", YEAR(CompilDonnées[[#This Row],[HarvestingDate]]))</f>
        <v>6 2025</v>
      </c>
      <c r="N2855">
        <f>_xlfn.NUMBERVALUE(CompilDonnées[[#This Row],[FarmID]]&amp;CompilDonnées[[#This Row],[ModuleNumber]]&amp;CompilDonnées[[#This Row],[PlantationDate]])</f>
        <v>15345795</v>
      </c>
      <c r="O2855" t="str">
        <f>CompilDonnées[[#This Row],[FarmID]]&amp;CompilDonnées[[#This Row],[ModuleNumber]]</f>
        <v>153</v>
      </c>
      <c r="P2855" t="str">
        <f>CompilDonnées[[#This Row],[Ref_Module]]&amp;CompilDonnées[[#This Row],[HarvestingDate]]</f>
        <v>15345829</v>
      </c>
    </row>
    <row r="2856" spans="1:16">
      <c r="A2856" s="5">
        <v>45795</v>
      </c>
      <c r="B2856">
        <v>16</v>
      </c>
      <c r="C2856" t="s">
        <v>112</v>
      </c>
      <c r="D2856">
        <v>2</v>
      </c>
      <c r="E2856">
        <v>100</v>
      </c>
      <c r="F2856" t="s">
        <v>1</v>
      </c>
      <c r="G2856" s="6">
        <v>45829</v>
      </c>
      <c r="H2856">
        <v>34</v>
      </c>
      <c r="I2856">
        <f>ROUND(CompilDonnées[[#This Row],[CultureDuration_days]]/7,0)</f>
        <v>5</v>
      </c>
      <c r="J2856">
        <v>1992</v>
      </c>
      <c r="K2856" t="str">
        <f>_xlfn.CONCAT(WEEKNUM(CompilDonnées[[#This Row],[PlantationDate]]), " ", YEAR(CompilDonnées[[#This Row],[PlantationDate]]))</f>
        <v>21 2025</v>
      </c>
      <c r="L2856" t="str">
        <f>CONCATENATE(MONTH(CompilDonnées[[#This Row],[PlantationDate]])," ", YEAR(CompilDonnées[[#This Row],[PlantationDate]]))</f>
        <v>5 2025</v>
      </c>
      <c r="M2856" t="str">
        <f>CONCATENATE(MONTH(CompilDonnées[[#This Row],[HarvestingDate]])," ", YEAR(CompilDonnées[[#This Row],[HarvestingDate]]))</f>
        <v>6 2025</v>
      </c>
      <c r="N2856">
        <f>_xlfn.NUMBERVALUE(CompilDonnées[[#This Row],[FarmID]]&amp;CompilDonnées[[#This Row],[ModuleNumber]]&amp;CompilDonnées[[#This Row],[PlantationDate]])</f>
        <v>16245795</v>
      </c>
      <c r="O2856" t="str">
        <f>CompilDonnées[[#This Row],[FarmID]]&amp;CompilDonnées[[#This Row],[ModuleNumber]]</f>
        <v>162</v>
      </c>
      <c r="P2856" t="str">
        <f>CompilDonnées[[#This Row],[Ref_Module]]&amp;CompilDonnées[[#This Row],[HarvestingDate]]</f>
        <v>16245829</v>
      </c>
    </row>
    <row r="2857" spans="1:16">
      <c r="A2857" s="5">
        <v>45795</v>
      </c>
      <c r="B2857">
        <v>19</v>
      </c>
      <c r="C2857" t="s">
        <v>108</v>
      </c>
      <c r="D2857">
        <v>5</v>
      </c>
      <c r="E2857">
        <v>100</v>
      </c>
      <c r="F2857" t="s">
        <v>1</v>
      </c>
      <c r="G2857" s="6">
        <v>45844</v>
      </c>
      <c r="H2857">
        <v>49</v>
      </c>
      <c r="I2857">
        <f>ROUND(CompilDonnées[[#This Row],[CultureDuration_days]]/7,0)</f>
        <v>7</v>
      </c>
      <c r="J2857">
        <v>2008</v>
      </c>
      <c r="K2857" t="str">
        <f>_xlfn.CONCAT(WEEKNUM(CompilDonnées[[#This Row],[PlantationDate]]), " ", YEAR(CompilDonnées[[#This Row],[PlantationDate]]))</f>
        <v>21 2025</v>
      </c>
      <c r="L2857" t="str">
        <f>CONCATENATE(MONTH(CompilDonnées[[#This Row],[PlantationDate]])," ", YEAR(CompilDonnées[[#This Row],[PlantationDate]]))</f>
        <v>5 2025</v>
      </c>
      <c r="M2857" t="str">
        <f>CONCATENATE(MONTH(CompilDonnées[[#This Row],[HarvestingDate]])," ", YEAR(CompilDonnées[[#This Row],[HarvestingDate]]))</f>
        <v>7 2025</v>
      </c>
      <c r="N2857">
        <f>_xlfn.NUMBERVALUE(CompilDonnées[[#This Row],[FarmID]]&amp;CompilDonnées[[#This Row],[ModuleNumber]]&amp;CompilDonnées[[#This Row],[PlantationDate]])</f>
        <v>19545795</v>
      </c>
      <c r="O2857" t="str">
        <f>CompilDonnées[[#This Row],[FarmID]]&amp;CompilDonnées[[#This Row],[ModuleNumber]]</f>
        <v>195</v>
      </c>
      <c r="P2857" t="str">
        <f>CompilDonnées[[#This Row],[Ref_Module]]&amp;CompilDonnées[[#This Row],[HarvestingDate]]</f>
        <v>19545844</v>
      </c>
    </row>
    <row r="2858" spans="1:16">
      <c r="A2858" s="5">
        <v>45795</v>
      </c>
      <c r="B2858">
        <v>31</v>
      </c>
      <c r="C2858" t="s">
        <v>62</v>
      </c>
      <c r="D2858">
        <v>3</v>
      </c>
      <c r="E2858">
        <v>100</v>
      </c>
      <c r="F2858" t="s">
        <v>1</v>
      </c>
      <c r="G2858" s="6">
        <v>45830</v>
      </c>
      <c r="H2858">
        <v>35</v>
      </c>
      <c r="I2858">
        <f>ROUND(CompilDonnées[[#This Row],[CultureDuration_days]]/7,0)</f>
        <v>5</v>
      </c>
      <c r="J2858">
        <v>2274</v>
      </c>
      <c r="K2858" t="str">
        <f>_xlfn.CONCAT(WEEKNUM(CompilDonnées[[#This Row],[PlantationDate]]), " ", YEAR(CompilDonnées[[#This Row],[PlantationDate]]))</f>
        <v>21 2025</v>
      </c>
      <c r="L2858" t="str">
        <f>CONCATENATE(MONTH(CompilDonnées[[#This Row],[PlantationDate]])," ", YEAR(CompilDonnées[[#This Row],[PlantationDate]]))</f>
        <v>5 2025</v>
      </c>
      <c r="M2858" t="str">
        <f>CONCATENATE(MONTH(CompilDonnées[[#This Row],[HarvestingDate]])," ", YEAR(CompilDonnées[[#This Row],[HarvestingDate]]))</f>
        <v>6 2025</v>
      </c>
      <c r="N2858">
        <f>_xlfn.NUMBERVALUE(CompilDonnées[[#This Row],[FarmID]]&amp;CompilDonnées[[#This Row],[ModuleNumber]]&amp;CompilDonnées[[#This Row],[PlantationDate]])</f>
        <v>31345795</v>
      </c>
      <c r="O2858" t="str">
        <f>CompilDonnées[[#This Row],[FarmID]]&amp;CompilDonnées[[#This Row],[ModuleNumber]]</f>
        <v>313</v>
      </c>
      <c r="P2858" t="str">
        <f>CompilDonnées[[#This Row],[Ref_Module]]&amp;CompilDonnées[[#This Row],[HarvestingDate]]</f>
        <v>31345830</v>
      </c>
    </row>
    <row r="2859" spans="1:16">
      <c r="A2859" s="5">
        <v>45795</v>
      </c>
      <c r="B2859">
        <v>32</v>
      </c>
      <c r="C2859" t="s">
        <v>25</v>
      </c>
      <c r="D2859">
        <v>5</v>
      </c>
      <c r="E2859">
        <v>100</v>
      </c>
      <c r="F2859" t="s">
        <v>1</v>
      </c>
      <c r="G2859" s="6">
        <v>45825</v>
      </c>
      <c r="H2859">
        <v>30</v>
      </c>
      <c r="I2859">
        <f>ROUND(CompilDonnées[[#This Row],[CultureDuration_days]]/7,0)</f>
        <v>4</v>
      </c>
      <c r="J2859">
        <v>2370</v>
      </c>
      <c r="K2859" t="str">
        <f>_xlfn.CONCAT(WEEKNUM(CompilDonnées[[#This Row],[PlantationDate]]), " ", YEAR(CompilDonnées[[#This Row],[PlantationDate]]))</f>
        <v>21 2025</v>
      </c>
      <c r="L2859" t="str">
        <f>CONCATENATE(MONTH(CompilDonnées[[#This Row],[PlantationDate]])," ", YEAR(CompilDonnées[[#This Row],[PlantationDate]]))</f>
        <v>5 2025</v>
      </c>
      <c r="M2859" t="str">
        <f>CONCATENATE(MONTH(CompilDonnées[[#This Row],[HarvestingDate]])," ", YEAR(CompilDonnées[[#This Row],[HarvestingDate]]))</f>
        <v>6 2025</v>
      </c>
      <c r="N2859">
        <f>_xlfn.NUMBERVALUE(CompilDonnées[[#This Row],[FarmID]]&amp;CompilDonnées[[#This Row],[ModuleNumber]]&amp;CompilDonnées[[#This Row],[PlantationDate]])</f>
        <v>32545795</v>
      </c>
      <c r="O2859" t="str">
        <f>CompilDonnées[[#This Row],[FarmID]]&amp;CompilDonnées[[#This Row],[ModuleNumber]]</f>
        <v>325</v>
      </c>
      <c r="P2859" t="str">
        <f>CompilDonnées[[#This Row],[Ref_Module]]&amp;CompilDonnées[[#This Row],[HarvestingDate]]</f>
        <v>32545825</v>
      </c>
    </row>
    <row r="2860" spans="1:16">
      <c r="A2860" s="5">
        <v>45795</v>
      </c>
      <c r="B2860">
        <v>36</v>
      </c>
      <c r="C2860" t="s">
        <v>63</v>
      </c>
      <c r="D2860">
        <v>1</v>
      </c>
      <c r="E2860">
        <v>100</v>
      </c>
      <c r="F2860" t="s">
        <v>1</v>
      </c>
      <c r="G2860" s="6">
        <v>45826</v>
      </c>
      <c r="H2860">
        <v>31</v>
      </c>
      <c r="I2860">
        <f>ROUND(CompilDonnées[[#This Row],[CultureDuration_days]]/7,0)</f>
        <v>4</v>
      </c>
      <c r="J2860">
        <v>2251</v>
      </c>
      <c r="K2860" t="str">
        <f>_xlfn.CONCAT(WEEKNUM(CompilDonnées[[#This Row],[PlantationDate]]), " ", YEAR(CompilDonnées[[#This Row],[PlantationDate]]))</f>
        <v>21 2025</v>
      </c>
      <c r="L2860" t="str">
        <f>CONCATENATE(MONTH(CompilDonnées[[#This Row],[PlantationDate]])," ", YEAR(CompilDonnées[[#This Row],[PlantationDate]]))</f>
        <v>5 2025</v>
      </c>
      <c r="M2860" t="str">
        <f>CONCATENATE(MONTH(CompilDonnées[[#This Row],[HarvestingDate]])," ", YEAR(CompilDonnées[[#This Row],[HarvestingDate]]))</f>
        <v>6 2025</v>
      </c>
      <c r="N2860">
        <f>_xlfn.NUMBERVALUE(CompilDonnées[[#This Row],[FarmID]]&amp;CompilDonnées[[#This Row],[ModuleNumber]]&amp;CompilDonnées[[#This Row],[PlantationDate]])</f>
        <v>36145795</v>
      </c>
      <c r="O2860" t="str">
        <f>CompilDonnées[[#This Row],[FarmID]]&amp;CompilDonnées[[#This Row],[ModuleNumber]]</f>
        <v>361</v>
      </c>
      <c r="P2860" t="str">
        <f>CompilDonnées[[#This Row],[Ref_Module]]&amp;CompilDonnées[[#This Row],[HarvestingDate]]</f>
        <v>36145826</v>
      </c>
    </row>
    <row r="2861" spans="1:16">
      <c r="A2861" s="5">
        <v>45795</v>
      </c>
      <c r="B2861">
        <v>37</v>
      </c>
      <c r="C2861" t="s">
        <v>26</v>
      </c>
      <c r="D2861">
        <v>6</v>
      </c>
      <c r="E2861">
        <v>100</v>
      </c>
      <c r="F2861" t="s">
        <v>1</v>
      </c>
      <c r="G2861" s="6">
        <v>45826</v>
      </c>
      <c r="H2861">
        <v>31</v>
      </c>
      <c r="I2861">
        <f>ROUND(CompilDonnées[[#This Row],[CultureDuration_days]]/7,0)</f>
        <v>4</v>
      </c>
      <c r="J2861">
        <v>2722</v>
      </c>
      <c r="K2861" t="str">
        <f>_xlfn.CONCAT(WEEKNUM(CompilDonnées[[#This Row],[PlantationDate]]), " ", YEAR(CompilDonnées[[#This Row],[PlantationDate]]))</f>
        <v>21 2025</v>
      </c>
      <c r="L2861" t="str">
        <f>CONCATENATE(MONTH(CompilDonnées[[#This Row],[PlantationDate]])," ", YEAR(CompilDonnées[[#This Row],[PlantationDate]]))</f>
        <v>5 2025</v>
      </c>
      <c r="M2861" t="str">
        <f>CONCATENATE(MONTH(CompilDonnées[[#This Row],[HarvestingDate]])," ", YEAR(CompilDonnées[[#This Row],[HarvestingDate]]))</f>
        <v>6 2025</v>
      </c>
      <c r="N2861">
        <f>_xlfn.NUMBERVALUE(CompilDonnées[[#This Row],[FarmID]]&amp;CompilDonnées[[#This Row],[ModuleNumber]]&amp;CompilDonnées[[#This Row],[PlantationDate]])</f>
        <v>37645795</v>
      </c>
      <c r="O2861" t="str">
        <f>CompilDonnées[[#This Row],[FarmID]]&amp;CompilDonnées[[#This Row],[ModuleNumber]]</f>
        <v>376</v>
      </c>
      <c r="P2861" t="str">
        <f>CompilDonnées[[#This Row],[Ref_Module]]&amp;CompilDonnées[[#This Row],[HarvestingDate]]</f>
        <v>37645826</v>
      </c>
    </row>
    <row r="2862" spans="1:16">
      <c r="A2862" s="5">
        <v>45795</v>
      </c>
      <c r="B2862">
        <v>43</v>
      </c>
      <c r="C2862" t="s">
        <v>45</v>
      </c>
      <c r="D2862">
        <v>4</v>
      </c>
      <c r="E2862">
        <v>100</v>
      </c>
      <c r="F2862" t="s">
        <v>1</v>
      </c>
      <c r="G2862" s="6">
        <v>45844</v>
      </c>
      <c r="H2862">
        <v>49</v>
      </c>
      <c r="I2862">
        <f>ROUND(CompilDonnées[[#This Row],[CultureDuration_days]]/7,0)</f>
        <v>7</v>
      </c>
      <c r="J2862">
        <v>3488</v>
      </c>
      <c r="K2862" t="str">
        <f>_xlfn.CONCAT(WEEKNUM(CompilDonnées[[#This Row],[PlantationDate]]), " ", YEAR(CompilDonnées[[#This Row],[PlantationDate]]))</f>
        <v>21 2025</v>
      </c>
      <c r="L2862" t="str">
        <f>CONCATENATE(MONTH(CompilDonnées[[#This Row],[PlantationDate]])," ", YEAR(CompilDonnées[[#This Row],[PlantationDate]]))</f>
        <v>5 2025</v>
      </c>
      <c r="M2862" t="str">
        <f>CONCATENATE(MONTH(CompilDonnées[[#This Row],[HarvestingDate]])," ", YEAR(CompilDonnées[[#This Row],[HarvestingDate]]))</f>
        <v>7 2025</v>
      </c>
      <c r="N2862">
        <f>_xlfn.NUMBERVALUE(CompilDonnées[[#This Row],[FarmID]]&amp;CompilDonnées[[#This Row],[ModuleNumber]]&amp;CompilDonnées[[#This Row],[PlantationDate]])</f>
        <v>43445795</v>
      </c>
      <c r="O2862" t="str">
        <f>CompilDonnées[[#This Row],[FarmID]]&amp;CompilDonnées[[#This Row],[ModuleNumber]]</f>
        <v>434</v>
      </c>
      <c r="P2862" t="str">
        <f>CompilDonnées[[#This Row],[Ref_Module]]&amp;CompilDonnées[[#This Row],[HarvestingDate]]</f>
        <v>43445844</v>
      </c>
    </row>
    <row r="2863" spans="1:16">
      <c r="A2863" s="5">
        <v>45795</v>
      </c>
      <c r="B2863">
        <v>45</v>
      </c>
      <c r="C2863" t="s">
        <v>77</v>
      </c>
      <c r="D2863">
        <v>5</v>
      </c>
      <c r="E2863">
        <v>100</v>
      </c>
      <c r="F2863" t="s">
        <v>1</v>
      </c>
      <c r="G2863" s="6">
        <v>45831</v>
      </c>
      <c r="H2863">
        <v>36</v>
      </c>
      <c r="I2863">
        <f>ROUND(CompilDonnées[[#This Row],[CultureDuration_days]]/7,0)</f>
        <v>5</v>
      </c>
      <c r="J2863">
        <v>3132</v>
      </c>
      <c r="K2863" t="str">
        <f>_xlfn.CONCAT(WEEKNUM(CompilDonnées[[#This Row],[PlantationDate]]), " ", YEAR(CompilDonnées[[#This Row],[PlantationDate]]))</f>
        <v>21 2025</v>
      </c>
      <c r="L2863" t="str">
        <f>CONCATENATE(MONTH(CompilDonnées[[#This Row],[PlantationDate]])," ", YEAR(CompilDonnées[[#This Row],[PlantationDate]]))</f>
        <v>5 2025</v>
      </c>
      <c r="M2863" t="str">
        <f>CONCATENATE(MONTH(CompilDonnées[[#This Row],[HarvestingDate]])," ", YEAR(CompilDonnées[[#This Row],[HarvestingDate]]))</f>
        <v>6 2025</v>
      </c>
      <c r="N2863">
        <f>_xlfn.NUMBERVALUE(CompilDonnées[[#This Row],[FarmID]]&amp;CompilDonnées[[#This Row],[ModuleNumber]]&amp;CompilDonnées[[#This Row],[PlantationDate]])</f>
        <v>45545795</v>
      </c>
      <c r="O2863" t="str">
        <f>CompilDonnées[[#This Row],[FarmID]]&amp;CompilDonnées[[#This Row],[ModuleNumber]]</f>
        <v>455</v>
      </c>
      <c r="P2863" t="str">
        <f>CompilDonnées[[#This Row],[Ref_Module]]&amp;CompilDonnées[[#This Row],[HarvestingDate]]</f>
        <v>45545831</v>
      </c>
    </row>
    <row r="2864" spans="1:16">
      <c r="A2864" s="5">
        <v>45795</v>
      </c>
      <c r="B2864">
        <v>46</v>
      </c>
      <c r="C2864" t="s">
        <v>8</v>
      </c>
      <c r="D2864">
        <v>4</v>
      </c>
      <c r="E2864">
        <v>100</v>
      </c>
      <c r="F2864" t="s">
        <v>1</v>
      </c>
      <c r="G2864" s="6">
        <v>45830</v>
      </c>
      <c r="H2864">
        <v>35</v>
      </c>
      <c r="I2864">
        <f>ROUND(CompilDonnées[[#This Row],[CultureDuration_days]]/7,0)</f>
        <v>5</v>
      </c>
      <c r="J2864">
        <v>2710</v>
      </c>
      <c r="K2864" t="str">
        <f>_xlfn.CONCAT(WEEKNUM(CompilDonnées[[#This Row],[PlantationDate]]), " ", YEAR(CompilDonnées[[#This Row],[PlantationDate]]))</f>
        <v>21 2025</v>
      </c>
      <c r="L2864" t="str">
        <f>CONCATENATE(MONTH(CompilDonnées[[#This Row],[PlantationDate]])," ", YEAR(CompilDonnées[[#This Row],[PlantationDate]]))</f>
        <v>5 2025</v>
      </c>
      <c r="M2864" t="str">
        <f>CONCATENATE(MONTH(CompilDonnées[[#This Row],[HarvestingDate]])," ", YEAR(CompilDonnées[[#This Row],[HarvestingDate]]))</f>
        <v>6 2025</v>
      </c>
      <c r="N2864">
        <f>_xlfn.NUMBERVALUE(CompilDonnées[[#This Row],[FarmID]]&amp;CompilDonnées[[#This Row],[ModuleNumber]]&amp;CompilDonnées[[#This Row],[PlantationDate]])</f>
        <v>46445795</v>
      </c>
      <c r="O2864" t="str">
        <f>CompilDonnées[[#This Row],[FarmID]]&amp;CompilDonnées[[#This Row],[ModuleNumber]]</f>
        <v>464</v>
      </c>
      <c r="P2864" t="str">
        <f>CompilDonnées[[#This Row],[Ref_Module]]&amp;CompilDonnées[[#This Row],[HarvestingDate]]</f>
        <v>46445830</v>
      </c>
    </row>
    <row r="2865" spans="1:16">
      <c r="A2865" s="5">
        <v>45795</v>
      </c>
      <c r="B2865">
        <v>50</v>
      </c>
      <c r="C2865" t="s">
        <v>55</v>
      </c>
      <c r="D2865">
        <v>1</v>
      </c>
      <c r="E2865">
        <v>100</v>
      </c>
      <c r="F2865" t="s">
        <v>1</v>
      </c>
      <c r="G2865" s="6">
        <v>45830</v>
      </c>
      <c r="H2865">
        <v>35</v>
      </c>
      <c r="I2865">
        <f>ROUND(CompilDonnées[[#This Row],[CultureDuration_days]]/7,0)</f>
        <v>5</v>
      </c>
      <c r="J2865">
        <v>2658</v>
      </c>
      <c r="K2865" t="str">
        <f>_xlfn.CONCAT(WEEKNUM(CompilDonnées[[#This Row],[PlantationDate]]), " ", YEAR(CompilDonnées[[#This Row],[PlantationDate]]))</f>
        <v>21 2025</v>
      </c>
      <c r="L2865" t="str">
        <f>CONCATENATE(MONTH(CompilDonnées[[#This Row],[PlantationDate]])," ", YEAR(CompilDonnées[[#This Row],[PlantationDate]]))</f>
        <v>5 2025</v>
      </c>
      <c r="M2865" t="str">
        <f>CONCATENATE(MONTH(CompilDonnées[[#This Row],[HarvestingDate]])," ", YEAR(CompilDonnées[[#This Row],[HarvestingDate]]))</f>
        <v>6 2025</v>
      </c>
      <c r="N2865">
        <f>_xlfn.NUMBERVALUE(CompilDonnées[[#This Row],[FarmID]]&amp;CompilDonnées[[#This Row],[ModuleNumber]]&amp;CompilDonnées[[#This Row],[PlantationDate]])</f>
        <v>50145795</v>
      </c>
      <c r="O2865" t="str">
        <f>CompilDonnées[[#This Row],[FarmID]]&amp;CompilDonnées[[#This Row],[ModuleNumber]]</f>
        <v>501</v>
      </c>
      <c r="P2865" t="str">
        <f>CompilDonnées[[#This Row],[Ref_Module]]&amp;CompilDonnées[[#This Row],[HarvestingDate]]</f>
        <v>50145830</v>
      </c>
    </row>
    <row r="2866" spans="1:16">
      <c r="A2866" s="5">
        <v>45795</v>
      </c>
      <c r="B2866">
        <v>51</v>
      </c>
      <c r="C2866" t="s">
        <v>27</v>
      </c>
      <c r="D2866">
        <v>3</v>
      </c>
      <c r="E2866">
        <v>100</v>
      </c>
      <c r="F2866" t="s">
        <v>1</v>
      </c>
      <c r="G2866" s="6">
        <v>45843</v>
      </c>
      <c r="H2866">
        <v>48</v>
      </c>
      <c r="I2866">
        <f>ROUND(CompilDonnées[[#This Row],[CultureDuration_days]]/7,0)</f>
        <v>7</v>
      </c>
      <c r="J2866">
        <v>3319</v>
      </c>
      <c r="K2866" t="str">
        <f>_xlfn.CONCAT(WEEKNUM(CompilDonnées[[#This Row],[PlantationDate]]), " ", YEAR(CompilDonnées[[#This Row],[PlantationDate]]))</f>
        <v>21 2025</v>
      </c>
      <c r="L2866" t="str">
        <f>CONCATENATE(MONTH(CompilDonnées[[#This Row],[PlantationDate]])," ", YEAR(CompilDonnées[[#This Row],[PlantationDate]]))</f>
        <v>5 2025</v>
      </c>
      <c r="M2866" t="str">
        <f>CONCATENATE(MONTH(CompilDonnées[[#This Row],[HarvestingDate]])," ", YEAR(CompilDonnées[[#This Row],[HarvestingDate]]))</f>
        <v>7 2025</v>
      </c>
      <c r="N2866">
        <f>_xlfn.NUMBERVALUE(CompilDonnées[[#This Row],[FarmID]]&amp;CompilDonnées[[#This Row],[ModuleNumber]]&amp;CompilDonnées[[#This Row],[PlantationDate]])</f>
        <v>51345795</v>
      </c>
      <c r="O2866" t="str">
        <f>CompilDonnées[[#This Row],[FarmID]]&amp;CompilDonnées[[#This Row],[ModuleNumber]]</f>
        <v>513</v>
      </c>
      <c r="P2866" t="str">
        <f>CompilDonnées[[#This Row],[Ref_Module]]&amp;CompilDonnées[[#This Row],[HarvestingDate]]</f>
        <v>51345843</v>
      </c>
    </row>
    <row r="2867" spans="1:16">
      <c r="A2867" s="5">
        <v>45795</v>
      </c>
      <c r="B2867">
        <v>55</v>
      </c>
      <c r="C2867" t="s">
        <v>60</v>
      </c>
      <c r="D2867">
        <v>2</v>
      </c>
      <c r="E2867">
        <v>100</v>
      </c>
      <c r="F2867" t="s">
        <v>1</v>
      </c>
      <c r="G2867" s="6">
        <v>45844</v>
      </c>
      <c r="H2867">
        <v>49</v>
      </c>
      <c r="I2867">
        <f>ROUND(CompilDonnées[[#This Row],[CultureDuration_days]]/7,0)</f>
        <v>7</v>
      </c>
      <c r="J2867">
        <v>2751</v>
      </c>
      <c r="K2867" t="str">
        <f>_xlfn.CONCAT(WEEKNUM(CompilDonnées[[#This Row],[PlantationDate]]), " ", YEAR(CompilDonnées[[#This Row],[PlantationDate]]))</f>
        <v>21 2025</v>
      </c>
      <c r="L2867" t="str">
        <f>CONCATENATE(MONTH(CompilDonnées[[#This Row],[PlantationDate]])," ", YEAR(CompilDonnées[[#This Row],[PlantationDate]]))</f>
        <v>5 2025</v>
      </c>
      <c r="M2867" t="str">
        <f>CONCATENATE(MONTH(CompilDonnées[[#This Row],[HarvestingDate]])," ", YEAR(CompilDonnées[[#This Row],[HarvestingDate]]))</f>
        <v>7 2025</v>
      </c>
      <c r="N2867">
        <f>_xlfn.NUMBERVALUE(CompilDonnées[[#This Row],[FarmID]]&amp;CompilDonnées[[#This Row],[ModuleNumber]]&amp;CompilDonnées[[#This Row],[PlantationDate]])</f>
        <v>55245795</v>
      </c>
      <c r="O2867" t="str">
        <f>CompilDonnées[[#This Row],[FarmID]]&amp;CompilDonnées[[#This Row],[ModuleNumber]]</f>
        <v>552</v>
      </c>
      <c r="P2867" t="str">
        <f>CompilDonnées[[#This Row],[Ref_Module]]&amp;CompilDonnées[[#This Row],[HarvestingDate]]</f>
        <v>55245844</v>
      </c>
    </row>
    <row r="2868" spans="1:16">
      <c r="A2868" s="5">
        <v>45795</v>
      </c>
      <c r="B2868">
        <v>57</v>
      </c>
      <c r="C2868" t="s">
        <v>46</v>
      </c>
      <c r="D2868">
        <v>6</v>
      </c>
      <c r="E2868">
        <v>100</v>
      </c>
      <c r="F2868" t="s">
        <v>1</v>
      </c>
      <c r="G2868" s="6">
        <v>45830</v>
      </c>
      <c r="H2868">
        <v>35</v>
      </c>
      <c r="I2868">
        <f>ROUND(CompilDonnées[[#This Row],[CultureDuration_days]]/7,0)</f>
        <v>5</v>
      </c>
      <c r="J2868">
        <v>3179</v>
      </c>
      <c r="K2868" t="str">
        <f>_xlfn.CONCAT(WEEKNUM(CompilDonnées[[#This Row],[PlantationDate]]), " ", YEAR(CompilDonnées[[#This Row],[PlantationDate]]))</f>
        <v>21 2025</v>
      </c>
      <c r="L2868" t="str">
        <f>CONCATENATE(MONTH(CompilDonnées[[#This Row],[PlantationDate]])," ", YEAR(CompilDonnées[[#This Row],[PlantationDate]]))</f>
        <v>5 2025</v>
      </c>
      <c r="M2868" t="str">
        <f>CONCATENATE(MONTH(CompilDonnées[[#This Row],[HarvestingDate]])," ", YEAR(CompilDonnées[[#This Row],[HarvestingDate]]))</f>
        <v>6 2025</v>
      </c>
      <c r="N2868">
        <f>_xlfn.NUMBERVALUE(CompilDonnées[[#This Row],[FarmID]]&amp;CompilDonnées[[#This Row],[ModuleNumber]]&amp;CompilDonnées[[#This Row],[PlantationDate]])</f>
        <v>57645795</v>
      </c>
      <c r="O2868" t="str">
        <f>CompilDonnées[[#This Row],[FarmID]]&amp;CompilDonnées[[#This Row],[ModuleNumber]]</f>
        <v>576</v>
      </c>
      <c r="P2868" t="str">
        <f>CompilDonnées[[#This Row],[Ref_Module]]&amp;CompilDonnées[[#This Row],[HarvestingDate]]</f>
        <v>57645830</v>
      </c>
    </row>
    <row r="2869" spans="1:16">
      <c r="A2869" s="5">
        <v>45795</v>
      </c>
      <c r="B2869">
        <v>66</v>
      </c>
      <c r="C2869" t="s">
        <v>48</v>
      </c>
      <c r="D2869">
        <v>3</v>
      </c>
      <c r="E2869">
        <v>100</v>
      </c>
      <c r="F2869" t="s">
        <v>1</v>
      </c>
      <c r="G2869" s="6">
        <v>45842</v>
      </c>
      <c r="H2869">
        <v>47</v>
      </c>
      <c r="I2869">
        <f>ROUND(CompilDonnées[[#This Row],[CultureDuration_days]]/7,0)</f>
        <v>7</v>
      </c>
      <c r="J2869">
        <v>2148</v>
      </c>
      <c r="K2869" t="str">
        <f>_xlfn.CONCAT(WEEKNUM(CompilDonnées[[#This Row],[PlantationDate]]), " ", YEAR(CompilDonnées[[#This Row],[PlantationDate]]))</f>
        <v>21 2025</v>
      </c>
      <c r="L2869" t="str">
        <f>CONCATENATE(MONTH(CompilDonnées[[#This Row],[PlantationDate]])," ", YEAR(CompilDonnées[[#This Row],[PlantationDate]]))</f>
        <v>5 2025</v>
      </c>
      <c r="M2869" t="str">
        <f>CONCATENATE(MONTH(CompilDonnées[[#This Row],[HarvestingDate]])," ", YEAR(CompilDonnées[[#This Row],[HarvestingDate]]))</f>
        <v>7 2025</v>
      </c>
      <c r="N2869">
        <f>_xlfn.NUMBERVALUE(CompilDonnées[[#This Row],[FarmID]]&amp;CompilDonnées[[#This Row],[ModuleNumber]]&amp;CompilDonnées[[#This Row],[PlantationDate]])</f>
        <v>66345795</v>
      </c>
      <c r="O2869" t="str">
        <f>CompilDonnées[[#This Row],[FarmID]]&amp;CompilDonnées[[#This Row],[ModuleNumber]]</f>
        <v>663</v>
      </c>
      <c r="P2869" t="str">
        <f>CompilDonnées[[#This Row],[Ref_Module]]&amp;CompilDonnées[[#This Row],[HarvestingDate]]</f>
        <v>66345842</v>
      </c>
    </row>
    <row r="2870" spans="1:16">
      <c r="A2870" s="5">
        <v>45795</v>
      </c>
      <c r="B2870">
        <v>69</v>
      </c>
      <c r="C2870" t="s">
        <v>102</v>
      </c>
      <c r="D2870">
        <v>3</v>
      </c>
      <c r="E2870">
        <v>100</v>
      </c>
      <c r="F2870" t="s">
        <v>1</v>
      </c>
      <c r="G2870" s="6">
        <v>45843</v>
      </c>
      <c r="H2870">
        <v>48</v>
      </c>
      <c r="I2870">
        <f>ROUND(CompilDonnées[[#This Row],[CultureDuration_days]]/7,0)</f>
        <v>7</v>
      </c>
      <c r="J2870">
        <v>2292</v>
      </c>
      <c r="K2870" t="str">
        <f>_xlfn.CONCAT(WEEKNUM(CompilDonnées[[#This Row],[PlantationDate]]), " ", YEAR(CompilDonnées[[#This Row],[PlantationDate]]))</f>
        <v>21 2025</v>
      </c>
      <c r="L2870" t="str">
        <f>CONCATENATE(MONTH(CompilDonnées[[#This Row],[PlantationDate]])," ", YEAR(CompilDonnées[[#This Row],[PlantationDate]]))</f>
        <v>5 2025</v>
      </c>
      <c r="M2870" t="str">
        <f>CONCATENATE(MONTH(CompilDonnées[[#This Row],[HarvestingDate]])," ", YEAR(CompilDonnées[[#This Row],[HarvestingDate]]))</f>
        <v>7 2025</v>
      </c>
      <c r="N2870">
        <f>_xlfn.NUMBERVALUE(CompilDonnées[[#This Row],[FarmID]]&amp;CompilDonnées[[#This Row],[ModuleNumber]]&amp;CompilDonnées[[#This Row],[PlantationDate]])</f>
        <v>69345795</v>
      </c>
      <c r="O2870" t="str">
        <f>CompilDonnées[[#This Row],[FarmID]]&amp;CompilDonnées[[#This Row],[ModuleNumber]]</f>
        <v>693</v>
      </c>
      <c r="P2870" t="str">
        <f>CompilDonnées[[#This Row],[Ref_Module]]&amp;CompilDonnées[[#This Row],[HarvestingDate]]</f>
        <v>69345843</v>
      </c>
    </row>
    <row r="2871" spans="1:16">
      <c r="A2871" s="5">
        <v>45795</v>
      </c>
      <c r="B2871">
        <v>70</v>
      </c>
      <c r="C2871" t="s">
        <v>7</v>
      </c>
      <c r="D2871">
        <v>2</v>
      </c>
      <c r="E2871">
        <v>100</v>
      </c>
      <c r="F2871" t="s">
        <v>1</v>
      </c>
      <c r="G2871" s="6">
        <v>45842</v>
      </c>
      <c r="H2871">
        <v>47</v>
      </c>
      <c r="I2871">
        <f>ROUND(CompilDonnées[[#This Row],[CultureDuration_days]]/7,0)</f>
        <v>7</v>
      </c>
      <c r="J2871">
        <v>2633</v>
      </c>
      <c r="K2871" t="str">
        <f>_xlfn.CONCAT(WEEKNUM(CompilDonnées[[#This Row],[PlantationDate]]), " ", YEAR(CompilDonnées[[#This Row],[PlantationDate]]))</f>
        <v>21 2025</v>
      </c>
      <c r="L2871" t="str">
        <f>CONCATENATE(MONTH(CompilDonnées[[#This Row],[PlantationDate]])," ", YEAR(CompilDonnées[[#This Row],[PlantationDate]]))</f>
        <v>5 2025</v>
      </c>
      <c r="M2871" t="str">
        <f>CONCATENATE(MONTH(CompilDonnées[[#This Row],[HarvestingDate]])," ", YEAR(CompilDonnées[[#This Row],[HarvestingDate]]))</f>
        <v>7 2025</v>
      </c>
      <c r="N2871">
        <f>_xlfn.NUMBERVALUE(CompilDonnées[[#This Row],[FarmID]]&amp;CompilDonnées[[#This Row],[ModuleNumber]]&amp;CompilDonnées[[#This Row],[PlantationDate]])</f>
        <v>70245795</v>
      </c>
      <c r="O2871" t="str">
        <f>CompilDonnées[[#This Row],[FarmID]]&amp;CompilDonnées[[#This Row],[ModuleNumber]]</f>
        <v>702</v>
      </c>
      <c r="P2871" t="str">
        <f>CompilDonnées[[#This Row],[Ref_Module]]&amp;CompilDonnées[[#This Row],[HarvestingDate]]</f>
        <v>70245842</v>
      </c>
    </row>
    <row r="2872" spans="1:16">
      <c r="A2872" s="5">
        <v>45795</v>
      </c>
      <c r="B2872">
        <v>76</v>
      </c>
      <c r="C2872" t="s">
        <v>18</v>
      </c>
      <c r="D2872">
        <v>3</v>
      </c>
      <c r="E2872">
        <v>100</v>
      </c>
      <c r="F2872" t="s">
        <v>1</v>
      </c>
      <c r="G2872" s="6">
        <v>45830</v>
      </c>
      <c r="H2872">
        <v>35</v>
      </c>
      <c r="I2872">
        <f>ROUND(CompilDonnées[[#This Row],[CultureDuration_days]]/7,0)</f>
        <v>5</v>
      </c>
      <c r="J2872">
        <v>2921</v>
      </c>
      <c r="K2872" t="str">
        <f>_xlfn.CONCAT(WEEKNUM(CompilDonnées[[#This Row],[PlantationDate]]), " ", YEAR(CompilDonnées[[#This Row],[PlantationDate]]))</f>
        <v>21 2025</v>
      </c>
      <c r="L2872" t="str">
        <f>CONCATENATE(MONTH(CompilDonnées[[#This Row],[PlantationDate]])," ", YEAR(CompilDonnées[[#This Row],[PlantationDate]]))</f>
        <v>5 2025</v>
      </c>
      <c r="M2872" t="str">
        <f>CONCATENATE(MONTH(CompilDonnées[[#This Row],[HarvestingDate]])," ", YEAR(CompilDonnées[[#This Row],[HarvestingDate]]))</f>
        <v>6 2025</v>
      </c>
      <c r="N2872">
        <f>_xlfn.NUMBERVALUE(CompilDonnées[[#This Row],[FarmID]]&amp;CompilDonnées[[#This Row],[ModuleNumber]]&amp;CompilDonnées[[#This Row],[PlantationDate]])</f>
        <v>76345795</v>
      </c>
      <c r="O2872" t="str">
        <f>CompilDonnées[[#This Row],[FarmID]]&amp;CompilDonnées[[#This Row],[ModuleNumber]]</f>
        <v>763</v>
      </c>
      <c r="P2872" t="str">
        <f>CompilDonnées[[#This Row],[Ref_Module]]&amp;CompilDonnées[[#This Row],[HarvestingDate]]</f>
        <v>76345830</v>
      </c>
    </row>
    <row r="2873" spans="1:16">
      <c r="A2873" s="5">
        <v>45795</v>
      </c>
      <c r="B2873">
        <v>81</v>
      </c>
      <c r="C2873" t="s">
        <v>30</v>
      </c>
      <c r="D2873">
        <v>4</v>
      </c>
      <c r="E2873">
        <v>100</v>
      </c>
      <c r="F2873" t="s">
        <v>1</v>
      </c>
      <c r="G2873" s="6">
        <v>45842</v>
      </c>
      <c r="H2873">
        <v>47</v>
      </c>
      <c r="I2873">
        <f>ROUND(CompilDonnées[[#This Row],[CultureDuration_days]]/7,0)</f>
        <v>7</v>
      </c>
      <c r="J2873">
        <v>3797</v>
      </c>
      <c r="K2873" t="str">
        <f>_xlfn.CONCAT(WEEKNUM(CompilDonnées[[#This Row],[PlantationDate]]), " ", YEAR(CompilDonnées[[#This Row],[PlantationDate]]))</f>
        <v>21 2025</v>
      </c>
      <c r="L2873" t="str">
        <f>CONCATENATE(MONTH(CompilDonnées[[#This Row],[PlantationDate]])," ", YEAR(CompilDonnées[[#This Row],[PlantationDate]]))</f>
        <v>5 2025</v>
      </c>
      <c r="M2873" t="str">
        <f>CONCATENATE(MONTH(CompilDonnées[[#This Row],[HarvestingDate]])," ", YEAR(CompilDonnées[[#This Row],[HarvestingDate]]))</f>
        <v>7 2025</v>
      </c>
      <c r="N2873">
        <f>_xlfn.NUMBERVALUE(CompilDonnées[[#This Row],[FarmID]]&amp;CompilDonnées[[#This Row],[ModuleNumber]]&amp;CompilDonnées[[#This Row],[PlantationDate]])</f>
        <v>81445795</v>
      </c>
      <c r="O2873" t="str">
        <f>CompilDonnées[[#This Row],[FarmID]]&amp;CompilDonnées[[#This Row],[ModuleNumber]]</f>
        <v>814</v>
      </c>
      <c r="P2873" t="str">
        <f>CompilDonnées[[#This Row],[Ref_Module]]&amp;CompilDonnées[[#This Row],[HarvestingDate]]</f>
        <v>81445842</v>
      </c>
    </row>
    <row r="2874" spans="1:16">
      <c r="A2874" s="5">
        <v>45797</v>
      </c>
      <c r="B2874">
        <v>1</v>
      </c>
      <c r="C2874" t="s">
        <v>111</v>
      </c>
      <c r="D2874">
        <v>2</v>
      </c>
      <c r="E2874">
        <v>100</v>
      </c>
      <c r="F2874" t="s">
        <v>1</v>
      </c>
      <c r="G2874" s="6">
        <v>45825</v>
      </c>
      <c r="H2874">
        <v>28</v>
      </c>
      <c r="I2874">
        <f>ROUND(CompilDonnées[[#This Row],[CultureDuration_days]]/7,0)</f>
        <v>4</v>
      </c>
      <c r="J2874">
        <v>2110</v>
      </c>
      <c r="K2874" t="str">
        <f>_xlfn.CONCAT(WEEKNUM(CompilDonnées[[#This Row],[PlantationDate]]), " ", YEAR(CompilDonnées[[#This Row],[PlantationDate]]))</f>
        <v>21 2025</v>
      </c>
      <c r="L2874" t="str">
        <f>CONCATENATE(MONTH(CompilDonnées[[#This Row],[PlantationDate]])," ", YEAR(CompilDonnées[[#This Row],[PlantationDate]]))</f>
        <v>5 2025</v>
      </c>
      <c r="M2874" t="str">
        <f>CONCATENATE(MONTH(CompilDonnées[[#This Row],[HarvestingDate]])," ", YEAR(CompilDonnées[[#This Row],[HarvestingDate]]))</f>
        <v>6 2025</v>
      </c>
      <c r="N2874">
        <f>_xlfn.NUMBERVALUE(CompilDonnées[[#This Row],[FarmID]]&amp;CompilDonnées[[#This Row],[ModuleNumber]]&amp;CompilDonnées[[#This Row],[PlantationDate]])</f>
        <v>1245797</v>
      </c>
      <c r="O2874" t="str">
        <f>CompilDonnées[[#This Row],[FarmID]]&amp;CompilDonnées[[#This Row],[ModuleNumber]]</f>
        <v>12</v>
      </c>
      <c r="P2874" t="str">
        <f>CompilDonnées[[#This Row],[Ref_Module]]&amp;CompilDonnées[[#This Row],[HarvestingDate]]</f>
        <v>1245825</v>
      </c>
    </row>
    <row r="2875" spans="1:16">
      <c r="A2875" s="5">
        <v>45797</v>
      </c>
      <c r="B2875">
        <v>2</v>
      </c>
      <c r="C2875" t="s">
        <v>119</v>
      </c>
      <c r="D2875">
        <v>6</v>
      </c>
      <c r="E2875">
        <v>100</v>
      </c>
      <c r="F2875" t="s">
        <v>1</v>
      </c>
      <c r="G2875" s="6">
        <v>45842</v>
      </c>
      <c r="H2875">
        <v>45</v>
      </c>
      <c r="I2875">
        <f>ROUND(CompilDonnées[[#This Row],[CultureDuration_days]]/7,0)</f>
        <v>6</v>
      </c>
      <c r="J2875">
        <v>3490</v>
      </c>
      <c r="K2875" t="str">
        <f>_xlfn.CONCAT(WEEKNUM(CompilDonnées[[#This Row],[PlantationDate]]), " ", YEAR(CompilDonnées[[#This Row],[PlantationDate]]))</f>
        <v>21 2025</v>
      </c>
      <c r="L2875" t="str">
        <f>CONCATENATE(MONTH(CompilDonnées[[#This Row],[PlantationDate]])," ", YEAR(CompilDonnées[[#This Row],[PlantationDate]]))</f>
        <v>5 2025</v>
      </c>
      <c r="M2875" t="str">
        <f>CONCATENATE(MONTH(CompilDonnées[[#This Row],[HarvestingDate]])," ", YEAR(CompilDonnées[[#This Row],[HarvestingDate]]))</f>
        <v>7 2025</v>
      </c>
      <c r="N2875">
        <f>_xlfn.NUMBERVALUE(CompilDonnées[[#This Row],[FarmID]]&amp;CompilDonnées[[#This Row],[ModuleNumber]]&amp;CompilDonnées[[#This Row],[PlantationDate]])</f>
        <v>2645797</v>
      </c>
      <c r="O2875" t="str">
        <f>CompilDonnées[[#This Row],[FarmID]]&amp;CompilDonnées[[#This Row],[ModuleNumber]]</f>
        <v>26</v>
      </c>
      <c r="P2875" t="str">
        <f>CompilDonnées[[#This Row],[Ref_Module]]&amp;CompilDonnées[[#This Row],[HarvestingDate]]</f>
        <v>2645842</v>
      </c>
    </row>
    <row r="2876" spans="1:16">
      <c r="A2876" s="5">
        <v>45797</v>
      </c>
      <c r="B2876">
        <v>3</v>
      </c>
      <c r="C2876" t="s">
        <v>116</v>
      </c>
      <c r="D2876">
        <v>4</v>
      </c>
      <c r="E2876">
        <v>100</v>
      </c>
      <c r="F2876" t="s">
        <v>1</v>
      </c>
      <c r="G2876" s="6">
        <v>45829</v>
      </c>
      <c r="H2876">
        <v>32</v>
      </c>
      <c r="I2876">
        <f>ROUND(CompilDonnées[[#This Row],[CultureDuration_days]]/7,0)</f>
        <v>5</v>
      </c>
      <c r="J2876">
        <v>2562</v>
      </c>
      <c r="K2876" t="str">
        <f>_xlfn.CONCAT(WEEKNUM(CompilDonnées[[#This Row],[PlantationDate]]), " ", YEAR(CompilDonnées[[#This Row],[PlantationDate]]))</f>
        <v>21 2025</v>
      </c>
      <c r="L2876" t="str">
        <f>CONCATENATE(MONTH(CompilDonnées[[#This Row],[PlantationDate]])," ", YEAR(CompilDonnées[[#This Row],[PlantationDate]]))</f>
        <v>5 2025</v>
      </c>
      <c r="M2876" t="str">
        <f>CONCATENATE(MONTH(CompilDonnées[[#This Row],[HarvestingDate]])," ", YEAR(CompilDonnées[[#This Row],[HarvestingDate]]))</f>
        <v>6 2025</v>
      </c>
      <c r="N2876">
        <f>_xlfn.NUMBERVALUE(CompilDonnées[[#This Row],[FarmID]]&amp;CompilDonnées[[#This Row],[ModuleNumber]]&amp;CompilDonnées[[#This Row],[PlantationDate]])</f>
        <v>3445797</v>
      </c>
      <c r="O2876" t="str">
        <f>CompilDonnées[[#This Row],[FarmID]]&amp;CompilDonnées[[#This Row],[ModuleNumber]]</f>
        <v>34</v>
      </c>
      <c r="P2876" t="str">
        <f>CompilDonnées[[#This Row],[Ref_Module]]&amp;CompilDonnées[[#This Row],[HarvestingDate]]</f>
        <v>3445829</v>
      </c>
    </row>
    <row r="2877" spans="1:16">
      <c r="A2877" s="5">
        <v>45797</v>
      </c>
      <c r="B2877">
        <v>4</v>
      </c>
      <c r="C2877" t="s">
        <v>74</v>
      </c>
      <c r="D2877">
        <v>3</v>
      </c>
      <c r="E2877">
        <v>100</v>
      </c>
      <c r="F2877" t="s">
        <v>1</v>
      </c>
      <c r="G2877" s="6">
        <v>45825</v>
      </c>
      <c r="H2877">
        <v>28</v>
      </c>
      <c r="I2877">
        <f>ROUND(CompilDonnées[[#This Row],[CultureDuration_days]]/7,0)</f>
        <v>4</v>
      </c>
      <c r="J2877">
        <v>2029</v>
      </c>
      <c r="K2877" t="str">
        <f>_xlfn.CONCAT(WEEKNUM(CompilDonnées[[#This Row],[PlantationDate]]), " ", YEAR(CompilDonnées[[#This Row],[PlantationDate]]))</f>
        <v>21 2025</v>
      </c>
      <c r="L2877" t="str">
        <f>CONCATENATE(MONTH(CompilDonnées[[#This Row],[PlantationDate]])," ", YEAR(CompilDonnées[[#This Row],[PlantationDate]]))</f>
        <v>5 2025</v>
      </c>
      <c r="M2877" t="str">
        <f>CONCATENATE(MONTH(CompilDonnées[[#This Row],[HarvestingDate]])," ", YEAR(CompilDonnées[[#This Row],[HarvestingDate]]))</f>
        <v>6 2025</v>
      </c>
      <c r="N2877">
        <f>_xlfn.NUMBERVALUE(CompilDonnées[[#This Row],[FarmID]]&amp;CompilDonnées[[#This Row],[ModuleNumber]]&amp;CompilDonnées[[#This Row],[PlantationDate]])</f>
        <v>4345797</v>
      </c>
      <c r="O2877" t="str">
        <f>CompilDonnées[[#This Row],[FarmID]]&amp;CompilDonnées[[#This Row],[ModuleNumber]]</f>
        <v>43</v>
      </c>
      <c r="P2877" t="str">
        <f>CompilDonnées[[#This Row],[Ref_Module]]&amp;CompilDonnées[[#This Row],[HarvestingDate]]</f>
        <v>4345825</v>
      </c>
    </row>
    <row r="2878" spans="1:16">
      <c r="A2878" s="5">
        <v>45797</v>
      </c>
      <c r="B2878">
        <v>5</v>
      </c>
      <c r="C2878" t="s">
        <v>32</v>
      </c>
      <c r="D2878">
        <v>1</v>
      </c>
      <c r="E2878">
        <v>100</v>
      </c>
      <c r="F2878" t="s">
        <v>1</v>
      </c>
      <c r="G2878" s="6">
        <v>45825</v>
      </c>
      <c r="H2878">
        <v>28</v>
      </c>
      <c r="I2878">
        <f>ROUND(CompilDonnées[[#This Row],[CultureDuration_days]]/7,0)</f>
        <v>4</v>
      </c>
      <c r="J2878">
        <v>2064</v>
      </c>
      <c r="K2878" t="str">
        <f>_xlfn.CONCAT(WEEKNUM(CompilDonnées[[#This Row],[PlantationDate]]), " ", YEAR(CompilDonnées[[#This Row],[PlantationDate]]))</f>
        <v>21 2025</v>
      </c>
      <c r="L2878" t="str">
        <f>CONCATENATE(MONTH(CompilDonnées[[#This Row],[PlantationDate]])," ", YEAR(CompilDonnées[[#This Row],[PlantationDate]]))</f>
        <v>5 2025</v>
      </c>
      <c r="M2878" t="str">
        <f>CONCATENATE(MONTH(CompilDonnées[[#This Row],[HarvestingDate]])," ", YEAR(CompilDonnées[[#This Row],[HarvestingDate]]))</f>
        <v>6 2025</v>
      </c>
      <c r="N2878">
        <f>_xlfn.NUMBERVALUE(CompilDonnées[[#This Row],[FarmID]]&amp;CompilDonnées[[#This Row],[ModuleNumber]]&amp;CompilDonnées[[#This Row],[PlantationDate]])</f>
        <v>5145797</v>
      </c>
      <c r="O2878" t="str">
        <f>CompilDonnées[[#This Row],[FarmID]]&amp;CompilDonnées[[#This Row],[ModuleNumber]]</f>
        <v>51</v>
      </c>
      <c r="P2878" t="str">
        <f>CompilDonnées[[#This Row],[Ref_Module]]&amp;CompilDonnées[[#This Row],[HarvestingDate]]</f>
        <v>5145825</v>
      </c>
    </row>
    <row r="2879" spans="1:16">
      <c r="A2879" s="5">
        <v>45797</v>
      </c>
      <c r="B2879">
        <v>6</v>
      </c>
      <c r="C2879" t="s">
        <v>24</v>
      </c>
      <c r="D2879">
        <v>1</v>
      </c>
      <c r="E2879">
        <v>100</v>
      </c>
      <c r="F2879" t="s">
        <v>1</v>
      </c>
      <c r="G2879" s="6">
        <v>45829</v>
      </c>
      <c r="H2879">
        <v>32</v>
      </c>
      <c r="I2879">
        <f>ROUND(CompilDonnées[[#This Row],[CultureDuration_days]]/7,0)</f>
        <v>5</v>
      </c>
      <c r="J2879">
        <v>2466</v>
      </c>
      <c r="K2879" t="str">
        <f>_xlfn.CONCAT(WEEKNUM(CompilDonnées[[#This Row],[PlantationDate]]), " ", YEAR(CompilDonnées[[#This Row],[PlantationDate]]))</f>
        <v>21 2025</v>
      </c>
      <c r="L2879" t="str">
        <f>CONCATENATE(MONTH(CompilDonnées[[#This Row],[PlantationDate]])," ", YEAR(CompilDonnées[[#This Row],[PlantationDate]]))</f>
        <v>5 2025</v>
      </c>
      <c r="M2879" t="str">
        <f>CONCATENATE(MONTH(CompilDonnées[[#This Row],[HarvestingDate]])," ", YEAR(CompilDonnées[[#This Row],[HarvestingDate]]))</f>
        <v>6 2025</v>
      </c>
      <c r="N2879">
        <f>_xlfn.NUMBERVALUE(CompilDonnées[[#This Row],[FarmID]]&amp;CompilDonnées[[#This Row],[ModuleNumber]]&amp;CompilDonnées[[#This Row],[PlantationDate]])</f>
        <v>6145797</v>
      </c>
      <c r="O2879" t="str">
        <f>CompilDonnées[[#This Row],[FarmID]]&amp;CompilDonnées[[#This Row],[ModuleNumber]]</f>
        <v>61</v>
      </c>
      <c r="P2879" t="str">
        <f>CompilDonnées[[#This Row],[Ref_Module]]&amp;CompilDonnées[[#This Row],[HarvestingDate]]</f>
        <v>6145829</v>
      </c>
    </row>
    <row r="2880" spans="1:16">
      <c r="A2880" s="5">
        <v>45797</v>
      </c>
      <c r="B2880">
        <v>7</v>
      </c>
      <c r="C2880" t="s">
        <v>50</v>
      </c>
      <c r="D2880">
        <v>5</v>
      </c>
      <c r="E2880">
        <v>100</v>
      </c>
      <c r="F2880" t="s">
        <v>1</v>
      </c>
      <c r="G2880" s="6">
        <v>45843</v>
      </c>
      <c r="H2880">
        <v>46</v>
      </c>
      <c r="I2880">
        <f>ROUND(CompilDonnées[[#This Row],[CultureDuration_days]]/7,0)</f>
        <v>7</v>
      </c>
      <c r="J2880">
        <v>3783</v>
      </c>
      <c r="K2880" t="str">
        <f>_xlfn.CONCAT(WEEKNUM(CompilDonnées[[#This Row],[PlantationDate]]), " ", YEAR(CompilDonnées[[#This Row],[PlantationDate]]))</f>
        <v>21 2025</v>
      </c>
      <c r="L2880" t="str">
        <f>CONCATENATE(MONTH(CompilDonnées[[#This Row],[PlantationDate]])," ", YEAR(CompilDonnées[[#This Row],[PlantationDate]]))</f>
        <v>5 2025</v>
      </c>
      <c r="M2880" t="str">
        <f>CONCATENATE(MONTH(CompilDonnées[[#This Row],[HarvestingDate]])," ", YEAR(CompilDonnées[[#This Row],[HarvestingDate]]))</f>
        <v>7 2025</v>
      </c>
      <c r="N2880">
        <f>_xlfn.NUMBERVALUE(CompilDonnées[[#This Row],[FarmID]]&amp;CompilDonnées[[#This Row],[ModuleNumber]]&amp;CompilDonnées[[#This Row],[PlantationDate]])</f>
        <v>7545797</v>
      </c>
      <c r="O2880" t="str">
        <f>CompilDonnées[[#This Row],[FarmID]]&amp;CompilDonnées[[#This Row],[ModuleNumber]]</f>
        <v>75</v>
      </c>
      <c r="P2880" t="str">
        <f>CompilDonnées[[#This Row],[Ref_Module]]&amp;CompilDonnées[[#This Row],[HarvestingDate]]</f>
        <v>7545843</v>
      </c>
    </row>
    <row r="2881" spans="1:16">
      <c r="A2881" s="5">
        <v>45797</v>
      </c>
      <c r="B2881">
        <v>8</v>
      </c>
      <c r="C2881" t="s">
        <v>57</v>
      </c>
      <c r="D2881">
        <v>5</v>
      </c>
      <c r="E2881">
        <v>100</v>
      </c>
      <c r="F2881" t="s">
        <v>1</v>
      </c>
      <c r="G2881" s="6">
        <v>45842</v>
      </c>
      <c r="H2881">
        <v>45</v>
      </c>
      <c r="I2881">
        <f>ROUND(CompilDonnées[[#This Row],[CultureDuration_days]]/7,0)</f>
        <v>6</v>
      </c>
      <c r="J2881">
        <v>2725</v>
      </c>
      <c r="K2881" t="str">
        <f>_xlfn.CONCAT(WEEKNUM(CompilDonnées[[#This Row],[PlantationDate]]), " ", YEAR(CompilDonnées[[#This Row],[PlantationDate]]))</f>
        <v>21 2025</v>
      </c>
      <c r="L2881" t="str">
        <f>CONCATENATE(MONTH(CompilDonnées[[#This Row],[PlantationDate]])," ", YEAR(CompilDonnées[[#This Row],[PlantationDate]]))</f>
        <v>5 2025</v>
      </c>
      <c r="M2881" t="str">
        <f>CONCATENATE(MONTH(CompilDonnées[[#This Row],[HarvestingDate]])," ", YEAR(CompilDonnées[[#This Row],[HarvestingDate]]))</f>
        <v>7 2025</v>
      </c>
      <c r="N2881">
        <f>_xlfn.NUMBERVALUE(CompilDonnées[[#This Row],[FarmID]]&amp;CompilDonnées[[#This Row],[ModuleNumber]]&amp;CompilDonnées[[#This Row],[PlantationDate]])</f>
        <v>8545797</v>
      </c>
      <c r="O2881" t="str">
        <f>CompilDonnées[[#This Row],[FarmID]]&amp;CompilDonnées[[#This Row],[ModuleNumber]]</f>
        <v>85</v>
      </c>
      <c r="P2881" t="str">
        <f>CompilDonnées[[#This Row],[Ref_Module]]&amp;CompilDonnées[[#This Row],[HarvestingDate]]</f>
        <v>8545842</v>
      </c>
    </row>
    <row r="2882" spans="1:16">
      <c r="A2882" s="5">
        <v>45797</v>
      </c>
      <c r="B2882">
        <v>9</v>
      </c>
      <c r="C2882" t="s">
        <v>107</v>
      </c>
      <c r="D2882">
        <v>3</v>
      </c>
      <c r="E2882">
        <v>100</v>
      </c>
      <c r="F2882" t="s">
        <v>1</v>
      </c>
      <c r="G2882" s="6">
        <v>45829</v>
      </c>
      <c r="H2882">
        <v>32</v>
      </c>
      <c r="I2882">
        <f>ROUND(CompilDonnées[[#This Row],[CultureDuration_days]]/7,0)</f>
        <v>5</v>
      </c>
      <c r="J2882">
        <v>2902</v>
      </c>
      <c r="K2882" t="str">
        <f>_xlfn.CONCAT(WEEKNUM(CompilDonnées[[#This Row],[PlantationDate]]), " ", YEAR(CompilDonnées[[#This Row],[PlantationDate]]))</f>
        <v>21 2025</v>
      </c>
      <c r="L2882" t="str">
        <f>CONCATENATE(MONTH(CompilDonnées[[#This Row],[PlantationDate]])," ", YEAR(CompilDonnées[[#This Row],[PlantationDate]]))</f>
        <v>5 2025</v>
      </c>
      <c r="M2882" t="str">
        <f>CONCATENATE(MONTH(CompilDonnées[[#This Row],[HarvestingDate]])," ", YEAR(CompilDonnées[[#This Row],[HarvestingDate]]))</f>
        <v>6 2025</v>
      </c>
      <c r="N2882">
        <f>_xlfn.NUMBERVALUE(CompilDonnées[[#This Row],[FarmID]]&amp;CompilDonnées[[#This Row],[ModuleNumber]]&amp;CompilDonnées[[#This Row],[PlantationDate]])</f>
        <v>9345797</v>
      </c>
      <c r="O2882" t="str">
        <f>CompilDonnées[[#This Row],[FarmID]]&amp;CompilDonnées[[#This Row],[ModuleNumber]]</f>
        <v>93</v>
      </c>
      <c r="P2882" t="str">
        <f>CompilDonnées[[#This Row],[Ref_Module]]&amp;CompilDonnées[[#This Row],[HarvestingDate]]</f>
        <v>9345829</v>
      </c>
    </row>
    <row r="2883" spans="1:16">
      <c r="A2883" s="5">
        <v>45797</v>
      </c>
      <c r="B2883">
        <v>10</v>
      </c>
      <c r="C2883" t="s">
        <v>109</v>
      </c>
      <c r="D2883">
        <v>2</v>
      </c>
      <c r="E2883">
        <v>100</v>
      </c>
      <c r="F2883" t="s">
        <v>1</v>
      </c>
      <c r="G2883" s="6">
        <v>45829</v>
      </c>
      <c r="H2883">
        <v>32</v>
      </c>
      <c r="I2883">
        <f>ROUND(CompilDonnées[[#This Row],[CultureDuration_days]]/7,0)</f>
        <v>5</v>
      </c>
      <c r="J2883">
        <v>2602</v>
      </c>
      <c r="K2883" t="str">
        <f>_xlfn.CONCAT(WEEKNUM(CompilDonnées[[#This Row],[PlantationDate]]), " ", YEAR(CompilDonnées[[#This Row],[PlantationDate]]))</f>
        <v>21 2025</v>
      </c>
      <c r="L2883" t="str">
        <f>CONCATENATE(MONTH(CompilDonnées[[#This Row],[PlantationDate]])," ", YEAR(CompilDonnées[[#This Row],[PlantationDate]]))</f>
        <v>5 2025</v>
      </c>
      <c r="M2883" t="str">
        <f>CONCATENATE(MONTH(CompilDonnées[[#This Row],[HarvestingDate]])," ", YEAR(CompilDonnées[[#This Row],[HarvestingDate]]))</f>
        <v>6 2025</v>
      </c>
      <c r="N2883">
        <f>_xlfn.NUMBERVALUE(CompilDonnées[[#This Row],[FarmID]]&amp;CompilDonnées[[#This Row],[ModuleNumber]]&amp;CompilDonnées[[#This Row],[PlantationDate]])</f>
        <v>10245797</v>
      </c>
      <c r="O2883" t="str">
        <f>CompilDonnées[[#This Row],[FarmID]]&amp;CompilDonnées[[#This Row],[ModuleNumber]]</f>
        <v>102</v>
      </c>
      <c r="P2883" t="str">
        <f>CompilDonnées[[#This Row],[Ref_Module]]&amp;CompilDonnées[[#This Row],[HarvestingDate]]</f>
        <v>10245829</v>
      </c>
    </row>
    <row r="2884" spans="1:16">
      <c r="A2884" s="5">
        <v>45797</v>
      </c>
      <c r="B2884">
        <v>11</v>
      </c>
      <c r="C2884" t="s">
        <v>106</v>
      </c>
      <c r="D2884">
        <v>6</v>
      </c>
      <c r="E2884">
        <v>100</v>
      </c>
      <c r="F2884" t="s">
        <v>1</v>
      </c>
      <c r="G2884" s="6">
        <v>45829</v>
      </c>
      <c r="H2884">
        <v>32</v>
      </c>
      <c r="I2884">
        <f>ROUND(CompilDonnées[[#This Row],[CultureDuration_days]]/7,0)</f>
        <v>5</v>
      </c>
      <c r="J2884">
        <v>2343</v>
      </c>
      <c r="K2884" t="str">
        <f>_xlfn.CONCAT(WEEKNUM(CompilDonnées[[#This Row],[PlantationDate]]), " ", YEAR(CompilDonnées[[#This Row],[PlantationDate]]))</f>
        <v>21 2025</v>
      </c>
      <c r="L2884" t="str">
        <f>CONCATENATE(MONTH(CompilDonnées[[#This Row],[PlantationDate]])," ", YEAR(CompilDonnées[[#This Row],[PlantationDate]]))</f>
        <v>5 2025</v>
      </c>
      <c r="M2884" t="str">
        <f>CONCATENATE(MONTH(CompilDonnées[[#This Row],[HarvestingDate]])," ", YEAR(CompilDonnées[[#This Row],[HarvestingDate]]))</f>
        <v>6 2025</v>
      </c>
      <c r="N2884">
        <f>_xlfn.NUMBERVALUE(CompilDonnées[[#This Row],[FarmID]]&amp;CompilDonnées[[#This Row],[ModuleNumber]]&amp;CompilDonnées[[#This Row],[PlantationDate]])</f>
        <v>11645797</v>
      </c>
      <c r="O2884" t="str">
        <f>CompilDonnées[[#This Row],[FarmID]]&amp;CompilDonnées[[#This Row],[ModuleNumber]]</f>
        <v>116</v>
      </c>
      <c r="P2884" t="str">
        <f>CompilDonnées[[#This Row],[Ref_Module]]&amp;CompilDonnées[[#This Row],[HarvestingDate]]</f>
        <v>11645829</v>
      </c>
    </row>
    <row r="2885" spans="1:16">
      <c r="A2885" s="5">
        <v>45797</v>
      </c>
      <c r="B2885">
        <v>12</v>
      </c>
      <c r="C2885" t="s">
        <v>123</v>
      </c>
      <c r="D2885">
        <v>5</v>
      </c>
      <c r="E2885">
        <v>100</v>
      </c>
      <c r="F2885" t="s">
        <v>1</v>
      </c>
      <c r="G2885" s="6">
        <v>45826</v>
      </c>
      <c r="H2885">
        <v>29</v>
      </c>
      <c r="I2885">
        <f>ROUND(CompilDonnées[[#This Row],[CultureDuration_days]]/7,0)</f>
        <v>4</v>
      </c>
      <c r="J2885">
        <v>1716</v>
      </c>
      <c r="K2885" t="str">
        <f>_xlfn.CONCAT(WEEKNUM(CompilDonnées[[#This Row],[PlantationDate]]), " ", YEAR(CompilDonnées[[#This Row],[PlantationDate]]))</f>
        <v>21 2025</v>
      </c>
      <c r="L2885" t="str">
        <f>CONCATENATE(MONTH(CompilDonnées[[#This Row],[PlantationDate]])," ", YEAR(CompilDonnées[[#This Row],[PlantationDate]]))</f>
        <v>5 2025</v>
      </c>
      <c r="M2885" t="str">
        <f>CONCATENATE(MONTH(CompilDonnées[[#This Row],[HarvestingDate]])," ", YEAR(CompilDonnées[[#This Row],[HarvestingDate]]))</f>
        <v>6 2025</v>
      </c>
      <c r="N2885">
        <f>_xlfn.NUMBERVALUE(CompilDonnées[[#This Row],[FarmID]]&amp;CompilDonnées[[#This Row],[ModuleNumber]]&amp;CompilDonnées[[#This Row],[PlantationDate]])</f>
        <v>12545797</v>
      </c>
      <c r="O2885" t="str">
        <f>CompilDonnées[[#This Row],[FarmID]]&amp;CompilDonnées[[#This Row],[ModuleNumber]]</f>
        <v>125</v>
      </c>
      <c r="P2885" t="str">
        <f>CompilDonnées[[#This Row],[Ref_Module]]&amp;CompilDonnées[[#This Row],[HarvestingDate]]</f>
        <v>12545826</v>
      </c>
    </row>
    <row r="2886" spans="1:16">
      <c r="A2886" s="5">
        <v>45797</v>
      </c>
      <c r="B2886">
        <v>13</v>
      </c>
      <c r="C2886" t="s">
        <v>114</v>
      </c>
      <c r="D2886">
        <v>5</v>
      </c>
      <c r="E2886">
        <v>100</v>
      </c>
      <c r="F2886" t="s">
        <v>1</v>
      </c>
      <c r="G2886" s="6">
        <v>45829</v>
      </c>
      <c r="H2886">
        <v>32</v>
      </c>
      <c r="I2886">
        <f>ROUND(CompilDonnées[[#This Row],[CultureDuration_days]]/7,0)</f>
        <v>5</v>
      </c>
      <c r="J2886">
        <v>2900</v>
      </c>
      <c r="K2886" t="str">
        <f>_xlfn.CONCAT(WEEKNUM(CompilDonnées[[#This Row],[PlantationDate]]), " ", YEAR(CompilDonnées[[#This Row],[PlantationDate]]))</f>
        <v>21 2025</v>
      </c>
      <c r="L2886" t="str">
        <f>CONCATENATE(MONTH(CompilDonnées[[#This Row],[PlantationDate]])," ", YEAR(CompilDonnées[[#This Row],[PlantationDate]]))</f>
        <v>5 2025</v>
      </c>
      <c r="M2886" t="str">
        <f>CONCATENATE(MONTH(CompilDonnées[[#This Row],[HarvestingDate]])," ", YEAR(CompilDonnées[[#This Row],[HarvestingDate]]))</f>
        <v>6 2025</v>
      </c>
      <c r="N2886">
        <f>_xlfn.NUMBERVALUE(CompilDonnées[[#This Row],[FarmID]]&amp;CompilDonnées[[#This Row],[ModuleNumber]]&amp;CompilDonnées[[#This Row],[PlantationDate]])</f>
        <v>13545797</v>
      </c>
      <c r="O2886" t="str">
        <f>CompilDonnées[[#This Row],[FarmID]]&amp;CompilDonnées[[#This Row],[ModuleNumber]]</f>
        <v>135</v>
      </c>
      <c r="P2886" t="str">
        <f>CompilDonnées[[#This Row],[Ref_Module]]&amp;CompilDonnées[[#This Row],[HarvestingDate]]</f>
        <v>13545829</v>
      </c>
    </row>
    <row r="2887" spans="1:16">
      <c r="A2887" s="5">
        <v>45797</v>
      </c>
      <c r="B2887">
        <v>15</v>
      </c>
      <c r="C2887" t="s">
        <v>5</v>
      </c>
      <c r="D2887">
        <v>2</v>
      </c>
      <c r="E2887">
        <v>100</v>
      </c>
      <c r="F2887" t="s">
        <v>1</v>
      </c>
      <c r="G2887" s="6">
        <v>45829</v>
      </c>
      <c r="H2887">
        <v>32</v>
      </c>
      <c r="I2887">
        <f>ROUND(CompilDonnées[[#This Row],[CultureDuration_days]]/7,0)</f>
        <v>5</v>
      </c>
      <c r="J2887">
        <v>2508</v>
      </c>
      <c r="K2887" t="str">
        <f>_xlfn.CONCAT(WEEKNUM(CompilDonnées[[#This Row],[PlantationDate]]), " ", YEAR(CompilDonnées[[#This Row],[PlantationDate]]))</f>
        <v>21 2025</v>
      </c>
      <c r="L2887" t="str">
        <f>CONCATENATE(MONTH(CompilDonnées[[#This Row],[PlantationDate]])," ", YEAR(CompilDonnées[[#This Row],[PlantationDate]]))</f>
        <v>5 2025</v>
      </c>
      <c r="M2887" t="str">
        <f>CONCATENATE(MONTH(CompilDonnées[[#This Row],[HarvestingDate]])," ", YEAR(CompilDonnées[[#This Row],[HarvestingDate]]))</f>
        <v>6 2025</v>
      </c>
      <c r="N2887">
        <f>_xlfn.NUMBERVALUE(CompilDonnées[[#This Row],[FarmID]]&amp;CompilDonnées[[#This Row],[ModuleNumber]]&amp;CompilDonnées[[#This Row],[PlantationDate]])</f>
        <v>15245797</v>
      </c>
      <c r="O2887" t="str">
        <f>CompilDonnées[[#This Row],[FarmID]]&amp;CompilDonnées[[#This Row],[ModuleNumber]]</f>
        <v>152</v>
      </c>
      <c r="P2887" t="str">
        <f>CompilDonnées[[#This Row],[Ref_Module]]&amp;CompilDonnées[[#This Row],[HarvestingDate]]</f>
        <v>15245829</v>
      </c>
    </row>
    <row r="2888" spans="1:16">
      <c r="A2888" s="5">
        <v>45797</v>
      </c>
      <c r="B2888">
        <v>16</v>
      </c>
      <c r="C2888" t="s">
        <v>112</v>
      </c>
      <c r="D2888">
        <v>3</v>
      </c>
      <c r="E2888">
        <v>100</v>
      </c>
      <c r="F2888" t="s">
        <v>1</v>
      </c>
      <c r="G2888" s="6">
        <v>45844</v>
      </c>
      <c r="H2888">
        <v>47</v>
      </c>
      <c r="I2888">
        <f>ROUND(CompilDonnées[[#This Row],[CultureDuration_days]]/7,0)</f>
        <v>7</v>
      </c>
      <c r="J2888">
        <v>3135</v>
      </c>
      <c r="K2888" t="str">
        <f>_xlfn.CONCAT(WEEKNUM(CompilDonnées[[#This Row],[PlantationDate]]), " ", YEAR(CompilDonnées[[#This Row],[PlantationDate]]))</f>
        <v>21 2025</v>
      </c>
      <c r="L2888" t="str">
        <f>CONCATENATE(MONTH(CompilDonnées[[#This Row],[PlantationDate]])," ", YEAR(CompilDonnées[[#This Row],[PlantationDate]]))</f>
        <v>5 2025</v>
      </c>
      <c r="M2888" t="str">
        <f>CONCATENATE(MONTH(CompilDonnées[[#This Row],[HarvestingDate]])," ", YEAR(CompilDonnées[[#This Row],[HarvestingDate]]))</f>
        <v>7 2025</v>
      </c>
      <c r="N2888">
        <f>_xlfn.NUMBERVALUE(CompilDonnées[[#This Row],[FarmID]]&amp;CompilDonnées[[#This Row],[ModuleNumber]]&amp;CompilDonnées[[#This Row],[PlantationDate]])</f>
        <v>16345797</v>
      </c>
      <c r="O2888" t="str">
        <f>CompilDonnées[[#This Row],[FarmID]]&amp;CompilDonnées[[#This Row],[ModuleNumber]]</f>
        <v>163</v>
      </c>
      <c r="P2888" t="str">
        <f>CompilDonnées[[#This Row],[Ref_Module]]&amp;CompilDonnées[[#This Row],[HarvestingDate]]</f>
        <v>16345844</v>
      </c>
    </row>
    <row r="2889" spans="1:16">
      <c r="A2889" s="5">
        <v>45797</v>
      </c>
      <c r="B2889">
        <v>17</v>
      </c>
      <c r="C2889" t="s">
        <v>80</v>
      </c>
      <c r="D2889">
        <v>6</v>
      </c>
      <c r="E2889">
        <v>100</v>
      </c>
      <c r="F2889" t="s">
        <v>1</v>
      </c>
      <c r="G2889" s="6">
        <v>45829</v>
      </c>
      <c r="H2889">
        <v>32</v>
      </c>
      <c r="I2889">
        <f>ROUND(CompilDonnées[[#This Row],[CultureDuration_days]]/7,0)</f>
        <v>5</v>
      </c>
      <c r="J2889">
        <v>3075</v>
      </c>
      <c r="K2889" t="str">
        <f>_xlfn.CONCAT(WEEKNUM(CompilDonnées[[#This Row],[PlantationDate]]), " ", YEAR(CompilDonnées[[#This Row],[PlantationDate]]))</f>
        <v>21 2025</v>
      </c>
      <c r="L2889" t="str">
        <f>CONCATENATE(MONTH(CompilDonnées[[#This Row],[PlantationDate]])," ", YEAR(CompilDonnées[[#This Row],[PlantationDate]]))</f>
        <v>5 2025</v>
      </c>
      <c r="M2889" t="str">
        <f>CONCATENATE(MONTH(CompilDonnées[[#This Row],[HarvestingDate]])," ", YEAR(CompilDonnées[[#This Row],[HarvestingDate]]))</f>
        <v>6 2025</v>
      </c>
      <c r="N2889">
        <f>_xlfn.NUMBERVALUE(CompilDonnées[[#This Row],[FarmID]]&amp;CompilDonnées[[#This Row],[ModuleNumber]]&amp;CompilDonnées[[#This Row],[PlantationDate]])</f>
        <v>17645797</v>
      </c>
      <c r="O2889" t="str">
        <f>CompilDonnées[[#This Row],[FarmID]]&amp;CompilDonnées[[#This Row],[ModuleNumber]]</f>
        <v>176</v>
      </c>
      <c r="P2889" t="str">
        <f>CompilDonnées[[#This Row],[Ref_Module]]&amp;CompilDonnées[[#This Row],[HarvestingDate]]</f>
        <v>17645829</v>
      </c>
    </row>
    <row r="2890" spans="1:16">
      <c r="A2890" s="5">
        <v>45797</v>
      </c>
      <c r="B2890">
        <v>18</v>
      </c>
      <c r="C2890" t="s">
        <v>33</v>
      </c>
      <c r="D2890">
        <v>6</v>
      </c>
      <c r="E2890">
        <v>100</v>
      </c>
      <c r="F2890" t="s">
        <v>1</v>
      </c>
      <c r="G2890" s="6">
        <v>45829</v>
      </c>
      <c r="H2890">
        <v>32</v>
      </c>
      <c r="I2890">
        <f>ROUND(CompilDonnées[[#This Row],[CultureDuration_days]]/7,0)</f>
        <v>5</v>
      </c>
      <c r="J2890">
        <v>2837</v>
      </c>
      <c r="K2890" t="str">
        <f>_xlfn.CONCAT(WEEKNUM(CompilDonnées[[#This Row],[PlantationDate]]), " ", YEAR(CompilDonnées[[#This Row],[PlantationDate]]))</f>
        <v>21 2025</v>
      </c>
      <c r="L2890" t="str">
        <f>CONCATENATE(MONTH(CompilDonnées[[#This Row],[PlantationDate]])," ", YEAR(CompilDonnées[[#This Row],[PlantationDate]]))</f>
        <v>5 2025</v>
      </c>
      <c r="M2890" t="str">
        <f>CONCATENATE(MONTH(CompilDonnées[[#This Row],[HarvestingDate]])," ", YEAR(CompilDonnées[[#This Row],[HarvestingDate]]))</f>
        <v>6 2025</v>
      </c>
      <c r="N2890">
        <f>_xlfn.NUMBERVALUE(CompilDonnées[[#This Row],[FarmID]]&amp;CompilDonnées[[#This Row],[ModuleNumber]]&amp;CompilDonnées[[#This Row],[PlantationDate]])</f>
        <v>18645797</v>
      </c>
      <c r="O2890" t="str">
        <f>CompilDonnées[[#This Row],[FarmID]]&amp;CompilDonnées[[#This Row],[ModuleNumber]]</f>
        <v>186</v>
      </c>
      <c r="P2890" t="str">
        <f>CompilDonnées[[#This Row],[Ref_Module]]&amp;CompilDonnées[[#This Row],[HarvestingDate]]</f>
        <v>18645829</v>
      </c>
    </row>
    <row r="2891" spans="1:16">
      <c r="A2891" s="5">
        <v>45797</v>
      </c>
      <c r="B2891">
        <v>19</v>
      </c>
      <c r="C2891" t="s">
        <v>108</v>
      </c>
      <c r="D2891">
        <v>6</v>
      </c>
      <c r="E2891">
        <v>100</v>
      </c>
      <c r="F2891" t="s">
        <v>1</v>
      </c>
      <c r="G2891" s="6">
        <v>45844</v>
      </c>
      <c r="H2891">
        <v>47</v>
      </c>
      <c r="I2891">
        <f>ROUND(CompilDonnées[[#This Row],[CultureDuration_days]]/7,0)</f>
        <v>7</v>
      </c>
      <c r="J2891">
        <v>3105</v>
      </c>
      <c r="K2891" t="str">
        <f>_xlfn.CONCAT(WEEKNUM(CompilDonnées[[#This Row],[PlantationDate]]), " ", YEAR(CompilDonnées[[#This Row],[PlantationDate]]))</f>
        <v>21 2025</v>
      </c>
      <c r="L2891" t="str">
        <f>CONCATENATE(MONTH(CompilDonnées[[#This Row],[PlantationDate]])," ", YEAR(CompilDonnées[[#This Row],[PlantationDate]]))</f>
        <v>5 2025</v>
      </c>
      <c r="M2891" t="str">
        <f>CONCATENATE(MONTH(CompilDonnées[[#This Row],[HarvestingDate]])," ", YEAR(CompilDonnées[[#This Row],[HarvestingDate]]))</f>
        <v>7 2025</v>
      </c>
      <c r="N2891">
        <f>_xlfn.NUMBERVALUE(CompilDonnées[[#This Row],[FarmID]]&amp;CompilDonnées[[#This Row],[ModuleNumber]]&amp;CompilDonnées[[#This Row],[PlantationDate]])</f>
        <v>19645797</v>
      </c>
      <c r="O2891" t="str">
        <f>CompilDonnées[[#This Row],[FarmID]]&amp;CompilDonnées[[#This Row],[ModuleNumber]]</f>
        <v>196</v>
      </c>
      <c r="P2891" t="str">
        <f>CompilDonnées[[#This Row],[Ref_Module]]&amp;CompilDonnées[[#This Row],[HarvestingDate]]</f>
        <v>19645844</v>
      </c>
    </row>
    <row r="2892" spans="1:16">
      <c r="A2892" s="5">
        <v>45797</v>
      </c>
      <c r="B2892">
        <v>20</v>
      </c>
      <c r="C2892" t="s">
        <v>53</v>
      </c>
      <c r="D2892">
        <v>5</v>
      </c>
      <c r="E2892">
        <v>100</v>
      </c>
      <c r="F2892" t="s">
        <v>1</v>
      </c>
      <c r="G2892" s="6">
        <v>45842</v>
      </c>
      <c r="H2892">
        <v>45</v>
      </c>
      <c r="I2892">
        <f>ROUND(CompilDonnées[[#This Row],[CultureDuration_days]]/7,0)</f>
        <v>6</v>
      </c>
      <c r="J2892">
        <v>2088</v>
      </c>
      <c r="K2892" t="str">
        <f>_xlfn.CONCAT(WEEKNUM(CompilDonnées[[#This Row],[PlantationDate]]), " ", YEAR(CompilDonnées[[#This Row],[PlantationDate]]))</f>
        <v>21 2025</v>
      </c>
      <c r="L2892" t="str">
        <f>CONCATENATE(MONTH(CompilDonnées[[#This Row],[PlantationDate]])," ", YEAR(CompilDonnées[[#This Row],[PlantationDate]]))</f>
        <v>5 2025</v>
      </c>
      <c r="M2892" t="str">
        <f>CONCATENATE(MONTH(CompilDonnées[[#This Row],[HarvestingDate]])," ", YEAR(CompilDonnées[[#This Row],[HarvestingDate]]))</f>
        <v>7 2025</v>
      </c>
      <c r="N2892">
        <f>_xlfn.NUMBERVALUE(CompilDonnées[[#This Row],[FarmID]]&amp;CompilDonnées[[#This Row],[ModuleNumber]]&amp;CompilDonnées[[#This Row],[PlantationDate]])</f>
        <v>20545797</v>
      </c>
      <c r="O2892" t="str">
        <f>CompilDonnées[[#This Row],[FarmID]]&amp;CompilDonnées[[#This Row],[ModuleNumber]]</f>
        <v>205</v>
      </c>
      <c r="P2892" t="str">
        <f>CompilDonnées[[#This Row],[Ref_Module]]&amp;CompilDonnées[[#This Row],[HarvestingDate]]</f>
        <v>20545842</v>
      </c>
    </row>
    <row r="2893" spans="1:16">
      <c r="A2893" s="5">
        <v>45797</v>
      </c>
      <c r="B2893">
        <v>21</v>
      </c>
      <c r="C2893" t="s">
        <v>0</v>
      </c>
      <c r="D2893">
        <v>4</v>
      </c>
      <c r="E2893">
        <v>100</v>
      </c>
      <c r="F2893" t="s">
        <v>1</v>
      </c>
      <c r="G2893" s="6">
        <v>45830</v>
      </c>
      <c r="H2893">
        <v>33</v>
      </c>
      <c r="I2893">
        <f>ROUND(CompilDonnées[[#This Row],[CultureDuration_days]]/7,0)</f>
        <v>5</v>
      </c>
      <c r="J2893">
        <v>2405</v>
      </c>
      <c r="K2893" t="str">
        <f>_xlfn.CONCAT(WEEKNUM(CompilDonnées[[#This Row],[PlantationDate]]), " ", YEAR(CompilDonnées[[#This Row],[PlantationDate]]))</f>
        <v>21 2025</v>
      </c>
      <c r="L2893" t="str">
        <f>CONCATENATE(MONTH(CompilDonnées[[#This Row],[PlantationDate]])," ", YEAR(CompilDonnées[[#This Row],[PlantationDate]]))</f>
        <v>5 2025</v>
      </c>
      <c r="M2893" t="str">
        <f>CONCATENATE(MONTH(CompilDonnées[[#This Row],[HarvestingDate]])," ", YEAR(CompilDonnées[[#This Row],[HarvestingDate]]))</f>
        <v>6 2025</v>
      </c>
      <c r="N2893">
        <f>_xlfn.NUMBERVALUE(CompilDonnées[[#This Row],[FarmID]]&amp;CompilDonnées[[#This Row],[ModuleNumber]]&amp;CompilDonnées[[#This Row],[PlantationDate]])</f>
        <v>21445797</v>
      </c>
      <c r="O2893" t="str">
        <f>CompilDonnées[[#This Row],[FarmID]]&amp;CompilDonnées[[#This Row],[ModuleNumber]]</f>
        <v>214</v>
      </c>
      <c r="P2893" t="str">
        <f>CompilDonnées[[#This Row],[Ref_Module]]&amp;CompilDonnées[[#This Row],[HarvestingDate]]</f>
        <v>21445830</v>
      </c>
    </row>
    <row r="2894" spans="1:16">
      <c r="A2894" s="5">
        <v>45797</v>
      </c>
      <c r="B2894">
        <v>23</v>
      </c>
      <c r="C2894" t="s">
        <v>44</v>
      </c>
      <c r="D2894">
        <v>2</v>
      </c>
      <c r="E2894">
        <v>100</v>
      </c>
      <c r="F2894" t="s">
        <v>1</v>
      </c>
      <c r="G2894" s="6">
        <v>45829</v>
      </c>
      <c r="H2894">
        <v>32</v>
      </c>
      <c r="I2894">
        <f>ROUND(CompilDonnées[[#This Row],[CultureDuration_days]]/7,0)</f>
        <v>5</v>
      </c>
      <c r="J2894">
        <v>2895</v>
      </c>
      <c r="K2894" t="str">
        <f>_xlfn.CONCAT(WEEKNUM(CompilDonnées[[#This Row],[PlantationDate]]), " ", YEAR(CompilDonnées[[#This Row],[PlantationDate]]))</f>
        <v>21 2025</v>
      </c>
      <c r="L2894" t="str">
        <f>CONCATENATE(MONTH(CompilDonnées[[#This Row],[PlantationDate]])," ", YEAR(CompilDonnées[[#This Row],[PlantationDate]]))</f>
        <v>5 2025</v>
      </c>
      <c r="M2894" t="str">
        <f>CONCATENATE(MONTH(CompilDonnées[[#This Row],[HarvestingDate]])," ", YEAR(CompilDonnées[[#This Row],[HarvestingDate]]))</f>
        <v>6 2025</v>
      </c>
      <c r="N2894">
        <f>_xlfn.NUMBERVALUE(CompilDonnées[[#This Row],[FarmID]]&amp;CompilDonnées[[#This Row],[ModuleNumber]]&amp;CompilDonnées[[#This Row],[PlantationDate]])</f>
        <v>23245797</v>
      </c>
      <c r="O2894" t="str">
        <f>CompilDonnées[[#This Row],[FarmID]]&amp;CompilDonnées[[#This Row],[ModuleNumber]]</f>
        <v>232</v>
      </c>
      <c r="P2894" t="str">
        <f>CompilDonnées[[#This Row],[Ref_Module]]&amp;CompilDonnées[[#This Row],[HarvestingDate]]</f>
        <v>23245829</v>
      </c>
    </row>
    <row r="2895" spans="1:16">
      <c r="A2895" s="5">
        <v>45797</v>
      </c>
      <c r="B2895">
        <v>24</v>
      </c>
      <c r="C2895" t="s">
        <v>31</v>
      </c>
      <c r="D2895">
        <v>6</v>
      </c>
      <c r="E2895">
        <v>100</v>
      </c>
      <c r="F2895" t="s">
        <v>1</v>
      </c>
      <c r="G2895" s="6">
        <v>45825</v>
      </c>
      <c r="H2895">
        <v>28</v>
      </c>
      <c r="I2895">
        <f>ROUND(CompilDonnées[[#This Row],[CultureDuration_days]]/7,0)</f>
        <v>4</v>
      </c>
      <c r="J2895">
        <v>2702</v>
      </c>
      <c r="K2895" t="str">
        <f>_xlfn.CONCAT(WEEKNUM(CompilDonnées[[#This Row],[PlantationDate]]), " ", YEAR(CompilDonnées[[#This Row],[PlantationDate]]))</f>
        <v>21 2025</v>
      </c>
      <c r="L2895" t="str">
        <f>CONCATENATE(MONTH(CompilDonnées[[#This Row],[PlantationDate]])," ", YEAR(CompilDonnées[[#This Row],[PlantationDate]]))</f>
        <v>5 2025</v>
      </c>
      <c r="M2895" t="str">
        <f>CONCATENATE(MONTH(CompilDonnées[[#This Row],[HarvestingDate]])," ", YEAR(CompilDonnées[[#This Row],[HarvestingDate]]))</f>
        <v>6 2025</v>
      </c>
      <c r="N2895">
        <f>_xlfn.NUMBERVALUE(CompilDonnées[[#This Row],[FarmID]]&amp;CompilDonnées[[#This Row],[ModuleNumber]]&amp;CompilDonnées[[#This Row],[PlantationDate]])</f>
        <v>24645797</v>
      </c>
      <c r="O2895" t="str">
        <f>CompilDonnées[[#This Row],[FarmID]]&amp;CompilDonnées[[#This Row],[ModuleNumber]]</f>
        <v>246</v>
      </c>
      <c r="P2895" t="str">
        <f>CompilDonnées[[#This Row],[Ref_Module]]&amp;CompilDonnées[[#This Row],[HarvestingDate]]</f>
        <v>24645825</v>
      </c>
    </row>
    <row r="2896" spans="1:16">
      <c r="A2896" s="5">
        <v>45797</v>
      </c>
      <c r="B2896">
        <v>25</v>
      </c>
      <c r="C2896" t="s">
        <v>100</v>
      </c>
      <c r="D2896">
        <v>3</v>
      </c>
      <c r="E2896">
        <v>100</v>
      </c>
      <c r="F2896" t="s">
        <v>1</v>
      </c>
      <c r="G2896" s="6">
        <v>45826</v>
      </c>
      <c r="H2896">
        <v>29</v>
      </c>
      <c r="I2896">
        <f>ROUND(CompilDonnées[[#This Row],[CultureDuration_days]]/7,0)</f>
        <v>4</v>
      </c>
      <c r="J2896">
        <v>2146</v>
      </c>
      <c r="K2896" t="str">
        <f>_xlfn.CONCAT(WEEKNUM(CompilDonnées[[#This Row],[PlantationDate]]), " ", YEAR(CompilDonnées[[#This Row],[PlantationDate]]))</f>
        <v>21 2025</v>
      </c>
      <c r="L2896" t="str">
        <f>CONCATENATE(MONTH(CompilDonnées[[#This Row],[PlantationDate]])," ", YEAR(CompilDonnées[[#This Row],[PlantationDate]]))</f>
        <v>5 2025</v>
      </c>
      <c r="M2896" t="str">
        <f>CONCATENATE(MONTH(CompilDonnées[[#This Row],[HarvestingDate]])," ", YEAR(CompilDonnées[[#This Row],[HarvestingDate]]))</f>
        <v>6 2025</v>
      </c>
      <c r="N2896">
        <f>_xlfn.NUMBERVALUE(CompilDonnées[[#This Row],[FarmID]]&amp;CompilDonnées[[#This Row],[ModuleNumber]]&amp;CompilDonnées[[#This Row],[PlantationDate]])</f>
        <v>25345797</v>
      </c>
      <c r="O2896" t="str">
        <f>CompilDonnées[[#This Row],[FarmID]]&amp;CompilDonnées[[#This Row],[ModuleNumber]]</f>
        <v>253</v>
      </c>
      <c r="P2896" t="str">
        <f>CompilDonnées[[#This Row],[Ref_Module]]&amp;CompilDonnées[[#This Row],[HarvestingDate]]</f>
        <v>25345826</v>
      </c>
    </row>
    <row r="2897" spans="1:16">
      <c r="A2897" s="5">
        <v>45797</v>
      </c>
      <c r="B2897">
        <v>26</v>
      </c>
      <c r="C2897" t="s">
        <v>97</v>
      </c>
      <c r="D2897">
        <v>1</v>
      </c>
      <c r="E2897">
        <v>100</v>
      </c>
      <c r="F2897" t="s">
        <v>1</v>
      </c>
      <c r="G2897" s="6">
        <v>45829</v>
      </c>
      <c r="H2897">
        <v>32</v>
      </c>
      <c r="I2897">
        <f>ROUND(CompilDonnées[[#This Row],[CultureDuration_days]]/7,0)</f>
        <v>5</v>
      </c>
      <c r="J2897">
        <v>2522</v>
      </c>
      <c r="K2897" t="str">
        <f>_xlfn.CONCAT(WEEKNUM(CompilDonnées[[#This Row],[PlantationDate]]), " ", YEAR(CompilDonnées[[#This Row],[PlantationDate]]))</f>
        <v>21 2025</v>
      </c>
      <c r="L2897" t="str">
        <f>CONCATENATE(MONTH(CompilDonnées[[#This Row],[PlantationDate]])," ", YEAR(CompilDonnées[[#This Row],[PlantationDate]]))</f>
        <v>5 2025</v>
      </c>
      <c r="M2897" t="str">
        <f>CONCATENATE(MONTH(CompilDonnées[[#This Row],[HarvestingDate]])," ", YEAR(CompilDonnées[[#This Row],[HarvestingDate]]))</f>
        <v>6 2025</v>
      </c>
      <c r="N2897">
        <f>_xlfn.NUMBERVALUE(CompilDonnées[[#This Row],[FarmID]]&amp;CompilDonnées[[#This Row],[ModuleNumber]]&amp;CompilDonnées[[#This Row],[PlantationDate]])</f>
        <v>26145797</v>
      </c>
      <c r="O2897" t="str">
        <f>CompilDonnées[[#This Row],[FarmID]]&amp;CompilDonnées[[#This Row],[ModuleNumber]]</f>
        <v>261</v>
      </c>
      <c r="P2897" t="str">
        <f>CompilDonnées[[#This Row],[Ref_Module]]&amp;CompilDonnées[[#This Row],[HarvestingDate]]</f>
        <v>26145829</v>
      </c>
    </row>
    <row r="2898" spans="1:16">
      <c r="A2898" s="5">
        <v>45797</v>
      </c>
      <c r="B2898">
        <v>27</v>
      </c>
      <c r="C2898" t="s">
        <v>88</v>
      </c>
      <c r="D2898">
        <v>5</v>
      </c>
      <c r="E2898">
        <v>100</v>
      </c>
      <c r="F2898" t="s">
        <v>1</v>
      </c>
      <c r="G2898" s="6">
        <v>45831</v>
      </c>
      <c r="H2898">
        <v>34</v>
      </c>
      <c r="I2898">
        <f>ROUND(CompilDonnées[[#This Row],[CultureDuration_days]]/7,0)</f>
        <v>5</v>
      </c>
      <c r="J2898">
        <v>2660</v>
      </c>
      <c r="K2898" t="str">
        <f>_xlfn.CONCAT(WEEKNUM(CompilDonnées[[#This Row],[PlantationDate]]), " ", YEAR(CompilDonnées[[#This Row],[PlantationDate]]))</f>
        <v>21 2025</v>
      </c>
      <c r="L2898" t="str">
        <f>CONCATENATE(MONTH(CompilDonnées[[#This Row],[PlantationDate]])," ", YEAR(CompilDonnées[[#This Row],[PlantationDate]]))</f>
        <v>5 2025</v>
      </c>
      <c r="M2898" t="str">
        <f>CONCATENATE(MONTH(CompilDonnées[[#This Row],[HarvestingDate]])," ", YEAR(CompilDonnées[[#This Row],[HarvestingDate]]))</f>
        <v>6 2025</v>
      </c>
      <c r="N2898">
        <f>_xlfn.NUMBERVALUE(CompilDonnées[[#This Row],[FarmID]]&amp;CompilDonnées[[#This Row],[ModuleNumber]]&amp;CompilDonnées[[#This Row],[PlantationDate]])</f>
        <v>27545797</v>
      </c>
      <c r="O2898" t="str">
        <f>CompilDonnées[[#This Row],[FarmID]]&amp;CompilDonnées[[#This Row],[ModuleNumber]]</f>
        <v>275</v>
      </c>
      <c r="P2898" t="str">
        <f>CompilDonnées[[#This Row],[Ref_Module]]&amp;CompilDonnées[[#This Row],[HarvestingDate]]</f>
        <v>27545831</v>
      </c>
    </row>
    <row r="2899" spans="1:16">
      <c r="A2899" s="5">
        <v>45797</v>
      </c>
      <c r="B2899">
        <v>28</v>
      </c>
      <c r="C2899" t="s">
        <v>122</v>
      </c>
      <c r="D2899">
        <v>5</v>
      </c>
      <c r="E2899">
        <v>100</v>
      </c>
      <c r="F2899" t="s">
        <v>1</v>
      </c>
      <c r="G2899" s="6">
        <v>45829</v>
      </c>
      <c r="H2899">
        <v>32</v>
      </c>
      <c r="I2899">
        <f>ROUND(CompilDonnées[[#This Row],[CultureDuration_days]]/7,0)</f>
        <v>5</v>
      </c>
      <c r="J2899">
        <v>850</v>
      </c>
      <c r="K2899" t="str">
        <f>_xlfn.CONCAT(WEEKNUM(CompilDonnées[[#This Row],[PlantationDate]]), " ", YEAR(CompilDonnées[[#This Row],[PlantationDate]]))</f>
        <v>21 2025</v>
      </c>
      <c r="L2899" t="str">
        <f>CONCATENATE(MONTH(CompilDonnées[[#This Row],[PlantationDate]])," ", YEAR(CompilDonnées[[#This Row],[PlantationDate]]))</f>
        <v>5 2025</v>
      </c>
      <c r="M2899" t="str">
        <f>CONCATENATE(MONTH(CompilDonnées[[#This Row],[HarvestingDate]])," ", YEAR(CompilDonnées[[#This Row],[HarvestingDate]]))</f>
        <v>6 2025</v>
      </c>
      <c r="N2899">
        <f>_xlfn.NUMBERVALUE(CompilDonnées[[#This Row],[FarmID]]&amp;CompilDonnées[[#This Row],[ModuleNumber]]&amp;CompilDonnées[[#This Row],[PlantationDate]])</f>
        <v>28545797</v>
      </c>
      <c r="O2899" t="str">
        <f>CompilDonnées[[#This Row],[FarmID]]&amp;CompilDonnées[[#This Row],[ModuleNumber]]</f>
        <v>285</v>
      </c>
      <c r="P2899" t="str">
        <f>CompilDonnées[[#This Row],[Ref_Module]]&amp;CompilDonnées[[#This Row],[HarvestingDate]]</f>
        <v>28545829</v>
      </c>
    </row>
    <row r="2900" spans="1:16">
      <c r="A2900" s="5">
        <v>45797</v>
      </c>
      <c r="B2900">
        <v>29</v>
      </c>
      <c r="C2900" t="s">
        <v>2</v>
      </c>
      <c r="D2900">
        <v>6</v>
      </c>
      <c r="E2900">
        <v>100</v>
      </c>
      <c r="F2900" t="s">
        <v>1</v>
      </c>
      <c r="G2900" s="6">
        <v>45826</v>
      </c>
      <c r="H2900">
        <v>29</v>
      </c>
      <c r="I2900">
        <f>ROUND(CompilDonnées[[#This Row],[CultureDuration_days]]/7,0)</f>
        <v>4</v>
      </c>
      <c r="J2900">
        <v>0</v>
      </c>
      <c r="K2900" t="str">
        <f>_xlfn.CONCAT(WEEKNUM(CompilDonnées[[#This Row],[PlantationDate]]), " ", YEAR(CompilDonnées[[#This Row],[PlantationDate]]))</f>
        <v>21 2025</v>
      </c>
      <c r="L2900" t="str">
        <f>CONCATENATE(MONTH(CompilDonnées[[#This Row],[PlantationDate]])," ", YEAR(CompilDonnées[[#This Row],[PlantationDate]]))</f>
        <v>5 2025</v>
      </c>
      <c r="M2900" t="str">
        <f>CONCATENATE(MONTH(CompilDonnées[[#This Row],[HarvestingDate]])," ", YEAR(CompilDonnées[[#This Row],[HarvestingDate]]))</f>
        <v>6 2025</v>
      </c>
      <c r="N2900">
        <f>_xlfn.NUMBERVALUE(CompilDonnées[[#This Row],[FarmID]]&amp;CompilDonnées[[#This Row],[ModuleNumber]]&amp;CompilDonnées[[#This Row],[PlantationDate]])</f>
        <v>29645797</v>
      </c>
      <c r="O2900" t="str">
        <f>CompilDonnées[[#This Row],[FarmID]]&amp;CompilDonnées[[#This Row],[ModuleNumber]]</f>
        <v>296</v>
      </c>
      <c r="P2900" t="str">
        <f>CompilDonnées[[#This Row],[Ref_Module]]&amp;CompilDonnées[[#This Row],[HarvestingDate]]</f>
        <v>29645826</v>
      </c>
    </row>
    <row r="2901" spans="1:16">
      <c r="A2901" s="5">
        <v>45797</v>
      </c>
      <c r="B2901">
        <v>30</v>
      </c>
      <c r="C2901" t="s">
        <v>4</v>
      </c>
      <c r="D2901">
        <v>5</v>
      </c>
      <c r="E2901">
        <v>100</v>
      </c>
      <c r="F2901" t="s">
        <v>1</v>
      </c>
      <c r="G2901" s="6">
        <v>45826</v>
      </c>
      <c r="H2901">
        <v>29</v>
      </c>
      <c r="I2901">
        <f>ROUND(CompilDonnées[[#This Row],[CultureDuration_days]]/7,0)</f>
        <v>4</v>
      </c>
      <c r="J2901">
        <v>0</v>
      </c>
      <c r="K2901" t="str">
        <f>_xlfn.CONCAT(WEEKNUM(CompilDonnées[[#This Row],[PlantationDate]]), " ", YEAR(CompilDonnées[[#This Row],[PlantationDate]]))</f>
        <v>21 2025</v>
      </c>
      <c r="L2901" t="str">
        <f>CONCATENATE(MONTH(CompilDonnées[[#This Row],[PlantationDate]])," ", YEAR(CompilDonnées[[#This Row],[PlantationDate]]))</f>
        <v>5 2025</v>
      </c>
      <c r="M2901" t="str">
        <f>CONCATENATE(MONTH(CompilDonnées[[#This Row],[HarvestingDate]])," ", YEAR(CompilDonnées[[#This Row],[HarvestingDate]]))</f>
        <v>6 2025</v>
      </c>
      <c r="N2901">
        <f>_xlfn.NUMBERVALUE(CompilDonnées[[#This Row],[FarmID]]&amp;CompilDonnées[[#This Row],[ModuleNumber]]&amp;CompilDonnées[[#This Row],[PlantationDate]])</f>
        <v>30545797</v>
      </c>
      <c r="O2901" t="str">
        <f>CompilDonnées[[#This Row],[FarmID]]&amp;CompilDonnées[[#This Row],[ModuleNumber]]</f>
        <v>305</v>
      </c>
      <c r="P2901" t="str">
        <f>CompilDonnées[[#This Row],[Ref_Module]]&amp;CompilDonnées[[#This Row],[HarvestingDate]]</f>
        <v>30545826</v>
      </c>
    </row>
    <row r="2902" spans="1:16">
      <c r="A2902" s="5">
        <v>45797</v>
      </c>
      <c r="B2902">
        <v>31</v>
      </c>
      <c r="C2902" t="s">
        <v>62</v>
      </c>
      <c r="D2902">
        <v>6</v>
      </c>
      <c r="E2902">
        <v>100</v>
      </c>
      <c r="F2902" t="s">
        <v>1</v>
      </c>
      <c r="G2902" s="6">
        <v>45825</v>
      </c>
      <c r="H2902">
        <v>28</v>
      </c>
      <c r="I2902">
        <f>ROUND(CompilDonnées[[#This Row],[CultureDuration_days]]/7,0)</f>
        <v>4</v>
      </c>
      <c r="J2902">
        <v>2746</v>
      </c>
      <c r="K2902" t="str">
        <f>_xlfn.CONCAT(WEEKNUM(CompilDonnées[[#This Row],[PlantationDate]]), " ", YEAR(CompilDonnées[[#This Row],[PlantationDate]]))</f>
        <v>21 2025</v>
      </c>
      <c r="L2902" t="str">
        <f>CONCATENATE(MONTH(CompilDonnées[[#This Row],[PlantationDate]])," ", YEAR(CompilDonnées[[#This Row],[PlantationDate]]))</f>
        <v>5 2025</v>
      </c>
      <c r="M2902" t="str">
        <f>CONCATENATE(MONTH(CompilDonnées[[#This Row],[HarvestingDate]])," ", YEAR(CompilDonnées[[#This Row],[HarvestingDate]]))</f>
        <v>6 2025</v>
      </c>
      <c r="N2902">
        <f>_xlfn.NUMBERVALUE(CompilDonnées[[#This Row],[FarmID]]&amp;CompilDonnées[[#This Row],[ModuleNumber]]&amp;CompilDonnées[[#This Row],[PlantationDate]])</f>
        <v>31645797</v>
      </c>
      <c r="O2902" t="str">
        <f>CompilDonnées[[#This Row],[FarmID]]&amp;CompilDonnées[[#This Row],[ModuleNumber]]</f>
        <v>316</v>
      </c>
      <c r="P2902" t="str">
        <f>CompilDonnées[[#This Row],[Ref_Module]]&amp;CompilDonnées[[#This Row],[HarvestingDate]]</f>
        <v>31645825</v>
      </c>
    </row>
    <row r="2903" spans="1:16">
      <c r="A2903" s="5">
        <v>45797</v>
      </c>
      <c r="B2903">
        <v>32</v>
      </c>
      <c r="C2903" t="s">
        <v>25</v>
      </c>
      <c r="D2903">
        <v>3</v>
      </c>
      <c r="E2903">
        <v>100</v>
      </c>
      <c r="F2903" t="s">
        <v>1</v>
      </c>
      <c r="G2903" s="6">
        <v>45830</v>
      </c>
      <c r="H2903">
        <v>33</v>
      </c>
      <c r="I2903">
        <f>ROUND(CompilDonnées[[#This Row],[CultureDuration_days]]/7,0)</f>
        <v>5</v>
      </c>
      <c r="J2903">
        <v>3177</v>
      </c>
      <c r="K2903" t="str">
        <f>_xlfn.CONCAT(WEEKNUM(CompilDonnées[[#This Row],[PlantationDate]]), " ", YEAR(CompilDonnées[[#This Row],[PlantationDate]]))</f>
        <v>21 2025</v>
      </c>
      <c r="L2903" t="str">
        <f>CONCATENATE(MONTH(CompilDonnées[[#This Row],[PlantationDate]])," ", YEAR(CompilDonnées[[#This Row],[PlantationDate]]))</f>
        <v>5 2025</v>
      </c>
      <c r="M2903" t="str">
        <f>CONCATENATE(MONTH(CompilDonnées[[#This Row],[HarvestingDate]])," ", YEAR(CompilDonnées[[#This Row],[HarvestingDate]]))</f>
        <v>6 2025</v>
      </c>
      <c r="N2903">
        <f>_xlfn.NUMBERVALUE(CompilDonnées[[#This Row],[FarmID]]&amp;CompilDonnées[[#This Row],[ModuleNumber]]&amp;CompilDonnées[[#This Row],[PlantationDate]])</f>
        <v>32345797</v>
      </c>
      <c r="O2903" t="str">
        <f>CompilDonnées[[#This Row],[FarmID]]&amp;CompilDonnées[[#This Row],[ModuleNumber]]</f>
        <v>323</v>
      </c>
      <c r="P2903" t="str">
        <f>CompilDonnées[[#This Row],[Ref_Module]]&amp;CompilDonnées[[#This Row],[HarvestingDate]]</f>
        <v>32345830</v>
      </c>
    </row>
    <row r="2904" spans="1:16">
      <c r="A2904" s="5">
        <v>45797</v>
      </c>
      <c r="B2904">
        <v>33</v>
      </c>
      <c r="C2904" t="s">
        <v>104</v>
      </c>
      <c r="D2904">
        <v>1</v>
      </c>
      <c r="E2904">
        <v>100</v>
      </c>
      <c r="F2904" t="s">
        <v>1</v>
      </c>
      <c r="G2904" s="6">
        <v>45825</v>
      </c>
      <c r="H2904">
        <v>28</v>
      </c>
      <c r="I2904">
        <f>ROUND(CompilDonnées[[#This Row],[CultureDuration_days]]/7,0)</f>
        <v>4</v>
      </c>
      <c r="J2904">
        <v>0</v>
      </c>
      <c r="K2904" t="str">
        <f>_xlfn.CONCAT(WEEKNUM(CompilDonnées[[#This Row],[PlantationDate]]), " ", YEAR(CompilDonnées[[#This Row],[PlantationDate]]))</f>
        <v>21 2025</v>
      </c>
      <c r="L2904" t="str">
        <f>CONCATENATE(MONTH(CompilDonnées[[#This Row],[PlantationDate]])," ", YEAR(CompilDonnées[[#This Row],[PlantationDate]]))</f>
        <v>5 2025</v>
      </c>
      <c r="M2904" t="str">
        <f>CONCATENATE(MONTH(CompilDonnées[[#This Row],[HarvestingDate]])," ", YEAR(CompilDonnées[[#This Row],[HarvestingDate]]))</f>
        <v>6 2025</v>
      </c>
      <c r="N2904">
        <f>_xlfn.NUMBERVALUE(CompilDonnées[[#This Row],[FarmID]]&amp;CompilDonnées[[#This Row],[ModuleNumber]]&amp;CompilDonnées[[#This Row],[PlantationDate]])</f>
        <v>33145797</v>
      </c>
      <c r="O2904" t="str">
        <f>CompilDonnées[[#This Row],[FarmID]]&amp;CompilDonnées[[#This Row],[ModuleNumber]]</f>
        <v>331</v>
      </c>
      <c r="P2904" t="str">
        <f>CompilDonnées[[#This Row],[Ref_Module]]&amp;CompilDonnées[[#This Row],[HarvestingDate]]</f>
        <v>33145825</v>
      </c>
    </row>
    <row r="2905" spans="1:16">
      <c r="A2905" s="5">
        <v>45797</v>
      </c>
      <c r="B2905">
        <v>34</v>
      </c>
      <c r="C2905" t="s">
        <v>68</v>
      </c>
      <c r="D2905">
        <v>1</v>
      </c>
      <c r="E2905">
        <v>100</v>
      </c>
      <c r="F2905" t="s">
        <v>1</v>
      </c>
      <c r="G2905" s="6">
        <v>45825</v>
      </c>
      <c r="H2905">
        <v>28</v>
      </c>
      <c r="I2905">
        <f>ROUND(CompilDonnées[[#This Row],[CultureDuration_days]]/7,0)</f>
        <v>4</v>
      </c>
      <c r="J2905">
        <v>0</v>
      </c>
      <c r="K2905" t="str">
        <f>_xlfn.CONCAT(WEEKNUM(CompilDonnées[[#This Row],[PlantationDate]]), " ", YEAR(CompilDonnées[[#This Row],[PlantationDate]]))</f>
        <v>21 2025</v>
      </c>
      <c r="L2905" t="str">
        <f>CONCATENATE(MONTH(CompilDonnées[[#This Row],[PlantationDate]])," ", YEAR(CompilDonnées[[#This Row],[PlantationDate]]))</f>
        <v>5 2025</v>
      </c>
      <c r="M2905" t="str">
        <f>CONCATENATE(MONTH(CompilDonnées[[#This Row],[HarvestingDate]])," ", YEAR(CompilDonnées[[#This Row],[HarvestingDate]]))</f>
        <v>6 2025</v>
      </c>
      <c r="N2905">
        <f>_xlfn.NUMBERVALUE(CompilDonnées[[#This Row],[FarmID]]&amp;CompilDonnées[[#This Row],[ModuleNumber]]&amp;CompilDonnées[[#This Row],[PlantationDate]])</f>
        <v>34145797</v>
      </c>
      <c r="O2905" t="str">
        <f>CompilDonnées[[#This Row],[FarmID]]&amp;CompilDonnées[[#This Row],[ModuleNumber]]</f>
        <v>341</v>
      </c>
      <c r="P2905" t="str">
        <f>CompilDonnées[[#This Row],[Ref_Module]]&amp;CompilDonnées[[#This Row],[HarvestingDate]]</f>
        <v>34145825</v>
      </c>
    </row>
    <row r="2906" spans="1:16">
      <c r="A2906" s="5">
        <v>45797</v>
      </c>
      <c r="B2906">
        <v>35</v>
      </c>
      <c r="C2906" t="s">
        <v>69</v>
      </c>
      <c r="D2906">
        <v>6</v>
      </c>
      <c r="E2906">
        <v>100</v>
      </c>
      <c r="F2906" t="s">
        <v>1</v>
      </c>
      <c r="G2906" s="6">
        <v>45829</v>
      </c>
      <c r="H2906">
        <v>32</v>
      </c>
      <c r="I2906">
        <f>ROUND(CompilDonnées[[#This Row],[CultureDuration_days]]/7,0)</f>
        <v>5</v>
      </c>
      <c r="J2906">
        <v>2827</v>
      </c>
      <c r="K2906" t="str">
        <f>_xlfn.CONCAT(WEEKNUM(CompilDonnées[[#This Row],[PlantationDate]]), " ", YEAR(CompilDonnées[[#This Row],[PlantationDate]]))</f>
        <v>21 2025</v>
      </c>
      <c r="L2906" t="str">
        <f>CONCATENATE(MONTH(CompilDonnées[[#This Row],[PlantationDate]])," ", YEAR(CompilDonnées[[#This Row],[PlantationDate]]))</f>
        <v>5 2025</v>
      </c>
      <c r="M2906" t="str">
        <f>CONCATENATE(MONTH(CompilDonnées[[#This Row],[HarvestingDate]])," ", YEAR(CompilDonnées[[#This Row],[HarvestingDate]]))</f>
        <v>6 2025</v>
      </c>
      <c r="N2906">
        <f>_xlfn.NUMBERVALUE(CompilDonnées[[#This Row],[FarmID]]&amp;CompilDonnées[[#This Row],[ModuleNumber]]&amp;CompilDonnées[[#This Row],[PlantationDate]])</f>
        <v>35645797</v>
      </c>
      <c r="O2906" t="str">
        <f>CompilDonnées[[#This Row],[FarmID]]&amp;CompilDonnées[[#This Row],[ModuleNumber]]</f>
        <v>356</v>
      </c>
      <c r="P2906" t="str">
        <f>CompilDonnées[[#This Row],[Ref_Module]]&amp;CompilDonnées[[#This Row],[HarvestingDate]]</f>
        <v>35645829</v>
      </c>
    </row>
    <row r="2907" spans="1:16">
      <c r="A2907" s="5">
        <v>45797</v>
      </c>
      <c r="B2907">
        <v>36</v>
      </c>
      <c r="C2907" t="s">
        <v>63</v>
      </c>
      <c r="D2907">
        <v>2</v>
      </c>
      <c r="E2907">
        <v>100</v>
      </c>
      <c r="F2907" t="s">
        <v>1</v>
      </c>
      <c r="G2907" s="6">
        <v>45830</v>
      </c>
      <c r="H2907">
        <v>33</v>
      </c>
      <c r="I2907">
        <f>ROUND(CompilDonnées[[#This Row],[CultureDuration_days]]/7,0)</f>
        <v>5</v>
      </c>
      <c r="J2907">
        <v>2733</v>
      </c>
      <c r="K2907" t="str">
        <f>_xlfn.CONCAT(WEEKNUM(CompilDonnées[[#This Row],[PlantationDate]]), " ", YEAR(CompilDonnées[[#This Row],[PlantationDate]]))</f>
        <v>21 2025</v>
      </c>
      <c r="L2907" t="str">
        <f>CONCATENATE(MONTH(CompilDonnées[[#This Row],[PlantationDate]])," ", YEAR(CompilDonnées[[#This Row],[PlantationDate]]))</f>
        <v>5 2025</v>
      </c>
      <c r="M2907" t="str">
        <f>CONCATENATE(MONTH(CompilDonnées[[#This Row],[HarvestingDate]])," ", YEAR(CompilDonnées[[#This Row],[HarvestingDate]]))</f>
        <v>6 2025</v>
      </c>
      <c r="N2907">
        <f>_xlfn.NUMBERVALUE(CompilDonnées[[#This Row],[FarmID]]&amp;CompilDonnées[[#This Row],[ModuleNumber]]&amp;CompilDonnées[[#This Row],[PlantationDate]])</f>
        <v>36245797</v>
      </c>
      <c r="O2907" t="str">
        <f>CompilDonnées[[#This Row],[FarmID]]&amp;CompilDonnées[[#This Row],[ModuleNumber]]</f>
        <v>362</v>
      </c>
      <c r="P2907" t="str">
        <f>CompilDonnées[[#This Row],[Ref_Module]]&amp;CompilDonnées[[#This Row],[HarvestingDate]]</f>
        <v>36245830</v>
      </c>
    </row>
    <row r="2908" spans="1:16">
      <c r="A2908" s="5">
        <v>45797</v>
      </c>
      <c r="B2908">
        <v>39</v>
      </c>
      <c r="C2908" t="s">
        <v>81</v>
      </c>
      <c r="D2908">
        <v>5</v>
      </c>
      <c r="E2908">
        <v>100</v>
      </c>
      <c r="F2908" t="s">
        <v>1</v>
      </c>
      <c r="G2908" s="6">
        <v>45826</v>
      </c>
      <c r="H2908">
        <v>29</v>
      </c>
      <c r="I2908">
        <f>ROUND(CompilDonnées[[#This Row],[CultureDuration_days]]/7,0)</f>
        <v>4</v>
      </c>
      <c r="J2908">
        <v>1338</v>
      </c>
      <c r="K2908" t="str">
        <f>_xlfn.CONCAT(WEEKNUM(CompilDonnées[[#This Row],[PlantationDate]]), " ", YEAR(CompilDonnées[[#This Row],[PlantationDate]]))</f>
        <v>21 2025</v>
      </c>
      <c r="L2908" t="str">
        <f>CONCATENATE(MONTH(CompilDonnées[[#This Row],[PlantationDate]])," ", YEAR(CompilDonnées[[#This Row],[PlantationDate]]))</f>
        <v>5 2025</v>
      </c>
      <c r="M2908" t="str">
        <f>CONCATENATE(MONTH(CompilDonnées[[#This Row],[HarvestingDate]])," ", YEAR(CompilDonnées[[#This Row],[HarvestingDate]]))</f>
        <v>6 2025</v>
      </c>
      <c r="N2908">
        <f>_xlfn.NUMBERVALUE(CompilDonnées[[#This Row],[FarmID]]&amp;CompilDonnées[[#This Row],[ModuleNumber]]&amp;CompilDonnées[[#This Row],[PlantationDate]])</f>
        <v>39545797</v>
      </c>
      <c r="O2908" t="str">
        <f>CompilDonnées[[#This Row],[FarmID]]&amp;CompilDonnées[[#This Row],[ModuleNumber]]</f>
        <v>395</v>
      </c>
      <c r="P2908" t="str">
        <f>CompilDonnées[[#This Row],[Ref_Module]]&amp;CompilDonnées[[#This Row],[HarvestingDate]]</f>
        <v>39545826</v>
      </c>
    </row>
    <row r="2909" spans="1:16">
      <c r="A2909" s="5">
        <v>45797</v>
      </c>
      <c r="B2909">
        <v>40</v>
      </c>
      <c r="C2909" t="s">
        <v>82</v>
      </c>
      <c r="D2909">
        <v>5</v>
      </c>
      <c r="E2909">
        <v>100</v>
      </c>
      <c r="F2909" t="s">
        <v>1</v>
      </c>
      <c r="G2909" s="6">
        <v>45831</v>
      </c>
      <c r="H2909">
        <v>34</v>
      </c>
      <c r="I2909">
        <f>ROUND(CompilDonnées[[#This Row],[CultureDuration_days]]/7,0)</f>
        <v>5</v>
      </c>
      <c r="J2909">
        <v>0</v>
      </c>
      <c r="K2909" t="str">
        <f>_xlfn.CONCAT(WEEKNUM(CompilDonnées[[#This Row],[PlantationDate]]), " ", YEAR(CompilDonnées[[#This Row],[PlantationDate]]))</f>
        <v>21 2025</v>
      </c>
      <c r="L2909" t="str">
        <f>CONCATENATE(MONTH(CompilDonnées[[#This Row],[PlantationDate]])," ", YEAR(CompilDonnées[[#This Row],[PlantationDate]]))</f>
        <v>5 2025</v>
      </c>
      <c r="M2909" t="str">
        <f>CONCATENATE(MONTH(CompilDonnées[[#This Row],[HarvestingDate]])," ", YEAR(CompilDonnées[[#This Row],[HarvestingDate]]))</f>
        <v>6 2025</v>
      </c>
      <c r="N2909">
        <f>_xlfn.NUMBERVALUE(CompilDonnées[[#This Row],[FarmID]]&amp;CompilDonnées[[#This Row],[ModuleNumber]]&amp;CompilDonnées[[#This Row],[PlantationDate]])</f>
        <v>40545797</v>
      </c>
      <c r="O2909" t="str">
        <f>CompilDonnées[[#This Row],[FarmID]]&amp;CompilDonnées[[#This Row],[ModuleNumber]]</f>
        <v>405</v>
      </c>
      <c r="P2909" t="str">
        <f>CompilDonnées[[#This Row],[Ref_Module]]&amp;CompilDonnées[[#This Row],[HarvestingDate]]</f>
        <v>40545831</v>
      </c>
    </row>
    <row r="2910" spans="1:16">
      <c r="A2910" s="5">
        <v>45797</v>
      </c>
      <c r="B2910">
        <v>45</v>
      </c>
      <c r="C2910" t="s">
        <v>77</v>
      </c>
      <c r="D2910">
        <v>1</v>
      </c>
      <c r="E2910">
        <v>100</v>
      </c>
      <c r="F2910" t="s">
        <v>1</v>
      </c>
      <c r="G2910" s="6">
        <v>45825</v>
      </c>
      <c r="H2910">
        <v>28</v>
      </c>
      <c r="I2910">
        <f>ROUND(CompilDonnées[[#This Row],[CultureDuration_days]]/7,0)</f>
        <v>4</v>
      </c>
      <c r="J2910">
        <v>2668</v>
      </c>
      <c r="K2910" t="str">
        <f>_xlfn.CONCAT(WEEKNUM(CompilDonnées[[#This Row],[PlantationDate]]), " ", YEAR(CompilDonnées[[#This Row],[PlantationDate]]))</f>
        <v>21 2025</v>
      </c>
      <c r="L2910" t="str">
        <f>CONCATENATE(MONTH(CompilDonnées[[#This Row],[PlantationDate]])," ", YEAR(CompilDonnées[[#This Row],[PlantationDate]]))</f>
        <v>5 2025</v>
      </c>
      <c r="M2910" t="str">
        <f>CONCATENATE(MONTH(CompilDonnées[[#This Row],[HarvestingDate]])," ", YEAR(CompilDonnées[[#This Row],[HarvestingDate]]))</f>
        <v>6 2025</v>
      </c>
      <c r="N2910">
        <f>_xlfn.NUMBERVALUE(CompilDonnées[[#This Row],[FarmID]]&amp;CompilDonnées[[#This Row],[ModuleNumber]]&amp;CompilDonnées[[#This Row],[PlantationDate]])</f>
        <v>45145797</v>
      </c>
      <c r="O2910" t="str">
        <f>CompilDonnées[[#This Row],[FarmID]]&amp;CompilDonnées[[#This Row],[ModuleNumber]]</f>
        <v>451</v>
      </c>
      <c r="P2910" t="str">
        <f>CompilDonnées[[#This Row],[Ref_Module]]&amp;CompilDonnées[[#This Row],[HarvestingDate]]</f>
        <v>45145825</v>
      </c>
    </row>
    <row r="2911" spans="1:16">
      <c r="A2911" s="5">
        <v>45797</v>
      </c>
      <c r="B2911">
        <v>46</v>
      </c>
      <c r="C2911" t="s">
        <v>8</v>
      </c>
      <c r="D2911">
        <v>3</v>
      </c>
      <c r="E2911">
        <v>100</v>
      </c>
      <c r="F2911" t="s">
        <v>1</v>
      </c>
      <c r="G2911" s="6">
        <v>45843</v>
      </c>
      <c r="H2911">
        <v>46</v>
      </c>
      <c r="I2911">
        <f>ROUND(CompilDonnées[[#This Row],[CultureDuration_days]]/7,0)</f>
        <v>7</v>
      </c>
      <c r="J2911">
        <v>2781</v>
      </c>
      <c r="K2911" t="str">
        <f>_xlfn.CONCAT(WEEKNUM(CompilDonnées[[#This Row],[PlantationDate]]), " ", YEAR(CompilDonnées[[#This Row],[PlantationDate]]))</f>
        <v>21 2025</v>
      </c>
      <c r="L2911" t="str">
        <f>CONCATENATE(MONTH(CompilDonnées[[#This Row],[PlantationDate]])," ", YEAR(CompilDonnées[[#This Row],[PlantationDate]]))</f>
        <v>5 2025</v>
      </c>
      <c r="M2911" t="str">
        <f>CONCATENATE(MONTH(CompilDonnées[[#This Row],[HarvestingDate]])," ", YEAR(CompilDonnées[[#This Row],[HarvestingDate]]))</f>
        <v>7 2025</v>
      </c>
      <c r="N2911">
        <f>_xlfn.NUMBERVALUE(CompilDonnées[[#This Row],[FarmID]]&amp;CompilDonnées[[#This Row],[ModuleNumber]]&amp;CompilDonnées[[#This Row],[PlantationDate]])</f>
        <v>46345797</v>
      </c>
      <c r="O2911" t="str">
        <f>CompilDonnées[[#This Row],[FarmID]]&amp;CompilDonnées[[#This Row],[ModuleNumber]]</f>
        <v>463</v>
      </c>
      <c r="P2911" t="str">
        <f>CompilDonnées[[#This Row],[Ref_Module]]&amp;CompilDonnées[[#This Row],[HarvestingDate]]</f>
        <v>46345843</v>
      </c>
    </row>
    <row r="2912" spans="1:16">
      <c r="A2912" s="5">
        <v>45797</v>
      </c>
      <c r="B2912">
        <v>78</v>
      </c>
      <c r="C2912" t="s">
        <v>3</v>
      </c>
      <c r="D2912">
        <v>1</v>
      </c>
      <c r="E2912">
        <v>60</v>
      </c>
      <c r="F2912" t="s">
        <v>105</v>
      </c>
      <c r="G2912" s="6">
        <v>45846</v>
      </c>
      <c r="H2912">
        <v>49</v>
      </c>
      <c r="I2912">
        <f>ROUND(CompilDonnées[[#This Row],[CultureDuration_days]]/7,0)</f>
        <v>7</v>
      </c>
      <c r="J2912">
        <v>1000</v>
      </c>
      <c r="K2912" t="str">
        <f>_xlfn.CONCAT(WEEKNUM(CompilDonnées[[#This Row],[PlantationDate]]), " ", YEAR(CompilDonnées[[#This Row],[PlantationDate]]))</f>
        <v>21 2025</v>
      </c>
      <c r="L2912" t="str">
        <f>CONCATENATE(MONTH(CompilDonnées[[#This Row],[PlantationDate]])," ", YEAR(CompilDonnées[[#This Row],[PlantationDate]]))</f>
        <v>5 2025</v>
      </c>
      <c r="M2912" t="str">
        <f>CONCATENATE(MONTH(CompilDonnées[[#This Row],[HarvestingDate]])," ", YEAR(CompilDonnées[[#This Row],[HarvestingDate]]))</f>
        <v>7 2025</v>
      </c>
      <c r="N2912">
        <f>_xlfn.NUMBERVALUE(CompilDonnées[[#This Row],[FarmID]]&amp;CompilDonnées[[#This Row],[ModuleNumber]]&amp;CompilDonnées[[#This Row],[PlantationDate]])</f>
        <v>78145797</v>
      </c>
      <c r="O2912" t="str">
        <f>CompilDonnées[[#This Row],[FarmID]]&amp;CompilDonnées[[#This Row],[ModuleNumber]]</f>
        <v>781</v>
      </c>
      <c r="P2912" t="str">
        <f>CompilDonnées[[#This Row],[Ref_Module]]&amp;CompilDonnées[[#This Row],[HarvestingDate]]</f>
        <v>78145846</v>
      </c>
    </row>
    <row r="2913" spans="1:16">
      <c r="A2913" s="5">
        <v>45797</v>
      </c>
      <c r="B2913">
        <v>78</v>
      </c>
      <c r="C2913" t="s">
        <v>3</v>
      </c>
      <c r="D2913">
        <v>2</v>
      </c>
      <c r="E2913">
        <v>60</v>
      </c>
      <c r="F2913" t="s">
        <v>105</v>
      </c>
      <c r="G2913" s="6">
        <v>45846</v>
      </c>
      <c r="H2913">
        <v>49</v>
      </c>
      <c r="I2913">
        <f>ROUND(CompilDonnées[[#This Row],[CultureDuration_days]]/7,0)</f>
        <v>7</v>
      </c>
      <c r="J2913">
        <v>1550</v>
      </c>
      <c r="K2913" t="str">
        <f>_xlfn.CONCAT(WEEKNUM(CompilDonnées[[#This Row],[PlantationDate]]), " ", YEAR(CompilDonnées[[#This Row],[PlantationDate]]))</f>
        <v>21 2025</v>
      </c>
      <c r="L2913" t="str">
        <f>CONCATENATE(MONTH(CompilDonnées[[#This Row],[PlantationDate]])," ", YEAR(CompilDonnées[[#This Row],[PlantationDate]]))</f>
        <v>5 2025</v>
      </c>
      <c r="M2913" t="str">
        <f>CONCATENATE(MONTH(CompilDonnées[[#This Row],[HarvestingDate]])," ", YEAR(CompilDonnées[[#This Row],[HarvestingDate]]))</f>
        <v>7 2025</v>
      </c>
      <c r="N2913">
        <f>_xlfn.NUMBERVALUE(CompilDonnées[[#This Row],[FarmID]]&amp;CompilDonnées[[#This Row],[ModuleNumber]]&amp;CompilDonnées[[#This Row],[PlantationDate]])</f>
        <v>78245797</v>
      </c>
      <c r="O2913" t="str">
        <f>CompilDonnées[[#This Row],[FarmID]]&amp;CompilDonnées[[#This Row],[ModuleNumber]]</f>
        <v>782</v>
      </c>
      <c r="P2913" t="str">
        <f>CompilDonnées[[#This Row],[Ref_Module]]&amp;CompilDonnées[[#This Row],[HarvestingDate]]</f>
        <v>78245846</v>
      </c>
    </row>
    <row r="2914" spans="1:16">
      <c r="A2914" s="5">
        <v>45797</v>
      </c>
      <c r="B2914">
        <v>78</v>
      </c>
      <c r="C2914" t="s">
        <v>3</v>
      </c>
      <c r="D2914">
        <v>3</v>
      </c>
      <c r="E2914">
        <v>60</v>
      </c>
      <c r="F2914" t="s">
        <v>105</v>
      </c>
      <c r="G2914" s="6">
        <v>45846</v>
      </c>
      <c r="H2914">
        <v>49</v>
      </c>
      <c r="I2914">
        <f>ROUND(CompilDonnées[[#This Row],[CultureDuration_days]]/7,0)</f>
        <v>7</v>
      </c>
      <c r="J2914">
        <v>1150</v>
      </c>
      <c r="K2914" t="str">
        <f>_xlfn.CONCAT(WEEKNUM(CompilDonnées[[#This Row],[PlantationDate]]), " ", YEAR(CompilDonnées[[#This Row],[PlantationDate]]))</f>
        <v>21 2025</v>
      </c>
      <c r="L2914" t="str">
        <f>CONCATENATE(MONTH(CompilDonnées[[#This Row],[PlantationDate]])," ", YEAR(CompilDonnées[[#This Row],[PlantationDate]]))</f>
        <v>5 2025</v>
      </c>
      <c r="M2914" t="str">
        <f>CONCATENATE(MONTH(CompilDonnées[[#This Row],[HarvestingDate]])," ", YEAR(CompilDonnées[[#This Row],[HarvestingDate]]))</f>
        <v>7 2025</v>
      </c>
      <c r="N2914">
        <f>_xlfn.NUMBERVALUE(CompilDonnées[[#This Row],[FarmID]]&amp;CompilDonnées[[#This Row],[ModuleNumber]]&amp;CompilDonnées[[#This Row],[PlantationDate]])</f>
        <v>78345797</v>
      </c>
      <c r="O2914" t="str">
        <f>CompilDonnées[[#This Row],[FarmID]]&amp;CompilDonnées[[#This Row],[ModuleNumber]]</f>
        <v>783</v>
      </c>
      <c r="P2914" t="str">
        <f>CompilDonnées[[#This Row],[Ref_Module]]&amp;CompilDonnées[[#This Row],[HarvestingDate]]</f>
        <v>78345846</v>
      </c>
    </row>
    <row r="2915" spans="1:16">
      <c r="A2915" s="5">
        <v>45798</v>
      </c>
      <c r="B2915">
        <v>1</v>
      </c>
      <c r="C2915" t="s">
        <v>111</v>
      </c>
      <c r="D2915">
        <v>3</v>
      </c>
      <c r="E2915">
        <v>100</v>
      </c>
      <c r="F2915" t="s">
        <v>1</v>
      </c>
      <c r="G2915" s="6">
        <v>45829</v>
      </c>
      <c r="H2915">
        <v>31</v>
      </c>
      <c r="I2915">
        <f>ROUND(CompilDonnées[[#This Row],[CultureDuration_days]]/7,0)</f>
        <v>4</v>
      </c>
      <c r="J2915">
        <v>2587</v>
      </c>
      <c r="K2915" t="str">
        <f>_xlfn.CONCAT(WEEKNUM(CompilDonnées[[#This Row],[PlantationDate]]), " ", YEAR(CompilDonnées[[#This Row],[PlantationDate]]))</f>
        <v>21 2025</v>
      </c>
      <c r="L2915" t="str">
        <f>CONCATENATE(MONTH(CompilDonnées[[#This Row],[PlantationDate]])," ", YEAR(CompilDonnées[[#This Row],[PlantationDate]]))</f>
        <v>5 2025</v>
      </c>
      <c r="M2915" t="str">
        <f>CONCATENATE(MONTH(CompilDonnées[[#This Row],[HarvestingDate]])," ", YEAR(CompilDonnées[[#This Row],[HarvestingDate]]))</f>
        <v>6 2025</v>
      </c>
      <c r="N2915">
        <f>_xlfn.NUMBERVALUE(CompilDonnées[[#This Row],[FarmID]]&amp;CompilDonnées[[#This Row],[ModuleNumber]]&amp;CompilDonnées[[#This Row],[PlantationDate]])</f>
        <v>1345798</v>
      </c>
      <c r="O2915" t="str">
        <f>CompilDonnées[[#This Row],[FarmID]]&amp;CompilDonnées[[#This Row],[ModuleNumber]]</f>
        <v>13</v>
      </c>
      <c r="P2915" t="str">
        <f>CompilDonnées[[#This Row],[Ref_Module]]&amp;CompilDonnées[[#This Row],[HarvestingDate]]</f>
        <v>1345829</v>
      </c>
    </row>
    <row r="2916" spans="1:16">
      <c r="A2916" s="5">
        <v>45798</v>
      </c>
      <c r="B2916">
        <v>3</v>
      </c>
      <c r="C2916" t="s">
        <v>116</v>
      </c>
      <c r="D2916">
        <v>5</v>
      </c>
      <c r="E2916">
        <v>100</v>
      </c>
      <c r="F2916" t="s">
        <v>1</v>
      </c>
      <c r="G2916" s="6">
        <v>45842</v>
      </c>
      <c r="H2916">
        <v>44</v>
      </c>
      <c r="I2916">
        <f>ROUND(CompilDonnées[[#This Row],[CultureDuration_days]]/7,0)</f>
        <v>6</v>
      </c>
      <c r="J2916">
        <v>2855</v>
      </c>
      <c r="K2916" t="str">
        <f>_xlfn.CONCAT(WEEKNUM(CompilDonnées[[#This Row],[PlantationDate]]), " ", YEAR(CompilDonnées[[#This Row],[PlantationDate]]))</f>
        <v>21 2025</v>
      </c>
      <c r="L2916" t="str">
        <f>CONCATENATE(MONTH(CompilDonnées[[#This Row],[PlantationDate]])," ", YEAR(CompilDonnées[[#This Row],[PlantationDate]]))</f>
        <v>5 2025</v>
      </c>
      <c r="M2916" t="str">
        <f>CONCATENATE(MONTH(CompilDonnées[[#This Row],[HarvestingDate]])," ", YEAR(CompilDonnées[[#This Row],[HarvestingDate]]))</f>
        <v>7 2025</v>
      </c>
      <c r="N2916">
        <f>_xlfn.NUMBERVALUE(CompilDonnées[[#This Row],[FarmID]]&amp;CompilDonnées[[#This Row],[ModuleNumber]]&amp;CompilDonnées[[#This Row],[PlantationDate]])</f>
        <v>3545798</v>
      </c>
      <c r="O2916" t="str">
        <f>CompilDonnées[[#This Row],[FarmID]]&amp;CompilDonnées[[#This Row],[ModuleNumber]]</f>
        <v>35</v>
      </c>
      <c r="P2916" t="str">
        <f>CompilDonnées[[#This Row],[Ref_Module]]&amp;CompilDonnées[[#This Row],[HarvestingDate]]</f>
        <v>3545842</v>
      </c>
    </row>
    <row r="2917" spans="1:16">
      <c r="A2917" s="5">
        <v>45798</v>
      </c>
      <c r="B2917">
        <v>4</v>
      </c>
      <c r="C2917" t="s">
        <v>74</v>
      </c>
      <c r="D2917">
        <v>5</v>
      </c>
      <c r="E2917">
        <v>100</v>
      </c>
      <c r="F2917" t="s">
        <v>1</v>
      </c>
      <c r="G2917" s="6">
        <v>45845</v>
      </c>
      <c r="H2917">
        <v>47</v>
      </c>
      <c r="I2917">
        <f>ROUND(CompilDonnées[[#This Row],[CultureDuration_days]]/7,0)</f>
        <v>7</v>
      </c>
      <c r="J2917">
        <v>2830</v>
      </c>
      <c r="K2917" t="str">
        <f>_xlfn.CONCAT(WEEKNUM(CompilDonnées[[#This Row],[PlantationDate]]), " ", YEAR(CompilDonnées[[#This Row],[PlantationDate]]))</f>
        <v>21 2025</v>
      </c>
      <c r="L2917" t="str">
        <f>CONCATENATE(MONTH(CompilDonnées[[#This Row],[PlantationDate]])," ", YEAR(CompilDonnées[[#This Row],[PlantationDate]]))</f>
        <v>5 2025</v>
      </c>
      <c r="M2917" t="str">
        <f>CONCATENATE(MONTH(CompilDonnées[[#This Row],[HarvestingDate]])," ", YEAR(CompilDonnées[[#This Row],[HarvestingDate]]))</f>
        <v>7 2025</v>
      </c>
      <c r="N2917">
        <f>_xlfn.NUMBERVALUE(CompilDonnées[[#This Row],[FarmID]]&amp;CompilDonnées[[#This Row],[ModuleNumber]]&amp;CompilDonnées[[#This Row],[PlantationDate]])</f>
        <v>4545798</v>
      </c>
      <c r="O2917" t="str">
        <f>CompilDonnées[[#This Row],[FarmID]]&amp;CompilDonnées[[#This Row],[ModuleNumber]]</f>
        <v>45</v>
      </c>
      <c r="P2917" t="str">
        <f>CompilDonnées[[#This Row],[Ref_Module]]&amp;CompilDonnées[[#This Row],[HarvestingDate]]</f>
        <v>4545845</v>
      </c>
    </row>
    <row r="2918" spans="1:16">
      <c r="A2918" s="5">
        <v>45798</v>
      </c>
      <c r="B2918">
        <v>5</v>
      </c>
      <c r="C2918" t="s">
        <v>32</v>
      </c>
      <c r="D2918">
        <v>2</v>
      </c>
      <c r="E2918">
        <v>100</v>
      </c>
      <c r="F2918" t="s">
        <v>1</v>
      </c>
      <c r="G2918" s="6">
        <v>45829</v>
      </c>
      <c r="H2918">
        <v>31</v>
      </c>
      <c r="I2918">
        <f>ROUND(CompilDonnées[[#This Row],[CultureDuration_days]]/7,0)</f>
        <v>4</v>
      </c>
      <c r="J2918">
        <v>2457</v>
      </c>
      <c r="K2918" t="str">
        <f>_xlfn.CONCAT(WEEKNUM(CompilDonnées[[#This Row],[PlantationDate]]), " ", YEAR(CompilDonnées[[#This Row],[PlantationDate]]))</f>
        <v>21 2025</v>
      </c>
      <c r="L2918" t="str">
        <f>CONCATENATE(MONTH(CompilDonnées[[#This Row],[PlantationDate]])," ", YEAR(CompilDonnées[[#This Row],[PlantationDate]]))</f>
        <v>5 2025</v>
      </c>
      <c r="M2918" t="str">
        <f>CONCATENATE(MONTH(CompilDonnées[[#This Row],[HarvestingDate]])," ", YEAR(CompilDonnées[[#This Row],[HarvestingDate]]))</f>
        <v>6 2025</v>
      </c>
      <c r="N2918">
        <f>_xlfn.NUMBERVALUE(CompilDonnées[[#This Row],[FarmID]]&amp;CompilDonnées[[#This Row],[ModuleNumber]]&amp;CompilDonnées[[#This Row],[PlantationDate]])</f>
        <v>5245798</v>
      </c>
      <c r="O2918" t="str">
        <f>CompilDonnées[[#This Row],[FarmID]]&amp;CompilDonnées[[#This Row],[ModuleNumber]]</f>
        <v>52</v>
      </c>
      <c r="P2918" t="str">
        <f>CompilDonnées[[#This Row],[Ref_Module]]&amp;CompilDonnées[[#This Row],[HarvestingDate]]</f>
        <v>5245829</v>
      </c>
    </row>
    <row r="2919" spans="1:16">
      <c r="A2919" s="5">
        <v>45798</v>
      </c>
      <c r="B2919">
        <v>6</v>
      </c>
      <c r="C2919" t="s">
        <v>24</v>
      </c>
      <c r="D2919">
        <v>6</v>
      </c>
      <c r="E2919">
        <v>100</v>
      </c>
      <c r="F2919" t="s">
        <v>1</v>
      </c>
      <c r="G2919" s="6">
        <v>45842</v>
      </c>
      <c r="H2919">
        <v>44</v>
      </c>
      <c r="I2919">
        <f>ROUND(CompilDonnées[[#This Row],[CultureDuration_days]]/7,0)</f>
        <v>6</v>
      </c>
      <c r="J2919">
        <v>3040</v>
      </c>
      <c r="K2919" t="str">
        <f>_xlfn.CONCAT(WEEKNUM(CompilDonnées[[#This Row],[PlantationDate]]), " ", YEAR(CompilDonnées[[#This Row],[PlantationDate]]))</f>
        <v>21 2025</v>
      </c>
      <c r="L2919" t="str">
        <f>CONCATENATE(MONTH(CompilDonnées[[#This Row],[PlantationDate]])," ", YEAR(CompilDonnées[[#This Row],[PlantationDate]]))</f>
        <v>5 2025</v>
      </c>
      <c r="M2919" t="str">
        <f>CONCATENATE(MONTH(CompilDonnées[[#This Row],[HarvestingDate]])," ", YEAR(CompilDonnées[[#This Row],[HarvestingDate]]))</f>
        <v>7 2025</v>
      </c>
      <c r="N2919">
        <f>_xlfn.NUMBERVALUE(CompilDonnées[[#This Row],[FarmID]]&amp;CompilDonnées[[#This Row],[ModuleNumber]]&amp;CompilDonnées[[#This Row],[PlantationDate]])</f>
        <v>6645798</v>
      </c>
      <c r="O2919" t="str">
        <f>CompilDonnées[[#This Row],[FarmID]]&amp;CompilDonnées[[#This Row],[ModuleNumber]]</f>
        <v>66</v>
      </c>
      <c r="P2919" t="str">
        <f>CompilDonnées[[#This Row],[Ref_Module]]&amp;CompilDonnées[[#This Row],[HarvestingDate]]</f>
        <v>6645842</v>
      </c>
    </row>
    <row r="2920" spans="1:16">
      <c r="A2920" s="5">
        <v>45798</v>
      </c>
      <c r="B2920">
        <v>7</v>
      </c>
      <c r="C2920" t="s">
        <v>50</v>
      </c>
      <c r="D2920">
        <v>6</v>
      </c>
      <c r="E2920">
        <v>100</v>
      </c>
      <c r="F2920" t="s">
        <v>1</v>
      </c>
      <c r="G2920" s="6">
        <v>45845</v>
      </c>
      <c r="H2920">
        <v>47</v>
      </c>
      <c r="I2920">
        <f>ROUND(CompilDonnées[[#This Row],[CultureDuration_days]]/7,0)</f>
        <v>7</v>
      </c>
      <c r="J2920">
        <v>4298</v>
      </c>
      <c r="K2920" t="str">
        <f>_xlfn.CONCAT(WEEKNUM(CompilDonnées[[#This Row],[PlantationDate]]), " ", YEAR(CompilDonnées[[#This Row],[PlantationDate]]))</f>
        <v>21 2025</v>
      </c>
      <c r="L2920" t="str">
        <f>CONCATENATE(MONTH(CompilDonnées[[#This Row],[PlantationDate]])," ", YEAR(CompilDonnées[[#This Row],[PlantationDate]]))</f>
        <v>5 2025</v>
      </c>
      <c r="M2920" t="str">
        <f>CONCATENATE(MONTH(CompilDonnées[[#This Row],[HarvestingDate]])," ", YEAR(CompilDonnées[[#This Row],[HarvestingDate]]))</f>
        <v>7 2025</v>
      </c>
      <c r="N2920">
        <f>_xlfn.NUMBERVALUE(CompilDonnées[[#This Row],[FarmID]]&amp;CompilDonnées[[#This Row],[ModuleNumber]]&amp;CompilDonnées[[#This Row],[PlantationDate]])</f>
        <v>7645798</v>
      </c>
      <c r="O2920" t="str">
        <f>CompilDonnées[[#This Row],[FarmID]]&amp;CompilDonnées[[#This Row],[ModuleNumber]]</f>
        <v>76</v>
      </c>
      <c r="P2920" t="str">
        <f>CompilDonnées[[#This Row],[Ref_Module]]&amp;CompilDonnées[[#This Row],[HarvestingDate]]</f>
        <v>7645845</v>
      </c>
    </row>
    <row r="2921" spans="1:16">
      <c r="A2921" s="5">
        <v>45798</v>
      </c>
      <c r="B2921">
        <v>8</v>
      </c>
      <c r="C2921" t="s">
        <v>57</v>
      </c>
      <c r="D2921">
        <v>6</v>
      </c>
      <c r="E2921">
        <v>100</v>
      </c>
      <c r="F2921" t="s">
        <v>1</v>
      </c>
      <c r="G2921" s="6">
        <v>45842</v>
      </c>
      <c r="H2921">
        <v>44</v>
      </c>
      <c r="I2921">
        <f>ROUND(CompilDonnées[[#This Row],[CultureDuration_days]]/7,0)</f>
        <v>6</v>
      </c>
      <c r="J2921">
        <v>2785</v>
      </c>
      <c r="K2921" t="str">
        <f>_xlfn.CONCAT(WEEKNUM(CompilDonnées[[#This Row],[PlantationDate]]), " ", YEAR(CompilDonnées[[#This Row],[PlantationDate]]))</f>
        <v>21 2025</v>
      </c>
      <c r="L2921" t="str">
        <f>CONCATENATE(MONTH(CompilDonnées[[#This Row],[PlantationDate]])," ", YEAR(CompilDonnées[[#This Row],[PlantationDate]]))</f>
        <v>5 2025</v>
      </c>
      <c r="M2921" t="str">
        <f>CONCATENATE(MONTH(CompilDonnées[[#This Row],[HarvestingDate]])," ", YEAR(CompilDonnées[[#This Row],[HarvestingDate]]))</f>
        <v>7 2025</v>
      </c>
      <c r="N2921">
        <f>_xlfn.NUMBERVALUE(CompilDonnées[[#This Row],[FarmID]]&amp;CompilDonnées[[#This Row],[ModuleNumber]]&amp;CompilDonnées[[#This Row],[PlantationDate]])</f>
        <v>8645798</v>
      </c>
      <c r="O2921" t="str">
        <f>CompilDonnées[[#This Row],[FarmID]]&amp;CompilDonnées[[#This Row],[ModuleNumber]]</f>
        <v>86</v>
      </c>
      <c r="P2921" t="str">
        <f>CompilDonnées[[#This Row],[Ref_Module]]&amp;CompilDonnées[[#This Row],[HarvestingDate]]</f>
        <v>8645842</v>
      </c>
    </row>
    <row r="2922" spans="1:16">
      <c r="A2922" s="5">
        <v>45798</v>
      </c>
      <c r="B2922">
        <v>9</v>
      </c>
      <c r="C2922" t="s">
        <v>107</v>
      </c>
      <c r="D2922">
        <v>4</v>
      </c>
      <c r="E2922">
        <v>100</v>
      </c>
      <c r="F2922" t="s">
        <v>1</v>
      </c>
      <c r="G2922" s="6">
        <v>45829</v>
      </c>
      <c r="H2922">
        <v>31</v>
      </c>
      <c r="I2922">
        <f>ROUND(CompilDonnées[[#This Row],[CultureDuration_days]]/7,0)</f>
        <v>4</v>
      </c>
      <c r="J2922">
        <v>1861</v>
      </c>
      <c r="K2922" t="str">
        <f>_xlfn.CONCAT(WEEKNUM(CompilDonnées[[#This Row],[PlantationDate]]), " ", YEAR(CompilDonnées[[#This Row],[PlantationDate]]))</f>
        <v>21 2025</v>
      </c>
      <c r="L2922" t="str">
        <f>CONCATENATE(MONTH(CompilDonnées[[#This Row],[PlantationDate]])," ", YEAR(CompilDonnées[[#This Row],[PlantationDate]]))</f>
        <v>5 2025</v>
      </c>
      <c r="M2922" t="str">
        <f>CONCATENATE(MONTH(CompilDonnées[[#This Row],[HarvestingDate]])," ", YEAR(CompilDonnées[[#This Row],[HarvestingDate]]))</f>
        <v>6 2025</v>
      </c>
      <c r="N2922">
        <f>_xlfn.NUMBERVALUE(CompilDonnées[[#This Row],[FarmID]]&amp;CompilDonnées[[#This Row],[ModuleNumber]]&amp;CompilDonnées[[#This Row],[PlantationDate]])</f>
        <v>9445798</v>
      </c>
      <c r="O2922" t="str">
        <f>CompilDonnées[[#This Row],[FarmID]]&amp;CompilDonnées[[#This Row],[ModuleNumber]]</f>
        <v>94</v>
      </c>
      <c r="P2922" t="str">
        <f>CompilDonnées[[#This Row],[Ref_Module]]&amp;CompilDonnées[[#This Row],[HarvestingDate]]</f>
        <v>9445829</v>
      </c>
    </row>
    <row r="2923" spans="1:16">
      <c r="A2923" s="5">
        <v>45798</v>
      </c>
      <c r="B2923">
        <v>11</v>
      </c>
      <c r="C2923" t="s">
        <v>106</v>
      </c>
      <c r="D2923">
        <v>5</v>
      </c>
      <c r="E2923">
        <v>100</v>
      </c>
      <c r="F2923" t="s">
        <v>1</v>
      </c>
      <c r="G2923" s="6">
        <v>45859</v>
      </c>
      <c r="H2923">
        <v>61</v>
      </c>
      <c r="I2923">
        <f>ROUND(CompilDonnées[[#This Row],[CultureDuration_days]]/7,0)</f>
        <v>9</v>
      </c>
      <c r="J2923">
        <v>2516</v>
      </c>
      <c r="K2923" t="str">
        <f>_xlfn.CONCAT(WEEKNUM(CompilDonnées[[#This Row],[PlantationDate]]), " ", YEAR(CompilDonnées[[#This Row],[PlantationDate]]))</f>
        <v>21 2025</v>
      </c>
      <c r="L2923" t="str">
        <f>CONCATENATE(MONTH(CompilDonnées[[#This Row],[PlantationDate]])," ", YEAR(CompilDonnées[[#This Row],[PlantationDate]]))</f>
        <v>5 2025</v>
      </c>
      <c r="M2923" t="str">
        <f>CONCATENATE(MONTH(CompilDonnées[[#This Row],[HarvestingDate]])," ", YEAR(CompilDonnées[[#This Row],[HarvestingDate]]))</f>
        <v>7 2025</v>
      </c>
      <c r="N2923">
        <f>_xlfn.NUMBERVALUE(CompilDonnées[[#This Row],[FarmID]]&amp;CompilDonnées[[#This Row],[ModuleNumber]]&amp;CompilDonnées[[#This Row],[PlantationDate]])</f>
        <v>11545798</v>
      </c>
      <c r="O2923" t="str">
        <f>CompilDonnées[[#This Row],[FarmID]]&amp;CompilDonnées[[#This Row],[ModuleNumber]]</f>
        <v>115</v>
      </c>
      <c r="P2923" t="str">
        <f>CompilDonnées[[#This Row],[Ref_Module]]&amp;CompilDonnées[[#This Row],[HarvestingDate]]</f>
        <v>11545859</v>
      </c>
    </row>
    <row r="2924" spans="1:16">
      <c r="A2924" s="5">
        <v>45798</v>
      </c>
      <c r="B2924">
        <v>12</v>
      </c>
      <c r="C2924" t="s">
        <v>123</v>
      </c>
      <c r="D2924">
        <v>6</v>
      </c>
      <c r="E2924">
        <v>100</v>
      </c>
      <c r="F2924" t="s">
        <v>1</v>
      </c>
      <c r="G2924" s="6">
        <v>45829</v>
      </c>
      <c r="H2924">
        <v>31</v>
      </c>
      <c r="I2924">
        <f>ROUND(CompilDonnées[[#This Row],[CultureDuration_days]]/7,0)</f>
        <v>4</v>
      </c>
      <c r="J2924">
        <v>2209</v>
      </c>
      <c r="K2924" t="str">
        <f>_xlfn.CONCAT(WEEKNUM(CompilDonnées[[#This Row],[PlantationDate]]), " ", YEAR(CompilDonnées[[#This Row],[PlantationDate]]))</f>
        <v>21 2025</v>
      </c>
      <c r="L2924" t="str">
        <f>CONCATENATE(MONTH(CompilDonnées[[#This Row],[PlantationDate]])," ", YEAR(CompilDonnées[[#This Row],[PlantationDate]]))</f>
        <v>5 2025</v>
      </c>
      <c r="M2924" t="str">
        <f>CONCATENATE(MONTH(CompilDonnées[[#This Row],[HarvestingDate]])," ", YEAR(CompilDonnées[[#This Row],[HarvestingDate]]))</f>
        <v>6 2025</v>
      </c>
      <c r="N2924">
        <f>_xlfn.NUMBERVALUE(CompilDonnées[[#This Row],[FarmID]]&amp;CompilDonnées[[#This Row],[ModuleNumber]]&amp;CompilDonnées[[#This Row],[PlantationDate]])</f>
        <v>12645798</v>
      </c>
      <c r="O2924" t="str">
        <f>CompilDonnées[[#This Row],[FarmID]]&amp;CompilDonnées[[#This Row],[ModuleNumber]]</f>
        <v>126</v>
      </c>
      <c r="P2924" t="str">
        <f>CompilDonnées[[#This Row],[Ref_Module]]&amp;CompilDonnées[[#This Row],[HarvestingDate]]</f>
        <v>12645829</v>
      </c>
    </row>
    <row r="2925" spans="1:16">
      <c r="A2925" s="5">
        <v>45798</v>
      </c>
      <c r="B2925">
        <v>13</v>
      </c>
      <c r="C2925" t="s">
        <v>114</v>
      </c>
      <c r="D2925">
        <v>6</v>
      </c>
      <c r="E2925">
        <v>100</v>
      </c>
      <c r="F2925" t="s">
        <v>1</v>
      </c>
      <c r="G2925" s="6">
        <v>45829</v>
      </c>
      <c r="H2925">
        <v>31</v>
      </c>
      <c r="I2925">
        <f>ROUND(CompilDonnées[[#This Row],[CultureDuration_days]]/7,0)</f>
        <v>4</v>
      </c>
      <c r="J2925">
        <v>2799</v>
      </c>
      <c r="K2925" t="str">
        <f>_xlfn.CONCAT(WEEKNUM(CompilDonnées[[#This Row],[PlantationDate]]), " ", YEAR(CompilDonnées[[#This Row],[PlantationDate]]))</f>
        <v>21 2025</v>
      </c>
      <c r="L2925" t="str">
        <f>CONCATENATE(MONTH(CompilDonnées[[#This Row],[PlantationDate]])," ", YEAR(CompilDonnées[[#This Row],[PlantationDate]]))</f>
        <v>5 2025</v>
      </c>
      <c r="M2925" t="str">
        <f>CONCATENATE(MONTH(CompilDonnées[[#This Row],[HarvestingDate]])," ", YEAR(CompilDonnées[[#This Row],[HarvestingDate]]))</f>
        <v>6 2025</v>
      </c>
      <c r="N2925">
        <f>_xlfn.NUMBERVALUE(CompilDonnées[[#This Row],[FarmID]]&amp;CompilDonnées[[#This Row],[ModuleNumber]]&amp;CompilDonnées[[#This Row],[PlantationDate]])</f>
        <v>13645798</v>
      </c>
      <c r="O2925" t="str">
        <f>CompilDonnées[[#This Row],[FarmID]]&amp;CompilDonnées[[#This Row],[ModuleNumber]]</f>
        <v>136</v>
      </c>
      <c r="P2925" t="str">
        <f>CompilDonnées[[#This Row],[Ref_Module]]&amp;CompilDonnées[[#This Row],[HarvestingDate]]</f>
        <v>13645829</v>
      </c>
    </row>
    <row r="2926" spans="1:16">
      <c r="A2926" s="5">
        <v>45798</v>
      </c>
      <c r="B2926">
        <v>15</v>
      </c>
      <c r="C2926" t="s">
        <v>5</v>
      </c>
      <c r="D2926">
        <v>1</v>
      </c>
      <c r="E2926">
        <v>100</v>
      </c>
      <c r="F2926" t="s">
        <v>1</v>
      </c>
      <c r="G2926" s="6">
        <v>45843</v>
      </c>
      <c r="H2926">
        <v>45</v>
      </c>
      <c r="I2926">
        <f>ROUND(CompilDonnées[[#This Row],[CultureDuration_days]]/7,0)</f>
        <v>6</v>
      </c>
      <c r="J2926">
        <v>2743</v>
      </c>
      <c r="K2926" t="str">
        <f>_xlfn.CONCAT(WEEKNUM(CompilDonnées[[#This Row],[PlantationDate]]), " ", YEAR(CompilDonnées[[#This Row],[PlantationDate]]))</f>
        <v>21 2025</v>
      </c>
      <c r="L2926" t="str">
        <f>CONCATENATE(MONTH(CompilDonnées[[#This Row],[PlantationDate]])," ", YEAR(CompilDonnées[[#This Row],[PlantationDate]]))</f>
        <v>5 2025</v>
      </c>
      <c r="M2926" t="str">
        <f>CONCATENATE(MONTH(CompilDonnées[[#This Row],[HarvestingDate]])," ", YEAR(CompilDonnées[[#This Row],[HarvestingDate]]))</f>
        <v>7 2025</v>
      </c>
      <c r="N2926">
        <f>_xlfn.NUMBERVALUE(CompilDonnées[[#This Row],[FarmID]]&amp;CompilDonnées[[#This Row],[ModuleNumber]]&amp;CompilDonnées[[#This Row],[PlantationDate]])</f>
        <v>15145798</v>
      </c>
      <c r="O2926" t="str">
        <f>CompilDonnées[[#This Row],[FarmID]]&amp;CompilDonnées[[#This Row],[ModuleNumber]]</f>
        <v>151</v>
      </c>
      <c r="P2926" t="str">
        <f>CompilDonnées[[#This Row],[Ref_Module]]&amp;CompilDonnées[[#This Row],[HarvestingDate]]</f>
        <v>15145843</v>
      </c>
    </row>
    <row r="2927" spans="1:16">
      <c r="A2927" s="5">
        <v>45798</v>
      </c>
      <c r="B2927">
        <v>16</v>
      </c>
      <c r="C2927" t="s">
        <v>112</v>
      </c>
      <c r="D2927">
        <v>5</v>
      </c>
      <c r="E2927">
        <v>100</v>
      </c>
      <c r="F2927" t="s">
        <v>1</v>
      </c>
      <c r="G2927" s="6">
        <v>45844</v>
      </c>
      <c r="H2927">
        <v>46</v>
      </c>
      <c r="I2927">
        <f>ROUND(CompilDonnées[[#This Row],[CultureDuration_days]]/7,0)</f>
        <v>7</v>
      </c>
      <c r="J2927">
        <v>3439</v>
      </c>
      <c r="K2927" t="str">
        <f>_xlfn.CONCAT(WEEKNUM(CompilDonnées[[#This Row],[PlantationDate]]), " ", YEAR(CompilDonnées[[#This Row],[PlantationDate]]))</f>
        <v>21 2025</v>
      </c>
      <c r="L2927" t="str">
        <f>CONCATENATE(MONTH(CompilDonnées[[#This Row],[PlantationDate]])," ", YEAR(CompilDonnées[[#This Row],[PlantationDate]]))</f>
        <v>5 2025</v>
      </c>
      <c r="M2927" t="str">
        <f>CONCATENATE(MONTH(CompilDonnées[[#This Row],[HarvestingDate]])," ", YEAR(CompilDonnées[[#This Row],[HarvestingDate]]))</f>
        <v>7 2025</v>
      </c>
      <c r="N2927">
        <f>_xlfn.NUMBERVALUE(CompilDonnées[[#This Row],[FarmID]]&amp;CompilDonnées[[#This Row],[ModuleNumber]]&amp;CompilDonnées[[#This Row],[PlantationDate]])</f>
        <v>16545798</v>
      </c>
      <c r="O2927" t="str">
        <f>CompilDonnées[[#This Row],[FarmID]]&amp;CompilDonnées[[#This Row],[ModuleNumber]]</f>
        <v>165</v>
      </c>
      <c r="P2927" t="str">
        <f>CompilDonnées[[#This Row],[Ref_Module]]&amp;CompilDonnées[[#This Row],[HarvestingDate]]</f>
        <v>16545844</v>
      </c>
    </row>
    <row r="2928" spans="1:16">
      <c r="A2928" s="5">
        <v>45798</v>
      </c>
      <c r="B2928">
        <v>17</v>
      </c>
      <c r="C2928" t="s">
        <v>80</v>
      </c>
      <c r="D2928">
        <v>4</v>
      </c>
      <c r="E2928">
        <v>100</v>
      </c>
      <c r="F2928" t="s">
        <v>1</v>
      </c>
      <c r="G2928" s="6">
        <v>45844</v>
      </c>
      <c r="H2928">
        <v>46</v>
      </c>
      <c r="I2928">
        <f>ROUND(CompilDonnées[[#This Row],[CultureDuration_days]]/7,0)</f>
        <v>7</v>
      </c>
      <c r="J2928">
        <v>3486</v>
      </c>
      <c r="K2928" t="str">
        <f>_xlfn.CONCAT(WEEKNUM(CompilDonnées[[#This Row],[PlantationDate]]), " ", YEAR(CompilDonnées[[#This Row],[PlantationDate]]))</f>
        <v>21 2025</v>
      </c>
      <c r="L2928" t="str">
        <f>CONCATENATE(MONTH(CompilDonnées[[#This Row],[PlantationDate]])," ", YEAR(CompilDonnées[[#This Row],[PlantationDate]]))</f>
        <v>5 2025</v>
      </c>
      <c r="M2928" t="str">
        <f>CONCATENATE(MONTH(CompilDonnées[[#This Row],[HarvestingDate]])," ", YEAR(CompilDonnées[[#This Row],[HarvestingDate]]))</f>
        <v>7 2025</v>
      </c>
      <c r="N2928">
        <f>_xlfn.NUMBERVALUE(CompilDonnées[[#This Row],[FarmID]]&amp;CompilDonnées[[#This Row],[ModuleNumber]]&amp;CompilDonnées[[#This Row],[PlantationDate]])</f>
        <v>17445798</v>
      </c>
      <c r="O2928" t="str">
        <f>CompilDonnées[[#This Row],[FarmID]]&amp;CompilDonnées[[#This Row],[ModuleNumber]]</f>
        <v>174</v>
      </c>
      <c r="P2928" t="str">
        <f>CompilDonnées[[#This Row],[Ref_Module]]&amp;CompilDonnées[[#This Row],[HarvestingDate]]</f>
        <v>17445844</v>
      </c>
    </row>
    <row r="2929" spans="1:16">
      <c r="A2929" s="5">
        <v>45798</v>
      </c>
      <c r="B2929">
        <v>18</v>
      </c>
      <c r="C2929" t="s">
        <v>33</v>
      </c>
      <c r="D2929">
        <v>2</v>
      </c>
      <c r="E2929">
        <v>100</v>
      </c>
      <c r="F2929" t="s">
        <v>1</v>
      </c>
      <c r="G2929" s="6">
        <v>45844</v>
      </c>
      <c r="H2929">
        <v>46</v>
      </c>
      <c r="I2929">
        <f>ROUND(CompilDonnées[[#This Row],[CultureDuration_days]]/7,0)</f>
        <v>7</v>
      </c>
      <c r="J2929">
        <v>3817</v>
      </c>
      <c r="K2929" t="str">
        <f>_xlfn.CONCAT(WEEKNUM(CompilDonnées[[#This Row],[PlantationDate]]), " ", YEAR(CompilDonnées[[#This Row],[PlantationDate]]))</f>
        <v>21 2025</v>
      </c>
      <c r="L2929" t="str">
        <f>CONCATENATE(MONTH(CompilDonnées[[#This Row],[PlantationDate]])," ", YEAR(CompilDonnées[[#This Row],[PlantationDate]]))</f>
        <v>5 2025</v>
      </c>
      <c r="M2929" t="str">
        <f>CONCATENATE(MONTH(CompilDonnées[[#This Row],[HarvestingDate]])," ", YEAR(CompilDonnées[[#This Row],[HarvestingDate]]))</f>
        <v>7 2025</v>
      </c>
      <c r="N2929">
        <f>_xlfn.NUMBERVALUE(CompilDonnées[[#This Row],[FarmID]]&amp;CompilDonnées[[#This Row],[ModuleNumber]]&amp;CompilDonnées[[#This Row],[PlantationDate]])</f>
        <v>18245798</v>
      </c>
      <c r="O2929" t="str">
        <f>CompilDonnées[[#This Row],[FarmID]]&amp;CompilDonnées[[#This Row],[ModuleNumber]]</f>
        <v>182</v>
      </c>
      <c r="P2929" t="str">
        <f>CompilDonnées[[#This Row],[Ref_Module]]&amp;CompilDonnées[[#This Row],[HarvestingDate]]</f>
        <v>18245844</v>
      </c>
    </row>
    <row r="2930" spans="1:16">
      <c r="A2930" s="5">
        <v>45798</v>
      </c>
      <c r="B2930">
        <v>21</v>
      </c>
      <c r="C2930" t="s">
        <v>0</v>
      </c>
      <c r="D2930">
        <v>3</v>
      </c>
      <c r="E2930">
        <v>100</v>
      </c>
      <c r="F2930" t="s">
        <v>1</v>
      </c>
      <c r="G2930" s="6">
        <v>45844</v>
      </c>
      <c r="H2930">
        <v>46</v>
      </c>
      <c r="I2930">
        <f>ROUND(CompilDonnées[[#This Row],[CultureDuration_days]]/7,0)</f>
        <v>7</v>
      </c>
      <c r="J2930">
        <v>2912</v>
      </c>
      <c r="K2930" t="str">
        <f>_xlfn.CONCAT(WEEKNUM(CompilDonnées[[#This Row],[PlantationDate]]), " ", YEAR(CompilDonnées[[#This Row],[PlantationDate]]))</f>
        <v>21 2025</v>
      </c>
      <c r="L2930" t="str">
        <f>CONCATENATE(MONTH(CompilDonnées[[#This Row],[PlantationDate]])," ", YEAR(CompilDonnées[[#This Row],[PlantationDate]]))</f>
        <v>5 2025</v>
      </c>
      <c r="M2930" t="str">
        <f>CONCATENATE(MONTH(CompilDonnées[[#This Row],[HarvestingDate]])," ", YEAR(CompilDonnées[[#This Row],[HarvestingDate]]))</f>
        <v>7 2025</v>
      </c>
      <c r="N2930">
        <f>_xlfn.NUMBERVALUE(CompilDonnées[[#This Row],[FarmID]]&amp;CompilDonnées[[#This Row],[ModuleNumber]]&amp;CompilDonnées[[#This Row],[PlantationDate]])</f>
        <v>21345798</v>
      </c>
      <c r="O2930" t="str">
        <f>CompilDonnées[[#This Row],[FarmID]]&amp;CompilDonnées[[#This Row],[ModuleNumber]]</f>
        <v>213</v>
      </c>
      <c r="P2930" t="str">
        <f>CompilDonnées[[#This Row],[Ref_Module]]&amp;CompilDonnées[[#This Row],[HarvestingDate]]</f>
        <v>21345844</v>
      </c>
    </row>
    <row r="2931" spans="1:16">
      <c r="A2931" s="5">
        <v>45798</v>
      </c>
      <c r="B2931">
        <v>23</v>
      </c>
      <c r="C2931" t="s">
        <v>44</v>
      </c>
      <c r="D2931">
        <v>3</v>
      </c>
      <c r="E2931">
        <v>100</v>
      </c>
      <c r="F2931" t="s">
        <v>1</v>
      </c>
      <c r="G2931" s="6">
        <v>45829</v>
      </c>
      <c r="H2931">
        <v>31</v>
      </c>
      <c r="I2931">
        <f>ROUND(CompilDonnées[[#This Row],[CultureDuration_days]]/7,0)</f>
        <v>4</v>
      </c>
      <c r="J2931">
        <v>2578</v>
      </c>
      <c r="K2931" t="str">
        <f>_xlfn.CONCAT(WEEKNUM(CompilDonnées[[#This Row],[PlantationDate]]), " ", YEAR(CompilDonnées[[#This Row],[PlantationDate]]))</f>
        <v>21 2025</v>
      </c>
      <c r="L2931" t="str">
        <f>CONCATENATE(MONTH(CompilDonnées[[#This Row],[PlantationDate]])," ", YEAR(CompilDonnées[[#This Row],[PlantationDate]]))</f>
        <v>5 2025</v>
      </c>
      <c r="M2931" t="str">
        <f>CONCATENATE(MONTH(CompilDonnées[[#This Row],[HarvestingDate]])," ", YEAR(CompilDonnées[[#This Row],[HarvestingDate]]))</f>
        <v>6 2025</v>
      </c>
      <c r="N2931">
        <f>_xlfn.NUMBERVALUE(CompilDonnées[[#This Row],[FarmID]]&amp;CompilDonnées[[#This Row],[ModuleNumber]]&amp;CompilDonnées[[#This Row],[PlantationDate]])</f>
        <v>23345798</v>
      </c>
      <c r="O2931" t="str">
        <f>CompilDonnées[[#This Row],[FarmID]]&amp;CompilDonnées[[#This Row],[ModuleNumber]]</f>
        <v>233</v>
      </c>
      <c r="P2931" t="str">
        <f>CompilDonnées[[#This Row],[Ref_Module]]&amp;CompilDonnées[[#This Row],[HarvestingDate]]</f>
        <v>23345829</v>
      </c>
    </row>
    <row r="2932" spans="1:16">
      <c r="A2932" s="5">
        <v>45798</v>
      </c>
      <c r="B2932">
        <v>24</v>
      </c>
      <c r="C2932" t="s">
        <v>31</v>
      </c>
      <c r="D2932">
        <v>5</v>
      </c>
      <c r="E2932">
        <v>100</v>
      </c>
      <c r="F2932" t="s">
        <v>1</v>
      </c>
      <c r="G2932" s="6">
        <v>45830</v>
      </c>
      <c r="H2932">
        <v>32</v>
      </c>
      <c r="I2932">
        <f>ROUND(CompilDonnées[[#This Row],[CultureDuration_days]]/7,0)</f>
        <v>5</v>
      </c>
      <c r="J2932">
        <v>3032</v>
      </c>
      <c r="K2932" t="str">
        <f>_xlfn.CONCAT(WEEKNUM(CompilDonnées[[#This Row],[PlantationDate]]), " ", YEAR(CompilDonnées[[#This Row],[PlantationDate]]))</f>
        <v>21 2025</v>
      </c>
      <c r="L2932" t="str">
        <f>CONCATENATE(MONTH(CompilDonnées[[#This Row],[PlantationDate]])," ", YEAR(CompilDonnées[[#This Row],[PlantationDate]]))</f>
        <v>5 2025</v>
      </c>
      <c r="M2932" t="str">
        <f>CONCATENATE(MONTH(CompilDonnées[[#This Row],[HarvestingDate]])," ", YEAR(CompilDonnées[[#This Row],[HarvestingDate]]))</f>
        <v>6 2025</v>
      </c>
      <c r="N2932">
        <f>_xlfn.NUMBERVALUE(CompilDonnées[[#This Row],[FarmID]]&amp;CompilDonnées[[#This Row],[ModuleNumber]]&amp;CompilDonnées[[#This Row],[PlantationDate]])</f>
        <v>24545798</v>
      </c>
      <c r="O2932" t="str">
        <f>CompilDonnées[[#This Row],[FarmID]]&amp;CompilDonnées[[#This Row],[ModuleNumber]]</f>
        <v>245</v>
      </c>
      <c r="P2932" t="str">
        <f>CompilDonnées[[#This Row],[Ref_Module]]&amp;CompilDonnées[[#This Row],[HarvestingDate]]</f>
        <v>24545830</v>
      </c>
    </row>
    <row r="2933" spans="1:16">
      <c r="A2933" s="5">
        <v>45798</v>
      </c>
      <c r="B2933">
        <v>26</v>
      </c>
      <c r="C2933" t="s">
        <v>97</v>
      </c>
      <c r="D2933">
        <v>2</v>
      </c>
      <c r="E2933">
        <v>100</v>
      </c>
      <c r="F2933" t="s">
        <v>1</v>
      </c>
      <c r="G2933" s="6">
        <v>45829</v>
      </c>
      <c r="H2933">
        <v>31</v>
      </c>
      <c r="I2933">
        <f>ROUND(CompilDonnées[[#This Row],[CultureDuration_days]]/7,0)</f>
        <v>4</v>
      </c>
      <c r="J2933">
        <v>2294</v>
      </c>
      <c r="K2933" t="str">
        <f>_xlfn.CONCAT(WEEKNUM(CompilDonnées[[#This Row],[PlantationDate]]), " ", YEAR(CompilDonnées[[#This Row],[PlantationDate]]))</f>
        <v>21 2025</v>
      </c>
      <c r="L2933" t="str">
        <f>CONCATENATE(MONTH(CompilDonnées[[#This Row],[PlantationDate]])," ", YEAR(CompilDonnées[[#This Row],[PlantationDate]]))</f>
        <v>5 2025</v>
      </c>
      <c r="M2933" t="str">
        <f>CONCATENATE(MONTH(CompilDonnées[[#This Row],[HarvestingDate]])," ", YEAR(CompilDonnées[[#This Row],[HarvestingDate]]))</f>
        <v>6 2025</v>
      </c>
      <c r="N2933">
        <f>_xlfn.NUMBERVALUE(CompilDonnées[[#This Row],[FarmID]]&amp;CompilDonnées[[#This Row],[ModuleNumber]]&amp;CompilDonnées[[#This Row],[PlantationDate]])</f>
        <v>26245798</v>
      </c>
      <c r="O2933" t="str">
        <f>CompilDonnées[[#This Row],[FarmID]]&amp;CompilDonnées[[#This Row],[ModuleNumber]]</f>
        <v>262</v>
      </c>
      <c r="P2933" t="str">
        <f>CompilDonnées[[#This Row],[Ref_Module]]&amp;CompilDonnées[[#This Row],[HarvestingDate]]</f>
        <v>26245829</v>
      </c>
    </row>
    <row r="2934" spans="1:16">
      <c r="A2934" s="5">
        <v>45798</v>
      </c>
      <c r="B2934">
        <v>27</v>
      </c>
      <c r="C2934" t="s">
        <v>88</v>
      </c>
      <c r="D2934">
        <v>6</v>
      </c>
      <c r="E2934">
        <v>100</v>
      </c>
      <c r="F2934" t="s">
        <v>1</v>
      </c>
      <c r="G2934" s="6">
        <v>45844</v>
      </c>
      <c r="H2934">
        <v>46</v>
      </c>
      <c r="I2934">
        <f>ROUND(CompilDonnées[[#This Row],[CultureDuration_days]]/7,0)</f>
        <v>7</v>
      </c>
      <c r="J2934">
        <v>2589</v>
      </c>
      <c r="K2934" t="str">
        <f>_xlfn.CONCAT(WEEKNUM(CompilDonnées[[#This Row],[PlantationDate]]), " ", YEAR(CompilDonnées[[#This Row],[PlantationDate]]))</f>
        <v>21 2025</v>
      </c>
      <c r="L2934" t="str">
        <f>CONCATENATE(MONTH(CompilDonnées[[#This Row],[PlantationDate]])," ", YEAR(CompilDonnées[[#This Row],[PlantationDate]]))</f>
        <v>5 2025</v>
      </c>
      <c r="M2934" t="str">
        <f>CONCATENATE(MONTH(CompilDonnées[[#This Row],[HarvestingDate]])," ", YEAR(CompilDonnées[[#This Row],[HarvestingDate]]))</f>
        <v>7 2025</v>
      </c>
      <c r="N2934">
        <f>_xlfn.NUMBERVALUE(CompilDonnées[[#This Row],[FarmID]]&amp;CompilDonnées[[#This Row],[ModuleNumber]]&amp;CompilDonnées[[#This Row],[PlantationDate]])</f>
        <v>27645798</v>
      </c>
      <c r="O2934" t="str">
        <f>CompilDonnées[[#This Row],[FarmID]]&amp;CompilDonnées[[#This Row],[ModuleNumber]]</f>
        <v>276</v>
      </c>
      <c r="P2934" t="str">
        <f>CompilDonnées[[#This Row],[Ref_Module]]&amp;CompilDonnées[[#This Row],[HarvestingDate]]</f>
        <v>27645844</v>
      </c>
    </row>
    <row r="2935" spans="1:16">
      <c r="A2935" s="5">
        <v>45798</v>
      </c>
      <c r="B2935">
        <v>34</v>
      </c>
      <c r="C2935" t="s">
        <v>68</v>
      </c>
      <c r="D2935">
        <v>4</v>
      </c>
      <c r="E2935">
        <v>100</v>
      </c>
      <c r="F2935" t="s">
        <v>1</v>
      </c>
      <c r="G2935" s="6">
        <v>45830</v>
      </c>
      <c r="H2935">
        <v>32</v>
      </c>
      <c r="I2935">
        <f>ROUND(CompilDonnées[[#This Row],[CultureDuration_days]]/7,0)</f>
        <v>5</v>
      </c>
      <c r="J2935">
        <v>0</v>
      </c>
      <c r="K2935" t="str">
        <f>_xlfn.CONCAT(WEEKNUM(CompilDonnées[[#This Row],[PlantationDate]]), " ", YEAR(CompilDonnées[[#This Row],[PlantationDate]]))</f>
        <v>21 2025</v>
      </c>
      <c r="L2935" t="str">
        <f>CONCATENATE(MONTH(CompilDonnées[[#This Row],[PlantationDate]])," ", YEAR(CompilDonnées[[#This Row],[PlantationDate]]))</f>
        <v>5 2025</v>
      </c>
      <c r="M2935" t="str">
        <f>CONCATENATE(MONTH(CompilDonnées[[#This Row],[HarvestingDate]])," ", YEAR(CompilDonnées[[#This Row],[HarvestingDate]]))</f>
        <v>6 2025</v>
      </c>
      <c r="N2935">
        <f>_xlfn.NUMBERVALUE(CompilDonnées[[#This Row],[FarmID]]&amp;CompilDonnées[[#This Row],[ModuleNumber]]&amp;CompilDonnées[[#This Row],[PlantationDate]])</f>
        <v>34445798</v>
      </c>
      <c r="O2935" t="str">
        <f>CompilDonnées[[#This Row],[FarmID]]&amp;CompilDonnées[[#This Row],[ModuleNumber]]</f>
        <v>344</v>
      </c>
      <c r="P2935" t="str">
        <f>CompilDonnées[[#This Row],[Ref_Module]]&amp;CompilDonnées[[#This Row],[HarvestingDate]]</f>
        <v>34445830</v>
      </c>
    </row>
    <row r="2936" spans="1:16">
      <c r="A2936" s="5">
        <v>45798</v>
      </c>
      <c r="B2936">
        <v>35</v>
      </c>
      <c r="C2936" t="s">
        <v>69</v>
      </c>
      <c r="D2936">
        <v>4</v>
      </c>
      <c r="E2936">
        <v>100</v>
      </c>
      <c r="F2936" t="s">
        <v>1</v>
      </c>
      <c r="G2936" s="6">
        <v>45844</v>
      </c>
      <c r="H2936">
        <v>46</v>
      </c>
      <c r="I2936">
        <f>ROUND(CompilDonnées[[#This Row],[CultureDuration_days]]/7,0)</f>
        <v>7</v>
      </c>
      <c r="J2936">
        <v>3237</v>
      </c>
      <c r="K2936" t="str">
        <f>_xlfn.CONCAT(WEEKNUM(CompilDonnées[[#This Row],[PlantationDate]]), " ", YEAR(CompilDonnées[[#This Row],[PlantationDate]]))</f>
        <v>21 2025</v>
      </c>
      <c r="L2936" t="str">
        <f>CONCATENATE(MONTH(CompilDonnées[[#This Row],[PlantationDate]])," ", YEAR(CompilDonnées[[#This Row],[PlantationDate]]))</f>
        <v>5 2025</v>
      </c>
      <c r="M2936" t="str">
        <f>CONCATENATE(MONTH(CompilDonnées[[#This Row],[HarvestingDate]])," ", YEAR(CompilDonnées[[#This Row],[HarvestingDate]]))</f>
        <v>7 2025</v>
      </c>
      <c r="N2936">
        <f>_xlfn.NUMBERVALUE(CompilDonnées[[#This Row],[FarmID]]&amp;CompilDonnées[[#This Row],[ModuleNumber]]&amp;CompilDonnées[[#This Row],[PlantationDate]])</f>
        <v>35445798</v>
      </c>
      <c r="O2936" t="str">
        <f>CompilDonnées[[#This Row],[FarmID]]&amp;CompilDonnées[[#This Row],[ModuleNumber]]</f>
        <v>354</v>
      </c>
      <c r="P2936" t="str">
        <f>CompilDonnées[[#This Row],[Ref_Module]]&amp;CompilDonnées[[#This Row],[HarvestingDate]]</f>
        <v>35445844</v>
      </c>
    </row>
    <row r="2937" spans="1:16">
      <c r="A2937" s="5">
        <v>45798</v>
      </c>
      <c r="B2937">
        <v>36</v>
      </c>
      <c r="C2937" t="s">
        <v>63</v>
      </c>
      <c r="D2937">
        <v>3</v>
      </c>
      <c r="E2937">
        <v>100</v>
      </c>
      <c r="F2937" t="s">
        <v>1</v>
      </c>
      <c r="G2937" s="6">
        <v>45844</v>
      </c>
      <c r="H2937">
        <v>46</v>
      </c>
      <c r="I2937">
        <f>ROUND(CompilDonnées[[#This Row],[CultureDuration_days]]/7,0)</f>
        <v>7</v>
      </c>
      <c r="J2937">
        <v>3233</v>
      </c>
      <c r="K2937" t="str">
        <f>_xlfn.CONCAT(WEEKNUM(CompilDonnées[[#This Row],[PlantationDate]]), " ", YEAR(CompilDonnées[[#This Row],[PlantationDate]]))</f>
        <v>21 2025</v>
      </c>
      <c r="L2937" t="str">
        <f>CONCATENATE(MONTH(CompilDonnées[[#This Row],[PlantationDate]])," ", YEAR(CompilDonnées[[#This Row],[PlantationDate]]))</f>
        <v>5 2025</v>
      </c>
      <c r="M2937" t="str">
        <f>CONCATENATE(MONTH(CompilDonnées[[#This Row],[HarvestingDate]])," ", YEAR(CompilDonnées[[#This Row],[HarvestingDate]]))</f>
        <v>7 2025</v>
      </c>
      <c r="N2937">
        <f>_xlfn.NUMBERVALUE(CompilDonnées[[#This Row],[FarmID]]&amp;CompilDonnées[[#This Row],[ModuleNumber]]&amp;CompilDonnées[[#This Row],[PlantationDate]])</f>
        <v>36345798</v>
      </c>
      <c r="O2937" t="str">
        <f>CompilDonnées[[#This Row],[FarmID]]&amp;CompilDonnées[[#This Row],[ModuleNumber]]</f>
        <v>363</v>
      </c>
      <c r="P2937" t="str">
        <f>CompilDonnées[[#This Row],[Ref_Module]]&amp;CompilDonnées[[#This Row],[HarvestingDate]]</f>
        <v>36345844</v>
      </c>
    </row>
    <row r="2938" spans="1:16">
      <c r="A2938" s="5">
        <v>45798</v>
      </c>
      <c r="B2938">
        <v>38</v>
      </c>
      <c r="C2938" t="s">
        <v>34</v>
      </c>
      <c r="D2938">
        <v>1</v>
      </c>
      <c r="E2938">
        <v>100</v>
      </c>
      <c r="F2938" t="s">
        <v>1</v>
      </c>
      <c r="G2938" s="6">
        <v>45830</v>
      </c>
      <c r="H2938">
        <v>32</v>
      </c>
      <c r="I2938">
        <f>ROUND(CompilDonnées[[#This Row],[CultureDuration_days]]/7,0)</f>
        <v>5</v>
      </c>
      <c r="J2938">
        <v>2819</v>
      </c>
      <c r="K2938" t="str">
        <f>_xlfn.CONCAT(WEEKNUM(CompilDonnées[[#This Row],[PlantationDate]]), " ", YEAR(CompilDonnées[[#This Row],[PlantationDate]]))</f>
        <v>21 2025</v>
      </c>
      <c r="L2938" t="str">
        <f>CONCATENATE(MONTH(CompilDonnées[[#This Row],[PlantationDate]])," ", YEAR(CompilDonnées[[#This Row],[PlantationDate]]))</f>
        <v>5 2025</v>
      </c>
      <c r="M2938" t="str">
        <f>CONCATENATE(MONTH(CompilDonnées[[#This Row],[HarvestingDate]])," ", YEAR(CompilDonnées[[#This Row],[HarvestingDate]]))</f>
        <v>6 2025</v>
      </c>
      <c r="N2938">
        <f>_xlfn.NUMBERVALUE(CompilDonnées[[#This Row],[FarmID]]&amp;CompilDonnées[[#This Row],[ModuleNumber]]&amp;CompilDonnées[[#This Row],[PlantationDate]])</f>
        <v>38145798</v>
      </c>
      <c r="O2938" t="str">
        <f>CompilDonnées[[#This Row],[FarmID]]&amp;CompilDonnées[[#This Row],[ModuleNumber]]</f>
        <v>381</v>
      </c>
      <c r="P2938" t="str">
        <f>CompilDonnées[[#This Row],[Ref_Module]]&amp;CompilDonnées[[#This Row],[HarvestingDate]]</f>
        <v>38145830</v>
      </c>
    </row>
    <row r="2939" spans="1:16">
      <c r="A2939" s="5">
        <v>45798</v>
      </c>
      <c r="B2939">
        <v>39</v>
      </c>
      <c r="C2939" t="s">
        <v>81</v>
      </c>
      <c r="D2939">
        <v>6</v>
      </c>
      <c r="E2939">
        <v>100</v>
      </c>
      <c r="F2939" t="s">
        <v>1</v>
      </c>
      <c r="G2939" s="6">
        <v>45826</v>
      </c>
      <c r="H2939">
        <v>28</v>
      </c>
      <c r="I2939">
        <f>ROUND(CompilDonnées[[#This Row],[CultureDuration_days]]/7,0)</f>
        <v>4</v>
      </c>
      <c r="J2939">
        <v>1338</v>
      </c>
      <c r="K2939" t="str">
        <f>_xlfn.CONCAT(WEEKNUM(CompilDonnées[[#This Row],[PlantationDate]]), " ", YEAR(CompilDonnées[[#This Row],[PlantationDate]]))</f>
        <v>21 2025</v>
      </c>
      <c r="L2939" t="str">
        <f>CONCATENATE(MONTH(CompilDonnées[[#This Row],[PlantationDate]])," ", YEAR(CompilDonnées[[#This Row],[PlantationDate]]))</f>
        <v>5 2025</v>
      </c>
      <c r="M2939" t="str">
        <f>CONCATENATE(MONTH(CompilDonnées[[#This Row],[HarvestingDate]])," ", YEAR(CompilDonnées[[#This Row],[HarvestingDate]]))</f>
        <v>6 2025</v>
      </c>
      <c r="N2939">
        <f>_xlfn.NUMBERVALUE(CompilDonnées[[#This Row],[FarmID]]&amp;CompilDonnées[[#This Row],[ModuleNumber]]&amp;CompilDonnées[[#This Row],[PlantationDate]])</f>
        <v>39645798</v>
      </c>
      <c r="O2939" t="str">
        <f>CompilDonnées[[#This Row],[FarmID]]&amp;CompilDonnées[[#This Row],[ModuleNumber]]</f>
        <v>396</v>
      </c>
      <c r="P2939" t="str">
        <f>CompilDonnées[[#This Row],[Ref_Module]]&amp;CompilDonnées[[#This Row],[HarvestingDate]]</f>
        <v>39645826</v>
      </c>
    </row>
    <row r="2940" spans="1:16">
      <c r="A2940" s="5">
        <v>45798</v>
      </c>
      <c r="B2940">
        <v>41</v>
      </c>
      <c r="C2940" t="s">
        <v>70</v>
      </c>
      <c r="D2940">
        <v>6</v>
      </c>
      <c r="E2940">
        <v>100</v>
      </c>
      <c r="F2940" t="s">
        <v>1</v>
      </c>
      <c r="G2940" s="6">
        <v>45826</v>
      </c>
      <c r="H2940">
        <v>28</v>
      </c>
      <c r="I2940">
        <f>ROUND(CompilDonnées[[#This Row],[CultureDuration_days]]/7,0)</f>
        <v>4</v>
      </c>
      <c r="J2940">
        <v>2218</v>
      </c>
      <c r="K2940" t="str">
        <f>_xlfn.CONCAT(WEEKNUM(CompilDonnées[[#This Row],[PlantationDate]]), " ", YEAR(CompilDonnées[[#This Row],[PlantationDate]]))</f>
        <v>21 2025</v>
      </c>
      <c r="L2940" t="str">
        <f>CONCATENATE(MONTH(CompilDonnées[[#This Row],[PlantationDate]])," ", YEAR(CompilDonnées[[#This Row],[PlantationDate]]))</f>
        <v>5 2025</v>
      </c>
      <c r="M2940" t="str">
        <f>CONCATENATE(MONTH(CompilDonnées[[#This Row],[HarvestingDate]])," ", YEAR(CompilDonnées[[#This Row],[HarvestingDate]]))</f>
        <v>6 2025</v>
      </c>
      <c r="N2940">
        <f>_xlfn.NUMBERVALUE(CompilDonnées[[#This Row],[FarmID]]&amp;CompilDonnées[[#This Row],[ModuleNumber]]&amp;CompilDonnées[[#This Row],[PlantationDate]])</f>
        <v>41645798</v>
      </c>
      <c r="O2940" t="str">
        <f>CompilDonnées[[#This Row],[FarmID]]&amp;CompilDonnées[[#This Row],[ModuleNumber]]</f>
        <v>416</v>
      </c>
      <c r="P2940" t="str">
        <f>CompilDonnées[[#This Row],[Ref_Module]]&amp;CompilDonnées[[#This Row],[HarvestingDate]]</f>
        <v>41645826</v>
      </c>
    </row>
    <row r="2941" spans="1:16">
      <c r="A2941" s="5">
        <v>45798</v>
      </c>
      <c r="B2941">
        <v>43</v>
      </c>
      <c r="C2941" t="s">
        <v>45</v>
      </c>
      <c r="D2941">
        <v>6</v>
      </c>
      <c r="E2941">
        <v>100</v>
      </c>
      <c r="F2941" t="s">
        <v>1</v>
      </c>
      <c r="G2941" s="6">
        <v>45826</v>
      </c>
      <c r="H2941">
        <v>28</v>
      </c>
      <c r="I2941">
        <f>ROUND(CompilDonnées[[#This Row],[CultureDuration_days]]/7,0)</f>
        <v>4</v>
      </c>
      <c r="J2941">
        <v>2545</v>
      </c>
      <c r="K2941" t="str">
        <f>_xlfn.CONCAT(WEEKNUM(CompilDonnées[[#This Row],[PlantationDate]]), " ", YEAR(CompilDonnées[[#This Row],[PlantationDate]]))</f>
        <v>21 2025</v>
      </c>
      <c r="L2941" t="str">
        <f>CONCATENATE(MONTH(CompilDonnées[[#This Row],[PlantationDate]])," ", YEAR(CompilDonnées[[#This Row],[PlantationDate]]))</f>
        <v>5 2025</v>
      </c>
      <c r="M2941" t="str">
        <f>CONCATENATE(MONTH(CompilDonnées[[#This Row],[HarvestingDate]])," ", YEAR(CompilDonnées[[#This Row],[HarvestingDate]]))</f>
        <v>6 2025</v>
      </c>
      <c r="N2941">
        <f>_xlfn.NUMBERVALUE(CompilDonnées[[#This Row],[FarmID]]&amp;CompilDonnées[[#This Row],[ModuleNumber]]&amp;CompilDonnées[[#This Row],[PlantationDate]])</f>
        <v>43645798</v>
      </c>
      <c r="O2941" t="str">
        <f>CompilDonnées[[#This Row],[FarmID]]&amp;CompilDonnées[[#This Row],[ModuleNumber]]</f>
        <v>436</v>
      </c>
      <c r="P2941" t="str">
        <f>CompilDonnées[[#This Row],[Ref_Module]]&amp;CompilDonnées[[#This Row],[HarvestingDate]]</f>
        <v>43645826</v>
      </c>
    </row>
    <row r="2942" spans="1:16">
      <c r="A2942" s="5">
        <v>45798</v>
      </c>
      <c r="B2942">
        <v>44</v>
      </c>
      <c r="C2942" t="s">
        <v>42</v>
      </c>
      <c r="D2942">
        <v>4</v>
      </c>
      <c r="E2942">
        <v>100</v>
      </c>
      <c r="F2942" t="s">
        <v>1</v>
      </c>
      <c r="G2942" s="6">
        <v>45843</v>
      </c>
      <c r="H2942">
        <v>45</v>
      </c>
      <c r="I2942">
        <f>ROUND(CompilDonnées[[#This Row],[CultureDuration_days]]/7,0)</f>
        <v>6</v>
      </c>
      <c r="J2942">
        <v>3072</v>
      </c>
      <c r="K2942" t="str">
        <f>_xlfn.CONCAT(WEEKNUM(CompilDonnées[[#This Row],[PlantationDate]]), " ", YEAR(CompilDonnées[[#This Row],[PlantationDate]]))</f>
        <v>21 2025</v>
      </c>
      <c r="L2942" t="str">
        <f>CONCATENATE(MONTH(CompilDonnées[[#This Row],[PlantationDate]])," ", YEAR(CompilDonnées[[#This Row],[PlantationDate]]))</f>
        <v>5 2025</v>
      </c>
      <c r="M2942" t="str">
        <f>CONCATENATE(MONTH(CompilDonnées[[#This Row],[HarvestingDate]])," ", YEAR(CompilDonnées[[#This Row],[HarvestingDate]]))</f>
        <v>7 2025</v>
      </c>
      <c r="N2942">
        <f>_xlfn.NUMBERVALUE(CompilDonnées[[#This Row],[FarmID]]&amp;CompilDonnées[[#This Row],[ModuleNumber]]&amp;CompilDonnées[[#This Row],[PlantationDate]])</f>
        <v>44445798</v>
      </c>
      <c r="O2942" t="str">
        <f>CompilDonnées[[#This Row],[FarmID]]&amp;CompilDonnées[[#This Row],[ModuleNumber]]</f>
        <v>444</v>
      </c>
      <c r="P2942" t="str">
        <f>CompilDonnées[[#This Row],[Ref_Module]]&amp;CompilDonnées[[#This Row],[HarvestingDate]]</f>
        <v>44445843</v>
      </c>
    </row>
    <row r="2943" spans="1:16">
      <c r="A2943" s="5">
        <v>45798</v>
      </c>
      <c r="B2943">
        <v>47</v>
      </c>
      <c r="C2943" t="s">
        <v>12</v>
      </c>
      <c r="D2943">
        <v>1</v>
      </c>
      <c r="E2943">
        <v>100</v>
      </c>
      <c r="F2943" t="s">
        <v>1</v>
      </c>
      <c r="G2943" s="6">
        <v>45830</v>
      </c>
      <c r="H2943">
        <v>32</v>
      </c>
      <c r="I2943">
        <f>ROUND(CompilDonnées[[#This Row],[CultureDuration_days]]/7,0)</f>
        <v>5</v>
      </c>
      <c r="J2943">
        <v>2622</v>
      </c>
      <c r="K2943" t="str">
        <f>_xlfn.CONCAT(WEEKNUM(CompilDonnées[[#This Row],[PlantationDate]]), " ", YEAR(CompilDonnées[[#This Row],[PlantationDate]]))</f>
        <v>21 2025</v>
      </c>
      <c r="L2943" t="str">
        <f>CONCATENATE(MONTH(CompilDonnées[[#This Row],[PlantationDate]])," ", YEAR(CompilDonnées[[#This Row],[PlantationDate]]))</f>
        <v>5 2025</v>
      </c>
      <c r="M2943" t="str">
        <f>CONCATENATE(MONTH(CompilDonnées[[#This Row],[HarvestingDate]])," ", YEAR(CompilDonnées[[#This Row],[HarvestingDate]]))</f>
        <v>6 2025</v>
      </c>
      <c r="N2943">
        <f>_xlfn.NUMBERVALUE(CompilDonnées[[#This Row],[FarmID]]&amp;CompilDonnées[[#This Row],[ModuleNumber]]&amp;CompilDonnées[[#This Row],[PlantationDate]])</f>
        <v>47145798</v>
      </c>
      <c r="O2943" t="str">
        <f>CompilDonnées[[#This Row],[FarmID]]&amp;CompilDonnées[[#This Row],[ModuleNumber]]</f>
        <v>471</v>
      </c>
      <c r="P2943" t="str">
        <f>CompilDonnées[[#This Row],[Ref_Module]]&amp;CompilDonnées[[#This Row],[HarvestingDate]]</f>
        <v>47145830</v>
      </c>
    </row>
    <row r="2944" spans="1:16">
      <c r="A2944" s="5">
        <v>45798</v>
      </c>
      <c r="B2944">
        <v>48</v>
      </c>
      <c r="C2944" t="s">
        <v>71</v>
      </c>
      <c r="D2944">
        <v>4</v>
      </c>
      <c r="E2944">
        <v>100</v>
      </c>
      <c r="F2944" t="s">
        <v>1</v>
      </c>
      <c r="G2944" s="6">
        <v>45843</v>
      </c>
      <c r="H2944">
        <v>45</v>
      </c>
      <c r="I2944">
        <f>ROUND(CompilDonnées[[#This Row],[CultureDuration_days]]/7,0)</f>
        <v>6</v>
      </c>
      <c r="J2944">
        <v>2460</v>
      </c>
      <c r="K2944" t="str">
        <f>_xlfn.CONCAT(WEEKNUM(CompilDonnées[[#This Row],[PlantationDate]]), " ", YEAR(CompilDonnées[[#This Row],[PlantationDate]]))</f>
        <v>21 2025</v>
      </c>
      <c r="L2944" t="str">
        <f>CONCATENATE(MONTH(CompilDonnées[[#This Row],[PlantationDate]])," ", YEAR(CompilDonnées[[#This Row],[PlantationDate]]))</f>
        <v>5 2025</v>
      </c>
      <c r="M2944" t="str">
        <f>CONCATENATE(MONTH(CompilDonnées[[#This Row],[HarvestingDate]])," ", YEAR(CompilDonnées[[#This Row],[HarvestingDate]]))</f>
        <v>7 2025</v>
      </c>
      <c r="N2944">
        <f>_xlfn.NUMBERVALUE(CompilDonnées[[#This Row],[FarmID]]&amp;CompilDonnées[[#This Row],[ModuleNumber]]&amp;CompilDonnées[[#This Row],[PlantationDate]])</f>
        <v>48445798</v>
      </c>
      <c r="O2944" t="str">
        <f>CompilDonnées[[#This Row],[FarmID]]&amp;CompilDonnées[[#This Row],[ModuleNumber]]</f>
        <v>484</v>
      </c>
      <c r="P2944" t="str">
        <f>CompilDonnées[[#This Row],[Ref_Module]]&amp;CompilDonnées[[#This Row],[HarvestingDate]]</f>
        <v>48445843</v>
      </c>
    </row>
    <row r="2945" spans="1:16">
      <c r="A2945" s="5">
        <v>45798</v>
      </c>
      <c r="B2945">
        <v>49</v>
      </c>
      <c r="C2945" t="s">
        <v>110</v>
      </c>
      <c r="D2945">
        <v>6</v>
      </c>
      <c r="E2945">
        <v>100</v>
      </c>
      <c r="F2945" t="s">
        <v>1</v>
      </c>
      <c r="G2945" s="6">
        <v>45847</v>
      </c>
      <c r="H2945">
        <v>49</v>
      </c>
      <c r="I2945">
        <f>ROUND(CompilDonnées[[#This Row],[CultureDuration_days]]/7,0)</f>
        <v>7</v>
      </c>
      <c r="J2945">
        <v>3903</v>
      </c>
      <c r="K2945" t="str">
        <f>_xlfn.CONCAT(WEEKNUM(CompilDonnées[[#This Row],[PlantationDate]]), " ", YEAR(CompilDonnées[[#This Row],[PlantationDate]]))</f>
        <v>21 2025</v>
      </c>
      <c r="L2945" t="str">
        <f>CONCATENATE(MONTH(CompilDonnées[[#This Row],[PlantationDate]])," ", YEAR(CompilDonnées[[#This Row],[PlantationDate]]))</f>
        <v>5 2025</v>
      </c>
      <c r="M2945" t="str">
        <f>CONCATENATE(MONTH(CompilDonnées[[#This Row],[HarvestingDate]])," ", YEAR(CompilDonnées[[#This Row],[HarvestingDate]]))</f>
        <v>7 2025</v>
      </c>
      <c r="N2945">
        <f>_xlfn.NUMBERVALUE(CompilDonnées[[#This Row],[FarmID]]&amp;CompilDonnées[[#This Row],[ModuleNumber]]&amp;CompilDonnées[[#This Row],[PlantationDate]])</f>
        <v>49645798</v>
      </c>
      <c r="O2945" t="str">
        <f>CompilDonnées[[#This Row],[FarmID]]&amp;CompilDonnées[[#This Row],[ModuleNumber]]</f>
        <v>496</v>
      </c>
      <c r="P2945" t="str">
        <f>CompilDonnées[[#This Row],[Ref_Module]]&amp;CompilDonnées[[#This Row],[HarvestingDate]]</f>
        <v>49645847</v>
      </c>
    </row>
    <row r="2946" spans="1:16">
      <c r="A2946" s="5">
        <v>45798</v>
      </c>
      <c r="B2946">
        <v>53</v>
      </c>
      <c r="C2946" t="s">
        <v>83</v>
      </c>
      <c r="D2946">
        <v>1</v>
      </c>
      <c r="E2946">
        <v>100</v>
      </c>
      <c r="F2946" t="s">
        <v>1</v>
      </c>
      <c r="G2946" s="6">
        <v>45843</v>
      </c>
      <c r="H2946">
        <v>45</v>
      </c>
      <c r="I2946">
        <f>ROUND(CompilDonnées[[#This Row],[CultureDuration_days]]/7,0)</f>
        <v>6</v>
      </c>
      <c r="J2946">
        <v>2820</v>
      </c>
      <c r="K2946" t="str">
        <f>_xlfn.CONCAT(WEEKNUM(CompilDonnées[[#This Row],[PlantationDate]]), " ", YEAR(CompilDonnées[[#This Row],[PlantationDate]]))</f>
        <v>21 2025</v>
      </c>
      <c r="L2946" t="str">
        <f>CONCATENATE(MONTH(CompilDonnées[[#This Row],[PlantationDate]])," ", YEAR(CompilDonnées[[#This Row],[PlantationDate]]))</f>
        <v>5 2025</v>
      </c>
      <c r="M2946" t="str">
        <f>CONCATENATE(MONTH(CompilDonnées[[#This Row],[HarvestingDate]])," ", YEAR(CompilDonnées[[#This Row],[HarvestingDate]]))</f>
        <v>7 2025</v>
      </c>
      <c r="N2946">
        <f>_xlfn.NUMBERVALUE(CompilDonnées[[#This Row],[FarmID]]&amp;CompilDonnées[[#This Row],[ModuleNumber]]&amp;CompilDonnées[[#This Row],[PlantationDate]])</f>
        <v>53145798</v>
      </c>
      <c r="O2946" t="str">
        <f>CompilDonnées[[#This Row],[FarmID]]&amp;CompilDonnées[[#This Row],[ModuleNumber]]</f>
        <v>531</v>
      </c>
      <c r="P2946" t="str">
        <f>CompilDonnées[[#This Row],[Ref_Module]]&amp;CompilDonnées[[#This Row],[HarvestingDate]]</f>
        <v>53145843</v>
      </c>
    </row>
    <row r="2947" spans="1:16">
      <c r="A2947" s="5">
        <v>45798</v>
      </c>
      <c r="B2947">
        <v>54</v>
      </c>
      <c r="C2947" t="s">
        <v>39</v>
      </c>
      <c r="D2947">
        <v>1</v>
      </c>
      <c r="E2947">
        <v>100</v>
      </c>
      <c r="F2947" t="s">
        <v>1</v>
      </c>
      <c r="G2947" s="6">
        <v>45830</v>
      </c>
      <c r="H2947">
        <v>32</v>
      </c>
      <c r="I2947">
        <f>ROUND(CompilDonnées[[#This Row],[CultureDuration_days]]/7,0)</f>
        <v>5</v>
      </c>
      <c r="J2947">
        <v>2725</v>
      </c>
      <c r="K2947" t="str">
        <f>_xlfn.CONCAT(WEEKNUM(CompilDonnées[[#This Row],[PlantationDate]]), " ", YEAR(CompilDonnées[[#This Row],[PlantationDate]]))</f>
        <v>21 2025</v>
      </c>
      <c r="L2947" t="str">
        <f>CONCATENATE(MONTH(CompilDonnées[[#This Row],[PlantationDate]])," ", YEAR(CompilDonnées[[#This Row],[PlantationDate]]))</f>
        <v>5 2025</v>
      </c>
      <c r="M2947" t="str">
        <f>CONCATENATE(MONTH(CompilDonnées[[#This Row],[HarvestingDate]])," ", YEAR(CompilDonnées[[#This Row],[HarvestingDate]]))</f>
        <v>6 2025</v>
      </c>
      <c r="N2947">
        <f>_xlfn.NUMBERVALUE(CompilDonnées[[#This Row],[FarmID]]&amp;CompilDonnées[[#This Row],[ModuleNumber]]&amp;CompilDonnées[[#This Row],[PlantationDate]])</f>
        <v>54145798</v>
      </c>
      <c r="O2947" t="str">
        <f>CompilDonnées[[#This Row],[FarmID]]&amp;CompilDonnées[[#This Row],[ModuleNumber]]</f>
        <v>541</v>
      </c>
      <c r="P2947" t="str">
        <f>CompilDonnées[[#This Row],[Ref_Module]]&amp;CompilDonnées[[#This Row],[HarvestingDate]]</f>
        <v>54145830</v>
      </c>
    </row>
    <row r="2948" spans="1:16">
      <c r="A2948" s="5">
        <v>45798</v>
      </c>
      <c r="B2948">
        <v>55</v>
      </c>
      <c r="C2948" t="s">
        <v>60</v>
      </c>
      <c r="D2948">
        <v>1</v>
      </c>
      <c r="E2948">
        <v>100</v>
      </c>
      <c r="F2948" t="s">
        <v>1</v>
      </c>
      <c r="G2948" s="6">
        <v>45846</v>
      </c>
      <c r="H2948">
        <v>48</v>
      </c>
      <c r="I2948">
        <f>ROUND(CompilDonnées[[#This Row],[CultureDuration_days]]/7,0)</f>
        <v>7</v>
      </c>
      <c r="J2948">
        <v>2751</v>
      </c>
      <c r="K2948" t="str">
        <f>_xlfn.CONCAT(WEEKNUM(CompilDonnées[[#This Row],[PlantationDate]]), " ", YEAR(CompilDonnées[[#This Row],[PlantationDate]]))</f>
        <v>21 2025</v>
      </c>
      <c r="L2948" t="str">
        <f>CONCATENATE(MONTH(CompilDonnées[[#This Row],[PlantationDate]])," ", YEAR(CompilDonnées[[#This Row],[PlantationDate]]))</f>
        <v>5 2025</v>
      </c>
      <c r="M2948" t="str">
        <f>CONCATENATE(MONTH(CompilDonnées[[#This Row],[HarvestingDate]])," ", YEAR(CompilDonnées[[#This Row],[HarvestingDate]]))</f>
        <v>7 2025</v>
      </c>
      <c r="N2948">
        <f>_xlfn.NUMBERVALUE(CompilDonnées[[#This Row],[FarmID]]&amp;CompilDonnées[[#This Row],[ModuleNumber]]&amp;CompilDonnées[[#This Row],[PlantationDate]])</f>
        <v>55145798</v>
      </c>
      <c r="O2948" t="str">
        <f>CompilDonnées[[#This Row],[FarmID]]&amp;CompilDonnées[[#This Row],[ModuleNumber]]</f>
        <v>551</v>
      </c>
      <c r="P2948" t="str">
        <f>CompilDonnées[[#This Row],[Ref_Module]]&amp;CompilDonnées[[#This Row],[HarvestingDate]]</f>
        <v>55145846</v>
      </c>
    </row>
    <row r="2949" spans="1:16">
      <c r="A2949" s="5">
        <v>45798</v>
      </c>
      <c r="B2949">
        <v>58</v>
      </c>
      <c r="C2949" t="s">
        <v>35</v>
      </c>
      <c r="D2949">
        <v>1</v>
      </c>
      <c r="E2949">
        <v>100</v>
      </c>
      <c r="F2949" t="s">
        <v>1</v>
      </c>
      <c r="G2949" s="6">
        <v>45844</v>
      </c>
      <c r="H2949">
        <v>46</v>
      </c>
      <c r="I2949">
        <f>ROUND(CompilDonnées[[#This Row],[CultureDuration_days]]/7,0)</f>
        <v>7</v>
      </c>
      <c r="J2949">
        <v>3512</v>
      </c>
      <c r="K2949" t="str">
        <f>_xlfn.CONCAT(WEEKNUM(CompilDonnées[[#This Row],[PlantationDate]]), " ", YEAR(CompilDonnées[[#This Row],[PlantationDate]]))</f>
        <v>21 2025</v>
      </c>
      <c r="L2949" t="str">
        <f>CONCATENATE(MONTH(CompilDonnées[[#This Row],[PlantationDate]])," ", YEAR(CompilDonnées[[#This Row],[PlantationDate]]))</f>
        <v>5 2025</v>
      </c>
      <c r="M2949" t="str">
        <f>CONCATENATE(MONTH(CompilDonnées[[#This Row],[HarvestingDate]])," ", YEAR(CompilDonnées[[#This Row],[HarvestingDate]]))</f>
        <v>7 2025</v>
      </c>
      <c r="N2949">
        <f>_xlfn.NUMBERVALUE(CompilDonnées[[#This Row],[FarmID]]&amp;CompilDonnées[[#This Row],[ModuleNumber]]&amp;CompilDonnées[[#This Row],[PlantationDate]])</f>
        <v>58145798</v>
      </c>
      <c r="O2949" t="str">
        <f>CompilDonnées[[#This Row],[FarmID]]&amp;CompilDonnées[[#This Row],[ModuleNumber]]</f>
        <v>581</v>
      </c>
      <c r="P2949" t="str">
        <f>CompilDonnées[[#This Row],[Ref_Module]]&amp;CompilDonnées[[#This Row],[HarvestingDate]]</f>
        <v>58145844</v>
      </c>
    </row>
    <row r="2950" spans="1:16">
      <c r="A2950" s="5">
        <v>45798</v>
      </c>
      <c r="B2950">
        <v>59</v>
      </c>
      <c r="C2950" t="s">
        <v>64</v>
      </c>
      <c r="D2950">
        <v>2</v>
      </c>
      <c r="E2950">
        <v>100</v>
      </c>
      <c r="F2950" t="s">
        <v>1</v>
      </c>
      <c r="G2950" s="6">
        <v>45829</v>
      </c>
      <c r="H2950">
        <v>31</v>
      </c>
      <c r="I2950">
        <f>ROUND(CompilDonnées[[#This Row],[CultureDuration_days]]/7,0)</f>
        <v>4</v>
      </c>
      <c r="J2950">
        <v>2300</v>
      </c>
      <c r="K2950" t="str">
        <f>_xlfn.CONCAT(WEEKNUM(CompilDonnées[[#This Row],[PlantationDate]]), " ", YEAR(CompilDonnées[[#This Row],[PlantationDate]]))</f>
        <v>21 2025</v>
      </c>
      <c r="L2950" t="str">
        <f>CONCATENATE(MONTH(CompilDonnées[[#This Row],[PlantationDate]])," ", YEAR(CompilDonnées[[#This Row],[PlantationDate]]))</f>
        <v>5 2025</v>
      </c>
      <c r="M2950" t="str">
        <f>CONCATENATE(MONTH(CompilDonnées[[#This Row],[HarvestingDate]])," ", YEAR(CompilDonnées[[#This Row],[HarvestingDate]]))</f>
        <v>6 2025</v>
      </c>
      <c r="N2950">
        <f>_xlfn.NUMBERVALUE(CompilDonnées[[#This Row],[FarmID]]&amp;CompilDonnées[[#This Row],[ModuleNumber]]&amp;CompilDonnées[[#This Row],[PlantationDate]])</f>
        <v>59245798</v>
      </c>
      <c r="O2950" t="str">
        <f>CompilDonnées[[#This Row],[FarmID]]&amp;CompilDonnées[[#This Row],[ModuleNumber]]</f>
        <v>592</v>
      </c>
      <c r="P2950" t="str">
        <f>CompilDonnées[[#This Row],[Ref_Module]]&amp;CompilDonnées[[#This Row],[HarvestingDate]]</f>
        <v>59245829</v>
      </c>
    </row>
    <row r="2951" spans="1:16">
      <c r="A2951" s="5">
        <v>45798</v>
      </c>
      <c r="B2951">
        <v>59</v>
      </c>
      <c r="C2951" t="s">
        <v>64</v>
      </c>
      <c r="D2951">
        <v>6</v>
      </c>
      <c r="E2951">
        <v>100</v>
      </c>
      <c r="F2951" t="s">
        <v>1</v>
      </c>
      <c r="G2951" s="6">
        <v>45829</v>
      </c>
      <c r="H2951">
        <v>31</v>
      </c>
      <c r="I2951">
        <f>ROUND(CompilDonnées[[#This Row],[CultureDuration_days]]/7,0)</f>
        <v>4</v>
      </c>
      <c r="J2951">
        <v>2542</v>
      </c>
      <c r="K2951" t="str">
        <f>_xlfn.CONCAT(WEEKNUM(CompilDonnées[[#This Row],[PlantationDate]]), " ", YEAR(CompilDonnées[[#This Row],[PlantationDate]]))</f>
        <v>21 2025</v>
      </c>
      <c r="L2951" t="str">
        <f>CONCATENATE(MONTH(CompilDonnées[[#This Row],[PlantationDate]])," ", YEAR(CompilDonnées[[#This Row],[PlantationDate]]))</f>
        <v>5 2025</v>
      </c>
      <c r="M2951" t="str">
        <f>CONCATENATE(MONTH(CompilDonnées[[#This Row],[HarvestingDate]])," ", YEAR(CompilDonnées[[#This Row],[HarvestingDate]]))</f>
        <v>6 2025</v>
      </c>
      <c r="N2951">
        <f>_xlfn.NUMBERVALUE(CompilDonnées[[#This Row],[FarmID]]&amp;CompilDonnées[[#This Row],[ModuleNumber]]&amp;CompilDonnées[[#This Row],[PlantationDate]])</f>
        <v>59645798</v>
      </c>
      <c r="O2951" t="str">
        <f>CompilDonnées[[#This Row],[FarmID]]&amp;CompilDonnées[[#This Row],[ModuleNumber]]</f>
        <v>596</v>
      </c>
      <c r="P2951" t="str">
        <f>CompilDonnées[[#This Row],[Ref_Module]]&amp;CompilDonnées[[#This Row],[HarvestingDate]]</f>
        <v>59645829</v>
      </c>
    </row>
    <row r="2952" spans="1:16">
      <c r="A2952" s="5">
        <v>45798</v>
      </c>
      <c r="B2952">
        <v>68</v>
      </c>
      <c r="C2952" t="s">
        <v>89</v>
      </c>
      <c r="D2952">
        <v>5</v>
      </c>
      <c r="E2952">
        <v>100</v>
      </c>
      <c r="F2952" t="s">
        <v>1</v>
      </c>
      <c r="G2952" s="6">
        <v>45831</v>
      </c>
      <c r="H2952">
        <v>33</v>
      </c>
      <c r="I2952">
        <f>ROUND(CompilDonnées[[#This Row],[CultureDuration_days]]/7,0)</f>
        <v>5</v>
      </c>
      <c r="J2952">
        <v>3323</v>
      </c>
      <c r="K2952" t="str">
        <f>_xlfn.CONCAT(WEEKNUM(CompilDonnées[[#This Row],[PlantationDate]]), " ", YEAR(CompilDonnées[[#This Row],[PlantationDate]]))</f>
        <v>21 2025</v>
      </c>
      <c r="L2952" t="str">
        <f>CONCATENATE(MONTH(CompilDonnées[[#This Row],[PlantationDate]])," ", YEAR(CompilDonnées[[#This Row],[PlantationDate]]))</f>
        <v>5 2025</v>
      </c>
      <c r="M2952" t="str">
        <f>CONCATENATE(MONTH(CompilDonnées[[#This Row],[HarvestingDate]])," ", YEAR(CompilDonnées[[#This Row],[HarvestingDate]]))</f>
        <v>6 2025</v>
      </c>
      <c r="N2952">
        <f>_xlfn.NUMBERVALUE(CompilDonnées[[#This Row],[FarmID]]&amp;CompilDonnées[[#This Row],[ModuleNumber]]&amp;CompilDonnées[[#This Row],[PlantationDate]])</f>
        <v>68545798</v>
      </c>
      <c r="O2952" t="str">
        <f>CompilDonnées[[#This Row],[FarmID]]&amp;CompilDonnées[[#This Row],[ModuleNumber]]</f>
        <v>685</v>
      </c>
      <c r="P2952" t="str">
        <f>CompilDonnées[[#This Row],[Ref_Module]]&amp;CompilDonnées[[#This Row],[HarvestingDate]]</f>
        <v>68545831</v>
      </c>
    </row>
    <row r="2953" spans="1:16">
      <c r="A2953" s="5">
        <v>45798</v>
      </c>
      <c r="B2953">
        <v>71</v>
      </c>
      <c r="C2953" t="s">
        <v>19</v>
      </c>
      <c r="D2953">
        <v>6</v>
      </c>
      <c r="E2953">
        <v>100</v>
      </c>
      <c r="F2953" t="s">
        <v>1</v>
      </c>
      <c r="G2953" s="6">
        <v>45831</v>
      </c>
      <c r="H2953">
        <v>33</v>
      </c>
      <c r="I2953">
        <f>ROUND(CompilDonnées[[#This Row],[CultureDuration_days]]/7,0)</f>
        <v>5</v>
      </c>
      <c r="J2953">
        <v>2976</v>
      </c>
      <c r="K2953" t="str">
        <f>_xlfn.CONCAT(WEEKNUM(CompilDonnées[[#This Row],[PlantationDate]]), " ", YEAR(CompilDonnées[[#This Row],[PlantationDate]]))</f>
        <v>21 2025</v>
      </c>
      <c r="L2953" t="str">
        <f>CONCATENATE(MONTH(CompilDonnées[[#This Row],[PlantationDate]])," ", YEAR(CompilDonnées[[#This Row],[PlantationDate]]))</f>
        <v>5 2025</v>
      </c>
      <c r="M2953" t="str">
        <f>CONCATENATE(MONTH(CompilDonnées[[#This Row],[HarvestingDate]])," ", YEAR(CompilDonnées[[#This Row],[HarvestingDate]]))</f>
        <v>6 2025</v>
      </c>
      <c r="N2953">
        <f>_xlfn.NUMBERVALUE(CompilDonnées[[#This Row],[FarmID]]&amp;CompilDonnées[[#This Row],[ModuleNumber]]&amp;CompilDonnées[[#This Row],[PlantationDate]])</f>
        <v>71645798</v>
      </c>
      <c r="O2953" t="str">
        <f>CompilDonnées[[#This Row],[FarmID]]&amp;CompilDonnées[[#This Row],[ModuleNumber]]</f>
        <v>716</v>
      </c>
      <c r="P2953" t="str">
        <f>CompilDonnées[[#This Row],[Ref_Module]]&amp;CompilDonnées[[#This Row],[HarvestingDate]]</f>
        <v>71645831</v>
      </c>
    </row>
    <row r="2954" spans="1:16">
      <c r="A2954" s="5">
        <v>45798</v>
      </c>
      <c r="B2954">
        <v>78</v>
      </c>
      <c r="C2954" t="s">
        <v>3</v>
      </c>
      <c r="D2954">
        <v>4</v>
      </c>
      <c r="E2954">
        <v>60</v>
      </c>
      <c r="F2954" t="s">
        <v>105</v>
      </c>
      <c r="G2954" s="6">
        <v>45842</v>
      </c>
      <c r="H2954">
        <v>44</v>
      </c>
      <c r="I2954">
        <f>ROUND(CompilDonnées[[#This Row],[CultureDuration_days]]/7,0)</f>
        <v>6</v>
      </c>
      <c r="J2954">
        <v>1000</v>
      </c>
      <c r="K2954" t="str">
        <f>_xlfn.CONCAT(WEEKNUM(CompilDonnées[[#This Row],[PlantationDate]]), " ", YEAR(CompilDonnées[[#This Row],[PlantationDate]]))</f>
        <v>21 2025</v>
      </c>
      <c r="L2954" t="str">
        <f>CONCATENATE(MONTH(CompilDonnées[[#This Row],[PlantationDate]])," ", YEAR(CompilDonnées[[#This Row],[PlantationDate]]))</f>
        <v>5 2025</v>
      </c>
      <c r="M2954" t="str">
        <f>CONCATENATE(MONTH(CompilDonnées[[#This Row],[HarvestingDate]])," ", YEAR(CompilDonnées[[#This Row],[HarvestingDate]]))</f>
        <v>7 2025</v>
      </c>
      <c r="N2954">
        <f>_xlfn.NUMBERVALUE(CompilDonnées[[#This Row],[FarmID]]&amp;CompilDonnées[[#This Row],[ModuleNumber]]&amp;CompilDonnées[[#This Row],[PlantationDate]])</f>
        <v>78445798</v>
      </c>
      <c r="O2954" t="str">
        <f>CompilDonnées[[#This Row],[FarmID]]&amp;CompilDonnées[[#This Row],[ModuleNumber]]</f>
        <v>784</v>
      </c>
      <c r="P2954" t="str">
        <f>CompilDonnées[[#This Row],[Ref_Module]]&amp;CompilDonnées[[#This Row],[HarvestingDate]]</f>
        <v>78445842</v>
      </c>
    </row>
    <row r="2955" spans="1:16">
      <c r="A2955" s="5">
        <v>45798</v>
      </c>
      <c r="B2955">
        <v>78</v>
      </c>
      <c r="C2955" t="s">
        <v>3</v>
      </c>
      <c r="D2955">
        <v>5</v>
      </c>
      <c r="E2955">
        <v>60</v>
      </c>
      <c r="F2955" t="s">
        <v>105</v>
      </c>
      <c r="G2955" s="6">
        <v>45842</v>
      </c>
      <c r="H2955">
        <v>44</v>
      </c>
      <c r="I2955">
        <f>ROUND(CompilDonnées[[#This Row],[CultureDuration_days]]/7,0)</f>
        <v>6</v>
      </c>
      <c r="J2955">
        <v>1200</v>
      </c>
      <c r="K2955" t="str">
        <f>_xlfn.CONCAT(WEEKNUM(CompilDonnées[[#This Row],[PlantationDate]]), " ", YEAR(CompilDonnées[[#This Row],[PlantationDate]]))</f>
        <v>21 2025</v>
      </c>
      <c r="L2955" t="str">
        <f>CONCATENATE(MONTH(CompilDonnées[[#This Row],[PlantationDate]])," ", YEAR(CompilDonnées[[#This Row],[PlantationDate]]))</f>
        <v>5 2025</v>
      </c>
      <c r="M2955" t="str">
        <f>CONCATENATE(MONTH(CompilDonnées[[#This Row],[HarvestingDate]])," ", YEAR(CompilDonnées[[#This Row],[HarvestingDate]]))</f>
        <v>7 2025</v>
      </c>
      <c r="N2955">
        <f>_xlfn.NUMBERVALUE(CompilDonnées[[#This Row],[FarmID]]&amp;CompilDonnées[[#This Row],[ModuleNumber]]&amp;CompilDonnées[[#This Row],[PlantationDate]])</f>
        <v>78545798</v>
      </c>
      <c r="O2955" t="str">
        <f>CompilDonnées[[#This Row],[FarmID]]&amp;CompilDonnées[[#This Row],[ModuleNumber]]</f>
        <v>785</v>
      </c>
      <c r="P2955" t="str">
        <f>CompilDonnées[[#This Row],[Ref_Module]]&amp;CompilDonnées[[#This Row],[HarvestingDate]]</f>
        <v>78545842</v>
      </c>
    </row>
    <row r="2956" spans="1:16">
      <c r="A2956" s="5">
        <v>45798</v>
      </c>
      <c r="B2956">
        <v>78</v>
      </c>
      <c r="C2956" t="s">
        <v>3</v>
      </c>
      <c r="D2956">
        <v>6</v>
      </c>
      <c r="E2956">
        <v>60</v>
      </c>
      <c r="F2956" t="s">
        <v>105</v>
      </c>
      <c r="G2956" s="6">
        <v>45842</v>
      </c>
      <c r="H2956">
        <v>44</v>
      </c>
      <c r="I2956">
        <f>ROUND(CompilDonnées[[#This Row],[CultureDuration_days]]/7,0)</f>
        <v>6</v>
      </c>
      <c r="J2956">
        <v>870</v>
      </c>
      <c r="K2956" t="str">
        <f>_xlfn.CONCAT(WEEKNUM(CompilDonnées[[#This Row],[PlantationDate]]), " ", YEAR(CompilDonnées[[#This Row],[PlantationDate]]))</f>
        <v>21 2025</v>
      </c>
      <c r="L2956" t="str">
        <f>CONCATENATE(MONTH(CompilDonnées[[#This Row],[PlantationDate]])," ", YEAR(CompilDonnées[[#This Row],[PlantationDate]]))</f>
        <v>5 2025</v>
      </c>
      <c r="M2956" t="str">
        <f>CONCATENATE(MONTH(CompilDonnées[[#This Row],[HarvestingDate]])," ", YEAR(CompilDonnées[[#This Row],[HarvestingDate]]))</f>
        <v>7 2025</v>
      </c>
      <c r="N2956">
        <f>_xlfn.NUMBERVALUE(CompilDonnées[[#This Row],[FarmID]]&amp;CompilDonnées[[#This Row],[ModuleNumber]]&amp;CompilDonnées[[#This Row],[PlantationDate]])</f>
        <v>78645798</v>
      </c>
      <c r="O2956" t="str">
        <f>CompilDonnées[[#This Row],[FarmID]]&amp;CompilDonnées[[#This Row],[ModuleNumber]]</f>
        <v>786</v>
      </c>
      <c r="P2956" t="str">
        <f>CompilDonnées[[#This Row],[Ref_Module]]&amp;CompilDonnées[[#This Row],[HarvestingDate]]</f>
        <v>78645842</v>
      </c>
    </row>
    <row r="2957" spans="1:16">
      <c r="A2957" s="5">
        <v>45798</v>
      </c>
      <c r="B2957">
        <v>79</v>
      </c>
      <c r="C2957" t="s">
        <v>61</v>
      </c>
      <c r="D2957">
        <v>3</v>
      </c>
      <c r="E2957">
        <v>100</v>
      </c>
      <c r="F2957" t="s">
        <v>1</v>
      </c>
      <c r="G2957" s="6">
        <v>45842</v>
      </c>
      <c r="H2957">
        <v>44</v>
      </c>
      <c r="I2957">
        <f>ROUND(CompilDonnées[[#This Row],[CultureDuration_days]]/7,0)</f>
        <v>6</v>
      </c>
      <c r="J2957">
        <v>2491</v>
      </c>
      <c r="K2957" t="str">
        <f>_xlfn.CONCAT(WEEKNUM(CompilDonnées[[#This Row],[PlantationDate]]), " ", YEAR(CompilDonnées[[#This Row],[PlantationDate]]))</f>
        <v>21 2025</v>
      </c>
      <c r="L2957" t="str">
        <f>CONCATENATE(MONTH(CompilDonnées[[#This Row],[PlantationDate]])," ", YEAR(CompilDonnées[[#This Row],[PlantationDate]]))</f>
        <v>5 2025</v>
      </c>
      <c r="M2957" t="str">
        <f>CONCATENATE(MONTH(CompilDonnées[[#This Row],[HarvestingDate]])," ", YEAR(CompilDonnées[[#This Row],[HarvestingDate]]))</f>
        <v>7 2025</v>
      </c>
      <c r="N2957">
        <f>_xlfn.NUMBERVALUE(CompilDonnées[[#This Row],[FarmID]]&amp;CompilDonnées[[#This Row],[ModuleNumber]]&amp;CompilDonnées[[#This Row],[PlantationDate]])</f>
        <v>79345798</v>
      </c>
      <c r="O2957" t="str">
        <f>CompilDonnées[[#This Row],[FarmID]]&amp;CompilDonnées[[#This Row],[ModuleNumber]]</f>
        <v>793</v>
      </c>
      <c r="P2957" t="str">
        <f>CompilDonnées[[#This Row],[Ref_Module]]&amp;CompilDonnées[[#This Row],[HarvestingDate]]</f>
        <v>79345842</v>
      </c>
    </row>
    <row r="2958" spans="1:16">
      <c r="A2958" s="5">
        <v>45798</v>
      </c>
      <c r="B2958">
        <v>81</v>
      </c>
      <c r="C2958" t="s">
        <v>30</v>
      </c>
      <c r="D2958">
        <v>6</v>
      </c>
      <c r="E2958">
        <v>100</v>
      </c>
      <c r="F2958" t="s">
        <v>1</v>
      </c>
      <c r="G2958" s="6">
        <v>45842</v>
      </c>
      <c r="H2958">
        <v>44</v>
      </c>
      <c r="I2958">
        <f>ROUND(CompilDonnées[[#This Row],[CultureDuration_days]]/7,0)</f>
        <v>6</v>
      </c>
      <c r="J2958">
        <v>3159</v>
      </c>
      <c r="K2958" t="str">
        <f>_xlfn.CONCAT(WEEKNUM(CompilDonnées[[#This Row],[PlantationDate]]), " ", YEAR(CompilDonnées[[#This Row],[PlantationDate]]))</f>
        <v>21 2025</v>
      </c>
      <c r="L2958" t="str">
        <f>CONCATENATE(MONTH(CompilDonnées[[#This Row],[PlantationDate]])," ", YEAR(CompilDonnées[[#This Row],[PlantationDate]]))</f>
        <v>5 2025</v>
      </c>
      <c r="M2958" t="str">
        <f>CONCATENATE(MONTH(CompilDonnées[[#This Row],[HarvestingDate]])," ", YEAR(CompilDonnées[[#This Row],[HarvestingDate]]))</f>
        <v>7 2025</v>
      </c>
      <c r="N2958">
        <f>_xlfn.NUMBERVALUE(CompilDonnées[[#This Row],[FarmID]]&amp;CompilDonnées[[#This Row],[ModuleNumber]]&amp;CompilDonnées[[#This Row],[PlantationDate]])</f>
        <v>81645798</v>
      </c>
      <c r="O2958" t="str">
        <f>CompilDonnées[[#This Row],[FarmID]]&amp;CompilDonnées[[#This Row],[ModuleNumber]]</f>
        <v>816</v>
      </c>
      <c r="P2958" t="str">
        <f>CompilDonnées[[#This Row],[Ref_Module]]&amp;CompilDonnées[[#This Row],[HarvestingDate]]</f>
        <v>81645842</v>
      </c>
    </row>
    <row r="2959" spans="1:16">
      <c r="A2959" s="5">
        <v>45798</v>
      </c>
      <c r="B2959">
        <v>88</v>
      </c>
      <c r="C2959" t="s">
        <v>94</v>
      </c>
      <c r="D2959">
        <v>2</v>
      </c>
      <c r="E2959">
        <v>100</v>
      </c>
      <c r="F2959" t="s">
        <v>1</v>
      </c>
      <c r="G2959" s="6">
        <v>45839</v>
      </c>
      <c r="H2959">
        <v>41</v>
      </c>
      <c r="I2959">
        <f>ROUND(CompilDonnées[[#This Row],[CultureDuration_days]]/7,0)</f>
        <v>6</v>
      </c>
      <c r="J2959">
        <v>3608</v>
      </c>
      <c r="K2959" t="str">
        <f>_xlfn.CONCAT(WEEKNUM(CompilDonnées[[#This Row],[PlantationDate]]), " ", YEAR(CompilDonnées[[#This Row],[PlantationDate]]))</f>
        <v>21 2025</v>
      </c>
      <c r="L2959" t="str">
        <f>CONCATENATE(MONTH(CompilDonnées[[#This Row],[PlantationDate]])," ", YEAR(CompilDonnées[[#This Row],[PlantationDate]]))</f>
        <v>5 2025</v>
      </c>
      <c r="M2959" t="str">
        <f>CONCATENATE(MONTH(CompilDonnées[[#This Row],[HarvestingDate]])," ", YEAR(CompilDonnées[[#This Row],[HarvestingDate]]))</f>
        <v>7 2025</v>
      </c>
      <c r="N2959">
        <f>_xlfn.NUMBERVALUE(CompilDonnées[[#This Row],[FarmID]]&amp;CompilDonnées[[#This Row],[ModuleNumber]]&amp;CompilDonnées[[#This Row],[PlantationDate]])</f>
        <v>88245798</v>
      </c>
      <c r="O2959" t="str">
        <f>CompilDonnées[[#This Row],[FarmID]]&amp;CompilDonnées[[#This Row],[ModuleNumber]]</f>
        <v>882</v>
      </c>
      <c r="P2959" t="str">
        <f>CompilDonnées[[#This Row],[Ref_Module]]&amp;CompilDonnées[[#This Row],[HarvestingDate]]</f>
        <v>88245839</v>
      </c>
    </row>
    <row r="2960" spans="1:16">
      <c r="A2960" s="5">
        <v>45798</v>
      </c>
      <c r="B2960">
        <v>105</v>
      </c>
      <c r="C2960" t="s">
        <v>3</v>
      </c>
      <c r="D2960">
        <v>1</v>
      </c>
      <c r="E2960">
        <v>60</v>
      </c>
      <c r="F2960" t="s">
        <v>105</v>
      </c>
      <c r="G2960" s="6">
        <v>45854</v>
      </c>
      <c r="H2960">
        <v>56</v>
      </c>
      <c r="I2960">
        <f>ROUND(CompilDonnées[[#This Row],[CultureDuration_days]]/7,0)</f>
        <v>8</v>
      </c>
      <c r="J2960">
        <v>1000</v>
      </c>
      <c r="K2960" t="str">
        <f>_xlfn.CONCAT(WEEKNUM(CompilDonnées[[#This Row],[PlantationDate]]), " ", YEAR(CompilDonnées[[#This Row],[PlantationDate]]))</f>
        <v>21 2025</v>
      </c>
      <c r="L2960" t="str">
        <f>CONCATENATE(MONTH(CompilDonnées[[#This Row],[PlantationDate]])," ", YEAR(CompilDonnées[[#This Row],[PlantationDate]]))</f>
        <v>5 2025</v>
      </c>
      <c r="M2960" t="str">
        <f>CONCATENATE(MONTH(CompilDonnées[[#This Row],[HarvestingDate]])," ", YEAR(CompilDonnées[[#This Row],[HarvestingDate]]))</f>
        <v>7 2025</v>
      </c>
      <c r="N2960">
        <f>_xlfn.NUMBERVALUE(CompilDonnées[[#This Row],[FarmID]]&amp;CompilDonnées[[#This Row],[ModuleNumber]]&amp;CompilDonnées[[#This Row],[PlantationDate]])</f>
        <v>105145798</v>
      </c>
      <c r="O2960" t="str">
        <f>CompilDonnées[[#This Row],[FarmID]]&amp;CompilDonnées[[#This Row],[ModuleNumber]]</f>
        <v>1051</v>
      </c>
      <c r="P2960" t="str">
        <f>CompilDonnées[[#This Row],[Ref_Module]]&amp;CompilDonnées[[#This Row],[HarvestingDate]]</f>
        <v>105145854</v>
      </c>
    </row>
    <row r="2961" spans="1:16">
      <c r="A2961" s="5">
        <v>45799</v>
      </c>
      <c r="B2961">
        <v>6</v>
      </c>
      <c r="C2961" t="s">
        <v>24</v>
      </c>
      <c r="D2961">
        <v>4</v>
      </c>
      <c r="E2961">
        <v>100</v>
      </c>
      <c r="F2961" t="s">
        <v>1</v>
      </c>
      <c r="G2961" s="6">
        <v>45845</v>
      </c>
      <c r="H2961">
        <v>46</v>
      </c>
      <c r="I2961">
        <f>ROUND(CompilDonnées[[#This Row],[CultureDuration_days]]/7,0)</f>
        <v>7</v>
      </c>
      <c r="J2961">
        <v>3242</v>
      </c>
      <c r="K2961" t="str">
        <f>_xlfn.CONCAT(WEEKNUM(CompilDonnées[[#This Row],[PlantationDate]]), " ", YEAR(CompilDonnées[[#This Row],[PlantationDate]]))</f>
        <v>21 2025</v>
      </c>
      <c r="L2961" t="str">
        <f>CONCATENATE(MONTH(CompilDonnées[[#This Row],[PlantationDate]])," ", YEAR(CompilDonnées[[#This Row],[PlantationDate]]))</f>
        <v>5 2025</v>
      </c>
      <c r="M2961" t="str">
        <f>CONCATENATE(MONTH(CompilDonnées[[#This Row],[HarvestingDate]])," ", YEAR(CompilDonnées[[#This Row],[HarvestingDate]]))</f>
        <v>7 2025</v>
      </c>
      <c r="N2961">
        <f>_xlfn.NUMBERVALUE(CompilDonnées[[#This Row],[FarmID]]&amp;CompilDonnées[[#This Row],[ModuleNumber]]&amp;CompilDonnées[[#This Row],[PlantationDate]])</f>
        <v>6445799</v>
      </c>
      <c r="O2961" t="str">
        <f>CompilDonnées[[#This Row],[FarmID]]&amp;CompilDonnées[[#This Row],[ModuleNumber]]</f>
        <v>64</v>
      </c>
      <c r="P2961" t="str">
        <f>CompilDonnées[[#This Row],[Ref_Module]]&amp;CompilDonnées[[#This Row],[HarvestingDate]]</f>
        <v>6445845</v>
      </c>
    </row>
    <row r="2962" spans="1:16">
      <c r="A2962" s="5">
        <v>45799</v>
      </c>
      <c r="B2962">
        <v>5</v>
      </c>
      <c r="C2962" t="s">
        <v>32</v>
      </c>
      <c r="D2962">
        <v>3</v>
      </c>
      <c r="E2962">
        <v>100</v>
      </c>
      <c r="F2962" t="s">
        <v>1</v>
      </c>
      <c r="G2962" s="6">
        <v>45842</v>
      </c>
      <c r="H2962">
        <v>43</v>
      </c>
      <c r="I2962">
        <f>ROUND(CompilDonnées[[#This Row],[CultureDuration_days]]/7,0)</f>
        <v>6</v>
      </c>
      <c r="J2962">
        <v>2685</v>
      </c>
      <c r="K2962" t="str">
        <f>_xlfn.CONCAT(WEEKNUM(CompilDonnées[[#This Row],[PlantationDate]]), " ", YEAR(CompilDonnées[[#This Row],[PlantationDate]]))</f>
        <v>21 2025</v>
      </c>
      <c r="L2962" t="str">
        <f>CONCATENATE(MONTH(CompilDonnées[[#This Row],[PlantationDate]])," ", YEAR(CompilDonnées[[#This Row],[PlantationDate]]))</f>
        <v>5 2025</v>
      </c>
      <c r="M2962" t="str">
        <f>CONCATENATE(MONTH(CompilDonnées[[#This Row],[HarvestingDate]])," ", YEAR(CompilDonnées[[#This Row],[HarvestingDate]]))</f>
        <v>7 2025</v>
      </c>
      <c r="N2962">
        <f>_xlfn.NUMBERVALUE(CompilDonnées[[#This Row],[FarmID]]&amp;CompilDonnées[[#This Row],[ModuleNumber]]&amp;CompilDonnées[[#This Row],[PlantationDate]])</f>
        <v>5345799</v>
      </c>
      <c r="O2962" t="str">
        <f>CompilDonnées[[#This Row],[FarmID]]&amp;CompilDonnées[[#This Row],[ModuleNumber]]</f>
        <v>53</v>
      </c>
      <c r="P2962" t="str">
        <f>CompilDonnées[[#This Row],[Ref_Module]]&amp;CompilDonnées[[#This Row],[HarvestingDate]]</f>
        <v>5345842</v>
      </c>
    </row>
    <row r="2963" spans="1:16">
      <c r="A2963" s="5">
        <v>45799</v>
      </c>
      <c r="B2963">
        <v>4</v>
      </c>
      <c r="C2963" t="s">
        <v>74</v>
      </c>
      <c r="D2963">
        <v>1</v>
      </c>
      <c r="E2963">
        <v>100</v>
      </c>
      <c r="F2963" t="s">
        <v>1</v>
      </c>
      <c r="G2963" s="6">
        <v>45829</v>
      </c>
      <c r="H2963">
        <v>30</v>
      </c>
      <c r="I2963">
        <f>ROUND(CompilDonnées[[#This Row],[CultureDuration_days]]/7,0)</f>
        <v>4</v>
      </c>
      <c r="J2963">
        <v>1758</v>
      </c>
      <c r="K2963" t="str">
        <f>_xlfn.CONCAT(WEEKNUM(CompilDonnées[[#This Row],[PlantationDate]]), " ", YEAR(CompilDonnées[[#This Row],[PlantationDate]]))</f>
        <v>21 2025</v>
      </c>
      <c r="L2963" t="str">
        <f>CONCATENATE(MONTH(CompilDonnées[[#This Row],[PlantationDate]])," ", YEAR(CompilDonnées[[#This Row],[PlantationDate]]))</f>
        <v>5 2025</v>
      </c>
      <c r="M2963" t="str">
        <f>CONCATENATE(MONTH(CompilDonnées[[#This Row],[HarvestingDate]])," ", YEAR(CompilDonnées[[#This Row],[HarvestingDate]]))</f>
        <v>6 2025</v>
      </c>
      <c r="N2963">
        <f>_xlfn.NUMBERVALUE(CompilDonnées[[#This Row],[FarmID]]&amp;CompilDonnées[[#This Row],[ModuleNumber]]&amp;CompilDonnées[[#This Row],[PlantationDate]])</f>
        <v>4145799</v>
      </c>
      <c r="O2963" t="str">
        <f>CompilDonnées[[#This Row],[FarmID]]&amp;CompilDonnées[[#This Row],[ModuleNumber]]</f>
        <v>41</v>
      </c>
      <c r="P2963" t="str">
        <f>CompilDonnées[[#This Row],[Ref_Module]]&amp;CompilDonnées[[#This Row],[HarvestingDate]]</f>
        <v>4145829</v>
      </c>
    </row>
    <row r="2964" spans="1:16">
      <c r="A2964" s="5">
        <v>45799</v>
      </c>
      <c r="B2964">
        <v>16</v>
      </c>
      <c r="C2964" t="s">
        <v>112</v>
      </c>
      <c r="D2964">
        <v>6</v>
      </c>
      <c r="E2964">
        <v>100</v>
      </c>
      <c r="F2964" t="s">
        <v>1</v>
      </c>
      <c r="G2964" s="6">
        <v>45845</v>
      </c>
      <c r="H2964">
        <v>46</v>
      </c>
      <c r="I2964">
        <f>ROUND(CompilDonnées[[#This Row],[CultureDuration_days]]/7,0)</f>
        <v>7</v>
      </c>
      <c r="J2964">
        <v>3539</v>
      </c>
      <c r="K2964" t="str">
        <f>_xlfn.CONCAT(WEEKNUM(CompilDonnées[[#This Row],[PlantationDate]]), " ", YEAR(CompilDonnées[[#This Row],[PlantationDate]]))</f>
        <v>21 2025</v>
      </c>
      <c r="L2964" t="str">
        <f>CONCATENATE(MONTH(CompilDonnées[[#This Row],[PlantationDate]])," ", YEAR(CompilDonnées[[#This Row],[PlantationDate]]))</f>
        <v>5 2025</v>
      </c>
      <c r="M2964" t="str">
        <f>CONCATENATE(MONTH(CompilDonnées[[#This Row],[HarvestingDate]])," ", YEAR(CompilDonnées[[#This Row],[HarvestingDate]]))</f>
        <v>7 2025</v>
      </c>
      <c r="N2964">
        <f>_xlfn.NUMBERVALUE(CompilDonnées[[#This Row],[FarmID]]&amp;CompilDonnées[[#This Row],[ModuleNumber]]&amp;CompilDonnées[[#This Row],[PlantationDate]])</f>
        <v>16645799</v>
      </c>
      <c r="O2964" t="str">
        <f>CompilDonnées[[#This Row],[FarmID]]&amp;CompilDonnées[[#This Row],[ModuleNumber]]</f>
        <v>166</v>
      </c>
      <c r="P2964" t="str">
        <f>CompilDonnées[[#This Row],[Ref_Module]]&amp;CompilDonnées[[#This Row],[HarvestingDate]]</f>
        <v>16645845</v>
      </c>
    </row>
    <row r="2965" spans="1:16">
      <c r="A2965" s="5">
        <v>45799</v>
      </c>
      <c r="B2965">
        <v>15</v>
      </c>
      <c r="C2965" t="s">
        <v>5</v>
      </c>
      <c r="D2965">
        <v>6</v>
      </c>
      <c r="E2965">
        <v>100</v>
      </c>
      <c r="F2965" t="s">
        <v>1</v>
      </c>
      <c r="G2965" s="6">
        <v>45843</v>
      </c>
      <c r="H2965">
        <v>44</v>
      </c>
      <c r="I2965">
        <f>ROUND(CompilDonnées[[#This Row],[CultureDuration_days]]/7,0)</f>
        <v>6</v>
      </c>
      <c r="J2965">
        <v>2551</v>
      </c>
      <c r="K2965" t="str">
        <f>_xlfn.CONCAT(WEEKNUM(CompilDonnées[[#This Row],[PlantationDate]]), " ", YEAR(CompilDonnées[[#This Row],[PlantationDate]]))</f>
        <v>21 2025</v>
      </c>
      <c r="L2965" t="str">
        <f>CONCATENATE(MONTH(CompilDonnées[[#This Row],[PlantationDate]])," ", YEAR(CompilDonnées[[#This Row],[PlantationDate]]))</f>
        <v>5 2025</v>
      </c>
      <c r="M2965" t="str">
        <f>CONCATENATE(MONTH(CompilDonnées[[#This Row],[HarvestingDate]])," ", YEAR(CompilDonnées[[#This Row],[HarvestingDate]]))</f>
        <v>7 2025</v>
      </c>
      <c r="N2965">
        <f>_xlfn.NUMBERVALUE(CompilDonnées[[#This Row],[FarmID]]&amp;CompilDonnées[[#This Row],[ModuleNumber]]&amp;CompilDonnées[[#This Row],[PlantationDate]])</f>
        <v>15645799</v>
      </c>
      <c r="O2965" t="str">
        <f>CompilDonnées[[#This Row],[FarmID]]&amp;CompilDonnées[[#This Row],[ModuleNumber]]</f>
        <v>156</v>
      </c>
      <c r="P2965" t="str">
        <f>CompilDonnées[[#This Row],[Ref_Module]]&amp;CompilDonnées[[#This Row],[HarvestingDate]]</f>
        <v>15645843</v>
      </c>
    </row>
    <row r="2966" spans="1:16">
      <c r="A2966" s="5">
        <v>45799</v>
      </c>
      <c r="B2966">
        <v>38</v>
      </c>
      <c r="C2966" t="s">
        <v>34</v>
      </c>
      <c r="D2966">
        <v>2</v>
      </c>
      <c r="E2966">
        <v>100</v>
      </c>
      <c r="F2966" t="s">
        <v>1</v>
      </c>
      <c r="G2966" s="6">
        <v>45844</v>
      </c>
      <c r="H2966">
        <v>45</v>
      </c>
      <c r="I2966">
        <f>ROUND(CompilDonnées[[#This Row],[CultureDuration_days]]/7,0)</f>
        <v>6</v>
      </c>
      <c r="J2966">
        <v>3628</v>
      </c>
      <c r="K2966" t="str">
        <f>_xlfn.CONCAT(WEEKNUM(CompilDonnées[[#This Row],[PlantationDate]]), " ", YEAR(CompilDonnées[[#This Row],[PlantationDate]]))</f>
        <v>21 2025</v>
      </c>
      <c r="L2966" t="str">
        <f>CONCATENATE(MONTH(CompilDonnées[[#This Row],[PlantationDate]])," ", YEAR(CompilDonnées[[#This Row],[PlantationDate]]))</f>
        <v>5 2025</v>
      </c>
      <c r="M2966" t="str">
        <f>CONCATENATE(MONTH(CompilDonnées[[#This Row],[HarvestingDate]])," ", YEAR(CompilDonnées[[#This Row],[HarvestingDate]]))</f>
        <v>7 2025</v>
      </c>
      <c r="N2966">
        <f>_xlfn.NUMBERVALUE(CompilDonnées[[#This Row],[FarmID]]&amp;CompilDonnées[[#This Row],[ModuleNumber]]&amp;CompilDonnées[[#This Row],[PlantationDate]])</f>
        <v>38245799</v>
      </c>
      <c r="O2966" t="str">
        <f>CompilDonnées[[#This Row],[FarmID]]&amp;CompilDonnées[[#This Row],[ModuleNumber]]</f>
        <v>382</v>
      </c>
      <c r="P2966" t="str">
        <f>CompilDonnées[[#This Row],[Ref_Module]]&amp;CompilDonnées[[#This Row],[HarvestingDate]]</f>
        <v>38245844</v>
      </c>
    </row>
    <row r="2967" spans="1:16">
      <c r="A2967" s="5">
        <v>45799</v>
      </c>
      <c r="B2967">
        <v>30</v>
      </c>
      <c r="C2967" t="s">
        <v>4</v>
      </c>
      <c r="D2967">
        <v>1</v>
      </c>
      <c r="E2967">
        <v>100</v>
      </c>
      <c r="F2967" t="s">
        <v>1</v>
      </c>
      <c r="G2967" s="6">
        <v>45825</v>
      </c>
      <c r="H2967">
        <v>26</v>
      </c>
      <c r="I2967">
        <f>ROUND(CompilDonnées[[#This Row],[CultureDuration_days]]/7,0)</f>
        <v>4</v>
      </c>
      <c r="J2967">
        <v>1093</v>
      </c>
      <c r="K2967" t="str">
        <f>_xlfn.CONCAT(WEEKNUM(CompilDonnées[[#This Row],[PlantationDate]]), " ", YEAR(CompilDonnées[[#This Row],[PlantationDate]]))</f>
        <v>21 2025</v>
      </c>
      <c r="L2967" t="str">
        <f>CONCATENATE(MONTH(CompilDonnées[[#This Row],[PlantationDate]])," ", YEAR(CompilDonnées[[#This Row],[PlantationDate]]))</f>
        <v>5 2025</v>
      </c>
      <c r="M2967" t="str">
        <f>CONCATENATE(MONTH(CompilDonnées[[#This Row],[HarvestingDate]])," ", YEAR(CompilDonnées[[#This Row],[HarvestingDate]]))</f>
        <v>6 2025</v>
      </c>
      <c r="N2967">
        <f>_xlfn.NUMBERVALUE(CompilDonnées[[#This Row],[FarmID]]&amp;CompilDonnées[[#This Row],[ModuleNumber]]&amp;CompilDonnées[[#This Row],[PlantationDate]])</f>
        <v>30145799</v>
      </c>
      <c r="O2967" t="str">
        <f>CompilDonnées[[#This Row],[FarmID]]&amp;CompilDonnées[[#This Row],[ModuleNumber]]</f>
        <v>301</v>
      </c>
      <c r="P2967" t="str">
        <f>CompilDonnées[[#This Row],[Ref_Module]]&amp;CompilDonnées[[#This Row],[HarvestingDate]]</f>
        <v>30145825</v>
      </c>
    </row>
    <row r="2968" spans="1:16">
      <c r="A2968" s="5">
        <v>45799</v>
      </c>
      <c r="B2968">
        <v>37</v>
      </c>
      <c r="C2968" t="s">
        <v>26</v>
      </c>
      <c r="D2968">
        <v>1</v>
      </c>
      <c r="E2968">
        <v>100</v>
      </c>
      <c r="F2968" t="s">
        <v>1</v>
      </c>
      <c r="G2968" s="6">
        <v>45844</v>
      </c>
      <c r="H2968">
        <v>45</v>
      </c>
      <c r="I2968">
        <f>ROUND(CompilDonnées[[#This Row],[CultureDuration_days]]/7,0)</f>
        <v>6</v>
      </c>
      <c r="J2968">
        <v>3608</v>
      </c>
      <c r="K2968" t="str">
        <f>_xlfn.CONCAT(WEEKNUM(CompilDonnées[[#This Row],[PlantationDate]]), " ", YEAR(CompilDonnées[[#This Row],[PlantationDate]]))</f>
        <v>21 2025</v>
      </c>
      <c r="L2968" t="str">
        <f>CONCATENATE(MONTH(CompilDonnées[[#This Row],[PlantationDate]])," ", YEAR(CompilDonnées[[#This Row],[PlantationDate]]))</f>
        <v>5 2025</v>
      </c>
      <c r="M2968" t="str">
        <f>CONCATENATE(MONTH(CompilDonnées[[#This Row],[HarvestingDate]])," ", YEAR(CompilDonnées[[#This Row],[HarvestingDate]]))</f>
        <v>7 2025</v>
      </c>
      <c r="N2968">
        <f>_xlfn.NUMBERVALUE(CompilDonnées[[#This Row],[FarmID]]&amp;CompilDonnées[[#This Row],[ModuleNumber]]&amp;CompilDonnées[[#This Row],[PlantationDate]])</f>
        <v>37145799</v>
      </c>
      <c r="O2968" t="str">
        <f>CompilDonnées[[#This Row],[FarmID]]&amp;CompilDonnées[[#This Row],[ModuleNumber]]</f>
        <v>371</v>
      </c>
      <c r="P2968" t="str">
        <f>CompilDonnées[[#This Row],[Ref_Module]]&amp;CompilDonnées[[#This Row],[HarvestingDate]]</f>
        <v>37145844</v>
      </c>
    </row>
    <row r="2969" spans="1:16">
      <c r="A2969" s="5">
        <v>45799</v>
      </c>
      <c r="B2969">
        <v>41</v>
      </c>
      <c r="C2969" t="s">
        <v>70</v>
      </c>
      <c r="D2969">
        <v>5</v>
      </c>
      <c r="E2969">
        <v>100</v>
      </c>
      <c r="F2969" t="s">
        <v>1</v>
      </c>
      <c r="G2969" s="6">
        <v>45844</v>
      </c>
      <c r="H2969">
        <v>45</v>
      </c>
      <c r="I2969">
        <f>ROUND(CompilDonnées[[#This Row],[CultureDuration_days]]/7,0)</f>
        <v>6</v>
      </c>
      <c r="J2969">
        <v>3125</v>
      </c>
      <c r="K2969" t="str">
        <f>_xlfn.CONCAT(WEEKNUM(CompilDonnées[[#This Row],[PlantationDate]]), " ", YEAR(CompilDonnées[[#This Row],[PlantationDate]]))</f>
        <v>21 2025</v>
      </c>
      <c r="L2969" t="str">
        <f>CONCATENATE(MONTH(CompilDonnées[[#This Row],[PlantationDate]])," ", YEAR(CompilDonnées[[#This Row],[PlantationDate]]))</f>
        <v>5 2025</v>
      </c>
      <c r="M2969" t="str">
        <f>CONCATENATE(MONTH(CompilDonnées[[#This Row],[HarvestingDate]])," ", YEAR(CompilDonnées[[#This Row],[HarvestingDate]]))</f>
        <v>7 2025</v>
      </c>
      <c r="N2969">
        <f>_xlfn.NUMBERVALUE(CompilDonnées[[#This Row],[FarmID]]&amp;CompilDonnées[[#This Row],[ModuleNumber]]&amp;CompilDonnées[[#This Row],[PlantationDate]])</f>
        <v>41545799</v>
      </c>
      <c r="O2969" t="str">
        <f>CompilDonnées[[#This Row],[FarmID]]&amp;CompilDonnées[[#This Row],[ModuleNumber]]</f>
        <v>415</v>
      </c>
      <c r="P2969" t="str">
        <f>CompilDonnées[[#This Row],[Ref_Module]]&amp;CompilDonnées[[#This Row],[HarvestingDate]]</f>
        <v>41545844</v>
      </c>
    </row>
    <row r="2970" spans="1:16">
      <c r="A2970" s="5">
        <v>45799</v>
      </c>
      <c r="B2970">
        <v>44</v>
      </c>
      <c r="C2970" t="s">
        <v>42</v>
      </c>
      <c r="D2970">
        <v>3</v>
      </c>
      <c r="E2970">
        <v>100</v>
      </c>
      <c r="F2970" t="s">
        <v>1</v>
      </c>
      <c r="G2970" s="6">
        <v>45826</v>
      </c>
      <c r="H2970">
        <v>27</v>
      </c>
      <c r="I2970">
        <f>ROUND(CompilDonnées[[#This Row],[CultureDuration_days]]/7,0)</f>
        <v>4</v>
      </c>
      <c r="J2970">
        <v>2041</v>
      </c>
      <c r="K2970" t="str">
        <f>_xlfn.CONCAT(WEEKNUM(CompilDonnées[[#This Row],[PlantationDate]]), " ", YEAR(CompilDonnées[[#This Row],[PlantationDate]]))</f>
        <v>21 2025</v>
      </c>
      <c r="L2970" t="str">
        <f>CONCATENATE(MONTH(CompilDonnées[[#This Row],[PlantationDate]])," ", YEAR(CompilDonnées[[#This Row],[PlantationDate]]))</f>
        <v>5 2025</v>
      </c>
      <c r="M2970" t="str">
        <f>CONCATENATE(MONTH(CompilDonnées[[#This Row],[HarvestingDate]])," ", YEAR(CompilDonnées[[#This Row],[HarvestingDate]]))</f>
        <v>6 2025</v>
      </c>
      <c r="N2970">
        <f>_xlfn.NUMBERVALUE(CompilDonnées[[#This Row],[FarmID]]&amp;CompilDonnées[[#This Row],[ModuleNumber]]&amp;CompilDonnées[[#This Row],[PlantationDate]])</f>
        <v>44345799</v>
      </c>
      <c r="O2970" t="str">
        <f>CompilDonnées[[#This Row],[FarmID]]&amp;CompilDonnées[[#This Row],[ModuleNumber]]</f>
        <v>443</v>
      </c>
      <c r="P2970" t="str">
        <f>CompilDonnées[[#This Row],[Ref_Module]]&amp;CompilDonnées[[#This Row],[HarvestingDate]]</f>
        <v>44345826</v>
      </c>
    </row>
    <row r="2971" spans="1:16">
      <c r="A2971" s="5">
        <v>45799</v>
      </c>
      <c r="B2971">
        <v>29</v>
      </c>
      <c r="C2971" t="s">
        <v>2</v>
      </c>
      <c r="D2971">
        <v>4</v>
      </c>
      <c r="E2971">
        <v>100</v>
      </c>
      <c r="F2971" t="s">
        <v>1</v>
      </c>
      <c r="G2971" s="6">
        <v>45827</v>
      </c>
      <c r="H2971">
        <v>28</v>
      </c>
      <c r="I2971">
        <f>ROUND(CompilDonnées[[#This Row],[CultureDuration_days]]/7,0)</f>
        <v>4</v>
      </c>
      <c r="J2971">
        <v>0</v>
      </c>
      <c r="K2971" t="str">
        <f>_xlfn.CONCAT(WEEKNUM(CompilDonnées[[#This Row],[PlantationDate]]), " ", YEAR(CompilDonnées[[#This Row],[PlantationDate]]))</f>
        <v>21 2025</v>
      </c>
      <c r="L2971" t="str">
        <f>CONCATENATE(MONTH(CompilDonnées[[#This Row],[PlantationDate]])," ", YEAR(CompilDonnées[[#This Row],[PlantationDate]]))</f>
        <v>5 2025</v>
      </c>
      <c r="M2971" t="str">
        <f>CONCATENATE(MONTH(CompilDonnées[[#This Row],[HarvestingDate]])," ", YEAR(CompilDonnées[[#This Row],[HarvestingDate]]))</f>
        <v>6 2025</v>
      </c>
      <c r="N2971">
        <f>_xlfn.NUMBERVALUE(CompilDonnées[[#This Row],[FarmID]]&amp;CompilDonnées[[#This Row],[ModuleNumber]]&amp;CompilDonnées[[#This Row],[PlantationDate]])</f>
        <v>29445799</v>
      </c>
      <c r="O2971" t="str">
        <f>CompilDonnées[[#This Row],[FarmID]]&amp;CompilDonnées[[#This Row],[ModuleNumber]]</f>
        <v>294</v>
      </c>
      <c r="P2971" t="str">
        <f>CompilDonnées[[#This Row],[Ref_Module]]&amp;CompilDonnées[[#This Row],[HarvestingDate]]</f>
        <v>29445827</v>
      </c>
    </row>
    <row r="2972" spans="1:16">
      <c r="A2972" s="5">
        <v>45799</v>
      </c>
      <c r="B2972">
        <v>22</v>
      </c>
      <c r="C2972" t="s">
        <v>43</v>
      </c>
      <c r="D2972">
        <v>4</v>
      </c>
      <c r="E2972">
        <v>100</v>
      </c>
      <c r="F2972" t="s">
        <v>1</v>
      </c>
      <c r="G2972" s="6">
        <v>45844</v>
      </c>
      <c r="H2972">
        <v>45</v>
      </c>
      <c r="I2972">
        <f>ROUND(CompilDonnées[[#This Row],[CultureDuration_days]]/7,0)</f>
        <v>6</v>
      </c>
      <c r="J2972">
        <v>3925</v>
      </c>
      <c r="K2972" t="str">
        <f>_xlfn.CONCAT(WEEKNUM(CompilDonnées[[#This Row],[PlantationDate]]), " ", YEAR(CompilDonnées[[#This Row],[PlantationDate]]))</f>
        <v>21 2025</v>
      </c>
      <c r="L2972" t="str">
        <f>CONCATENATE(MONTH(CompilDonnées[[#This Row],[PlantationDate]])," ", YEAR(CompilDonnées[[#This Row],[PlantationDate]]))</f>
        <v>5 2025</v>
      </c>
      <c r="M2972" t="str">
        <f>CONCATENATE(MONTH(CompilDonnées[[#This Row],[HarvestingDate]])," ", YEAR(CompilDonnées[[#This Row],[HarvestingDate]]))</f>
        <v>7 2025</v>
      </c>
      <c r="N2972">
        <f>_xlfn.NUMBERVALUE(CompilDonnées[[#This Row],[FarmID]]&amp;CompilDonnées[[#This Row],[ModuleNumber]]&amp;CompilDonnées[[#This Row],[PlantationDate]])</f>
        <v>22445799</v>
      </c>
      <c r="O2972" t="str">
        <f>CompilDonnées[[#This Row],[FarmID]]&amp;CompilDonnées[[#This Row],[ModuleNumber]]</f>
        <v>224</v>
      </c>
      <c r="P2972" t="str">
        <f>CompilDonnées[[#This Row],[Ref_Module]]&amp;CompilDonnées[[#This Row],[HarvestingDate]]</f>
        <v>22445844</v>
      </c>
    </row>
    <row r="2973" spans="1:16">
      <c r="A2973" s="5">
        <v>45799</v>
      </c>
      <c r="B2973">
        <v>33</v>
      </c>
      <c r="C2973" t="s">
        <v>104</v>
      </c>
      <c r="D2973">
        <v>2</v>
      </c>
      <c r="E2973">
        <v>100</v>
      </c>
      <c r="F2973" t="s">
        <v>1</v>
      </c>
      <c r="G2973" s="6">
        <v>45825</v>
      </c>
      <c r="H2973">
        <v>26</v>
      </c>
      <c r="I2973">
        <f>ROUND(CompilDonnées[[#This Row],[CultureDuration_days]]/7,0)</f>
        <v>4</v>
      </c>
      <c r="J2973">
        <v>0</v>
      </c>
      <c r="K2973" t="str">
        <f>_xlfn.CONCAT(WEEKNUM(CompilDonnées[[#This Row],[PlantationDate]]), " ", YEAR(CompilDonnées[[#This Row],[PlantationDate]]))</f>
        <v>21 2025</v>
      </c>
      <c r="L2973" t="str">
        <f>CONCATENATE(MONTH(CompilDonnées[[#This Row],[PlantationDate]])," ", YEAR(CompilDonnées[[#This Row],[PlantationDate]]))</f>
        <v>5 2025</v>
      </c>
      <c r="M2973" t="str">
        <f>CONCATENATE(MONTH(CompilDonnées[[#This Row],[HarvestingDate]])," ", YEAR(CompilDonnées[[#This Row],[HarvestingDate]]))</f>
        <v>6 2025</v>
      </c>
      <c r="N2973">
        <f>_xlfn.NUMBERVALUE(CompilDonnées[[#This Row],[FarmID]]&amp;CompilDonnées[[#This Row],[ModuleNumber]]&amp;CompilDonnées[[#This Row],[PlantationDate]])</f>
        <v>33245799</v>
      </c>
      <c r="O2973" t="str">
        <f>CompilDonnées[[#This Row],[FarmID]]&amp;CompilDonnées[[#This Row],[ModuleNumber]]</f>
        <v>332</v>
      </c>
      <c r="P2973" t="str">
        <f>CompilDonnées[[#This Row],[Ref_Module]]&amp;CompilDonnées[[#This Row],[HarvestingDate]]</f>
        <v>33245825</v>
      </c>
    </row>
    <row r="2974" spans="1:16">
      <c r="A2974" s="5">
        <v>45799</v>
      </c>
      <c r="B2974">
        <v>54</v>
      </c>
      <c r="C2974" t="s">
        <v>39</v>
      </c>
      <c r="D2974">
        <v>6</v>
      </c>
      <c r="E2974">
        <v>100</v>
      </c>
      <c r="F2974" t="s">
        <v>1</v>
      </c>
      <c r="G2974" s="6">
        <v>45844</v>
      </c>
      <c r="H2974">
        <v>45</v>
      </c>
      <c r="I2974">
        <f>ROUND(CompilDonnées[[#This Row],[CultureDuration_days]]/7,0)</f>
        <v>6</v>
      </c>
      <c r="J2974">
        <v>2768</v>
      </c>
      <c r="K2974" t="str">
        <f>_xlfn.CONCAT(WEEKNUM(CompilDonnées[[#This Row],[PlantationDate]]), " ", YEAR(CompilDonnées[[#This Row],[PlantationDate]]))</f>
        <v>21 2025</v>
      </c>
      <c r="L2974" t="str">
        <f>CONCATENATE(MONTH(CompilDonnées[[#This Row],[PlantationDate]])," ", YEAR(CompilDonnées[[#This Row],[PlantationDate]]))</f>
        <v>5 2025</v>
      </c>
      <c r="M2974" t="str">
        <f>CONCATENATE(MONTH(CompilDonnées[[#This Row],[HarvestingDate]])," ", YEAR(CompilDonnées[[#This Row],[HarvestingDate]]))</f>
        <v>7 2025</v>
      </c>
      <c r="N2974">
        <f>_xlfn.NUMBERVALUE(CompilDonnées[[#This Row],[FarmID]]&amp;CompilDonnées[[#This Row],[ModuleNumber]]&amp;CompilDonnées[[#This Row],[PlantationDate]])</f>
        <v>54645799</v>
      </c>
      <c r="O2974" t="str">
        <f>CompilDonnées[[#This Row],[FarmID]]&amp;CompilDonnées[[#This Row],[ModuleNumber]]</f>
        <v>546</v>
      </c>
      <c r="P2974" t="str">
        <f>CompilDonnées[[#This Row],[Ref_Module]]&amp;CompilDonnées[[#This Row],[HarvestingDate]]</f>
        <v>54645844</v>
      </c>
    </row>
    <row r="2975" spans="1:16">
      <c r="A2975" s="5">
        <v>45799</v>
      </c>
      <c r="B2975">
        <v>26</v>
      </c>
      <c r="C2975" t="s">
        <v>97</v>
      </c>
      <c r="D2975">
        <v>5</v>
      </c>
      <c r="E2975">
        <v>100</v>
      </c>
      <c r="F2975" t="s">
        <v>1</v>
      </c>
      <c r="G2975" s="6">
        <v>45844</v>
      </c>
      <c r="H2975">
        <v>45</v>
      </c>
      <c r="I2975">
        <f>ROUND(CompilDonnées[[#This Row],[CultureDuration_days]]/7,0)</f>
        <v>6</v>
      </c>
      <c r="J2975">
        <v>2179</v>
      </c>
      <c r="K2975" t="str">
        <f>_xlfn.CONCAT(WEEKNUM(CompilDonnées[[#This Row],[PlantationDate]]), " ", YEAR(CompilDonnées[[#This Row],[PlantationDate]]))</f>
        <v>21 2025</v>
      </c>
      <c r="L2975" t="str">
        <f>CONCATENATE(MONTH(CompilDonnées[[#This Row],[PlantationDate]])," ", YEAR(CompilDonnées[[#This Row],[PlantationDate]]))</f>
        <v>5 2025</v>
      </c>
      <c r="M2975" t="str">
        <f>CONCATENATE(MONTH(CompilDonnées[[#This Row],[HarvestingDate]])," ", YEAR(CompilDonnées[[#This Row],[HarvestingDate]]))</f>
        <v>7 2025</v>
      </c>
      <c r="N2975">
        <f>_xlfn.NUMBERVALUE(CompilDonnées[[#This Row],[FarmID]]&amp;CompilDonnées[[#This Row],[ModuleNumber]]&amp;CompilDonnées[[#This Row],[PlantationDate]])</f>
        <v>26545799</v>
      </c>
      <c r="O2975" t="str">
        <f>CompilDonnées[[#This Row],[FarmID]]&amp;CompilDonnées[[#This Row],[ModuleNumber]]</f>
        <v>265</v>
      </c>
      <c r="P2975" t="str">
        <f>CompilDonnées[[#This Row],[Ref_Module]]&amp;CompilDonnées[[#This Row],[HarvestingDate]]</f>
        <v>26545844</v>
      </c>
    </row>
    <row r="2976" spans="1:16">
      <c r="A2976" s="5">
        <v>45799</v>
      </c>
      <c r="B2976">
        <v>40</v>
      </c>
      <c r="C2976" t="s">
        <v>82</v>
      </c>
      <c r="D2976">
        <v>6</v>
      </c>
      <c r="E2976">
        <v>100</v>
      </c>
      <c r="F2976" t="s">
        <v>1</v>
      </c>
      <c r="G2976" s="6">
        <v>45825</v>
      </c>
      <c r="H2976">
        <v>26</v>
      </c>
      <c r="I2976">
        <f>ROUND(CompilDonnées[[#This Row],[CultureDuration_days]]/7,0)</f>
        <v>4</v>
      </c>
      <c r="J2976">
        <v>0</v>
      </c>
      <c r="K2976" t="str">
        <f>_xlfn.CONCAT(WEEKNUM(CompilDonnées[[#This Row],[PlantationDate]]), " ", YEAR(CompilDonnées[[#This Row],[PlantationDate]]))</f>
        <v>21 2025</v>
      </c>
      <c r="L2976" t="str">
        <f>CONCATENATE(MONTH(CompilDonnées[[#This Row],[PlantationDate]])," ", YEAR(CompilDonnées[[#This Row],[PlantationDate]]))</f>
        <v>5 2025</v>
      </c>
      <c r="M2976" t="str">
        <f>CONCATENATE(MONTH(CompilDonnées[[#This Row],[HarvestingDate]])," ", YEAR(CompilDonnées[[#This Row],[HarvestingDate]]))</f>
        <v>6 2025</v>
      </c>
      <c r="N2976">
        <f>_xlfn.NUMBERVALUE(CompilDonnées[[#This Row],[FarmID]]&amp;CompilDonnées[[#This Row],[ModuleNumber]]&amp;CompilDonnées[[#This Row],[PlantationDate]])</f>
        <v>40645799</v>
      </c>
      <c r="O2976" t="str">
        <f>CompilDonnées[[#This Row],[FarmID]]&amp;CompilDonnées[[#This Row],[ModuleNumber]]</f>
        <v>406</v>
      </c>
      <c r="P2976" t="str">
        <f>CompilDonnées[[#This Row],[Ref_Module]]&amp;CompilDonnées[[#This Row],[HarvestingDate]]</f>
        <v>40645825</v>
      </c>
    </row>
    <row r="2977" spans="1:16">
      <c r="A2977" s="5">
        <v>45799</v>
      </c>
      <c r="B2977">
        <v>46</v>
      </c>
      <c r="C2977" t="s">
        <v>8</v>
      </c>
      <c r="D2977">
        <v>6</v>
      </c>
      <c r="E2977">
        <v>100</v>
      </c>
      <c r="F2977" t="s">
        <v>1</v>
      </c>
      <c r="G2977" s="6">
        <v>45843</v>
      </c>
      <c r="H2977">
        <v>44</v>
      </c>
      <c r="I2977">
        <f>ROUND(CompilDonnées[[#This Row],[CultureDuration_days]]/7,0)</f>
        <v>6</v>
      </c>
      <c r="J2977">
        <v>3129</v>
      </c>
      <c r="K2977" t="str">
        <f>_xlfn.CONCAT(WEEKNUM(CompilDonnées[[#This Row],[PlantationDate]]), " ", YEAR(CompilDonnées[[#This Row],[PlantationDate]]))</f>
        <v>21 2025</v>
      </c>
      <c r="L2977" t="str">
        <f>CONCATENATE(MONTH(CompilDonnées[[#This Row],[PlantationDate]])," ", YEAR(CompilDonnées[[#This Row],[PlantationDate]]))</f>
        <v>5 2025</v>
      </c>
      <c r="M2977" t="str">
        <f>CONCATENATE(MONTH(CompilDonnées[[#This Row],[HarvestingDate]])," ", YEAR(CompilDonnées[[#This Row],[HarvestingDate]]))</f>
        <v>7 2025</v>
      </c>
      <c r="N2977">
        <f>_xlfn.NUMBERVALUE(CompilDonnées[[#This Row],[FarmID]]&amp;CompilDonnées[[#This Row],[ModuleNumber]]&amp;CompilDonnées[[#This Row],[PlantationDate]])</f>
        <v>46645799</v>
      </c>
      <c r="O2977" t="str">
        <f>CompilDonnées[[#This Row],[FarmID]]&amp;CompilDonnées[[#This Row],[ModuleNumber]]</f>
        <v>466</v>
      </c>
      <c r="P2977" t="str">
        <f>CompilDonnées[[#This Row],[Ref_Module]]&amp;CompilDonnées[[#This Row],[HarvestingDate]]</f>
        <v>46645843</v>
      </c>
    </row>
    <row r="2978" spans="1:16">
      <c r="A2978" s="5">
        <v>45799</v>
      </c>
      <c r="B2978">
        <v>53</v>
      </c>
      <c r="C2978" t="s">
        <v>83</v>
      </c>
      <c r="D2978">
        <v>5</v>
      </c>
      <c r="E2978">
        <v>100</v>
      </c>
      <c r="F2978" t="s">
        <v>1</v>
      </c>
      <c r="G2978" s="6">
        <v>45843</v>
      </c>
      <c r="H2978">
        <v>44</v>
      </c>
      <c r="I2978">
        <f>ROUND(CompilDonnées[[#This Row],[CultureDuration_days]]/7,0)</f>
        <v>6</v>
      </c>
      <c r="J2978">
        <v>2883</v>
      </c>
      <c r="K2978" t="str">
        <f>_xlfn.CONCAT(WEEKNUM(CompilDonnées[[#This Row],[PlantationDate]]), " ", YEAR(CompilDonnées[[#This Row],[PlantationDate]]))</f>
        <v>21 2025</v>
      </c>
      <c r="L2978" t="str">
        <f>CONCATENATE(MONTH(CompilDonnées[[#This Row],[PlantationDate]])," ", YEAR(CompilDonnées[[#This Row],[PlantationDate]]))</f>
        <v>5 2025</v>
      </c>
      <c r="M2978" t="str">
        <f>CONCATENATE(MONTH(CompilDonnées[[#This Row],[HarvestingDate]])," ", YEAR(CompilDonnées[[#This Row],[HarvestingDate]]))</f>
        <v>7 2025</v>
      </c>
      <c r="N2978">
        <f>_xlfn.NUMBERVALUE(CompilDonnées[[#This Row],[FarmID]]&amp;CompilDonnées[[#This Row],[ModuleNumber]]&amp;CompilDonnées[[#This Row],[PlantationDate]])</f>
        <v>53545799</v>
      </c>
      <c r="O2978" t="str">
        <f>CompilDonnées[[#This Row],[FarmID]]&amp;CompilDonnées[[#This Row],[ModuleNumber]]</f>
        <v>535</v>
      </c>
      <c r="P2978" t="str">
        <f>CompilDonnées[[#This Row],[Ref_Module]]&amp;CompilDonnées[[#This Row],[HarvestingDate]]</f>
        <v>53545843</v>
      </c>
    </row>
    <row r="2979" spans="1:16">
      <c r="A2979" s="5">
        <v>45799</v>
      </c>
      <c r="B2979">
        <v>60</v>
      </c>
      <c r="C2979" t="s">
        <v>113</v>
      </c>
      <c r="D2979">
        <v>3</v>
      </c>
      <c r="E2979">
        <v>100</v>
      </c>
      <c r="F2979" t="s">
        <v>1</v>
      </c>
      <c r="G2979" s="6">
        <v>45842</v>
      </c>
      <c r="H2979">
        <v>43</v>
      </c>
      <c r="I2979">
        <f>ROUND(CompilDonnées[[#This Row],[CultureDuration_days]]/7,0)</f>
        <v>6</v>
      </c>
      <c r="J2979">
        <v>2498</v>
      </c>
      <c r="K2979" t="str">
        <f>_xlfn.CONCAT(WEEKNUM(CompilDonnées[[#This Row],[PlantationDate]]), " ", YEAR(CompilDonnées[[#This Row],[PlantationDate]]))</f>
        <v>21 2025</v>
      </c>
      <c r="L2979" t="str">
        <f>CONCATENATE(MONTH(CompilDonnées[[#This Row],[PlantationDate]])," ", YEAR(CompilDonnées[[#This Row],[PlantationDate]]))</f>
        <v>5 2025</v>
      </c>
      <c r="M2979" t="str">
        <f>CONCATENATE(MONTH(CompilDonnées[[#This Row],[HarvestingDate]])," ", YEAR(CompilDonnées[[#This Row],[HarvestingDate]]))</f>
        <v>7 2025</v>
      </c>
      <c r="N2979">
        <f>_xlfn.NUMBERVALUE(CompilDonnées[[#This Row],[FarmID]]&amp;CompilDonnées[[#This Row],[ModuleNumber]]&amp;CompilDonnées[[#This Row],[PlantationDate]])</f>
        <v>60345799</v>
      </c>
      <c r="O2979" t="str">
        <f>CompilDonnées[[#This Row],[FarmID]]&amp;CompilDonnées[[#This Row],[ModuleNumber]]</f>
        <v>603</v>
      </c>
      <c r="P2979" t="str">
        <f>CompilDonnées[[#This Row],[Ref_Module]]&amp;CompilDonnées[[#This Row],[HarvestingDate]]</f>
        <v>60345842</v>
      </c>
    </row>
    <row r="2980" spans="1:16">
      <c r="A2980" s="5">
        <v>45799</v>
      </c>
      <c r="B2980">
        <v>61</v>
      </c>
      <c r="C2980" t="s">
        <v>95</v>
      </c>
      <c r="D2980">
        <v>2</v>
      </c>
      <c r="E2980">
        <v>100</v>
      </c>
      <c r="F2980" t="s">
        <v>1</v>
      </c>
      <c r="G2980" s="6">
        <v>45843</v>
      </c>
      <c r="H2980">
        <v>44</v>
      </c>
      <c r="I2980">
        <f>ROUND(CompilDonnées[[#This Row],[CultureDuration_days]]/7,0)</f>
        <v>6</v>
      </c>
      <c r="J2980">
        <v>2313</v>
      </c>
      <c r="K2980" t="str">
        <f>_xlfn.CONCAT(WEEKNUM(CompilDonnées[[#This Row],[PlantationDate]]), " ", YEAR(CompilDonnées[[#This Row],[PlantationDate]]))</f>
        <v>21 2025</v>
      </c>
      <c r="L2980" t="str">
        <f>CONCATENATE(MONTH(CompilDonnées[[#This Row],[PlantationDate]])," ", YEAR(CompilDonnées[[#This Row],[PlantationDate]]))</f>
        <v>5 2025</v>
      </c>
      <c r="M2980" t="str">
        <f>CONCATENATE(MONTH(CompilDonnées[[#This Row],[HarvestingDate]])," ", YEAR(CompilDonnées[[#This Row],[HarvestingDate]]))</f>
        <v>7 2025</v>
      </c>
      <c r="N2980">
        <f>_xlfn.NUMBERVALUE(CompilDonnées[[#This Row],[FarmID]]&amp;CompilDonnées[[#This Row],[ModuleNumber]]&amp;CompilDonnées[[#This Row],[PlantationDate]])</f>
        <v>61245799</v>
      </c>
      <c r="O2980" t="str">
        <f>CompilDonnées[[#This Row],[FarmID]]&amp;CompilDonnées[[#This Row],[ModuleNumber]]</f>
        <v>612</v>
      </c>
      <c r="P2980" t="str">
        <f>CompilDonnées[[#This Row],[Ref_Module]]&amp;CompilDonnées[[#This Row],[HarvestingDate]]</f>
        <v>61245843</v>
      </c>
    </row>
    <row r="2981" spans="1:16">
      <c r="A2981" s="5">
        <v>45799</v>
      </c>
      <c r="B2981">
        <v>63</v>
      </c>
      <c r="C2981" t="s">
        <v>98</v>
      </c>
      <c r="D2981">
        <v>2</v>
      </c>
      <c r="E2981">
        <v>100</v>
      </c>
      <c r="F2981" t="s">
        <v>1</v>
      </c>
      <c r="G2981" s="6">
        <v>45843</v>
      </c>
      <c r="H2981">
        <v>44</v>
      </c>
      <c r="I2981">
        <f>ROUND(CompilDonnées[[#This Row],[CultureDuration_days]]/7,0)</f>
        <v>6</v>
      </c>
      <c r="J2981">
        <v>2226</v>
      </c>
      <c r="K2981" t="str">
        <f>_xlfn.CONCAT(WEEKNUM(CompilDonnées[[#This Row],[PlantationDate]]), " ", YEAR(CompilDonnées[[#This Row],[PlantationDate]]))</f>
        <v>21 2025</v>
      </c>
      <c r="L2981" t="str">
        <f>CONCATENATE(MONTH(CompilDonnées[[#This Row],[PlantationDate]])," ", YEAR(CompilDonnées[[#This Row],[PlantationDate]]))</f>
        <v>5 2025</v>
      </c>
      <c r="M2981" t="str">
        <f>CONCATENATE(MONTH(CompilDonnées[[#This Row],[HarvestingDate]])," ", YEAR(CompilDonnées[[#This Row],[HarvestingDate]]))</f>
        <v>7 2025</v>
      </c>
      <c r="N2981">
        <f>_xlfn.NUMBERVALUE(CompilDonnées[[#This Row],[FarmID]]&amp;CompilDonnées[[#This Row],[ModuleNumber]]&amp;CompilDonnées[[#This Row],[PlantationDate]])</f>
        <v>63245799</v>
      </c>
      <c r="O2981" t="str">
        <f>CompilDonnées[[#This Row],[FarmID]]&amp;CompilDonnées[[#This Row],[ModuleNumber]]</f>
        <v>632</v>
      </c>
      <c r="P2981" t="str">
        <f>CompilDonnées[[#This Row],[Ref_Module]]&amp;CompilDonnées[[#This Row],[HarvestingDate]]</f>
        <v>63245843</v>
      </c>
    </row>
    <row r="2982" spans="1:16">
      <c r="A2982" s="5">
        <v>45799</v>
      </c>
      <c r="B2982">
        <v>69</v>
      </c>
      <c r="C2982" t="s">
        <v>102</v>
      </c>
      <c r="D2982">
        <v>4</v>
      </c>
      <c r="E2982">
        <v>100</v>
      </c>
      <c r="F2982" t="s">
        <v>1</v>
      </c>
      <c r="G2982" s="6">
        <v>45842</v>
      </c>
      <c r="H2982">
        <v>43</v>
      </c>
      <c r="I2982">
        <f>ROUND(CompilDonnées[[#This Row],[CultureDuration_days]]/7,0)</f>
        <v>6</v>
      </c>
      <c r="J2982">
        <v>2052</v>
      </c>
      <c r="K2982" t="str">
        <f>_xlfn.CONCAT(WEEKNUM(CompilDonnées[[#This Row],[PlantationDate]]), " ", YEAR(CompilDonnées[[#This Row],[PlantationDate]]))</f>
        <v>21 2025</v>
      </c>
      <c r="L2982" t="str">
        <f>CONCATENATE(MONTH(CompilDonnées[[#This Row],[PlantationDate]])," ", YEAR(CompilDonnées[[#This Row],[PlantationDate]]))</f>
        <v>5 2025</v>
      </c>
      <c r="M2982" t="str">
        <f>CONCATENATE(MONTH(CompilDonnées[[#This Row],[HarvestingDate]])," ", YEAR(CompilDonnées[[#This Row],[HarvestingDate]]))</f>
        <v>7 2025</v>
      </c>
      <c r="N2982">
        <f>_xlfn.NUMBERVALUE(CompilDonnées[[#This Row],[FarmID]]&amp;CompilDonnées[[#This Row],[ModuleNumber]]&amp;CompilDonnées[[#This Row],[PlantationDate]])</f>
        <v>69445799</v>
      </c>
      <c r="O2982" t="str">
        <f>CompilDonnées[[#This Row],[FarmID]]&amp;CompilDonnées[[#This Row],[ModuleNumber]]</f>
        <v>694</v>
      </c>
      <c r="P2982" t="str">
        <f>CompilDonnées[[#This Row],[Ref_Module]]&amp;CompilDonnées[[#This Row],[HarvestingDate]]</f>
        <v>69445842</v>
      </c>
    </row>
    <row r="2983" spans="1:16">
      <c r="A2983" s="5">
        <v>45799</v>
      </c>
      <c r="B2983">
        <v>70</v>
      </c>
      <c r="C2983" t="s">
        <v>7</v>
      </c>
      <c r="D2983">
        <v>1</v>
      </c>
      <c r="E2983">
        <v>100</v>
      </c>
      <c r="F2983" t="s">
        <v>1</v>
      </c>
      <c r="G2983" s="6">
        <v>45843</v>
      </c>
      <c r="H2983">
        <v>44</v>
      </c>
      <c r="I2983">
        <f>ROUND(CompilDonnées[[#This Row],[CultureDuration_days]]/7,0)</f>
        <v>6</v>
      </c>
      <c r="J2983">
        <v>2646</v>
      </c>
      <c r="K2983" t="str">
        <f>_xlfn.CONCAT(WEEKNUM(CompilDonnées[[#This Row],[PlantationDate]]), " ", YEAR(CompilDonnées[[#This Row],[PlantationDate]]))</f>
        <v>21 2025</v>
      </c>
      <c r="L2983" t="str">
        <f>CONCATENATE(MONTH(CompilDonnées[[#This Row],[PlantationDate]])," ", YEAR(CompilDonnées[[#This Row],[PlantationDate]]))</f>
        <v>5 2025</v>
      </c>
      <c r="M2983" t="str">
        <f>CONCATENATE(MONTH(CompilDonnées[[#This Row],[HarvestingDate]])," ", YEAR(CompilDonnées[[#This Row],[HarvestingDate]]))</f>
        <v>7 2025</v>
      </c>
      <c r="N2983">
        <f>_xlfn.NUMBERVALUE(CompilDonnées[[#This Row],[FarmID]]&amp;CompilDonnées[[#This Row],[ModuleNumber]]&amp;CompilDonnées[[#This Row],[PlantationDate]])</f>
        <v>70145799</v>
      </c>
      <c r="O2983" t="str">
        <f>CompilDonnées[[#This Row],[FarmID]]&amp;CompilDonnées[[#This Row],[ModuleNumber]]</f>
        <v>701</v>
      </c>
      <c r="P2983" t="str">
        <f>CompilDonnées[[#This Row],[Ref_Module]]&amp;CompilDonnées[[#This Row],[HarvestingDate]]</f>
        <v>70145843</v>
      </c>
    </row>
    <row r="2984" spans="1:16">
      <c r="A2984" s="5">
        <v>45799</v>
      </c>
      <c r="B2984">
        <v>88</v>
      </c>
      <c r="C2984" t="s">
        <v>94</v>
      </c>
      <c r="D2984">
        <v>4</v>
      </c>
      <c r="E2984">
        <v>100</v>
      </c>
      <c r="F2984" t="s">
        <v>1</v>
      </c>
      <c r="G2984" s="6">
        <v>45839</v>
      </c>
      <c r="H2984">
        <v>40</v>
      </c>
      <c r="I2984">
        <f>ROUND(CompilDonnées[[#This Row],[CultureDuration_days]]/7,0)</f>
        <v>6</v>
      </c>
      <c r="J2984">
        <v>3828</v>
      </c>
      <c r="K2984" t="str">
        <f>_xlfn.CONCAT(WEEKNUM(CompilDonnées[[#This Row],[PlantationDate]]), " ", YEAR(CompilDonnées[[#This Row],[PlantationDate]]))</f>
        <v>21 2025</v>
      </c>
      <c r="L2984" t="str">
        <f>CONCATENATE(MONTH(CompilDonnées[[#This Row],[PlantationDate]])," ", YEAR(CompilDonnées[[#This Row],[PlantationDate]]))</f>
        <v>5 2025</v>
      </c>
      <c r="M2984" t="str">
        <f>CONCATENATE(MONTH(CompilDonnées[[#This Row],[HarvestingDate]])," ", YEAR(CompilDonnées[[#This Row],[HarvestingDate]]))</f>
        <v>7 2025</v>
      </c>
      <c r="N2984">
        <f>_xlfn.NUMBERVALUE(CompilDonnées[[#This Row],[FarmID]]&amp;CompilDonnées[[#This Row],[ModuleNumber]]&amp;CompilDonnées[[#This Row],[PlantationDate]])</f>
        <v>88445799</v>
      </c>
      <c r="O2984" t="str">
        <f>CompilDonnées[[#This Row],[FarmID]]&amp;CompilDonnées[[#This Row],[ModuleNumber]]</f>
        <v>884</v>
      </c>
      <c r="P2984" t="str">
        <f>CompilDonnées[[#This Row],[Ref_Module]]&amp;CompilDonnées[[#This Row],[HarvestingDate]]</f>
        <v>88445839</v>
      </c>
    </row>
    <row r="2985" spans="1:16">
      <c r="A2985" s="5">
        <v>45799</v>
      </c>
      <c r="B2985">
        <v>91</v>
      </c>
      <c r="C2985" t="s">
        <v>9</v>
      </c>
      <c r="D2985">
        <v>1</v>
      </c>
      <c r="E2985">
        <v>100</v>
      </c>
      <c r="F2985" t="s">
        <v>1</v>
      </c>
      <c r="G2985" s="6">
        <v>45846</v>
      </c>
      <c r="H2985">
        <v>47</v>
      </c>
      <c r="I2985">
        <f>ROUND(CompilDonnées[[#This Row],[CultureDuration_days]]/7,0)</f>
        <v>7</v>
      </c>
      <c r="J2985">
        <v>3015</v>
      </c>
      <c r="K2985" t="str">
        <f>_xlfn.CONCAT(WEEKNUM(CompilDonnées[[#This Row],[PlantationDate]]), " ", YEAR(CompilDonnées[[#This Row],[PlantationDate]]))</f>
        <v>21 2025</v>
      </c>
      <c r="L2985" t="str">
        <f>CONCATENATE(MONTH(CompilDonnées[[#This Row],[PlantationDate]])," ", YEAR(CompilDonnées[[#This Row],[PlantationDate]]))</f>
        <v>5 2025</v>
      </c>
      <c r="M2985" t="str">
        <f>CONCATENATE(MONTH(CompilDonnées[[#This Row],[HarvestingDate]])," ", YEAR(CompilDonnées[[#This Row],[HarvestingDate]]))</f>
        <v>7 2025</v>
      </c>
      <c r="N2985">
        <f>_xlfn.NUMBERVALUE(CompilDonnées[[#This Row],[FarmID]]&amp;CompilDonnées[[#This Row],[ModuleNumber]]&amp;CompilDonnées[[#This Row],[PlantationDate]])</f>
        <v>91145799</v>
      </c>
      <c r="O2985" t="str">
        <f>CompilDonnées[[#This Row],[FarmID]]&amp;CompilDonnées[[#This Row],[ModuleNumber]]</f>
        <v>911</v>
      </c>
      <c r="P2985" t="str">
        <f>CompilDonnées[[#This Row],[Ref_Module]]&amp;CompilDonnées[[#This Row],[HarvestingDate]]</f>
        <v>91145846</v>
      </c>
    </row>
    <row r="2986" spans="1:16">
      <c r="A2986" s="5">
        <v>45799</v>
      </c>
      <c r="B2986">
        <v>97</v>
      </c>
      <c r="C2986" t="s">
        <v>78</v>
      </c>
      <c r="D2986">
        <v>4</v>
      </c>
      <c r="E2986">
        <v>100</v>
      </c>
      <c r="F2986" t="s">
        <v>1</v>
      </c>
      <c r="G2986" s="6">
        <v>45838</v>
      </c>
      <c r="H2986">
        <v>39</v>
      </c>
      <c r="I2986">
        <f>ROUND(CompilDonnées[[#This Row],[CultureDuration_days]]/7,0)</f>
        <v>6</v>
      </c>
      <c r="J2986">
        <v>3241</v>
      </c>
      <c r="K2986" t="str">
        <f>_xlfn.CONCAT(WEEKNUM(CompilDonnées[[#This Row],[PlantationDate]]), " ", YEAR(CompilDonnées[[#This Row],[PlantationDate]]))</f>
        <v>21 2025</v>
      </c>
      <c r="L2986" t="str">
        <f>CONCATENATE(MONTH(CompilDonnées[[#This Row],[PlantationDate]])," ", YEAR(CompilDonnées[[#This Row],[PlantationDate]]))</f>
        <v>5 2025</v>
      </c>
      <c r="M2986" t="str">
        <f>CONCATENATE(MONTH(CompilDonnées[[#This Row],[HarvestingDate]])," ", YEAR(CompilDonnées[[#This Row],[HarvestingDate]]))</f>
        <v>6 2025</v>
      </c>
      <c r="N2986">
        <f>_xlfn.NUMBERVALUE(CompilDonnées[[#This Row],[FarmID]]&amp;CompilDonnées[[#This Row],[ModuleNumber]]&amp;CompilDonnées[[#This Row],[PlantationDate]])</f>
        <v>97445799</v>
      </c>
      <c r="O2986" t="str">
        <f>CompilDonnées[[#This Row],[FarmID]]&amp;CompilDonnées[[#This Row],[ModuleNumber]]</f>
        <v>974</v>
      </c>
      <c r="P2986" t="str">
        <f>CompilDonnées[[#This Row],[Ref_Module]]&amp;CompilDonnées[[#This Row],[HarvestingDate]]</f>
        <v>97445838</v>
      </c>
    </row>
    <row r="2987" spans="1:16">
      <c r="A2987" s="5">
        <v>45799</v>
      </c>
      <c r="B2987">
        <v>79</v>
      </c>
      <c r="C2987" t="s">
        <v>61</v>
      </c>
      <c r="D2987">
        <v>6</v>
      </c>
      <c r="E2987">
        <v>100</v>
      </c>
      <c r="F2987" t="s">
        <v>1</v>
      </c>
      <c r="G2987" s="6">
        <v>45827</v>
      </c>
      <c r="H2987">
        <v>28</v>
      </c>
      <c r="I2987">
        <f>ROUND(CompilDonnées[[#This Row],[CultureDuration_days]]/7,0)</f>
        <v>4</v>
      </c>
      <c r="J2987">
        <v>2149</v>
      </c>
      <c r="K2987" t="str">
        <f>_xlfn.CONCAT(WEEKNUM(CompilDonnées[[#This Row],[PlantationDate]]), " ", YEAR(CompilDonnées[[#This Row],[PlantationDate]]))</f>
        <v>21 2025</v>
      </c>
      <c r="L2987" t="str">
        <f>CONCATENATE(MONTH(CompilDonnées[[#This Row],[PlantationDate]])," ", YEAR(CompilDonnées[[#This Row],[PlantationDate]]))</f>
        <v>5 2025</v>
      </c>
      <c r="M2987" t="str">
        <f>CONCATENATE(MONTH(CompilDonnées[[#This Row],[HarvestingDate]])," ", YEAR(CompilDonnées[[#This Row],[HarvestingDate]]))</f>
        <v>6 2025</v>
      </c>
      <c r="N2987">
        <f>_xlfn.NUMBERVALUE(CompilDonnées[[#This Row],[FarmID]]&amp;CompilDonnées[[#This Row],[ModuleNumber]]&amp;CompilDonnées[[#This Row],[PlantationDate]])</f>
        <v>79645799</v>
      </c>
      <c r="O2987" t="str">
        <f>CompilDonnées[[#This Row],[FarmID]]&amp;CompilDonnées[[#This Row],[ModuleNumber]]</f>
        <v>796</v>
      </c>
      <c r="P2987" t="str">
        <f>CompilDonnées[[#This Row],[Ref_Module]]&amp;CompilDonnées[[#This Row],[HarvestingDate]]</f>
        <v>79645827</v>
      </c>
    </row>
    <row r="2988" spans="1:16">
      <c r="A2988" s="5">
        <v>45799</v>
      </c>
      <c r="B2988">
        <v>81</v>
      </c>
      <c r="C2988" t="s">
        <v>30</v>
      </c>
      <c r="D2988">
        <v>1</v>
      </c>
      <c r="E2988">
        <v>100</v>
      </c>
      <c r="F2988" t="s">
        <v>1</v>
      </c>
      <c r="G2988" s="6">
        <v>45843</v>
      </c>
      <c r="H2988">
        <v>44</v>
      </c>
      <c r="I2988">
        <f>ROUND(CompilDonnées[[#This Row],[CultureDuration_days]]/7,0)</f>
        <v>6</v>
      </c>
      <c r="J2988">
        <v>3496</v>
      </c>
      <c r="K2988" t="str">
        <f>_xlfn.CONCAT(WEEKNUM(CompilDonnées[[#This Row],[PlantationDate]]), " ", YEAR(CompilDonnées[[#This Row],[PlantationDate]]))</f>
        <v>21 2025</v>
      </c>
      <c r="L2988" t="str">
        <f>CONCATENATE(MONTH(CompilDonnées[[#This Row],[PlantationDate]])," ", YEAR(CompilDonnées[[#This Row],[PlantationDate]]))</f>
        <v>5 2025</v>
      </c>
      <c r="M2988" t="str">
        <f>CONCATENATE(MONTH(CompilDonnées[[#This Row],[HarvestingDate]])," ", YEAR(CompilDonnées[[#This Row],[HarvestingDate]]))</f>
        <v>7 2025</v>
      </c>
      <c r="N2988">
        <f>_xlfn.NUMBERVALUE(CompilDonnées[[#This Row],[FarmID]]&amp;CompilDonnées[[#This Row],[ModuleNumber]]&amp;CompilDonnées[[#This Row],[PlantationDate]])</f>
        <v>81145799</v>
      </c>
      <c r="O2988" t="str">
        <f>CompilDonnées[[#This Row],[FarmID]]&amp;CompilDonnées[[#This Row],[ModuleNumber]]</f>
        <v>811</v>
      </c>
      <c r="P2988" t="str">
        <f>CompilDonnées[[#This Row],[Ref_Module]]&amp;CompilDonnées[[#This Row],[HarvestingDate]]</f>
        <v>81145843</v>
      </c>
    </row>
    <row r="2989" spans="1:16">
      <c r="A2989" s="5">
        <v>45799</v>
      </c>
      <c r="B2989">
        <v>82</v>
      </c>
      <c r="C2989" t="s">
        <v>17</v>
      </c>
      <c r="D2989">
        <v>1</v>
      </c>
      <c r="E2989">
        <v>100</v>
      </c>
      <c r="F2989" t="s">
        <v>1</v>
      </c>
      <c r="G2989" s="6">
        <v>45842</v>
      </c>
      <c r="H2989">
        <v>43</v>
      </c>
      <c r="I2989">
        <f>ROUND(CompilDonnées[[#This Row],[CultureDuration_days]]/7,0)</f>
        <v>6</v>
      </c>
      <c r="J2989">
        <v>3544</v>
      </c>
      <c r="K2989" t="str">
        <f>_xlfn.CONCAT(WEEKNUM(CompilDonnées[[#This Row],[PlantationDate]]), " ", YEAR(CompilDonnées[[#This Row],[PlantationDate]]))</f>
        <v>21 2025</v>
      </c>
      <c r="L2989" t="str">
        <f>CONCATENATE(MONTH(CompilDonnées[[#This Row],[PlantationDate]])," ", YEAR(CompilDonnées[[#This Row],[PlantationDate]]))</f>
        <v>5 2025</v>
      </c>
      <c r="M2989" t="str">
        <f>CONCATENATE(MONTH(CompilDonnées[[#This Row],[HarvestingDate]])," ", YEAR(CompilDonnées[[#This Row],[HarvestingDate]]))</f>
        <v>7 2025</v>
      </c>
      <c r="N2989">
        <f>_xlfn.NUMBERVALUE(CompilDonnées[[#This Row],[FarmID]]&amp;CompilDonnées[[#This Row],[ModuleNumber]]&amp;CompilDonnées[[#This Row],[PlantationDate]])</f>
        <v>82145799</v>
      </c>
      <c r="O2989" t="str">
        <f>CompilDonnées[[#This Row],[FarmID]]&amp;CompilDonnées[[#This Row],[ModuleNumber]]</f>
        <v>821</v>
      </c>
      <c r="P2989" t="str">
        <f>CompilDonnées[[#This Row],[Ref_Module]]&amp;CompilDonnées[[#This Row],[HarvestingDate]]</f>
        <v>82145842</v>
      </c>
    </row>
    <row r="2990" spans="1:16">
      <c r="A2990" s="5">
        <v>45799</v>
      </c>
      <c r="B2990">
        <v>50</v>
      </c>
      <c r="C2990" t="s">
        <v>55</v>
      </c>
      <c r="D2990">
        <v>2</v>
      </c>
      <c r="E2990">
        <v>100</v>
      </c>
      <c r="F2990" t="s">
        <v>1</v>
      </c>
      <c r="G2990" s="6">
        <v>45844</v>
      </c>
      <c r="H2990">
        <v>45</v>
      </c>
      <c r="I2990">
        <f>ROUND(CompilDonnées[[#This Row],[CultureDuration_days]]/7,0)</f>
        <v>6</v>
      </c>
      <c r="J2990">
        <v>3014</v>
      </c>
      <c r="K2990" t="str">
        <f>_xlfn.CONCAT(WEEKNUM(CompilDonnées[[#This Row],[PlantationDate]]), " ", YEAR(CompilDonnées[[#This Row],[PlantationDate]]))</f>
        <v>21 2025</v>
      </c>
      <c r="L2990" t="str">
        <f>CONCATENATE(MONTH(CompilDonnées[[#This Row],[PlantationDate]])," ", YEAR(CompilDonnées[[#This Row],[PlantationDate]]))</f>
        <v>5 2025</v>
      </c>
      <c r="M2990" t="str">
        <f>CONCATENATE(MONTH(CompilDonnées[[#This Row],[HarvestingDate]])," ", YEAR(CompilDonnées[[#This Row],[HarvestingDate]]))</f>
        <v>7 2025</v>
      </c>
      <c r="N2990">
        <f>_xlfn.NUMBERVALUE(CompilDonnées[[#This Row],[FarmID]]&amp;CompilDonnées[[#This Row],[ModuleNumber]]&amp;CompilDonnées[[#This Row],[PlantationDate]])</f>
        <v>50245799</v>
      </c>
      <c r="O2990" t="str">
        <f>CompilDonnées[[#This Row],[FarmID]]&amp;CompilDonnées[[#This Row],[ModuleNumber]]</f>
        <v>502</v>
      </c>
      <c r="P2990" t="str">
        <f>CompilDonnées[[#This Row],[Ref_Module]]&amp;CompilDonnées[[#This Row],[HarvestingDate]]</f>
        <v>50245844</v>
      </c>
    </row>
    <row r="2991" spans="1:16">
      <c r="A2991" s="5">
        <v>45799</v>
      </c>
      <c r="B2991">
        <v>49</v>
      </c>
      <c r="C2991" t="s">
        <v>110</v>
      </c>
      <c r="D2991">
        <v>1</v>
      </c>
      <c r="E2991">
        <v>100</v>
      </c>
      <c r="F2991" t="s">
        <v>1</v>
      </c>
      <c r="G2991" s="6">
        <v>45844</v>
      </c>
      <c r="H2991">
        <v>45</v>
      </c>
      <c r="I2991">
        <f>ROUND(CompilDonnées[[#This Row],[CultureDuration_days]]/7,0)</f>
        <v>6</v>
      </c>
      <c r="J2991">
        <v>3021</v>
      </c>
      <c r="K2991" t="str">
        <f>_xlfn.CONCAT(WEEKNUM(CompilDonnées[[#This Row],[PlantationDate]]), " ", YEAR(CompilDonnées[[#This Row],[PlantationDate]]))</f>
        <v>21 2025</v>
      </c>
      <c r="L2991" t="str">
        <f>CONCATENATE(MONTH(CompilDonnées[[#This Row],[PlantationDate]])," ", YEAR(CompilDonnées[[#This Row],[PlantationDate]]))</f>
        <v>5 2025</v>
      </c>
      <c r="M2991" t="str">
        <f>CONCATENATE(MONTH(CompilDonnées[[#This Row],[HarvestingDate]])," ", YEAR(CompilDonnées[[#This Row],[HarvestingDate]]))</f>
        <v>7 2025</v>
      </c>
      <c r="N2991">
        <f>_xlfn.NUMBERVALUE(CompilDonnées[[#This Row],[FarmID]]&amp;CompilDonnées[[#This Row],[ModuleNumber]]&amp;CompilDonnées[[#This Row],[PlantationDate]])</f>
        <v>49145799</v>
      </c>
      <c r="O2991" t="str">
        <f>CompilDonnées[[#This Row],[FarmID]]&amp;CompilDonnées[[#This Row],[ModuleNumber]]</f>
        <v>491</v>
      </c>
      <c r="P2991" t="str">
        <f>CompilDonnées[[#This Row],[Ref_Module]]&amp;CompilDonnées[[#This Row],[HarvestingDate]]</f>
        <v>49145844</v>
      </c>
    </row>
    <row r="2992" spans="1:16">
      <c r="A2992" s="5">
        <v>45799</v>
      </c>
      <c r="B2992">
        <v>66</v>
      </c>
      <c r="C2992" t="s">
        <v>48</v>
      </c>
      <c r="D2992">
        <v>2</v>
      </c>
      <c r="E2992">
        <v>100</v>
      </c>
      <c r="F2992" t="s">
        <v>1</v>
      </c>
      <c r="G2992" s="6">
        <v>45842</v>
      </c>
      <c r="H2992">
        <v>43</v>
      </c>
      <c r="I2992">
        <f>ROUND(CompilDonnées[[#This Row],[CultureDuration_days]]/7,0)</f>
        <v>6</v>
      </c>
      <c r="J2992">
        <v>2288</v>
      </c>
      <c r="K2992" t="str">
        <f>_xlfn.CONCAT(WEEKNUM(CompilDonnées[[#This Row],[PlantationDate]]), " ", YEAR(CompilDonnées[[#This Row],[PlantationDate]]))</f>
        <v>21 2025</v>
      </c>
      <c r="L2992" t="str">
        <f>CONCATENATE(MONTH(CompilDonnées[[#This Row],[PlantationDate]])," ", YEAR(CompilDonnées[[#This Row],[PlantationDate]]))</f>
        <v>5 2025</v>
      </c>
      <c r="M2992" t="str">
        <f>CONCATENATE(MONTH(CompilDonnées[[#This Row],[HarvestingDate]])," ", YEAR(CompilDonnées[[#This Row],[HarvestingDate]]))</f>
        <v>7 2025</v>
      </c>
      <c r="N2992">
        <f>_xlfn.NUMBERVALUE(CompilDonnées[[#This Row],[FarmID]]&amp;CompilDonnées[[#This Row],[ModuleNumber]]&amp;CompilDonnées[[#This Row],[PlantationDate]])</f>
        <v>66245799</v>
      </c>
      <c r="O2992" t="str">
        <f>CompilDonnées[[#This Row],[FarmID]]&amp;CompilDonnées[[#This Row],[ModuleNumber]]</f>
        <v>662</v>
      </c>
      <c r="P2992" t="str">
        <f>CompilDonnées[[#This Row],[Ref_Module]]&amp;CompilDonnées[[#This Row],[HarvestingDate]]</f>
        <v>66245842</v>
      </c>
    </row>
    <row r="2993" spans="1:16">
      <c r="A2993" s="5">
        <v>45799</v>
      </c>
      <c r="B2993">
        <v>67</v>
      </c>
      <c r="C2993" t="s">
        <v>28</v>
      </c>
      <c r="D2993">
        <v>4</v>
      </c>
      <c r="E2993">
        <v>100</v>
      </c>
      <c r="F2993" t="s">
        <v>1</v>
      </c>
      <c r="G2993" s="6">
        <v>45831</v>
      </c>
      <c r="H2993">
        <v>32</v>
      </c>
      <c r="I2993">
        <f>ROUND(CompilDonnées[[#This Row],[CultureDuration_days]]/7,0)</f>
        <v>5</v>
      </c>
      <c r="J2993">
        <v>2966</v>
      </c>
      <c r="K2993" t="str">
        <f>_xlfn.CONCAT(WEEKNUM(CompilDonnées[[#This Row],[PlantationDate]]), " ", YEAR(CompilDonnées[[#This Row],[PlantationDate]]))</f>
        <v>21 2025</v>
      </c>
      <c r="L2993" t="str">
        <f>CONCATENATE(MONTH(CompilDonnées[[#This Row],[PlantationDate]])," ", YEAR(CompilDonnées[[#This Row],[PlantationDate]]))</f>
        <v>5 2025</v>
      </c>
      <c r="M2993" t="str">
        <f>CONCATENATE(MONTH(CompilDonnées[[#This Row],[HarvestingDate]])," ", YEAR(CompilDonnées[[#This Row],[HarvestingDate]]))</f>
        <v>6 2025</v>
      </c>
      <c r="N2993">
        <f>_xlfn.NUMBERVALUE(CompilDonnées[[#This Row],[FarmID]]&amp;CompilDonnées[[#This Row],[ModuleNumber]]&amp;CompilDonnées[[#This Row],[PlantationDate]])</f>
        <v>67445799</v>
      </c>
      <c r="O2993" t="str">
        <f>CompilDonnées[[#This Row],[FarmID]]&amp;CompilDonnées[[#This Row],[ModuleNumber]]</f>
        <v>674</v>
      </c>
      <c r="P2993" t="str">
        <f>CompilDonnées[[#This Row],[Ref_Module]]&amp;CompilDonnées[[#This Row],[HarvestingDate]]</f>
        <v>67445831</v>
      </c>
    </row>
    <row r="2994" spans="1:16">
      <c r="A2994" s="5">
        <v>45799</v>
      </c>
      <c r="B2994">
        <v>68</v>
      </c>
      <c r="C2994" t="s">
        <v>89</v>
      </c>
      <c r="D2994">
        <v>2</v>
      </c>
      <c r="E2994">
        <v>100</v>
      </c>
      <c r="F2994" t="s">
        <v>1</v>
      </c>
      <c r="G2994" s="6">
        <v>45843</v>
      </c>
      <c r="H2994">
        <v>44</v>
      </c>
      <c r="I2994">
        <f>ROUND(CompilDonnées[[#This Row],[CultureDuration_days]]/7,0)</f>
        <v>6</v>
      </c>
      <c r="J2994">
        <v>2896</v>
      </c>
      <c r="K2994" t="str">
        <f>_xlfn.CONCAT(WEEKNUM(CompilDonnées[[#This Row],[PlantationDate]]), " ", YEAR(CompilDonnées[[#This Row],[PlantationDate]]))</f>
        <v>21 2025</v>
      </c>
      <c r="L2994" t="str">
        <f>CONCATENATE(MONTH(CompilDonnées[[#This Row],[PlantationDate]])," ", YEAR(CompilDonnées[[#This Row],[PlantationDate]]))</f>
        <v>5 2025</v>
      </c>
      <c r="M2994" t="str">
        <f>CONCATENATE(MONTH(CompilDonnées[[#This Row],[HarvestingDate]])," ", YEAR(CompilDonnées[[#This Row],[HarvestingDate]]))</f>
        <v>7 2025</v>
      </c>
      <c r="N2994">
        <f>_xlfn.NUMBERVALUE(CompilDonnées[[#This Row],[FarmID]]&amp;CompilDonnées[[#This Row],[ModuleNumber]]&amp;CompilDonnées[[#This Row],[PlantationDate]])</f>
        <v>68245799</v>
      </c>
      <c r="O2994" t="str">
        <f>CompilDonnées[[#This Row],[FarmID]]&amp;CompilDonnées[[#This Row],[ModuleNumber]]</f>
        <v>682</v>
      </c>
      <c r="P2994" t="str">
        <f>CompilDonnées[[#This Row],[Ref_Module]]&amp;CompilDonnées[[#This Row],[HarvestingDate]]</f>
        <v>68245843</v>
      </c>
    </row>
    <row r="2995" spans="1:16">
      <c r="A2995" s="5">
        <v>45799</v>
      </c>
      <c r="B2995">
        <v>71</v>
      </c>
      <c r="C2995" t="s">
        <v>19</v>
      </c>
      <c r="D2995">
        <v>1</v>
      </c>
      <c r="E2995">
        <v>100</v>
      </c>
      <c r="F2995" t="s">
        <v>1</v>
      </c>
      <c r="G2995" s="6">
        <v>45847</v>
      </c>
      <c r="H2995">
        <v>48</v>
      </c>
      <c r="I2995">
        <f>ROUND(CompilDonnées[[#This Row],[CultureDuration_days]]/7,0)</f>
        <v>7</v>
      </c>
      <c r="J2995">
        <v>2564</v>
      </c>
      <c r="K2995" t="str">
        <f>_xlfn.CONCAT(WEEKNUM(CompilDonnées[[#This Row],[PlantationDate]]), " ", YEAR(CompilDonnées[[#This Row],[PlantationDate]]))</f>
        <v>21 2025</v>
      </c>
      <c r="L2995" t="str">
        <f>CONCATENATE(MONTH(CompilDonnées[[#This Row],[PlantationDate]])," ", YEAR(CompilDonnées[[#This Row],[PlantationDate]]))</f>
        <v>5 2025</v>
      </c>
      <c r="M2995" t="str">
        <f>CONCATENATE(MONTH(CompilDonnées[[#This Row],[HarvestingDate]])," ", YEAR(CompilDonnées[[#This Row],[HarvestingDate]]))</f>
        <v>7 2025</v>
      </c>
      <c r="N2995">
        <f>_xlfn.NUMBERVALUE(CompilDonnées[[#This Row],[FarmID]]&amp;CompilDonnées[[#This Row],[ModuleNumber]]&amp;CompilDonnées[[#This Row],[PlantationDate]])</f>
        <v>71145799</v>
      </c>
      <c r="O2995" t="str">
        <f>CompilDonnées[[#This Row],[FarmID]]&amp;CompilDonnées[[#This Row],[ModuleNumber]]</f>
        <v>711</v>
      </c>
      <c r="P2995" t="str">
        <f>CompilDonnées[[#This Row],[Ref_Module]]&amp;CompilDonnées[[#This Row],[HarvestingDate]]</f>
        <v>71145847</v>
      </c>
    </row>
    <row r="2996" spans="1:16">
      <c r="A2996" s="5">
        <v>45799</v>
      </c>
      <c r="B2996">
        <v>76</v>
      </c>
      <c r="C2996" t="s">
        <v>18</v>
      </c>
      <c r="D2996">
        <v>5</v>
      </c>
      <c r="E2996">
        <v>100</v>
      </c>
      <c r="F2996" t="s">
        <v>1</v>
      </c>
      <c r="G2996" s="6">
        <v>45842</v>
      </c>
      <c r="H2996">
        <v>43</v>
      </c>
      <c r="I2996">
        <f>ROUND(CompilDonnées[[#This Row],[CultureDuration_days]]/7,0)</f>
        <v>6</v>
      </c>
      <c r="J2996">
        <v>3088</v>
      </c>
      <c r="K2996" t="str">
        <f>_xlfn.CONCAT(WEEKNUM(CompilDonnées[[#This Row],[PlantationDate]]), " ", YEAR(CompilDonnées[[#This Row],[PlantationDate]]))</f>
        <v>21 2025</v>
      </c>
      <c r="L2996" t="str">
        <f>CONCATENATE(MONTH(CompilDonnées[[#This Row],[PlantationDate]])," ", YEAR(CompilDonnées[[#This Row],[PlantationDate]]))</f>
        <v>5 2025</v>
      </c>
      <c r="M2996" t="str">
        <f>CONCATENATE(MONTH(CompilDonnées[[#This Row],[HarvestingDate]])," ", YEAR(CompilDonnées[[#This Row],[HarvestingDate]]))</f>
        <v>7 2025</v>
      </c>
      <c r="N2996">
        <f>_xlfn.NUMBERVALUE(CompilDonnées[[#This Row],[FarmID]]&amp;CompilDonnées[[#This Row],[ModuleNumber]]&amp;CompilDonnées[[#This Row],[PlantationDate]])</f>
        <v>76545799</v>
      </c>
      <c r="O2996" t="str">
        <f>CompilDonnées[[#This Row],[FarmID]]&amp;CompilDonnées[[#This Row],[ModuleNumber]]</f>
        <v>765</v>
      </c>
      <c r="P2996" t="str">
        <f>CompilDonnées[[#This Row],[Ref_Module]]&amp;CompilDonnées[[#This Row],[HarvestingDate]]</f>
        <v>76545842</v>
      </c>
    </row>
    <row r="2997" spans="1:16">
      <c r="A2997" s="5">
        <v>45799</v>
      </c>
      <c r="B2997">
        <v>77</v>
      </c>
      <c r="C2997" t="s">
        <v>75</v>
      </c>
      <c r="D2997">
        <v>5</v>
      </c>
      <c r="E2997">
        <v>100</v>
      </c>
      <c r="F2997" t="s">
        <v>1</v>
      </c>
      <c r="G2997" s="6">
        <v>45842</v>
      </c>
      <c r="H2997">
        <v>43</v>
      </c>
      <c r="I2997">
        <f>ROUND(CompilDonnées[[#This Row],[CultureDuration_days]]/7,0)</f>
        <v>6</v>
      </c>
      <c r="J2997">
        <v>2699</v>
      </c>
      <c r="K2997" t="str">
        <f>_xlfn.CONCAT(WEEKNUM(CompilDonnées[[#This Row],[PlantationDate]]), " ", YEAR(CompilDonnées[[#This Row],[PlantationDate]]))</f>
        <v>21 2025</v>
      </c>
      <c r="L2997" t="str">
        <f>CONCATENATE(MONTH(CompilDonnées[[#This Row],[PlantationDate]])," ", YEAR(CompilDonnées[[#This Row],[PlantationDate]]))</f>
        <v>5 2025</v>
      </c>
      <c r="M2997" t="str">
        <f>CONCATENATE(MONTH(CompilDonnées[[#This Row],[HarvestingDate]])," ", YEAR(CompilDonnées[[#This Row],[HarvestingDate]]))</f>
        <v>7 2025</v>
      </c>
      <c r="N2997">
        <f>_xlfn.NUMBERVALUE(CompilDonnées[[#This Row],[FarmID]]&amp;CompilDonnées[[#This Row],[ModuleNumber]]&amp;CompilDonnées[[#This Row],[PlantationDate]])</f>
        <v>77545799</v>
      </c>
      <c r="O2997" t="str">
        <f>CompilDonnées[[#This Row],[FarmID]]&amp;CompilDonnées[[#This Row],[ModuleNumber]]</f>
        <v>775</v>
      </c>
      <c r="P2997" t="str">
        <f>CompilDonnées[[#This Row],[Ref_Module]]&amp;CompilDonnées[[#This Row],[HarvestingDate]]</f>
        <v>77545842</v>
      </c>
    </row>
    <row r="2998" spans="1:16">
      <c r="A2998" s="5">
        <v>45799</v>
      </c>
      <c r="B2998">
        <v>65</v>
      </c>
      <c r="C2998" t="s">
        <v>36</v>
      </c>
      <c r="D2998">
        <v>1</v>
      </c>
      <c r="E2998">
        <v>100</v>
      </c>
      <c r="F2998" t="s">
        <v>1</v>
      </c>
      <c r="G2998" s="6">
        <v>45847</v>
      </c>
      <c r="H2998">
        <v>48</v>
      </c>
      <c r="I2998">
        <f>ROUND(CompilDonnées[[#This Row],[CultureDuration_days]]/7,0)</f>
        <v>7</v>
      </c>
      <c r="J2998">
        <v>2835</v>
      </c>
      <c r="K2998" t="str">
        <f>_xlfn.CONCAT(WEEKNUM(CompilDonnées[[#This Row],[PlantationDate]]), " ", YEAR(CompilDonnées[[#This Row],[PlantationDate]]))</f>
        <v>21 2025</v>
      </c>
      <c r="L2998" t="str">
        <f>CONCATENATE(MONTH(CompilDonnées[[#This Row],[PlantationDate]])," ", YEAR(CompilDonnées[[#This Row],[PlantationDate]]))</f>
        <v>5 2025</v>
      </c>
      <c r="M2998" t="str">
        <f>CONCATENATE(MONTH(CompilDonnées[[#This Row],[HarvestingDate]])," ", YEAR(CompilDonnées[[#This Row],[HarvestingDate]]))</f>
        <v>7 2025</v>
      </c>
      <c r="N2998">
        <f>_xlfn.NUMBERVALUE(CompilDonnées[[#This Row],[FarmID]]&amp;CompilDonnées[[#This Row],[ModuleNumber]]&amp;CompilDonnées[[#This Row],[PlantationDate]])</f>
        <v>65145799</v>
      </c>
      <c r="O2998" t="str">
        <f>CompilDonnées[[#This Row],[FarmID]]&amp;CompilDonnées[[#This Row],[ModuleNumber]]</f>
        <v>651</v>
      </c>
      <c r="P2998" t="str">
        <f>CompilDonnées[[#This Row],[Ref_Module]]&amp;CompilDonnées[[#This Row],[HarvestingDate]]</f>
        <v>65145847</v>
      </c>
    </row>
    <row r="2999" spans="1:16">
      <c r="A2999" s="5">
        <v>45799</v>
      </c>
      <c r="B2999">
        <v>72</v>
      </c>
      <c r="C2999" t="s">
        <v>49</v>
      </c>
      <c r="D2999">
        <v>6</v>
      </c>
      <c r="E2999">
        <v>100</v>
      </c>
      <c r="F2999" t="s">
        <v>1</v>
      </c>
      <c r="G2999" s="6">
        <v>45843</v>
      </c>
      <c r="H2999">
        <v>44</v>
      </c>
      <c r="I2999">
        <f>ROUND(CompilDonnées[[#This Row],[CultureDuration_days]]/7,0)</f>
        <v>6</v>
      </c>
      <c r="J2999">
        <v>2870</v>
      </c>
      <c r="K2999" t="str">
        <f>_xlfn.CONCAT(WEEKNUM(CompilDonnées[[#This Row],[PlantationDate]]), " ", YEAR(CompilDonnées[[#This Row],[PlantationDate]]))</f>
        <v>21 2025</v>
      </c>
      <c r="L2999" t="str">
        <f>CONCATENATE(MONTH(CompilDonnées[[#This Row],[PlantationDate]])," ", YEAR(CompilDonnées[[#This Row],[PlantationDate]]))</f>
        <v>5 2025</v>
      </c>
      <c r="M2999" t="str">
        <f>CONCATENATE(MONTH(CompilDonnées[[#This Row],[HarvestingDate]])," ", YEAR(CompilDonnées[[#This Row],[HarvestingDate]]))</f>
        <v>7 2025</v>
      </c>
      <c r="N2999">
        <f>_xlfn.NUMBERVALUE(CompilDonnées[[#This Row],[FarmID]]&amp;CompilDonnées[[#This Row],[ModuleNumber]]&amp;CompilDonnées[[#This Row],[PlantationDate]])</f>
        <v>72645799</v>
      </c>
      <c r="O2999" t="str">
        <f>CompilDonnées[[#This Row],[FarmID]]&amp;CompilDonnées[[#This Row],[ModuleNumber]]</f>
        <v>726</v>
      </c>
      <c r="P2999" t="str">
        <f>CompilDonnées[[#This Row],[Ref_Module]]&amp;CompilDonnées[[#This Row],[HarvestingDate]]</f>
        <v>72645843</v>
      </c>
    </row>
    <row r="3000" spans="1:16">
      <c r="A3000" s="5">
        <v>45799</v>
      </c>
      <c r="B3000">
        <v>73</v>
      </c>
      <c r="C3000" t="s">
        <v>20</v>
      </c>
      <c r="D3000">
        <v>1</v>
      </c>
      <c r="E3000">
        <v>100</v>
      </c>
      <c r="F3000" t="s">
        <v>1</v>
      </c>
      <c r="G3000" s="6">
        <v>45830</v>
      </c>
      <c r="H3000">
        <v>31</v>
      </c>
      <c r="I3000">
        <f>ROUND(CompilDonnées[[#This Row],[CultureDuration_days]]/7,0)</f>
        <v>4</v>
      </c>
      <c r="J3000">
        <v>2764</v>
      </c>
      <c r="K3000" t="str">
        <f>_xlfn.CONCAT(WEEKNUM(CompilDonnées[[#This Row],[PlantationDate]]), " ", YEAR(CompilDonnées[[#This Row],[PlantationDate]]))</f>
        <v>21 2025</v>
      </c>
      <c r="L3000" t="str">
        <f>CONCATENATE(MONTH(CompilDonnées[[#This Row],[PlantationDate]])," ", YEAR(CompilDonnées[[#This Row],[PlantationDate]]))</f>
        <v>5 2025</v>
      </c>
      <c r="M3000" t="str">
        <f>CONCATENATE(MONTH(CompilDonnées[[#This Row],[HarvestingDate]])," ", YEAR(CompilDonnées[[#This Row],[HarvestingDate]]))</f>
        <v>6 2025</v>
      </c>
      <c r="N3000">
        <f>_xlfn.NUMBERVALUE(CompilDonnées[[#This Row],[FarmID]]&amp;CompilDonnées[[#This Row],[ModuleNumber]]&amp;CompilDonnées[[#This Row],[PlantationDate]])</f>
        <v>73145799</v>
      </c>
      <c r="O3000" t="str">
        <f>CompilDonnées[[#This Row],[FarmID]]&amp;CompilDonnées[[#This Row],[ModuleNumber]]</f>
        <v>731</v>
      </c>
      <c r="P3000" t="str">
        <f>CompilDonnées[[#This Row],[Ref_Module]]&amp;CompilDonnées[[#This Row],[HarvestingDate]]</f>
        <v>73145830</v>
      </c>
    </row>
    <row r="3001" spans="1:16">
      <c r="A3001" s="5">
        <v>45799</v>
      </c>
      <c r="B3001">
        <v>74</v>
      </c>
      <c r="C3001" t="s">
        <v>21</v>
      </c>
      <c r="D3001">
        <v>2</v>
      </c>
      <c r="E3001">
        <v>100</v>
      </c>
      <c r="F3001" t="s">
        <v>1</v>
      </c>
      <c r="G3001" s="6">
        <v>45842</v>
      </c>
      <c r="H3001">
        <v>43</v>
      </c>
      <c r="I3001">
        <f>ROUND(CompilDonnées[[#This Row],[CultureDuration_days]]/7,0)</f>
        <v>6</v>
      </c>
      <c r="J3001">
        <v>2548</v>
      </c>
      <c r="K3001" t="str">
        <f>_xlfn.CONCAT(WEEKNUM(CompilDonnées[[#This Row],[PlantationDate]]), " ", YEAR(CompilDonnées[[#This Row],[PlantationDate]]))</f>
        <v>21 2025</v>
      </c>
      <c r="L3001" t="str">
        <f>CONCATENATE(MONTH(CompilDonnées[[#This Row],[PlantationDate]])," ", YEAR(CompilDonnées[[#This Row],[PlantationDate]]))</f>
        <v>5 2025</v>
      </c>
      <c r="M3001" t="str">
        <f>CONCATENATE(MONTH(CompilDonnées[[#This Row],[HarvestingDate]])," ", YEAR(CompilDonnées[[#This Row],[HarvestingDate]]))</f>
        <v>7 2025</v>
      </c>
      <c r="N3001">
        <f>_xlfn.NUMBERVALUE(CompilDonnées[[#This Row],[FarmID]]&amp;CompilDonnées[[#This Row],[ModuleNumber]]&amp;CompilDonnées[[#This Row],[PlantationDate]])</f>
        <v>74245799</v>
      </c>
      <c r="O3001" t="str">
        <f>CompilDonnées[[#This Row],[FarmID]]&amp;CompilDonnées[[#This Row],[ModuleNumber]]</f>
        <v>742</v>
      </c>
      <c r="P3001" t="str">
        <f>CompilDonnées[[#This Row],[Ref_Module]]&amp;CompilDonnées[[#This Row],[HarvestingDate]]</f>
        <v>74245842</v>
      </c>
    </row>
    <row r="3002" spans="1:16">
      <c r="A3002" s="5">
        <v>45799</v>
      </c>
      <c r="B3002">
        <v>105</v>
      </c>
      <c r="C3002" t="s">
        <v>3</v>
      </c>
      <c r="D3002">
        <v>2</v>
      </c>
      <c r="E3002">
        <v>60</v>
      </c>
      <c r="F3002" t="s">
        <v>105</v>
      </c>
      <c r="G3002" s="6">
        <v>45854</v>
      </c>
      <c r="H3002">
        <v>55</v>
      </c>
      <c r="I3002">
        <f>ROUND(CompilDonnées[[#This Row],[CultureDuration_days]]/7,0)</f>
        <v>8</v>
      </c>
      <c r="J3002">
        <v>685</v>
      </c>
      <c r="K3002" t="str">
        <f>_xlfn.CONCAT(WEEKNUM(CompilDonnées[[#This Row],[PlantationDate]]), " ", YEAR(CompilDonnées[[#This Row],[PlantationDate]]))</f>
        <v>21 2025</v>
      </c>
      <c r="L3002" t="str">
        <f>CONCATENATE(MONTH(CompilDonnées[[#This Row],[PlantationDate]])," ", YEAR(CompilDonnées[[#This Row],[PlantationDate]]))</f>
        <v>5 2025</v>
      </c>
      <c r="M3002" t="str">
        <f>CONCATENATE(MONTH(CompilDonnées[[#This Row],[HarvestingDate]])," ", YEAR(CompilDonnées[[#This Row],[HarvestingDate]]))</f>
        <v>7 2025</v>
      </c>
      <c r="N3002">
        <f>_xlfn.NUMBERVALUE(CompilDonnées[[#This Row],[FarmID]]&amp;CompilDonnées[[#This Row],[ModuleNumber]]&amp;CompilDonnées[[#This Row],[PlantationDate]])</f>
        <v>105245799</v>
      </c>
      <c r="O3002" t="str">
        <f>CompilDonnées[[#This Row],[FarmID]]&amp;CompilDonnées[[#This Row],[ModuleNumber]]</f>
        <v>1052</v>
      </c>
      <c r="P3002" t="str">
        <f>CompilDonnées[[#This Row],[Ref_Module]]&amp;CompilDonnées[[#This Row],[HarvestingDate]]</f>
        <v>105245854</v>
      </c>
    </row>
    <row r="3003" spans="1:16">
      <c r="A3003" s="5">
        <v>45799</v>
      </c>
      <c r="B3003">
        <v>105</v>
      </c>
      <c r="C3003" t="s">
        <v>3</v>
      </c>
      <c r="D3003">
        <v>3</v>
      </c>
      <c r="E3003">
        <v>60</v>
      </c>
      <c r="F3003" t="s">
        <v>105</v>
      </c>
      <c r="G3003" s="6">
        <v>45854</v>
      </c>
      <c r="H3003">
        <v>55</v>
      </c>
      <c r="I3003">
        <f>ROUND(CompilDonnées[[#This Row],[CultureDuration_days]]/7,0)</f>
        <v>8</v>
      </c>
      <c r="J3003">
        <v>985</v>
      </c>
      <c r="K3003" t="str">
        <f>_xlfn.CONCAT(WEEKNUM(CompilDonnées[[#This Row],[PlantationDate]]), " ", YEAR(CompilDonnées[[#This Row],[PlantationDate]]))</f>
        <v>21 2025</v>
      </c>
      <c r="L3003" t="str">
        <f>CONCATENATE(MONTH(CompilDonnées[[#This Row],[PlantationDate]])," ", YEAR(CompilDonnées[[#This Row],[PlantationDate]]))</f>
        <v>5 2025</v>
      </c>
      <c r="M3003" t="str">
        <f>CONCATENATE(MONTH(CompilDonnées[[#This Row],[HarvestingDate]])," ", YEAR(CompilDonnées[[#This Row],[HarvestingDate]]))</f>
        <v>7 2025</v>
      </c>
      <c r="N3003">
        <f>_xlfn.NUMBERVALUE(CompilDonnées[[#This Row],[FarmID]]&amp;CompilDonnées[[#This Row],[ModuleNumber]]&amp;CompilDonnées[[#This Row],[PlantationDate]])</f>
        <v>105345799</v>
      </c>
      <c r="O3003" t="str">
        <f>CompilDonnées[[#This Row],[FarmID]]&amp;CompilDonnées[[#This Row],[ModuleNumber]]</f>
        <v>1053</v>
      </c>
      <c r="P3003" t="str">
        <f>CompilDonnées[[#This Row],[Ref_Module]]&amp;CompilDonnées[[#This Row],[HarvestingDate]]</f>
        <v>105345854</v>
      </c>
    </row>
    <row r="3004" spans="1:16">
      <c r="A3004" s="5">
        <v>45799</v>
      </c>
      <c r="B3004">
        <v>105</v>
      </c>
      <c r="C3004" t="s">
        <v>3</v>
      </c>
      <c r="D3004">
        <v>4</v>
      </c>
      <c r="E3004">
        <v>60</v>
      </c>
      <c r="F3004" t="s">
        <v>105</v>
      </c>
      <c r="G3004" s="6">
        <v>45854</v>
      </c>
      <c r="H3004">
        <v>55</v>
      </c>
      <c r="I3004">
        <f>ROUND(CompilDonnées[[#This Row],[CultureDuration_days]]/7,0)</f>
        <v>8</v>
      </c>
      <c r="J3004">
        <v>700</v>
      </c>
      <c r="K3004" t="str">
        <f>_xlfn.CONCAT(WEEKNUM(CompilDonnées[[#This Row],[PlantationDate]]), " ", YEAR(CompilDonnées[[#This Row],[PlantationDate]]))</f>
        <v>21 2025</v>
      </c>
      <c r="L3004" t="str">
        <f>CONCATENATE(MONTH(CompilDonnées[[#This Row],[PlantationDate]])," ", YEAR(CompilDonnées[[#This Row],[PlantationDate]]))</f>
        <v>5 2025</v>
      </c>
      <c r="M3004" t="str">
        <f>CONCATENATE(MONTH(CompilDonnées[[#This Row],[HarvestingDate]])," ", YEAR(CompilDonnées[[#This Row],[HarvestingDate]]))</f>
        <v>7 2025</v>
      </c>
      <c r="N3004">
        <f>_xlfn.NUMBERVALUE(CompilDonnées[[#This Row],[FarmID]]&amp;CompilDonnées[[#This Row],[ModuleNumber]]&amp;CompilDonnées[[#This Row],[PlantationDate]])</f>
        <v>105445799</v>
      </c>
      <c r="O3004" t="str">
        <f>CompilDonnées[[#This Row],[FarmID]]&amp;CompilDonnées[[#This Row],[ModuleNumber]]</f>
        <v>1054</v>
      </c>
      <c r="P3004" t="str">
        <f>CompilDonnées[[#This Row],[Ref_Module]]&amp;CompilDonnées[[#This Row],[HarvestingDate]]</f>
        <v>105445854</v>
      </c>
    </row>
    <row r="3005" spans="1:16">
      <c r="A3005" s="5">
        <v>45799</v>
      </c>
      <c r="B3005">
        <v>105</v>
      </c>
      <c r="C3005" t="s">
        <v>3</v>
      </c>
      <c r="D3005">
        <v>5</v>
      </c>
      <c r="E3005">
        <v>60</v>
      </c>
      <c r="F3005" t="s">
        <v>105</v>
      </c>
      <c r="G3005" s="6">
        <v>45856</v>
      </c>
      <c r="H3005">
        <v>57</v>
      </c>
      <c r="I3005">
        <f>ROUND(CompilDonnées[[#This Row],[CultureDuration_days]]/7,0)</f>
        <v>8</v>
      </c>
      <c r="J3005">
        <v>1000</v>
      </c>
      <c r="K3005" t="str">
        <f>_xlfn.CONCAT(WEEKNUM(CompilDonnées[[#This Row],[PlantationDate]]), " ", YEAR(CompilDonnées[[#This Row],[PlantationDate]]))</f>
        <v>21 2025</v>
      </c>
      <c r="L3005" t="str">
        <f>CONCATENATE(MONTH(CompilDonnées[[#This Row],[PlantationDate]])," ", YEAR(CompilDonnées[[#This Row],[PlantationDate]]))</f>
        <v>5 2025</v>
      </c>
      <c r="M3005" t="str">
        <f>CONCATENATE(MONTH(CompilDonnées[[#This Row],[HarvestingDate]])," ", YEAR(CompilDonnées[[#This Row],[HarvestingDate]]))</f>
        <v>7 2025</v>
      </c>
      <c r="N3005">
        <f>_xlfn.NUMBERVALUE(CompilDonnées[[#This Row],[FarmID]]&amp;CompilDonnées[[#This Row],[ModuleNumber]]&amp;CompilDonnées[[#This Row],[PlantationDate]])</f>
        <v>105545799</v>
      </c>
      <c r="O3005" t="str">
        <f>CompilDonnées[[#This Row],[FarmID]]&amp;CompilDonnées[[#This Row],[ModuleNumber]]</f>
        <v>1055</v>
      </c>
      <c r="P3005" t="str">
        <f>CompilDonnées[[#This Row],[Ref_Module]]&amp;CompilDonnées[[#This Row],[HarvestingDate]]</f>
        <v>105545856</v>
      </c>
    </row>
    <row r="3006" spans="1:16">
      <c r="A3006" s="5">
        <v>45800</v>
      </c>
      <c r="B3006">
        <v>122</v>
      </c>
      <c r="C3006" t="s">
        <v>3</v>
      </c>
      <c r="D3006">
        <v>2</v>
      </c>
      <c r="E3006">
        <v>60</v>
      </c>
      <c r="F3006" t="s">
        <v>105</v>
      </c>
      <c r="G3006" s="6">
        <v>45861</v>
      </c>
      <c r="H3006">
        <v>61</v>
      </c>
      <c r="I3006">
        <f>ROUND(CompilDonnées[[#This Row],[CultureDuration_days]]/7,0)</f>
        <v>9</v>
      </c>
      <c r="J3006">
        <v>800</v>
      </c>
      <c r="K3006" t="str">
        <f>_xlfn.CONCAT(WEEKNUM(CompilDonnées[[#This Row],[PlantationDate]]), " ", YEAR(CompilDonnées[[#This Row],[PlantationDate]]))</f>
        <v>21 2025</v>
      </c>
      <c r="L3006" t="str">
        <f>CONCATENATE(MONTH(CompilDonnées[[#This Row],[PlantationDate]])," ", YEAR(CompilDonnées[[#This Row],[PlantationDate]]))</f>
        <v>5 2025</v>
      </c>
      <c r="M3006" t="str">
        <f>CONCATENATE(MONTH(CompilDonnées[[#This Row],[HarvestingDate]])," ", YEAR(CompilDonnées[[#This Row],[HarvestingDate]]))</f>
        <v>7 2025</v>
      </c>
      <c r="N3006">
        <f>_xlfn.NUMBERVALUE(CompilDonnées[[#This Row],[FarmID]]&amp;CompilDonnées[[#This Row],[ModuleNumber]]&amp;CompilDonnées[[#This Row],[PlantationDate]])</f>
        <v>122245800</v>
      </c>
      <c r="O3006" t="str">
        <f>CompilDonnées[[#This Row],[FarmID]]&amp;CompilDonnées[[#This Row],[ModuleNumber]]</f>
        <v>1222</v>
      </c>
      <c r="P3006" t="str">
        <f>CompilDonnées[[#This Row],[Ref_Module]]&amp;CompilDonnées[[#This Row],[HarvestingDate]]</f>
        <v>122245861</v>
      </c>
    </row>
    <row r="3007" spans="1:16">
      <c r="A3007" s="5">
        <v>45800</v>
      </c>
      <c r="B3007">
        <v>75</v>
      </c>
      <c r="C3007" t="s">
        <v>3</v>
      </c>
      <c r="D3007">
        <v>2</v>
      </c>
      <c r="E3007">
        <v>60</v>
      </c>
      <c r="F3007" t="s">
        <v>105</v>
      </c>
      <c r="G3007" s="6">
        <v>45856</v>
      </c>
      <c r="H3007">
        <v>56</v>
      </c>
      <c r="I3007">
        <f>ROUND(CompilDonnées[[#This Row],[CultureDuration_days]]/7,0)</f>
        <v>8</v>
      </c>
      <c r="J3007">
        <v>1500</v>
      </c>
      <c r="K3007" t="str">
        <f>_xlfn.CONCAT(WEEKNUM(CompilDonnées[[#This Row],[PlantationDate]]), " ", YEAR(CompilDonnées[[#This Row],[PlantationDate]]))</f>
        <v>21 2025</v>
      </c>
      <c r="L3007" t="str">
        <f>CONCATENATE(MONTH(CompilDonnées[[#This Row],[PlantationDate]])," ", YEAR(CompilDonnées[[#This Row],[PlantationDate]]))</f>
        <v>5 2025</v>
      </c>
      <c r="M3007" t="str">
        <f>CONCATENATE(MONTH(CompilDonnées[[#This Row],[HarvestingDate]])," ", YEAR(CompilDonnées[[#This Row],[HarvestingDate]]))</f>
        <v>7 2025</v>
      </c>
      <c r="N3007">
        <f>_xlfn.NUMBERVALUE(CompilDonnées[[#This Row],[FarmID]]&amp;CompilDonnées[[#This Row],[ModuleNumber]]&amp;CompilDonnées[[#This Row],[PlantationDate]])</f>
        <v>75245800</v>
      </c>
      <c r="O3007" t="str">
        <f>CompilDonnées[[#This Row],[FarmID]]&amp;CompilDonnées[[#This Row],[ModuleNumber]]</f>
        <v>752</v>
      </c>
      <c r="P3007" t="str">
        <f>CompilDonnées[[#This Row],[Ref_Module]]&amp;CompilDonnées[[#This Row],[HarvestingDate]]</f>
        <v>75245856</v>
      </c>
    </row>
    <row r="3008" spans="1:16">
      <c r="A3008" s="5">
        <v>45800</v>
      </c>
      <c r="B3008">
        <v>75</v>
      </c>
      <c r="C3008" t="s">
        <v>3</v>
      </c>
      <c r="D3008">
        <v>3</v>
      </c>
      <c r="E3008">
        <v>60</v>
      </c>
      <c r="F3008" t="s">
        <v>105</v>
      </c>
      <c r="G3008" s="6">
        <v>45856</v>
      </c>
      <c r="H3008">
        <v>56</v>
      </c>
      <c r="I3008">
        <f>ROUND(CompilDonnées[[#This Row],[CultureDuration_days]]/7,0)</f>
        <v>8</v>
      </c>
      <c r="J3008">
        <v>1040</v>
      </c>
      <c r="K3008" t="str">
        <f>_xlfn.CONCAT(WEEKNUM(CompilDonnées[[#This Row],[PlantationDate]]), " ", YEAR(CompilDonnées[[#This Row],[PlantationDate]]))</f>
        <v>21 2025</v>
      </c>
      <c r="L3008" t="str">
        <f>CONCATENATE(MONTH(CompilDonnées[[#This Row],[PlantationDate]])," ", YEAR(CompilDonnées[[#This Row],[PlantationDate]]))</f>
        <v>5 2025</v>
      </c>
      <c r="M3008" t="str">
        <f>CONCATENATE(MONTH(CompilDonnées[[#This Row],[HarvestingDate]])," ", YEAR(CompilDonnées[[#This Row],[HarvestingDate]]))</f>
        <v>7 2025</v>
      </c>
      <c r="N3008">
        <f>_xlfn.NUMBERVALUE(CompilDonnées[[#This Row],[FarmID]]&amp;CompilDonnées[[#This Row],[ModuleNumber]]&amp;CompilDonnées[[#This Row],[PlantationDate]])</f>
        <v>75345800</v>
      </c>
      <c r="O3008" t="str">
        <f>CompilDonnées[[#This Row],[FarmID]]&amp;CompilDonnées[[#This Row],[ModuleNumber]]</f>
        <v>753</v>
      </c>
      <c r="P3008" t="str">
        <f>CompilDonnées[[#This Row],[Ref_Module]]&amp;CompilDonnées[[#This Row],[HarvestingDate]]</f>
        <v>75345856</v>
      </c>
    </row>
    <row r="3009" spans="1:16">
      <c r="A3009" s="5">
        <v>45800</v>
      </c>
      <c r="B3009">
        <v>60</v>
      </c>
      <c r="C3009" t="s">
        <v>113</v>
      </c>
      <c r="D3009">
        <v>6</v>
      </c>
      <c r="E3009">
        <v>100</v>
      </c>
      <c r="F3009" t="s">
        <v>1</v>
      </c>
      <c r="G3009" s="6">
        <v>45842</v>
      </c>
      <c r="H3009">
        <v>42</v>
      </c>
      <c r="I3009">
        <f>ROUND(CompilDonnées[[#This Row],[CultureDuration_days]]/7,0)</f>
        <v>6</v>
      </c>
      <c r="J3009">
        <v>2877</v>
      </c>
      <c r="K3009" t="str">
        <f>_xlfn.CONCAT(WEEKNUM(CompilDonnées[[#This Row],[PlantationDate]]), " ", YEAR(CompilDonnées[[#This Row],[PlantationDate]]))</f>
        <v>21 2025</v>
      </c>
      <c r="L3009" t="str">
        <f>CONCATENATE(MONTH(CompilDonnées[[#This Row],[PlantationDate]])," ", YEAR(CompilDonnées[[#This Row],[PlantationDate]]))</f>
        <v>5 2025</v>
      </c>
      <c r="M3009" t="str">
        <f>CONCATENATE(MONTH(CompilDonnées[[#This Row],[HarvestingDate]])," ", YEAR(CompilDonnées[[#This Row],[HarvestingDate]]))</f>
        <v>7 2025</v>
      </c>
      <c r="N3009">
        <f>_xlfn.NUMBERVALUE(CompilDonnées[[#This Row],[FarmID]]&amp;CompilDonnées[[#This Row],[ModuleNumber]]&amp;CompilDonnées[[#This Row],[PlantationDate]])</f>
        <v>60645800</v>
      </c>
      <c r="O3009" t="str">
        <f>CompilDonnées[[#This Row],[FarmID]]&amp;CompilDonnées[[#This Row],[ModuleNumber]]</f>
        <v>606</v>
      </c>
      <c r="P3009" t="str">
        <f>CompilDonnées[[#This Row],[Ref_Module]]&amp;CompilDonnées[[#This Row],[HarvestingDate]]</f>
        <v>60645842</v>
      </c>
    </row>
    <row r="3010" spans="1:16">
      <c r="A3010" s="5">
        <v>45800</v>
      </c>
      <c r="B3010">
        <v>62</v>
      </c>
      <c r="C3010" t="s">
        <v>124</v>
      </c>
      <c r="D3010">
        <v>2</v>
      </c>
      <c r="E3010">
        <v>100</v>
      </c>
      <c r="F3010" t="s">
        <v>1</v>
      </c>
      <c r="G3010" s="6">
        <v>45843</v>
      </c>
      <c r="H3010">
        <v>43</v>
      </c>
      <c r="I3010">
        <f>ROUND(CompilDonnées[[#This Row],[CultureDuration_days]]/7,0)</f>
        <v>6</v>
      </c>
      <c r="J3010">
        <v>2456</v>
      </c>
      <c r="K3010" t="str">
        <f>_xlfn.CONCAT(WEEKNUM(CompilDonnées[[#This Row],[PlantationDate]]), " ", YEAR(CompilDonnées[[#This Row],[PlantationDate]]))</f>
        <v>21 2025</v>
      </c>
      <c r="L3010" t="str">
        <f>CONCATENATE(MONTH(CompilDonnées[[#This Row],[PlantationDate]])," ", YEAR(CompilDonnées[[#This Row],[PlantationDate]]))</f>
        <v>5 2025</v>
      </c>
      <c r="M3010" t="str">
        <f>CONCATENATE(MONTH(CompilDonnées[[#This Row],[HarvestingDate]])," ", YEAR(CompilDonnées[[#This Row],[HarvestingDate]]))</f>
        <v>7 2025</v>
      </c>
      <c r="N3010">
        <f>_xlfn.NUMBERVALUE(CompilDonnées[[#This Row],[FarmID]]&amp;CompilDonnées[[#This Row],[ModuleNumber]]&amp;CompilDonnées[[#This Row],[PlantationDate]])</f>
        <v>62245800</v>
      </c>
      <c r="O3010" t="str">
        <f>CompilDonnées[[#This Row],[FarmID]]&amp;CompilDonnées[[#This Row],[ModuleNumber]]</f>
        <v>622</v>
      </c>
      <c r="P3010" t="str">
        <f>CompilDonnées[[#This Row],[Ref_Module]]&amp;CompilDonnées[[#This Row],[HarvestingDate]]</f>
        <v>62245843</v>
      </c>
    </row>
    <row r="3011" spans="1:16">
      <c r="A3011" s="5">
        <v>45800</v>
      </c>
      <c r="B3011">
        <v>69</v>
      </c>
      <c r="C3011" t="s">
        <v>102</v>
      </c>
      <c r="D3011">
        <v>6</v>
      </c>
      <c r="E3011">
        <v>100</v>
      </c>
      <c r="F3011" t="s">
        <v>1</v>
      </c>
      <c r="G3011" s="6">
        <v>45842</v>
      </c>
      <c r="H3011">
        <v>42</v>
      </c>
      <c r="I3011">
        <f>ROUND(CompilDonnées[[#This Row],[CultureDuration_days]]/7,0)</f>
        <v>6</v>
      </c>
      <c r="J3011">
        <v>1963</v>
      </c>
      <c r="K3011" t="str">
        <f>_xlfn.CONCAT(WEEKNUM(CompilDonnées[[#This Row],[PlantationDate]]), " ", YEAR(CompilDonnées[[#This Row],[PlantationDate]]))</f>
        <v>21 2025</v>
      </c>
      <c r="L3011" t="str">
        <f>CONCATENATE(MONTH(CompilDonnées[[#This Row],[PlantationDate]])," ", YEAR(CompilDonnées[[#This Row],[PlantationDate]]))</f>
        <v>5 2025</v>
      </c>
      <c r="M3011" t="str">
        <f>CONCATENATE(MONTH(CompilDonnées[[#This Row],[HarvestingDate]])," ", YEAR(CompilDonnées[[#This Row],[HarvestingDate]]))</f>
        <v>7 2025</v>
      </c>
      <c r="N3011">
        <f>_xlfn.NUMBERVALUE(CompilDonnées[[#This Row],[FarmID]]&amp;CompilDonnées[[#This Row],[ModuleNumber]]&amp;CompilDonnées[[#This Row],[PlantationDate]])</f>
        <v>69645800</v>
      </c>
      <c r="O3011" t="str">
        <f>CompilDonnées[[#This Row],[FarmID]]&amp;CompilDonnées[[#This Row],[ModuleNumber]]</f>
        <v>696</v>
      </c>
      <c r="P3011" t="str">
        <f>CompilDonnées[[#This Row],[Ref_Module]]&amp;CompilDonnées[[#This Row],[HarvestingDate]]</f>
        <v>69645842</v>
      </c>
    </row>
    <row r="3012" spans="1:16">
      <c r="A3012" s="5">
        <v>45800</v>
      </c>
      <c r="B3012">
        <v>70</v>
      </c>
      <c r="C3012" t="s">
        <v>7</v>
      </c>
      <c r="D3012">
        <v>3</v>
      </c>
      <c r="E3012">
        <v>100</v>
      </c>
      <c r="F3012" t="s">
        <v>1</v>
      </c>
      <c r="G3012" s="6">
        <v>45842</v>
      </c>
      <c r="H3012">
        <v>42</v>
      </c>
      <c r="I3012">
        <f>ROUND(CompilDonnées[[#This Row],[CultureDuration_days]]/7,0)</f>
        <v>6</v>
      </c>
      <c r="J3012">
        <v>2509</v>
      </c>
      <c r="K3012" t="str">
        <f>_xlfn.CONCAT(WEEKNUM(CompilDonnées[[#This Row],[PlantationDate]]), " ", YEAR(CompilDonnées[[#This Row],[PlantationDate]]))</f>
        <v>21 2025</v>
      </c>
      <c r="L3012" t="str">
        <f>CONCATENATE(MONTH(CompilDonnées[[#This Row],[PlantationDate]])," ", YEAR(CompilDonnées[[#This Row],[PlantationDate]]))</f>
        <v>5 2025</v>
      </c>
      <c r="M3012" t="str">
        <f>CONCATENATE(MONTH(CompilDonnées[[#This Row],[HarvestingDate]])," ", YEAR(CompilDonnées[[#This Row],[HarvestingDate]]))</f>
        <v>7 2025</v>
      </c>
      <c r="N3012">
        <f>_xlfn.NUMBERVALUE(CompilDonnées[[#This Row],[FarmID]]&amp;CompilDonnées[[#This Row],[ModuleNumber]]&amp;CompilDonnées[[#This Row],[PlantationDate]])</f>
        <v>70345800</v>
      </c>
      <c r="O3012" t="str">
        <f>CompilDonnées[[#This Row],[FarmID]]&amp;CompilDonnées[[#This Row],[ModuleNumber]]</f>
        <v>703</v>
      </c>
      <c r="P3012" t="str">
        <f>CompilDonnées[[#This Row],[Ref_Module]]&amp;CompilDonnées[[#This Row],[HarvestingDate]]</f>
        <v>70345842</v>
      </c>
    </row>
    <row r="3013" spans="1:16">
      <c r="A3013" s="5">
        <v>45800</v>
      </c>
      <c r="B3013">
        <v>51</v>
      </c>
      <c r="C3013" t="s">
        <v>27</v>
      </c>
      <c r="D3013">
        <v>4</v>
      </c>
      <c r="E3013">
        <v>100</v>
      </c>
      <c r="F3013" t="s">
        <v>1</v>
      </c>
      <c r="G3013" s="6">
        <v>45843</v>
      </c>
      <c r="H3013">
        <v>43</v>
      </c>
      <c r="I3013">
        <f>ROUND(CompilDonnées[[#This Row],[CultureDuration_days]]/7,0)</f>
        <v>6</v>
      </c>
      <c r="J3013">
        <v>2722</v>
      </c>
      <c r="K3013" t="str">
        <f>_xlfn.CONCAT(WEEKNUM(CompilDonnées[[#This Row],[PlantationDate]]), " ", YEAR(CompilDonnées[[#This Row],[PlantationDate]]))</f>
        <v>21 2025</v>
      </c>
      <c r="L3013" t="str">
        <f>CONCATENATE(MONTH(CompilDonnées[[#This Row],[PlantationDate]])," ", YEAR(CompilDonnées[[#This Row],[PlantationDate]]))</f>
        <v>5 2025</v>
      </c>
      <c r="M3013" t="str">
        <f>CONCATENATE(MONTH(CompilDonnées[[#This Row],[HarvestingDate]])," ", YEAR(CompilDonnées[[#This Row],[HarvestingDate]]))</f>
        <v>7 2025</v>
      </c>
      <c r="N3013">
        <f>_xlfn.NUMBERVALUE(CompilDonnées[[#This Row],[FarmID]]&amp;CompilDonnées[[#This Row],[ModuleNumber]]&amp;CompilDonnées[[#This Row],[PlantationDate]])</f>
        <v>51445800</v>
      </c>
      <c r="O3013" t="str">
        <f>CompilDonnées[[#This Row],[FarmID]]&amp;CompilDonnées[[#This Row],[ModuleNumber]]</f>
        <v>514</v>
      </c>
      <c r="P3013" t="str">
        <f>CompilDonnées[[#This Row],[Ref_Module]]&amp;CompilDonnées[[#This Row],[HarvestingDate]]</f>
        <v>51445843</v>
      </c>
    </row>
    <row r="3014" spans="1:16">
      <c r="A3014" s="5">
        <v>45800</v>
      </c>
      <c r="B3014">
        <v>50</v>
      </c>
      <c r="C3014" t="s">
        <v>55</v>
      </c>
      <c r="D3014">
        <v>5</v>
      </c>
      <c r="E3014">
        <v>100</v>
      </c>
      <c r="F3014" t="s">
        <v>1</v>
      </c>
      <c r="G3014" s="6">
        <v>45846</v>
      </c>
      <c r="H3014">
        <v>46</v>
      </c>
      <c r="I3014">
        <f>ROUND(CompilDonnées[[#This Row],[CultureDuration_days]]/7,0)</f>
        <v>7</v>
      </c>
      <c r="J3014">
        <v>4239</v>
      </c>
      <c r="K3014" t="str">
        <f>_xlfn.CONCAT(WEEKNUM(CompilDonnées[[#This Row],[PlantationDate]]), " ", YEAR(CompilDonnées[[#This Row],[PlantationDate]]))</f>
        <v>21 2025</v>
      </c>
      <c r="L3014" t="str">
        <f>CONCATENATE(MONTH(CompilDonnées[[#This Row],[PlantationDate]])," ", YEAR(CompilDonnées[[#This Row],[PlantationDate]]))</f>
        <v>5 2025</v>
      </c>
      <c r="M3014" t="str">
        <f>CONCATENATE(MONTH(CompilDonnées[[#This Row],[HarvestingDate]])," ", YEAR(CompilDonnées[[#This Row],[HarvestingDate]]))</f>
        <v>7 2025</v>
      </c>
      <c r="N3014">
        <f>_xlfn.NUMBERVALUE(CompilDonnées[[#This Row],[FarmID]]&amp;CompilDonnées[[#This Row],[ModuleNumber]]&amp;CompilDonnées[[#This Row],[PlantationDate]])</f>
        <v>50545800</v>
      </c>
      <c r="O3014" t="str">
        <f>CompilDonnées[[#This Row],[FarmID]]&amp;CompilDonnées[[#This Row],[ModuleNumber]]</f>
        <v>505</v>
      </c>
      <c r="P3014" t="str">
        <f>CompilDonnées[[#This Row],[Ref_Module]]&amp;CompilDonnées[[#This Row],[HarvestingDate]]</f>
        <v>50545846</v>
      </c>
    </row>
    <row r="3015" spans="1:16">
      <c r="A3015" s="5">
        <v>45800</v>
      </c>
      <c r="B3015">
        <v>48</v>
      </c>
      <c r="C3015" t="s">
        <v>71</v>
      </c>
      <c r="D3015">
        <v>1</v>
      </c>
      <c r="E3015">
        <v>100</v>
      </c>
      <c r="F3015" t="s">
        <v>1</v>
      </c>
      <c r="G3015" s="6">
        <v>45843</v>
      </c>
      <c r="H3015">
        <v>43</v>
      </c>
      <c r="I3015">
        <f>ROUND(CompilDonnées[[#This Row],[CultureDuration_days]]/7,0)</f>
        <v>6</v>
      </c>
      <c r="J3015">
        <v>2780</v>
      </c>
      <c r="K3015" t="str">
        <f>_xlfn.CONCAT(WEEKNUM(CompilDonnées[[#This Row],[PlantationDate]]), " ", YEAR(CompilDonnées[[#This Row],[PlantationDate]]))</f>
        <v>21 2025</v>
      </c>
      <c r="L3015" t="str">
        <f>CONCATENATE(MONTH(CompilDonnées[[#This Row],[PlantationDate]])," ", YEAR(CompilDonnées[[#This Row],[PlantationDate]]))</f>
        <v>5 2025</v>
      </c>
      <c r="M3015" t="str">
        <f>CONCATENATE(MONTH(CompilDonnées[[#This Row],[HarvestingDate]])," ", YEAR(CompilDonnées[[#This Row],[HarvestingDate]]))</f>
        <v>7 2025</v>
      </c>
      <c r="N3015">
        <f>_xlfn.NUMBERVALUE(CompilDonnées[[#This Row],[FarmID]]&amp;CompilDonnées[[#This Row],[ModuleNumber]]&amp;CompilDonnées[[#This Row],[PlantationDate]])</f>
        <v>48145800</v>
      </c>
      <c r="O3015" t="str">
        <f>CompilDonnées[[#This Row],[FarmID]]&amp;CompilDonnées[[#This Row],[ModuleNumber]]</f>
        <v>481</v>
      </c>
      <c r="P3015" t="str">
        <f>CompilDonnées[[#This Row],[Ref_Module]]&amp;CompilDonnées[[#This Row],[HarvestingDate]]</f>
        <v>48145843</v>
      </c>
    </row>
    <row r="3016" spans="1:16">
      <c r="A3016" s="5">
        <v>45800</v>
      </c>
      <c r="B3016">
        <v>56</v>
      </c>
      <c r="C3016" t="s">
        <v>6</v>
      </c>
      <c r="D3016">
        <v>4</v>
      </c>
      <c r="E3016">
        <v>100</v>
      </c>
      <c r="F3016" t="s">
        <v>1</v>
      </c>
      <c r="G3016" s="6">
        <v>45844</v>
      </c>
      <c r="H3016">
        <v>44</v>
      </c>
      <c r="I3016">
        <f>ROUND(CompilDonnées[[#This Row],[CultureDuration_days]]/7,0)</f>
        <v>6</v>
      </c>
      <c r="J3016">
        <v>3290</v>
      </c>
      <c r="K3016" t="str">
        <f>_xlfn.CONCAT(WEEKNUM(CompilDonnées[[#This Row],[PlantationDate]]), " ", YEAR(CompilDonnées[[#This Row],[PlantationDate]]))</f>
        <v>21 2025</v>
      </c>
      <c r="L3016" t="str">
        <f>CONCATENATE(MONTH(CompilDonnées[[#This Row],[PlantationDate]])," ", YEAR(CompilDonnées[[#This Row],[PlantationDate]]))</f>
        <v>5 2025</v>
      </c>
      <c r="M3016" t="str">
        <f>CONCATENATE(MONTH(CompilDonnées[[#This Row],[HarvestingDate]])," ", YEAR(CompilDonnées[[#This Row],[HarvestingDate]]))</f>
        <v>7 2025</v>
      </c>
      <c r="N3016">
        <f>_xlfn.NUMBERVALUE(CompilDonnées[[#This Row],[FarmID]]&amp;CompilDonnées[[#This Row],[ModuleNumber]]&amp;CompilDonnées[[#This Row],[PlantationDate]])</f>
        <v>56445800</v>
      </c>
      <c r="O3016" t="str">
        <f>CompilDonnées[[#This Row],[FarmID]]&amp;CompilDonnées[[#This Row],[ModuleNumber]]</f>
        <v>564</v>
      </c>
      <c r="P3016" t="str">
        <f>CompilDonnées[[#This Row],[Ref_Module]]&amp;CompilDonnées[[#This Row],[HarvestingDate]]</f>
        <v>56445844</v>
      </c>
    </row>
    <row r="3017" spans="1:16">
      <c r="A3017" s="5">
        <v>45800</v>
      </c>
      <c r="B3017">
        <v>57</v>
      </c>
      <c r="C3017" t="s">
        <v>46</v>
      </c>
      <c r="D3017">
        <v>1</v>
      </c>
      <c r="E3017">
        <v>100</v>
      </c>
      <c r="F3017" t="s">
        <v>1</v>
      </c>
      <c r="G3017" s="6">
        <v>45830</v>
      </c>
      <c r="H3017">
        <v>30</v>
      </c>
      <c r="I3017">
        <f>ROUND(CompilDonnées[[#This Row],[CultureDuration_days]]/7,0)</f>
        <v>4</v>
      </c>
      <c r="J3017">
        <v>2467</v>
      </c>
      <c r="K3017" t="str">
        <f>_xlfn.CONCAT(WEEKNUM(CompilDonnées[[#This Row],[PlantationDate]]), " ", YEAR(CompilDonnées[[#This Row],[PlantationDate]]))</f>
        <v>21 2025</v>
      </c>
      <c r="L3017" t="str">
        <f>CONCATENATE(MONTH(CompilDonnées[[#This Row],[PlantationDate]])," ", YEAR(CompilDonnées[[#This Row],[PlantationDate]]))</f>
        <v>5 2025</v>
      </c>
      <c r="M3017" t="str">
        <f>CONCATENATE(MONTH(CompilDonnées[[#This Row],[HarvestingDate]])," ", YEAR(CompilDonnées[[#This Row],[HarvestingDate]]))</f>
        <v>6 2025</v>
      </c>
      <c r="N3017">
        <f>_xlfn.NUMBERVALUE(CompilDonnées[[#This Row],[FarmID]]&amp;CompilDonnées[[#This Row],[ModuleNumber]]&amp;CompilDonnées[[#This Row],[PlantationDate]])</f>
        <v>57145800</v>
      </c>
      <c r="O3017" t="str">
        <f>CompilDonnées[[#This Row],[FarmID]]&amp;CompilDonnées[[#This Row],[ModuleNumber]]</f>
        <v>571</v>
      </c>
      <c r="P3017" t="str">
        <f>CompilDonnées[[#This Row],[Ref_Module]]&amp;CompilDonnées[[#This Row],[HarvestingDate]]</f>
        <v>57145830</v>
      </c>
    </row>
    <row r="3018" spans="1:16">
      <c r="A3018" s="5">
        <v>45800</v>
      </c>
      <c r="B3018">
        <v>82</v>
      </c>
      <c r="C3018" t="s">
        <v>17</v>
      </c>
      <c r="D3018">
        <v>3</v>
      </c>
      <c r="E3018">
        <v>100</v>
      </c>
      <c r="F3018" t="s">
        <v>1</v>
      </c>
      <c r="G3018" s="6">
        <v>45842</v>
      </c>
      <c r="H3018">
        <v>42</v>
      </c>
      <c r="I3018">
        <f>ROUND(CompilDonnées[[#This Row],[CultureDuration_days]]/7,0)</f>
        <v>6</v>
      </c>
      <c r="J3018">
        <v>3095</v>
      </c>
      <c r="K3018" t="str">
        <f>_xlfn.CONCAT(WEEKNUM(CompilDonnées[[#This Row],[PlantationDate]]), " ", YEAR(CompilDonnées[[#This Row],[PlantationDate]]))</f>
        <v>21 2025</v>
      </c>
      <c r="L3018" t="str">
        <f>CONCATENATE(MONTH(CompilDonnées[[#This Row],[PlantationDate]])," ", YEAR(CompilDonnées[[#This Row],[PlantationDate]]))</f>
        <v>5 2025</v>
      </c>
      <c r="M3018" t="str">
        <f>CONCATENATE(MONTH(CompilDonnées[[#This Row],[HarvestingDate]])," ", YEAR(CompilDonnées[[#This Row],[HarvestingDate]]))</f>
        <v>7 2025</v>
      </c>
      <c r="N3018">
        <f>_xlfn.NUMBERVALUE(CompilDonnées[[#This Row],[FarmID]]&amp;CompilDonnées[[#This Row],[ModuleNumber]]&amp;CompilDonnées[[#This Row],[PlantationDate]])</f>
        <v>82345800</v>
      </c>
      <c r="O3018" t="str">
        <f>CompilDonnées[[#This Row],[FarmID]]&amp;CompilDonnées[[#This Row],[ModuleNumber]]</f>
        <v>823</v>
      </c>
      <c r="P3018" t="str">
        <f>CompilDonnées[[#This Row],[Ref_Module]]&amp;CompilDonnées[[#This Row],[HarvestingDate]]</f>
        <v>82345842</v>
      </c>
    </row>
    <row r="3019" spans="1:16">
      <c r="A3019" s="5">
        <v>45800</v>
      </c>
      <c r="B3019">
        <v>80</v>
      </c>
      <c r="C3019" t="s">
        <v>29</v>
      </c>
      <c r="D3019">
        <v>6</v>
      </c>
      <c r="E3019">
        <v>100</v>
      </c>
      <c r="F3019" t="s">
        <v>1</v>
      </c>
      <c r="G3019" s="6">
        <v>45842</v>
      </c>
      <c r="H3019">
        <v>42</v>
      </c>
      <c r="I3019">
        <f>ROUND(CompilDonnées[[#This Row],[CultureDuration_days]]/7,0)</f>
        <v>6</v>
      </c>
      <c r="J3019">
        <v>4428</v>
      </c>
      <c r="K3019" t="str">
        <f>_xlfn.CONCAT(WEEKNUM(CompilDonnées[[#This Row],[PlantationDate]]), " ", YEAR(CompilDonnées[[#This Row],[PlantationDate]]))</f>
        <v>21 2025</v>
      </c>
      <c r="L3019" t="str">
        <f>CONCATENATE(MONTH(CompilDonnées[[#This Row],[PlantationDate]])," ", YEAR(CompilDonnées[[#This Row],[PlantationDate]]))</f>
        <v>5 2025</v>
      </c>
      <c r="M3019" t="str">
        <f>CONCATENATE(MONTH(CompilDonnées[[#This Row],[HarvestingDate]])," ", YEAR(CompilDonnées[[#This Row],[HarvestingDate]]))</f>
        <v>7 2025</v>
      </c>
      <c r="N3019">
        <f>_xlfn.NUMBERVALUE(CompilDonnées[[#This Row],[FarmID]]&amp;CompilDonnées[[#This Row],[ModuleNumber]]&amp;CompilDonnées[[#This Row],[PlantationDate]])</f>
        <v>80645800</v>
      </c>
      <c r="O3019" t="str">
        <f>CompilDonnées[[#This Row],[FarmID]]&amp;CompilDonnées[[#This Row],[ModuleNumber]]</f>
        <v>806</v>
      </c>
      <c r="P3019" t="str">
        <f>CompilDonnées[[#This Row],[Ref_Module]]&amp;CompilDonnées[[#This Row],[HarvestingDate]]</f>
        <v>80645842</v>
      </c>
    </row>
    <row r="3020" spans="1:16">
      <c r="A3020" s="5">
        <v>45800</v>
      </c>
      <c r="B3020">
        <v>72</v>
      </c>
      <c r="C3020" t="s">
        <v>49</v>
      </c>
      <c r="D3020">
        <v>1</v>
      </c>
      <c r="E3020">
        <v>100</v>
      </c>
      <c r="F3020" t="s">
        <v>1</v>
      </c>
      <c r="G3020" s="6">
        <v>45831</v>
      </c>
      <c r="H3020">
        <v>31</v>
      </c>
      <c r="I3020">
        <f>ROUND(CompilDonnées[[#This Row],[CultureDuration_days]]/7,0)</f>
        <v>4</v>
      </c>
      <c r="J3020">
        <v>2827</v>
      </c>
      <c r="K3020" t="str">
        <f>_xlfn.CONCAT(WEEKNUM(CompilDonnées[[#This Row],[PlantationDate]]), " ", YEAR(CompilDonnées[[#This Row],[PlantationDate]]))</f>
        <v>21 2025</v>
      </c>
      <c r="L3020" t="str">
        <f>CONCATENATE(MONTH(CompilDonnées[[#This Row],[PlantationDate]])," ", YEAR(CompilDonnées[[#This Row],[PlantationDate]]))</f>
        <v>5 2025</v>
      </c>
      <c r="M3020" t="str">
        <f>CONCATENATE(MONTH(CompilDonnées[[#This Row],[HarvestingDate]])," ", YEAR(CompilDonnées[[#This Row],[HarvestingDate]]))</f>
        <v>6 2025</v>
      </c>
      <c r="N3020">
        <f>_xlfn.NUMBERVALUE(CompilDonnées[[#This Row],[FarmID]]&amp;CompilDonnées[[#This Row],[ModuleNumber]]&amp;CompilDonnées[[#This Row],[PlantationDate]])</f>
        <v>72145800</v>
      </c>
      <c r="O3020" t="str">
        <f>CompilDonnées[[#This Row],[FarmID]]&amp;CompilDonnées[[#This Row],[ModuleNumber]]</f>
        <v>721</v>
      </c>
      <c r="P3020" t="str">
        <f>CompilDonnées[[#This Row],[Ref_Module]]&amp;CompilDonnées[[#This Row],[HarvestingDate]]</f>
        <v>72145831</v>
      </c>
    </row>
    <row r="3021" spans="1:16">
      <c r="A3021" s="5">
        <v>45800</v>
      </c>
      <c r="B3021">
        <v>67</v>
      </c>
      <c r="C3021" t="s">
        <v>28</v>
      </c>
      <c r="D3021">
        <v>3</v>
      </c>
      <c r="E3021">
        <v>100</v>
      </c>
      <c r="F3021" t="s">
        <v>1</v>
      </c>
      <c r="G3021" s="6">
        <v>45831</v>
      </c>
      <c r="H3021">
        <v>31</v>
      </c>
      <c r="I3021">
        <f>ROUND(CompilDonnées[[#This Row],[CultureDuration_days]]/7,0)</f>
        <v>4</v>
      </c>
      <c r="J3021">
        <v>2977</v>
      </c>
      <c r="K3021" t="str">
        <f>_xlfn.CONCAT(WEEKNUM(CompilDonnées[[#This Row],[PlantationDate]]), " ", YEAR(CompilDonnées[[#This Row],[PlantationDate]]))</f>
        <v>21 2025</v>
      </c>
      <c r="L3021" t="str">
        <f>CONCATENATE(MONTH(CompilDonnées[[#This Row],[PlantationDate]])," ", YEAR(CompilDonnées[[#This Row],[PlantationDate]]))</f>
        <v>5 2025</v>
      </c>
      <c r="M3021" t="str">
        <f>CONCATENATE(MONTH(CompilDonnées[[#This Row],[HarvestingDate]])," ", YEAR(CompilDonnées[[#This Row],[HarvestingDate]]))</f>
        <v>6 2025</v>
      </c>
      <c r="N3021">
        <f>_xlfn.NUMBERVALUE(CompilDonnées[[#This Row],[FarmID]]&amp;CompilDonnées[[#This Row],[ModuleNumber]]&amp;CompilDonnées[[#This Row],[PlantationDate]])</f>
        <v>67345800</v>
      </c>
      <c r="O3021" t="str">
        <f>CompilDonnées[[#This Row],[FarmID]]&amp;CompilDonnées[[#This Row],[ModuleNumber]]</f>
        <v>673</v>
      </c>
      <c r="P3021" t="str">
        <f>CompilDonnées[[#This Row],[Ref_Module]]&amp;CompilDonnées[[#This Row],[HarvestingDate]]</f>
        <v>67345831</v>
      </c>
    </row>
    <row r="3022" spans="1:16">
      <c r="A3022" s="5">
        <v>45800</v>
      </c>
      <c r="B3022">
        <v>83</v>
      </c>
      <c r="C3022" t="s">
        <v>73</v>
      </c>
      <c r="D3022">
        <v>6</v>
      </c>
      <c r="E3022">
        <v>100</v>
      </c>
      <c r="F3022" t="s">
        <v>1</v>
      </c>
      <c r="G3022" s="6">
        <v>45842</v>
      </c>
      <c r="H3022">
        <v>42</v>
      </c>
      <c r="I3022">
        <f>ROUND(CompilDonnées[[#This Row],[CultureDuration_days]]/7,0)</f>
        <v>6</v>
      </c>
      <c r="J3022">
        <v>2838</v>
      </c>
      <c r="K3022" t="str">
        <f>_xlfn.CONCAT(WEEKNUM(CompilDonnées[[#This Row],[PlantationDate]]), " ", YEAR(CompilDonnées[[#This Row],[PlantationDate]]))</f>
        <v>21 2025</v>
      </c>
      <c r="L3022" t="str">
        <f>CONCATENATE(MONTH(CompilDonnées[[#This Row],[PlantationDate]])," ", YEAR(CompilDonnées[[#This Row],[PlantationDate]]))</f>
        <v>5 2025</v>
      </c>
      <c r="M3022" t="str">
        <f>CONCATENATE(MONTH(CompilDonnées[[#This Row],[HarvestingDate]])," ", YEAR(CompilDonnées[[#This Row],[HarvestingDate]]))</f>
        <v>7 2025</v>
      </c>
      <c r="N3022">
        <f>_xlfn.NUMBERVALUE(CompilDonnées[[#This Row],[FarmID]]&amp;CompilDonnées[[#This Row],[ModuleNumber]]&amp;CompilDonnées[[#This Row],[PlantationDate]])</f>
        <v>83645800</v>
      </c>
      <c r="O3022" t="str">
        <f>CompilDonnées[[#This Row],[FarmID]]&amp;CompilDonnées[[#This Row],[ModuleNumber]]</f>
        <v>836</v>
      </c>
      <c r="P3022" t="str">
        <f>CompilDonnées[[#This Row],[Ref_Module]]&amp;CompilDonnées[[#This Row],[HarvestingDate]]</f>
        <v>83645842</v>
      </c>
    </row>
    <row r="3023" spans="1:16">
      <c r="A3023" s="5">
        <v>45800</v>
      </c>
      <c r="B3023">
        <v>77</v>
      </c>
      <c r="C3023" t="s">
        <v>75</v>
      </c>
      <c r="D3023">
        <v>6</v>
      </c>
      <c r="E3023">
        <v>100</v>
      </c>
      <c r="F3023" t="s">
        <v>1</v>
      </c>
      <c r="G3023" s="6">
        <v>45847</v>
      </c>
      <c r="H3023">
        <v>47</v>
      </c>
      <c r="I3023">
        <f>ROUND(CompilDonnées[[#This Row],[CultureDuration_days]]/7,0)</f>
        <v>7</v>
      </c>
      <c r="J3023">
        <v>3379</v>
      </c>
      <c r="K3023" t="str">
        <f>_xlfn.CONCAT(WEEKNUM(CompilDonnées[[#This Row],[PlantationDate]]), " ", YEAR(CompilDonnées[[#This Row],[PlantationDate]]))</f>
        <v>21 2025</v>
      </c>
      <c r="L3023" t="str">
        <f>CONCATENATE(MONTH(CompilDonnées[[#This Row],[PlantationDate]])," ", YEAR(CompilDonnées[[#This Row],[PlantationDate]]))</f>
        <v>5 2025</v>
      </c>
      <c r="M3023" t="str">
        <f>CONCATENATE(MONTH(CompilDonnées[[#This Row],[HarvestingDate]])," ", YEAR(CompilDonnées[[#This Row],[HarvestingDate]]))</f>
        <v>7 2025</v>
      </c>
      <c r="N3023">
        <f>_xlfn.NUMBERVALUE(CompilDonnées[[#This Row],[FarmID]]&amp;CompilDonnées[[#This Row],[ModuleNumber]]&amp;CompilDonnées[[#This Row],[PlantationDate]])</f>
        <v>77645800</v>
      </c>
      <c r="O3023" t="str">
        <f>CompilDonnées[[#This Row],[FarmID]]&amp;CompilDonnées[[#This Row],[ModuleNumber]]</f>
        <v>776</v>
      </c>
      <c r="P3023" t="str">
        <f>CompilDonnées[[#This Row],[Ref_Module]]&amp;CompilDonnées[[#This Row],[HarvestingDate]]</f>
        <v>77645847</v>
      </c>
    </row>
    <row r="3024" spans="1:16">
      <c r="A3024" s="5">
        <v>45800</v>
      </c>
      <c r="B3024">
        <v>76</v>
      </c>
      <c r="C3024" t="s">
        <v>18</v>
      </c>
      <c r="D3024">
        <v>6</v>
      </c>
      <c r="E3024">
        <v>100</v>
      </c>
      <c r="F3024" t="s">
        <v>1</v>
      </c>
      <c r="G3024" s="6">
        <v>45847</v>
      </c>
      <c r="H3024">
        <v>47</v>
      </c>
      <c r="I3024">
        <f>ROUND(CompilDonnées[[#This Row],[CultureDuration_days]]/7,0)</f>
        <v>7</v>
      </c>
      <c r="J3024">
        <v>3916</v>
      </c>
      <c r="K3024" t="str">
        <f>_xlfn.CONCAT(WEEKNUM(CompilDonnées[[#This Row],[PlantationDate]]), " ", YEAR(CompilDonnées[[#This Row],[PlantationDate]]))</f>
        <v>21 2025</v>
      </c>
      <c r="L3024" t="str">
        <f>CONCATENATE(MONTH(CompilDonnées[[#This Row],[PlantationDate]])," ", YEAR(CompilDonnées[[#This Row],[PlantationDate]]))</f>
        <v>5 2025</v>
      </c>
      <c r="M3024" t="str">
        <f>CONCATENATE(MONTH(CompilDonnées[[#This Row],[HarvestingDate]])," ", YEAR(CompilDonnées[[#This Row],[HarvestingDate]]))</f>
        <v>7 2025</v>
      </c>
      <c r="N3024">
        <f>_xlfn.NUMBERVALUE(CompilDonnées[[#This Row],[FarmID]]&amp;CompilDonnées[[#This Row],[ModuleNumber]]&amp;CompilDonnées[[#This Row],[PlantationDate]])</f>
        <v>76645800</v>
      </c>
      <c r="O3024" t="str">
        <f>CompilDonnées[[#This Row],[FarmID]]&amp;CompilDonnées[[#This Row],[ModuleNumber]]</f>
        <v>766</v>
      </c>
      <c r="P3024" t="str">
        <f>CompilDonnées[[#This Row],[Ref_Module]]&amp;CompilDonnées[[#This Row],[HarvestingDate]]</f>
        <v>76645847</v>
      </c>
    </row>
    <row r="3025" spans="1:16">
      <c r="A3025" s="5">
        <v>45800</v>
      </c>
      <c r="B3025">
        <v>108</v>
      </c>
      <c r="C3025" t="s">
        <v>58</v>
      </c>
      <c r="D3025">
        <v>3</v>
      </c>
      <c r="E3025">
        <v>100</v>
      </c>
      <c r="F3025" t="s">
        <v>1</v>
      </c>
      <c r="G3025" s="6">
        <v>45839</v>
      </c>
      <c r="H3025">
        <v>39</v>
      </c>
      <c r="I3025">
        <f>ROUND(CompilDonnées[[#This Row],[CultureDuration_days]]/7,0)</f>
        <v>6</v>
      </c>
      <c r="J3025">
        <v>2940</v>
      </c>
      <c r="K3025" t="str">
        <f>_xlfn.CONCAT(WEEKNUM(CompilDonnées[[#This Row],[PlantationDate]]), " ", YEAR(CompilDonnées[[#This Row],[PlantationDate]]))</f>
        <v>21 2025</v>
      </c>
      <c r="L3025" t="str">
        <f>CONCATENATE(MONTH(CompilDonnées[[#This Row],[PlantationDate]])," ", YEAR(CompilDonnées[[#This Row],[PlantationDate]]))</f>
        <v>5 2025</v>
      </c>
      <c r="M3025" t="str">
        <f>CONCATENATE(MONTH(CompilDonnées[[#This Row],[HarvestingDate]])," ", YEAR(CompilDonnées[[#This Row],[HarvestingDate]]))</f>
        <v>7 2025</v>
      </c>
      <c r="N3025">
        <f>_xlfn.NUMBERVALUE(CompilDonnées[[#This Row],[FarmID]]&amp;CompilDonnées[[#This Row],[ModuleNumber]]&amp;CompilDonnées[[#This Row],[PlantationDate]])</f>
        <v>108345800</v>
      </c>
      <c r="O3025" t="str">
        <f>CompilDonnées[[#This Row],[FarmID]]&amp;CompilDonnées[[#This Row],[ModuleNumber]]</f>
        <v>1083</v>
      </c>
      <c r="P3025" t="str">
        <f>CompilDonnées[[#This Row],[Ref_Module]]&amp;CompilDonnées[[#This Row],[HarvestingDate]]</f>
        <v>108345839</v>
      </c>
    </row>
    <row r="3026" spans="1:16">
      <c r="A3026" s="5">
        <v>45800</v>
      </c>
      <c r="B3026">
        <v>107</v>
      </c>
      <c r="C3026" t="s">
        <v>23</v>
      </c>
      <c r="D3026">
        <v>3</v>
      </c>
      <c r="E3026">
        <v>100</v>
      </c>
      <c r="F3026" t="s">
        <v>1</v>
      </c>
      <c r="G3026" s="6">
        <v>45838</v>
      </c>
      <c r="H3026">
        <v>38</v>
      </c>
      <c r="I3026">
        <f>ROUND(CompilDonnées[[#This Row],[CultureDuration_days]]/7,0)</f>
        <v>5</v>
      </c>
      <c r="J3026">
        <v>2980</v>
      </c>
      <c r="K3026" t="str">
        <f>_xlfn.CONCAT(WEEKNUM(CompilDonnées[[#This Row],[PlantationDate]]), " ", YEAR(CompilDonnées[[#This Row],[PlantationDate]]))</f>
        <v>21 2025</v>
      </c>
      <c r="L3026" t="str">
        <f>CONCATENATE(MONTH(CompilDonnées[[#This Row],[PlantationDate]])," ", YEAR(CompilDonnées[[#This Row],[PlantationDate]]))</f>
        <v>5 2025</v>
      </c>
      <c r="M3026" t="str">
        <f>CONCATENATE(MONTH(CompilDonnées[[#This Row],[HarvestingDate]])," ", YEAR(CompilDonnées[[#This Row],[HarvestingDate]]))</f>
        <v>6 2025</v>
      </c>
      <c r="N3026">
        <f>_xlfn.NUMBERVALUE(CompilDonnées[[#This Row],[FarmID]]&amp;CompilDonnées[[#This Row],[ModuleNumber]]&amp;CompilDonnées[[#This Row],[PlantationDate]])</f>
        <v>107345800</v>
      </c>
      <c r="O3026" t="str">
        <f>CompilDonnées[[#This Row],[FarmID]]&amp;CompilDonnées[[#This Row],[ModuleNumber]]</f>
        <v>1073</v>
      </c>
      <c r="P3026" t="str">
        <f>CompilDonnées[[#This Row],[Ref_Module]]&amp;CompilDonnées[[#This Row],[HarvestingDate]]</f>
        <v>107345838</v>
      </c>
    </row>
    <row r="3027" spans="1:16">
      <c r="A3027" s="5">
        <v>45800</v>
      </c>
      <c r="B3027">
        <v>101</v>
      </c>
      <c r="C3027" t="s">
        <v>54</v>
      </c>
      <c r="D3027">
        <v>6</v>
      </c>
      <c r="E3027">
        <v>100</v>
      </c>
      <c r="F3027" t="s">
        <v>1</v>
      </c>
      <c r="G3027" s="6">
        <v>45839</v>
      </c>
      <c r="H3027">
        <v>39</v>
      </c>
      <c r="I3027">
        <f>ROUND(CompilDonnées[[#This Row],[CultureDuration_days]]/7,0)</f>
        <v>6</v>
      </c>
      <c r="J3027">
        <v>4596</v>
      </c>
      <c r="K3027" t="str">
        <f>_xlfn.CONCAT(WEEKNUM(CompilDonnées[[#This Row],[PlantationDate]]), " ", YEAR(CompilDonnées[[#This Row],[PlantationDate]]))</f>
        <v>21 2025</v>
      </c>
      <c r="L3027" t="str">
        <f>CONCATENATE(MONTH(CompilDonnées[[#This Row],[PlantationDate]])," ", YEAR(CompilDonnées[[#This Row],[PlantationDate]]))</f>
        <v>5 2025</v>
      </c>
      <c r="M3027" t="str">
        <f>CONCATENATE(MONTH(CompilDonnées[[#This Row],[HarvestingDate]])," ", YEAR(CompilDonnées[[#This Row],[HarvestingDate]]))</f>
        <v>7 2025</v>
      </c>
      <c r="N3027">
        <f>_xlfn.NUMBERVALUE(CompilDonnées[[#This Row],[FarmID]]&amp;CompilDonnées[[#This Row],[ModuleNumber]]&amp;CompilDonnées[[#This Row],[PlantationDate]])</f>
        <v>101645800</v>
      </c>
      <c r="O3027" t="str">
        <f>CompilDonnées[[#This Row],[FarmID]]&amp;CompilDonnées[[#This Row],[ModuleNumber]]</f>
        <v>1016</v>
      </c>
      <c r="P3027" t="str">
        <f>CompilDonnées[[#This Row],[Ref_Module]]&amp;CompilDonnées[[#This Row],[HarvestingDate]]</f>
        <v>101645839</v>
      </c>
    </row>
    <row r="3028" spans="1:16">
      <c r="A3028" s="5">
        <v>45800</v>
      </c>
      <c r="B3028">
        <v>99</v>
      </c>
      <c r="C3028" t="s">
        <v>117</v>
      </c>
      <c r="D3028">
        <v>5</v>
      </c>
      <c r="E3028">
        <v>100</v>
      </c>
      <c r="F3028" t="s">
        <v>1</v>
      </c>
      <c r="G3028" s="6">
        <v>45839</v>
      </c>
      <c r="H3028">
        <v>39</v>
      </c>
      <c r="I3028">
        <f>ROUND(CompilDonnées[[#This Row],[CultureDuration_days]]/7,0)</f>
        <v>6</v>
      </c>
      <c r="J3028">
        <v>3224</v>
      </c>
      <c r="K3028" t="str">
        <f>_xlfn.CONCAT(WEEKNUM(CompilDonnées[[#This Row],[PlantationDate]]), " ", YEAR(CompilDonnées[[#This Row],[PlantationDate]]))</f>
        <v>21 2025</v>
      </c>
      <c r="L3028" t="str">
        <f>CONCATENATE(MONTH(CompilDonnées[[#This Row],[PlantationDate]])," ", YEAR(CompilDonnées[[#This Row],[PlantationDate]]))</f>
        <v>5 2025</v>
      </c>
      <c r="M3028" t="str">
        <f>CONCATENATE(MONTH(CompilDonnées[[#This Row],[HarvestingDate]])," ", YEAR(CompilDonnées[[#This Row],[HarvestingDate]]))</f>
        <v>7 2025</v>
      </c>
      <c r="N3028">
        <f>_xlfn.NUMBERVALUE(CompilDonnées[[#This Row],[FarmID]]&amp;CompilDonnées[[#This Row],[ModuleNumber]]&amp;CompilDonnées[[#This Row],[PlantationDate]])</f>
        <v>99545800</v>
      </c>
      <c r="O3028" t="str">
        <f>CompilDonnées[[#This Row],[FarmID]]&amp;CompilDonnées[[#This Row],[ModuleNumber]]</f>
        <v>995</v>
      </c>
      <c r="P3028" t="str">
        <f>CompilDonnées[[#This Row],[Ref_Module]]&amp;CompilDonnées[[#This Row],[HarvestingDate]]</f>
        <v>99545839</v>
      </c>
    </row>
    <row r="3029" spans="1:16">
      <c r="A3029" s="5">
        <v>45800</v>
      </c>
      <c r="B3029">
        <v>98</v>
      </c>
      <c r="C3029" t="s">
        <v>79</v>
      </c>
      <c r="D3029">
        <v>3</v>
      </c>
      <c r="E3029">
        <v>100</v>
      </c>
      <c r="F3029" t="s">
        <v>1</v>
      </c>
      <c r="G3029" s="6">
        <v>45838</v>
      </c>
      <c r="H3029">
        <v>38</v>
      </c>
      <c r="I3029">
        <f>ROUND(CompilDonnées[[#This Row],[CultureDuration_days]]/7,0)</f>
        <v>5</v>
      </c>
      <c r="J3029">
        <v>3130</v>
      </c>
      <c r="K3029" t="str">
        <f>_xlfn.CONCAT(WEEKNUM(CompilDonnées[[#This Row],[PlantationDate]]), " ", YEAR(CompilDonnées[[#This Row],[PlantationDate]]))</f>
        <v>21 2025</v>
      </c>
      <c r="L3029" t="str">
        <f>CONCATENATE(MONTH(CompilDonnées[[#This Row],[PlantationDate]])," ", YEAR(CompilDonnées[[#This Row],[PlantationDate]]))</f>
        <v>5 2025</v>
      </c>
      <c r="M3029" t="str">
        <f>CONCATENATE(MONTH(CompilDonnées[[#This Row],[HarvestingDate]])," ", YEAR(CompilDonnées[[#This Row],[HarvestingDate]]))</f>
        <v>6 2025</v>
      </c>
      <c r="N3029">
        <f>_xlfn.NUMBERVALUE(CompilDonnées[[#This Row],[FarmID]]&amp;CompilDonnées[[#This Row],[ModuleNumber]]&amp;CompilDonnées[[#This Row],[PlantationDate]])</f>
        <v>98345800</v>
      </c>
      <c r="O3029" t="str">
        <f>CompilDonnées[[#This Row],[FarmID]]&amp;CompilDonnées[[#This Row],[ModuleNumber]]</f>
        <v>983</v>
      </c>
      <c r="P3029" t="str">
        <f>CompilDonnées[[#This Row],[Ref_Module]]&amp;CompilDonnées[[#This Row],[HarvestingDate]]</f>
        <v>98345838</v>
      </c>
    </row>
    <row r="3030" spans="1:16">
      <c r="A3030" s="5">
        <v>45800</v>
      </c>
      <c r="B3030">
        <v>94</v>
      </c>
      <c r="C3030" t="s">
        <v>40</v>
      </c>
      <c r="D3030">
        <v>4</v>
      </c>
      <c r="E3030">
        <v>100</v>
      </c>
      <c r="F3030" t="s">
        <v>1</v>
      </c>
      <c r="G3030" s="6">
        <v>45853</v>
      </c>
      <c r="H3030">
        <v>53</v>
      </c>
      <c r="I3030">
        <f>ROUND(CompilDonnées[[#This Row],[CultureDuration_days]]/7,0)</f>
        <v>8</v>
      </c>
      <c r="J3030">
        <v>3161</v>
      </c>
      <c r="K3030" t="str">
        <f>_xlfn.CONCAT(WEEKNUM(CompilDonnées[[#This Row],[PlantationDate]]), " ", YEAR(CompilDonnées[[#This Row],[PlantationDate]]))</f>
        <v>21 2025</v>
      </c>
      <c r="L3030" t="str">
        <f>CONCATENATE(MONTH(CompilDonnées[[#This Row],[PlantationDate]])," ", YEAR(CompilDonnées[[#This Row],[PlantationDate]]))</f>
        <v>5 2025</v>
      </c>
      <c r="M3030" t="str">
        <f>CONCATENATE(MONTH(CompilDonnées[[#This Row],[HarvestingDate]])," ", YEAR(CompilDonnées[[#This Row],[HarvestingDate]]))</f>
        <v>7 2025</v>
      </c>
      <c r="N3030">
        <f>_xlfn.NUMBERVALUE(CompilDonnées[[#This Row],[FarmID]]&amp;CompilDonnées[[#This Row],[ModuleNumber]]&amp;CompilDonnées[[#This Row],[PlantationDate]])</f>
        <v>94445800</v>
      </c>
      <c r="O3030" t="str">
        <f>CompilDonnées[[#This Row],[FarmID]]&amp;CompilDonnées[[#This Row],[ModuleNumber]]</f>
        <v>944</v>
      </c>
      <c r="P3030" t="str">
        <f>CompilDonnées[[#This Row],[Ref_Module]]&amp;CompilDonnées[[#This Row],[HarvestingDate]]</f>
        <v>94445853</v>
      </c>
    </row>
    <row r="3031" spans="1:16">
      <c r="A3031" s="5">
        <v>45800</v>
      </c>
      <c r="B3031">
        <v>93</v>
      </c>
      <c r="C3031" t="s">
        <v>10</v>
      </c>
      <c r="D3031">
        <v>4</v>
      </c>
      <c r="E3031">
        <v>100</v>
      </c>
      <c r="F3031" t="s">
        <v>1</v>
      </c>
      <c r="G3031" s="6">
        <v>45839</v>
      </c>
      <c r="H3031">
        <v>39</v>
      </c>
      <c r="I3031">
        <f>ROUND(CompilDonnées[[#This Row],[CultureDuration_days]]/7,0)</f>
        <v>6</v>
      </c>
      <c r="J3031">
        <v>3229</v>
      </c>
      <c r="K3031" t="str">
        <f>_xlfn.CONCAT(WEEKNUM(CompilDonnées[[#This Row],[PlantationDate]]), " ", YEAR(CompilDonnées[[#This Row],[PlantationDate]]))</f>
        <v>21 2025</v>
      </c>
      <c r="L3031" t="str">
        <f>CONCATENATE(MONTH(CompilDonnées[[#This Row],[PlantationDate]])," ", YEAR(CompilDonnées[[#This Row],[PlantationDate]]))</f>
        <v>5 2025</v>
      </c>
      <c r="M3031" t="str">
        <f>CONCATENATE(MONTH(CompilDonnées[[#This Row],[HarvestingDate]])," ", YEAR(CompilDonnées[[#This Row],[HarvestingDate]]))</f>
        <v>7 2025</v>
      </c>
      <c r="N3031">
        <f>_xlfn.NUMBERVALUE(CompilDonnées[[#This Row],[FarmID]]&amp;CompilDonnées[[#This Row],[ModuleNumber]]&amp;CompilDonnées[[#This Row],[PlantationDate]])</f>
        <v>93445800</v>
      </c>
      <c r="O3031" t="str">
        <f>CompilDonnées[[#This Row],[FarmID]]&amp;CompilDonnées[[#This Row],[ModuleNumber]]</f>
        <v>934</v>
      </c>
      <c r="P3031" t="str">
        <f>CompilDonnées[[#This Row],[Ref_Module]]&amp;CompilDonnées[[#This Row],[HarvestingDate]]</f>
        <v>93445839</v>
      </c>
    </row>
    <row r="3032" spans="1:16">
      <c r="A3032" s="5">
        <v>45800</v>
      </c>
      <c r="B3032">
        <v>92</v>
      </c>
      <c r="C3032" t="s">
        <v>66</v>
      </c>
      <c r="D3032">
        <v>5</v>
      </c>
      <c r="E3032">
        <v>100</v>
      </c>
      <c r="F3032" t="s">
        <v>1</v>
      </c>
      <c r="G3032" s="6">
        <v>45839</v>
      </c>
      <c r="H3032">
        <v>39</v>
      </c>
      <c r="I3032">
        <f>ROUND(CompilDonnées[[#This Row],[CultureDuration_days]]/7,0)</f>
        <v>6</v>
      </c>
      <c r="J3032">
        <v>3430</v>
      </c>
      <c r="K3032" t="str">
        <f>_xlfn.CONCAT(WEEKNUM(CompilDonnées[[#This Row],[PlantationDate]]), " ", YEAR(CompilDonnées[[#This Row],[PlantationDate]]))</f>
        <v>21 2025</v>
      </c>
      <c r="L3032" t="str">
        <f>CONCATENATE(MONTH(CompilDonnées[[#This Row],[PlantationDate]])," ", YEAR(CompilDonnées[[#This Row],[PlantationDate]]))</f>
        <v>5 2025</v>
      </c>
      <c r="M3032" t="str">
        <f>CONCATENATE(MONTH(CompilDonnées[[#This Row],[HarvestingDate]])," ", YEAR(CompilDonnées[[#This Row],[HarvestingDate]]))</f>
        <v>7 2025</v>
      </c>
      <c r="N3032">
        <f>_xlfn.NUMBERVALUE(CompilDonnées[[#This Row],[FarmID]]&amp;CompilDonnées[[#This Row],[ModuleNumber]]&amp;CompilDonnées[[#This Row],[PlantationDate]])</f>
        <v>92545800</v>
      </c>
      <c r="O3032" t="str">
        <f>CompilDonnées[[#This Row],[FarmID]]&amp;CompilDonnées[[#This Row],[ModuleNumber]]</f>
        <v>925</v>
      </c>
      <c r="P3032" t="str">
        <f>CompilDonnées[[#This Row],[Ref_Module]]&amp;CompilDonnées[[#This Row],[HarvestingDate]]</f>
        <v>92545839</v>
      </c>
    </row>
    <row r="3033" spans="1:16">
      <c r="A3033" s="5">
        <v>45800</v>
      </c>
      <c r="B3033">
        <v>91</v>
      </c>
      <c r="C3033" t="s">
        <v>9</v>
      </c>
      <c r="D3033">
        <v>2</v>
      </c>
      <c r="E3033">
        <v>100</v>
      </c>
      <c r="F3033" t="s">
        <v>1</v>
      </c>
      <c r="G3033" s="6">
        <v>45846</v>
      </c>
      <c r="H3033">
        <v>46</v>
      </c>
      <c r="I3033">
        <f>ROUND(CompilDonnées[[#This Row],[CultureDuration_days]]/7,0)</f>
        <v>7</v>
      </c>
      <c r="J3033">
        <v>3149</v>
      </c>
      <c r="K3033" t="str">
        <f>_xlfn.CONCAT(WEEKNUM(CompilDonnées[[#This Row],[PlantationDate]]), " ", YEAR(CompilDonnées[[#This Row],[PlantationDate]]))</f>
        <v>21 2025</v>
      </c>
      <c r="L3033" t="str">
        <f>CONCATENATE(MONTH(CompilDonnées[[#This Row],[PlantationDate]])," ", YEAR(CompilDonnées[[#This Row],[PlantationDate]]))</f>
        <v>5 2025</v>
      </c>
      <c r="M3033" t="str">
        <f>CONCATENATE(MONTH(CompilDonnées[[#This Row],[HarvestingDate]])," ", YEAR(CompilDonnées[[#This Row],[HarvestingDate]]))</f>
        <v>7 2025</v>
      </c>
      <c r="N3033">
        <f>_xlfn.NUMBERVALUE(CompilDonnées[[#This Row],[FarmID]]&amp;CompilDonnées[[#This Row],[ModuleNumber]]&amp;CompilDonnées[[#This Row],[PlantationDate]])</f>
        <v>91245800</v>
      </c>
      <c r="O3033" t="str">
        <f>CompilDonnées[[#This Row],[FarmID]]&amp;CompilDonnées[[#This Row],[ModuleNumber]]</f>
        <v>912</v>
      </c>
      <c r="P3033" t="str">
        <f>CompilDonnées[[#This Row],[Ref_Module]]&amp;CompilDonnées[[#This Row],[HarvestingDate]]</f>
        <v>91245846</v>
      </c>
    </row>
    <row r="3034" spans="1:16">
      <c r="A3034" s="5">
        <v>45800</v>
      </c>
      <c r="B3034">
        <v>87</v>
      </c>
      <c r="C3034" t="s">
        <v>38</v>
      </c>
      <c r="D3034">
        <v>5</v>
      </c>
      <c r="E3034">
        <v>100</v>
      </c>
      <c r="F3034" t="s">
        <v>1</v>
      </c>
      <c r="G3034" s="6">
        <v>45842</v>
      </c>
      <c r="H3034">
        <v>42</v>
      </c>
      <c r="I3034">
        <f>ROUND(CompilDonnées[[#This Row],[CultureDuration_days]]/7,0)</f>
        <v>6</v>
      </c>
      <c r="J3034">
        <v>2596</v>
      </c>
      <c r="K3034" t="str">
        <f>_xlfn.CONCAT(WEEKNUM(CompilDonnées[[#This Row],[PlantationDate]]), " ", YEAR(CompilDonnées[[#This Row],[PlantationDate]]))</f>
        <v>21 2025</v>
      </c>
      <c r="L3034" t="str">
        <f>CONCATENATE(MONTH(CompilDonnées[[#This Row],[PlantationDate]])," ", YEAR(CompilDonnées[[#This Row],[PlantationDate]]))</f>
        <v>5 2025</v>
      </c>
      <c r="M3034" t="str">
        <f>CONCATENATE(MONTH(CompilDonnées[[#This Row],[HarvestingDate]])," ", YEAR(CompilDonnées[[#This Row],[HarvestingDate]]))</f>
        <v>7 2025</v>
      </c>
      <c r="N3034">
        <f>_xlfn.NUMBERVALUE(CompilDonnées[[#This Row],[FarmID]]&amp;CompilDonnées[[#This Row],[ModuleNumber]]&amp;CompilDonnées[[#This Row],[PlantationDate]])</f>
        <v>87545800</v>
      </c>
      <c r="O3034" t="str">
        <f>CompilDonnées[[#This Row],[FarmID]]&amp;CompilDonnées[[#This Row],[ModuleNumber]]</f>
        <v>875</v>
      </c>
      <c r="P3034" t="str">
        <f>CompilDonnées[[#This Row],[Ref_Module]]&amp;CompilDonnées[[#This Row],[HarvestingDate]]</f>
        <v>87545842</v>
      </c>
    </row>
    <row r="3035" spans="1:16">
      <c r="A3035" s="5">
        <v>45800</v>
      </c>
      <c r="B3035">
        <v>86</v>
      </c>
      <c r="C3035" t="s">
        <v>37</v>
      </c>
      <c r="D3035">
        <v>4</v>
      </c>
      <c r="E3035">
        <v>100</v>
      </c>
      <c r="F3035" t="s">
        <v>1</v>
      </c>
      <c r="G3035" s="6">
        <v>45842</v>
      </c>
      <c r="H3035">
        <v>42</v>
      </c>
      <c r="I3035">
        <f>ROUND(CompilDonnées[[#This Row],[CultureDuration_days]]/7,0)</f>
        <v>6</v>
      </c>
      <c r="J3035">
        <v>3055</v>
      </c>
      <c r="K3035" t="str">
        <f>_xlfn.CONCAT(WEEKNUM(CompilDonnées[[#This Row],[PlantationDate]]), " ", YEAR(CompilDonnées[[#This Row],[PlantationDate]]))</f>
        <v>21 2025</v>
      </c>
      <c r="L3035" t="str">
        <f>CONCATENATE(MONTH(CompilDonnées[[#This Row],[PlantationDate]])," ", YEAR(CompilDonnées[[#This Row],[PlantationDate]]))</f>
        <v>5 2025</v>
      </c>
      <c r="M3035" t="str">
        <f>CONCATENATE(MONTH(CompilDonnées[[#This Row],[HarvestingDate]])," ", YEAR(CompilDonnées[[#This Row],[HarvestingDate]]))</f>
        <v>7 2025</v>
      </c>
      <c r="N3035">
        <f>_xlfn.NUMBERVALUE(CompilDonnées[[#This Row],[FarmID]]&amp;CompilDonnées[[#This Row],[ModuleNumber]]&amp;CompilDonnées[[#This Row],[PlantationDate]])</f>
        <v>86445800</v>
      </c>
      <c r="O3035" t="str">
        <f>CompilDonnées[[#This Row],[FarmID]]&amp;CompilDonnées[[#This Row],[ModuleNumber]]</f>
        <v>864</v>
      </c>
      <c r="P3035" t="str">
        <f>CompilDonnées[[#This Row],[Ref_Module]]&amp;CompilDonnées[[#This Row],[HarvestingDate]]</f>
        <v>86445842</v>
      </c>
    </row>
    <row r="3036" spans="1:16">
      <c r="A3036" s="5">
        <v>45800</v>
      </c>
      <c r="B3036">
        <v>90</v>
      </c>
      <c r="C3036" t="s">
        <v>72</v>
      </c>
      <c r="D3036">
        <v>5</v>
      </c>
      <c r="E3036">
        <v>100</v>
      </c>
      <c r="F3036" t="s">
        <v>1</v>
      </c>
      <c r="G3036" s="6">
        <v>45839</v>
      </c>
      <c r="H3036">
        <v>39</v>
      </c>
      <c r="I3036">
        <f>ROUND(CompilDonnées[[#This Row],[CultureDuration_days]]/7,0)</f>
        <v>6</v>
      </c>
      <c r="J3036">
        <v>1973</v>
      </c>
      <c r="K3036" t="str">
        <f>_xlfn.CONCAT(WEEKNUM(CompilDonnées[[#This Row],[PlantationDate]]), " ", YEAR(CompilDonnées[[#This Row],[PlantationDate]]))</f>
        <v>21 2025</v>
      </c>
      <c r="L3036" t="str">
        <f>CONCATENATE(MONTH(CompilDonnées[[#This Row],[PlantationDate]])," ", YEAR(CompilDonnées[[#This Row],[PlantationDate]]))</f>
        <v>5 2025</v>
      </c>
      <c r="M3036" t="str">
        <f>CONCATENATE(MONTH(CompilDonnées[[#This Row],[HarvestingDate]])," ", YEAR(CompilDonnées[[#This Row],[HarvestingDate]]))</f>
        <v>7 2025</v>
      </c>
      <c r="N3036">
        <f>_xlfn.NUMBERVALUE(CompilDonnées[[#This Row],[FarmID]]&amp;CompilDonnées[[#This Row],[ModuleNumber]]&amp;CompilDonnées[[#This Row],[PlantationDate]])</f>
        <v>90545800</v>
      </c>
      <c r="O3036" t="str">
        <f>CompilDonnées[[#This Row],[FarmID]]&amp;CompilDonnées[[#This Row],[ModuleNumber]]</f>
        <v>905</v>
      </c>
      <c r="P3036" t="str">
        <f>CompilDonnées[[#This Row],[Ref_Module]]&amp;CompilDonnées[[#This Row],[HarvestingDate]]</f>
        <v>90545839</v>
      </c>
    </row>
    <row r="3037" spans="1:16">
      <c r="A3037" s="5">
        <v>45800</v>
      </c>
      <c r="B3037">
        <v>97</v>
      </c>
      <c r="C3037" t="s">
        <v>78</v>
      </c>
      <c r="D3037">
        <v>3</v>
      </c>
      <c r="E3037">
        <v>100</v>
      </c>
      <c r="F3037" t="s">
        <v>1</v>
      </c>
      <c r="G3037" s="6">
        <v>45838</v>
      </c>
      <c r="H3037">
        <v>38</v>
      </c>
      <c r="I3037">
        <f>ROUND(CompilDonnées[[#This Row],[CultureDuration_days]]/7,0)</f>
        <v>5</v>
      </c>
      <c r="J3037">
        <v>2312</v>
      </c>
      <c r="K3037" t="str">
        <f>_xlfn.CONCAT(WEEKNUM(CompilDonnées[[#This Row],[PlantationDate]]), " ", YEAR(CompilDonnées[[#This Row],[PlantationDate]]))</f>
        <v>21 2025</v>
      </c>
      <c r="L3037" t="str">
        <f>CONCATENATE(MONTH(CompilDonnées[[#This Row],[PlantationDate]])," ", YEAR(CompilDonnées[[#This Row],[PlantationDate]]))</f>
        <v>5 2025</v>
      </c>
      <c r="M3037" t="str">
        <f>CONCATENATE(MONTH(CompilDonnées[[#This Row],[HarvestingDate]])," ", YEAR(CompilDonnées[[#This Row],[HarvestingDate]]))</f>
        <v>6 2025</v>
      </c>
      <c r="N3037">
        <f>_xlfn.NUMBERVALUE(CompilDonnées[[#This Row],[FarmID]]&amp;CompilDonnées[[#This Row],[ModuleNumber]]&amp;CompilDonnées[[#This Row],[PlantationDate]])</f>
        <v>97345800</v>
      </c>
      <c r="O3037" t="str">
        <f>CompilDonnées[[#This Row],[FarmID]]&amp;CompilDonnées[[#This Row],[ModuleNumber]]</f>
        <v>973</v>
      </c>
      <c r="P3037" t="str">
        <f>CompilDonnées[[#This Row],[Ref_Module]]&amp;CompilDonnées[[#This Row],[HarvestingDate]]</f>
        <v>97345838</v>
      </c>
    </row>
    <row r="3038" spans="1:16">
      <c r="A3038" s="5">
        <v>45800</v>
      </c>
      <c r="B3038">
        <v>96</v>
      </c>
      <c r="C3038" t="s">
        <v>125</v>
      </c>
      <c r="D3038">
        <v>6</v>
      </c>
      <c r="E3038">
        <v>100</v>
      </c>
      <c r="F3038" t="s">
        <v>1</v>
      </c>
      <c r="G3038" s="6">
        <v>45839</v>
      </c>
      <c r="H3038">
        <v>39</v>
      </c>
      <c r="I3038">
        <f>ROUND(CompilDonnées[[#This Row],[CultureDuration_days]]/7,0)</f>
        <v>6</v>
      </c>
      <c r="J3038">
        <v>1812</v>
      </c>
      <c r="K3038" t="str">
        <f>_xlfn.CONCAT(WEEKNUM(CompilDonnées[[#This Row],[PlantationDate]]), " ", YEAR(CompilDonnées[[#This Row],[PlantationDate]]))</f>
        <v>21 2025</v>
      </c>
      <c r="L3038" t="str">
        <f>CONCATENATE(MONTH(CompilDonnées[[#This Row],[PlantationDate]])," ", YEAR(CompilDonnées[[#This Row],[PlantationDate]]))</f>
        <v>5 2025</v>
      </c>
      <c r="M3038" t="str">
        <f>CONCATENATE(MONTH(CompilDonnées[[#This Row],[HarvestingDate]])," ", YEAR(CompilDonnées[[#This Row],[HarvestingDate]]))</f>
        <v>7 2025</v>
      </c>
      <c r="N3038">
        <f>_xlfn.NUMBERVALUE(CompilDonnées[[#This Row],[FarmID]]&amp;CompilDonnées[[#This Row],[ModuleNumber]]&amp;CompilDonnées[[#This Row],[PlantationDate]])</f>
        <v>96645800</v>
      </c>
      <c r="O3038" t="str">
        <f>CompilDonnées[[#This Row],[FarmID]]&amp;CompilDonnées[[#This Row],[ModuleNumber]]</f>
        <v>966</v>
      </c>
      <c r="P3038" t="str">
        <f>CompilDonnées[[#This Row],[Ref_Module]]&amp;CompilDonnées[[#This Row],[HarvestingDate]]</f>
        <v>96645839</v>
      </c>
    </row>
    <row r="3039" spans="1:16">
      <c r="A3039" s="5">
        <v>45800</v>
      </c>
      <c r="B3039">
        <v>104</v>
      </c>
      <c r="C3039" t="s">
        <v>91</v>
      </c>
      <c r="D3039">
        <v>5</v>
      </c>
      <c r="E3039">
        <v>100</v>
      </c>
      <c r="F3039" t="s">
        <v>1</v>
      </c>
      <c r="G3039" s="6">
        <v>45848</v>
      </c>
      <c r="H3039">
        <v>48</v>
      </c>
      <c r="I3039">
        <f>ROUND(CompilDonnées[[#This Row],[CultureDuration_days]]/7,0)</f>
        <v>7</v>
      </c>
      <c r="J3039">
        <v>2613</v>
      </c>
      <c r="K3039" t="str">
        <f>_xlfn.CONCAT(WEEKNUM(CompilDonnées[[#This Row],[PlantationDate]]), " ", YEAR(CompilDonnées[[#This Row],[PlantationDate]]))</f>
        <v>21 2025</v>
      </c>
      <c r="L3039" t="str">
        <f>CONCATENATE(MONTH(CompilDonnées[[#This Row],[PlantationDate]])," ", YEAR(CompilDonnées[[#This Row],[PlantationDate]]))</f>
        <v>5 2025</v>
      </c>
      <c r="M3039" t="str">
        <f>CONCATENATE(MONTH(CompilDonnées[[#This Row],[HarvestingDate]])," ", YEAR(CompilDonnées[[#This Row],[HarvestingDate]]))</f>
        <v>7 2025</v>
      </c>
      <c r="N3039">
        <f>_xlfn.NUMBERVALUE(CompilDonnées[[#This Row],[FarmID]]&amp;CompilDonnées[[#This Row],[ModuleNumber]]&amp;CompilDonnées[[#This Row],[PlantationDate]])</f>
        <v>104545800</v>
      </c>
      <c r="O3039" t="str">
        <f>CompilDonnées[[#This Row],[FarmID]]&amp;CompilDonnées[[#This Row],[ModuleNumber]]</f>
        <v>1045</v>
      </c>
      <c r="P3039" t="str">
        <f>CompilDonnées[[#This Row],[Ref_Module]]&amp;CompilDonnées[[#This Row],[HarvestingDate]]</f>
        <v>104545848</v>
      </c>
    </row>
    <row r="3040" spans="1:16">
      <c r="A3040" s="5">
        <v>45800</v>
      </c>
      <c r="B3040">
        <v>102</v>
      </c>
      <c r="C3040" t="s">
        <v>85</v>
      </c>
      <c r="D3040">
        <v>2</v>
      </c>
      <c r="E3040">
        <v>100</v>
      </c>
      <c r="F3040" t="s">
        <v>1</v>
      </c>
      <c r="G3040" s="6">
        <v>45848</v>
      </c>
      <c r="H3040">
        <v>48</v>
      </c>
      <c r="I3040">
        <f>ROUND(CompilDonnées[[#This Row],[CultureDuration_days]]/7,0)</f>
        <v>7</v>
      </c>
      <c r="J3040">
        <v>1930</v>
      </c>
      <c r="K3040" t="str">
        <f>_xlfn.CONCAT(WEEKNUM(CompilDonnées[[#This Row],[PlantationDate]]), " ", YEAR(CompilDonnées[[#This Row],[PlantationDate]]))</f>
        <v>21 2025</v>
      </c>
      <c r="L3040" t="str">
        <f>CONCATENATE(MONTH(CompilDonnées[[#This Row],[PlantationDate]])," ", YEAR(CompilDonnées[[#This Row],[PlantationDate]]))</f>
        <v>5 2025</v>
      </c>
      <c r="M3040" t="str">
        <f>CONCATENATE(MONTH(CompilDonnées[[#This Row],[HarvestingDate]])," ", YEAR(CompilDonnées[[#This Row],[HarvestingDate]]))</f>
        <v>7 2025</v>
      </c>
      <c r="N3040">
        <f>_xlfn.NUMBERVALUE(CompilDonnées[[#This Row],[FarmID]]&amp;CompilDonnées[[#This Row],[ModuleNumber]]&amp;CompilDonnées[[#This Row],[PlantationDate]])</f>
        <v>102245800</v>
      </c>
      <c r="O3040" t="str">
        <f>CompilDonnées[[#This Row],[FarmID]]&amp;CompilDonnées[[#This Row],[ModuleNumber]]</f>
        <v>1022</v>
      </c>
      <c r="P3040" t="str">
        <f>CompilDonnées[[#This Row],[Ref_Module]]&amp;CompilDonnées[[#This Row],[HarvestingDate]]</f>
        <v>102245848</v>
      </c>
    </row>
    <row r="3041" spans="1:16">
      <c r="A3041" s="5">
        <v>45800</v>
      </c>
      <c r="B3041">
        <v>103</v>
      </c>
      <c r="C3041" t="s">
        <v>86</v>
      </c>
      <c r="D3041">
        <v>6</v>
      </c>
      <c r="E3041">
        <v>100</v>
      </c>
      <c r="F3041" t="s">
        <v>1</v>
      </c>
      <c r="G3041" s="6">
        <v>45838</v>
      </c>
      <c r="H3041">
        <v>38</v>
      </c>
      <c r="I3041">
        <f>ROUND(CompilDonnées[[#This Row],[CultureDuration_days]]/7,0)</f>
        <v>5</v>
      </c>
      <c r="J3041">
        <v>3292</v>
      </c>
      <c r="K3041" t="str">
        <f>_xlfn.CONCAT(WEEKNUM(CompilDonnées[[#This Row],[PlantationDate]]), " ", YEAR(CompilDonnées[[#This Row],[PlantationDate]]))</f>
        <v>21 2025</v>
      </c>
      <c r="L3041" t="str">
        <f>CONCATENATE(MONTH(CompilDonnées[[#This Row],[PlantationDate]])," ", YEAR(CompilDonnées[[#This Row],[PlantationDate]]))</f>
        <v>5 2025</v>
      </c>
      <c r="M3041" t="str">
        <f>CONCATENATE(MONTH(CompilDonnées[[#This Row],[HarvestingDate]])," ", YEAR(CompilDonnées[[#This Row],[HarvestingDate]]))</f>
        <v>6 2025</v>
      </c>
      <c r="N3041">
        <f>_xlfn.NUMBERVALUE(CompilDonnées[[#This Row],[FarmID]]&amp;CompilDonnées[[#This Row],[ModuleNumber]]&amp;CompilDonnées[[#This Row],[PlantationDate]])</f>
        <v>103645800</v>
      </c>
      <c r="O3041" t="str">
        <f>CompilDonnées[[#This Row],[FarmID]]&amp;CompilDonnées[[#This Row],[ModuleNumber]]</f>
        <v>1036</v>
      </c>
      <c r="P3041" t="str">
        <f>CompilDonnées[[#This Row],[Ref_Module]]&amp;CompilDonnées[[#This Row],[HarvestingDate]]</f>
        <v>103645838</v>
      </c>
    </row>
    <row r="3042" spans="1:16">
      <c r="A3042" s="5">
        <v>45800</v>
      </c>
      <c r="B3042">
        <v>84</v>
      </c>
      <c r="C3042" t="s">
        <v>65</v>
      </c>
      <c r="D3042">
        <v>6</v>
      </c>
      <c r="E3042">
        <v>100</v>
      </c>
      <c r="F3042" t="s">
        <v>1</v>
      </c>
      <c r="G3042" s="6">
        <v>45847</v>
      </c>
      <c r="H3042">
        <v>47</v>
      </c>
      <c r="I3042">
        <f>ROUND(CompilDonnées[[#This Row],[CultureDuration_days]]/7,0)</f>
        <v>7</v>
      </c>
      <c r="J3042">
        <v>3285</v>
      </c>
      <c r="K3042" t="str">
        <f>_xlfn.CONCAT(WEEKNUM(CompilDonnées[[#This Row],[PlantationDate]]), " ", YEAR(CompilDonnées[[#This Row],[PlantationDate]]))</f>
        <v>21 2025</v>
      </c>
      <c r="L3042" t="str">
        <f>CONCATENATE(MONTH(CompilDonnées[[#This Row],[PlantationDate]])," ", YEAR(CompilDonnées[[#This Row],[PlantationDate]]))</f>
        <v>5 2025</v>
      </c>
      <c r="M3042" t="str">
        <f>CONCATENATE(MONTH(CompilDonnées[[#This Row],[HarvestingDate]])," ", YEAR(CompilDonnées[[#This Row],[HarvestingDate]]))</f>
        <v>7 2025</v>
      </c>
      <c r="N3042">
        <f>_xlfn.NUMBERVALUE(CompilDonnées[[#This Row],[FarmID]]&amp;CompilDonnées[[#This Row],[ModuleNumber]]&amp;CompilDonnées[[#This Row],[PlantationDate]])</f>
        <v>84645800</v>
      </c>
      <c r="O3042" t="str">
        <f>CompilDonnées[[#This Row],[FarmID]]&amp;CompilDonnées[[#This Row],[ModuleNumber]]</f>
        <v>846</v>
      </c>
      <c r="P3042" t="str">
        <f>CompilDonnées[[#This Row],[Ref_Module]]&amp;CompilDonnées[[#This Row],[HarvestingDate]]</f>
        <v>84645847</v>
      </c>
    </row>
    <row r="3043" spans="1:16">
      <c r="A3043" s="5">
        <v>45804</v>
      </c>
      <c r="B3043">
        <v>102</v>
      </c>
      <c r="C3043" t="s">
        <v>85</v>
      </c>
      <c r="D3043">
        <v>3</v>
      </c>
      <c r="E3043">
        <v>100</v>
      </c>
      <c r="F3043" t="s">
        <v>1</v>
      </c>
      <c r="G3043" s="6">
        <v>45852</v>
      </c>
      <c r="H3043">
        <v>48</v>
      </c>
      <c r="I3043">
        <f>ROUND(CompilDonnées[[#This Row],[CultureDuration_days]]/7,0)</f>
        <v>7</v>
      </c>
      <c r="J3043">
        <v>1814</v>
      </c>
      <c r="K3043" t="str">
        <f>_xlfn.CONCAT(WEEKNUM(CompilDonnées[[#This Row],[PlantationDate]]), " ", YEAR(CompilDonnées[[#This Row],[PlantationDate]]))</f>
        <v>22 2025</v>
      </c>
      <c r="L3043" t="str">
        <f>CONCATENATE(MONTH(CompilDonnées[[#This Row],[PlantationDate]])," ", YEAR(CompilDonnées[[#This Row],[PlantationDate]]))</f>
        <v>5 2025</v>
      </c>
      <c r="M3043" t="str">
        <f>CONCATENATE(MONTH(CompilDonnées[[#This Row],[HarvestingDate]])," ", YEAR(CompilDonnées[[#This Row],[HarvestingDate]]))</f>
        <v>7 2025</v>
      </c>
      <c r="N3043">
        <f>_xlfn.NUMBERVALUE(CompilDonnées[[#This Row],[FarmID]]&amp;CompilDonnées[[#This Row],[ModuleNumber]]&amp;CompilDonnées[[#This Row],[PlantationDate]])</f>
        <v>102345804</v>
      </c>
      <c r="O3043" t="str">
        <f>CompilDonnées[[#This Row],[FarmID]]&amp;CompilDonnées[[#This Row],[ModuleNumber]]</f>
        <v>1023</v>
      </c>
      <c r="P3043" t="str">
        <f>CompilDonnées[[#This Row],[Ref_Module]]&amp;CompilDonnées[[#This Row],[HarvestingDate]]</f>
        <v>102345852</v>
      </c>
    </row>
    <row r="3044" spans="1:16">
      <c r="A3044" s="5">
        <v>45804</v>
      </c>
      <c r="B3044">
        <v>104</v>
      </c>
      <c r="C3044" t="s">
        <v>91</v>
      </c>
      <c r="D3044">
        <v>4</v>
      </c>
      <c r="E3044">
        <v>100</v>
      </c>
      <c r="F3044" t="s">
        <v>1</v>
      </c>
      <c r="G3044" s="6">
        <v>45853</v>
      </c>
      <c r="H3044">
        <v>49</v>
      </c>
      <c r="I3044">
        <f>ROUND(CompilDonnées[[#This Row],[CultureDuration_days]]/7,0)</f>
        <v>7</v>
      </c>
      <c r="J3044">
        <v>2029</v>
      </c>
      <c r="K3044" t="str">
        <f>_xlfn.CONCAT(WEEKNUM(CompilDonnées[[#This Row],[PlantationDate]]), " ", YEAR(CompilDonnées[[#This Row],[PlantationDate]]))</f>
        <v>22 2025</v>
      </c>
      <c r="L3044" t="str">
        <f>CONCATENATE(MONTH(CompilDonnées[[#This Row],[PlantationDate]])," ", YEAR(CompilDonnées[[#This Row],[PlantationDate]]))</f>
        <v>5 2025</v>
      </c>
      <c r="M3044" t="str">
        <f>CONCATENATE(MONTH(CompilDonnées[[#This Row],[HarvestingDate]])," ", YEAR(CompilDonnées[[#This Row],[HarvestingDate]]))</f>
        <v>7 2025</v>
      </c>
      <c r="N3044">
        <f>_xlfn.NUMBERVALUE(CompilDonnées[[#This Row],[FarmID]]&amp;CompilDonnées[[#This Row],[ModuleNumber]]&amp;CompilDonnées[[#This Row],[PlantationDate]])</f>
        <v>104445804</v>
      </c>
      <c r="O3044" t="str">
        <f>CompilDonnées[[#This Row],[FarmID]]&amp;CompilDonnées[[#This Row],[ModuleNumber]]</f>
        <v>1044</v>
      </c>
      <c r="P3044" t="str">
        <f>CompilDonnées[[#This Row],[Ref_Module]]&amp;CompilDonnées[[#This Row],[HarvestingDate]]</f>
        <v>104445853</v>
      </c>
    </row>
    <row r="3045" spans="1:16">
      <c r="A3045" s="5">
        <v>45804</v>
      </c>
      <c r="B3045">
        <v>96</v>
      </c>
      <c r="C3045" t="s">
        <v>125</v>
      </c>
      <c r="D3045">
        <v>1</v>
      </c>
      <c r="E3045">
        <v>100</v>
      </c>
      <c r="F3045" t="s">
        <v>1</v>
      </c>
      <c r="G3045" s="6">
        <v>45847</v>
      </c>
      <c r="H3045">
        <v>43</v>
      </c>
      <c r="I3045">
        <f>ROUND(CompilDonnées[[#This Row],[CultureDuration_days]]/7,0)</f>
        <v>6</v>
      </c>
      <c r="J3045">
        <v>2383</v>
      </c>
      <c r="K3045" t="str">
        <f>_xlfn.CONCAT(WEEKNUM(CompilDonnées[[#This Row],[PlantationDate]]), " ", YEAR(CompilDonnées[[#This Row],[PlantationDate]]))</f>
        <v>22 2025</v>
      </c>
      <c r="L3045" t="str">
        <f>CONCATENATE(MONTH(CompilDonnées[[#This Row],[PlantationDate]])," ", YEAR(CompilDonnées[[#This Row],[PlantationDate]]))</f>
        <v>5 2025</v>
      </c>
      <c r="M3045" t="str">
        <f>CONCATENATE(MONTH(CompilDonnées[[#This Row],[HarvestingDate]])," ", YEAR(CompilDonnées[[#This Row],[HarvestingDate]]))</f>
        <v>7 2025</v>
      </c>
      <c r="N3045">
        <f>_xlfn.NUMBERVALUE(CompilDonnées[[#This Row],[FarmID]]&amp;CompilDonnées[[#This Row],[ModuleNumber]]&amp;CompilDonnées[[#This Row],[PlantationDate]])</f>
        <v>96145804</v>
      </c>
      <c r="O3045" t="str">
        <f>CompilDonnées[[#This Row],[FarmID]]&amp;CompilDonnées[[#This Row],[ModuleNumber]]</f>
        <v>961</v>
      </c>
      <c r="P3045" t="str">
        <f>CompilDonnées[[#This Row],[Ref_Module]]&amp;CompilDonnées[[#This Row],[HarvestingDate]]</f>
        <v>96145847</v>
      </c>
    </row>
    <row r="3046" spans="1:16">
      <c r="A3046" s="5">
        <v>45804</v>
      </c>
      <c r="B3046">
        <v>97</v>
      </c>
      <c r="C3046" t="s">
        <v>78</v>
      </c>
      <c r="D3046">
        <v>1</v>
      </c>
      <c r="E3046">
        <v>100</v>
      </c>
      <c r="F3046" t="s">
        <v>1</v>
      </c>
      <c r="G3046" s="6">
        <v>45847</v>
      </c>
      <c r="H3046">
        <v>43</v>
      </c>
      <c r="I3046">
        <f>ROUND(CompilDonnées[[#This Row],[CultureDuration_days]]/7,0)</f>
        <v>6</v>
      </c>
      <c r="J3046">
        <v>3108</v>
      </c>
      <c r="K3046" t="str">
        <f>_xlfn.CONCAT(WEEKNUM(CompilDonnées[[#This Row],[PlantationDate]]), " ", YEAR(CompilDonnées[[#This Row],[PlantationDate]]))</f>
        <v>22 2025</v>
      </c>
      <c r="L3046" t="str">
        <f>CONCATENATE(MONTH(CompilDonnées[[#This Row],[PlantationDate]])," ", YEAR(CompilDonnées[[#This Row],[PlantationDate]]))</f>
        <v>5 2025</v>
      </c>
      <c r="M3046" t="str">
        <f>CONCATENATE(MONTH(CompilDonnées[[#This Row],[HarvestingDate]])," ", YEAR(CompilDonnées[[#This Row],[HarvestingDate]]))</f>
        <v>7 2025</v>
      </c>
      <c r="N3046">
        <f>_xlfn.NUMBERVALUE(CompilDonnées[[#This Row],[FarmID]]&amp;CompilDonnées[[#This Row],[ModuleNumber]]&amp;CompilDonnées[[#This Row],[PlantationDate]])</f>
        <v>97145804</v>
      </c>
      <c r="O3046" t="str">
        <f>CompilDonnées[[#This Row],[FarmID]]&amp;CompilDonnées[[#This Row],[ModuleNumber]]</f>
        <v>971</v>
      </c>
      <c r="P3046" t="str">
        <f>CompilDonnées[[#This Row],[Ref_Module]]&amp;CompilDonnées[[#This Row],[HarvestingDate]]</f>
        <v>97145847</v>
      </c>
    </row>
    <row r="3047" spans="1:16">
      <c r="A3047" s="5">
        <v>45804</v>
      </c>
      <c r="B3047">
        <v>90</v>
      </c>
      <c r="C3047" t="s">
        <v>72</v>
      </c>
      <c r="D3047">
        <v>6</v>
      </c>
      <c r="E3047">
        <v>100</v>
      </c>
      <c r="F3047" t="s">
        <v>1</v>
      </c>
      <c r="G3047" s="6">
        <v>45839</v>
      </c>
      <c r="H3047">
        <v>35</v>
      </c>
      <c r="I3047">
        <f>ROUND(CompilDonnées[[#This Row],[CultureDuration_days]]/7,0)</f>
        <v>5</v>
      </c>
      <c r="J3047">
        <v>3021</v>
      </c>
      <c r="K3047" t="str">
        <f>_xlfn.CONCAT(WEEKNUM(CompilDonnées[[#This Row],[PlantationDate]]), " ", YEAR(CompilDonnées[[#This Row],[PlantationDate]]))</f>
        <v>22 2025</v>
      </c>
      <c r="L3047" t="str">
        <f>CONCATENATE(MONTH(CompilDonnées[[#This Row],[PlantationDate]])," ", YEAR(CompilDonnées[[#This Row],[PlantationDate]]))</f>
        <v>5 2025</v>
      </c>
      <c r="M3047" t="str">
        <f>CONCATENATE(MONTH(CompilDonnées[[#This Row],[HarvestingDate]])," ", YEAR(CompilDonnées[[#This Row],[HarvestingDate]]))</f>
        <v>7 2025</v>
      </c>
      <c r="N3047">
        <f>_xlfn.NUMBERVALUE(CompilDonnées[[#This Row],[FarmID]]&amp;CompilDonnées[[#This Row],[ModuleNumber]]&amp;CompilDonnées[[#This Row],[PlantationDate]])</f>
        <v>90645804</v>
      </c>
      <c r="O3047" t="str">
        <f>CompilDonnées[[#This Row],[FarmID]]&amp;CompilDonnées[[#This Row],[ModuleNumber]]</f>
        <v>906</v>
      </c>
      <c r="P3047" t="str">
        <f>CompilDonnées[[#This Row],[Ref_Module]]&amp;CompilDonnées[[#This Row],[HarvestingDate]]</f>
        <v>90645839</v>
      </c>
    </row>
    <row r="3048" spans="1:16">
      <c r="A3048" s="5">
        <v>45804</v>
      </c>
      <c r="B3048">
        <v>87</v>
      </c>
      <c r="C3048" t="s">
        <v>38</v>
      </c>
      <c r="D3048">
        <v>6</v>
      </c>
      <c r="E3048">
        <v>100</v>
      </c>
      <c r="F3048" t="s">
        <v>1</v>
      </c>
      <c r="G3048" s="6">
        <v>45842</v>
      </c>
      <c r="H3048">
        <v>38</v>
      </c>
      <c r="I3048">
        <f>ROUND(CompilDonnées[[#This Row],[CultureDuration_days]]/7,0)</f>
        <v>5</v>
      </c>
      <c r="J3048">
        <v>3054</v>
      </c>
      <c r="K3048" t="str">
        <f>_xlfn.CONCAT(WEEKNUM(CompilDonnées[[#This Row],[PlantationDate]]), " ", YEAR(CompilDonnées[[#This Row],[PlantationDate]]))</f>
        <v>22 2025</v>
      </c>
      <c r="L3048" t="str">
        <f>CONCATENATE(MONTH(CompilDonnées[[#This Row],[PlantationDate]])," ", YEAR(CompilDonnées[[#This Row],[PlantationDate]]))</f>
        <v>5 2025</v>
      </c>
      <c r="M3048" t="str">
        <f>CONCATENATE(MONTH(CompilDonnées[[#This Row],[HarvestingDate]])," ", YEAR(CompilDonnées[[#This Row],[HarvestingDate]]))</f>
        <v>7 2025</v>
      </c>
      <c r="N3048">
        <f>_xlfn.NUMBERVALUE(CompilDonnées[[#This Row],[FarmID]]&amp;CompilDonnées[[#This Row],[ModuleNumber]]&amp;CompilDonnées[[#This Row],[PlantationDate]])</f>
        <v>87645804</v>
      </c>
      <c r="O3048" t="str">
        <f>CompilDonnées[[#This Row],[FarmID]]&amp;CompilDonnées[[#This Row],[ModuleNumber]]</f>
        <v>876</v>
      </c>
      <c r="P3048" t="str">
        <f>CompilDonnées[[#This Row],[Ref_Module]]&amp;CompilDonnées[[#This Row],[HarvestingDate]]</f>
        <v>87645842</v>
      </c>
    </row>
    <row r="3049" spans="1:16">
      <c r="A3049" s="5">
        <v>45804</v>
      </c>
      <c r="B3049">
        <v>94</v>
      </c>
      <c r="C3049" t="s">
        <v>40</v>
      </c>
      <c r="D3049">
        <v>5</v>
      </c>
      <c r="E3049">
        <v>100</v>
      </c>
      <c r="F3049" t="s">
        <v>1</v>
      </c>
      <c r="G3049" s="6">
        <v>45839</v>
      </c>
      <c r="H3049">
        <v>35</v>
      </c>
      <c r="I3049">
        <f>ROUND(CompilDonnées[[#This Row],[CultureDuration_days]]/7,0)</f>
        <v>5</v>
      </c>
      <c r="J3049">
        <v>3353</v>
      </c>
      <c r="K3049" t="str">
        <f>_xlfn.CONCAT(WEEKNUM(CompilDonnées[[#This Row],[PlantationDate]]), " ", YEAR(CompilDonnées[[#This Row],[PlantationDate]]))</f>
        <v>22 2025</v>
      </c>
      <c r="L3049" t="str">
        <f>CONCATENATE(MONTH(CompilDonnées[[#This Row],[PlantationDate]])," ", YEAR(CompilDonnées[[#This Row],[PlantationDate]]))</f>
        <v>5 2025</v>
      </c>
      <c r="M3049" t="str">
        <f>CONCATENATE(MONTH(CompilDonnées[[#This Row],[HarvestingDate]])," ", YEAR(CompilDonnées[[#This Row],[HarvestingDate]]))</f>
        <v>7 2025</v>
      </c>
      <c r="N3049">
        <f>_xlfn.NUMBERVALUE(CompilDonnées[[#This Row],[FarmID]]&amp;CompilDonnées[[#This Row],[ModuleNumber]]&amp;CompilDonnées[[#This Row],[PlantationDate]])</f>
        <v>94545804</v>
      </c>
      <c r="O3049" t="str">
        <f>CompilDonnées[[#This Row],[FarmID]]&amp;CompilDonnées[[#This Row],[ModuleNumber]]</f>
        <v>945</v>
      </c>
      <c r="P3049" t="str">
        <f>CompilDonnées[[#This Row],[Ref_Module]]&amp;CompilDonnées[[#This Row],[HarvestingDate]]</f>
        <v>94545839</v>
      </c>
    </row>
    <row r="3050" spans="1:16">
      <c r="A3050" s="5">
        <v>45804</v>
      </c>
      <c r="B3050">
        <v>92</v>
      </c>
      <c r="C3050" t="s">
        <v>66</v>
      </c>
      <c r="D3050">
        <v>6</v>
      </c>
      <c r="E3050">
        <v>100</v>
      </c>
      <c r="F3050" t="s">
        <v>1</v>
      </c>
      <c r="G3050" s="6">
        <v>45853</v>
      </c>
      <c r="H3050">
        <v>49</v>
      </c>
      <c r="I3050">
        <f>ROUND(CompilDonnées[[#This Row],[CultureDuration_days]]/7,0)</f>
        <v>7</v>
      </c>
      <c r="J3050">
        <v>3467</v>
      </c>
      <c r="K3050" t="str">
        <f>_xlfn.CONCAT(WEEKNUM(CompilDonnées[[#This Row],[PlantationDate]]), " ", YEAR(CompilDonnées[[#This Row],[PlantationDate]]))</f>
        <v>22 2025</v>
      </c>
      <c r="L3050" t="str">
        <f>CONCATENATE(MONTH(CompilDonnées[[#This Row],[PlantationDate]])," ", YEAR(CompilDonnées[[#This Row],[PlantationDate]]))</f>
        <v>5 2025</v>
      </c>
      <c r="M3050" t="str">
        <f>CONCATENATE(MONTH(CompilDonnées[[#This Row],[HarvestingDate]])," ", YEAR(CompilDonnées[[#This Row],[HarvestingDate]]))</f>
        <v>7 2025</v>
      </c>
      <c r="N3050">
        <f>_xlfn.NUMBERVALUE(CompilDonnées[[#This Row],[FarmID]]&amp;CompilDonnées[[#This Row],[ModuleNumber]]&amp;CompilDonnées[[#This Row],[PlantationDate]])</f>
        <v>92645804</v>
      </c>
      <c r="O3050" t="str">
        <f>CompilDonnées[[#This Row],[FarmID]]&amp;CompilDonnées[[#This Row],[ModuleNumber]]</f>
        <v>926</v>
      </c>
      <c r="P3050" t="str">
        <f>CompilDonnées[[#This Row],[Ref_Module]]&amp;CompilDonnées[[#This Row],[HarvestingDate]]</f>
        <v>92645853</v>
      </c>
    </row>
    <row r="3051" spans="1:16">
      <c r="A3051" s="5">
        <v>45804</v>
      </c>
      <c r="B3051">
        <v>99</v>
      </c>
      <c r="C3051" t="s">
        <v>117</v>
      </c>
      <c r="D3051">
        <v>6</v>
      </c>
      <c r="E3051">
        <v>100</v>
      </c>
      <c r="F3051" t="s">
        <v>1</v>
      </c>
      <c r="G3051" s="6">
        <v>45847</v>
      </c>
      <c r="H3051">
        <v>43</v>
      </c>
      <c r="I3051">
        <f>ROUND(CompilDonnées[[#This Row],[CultureDuration_days]]/7,0)</f>
        <v>6</v>
      </c>
      <c r="J3051">
        <v>3916</v>
      </c>
      <c r="K3051" t="str">
        <f>_xlfn.CONCAT(WEEKNUM(CompilDonnées[[#This Row],[PlantationDate]]), " ", YEAR(CompilDonnées[[#This Row],[PlantationDate]]))</f>
        <v>22 2025</v>
      </c>
      <c r="L3051" t="str">
        <f>CONCATENATE(MONTH(CompilDonnées[[#This Row],[PlantationDate]])," ", YEAR(CompilDonnées[[#This Row],[PlantationDate]]))</f>
        <v>5 2025</v>
      </c>
      <c r="M3051" t="str">
        <f>CONCATENATE(MONTH(CompilDonnées[[#This Row],[HarvestingDate]])," ", YEAR(CompilDonnées[[#This Row],[HarvestingDate]]))</f>
        <v>7 2025</v>
      </c>
      <c r="N3051">
        <f>_xlfn.NUMBERVALUE(CompilDonnées[[#This Row],[FarmID]]&amp;CompilDonnées[[#This Row],[ModuleNumber]]&amp;CompilDonnées[[#This Row],[PlantationDate]])</f>
        <v>99645804</v>
      </c>
      <c r="O3051" t="str">
        <f>CompilDonnées[[#This Row],[FarmID]]&amp;CompilDonnées[[#This Row],[ModuleNumber]]</f>
        <v>996</v>
      </c>
      <c r="P3051" t="str">
        <f>CompilDonnées[[#This Row],[Ref_Module]]&amp;CompilDonnées[[#This Row],[HarvestingDate]]</f>
        <v>99645847</v>
      </c>
    </row>
    <row r="3052" spans="1:16">
      <c r="A3052" s="5">
        <v>45804</v>
      </c>
      <c r="B3052">
        <v>100</v>
      </c>
      <c r="C3052" t="s">
        <v>84</v>
      </c>
      <c r="D3052">
        <v>2</v>
      </c>
      <c r="E3052">
        <v>100</v>
      </c>
      <c r="F3052" t="s">
        <v>1</v>
      </c>
      <c r="G3052" s="6">
        <v>45838</v>
      </c>
      <c r="H3052">
        <v>34</v>
      </c>
      <c r="I3052">
        <f>ROUND(CompilDonnées[[#This Row],[CultureDuration_days]]/7,0)</f>
        <v>5</v>
      </c>
      <c r="J3052">
        <v>2973</v>
      </c>
      <c r="K3052" t="str">
        <f>_xlfn.CONCAT(WEEKNUM(CompilDonnées[[#This Row],[PlantationDate]]), " ", YEAR(CompilDonnées[[#This Row],[PlantationDate]]))</f>
        <v>22 2025</v>
      </c>
      <c r="L3052" t="str">
        <f>CONCATENATE(MONTH(CompilDonnées[[#This Row],[PlantationDate]])," ", YEAR(CompilDonnées[[#This Row],[PlantationDate]]))</f>
        <v>5 2025</v>
      </c>
      <c r="M3052" t="str">
        <f>CONCATENATE(MONTH(CompilDonnées[[#This Row],[HarvestingDate]])," ", YEAR(CompilDonnées[[#This Row],[HarvestingDate]]))</f>
        <v>6 2025</v>
      </c>
      <c r="N3052">
        <f>_xlfn.NUMBERVALUE(CompilDonnées[[#This Row],[FarmID]]&amp;CompilDonnées[[#This Row],[ModuleNumber]]&amp;CompilDonnées[[#This Row],[PlantationDate]])</f>
        <v>100245804</v>
      </c>
      <c r="O3052" t="str">
        <f>CompilDonnées[[#This Row],[FarmID]]&amp;CompilDonnées[[#This Row],[ModuleNumber]]</f>
        <v>1002</v>
      </c>
      <c r="P3052" t="str">
        <f>CompilDonnées[[#This Row],[Ref_Module]]&amp;CompilDonnées[[#This Row],[HarvestingDate]]</f>
        <v>100245838</v>
      </c>
    </row>
    <row r="3053" spans="1:16">
      <c r="A3053" s="5">
        <v>45804</v>
      </c>
      <c r="B3053">
        <v>101</v>
      </c>
      <c r="C3053" t="s">
        <v>54</v>
      </c>
      <c r="D3053">
        <v>1</v>
      </c>
      <c r="E3053">
        <v>100</v>
      </c>
      <c r="F3053" t="s">
        <v>1</v>
      </c>
      <c r="G3053" s="6">
        <v>45848</v>
      </c>
      <c r="H3053">
        <v>44</v>
      </c>
      <c r="I3053">
        <f>ROUND(CompilDonnées[[#This Row],[CultureDuration_days]]/7,0)</f>
        <v>6</v>
      </c>
      <c r="J3053">
        <v>4200</v>
      </c>
      <c r="K3053" t="str">
        <f>_xlfn.CONCAT(WEEKNUM(CompilDonnées[[#This Row],[PlantationDate]]), " ", YEAR(CompilDonnées[[#This Row],[PlantationDate]]))</f>
        <v>22 2025</v>
      </c>
      <c r="L3053" t="str">
        <f>CONCATENATE(MONTH(CompilDonnées[[#This Row],[PlantationDate]])," ", YEAR(CompilDonnées[[#This Row],[PlantationDate]]))</f>
        <v>5 2025</v>
      </c>
      <c r="M3053" t="str">
        <f>CONCATENATE(MONTH(CompilDonnées[[#This Row],[HarvestingDate]])," ", YEAR(CompilDonnées[[#This Row],[HarvestingDate]]))</f>
        <v>7 2025</v>
      </c>
      <c r="N3053">
        <f>_xlfn.NUMBERVALUE(CompilDonnées[[#This Row],[FarmID]]&amp;CompilDonnées[[#This Row],[ModuleNumber]]&amp;CompilDonnées[[#This Row],[PlantationDate]])</f>
        <v>101145804</v>
      </c>
      <c r="O3053" t="str">
        <f>CompilDonnées[[#This Row],[FarmID]]&amp;CompilDonnées[[#This Row],[ModuleNumber]]</f>
        <v>1011</v>
      </c>
      <c r="P3053" t="str">
        <f>CompilDonnées[[#This Row],[Ref_Module]]&amp;CompilDonnées[[#This Row],[HarvestingDate]]</f>
        <v>101145848</v>
      </c>
    </row>
    <row r="3054" spans="1:16">
      <c r="A3054" s="5">
        <v>45804</v>
      </c>
      <c r="B3054">
        <v>101</v>
      </c>
      <c r="C3054" t="s">
        <v>54</v>
      </c>
      <c r="D3054">
        <v>3</v>
      </c>
      <c r="E3054">
        <v>100</v>
      </c>
      <c r="F3054" t="s">
        <v>1</v>
      </c>
      <c r="G3054" s="6">
        <v>45848</v>
      </c>
      <c r="H3054">
        <v>44</v>
      </c>
      <c r="I3054">
        <f>ROUND(CompilDonnées[[#This Row],[CultureDuration_days]]/7,0)</f>
        <v>6</v>
      </c>
      <c r="J3054">
        <v>4394</v>
      </c>
      <c r="K3054" t="str">
        <f>_xlfn.CONCAT(WEEKNUM(CompilDonnées[[#This Row],[PlantationDate]]), " ", YEAR(CompilDonnées[[#This Row],[PlantationDate]]))</f>
        <v>22 2025</v>
      </c>
      <c r="L3054" t="str">
        <f>CONCATENATE(MONTH(CompilDonnées[[#This Row],[PlantationDate]])," ", YEAR(CompilDonnées[[#This Row],[PlantationDate]]))</f>
        <v>5 2025</v>
      </c>
      <c r="M3054" t="str">
        <f>CONCATENATE(MONTH(CompilDonnées[[#This Row],[HarvestingDate]])," ", YEAR(CompilDonnées[[#This Row],[HarvestingDate]]))</f>
        <v>7 2025</v>
      </c>
      <c r="N3054">
        <f>_xlfn.NUMBERVALUE(CompilDonnées[[#This Row],[FarmID]]&amp;CompilDonnées[[#This Row],[ModuleNumber]]&amp;CompilDonnées[[#This Row],[PlantationDate]])</f>
        <v>101345804</v>
      </c>
      <c r="O3054" t="str">
        <f>CompilDonnées[[#This Row],[FarmID]]&amp;CompilDonnées[[#This Row],[ModuleNumber]]</f>
        <v>1013</v>
      </c>
      <c r="P3054" t="str">
        <f>CompilDonnées[[#This Row],[Ref_Module]]&amp;CompilDonnées[[#This Row],[HarvestingDate]]</f>
        <v>101345848</v>
      </c>
    </row>
    <row r="3055" spans="1:16">
      <c r="A3055" s="5">
        <v>45804</v>
      </c>
      <c r="B3055">
        <v>107</v>
      </c>
      <c r="C3055" t="s">
        <v>23</v>
      </c>
      <c r="D3055">
        <v>2</v>
      </c>
      <c r="E3055">
        <v>100</v>
      </c>
      <c r="F3055" t="s">
        <v>1</v>
      </c>
      <c r="G3055" s="6">
        <v>45848</v>
      </c>
      <c r="H3055">
        <v>44</v>
      </c>
      <c r="I3055">
        <f>ROUND(CompilDonnées[[#This Row],[CultureDuration_days]]/7,0)</f>
        <v>6</v>
      </c>
      <c r="J3055">
        <v>3025</v>
      </c>
      <c r="K3055" t="str">
        <f>_xlfn.CONCAT(WEEKNUM(CompilDonnées[[#This Row],[PlantationDate]]), " ", YEAR(CompilDonnées[[#This Row],[PlantationDate]]))</f>
        <v>22 2025</v>
      </c>
      <c r="L3055" t="str">
        <f>CONCATENATE(MONTH(CompilDonnées[[#This Row],[PlantationDate]])," ", YEAR(CompilDonnées[[#This Row],[PlantationDate]]))</f>
        <v>5 2025</v>
      </c>
      <c r="M3055" t="str">
        <f>CONCATENATE(MONTH(CompilDonnées[[#This Row],[HarvestingDate]])," ", YEAR(CompilDonnées[[#This Row],[HarvestingDate]]))</f>
        <v>7 2025</v>
      </c>
      <c r="N3055">
        <f>_xlfn.NUMBERVALUE(CompilDonnées[[#This Row],[FarmID]]&amp;CompilDonnées[[#This Row],[ModuleNumber]]&amp;CompilDonnées[[#This Row],[PlantationDate]])</f>
        <v>107245804</v>
      </c>
      <c r="O3055" t="str">
        <f>CompilDonnées[[#This Row],[FarmID]]&amp;CompilDonnées[[#This Row],[ModuleNumber]]</f>
        <v>1072</v>
      </c>
      <c r="P3055" t="str">
        <f>CompilDonnées[[#This Row],[Ref_Module]]&amp;CompilDonnées[[#This Row],[HarvestingDate]]</f>
        <v>107245848</v>
      </c>
    </row>
    <row r="3056" spans="1:16">
      <c r="A3056" s="5">
        <v>45804</v>
      </c>
      <c r="B3056">
        <v>106</v>
      </c>
      <c r="C3056" t="s">
        <v>22</v>
      </c>
      <c r="D3056">
        <v>4</v>
      </c>
      <c r="E3056">
        <v>100</v>
      </c>
      <c r="F3056" t="s">
        <v>1</v>
      </c>
      <c r="G3056" s="6">
        <v>45839</v>
      </c>
      <c r="H3056">
        <v>35</v>
      </c>
      <c r="I3056">
        <f>ROUND(CompilDonnées[[#This Row],[CultureDuration_days]]/7,0)</f>
        <v>5</v>
      </c>
      <c r="J3056">
        <v>2649</v>
      </c>
      <c r="K3056" t="str">
        <f>_xlfn.CONCAT(WEEKNUM(CompilDonnées[[#This Row],[PlantationDate]]), " ", YEAR(CompilDonnées[[#This Row],[PlantationDate]]))</f>
        <v>22 2025</v>
      </c>
      <c r="L3056" t="str">
        <f>CONCATENATE(MONTH(CompilDonnées[[#This Row],[PlantationDate]])," ", YEAR(CompilDonnées[[#This Row],[PlantationDate]]))</f>
        <v>5 2025</v>
      </c>
      <c r="M3056" t="str">
        <f>CONCATENATE(MONTH(CompilDonnées[[#This Row],[HarvestingDate]])," ", YEAR(CompilDonnées[[#This Row],[HarvestingDate]]))</f>
        <v>7 2025</v>
      </c>
      <c r="N3056">
        <f>_xlfn.NUMBERVALUE(CompilDonnées[[#This Row],[FarmID]]&amp;CompilDonnées[[#This Row],[ModuleNumber]]&amp;CompilDonnées[[#This Row],[PlantationDate]])</f>
        <v>106445804</v>
      </c>
      <c r="O3056" t="str">
        <f>CompilDonnées[[#This Row],[FarmID]]&amp;CompilDonnées[[#This Row],[ModuleNumber]]</f>
        <v>1064</v>
      </c>
      <c r="P3056" t="str">
        <f>CompilDonnées[[#This Row],[Ref_Module]]&amp;CompilDonnées[[#This Row],[HarvestingDate]]</f>
        <v>106445839</v>
      </c>
    </row>
    <row r="3057" spans="1:16">
      <c r="A3057" s="5">
        <v>45804</v>
      </c>
      <c r="B3057">
        <v>115</v>
      </c>
      <c r="C3057" t="s">
        <v>121</v>
      </c>
      <c r="D3057">
        <v>5</v>
      </c>
      <c r="E3057">
        <v>100</v>
      </c>
      <c r="F3057" t="s">
        <v>1</v>
      </c>
      <c r="G3057" s="6">
        <v>45838</v>
      </c>
      <c r="H3057">
        <v>34</v>
      </c>
      <c r="I3057">
        <f>ROUND(CompilDonnées[[#This Row],[CultureDuration_days]]/7,0)</f>
        <v>5</v>
      </c>
      <c r="J3057">
        <v>2546</v>
      </c>
      <c r="K3057" t="str">
        <f>_xlfn.CONCAT(WEEKNUM(CompilDonnées[[#This Row],[PlantationDate]]), " ", YEAR(CompilDonnées[[#This Row],[PlantationDate]]))</f>
        <v>22 2025</v>
      </c>
      <c r="L3057" t="str">
        <f>CONCATENATE(MONTH(CompilDonnées[[#This Row],[PlantationDate]])," ", YEAR(CompilDonnées[[#This Row],[PlantationDate]]))</f>
        <v>5 2025</v>
      </c>
      <c r="M3057" t="str">
        <f>CONCATENATE(MONTH(CompilDonnées[[#This Row],[HarvestingDate]])," ", YEAR(CompilDonnées[[#This Row],[HarvestingDate]]))</f>
        <v>6 2025</v>
      </c>
      <c r="N3057">
        <f>_xlfn.NUMBERVALUE(CompilDonnées[[#This Row],[FarmID]]&amp;CompilDonnées[[#This Row],[ModuleNumber]]&amp;CompilDonnées[[#This Row],[PlantationDate]])</f>
        <v>115545804</v>
      </c>
      <c r="O3057" t="str">
        <f>CompilDonnées[[#This Row],[FarmID]]&amp;CompilDonnées[[#This Row],[ModuleNumber]]</f>
        <v>1155</v>
      </c>
      <c r="P3057" t="str">
        <f>CompilDonnées[[#This Row],[Ref_Module]]&amp;CompilDonnées[[#This Row],[HarvestingDate]]</f>
        <v>115545838</v>
      </c>
    </row>
    <row r="3058" spans="1:16">
      <c r="A3058" s="5">
        <v>45804</v>
      </c>
      <c r="B3058">
        <v>113</v>
      </c>
      <c r="C3058" t="s">
        <v>16</v>
      </c>
      <c r="D3058">
        <v>5</v>
      </c>
      <c r="E3058">
        <v>100</v>
      </c>
      <c r="F3058" t="s">
        <v>1</v>
      </c>
      <c r="G3058" s="6">
        <v>45838</v>
      </c>
      <c r="H3058">
        <v>34</v>
      </c>
      <c r="I3058">
        <f>ROUND(CompilDonnées[[#This Row],[CultureDuration_days]]/7,0)</f>
        <v>5</v>
      </c>
      <c r="J3058">
        <v>3588</v>
      </c>
      <c r="K3058" t="str">
        <f>_xlfn.CONCAT(WEEKNUM(CompilDonnées[[#This Row],[PlantationDate]]), " ", YEAR(CompilDonnées[[#This Row],[PlantationDate]]))</f>
        <v>22 2025</v>
      </c>
      <c r="L3058" t="str">
        <f>CONCATENATE(MONTH(CompilDonnées[[#This Row],[PlantationDate]])," ", YEAR(CompilDonnées[[#This Row],[PlantationDate]]))</f>
        <v>5 2025</v>
      </c>
      <c r="M3058" t="str">
        <f>CONCATENATE(MONTH(CompilDonnées[[#This Row],[HarvestingDate]])," ", YEAR(CompilDonnées[[#This Row],[HarvestingDate]]))</f>
        <v>6 2025</v>
      </c>
      <c r="N3058">
        <f>_xlfn.NUMBERVALUE(CompilDonnées[[#This Row],[FarmID]]&amp;CompilDonnées[[#This Row],[ModuleNumber]]&amp;CompilDonnées[[#This Row],[PlantationDate]])</f>
        <v>113545804</v>
      </c>
      <c r="O3058" t="str">
        <f>CompilDonnées[[#This Row],[FarmID]]&amp;CompilDonnées[[#This Row],[ModuleNumber]]</f>
        <v>1135</v>
      </c>
      <c r="P3058" t="str">
        <f>CompilDonnées[[#This Row],[Ref_Module]]&amp;CompilDonnées[[#This Row],[HarvestingDate]]</f>
        <v>113545838</v>
      </c>
    </row>
    <row r="3059" spans="1:16">
      <c r="A3059" s="5">
        <v>45804</v>
      </c>
      <c r="B3059">
        <v>112</v>
      </c>
      <c r="C3059" t="s">
        <v>15</v>
      </c>
      <c r="D3059">
        <v>5</v>
      </c>
      <c r="E3059">
        <v>100</v>
      </c>
      <c r="F3059" t="s">
        <v>1</v>
      </c>
      <c r="G3059" s="6">
        <v>45838</v>
      </c>
      <c r="H3059">
        <v>34</v>
      </c>
      <c r="I3059">
        <f>ROUND(CompilDonnées[[#This Row],[CultureDuration_days]]/7,0)</f>
        <v>5</v>
      </c>
      <c r="J3059">
        <v>3184</v>
      </c>
      <c r="K3059" t="str">
        <f>_xlfn.CONCAT(WEEKNUM(CompilDonnées[[#This Row],[PlantationDate]]), " ", YEAR(CompilDonnées[[#This Row],[PlantationDate]]))</f>
        <v>22 2025</v>
      </c>
      <c r="L3059" t="str">
        <f>CONCATENATE(MONTH(CompilDonnées[[#This Row],[PlantationDate]])," ", YEAR(CompilDonnées[[#This Row],[PlantationDate]]))</f>
        <v>5 2025</v>
      </c>
      <c r="M3059" t="str">
        <f>CONCATENATE(MONTH(CompilDonnées[[#This Row],[HarvestingDate]])," ", YEAR(CompilDonnées[[#This Row],[HarvestingDate]]))</f>
        <v>6 2025</v>
      </c>
      <c r="N3059">
        <f>_xlfn.NUMBERVALUE(CompilDonnées[[#This Row],[FarmID]]&amp;CompilDonnées[[#This Row],[ModuleNumber]]&amp;CompilDonnées[[#This Row],[PlantationDate]])</f>
        <v>112545804</v>
      </c>
      <c r="O3059" t="str">
        <f>CompilDonnées[[#This Row],[FarmID]]&amp;CompilDonnées[[#This Row],[ModuleNumber]]</f>
        <v>1125</v>
      </c>
      <c r="P3059" t="str">
        <f>CompilDonnées[[#This Row],[Ref_Module]]&amp;CompilDonnées[[#This Row],[HarvestingDate]]</f>
        <v>112545838</v>
      </c>
    </row>
    <row r="3060" spans="1:16">
      <c r="A3060" s="5">
        <v>45804</v>
      </c>
      <c r="B3060">
        <v>117</v>
      </c>
      <c r="C3060" t="s">
        <v>11</v>
      </c>
      <c r="D3060">
        <v>5</v>
      </c>
      <c r="E3060">
        <v>100</v>
      </c>
      <c r="F3060" t="s">
        <v>1</v>
      </c>
      <c r="G3060" s="6">
        <v>45838</v>
      </c>
      <c r="H3060">
        <v>34</v>
      </c>
      <c r="I3060">
        <f>ROUND(CompilDonnées[[#This Row],[CultureDuration_days]]/7,0)</f>
        <v>5</v>
      </c>
      <c r="J3060">
        <v>2882</v>
      </c>
      <c r="K3060" t="str">
        <f>_xlfn.CONCAT(WEEKNUM(CompilDonnées[[#This Row],[PlantationDate]]), " ", YEAR(CompilDonnées[[#This Row],[PlantationDate]]))</f>
        <v>22 2025</v>
      </c>
      <c r="L3060" t="str">
        <f>CONCATENATE(MONTH(CompilDonnées[[#This Row],[PlantationDate]])," ", YEAR(CompilDonnées[[#This Row],[PlantationDate]]))</f>
        <v>5 2025</v>
      </c>
      <c r="M3060" t="str">
        <f>CONCATENATE(MONTH(CompilDonnées[[#This Row],[HarvestingDate]])," ", YEAR(CompilDonnées[[#This Row],[HarvestingDate]]))</f>
        <v>6 2025</v>
      </c>
      <c r="N3060">
        <f>_xlfn.NUMBERVALUE(CompilDonnées[[#This Row],[FarmID]]&amp;CompilDonnées[[#This Row],[ModuleNumber]]&amp;CompilDonnées[[#This Row],[PlantationDate]])</f>
        <v>117545804</v>
      </c>
      <c r="O3060" t="str">
        <f>CompilDonnées[[#This Row],[FarmID]]&amp;CompilDonnées[[#This Row],[ModuleNumber]]</f>
        <v>1175</v>
      </c>
      <c r="P3060" t="str">
        <f>CompilDonnées[[#This Row],[Ref_Module]]&amp;CompilDonnées[[#This Row],[HarvestingDate]]</f>
        <v>117545838</v>
      </c>
    </row>
    <row r="3061" spans="1:16">
      <c r="A3061" s="5">
        <v>45804</v>
      </c>
      <c r="B3061">
        <v>118</v>
      </c>
      <c r="C3061" t="s">
        <v>51</v>
      </c>
      <c r="D3061">
        <v>4</v>
      </c>
      <c r="E3061">
        <v>100</v>
      </c>
      <c r="F3061" t="s">
        <v>1</v>
      </c>
      <c r="G3061" s="6">
        <v>45838</v>
      </c>
      <c r="H3061">
        <v>34</v>
      </c>
      <c r="I3061">
        <f>ROUND(CompilDonnées[[#This Row],[CultureDuration_days]]/7,0)</f>
        <v>5</v>
      </c>
      <c r="J3061">
        <v>3386</v>
      </c>
      <c r="K3061" t="str">
        <f>_xlfn.CONCAT(WEEKNUM(CompilDonnées[[#This Row],[PlantationDate]]), " ", YEAR(CompilDonnées[[#This Row],[PlantationDate]]))</f>
        <v>22 2025</v>
      </c>
      <c r="L3061" t="str">
        <f>CONCATENATE(MONTH(CompilDonnées[[#This Row],[PlantationDate]])," ", YEAR(CompilDonnées[[#This Row],[PlantationDate]]))</f>
        <v>5 2025</v>
      </c>
      <c r="M3061" t="str">
        <f>CONCATENATE(MONTH(CompilDonnées[[#This Row],[HarvestingDate]])," ", YEAR(CompilDonnées[[#This Row],[HarvestingDate]]))</f>
        <v>6 2025</v>
      </c>
      <c r="N3061">
        <f>_xlfn.NUMBERVALUE(CompilDonnées[[#This Row],[FarmID]]&amp;CompilDonnées[[#This Row],[ModuleNumber]]&amp;CompilDonnées[[#This Row],[PlantationDate]])</f>
        <v>118445804</v>
      </c>
      <c r="O3061" t="str">
        <f>CompilDonnées[[#This Row],[FarmID]]&amp;CompilDonnées[[#This Row],[ModuleNumber]]</f>
        <v>1184</v>
      </c>
      <c r="P3061" t="str">
        <f>CompilDonnées[[#This Row],[Ref_Module]]&amp;CompilDonnées[[#This Row],[HarvestingDate]]</f>
        <v>118445838</v>
      </c>
    </row>
    <row r="3062" spans="1:16">
      <c r="A3062" s="5">
        <v>45804</v>
      </c>
      <c r="B3062">
        <v>126</v>
      </c>
      <c r="C3062" t="s">
        <v>52</v>
      </c>
      <c r="D3062">
        <v>5</v>
      </c>
      <c r="E3062">
        <v>100</v>
      </c>
      <c r="F3062" t="s">
        <v>1</v>
      </c>
      <c r="G3062" s="6">
        <v>45839</v>
      </c>
      <c r="H3062">
        <v>35</v>
      </c>
      <c r="I3062">
        <f>ROUND(CompilDonnées[[#This Row],[CultureDuration_days]]/7,0)</f>
        <v>5</v>
      </c>
      <c r="J3062">
        <v>3238</v>
      </c>
      <c r="K3062" t="str">
        <f>_xlfn.CONCAT(WEEKNUM(CompilDonnées[[#This Row],[PlantationDate]]), " ", YEAR(CompilDonnées[[#This Row],[PlantationDate]]))</f>
        <v>22 2025</v>
      </c>
      <c r="L3062" t="str">
        <f>CONCATENATE(MONTH(CompilDonnées[[#This Row],[PlantationDate]])," ", YEAR(CompilDonnées[[#This Row],[PlantationDate]]))</f>
        <v>5 2025</v>
      </c>
      <c r="M3062" t="str">
        <f>CONCATENATE(MONTH(CompilDonnées[[#This Row],[HarvestingDate]])," ", YEAR(CompilDonnées[[#This Row],[HarvestingDate]]))</f>
        <v>7 2025</v>
      </c>
      <c r="N3062">
        <f>_xlfn.NUMBERVALUE(CompilDonnées[[#This Row],[FarmID]]&amp;CompilDonnées[[#This Row],[ModuleNumber]]&amp;CompilDonnées[[#This Row],[PlantationDate]])</f>
        <v>126545804</v>
      </c>
      <c r="O3062" t="str">
        <f>CompilDonnées[[#This Row],[FarmID]]&amp;CompilDonnées[[#This Row],[ModuleNumber]]</f>
        <v>1265</v>
      </c>
      <c r="P3062" t="str">
        <f>CompilDonnées[[#This Row],[Ref_Module]]&amp;CompilDonnées[[#This Row],[HarvestingDate]]</f>
        <v>126545839</v>
      </c>
    </row>
    <row r="3063" spans="1:16">
      <c r="A3063" s="5">
        <v>45804</v>
      </c>
      <c r="B3063">
        <v>116</v>
      </c>
      <c r="C3063" t="s">
        <v>76</v>
      </c>
      <c r="D3063">
        <v>2</v>
      </c>
      <c r="E3063">
        <v>100</v>
      </c>
      <c r="F3063" t="s">
        <v>1</v>
      </c>
      <c r="G3063" s="6">
        <v>45839</v>
      </c>
      <c r="H3063">
        <v>35</v>
      </c>
      <c r="I3063">
        <f>ROUND(CompilDonnées[[#This Row],[CultureDuration_days]]/7,0)</f>
        <v>5</v>
      </c>
      <c r="J3063">
        <v>2359</v>
      </c>
      <c r="K3063" t="str">
        <f>_xlfn.CONCAT(WEEKNUM(CompilDonnées[[#This Row],[PlantationDate]]), " ", YEAR(CompilDonnées[[#This Row],[PlantationDate]]))</f>
        <v>22 2025</v>
      </c>
      <c r="L3063" t="str">
        <f>CONCATENATE(MONTH(CompilDonnées[[#This Row],[PlantationDate]])," ", YEAR(CompilDonnées[[#This Row],[PlantationDate]]))</f>
        <v>5 2025</v>
      </c>
      <c r="M3063" t="str">
        <f>CONCATENATE(MONTH(CompilDonnées[[#This Row],[HarvestingDate]])," ", YEAR(CompilDonnées[[#This Row],[HarvestingDate]]))</f>
        <v>7 2025</v>
      </c>
      <c r="N3063">
        <f>_xlfn.NUMBERVALUE(CompilDonnées[[#This Row],[FarmID]]&amp;CompilDonnées[[#This Row],[ModuleNumber]]&amp;CompilDonnées[[#This Row],[PlantationDate]])</f>
        <v>116245804</v>
      </c>
      <c r="O3063" t="str">
        <f>CompilDonnées[[#This Row],[FarmID]]&amp;CompilDonnées[[#This Row],[ModuleNumber]]</f>
        <v>1162</v>
      </c>
      <c r="P3063" t="str">
        <f>CompilDonnées[[#This Row],[Ref_Module]]&amp;CompilDonnées[[#This Row],[HarvestingDate]]</f>
        <v>116245839</v>
      </c>
    </row>
    <row r="3064" spans="1:16">
      <c r="A3064" s="5">
        <v>45804</v>
      </c>
      <c r="B3064">
        <v>111</v>
      </c>
      <c r="C3064" t="s">
        <v>41</v>
      </c>
      <c r="D3064">
        <v>1</v>
      </c>
      <c r="E3064">
        <v>100</v>
      </c>
      <c r="F3064" t="s">
        <v>1</v>
      </c>
      <c r="G3064" s="6">
        <v>45838</v>
      </c>
      <c r="H3064">
        <v>34</v>
      </c>
      <c r="I3064">
        <f>ROUND(CompilDonnées[[#This Row],[CultureDuration_days]]/7,0)</f>
        <v>5</v>
      </c>
      <c r="J3064">
        <v>2888</v>
      </c>
      <c r="K3064" t="str">
        <f>_xlfn.CONCAT(WEEKNUM(CompilDonnées[[#This Row],[PlantationDate]]), " ", YEAR(CompilDonnées[[#This Row],[PlantationDate]]))</f>
        <v>22 2025</v>
      </c>
      <c r="L3064" t="str">
        <f>CONCATENATE(MONTH(CompilDonnées[[#This Row],[PlantationDate]])," ", YEAR(CompilDonnées[[#This Row],[PlantationDate]]))</f>
        <v>5 2025</v>
      </c>
      <c r="M3064" t="str">
        <f>CONCATENATE(MONTH(CompilDonnées[[#This Row],[HarvestingDate]])," ", YEAR(CompilDonnées[[#This Row],[HarvestingDate]]))</f>
        <v>6 2025</v>
      </c>
      <c r="N3064">
        <f>_xlfn.NUMBERVALUE(CompilDonnées[[#This Row],[FarmID]]&amp;CompilDonnées[[#This Row],[ModuleNumber]]&amp;CompilDonnées[[#This Row],[PlantationDate]])</f>
        <v>111145804</v>
      </c>
      <c r="O3064" t="str">
        <f>CompilDonnées[[#This Row],[FarmID]]&amp;CompilDonnées[[#This Row],[ModuleNumber]]</f>
        <v>1111</v>
      </c>
      <c r="P3064" t="str">
        <f>CompilDonnées[[#This Row],[Ref_Module]]&amp;CompilDonnées[[#This Row],[HarvestingDate]]</f>
        <v>111145838</v>
      </c>
    </row>
    <row r="3065" spans="1:16">
      <c r="A3065" s="5">
        <v>45804</v>
      </c>
      <c r="B3065">
        <v>124</v>
      </c>
      <c r="C3065" t="s">
        <v>115</v>
      </c>
      <c r="D3065">
        <v>3</v>
      </c>
      <c r="E3065">
        <v>100</v>
      </c>
      <c r="F3065" t="s">
        <v>1</v>
      </c>
      <c r="G3065" s="6">
        <v>45838</v>
      </c>
      <c r="H3065">
        <v>34</v>
      </c>
      <c r="I3065">
        <f>ROUND(CompilDonnées[[#This Row],[CultureDuration_days]]/7,0)</f>
        <v>5</v>
      </c>
      <c r="J3065">
        <v>2634</v>
      </c>
      <c r="K3065" t="str">
        <f>_xlfn.CONCAT(WEEKNUM(CompilDonnées[[#This Row],[PlantationDate]]), " ", YEAR(CompilDonnées[[#This Row],[PlantationDate]]))</f>
        <v>22 2025</v>
      </c>
      <c r="L3065" t="str">
        <f>CONCATENATE(MONTH(CompilDonnées[[#This Row],[PlantationDate]])," ", YEAR(CompilDonnées[[#This Row],[PlantationDate]]))</f>
        <v>5 2025</v>
      </c>
      <c r="M3065" t="str">
        <f>CONCATENATE(MONTH(CompilDonnées[[#This Row],[HarvestingDate]])," ", YEAR(CompilDonnées[[#This Row],[HarvestingDate]]))</f>
        <v>6 2025</v>
      </c>
      <c r="N3065">
        <f>_xlfn.NUMBERVALUE(CompilDonnées[[#This Row],[FarmID]]&amp;CompilDonnées[[#This Row],[ModuleNumber]]&amp;CompilDonnées[[#This Row],[PlantationDate]])</f>
        <v>124345804</v>
      </c>
      <c r="O3065" t="str">
        <f>CompilDonnées[[#This Row],[FarmID]]&amp;CompilDonnées[[#This Row],[ModuleNumber]]</f>
        <v>1243</v>
      </c>
      <c r="P3065" t="str">
        <f>CompilDonnées[[#This Row],[Ref_Module]]&amp;CompilDonnées[[#This Row],[HarvestingDate]]</f>
        <v>124345838</v>
      </c>
    </row>
    <row r="3066" spans="1:16">
      <c r="A3066" s="5">
        <v>45804</v>
      </c>
      <c r="B3066">
        <v>119</v>
      </c>
      <c r="C3066" t="s">
        <v>59</v>
      </c>
      <c r="D3066">
        <v>4</v>
      </c>
      <c r="E3066">
        <v>100</v>
      </c>
      <c r="F3066" t="s">
        <v>1</v>
      </c>
      <c r="G3066" s="6">
        <v>45838</v>
      </c>
      <c r="H3066">
        <v>34</v>
      </c>
      <c r="I3066">
        <f>ROUND(CompilDonnées[[#This Row],[CultureDuration_days]]/7,0)</f>
        <v>5</v>
      </c>
      <c r="J3066">
        <v>2844</v>
      </c>
      <c r="K3066" t="str">
        <f>_xlfn.CONCAT(WEEKNUM(CompilDonnées[[#This Row],[PlantationDate]]), " ", YEAR(CompilDonnées[[#This Row],[PlantationDate]]))</f>
        <v>22 2025</v>
      </c>
      <c r="L3066" t="str">
        <f>CONCATENATE(MONTH(CompilDonnées[[#This Row],[PlantationDate]])," ", YEAR(CompilDonnées[[#This Row],[PlantationDate]]))</f>
        <v>5 2025</v>
      </c>
      <c r="M3066" t="str">
        <f>CONCATENATE(MONTH(CompilDonnées[[#This Row],[HarvestingDate]])," ", YEAR(CompilDonnées[[#This Row],[HarvestingDate]]))</f>
        <v>6 2025</v>
      </c>
      <c r="N3066">
        <f>_xlfn.NUMBERVALUE(CompilDonnées[[#This Row],[FarmID]]&amp;CompilDonnées[[#This Row],[ModuleNumber]]&amp;CompilDonnées[[#This Row],[PlantationDate]])</f>
        <v>119445804</v>
      </c>
      <c r="O3066" t="str">
        <f>CompilDonnées[[#This Row],[FarmID]]&amp;CompilDonnées[[#This Row],[ModuleNumber]]</f>
        <v>1194</v>
      </c>
      <c r="P3066" t="str">
        <f>CompilDonnées[[#This Row],[Ref_Module]]&amp;CompilDonnées[[#This Row],[HarvestingDate]]</f>
        <v>119445838</v>
      </c>
    </row>
    <row r="3067" spans="1:16">
      <c r="A3067" s="5">
        <v>45804</v>
      </c>
      <c r="B3067">
        <v>110</v>
      </c>
      <c r="C3067" t="s">
        <v>14</v>
      </c>
      <c r="D3067">
        <v>4</v>
      </c>
      <c r="E3067">
        <v>100</v>
      </c>
      <c r="F3067" t="s">
        <v>1</v>
      </c>
      <c r="G3067" s="6">
        <v>45838</v>
      </c>
      <c r="H3067">
        <v>34</v>
      </c>
      <c r="I3067">
        <f>ROUND(CompilDonnées[[#This Row],[CultureDuration_days]]/7,0)</f>
        <v>5</v>
      </c>
      <c r="J3067">
        <v>2912</v>
      </c>
      <c r="K3067" t="str">
        <f>_xlfn.CONCAT(WEEKNUM(CompilDonnées[[#This Row],[PlantationDate]]), " ", YEAR(CompilDonnées[[#This Row],[PlantationDate]]))</f>
        <v>22 2025</v>
      </c>
      <c r="L3067" t="str">
        <f>CONCATENATE(MONTH(CompilDonnées[[#This Row],[PlantationDate]])," ", YEAR(CompilDonnées[[#This Row],[PlantationDate]]))</f>
        <v>5 2025</v>
      </c>
      <c r="M3067" t="str">
        <f>CONCATENATE(MONTH(CompilDonnées[[#This Row],[HarvestingDate]])," ", YEAR(CompilDonnées[[#This Row],[HarvestingDate]]))</f>
        <v>6 2025</v>
      </c>
      <c r="N3067">
        <f>_xlfn.NUMBERVALUE(CompilDonnées[[#This Row],[FarmID]]&amp;CompilDonnées[[#This Row],[ModuleNumber]]&amp;CompilDonnées[[#This Row],[PlantationDate]])</f>
        <v>110445804</v>
      </c>
      <c r="O3067" t="str">
        <f>CompilDonnées[[#This Row],[FarmID]]&amp;CompilDonnées[[#This Row],[ModuleNumber]]</f>
        <v>1104</v>
      </c>
      <c r="P3067" t="str">
        <f>CompilDonnées[[#This Row],[Ref_Module]]&amp;CompilDonnées[[#This Row],[HarvestingDate]]</f>
        <v>110445838</v>
      </c>
    </row>
    <row r="3068" spans="1:16">
      <c r="A3068" s="5">
        <v>45804</v>
      </c>
      <c r="B3068">
        <v>125</v>
      </c>
      <c r="C3068" t="s">
        <v>101</v>
      </c>
      <c r="D3068">
        <v>6</v>
      </c>
      <c r="E3068">
        <v>100</v>
      </c>
      <c r="F3068" t="s">
        <v>1</v>
      </c>
      <c r="G3068" s="6">
        <v>45838</v>
      </c>
      <c r="H3068">
        <v>34</v>
      </c>
      <c r="I3068">
        <f>ROUND(CompilDonnées[[#This Row],[CultureDuration_days]]/7,0)</f>
        <v>5</v>
      </c>
      <c r="J3068">
        <v>2747</v>
      </c>
      <c r="K3068" t="str">
        <f>_xlfn.CONCAT(WEEKNUM(CompilDonnées[[#This Row],[PlantationDate]]), " ", YEAR(CompilDonnées[[#This Row],[PlantationDate]]))</f>
        <v>22 2025</v>
      </c>
      <c r="L3068" t="str">
        <f>CONCATENATE(MONTH(CompilDonnées[[#This Row],[PlantationDate]])," ", YEAR(CompilDonnées[[#This Row],[PlantationDate]]))</f>
        <v>5 2025</v>
      </c>
      <c r="M3068" t="str">
        <f>CONCATENATE(MONTH(CompilDonnées[[#This Row],[HarvestingDate]])," ", YEAR(CompilDonnées[[#This Row],[HarvestingDate]]))</f>
        <v>6 2025</v>
      </c>
      <c r="N3068">
        <f>_xlfn.NUMBERVALUE(CompilDonnées[[#This Row],[FarmID]]&amp;CompilDonnées[[#This Row],[ModuleNumber]]&amp;CompilDonnées[[#This Row],[PlantationDate]])</f>
        <v>125645804</v>
      </c>
      <c r="O3068" t="str">
        <f>CompilDonnées[[#This Row],[FarmID]]&amp;CompilDonnées[[#This Row],[ModuleNumber]]</f>
        <v>1256</v>
      </c>
      <c r="P3068" t="str">
        <f>CompilDonnées[[#This Row],[Ref_Module]]&amp;CompilDonnées[[#This Row],[HarvestingDate]]</f>
        <v>125645838</v>
      </c>
    </row>
    <row r="3069" spans="1:16">
      <c r="A3069" s="5">
        <v>45804</v>
      </c>
      <c r="B3069">
        <v>123</v>
      </c>
      <c r="C3069" t="s">
        <v>13</v>
      </c>
      <c r="D3069">
        <v>6</v>
      </c>
      <c r="E3069">
        <v>100</v>
      </c>
      <c r="F3069" t="s">
        <v>1</v>
      </c>
      <c r="G3069" s="6">
        <v>45839</v>
      </c>
      <c r="H3069">
        <v>35</v>
      </c>
      <c r="I3069">
        <f>ROUND(CompilDonnées[[#This Row],[CultureDuration_days]]/7,0)</f>
        <v>5</v>
      </c>
      <c r="J3069">
        <v>3458</v>
      </c>
      <c r="K3069" t="str">
        <f>_xlfn.CONCAT(WEEKNUM(CompilDonnées[[#This Row],[PlantationDate]]), " ", YEAR(CompilDonnées[[#This Row],[PlantationDate]]))</f>
        <v>22 2025</v>
      </c>
      <c r="L3069" t="str">
        <f>CONCATENATE(MONTH(CompilDonnées[[#This Row],[PlantationDate]])," ", YEAR(CompilDonnées[[#This Row],[PlantationDate]]))</f>
        <v>5 2025</v>
      </c>
      <c r="M3069" t="str">
        <f>CONCATENATE(MONTH(CompilDonnées[[#This Row],[HarvestingDate]])," ", YEAR(CompilDonnées[[#This Row],[HarvestingDate]]))</f>
        <v>7 2025</v>
      </c>
      <c r="N3069">
        <f>_xlfn.NUMBERVALUE(CompilDonnées[[#This Row],[FarmID]]&amp;CompilDonnées[[#This Row],[ModuleNumber]]&amp;CompilDonnées[[#This Row],[PlantationDate]])</f>
        <v>123645804</v>
      </c>
      <c r="O3069" t="str">
        <f>CompilDonnées[[#This Row],[FarmID]]&amp;CompilDonnées[[#This Row],[ModuleNumber]]</f>
        <v>1236</v>
      </c>
      <c r="P3069" t="str">
        <f>CompilDonnées[[#This Row],[Ref_Module]]&amp;CompilDonnées[[#This Row],[HarvestingDate]]</f>
        <v>123645839</v>
      </c>
    </row>
    <row r="3070" spans="1:16">
      <c r="A3070" s="5">
        <v>45804</v>
      </c>
      <c r="B3070">
        <v>133</v>
      </c>
      <c r="C3070" t="s">
        <v>99</v>
      </c>
      <c r="D3070">
        <v>6</v>
      </c>
      <c r="E3070">
        <v>100</v>
      </c>
      <c r="F3070" t="s">
        <v>1</v>
      </c>
      <c r="G3070" s="6">
        <v>45838</v>
      </c>
      <c r="H3070">
        <v>34</v>
      </c>
      <c r="I3070">
        <f>ROUND(CompilDonnées[[#This Row],[CultureDuration_days]]/7,0)</f>
        <v>5</v>
      </c>
      <c r="J3070">
        <v>3196</v>
      </c>
      <c r="K3070" t="str">
        <f>_xlfn.CONCAT(WEEKNUM(CompilDonnées[[#This Row],[PlantationDate]]), " ", YEAR(CompilDonnées[[#This Row],[PlantationDate]]))</f>
        <v>22 2025</v>
      </c>
      <c r="L3070" t="str">
        <f>CONCATENATE(MONTH(CompilDonnées[[#This Row],[PlantationDate]])," ", YEAR(CompilDonnées[[#This Row],[PlantationDate]]))</f>
        <v>5 2025</v>
      </c>
      <c r="M3070" t="str">
        <f>CONCATENATE(MONTH(CompilDonnées[[#This Row],[HarvestingDate]])," ", YEAR(CompilDonnées[[#This Row],[HarvestingDate]]))</f>
        <v>6 2025</v>
      </c>
      <c r="N3070">
        <f>_xlfn.NUMBERVALUE(CompilDonnées[[#This Row],[FarmID]]&amp;CompilDonnées[[#This Row],[ModuleNumber]]&amp;CompilDonnées[[#This Row],[PlantationDate]])</f>
        <v>133645804</v>
      </c>
      <c r="O3070" t="str">
        <f>CompilDonnées[[#This Row],[FarmID]]&amp;CompilDonnées[[#This Row],[ModuleNumber]]</f>
        <v>1336</v>
      </c>
      <c r="P3070" t="str">
        <f>CompilDonnées[[#This Row],[Ref_Module]]&amp;CompilDonnées[[#This Row],[HarvestingDate]]</f>
        <v>133645838</v>
      </c>
    </row>
    <row r="3071" spans="1:16">
      <c r="A3071" s="5">
        <v>45804</v>
      </c>
      <c r="B3071">
        <v>132</v>
      </c>
      <c r="C3071" t="s">
        <v>120</v>
      </c>
      <c r="D3071">
        <v>6</v>
      </c>
      <c r="E3071">
        <v>100</v>
      </c>
      <c r="F3071" t="s">
        <v>1</v>
      </c>
      <c r="G3071" s="6">
        <v>45838</v>
      </c>
      <c r="H3071">
        <v>34</v>
      </c>
      <c r="I3071">
        <f>ROUND(CompilDonnées[[#This Row],[CultureDuration_days]]/7,0)</f>
        <v>5</v>
      </c>
      <c r="J3071">
        <v>3475</v>
      </c>
      <c r="K3071" t="str">
        <f>_xlfn.CONCAT(WEEKNUM(CompilDonnées[[#This Row],[PlantationDate]]), " ", YEAR(CompilDonnées[[#This Row],[PlantationDate]]))</f>
        <v>22 2025</v>
      </c>
      <c r="L3071" t="str">
        <f>CONCATENATE(MONTH(CompilDonnées[[#This Row],[PlantationDate]])," ", YEAR(CompilDonnées[[#This Row],[PlantationDate]]))</f>
        <v>5 2025</v>
      </c>
      <c r="M3071" t="str">
        <f>CONCATENATE(MONTH(CompilDonnées[[#This Row],[HarvestingDate]])," ", YEAR(CompilDonnées[[#This Row],[HarvestingDate]]))</f>
        <v>6 2025</v>
      </c>
      <c r="N3071">
        <f>_xlfn.NUMBERVALUE(CompilDonnées[[#This Row],[FarmID]]&amp;CompilDonnées[[#This Row],[ModuleNumber]]&amp;CompilDonnées[[#This Row],[PlantationDate]])</f>
        <v>132645804</v>
      </c>
      <c r="O3071" t="str">
        <f>CompilDonnées[[#This Row],[FarmID]]&amp;CompilDonnées[[#This Row],[ModuleNumber]]</f>
        <v>1326</v>
      </c>
      <c r="P3071" t="str">
        <f>CompilDonnées[[#This Row],[Ref_Module]]&amp;CompilDonnées[[#This Row],[HarvestingDate]]</f>
        <v>132645838</v>
      </c>
    </row>
    <row r="3072" spans="1:16">
      <c r="A3072" s="5">
        <v>45804</v>
      </c>
      <c r="B3072">
        <v>120</v>
      </c>
      <c r="C3072" t="s">
        <v>3</v>
      </c>
      <c r="D3072">
        <v>1</v>
      </c>
      <c r="E3072">
        <v>78</v>
      </c>
      <c r="F3072" t="s">
        <v>1</v>
      </c>
      <c r="G3072" s="6">
        <v>45854</v>
      </c>
      <c r="H3072">
        <v>50</v>
      </c>
      <c r="I3072">
        <f>ROUND(CompilDonnées[[#This Row],[CultureDuration_days]]/7,0)</f>
        <v>7</v>
      </c>
      <c r="J3072">
        <v>1000</v>
      </c>
      <c r="K3072" t="str">
        <f>_xlfn.CONCAT(WEEKNUM(CompilDonnées[[#This Row],[PlantationDate]]), " ", YEAR(CompilDonnées[[#This Row],[PlantationDate]]))</f>
        <v>22 2025</v>
      </c>
      <c r="L3072" t="str">
        <f>CONCATENATE(MONTH(CompilDonnées[[#This Row],[PlantationDate]])," ", YEAR(CompilDonnées[[#This Row],[PlantationDate]]))</f>
        <v>5 2025</v>
      </c>
      <c r="M3072" t="str">
        <f>CONCATENATE(MONTH(CompilDonnées[[#This Row],[HarvestingDate]])," ", YEAR(CompilDonnées[[#This Row],[HarvestingDate]]))</f>
        <v>7 2025</v>
      </c>
      <c r="N3072">
        <f>_xlfn.NUMBERVALUE(CompilDonnées[[#This Row],[FarmID]]&amp;CompilDonnées[[#This Row],[ModuleNumber]]&amp;CompilDonnées[[#This Row],[PlantationDate]])</f>
        <v>120145804</v>
      </c>
      <c r="O3072" t="str">
        <f>CompilDonnées[[#This Row],[FarmID]]&amp;CompilDonnées[[#This Row],[ModuleNumber]]</f>
        <v>1201</v>
      </c>
      <c r="P3072" t="str">
        <f>CompilDonnées[[#This Row],[Ref_Module]]&amp;CompilDonnées[[#This Row],[HarvestingDate]]</f>
        <v>120145854</v>
      </c>
    </row>
    <row r="3073" spans="1:16">
      <c r="A3073" s="5">
        <v>45804</v>
      </c>
      <c r="B3073">
        <v>84</v>
      </c>
      <c r="C3073" t="s">
        <v>65</v>
      </c>
      <c r="D3073">
        <v>1</v>
      </c>
      <c r="E3073">
        <v>100</v>
      </c>
      <c r="F3073" t="s">
        <v>1</v>
      </c>
      <c r="G3073" s="6">
        <v>45853</v>
      </c>
      <c r="H3073">
        <v>49</v>
      </c>
      <c r="I3073">
        <f>ROUND(CompilDonnées[[#This Row],[CultureDuration_days]]/7,0)</f>
        <v>7</v>
      </c>
      <c r="J3073">
        <v>3479</v>
      </c>
      <c r="K3073" t="str">
        <f>_xlfn.CONCAT(WEEKNUM(CompilDonnées[[#This Row],[PlantationDate]]), " ", YEAR(CompilDonnées[[#This Row],[PlantationDate]]))</f>
        <v>22 2025</v>
      </c>
      <c r="L3073" t="str">
        <f>CONCATENATE(MONTH(CompilDonnées[[#This Row],[PlantationDate]])," ", YEAR(CompilDonnées[[#This Row],[PlantationDate]]))</f>
        <v>5 2025</v>
      </c>
      <c r="M3073" t="str">
        <f>CONCATENATE(MONTH(CompilDonnées[[#This Row],[HarvestingDate]])," ", YEAR(CompilDonnées[[#This Row],[HarvestingDate]]))</f>
        <v>7 2025</v>
      </c>
      <c r="N3073">
        <f>_xlfn.NUMBERVALUE(CompilDonnées[[#This Row],[FarmID]]&amp;CompilDonnées[[#This Row],[ModuleNumber]]&amp;CompilDonnées[[#This Row],[PlantationDate]])</f>
        <v>84145804</v>
      </c>
      <c r="O3073" t="str">
        <f>CompilDonnées[[#This Row],[FarmID]]&amp;CompilDonnées[[#This Row],[ModuleNumber]]</f>
        <v>841</v>
      </c>
      <c r="P3073" t="str">
        <f>CompilDonnées[[#This Row],[Ref_Module]]&amp;CompilDonnées[[#This Row],[HarvestingDate]]</f>
        <v>84145853</v>
      </c>
    </row>
    <row r="3074" spans="1:16">
      <c r="A3074" s="5">
        <v>45804</v>
      </c>
      <c r="B3074">
        <v>121</v>
      </c>
      <c r="C3074" t="s">
        <v>3</v>
      </c>
      <c r="D3074">
        <v>1</v>
      </c>
      <c r="E3074">
        <v>60</v>
      </c>
      <c r="F3074" t="s">
        <v>105</v>
      </c>
      <c r="G3074" s="6">
        <v>45859</v>
      </c>
      <c r="H3074">
        <v>55</v>
      </c>
      <c r="I3074">
        <f>ROUND(CompilDonnées[[#This Row],[CultureDuration_days]]/7,0)</f>
        <v>8</v>
      </c>
      <c r="J3074">
        <v>500</v>
      </c>
      <c r="K3074" t="str">
        <f>_xlfn.CONCAT(WEEKNUM(CompilDonnées[[#This Row],[PlantationDate]]), " ", YEAR(CompilDonnées[[#This Row],[PlantationDate]]))</f>
        <v>22 2025</v>
      </c>
      <c r="L3074" t="str">
        <f>CONCATENATE(MONTH(CompilDonnées[[#This Row],[PlantationDate]])," ", YEAR(CompilDonnées[[#This Row],[PlantationDate]]))</f>
        <v>5 2025</v>
      </c>
      <c r="M3074" t="str">
        <f>CONCATENATE(MONTH(CompilDonnées[[#This Row],[HarvestingDate]])," ", YEAR(CompilDonnées[[#This Row],[HarvestingDate]]))</f>
        <v>7 2025</v>
      </c>
      <c r="N3074">
        <f>_xlfn.NUMBERVALUE(CompilDonnées[[#This Row],[FarmID]]&amp;CompilDonnées[[#This Row],[ModuleNumber]]&amp;CompilDonnées[[#This Row],[PlantationDate]])</f>
        <v>121145804</v>
      </c>
      <c r="O3074" t="str">
        <f>CompilDonnées[[#This Row],[FarmID]]&amp;CompilDonnées[[#This Row],[ModuleNumber]]</f>
        <v>1211</v>
      </c>
      <c r="P3074" t="str">
        <f>CompilDonnées[[#This Row],[Ref_Module]]&amp;CompilDonnées[[#This Row],[HarvestingDate]]</f>
        <v>121145859</v>
      </c>
    </row>
    <row r="3075" spans="1:16">
      <c r="A3075" s="5">
        <v>45804</v>
      </c>
      <c r="B3075">
        <v>121</v>
      </c>
      <c r="C3075" t="s">
        <v>3</v>
      </c>
      <c r="D3075">
        <v>2</v>
      </c>
      <c r="E3075">
        <v>60</v>
      </c>
      <c r="F3075" t="s">
        <v>105</v>
      </c>
      <c r="G3075" s="6">
        <v>45859</v>
      </c>
      <c r="H3075">
        <v>55</v>
      </c>
      <c r="I3075">
        <f>ROUND(CompilDonnées[[#This Row],[CultureDuration_days]]/7,0)</f>
        <v>8</v>
      </c>
      <c r="J3075">
        <v>500</v>
      </c>
      <c r="K3075" t="str">
        <f>_xlfn.CONCAT(WEEKNUM(CompilDonnées[[#This Row],[PlantationDate]]), " ", YEAR(CompilDonnées[[#This Row],[PlantationDate]]))</f>
        <v>22 2025</v>
      </c>
      <c r="L3075" t="str">
        <f>CONCATENATE(MONTH(CompilDonnées[[#This Row],[PlantationDate]])," ", YEAR(CompilDonnées[[#This Row],[PlantationDate]]))</f>
        <v>5 2025</v>
      </c>
      <c r="M3075" t="str">
        <f>CONCATENATE(MONTH(CompilDonnées[[#This Row],[HarvestingDate]])," ", YEAR(CompilDonnées[[#This Row],[HarvestingDate]]))</f>
        <v>7 2025</v>
      </c>
      <c r="N3075">
        <f>_xlfn.NUMBERVALUE(CompilDonnées[[#This Row],[FarmID]]&amp;CompilDonnées[[#This Row],[ModuleNumber]]&amp;CompilDonnées[[#This Row],[PlantationDate]])</f>
        <v>121245804</v>
      </c>
      <c r="O3075" t="str">
        <f>CompilDonnées[[#This Row],[FarmID]]&amp;CompilDonnées[[#This Row],[ModuleNumber]]</f>
        <v>1212</v>
      </c>
      <c r="P3075" t="str">
        <f>CompilDonnées[[#This Row],[Ref_Module]]&amp;CompilDonnées[[#This Row],[HarvestingDate]]</f>
        <v>121245859</v>
      </c>
    </row>
    <row r="3076" spans="1:16">
      <c r="A3076" s="5">
        <v>45804</v>
      </c>
      <c r="B3076">
        <v>121</v>
      </c>
      <c r="C3076" t="s">
        <v>3</v>
      </c>
      <c r="D3076">
        <v>3</v>
      </c>
      <c r="E3076">
        <v>60</v>
      </c>
      <c r="F3076" t="s">
        <v>105</v>
      </c>
      <c r="G3076" s="6">
        <v>45863</v>
      </c>
      <c r="H3076">
        <v>59</v>
      </c>
      <c r="I3076">
        <f>ROUND(CompilDonnées[[#This Row],[CultureDuration_days]]/7,0)</f>
        <v>8</v>
      </c>
      <c r="J3076">
        <v>517</v>
      </c>
      <c r="K3076" t="str">
        <f>_xlfn.CONCAT(WEEKNUM(CompilDonnées[[#This Row],[PlantationDate]]), " ", YEAR(CompilDonnées[[#This Row],[PlantationDate]]))</f>
        <v>22 2025</v>
      </c>
      <c r="L3076" t="str">
        <f>CONCATENATE(MONTH(CompilDonnées[[#This Row],[PlantationDate]])," ", YEAR(CompilDonnées[[#This Row],[PlantationDate]]))</f>
        <v>5 2025</v>
      </c>
      <c r="M3076" t="str">
        <f>CONCATENATE(MONTH(CompilDonnées[[#This Row],[HarvestingDate]])," ", YEAR(CompilDonnées[[#This Row],[HarvestingDate]]))</f>
        <v>7 2025</v>
      </c>
      <c r="N3076">
        <f>_xlfn.NUMBERVALUE(CompilDonnées[[#This Row],[FarmID]]&amp;CompilDonnées[[#This Row],[ModuleNumber]]&amp;CompilDonnées[[#This Row],[PlantationDate]])</f>
        <v>121345804</v>
      </c>
      <c r="O3076" t="str">
        <f>CompilDonnées[[#This Row],[FarmID]]&amp;CompilDonnées[[#This Row],[ModuleNumber]]</f>
        <v>1213</v>
      </c>
      <c r="P3076" t="str">
        <f>CompilDonnées[[#This Row],[Ref_Module]]&amp;CompilDonnées[[#This Row],[HarvestingDate]]</f>
        <v>121345863</v>
      </c>
    </row>
    <row r="3077" spans="1:16">
      <c r="A3077" s="5">
        <v>45804</v>
      </c>
      <c r="B3077">
        <v>121</v>
      </c>
      <c r="C3077" t="s">
        <v>3</v>
      </c>
      <c r="D3077">
        <v>4</v>
      </c>
      <c r="E3077">
        <v>60</v>
      </c>
      <c r="F3077" t="s">
        <v>105</v>
      </c>
      <c r="G3077" s="6">
        <v>45863</v>
      </c>
      <c r="H3077">
        <v>59</v>
      </c>
      <c r="I3077">
        <f>ROUND(CompilDonnées[[#This Row],[CultureDuration_days]]/7,0)</f>
        <v>8</v>
      </c>
      <c r="J3077">
        <v>518</v>
      </c>
      <c r="K3077" t="str">
        <f>_xlfn.CONCAT(WEEKNUM(CompilDonnées[[#This Row],[PlantationDate]]), " ", YEAR(CompilDonnées[[#This Row],[PlantationDate]]))</f>
        <v>22 2025</v>
      </c>
      <c r="L3077" t="str">
        <f>CONCATENATE(MONTH(CompilDonnées[[#This Row],[PlantationDate]])," ", YEAR(CompilDonnées[[#This Row],[PlantationDate]]))</f>
        <v>5 2025</v>
      </c>
      <c r="M3077" t="str">
        <f>CONCATENATE(MONTH(CompilDonnées[[#This Row],[HarvestingDate]])," ", YEAR(CompilDonnées[[#This Row],[HarvestingDate]]))</f>
        <v>7 2025</v>
      </c>
      <c r="N3077">
        <f>_xlfn.NUMBERVALUE(CompilDonnées[[#This Row],[FarmID]]&amp;CompilDonnées[[#This Row],[ModuleNumber]]&amp;CompilDonnées[[#This Row],[PlantationDate]])</f>
        <v>121445804</v>
      </c>
      <c r="O3077" t="str">
        <f>CompilDonnées[[#This Row],[FarmID]]&amp;CompilDonnées[[#This Row],[ModuleNumber]]</f>
        <v>1214</v>
      </c>
      <c r="P3077" t="str">
        <f>CompilDonnées[[#This Row],[Ref_Module]]&amp;CompilDonnées[[#This Row],[HarvestingDate]]</f>
        <v>121445863</v>
      </c>
    </row>
    <row r="3078" spans="1:16">
      <c r="A3078" s="5">
        <v>45804</v>
      </c>
      <c r="B3078">
        <v>121</v>
      </c>
      <c r="C3078" t="s">
        <v>3</v>
      </c>
      <c r="D3078">
        <v>5</v>
      </c>
      <c r="E3078">
        <v>60</v>
      </c>
      <c r="F3078" t="s">
        <v>105</v>
      </c>
      <c r="G3078" s="6">
        <v>45877</v>
      </c>
      <c r="H3078">
        <v>73</v>
      </c>
      <c r="I3078">
        <f>ROUND(CompilDonnées[[#This Row],[CultureDuration_days]]/7,0)</f>
        <v>10</v>
      </c>
      <c r="J3078">
        <v>248</v>
      </c>
      <c r="K3078" t="str">
        <f>_xlfn.CONCAT(WEEKNUM(CompilDonnées[[#This Row],[PlantationDate]]), " ", YEAR(CompilDonnées[[#This Row],[PlantationDate]]))</f>
        <v>22 2025</v>
      </c>
      <c r="L3078" t="str">
        <f>CONCATENATE(MONTH(CompilDonnées[[#This Row],[PlantationDate]])," ", YEAR(CompilDonnées[[#This Row],[PlantationDate]]))</f>
        <v>5 2025</v>
      </c>
      <c r="M3078" t="str">
        <f>CONCATENATE(MONTH(CompilDonnées[[#This Row],[HarvestingDate]])," ", YEAR(CompilDonnées[[#This Row],[HarvestingDate]]))</f>
        <v>8 2025</v>
      </c>
      <c r="N3078">
        <f>_xlfn.NUMBERVALUE(CompilDonnées[[#This Row],[FarmID]]&amp;CompilDonnées[[#This Row],[ModuleNumber]]&amp;CompilDonnées[[#This Row],[PlantationDate]])</f>
        <v>121545804</v>
      </c>
      <c r="O3078" t="str">
        <f>CompilDonnées[[#This Row],[FarmID]]&amp;CompilDonnées[[#This Row],[ModuleNumber]]</f>
        <v>1215</v>
      </c>
      <c r="P3078" t="str">
        <f>CompilDonnées[[#This Row],[Ref_Module]]&amp;CompilDonnées[[#This Row],[HarvestingDate]]</f>
        <v>121545877</v>
      </c>
    </row>
    <row r="3079" spans="1:16">
      <c r="A3079" s="5">
        <v>45804</v>
      </c>
      <c r="B3079">
        <v>121</v>
      </c>
      <c r="C3079" t="s">
        <v>3</v>
      </c>
      <c r="D3079">
        <v>6</v>
      </c>
      <c r="E3079">
        <v>60</v>
      </c>
      <c r="F3079" t="s">
        <v>105</v>
      </c>
      <c r="G3079" s="6">
        <v>45877</v>
      </c>
      <c r="H3079">
        <v>73</v>
      </c>
      <c r="I3079">
        <f>ROUND(CompilDonnées[[#This Row],[CultureDuration_days]]/7,0)</f>
        <v>10</v>
      </c>
      <c r="J3079">
        <v>252</v>
      </c>
      <c r="K3079" t="str">
        <f>_xlfn.CONCAT(WEEKNUM(CompilDonnées[[#This Row],[PlantationDate]]), " ", YEAR(CompilDonnées[[#This Row],[PlantationDate]]))</f>
        <v>22 2025</v>
      </c>
      <c r="L3079" t="str">
        <f>CONCATENATE(MONTH(CompilDonnées[[#This Row],[PlantationDate]])," ", YEAR(CompilDonnées[[#This Row],[PlantationDate]]))</f>
        <v>5 2025</v>
      </c>
      <c r="M3079" t="str">
        <f>CONCATENATE(MONTH(CompilDonnées[[#This Row],[HarvestingDate]])," ", YEAR(CompilDonnées[[#This Row],[HarvestingDate]]))</f>
        <v>8 2025</v>
      </c>
      <c r="N3079">
        <f>_xlfn.NUMBERVALUE(CompilDonnées[[#This Row],[FarmID]]&amp;CompilDonnées[[#This Row],[ModuleNumber]]&amp;CompilDonnées[[#This Row],[PlantationDate]])</f>
        <v>121645804</v>
      </c>
      <c r="O3079" t="str">
        <f>CompilDonnées[[#This Row],[FarmID]]&amp;CompilDonnées[[#This Row],[ModuleNumber]]</f>
        <v>1216</v>
      </c>
      <c r="P3079" t="str">
        <f>CompilDonnées[[#This Row],[Ref_Module]]&amp;CompilDonnées[[#This Row],[HarvestingDate]]</f>
        <v>121645877</v>
      </c>
    </row>
    <row r="3080" spans="1:16">
      <c r="A3080" s="5">
        <v>45805</v>
      </c>
      <c r="B3080">
        <v>110</v>
      </c>
      <c r="C3080" t="s">
        <v>14</v>
      </c>
      <c r="D3080">
        <v>3</v>
      </c>
      <c r="E3080">
        <v>100</v>
      </c>
      <c r="F3080" t="s">
        <v>1</v>
      </c>
      <c r="G3080" s="6">
        <v>45838</v>
      </c>
      <c r="H3080">
        <v>33</v>
      </c>
      <c r="I3080">
        <f>ROUND(CompilDonnées[[#This Row],[CultureDuration_days]]/7,0)</f>
        <v>5</v>
      </c>
      <c r="J3080">
        <v>3775</v>
      </c>
      <c r="K3080" t="str">
        <f>_xlfn.CONCAT(WEEKNUM(CompilDonnées[[#This Row],[PlantationDate]]), " ", YEAR(CompilDonnées[[#This Row],[PlantationDate]]))</f>
        <v>22 2025</v>
      </c>
      <c r="L3080" t="str">
        <f>CONCATENATE(MONTH(CompilDonnées[[#This Row],[PlantationDate]])," ", YEAR(CompilDonnées[[#This Row],[PlantationDate]]))</f>
        <v>5 2025</v>
      </c>
      <c r="M3080" t="str">
        <f>CONCATENATE(MONTH(CompilDonnées[[#This Row],[HarvestingDate]])," ", YEAR(CompilDonnées[[#This Row],[HarvestingDate]]))</f>
        <v>6 2025</v>
      </c>
      <c r="N3080">
        <f>_xlfn.NUMBERVALUE(CompilDonnées[[#This Row],[FarmID]]&amp;CompilDonnées[[#This Row],[ModuleNumber]]&amp;CompilDonnées[[#This Row],[PlantationDate]])</f>
        <v>110345805</v>
      </c>
      <c r="O3080" t="str">
        <f>CompilDonnées[[#This Row],[FarmID]]&amp;CompilDonnées[[#This Row],[ModuleNumber]]</f>
        <v>1103</v>
      </c>
      <c r="P3080" t="str">
        <f>CompilDonnées[[#This Row],[Ref_Module]]&amp;CompilDonnées[[#This Row],[HarvestingDate]]</f>
        <v>110345838</v>
      </c>
    </row>
    <row r="3081" spans="1:16">
      <c r="A3081" s="5">
        <v>45805</v>
      </c>
      <c r="B3081">
        <v>111</v>
      </c>
      <c r="C3081" t="s">
        <v>41</v>
      </c>
      <c r="D3081">
        <v>4</v>
      </c>
      <c r="E3081">
        <v>100</v>
      </c>
      <c r="F3081" t="s">
        <v>1</v>
      </c>
      <c r="G3081" s="6">
        <v>45838</v>
      </c>
      <c r="H3081">
        <v>33</v>
      </c>
      <c r="I3081">
        <f>ROUND(CompilDonnées[[#This Row],[CultureDuration_days]]/7,0)</f>
        <v>5</v>
      </c>
      <c r="J3081">
        <v>3181</v>
      </c>
      <c r="K3081" t="str">
        <f>_xlfn.CONCAT(WEEKNUM(CompilDonnées[[#This Row],[PlantationDate]]), " ", YEAR(CompilDonnées[[#This Row],[PlantationDate]]))</f>
        <v>22 2025</v>
      </c>
      <c r="L3081" t="str">
        <f>CONCATENATE(MONTH(CompilDonnées[[#This Row],[PlantationDate]])," ", YEAR(CompilDonnées[[#This Row],[PlantationDate]]))</f>
        <v>5 2025</v>
      </c>
      <c r="M3081" t="str">
        <f>CONCATENATE(MONTH(CompilDonnées[[#This Row],[HarvestingDate]])," ", YEAR(CompilDonnées[[#This Row],[HarvestingDate]]))</f>
        <v>6 2025</v>
      </c>
      <c r="N3081">
        <f>_xlfn.NUMBERVALUE(CompilDonnées[[#This Row],[FarmID]]&amp;CompilDonnées[[#This Row],[ModuleNumber]]&amp;CompilDonnées[[#This Row],[PlantationDate]])</f>
        <v>111445805</v>
      </c>
      <c r="O3081" t="str">
        <f>CompilDonnées[[#This Row],[FarmID]]&amp;CompilDonnées[[#This Row],[ModuleNumber]]</f>
        <v>1114</v>
      </c>
      <c r="P3081" t="str">
        <f>CompilDonnées[[#This Row],[Ref_Module]]&amp;CompilDonnées[[#This Row],[HarvestingDate]]</f>
        <v>111445838</v>
      </c>
    </row>
    <row r="3082" spans="1:16">
      <c r="A3082" s="5">
        <v>45805</v>
      </c>
      <c r="B3082">
        <v>113</v>
      </c>
      <c r="C3082" t="s">
        <v>16</v>
      </c>
      <c r="D3082">
        <v>1</v>
      </c>
      <c r="E3082">
        <v>100</v>
      </c>
      <c r="F3082" t="s">
        <v>1</v>
      </c>
      <c r="G3082" s="6">
        <v>45848</v>
      </c>
      <c r="H3082">
        <v>43</v>
      </c>
      <c r="I3082">
        <f>ROUND(CompilDonnées[[#This Row],[CultureDuration_days]]/7,0)</f>
        <v>6</v>
      </c>
      <c r="J3082">
        <v>3747</v>
      </c>
      <c r="K3082" t="str">
        <f>_xlfn.CONCAT(WEEKNUM(CompilDonnées[[#This Row],[PlantationDate]]), " ", YEAR(CompilDonnées[[#This Row],[PlantationDate]]))</f>
        <v>22 2025</v>
      </c>
      <c r="L3082" t="str">
        <f>CONCATENATE(MONTH(CompilDonnées[[#This Row],[PlantationDate]])," ", YEAR(CompilDonnées[[#This Row],[PlantationDate]]))</f>
        <v>5 2025</v>
      </c>
      <c r="M3082" t="str">
        <f>CONCATENATE(MONTH(CompilDonnées[[#This Row],[HarvestingDate]])," ", YEAR(CompilDonnées[[#This Row],[HarvestingDate]]))</f>
        <v>7 2025</v>
      </c>
      <c r="N3082">
        <f>_xlfn.NUMBERVALUE(CompilDonnées[[#This Row],[FarmID]]&amp;CompilDonnées[[#This Row],[ModuleNumber]]&amp;CompilDonnées[[#This Row],[PlantationDate]])</f>
        <v>113145805</v>
      </c>
      <c r="O3082" t="str">
        <f>CompilDonnées[[#This Row],[FarmID]]&amp;CompilDonnées[[#This Row],[ModuleNumber]]</f>
        <v>1131</v>
      </c>
      <c r="P3082" t="str">
        <f>CompilDonnées[[#This Row],[Ref_Module]]&amp;CompilDonnées[[#This Row],[HarvestingDate]]</f>
        <v>113145848</v>
      </c>
    </row>
    <row r="3083" spans="1:16">
      <c r="A3083" s="5">
        <v>45805</v>
      </c>
      <c r="B3083">
        <v>117</v>
      </c>
      <c r="C3083" t="s">
        <v>11</v>
      </c>
      <c r="D3083">
        <v>6</v>
      </c>
      <c r="E3083">
        <v>100</v>
      </c>
      <c r="F3083" t="s">
        <v>1</v>
      </c>
      <c r="G3083" s="6">
        <v>45848</v>
      </c>
      <c r="H3083">
        <v>43</v>
      </c>
      <c r="I3083">
        <f>ROUND(CompilDonnées[[#This Row],[CultureDuration_days]]/7,0)</f>
        <v>6</v>
      </c>
      <c r="J3083">
        <v>3282</v>
      </c>
      <c r="K3083" t="str">
        <f>_xlfn.CONCAT(WEEKNUM(CompilDonnées[[#This Row],[PlantationDate]]), " ", YEAR(CompilDonnées[[#This Row],[PlantationDate]]))</f>
        <v>22 2025</v>
      </c>
      <c r="L3083" t="str">
        <f>CONCATENATE(MONTH(CompilDonnées[[#This Row],[PlantationDate]])," ", YEAR(CompilDonnées[[#This Row],[PlantationDate]]))</f>
        <v>5 2025</v>
      </c>
      <c r="M3083" t="str">
        <f>CONCATENATE(MONTH(CompilDonnées[[#This Row],[HarvestingDate]])," ", YEAR(CompilDonnées[[#This Row],[HarvestingDate]]))</f>
        <v>7 2025</v>
      </c>
      <c r="N3083">
        <f>_xlfn.NUMBERVALUE(CompilDonnées[[#This Row],[FarmID]]&amp;CompilDonnées[[#This Row],[ModuleNumber]]&amp;CompilDonnées[[#This Row],[PlantationDate]])</f>
        <v>117645805</v>
      </c>
      <c r="O3083" t="str">
        <f>CompilDonnées[[#This Row],[FarmID]]&amp;CompilDonnées[[#This Row],[ModuleNumber]]</f>
        <v>1176</v>
      </c>
      <c r="P3083" t="str">
        <f>CompilDonnées[[#This Row],[Ref_Module]]&amp;CompilDonnées[[#This Row],[HarvestingDate]]</f>
        <v>117645848</v>
      </c>
    </row>
    <row r="3084" spans="1:16">
      <c r="A3084" s="5">
        <v>45805</v>
      </c>
      <c r="B3084">
        <v>118</v>
      </c>
      <c r="C3084" t="s">
        <v>51</v>
      </c>
      <c r="D3084">
        <v>6</v>
      </c>
      <c r="E3084">
        <v>100</v>
      </c>
      <c r="F3084" t="s">
        <v>1</v>
      </c>
      <c r="G3084" s="6">
        <v>45848</v>
      </c>
      <c r="H3084">
        <v>43</v>
      </c>
      <c r="I3084">
        <f>ROUND(CompilDonnées[[#This Row],[CultureDuration_days]]/7,0)</f>
        <v>6</v>
      </c>
      <c r="J3084">
        <v>3184</v>
      </c>
      <c r="K3084" t="str">
        <f>_xlfn.CONCAT(WEEKNUM(CompilDonnées[[#This Row],[PlantationDate]]), " ", YEAR(CompilDonnées[[#This Row],[PlantationDate]]))</f>
        <v>22 2025</v>
      </c>
      <c r="L3084" t="str">
        <f>CONCATENATE(MONTH(CompilDonnées[[#This Row],[PlantationDate]])," ", YEAR(CompilDonnées[[#This Row],[PlantationDate]]))</f>
        <v>5 2025</v>
      </c>
      <c r="M3084" t="str">
        <f>CONCATENATE(MONTH(CompilDonnées[[#This Row],[HarvestingDate]])," ", YEAR(CompilDonnées[[#This Row],[HarvestingDate]]))</f>
        <v>7 2025</v>
      </c>
      <c r="N3084">
        <f>_xlfn.NUMBERVALUE(CompilDonnées[[#This Row],[FarmID]]&amp;CompilDonnées[[#This Row],[ModuleNumber]]&amp;CompilDonnées[[#This Row],[PlantationDate]])</f>
        <v>118645805</v>
      </c>
      <c r="O3084" t="str">
        <f>CompilDonnées[[#This Row],[FarmID]]&amp;CompilDonnées[[#This Row],[ModuleNumber]]</f>
        <v>1186</v>
      </c>
      <c r="P3084" t="str">
        <f>CompilDonnées[[#This Row],[Ref_Module]]&amp;CompilDonnées[[#This Row],[HarvestingDate]]</f>
        <v>118645848</v>
      </c>
    </row>
    <row r="3085" spans="1:16">
      <c r="A3085" s="5">
        <v>45805</v>
      </c>
      <c r="B3085">
        <v>119</v>
      </c>
      <c r="C3085" t="s">
        <v>59</v>
      </c>
      <c r="D3085">
        <v>2</v>
      </c>
      <c r="E3085">
        <v>100</v>
      </c>
      <c r="F3085" t="s">
        <v>1</v>
      </c>
      <c r="G3085" s="6">
        <v>45838</v>
      </c>
      <c r="H3085">
        <v>33</v>
      </c>
      <c r="I3085">
        <f>ROUND(CompilDonnées[[#This Row],[CultureDuration_days]]/7,0)</f>
        <v>5</v>
      </c>
      <c r="J3085">
        <v>2704</v>
      </c>
      <c r="K3085" t="str">
        <f>_xlfn.CONCAT(WEEKNUM(CompilDonnées[[#This Row],[PlantationDate]]), " ", YEAR(CompilDonnées[[#This Row],[PlantationDate]]))</f>
        <v>22 2025</v>
      </c>
      <c r="L3085" t="str">
        <f>CONCATENATE(MONTH(CompilDonnées[[#This Row],[PlantationDate]])," ", YEAR(CompilDonnées[[#This Row],[PlantationDate]]))</f>
        <v>5 2025</v>
      </c>
      <c r="M3085" t="str">
        <f>CONCATENATE(MONTH(CompilDonnées[[#This Row],[HarvestingDate]])," ", YEAR(CompilDonnées[[#This Row],[HarvestingDate]]))</f>
        <v>6 2025</v>
      </c>
      <c r="N3085">
        <f>_xlfn.NUMBERVALUE(CompilDonnées[[#This Row],[FarmID]]&amp;CompilDonnées[[#This Row],[ModuleNumber]]&amp;CompilDonnées[[#This Row],[PlantationDate]])</f>
        <v>119245805</v>
      </c>
      <c r="O3085" t="str">
        <f>CompilDonnées[[#This Row],[FarmID]]&amp;CompilDonnées[[#This Row],[ModuleNumber]]</f>
        <v>1192</v>
      </c>
      <c r="P3085" t="str">
        <f>CompilDonnées[[#This Row],[Ref_Module]]&amp;CompilDonnées[[#This Row],[HarvestingDate]]</f>
        <v>119245838</v>
      </c>
    </row>
    <row r="3086" spans="1:16">
      <c r="A3086" s="5">
        <v>45805</v>
      </c>
      <c r="B3086">
        <v>140</v>
      </c>
      <c r="C3086" t="s">
        <v>96</v>
      </c>
      <c r="D3086">
        <v>4</v>
      </c>
      <c r="E3086">
        <v>100</v>
      </c>
      <c r="F3086" t="s">
        <v>1</v>
      </c>
      <c r="G3086" s="6">
        <v>45838</v>
      </c>
      <c r="H3086">
        <v>33</v>
      </c>
      <c r="I3086">
        <f>ROUND(CompilDonnées[[#This Row],[CultureDuration_days]]/7,0)</f>
        <v>5</v>
      </c>
      <c r="J3086">
        <v>3166</v>
      </c>
      <c r="K3086" t="str">
        <f>_xlfn.CONCAT(WEEKNUM(CompilDonnées[[#This Row],[PlantationDate]]), " ", YEAR(CompilDonnées[[#This Row],[PlantationDate]]))</f>
        <v>22 2025</v>
      </c>
      <c r="L3086" t="str">
        <f>CONCATENATE(MONTH(CompilDonnées[[#This Row],[PlantationDate]])," ", YEAR(CompilDonnées[[#This Row],[PlantationDate]]))</f>
        <v>5 2025</v>
      </c>
      <c r="M3086" t="str">
        <f>CONCATENATE(MONTH(CompilDonnées[[#This Row],[HarvestingDate]])," ", YEAR(CompilDonnées[[#This Row],[HarvestingDate]]))</f>
        <v>6 2025</v>
      </c>
      <c r="N3086">
        <f>_xlfn.NUMBERVALUE(CompilDonnées[[#This Row],[FarmID]]&amp;CompilDonnées[[#This Row],[ModuleNumber]]&amp;CompilDonnées[[#This Row],[PlantationDate]])</f>
        <v>140445805</v>
      </c>
      <c r="O3086" t="str">
        <f>CompilDonnées[[#This Row],[FarmID]]&amp;CompilDonnées[[#This Row],[ModuleNumber]]</f>
        <v>1404</v>
      </c>
      <c r="P3086" t="str">
        <f>CompilDonnées[[#This Row],[Ref_Module]]&amp;CompilDonnées[[#This Row],[HarvestingDate]]</f>
        <v>140445838</v>
      </c>
    </row>
    <row r="3087" spans="1:16">
      <c r="A3087" s="5">
        <v>45805</v>
      </c>
      <c r="B3087">
        <v>139</v>
      </c>
      <c r="C3087" t="s">
        <v>103</v>
      </c>
      <c r="D3087">
        <v>5</v>
      </c>
      <c r="E3087">
        <v>100</v>
      </c>
      <c r="F3087" t="s">
        <v>1</v>
      </c>
      <c r="G3087" s="6">
        <v>45838</v>
      </c>
      <c r="H3087">
        <v>33</v>
      </c>
      <c r="I3087">
        <f>ROUND(CompilDonnées[[#This Row],[CultureDuration_days]]/7,0)</f>
        <v>5</v>
      </c>
      <c r="J3087">
        <v>2524</v>
      </c>
      <c r="K3087" t="str">
        <f>_xlfn.CONCAT(WEEKNUM(CompilDonnées[[#This Row],[PlantationDate]]), " ", YEAR(CompilDonnées[[#This Row],[PlantationDate]]))</f>
        <v>22 2025</v>
      </c>
      <c r="L3087" t="str">
        <f>CONCATENATE(MONTH(CompilDonnées[[#This Row],[PlantationDate]])," ", YEAR(CompilDonnées[[#This Row],[PlantationDate]]))</f>
        <v>5 2025</v>
      </c>
      <c r="M3087" t="str">
        <f>CONCATENATE(MONTH(CompilDonnées[[#This Row],[HarvestingDate]])," ", YEAR(CompilDonnées[[#This Row],[HarvestingDate]]))</f>
        <v>6 2025</v>
      </c>
      <c r="N3087">
        <f>_xlfn.NUMBERVALUE(CompilDonnées[[#This Row],[FarmID]]&amp;CompilDonnées[[#This Row],[ModuleNumber]]&amp;CompilDonnées[[#This Row],[PlantationDate]])</f>
        <v>139545805</v>
      </c>
      <c r="O3087" t="str">
        <f>CompilDonnées[[#This Row],[FarmID]]&amp;CompilDonnées[[#This Row],[ModuleNumber]]</f>
        <v>1395</v>
      </c>
      <c r="P3087" t="str">
        <f>CompilDonnées[[#This Row],[Ref_Module]]&amp;CompilDonnées[[#This Row],[HarvestingDate]]</f>
        <v>139545838</v>
      </c>
    </row>
    <row r="3088" spans="1:16">
      <c r="A3088" s="5">
        <v>45805</v>
      </c>
      <c r="B3088">
        <v>133</v>
      </c>
      <c r="C3088" t="s">
        <v>99</v>
      </c>
      <c r="D3088">
        <v>4</v>
      </c>
      <c r="E3088">
        <v>100</v>
      </c>
      <c r="F3088" t="s">
        <v>1</v>
      </c>
      <c r="G3088" s="6">
        <v>45838</v>
      </c>
      <c r="H3088">
        <v>33</v>
      </c>
      <c r="I3088">
        <f>ROUND(CompilDonnées[[#This Row],[CultureDuration_days]]/7,0)</f>
        <v>5</v>
      </c>
      <c r="J3088">
        <v>3001</v>
      </c>
      <c r="K3088" t="str">
        <f>_xlfn.CONCAT(WEEKNUM(CompilDonnées[[#This Row],[PlantationDate]]), " ", YEAR(CompilDonnées[[#This Row],[PlantationDate]]))</f>
        <v>22 2025</v>
      </c>
      <c r="L3088" t="str">
        <f>CONCATENATE(MONTH(CompilDonnées[[#This Row],[PlantationDate]])," ", YEAR(CompilDonnées[[#This Row],[PlantationDate]]))</f>
        <v>5 2025</v>
      </c>
      <c r="M3088" t="str">
        <f>CONCATENATE(MONTH(CompilDonnées[[#This Row],[HarvestingDate]])," ", YEAR(CompilDonnées[[#This Row],[HarvestingDate]]))</f>
        <v>6 2025</v>
      </c>
      <c r="N3088">
        <f>_xlfn.NUMBERVALUE(CompilDonnées[[#This Row],[FarmID]]&amp;CompilDonnées[[#This Row],[ModuleNumber]]&amp;CompilDonnées[[#This Row],[PlantationDate]])</f>
        <v>133445805</v>
      </c>
      <c r="O3088" t="str">
        <f>CompilDonnées[[#This Row],[FarmID]]&amp;CompilDonnées[[#This Row],[ModuleNumber]]</f>
        <v>1334</v>
      </c>
      <c r="P3088" t="str">
        <f>CompilDonnées[[#This Row],[Ref_Module]]&amp;CompilDonnées[[#This Row],[HarvestingDate]]</f>
        <v>133445838</v>
      </c>
    </row>
    <row r="3089" spans="1:16">
      <c r="A3089" s="5">
        <v>45805</v>
      </c>
      <c r="B3089">
        <v>132</v>
      </c>
      <c r="C3089" t="s">
        <v>120</v>
      </c>
      <c r="D3089">
        <v>3</v>
      </c>
      <c r="E3089">
        <v>100</v>
      </c>
      <c r="F3089" t="s">
        <v>1</v>
      </c>
      <c r="G3089" s="6">
        <v>45839</v>
      </c>
      <c r="H3089">
        <v>34</v>
      </c>
      <c r="I3089">
        <f>ROUND(CompilDonnées[[#This Row],[CultureDuration_days]]/7,0)</f>
        <v>5</v>
      </c>
      <c r="J3089">
        <v>2894</v>
      </c>
      <c r="K3089" t="str">
        <f>_xlfn.CONCAT(WEEKNUM(CompilDonnées[[#This Row],[PlantationDate]]), " ", YEAR(CompilDonnées[[#This Row],[PlantationDate]]))</f>
        <v>22 2025</v>
      </c>
      <c r="L3089" t="str">
        <f>CONCATENATE(MONTH(CompilDonnées[[#This Row],[PlantationDate]])," ", YEAR(CompilDonnées[[#This Row],[PlantationDate]]))</f>
        <v>5 2025</v>
      </c>
      <c r="M3089" t="str">
        <f>CONCATENATE(MONTH(CompilDonnées[[#This Row],[HarvestingDate]])," ", YEAR(CompilDonnées[[#This Row],[HarvestingDate]]))</f>
        <v>7 2025</v>
      </c>
      <c r="N3089">
        <f>_xlfn.NUMBERVALUE(CompilDonnées[[#This Row],[FarmID]]&amp;CompilDonnées[[#This Row],[ModuleNumber]]&amp;CompilDonnées[[#This Row],[PlantationDate]])</f>
        <v>132345805</v>
      </c>
      <c r="O3089" t="str">
        <f>CompilDonnées[[#This Row],[FarmID]]&amp;CompilDonnées[[#This Row],[ModuleNumber]]</f>
        <v>1323</v>
      </c>
      <c r="P3089" t="str">
        <f>CompilDonnées[[#This Row],[Ref_Module]]&amp;CompilDonnées[[#This Row],[HarvestingDate]]</f>
        <v>132345839</v>
      </c>
    </row>
    <row r="3090" spans="1:16">
      <c r="A3090" s="5">
        <v>45805</v>
      </c>
      <c r="B3090">
        <v>124</v>
      </c>
      <c r="C3090" t="s">
        <v>115</v>
      </c>
      <c r="D3090">
        <v>1</v>
      </c>
      <c r="E3090">
        <v>100</v>
      </c>
      <c r="F3090" t="s">
        <v>1</v>
      </c>
      <c r="G3090" s="6">
        <v>45838</v>
      </c>
      <c r="H3090">
        <v>33</v>
      </c>
      <c r="I3090">
        <f>ROUND(CompilDonnées[[#This Row],[CultureDuration_days]]/7,0)</f>
        <v>5</v>
      </c>
      <c r="J3090">
        <v>3037</v>
      </c>
      <c r="K3090" t="str">
        <f>_xlfn.CONCAT(WEEKNUM(CompilDonnées[[#This Row],[PlantationDate]]), " ", YEAR(CompilDonnées[[#This Row],[PlantationDate]]))</f>
        <v>22 2025</v>
      </c>
      <c r="L3090" t="str">
        <f>CONCATENATE(MONTH(CompilDonnées[[#This Row],[PlantationDate]])," ", YEAR(CompilDonnées[[#This Row],[PlantationDate]]))</f>
        <v>5 2025</v>
      </c>
      <c r="M3090" t="str">
        <f>CONCATENATE(MONTH(CompilDonnées[[#This Row],[HarvestingDate]])," ", YEAR(CompilDonnées[[#This Row],[HarvestingDate]]))</f>
        <v>6 2025</v>
      </c>
      <c r="N3090">
        <f>_xlfn.NUMBERVALUE(CompilDonnées[[#This Row],[FarmID]]&amp;CompilDonnées[[#This Row],[ModuleNumber]]&amp;CompilDonnées[[#This Row],[PlantationDate]])</f>
        <v>124145805</v>
      </c>
      <c r="O3090" t="str">
        <f>CompilDonnées[[#This Row],[FarmID]]&amp;CompilDonnées[[#This Row],[ModuleNumber]]</f>
        <v>1241</v>
      </c>
      <c r="P3090" t="str">
        <f>CompilDonnées[[#This Row],[Ref_Module]]&amp;CompilDonnées[[#This Row],[HarvestingDate]]</f>
        <v>124145838</v>
      </c>
    </row>
    <row r="3091" spans="1:16">
      <c r="A3091" s="5">
        <v>45805</v>
      </c>
      <c r="B3091">
        <v>125</v>
      </c>
      <c r="C3091" t="s">
        <v>101</v>
      </c>
      <c r="D3091">
        <v>3</v>
      </c>
      <c r="E3091">
        <v>100</v>
      </c>
      <c r="F3091" t="s">
        <v>1</v>
      </c>
      <c r="G3091" s="6">
        <v>45838</v>
      </c>
      <c r="H3091">
        <v>33</v>
      </c>
      <c r="I3091">
        <f>ROUND(CompilDonnées[[#This Row],[CultureDuration_days]]/7,0)</f>
        <v>5</v>
      </c>
      <c r="J3091">
        <v>2746</v>
      </c>
      <c r="K3091" t="str">
        <f>_xlfn.CONCAT(WEEKNUM(CompilDonnées[[#This Row],[PlantationDate]]), " ", YEAR(CompilDonnées[[#This Row],[PlantationDate]]))</f>
        <v>22 2025</v>
      </c>
      <c r="L3091" t="str">
        <f>CONCATENATE(MONTH(CompilDonnées[[#This Row],[PlantationDate]])," ", YEAR(CompilDonnées[[#This Row],[PlantationDate]]))</f>
        <v>5 2025</v>
      </c>
      <c r="M3091" t="str">
        <f>CONCATENATE(MONTH(CompilDonnées[[#This Row],[HarvestingDate]])," ", YEAR(CompilDonnées[[#This Row],[HarvestingDate]]))</f>
        <v>6 2025</v>
      </c>
      <c r="N3091">
        <f>_xlfn.NUMBERVALUE(CompilDonnées[[#This Row],[FarmID]]&amp;CompilDonnées[[#This Row],[ModuleNumber]]&amp;CompilDonnées[[#This Row],[PlantationDate]])</f>
        <v>125345805</v>
      </c>
      <c r="O3091" t="str">
        <f>CompilDonnées[[#This Row],[FarmID]]&amp;CompilDonnées[[#This Row],[ModuleNumber]]</f>
        <v>1253</v>
      </c>
      <c r="P3091" t="str">
        <f>CompilDonnées[[#This Row],[Ref_Module]]&amp;CompilDonnées[[#This Row],[HarvestingDate]]</f>
        <v>125345838</v>
      </c>
    </row>
    <row r="3092" spans="1:16">
      <c r="A3092" s="5">
        <v>45805</v>
      </c>
      <c r="B3092">
        <v>126</v>
      </c>
      <c r="C3092" t="s">
        <v>52</v>
      </c>
      <c r="D3092">
        <v>1</v>
      </c>
      <c r="E3092">
        <v>100</v>
      </c>
      <c r="F3092" t="s">
        <v>1</v>
      </c>
      <c r="G3092" s="6">
        <v>45838</v>
      </c>
      <c r="H3092">
        <v>33</v>
      </c>
      <c r="I3092">
        <f>ROUND(CompilDonnées[[#This Row],[CultureDuration_days]]/7,0)</f>
        <v>5</v>
      </c>
      <c r="J3092">
        <v>2672</v>
      </c>
      <c r="K3092" t="str">
        <f>_xlfn.CONCAT(WEEKNUM(CompilDonnées[[#This Row],[PlantationDate]]), " ", YEAR(CompilDonnées[[#This Row],[PlantationDate]]))</f>
        <v>22 2025</v>
      </c>
      <c r="L3092" t="str">
        <f>CONCATENATE(MONTH(CompilDonnées[[#This Row],[PlantationDate]])," ", YEAR(CompilDonnées[[#This Row],[PlantationDate]]))</f>
        <v>5 2025</v>
      </c>
      <c r="M3092" t="str">
        <f>CONCATENATE(MONTH(CompilDonnées[[#This Row],[HarvestingDate]])," ", YEAR(CompilDonnées[[#This Row],[HarvestingDate]]))</f>
        <v>6 2025</v>
      </c>
      <c r="N3092">
        <f>_xlfn.NUMBERVALUE(CompilDonnées[[#This Row],[FarmID]]&amp;CompilDonnées[[#This Row],[ModuleNumber]]&amp;CompilDonnées[[#This Row],[PlantationDate]])</f>
        <v>126145805</v>
      </c>
      <c r="O3092" t="str">
        <f>CompilDonnées[[#This Row],[FarmID]]&amp;CompilDonnées[[#This Row],[ModuleNumber]]</f>
        <v>1261</v>
      </c>
      <c r="P3092" t="str">
        <f>CompilDonnées[[#This Row],[Ref_Module]]&amp;CompilDonnées[[#This Row],[HarvestingDate]]</f>
        <v>126145838</v>
      </c>
    </row>
    <row r="3093" spans="1:16">
      <c r="A3093" s="5">
        <v>45805</v>
      </c>
      <c r="B3093">
        <v>126</v>
      </c>
      <c r="C3093" t="s">
        <v>52</v>
      </c>
      <c r="D3093">
        <v>2</v>
      </c>
      <c r="E3093">
        <v>100</v>
      </c>
      <c r="F3093" t="s">
        <v>1</v>
      </c>
      <c r="G3093" s="6">
        <v>45838</v>
      </c>
      <c r="H3093">
        <v>33</v>
      </c>
      <c r="I3093">
        <f>ROUND(CompilDonnées[[#This Row],[CultureDuration_days]]/7,0)</f>
        <v>5</v>
      </c>
      <c r="J3093">
        <v>2672</v>
      </c>
      <c r="K3093" t="str">
        <f>_xlfn.CONCAT(WEEKNUM(CompilDonnées[[#This Row],[PlantationDate]]), " ", YEAR(CompilDonnées[[#This Row],[PlantationDate]]))</f>
        <v>22 2025</v>
      </c>
      <c r="L3093" t="str">
        <f>CONCATENATE(MONTH(CompilDonnées[[#This Row],[PlantationDate]])," ", YEAR(CompilDonnées[[#This Row],[PlantationDate]]))</f>
        <v>5 2025</v>
      </c>
      <c r="M3093" t="str">
        <f>CONCATENATE(MONTH(CompilDonnées[[#This Row],[HarvestingDate]])," ", YEAR(CompilDonnées[[#This Row],[HarvestingDate]]))</f>
        <v>6 2025</v>
      </c>
      <c r="N3093">
        <f>_xlfn.NUMBERVALUE(CompilDonnées[[#This Row],[FarmID]]&amp;CompilDonnées[[#This Row],[ModuleNumber]]&amp;CompilDonnées[[#This Row],[PlantationDate]])</f>
        <v>126245805</v>
      </c>
      <c r="O3093" t="str">
        <f>CompilDonnées[[#This Row],[FarmID]]&amp;CompilDonnées[[#This Row],[ModuleNumber]]</f>
        <v>1262</v>
      </c>
      <c r="P3093" t="str">
        <f>CompilDonnées[[#This Row],[Ref_Module]]&amp;CompilDonnées[[#This Row],[HarvestingDate]]</f>
        <v>126245838</v>
      </c>
    </row>
    <row r="3094" spans="1:16">
      <c r="A3094" s="5">
        <v>45805</v>
      </c>
      <c r="B3094">
        <v>81</v>
      </c>
      <c r="C3094" t="s">
        <v>30</v>
      </c>
      <c r="D3094">
        <v>3</v>
      </c>
      <c r="E3094">
        <v>100</v>
      </c>
      <c r="F3094" t="s">
        <v>1</v>
      </c>
      <c r="G3094" s="6">
        <v>45847</v>
      </c>
      <c r="H3094">
        <v>42</v>
      </c>
      <c r="I3094">
        <f>ROUND(CompilDonnées[[#This Row],[CultureDuration_days]]/7,0)</f>
        <v>6</v>
      </c>
      <c r="J3094">
        <v>3222</v>
      </c>
      <c r="K3094" t="str">
        <f>_xlfn.CONCAT(WEEKNUM(CompilDonnées[[#This Row],[PlantationDate]]), " ", YEAR(CompilDonnées[[#This Row],[PlantationDate]]))</f>
        <v>22 2025</v>
      </c>
      <c r="L3094" t="str">
        <f>CONCATENATE(MONTH(CompilDonnées[[#This Row],[PlantationDate]])," ", YEAR(CompilDonnées[[#This Row],[PlantationDate]]))</f>
        <v>5 2025</v>
      </c>
      <c r="M3094" t="str">
        <f>CONCATENATE(MONTH(CompilDonnées[[#This Row],[HarvestingDate]])," ", YEAR(CompilDonnées[[#This Row],[HarvestingDate]]))</f>
        <v>7 2025</v>
      </c>
      <c r="N3094">
        <f>_xlfn.NUMBERVALUE(CompilDonnées[[#This Row],[FarmID]]&amp;CompilDonnées[[#This Row],[ModuleNumber]]&amp;CompilDonnées[[#This Row],[PlantationDate]])</f>
        <v>81345805</v>
      </c>
      <c r="O3094" t="str">
        <f>CompilDonnées[[#This Row],[FarmID]]&amp;CompilDonnées[[#This Row],[ModuleNumber]]</f>
        <v>813</v>
      </c>
      <c r="P3094" t="str">
        <f>CompilDonnées[[#This Row],[Ref_Module]]&amp;CompilDonnées[[#This Row],[HarvestingDate]]</f>
        <v>81345847</v>
      </c>
    </row>
    <row r="3095" spans="1:16">
      <c r="A3095" s="5">
        <v>45805</v>
      </c>
      <c r="B3095">
        <v>80</v>
      </c>
      <c r="C3095" t="s">
        <v>29</v>
      </c>
      <c r="D3095">
        <v>1</v>
      </c>
      <c r="E3095">
        <v>100</v>
      </c>
      <c r="F3095" t="s">
        <v>1</v>
      </c>
      <c r="G3095" s="6">
        <v>45847</v>
      </c>
      <c r="H3095">
        <v>42</v>
      </c>
      <c r="I3095">
        <f>ROUND(CompilDonnées[[#This Row],[CultureDuration_days]]/7,0)</f>
        <v>6</v>
      </c>
      <c r="J3095">
        <v>3148</v>
      </c>
      <c r="K3095" t="str">
        <f>_xlfn.CONCAT(WEEKNUM(CompilDonnées[[#This Row],[PlantationDate]]), " ", YEAR(CompilDonnées[[#This Row],[PlantationDate]]))</f>
        <v>22 2025</v>
      </c>
      <c r="L3095" t="str">
        <f>CONCATENATE(MONTH(CompilDonnées[[#This Row],[PlantationDate]])," ", YEAR(CompilDonnées[[#This Row],[PlantationDate]]))</f>
        <v>5 2025</v>
      </c>
      <c r="M3095" t="str">
        <f>CONCATENATE(MONTH(CompilDonnées[[#This Row],[HarvestingDate]])," ", YEAR(CompilDonnées[[#This Row],[HarvestingDate]]))</f>
        <v>7 2025</v>
      </c>
      <c r="N3095">
        <f>_xlfn.NUMBERVALUE(CompilDonnées[[#This Row],[FarmID]]&amp;CompilDonnées[[#This Row],[ModuleNumber]]&amp;CompilDonnées[[#This Row],[PlantationDate]])</f>
        <v>80145805</v>
      </c>
      <c r="O3095" t="str">
        <f>CompilDonnées[[#This Row],[FarmID]]&amp;CompilDonnées[[#This Row],[ModuleNumber]]</f>
        <v>801</v>
      </c>
      <c r="P3095" t="str">
        <f>CompilDonnées[[#This Row],[Ref_Module]]&amp;CompilDonnées[[#This Row],[HarvestingDate]]</f>
        <v>80145847</v>
      </c>
    </row>
    <row r="3096" spans="1:16">
      <c r="A3096" s="5">
        <v>45805</v>
      </c>
      <c r="B3096">
        <v>79</v>
      </c>
      <c r="C3096" t="s">
        <v>61</v>
      </c>
      <c r="D3096">
        <v>5</v>
      </c>
      <c r="E3096">
        <v>100</v>
      </c>
      <c r="F3096" t="s">
        <v>1</v>
      </c>
      <c r="G3096" s="6">
        <v>45847</v>
      </c>
      <c r="H3096">
        <v>42</v>
      </c>
      <c r="I3096">
        <f>ROUND(CompilDonnées[[#This Row],[CultureDuration_days]]/7,0)</f>
        <v>6</v>
      </c>
      <c r="J3096">
        <v>3432</v>
      </c>
      <c r="K3096" t="str">
        <f>_xlfn.CONCAT(WEEKNUM(CompilDonnées[[#This Row],[PlantationDate]]), " ", YEAR(CompilDonnées[[#This Row],[PlantationDate]]))</f>
        <v>22 2025</v>
      </c>
      <c r="L3096" t="str">
        <f>CONCATENATE(MONTH(CompilDonnées[[#This Row],[PlantationDate]])," ", YEAR(CompilDonnées[[#This Row],[PlantationDate]]))</f>
        <v>5 2025</v>
      </c>
      <c r="M3096" t="str">
        <f>CONCATENATE(MONTH(CompilDonnées[[#This Row],[HarvestingDate]])," ", YEAR(CompilDonnées[[#This Row],[HarvestingDate]]))</f>
        <v>7 2025</v>
      </c>
      <c r="N3096">
        <f>_xlfn.NUMBERVALUE(CompilDonnées[[#This Row],[FarmID]]&amp;CompilDonnées[[#This Row],[ModuleNumber]]&amp;CompilDonnées[[#This Row],[PlantationDate]])</f>
        <v>79545805</v>
      </c>
      <c r="O3096" t="str">
        <f>CompilDonnées[[#This Row],[FarmID]]&amp;CompilDonnées[[#This Row],[ModuleNumber]]</f>
        <v>795</v>
      </c>
      <c r="P3096" t="str">
        <f>CompilDonnées[[#This Row],[Ref_Module]]&amp;CompilDonnées[[#This Row],[HarvestingDate]]</f>
        <v>79545847</v>
      </c>
    </row>
    <row r="3097" spans="1:16">
      <c r="A3097" s="5">
        <v>45805</v>
      </c>
      <c r="B3097">
        <v>77</v>
      </c>
      <c r="C3097" t="s">
        <v>75</v>
      </c>
      <c r="D3097">
        <v>1</v>
      </c>
      <c r="E3097">
        <v>100</v>
      </c>
      <c r="F3097" t="s">
        <v>1</v>
      </c>
      <c r="G3097" s="6">
        <v>45854</v>
      </c>
      <c r="H3097">
        <v>49</v>
      </c>
      <c r="I3097">
        <f>ROUND(CompilDonnées[[#This Row],[CultureDuration_days]]/7,0)</f>
        <v>7</v>
      </c>
      <c r="J3097">
        <v>2940</v>
      </c>
      <c r="K3097" t="str">
        <f>_xlfn.CONCAT(WEEKNUM(CompilDonnées[[#This Row],[PlantationDate]]), " ", YEAR(CompilDonnées[[#This Row],[PlantationDate]]))</f>
        <v>22 2025</v>
      </c>
      <c r="L3097" t="str">
        <f>CONCATENATE(MONTH(CompilDonnées[[#This Row],[PlantationDate]])," ", YEAR(CompilDonnées[[#This Row],[PlantationDate]]))</f>
        <v>5 2025</v>
      </c>
      <c r="M3097" t="str">
        <f>CONCATENATE(MONTH(CompilDonnées[[#This Row],[HarvestingDate]])," ", YEAR(CompilDonnées[[#This Row],[HarvestingDate]]))</f>
        <v>7 2025</v>
      </c>
      <c r="N3097">
        <f>_xlfn.NUMBERVALUE(CompilDonnées[[#This Row],[FarmID]]&amp;CompilDonnées[[#This Row],[ModuleNumber]]&amp;CompilDonnées[[#This Row],[PlantationDate]])</f>
        <v>77145805</v>
      </c>
      <c r="O3097" t="str">
        <f>CompilDonnées[[#This Row],[FarmID]]&amp;CompilDonnées[[#This Row],[ModuleNumber]]</f>
        <v>771</v>
      </c>
      <c r="P3097" t="str">
        <f>CompilDonnées[[#This Row],[Ref_Module]]&amp;CompilDonnées[[#This Row],[HarvestingDate]]</f>
        <v>77145854</v>
      </c>
    </row>
    <row r="3098" spans="1:16">
      <c r="A3098" s="5">
        <v>45805</v>
      </c>
      <c r="B3098">
        <v>83</v>
      </c>
      <c r="C3098" t="s">
        <v>73</v>
      </c>
      <c r="D3098">
        <v>5</v>
      </c>
      <c r="E3098">
        <v>100</v>
      </c>
      <c r="F3098" t="s">
        <v>1</v>
      </c>
      <c r="G3098" s="6">
        <v>45847</v>
      </c>
      <c r="H3098">
        <v>42</v>
      </c>
      <c r="I3098">
        <f>ROUND(CompilDonnées[[#This Row],[CultureDuration_days]]/7,0)</f>
        <v>6</v>
      </c>
      <c r="J3098">
        <v>2786</v>
      </c>
      <c r="K3098" t="str">
        <f>_xlfn.CONCAT(WEEKNUM(CompilDonnées[[#This Row],[PlantationDate]]), " ", YEAR(CompilDonnées[[#This Row],[PlantationDate]]))</f>
        <v>22 2025</v>
      </c>
      <c r="L3098" t="str">
        <f>CONCATENATE(MONTH(CompilDonnées[[#This Row],[PlantationDate]])," ", YEAR(CompilDonnées[[#This Row],[PlantationDate]]))</f>
        <v>5 2025</v>
      </c>
      <c r="M3098" t="str">
        <f>CONCATENATE(MONTH(CompilDonnées[[#This Row],[HarvestingDate]])," ", YEAR(CompilDonnées[[#This Row],[HarvestingDate]]))</f>
        <v>7 2025</v>
      </c>
      <c r="N3098">
        <f>_xlfn.NUMBERVALUE(CompilDonnées[[#This Row],[FarmID]]&amp;CompilDonnées[[#This Row],[ModuleNumber]]&amp;CompilDonnées[[#This Row],[PlantationDate]])</f>
        <v>83545805</v>
      </c>
      <c r="O3098" t="str">
        <f>CompilDonnées[[#This Row],[FarmID]]&amp;CompilDonnées[[#This Row],[ModuleNumber]]</f>
        <v>835</v>
      </c>
      <c r="P3098" t="str">
        <f>CompilDonnées[[#This Row],[Ref_Module]]&amp;CompilDonnées[[#This Row],[HarvestingDate]]</f>
        <v>83545847</v>
      </c>
    </row>
    <row r="3099" spans="1:16">
      <c r="A3099" s="5">
        <v>45805</v>
      </c>
      <c r="B3099">
        <v>76</v>
      </c>
      <c r="C3099" t="s">
        <v>18</v>
      </c>
      <c r="D3099">
        <v>2</v>
      </c>
      <c r="E3099">
        <v>100</v>
      </c>
      <c r="F3099" t="s">
        <v>1</v>
      </c>
      <c r="G3099" s="6">
        <v>45854</v>
      </c>
      <c r="H3099">
        <v>49</v>
      </c>
      <c r="I3099">
        <f>ROUND(CompilDonnées[[#This Row],[CultureDuration_days]]/7,0)</f>
        <v>7</v>
      </c>
      <c r="J3099">
        <v>2810</v>
      </c>
      <c r="K3099" t="str">
        <f>_xlfn.CONCAT(WEEKNUM(CompilDonnées[[#This Row],[PlantationDate]]), " ", YEAR(CompilDonnées[[#This Row],[PlantationDate]]))</f>
        <v>22 2025</v>
      </c>
      <c r="L3099" t="str">
        <f>CONCATENATE(MONTH(CompilDonnées[[#This Row],[PlantationDate]])," ", YEAR(CompilDonnées[[#This Row],[PlantationDate]]))</f>
        <v>5 2025</v>
      </c>
      <c r="M3099" t="str">
        <f>CONCATENATE(MONTH(CompilDonnées[[#This Row],[HarvestingDate]])," ", YEAR(CompilDonnées[[#This Row],[HarvestingDate]]))</f>
        <v>7 2025</v>
      </c>
      <c r="N3099">
        <f>_xlfn.NUMBERVALUE(CompilDonnées[[#This Row],[FarmID]]&amp;CompilDonnées[[#This Row],[ModuleNumber]]&amp;CompilDonnées[[#This Row],[PlantationDate]])</f>
        <v>76245805</v>
      </c>
      <c r="O3099" t="str">
        <f>CompilDonnées[[#This Row],[FarmID]]&amp;CompilDonnées[[#This Row],[ModuleNumber]]</f>
        <v>762</v>
      </c>
      <c r="P3099" t="str">
        <f>CompilDonnées[[#This Row],[Ref_Module]]&amp;CompilDonnées[[#This Row],[HarvestingDate]]</f>
        <v>76245854</v>
      </c>
    </row>
    <row r="3100" spans="1:16">
      <c r="A3100" s="5">
        <v>45805</v>
      </c>
      <c r="B3100">
        <v>98</v>
      </c>
      <c r="C3100" t="s">
        <v>79</v>
      </c>
      <c r="D3100">
        <v>4</v>
      </c>
      <c r="E3100">
        <v>100</v>
      </c>
      <c r="F3100" t="s">
        <v>1</v>
      </c>
      <c r="G3100" s="6">
        <v>45847</v>
      </c>
      <c r="H3100">
        <v>42</v>
      </c>
      <c r="I3100">
        <f>ROUND(CompilDonnées[[#This Row],[CultureDuration_days]]/7,0)</f>
        <v>6</v>
      </c>
      <c r="J3100">
        <v>3170</v>
      </c>
      <c r="K3100" t="str">
        <f>_xlfn.CONCAT(WEEKNUM(CompilDonnées[[#This Row],[PlantationDate]]), " ", YEAR(CompilDonnées[[#This Row],[PlantationDate]]))</f>
        <v>22 2025</v>
      </c>
      <c r="L3100" t="str">
        <f>CONCATENATE(MONTH(CompilDonnées[[#This Row],[PlantationDate]])," ", YEAR(CompilDonnées[[#This Row],[PlantationDate]]))</f>
        <v>5 2025</v>
      </c>
      <c r="M3100" t="str">
        <f>CONCATENATE(MONTH(CompilDonnées[[#This Row],[HarvestingDate]])," ", YEAR(CompilDonnées[[#This Row],[HarvestingDate]]))</f>
        <v>7 2025</v>
      </c>
      <c r="N3100">
        <f>_xlfn.NUMBERVALUE(CompilDonnées[[#This Row],[FarmID]]&amp;CompilDonnées[[#This Row],[ModuleNumber]]&amp;CompilDonnées[[#This Row],[PlantationDate]])</f>
        <v>98445805</v>
      </c>
      <c r="O3100" t="str">
        <f>CompilDonnées[[#This Row],[FarmID]]&amp;CompilDonnées[[#This Row],[ModuleNumber]]</f>
        <v>984</v>
      </c>
      <c r="P3100" t="str">
        <f>CompilDonnées[[#This Row],[Ref_Module]]&amp;CompilDonnées[[#This Row],[HarvestingDate]]</f>
        <v>98445847</v>
      </c>
    </row>
    <row r="3101" spans="1:16">
      <c r="A3101" s="5">
        <v>45805</v>
      </c>
      <c r="B3101">
        <v>109</v>
      </c>
      <c r="C3101" t="s">
        <v>87</v>
      </c>
      <c r="D3101">
        <v>1</v>
      </c>
      <c r="E3101">
        <v>100</v>
      </c>
      <c r="F3101" t="s">
        <v>1</v>
      </c>
      <c r="G3101" s="6">
        <v>45838</v>
      </c>
      <c r="H3101">
        <v>33</v>
      </c>
      <c r="I3101">
        <f>ROUND(CompilDonnées[[#This Row],[CultureDuration_days]]/7,0)</f>
        <v>5</v>
      </c>
      <c r="J3101">
        <v>3168</v>
      </c>
      <c r="K3101" t="str">
        <f>_xlfn.CONCAT(WEEKNUM(CompilDonnées[[#This Row],[PlantationDate]]), " ", YEAR(CompilDonnées[[#This Row],[PlantationDate]]))</f>
        <v>22 2025</v>
      </c>
      <c r="L3101" t="str">
        <f>CONCATENATE(MONTH(CompilDonnées[[#This Row],[PlantationDate]])," ", YEAR(CompilDonnées[[#This Row],[PlantationDate]]))</f>
        <v>5 2025</v>
      </c>
      <c r="M3101" t="str">
        <f>CONCATENATE(MONTH(CompilDonnées[[#This Row],[HarvestingDate]])," ", YEAR(CompilDonnées[[#This Row],[HarvestingDate]]))</f>
        <v>6 2025</v>
      </c>
      <c r="N3101">
        <f>_xlfn.NUMBERVALUE(CompilDonnées[[#This Row],[FarmID]]&amp;CompilDonnées[[#This Row],[ModuleNumber]]&amp;CompilDonnées[[#This Row],[PlantationDate]])</f>
        <v>109145805</v>
      </c>
      <c r="O3101" t="str">
        <f>CompilDonnées[[#This Row],[FarmID]]&amp;CompilDonnées[[#This Row],[ModuleNumber]]</f>
        <v>1091</v>
      </c>
      <c r="P3101" t="str">
        <f>CompilDonnées[[#This Row],[Ref_Module]]&amp;CompilDonnées[[#This Row],[HarvestingDate]]</f>
        <v>109145838</v>
      </c>
    </row>
    <row r="3102" spans="1:16">
      <c r="A3102" s="5">
        <v>45805</v>
      </c>
      <c r="B3102">
        <v>109</v>
      </c>
      <c r="C3102" t="s">
        <v>87</v>
      </c>
      <c r="D3102">
        <v>6</v>
      </c>
      <c r="E3102">
        <v>100</v>
      </c>
      <c r="F3102" t="s">
        <v>1</v>
      </c>
      <c r="G3102" s="6">
        <v>45849</v>
      </c>
      <c r="H3102">
        <v>44</v>
      </c>
      <c r="I3102">
        <f>ROUND(CompilDonnées[[#This Row],[CultureDuration_days]]/7,0)</f>
        <v>6</v>
      </c>
      <c r="J3102">
        <v>3666</v>
      </c>
      <c r="K3102" t="str">
        <f>_xlfn.CONCAT(WEEKNUM(CompilDonnées[[#This Row],[PlantationDate]]), " ", YEAR(CompilDonnées[[#This Row],[PlantationDate]]))</f>
        <v>22 2025</v>
      </c>
      <c r="L3102" t="str">
        <f>CONCATENATE(MONTH(CompilDonnées[[#This Row],[PlantationDate]])," ", YEAR(CompilDonnées[[#This Row],[PlantationDate]]))</f>
        <v>5 2025</v>
      </c>
      <c r="M3102" t="str">
        <f>CONCATENATE(MONTH(CompilDonnées[[#This Row],[HarvestingDate]])," ", YEAR(CompilDonnées[[#This Row],[HarvestingDate]]))</f>
        <v>7 2025</v>
      </c>
      <c r="N3102">
        <f>_xlfn.NUMBERVALUE(CompilDonnées[[#This Row],[FarmID]]&amp;CompilDonnées[[#This Row],[ModuleNumber]]&amp;CompilDonnées[[#This Row],[PlantationDate]])</f>
        <v>109645805</v>
      </c>
      <c r="O3102" t="str">
        <f>CompilDonnées[[#This Row],[FarmID]]&amp;CompilDonnées[[#This Row],[ModuleNumber]]</f>
        <v>1096</v>
      </c>
      <c r="P3102" t="str">
        <f>CompilDonnées[[#This Row],[Ref_Module]]&amp;CompilDonnées[[#This Row],[HarvestingDate]]</f>
        <v>109645849</v>
      </c>
    </row>
    <row r="3103" spans="1:16">
      <c r="A3103" s="5">
        <v>45805</v>
      </c>
      <c r="B3103">
        <v>108</v>
      </c>
      <c r="C3103" t="s">
        <v>58</v>
      </c>
      <c r="D3103">
        <v>5</v>
      </c>
      <c r="E3103">
        <v>100</v>
      </c>
      <c r="F3103" t="s">
        <v>1</v>
      </c>
      <c r="G3103" s="6">
        <v>45839</v>
      </c>
      <c r="H3103">
        <v>34</v>
      </c>
      <c r="I3103">
        <f>ROUND(CompilDonnées[[#This Row],[CultureDuration_days]]/7,0)</f>
        <v>5</v>
      </c>
      <c r="J3103">
        <v>2981</v>
      </c>
      <c r="K3103" t="str">
        <f>_xlfn.CONCAT(WEEKNUM(CompilDonnées[[#This Row],[PlantationDate]]), " ", YEAR(CompilDonnées[[#This Row],[PlantationDate]]))</f>
        <v>22 2025</v>
      </c>
      <c r="L3103" t="str">
        <f>CONCATENATE(MONTH(CompilDonnées[[#This Row],[PlantationDate]])," ", YEAR(CompilDonnées[[#This Row],[PlantationDate]]))</f>
        <v>5 2025</v>
      </c>
      <c r="M3103" t="str">
        <f>CONCATENATE(MONTH(CompilDonnées[[#This Row],[HarvestingDate]])," ", YEAR(CompilDonnées[[#This Row],[HarvestingDate]]))</f>
        <v>7 2025</v>
      </c>
      <c r="N3103">
        <f>_xlfn.NUMBERVALUE(CompilDonnées[[#This Row],[FarmID]]&amp;CompilDonnées[[#This Row],[ModuleNumber]]&amp;CompilDonnées[[#This Row],[PlantationDate]])</f>
        <v>108545805</v>
      </c>
      <c r="O3103" t="str">
        <f>CompilDonnées[[#This Row],[FarmID]]&amp;CompilDonnées[[#This Row],[ModuleNumber]]</f>
        <v>1085</v>
      </c>
      <c r="P3103" t="str">
        <f>CompilDonnées[[#This Row],[Ref_Module]]&amp;CompilDonnées[[#This Row],[HarvestingDate]]</f>
        <v>108545839</v>
      </c>
    </row>
    <row r="3104" spans="1:16">
      <c r="A3104" s="5">
        <v>45805</v>
      </c>
      <c r="B3104">
        <v>106</v>
      </c>
      <c r="C3104" t="s">
        <v>22</v>
      </c>
      <c r="D3104">
        <v>3</v>
      </c>
      <c r="E3104">
        <v>100</v>
      </c>
      <c r="F3104" t="s">
        <v>1</v>
      </c>
      <c r="G3104" s="6">
        <v>45848</v>
      </c>
      <c r="H3104">
        <v>43</v>
      </c>
      <c r="I3104">
        <f>ROUND(CompilDonnées[[#This Row],[CultureDuration_days]]/7,0)</f>
        <v>6</v>
      </c>
      <c r="J3104">
        <v>3019</v>
      </c>
      <c r="K3104" t="str">
        <f>_xlfn.CONCAT(WEEKNUM(CompilDonnées[[#This Row],[PlantationDate]]), " ", YEAR(CompilDonnées[[#This Row],[PlantationDate]]))</f>
        <v>22 2025</v>
      </c>
      <c r="L3104" t="str">
        <f>CONCATENATE(MONTH(CompilDonnées[[#This Row],[PlantationDate]])," ", YEAR(CompilDonnées[[#This Row],[PlantationDate]]))</f>
        <v>5 2025</v>
      </c>
      <c r="M3104" t="str">
        <f>CONCATENATE(MONTH(CompilDonnées[[#This Row],[HarvestingDate]])," ", YEAR(CompilDonnées[[#This Row],[HarvestingDate]]))</f>
        <v>7 2025</v>
      </c>
      <c r="N3104">
        <f>_xlfn.NUMBERVALUE(CompilDonnées[[#This Row],[FarmID]]&amp;CompilDonnées[[#This Row],[ModuleNumber]]&amp;CompilDonnées[[#This Row],[PlantationDate]])</f>
        <v>106345805</v>
      </c>
      <c r="O3104" t="str">
        <f>CompilDonnées[[#This Row],[FarmID]]&amp;CompilDonnées[[#This Row],[ModuleNumber]]</f>
        <v>1063</v>
      </c>
      <c r="P3104" t="str">
        <f>CompilDonnées[[#This Row],[Ref_Module]]&amp;CompilDonnées[[#This Row],[HarvestingDate]]</f>
        <v>106345848</v>
      </c>
    </row>
    <row r="3105" spans="1:16">
      <c r="A3105" s="5">
        <v>45805</v>
      </c>
      <c r="B3105">
        <v>92</v>
      </c>
      <c r="C3105" t="s">
        <v>66</v>
      </c>
      <c r="D3105">
        <v>1</v>
      </c>
      <c r="E3105">
        <v>100</v>
      </c>
      <c r="F3105" t="s">
        <v>1</v>
      </c>
      <c r="G3105" s="6">
        <v>45847</v>
      </c>
      <c r="H3105">
        <v>42</v>
      </c>
      <c r="I3105">
        <f>ROUND(CompilDonnées[[#This Row],[CultureDuration_days]]/7,0)</f>
        <v>6</v>
      </c>
      <c r="J3105">
        <v>3180</v>
      </c>
      <c r="K3105" t="str">
        <f>_xlfn.CONCAT(WEEKNUM(CompilDonnées[[#This Row],[PlantationDate]]), " ", YEAR(CompilDonnées[[#This Row],[PlantationDate]]))</f>
        <v>22 2025</v>
      </c>
      <c r="L3105" t="str">
        <f>CONCATENATE(MONTH(CompilDonnées[[#This Row],[PlantationDate]])," ", YEAR(CompilDonnées[[#This Row],[PlantationDate]]))</f>
        <v>5 2025</v>
      </c>
      <c r="M3105" t="str">
        <f>CONCATENATE(MONTH(CompilDonnées[[#This Row],[HarvestingDate]])," ", YEAR(CompilDonnées[[#This Row],[HarvestingDate]]))</f>
        <v>7 2025</v>
      </c>
      <c r="N3105">
        <f>_xlfn.NUMBERVALUE(CompilDonnées[[#This Row],[FarmID]]&amp;CompilDonnées[[#This Row],[ModuleNumber]]&amp;CompilDonnées[[#This Row],[PlantationDate]])</f>
        <v>92145805</v>
      </c>
      <c r="O3105" t="str">
        <f>CompilDonnées[[#This Row],[FarmID]]&amp;CompilDonnées[[#This Row],[ModuleNumber]]</f>
        <v>921</v>
      </c>
      <c r="P3105" t="str">
        <f>CompilDonnées[[#This Row],[Ref_Module]]&amp;CompilDonnées[[#This Row],[HarvestingDate]]</f>
        <v>92145847</v>
      </c>
    </row>
    <row r="3106" spans="1:16">
      <c r="A3106" s="5">
        <v>45805</v>
      </c>
      <c r="B3106">
        <v>86</v>
      </c>
      <c r="C3106" t="s">
        <v>37</v>
      </c>
      <c r="D3106">
        <v>6</v>
      </c>
      <c r="E3106">
        <v>100</v>
      </c>
      <c r="F3106" t="s">
        <v>1</v>
      </c>
      <c r="G3106" s="6">
        <v>45843</v>
      </c>
      <c r="H3106">
        <v>38</v>
      </c>
      <c r="I3106">
        <f>ROUND(CompilDonnées[[#This Row],[CultureDuration_days]]/7,0)</f>
        <v>5</v>
      </c>
      <c r="J3106">
        <v>2537</v>
      </c>
      <c r="K3106" t="str">
        <f>_xlfn.CONCAT(WEEKNUM(CompilDonnées[[#This Row],[PlantationDate]]), " ", YEAR(CompilDonnées[[#This Row],[PlantationDate]]))</f>
        <v>22 2025</v>
      </c>
      <c r="L3106" t="str">
        <f>CONCATENATE(MONTH(CompilDonnées[[#This Row],[PlantationDate]])," ", YEAR(CompilDonnées[[#This Row],[PlantationDate]]))</f>
        <v>5 2025</v>
      </c>
      <c r="M3106" t="str">
        <f>CONCATENATE(MONTH(CompilDonnées[[#This Row],[HarvestingDate]])," ", YEAR(CompilDonnées[[#This Row],[HarvestingDate]]))</f>
        <v>7 2025</v>
      </c>
      <c r="N3106">
        <f>_xlfn.NUMBERVALUE(CompilDonnées[[#This Row],[FarmID]]&amp;CompilDonnées[[#This Row],[ModuleNumber]]&amp;CompilDonnées[[#This Row],[PlantationDate]])</f>
        <v>86645805</v>
      </c>
      <c r="O3106" t="str">
        <f>CompilDonnées[[#This Row],[FarmID]]&amp;CompilDonnées[[#This Row],[ModuleNumber]]</f>
        <v>866</v>
      </c>
      <c r="P3106" t="str">
        <f>CompilDonnées[[#This Row],[Ref_Module]]&amp;CompilDonnées[[#This Row],[HarvestingDate]]</f>
        <v>86645843</v>
      </c>
    </row>
    <row r="3107" spans="1:16">
      <c r="A3107" s="5">
        <v>45805</v>
      </c>
      <c r="B3107">
        <v>93</v>
      </c>
      <c r="C3107" t="s">
        <v>10</v>
      </c>
      <c r="D3107">
        <v>2</v>
      </c>
      <c r="E3107">
        <v>100</v>
      </c>
      <c r="F3107" t="s">
        <v>1</v>
      </c>
      <c r="G3107" s="6">
        <v>45847</v>
      </c>
      <c r="H3107">
        <v>42</v>
      </c>
      <c r="I3107">
        <f>ROUND(CompilDonnées[[#This Row],[CultureDuration_days]]/7,0)</f>
        <v>6</v>
      </c>
      <c r="J3107">
        <v>3451</v>
      </c>
      <c r="K3107" t="str">
        <f>_xlfn.CONCAT(WEEKNUM(CompilDonnées[[#This Row],[PlantationDate]]), " ", YEAR(CompilDonnées[[#This Row],[PlantationDate]]))</f>
        <v>22 2025</v>
      </c>
      <c r="L3107" t="str">
        <f>CONCATENATE(MONTH(CompilDonnées[[#This Row],[PlantationDate]])," ", YEAR(CompilDonnées[[#This Row],[PlantationDate]]))</f>
        <v>5 2025</v>
      </c>
      <c r="M3107" t="str">
        <f>CONCATENATE(MONTH(CompilDonnées[[#This Row],[HarvestingDate]])," ", YEAR(CompilDonnées[[#This Row],[HarvestingDate]]))</f>
        <v>7 2025</v>
      </c>
      <c r="N3107">
        <f>_xlfn.NUMBERVALUE(CompilDonnées[[#This Row],[FarmID]]&amp;CompilDonnées[[#This Row],[ModuleNumber]]&amp;CompilDonnées[[#This Row],[PlantationDate]])</f>
        <v>93245805</v>
      </c>
      <c r="O3107" t="str">
        <f>CompilDonnées[[#This Row],[FarmID]]&amp;CompilDonnées[[#This Row],[ModuleNumber]]</f>
        <v>932</v>
      </c>
      <c r="P3107" t="str">
        <f>CompilDonnées[[#This Row],[Ref_Module]]&amp;CompilDonnées[[#This Row],[HarvestingDate]]</f>
        <v>93245847</v>
      </c>
    </row>
    <row r="3108" spans="1:16">
      <c r="A3108" s="5">
        <v>45805</v>
      </c>
      <c r="B3108">
        <v>104</v>
      </c>
      <c r="C3108" t="s">
        <v>91</v>
      </c>
      <c r="D3108">
        <v>1</v>
      </c>
      <c r="E3108">
        <v>100</v>
      </c>
      <c r="F3108" t="s">
        <v>1</v>
      </c>
      <c r="G3108" s="6">
        <v>45852</v>
      </c>
      <c r="H3108">
        <v>47</v>
      </c>
      <c r="I3108">
        <f>ROUND(CompilDonnées[[#This Row],[CultureDuration_days]]/7,0)</f>
        <v>7</v>
      </c>
      <c r="J3108">
        <v>2090</v>
      </c>
      <c r="K3108" t="str">
        <f>_xlfn.CONCAT(WEEKNUM(CompilDonnées[[#This Row],[PlantationDate]]), " ", YEAR(CompilDonnées[[#This Row],[PlantationDate]]))</f>
        <v>22 2025</v>
      </c>
      <c r="L3108" t="str">
        <f>CONCATENATE(MONTH(CompilDonnées[[#This Row],[PlantationDate]])," ", YEAR(CompilDonnées[[#This Row],[PlantationDate]]))</f>
        <v>5 2025</v>
      </c>
      <c r="M3108" t="str">
        <f>CONCATENATE(MONTH(CompilDonnées[[#This Row],[HarvestingDate]])," ", YEAR(CompilDonnées[[#This Row],[HarvestingDate]]))</f>
        <v>7 2025</v>
      </c>
      <c r="N3108">
        <f>_xlfn.NUMBERVALUE(CompilDonnées[[#This Row],[FarmID]]&amp;CompilDonnées[[#This Row],[ModuleNumber]]&amp;CompilDonnées[[#This Row],[PlantationDate]])</f>
        <v>104145805</v>
      </c>
      <c r="O3108" t="str">
        <f>CompilDonnées[[#This Row],[FarmID]]&amp;CompilDonnées[[#This Row],[ModuleNumber]]</f>
        <v>1041</v>
      </c>
      <c r="P3108" t="str">
        <f>CompilDonnées[[#This Row],[Ref_Module]]&amp;CompilDonnées[[#This Row],[HarvestingDate]]</f>
        <v>104145852</v>
      </c>
    </row>
    <row r="3109" spans="1:16">
      <c r="A3109" s="5">
        <v>45805</v>
      </c>
      <c r="B3109">
        <v>103</v>
      </c>
      <c r="C3109" t="s">
        <v>86</v>
      </c>
      <c r="D3109">
        <v>3</v>
      </c>
      <c r="E3109">
        <v>100</v>
      </c>
      <c r="F3109" t="s">
        <v>1</v>
      </c>
      <c r="G3109" s="6">
        <v>45852</v>
      </c>
      <c r="H3109">
        <v>47</v>
      </c>
      <c r="I3109">
        <f>ROUND(CompilDonnées[[#This Row],[CultureDuration_days]]/7,0)</f>
        <v>7</v>
      </c>
      <c r="J3109">
        <v>2238</v>
      </c>
      <c r="K3109" t="str">
        <f>_xlfn.CONCAT(WEEKNUM(CompilDonnées[[#This Row],[PlantationDate]]), " ", YEAR(CompilDonnées[[#This Row],[PlantationDate]]))</f>
        <v>22 2025</v>
      </c>
      <c r="L3109" t="str">
        <f>CONCATENATE(MONTH(CompilDonnées[[#This Row],[PlantationDate]])," ", YEAR(CompilDonnées[[#This Row],[PlantationDate]]))</f>
        <v>5 2025</v>
      </c>
      <c r="M3109" t="str">
        <f>CONCATENATE(MONTH(CompilDonnées[[#This Row],[HarvestingDate]])," ", YEAR(CompilDonnées[[#This Row],[HarvestingDate]]))</f>
        <v>7 2025</v>
      </c>
      <c r="N3109">
        <f>_xlfn.NUMBERVALUE(CompilDonnées[[#This Row],[FarmID]]&amp;CompilDonnées[[#This Row],[ModuleNumber]]&amp;CompilDonnées[[#This Row],[PlantationDate]])</f>
        <v>103345805</v>
      </c>
      <c r="O3109" t="str">
        <f>CompilDonnées[[#This Row],[FarmID]]&amp;CompilDonnées[[#This Row],[ModuleNumber]]</f>
        <v>1033</v>
      </c>
      <c r="P3109" t="str">
        <f>CompilDonnées[[#This Row],[Ref_Module]]&amp;CompilDonnées[[#This Row],[HarvestingDate]]</f>
        <v>103345852</v>
      </c>
    </row>
    <row r="3110" spans="1:16">
      <c r="A3110" s="5">
        <v>45805</v>
      </c>
      <c r="B3110">
        <v>122</v>
      </c>
      <c r="C3110" t="s">
        <v>3</v>
      </c>
      <c r="D3110">
        <v>3</v>
      </c>
      <c r="E3110">
        <v>60</v>
      </c>
      <c r="F3110" t="s">
        <v>105</v>
      </c>
      <c r="G3110" s="6">
        <v>45861</v>
      </c>
      <c r="H3110">
        <v>56</v>
      </c>
      <c r="I3110">
        <f>ROUND(CompilDonnées[[#This Row],[CultureDuration_days]]/7,0)</f>
        <v>8</v>
      </c>
      <c r="J3110">
        <v>800</v>
      </c>
      <c r="K3110" t="str">
        <f>_xlfn.CONCAT(WEEKNUM(CompilDonnées[[#This Row],[PlantationDate]]), " ", YEAR(CompilDonnées[[#This Row],[PlantationDate]]))</f>
        <v>22 2025</v>
      </c>
      <c r="L3110" t="str">
        <f>CONCATENATE(MONTH(CompilDonnées[[#This Row],[PlantationDate]])," ", YEAR(CompilDonnées[[#This Row],[PlantationDate]]))</f>
        <v>5 2025</v>
      </c>
      <c r="M3110" t="str">
        <f>CONCATENATE(MONTH(CompilDonnées[[#This Row],[HarvestingDate]])," ", YEAR(CompilDonnées[[#This Row],[HarvestingDate]]))</f>
        <v>7 2025</v>
      </c>
      <c r="N3110">
        <f>_xlfn.NUMBERVALUE(CompilDonnées[[#This Row],[FarmID]]&amp;CompilDonnées[[#This Row],[ModuleNumber]]&amp;CompilDonnées[[#This Row],[PlantationDate]])</f>
        <v>122345805</v>
      </c>
      <c r="O3110" t="str">
        <f>CompilDonnées[[#This Row],[FarmID]]&amp;CompilDonnées[[#This Row],[ModuleNumber]]</f>
        <v>1223</v>
      </c>
      <c r="P3110" t="str">
        <f>CompilDonnées[[#This Row],[Ref_Module]]&amp;CompilDonnées[[#This Row],[HarvestingDate]]</f>
        <v>122345861</v>
      </c>
    </row>
    <row r="3111" spans="1:16">
      <c r="A3111" s="5">
        <v>45805</v>
      </c>
      <c r="B3111">
        <v>122</v>
      </c>
      <c r="C3111" t="s">
        <v>3</v>
      </c>
      <c r="D3111">
        <v>4</v>
      </c>
      <c r="E3111">
        <v>60</v>
      </c>
      <c r="F3111" t="s">
        <v>105</v>
      </c>
      <c r="G3111" s="6">
        <v>45862</v>
      </c>
      <c r="H3111">
        <v>57</v>
      </c>
      <c r="I3111">
        <f>ROUND(CompilDonnées[[#This Row],[CultureDuration_days]]/7,0)</f>
        <v>8</v>
      </c>
      <c r="J3111">
        <v>367</v>
      </c>
      <c r="K3111" t="str">
        <f>_xlfn.CONCAT(WEEKNUM(CompilDonnées[[#This Row],[PlantationDate]]), " ", YEAR(CompilDonnées[[#This Row],[PlantationDate]]))</f>
        <v>22 2025</v>
      </c>
      <c r="L3111" t="str">
        <f>CONCATENATE(MONTH(CompilDonnées[[#This Row],[PlantationDate]])," ", YEAR(CompilDonnées[[#This Row],[PlantationDate]]))</f>
        <v>5 2025</v>
      </c>
      <c r="M3111" t="str">
        <f>CONCATENATE(MONTH(CompilDonnées[[#This Row],[HarvestingDate]])," ", YEAR(CompilDonnées[[#This Row],[HarvestingDate]]))</f>
        <v>7 2025</v>
      </c>
      <c r="N3111">
        <f>_xlfn.NUMBERVALUE(CompilDonnées[[#This Row],[FarmID]]&amp;CompilDonnées[[#This Row],[ModuleNumber]]&amp;CompilDonnées[[#This Row],[PlantationDate]])</f>
        <v>122445805</v>
      </c>
      <c r="O3111" t="str">
        <f>CompilDonnées[[#This Row],[FarmID]]&amp;CompilDonnées[[#This Row],[ModuleNumber]]</f>
        <v>1224</v>
      </c>
      <c r="P3111" t="str">
        <f>CompilDonnées[[#This Row],[Ref_Module]]&amp;CompilDonnées[[#This Row],[HarvestingDate]]</f>
        <v>122445862</v>
      </c>
    </row>
    <row r="3112" spans="1:16">
      <c r="A3112" s="5">
        <v>45805</v>
      </c>
      <c r="B3112">
        <v>116</v>
      </c>
      <c r="C3112" t="s">
        <v>76</v>
      </c>
      <c r="D3112">
        <v>6</v>
      </c>
      <c r="E3112">
        <v>100</v>
      </c>
      <c r="F3112" t="s">
        <v>1</v>
      </c>
      <c r="G3112" s="6">
        <v>45848</v>
      </c>
      <c r="H3112">
        <v>43</v>
      </c>
      <c r="I3112">
        <f>ROUND(CompilDonnées[[#This Row],[CultureDuration_days]]/7,0)</f>
        <v>6</v>
      </c>
      <c r="J3112">
        <v>3241</v>
      </c>
      <c r="K3112" t="str">
        <f>_xlfn.CONCAT(WEEKNUM(CompilDonnées[[#This Row],[PlantationDate]]), " ", YEAR(CompilDonnées[[#This Row],[PlantationDate]]))</f>
        <v>22 2025</v>
      </c>
      <c r="L3112" t="str">
        <f>CONCATENATE(MONTH(CompilDonnées[[#This Row],[PlantationDate]])," ", YEAR(CompilDonnées[[#This Row],[PlantationDate]]))</f>
        <v>5 2025</v>
      </c>
      <c r="M3112" t="str">
        <f>CONCATENATE(MONTH(CompilDonnées[[#This Row],[HarvestingDate]])," ", YEAR(CompilDonnées[[#This Row],[HarvestingDate]]))</f>
        <v>7 2025</v>
      </c>
      <c r="N3112">
        <f>_xlfn.NUMBERVALUE(CompilDonnées[[#This Row],[FarmID]]&amp;CompilDonnées[[#This Row],[ModuleNumber]]&amp;CompilDonnées[[#This Row],[PlantationDate]])</f>
        <v>116645805</v>
      </c>
      <c r="O3112" t="str">
        <f>CompilDonnées[[#This Row],[FarmID]]&amp;CompilDonnées[[#This Row],[ModuleNumber]]</f>
        <v>1166</v>
      </c>
      <c r="P3112" t="str">
        <f>CompilDonnées[[#This Row],[Ref_Module]]&amp;CompilDonnées[[#This Row],[HarvestingDate]]</f>
        <v>116645848</v>
      </c>
    </row>
    <row r="3113" spans="1:16">
      <c r="A3113" s="5">
        <v>45806</v>
      </c>
      <c r="B3113">
        <v>85</v>
      </c>
      <c r="C3113" t="s">
        <v>56</v>
      </c>
      <c r="D3113">
        <v>6</v>
      </c>
      <c r="E3113">
        <v>100</v>
      </c>
      <c r="F3113" t="s">
        <v>1</v>
      </c>
      <c r="G3113" s="6">
        <v>45847</v>
      </c>
      <c r="H3113">
        <v>41</v>
      </c>
      <c r="I3113">
        <f>ROUND(CompilDonnées[[#This Row],[CultureDuration_days]]/7,0)</f>
        <v>6</v>
      </c>
      <c r="J3113">
        <v>2940</v>
      </c>
      <c r="K3113" t="str">
        <f>_xlfn.CONCAT(WEEKNUM(CompilDonnées[[#This Row],[PlantationDate]]), " ", YEAR(CompilDonnées[[#This Row],[PlantationDate]]))</f>
        <v>22 2025</v>
      </c>
      <c r="L3113" t="str">
        <f>CONCATENATE(MONTH(CompilDonnées[[#This Row],[PlantationDate]])," ", YEAR(CompilDonnées[[#This Row],[PlantationDate]]))</f>
        <v>5 2025</v>
      </c>
      <c r="M3113" t="str">
        <f>CONCATENATE(MONTH(CompilDonnées[[#This Row],[HarvestingDate]])," ", YEAR(CompilDonnées[[#This Row],[HarvestingDate]]))</f>
        <v>7 2025</v>
      </c>
      <c r="N3113">
        <f>_xlfn.NUMBERVALUE(CompilDonnées[[#This Row],[FarmID]]&amp;CompilDonnées[[#This Row],[ModuleNumber]]&amp;CompilDonnées[[#This Row],[PlantationDate]])</f>
        <v>85645806</v>
      </c>
      <c r="O3113" t="str">
        <f>CompilDonnées[[#This Row],[FarmID]]&amp;CompilDonnées[[#This Row],[ModuleNumber]]</f>
        <v>856</v>
      </c>
      <c r="P3113" t="str">
        <f>CompilDonnées[[#This Row],[Ref_Module]]&amp;CompilDonnées[[#This Row],[HarvestingDate]]</f>
        <v>85645847</v>
      </c>
    </row>
    <row r="3114" spans="1:16">
      <c r="A3114" s="5">
        <v>45806</v>
      </c>
      <c r="B3114">
        <v>93</v>
      </c>
      <c r="C3114" t="s">
        <v>10</v>
      </c>
      <c r="D3114">
        <v>3</v>
      </c>
      <c r="E3114">
        <v>100</v>
      </c>
      <c r="F3114" t="s">
        <v>1</v>
      </c>
      <c r="G3114" s="6">
        <v>45853</v>
      </c>
      <c r="H3114">
        <v>47</v>
      </c>
      <c r="I3114">
        <f>ROUND(CompilDonnées[[#This Row],[CultureDuration_days]]/7,0)</f>
        <v>7</v>
      </c>
      <c r="J3114">
        <v>3365</v>
      </c>
      <c r="K3114" t="str">
        <f>_xlfn.CONCAT(WEEKNUM(CompilDonnées[[#This Row],[PlantationDate]]), " ", YEAR(CompilDonnées[[#This Row],[PlantationDate]]))</f>
        <v>22 2025</v>
      </c>
      <c r="L3114" t="str">
        <f>CONCATENATE(MONTH(CompilDonnées[[#This Row],[PlantationDate]])," ", YEAR(CompilDonnées[[#This Row],[PlantationDate]]))</f>
        <v>5 2025</v>
      </c>
      <c r="M3114" t="str">
        <f>CONCATENATE(MONTH(CompilDonnées[[#This Row],[HarvestingDate]])," ", YEAR(CompilDonnées[[#This Row],[HarvestingDate]]))</f>
        <v>7 2025</v>
      </c>
      <c r="N3114">
        <f>_xlfn.NUMBERVALUE(CompilDonnées[[#This Row],[FarmID]]&amp;CompilDonnées[[#This Row],[ModuleNumber]]&amp;CompilDonnées[[#This Row],[PlantationDate]])</f>
        <v>93345806</v>
      </c>
      <c r="O3114" t="str">
        <f>CompilDonnées[[#This Row],[FarmID]]&amp;CompilDonnées[[#This Row],[ModuleNumber]]</f>
        <v>933</v>
      </c>
      <c r="P3114" t="str">
        <f>CompilDonnées[[#This Row],[Ref_Module]]&amp;CompilDonnées[[#This Row],[HarvestingDate]]</f>
        <v>93345853</v>
      </c>
    </row>
    <row r="3115" spans="1:16">
      <c r="A3115" s="5">
        <v>45806</v>
      </c>
      <c r="B3115">
        <v>98</v>
      </c>
      <c r="C3115" t="s">
        <v>79</v>
      </c>
      <c r="D3115">
        <v>5</v>
      </c>
      <c r="E3115">
        <v>100</v>
      </c>
      <c r="F3115" t="s">
        <v>1</v>
      </c>
      <c r="G3115" s="6">
        <v>45847</v>
      </c>
      <c r="H3115">
        <v>41</v>
      </c>
      <c r="I3115">
        <f>ROUND(CompilDonnées[[#This Row],[CultureDuration_days]]/7,0)</f>
        <v>6</v>
      </c>
      <c r="J3115">
        <v>3038</v>
      </c>
      <c r="K3115" t="str">
        <f>_xlfn.CONCAT(WEEKNUM(CompilDonnées[[#This Row],[PlantationDate]]), " ", YEAR(CompilDonnées[[#This Row],[PlantationDate]]))</f>
        <v>22 2025</v>
      </c>
      <c r="L3115" t="str">
        <f>CONCATENATE(MONTH(CompilDonnées[[#This Row],[PlantationDate]])," ", YEAR(CompilDonnées[[#This Row],[PlantationDate]]))</f>
        <v>5 2025</v>
      </c>
      <c r="M3115" t="str">
        <f>CONCATENATE(MONTH(CompilDonnées[[#This Row],[HarvestingDate]])," ", YEAR(CompilDonnées[[#This Row],[HarvestingDate]]))</f>
        <v>7 2025</v>
      </c>
      <c r="N3115">
        <f>_xlfn.NUMBERVALUE(CompilDonnées[[#This Row],[FarmID]]&amp;CompilDonnées[[#This Row],[ModuleNumber]]&amp;CompilDonnées[[#This Row],[PlantationDate]])</f>
        <v>98545806</v>
      </c>
      <c r="O3115" t="str">
        <f>CompilDonnées[[#This Row],[FarmID]]&amp;CompilDonnées[[#This Row],[ModuleNumber]]</f>
        <v>985</v>
      </c>
      <c r="P3115" t="str">
        <f>CompilDonnées[[#This Row],[Ref_Module]]&amp;CompilDonnées[[#This Row],[HarvestingDate]]</f>
        <v>98545847</v>
      </c>
    </row>
    <row r="3116" spans="1:16">
      <c r="A3116" s="5">
        <v>45806</v>
      </c>
      <c r="B3116">
        <v>108</v>
      </c>
      <c r="C3116" t="s">
        <v>58</v>
      </c>
      <c r="D3116">
        <v>6</v>
      </c>
      <c r="E3116">
        <v>100</v>
      </c>
      <c r="F3116" t="s">
        <v>1</v>
      </c>
      <c r="G3116" s="6">
        <v>45848</v>
      </c>
      <c r="H3116">
        <v>42</v>
      </c>
      <c r="I3116">
        <f>ROUND(CompilDonnées[[#This Row],[CultureDuration_days]]/7,0)</f>
        <v>6</v>
      </c>
      <c r="J3116">
        <v>2612</v>
      </c>
      <c r="K3116" t="str">
        <f>_xlfn.CONCAT(WEEKNUM(CompilDonnées[[#This Row],[PlantationDate]]), " ", YEAR(CompilDonnées[[#This Row],[PlantationDate]]))</f>
        <v>22 2025</v>
      </c>
      <c r="L3116" t="str">
        <f>CONCATENATE(MONTH(CompilDonnées[[#This Row],[PlantationDate]])," ", YEAR(CompilDonnées[[#This Row],[PlantationDate]]))</f>
        <v>5 2025</v>
      </c>
      <c r="M3116" t="str">
        <f>CONCATENATE(MONTH(CompilDonnées[[#This Row],[HarvestingDate]])," ", YEAR(CompilDonnées[[#This Row],[HarvestingDate]]))</f>
        <v>7 2025</v>
      </c>
      <c r="N3116">
        <f>_xlfn.NUMBERVALUE(CompilDonnées[[#This Row],[FarmID]]&amp;CompilDonnées[[#This Row],[ModuleNumber]]&amp;CompilDonnées[[#This Row],[PlantationDate]])</f>
        <v>108645806</v>
      </c>
      <c r="O3116" t="str">
        <f>CompilDonnées[[#This Row],[FarmID]]&amp;CompilDonnées[[#This Row],[ModuleNumber]]</f>
        <v>1086</v>
      </c>
      <c r="P3116" t="str">
        <f>CompilDonnées[[#This Row],[Ref_Module]]&amp;CompilDonnées[[#This Row],[HarvestingDate]]</f>
        <v>108645848</v>
      </c>
    </row>
    <row r="3117" spans="1:16">
      <c r="A3117" s="5">
        <v>45806</v>
      </c>
      <c r="B3117">
        <v>106</v>
      </c>
      <c r="C3117" t="s">
        <v>22</v>
      </c>
      <c r="D3117">
        <v>2</v>
      </c>
      <c r="E3117">
        <v>100</v>
      </c>
      <c r="F3117" t="s">
        <v>1</v>
      </c>
      <c r="G3117" s="6">
        <v>45848</v>
      </c>
      <c r="H3117">
        <v>42</v>
      </c>
      <c r="I3117">
        <f>ROUND(CompilDonnées[[#This Row],[CultureDuration_days]]/7,0)</f>
        <v>6</v>
      </c>
      <c r="J3117">
        <v>3087</v>
      </c>
      <c r="K3117" t="str">
        <f>_xlfn.CONCAT(WEEKNUM(CompilDonnées[[#This Row],[PlantationDate]]), " ", YEAR(CompilDonnées[[#This Row],[PlantationDate]]))</f>
        <v>22 2025</v>
      </c>
      <c r="L3117" t="str">
        <f>CONCATENATE(MONTH(CompilDonnées[[#This Row],[PlantationDate]])," ", YEAR(CompilDonnées[[#This Row],[PlantationDate]]))</f>
        <v>5 2025</v>
      </c>
      <c r="M3117" t="str">
        <f>CONCATENATE(MONTH(CompilDonnées[[#This Row],[HarvestingDate]])," ", YEAR(CompilDonnées[[#This Row],[HarvestingDate]]))</f>
        <v>7 2025</v>
      </c>
      <c r="N3117">
        <f>_xlfn.NUMBERVALUE(CompilDonnées[[#This Row],[FarmID]]&amp;CompilDonnées[[#This Row],[ModuleNumber]]&amp;CompilDonnées[[#This Row],[PlantationDate]])</f>
        <v>106245806</v>
      </c>
      <c r="O3117" t="str">
        <f>CompilDonnées[[#This Row],[FarmID]]&amp;CompilDonnées[[#This Row],[ModuleNumber]]</f>
        <v>1062</v>
      </c>
      <c r="P3117" t="str">
        <f>CompilDonnées[[#This Row],[Ref_Module]]&amp;CompilDonnées[[#This Row],[HarvestingDate]]</f>
        <v>106245848</v>
      </c>
    </row>
    <row r="3118" spans="1:16">
      <c r="A3118" s="5">
        <v>45806</v>
      </c>
      <c r="B3118">
        <v>104</v>
      </c>
      <c r="C3118" t="s">
        <v>91</v>
      </c>
      <c r="D3118">
        <v>2</v>
      </c>
      <c r="E3118">
        <v>100</v>
      </c>
      <c r="F3118" t="s">
        <v>1</v>
      </c>
      <c r="G3118" s="6">
        <v>45852</v>
      </c>
      <c r="H3118">
        <v>46</v>
      </c>
      <c r="I3118">
        <f>ROUND(CompilDonnées[[#This Row],[CultureDuration_days]]/7,0)</f>
        <v>7</v>
      </c>
      <c r="J3118">
        <v>2102</v>
      </c>
      <c r="K3118" t="str">
        <f>_xlfn.CONCAT(WEEKNUM(CompilDonnées[[#This Row],[PlantationDate]]), " ", YEAR(CompilDonnées[[#This Row],[PlantationDate]]))</f>
        <v>22 2025</v>
      </c>
      <c r="L3118" t="str">
        <f>CONCATENATE(MONTH(CompilDonnées[[#This Row],[PlantationDate]])," ", YEAR(CompilDonnées[[#This Row],[PlantationDate]]))</f>
        <v>5 2025</v>
      </c>
      <c r="M3118" t="str">
        <f>CONCATENATE(MONTH(CompilDonnées[[#This Row],[HarvestingDate]])," ", YEAR(CompilDonnées[[#This Row],[HarvestingDate]]))</f>
        <v>7 2025</v>
      </c>
      <c r="N3118">
        <f>_xlfn.NUMBERVALUE(CompilDonnées[[#This Row],[FarmID]]&amp;CompilDonnées[[#This Row],[ModuleNumber]]&amp;CompilDonnées[[#This Row],[PlantationDate]])</f>
        <v>104245806</v>
      </c>
      <c r="O3118" t="str">
        <f>CompilDonnées[[#This Row],[FarmID]]&amp;CompilDonnées[[#This Row],[ModuleNumber]]</f>
        <v>1042</v>
      </c>
      <c r="P3118" t="str">
        <f>CompilDonnées[[#This Row],[Ref_Module]]&amp;CompilDonnées[[#This Row],[HarvestingDate]]</f>
        <v>104245852</v>
      </c>
    </row>
    <row r="3119" spans="1:16">
      <c r="A3119" s="5">
        <v>45806</v>
      </c>
      <c r="B3119">
        <v>103</v>
      </c>
      <c r="C3119" t="s">
        <v>86</v>
      </c>
      <c r="D3119">
        <v>2</v>
      </c>
      <c r="E3119">
        <v>100</v>
      </c>
      <c r="F3119" t="s">
        <v>1</v>
      </c>
      <c r="G3119" s="6">
        <v>45852</v>
      </c>
      <c r="H3119">
        <v>46</v>
      </c>
      <c r="I3119">
        <f>ROUND(CompilDonnées[[#This Row],[CultureDuration_days]]/7,0)</f>
        <v>7</v>
      </c>
      <c r="J3119">
        <v>2521</v>
      </c>
      <c r="K3119" t="str">
        <f>_xlfn.CONCAT(WEEKNUM(CompilDonnées[[#This Row],[PlantationDate]]), " ", YEAR(CompilDonnées[[#This Row],[PlantationDate]]))</f>
        <v>22 2025</v>
      </c>
      <c r="L3119" t="str">
        <f>CONCATENATE(MONTH(CompilDonnées[[#This Row],[PlantationDate]])," ", YEAR(CompilDonnées[[#This Row],[PlantationDate]]))</f>
        <v>5 2025</v>
      </c>
      <c r="M3119" t="str">
        <f>CONCATENATE(MONTH(CompilDonnées[[#This Row],[HarvestingDate]])," ", YEAR(CompilDonnées[[#This Row],[HarvestingDate]]))</f>
        <v>7 2025</v>
      </c>
      <c r="N3119">
        <f>_xlfn.NUMBERVALUE(CompilDonnées[[#This Row],[FarmID]]&amp;CompilDonnées[[#This Row],[ModuleNumber]]&amp;CompilDonnées[[#This Row],[PlantationDate]])</f>
        <v>103245806</v>
      </c>
      <c r="O3119" t="str">
        <f>CompilDonnées[[#This Row],[FarmID]]&amp;CompilDonnées[[#This Row],[ModuleNumber]]</f>
        <v>1032</v>
      </c>
      <c r="P3119" t="str">
        <f>CompilDonnées[[#This Row],[Ref_Module]]&amp;CompilDonnées[[#This Row],[HarvestingDate]]</f>
        <v>103245852</v>
      </c>
    </row>
    <row r="3120" spans="1:16">
      <c r="A3120" s="5">
        <v>45806</v>
      </c>
      <c r="B3120">
        <v>102</v>
      </c>
      <c r="C3120" t="s">
        <v>85</v>
      </c>
      <c r="D3120">
        <v>4</v>
      </c>
      <c r="E3120">
        <v>100</v>
      </c>
      <c r="F3120" t="s">
        <v>1</v>
      </c>
      <c r="G3120" s="6">
        <v>45852</v>
      </c>
      <c r="H3120">
        <v>46</v>
      </c>
      <c r="I3120">
        <f>ROUND(CompilDonnées[[#This Row],[CultureDuration_days]]/7,0)</f>
        <v>7</v>
      </c>
      <c r="J3120">
        <v>1880</v>
      </c>
      <c r="K3120" t="str">
        <f>_xlfn.CONCAT(WEEKNUM(CompilDonnées[[#This Row],[PlantationDate]]), " ", YEAR(CompilDonnées[[#This Row],[PlantationDate]]))</f>
        <v>22 2025</v>
      </c>
      <c r="L3120" t="str">
        <f>CONCATENATE(MONTH(CompilDonnées[[#This Row],[PlantationDate]])," ", YEAR(CompilDonnées[[#This Row],[PlantationDate]]))</f>
        <v>5 2025</v>
      </c>
      <c r="M3120" t="str">
        <f>CONCATENATE(MONTH(CompilDonnées[[#This Row],[HarvestingDate]])," ", YEAR(CompilDonnées[[#This Row],[HarvestingDate]]))</f>
        <v>7 2025</v>
      </c>
      <c r="N3120">
        <f>_xlfn.NUMBERVALUE(CompilDonnées[[#This Row],[FarmID]]&amp;CompilDonnées[[#This Row],[ModuleNumber]]&amp;CompilDonnées[[#This Row],[PlantationDate]])</f>
        <v>102445806</v>
      </c>
      <c r="O3120" t="str">
        <f>CompilDonnées[[#This Row],[FarmID]]&amp;CompilDonnées[[#This Row],[ModuleNumber]]</f>
        <v>1024</v>
      </c>
      <c r="P3120" t="str">
        <f>CompilDonnées[[#This Row],[Ref_Module]]&amp;CompilDonnées[[#This Row],[HarvestingDate]]</f>
        <v>102445852</v>
      </c>
    </row>
    <row r="3121" spans="1:16">
      <c r="A3121" s="5">
        <v>45806</v>
      </c>
      <c r="B3121">
        <v>64</v>
      </c>
      <c r="C3121" t="s">
        <v>47</v>
      </c>
      <c r="D3121">
        <v>6</v>
      </c>
      <c r="E3121">
        <v>100</v>
      </c>
      <c r="F3121" t="s">
        <v>1</v>
      </c>
      <c r="G3121" s="6">
        <v>45847</v>
      </c>
      <c r="H3121">
        <v>41</v>
      </c>
      <c r="I3121">
        <f>ROUND(CompilDonnées[[#This Row],[CultureDuration_days]]/7,0)</f>
        <v>6</v>
      </c>
      <c r="J3121">
        <v>2452</v>
      </c>
      <c r="K3121" t="str">
        <f>_xlfn.CONCAT(WEEKNUM(CompilDonnées[[#This Row],[PlantationDate]]), " ", YEAR(CompilDonnées[[#This Row],[PlantationDate]]))</f>
        <v>22 2025</v>
      </c>
      <c r="L3121" t="str">
        <f>CONCATENATE(MONTH(CompilDonnées[[#This Row],[PlantationDate]])," ", YEAR(CompilDonnées[[#This Row],[PlantationDate]]))</f>
        <v>5 2025</v>
      </c>
      <c r="M3121" t="str">
        <f>CONCATENATE(MONTH(CompilDonnées[[#This Row],[HarvestingDate]])," ", YEAR(CompilDonnées[[#This Row],[HarvestingDate]]))</f>
        <v>7 2025</v>
      </c>
      <c r="N3121">
        <f>_xlfn.NUMBERVALUE(CompilDonnées[[#This Row],[FarmID]]&amp;CompilDonnées[[#This Row],[ModuleNumber]]&amp;CompilDonnées[[#This Row],[PlantationDate]])</f>
        <v>64645806</v>
      </c>
      <c r="O3121" t="str">
        <f>CompilDonnées[[#This Row],[FarmID]]&amp;CompilDonnées[[#This Row],[ModuleNumber]]</f>
        <v>646</v>
      </c>
      <c r="P3121" t="str">
        <f>CompilDonnées[[#This Row],[Ref_Module]]&amp;CompilDonnées[[#This Row],[HarvestingDate]]</f>
        <v>64645847</v>
      </c>
    </row>
    <row r="3122" spans="1:16">
      <c r="A3122" s="5">
        <v>45806</v>
      </c>
      <c r="B3122">
        <v>65</v>
      </c>
      <c r="C3122" t="s">
        <v>36</v>
      </c>
      <c r="D3122">
        <v>6</v>
      </c>
      <c r="E3122">
        <v>100</v>
      </c>
      <c r="F3122" t="s">
        <v>1</v>
      </c>
      <c r="G3122" s="6">
        <v>45854</v>
      </c>
      <c r="H3122">
        <v>48</v>
      </c>
      <c r="I3122">
        <f>ROUND(CompilDonnées[[#This Row],[CultureDuration_days]]/7,0)</f>
        <v>7</v>
      </c>
      <c r="J3122">
        <v>2505</v>
      </c>
      <c r="K3122" t="str">
        <f>_xlfn.CONCAT(WEEKNUM(CompilDonnées[[#This Row],[PlantationDate]]), " ", YEAR(CompilDonnées[[#This Row],[PlantationDate]]))</f>
        <v>22 2025</v>
      </c>
      <c r="L3122" t="str">
        <f>CONCATENATE(MONTH(CompilDonnées[[#This Row],[PlantationDate]])," ", YEAR(CompilDonnées[[#This Row],[PlantationDate]]))</f>
        <v>5 2025</v>
      </c>
      <c r="M3122" t="str">
        <f>CONCATENATE(MONTH(CompilDonnées[[#This Row],[HarvestingDate]])," ", YEAR(CompilDonnées[[#This Row],[HarvestingDate]]))</f>
        <v>7 2025</v>
      </c>
      <c r="N3122">
        <f>_xlfn.NUMBERVALUE(CompilDonnées[[#This Row],[FarmID]]&amp;CompilDonnées[[#This Row],[ModuleNumber]]&amp;CompilDonnées[[#This Row],[PlantationDate]])</f>
        <v>65645806</v>
      </c>
      <c r="O3122" t="str">
        <f>CompilDonnées[[#This Row],[FarmID]]&amp;CompilDonnées[[#This Row],[ModuleNumber]]</f>
        <v>656</v>
      </c>
      <c r="P3122" t="str">
        <f>CompilDonnées[[#This Row],[Ref_Module]]&amp;CompilDonnées[[#This Row],[HarvestingDate]]</f>
        <v>65645854</v>
      </c>
    </row>
    <row r="3123" spans="1:16">
      <c r="A3123" s="5">
        <v>45806</v>
      </c>
      <c r="B3123">
        <v>83</v>
      </c>
      <c r="C3123" t="s">
        <v>73</v>
      </c>
      <c r="D3123">
        <v>1</v>
      </c>
      <c r="E3123">
        <v>100</v>
      </c>
      <c r="F3123" t="s">
        <v>1</v>
      </c>
      <c r="G3123" s="6">
        <v>45853</v>
      </c>
      <c r="H3123">
        <v>47</v>
      </c>
      <c r="I3123">
        <f>ROUND(CompilDonnées[[#This Row],[CultureDuration_days]]/7,0)</f>
        <v>7</v>
      </c>
      <c r="J3123">
        <v>2838</v>
      </c>
      <c r="K3123" t="str">
        <f>_xlfn.CONCAT(WEEKNUM(CompilDonnées[[#This Row],[PlantationDate]]), " ", YEAR(CompilDonnées[[#This Row],[PlantationDate]]))</f>
        <v>22 2025</v>
      </c>
      <c r="L3123" t="str">
        <f>CONCATENATE(MONTH(CompilDonnées[[#This Row],[PlantationDate]])," ", YEAR(CompilDonnées[[#This Row],[PlantationDate]]))</f>
        <v>5 2025</v>
      </c>
      <c r="M3123" t="str">
        <f>CONCATENATE(MONTH(CompilDonnées[[#This Row],[HarvestingDate]])," ", YEAR(CompilDonnées[[#This Row],[HarvestingDate]]))</f>
        <v>7 2025</v>
      </c>
      <c r="N3123">
        <f>_xlfn.NUMBERVALUE(CompilDonnées[[#This Row],[FarmID]]&amp;CompilDonnées[[#This Row],[ModuleNumber]]&amp;CompilDonnées[[#This Row],[PlantationDate]])</f>
        <v>83145806</v>
      </c>
      <c r="O3123" t="str">
        <f>CompilDonnées[[#This Row],[FarmID]]&amp;CompilDonnées[[#This Row],[ModuleNumber]]</f>
        <v>831</v>
      </c>
      <c r="P3123" t="str">
        <f>CompilDonnées[[#This Row],[Ref_Module]]&amp;CompilDonnées[[#This Row],[HarvestingDate]]</f>
        <v>83145853</v>
      </c>
    </row>
    <row r="3124" spans="1:16">
      <c r="A3124" s="5">
        <v>45806</v>
      </c>
      <c r="B3124">
        <v>79</v>
      </c>
      <c r="C3124" t="s">
        <v>61</v>
      </c>
      <c r="D3124">
        <v>1</v>
      </c>
      <c r="E3124">
        <v>100</v>
      </c>
      <c r="F3124" t="s">
        <v>1</v>
      </c>
      <c r="G3124" s="6">
        <v>45853</v>
      </c>
      <c r="H3124">
        <v>47</v>
      </c>
      <c r="I3124">
        <f>ROUND(CompilDonnées[[#This Row],[CultureDuration_days]]/7,0)</f>
        <v>7</v>
      </c>
      <c r="J3124">
        <v>2034</v>
      </c>
      <c r="K3124" t="str">
        <f>_xlfn.CONCAT(WEEKNUM(CompilDonnées[[#This Row],[PlantationDate]]), " ", YEAR(CompilDonnées[[#This Row],[PlantationDate]]))</f>
        <v>22 2025</v>
      </c>
      <c r="L3124" t="str">
        <f>CONCATENATE(MONTH(CompilDonnées[[#This Row],[PlantationDate]])," ", YEAR(CompilDonnées[[#This Row],[PlantationDate]]))</f>
        <v>5 2025</v>
      </c>
      <c r="M3124" t="str">
        <f>CONCATENATE(MONTH(CompilDonnées[[#This Row],[HarvestingDate]])," ", YEAR(CompilDonnées[[#This Row],[HarvestingDate]]))</f>
        <v>7 2025</v>
      </c>
      <c r="N3124">
        <f>_xlfn.NUMBERVALUE(CompilDonnées[[#This Row],[FarmID]]&amp;CompilDonnées[[#This Row],[ModuleNumber]]&amp;CompilDonnées[[#This Row],[PlantationDate]])</f>
        <v>79145806</v>
      </c>
      <c r="O3124" t="str">
        <f>CompilDonnées[[#This Row],[FarmID]]&amp;CompilDonnées[[#This Row],[ModuleNumber]]</f>
        <v>791</v>
      </c>
      <c r="P3124" t="str">
        <f>CompilDonnées[[#This Row],[Ref_Module]]&amp;CompilDonnées[[#This Row],[HarvestingDate]]</f>
        <v>79145853</v>
      </c>
    </row>
    <row r="3125" spans="1:16">
      <c r="A3125" s="5">
        <v>45806</v>
      </c>
      <c r="B3125">
        <v>59</v>
      </c>
      <c r="C3125" t="s">
        <v>64</v>
      </c>
      <c r="D3125">
        <v>1</v>
      </c>
      <c r="E3125">
        <v>100</v>
      </c>
      <c r="F3125" t="s">
        <v>1</v>
      </c>
      <c r="G3125" s="6">
        <v>45846</v>
      </c>
      <c r="H3125">
        <v>40</v>
      </c>
      <c r="I3125">
        <f>ROUND(CompilDonnées[[#This Row],[CultureDuration_days]]/7,0)</f>
        <v>6</v>
      </c>
      <c r="J3125">
        <v>3496</v>
      </c>
      <c r="K3125" t="str">
        <f>_xlfn.CONCAT(WEEKNUM(CompilDonnées[[#This Row],[PlantationDate]]), " ", YEAR(CompilDonnées[[#This Row],[PlantationDate]]))</f>
        <v>22 2025</v>
      </c>
      <c r="L3125" t="str">
        <f>CONCATENATE(MONTH(CompilDonnées[[#This Row],[PlantationDate]])," ", YEAR(CompilDonnées[[#This Row],[PlantationDate]]))</f>
        <v>5 2025</v>
      </c>
      <c r="M3125" t="str">
        <f>CONCATENATE(MONTH(CompilDonnées[[#This Row],[HarvestingDate]])," ", YEAR(CompilDonnées[[#This Row],[HarvestingDate]]))</f>
        <v>7 2025</v>
      </c>
      <c r="N3125">
        <f>_xlfn.NUMBERVALUE(CompilDonnées[[#This Row],[FarmID]]&amp;CompilDonnées[[#This Row],[ModuleNumber]]&amp;CompilDonnées[[#This Row],[PlantationDate]])</f>
        <v>59145806</v>
      </c>
      <c r="O3125" t="str">
        <f>CompilDonnées[[#This Row],[FarmID]]&amp;CompilDonnées[[#This Row],[ModuleNumber]]</f>
        <v>591</v>
      </c>
      <c r="P3125" t="str">
        <f>CompilDonnées[[#This Row],[Ref_Module]]&amp;CompilDonnées[[#This Row],[HarvestingDate]]</f>
        <v>59145846</v>
      </c>
    </row>
    <row r="3126" spans="1:16">
      <c r="A3126" s="5">
        <v>45806</v>
      </c>
      <c r="B3126">
        <v>58</v>
      </c>
      <c r="C3126" t="s">
        <v>35</v>
      </c>
      <c r="D3126">
        <v>3</v>
      </c>
      <c r="E3126">
        <v>100</v>
      </c>
      <c r="F3126" t="s">
        <v>1</v>
      </c>
      <c r="G3126" s="6">
        <v>45846</v>
      </c>
      <c r="H3126">
        <v>40</v>
      </c>
      <c r="I3126">
        <f>ROUND(CompilDonnées[[#This Row],[CultureDuration_days]]/7,0)</f>
        <v>6</v>
      </c>
      <c r="J3126">
        <v>2945</v>
      </c>
      <c r="K3126" t="str">
        <f>_xlfn.CONCAT(WEEKNUM(CompilDonnées[[#This Row],[PlantationDate]]), " ", YEAR(CompilDonnées[[#This Row],[PlantationDate]]))</f>
        <v>22 2025</v>
      </c>
      <c r="L3126" t="str">
        <f>CONCATENATE(MONTH(CompilDonnées[[#This Row],[PlantationDate]])," ", YEAR(CompilDonnées[[#This Row],[PlantationDate]]))</f>
        <v>5 2025</v>
      </c>
      <c r="M3126" t="str">
        <f>CONCATENATE(MONTH(CompilDonnées[[#This Row],[HarvestingDate]])," ", YEAR(CompilDonnées[[#This Row],[HarvestingDate]]))</f>
        <v>7 2025</v>
      </c>
      <c r="N3126">
        <f>_xlfn.NUMBERVALUE(CompilDonnées[[#This Row],[FarmID]]&amp;CompilDonnées[[#This Row],[ModuleNumber]]&amp;CompilDonnées[[#This Row],[PlantationDate]])</f>
        <v>58345806</v>
      </c>
      <c r="O3126" t="str">
        <f>CompilDonnées[[#This Row],[FarmID]]&amp;CompilDonnées[[#This Row],[ModuleNumber]]</f>
        <v>583</v>
      </c>
      <c r="P3126" t="str">
        <f>CompilDonnées[[#This Row],[Ref_Module]]&amp;CompilDonnées[[#This Row],[HarvestingDate]]</f>
        <v>58345846</v>
      </c>
    </row>
    <row r="3127" spans="1:16">
      <c r="A3127" s="5">
        <v>45806</v>
      </c>
      <c r="B3127">
        <v>57</v>
      </c>
      <c r="C3127" t="s">
        <v>46</v>
      </c>
      <c r="D3127">
        <v>2</v>
      </c>
      <c r="E3127">
        <v>100</v>
      </c>
      <c r="F3127" t="s">
        <v>1</v>
      </c>
      <c r="G3127" s="6">
        <v>45846</v>
      </c>
      <c r="H3127">
        <v>40</v>
      </c>
      <c r="I3127">
        <f>ROUND(CompilDonnées[[#This Row],[CultureDuration_days]]/7,0)</f>
        <v>6</v>
      </c>
      <c r="J3127">
        <v>3073</v>
      </c>
      <c r="K3127" t="str">
        <f>_xlfn.CONCAT(WEEKNUM(CompilDonnées[[#This Row],[PlantationDate]]), " ", YEAR(CompilDonnées[[#This Row],[PlantationDate]]))</f>
        <v>22 2025</v>
      </c>
      <c r="L3127" t="str">
        <f>CONCATENATE(MONTH(CompilDonnées[[#This Row],[PlantationDate]])," ", YEAR(CompilDonnées[[#This Row],[PlantationDate]]))</f>
        <v>5 2025</v>
      </c>
      <c r="M3127" t="str">
        <f>CONCATENATE(MONTH(CompilDonnées[[#This Row],[HarvestingDate]])," ", YEAR(CompilDonnées[[#This Row],[HarvestingDate]]))</f>
        <v>7 2025</v>
      </c>
      <c r="N3127">
        <f>_xlfn.NUMBERVALUE(CompilDonnées[[#This Row],[FarmID]]&amp;CompilDonnées[[#This Row],[ModuleNumber]]&amp;CompilDonnées[[#This Row],[PlantationDate]])</f>
        <v>57245806</v>
      </c>
      <c r="O3127" t="str">
        <f>CompilDonnées[[#This Row],[FarmID]]&amp;CompilDonnées[[#This Row],[ModuleNumber]]</f>
        <v>572</v>
      </c>
      <c r="P3127" t="str">
        <f>CompilDonnées[[#This Row],[Ref_Module]]&amp;CompilDonnées[[#This Row],[HarvestingDate]]</f>
        <v>57245846</v>
      </c>
    </row>
    <row r="3128" spans="1:16">
      <c r="A3128" s="5">
        <v>45806</v>
      </c>
      <c r="B3128">
        <v>72</v>
      </c>
      <c r="C3128" t="s">
        <v>49</v>
      </c>
      <c r="D3128">
        <v>5</v>
      </c>
      <c r="E3128">
        <v>100</v>
      </c>
      <c r="F3128" t="s">
        <v>1</v>
      </c>
      <c r="G3128" s="6">
        <v>45847</v>
      </c>
      <c r="H3128">
        <v>41</v>
      </c>
      <c r="I3128">
        <f>ROUND(CompilDonnées[[#This Row],[CultureDuration_days]]/7,0)</f>
        <v>6</v>
      </c>
      <c r="J3128">
        <v>2437</v>
      </c>
      <c r="K3128" t="str">
        <f>_xlfn.CONCAT(WEEKNUM(CompilDonnées[[#This Row],[PlantationDate]]), " ", YEAR(CompilDonnées[[#This Row],[PlantationDate]]))</f>
        <v>22 2025</v>
      </c>
      <c r="L3128" t="str">
        <f>CONCATENATE(MONTH(CompilDonnées[[#This Row],[PlantationDate]])," ", YEAR(CompilDonnées[[#This Row],[PlantationDate]]))</f>
        <v>5 2025</v>
      </c>
      <c r="M3128" t="str">
        <f>CONCATENATE(MONTH(CompilDonnées[[#This Row],[HarvestingDate]])," ", YEAR(CompilDonnées[[#This Row],[HarvestingDate]]))</f>
        <v>7 2025</v>
      </c>
      <c r="N3128">
        <f>_xlfn.NUMBERVALUE(CompilDonnées[[#This Row],[FarmID]]&amp;CompilDonnées[[#This Row],[ModuleNumber]]&amp;CompilDonnées[[#This Row],[PlantationDate]])</f>
        <v>72545806</v>
      </c>
      <c r="O3128" t="str">
        <f>CompilDonnées[[#This Row],[FarmID]]&amp;CompilDonnées[[#This Row],[ModuleNumber]]</f>
        <v>725</v>
      </c>
      <c r="P3128" t="str">
        <f>CompilDonnées[[#This Row],[Ref_Module]]&amp;CompilDonnées[[#This Row],[HarvestingDate]]</f>
        <v>72545847</v>
      </c>
    </row>
    <row r="3129" spans="1:16">
      <c r="A3129" s="5">
        <v>45806</v>
      </c>
      <c r="B3129">
        <v>74</v>
      </c>
      <c r="C3129" t="s">
        <v>21</v>
      </c>
      <c r="D3129">
        <v>1</v>
      </c>
      <c r="E3129">
        <v>100</v>
      </c>
      <c r="F3129" t="s">
        <v>1</v>
      </c>
      <c r="G3129" s="6">
        <v>45847</v>
      </c>
      <c r="H3129">
        <v>41</v>
      </c>
      <c r="I3129">
        <f>ROUND(CompilDonnées[[#This Row],[CultureDuration_days]]/7,0)</f>
        <v>6</v>
      </c>
      <c r="J3129">
        <v>2343</v>
      </c>
      <c r="K3129" t="str">
        <f>_xlfn.CONCAT(WEEKNUM(CompilDonnées[[#This Row],[PlantationDate]]), " ", YEAR(CompilDonnées[[#This Row],[PlantationDate]]))</f>
        <v>22 2025</v>
      </c>
      <c r="L3129" t="str">
        <f>CONCATENATE(MONTH(CompilDonnées[[#This Row],[PlantationDate]])," ", YEAR(CompilDonnées[[#This Row],[PlantationDate]]))</f>
        <v>5 2025</v>
      </c>
      <c r="M3129" t="str">
        <f>CONCATENATE(MONTH(CompilDonnées[[#This Row],[HarvestingDate]])," ", YEAR(CompilDonnées[[#This Row],[HarvestingDate]]))</f>
        <v>7 2025</v>
      </c>
      <c r="N3129">
        <f>_xlfn.NUMBERVALUE(CompilDonnées[[#This Row],[FarmID]]&amp;CompilDonnées[[#This Row],[ModuleNumber]]&amp;CompilDonnées[[#This Row],[PlantationDate]])</f>
        <v>74145806</v>
      </c>
      <c r="O3129" t="str">
        <f>CompilDonnées[[#This Row],[FarmID]]&amp;CompilDonnées[[#This Row],[ModuleNumber]]</f>
        <v>741</v>
      </c>
      <c r="P3129" t="str">
        <f>CompilDonnées[[#This Row],[Ref_Module]]&amp;CompilDonnées[[#This Row],[HarvestingDate]]</f>
        <v>74145847</v>
      </c>
    </row>
    <row r="3130" spans="1:16">
      <c r="A3130" s="5">
        <v>45806</v>
      </c>
      <c r="B3130">
        <v>71</v>
      </c>
      <c r="C3130" t="s">
        <v>19</v>
      </c>
      <c r="D3130">
        <v>4</v>
      </c>
      <c r="E3130">
        <v>100</v>
      </c>
      <c r="F3130" t="s">
        <v>1</v>
      </c>
      <c r="G3130" s="6">
        <v>45853</v>
      </c>
      <c r="H3130">
        <v>47</v>
      </c>
      <c r="I3130">
        <f>ROUND(CompilDonnées[[#This Row],[CultureDuration_days]]/7,0)</f>
        <v>7</v>
      </c>
      <c r="J3130">
        <v>1970</v>
      </c>
      <c r="K3130" t="str">
        <f>_xlfn.CONCAT(WEEKNUM(CompilDonnées[[#This Row],[PlantationDate]]), " ", YEAR(CompilDonnées[[#This Row],[PlantationDate]]))</f>
        <v>22 2025</v>
      </c>
      <c r="L3130" t="str">
        <f>CONCATENATE(MONTH(CompilDonnées[[#This Row],[PlantationDate]])," ", YEAR(CompilDonnées[[#This Row],[PlantationDate]]))</f>
        <v>5 2025</v>
      </c>
      <c r="M3130" t="str">
        <f>CONCATENATE(MONTH(CompilDonnées[[#This Row],[HarvestingDate]])," ", YEAR(CompilDonnées[[#This Row],[HarvestingDate]]))</f>
        <v>7 2025</v>
      </c>
      <c r="N3130">
        <f>_xlfn.NUMBERVALUE(CompilDonnées[[#This Row],[FarmID]]&amp;CompilDonnées[[#This Row],[ModuleNumber]]&amp;CompilDonnées[[#This Row],[PlantationDate]])</f>
        <v>71445806</v>
      </c>
      <c r="O3130" t="str">
        <f>CompilDonnées[[#This Row],[FarmID]]&amp;CompilDonnées[[#This Row],[ModuleNumber]]</f>
        <v>714</v>
      </c>
      <c r="P3130" t="str">
        <f>CompilDonnées[[#This Row],[Ref_Module]]&amp;CompilDonnées[[#This Row],[HarvestingDate]]</f>
        <v>71445853</v>
      </c>
    </row>
    <row r="3131" spans="1:16">
      <c r="A3131" s="5">
        <v>45806</v>
      </c>
      <c r="B3131">
        <v>71</v>
      </c>
      <c r="C3131" t="s">
        <v>19</v>
      </c>
      <c r="D3131">
        <v>2</v>
      </c>
      <c r="E3131">
        <v>100</v>
      </c>
      <c r="F3131" t="s">
        <v>1</v>
      </c>
      <c r="G3131" s="6">
        <v>45853</v>
      </c>
      <c r="H3131">
        <v>47</v>
      </c>
      <c r="I3131">
        <f>ROUND(CompilDonnées[[#This Row],[CultureDuration_days]]/7,0)</f>
        <v>7</v>
      </c>
      <c r="J3131">
        <v>1895</v>
      </c>
      <c r="K3131" t="str">
        <f>_xlfn.CONCAT(WEEKNUM(CompilDonnées[[#This Row],[PlantationDate]]), " ", YEAR(CompilDonnées[[#This Row],[PlantationDate]]))</f>
        <v>22 2025</v>
      </c>
      <c r="L3131" t="str">
        <f>CONCATENATE(MONTH(CompilDonnées[[#This Row],[PlantationDate]])," ", YEAR(CompilDonnées[[#This Row],[PlantationDate]]))</f>
        <v>5 2025</v>
      </c>
      <c r="M3131" t="str">
        <f>CONCATENATE(MONTH(CompilDonnées[[#This Row],[HarvestingDate]])," ", YEAR(CompilDonnées[[#This Row],[HarvestingDate]]))</f>
        <v>7 2025</v>
      </c>
      <c r="N3131">
        <f>_xlfn.NUMBERVALUE(CompilDonnées[[#This Row],[FarmID]]&amp;CompilDonnées[[#This Row],[ModuleNumber]]&amp;CompilDonnées[[#This Row],[PlantationDate]])</f>
        <v>71245806</v>
      </c>
      <c r="O3131" t="str">
        <f>CompilDonnées[[#This Row],[FarmID]]&amp;CompilDonnées[[#This Row],[ModuleNumber]]</f>
        <v>712</v>
      </c>
      <c r="P3131" t="str">
        <f>CompilDonnées[[#This Row],[Ref_Module]]&amp;CompilDonnées[[#This Row],[HarvestingDate]]</f>
        <v>71245853</v>
      </c>
    </row>
    <row r="3132" spans="1:16">
      <c r="A3132" s="5">
        <v>45806</v>
      </c>
      <c r="B3132">
        <v>73</v>
      </c>
      <c r="C3132" t="s">
        <v>20</v>
      </c>
      <c r="D3132">
        <v>2</v>
      </c>
      <c r="E3132">
        <v>100</v>
      </c>
      <c r="F3132" t="s">
        <v>1</v>
      </c>
      <c r="G3132" s="6">
        <v>45847</v>
      </c>
      <c r="H3132">
        <v>41</v>
      </c>
      <c r="I3132">
        <f>ROUND(CompilDonnées[[#This Row],[CultureDuration_days]]/7,0)</f>
        <v>6</v>
      </c>
      <c r="J3132">
        <v>2761</v>
      </c>
      <c r="K3132" t="str">
        <f>_xlfn.CONCAT(WEEKNUM(CompilDonnées[[#This Row],[PlantationDate]]), " ", YEAR(CompilDonnées[[#This Row],[PlantationDate]]))</f>
        <v>22 2025</v>
      </c>
      <c r="L3132" t="str">
        <f>CONCATENATE(MONTH(CompilDonnées[[#This Row],[PlantationDate]])," ", YEAR(CompilDonnées[[#This Row],[PlantationDate]]))</f>
        <v>5 2025</v>
      </c>
      <c r="M3132" t="str">
        <f>CONCATENATE(MONTH(CompilDonnées[[#This Row],[HarvestingDate]])," ", YEAR(CompilDonnées[[#This Row],[HarvestingDate]]))</f>
        <v>7 2025</v>
      </c>
      <c r="N3132">
        <f>_xlfn.NUMBERVALUE(CompilDonnées[[#This Row],[FarmID]]&amp;CompilDonnées[[#This Row],[ModuleNumber]]&amp;CompilDonnées[[#This Row],[PlantationDate]])</f>
        <v>73245806</v>
      </c>
      <c r="O3132" t="str">
        <f>CompilDonnées[[#This Row],[FarmID]]&amp;CompilDonnées[[#This Row],[ModuleNumber]]</f>
        <v>732</v>
      </c>
      <c r="P3132" t="str">
        <f>CompilDonnées[[#This Row],[Ref_Module]]&amp;CompilDonnées[[#This Row],[HarvestingDate]]</f>
        <v>73245847</v>
      </c>
    </row>
    <row r="3133" spans="1:16">
      <c r="A3133" s="5">
        <v>45806</v>
      </c>
      <c r="B3133">
        <v>63</v>
      </c>
      <c r="C3133" t="s">
        <v>98</v>
      </c>
      <c r="D3133">
        <v>4</v>
      </c>
      <c r="E3133">
        <v>100</v>
      </c>
      <c r="F3133" t="s">
        <v>1</v>
      </c>
      <c r="G3133" s="6">
        <v>45846</v>
      </c>
      <c r="H3133">
        <v>40</v>
      </c>
      <c r="I3133">
        <f>ROUND(CompilDonnées[[#This Row],[CultureDuration_days]]/7,0)</f>
        <v>6</v>
      </c>
      <c r="J3133">
        <v>1369</v>
      </c>
      <c r="K3133" t="str">
        <f>_xlfn.CONCAT(WEEKNUM(CompilDonnées[[#This Row],[PlantationDate]]), " ", YEAR(CompilDonnées[[#This Row],[PlantationDate]]))</f>
        <v>22 2025</v>
      </c>
      <c r="L3133" t="str">
        <f>CONCATENATE(MONTH(CompilDonnées[[#This Row],[PlantationDate]])," ", YEAR(CompilDonnées[[#This Row],[PlantationDate]]))</f>
        <v>5 2025</v>
      </c>
      <c r="M3133" t="str">
        <f>CONCATENATE(MONTH(CompilDonnées[[#This Row],[HarvestingDate]])," ", YEAR(CompilDonnées[[#This Row],[HarvestingDate]]))</f>
        <v>7 2025</v>
      </c>
      <c r="N3133">
        <f>_xlfn.NUMBERVALUE(CompilDonnées[[#This Row],[FarmID]]&amp;CompilDonnées[[#This Row],[ModuleNumber]]&amp;CompilDonnées[[#This Row],[PlantationDate]])</f>
        <v>63445806</v>
      </c>
      <c r="O3133" t="str">
        <f>CompilDonnées[[#This Row],[FarmID]]&amp;CompilDonnées[[#This Row],[ModuleNumber]]</f>
        <v>634</v>
      </c>
      <c r="P3133" t="str">
        <f>CompilDonnées[[#This Row],[Ref_Module]]&amp;CompilDonnées[[#This Row],[HarvestingDate]]</f>
        <v>63445846</v>
      </c>
    </row>
    <row r="3134" spans="1:16">
      <c r="A3134" s="5">
        <v>45806</v>
      </c>
      <c r="B3134">
        <v>61</v>
      </c>
      <c r="C3134" t="s">
        <v>95</v>
      </c>
      <c r="D3134">
        <v>4</v>
      </c>
      <c r="E3134">
        <v>100</v>
      </c>
      <c r="F3134" t="s">
        <v>1</v>
      </c>
      <c r="G3134" s="6">
        <v>45853</v>
      </c>
      <c r="H3134">
        <v>47</v>
      </c>
      <c r="I3134">
        <f>ROUND(CompilDonnées[[#This Row],[CultureDuration_days]]/7,0)</f>
        <v>7</v>
      </c>
      <c r="J3134">
        <v>1736</v>
      </c>
      <c r="K3134" t="str">
        <f>_xlfn.CONCAT(WEEKNUM(CompilDonnées[[#This Row],[PlantationDate]]), " ", YEAR(CompilDonnées[[#This Row],[PlantationDate]]))</f>
        <v>22 2025</v>
      </c>
      <c r="L3134" t="str">
        <f>CONCATENATE(MONTH(CompilDonnées[[#This Row],[PlantationDate]])," ", YEAR(CompilDonnées[[#This Row],[PlantationDate]]))</f>
        <v>5 2025</v>
      </c>
      <c r="M3134" t="str">
        <f>CONCATENATE(MONTH(CompilDonnées[[#This Row],[HarvestingDate]])," ", YEAR(CompilDonnées[[#This Row],[HarvestingDate]]))</f>
        <v>7 2025</v>
      </c>
      <c r="N3134">
        <f>_xlfn.NUMBERVALUE(CompilDonnées[[#This Row],[FarmID]]&amp;CompilDonnées[[#This Row],[ModuleNumber]]&amp;CompilDonnées[[#This Row],[PlantationDate]])</f>
        <v>61445806</v>
      </c>
      <c r="O3134" t="str">
        <f>CompilDonnées[[#This Row],[FarmID]]&amp;CompilDonnées[[#This Row],[ModuleNumber]]</f>
        <v>614</v>
      </c>
      <c r="P3134" t="str">
        <f>CompilDonnées[[#This Row],[Ref_Module]]&amp;CompilDonnées[[#This Row],[HarvestingDate]]</f>
        <v>61445853</v>
      </c>
    </row>
    <row r="3135" spans="1:16">
      <c r="A3135" s="5">
        <v>45806</v>
      </c>
      <c r="B3135">
        <v>62</v>
      </c>
      <c r="C3135" t="s">
        <v>124</v>
      </c>
      <c r="D3135">
        <v>3</v>
      </c>
      <c r="E3135">
        <v>100</v>
      </c>
      <c r="F3135" t="s">
        <v>1</v>
      </c>
      <c r="G3135" s="6">
        <v>45846</v>
      </c>
      <c r="H3135">
        <v>40</v>
      </c>
      <c r="I3135">
        <f>ROUND(CompilDonnées[[#This Row],[CultureDuration_days]]/7,0)</f>
        <v>6</v>
      </c>
      <c r="J3135">
        <v>1792</v>
      </c>
      <c r="K3135" t="str">
        <f>_xlfn.CONCAT(WEEKNUM(CompilDonnées[[#This Row],[PlantationDate]]), " ", YEAR(CompilDonnées[[#This Row],[PlantationDate]]))</f>
        <v>22 2025</v>
      </c>
      <c r="L3135" t="str">
        <f>CONCATENATE(MONTH(CompilDonnées[[#This Row],[PlantationDate]])," ", YEAR(CompilDonnées[[#This Row],[PlantationDate]]))</f>
        <v>5 2025</v>
      </c>
      <c r="M3135" t="str">
        <f>CONCATENATE(MONTH(CompilDonnées[[#This Row],[HarvestingDate]])," ", YEAR(CompilDonnées[[#This Row],[HarvestingDate]]))</f>
        <v>7 2025</v>
      </c>
      <c r="N3135">
        <f>_xlfn.NUMBERVALUE(CompilDonnées[[#This Row],[FarmID]]&amp;CompilDonnées[[#This Row],[ModuleNumber]]&amp;CompilDonnées[[#This Row],[PlantationDate]])</f>
        <v>62345806</v>
      </c>
      <c r="O3135" t="str">
        <f>CompilDonnées[[#This Row],[FarmID]]&amp;CompilDonnées[[#This Row],[ModuleNumber]]</f>
        <v>623</v>
      </c>
      <c r="P3135" t="str">
        <f>CompilDonnées[[#This Row],[Ref_Module]]&amp;CompilDonnées[[#This Row],[HarvestingDate]]</f>
        <v>62345846</v>
      </c>
    </row>
    <row r="3136" spans="1:16">
      <c r="A3136" s="5">
        <v>45806</v>
      </c>
      <c r="B3136">
        <v>124</v>
      </c>
      <c r="C3136" t="s">
        <v>115</v>
      </c>
      <c r="D3136">
        <v>4</v>
      </c>
      <c r="E3136">
        <v>100</v>
      </c>
      <c r="F3136" t="s">
        <v>1</v>
      </c>
      <c r="G3136" s="6">
        <v>45848</v>
      </c>
      <c r="H3136">
        <v>42</v>
      </c>
      <c r="I3136">
        <f>ROUND(CompilDonnées[[#This Row],[CultureDuration_days]]/7,0)</f>
        <v>6</v>
      </c>
      <c r="J3136">
        <v>3987</v>
      </c>
      <c r="K3136" t="str">
        <f>_xlfn.CONCAT(WEEKNUM(CompilDonnées[[#This Row],[PlantationDate]]), " ", YEAR(CompilDonnées[[#This Row],[PlantationDate]]))</f>
        <v>22 2025</v>
      </c>
      <c r="L3136" t="str">
        <f>CONCATENATE(MONTH(CompilDonnées[[#This Row],[PlantationDate]])," ", YEAR(CompilDonnées[[#This Row],[PlantationDate]]))</f>
        <v>5 2025</v>
      </c>
      <c r="M3136" t="str">
        <f>CONCATENATE(MONTH(CompilDonnées[[#This Row],[HarvestingDate]])," ", YEAR(CompilDonnées[[#This Row],[HarvestingDate]]))</f>
        <v>7 2025</v>
      </c>
      <c r="N3136">
        <f>_xlfn.NUMBERVALUE(CompilDonnées[[#This Row],[FarmID]]&amp;CompilDonnées[[#This Row],[ModuleNumber]]&amp;CompilDonnées[[#This Row],[PlantationDate]])</f>
        <v>124445806</v>
      </c>
      <c r="O3136" t="str">
        <f>CompilDonnées[[#This Row],[FarmID]]&amp;CompilDonnées[[#This Row],[ModuleNumber]]</f>
        <v>1244</v>
      </c>
      <c r="P3136" t="str">
        <f>CompilDonnées[[#This Row],[Ref_Module]]&amp;CompilDonnées[[#This Row],[HarvestingDate]]</f>
        <v>124445848</v>
      </c>
    </row>
    <row r="3137" spans="1:16">
      <c r="A3137" s="5">
        <v>45806</v>
      </c>
      <c r="B3137">
        <v>133</v>
      </c>
      <c r="C3137" t="s">
        <v>99</v>
      </c>
      <c r="D3137">
        <v>2</v>
      </c>
      <c r="E3137">
        <v>100</v>
      </c>
      <c r="F3137" t="s">
        <v>1</v>
      </c>
      <c r="G3137" s="6">
        <v>45848</v>
      </c>
      <c r="H3137">
        <v>42</v>
      </c>
      <c r="I3137">
        <f>ROUND(CompilDonnées[[#This Row],[CultureDuration_days]]/7,0)</f>
        <v>6</v>
      </c>
      <c r="J3137">
        <v>3035</v>
      </c>
      <c r="K3137" t="str">
        <f>_xlfn.CONCAT(WEEKNUM(CompilDonnées[[#This Row],[PlantationDate]]), " ", YEAR(CompilDonnées[[#This Row],[PlantationDate]]))</f>
        <v>22 2025</v>
      </c>
      <c r="L3137" t="str">
        <f>CONCATENATE(MONTH(CompilDonnées[[#This Row],[PlantationDate]])," ", YEAR(CompilDonnées[[#This Row],[PlantationDate]]))</f>
        <v>5 2025</v>
      </c>
      <c r="M3137" t="str">
        <f>CONCATENATE(MONTH(CompilDonnées[[#This Row],[HarvestingDate]])," ", YEAR(CompilDonnées[[#This Row],[HarvestingDate]]))</f>
        <v>7 2025</v>
      </c>
      <c r="N3137">
        <f>_xlfn.NUMBERVALUE(CompilDonnées[[#This Row],[FarmID]]&amp;CompilDonnées[[#This Row],[ModuleNumber]]&amp;CompilDonnées[[#This Row],[PlantationDate]])</f>
        <v>133245806</v>
      </c>
      <c r="O3137" t="str">
        <f>CompilDonnées[[#This Row],[FarmID]]&amp;CompilDonnées[[#This Row],[ModuleNumber]]</f>
        <v>1332</v>
      </c>
      <c r="P3137" t="str">
        <f>CompilDonnées[[#This Row],[Ref_Module]]&amp;CompilDonnées[[#This Row],[HarvestingDate]]</f>
        <v>133245848</v>
      </c>
    </row>
    <row r="3138" spans="1:16">
      <c r="A3138" s="5">
        <v>45806</v>
      </c>
      <c r="B3138">
        <v>139</v>
      </c>
      <c r="C3138" t="s">
        <v>103</v>
      </c>
      <c r="D3138">
        <v>6</v>
      </c>
      <c r="E3138">
        <v>100</v>
      </c>
      <c r="F3138" t="s">
        <v>1</v>
      </c>
      <c r="G3138" s="6">
        <v>45848</v>
      </c>
      <c r="H3138">
        <v>42</v>
      </c>
      <c r="I3138">
        <f>ROUND(CompilDonnées[[#This Row],[CultureDuration_days]]/7,0)</f>
        <v>6</v>
      </c>
      <c r="J3138">
        <v>3579</v>
      </c>
      <c r="K3138" t="str">
        <f>_xlfn.CONCAT(WEEKNUM(CompilDonnées[[#This Row],[PlantationDate]]), " ", YEAR(CompilDonnées[[#This Row],[PlantationDate]]))</f>
        <v>22 2025</v>
      </c>
      <c r="L3138" t="str">
        <f>CONCATENATE(MONTH(CompilDonnées[[#This Row],[PlantationDate]])," ", YEAR(CompilDonnées[[#This Row],[PlantationDate]]))</f>
        <v>5 2025</v>
      </c>
      <c r="M3138" t="str">
        <f>CONCATENATE(MONTH(CompilDonnées[[#This Row],[HarvestingDate]])," ", YEAR(CompilDonnées[[#This Row],[HarvestingDate]]))</f>
        <v>7 2025</v>
      </c>
      <c r="N3138">
        <f>_xlfn.NUMBERVALUE(CompilDonnées[[#This Row],[FarmID]]&amp;CompilDonnées[[#This Row],[ModuleNumber]]&amp;CompilDonnées[[#This Row],[PlantationDate]])</f>
        <v>139645806</v>
      </c>
      <c r="O3138" t="str">
        <f>CompilDonnées[[#This Row],[FarmID]]&amp;CompilDonnées[[#This Row],[ModuleNumber]]</f>
        <v>1396</v>
      </c>
      <c r="P3138" t="str">
        <f>CompilDonnées[[#This Row],[Ref_Module]]&amp;CompilDonnées[[#This Row],[HarvestingDate]]</f>
        <v>139645848</v>
      </c>
    </row>
    <row r="3139" spans="1:16">
      <c r="A3139" s="5">
        <v>45806</v>
      </c>
      <c r="B3139">
        <v>140</v>
      </c>
      <c r="C3139" t="s">
        <v>96</v>
      </c>
      <c r="D3139">
        <v>1</v>
      </c>
      <c r="E3139">
        <v>100</v>
      </c>
      <c r="F3139" t="s">
        <v>1</v>
      </c>
      <c r="G3139" s="6">
        <v>45848</v>
      </c>
      <c r="H3139">
        <v>42</v>
      </c>
      <c r="I3139">
        <f>ROUND(CompilDonnées[[#This Row],[CultureDuration_days]]/7,0)</f>
        <v>6</v>
      </c>
      <c r="J3139">
        <v>3179</v>
      </c>
      <c r="K3139" t="str">
        <f>_xlfn.CONCAT(WEEKNUM(CompilDonnées[[#This Row],[PlantationDate]]), " ", YEAR(CompilDonnées[[#This Row],[PlantationDate]]))</f>
        <v>22 2025</v>
      </c>
      <c r="L3139" t="str">
        <f>CONCATENATE(MONTH(CompilDonnées[[#This Row],[PlantationDate]])," ", YEAR(CompilDonnées[[#This Row],[PlantationDate]]))</f>
        <v>5 2025</v>
      </c>
      <c r="M3139" t="str">
        <f>CONCATENATE(MONTH(CompilDonnées[[#This Row],[HarvestingDate]])," ", YEAR(CompilDonnées[[#This Row],[HarvestingDate]]))</f>
        <v>7 2025</v>
      </c>
      <c r="N3139">
        <f>_xlfn.NUMBERVALUE(CompilDonnées[[#This Row],[FarmID]]&amp;CompilDonnées[[#This Row],[ModuleNumber]]&amp;CompilDonnées[[#This Row],[PlantationDate]])</f>
        <v>140145806</v>
      </c>
      <c r="O3139" t="str">
        <f>CompilDonnées[[#This Row],[FarmID]]&amp;CompilDonnées[[#This Row],[ModuleNumber]]</f>
        <v>1401</v>
      </c>
      <c r="P3139" t="str">
        <f>CompilDonnées[[#This Row],[Ref_Module]]&amp;CompilDonnées[[#This Row],[HarvestingDate]]</f>
        <v>140145848</v>
      </c>
    </row>
    <row r="3140" spans="1:16">
      <c r="A3140" s="5">
        <v>45806</v>
      </c>
      <c r="B3140">
        <v>123</v>
      </c>
      <c r="C3140" t="s">
        <v>13</v>
      </c>
      <c r="D3140">
        <v>1</v>
      </c>
      <c r="E3140">
        <v>100</v>
      </c>
      <c r="F3140" t="s">
        <v>1</v>
      </c>
      <c r="G3140" s="6">
        <v>45852</v>
      </c>
      <c r="H3140">
        <v>46</v>
      </c>
      <c r="I3140">
        <f>ROUND(CompilDonnées[[#This Row],[CultureDuration_days]]/7,0)</f>
        <v>7</v>
      </c>
      <c r="J3140">
        <v>3044</v>
      </c>
      <c r="K3140" t="str">
        <f>_xlfn.CONCAT(WEEKNUM(CompilDonnées[[#This Row],[PlantationDate]]), " ", YEAR(CompilDonnées[[#This Row],[PlantationDate]]))</f>
        <v>22 2025</v>
      </c>
      <c r="L3140" t="str">
        <f>CONCATENATE(MONTH(CompilDonnées[[#This Row],[PlantationDate]])," ", YEAR(CompilDonnées[[#This Row],[PlantationDate]]))</f>
        <v>5 2025</v>
      </c>
      <c r="M3140" t="str">
        <f>CONCATENATE(MONTH(CompilDonnées[[#This Row],[HarvestingDate]])," ", YEAR(CompilDonnées[[#This Row],[HarvestingDate]]))</f>
        <v>7 2025</v>
      </c>
      <c r="N3140">
        <f>_xlfn.NUMBERVALUE(CompilDonnées[[#This Row],[FarmID]]&amp;CompilDonnées[[#This Row],[ModuleNumber]]&amp;CompilDonnées[[#This Row],[PlantationDate]])</f>
        <v>123145806</v>
      </c>
      <c r="O3140" t="str">
        <f>CompilDonnées[[#This Row],[FarmID]]&amp;CompilDonnées[[#This Row],[ModuleNumber]]</f>
        <v>1231</v>
      </c>
      <c r="P3140" t="str">
        <f>CompilDonnées[[#This Row],[Ref_Module]]&amp;CompilDonnées[[#This Row],[HarvestingDate]]</f>
        <v>123145852</v>
      </c>
    </row>
    <row r="3141" spans="1:16">
      <c r="A3141" s="5">
        <v>45806</v>
      </c>
      <c r="B3141">
        <v>123</v>
      </c>
      <c r="C3141" t="s">
        <v>13</v>
      </c>
      <c r="D3141">
        <v>2</v>
      </c>
      <c r="E3141">
        <v>100</v>
      </c>
      <c r="F3141" t="s">
        <v>1</v>
      </c>
      <c r="G3141" s="6">
        <v>45852</v>
      </c>
      <c r="H3141">
        <v>46</v>
      </c>
      <c r="I3141">
        <f>ROUND(CompilDonnées[[#This Row],[CultureDuration_days]]/7,0)</f>
        <v>7</v>
      </c>
      <c r="J3141">
        <v>3156</v>
      </c>
      <c r="K3141" t="str">
        <f>_xlfn.CONCAT(WEEKNUM(CompilDonnées[[#This Row],[PlantationDate]]), " ", YEAR(CompilDonnées[[#This Row],[PlantationDate]]))</f>
        <v>22 2025</v>
      </c>
      <c r="L3141" t="str">
        <f>CONCATENATE(MONTH(CompilDonnées[[#This Row],[PlantationDate]])," ", YEAR(CompilDonnées[[#This Row],[PlantationDate]]))</f>
        <v>5 2025</v>
      </c>
      <c r="M3141" t="str">
        <f>CONCATENATE(MONTH(CompilDonnées[[#This Row],[HarvestingDate]])," ", YEAR(CompilDonnées[[#This Row],[HarvestingDate]]))</f>
        <v>7 2025</v>
      </c>
      <c r="N3141">
        <f>_xlfn.NUMBERVALUE(CompilDonnées[[#This Row],[FarmID]]&amp;CompilDonnées[[#This Row],[ModuleNumber]]&amp;CompilDonnées[[#This Row],[PlantationDate]])</f>
        <v>123245806</v>
      </c>
      <c r="O3141" t="str">
        <f>CompilDonnées[[#This Row],[FarmID]]&amp;CompilDonnées[[#This Row],[ModuleNumber]]</f>
        <v>1232</v>
      </c>
      <c r="P3141" t="str">
        <f>CompilDonnées[[#This Row],[Ref_Module]]&amp;CompilDonnées[[#This Row],[HarvestingDate]]</f>
        <v>123245852</v>
      </c>
    </row>
    <row r="3142" spans="1:16">
      <c r="A3142" s="5">
        <v>45806</v>
      </c>
      <c r="B3142">
        <v>117</v>
      </c>
      <c r="C3142" t="s">
        <v>11</v>
      </c>
      <c r="D3142">
        <v>2</v>
      </c>
      <c r="E3142">
        <v>100</v>
      </c>
      <c r="F3142" t="s">
        <v>1</v>
      </c>
      <c r="G3142" s="6">
        <v>45852</v>
      </c>
      <c r="H3142">
        <v>46</v>
      </c>
      <c r="I3142">
        <f>ROUND(CompilDonnées[[#This Row],[CultureDuration_days]]/7,0)</f>
        <v>7</v>
      </c>
      <c r="J3142">
        <v>2594</v>
      </c>
      <c r="K3142" t="str">
        <f>_xlfn.CONCAT(WEEKNUM(CompilDonnées[[#This Row],[PlantationDate]]), " ", YEAR(CompilDonnées[[#This Row],[PlantationDate]]))</f>
        <v>22 2025</v>
      </c>
      <c r="L3142" t="str">
        <f>CONCATENATE(MONTH(CompilDonnées[[#This Row],[PlantationDate]])," ", YEAR(CompilDonnées[[#This Row],[PlantationDate]]))</f>
        <v>5 2025</v>
      </c>
      <c r="M3142" t="str">
        <f>CONCATENATE(MONTH(CompilDonnées[[#This Row],[HarvestingDate]])," ", YEAR(CompilDonnées[[#This Row],[HarvestingDate]]))</f>
        <v>7 2025</v>
      </c>
      <c r="N3142">
        <f>_xlfn.NUMBERVALUE(CompilDonnées[[#This Row],[FarmID]]&amp;CompilDonnées[[#This Row],[ModuleNumber]]&amp;CompilDonnées[[#This Row],[PlantationDate]])</f>
        <v>117245806</v>
      </c>
      <c r="O3142" t="str">
        <f>CompilDonnées[[#This Row],[FarmID]]&amp;CompilDonnées[[#This Row],[ModuleNumber]]</f>
        <v>1172</v>
      </c>
      <c r="P3142" t="str">
        <f>CompilDonnées[[#This Row],[Ref_Module]]&amp;CompilDonnées[[#This Row],[HarvestingDate]]</f>
        <v>117245852</v>
      </c>
    </row>
    <row r="3143" spans="1:16">
      <c r="A3143" s="5">
        <v>45806</v>
      </c>
      <c r="B3143">
        <v>119</v>
      </c>
      <c r="C3143" t="s">
        <v>59</v>
      </c>
      <c r="D3143">
        <v>1</v>
      </c>
      <c r="E3143">
        <v>100</v>
      </c>
      <c r="F3143" t="s">
        <v>1</v>
      </c>
      <c r="G3143" s="6">
        <v>45848</v>
      </c>
      <c r="H3143">
        <v>42</v>
      </c>
      <c r="I3143">
        <f>ROUND(CompilDonnées[[#This Row],[CultureDuration_days]]/7,0)</f>
        <v>6</v>
      </c>
      <c r="J3143">
        <v>3058</v>
      </c>
      <c r="K3143" t="str">
        <f>_xlfn.CONCAT(WEEKNUM(CompilDonnées[[#This Row],[PlantationDate]]), " ", YEAR(CompilDonnées[[#This Row],[PlantationDate]]))</f>
        <v>22 2025</v>
      </c>
      <c r="L3143" t="str">
        <f>CONCATENATE(MONTH(CompilDonnées[[#This Row],[PlantationDate]])," ", YEAR(CompilDonnées[[#This Row],[PlantationDate]]))</f>
        <v>5 2025</v>
      </c>
      <c r="M3143" t="str">
        <f>CONCATENATE(MONTH(CompilDonnées[[#This Row],[HarvestingDate]])," ", YEAR(CompilDonnées[[#This Row],[HarvestingDate]]))</f>
        <v>7 2025</v>
      </c>
      <c r="N3143">
        <f>_xlfn.NUMBERVALUE(CompilDonnées[[#This Row],[FarmID]]&amp;CompilDonnées[[#This Row],[ModuleNumber]]&amp;CompilDonnées[[#This Row],[PlantationDate]])</f>
        <v>119145806</v>
      </c>
      <c r="O3143" t="str">
        <f>CompilDonnées[[#This Row],[FarmID]]&amp;CompilDonnées[[#This Row],[ModuleNumber]]</f>
        <v>1191</v>
      </c>
      <c r="P3143" t="str">
        <f>CompilDonnées[[#This Row],[Ref_Module]]&amp;CompilDonnées[[#This Row],[HarvestingDate]]</f>
        <v>119145848</v>
      </c>
    </row>
    <row r="3144" spans="1:16">
      <c r="A3144" s="5">
        <v>45806</v>
      </c>
      <c r="B3144">
        <v>111</v>
      </c>
      <c r="C3144" t="s">
        <v>41</v>
      </c>
      <c r="D3144">
        <v>5</v>
      </c>
      <c r="E3144">
        <v>100</v>
      </c>
      <c r="F3144" t="s">
        <v>1</v>
      </c>
      <c r="G3144" s="6">
        <v>45848</v>
      </c>
      <c r="H3144">
        <v>42</v>
      </c>
      <c r="I3144">
        <f>ROUND(CompilDonnées[[#This Row],[CultureDuration_days]]/7,0)</f>
        <v>6</v>
      </c>
      <c r="J3144">
        <v>3585</v>
      </c>
      <c r="K3144" t="str">
        <f>_xlfn.CONCAT(WEEKNUM(CompilDonnées[[#This Row],[PlantationDate]]), " ", YEAR(CompilDonnées[[#This Row],[PlantationDate]]))</f>
        <v>22 2025</v>
      </c>
      <c r="L3144" t="str">
        <f>CONCATENATE(MONTH(CompilDonnées[[#This Row],[PlantationDate]])," ", YEAR(CompilDonnées[[#This Row],[PlantationDate]]))</f>
        <v>5 2025</v>
      </c>
      <c r="M3144" t="str">
        <f>CONCATENATE(MONTH(CompilDonnées[[#This Row],[HarvestingDate]])," ", YEAR(CompilDonnées[[#This Row],[HarvestingDate]]))</f>
        <v>7 2025</v>
      </c>
      <c r="N3144">
        <f>_xlfn.NUMBERVALUE(CompilDonnées[[#This Row],[FarmID]]&amp;CompilDonnées[[#This Row],[ModuleNumber]]&amp;CompilDonnées[[#This Row],[PlantationDate]])</f>
        <v>111545806</v>
      </c>
      <c r="O3144" t="str">
        <f>CompilDonnées[[#This Row],[FarmID]]&amp;CompilDonnées[[#This Row],[ModuleNumber]]</f>
        <v>1115</v>
      </c>
      <c r="P3144" t="str">
        <f>CompilDonnées[[#This Row],[Ref_Module]]&amp;CompilDonnées[[#This Row],[HarvestingDate]]</f>
        <v>111545848</v>
      </c>
    </row>
    <row r="3145" spans="1:16">
      <c r="A3145" s="5">
        <v>45806</v>
      </c>
      <c r="B3145">
        <v>112</v>
      </c>
      <c r="C3145" t="s">
        <v>15</v>
      </c>
      <c r="D3145">
        <v>6</v>
      </c>
      <c r="E3145">
        <v>100</v>
      </c>
      <c r="F3145" t="s">
        <v>1</v>
      </c>
      <c r="G3145" s="6">
        <v>45848</v>
      </c>
      <c r="H3145">
        <v>42</v>
      </c>
      <c r="I3145">
        <f>ROUND(CompilDonnées[[#This Row],[CultureDuration_days]]/7,0)</f>
        <v>6</v>
      </c>
      <c r="J3145">
        <v>3351</v>
      </c>
      <c r="K3145" t="str">
        <f>_xlfn.CONCAT(WEEKNUM(CompilDonnées[[#This Row],[PlantationDate]]), " ", YEAR(CompilDonnées[[#This Row],[PlantationDate]]))</f>
        <v>22 2025</v>
      </c>
      <c r="L3145" t="str">
        <f>CONCATENATE(MONTH(CompilDonnées[[#This Row],[PlantationDate]])," ", YEAR(CompilDonnées[[#This Row],[PlantationDate]]))</f>
        <v>5 2025</v>
      </c>
      <c r="M3145" t="str">
        <f>CONCATENATE(MONTH(CompilDonnées[[#This Row],[HarvestingDate]])," ", YEAR(CompilDonnées[[#This Row],[HarvestingDate]]))</f>
        <v>7 2025</v>
      </c>
      <c r="N3145">
        <f>_xlfn.NUMBERVALUE(CompilDonnées[[#This Row],[FarmID]]&amp;CompilDonnées[[#This Row],[ModuleNumber]]&amp;CompilDonnées[[#This Row],[PlantationDate]])</f>
        <v>112645806</v>
      </c>
      <c r="O3145" t="str">
        <f>CompilDonnées[[#This Row],[FarmID]]&amp;CompilDonnées[[#This Row],[ModuleNumber]]</f>
        <v>1126</v>
      </c>
      <c r="P3145" t="str">
        <f>CompilDonnées[[#This Row],[Ref_Module]]&amp;CompilDonnées[[#This Row],[HarvestingDate]]</f>
        <v>112645848</v>
      </c>
    </row>
    <row r="3146" spans="1:16">
      <c r="A3146" s="5">
        <v>45806</v>
      </c>
      <c r="B3146">
        <v>126</v>
      </c>
      <c r="C3146" t="s">
        <v>52</v>
      </c>
      <c r="D3146">
        <v>6</v>
      </c>
      <c r="E3146">
        <v>100</v>
      </c>
      <c r="F3146" t="s">
        <v>1</v>
      </c>
      <c r="G3146" s="6">
        <v>45848</v>
      </c>
      <c r="H3146">
        <v>42</v>
      </c>
      <c r="I3146">
        <f>ROUND(CompilDonnées[[#This Row],[CultureDuration_days]]/7,0)</f>
        <v>6</v>
      </c>
      <c r="J3146">
        <v>3190</v>
      </c>
      <c r="K3146" t="str">
        <f>_xlfn.CONCAT(WEEKNUM(CompilDonnées[[#This Row],[PlantationDate]]), " ", YEAR(CompilDonnées[[#This Row],[PlantationDate]]))</f>
        <v>22 2025</v>
      </c>
      <c r="L3146" t="str">
        <f>CONCATENATE(MONTH(CompilDonnées[[#This Row],[PlantationDate]])," ", YEAR(CompilDonnées[[#This Row],[PlantationDate]]))</f>
        <v>5 2025</v>
      </c>
      <c r="M3146" t="str">
        <f>CONCATENATE(MONTH(CompilDonnées[[#This Row],[HarvestingDate]])," ", YEAR(CompilDonnées[[#This Row],[HarvestingDate]]))</f>
        <v>7 2025</v>
      </c>
      <c r="N3146">
        <f>_xlfn.NUMBERVALUE(CompilDonnées[[#This Row],[FarmID]]&amp;CompilDonnées[[#This Row],[ModuleNumber]]&amp;CompilDonnées[[#This Row],[PlantationDate]])</f>
        <v>126645806</v>
      </c>
      <c r="O3146" t="str">
        <f>CompilDonnées[[#This Row],[FarmID]]&amp;CompilDonnées[[#This Row],[ModuleNumber]]</f>
        <v>1266</v>
      </c>
      <c r="P3146" t="str">
        <f>CompilDonnées[[#This Row],[Ref_Module]]&amp;CompilDonnées[[#This Row],[HarvestingDate]]</f>
        <v>126645848</v>
      </c>
    </row>
    <row r="3147" spans="1:16">
      <c r="A3147" s="5">
        <v>45806</v>
      </c>
      <c r="B3147">
        <v>122</v>
      </c>
      <c r="C3147" t="s">
        <v>3</v>
      </c>
      <c r="D3147">
        <v>5</v>
      </c>
      <c r="E3147">
        <v>60</v>
      </c>
      <c r="F3147" t="s">
        <v>105</v>
      </c>
      <c r="G3147" s="6">
        <v>45862</v>
      </c>
      <c r="H3147">
        <v>56</v>
      </c>
      <c r="I3147">
        <f>ROUND(CompilDonnées[[#This Row],[CultureDuration_days]]/7,0)</f>
        <v>8</v>
      </c>
      <c r="J3147">
        <v>368</v>
      </c>
      <c r="K3147" t="str">
        <f>_xlfn.CONCAT(WEEKNUM(CompilDonnées[[#This Row],[PlantationDate]]), " ", YEAR(CompilDonnées[[#This Row],[PlantationDate]]))</f>
        <v>22 2025</v>
      </c>
      <c r="L3147" t="str">
        <f>CONCATENATE(MONTH(CompilDonnées[[#This Row],[PlantationDate]])," ", YEAR(CompilDonnées[[#This Row],[PlantationDate]]))</f>
        <v>5 2025</v>
      </c>
      <c r="M3147" t="str">
        <f>CONCATENATE(MONTH(CompilDonnées[[#This Row],[HarvestingDate]])," ", YEAR(CompilDonnées[[#This Row],[HarvestingDate]]))</f>
        <v>7 2025</v>
      </c>
      <c r="N3147">
        <f>_xlfn.NUMBERVALUE(CompilDonnées[[#This Row],[FarmID]]&amp;CompilDonnées[[#This Row],[ModuleNumber]]&amp;CompilDonnées[[#This Row],[PlantationDate]])</f>
        <v>122545806</v>
      </c>
      <c r="O3147" t="str">
        <f>CompilDonnées[[#This Row],[FarmID]]&amp;CompilDonnées[[#This Row],[ModuleNumber]]</f>
        <v>1225</v>
      </c>
      <c r="P3147" t="str">
        <f>CompilDonnées[[#This Row],[Ref_Module]]&amp;CompilDonnées[[#This Row],[HarvestingDate]]</f>
        <v>122545862</v>
      </c>
    </row>
    <row r="3148" spans="1:16">
      <c r="A3148" s="5">
        <v>45806</v>
      </c>
      <c r="B3148">
        <v>122</v>
      </c>
      <c r="C3148" t="s">
        <v>3</v>
      </c>
      <c r="D3148">
        <v>6</v>
      </c>
      <c r="E3148">
        <v>60</v>
      </c>
      <c r="F3148" t="s">
        <v>105</v>
      </c>
      <c r="G3148" s="6">
        <v>45863</v>
      </c>
      <c r="H3148">
        <v>57</v>
      </c>
      <c r="I3148">
        <f>ROUND(CompilDonnées[[#This Row],[CultureDuration_days]]/7,0)</f>
        <v>8</v>
      </c>
      <c r="J3148">
        <v>675</v>
      </c>
      <c r="K3148" t="str">
        <f>_xlfn.CONCAT(WEEKNUM(CompilDonnées[[#This Row],[PlantationDate]]), " ", YEAR(CompilDonnées[[#This Row],[PlantationDate]]))</f>
        <v>22 2025</v>
      </c>
      <c r="L3148" t="str">
        <f>CONCATENATE(MONTH(CompilDonnées[[#This Row],[PlantationDate]])," ", YEAR(CompilDonnées[[#This Row],[PlantationDate]]))</f>
        <v>5 2025</v>
      </c>
      <c r="M3148" t="str">
        <f>CONCATENATE(MONTH(CompilDonnées[[#This Row],[HarvestingDate]])," ", YEAR(CompilDonnées[[#This Row],[HarvestingDate]]))</f>
        <v>7 2025</v>
      </c>
      <c r="N3148">
        <f>_xlfn.NUMBERVALUE(CompilDonnées[[#This Row],[FarmID]]&amp;CompilDonnées[[#This Row],[ModuleNumber]]&amp;CompilDonnées[[#This Row],[PlantationDate]])</f>
        <v>122645806</v>
      </c>
      <c r="O3148" t="str">
        <f>CompilDonnées[[#This Row],[FarmID]]&amp;CompilDonnées[[#This Row],[ModuleNumber]]</f>
        <v>1226</v>
      </c>
      <c r="P3148" t="str">
        <f>CompilDonnées[[#This Row],[Ref_Module]]&amp;CompilDonnées[[#This Row],[HarvestingDate]]</f>
        <v>122645863</v>
      </c>
    </row>
    <row r="3149" spans="1:16">
      <c r="A3149" s="5">
        <v>45806</v>
      </c>
      <c r="B3149">
        <v>130</v>
      </c>
      <c r="C3149" t="s">
        <v>3</v>
      </c>
      <c r="D3149">
        <v>3</v>
      </c>
      <c r="E3149">
        <v>60</v>
      </c>
      <c r="F3149" t="s">
        <v>105</v>
      </c>
      <c r="G3149" s="6">
        <v>45852</v>
      </c>
      <c r="H3149">
        <v>46</v>
      </c>
      <c r="I3149">
        <f>ROUND(CompilDonnées[[#This Row],[CultureDuration_days]]/7,0)</f>
        <v>7</v>
      </c>
      <c r="J3149">
        <v>480</v>
      </c>
      <c r="K3149" t="str">
        <f>_xlfn.CONCAT(WEEKNUM(CompilDonnées[[#This Row],[PlantationDate]]), " ", YEAR(CompilDonnées[[#This Row],[PlantationDate]]))</f>
        <v>22 2025</v>
      </c>
      <c r="L3149" t="str">
        <f>CONCATENATE(MONTH(CompilDonnées[[#This Row],[PlantationDate]])," ", YEAR(CompilDonnées[[#This Row],[PlantationDate]]))</f>
        <v>5 2025</v>
      </c>
      <c r="M3149" t="str">
        <f>CONCATENATE(MONTH(CompilDonnées[[#This Row],[HarvestingDate]])," ", YEAR(CompilDonnées[[#This Row],[HarvestingDate]]))</f>
        <v>7 2025</v>
      </c>
      <c r="N3149">
        <f>_xlfn.NUMBERVALUE(CompilDonnées[[#This Row],[FarmID]]&amp;CompilDonnées[[#This Row],[ModuleNumber]]&amp;CompilDonnées[[#This Row],[PlantationDate]])</f>
        <v>130345806</v>
      </c>
      <c r="O3149" t="str">
        <f>CompilDonnées[[#This Row],[FarmID]]&amp;CompilDonnées[[#This Row],[ModuleNumber]]</f>
        <v>1303</v>
      </c>
      <c r="P3149" t="str">
        <f>CompilDonnées[[#This Row],[Ref_Module]]&amp;CompilDonnées[[#This Row],[HarvestingDate]]</f>
        <v>130345852</v>
      </c>
    </row>
    <row r="3150" spans="1:16">
      <c r="A3150" s="5">
        <v>45806</v>
      </c>
      <c r="B3150">
        <v>130</v>
      </c>
      <c r="C3150" t="s">
        <v>3</v>
      </c>
      <c r="D3150">
        <v>4</v>
      </c>
      <c r="E3150">
        <v>60</v>
      </c>
      <c r="F3150" t="s">
        <v>105</v>
      </c>
      <c r="G3150" s="6">
        <v>45852</v>
      </c>
      <c r="H3150">
        <v>46</v>
      </c>
      <c r="I3150">
        <f>ROUND(CompilDonnées[[#This Row],[CultureDuration_days]]/7,0)</f>
        <v>7</v>
      </c>
      <c r="J3150">
        <v>550</v>
      </c>
      <c r="K3150" t="str">
        <f>_xlfn.CONCAT(WEEKNUM(CompilDonnées[[#This Row],[PlantationDate]]), " ", YEAR(CompilDonnées[[#This Row],[PlantationDate]]))</f>
        <v>22 2025</v>
      </c>
      <c r="L3150" t="str">
        <f>CONCATENATE(MONTH(CompilDonnées[[#This Row],[PlantationDate]])," ", YEAR(CompilDonnées[[#This Row],[PlantationDate]]))</f>
        <v>5 2025</v>
      </c>
      <c r="M3150" t="str">
        <f>CONCATENATE(MONTH(CompilDonnées[[#This Row],[HarvestingDate]])," ", YEAR(CompilDonnées[[#This Row],[HarvestingDate]]))</f>
        <v>7 2025</v>
      </c>
      <c r="N3150">
        <f>_xlfn.NUMBERVALUE(CompilDonnées[[#This Row],[FarmID]]&amp;CompilDonnées[[#This Row],[ModuleNumber]]&amp;CompilDonnées[[#This Row],[PlantationDate]])</f>
        <v>130445806</v>
      </c>
      <c r="O3150" t="str">
        <f>CompilDonnées[[#This Row],[FarmID]]&amp;CompilDonnées[[#This Row],[ModuleNumber]]</f>
        <v>1304</v>
      </c>
      <c r="P3150" t="str">
        <f>CompilDonnées[[#This Row],[Ref_Module]]&amp;CompilDonnées[[#This Row],[HarvestingDate]]</f>
        <v>130445852</v>
      </c>
    </row>
    <row r="3151" spans="1:16">
      <c r="A3151" s="5">
        <v>45807</v>
      </c>
      <c r="B3151">
        <v>103</v>
      </c>
      <c r="C3151" t="s">
        <v>86</v>
      </c>
      <c r="D3151">
        <v>1</v>
      </c>
      <c r="E3151">
        <v>100</v>
      </c>
      <c r="F3151" t="s">
        <v>1</v>
      </c>
      <c r="G3151" s="6">
        <v>45862</v>
      </c>
      <c r="H3151">
        <v>55</v>
      </c>
      <c r="I3151">
        <f>ROUND(CompilDonnées[[#This Row],[CultureDuration_days]]/7,0)</f>
        <v>8</v>
      </c>
      <c r="J3151">
        <v>2434</v>
      </c>
      <c r="K3151" t="str">
        <f>_xlfn.CONCAT(WEEKNUM(CompilDonnées[[#This Row],[PlantationDate]]), " ", YEAR(CompilDonnées[[#This Row],[PlantationDate]]))</f>
        <v>22 2025</v>
      </c>
      <c r="L3151" t="str">
        <f>CONCATENATE(MONTH(CompilDonnées[[#This Row],[PlantationDate]])," ", YEAR(CompilDonnées[[#This Row],[PlantationDate]]))</f>
        <v>5 2025</v>
      </c>
      <c r="M3151" t="str">
        <f>CONCATENATE(MONTH(CompilDonnées[[#This Row],[HarvestingDate]])," ", YEAR(CompilDonnées[[#This Row],[HarvestingDate]]))</f>
        <v>7 2025</v>
      </c>
      <c r="N3151">
        <f>_xlfn.NUMBERVALUE(CompilDonnées[[#This Row],[FarmID]]&amp;CompilDonnées[[#This Row],[ModuleNumber]]&amp;CompilDonnées[[#This Row],[PlantationDate]])</f>
        <v>103145807</v>
      </c>
      <c r="O3151" t="str">
        <f>CompilDonnées[[#This Row],[FarmID]]&amp;CompilDonnées[[#This Row],[ModuleNumber]]</f>
        <v>1031</v>
      </c>
      <c r="P3151" t="str">
        <f>CompilDonnées[[#This Row],[Ref_Module]]&amp;CompilDonnées[[#This Row],[HarvestingDate]]</f>
        <v>103145862</v>
      </c>
    </row>
    <row r="3152" spans="1:16">
      <c r="A3152" s="5">
        <v>45807</v>
      </c>
      <c r="B3152">
        <v>98</v>
      </c>
      <c r="C3152" t="s">
        <v>79</v>
      </c>
      <c r="D3152">
        <v>6</v>
      </c>
      <c r="E3152">
        <v>100</v>
      </c>
      <c r="F3152" t="s">
        <v>1</v>
      </c>
      <c r="G3152" s="6">
        <v>45852</v>
      </c>
      <c r="H3152">
        <v>45</v>
      </c>
      <c r="I3152">
        <f>ROUND(CompilDonnées[[#This Row],[CultureDuration_days]]/7,0)</f>
        <v>6</v>
      </c>
      <c r="J3152">
        <v>3047</v>
      </c>
      <c r="K3152" t="str">
        <f>_xlfn.CONCAT(WEEKNUM(CompilDonnées[[#This Row],[PlantationDate]]), " ", YEAR(CompilDonnées[[#This Row],[PlantationDate]]))</f>
        <v>22 2025</v>
      </c>
      <c r="L3152" t="str">
        <f>CONCATENATE(MONTH(CompilDonnées[[#This Row],[PlantationDate]])," ", YEAR(CompilDonnées[[#This Row],[PlantationDate]]))</f>
        <v>5 2025</v>
      </c>
      <c r="M3152" t="str">
        <f>CONCATENATE(MONTH(CompilDonnées[[#This Row],[HarvestingDate]])," ", YEAR(CompilDonnées[[#This Row],[HarvestingDate]]))</f>
        <v>7 2025</v>
      </c>
      <c r="N3152">
        <f>_xlfn.NUMBERVALUE(CompilDonnées[[#This Row],[FarmID]]&amp;CompilDonnées[[#This Row],[ModuleNumber]]&amp;CompilDonnées[[#This Row],[PlantationDate]])</f>
        <v>98645807</v>
      </c>
      <c r="O3152" t="str">
        <f>CompilDonnées[[#This Row],[FarmID]]&amp;CompilDonnées[[#This Row],[ModuleNumber]]</f>
        <v>986</v>
      </c>
      <c r="P3152" t="str">
        <f>CompilDonnées[[#This Row],[Ref_Module]]&amp;CompilDonnées[[#This Row],[HarvestingDate]]</f>
        <v>98645852</v>
      </c>
    </row>
    <row r="3153" spans="1:16">
      <c r="A3153" s="5">
        <v>45807</v>
      </c>
      <c r="B3153">
        <v>51</v>
      </c>
      <c r="C3153" t="s">
        <v>27</v>
      </c>
      <c r="D3153">
        <v>1</v>
      </c>
      <c r="E3153">
        <v>100</v>
      </c>
      <c r="F3153" t="s">
        <v>1</v>
      </c>
      <c r="G3153" s="6">
        <v>45846</v>
      </c>
      <c r="H3153">
        <v>39</v>
      </c>
      <c r="I3153">
        <f>ROUND(CompilDonnées[[#This Row],[CultureDuration_days]]/7,0)</f>
        <v>6</v>
      </c>
      <c r="J3153">
        <v>3180</v>
      </c>
      <c r="K3153" t="str">
        <f>_xlfn.CONCAT(WEEKNUM(CompilDonnées[[#This Row],[PlantationDate]]), " ", YEAR(CompilDonnées[[#This Row],[PlantationDate]]))</f>
        <v>22 2025</v>
      </c>
      <c r="L3153" t="str">
        <f>CONCATENATE(MONTH(CompilDonnées[[#This Row],[PlantationDate]])," ", YEAR(CompilDonnées[[#This Row],[PlantationDate]]))</f>
        <v>5 2025</v>
      </c>
      <c r="M3153" t="str">
        <f>CONCATENATE(MONTH(CompilDonnées[[#This Row],[HarvestingDate]])," ", YEAR(CompilDonnées[[#This Row],[HarvestingDate]]))</f>
        <v>7 2025</v>
      </c>
      <c r="N3153">
        <f>_xlfn.NUMBERVALUE(CompilDonnées[[#This Row],[FarmID]]&amp;CompilDonnées[[#This Row],[ModuleNumber]]&amp;CompilDonnées[[#This Row],[PlantationDate]])</f>
        <v>51145807</v>
      </c>
      <c r="O3153" t="str">
        <f>CompilDonnées[[#This Row],[FarmID]]&amp;CompilDonnées[[#This Row],[ModuleNumber]]</f>
        <v>511</v>
      </c>
      <c r="P3153" t="str">
        <f>CompilDonnées[[#This Row],[Ref_Module]]&amp;CompilDonnées[[#This Row],[HarvestingDate]]</f>
        <v>51145846</v>
      </c>
    </row>
    <row r="3154" spans="1:16">
      <c r="A3154" s="5">
        <v>45807</v>
      </c>
      <c r="B3154">
        <v>49</v>
      </c>
      <c r="C3154" t="s">
        <v>110</v>
      </c>
      <c r="D3154">
        <v>5</v>
      </c>
      <c r="E3154">
        <v>100</v>
      </c>
      <c r="F3154" t="s">
        <v>1</v>
      </c>
      <c r="G3154" s="6">
        <v>45854</v>
      </c>
      <c r="H3154">
        <v>47</v>
      </c>
      <c r="I3154">
        <f>ROUND(CompilDonnées[[#This Row],[CultureDuration_days]]/7,0)</f>
        <v>7</v>
      </c>
      <c r="J3154">
        <v>2784</v>
      </c>
      <c r="K3154" t="str">
        <f>_xlfn.CONCAT(WEEKNUM(CompilDonnées[[#This Row],[PlantationDate]]), " ", YEAR(CompilDonnées[[#This Row],[PlantationDate]]))</f>
        <v>22 2025</v>
      </c>
      <c r="L3154" t="str">
        <f>CONCATENATE(MONTH(CompilDonnées[[#This Row],[PlantationDate]])," ", YEAR(CompilDonnées[[#This Row],[PlantationDate]]))</f>
        <v>5 2025</v>
      </c>
      <c r="M3154" t="str">
        <f>CONCATENATE(MONTH(CompilDonnées[[#This Row],[HarvestingDate]])," ", YEAR(CompilDonnées[[#This Row],[HarvestingDate]]))</f>
        <v>7 2025</v>
      </c>
      <c r="N3154">
        <f>_xlfn.NUMBERVALUE(CompilDonnées[[#This Row],[FarmID]]&amp;CompilDonnées[[#This Row],[ModuleNumber]]&amp;CompilDonnées[[#This Row],[PlantationDate]])</f>
        <v>49545807</v>
      </c>
      <c r="O3154" t="str">
        <f>CompilDonnées[[#This Row],[FarmID]]&amp;CompilDonnées[[#This Row],[ModuleNumber]]</f>
        <v>495</v>
      </c>
      <c r="P3154" t="str">
        <f>CompilDonnées[[#This Row],[Ref_Module]]&amp;CompilDonnées[[#This Row],[HarvestingDate]]</f>
        <v>49545854</v>
      </c>
    </row>
    <row r="3155" spans="1:16">
      <c r="A3155" s="5">
        <v>45807</v>
      </c>
      <c r="B3155">
        <v>48</v>
      </c>
      <c r="C3155" t="s">
        <v>71</v>
      </c>
      <c r="D3155">
        <v>2</v>
      </c>
      <c r="E3155">
        <v>100</v>
      </c>
      <c r="F3155" t="s">
        <v>1</v>
      </c>
      <c r="G3155" s="6">
        <v>45846</v>
      </c>
      <c r="H3155">
        <v>39</v>
      </c>
      <c r="I3155">
        <f>ROUND(CompilDonnées[[#This Row],[CultureDuration_days]]/7,0)</f>
        <v>6</v>
      </c>
      <c r="J3155">
        <v>2358</v>
      </c>
      <c r="K3155" t="str">
        <f>_xlfn.CONCAT(WEEKNUM(CompilDonnées[[#This Row],[PlantationDate]]), " ", YEAR(CompilDonnées[[#This Row],[PlantationDate]]))</f>
        <v>22 2025</v>
      </c>
      <c r="L3155" t="str">
        <f>CONCATENATE(MONTH(CompilDonnées[[#This Row],[PlantationDate]])," ", YEAR(CompilDonnées[[#This Row],[PlantationDate]]))</f>
        <v>5 2025</v>
      </c>
      <c r="M3155" t="str">
        <f>CONCATENATE(MONTH(CompilDonnées[[#This Row],[HarvestingDate]])," ", YEAR(CompilDonnées[[#This Row],[HarvestingDate]]))</f>
        <v>7 2025</v>
      </c>
      <c r="N3155">
        <f>_xlfn.NUMBERVALUE(CompilDonnées[[#This Row],[FarmID]]&amp;CompilDonnées[[#This Row],[ModuleNumber]]&amp;CompilDonnées[[#This Row],[PlantationDate]])</f>
        <v>48245807</v>
      </c>
      <c r="O3155" t="str">
        <f>CompilDonnées[[#This Row],[FarmID]]&amp;CompilDonnées[[#This Row],[ModuleNumber]]</f>
        <v>482</v>
      </c>
      <c r="P3155" t="str">
        <f>CompilDonnées[[#This Row],[Ref_Module]]&amp;CompilDonnées[[#This Row],[HarvestingDate]]</f>
        <v>48245846</v>
      </c>
    </row>
    <row r="3156" spans="1:16">
      <c r="A3156" s="5">
        <v>45807</v>
      </c>
      <c r="B3156">
        <v>55</v>
      </c>
      <c r="C3156" t="s">
        <v>60</v>
      </c>
      <c r="D3156">
        <v>6</v>
      </c>
      <c r="E3156">
        <v>100</v>
      </c>
      <c r="F3156" t="s">
        <v>1</v>
      </c>
      <c r="G3156" s="6">
        <v>45854</v>
      </c>
      <c r="H3156">
        <v>47</v>
      </c>
      <c r="I3156">
        <f>ROUND(CompilDonnées[[#This Row],[CultureDuration_days]]/7,0)</f>
        <v>7</v>
      </c>
      <c r="J3156">
        <v>2141</v>
      </c>
      <c r="K3156" t="str">
        <f>_xlfn.CONCAT(WEEKNUM(CompilDonnées[[#This Row],[PlantationDate]]), " ", YEAR(CompilDonnées[[#This Row],[PlantationDate]]))</f>
        <v>22 2025</v>
      </c>
      <c r="L3156" t="str">
        <f>CONCATENATE(MONTH(CompilDonnées[[#This Row],[PlantationDate]])," ", YEAR(CompilDonnées[[#This Row],[PlantationDate]]))</f>
        <v>5 2025</v>
      </c>
      <c r="M3156" t="str">
        <f>CONCATENATE(MONTH(CompilDonnées[[#This Row],[HarvestingDate]])," ", YEAR(CompilDonnées[[#This Row],[HarvestingDate]]))</f>
        <v>7 2025</v>
      </c>
      <c r="N3156">
        <f>_xlfn.NUMBERVALUE(CompilDonnées[[#This Row],[FarmID]]&amp;CompilDonnées[[#This Row],[ModuleNumber]]&amp;CompilDonnées[[#This Row],[PlantationDate]])</f>
        <v>55645807</v>
      </c>
      <c r="O3156" t="str">
        <f>CompilDonnées[[#This Row],[FarmID]]&amp;CompilDonnées[[#This Row],[ModuleNumber]]</f>
        <v>556</v>
      </c>
      <c r="P3156" t="str">
        <f>CompilDonnées[[#This Row],[Ref_Module]]&amp;CompilDonnées[[#This Row],[HarvestingDate]]</f>
        <v>55645854</v>
      </c>
    </row>
    <row r="3157" spans="1:16">
      <c r="A3157" s="5">
        <v>45807</v>
      </c>
      <c r="B3157">
        <v>67</v>
      </c>
      <c r="C3157" t="s">
        <v>28</v>
      </c>
      <c r="D3157">
        <v>2</v>
      </c>
      <c r="E3157">
        <v>100</v>
      </c>
      <c r="F3157" t="s">
        <v>1</v>
      </c>
      <c r="G3157" s="6">
        <v>45847</v>
      </c>
      <c r="H3157">
        <v>40</v>
      </c>
      <c r="I3157">
        <f>ROUND(CompilDonnées[[#This Row],[CultureDuration_days]]/7,0)</f>
        <v>6</v>
      </c>
      <c r="J3157">
        <v>3170</v>
      </c>
      <c r="K3157" t="str">
        <f>_xlfn.CONCAT(WEEKNUM(CompilDonnées[[#This Row],[PlantationDate]]), " ", YEAR(CompilDonnées[[#This Row],[PlantationDate]]))</f>
        <v>22 2025</v>
      </c>
      <c r="L3157" t="str">
        <f>CONCATENATE(MONTH(CompilDonnées[[#This Row],[PlantationDate]])," ", YEAR(CompilDonnées[[#This Row],[PlantationDate]]))</f>
        <v>5 2025</v>
      </c>
      <c r="M3157" t="str">
        <f>CONCATENATE(MONTH(CompilDonnées[[#This Row],[HarvestingDate]])," ", YEAR(CompilDonnées[[#This Row],[HarvestingDate]]))</f>
        <v>7 2025</v>
      </c>
      <c r="N3157">
        <f>_xlfn.NUMBERVALUE(CompilDonnées[[#This Row],[FarmID]]&amp;CompilDonnées[[#This Row],[ModuleNumber]]&amp;CompilDonnées[[#This Row],[PlantationDate]])</f>
        <v>67245807</v>
      </c>
      <c r="O3157" t="str">
        <f>CompilDonnées[[#This Row],[FarmID]]&amp;CompilDonnées[[#This Row],[ModuleNumber]]</f>
        <v>672</v>
      </c>
      <c r="P3157" t="str">
        <f>CompilDonnées[[#This Row],[Ref_Module]]&amp;CompilDonnées[[#This Row],[HarvestingDate]]</f>
        <v>67245847</v>
      </c>
    </row>
    <row r="3158" spans="1:16">
      <c r="A3158" s="5">
        <v>45807</v>
      </c>
      <c r="B3158">
        <v>64</v>
      </c>
      <c r="C3158" t="s">
        <v>47</v>
      </c>
      <c r="D3158">
        <v>5</v>
      </c>
      <c r="E3158">
        <v>100</v>
      </c>
      <c r="F3158" t="s">
        <v>1</v>
      </c>
      <c r="G3158" s="6">
        <v>45854</v>
      </c>
      <c r="H3158">
        <v>47</v>
      </c>
      <c r="I3158">
        <f>ROUND(CompilDonnées[[#This Row],[CultureDuration_days]]/7,0)</f>
        <v>7</v>
      </c>
      <c r="J3158">
        <v>2684</v>
      </c>
      <c r="K3158" t="str">
        <f>_xlfn.CONCAT(WEEKNUM(CompilDonnées[[#This Row],[PlantationDate]]), " ", YEAR(CompilDonnées[[#This Row],[PlantationDate]]))</f>
        <v>22 2025</v>
      </c>
      <c r="L3158" t="str">
        <f>CONCATENATE(MONTH(CompilDonnées[[#This Row],[PlantationDate]])," ", YEAR(CompilDonnées[[#This Row],[PlantationDate]]))</f>
        <v>5 2025</v>
      </c>
      <c r="M3158" t="str">
        <f>CONCATENATE(MONTH(CompilDonnées[[#This Row],[HarvestingDate]])," ", YEAR(CompilDonnées[[#This Row],[HarvestingDate]]))</f>
        <v>7 2025</v>
      </c>
      <c r="N3158">
        <f>_xlfn.NUMBERVALUE(CompilDonnées[[#This Row],[FarmID]]&amp;CompilDonnées[[#This Row],[ModuleNumber]]&amp;CompilDonnées[[#This Row],[PlantationDate]])</f>
        <v>64545807</v>
      </c>
      <c r="O3158" t="str">
        <f>CompilDonnées[[#This Row],[FarmID]]&amp;CompilDonnées[[#This Row],[ModuleNumber]]</f>
        <v>645</v>
      </c>
      <c r="P3158" t="str">
        <f>CompilDonnées[[#This Row],[Ref_Module]]&amp;CompilDonnées[[#This Row],[HarvestingDate]]</f>
        <v>64545854</v>
      </c>
    </row>
    <row r="3159" spans="1:16">
      <c r="A3159" s="5">
        <v>45807</v>
      </c>
      <c r="B3159">
        <v>56</v>
      </c>
      <c r="C3159" t="s">
        <v>6</v>
      </c>
      <c r="D3159">
        <v>3</v>
      </c>
      <c r="E3159">
        <v>100</v>
      </c>
      <c r="F3159" t="s">
        <v>1</v>
      </c>
      <c r="G3159" s="6">
        <v>45846</v>
      </c>
      <c r="H3159">
        <v>39</v>
      </c>
      <c r="I3159">
        <f>ROUND(CompilDonnées[[#This Row],[CultureDuration_days]]/7,0)</f>
        <v>6</v>
      </c>
      <c r="J3159">
        <v>2996</v>
      </c>
      <c r="K3159" t="str">
        <f>_xlfn.CONCAT(WEEKNUM(CompilDonnées[[#This Row],[PlantationDate]]), " ", YEAR(CompilDonnées[[#This Row],[PlantationDate]]))</f>
        <v>22 2025</v>
      </c>
      <c r="L3159" t="str">
        <f>CONCATENATE(MONTH(CompilDonnées[[#This Row],[PlantationDate]])," ", YEAR(CompilDonnées[[#This Row],[PlantationDate]]))</f>
        <v>5 2025</v>
      </c>
      <c r="M3159" t="str">
        <f>CONCATENATE(MONTH(CompilDonnées[[#This Row],[HarvestingDate]])," ", YEAR(CompilDonnées[[#This Row],[HarvestingDate]]))</f>
        <v>7 2025</v>
      </c>
      <c r="N3159">
        <f>_xlfn.NUMBERVALUE(CompilDonnées[[#This Row],[FarmID]]&amp;CompilDonnées[[#This Row],[ModuleNumber]]&amp;CompilDonnées[[#This Row],[PlantationDate]])</f>
        <v>56345807</v>
      </c>
      <c r="O3159" t="str">
        <f>CompilDonnées[[#This Row],[FarmID]]&amp;CompilDonnées[[#This Row],[ModuleNumber]]</f>
        <v>563</v>
      </c>
      <c r="P3159" t="str">
        <f>CompilDonnées[[#This Row],[Ref_Module]]&amp;CompilDonnées[[#This Row],[HarvestingDate]]</f>
        <v>56345846</v>
      </c>
    </row>
    <row r="3160" spans="1:16">
      <c r="A3160" s="5">
        <v>45807</v>
      </c>
      <c r="B3160">
        <v>18</v>
      </c>
      <c r="C3160" t="s">
        <v>33</v>
      </c>
      <c r="D3160">
        <v>3</v>
      </c>
      <c r="E3160">
        <v>100</v>
      </c>
      <c r="F3160" t="s">
        <v>1</v>
      </c>
      <c r="G3160" s="6">
        <v>45845</v>
      </c>
      <c r="H3160">
        <v>38</v>
      </c>
      <c r="I3160">
        <f>ROUND(CompilDonnées[[#This Row],[CultureDuration_days]]/7,0)</f>
        <v>5</v>
      </c>
      <c r="J3160">
        <v>3136</v>
      </c>
      <c r="K3160" t="str">
        <f>_xlfn.CONCAT(WEEKNUM(CompilDonnées[[#This Row],[PlantationDate]]), " ", YEAR(CompilDonnées[[#This Row],[PlantationDate]]))</f>
        <v>22 2025</v>
      </c>
      <c r="L3160" t="str">
        <f>CONCATENATE(MONTH(CompilDonnées[[#This Row],[PlantationDate]])," ", YEAR(CompilDonnées[[#This Row],[PlantationDate]]))</f>
        <v>5 2025</v>
      </c>
      <c r="M3160" t="str">
        <f>CONCATENATE(MONTH(CompilDonnées[[#This Row],[HarvestingDate]])," ", YEAR(CompilDonnées[[#This Row],[HarvestingDate]]))</f>
        <v>7 2025</v>
      </c>
      <c r="N3160">
        <f>_xlfn.NUMBERVALUE(CompilDonnées[[#This Row],[FarmID]]&amp;CompilDonnées[[#This Row],[ModuleNumber]]&amp;CompilDonnées[[#This Row],[PlantationDate]])</f>
        <v>18345807</v>
      </c>
      <c r="O3160" t="str">
        <f>CompilDonnées[[#This Row],[FarmID]]&amp;CompilDonnées[[#This Row],[ModuleNumber]]</f>
        <v>183</v>
      </c>
      <c r="P3160" t="str">
        <f>CompilDonnées[[#This Row],[Ref_Module]]&amp;CompilDonnées[[#This Row],[HarvestingDate]]</f>
        <v>18345845</v>
      </c>
    </row>
    <row r="3161" spans="1:16">
      <c r="A3161" s="5">
        <v>45807</v>
      </c>
      <c r="B3161">
        <v>17</v>
      </c>
      <c r="C3161" t="s">
        <v>80</v>
      </c>
      <c r="D3161">
        <v>3</v>
      </c>
      <c r="E3161">
        <v>100</v>
      </c>
      <c r="F3161" t="s">
        <v>1</v>
      </c>
      <c r="G3161" s="6">
        <v>45845</v>
      </c>
      <c r="H3161">
        <v>38</v>
      </c>
      <c r="I3161">
        <f>ROUND(CompilDonnées[[#This Row],[CultureDuration_days]]/7,0)</f>
        <v>5</v>
      </c>
      <c r="J3161">
        <v>3495</v>
      </c>
      <c r="K3161" t="str">
        <f>_xlfn.CONCAT(WEEKNUM(CompilDonnées[[#This Row],[PlantationDate]]), " ", YEAR(CompilDonnées[[#This Row],[PlantationDate]]))</f>
        <v>22 2025</v>
      </c>
      <c r="L3161" t="str">
        <f>CONCATENATE(MONTH(CompilDonnées[[#This Row],[PlantationDate]])," ", YEAR(CompilDonnées[[#This Row],[PlantationDate]]))</f>
        <v>5 2025</v>
      </c>
      <c r="M3161" t="str">
        <f>CONCATENATE(MONTH(CompilDonnées[[#This Row],[HarvestingDate]])," ", YEAR(CompilDonnées[[#This Row],[HarvestingDate]]))</f>
        <v>7 2025</v>
      </c>
      <c r="N3161">
        <f>_xlfn.NUMBERVALUE(CompilDonnées[[#This Row],[FarmID]]&amp;CompilDonnées[[#This Row],[ModuleNumber]]&amp;CompilDonnées[[#This Row],[PlantationDate]])</f>
        <v>17345807</v>
      </c>
      <c r="O3161" t="str">
        <f>CompilDonnées[[#This Row],[FarmID]]&amp;CompilDonnées[[#This Row],[ModuleNumber]]</f>
        <v>173</v>
      </c>
      <c r="P3161" t="str">
        <f>CompilDonnées[[#This Row],[Ref_Module]]&amp;CompilDonnées[[#This Row],[HarvestingDate]]</f>
        <v>17345845</v>
      </c>
    </row>
    <row r="3162" spans="1:16">
      <c r="A3162" s="5">
        <v>45807</v>
      </c>
      <c r="B3162">
        <v>24</v>
      </c>
      <c r="C3162" t="s">
        <v>31</v>
      </c>
      <c r="D3162">
        <v>4</v>
      </c>
      <c r="E3162">
        <v>100</v>
      </c>
      <c r="F3162" t="s">
        <v>1</v>
      </c>
      <c r="G3162" s="6">
        <v>45845</v>
      </c>
      <c r="H3162">
        <v>38</v>
      </c>
      <c r="I3162">
        <f>ROUND(CompilDonnées[[#This Row],[CultureDuration_days]]/7,0)</f>
        <v>5</v>
      </c>
      <c r="J3162">
        <v>4166</v>
      </c>
      <c r="K3162" t="str">
        <f>_xlfn.CONCAT(WEEKNUM(CompilDonnées[[#This Row],[PlantationDate]]), " ", YEAR(CompilDonnées[[#This Row],[PlantationDate]]))</f>
        <v>22 2025</v>
      </c>
      <c r="L3162" t="str">
        <f>CONCATENATE(MONTH(CompilDonnées[[#This Row],[PlantationDate]])," ", YEAR(CompilDonnées[[#This Row],[PlantationDate]]))</f>
        <v>5 2025</v>
      </c>
      <c r="M3162" t="str">
        <f>CONCATENATE(MONTH(CompilDonnées[[#This Row],[HarvestingDate]])," ", YEAR(CompilDonnées[[#This Row],[HarvestingDate]]))</f>
        <v>7 2025</v>
      </c>
      <c r="N3162">
        <f>_xlfn.NUMBERVALUE(CompilDonnées[[#This Row],[FarmID]]&amp;CompilDonnées[[#This Row],[ModuleNumber]]&amp;CompilDonnées[[#This Row],[PlantationDate]])</f>
        <v>24445807</v>
      </c>
      <c r="O3162" t="str">
        <f>CompilDonnées[[#This Row],[FarmID]]&amp;CompilDonnées[[#This Row],[ModuleNumber]]</f>
        <v>244</v>
      </c>
      <c r="P3162" t="str">
        <f>CompilDonnées[[#This Row],[Ref_Module]]&amp;CompilDonnées[[#This Row],[HarvestingDate]]</f>
        <v>24445845</v>
      </c>
    </row>
    <row r="3163" spans="1:16">
      <c r="A3163" s="5">
        <v>45807</v>
      </c>
      <c r="B3163">
        <v>23</v>
      </c>
      <c r="C3163" t="s">
        <v>44</v>
      </c>
      <c r="D3163">
        <v>4</v>
      </c>
      <c r="E3163">
        <v>100</v>
      </c>
      <c r="F3163" t="s">
        <v>1</v>
      </c>
      <c r="G3163" s="6">
        <v>45845</v>
      </c>
      <c r="H3163">
        <v>38</v>
      </c>
      <c r="I3163">
        <f>ROUND(CompilDonnées[[#This Row],[CultureDuration_days]]/7,0)</f>
        <v>5</v>
      </c>
      <c r="J3163">
        <v>3464</v>
      </c>
      <c r="K3163" t="str">
        <f>_xlfn.CONCAT(WEEKNUM(CompilDonnées[[#This Row],[PlantationDate]]), " ", YEAR(CompilDonnées[[#This Row],[PlantationDate]]))</f>
        <v>22 2025</v>
      </c>
      <c r="L3163" t="str">
        <f>CONCATENATE(MONTH(CompilDonnées[[#This Row],[PlantationDate]])," ", YEAR(CompilDonnées[[#This Row],[PlantationDate]]))</f>
        <v>5 2025</v>
      </c>
      <c r="M3163" t="str">
        <f>CONCATENATE(MONTH(CompilDonnées[[#This Row],[HarvestingDate]])," ", YEAR(CompilDonnées[[#This Row],[HarvestingDate]]))</f>
        <v>7 2025</v>
      </c>
      <c r="N3163">
        <f>_xlfn.NUMBERVALUE(CompilDonnées[[#This Row],[FarmID]]&amp;CompilDonnées[[#This Row],[ModuleNumber]]&amp;CompilDonnées[[#This Row],[PlantationDate]])</f>
        <v>23445807</v>
      </c>
      <c r="O3163" t="str">
        <f>CompilDonnées[[#This Row],[FarmID]]&amp;CompilDonnées[[#This Row],[ModuleNumber]]</f>
        <v>234</v>
      </c>
      <c r="P3163" t="str">
        <f>CompilDonnées[[#This Row],[Ref_Module]]&amp;CompilDonnées[[#This Row],[HarvestingDate]]</f>
        <v>23445845</v>
      </c>
    </row>
    <row r="3164" spans="1:16">
      <c r="A3164" s="5">
        <v>45807</v>
      </c>
      <c r="B3164">
        <v>21</v>
      </c>
      <c r="C3164" t="s">
        <v>0</v>
      </c>
      <c r="D3164">
        <v>2</v>
      </c>
      <c r="E3164">
        <v>100</v>
      </c>
      <c r="F3164" t="s">
        <v>1</v>
      </c>
      <c r="G3164" s="6">
        <v>45855</v>
      </c>
      <c r="H3164">
        <v>48</v>
      </c>
      <c r="I3164">
        <f>ROUND(CompilDonnées[[#This Row],[CultureDuration_days]]/7,0)</f>
        <v>7</v>
      </c>
      <c r="J3164">
        <v>2836</v>
      </c>
      <c r="K3164" t="str">
        <f>_xlfn.CONCAT(WEEKNUM(CompilDonnées[[#This Row],[PlantationDate]]), " ", YEAR(CompilDonnées[[#This Row],[PlantationDate]]))</f>
        <v>22 2025</v>
      </c>
      <c r="L3164" t="str">
        <f>CONCATENATE(MONTH(CompilDonnées[[#This Row],[PlantationDate]])," ", YEAR(CompilDonnées[[#This Row],[PlantationDate]]))</f>
        <v>5 2025</v>
      </c>
      <c r="M3164" t="str">
        <f>CONCATENATE(MONTH(CompilDonnées[[#This Row],[HarvestingDate]])," ", YEAR(CompilDonnées[[#This Row],[HarvestingDate]]))</f>
        <v>7 2025</v>
      </c>
      <c r="N3164">
        <f>_xlfn.NUMBERVALUE(CompilDonnées[[#This Row],[FarmID]]&amp;CompilDonnées[[#This Row],[ModuleNumber]]&amp;CompilDonnées[[#This Row],[PlantationDate]])</f>
        <v>21245807</v>
      </c>
      <c r="O3164" t="str">
        <f>CompilDonnées[[#This Row],[FarmID]]&amp;CompilDonnées[[#This Row],[ModuleNumber]]</f>
        <v>212</v>
      </c>
      <c r="P3164" t="str">
        <f>CompilDonnées[[#This Row],[Ref_Module]]&amp;CompilDonnées[[#This Row],[HarvestingDate]]</f>
        <v>21245855</v>
      </c>
    </row>
    <row r="3165" spans="1:16">
      <c r="A3165" s="5">
        <v>45807</v>
      </c>
      <c r="B3165">
        <v>29</v>
      </c>
      <c r="C3165" t="s">
        <v>2</v>
      </c>
      <c r="D3165">
        <v>5</v>
      </c>
      <c r="E3165">
        <v>100</v>
      </c>
      <c r="F3165" t="s">
        <v>1</v>
      </c>
      <c r="G3165" s="6">
        <v>45827</v>
      </c>
      <c r="H3165">
        <v>20</v>
      </c>
      <c r="I3165">
        <f>ROUND(CompilDonnées[[#This Row],[CultureDuration_days]]/7,0)</f>
        <v>3</v>
      </c>
      <c r="J3165">
        <v>0</v>
      </c>
      <c r="K3165" t="str">
        <f>_xlfn.CONCAT(WEEKNUM(CompilDonnées[[#This Row],[PlantationDate]]), " ", YEAR(CompilDonnées[[#This Row],[PlantationDate]]))</f>
        <v>22 2025</v>
      </c>
      <c r="L3165" t="str">
        <f>CONCATENATE(MONTH(CompilDonnées[[#This Row],[PlantationDate]])," ", YEAR(CompilDonnées[[#This Row],[PlantationDate]]))</f>
        <v>5 2025</v>
      </c>
      <c r="M3165" t="str">
        <f>CONCATENATE(MONTH(CompilDonnées[[#This Row],[HarvestingDate]])," ", YEAR(CompilDonnées[[#This Row],[HarvestingDate]]))</f>
        <v>6 2025</v>
      </c>
      <c r="N3165">
        <f>_xlfn.NUMBERVALUE(CompilDonnées[[#This Row],[FarmID]]&amp;CompilDonnées[[#This Row],[ModuleNumber]]&amp;CompilDonnées[[#This Row],[PlantationDate]])</f>
        <v>29545807</v>
      </c>
      <c r="O3165" t="str">
        <f>CompilDonnées[[#This Row],[FarmID]]&amp;CompilDonnées[[#This Row],[ModuleNumber]]</f>
        <v>295</v>
      </c>
      <c r="P3165" t="str">
        <f>CompilDonnées[[#This Row],[Ref_Module]]&amp;CompilDonnées[[#This Row],[HarvestingDate]]</f>
        <v>29545827</v>
      </c>
    </row>
    <row r="3166" spans="1:16">
      <c r="A3166" s="5">
        <v>45807</v>
      </c>
      <c r="B3166">
        <v>38</v>
      </c>
      <c r="C3166" t="s">
        <v>34</v>
      </c>
      <c r="D3166">
        <v>3</v>
      </c>
      <c r="E3166">
        <v>100</v>
      </c>
      <c r="F3166" t="s">
        <v>1</v>
      </c>
      <c r="G3166" s="6">
        <v>45846</v>
      </c>
      <c r="H3166">
        <v>39</v>
      </c>
      <c r="I3166">
        <f>ROUND(CompilDonnées[[#This Row],[CultureDuration_days]]/7,0)</f>
        <v>6</v>
      </c>
      <c r="J3166">
        <v>3006</v>
      </c>
      <c r="K3166" t="str">
        <f>_xlfn.CONCAT(WEEKNUM(CompilDonnées[[#This Row],[PlantationDate]]), " ", YEAR(CompilDonnées[[#This Row],[PlantationDate]]))</f>
        <v>22 2025</v>
      </c>
      <c r="L3166" t="str">
        <f>CONCATENATE(MONTH(CompilDonnées[[#This Row],[PlantationDate]])," ", YEAR(CompilDonnées[[#This Row],[PlantationDate]]))</f>
        <v>5 2025</v>
      </c>
      <c r="M3166" t="str">
        <f>CONCATENATE(MONTH(CompilDonnées[[#This Row],[HarvestingDate]])," ", YEAR(CompilDonnées[[#This Row],[HarvestingDate]]))</f>
        <v>7 2025</v>
      </c>
      <c r="N3166">
        <f>_xlfn.NUMBERVALUE(CompilDonnées[[#This Row],[FarmID]]&amp;CompilDonnées[[#This Row],[ModuleNumber]]&amp;CompilDonnées[[#This Row],[PlantationDate]])</f>
        <v>38345807</v>
      </c>
      <c r="O3166" t="str">
        <f>CompilDonnées[[#This Row],[FarmID]]&amp;CompilDonnées[[#This Row],[ModuleNumber]]</f>
        <v>383</v>
      </c>
      <c r="P3166" t="str">
        <f>CompilDonnées[[#This Row],[Ref_Module]]&amp;CompilDonnées[[#This Row],[HarvestingDate]]</f>
        <v>38345846</v>
      </c>
    </row>
    <row r="3167" spans="1:16">
      <c r="A3167" s="5">
        <v>45807</v>
      </c>
      <c r="B3167">
        <v>37</v>
      </c>
      <c r="C3167" t="s">
        <v>26</v>
      </c>
      <c r="D3167">
        <v>5</v>
      </c>
      <c r="E3167">
        <v>100</v>
      </c>
      <c r="F3167" t="s">
        <v>1</v>
      </c>
      <c r="G3167" s="6">
        <v>45846</v>
      </c>
      <c r="H3167">
        <v>39</v>
      </c>
      <c r="I3167">
        <f>ROUND(CompilDonnées[[#This Row],[CultureDuration_days]]/7,0)</f>
        <v>6</v>
      </c>
      <c r="J3167">
        <v>3090</v>
      </c>
      <c r="K3167" t="str">
        <f>_xlfn.CONCAT(WEEKNUM(CompilDonnées[[#This Row],[PlantationDate]]), " ", YEAR(CompilDonnées[[#This Row],[PlantationDate]]))</f>
        <v>22 2025</v>
      </c>
      <c r="L3167" t="str">
        <f>CONCATENATE(MONTH(CompilDonnées[[#This Row],[PlantationDate]])," ", YEAR(CompilDonnées[[#This Row],[PlantationDate]]))</f>
        <v>5 2025</v>
      </c>
      <c r="M3167" t="str">
        <f>CONCATENATE(MONTH(CompilDonnées[[#This Row],[HarvestingDate]])," ", YEAR(CompilDonnées[[#This Row],[HarvestingDate]]))</f>
        <v>7 2025</v>
      </c>
      <c r="N3167">
        <f>_xlfn.NUMBERVALUE(CompilDonnées[[#This Row],[FarmID]]&amp;CompilDonnées[[#This Row],[ModuleNumber]]&amp;CompilDonnées[[#This Row],[PlantationDate]])</f>
        <v>37545807</v>
      </c>
      <c r="O3167" t="str">
        <f>CompilDonnées[[#This Row],[FarmID]]&amp;CompilDonnées[[#This Row],[ModuleNumber]]</f>
        <v>375</v>
      </c>
      <c r="P3167" t="str">
        <f>CompilDonnées[[#This Row],[Ref_Module]]&amp;CompilDonnées[[#This Row],[HarvestingDate]]</f>
        <v>37545846</v>
      </c>
    </row>
    <row r="3168" spans="1:16">
      <c r="A3168" s="5">
        <v>45807</v>
      </c>
      <c r="B3168">
        <v>36</v>
      </c>
      <c r="C3168" t="s">
        <v>63</v>
      </c>
      <c r="D3168">
        <v>5</v>
      </c>
      <c r="E3168">
        <v>100</v>
      </c>
      <c r="F3168" t="s">
        <v>1</v>
      </c>
      <c r="G3168" s="6">
        <v>45845</v>
      </c>
      <c r="H3168">
        <v>38</v>
      </c>
      <c r="I3168">
        <f>ROUND(CompilDonnées[[#This Row],[CultureDuration_days]]/7,0)</f>
        <v>5</v>
      </c>
      <c r="J3168">
        <v>2888</v>
      </c>
      <c r="K3168" t="str">
        <f>_xlfn.CONCAT(WEEKNUM(CompilDonnées[[#This Row],[PlantationDate]]), " ", YEAR(CompilDonnées[[#This Row],[PlantationDate]]))</f>
        <v>22 2025</v>
      </c>
      <c r="L3168" t="str">
        <f>CONCATENATE(MONTH(CompilDonnées[[#This Row],[PlantationDate]])," ", YEAR(CompilDonnées[[#This Row],[PlantationDate]]))</f>
        <v>5 2025</v>
      </c>
      <c r="M3168" t="str">
        <f>CONCATENATE(MONTH(CompilDonnées[[#This Row],[HarvestingDate]])," ", YEAR(CompilDonnées[[#This Row],[HarvestingDate]]))</f>
        <v>7 2025</v>
      </c>
      <c r="N3168">
        <f>_xlfn.NUMBERVALUE(CompilDonnées[[#This Row],[FarmID]]&amp;CompilDonnées[[#This Row],[ModuleNumber]]&amp;CompilDonnées[[#This Row],[PlantationDate]])</f>
        <v>36545807</v>
      </c>
      <c r="O3168" t="str">
        <f>CompilDonnées[[#This Row],[FarmID]]&amp;CompilDonnées[[#This Row],[ModuleNumber]]</f>
        <v>365</v>
      </c>
      <c r="P3168" t="str">
        <f>CompilDonnées[[#This Row],[Ref_Module]]&amp;CompilDonnées[[#This Row],[HarvestingDate]]</f>
        <v>36545845</v>
      </c>
    </row>
    <row r="3169" spans="1:16">
      <c r="A3169" s="5">
        <v>45807</v>
      </c>
      <c r="B3169">
        <v>35</v>
      </c>
      <c r="C3169" t="s">
        <v>69</v>
      </c>
      <c r="D3169">
        <v>5</v>
      </c>
      <c r="E3169">
        <v>100</v>
      </c>
      <c r="F3169" t="s">
        <v>1</v>
      </c>
      <c r="G3169" s="6">
        <v>45846</v>
      </c>
      <c r="H3169">
        <v>39</v>
      </c>
      <c r="I3169">
        <f>ROUND(CompilDonnées[[#This Row],[CultureDuration_days]]/7,0)</f>
        <v>6</v>
      </c>
      <c r="J3169">
        <v>3260</v>
      </c>
      <c r="K3169" t="str">
        <f>_xlfn.CONCAT(WEEKNUM(CompilDonnées[[#This Row],[PlantationDate]]), " ", YEAR(CompilDonnées[[#This Row],[PlantationDate]]))</f>
        <v>22 2025</v>
      </c>
      <c r="L3169" t="str">
        <f>CONCATENATE(MONTH(CompilDonnées[[#This Row],[PlantationDate]])," ", YEAR(CompilDonnées[[#This Row],[PlantationDate]]))</f>
        <v>5 2025</v>
      </c>
      <c r="M3169" t="str">
        <f>CONCATENATE(MONTH(CompilDonnées[[#This Row],[HarvestingDate]])," ", YEAR(CompilDonnées[[#This Row],[HarvestingDate]]))</f>
        <v>7 2025</v>
      </c>
      <c r="N3169">
        <f>_xlfn.NUMBERVALUE(CompilDonnées[[#This Row],[FarmID]]&amp;CompilDonnées[[#This Row],[ModuleNumber]]&amp;CompilDonnées[[#This Row],[PlantationDate]])</f>
        <v>35545807</v>
      </c>
      <c r="O3169" t="str">
        <f>CompilDonnées[[#This Row],[FarmID]]&amp;CompilDonnées[[#This Row],[ModuleNumber]]</f>
        <v>355</v>
      </c>
      <c r="P3169" t="str">
        <f>CompilDonnées[[#This Row],[Ref_Module]]&amp;CompilDonnées[[#This Row],[HarvestingDate]]</f>
        <v>35545846</v>
      </c>
    </row>
    <row r="3170" spans="1:16">
      <c r="A3170" s="5">
        <v>45807</v>
      </c>
      <c r="B3170">
        <v>45</v>
      </c>
      <c r="C3170" t="s">
        <v>77</v>
      </c>
      <c r="D3170">
        <v>2</v>
      </c>
      <c r="E3170">
        <v>100</v>
      </c>
      <c r="F3170" t="s">
        <v>1</v>
      </c>
      <c r="G3170" s="6">
        <v>45846</v>
      </c>
      <c r="H3170">
        <v>39</v>
      </c>
      <c r="I3170">
        <f>ROUND(CompilDonnées[[#This Row],[CultureDuration_days]]/7,0)</f>
        <v>6</v>
      </c>
      <c r="J3170">
        <v>2954</v>
      </c>
      <c r="K3170" t="str">
        <f>_xlfn.CONCAT(WEEKNUM(CompilDonnées[[#This Row],[PlantationDate]]), " ", YEAR(CompilDonnées[[#This Row],[PlantationDate]]))</f>
        <v>22 2025</v>
      </c>
      <c r="L3170" t="str">
        <f>CONCATENATE(MONTH(CompilDonnées[[#This Row],[PlantationDate]])," ", YEAR(CompilDonnées[[#This Row],[PlantationDate]]))</f>
        <v>5 2025</v>
      </c>
      <c r="M3170" t="str">
        <f>CONCATENATE(MONTH(CompilDonnées[[#This Row],[HarvestingDate]])," ", YEAR(CompilDonnées[[#This Row],[HarvestingDate]]))</f>
        <v>7 2025</v>
      </c>
      <c r="N3170">
        <f>_xlfn.NUMBERVALUE(CompilDonnées[[#This Row],[FarmID]]&amp;CompilDonnées[[#This Row],[ModuleNumber]]&amp;CompilDonnées[[#This Row],[PlantationDate]])</f>
        <v>45245807</v>
      </c>
      <c r="O3170" t="str">
        <f>CompilDonnées[[#This Row],[FarmID]]&amp;CompilDonnées[[#This Row],[ModuleNumber]]</f>
        <v>452</v>
      </c>
      <c r="P3170" t="str">
        <f>CompilDonnées[[#This Row],[Ref_Module]]&amp;CompilDonnées[[#This Row],[HarvestingDate]]</f>
        <v>45245846</v>
      </c>
    </row>
    <row r="3171" spans="1:16">
      <c r="A3171" s="5">
        <v>45807</v>
      </c>
      <c r="B3171">
        <v>41</v>
      </c>
      <c r="C3171" t="s">
        <v>70</v>
      </c>
      <c r="D3171">
        <v>4</v>
      </c>
      <c r="E3171">
        <v>100</v>
      </c>
      <c r="F3171" t="s">
        <v>1</v>
      </c>
      <c r="G3171" s="6">
        <v>45855</v>
      </c>
      <c r="H3171">
        <v>48</v>
      </c>
      <c r="I3171">
        <f>ROUND(CompilDonnées[[#This Row],[CultureDuration_days]]/7,0)</f>
        <v>7</v>
      </c>
      <c r="J3171">
        <v>2624</v>
      </c>
      <c r="K3171" t="str">
        <f>_xlfn.CONCAT(WEEKNUM(CompilDonnées[[#This Row],[PlantationDate]]), " ", YEAR(CompilDonnées[[#This Row],[PlantationDate]]))</f>
        <v>22 2025</v>
      </c>
      <c r="L3171" t="str">
        <f>CONCATENATE(MONTH(CompilDonnées[[#This Row],[PlantationDate]])," ", YEAR(CompilDonnées[[#This Row],[PlantationDate]]))</f>
        <v>5 2025</v>
      </c>
      <c r="M3171" t="str">
        <f>CONCATENATE(MONTH(CompilDonnées[[#This Row],[HarvestingDate]])," ", YEAR(CompilDonnées[[#This Row],[HarvestingDate]]))</f>
        <v>7 2025</v>
      </c>
      <c r="N3171">
        <f>_xlfn.NUMBERVALUE(CompilDonnées[[#This Row],[FarmID]]&amp;CompilDonnées[[#This Row],[ModuleNumber]]&amp;CompilDonnées[[#This Row],[PlantationDate]])</f>
        <v>41445807</v>
      </c>
      <c r="O3171" t="str">
        <f>CompilDonnées[[#This Row],[FarmID]]&amp;CompilDonnées[[#This Row],[ModuleNumber]]</f>
        <v>414</v>
      </c>
      <c r="P3171" t="str">
        <f>CompilDonnées[[#This Row],[Ref_Module]]&amp;CompilDonnées[[#This Row],[HarvestingDate]]</f>
        <v>41445855</v>
      </c>
    </row>
    <row r="3172" spans="1:16">
      <c r="A3172" s="5">
        <v>45807</v>
      </c>
      <c r="B3172">
        <v>70</v>
      </c>
      <c r="C3172" t="s">
        <v>7</v>
      </c>
      <c r="D3172">
        <v>4</v>
      </c>
      <c r="E3172">
        <v>100</v>
      </c>
      <c r="F3172" t="s">
        <v>1</v>
      </c>
      <c r="G3172" s="6">
        <v>45854</v>
      </c>
      <c r="H3172">
        <v>47</v>
      </c>
      <c r="I3172">
        <f>ROUND(CompilDonnées[[#This Row],[CultureDuration_days]]/7,0)</f>
        <v>7</v>
      </c>
      <c r="J3172">
        <v>2056</v>
      </c>
      <c r="K3172" t="str">
        <f>_xlfn.CONCAT(WEEKNUM(CompilDonnées[[#This Row],[PlantationDate]]), " ", YEAR(CompilDonnées[[#This Row],[PlantationDate]]))</f>
        <v>22 2025</v>
      </c>
      <c r="L3172" t="str">
        <f>CONCATENATE(MONTH(CompilDonnées[[#This Row],[PlantationDate]])," ", YEAR(CompilDonnées[[#This Row],[PlantationDate]]))</f>
        <v>5 2025</v>
      </c>
      <c r="M3172" t="str">
        <f>CONCATENATE(MONTH(CompilDonnées[[#This Row],[HarvestingDate]])," ", YEAR(CompilDonnées[[#This Row],[HarvestingDate]]))</f>
        <v>7 2025</v>
      </c>
      <c r="N3172">
        <f>_xlfn.NUMBERVALUE(CompilDonnées[[#This Row],[FarmID]]&amp;CompilDonnées[[#This Row],[ModuleNumber]]&amp;CompilDonnées[[#This Row],[PlantationDate]])</f>
        <v>70445807</v>
      </c>
      <c r="O3172" t="str">
        <f>CompilDonnées[[#This Row],[FarmID]]&amp;CompilDonnées[[#This Row],[ModuleNumber]]</f>
        <v>704</v>
      </c>
      <c r="P3172" t="str">
        <f>CompilDonnées[[#This Row],[Ref_Module]]&amp;CompilDonnées[[#This Row],[HarvestingDate]]</f>
        <v>70445854</v>
      </c>
    </row>
    <row r="3173" spans="1:16">
      <c r="A3173" s="5">
        <v>45807</v>
      </c>
      <c r="B3173">
        <v>63</v>
      </c>
      <c r="C3173" t="s">
        <v>98</v>
      </c>
      <c r="D3173">
        <v>6</v>
      </c>
      <c r="E3173">
        <v>100</v>
      </c>
      <c r="F3173" t="s">
        <v>1</v>
      </c>
      <c r="G3173" s="6">
        <v>45846</v>
      </c>
      <c r="H3173">
        <v>39</v>
      </c>
      <c r="I3173">
        <f>ROUND(CompilDonnées[[#This Row],[CultureDuration_days]]/7,0)</f>
        <v>6</v>
      </c>
      <c r="J3173">
        <v>1932</v>
      </c>
      <c r="K3173" t="str">
        <f>_xlfn.CONCAT(WEEKNUM(CompilDonnées[[#This Row],[PlantationDate]]), " ", YEAR(CompilDonnées[[#This Row],[PlantationDate]]))</f>
        <v>22 2025</v>
      </c>
      <c r="L3173" t="str">
        <f>CONCATENATE(MONTH(CompilDonnées[[#This Row],[PlantationDate]])," ", YEAR(CompilDonnées[[#This Row],[PlantationDate]]))</f>
        <v>5 2025</v>
      </c>
      <c r="M3173" t="str">
        <f>CONCATENATE(MONTH(CompilDonnées[[#This Row],[HarvestingDate]])," ", YEAR(CompilDonnées[[#This Row],[HarvestingDate]]))</f>
        <v>7 2025</v>
      </c>
      <c r="N3173">
        <f>_xlfn.NUMBERVALUE(CompilDonnées[[#This Row],[FarmID]]&amp;CompilDonnées[[#This Row],[ModuleNumber]]&amp;CompilDonnées[[#This Row],[PlantationDate]])</f>
        <v>63645807</v>
      </c>
      <c r="O3173" t="str">
        <f>CompilDonnées[[#This Row],[FarmID]]&amp;CompilDonnées[[#This Row],[ModuleNumber]]</f>
        <v>636</v>
      </c>
      <c r="P3173" t="str">
        <f>CompilDonnées[[#This Row],[Ref_Module]]&amp;CompilDonnées[[#This Row],[HarvestingDate]]</f>
        <v>63645846</v>
      </c>
    </row>
    <row r="3174" spans="1:16">
      <c r="A3174" s="5">
        <v>45807</v>
      </c>
      <c r="B3174">
        <v>61</v>
      </c>
      <c r="C3174" t="s">
        <v>95</v>
      </c>
      <c r="D3174">
        <v>6</v>
      </c>
      <c r="E3174">
        <v>100</v>
      </c>
      <c r="F3174" t="s">
        <v>1</v>
      </c>
      <c r="G3174" s="6">
        <v>45853</v>
      </c>
      <c r="H3174">
        <v>46</v>
      </c>
      <c r="I3174">
        <f>ROUND(CompilDonnées[[#This Row],[CultureDuration_days]]/7,0)</f>
        <v>7</v>
      </c>
      <c r="J3174">
        <v>1638</v>
      </c>
      <c r="K3174" t="str">
        <f>_xlfn.CONCAT(WEEKNUM(CompilDonnées[[#This Row],[PlantationDate]]), " ", YEAR(CompilDonnées[[#This Row],[PlantationDate]]))</f>
        <v>22 2025</v>
      </c>
      <c r="L3174" t="str">
        <f>CONCATENATE(MONTH(CompilDonnées[[#This Row],[PlantationDate]])," ", YEAR(CompilDonnées[[#This Row],[PlantationDate]]))</f>
        <v>5 2025</v>
      </c>
      <c r="M3174" t="str">
        <f>CONCATENATE(MONTH(CompilDonnées[[#This Row],[HarvestingDate]])," ", YEAR(CompilDonnées[[#This Row],[HarvestingDate]]))</f>
        <v>7 2025</v>
      </c>
      <c r="N3174">
        <f>_xlfn.NUMBERVALUE(CompilDonnées[[#This Row],[FarmID]]&amp;CompilDonnées[[#This Row],[ModuleNumber]]&amp;CompilDonnées[[#This Row],[PlantationDate]])</f>
        <v>61645807</v>
      </c>
      <c r="O3174" t="str">
        <f>CompilDonnées[[#This Row],[FarmID]]&amp;CompilDonnées[[#This Row],[ModuleNumber]]</f>
        <v>616</v>
      </c>
      <c r="P3174" t="str">
        <f>CompilDonnées[[#This Row],[Ref_Module]]&amp;CompilDonnées[[#This Row],[HarvestingDate]]</f>
        <v>61645853</v>
      </c>
    </row>
    <row r="3175" spans="1:16">
      <c r="A3175" s="5">
        <v>45807</v>
      </c>
      <c r="B3175">
        <v>60</v>
      </c>
      <c r="C3175" t="s">
        <v>113</v>
      </c>
      <c r="D3175">
        <v>2</v>
      </c>
      <c r="E3175">
        <v>100</v>
      </c>
      <c r="F3175" t="s">
        <v>1</v>
      </c>
      <c r="G3175" s="6">
        <v>45846</v>
      </c>
      <c r="H3175">
        <v>39</v>
      </c>
      <c r="I3175">
        <f>ROUND(CompilDonnées[[#This Row],[CultureDuration_days]]/7,0)</f>
        <v>6</v>
      </c>
      <c r="J3175">
        <v>2175</v>
      </c>
      <c r="K3175" t="str">
        <f>_xlfn.CONCAT(WEEKNUM(CompilDonnées[[#This Row],[PlantationDate]]), " ", YEAR(CompilDonnées[[#This Row],[PlantationDate]]))</f>
        <v>22 2025</v>
      </c>
      <c r="L3175" t="str">
        <f>CONCATENATE(MONTH(CompilDonnées[[#This Row],[PlantationDate]])," ", YEAR(CompilDonnées[[#This Row],[PlantationDate]]))</f>
        <v>5 2025</v>
      </c>
      <c r="M3175" t="str">
        <f>CONCATENATE(MONTH(CompilDonnées[[#This Row],[HarvestingDate]])," ", YEAR(CompilDonnées[[#This Row],[HarvestingDate]]))</f>
        <v>7 2025</v>
      </c>
      <c r="N3175">
        <f>_xlfn.NUMBERVALUE(CompilDonnées[[#This Row],[FarmID]]&amp;CompilDonnées[[#This Row],[ModuleNumber]]&amp;CompilDonnées[[#This Row],[PlantationDate]])</f>
        <v>60245807</v>
      </c>
      <c r="O3175" t="str">
        <f>CompilDonnées[[#This Row],[FarmID]]&amp;CompilDonnées[[#This Row],[ModuleNumber]]</f>
        <v>602</v>
      </c>
      <c r="P3175" t="str">
        <f>CompilDonnées[[#This Row],[Ref_Module]]&amp;CompilDonnées[[#This Row],[HarvestingDate]]</f>
        <v>60245846</v>
      </c>
    </row>
    <row r="3176" spans="1:16">
      <c r="A3176" s="5">
        <v>45807</v>
      </c>
      <c r="B3176">
        <v>47</v>
      </c>
      <c r="C3176" t="s">
        <v>12</v>
      </c>
      <c r="D3176">
        <v>6</v>
      </c>
      <c r="E3176">
        <v>100</v>
      </c>
      <c r="F3176" t="s">
        <v>1</v>
      </c>
      <c r="G3176" s="6">
        <v>45843</v>
      </c>
      <c r="H3176">
        <v>36</v>
      </c>
      <c r="I3176">
        <f>ROUND(CompilDonnées[[#This Row],[CultureDuration_days]]/7,0)</f>
        <v>5</v>
      </c>
      <c r="J3176">
        <v>1554</v>
      </c>
      <c r="K3176" t="str">
        <f>_xlfn.CONCAT(WEEKNUM(CompilDonnées[[#This Row],[PlantationDate]]), " ", YEAR(CompilDonnées[[#This Row],[PlantationDate]]))</f>
        <v>22 2025</v>
      </c>
      <c r="L3176" t="str">
        <f>CONCATENATE(MONTH(CompilDonnées[[#This Row],[PlantationDate]])," ", YEAR(CompilDonnées[[#This Row],[PlantationDate]]))</f>
        <v>5 2025</v>
      </c>
      <c r="M3176" t="str">
        <f>CONCATENATE(MONTH(CompilDonnées[[#This Row],[HarvestingDate]])," ", YEAR(CompilDonnées[[#This Row],[HarvestingDate]]))</f>
        <v>7 2025</v>
      </c>
      <c r="N3176">
        <f>_xlfn.NUMBERVALUE(CompilDonnées[[#This Row],[FarmID]]&amp;CompilDonnées[[#This Row],[ModuleNumber]]&amp;CompilDonnées[[#This Row],[PlantationDate]])</f>
        <v>47645807</v>
      </c>
      <c r="O3176" t="str">
        <f>CompilDonnées[[#This Row],[FarmID]]&amp;CompilDonnées[[#This Row],[ModuleNumber]]</f>
        <v>476</v>
      </c>
      <c r="P3176" t="str">
        <f>CompilDonnées[[#This Row],[Ref_Module]]&amp;CompilDonnées[[#This Row],[HarvestingDate]]</f>
        <v>47645843</v>
      </c>
    </row>
    <row r="3177" spans="1:16">
      <c r="A3177" s="5">
        <v>45807</v>
      </c>
      <c r="B3177">
        <v>46</v>
      </c>
      <c r="C3177" t="s">
        <v>8</v>
      </c>
      <c r="D3177">
        <v>5</v>
      </c>
      <c r="E3177">
        <v>100</v>
      </c>
      <c r="F3177" t="s">
        <v>1</v>
      </c>
      <c r="G3177" s="6">
        <v>45846</v>
      </c>
      <c r="H3177">
        <v>39</v>
      </c>
      <c r="I3177">
        <f>ROUND(CompilDonnées[[#This Row],[CultureDuration_days]]/7,0)</f>
        <v>6</v>
      </c>
      <c r="J3177">
        <v>2827</v>
      </c>
      <c r="K3177" t="str">
        <f>_xlfn.CONCAT(WEEKNUM(CompilDonnées[[#This Row],[PlantationDate]]), " ", YEAR(CompilDonnées[[#This Row],[PlantationDate]]))</f>
        <v>22 2025</v>
      </c>
      <c r="L3177" t="str">
        <f>CONCATENATE(MONTH(CompilDonnées[[#This Row],[PlantationDate]])," ", YEAR(CompilDonnées[[#This Row],[PlantationDate]]))</f>
        <v>5 2025</v>
      </c>
      <c r="M3177" t="str">
        <f>CONCATENATE(MONTH(CompilDonnées[[#This Row],[HarvestingDate]])," ", YEAR(CompilDonnées[[#This Row],[HarvestingDate]]))</f>
        <v>7 2025</v>
      </c>
      <c r="N3177">
        <f>_xlfn.NUMBERVALUE(CompilDonnées[[#This Row],[FarmID]]&amp;CompilDonnées[[#This Row],[ModuleNumber]]&amp;CompilDonnées[[#This Row],[PlantationDate]])</f>
        <v>46545807</v>
      </c>
      <c r="O3177" t="str">
        <f>CompilDonnées[[#This Row],[FarmID]]&amp;CompilDonnées[[#This Row],[ModuleNumber]]</f>
        <v>465</v>
      </c>
      <c r="P3177" t="str">
        <f>CompilDonnées[[#This Row],[Ref_Module]]&amp;CompilDonnées[[#This Row],[HarvestingDate]]</f>
        <v>46545846</v>
      </c>
    </row>
    <row r="3178" spans="1:16">
      <c r="A3178" s="5">
        <v>45807</v>
      </c>
      <c r="B3178">
        <v>28</v>
      </c>
      <c r="C3178" t="s">
        <v>122</v>
      </c>
      <c r="D3178">
        <v>1</v>
      </c>
      <c r="E3178">
        <v>100</v>
      </c>
      <c r="F3178" t="s">
        <v>1</v>
      </c>
      <c r="G3178" s="6">
        <v>45825</v>
      </c>
      <c r="H3178">
        <v>18</v>
      </c>
      <c r="I3178">
        <f>ROUND(CompilDonnées[[#This Row],[CultureDuration_days]]/7,0)</f>
        <v>3</v>
      </c>
      <c r="J3178">
        <v>0</v>
      </c>
      <c r="K3178" t="str">
        <f>_xlfn.CONCAT(WEEKNUM(CompilDonnées[[#This Row],[PlantationDate]]), " ", YEAR(CompilDonnées[[#This Row],[PlantationDate]]))</f>
        <v>22 2025</v>
      </c>
      <c r="L3178" t="str">
        <f>CONCATENATE(MONTH(CompilDonnées[[#This Row],[PlantationDate]])," ", YEAR(CompilDonnées[[#This Row],[PlantationDate]]))</f>
        <v>5 2025</v>
      </c>
      <c r="M3178" t="str">
        <f>CONCATENATE(MONTH(CompilDonnées[[#This Row],[HarvestingDate]])," ", YEAR(CompilDonnées[[#This Row],[HarvestingDate]]))</f>
        <v>6 2025</v>
      </c>
      <c r="N3178">
        <f>_xlfn.NUMBERVALUE(CompilDonnées[[#This Row],[FarmID]]&amp;CompilDonnées[[#This Row],[ModuleNumber]]&amp;CompilDonnées[[#This Row],[PlantationDate]])</f>
        <v>28145807</v>
      </c>
      <c r="O3178" t="str">
        <f>CompilDonnées[[#This Row],[FarmID]]&amp;CompilDonnées[[#This Row],[ModuleNumber]]</f>
        <v>281</v>
      </c>
      <c r="P3178" t="str">
        <f>CompilDonnées[[#This Row],[Ref_Module]]&amp;CompilDonnées[[#This Row],[HarvestingDate]]</f>
        <v>28145825</v>
      </c>
    </row>
    <row r="3179" spans="1:16">
      <c r="A3179" s="5">
        <v>45807</v>
      </c>
      <c r="B3179">
        <v>20</v>
      </c>
      <c r="C3179" t="s">
        <v>53</v>
      </c>
      <c r="D3179">
        <v>2</v>
      </c>
      <c r="E3179">
        <v>100</v>
      </c>
      <c r="F3179" t="s">
        <v>1</v>
      </c>
      <c r="G3179" s="6">
        <v>45845</v>
      </c>
      <c r="H3179">
        <v>38</v>
      </c>
      <c r="I3179">
        <f>ROUND(CompilDonnées[[#This Row],[CultureDuration_days]]/7,0)</f>
        <v>5</v>
      </c>
      <c r="J3179">
        <v>2414</v>
      </c>
      <c r="K3179" t="str">
        <f>_xlfn.CONCAT(WEEKNUM(CompilDonnées[[#This Row],[PlantationDate]]), " ", YEAR(CompilDonnées[[#This Row],[PlantationDate]]))</f>
        <v>22 2025</v>
      </c>
      <c r="L3179" t="str">
        <f>CONCATENATE(MONTH(CompilDonnées[[#This Row],[PlantationDate]])," ", YEAR(CompilDonnées[[#This Row],[PlantationDate]]))</f>
        <v>5 2025</v>
      </c>
      <c r="M3179" t="str">
        <f>CONCATENATE(MONTH(CompilDonnées[[#This Row],[HarvestingDate]])," ", YEAR(CompilDonnées[[#This Row],[HarvestingDate]]))</f>
        <v>7 2025</v>
      </c>
      <c r="N3179">
        <f>_xlfn.NUMBERVALUE(CompilDonnées[[#This Row],[FarmID]]&amp;CompilDonnées[[#This Row],[ModuleNumber]]&amp;CompilDonnées[[#This Row],[PlantationDate]])</f>
        <v>20245807</v>
      </c>
      <c r="O3179" t="str">
        <f>CompilDonnées[[#This Row],[FarmID]]&amp;CompilDonnées[[#This Row],[ModuleNumber]]</f>
        <v>202</v>
      </c>
      <c r="P3179" t="str">
        <f>CompilDonnées[[#This Row],[Ref_Module]]&amp;CompilDonnées[[#This Row],[HarvestingDate]]</f>
        <v>20245845</v>
      </c>
    </row>
    <row r="3180" spans="1:16">
      <c r="A3180" s="5">
        <v>45807</v>
      </c>
      <c r="B3180">
        <v>13</v>
      </c>
      <c r="C3180" t="s">
        <v>114</v>
      </c>
      <c r="D3180">
        <v>1</v>
      </c>
      <c r="E3180">
        <v>100</v>
      </c>
      <c r="F3180" t="s">
        <v>1</v>
      </c>
      <c r="G3180" s="6">
        <v>45845</v>
      </c>
      <c r="H3180">
        <v>38</v>
      </c>
      <c r="I3180">
        <f>ROUND(CompilDonnées[[#This Row],[CultureDuration_days]]/7,0)</f>
        <v>5</v>
      </c>
      <c r="J3180">
        <v>3028</v>
      </c>
      <c r="K3180" t="str">
        <f>_xlfn.CONCAT(WEEKNUM(CompilDonnées[[#This Row],[PlantationDate]]), " ", YEAR(CompilDonnées[[#This Row],[PlantationDate]]))</f>
        <v>22 2025</v>
      </c>
      <c r="L3180" t="str">
        <f>CONCATENATE(MONTH(CompilDonnées[[#This Row],[PlantationDate]])," ", YEAR(CompilDonnées[[#This Row],[PlantationDate]]))</f>
        <v>5 2025</v>
      </c>
      <c r="M3180" t="str">
        <f>CONCATENATE(MONTH(CompilDonnées[[#This Row],[HarvestingDate]])," ", YEAR(CompilDonnées[[#This Row],[HarvestingDate]]))</f>
        <v>7 2025</v>
      </c>
      <c r="N3180">
        <f>_xlfn.NUMBERVALUE(CompilDonnées[[#This Row],[FarmID]]&amp;CompilDonnées[[#This Row],[ModuleNumber]]&amp;CompilDonnées[[#This Row],[PlantationDate]])</f>
        <v>13145807</v>
      </c>
      <c r="O3180" t="str">
        <f>CompilDonnées[[#This Row],[FarmID]]&amp;CompilDonnées[[#This Row],[ModuleNumber]]</f>
        <v>131</v>
      </c>
      <c r="P3180" t="str">
        <f>CompilDonnées[[#This Row],[Ref_Module]]&amp;CompilDonnées[[#This Row],[HarvestingDate]]</f>
        <v>13145845</v>
      </c>
    </row>
    <row r="3181" spans="1:16">
      <c r="A3181" s="5">
        <v>45807</v>
      </c>
      <c r="B3181">
        <v>10</v>
      </c>
      <c r="C3181" t="s">
        <v>109</v>
      </c>
      <c r="D3181">
        <v>3</v>
      </c>
      <c r="E3181">
        <v>100</v>
      </c>
      <c r="F3181" t="s">
        <v>1</v>
      </c>
      <c r="G3181" s="6">
        <v>45845</v>
      </c>
      <c r="H3181">
        <v>38</v>
      </c>
      <c r="I3181">
        <f>ROUND(CompilDonnées[[#This Row],[CultureDuration_days]]/7,0)</f>
        <v>5</v>
      </c>
      <c r="J3181">
        <v>3309</v>
      </c>
      <c r="K3181" t="str">
        <f>_xlfn.CONCAT(WEEKNUM(CompilDonnées[[#This Row],[PlantationDate]]), " ", YEAR(CompilDonnées[[#This Row],[PlantationDate]]))</f>
        <v>22 2025</v>
      </c>
      <c r="L3181" t="str">
        <f>CONCATENATE(MONTH(CompilDonnées[[#This Row],[PlantationDate]])," ", YEAR(CompilDonnées[[#This Row],[PlantationDate]]))</f>
        <v>5 2025</v>
      </c>
      <c r="M3181" t="str">
        <f>CONCATENATE(MONTH(CompilDonnées[[#This Row],[HarvestingDate]])," ", YEAR(CompilDonnées[[#This Row],[HarvestingDate]]))</f>
        <v>7 2025</v>
      </c>
      <c r="N3181">
        <f>_xlfn.NUMBERVALUE(CompilDonnées[[#This Row],[FarmID]]&amp;CompilDonnées[[#This Row],[ModuleNumber]]&amp;CompilDonnées[[#This Row],[PlantationDate]])</f>
        <v>10345807</v>
      </c>
      <c r="O3181" t="str">
        <f>CompilDonnées[[#This Row],[FarmID]]&amp;CompilDonnées[[#This Row],[ModuleNumber]]</f>
        <v>103</v>
      </c>
      <c r="P3181" t="str">
        <f>CompilDonnées[[#This Row],[Ref_Module]]&amp;CompilDonnées[[#This Row],[HarvestingDate]]</f>
        <v>10345845</v>
      </c>
    </row>
    <row r="3182" spans="1:16">
      <c r="A3182" s="5">
        <v>45807</v>
      </c>
      <c r="B3182">
        <v>9</v>
      </c>
      <c r="C3182" t="s">
        <v>107</v>
      </c>
      <c r="D3182">
        <v>5</v>
      </c>
      <c r="E3182">
        <v>100</v>
      </c>
      <c r="F3182" t="s">
        <v>1</v>
      </c>
      <c r="G3182" s="6">
        <v>45845</v>
      </c>
      <c r="H3182">
        <v>38</v>
      </c>
      <c r="I3182">
        <f>ROUND(CompilDonnées[[#This Row],[CultureDuration_days]]/7,0)</f>
        <v>5</v>
      </c>
      <c r="J3182">
        <v>2402</v>
      </c>
      <c r="K3182" t="str">
        <f>_xlfn.CONCAT(WEEKNUM(CompilDonnées[[#This Row],[PlantationDate]]), " ", YEAR(CompilDonnées[[#This Row],[PlantationDate]]))</f>
        <v>22 2025</v>
      </c>
      <c r="L3182" t="str">
        <f>CONCATENATE(MONTH(CompilDonnées[[#This Row],[PlantationDate]])," ", YEAR(CompilDonnées[[#This Row],[PlantationDate]]))</f>
        <v>5 2025</v>
      </c>
      <c r="M3182" t="str">
        <f>CONCATENATE(MONTH(CompilDonnées[[#This Row],[HarvestingDate]])," ", YEAR(CompilDonnées[[#This Row],[HarvestingDate]]))</f>
        <v>7 2025</v>
      </c>
      <c r="N3182">
        <f>_xlfn.NUMBERVALUE(CompilDonnées[[#This Row],[FarmID]]&amp;CompilDonnées[[#This Row],[ModuleNumber]]&amp;CompilDonnées[[#This Row],[PlantationDate]])</f>
        <v>9545807</v>
      </c>
      <c r="O3182" t="str">
        <f>CompilDonnées[[#This Row],[FarmID]]&amp;CompilDonnées[[#This Row],[ModuleNumber]]</f>
        <v>95</v>
      </c>
      <c r="P3182" t="str">
        <f>CompilDonnées[[#This Row],[Ref_Module]]&amp;CompilDonnées[[#This Row],[HarvestingDate]]</f>
        <v>9545845</v>
      </c>
    </row>
    <row r="3183" spans="1:16">
      <c r="A3183" s="5">
        <v>45807</v>
      </c>
      <c r="B3183">
        <v>11</v>
      </c>
      <c r="C3183" t="s">
        <v>106</v>
      </c>
      <c r="D3183">
        <v>2</v>
      </c>
      <c r="E3183">
        <v>100</v>
      </c>
      <c r="F3183" t="s">
        <v>1</v>
      </c>
      <c r="G3183" s="6">
        <v>45855</v>
      </c>
      <c r="H3183">
        <v>48</v>
      </c>
      <c r="I3183">
        <f>ROUND(CompilDonnées[[#This Row],[CultureDuration_days]]/7,0)</f>
        <v>7</v>
      </c>
      <c r="J3183">
        <v>2141</v>
      </c>
      <c r="K3183" t="str">
        <f>_xlfn.CONCAT(WEEKNUM(CompilDonnées[[#This Row],[PlantationDate]]), " ", YEAR(CompilDonnées[[#This Row],[PlantationDate]]))</f>
        <v>22 2025</v>
      </c>
      <c r="L3183" t="str">
        <f>CONCATENATE(MONTH(CompilDonnées[[#This Row],[PlantationDate]])," ", YEAR(CompilDonnées[[#This Row],[PlantationDate]]))</f>
        <v>5 2025</v>
      </c>
      <c r="M3183" t="str">
        <f>CONCATENATE(MONTH(CompilDonnées[[#This Row],[HarvestingDate]])," ", YEAR(CompilDonnées[[#This Row],[HarvestingDate]]))</f>
        <v>7 2025</v>
      </c>
      <c r="N3183">
        <f>_xlfn.NUMBERVALUE(CompilDonnées[[#This Row],[FarmID]]&amp;CompilDonnées[[#This Row],[ModuleNumber]]&amp;CompilDonnées[[#This Row],[PlantationDate]])</f>
        <v>11245807</v>
      </c>
      <c r="O3183" t="str">
        <f>CompilDonnées[[#This Row],[FarmID]]&amp;CompilDonnées[[#This Row],[ModuleNumber]]</f>
        <v>112</v>
      </c>
      <c r="P3183" t="str">
        <f>CompilDonnées[[#This Row],[Ref_Module]]&amp;CompilDonnées[[#This Row],[HarvestingDate]]</f>
        <v>11245855</v>
      </c>
    </row>
    <row r="3184" spans="1:16">
      <c r="A3184" s="5">
        <v>45807</v>
      </c>
      <c r="B3184">
        <v>19</v>
      </c>
      <c r="C3184" t="s">
        <v>108</v>
      </c>
      <c r="D3184">
        <v>1</v>
      </c>
      <c r="E3184">
        <v>100</v>
      </c>
      <c r="F3184" t="s">
        <v>1</v>
      </c>
      <c r="G3184" s="6">
        <v>45845</v>
      </c>
      <c r="H3184">
        <v>38</v>
      </c>
      <c r="I3184">
        <f>ROUND(CompilDonnées[[#This Row],[CultureDuration_days]]/7,0)</f>
        <v>5</v>
      </c>
      <c r="J3184">
        <v>2468</v>
      </c>
      <c r="K3184" t="str">
        <f>_xlfn.CONCAT(WEEKNUM(CompilDonnées[[#This Row],[PlantationDate]]), " ", YEAR(CompilDonnées[[#This Row],[PlantationDate]]))</f>
        <v>22 2025</v>
      </c>
      <c r="L3184" t="str">
        <f>CONCATENATE(MONTH(CompilDonnées[[#This Row],[PlantationDate]])," ", YEAR(CompilDonnées[[#This Row],[PlantationDate]]))</f>
        <v>5 2025</v>
      </c>
      <c r="M3184" t="str">
        <f>CONCATENATE(MONTH(CompilDonnées[[#This Row],[HarvestingDate]])," ", YEAR(CompilDonnées[[#This Row],[HarvestingDate]]))</f>
        <v>7 2025</v>
      </c>
      <c r="N3184">
        <f>_xlfn.NUMBERVALUE(CompilDonnées[[#This Row],[FarmID]]&amp;CompilDonnées[[#This Row],[ModuleNumber]]&amp;CompilDonnées[[#This Row],[PlantationDate]])</f>
        <v>19145807</v>
      </c>
      <c r="O3184" t="str">
        <f>CompilDonnées[[#This Row],[FarmID]]&amp;CompilDonnées[[#This Row],[ModuleNumber]]</f>
        <v>191</v>
      </c>
      <c r="P3184" t="str">
        <f>CompilDonnées[[#This Row],[Ref_Module]]&amp;CompilDonnées[[#This Row],[HarvestingDate]]</f>
        <v>19145845</v>
      </c>
    </row>
    <row r="3185" spans="1:16">
      <c r="A3185" s="5">
        <v>45807</v>
      </c>
      <c r="B3185">
        <v>7</v>
      </c>
      <c r="C3185" t="s">
        <v>50</v>
      </c>
      <c r="D3185">
        <v>4</v>
      </c>
      <c r="E3185">
        <v>100</v>
      </c>
      <c r="F3185" t="s">
        <v>1</v>
      </c>
      <c r="G3185" s="6">
        <v>45855</v>
      </c>
      <c r="H3185">
        <v>48</v>
      </c>
      <c r="I3185">
        <f>ROUND(CompilDonnées[[#This Row],[CultureDuration_days]]/7,0)</f>
        <v>7</v>
      </c>
      <c r="J3185">
        <v>2595</v>
      </c>
      <c r="K3185" t="str">
        <f>_xlfn.CONCAT(WEEKNUM(CompilDonnées[[#This Row],[PlantationDate]]), " ", YEAR(CompilDonnées[[#This Row],[PlantationDate]]))</f>
        <v>22 2025</v>
      </c>
      <c r="L3185" t="str">
        <f>CONCATENATE(MONTH(CompilDonnées[[#This Row],[PlantationDate]])," ", YEAR(CompilDonnées[[#This Row],[PlantationDate]]))</f>
        <v>5 2025</v>
      </c>
      <c r="M3185" t="str">
        <f>CONCATENATE(MONTH(CompilDonnées[[#This Row],[HarvestingDate]])," ", YEAR(CompilDonnées[[#This Row],[HarvestingDate]]))</f>
        <v>7 2025</v>
      </c>
      <c r="N3185">
        <f>_xlfn.NUMBERVALUE(CompilDonnées[[#This Row],[FarmID]]&amp;CompilDonnées[[#This Row],[ModuleNumber]]&amp;CompilDonnées[[#This Row],[PlantationDate]])</f>
        <v>7445807</v>
      </c>
      <c r="O3185" t="str">
        <f>CompilDonnées[[#This Row],[FarmID]]&amp;CompilDonnées[[#This Row],[ModuleNumber]]</f>
        <v>74</v>
      </c>
      <c r="P3185" t="str">
        <f>CompilDonnées[[#This Row],[Ref_Module]]&amp;CompilDonnées[[#This Row],[HarvestingDate]]</f>
        <v>7445855</v>
      </c>
    </row>
    <row r="3186" spans="1:16">
      <c r="A3186" s="5">
        <v>45807</v>
      </c>
      <c r="B3186">
        <v>130</v>
      </c>
      <c r="C3186" t="s">
        <v>3</v>
      </c>
      <c r="D3186">
        <v>5</v>
      </c>
      <c r="E3186">
        <v>60</v>
      </c>
      <c r="F3186" t="s">
        <v>105</v>
      </c>
      <c r="G3186" s="6">
        <v>45852</v>
      </c>
      <c r="H3186">
        <v>45</v>
      </c>
      <c r="I3186">
        <f>ROUND(CompilDonnées[[#This Row],[CultureDuration_days]]/7,0)</f>
        <v>6</v>
      </c>
      <c r="J3186">
        <v>470</v>
      </c>
      <c r="K3186" t="str">
        <f>_xlfn.CONCAT(WEEKNUM(CompilDonnées[[#This Row],[PlantationDate]]), " ", YEAR(CompilDonnées[[#This Row],[PlantationDate]]))</f>
        <v>22 2025</v>
      </c>
      <c r="L3186" t="str">
        <f>CONCATENATE(MONTH(CompilDonnées[[#This Row],[PlantationDate]])," ", YEAR(CompilDonnées[[#This Row],[PlantationDate]]))</f>
        <v>5 2025</v>
      </c>
      <c r="M3186" t="str">
        <f>CONCATENATE(MONTH(CompilDonnées[[#This Row],[HarvestingDate]])," ", YEAR(CompilDonnées[[#This Row],[HarvestingDate]]))</f>
        <v>7 2025</v>
      </c>
      <c r="N3186">
        <f>_xlfn.NUMBERVALUE(CompilDonnées[[#This Row],[FarmID]]&amp;CompilDonnées[[#This Row],[ModuleNumber]]&amp;CompilDonnées[[#This Row],[PlantationDate]])</f>
        <v>130545807</v>
      </c>
      <c r="O3186" t="str">
        <f>CompilDonnées[[#This Row],[FarmID]]&amp;CompilDonnées[[#This Row],[ModuleNumber]]</f>
        <v>1305</v>
      </c>
      <c r="P3186" t="str">
        <f>CompilDonnées[[#This Row],[Ref_Module]]&amp;CompilDonnées[[#This Row],[HarvestingDate]]</f>
        <v>130545852</v>
      </c>
    </row>
    <row r="3187" spans="1:16">
      <c r="A3187" s="5">
        <v>45807</v>
      </c>
      <c r="B3187">
        <v>130</v>
      </c>
      <c r="C3187" t="s">
        <v>3</v>
      </c>
      <c r="D3187">
        <v>6</v>
      </c>
      <c r="E3187">
        <v>60</v>
      </c>
      <c r="F3187" t="s">
        <v>105</v>
      </c>
      <c r="G3187" s="6">
        <v>45852</v>
      </c>
      <c r="H3187">
        <v>45</v>
      </c>
      <c r="I3187">
        <f>ROUND(CompilDonnées[[#This Row],[CultureDuration_days]]/7,0)</f>
        <v>6</v>
      </c>
      <c r="J3187">
        <v>500</v>
      </c>
      <c r="K3187" t="str">
        <f>_xlfn.CONCAT(WEEKNUM(CompilDonnées[[#This Row],[PlantationDate]]), " ", YEAR(CompilDonnées[[#This Row],[PlantationDate]]))</f>
        <v>22 2025</v>
      </c>
      <c r="L3187" t="str">
        <f>CONCATENATE(MONTH(CompilDonnées[[#This Row],[PlantationDate]])," ", YEAR(CompilDonnées[[#This Row],[PlantationDate]]))</f>
        <v>5 2025</v>
      </c>
      <c r="M3187" t="str">
        <f>CONCATENATE(MONTH(CompilDonnées[[#This Row],[HarvestingDate]])," ", YEAR(CompilDonnées[[#This Row],[HarvestingDate]]))</f>
        <v>7 2025</v>
      </c>
      <c r="N3187">
        <f>_xlfn.NUMBERVALUE(CompilDonnées[[#This Row],[FarmID]]&amp;CompilDonnées[[#This Row],[ModuleNumber]]&amp;CompilDonnées[[#This Row],[PlantationDate]])</f>
        <v>130645807</v>
      </c>
      <c r="O3187" t="str">
        <f>CompilDonnées[[#This Row],[FarmID]]&amp;CompilDonnées[[#This Row],[ModuleNumber]]</f>
        <v>1306</v>
      </c>
      <c r="P3187" t="str">
        <f>CompilDonnées[[#This Row],[Ref_Module]]&amp;CompilDonnées[[#This Row],[HarvestingDate]]</f>
        <v>130645852</v>
      </c>
    </row>
    <row r="3188" spans="1:16">
      <c r="A3188" s="5">
        <v>45807</v>
      </c>
      <c r="B3188">
        <v>105</v>
      </c>
      <c r="C3188" t="s">
        <v>3</v>
      </c>
      <c r="D3188">
        <v>6</v>
      </c>
      <c r="E3188">
        <v>60</v>
      </c>
      <c r="F3188" t="s">
        <v>105</v>
      </c>
      <c r="G3188" s="6">
        <v>45856</v>
      </c>
      <c r="H3188">
        <v>49</v>
      </c>
      <c r="I3188">
        <f>ROUND(CompilDonnées[[#This Row],[CultureDuration_days]]/7,0)</f>
        <v>7</v>
      </c>
      <c r="J3188">
        <v>1100</v>
      </c>
      <c r="K3188" t="str">
        <f>_xlfn.CONCAT(WEEKNUM(CompilDonnées[[#This Row],[PlantationDate]]), " ", YEAR(CompilDonnées[[#This Row],[PlantationDate]]))</f>
        <v>22 2025</v>
      </c>
      <c r="L3188" t="str">
        <f>CONCATENATE(MONTH(CompilDonnées[[#This Row],[PlantationDate]])," ", YEAR(CompilDonnées[[#This Row],[PlantationDate]]))</f>
        <v>5 2025</v>
      </c>
      <c r="M3188" t="str">
        <f>CONCATENATE(MONTH(CompilDonnées[[#This Row],[HarvestingDate]])," ", YEAR(CompilDonnées[[#This Row],[HarvestingDate]]))</f>
        <v>7 2025</v>
      </c>
      <c r="N3188">
        <f>_xlfn.NUMBERVALUE(CompilDonnées[[#This Row],[FarmID]]&amp;CompilDonnées[[#This Row],[ModuleNumber]]&amp;CompilDonnées[[#This Row],[PlantationDate]])</f>
        <v>105645807</v>
      </c>
      <c r="O3188" t="str">
        <f>CompilDonnées[[#This Row],[FarmID]]&amp;CompilDonnées[[#This Row],[ModuleNumber]]</f>
        <v>1056</v>
      </c>
      <c r="P3188" t="str">
        <f>CompilDonnées[[#This Row],[Ref_Module]]&amp;CompilDonnées[[#This Row],[HarvestingDate]]</f>
        <v>105645856</v>
      </c>
    </row>
    <row r="3189" spans="1:16">
      <c r="A3189" s="5">
        <v>45808</v>
      </c>
      <c r="B3189">
        <v>5</v>
      </c>
      <c r="C3189" t="s">
        <v>32</v>
      </c>
      <c r="D3189">
        <v>6</v>
      </c>
      <c r="E3189">
        <v>100</v>
      </c>
      <c r="F3189" t="s">
        <v>1</v>
      </c>
      <c r="G3189" s="6">
        <v>45845</v>
      </c>
      <c r="H3189">
        <v>37</v>
      </c>
      <c r="I3189">
        <f>ROUND(CompilDonnées[[#This Row],[CultureDuration_days]]/7,0)</f>
        <v>5</v>
      </c>
      <c r="J3189">
        <v>2724</v>
      </c>
      <c r="K3189" t="str">
        <f>_xlfn.CONCAT(WEEKNUM(CompilDonnées[[#This Row],[PlantationDate]]), " ", YEAR(CompilDonnées[[#This Row],[PlantationDate]]))</f>
        <v>22 2025</v>
      </c>
      <c r="L3189" t="str">
        <f>CONCATENATE(MONTH(CompilDonnées[[#This Row],[PlantationDate]])," ", YEAR(CompilDonnées[[#This Row],[PlantationDate]]))</f>
        <v>5 2025</v>
      </c>
      <c r="M3189" t="str">
        <f>CONCATENATE(MONTH(CompilDonnées[[#This Row],[HarvestingDate]])," ", YEAR(CompilDonnées[[#This Row],[HarvestingDate]]))</f>
        <v>7 2025</v>
      </c>
      <c r="N3189">
        <f>_xlfn.NUMBERVALUE(CompilDonnées[[#This Row],[FarmID]]&amp;CompilDonnées[[#This Row],[ModuleNumber]]&amp;CompilDonnées[[#This Row],[PlantationDate]])</f>
        <v>5645808</v>
      </c>
      <c r="O3189" t="str">
        <f>CompilDonnées[[#This Row],[FarmID]]&amp;CompilDonnées[[#This Row],[ModuleNumber]]</f>
        <v>56</v>
      </c>
      <c r="P3189" t="str">
        <f>CompilDonnées[[#This Row],[Ref_Module]]&amp;CompilDonnées[[#This Row],[HarvestingDate]]</f>
        <v>5645845</v>
      </c>
    </row>
    <row r="3190" spans="1:16">
      <c r="A3190" s="5">
        <v>45808</v>
      </c>
      <c r="B3190">
        <v>3</v>
      </c>
      <c r="C3190" t="s">
        <v>116</v>
      </c>
      <c r="D3190">
        <v>1</v>
      </c>
      <c r="E3190">
        <v>100</v>
      </c>
      <c r="F3190" t="s">
        <v>1</v>
      </c>
      <c r="G3190" s="6">
        <v>45856</v>
      </c>
      <c r="H3190">
        <v>48</v>
      </c>
      <c r="I3190">
        <f>ROUND(CompilDonnées[[#This Row],[CultureDuration_days]]/7,0)</f>
        <v>7</v>
      </c>
      <c r="J3190">
        <v>2581</v>
      </c>
      <c r="K3190" t="str">
        <f>_xlfn.CONCAT(WEEKNUM(CompilDonnées[[#This Row],[PlantationDate]]), " ", YEAR(CompilDonnées[[#This Row],[PlantationDate]]))</f>
        <v>22 2025</v>
      </c>
      <c r="L3190" t="str">
        <f>CONCATENATE(MONTH(CompilDonnées[[#This Row],[PlantationDate]])," ", YEAR(CompilDonnées[[#This Row],[PlantationDate]]))</f>
        <v>5 2025</v>
      </c>
      <c r="M3190" t="str">
        <f>CONCATENATE(MONTH(CompilDonnées[[#This Row],[HarvestingDate]])," ", YEAR(CompilDonnées[[#This Row],[HarvestingDate]]))</f>
        <v>7 2025</v>
      </c>
      <c r="N3190">
        <f>_xlfn.NUMBERVALUE(CompilDonnées[[#This Row],[FarmID]]&amp;CompilDonnées[[#This Row],[ModuleNumber]]&amp;CompilDonnées[[#This Row],[PlantationDate]])</f>
        <v>3145808</v>
      </c>
      <c r="O3190" t="str">
        <f>CompilDonnées[[#This Row],[FarmID]]&amp;CompilDonnées[[#This Row],[ModuleNumber]]</f>
        <v>31</v>
      </c>
      <c r="P3190" t="str">
        <f>CompilDonnées[[#This Row],[Ref_Module]]&amp;CompilDonnées[[#This Row],[HarvestingDate]]</f>
        <v>3145856</v>
      </c>
    </row>
    <row r="3191" spans="1:16">
      <c r="A3191" s="5">
        <v>45808</v>
      </c>
      <c r="B3191">
        <v>15</v>
      </c>
      <c r="C3191" t="s">
        <v>5</v>
      </c>
      <c r="D3191">
        <v>5</v>
      </c>
      <c r="E3191">
        <v>100</v>
      </c>
      <c r="F3191" t="s">
        <v>1</v>
      </c>
      <c r="G3191" s="6">
        <v>45845</v>
      </c>
      <c r="H3191">
        <v>37</v>
      </c>
      <c r="I3191">
        <f>ROUND(CompilDonnées[[#This Row],[CultureDuration_days]]/7,0)</f>
        <v>5</v>
      </c>
      <c r="J3191">
        <v>3087</v>
      </c>
      <c r="K3191" t="str">
        <f>_xlfn.CONCAT(WEEKNUM(CompilDonnées[[#This Row],[PlantationDate]]), " ", YEAR(CompilDonnées[[#This Row],[PlantationDate]]))</f>
        <v>22 2025</v>
      </c>
      <c r="L3191" t="str">
        <f>CONCATENATE(MONTH(CompilDonnées[[#This Row],[PlantationDate]])," ", YEAR(CompilDonnées[[#This Row],[PlantationDate]]))</f>
        <v>5 2025</v>
      </c>
      <c r="M3191" t="str">
        <f>CONCATENATE(MONTH(CompilDonnées[[#This Row],[HarvestingDate]])," ", YEAR(CompilDonnées[[#This Row],[HarvestingDate]]))</f>
        <v>7 2025</v>
      </c>
      <c r="N3191">
        <f>_xlfn.NUMBERVALUE(CompilDonnées[[#This Row],[FarmID]]&amp;CompilDonnées[[#This Row],[ModuleNumber]]&amp;CompilDonnées[[#This Row],[PlantationDate]])</f>
        <v>15545808</v>
      </c>
      <c r="O3191" t="str">
        <f>CompilDonnées[[#This Row],[FarmID]]&amp;CompilDonnées[[#This Row],[ModuleNumber]]</f>
        <v>155</v>
      </c>
      <c r="P3191" t="str">
        <f>CompilDonnées[[#This Row],[Ref_Module]]&amp;CompilDonnées[[#This Row],[HarvestingDate]]</f>
        <v>15545845</v>
      </c>
    </row>
    <row r="3192" spans="1:16">
      <c r="A3192" s="5">
        <v>45808</v>
      </c>
      <c r="B3192">
        <v>24</v>
      </c>
      <c r="C3192" t="s">
        <v>31</v>
      </c>
      <c r="D3192">
        <v>3</v>
      </c>
      <c r="E3192">
        <v>100</v>
      </c>
      <c r="F3192" t="s">
        <v>1</v>
      </c>
      <c r="G3192" s="6">
        <v>45845</v>
      </c>
      <c r="H3192">
        <v>37</v>
      </c>
      <c r="I3192">
        <f>ROUND(CompilDonnées[[#This Row],[CultureDuration_days]]/7,0)</f>
        <v>5</v>
      </c>
      <c r="J3192">
        <v>3301</v>
      </c>
      <c r="K3192" t="str">
        <f>_xlfn.CONCAT(WEEKNUM(CompilDonnées[[#This Row],[PlantationDate]]), " ", YEAR(CompilDonnées[[#This Row],[PlantationDate]]))</f>
        <v>22 2025</v>
      </c>
      <c r="L3192" t="str">
        <f>CONCATENATE(MONTH(CompilDonnées[[#This Row],[PlantationDate]])," ", YEAR(CompilDonnées[[#This Row],[PlantationDate]]))</f>
        <v>5 2025</v>
      </c>
      <c r="M3192" t="str">
        <f>CONCATENATE(MONTH(CompilDonnées[[#This Row],[HarvestingDate]])," ", YEAR(CompilDonnées[[#This Row],[HarvestingDate]]))</f>
        <v>7 2025</v>
      </c>
      <c r="N3192">
        <f>_xlfn.NUMBERVALUE(CompilDonnées[[#This Row],[FarmID]]&amp;CompilDonnées[[#This Row],[ModuleNumber]]&amp;CompilDonnées[[#This Row],[PlantationDate]])</f>
        <v>24345808</v>
      </c>
      <c r="O3192" t="str">
        <f>CompilDonnées[[#This Row],[FarmID]]&amp;CompilDonnées[[#This Row],[ModuleNumber]]</f>
        <v>243</v>
      </c>
      <c r="P3192" t="str">
        <f>CompilDonnées[[#This Row],[Ref_Module]]&amp;CompilDonnées[[#This Row],[HarvestingDate]]</f>
        <v>24345845</v>
      </c>
    </row>
    <row r="3193" spans="1:16">
      <c r="A3193" s="5">
        <v>45808</v>
      </c>
      <c r="B3193">
        <v>22</v>
      </c>
      <c r="C3193" t="s">
        <v>43</v>
      </c>
      <c r="D3193">
        <v>3</v>
      </c>
      <c r="E3193">
        <v>100</v>
      </c>
      <c r="F3193" t="s">
        <v>1</v>
      </c>
      <c r="G3193" s="6">
        <v>45845</v>
      </c>
      <c r="H3193">
        <v>37</v>
      </c>
      <c r="I3193">
        <f>ROUND(CompilDonnées[[#This Row],[CultureDuration_days]]/7,0)</f>
        <v>5</v>
      </c>
      <c r="J3193">
        <v>3247</v>
      </c>
      <c r="K3193" t="str">
        <f>_xlfn.CONCAT(WEEKNUM(CompilDonnées[[#This Row],[PlantationDate]]), " ", YEAR(CompilDonnées[[#This Row],[PlantationDate]]))</f>
        <v>22 2025</v>
      </c>
      <c r="L3193" t="str">
        <f>CONCATENATE(MONTH(CompilDonnées[[#This Row],[PlantationDate]])," ", YEAR(CompilDonnées[[#This Row],[PlantationDate]]))</f>
        <v>5 2025</v>
      </c>
      <c r="M3193" t="str">
        <f>CONCATENATE(MONTH(CompilDonnées[[#This Row],[HarvestingDate]])," ", YEAR(CompilDonnées[[#This Row],[HarvestingDate]]))</f>
        <v>7 2025</v>
      </c>
      <c r="N3193">
        <f>_xlfn.NUMBERVALUE(CompilDonnées[[#This Row],[FarmID]]&amp;CompilDonnées[[#This Row],[ModuleNumber]]&amp;CompilDonnées[[#This Row],[PlantationDate]])</f>
        <v>22345808</v>
      </c>
      <c r="O3193" t="str">
        <f>CompilDonnées[[#This Row],[FarmID]]&amp;CompilDonnées[[#This Row],[ModuleNumber]]</f>
        <v>223</v>
      </c>
      <c r="P3193" t="str">
        <f>CompilDonnées[[#This Row],[Ref_Module]]&amp;CompilDonnées[[#This Row],[HarvestingDate]]</f>
        <v>22345845</v>
      </c>
    </row>
    <row r="3194" spans="1:16">
      <c r="A3194" s="5">
        <v>45808</v>
      </c>
      <c r="B3194">
        <v>31</v>
      </c>
      <c r="C3194" t="s">
        <v>62</v>
      </c>
      <c r="D3194">
        <v>2</v>
      </c>
      <c r="E3194">
        <v>100</v>
      </c>
      <c r="F3194" t="s">
        <v>1</v>
      </c>
      <c r="G3194" s="6">
        <v>45845</v>
      </c>
      <c r="H3194">
        <v>37</v>
      </c>
      <c r="I3194">
        <f>ROUND(CompilDonnées[[#This Row],[CultureDuration_days]]/7,0)</f>
        <v>5</v>
      </c>
      <c r="J3194">
        <v>2505</v>
      </c>
      <c r="K3194" t="str">
        <f>_xlfn.CONCAT(WEEKNUM(CompilDonnées[[#This Row],[PlantationDate]]), " ", YEAR(CompilDonnées[[#This Row],[PlantationDate]]))</f>
        <v>22 2025</v>
      </c>
      <c r="L3194" t="str">
        <f>CONCATENATE(MONTH(CompilDonnées[[#This Row],[PlantationDate]])," ", YEAR(CompilDonnées[[#This Row],[PlantationDate]]))</f>
        <v>5 2025</v>
      </c>
      <c r="M3194" t="str">
        <f>CONCATENATE(MONTH(CompilDonnées[[#This Row],[HarvestingDate]])," ", YEAR(CompilDonnées[[#This Row],[HarvestingDate]]))</f>
        <v>7 2025</v>
      </c>
      <c r="N3194">
        <f>_xlfn.NUMBERVALUE(CompilDonnées[[#This Row],[FarmID]]&amp;CompilDonnées[[#This Row],[ModuleNumber]]&amp;CompilDonnées[[#This Row],[PlantationDate]])</f>
        <v>31245808</v>
      </c>
      <c r="O3194" t="str">
        <f>CompilDonnées[[#This Row],[FarmID]]&amp;CompilDonnées[[#This Row],[ModuleNumber]]</f>
        <v>312</v>
      </c>
      <c r="P3194" t="str">
        <f>CompilDonnées[[#This Row],[Ref_Module]]&amp;CompilDonnées[[#This Row],[HarvestingDate]]</f>
        <v>31245845</v>
      </c>
    </row>
    <row r="3195" spans="1:16">
      <c r="A3195" s="5">
        <v>45808</v>
      </c>
      <c r="B3195">
        <v>30</v>
      </c>
      <c r="C3195" t="s">
        <v>4</v>
      </c>
      <c r="D3195">
        <v>6</v>
      </c>
      <c r="E3195">
        <v>100</v>
      </c>
      <c r="F3195" t="s">
        <v>1</v>
      </c>
      <c r="G3195" s="6">
        <v>45826</v>
      </c>
      <c r="H3195">
        <v>18</v>
      </c>
      <c r="I3195">
        <f>ROUND(CompilDonnées[[#This Row],[CultureDuration_days]]/7,0)</f>
        <v>3</v>
      </c>
      <c r="J3195">
        <v>0</v>
      </c>
      <c r="K3195" t="str">
        <f>_xlfn.CONCAT(WEEKNUM(CompilDonnées[[#This Row],[PlantationDate]]), " ", YEAR(CompilDonnées[[#This Row],[PlantationDate]]))</f>
        <v>22 2025</v>
      </c>
      <c r="L3195" t="str">
        <f>CONCATENATE(MONTH(CompilDonnées[[#This Row],[PlantationDate]])," ", YEAR(CompilDonnées[[#This Row],[PlantationDate]]))</f>
        <v>5 2025</v>
      </c>
      <c r="M3195" t="str">
        <f>CONCATENATE(MONTH(CompilDonnées[[#This Row],[HarvestingDate]])," ", YEAR(CompilDonnées[[#This Row],[HarvestingDate]]))</f>
        <v>6 2025</v>
      </c>
      <c r="N3195">
        <f>_xlfn.NUMBERVALUE(CompilDonnées[[#This Row],[FarmID]]&amp;CompilDonnées[[#This Row],[ModuleNumber]]&amp;CompilDonnées[[#This Row],[PlantationDate]])</f>
        <v>30645808</v>
      </c>
      <c r="O3195" t="str">
        <f>CompilDonnées[[#This Row],[FarmID]]&amp;CompilDonnées[[#This Row],[ModuleNumber]]</f>
        <v>306</v>
      </c>
      <c r="P3195" t="str">
        <f>CompilDonnées[[#This Row],[Ref_Module]]&amp;CompilDonnées[[#This Row],[HarvestingDate]]</f>
        <v>30645826</v>
      </c>
    </row>
    <row r="3196" spans="1:16">
      <c r="A3196" s="5">
        <v>45808</v>
      </c>
      <c r="B3196">
        <v>36</v>
      </c>
      <c r="C3196" t="s">
        <v>63</v>
      </c>
      <c r="D3196">
        <v>4</v>
      </c>
      <c r="E3196">
        <v>100</v>
      </c>
      <c r="F3196" t="s">
        <v>1</v>
      </c>
      <c r="G3196" s="6">
        <v>45845</v>
      </c>
      <c r="H3196">
        <v>37</v>
      </c>
      <c r="I3196">
        <f>ROUND(CompilDonnées[[#This Row],[CultureDuration_days]]/7,0)</f>
        <v>5</v>
      </c>
      <c r="J3196">
        <v>3215</v>
      </c>
      <c r="K3196" t="str">
        <f>_xlfn.CONCAT(WEEKNUM(CompilDonnées[[#This Row],[PlantationDate]]), " ", YEAR(CompilDonnées[[#This Row],[PlantationDate]]))</f>
        <v>22 2025</v>
      </c>
      <c r="L3196" t="str">
        <f>CONCATENATE(MONTH(CompilDonnées[[#This Row],[PlantationDate]])," ", YEAR(CompilDonnées[[#This Row],[PlantationDate]]))</f>
        <v>5 2025</v>
      </c>
      <c r="M3196" t="str">
        <f>CONCATENATE(MONTH(CompilDonnées[[#This Row],[HarvestingDate]])," ", YEAR(CompilDonnées[[#This Row],[HarvestingDate]]))</f>
        <v>7 2025</v>
      </c>
      <c r="N3196">
        <f>_xlfn.NUMBERVALUE(CompilDonnées[[#This Row],[FarmID]]&amp;CompilDonnées[[#This Row],[ModuleNumber]]&amp;CompilDonnées[[#This Row],[PlantationDate]])</f>
        <v>36445808</v>
      </c>
      <c r="O3196" t="str">
        <f>CompilDonnées[[#This Row],[FarmID]]&amp;CompilDonnées[[#This Row],[ModuleNumber]]</f>
        <v>364</v>
      </c>
      <c r="P3196" t="str">
        <f>CompilDonnées[[#This Row],[Ref_Module]]&amp;CompilDonnées[[#This Row],[HarvestingDate]]</f>
        <v>36445845</v>
      </c>
    </row>
    <row r="3197" spans="1:16">
      <c r="A3197" s="5">
        <v>45808</v>
      </c>
      <c r="B3197">
        <v>45</v>
      </c>
      <c r="C3197" t="s">
        <v>77</v>
      </c>
      <c r="D3197">
        <v>3</v>
      </c>
      <c r="E3197">
        <v>100</v>
      </c>
      <c r="F3197" t="s">
        <v>1</v>
      </c>
      <c r="G3197" s="6">
        <v>45846</v>
      </c>
      <c r="H3197">
        <v>38</v>
      </c>
      <c r="I3197">
        <f>ROUND(CompilDonnées[[#This Row],[CultureDuration_days]]/7,0)</f>
        <v>5</v>
      </c>
      <c r="J3197">
        <v>4375</v>
      </c>
      <c r="K3197" t="str">
        <f>_xlfn.CONCAT(WEEKNUM(CompilDonnées[[#This Row],[PlantationDate]]), " ", YEAR(CompilDonnées[[#This Row],[PlantationDate]]))</f>
        <v>22 2025</v>
      </c>
      <c r="L3197" t="str">
        <f>CONCATENATE(MONTH(CompilDonnées[[#This Row],[PlantationDate]])," ", YEAR(CompilDonnées[[#This Row],[PlantationDate]]))</f>
        <v>5 2025</v>
      </c>
      <c r="M3197" t="str">
        <f>CONCATENATE(MONTH(CompilDonnées[[#This Row],[HarvestingDate]])," ", YEAR(CompilDonnées[[#This Row],[HarvestingDate]]))</f>
        <v>7 2025</v>
      </c>
      <c r="N3197">
        <f>_xlfn.NUMBERVALUE(CompilDonnées[[#This Row],[FarmID]]&amp;CompilDonnées[[#This Row],[ModuleNumber]]&amp;CompilDonnées[[#This Row],[PlantationDate]])</f>
        <v>45345808</v>
      </c>
      <c r="O3197" t="str">
        <f>CompilDonnées[[#This Row],[FarmID]]&amp;CompilDonnées[[#This Row],[ModuleNumber]]</f>
        <v>453</v>
      </c>
      <c r="P3197" t="str">
        <f>CompilDonnées[[#This Row],[Ref_Module]]&amp;CompilDonnées[[#This Row],[HarvestingDate]]</f>
        <v>45345846</v>
      </c>
    </row>
    <row r="3198" spans="1:16">
      <c r="A3198" s="5">
        <v>45808</v>
      </c>
      <c r="B3198">
        <v>41</v>
      </c>
      <c r="C3198" t="s">
        <v>70</v>
      </c>
      <c r="D3198">
        <v>3</v>
      </c>
      <c r="E3198">
        <v>100</v>
      </c>
      <c r="F3198" t="s">
        <v>1</v>
      </c>
      <c r="G3198" s="6">
        <v>45854</v>
      </c>
      <c r="H3198">
        <v>46</v>
      </c>
      <c r="I3198">
        <f>ROUND(CompilDonnées[[#This Row],[CultureDuration_days]]/7,0)</f>
        <v>7</v>
      </c>
      <c r="J3198">
        <v>2190</v>
      </c>
      <c r="K3198" t="str">
        <f>_xlfn.CONCAT(WEEKNUM(CompilDonnées[[#This Row],[PlantationDate]]), " ", YEAR(CompilDonnées[[#This Row],[PlantationDate]]))</f>
        <v>22 2025</v>
      </c>
      <c r="L3198" t="str">
        <f>CONCATENATE(MONTH(CompilDonnées[[#This Row],[PlantationDate]])," ", YEAR(CompilDonnées[[#This Row],[PlantationDate]]))</f>
        <v>5 2025</v>
      </c>
      <c r="M3198" t="str">
        <f>CONCATENATE(MONTH(CompilDonnées[[#This Row],[HarvestingDate]])," ", YEAR(CompilDonnées[[#This Row],[HarvestingDate]]))</f>
        <v>7 2025</v>
      </c>
      <c r="N3198">
        <f>_xlfn.NUMBERVALUE(CompilDonnées[[#This Row],[FarmID]]&amp;CompilDonnées[[#This Row],[ModuleNumber]]&amp;CompilDonnées[[#This Row],[PlantationDate]])</f>
        <v>41345808</v>
      </c>
      <c r="O3198" t="str">
        <f>CompilDonnées[[#This Row],[FarmID]]&amp;CompilDonnées[[#This Row],[ModuleNumber]]</f>
        <v>413</v>
      </c>
      <c r="P3198" t="str">
        <f>CompilDonnées[[#This Row],[Ref_Module]]&amp;CompilDonnées[[#This Row],[HarvestingDate]]</f>
        <v>41345854</v>
      </c>
    </row>
    <row r="3199" spans="1:16">
      <c r="A3199" s="5">
        <v>45808</v>
      </c>
      <c r="B3199">
        <v>43</v>
      </c>
      <c r="C3199" t="s">
        <v>45</v>
      </c>
      <c r="D3199">
        <v>5</v>
      </c>
      <c r="E3199">
        <v>100</v>
      </c>
      <c r="F3199" t="s">
        <v>1</v>
      </c>
      <c r="G3199" s="6">
        <v>45846</v>
      </c>
      <c r="H3199">
        <v>38</v>
      </c>
      <c r="I3199">
        <f>ROUND(CompilDonnées[[#This Row],[CultureDuration_days]]/7,0)</f>
        <v>5</v>
      </c>
      <c r="J3199">
        <v>3176</v>
      </c>
      <c r="K3199" t="str">
        <f>_xlfn.CONCAT(WEEKNUM(CompilDonnées[[#This Row],[PlantationDate]]), " ", YEAR(CompilDonnées[[#This Row],[PlantationDate]]))</f>
        <v>22 2025</v>
      </c>
      <c r="L3199" t="str">
        <f>CONCATENATE(MONTH(CompilDonnées[[#This Row],[PlantationDate]])," ", YEAR(CompilDonnées[[#This Row],[PlantationDate]]))</f>
        <v>5 2025</v>
      </c>
      <c r="M3199" t="str">
        <f>CONCATENATE(MONTH(CompilDonnées[[#This Row],[HarvestingDate]])," ", YEAR(CompilDonnées[[#This Row],[HarvestingDate]]))</f>
        <v>7 2025</v>
      </c>
      <c r="N3199">
        <f>_xlfn.NUMBERVALUE(CompilDonnées[[#This Row],[FarmID]]&amp;CompilDonnées[[#This Row],[ModuleNumber]]&amp;CompilDonnées[[#This Row],[PlantationDate]])</f>
        <v>43545808</v>
      </c>
      <c r="O3199" t="str">
        <f>CompilDonnées[[#This Row],[FarmID]]&amp;CompilDonnées[[#This Row],[ModuleNumber]]</f>
        <v>435</v>
      </c>
      <c r="P3199" t="str">
        <f>CompilDonnées[[#This Row],[Ref_Module]]&amp;CompilDonnées[[#This Row],[HarvestingDate]]</f>
        <v>43545846</v>
      </c>
    </row>
    <row r="3200" spans="1:16">
      <c r="A3200" s="5">
        <v>45808</v>
      </c>
      <c r="B3200">
        <v>32</v>
      </c>
      <c r="C3200" t="s">
        <v>25</v>
      </c>
      <c r="D3200">
        <v>2</v>
      </c>
      <c r="E3200">
        <v>100</v>
      </c>
      <c r="F3200" t="s">
        <v>1</v>
      </c>
      <c r="G3200" s="6">
        <v>45845</v>
      </c>
      <c r="H3200">
        <v>37</v>
      </c>
      <c r="I3200">
        <f>ROUND(CompilDonnées[[#This Row],[CultureDuration_days]]/7,0)</f>
        <v>5</v>
      </c>
      <c r="J3200">
        <v>3148</v>
      </c>
      <c r="K3200" t="str">
        <f>_xlfn.CONCAT(WEEKNUM(CompilDonnées[[#This Row],[PlantationDate]]), " ", YEAR(CompilDonnées[[#This Row],[PlantationDate]]))</f>
        <v>22 2025</v>
      </c>
      <c r="L3200" t="str">
        <f>CONCATENATE(MONTH(CompilDonnées[[#This Row],[PlantationDate]])," ", YEAR(CompilDonnées[[#This Row],[PlantationDate]]))</f>
        <v>5 2025</v>
      </c>
      <c r="M3200" t="str">
        <f>CONCATENATE(MONTH(CompilDonnées[[#This Row],[HarvestingDate]])," ", YEAR(CompilDonnées[[#This Row],[HarvestingDate]]))</f>
        <v>7 2025</v>
      </c>
      <c r="N3200">
        <f>_xlfn.NUMBERVALUE(CompilDonnées[[#This Row],[FarmID]]&amp;CompilDonnées[[#This Row],[ModuleNumber]]&amp;CompilDonnées[[#This Row],[PlantationDate]])</f>
        <v>32245808</v>
      </c>
      <c r="O3200" t="str">
        <f>CompilDonnées[[#This Row],[FarmID]]&amp;CompilDonnées[[#This Row],[ModuleNumber]]</f>
        <v>322</v>
      </c>
      <c r="P3200" t="str">
        <f>CompilDonnées[[#This Row],[Ref_Module]]&amp;CompilDonnées[[#This Row],[HarvestingDate]]</f>
        <v>32245845</v>
      </c>
    </row>
    <row r="3201" spans="1:16">
      <c r="A3201" s="5">
        <v>45808</v>
      </c>
      <c r="B3201">
        <v>21</v>
      </c>
      <c r="C3201" t="s">
        <v>0</v>
      </c>
      <c r="D3201">
        <v>1</v>
      </c>
      <c r="E3201">
        <v>100</v>
      </c>
      <c r="F3201" t="s">
        <v>1</v>
      </c>
      <c r="G3201" s="6">
        <v>45855</v>
      </c>
      <c r="H3201">
        <v>47</v>
      </c>
      <c r="I3201">
        <f>ROUND(CompilDonnées[[#This Row],[CultureDuration_days]]/7,0)</f>
        <v>7</v>
      </c>
      <c r="J3201">
        <v>2854</v>
      </c>
      <c r="K3201" t="str">
        <f>_xlfn.CONCAT(WEEKNUM(CompilDonnées[[#This Row],[PlantationDate]]), " ", YEAR(CompilDonnées[[#This Row],[PlantationDate]]))</f>
        <v>22 2025</v>
      </c>
      <c r="L3201" t="str">
        <f>CONCATENATE(MONTH(CompilDonnées[[#This Row],[PlantationDate]])," ", YEAR(CompilDonnées[[#This Row],[PlantationDate]]))</f>
        <v>5 2025</v>
      </c>
      <c r="M3201" t="str">
        <f>CONCATENATE(MONTH(CompilDonnées[[#This Row],[HarvestingDate]])," ", YEAR(CompilDonnées[[#This Row],[HarvestingDate]]))</f>
        <v>7 2025</v>
      </c>
      <c r="N3201">
        <f>_xlfn.NUMBERVALUE(CompilDonnées[[#This Row],[FarmID]]&amp;CompilDonnées[[#This Row],[ModuleNumber]]&amp;CompilDonnées[[#This Row],[PlantationDate]])</f>
        <v>21145808</v>
      </c>
      <c r="O3201" t="str">
        <f>CompilDonnées[[#This Row],[FarmID]]&amp;CompilDonnées[[#This Row],[ModuleNumber]]</f>
        <v>211</v>
      </c>
      <c r="P3201" t="str">
        <f>CompilDonnées[[#This Row],[Ref_Module]]&amp;CompilDonnées[[#This Row],[HarvestingDate]]</f>
        <v>21145855</v>
      </c>
    </row>
    <row r="3202" spans="1:16">
      <c r="A3202" s="5">
        <v>45808</v>
      </c>
      <c r="B3202">
        <v>38</v>
      </c>
      <c r="C3202" t="s">
        <v>34</v>
      </c>
      <c r="D3202">
        <v>4</v>
      </c>
      <c r="E3202">
        <v>96</v>
      </c>
      <c r="F3202" t="s">
        <v>1</v>
      </c>
      <c r="G3202" s="6">
        <v>45856</v>
      </c>
      <c r="H3202">
        <v>48</v>
      </c>
      <c r="I3202">
        <f>ROUND(CompilDonnées[[#This Row],[CultureDuration_days]]/7,0)</f>
        <v>7</v>
      </c>
      <c r="J3202">
        <v>3147</v>
      </c>
      <c r="K3202" t="str">
        <f>_xlfn.CONCAT(WEEKNUM(CompilDonnées[[#This Row],[PlantationDate]]), " ", YEAR(CompilDonnées[[#This Row],[PlantationDate]]))</f>
        <v>22 2025</v>
      </c>
      <c r="L3202" t="str">
        <f>CONCATENATE(MONTH(CompilDonnées[[#This Row],[PlantationDate]])," ", YEAR(CompilDonnées[[#This Row],[PlantationDate]]))</f>
        <v>5 2025</v>
      </c>
      <c r="M3202" t="str">
        <f>CONCATENATE(MONTH(CompilDonnées[[#This Row],[HarvestingDate]])," ", YEAR(CompilDonnées[[#This Row],[HarvestingDate]]))</f>
        <v>7 2025</v>
      </c>
      <c r="N3202">
        <f>_xlfn.NUMBERVALUE(CompilDonnées[[#This Row],[FarmID]]&amp;CompilDonnées[[#This Row],[ModuleNumber]]&amp;CompilDonnées[[#This Row],[PlantationDate]])</f>
        <v>38445808</v>
      </c>
      <c r="O3202" t="str">
        <f>CompilDonnées[[#This Row],[FarmID]]&amp;CompilDonnées[[#This Row],[ModuleNumber]]</f>
        <v>384</v>
      </c>
      <c r="P3202" t="str">
        <f>CompilDonnées[[#This Row],[Ref_Module]]&amp;CompilDonnées[[#This Row],[HarvestingDate]]</f>
        <v>38445856</v>
      </c>
    </row>
    <row r="3203" spans="1:16">
      <c r="A3203" s="5">
        <v>45808</v>
      </c>
      <c r="B3203">
        <v>50</v>
      </c>
      <c r="C3203" t="s">
        <v>55</v>
      </c>
      <c r="D3203">
        <v>3</v>
      </c>
      <c r="E3203">
        <v>100</v>
      </c>
      <c r="F3203" t="s">
        <v>1</v>
      </c>
      <c r="G3203" s="6">
        <v>45854</v>
      </c>
      <c r="H3203">
        <v>46</v>
      </c>
      <c r="I3203">
        <f>ROUND(CompilDonnées[[#This Row],[CultureDuration_days]]/7,0)</f>
        <v>7</v>
      </c>
      <c r="J3203">
        <v>2580</v>
      </c>
      <c r="K3203" t="str">
        <f>_xlfn.CONCAT(WEEKNUM(CompilDonnées[[#This Row],[PlantationDate]]), " ", YEAR(CompilDonnées[[#This Row],[PlantationDate]]))</f>
        <v>22 2025</v>
      </c>
      <c r="L3203" t="str">
        <f>CONCATENATE(MONTH(CompilDonnées[[#This Row],[PlantationDate]])," ", YEAR(CompilDonnées[[#This Row],[PlantationDate]]))</f>
        <v>5 2025</v>
      </c>
      <c r="M3203" t="str">
        <f>CONCATENATE(MONTH(CompilDonnées[[#This Row],[HarvestingDate]])," ", YEAR(CompilDonnées[[#This Row],[HarvestingDate]]))</f>
        <v>7 2025</v>
      </c>
      <c r="N3203">
        <f>_xlfn.NUMBERVALUE(CompilDonnées[[#This Row],[FarmID]]&amp;CompilDonnées[[#This Row],[ModuleNumber]]&amp;CompilDonnées[[#This Row],[PlantationDate]])</f>
        <v>50345808</v>
      </c>
      <c r="O3203" t="str">
        <f>CompilDonnées[[#This Row],[FarmID]]&amp;CompilDonnées[[#This Row],[ModuleNumber]]</f>
        <v>503</v>
      </c>
      <c r="P3203" t="str">
        <f>CompilDonnées[[#This Row],[Ref_Module]]&amp;CompilDonnées[[#This Row],[HarvestingDate]]</f>
        <v>50345854</v>
      </c>
    </row>
    <row r="3204" spans="1:16">
      <c r="A3204" s="5">
        <v>45808</v>
      </c>
      <c r="B3204">
        <v>57</v>
      </c>
      <c r="C3204" t="s">
        <v>46</v>
      </c>
      <c r="D3204">
        <v>5</v>
      </c>
      <c r="E3204">
        <v>100</v>
      </c>
      <c r="F3204" t="s">
        <v>1</v>
      </c>
      <c r="G3204" s="6">
        <v>45846</v>
      </c>
      <c r="H3204">
        <v>38</v>
      </c>
      <c r="I3204">
        <f>ROUND(CompilDonnées[[#This Row],[CultureDuration_days]]/7,0)</f>
        <v>5</v>
      </c>
      <c r="J3204">
        <v>3200</v>
      </c>
      <c r="K3204" t="str">
        <f>_xlfn.CONCAT(WEEKNUM(CompilDonnées[[#This Row],[PlantationDate]]), " ", YEAR(CompilDonnées[[#This Row],[PlantationDate]]))</f>
        <v>22 2025</v>
      </c>
      <c r="L3204" t="str">
        <f>CONCATENATE(MONTH(CompilDonnées[[#This Row],[PlantationDate]])," ", YEAR(CompilDonnées[[#This Row],[PlantationDate]]))</f>
        <v>5 2025</v>
      </c>
      <c r="M3204" t="str">
        <f>CONCATENATE(MONTH(CompilDonnées[[#This Row],[HarvestingDate]])," ", YEAR(CompilDonnées[[#This Row],[HarvestingDate]]))</f>
        <v>7 2025</v>
      </c>
      <c r="N3204">
        <f>_xlfn.NUMBERVALUE(CompilDonnées[[#This Row],[FarmID]]&amp;CompilDonnées[[#This Row],[ModuleNumber]]&amp;CompilDonnées[[#This Row],[PlantationDate]])</f>
        <v>57545808</v>
      </c>
      <c r="O3204" t="str">
        <f>CompilDonnées[[#This Row],[FarmID]]&amp;CompilDonnées[[#This Row],[ModuleNumber]]</f>
        <v>575</v>
      </c>
      <c r="P3204" t="str">
        <f>CompilDonnées[[#This Row],[Ref_Module]]&amp;CompilDonnées[[#This Row],[HarvestingDate]]</f>
        <v>57545846</v>
      </c>
    </row>
    <row r="3205" spans="1:16">
      <c r="A3205" s="5">
        <v>45808</v>
      </c>
      <c r="B3205">
        <v>58</v>
      </c>
      <c r="C3205" t="s">
        <v>35</v>
      </c>
      <c r="D3205">
        <v>4</v>
      </c>
      <c r="E3205">
        <v>100</v>
      </c>
      <c r="F3205" t="s">
        <v>1</v>
      </c>
      <c r="G3205" s="6">
        <v>45846</v>
      </c>
      <c r="H3205">
        <v>38</v>
      </c>
      <c r="I3205">
        <f>ROUND(CompilDonnées[[#This Row],[CultureDuration_days]]/7,0)</f>
        <v>5</v>
      </c>
      <c r="J3205">
        <v>2701</v>
      </c>
      <c r="K3205" t="str">
        <f>_xlfn.CONCAT(WEEKNUM(CompilDonnées[[#This Row],[PlantationDate]]), " ", YEAR(CompilDonnées[[#This Row],[PlantationDate]]))</f>
        <v>22 2025</v>
      </c>
      <c r="L3205" t="str">
        <f>CONCATENATE(MONTH(CompilDonnées[[#This Row],[PlantationDate]])," ", YEAR(CompilDonnées[[#This Row],[PlantationDate]]))</f>
        <v>5 2025</v>
      </c>
      <c r="M3205" t="str">
        <f>CONCATENATE(MONTH(CompilDonnées[[#This Row],[HarvestingDate]])," ", YEAR(CompilDonnées[[#This Row],[HarvestingDate]]))</f>
        <v>7 2025</v>
      </c>
      <c r="N3205">
        <f>_xlfn.NUMBERVALUE(CompilDonnées[[#This Row],[FarmID]]&amp;CompilDonnées[[#This Row],[ModuleNumber]]&amp;CompilDonnées[[#This Row],[PlantationDate]])</f>
        <v>58445808</v>
      </c>
      <c r="O3205" t="str">
        <f>CompilDonnées[[#This Row],[FarmID]]&amp;CompilDonnées[[#This Row],[ModuleNumber]]</f>
        <v>584</v>
      </c>
      <c r="P3205" t="str">
        <f>CompilDonnées[[#This Row],[Ref_Module]]&amp;CompilDonnées[[#This Row],[HarvestingDate]]</f>
        <v>58445846</v>
      </c>
    </row>
    <row r="3206" spans="1:16">
      <c r="A3206" s="5">
        <v>45808</v>
      </c>
      <c r="B3206">
        <v>56</v>
      </c>
      <c r="C3206" t="s">
        <v>6</v>
      </c>
      <c r="D3206">
        <v>1</v>
      </c>
      <c r="E3206">
        <v>100</v>
      </c>
      <c r="F3206" t="s">
        <v>1</v>
      </c>
      <c r="G3206" s="6">
        <v>45846</v>
      </c>
      <c r="H3206">
        <v>38</v>
      </c>
      <c r="I3206">
        <f>ROUND(CompilDonnées[[#This Row],[CultureDuration_days]]/7,0)</f>
        <v>5</v>
      </c>
      <c r="J3206">
        <v>2901</v>
      </c>
      <c r="K3206" t="str">
        <f>_xlfn.CONCAT(WEEKNUM(CompilDonnées[[#This Row],[PlantationDate]]), " ", YEAR(CompilDonnées[[#This Row],[PlantationDate]]))</f>
        <v>22 2025</v>
      </c>
      <c r="L3206" t="str">
        <f>CONCATENATE(MONTH(CompilDonnées[[#This Row],[PlantationDate]])," ", YEAR(CompilDonnées[[#This Row],[PlantationDate]]))</f>
        <v>5 2025</v>
      </c>
      <c r="M3206" t="str">
        <f>CONCATENATE(MONTH(CompilDonnées[[#This Row],[HarvestingDate]])," ", YEAR(CompilDonnées[[#This Row],[HarvestingDate]]))</f>
        <v>7 2025</v>
      </c>
      <c r="N3206">
        <f>_xlfn.NUMBERVALUE(CompilDonnées[[#This Row],[FarmID]]&amp;CompilDonnées[[#This Row],[ModuleNumber]]&amp;CompilDonnées[[#This Row],[PlantationDate]])</f>
        <v>56145808</v>
      </c>
      <c r="O3206" t="str">
        <f>CompilDonnées[[#This Row],[FarmID]]&amp;CompilDonnées[[#This Row],[ModuleNumber]]</f>
        <v>561</v>
      </c>
      <c r="P3206" t="str">
        <f>CompilDonnées[[#This Row],[Ref_Module]]&amp;CompilDonnées[[#This Row],[HarvestingDate]]</f>
        <v>56145846</v>
      </c>
    </row>
    <row r="3207" spans="1:16">
      <c r="A3207" s="5">
        <v>45808</v>
      </c>
      <c r="B3207">
        <v>40</v>
      </c>
      <c r="C3207" t="s">
        <v>82</v>
      </c>
      <c r="D3207">
        <v>1</v>
      </c>
      <c r="E3207">
        <v>100</v>
      </c>
      <c r="F3207" t="s">
        <v>1</v>
      </c>
      <c r="G3207" s="6">
        <v>45825</v>
      </c>
      <c r="H3207">
        <v>17</v>
      </c>
      <c r="I3207">
        <f>ROUND(CompilDonnées[[#This Row],[CultureDuration_days]]/7,0)</f>
        <v>2</v>
      </c>
      <c r="J3207">
        <v>0</v>
      </c>
      <c r="K3207" t="str">
        <f>_xlfn.CONCAT(WEEKNUM(CompilDonnées[[#This Row],[PlantationDate]]), " ", YEAR(CompilDonnées[[#This Row],[PlantationDate]]))</f>
        <v>22 2025</v>
      </c>
      <c r="L3207" t="str">
        <f>CONCATENATE(MONTH(CompilDonnées[[#This Row],[PlantationDate]])," ", YEAR(CompilDonnées[[#This Row],[PlantationDate]]))</f>
        <v>5 2025</v>
      </c>
      <c r="M3207" t="str">
        <f>CONCATENATE(MONTH(CompilDonnées[[#This Row],[HarvestingDate]])," ", YEAR(CompilDonnées[[#This Row],[HarvestingDate]]))</f>
        <v>6 2025</v>
      </c>
      <c r="N3207">
        <f>_xlfn.NUMBERVALUE(CompilDonnées[[#This Row],[FarmID]]&amp;CompilDonnées[[#This Row],[ModuleNumber]]&amp;CompilDonnées[[#This Row],[PlantationDate]])</f>
        <v>40145808</v>
      </c>
      <c r="O3207" t="str">
        <f>CompilDonnées[[#This Row],[FarmID]]&amp;CompilDonnées[[#This Row],[ModuleNumber]]</f>
        <v>401</v>
      </c>
      <c r="P3207" t="str">
        <f>CompilDonnées[[#This Row],[Ref_Module]]&amp;CompilDonnées[[#This Row],[HarvestingDate]]</f>
        <v>40145825</v>
      </c>
    </row>
    <row r="3208" spans="1:16">
      <c r="A3208" s="5">
        <v>45808</v>
      </c>
      <c r="B3208">
        <v>39</v>
      </c>
      <c r="C3208" t="s">
        <v>81</v>
      </c>
      <c r="D3208">
        <v>1</v>
      </c>
      <c r="E3208">
        <v>100</v>
      </c>
      <c r="F3208" t="s">
        <v>1</v>
      </c>
      <c r="G3208" s="6">
        <v>45825</v>
      </c>
      <c r="H3208">
        <v>17</v>
      </c>
      <c r="I3208">
        <f>ROUND(CompilDonnées[[#This Row],[CultureDuration_days]]/7,0)</f>
        <v>2</v>
      </c>
      <c r="J3208">
        <v>935</v>
      </c>
      <c r="K3208" t="str">
        <f>_xlfn.CONCAT(WEEKNUM(CompilDonnées[[#This Row],[PlantationDate]]), " ", YEAR(CompilDonnées[[#This Row],[PlantationDate]]))</f>
        <v>22 2025</v>
      </c>
      <c r="L3208" t="str">
        <f>CONCATENATE(MONTH(CompilDonnées[[#This Row],[PlantationDate]])," ", YEAR(CompilDonnées[[#This Row],[PlantationDate]]))</f>
        <v>5 2025</v>
      </c>
      <c r="M3208" t="str">
        <f>CONCATENATE(MONTH(CompilDonnées[[#This Row],[HarvestingDate]])," ", YEAR(CompilDonnées[[#This Row],[HarvestingDate]]))</f>
        <v>6 2025</v>
      </c>
      <c r="N3208">
        <f>_xlfn.NUMBERVALUE(CompilDonnées[[#This Row],[FarmID]]&amp;CompilDonnées[[#This Row],[ModuleNumber]]&amp;CompilDonnées[[#This Row],[PlantationDate]])</f>
        <v>39145808</v>
      </c>
      <c r="O3208" t="str">
        <f>CompilDonnées[[#This Row],[FarmID]]&amp;CompilDonnées[[#This Row],[ModuleNumber]]</f>
        <v>391</v>
      </c>
      <c r="P3208" t="str">
        <f>CompilDonnées[[#This Row],[Ref_Module]]&amp;CompilDonnées[[#This Row],[HarvestingDate]]</f>
        <v>39145825</v>
      </c>
    </row>
    <row r="3209" spans="1:16">
      <c r="A3209" s="5">
        <v>45808</v>
      </c>
      <c r="B3209">
        <v>34</v>
      </c>
      <c r="C3209" t="s">
        <v>68</v>
      </c>
      <c r="D3209">
        <v>2</v>
      </c>
      <c r="E3209">
        <v>100</v>
      </c>
      <c r="F3209" t="s">
        <v>1</v>
      </c>
      <c r="G3209" s="6">
        <v>45825</v>
      </c>
      <c r="H3209">
        <v>17</v>
      </c>
      <c r="I3209">
        <f>ROUND(CompilDonnées[[#This Row],[CultureDuration_days]]/7,0)</f>
        <v>2</v>
      </c>
      <c r="J3209">
        <v>0</v>
      </c>
      <c r="K3209" t="str">
        <f>_xlfn.CONCAT(WEEKNUM(CompilDonnées[[#This Row],[PlantationDate]]), " ", YEAR(CompilDonnées[[#This Row],[PlantationDate]]))</f>
        <v>22 2025</v>
      </c>
      <c r="L3209" t="str">
        <f>CONCATENATE(MONTH(CompilDonnées[[#This Row],[PlantationDate]])," ", YEAR(CompilDonnées[[#This Row],[PlantationDate]]))</f>
        <v>5 2025</v>
      </c>
      <c r="M3209" t="str">
        <f>CONCATENATE(MONTH(CompilDonnées[[#This Row],[HarvestingDate]])," ", YEAR(CompilDonnées[[#This Row],[HarvestingDate]]))</f>
        <v>6 2025</v>
      </c>
      <c r="N3209">
        <f>_xlfn.NUMBERVALUE(CompilDonnées[[#This Row],[FarmID]]&amp;CompilDonnées[[#This Row],[ModuleNumber]]&amp;CompilDonnées[[#This Row],[PlantationDate]])</f>
        <v>34245808</v>
      </c>
      <c r="O3209" t="str">
        <f>CompilDonnées[[#This Row],[FarmID]]&amp;CompilDonnées[[#This Row],[ModuleNumber]]</f>
        <v>342</v>
      </c>
      <c r="P3209" t="str">
        <f>CompilDonnées[[#This Row],[Ref_Module]]&amp;CompilDonnées[[#This Row],[HarvestingDate]]</f>
        <v>34245825</v>
      </c>
    </row>
    <row r="3210" spans="1:16">
      <c r="A3210" s="5">
        <v>45808</v>
      </c>
      <c r="B3210">
        <v>28</v>
      </c>
      <c r="C3210" t="s">
        <v>122</v>
      </c>
      <c r="D3210">
        <v>2</v>
      </c>
      <c r="E3210">
        <v>100</v>
      </c>
      <c r="F3210" t="s">
        <v>1</v>
      </c>
      <c r="G3210" s="6">
        <v>45829</v>
      </c>
      <c r="H3210">
        <v>21</v>
      </c>
      <c r="I3210">
        <f>ROUND(CompilDonnées[[#This Row],[CultureDuration_days]]/7,0)</f>
        <v>3</v>
      </c>
      <c r="J3210">
        <v>850</v>
      </c>
      <c r="K3210" t="str">
        <f>_xlfn.CONCAT(WEEKNUM(CompilDonnées[[#This Row],[PlantationDate]]), " ", YEAR(CompilDonnées[[#This Row],[PlantationDate]]))</f>
        <v>22 2025</v>
      </c>
      <c r="L3210" t="str">
        <f>CONCATENATE(MONTH(CompilDonnées[[#This Row],[PlantationDate]])," ", YEAR(CompilDonnées[[#This Row],[PlantationDate]]))</f>
        <v>5 2025</v>
      </c>
      <c r="M3210" t="str">
        <f>CONCATENATE(MONTH(CompilDonnées[[#This Row],[HarvestingDate]])," ", YEAR(CompilDonnées[[#This Row],[HarvestingDate]]))</f>
        <v>6 2025</v>
      </c>
      <c r="N3210">
        <f>_xlfn.NUMBERVALUE(CompilDonnées[[#This Row],[FarmID]]&amp;CompilDonnées[[#This Row],[ModuleNumber]]&amp;CompilDonnées[[#This Row],[PlantationDate]])</f>
        <v>28245808</v>
      </c>
      <c r="O3210" t="str">
        <f>CompilDonnées[[#This Row],[FarmID]]&amp;CompilDonnées[[#This Row],[ModuleNumber]]</f>
        <v>282</v>
      </c>
      <c r="P3210" t="str">
        <f>CompilDonnées[[#This Row],[Ref_Module]]&amp;CompilDonnées[[#This Row],[HarvestingDate]]</f>
        <v>28245829</v>
      </c>
    </row>
    <row r="3211" spans="1:16">
      <c r="A3211" s="5">
        <v>45808</v>
      </c>
      <c r="B3211">
        <v>27</v>
      </c>
      <c r="C3211" t="s">
        <v>88</v>
      </c>
      <c r="D3211">
        <v>1</v>
      </c>
      <c r="E3211">
        <v>100</v>
      </c>
      <c r="F3211" t="s">
        <v>1</v>
      </c>
      <c r="G3211" s="6">
        <v>45830</v>
      </c>
      <c r="H3211">
        <v>22</v>
      </c>
      <c r="I3211">
        <f>ROUND(CompilDonnées[[#This Row],[CultureDuration_days]]/7,0)</f>
        <v>3</v>
      </c>
      <c r="J3211">
        <v>811</v>
      </c>
      <c r="K3211" t="str">
        <f>_xlfn.CONCAT(WEEKNUM(CompilDonnées[[#This Row],[PlantationDate]]), " ", YEAR(CompilDonnées[[#This Row],[PlantationDate]]))</f>
        <v>22 2025</v>
      </c>
      <c r="L3211" t="str">
        <f>CONCATENATE(MONTH(CompilDonnées[[#This Row],[PlantationDate]])," ", YEAR(CompilDonnées[[#This Row],[PlantationDate]]))</f>
        <v>5 2025</v>
      </c>
      <c r="M3211" t="str">
        <f>CONCATENATE(MONTH(CompilDonnées[[#This Row],[HarvestingDate]])," ", YEAR(CompilDonnées[[#This Row],[HarvestingDate]]))</f>
        <v>6 2025</v>
      </c>
      <c r="N3211">
        <f>_xlfn.NUMBERVALUE(CompilDonnées[[#This Row],[FarmID]]&amp;CompilDonnées[[#This Row],[ModuleNumber]]&amp;CompilDonnées[[#This Row],[PlantationDate]])</f>
        <v>27145808</v>
      </c>
      <c r="O3211" t="str">
        <f>CompilDonnées[[#This Row],[FarmID]]&amp;CompilDonnées[[#This Row],[ModuleNumber]]</f>
        <v>271</v>
      </c>
      <c r="P3211" t="str">
        <f>CompilDonnées[[#This Row],[Ref_Module]]&amp;CompilDonnées[[#This Row],[HarvestingDate]]</f>
        <v>27145830</v>
      </c>
    </row>
    <row r="3212" spans="1:16">
      <c r="A3212" s="5">
        <v>45808</v>
      </c>
      <c r="B3212">
        <v>26</v>
      </c>
      <c r="C3212" t="s">
        <v>97</v>
      </c>
      <c r="D3212">
        <v>6</v>
      </c>
      <c r="E3212">
        <v>100</v>
      </c>
      <c r="F3212" t="s">
        <v>1</v>
      </c>
      <c r="G3212" s="6">
        <v>45844</v>
      </c>
      <c r="H3212">
        <v>36</v>
      </c>
      <c r="I3212">
        <f>ROUND(CompilDonnées[[#This Row],[CultureDuration_days]]/7,0)</f>
        <v>5</v>
      </c>
      <c r="J3212">
        <v>1456</v>
      </c>
      <c r="K3212" t="str">
        <f>_xlfn.CONCAT(WEEKNUM(CompilDonnées[[#This Row],[PlantationDate]]), " ", YEAR(CompilDonnées[[#This Row],[PlantationDate]]))</f>
        <v>22 2025</v>
      </c>
      <c r="L3212" t="str">
        <f>CONCATENATE(MONTH(CompilDonnées[[#This Row],[PlantationDate]])," ", YEAR(CompilDonnées[[#This Row],[PlantationDate]]))</f>
        <v>5 2025</v>
      </c>
      <c r="M3212" t="str">
        <f>CONCATENATE(MONTH(CompilDonnées[[#This Row],[HarvestingDate]])," ", YEAR(CompilDonnées[[#This Row],[HarvestingDate]]))</f>
        <v>7 2025</v>
      </c>
      <c r="N3212">
        <f>_xlfn.NUMBERVALUE(CompilDonnées[[#This Row],[FarmID]]&amp;CompilDonnées[[#This Row],[ModuleNumber]]&amp;CompilDonnées[[#This Row],[PlantationDate]])</f>
        <v>26645808</v>
      </c>
      <c r="O3212" t="str">
        <f>CompilDonnées[[#This Row],[FarmID]]&amp;CompilDonnées[[#This Row],[ModuleNumber]]</f>
        <v>266</v>
      </c>
      <c r="P3212" t="str">
        <f>CompilDonnées[[#This Row],[Ref_Module]]&amp;CompilDonnées[[#This Row],[HarvestingDate]]</f>
        <v>26645844</v>
      </c>
    </row>
    <row r="3213" spans="1:16">
      <c r="A3213" s="5">
        <v>45808</v>
      </c>
      <c r="B3213">
        <v>25</v>
      </c>
      <c r="C3213" t="s">
        <v>100</v>
      </c>
      <c r="D3213">
        <v>2</v>
      </c>
      <c r="E3213">
        <v>100</v>
      </c>
      <c r="F3213" t="s">
        <v>1</v>
      </c>
      <c r="G3213" s="6">
        <v>45845</v>
      </c>
      <c r="H3213">
        <v>37</v>
      </c>
      <c r="I3213">
        <f>ROUND(CompilDonnées[[#This Row],[CultureDuration_days]]/7,0)</f>
        <v>5</v>
      </c>
      <c r="J3213">
        <v>2178</v>
      </c>
      <c r="K3213" t="str">
        <f>_xlfn.CONCAT(WEEKNUM(CompilDonnées[[#This Row],[PlantationDate]]), " ", YEAR(CompilDonnées[[#This Row],[PlantationDate]]))</f>
        <v>22 2025</v>
      </c>
      <c r="L3213" t="str">
        <f>CONCATENATE(MONTH(CompilDonnées[[#This Row],[PlantationDate]])," ", YEAR(CompilDonnées[[#This Row],[PlantationDate]]))</f>
        <v>5 2025</v>
      </c>
      <c r="M3213" t="str">
        <f>CONCATENATE(MONTH(CompilDonnées[[#This Row],[HarvestingDate]])," ", YEAR(CompilDonnées[[#This Row],[HarvestingDate]]))</f>
        <v>7 2025</v>
      </c>
      <c r="N3213">
        <f>_xlfn.NUMBERVALUE(CompilDonnées[[#This Row],[FarmID]]&amp;CompilDonnées[[#This Row],[ModuleNumber]]&amp;CompilDonnées[[#This Row],[PlantationDate]])</f>
        <v>25245808</v>
      </c>
      <c r="O3213" t="str">
        <f>CompilDonnées[[#This Row],[FarmID]]&amp;CompilDonnées[[#This Row],[ModuleNumber]]</f>
        <v>252</v>
      </c>
      <c r="P3213" t="str">
        <f>CompilDonnées[[#This Row],[Ref_Module]]&amp;CompilDonnées[[#This Row],[HarvestingDate]]</f>
        <v>25245845</v>
      </c>
    </row>
    <row r="3214" spans="1:16">
      <c r="A3214" s="5">
        <v>45808</v>
      </c>
      <c r="B3214">
        <v>20</v>
      </c>
      <c r="C3214" t="s">
        <v>53</v>
      </c>
      <c r="D3214">
        <v>1</v>
      </c>
      <c r="E3214">
        <v>100</v>
      </c>
      <c r="F3214" t="s">
        <v>1</v>
      </c>
      <c r="G3214" s="6">
        <v>45845</v>
      </c>
      <c r="H3214">
        <v>37</v>
      </c>
      <c r="I3214">
        <f>ROUND(CompilDonnées[[#This Row],[CultureDuration_days]]/7,0)</f>
        <v>5</v>
      </c>
      <c r="J3214">
        <v>2400</v>
      </c>
      <c r="K3214" t="str">
        <f>_xlfn.CONCAT(WEEKNUM(CompilDonnées[[#This Row],[PlantationDate]]), " ", YEAR(CompilDonnées[[#This Row],[PlantationDate]]))</f>
        <v>22 2025</v>
      </c>
      <c r="L3214" t="str">
        <f>CONCATENATE(MONTH(CompilDonnées[[#This Row],[PlantationDate]])," ", YEAR(CompilDonnées[[#This Row],[PlantationDate]]))</f>
        <v>5 2025</v>
      </c>
      <c r="M3214" t="str">
        <f>CONCATENATE(MONTH(CompilDonnées[[#This Row],[HarvestingDate]])," ", YEAR(CompilDonnées[[#This Row],[HarvestingDate]]))</f>
        <v>7 2025</v>
      </c>
      <c r="N3214">
        <f>_xlfn.NUMBERVALUE(CompilDonnées[[#This Row],[FarmID]]&amp;CompilDonnées[[#This Row],[ModuleNumber]]&amp;CompilDonnées[[#This Row],[PlantationDate]])</f>
        <v>20145808</v>
      </c>
      <c r="O3214" t="str">
        <f>CompilDonnées[[#This Row],[FarmID]]&amp;CompilDonnées[[#This Row],[ModuleNumber]]</f>
        <v>201</v>
      </c>
      <c r="P3214" t="str">
        <f>CompilDonnées[[#This Row],[Ref_Module]]&amp;CompilDonnées[[#This Row],[HarvestingDate]]</f>
        <v>20145845</v>
      </c>
    </row>
    <row r="3215" spans="1:16">
      <c r="A3215" s="5">
        <v>45808</v>
      </c>
      <c r="B3215">
        <v>13</v>
      </c>
      <c r="C3215" t="s">
        <v>114</v>
      </c>
      <c r="D3215">
        <v>2</v>
      </c>
      <c r="E3215">
        <v>100</v>
      </c>
      <c r="F3215" t="s">
        <v>1</v>
      </c>
      <c r="G3215" s="6">
        <v>45845</v>
      </c>
      <c r="H3215">
        <v>37</v>
      </c>
      <c r="I3215">
        <f>ROUND(CompilDonnées[[#This Row],[CultureDuration_days]]/7,0)</f>
        <v>5</v>
      </c>
      <c r="J3215">
        <v>3335</v>
      </c>
      <c r="K3215" t="str">
        <f>_xlfn.CONCAT(WEEKNUM(CompilDonnées[[#This Row],[PlantationDate]]), " ", YEAR(CompilDonnées[[#This Row],[PlantationDate]]))</f>
        <v>22 2025</v>
      </c>
      <c r="L3215" t="str">
        <f>CONCATENATE(MONTH(CompilDonnées[[#This Row],[PlantationDate]])," ", YEAR(CompilDonnées[[#This Row],[PlantationDate]]))</f>
        <v>5 2025</v>
      </c>
      <c r="M3215" t="str">
        <f>CONCATENATE(MONTH(CompilDonnées[[#This Row],[HarvestingDate]])," ", YEAR(CompilDonnées[[#This Row],[HarvestingDate]]))</f>
        <v>7 2025</v>
      </c>
      <c r="N3215">
        <f>_xlfn.NUMBERVALUE(CompilDonnées[[#This Row],[FarmID]]&amp;CompilDonnées[[#This Row],[ModuleNumber]]&amp;CompilDonnées[[#This Row],[PlantationDate]])</f>
        <v>13245808</v>
      </c>
      <c r="O3215" t="str">
        <f>CompilDonnées[[#This Row],[FarmID]]&amp;CompilDonnées[[#This Row],[ModuleNumber]]</f>
        <v>132</v>
      </c>
      <c r="P3215" t="str">
        <f>CompilDonnées[[#This Row],[Ref_Module]]&amp;CompilDonnées[[#This Row],[HarvestingDate]]</f>
        <v>13245845</v>
      </c>
    </row>
    <row r="3216" spans="1:16">
      <c r="A3216" s="5">
        <v>45808</v>
      </c>
      <c r="B3216">
        <v>10</v>
      </c>
      <c r="C3216" t="s">
        <v>109</v>
      </c>
      <c r="D3216">
        <v>4</v>
      </c>
      <c r="E3216">
        <v>100</v>
      </c>
      <c r="F3216" t="s">
        <v>1</v>
      </c>
      <c r="G3216" s="6">
        <v>45845</v>
      </c>
      <c r="H3216">
        <v>37</v>
      </c>
      <c r="I3216">
        <f>ROUND(CompilDonnées[[#This Row],[CultureDuration_days]]/7,0)</f>
        <v>5</v>
      </c>
      <c r="J3216">
        <v>1912</v>
      </c>
      <c r="K3216" t="str">
        <f>_xlfn.CONCAT(WEEKNUM(CompilDonnées[[#This Row],[PlantationDate]]), " ", YEAR(CompilDonnées[[#This Row],[PlantationDate]]))</f>
        <v>22 2025</v>
      </c>
      <c r="L3216" t="str">
        <f>CONCATENATE(MONTH(CompilDonnées[[#This Row],[PlantationDate]])," ", YEAR(CompilDonnées[[#This Row],[PlantationDate]]))</f>
        <v>5 2025</v>
      </c>
      <c r="M3216" t="str">
        <f>CONCATENATE(MONTH(CompilDonnées[[#This Row],[HarvestingDate]])," ", YEAR(CompilDonnées[[#This Row],[HarvestingDate]]))</f>
        <v>7 2025</v>
      </c>
      <c r="N3216">
        <f>_xlfn.NUMBERVALUE(CompilDonnées[[#This Row],[FarmID]]&amp;CompilDonnées[[#This Row],[ModuleNumber]]&amp;CompilDonnées[[#This Row],[PlantationDate]])</f>
        <v>10445808</v>
      </c>
      <c r="O3216" t="str">
        <f>CompilDonnées[[#This Row],[FarmID]]&amp;CompilDonnées[[#This Row],[ModuleNumber]]</f>
        <v>104</v>
      </c>
      <c r="P3216" t="str">
        <f>CompilDonnées[[#This Row],[Ref_Module]]&amp;CompilDonnées[[#This Row],[HarvestingDate]]</f>
        <v>10445845</v>
      </c>
    </row>
    <row r="3217" spans="1:16">
      <c r="A3217" s="5">
        <v>45808</v>
      </c>
      <c r="B3217">
        <v>9</v>
      </c>
      <c r="C3217" t="s">
        <v>107</v>
      </c>
      <c r="D3217">
        <v>6</v>
      </c>
      <c r="E3217">
        <v>100</v>
      </c>
      <c r="F3217" t="s">
        <v>1</v>
      </c>
      <c r="G3217" s="6">
        <v>45845</v>
      </c>
      <c r="H3217">
        <v>37</v>
      </c>
      <c r="I3217">
        <f>ROUND(CompilDonnées[[#This Row],[CultureDuration_days]]/7,0)</f>
        <v>5</v>
      </c>
      <c r="J3217">
        <v>2721</v>
      </c>
      <c r="K3217" t="str">
        <f>_xlfn.CONCAT(WEEKNUM(CompilDonnées[[#This Row],[PlantationDate]]), " ", YEAR(CompilDonnées[[#This Row],[PlantationDate]]))</f>
        <v>22 2025</v>
      </c>
      <c r="L3217" t="str">
        <f>CONCATENATE(MONTH(CompilDonnées[[#This Row],[PlantationDate]])," ", YEAR(CompilDonnées[[#This Row],[PlantationDate]]))</f>
        <v>5 2025</v>
      </c>
      <c r="M3217" t="str">
        <f>CONCATENATE(MONTH(CompilDonnées[[#This Row],[HarvestingDate]])," ", YEAR(CompilDonnées[[#This Row],[HarvestingDate]]))</f>
        <v>7 2025</v>
      </c>
      <c r="N3217">
        <f>_xlfn.NUMBERVALUE(CompilDonnées[[#This Row],[FarmID]]&amp;CompilDonnées[[#This Row],[ModuleNumber]]&amp;CompilDonnées[[#This Row],[PlantationDate]])</f>
        <v>9645808</v>
      </c>
      <c r="O3217" t="str">
        <f>CompilDonnées[[#This Row],[FarmID]]&amp;CompilDonnées[[#This Row],[ModuleNumber]]</f>
        <v>96</v>
      </c>
      <c r="P3217" t="str">
        <f>CompilDonnées[[#This Row],[Ref_Module]]&amp;CompilDonnées[[#This Row],[HarvestingDate]]</f>
        <v>9645845</v>
      </c>
    </row>
    <row r="3218" spans="1:16">
      <c r="A3218" s="5">
        <v>45808</v>
      </c>
      <c r="B3218">
        <v>1</v>
      </c>
      <c r="C3218" t="s">
        <v>111</v>
      </c>
      <c r="D3218">
        <v>5</v>
      </c>
      <c r="E3218">
        <v>100</v>
      </c>
      <c r="F3218" t="s">
        <v>1</v>
      </c>
      <c r="G3218" s="6">
        <v>45845</v>
      </c>
      <c r="H3218">
        <v>37</v>
      </c>
      <c r="I3218">
        <f>ROUND(CompilDonnées[[#This Row],[CultureDuration_days]]/7,0)</f>
        <v>5</v>
      </c>
      <c r="J3218">
        <v>3210</v>
      </c>
      <c r="K3218" t="str">
        <f>_xlfn.CONCAT(WEEKNUM(CompilDonnées[[#This Row],[PlantationDate]]), " ", YEAR(CompilDonnées[[#This Row],[PlantationDate]]))</f>
        <v>22 2025</v>
      </c>
      <c r="L3218" t="str">
        <f>CONCATENATE(MONTH(CompilDonnées[[#This Row],[PlantationDate]])," ", YEAR(CompilDonnées[[#This Row],[PlantationDate]]))</f>
        <v>5 2025</v>
      </c>
      <c r="M3218" t="str">
        <f>CONCATENATE(MONTH(CompilDonnées[[#This Row],[HarvestingDate]])," ", YEAR(CompilDonnées[[#This Row],[HarvestingDate]]))</f>
        <v>7 2025</v>
      </c>
      <c r="N3218">
        <f>_xlfn.NUMBERVALUE(CompilDonnées[[#This Row],[FarmID]]&amp;CompilDonnées[[#This Row],[ModuleNumber]]&amp;CompilDonnées[[#This Row],[PlantationDate]])</f>
        <v>1545808</v>
      </c>
      <c r="O3218" t="str">
        <f>CompilDonnées[[#This Row],[FarmID]]&amp;CompilDonnées[[#This Row],[ModuleNumber]]</f>
        <v>15</v>
      </c>
      <c r="P3218" t="str">
        <f>CompilDonnées[[#This Row],[Ref_Module]]&amp;CompilDonnées[[#This Row],[HarvestingDate]]</f>
        <v>1545845</v>
      </c>
    </row>
    <row r="3219" spans="1:16">
      <c r="A3219" s="5">
        <v>45808</v>
      </c>
      <c r="B3219">
        <v>8</v>
      </c>
      <c r="C3219" t="s">
        <v>57</v>
      </c>
      <c r="D3219">
        <v>1</v>
      </c>
      <c r="E3219">
        <v>100</v>
      </c>
      <c r="F3219" t="s">
        <v>1</v>
      </c>
      <c r="G3219" s="6">
        <v>45855</v>
      </c>
      <c r="H3219">
        <v>47</v>
      </c>
      <c r="I3219">
        <f>ROUND(CompilDonnées[[#This Row],[CultureDuration_days]]/7,0)</f>
        <v>7</v>
      </c>
      <c r="J3219">
        <v>2553</v>
      </c>
      <c r="K3219" t="str">
        <f>_xlfn.CONCAT(WEEKNUM(CompilDonnées[[#This Row],[PlantationDate]]), " ", YEAR(CompilDonnées[[#This Row],[PlantationDate]]))</f>
        <v>22 2025</v>
      </c>
      <c r="L3219" t="str">
        <f>CONCATENATE(MONTH(CompilDonnées[[#This Row],[PlantationDate]])," ", YEAR(CompilDonnées[[#This Row],[PlantationDate]]))</f>
        <v>5 2025</v>
      </c>
      <c r="M3219" t="str">
        <f>CONCATENATE(MONTH(CompilDonnées[[#This Row],[HarvestingDate]])," ", YEAR(CompilDonnées[[#This Row],[HarvestingDate]]))</f>
        <v>7 2025</v>
      </c>
      <c r="N3219">
        <f>_xlfn.NUMBERVALUE(CompilDonnées[[#This Row],[FarmID]]&amp;CompilDonnées[[#This Row],[ModuleNumber]]&amp;CompilDonnées[[#This Row],[PlantationDate]])</f>
        <v>8145808</v>
      </c>
      <c r="O3219" t="str">
        <f>CompilDonnées[[#This Row],[FarmID]]&amp;CompilDonnées[[#This Row],[ModuleNumber]]</f>
        <v>81</v>
      </c>
      <c r="P3219" t="str">
        <f>CompilDonnées[[#This Row],[Ref_Module]]&amp;CompilDonnées[[#This Row],[HarvestingDate]]</f>
        <v>8145855</v>
      </c>
    </row>
    <row r="3220" spans="1:16">
      <c r="A3220" s="5">
        <v>45808</v>
      </c>
      <c r="B3220">
        <v>12</v>
      </c>
      <c r="C3220" t="s">
        <v>123</v>
      </c>
      <c r="D3220">
        <v>3</v>
      </c>
      <c r="E3220">
        <v>100</v>
      </c>
      <c r="F3220" t="s">
        <v>1</v>
      </c>
      <c r="G3220" s="6">
        <v>45855</v>
      </c>
      <c r="H3220">
        <v>47</v>
      </c>
      <c r="I3220">
        <f>ROUND(CompilDonnées[[#This Row],[CultureDuration_days]]/7,0)</f>
        <v>7</v>
      </c>
      <c r="J3220">
        <v>2083</v>
      </c>
      <c r="K3220" t="str">
        <f>_xlfn.CONCAT(WEEKNUM(CompilDonnées[[#This Row],[PlantationDate]]), " ", YEAR(CompilDonnées[[#This Row],[PlantationDate]]))</f>
        <v>22 2025</v>
      </c>
      <c r="L3220" t="str">
        <f>CONCATENATE(MONTH(CompilDonnées[[#This Row],[PlantationDate]])," ", YEAR(CompilDonnées[[#This Row],[PlantationDate]]))</f>
        <v>5 2025</v>
      </c>
      <c r="M3220" t="str">
        <f>CONCATENATE(MONTH(CompilDonnées[[#This Row],[HarvestingDate]])," ", YEAR(CompilDonnées[[#This Row],[HarvestingDate]]))</f>
        <v>7 2025</v>
      </c>
      <c r="N3220">
        <f>_xlfn.NUMBERVALUE(CompilDonnées[[#This Row],[FarmID]]&amp;CompilDonnées[[#This Row],[ModuleNumber]]&amp;CompilDonnées[[#This Row],[PlantationDate]])</f>
        <v>12345808</v>
      </c>
      <c r="O3220" t="str">
        <f>CompilDonnées[[#This Row],[FarmID]]&amp;CompilDonnées[[#This Row],[ModuleNumber]]</f>
        <v>123</v>
      </c>
      <c r="P3220" t="str">
        <f>CompilDonnées[[#This Row],[Ref_Module]]&amp;CompilDonnées[[#This Row],[HarvestingDate]]</f>
        <v>12345855</v>
      </c>
    </row>
    <row r="3221" spans="1:16">
      <c r="A3221" s="5">
        <v>45808</v>
      </c>
      <c r="B3221">
        <v>2</v>
      </c>
      <c r="C3221" t="s">
        <v>119</v>
      </c>
      <c r="D3221">
        <v>3</v>
      </c>
      <c r="E3221">
        <v>100</v>
      </c>
      <c r="F3221" t="s">
        <v>1</v>
      </c>
      <c r="G3221" s="6">
        <v>45845</v>
      </c>
      <c r="H3221">
        <v>37</v>
      </c>
      <c r="I3221">
        <f>ROUND(CompilDonnées[[#This Row],[CultureDuration_days]]/7,0)</f>
        <v>5</v>
      </c>
      <c r="J3221">
        <v>2366</v>
      </c>
      <c r="K3221" t="str">
        <f>_xlfn.CONCAT(WEEKNUM(CompilDonnées[[#This Row],[PlantationDate]]), " ", YEAR(CompilDonnées[[#This Row],[PlantationDate]]))</f>
        <v>22 2025</v>
      </c>
      <c r="L3221" t="str">
        <f>CONCATENATE(MONTH(CompilDonnées[[#This Row],[PlantationDate]])," ", YEAR(CompilDonnées[[#This Row],[PlantationDate]]))</f>
        <v>5 2025</v>
      </c>
      <c r="M3221" t="str">
        <f>CONCATENATE(MONTH(CompilDonnées[[#This Row],[HarvestingDate]])," ", YEAR(CompilDonnées[[#This Row],[HarvestingDate]]))</f>
        <v>7 2025</v>
      </c>
      <c r="N3221">
        <f>_xlfn.NUMBERVALUE(CompilDonnées[[#This Row],[FarmID]]&amp;CompilDonnées[[#This Row],[ModuleNumber]]&amp;CompilDonnées[[#This Row],[PlantationDate]])</f>
        <v>2345808</v>
      </c>
      <c r="O3221" t="str">
        <f>CompilDonnées[[#This Row],[FarmID]]&amp;CompilDonnées[[#This Row],[ModuleNumber]]</f>
        <v>23</v>
      </c>
      <c r="P3221" t="str">
        <f>CompilDonnées[[#This Row],[Ref_Module]]&amp;CompilDonnées[[#This Row],[HarvestingDate]]</f>
        <v>2345845</v>
      </c>
    </row>
    <row r="3222" spans="1:16">
      <c r="A3222" s="5">
        <v>45808</v>
      </c>
      <c r="B3222">
        <v>2</v>
      </c>
      <c r="C3222" t="s">
        <v>119</v>
      </c>
      <c r="D3222">
        <v>2</v>
      </c>
      <c r="E3222">
        <v>100</v>
      </c>
      <c r="F3222" t="s">
        <v>1</v>
      </c>
      <c r="G3222" s="6">
        <v>45856</v>
      </c>
      <c r="H3222">
        <v>48</v>
      </c>
      <c r="I3222">
        <f>ROUND(CompilDonnées[[#This Row],[CultureDuration_days]]/7,0)</f>
        <v>7</v>
      </c>
      <c r="J3222">
        <v>2461</v>
      </c>
      <c r="K3222" t="str">
        <f>_xlfn.CONCAT(WEEKNUM(CompilDonnées[[#This Row],[PlantationDate]]), " ", YEAR(CompilDonnées[[#This Row],[PlantationDate]]))</f>
        <v>22 2025</v>
      </c>
      <c r="L3222" t="str">
        <f>CONCATENATE(MONTH(CompilDonnées[[#This Row],[PlantationDate]])," ", YEAR(CompilDonnées[[#This Row],[PlantationDate]]))</f>
        <v>5 2025</v>
      </c>
      <c r="M3222" t="str">
        <f>CONCATENATE(MONTH(CompilDonnées[[#This Row],[HarvestingDate]])," ", YEAR(CompilDonnées[[#This Row],[HarvestingDate]]))</f>
        <v>7 2025</v>
      </c>
      <c r="N3222">
        <f>_xlfn.NUMBERVALUE(CompilDonnées[[#This Row],[FarmID]]&amp;CompilDonnées[[#This Row],[ModuleNumber]]&amp;CompilDonnées[[#This Row],[PlantationDate]])</f>
        <v>2245808</v>
      </c>
      <c r="O3222" t="str">
        <f>CompilDonnées[[#This Row],[FarmID]]&amp;CompilDonnées[[#This Row],[ModuleNumber]]</f>
        <v>22</v>
      </c>
      <c r="P3222" t="str">
        <f>CompilDonnées[[#This Row],[Ref_Module]]&amp;CompilDonnées[[#This Row],[HarvestingDate]]</f>
        <v>2245856</v>
      </c>
    </row>
    <row r="3223" spans="1:16">
      <c r="A3223" s="5">
        <v>45808</v>
      </c>
      <c r="B3223">
        <v>19</v>
      </c>
      <c r="C3223" t="s">
        <v>108</v>
      </c>
      <c r="D3223">
        <v>2</v>
      </c>
      <c r="E3223">
        <v>100</v>
      </c>
      <c r="F3223" t="s">
        <v>1</v>
      </c>
      <c r="G3223" s="6">
        <v>45845</v>
      </c>
      <c r="H3223">
        <v>37</v>
      </c>
      <c r="I3223">
        <f>ROUND(CompilDonnées[[#This Row],[CultureDuration_days]]/7,0)</f>
        <v>5</v>
      </c>
      <c r="J3223">
        <v>2689</v>
      </c>
      <c r="K3223" t="str">
        <f>_xlfn.CONCAT(WEEKNUM(CompilDonnées[[#This Row],[PlantationDate]]), " ", YEAR(CompilDonnées[[#This Row],[PlantationDate]]))</f>
        <v>22 2025</v>
      </c>
      <c r="L3223" t="str">
        <f>CONCATENATE(MONTH(CompilDonnées[[#This Row],[PlantationDate]])," ", YEAR(CompilDonnées[[#This Row],[PlantationDate]]))</f>
        <v>5 2025</v>
      </c>
      <c r="M3223" t="str">
        <f>CONCATENATE(MONTH(CompilDonnées[[#This Row],[HarvestingDate]])," ", YEAR(CompilDonnées[[#This Row],[HarvestingDate]]))</f>
        <v>7 2025</v>
      </c>
      <c r="N3223">
        <f>_xlfn.NUMBERVALUE(CompilDonnées[[#This Row],[FarmID]]&amp;CompilDonnées[[#This Row],[ModuleNumber]]&amp;CompilDonnées[[#This Row],[PlantationDate]])</f>
        <v>19245808</v>
      </c>
      <c r="O3223" t="str">
        <f>CompilDonnées[[#This Row],[FarmID]]&amp;CompilDonnées[[#This Row],[ModuleNumber]]</f>
        <v>192</v>
      </c>
      <c r="P3223" t="str">
        <f>CompilDonnées[[#This Row],[Ref_Module]]&amp;CompilDonnées[[#This Row],[HarvestingDate]]</f>
        <v>19245845</v>
      </c>
    </row>
    <row r="3224" spans="1:16">
      <c r="A3224" s="5">
        <v>45808</v>
      </c>
      <c r="B3224">
        <v>33</v>
      </c>
      <c r="C3224" t="s">
        <v>104</v>
      </c>
      <c r="D3224">
        <v>4</v>
      </c>
      <c r="E3224">
        <v>100</v>
      </c>
      <c r="F3224" t="s">
        <v>1</v>
      </c>
      <c r="G3224" s="6">
        <v>45826</v>
      </c>
      <c r="H3224">
        <v>18</v>
      </c>
      <c r="I3224">
        <f>ROUND(CompilDonnées[[#This Row],[CultureDuration_days]]/7,0)</f>
        <v>3</v>
      </c>
      <c r="J3224">
        <v>0</v>
      </c>
      <c r="K3224" t="str">
        <f>_xlfn.CONCAT(WEEKNUM(CompilDonnées[[#This Row],[PlantationDate]]), " ", YEAR(CompilDonnées[[#This Row],[PlantationDate]]))</f>
        <v>22 2025</v>
      </c>
      <c r="L3224" t="str">
        <f>CONCATENATE(MONTH(CompilDonnées[[#This Row],[PlantationDate]])," ", YEAR(CompilDonnées[[#This Row],[PlantationDate]]))</f>
        <v>5 2025</v>
      </c>
      <c r="M3224" t="str">
        <f>CONCATENATE(MONTH(CompilDonnées[[#This Row],[HarvestingDate]])," ", YEAR(CompilDonnées[[#This Row],[HarvestingDate]]))</f>
        <v>6 2025</v>
      </c>
      <c r="N3224">
        <f>_xlfn.NUMBERVALUE(CompilDonnées[[#This Row],[FarmID]]&amp;CompilDonnées[[#This Row],[ModuleNumber]]&amp;CompilDonnées[[#This Row],[PlantationDate]])</f>
        <v>33445808</v>
      </c>
      <c r="O3224" t="str">
        <f>CompilDonnées[[#This Row],[FarmID]]&amp;CompilDonnées[[#This Row],[ModuleNumber]]</f>
        <v>334</v>
      </c>
      <c r="P3224" t="str">
        <f>CompilDonnées[[#This Row],[Ref_Module]]&amp;CompilDonnées[[#This Row],[HarvestingDate]]</f>
        <v>33445826</v>
      </c>
    </row>
    <row r="3225" spans="1:16">
      <c r="A3225" s="5">
        <v>45812</v>
      </c>
      <c r="B3225">
        <v>6</v>
      </c>
      <c r="C3225" t="s">
        <v>24</v>
      </c>
      <c r="D3225">
        <v>5</v>
      </c>
      <c r="E3225">
        <v>100</v>
      </c>
      <c r="F3225" t="s">
        <v>1</v>
      </c>
      <c r="G3225" s="6">
        <v>45856</v>
      </c>
      <c r="H3225">
        <v>44</v>
      </c>
      <c r="I3225">
        <f>ROUND(CompilDonnées[[#This Row],[CultureDuration_days]]/7,0)</f>
        <v>6</v>
      </c>
      <c r="J3225">
        <v>2964</v>
      </c>
      <c r="K3225" t="str">
        <f>_xlfn.CONCAT(WEEKNUM(CompilDonnées[[#This Row],[PlantationDate]]), " ", YEAR(CompilDonnées[[#This Row],[PlantationDate]]))</f>
        <v>23 2025</v>
      </c>
      <c r="L3225" t="str">
        <f>CONCATENATE(MONTH(CompilDonnées[[#This Row],[PlantationDate]])," ", YEAR(CompilDonnées[[#This Row],[PlantationDate]]))</f>
        <v>6 2025</v>
      </c>
      <c r="M3225" t="str">
        <f>CONCATENATE(MONTH(CompilDonnées[[#This Row],[HarvestingDate]])," ", YEAR(CompilDonnées[[#This Row],[HarvestingDate]]))</f>
        <v>7 2025</v>
      </c>
      <c r="N3225">
        <f>_xlfn.NUMBERVALUE(CompilDonnées[[#This Row],[FarmID]]&amp;CompilDonnées[[#This Row],[ModuleNumber]]&amp;CompilDonnées[[#This Row],[PlantationDate]])</f>
        <v>6545812</v>
      </c>
      <c r="O3225" t="str">
        <f>CompilDonnées[[#This Row],[FarmID]]&amp;CompilDonnées[[#This Row],[ModuleNumber]]</f>
        <v>65</v>
      </c>
      <c r="P3225" t="str">
        <f>CompilDonnées[[#This Row],[Ref_Module]]&amp;CompilDonnées[[#This Row],[HarvestingDate]]</f>
        <v>6545856</v>
      </c>
    </row>
    <row r="3226" spans="1:16">
      <c r="A3226" s="5">
        <v>45812</v>
      </c>
      <c r="B3226">
        <v>5</v>
      </c>
      <c r="C3226" t="s">
        <v>32</v>
      </c>
      <c r="D3226">
        <v>5</v>
      </c>
      <c r="E3226">
        <v>100</v>
      </c>
      <c r="F3226" t="s">
        <v>1</v>
      </c>
      <c r="G3226" s="6">
        <v>45856</v>
      </c>
      <c r="H3226">
        <v>44</v>
      </c>
      <c r="I3226">
        <f>ROUND(CompilDonnées[[#This Row],[CultureDuration_days]]/7,0)</f>
        <v>6</v>
      </c>
      <c r="J3226">
        <v>2017</v>
      </c>
      <c r="K3226" t="str">
        <f>_xlfn.CONCAT(WEEKNUM(CompilDonnées[[#This Row],[PlantationDate]]), " ", YEAR(CompilDonnées[[#This Row],[PlantationDate]]))</f>
        <v>23 2025</v>
      </c>
      <c r="L3226" t="str">
        <f>CONCATENATE(MONTH(CompilDonnées[[#This Row],[PlantationDate]])," ", YEAR(CompilDonnées[[#This Row],[PlantationDate]]))</f>
        <v>6 2025</v>
      </c>
      <c r="M3226" t="str">
        <f>CONCATENATE(MONTH(CompilDonnées[[#This Row],[HarvestingDate]])," ", YEAR(CompilDonnées[[#This Row],[HarvestingDate]]))</f>
        <v>7 2025</v>
      </c>
      <c r="N3226">
        <f>_xlfn.NUMBERVALUE(CompilDonnées[[#This Row],[FarmID]]&amp;CompilDonnées[[#This Row],[ModuleNumber]]&amp;CompilDonnées[[#This Row],[PlantationDate]])</f>
        <v>5545812</v>
      </c>
      <c r="O3226" t="str">
        <f>CompilDonnées[[#This Row],[FarmID]]&amp;CompilDonnées[[#This Row],[ModuleNumber]]</f>
        <v>55</v>
      </c>
      <c r="P3226" t="str">
        <f>CompilDonnées[[#This Row],[Ref_Module]]&amp;CompilDonnées[[#This Row],[HarvestingDate]]</f>
        <v>5545856</v>
      </c>
    </row>
    <row r="3227" spans="1:16">
      <c r="A3227" s="5">
        <v>45812</v>
      </c>
      <c r="B3227">
        <v>4</v>
      </c>
      <c r="C3227" t="s">
        <v>74</v>
      </c>
      <c r="D3227">
        <v>6</v>
      </c>
      <c r="E3227">
        <v>100</v>
      </c>
      <c r="F3227" t="s">
        <v>1</v>
      </c>
      <c r="G3227" s="6">
        <v>45856</v>
      </c>
      <c r="H3227">
        <v>44</v>
      </c>
      <c r="I3227">
        <f>ROUND(CompilDonnées[[#This Row],[CultureDuration_days]]/7,0)</f>
        <v>6</v>
      </c>
      <c r="J3227">
        <v>2203</v>
      </c>
      <c r="K3227" t="str">
        <f>_xlfn.CONCAT(WEEKNUM(CompilDonnées[[#This Row],[PlantationDate]]), " ", YEAR(CompilDonnées[[#This Row],[PlantationDate]]))</f>
        <v>23 2025</v>
      </c>
      <c r="L3227" t="str">
        <f>CONCATENATE(MONTH(CompilDonnées[[#This Row],[PlantationDate]])," ", YEAR(CompilDonnées[[#This Row],[PlantationDate]]))</f>
        <v>6 2025</v>
      </c>
      <c r="M3227" t="str">
        <f>CONCATENATE(MONTH(CompilDonnées[[#This Row],[HarvestingDate]])," ", YEAR(CompilDonnées[[#This Row],[HarvestingDate]]))</f>
        <v>7 2025</v>
      </c>
      <c r="N3227">
        <f>_xlfn.NUMBERVALUE(CompilDonnées[[#This Row],[FarmID]]&amp;CompilDonnées[[#This Row],[ModuleNumber]]&amp;CompilDonnées[[#This Row],[PlantationDate]])</f>
        <v>4645812</v>
      </c>
      <c r="O3227" t="str">
        <f>CompilDonnées[[#This Row],[FarmID]]&amp;CompilDonnées[[#This Row],[ModuleNumber]]</f>
        <v>46</v>
      </c>
      <c r="P3227" t="str">
        <f>CompilDonnées[[#This Row],[Ref_Module]]&amp;CompilDonnées[[#This Row],[HarvestingDate]]</f>
        <v>4645856</v>
      </c>
    </row>
    <row r="3228" spans="1:16">
      <c r="A3228" s="5">
        <v>45812</v>
      </c>
      <c r="B3228">
        <v>3</v>
      </c>
      <c r="C3228" t="s">
        <v>116</v>
      </c>
      <c r="D3228">
        <v>6</v>
      </c>
      <c r="E3228">
        <v>100</v>
      </c>
      <c r="F3228" t="s">
        <v>1</v>
      </c>
      <c r="G3228" s="6">
        <v>45856</v>
      </c>
      <c r="H3228">
        <v>44</v>
      </c>
      <c r="I3228">
        <f>ROUND(CompilDonnées[[#This Row],[CultureDuration_days]]/7,0)</f>
        <v>6</v>
      </c>
      <c r="J3228">
        <v>2630</v>
      </c>
      <c r="K3228" t="str">
        <f>_xlfn.CONCAT(WEEKNUM(CompilDonnées[[#This Row],[PlantationDate]]), " ", YEAR(CompilDonnées[[#This Row],[PlantationDate]]))</f>
        <v>23 2025</v>
      </c>
      <c r="L3228" t="str">
        <f>CONCATENATE(MONTH(CompilDonnées[[#This Row],[PlantationDate]])," ", YEAR(CompilDonnées[[#This Row],[PlantationDate]]))</f>
        <v>6 2025</v>
      </c>
      <c r="M3228" t="str">
        <f>CONCATENATE(MONTH(CompilDonnées[[#This Row],[HarvestingDate]])," ", YEAR(CompilDonnées[[#This Row],[HarvestingDate]]))</f>
        <v>7 2025</v>
      </c>
      <c r="N3228">
        <f>_xlfn.NUMBERVALUE(CompilDonnées[[#This Row],[FarmID]]&amp;CompilDonnées[[#This Row],[ModuleNumber]]&amp;CompilDonnées[[#This Row],[PlantationDate]])</f>
        <v>3645812</v>
      </c>
      <c r="O3228" t="str">
        <f>CompilDonnées[[#This Row],[FarmID]]&amp;CompilDonnées[[#This Row],[ModuleNumber]]</f>
        <v>36</v>
      </c>
      <c r="P3228" t="str">
        <f>CompilDonnées[[#This Row],[Ref_Module]]&amp;CompilDonnées[[#This Row],[HarvestingDate]]</f>
        <v>3645856</v>
      </c>
    </row>
    <row r="3229" spans="1:16">
      <c r="A3229" s="5">
        <v>45812</v>
      </c>
      <c r="B3229">
        <v>18</v>
      </c>
      <c r="C3229" t="s">
        <v>33</v>
      </c>
      <c r="D3229">
        <v>4</v>
      </c>
      <c r="E3229">
        <v>100</v>
      </c>
      <c r="F3229" t="s">
        <v>1</v>
      </c>
      <c r="G3229" s="6">
        <v>45855</v>
      </c>
      <c r="H3229">
        <v>43</v>
      </c>
      <c r="I3229">
        <f>ROUND(CompilDonnées[[#This Row],[CultureDuration_days]]/7,0)</f>
        <v>6</v>
      </c>
      <c r="J3229">
        <v>3156</v>
      </c>
      <c r="K3229" t="str">
        <f>_xlfn.CONCAT(WEEKNUM(CompilDonnées[[#This Row],[PlantationDate]]), " ", YEAR(CompilDonnées[[#This Row],[PlantationDate]]))</f>
        <v>23 2025</v>
      </c>
      <c r="L3229" t="str">
        <f>CONCATENATE(MONTH(CompilDonnées[[#This Row],[PlantationDate]])," ", YEAR(CompilDonnées[[#This Row],[PlantationDate]]))</f>
        <v>6 2025</v>
      </c>
      <c r="M3229" t="str">
        <f>CONCATENATE(MONTH(CompilDonnées[[#This Row],[HarvestingDate]])," ", YEAR(CompilDonnées[[#This Row],[HarvestingDate]]))</f>
        <v>7 2025</v>
      </c>
      <c r="N3229">
        <f>_xlfn.NUMBERVALUE(CompilDonnées[[#This Row],[FarmID]]&amp;CompilDonnées[[#This Row],[ModuleNumber]]&amp;CompilDonnées[[#This Row],[PlantationDate]])</f>
        <v>18445812</v>
      </c>
      <c r="O3229" t="str">
        <f>CompilDonnées[[#This Row],[FarmID]]&amp;CompilDonnées[[#This Row],[ModuleNumber]]</f>
        <v>184</v>
      </c>
      <c r="P3229" t="str">
        <f>CompilDonnées[[#This Row],[Ref_Module]]&amp;CompilDonnées[[#This Row],[HarvestingDate]]</f>
        <v>18445855</v>
      </c>
    </row>
    <row r="3230" spans="1:16">
      <c r="A3230" s="5">
        <v>45812</v>
      </c>
      <c r="B3230">
        <v>17</v>
      </c>
      <c r="C3230" t="s">
        <v>80</v>
      </c>
      <c r="D3230">
        <v>5</v>
      </c>
      <c r="E3230">
        <v>100</v>
      </c>
      <c r="F3230" t="s">
        <v>1</v>
      </c>
      <c r="G3230" s="6">
        <v>45855</v>
      </c>
      <c r="H3230">
        <v>43</v>
      </c>
      <c r="I3230">
        <f>ROUND(CompilDonnées[[#This Row],[CultureDuration_days]]/7,0)</f>
        <v>6</v>
      </c>
      <c r="J3230">
        <v>3130</v>
      </c>
      <c r="K3230" t="str">
        <f>_xlfn.CONCAT(WEEKNUM(CompilDonnées[[#This Row],[PlantationDate]]), " ", YEAR(CompilDonnées[[#This Row],[PlantationDate]]))</f>
        <v>23 2025</v>
      </c>
      <c r="L3230" t="str">
        <f>CONCATENATE(MONTH(CompilDonnées[[#This Row],[PlantationDate]])," ", YEAR(CompilDonnées[[#This Row],[PlantationDate]]))</f>
        <v>6 2025</v>
      </c>
      <c r="M3230" t="str">
        <f>CONCATENATE(MONTH(CompilDonnées[[#This Row],[HarvestingDate]])," ", YEAR(CompilDonnées[[#This Row],[HarvestingDate]]))</f>
        <v>7 2025</v>
      </c>
      <c r="N3230">
        <f>_xlfn.NUMBERVALUE(CompilDonnées[[#This Row],[FarmID]]&amp;CompilDonnées[[#This Row],[ModuleNumber]]&amp;CompilDonnées[[#This Row],[PlantationDate]])</f>
        <v>17545812</v>
      </c>
      <c r="O3230" t="str">
        <f>CompilDonnées[[#This Row],[FarmID]]&amp;CompilDonnées[[#This Row],[ModuleNumber]]</f>
        <v>175</v>
      </c>
      <c r="P3230" t="str">
        <f>CompilDonnées[[#This Row],[Ref_Module]]&amp;CompilDonnées[[#This Row],[HarvestingDate]]</f>
        <v>17545855</v>
      </c>
    </row>
    <row r="3231" spans="1:16">
      <c r="A3231" s="5">
        <v>45812</v>
      </c>
      <c r="B3231">
        <v>16</v>
      </c>
      <c r="C3231" t="s">
        <v>112</v>
      </c>
      <c r="D3231">
        <v>4</v>
      </c>
      <c r="E3231">
        <v>100</v>
      </c>
      <c r="F3231" t="s">
        <v>1</v>
      </c>
      <c r="G3231" s="6">
        <v>45855</v>
      </c>
      <c r="H3231">
        <v>43</v>
      </c>
      <c r="I3231">
        <f>ROUND(CompilDonnées[[#This Row],[CultureDuration_days]]/7,0)</f>
        <v>6</v>
      </c>
      <c r="J3231">
        <v>2485</v>
      </c>
      <c r="K3231" t="str">
        <f>_xlfn.CONCAT(WEEKNUM(CompilDonnées[[#This Row],[PlantationDate]]), " ", YEAR(CompilDonnées[[#This Row],[PlantationDate]]))</f>
        <v>23 2025</v>
      </c>
      <c r="L3231" t="str">
        <f>CONCATENATE(MONTH(CompilDonnées[[#This Row],[PlantationDate]])," ", YEAR(CompilDonnées[[#This Row],[PlantationDate]]))</f>
        <v>6 2025</v>
      </c>
      <c r="M3231" t="str">
        <f>CONCATENATE(MONTH(CompilDonnées[[#This Row],[HarvestingDate]])," ", YEAR(CompilDonnées[[#This Row],[HarvestingDate]]))</f>
        <v>7 2025</v>
      </c>
      <c r="N3231">
        <f>_xlfn.NUMBERVALUE(CompilDonnées[[#This Row],[FarmID]]&amp;CompilDonnées[[#This Row],[ModuleNumber]]&amp;CompilDonnées[[#This Row],[PlantationDate]])</f>
        <v>16445812</v>
      </c>
      <c r="O3231" t="str">
        <f>CompilDonnées[[#This Row],[FarmID]]&amp;CompilDonnées[[#This Row],[ModuleNumber]]</f>
        <v>164</v>
      </c>
      <c r="P3231" t="str">
        <f>CompilDonnées[[#This Row],[Ref_Module]]&amp;CompilDonnées[[#This Row],[HarvestingDate]]</f>
        <v>16445855</v>
      </c>
    </row>
    <row r="3232" spans="1:16">
      <c r="A3232" s="5">
        <v>45812</v>
      </c>
      <c r="B3232">
        <v>22</v>
      </c>
      <c r="C3232" t="s">
        <v>43</v>
      </c>
      <c r="D3232">
        <v>1</v>
      </c>
      <c r="E3232">
        <v>100</v>
      </c>
      <c r="F3232" t="s">
        <v>1</v>
      </c>
      <c r="G3232" s="6">
        <v>45855</v>
      </c>
      <c r="H3232">
        <v>43</v>
      </c>
      <c r="I3232">
        <f>ROUND(CompilDonnées[[#This Row],[CultureDuration_days]]/7,0)</f>
        <v>6</v>
      </c>
      <c r="J3232">
        <v>2618</v>
      </c>
      <c r="K3232" t="str">
        <f>_xlfn.CONCAT(WEEKNUM(CompilDonnées[[#This Row],[PlantationDate]]), " ", YEAR(CompilDonnées[[#This Row],[PlantationDate]]))</f>
        <v>23 2025</v>
      </c>
      <c r="L3232" t="str">
        <f>CONCATENATE(MONTH(CompilDonnées[[#This Row],[PlantationDate]])," ", YEAR(CompilDonnées[[#This Row],[PlantationDate]]))</f>
        <v>6 2025</v>
      </c>
      <c r="M3232" t="str">
        <f>CONCATENATE(MONTH(CompilDonnées[[#This Row],[HarvestingDate]])," ", YEAR(CompilDonnées[[#This Row],[HarvestingDate]]))</f>
        <v>7 2025</v>
      </c>
      <c r="N3232">
        <f>_xlfn.NUMBERVALUE(CompilDonnées[[#This Row],[FarmID]]&amp;CompilDonnées[[#This Row],[ModuleNumber]]&amp;CompilDonnées[[#This Row],[PlantationDate]])</f>
        <v>22145812</v>
      </c>
      <c r="O3232" t="str">
        <f>CompilDonnées[[#This Row],[FarmID]]&amp;CompilDonnées[[#This Row],[ModuleNumber]]</f>
        <v>221</v>
      </c>
      <c r="P3232" t="str">
        <f>CompilDonnées[[#This Row],[Ref_Module]]&amp;CompilDonnées[[#This Row],[HarvestingDate]]</f>
        <v>22145855</v>
      </c>
    </row>
    <row r="3233" spans="1:16">
      <c r="A3233" s="5">
        <v>45812</v>
      </c>
      <c r="B3233">
        <v>23</v>
      </c>
      <c r="C3233" t="s">
        <v>44</v>
      </c>
      <c r="D3233">
        <v>5</v>
      </c>
      <c r="E3233">
        <v>100</v>
      </c>
      <c r="F3233" t="s">
        <v>1</v>
      </c>
      <c r="G3233" s="6">
        <v>45856</v>
      </c>
      <c r="H3233">
        <v>44</v>
      </c>
      <c r="I3233">
        <f>ROUND(CompilDonnées[[#This Row],[CultureDuration_days]]/7,0)</f>
        <v>6</v>
      </c>
      <c r="J3233">
        <v>2800</v>
      </c>
      <c r="K3233" t="str">
        <f>_xlfn.CONCAT(WEEKNUM(CompilDonnées[[#This Row],[PlantationDate]]), " ", YEAR(CompilDonnées[[#This Row],[PlantationDate]]))</f>
        <v>23 2025</v>
      </c>
      <c r="L3233" t="str">
        <f>CONCATENATE(MONTH(CompilDonnées[[#This Row],[PlantationDate]])," ", YEAR(CompilDonnées[[#This Row],[PlantationDate]]))</f>
        <v>6 2025</v>
      </c>
      <c r="M3233" t="str">
        <f>CONCATENATE(MONTH(CompilDonnées[[#This Row],[HarvestingDate]])," ", YEAR(CompilDonnées[[#This Row],[HarvestingDate]]))</f>
        <v>7 2025</v>
      </c>
      <c r="N3233">
        <f>_xlfn.NUMBERVALUE(CompilDonnées[[#This Row],[FarmID]]&amp;CompilDonnées[[#This Row],[ModuleNumber]]&amp;CompilDonnées[[#This Row],[PlantationDate]])</f>
        <v>23545812</v>
      </c>
      <c r="O3233" t="str">
        <f>CompilDonnées[[#This Row],[FarmID]]&amp;CompilDonnées[[#This Row],[ModuleNumber]]</f>
        <v>235</v>
      </c>
      <c r="P3233" t="str">
        <f>CompilDonnées[[#This Row],[Ref_Module]]&amp;CompilDonnées[[#This Row],[HarvestingDate]]</f>
        <v>23545856</v>
      </c>
    </row>
    <row r="3234" spans="1:16">
      <c r="A3234" s="5">
        <v>45812</v>
      </c>
      <c r="B3234">
        <v>32</v>
      </c>
      <c r="C3234" t="s">
        <v>25</v>
      </c>
      <c r="D3234">
        <v>4</v>
      </c>
      <c r="E3234">
        <v>100</v>
      </c>
      <c r="F3234" t="s">
        <v>1</v>
      </c>
      <c r="G3234" s="6">
        <v>45845</v>
      </c>
      <c r="H3234">
        <v>33</v>
      </c>
      <c r="I3234">
        <f>ROUND(CompilDonnées[[#This Row],[CultureDuration_days]]/7,0)</f>
        <v>5</v>
      </c>
      <c r="J3234">
        <v>2869</v>
      </c>
      <c r="K3234" t="str">
        <f>_xlfn.CONCAT(WEEKNUM(CompilDonnées[[#This Row],[PlantationDate]]), " ", YEAR(CompilDonnées[[#This Row],[PlantationDate]]))</f>
        <v>23 2025</v>
      </c>
      <c r="L3234" t="str">
        <f>CONCATENATE(MONTH(CompilDonnées[[#This Row],[PlantationDate]])," ", YEAR(CompilDonnées[[#This Row],[PlantationDate]]))</f>
        <v>6 2025</v>
      </c>
      <c r="M3234" t="str">
        <f>CONCATENATE(MONTH(CompilDonnées[[#This Row],[HarvestingDate]])," ", YEAR(CompilDonnées[[#This Row],[HarvestingDate]]))</f>
        <v>7 2025</v>
      </c>
      <c r="N3234">
        <f>_xlfn.NUMBERVALUE(CompilDonnées[[#This Row],[FarmID]]&amp;CompilDonnées[[#This Row],[ModuleNumber]]&amp;CompilDonnées[[#This Row],[PlantationDate]])</f>
        <v>32445812</v>
      </c>
      <c r="O3234" t="str">
        <f>CompilDonnées[[#This Row],[FarmID]]&amp;CompilDonnées[[#This Row],[ModuleNumber]]</f>
        <v>324</v>
      </c>
      <c r="P3234" t="str">
        <f>CompilDonnées[[#This Row],[Ref_Module]]&amp;CompilDonnées[[#This Row],[HarvestingDate]]</f>
        <v>32445845</v>
      </c>
    </row>
    <row r="3235" spans="1:16">
      <c r="A3235" s="5">
        <v>45812</v>
      </c>
      <c r="B3235">
        <v>31</v>
      </c>
      <c r="C3235" t="s">
        <v>62</v>
      </c>
      <c r="D3235">
        <v>1</v>
      </c>
      <c r="E3235">
        <v>100</v>
      </c>
      <c r="F3235" t="s">
        <v>1</v>
      </c>
      <c r="G3235" s="6">
        <v>45845</v>
      </c>
      <c r="H3235">
        <v>33</v>
      </c>
      <c r="I3235">
        <f>ROUND(CompilDonnées[[#This Row],[CultureDuration_days]]/7,0)</f>
        <v>5</v>
      </c>
      <c r="J3235">
        <v>2161</v>
      </c>
      <c r="K3235" t="str">
        <f>_xlfn.CONCAT(WEEKNUM(CompilDonnées[[#This Row],[PlantationDate]]), " ", YEAR(CompilDonnées[[#This Row],[PlantationDate]]))</f>
        <v>23 2025</v>
      </c>
      <c r="L3235" t="str">
        <f>CONCATENATE(MONTH(CompilDonnées[[#This Row],[PlantationDate]])," ", YEAR(CompilDonnées[[#This Row],[PlantationDate]]))</f>
        <v>6 2025</v>
      </c>
      <c r="M3235" t="str">
        <f>CONCATENATE(MONTH(CompilDonnées[[#This Row],[HarvestingDate]])," ", YEAR(CompilDonnées[[#This Row],[HarvestingDate]]))</f>
        <v>7 2025</v>
      </c>
      <c r="N3235">
        <f>_xlfn.NUMBERVALUE(CompilDonnées[[#This Row],[FarmID]]&amp;CompilDonnées[[#This Row],[ModuleNumber]]&amp;CompilDonnées[[#This Row],[PlantationDate]])</f>
        <v>31145812</v>
      </c>
      <c r="O3235" t="str">
        <f>CompilDonnées[[#This Row],[FarmID]]&amp;CompilDonnées[[#This Row],[ModuleNumber]]</f>
        <v>311</v>
      </c>
      <c r="P3235" t="str">
        <f>CompilDonnées[[#This Row],[Ref_Module]]&amp;CompilDonnées[[#This Row],[HarvestingDate]]</f>
        <v>31145845</v>
      </c>
    </row>
    <row r="3236" spans="1:16">
      <c r="A3236" s="5">
        <v>45812</v>
      </c>
      <c r="B3236">
        <v>30</v>
      </c>
      <c r="C3236" t="s">
        <v>4</v>
      </c>
      <c r="D3236">
        <v>3</v>
      </c>
      <c r="E3236">
        <v>100</v>
      </c>
      <c r="F3236" t="s">
        <v>1</v>
      </c>
      <c r="G3236" s="6">
        <v>45844</v>
      </c>
      <c r="H3236">
        <v>32</v>
      </c>
      <c r="I3236">
        <f>ROUND(CompilDonnées[[#This Row],[CultureDuration_days]]/7,0)</f>
        <v>5</v>
      </c>
      <c r="J3236">
        <v>0</v>
      </c>
      <c r="K3236" t="str">
        <f>_xlfn.CONCAT(WEEKNUM(CompilDonnées[[#This Row],[PlantationDate]]), " ", YEAR(CompilDonnées[[#This Row],[PlantationDate]]))</f>
        <v>23 2025</v>
      </c>
      <c r="L3236" t="str">
        <f>CONCATENATE(MONTH(CompilDonnées[[#This Row],[PlantationDate]])," ", YEAR(CompilDonnées[[#This Row],[PlantationDate]]))</f>
        <v>6 2025</v>
      </c>
      <c r="M3236" t="str">
        <f>CONCATENATE(MONTH(CompilDonnées[[#This Row],[HarvestingDate]])," ", YEAR(CompilDonnées[[#This Row],[HarvestingDate]]))</f>
        <v>7 2025</v>
      </c>
      <c r="N3236">
        <f>_xlfn.NUMBERVALUE(CompilDonnées[[#This Row],[FarmID]]&amp;CompilDonnées[[#This Row],[ModuleNumber]]&amp;CompilDonnées[[#This Row],[PlantationDate]])</f>
        <v>30345812</v>
      </c>
      <c r="O3236" t="str">
        <f>CompilDonnées[[#This Row],[FarmID]]&amp;CompilDonnées[[#This Row],[ModuleNumber]]</f>
        <v>303</v>
      </c>
      <c r="P3236" t="str">
        <f>CompilDonnées[[#This Row],[Ref_Module]]&amp;CompilDonnées[[#This Row],[HarvestingDate]]</f>
        <v>30345844</v>
      </c>
    </row>
    <row r="3237" spans="1:16">
      <c r="A3237" s="5">
        <v>45812</v>
      </c>
      <c r="B3237">
        <v>29</v>
      </c>
      <c r="C3237" t="s">
        <v>2</v>
      </c>
      <c r="D3237">
        <v>2</v>
      </c>
      <c r="E3237">
        <v>100</v>
      </c>
      <c r="F3237" t="s">
        <v>1</v>
      </c>
      <c r="G3237" s="6">
        <v>45827</v>
      </c>
      <c r="H3237">
        <v>15</v>
      </c>
      <c r="I3237">
        <f>ROUND(CompilDonnées[[#This Row],[CultureDuration_days]]/7,0)</f>
        <v>2</v>
      </c>
      <c r="J3237">
        <v>0</v>
      </c>
      <c r="K3237" t="str">
        <f>_xlfn.CONCAT(WEEKNUM(CompilDonnées[[#This Row],[PlantationDate]]), " ", YEAR(CompilDonnées[[#This Row],[PlantationDate]]))</f>
        <v>23 2025</v>
      </c>
      <c r="L3237" t="str">
        <f>CONCATENATE(MONTH(CompilDonnées[[#This Row],[PlantationDate]])," ", YEAR(CompilDonnées[[#This Row],[PlantationDate]]))</f>
        <v>6 2025</v>
      </c>
      <c r="M3237" t="str">
        <f>CONCATENATE(MONTH(CompilDonnées[[#This Row],[HarvestingDate]])," ", YEAR(CompilDonnées[[#This Row],[HarvestingDate]]))</f>
        <v>6 2025</v>
      </c>
      <c r="N3237">
        <f>_xlfn.NUMBERVALUE(CompilDonnées[[#This Row],[FarmID]]&amp;CompilDonnées[[#This Row],[ModuleNumber]]&amp;CompilDonnées[[#This Row],[PlantationDate]])</f>
        <v>29245812</v>
      </c>
      <c r="O3237" t="str">
        <f>CompilDonnées[[#This Row],[FarmID]]&amp;CompilDonnées[[#This Row],[ModuleNumber]]</f>
        <v>292</v>
      </c>
      <c r="P3237" t="str">
        <f>CompilDonnées[[#This Row],[Ref_Module]]&amp;CompilDonnées[[#This Row],[HarvestingDate]]</f>
        <v>29245827</v>
      </c>
    </row>
    <row r="3238" spans="1:16">
      <c r="A3238" s="5">
        <v>45812</v>
      </c>
      <c r="B3238">
        <v>37</v>
      </c>
      <c r="C3238" t="s">
        <v>26</v>
      </c>
      <c r="D3238">
        <v>2</v>
      </c>
      <c r="E3238">
        <v>100</v>
      </c>
      <c r="F3238" t="s">
        <v>1</v>
      </c>
      <c r="G3238" s="6">
        <v>45859</v>
      </c>
      <c r="H3238">
        <v>47</v>
      </c>
      <c r="I3238">
        <f>ROUND(CompilDonnées[[#This Row],[CultureDuration_days]]/7,0)</f>
        <v>7</v>
      </c>
      <c r="J3238">
        <v>3046</v>
      </c>
      <c r="K3238" t="str">
        <f>_xlfn.CONCAT(WEEKNUM(CompilDonnées[[#This Row],[PlantationDate]]), " ", YEAR(CompilDonnées[[#This Row],[PlantationDate]]))</f>
        <v>23 2025</v>
      </c>
      <c r="L3238" t="str">
        <f>CONCATENATE(MONTH(CompilDonnées[[#This Row],[PlantationDate]])," ", YEAR(CompilDonnées[[#This Row],[PlantationDate]]))</f>
        <v>6 2025</v>
      </c>
      <c r="M3238" t="str">
        <f>CONCATENATE(MONTH(CompilDonnées[[#This Row],[HarvestingDate]])," ", YEAR(CompilDonnées[[#This Row],[HarvestingDate]]))</f>
        <v>7 2025</v>
      </c>
      <c r="N3238">
        <f>_xlfn.NUMBERVALUE(CompilDonnées[[#This Row],[FarmID]]&amp;CompilDonnées[[#This Row],[ModuleNumber]]&amp;CompilDonnées[[#This Row],[PlantationDate]])</f>
        <v>37245812</v>
      </c>
      <c r="O3238" t="str">
        <f>CompilDonnées[[#This Row],[FarmID]]&amp;CompilDonnées[[#This Row],[ModuleNumber]]</f>
        <v>372</v>
      </c>
      <c r="P3238" t="str">
        <f>CompilDonnées[[#This Row],[Ref_Module]]&amp;CompilDonnées[[#This Row],[HarvestingDate]]</f>
        <v>37245859</v>
      </c>
    </row>
    <row r="3239" spans="1:16">
      <c r="A3239" s="5">
        <v>45812</v>
      </c>
      <c r="B3239">
        <v>43</v>
      </c>
      <c r="C3239" t="s">
        <v>45</v>
      </c>
      <c r="D3239">
        <v>2</v>
      </c>
      <c r="E3239">
        <v>100</v>
      </c>
      <c r="F3239" t="s">
        <v>1</v>
      </c>
      <c r="G3239" s="6">
        <v>45854</v>
      </c>
      <c r="H3239">
        <v>42</v>
      </c>
      <c r="I3239">
        <f>ROUND(CompilDonnées[[#This Row],[CultureDuration_days]]/7,0)</f>
        <v>6</v>
      </c>
      <c r="J3239">
        <v>2120</v>
      </c>
      <c r="K3239" t="str">
        <f>_xlfn.CONCAT(WEEKNUM(CompilDonnées[[#This Row],[PlantationDate]]), " ", YEAR(CompilDonnées[[#This Row],[PlantationDate]]))</f>
        <v>23 2025</v>
      </c>
      <c r="L3239" t="str">
        <f>CONCATENATE(MONTH(CompilDonnées[[#This Row],[PlantationDate]])," ", YEAR(CompilDonnées[[#This Row],[PlantationDate]]))</f>
        <v>6 2025</v>
      </c>
      <c r="M3239" t="str">
        <f>CONCATENATE(MONTH(CompilDonnées[[#This Row],[HarvestingDate]])," ", YEAR(CompilDonnées[[#This Row],[HarvestingDate]]))</f>
        <v>7 2025</v>
      </c>
      <c r="N3239">
        <f>_xlfn.NUMBERVALUE(CompilDonnées[[#This Row],[FarmID]]&amp;CompilDonnées[[#This Row],[ModuleNumber]]&amp;CompilDonnées[[#This Row],[PlantationDate]])</f>
        <v>43245812</v>
      </c>
      <c r="O3239" t="str">
        <f>CompilDonnées[[#This Row],[FarmID]]&amp;CompilDonnées[[#This Row],[ModuleNumber]]</f>
        <v>432</v>
      </c>
      <c r="P3239" t="str">
        <f>CompilDonnées[[#This Row],[Ref_Module]]&amp;CompilDonnées[[#This Row],[HarvestingDate]]</f>
        <v>43245854</v>
      </c>
    </row>
    <row r="3240" spans="1:16">
      <c r="A3240" s="5">
        <v>45812</v>
      </c>
      <c r="B3240">
        <v>41</v>
      </c>
      <c r="C3240" t="s">
        <v>70</v>
      </c>
      <c r="D3240">
        <v>2</v>
      </c>
      <c r="E3240">
        <v>100</v>
      </c>
      <c r="F3240" t="s">
        <v>1</v>
      </c>
      <c r="G3240" s="6">
        <v>45854</v>
      </c>
      <c r="H3240">
        <v>42</v>
      </c>
      <c r="I3240">
        <f>ROUND(CompilDonnées[[#This Row],[CultureDuration_days]]/7,0)</f>
        <v>6</v>
      </c>
      <c r="J3240">
        <v>2299</v>
      </c>
      <c r="K3240" t="str">
        <f>_xlfn.CONCAT(WEEKNUM(CompilDonnées[[#This Row],[PlantationDate]]), " ", YEAR(CompilDonnées[[#This Row],[PlantationDate]]))</f>
        <v>23 2025</v>
      </c>
      <c r="L3240" t="str">
        <f>CONCATENATE(MONTH(CompilDonnées[[#This Row],[PlantationDate]])," ", YEAR(CompilDonnées[[#This Row],[PlantationDate]]))</f>
        <v>6 2025</v>
      </c>
      <c r="M3240" t="str">
        <f>CONCATENATE(MONTH(CompilDonnées[[#This Row],[HarvestingDate]])," ", YEAR(CompilDonnées[[#This Row],[HarvestingDate]]))</f>
        <v>7 2025</v>
      </c>
      <c r="N3240">
        <f>_xlfn.NUMBERVALUE(CompilDonnées[[#This Row],[FarmID]]&amp;CompilDonnées[[#This Row],[ModuleNumber]]&amp;CompilDonnées[[#This Row],[PlantationDate]])</f>
        <v>41245812</v>
      </c>
      <c r="O3240" t="str">
        <f>CompilDonnées[[#This Row],[FarmID]]&amp;CompilDonnées[[#This Row],[ModuleNumber]]</f>
        <v>412</v>
      </c>
      <c r="P3240" t="str">
        <f>CompilDonnées[[#This Row],[Ref_Module]]&amp;CompilDonnées[[#This Row],[HarvestingDate]]</f>
        <v>41245854</v>
      </c>
    </row>
    <row r="3241" spans="1:16">
      <c r="A3241" s="5">
        <v>45812</v>
      </c>
      <c r="B3241">
        <v>57</v>
      </c>
      <c r="C3241" t="s">
        <v>46</v>
      </c>
      <c r="D3241">
        <v>3</v>
      </c>
      <c r="E3241">
        <v>100</v>
      </c>
      <c r="F3241" t="s">
        <v>1</v>
      </c>
      <c r="G3241" s="6">
        <v>45854</v>
      </c>
      <c r="H3241">
        <v>42</v>
      </c>
      <c r="I3241">
        <f>ROUND(CompilDonnées[[#This Row],[CultureDuration_days]]/7,0)</f>
        <v>6</v>
      </c>
      <c r="J3241">
        <v>2661</v>
      </c>
      <c r="K3241" t="str">
        <f>_xlfn.CONCAT(WEEKNUM(CompilDonnées[[#This Row],[PlantationDate]]), " ", YEAR(CompilDonnées[[#This Row],[PlantationDate]]))</f>
        <v>23 2025</v>
      </c>
      <c r="L3241" t="str">
        <f>CONCATENATE(MONTH(CompilDonnées[[#This Row],[PlantationDate]])," ", YEAR(CompilDonnées[[#This Row],[PlantationDate]]))</f>
        <v>6 2025</v>
      </c>
      <c r="M3241" t="str">
        <f>CONCATENATE(MONTH(CompilDonnées[[#This Row],[HarvestingDate]])," ", YEAR(CompilDonnées[[#This Row],[HarvestingDate]]))</f>
        <v>7 2025</v>
      </c>
      <c r="N3241">
        <f>_xlfn.NUMBERVALUE(CompilDonnées[[#This Row],[FarmID]]&amp;CompilDonnées[[#This Row],[ModuleNumber]]&amp;CompilDonnées[[#This Row],[PlantationDate]])</f>
        <v>57345812</v>
      </c>
      <c r="O3241" t="str">
        <f>CompilDonnées[[#This Row],[FarmID]]&amp;CompilDonnées[[#This Row],[ModuleNumber]]</f>
        <v>573</v>
      </c>
      <c r="P3241" t="str">
        <f>CompilDonnées[[#This Row],[Ref_Module]]&amp;CompilDonnées[[#This Row],[HarvestingDate]]</f>
        <v>57345854</v>
      </c>
    </row>
    <row r="3242" spans="1:16">
      <c r="A3242" s="5">
        <v>45812</v>
      </c>
      <c r="B3242">
        <v>50</v>
      </c>
      <c r="C3242" t="s">
        <v>55</v>
      </c>
      <c r="D3242">
        <v>4</v>
      </c>
      <c r="E3242">
        <v>100</v>
      </c>
      <c r="F3242" t="s">
        <v>1</v>
      </c>
      <c r="G3242" s="6">
        <v>45854</v>
      </c>
      <c r="H3242">
        <v>42</v>
      </c>
      <c r="I3242">
        <f>ROUND(CompilDonnées[[#This Row],[CultureDuration_days]]/7,0)</f>
        <v>6</v>
      </c>
      <c r="J3242">
        <v>2775</v>
      </c>
      <c r="K3242" t="str">
        <f>_xlfn.CONCAT(WEEKNUM(CompilDonnées[[#This Row],[PlantationDate]]), " ", YEAR(CompilDonnées[[#This Row],[PlantationDate]]))</f>
        <v>23 2025</v>
      </c>
      <c r="L3242" t="str">
        <f>CONCATENATE(MONTH(CompilDonnées[[#This Row],[PlantationDate]])," ", YEAR(CompilDonnées[[#This Row],[PlantationDate]]))</f>
        <v>6 2025</v>
      </c>
      <c r="M3242" t="str">
        <f>CONCATENATE(MONTH(CompilDonnées[[#This Row],[HarvestingDate]])," ", YEAR(CompilDonnées[[#This Row],[HarvestingDate]]))</f>
        <v>7 2025</v>
      </c>
      <c r="N3242">
        <f>_xlfn.NUMBERVALUE(CompilDonnées[[#This Row],[FarmID]]&amp;CompilDonnées[[#This Row],[ModuleNumber]]&amp;CompilDonnées[[#This Row],[PlantationDate]])</f>
        <v>50445812</v>
      </c>
      <c r="O3242" t="str">
        <f>CompilDonnées[[#This Row],[FarmID]]&amp;CompilDonnées[[#This Row],[ModuleNumber]]</f>
        <v>504</v>
      </c>
      <c r="P3242" t="str">
        <f>CompilDonnées[[#This Row],[Ref_Module]]&amp;CompilDonnées[[#This Row],[HarvestingDate]]</f>
        <v>50445854</v>
      </c>
    </row>
    <row r="3243" spans="1:16">
      <c r="A3243" s="5">
        <v>45812</v>
      </c>
      <c r="B3243">
        <v>39</v>
      </c>
      <c r="C3243" t="s">
        <v>81</v>
      </c>
      <c r="D3243">
        <v>2</v>
      </c>
      <c r="E3243">
        <v>100</v>
      </c>
      <c r="F3243" t="s">
        <v>1</v>
      </c>
      <c r="G3243" s="6">
        <v>45825</v>
      </c>
      <c r="H3243">
        <v>13</v>
      </c>
      <c r="I3243">
        <f>ROUND(CompilDonnées[[#This Row],[CultureDuration_days]]/7,0)</f>
        <v>2</v>
      </c>
      <c r="J3243">
        <v>1012</v>
      </c>
      <c r="K3243" t="str">
        <f>_xlfn.CONCAT(WEEKNUM(CompilDonnées[[#This Row],[PlantationDate]]), " ", YEAR(CompilDonnées[[#This Row],[PlantationDate]]))</f>
        <v>23 2025</v>
      </c>
      <c r="L3243" t="str">
        <f>CONCATENATE(MONTH(CompilDonnées[[#This Row],[PlantationDate]])," ", YEAR(CompilDonnées[[#This Row],[PlantationDate]]))</f>
        <v>6 2025</v>
      </c>
      <c r="M3243" t="str">
        <f>CONCATENATE(MONTH(CompilDonnées[[#This Row],[HarvestingDate]])," ", YEAR(CompilDonnées[[#This Row],[HarvestingDate]]))</f>
        <v>6 2025</v>
      </c>
      <c r="N3243">
        <f>_xlfn.NUMBERVALUE(CompilDonnées[[#This Row],[FarmID]]&amp;CompilDonnées[[#This Row],[ModuleNumber]]&amp;CompilDonnées[[#This Row],[PlantationDate]])</f>
        <v>39245812</v>
      </c>
      <c r="O3243" t="str">
        <f>CompilDonnées[[#This Row],[FarmID]]&amp;CompilDonnées[[#This Row],[ModuleNumber]]</f>
        <v>392</v>
      </c>
      <c r="P3243" t="str">
        <f>CompilDonnées[[#This Row],[Ref_Module]]&amp;CompilDonnées[[#This Row],[HarvestingDate]]</f>
        <v>39245825</v>
      </c>
    </row>
    <row r="3244" spans="1:16">
      <c r="A3244" s="5">
        <v>45812</v>
      </c>
      <c r="B3244">
        <v>28</v>
      </c>
      <c r="C3244" t="s">
        <v>122</v>
      </c>
      <c r="D3244">
        <v>3</v>
      </c>
      <c r="E3244">
        <v>100</v>
      </c>
      <c r="F3244" t="s">
        <v>1</v>
      </c>
      <c r="G3244" s="6">
        <v>45829</v>
      </c>
      <c r="H3244">
        <v>17</v>
      </c>
      <c r="I3244">
        <f>ROUND(CompilDonnées[[#This Row],[CultureDuration_days]]/7,0)</f>
        <v>2</v>
      </c>
      <c r="J3244">
        <v>850</v>
      </c>
      <c r="K3244" t="str">
        <f>_xlfn.CONCAT(WEEKNUM(CompilDonnées[[#This Row],[PlantationDate]]), " ", YEAR(CompilDonnées[[#This Row],[PlantationDate]]))</f>
        <v>23 2025</v>
      </c>
      <c r="L3244" t="str">
        <f>CONCATENATE(MONTH(CompilDonnées[[#This Row],[PlantationDate]])," ", YEAR(CompilDonnées[[#This Row],[PlantationDate]]))</f>
        <v>6 2025</v>
      </c>
      <c r="M3244" t="str">
        <f>CONCATENATE(MONTH(CompilDonnées[[#This Row],[HarvestingDate]])," ", YEAR(CompilDonnées[[#This Row],[HarvestingDate]]))</f>
        <v>6 2025</v>
      </c>
      <c r="N3244">
        <f>_xlfn.NUMBERVALUE(CompilDonnées[[#This Row],[FarmID]]&amp;CompilDonnées[[#This Row],[ModuleNumber]]&amp;CompilDonnées[[#This Row],[PlantationDate]])</f>
        <v>28345812</v>
      </c>
      <c r="O3244" t="str">
        <f>CompilDonnées[[#This Row],[FarmID]]&amp;CompilDonnées[[#This Row],[ModuleNumber]]</f>
        <v>283</v>
      </c>
      <c r="P3244" t="str">
        <f>CompilDonnées[[#This Row],[Ref_Module]]&amp;CompilDonnées[[#This Row],[HarvestingDate]]</f>
        <v>28345829</v>
      </c>
    </row>
    <row r="3245" spans="1:16">
      <c r="A3245" s="5">
        <v>45812</v>
      </c>
      <c r="B3245">
        <v>27</v>
      </c>
      <c r="C3245" t="s">
        <v>88</v>
      </c>
      <c r="D3245">
        <v>2</v>
      </c>
      <c r="E3245">
        <v>100</v>
      </c>
      <c r="F3245" t="s">
        <v>1</v>
      </c>
      <c r="G3245" s="6">
        <v>45830</v>
      </c>
      <c r="H3245">
        <v>18</v>
      </c>
      <c r="I3245">
        <f>ROUND(CompilDonnées[[#This Row],[CultureDuration_days]]/7,0)</f>
        <v>3</v>
      </c>
      <c r="J3245">
        <v>811</v>
      </c>
      <c r="K3245" t="str">
        <f>_xlfn.CONCAT(WEEKNUM(CompilDonnées[[#This Row],[PlantationDate]]), " ", YEAR(CompilDonnées[[#This Row],[PlantationDate]]))</f>
        <v>23 2025</v>
      </c>
      <c r="L3245" t="str">
        <f>CONCATENATE(MONTH(CompilDonnées[[#This Row],[PlantationDate]])," ", YEAR(CompilDonnées[[#This Row],[PlantationDate]]))</f>
        <v>6 2025</v>
      </c>
      <c r="M3245" t="str">
        <f>CONCATENATE(MONTH(CompilDonnées[[#This Row],[HarvestingDate]])," ", YEAR(CompilDonnées[[#This Row],[HarvestingDate]]))</f>
        <v>6 2025</v>
      </c>
      <c r="N3245">
        <f>_xlfn.NUMBERVALUE(CompilDonnées[[#This Row],[FarmID]]&amp;CompilDonnées[[#This Row],[ModuleNumber]]&amp;CompilDonnées[[#This Row],[PlantationDate]])</f>
        <v>27245812</v>
      </c>
      <c r="O3245" t="str">
        <f>CompilDonnées[[#This Row],[FarmID]]&amp;CompilDonnées[[#This Row],[ModuleNumber]]</f>
        <v>272</v>
      </c>
      <c r="P3245" t="str">
        <f>CompilDonnées[[#This Row],[Ref_Module]]&amp;CompilDonnées[[#This Row],[HarvestingDate]]</f>
        <v>27245830</v>
      </c>
    </row>
    <row r="3246" spans="1:16">
      <c r="A3246" s="5">
        <v>45812</v>
      </c>
      <c r="B3246">
        <v>26</v>
      </c>
      <c r="C3246" t="s">
        <v>97</v>
      </c>
      <c r="D3246">
        <v>3</v>
      </c>
      <c r="E3246">
        <v>100</v>
      </c>
      <c r="F3246" t="s">
        <v>1</v>
      </c>
      <c r="G3246" s="6">
        <v>45855</v>
      </c>
      <c r="H3246">
        <v>43</v>
      </c>
      <c r="I3246">
        <f>ROUND(CompilDonnées[[#This Row],[CultureDuration_days]]/7,0)</f>
        <v>6</v>
      </c>
      <c r="J3246">
        <v>1847</v>
      </c>
      <c r="K3246" t="str">
        <f>_xlfn.CONCAT(WEEKNUM(CompilDonnées[[#This Row],[PlantationDate]]), " ", YEAR(CompilDonnées[[#This Row],[PlantationDate]]))</f>
        <v>23 2025</v>
      </c>
      <c r="L3246" t="str">
        <f>CONCATENATE(MONTH(CompilDonnées[[#This Row],[PlantationDate]])," ", YEAR(CompilDonnées[[#This Row],[PlantationDate]]))</f>
        <v>6 2025</v>
      </c>
      <c r="M3246" t="str">
        <f>CONCATENATE(MONTH(CompilDonnées[[#This Row],[HarvestingDate]])," ", YEAR(CompilDonnées[[#This Row],[HarvestingDate]]))</f>
        <v>7 2025</v>
      </c>
      <c r="N3246">
        <f>_xlfn.NUMBERVALUE(CompilDonnées[[#This Row],[FarmID]]&amp;CompilDonnées[[#This Row],[ModuleNumber]]&amp;CompilDonnées[[#This Row],[PlantationDate]])</f>
        <v>26345812</v>
      </c>
      <c r="O3246" t="str">
        <f>CompilDonnées[[#This Row],[FarmID]]&amp;CompilDonnées[[#This Row],[ModuleNumber]]</f>
        <v>263</v>
      </c>
      <c r="P3246" t="str">
        <f>CompilDonnées[[#This Row],[Ref_Module]]&amp;CompilDonnées[[#This Row],[HarvestingDate]]</f>
        <v>26345855</v>
      </c>
    </row>
    <row r="3247" spans="1:16">
      <c r="A3247" s="5">
        <v>45812</v>
      </c>
      <c r="B3247">
        <v>25</v>
      </c>
      <c r="C3247" t="s">
        <v>100</v>
      </c>
      <c r="D3247">
        <v>4</v>
      </c>
      <c r="E3247">
        <v>100</v>
      </c>
      <c r="F3247" t="s">
        <v>1</v>
      </c>
      <c r="G3247" s="6">
        <v>45845</v>
      </c>
      <c r="H3247">
        <v>33</v>
      </c>
      <c r="I3247">
        <f>ROUND(CompilDonnées[[#This Row],[CultureDuration_days]]/7,0)</f>
        <v>5</v>
      </c>
      <c r="J3247">
        <v>2453</v>
      </c>
      <c r="K3247" t="str">
        <f>_xlfn.CONCAT(WEEKNUM(CompilDonnées[[#This Row],[PlantationDate]]), " ", YEAR(CompilDonnées[[#This Row],[PlantationDate]]))</f>
        <v>23 2025</v>
      </c>
      <c r="L3247" t="str">
        <f>CONCATENATE(MONTH(CompilDonnées[[#This Row],[PlantationDate]])," ", YEAR(CompilDonnées[[#This Row],[PlantationDate]]))</f>
        <v>6 2025</v>
      </c>
      <c r="M3247" t="str">
        <f>CONCATENATE(MONTH(CompilDonnées[[#This Row],[HarvestingDate]])," ", YEAR(CompilDonnées[[#This Row],[HarvestingDate]]))</f>
        <v>7 2025</v>
      </c>
      <c r="N3247">
        <f>_xlfn.NUMBERVALUE(CompilDonnées[[#This Row],[FarmID]]&amp;CompilDonnées[[#This Row],[ModuleNumber]]&amp;CompilDonnées[[#This Row],[PlantationDate]])</f>
        <v>25445812</v>
      </c>
      <c r="O3247" t="str">
        <f>CompilDonnées[[#This Row],[FarmID]]&amp;CompilDonnées[[#This Row],[ModuleNumber]]</f>
        <v>254</v>
      </c>
      <c r="P3247" t="str">
        <f>CompilDonnées[[#This Row],[Ref_Module]]&amp;CompilDonnées[[#This Row],[HarvestingDate]]</f>
        <v>25445845</v>
      </c>
    </row>
    <row r="3248" spans="1:16">
      <c r="A3248" s="5">
        <v>45812</v>
      </c>
      <c r="B3248">
        <v>20</v>
      </c>
      <c r="C3248" t="s">
        <v>53</v>
      </c>
      <c r="D3248">
        <v>3</v>
      </c>
      <c r="E3248">
        <v>100</v>
      </c>
      <c r="F3248" t="s">
        <v>1</v>
      </c>
      <c r="G3248" s="6">
        <v>45859</v>
      </c>
      <c r="H3248">
        <v>47</v>
      </c>
      <c r="I3248">
        <f>ROUND(CompilDonnées[[#This Row],[CultureDuration_days]]/7,0)</f>
        <v>7</v>
      </c>
      <c r="J3248">
        <v>2225</v>
      </c>
      <c r="K3248" t="str">
        <f>_xlfn.CONCAT(WEEKNUM(CompilDonnées[[#This Row],[PlantationDate]]), " ", YEAR(CompilDonnées[[#This Row],[PlantationDate]]))</f>
        <v>23 2025</v>
      </c>
      <c r="L3248" t="str">
        <f>CONCATENATE(MONTH(CompilDonnées[[#This Row],[PlantationDate]])," ", YEAR(CompilDonnées[[#This Row],[PlantationDate]]))</f>
        <v>6 2025</v>
      </c>
      <c r="M3248" t="str">
        <f>CONCATENATE(MONTH(CompilDonnées[[#This Row],[HarvestingDate]])," ", YEAR(CompilDonnées[[#This Row],[HarvestingDate]]))</f>
        <v>7 2025</v>
      </c>
      <c r="N3248">
        <f>_xlfn.NUMBERVALUE(CompilDonnées[[#This Row],[FarmID]]&amp;CompilDonnées[[#This Row],[ModuleNumber]]&amp;CompilDonnées[[#This Row],[PlantationDate]])</f>
        <v>20345812</v>
      </c>
      <c r="O3248" t="str">
        <f>CompilDonnées[[#This Row],[FarmID]]&amp;CompilDonnées[[#This Row],[ModuleNumber]]</f>
        <v>203</v>
      </c>
      <c r="P3248" t="str">
        <f>CompilDonnées[[#This Row],[Ref_Module]]&amp;CompilDonnées[[#This Row],[HarvestingDate]]</f>
        <v>20345859</v>
      </c>
    </row>
    <row r="3249" spans="1:16">
      <c r="A3249" s="5">
        <v>45812</v>
      </c>
      <c r="B3249">
        <v>10</v>
      </c>
      <c r="C3249" t="s">
        <v>109</v>
      </c>
      <c r="D3249">
        <v>6</v>
      </c>
      <c r="E3249">
        <v>100</v>
      </c>
      <c r="F3249" t="s">
        <v>1</v>
      </c>
      <c r="G3249" s="6">
        <v>45855</v>
      </c>
      <c r="H3249">
        <v>43</v>
      </c>
      <c r="I3249">
        <f>ROUND(CompilDonnées[[#This Row],[CultureDuration_days]]/7,0)</f>
        <v>6</v>
      </c>
      <c r="J3249">
        <v>1546</v>
      </c>
      <c r="K3249" t="str">
        <f>_xlfn.CONCAT(WEEKNUM(CompilDonnées[[#This Row],[PlantationDate]]), " ", YEAR(CompilDonnées[[#This Row],[PlantationDate]]))</f>
        <v>23 2025</v>
      </c>
      <c r="L3249" t="str">
        <f>CONCATENATE(MONTH(CompilDonnées[[#This Row],[PlantationDate]])," ", YEAR(CompilDonnées[[#This Row],[PlantationDate]]))</f>
        <v>6 2025</v>
      </c>
      <c r="M3249" t="str">
        <f>CONCATENATE(MONTH(CompilDonnées[[#This Row],[HarvestingDate]])," ", YEAR(CompilDonnées[[#This Row],[HarvestingDate]]))</f>
        <v>7 2025</v>
      </c>
      <c r="N3249">
        <f>_xlfn.NUMBERVALUE(CompilDonnées[[#This Row],[FarmID]]&amp;CompilDonnées[[#This Row],[ModuleNumber]]&amp;CompilDonnées[[#This Row],[PlantationDate]])</f>
        <v>10645812</v>
      </c>
      <c r="O3249" t="str">
        <f>CompilDonnées[[#This Row],[FarmID]]&amp;CompilDonnées[[#This Row],[ModuleNumber]]</f>
        <v>106</v>
      </c>
      <c r="P3249" t="str">
        <f>CompilDonnées[[#This Row],[Ref_Module]]&amp;CompilDonnées[[#This Row],[HarvestingDate]]</f>
        <v>10645855</v>
      </c>
    </row>
    <row r="3250" spans="1:16">
      <c r="A3250" s="5">
        <v>45812</v>
      </c>
      <c r="B3250">
        <v>1</v>
      </c>
      <c r="C3250" t="s">
        <v>111</v>
      </c>
      <c r="D3250">
        <v>6</v>
      </c>
      <c r="E3250">
        <v>100</v>
      </c>
      <c r="F3250" t="s">
        <v>1</v>
      </c>
      <c r="G3250" s="6">
        <v>45859</v>
      </c>
      <c r="H3250">
        <v>47</v>
      </c>
      <c r="I3250">
        <f>ROUND(CompilDonnées[[#This Row],[CultureDuration_days]]/7,0)</f>
        <v>7</v>
      </c>
      <c r="J3250">
        <v>2865</v>
      </c>
      <c r="K3250" t="str">
        <f>_xlfn.CONCAT(WEEKNUM(CompilDonnées[[#This Row],[PlantationDate]]), " ", YEAR(CompilDonnées[[#This Row],[PlantationDate]]))</f>
        <v>23 2025</v>
      </c>
      <c r="L3250" t="str">
        <f>CONCATENATE(MONTH(CompilDonnées[[#This Row],[PlantationDate]])," ", YEAR(CompilDonnées[[#This Row],[PlantationDate]]))</f>
        <v>6 2025</v>
      </c>
      <c r="M3250" t="str">
        <f>CONCATENATE(MONTH(CompilDonnées[[#This Row],[HarvestingDate]])," ", YEAR(CompilDonnées[[#This Row],[HarvestingDate]]))</f>
        <v>7 2025</v>
      </c>
      <c r="N3250">
        <f>_xlfn.NUMBERVALUE(CompilDonnées[[#This Row],[FarmID]]&amp;CompilDonnées[[#This Row],[ModuleNumber]]&amp;CompilDonnées[[#This Row],[PlantationDate]])</f>
        <v>1645812</v>
      </c>
      <c r="O3250" t="str">
        <f>CompilDonnées[[#This Row],[FarmID]]&amp;CompilDonnées[[#This Row],[ModuleNumber]]</f>
        <v>16</v>
      </c>
      <c r="P3250" t="str">
        <f>CompilDonnées[[#This Row],[Ref_Module]]&amp;CompilDonnées[[#This Row],[HarvestingDate]]</f>
        <v>1645859</v>
      </c>
    </row>
    <row r="3251" spans="1:16">
      <c r="A3251" s="5">
        <v>45812</v>
      </c>
      <c r="B3251">
        <v>7</v>
      </c>
      <c r="C3251" t="s">
        <v>50</v>
      </c>
      <c r="D3251">
        <v>3</v>
      </c>
      <c r="E3251">
        <v>100</v>
      </c>
      <c r="F3251" t="s">
        <v>1</v>
      </c>
      <c r="G3251" s="6">
        <v>45859</v>
      </c>
      <c r="H3251">
        <v>47</v>
      </c>
      <c r="I3251">
        <f>ROUND(CompilDonnées[[#This Row],[CultureDuration_days]]/7,0)</f>
        <v>7</v>
      </c>
      <c r="J3251">
        <v>2002</v>
      </c>
      <c r="K3251" t="str">
        <f>_xlfn.CONCAT(WEEKNUM(CompilDonnées[[#This Row],[PlantationDate]]), " ", YEAR(CompilDonnées[[#This Row],[PlantationDate]]))</f>
        <v>23 2025</v>
      </c>
      <c r="L3251" t="str">
        <f>CONCATENATE(MONTH(CompilDonnées[[#This Row],[PlantationDate]])," ", YEAR(CompilDonnées[[#This Row],[PlantationDate]]))</f>
        <v>6 2025</v>
      </c>
      <c r="M3251" t="str">
        <f>CONCATENATE(MONTH(CompilDonnées[[#This Row],[HarvestingDate]])," ", YEAR(CompilDonnées[[#This Row],[HarvestingDate]]))</f>
        <v>7 2025</v>
      </c>
      <c r="N3251">
        <f>_xlfn.NUMBERVALUE(CompilDonnées[[#This Row],[FarmID]]&amp;CompilDonnées[[#This Row],[ModuleNumber]]&amp;CompilDonnées[[#This Row],[PlantationDate]])</f>
        <v>7345812</v>
      </c>
      <c r="O3251" t="str">
        <f>CompilDonnées[[#This Row],[FarmID]]&amp;CompilDonnées[[#This Row],[ModuleNumber]]</f>
        <v>73</v>
      </c>
      <c r="P3251" t="str">
        <f>CompilDonnées[[#This Row],[Ref_Module]]&amp;CompilDonnées[[#This Row],[HarvestingDate]]</f>
        <v>7345859</v>
      </c>
    </row>
    <row r="3252" spans="1:16">
      <c r="A3252" s="5">
        <v>45812</v>
      </c>
      <c r="B3252">
        <v>8</v>
      </c>
      <c r="C3252" t="s">
        <v>57</v>
      </c>
      <c r="D3252">
        <v>2</v>
      </c>
      <c r="E3252">
        <v>100</v>
      </c>
      <c r="F3252" t="s">
        <v>1</v>
      </c>
      <c r="G3252" s="6">
        <v>45855</v>
      </c>
      <c r="H3252">
        <v>43</v>
      </c>
      <c r="I3252">
        <f>ROUND(CompilDonnées[[#This Row],[CultureDuration_days]]/7,0)</f>
        <v>6</v>
      </c>
      <c r="J3252">
        <v>2619</v>
      </c>
      <c r="K3252" t="str">
        <f>_xlfn.CONCAT(WEEKNUM(CompilDonnées[[#This Row],[PlantationDate]]), " ", YEAR(CompilDonnées[[#This Row],[PlantationDate]]))</f>
        <v>23 2025</v>
      </c>
      <c r="L3252" t="str">
        <f>CONCATENATE(MONTH(CompilDonnées[[#This Row],[PlantationDate]])," ", YEAR(CompilDonnées[[#This Row],[PlantationDate]]))</f>
        <v>6 2025</v>
      </c>
      <c r="M3252" t="str">
        <f>CONCATENATE(MONTH(CompilDonnées[[#This Row],[HarvestingDate]])," ", YEAR(CompilDonnées[[#This Row],[HarvestingDate]]))</f>
        <v>7 2025</v>
      </c>
      <c r="N3252">
        <f>_xlfn.NUMBERVALUE(CompilDonnées[[#This Row],[FarmID]]&amp;CompilDonnées[[#This Row],[ModuleNumber]]&amp;CompilDonnées[[#This Row],[PlantationDate]])</f>
        <v>8245812</v>
      </c>
      <c r="O3252" t="str">
        <f>CompilDonnées[[#This Row],[FarmID]]&amp;CompilDonnées[[#This Row],[ModuleNumber]]</f>
        <v>82</v>
      </c>
      <c r="P3252" t="str">
        <f>CompilDonnées[[#This Row],[Ref_Module]]&amp;CompilDonnées[[#This Row],[HarvestingDate]]</f>
        <v>8245855</v>
      </c>
    </row>
    <row r="3253" spans="1:16">
      <c r="A3253" s="5">
        <v>45812</v>
      </c>
      <c r="B3253">
        <v>11</v>
      </c>
      <c r="C3253" t="s">
        <v>106</v>
      </c>
      <c r="D3253">
        <v>4</v>
      </c>
      <c r="E3253">
        <v>100</v>
      </c>
      <c r="F3253" t="s">
        <v>1</v>
      </c>
      <c r="G3253" s="6">
        <v>45855</v>
      </c>
      <c r="H3253">
        <v>43</v>
      </c>
      <c r="I3253">
        <f>ROUND(CompilDonnées[[#This Row],[CultureDuration_days]]/7,0)</f>
        <v>6</v>
      </c>
      <c r="J3253">
        <v>2108</v>
      </c>
      <c r="K3253" t="str">
        <f>_xlfn.CONCAT(WEEKNUM(CompilDonnées[[#This Row],[PlantationDate]]), " ", YEAR(CompilDonnées[[#This Row],[PlantationDate]]))</f>
        <v>23 2025</v>
      </c>
      <c r="L3253" t="str">
        <f>CONCATENATE(MONTH(CompilDonnées[[#This Row],[PlantationDate]])," ", YEAR(CompilDonnées[[#This Row],[PlantationDate]]))</f>
        <v>6 2025</v>
      </c>
      <c r="M3253" t="str">
        <f>CONCATENATE(MONTH(CompilDonnées[[#This Row],[HarvestingDate]])," ", YEAR(CompilDonnées[[#This Row],[HarvestingDate]]))</f>
        <v>7 2025</v>
      </c>
      <c r="N3253">
        <f>_xlfn.NUMBERVALUE(CompilDonnées[[#This Row],[FarmID]]&amp;CompilDonnées[[#This Row],[ModuleNumber]]&amp;CompilDonnées[[#This Row],[PlantationDate]])</f>
        <v>11445812</v>
      </c>
      <c r="O3253" t="str">
        <f>CompilDonnées[[#This Row],[FarmID]]&amp;CompilDonnées[[#This Row],[ModuleNumber]]</f>
        <v>114</v>
      </c>
      <c r="P3253" t="str">
        <f>CompilDonnées[[#This Row],[Ref_Module]]&amp;CompilDonnées[[#This Row],[HarvestingDate]]</f>
        <v>11445855</v>
      </c>
    </row>
    <row r="3254" spans="1:16">
      <c r="A3254" s="5">
        <v>45812</v>
      </c>
      <c r="B3254">
        <v>12</v>
      </c>
      <c r="C3254" t="s">
        <v>123</v>
      </c>
      <c r="D3254">
        <v>1</v>
      </c>
      <c r="E3254">
        <v>100</v>
      </c>
      <c r="F3254" t="s">
        <v>1</v>
      </c>
      <c r="G3254" s="6">
        <v>45855</v>
      </c>
      <c r="H3254">
        <v>43</v>
      </c>
      <c r="I3254">
        <f>ROUND(CompilDonnées[[#This Row],[CultureDuration_days]]/7,0)</f>
        <v>6</v>
      </c>
      <c r="J3254">
        <v>2175</v>
      </c>
      <c r="K3254" t="str">
        <f>_xlfn.CONCAT(WEEKNUM(CompilDonnées[[#This Row],[PlantationDate]]), " ", YEAR(CompilDonnées[[#This Row],[PlantationDate]]))</f>
        <v>23 2025</v>
      </c>
      <c r="L3254" t="str">
        <f>CONCATENATE(MONTH(CompilDonnées[[#This Row],[PlantationDate]])," ", YEAR(CompilDonnées[[#This Row],[PlantationDate]]))</f>
        <v>6 2025</v>
      </c>
      <c r="M3254" t="str">
        <f>CONCATENATE(MONTH(CompilDonnées[[#This Row],[HarvestingDate]])," ", YEAR(CompilDonnées[[#This Row],[HarvestingDate]]))</f>
        <v>7 2025</v>
      </c>
      <c r="N3254">
        <f>_xlfn.NUMBERVALUE(CompilDonnées[[#This Row],[FarmID]]&amp;CompilDonnées[[#This Row],[ModuleNumber]]&amp;CompilDonnées[[#This Row],[PlantationDate]])</f>
        <v>12145812</v>
      </c>
      <c r="O3254" t="str">
        <f>CompilDonnées[[#This Row],[FarmID]]&amp;CompilDonnées[[#This Row],[ModuleNumber]]</f>
        <v>121</v>
      </c>
      <c r="P3254" t="str">
        <f>CompilDonnées[[#This Row],[Ref_Module]]&amp;CompilDonnées[[#This Row],[HarvestingDate]]</f>
        <v>12145855</v>
      </c>
    </row>
    <row r="3255" spans="1:16">
      <c r="A3255" s="5">
        <v>45812</v>
      </c>
      <c r="B3255">
        <v>2</v>
      </c>
      <c r="C3255" t="s">
        <v>119</v>
      </c>
      <c r="D3255">
        <v>4</v>
      </c>
      <c r="E3255">
        <v>100</v>
      </c>
      <c r="F3255" t="s">
        <v>1</v>
      </c>
      <c r="G3255" s="6">
        <v>45856</v>
      </c>
      <c r="H3255">
        <v>44</v>
      </c>
      <c r="I3255">
        <f>ROUND(CompilDonnées[[#This Row],[CultureDuration_days]]/7,0)</f>
        <v>6</v>
      </c>
      <c r="J3255">
        <v>2401</v>
      </c>
      <c r="K3255" t="str">
        <f>_xlfn.CONCAT(WEEKNUM(CompilDonnées[[#This Row],[PlantationDate]]), " ", YEAR(CompilDonnées[[#This Row],[PlantationDate]]))</f>
        <v>23 2025</v>
      </c>
      <c r="L3255" t="str">
        <f>CONCATENATE(MONTH(CompilDonnées[[#This Row],[PlantationDate]])," ", YEAR(CompilDonnées[[#This Row],[PlantationDate]]))</f>
        <v>6 2025</v>
      </c>
      <c r="M3255" t="str">
        <f>CONCATENATE(MONTH(CompilDonnées[[#This Row],[HarvestingDate]])," ", YEAR(CompilDonnées[[#This Row],[HarvestingDate]]))</f>
        <v>7 2025</v>
      </c>
      <c r="N3255">
        <f>_xlfn.NUMBERVALUE(CompilDonnées[[#This Row],[FarmID]]&amp;CompilDonnées[[#This Row],[ModuleNumber]]&amp;CompilDonnées[[#This Row],[PlantationDate]])</f>
        <v>2445812</v>
      </c>
      <c r="O3255" t="str">
        <f>CompilDonnées[[#This Row],[FarmID]]&amp;CompilDonnées[[#This Row],[ModuleNumber]]</f>
        <v>24</v>
      </c>
      <c r="P3255" t="str">
        <f>CompilDonnées[[#This Row],[Ref_Module]]&amp;CompilDonnées[[#This Row],[HarvestingDate]]</f>
        <v>2445856</v>
      </c>
    </row>
    <row r="3256" spans="1:16">
      <c r="A3256" s="5">
        <v>45812</v>
      </c>
      <c r="B3256">
        <v>33</v>
      </c>
      <c r="C3256" t="s">
        <v>104</v>
      </c>
      <c r="D3256">
        <v>5</v>
      </c>
      <c r="E3256">
        <v>100</v>
      </c>
      <c r="F3256" t="s">
        <v>1</v>
      </c>
      <c r="G3256" s="6">
        <v>45826</v>
      </c>
      <c r="H3256">
        <v>14</v>
      </c>
      <c r="I3256">
        <f>ROUND(CompilDonnées[[#This Row],[CultureDuration_days]]/7,0)</f>
        <v>2</v>
      </c>
      <c r="J3256">
        <v>0</v>
      </c>
      <c r="K3256" t="str">
        <f>_xlfn.CONCAT(WEEKNUM(CompilDonnées[[#This Row],[PlantationDate]]), " ", YEAR(CompilDonnées[[#This Row],[PlantationDate]]))</f>
        <v>23 2025</v>
      </c>
      <c r="L3256" t="str">
        <f>CONCATENATE(MONTH(CompilDonnées[[#This Row],[PlantationDate]])," ", YEAR(CompilDonnées[[#This Row],[PlantationDate]]))</f>
        <v>6 2025</v>
      </c>
      <c r="M3256" t="str">
        <f>CONCATENATE(MONTH(CompilDonnées[[#This Row],[HarvestingDate]])," ", YEAR(CompilDonnées[[#This Row],[HarvestingDate]]))</f>
        <v>6 2025</v>
      </c>
      <c r="N3256">
        <f>_xlfn.NUMBERVALUE(CompilDonnées[[#This Row],[FarmID]]&amp;CompilDonnées[[#This Row],[ModuleNumber]]&amp;CompilDonnées[[#This Row],[PlantationDate]])</f>
        <v>33545812</v>
      </c>
      <c r="O3256" t="str">
        <f>CompilDonnées[[#This Row],[FarmID]]&amp;CompilDonnées[[#This Row],[ModuleNumber]]</f>
        <v>335</v>
      </c>
      <c r="P3256" t="str">
        <f>CompilDonnées[[#This Row],[Ref_Module]]&amp;CompilDonnées[[#This Row],[HarvestingDate]]</f>
        <v>33545826</v>
      </c>
    </row>
    <row r="3257" spans="1:16">
      <c r="A3257" s="5">
        <v>45813</v>
      </c>
      <c r="B3257">
        <v>85</v>
      </c>
      <c r="C3257" t="s">
        <v>56</v>
      </c>
      <c r="D3257">
        <v>1</v>
      </c>
      <c r="E3257">
        <v>100</v>
      </c>
      <c r="F3257" t="s">
        <v>1</v>
      </c>
      <c r="G3257" s="6">
        <v>45853</v>
      </c>
      <c r="H3257">
        <v>40</v>
      </c>
      <c r="I3257">
        <f>ROUND(CompilDonnées[[#This Row],[CultureDuration_days]]/7,0)</f>
        <v>6</v>
      </c>
      <c r="J3257">
        <v>2145</v>
      </c>
      <c r="K3257" t="str">
        <f>_xlfn.CONCAT(WEEKNUM(CompilDonnées[[#This Row],[PlantationDate]]), " ", YEAR(CompilDonnées[[#This Row],[PlantationDate]]))</f>
        <v>23 2025</v>
      </c>
      <c r="L3257" t="str">
        <f>CONCATENATE(MONTH(CompilDonnées[[#This Row],[PlantationDate]])," ", YEAR(CompilDonnées[[#This Row],[PlantationDate]]))</f>
        <v>6 2025</v>
      </c>
      <c r="M3257" t="str">
        <f>CONCATENATE(MONTH(CompilDonnées[[#This Row],[HarvestingDate]])," ", YEAR(CompilDonnées[[#This Row],[HarvestingDate]]))</f>
        <v>7 2025</v>
      </c>
      <c r="N3257">
        <f>_xlfn.NUMBERVALUE(CompilDonnées[[#This Row],[FarmID]]&amp;CompilDonnées[[#This Row],[ModuleNumber]]&amp;CompilDonnées[[#This Row],[PlantationDate]])</f>
        <v>85145813</v>
      </c>
      <c r="O3257" t="str">
        <f>CompilDonnées[[#This Row],[FarmID]]&amp;CompilDonnées[[#This Row],[ModuleNumber]]</f>
        <v>851</v>
      </c>
      <c r="P3257" t="str">
        <f>CompilDonnées[[#This Row],[Ref_Module]]&amp;CompilDonnées[[#This Row],[HarvestingDate]]</f>
        <v>85145853</v>
      </c>
    </row>
    <row r="3258" spans="1:16">
      <c r="A3258" s="5">
        <v>45813</v>
      </c>
      <c r="B3258">
        <v>68</v>
      </c>
      <c r="C3258" t="s">
        <v>89</v>
      </c>
      <c r="D3258">
        <v>3</v>
      </c>
      <c r="E3258">
        <v>100</v>
      </c>
      <c r="F3258" t="s">
        <v>1</v>
      </c>
      <c r="G3258" s="6">
        <v>45854</v>
      </c>
      <c r="H3258">
        <v>41</v>
      </c>
      <c r="I3258">
        <f>ROUND(CompilDonnées[[#This Row],[CultureDuration_days]]/7,0)</f>
        <v>6</v>
      </c>
      <c r="J3258">
        <v>2290</v>
      </c>
      <c r="K3258" t="str">
        <f>_xlfn.CONCAT(WEEKNUM(CompilDonnées[[#This Row],[PlantationDate]]), " ", YEAR(CompilDonnées[[#This Row],[PlantationDate]]))</f>
        <v>23 2025</v>
      </c>
      <c r="L3258" t="str">
        <f>CONCATENATE(MONTH(CompilDonnées[[#This Row],[PlantationDate]])," ", YEAR(CompilDonnées[[#This Row],[PlantationDate]]))</f>
        <v>6 2025</v>
      </c>
      <c r="M3258" t="str">
        <f>CONCATENATE(MONTH(CompilDonnées[[#This Row],[HarvestingDate]])," ", YEAR(CompilDonnées[[#This Row],[HarvestingDate]]))</f>
        <v>7 2025</v>
      </c>
      <c r="N3258">
        <f>_xlfn.NUMBERVALUE(CompilDonnées[[#This Row],[FarmID]]&amp;CompilDonnées[[#This Row],[ModuleNumber]]&amp;CompilDonnées[[#This Row],[PlantationDate]])</f>
        <v>68345813</v>
      </c>
      <c r="O3258" t="str">
        <f>CompilDonnées[[#This Row],[FarmID]]&amp;CompilDonnées[[#This Row],[ModuleNumber]]</f>
        <v>683</v>
      </c>
      <c r="P3258" t="str">
        <f>CompilDonnées[[#This Row],[Ref_Module]]&amp;CompilDonnées[[#This Row],[HarvestingDate]]</f>
        <v>68345854</v>
      </c>
    </row>
    <row r="3259" spans="1:16">
      <c r="A3259" s="5">
        <v>45813</v>
      </c>
      <c r="B3259">
        <v>58</v>
      </c>
      <c r="C3259" t="s">
        <v>35</v>
      </c>
      <c r="D3259">
        <v>6</v>
      </c>
      <c r="E3259">
        <v>100</v>
      </c>
      <c r="F3259" t="s">
        <v>1</v>
      </c>
      <c r="G3259" s="6">
        <v>45856</v>
      </c>
      <c r="H3259">
        <v>43</v>
      </c>
      <c r="I3259">
        <f>ROUND(CompilDonnées[[#This Row],[CultureDuration_days]]/7,0)</f>
        <v>6</v>
      </c>
      <c r="J3259">
        <v>3583</v>
      </c>
      <c r="K3259" t="str">
        <f>_xlfn.CONCAT(WEEKNUM(CompilDonnées[[#This Row],[PlantationDate]]), " ", YEAR(CompilDonnées[[#This Row],[PlantationDate]]))</f>
        <v>23 2025</v>
      </c>
      <c r="L3259" t="str">
        <f>CONCATENATE(MONTH(CompilDonnées[[#This Row],[PlantationDate]])," ", YEAR(CompilDonnées[[#This Row],[PlantationDate]]))</f>
        <v>6 2025</v>
      </c>
      <c r="M3259" t="str">
        <f>CONCATENATE(MONTH(CompilDonnées[[#This Row],[HarvestingDate]])," ", YEAR(CompilDonnées[[#This Row],[HarvestingDate]]))</f>
        <v>7 2025</v>
      </c>
      <c r="N3259">
        <f>_xlfn.NUMBERVALUE(CompilDonnées[[#This Row],[FarmID]]&amp;CompilDonnées[[#This Row],[ModuleNumber]]&amp;CompilDonnées[[#This Row],[PlantationDate]])</f>
        <v>58645813</v>
      </c>
      <c r="O3259" t="str">
        <f>CompilDonnées[[#This Row],[FarmID]]&amp;CompilDonnées[[#This Row],[ModuleNumber]]</f>
        <v>586</v>
      </c>
      <c r="P3259" t="str">
        <f>CompilDonnées[[#This Row],[Ref_Module]]&amp;CompilDonnées[[#This Row],[HarvestingDate]]</f>
        <v>58645856</v>
      </c>
    </row>
    <row r="3260" spans="1:16">
      <c r="A3260" s="5">
        <v>45813</v>
      </c>
      <c r="B3260">
        <v>55</v>
      </c>
      <c r="C3260" t="s">
        <v>60</v>
      </c>
      <c r="D3260">
        <v>4</v>
      </c>
      <c r="E3260">
        <v>100</v>
      </c>
      <c r="F3260" t="s">
        <v>1</v>
      </c>
      <c r="G3260" s="6">
        <v>45868</v>
      </c>
      <c r="H3260">
        <v>55</v>
      </c>
      <c r="I3260">
        <f>ROUND(CompilDonnées[[#This Row],[CultureDuration_days]]/7,0)</f>
        <v>8</v>
      </c>
      <c r="J3260">
        <v>2306</v>
      </c>
      <c r="K3260" t="str">
        <f>_xlfn.CONCAT(WEEKNUM(CompilDonnées[[#This Row],[PlantationDate]]), " ", YEAR(CompilDonnées[[#This Row],[PlantationDate]]))</f>
        <v>23 2025</v>
      </c>
      <c r="L3260" t="str">
        <f>CONCATENATE(MONTH(CompilDonnées[[#This Row],[PlantationDate]])," ", YEAR(CompilDonnées[[#This Row],[PlantationDate]]))</f>
        <v>6 2025</v>
      </c>
      <c r="M3260" t="str">
        <f>CONCATENATE(MONTH(CompilDonnées[[#This Row],[HarvestingDate]])," ", YEAR(CompilDonnées[[#This Row],[HarvestingDate]]))</f>
        <v>7 2025</v>
      </c>
      <c r="N3260">
        <f>_xlfn.NUMBERVALUE(CompilDonnées[[#This Row],[FarmID]]&amp;CompilDonnées[[#This Row],[ModuleNumber]]&amp;CompilDonnées[[#This Row],[PlantationDate]])</f>
        <v>55445813</v>
      </c>
      <c r="O3260" t="str">
        <f>CompilDonnées[[#This Row],[FarmID]]&amp;CompilDonnées[[#This Row],[ModuleNumber]]</f>
        <v>554</v>
      </c>
      <c r="P3260" t="str">
        <f>CompilDonnées[[#This Row],[Ref_Module]]&amp;CompilDonnées[[#This Row],[HarvestingDate]]</f>
        <v>55445868</v>
      </c>
    </row>
    <row r="3261" spans="1:16">
      <c r="A3261" s="5">
        <v>45813</v>
      </c>
      <c r="B3261">
        <v>66</v>
      </c>
      <c r="C3261" t="s">
        <v>48</v>
      </c>
      <c r="D3261">
        <v>4</v>
      </c>
      <c r="E3261">
        <v>100</v>
      </c>
      <c r="F3261" t="s">
        <v>1</v>
      </c>
      <c r="G3261" s="6">
        <v>45860</v>
      </c>
      <c r="H3261">
        <v>47</v>
      </c>
      <c r="I3261">
        <f>ROUND(CompilDonnées[[#This Row],[CultureDuration_days]]/7,0)</f>
        <v>7</v>
      </c>
      <c r="J3261">
        <v>2701</v>
      </c>
      <c r="K3261" t="str">
        <f>_xlfn.CONCAT(WEEKNUM(CompilDonnées[[#This Row],[PlantationDate]]), " ", YEAR(CompilDonnées[[#This Row],[PlantationDate]]))</f>
        <v>23 2025</v>
      </c>
      <c r="L3261" t="str">
        <f>CONCATENATE(MONTH(CompilDonnées[[#This Row],[PlantationDate]])," ", YEAR(CompilDonnées[[#This Row],[PlantationDate]]))</f>
        <v>6 2025</v>
      </c>
      <c r="M3261" t="str">
        <f>CONCATENATE(MONTH(CompilDonnées[[#This Row],[HarvestingDate]])," ", YEAR(CompilDonnées[[#This Row],[HarvestingDate]]))</f>
        <v>7 2025</v>
      </c>
      <c r="N3261">
        <f>_xlfn.NUMBERVALUE(CompilDonnées[[#This Row],[FarmID]]&amp;CompilDonnées[[#This Row],[ModuleNumber]]&amp;CompilDonnées[[#This Row],[PlantationDate]])</f>
        <v>66445813</v>
      </c>
      <c r="O3261" t="str">
        <f>CompilDonnées[[#This Row],[FarmID]]&amp;CompilDonnées[[#This Row],[ModuleNumber]]</f>
        <v>664</v>
      </c>
      <c r="P3261" t="str">
        <f>CompilDonnées[[#This Row],[Ref_Module]]&amp;CompilDonnées[[#This Row],[HarvestingDate]]</f>
        <v>66445860</v>
      </c>
    </row>
    <row r="3262" spans="1:16">
      <c r="A3262" s="5">
        <v>45813</v>
      </c>
      <c r="B3262">
        <v>51</v>
      </c>
      <c r="C3262" t="s">
        <v>27</v>
      </c>
      <c r="D3262">
        <v>5</v>
      </c>
      <c r="E3262">
        <v>100</v>
      </c>
      <c r="F3262" t="s">
        <v>1</v>
      </c>
      <c r="G3262" s="6">
        <v>45854</v>
      </c>
      <c r="H3262">
        <v>41</v>
      </c>
      <c r="I3262">
        <f>ROUND(CompilDonnées[[#This Row],[CultureDuration_days]]/7,0)</f>
        <v>6</v>
      </c>
      <c r="J3262">
        <v>2980</v>
      </c>
      <c r="K3262" t="str">
        <f>_xlfn.CONCAT(WEEKNUM(CompilDonnées[[#This Row],[PlantationDate]]), " ", YEAR(CompilDonnées[[#This Row],[PlantationDate]]))</f>
        <v>23 2025</v>
      </c>
      <c r="L3262" t="str">
        <f>CONCATENATE(MONTH(CompilDonnées[[#This Row],[PlantationDate]])," ", YEAR(CompilDonnées[[#This Row],[PlantationDate]]))</f>
        <v>6 2025</v>
      </c>
      <c r="M3262" t="str">
        <f>CONCATENATE(MONTH(CompilDonnées[[#This Row],[HarvestingDate]])," ", YEAR(CompilDonnées[[#This Row],[HarvestingDate]]))</f>
        <v>7 2025</v>
      </c>
      <c r="N3262">
        <f>_xlfn.NUMBERVALUE(CompilDonnées[[#This Row],[FarmID]]&amp;CompilDonnées[[#This Row],[ModuleNumber]]&amp;CompilDonnées[[#This Row],[PlantationDate]])</f>
        <v>51545813</v>
      </c>
      <c r="O3262" t="str">
        <f>CompilDonnées[[#This Row],[FarmID]]&amp;CompilDonnées[[#This Row],[ModuleNumber]]</f>
        <v>515</v>
      </c>
      <c r="P3262" t="str">
        <f>CompilDonnées[[#This Row],[Ref_Module]]&amp;CompilDonnées[[#This Row],[HarvestingDate]]</f>
        <v>51545854</v>
      </c>
    </row>
    <row r="3263" spans="1:16">
      <c r="A3263" s="5">
        <v>45813</v>
      </c>
      <c r="B3263">
        <v>48</v>
      </c>
      <c r="C3263" t="s">
        <v>71</v>
      </c>
      <c r="D3263">
        <v>6</v>
      </c>
      <c r="E3263">
        <v>100</v>
      </c>
      <c r="F3263" t="s">
        <v>1</v>
      </c>
      <c r="G3263" s="6">
        <v>45854</v>
      </c>
      <c r="H3263">
        <v>41</v>
      </c>
      <c r="I3263">
        <f>ROUND(CompilDonnées[[#This Row],[CultureDuration_days]]/7,0)</f>
        <v>6</v>
      </c>
      <c r="J3263">
        <v>2076</v>
      </c>
      <c r="K3263" t="str">
        <f>_xlfn.CONCAT(WEEKNUM(CompilDonnées[[#This Row],[PlantationDate]]), " ", YEAR(CompilDonnées[[#This Row],[PlantationDate]]))</f>
        <v>23 2025</v>
      </c>
      <c r="L3263" t="str">
        <f>CONCATENATE(MONTH(CompilDonnées[[#This Row],[PlantationDate]])," ", YEAR(CompilDonnées[[#This Row],[PlantationDate]]))</f>
        <v>6 2025</v>
      </c>
      <c r="M3263" t="str">
        <f>CONCATENATE(MONTH(CompilDonnées[[#This Row],[HarvestingDate]])," ", YEAR(CompilDonnées[[#This Row],[HarvestingDate]]))</f>
        <v>7 2025</v>
      </c>
      <c r="N3263">
        <f>_xlfn.NUMBERVALUE(CompilDonnées[[#This Row],[FarmID]]&amp;CompilDonnées[[#This Row],[ModuleNumber]]&amp;CompilDonnées[[#This Row],[PlantationDate]])</f>
        <v>48645813</v>
      </c>
      <c r="O3263" t="str">
        <f>CompilDonnées[[#This Row],[FarmID]]&amp;CompilDonnées[[#This Row],[ModuleNumber]]</f>
        <v>486</v>
      </c>
      <c r="P3263" t="str">
        <f>CompilDonnées[[#This Row],[Ref_Module]]&amp;CompilDonnées[[#This Row],[HarvestingDate]]</f>
        <v>48645854</v>
      </c>
    </row>
    <row r="3264" spans="1:16">
      <c r="A3264" s="5">
        <v>45813</v>
      </c>
      <c r="B3264">
        <v>73</v>
      </c>
      <c r="C3264" t="s">
        <v>20</v>
      </c>
      <c r="D3264">
        <v>3</v>
      </c>
      <c r="E3264">
        <v>100</v>
      </c>
      <c r="F3264" t="s">
        <v>1</v>
      </c>
      <c r="G3264" s="6">
        <v>45854</v>
      </c>
      <c r="H3264">
        <v>41</v>
      </c>
      <c r="I3264">
        <f>ROUND(CompilDonnées[[#This Row],[CultureDuration_days]]/7,0)</f>
        <v>6</v>
      </c>
      <c r="J3264">
        <v>2477</v>
      </c>
      <c r="K3264" t="str">
        <f>_xlfn.CONCAT(WEEKNUM(CompilDonnées[[#This Row],[PlantationDate]]), " ", YEAR(CompilDonnées[[#This Row],[PlantationDate]]))</f>
        <v>23 2025</v>
      </c>
      <c r="L3264" t="str">
        <f>CONCATENATE(MONTH(CompilDonnées[[#This Row],[PlantationDate]])," ", YEAR(CompilDonnées[[#This Row],[PlantationDate]]))</f>
        <v>6 2025</v>
      </c>
      <c r="M3264" t="str">
        <f>CONCATENATE(MONTH(CompilDonnées[[#This Row],[HarvestingDate]])," ", YEAR(CompilDonnées[[#This Row],[HarvestingDate]]))</f>
        <v>7 2025</v>
      </c>
      <c r="N3264">
        <f>_xlfn.NUMBERVALUE(CompilDonnées[[#This Row],[FarmID]]&amp;CompilDonnées[[#This Row],[ModuleNumber]]&amp;CompilDonnées[[#This Row],[PlantationDate]])</f>
        <v>73345813</v>
      </c>
      <c r="O3264" t="str">
        <f>CompilDonnées[[#This Row],[FarmID]]&amp;CompilDonnées[[#This Row],[ModuleNumber]]</f>
        <v>733</v>
      </c>
      <c r="P3264" t="str">
        <f>CompilDonnées[[#This Row],[Ref_Module]]&amp;CompilDonnées[[#This Row],[HarvestingDate]]</f>
        <v>73345854</v>
      </c>
    </row>
    <row r="3265" spans="1:16">
      <c r="A3265" s="5">
        <v>45813</v>
      </c>
      <c r="B3265">
        <v>81</v>
      </c>
      <c r="C3265" t="s">
        <v>30</v>
      </c>
      <c r="D3265">
        <v>5</v>
      </c>
      <c r="E3265">
        <v>100</v>
      </c>
      <c r="F3265" t="s">
        <v>1</v>
      </c>
      <c r="G3265" s="6">
        <v>45853</v>
      </c>
      <c r="H3265">
        <v>40</v>
      </c>
      <c r="I3265">
        <f>ROUND(CompilDonnées[[#This Row],[CultureDuration_days]]/7,0)</f>
        <v>6</v>
      </c>
      <c r="J3265">
        <v>3344</v>
      </c>
      <c r="K3265" t="str">
        <f>_xlfn.CONCAT(WEEKNUM(CompilDonnées[[#This Row],[PlantationDate]]), " ", YEAR(CompilDonnées[[#This Row],[PlantationDate]]))</f>
        <v>23 2025</v>
      </c>
      <c r="L3265" t="str">
        <f>CONCATENATE(MONTH(CompilDonnées[[#This Row],[PlantationDate]])," ", YEAR(CompilDonnées[[#This Row],[PlantationDate]]))</f>
        <v>6 2025</v>
      </c>
      <c r="M3265" t="str">
        <f>CONCATENATE(MONTH(CompilDonnées[[#This Row],[HarvestingDate]])," ", YEAR(CompilDonnées[[#This Row],[HarvestingDate]]))</f>
        <v>7 2025</v>
      </c>
      <c r="N3265">
        <f>_xlfn.NUMBERVALUE(CompilDonnées[[#This Row],[FarmID]]&amp;CompilDonnées[[#This Row],[ModuleNumber]]&amp;CompilDonnées[[#This Row],[PlantationDate]])</f>
        <v>81545813</v>
      </c>
      <c r="O3265" t="str">
        <f>CompilDonnées[[#This Row],[FarmID]]&amp;CompilDonnées[[#This Row],[ModuleNumber]]</f>
        <v>815</v>
      </c>
      <c r="P3265" t="str">
        <f>CompilDonnées[[#This Row],[Ref_Module]]&amp;CompilDonnées[[#This Row],[HarvestingDate]]</f>
        <v>81545853</v>
      </c>
    </row>
    <row r="3266" spans="1:16">
      <c r="A3266" s="5">
        <v>45813</v>
      </c>
      <c r="B3266">
        <v>33</v>
      </c>
      <c r="C3266" t="s">
        <v>104</v>
      </c>
      <c r="D3266">
        <v>3</v>
      </c>
      <c r="E3266">
        <v>100</v>
      </c>
      <c r="F3266" t="s">
        <v>1</v>
      </c>
      <c r="G3266" s="6">
        <v>45825</v>
      </c>
      <c r="H3266">
        <v>12</v>
      </c>
      <c r="I3266">
        <f>ROUND(CompilDonnées[[#This Row],[CultureDuration_days]]/7,0)</f>
        <v>2</v>
      </c>
      <c r="J3266">
        <v>0</v>
      </c>
      <c r="K3266" t="str">
        <f>_xlfn.CONCAT(WEEKNUM(CompilDonnées[[#This Row],[PlantationDate]]), " ", YEAR(CompilDonnées[[#This Row],[PlantationDate]]))</f>
        <v>23 2025</v>
      </c>
      <c r="L3266" t="str">
        <f>CONCATENATE(MONTH(CompilDonnées[[#This Row],[PlantationDate]])," ", YEAR(CompilDonnées[[#This Row],[PlantationDate]]))</f>
        <v>6 2025</v>
      </c>
      <c r="M3266" t="str">
        <f>CONCATENATE(MONTH(CompilDonnées[[#This Row],[HarvestingDate]])," ", YEAR(CompilDonnées[[#This Row],[HarvestingDate]]))</f>
        <v>6 2025</v>
      </c>
      <c r="N3266">
        <f>_xlfn.NUMBERVALUE(CompilDonnées[[#This Row],[FarmID]]&amp;CompilDonnées[[#This Row],[ModuleNumber]]&amp;CompilDonnées[[#This Row],[PlantationDate]])</f>
        <v>33345813</v>
      </c>
      <c r="O3266" t="str">
        <f>CompilDonnées[[#This Row],[FarmID]]&amp;CompilDonnées[[#This Row],[ModuleNumber]]</f>
        <v>333</v>
      </c>
      <c r="P3266" t="str">
        <f>CompilDonnées[[#This Row],[Ref_Module]]&amp;CompilDonnées[[#This Row],[HarvestingDate]]</f>
        <v>33345825</v>
      </c>
    </row>
    <row r="3267" spans="1:16">
      <c r="A3267" s="5">
        <v>45813</v>
      </c>
      <c r="B3267">
        <v>54</v>
      </c>
      <c r="C3267" t="s">
        <v>39</v>
      </c>
      <c r="D3267">
        <v>5</v>
      </c>
      <c r="E3267">
        <v>100</v>
      </c>
      <c r="F3267" t="s">
        <v>1</v>
      </c>
      <c r="G3267" s="6">
        <v>45868</v>
      </c>
      <c r="H3267">
        <v>55</v>
      </c>
      <c r="I3267">
        <f>ROUND(CompilDonnées[[#This Row],[CultureDuration_days]]/7,0)</f>
        <v>8</v>
      </c>
      <c r="J3267">
        <v>1592</v>
      </c>
      <c r="K3267" t="str">
        <f>_xlfn.CONCAT(WEEKNUM(CompilDonnées[[#This Row],[PlantationDate]]), " ", YEAR(CompilDonnées[[#This Row],[PlantationDate]]))</f>
        <v>23 2025</v>
      </c>
      <c r="L3267" t="str">
        <f>CONCATENATE(MONTH(CompilDonnées[[#This Row],[PlantationDate]])," ", YEAR(CompilDonnées[[#This Row],[PlantationDate]]))</f>
        <v>6 2025</v>
      </c>
      <c r="M3267" t="str">
        <f>CONCATENATE(MONTH(CompilDonnées[[#This Row],[HarvestingDate]])," ", YEAR(CompilDonnées[[#This Row],[HarvestingDate]]))</f>
        <v>7 2025</v>
      </c>
      <c r="N3267">
        <f>_xlfn.NUMBERVALUE(CompilDonnées[[#This Row],[FarmID]]&amp;CompilDonnées[[#This Row],[ModuleNumber]]&amp;CompilDonnées[[#This Row],[PlantationDate]])</f>
        <v>54545813</v>
      </c>
      <c r="O3267" t="str">
        <f>CompilDonnées[[#This Row],[FarmID]]&amp;CompilDonnées[[#This Row],[ModuleNumber]]</f>
        <v>545</v>
      </c>
      <c r="P3267" t="str">
        <f>CompilDonnées[[#This Row],[Ref_Module]]&amp;CompilDonnées[[#This Row],[HarvestingDate]]</f>
        <v>54545868</v>
      </c>
    </row>
    <row r="3268" spans="1:16">
      <c r="A3268" s="5">
        <v>45813</v>
      </c>
      <c r="B3268">
        <v>53</v>
      </c>
      <c r="C3268" t="s">
        <v>83</v>
      </c>
      <c r="D3268">
        <v>3</v>
      </c>
      <c r="E3268">
        <v>100</v>
      </c>
      <c r="F3268" t="s">
        <v>1</v>
      </c>
      <c r="G3268" s="6">
        <v>45859</v>
      </c>
      <c r="H3268">
        <v>46</v>
      </c>
      <c r="I3268">
        <f>ROUND(CompilDonnées[[#This Row],[CultureDuration_days]]/7,0)</f>
        <v>7</v>
      </c>
      <c r="J3268">
        <v>3068</v>
      </c>
      <c r="K3268" t="str">
        <f>_xlfn.CONCAT(WEEKNUM(CompilDonnées[[#This Row],[PlantationDate]]), " ", YEAR(CompilDonnées[[#This Row],[PlantationDate]]))</f>
        <v>23 2025</v>
      </c>
      <c r="L3268" t="str">
        <f>CONCATENATE(MONTH(CompilDonnées[[#This Row],[PlantationDate]])," ", YEAR(CompilDonnées[[#This Row],[PlantationDate]]))</f>
        <v>6 2025</v>
      </c>
      <c r="M3268" t="str">
        <f>CONCATENATE(MONTH(CompilDonnées[[#This Row],[HarvestingDate]])," ", YEAR(CompilDonnées[[#This Row],[HarvestingDate]]))</f>
        <v>7 2025</v>
      </c>
      <c r="N3268">
        <f>_xlfn.NUMBERVALUE(CompilDonnées[[#This Row],[FarmID]]&amp;CompilDonnées[[#This Row],[ModuleNumber]]&amp;CompilDonnées[[#This Row],[PlantationDate]])</f>
        <v>53345813</v>
      </c>
      <c r="O3268" t="str">
        <f>CompilDonnées[[#This Row],[FarmID]]&amp;CompilDonnées[[#This Row],[ModuleNumber]]</f>
        <v>533</v>
      </c>
      <c r="P3268" t="str">
        <f>CompilDonnées[[#This Row],[Ref_Module]]&amp;CompilDonnées[[#This Row],[HarvestingDate]]</f>
        <v>53345859</v>
      </c>
    </row>
    <row r="3269" spans="1:16">
      <c r="A3269" s="5">
        <v>45813</v>
      </c>
      <c r="B3269">
        <v>47</v>
      </c>
      <c r="C3269" t="s">
        <v>12</v>
      </c>
      <c r="D3269">
        <v>5</v>
      </c>
      <c r="E3269">
        <v>100</v>
      </c>
      <c r="F3269" t="s">
        <v>1</v>
      </c>
      <c r="G3269" s="6">
        <v>45843</v>
      </c>
      <c r="H3269">
        <v>30</v>
      </c>
      <c r="I3269">
        <f>ROUND(CompilDonnées[[#This Row],[CultureDuration_days]]/7,0)</f>
        <v>4</v>
      </c>
      <c r="J3269">
        <v>1554</v>
      </c>
      <c r="K3269" t="str">
        <f>_xlfn.CONCAT(WEEKNUM(CompilDonnées[[#This Row],[PlantationDate]]), " ", YEAR(CompilDonnées[[#This Row],[PlantationDate]]))</f>
        <v>23 2025</v>
      </c>
      <c r="L3269" t="str">
        <f>CONCATENATE(MONTH(CompilDonnées[[#This Row],[PlantationDate]])," ", YEAR(CompilDonnées[[#This Row],[PlantationDate]]))</f>
        <v>6 2025</v>
      </c>
      <c r="M3269" t="str">
        <f>CONCATENATE(MONTH(CompilDonnées[[#This Row],[HarvestingDate]])," ", YEAR(CompilDonnées[[#This Row],[HarvestingDate]]))</f>
        <v>7 2025</v>
      </c>
      <c r="N3269">
        <f>_xlfn.NUMBERVALUE(CompilDonnées[[#This Row],[FarmID]]&amp;CompilDonnées[[#This Row],[ModuleNumber]]&amp;CompilDonnées[[#This Row],[PlantationDate]])</f>
        <v>47545813</v>
      </c>
      <c r="O3269" t="str">
        <f>CompilDonnées[[#This Row],[FarmID]]&amp;CompilDonnées[[#This Row],[ModuleNumber]]</f>
        <v>475</v>
      </c>
      <c r="P3269" t="str">
        <f>CompilDonnées[[#This Row],[Ref_Module]]&amp;CompilDonnées[[#This Row],[HarvestingDate]]</f>
        <v>47545843</v>
      </c>
    </row>
    <row r="3270" spans="1:16">
      <c r="A3270" s="5">
        <v>45813</v>
      </c>
      <c r="B3270">
        <v>62</v>
      </c>
      <c r="C3270" t="s">
        <v>124</v>
      </c>
      <c r="D3270">
        <v>5</v>
      </c>
      <c r="E3270">
        <v>100</v>
      </c>
      <c r="F3270" t="s">
        <v>1</v>
      </c>
      <c r="G3270" s="6">
        <v>45853</v>
      </c>
      <c r="H3270">
        <v>40</v>
      </c>
      <c r="I3270">
        <f>ROUND(CompilDonnées[[#This Row],[CultureDuration_days]]/7,0)</f>
        <v>6</v>
      </c>
      <c r="J3270">
        <v>2035</v>
      </c>
      <c r="K3270" t="str">
        <f>_xlfn.CONCAT(WEEKNUM(CompilDonnées[[#This Row],[PlantationDate]]), " ", YEAR(CompilDonnées[[#This Row],[PlantationDate]]))</f>
        <v>23 2025</v>
      </c>
      <c r="L3270" t="str">
        <f>CONCATENATE(MONTH(CompilDonnées[[#This Row],[PlantationDate]])," ", YEAR(CompilDonnées[[#This Row],[PlantationDate]]))</f>
        <v>6 2025</v>
      </c>
      <c r="M3270" t="str">
        <f>CONCATENATE(MONTH(CompilDonnées[[#This Row],[HarvestingDate]])," ", YEAR(CompilDonnées[[#This Row],[HarvestingDate]]))</f>
        <v>7 2025</v>
      </c>
      <c r="N3270">
        <f>_xlfn.NUMBERVALUE(CompilDonnées[[#This Row],[FarmID]]&amp;CompilDonnées[[#This Row],[ModuleNumber]]&amp;CompilDonnées[[#This Row],[PlantationDate]])</f>
        <v>62545813</v>
      </c>
      <c r="O3270" t="str">
        <f>CompilDonnées[[#This Row],[FarmID]]&amp;CompilDonnées[[#This Row],[ModuleNumber]]</f>
        <v>625</v>
      </c>
      <c r="P3270" t="str">
        <f>CompilDonnées[[#This Row],[Ref_Module]]&amp;CompilDonnées[[#This Row],[HarvestingDate]]</f>
        <v>62545853</v>
      </c>
    </row>
    <row r="3271" spans="1:16">
      <c r="A3271" s="5">
        <v>45813</v>
      </c>
      <c r="B3271">
        <v>69</v>
      </c>
      <c r="C3271" t="s">
        <v>102</v>
      </c>
      <c r="D3271">
        <v>5</v>
      </c>
      <c r="E3271">
        <v>100</v>
      </c>
      <c r="F3271" t="s">
        <v>1</v>
      </c>
      <c r="G3271" s="6">
        <v>45860</v>
      </c>
      <c r="H3271">
        <v>47</v>
      </c>
      <c r="I3271">
        <f>ROUND(CompilDonnées[[#This Row],[CultureDuration_days]]/7,0)</f>
        <v>7</v>
      </c>
      <c r="J3271">
        <v>1355</v>
      </c>
      <c r="K3271" t="str">
        <f>_xlfn.CONCAT(WEEKNUM(CompilDonnées[[#This Row],[PlantationDate]]), " ", YEAR(CompilDonnées[[#This Row],[PlantationDate]]))</f>
        <v>23 2025</v>
      </c>
      <c r="L3271" t="str">
        <f>CONCATENATE(MONTH(CompilDonnées[[#This Row],[PlantationDate]])," ", YEAR(CompilDonnées[[#This Row],[PlantationDate]]))</f>
        <v>6 2025</v>
      </c>
      <c r="M3271" t="str">
        <f>CONCATENATE(MONTH(CompilDonnées[[#This Row],[HarvestingDate]])," ", YEAR(CompilDonnées[[#This Row],[HarvestingDate]]))</f>
        <v>7 2025</v>
      </c>
      <c r="N3271">
        <f>_xlfn.NUMBERVALUE(CompilDonnées[[#This Row],[FarmID]]&amp;CompilDonnées[[#This Row],[ModuleNumber]]&amp;CompilDonnées[[#This Row],[PlantationDate]])</f>
        <v>69545813</v>
      </c>
      <c r="O3271" t="str">
        <f>CompilDonnées[[#This Row],[FarmID]]&amp;CompilDonnées[[#This Row],[ModuleNumber]]</f>
        <v>695</v>
      </c>
      <c r="P3271" t="str">
        <f>CompilDonnées[[#This Row],[Ref_Module]]&amp;CompilDonnées[[#This Row],[HarvestingDate]]</f>
        <v>69545860</v>
      </c>
    </row>
    <row r="3272" spans="1:16">
      <c r="A3272" s="5">
        <v>45813</v>
      </c>
      <c r="B3272">
        <v>39</v>
      </c>
      <c r="C3272" t="s">
        <v>81</v>
      </c>
      <c r="D3272">
        <v>4</v>
      </c>
      <c r="E3272">
        <v>100</v>
      </c>
      <c r="F3272" t="s">
        <v>1</v>
      </c>
      <c r="G3272" s="6">
        <v>45825</v>
      </c>
      <c r="H3272">
        <v>12</v>
      </c>
      <c r="I3272">
        <f>ROUND(CompilDonnées[[#This Row],[CultureDuration_days]]/7,0)</f>
        <v>2</v>
      </c>
      <c r="J3272">
        <v>732</v>
      </c>
      <c r="K3272" t="str">
        <f>_xlfn.CONCAT(WEEKNUM(CompilDonnées[[#This Row],[PlantationDate]]), " ", YEAR(CompilDonnées[[#This Row],[PlantationDate]]))</f>
        <v>23 2025</v>
      </c>
      <c r="L3272" t="str">
        <f>CONCATENATE(MONTH(CompilDonnées[[#This Row],[PlantationDate]])," ", YEAR(CompilDonnées[[#This Row],[PlantationDate]]))</f>
        <v>6 2025</v>
      </c>
      <c r="M3272" t="str">
        <f>CONCATENATE(MONTH(CompilDonnées[[#This Row],[HarvestingDate]])," ", YEAR(CompilDonnées[[#This Row],[HarvestingDate]]))</f>
        <v>6 2025</v>
      </c>
      <c r="N3272">
        <f>_xlfn.NUMBERVALUE(CompilDonnées[[#This Row],[FarmID]]&amp;CompilDonnées[[#This Row],[ModuleNumber]]&amp;CompilDonnées[[#This Row],[PlantationDate]])</f>
        <v>39445813</v>
      </c>
      <c r="O3272" t="str">
        <f>CompilDonnées[[#This Row],[FarmID]]&amp;CompilDonnées[[#This Row],[ModuleNumber]]</f>
        <v>394</v>
      </c>
      <c r="P3272" t="str">
        <f>CompilDonnées[[#This Row],[Ref_Module]]&amp;CompilDonnées[[#This Row],[HarvestingDate]]</f>
        <v>39445825</v>
      </c>
    </row>
    <row r="3273" spans="1:16">
      <c r="A3273" s="5">
        <v>45813</v>
      </c>
      <c r="B3273">
        <v>40</v>
      </c>
      <c r="C3273" t="s">
        <v>82</v>
      </c>
      <c r="D3273">
        <v>2</v>
      </c>
      <c r="E3273">
        <v>100</v>
      </c>
      <c r="F3273" t="s">
        <v>1</v>
      </c>
      <c r="G3273" s="6">
        <v>45825</v>
      </c>
      <c r="H3273">
        <v>12</v>
      </c>
      <c r="I3273">
        <f>ROUND(CompilDonnées[[#This Row],[CultureDuration_days]]/7,0)</f>
        <v>2</v>
      </c>
      <c r="J3273">
        <v>0</v>
      </c>
      <c r="K3273" t="str">
        <f>_xlfn.CONCAT(WEEKNUM(CompilDonnées[[#This Row],[PlantationDate]]), " ", YEAR(CompilDonnées[[#This Row],[PlantationDate]]))</f>
        <v>23 2025</v>
      </c>
      <c r="L3273" t="str">
        <f>CONCATENATE(MONTH(CompilDonnées[[#This Row],[PlantationDate]])," ", YEAR(CompilDonnées[[#This Row],[PlantationDate]]))</f>
        <v>6 2025</v>
      </c>
      <c r="M3273" t="str">
        <f>CONCATENATE(MONTH(CompilDonnées[[#This Row],[HarvestingDate]])," ", YEAR(CompilDonnées[[#This Row],[HarvestingDate]]))</f>
        <v>6 2025</v>
      </c>
      <c r="N3273">
        <f>_xlfn.NUMBERVALUE(CompilDonnées[[#This Row],[FarmID]]&amp;CompilDonnées[[#This Row],[ModuleNumber]]&amp;CompilDonnées[[#This Row],[PlantationDate]])</f>
        <v>40245813</v>
      </c>
      <c r="O3273" t="str">
        <f>CompilDonnées[[#This Row],[FarmID]]&amp;CompilDonnées[[#This Row],[ModuleNumber]]</f>
        <v>402</v>
      </c>
      <c r="P3273" t="str">
        <f>CompilDonnées[[#This Row],[Ref_Module]]&amp;CompilDonnées[[#This Row],[HarvestingDate]]</f>
        <v>40245825</v>
      </c>
    </row>
    <row r="3274" spans="1:16">
      <c r="A3274" s="5">
        <v>45813</v>
      </c>
      <c r="B3274">
        <v>40</v>
      </c>
      <c r="C3274" t="s">
        <v>82</v>
      </c>
      <c r="D3274">
        <v>3</v>
      </c>
      <c r="E3274">
        <v>100</v>
      </c>
      <c r="F3274" t="s">
        <v>1</v>
      </c>
      <c r="G3274" s="6">
        <v>45825</v>
      </c>
      <c r="H3274">
        <v>12</v>
      </c>
      <c r="I3274">
        <f>ROUND(CompilDonnées[[#This Row],[CultureDuration_days]]/7,0)</f>
        <v>2</v>
      </c>
      <c r="J3274">
        <v>0</v>
      </c>
      <c r="K3274" t="str">
        <f>_xlfn.CONCAT(WEEKNUM(CompilDonnées[[#This Row],[PlantationDate]]), " ", YEAR(CompilDonnées[[#This Row],[PlantationDate]]))</f>
        <v>23 2025</v>
      </c>
      <c r="L3274" t="str">
        <f>CONCATENATE(MONTH(CompilDonnées[[#This Row],[PlantationDate]])," ", YEAR(CompilDonnées[[#This Row],[PlantationDate]]))</f>
        <v>6 2025</v>
      </c>
      <c r="M3274" t="str">
        <f>CONCATENATE(MONTH(CompilDonnées[[#This Row],[HarvestingDate]])," ", YEAR(CompilDonnées[[#This Row],[HarvestingDate]]))</f>
        <v>6 2025</v>
      </c>
      <c r="N3274">
        <f>_xlfn.NUMBERVALUE(CompilDonnées[[#This Row],[FarmID]]&amp;CompilDonnées[[#This Row],[ModuleNumber]]&amp;CompilDonnées[[#This Row],[PlantationDate]])</f>
        <v>40345813</v>
      </c>
      <c r="O3274" t="str">
        <f>CompilDonnées[[#This Row],[FarmID]]&amp;CompilDonnées[[#This Row],[ModuleNumber]]</f>
        <v>403</v>
      </c>
      <c r="P3274" t="str">
        <f>CompilDonnées[[#This Row],[Ref_Module]]&amp;CompilDonnées[[#This Row],[HarvestingDate]]</f>
        <v>40345825</v>
      </c>
    </row>
    <row r="3275" spans="1:16">
      <c r="A3275" s="5">
        <v>45813</v>
      </c>
      <c r="B3275">
        <v>34</v>
      </c>
      <c r="C3275" t="s">
        <v>68</v>
      </c>
      <c r="D3275">
        <v>3</v>
      </c>
      <c r="E3275">
        <v>100</v>
      </c>
      <c r="F3275" t="s">
        <v>1</v>
      </c>
      <c r="G3275" s="6">
        <v>45830</v>
      </c>
      <c r="H3275">
        <v>17</v>
      </c>
      <c r="I3275">
        <f>ROUND(CompilDonnées[[#This Row],[CultureDuration_days]]/7,0)</f>
        <v>2</v>
      </c>
      <c r="J3275">
        <v>0</v>
      </c>
      <c r="K3275" t="str">
        <f>_xlfn.CONCAT(WEEKNUM(CompilDonnées[[#This Row],[PlantationDate]]), " ", YEAR(CompilDonnées[[#This Row],[PlantationDate]]))</f>
        <v>23 2025</v>
      </c>
      <c r="L3275" t="str">
        <f>CONCATENATE(MONTH(CompilDonnées[[#This Row],[PlantationDate]])," ", YEAR(CompilDonnées[[#This Row],[PlantationDate]]))</f>
        <v>6 2025</v>
      </c>
      <c r="M3275" t="str">
        <f>CONCATENATE(MONTH(CompilDonnées[[#This Row],[HarvestingDate]])," ", YEAR(CompilDonnées[[#This Row],[HarvestingDate]]))</f>
        <v>6 2025</v>
      </c>
      <c r="N3275">
        <f>_xlfn.NUMBERVALUE(CompilDonnées[[#This Row],[FarmID]]&amp;CompilDonnées[[#This Row],[ModuleNumber]]&amp;CompilDonnées[[#This Row],[PlantationDate]])</f>
        <v>34345813</v>
      </c>
      <c r="O3275" t="str">
        <f>CompilDonnées[[#This Row],[FarmID]]&amp;CompilDonnées[[#This Row],[ModuleNumber]]</f>
        <v>343</v>
      </c>
      <c r="P3275" t="str">
        <f>CompilDonnées[[#This Row],[Ref_Module]]&amp;CompilDonnées[[#This Row],[HarvestingDate]]</f>
        <v>34345830</v>
      </c>
    </row>
    <row r="3276" spans="1:16">
      <c r="A3276" s="5">
        <v>45813</v>
      </c>
      <c r="B3276">
        <v>28</v>
      </c>
      <c r="C3276" t="s">
        <v>122</v>
      </c>
      <c r="D3276">
        <v>6</v>
      </c>
      <c r="E3276">
        <v>100</v>
      </c>
      <c r="F3276" t="s">
        <v>1</v>
      </c>
      <c r="G3276" s="6">
        <v>45844</v>
      </c>
      <c r="H3276">
        <v>31</v>
      </c>
      <c r="I3276">
        <f>ROUND(CompilDonnées[[#This Row],[CultureDuration_days]]/7,0)</f>
        <v>4</v>
      </c>
      <c r="J3276">
        <v>1200</v>
      </c>
      <c r="K3276" t="str">
        <f>_xlfn.CONCAT(WEEKNUM(CompilDonnées[[#This Row],[PlantationDate]]), " ", YEAR(CompilDonnées[[#This Row],[PlantationDate]]))</f>
        <v>23 2025</v>
      </c>
      <c r="L3276" t="str">
        <f>CONCATENATE(MONTH(CompilDonnées[[#This Row],[PlantationDate]])," ", YEAR(CompilDonnées[[#This Row],[PlantationDate]]))</f>
        <v>6 2025</v>
      </c>
      <c r="M3276" t="str">
        <f>CONCATENATE(MONTH(CompilDonnées[[#This Row],[HarvestingDate]])," ", YEAR(CompilDonnées[[#This Row],[HarvestingDate]]))</f>
        <v>7 2025</v>
      </c>
      <c r="N3276">
        <f>_xlfn.NUMBERVALUE(CompilDonnées[[#This Row],[FarmID]]&amp;CompilDonnées[[#This Row],[ModuleNumber]]&amp;CompilDonnées[[#This Row],[PlantationDate]])</f>
        <v>28645813</v>
      </c>
      <c r="O3276" t="str">
        <f>CompilDonnées[[#This Row],[FarmID]]&amp;CompilDonnées[[#This Row],[ModuleNumber]]</f>
        <v>286</v>
      </c>
      <c r="P3276" t="str">
        <f>CompilDonnées[[#This Row],[Ref_Module]]&amp;CompilDonnées[[#This Row],[HarvestingDate]]</f>
        <v>28645844</v>
      </c>
    </row>
    <row r="3277" spans="1:16">
      <c r="A3277" s="5">
        <v>45813</v>
      </c>
      <c r="B3277">
        <v>26</v>
      </c>
      <c r="C3277" t="s">
        <v>97</v>
      </c>
      <c r="D3277">
        <v>4</v>
      </c>
      <c r="E3277">
        <v>100</v>
      </c>
      <c r="F3277" t="s">
        <v>1</v>
      </c>
      <c r="G3277" s="6">
        <v>45855</v>
      </c>
      <c r="H3277">
        <v>42</v>
      </c>
      <c r="I3277">
        <f>ROUND(CompilDonnées[[#This Row],[CultureDuration_days]]/7,0)</f>
        <v>6</v>
      </c>
      <c r="J3277">
        <v>2086</v>
      </c>
      <c r="K3277" t="str">
        <f>_xlfn.CONCAT(WEEKNUM(CompilDonnées[[#This Row],[PlantationDate]]), " ", YEAR(CompilDonnées[[#This Row],[PlantationDate]]))</f>
        <v>23 2025</v>
      </c>
      <c r="L3277" t="str">
        <f>CONCATENATE(MONTH(CompilDonnées[[#This Row],[PlantationDate]])," ", YEAR(CompilDonnées[[#This Row],[PlantationDate]]))</f>
        <v>6 2025</v>
      </c>
      <c r="M3277" t="str">
        <f>CONCATENATE(MONTH(CompilDonnées[[#This Row],[HarvestingDate]])," ", YEAR(CompilDonnées[[#This Row],[HarvestingDate]]))</f>
        <v>7 2025</v>
      </c>
      <c r="N3277">
        <f>_xlfn.NUMBERVALUE(CompilDonnées[[#This Row],[FarmID]]&amp;CompilDonnées[[#This Row],[ModuleNumber]]&amp;CompilDonnées[[#This Row],[PlantationDate]])</f>
        <v>26445813</v>
      </c>
      <c r="O3277" t="str">
        <f>CompilDonnées[[#This Row],[FarmID]]&amp;CompilDonnées[[#This Row],[ModuleNumber]]</f>
        <v>264</v>
      </c>
      <c r="P3277" t="str">
        <f>CompilDonnées[[#This Row],[Ref_Module]]&amp;CompilDonnées[[#This Row],[HarvestingDate]]</f>
        <v>26445855</v>
      </c>
    </row>
    <row r="3278" spans="1:16">
      <c r="A3278" s="5">
        <v>45813</v>
      </c>
      <c r="B3278">
        <v>25</v>
      </c>
      <c r="C3278" t="s">
        <v>100</v>
      </c>
      <c r="D3278">
        <v>6</v>
      </c>
      <c r="E3278">
        <v>100</v>
      </c>
      <c r="F3278" t="s">
        <v>1</v>
      </c>
      <c r="G3278" s="6">
        <v>45855</v>
      </c>
      <c r="H3278">
        <v>42</v>
      </c>
      <c r="I3278">
        <f>ROUND(CompilDonnées[[#This Row],[CultureDuration_days]]/7,0)</f>
        <v>6</v>
      </c>
      <c r="J3278">
        <v>2028</v>
      </c>
      <c r="K3278" t="str">
        <f>_xlfn.CONCAT(WEEKNUM(CompilDonnées[[#This Row],[PlantationDate]]), " ", YEAR(CompilDonnées[[#This Row],[PlantationDate]]))</f>
        <v>23 2025</v>
      </c>
      <c r="L3278" t="str">
        <f>CONCATENATE(MONTH(CompilDonnées[[#This Row],[PlantationDate]])," ", YEAR(CompilDonnées[[#This Row],[PlantationDate]]))</f>
        <v>6 2025</v>
      </c>
      <c r="M3278" t="str">
        <f>CONCATENATE(MONTH(CompilDonnées[[#This Row],[HarvestingDate]])," ", YEAR(CompilDonnées[[#This Row],[HarvestingDate]]))</f>
        <v>7 2025</v>
      </c>
      <c r="N3278">
        <f>_xlfn.NUMBERVALUE(CompilDonnées[[#This Row],[FarmID]]&amp;CompilDonnées[[#This Row],[ModuleNumber]]&amp;CompilDonnées[[#This Row],[PlantationDate]])</f>
        <v>25645813</v>
      </c>
      <c r="O3278" t="str">
        <f>CompilDonnées[[#This Row],[FarmID]]&amp;CompilDonnées[[#This Row],[ModuleNumber]]</f>
        <v>256</v>
      </c>
      <c r="P3278" t="str">
        <f>CompilDonnées[[#This Row],[Ref_Module]]&amp;CompilDonnées[[#This Row],[HarvestingDate]]</f>
        <v>25645855</v>
      </c>
    </row>
    <row r="3279" spans="1:16">
      <c r="A3279" s="5">
        <v>45813</v>
      </c>
      <c r="B3279">
        <v>20</v>
      </c>
      <c r="C3279" t="s">
        <v>53</v>
      </c>
      <c r="D3279">
        <v>6</v>
      </c>
      <c r="E3279">
        <v>100</v>
      </c>
      <c r="F3279" t="s">
        <v>1</v>
      </c>
      <c r="G3279" s="6">
        <v>45859</v>
      </c>
      <c r="H3279">
        <v>46</v>
      </c>
      <c r="I3279">
        <f>ROUND(CompilDonnées[[#This Row],[CultureDuration_days]]/7,0)</f>
        <v>7</v>
      </c>
      <c r="J3279">
        <v>1413</v>
      </c>
      <c r="K3279" t="str">
        <f>_xlfn.CONCAT(WEEKNUM(CompilDonnées[[#This Row],[PlantationDate]]), " ", YEAR(CompilDonnées[[#This Row],[PlantationDate]]))</f>
        <v>23 2025</v>
      </c>
      <c r="L3279" t="str">
        <f>CONCATENATE(MONTH(CompilDonnées[[#This Row],[PlantationDate]])," ", YEAR(CompilDonnées[[#This Row],[PlantationDate]]))</f>
        <v>6 2025</v>
      </c>
      <c r="M3279" t="str">
        <f>CONCATENATE(MONTH(CompilDonnées[[#This Row],[HarvestingDate]])," ", YEAR(CompilDonnées[[#This Row],[HarvestingDate]]))</f>
        <v>7 2025</v>
      </c>
      <c r="N3279">
        <f>_xlfn.NUMBERVALUE(CompilDonnées[[#This Row],[FarmID]]&amp;CompilDonnées[[#This Row],[ModuleNumber]]&amp;CompilDonnées[[#This Row],[PlantationDate]])</f>
        <v>20645813</v>
      </c>
      <c r="O3279" t="str">
        <f>CompilDonnées[[#This Row],[FarmID]]&amp;CompilDonnées[[#This Row],[ModuleNumber]]</f>
        <v>206</v>
      </c>
      <c r="P3279" t="str">
        <f>CompilDonnées[[#This Row],[Ref_Module]]&amp;CompilDonnées[[#This Row],[HarvestingDate]]</f>
        <v>20645859</v>
      </c>
    </row>
    <row r="3280" spans="1:16">
      <c r="A3280" s="5">
        <v>45813</v>
      </c>
      <c r="B3280">
        <v>12</v>
      </c>
      <c r="C3280" t="s">
        <v>123</v>
      </c>
      <c r="D3280">
        <v>2</v>
      </c>
      <c r="E3280">
        <v>100</v>
      </c>
      <c r="F3280" t="s">
        <v>1</v>
      </c>
      <c r="G3280" s="6">
        <v>45859</v>
      </c>
      <c r="H3280">
        <v>46</v>
      </c>
      <c r="I3280">
        <f>ROUND(CompilDonnées[[#This Row],[CultureDuration_days]]/7,0)</f>
        <v>7</v>
      </c>
      <c r="J3280">
        <v>2482</v>
      </c>
      <c r="K3280" t="str">
        <f>_xlfn.CONCAT(WEEKNUM(CompilDonnées[[#This Row],[PlantationDate]]), " ", YEAR(CompilDonnées[[#This Row],[PlantationDate]]))</f>
        <v>23 2025</v>
      </c>
      <c r="L3280" t="str">
        <f>CONCATENATE(MONTH(CompilDonnées[[#This Row],[PlantationDate]])," ", YEAR(CompilDonnées[[#This Row],[PlantationDate]]))</f>
        <v>6 2025</v>
      </c>
      <c r="M3280" t="str">
        <f>CONCATENATE(MONTH(CompilDonnées[[#This Row],[HarvestingDate]])," ", YEAR(CompilDonnées[[#This Row],[HarvestingDate]]))</f>
        <v>7 2025</v>
      </c>
      <c r="N3280">
        <f>_xlfn.NUMBERVALUE(CompilDonnées[[#This Row],[FarmID]]&amp;CompilDonnées[[#This Row],[ModuleNumber]]&amp;CompilDonnées[[#This Row],[PlantationDate]])</f>
        <v>12245813</v>
      </c>
      <c r="O3280" t="str">
        <f>CompilDonnées[[#This Row],[FarmID]]&amp;CompilDonnées[[#This Row],[ModuleNumber]]</f>
        <v>122</v>
      </c>
      <c r="P3280" t="str">
        <f>CompilDonnées[[#This Row],[Ref_Module]]&amp;CompilDonnées[[#This Row],[HarvestingDate]]</f>
        <v>12245859</v>
      </c>
    </row>
    <row r="3281" spans="1:16">
      <c r="A3281" s="5">
        <v>45813</v>
      </c>
      <c r="B3281">
        <v>8</v>
      </c>
      <c r="C3281" t="s">
        <v>57</v>
      </c>
      <c r="D3281">
        <v>3</v>
      </c>
      <c r="E3281">
        <v>100</v>
      </c>
      <c r="F3281" t="s">
        <v>1</v>
      </c>
      <c r="G3281" s="6">
        <v>45869</v>
      </c>
      <c r="H3281">
        <v>56</v>
      </c>
      <c r="I3281">
        <f>ROUND(CompilDonnées[[#This Row],[CultureDuration_days]]/7,0)</f>
        <v>8</v>
      </c>
      <c r="J3281">
        <v>1903</v>
      </c>
      <c r="K3281" t="str">
        <f>_xlfn.CONCAT(WEEKNUM(CompilDonnées[[#This Row],[PlantationDate]]), " ", YEAR(CompilDonnées[[#This Row],[PlantationDate]]))</f>
        <v>23 2025</v>
      </c>
      <c r="L3281" t="str">
        <f>CONCATENATE(MONTH(CompilDonnées[[#This Row],[PlantationDate]])," ", YEAR(CompilDonnées[[#This Row],[PlantationDate]]))</f>
        <v>6 2025</v>
      </c>
      <c r="M3281" t="str">
        <f>CONCATENATE(MONTH(CompilDonnées[[#This Row],[HarvestingDate]])," ", YEAR(CompilDonnées[[#This Row],[HarvestingDate]]))</f>
        <v>7 2025</v>
      </c>
      <c r="N3281">
        <f>_xlfn.NUMBERVALUE(CompilDonnées[[#This Row],[FarmID]]&amp;CompilDonnées[[#This Row],[ModuleNumber]]&amp;CompilDonnées[[#This Row],[PlantationDate]])</f>
        <v>8345813</v>
      </c>
      <c r="O3281" t="str">
        <f>CompilDonnées[[#This Row],[FarmID]]&amp;CompilDonnées[[#This Row],[ModuleNumber]]</f>
        <v>83</v>
      </c>
      <c r="P3281" t="str">
        <f>CompilDonnées[[#This Row],[Ref_Module]]&amp;CompilDonnées[[#This Row],[HarvestingDate]]</f>
        <v>8345869</v>
      </c>
    </row>
    <row r="3282" spans="1:16">
      <c r="A3282" s="5">
        <v>45813</v>
      </c>
      <c r="B3282">
        <v>2</v>
      </c>
      <c r="C3282" t="s">
        <v>119</v>
      </c>
      <c r="D3282">
        <v>5</v>
      </c>
      <c r="E3282">
        <v>100</v>
      </c>
      <c r="F3282" t="s">
        <v>1</v>
      </c>
      <c r="G3282" s="6">
        <v>45859</v>
      </c>
      <c r="H3282">
        <v>46</v>
      </c>
      <c r="I3282">
        <f>ROUND(CompilDonnées[[#This Row],[CultureDuration_days]]/7,0)</f>
        <v>7</v>
      </c>
      <c r="J3282">
        <v>1918</v>
      </c>
      <c r="K3282" t="str">
        <f>_xlfn.CONCAT(WEEKNUM(CompilDonnées[[#This Row],[PlantationDate]]), " ", YEAR(CompilDonnées[[#This Row],[PlantationDate]]))</f>
        <v>23 2025</v>
      </c>
      <c r="L3282" t="str">
        <f>CONCATENATE(MONTH(CompilDonnées[[#This Row],[PlantationDate]])," ", YEAR(CompilDonnées[[#This Row],[PlantationDate]]))</f>
        <v>6 2025</v>
      </c>
      <c r="M3282" t="str">
        <f>CONCATENATE(MONTH(CompilDonnées[[#This Row],[HarvestingDate]])," ", YEAR(CompilDonnées[[#This Row],[HarvestingDate]]))</f>
        <v>7 2025</v>
      </c>
      <c r="N3282">
        <f>_xlfn.NUMBERVALUE(CompilDonnées[[#This Row],[FarmID]]&amp;CompilDonnées[[#This Row],[ModuleNumber]]&amp;CompilDonnées[[#This Row],[PlantationDate]])</f>
        <v>2545813</v>
      </c>
      <c r="O3282" t="str">
        <f>CompilDonnées[[#This Row],[FarmID]]&amp;CompilDonnées[[#This Row],[ModuleNumber]]</f>
        <v>25</v>
      </c>
      <c r="P3282" t="str">
        <f>CompilDonnées[[#This Row],[Ref_Module]]&amp;CompilDonnées[[#This Row],[HarvestingDate]]</f>
        <v>2545859</v>
      </c>
    </row>
    <row r="3283" spans="1:16">
      <c r="A3283" s="5">
        <v>45813</v>
      </c>
      <c r="B3283">
        <v>7</v>
      </c>
      <c r="C3283" t="s">
        <v>50</v>
      </c>
      <c r="D3283">
        <v>2</v>
      </c>
      <c r="E3283">
        <v>100</v>
      </c>
      <c r="F3283" t="s">
        <v>1</v>
      </c>
      <c r="G3283" s="6">
        <v>45859</v>
      </c>
      <c r="H3283">
        <v>46</v>
      </c>
      <c r="I3283">
        <f>ROUND(CompilDonnées[[#This Row],[CultureDuration_days]]/7,0)</f>
        <v>7</v>
      </c>
      <c r="J3283">
        <v>2023</v>
      </c>
      <c r="K3283" t="str">
        <f>_xlfn.CONCAT(WEEKNUM(CompilDonnées[[#This Row],[PlantationDate]]), " ", YEAR(CompilDonnées[[#This Row],[PlantationDate]]))</f>
        <v>23 2025</v>
      </c>
      <c r="L3283" t="str">
        <f>CONCATENATE(MONTH(CompilDonnées[[#This Row],[PlantationDate]])," ", YEAR(CompilDonnées[[#This Row],[PlantationDate]]))</f>
        <v>6 2025</v>
      </c>
      <c r="M3283" t="str">
        <f>CONCATENATE(MONTH(CompilDonnées[[#This Row],[HarvestingDate]])," ", YEAR(CompilDonnées[[#This Row],[HarvestingDate]]))</f>
        <v>7 2025</v>
      </c>
      <c r="N3283">
        <f>_xlfn.NUMBERVALUE(CompilDonnées[[#This Row],[FarmID]]&amp;CompilDonnées[[#This Row],[ModuleNumber]]&amp;CompilDonnées[[#This Row],[PlantationDate]])</f>
        <v>7245813</v>
      </c>
      <c r="O3283" t="str">
        <f>CompilDonnées[[#This Row],[FarmID]]&amp;CompilDonnées[[#This Row],[ModuleNumber]]</f>
        <v>72</v>
      </c>
      <c r="P3283" t="str">
        <f>CompilDonnées[[#This Row],[Ref_Module]]&amp;CompilDonnées[[#This Row],[HarvestingDate]]</f>
        <v>7245859</v>
      </c>
    </row>
    <row r="3284" spans="1:16">
      <c r="A3284" s="5">
        <v>45813</v>
      </c>
      <c r="B3284">
        <v>6</v>
      </c>
      <c r="C3284" t="s">
        <v>24</v>
      </c>
      <c r="D3284">
        <v>2</v>
      </c>
      <c r="E3284">
        <v>100</v>
      </c>
      <c r="F3284" t="s">
        <v>1</v>
      </c>
      <c r="G3284" s="6">
        <v>45859</v>
      </c>
      <c r="H3284">
        <v>46</v>
      </c>
      <c r="I3284">
        <f>ROUND(CompilDonnées[[#This Row],[CultureDuration_days]]/7,0)</f>
        <v>7</v>
      </c>
      <c r="J3284">
        <v>3497</v>
      </c>
      <c r="K3284" t="str">
        <f>_xlfn.CONCAT(WEEKNUM(CompilDonnées[[#This Row],[PlantationDate]]), " ", YEAR(CompilDonnées[[#This Row],[PlantationDate]]))</f>
        <v>23 2025</v>
      </c>
      <c r="L3284" t="str">
        <f>CONCATENATE(MONTH(CompilDonnées[[#This Row],[PlantationDate]])," ", YEAR(CompilDonnées[[#This Row],[PlantationDate]]))</f>
        <v>6 2025</v>
      </c>
      <c r="M3284" t="str">
        <f>CONCATENATE(MONTH(CompilDonnées[[#This Row],[HarvestingDate]])," ", YEAR(CompilDonnées[[#This Row],[HarvestingDate]]))</f>
        <v>7 2025</v>
      </c>
      <c r="N3284">
        <f>_xlfn.NUMBERVALUE(CompilDonnées[[#This Row],[FarmID]]&amp;CompilDonnées[[#This Row],[ModuleNumber]]&amp;CompilDonnées[[#This Row],[PlantationDate]])</f>
        <v>6245813</v>
      </c>
      <c r="O3284" t="str">
        <f>CompilDonnées[[#This Row],[FarmID]]&amp;CompilDonnées[[#This Row],[ModuleNumber]]</f>
        <v>62</v>
      </c>
      <c r="P3284" t="str">
        <f>CompilDonnées[[#This Row],[Ref_Module]]&amp;CompilDonnées[[#This Row],[HarvestingDate]]</f>
        <v>6245859</v>
      </c>
    </row>
    <row r="3285" spans="1:16">
      <c r="A3285" s="5">
        <v>45813</v>
      </c>
      <c r="B3285">
        <v>5</v>
      </c>
      <c r="C3285" t="s">
        <v>32</v>
      </c>
      <c r="D3285">
        <v>4</v>
      </c>
      <c r="E3285">
        <v>100</v>
      </c>
      <c r="F3285" t="s">
        <v>1</v>
      </c>
      <c r="G3285" s="6">
        <v>45856</v>
      </c>
      <c r="H3285">
        <v>43</v>
      </c>
      <c r="I3285">
        <f>ROUND(CompilDonnées[[#This Row],[CultureDuration_days]]/7,0)</f>
        <v>6</v>
      </c>
      <c r="J3285">
        <v>2719</v>
      </c>
      <c r="K3285" t="str">
        <f>_xlfn.CONCAT(WEEKNUM(CompilDonnées[[#This Row],[PlantationDate]]), " ", YEAR(CompilDonnées[[#This Row],[PlantationDate]]))</f>
        <v>23 2025</v>
      </c>
      <c r="L3285" t="str">
        <f>CONCATENATE(MONTH(CompilDonnées[[#This Row],[PlantationDate]])," ", YEAR(CompilDonnées[[#This Row],[PlantationDate]]))</f>
        <v>6 2025</v>
      </c>
      <c r="M3285" t="str">
        <f>CONCATENATE(MONTH(CompilDonnées[[#This Row],[HarvestingDate]])," ", YEAR(CompilDonnées[[#This Row],[HarvestingDate]]))</f>
        <v>7 2025</v>
      </c>
      <c r="N3285">
        <f>_xlfn.NUMBERVALUE(CompilDonnées[[#This Row],[FarmID]]&amp;CompilDonnées[[#This Row],[ModuleNumber]]&amp;CompilDonnées[[#This Row],[PlantationDate]])</f>
        <v>5445813</v>
      </c>
      <c r="O3285" t="str">
        <f>CompilDonnées[[#This Row],[FarmID]]&amp;CompilDonnées[[#This Row],[ModuleNumber]]</f>
        <v>54</v>
      </c>
      <c r="P3285" t="str">
        <f>CompilDonnées[[#This Row],[Ref_Module]]&amp;CompilDonnées[[#This Row],[HarvestingDate]]</f>
        <v>5445856</v>
      </c>
    </row>
    <row r="3286" spans="1:16">
      <c r="A3286" s="5">
        <v>45813</v>
      </c>
      <c r="B3286">
        <v>22</v>
      </c>
      <c r="C3286" t="s">
        <v>43</v>
      </c>
      <c r="D3286">
        <v>2</v>
      </c>
      <c r="E3286">
        <v>100</v>
      </c>
      <c r="F3286" t="s">
        <v>1</v>
      </c>
      <c r="G3286" s="6">
        <v>45855</v>
      </c>
      <c r="H3286">
        <v>42</v>
      </c>
      <c r="I3286">
        <f>ROUND(CompilDonnées[[#This Row],[CultureDuration_days]]/7,0)</f>
        <v>6</v>
      </c>
      <c r="J3286">
        <v>2196</v>
      </c>
      <c r="K3286" t="str">
        <f>_xlfn.CONCAT(WEEKNUM(CompilDonnées[[#This Row],[PlantationDate]]), " ", YEAR(CompilDonnées[[#This Row],[PlantationDate]]))</f>
        <v>23 2025</v>
      </c>
      <c r="L3286" t="str">
        <f>CONCATENATE(MONTH(CompilDonnées[[#This Row],[PlantationDate]])," ", YEAR(CompilDonnées[[#This Row],[PlantationDate]]))</f>
        <v>6 2025</v>
      </c>
      <c r="M3286" t="str">
        <f>CONCATENATE(MONTH(CompilDonnées[[#This Row],[HarvestingDate]])," ", YEAR(CompilDonnées[[#This Row],[HarvestingDate]]))</f>
        <v>7 2025</v>
      </c>
      <c r="N3286">
        <f>_xlfn.NUMBERVALUE(CompilDonnées[[#This Row],[FarmID]]&amp;CompilDonnées[[#This Row],[ModuleNumber]]&amp;CompilDonnées[[#This Row],[PlantationDate]])</f>
        <v>22245813</v>
      </c>
      <c r="O3286" t="str">
        <f>CompilDonnées[[#This Row],[FarmID]]&amp;CompilDonnées[[#This Row],[ModuleNumber]]</f>
        <v>222</v>
      </c>
      <c r="P3286" t="str">
        <f>CompilDonnées[[#This Row],[Ref_Module]]&amp;CompilDonnées[[#This Row],[HarvestingDate]]</f>
        <v>22245855</v>
      </c>
    </row>
    <row r="3287" spans="1:16">
      <c r="A3287" s="5">
        <v>45813</v>
      </c>
      <c r="B3287">
        <v>37</v>
      </c>
      <c r="C3287" t="s">
        <v>26</v>
      </c>
      <c r="D3287">
        <v>3</v>
      </c>
      <c r="E3287">
        <v>100</v>
      </c>
      <c r="F3287" t="s">
        <v>1</v>
      </c>
      <c r="G3287" s="6">
        <v>45856</v>
      </c>
      <c r="H3287">
        <v>43</v>
      </c>
      <c r="I3287">
        <f>ROUND(CompilDonnées[[#This Row],[CultureDuration_days]]/7,0)</f>
        <v>6</v>
      </c>
      <c r="J3287">
        <v>2831</v>
      </c>
      <c r="K3287" t="str">
        <f>_xlfn.CONCAT(WEEKNUM(CompilDonnées[[#This Row],[PlantationDate]]), " ", YEAR(CompilDonnées[[#This Row],[PlantationDate]]))</f>
        <v>23 2025</v>
      </c>
      <c r="L3287" t="str">
        <f>CONCATENATE(MONTH(CompilDonnées[[#This Row],[PlantationDate]])," ", YEAR(CompilDonnées[[#This Row],[PlantationDate]]))</f>
        <v>6 2025</v>
      </c>
      <c r="M3287" t="str">
        <f>CONCATENATE(MONTH(CompilDonnées[[#This Row],[HarvestingDate]])," ", YEAR(CompilDonnées[[#This Row],[HarvestingDate]]))</f>
        <v>7 2025</v>
      </c>
      <c r="N3287">
        <f>_xlfn.NUMBERVALUE(CompilDonnées[[#This Row],[FarmID]]&amp;CompilDonnées[[#This Row],[ModuleNumber]]&amp;CompilDonnées[[#This Row],[PlantationDate]])</f>
        <v>37345813</v>
      </c>
      <c r="O3287" t="str">
        <f>CompilDonnées[[#This Row],[FarmID]]&amp;CompilDonnées[[#This Row],[ModuleNumber]]</f>
        <v>373</v>
      </c>
      <c r="P3287" t="str">
        <f>CompilDonnées[[#This Row],[Ref_Module]]&amp;CompilDonnées[[#This Row],[HarvestingDate]]</f>
        <v>37345856</v>
      </c>
    </row>
    <row r="3288" spans="1:16">
      <c r="A3288" s="5">
        <v>45813</v>
      </c>
      <c r="B3288">
        <v>36</v>
      </c>
      <c r="C3288" t="s">
        <v>63</v>
      </c>
      <c r="D3288">
        <v>6</v>
      </c>
      <c r="E3288">
        <v>100</v>
      </c>
      <c r="F3288" t="s">
        <v>1</v>
      </c>
      <c r="G3288" s="6">
        <v>45855</v>
      </c>
      <c r="H3288">
        <v>42</v>
      </c>
      <c r="I3288">
        <f>ROUND(CompilDonnées[[#This Row],[CultureDuration_days]]/7,0)</f>
        <v>6</v>
      </c>
      <c r="J3288">
        <v>3834</v>
      </c>
      <c r="K3288" t="str">
        <f>_xlfn.CONCAT(WEEKNUM(CompilDonnées[[#This Row],[PlantationDate]]), " ", YEAR(CompilDonnées[[#This Row],[PlantationDate]]))</f>
        <v>23 2025</v>
      </c>
      <c r="L3288" t="str">
        <f>CONCATENATE(MONTH(CompilDonnées[[#This Row],[PlantationDate]])," ", YEAR(CompilDonnées[[#This Row],[PlantationDate]]))</f>
        <v>6 2025</v>
      </c>
      <c r="M3288" t="str">
        <f>CONCATENATE(MONTH(CompilDonnées[[#This Row],[HarvestingDate]])," ", YEAR(CompilDonnées[[#This Row],[HarvestingDate]]))</f>
        <v>7 2025</v>
      </c>
      <c r="N3288">
        <f>_xlfn.NUMBERVALUE(CompilDonnées[[#This Row],[FarmID]]&amp;CompilDonnées[[#This Row],[ModuleNumber]]&amp;CompilDonnées[[#This Row],[PlantationDate]])</f>
        <v>36645813</v>
      </c>
      <c r="O3288" t="str">
        <f>CompilDonnées[[#This Row],[FarmID]]&amp;CompilDonnées[[#This Row],[ModuleNumber]]</f>
        <v>366</v>
      </c>
      <c r="P3288" t="str">
        <f>CompilDonnées[[#This Row],[Ref_Module]]&amp;CompilDonnées[[#This Row],[HarvestingDate]]</f>
        <v>36645855</v>
      </c>
    </row>
    <row r="3289" spans="1:16">
      <c r="A3289" s="5">
        <v>45813</v>
      </c>
      <c r="B3289">
        <v>43</v>
      </c>
      <c r="C3289" t="s">
        <v>45</v>
      </c>
      <c r="D3289">
        <v>3</v>
      </c>
      <c r="E3289">
        <v>100</v>
      </c>
      <c r="F3289" t="s">
        <v>1</v>
      </c>
      <c r="G3289" s="6">
        <v>45854</v>
      </c>
      <c r="H3289">
        <v>41</v>
      </c>
      <c r="I3289">
        <f>ROUND(CompilDonnées[[#This Row],[CultureDuration_days]]/7,0)</f>
        <v>6</v>
      </c>
      <c r="J3289">
        <v>2549</v>
      </c>
      <c r="K3289" t="str">
        <f>_xlfn.CONCAT(WEEKNUM(CompilDonnées[[#This Row],[PlantationDate]]), " ", YEAR(CompilDonnées[[#This Row],[PlantationDate]]))</f>
        <v>23 2025</v>
      </c>
      <c r="L3289" t="str">
        <f>CONCATENATE(MONTH(CompilDonnées[[#This Row],[PlantationDate]])," ", YEAR(CompilDonnées[[#This Row],[PlantationDate]]))</f>
        <v>6 2025</v>
      </c>
      <c r="M3289" t="str">
        <f>CONCATENATE(MONTH(CompilDonnées[[#This Row],[HarvestingDate]])," ", YEAR(CompilDonnées[[#This Row],[HarvestingDate]]))</f>
        <v>7 2025</v>
      </c>
      <c r="N3289">
        <f>_xlfn.NUMBERVALUE(CompilDonnées[[#This Row],[FarmID]]&amp;CompilDonnées[[#This Row],[ModuleNumber]]&amp;CompilDonnées[[#This Row],[PlantationDate]])</f>
        <v>43345813</v>
      </c>
      <c r="O3289" t="str">
        <f>CompilDonnées[[#This Row],[FarmID]]&amp;CompilDonnées[[#This Row],[ModuleNumber]]</f>
        <v>433</v>
      </c>
      <c r="P3289" t="str">
        <f>CompilDonnées[[#This Row],[Ref_Module]]&amp;CompilDonnées[[#This Row],[HarvestingDate]]</f>
        <v>43345854</v>
      </c>
    </row>
    <row r="3290" spans="1:16">
      <c r="A3290" s="5">
        <v>45813</v>
      </c>
      <c r="B3290">
        <v>49</v>
      </c>
      <c r="C3290" t="s">
        <v>110</v>
      </c>
      <c r="D3290">
        <v>4</v>
      </c>
      <c r="E3290">
        <v>100</v>
      </c>
      <c r="F3290" t="s">
        <v>1</v>
      </c>
      <c r="G3290" s="6">
        <v>45859</v>
      </c>
      <c r="H3290">
        <v>46</v>
      </c>
      <c r="I3290">
        <f>ROUND(CompilDonnées[[#This Row],[CultureDuration_days]]/7,0)</f>
        <v>7</v>
      </c>
      <c r="J3290">
        <v>2530</v>
      </c>
      <c r="K3290" t="str">
        <f>_xlfn.CONCAT(WEEKNUM(CompilDonnées[[#This Row],[PlantationDate]]), " ", YEAR(CompilDonnées[[#This Row],[PlantationDate]]))</f>
        <v>23 2025</v>
      </c>
      <c r="L3290" t="str">
        <f>CONCATENATE(MONTH(CompilDonnées[[#This Row],[PlantationDate]])," ", YEAR(CompilDonnées[[#This Row],[PlantationDate]]))</f>
        <v>6 2025</v>
      </c>
      <c r="M3290" t="str">
        <f>CONCATENATE(MONTH(CompilDonnées[[#This Row],[HarvestingDate]])," ", YEAR(CompilDonnées[[#This Row],[HarvestingDate]]))</f>
        <v>7 2025</v>
      </c>
      <c r="N3290">
        <f>_xlfn.NUMBERVALUE(CompilDonnées[[#This Row],[FarmID]]&amp;CompilDonnées[[#This Row],[ModuleNumber]]&amp;CompilDonnées[[#This Row],[PlantationDate]])</f>
        <v>49445813</v>
      </c>
      <c r="O3290" t="str">
        <f>CompilDonnées[[#This Row],[FarmID]]&amp;CompilDonnées[[#This Row],[ModuleNumber]]</f>
        <v>494</v>
      </c>
      <c r="P3290" t="str">
        <f>CompilDonnées[[#This Row],[Ref_Module]]&amp;CompilDonnées[[#This Row],[HarvestingDate]]</f>
        <v>49445859</v>
      </c>
    </row>
    <row r="3291" spans="1:16">
      <c r="A3291" s="5">
        <v>45813</v>
      </c>
      <c r="B3291">
        <v>52</v>
      </c>
      <c r="C3291" t="s">
        <v>3</v>
      </c>
      <c r="D3291">
        <v>1</v>
      </c>
      <c r="E3291">
        <v>45</v>
      </c>
      <c r="F3291" t="s">
        <v>105</v>
      </c>
      <c r="G3291" s="6">
        <v>45861</v>
      </c>
      <c r="H3291">
        <v>48</v>
      </c>
      <c r="I3291">
        <f>ROUND(CompilDonnées[[#This Row],[CultureDuration_days]]/7,0)</f>
        <v>7</v>
      </c>
      <c r="J3291">
        <v>350</v>
      </c>
      <c r="K3291" t="str">
        <f>_xlfn.CONCAT(WEEKNUM(CompilDonnées[[#This Row],[PlantationDate]]), " ", YEAR(CompilDonnées[[#This Row],[PlantationDate]]))</f>
        <v>23 2025</v>
      </c>
      <c r="L3291" t="str">
        <f>CONCATENATE(MONTH(CompilDonnées[[#This Row],[PlantationDate]])," ", YEAR(CompilDonnées[[#This Row],[PlantationDate]]))</f>
        <v>6 2025</v>
      </c>
      <c r="M3291" t="str">
        <f>CONCATENATE(MONTH(CompilDonnées[[#This Row],[HarvestingDate]])," ", YEAR(CompilDonnées[[#This Row],[HarvestingDate]]))</f>
        <v>7 2025</v>
      </c>
      <c r="N3291">
        <f>_xlfn.NUMBERVALUE(CompilDonnées[[#This Row],[FarmID]]&amp;CompilDonnées[[#This Row],[ModuleNumber]]&amp;CompilDonnées[[#This Row],[PlantationDate]])</f>
        <v>52145813</v>
      </c>
      <c r="O3291" t="str">
        <f>CompilDonnées[[#This Row],[FarmID]]&amp;CompilDonnées[[#This Row],[ModuleNumber]]</f>
        <v>521</v>
      </c>
      <c r="P3291" t="str">
        <f>CompilDonnées[[#This Row],[Ref_Module]]&amp;CompilDonnées[[#This Row],[HarvestingDate]]</f>
        <v>52145861</v>
      </c>
    </row>
    <row r="3292" spans="1:16">
      <c r="A3292" s="5">
        <v>45813</v>
      </c>
      <c r="B3292">
        <v>52</v>
      </c>
      <c r="C3292" t="s">
        <v>3</v>
      </c>
      <c r="D3292">
        <v>2</v>
      </c>
      <c r="E3292">
        <v>45</v>
      </c>
      <c r="F3292" t="s">
        <v>105</v>
      </c>
      <c r="G3292" s="6">
        <v>45861</v>
      </c>
      <c r="H3292">
        <v>48</v>
      </c>
      <c r="I3292">
        <f>ROUND(CompilDonnées[[#This Row],[CultureDuration_days]]/7,0)</f>
        <v>7</v>
      </c>
      <c r="J3292">
        <v>350</v>
      </c>
      <c r="K3292" t="str">
        <f>_xlfn.CONCAT(WEEKNUM(CompilDonnées[[#This Row],[PlantationDate]]), " ", YEAR(CompilDonnées[[#This Row],[PlantationDate]]))</f>
        <v>23 2025</v>
      </c>
      <c r="L3292" t="str">
        <f>CONCATENATE(MONTH(CompilDonnées[[#This Row],[PlantationDate]])," ", YEAR(CompilDonnées[[#This Row],[PlantationDate]]))</f>
        <v>6 2025</v>
      </c>
      <c r="M3292" t="str">
        <f>CONCATENATE(MONTH(CompilDonnées[[#This Row],[HarvestingDate]])," ", YEAR(CompilDonnées[[#This Row],[HarvestingDate]]))</f>
        <v>7 2025</v>
      </c>
      <c r="N3292">
        <f>_xlfn.NUMBERVALUE(CompilDonnées[[#This Row],[FarmID]]&amp;CompilDonnées[[#This Row],[ModuleNumber]]&amp;CompilDonnées[[#This Row],[PlantationDate]])</f>
        <v>52245813</v>
      </c>
      <c r="O3292" t="str">
        <f>CompilDonnées[[#This Row],[FarmID]]&amp;CompilDonnées[[#This Row],[ModuleNumber]]</f>
        <v>522</v>
      </c>
      <c r="P3292" t="str">
        <f>CompilDonnées[[#This Row],[Ref_Module]]&amp;CompilDonnées[[#This Row],[HarvestingDate]]</f>
        <v>52245861</v>
      </c>
    </row>
    <row r="3293" spans="1:16">
      <c r="A3293" s="5">
        <v>45813</v>
      </c>
      <c r="B3293">
        <v>52</v>
      </c>
      <c r="C3293" t="s">
        <v>3</v>
      </c>
      <c r="D3293">
        <v>3</v>
      </c>
      <c r="E3293">
        <v>45</v>
      </c>
      <c r="F3293" t="s">
        <v>105</v>
      </c>
      <c r="G3293" s="6">
        <v>45866</v>
      </c>
      <c r="H3293">
        <v>53</v>
      </c>
      <c r="I3293">
        <f>ROUND(CompilDonnées[[#This Row],[CultureDuration_days]]/7,0)</f>
        <v>8</v>
      </c>
      <c r="J3293">
        <v>1033</v>
      </c>
      <c r="K3293" t="str">
        <f>_xlfn.CONCAT(WEEKNUM(CompilDonnées[[#This Row],[PlantationDate]]), " ", YEAR(CompilDonnées[[#This Row],[PlantationDate]]))</f>
        <v>23 2025</v>
      </c>
      <c r="L3293" t="str">
        <f>CONCATENATE(MONTH(CompilDonnées[[#This Row],[PlantationDate]])," ", YEAR(CompilDonnées[[#This Row],[PlantationDate]]))</f>
        <v>6 2025</v>
      </c>
      <c r="M3293" t="str">
        <f>CONCATENATE(MONTH(CompilDonnées[[#This Row],[HarvestingDate]])," ", YEAR(CompilDonnées[[#This Row],[HarvestingDate]]))</f>
        <v>7 2025</v>
      </c>
      <c r="N3293">
        <f>_xlfn.NUMBERVALUE(CompilDonnées[[#This Row],[FarmID]]&amp;CompilDonnées[[#This Row],[ModuleNumber]]&amp;CompilDonnées[[#This Row],[PlantationDate]])</f>
        <v>52345813</v>
      </c>
      <c r="O3293" t="str">
        <f>CompilDonnées[[#This Row],[FarmID]]&amp;CompilDonnées[[#This Row],[ModuleNumber]]</f>
        <v>523</v>
      </c>
      <c r="P3293" t="str">
        <f>CompilDonnées[[#This Row],[Ref_Module]]&amp;CompilDonnées[[#This Row],[HarvestingDate]]</f>
        <v>52345866</v>
      </c>
    </row>
    <row r="3294" spans="1:16">
      <c r="A3294" s="5">
        <v>45813</v>
      </c>
      <c r="B3294">
        <v>52</v>
      </c>
      <c r="C3294" t="s">
        <v>3</v>
      </c>
      <c r="D3294">
        <v>4</v>
      </c>
      <c r="E3294">
        <v>45</v>
      </c>
      <c r="F3294" t="s">
        <v>105</v>
      </c>
      <c r="G3294" s="6">
        <v>45866</v>
      </c>
      <c r="H3294">
        <v>53</v>
      </c>
      <c r="I3294">
        <f>ROUND(CompilDonnées[[#This Row],[CultureDuration_days]]/7,0)</f>
        <v>8</v>
      </c>
      <c r="J3294">
        <v>1037</v>
      </c>
      <c r="K3294" t="str">
        <f>_xlfn.CONCAT(WEEKNUM(CompilDonnées[[#This Row],[PlantationDate]]), " ", YEAR(CompilDonnées[[#This Row],[PlantationDate]]))</f>
        <v>23 2025</v>
      </c>
      <c r="L3294" t="str">
        <f>CONCATENATE(MONTH(CompilDonnées[[#This Row],[PlantationDate]])," ", YEAR(CompilDonnées[[#This Row],[PlantationDate]]))</f>
        <v>6 2025</v>
      </c>
      <c r="M3294" t="str">
        <f>CONCATENATE(MONTH(CompilDonnées[[#This Row],[HarvestingDate]])," ", YEAR(CompilDonnées[[#This Row],[HarvestingDate]]))</f>
        <v>7 2025</v>
      </c>
      <c r="N3294">
        <f>_xlfn.NUMBERVALUE(CompilDonnées[[#This Row],[FarmID]]&amp;CompilDonnées[[#This Row],[ModuleNumber]]&amp;CompilDonnées[[#This Row],[PlantationDate]])</f>
        <v>52445813</v>
      </c>
      <c r="O3294" t="str">
        <f>CompilDonnées[[#This Row],[FarmID]]&amp;CompilDonnées[[#This Row],[ModuleNumber]]</f>
        <v>524</v>
      </c>
      <c r="P3294" t="str">
        <f>CompilDonnées[[#This Row],[Ref_Module]]&amp;CompilDonnées[[#This Row],[HarvestingDate]]</f>
        <v>52445866</v>
      </c>
    </row>
    <row r="3295" spans="1:16">
      <c r="A3295" s="5">
        <v>45813</v>
      </c>
      <c r="B3295">
        <v>52</v>
      </c>
      <c r="C3295" t="s">
        <v>3</v>
      </c>
      <c r="D3295">
        <v>5</v>
      </c>
      <c r="E3295">
        <v>45</v>
      </c>
      <c r="F3295" t="s">
        <v>105</v>
      </c>
      <c r="G3295" s="6">
        <v>45868</v>
      </c>
      <c r="H3295">
        <v>55</v>
      </c>
      <c r="I3295">
        <f>ROUND(CompilDonnées[[#This Row],[CultureDuration_days]]/7,0)</f>
        <v>8</v>
      </c>
      <c r="J3295">
        <v>1028</v>
      </c>
      <c r="K3295" t="str">
        <f>_xlfn.CONCAT(WEEKNUM(CompilDonnées[[#This Row],[PlantationDate]]), " ", YEAR(CompilDonnées[[#This Row],[PlantationDate]]))</f>
        <v>23 2025</v>
      </c>
      <c r="L3295" t="str">
        <f>CONCATENATE(MONTH(CompilDonnées[[#This Row],[PlantationDate]])," ", YEAR(CompilDonnées[[#This Row],[PlantationDate]]))</f>
        <v>6 2025</v>
      </c>
      <c r="M3295" t="str">
        <f>CONCATENATE(MONTH(CompilDonnées[[#This Row],[HarvestingDate]])," ", YEAR(CompilDonnées[[#This Row],[HarvestingDate]]))</f>
        <v>7 2025</v>
      </c>
      <c r="N3295">
        <f>_xlfn.NUMBERVALUE(CompilDonnées[[#This Row],[FarmID]]&amp;CompilDonnées[[#This Row],[ModuleNumber]]&amp;CompilDonnées[[#This Row],[PlantationDate]])</f>
        <v>52545813</v>
      </c>
      <c r="O3295" t="str">
        <f>CompilDonnées[[#This Row],[FarmID]]&amp;CompilDonnées[[#This Row],[ModuleNumber]]</f>
        <v>525</v>
      </c>
      <c r="P3295" t="str">
        <f>CompilDonnées[[#This Row],[Ref_Module]]&amp;CompilDonnées[[#This Row],[HarvestingDate]]</f>
        <v>52545868</v>
      </c>
    </row>
    <row r="3296" spans="1:16">
      <c r="A3296" s="5">
        <v>45813</v>
      </c>
      <c r="B3296">
        <v>52</v>
      </c>
      <c r="C3296" t="s">
        <v>3</v>
      </c>
      <c r="D3296">
        <v>6</v>
      </c>
      <c r="E3296">
        <v>45</v>
      </c>
      <c r="F3296" t="s">
        <v>105</v>
      </c>
      <c r="G3296" s="6">
        <v>45868</v>
      </c>
      <c r="H3296">
        <v>55</v>
      </c>
      <c r="I3296">
        <f>ROUND(CompilDonnées[[#This Row],[CultureDuration_days]]/7,0)</f>
        <v>8</v>
      </c>
      <c r="J3296">
        <v>1042</v>
      </c>
      <c r="K3296" t="str">
        <f>_xlfn.CONCAT(WEEKNUM(CompilDonnées[[#This Row],[PlantationDate]]), " ", YEAR(CompilDonnées[[#This Row],[PlantationDate]]))</f>
        <v>23 2025</v>
      </c>
      <c r="L3296" t="str">
        <f>CONCATENATE(MONTH(CompilDonnées[[#This Row],[PlantationDate]])," ", YEAR(CompilDonnées[[#This Row],[PlantationDate]]))</f>
        <v>6 2025</v>
      </c>
      <c r="M3296" t="str">
        <f>CONCATENATE(MONTH(CompilDonnées[[#This Row],[HarvestingDate]])," ", YEAR(CompilDonnées[[#This Row],[HarvestingDate]]))</f>
        <v>7 2025</v>
      </c>
      <c r="N3296">
        <f>_xlfn.NUMBERVALUE(CompilDonnées[[#This Row],[FarmID]]&amp;CompilDonnées[[#This Row],[ModuleNumber]]&amp;CompilDonnées[[#This Row],[PlantationDate]])</f>
        <v>52645813</v>
      </c>
      <c r="O3296" t="str">
        <f>CompilDonnées[[#This Row],[FarmID]]&amp;CompilDonnées[[#This Row],[ModuleNumber]]</f>
        <v>526</v>
      </c>
      <c r="P3296" t="str">
        <f>CompilDonnées[[#This Row],[Ref_Module]]&amp;CompilDonnées[[#This Row],[HarvestingDate]]</f>
        <v>52645868</v>
      </c>
    </row>
    <row r="3297" spans="1:16">
      <c r="A3297" s="5">
        <v>45813</v>
      </c>
      <c r="B3297">
        <v>42</v>
      </c>
      <c r="C3297" t="s">
        <v>3</v>
      </c>
      <c r="D3297">
        <v>2</v>
      </c>
      <c r="E3297">
        <v>60</v>
      </c>
      <c r="F3297" t="s">
        <v>105</v>
      </c>
      <c r="G3297" s="6">
        <v>45859</v>
      </c>
      <c r="H3297">
        <v>46</v>
      </c>
      <c r="I3297">
        <f>ROUND(CompilDonnées[[#This Row],[CultureDuration_days]]/7,0)</f>
        <v>7</v>
      </c>
      <c r="J3297">
        <v>678</v>
      </c>
      <c r="K3297" t="str">
        <f>_xlfn.CONCAT(WEEKNUM(CompilDonnées[[#This Row],[PlantationDate]]), " ", YEAR(CompilDonnées[[#This Row],[PlantationDate]]))</f>
        <v>23 2025</v>
      </c>
      <c r="L3297" t="str">
        <f>CONCATENATE(MONTH(CompilDonnées[[#This Row],[PlantationDate]])," ", YEAR(CompilDonnées[[#This Row],[PlantationDate]]))</f>
        <v>6 2025</v>
      </c>
      <c r="M3297" t="str">
        <f>CONCATENATE(MONTH(CompilDonnées[[#This Row],[HarvestingDate]])," ", YEAR(CompilDonnées[[#This Row],[HarvestingDate]]))</f>
        <v>7 2025</v>
      </c>
      <c r="N3297">
        <f>_xlfn.NUMBERVALUE(CompilDonnées[[#This Row],[FarmID]]&amp;CompilDonnées[[#This Row],[ModuleNumber]]&amp;CompilDonnées[[#This Row],[PlantationDate]])</f>
        <v>42245813</v>
      </c>
      <c r="O3297" t="str">
        <f>CompilDonnées[[#This Row],[FarmID]]&amp;CompilDonnées[[#This Row],[ModuleNumber]]</f>
        <v>422</v>
      </c>
      <c r="P3297" t="str">
        <f>CompilDonnées[[#This Row],[Ref_Module]]&amp;CompilDonnées[[#This Row],[HarvestingDate]]</f>
        <v>42245859</v>
      </c>
    </row>
    <row r="3298" spans="1:16">
      <c r="A3298" s="5">
        <v>45813</v>
      </c>
      <c r="B3298">
        <v>42</v>
      </c>
      <c r="C3298" t="s">
        <v>3</v>
      </c>
      <c r="D3298">
        <v>3</v>
      </c>
      <c r="E3298">
        <v>17</v>
      </c>
      <c r="F3298" t="s">
        <v>105</v>
      </c>
      <c r="G3298" s="6">
        <v>45859</v>
      </c>
      <c r="H3298">
        <v>46</v>
      </c>
      <c r="I3298">
        <f>ROUND(CompilDonnées[[#This Row],[CultureDuration_days]]/7,0)</f>
        <v>7</v>
      </c>
      <c r="J3298">
        <v>195</v>
      </c>
      <c r="K3298" t="str">
        <f>_xlfn.CONCAT(WEEKNUM(CompilDonnées[[#This Row],[PlantationDate]]), " ", YEAR(CompilDonnées[[#This Row],[PlantationDate]]))</f>
        <v>23 2025</v>
      </c>
      <c r="L3298" t="str">
        <f>CONCATENATE(MONTH(CompilDonnées[[#This Row],[PlantationDate]])," ", YEAR(CompilDonnées[[#This Row],[PlantationDate]]))</f>
        <v>6 2025</v>
      </c>
      <c r="M3298" t="str">
        <f>CONCATENATE(MONTH(CompilDonnées[[#This Row],[HarvestingDate]])," ", YEAR(CompilDonnées[[#This Row],[HarvestingDate]]))</f>
        <v>7 2025</v>
      </c>
      <c r="N3298">
        <f>_xlfn.NUMBERVALUE(CompilDonnées[[#This Row],[FarmID]]&amp;CompilDonnées[[#This Row],[ModuleNumber]]&amp;CompilDonnées[[#This Row],[PlantationDate]])</f>
        <v>42345813</v>
      </c>
      <c r="O3298" t="str">
        <f>CompilDonnées[[#This Row],[FarmID]]&amp;CompilDonnées[[#This Row],[ModuleNumber]]</f>
        <v>423</v>
      </c>
      <c r="P3298" t="str">
        <f>CompilDonnées[[#This Row],[Ref_Module]]&amp;CompilDonnées[[#This Row],[HarvestingDate]]</f>
        <v>42345859</v>
      </c>
    </row>
    <row r="3299" spans="1:16">
      <c r="A3299" s="5">
        <v>45814</v>
      </c>
      <c r="B3299">
        <v>88</v>
      </c>
      <c r="C3299" t="s">
        <v>94</v>
      </c>
      <c r="D3299">
        <v>1</v>
      </c>
      <c r="E3299">
        <v>100</v>
      </c>
      <c r="F3299" t="s">
        <v>1</v>
      </c>
      <c r="G3299" s="6">
        <v>45853</v>
      </c>
      <c r="H3299">
        <v>39</v>
      </c>
      <c r="I3299">
        <f>ROUND(CompilDonnées[[#This Row],[CultureDuration_days]]/7,0)</f>
        <v>6</v>
      </c>
      <c r="J3299">
        <v>3518</v>
      </c>
      <c r="K3299" t="str">
        <f>_xlfn.CONCAT(WEEKNUM(CompilDonnées[[#This Row],[PlantationDate]]), " ", YEAR(CompilDonnées[[#This Row],[PlantationDate]]))</f>
        <v>23 2025</v>
      </c>
      <c r="L3299" t="str">
        <f>CONCATENATE(MONTH(CompilDonnées[[#This Row],[PlantationDate]])," ", YEAR(CompilDonnées[[#This Row],[PlantationDate]]))</f>
        <v>6 2025</v>
      </c>
      <c r="M3299" t="str">
        <f>CONCATENATE(MONTH(CompilDonnées[[#This Row],[HarvestingDate]])," ", YEAR(CompilDonnées[[#This Row],[HarvestingDate]]))</f>
        <v>7 2025</v>
      </c>
      <c r="N3299">
        <f>_xlfn.NUMBERVALUE(CompilDonnées[[#This Row],[FarmID]]&amp;CompilDonnées[[#This Row],[ModuleNumber]]&amp;CompilDonnées[[#This Row],[PlantationDate]])</f>
        <v>88145814</v>
      </c>
      <c r="O3299" t="str">
        <f>CompilDonnées[[#This Row],[FarmID]]&amp;CompilDonnées[[#This Row],[ModuleNumber]]</f>
        <v>881</v>
      </c>
      <c r="P3299" t="str">
        <f>CompilDonnées[[#This Row],[Ref_Module]]&amp;CompilDonnées[[#This Row],[HarvestingDate]]</f>
        <v>88145853</v>
      </c>
    </row>
    <row r="3300" spans="1:16">
      <c r="A3300" s="5">
        <v>45814</v>
      </c>
      <c r="B3300">
        <v>88</v>
      </c>
      <c r="C3300" t="s">
        <v>94</v>
      </c>
      <c r="D3300">
        <v>3</v>
      </c>
      <c r="E3300">
        <v>100</v>
      </c>
      <c r="F3300" t="s">
        <v>1</v>
      </c>
      <c r="G3300" s="6">
        <v>45853</v>
      </c>
      <c r="H3300">
        <v>39</v>
      </c>
      <c r="I3300">
        <f>ROUND(CompilDonnées[[#This Row],[CultureDuration_days]]/7,0)</f>
        <v>6</v>
      </c>
      <c r="J3300">
        <v>3517</v>
      </c>
      <c r="K3300" t="str">
        <f>_xlfn.CONCAT(WEEKNUM(CompilDonnées[[#This Row],[PlantationDate]]), " ", YEAR(CompilDonnées[[#This Row],[PlantationDate]]))</f>
        <v>23 2025</v>
      </c>
      <c r="L3300" t="str">
        <f>CONCATENATE(MONTH(CompilDonnées[[#This Row],[PlantationDate]])," ", YEAR(CompilDonnées[[#This Row],[PlantationDate]]))</f>
        <v>6 2025</v>
      </c>
      <c r="M3300" t="str">
        <f>CONCATENATE(MONTH(CompilDonnées[[#This Row],[HarvestingDate]])," ", YEAR(CompilDonnées[[#This Row],[HarvestingDate]]))</f>
        <v>7 2025</v>
      </c>
      <c r="N3300">
        <f>_xlfn.NUMBERVALUE(CompilDonnées[[#This Row],[FarmID]]&amp;CompilDonnées[[#This Row],[ModuleNumber]]&amp;CompilDonnées[[#This Row],[PlantationDate]])</f>
        <v>88345814</v>
      </c>
      <c r="O3300" t="str">
        <f>CompilDonnées[[#This Row],[FarmID]]&amp;CompilDonnées[[#This Row],[ModuleNumber]]</f>
        <v>883</v>
      </c>
      <c r="P3300" t="str">
        <f>CompilDonnées[[#This Row],[Ref_Module]]&amp;CompilDonnées[[#This Row],[HarvestingDate]]</f>
        <v>88345853</v>
      </c>
    </row>
    <row r="3301" spans="1:16">
      <c r="A3301" s="5">
        <v>45814</v>
      </c>
      <c r="B3301">
        <v>30</v>
      </c>
      <c r="C3301" t="s">
        <v>4</v>
      </c>
      <c r="D3301">
        <v>4</v>
      </c>
      <c r="E3301">
        <v>100</v>
      </c>
      <c r="F3301" t="s">
        <v>1</v>
      </c>
      <c r="G3301" s="6">
        <v>45844</v>
      </c>
      <c r="H3301">
        <v>30</v>
      </c>
      <c r="I3301">
        <f>ROUND(CompilDonnées[[#This Row],[CultureDuration_days]]/7,0)</f>
        <v>4</v>
      </c>
      <c r="J3301">
        <v>705</v>
      </c>
      <c r="K3301" t="str">
        <f>_xlfn.CONCAT(WEEKNUM(CompilDonnées[[#This Row],[PlantationDate]]), " ", YEAR(CompilDonnées[[#This Row],[PlantationDate]]))</f>
        <v>23 2025</v>
      </c>
      <c r="L3301" t="str">
        <f>CONCATENATE(MONTH(CompilDonnées[[#This Row],[PlantationDate]])," ", YEAR(CompilDonnées[[#This Row],[PlantationDate]]))</f>
        <v>6 2025</v>
      </c>
      <c r="M3301" t="str">
        <f>CONCATENATE(MONTH(CompilDonnées[[#This Row],[HarvestingDate]])," ", YEAR(CompilDonnées[[#This Row],[HarvestingDate]]))</f>
        <v>7 2025</v>
      </c>
      <c r="N3301">
        <f>_xlfn.NUMBERVALUE(CompilDonnées[[#This Row],[FarmID]]&amp;CompilDonnées[[#This Row],[ModuleNumber]]&amp;CompilDonnées[[#This Row],[PlantationDate]])</f>
        <v>30445814</v>
      </c>
      <c r="O3301" t="str">
        <f>CompilDonnées[[#This Row],[FarmID]]&amp;CompilDonnées[[#This Row],[ModuleNumber]]</f>
        <v>304</v>
      </c>
      <c r="P3301" t="str">
        <f>CompilDonnées[[#This Row],[Ref_Module]]&amp;CompilDonnées[[#This Row],[HarvestingDate]]</f>
        <v>30445844</v>
      </c>
    </row>
    <row r="3302" spans="1:16">
      <c r="A3302" s="5">
        <v>45814</v>
      </c>
      <c r="B3302">
        <v>34</v>
      </c>
      <c r="C3302" t="s">
        <v>68</v>
      </c>
      <c r="D3302">
        <v>5</v>
      </c>
      <c r="E3302">
        <v>100</v>
      </c>
      <c r="F3302" t="s">
        <v>1</v>
      </c>
      <c r="G3302" s="6">
        <v>45831</v>
      </c>
      <c r="H3302">
        <v>17</v>
      </c>
      <c r="I3302">
        <f>ROUND(CompilDonnées[[#This Row],[CultureDuration_days]]/7,0)</f>
        <v>2</v>
      </c>
      <c r="J3302">
        <v>0</v>
      </c>
      <c r="K3302" t="str">
        <f>_xlfn.CONCAT(WEEKNUM(CompilDonnées[[#This Row],[PlantationDate]]), " ", YEAR(CompilDonnées[[#This Row],[PlantationDate]]))</f>
        <v>23 2025</v>
      </c>
      <c r="L3302" t="str">
        <f>CONCATENATE(MONTH(CompilDonnées[[#This Row],[PlantationDate]])," ", YEAR(CompilDonnées[[#This Row],[PlantationDate]]))</f>
        <v>6 2025</v>
      </c>
      <c r="M3302" t="str">
        <f>CONCATENATE(MONTH(CompilDonnées[[#This Row],[HarvestingDate]])," ", YEAR(CompilDonnées[[#This Row],[HarvestingDate]]))</f>
        <v>6 2025</v>
      </c>
      <c r="N3302">
        <f>_xlfn.NUMBERVALUE(CompilDonnées[[#This Row],[FarmID]]&amp;CompilDonnées[[#This Row],[ModuleNumber]]&amp;CompilDonnées[[#This Row],[PlantationDate]])</f>
        <v>34545814</v>
      </c>
      <c r="O3302" t="str">
        <f>CompilDonnées[[#This Row],[FarmID]]&amp;CompilDonnées[[#This Row],[ModuleNumber]]</f>
        <v>345</v>
      </c>
      <c r="P3302" t="str">
        <f>CompilDonnées[[#This Row],[Ref_Module]]&amp;CompilDonnées[[#This Row],[HarvestingDate]]</f>
        <v>34545831</v>
      </c>
    </row>
    <row r="3303" spans="1:16">
      <c r="A3303" s="5">
        <v>45814</v>
      </c>
      <c r="B3303">
        <v>70</v>
      </c>
      <c r="C3303" t="s">
        <v>7</v>
      </c>
      <c r="D3303">
        <v>5</v>
      </c>
      <c r="E3303">
        <v>100</v>
      </c>
      <c r="F3303" t="s">
        <v>1</v>
      </c>
      <c r="G3303" s="6">
        <v>45860</v>
      </c>
      <c r="H3303">
        <v>46</v>
      </c>
      <c r="I3303">
        <f>ROUND(CompilDonnées[[#This Row],[CultureDuration_days]]/7,0)</f>
        <v>7</v>
      </c>
      <c r="J3303">
        <v>1637</v>
      </c>
      <c r="K3303" t="str">
        <f>_xlfn.CONCAT(WEEKNUM(CompilDonnées[[#This Row],[PlantationDate]]), " ", YEAR(CompilDonnées[[#This Row],[PlantationDate]]))</f>
        <v>23 2025</v>
      </c>
      <c r="L3303" t="str">
        <f>CONCATENATE(MONTH(CompilDonnées[[#This Row],[PlantationDate]])," ", YEAR(CompilDonnées[[#This Row],[PlantationDate]]))</f>
        <v>6 2025</v>
      </c>
      <c r="M3303" t="str">
        <f>CONCATENATE(MONTH(CompilDonnées[[#This Row],[HarvestingDate]])," ", YEAR(CompilDonnées[[#This Row],[HarvestingDate]]))</f>
        <v>7 2025</v>
      </c>
      <c r="N3303">
        <f>_xlfn.NUMBERVALUE(CompilDonnées[[#This Row],[FarmID]]&amp;CompilDonnées[[#This Row],[ModuleNumber]]&amp;CompilDonnées[[#This Row],[PlantationDate]])</f>
        <v>70545814</v>
      </c>
      <c r="O3303" t="str">
        <f>CompilDonnées[[#This Row],[FarmID]]&amp;CompilDonnées[[#This Row],[ModuleNumber]]</f>
        <v>705</v>
      </c>
      <c r="P3303" t="str">
        <f>CompilDonnées[[#This Row],[Ref_Module]]&amp;CompilDonnées[[#This Row],[HarvestingDate]]</f>
        <v>70545860</v>
      </c>
    </row>
    <row r="3304" spans="1:16">
      <c r="A3304" s="5">
        <v>45814</v>
      </c>
      <c r="B3304">
        <v>62</v>
      </c>
      <c r="C3304" t="s">
        <v>124</v>
      </c>
      <c r="D3304">
        <v>6</v>
      </c>
      <c r="E3304">
        <v>100</v>
      </c>
      <c r="F3304" t="s">
        <v>1</v>
      </c>
      <c r="G3304" s="6">
        <v>45853</v>
      </c>
      <c r="H3304">
        <v>39</v>
      </c>
      <c r="I3304">
        <f>ROUND(CompilDonnées[[#This Row],[CultureDuration_days]]/7,0)</f>
        <v>6</v>
      </c>
      <c r="J3304">
        <v>1800</v>
      </c>
      <c r="K3304" t="str">
        <f>_xlfn.CONCAT(WEEKNUM(CompilDonnées[[#This Row],[PlantationDate]]), " ", YEAR(CompilDonnées[[#This Row],[PlantationDate]]))</f>
        <v>23 2025</v>
      </c>
      <c r="L3304" t="str">
        <f>CONCATENATE(MONTH(CompilDonnées[[#This Row],[PlantationDate]])," ", YEAR(CompilDonnées[[#This Row],[PlantationDate]]))</f>
        <v>6 2025</v>
      </c>
      <c r="M3304" t="str">
        <f>CONCATENATE(MONTH(CompilDonnées[[#This Row],[HarvestingDate]])," ", YEAR(CompilDonnées[[#This Row],[HarvestingDate]]))</f>
        <v>7 2025</v>
      </c>
      <c r="N3304">
        <f>_xlfn.NUMBERVALUE(CompilDonnées[[#This Row],[FarmID]]&amp;CompilDonnées[[#This Row],[ModuleNumber]]&amp;CompilDonnées[[#This Row],[PlantationDate]])</f>
        <v>62645814</v>
      </c>
      <c r="O3304" t="str">
        <f>CompilDonnées[[#This Row],[FarmID]]&amp;CompilDonnées[[#This Row],[ModuleNumber]]</f>
        <v>626</v>
      </c>
      <c r="P3304" t="str">
        <f>CompilDonnées[[#This Row],[Ref_Module]]&amp;CompilDonnées[[#This Row],[HarvestingDate]]</f>
        <v>62645853</v>
      </c>
    </row>
    <row r="3305" spans="1:16">
      <c r="A3305" s="5">
        <v>45814</v>
      </c>
      <c r="B3305">
        <v>53</v>
      </c>
      <c r="C3305" t="s">
        <v>83</v>
      </c>
      <c r="D3305">
        <v>2</v>
      </c>
      <c r="E3305">
        <v>100</v>
      </c>
      <c r="F3305" t="s">
        <v>1</v>
      </c>
      <c r="G3305" s="6">
        <v>45854</v>
      </c>
      <c r="H3305">
        <v>40</v>
      </c>
      <c r="I3305">
        <f>ROUND(CompilDonnées[[#This Row],[CultureDuration_days]]/7,0)</f>
        <v>6</v>
      </c>
      <c r="J3305">
        <v>2363</v>
      </c>
      <c r="K3305" t="str">
        <f>_xlfn.CONCAT(WEEKNUM(CompilDonnées[[#This Row],[PlantationDate]]), " ", YEAR(CompilDonnées[[#This Row],[PlantationDate]]))</f>
        <v>23 2025</v>
      </c>
      <c r="L3305" t="str">
        <f>CONCATENATE(MONTH(CompilDonnées[[#This Row],[PlantationDate]])," ", YEAR(CompilDonnées[[#This Row],[PlantationDate]]))</f>
        <v>6 2025</v>
      </c>
      <c r="M3305" t="str">
        <f>CONCATENATE(MONTH(CompilDonnées[[#This Row],[HarvestingDate]])," ", YEAR(CompilDonnées[[#This Row],[HarvestingDate]]))</f>
        <v>7 2025</v>
      </c>
      <c r="N3305">
        <f>_xlfn.NUMBERVALUE(CompilDonnées[[#This Row],[FarmID]]&amp;CompilDonnées[[#This Row],[ModuleNumber]]&amp;CompilDonnées[[#This Row],[PlantationDate]])</f>
        <v>53245814</v>
      </c>
      <c r="O3305" t="str">
        <f>CompilDonnées[[#This Row],[FarmID]]&amp;CompilDonnées[[#This Row],[ModuleNumber]]</f>
        <v>532</v>
      </c>
      <c r="P3305" t="str">
        <f>CompilDonnées[[#This Row],[Ref_Module]]&amp;CompilDonnées[[#This Row],[HarvestingDate]]</f>
        <v>53245854</v>
      </c>
    </row>
    <row r="3306" spans="1:16">
      <c r="A3306" s="5">
        <v>45814</v>
      </c>
      <c r="B3306">
        <v>47</v>
      </c>
      <c r="C3306" t="s">
        <v>12</v>
      </c>
      <c r="D3306">
        <v>4</v>
      </c>
      <c r="E3306">
        <v>100</v>
      </c>
      <c r="F3306" t="s">
        <v>1</v>
      </c>
      <c r="G3306" s="6">
        <v>45859</v>
      </c>
      <c r="H3306">
        <v>45</v>
      </c>
      <c r="I3306">
        <f>ROUND(CompilDonnées[[#This Row],[CultureDuration_days]]/7,0)</f>
        <v>6</v>
      </c>
      <c r="J3306">
        <v>2373</v>
      </c>
      <c r="K3306" t="str">
        <f>_xlfn.CONCAT(WEEKNUM(CompilDonnées[[#This Row],[PlantationDate]]), " ", YEAR(CompilDonnées[[#This Row],[PlantationDate]]))</f>
        <v>23 2025</v>
      </c>
      <c r="L3306" t="str">
        <f>CONCATENATE(MONTH(CompilDonnées[[#This Row],[PlantationDate]])," ", YEAR(CompilDonnées[[#This Row],[PlantationDate]]))</f>
        <v>6 2025</v>
      </c>
      <c r="M3306" t="str">
        <f>CONCATENATE(MONTH(CompilDonnées[[#This Row],[HarvestingDate]])," ", YEAR(CompilDonnées[[#This Row],[HarvestingDate]]))</f>
        <v>7 2025</v>
      </c>
      <c r="N3306">
        <f>_xlfn.NUMBERVALUE(CompilDonnées[[#This Row],[FarmID]]&amp;CompilDonnées[[#This Row],[ModuleNumber]]&amp;CompilDonnées[[#This Row],[PlantationDate]])</f>
        <v>47445814</v>
      </c>
      <c r="O3306" t="str">
        <f>CompilDonnées[[#This Row],[FarmID]]&amp;CompilDonnées[[#This Row],[ModuleNumber]]</f>
        <v>474</v>
      </c>
      <c r="P3306" t="str">
        <f>CompilDonnées[[#This Row],[Ref_Module]]&amp;CompilDonnées[[#This Row],[HarvestingDate]]</f>
        <v>47445859</v>
      </c>
    </row>
    <row r="3307" spans="1:16">
      <c r="A3307" s="5">
        <v>45814</v>
      </c>
      <c r="B3307">
        <v>1</v>
      </c>
      <c r="C3307" t="s">
        <v>111</v>
      </c>
      <c r="D3307">
        <v>4</v>
      </c>
      <c r="E3307">
        <v>100</v>
      </c>
      <c r="F3307" t="s">
        <v>1</v>
      </c>
      <c r="G3307" s="6">
        <v>45856</v>
      </c>
      <c r="H3307">
        <v>42</v>
      </c>
      <c r="I3307">
        <f>ROUND(CompilDonnées[[#This Row],[CultureDuration_days]]/7,0)</f>
        <v>6</v>
      </c>
      <c r="J3307">
        <v>3716</v>
      </c>
      <c r="K3307" t="str">
        <f>_xlfn.CONCAT(WEEKNUM(CompilDonnées[[#This Row],[PlantationDate]]), " ", YEAR(CompilDonnées[[#This Row],[PlantationDate]]))</f>
        <v>23 2025</v>
      </c>
      <c r="L3307" t="str">
        <f>CONCATENATE(MONTH(CompilDonnées[[#This Row],[PlantationDate]])," ", YEAR(CompilDonnées[[#This Row],[PlantationDate]]))</f>
        <v>6 2025</v>
      </c>
      <c r="M3307" t="str">
        <f>CONCATENATE(MONTH(CompilDonnées[[#This Row],[HarvestingDate]])," ", YEAR(CompilDonnées[[#This Row],[HarvestingDate]]))</f>
        <v>7 2025</v>
      </c>
      <c r="N3307">
        <f>_xlfn.NUMBERVALUE(CompilDonnées[[#This Row],[FarmID]]&amp;CompilDonnées[[#This Row],[ModuleNumber]]&amp;CompilDonnées[[#This Row],[PlantationDate]])</f>
        <v>1445814</v>
      </c>
      <c r="O3307" t="str">
        <f>CompilDonnées[[#This Row],[FarmID]]&amp;CompilDonnées[[#This Row],[ModuleNumber]]</f>
        <v>14</v>
      </c>
      <c r="P3307" t="str">
        <f>CompilDonnées[[#This Row],[Ref_Module]]&amp;CompilDonnées[[#This Row],[HarvestingDate]]</f>
        <v>1445856</v>
      </c>
    </row>
    <row r="3308" spans="1:16">
      <c r="A3308" s="5">
        <v>45814</v>
      </c>
      <c r="B3308">
        <v>10</v>
      </c>
      <c r="C3308" t="s">
        <v>109</v>
      </c>
      <c r="D3308">
        <v>5</v>
      </c>
      <c r="E3308">
        <v>100</v>
      </c>
      <c r="F3308" t="s">
        <v>1</v>
      </c>
      <c r="G3308" s="6">
        <v>45855</v>
      </c>
      <c r="H3308">
        <v>41</v>
      </c>
      <c r="I3308">
        <f>ROUND(CompilDonnées[[#This Row],[CultureDuration_days]]/7,0)</f>
        <v>6</v>
      </c>
      <c r="J3308">
        <v>1827</v>
      </c>
      <c r="K3308" t="str">
        <f>_xlfn.CONCAT(WEEKNUM(CompilDonnées[[#This Row],[PlantationDate]]), " ", YEAR(CompilDonnées[[#This Row],[PlantationDate]]))</f>
        <v>23 2025</v>
      </c>
      <c r="L3308" t="str">
        <f>CONCATENATE(MONTH(CompilDonnées[[#This Row],[PlantationDate]])," ", YEAR(CompilDonnées[[#This Row],[PlantationDate]]))</f>
        <v>6 2025</v>
      </c>
      <c r="M3308" t="str">
        <f>CONCATENATE(MONTH(CompilDonnées[[#This Row],[HarvestingDate]])," ", YEAR(CompilDonnées[[#This Row],[HarvestingDate]]))</f>
        <v>7 2025</v>
      </c>
      <c r="N3308">
        <f>_xlfn.NUMBERVALUE(CompilDonnées[[#This Row],[FarmID]]&amp;CompilDonnées[[#This Row],[ModuleNumber]]&amp;CompilDonnées[[#This Row],[PlantationDate]])</f>
        <v>10545814</v>
      </c>
      <c r="O3308" t="str">
        <f>CompilDonnées[[#This Row],[FarmID]]&amp;CompilDonnées[[#This Row],[ModuleNumber]]</f>
        <v>105</v>
      </c>
      <c r="P3308" t="str">
        <f>CompilDonnées[[#This Row],[Ref_Module]]&amp;CompilDonnées[[#This Row],[HarvestingDate]]</f>
        <v>10545855</v>
      </c>
    </row>
    <row r="3309" spans="1:16">
      <c r="A3309" s="5">
        <v>45814</v>
      </c>
      <c r="B3309">
        <v>39</v>
      </c>
      <c r="C3309" t="s">
        <v>81</v>
      </c>
      <c r="D3309">
        <v>3</v>
      </c>
      <c r="E3309">
        <v>100</v>
      </c>
      <c r="F3309" t="s">
        <v>1</v>
      </c>
      <c r="G3309" s="6">
        <v>45825</v>
      </c>
      <c r="H3309">
        <v>11</v>
      </c>
      <c r="I3309">
        <f>ROUND(CompilDonnées[[#This Row],[CultureDuration_days]]/7,0)</f>
        <v>2</v>
      </c>
      <c r="J3309">
        <v>1041</v>
      </c>
      <c r="K3309" t="str">
        <f>_xlfn.CONCAT(WEEKNUM(CompilDonnées[[#This Row],[PlantationDate]]), " ", YEAR(CompilDonnées[[#This Row],[PlantationDate]]))</f>
        <v>23 2025</v>
      </c>
      <c r="L3309" t="str">
        <f>CONCATENATE(MONTH(CompilDonnées[[#This Row],[PlantationDate]])," ", YEAR(CompilDonnées[[#This Row],[PlantationDate]]))</f>
        <v>6 2025</v>
      </c>
      <c r="M3309" t="str">
        <f>CONCATENATE(MONTH(CompilDonnées[[#This Row],[HarvestingDate]])," ", YEAR(CompilDonnées[[#This Row],[HarvestingDate]]))</f>
        <v>6 2025</v>
      </c>
      <c r="N3309">
        <f>_xlfn.NUMBERVALUE(CompilDonnées[[#This Row],[FarmID]]&amp;CompilDonnées[[#This Row],[ModuleNumber]]&amp;CompilDonnées[[#This Row],[PlantationDate]])</f>
        <v>39345814</v>
      </c>
      <c r="O3309" t="str">
        <f>CompilDonnées[[#This Row],[FarmID]]&amp;CompilDonnées[[#This Row],[ModuleNumber]]</f>
        <v>393</v>
      </c>
      <c r="P3309" t="str">
        <f>CompilDonnées[[#This Row],[Ref_Module]]&amp;CompilDonnées[[#This Row],[HarvestingDate]]</f>
        <v>39345825</v>
      </c>
    </row>
    <row r="3310" spans="1:16">
      <c r="A3310" s="5">
        <v>45814</v>
      </c>
      <c r="B3310">
        <v>40</v>
      </c>
      <c r="C3310" t="s">
        <v>82</v>
      </c>
      <c r="D3310">
        <v>4</v>
      </c>
      <c r="E3310">
        <v>100</v>
      </c>
      <c r="F3310" t="s">
        <v>1</v>
      </c>
      <c r="G3310" s="6">
        <v>45825</v>
      </c>
      <c r="H3310">
        <v>11</v>
      </c>
      <c r="I3310">
        <f>ROUND(CompilDonnées[[#This Row],[CultureDuration_days]]/7,0)</f>
        <v>2</v>
      </c>
      <c r="J3310">
        <v>0</v>
      </c>
      <c r="K3310" t="str">
        <f>_xlfn.CONCAT(WEEKNUM(CompilDonnées[[#This Row],[PlantationDate]]), " ", YEAR(CompilDonnées[[#This Row],[PlantationDate]]))</f>
        <v>23 2025</v>
      </c>
      <c r="L3310" t="str">
        <f>CONCATENATE(MONTH(CompilDonnées[[#This Row],[PlantationDate]])," ", YEAR(CompilDonnées[[#This Row],[PlantationDate]]))</f>
        <v>6 2025</v>
      </c>
      <c r="M3310" t="str">
        <f>CONCATENATE(MONTH(CompilDonnées[[#This Row],[HarvestingDate]])," ", YEAR(CompilDonnées[[#This Row],[HarvestingDate]]))</f>
        <v>6 2025</v>
      </c>
      <c r="N3310">
        <f>_xlfn.NUMBERVALUE(CompilDonnées[[#This Row],[FarmID]]&amp;CompilDonnées[[#This Row],[ModuleNumber]]&amp;CompilDonnées[[#This Row],[PlantationDate]])</f>
        <v>40445814</v>
      </c>
      <c r="O3310" t="str">
        <f>CompilDonnées[[#This Row],[FarmID]]&amp;CompilDonnées[[#This Row],[ModuleNumber]]</f>
        <v>404</v>
      </c>
      <c r="P3310" t="str">
        <f>CompilDonnées[[#This Row],[Ref_Module]]&amp;CompilDonnées[[#This Row],[HarvestingDate]]</f>
        <v>40445825</v>
      </c>
    </row>
    <row r="3311" spans="1:16">
      <c r="A3311" s="5">
        <v>45814</v>
      </c>
      <c r="B3311">
        <v>69</v>
      </c>
      <c r="C3311" t="s">
        <v>102</v>
      </c>
      <c r="D3311">
        <v>2</v>
      </c>
      <c r="E3311">
        <v>100</v>
      </c>
      <c r="F3311" t="s">
        <v>1</v>
      </c>
      <c r="G3311" s="6">
        <v>45854</v>
      </c>
      <c r="H3311">
        <v>40</v>
      </c>
      <c r="I3311">
        <f>ROUND(CompilDonnées[[#This Row],[CultureDuration_days]]/7,0)</f>
        <v>6</v>
      </c>
      <c r="J3311">
        <v>2142</v>
      </c>
      <c r="K3311" t="str">
        <f>_xlfn.CONCAT(WEEKNUM(CompilDonnées[[#This Row],[PlantationDate]]), " ", YEAR(CompilDonnées[[#This Row],[PlantationDate]]))</f>
        <v>23 2025</v>
      </c>
      <c r="L3311" t="str">
        <f>CONCATENATE(MONTH(CompilDonnées[[#This Row],[PlantationDate]])," ", YEAR(CompilDonnées[[#This Row],[PlantationDate]]))</f>
        <v>6 2025</v>
      </c>
      <c r="M3311" t="str">
        <f>CONCATENATE(MONTH(CompilDonnées[[#This Row],[HarvestingDate]])," ", YEAR(CompilDonnées[[#This Row],[HarvestingDate]]))</f>
        <v>7 2025</v>
      </c>
      <c r="N3311">
        <f>_xlfn.NUMBERVALUE(CompilDonnées[[#This Row],[FarmID]]&amp;CompilDonnées[[#This Row],[ModuleNumber]]&amp;CompilDonnées[[#This Row],[PlantationDate]])</f>
        <v>69245814</v>
      </c>
      <c r="O3311" t="str">
        <f>CompilDonnées[[#This Row],[FarmID]]&amp;CompilDonnées[[#This Row],[ModuleNumber]]</f>
        <v>692</v>
      </c>
      <c r="P3311" t="str">
        <f>CompilDonnées[[#This Row],[Ref_Module]]&amp;CompilDonnées[[#This Row],[HarvestingDate]]</f>
        <v>69245854</v>
      </c>
    </row>
    <row r="3312" spans="1:16">
      <c r="A3312" s="5">
        <v>45814</v>
      </c>
      <c r="B3312">
        <v>48</v>
      </c>
      <c r="C3312" t="s">
        <v>71</v>
      </c>
      <c r="D3312">
        <v>3</v>
      </c>
      <c r="E3312">
        <v>100</v>
      </c>
      <c r="F3312" t="s">
        <v>1</v>
      </c>
      <c r="G3312" s="6">
        <v>45854</v>
      </c>
      <c r="H3312">
        <v>40</v>
      </c>
      <c r="I3312">
        <f>ROUND(CompilDonnées[[#This Row],[CultureDuration_days]]/7,0)</f>
        <v>6</v>
      </c>
      <c r="J3312">
        <v>2202</v>
      </c>
      <c r="K3312" t="str">
        <f>_xlfn.CONCAT(WEEKNUM(CompilDonnées[[#This Row],[PlantationDate]]), " ", YEAR(CompilDonnées[[#This Row],[PlantationDate]]))</f>
        <v>23 2025</v>
      </c>
      <c r="L3312" t="str">
        <f>CONCATENATE(MONTH(CompilDonnées[[#This Row],[PlantationDate]])," ", YEAR(CompilDonnées[[#This Row],[PlantationDate]]))</f>
        <v>6 2025</v>
      </c>
      <c r="M3312" t="str">
        <f>CONCATENATE(MONTH(CompilDonnées[[#This Row],[HarvestingDate]])," ", YEAR(CompilDonnées[[#This Row],[HarvestingDate]]))</f>
        <v>7 2025</v>
      </c>
      <c r="N3312">
        <f>_xlfn.NUMBERVALUE(CompilDonnées[[#This Row],[FarmID]]&amp;CompilDonnées[[#This Row],[ModuleNumber]]&amp;CompilDonnées[[#This Row],[PlantationDate]])</f>
        <v>48345814</v>
      </c>
      <c r="O3312" t="str">
        <f>CompilDonnées[[#This Row],[FarmID]]&amp;CompilDonnées[[#This Row],[ModuleNumber]]</f>
        <v>483</v>
      </c>
      <c r="P3312" t="str">
        <f>CompilDonnées[[#This Row],[Ref_Module]]&amp;CompilDonnées[[#This Row],[HarvestingDate]]</f>
        <v>48345854</v>
      </c>
    </row>
    <row r="3313" spans="1:16">
      <c r="A3313" s="5">
        <v>45814</v>
      </c>
      <c r="B3313">
        <v>81</v>
      </c>
      <c r="C3313" t="s">
        <v>30</v>
      </c>
      <c r="D3313">
        <v>2</v>
      </c>
      <c r="E3313">
        <v>100</v>
      </c>
      <c r="F3313" t="s">
        <v>1</v>
      </c>
      <c r="G3313" s="6">
        <v>45853</v>
      </c>
      <c r="H3313">
        <v>39</v>
      </c>
      <c r="I3313">
        <f>ROUND(CompilDonnées[[#This Row],[CultureDuration_days]]/7,0)</f>
        <v>6</v>
      </c>
      <c r="J3313">
        <v>3013</v>
      </c>
      <c r="K3313" t="str">
        <f>_xlfn.CONCAT(WEEKNUM(CompilDonnées[[#This Row],[PlantationDate]]), " ", YEAR(CompilDonnées[[#This Row],[PlantationDate]]))</f>
        <v>23 2025</v>
      </c>
      <c r="L3313" t="str">
        <f>CONCATENATE(MONTH(CompilDonnées[[#This Row],[PlantationDate]])," ", YEAR(CompilDonnées[[#This Row],[PlantationDate]]))</f>
        <v>6 2025</v>
      </c>
      <c r="M3313" t="str">
        <f>CONCATENATE(MONTH(CompilDonnées[[#This Row],[HarvestingDate]])," ", YEAR(CompilDonnées[[#This Row],[HarvestingDate]]))</f>
        <v>7 2025</v>
      </c>
      <c r="N3313">
        <f>_xlfn.NUMBERVALUE(CompilDonnées[[#This Row],[FarmID]]&amp;CompilDonnées[[#This Row],[ModuleNumber]]&amp;CompilDonnées[[#This Row],[PlantationDate]])</f>
        <v>81245814</v>
      </c>
      <c r="O3313" t="str">
        <f>CompilDonnées[[#This Row],[FarmID]]&amp;CompilDonnées[[#This Row],[ModuleNumber]]</f>
        <v>812</v>
      </c>
      <c r="P3313" t="str">
        <f>CompilDonnées[[#This Row],[Ref_Module]]&amp;CompilDonnées[[#This Row],[HarvestingDate]]</f>
        <v>81245853</v>
      </c>
    </row>
    <row r="3314" spans="1:16">
      <c r="A3314" s="5">
        <v>45814</v>
      </c>
      <c r="B3314">
        <v>77</v>
      </c>
      <c r="C3314" t="s">
        <v>75</v>
      </c>
      <c r="D3314">
        <v>2</v>
      </c>
      <c r="E3314">
        <v>100</v>
      </c>
      <c r="F3314" t="s">
        <v>1</v>
      </c>
      <c r="G3314" s="6">
        <v>45867</v>
      </c>
      <c r="H3314">
        <v>53</v>
      </c>
      <c r="I3314">
        <f>ROUND(CompilDonnées[[#This Row],[CultureDuration_days]]/7,0)</f>
        <v>8</v>
      </c>
      <c r="J3314">
        <v>2755</v>
      </c>
      <c r="K3314" t="str">
        <f>_xlfn.CONCAT(WEEKNUM(CompilDonnées[[#This Row],[PlantationDate]]), " ", YEAR(CompilDonnées[[#This Row],[PlantationDate]]))</f>
        <v>23 2025</v>
      </c>
      <c r="L3314" t="str">
        <f>CONCATENATE(MONTH(CompilDonnées[[#This Row],[PlantationDate]])," ", YEAR(CompilDonnées[[#This Row],[PlantationDate]]))</f>
        <v>6 2025</v>
      </c>
      <c r="M3314" t="str">
        <f>CONCATENATE(MONTH(CompilDonnées[[#This Row],[HarvestingDate]])," ", YEAR(CompilDonnées[[#This Row],[HarvestingDate]]))</f>
        <v>7 2025</v>
      </c>
      <c r="N3314">
        <f>_xlfn.NUMBERVALUE(CompilDonnées[[#This Row],[FarmID]]&amp;CompilDonnées[[#This Row],[ModuleNumber]]&amp;CompilDonnées[[#This Row],[PlantationDate]])</f>
        <v>77245814</v>
      </c>
      <c r="O3314" t="str">
        <f>CompilDonnées[[#This Row],[FarmID]]&amp;CompilDonnées[[#This Row],[ModuleNumber]]</f>
        <v>772</v>
      </c>
      <c r="P3314" t="str">
        <f>CompilDonnées[[#This Row],[Ref_Module]]&amp;CompilDonnées[[#This Row],[HarvestingDate]]</f>
        <v>77245867</v>
      </c>
    </row>
    <row r="3315" spans="1:16">
      <c r="A3315" s="5">
        <v>45814</v>
      </c>
      <c r="B3315">
        <v>76</v>
      </c>
      <c r="C3315" t="s">
        <v>18</v>
      </c>
      <c r="D3315">
        <v>1</v>
      </c>
      <c r="E3315">
        <v>100</v>
      </c>
      <c r="F3315" t="s">
        <v>1</v>
      </c>
      <c r="G3315" s="6">
        <v>45867</v>
      </c>
      <c r="H3315">
        <v>53</v>
      </c>
      <c r="I3315">
        <f>ROUND(CompilDonnées[[#This Row],[CultureDuration_days]]/7,0)</f>
        <v>8</v>
      </c>
      <c r="J3315">
        <v>3039</v>
      </c>
      <c r="K3315" t="str">
        <f>_xlfn.CONCAT(WEEKNUM(CompilDonnées[[#This Row],[PlantationDate]]), " ", YEAR(CompilDonnées[[#This Row],[PlantationDate]]))</f>
        <v>23 2025</v>
      </c>
      <c r="L3315" t="str">
        <f>CONCATENATE(MONTH(CompilDonnées[[#This Row],[PlantationDate]])," ", YEAR(CompilDonnées[[#This Row],[PlantationDate]]))</f>
        <v>6 2025</v>
      </c>
      <c r="M3315" t="str">
        <f>CONCATENATE(MONTH(CompilDonnées[[#This Row],[HarvestingDate]])," ", YEAR(CompilDonnées[[#This Row],[HarvestingDate]]))</f>
        <v>7 2025</v>
      </c>
      <c r="N3315">
        <f>_xlfn.NUMBERVALUE(CompilDonnées[[#This Row],[FarmID]]&amp;CompilDonnées[[#This Row],[ModuleNumber]]&amp;CompilDonnées[[#This Row],[PlantationDate]])</f>
        <v>76145814</v>
      </c>
      <c r="O3315" t="str">
        <f>CompilDonnées[[#This Row],[FarmID]]&amp;CompilDonnées[[#This Row],[ModuleNumber]]</f>
        <v>761</v>
      </c>
      <c r="P3315" t="str">
        <f>CompilDonnées[[#This Row],[Ref_Module]]&amp;CompilDonnées[[#This Row],[HarvestingDate]]</f>
        <v>76145867</v>
      </c>
    </row>
    <row r="3316" spans="1:16">
      <c r="A3316" s="5">
        <v>45814</v>
      </c>
      <c r="B3316">
        <v>72</v>
      </c>
      <c r="C3316" t="s">
        <v>49</v>
      </c>
      <c r="D3316">
        <v>4</v>
      </c>
      <c r="E3316">
        <v>100</v>
      </c>
      <c r="F3316" t="s">
        <v>1</v>
      </c>
      <c r="G3316" s="6">
        <v>45860</v>
      </c>
      <c r="H3316">
        <v>46</v>
      </c>
      <c r="I3316">
        <f>ROUND(CompilDonnées[[#This Row],[CultureDuration_days]]/7,0)</f>
        <v>7</v>
      </c>
      <c r="J3316">
        <v>2417</v>
      </c>
      <c r="K3316" t="str">
        <f>_xlfn.CONCAT(WEEKNUM(CompilDonnées[[#This Row],[PlantationDate]]), " ", YEAR(CompilDonnées[[#This Row],[PlantationDate]]))</f>
        <v>23 2025</v>
      </c>
      <c r="L3316" t="str">
        <f>CONCATENATE(MONTH(CompilDonnées[[#This Row],[PlantationDate]])," ", YEAR(CompilDonnées[[#This Row],[PlantationDate]]))</f>
        <v>6 2025</v>
      </c>
      <c r="M3316" t="str">
        <f>CONCATENATE(MONTH(CompilDonnées[[#This Row],[HarvestingDate]])," ", YEAR(CompilDonnées[[#This Row],[HarvestingDate]]))</f>
        <v>7 2025</v>
      </c>
      <c r="N3316">
        <f>_xlfn.NUMBERVALUE(CompilDonnées[[#This Row],[FarmID]]&amp;CompilDonnées[[#This Row],[ModuleNumber]]&amp;CompilDonnées[[#This Row],[PlantationDate]])</f>
        <v>72445814</v>
      </c>
      <c r="O3316" t="str">
        <f>CompilDonnées[[#This Row],[FarmID]]&amp;CompilDonnées[[#This Row],[ModuleNumber]]</f>
        <v>724</v>
      </c>
      <c r="P3316" t="str">
        <f>CompilDonnées[[#This Row],[Ref_Module]]&amp;CompilDonnées[[#This Row],[HarvestingDate]]</f>
        <v>72445860</v>
      </c>
    </row>
    <row r="3317" spans="1:16">
      <c r="A3317" s="5">
        <v>45814</v>
      </c>
      <c r="B3317">
        <v>73</v>
      </c>
      <c r="C3317" t="s">
        <v>20</v>
      </c>
      <c r="D3317">
        <v>4</v>
      </c>
      <c r="E3317">
        <v>100</v>
      </c>
      <c r="F3317" t="s">
        <v>1</v>
      </c>
      <c r="G3317" s="6">
        <v>45860</v>
      </c>
      <c r="H3317">
        <v>46</v>
      </c>
      <c r="I3317">
        <f>ROUND(CompilDonnées[[#This Row],[CultureDuration_days]]/7,0)</f>
        <v>7</v>
      </c>
      <c r="J3317">
        <v>2411</v>
      </c>
      <c r="K3317" t="str">
        <f>_xlfn.CONCAT(WEEKNUM(CompilDonnées[[#This Row],[PlantationDate]]), " ", YEAR(CompilDonnées[[#This Row],[PlantationDate]]))</f>
        <v>23 2025</v>
      </c>
      <c r="L3317" t="str">
        <f>CONCATENATE(MONTH(CompilDonnées[[#This Row],[PlantationDate]])," ", YEAR(CompilDonnées[[#This Row],[PlantationDate]]))</f>
        <v>6 2025</v>
      </c>
      <c r="M3317" t="str">
        <f>CONCATENATE(MONTH(CompilDonnées[[#This Row],[HarvestingDate]])," ", YEAR(CompilDonnées[[#This Row],[HarvestingDate]]))</f>
        <v>7 2025</v>
      </c>
      <c r="N3317">
        <f>_xlfn.NUMBERVALUE(CompilDonnées[[#This Row],[FarmID]]&amp;CompilDonnées[[#This Row],[ModuleNumber]]&amp;CompilDonnées[[#This Row],[PlantationDate]])</f>
        <v>73445814</v>
      </c>
      <c r="O3317" t="str">
        <f>CompilDonnées[[#This Row],[FarmID]]&amp;CompilDonnées[[#This Row],[ModuleNumber]]</f>
        <v>734</v>
      </c>
      <c r="P3317" t="str">
        <f>CompilDonnées[[#This Row],[Ref_Module]]&amp;CompilDonnées[[#This Row],[HarvestingDate]]</f>
        <v>73445860</v>
      </c>
    </row>
    <row r="3318" spans="1:16">
      <c r="A3318" s="5">
        <v>45814</v>
      </c>
      <c r="B3318">
        <v>79</v>
      </c>
      <c r="C3318" t="s">
        <v>61</v>
      </c>
      <c r="D3318">
        <v>4</v>
      </c>
      <c r="E3318">
        <v>100</v>
      </c>
      <c r="F3318" t="s">
        <v>1</v>
      </c>
      <c r="G3318" s="6">
        <v>45853</v>
      </c>
      <c r="H3318">
        <v>39</v>
      </c>
      <c r="I3318">
        <f>ROUND(CompilDonnées[[#This Row],[CultureDuration_days]]/7,0)</f>
        <v>6</v>
      </c>
      <c r="J3318">
        <v>2233</v>
      </c>
      <c r="K3318" t="str">
        <f>_xlfn.CONCAT(WEEKNUM(CompilDonnées[[#This Row],[PlantationDate]]), " ", YEAR(CompilDonnées[[#This Row],[PlantationDate]]))</f>
        <v>23 2025</v>
      </c>
      <c r="L3318" t="str">
        <f>CONCATENATE(MONTH(CompilDonnées[[#This Row],[PlantationDate]])," ", YEAR(CompilDonnées[[#This Row],[PlantationDate]]))</f>
        <v>6 2025</v>
      </c>
      <c r="M3318" t="str">
        <f>CONCATENATE(MONTH(CompilDonnées[[#This Row],[HarvestingDate]])," ", YEAR(CompilDonnées[[#This Row],[HarvestingDate]]))</f>
        <v>7 2025</v>
      </c>
      <c r="N3318">
        <f>_xlfn.NUMBERVALUE(CompilDonnées[[#This Row],[FarmID]]&amp;CompilDonnées[[#This Row],[ModuleNumber]]&amp;CompilDonnées[[#This Row],[PlantationDate]])</f>
        <v>79445814</v>
      </c>
      <c r="O3318" t="str">
        <f>CompilDonnées[[#This Row],[FarmID]]&amp;CompilDonnées[[#This Row],[ModuleNumber]]</f>
        <v>794</v>
      </c>
      <c r="P3318" t="str">
        <f>CompilDonnées[[#This Row],[Ref_Module]]&amp;CompilDonnées[[#This Row],[HarvestingDate]]</f>
        <v>79445853</v>
      </c>
    </row>
    <row r="3319" spans="1:16">
      <c r="A3319" s="5">
        <v>45814</v>
      </c>
      <c r="B3319">
        <v>59</v>
      </c>
      <c r="C3319" t="s">
        <v>64</v>
      </c>
      <c r="D3319">
        <v>5</v>
      </c>
      <c r="E3319">
        <v>100</v>
      </c>
      <c r="F3319" t="s">
        <v>1</v>
      </c>
      <c r="G3319" s="6">
        <v>45855</v>
      </c>
      <c r="H3319">
        <v>41</v>
      </c>
      <c r="I3319">
        <f>ROUND(CompilDonnées[[#This Row],[CultureDuration_days]]/7,0)</f>
        <v>6</v>
      </c>
      <c r="J3319">
        <v>3489</v>
      </c>
      <c r="K3319" t="str">
        <f>_xlfn.CONCAT(WEEKNUM(CompilDonnées[[#This Row],[PlantationDate]]), " ", YEAR(CompilDonnées[[#This Row],[PlantationDate]]))</f>
        <v>23 2025</v>
      </c>
      <c r="L3319" t="str">
        <f>CONCATENATE(MONTH(CompilDonnées[[#This Row],[PlantationDate]])," ", YEAR(CompilDonnées[[#This Row],[PlantationDate]]))</f>
        <v>6 2025</v>
      </c>
      <c r="M3319" t="str">
        <f>CONCATENATE(MONTH(CompilDonnées[[#This Row],[HarvestingDate]])," ", YEAR(CompilDonnées[[#This Row],[HarvestingDate]]))</f>
        <v>7 2025</v>
      </c>
      <c r="N3319">
        <f>_xlfn.NUMBERVALUE(CompilDonnées[[#This Row],[FarmID]]&amp;CompilDonnées[[#This Row],[ModuleNumber]]&amp;CompilDonnées[[#This Row],[PlantationDate]])</f>
        <v>59545814</v>
      </c>
      <c r="O3319" t="str">
        <f>CompilDonnées[[#This Row],[FarmID]]&amp;CompilDonnées[[#This Row],[ModuleNumber]]</f>
        <v>595</v>
      </c>
      <c r="P3319" t="str">
        <f>CompilDonnées[[#This Row],[Ref_Module]]&amp;CompilDonnées[[#This Row],[HarvestingDate]]</f>
        <v>59545855</v>
      </c>
    </row>
    <row r="3320" spans="1:16">
      <c r="A3320" s="5">
        <v>45814</v>
      </c>
      <c r="B3320">
        <v>49</v>
      </c>
      <c r="C3320" t="s">
        <v>110</v>
      </c>
      <c r="D3320">
        <v>3</v>
      </c>
      <c r="E3320">
        <v>100</v>
      </c>
      <c r="F3320" t="s">
        <v>1</v>
      </c>
      <c r="G3320" s="6">
        <v>45868</v>
      </c>
      <c r="H3320">
        <v>54</v>
      </c>
      <c r="I3320">
        <f>ROUND(CompilDonnées[[#This Row],[CultureDuration_days]]/7,0)</f>
        <v>8</v>
      </c>
      <c r="J3320">
        <v>2719</v>
      </c>
      <c r="K3320" t="str">
        <f>_xlfn.CONCAT(WEEKNUM(CompilDonnées[[#This Row],[PlantationDate]]), " ", YEAR(CompilDonnées[[#This Row],[PlantationDate]]))</f>
        <v>23 2025</v>
      </c>
      <c r="L3320" t="str">
        <f>CONCATENATE(MONTH(CompilDonnées[[#This Row],[PlantationDate]])," ", YEAR(CompilDonnées[[#This Row],[PlantationDate]]))</f>
        <v>6 2025</v>
      </c>
      <c r="M3320" t="str">
        <f>CONCATENATE(MONTH(CompilDonnées[[#This Row],[HarvestingDate]])," ", YEAR(CompilDonnées[[#This Row],[HarvestingDate]]))</f>
        <v>7 2025</v>
      </c>
      <c r="N3320">
        <f>_xlfn.NUMBERVALUE(CompilDonnées[[#This Row],[FarmID]]&amp;CompilDonnées[[#This Row],[ModuleNumber]]&amp;CompilDonnées[[#This Row],[PlantationDate]])</f>
        <v>49345814</v>
      </c>
      <c r="O3320" t="str">
        <f>CompilDonnées[[#This Row],[FarmID]]&amp;CompilDonnées[[#This Row],[ModuleNumber]]</f>
        <v>493</v>
      </c>
      <c r="P3320" t="str">
        <f>CompilDonnées[[#This Row],[Ref_Module]]&amp;CompilDonnées[[#This Row],[HarvestingDate]]</f>
        <v>49345868</v>
      </c>
    </row>
    <row r="3321" spans="1:16">
      <c r="A3321" s="5">
        <v>45814</v>
      </c>
      <c r="B3321">
        <v>51</v>
      </c>
      <c r="C3321" t="s">
        <v>27</v>
      </c>
      <c r="D3321">
        <v>6</v>
      </c>
      <c r="E3321">
        <v>100</v>
      </c>
      <c r="F3321" t="s">
        <v>1</v>
      </c>
      <c r="G3321" s="6">
        <v>45854</v>
      </c>
      <c r="H3321">
        <v>40</v>
      </c>
      <c r="I3321">
        <f>ROUND(CompilDonnées[[#This Row],[CultureDuration_days]]/7,0)</f>
        <v>6</v>
      </c>
      <c r="J3321">
        <v>2705</v>
      </c>
      <c r="K3321" t="str">
        <f>_xlfn.CONCAT(WEEKNUM(CompilDonnées[[#This Row],[PlantationDate]]), " ", YEAR(CompilDonnées[[#This Row],[PlantationDate]]))</f>
        <v>23 2025</v>
      </c>
      <c r="L3321" t="str">
        <f>CONCATENATE(MONTH(CompilDonnées[[#This Row],[PlantationDate]])," ", YEAR(CompilDonnées[[#This Row],[PlantationDate]]))</f>
        <v>6 2025</v>
      </c>
      <c r="M3321" t="str">
        <f>CONCATENATE(MONTH(CompilDonnées[[#This Row],[HarvestingDate]])," ", YEAR(CompilDonnées[[#This Row],[HarvestingDate]]))</f>
        <v>7 2025</v>
      </c>
      <c r="N3321">
        <f>_xlfn.NUMBERVALUE(CompilDonnées[[#This Row],[FarmID]]&amp;CompilDonnées[[#This Row],[ModuleNumber]]&amp;CompilDonnées[[#This Row],[PlantationDate]])</f>
        <v>51645814</v>
      </c>
      <c r="O3321" t="str">
        <f>CompilDonnées[[#This Row],[FarmID]]&amp;CompilDonnées[[#This Row],[ModuleNumber]]</f>
        <v>516</v>
      </c>
      <c r="P3321" t="str">
        <f>CompilDonnées[[#This Row],[Ref_Module]]&amp;CompilDonnées[[#This Row],[HarvestingDate]]</f>
        <v>51645854</v>
      </c>
    </row>
    <row r="3322" spans="1:16">
      <c r="A3322" s="5">
        <v>45814</v>
      </c>
      <c r="B3322">
        <v>120</v>
      </c>
      <c r="C3322" t="s">
        <v>3</v>
      </c>
      <c r="D3322">
        <v>3</v>
      </c>
      <c r="E3322">
        <v>60</v>
      </c>
      <c r="F3322" t="s">
        <v>105</v>
      </c>
      <c r="G3322" s="6">
        <v>45867</v>
      </c>
      <c r="H3322">
        <v>53</v>
      </c>
      <c r="I3322">
        <f>ROUND(CompilDonnées[[#This Row],[CultureDuration_days]]/7,0)</f>
        <v>8</v>
      </c>
      <c r="J3322">
        <v>450</v>
      </c>
      <c r="K3322" t="str">
        <f>_xlfn.CONCAT(WEEKNUM(CompilDonnées[[#This Row],[PlantationDate]]), " ", YEAR(CompilDonnées[[#This Row],[PlantationDate]]))</f>
        <v>23 2025</v>
      </c>
      <c r="L3322" t="str">
        <f>CONCATENATE(MONTH(CompilDonnées[[#This Row],[PlantationDate]])," ", YEAR(CompilDonnées[[#This Row],[PlantationDate]]))</f>
        <v>6 2025</v>
      </c>
      <c r="M3322" t="str">
        <f>CONCATENATE(MONTH(CompilDonnées[[#This Row],[HarvestingDate]])," ", YEAR(CompilDonnées[[#This Row],[HarvestingDate]]))</f>
        <v>7 2025</v>
      </c>
      <c r="N3322">
        <f>_xlfn.NUMBERVALUE(CompilDonnées[[#This Row],[FarmID]]&amp;CompilDonnées[[#This Row],[ModuleNumber]]&amp;CompilDonnées[[#This Row],[PlantationDate]])</f>
        <v>120345814</v>
      </c>
      <c r="O3322" t="str">
        <f>CompilDonnées[[#This Row],[FarmID]]&amp;CompilDonnées[[#This Row],[ModuleNumber]]</f>
        <v>1203</v>
      </c>
      <c r="P3322" t="str">
        <f>CompilDonnées[[#This Row],[Ref_Module]]&amp;CompilDonnées[[#This Row],[HarvestingDate]]</f>
        <v>120345867</v>
      </c>
    </row>
    <row r="3323" spans="1:16">
      <c r="A3323" s="5">
        <v>45814</v>
      </c>
      <c r="B3323">
        <v>120</v>
      </c>
      <c r="C3323" t="s">
        <v>3</v>
      </c>
      <c r="D3323">
        <v>4</v>
      </c>
      <c r="E3323">
        <v>60</v>
      </c>
      <c r="F3323" t="s">
        <v>105</v>
      </c>
      <c r="G3323" s="6">
        <v>45867</v>
      </c>
      <c r="H3323">
        <v>53</v>
      </c>
      <c r="I3323">
        <f>ROUND(CompilDonnées[[#This Row],[CultureDuration_days]]/7,0)</f>
        <v>8</v>
      </c>
      <c r="J3323">
        <v>425</v>
      </c>
      <c r="K3323" t="str">
        <f>_xlfn.CONCAT(WEEKNUM(CompilDonnées[[#This Row],[PlantationDate]]), " ", YEAR(CompilDonnées[[#This Row],[PlantationDate]]))</f>
        <v>23 2025</v>
      </c>
      <c r="L3323" t="str">
        <f>CONCATENATE(MONTH(CompilDonnées[[#This Row],[PlantationDate]])," ", YEAR(CompilDonnées[[#This Row],[PlantationDate]]))</f>
        <v>6 2025</v>
      </c>
      <c r="M3323" t="str">
        <f>CONCATENATE(MONTH(CompilDonnées[[#This Row],[HarvestingDate]])," ", YEAR(CompilDonnées[[#This Row],[HarvestingDate]]))</f>
        <v>7 2025</v>
      </c>
      <c r="N3323">
        <f>_xlfn.NUMBERVALUE(CompilDonnées[[#This Row],[FarmID]]&amp;CompilDonnées[[#This Row],[ModuleNumber]]&amp;CompilDonnées[[#This Row],[PlantationDate]])</f>
        <v>120445814</v>
      </c>
      <c r="O3323" t="str">
        <f>CompilDonnées[[#This Row],[FarmID]]&amp;CompilDonnées[[#This Row],[ModuleNumber]]</f>
        <v>1204</v>
      </c>
      <c r="P3323" t="str">
        <f>CompilDonnées[[#This Row],[Ref_Module]]&amp;CompilDonnées[[#This Row],[HarvestingDate]]</f>
        <v>120445867</v>
      </c>
    </row>
    <row r="3324" spans="1:16">
      <c r="A3324" s="5">
        <v>45814</v>
      </c>
      <c r="B3324">
        <v>120</v>
      </c>
      <c r="C3324" t="s">
        <v>3</v>
      </c>
      <c r="D3324">
        <v>5</v>
      </c>
      <c r="E3324">
        <v>60</v>
      </c>
      <c r="F3324" t="s">
        <v>105</v>
      </c>
      <c r="G3324" s="6">
        <v>45867</v>
      </c>
      <c r="H3324">
        <v>53</v>
      </c>
      <c r="I3324">
        <f>ROUND(CompilDonnées[[#This Row],[CultureDuration_days]]/7,0)</f>
        <v>8</v>
      </c>
      <c r="J3324">
        <v>405</v>
      </c>
      <c r="K3324" t="str">
        <f>_xlfn.CONCAT(WEEKNUM(CompilDonnées[[#This Row],[PlantationDate]]), " ", YEAR(CompilDonnées[[#This Row],[PlantationDate]]))</f>
        <v>23 2025</v>
      </c>
      <c r="L3324" t="str">
        <f>CONCATENATE(MONTH(CompilDonnées[[#This Row],[PlantationDate]])," ", YEAR(CompilDonnées[[#This Row],[PlantationDate]]))</f>
        <v>6 2025</v>
      </c>
      <c r="M3324" t="str">
        <f>CONCATENATE(MONTH(CompilDonnées[[#This Row],[HarvestingDate]])," ", YEAR(CompilDonnées[[#This Row],[HarvestingDate]]))</f>
        <v>7 2025</v>
      </c>
      <c r="N3324">
        <f>_xlfn.NUMBERVALUE(CompilDonnées[[#This Row],[FarmID]]&amp;CompilDonnées[[#This Row],[ModuleNumber]]&amp;CompilDonnées[[#This Row],[PlantationDate]])</f>
        <v>120545814</v>
      </c>
      <c r="O3324" t="str">
        <f>CompilDonnées[[#This Row],[FarmID]]&amp;CompilDonnées[[#This Row],[ModuleNumber]]</f>
        <v>1205</v>
      </c>
      <c r="P3324" t="str">
        <f>CompilDonnées[[#This Row],[Ref_Module]]&amp;CompilDonnées[[#This Row],[HarvestingDate]]</f>
        <v>120545867</v>
      </c>
    </row>
    <row r="3325" spans="1:16">
      <c r="A3325" s="5">
        <v>45815</v>
      </c>
      <c r="B3325">
        <v>94</v>
      </c>
      <c r="C3325" t="s">
        <v>40</v>
      </c>
      <c r="D3325">
        <v>1</v>
      </c>
      <c r="E3325">
        <v>100</v>
      </c>
      <c r="F3325" t="s">
        <v>1</v>
      </c>
      <c r="G3325" s="6">
        <v>45861</v>
      </c>
      <c r="H3325">
        <v>46</v>
      </c>
      <c r="I3325">
        <f>ROUND(CompilDonnées[[#This Row],[CultureDuration_days]]/7,0)</f>
        <v>7</v>
      </c>
      <c r="J3325">
        <v>3381</v>
      </c>
      <c r="K3325" t="str">
        <f>_xlfn.CONCAT(WEEKNUM(CompilDonnées[[#This Row],[PlantationDate]]), " ", YEAR(CompilDonnées[[#This Row],[PlantationDate]]))</f>
        <v>23 2025</v>
      </c>
      <c r="L3325" t="str">
        <f>CONCATENATE(MONTH(CompilDonnées[[#This Row],[PlantationDate]])," ", YEAR(CompilDonnées[[#This Row],[PlantationDate]]))</f>
        <v>6 2025</v>
      </c>
      <c r="M3325" t="str">
        <f>CONCATENATE(MONTH(CompilDonnées[[#This Row],[HarvestingDate]])," ", YEAR(CompilDonnées[[#This Row],[HarvestingDate]]))</f>
        <v>7 2025</v>
      </c>
      <c r="N3325">
        <f>_xlfn.NUMBERVALUE(CompilDonnées[[#This Row],[FarmID]]&amp;CompilDonnées[[#This Row],[ModuleNumber]]&amp;CompilDonnées[[#This Row],[PlantationDate]])</f>
        <v>94145815</v>
      </c>
      <c r="O3325" t="str">
        <f>CompilDonnées[[#This Row],[FarmID]]&amp;CompilDonnées[[#This Row],[ModuleNumber]]</f>
        <v>941</v>
      </c>
      <c r="P3325" t="str">
        <f>CompilDonnées[[#This Row],[Ref_Module]]&amp;CompilDonnées[[#This Row],[HarvestingDate]]</f>
        <v>94145861</v>
      </c>
    </row>
    <row r="3326" spans="1:16">
      <c r="A3326" s="5">
        <v>45815</v>
      </c>
      <c r="B3326">
        <v>93</v>
      </c>
      <c r="C3326" t="s">
        <v>10</v>
      </c>
      <c r="D3326">
        <v>1</v>
      </c>
      <c r="E3326">
        <v>100</v>
      </c>
      <c r="F3326" t="s">
        <v>1</v>
      </c>
      <c r="G3326" s="6">
        <v>45860</v>
      </c>
      <c r="H3326">
        <v>45</v>
      </c>
      <c r="I3326">
        <f>ROUND(CompilDonnées[[#This Row],[CultureDuration_days]]/7,0)</f>
        <v>6</v>
      </c>
      <c r="J3326">
        <v>3461</v>
      </c>
      <c r="K3326" t="str">
        <f>_xlfn.CONCAT(WEEKNUM(CompilDonnées[[#This Row],[PlantationDate]]), " ", YEAR(CompilDonnées[[#This Row],[PlantationDate]]))</f>
        <v>23 2025</v>
      </c>
      <c r="L3326" t="str">
        <f>CONCATENATE(MONTH(CompilDonnées[[#This Row],[PlantationDate]])," ", YEAR(CompilDonnées[[#This Row],[PlantationDate]]))</f>
        <v>6 2025</v>
      </c>
      <c r="M3326" t="str">
        <f>CONCATENATE(MONTH(CompilDonnées[[#This Row],[HarvestingDate]])," ", YEAR(CompilDonnées[[#This Row],[HarvestingDate]]))</f>
        <v>7 2025</v>
      </c>
      <c r="N3326">
        <f>_xlfn.NUMBERVALUE(CompilDonnées[[#This Row],[FarmID]]&amp;CompilDonnées[[#This Row],[ModuleNumber]]&amp;CompilDonnées[[#This Row],[PlantationDate]])</f>
        <v>93145815</v>
      </c>
      <c r="O3326" t="str">
        <f>CompilDonnées[[#This Row],[FarmID]]&amp;CompilDonnées[[#This Row],[ModuleNumber]]</f>
        <v>931</v>
      </c>
      <c r="P3326" t="str">
        <f>CompilDonnées[[#This Row],[Ref_Module]]&amp;CompilDonnées[[#This Row],[HarvestingDate]]</f>
        <v>93145860</v>
      </c>
    </row>
    <row r="3327" spans="1:16">
      <c r="A3327" s="5">
        <v>45815</v>
      </c>
      <c r="B3327">
        <v>92</v>
      </c>
      <c r="C3327" t="s">
        <v>66</v>
      </c>
      <c r="D3327">
        <v>4</v>
      </c>
      <c r="E3327">
        <v>100</v>
      </c>
      <c r="F3327" t="s">
        <v>1</v>
      </c>
      <c r="G3327" s="6">
        <v>45861</v>
      </c>
      <c r="H3327">
        <v>46</v>
      </c>
      <c r="I3327">
        <f>ROUND(CompilDonnées[[#This Row],[CultureDuration_days]]/7,0)</f>
        <v>7</v>
      </c>
      <c r="J3327">
        <v>3222</v>
      </c>
      <c r="K3327" t="str">
        <f>_xlfn.CONCAT(WEEKNUM(CompilDonnées[[#This Row],[PlantationDate]]), " ", YEAR(CompilDonnées[[#This Row],[PlantationDate]]))</f>
        <v>23 2025</v>
      </c>
      <c r="L3327" t="str">
        <f>CONCATENATE(MONTH(CompilDonnées[[#This Row],[PlantationDate]])," ", YEAR(CompilDonnées[[#This Row],[PlantationDate]]))</f>
        <v>6 2025</v>
      </c>
      <c r="M3327" t="str">
        <f>CONCATENATE(MONTH(CompilDonnées[[#This Row],[HarvestingDate]])," ", YEAR(CompilDonnées[[#This Row],[HarvestingDate]]))</f>
        <v>7 2025</v>
      </c>
      <c r="N3327">
        <f>_xlfn.NUMBERVALUE(CompilDonnées[[#This Row],[FarmID]]&amp;CompilDonnées[[#This Row],[ModuleNumber]]&amp;CompilDonnées[[#This Row],[PlantationDate]])</f>
        <v>92445815</v>
      </c>
      <c r="O3327" t="str">
        <f>CompilDonnées[[#This Row],[FarmID]]&amp;CompilDonnées[[#This Row],[ModuleNumber]]</f>
        <v>924</v>
      </c>
      <c r="P3327" t="str">
        <f>CompilDonnées[[#This Row],[Ref_Module]]&amp;CompilDonnées[[#This Row],[HarvestingDate]]</f>
        <v>92445861</v>
      </c>
    </row>
    <row r="3328" spans="1:16">
      <c r="A3328" s="5">
        <v>45815</v>
      </c>
      <c r="B3328">
        <v>106</v>
      </c>
      <c r="C3328" t="s">
        <v>22</v>
      </c>
      <c r="D3328">
        <v>1</v>
      </c>
      <c r="E3328">
        <v>100</v>
      </c>
      <c r="F3328" t="s">
        <v>1</v>
      </c>
      <c r="G3328" s="6">
        <v>45852</v>
      </c>
      <c r="H3328">
        <v>37</v>
      </c>
      <c r="I3328">
        <f>ROUND(CompilDonnées[[#This Row],[CultureDuration_days]]/7,0)</f>
        <v>5</v>
      </c>
      <c r="J3328">
        <v>2434</v>
      </c>
      <c r="K3328" t="str">
        <f>_xlfn.CONCAT(WEEKNUM(CompilDonnées[[#This Row],[PlantationDate]]), " ", YEAR(CompilDonnées[[#This Row],[PlantationDate]]))</f>
        <v>23 2025</v>
      </c>
      <c r="L3328" t="str">
        <f>CONCATENATE(MONTH(CompilDonnées[[#This Row],[PlantationDate]])," ", YEAR(CompilDonnées[[#This Row],[PlantationDate]]))</f>
        <v>6 2025</v>
      </c>
      <c r="M3328" t="str">
        <f>CONCATENATE(MONTH(CompilDonnées[[#This Row],[HarvestingDate]])," ", YEAR(CompilDonnées[[#This Row],[HarvestingDate]]))</f>
        <v>7 2025</v>
      </c>
      <c r="N3328">
        <f>_xlfn.NUMBERVALUE(CompilDonnées[[#This Row],[FarmID]]&amp;CompilDonnées[[#This Row],[ModuleNumber]]&amp;CompilDonnées[[#This Row],[PlantationDate]])</f>
        <v>106145815</v>
      </c>
      <c r="O3328" t="str">
        <f>CompilDonnées[[#This Row],[FarmID]]&amp;CompilDonnées[[#This Row],[ModuleNumber]]</f>
        <v>1061</v>
      </c>
      <c r="P3328" t="str">
        <f>CompilDonnées[[#This Row],[Ref_Module]]&amp;CompilDonnées[[#This Row],[HarvestingDate]]</f>
        <v>106145852</v>
      </c>
    </row>
    <row r="3329" spans="1:16">
      <c r="A3329" s="5">
        <v>45815</v>
      </c>
      <c r="B3329">
        <v>102</v>
      </c>
      <c r="C3329" t="s">
        <v>85</v>
      </c>
      <c r="D3329">
        <v>5</v>
      </c>
      <c r="E3329">
        <v>100</v>
      </c>
      <c r="F3329" t="s">
        <v>1</v>
      </c>
      <c r="G3329" s="6">
        <v>45866</v>
      </c>
      <c r="H3329">
        <v>51</v>
      </c>
      <c r="I3329">
        <f>ROUND(CompilDonnées[[#This Row],[CultureDuration_days]]/7,0)</f>
        <v>7</v>
      </c>
      <c r="J3329">
        <v>2185</v>
      </c>
      <c r="K3329" t="str">
        <f>_xlfn.CONCAT(WEEKNUM(CompilDonnées[[#This Row],[PlantationDate]]), " ", YEAR(CompilDonnées[[#This Row],[PlantationDate]]))</f>
        <v>23 2025</v>
      </c>
      <c r="L3329" t="str">
        <f>CONCATENATE(MONTH(CompilDonnées[[#This Row],[PlantationDate]])," ", YEAR(CompilDonnées[[#This Row],[PlantationDate]]))</f>
        <v>6 2025</v>
      </c>
      <c r="M3329" t="str">
        <f>CONCATENATE(MONTH(CompilDonnées[[#This Row],[HarvestingDate]])," ", YEAR(CompilDonnées[[#This Row],[HarvestingDate]]))</f>
        <v>7 2025</v>
      </c>
      <c r="N3329">
        <f>_xlfn.NUMBERVALUE(CompilDonnées[[#This Row],[FarmID]]&amp;CompilDonnées[[#This Row],[ModuleNumber]]&amp;CompilDonnées[[#This Row],[PlantationDate]])</f>
        <v>102545815</v>
      </c>
      <c r="O3329" t="str">
        <f>CompilDonnées[[#This Row],[FarmID]]&amp;CompilDonnées[[#This Row],[ModuleNumber]]</f>
        <v>1025</v>
      </c>
      <c r="P3329" t="str">
        <f>CompilDonnées[[#This Row],[Ref_Module]]&amp;CompilDonnées[[#This Row],[HarvestingDate]]</f>
        <v>102545866</v>
      </c>
    </row>
    <row r="3330" spans="1:16">
      <c r="A3330" s="5">
        <v>45815</v>
      </c>
      <c r="B3330">
        <v>90</v>
      </c>
      <c r="C3330" t="s">
        <v>72</v>
      </c>
      <c r="D3330">
        <v>1</v>
      </c>
      <c r="E3330">
        <v>100</v>
      </c>
      <c r="F3330" t="s">
        <v>1</v>
      </c>
      <c r="G3330" s="6">
        <v>45853</v>
      </c>
      <c r="H3330">
        <v>38</v>
      </c>
      <c r="I3330">
        <f>ROUND(CompilDonnées[[#This Row],[CultureDuration_days]]/7,0)</f>
        <v>5</v>
      </c>
      <c r="J3330">
        <v>2061</v>
      </c>
      <c r="K3330" t="str">
        <f>_xlfn.CONCAT(WEEKNUM(CompilDonnées[[#This Row],[PlantationDate]]), " ", YEAR(CompilDonnées[[#This Row],[PlantationDate]]))</f>
        <v>23 2025</v>
      </c>
      <c r="L3330" t="str">
        <f>CONCATENATE(MONTH(CompilDonnées[[#This Row],[PlantationDate]])," ", YEAR(CompilDonnées[[#This Row],[PlantationDate]]))</f>
        <v>6 2025</v>
      </c>
      <c r="M3330" t="str">
        <f>CONCATENATE(MONTH(CompilDonnées[[#This Row],[HarvestingDate]])," ", YEAR(CompilDonnées[[#This Row],[HarvestingDate]]))</f>
        <v>7 2025</v>
      </c>
      <c r="N3330">
        <f>_xlfn.NUMBERVALUE(CompilDonnées[[#This Row],[FarmID]]&amp;CompilDonnées[[#This Row],[ModuleNumber]]&amp;CompilDonnées[[#This Row],[PlantationDate]])</f>
        <v>90145815</v>
      </c>
      <c r="O3330" t="str">
        <f>CompilDonnées[[#This Row],[FarmID]]&amp;CompilDonnées[[#This Row],[ModuleNumber]]</f>
        <v>901</v>
      </c>
      <c r="P3330" t="str">
        <f>CompilDonnées[[#This Row],[Ref_Module]]&amp;CompilDonnées[[#This Row],[HarvestingDate]]</f>
        <v>90145853</v>
      </c>
    </row>
    <row r="3331" spans="1:16">
      <c r="A3331" s="5">
        <v>45815</v>
      </c>
      <c r="B3331">
        <v>126</v>
      </c>
      <c r="C3331" t="s">
        <v>52</v>
      </c>
      <c r="D3331">
        <v>4</v>
      </c>
      <c r="E3331">
        <v>100</v>
      </c>
      <c r="F3331" t="s">
        <v>1</v>
      </c>
      <c r="G3331" s="6">
        <v>45849</v>
      </c>
      <c r="H3331">
        <v>34</v>
      </c>
      <c r="I3331">
        <f>ROUND(CompilDonnées[[#This Row],[CultureDuration_days]]/7,0)</f>
        <v>5</v>
      </c>
      <c r="J3331">
        <v>2986</v>
      </c>
      <c r="K3331" t="str">
        <f>_xlfn.CONCAT(WEEKNUM(CompilDonnées[[#This Row],[PlantationDate]]), " ", YEAR(CompilDonnées[[#This Row],[PlantationDate]]))</f>
        <v>23 2025</v>
      </c>
      <c r="L3331" t="str">
        <f>CONCATENATE(MONTH(CompilDonnées[[#This Row],[PlantationDate]])," ", YEAR(CompilDonnées[[#This Row],[PlantationDate]]))</f>
        <v>6 2025</v>
      </c>
      <c r="M3331" t="str">
        <f>CONCATENATE(MONTH(CompilDonnées[[#This Row],[HarvestingDate]])," ", YEAR(CompilDonnées[[#This Row],[HarvestingDate]]))</f>
        <v>7 2025</v>
      </c>
      <c r="N3331">
        <f>_xlfn.NUMBERVALUE(CompilDonnées[[#This Row],[FarmID]]&amp;CompilDonnées[[#This Row],[ModuleNumber]]&amp;CompilDonnées[[#This Row],[PlantationDate]])</f>
        <v>126445815</v>
      </c>
      <c r="O3331" t="str">
        <f>CompilDonnées[[#This Row],[FarmID]]&amp;CompilDonnées[[#This Row],[ModuleNumber]]</f>
        <v>1264</v>
      </c>
      <c r="P3331" t="str">
        <f>CompilDonnées[[#This Row],[Ref_Module]]&amp;CompilDonnées[[#This Row],[HarvestingDate]]</f>
        <v>126445849</v>
      </c>
    </row>
    <row r="3332" spans="1:16">
      <c r="A3332" s="5">
        <v>45815</v>
      </c>
      <c r="B3332">
        <v>132</v>
      </c>
      <c r="C3332" t="s">
        <v>120</v>
      </c>
      <c r="D3332">
        <v>1</v>
      </c>
      <c r="E3332">
        <v>100</v>
      </c>
      <c r="F3332" t="s">
        <v>1</v>
      </c>
      <c r="G3332" s="6">
        <v>45852</v>
      </c>
      <c r="H3332">
        <v>37</v>
      </c>
      <c r="I3332">
        <f>ROUND(CompilDonnées[[#This Row],[CultureDuration_days]]/7,0)</f>
        <v>5</v>
      </c>
      <c r="J3332">
        <v>3091</v>
      </c>
      <c r="K3332" t="str">
        <f>_xlfn.CONCAT(WEEKNUM(CompilDonnées[[#This Row],[PlantationDate]]), " ", YEAR(CompilDonnées[[#This Row],[PlantationDate]]))</f>
        <v>23 2025</v>
      </c>
      <c r="L3332" t="str">
        <f>CONCATENATE(MONTH(CompilDonnées[[#This Row],[PlantationDate]])," ", YEAR(CompilDonnées[[#This Row],[PlantationDate]]))</f>
        <v>6 2025</v>
      </c>
      <c r="M3332" t="str">
        <f>CONCATENATE(MONTH(CompilDonnées[[#This Row],[HarvestingDate]])," ", YEAR(CompilDonnées[[#This Row],[HarvestingDate]]))</f>
        <v>7 2025</v>
      </c>
      <c r="N3332">
        <f>_xlfn.NUMBERVALUE(CompilDonnées[[#This Row],[FarmID]]&amp;CompilDonnées[[#This Row],[ModuleNumber]]&amp;CompilDonnées[[#This Row],[PlantationDate]])</f>
        <v>132145815</v>
      </c>
      <c r="O3332" t="str">
        <f>CompilDonnées[[#This Row],[FarmID]]&amp;CompilDonnées[[#This Row],[ModuleNumber]]</f>
        <v>1321</v>
      </c>
      <c r="P3332" t="str">
        <f>CompilDonnées[[#This Row],[Ref_Module]]&amp;CompilDonnées[[#This Row],[HarvestingDate]]</f>
        <v>132145852</v>
      </c>
    </row>
    <row r="3333" spans="1:16">
      <c r="A3333" s="5">
        <v>45815</v>
      </c>
      <c r="B3333">
        <v>140</v>
      </c>
      <c r="C3333" t="s">
        <v>96</v>
      </c>
      <c r="D3333">
        <v>2</v>
      </c>
      <c r="E3333">
        <v>100</v>
      </c>
      <c r="F3333" t="s">
        <v>1</v>
      </c>
      <c r="G3333" s="6">
        <v>45852</v>
      </c>
      <c r="H3333">
        <v>37</v>
      </c>
      <c r="I3333">
        <f>ROUND(CompilDonnées[[#This Row],[CultureDuration_days]]/7,0)</f>
        <v>5</v>
      </c>
      <c r="J3333">
        <v>2654</v>
      </c>
      <c r="K3333" t="str">
        <f>_xlfn.CONCAT(WEEKNUM(CompilDonnées[[#This Row],[PlantationDate]]), " ", YEAR(CompilDonnées[[#This Row],[PlantationDate]]))</f>
        <v>23 2025</v>
      </c>
      <c r="L3333" t="str">
        <f>CONCATENATE(MONTH(CompilDonnées[[#This Row],[PlantationDate]])," ", YEAR(CompilDonnées[[#This Row],[PlantationDate]]))</f>
        <v>6 2025</v>
      </c>
      <c r="M3333" t="str">
        <f>CONCATENATE(MONTH(CompilDonnées[[#This Row],[HarvestingDate]])," ", YEAR(CompilDonnées[[#This Row],[HarvestingDate]]))</f>
        <v>7 2025</v>
      </c>
      <c r="N3333">
        <f>_xlfn.NUMBERVALUE(CompilDonnées[[#This Row],[FarmID]]&amp;CompilDonnées[[#This Row],[ModuleNumber]]&amp;CompilDonnées[[#This Row],[PlantationDate]])</f>
        <v>140245815</v>
      </c>
      <c r="O3333" t="str">
        <f>CompilDonnées[[#This Row],[FarmID]]&amp;CompilDonnées[[#This Row],[ModuleNumber]]</f>
        <v>1402</v>
      </c>
      <c r="P3333" t="str">
        <f>CompilDonnées[[#This Row],[Ref_Module]]&amp;CompilDonnées[[#This Row],[HarvestingDate]]</f>
        <v>140245852</v>
      </c>
    </row>
    <row r="3334" spans="1:16">
      <c r="A3334" s="5">
        <v>45815</v>
      </c>
      <c r="B3334">
        <v>117</v>
      </c>
      <c r="C3334" t="s">
        <v>11</v>
      </c>
      <c r="D3334">
        <v>1</v>
      </c>
      <c r="E3334">
        <v>100</v>
      </c>
      <c r="F3334" t="s">
        <v>1</v>
      </c>
      <c r="G3334" s="6">
        <v>45852</v>
      </c>
      <c r="H3334">
        <v>37</v>
      </c>
      <c r="I3334">
        <f>ROUND(CompilDonnées[[#This Row],[CultureDuration_days]]/7,0)</f>
        <v>5</v>
      </c>
      <c r="J3334">
        <v>2360</v>
      </c>
      <c r="K3334" t="str">
        <f>_xlfn.CONCAT(WEEKNUM(CompilDonnées[[#This Row],[PlantationDate]]), " ", YEAR(CompilDonnées[[#This Row],[PlantationDate]]))</f>
        <v>23 2025</v>
      </c>
      <c r="L3334" t="str">
        <f>CONCATENATE(MONTH(CompilDonnées[[#This Row],[PlantationDate]])," ", YEAR(CompilDonnées[[#This Row],[PlantationDate]]))</f>
        <v>6 2025</v>
      </c>
      <c r="M3334" t="str">
        <f>CONCATENATE(MONTH(CompilDonnées[[#This Row],[HarvestingDate]])," ", YEAR(CompilDonnées[[#This Row],[HarvestingDate]]))</f>
        <v>7 2025</v>
      </c>
      <c r="N3334">
        <f>_xlfn.NUMBERVALUE(CompilDonnées[[#This Row],[FarmID]]&amp;CompilDonnées[[#This Row],[ModuleNumber]]&amp;CompilDonnées[[#This Row],[PlantationDate]])</f>
        <v>117145815</v>
      </c>
      <c r="O3334" t="str">
        <f>CompilDonnées[[#This Row],[FarmID]]&amp;CompilDonnées[[#This Row],[ModuleNumber]]</f>
        <v>1171</v>
      </c>
      <c r="P3334" t="str">
        <f>CompilDonnées[[#This Row],[Ref_Module]]&amp;CompilDonnées[[#This Row],[HarvestingDate]]</f>
        <v>117145852</v>
      </c>
    </row>
    <row r="3335" spans="1:16">
      <c r="A3335" s="5">
        <v>45815</v>
      </c>
      <c r="B3335">
        <v>110</v>
      </c>
      <c r="C3335" t="s">
        <v>14</v>
      </c>
      <c r="D3335">
        <v>5</v>
      </c>
      <c r="E3335">
        <v>100</v>
      </c>
      <c r="F3335" t="s">
        <v>1</v>
      </c>
      <c r="G3335" s="6">
        <v>45852</v>
      </c>
      <c r="H3335">
        <v>37</v>
      </c>
      <c r="I3335">
        <f>ROUND(CompilDonnées[[#This Row],[CultureDuration_days]]/7,0)</f>
        <v>5</v>
      </c>
      <c r="J3335">
        <v>3306</v>
      </c>
      <c r="K3335" t="str">
        <f>_xlfn.CONCAT(WEEKNUM(CompilDonnées[[#This Row],[PlantationDate]]), " ", YEAR(CompilDonnées[[#This Row],[PlantationDate]]))</f>
        <v>23 2025</v>
      </c>
      <c r="L3335" t="str">
        <f>CONCATENATE(MONTH(CompilDonnées[[#This Row],[PlantationDate]])," ", YEAR(CompilDonnées[[#This Row],[PlantationDate]]))</f>
        <v>6 2025</v>
      </c>
      <c r="M3335" t="str">
        <f>CONCATENATE(MONTH(CompilDonnées[[#This Row],[HarvestingDate]])," ", YEAR(CompilDonnées[[#This Row],[HarvestingDate]]))</f>
        <v>7 2025</v>
      </c>
      <c r="N3335">
        <f>_xlfn.NUMBERVALUE(CompilDonnées[[#This Row],[FarmID]]&amp;CompilDonnées[[#This Row],[ModuleNumber]]&amp;CompilDonnées[[#This Row],[PlantationDate]])</f>
        <v>110545815</v>
      </c>
      <c r="O3335" t="str">
        <f>CompilDonnées[[#This Row],[FarmID]]&amp;CompilDonnées[[#This Row],[ModuleNumber]]</f>
        <v>1105</v>
      </c>
      <c r="P3335" t="str">
        <f>CompilDonnées[[#This Row],[Ref_Module]]&amp;CompilDonnées[[#This Row],[HarvestingDate]]</f>
        <v>110545852</v>
      </c>
    </row>
    <row r="3336" spans="1:16">
      <c r="A3336" s="5">
        <v>45815</v>
      </c>
      <c r="B3336">
        <v>116</v>
      </c>
      <c r="C3336" t="s">
        <v>76</v>
      </c>
      <c r="D3336">
        <v>4</v>
      </c>
      <c r="E3336">
        <v>100</v>
      </c>
      <c r="F3336" t="s">
        <v>1</v>
      </c>
      <c r="G3336" s="6">
        <v>45852</v>
      </c>
      <c r="H3336">
        <v>37</v>
      </c>
      <c r="I3336">
        <f>ROUND(CompilDonnées[[#This Row],[CultureDuration_days]]/7,0)</f>
        <v>5</v>
      </c>
      <c r="J3336">
        <v>2038</v>
      </c>
      <c r="K3336" t="str">
        <f>_xlfn.CONCAT(WEEKNUM(CompilDonnées[[#This Row],[PlantationDate]]), " ", YEAR(CompilDonnées[[#This Row],[PlantationDate]]))</f>
        <v>23 2025</v>
      </c>
      <c r="L3336" t="str">
        <f>CONCATENATE(MONTH(CompilDonnées[[#This Row],[PlantationDate]])," ", YEAR(CompilDonnées[[#This Row],[PlantationDate]]))</f>
        <v>6 2025</v>
      </c>
      <c r="M3336" t="str">
        <f>CONCATENATE(MONTH(CompilDonnées[[#This Row],[HarvestingDate]])," ", YEAR(CompilDonnées[[#This Row],[HarvestingDate]]))</f>
        <v>7 2025</v>
      </c>
      <c r="N3336">
        <f>_xlfn.NUMBERVALUE(CompilDonnées[[#This Row],[FarmID]]&amp;CompilDonnées[[#This Row],[ModuleNumber]]&amp;CompilDonnées[[#This Row],[PlantationDate]])</f>
        <v>116445815</v>
      </c>
      <c r="O3336" t="str">
        <f>CompilDonnées[[#This Row],[FarmID]]&amp;CompilDonnées[[#This Row],[ModuleNumber]]</f>
        <v>1164</v>
      </c>
      <c r="P3336" t="str">
        <f>CompilDonnées[[#This Row],[Ref_Module]]&amp;CompilDonnées[[#This Row],[HarvestingDate]]</f>
        <v>116445852</v>
      </c>
    </row>
    <row r="3337" spans="1:16">
      <c r="A3337" s="5">
        <v>45815</v>
      </c>
      <c r="B3337">
        <v>115</v>
      </c>
      <c r="C3337" t="s">
        <v>121</v>
      </c>
      <c r="D3337">
        <v>1</v>
      </c>
      <c r="E3337">
        <v>100</v>
      </c>
      <c r="F3337" t="s">
        <v>1</v>
      </c>
      <c r="G3337" s="6">
        <v>45852</v>
      </c>
      <c r="H3337">
        <v>37</v>
      </c>
      <c r="I3337">
        <f>ROUND(CompilDonnées[[#This Row],[CultureDuration_days]]/7,0)</f>
        <v>5</v>
      </c>
      <c r="J3337">
        <v>1837</v>
      </c>
      <c r="K3337" t="str">
        <f>_xlfn.CONCAT(WEEKNUM(CompilDonnées[[#This Row],[PlantationDate]]), " ", YEAR(CompilDonnées[[#This Row],[PlantationDate]]))</f>
        <v>23 2025</v>
      </c>
      <c r="L3337" t="str">
        <f>CONCATENATE(MONTH(CompilDonnées[[#This Row],[PlantationDate]])," ", YEAR(CompilDonnées[[#This Row],[PlantationDate]]))</f>
        <v>6 2025</v>
      </c>
      <c r="M3337" t="str">
        <f>CONCATENATE(MONTH(CompilDonnées[[#This Row],[HarvestingDate]])," ", YEAR(CompilDonnées[[#This Row],[HarvestingDate]]))</f>
        <v>7 2025</v>
      </c>
      <c r="N3337">
        <f>_xlfn.NUMBERVALUE(CompilDonnées[[#This Row],[FarmID]]&amp;CompilDonnées[[#This Row],[ModuleNumber]]&amp;CompilDonnées[[#This Row],[PlantationDate]])</f>
        <v>115145815</v>
      </c>
      <c r="O3337" t="str">
        <f>CompilDonnées[[#This Row],[FarmID]]&amp;CompilDonnées[[#This Row],[ModuleNumber]]</f>
        <v>1151</v>
      </c>
      <c r="P3337" t="str">
        <f>CompilDonnées[[#This Row],[Ref_Module]]&amp;CompilDonnées[[#This Row],[HarvestingDate]]</f>
        <v>115145852</v>
      </c>
    </row>
    <row r="3338" spans="1:16">
      <c r="A3338" s="5">
        <v>45815</v>
      </c>
      <c r="B3338">
        <v>53</v>
      </c>
      <c r="C3338" t="s">
        <v>83</v>
      </c>
      <c r="D3338">
        <v>6</v>
      </c>
      <c r="E3338">
        <v>100</v>
      </c>
      <c r="F3338" t="s">
        <v>1</v>
      </c>
      <c r="G3338" s="6">
        <v>45859</v>
      </c>
      <c r="H3338">
        <v>44</v>
      </c>
      <c r="I3338">
        <f>ROUND(CompilDonnées[[#This Row],[CultureDuration_days]]/7,0)</f>
        <v>6</v>
      </c>
      <c r="J3338">
        <v>2308</v>
      </c>
      <c r="K3338" t="str">
        <f>_xlfn.CONCAT(WEEKNUM(CompilDonnées[[#This Row],[PlantationDate]]), " ", YEAR(CompilDonnées[[#This Row],[PlantationDate]]))</f>
        <v>23 2025</v>
      </c>
      <c r="L3338" t="str">
        <f>CONCATENATE(MONTH(CompilDonnées[[#This Row],[PlantationDate]])," ", YEAR(CompilDonnées[[#This Row],[PlantationDate]]))</f>
        <v>6 2025</v>
      </c>
      <c r="M3338" t="str">
        <f>CONCATENATE(MONTH(CompilDonnées[[#This Row],[HarvestingDate]])," ", YEAR(CompilDonnées[[#This Row],[HarvestingDate]]))</f>
        <v>7 2025</v>
      </c>
      <c r="N3338">
        <f>_xlfn.NUMBERVALUE(CompilDonnées[[#This Row],[FarmID]]&amp;CompilDonnées[[#This Row],[ModuleNumber]]&amp;CompilDonnées[[#This Row],[PlantationDate]])</f>
        <v>53645815</v>
      </c>
      <c r="O3338" t="str">
        <f>CompilDonnées[[#This Row],[FarmID]]&amp;CompilDonnées[[#This Row],[ModuleNumber]]</f>
        <v>536</v>
      </c>
      <c r="P3338" t="str">
        <f>CompilDonnées[[#This Row],[Ref_Module]]&amp;CompilDonnées[[#This Row],[HarvestingDate]]</f>
        <v>53645859</v>
      </c>
    </row>
    <row r="3339" spans="1:16">
      <c r="A3339" s="5">
        <v>45815</v>
      </c>
      <c r="B3339">
        <v>62</v>
      </c>
      <c r="C3339" t="s">
        <v>124</v>
      </c>
      <c r="D3339">
        <v>4</v>
      </c>
      <c r="E3339">
        <v>100</v>
      </c>
      <c r="F3339" t="s">
        <v>1</v>
      </c>
      <c r="G3339" s="6">
        <v>45860</v>
      </c>
      <c r="H3339">
        <v>45</v>
      </c>
      <c r="I3339">
        <f>ROUND(CompilDonnées[[#This Row],[CultureDuration_days]]/7,0)</f>
        <v>6</v>
      </c>
      <c r="J3339">
        <v>1561</v>
      </c>
      <c r="K3339" t="str">
        <f>_xlfn.CONCAT(WEEKNUM(CompilDonnées[[#This Row],[PlantationDate]]), " ", YEAR(CompilDonnées[[#This Row],[PlantationDate]]))</f>
        <v>23 2025</v>
      </c>
      <c r="L3339" t="str">
        <f>CONCATENATE(MONTH(CompilDonnées[[#This Row],[PlantationDate]])," ", YEAR(CompilDonnées[[#This Row],[PlantationDate]]))</f>
        <v>6 2025</v>
      </c>
      <c r="M3339" t="str">
        <f>CONCATENATE(MONTH(CompilDonnées[[#This Row],[HarvestingDate]])," ", YEAR(CompilDonnées[[#This Row],[HarvestingDate]]))</f>
        <v>7 2025</v>
      </c>
      <c r="N3339">
        <f>_xlfn.NUMBERVALUE(CompilDonnées[[#This Row],[FarmID]]&amp;CompilDonnées[[#This Row],[ModuleNumber]]&amp;CompilDonnées[[#This Row],[PlantationDate]])</f>
        <v>62445815</v>
      </c>
      <c r="O3339" t="str">
        <f>CompilDonnées[[#This Row],[FarmID]]&amp;CompilDonnées[[#This Row],[ModuleNumber]]</f>
        <v>624</v>
      </c>
      <c r="P3339" t="str">
        <f>CompilDonnées[[#This Row],[Ref_Module]]&amp;CompilDonnées[[#This Row],[HarvestingDate]]</f>
        <v>62445860</v>
      </c>
    </row>
    <row r="3340" spans="1:16">
      <c r="A3340" s="5">
        <v>45815</v>
      </c>
      <c r="B3340">
        <v>60</v>
      </c>
      <c r="C3340" t="s">
        <v>113</v>
      </c>
      <c r="D3340">
        <v>5</v>
      </c>
      <c r="E3340">
        <v>100</v>
      </c>
      <c r="F3340" t="s">
        <v>1</v>
      </c>
      <c r="G3340" s="6">
        <v>45854</v>
      </c>
      <c r="H3340">
        <v>39</v>
      </c>
      <c r="I3340">
        <f>ROUND(CompilDonnées[[#This Row],[CultureDuration_days]]/7,0)</f>
        <v>6</v>
      </c>
      <c r="J3340">
        <v>1800</v>
      </c>
      <c r="K3340" t="str">
        <f>_xlfn.CONCAT(WEEKNUM(CompilDonnées[[#This Row],[PlantationDate]]), " ", YEAR(CompilDonnées[[#This Row],[PlantationDate]]))</f>
        <v>23 2025</v>
      </c>
      <c r="L3340" t="str">
        <f>CONCATENATE(MONTH(CompilDonnées[[#This Row],[PlantationDate]])," ", YEAR(CompilDonnées[[#This Row],[PlantationDate]]))</f>
        <v>6 2025</v>
      </c>
      <c r="M3340" t="str">
        <f>CONCATENATE(MONTH(CompilDonnées[[#This Row],[HarvestingDate]])," ", YEAR(CompilDonnées[[#This Row],[HarvestingDate]]))</f>
        <v>7 2025</v>
      </c>
      <c r="N3340">
        <f>_xlfn.NUMBERVALUE(CompilDonnées[[#This Row],[FarmID]]&amp;CompilDonnées[[#This Row],[ModuleNumber]]&amp;CompilDonnées[[#This Row],[PlantationDate]])</f>
        <v>60545815</v>
      </c>
      <c r="O3340" t="str">
        <f>CompilDonnées[[#This Row],[FarmID]]&amp;CompilDonnées[[#This Row],[ModuleNumber]]</f>
        <v>605</v>
      </c>
      <c r="P3340" t="str">
        <f>CompilDonnées[[#This Row],[Ref_Module]]&amp;CompilDonnées[[#This Row],[HarvestingDate]]</f>
        <v>60545854</v>
      </c>
    </row>
    <row r="3341" spans="1:16">
      <c r="A3341" s="5">
        <v>45815</v>
      </c>
      <c r="B3341">
        <v>82</v>
      </c>
      <c r="C3341" t="s">
        <v>17</v>
      </c>
      <c r="D3341">
        <v>2</v>
      </c>
      <c r="E3341">
        <v>100</v>
      </c>
      <c r="F3341" t="s">
        <v>1</v>
      </c>
      <c r="G3341" s="6">
        <v>45853</v>
      </c>
      <c r="H3341">
        <v>38</v>
      </c>
      <c r="I3341">
        <f>ROUND(CompilDonnées[[#This Row],[CultureDuration_days]]/7,0)</f>
        <v>5</v>
      </c>
      <c r="J3341">
        <v>3397</v>
      </c>
      <c r="K3341" t="str">
        <f>_xlfn.CONCAT(WEEKNUM(CompilDonnées[[#This Row],[PlantationDate]]), " ", YEAR(CompilDonnées[[#This Row],[PlantationDate]]))</f>
        <v>23 2025</v>
      </c>
      <c r="L3341" t="str">
        <f>CONCATENATE(MONTH(CompilDonnées[[#This Row],[PlantationDate]])," ", YEAR(CompilDonnées[[#This Row],[PlantationDate]]))</f>
        <v>6 2025</v>
      </c>
      <c r="M3341" t="str">
        <f>CONCATENATE(MONTH(CompilDonnées[[#This Row],[HarvestingDate]])," ", YEAR(CompilDonnées[[#This Row],[HarvestingDate]]))</f>
        <v>7 2025</v>
      </c>
      <c r="N3341">
        <f>_xlfn.NUMBERVALUE(CompilDonnées[[#This Row],[FarmID]]&amp;CompilDonnées[[#This Row],[ModuleNumber]]&amp;CompilDonnées[[#This Row],[PlantationDate]])</f>
        <v>82245815</v>
      </c>
      <c r="O3341" t="str">
        <f>CompilDonnées[[#This Row],[FarmID]]&amp;CompilDonnées[[#This Row],[ModuleNumber]]</f>
        <v>822</v>
      </c>
      <c r="P3341" t="str">
        <f>CompilDonnées[[#This Row],[Ref_Module]]&amp;CompilDonnées[[#This Row],[HarvestingDate]]</f>
        <v>82245853</v>
      </c>
    </row>
    <row r="3342" spans="1:16">
      <c r="A3342" s="5">
        <v>45815</v>
      </c>
      <c r="B3342">
        <v>83</v>
      </c>
      <c r="C3342" t="s">
        <v>73</v>
      </c>
      <c r="D3342">
        <v>2</v>
      </c>
      <c r="E3342">
        <v>100</v>
      </c>
      <c r="F3342" t="s">
        <v>1</v>
      </c>
      <c r="G3342" s="6">
        <v>45853</v>
      </c>
      <c r="H3342">
        <v>38</v>
      </c>
      <c r="I3342">
        <f>ROUND(CompilDonnées[[#This Row],[CultureDuration_days]]/7,0)</f>
        <v>5</v>
      </c>
      <c r="J3342">
        <v>2980</v>
      </c>
      <c r="K3342" t="str">
        <f>_xlfn.CONCAT(WEEKNUM(CompilDonnées[[#This Row],[PlantationDate]]), " ", YEAR(CompilDonnées[[#This Row],[PlantationDate]]))</f>
        <v>23 2025</v>
      </c>
      <c r="L3342" t="str">
        <f>CONCATENATE(MONTH(CompilDonnées[[#This Row],[PlantationDate]])," ", YEAR(CompilDonnées[[#This Row],[PlantationDate]]))</f>
        <v>6 2025</v>
      </c>
      <c r="M3342" t="str">
        <f>CONCATENATE(MONTH(CompilDonnées[[#This Row],[HarvestingDate]])," ", YEAR(CompilDonnées[[#This Row],[HarvestingDate]]))</f>
        <v>7 2025</v>
      </c>
      <c r="N3342">
        <f>_xlfn.NUMBERVALUE(CompilDonnées[[#This Row],[FarmID]]&amp;CompilDonnées[[#This Row],[ModuleNumber]]&amp;CompilDonnées[[#This Row],[PlantationDate]])</f>
        <v>83245815</v>
      </c>
      <c r="O3342" t="str">
        <f>CompilDonnées[[#This Row],[FarmID]]&amp;CompilDonnées[[#This Row],[ModuleNumber]]</f>
        <v>832</v>
      </c>
      <c r="P3342" t="str">
        <f>CompilDonnées[[#This Row],[Ref_Module]]&amp;CompilDonnées[[#This Row],[HarvestingDate]]</f>
        <v>83245853</v>
      </c>
    </row>
    <row r="3343" spans="1:16">
      <c r="A3343" s="5">
        <v>45815</v>
      </c>
      <c r="B3343">
        <v>64</v>
      </c>
      <c r="C3343" t="s">
        <v>47</v>
      </c>
      <c r="D3343">
        <v>4</v>
      </c>
      <c r="E3343">
        <v>100</v>
      </c>
      <c r="F3343" t="s">
        <v>1</v>
      </c>
      <c r="G3343" s="6">
        <v>45860</v>
      </c>
      <c r="H3343">
        <v>45</v>
      </c>
      <c r="I3343">
        <f>ROUND(CompilDonnées[[#This Row],[CultureDuration_days]]/7,0)</f>
        <v>6</v>
      </c>
      <c r="J3343">
        <v>2344</v>
      </c>
      <c r="K3343" t="str">
        <f>_xlfn.CONCAT(WEEKNUM(CompilDonnées[[#This Row],[PlantationDate]]), " ", YEAR(CompilDonnées[[#This Row],[PlantationDate]]))</f>
        <v>23 2025</v>
      </c>
      <c r="L3343" t="str">
        <f>CONCATENATE(MONTH(CompilDonnées[[#This Row],[PlantationDate]])," ", YEAR(CompilDonnées[[#This Row],[PlantationDate]]))</f>
        <v>6 2025</v>
      </c>
      <c r="M3343" t="str">
        <f>CONCATENATE(MONTH(CompilDonnées[[#This Row],[HarvestingDate]])," ", YEAR(CompilDonnées[[#This Row],[HarvestingDate]]))</f>
        <v>7 2025</v>
      </c>
      <c r="N3343">
        <f>_xlfn.NUMBERVALUE(CompilDonnées[[#This Row],[FarmID]]&amp;CompilDonnées[[#This Row],[ModuleNumber]]&amp;CompilDonnées[[#This Row],[PlantationDate]])</f>
        <v>64445815</v>
      </c>
      <c r="O3343" t="str">
        <f>CompilDonnées[[#This Row],[FarmID]]&amp;CompilDonnées[[#This Row],[ModuleNumber]]</f>
        <v>644</v>
      </c>
      <c r="P3343" t="str">
        <f>CompilDonnées[[#This Row],[Ref_Module]]&amp;CompilDonnées[[#This Row],[HarvestingDate]]</f>
        <v>64445860</v>
      </c>
    </row>
    <row r="3344" spans="1:16">
      <c r="A3344" s="5">
        <v>45815</v>
      </c>
      <c r="B3344">
        <v>55</v>
      </c>
      <c r="C3344" t="s">
        <v>60</v>
      </c>
      <c r="D3344">
        <v>5</v>
      </c>
      <c r="E3344">
        <v>100</v>
      </c>
      <c r="F3344" t="s">
        <v>1</v>
      </c>
      <c r="G3344" s="6">
        <v>45860</v>
      </c>
      <c r="H3344">
        <v>45</v>
      </c>
      <c r="I3344">
        <f>ROUND(CompilDonnées[[#This Row],[CultureDuration_days]]/7,0)</f>
        <v>6</v>
      </c>
      <c r="J3344">
        <v>2308</v>
      </c>
      <c r="K3344" t="str">
        <f>_xlfn.CONCAT(WEEKNUM(CompilDonnées[[#This Row],[PlantationDate]]), " ", YEAR(CompilDonnées[[#This Row],[PlantationDate]]))</f>
        <v>23 2025</v>
      </c>
      <c r="L3344" t="str">
        <f>CONCATENATE(MONTH(CompilDonnées[[#This Row],[PlantationDate]])," ", YEAR(CompilDonnées[[#This Row],[PlantationDate]]))</f>
        <v>6 2025</v>
      </c>
      <c r="M3344" t="str">
        <f>CONCATENATE(MONTH(CompilDonnées[[#This Row],[HarvestingDate]])," ", YEAR(CompilDonnées[[#This Row],[HarvestingDate]]))</f>
        <v>7 2025</v>
      </c>
      <c r="N3344">
        <f>_xlfn.NUMBERVALUE(CompilDonnées[[#This Row],[FarmID]]&amp;CompilDonnées[[#This Row],[ModuleNumber]]&amp;CompilDonnées[[#This Row],[PlantationDate]])</f>
        <v>55545815</v>
      </c>
      <c r="O3344" t="str">
        <f>CompilDonnées[[#This Row],[FarmID]]&amp;CompilDonnées[[#This Row],[ModuleNumber]]</f>
        <v>555</v>
      </c>
      <c r="P3344" t="str">
        <f>CompilDonnées[[#This Row],[Ref_Module]]&amp;CompilDonnées[[#This Row],[HarvestingDate]]</f>
        <v>55545860</v>
      </c>
    </row>
    <row r="3345" spans="1:16">
      <c r="A3345" s="5">
        <v>45815</v>
      </c>
      <c r="B3345">
        <v>67</v>
      </c>
      <c r="C3345" t="s">
        <v>28</v>
      </c>
      <c r="D3345">
        <v>6</v>
      </c>
      <c r="E3345">
        <v>100</v>
      </c>
      <c r="F3345" t="s">
        <v>1</v>
      </c>
      <c r="G3345" s="6">
        <v>45854</v>
      </c>
      <c r="H3345">
        <v>39</v>
      </c>
      <c r="I3345">
        <f>ROUND(CompilDonnées[[#This Row],[CultureDuration_days]]/7,0)</f>
        <v>6</v>
      </c>
      <c r="J3345">
        <v>2626</v>
      </c>
      <c r="K3345" t="str">
        <f>_xlfn.CONCAT(WEEKNUM(CompilDonnées[[#This Row],[PlantationDate]]), " ", YEAR(CompilDonnées[[#This Row],[PlantationDate]]))</f>
        <v>23 2025</v>
      </c>
      <c r="L3345" t="str">
        <f>CONCATENATE(MONTH(CompilDonnées[[#This Row],[PlantationDate]])," ", YEAR(CompilDonnées[[#This Row],[PlantationDate]]))</f>
        <v>6 2025</v>
      </c>
      <c r="M3345" t="str">
        <f>CONCATENATE(MONTH(CompilDonnées[[#This Row],[HarvestingDate]])," ", YEAR(CompilDonnées[[#This Row],[HarvestingDate]]))</f>
        <v>7 2025</v>
      </c>
      <c r="N3345">
        <f>_xlfn.NUMBERVALUE(CompilDonnées[[#This Row],[FarmID]]&amp;CompilDonnées[[#This Row],[ModuleNumber]]&amp;CompilDonnées[[#This Row],[PlantationDate]])</f>
        <v>67645815</v>
      </c>
      <c r="O3345" t="str">
        <f>CompilDonnées[[#This Row],[FarmID]]&amp;CompilDonnées[[#This Row],[ModuleNumber]]</f>
        <v>676</v>
      </c>
      <c r="P3345" t="str">
        <f>CompilDonnées[[#This Row],[Ref_Module]]&amp;CompilDonnées[[#This Row],[HarvestingDate]]</f>
        <v>67645854</v>
      </c>
    </row>
    <row r="3346" spans="1:16">
      <c r="A3346" s="5">
        <v>45815</v>
      </c>
      <c r="B3346">
        <v>74</v>
      </c>
      <c r="C3346" t="s">
        <v>21</v>
      </c>
      <c r="D3346">
        <v>5</v>
      </c>
      <c r="E3346">
        <v>100</v>
      </c>
      <c r="F3346" t="s">
        <v>1</v>
      </c>
      <c r="G3346" s="6">
        <v>45854</v>
      </c>
      <c r="H3346">
        <v>39</v>
      </c>
      <c r="I3346">
        <f>ROUND(CompilDonnées[[#This Row],[CultureDuration_days]]/7,0)</f>
        <v>6</v>
      </c>
      <c r="J3346">
        <v>3012</v>
      </c>
      <c r="K3346" t="str">
        <f>_xlfn.CONCAT(WEEKNUM(CompilDonnées[[#This Row],[PlantationDate]]), " ", YEAR(CompilDonnées[[#This Row],[PlantationDate]]))</f>
        <v>23 2025</v>
      </c>
      <c r="L3346" t="str">
        <f>CONCATENATE(MONTH(CompilDonnées[[#This Row],[PlantationDate]])," ", YEAR(CompilDonnées[[#This Row],[PlantationDate]]))</f>
        <v>6 2025</v>
      </c>
      <c r="M3346" t="str">
        <f>CONCATENATE(MONTH(CompilDonnées[[#This Row],[HarvestingDate]])," ", YEAR(CompilDonnées[[#This Row],[HarvestingDate]]))</f>
        <v>7 2025</v>
      </c>
      <c r="N3346">
        <f>_xlfn.NUMBERVALUE(CompilDonnées[[#This Row],[FarmID]]&amp;CompilDonnées[[#This Row],[ModuleNumber]]&amp;CompilDonnées[[#This Row],[PlantationDate]])</f>
        <v>74545815</v>
      </c>
      <c r="O3346" t="str">
        <f>CompilDonnées[[#This Row],[FarmID]]&amp;CompilDonnées[[#This Row],[ModuleNumber]]</f>
        <v>745</v>
      </c>
      <c r="P3346" t="str">
        <f>CompilDonnées[[#This Row],[Ref_Module]]&amp;CompilDonnées[[#This Row],[HarvestingDate]]</f>
        <v>74545854</v>
      </c>
    </row>
    <row r="3347" spans="1:16">
      <c r="A3347" s="5">
        <v>45815</v>
      </c>
      <c r="B3347">
        <v>89</v>
      </c>
      <c r="C3347" t="s">
        <v>67</v>
      </c>
      <c r="D3347">
        <v>2</v>
      </c>
      <c r="E3347">
        <v>100</v>
      </c>
      <c r="F3347" t="s">
        <v>1</v>
      </c>
      <c r="G3347" s="6">
        <v>45853</v>
      </c>
      <c r="H3347">
        <v>38</v>
      </c>
      <c r="I3347">
        <f>ROUND(CompilDonnées[[#This Row],[CultureDuration_days]]/7,0)</f>
        <v>5</v>
      </c>
      <c r="J3347">
        <v>2393</v>
      </c>
      <c r="K3347" t="str">
        <f>_xlfn.CONCAT(WEEKNUM(CompilDonnées[[#This Row],[PlantationDate]]), " ", YEAR(CompilDonnées[[#This Row],[PlantationDate]]))</f>
        <v>23 2025</v>
      </c>
      <c r="L3347" t="str">
        <f>CONCATENATE(MONTH(CompilDonnées[[#This Row],[PlantationDate]])," ", YEAR(CompilDonnées[[#This Row],[PlantationDate]]))</f>
        <v>6 2025</v>
      </c>
      <c r="M3347" t="str">
        <f>CONCATENATE(MONTH(CompilDonnées[[#This Row],[HarvestingDate]])," ", YEAR(CompilDonnées[[#This Row],[HarvestingDate]]))</f>
        <v>7 2025</v>
      </c>
      <c r="N3347">
        <f>_xlfn.NUMBERVALUE(CompilDonnées[[#This Row],[FarmID]]&amp;CompilDonnées[[#This Row],[ModuleNumber]]&amp;CompilDonnées[[#This Row],[PlantationDate]])</f>
        <v>89245815</v>
      </c>
      <c r="O3347" t="str">
        <f>CompilDonnées[[#This Row],[FarmID]]&amp;CompilDonnées[[#This Row],[ModuleNumber]]</f>
        <v>892</v>
      </c>
      <c r="P3347" t="str">
        <f>CompilDonnées[[#This Row],[Ref_Module]]&amp;CompilDonnées[[#This Row],[HarvestingDate]]</f>
        <v>89245853</v>
      </c>
    </row>
    <row r="3348" spans="1:16">
      <c r="A3348" s="5">
        <v>45815</v>
      </c>
      <c r="B3348">
        <v>60</v>
      </c>
      <c r="C3348" t="s">
        <v>113</v>
      </c>
      <c r="D3348">
        <v>4</v>
      </c>
      <c r="E3348">
        <v>100</v>
      </c>
      <c r="F3348" t="s">
        <v>1</v>
      </c>
      <c r="G3348" s="6">
        <v>45854</v>
      </c>
      <c r="H3348">
        <v>39</v>
      </c>
      <c r="I3348">
        <f>ROUND(CompilDonnées[[#This Row],[CultureDuration_days]]/7,0)</f>
        <v>6</v>
      </c>
      <c r="J3348">
        <v>2094</v>
      </c>
      <c r="K3348" t="str">
        <f>_xlfn.CONCAT(WEEKNUM(CompilDonnées[[#This Row],[PlantationDate]]), " ", YEAR(CompilDonnées[[#This Row],[PlantationDate]]))</f>
        <v>23 2025</v>
      </c>
      <c r="L3348" t="str">
        <f>CONCATENATE(MONTH(CompilDonnées[[#This Row],[PlantationDate]])," ", YEAR(CompilDonnées[[#This Row],[PlantationDate]]))</f>
        <v>6 2025</v>
      </c>
      <c r="M3348" t="str">
        <f>CONCATENATE(MONTH(CompilDonnées[[#This Row],[HarvestingDate]])," ", YEAR(CompilDonnées[[#This Row],[HarvestingDate]]))</f>
        <v>7 2025</v>
      </c>
      <c r="N3348">
        <f>_xlfn.NUMBERVALUE(CompilDonnées[[#This Row],[FarmID]]&amp;CompilDonnées[[#This Row],[ModuleNumber]]&amp;CompilDonnées[[#This Row],[PlantationDate]])</f>
        <v>60445815</v>
      </c>
      <c r="O3348" t="str">
        <f>CompilDonnées[[#This Row],[FarmID]]&amp;CompilDonnées[[#This Row],[ModuleNumber]]</f>
        <v>604</v>
      </c>
      <c r="P3348" t="str">
        <f>CompilDonnées[[#This Row],[Ref_Module]]&amp;CompilDonnées[[#This Row],[HarvestingDate]]</f>
        <v>60445854</v>
      </c>
    </row>
    <row r="3349" spans="1:16">
      <c r="A3349" s="5">
        <v>45815</v>
      </c>
      <c r="B3349">
        <v>54</v>
      </c>
      <c r="C3349" t="s">
        <v>39</v>
      </c>
      <c r="D3349">
        <v>3</v>
      </c>
      <c r="E3349">
        <v>100</v>
      </c>
      <c r="F3349" t="s">
        <v>1</v>
      </c>
      <c r="G3349" s="6">
        <v>45868</v>
      </c>
      <c r="H3349">
        <v>53</v>
      </c>
      <c r="I3349">
        <f>ROUND(CompilDonnées[[#This Row],[CultureDuration_days]]/7,0)</f>
        <v>8</v>
      </c>
      <c r="J3349">
        <v>1525</v>
      </c>
      <c r="K3349" t="str">
        <f>_xlfn.CONCAT(WEEKNUM(CompilDonnées[[#This Row],[PlantationDate]]), " ", YEAR(CompilDonnées[[#This Row],[PlantationDate]]))</f>
        <v>23 2025</v>
      </c>
      <c r="L3349" t="str">
        <f>CONCATENATE(MONTH(CompilDonnées[[#This Row],[PlantationDate]])," ", YEAR(CompilDonnées[[#This Row],[PlantationDate]]))</f>
        <v>6 2025</v>
      </c>
      <c r="M3349" t="str">
        <f>CONCATENATE(MONTH(CompilDonnées[[#This Row],[HarvestingDate]])," ", YEAR(CompilDonnées[[#This Row],[HarvestingDate]]))</f>
        <v>7 2025</v>
      </c>
      <c r="N3349">
        <f>_xlfn.NUMBERVALUE(CompilDonnées[[#This Row],[FarmID]]&amp;CompilDonnées[[#This Row],[ModuleNumber]]&amp;CompilDonnées[[#This Row],[PlantationDate]])</f>
        <v>54345815</v>
      </c>
      <c r="O3349" t="str">
        <f>CompilDonnées[[#This Row],[FarmID]]&amp;CompilDonnées[[#This Row],[ModuleNumber]]</f>
        <v>543</v>
      </c>
      <c r="P3349" t="str">
        <f>CompilDonnées[[#This Row],[Ref_Module]]&amp;CompilDonnées[[#This Row],[HarvestingDate]]</f>
        <v>54345868</v>
      </c>
    </row>
    <row r="3350" spans="1:16">
      <c r="A3350" s="5">
        <v>45815</v>
      </c>
      <c r="B3350">
        <v>61</v>
      </c>
      <c r="C3350" t="s">
        <v>95</v>
      </c>
      <c r="D3350">
        <v>5</v>
      </c>
      <c r="E3350">
        <v>100</v>
      </c>
      <c r="F3350" t="s">
        <v>1</v>
      </c>
      <c r="G3350" s="6">
        <v>45860</v>
      </c>
      <c r="H3350">
        <v>45</v>
      </c>
      <c r="I3350">
        <f>ROUND(CompilDonnées[[#This Row],[CultureDuration_days]]/7,0)</f>
        <v>6</v>
      </c>
      <c r="J3350">
        <v>1414</v>
      </c>
      <c r="K3350" t="str">
        <f>_xlfn.CONCAT(WEEKNUM(CompilDonnées[[#This Row],[PlantationDate]]), " ", YEAR(CompilDonnées[[#This Row],[PlantationDate]]))</f>
        <v>23 2025</v>
      </c>
      <c r="L3350" t="str">
        <f>CONCATENATE(MONTH(CompilDonnées[[#This Row],[PlantationDate]])," ", YEAR(CompilDonnées[[#This Row],[PlantationDate]]))</f>
        <v>6 2025</v>
      </c>
      <c r="M3350" t="str">
        <f>CONCATENATE(MONTH(CompilDonnées[[#This Row],[HarvestingDate]])," ", YEAR(CompilDonnées[[#This Row],[HarvestingDate]]))</f>
        <v>7 2025</v>
      </c>
      <c r="N3350">
        <f>_xlfn.NUMBERVALUE(CompilDonnées[[#This Row],[FarmID]]&amp;CompilDonnées[[#This Row],[ModuleNumber]]&amp;CompilDonnées[[#This Row],[PlantationDate]])</f>
        <v>61545815</v>
      </c>
      <c r="O3350" t="str">
        <f>CompilDonnées[[#This Row],[FarmID]]&amp;CompilDonnées[[#This Row],[ModuleNumber]]</f>
        <v>615</v>
      </c>
      <c r="P3350" t="str">
        <f>CompilDonnées[[#This Row],[Ref_Module]]&amp;CompilDonnées[[#This Row],[HarvestingDate]]</f>
        <v>61545860</v>
      </c>
    </row>
    <row r="3351" spans="1:16">
      <c r="A3351" s="5">
        <v>45815</v>
      </c>
      <c r="B3351">
        <v>34</v>
      </c>
      <c r="C3351" t="s">
        <v>68</v>
      </c>
      <c r="D3351">
        <v>6</v>
      </c>
      <c r="E3351">
        <v>100</v>
      </c>
      <c r="F3351" t="s">
        <v>1</v>
      </c>
      <c r="G3351" s="6">
        <v>45831</v>
      </c>
      <c r="H3351">
        <v>16</v>
      </c>
      <c r="I3351">
        <f>ROUND(CompilDonnées[[#This Row],[CultureDuration_days]]/7,0)</f>
        <v>2</v>
      </c>
      <c r="J3351">
        <v>0</v>
      </c>
      <c r="K3351" t="str">
        <f>_xlfn.CONCAT(WEEKNUM(CompilDonnées[[#This Row],[PlantationDate]]), " ", YEAR(CompilDonnées[[#This Row],[PlantationDate]]))</f>
        <v>23 2025</v>
      </c>
      <c r="L3351" t="str">
        <f>CONCATENATE(MONTH(CompilDonnées[[#This Row],[PlantationDate]])," ", YEAR(CompilDonnées[[#This Row],[PlantationDate]]))</f>
        <v>6 2025</v>
      </c>
      <c r="M3351" t="str">
        <f>CONCATENATE(MONTH(CompilDonnées[[#This Row],[HarvestingDate]])," ", YEAR(CompilDonnées[[#This Row],[HarvestingDate]]))</f>
        <v>6 2025</v>
      </c>
      <c r="N3351">
        <f>_xlfn.NUMBERVALUE(CompilDonnées[[#This Row],[FarmID]]&amp;CompilDonnées[[#This Row],[ModuleNumber]]&amp;CompilDonnées[[#This Row],[PlantationDate]])</f>
        <v>34645815</v>
      </c>
      <c r="O3351" t="str">
        <f>CompilDonnées[[#This Row],[FarmID]]&amp;CompilDonnées[[#This Row],[ModuleNumber]]</f>
        <v>346</v>
      </c>
      <c r="P3351" t="str">
        <f>CompilDonnées[[#This Row],[Ref_Module]]&amp;CompilDonnées[[#This Row],[HarvestingDate]]</f>
        <v>34645831</v>
      </c>
    </row>
    <row r="3352" spans="1:16">
      <c r="A3352" s="5">
        <v>45815</v>
      </c>
      <c r="B3352">
        <v>63</v>
      </c>
      <c r="C3352" t="s">
        <v>98</v>
      </c>
      <c r="D3352">
        <v>5</v>
      </c>
      <c r="E3352">
        <v>100</v>
      </c>
      <c r="F3352" t="s">
        <v>1</v>
      </c>
      <c r="G3352" s="6">
        <v>45860</v>
      </c>
      <c r="H3352">
        <v>45</v>
      </c>
      <c r="I3352">
        <f>ROUND(CompilDonnées[[#This Row],[CultureDuration_days]]/7,0)</f>
        <v>6</v>
      </c>
      <c r="J3352">
        <v>1385</v>
      </c>
      <c r="K3352" t="str">
        <f>_xlfn.CONCAT(WEEKNUM(CompilDonnées[[#This Row],[PlantationDate]]), " ", YEAR(CompilDonnées[[#This Row],[PlantationDate]]))</f>
        <v>23 2025</v>
      </c>
      <c r="L3352" t="str">
        <f>CONCATENATE(MONTH(CompilDonnées[[#This Row],[PlantationDate]])," ", YEAR(CompilDonnées[[#This Row],[PlantationDate]]))</f>
        <v>6 2025</v>
      </c>
      <c r="M3352" t="str">
        <f>CONCATENATE(MONTH(CompilDonnées[[#This Row],[HarvestingDate]])," ", YEAR(CompilDonnées[[#This Row],[HarvestingDate]]))</f>
        <v>7 2025</v>
      </c>
      <c r="N3352">
        <f>_xlfn.NUMBERVALUE(CompilDonnées[[#This Row],[FarmID]]&amp;CompilDonnées[[#This Row],[ModuleNumber]]&amp;CompilDonnées[[#This Row],[PlantationDate]])</f>
        <v>63545815</v>
      </c>
      <c r="O3352" t="str">
        <f>CompilDonnées[[#This Row],[FarmID]]&amp;CompilDonnées[[#This Row],[ModuleNumber]]</f>
        <v>635</v>
      </c>
      <c r="P3352" t="str">
        <f>CompilDonnées[[#This Row],[Ref_Module]]&amp;CompilDonnées[[#This Row],[HarvestingDate]]</f>
        <v>63545860</v>
      </c>
    </row>
    <row r="3353" spans="1:16">
      <c r="A3353" s="5">
        <v>45815</v>
      </c>
      <c r="B3353">
        <v>65</v>
      </c>
      <c r="C3353" t="s">
        <v>36</v>
      </c>
      <c r="D3353">
        <v>4</v>
      </c>
      <c r="E3353">
        <v>100</v>
      </c>
      <c r="F3353" t="s">
        <v>1</v>
      </c>
      <c r="G3353" s="6">
        <v>45860</v>
      </c>
      <c r="H3353">
        <v>45</v>
      </c>
      <c r="I3353">
        <f>ROUND(CompilDonnées[[#This Row],[CultureDuration_days]]/7,0)</f>
        <v>6</v>
      </c>
      <c r="J3353">
        <v>2416</v>
      </c>
      <c r="K3353" t="str">
        <f>_xlfn.CONCAT(WEEKNUM(CompilDonnées[[#This Row],[PlantationDate]]), " ", YEAR(CompilDonnées[[#This Row],[PlantationDate]]))</f>
        <v>23 2025</v>
      </c>
      <c r="L3353" t="str">
        <f>CONCATENATE(MONTH(CompilDonnées[[#This Row],[PlantationDate]])," ", YEAR(CompilDonnées[[#This Row],[PlantationDate]]))</f>
        <v>6 2025</v>
      </c>
      <c r="M3353" t="str">
        <f>CONCATENATE(MONTH(CompilDonnées[[#This Row],[HarvestingDate]])," ", YEAR(CompilDonnées[[#This Row],[HarvestingDate]]))</f>
        <v>7 2025</v>
      </c>
      <c r="N3353">
        <f>_xlfn.NUMBERVALUE(CompilDonnées[[#This Row],[FarmID]]&amp;CompilDonnées[[#This Row],[ModuleNumber]]&amp;CompilDonnées[[#This Row],[PlantationDate]])</f>
        <v>65445815</v>
      </c>
      <c r="O3353" t="str">
        <f>CompilDonnées[[#This Row],[FarmID]]&amp;CompilDonnées[[#This Row],[ModuleNumber]]</f>
        <v>654</v>
      </c>
      <c r="P3353" t="str">
        <f>CompilDonnées[[#This Row],[Ref_Module]]&amp;CompilDonnées[[#This Row],[HarvestingDate]]</f>
        <v>65445860</v>
      </c>
    </row>
    <row r="3354" spans="1:16">
      <c r="A3354" s="5">
        <v>45815</v>
      </c>
      <c r="B3354">
        <v>96</v>
      </c>
      <c r="C3354" t="s">
        <v>125</v>
      </c>
      <c r="D3354">
        <v>2</v>
      </c>
      <c r="E3354">
        <v>100</v>
      </c>
      <c r="F3354" t="s">
        <v>1</v>
      </c>
      <c r="G3354" s="6">
        <v>45853</v>
      </c>
      <c r="H3354">
        <v>38</v>
      </c>
      <c r="I3354">
        <f>ROUND(CompilDonnées[[#This Row],[CultureDuration_days]]/7,0)</f>
        <v>5</v>
      </c>
      <c r="J3354">
        <v>2011</v>
      </c>
      <c r="K3354" t="str">
        <f>_xlfn.CONCAT(WEEKNUM(CompilDonnées[[#This Row],[PlantationDate]]), " ", YEAR(CompilDonnées[[#This Row],[PlantationDate]]))</f>
        <v>23 2025</v>
      </c>
      <c r="L3354" t="str">
        <f>CONCATENATE(MONTH(CompilDonnées[[#This Row],[PlantationDate]])," ", YEAR(CompilDonnées[[#This Row],[PlantationDate]]))</f>
        <v>6 2025</v>
      </c>
      <c r="M3354" t="str">
        <f>CONCATENATE(MONTH(CompilDonnées[[#This Row],[HarvestingDate]])," ", YEAR(CompilDonnées[[#This Row],[HarvestingDate]]))</f>
        <v>7 2025</v>
      </c>
      <c r="N3354">
        <f>_xlfn.NUMBERVALUE(CompilDonnées[[#This Row],[FarmID]]&amp;CompilDonnées[[#This Row],[ModuleNumber]]&amp;CompilDonnées[[#This Row],[PlantationDate]])</f>
        <v>96245815</v>
      </c>
      <c r="O3354" t="str">
        <f>CompilDonnées[[#This Row],[FarmID]]&amp;CompilDonnées[[#This Row],[ModuleNumber]]</f>
        <v>962</v>
      </c>
      <c r="P3354" t="str">
        <f>CompilDonnées[[#This Row],[Ref_Module]]&amp;CompilDonnées[[#This Row],[HarvestingDate]]</f>
        <v>96245853</v>
      </c>
    </row>
    <row r="3355" spans="1:16">
      <c r="A3355" s="5">
        <v>45819</v>
      </c>
      <c r="B3355">
        <v>109</v>
      </c>
      <c r="C3355" t="s">
        <v>87</v>
      </c>
      <c r="D3355">
        <v>4</v>
      </c>
      <c r="E3355">
        <v>100</v>
      </c>
      <c r="F3355" t="s">
        <v>1</v>
      </c>
      <c r="G3355" s="6">
        <v>45862</v>
      </c>
      <c r="H3355">
        <v>43</v>
      </c>
      <c r="I3355">
        <f>ROUND(CompilDonnées[[#This Row],[CultureDuration_days]]/7,0)</f>
        <v>6</v>
      </c>
      <c r="J3355">
        <v>3885</v>
      </c>
      <c r="K3355" t="str">
        <f>_xlfn.CONCAT(WEEKNUM(CompilDonnées[[#This Row],[PlantationDate]]), " ", YEAR(CompilDonnées[[#This Row],[PlantationDate]]))</f>
        <v>24 2025</v>
      </c>
      <c r="L3355" t="str">
        <f>CONCATENATE(MONTH(CompilDonnées[[#This Row],[PlantationDate]])," ", YEAR(CompilDonnées[[#This Row],[PlantationDate]]))</f>
        <v>6 2025</v>
      </c>
      <c r="M3355" t="str">
        <f>CONCATENATE(MONTH(CompilDonnées[[#This Row],[HarvestingDate]])," ", YEAR(CompilDonnées[[#This Row],[HarvestingDate]]))</f>
        <v>7 2025</v>
      </c>
      <c r="N3355">
        <f>_xlfn.NUMBERVALUE(CompilDonnées[[#This Row],[FarmID]]&amp;CompilDonnées[[#This Row],[ModuleNumber]]&amp;CompilDonnées[[#This Row],[PlantationDate]])</f>
        <v>109445819</v>
      </c>
      <c r="O3355" t="str">
        <f>CompilDonnées[[#This Row],[FarmID]]&amp;CompilDonnées[[#This Row],[ModuleNumber]]</f>
        <v>1094</v>
      </c>
      <c r="P3355" t="str">
        <f>CompilDonnées[[#This Row],[Ref_Module]]&amp;CompilDonnées[[#This Row],[HarvestingDate]]</f>
        <v>109445862</v>
      </c>
    </row>
    <row r="3356" spans="1:16">
      <c r="A3356" s="5">
        <v>45819</v>
      </c>
      <c r="B3356">
        <v>108</v>
      </c>
      <c r="C3356" t="s">
        <v>58</v>
      </c>
      <c r="D3356">
        <v>2</v>
      </c>
      <c r="E3356">
        <v>100</v>
      </c>
      <c r="F3356" t="s">
        <v>1</v>
      </c>
      <c r="G3356" s="6">
        <v>45852</v>
      </c>
      <c r="H3356">
        <v>33</v>
      </c>
      <c r="I3356">
        <f>ROUND(CompilDonnées[[#This Row],[CultureDuration_days]]/7,0)</f>
        <v>5</v>
      </c>
      <c r="J3356">
        <v>2692</v>
      </c>
      <c r="K3356" t="str">
        <f>_xlfn.CONCAT(WEEKNUM(CompilDonnées[[#This Row],[PlantationDate]]), " ", YEAR(CompilDonnées[[#This Row],[PlantationDate]]))</f>
        <v>24 2025</v>
      </c>
      <c r="L3356" t="str">
        <f>CONCATENATE(MONTH(CompilDonnées[[#This Row],[PlantationDate]])," ", YEAR(CompilDonnées[[#This Row],[PlantationDate]]))</f>
        <v>6 2025</v>
      </c>
      <c r="M3356" t="str">
        <f>CONCATENATE(MONTH(CompilDonnées[[#This Row],[HarvestingDate]])," ", YEAR(CompilDonnées[[#This Row],[HarvestingDate]]))</f>
        <v>7 2025</v>
      </c>
      <c r="N3356">
        <f>_xlfn.NUMBERVALUE(CompilDonnées[[#This Row],[FarmID]]&amp;CompilDonnées[[#This Row],[ModuleNumber]]&amp;CompilDonnées[[#This Row],[PlantationDate]])</f>
        <v>108245819</v>
      </c>
      <c r="O3356" t="str">
        <f>CompilDonnées[[#This Row],[FarmID]]&amp;CompilDonnées[[#This Row],[ModuleNumber]]</f>
        <v>1082</v>
      </c>
      <c r="P3356" t="str">
        <f>CompilDonnées[[#This Row],[Ref_Module]]&amp;CompilDonnées[[#This Row],[HarvestingDate]]</f>
        <v>108245852</v>
      </c>
    </row>
    <row r="3357" spans="1:16">
      <c r="A3357" s="5">
        <v>45819</v>
      </c>
      <c r="B3357">
        <v>97</v>
      </c>
      <c r="C3357" t="s">
        <v>78</v>
      </c>
      <c r="D3357">
        <v>6</v>
      </c>
      <c r="E3357">
        <v>100</v>
      </c>
      <c r="F3357" t="s">
        <v>1</v>
      </c>
      <c r="G3357" s="6">
        <v>45861</v>
      </c>
      <c r="H3357">
        <v>42</v>
      </c>
      <c r="I3357">
        <f>ROUND(CompilDonnées[[#This Row],[CultureDuration_days]]/7,0)</f>
        <v>6</v>
      </c>
      <c r="J3357">
        <v>3036</v>
      </c>
      <c r="K3357" t="str">
        <f>_xlfn.CONCAT(WEEKNUM(CompilDonnées[[#This Row],[PlantationDate]]), " ", YEAR(CompilDonnées[[#This Row],[PlantationDate]]))</f>
        <v>24 2025</v>
      </c>
      <c r="L3357" t="str">
        <f>CONCATENATE(MONTH(CompilDonnées[[#This Row],[PlantationDate]])," ", YEAR(CompilDonnées[[#This Row],[PlantationDate]]))</f>
        <v>6 2025</v>
      </c>
      <c r="M3357" t="str">
        <f>CONCATENATE(MONTH(CompilDonnées[[#This Row],[HarvestingDate]])," ", YEAR(CompilDonnées[[#This Row],[HarvestingDate]]))</f>
        <v>7 2025</v>
      </c>
      <c r="N3357">
        <f>_xlfn.NUMBERVALUE(CompilDonnées[[#This Row],[FarmID]]&amp;CompilDonnées[[#This Row],[ModuleNumber]]&amp;CompilDonnées[[#This Row],[PlantationDate]])</f>
        <v>97645819</v>
      </c>
      <c r="O3357" t="str">
        <f>CompilDonnées[[#This Row],[FarmID]]&amp;CompilDonnées[[#This Row],[ModuleNumber]]</f>
        <v>976</v>
      </c>
      <c r="P3357" t="str">
        <f>CompilDonnées[[#This Row],[Ref_Module]]&amp;CompilDonnées[[#This Row],[HarvestingDate]]</f>
        <v>97645861</v>
      </c>
    </row>
    <row r="3358" spans="1:16">
      <c r="A3358" s="5">
        <v>45819</v>
      </c>
      <c r="B3358">
        <v>93</v>
      </c>
      <c r="C3358" t="s">
        <v>10</v>
      </c>
      <c r="D3358">
        <v>6</v>
      </c>
      <c r="E3358">
        <v>100</v>
      </c>
      <c r="F3358" t="s">
        <v>1</v>
      </c>
      <c r="G3358" s="6">
        <v>45860</v>
      </c>
      <c r="H3358">
        <v>41</v>
      </c>
      <c r="I3358">
        <f>ROUND(CompilDonnées[[#This Row],[CultureDuration_days]]/7,0)</f>
        <v>6</v>
      </c>
      <c r="J3358">
        <v>3360</v>
      </c>
      <c r="K3358" t="str">
        <f>_xlfn.CONCAT(WEEKNUM(CompilDonnées[[#This Row],[PlantationDate]]), " ", YEAR(CompilDonnées[[#This Row],[PlantationDate]]))</f>
        <v>24 2025</v>
      </c>
      <c r="L3358" t="str">
        <f>CONCATENATE(MONTH(CompilDonnées[[#This Row],[PlantationDate]])," ", YEAR(CompilDonnées[[#This Row],[PlantationDate]]))</f>
        <v>6 2025</v>
      </c>
      <c r="M3358" t="str">
        <f>CONCATENATE(MONTH(CompilDonnées[[#This Row],[HarvestingDate]])," ", YEAR(CompilDonnées[[#This Row],[HarvestingDate]]))</f>
        <v>7 2025</v>
      </c>
      <c r="N3358">
        <f>_xlfn.NUMBERVALUE(CompilDonnées[[#This Row],[FarmID]]&amp;CompilDonnées[[#This Row],[ModuleNumber]]&amp;CompilDonnées[[#This Row],[PlantationDate]])</f>
        <v>93645819</v>
      </c>
      <c r="O3358" t="str">
        <f>CompilDonnées[[#This Row],[FarmID]]&amp;CompilDonnées[[#This Row],[ModuleNumber]]</f>
        <v>936</v>
      </c>
      <c r="P3358" t="str">
        <f>CompilDonnées[[#This Row],[Ref_Module]]&amp;CompilDonnées[[#This Row],[HarvestingDate]]</f>
        <v>93645860</v>
      </c>
    </row>
    <row r="3359" spans="1:16">
      <c r="A3359" s="5">
        <v>45819</v>
      </c>
      <c r="B3359">
        <v>89</v>
      </c>
      <c r="C3359" t="s">
        <v>67</v>
      </c>
      <c r="D3359">
        <v>1</v>
      </c>
      <c r="E3359">
        <v>100</v>
      </c>
      <c r="F3359" t="s">
        <v>1</v>
      </c>
      <c r="G3359" s="6">
        <v>45861</v>
      </c>
      <c r="H3359">
        <v>42</v>
      </c>
      <c r="I3359">
        <f>ROUND(CompilDonnées[[#This Row],[CultureDuration_days]]/7,0)</f>
        <v>6</v>
      </c>
      <c r="J3359">
        <v>2561</v>
      </c>
      <c r="K3359" t="str">
        <f>_xlfn.CONCAT(WEEKNUM(CompilDonnées[[#This Row],[PlantationDate]]), " ", YEAR(CompilDonnées[[#This Row],[PlantationDate]]))</f>
        <v>24 2025</v>
      </c>
      <c r="L3359" t="str">
        <f>CONCATENATE(MONTH(CompilDonnées[[#This Row],[PlantationDate]])," ", YEAR(CompilDonnées[[#This Row],[PlantationDate]]))</f>
        <v>6 2025</v>
      </c>
      <c r="M3359" t="str">
        <f>CONCATENATE(MONTH(CompilDonnées[[#This Row],[HarvestingDate]])," ", YEAR(CompilDonnées[[#This Row],[HarvestingDate]]))</f>
        <v>7 2025</v>
      </c>
      <c r="N3359">
        <f>_xlfn.NUMBERVALUE(CompilDonnées[[#This Row],[FarmID]]&amp;CompilDonnées[[#This Row],[ModuleNumber]]&amp;CompilDonnées[[#This Row],[PlantationDate]])</f>
        <v>89145819</v>
      </c>
      <c r="O3359" t="str">
        <f>CompilDonnées[[#This Row],[FarmID]]&amp;CompilDonnées[[#This Row],[ModuleNumber]]</f>
        <v>891</v>
      </c>
      <c r="P3359" t="str">
        <f>CompilDonnées[[#This Row],[Ref_Module]]&amp;CompilDonnées[[#This Row],[HarvestingDate]]</f>
        <v>89145861</v>
      </c>
    </row>
    <row r="3360" spans="1:16">
      <c r="A3360" s="5">
        <v>45819</v>
      </c>
      <c r="B3360">
        <v>86</v>
      </c>
      <c r="C3360" t="s">
        <v>37</v>
      </c>
      <c r="D3360">
        <v>1</v>
      </c>
      <c r="E3360">
        <v>100</v>
      </c>
      <c r="F3360" t="s">
        <v>1</v>
      </c>
      <c r="G3360" s="6">
        <v>45853</v>
      </c>
      <c r="H3360">
        <v>34</v>
      </c>
      <c r="I3360">
        <f>ROUND(CompilDonnées[[#This Row],[CultureDuration_days]]/7,0)</f>
        <v>5</v>
      </c>
      <c r="J3360">
        <v>2465</v>
      </c>
      <c r="K3360" t="str">
        <f>_xlfn.CONCAT(WEEKNUM(CompilDonnées[[#This Row],[PlantationDate]]), " ", YEAR(CompilDonnées[[#This Row],[PlantationDate]]))</f>
        <v>24 2025</v>
      </c>
      <c r="L3360" t="str">
        <f>CONCATENATE(MONTH(CompilDonnées[[#This Row],[PlantationDate]])," ", YEAR(CompilDonnées[[#This Row],[PlantationDate]]))</f>
        <v>6 2025</v>
      </c>
      <c r="M3360" t="str">
        <f>CONCATENATE(MONTH(CompilDonnées[[#This Row],[HarvestingDate]])," ", YEAR(CompilDonnées[[#This Row],[HarvestingDate]]))</f>
        <v>7 2025</v>
      </c>
      <c r="N3360">
        <f>_xlfn.NUMBERVALUE(CompilDonnées[[#This Row],[FarmID]]&amp;CompilDonnées[[#This Row],[ModuleNumber]]&amp;CompilDonnées[[#This Row],[PlantationDate]])</f>
        <v>86145819</v>
      </c>
      <c r="O3360" t="str">
        <f>CompilDonnées[[#This Row],[FarmID]]&amp;CompilDonnées[[#This Row],[ModuleNumber]]</f>
        <v>861</v>
      </c>
      <c r="P3360" t="str">
        <f>CompilDonnées[[#This Row],[Ref_Module]]&amp;CompilDonnées[[#This Row],[HarvestingDate]]</f>
        <v>86145853</v>
      </c>
    </row>
    <row r="3361" spans="1:16">
      <c r="A3361" s="5">
        <v>45819</v>
      </c>
      <c r="B3361">
        <v>85</v>
      </c>
      <c r="C3361" t="s">
        <v>56</v>
      </c>
      <c r="D3361">
        <v>5</v>
      </c>
      <c r="E3361">
        <v>100</v>
      </c>
      <c r="F3361" t="s">
        <v>1</v>
      </c>
      <c r="G3361" s="6">
        <v>45861</v>
      </c>
      <c r="H3361">
        <v>42</v>
      </c>
      <c r="I3361">
        <f>ROUND(CompilDonnées[[#This Row],[CultureDuration_days]]/7,0)</f>
        <v>6</v>
      </c>
      <c r="J3361">
        <v>2782</v>
      </c>
      <c r="K3361" t="str">
        <f>_xlfn.CONCAT(WEEKNUM(CompilDonnées[[#This Row],[PlantationDate]]), " ", YEAR(CompilDonnées[[#This Row],[PlantationDate]]))</f>
        <v>24 2025</v>
      </c>
      <c r="L3361" t="str">
        <f>CONCATENATE(MONTH(CompilDonnées[[#This Row],[PlantationDate]])," ", YEAR(CompilDonnées[[#This Row],[PlantationDate]]))</f>
        <v>6 2025</v>
      </c>
      <c r="M3361" t="str">
        <f>CONCATENATE(MONTH(CompilDonnées[[#This Row],[HarvestingDate]])," ", YEAR(CompilDonnées[[#This Row],[HarvestingDate]]))</f>
        <v>7 2025</v>
      </c>
      <c r="N3361">
        <f>_xlfn.NUMBERVALUE(CompilDonnées[[#This Row],[FarmID]]&amp;CompilDonnées[[#This Row],[ModuleNumber]]&amp;CompilDonnées[[#This Row],[PlantationDate]])</f>
        <v>85545819</v>
      </c>
      <c r="O3361" t="str">
        <f>CompilDonnées[[#This Row],[FarmID]]&amp;CompilDonnées[[#This Row],[ModuleNumber]]</f>
        <v>855</v>
      </c>
      <c r="P3361" t="str">
        <f>CompilDonnées[[#This Row],[Ref_Module]]&amp;CompilDonnées[[#This Row],[HarvestingDate]]</f>
        <v>85545861</v>
      </c>
    </row>
    <row r="3362" spans="1:16">
      <c r="A3362" s="5">
        <v>45819</v>
      </c>
      <c r="B3362">
        <v>98</v>
      </c>
      <c r="C3362" t="s">
        <v>79</v>
      </c>
      <c r="D3362">
        <v>2</v>
      </c>
      <c r="E3362">
        <v>100</v>
      </c>
      <c r="F3362" t="s">
        <v>1</v>
      </c>
      <c r="G3362" s="6">
        <v>45861</v>
      </c>
      <c r="H3362">
        <v>42</v>
      </c>
      <c r="I3362">
        <f>ROUND(CompilDonnées[[#This Row],[CultureDuration_days]]/7,0)</f>
        <v>6</v>
      </c>
      <c r="J3362">
        <v>2787</v>
      </c>
      <c r="K3362" t="str">
        <f>_xlfn.CONCAT(WEEKNUM(CompilDonnées[[#This Row],[PlantationDate]]), " ", YEAR(CompilDonnées[[#This Row],[PlantationDate]]))</f>
        <v>24 2025</v>
      </c>
      <c r="L3362" t="str">
        <f>CONCATENATE(MONTH(CompilDonnées[[#This Row],[PlantationDate]])," ", YEAR(CompilDonnées[[#This Row],[PlantationDate]]))</f>
        <v>6 2025</v>
      </c>
      <c r="M3362" t="str">
        <f>CONCATENATE(MONTH(CompilDonnées[[#This Row],[HarvestingDate]])," ", YEAR(CompilDonnées[[#This Row],[HarvestingDate]]))</f>
        <v>7 2025</v>
      </c>
      <c r="N3362">
        <f>_xlfn.NUMBERVALUE(CompilDonnées[[#This Row],[FarmID]]&amp;CompilDonnées[[#This Row],[ModuleNumber]]&amp;CompilDonnées[[#This Row],[PlantationDate]])</f>
        <v>98245819</v>
      </c>
      <c r="O3362" t="str">
        <f>CompilDonnées[[#This Row],[FarmID]]&amp;CompilDonnées[[#This Row],[ModuleNumber]]</f>
        <v>982</v>
      </c>
      <c r="P3362" t="str">
        <f>CompilDonnées[[#This Row],[Ref_Module]]&amp;CompilDonnées[[#This Row],[HarvestingDate]]</f>
        <v>98245861</v>
      </c>
    </row>
    <row r="3363" spans="1:16">
      <c r="A3363" s="5">
        <v>45819</v>
      </c>
      <c r="B3363">
        <v>90</v>
      </c>
      <c r="C3363" t="s">
        <v>72</v>
      </c>
      <c r="D3363">
        <v>2</v>
      </c>
      <c r="E3363">
        <v>100</v>
      </c>
      <c r="F3363" t="s">
        <v>1</v>
      </c>
      <c r="G3363" s="6">
        <v>45861</v>
      </c>
      <c r="H3363">
        <v>42</v>
      </c>
      <c r="I3363">
        <f>ROUND(CompilDonnées[[#This Row],[CultureDuration_days]]/7,0)</f>
        <v>6</v>
      </c>
      <c r="J3363">
        <v>2418</v>
      </c>
      <c r="K3363" t="str">
        <f>_xlfn.CONCAT(WEEKNUM(CompilDonnées[[#This Row],[PlantationDate]]), " ", YEAR(CompilDonnées[[#This Row],[PlantationDate]]))</f>
        <v>24 2025</v>
      </c>
      <c r="L3363" t="str">
        <f>CONCATENATE(MONTH(CompilDonnées[[#This Row],[PlantationDate]])," ", YEAR(CompilDonnées[[#This Row],[PlantationDate]]))</f>
        <v>6 2025</v>
      </c>
      <c r="M3363" t="str">
        <f>CONCATENATE(MONTH(CompilDonnées[[#This Row],[HarvestingDate]])," ", YEAR(CompilDonnées[[#This Row],[HarvestingDate]]))</f>
        <v>7 2025</v>
      </c>
      <c r="N3363">
        <f>_xlfn.NUMBERVALUE(CompilDonnées[[#This Row],[FarmID]]&amp;CompilDonnées[[#This Row],[ModuleNumber]]&amp;CompilDonnées[[#This Row],[PlantationDate]])</f>
        <v>90245819</v>
      </c>
      <c r="O3363" t="str">
        <f>CompilDonnées[[#This Row],[FarmID]]&amp;CompilDonnées[[#This Row],[ModuleNumber]]</f>
        <v>902</v>
      </c>
      <c r="P3363" t="str">
        <f>CompilDonnées[[#This Row],[Ref_Module]]&amp;CompilDonnées[[#This Row],[HarvestingDate]]</f>
        <v>90245861</v>
      </c>
    </row>
    <row r="3364" spans="1:16">
      <c r="A3364" s="5">
        <v>45819</v>
      </c>
      <c r="B3364">
        <v>115</v>
      </c>
      <c r="C3364" t="s">
        <v>121</v>
      </c>
      <c r="D3364">
        <v>2</v>
      </c>
      <c r="E3364">
        <v>100</v>
      </c>
      <c r="F3364" t="s">
        <v>1</v>
      </c>
      <c r="G3364" s="6">
        <v>45862</v>
      </c>
      <c r="H3364">
        <v>43</v>
      </c>
      <c r="I3364">
        <f>ROUND(CompilDonnées[[#This Row],[CultureDuration_days]]/7,0)</f>
        <v>6</v>
      </c>
      <c r="J3364">
        <v>2246</v>
      </c>
      <c r="K3364" t="str">
        <f>_xlfn.CONCAT(WEEKNUM(CompilDonnées[[#This Row],[PlantationDate]]), " ", YEAR(CompilDonnées[[#This Row],[PlantationDate]]))</f>
        <v>24 2025</v>
      </c>
      <c r="L3364" t="str">
        <f>CONCATENATE(MONTH(CompilDonnées[[#This Row],[PlantationDate]])," ", YEAR(CompilDonnées[[#This Row],[PlantationDate]]))</f>
        <v>6 2025</v>
      </c>
      <c r="M3364" t="str">
        <f>CONCATENATE(MONTH(CompilDonnées[[#This Row],[HarvestingDate]])," ", YEAR(CompilDonnées[[#This Row],[HarvestingDate]]))</f>
        <v>7 2025</v>
      </c>
      <c r="N3364">
        <f>_xlfn.NUMBERVALUE(CompilDonnées[[#This Row],[FarmID]]&amp;CompilDonnées[[#This Row],[ModuleNumber]]&amp;CompilDonnées[[#This Row],[PlantationDate]])</f>
        <v>115245819</v>
      </c>
      <c r="O3364" t="str">
        <f>CompilDonnées[[#This Row],[FarmID]]&amp;CompilDonnées[[#This Row],[ModuleNumber]]</f>
        <v>1152</v>
      </c>
      <c r="P3364" t="str">
        <f>CompilDonnées[[#This Row],[Ref_Module]]&amp;CompilDonnées[[#This Row],[HarvestingDate]]</f>
        <v>115245862</v>
      </c>
    </row>
    <row r="3365" spans="1:16">
      <c r="A3365" s="5">
        <v>45819</v>
      </c>
      <c r="B3365">
        <v>110</v>
      </c>
      <c r="C3365" t="s">
        <v>14</v>
      </c>
      <c r="D3365">
        <v>6</v>
      </c>
      <c r="E3365">
        <v>100</v>
      </c>
      <c r="F3365" t="s">
        <v>1</v>
      </c>
      <c r="G3365" s="6">
        <v>45862</v>
      </c>
      <c r="H3365">
        <v>43</v>
      </c>
      <c r="I3365">
        <f>ROUND(CompilDonnées[[#This Row],[CultureDuration_days]]/7,0)</f>
        <v>6</v>
      </c>
      <c r="J3365">
        <v>4044</v>
      </c>
      <c r="K3365" t="str">
        <f>_xlfn.CONCAT(WEEKNUM(CompilDonnées[[#This Row],[PlantationDate]]), " ", YEAR(CompilDonnées[[#This Row],[PlantationDate]]))</f>
        <v>24 2025</v>
      </c>
      <c r="L3365" t="str">
        <f>CONCATENATE(MONTH(CompilDonnées[[#This Row],[PlantationDate]])," ", YEAR(CompilDonnées[[#This Row],[PlantationDate]]))</f>
        <v>6 2025</v>
      </c>
      <c r="M3365" t="str">
        <f>CONCATENATE(MONTH(CompilDonnées[[#This Row],[HarvestingDate]])," ", YEAR(CompilDonnées[[#This Row],[HarvestingDate]]))</f>
        <v>7 2025</v>
      </c>
      <c r="N3365">
        <f>_xlfn.NUMBERVALUE(CompilDonnées[[#This Row],[FarmID]]&amp;CompilDonnées[[#This Row],[ModuleNumber]]&amp;CompilDonnées[[#This Row],[PlantationDate]])</f>
        <v>110645819</v>
      </c>
      <c r="O3365" t="str">
        <f>CompilDonnées[[#This Row],[FarmID]]&amp;CompilDonnées[[#This Row],[ModuleNumber]]</f>
        <v>1106</v>
      </c>
      <c r="P3365" t="str">
        <f>CompilDonnées[[#This Row],[Ref_Module]]&amp;CompilDonnées[[#This Row],[HarvestingDate]]</f>
        <v>110645862</v>
      </c>
    </row>
    <row r="3366" spans="1:16">
      <c r="A3366" s="5">
        <v>45819</v>
      </c>
      <c r="B3366">
        <v>111</v>
      </c>
      <c r="C3366" t="s">
        <v>41</v>
      </c>
      <c r="D3366">
        <v>3</v>
      </c>
      <c r="E3366">
        <v>100</v>
      </c>
      <c r="F3366" t="s">
        <v>1</v>
      </c>
      <c r="G3366" s="6">
        <v>45852</v>
      </c>
      <c r="H3366">
        <v>33</v>
      </c>
      <c r="I3366">
        <f>ROUND(CompilDonnées[[#This Row],[CultureDuration_days]]/7,0)</f>
        <v>5</v>
      </c>
      <c r="J3366">
        <v>2849</v>
      </c>
      <c r="K3366" t="str">
        <f>_xlfn.CONCAT(WEEKNUM(CompilDonnées[[#This Row],[PlantationDate]]), " ", YEAR(CompilDonnées[[#This Row],[PlantationDate]]))</f>
        <v>24 2025</v>
      </c>
      <c r="L3366" t="str">
        <f>CONCATENATE(MONTH(CompilDonnées[[#This Row],[PlantationDate]])," ", YEAR(CompilDonnées[[#This Row],[PlantationDate]]))</f>
        <v>6 2025</v>
      </c>
      <c r="M3366" t="str">
        <f>CONCATENATE(MONTH(CompilDonnées[[#This Row],[HarvestingDate]])," ", YEAR(CompilDonnées[[#This Row],[HarvestingDate]]))</f>
        <v>7 2025</v>
      </c>
      <c r="N3366">
        <f>_xlfn.NUMBERVALUE(CompilDonnées[[#This Row],[FarmID]]&amp;CompilDonnées[[#This Row],[ModuleNumber]]&amp;CompilDonnées[[#This Row],[PlantationDate]])</f>
        <v>111345819</v>
      </c>
      <c r="O3366" t="str">
        <f>CompilDonnées[[#This Row],[FarmID]]&amp;CompilDonnées[[#This Row],[ModuleNumber]]</f>
        <v>1113</v>
      </c>
      <c r="P3366" t="str">
        <f>CompilDonnées[[#This Row],[Ref_Module]]&amp;CompilDonnées[[#This Row],[HarvestingDate]]</f>
        <v>111345852</v>
      </c>
    </row>
    <row r="3367" spans="1:16">
      <c r="A3367" s="5">
        <v>45819</v>
      </c>
      <c r="B3367">
        <v>112</v>
      </c>
      <c r="C3367" t="s">
        <v>15</v>
      </c>
      <c r="D3367">
        <v>1</v>
      </c>
      <c r="E3367">
        <v>100</v>
      </c>
      <c r="F3367" t="s">
        <v>1</v>
      </c>
      <c r="G3367" s="6">
        <v>45852</v>
      </c>
      <c r="H3367">
        <v>33</v>
      </c>
      <c r="I3367">
        <f>ROUND(CompilDonnées[[#This Row],[CultureDuration_days]]/7,0)</f>
        <v>5</v>
      </c>
      <c r="J3367">
        <v>2745</v>
      </c>
      <c r="K3367" t="str">
        <f>_xlfn.CONCAT(WEEKNUM(CompilDonnées[[#This Row],[PlantationDate]]), " ", YEAR(CompilDonnées[[#This Row],[PlantationDate]]))</f>
        <v>24 2025</v>
      </c>
      <c r="L3367" t="str">
        <f>CONCATENATE(MONTH(CompilDonnées[[#This Row],[PlantationDate]])," ", YEAR(CompilDonnées[[#This Row],[PlantationDate]]))</f>
        <v>6 2025</v>
      </c>
      <c r="M3367" t="str">
        <f>CONCATENATE(MONTH(CompilDonnées[[#This Row],[HarvestingDate]])," ", YEAR(CompilDonnées[[#This Row],[HarvestingDate]]))</f>
        <v>7 2025</v>
      </c>
      <c r="N3367">
        <f>_xlfn.NUMBERVALUE(CompilDonnées[[#This Row],[FarmID]]&amp;CompilDonnées[[#This Row],[ModuleNumber]]&amp;CompilDonnées[[#This Row],[PlantationDate]])</f>
        <v>112145819</v>
      </c>
      <c r="O3367" t="str">
        <f>CompilDonnées[[#This Row],[FarmID]]&amp;CompilDonnées[[#This Row],[ModuleNumber]]</f>
        <v>1121</v>
      </c>
      <c r="P3367" t="str">
        <f>CompilDonnées[[#This Row],[Ref_Module]]&amp;CompilDonnées[[#This Row],[HarvestingDate]]</f>
        <v>112145852</v>
      </c>
    </row>
    <row r="3368" spans="1:16">
      <c r="A3368" s="5">
        <v>45819</v>
      </c>
      <c r="B3368">
        <v>113</v>
      </c>
      <c r="C3368" t="s">
        <v>16</v>
      </c>
      <c r="D3368">
        <v>2</v>
      </c>
      <c r="E3368">
        <v>100</v>
      </c>
      <c r="F3368" t="s">
        <v>1</v>
      </c>
      <c r="G3368" s="6">
        <v>45852</v>
      </c>
      <c r="H3368">
        <v>33</v>
      </c>
      <c r="I3368">
        <f>ROUND(CompilDonnées[[#This Row],[CultureDuration_days]]/7,0)</f>
        <v>5</v>
      </c>
      <c r="J3368">
        <v>3133</v>
      </c>
      <c r="K3368" t="str">
        <f>_xlfn.CONCAT(WEEKNUM(CompilDonnées[[#This Row],[PlantationDate]]), " ", YEAR(CompilDonnées[[#This Row],[PlantationDate]]))</f>
        <v>24 2025</v>
      </c>
      <c r="L3368" t="str">
        <f>CONCATENATE(MONTH(CompilDonnées[[#This Row],[PlantationDate]])," ", YEAR(CompilDonnées[[#This Row],[PlantationDate]]))</f>
        <v>6 2025</v>
      </c>
      <c r="M3368" t="str">
        <f>CONCATENATE(MONTH(CompilDonnées[[#This Row],[HarvestingDate]])," ", YEAR(CompilDonnées[[#This Row],[HarvestingDate]]))</f>
        <v>7 2025</v>
      </c>
      <c r="N3368">
        <f>_xlfn.NUMBERVALUE(CompilDonnées[[#This Row],[FarmID]]&amp;CompilDonnées[[#This Row],[ModuleNumber]]&amp;CompilDonnées[[#This Row],[PlantationDate]])</f>
        <v>113245819</v>
      </c>
      <c r="O3368" t="str">
        <f>CompilDonnées[[#This Row],[FarmID]]&amp;CompilDonnées[[#This Row],[ModuleNumber]]</f>
        <v>1132</v>
      </c>
      <c r="P3368" t="str">
        <f>CompilDonnées[[#This Row],[Ref_Module]]&amp;CompilDonnées[[#This Row],[HarvestingDate]]</f>
        <v>113245852</v>
      </c>
    </row>
    <row r="3369" spans="1:16">
      <c r="A3369" s="5">
        <v>45819</v>
      </c>
      <c r="B3369">
        <v>119</v>
      </c>
      <c r="C3369" t="s">
        <v>59</v>
      </c>
      <c r="D3369">
        <v>3</v>
      </c>
      <c r="E3369">
        <v>100</v>
      </c>
      <c r="F3369" t="s">
        <v>1</v>
      </c>
      <c r="G3369" s="6">
        <v>45852</v>
      </c>
      <c r="H3369">
        <v>33</v>
      </c>
      <c r="I3369">
        <f>ROUND(CompilDonnées[[#This Row],[CultureDuration_days]]/7,0)</f>
        <v>5</v>
      </c>
      <c r="J3369">
        <v>2943</v>
      </c>
      <c r="K3369" t="str">
        <f>_xlfn.CONCAT(WEEKNUM(CompilDonnées[[#This Row],[PlantationDate]]), " ", YEAR(CompilDonnées[[#This Row],[PlantationDate]]))</f>
        <v>24 2025</v>
      </c>
      <c r="L3369" t="str">
        <f>CONCATENATE(MONTH(CompilDonnées[[#This Row],[PlantationDate]])," ", YEAR(CompilDonnées[[#This Row],[PlantationDate]]))</f>
        <v>6 2025</v>
      </c>
      <c r="M3369" t="str">
        <f>CONCATENATE(MONTH(CompilDonnées[[#This Row],[HarvestingDate]])," ", YEAR(CompilDonnées[[#This Row],[HarvestingDate]]))</f>
        <v>7 2025</v>
      </c>
      <c r="N3369">
        <f>_xlfn.NUMBERVALUE(CompilDonnées[[#This Row],[FarmID]]&amp;CompilDonnées[[#This Row],[ModuleNumber]]&amp;CompilDonnées[[#This Row],[PlantationDate]])</f>
        <v>119345819</v>
      </c>
      <c r="O3369" t="str">
        <f>CompilDonnées[[#This Row],[FarmID]]&amp;CompilDonnées[[#This Row],[ModuleNumber]]</f>
        <v>1193</v>
      </c>
      <c r="P3369" t="str">
        <f>CompilDonnées[[#This Row],[Ref_Module]]&amp;CompilDonnées[[#This Row],[HarvestingDate]]</f>
        <v>119345852</v>
      </c>
    </row>
    <row r="3370" spans="1:16">
      <c r="A3370" s="5">
        <v>45819</v>
      </c>
      <c r="B3370">
        <v>118</v>
      </c>
      <c r="C3370" t="s">
        <v>51</v>
      </c>
      <c r="D3370">
        <v>3</v>
      </c>
      <c r="E3370">
        <v>100</v>
      </c>
      <c r="F3370" t="s">
        <v>1</v>
      </c>
      <c r="G3370" s="6">
        <v>45852</v>
      </c>
      <c r="H3370">
        <v>33</v>
      </c>
      <c r="I3370">
        <f>ROUND(CompilDonnées[[#This Row],[CultureDuration_days]]/7,0)</f>
        <v>5</v>
      </c>
      <c r="J3370">
        <v>2703</v>
      </c>
      <c r="K3370" t="str">
        <f>_xlfn.CONCAT(WEEKNUM(CompilDonnées[[#This Row],[PlantationDate]]), " ", YEAR(CompilDonnées[[#This Row],[PlantationDate]]))</f>
        <v>24 2025</v>
      </c>
      <c r="L3370" t="str">
        <f>CONCATENATE(MONTH(CompilDonnées[[#This Row],[PlantationDate]])," ", YEAR(CompilDonnées[[#This Row],[PlantationDate]]))</f>
        <v>6 2025</v>
      </c>
      <c r="M3370" t="str">
        <f>CONCATENATE(MONTH(CompilDonnées[[#This Row],[HarvestingDate]])," ", YEAR(CompilDonnées[[#This Row],[HarvestingDate]]))</f>
        <v>7 2025</v>
      </c>
      <c r="N3370">
        <f>_xlfn.NUMBERVALUE(CompilDonnées[[#This Row],[FarmID]]&amp;CompilDonnées[[#This Row],[ModuleNumber]]&amp;CompilDonnées[[#This Row],[PlantationDate]])</f>
        <v>118345819</v>
      </c>
      <c r="O3370" t="str">
        <f>CompilDonnées[[#This Row],[FarmID]]&amp;CompilDonnées[[#This Row],[ModuleNumber]]</f>
        <v>1183</v>
      </c>
      <c r="P3370" t="str">
        <f>CompilDonnées[[#This Row],[Ref_Module]]&amp;CompilDonnées[[#This Row],[HarvestingDate]]</f>
        <v>118345852</v>
      </c>
    </row>
    <row r="3371" spans="1:16">
      <c r="A3371" s="5">
        <v>45819</v>
      </c>
      <c r="B3371">
        <v>117</v>
      </c>
      <c r="C3371" t="s">
        <v>11</v>
      </c>
      <c r="D3371">
        <v>4</v>
      </c>
      <c r="E3371">
        <v>100</v>
      </c>
      <c r="F3371" t="s">
        <v>1</v>
      </c>
      <c r="G3371" s="6">
        <v>45862</v>
      </c>
      <c r="H3371">
        <v>43</v>
      </c>
      <c r="I3371">
        <f>ROUND(CompilDonnées[[#This Row],[CultureDuration_days]]/7,0)</f>
        <v>6</v>
      </c>
      <c r="J3371">
        <v>3236</v>
      </c>
      <c r="K3371" t="str">
        <f>_xlfn.CONCAT(WEEKNUM(CompilDonnées[[#This Row],[PlantationDate]]), " ", YEAR(CompilDonnées[[#This Row],[PlantationDate]]))</f>
        <v>24 2025</v>
      </c>
      <c r="L3371" t="str">
        <f>CONCATENATE(MONTH(CompilDonnées[[#This Row],[PlantationDate]])," ", YEAR(CompilDonnées[[#This Row],[PlantationDate]]))</f>
        <v>6 2025</v>
      </c>
      <c r="M3371" t="str">
        <f>CONCATENATE(MONTH(CompilDonnées[[#This Row],[HarvestingDate]])," ", YEAR(CompilDonnées[[#This Row],[HarvestingDate]]))</f>
        <v>7 2025</v>
      </c>
      <c r="N3371">
        <f>_xlfn.NUMBERVALUE(CompilDonnées[[#This Row],[FarmID]]&amp;CompilDonnées[[#This Row],[ModuleNumber]]&amp;CompilDonnées[[#This Row],[PlantationDate]])</f>
        <v>117445819</v>
      </c>
      <c r="O3371" t="str">
        <f>CompilDonnées[[#This Row],[FarmID]]&amp;CompilDonnées[[#This Row],[ModuleNumber]]</f>
        <v>1174</v>
      </c>
      <c r="P3371" t="str">
        <f>CompilDonnées[[#This Row],[Ref_Module]]&amp;CompilDonnées[[#This Row],[HarvestingDate]]</f>
        <v>117445862</v>
      </c>
    </row>
    <row r="3372" spans="1:16">
      <c r="A3372" s="5">
        <v>45819</v>
      </c>
      <c r="B3372">
        <v>125</v>
      </c>
      <c r="C3372" t="s">
        <v>101</v>
      </c>
      <c r="D3372">
        <v>4</v>
      </c>
      <c r="E3372">
        <v>100</v>
      </c>
      <c r="F3372" t="s">
        <v>1</v>
      </c>
      <c r="G3372" s="6">
        <v>45852</v>
      </c>
      <c r="H3372">
        <v>33</v>
      </c>
      <c r="I3372">
        <f>ROUND(CompilDonnées[[#This Row],[CultureDuration_days]]/7,0)</f>
        <v>5</v>
      </c>
      <c r="J3372">
        <v>2548</v>
      </c>
      <c r="K3372" t="str">
        <f>_xlfn.CONCAT(WEEKNUM(CompilDonnées[[#This Row],[PlantationDate]]), " ", YEAR(CompilDonnées[[#This Row],[PlantationDate]]))</f>
        <v>24 2025</v>
      </c>
      <c r="L3372" t="str">
        <f>CONCATENATE(MONTH(CompilDonnées[[#This Row],[PlantationDate]])," ", YEAR(CompilDonnées[[#This Row],[PlantationDate]]))</f>
        <v>6 2025</v>
      </c>
      <c r="M3372" t="str">
        <f>CONCATENATE(MONTH(CompilDonnées[[#This Row],[HarvestingDate]])," ", YEAR(CompilDonnées[[#This Row],[HarvestingDate]]))</f>
        <v>7 2025</v>
      </c>
      <c r="N3372">
        <f>_xlfn.NUMBERVALUE(CompilDonnées[[#This Row],[FarmID]]&amp;CompilDonnées[[#This Row],[ModuleNumber]]&amp;CompilDonnées[[#This Row],[PlantationDate]])</f>
        <v>125445819</v>
      </c>
      <c r="O3372" t="str">
        <f>CompilDonnées[[#This Row],[FarmID]]&amp;CompilDonnées[[#This Row],[ModuleNumber]]</f>
        <v>1254</v>
      </c>
      <c r="P3372" t="str">
        <f>CompilDonnées[[#This Row],[Ref_Module]]&amp;CompilDonnées[[#This Row],[HarvestingDate]]</f>
        <v>125445852</v>
      </c>
    </row>
    <row r="3373" spans="1:16">
      <c r="A3373" s="5">
        <v>45819</v>
      </c>
      <c r="B3373">
        <v>133</v>
      </c>
      <c r="C3373" t="s">
        <v>99</v>
      </c>
      <c r="D3373">
        <v>5</v>
      </c>
      <c r="E3373">
        <v>100</v>
      </c>
      <c r="F3373" t="s">
        <v>1</v>
      </c>
      <c r="G3373" s="6">
        <v>45852</v>
      </c>
      <c r="H3373">
        <v>33</v>
      </c>
      <c r="I3373">
        <f>ROUND(CompilDonnées[[#This Row],[CultureDuration_days]]/7,0)</f>
        <v>5</v>
      </c>
      <c r="J3373">
        <v>2817</v>
      </c>
      <c r="K3373" t="str">
        <f>_xlfn.CONCAT(WEEKNUM(CompilDonnées[[#This Row],[PlantationDate]]), " ", YEAR(CompilDonnées[[#This Row],[PlantationDate]]))</f>
        <v>24 2025</v>
      </c>
      <c r="L3373" t="str">
        <f>CONCATENATE(MONTH(CompilDonnées[[#This Row],[PlantationDate]])," ", YEAR(CompilDonnées[[#This Row],[PlantationDate]]))</f>
        <v>6 2025</v>
      </c>
      <c r="M3373" t="str">
        <f>CONCATENATE(MONTH(CompilDonnées[[#This Row],[HarvestingDate]])," ", YEAR(CompilDonnées[[#This Row],[HarvestingDate]]))</f>
        <v>7 2025</v>
      </c>
      <c r="N3373">
        <f>_xlfn.NUMBERVALUE(CompilDonnées[[#This Row],[FarmID]]&amp;CompilDonnées[[#This Row],[ModuleNumber]]&amp;CompilDonnées[[#This Row],[PlantationDate]])</f>
        <v>133545819</v>
      </c>
      <c r="O3373" t="str">
        <f>CompilDonnées[[#This Row],[FarmID]]&amp;CompilDonnées[[#This Row],[ModuleNumber]]</f>
        <v>1335</v>
      </c>
      <c r="P3373" t="str">
        <f>CompilDonnées[[#This Row],[Ref_Module]]&amp;CompilDonnées[[#This Row],[HarvestingDate]]</f>
        <v>133545852</v>
      </c>
    </row>
    <row r="3374" spans="1:16">
      <c r="A3374" s="5">
        <v>45819</v>
      </c>
      <c r="B3374">
        <v>132</v>
      </c>
      <c r="C3374" t="s">
        <v>120</v>
      </c>
      <c r="D3374">
        <v>2</v>
      </c>
      <c r="E3374">
        <v>100</v>
      </c>
      <c r="F3374" t="s">
        <v>1</v>
      </c>
      <c r="G3374" s="6">
        <v>45863</v>
      </c>
      <c r="H3374">
        <v>44</v>
      </c>
      <c r="I3374">
        <f>ROUND(CompilDonnées[[#This Row],[CultureDuration_days]]/7,0)</f>
        <v>6</v>
      </c>
      <c r="J3374">
        <v>3819</v>
      </c>
      <c r="K3374" t="str">
        <f>_xlfn.CONCAT(WEEKNUM(CompilDonnées[[#This Row],[PlantationDate]]), " ", YEAR(CompilDonnées[[#This Row],[PlantationDate]]))</f>
        <v>24 2025</v>
      </c>
      <c r="L3374" t="str">
        <f>CONCATENATE(MONTH(CompilDonnées[[#This Row],[PlantationDate]])," ", YEAR(CompilDonnées[[#This Row],[PlantationDate]]))</f>
        <v>6 2025</v>
      </c>
      <c r="M3374" t="str">
        <f>CONCATENATE(MONTH(CompilDonnées[[#This Row],[HarvestingDate]])," ", YEAR(CompilDonnées[[#This Row],[HarvestingDate]]))</f>
        <v>7 2025</v>
      </c>
      <c r="N3374">
        <f>_xlfn.NUMBERVALUE(CompilDonnées[[#This Row],[FarmID]]&amp;CompilDonnées[[#This Row],[ModuleNumber]]&amp;CompilDonnées[[#This Row],[PlantationDate]])</f>
        <v>132245819</v>
      </c>
      <c r="O3374" t="str">
        <f>CompilDonnées[[#This Row],[FarmID]]&amp;CompilDonnées[[#This Row],[ModuleNumber]]</f>
        <v>1322</v>
      </c>
      <c r="P3374" t="str">
        <f>CompilDonnées[[#This Row],[Ref_Module]]&amp;CompilDonnées[[#This Row],[HarvestingDate]]</f>
        <v>132245863</v>
      </c>
    </row>
    <row r="3375" spans="1:16">
      <c r="A3375" s="5">
        <v>45819</v>
      </c>
      <c r="B3375">
        <v>139</v>
      </c>
      <c r="C3375" t="s">
        <v>103</v>
      </c>
      <c r="D3375">
        <v>4</v>
      </c>
      <c r="E3375">
        <v>100</v>
      </c>
      <c r="F3375" t="s">
        <v>1</v>
      </c>
      <c r="G3375" s="6">
        <v>45852</v>
      </c>
      <c r="H3375">
        <v>33</v>
      </c>
      <c r="I3375">
        <f>ROUND(CompilDonnées[[#This Row],[CultureDuration_days]]/7,0)</f>
        <v>5</v>
      </c>
      <c r="J3375">
        <v>3003</v>
      </c>
      <c r="K3375" t="str">
        <f>_xlfn.CONCAT(WEEKNUM(CompilDonnées[[#This Row],[PlantationDate]]), " ", YEAR(CompilDonnées[[#This Row],[PlantationDate]]))</f>
        <v>24 2025</v>
      </c>
      <c r="L3375" t="str">
        <f>CONCATENATE(MONTH(CompilDonnées[[#This Row],[PlantationDate]])," ", YEAR(CompilDonnées[[#This Row],[PlantationDate]]))</f>
        <v>6 2025</v>
      </c>
      <c r="M3375" t="str">
        <f>CONCATENATE(MONTH(CompilDonnées[[#This Row],[HarvestingDate]])," ", YEAR(CompilDonnées[[#This Row],[HarvestingDate]]))</f>
        <v>7 2025</v>
      </c>
      <c r="N3375">
        <f>_xlfn.NUMBERVALUE(CompilDonnées[[#This Row],[FarmID]]&amp;CompilDonnées[[#This Row],[ModuleNumber]]&amp;CompilDonnées[[#This Row],[PlantationDate]])</f>
        <v>139445819</v>
      </c>
      <c r="O3375" t="str">
        <f>CompilDonnées[[#This Row],[FarmID]]&amp;CompilDonnées[[#This Row],[ModuleNumber]]</f>
        <v>1394</v>
      </c>
      <c r="P3375" t="str">
        <f>CompilDonnées[[#This Row],[Ref_Module]]&amp;CompilDonnées[[#This Row],[HarvestingDate]]</f>
        <v>139445852</v>
      </c>
    </row>
    <row r="3376" spans="1:16">
      <c r="A3376" s="5">
        <v>45819</v>
      </c>
      <c r="B3376">
        <v>125</v>
      </c>
      <c r="C3376" t="s">
        <v>101</v>
      </c>
      <c r="D3376">
        <v>2</v>
      </c>
      <c r="E3376">
        <v>100</v>
      </c>
      <c r="F3376" t="s">
        <v>1</v>
      </c>
      <c r="G3376" s="6">
        <v>45852</v>
      </c>
      <c r="H3376">
        <v>33</v>
      </c>
      <c r="I3376">
        <f>ROUND(CompilDonnées[[#This Row],[CultureDuration_days]]/7,0)</f>
        <v>5</v>
      </c>
      <c r="J3376">
        <v>2962</v>
      </c>
      <c r="K3376" t="str">
        <f>_xlfn.CONCAT(WEEKNUM(CompilDonnées[[#This Row],[PlantationDate]]), " ", YEAR(CompilDonnées[[#This Row],[PlantationDate]]))</f>
        <v>24 2025</v>
      </c>
      <c r="L3376" t="str">
        <f>CONCATENATE(MONTH(CompilDonnées[[#This Row],[PlantationDate]])," ", YEAR(CompilDonnées[[#This Row],[PlantationDate]]))</f>
        <v>6 2025</v>
      </c>
      <c r="M3376" t="str">
        <f>CONCATENATE(MONTH(CompilDonnées[[#This Row],[HarvestingDate]])," ", YEAR(CompilDonnées[[#This Row],[HarvestingDate]]))</f>
        <v>7 2025</v>
      </c>
      <c r="N3376">
        <f>_xlfn.NUMBERVALUE(CompilDonnées[[#This Row],[FarmID]]&amp;CompilDonnées[[#This Row],[ModuleNumber]]&amp;CompilDonnées[[#This Row],[PlantationDate]])</f>
        <v>125245819</v>
      </c>
      <c r="O3376" t="str">
        <f>CompilDonnées[[#This Row],[FarmID]]&amp;CompilDonnées[[#This Row],[ModuleNumber]]</f>
        <v>1252</v>
      </c>
      <c r="P3376" t="str">
        <f>CompilDonnées[[#This Row],[Ref_Module]]&amp;CompilDonnées[[#This Row],[HarvestingDate]]</f>
        <v>125245852</v>
      </c>
    </row>
    <row r="3377" spans="1:16">
      <c r="A3377" s="5">
        <v>45819</v>
      </c>
      <c r="B3377">
        <v>124</v>
      </c>
      <c r="C3377" t="s">
        <v>115</v>
      </c>
      <c r="D3377">
        <v>6</v>
      </c>
      <c r="E3377">
        <v>100</v>
      </c>
      <c r="F3377" t="s">
        <v>1</v>
      </c>
      <c r="G3377" s="6">
        <v>45852</v>
      </c>
      <c r="H3377">
        <v>33</v>
      </c>
      <c r="I3377">
        <f>ROUND(CompilDonnées[[#This Row],[CultureDuration_days]]/7,0)</f>
        <v>5</v>
      </c>
      <c r="J3377">
        <v>3091</v>
      </c>
      <c r="K3377" t="str">
        <f>_xlfn.CONCAT(WEEKNUM(CompilDonnées[[#This Row],[PlantationDate]]), " ", YEAR(CompilDonnées[[#This Row],[PlantationDate]]))</f>
        <v>24 2025</v>
      </c>
      <c r="L3377" t="str">
        <f>CONCATENATE(MONTH(CompilDonnées[[#This Row],[PlantationDate]])," ", YEAR(CompilDonnées[[#This Row],[PlantationDate]]))</f>
        <v>6 2025</v>
      </c>
      <c r="M3377" t="str">
        <f>CONCATENATE(MONTH(CompilDonnées[[#This Row],[HarvestingDate]])," ", YEAR(CompilDonnées[[#This Row],[HarvestingDate]]))</f>
        <v>7 2025</v>
      </c>
      <c r="N3377">
        <f>_xlfn.NUMBERVALUE(CompilDonnées[[#This Row],[FarmID]]&amp;CompilDonnées[[#This Row],[ModuleNumber]]&amp;CompilDonnées[[#This Row],[PlantationDate]])</f>
        <v>124645819</v>
      </c>
      <c r="O3377" t="str">
        <f>CompilDonnées[[#This Row],[FarmID]]&amp;CompilDonnées[[#This Row],[ModuleNumber]]</f>
        <v>1246</v>
      </c>
      <c r="P3377" t="str">
        <f>CompilDonnées[[#This Row],[Ref_Module]]&amp;CompilDonnées[[#This Row],[HarvestingDate]]</f>
        <v>124645852</v>
      </c>
    </row>
    <row r="3378" spans="1:16">
      <c r="A3378" s="5">
        <v>45819</v>
      </c>
      <c r="B3378">
        <v>120</v>
      </c>
      <c r="C3378" t="s">
        <v>3</v>
      </c>
      <c r="D3378">
        <v>6</v>
      </c>
      <c r="E3378">
        <v>60</v>
      </c>
      <c r="F3378" t="s">
        <v>105</v>
      </c>
      <c r="G3378" s="6">
        <v>45863</v>
      </c>
      <c r="H3378">
        <v>44</v>
      </c>
      <c r="I3378">
        <f>ROUND(CompilDonnées[[#This Row],[CultureDuration_days]]/7,0)</f>
        <v>6</v>
      </c>
      <c r="J3378">
        <v>625</v>
      </c>
      <c r="K3378" t="str">
        <f>_xlfn.CONCAT(WEEKNUM(CompilDonnées[[#This Row],[PlantationDate]]), " ", YEAR(CompilDonnées[[#This Row],[PlantationDate]]))</f>
        <v>24 2025</v>
      </c>
      <c r="L3378" t="str">
        <f>CONCATENATE(MONTH(CompilDonnées[[#This Row],[PlantationDate]])," ", YEAR(CompilDonnées[[#This Row],[PlantationDate]]))</f>
        <v>6 2025</v>
      </c>
      <c r="M3378" t="str">
        <f>CONCATENATE(MONTH(CompilDonnées[[#This Row],[HarvestingDate]])," ", YEAR(CompilDonnées[[#This Row],[HarvestingDate]]))</f>
        <v>7 2025</v>
      </c>
      <c r="N3378">
        <f>_xlfn.NUMBERVALUE(CompilDonnées[[#This Row],[FarmID]]&amp;CompilDonnées[[#This Row],[ModuleNumber]]&amp;CompilDonnées[[#This Row],[PlantationDate]])</f>
        <v>120645819</v>
      </c>
      <c r="O3378" t="str">
        <f>CompilDonnées[[#This Row],[FarmID]]&amp;CompilDonnées[[#This Row],[ModuleNumber]]</f>
        <v>1206</v>
      </c>
      <c r="P3378" t="str">
        <f>CompilDonnées[[#This Row],[Ref_Module]]&amp;CompilDonnées[[#This Row],[HarvestingDate]]</f>
        <v>120645863</v>
      </c>
    </row>
    <row r="3379" spans="1:16">
      <c r="A3379" s="5">
        <v>45819</v>
      </c>
      <c r="B3379">
        <v>120</v>
      </c>
      <c r="C3379" t="s">
        <v>3</v>
      </c>
      <c r="D3379">
        <v>2</v>
      </c>
      <c r="E3379">
        <v>60</v>
      </c>
      <c r="F3379" t="s">
        <v>105</v>
      </c>
      <c r="G3379" s="6">
        <v>45867</v>
      </c>
      <c r="H3379">
        <v>48</v>
      </c>
      <c r="I3379">
        <f>ROUND(CompilDonnées[[#This Row],[CultureDuration_days]]/7,0)</f>
        <v>7</v>
      </c>
      <c r="J3379">
        <v>420</v>
      </c>
      <c r="K3379" t="str">
        <f>_xlfn.CONCAT(WEEKNUM(CompilDonnées[[#This Row],[PlantationDate]]), " ", YEAR(CompilDonnées[[#This Row],[PlantationDate]]))</f>
        <v>24 2025</v>
      </c>
      <c r="L3379" t="str">
        <f>CONCATENATE(MONTH(CompilDonnées[[#This Row],[PlantationDate]])," ", YEAR(CompilDonnées[[#This Row],[PlantationDate]]))</f>
        <v>6 2025</v>
      </c>
      <c r="M3379" t="str">
        <f>CONCATENATE(MONTH(CompilDonnées[[#This Row],[HarvestingDate]])," ", YEAR(CompilDonnées[[#This Row],[HarvestingDate]]))</f>
        <v>7 2025</v>
      </c>
      <c r="N3379">
        <f>_xlfn.NUMBERVALUE(CompilDonnées[[#This Row],[FarmID]]&amp;CompilDonnées[[#This Row],[ModuleNumber]]&amp;CompilDonnées[[#This Row],[PlantationDate]])</f>
        <v>120245819</v>
      </c>
      <c r="O3379" t="str">
        <f>CompilDonnées[[#This Row],[FarmID]]&amp;CompilDonnées[[#This Row],[ModuleNumber]]</f>
        <v>1202</v>
      </c>
      <c r="P3379" t="str">
        <f>CompilDonnées[[#This Row],[Ref_Module]]&amp;CompilDonnées[[#This Row],[HarvestingDate]]</f>
        <v>120245867</v>
      </c>
    </row>
    <row r="3380" spans="1:16">
      <c r="A3380" s="5">
        <v>45819</v>
      </c>
      <c r="B3380">
        <v>130</v>
      </c>
      <c r="C3380" t="s">
        <v>3</v>
      </c>
      <c r="D3380">
        <v>1</v>
      </c>
      <c r="E3380">
        <v>60</v>
      </c>
      <c r="F3380" t="s">
        <v>105</v>
      </c>
      <c r="G3380" s="6">
        <v>45866</v>
      </c>
      <c r="H3380">
        <v>47</v>
      </c>
      <c r="I3380">
        <f>ROUND(CompilDonnées[[#This Row],[CultureDuration_days]]/7,0)</f>
        <v>7</v>
      </c>
      <c r="J3380">
        <v>554</v>
      </c>
      <c r="K3380" t="str">
        <f>_xlfn.CONCAT(WEEKNUM(CompilDonnées[[#This Row],[PlantationDate]]), " ", YEAR(CompilDonnées[[#This Row],[PlantationDate]]))</f>
        <v>24 2025</v>
      </c>
      <c r="L3380" t="str">
        <f>CONCATENATE(MONTH(CompilDonnées[[#This Row],[PlantationDate]])," ", YEAR(CompilDonnées[[#This Row],[PlantationDate]]))</f>
        <v>6 2025</v>
      </c>
      <c r="M3380" t="str">
        <f>CONCATENATE(MONTH(CompilDonnées[[#This Row],[HarvestingDate]])," ", YEAR(CompilDonnées[[#This Row],[HarvestingDate]]))</f>
        <v>7 2025</v>
      </c>
      <c r="N3380">
        <f>_xlfn.NUMBERVALUE(CompilDonnées[[#This Row],[FarmID]]&amp;CompilDonnées[[#This Row],[ModuleNumber]]&amp;CompilDonnées[[#This Row],[PlantationDate]])</f>
        <v>130145819</v>
      </c>
      <c r="O3380" t="str">
        <f>CompilDonnées[[#This Row],[FarmID]]&amp;CompilDonnées[[#This Row],[ModuleNumber]]</f>
        <v>1301</v>
      </c>
      <c r="P3380" t="str">
        <f>CompilDonnées[[#This Row],[Ref_Module]]&amp;CompilDonnées[[#This Row],[HarvestingDate]]</f>
        <v>130145866</v>
      </c>
    </row>
    <row r="3381" spans="1:16">
      <c r="A3381" s="5">
        <v>45820</v>
      </c>
      <c r="B3381">
        <v>115</v>
      </c>
      <c r="C3381" t="s">
        <v>121</v>
      </c>
      <c r="D3381">
        <v>3</v>
      </c>
      <c r="E3381">
        <v>100</v>
      </c>
      <c r="F3381" t="s">
        <v>1</v>
      </c>
      <c r="G3381" s="6">
        <v>45866</v>
      </c>
      <c r="H3381">
        <v>46</v>
      </c>
      <c r="I3381">
        <f>ROUND(CompilDonnées[[#This Row],[CultureDuration_days]]/7,0)</f>
        <v>7</v>
      </c>
      <c r="J3381">
        <v>2756</v>
      </c>
      <c r="K3381" t="str">
        <f>_xlfn.CONCAT(WEEKNUM(CompilDonnées[[#This Row],[PlantationDate]]), " ", YEAR(CompilDonnées[[#This Row],[PlantationDate]]))</f>
        <v>24 2025</v>
      </c>
      <c r="L3381" t="str">
        <f>CONCATENATE(MONTH(CompilDonnées[[#This Row],[PlantationDate]])," ", YEAR(CompilDonnées[[#This Row],[PlantationDate]]))</f>
        <v>6 2025</v>
      </c>
      <c r="M3381" t="str">
        <f>CONCATENATE(MONTH(CompilDonnées[[#This Row],[HarvestingDate]])," ", YEAR(CompilDonnées[[#This Row],[HarvestingDate]]))</f>
        <v>7 2025</v>
      </c>
      <c r="N3381">
        <f>_xlfn.NUMBERVALUE(CompilDonnées[[#This Row],[FarmID]]&amp;CompilDonnées[[#This Row],[ModuleNumber]]&amp;CompilDonnées[[#This Row],[PlantationDate]])</f>
        <v>115345820</v>
      </c>
      <c r="O3381" t="str">
        <f>CompilDonnées[[#This Row],[FarmID]]&amp;CompilDonnées[[#This Row],[ModuleNumber]]</f>
        <v>1153</v>
      </c>
      <c r="P3381" t="str">
        <f>CompilDonnées[[#This Row],[Ref_Module]]&amp;CompilDonnées[[#This Row],[HarvestingDate]]</f>
        <v>115345866</v>
      </c>
    </row>
    <row r="3382" spans="1:16">
      <c r="A3382" s="5">
        <v>45820</v>
      </c>
      <c r="B3382">
        <v>116</v>
      </c>
      <c r="C3382" t="s">
        <v>76</v>
      </c>
      <c r="D3382">
        <v>3</v>
      </c>
      <c r="E3382">
        <v>100</v>
      </c>
      <c r="F3382" t="s">
        <v>1</v>
      </c>
      <c r="G3382" s="6">
        <v>45866</v>
      </c>
      <c r="H3382">
        <v>46</v>
      </c>
      <c r="I3382">
        <f>ROUND(CompilDonnées[[#This Row],[CultureDuration_days]]/7,0)</f>
        <v>7</v>
      </c>
      <c r="J3382">
        <v>2664</v>
      </c>
      <c r="K3382" t="str">
        <f>_xlfn.CONCAT(WEEKNUM(CompilDonnées[[#This Row],[PlantationDate]]), " ", YEAR(CompilDonnées[[#This Row],[PlantationDate]]))</f>
        <v>24 2025</v>
      </c>
      <c r="L3382" t="str">
        <f>CONCATENATE(MONTH(CompilDonnées[[#This Row],[PlantationDate]])," ", YEAR(CompilDonnées[[#This Row],[PlantationDate]]))</f>
        <v>6 2025</v>
      </c>
      <c r="M3382" t="str">
        <f>CONCATENATE(MONTH(CompilDonnées[[#This Row],[HarvestingDate]])," ", YEAR(CompilDonnées[[#This Row],[HarvestingDate]]))</f>
        <v>7 2025</v>
      </c>
      <c r="N3382">
        <f>_xlfn.NUMBERVALUE(CompilDonnées[[#This Row],[FarmID]]&amp;CompilDonnées[[#This Row],[ModuleNumber]]&amp;CompilDonnées[[#This Row],[PlantationDate]])</f>
        <v>116345820</v>
      </c>
      <c r="O3382" t="str">
        <f>CompilDonnées[[#This Row],[FarmID]]&amp;CompilDonnées[[#This Row],[ModuleNumber]]</f>
        <v>1163</v>
      </c>
      <c r="P3382" t="str">
        <f>CompilDonnées[[#This Row],[Ref_Module]]&amp;CompilDonnées[[#This Row],[HarvestingDate]]</f>
        <v>116345866</v>
      </c>
    </row>
    <row r="3383" spans="1:16">
      <c r="A3383" s="5">
        <v>45820</v>
      </c>
      <c r="B3383">
        <v>112</v>
      </c>
      <c r="C3383" t="s">
        <v>15</v>
      </c>
      <c r="D3383">
        <v>3</v>
      </c>
      <c r="E3383">
        <v>100</v>
      </c>
      <c r="F3383" t="s">
        <v>1</v>
      </c>
      <c r="G3383" s="6">
        <v>45862</v>
      </c>
      <c r="H3383">
        <v>42</v>
      </c>
      <c r="I3383">
        <f>ROUND(CompilDonnées[[#This Row],[CultureDuration_days]]/7,0)</f>
        <v>6</v>
      </c>
      <c r="J3383">
        <v>3201</v>
      </c>
      <c r="K3383" t="str">
        <f>_xlfn.CONCAT(WEEKNUM(CompilDonnées[[#This Row],[PlantationDate]]), " ", YEAR(CompilDonnées[[#This Row],[PlantationDate]]))</f>
        <v>24 2025</v>
      </c>
      <c r="L3383" t="str">
        <f>CONCATENATE(MONTH(CompilDonnées[[#This Row],[PlantationDate]])," ", YEAR(CompilDonnées[[#This Row],[PlantationDate]]))</f>
        <v>6 2025</v>
      </c>
      <c r="M3383" t="str">
        <f>CONCATENATE(MONTH(CompilDonnées[[#This Row],[HarvestingDate]])," ", YEAR(CompilDonnées[[#This Row],[HarvestingDate]]))</f>
        <v>7 2025</v>
      </c>
      <c r="N3383">
        <f>_xlfn.NUMBERVALUE(CompilDonnées[[#This Row],[FarmID]]&amp;CompilDonnées[[#This Row],[ModuleNumber]]&amp;CompilDonnées[[#This Row],[PlantationDate]])</f>
        <v>112345820</v>
      </c>
      <c r="O3383" t="str">
        <f>CompilDonnées[[#This Row],[FarmID]]&amp;CompilDonnées[[#This Row],[ModuleNumber]]</f>
        <v>1123</v>
      </c>
      <c r="P3383" t="str">
        <f>CompilDonnées[[#This Row],[Ref_Module]]&amp;CompilDonnées[[#This Row],[HarvestingDate]]</f>
        <v>112345862</v>
      </c>
    </row>
    <row r="3384" spans="1:16">
      <c r="A3384" s="5">
        <v>45820</v>
      </c>
      <c r="B3384">
        <v>113</v>
      </c>
      <c r="C3384" t="s">
        <v>16</v>
      </c>
      <c r="D3384">
        <v>3</v>
      </c>
      <c r="E3384">
        <v>100</v>
      </c>
      <c r="F3384" t="s">
        <v>1</v>
      </c>
      <c r="G3384" s="6">
        <v>45862</v>
      </c>
      <c r="H3384">
        <v>42</v>
      </c>
      <c r="I3384">
        <f>ROUND(CompilDonnées[[#This Row],[CultureDuration_days]]/7,0)</f>
        <v>6</v>
      </c>
      <c r="J3384">
        <v>3800</v>
      </c>
      <c r="K3384" t="str">
        <f>_xlfn.CONCAT(WEEKNUM(CompilDonnées[[#This Row],[PlantationDate]]), " ", YEAR(CompilDonnées[[#This Row],[PlantationDate]]))</f>
        <v>24 2025</v>
      </c>
      <c r="L3384" t="str">
        <f>CONCATENATE(MONTH(CompilDonnées[[#This Row],[PlantationDate]])," ", YEAR(CompilDonnées[[#This Row],[PlantationDate]]))</f>
        <v>6 2025</v>
      </c>
      <c r="M3384" t="str">
        <f>CONCATENATE(MONTH(CompilDonnées[[#This Row],[HarvestingDate]])," ", YEAR(CompilDonnées[[#This Row],[HarvestingDate]]))</f>
        <v>7 2025</v>
      </c>
      <c r="N3384">
        <f>_xlfn.NUMBERVALUE(CompilDonnées[[#This Row],[FarmID]]&amp;CompilDonnées[[#This Row],[ModuleNumber]]&amp;CompilDonnées[[#This Row],[PlantationDate]])</f>
        <v>113345820</v>
      </c>
      <c r="O3384" t="str">
        <f>CompilDonnées[[#This Row],[FarmID]]&amp;CompilDonnées[[#This Row],[ModuleNumber]]</f>
        <v>1133</v>
      </c>
      <c r="P3384" t="str">
        <f>CompilDonnées[[#This Row],[Ref_Module]]&amp;CompilDonnées[[#This Row],[HarvestingDate]]</f>
        <v>113345862</v>
      </c>
    </row>
    <row r="3385" spans="1:16">
      <c r="A3385" s="5">
        <v>45820</v>
      </c>
      <c r="B3385">
        <v>118</v>
      </c>
      <c r="C3385" t="s">
        <v>51</v>
      </c>
      <c r="D3385">
        <v>5</v>
      </c>
      <c r="E3385">
        <v>100</v>
      </c>
      <c r="F3385" t="s">
        <v>1</v>
      </c>
      <c r="G3385" s="6">
        <v>45863</v>
      </c>
      <c r="H3385">
        <v>43</v>
      </c>
      <c r="I3385">
        <f>ROUND(CompilDonnées[[#This Row],[CultureDuration_days]]/7,0)</f>
        <v>6</v>
      </c>
      <c r="J3385">
        <v>3680</v>
      </c>
      <c r="K3385" t="str">
        <f>_xlfn.CONCAT(WEEKNUM(CompilDonnées[[#This Row],[PlantationDate]]), " ", YEAR(CompilDonnées[[#This Row],[PlantationDate]]))</f>
        <v>24 2025</v>
      </c>
      <c r="L3385" t="str">
        <f>CONCATENATE(MONTH(CompilDonnées[[#This Row],[PlantationDate]])," ", YEAR(CompilDonnées[[#This Row],[PlantationDate]]))</f>
        <v>6 2025</v>
      </c>
      <c r="M3385" t="str">
        <f>CONCATENATE(MONTH(CompilDonnées[[#This Row],[HarvestingDate]])," ", YEAR(CompilDonnées[[#This Row],[HarvestingDate]]))</f>
        <v>7 2025</v>
      </c>
      <c r="N3385">
        <f>_xlfn.NUMBERVALUE(CompilDonnées[[#This Row],[FarmID]]&amp;CompilDonnées[[#This Row],[ModuleNumber]]&amp;CompilDonnées[[#This Row],[PlantationDate]])</f>
        <v>118545820</v>
      </c>
      <c r="O3385" t="str">
        <f>CompilDonnées[[#This Row],[FarmID]]&amp;CompilDonnées[[#This Row],[ModuleNumber]]</f>
        <v>1185</v>
      </c>
      <c r="P3385" t="str">
        <f>CompilDonnées[[#This Row],[Ref_Module]]&amp;CompilDonnées[[#This Row],[HarvestingDate]]</f>
        <v>118545863</v>
      </c>
    </row>
    <row r="3386" spans="1:16">
      <c r="A3386" s="5">
        <v>45820</v>
      </c>
      <c r="B3386">
        <v>123</v>
      </c>
      <c r="C3386" t="s">
        <v>13</v>
      </c>
      <c r="D3386">
        <v>5</v>
      </c>
      <c r="E3386">
        <v>100</v>
      </c>
      <c r="F3386" t="s">
        <v>1</v>
      </c>
      <c r="G3386" s="6">
        <v>45853</v>
      </c>
      <c r="H3386">
        <v>33</v>
      </c>
      <c r="I3386">
        <f>ROUND(CompilDonnées[[#This Row],[CultureDuration_days]]/7,0)</f>
        <v>5</v>
      </c>
      <c r="J3386">
        <v>3213</v>
      </c>
      <c r="K3386" t="str">
        <f>_xlfn.CONCAT(WEEKNUM(CompilDonnées[[#This Row],[PlantationDate]]), " ", YEAR(CompilDonnées[[#This Row],[PlantationDate]]))</f>
        <v>24 2025</v>
      </c>
      <c r="L3386" t="str">
        <f>CONCATENATE(MONTH(CompilDonnées[[#This Row],[PlantationDate]])," ", YEAR(CompilDonnées[[#This Row],[PlantationDate]]))</f>
        <v>6 2025</v>
      </c>
      <c r="M3386" t="str">
        <f>CONCATENATE(MONTH(CompilDonnées[[#This Row],[HarvestingDate]])," ", YEAR(CompilDonnées[[#This Row],[HarvestingDate]]))</f>
        <v>7 2025</v>
      </c>
      <c r="N3386">
        <f>_xlfn.NUMBERVALUE(CompilDonnées[[#This Row],[FarmID]]&amp;CompilDonnées[[#This Row],[ModuleNumber]]&amp;CompilDonnées[[#This Row],[PlantationDate]])</f>
        <v>123545820</v>
      </c>
      <c r="O3386" t="str">
        <f>CompilDonnées[[#This Row],[FarmID]]&amp;CompilDonnées[[#This Row],[ModuleNumber]]</f>
        <v>1235</v>
      </c>
      <c r="P3386" t="str">
        <f>CompilDonnées[[#This Row],[Ref_Module]]&amp;CompilDonnées[[#This Row],[HarvestingDate]]</f>
        <v>123545853</v>
      </c>
    </row>
    <row r="3387" spans="1:16">
      <c r="A3387" s="5">
        <v>45820</v>
      </c>
      <c r="B3387">
        <v>124</v>
      </c>
      <c r="C3387" t="s">
        <v>115</v>
      </c>
      <c r="D3387">
        <v>5</v>
      </c>
      <c r="E3387">
        <v>100</v>
      </c>
      <c r="F3387" t="s">
        <v>1</v>
      </c>
      <c r="G3387" s="6">
        <v>45863</v>
      </c>
      <c r="H3387">
        <v>43</v>
      </c>
      <c r="I3387">
        <f>ROUND(CompilDonnées[[#This Row],[CultureDuration_days]]/7,0)</f>
        <v>6</v>
      </c>
      <c r="J3387">
        <v>4414</v>
      </c>
      <c r="K3387" t="str">
        <f>_xlfn.CONCAT(WEEKNUM(CompilDonnées[[#This Row],[PlantationDate]]), " ", YEAR(CompilDonnées[[#This Row],[PlantationDate]]))</f>
        <v>24 2025</v>
      </c>
      <c r="L3387" t="str">
        <f>CONCATENATE(MONTH(CompilDonnées[[#This Row],[PlantationDate]])," ", YEAR(CompilDonnées[[#This Row],[PlantationDate]]))</f>
        <v>6 2025</v>
      </c>
      <c r="M3387" t="str">
        <f>CONCATENATE(MONTH(CompilDonnées[[#This Row],[HarvestingDate]])," ", YEAR(CompilDonnées[[#This Row],[HarvestingDate]]))</f>
        <v>7 2025</v>
      </c>
      <c r="N3387">
        <f>_xlfn.NUMBERVALUE(CompilDonnées[[#This Row],[FarmID]]&amp;CompilDonnées[[#This Row],[ModuleNumber]]&amp;CompilDonnées[[#This Row],[PlantationDate]])</f>
        <v>124545820</v>
      </c>
      <c r="O3387" t="str">
        <f>CompilDonnées[[#This Row],[FarmID]]&amp;CompilDonnées[[#This Row],[ModuleNumber]]</f>
        <v>1245</v>
      </c>
      <c r="P3387" t="str">
        <f>CompilDonnées[[#This Row],[Ref_Module]]&amp;CompilDonnées[[#This Row],[HarvestingDate]]</f>
        <v>124545863</v>
      </c>
    </row>
    <row r="3388" spans="1:16">
      <c r="A3388" s="5">
        <v>45820</v>
      </c>
      <c r="B3388">
        <v>139</v>
      </c>
      <c r="C3388" t="s">
        <v>103</v>
      </c>
      <c r="D3388">
        <v>3</v>
      </c>
      <c r="E3388">
        <v>100</v>
      </c>
      <c r="F3388" t="s">
        <v>1</v>
      </c>
      <c r="G3388" s="6">
        <v>45863</v>
      </c>
      <c r="H3388">
        <v>43</v>
      </c>
      <c r="I3388">
        <f>ROUND(CompilDonnées[[#This Row],[CultureDuration_days]]/7,0)</f>
        <v>6</v>
      </c>
      <c r="J3388">
        <v>3998</v>
      </c>
      <c r="K3388" t="str">
        <f>_xlfn.CONCAT(WEEKNUM(CompilDonnées[[#This Row],[PlantationDate]]), " ", YEAR(CompilDonnées[[#This Row],[PlantationDate]]))</f>
        <v>24 2025</v>
      </c>
      <c r="L3388" t="str">
        <f>CONCATENATE(MONTH(CompilDonnées[[#This Row],[PlantationDate]])," ", YEAR(CompilDonnées[[#This Row],[PlantationDate]]))</f>
        <v>6 2025</v>
      </c>
      <c r="M3388" t="str">
        <f>CONCATENATE(MONTH(CompilDonnées[[#This Row],[HarvestingDate]])," ", YEAR(CompilDonnées[[#This Row],[HarvestingDate]]))</f>
        <v>7 2025</v>
      </c>
      <c r="N3388">
        <f>_xlfn.NUMBERVALUE(CompilDonnées[[#This Row],[FarmID]]&amp;CompilDonnées[[#This Row],[ModuleNumber]]&amp;CompilDonnées[[#This Row],[PlantationDate]])</f>
        <v>139345820</v>
      </c>
      <c r="O3388" t="str">
        <f>CompilDonnées[[#This Row],[FarmID]]&amp;CompilDonnées[[#This Row],[ModuleNumber]]</f>
        <v>1393</v>
      </c>
      <c r="P3388" t="str">
        <f>CompilDonnées[[#This Row],[Ref_Module]]&amp;CompilDonnées[[#This Row],[HarvestingDate]]</f>
        <v>139345863</v>
      </c>
    </row>
    <row r="3389" spans="1:16">
      <c r="A3389" s="5">
        <v>45820</v>
      </c>
      <c r="B3389">
        <v>140</v>
      </c>
      <c r="C3389" t="s">
        <v>96</v>
      </c>
      <c r="D3389">
        <v>3</v>
      </c>
      <c r="E3389">
        <v>100</v>
      </c>
      <c r="F3389" t="s">
        <v>1</v>
      </c>
      <c r="G3389" s="6">
        <v>45863</v>
      </c>
      <c r="H3389">
        <v>43</v>
      </c>
      <c r="I3389">
        <f>ROUND(CompilDonnées[[#This Row],[CultureDuration_days]]/7,0)</f>
        <v>6</v>
      </c>
      <c r="J3389">
        <v>2741</v>
      </c>
      <c r="K3389" t="str">
        <f>_xlfn.CONCAT(WEEKNUM(CompilDonnées[[#This Row],[PlantationDate]]), " ", YEAR(CompilDonnées[[#This Row],[PlantationDate]]))</f>
        <v>24 2025</v>
      </c>
      <c r="L3389" t="str">
        <f>CONCATENATE(MONTH(CompilDonnées[[#This Row],[PlantationDate]])," ", YEAR(CompilDonnées[[#This Row],[PlantationDate]]))</f>
        <v>6 2025</v>
      </c>
      <c r="M3389" t="str">
        <f>CONCATENATE(MONTH(CompilDonnées[[#This Row],[HarvestingDate]])," ", YEAR(CompilDonnées[[#This Row],[HarvestingDate]]))</f>
        <v>7 2025</v>
      </c>
      <c r="N3389">
        <f>_xlfn.NUMBERVALUE(CompilDonnées[[#This Row],[FarmID]]&amp;CompilDonnées[[#This Row],[ModuleNumber]]&amp;CompilDonnées[[#This Row],[PlantationDate]])</f>
        <v>140345820</v>
      </c>
      <c r="O3389" t="str">
        <f>CompilDonnées[[#This Row],[FarmID]]&amp;CompilDonnées[[#This Row],[ModuleNumber]]</f>
        <v>1403</v>
      </c>
      <c r="P3389" t="str">
        <f>CompilDonnées[[#This Row],[Ref_Module]]&amp;CompilDonnées[[#This Row],[HarvestingDate]]</f>
        <v>140345863</v>
      </c>
    </row>
    <row r="3390" spans="1:16">
      <c r="A3390" s="5">
        <v>45820</v>
      </c>
      <c r="B3390">
        <v>37</v>
      </c>
      <c r="C3390" t="s">
        <v>26</v>
      </c>
      <c r="D3390">
        <v>4</v>
      </c>
      <c r="E3390">
        <v>100</v>
      </c>
      <c r="F3390" t="s">
        <v>1</v>
      </c>
      <c r="G3390" s="6">
        <v>45869</v>
      </c>
      <c r="H3390">
        <v>49</v>
      </c>
      <c r="I3390">
        <f>ROUND(CompilDonnées[[#This Row],[CultureDuration_days]]/7,0)</f>
        <v>7</v>
      </c>
      <c r="J3390">
        <v>3633</v>
      </c>
      <c r="K3390" t="str">
        <f>_xlfn.CONCAT(WEEKNUM(CompilDonnées[[#This Row],[PlantationDate]]), " ", YEAR(CompilDonnées[[#This Row],[PlantationDate]]))</f>
        <v>24 2025</v>
      </c>
      <c r="L3390" t="str">
        <f>CONCATENATE(MONTH(CompilDonnées[[#This Row],[PlantationDate]])," ", YEAR(CompilDonnées[[#This Row],[PlantationDate]]))</f>
        <v>6 2025</v>
      </c>
      <c r="M3390" t="str">
        <f>CONCATENATE(MONTH(CompilDonnées[[#This Row],[HarvestingDate]])," ", YEAR(CompilDonnées[[#This Row],[HarvestingDate]]))</f>
        <v>7 2025</v>
      </c>
      <c r="N3390">
        <f>_xlfn.NUMBERVALUE(CompilDonnées[[#This Row],[FarmID]]&amp;CompilDonnées[[#This Row],[ModuleNumber]]&amp;CompilDonnées[[#This Row],[PlantationDate]])</f>
        <v>37445820</v>
      </c>
      <c r="O3390" t="str">
        <f>CompilDonnées[[#This Row],[FarmID]]&amp;CompilDonnées[[#This Row],[ModuleNumber]]</f>
        <v>374</v>
      </c>
      <c r="P3390" t="str">
        <f>CompilDonnées[[#This Row],[Ref_Module]]&amp;CompilDonnées[[#This Row],[HarvestingDate]]</f>
        <v>37445869</v>
      </c>
    </row>
    <row r="3391" spans="1:16">
      <c r="A3391" s="5">
        <v>45820</v>
      </c>
      <c r="B3391">
        <v>44</v>
      </c>
      <c r="C3391" t="s">
        <v>42</v>
      </c>
      <c r="D3391">
        <v>1</v>
      </c>
      <c r="E3391">
        <v>100</v>
      </c>
      <c r="F3391" t="s">
        <v>1</v>
      </c>
      <c r="G3391" s="6">
        <v>45859</v>
      </c>
      <c r="H3391">
        <v>39</v>
      </c>
      <c r="I3391">
        <f>ROUND(CompilDonnées[[#This Row],[CultureDuration_days]]/7,0)</f>
        <v>6</v>
      </c>
      <c r="J3391">
        <v>2543</v>
      </c>
      <c r="K3391" t="str">
        <f>_xlfn.CONCAT(WEEKNUM(CompilDonnées[[#This Row],[PlantationDate]]), " ", YEAR(CompilDonnées[[#This Row],[PlantationDate]]))</f>
        <v>24 2025</v>
      </c>
      <c r="L3391" t="str">
        <f>CONCATENATE(MONTH(CompilDonnées[[#This Row],[PlantationDate]])," ", YEAR(CompilDonnées[[#This Row],[PlantationDate]]))</f>
        <v>6 2025</v>
      </c>
      <c r="M3391" t="str">
        <f>CONCATENATE(MONTH(CompilDonnées[[#This Row],[HarvestingDate]])," ", YEAR(CompilDonnées[[#This Row],[HarvestingDate]]))</f>
        <v>7 2025</v>
      </c>
      <c r="N3391">
        <f>_xlfn.NUMBERVALUE(CompilDonnées[[#This Row],[FarmID]]&amp;CompilDonnées[[#This Row],[ModuleNumber]]&amp;CompilDonnées[[#This Row],[PlantationDate]])</f>
        <v>44145820</v>
      </c>
      <c r="O3391" t="str">
        <f>CompilDonnées[[#This Row],[FarmID]]&amp;CompilDonnées[[#This Row],[ModuleNumber]]</f>
        <v>441</v>
      </c>
      <c r="P3391" t="str">
        <f>CompilDonnées[[#This Row],[Ref_Module]]&amp;CompilDonnées[[#This Row],[HarvestingDate]]</f>
        <v>44145859</v>
      </c>
    </row>
    <row r="3392" spans="1:16">
      <c r="A3392" s="5">
        <v>45820</v>
      </c>
      <c r="B3392">
        <v>70</v>
      </c>
      <c r="C3392" t="s">
        <v>7</v>
      </c>
      <c r="D3392">
        <v>6</v>
      </c>
      <c r="E3392">
        <v>100</v>
      </c>
      <c r="F3392" t="s">
        <v>1</v>
      </c>
      <c r="G3392" s="6">
        <v>45876</v>
      </c>
      <c r="H3392">
        <v>56</v>
      </c>
      <c r="I3392">
        <f>ROUND(CompilDonnées[[#This Row],[CultureDuration_days]]/7,0)</f>
        <v>8</v>
      </c>
      <c r="J3392">
        <v>1372</v>
      </c>
      <c r="K3392" t="str">
        <f>_xlfn.CONCAT(WEEKNUM(CompilDonnées[[#This Row],[PlantationDate]]), " ", YEAR(CompilDonnées[[#This Row],[PlantationDate]]))</f>
        <v>24 2025</v>
      </c>
      <c r="L3392" t="str">
        <f>CONCATENATE(MONTH(CompilDonnées[[#This Row],[PlantationDate]])," ", YEAR(CompilDonnées[[#This Row],[PlantationDate]]))</f>
        <v>6 2025</v>
      </c>
      <c r="M3392" t="str">
        <f>CONCATENATE(MONTH(CompilDonnées[[#This Row],[HarvestingDate]])," ", YEAR(CompilDonnées[[#This Row],[HarvestingDate]]))</f>
        <v>8 2025</v>
      </c>
      <c r="N3392">
        <f>_xlfn.NUMBERVALUE(CompilDonnées[[#This Row],[FarmID]]&amp;CompilDonnées[[#This Row],[ModuleNumber]]&amp;CompilDonnées[[#This Row],[PlantationDate]])</f>
        <v>70645820</v>
      </c>
      <c r="O3392" t="str">
        <f>CompilDonnées[[#This Row],[FarmID]]&amp;CompilDonnées[[#This Row],[ModuleNumber]]</f>
        <v>706</v>
      </c>
      <c r="P3392" t="str">
        <f>CompilDonnées[[#This Row],[Ref_Module]]&amp;CompilDonnées[[#This Row],[HarvestingDate]]</f>
        <v>70645876</v>
      </c>
    </row>
    <row r="3393" spans="1:16">
      <c r="A3393" s="5">
        <v>45820</v>
      </c>
      <c r="B3393">
        <v>107</v>
      </c>
      <c r="C3393" t="s">
        <v>23</v>
      </c>
      <c r="D3393">
        <v>6</v>
      </c>
      <c r="E3393">
        <v>100</v>
      </c>
      <c r="F3393" t="s">
        <v>1</v>
      </c>
      <c r="G3393" s="6">
        <v>45866</v>
      </c>
      <c r="H3393">
        <v>46</v>
      </c>
      <c r="I3393">
        <f>ROUND(CompilDonnées[[#This Row],[CultureDuration_days]]/7,0)</f>
        <v>7</v>
      </c>
      <c r="J3393">
        <v>3692</v>
      </c>
      <c r="K3393" t="str">
        <f>_xlfn.CONCAT(WEEKNUM(CompilDonnées[[#This Row],[PlantationDate]]), " ", YEAR(CompilDonnées[[#This Row],[PlantationDate]]))</f>
        <v>24 2025</v>
      </c>
      <c r="L3393" t="str">
        <f>CONCATENATE(MONTH(CompilDonnées[[#This Row],[PlantationDate]])," ", YEAR(CompilDonnées[[#This Row],[PlantationDate]]))</f>
        <v>6 2025</v>
      </c>
      <c r="M3393" t="str">
        <f>CONCATENATE(MONTH(CompilDonnées[[#This Row],[HarvestingDate]])," ", YEAR(CompilDonnées[[#This Row],[HarvestingDate]]))</f>
        <v>7 2025</v>
      </c>
      <c r="N3393">
        <f>_xlfn.NUMBERVALUE(CompilDonnées[[#This Row],[FarmID]]&amp;CompilDonnées[[#This Row],[ModuleNumber]]&amp;CompilDonnées[[#This Row],[PlantationDate]])</f>
        <v>107645820</v>
      </c>
      <c r="O3393" t="str">
        <f>CompilDonnées[[#This Row],[FarmID]]&amp;CompilDonnées[[#This Row],[ModuleNumber]]</f>
        <v>1076</v>
      </c>
      <c r="P3393" t="str">
        <f>CompilDonnées[[#This Row],[Ref_Module]]&amp;CompilDonnées[[#This Row],[HarvestingDate]]</f>
        <v>107645866</v>
      </c>
    </row>
    <row r="3394" spans="1:16">
      <c r="A3394" s="5">
        <v>45820</v>
      </c>
      <c r="B3394">
        <v>100</v>
      </c>
      <c r="C3394" t="s">
        <v>84</v>
      </c>
      <c r="D3394">
        <v>3</v>
      </c>
      <c r="E3394">
        <v>100</v>
      </c>
      <c r="F3394" t="s">
        <v>1</v>
      </c>
      <c r="G3394" s="6">
        <v>45862</v>
      </c>
      <c r="H3394">
        <v>42</v>
      </c>
      <c r="I3394">
        <f>ROUND(CompilDonnées[[#This Row],[CultureDuration_days]]/7,0)</f>
        <v>6</v>
      </c>
      <c r="J3394">
        <v>3324</v>
      </c>
      <c r="K3394" t="str">
        <f>_xlfn.CONCAT(WEEKNUM(CompilDonnées[[#This Row],[PlantationDate]]), " ", YEAR(CompilDonnées[[#This Row],[PlantationDate]]))</f>
        <v>24 2025</v>
      </c>
      <c r="L3394" t="str">
        <f>CONCATENATE(MONTH(CompilDonnées[[#This Row],[PlantationDate]])," ", YEAR(CompilDonnées[[#This Row],[PlantationDate]]))</f>
        <v>6 2025</v>
      </c>
      <c r="M3394" t="str">
        <f>CONCATENATE(MONTH(CompilDonnées[[#This Row],[HarvestingDate]])," ", YEAR(CompilDonnées[[#This Row],[HarvestingDate]]))</f>
        <v>7 2025</v>
      </c>
      <c r="N3394">
        <f>_xlfn.NUMBERVALUE(CompilDonnées[[#This Row],[FarmID]]&amp;CompilDonnées[[#This Row],[ModuleNumber]]&amp;CompilDonnées[[#This Row],[PlantationDate]])</f>
        <v>100345820</v>
      </c>
      <c r="O3394" t="str">
        <f>CompilDonnées[[#This Row],[FarmID]]&amp;CompilDonnées[[#This Row],[ModuleNumber]]</f>
        <v>1003</v>
      </c>
      <c r="P3394" t="str">
        <f>CompilDonnées[[#This Row],[Ref_Module]]&amp;CompilDonnées[[#This Row],[HarvestingDate]]</f>
        <v>100345862</v>
      </c>
    </row>
    <row r="3395" spans="1:16">
      <c r="A3395" s="5">
        <v>45820</v>
      </c>
      <c r="B3395">
        <v>99</v>
      </c>
      <c r="C3395" t="s">
        <v>117</v>
      </c>
      <c r="D3395">
        <v>1</v>
      </c>
      <c r="E3395">
        <v>100</v>
      </c>
      <c r="F3395" t="s">
        <v>1</v>
      </c>
      <c r="G3395" s="6">
        <v>45862</v>
      </c>
      <c r="H3395">
        <v>42</v>
      </c>
      <c r="I3395">
        <f>ROUND(CompilDonnées[[#This Row],[CultureDuration_days]]/7,0)</f>
        <v>6</v>
      </c>
      <c r="J3395">
        <v>3448</v>
      </c>
      <c r="K3395" t="str">
        <f>_xlfn.CONCAT(WEEKNUM(CompilDonnées[[#This Row],[PlantationDate]]), " ", YEAR(CompilDonnées[[#This Row],[PlantationDate]]))</f>
        <v>24 2025</v>
      </c>
      <c r="L3395" t="str">
        <f>CONCATENATE(MONTH(CompilDonnées[[#This Row],[PlantationDate]])," ", YEAR(CompilDonnées[[#This Row],[PlantationDate]]))</f>
        <v>6 2025</v>
      </c>
      <c r="M3395" t="str">
        <f>CONCATENATE(MONTH(CompilDonnées[[#This Row],[HarvestingDate]])," ", YEAR(CompilDonnées[[#This Row],[HarvestingDate]]))</f>
        <v>7 2025</v>
      </c>
      <c r="N3395">
        <f>_xlfn.NUMBERVALUE(CompilDonnées[[#This Row],[FarmID]]&amp;CompilDonnées[[#This Row],[ModuleNumber]]&amp;CompilDonnées[[#This Row],[PlantationDate]])</f>
        <v>99145820</v>
      </c>
      <c r="O3395" t="str">
        <f>CompilDonnées[[#This Row],[FarmID]]&amp;CompilDonnées[[#This Row],[ModuleNumber]]</f>
        <v>991</v>
      </c>
      <c r="P3395" t="str">
        <f>CompilDonnées[[#This Row],[Ref_Module]]&amp;CompilDonnées[[#This Row],[HarvestingDate]]</f>
        <v>99145862</v>
      </c>
    </row>
    <row r="3396" spans="1:16">
      <c r="A3396" s="5">
        <v>45820</v>
      </c>
      <c r="B3396">
        <v>99</v>
      </c>
      <c r="C3396" t="s">
        <v>117</v>
      </c>
      <c r="D3396">
        <v>4</v>
      </c>
      <c r="E3396">
        <v>100</v>
      </c>
      <c r="F3396" t="s">
        <v>1</v>
      </c>
      <c r="G3396" s="6">
        <v>45862</v>
      </c>
      <c r="H3396">
        <v>42</v>
      </c>
      <c r="I3396">
        <f>ROUND(CompilDonnées[[#This Row],[CultureDuration_days]]/7,0)</f>
        <v>6</v>
      </c>
      <c r="J3396">
        <v>3385</v>
      </c>
      <c r="K3396" t="str">
        <f>_xlfn.CONCAT(WEEKNUM(CompilDonnées[[#This Row],[PlantationDate]]), " ", YEAR(CompilDonnées[[#This Row],[PlantationDate]]))</f>
        <v>24 2025</v>
      </c>
      <c r="L3396" t="str">
        <f>CONCATENATE(MONTH(CompilDonnées[[#This Row],[PlantationDate]])," ", YEAR(CompilDonnées[[#This Row],[PlantationDate]]))</f>
        <v>6 2025</v>
      </c>
      <c r="M3396" t="str">
        <f>CONCATENATE(MONTH(CompilDonnées[[#This Row],[HarvestingDate]])," ", YEAR(CompilDonnées[[#This Row],[HarvestingDate]]))</f>
        <v>7 2025</v>
      </c>
      <c r="N3396">
        <f>_xlfn.NUMBERVALUE(CompilDonnées[[#This Row],[FarmID]]&amp;CompilDonnées[[#This Row],[ModuleNumber]]&amp;CompilDonnées[[#This Row],[PlantationDate]])</f>
        <v>99445820</v>
      </c>
      <c r="O3396" t="str">
        <f>CompilDonnées[[#This Row],[FarmID]]&amp;CompilDonnées[[#This Row],[ModuleNumber]]</f>
        <v>994</v>
      </c>
      <c r="P3396" t="str">
        <f>CompilDonnées[[#This Row],[Ref_Module]]&amp;CompilDonnées[[#This Row],[HarvestingDate]]</f>
        <v>99445862</v>
      </c>
    </row>
    <row r="3397" spans="1:16">
      <c r="A3397" s="5">
        <v>45820</v>
      </c>
      <c r="B3397">
        <v>96</v>
      </c>
      <c r="C3397" t="s">
        <v>125</v>
      </c>
      <c r="D3397">
        <v>3</v>
      </c>
      <c r="E3397">
        <v>100</v>
      </c>
      <c r="F3397" t="s">
        <v>1</v>
      </c>
      <c r="G3397" s="6">
        <v>45861</v>
      </c>
      <c r="H3397">
        <v>41</v>
      </c>
      <c r="I3397">
        <f>ROUND(CompilDonnées[[#This Row],[CultureDuration_days]]/7,0)</f>
        <v>6</v>
      </c>
      <c r="J3397">
        <v>2074</v>
      </c>
      <c r="K3397" t="str">
        <f>_xlfn.CONCAT(WEEKNUM(CompilDonnées[[#This Row],[PlantationDate]]), " ", YEAR(CompilDonnées[[#This Row],[PlantationDate]]))</f>
        <v>24 2025</v>
      </c>
      <c r="L3397" t="str">
        <f>CONCATENATE(MONTH(CompilDonnées[[#This Row],[PlantationDate]])," ", YEAR(CompilDonnées[[#This Row],[PlantationDate]]))</f>
        <v>6 2025</v>
      </c>
      <c r="M3397" t="str">
        <f>CONCATENATE(MONTH(CompilDonnées[[#This Row],[HarvestingDate]])," ", YEAR(CompilDonnées[[#This Row],[HarvestingDate]]))</f>
        <v>7 2025</v>
      </c>
      <c r="N3397">
        <f>_xlfn.NUMBERVALUE(CompilDonnées[[#This Row],[FarmID]]&amp;CompilDonnées[[#This Row],[ModuleNumber]]&amp;CompilDonnées[[#This Row],[PlantationDate]])</f>
        <v>96345820</v>
      </c>
      <c r="O3397" t="str">
        <f>CompilDonnées[[#This Row],[FarmID]]&amp;CompilDonnées[[#This Row],[ModuleNumber]]</f>
        <v>963</v>
      </c>
      <c r="P3397" t="str">
        <f>CompilDonnées[[#This Row],[Ref_Module]]&amp;CompilDonnées[[#This Row],[HarvestingDate]]</f>
        <v>96345861</v>
      </c>
    </row>
    <row r="3398" spans="1:16">
      <c r="A3398" s="5">
        <v>45820</v>
      </c>
      <c r="B3398">
        <v>86</v>
      </c>
      <c r="C3398" t="s">
        <v>37</v>
      </c>
      <c r="D3398">
        <v>5</v>
      </c>
      <c r="E3398">
        <v>100</v>
      </c>
      <c r="F3398" t="s">
        <v>1</v>
      </c>
      <c r="G3398" s="6">
        <v>45861</v>
      </c>
      <c r="H3398">
        <v>41</v>
      </c>
      <c r="I3398">
        <f>ROUND(CompilDonnées[[#This Row],[CultureDuration_days]]/7,0)</f>
        <v>6</v>
      </c>
      <c r="J3398">
        <v>3077</v>
      </c>
      <c r="K3398" t="str">
        <f>_xlfn.CONCAT(WEEKNUM(CompilDonnées[[#This Row],[PlantationDate]]), " ", YEAR(CompilDonnées[[#This Row],[PlantationDate]]))</f>
        <v>24 2025</v>
      </c>
      <c r="L3398" t="str">
        <f>CONCATENATE(MONTH(CompilDonnées[[#This Row],[PlantationDate]])," ", YEAR(CompilDonnées[[#This Row],[PlantationDate]]))</f>
        <v>6 2025</v>
      </c>
      <c r="M3398" t="str">
        <f>CONCATENATE(MONTH(CompilDonnées[[#This Row],[HarvestingDate]])," ", YEAR(CompilDonnées[[#This Row],[HarvestingDate]]))</f>
        <v>7 2025</v>
      </c>
      <c r="N3398">
        <f>_xlfn.NUMBERVALUE(CompilDonnées[[#This Row],[FarmID]]&amp;CompilDonnées[[#This Row],[ModuleNumber]]&amp;CompilDonnées[[#This Row],[PlantationDate]])</f>
        <v>86545820</v>
      </c>
      <c r="O3398" t="str">
        <f>CompilDonnées[[#This Row],[FarmID]]&amp;CompilDonnées[[#This Row],[ModuleNumber]]</f>
        <v>865</v>
      </c>
      <c r="P3398" t="str">
        <f>CompilDonnées[[#This Row],[Ref_Module]]&amp;CompilDonnées[[#This Row],[HarvestingDate]]</f>
        <v>86545861</v>
      </c>
    </row>
    <row r="3399" spans="1:16">
      <c r="A3399" s="5">
        <v>45820</v>
      </c>
      <c r="B3399">
        <v>102</v>
      </c>
      <c r="C3399" t="s">
        <v>85</v>
      </c>
      <c r="D3399">
        <v>6</v>
      </c>
      <c r="E3399">
        <v>100</v>
      </c>
      <c r="F3399" t="s">
        <v>1</v>
      </c>
      <c r="G3399" s="6">
        <v>45866</v>
      </c>
      <c r="H3399">
        <v>46</v>
      </c>
      <c r="I3399">
        <f>ROUND(CompilDonnées[[#This Row],[CultureDuration_days]]/7,0)</f>
        <v>7</v>
      </c>
      <c r="J3399">
        <v>2100</v>
      </c>
      <c r="K3399" t="str">
        <f>_xlfn.CONCAT(WEEKNUM(CompilDonnées[[#This Row],[PlantationDate]]), " ", YEAR(CompilDonnées[[#This Row],[PlantationDate]]))</f>
        <v>24 2025</v>
      </c>
      <c r="L3399" t="str">
        <f>CONCATENATE(MONTH(CompilDonnées[[#This Row],[PlantationDate]])," ", YEAR(CompilDonnées[[#This Row],[PlantationDate]]))</f>
        <v>6 2025</v>
      </c>
      <c r="M3399" t="str">
        <f>CONCATENATE(MONTH(CompilDonnées[[#This Row],[HarvestingDate]])," ", YEAR(CompilDonnées[[#This Row],[HarvestingDate]]))</f>
        <v>7 2025</v>
      </c>
      <c r="N3399">
        <f>_xlfn.NUMBERVALUE(CompilDonnées[[#This Row],[FarmID]]&amp;CompilDonnées[[#This Row],[ModuleNumber]]&amp;CompilDonnées[[#This Row],[PlantationDate]])</f>
        <v>102645820</v>
      </c>
      <c r="O3399" t="str">
        <f>CompilDonnées[[#This Row],[FarmID]]&amp;CompilDonnées[[#This Row],[ModuleNumber]]</f>
        <v>1026</v>
      </c>
      <c r="P3399" t="str">
        <f>CompilDonnées[[#This Row],[Ref_Module]]&amp;CompilDonnées[[#This Row],[HarvestingDate]]</f>
        <v>102645866</v>
      </c>
    </row>
    <row r="3400" spans="1:16">
      <c r="A3400" s="5">
        <v>45820</v>
      </c>
      <c r="B3400">
        <v>89</v>
      </c>
      <c r="C3400" t="s">
        <v>67</v>
      </c>
      <c r="D3400">
        <v>4</v>
      </c>
      <c r="E3400">
        <v>100</v>
      </c>
      <c r="F3400" t="s">
        <v>1</v>
      </c>
      <c r="G3400" s="6">
        <v>45867</v>
      </c>
      <c r="H3400">
        <v>47</v>
      </c>
      <c r="I3400">
        <f>ROUND(CompilDonnées[[#This Row],[CultureDuration_days]]/7,0)</f>
        <v>7</v>
      </c>
      <c r="J3400">
        <v>3289</v>
      </c>
      <c r="K3400" t="str">
        <f>_xlfn.CONCAT(WEEKNUM(CompilDonnées[[#This Row],[PlantationDate]]), " ", YEAR(CompilDonnées[[#This Row],[PlantationDate]]))</f>
        <v>24 2025</v>
      </c>
      <c r="L3400" t="str">
        <f>CONCATENATE(MONTH(CompilDonnées[[#This Row],[PlantationDate]])," ", YEAR(CompilDonnées[[#This Row],[PlantationDate]]))</f>
        <v>6 2025</v>
      </c>
      <c r="M3400" t="str">
        <f>CONCATENATE(MONTH(CompilDonnées[[#This Row],[HarvestingDate]])," ", YEAR(CompilDonnées[[#This Row],[HarvestingDate]]))</f>
        <v>7 2025</v>
      </c>
      <c r="N3400">
        <f>_xlfn.NUMBERVALUE(CompilDonnées[[#This Row],[FarmID]]&amp;CompilDonnées[[#This Row],[ModuleNumber]]&amp;CompilDonnées[[#This Row],[PlantationDate]])</f>
        <v>89445820</v>
      </c>
      <c r="O3400" t="str">
        <f>CompilDonnées[[#This Row],[FarmID]]&amp;CompilDonnées[[#This Row],[ModuleNumber]]</f>
        <v>894</v>
      </c>
      <c r="P3400" t="str">
        <f>CompilDonnées[[#This Row],[Ref_Module]]&amp;CompilDonnées[[#This Row],[HarvestingDate]]</f>
        <v>89445867</v>
      </c>
    </row>
    <row r="3401" spans="1:16">
      <c r="A3401" s="5">
        <v>45820</v>
      </c>
      <c r="B3401">
        <v>108</v>
      </c>
      <c r="C3401" t="s">
        <v>58</v>
      </c>
      <c r="D3401">
        <v>1</v>
      </c>
      <c r="E3401">
        <v>100</v>
      </c>
      <c r="F3401" t="s">
        <v>1</v>
      </c>
      <c r="G3401" s="6">
        <v>45862</v>
      </c>
      <c r="H3401">
        <v>42</v>
      </c>
      <c r="I3401">
        <f>ROUND(CompilDonnées[[#This Row],[CultureDuration_days]]/7,0)</f>
        <v>6</v>
      </c>
      <c r="J3401">
        <v>2784</v>
      </c>
      <c r="K3401" t="str">
        <f>_xlfn.CONCAT(WEEKNUM(CompilDonnées[[#This Row],[PlantationDate]]), " ", YEAR(CompilDonnées[[#This Row],[PlantationDate]]))</f>
        <v>24 2025</v>
      </c>
      <c r="L3401" t="str">
        <f>CONCATENATE(MONTH(CompilDonnées[[#This Row],[PlantationDate]])," ", YEAR(CompilDonnées[[#This Row],[PlantationDate]]))</f>
        <v>6 2025</v>
      </c>
      <c r="M3401" t="str">
        <f>CONCATENATE(MONTH(CompilDonnées[[#This Row],[HarvestingDate]])," ", YEAR(CompilDonnées[[#This Row],[HarvestingDate]]))</f>
        <v>7 2025</v>
      </c>
      <c r="N3401">
        <f>_xlfn.NUMBERVALUE(CompilDonnées[[#This Row],[FarmID]]&amp;CompilDonnées[[#This Row],[ModuleNumber]]&amp;CompilDonnées[[#This Row],[PlantationDate]])</f>
        <v>108145820</v>
      </c>
      <c r="O3401" t="str">
        <f>CompilDonnées[[#This Row],[FarmID]]&amp;CompilDonnées[[#This Row],[ModuleNumber]]</f>
        <v>1081</v>
      </c>
      <c r="P3401" t="str">
        <f>CompilDonnées[[#This Row],[Ref_Module]]&amp;CompilDonnées[[#This Row],[HarvestingDate]]</f>
        <v>108145862</v>
      </c>
    </row>
    <row r="3402" spans="1:16">
      <c r="A3402" s="5">
        <v>45820</v>
      </c>
      <c r="B3402">
        <v>72</v>
      </c>
      <c r="C3402" t="s">
        <v>49</v>
      </c>
      <c r="D3402">
        <v>3</v>
      </c>
      <c r="E3402">
        <v>100</v>
      </c>
      <c r="F3402" t="s">
        <v>1</v>
      </c>
      <c r="G3402" s="6">
        <v>45867</v>
      </c>
      <c r="H3402">
        <v>47</v>
      </c>
      <c r="I3402">
        <f>ROUND(CompilDonnées[[#This Row],[CultureDuration_days]]/7,0)</f>
        <v>7</v>
      </c>
      <c r="J3402">
        <v>2569</v>
      </c>
      <c r="K3402" t="str">
        <f>_xlfn.CONCAT(WEEKNUM(CompilDonnées[[#This Row],[PlantationDate]]), " ", YEAR(CompilDonnées[[#This Row],[PlantationDate]]))</f>
        <v>24 2025</v>
      </c>
      <c r="L3402" t="str">
        <f>CONCATENATE(MONTH(CompilDonnées[[#This Row],[PlantationDate]])," ", YEAR(CompilDonnées[[#This Row],[PlantationDate]]))</f>
        <v>6 2025</v>
      </c>
      <c r="M3402" t="str">
        <f>CONCATENATE(MONTH(CompilDonnées[[#This Row],[HarvestingDate]])," ", YEAR(CompilDonnées[[#This Row],[HarvestingDate]]))</f>
        <v>7 2025</v>
      </c>
      <c r="N3402">
        <f>_xlfn.NUMBERVALUE(CompilDonnées[[#This Row],[FarmID]]&amp;CompilDonnées[[#This Row],[ModuleNumber]]&amp;CompilDonnées[[#This Row],[PlantationDate]])</f>
        <v>72345820</v>
      </c>
      <c r="O3402" t="str">
        <f>CompilDonnées[[#This Row],[FarmID]]&amp;CompilDonnées[[#This Row],[ModuleNumber]]</f>
        <v>723</v>
      </c>
      <c r="P3402" t="str">
        <f>CompilDonnées[[#This Row],[Ref_Module]]&amp;CompilDonnées[[#This Row],[HarvestingDate]]</f>
        <v>72345867</v>
      </c>
    </row>
    <row r="3403" spans="1:16">
      <c r="A3403" s="5">
        <v>45820</v>
      </c>
      <c r="B3403">
        <v>71</v>
      </c>
      <c r="C3403" t="s">
        <v>19</v>
      </c>
      <c r="D3403">
        <v>5</v>
      </c>
      <c r="E3403">
        <v>100</v>
      </c>
      <c r="F3403" t="s">
        <v>1</v>
      </c>
      <c r="G3403" s="6">
        <v>45860</v>
      </c>
      <c r="H3403">
        <v>40</v>
      </c>
      <c r="I3403">
        <f>ROUND(CompilDonnées[[#This Row],[CultureDuration_days]]/7,0)</f>
        <v>6</v>
      </c>
      <c r="J3403">
        <v>2314</v>
      </c>
      <c r="K3403" t="str">
        <f>_xlfn.CONCAT(WEEKNUM(CompilDonnées[[#This Row],[PlantationDate]]), " ", YEAR(CompilDonnées[[#This Row],[PlantationDate]]))</f>
        <v>24 2025</v>
      </c>
      <c r="L3403" t="str">
        <f>CONCATENATE(MONTH(CompilDonnées[[#This Row],[PlantationDate]])," ", YEAR(CompilDonnées[[#This Row],[PlantationDate]]))</f>
        <v>6 2025</v>
      </c>
      <c r="M3403" t="str">
        <f>CONCATENATE(MONTH(CompilDonnées[[#This Row],[HarvestingDate]])," ", YEAR(CompilDonnées[[#This Row],[HarvestingDate]]))</f>
        <v>7 2025</v>
      </c>
      <c r="N3403">
        <f>_xlfn.NUMBERVALUE(CompilDonnées[[#This Row],[FarmID]]&amp;CompilDonnées[[#This Row],[ModuleNumber]]&amp;CompilDonnées[[#This Row],[PlantationDate]])</f>
        <v>71545820</v>
      </c>
      <c r="O3403" t="str">
        <f>CompilDonnées[[#This Row],[FarmID]]&amp;CompilDonnées[[#This Row],[ModuleNumber]]</f>
        <v>715</v>
      </c>
      <c r="P3403" t="str">
        <f>CompilDonnées[[#This Row],[Ref_Module]]&amp;CompilDonnées[[#This Row],[HarvestingDate]]</f>
        <v>71545860</v>
      </c>
    </row>
    <row r="3404" spans="1:16">
      <c r="A3404" s="5">
        <v>45820</v>
      </c>
      <c r="B3404">
        <v>73</v>
      </c>
      <c r="C3404" t="s">
        <v>20</v>
      </c>
      <c r="D3404">
        <v>6</v>
      </c>
      <c r="E3404">
        <v>100</v>
      </c>
      <c r="F3404" t="s">
        <v>1</v>
      </c>
      <c r="G3404" s="6">
        <v>45867</v>
      </c>
      <c r="H3404">
        <v>47</v>
      </c>
      <c r="I3404">
        <f>ROUND(CompilDonnées[[#This Row],[CultureDuration_days]]/7,0)</f>
        <v>7</v>
      </c>
      <c r="J3404">
        <v>2639</v>
      </c>
      <c r="K3404" t="str">
        <f>_xlfn.CONCAT(WEEKNUM(CompilDonnées[[#This Row],[PlantationDate]]), " ", YEAR(CompilDonnées[[#This Row],[PlantationDate]]))</f>
        <v>24 2025</v>
      </c>
      <c r="L3404" t="str">
        <f>CONCATENATE(MONTH(CompilDonnées[[#This Row],[PlantationDate]])," ", YEAR(CompilDonnées[[#This Row],[PlantationDate]]))</f>
        <v>6 2025</v>
      </c>
      <c r="M3404" t="str">
        <f>CONCATENATE(MONTH(CompilDonnées[[#This Row],[HarvestingDate]])," ", YEAR(CompilDonnées[[#This Row],[HarvestingDate]]))</f>
        <v>7 2025</v>
      </c>
      <c r="N3404">
        <f>_xlfn.NUMBERVALUE(CompilDonnées[[#This Row],[FarmID]]&amp;CompilDonnées[[#This Row],[ModuleNumber]]&amp;CompilDonnées[[#This Row],[PlantationDate]])</f>
        <v>73645820</v>
      </c>
      <c r="O3404" t="str">
        <f>CompilDonnées[[#This Row],[FarmID]]&amp;CompilDonnées[[#This Row],[ModuleNumber]]</f>
        <v>736</v>
      </c>
      <c r="P3404" t="str">
        <f>CompilDonnées[[#This Row],[Ref_Module]]&amp;CompilDonnées[[#This Row],[HarvestingDate]]</f>
        <v>73645867</v>
      </c>
    </row>
    <row r="3405" spans="1:16">
      <c r="A3405" s="5">
        <v>45820</v>
      </c>
      <c r="B3405">
        <v>77</v>
      </c>
      <c r="C3405" t="s">
        <v>75</v>
      </c>
      <c r="D3405">
        <v>4</v>
      </c>
      <c r="E3405">
        <v>100</v>
      </c>
      <c r="F3405" t="s">
        <v>1</v>
      </c>
      <c r="G3405" s="6">
        <v>45876</v>
      </c>
      <c r="H3405">
        <v>56</v>
      </c>
      <c r="I3405">
        <f>ROUND(CompilDonnées[[#This Row],[CultureDuration_days]]/7,0)</f>
        <v>8</v>
      </c>
      <c r="J3405">
        <v>2758</v>
      </c>
      <c r="K3405" t="str">
        <f>_xlfn.CONCAT(WEEKNUM(CompilDonnées[[#This Row],[PlantationDate]]), " ", YEAR(CompilDonnées[[#This Row],[PlantationDate]]))</f>
        <v>24 2025</v>
      </c>
      <c r="L3405" t="str">
        <f>CONCATENATE(MONTH(CompilDonnées[[#This Row],[PlantationDate]])," ", YEAR(CompilDonnées[[#This Row],[PlantationDate]]))</f>
        <v>6 2025</v>
      </c>
      <c r="M3405" t="str">
        <f>CONCATENATE(MONTH(CompilDonnées[[#This Row],[HarvestingDate]])," ", YEAR(CompilDonnées[[#This Row],[HarvestingDate]]))</f>
        <v>8 2025</v>
      </c>
      <c r="N3405">
        <f>_xlfn.NUMBERVALUE(CompilDonnées[[#This Row],[FarmID]]&amp;CompilDonnées[[#This Row],[ModuleNumber]]&amp;CompilDonnées[[#This Row],[PlantationDate]])</f>
        <v>77445820</v>
      </c>
      <c r="O3405" t="str">
        <f>CompilDonnées[[#This Row],[FarmID]]&amp;CompilDonnées[[#This Row],[ModuleNumber]]</f>
        <v>774</v>
      </c>
      <c r="P3405" t="str">
        <f>CompilDonnées[[#This Row],[Ref_Module]]&amp;CompilDonnées[[#This Row],[HarvestingDate]]</f>
        <v>77445876</v>
      </c>
    </row>
    <row r="3406" spans="1:16">
      <c r="A3406" s="5">
        <v>45820</v>
      </c>
      <c r="B3406">
        <v>76</v>
      </c>
      <c r="C3406" t="s">
        <v>18</v>
      </c>
      <c r="D3406">
        <v>4</v>
      </c>
      <c r="E3406">
        <v>100</v>
      </c>
      <c r="F3406" t="s">
        <v>1</v>
      </c>
      <c r="G3406" s="6">
        <v>45867</v>
      </c>
      <c r="H3406">
        <v>47</v>
      </c>
      <c r="I3406">
        <f>ROUND(CompilDonnées[[#This Row],[CultureDuration_days]]/7,0)</f>
        <v>7</v>
      </c>
      <c r="J3406">
        <v>2724</v>
      </c>
      <c r="K3406" t="str">
        <f>_xlfn.CONCAT(WEEKNUM(CompilDonnées[[#This Row],[PlantationDate]]), " ", YEAR(CompilDonnées[[#This Row],[PlantationDate]]))</f>
        <v>24 2025</v>
      </c>
      <c r="L3406" t="str">
        <f>CONCATENATE(MONTH(CompilDonnées[[#This Row],[PlantationDate]])," ", YEAR(CompilDonnées[[#This Row],[PlantationDate]]))</f>
        <v>6 2025</v>
      </c>
      <c r="M3406" t="str">
        <f>CONCATENATE(MONTH(CompilDonnées[[#This Row],[HarvestingDate]])," ", YEAR(CompilDonnées[[#This Row],[HarvestingDate]]))</f>
        <v>7 2025</v>
      </c>
      <c r="N3406">
        <f>_xlfn.NUMBERVALUE(CompilDonnées[[#This Row],[FarmID]]&amp;CompilDonnées[[#This Row],[ModuleNumber]]&amp;CompilDonnées[[#This Row],[PlantationDate]])</f>
        <v>76445820</v>
      </c>
      <c r="O3406" t="str">
        <f>CompilDonnées[[#This Row],[FarmID]]&amp;CompilDonnées[[#This Row],[ModuleNumber]]</f>
        <v>764</v>
      </c>
      <c r="P3406" t="str">
        <f>CompilDonnées[[#This Row],[Ref_Module]]&amp;CompilDonnées[[#This Row],[HarvestingDate]]</f>
        <v>76445867</v>
      </c>
    </row>
    <row r="3407" spans="1:16">
      <c r="A3407" s="5">
        <v>45820</v>
      </c>
      <c r="B3407">
        <v>84</v>
      </c>
      <c r="C3407" t="s">
        <v>65</v>
      </c>
      <c r="D3407">
        <v>2</v>
      </c>
      <c r="E3407">
        <v>100</v>
      </c>
      <c r="F3407" t="s">
        <v>1</v>
      </c>
      <c r="G3407" s="6">
        <v>45861</v>
      </c>
      <c r="H3407">
        <v>41</v>
      </c>
      <c r="I3407">
        <f>ROUND(CompilDonnées[[#This Row],[CultureDuration_days]]/7,0)</f>
        <v>6</v>
      </c>
      <c r="J3407">
        <v>3802</v>
      </c>
      <c r="K3407" t="str">
        <f>_xlfn.CONCAT(WEEKNUM(CompilDonnées[[#This Row],[PlantationDate]]), " ", YEAR(CompilDonnées[[#This Row],[PlantationDate]]))</f>
        <v>24 2025</v>
      </c>
      <c r="L3407" t="str">
        <f>CONCATENATE(MONTH(CompilDonnées[[#This Row],[PlantationDate]])," ", YEAR(CompilDonnées[[#This Row],[PlantationDate]]))</f>
        <v>6 2025</v>
      </c>
      <c r="M3407" t="str">
        <f>CONCATENATE(MONTH(CompilDonnées[[#This Row],[HarvestingDate]])," ", YEAR(CompilDonnées[[#This Row],[HarvestingDate]]))</f>
        <v>7 2025</v>
      </c>
      <c r="N3407">
        <f>_xlfn.NUMBERVALUE(CompilDonnées[[#This Row],[FarmID]]&amp;CompilDonnées[[#This Row],[ModuleNumber]]&amp;CompilDonnées[[#This Row],[PlantationDate]])</f>
        <v>84245820</v>
      </c>
      <c r="O3407" t="str">
        <f>CompilDonnées[[#This Row],[FarmID]]&amp;CompilDonnées[[#This Row],[ModuleNumber]]</f>
        <v>842</v>
      </c>
      <c r="P3407" t="str">
        <f>CompilDonnées[[#This Row],[Ref_Module]]&amp;CompilDonnées[[#This Row],[HarvestingDate]]</f>
        <v>84245861</v>
      </c>
    </row>
    <row r="3408" spans="1:16">
      <c r="A3408" s="5">
        <v>45820</v>
      </c>
      <c r="B3408">
        <v>74</v>
      </c>
      <c r="C3408" t="s">
        <v>21</v>
      </c>
      <c r="D3408">
        <v>6</v>
      </c>
      <c r="E3408">
        <v>100</v>
      </c>
      <c r="F3408" t="s">
        <v>1</v>
      </c>
      <c r="G3408" s="6">
        <v>45860</v>
      </c>
      <c r="H3408">
        <v>40</v>
      </c>
      <c r="I3408">
        <f>ROUND(CompilDonnées[[#This Row],[CultureDuration_days]]/7,0)</f>
        <v>6</v>
      </c>
      <c r="J3408">
        <v>2468</v>
      </c>
      <c r="K3408" t="str">
        <f>_xlfn.CONCAT(WEEKNUM(CompilDonnées[[#This Row],[PlantationDate]]), " ", YEAR(CompilDonnées[[#This Row],[PlantationDate]]))</f>
        <v>24 2025</v>
      </c>
      <c r="L3408" t="str">
        <f>CONCATENATE(MONTH(CompilDonnées[[#This Row],[PlantationDate]])," ", YEAR(CompilDonnées[[#This Row],[PlantationDate]]))</f>
        <v>6 2025</v>
      </c>
      <c r="M3408" t="str">
        <f>CONCATENATE(MONTH(CompilDonnées[[#This Row],[HarvestingDate]])," ", YEAR(CompilDonnées[[#This Row],[HarvestingDate]]))</f>
        <v>7 2025</v>
      </c>
      <c r="N3408">
        <f>_xlfn.NUMBERVALUE(CompilDonnées[[#This Row],[FarmID]]&amp;CompilDonnées[[#This Row],[ModuleNumber]]&amp;CompilDonnées[[#This Row],[PlantationDate]])</f>
        <v>74645820</v>
      </c>
      <c r="O3408" t="str">
        <f>CompilDonnées[[#This Row],[FarmID]]&amp;CompilDonnées[[#This Row],[ModuleNumber]]</f>
        <v>746</v>
      </c>
      <c r="P3408" t="str">
        <f>CompilDonnées[[#This Row],[Ref_Module]]&amp;CompilDonnées[[#This Row],[HarvestingDate]]</f>
        <v>74645860</v>
      </c>
    </row>
    <row r="3409" spans="1:16">
      <c r="A3409" s="5">
        <v>45820</v>
      </c>
      <c r="B3409">
        <v>67</v>
      </c>
      <c r="C3409" t="s">
        <v>28</v>
      </c>
      <c r="D3409">
        <v>5</v>
      </c>
      <c r="E3409">
        <v>100</v>
      </c>
      <c r="F3409" t="s">
        <v>1</v>
      </c>
      <c r="G3409" s="6">
        <v>45860</v>
      </c>
      <c r="H3409">
        <v>40</v>
      </c>
      <c r="I3409">
        <f>ROUND(CompilDonnées[[#This Row],[CultureDuration_days]]/7,0)</f>
        <v>6</v>
      </c>
      <c r="J3409">
        <v>3587</v>
      </c>
      <c r="K3409" t="str">
        <f>_xlfn.CONCAT(WEEKNUM(CompilDonnées[[#This Row],[PlantationDate]]), " ", YEAR(CompilDonnées[[#This Row],[PlantationDate]]))</f>
        <v>24 2025</v>
      </c>
      <c r="L3409" t="str">
        <f>CONCATENATE(MONTH(CompilDonnées[[#This Row],[PlantationDate]])," ", YEAR(CompilDonnées[[#This Row],[PlantationDate]]))</f>
        <v>6 2025</v>
      </c>
      <c r="M3409" t="str">
        <f>CONCATENATE(MONTH(CompilDonnées[[#This Row],[HarvestingDate]])," ", YEAR(CompilDonnées[[#This Row],[HarvestingDate]]))</f>
        <v>7 2025</v>
      </c>
      <c r="N3409">
        <f>_xlfn.NUMBERVALUE(CompilDonnées[[#This Row],[FarmID]]&amp;CompilDonnées[[#This Row],[ModuleNumber]]&amp;CompilDonnées[[#This Row],[PlantationDate]])</f>
        <v>67545820</v>
      </c>
      <c r="O3409" t="str">
        <f>CompilDonnées[[#This Row],[FarmID]]&amp;CompilDonnées[[#This Row],[ModuleNumber]]</f>
        <v>675</v>
      </c>
      <c r="P3409" t="str">
        <f>CompilDonnées[[#This Row],[Ref_Module]]&amp;CompilDonnées[[#This Row],[HarvestingDate]]</f>
        <v>67545860</v>
      </c>
    </row>
    <row r="3410" spans="1:16">
      <c r="A3410" s="5">
        <v>45820</v>
      </c>
      <c r="B3410">
        <v>56</v>
      </c>
      <c r="C3410" t="s">
        <v>6</v>
      </c>
      <c r="D3410">
        <v>2</v>
      </c>
      <c r="E3410">
        <v>100</v>
      </c>
      <c r="F3410" t="s">
        <v>1</v>
      </c>
      <c r="G3410" s="6">
        <v>45860</v>
      </c>
      <c r="H3410">
        <v>40</v>
      </c>
      <c r="I3410">
        <f>ROUND(CompilDonnées[[#This Row],[CultureDuration_days]]/7,0)</f>
        <v>6</v>
      </c>
      <c r="J3410">
        <v>3023</v>
      </c>
      <c r="K3410" t="str">
        <f>_xlfn.CONCAT(WEEKNUM(CompilDonnées[[#This Row],[PlantationDate]]), " ", YEAR(CompilDonnées[[#This Row],[PlantationDate]]))</f>
        <v>24 2025</v>
      </c>
      <c r="L3410" t="str">
        <f>CONCATENATE(MONTH(CompilDonnées[[#This Row],[PlantationDate]])," ", YEAR(CompilDonnées[[#This Row],[PlantationDate]]))</f>
        <v>6 2025</v>
      </c>
      <c r="M3410" t="str">
        <f>CONCATENATE(MONTH(CompilDonnées[[#This Row],[HarvestingDate]])," ", YEAR(CompilDonnées[[#This Row],[HarvestingDate]]))</f>
        <v>7 2025</v>
      </c>
      <c r="N3410">
        <f>_xlfn.NUMBERVALUE(CompilDonnées[[#This Row],[FarmID]]&amp;CompilDonnées[[#This Row],[ModuleNumber]]&amp;CompilDonnées[[#This Row],[PlantationDate]])</f>
        <v>56245820</v>
      </c>
      <c r="O3410" t="str">
        <f>CompilDonnées[[#This Row],[FarmID]]&amp;CompilDonnées[[#This Row],[ModuleNumber]]</f>
        <v>562</v>
      </c>
      <c r="P3410" t="str">
        <f>CompilDonnées[[#This Row],[Ref_Module]]&amp;CompilDonnées[[#This Row],[HarvestingDate]]</f>
        <v>56245860</v>
      </c>
    </row>
    <row r="3411" spans="1:16">
      <c r="A3411" s="5">
        <v>45820</v>
      </c>
      <c r="B3411">
        <v>66</v>
      </c>
      <c r="C3411" t="s">
        <v>48</v>
      </c>
      <c r="D3411">
        <v>6</v>
      </c>
      <c r="E3411">
        <v>100</v>
      </c>
      <c r="F3411" t="s">
        <v>1</v>
      </c>
      <c r="G3411" s="6">
        <v>45860</v>
      </c>
      <c r="H3411">
        <v>40</v>
      </c>
      <c r="I3411">
        <f>ROUND(CompilDonnées[[#This Row],[CultureDuration_days]]/7,0)</f>
        <v>6</v>
      </c>
      <c r="J3411">
        <v>2279</v>
      </c>
      <c r="K3411" t="str">
        <f>_xlfn.CONCAT(WEEKNUM(CompilDonnées[[#This Row],[PlantationDate]]), " ", YEAR(CompilDonnées[[#This Row],[PlantationDate]]))</f>
        <v>24 2025</v>
      </c>
      <c r="L3411" t="str">
        <f>CONCATENATE(MONTH(CompilDonnées[[#This Row],[PlantationDate]])," ", YEAR(CompilDonnées[[#This Row],[PlantationDate]]))</f>
        <v>6 2025</v>
      </c>
      <c r="M3411" t="str">
        <f>CONCATENATE(MONTH(CompilDonnées[[#This Row],[HarvestingDate]])," ", YEAR(CompilDonnées[[#This Row],[HarvestingDate]]))</f>
        <v>7 2025</v>
      </c>
      <c r="N3411">
        <f>_xlfn.NUMBERVALUE(CompilDonnées[[#This Row],[FarmID]]&amp;CompilDonnées[[#This Row],[ModuleNumber]]&amp;CompilDonnées[[#This Row],[PlantationDate]])</f>
        <v>66645820</v>
      </c>
      <c r="O3411" t="str">
        <f>CompilDonnées[[#This Row],[FarmID]]&amp;CompilDonnées[[#This Row],[ModuleNumber]]</f>
        <v>666</v>
      </c>
      <c r="P3411" t="str">
        <f>CompilDonnées[[#This Row],[Ref_Module]]&amp;CompilDonnées[[#This Row],[HarvestingDate]]</f>
        <v>66645860</v>
      </c>
    </row>
    <row r="3412" spans="1:16">
      <c r="A3412" s="5">
        <v>45820</v>
      </c>
      <c r="B3412">
        <v>130</v>
      </c>
      <c r="C3412" t="s">
        <v>3</v>
      </c>
      <c r="D3412">
        <v>2</v>
      </c>
      <c r="E3412">
        <v>60</v>
      </c>
      <c r="F3412" t="s">
        <v>105</v>
      </c>
      <c r="G3412" s="6">
        <v>45866</v>
      </c>
      <c r="H3412">
        <v>46</v>
      </c>
      <c r="I3412">
        <f>ROUND(CompilDonnées[[#This Row],[CultureDuration_days]]/7,0)</f>
        <v>7</v>
      </c>
      <c r="J3412">
        <v>640</v>
      </c>
      <c r="K3412" t="str">
        <f>_xlfn.CONCAT(WEEKNUM(CompilDonnées[[#This Row],[PlantationDate]]), " ", YEAR(CompilDonnées[[#This Row],[PlantationDate]]))</f>
        <v>24 2025</v>
      </c>
      <c r="L3412" t="str">
        <f>CONCATENATE(MONTH(CompilDonnées[[#This Row],[PlantationDate]])," ", YEAR(CompilDonnées[[#This Row],[PlantationDate]]))</f>
        <v>6 2025</v>
      </c>
      <c r="M3412" t="str">
        <f>CONCATENATE(MONTH(CompilDonnées[[#This Row],[HarvestingDate]])," ", YEAR(CompilDonnées[[#This Row],[HarvestingDate]]))</f>
        <v>7 2025</v>
      </c>
      <c r="N3412">
        <f>_xlfn.NUMBERVALUE(CompilDonnées[[#This Row],[FarmID]]&amp;CompilDonnées[[#This Row],[ModuleNumber]]&amp;CompilDonnées[[#This Row],[PlantationDate]])</f>
        <v>130245820</v>
      </c>
      <c r="O3412" t="str">
        <f>CompilDonnées[[#This Row],[FarmID]]&amp;CompilDonnées[[#This Row],[ModuleNumber]]</f>
        <v>1302</v>
      </c>
      <c r="P3412" t="str">
        <f>CompilDonnées[[#This Row],[Ref_Module]]&amp;CompilDonnées[[#This Row],[HarvestingDate]]</f>
        <v>130245866</v>
      </c>
    </row>
    <row r="3413" spans="1:16">
      <c r="A3413" s="5">
        <v>45820</v>
      </c>
      <c r="B3413">
        <v>137</v>
      </c>
      <c r="C3413" t="s">
        <v>3</v>
      </c>
      <c r="D3413">
        <v>1</v>
      </c>
      <c r="E3413">
        <v>60</v>
      </c>
      <c r="F3413" t="s">
        <v>105</v>
      </c>
      <c r="G3413" s="6">
        <v>45878</v>
      </c>
      <c r="H3413">
        <v>58</v>
      </c>
      <c r="I3413">
        <f>ROUND(CompilDonnées[[#This Row],[CultureDuration_days]]/7,0)</f>
        <v>8</v>
      </c>
      <c r="J3413">
        <v>856</v>
      </c>
      <c r="K3413" t="str">
        <f>_xlfn.CONCAT(WEEKNUM(CompilDonnées[[#This Row],[PlantationDate]]), " ", YEAR(CompilDonnées[[#This Row],[PlantationDate]]))</f>
        <v>24 2025</v>
      </c>
      <c r="L3413" t="str">
        <f>CONCATENATE(MONTH(CompilDonnées[[#This Row],[PlantationDate]])," ", YEAR(CompilDonnées[[#This Row],[PlantationDate]]))</f>
        <v>6 2025</v>
      </c>
      <c r="M3413" t="str">
        <f>CONCATENATE(MONTH(CompilDonnées[[#This Row],[HarvestingDate]])," ", YEAR(CompilDonnées[[#This Row],[HarvestingDate]]))</f>
        <v>8 2025</v>
      </c>
      <c r="N3413">
        <f>_xlfn.NUMBERVALUE(CompilDonnées[[#This Row],[FarmID]]&amp;CompilDonnées[[#This Row],[ModuleNumber]]&amp;CompilDonnées[[#This Row],[PlantationDate]])</f>
        <v>137145820</v>
      </c>
      <c r="O3413" t="str">
        <f>CompilDonnées[[#This Row],[FarmID]]&amp;CompilDonnées[[#This Row],[ModuleNumber]]</f>
        <v>1371</v>
      </c>
      <c r="P3413" t="str">
        <f>CompilDonnées[[#This Row],[Ref_Module]]&amp;CompilDonnées[[#This Row],[HarvestingDate]]</f>
        <v>137145878</v>
      </c>
    </row>
    <row r="3414" spans="1:16">
      <c r="A3414" s="5">
        <v>45820</v>
      </c>
      <c r="B3414">
        <v>137</v>
      </c>
      <c r="C3414" t="s">
        <v>3</v>
      </c>
      <c r="D3414">
        <v>2</v>
      </c>
      <c r="E3414">
        <v>60</v>
      </c>
      <c r="F3414" t="s">
        <v>105</v>
      </c>
      <c r="G3414" s="6">
        <v>45878</v>
      </c>
      <c r="H3414">
        <v>58</v>
      </c>
      <c r="I3414">
        <f>ROUND(CompilDonnées[[#This Row],[CultureDuration_days]]/7,0)</f>
        <v>8</v>
      </c>
      <c r="J3414">
        <v>902</v>
      </c>
      <c r="K3414" t="str">
        <f>_xlfn.CONCAT(WEEKNUM(CompilDonnées[[#This Row],[PlantationDate]]), " ", YEAR(CompilDonnées[[#This Row],[PlantationDate]]))</f>
        <v>24 2025</v>
      </c>
      <c r="L3414" t="str">
        <f>CONCATENATE(MONTH(CompilDonnées[[#This Row],[PlantationDate]])," ", YEAR(CompilDonnées[[#This Row],[PlantationDate]]))</f>
        <v>6 2025</v>
      </c>
      <c r="M3414" t="str">
        <f>CONCATENATE(MONTH(CompilDonnées[[#This Row],[HarvestingDate]])," ", YEAR(CompilDonnées[[#This Row],[HarvestingDate]]))</f>
        <v>8 2025</v>
      </c>
      <c r="N3414">
        <f>_xlfn.NUMBERVALUE(CompilDonnées[[#This Row],[FarmID]]&amp;CompilDonnées[[#This Row],[ModuleNumber]]&amp;CompilDonnées[[#This Row],[PlantationDate]])</f>
        <v>137245820</v>
      </c>
      <c r="O3414" t="str">
        <f>CompilDonnées[[#This Row],[FarmID]]&amp;CompilDonnées[[#This Row],[ModuleNumber]]</f>
        <v>1372</v>
      </c>
      <c r="P3414" t="str">
        <f>CompilDonnées[[#This Row],[Ref_Module]]&amp;CompilDonnées[[#This Row],[HarvestingDate]]</f>
        <v>137245878</v>
      </c>
    </row>
    <row r="3415" spans="1:16">
      <c r="A3415" s="5">
        <v>45820</v>
      </c>
      <c r="B3415">
        <v>137</v>
      </c>
      <c r="C3415" t="s">
        <v>3</v>
      </c>
      <c r="D3415">
        <v>3</v>
      </c>
      <c r="E3415">
        <v>60</v>
      </c>
      <c r="F3415" t="s">
        <v>105</v>
      </c>
      <c r="G3415" s="6">
        <v>45878</v>
      </c>
      <c r="H3415">
        <v>58</v>
      </c>
      <c r="I3415">
        <f>ROUND(CompilDonnées[[#This Row],[CultureDuration_days]]/7,0)</f>
        <v>8</v>
      </c>
      <c r="J3415">
        <v>812</v>
      </c>
      <c r="K3415" t="str">
        <f>_xlfn.CONCAT(WEEKNUM(CompilDonnées[[#This Row],[PlantationDate]]), " ", YEAR(CompilDonnées[[#This Row],[PlantationDate]]))</f>
        <v>24 2025</v>
      </c>
      <c r="L3415" t="str">
        <f>CONCATENATE(MONTH(CompilDonnées[[#This Row],[PlantationDate]])," ", YEAR(CompilDonnées[[#This Row],[PlantationDate]]))</f>
        <v>6 2025</v>
      </c>
      <c r="M3415" t="str">
        <f>CONCATENATE(MONTH(CompilDonnées[[#This Row],[HarvestingDate]])," ", YEAR(CompilDonnées[[#This Row],[HarvestingDate]]))</f>
        <v>8 2025</v>
      </c>
      <c r="N3415">
        <f>_xlfn.NUMBERVALUE(CompilDonnées[[#This Row],[FarmID]]&amp;CompilDonnées[[#This Row],[ModuleNumber]]&amp;CompilDonnées[[#This Row],[PlantationDate]])</f>
        <v>137345820</v>
      </c>
      <c r="O3415" t="str">
        <f>CompilDonnées[[#This Row],[FarmID]]&amp;CompilDonnées[[#This Row],[ModuleNumber]]</f>
        <v>1373</v>
      </c>
      <c r="P3415" t="str">
        <f>CompilDonnées[[#This Row],[Ref_Module]]&amp;CompilDonnées[[#This Row],[HarvestingDate]]</f>
        <v>137345878</v>
      </c>
    </row>
    <row r="3416" spans="1:16">
      <c r="A3416" s="5">
        <v>45821</v>
      </c>
      <c r="B3416">
        <v>15</v>
      </c>
      <c r="C3416" t="s">
        <v>5</v>
      </c>
      <c r="D3416">
        <v>4</v>
      </c>
      <c r="E3416">
        <v>100</v>
      </c>
      <c r="F3416" t="s">
        <v>1</v>
      </c>
      <c r="G3416" s="6">
        <v>45859</v>
      </c>
      <c r="H3416">
        <v>38</v>
      </c>
      <c r="I3416">
        <f>ROUND(CompilDonnées[[#This Row],[CultureDuration_days]]/7,0)</f>
        <v>5</v>
      </c>
      <c r="J3416">
        <v>2146</v>
      </c>
      <c r="K3416" t="str">
        <f>_xlfn.CONCAT(WEEKNUM(CompilDonnées[[#This Row],[PlantationDate]]), " ", YEAR(CompilDonnées[[#This Row],[PlantationDate]]))</f>
        <v>24 2025</v>
      </c>
      <c r="L3416" t="str">
        <f>CONCATENATE(MONTH(CompilDonnées[[#This Row],[PlantationDate]])," ", YEAR(CompilDonnées[[#This Row],[PlantationDate]]))</f>
        <v>6 2025</v>
      </c>
      <c r="M3416" t="str">
        <f>CONCATENATE(MONTH(CompilDonnées[[#This Row],[HarvestingDate]])," ", YEAR(CompilDonnées[[#This Row],[HarvestingDate]]))</f>
        <v>7 2025</v>
      </c>
      <c r="N3416">
        <f>_xlfn.NUMBERVALUE(CompilDonnées[[#This Row],[FarmID]]&amp;CompilDonnées[[#This Row],[ModuleNumber]]&amp;CompilDonnées[[#This Row],[PlantationDate]])</f>
        <v>15445821</v>
      </c>
      <c r="O3416" t="str">
        <f>CompilDonnées[[#This Row],[FarmID]]&amp;CompilDonnées[[#This Row],[ModuleNumber]]</f>
        <v>154</v>
      </c>
      <c r="P3416" t="str">
        <f>CompilDonnées[[#This Row],[Ref_Module]]&amp;CompilDonnées[[#This Row],[HarvestingDate]]</f>
        <v>15445859</v>
      </c>
    </row>
    <row r="3417" spans="1:16">
      <c r="A3417" s="5">
        <v>45821</v>
      </c>
      <c r="B3417">
        <v>23</v>
      </c>
      <c r="C3417" t="s">
        <v>44</v>
      </c>
      <c r="D3417">
        <v>6</v>
      </c>
      <c r="E3417">
        <v>100</v>
      </c>
      <c r="F3417" t="s">
        <v>1</v>
      </c>
      <c r="G3417" s="6">
        <v>45859</v>
      </c>
      <c r="H3417">
        <v>38</v>
      </c>
      <c r="I3417">
        <f>ROUND(CompilDonnées[[#This Row],[CultureDuration_days]]/7,0)</f>
        <v>5</v>
      </c>
      <c r="J3417">
        <v>3966</v>
      </c>
      <c r="K3417" t="str">
        <f>_xlfn.CONCAT(WEEKNUM(CompilDonnées[[#This Row],[PlantationDate]]), " ", YEAR(CompilDonnées[[#This Row],[PlantationDate]]))</f>
        <v>24 2025</v>
      </c>
      <c r="L3417" t="str">
        <f>CONCATENATE(MONTH(CompilDonnées[[#This Row],[PlantationDate]])," ", YEAR(CompilDonnées[[#This Row],[PlantationDate]]))</f>
        <v>6 2025</v>
      </c>
      <c r="M3417" t="str">
        <f>CONCATENATE(MONTH(CompilDonnées[[#This Row],[HarvestingDate]])," ", YEAR(CompilDonnées[[#This Row],[HarvestingDate]]))</f>
        <v>7 2025</v>
      </c>
      <c r="N3417">
        <f>_xlfn.NUMBERVALUE(CompilDonnées[[#This Row],[FarmID]]&amp;CompilDonnées[[#This Row],[ModuleNumber]]&amp;CompilDonnées[[#This Row],[PlantationDate]])</f>
        <v>23645821</v>
      </c>
      <c r="O3417" t="str">
        <f>CompilDonnées[[#This Row],[FarmID]]&amp;CompilDonnées[[#This Row],[ModuleNumber]]</f>
        <v>236</v>
      </c>
      <c r="P3417" t="str">
        <f>CompilDonnées[[#This Row],[Ref_Module]]&amp;CompilDonnées[[#This Row],[HarvestingDate]]</f>
        <v>23645859</v>
      </c>
    </row>
    <row r="3418" spans="1:16">
      <c r="A3418" s="5">
        <v>45821</v>
      </c>
      <c r="B3418">
        <v>45</v>
      </c>
      <c r="C3418" t="s">
        <v>77</v>
      </c>
      <c r="D3418">
        <v>4</v>
      </c>
      <c r="E3418">
        <v>100</v>
      </c>
      <c r="F3418" t="s">
        <v>1</v>
      </c>
      <c r="G3418" s="6">
        <v>45860</v>
      </c>
      <c r="H3418">
        <v>39</v>
      </c>
      <c r="I3418">
        <f>ROUND(CompilDonnées[[#This Row],[CultureDuration_days]]/7,0)</f>
        <v>6</v>
      </c>
      <c r="J3418">
        <v>3605</v>
      </c>
      <c r="K3418" t="str">
        <f>_xlfn.CONCAT(WEEKNUM(CompilDonnées[[#This Row],[PlantationDate]]), " ", YEAR(CompilDonnées[[#This Row],[PlantationDate]]))</f>
        <v>24 2025</v>
      </c>
      <c r="L3418" t="str">
        <f>CONCATENATE(MONTH(CompilDonnées[[#This Row],[PlantationDate]])," ", YEAR(CompilDonnées[[#This Row],[PlantationDate]]))</f>
        <v>6 2025</v>
      </c>
      <c r="M3418" t="str">
        <f>CONCATENATE(MONTH(CompilDonnées[[#This Row],[HarvestingDate]])," ", YEAR(CompilDonnées[[#This Row],[HarvestingDate]]))</f>
        <v>7 2025</v>
      </c>
      <c r="N3418">
        <f>_xlfn.NUMBERVALUE(CompilDonnées[[#This Row],[FarmID]]&amp;CompilDonnées[[#This Row],[ModuleNumber]]&amp;CompilDonnées[[#This Row],[PlantationDate]])</f>
        <v>45445821</v>
      </c>
      <c r="O3418" t="str">
        <f>CompilDonnées[[#This Row],[FarmID]]&amp;CompilDonnées[[#This Row],[ModuleNumber]]</f>
        <v>454</v>
      </c>
      <c r="P3418" t="str">
        <f>CompilDonnées[[#This Row],[Ref_Module]]&amp;CompilDonnées[[#This Row],[HarvestingDate]]</f>
        <v>45445860</v>
      </c>
    </row>
    <row r="3419" spans="1:16">
      <c r="A3419" s="5">
        <v>45821</v>
      </c>
      <c r="B3419">
        <v>43</v>
      </c>
      <c r="C3419" t="s">
        <v>45</v>
      </c>
      <c r="D3419">
        <v>1</v>
      </c>
      <c r="E3419">
        <v>100</v>
      </c>
      <c r="F3419" t="s">
        <v>1</v>
      </c>
      <c r="G3419" s="6">
        <v>45859</v>
      </c>
      <c r="H3419">
        <v>38</v>
      </c>
      <c r="I3419">
        <f>ROUND(CompilDonnées[[#This Row],[CultureDuration_days]]/7,0)</f>
        <v>5</v>
      </c>
      <c r="J3419">
        <v>2076</v>
      </c>
      <c r="K3419" t="str">
        <f>_xlfn.CONCAT(WEEKNUM(CompilDonnées[[#This Row],[PlantationDate]]), " ", YEAR(CompilDonnées[[#This Row],[PlantationDate]]))</f>
        <v>24 2025</v>
      </c>
      <c r="L3419" t="str">
        <f>CONCATENATE(MONTH(CompilDonnées[[#This Row],[PlantationDate]])," ", YEAR(CompilDonnées[[#This Row],[PlantationDate]]))</f>
        <v>6 2025</v>
      </c>
      <c r="M3419" t="str">
        <f>CONCATENATE(MONTH(CompilDonnées[[#This Row],[HarvestingDate]])," ", YEAR(CompilDonnées[[#This Row],[HarvestingDate]]))</f>
        <v>7 2025</v>
      </c>
      <c r="N3419">
        <f>_xlfn.NUMBERVALUE(CompilDonnées[[#This Row],[FarmID]]&amp;CompilDonnées[[#This Row],[ModuleNumber]]&amp;CompilDonnées[[#This Row],[PlantationDate]])</f>
        <v>43145821</v>
      </c>
      <c r="O3419" t="str">
        <f>CompilDonnées[[#This Row],[FarmID]]&amp;CompilDonnées[[#This Row],[ModuleNumber]]</f>
        <v>431</v>
      </c>
      <c r="P3419" t="str">
        <f>CompilDonnées[[#This Row],[Ref_Module]]&amp;CompilDonnées[[#This Row],[HarvestingDate]]</f>
        <v>43145859</v>
      </c>
    </row>
    <row r="3420" spans="1:16">
      <c r="A3420" s="5">
        <v>45821</v>
      </c>
      <c r="B3420">
        <v>41</v>
      </c>
      <c r="C3420" t="s">
        <v>70</v>
      </c>
      <c r="D3420">
        <v>1</v>
      </c>
      <c r="E3420">
        <v>100</v>
      </c>
      <c r="F3420" t="s">
        <v>1</v>
      </c>
      <c r="G3420" s="6">
        <v>45859</v>
      </c>
      <c r="H3420">
        <v>38</v>
      </c>
      <c r="I3420">
        <f>ROUND(CompilDonnées[[#This Row],[CultureDuration_days]]/7,0)</f>
        <v>5</v>
      </c>
      <c r="J3420">
        <v>2114</v>
      </c>
      <c r="K3420" t="str">
        <f>_xlfn.CONCAT(WEEKNUM(CompilDonnées[[#This Row],[PlantationDate]]), " ", YEAR(CompilDonnées[[#This Row],[PlantationDate]]))</f>
        <v>24 2025</v>
      </c>
      <c r="L3420" t="str">
        <f>CONCATENATE(MONTH(CompilDonnées[[#This Row],[PlantationDate]])," ", YEAR(CompilDonnées[[#This Row],[PlantationDate]]))</f>
        <v>6 2025</v>
      </c>
      <c r="M3420" t="str">
        <f>CONCATENATE(MONTH(CompilDonnées[[#This Row],[HarvestingDate]])," ", YEAR(CompilDonnées[[#This Row],[HarvestingDate]]))</f>
        <v>7 2025</v>
      </c>
      <c r="N3420">
        <f>_xlfn.NUMBERVALUE(CompilDonnées[[#This Row],[FarmID]]&amp;CompilDonnées[[#This Row],[ModuleNumber]]&amp;CompilDonnées[[#This Row],[PlantationDate]])</f>
        <v>41145821</v>
      </c>
      <c r="O3420" t="str">
        <f>CompilDonnées[[#This Row],[FarmID]]&amp;CompilDonnées[[#This Row],[ModuleNumber]]</f>
        <v>411</v>
      </c>
      <c r="P3420" t="str">
        <f>CompilDonnées[[#This Row],[Ref_Module]]&amp;CompilDonnées[[#This Row],[HarvestingDate]]</f>
        <v>41145859</v>
      </c>
    </row>
    <row r="3421" spans="1:16">
      <c r="A3421" s="5">
        <v>45821</v>
      </c>
      <c r="B3421">
        <v>54</v>
      </c>
      <c r="C3421" t="s">
        <v>39</v>
      </c>
      <c r="D3421">
        <v>2</v>
      </c>
      <c r="E3421">
        <v>100</v>
      </c>
      <c r="F3421" t="s">
        <v>1</v>
      </c>
      <c r="G3421" s="6">
        <v>45876</v>
      </c>
      <c r="H3421">
        <v>55</v>
      </c>
      <c r="I3421">
        <f>ROUND(CompilDonnées[[#This Row],[CultureDuration_days]]/7,0)</f>
        <v>8</v>
      </c>
      <c r="J3421">
        <v>2337</v>
      </c>
      <c r="K3421" t="str">
        <f>_xlfn.CONCAT(WEEKNUM(CompilDonnées[[#This Row],[PlantationDate]]), " ", YEAR(CompilDonnées[[#This Row],[PlantationDate]]))</f>
        <v>24 2025</v>
      </c>
      <c r="L3421" t="str">
        <f>CONCATENATE(MONTH(CompilDonnées[[#This Row],[PlantationDate]])," ", YEAR(CompilDonnées[[#This Row],[PlantationDate]]))</f>
        <v>6 2025</v>
      </c>
      <c r="M3421" t="str">
        <f>CONCATENATE(MONTH(CompilDonnées[[#This Row],[HarvestingDate]])," ", YEAR(CompilDonnées[[#This Row],[HarvestingDate]]))</f>
        <v>8 2025</v>
      </c>
      <c r="N3421">
        <f>_xlfn.NUMBERVALUE(CompilDonnées[[#This Row],[FarmID]]&amp;CompilDonnées[[#This Row],[ModuleNumber]]&amp;CompilDonnées[[#This Row],[PlantationDate]])</f>
        <v>54245821</v>
      </c>
      <c r="O3421" t="str">
        <f>CompilDonnées[[#This Row],[FarmID]]&amp;CompilDonnées[[#This Row],[ModuleNumber]]</f>
        <v>542</v>
      </c>
      <c r="P3421" t="str">
        <f>CompilDonnées[[#This Row],[Ref_Module]]&amp;CompilDonnées[[#This Row],[HarvestingDate]]</f>
        <v>54245876</v>
      </c>
    </row>
    <row r="3422" spans="1:16">
      <c r="A3422" s="5">
        <v>45821</v>
      </c>
      <c r="B3422">
        <v>47</v>
      </c>
      <c r="C3422" t="s">
        <v>12</v>
      </c>
      <c r="D3422">
        <v>2</v>
      </c>
      <c r="E3422">
        <v>100</v>
      </c>
      <c r="F3422" t="s">
        <v>1</v>
      </c>
      <c r="G3422" s="6">
        <v>45868</v>
      </c>
      <c r="H3422">
        <v>47</v>
      </c>
      <c r="I3422">
        <f>ROUND(CompilDonnées[[#This Row],[CultureDuration_days]]/7,0)</f>
        <v>7</v>
      </c>
      <c r="J3422">
        <v>2116</v>
      </c>
      <c r="K3422" t="str">
        <f>_xlfn.CONCAT(WEEKNUM(CompilDonnées[[#This Row],[PlantationDate]]), " ", YEAR(CompilDonnées[[#This Row],[PlantationDate]]))</f>
        <v>24 2025</v>
      </c>
      <c r="L3422" t="str">
        <f>CONCATENATE(MONTH(CompilDonnées[[#This Row],[PlantationDate]])," ", YEAR(CompilDonnées[[#This Row],[PlantationDate]]))</f>
        <v>6 2025</v>
      </c>
      <c r="M3422" t="str">
        <f>CONCATENATE(MONTH(CompilDonnées[[#This Row],[HarvestingDate]])," ", YEAR(CompilDonnées[[#This Row],[HarvestingDate]]))</f>
        <v>7 2025</v>
      </c>
      <c r="N3422">
        <f>_xlfn.NUMBERVALUE(CompilDonnées[[#This Row],[FarmID]]&amp;CompilDonnées[[#This Row],[ModuleNumber]]&amp;CompilDonnées[[#This Row],[PlantationDate]])</f>
        <v>47245821</v>
      </c>
      <c r="O3422" t="str">
        <f>CompilDonnées[[#This Row],[FarmID]]&amp;CompilDonnées[[#This Row],[ModuleNumber]]</f>
        <v>472</v>
      </c>
      <c r="P3422" t="str">
        <f>CompilDonnées[[#This Row],[Ref_Module]]&amp;CompilDonnées[[#This Row],[HarvestingDate]]</f>
        <v>47245868</v>
      </c>
    </row>
    <row r="3423" spans="1:16">
      <c r="A3423" s="5">
        <v>45821</v>
      </c>
      <c r="B3423">
        <v>62</v>
      </c>
      <c r="C3423" t="s">
        <v>124</v>
      </c>
      <c r="D3423">
        <v>1</v>
      </c>
      <c r="E3423">
        <v>100</v>
      </c>
      <c r="F3423" t="s">
        <v>1</v>
      </c>
      <c r="G3423" s="6">
        <v>45867</v>
      </c>
      <c r="H3423">
        <v>46</v>
      </c>
      <c r="I3423">
        <f>ROUND(CompilDonnées[[#This Row],[CultureDuration_days]]/7,0)</f>
        <v>7</v>
      </c>
      <c r="J3423">
        <v>2301</v>
      </c>
      <c r="K3423" t="str">
        <f>_xlfn.CONCAT(WEEKNUM(CompilDonnées[[#This Row],[PlantationDate]]), " ", YEAR(CompilDonnées[[#This Row],[PlantationDate]]))</f>
        <v>24 2025</v>
      </c>
      <c r="L3423" t="str">
        <f>CONCATENATE(MONTH(CompilDonnées[[#This Row],[PlantationDate]])," ", YEAR(CompilDonnées[[#This Row],[PlantationDate]]))</f>
        <v>6 2025</v>
      </c>
      <c r="M3423" t="str">
        <f>CONCATENATE(MONTH(CompilDonnées[[#This Row],[HarvestingDate]])," ", YEAR(CompilDonnées[[#This Row],[HarvestingDate]]))</f>
        <v>7 2025</v>
      </c>
      <c r="N3423">
        <f>_xlfn.NUMBERVALUE(CompilDonnées[[#This Row],[FarmID]]&amp;CompilDonnées[[#This Row],[ModuleNumber]]&amp;CompilDonnées[[#This Row],[PlantationDate]])</f>
        <v>62145821</v>
      </c>
      <c r="O3423" t="str">
        <f>CompilDonnées[[#This Row],[FarmID]]&amp;CompilDonnées[[#This Row],[ModuleNumber]]</f>
        <v>621</v>
      </c>
      <c r="P3423" t="str">
        <f>CompilDonnées[[#This Row],[Ref_Module]]&amp;CompilDonnées[[#This Row],[HarvestingDate]]</f>
        <v>62145867</v>
      </c>
    </row>
    <row r="3424" spans="1:16">
      <c r="A3424" s="5">
        <v>45821</v>
      </c>
      <c r="B3424">
        <v>73</v>
      </c>
      <c r="C3424" t="s">
        <v>20</v>
      </c>
      <c r="D3424">
        <v>5</v>
      </c>
      <c r="E3424">
        <v>100</v>
      </c>
      <c r="F3424" t="s">
        <v>1</v>
      </c>
      <c r="G3424" s="6">
        <v>45867</v>
      </c>
      <c r="H3424">
        <v>46</v>
      </c>
      <c r="I3424">
        <f>ROUND(CompilDonnées[[#This Row],[CultureDuration_days]]/7,0)</f>
        <v>7</v>
      </c>
      <c r="J3424">
        <v>2569</v>
      </c>
      <c r="K3424" t="str">
        <f>_xlfn.CONCAT(WEEKNUM(CompilDonnées[[#This Row],[PlantationDate]]), " ", YEAR(CompilDonnées[[#This Row],[PlantationDate]]))</f>
        <v>24 2025</v>
      </c>
      <c r="L3424" t="str">
        <f>CONCATENATE(MONTH(CompilDonnées[[#This Row],[PlantationDate]])," ", YEAR(CompilDonnées[[#This Row],[PlantationDate]]))</f>
        <v>6 2025</v>
      </c>
      <c r="M3424" t="str">
        <f>CONCATENATE(MONTH(CompilDonnées[[#This Row],[HarvestingDate]])," ", YEAR(CompilDonnées[[#This Row],[HarvestingDate]]))</f>
        <v>7 2025</v>
      </c>
      <c r="N3424">
        <f>_xlfn.NUMBERVALUE(CompilDonnées[[#This Row],[FarmID]]&amp;CompilDonnées[[#This Row],[ModuleNumber]]&amp;CompilDonnées[[#This Row],[PlantationDate]])</f>
        <v>73545821</v>
      </c>
      <c r="O3424" t="str">
        <f>CompilDonnées[[#This Row],[FarmID]]&amp;CompilDonnées[[#This Row],[ModuleNumber]]</f>
        <v>735</v>
      </c>
      <c r="P3424" t="str">
        <f>CompilDonnées[[#This Row],[Ref_Module]]&amp;CompilDonnées[[#This Row],[HarvestingDate]]</f>
        <v>73545867</v>
      </c>
    </row>
    <row r="3425" spans="1:16">
      <c r="A3425" s="5">
        <v>45821</v>
      </c>
      <c r="B3425">
        <v>74</v>
      </c>
      <c r="C3425" t="s">
        <v>21</v>
      </c>
      <c r="D3425">
        <v>4</v>
      </c>
      <c r="E3425">
        <v>100</v>
      </c>
      <c r="F3425" t="s">
        <v>1</v>
      </c>
      <c r="G3425" s="6">
        <v>45867</v>
      </c>
      <c r="H3425">
        <v>46</v>
      </c>
      <c r="I3425">
        <f>ROUND(CompilDonnées[[#This Row],[CultureDuration_days]]/7,0)</f>
        <v>7</v>
      </c>
      <c r="J3425">
        <v>2714</v>
      </c>
      <c r="K3425" t="str">
        <f>_xlfn.CONCAT(WEEKNUM(CompilDonnées[[#This Row],[PlantationDate]]), " ", YEAR(CompilDonnées[[#This Row],[PlantationDate]]))</f>
        <v>24 2025</v>
      </c>
      <c r="L3425" t="str">
        <f>CONCATENATE(MONTH(CompilDonnées[[#This Row],[PlantationDate]])," ", YEAR(CompilDonnées[[#This Row],[PlantationDate]]))</f>
        <v>6 2025</v>
      </c>
      <c r="M3425" t="str">
        <f>CONCATENATE(MONTH(CompilDonnées[[#This Row],[HarvestingDate]])," ", YEAR(CompilDonnées[[#This Row],[HarvestingDate]]))</f>
        <v>7 2025</v>
      </c>
      <c r="N3425">
        <f>_xlfn.NUMBERVALUE(CompilDonnées[[#This Row],[FarmID]]&amp;CompilDonnées[[#This Row],[ModuleNumber]]&amp;CompilDonnées[[#This Row],[PlantationDate]])</f>
        <v>74445821</v>
      </c>
      <c r="O3425" t="str">
        <f>CompilDonnées[[#This Row],[FarmID]]&amp;CompilDonnées[[#This Row],[ModuleNumber]]</f>
        <v>744</v>
      </c>
      <c r="P3425" t="str">
        <f>CompilDonnées[[#This Row],[Ref_Module]]&amp;CompilDonnées[[#This Row],[HarvestingDate]]</f>
        <v>74445867</v>
      </c>
    </row>
    <row r="3426" spans="1:16">
      <c r="A3426" s="5">
        <v>45821</v>
      </c>
      <c r="B3426">
        <v>65</v>
      </c>
      <c r="C3426" t="s">
        <v>36</v>
      </c>
      <c r="D3426">
        <v>3</v>
      </c>
      <c r="E3426">
        <v>100</v>
      </c>
      <c r="F3426" t="s">
        <v>1</v>
      </c>
      <c r="G3426" s="6">
        <v>45867</v>
      </c>
      <c r="H3426">
        <v>46</v>
      </c>
      <c r="I3426">
        <f>ROUND(CompilDonnées[[#This Row],[CultureDuration_days]]/7,0)</f>
        <v>7</v>
      </c>
      <c r="J3426">
        <v>2261</v>
      </c>
      <c r="K3426" t="str">
        <f>_xlfn.CONCAT(WEEKNUM(CompilDonnées[[#This Row],[PlantationDate]]), " ", YEAR(CompilDonnées[[#This Row],[PlantationDate]]))</f>
        <v>24 2025</v>
      </c>
      <c r="L3426" t="str">
        <f>CONCATENATE(MONTH(CompilDonnées[[#This Row],[PlantationDate]])," ", YEAR(CompilDonnées[[#This Row],[PlantationDate]]))</f>
        <v>6 2025</v>
      </c>
      <c r="M3426" t="str">
        <f>CONCATENATE(MONTH(CompilDonnées[[#This Row],[HarvestingDate]])," ", YEAR(CompilDonnées[[#This Row],[HarvestingDate]]))</f>
        <v>7 2025</v>
      </c>
      <c r="N3426">
        <f>_xlfn.NUMBERVALUE(CompilDonnées[[#This Row],[FarmID]]&amp;CompilDonnées[[#This Row],[ModuleNumber]]&amp;CompilDonnées[[#This Row],[PlantationDate]])</f>
        <v>65345821</v>
      </c>
      <c r="O3426" t="str">
        <f>CompilDonnées[[#This Row],[FarmID]]&amp;CompilDonnées[[#This Row],[ModuleNumber]]</f>
        <v>653</v>
      </c>
      <c r="P3426" t="str">
        <f>CompilDonnées[[#This Row],[Ref_Module]]&amp;CompilDonnées[[#This Row],[HarvestingDate]]</f>
        <v>65345867</v>
      </c>
    </row>
    <row r="3427" spans="1:16">
      <c r="A3427" s="5">
        <v>45821</v>
      </c>
      <c r="B3427">
        <v>49</v>
      </c>
      <c r="C3427" t="s">
        <v>110</v>
      </c>
      <c r="D3427">
        <v>2</v>
      </c>
      <c r="E3427">
        <v>100</v>
      </c>
      <c r="F3427" t="s">
        <v>1</v>
      </c>
      <c r="G3427" s="6">
        <v>45876</v>
      </c>
      <c r="H3427">
        <v>55</v>
      </c>
      <c r="I3427">
        <f>ROUND(CompilDonnées[[#This Row],[CultureDuration_days]]/7,0)</f>
        <v>8</v>
      </c>
      <c r="J3427">
        <v>2503</v>
      </c>
      <c r="K3427" t="str">
        <f>_xlfn.CONCAT(WEEKNUM(CompilDonnées[[#This Row],[PlantationDate]]), " ", YEAR(CompilDonnées[[#This Row],[PlantationDate]]))</f>
        <v>24 2025</v>
      </c>
      <c r="L3427" t="str">
        <f>CONCATENATE(MONTH(CompilDonnées[[#This Row],[PlantationDate]])," ", YEAR(CompilDonnées[[#This Row],[PlantationDate]]))</f>
        <v>6 2025</v>
      </c>
      <c r="M3427" t="str">
        <f>CONCATENATE(MONTH(CompilDonnées[[#This Row],[HarvestingDate]])," ", YEAR(CompilDonnées[[#This Row],[HarvestingDate]]))</f>
        <v>8 2025</v>
      </c>
      <c r="N3427">
        <f>_xlfn.NUMBERVALUE(CompilDonnées[[#This Row],[FarmID]]&amp;CompilDonnées[[#This Row],[ModuleNumber]]&amp;CompilDonnées[[#This Row],[PlantationDate]])</f>
        <v>49245821</v>
      </c>
      <c r="O3427" t="str">
        <f>CompilDonnées[[#This Row],[FarmID]]&amp;CompilDonnées[[#This Row],[ModuleNumber]]</f>
        <v>492</v>
      </c>
      <c r="P3427" t="str">
        <f>CompilDonnées[[#This Row],[Ref_Module]]&amp;CompilDonnées[[#This Row],[HarvestingDate]]</f>
        <v>49245876</v>
      </c>
    </row>
    <row r="3428" spans="1:16">
      <c r="A3428" s="5">
        <v>45821</v>
      </c>
      <c r="B3428">
        <v>84</v>
      </c>
      <c r="C3428" t="s">
        <v>65</v>
      </c>
      <c r="D3428">
        <v>3</v>
      </c>
      <c r="E3428">
        <v>100</v>
      </c>
      <c r="F3428" t="s">
        <v>1</v>
      </c>
      <c r="G3428" s="6">
        <v>45867</v>
      </c>
      <c r="H3428">
        <v>46</v>
      </c>
      <c r="I3428">
        <f>ROUND(CompilDonnées[[#This Row],[CultureDuration_days]]/7,0)</f>
        <v>7</v>
      </c>
      <c r="J3428">
        <v>2629</v>
      </c>
      <c r="K3428" t="str">
        <f>_xlfn.CONCAT(WEEKNUM(CompilDonnées[[#This Row],[PlantationDate]]), " ", YEAR(CompilDonnées[[#This Row],[PlantationDate]]))</f>
        <v>24 2025</v>
      </c>
      <c r="L3428" t="str">
        <f>CONCATENATE(MONTH(CompilDonnées[[#This Row],[PlantationDate]])," ", YEAR(CompilDonnées[[#This Row],[PlantationDate]]))</f>
        <v>6 2025</v>
      </c>
      <c r="M3428" t="str">
        <f>CONCATENATE(MONTH(CompilDonnées[[#This Row],[HarvestingDate]])," ", YEAR(CompilDonnées[[#This Row],[HarvestingDate]]))</f>
        <v>7 2025</v>
      </c>
      <c r="N3428">
        <f>_xlfn.NUMBERVALUE(CompilDonnées[[#This Row],[FarmID]]&amp;CompilDonnées[[#This Row],[ModuleNumber]]&amp;CompilDonnées[[#This Row],[PlantationDate]])</f>
        <v>84345821</v>
      </c>
      <c r="O3428" t="str">
        <f>CompilDonnées[[#This Row],[FarmID]]&amp;CompilDonnées[[#This Row],[ModuleNumber]]</f>
        <v>843</v>
      </c>
      <c r="P3428" t="str">
        <f>CompilDonnées[[#This Row],[Ref_Module]]&amp;CompilDonnées[[#This Row],[HarvestingDate]]</f>
        <v>84345867</v>
      </c>
    </row>
    <row r="3429" spans="1:16">
      <c r="A3429" s="5">
        <v>45821</v>
      </c>
      <c r="B3429">
        <v>66</v>
      </c>
      <c r="C3429" t="s">
        <v>48</v>
      </c>
      <c r="D3429">
        <v>5</v>
      </c>
      <c r="E3429">
        <v>100</v>
      </c>
      <c r="F3429" t="s">
        <v>1</v>
      </c>
      <c r="G3429" s="6">
        <v>45867</v>
      </c>
      <c r="H3429">
        <v>46</v>
      </c>
      <c r="I3429">
        <f>ROUND(CompilDonnées[[#This Row],[CultureDuration_days]]/7,0)</f>
        <v>7</v>
      </c>
      <c r="J3429">
        <v>3345</v>
      </c>
      <c r="K3429" t="str">
        <f>_xlfn.CONCAT(WEEKNUM(CompilDonnées[[#This Row],[PlantationDate]]), " ", YEAR(CompilDonnées[[#This Row],[PlantationDate]]))</f>
        <v>24 2025</v>
      </c>
      <c r="L3429" t="str">
        <f>CONCATENATE(MONTH(CompilDonnées[[#This Row],[PlantationDate]])," ", YEAR(CompilDonnées[[#This Row],[PlantationDate]]))</f>
        <v>6 2025</v>
      </c>
      <c r="M3429" t="str">
        <f>CONCATENATE(MONTH(CompilDonnées[[#This Row],[HarvestingDate]])," ", YEAR(CompilDonnées[[#This Row],[HarvestingDate]]))</f>
        <v>7 2025</v>
      </c>
      <c r="N3429">
        <f>_xlfn.NUMBERVALUE(CompilDonnées[[#This Row],[FarmID]]&amp;CompilDonnées[[#This Row],[ModuleNumber]]&amp;CompilDonnées[[#This Row],[PlantationDate]])</f>
        <v>66545821</v>
      </c>
      <c r="O3429" t="str">
        <f>CompilDonnées[[#This Row],[FarmID]]&amp;CompilDonnées[[#This Row],[ModuleNumber]]</f>
        <v>665</v>
      </c>
      <c r="P3429" t="str">
        <f>CompilDonnées[[#This Row],[Ref_Module]]&amp;CompilDonnées[[#This Row],[HarvestingDate]]</f>
        <v>66545867</v>
      </c>
    </row>
    <row r="3430" spans="1:16">
      <c r="A3430" s="5">
        <v>45821</v>
      </c>
      <c r="B3430">
        <v>64</v>
      </c>
      <c r="C3430" t="s">
        <v>47</v>
      </c>
      <c r="D3430">
        <v>3</v>
      </c>
      <c r="E3430">
        <v>100</v>
      </c>
      <c r="F3430" t="s">
        <v>1</v>
      </c>
      <c r="G3430" s="6">
        <v>45876</v>
      </c>
      <c r="H3430">
        <v>55</v>
      </c>
      <c r="I3430">
        <f>ROUND(CompilDonnées[[#This Row],[CultureDuration_days]]/7,0)</f>
        <v>8</v>
      </c>
      <c r="J3430">
        <v>2440</v>
      </c>
      <c r="K3430" t="str">
        <f>_xlfn.CONCAT(WEEKNUM(CompilDonnées[[#This Row],[PlantationDate]]), " ", YEAR(CompilDonnées[[#This Row],[PlantationDate]]))</f>
        <v>24 2025</v>
      </c>
      <c r="L3430" t="str">
        <f>CONCATENATE(MONTH(CompilDonnées[[#This Row],[PlantationDate]])," ", YEAR(CompilDonnées[[#This Row],[PlantationDate]]))</f>
        <v>6 2025</v>
      </c>
      <c r="M3430" t="str">
        <f>CONCATENATE(MONTH(CompilDonnées[[#This Row],[HarvestingDate]])," ", YEAR(CompilDonnées[[#This Row],[HarvestingDate]]))</f>
        <v>8 2025</v>
      </c>
      <c r="N3430">
        <f>_xlfn.NUMBERVALUE(CompilDonnées[[#This Row],[FarmID]]&amp;CompilDonnées[[#This Row],[ModuleNumber]]&amp;CompilDonnées[[#This Row],[PlantationDate]])</f>
        <v>64345821</v>
      </c>
      <c r="O3430" t="str">
        <f>CompilDonnées[[#This Row],[FarmID]]&amp;CompilDonnées[[#This Row],[ModuleNumber]]</f>
        <v>643</v>
      </c>
      <c r="P3430" t="str">
        <f>CompilDonnées[[#This Row],[Ref_Module]]&amp;CompilDonnées[[#This Row],[HarvestingDate]]</f>
        <v>64345876</v>
      </c>
    </row>
    <row r="3431" spans="1:16">
      <c r="A3431" s="5">
        <v>45821</v>
      </c>
      <c r="B3431">
        <v>80</v>
      </c>
      <c r="C3431" t="s">
        <v>29</v>
      </c>
      <c r="D3431">
        <v>4</v>
      </c>
      <c r="E3431">
        <v>100</v>
      </c>
      <c r="F3431" t="s">
        <v>1</v>
      </c>
      <c r="G3431" s="6">
        <v>45861</v>
      </c>
      <c r="H3431">
        <v>40</v>
      </c>
      <c r="I3431">
        <f>ROUND(CompilDonnées[[#This Row],[CultureDuration_days]]/7,0)</f>
        <v>6</v>
      </c>
      <c r="J3431">
        <v>3906</v>
      </c>
      <c r="K3431" t="str">
        <f>_xlfn.CONCAT(WEEKNUM(CompilDonnées[[#This Row],[PlantationDate]]), " ", YEAR(CompilDonnées[[#This Row],[PlantationDate]]))</f>
        <v>24 2025</v>
      </c>
      <c r="L3431" t="str">
        <f>CONCATENATE(MONTH(CompilDonnées[[#This Row],[PlantationDate]])," ", YEAR(CompilDonnées[[#This Row],[PlantationDate]]))</f>
        <v>6 2025</v>
      </c>
      <c r="M3431" t="str">
        <f>CONCATENATE(MONTH(CompilDonnées[[#This Row],[HarvestingDate]])," ", YEAR(CompilDonnées[[#This Row],[HarvestingDate]]))</f>
        <v>7 2025</v>
      </c>
      <c r="N3431">
        <f>_xlfn.NUMBERVALUE(CompilDonnées[[#This Row],[FarmID]]&amp;CompilDonnées[[#This Row],[ModuleNumber]]&amp;CompilDonnées[[#This Row],[PlantationDate]])</f>
        <v>80445821</v>
      </c>
      <c r="O3431" t="str">
        <f>CompilDonnées[[#This Row],[FarmID]]&amp;CompilDonnées[[#This Row],[ModuleNumber]]</f>
        <v>804</v>
      </c>
      <c r="P3431" t="str">
        <f>CompilDonnées[[#This Row],[Ref_Module]]&amp;CompilDonnées[[#This Row],[HarvestingDate]]</f>
        <v>80445861</v>
      </c>
    </row>
    <row r="3432" spans="1:16">
      <c r="A3432" s="5">
        <v>45821</v>
      </c>
      <c r="B3432">
        <v>55</v>
      </c>
      <c r="C3432" t="s">
        <v>60</v>
      </c>
      <c r="D3432">
        <v>3</v>
      </c>
      <c r="E3432">
        <v>100</v>
      </c>
      <c r="F3432" t="s">
        <v>1</v>
      </c>
      <c r="G3432" s="6">
        <v>45876</v>
      </c>
      <c r="H3432">
        <v>55</v>
      </c>
      <c r="I3432">
        <f>ROUND(CompilDonnées[[#This Row],[CultureDuration_days]]/7,0)</f>
        <v>8</v>
      </c>
      <c r="J3432">
        <v>2840</v>
      </c>
      <c r="K3432" t="str">
        <f>_xlfn.CONCAT(WEEKNUM(CompilDonnées[[#This Row],[PlantationDate]]), " ", YEAR(CompilDonnées[[#This Row],[PlantationDate]]))</f>
        <v>24 2025</v>
      </c>
      <c r="L3432" t="str">
        <f>CONCATENATE(MONTH(CompilDonnées[[#This Row],[PlantationDate]])," ", YEAR(CompilDonnées[[#This Row],[PlantationDate]]))</f>
        <v>6 2025</v>
      </c>
      <c r="M3432" t="str">
        <f>CONCATENATE(MONTH(CompilDonnées[[#This Row],[HarvestingDate]])," ", YEAR(CompilDonnées[[#This Row],[HarvestingDate]]))</f>
        <v>8 2025</v>
      </c>
      <c r="N3432">
        <f>_xlfn.NUMBERVALUE(CompilDonnées[[#This Row],[FarmID]]&amp;CompilDonnées[[#This Row],[ModuleNumber]]&amp;CompilDonnées[[#This Row],[PlantationDate]])</f>
        <v>55345821</v>
      </c>
      <c r="O3432" t="str">
        <f>CompilDonnées[[#This Row],[FarmID]]&amp;CompilDonnées[[#This Row],[ModuleNumber]]</f>
        <v>553</v>
      </c>
      <c r="P3432" t="str">
        <f>CompilDonnées[[#This Row],[Ref_Module]]&amp;CompilDonnées[[#This Row],[HarvestingDate]]</f>
        <v>55345876</v>
      </c>
    </row>
    <row r="3433" spans="1:16">
      <c r="A3433" s="5">
        <v>45821</v>
      </c>
      <c r="B3433">
        <v>58</v>
      </c>
      <c r="C3433" t="s">
        <v>35</v>
      </c>
      <c r="D3433">
        <v>2</v>
      </c>
      <c r="E3433">
        <v>100</v>
      </c>
      <c r="F3433" t="s">
        <v>1</v>
      </c>
      <c r="G3433" s="6">
        <v>45876</v>
      </c>
      <c r="H3433">
        <v>55</v>
      </c>
      <c r="I3433">
        <f>ROUND(CompilDonnées[[#This Row],[CultureDuration_days]]/7,0)</f>
        <v>8</v>
      </c>
      <c r="J3433">
        <v>3938</v>
      </c>
      <c r="K3433" t="str">
        <f>_xlfn.CONCAT(WEEKNUM(CompilDonnées[[#This Row],[PlantationDate]]), " ", YEAR(CompilDonnées[[#This Row],[PlantationDate]]))</f>
        <v>24 2025</v>
      </c>
      <c r="L3433" t="str">
        <f>CONCATENATE(MONTH(CompilDonnées[[#This Row],[PlantationDate]])," ", YEAR(CompilDonnées[[#This Row],[PlantationDate]]))</f>
        <v>6 2025</v>
      </c>
      <c r="M3433" t="str">
        <f>CONCATENATE(MONTH(CompilDonnées[[#This Row],[HarvestingDate]])," ", YEAR(CompilDonnées[[#This Row],[HarvestingDate]]))</f>
        <v>8 2025</v>
      </c>
      <c r="N3433">
        <f>_xlfn.NUMBERVALUE(CompilDonnées[[#This Row],[FarmID]]&amp;CompilDonnées[[#This Row],[ModuleNumber]]&amp;CompilDonnées[[#This Row],[PlantationDate]])</f>
        <v>58245821</v>
      </c>
      <c r="O3433" t="str">
        <f>CompilDonnées[[#This Row],[FarmID]]&amp;CompilDonnées[[#This Row],[ModuleNumber]]</f>
        <v>582</v>
      </c>
      <c r="P3433" t="str">
        <f>CompilDonnées[[#This Row],[Ref_Module]]&amp;CompilDonnées[[#This Row],[HarvestingDate]]</f>
        <v>58245876</v>
      </c>
    </row>
    <row r="3434" spans="1:16">
      <c r="A3434" s="5">
        <v>45821</v>
      </c>
      <c r="B3434">
        <v>82</v>
      </c>
      <c r="C3434" t="s">
        <v>17</v>
      </c>
      <c r="D3434">
        <v>5</v>
      </c>
      <c r="E3434">
        <v>100</v>
      </c>
      <c r="F3434" t="s">
        <v>1</v>
      </c>
      <c r="G3434" s="6">
        <v>45861</v>
      </c>
      <c r="H3434">
        <v>40</v>
      </c>
      <c r="I3434">
        <f>ROUND(CompilDonnées[[#This Row],[CultureDuration_days]]/7,0)</f>
        <v>6</v>
      </c>
      <c r="J3434">
        <v>3746</v>
      </c>
      <c r="K3434" t="str">
        <f>_xlfn.CONCAT(WEEKNUM(CompilDonnées[[#This Row],[PlantationDate]]), " ", YEAR(CompilDonnées[[#This Row],[PlantationDate]]))</f>
        <v>24 2025</v>
      </c>
      <c r="L3434" t="str">
        <f>CONCATENATE(MONTH(CompilDonnées[[#This Row],[PlantationDate]])," ", YEAR(CompilDonnées[[#This Row],[PlantationDate]]))</f>
        <v>6 2025</v>
      </c>
      <c r="M3434" t="str">
        <f>CONCATENATE(MONTH(CompilDonnées[[#This Row],[HarvestingDate]])," ", YEAR(CompilDonnées[[#This Row],[HarvestingDate]]))</f>
        <v>7 2025</v>
      </c>
      <c r="N3434">
        <f>_xlfn.NUMBERVALUE(CompilDonnées[[#This Row],[FarmID]]&amp;CompilDonnées[[#This Row],[ModuleNumber]]&amp;CompilDonnées[[#This Row],[PlantationDate]])</f>
        <v>82545821</v>
      </c>
      <c r="O3434" t="str">
        <f>CompilDonnées[[#This Row],[FarmID]]&amp;CompilDonnées[[#This Row],[ModuleNumber]]</f>
        <v>825</v>
      </c>
      <c r="P3434" t="str">
        <f>CompilDonnées[[#This Row],[Ref_Module]]&amp;CompilDonnées[[#This Row],[HarvestingDate]]</f>
        <v>82545861</v>
      </c>
    </row>
    <row r="3435" spans="1:16">
      <c r="A3435" s="5">
        <v>45821</v>
      </c>
      <c r="B3435">
        <v>68</v>
      </c>
      <c r="C3435" t="s">
        <v>89</v>
      </c>
      <c r="D3435">
        <v>6</v>
      </c>
      <c r="E3435">
        <v>100</v>
      </c>
      <c r="F3435" t="s">
        <v>1</v>
      </c>
      <c r="G3435" s="6">
        <v>45860</v>
      </c>
      <c r="H3435">
        <v>39</v>
      </c>
      <c r="I3435">
        <f>ROUND(CompilDonnées[[#This Row],[CultureDuration_days]]/7,0)</f>
        <v>6</v>
      </c>
      <c r="J3435">
        <v>4093</v>
      </c>
      <c r="K3435" t="str">
        <f>_xlfn.CONCAT(WEEKNUM(CompilDonnées[[#This Row],[PlantationDate]]), " ", YEAR(CompilDonnées[[#This Row],[PlantationDate]]))</f>
        <v>24 2025</v>
      </c>
      <c r="L3435" t="str">
        <f>CONCATENATE(MONTH(CompilDonnées[[#This Row],[PlantationDate]])," ", YEAR(CompilDonnées[[#This Row],[PlantationDate]]))</f>
        <v>6 2025</v>
      </c>
      <c r="M3435" t="str">
        <f>CONCATENATE(MONTH(CompilDonnées[[#This Row],[HarvestingDate]])," ", YEAR(CompilDonnées[[#This Row],[HarvestingDate]]))</f>
        <v>7 2025</v>
      </c>
      <c r="N3435">
        <f>_xlfn.NUMBERVALUE(CompilDonnées[[#This Row],[FarmID]]&amp;CompilDonnées[[#This Row],[ModuleNumber]]&amp;CompilDonnées[[#This Row],[PlantationDate]])</f>
        <v>68645821</v>
      </c>
      <c r="O3435" t="str">
        <f>CompilDonnées[[#This Row],[FarmID]]&amp;CompilDonnées[[#This Row],[ModuleNumber]]</f>
        <v>686</v>
      </c>
      <c r="P3435" t="str">
        <f>CompilDonnées[[#This Row],[Ref_Module]]&amp;CompilDonnées[[#This Row],[HarvestingDate]]</f>
        <v>68645860</v>
      </c>
    </row>
    <row r="3436" spans="1:16">
      <c r="A3436" s="5">
        <v>45821</v>
      </c>
      <c r="B3436">
        <v>95</v>
      </c>
      <c r="C3436" t="s">
        <v>90</v>
      </c>
      <c r="D3436">
        <v>5</v>
      </c>
      <c r="E3436">
        <v>100</v>
      </c>
      <c r="F3436" t="s">
        <v>1</v>
      </c>
      <c r="G3436" s="6">
        <v>45861</v>
      </c>
      <c r="H3436">
        <v>40</v>
      </c>
      <c r="I3436">
        <f>ROUND(CompilDonnées[[#This Row],[CultureDuration_days]]/7,0)</f>
        <v>6</v>
      </c>
      <c r="J3436">
        <v>2600</v>
      </c>
      <c r="K3436" t="str">
        <f>_xlfn.CONCAT(WEEKNUM(CompilDonnées[[#This Row],[PlantationDate]]), " ", YEAR(CompilDonnées[[#This Row],[PlantationDate]]))</f>
        <v>24 2025</v>
      </c>
      <c r="L3436" t="str">
        <f>CONCATENATE(MONTH(CompilDonnées[[#This Row],[PlantationDate]])," ", YEAR(CompilDonnées[[#This Row],[PlantationDate]]))</f>
        <v>6 2025</v>
      </c>
      <c r="M3436" t="str">
        <f>CONCATENATE(MONTH(CompilDonnées[[#This Row],[HarvestingDate]])," ", YEAR(CompilDonnées[[#This Row],[HarvestingDate]]))</f>
        <v>7 2025</v>
      </c>
      <c r="N3436">
        <f>_xlfn.NUMBERVALUE(CompilDonnées[[#This Row],[FarmID]]&amp;CompilDonnées[[#This Row],[ModuleNumber]]&amp;CompilDonnées[[#This Row],[PlantationDate]])</f>
        <v>95545821</v>
      </c>
      <c r="O3436" t="str">
        <f>CompilDonnées[[#This Row],[FarmID]]&amp;CompilDonnées[[#This Row],[ModuleNumber]]</f>
        <v>955</v>
      </c>
      <c r="P3436" t="str">
        <f>CompilDonnées[[#This Row],[Ref_Module]]&amp;CompilDonnées[[#This Row],[HarvestingDate]]</f>
        <v>95545861</v>
      </c>
    </row>
    <row r="3437" spans="1:16">
      <c r="A3437" s="5">
        <v>45821</v>
      </c>
      <c r="B3437">
        <v>95</v>
      </c>
      <c r="C3437" t="s">
        <v>90</v>
      </c>
      <c r="D3437">
        <v>6</v>
      </c>
      <c r="E3437">
        <v>100</v>
      </c>
      <c r="F3437" t="s">
        <v>1</v>
      </c>
      <c r="G3437" s="6">
        <v>45861</v>
      </c>
      <c r="H3437">
        <v>40</v>
      </c>
      <c r="I3437">
        <f>ROUND(CompilDonnées[[#This Row],[CultureDuration_days]]/7,0)</f>
        <v>6</v>
      </c>
      <c r="J3437">
        <v>2658</v>
      </c>
      <c r="K3437" t="str">
        <f>_xlfn.CONCAT(WEEKNUM(CompilDonnées[[#This Row],[PlantationDate]]), " ", YEAR(CompilDonnées[[#This Row],[PlantationDate]]))</f>
        <v>24 2025</v>
      </c>
      <c r="L3437" t="str">
        <f>CONCATENATE(MONTH(CompilDonnées[[#This Row],[PlantationDate]])," ", YEAR(CompilDonnées[[#This Row],[PlantationDate]]))</f>
        <v>6 2025</v>
      </c>
      <c r="M3437" t="str">
        <f>CONCATENATE(MONTH(CompilDonnées[[#This Row],[HarvestingDate]])," ", YEAR(CompilDonnées[[#This Row],[HarvestingDate]]))</f>
        <v>7 2025</v>
      </c>
      <c r="N3437">
        <f>_xlfn.NUMBERVALUE(CompilDonnées[[#This Row],[FarmID]]&amp;CompilDonnées[[#This Row],[ModuleNumber]]&amp;CompilDonnées[[#This Row],[PlantationDate]])</f>
        <v>95645821</v>
      </c>
      <c r="O3437" t="str">
        <f>CompilDonnées[[#This Row],[FarmID]]&amp;CompilDonnées[[#This Row],[ModuleNumber]]</f>
        <v>956</v>
      </c>
      <c r="P3437" t="str">
        <f>CompilDonnées[[#This Row],[Ref_Module]]&amp;CompilDonnées[[#This Row],[HarvestingDate]]</f>
        <v>95645861</v>
      </c>
    </row>
    <row r="3438" spans="1:16">
      <c r="A3438" s="5">
        <v>45821</v>
      </c>
      <c r="B3438">
        <v>94</v>
      </c>
      <c r="C3438" t="s">
        <v>40</v>
      </c>
      <c r="D3438">
        <v>2</v>
      </c>
      <c r="E3438">
        <v>100</v>
      </c>
      <c r="F3438" t="s">
        <v>1</v>
      </c>
      <c r="G3438" s="6">
        <v>45861</v>
      </c>
      <c r="H3438">
        <v>40</v>
      </c>
      <c r="I3438">
        <f>ROUND(CompilDonnées[[#This Row],[CultureDuration_days]]/7,0)</f>
        <v>6</v>
      </c>
      <c r="J3438">
        <v>3544</v>
      </c>
      <c r="K3438" t="str">
        <f>_xlfn.CONCAT(WEEKNUM(CompilDonnées[[#This Row],[PlantationDate]]), " ", YEAR(CompilDonnées[[#This Row],[PlantationDate]]))</f>
        <v>24 2025</v>
      </c>
      <c r="L3438" t="str">
        <f>CONCATENATE(MONTH(CompilDonnées[[#This Row],[PlantationDate]])," ", YEAR(CompilDonnées[[#This Row],[PlantationDate]]))</f>
        <v>6 2025</v>
      </c>
      <c r="M3438" t="str">
        <f>CONCATENATE(MONTH(CompilDonnées[[#This Row],[HarvestingDate]])," ", YEAR(CompilDonnées[[#This Row],[HarvestingDate]]))</f>
        <v>7 2025</v>
      </c>
      <c r="N3438">
        <f>_xlfn.NUMBERVALUE(CompilDonnées[[#This Row],[FarmID]]&amp;CompilDonnées[[#This Row],[ModuleNumber]]&amp;CompilDonnées[[#This Row],[PlantationDate]])</f>
        <v>94245821</v>
      </c>
      <c r="O3438" t="str">
        <f>CompilDonnées[[#This Row],[FarmID]]&amp;CompilDonnées[[#This Row],[ModuleNumber]]</f>
        <v>942</v>
      </c>
      <c r="P3438" t="str">
        <f>CompilDonnées[[#This Row],[Ref_Module]]&amp;CompilDonnées[[#This Row],[HarvestingDate]]</f>
        <v>94245861</v>
      </c>
    </row>
    <row r="3439" spans="1:16">
      <c r="A3439" s="5">
        <v>45821</v>
      </c>
      <c r="B3439">
        <v>91</v>
      </c>
      <c r="C3439" t="s">
        <v>9</v>
      </c>
      <c r="D3439">
        <v>6</v>
      </c>
      <c r="E3439">
        <v>100</v>
      </c>
      <c r="F3439" t="s">
        <v>1</v>
      </c>
      <c r="G3439" s="6">
        <v>45866</v>
      </c>
      <c r="H3439">
        <v>45</v>
      </c>
      <c r="I3439">
        <f>ROUND(CompilDonnées[[#This Row],[CultureDuration_days]]/7,0)</f>
        <v>6</v>
      </c>
      <c r="J3439">
        <v>3618</v>
      </c>
      <c r="K3439" t="str">
        <f>_xlfn.CONCAT(WEEKNUM(CompilDonnées[[#This Row],[PlantationDate]]), " ", YEAR(CompilDonnées[[#This Row],[PlantationDate]]))</f>
        <v>24 2025</v>
      </c>
      <c r="L3439" t="str">
        <f>CONCATENATE(MONTH(CompilDonnées[[#This Row],[PlantationDate]])," ", YEAR(CompilDonnées[[#This Row],[PlantationDate]]))</f>
        <v>6 2025</v>
      </c>
      <c r="M3439" t="str">
        <f>CONCATENATE(MONTH(CompilDonnées[[#This Row],[HarvestingDate]])," ", YEAR(CompilDonnées[[#This Row],[HarvestingDate]]))</f>
        <v>7 2025</v>
      </c>
      <c r="N3439">
        <f>_xlfn.NUMBERVALUE(CompilDonnées[[#This Row],[FarmID]]&amp;CompilDonnées[[#This Row],[ModuleNumber]]&amp;CompilDonnées[[#This Row],[PlantationDate]])</f>
        <v>91645821</v>
      </c>
      <c r="O3439" t="str">
        <f>CompilDonnées[[#This Row],[FarmID]]&amp;CompilDonnées[[#This Row],[ModuleNumber]]</f>
        <v>916</v>
      </c>
      <c r="P3439" t="str">
        <f>CompilDonnées[[#This Row],[Ref_Module]]&amp;CompilDonnées[[#This Row],[HarvestingDate]]</f>
        <v>91645866</v>
      </c>
    </row>
    <row r="3440" spans="1:16">
      <c r="A3440" s="5">
        <v>45821</v>
      </c>
      <c r="B3440">
        <v>107</v>
      </c>
      <c r="C3440" t="s">
        <v>23</v>
      </c>
      <c r="D3440">
        <v>1</v>
      </c>
      <c r="E3440">
        <v>100</v>
      </c>
      <c r="F3440" t="s">
        <v>1</v>
      </c>
      <c r="G3440" s="6">
        <v>45862</v>
      </c>
      <c r="H3440">
        <v>41</v>
      </c>
      <c r="I3440">
        <f>ROUND(CompilDonnées[[#This Row],[CultureDuration_days]]/7,0)</f>
        <v>6</v>
      </c>
      <c r="J3440">
        <v>2850</v>
      </c>
      <c r="K3440" t="str">
        <f>_xlfn.CONCAT(WEEKNUM(CompilDonnées[[#This Row],[PlantationDate]]), " ", YEAR(CompilDonnées[[#This Row],[PlantationDate]]))</f>
        <v>24 2025</v>
      </c>
      <c r="L3440" t="str">
        <f>CONCATENATE(MONTH(CompilDonnées[[#This Row],[PlantationDate]])," ", YEAR(CompilDonnées[[#This Row],[PlantationDate]]))</f>
        <v>6 2025</v>
      </c>
      <c r="M3440" t="str">
        <f>CONCATENATE(MONTH(CompilDonnées[[#This Row],[HarvestingDate]])," ", YEAR(CompilDonnées[[#This Row],[HarvestingDate]]))</f>
        <v>7 2025</v>
      </c>
      <c r="N3440">
        <f>_xlfn.NUMBERVALUE(CompilDonnées[[#This Row],[FarmID]]&amp;CompilDonnées[[#This Row],[ModuleNumber]]&amp;CompilDonnées[[#This Row],[PlantationDate]])</f>
        <v>107145821</v>
      </c>
      <c r="O3440" t="str">
        <f>CompilDonnées[[#This Row],[FarmID]]&amp;CompilDonnées[[#This Row],[ModuleNumber]]</f>
        <v>1071</v>
      </c>
      <c r="P3440" t="str">
        <f>CompilDonnées[[#This Row],[Ref_Module]]&amp;CompilDonnées[[#This Row],[HarvestingDate]]</f>
        <v>107145862</v>
      </c>
    </row>
    <row r="3441" spans="1:16">
      <c r="A3441" s="5">
        <v>45821</v>
      </c>
      <c r="B3441">
        <v>101</v>
      </c>
      <c r="C3441" t="s">
        <v>54</v>
      </c>
      <c r="D3441">
        <v>4</v>
      </c>
      <c r="E3441">
        <v>100</v>
      </c>
      <c r="F3441" t="s">
        <v>1</v>
      </c>
      <c r="G3441" s="6">
        <v>45862</v>
      </c>
      <c r="H3441">
        <v>41</v>
      </c>
      <c r="I3441">
        <f>ROUND(CompilDonnées[[#This Row],[CultureDuration_days]]/7,0)</f>
        <v>6</v>
      </c>
      <c r="J3441">
        <v>4377</v>
      </c>
      <c r="K3441" t="str">
        <f>_xlfn.CONCAT(WEEKNUM(CompilDonnées[[#This Row],[PlantationDate]]), " ", YEAR(CompilDonnées[[#This Row],[PlantationDate]]))</f>
        <v>24 2025</v>
      </c>
      <c r="L3441" t="str">
        <f>CONCATENATE(MONTH(CompilDonnées[[#This Row],[PlantationDate]])," ", YEAR(CompilDonnées[[#This Row],[PlantationDate]]))</f>
        <v>6 2025</v>
      </c>
      <c r="M3441" t="str">
        <f>CONCATENATE(MONTH(CompilDonnées[[#This Row],[HarvestingDate]])," ", YEAR(CompilDonnées[[#This Row],[HarvestingDate]]))</f>
        <v>7 2025</v>
      </c>
      <c r="N3441">
        <f>_xlfn.NUMBERVALUE(CompilDonnées[[#This Row],[FarmID]]&amp;CompilDonnées[[#This Row],[ModuleNumber]]&amp;CompilDonnées[[#This Row],[PlantationDate]])</f>
        <v>101445821</v>
      </c>
      <c r="O3441" t="str">
        <f>CompilDonnées[[#This Row],[FarmID]]&amp;CompilDonnées[[#This Row],[ModuleNumber]]</f>
        <v>1014</v>
      </c>
      <c r="P3441" t="str">
        <f>CompilDonnées[[#This Row],[Ref_Module]]&amp;CompilDonnées[[#This Row],[HarvestingDate]]</f>
        <v>101445862</v>
      </c>
    </row>
    <row r="3442" spans="1:16">
      <c r="A3442" s="5">
        <v>45821</v>
      </c>
      <c r="B3442">
        <v>100</v>
      </c>
      <c r="C3442" t="s">
        <v>84</v>
      </c>
      <c r="D3442">
        <v>4</v>
      </c>
      <c r="E3442">
        <v>100</v>
      </c>
      <c r="F3442" t="s">
        <v>1</v>
      </c>
      <c r="G3442" s="6">
        <v>45862</v>
      </c>
      <c r="H3442">
        <v>41</v>
      </c>
      <c r="I3442">
        <f>ROUND(CompilDonnées[[#This Row],[CultureDuration_days]]/7,0)</f>
        <v>6</v>
      </c>
      <c r="J3442">
        <v>3324</v>
      </c>
      <c r="K3442" t="str">
        <f>_xlfn.CONCAT(WEEKNUM(CompilDonnées[[#This Row],[PlantationDate]]), " ", YEAR(CompilDonnées[[#This Row],[PlantationDate]]))</f>
        <v>24 2025</v>
      </c>
      <c r="L3442" t="str">
        <f>CONCATENATE(MONTH(CompilDonnées[[#This Row],[PlantationDate]])," ", YEAR(CompilDonnées[[#This Row],[PlantationDate]]))</f>
        <v>6 2025</v>
      </c>
      <c r="M3442" t="str">
        <f>CONCATENATE(MONTH(CompilDonnées[[#This Row],[HarvestingDate]])," ", YEAR(CompilDonnées[[#This Row],[HarvestingDate]]))</f>
        <v>7 2025</v>
      </c>
      <c r="N3442">
        <f>_xlfn.NUMBERVALUE(CompilDonnées[[#This Row],[FarmID]]&amp;CompilDonnées[[#This Row],[ModuleNumber]]&amp;CompilDonnées[[#This Row],[PlantationDate]])</f>
        <v>100445821</v>
      </c>
      <c r="O3442" t="str">
        <f>CompilDonnées[[#This Row],[FarmID]]&amp;CompilDonnées[[#This Row],[ModuleNumber]]</f>
        <v>1004</v>
      </c>
      <c r="P3442" t="str">
        <f>CompilDonnées[[#This Row],[Ref_Module]]&amp;CompilDonnées[[#This Row],[HarvestingDate]]</f>
        <v>100445862</v>
      </c>
    </row>
    <row r="3443" spans="1:16">
      <c r="A3443" s="5">
        <v>45821</v>
      </c>
      <c r="B3443">
        <v>96</v>
      </c>
      <c r="C3443" t="s">
        <v>125</v>
      </c>
      <c r="D3443">
        <v>4</v>
      </c>
      <c r="E3443">
        <v>100</v>
      </c>
      <c r="F3443" t="s">
        <v>1</v>
      </c>
      <c r="G3443" s="6">
        <v>45866</v>
      </c>
      <c r="H3443">
        <v>45</v>
      </c>
      <c r="I3443">
        <f>ROUND(CompilDonnées[[#This Row],[CultureDuration_days]]/7,0)</f>
        <v>6</v>
      </c>
      <c r="J3443">
        <v>2744</v>
      </c>
      <c r="K3443" t="str">
        <f>_xlfn.CONCAT(WEEKNUM(CompilDonnées[[#This Row],[PlantationDate]]), " ", YEAR(CompilDonnées[[#This Row],[PlantationDate]]))</f>
        <v>24 2025</v>
      </c>
      <c r="L3443" t="str">
        <f>CONCATENATE(MONTH(CompilDonnées[[#This Row],[PlantationDate]])," ", YEAR(CompilDonnées[[#This Row],[PlantationDate]]))</f>
        <v>6 2025</v>
      </c>
      <c r="M3443" t="str">
        <f>CONCATENATE(MONTH(CompilDonnées[[#This Row],[HarvestingDate]])," ", YEAR(CompilDonnées[[#This Row],[HarvestingDate]]))</f>
        <v>7 2025</v>
      </c>
      <c r="N3443">
        <f>_xlfn.NUMBERVALUE(CompilDonnées[[#This Row],[FarmID]]&amp;CompilDonnées[[#This Row],[ModuleNumber]]&amp;CompilDonnées[[#This Row],[PlantationDate]])</f>
        <v>96445821</v>
      </c>
      <c r="O3443" t="str">
        <f>CompilDonnées[[#This Row],[FarmID]]&amp;CompilDonnées[[#This Row],[ModuleNumber]]</f>
        <v>964</v>
      </c>
      <c r="P3443" t="str">
        <f>CompilDonnées[[#This Row],[Ref_Module]]&amp;CompilDonnées[[#This Row],[HarvestingDate]]</f>
        <v>96445866</v>
      </c>
    </row>
    <row r="3444" spans="1:16">
      <c r="A3444" s="5">
        <v>45821</v>
      </c>
      <c r="B3444">
        <v>109</v>
      </c>
      <c r="C3444" t="s">
        <v>87</v>
      </c>
      <c r="D3444">
        <v>5</v>
      </c>
      <c r="E3444">
        <v>100</v>
      </c>
      <c r="F3444" t="s">
        <v>1</v>
      </c>
      <c r="G3444" s="6">
        <v>45852</v>
      </c>
      <c r="H3444">
        <v>31</v>
      </c>
      <c r="I3444">
        <f>ROUND(CompilDonnées[[#This Row],[CultureDuration_days]]/7,0)</f>
        <v>4</v>
      </c>
      <c r="J3444">
        <v>2107</v>
      </c>
      <c r="K3444" t="str">
        <f>_xlfn.CONCAT(WEEKNUM(CompilDonnées[[#This Row],[PlantationDate]]), " ", YEAR(CompilDonnées[[#This Row],[PlantationDate]]))</f>
        <v>24 2025</v>
      </c>
      <c r="L3444" t="str">
        <f>CONCATENATE(MONTH(CompilDonnées[[#This Row],[PlantationDate]])," ", YEAR(CompilDonnées[[#This Row],[PlantationDate]]))</f>
        <v>6 2025</v>
      </c>
      <c r="M3444" t="str">
        <f>CONCATENATE(MONTH(CompilDonnées[[#This Row],[HarvestingDate]])," ", YEAR(CompilDonnées[[#This Row],[HarvestingDate]]))</f>
        <v>7 2025</v>
      </c>
      <c r="N3444">
        <f>_xlfn.NUMBERVALUE(CompilDonnées[[#This Row],[FarmID]]&amp;CompilDonnées[[#This Row],[ModuleNumber]]&amp;CompilDonnées[[#This Row],[PlantationDate]])</f>
        <v>109545821</v>
      </c>
      <c r="O3444" t="str">
        <f>CompilDonnées[[#This Row],[FarmID]]&amp;CompilDonnées[[#This Row],[ModuleNumber]]</f>
        <v>1095</v>
      </c>
      <c r="P3444" t="str">
        <f>CompilDonnées[[#This Row],[Ref_Module]]&amp;CompilDonnées[[#This Row],[HarvestingDate]]</f>
        <v>109545852</v>
      </c>
    </row>
    <row r="3445" spans="1:16">
      <c r="A3445" s="5">
        <v>45821</v>
      </c>
      <c r="B3445">
        <v>115</v>
      </c>
      <c r="C3445" t="s">
        <v>121</v>
      </c>
      <c r="D3445">
        <v>4</v>
      </c>
      <c r="E3445">
        <v>100</v>
      </c>
      <c r="F3445" t="s">
        <v>1</v>
      </c>
      <c r="G3445" s="6">
        <v>45877</v>
      </c>
      <c r="H3445">
        <v>56</v>
      </c>
      <c r="I3445">
        <f>ROUND(CompilDonnées[[#This Row],[CultureDuration_days]]/7,0)</f>
        <v>8</v>
      </c>
      <c r="J3445">
        <v>3171</v>
      </c>
      <c r="K3445" t="str">
        <f>_xlfn.CONCAT(WEEKNUM(CompilDonnées[[#This Row],[PlantationDate]]), " ", YEAR(CompilDonnées[[#This Row],[PlantationDate]]))</f>
        <v>24 2025</v>
      </c>
      <c r="L3445" t="str">
        <f>CONCATENATE(MONTH(CompilDonnées[[#This Row],[PlantationDate]])," ", YEAR(CompilDonnées[[#This Row],[PlantationDate]]))</f>
        <v>6 2025</v>
      </c>
      <c r="M3445" t="str">
        <f>CONCATENATE(MONTH(CompilDonnées[[#This Row],[HarvestingDate]])," ", YEAR(CompilDonnées[[#This Row],[HarvestingDate]]))</f>
        <v>8 2025</v>
      </c>
      <c r="N3445">
        <f>_xlfn.NUMBERVALUE(CompilDonnées[[#This Row],[FarmID]]&amp;CompilDonnées[[#This Row],[ModuleNumber]]&amp;CompilDonnées[[#This Row],[PlantationDate]])</f>
        <v>115445821</v>
      </c>
      <c r="O3445" t="str">
        <f>CompilDonnées[[#This Row],[FarmID]]&amp;CompilDonnées[[#This Row],[ModuleNumber]]</f>
        <v>1154</v>
      </c>
      <c r="P3445" t="str">
        <f>CompilDonnées[[#This Row],[Ref_Module]]&amp;CompilDonnées[[#This Row],[HarvestingDate]]</f>
        <v>115445877</v>
      </c>
    </row>
    <row r="3446" spans="1:16">
      <c r="A3446" s="5">
        <v>45821</v>
      </c>
      <c r="B3446">
        <v>116</v>
      </c>
      <c r="C3446" t="s">
        <v>76</v>
      </c>
      <c r="D3446">
        <v>1</v>
      </c>
      <c r="E3446">
        <v>100</v>
      </c>
      <c r="F3446" t="s">
        <v>1</v>
      </c>
      <c r="G3446" s="6">
        <v>45862</v>
      </c>
      <c r="H3446">
        <v>41</v>
      </c>
      <c r="I3446">
        <f>ROUND(CompilDonnées[[#This Row],[CultureDuration_days]]/7,0)</f>
        <v>6</v>
      </c>
      <c r="J3446">
        <v>2474</v>
      </c>
      <c r="K3446" t="str">
        <f>_xlfn.CONCAT(WEEKNUM(CompilDonnées[[#This Row],[PlantationDate]]), " ", YEAR(CompilDonnées[[#This Row],[PlantationDate]]))</f>
        <v>24 2025</v>
      </c>
      <c r="L3446" t="str">
        <f>CONCATENATE(MONTH(CompilDonnées[[#This Row],[PlantationDate]])," ", YEAR(CompilDonnées[[#This Row],[PlantationDate]]))</f>
        <v>6 2025</v>
      </c>
      <c r="M3446" t="str">
        <f>CONCATENATE(MONTH(CompilDonnées[[#This Row],[HarvestingDate]])," ", YEAR(CompilDonnées[[#This Row],[HarvestingDate]]))</f>
        <v>7 2025</v>
      </c>
      <c r="N3446">
        <f>_xlfn.NUMBERVALUE(CompilDonnées[[#This Row],[FarmID]]&amp;CompilDonnées[[#This Row],[ModuleNumber]]&amp;CompilDonnées[[#This Row],[PlantationDate]])</f>
        <v>116145821</v>
      </c>
      <c r="O3446" t="str">
        <f>CompilDonnées[[#This Row],[FarmID]]&amp;CompilDonnées[[#This Row],[ModuleNumber]]</f>
        <v>1161</v>
      </c>
      <c r="P3446" t="str">
        <f>CompilDonnées[[#This Row],[Ref_Module]]&amp;CompilDonnées[[#This Row],[HarvestingDate]]</f>
        <v>116145862</v>
      </c>
    </row>
    <row r="3447" spans="1:16">
      <c r="A3447" s="5">
        <v>45821</v>
      </c>
      <c r="B3447">
        <v>124</v>
      </c>
      <c r="C3447" t="s">
        <v>115</v>
      </c>
      <c r="D3447">
        <v>2</v>
      </c>
      <c r="E3447">
        <v>100</v>
      </c>
      <c r="F3447" t="s">
        <v>1</v>
      </c>
      <c r="G3447" s="6">
        <v>45863</v>
      </c>
      <c r="H3447">
        <v>42</v>
      </c>
      <c r="I3447">
        <f>ROUND(CompilDonnées[[#This Row],[CultureDuration_days]]/7,0)</f>
        <v>6</v>
      </c>
      <c r="J3447">
        <v>4316</v>
      </c>
      <c r="K3447" t="str">
        <f>_xlfn.CONCAT(WEEKNUM(CompilDonnées[[#This Row],[PlantationDate]]), " ", YEAR(CompilDonnées[[#This Row],[PlantationDate]]))</f>
        <v>24 2025</v>
      </c>
      <c r="L3447" t="str">
        <f>CONCATENATE(MONTH(CompilDonnées[[#This Row],[PlantationDate]])," ", YEAR(CompilDonnées[[#This Row],[PlantationDate]]))</f>
        <v>6 2025</v>
      </c>
      <c r="M3447" t="str">
        <f>CONCATENATE(MONTH(CompilDonnées[[#This Row],[HarvestingDate]])," ", YEAR(CompilDonnées[[#This Row],[HarvestingDate]]))</f>
        <v>7 2025</v>
      </c>
      <c r="N3447">
        <f>_xlfn.NUMBERVALUE(CompilDonnées[[#This Row],[FarmID]]&amp;CompilDonnées[[#This Row],[ModuleNumber]]&amp;CompilDonnées[[#This Row],[PlantationDate]])</f>
        <v>124245821</v>
      </c>
      <c r="O3447" t="str">
        <f>CompilDonnées[[#This Row],[FarmID]]&amp;CompilDonnées[[#This Row],[ModuleNumber]]</f>
        <v>1242</v>
      </c>
      <c r="P3447" t="str">
        <f>CompilDonnées[[#This Row],[Ref_Module]]&amp;CompilDonnées[[#This Row],[HarvestingDate]]</f>
        <v>124245863</v>
      </c>
    </row>
    <row r="3448" spans="1:16">
      <c r="A3448" s="5">
        <v>45821</v>
      </c>
      <c r="B3448">
        <v>125</v>
      </c>
      <c r="C3448" t="s">
        <v>101</v>
      </c>
      <c r="D3448">
        <v>1</v>
      </c>
      <c r="E3448">
        <v>100</v>
      </c>
      <c r="F3448" t="s">
        <v>1</v>
      </c>
      <c r="G3448" s="6">
        <v>45863</v>
      </c>
      <c r="H3448">
        <v>42</v>
      </c>
      <c r="I3448">
        <f>ROUND(CompilDonnées[[#This Row],[CultureDuration_days]]/7,0)</f>
        <v>6</v>
      </c>
      <c r="J3448">
        <v>4249</v>
      </c>
      <c r="K3448" t="str">
        <f>_xlfn.CONCAT(WEEKNUM(CompilDonnées[[#This Row],[PlantationDate]]), " ", YEAR(CompilDonnées[[#This Row],[PlantationDate]]))</f>
        <v>24 2025</v>
      </c>
      <c r="L3448" t="str">
        <f>CONCATENATE(MONTH(CompilDonnées[[#This Row],[PlantationDate]])," ", YEAR(CompilDonnées[[#This Row],[PlantationDate]]))</f>
        <v>6 2025</v>
      </c>
      <c r="M3448" t="str">
        <f>CONCATENATE(MONTH(CompilDonnées[[#This Row],[HarvestingDate]])," ", YEAR(CompilDonnées[[#This Row],[HarvestingDate]]))</f>
        <v>7 2025</v>
      </c>
      <c r="N3448">
        <f>_xlfn.NUMBERVALUE(CompilDonnées[[#This Row],[FarmID]]&amp;CompilDonnées[[#This Row],[ModuleNumber]]&amp;CompilDonnées[[#This Row],[PlantationDate]])</f>
        <v>125145821</v>
      </c>
      <c r="O3448" t="str">
        <f>CompilDonnées[[#This Row],[FarmID]]&amp;CompilDonnées[[#This Row],[ModuleNumber]]</f>
        <v>1251</v>
      </c>
      <c r="P3448" t="str">
        <f>CompilDonnées[[#This Row],[Ref_Module]]&amp;CompilDonnées[[#This Row],[HarvestingDate]]</f>
        <v>125145863</v>
      </c>
    </row>
    <row r="3449" spans="1:16">
      <c r="A3449" s="5">
        <v>45821</v>
      </c>
      <c r="B3449">
        <v>125</v>
      </c>
      <c r="C3449" t="s">
        <v>101</v>
      </c>
      <c r="D3449">
        <v>5</v>
      </c>
      <c r="E3449">
        <v>100</v>
      </c>
      <c r="F3449" t="s">
        <v>1</v>
      </c>
      <c r="G3449" s="6">
        <v>45863</v>
      </c>
      <c r="H3449">
        <v>42</v>
      </c>
      <c r="I3449">
        <f>ROUND(CompilDonnées[[#This Row],[CultureDuration_days]]/7,0)</f>
        <v>6</v>
      </c>
      <c r="J3449">
        <v>4060</v>
      </c>
      <c r="K3449" t="str">
        <f>_xlfn.CONCAT(WEEKNUM(CompilDonnées[[#This Row],[PlantationDate]]), " ", YEAR(CompilDonnées[[#This Row],[PlantationDate]]))</f>
        <v>24 2025</v>
      </c>
      <c r="L3449" t="str">
        <f>CONCATENATE(MONTH(CompilDonnées[[#This Row],[PlantationDate]])," ", YEAR(CompilDonnées[[#This Row],[PlantationDate]]))</f>
        <v>6 2025</v>
      </c>
      <c r="M3449" t="str">
        <f>CONCATENATE(MONTH(CompilDonnées[[#This Row],[HarvestingDate]])," ", YEAR(CompilDonnées[[#This Row],[HarvestingDate]]))</f>
        <v>7 2025</v>
      </c>
      <c r="N3449">
        <f>_xlfn.NUMBERVALUE(CompilDonnées[[#This Row],[FarmID]]&amp;CompilDonnées[[#This Row],[ModuleNumber]]&amp;CompilDonnées[[#This Row],[PlantationDate]])</f>
        <v>125545821</v>
      </c>
      <c r="O3449" t="str">
        <f>CompilDonnées[[#This Row],[FarmID]]&amp;CompilDonnées[[#This Row],[ModuleNumber]]</f>
        <v>1255</v>
      </c>
      <c r="P3449" t="str">
        <f>CompilDonnées[[#This Row],[Ref_Module]]&amp;CompilDonnées[[#This Row],[HarvestingDate]]</f>
        <v>125545863</v>
      </c>
    </row>
    <row r="3450" spans="1:16">
      <c r="A3450" s="5">
        <v>45821</v>
      </c>
      <c r="B3450">
        <v>137</v>
      </c>
      <c r="C3450" t="s">
        <v>3</v>
      </c>
      <c r="D3450">
        <v>4</v>
      </c>
      <c r="E3450">
        <v>60</v>
      </c>
      <c r="F3450" t="s">
        <v>105</v>
      </c>
      <c r="G3450" s="6">
        <v>45894</v>
      </c>
      <c r="H3450">
        <v>73</v>
      </c>
      <c r="I3450">
        <f>ROUND(CompilDonnées[[#This Row],[CultureDuration_days]]/7,0)</f>
        <v>10</v>
      </c>
      <c r="J3450">
        <v>455</v>
      </c>
      <c r="K3450" t="str">
        <f>_xlfn.CONCAT(WEEKNUM(CompilDonnées[[#This Row],[PlantationDate]]), " ", YEAR(CompilDonnées[[#This Row],[PlantationDate]]))</f>
        <v>24 2025</v>
      </c>
      <c r="L3450" t="str">
        <f>CONCATENATE(MONTH(CompilDonnées[[#This Row],[PlantationDate]])," ", YEAR(CompilDonnées[[#This Row],[PlantationDate]]))</f>
        <v>6 2025</v>
      </c>
      <c r="M3450" t="str">
        <f>CONCATENATE(MONTH(CompilDonnées[[#This Row],[HarvestingDate]])," ", YEAR(CompilDonnées[[#This Row],[HarvestingDate]]))</f>
        <v>8 2025</v>
      </c>
      <c r="N3450">
        <f>_xlfn.NUMBERVALUE(CompilDonnées[[#This Row],[FarmID]]&amp;CompilDonnées[[#This Row],[ModuleNumber]]&amp;CompilDonnées[[#This Row],[PlantationDate]])</f>
        <v>137445821</v>
      </c>
      <c r="O3450" t="str">
        <f>CompilDonnées[[#This Row],[FarmID]]&amp;CompilDonnées[[#This Row],[ModuleNumber]]</f>
        <v>1374</v>
      </c>
      <c r="P3450" t="str">
        <f>CompilDonnées[[#This Row],[Ref_Module]]&amp;CompilDonnées[[#This Row],[HarvestingDate]]</f>
        <v>137445894</v>
      </c>
    </row>
    <row r="3451" spans="1:16">
      <c r="A3451" s="5">
        <v>45821</v>
      </c>
      <c r="B3451">
        <v>137</v>
      </c>
      <c r="C3451" t="s">
        <v>3</v>
      </c>
      <c r="D3451">
        <v>5</v>
      </c>
      <c r="E3451">
        <v>60</v>
      </c>
      <c r="F3451" t="s">
        <v>105</v>
      </c>
      <c r="G3451" s="6">
        <v>45894</v>
      </c>
      <c r="H3451">
        <v>73</v>
      </c>
      <c r="I3451">
        <f>ROUND(CompilDonnées[[#This Row],[CultureDuration_days]]/7,0)</f>
        <v>10</v>
      </c>
      <c r="J3451">
        <v>459</v>
      </c>
      <c r="K3451" t="str">
        <f>_xlfn.CONCAT(WEEKNUM(CompilDonnées[[#This Row],[PlantationDate]]), " ", YEAR(CompilDonnées[[#This Row],[PlantationDate]]))</f>
        <v>24 2025</v>
      </c>
      <c r="L3451" t="str">
        <f>CONCATENATE(MONTH(CompilDonnées[[#This Row],[PlantationDate]])," ", YEAR(CompilDonnées[[#This Row],[PlantationDate]]))</f>
        <v>6 2025</v>
      </c>
      <c r="M3451" t="str">
        <f>CONCATENATE(MONTH(CompilDonnées[[#This Row],[HarvestingDate]])," ", YEAR(CompilDonnées[[#This Row],[HarvestingDate]]))</f>
        <v>8 2025</v>
      </c>
      <c r="N3451">
        <f>_xlfn.NUMBERVALUE(CompilDonnées[[#This Row],[FarmID]]&amp;CompilDonnées[[#This Row],[ModuleNumber]]&amp;CompilDonnées[[#This Row],[PlantationDate]])</f>
        <v>137545821</v>
      </c>
      <c r="O3451" t="str">
        <f>CompilDonnées[[#This Row],[FarmID]]&amp;CompilDonnées[[#This Row],[ModuleNumber]]</f>
        <v>1375</v>
      </c>
      <c r="P3451" t="str">
        <f>CompilDonnées[[#This Row],[Ref_Module]]&amp;CompilDonnées[[#This Row],[HarvestingDate]]</f>
        <v>137545894</v>
      </c>
    </row>
    <row r="3452" spans="1:16">
      <c r="A3452" s="5">
        <v>45821</v>
      </c>
      <c r="B3452">
        <v>137</v>
      </c>
      <c r="C3452" t="s">
        <v>3</v>
      </c>
      <c r="D3452">
        <v>6</v>
      </c>
      <c r="E3452">
        <v>60</v>
      </c>
      <c r="F3452" t="s">
        <v>105</v>
      </c>
      <c r="G3452" s="6">
        <v>45894</v>
      </c>
      <c r="H3452">
        <v>73</v>
      </c>
      <c r="I3452">
        <f>ROUND(CompilDonnées[[#This Row],[CultureDuration_days]]/7,0)</f>
        <v>10</v>
      </c>
      <c r="J3452">
        <v>472</v>
      </c>
      <c r="K3452" t="str">
        <f>_xlfn.CONCAT(WEEKNUM(CompilDonnées[[#This Row],[PlantationDate]]), " ", YEAR(CompilDonnées[[#This Row],[PlantationDate]]))</f>
        <v>24 2025</v>
      </c>
      <c r="L3452" t="str">
        <f>CONCATENATE(MONTH(CompilDonnées[[#This Row],[PlantationDate]])," ", YEAR(CompilDonnées[[#This Row],[PlantationDate]]))</f>
        <v>6 2025</v>
      </c>
      <c r="M3452" t="str">
        <f>CONCATENATE(MONTH(CompilDonnées[[#This Row],[HarvestingDate]])," ", YEAR(CompilDonnées[[#This Row],[HarvestingDate]]))</f>
        <v>8 2025</v>
      </c>
      <c r="N3452">
        <f>_xlfn.NUMBERVALUE(CompilDonnées[[#This Row],[FarmID]]&amp;CompilDonnées[[#This Row],[ModuleNumber]]&amp;CompilDonnées[[#This Row],[PlantationDate]])</f>
        <v>137645821</v>
      </c>
      <c r="O3452" t="str">
        <f>CompilDonnées[[#This Row],[FarmID]]&amp;CompilDonnées[[#This Row],[ModuleNumber]]</f>
        <v>1376</v>
      </c>
      <c r="P3452" t="str">
        <f>CompilDonnées[[#This Row],[Ref_Module]]&amp;CompilDonnées[[#This Row],[HarvestingDate]]</f>
        <v>137645894</v>
      </c>
    </row>
    <row r="3453" spans="1:16">
      <c r="A3453" s="5">
        <v>45821</v>
      </c>
      <c r="B3453">
        <v>131</v>
      </c>
      <c r="C3453" t="s">
        <v>3</v>
      </c>
      <c r="D3453">
        <v>1</v>
      </c>
      <c r="E3453">
        <v>60</v>
      </c>
      <c r="F3453" t="s">
        <v>105</v>
      </c>
      <c r="G3453" s="6">
        <v>45866</v>
      </c>
      <c r="H3453">
        <v>45</v>
      </c>
      <c r="I3453">
        <f>ROUND(CompilDonnées[[#This Row],[CultureDuration_days]]/7,0)</f>
        <v>6</v>
      </c>
      <c r="J3453">
        <v>1100</v>
      </c>
      <c r="K3453" t="str">
        <f>_xlfn.CONCAT(WEEKNUM(CompilDonnées[[#This Row],[PlantationDate]]), " ", YEAR(CompilDonnées[[#This Row],[PlantationDate]]))</f>
        <v>24 2025</v>
      </c>
      <c r="L3453" t="str">
        <f>CONCATENATE(MONTH(CompilDonnées[[#This Row],[PlantationDate]])," ", YEAR(CompilDonnées[[#This Row],[PlantationDate]]))</f>
        <v>6 2025</v>
      </c>
      <c r="M3453" t="str">
        <f>CONCATENATE(MONTH(CompilDonnées[[#This Row],[HarvestingDate]])," ", YEAR(CompilDonnées[[#This Row],[HarvestingDate]]))</f>
        <v>7 2025</v>
      </c>
      <c r="N3453">
        <f>_xlfn.NUMBERVALUE(CompilDonnées[[#This Row],[FarmID]]&amp;CompilDonnées[[#This Row],[ModuleNumber]]&amp;CompilDonnées[[#This Row],[PlantationDate]])</f>
        <v>131145821</v>
      </c>
      <c r="O3453" t="str">
        <f>CompilDonnées[[#This Row],[FarmID]]&amp;CompilDonnées[[#This Row],[ModuleNumber]]</f>
        <v>1311</v>
      </c>
      <c r="P3453" t="str">
        <f>CompilDonnées[[#This Row],[Ref_Module]]&amp;CompilDonnées[[#This Row],[HarvestingDate]]</f>
        <v>131145866</v>
      </c>
    </row>
    <row r="3454" spans="1:16">
      <c r="A3454" s="5">
        <v>45821</v>
      </c>
      <c r="B3454">
        <v>131</v>
      </c>
      <c r="C3454" t="s">
        <v>3</v>
      </c>
      <c r="D3454">
        <v>2</v>
      </c>
      <c r="E3454">
        <v>60</v>
      </c>
      <c r="F3454" t="s">
        <v>105</v>
      </c>
      <c r="G3454" s="6">
        <v>45866</v>
      </c>
      <c r="H3454">
        <v>45</v>
      </c>
      <c r="I3454">
        <f>ROUND(CompilDonnées[[#This Row],[CultureDuration_days]]/7,0)</f>
        <v>6</v>
      </c>
      <c r="J3454">
        <v>706</v>
      </c>
      <c r="K3454" t="str">
        <f>_xlfn.CONCAT(WEEKNUM(CompilDonnées[[#This Row],[PlantationDate]]), " ", YEAR(CompilDonnées[[#This Row],[PlantationDate]]))</f>
        <v>24 2025</v>
      </c>
      <c r="L3454" t="str">
        <f>CONCATENATE(MONTH(CompilDonnées[[#This Row],[PlantationDate]])," ", YEAR(CompilDonnées[[#This Row],[PlantationDate]]))</f>
        <v>6 2025</v>
      </c>
      <c r="M3454" t="str">
        <f>CONCATENATE(MONTH(CompilDonnées[[#This Row],[HarvestingDate]])," ", YEAR(CompilDonnées[[#This Row],[HarvestingDate]]))</f>
        <v>7 2025</v>
      </c>
      <c r="N3454">
        <f>_xlfn.NUMBERVALUE(CompilDonnées[[#This Row],[FarmID]]&amp;CompilDonnées[[#This Row],[ModuleNumber]]&amp;CompilDonnées[[#This Row],[PlantationDate]])</f>
        <v>131245821</v>
      </c>
      <c r="O3454" t="str">
        <f>CompilDonnées[[#This Row],[FarmID]]&amp;CompilDonnées[[#This Row],[ModuleNumber]]</f>
        <v>1312</v>
      </c>
      <c r="P3454" t="str">
        <f>CompilDonnées[[#This Row],[Ref_Module]]&amp;CompilDonnées[[#This Row],[HarvestingDate]]</f>
        <v>131245866</v>
      </c>
    </row>
    <row r="3455" spans="1:16">
      <c r="A3455" s="5">
        <v>45826</v>
      </c>
      <c r="B3455">
        <v>6</v>
      </c>
      <c r="C3455" t="s">
        <v>24</v>
      </c>
      <c r="D3455">
        <v>3</v>
      </c>
      <c r="E3455">
        <v>100</v>
      </c>
      <c r="F3455" t="s">
        <v>1</v>
      </c>
      <c r="G3455" s="6">
        <v>45869</v>
      </c>
      <c r="H3455">
        <v>43</v>
      </c>
      <c r="I3455">
        <f>ROUND(CompilDonnées[[#This Row],[CultureDuration_days]]/7,0)</f>
        <v>6</v>
      </c>
      <c r="J3455">
        <v>3700</v>
      </c>
      <c r="K3455" t="str">
        <f>_xlfn.CONCAT(WEEKNUM(CompilDonnées[[#This Row],[PlantationDate]]), " ", YEAR(CompilDonnées[[#This Row],[PlantationDate]]))</f>
        <v>25 2025</v>
      </c>
      <c r="L3455" t="str">
        <f>CONCATENATE(MONTH(CompilDonnées[[#This Row],[PlantationDate]])," ", YEAR(CompilDonnées[[#This Row],[PlantationDate]]))</f>
        <v>6 2025</v>
      </c>
      <c r="M3455" t="str">
        <f>CONCATENATE(MONTH(CompilDonnées[[#This Row],[HarvestingDate]])," ", YEAR(CompilDonnées[[#This Row],[HarvestingDate]]))</f>
        <v>7 2025</v>
      </c>
      <c r="N3455">
        <f>_xlfn.NUMBERVALUE(CompilDonnées[[#This Row],[FarmID]]&amp;CompilDonnées[[#This Row],[ModuleNumber]]&amp;CompilDonnées[[#This Row],[PlantationDate]])</f>
        <v>6345826</v>
      </c>
      <c r="O3455" t="str">
        <f>CompilDonnées[[#This Row],[FarmID]]&amp;CompilDonnées[[#This Row],[ModuleNumber]]</f>
        <v>63</v>
      </c>
      <c r="P3455" t="str">
        <f>CompilDonnées[[#This Row],[Ref_Module]]&amp;CompilDonnées[[#This Row],[HarvestingDate]]</f>
        <v>6345869</v>
      </c>
    </row>
    <row r="3456" spans="1:16">
      <c r="A3456" s="5">
        <v>45826</v>
      </c>
      <c r="B3456">
        <v>5</v>
      </c>
      <c r="C3456" t="s">
        <v>32</v>
      </c>
      <c r="D3456">
        <v>1</v>
      </c>
      <c r="E3456">
        <v>100</v>
      </c>
      <c r="F3456" t="s">
        <v>1</v>
      </c>
      <c r="G3456" s="6">
        <v>45869</v>
      </c>
      <c r="H3456">
        <v>43</v>
      </c>
      <c r="I3456">
        <f>ROUND(CompilDonnées[[#This Row],[CultureDuration_days]]/7,0)</f>
        <v>6</v>
      </c>
      <c r="J3456">
        <v>3219</v>
      </c>
      <c r="K3456" t="str">
        <f>_xlfn.CONCAT(WEEKNUM(CompilDonnées[[#This Row],[PlantationDate]]), " ", YEAR(CompilDonnées[[#This Row],[PlantationDate]]))</f>
        <v>25 2025</v>
      </c>
      <c r="L3456" t="str">
        <f>CONCATENATE(MONTH(CompilDonnées[[#This Row],[PlantationDate]])," ", YEAR(CompilDonnées[[#This Row],[PlantationDate]]))</f>
        <v>6 2025</v>
      </c>
      <c r="M3456" t="str">
        <f>CONCATENATE(MONTH(CompilDonnées[[#This Row],[HarvestingDate]])," ", YEAR(CompilDonnées[[#This Row],[HarvestingDate]]))</f>
        <v>7 2025</v>
      </c>
      <c r="N3456">
        <f>_xlfn.NUMBERVALUE(CompilDonnées[[#This Row],[FarmID]]&amp;CompilDonnées[[#This Row],[ModuleNumber]]&amp;CompilDonnées[[#This Row],[PlantationDate]])</f>
        <v>5145826</v>
      </c>
      <c r="O3456" t="str">
        <f>CompilDonnées[[#This Row],[FarmID]]&amp;CompilDonnées[[#This Row],[ModuleNumber]]</f>
        <v>51</v>
      </c>
      <c r="P3456" t="str">
        <f>CompilDonnées[[#This Row],[Ref_Module]]&amp;CompilDonnées[[#This Row],[HarvestingDate]]</f>
        <v>5145869</v>
      </c>
    </row>
    <row r="3457" spans="1:16">
      <c r="A3457" s="5">
        <v>45826</v>
      </c>
      <c r="B3457">
        <v>4</v>
      </c>
      <c r="C3457" t="s">
        <v>74</v>
      </c>
      <c r="D3457">
        <v>2</v>
      </c>
      <c r="E3457">
        <v>100</v>
      </c>
      <c r="F3457" t="s">
        <v>1</v>
      </c>
      <c r="G3457" s="6">
        <v>45859</v>
      </c>
      <c r="H3457">
        <v>33</v>
      </c>
      <c r="I3457">
        <f>ROUND(CompilDonnées[[#This Row],[CultureDuration_days]]/7,0)</f>
        <v>5</v>
      </c>
      <c r="J3457">
        <v>2214</v>
      </c>
      <c r="K3457" t="str">
        <f>_xlfn.CONCAT(WEEKNUM(CompilDonnées[[#This Row],[PlantationDate]]), " ", YEAR(CompilDonnées[[#This Row],[PlantationDate]]))</f>
        <v>25 2025</v>
      </c>
      <c r="L3457" t="str">
        <f>CONCATENATE(MONTH(CompilDonnées[[#This Row],[PlantationDate]])," ", YEAR(CompilDonnées[[#This Row],[PlantationDate]]))</f>
        <v>6 2025</v>
      </c>
      <c r="M3457" t="str">
        <f>CONCATENATE(MONTH(CompilDonnées[[#This Row],[HarvestingDate]])," ", YEAR(CompilDonnées[[#This Row],[HarvestingDate]]))</f>
        <v>7 2025</v>
      </c>
      <c r="N3457">
        <f>_xlfn.NUMBERVALUE(CompilDonnées[[#This Row],[FarmID]]&amp;CompilDonnées[[#This Row],[ModuleNumber]]&amp;CompilDonnées[[#This Row],[PlantationDate]])</f>
        <v>4245826</v>
      </c>
      <c r="O3457" t="str">
        <f>CompilDonnées[[#This Row],[FarmID]]&amp;CompilDonnées[[#This Row],[ModuleNumber]]</f>
        <v>42</v>
      </c>
      <c r="P3457" t="str">
        <f>CompilDonnées[[#This Row],[Ref_Module]]&amp;CompilDonnées[[#This Row],[HarvestingDate]]</f>
        <v>4245859</v>
      </c>
    </row>
    <row r="3458" spans="1:16">
      <c r="A3458" s="5">
        <v>45826</v>
      </c>
      <c r="B3458">
        <v>3</v>
      </c>
      <c r="C3458" t="s">
        <v>116</v>
      </c>
      <c r="D3458">
        <v>2</v>
      </c>
      <c r="E3458">
        <v>100</v>
      </c>
      <c r="F3458" t="s">
        <v>1</v>
      </c>
      <c r="G3458" s="6">
        <v>45869</v>
      </c>
      <c r="H3458">
        <v>43</v>
      </c>
      <c r="I3458">
        <f>ROUND(CompilDonnées[[#This Row],[CultureDuration_days]]/7,0)</f>
        <v>6</v>
      </c>
      <c r="J3458">
        <v>2428</v>
      </c>
      <c r="K3458" t="str">
        <f>_xlfn.CONCAT(WEEKNUM(CompilDonnées[[#This Row],[PlantationDate]]), " ", YEAR(CompilDonnées[[#This Row],[PlantationDate]]))</f>
        <v>25 2025</v>
      </c>
      <c r="L3458" t="str">
        <f>CONCATENATE(MONTH(CompilDonnées[[#This Row],[PlantationDate]])," ", YEAR(CompilDonnées[[#This Row],[PlantationDate]]))</f>
        <v>6 2025</v>
      </c>
      <c r="M3458" t="str">
        <f>CONCATENATE(MONTH(CompilDonnées[[#This Row],[HarvestingDate]])," ", YEAR(CompilDonnées[[#This Row],[HarvestingDate]]))</f>
        <v>7 2025</v>
      </c>
      <c r="N3458">
        <f>_xlfn.NUMBERVALUE(CompilDonnées[[#This Row],[FarmID]]&amp;CompilDonnées[[#This Row],[ModuleNumber]]&amp;CompilDonnées[[#This Row],[PlantationDate]])</f>
        <v>3245826</v>
      </c>
      <c r="O3458" t="str">
        <f>CompilDonnées[[#This Row],[FarmID]]&amp;CompilDonnées[[#This Row],[ModuleNumber]]</f>
        <v>32</v>
      </c>
      <c r="P3458" t="str">
        <f>CompilDonnées[[#This Row],[Ref_Module]]&amp;CompilDonnées[[#This Row],[HarvestingDate]]</f>
        <v>3245869</v>
      </c>
    </row>
    <row r="3459" spans="1:16">
      <c r="A3459" s="5">
        <v>45826</v>
      </c>
      <c r="B3459">
        <v>18</v>
      </c>
      <c r="C3459" t="s">
        <v>33</v>
      </c>
      <c r="D3459">
        <v>1</v>
      </c>
      <c r="E3459">
        <v>100</v>
      </c>
      <c r="F3459" t="s">
        <v>1</v>
      </c>
      <c r="G3459" s="6">
        <v>45859</v>
      </c>
      <c r="H3459">
        <v>33</v>
      </c>
      <c r="I3459">
        <f>ROUND(CompilDonnées[[#This Row],[CultureDuration_days]]/7,0)</f>
        <v>5</v>
      </c>
      <c r="J3459">
        <v>3554</v>
      </c>
      <c r="K3459" t="str">
        <f>_xlfn.CONCAT(WEEKNUM(CompilDonnées[[#This Row],[PlantationDate]]), " ", YEAR(CompilDonnées[[#This Row],[PlantationDate]]))</f>
        <v>25 2025</v>
      </c>
      <c r="L3459" t="str">
        <f>CONCATENATE(MONTH(CompilDonnées[[#This Row],[PlantationDate]])," ", YEAR(CompilDonnées[[#This Row],[PlantationDate]]))</f>
        <v>6 2025</v>
      </c>
      <c r="M3459" t="str">
        <f>CONCATENATE(MONTH(CompilDonnées[[#This Row],[HarvestingDate]])," ", YEAR(CompilDonnées[[#This Row],[HarvestingDate]]))</f>
        <v>7 2025</v>
      </c>
      <c r="N3459">
        <f>_xlfn.NUMBERVALUE(CompilDonnées[[#This Row],[FarmID]]&amp;CompilDonnées[[#This Row],[ModuleNumber]]&amp;CompilDonnées[[#This Row],[PlantationDate]])</f>
        <v>18145826</v>
      </c>
      <c r="O3459" t="str">
        <f>CompilDonnées[[#This Row],[FarmID]]&amp;CompilDonnées[[#This Row],[ModuleNumber]]</f>
        <v>181</v>
      </c>
      <c r="P3459" t="str">
        <f>CompilDonnées[[#This Row],[Ref_Module]]&amp;CompilDonnées[[#This Row],[HarvestingDate]]</f>
        <v>18145859</v>
      </c>
    </row>
    <row r="3460" spans="1:16">
      <c r="A3460" s="5">
        <v>45826</v>
      </c>
      <c r="B3460">
        <v>17</v>
      </c>
      <c r="C3460" t="s">
        <v>80</v>
      </c>
      <c r="D3460">
        <v>2</v>
      </c>
      <c r="E3460">
        <v>100</v>
      </c>
      <c r="F3460" t="s">
        <v>1</v>
      </c>
      <c r="G3460" s="6">
        <v>45859</v>
      </c>
      <c r="H3460">
        <v>33</v>
      </c>
      <c r="I3460">
        <f>ROUND(CompilDonnées[[#This Row],[CultureDuration_days]]/7,0)</f>
        <v>5</v>
      </c>
      <c r="J3460">
        <v>3127</v>
      </c>
      <c r="K3460" t="str">
        <f>_xlfn.CONCAT(WEEKNUM(CompilDonnées[[#This Row],[PlantationDate]]), " ", YEAR(CompilDonnées[[#This Row],[PlantationDate]]))</f>
        <v>25 2025</v>
      </c>
      <c r="L3460" t="str">
        <f>CONCATENATE(MONTH(CompilDonnées[[#This Row],[PlantationDate]])," ", YEAR(CompilDonnées[[#This Row],[PlantationDate]]))</f>
        <v>6 2025</v>
      </c>
      <c r="M3460" t="str">
        <f>CONCATENATE(MONTH(CompilDonnées[[#This Row],[HarvestingDate]])," ", YEAR(CompilDonnées[[#This Row],[HarvestingDate]]))</f>
        <v>7 2025</v>
      </c>
      <c r="N3460">
        <f>_xlfn.NUMBERVALUE(CompilDonnées[[#This Row],[FarmID]]&amp;CompilDonnées[[#This Row],[ModuleNumber]]&amp;CompilDonnées[[#This Row],[PlantationDate]])</f>
        <v>17245826</v>
      </c>
      <c r="O3460" t="str">
        <f>CompilDonnées[[#This Row],[FarmID]]&amp;CompilDonnées[[#This Row],[ModuleNumber]]</f>
        <v>172</v>
      </c>
      <c r="P3460" t="str">
        <f>CompilDonnées[[#This Row],[Ref_Module]]&amp;CompilDonnées[[#This Row],[HarvestingDate]]</f>
        <v>17245859</v>
      </c>
    </row>
    <row r="3461" spans="1:16">
      <c r="A3461" s="5">
        <v>45826</v>
      </c>
      <c r="B3461">
        <v>24</v>
      </c>
      <c r="C3461" t="s">
        <v>31</v>
      </c>
      <c r="D3461">
        <v>1</v>
      </c>
      <c r="E3461">
        <v>100</v>
      </c>
      <c r="F3461" t="s">
        <v>1</v>
      </c>
      <c r="G3461" s="6">
        <v>45859</v>
      </c>
      <c r="H3461">
        <v>33</v>
      </c>
      <c r="I3461">
        <f>ROUND(CompilDonnées[[#This Row],[CultureDuration_days]]/7,0)</f>
        <v>5</v>
      </c>
      <c r="J3461">
        <v>3899</v>
      </c>
      <c r="K3461" t="str">
        <f>_xlfn.CONCAT(WEEKNUM(CompilDonnées[[#This Row],[PlantationDate]]), " ", YEAR(CompilDonnées[[#This Row],[PlantationDate]]))</f>
        <v>25 2025</v>
      </c>
      <c r="L3461" t="str">
        <f>CONCATENATE(MONTH(CompilDonnées[[#This Row],[PlantationDate]])," ", YEAR(CompilDonnées[[#This Row],[PlantationDate]]))</f>
        <v>6 2025</v>
      </c>
      <c r="M3461" t="str">
        <f>CONCATENATE(MONTH(CompilDonnées[[#This Row],[HarvestingDate]])," ", YEAR(CompilDonnées[[#This Row],[HarvestingDate]]))</f>
        <v>7 2025</v>
      </c>
      <c r="N3461">
        <f>_xlfn.NUMBERVALUE(CompilDonnées[[#This Row],[FarmID]]&amp;CompilDonnées[[#This Row],[ModuleNumber]]&amp;CompilDonnées[[#This Row],[PlantationDate]])</f>
        <v>24145826</v>
      </c>
      <c r="O3461" t="str">
        <f>CompilDonnées[[#This Row],[FarmID]]&amp;CompilDonnées[[#This Row],[ModuleNumber]]</f>
        <v>241</v>
      </c>
      <c r="P3461" t="str">
        <f>CompilDonnées[[#This Row],[Ref_Module]]&amp;CompilDonnées[[#This Row],[HarvestingDate]]</f>
        <v>24145859</v>
      </c>
    </row>
    <row r="3462" spans="1:16">
      <c r="A3462" s="5">
        <v>45826</v>
      </c>
      <c r="B3462">
        <v>23</v>
      </c>
      <c r="C3462" t="s">
        <v>44</v>
      </c>
      <c r="D3462">
        <v>1</v>
      </c>
      <c r="E3462">
        <v>100</v>
      </c>
      <c r="F3462" t="s">
        <v>1</v>
      </c>
      <c r="G3462" s="6">
        <v>45869</v>
      </c>
      <c r="H3462">
        <v>43</v>
      </c>
      <c r="I3462">
        <f>ROUND(CompilDonnées[[#This Row],[CultureDuration_days]]/7,0)</f>
        <v>6</v>
      </c>
      <c r="J3462">
        <v>2790</v>
      </c>
      <c r="K3462" t="str">
        <f>_xlfn.CONCAT(WEEKNUM(CompilDonnées[[#This Row],[PlantationDate]]), " ", YEAR(CompilDonnées[[#This Row],[PlantationDate]]))</f>
        <v>25 2025</v>
      </c>
      <c r="L3462" t="str">
        <f>CONCATENATE(MONTH(CompilDonnées[[#This Row],[PlantationDate]])," ", YEAR(CompilDonnées[[#This Row],[PlantationDate]]))</f>
        <v>6 2025</v>
      </c>
      <c r="M3462" t="str">
        <f>CONCATENATE(MONTH(CompilDonnées[[#This Row],[HarvestingDate]])," ", YEAR(CompilDonnées[[#This Row],[HarvestingDate]]))</f>
        <v>7 2025</v>
      </c>
      <c r="N3462">
        <f>_xlfn.NUMBERVALUE(CompilDonnées[[#This Row],[FarmID]]&amp;CompilDonnées[[#This Row],[ModuleNumber]]&amp;CompilDonnées[[#This Row],[PlantationDate]])</f>
        <v>23145826</v>
      </c>
      <c r="O3462" t="str">
        <f>CompilDonnées[[#This Row],[FarmID]]&amp;CompilDonnées[[#This Row],[ModuleNumber]]</f>
        <v>231</v>
      </c>
      <c r="P3462" t="str">
        <f>CompilDonnées[[#This Row],[Ref_Module]]&amp;CompilDonnées[[#This Row],[HarvestingDate]]</f>
        <v>23145869</v>
      </c>
    </row>
    <row r="3463" spans="1:16">
      <c r="A3463" s="5">
        <v>45826</v>
      </c>
      <c r="B3463">
        <v>22</v>
      </c>
      <c r="C3463" t="s">
        <v>43</v>
      </c>
      <c r="D3463">
        <v>6</v>
      </c>
      <c r="E3463">
        <v>100</v>
      </c>
      <c r="F3463" t="s">
        <v>1</v>
      </c>
      <c r="G3463" s="6">
        <v>45859</v>
      </c>
      <c r="H3463">
        <v>33</v>
      </c>
      <c r="I3463">
        <f>ROUND(CompilDonnées[[#This Row],[CultureDuration_days]]/7,0)</f>
        <v>5</v>
      </c>
      <c r="J3463">
        <v>3811</v>
      </c>
      <c r="K3463" t="str">
        <f>_xlfn.CONCAT(WEEKNUM(CompilDonnées[[#This Row],[PlantationDate]]), " ", YEAR(CompilDonnées[[#This Row],[PlantationDate]]))</f>
        <v>25 2025</v>
      </c>
      <c r="L3463" t="str">
        <f>CONCATENATE(MONTH(CompilDonnées[[#This Row],[PlantationDate]])," ", YEAR(CompilDonnées[[#This Row],[PlantationDate]]))</f>
        <v>6 2025</v>
      </c>
      <c r="M3463" t="str">
        <f>CONCATENATE(MONTH(CompilDonnées[[#This Row],[HarvestingDate]])," ", YEAR(CompilDonnées[[#This Row],[HarvestingDate]]))</f>
        <v>7 2025</v>
      </c>
      <c r="N3463">
        <f>_xlfn.NUMBERVALUE(CompilDonnées[[#This Row],[FarmID]]&amp;CompilDonnées[[#This Row],[ModuleNumber]]&amp;CompilDonnées[[#This Row],[PlantationDate]])</f>
        <v>22645826</v>
      </c>
      <c r="O3463" t="str">
        <f>CompilDonnées[[#This Row],[FarmID]]&amp;CompilDonnées[[#This Row],[ModuleNumber]]</f>
        <v>226</v>
      </c>
      <c r="P3463" t="str">
        <f>CompilDonnées[[#This Row],[Ref_Module]]&amp;CompilDonnées[[#This Row],[HarvestingDate]]</f>
        <v>22645859</v>
      </c>
    </row>
    <row r="3464" spans="1:16">
      <c r="A3464" s="5">
        <v>45826</v>
      </c>
      <c r="B3464">
        <v>21</v>
      </c>
      <c r="C3464" t="s">
        <v>0</v>
      </c>
      <c r="D3464">
        <v>6</v>
      </c>
      <c r="E3464">
        <v>100</v>
      </c>
      <c r="F3464" t="s">
        <v>1</v>
      </c>
      <c r="G3464" s="6">
        <v>45859</v>
      </c>
      <c r="H3464">
        <v>33</v>
      </c>
      <c r="I3464">
        <f>ROUND(CompilDonnées[[#This Row],[CultureDuration_days]]/7,0)</f>
        <v>5</v>
      </c>
      <c r="J3464">
        <v>3692</v>
      </c>
      <c r="K3464" t="str">
        <f>_xlfn.CONCAT(WEEKNUM(CompilDonnées[[#This Row],[PlantationDate]]), " ", YEAR(CompilDonnées[[#This Row],[PlantationDate]]))</f>
        <v>25 2025</v>
      </c>
      <c r="L3464" t="str">
        <f>CONCATENATE(MONTH(CompilDonnées[[#This Row],[PlantationDate]])," ", YEAR(CompilDonnées[[#This Row],[PlantationDate]]))</f>
        <v>6 2025</v>
      </c>
      <c r="M3464" t="str">
        <f>CONCATENATE(MONTH(CompilDonnées[[#This Row],[HarvestingDate]])," ", YEAR(CompilDonnées[[#This Row],[HarvestingDate]]))</f>
        <v>7 2025</v>
      </c>
      <c r="N3464">
        <f>_xlfn.NUMBERVALUE(CompilDonnées[[#This Row],[FarmID]]&amp;CompilDonnées[[#This Row],[ModuleNumber]]&amp;CompilDonnées[[#This Row],[PlantationDate]])</f>
        <v>21645826</v>
      </c>
      <c r="O3464" t="str">
        <f>CompilDonnées[[#This Row],[FarmID]]&amp;CompilDonnées[[#This Row],[ModuleNumber]]</f>
        <v>216</v>
      </c>
      <c r="P3464" t="str">
        <f>CompilDonnées[[#This Row],[Ref_Module]]&amp;CompilDonnées[[#This Row],[HarvestingDate]]</f>
        <v>21645859</v>
      </c>
    </row>
    <row r="3465" spans="1:16">
      <c r="A3465" s="5">
        <v>45826</v>
      </c>
      <c r="B3465">
        <v>32</v>
      </c>
      <c r="C3465" t="s">
        <v>25</v>
      </c>
      <c r="D3465">
        <v>6</v>
      </c>
      <c r="E3465">
        <v>100</v>
      </c>
      <c r="F3465" t="s">
        <v>1</v>
      </c>
      <c r="G3465" s="6">
        <v>45859</v>
      </c>
      <c r="H3465">
        <v>33</v>
      </c>
      <c r="I3465">
        <f>ROUND(CompilDonnées[[#This Row],[CultureDuration_days]]/7,0)</f>
        <v>5</v>
      </c>
      <c r="J3465">
        <v>3918</v>
      </c>
      <c r="K3465" t="str">
        <f>_xlfn.CONCAT(WEEKNUM(CompilDonnées[[#This Row],[PlantationDate]]), " ", YEAR(CompilDonnées[[#This Row],[PlantationDate]]))</f>
        <v>25 2025</v>
      </c>
      <c r="L3465" t="str">
        <f>CONCATENATE(MONTH(CompilDonnées[[#This Row],[PlantationDate]])," ", YEAR(CompilDonnées[[#This Row],[PlantationDate]]))</f>
        <v>6 2025</v>
      </c>
      <c r="M3465" t="str">
        <f>CONCATENATE(MONTH(CompilDonnées[[#This Row],[HarvestingDate]])," ", YEAR(CompilDonnées[[#This Row],[HarvestingDate]]))</f>
        <v>7 2025</v>
      </c>
      <c r="N3465">
        <f>_xlfn.NUMBERVALUE(CompilDonnées[[#This Row],[FarmID]]&amp;CompilDonnées[[#This Row],[ModuleNumber]]&amp;CompilDonnées[[#This Row],[PlantationDate]])</f>
        <v>32645826</v>
      </c>
      <c r="O3465" t="str">
        <f>CompilDonnées[[#This Row],[FarmID]]&amp;CompilDonnées[[#This Row],[ModuleNumber]]</f>
        <v>326</v>
      </c>
      <c r="P3465" t="str">
        <f>CompilDonnées[[#This Row],[Ref_Module]]&amp;CompilDonnées[[#This Row],[HarvestingDate]]</f>
        <v>32645859</v>
      </c>
    </row>
    <row r="3466" spans="1:16">
      <c r="A3466" s="5">
        <v>45826</v>
      </c>
      <c r="B3466">
        <v>31</v>
      </c>
      <c r="C3466" t="s">
        <v>62</v>
      </c>
      <c r="D3466">
        <v>4</v>
      </c>
      <c r="E3466">
        <v>100</v>
      </c>
      <c r="F3466" t="s">
        <v>1</v>
      </c>
      <c r="G3466" s="6">
        <v>45859</v>
      </c>
      <c r="H3466">
        <v>33</v>
      </c>
      <c r="I3466">
        <f>ROUND(CompilDonnées[[#This Row],[CultureDuration_days]]/7,0)</f>
        <v>5</v>
      </c>
      <c r="J3466">
        <v>2798</v>
      </c>
      <c r="K3466" t="str">
        <f>_xlfn.CONCAT(WEEKNUM(CompilDonnées[[#This Row],[PlantationDate]]), " ", YEAR(CompilDonnées[[#This Row],[PlantationDate]]))</f>
        <v>25 2025</v>
      </c>
      <c r="L3466" t="str">
        <f>CONCATENATE(MONTH(CompilDonnées[[#This Row],[PlantationDate]])," ", YEAR(CompilDonnées[[#This Row],[PlantationDate]]))</f>
        <v>6 2025</v>
      </c>
      <c r="M3466" t="str">
        <f>CONCATENATE(MONTH(CompilDonnées[[#This Row],[HarvestingDate]])," ", YEAR(CompilDonnées[[#This Row],[HarvestingDate]]))</f>
        <v>7 2025</v>
      </c>
      <c r="N3466">
        <f>_xlfn.NUMBERVALUE(CompilDonnées[[#This Row],[FarmID]]&amp;CompilDonnées[[#This Row],[ModuleNumber]]&amp;CompilDonnées[[#This Row],[PlantationDate]])</f>
        <v>31445826</v>
      </c>
      <c r="O3466" t="str">
        <f>CompilDonnées[[#This Row],[FarmID]]&amp;CompilDonnées[[#This Row],[ModuleNumber]]</f>
        <v>314</v>
      </c>
      <c r="P3466" t="str">
        <f>CompilDonnées[[#This Row],[Ref_Module]]&amp;CompilDonnées[[#This Row],[HarvestingDate]]</f>
        <v>31445859</v>
      </c>
    </row>
    <row r="3467" spans="1:16">
      <c r="A3467" s="5">
        <v>45826</v>
      </c>
      <c r="B3467">
        <v>38</v>
      </c>
      <c r="C3467" t="s">
        <v>34</v>
      </c>
      <c r="D3467">
        <v>5</v>
      </c>
      <c r="E3467">
        <v>100</v>
      </c>
      <c r="F3467" t="s">
        <v>1</v>
      </c>
      <c r="G3467" s="6">
        <v>45860</v>
      </c>
      <c r="H3467">
        <v>34</v>
      </c>
      <c r="I3467">
        <f>ROUND(CompilDonnées[[#This Row],[CultureDuration_days]]/7,0)</f>
        <v>5</v>
      </c>
      <c r="J3467">
        <v>3044</v>
      </c>
      <c r="K3467" t="str">
        <f>_xlfn.CONCAT(WEEKNUM(CompilDonnées[[#This Row],[PlantationDate]]), " ", YEAR(CompilDonnées[[#This Row],[PlantationDate]]))</f>
        <v>25 2025</v>
      </c>
      <c r="L3467" t="str">
        <f>CONCATENATE(MONTH(CompilDonnées[[#This Row],[PlantationDate]])," ", YEAR(CompilDonnées[[#This Row],[PlantationDate]]))</f>
        <v>6 2025</v>
      </c>
      <c r="M3467" t="str">
        <f>CONCATENATE(MONTH(CompilDonnées[[#This Row],[HarvestingDate]])," ", YEAR(CompilDonnées[[#This Row],[HarvestingDate]]))</f>
        <v>7 2025</v>
      </c>
      <c r="N3467">
        <f>_xlfn.NUMBERVALUE(CompilDonnées[[#This Row],[FarmID]]&amp;CompilDonnées[[#This Row],[ModuleNumber]]&amp;CompilDonnées[[#This Row],[PlantationDate]])</f>
        <v>38545826</v>
      </c>
      <c r="O3467" t="str">
        <f>CompilDonnées[[#This Row],[FarmID]]&amp;CompilDonnées[[#This Row],[ModuleNumber]]</f>
        <v>385</v>
      </c>
      <c r="P3467" t="str">
        <f>CompilDonnées[[#This Row],[Ref_Module]]&amp;CompilDonnées[[#This Row],[HarvestingDate]]</f>
        <v>38545860</v>
      </c>
    </row>
    <row r="3468" spans="1:16">
      <c r="A3468" s="5">
        <v>45826</v>
      </c>
      <c r="B3468">
        <v>35</v>
      </c>
      <c r="C3468" t="s">
        <v>69</v>
      </c>
      <c r="D3468">
        <v>2</v>
      </c>
      <c r="E3468">
        <v>100</v>
      </c>
      <c r="F3468" t="s">
        <v>1</v>
      </c>
      <c r="G3468" s="6">
        <v>45868</v>
      </c>
      <c r="H3468">
        <v>42</v>
      </c>
      <c r="I3468">
        <f>ROUND(CompilDonnées[[#This Row],[CultureDuration_days]]/7,0)</f>
        <v>6</v>
      </c>
      <c r="J3468">
        <v>2168</v>
      </c>
      <c r="K3468" t="str">
        <f>_xlfn.CONCAT(WEEKNUM(CompilDonnées[[#This Row],[PlantationDate]]), " ", YEAR(CompilDonnées[[#This Row],[PlantationDate]]))</f>
        <v>25 2025</v>
      </c>
      <c r="L3468" t="str">
        <f>CONCATENATE(MONTH(CompilDonnées[[#This Row],[PlantationDate]])," ", YEAR(CompilDonnées[[#This Row],[PlantationDate]]))</f>
        <v>6 2025</v>
      </c>
      <c r="M3468" t="str">
        <f>CONCATENATE(MONTH(CompilDonnées[[#This Row],[HarvestingDate]])," ", YEAR(CompilDonnées[[#This Row],[HarvestingDate]]))</f>
        <v>7 2025</v>
      </c>
      <c r="N3468">
        <f>_xlfn.NUMBERVALUE(CompilDonnées[[#This Row],[FarmID]]&amp;CompilDonnées[[#This Row],[ModuleNumber]]&amp;CompilDonnées[[#This Row],[PlantationDate]])</f>
        <v>35245826</v>
      </c>
      <c r="O3468" t="str">
        <f>CompilDonnées[[#This Row],[FarmID]]&amp;CompilDonnées[[#This Row],[ModuleNumber]]</f>
        <v>352</v>
      </c>
      <c r="P3468" t="str">
        <f>CompilDonnées[[#This Row],[Ref_Module]]&amp;CompilDonnées[[#This Row],[HarvestingDate]]</f>
        <v>35245868</v>
      </c>
    </row>
    <row r="3469" spans="1:16">
      <c r="A3469" s="5">
        <v>45826</v>
      </c>
      <c r="B3469">
        <v>45</v>
      </c>
      <c r="C3469" t="s">
        <v>77</v>
      </c>
      <c r="D3469">
        <v>6</v>
      </c>
      <c r="E3469">
        <v>100</v>
      </c>
      <c r="F3469" t="s">
        <v>1</v>
      </c>
      <c r="G3469" s="6">
        <v>45868</v>
      </c>
      <c r="H3469">
        <v>42</v>
      </c>
      <c r="I3469">
        <f>ROUND(CompilDonnées[[#This Row],[CultureDuration_days]]/7,0)</f>
        <v>6</v>
      </c>
      <c r="J3469">
        <v>3723</v>
      </c>
      <c r="K3469" t="str">
        <f>_xlfn.CONCAT(WEEKNUM(CompilDonnées[[#This Row],[PlantationDate]]), " ", YEAR(CompilDonnées[[#This Row],[PlantationDate]]))</f>
        <v>25 2025</v>
      </c>
      <c r="L3469" t="str">
        <f>CONCATENATE(MONTH(CompilDonnées[[#This Row],[PlantationDate]])," ", YEAR(CompilDonnées[[#This Row],[PlantationDate]]))</f>
        <v>6 2025</v>
      </c>
      <c r="M3469" t="str">
        <f>CONCATENATE(MONTH(CompilDonnées[[#This Row],[HarvestingDate]])," ", YEAR(CompilDonnées[[#This Row],[HarvestingDate]]))</f>
        <v>7 2025</v>
      </c>
      <c r="N3469">
        <f>_xlfn.NUMBERVALUE(CompilDonnées[[#This Row],[FarmID]]&amp;CompilDonnées[[#This Row],[ModuleNumber]]&amp;CompilDonnées[[#This Row],[PlantationDate]])</f>
        <v>45645826</v>
      </c>
      <c r="O3469" t="str">
        <f>CompilDonnées[[#This Row],[FarmID]]&amp;CompilDonnées[[#This Row],[ModuleNumber]]</f>
        <v>456</v>
      </c>
      <c r="P3469" t="str">
        <f>CompilDonnées[[#This Row],[Ref_Module]]&amp;CompilDonnées[[#This Row],[HarvestingDate]]</f>
        <v>45645868</v>
      </c>
    </row>
    <row r="3470" spans="1:16">
      <c r="A3470" s="5">
        <v>45826</v>
      </c>
      <c r="B3470">
        <v>54</v>
      </c>
      <c r="C3470" t="s">
        <v>39</v>
      </c>
      <c r="D3470">
        <v>4</v>
      </c>
      <c r="E3470">
        <v>100</v>
      </c>
      <c r="F3470" t="s">
        <v>1</v>
      </c>
      <c r="G3470" s="6">
        <v>45876</v>
      </c>
      <c r="H3470">
        <v>50</v>
      </c>
      <c r="I3470">
        <f>ROUND(CompilDonnées[[#This Row],[CultureDuration_days]]/7,0)</f>
        <v>7</v>
      </c>
      <c r="J3470">
        <v>2170</v>
      </c>
      <c r="K3470" t="str">
        <f>_xlfn.CONCAT(WEEKNUM(CompilDonnées[[#This Row],[PlantationDate]]), " ", YEAR(CompilDonnées[[#This Row],[PlantationDate]]))</f>
        <v>25 2025</v>
      </c>
      <c r="L3470" t="str">
        <f>CONCATENATE(MONTH(CompilDonnées[[#This Row],[PlantationDate]])," ", YEAR(CompilDonnées[[#This Row],[PlantationDate]]))</f>
        <v>6 2025</v>
      </c>
      <c r="M3470" t="str">
        <f>CONCATENATE(MONTH(CompilDonnées[[#This Row],[HarvestingDate]])," ", YEAR(CompilDonnées[[#This Row],[HarvestingDate]]))</f>
        <v>8 2025</v>
      </c>
      <c r="N3470">
        <f>_xlfn.NUMBERVALUE(CompilDonnées[[#This Row],[FarmID]]&amp;CompilDonnées[[#This Row],[ModuleNumber]]&amp;CompilDonnées[[#This Row],[PlantationDate]])</f>
        <v>54445826</v>
      </c>
      <c r="O3470" t="str">
        <f>CompilDonnées[[#This Row],[FarmID]]&amp;CompilDonnées[[#This Row],[ModuleNumber]]</f>
        <v>544</v>
      </c>
      <c r="P3470" t="str">
        <f>CompilDonnées[[#This Row],[Ref_Module]]&amp;CompilDonnées[[#This Row],[HarvestingDate]]</f>
        <v>54445876</v>
      </c>
    </row>
    <row r="3471" spans="1:16">
      <c r="A3471" s="5">
        <v>45826</v>
      </c>
      <c r="B3471">
        <v>53</v>
      </c>
      <c r="C3471" t="s">
        <v>83</v>
      </c>
      <c r="D3471">
        <v>4</v>
      </c>
      <c r="E3471">
        <v>100</v>
      </c>
      <c r="F3471" t="s">
        <v>1</v>
      </c>
      <c r="G3471" s="6">
        <v>45868</v>
      </c>
      <c r="H3471">
        <v>42</v>
      </c>
      <c r="I3471">
        <f>ROUND(CompilDonnées[[#This Row],[CultureDuration_days]]/7,0)</f>
        <v>6</v>
      </c>
      <c r="J3471">
        <v>2867</v>
      </c>
      <c r="K3471" t="str">
        <f>_xlfn.CONCAT(WEEKNUM(CompilDonnées[[#This Row],[PlantationDate]]), " ", YEAR(CompilDonnées[[#This Row],[PlantationDate]]))</f>
        <v>25 2025</v>
      </c>
      <c r="L3471" t="str">
        <f>CONCATENATE(MONTH(CompilDonnées[[#This Row],[PlantationDate]])," ", YEAR(CompilDonnées[[#This Row],[PlantationDate]]))</f>
        <v>6 2025</v>
      </c>
      <c r="M3471" t="str">
        <f>CONCATENATE(MONTH(CompilDonnées[[#This Row],[HarvestingDate]])," ", YEAR(CompilDonnées[[#This Row],[HarvestingDate]]))</f>
        <v>7 2025</v>
      </c>
      <c r="N3471">
        <f>_xlfn.NUMBERVALUE(CompilDonnées[[#This Row],[FarmID]]&amp;CompilDonnées[[#This Row],[ModuleNumber]]&amp;CompilDonnées[[#This Row],[PlantationDate]])</f>
        <v>53445826</v>
      </c>
      <c r="O3471" t="str">
        <f>CompilDonnées[[#This Row],[FarmID]]&amp;CompilDonnées[[#This Row],[ModuleNumber]]</f>
        <v>534</v>
      </c>
      <c r="P3471" t="str">
        <f>CompilDonnées[[#This Row],[Ref_Module]]&amp;CompilDonnées[[#This Row],[HarvestingDate]]</f>
        <v>53445868</v>
      </c>
    </row>
    <row r="3472" spans="1:16">
      <c r="A3472" s="5">
        <v>45826</v>
      </c>
      <c r="B3472">
        <v>46</v>
      </c>
      <c r="C3472" t="s">
        <v>8</v>
      </c>
      <c r="D3472">
        <v>1</v>
      </c>
      <c r="E3472">
        <v>100</v>
      </c>
      <c r="F3472" t="s">
        <v>1</v>
      </c>
      <c r="G3472" s="6">
        <v>45868</v>
      </c>
      <c r="H3472">
        <v>42</v>
      </c>
      <c r="I3472">
        <f>ROUND(CompilDonnées[[#This Row],[CultureDuration_days]]/7,0)</f>
        <v>6</v>
      </c>
      <c r="J3472">
        <v>2822</v>
      </c>
      <c r="K3472" t="str">
        <f>_xlfn.CONCAT(WEEKNUM(CompilDonnées[[#This Row],[PlantationDate]]), " ", YEAR(CompilDonnées[[#This Row],[PlantationDate]]))</f>
        <v>25 2025</v>
      </c>
      <c r="L3472" t="str">
        <f>CONCATENATE(MONTH(CompilDonnées[[#This Row],[PlantationDate]])," ", YEAR(CompilDonnées[[#This Row],[PlantationDate]]))</f>
        <v>6 2025</v>
      </c>
      <c r="M3472" t="str">
        <f>CONCATENATE(MONTH(CompilDonnées[[#This Row],[HarvestingDate]])," ", YEAR(CompilDonnées[[#This Row],[HarvestingDate]]))</f>
        <v>7 2025</v>
      </c>
      <c r="N3472">
        <f>_xlfn.NUMBERVALUE(CompilDonnées[[#This Row],[FarmID]]&amp;CompilDonnées[[#This Row],[ModuleNumber]]&amp;CompilDonnées[[#This Row],[PlantationDate]])</f>
        <v>46145826</v>
      </c>
      <c r="O3472" t="str">
        <f>CompilDonnées[[#This Row],[FarmID]]&amp;CompilDonnées[[#This Row],[ModuleNumber]]</f>
        <v>461</v>
      </c>
      <c r="P3472" t="str">
        <f>CompilDonnées[[#This Row],[Ref_Module]]&amp;CompilDonnées[[#This Row],[HarvestingDate]]</f>
        <v>46145868</v>
      </c>
    </row>
    <row r="3473" spans="1:16">
      <c r="A3473" s="5">
        <v>45826</v>
      </c>
      <c r="B3473">
        <v>20</v>
      </c>
      <c r="C3473" t="s">
        <v>53</v>
      </c>
      <c r="D3473">
        <v>4</v>
      </c>
      <c r="E3473">
        <v>100</v>
      </c>
      <c r="F3473" t="s">
        <v>1</v>
      </c>
      <c r="G3473" s="6">
        <v>45869</v>
      </c>
      <c r="H3473">
        <v>43</v>
      </c>
      <c r="I3473">
        <f>ROUND(CompilDonnées[[#This Row],[CultureDuration_days]]/7,0)</f>
        <v>6</v>
      </c>
      <c r="J3473">
        <v>2070</v>
      </c>
      <c r="K3473" t="str">
        <f>_xlfn.CONCAT(WEEKNUM(CompilDonnées[[#This Row],[PlantationDate]]), " ", YEAR(CompilDonnées[[#This Row],[PlantationDate]]))</f>
        <v>25 2025</v>
      </c>
      <c r="L3473" t="str">
        <f>CONCATENATE(MONTH(CompilDonnées[[#This Row],[PlantationDate]])," ", YEAR(CompilDonnées[[#This Row],[PlantationDate]]))</f>
        <v>6 2025</v>
      </c>
      <c r="M3473" t="str">
        <f>CONCATENATE(MONTH(CompilDonnées[[#This Row],[HarvestingDate]])," ", YEAR(CompilDonnées[[#This Row],[HarvestingDate]]))</f>
        <v>7 2025</v>
      </c>
      <c r="N3473">
        <f>_xlfn.NUMBERVALUE(CompilDonnées[[#This Row],[FarmID]]&amp;CompilDonnées[[#This Row],[ModuleNumber]]&amp;CompilDonnées[[#This Row],[PlantationDate]])</f>
        <v>20445826</v>
      </c>
      <c r="O3473" t="str">
        <f>CompilDonnées[[#This Row],[FarmID]]&amp;CompilDonnées[[#This Row],[ModuleNumber]]</f>
        <v>204</v>
      </c>
      <c r="P3473" t="str">
        <f>CompilDonnées[[#This Row],[Ref_Module]]&amp;CompilDonnées[[#This Row],[HarvestingDate]]</f>
        <v>20445869</v>
      </c>
    </row>
    <row r="3474" spans="1:16">
      <c r="A3474" s="5">
        <v>45826</v>
      </c>
      <c r="B3474">
        <v>19</v>
      </c>
      <c r="C3474" t="s">
        <v>108</v>
      </c>
      <c r="D3474">
        <v>3</v>
      </c>
      <c r="E3474">
        <v>100</v>
      </c>
      <c r="F3474" t="s">
        <v>1</v>
      </c>
      <c r="G3474" s="6">
        <v>45869</v>
      </c>
      <c r="H3474">
        <v>43</v>
      </c>
      <c r="I3474">
        <f>ROUND(CompilDonnées[[#This Row],[CultureDuration_days]]/7,0)</f>
        <v>6</v>
      </c>
      <c r="J3474">
        <v>2315</v>
      </c>
      <c r="K3474" t="str">
        <f>_xlfn.CONCAT(WEEKNUM(CompilDonnées[[#This Row],[PlantationDate]]), " ", YEAR(CompilDonnées[[#This Row],[PlantationDate]]))</f>
        <v>25 2025</v>
      </c>
      <c r="L3474" t="str">
        <f>CONCATENATE(MONTH(CompilDonnées[[#This Row],[PlantationDate]])," ", YEAR(CompilDonnées[[#This Row],[PlantationDate]]))</f>
        <v>6 2025</v>
      </c>
      <c r="M3474" t="str">
        <f>CONCATENATE(MONTH(CompilDonnées[[#This Row],[HarvestingDate]])," ", YEAR(CompilDonnées[[#This Row],[HarvestingDate]]))</f>
        <v>7 2025</v>
      </c>
      <c r="N3474">
        <f>_xlfn.NUMBERVALUE(CompilDonnées[[#This Row],[FarmID]]&amp;CompilDonnées[[#This Row],[ModuleNumber]]&amp;CompilDonnées[[#This Row],[PlantationDate]])</f>
        <v>19345826</v>
      </c>
      <c r="O3474" t="str">
        <f>CompilDonnées[[#This Row],[FarmID]]&amp;CompilDonnées[[#This Row],[ModuleNumber]]</f>
        <v>193</v>
      </c>
      <c r="P3474" t="str">
        <f>CompilDonnées[[#This Row],[Ref_Module]]&amp;CompilDonnées[[#This Row],[HarvestingDate]]</f>
        <v>19345869</v>
      </c>
    </row>
    <row r="3475" spans="1:16">
      <c r="A3475" s="5">
        <v>45826</v>
      </c>
      <c r="B3475">
        <v>13</v>
      </c>
      <c r="C3475" t="s">
        <v>114</v>
      </c>
      <c r="D3475">
        <v>3</v>
      </c>
      <c r="E3475">
        <v>100</v>
      </c>
      <c r="F3475" t="s">
        <v>1</v>
      </c>
      <c r="G3475" s="6">
        <v>45869</v>
      </c>
      <c r="H3475">
        <v>43</v>
      </c>
      <c r="I3475">
        <f>ROUND(CompilDonnées[[#This Row],[CultureDuration_days]]/7,0)</f>
        <v>6</v>
      </c>
      <c r="J3475">
        <v>3843</v>
      </c>
      <c r="K3475" t="str">
        <f>_xlfn.CONCAT(WEEKNUM(CompilDonnées[[#This Row],[PlantationDate]]), " ", YEAR(CompilDonnées[[#This Row],[PlantationDate]]))</f>
        <v>25 2025</v>
      </c>
      <c r="L3475" t="str">
        <f>CONCATENATE(MONTH(CompilDonnées[[#This Row],[PlantationDate]])," ", YEAR(CompilDonnées[[#This Row],[PlantationDate]]))</f>
        <v>6 2025</v>
      </c>
      <c r="M3475" t="str">
        <f>CONCATENATE(MONTH(CompilDonnées[[#This Row],[HarvestingDate]])," ", YEAR(CompilDonnées[[#This Row],[HarvestingDate]]))</f>
        <v>7 2025</v>
      </c>
      <c r="N3475">
        <f>_xlfn.NUMBERVALUE(CompilDonnées[[#This Row],[FarmID]]&amp;CompilDonnées[[#This Row],[ModuleNumber]]&amp;CompilDonnées[[#This Row],[PlantationDate]])</f>
        <v>13345826</v>
      </c>
      <c r="O3475" t="str">
        <f>CompilDonnées[[#This Row],[FarmID]]&amp;CompilDonnées[[#This Row],[ModuleNumber]]</f>
        <v>133</v>
      </c>
      <c r="P3475" t="str">
        <f>CompilDonnées[[#This Row],[Ref_Module]]&amp;CompilDonnées[[#This Row],[HarvestingDate]]</f>
        <v>13345869</v>
      </c>
    </row>
    <row r="3476" spans="1:16">
      <c r="A3476" s="5">
        <v>45826</v>
      </c>
      <c r="B3476">
        <v>9</v>
      </c>
      <c r="C3476" t="s">
        <v>107</v>
      </c>
      <c r="D3476">
        <v>1</v>
      </c>
      <c r="E3476">
        <v>100</v>
      </c>
      <c r="F3476" t="s">
        <v>1</v>
      </c>
      <c r="G3476" s="6">
        <v>45869</v>
      </c>
      <c r="H3476">
        <v>43</v>
      </c>
      <c r="I3476">
        <f>ROUND(CompilDonnées[[#This Row],[CultureDuration_days]]/7,0)</f>
        <v>6</v>
      </c>
      <c r="J3476">
        <v>3145</v>
      </c>
      <c r="K3476" t="str">
        <f>_xlfn.CONCAT(WEEKNUM(CompilDonnées[[#This Row],[PlantationDate]]), " ", YEAR(CompilDonnées[[#This Row],[PlantationDate]]))</f>
        <v>25 2025</v>
      </c>
      <c r="L3476" t="str">
        <f>CONCATENATE(MONTH(CompilDonnées[[#This Row],[PlantationDate]])," ", YEAR(CompilDonnées[[#This Row],[PlantationDate]]))</f>
        <v>6 2025</v>
      </c>
      <c r="M3476" t="str">
        <f>CONCATENATE(MONTH(CompilDonnées[[#This Row],[HarvestingDate]])," ", YEAR(CompilDonnées[[#This Row],[HarvestingDate]]))</f>
        <v>7 2025</v>
      </c>
      <c r="N3476">
        <f>_xlfn.NUMBERVALUE(CompilDonnées[[#This Row],[FarmID]]&amp;CompilDonnées[[#This Row],[ModuleNumber]]&amp;CompilDonnées[[#This Row],[PlantationDate]])</f>
        <v>9145826</v>
      </c>
      <c r="O3476" t="str">
        <f>CompilDonnées[[#This Row],[FarmID]]&amp;CompilDonnées[[#This Row],[ModuleNumber]]</f>
        <v>91</v>
      </c>
      <c r="P3476" t="str">
        <f>CompilDonnées[[#This Row],[Ref_Module]]&amp;CompilDonnées[[#This Row],[HarvestingDate]]</f>
        <v>9145869</v>
      </c>
    </row>
    <row r="3477" spans="1:16">
      <c r="A3477" s="5">
        <v>45826</v>
      </c>
      <c r="B3477">
        <v>1</v>
      </c>
      <c r="C3477" t="s">
        <v>111</v>
      </c>
      <c r="D3477">
        <v>2</v>
      </c>
      <c r="E3477">
        <v>100</v>
      </c>
      <c r="F3477" t="s">
        <v>1</v>
      </c>
      <c r="G3477" s="6">
        <v>45859</v>
      </c>
      <c r="H3477">
        <v>33</v>
      </c>
      <c r="I3477">
        <f>ROUND(CompilDonnées[[#This Row],[CultureDuration_days]]/7,0)</f>
        <v>5</v>
      </c>
      <c r="J3477">
        <v>3196</v>
      </c>
      <c r="K3477" t="str">
        <f>_xlfn.CONCAT(WEEKNUM(CompilDonnées[[#This Row],[PlantationDate]]), " ", YEAR(CompilDonnées[[#This Row],[PlantationDate]]))</f>
        <v>25 2025</v>
      </c>
      <c r="L3477" t="str">
        <f>CONCATENATE(MONTH(CompilDonnées[[#This Row],[PlantationDate]])," ", YEAR(CompilDonnées[[#This Row],[PlantationDate]]))</f>
        <v>6 2025</v>
      </c>
      <c r="M3477" t="str">
        <f>CONCATENATE(MONTH(CompilDonnées[[#This Row],[HarvestingDate]])," ", YEAR(CompilDonnées[[#This Row],[HarvestingDate]]))</f>
        <v>7 2025</v>
      </c>
      <c r="N3477">
        <f>_xlfn.NUMBERVALUE(CompilDonnées[[#This Row],[FarmID]]&amp;CompilDonnées[[#This Row],[ModuleNumber]]&amp;CompilDonnées[[#This Row],[PlantationDate]])</f>
        <v>1245826</v>
      </c>
      <c r="O3477" t="str">
        <f>CompilDonnées[[#This Row],[FarmID]]&amp;CompilDonnées[[#This Row],[ModuleNumber]]</f>
        <v>12</v>
      </c>
      <c r="P3477" t="str">
        <f>CompilDonnées[[#This Row],[Ref_Module]]&amp;CompilDonnées[[#This Row],[HarvestingDate]]</f>
        <v>1245859</v>
      </c>
    </row>
    <row r="3478" spans="1:16">
      <c r="A3478" s="5">
        <v>45826</v>
      </c>
      <c r="B3478">
        <v>8</v>
      </c>
      <c r="C3478" t="s">
        <v>57</v>
      </c>
      <c r="D3478">
        <v>4</v>
      </c>
      <c r="E3478">
        <v>100</v>
      </c>
      <c r="F3478" t="s">
        <v>1</v>
      </c>
      <c r="G3478" s="6">
        <v>45875</v>
      </c>
      <c r="H3478">
        <v>49</v>
      </c>
      <c r="I3478">
        <f>ROUND(CompilDonnées[[#This Row],[CultureDuration_days]]/7,0)</f>
        <v>7</v>
      </c>
      <c r="J3478">
        <v>2692</v>
      </c>
      <c r="K3478" t="str">
        <f>_xlfn.CONCAT(WEEKNUM(CompilDonnées[[#This Row],[PlantationDate]]), " ", YEAR(CompilDonnées[[#This Row],[PlantationDate]]))</f>
        <v>25 2025</v>
      </c>
      <c r="L3478" t="str">
        <f>CONCATENATE(MONTH(CompilDonnées[[#This Row],[PlantationDate]])," ", YEAR(CompilDonnées[[#This Row],[PlantationDate]]))</f>
        <v>6 2025</v>
      </c>
      <c r="M3478" t="str">
        <f>CONCATENATE(MONTH(CompilDonnées[[#This Row],[HarvestingDate]])," ", YEAR(CompilDonnées[[#This Row],[HarvestingDate]]))</f>
        <v>8 2025</v>
      </c>
      <c r="N3478">
        <f>_xlfn.NUMBERVALUE(CompilDonnées[[#This Row],[FarmID]]&amp;CompilDonnées[[#This Row],[ModuleNumber]]&amp;CompilDonnées[[#This Row],[PlantationDate]])</f>
        <v>8445826</v>
      </c>
      <c r="O3478" t="str">
        <f>CompilDonnées[[#This Row],[FarmID]]&amp;CompilDonnées[[#This Row],[ModuleNumber]]</f>
        <v>84</v>
      </c>
      <c r="P3478" t="str">
        <f>CompilDonnées[[#This Row],[Ref_Module]]&amp;CompilDonnées[[#This Row],[HarvestingDate]]</f>
        <v>8445875</v>
      </c>
    </row>
    <row r="3479" spans="1:16">
      <c r="A3479" s="5">
        <v>45826</v>
      </c>
      <c r="B3479">
        <v>11</v>
      </c>
      <c r="C3479" t="s">
        <v>106</v>
      </c>
      <c r="D3479">
        <v>3</v>
      </c>
      <c r="E3479">
        <v>100</v>
      </c>
      <c r="F3479" t="s">
        <v>1</v>
      </c>
      <c r="G3479" s="6">
        <v>45875</v>
      </c>
      <c r="H3479">
        <v>49</v>
      </c>
      <c r="I3479">
        <f>ROUND(CompilDonnées[[#This Row],[CultureDuration_days]]/7,0)</f>
        <v>7</v>
      </c>
      <c r="J3479">
        <v>1803</v>
      </c>
      <c r="K3479" t="str">
        <f>_xlfn.CONCAT(WEEKNUM(CompilDonnées[[#This Row],[PlantationDate]]), " ", YEAR(CompilDonnées[[#This Row],[PlantationDate]]))</f>
        <v>25 2025</v>
      </c>
      <c r="L3479" t="str">
        <f>CONCATENATE(MONTH(CompilDonnées[[#This Row],[PlantationDate]])," ", YEAR(CompilDonnées[[#This Row],[PlantationDate]]))</f>
        <v>6 2025</v>
      </c>
      <c r="M3479" t="str">
        <f>CONCATENATE(MONTH(CompilDonnées[[#This Row],[HarvestingDate]])," ", YEAR(CompilDonnées[[#This Row],[HarvestingDate]]))</f>
        <v>8 2025</v>
      </c>
      <c r="N3479">
        <f>_xlfn.NUMBERVALUE(CompilDonnées[[#This Row],[FarmID]]&amp;CompilDonnées[[#This Row],[ModuleNumber]]&amp;CompilDonnées[[#This Row],[PlantationDate]])</f>
        <v>11345826</v>
      </c>
      <c r="O3479" t="str">
        <f>CompilDonnées[[#This Row],[FarmID]]&amp;CompilDonnées[[#This Row],[ModuleNumber]]</f>
        <v>113</v>
      </c>
      <c r="P3479" t="str">
        <f>CompilDonnées[[#This Row],[Ref_Module]]&amp;CompilDonnées[[#This Row],[HarvestingDate]]</f>
        <v>11345875</v>
      </c>
    </row>
    <row r="3480" spans="1:16">
      <c r="A3480" s="5">
        <v>45826</v>
      </c>
      <c r="B3480">
        <v>69</v>
      </c>
      <c r="C3480" t="s">
        <v>102</v>
      </c>
      <c r="D3480">
        <v>1</v>
      </c>
      <c r="E3480">
        <v>100</v>
      </c>
      <c r="F3480" t="s">
        <v>1</v>
      </c>
      <c r="G3480" s="6">
        <v>45867</v>
      </c>
      <c r="H3480">
        <v>41</v>
      </c>
      <c r="I3480">
        <f>ROUND(CompilDonnées[[#This Row],[CultureDuration_days]]/7,0)</f>
        <v>6</v>
      </c>
      <c r="J3480">
        <v>2478</v>
      </c>
      <c r="K3480" t="str">
        <f>_xlfn.CONCAT(WEEKNUM(CompilDonnées[[#This Row],[PlantationDate]]), " ", YEAR(CompilDonnées[[#This Row],[PlantationDate]]))</f>
        <v>25 2025</v>
      </c>
      <c r="L3480" t="str">
        <f>CONCATENATE(MONTH(CompilDonnées[[#This Row],[PlantationDate]])," ", YEAR(CompilDonnées[[#This Row],[PlantationDate]]))</f>
        <v>6 2025</v>
      </c>
      <c r="M3480" t="str">
        <f>CONCATENATE(MONTH(CompilDonnées[[#This Row],[HarvestingDate]])," ", YEAR(CompilDonnées[[#This Row],[HarvestingDate]]))</f>
        <v>7 2025</v>
      </c>
      <c r="N3480">
        <f>_xlfn.NUMBERVALUE(CompilDonnées[[#This Row],[FarmID]]&amp;CompilDonnées[[#This Row],[ModuleNumber]]&amp;CompilDonnées[[#This Row],[PlantationDate]])</f>
        <v>69145826</v>
      </c>
      <c r="O3480" t="str">
        <f>CompilDonnées[[#This Row],[FarmID]]&amp;CompilDonnées[[#This Row],[ModuleNumber]]</f>
        <v>691</v>
      </c>
      <c r="P3480" t="str">
        <f>CompilDonnées[[#This Row],[Ref_Module]]&amp;CompilDonnées[[#This Row],[HarvestingDate]]</f>
        <v>69145867</v>
      </c>
    </row>
    <row r="3481" spans="1:16">
      <c r="A3481" s="5">
        <v>45826</v>
      </c>
      <c r="B3481">
        <v>57</v>
      </c>
      <c r="C3481" t="s">
        <v>46</v>
      </c>
      <c r="D3481">
        <v>4</v>
      </c>
      <c r="E3481">
        <v>100</v>
      </c>
      <c r="F3481" t="s">
        <v>1</v>
      </c>
      <c r="G3481" s="6">
        <v>45860</v>
      </c>
      <c r="H3481">
        <v>34</v>
      </c>
      <c r="I3481">
        <f>ROUND(CompilDonnées[[#This Row],[CultureDuration_days]]/7,0)</f>
        <v>5</v>
      </c>
      <c r="J3481">
        <v>2795</v>
      </c>
      <c r="K3481" t="str">
        <f>_xlfn.CONCAT(WEEKNUM(CompilDonnées[[#This Row],[PlantationDate]]), " ", YEAR(CompilDonnées[[#This Row],[PlantationDate]]))</f>
        <v>25 2025</v>
      </c>
      <c r="L3481" t="str">
        <f>CONCATENATE(MONTH(CompilDonnées[[#This Row],[PlantationDate]])," ", YEAR(CompilDonnées[[#This Row],[PlantationDate]]))</f>
        <v>6 2025</v>
      </c>
      <c r="M3481" t="str">
        <f>CONCATENATE(MONTH(CompilDonnées[[#This Row],[HarvestingDate]])," ", YEAR(CompilDonnées[[#This Row],[HarvestingDate]]))</f>
        <v>7 2025</v>
      </c>
      <c r="N3481">
        <f>_xlfn.NUMBERVALUE(CompilDonnées[[#This Row],[FarmID]]&amp;CompilDonnées[[#This Row],[ModuleNumber]]&amp;CompilDonnées[[#This Row],[PlantationDate]])</f>
        <v>57445826</v>
      </c>
      <c r="O3481" t="str">
        <f>CompilDonnées[[#This Row],[FarmID]]&amp;CompilDonnées[[#This Row],[ModuleNumber]]</f>
        <v>574</v>
      </c>
      <c r="P3481" t="str">
        <f>CompilDonnées[[#This Row],[Ref_Module]]&amp;CompilDonnées[[#This Row],[HarvestingDate]]</f>
        <v>57445860</v>
      </c>
    </row>
    <row r="3482" spans="1:16">
      <c r="A3482" s="5">
        <v>45826</v>
      </c>
      <c r="B3482">
        <v>58</v>
      </c>
      <c r="C3482" t="s">
        <v>35</v>
      </c>
      <c r="D3482">
        <v>5</v>
      </c>
      <c r="E3482">
        <v>100</v>
      </c>
      <c r="F3482" t="s">
        <v>1</v>
      </c>
      <c r="G3482" s="6">
        <v>45868</v>
      </c>
      <c r="H3482">
        <v>42</v>
      </c>
      <c r="I3482">
        <f>ROUND(CompilDonnées[[#This Row],[CultureDuration_days]]/7,0)</f>
        <v>6</v>
      </c>
      <c r="J3482">
        <v>3792</v>
      </c>
      <c r="K3482" t="str">
        <f>_xlfn.CONCAT(WEEKNUM(CompilDonnées[[#This Row],[PlantationDate]]), " ", YEAR(CompilDonnées[[#This Row],[PlantationDate]]))</f>
        <v>25 2025</v>
      </c>
      <c r="L3482" t="str">
        <f>CONCATENATE(MONTH(CompilDonnées[[#This Row],[PlantationDate]])," ", YEAR(CompilDonnées[[#This Row],[PlantationDate]]))</f>
        <v>6 2025</v>
      </c>
      <c r="M3482" t="str">
        <f>CONCATENATE(MONTH(CompilDonnées[[#This Row],[HarvestingDate]])," ", YEAR(CompilDonnées[[#This Row],[HarvestingDate]]))</f>
        <v>7 2025</v>
      </c>
      <c r="N3482">
        <f>_xlfn.NUMBERVALUE(CompilDonnées[[#This Row],[FarmID]]&amp;CompilDonnées[[#This Row],[ModuleNumber]]&amp;CompilDonnées[[#This Row],[PlantationDate]])</f>
        <v>58545826</v>
      </c>
      <c r="O3482" t="str">
        <f>CompilDonnées[[#This Row],[FarmID]]&amp;CompilDonnées[[#This Row],[ModuleNumber]]</f>
        <v>585</v>
      </c>
      <c r="P3482" t="str">
        <f>CompilDonnées[[#This Row],[Ref_Module]]&amp;CompilDonnées[[#This Row],[HarvestingDate]]</f>
        <v>58545868</v>
      </c>
    </row>
    <row r="3483" spans="1:16">
      <c r="A3483" s="5">
        <v>45826</v>
      </c>
      <c r="B3483">
        <v>75</v>
      </c>
      <c r="C3483" t="s">
        <v>3</v>
      </c>
      <c r="D3483">
        <v>4</v>
      </c>
      <c r="E3483">
        <v>60</v>
      </c>
      <c r="F3483" t="s">
        <v>105</v>
      </c>
      <c r="G3483" s="6">
        <v>45878</v>
      </c>
      <c r="H3483">
        <v>52</v>
      </c>
      <c r="I3483">
        <f>ROUND(CompilDonnées[[#This Row],[CultureDuration_days]]/7,0)</f>
        <v>7</v>
      </c>
      <c r="J3483">
        <v>1570</v>
      </c>
      <c r="K3483" t="str">
        <f>_xlfn.CONCAT(WEEKNUM(CompilDonnées[[#This Row],[PlantationDate]]), " ", YEAR(CompilDonnées[[#This Row],[PlantationDate]]))</f>
        <v>25 2025</v>
      </c>
      <c r="L3483" t="str">
        <f>CONCATENATE(MONTH(CompilDonnées[[#This Row],[PlantationDate]])," ", YEAR(CompilDonnées[[#This Row],[PlantationDate]]))</f>
        <v>6 2025</v>
      </c>
      <c r="M3483" t="str">
        <f>CONCATENATE(MONTH(CompilDonnées[[#This Row],[HarvestingDate]])," ", YEAR(CompilDonnées[[#This Row],[HarvestingDate]]))</f>
        <v>8 2025</v>
      </c>
      <c r="N3483">
        <f>_xlfn.NUMBERVALUE(CompilDonnées[[#This Row],[FarmID]]&amp;CompilDonnées[[#This Row],[ModuleNumber]]&amp;CompilDonnées[[#This Row],[PlantationDate]])</f>
        <v>75445826</v>
      </c>
      <c r="O3483" t="str">
        <f>CompilDonnées[[#This Row],[FarmID]]&amp;CompilDonnées[[#This Row],[ModuleNumber]]</f>
        <v>754</v>
      </c>
      <c r="P3483" t="str">
        <f>CompilDonnées[[#This Row],[Ref_Module]]&amp;CompilDonnées[[#This Row],[HarvestingDate]]</f>
        <v>75445878</v>
      </c>
    </row>
    <row r="3484" spans="1:16">
      <c r="A3484" s="5">
        <v>45826</v>
      </c>
      <c r="B3484">
        <v>75</v>
      </c>
      <c r="C3484" t="s">
        <v>3</v>
      </c>
      <c r="D3484">
        <v>5</v>
      </c>
      <c r="E3484">
        <v>60</v>
      </c>
      <c r="F3484" t="s">
        <v>105</v>
      </c>
      <c r="G3484" s="6">
        <v>45880</v>
      </c>
      <c r="H3484">
        <v>54</v>
      </c>
      <c r="I3484">
        <f>ROUND(CompilDonnées[[#This Row],[CultureDuration_days]]/7,0)</f>
        <v>8</v>
      </c>
      <c r="J3484">
        <v>1438</v>
      </c>
      <c r="K3484" t="str">
        <f>_xlfn.CONCAT(WEEKNUM(CompilDonnées[[#This Row],[PlantationDate]]), " ", YEAR(CompilDonnées[[#This Row],[PlantationDate]]))</f>
        <v>25 2025</v>
      </c>
      <c r="L3484" t="str">
        <f>CONCATENATE(MONTH(CompilDonnées[[#This Row],[PlantationDate]])," ", YEAR(CompilDonnées[[#This Row],[PlantationDate]]))</f>
        <v>6 2025</v>
      </c>
      <c r="M3484" t="str">
        <f>CONCATENATE(MONTH(CompilDonnées[[#This Row],[HarvestingDate]])," ", YEAR(CompilDonnées[[#This Row],[HarvestingDate]]))</f>
        <v>8 2025</v>
      </c>
      <c r="N3484">
        <f>_xlfn.NUMBERVALUE(CompilDonnées[[#This Row],[FarmID]]&amp;CompilDonnées[[#This Row],[ModuleNumber]]&amp;CompilDonnées[[#This Row],[PlantationDate]])</f>
        <v>75545826</v>
      </c>
      <c r="O3484" t="str">
        <f>CompilDonnées[[#This Row],[FarmID]]&amp;CompilDonnées[[#This Row],[ModuleNumber]]</f>
        <v>755</v>
      </c>
      <c r="P3484" t="str">
        <f>CompilDonnées[[#This Row],[Ref_Module]]&amp;CompilDonnées[[#This Row],[HarvestingDate]]</f>
        <v>75545880</v>
      </c>
    </row>
    <row r="3485" spans="1:16">
      <c r="A3485" s="5">
        <v>45826</v>
      </c>
      <c r="B3485">
        <v>75</v>
      </c>
      <c r="C3485" t="s">
        <v>3</v>
      </c>
      <c r="D3485">
        <v>6</v>
      </c>
      <c r="E3485">
        <v>60</v>
      </c>
      <c r="F3485" t="s">
        <v>105</v>
      </c>
      <c r="G3485" s="6">
        <v>45880</v>
      </c>
      <c r="H3485">
        <v>54</v>
      </c>
      <c r="I3485">
        <f>ROUND(CompilDonnées[[#This Row],[CultureDuration_days]]/7,0)</f>
        <v>8</v>
      </c>
      <c r="J3485">
        <v>1562</v>
      </c>
      <c r="K3485" t="str">
        <f>_xlfn.CONCAT(WEEKNUM(CompilDonnées[[#This Row],[PlantationDate]]), " ", YEAR(CompilDonnées[[#This Row],[PlantationDate]]))</f>
        <v>25 2025</v>
      </c>
      <c r="L3485" t="str">
        <f>CONCATENATE(MONTH(CompilDonnées[[#This Row],[PlantationDate]])," ", YEAR(CompilDonnées[[#This Row],[PlantationDate]]))</f>
        <v>6 2025</v>
      </c>
      <c r="M3485" t="str">
        <f>CONCATENATE(MONTH(CompilDonnées[[#This Row],[HarvestingDate]])," ", YEAR(CompilDonnées[[#This Row],[HarvestingDate]]))</f>
        <v>8 2025</v>
      </c>
      <c r="N3485">
        <f>_xlfn.NUMBERVALUE(CompilDonnées[[#This Row],[FarmID]]&amp;CompilDonnées[[#This Row],[ModuleNumber]]&amp;CompilDonnées[[#This Row],[PlantationDate]])</f>
        <v>75645826</v>
      </c>
      <c r="O3485" t="str">
        <f>CompilDonnées[[#This Row],[FarmID]]&amp;CompilDonnées[[#This Row],[ModuleNumber]]</f>
        <v>756</v>
      </c>
      <c r="P3485" t="str">
        <f>CompilDonnées[[#This Row],[Ref_Module]]&amp;CompilDonnées[[#This Row],[HarvestingDate]]</f>
        <v>75645880</v>
      </c>
    </row>
    <row r="3486" spans="1:16">
      <c r="A3486" s="5">
        <v>45827</v>
      </c>
      <c r="B3486">
        <v>4</v>
      </c>
      <c r="C3486" t="s">
        <v>74</v>
      </c>
      <c r="D3486">
        <v>3</v>
      </c>
      <c r="E3486">
        <v>100</v>
      </c>
      <c r="F3486" t="s">
        <v>1</v>
      </c>
      <c r="G3486" s="6">
        <v>45875</v>
      </c>
      <c r="H3486">
        <v>48</v>
      </c>
      <c r="I3486">
        <f>ROUND(CompilDonnées[[#This Row],[CultureDuration_days]]/7,0)</f>
        <v>7</v>
      </c>
      <c r="J3486">
        <v>2593</v>
      </c>
      <c r="K3486" t="str">
        <f>_xlfn.CONCAT(WEEKNUM(CompilDonnées[[#This Row],[PlantationDate]]), " ", YEAR(CompilDonnées[[#This Row],[PlantationDate]]))</f>
        <v>25 2025</v>
      </c>
      <c r="L3486" t="str">
        <f>CONCATENATE(MONTH(CompilDonnées[[#This Row],[PlantationDate]])," ", YEAR(CompilDonnées[[#This Row],[PlantationDate]]))</f>
        <v>6 2025</v>
      </c>
      <c r="M3486" t="str">
        <f>CONCATENATE(MONTH(CompilDonnées[[#This Row],[HarvestingDate]])," ", YEAR(CompilDonnées[[#This Row],[HarvestingDate]]))</f>
        <v>8 2025</v>
      </c>
      <c r="N3486">
        <f>_xlfn.NUMBERVALUE(CompilDonnées[[#This Row],[FarmID]]&amp;CompilDonnées[[#This Row],[ModuleNumber]]&amp;CompilDonnées[[#This Row],[PlantationDate]])</f>
        <v>4345827</v>
      </c>
      <c r="O3486" t="str">
        <f>CompilDonnées[[#This Row],[FarmID]]&amp;CompilDonnées[[#This Row],[ModuleNumber]]</f>
        <v>43</v>
      </c>
      <c r="P3486" t="str">
        <f>CompilDonnées[[#This Row],[Ref_Module]]&amp;CompilDonnées[[#This Row],[HarvestingDate]]</f>
        <v>4345875</v>
      </c>
    </row>
    <row r="3487" spans="1:16">
      <c r="A3487" s="5">
        <v>45827</v>
      </c>
      <c r="B3487">
        <v>3</v>
      </c>
      <c r="C3487" t="s">
        <v>116</v>
      </c>
      <c r="D3487">
        <v>3</v>
      </c>
      <c r="E3487">
        <v>100</v>
      </c>
      <c r="F3487" t="s">
        <v>1</v>
      </c>
      <c r="G3487" s="6">
        <v>45875</v>
      </c>
      <c r="H3487">
        <v>48</v>
      </c>
      <c r="I3487">
        <f>ROUND(CompilDonnées[[#This Row],[CultureDuration_days]]/7,0)</f>
        <v>7</v>
      </c>
      <c r="J3487">
        <v>2745</v>
      </c>
      <c r="K3487" t="str">
        <f>_xlfn.CONCAT(WEEKNUM(CompilDonnées[[#This Row],[PlantationDate]]), " ", YEAR(CompilDonnées[[#This Row],[PlantationDate]]))</f>
        <v>25 2025</v>
      </c>
      <c r="L3487" t="str">
        <f>CONCATENATE(MONTH(CompilDonnées[[#This Row],[PlantationDate]])," ", YEAR(CompilDonnées[[#This Row],[PlantationDate]]))</f>
        <v>6 2025</v>
      </c>
      <c r="M3487" t="str">
        <f>CONCATENATE(MONTH(CompilDonnées[[#This Row],[HarvestingDate]])," ", YEAR(CompilDonnées[[#This Row],[HarvestingDate]]))</f>
        <v>8 2025</v>
      </c>
      <c r="N3487">
        <f>_xlfn.NUMBERVALUE(CompilDonnées[[#This Row],[FarmID]]&amp;CompilDonnées[[#This Row],[ModuleNumber]]&amp;CompilDonnées[[#This Row],[PlantationDate]])</f>
        <v>3345827</v>
      </c>
      <c r="O3487" t="str">
        <f>CompilDonnées[[#This Row],[FarmID]]&amp;CompilDonnées[[#This Row],[ModuleNumber]]</f>
        <v>33</v>
      </c>
      <c r="P3487" t="str">
        <f>CompilDonnées[[#This Row],[Ref_Module]]&amp;CompilDonnées[[#This Row],[HarvestingDate]]</f>
        <v>3345875</v>
      </c>
    </row>
    <row r="3488" spans="1:16">
      <c r="A3488" s="5">
        <v>45827</v>
      </c>
      <c r="B3488">
        <v>18</v>
      </c>
      <c r="C3488" t="s">
        <v>33</v>
      </c>
      <c r="D3488">
        <v>5</v>
      </c>
      <c r="E3488">
        <v>100</v>
      </c>
      <c r="F3488" t="s">
        <v>1</v>
      </c>
      <c r="G3488" s="6">
        <v>45869</v>
      </c>
      <c r="H3488">
        <v>42</v>
      </c>
      <c r="I3488">
        <f>ROUND(CompilDonnées[[#This Row],[CultureDuration_days]]/7,0)</f>
        <v>6</v>
      </c>
      <c r="J3488">
        <v>3876</v>
      </c>
      <c r="K3488" t="str">
        <f>_xlfn.CONCAT(WEEKNUM(CompilDonnées[[#This Row],[PlantationDate]]), " ", YEAR(CompilDonnées[[#This Row],[PlantationDate]]))</f>
        <v>25 2025</v>
      </c>
      <c r="L3488" t="str">
        <f>CONCATENATE(MONTH(CompilDonnées[[#This Row],[PlantationDate]])," ", YEAR(CompilDonnées[[#This Row],[PlantationDate]]))</f>
        <v>6 2025</v>
      </c>
      <c r="M3488" t="str">
        <f>CONCATENATE(MONTH(CompilDonnées[[#This Row],[HarvestingDate]])," ", YEAR(CompilDonnées[[#This Row],[HarvestingDate]]))</f>
        <v>7 2025</v>
      </c>
      <c r="N3488">
        <f>_xlfn.NUMBERVALUE(CompilDonnées[[#This Row],[FarmID]]&amp;CompilDonnées[[#This Row],[ModuleNumber]]&amp;CompilDonnées[[#This Row],[PlantationDate]])</f>
        <v>18545827</v>
      </c>
      <c r="O3488" t="str">
        <f>CompilDonnées[[#This Row],[FarmID]]&amp;CompilDonnées[[#This Row],[ModuleNumber]]</f>
        <v>185</v>
      </c>
      <c r="P3488" t="str">
        <f>CompilDonnées[[#This Row],[Ref_Module]]&amp;CompilDonnées[[#This Row],[HarvestingDate]]</f>
        <v>18545869</v>
      </c>
    </row>
    <row r="3489" spans="1:16">
      <c r="A3489" s="5">
        <v>45827</v>
      </c>
      <c r="B3489">
        <v>17</v>
      </c>
      <c r="C3489" t="s">
        <v>80</v>
      </c>
      <c r="D3489">
        <v>1</v>
      </c>
      <c r="E3489">
        <v>100</v>
      </c>
      <c r="F3489" t="s">
        <v>1</v>
      </c>
      <c r="G3489" s="6">
        <v>45869</v>
      </c>
      <c r="H3489">
        <v>42</v>
      </c>
      <c r="I3489">
        <f>ROUND(CompilDonnées[[#This Row],[CultureDuration_days]]/7,0)</f>
        <v>6</v>
      </c>
      <c r="J3489">
        <v>3267</v>
      </c>
      <c r="K3489" t="str">
        <f>_xlfn.CONCAT(WEEKNUM(CompilDonnées[[#This Row],[PlantationDate]]), " ", YEAR(CompilDonnées[[#This Row],[PlantationDate]]))</f>
        <v>25 2025</v>
      </c>
      <c r="L3489" t="str">
        <f>CONCATENATE(MONTH(CompilDonnées[[#This Row],[PlantationDate]])," ", YEAR(CompilDonnées[[#This Row],[PlantationDate]]))</f>
        <v>6 2025</v>
      </c>
      <c r="M3489" t="str">
        <f>CONCATENATE(MONTH(CompilDonnées[[#This Row],[HarvestingDate]])," ", YEAR(CompilDonnées[[#This Row],[HarvestingDate]]))</f>
        <v>7 2025</v>
      </c>
      <c r="N3489">
        <f>_xlfn.NUMBERVALUE(CompilDonnées[[#This Row],[FarmID]]&amp;CompilDonnées[[#This Row],[ModuleNumber]]&amp;CompilDonnées[[#This Row],[PlantationDate]])</f>
        <v>17145827</v>
      </c>
      <c r="O3489" t="str">
        <f>CompilDonnées[[#This Row],[FarmID]]&amp;CompilDonnées[[#This Row],[ModuleNumber]]</f>
        <v>171</v>
      </c>
      <c r="P3489" t="str">
        <f>CompilDonnées[[#This Row],[Ref_Module]]&amp;CompilDonnées[[#This Row],[HarvestingDate]]</f>
        <v>17145869</v>
      </c>
    </row>
    <row r="3490" spans="1:16">
      <c r="A3490" s="5">
        <v>45827</v>
      </c>
      <c r="B3490">
        <v>21</v>
      </c>
      <c r="C3490" t="s">
        <v>0</v>
      </c>
      <c r="D3490">
        <v>5</v>
      </c>
      <c r="E3490">
        <v>100</v>
      </c>
      <c r="F3490" t="s">
        <v>1</v>
      </c>
      <c r="G3490" s="6">
        <v>45869</v>
      </c>
      <c r="H3490">
        <v>42</v>
      </c>
      <c r="I3490">
        <f>ROUND(CompilDonnées[[#This Row],[CultureDuration_days]]/7,0)</f>
        <v>6</v>
      </c>
      <c r="J3490">
        <v>3522</v>
      </c>
      <c r="K3490" t="str">
        <f>_xlfn.CONCAT(WEEKNUM(CompilDonnées[[#This Row],[PlantationDate]]), " ", YEAR(CompilDonnées[[#This Row],[PlantationDate]]))</f>
        <v>25 2025</v>
      </c>
      <c r="L3490" t="str">
        <f>CONCATENATE(MONTH(CompilDonnées[[#This Row],[PlantationDate]])," ", YEAR(CompilDonnées[[#This Row],[PlantationDate]]))</f>
        <v>6 2025</v>
      </c>
      <c r="M3490" t="str">
        <f>CONCATENATE(MONTH(CompilDonnées[[#This Row],[HarvestingDate]])," ", YEAR(CompilDonnées[[#This Row],[HarvestingDate]]))</f>
        <v>7 2025</v>
      </c>
      <c r="N3490">
        <f>_xlfn.NUMBERVALUE(CompilDonnées[[#This Row],[FarmID]]&amp;CompilDonnées[[#This Row],[ModuleNumber]]&amp;CompilDonnées[[#This Row],[PlantationDate]])</f>
        <v>21545827</v>
      </c>
      <c r="O3490" t="str">
        <f>CompilDonnées[[#This Row],[FarmID]]&amp;CompilDonnées[[#This Row],[ModuleNumber]]</f>
        <v>215</v>
      </c>
      <c r="P3490" t="str">
        <f>CompilDonnées[[#This Row],[Ref_Module]]&amp;CompilDonnées[[#This Row],[HarvestingDate]]</f>
        <v>21545869</v>
      </c>
    </row>
    <row r="3491" spans="1:16">
      <c r="A3491" s="5">
        <v>45827</v>
      </c>
      <c r="B3491">
        <v>22</v>
      </c>
      <c r="C3491" t="s">
        <v>43</v>
      </c>
      <c r="D3491">
        <v>5</v>
      </c>
      <c r="E3491">
        <v>100</v>
      </c>
      <c r="F3491" t="s">
        <v>1</v>
      </c>
      <c r="G3491" s="6">
        <v>45869</v>
      </c>
      <c r="H3491">
        <v>42</v>
      </c>
      <c r="I3491">
        <f>ROUND(CompilDonnées[[#This Row],[CultureDuration_days]]/7,0)</f>
        <v>6</v>
      </c>
      <c r="J3491">
        <v>3955</v>
      </c>
      <c r="K3491" t="str">
        <f>_xlfn.CONCAT(WEEKNUM(CompilDonnées[[#This Row],[PlantationDate]]), " ", YEAR(CompilDonnées[[#This Row],[PlantationDate]]))</f>
        <v>25 2025</v>
      </c>
      <c r="L3491" t="str">
        <f>CONCATENATE(MONTH(CompilDonnées[[#This Row],[PlantationDate]])," ", YEAR(CompilDonnées[[#This Row],[PlantationDate]]))</f>
        <v>6 2025</v>
      </c>
      <c r="M3491" t="str">
        <f>CONCATENATE(MONTH(CompilDonnées[[#This Row],[HarvestingDate]])," ", YEAR(CompilDonnées[[#This Row],[HarvestingDate]]))</f>
        <v>7 2025</v>
      </c>
      <c r="N3491">
        <f>_xlfn.NUMBERVALUE(CompilDonnées[[#This Row],[FarmID]]&amp;CompilDonnées[[#This Row],[ModuleNumber]]&amp;CompilDonnées[[#This Row],[PlantationDate]])</f>
        <v>22545827</v>
      </c>
      <c r="O3491" t="str">
        <f>CompilDonnées[[#This Row],[FarmID]]&amp;CompilDonnées[[#This Row],[ModuleNumber]]</f>
        <v>225</v>
      </c>
      <c r="P3491" t="str">
        <f>CompilDonnées[[#This Row],[Ref_Module]]&amp;CompilDonnées[[#This Row],[HarvestingDate]]</f>
        <v>22545869</v>
      </c>
    </row>
    <row r="3492" spans="1:16">
      <c r="A3492" s="5">
        <v>45827</v>
      </c>
      <c r="B3492">
        <v>32</v>
      </c>
      <c r="C3492" t="s">
        <v>25</v>
      </c>
      <c r="D3492">
        <v>5</v>
      </c>
      <c r="E3492">
        <v>100</v>
      </c>
      <c r="F3492" t="s">
        <v>1</v>
      </c>
      <c r="G3492" s="6">
        <v>45869</v>
      </c>
      <c r="H3492">
        <v>42</v>
      </c>
      <c r="I3492">
        <f>ROUND(CompilDonnées[[#This Row],[CultureDuration_days]]/7,0)</f>
        <v>6</v>
      </c>
      <c r="J3492">
        <v>3819</v>
      </c>
      <c r="K3492" t="str">
        <f>_xlfn.CONCAT(WEEKNUM(CompilDonnées[[#This Row],[PlantationDate]]), " ", YEAR(CompilDonnées[[#This Row],[PlantationDate]]))</f>
        <v>25 2025</v>
      </c>
      <c r="L3492" t="str">
        <f>CONCATENATE(MONTH(CompilDonnées[[#This Row],[PlantationDate]])," ", YEAR(CompilDonnées[[#This Row],[PlantationDate]]))</f>
        <v>6 2025</v>
      </c>
      <c r="M3492" t="str">
        <f>CONCATENATE(MONTH(CompilDonnées[[#This Row],[HarvestingDate]])," ", YEAR(CompilDonnées[[#This Row],[HarvestingDate]]))</f>
        <v>7 2025</v>
      </c>
      <c r="N3492">
        <f>_xlfn.NUMBERVALUE(CompilDonnées[[#This Row],[FarmID]]&amp;CompilDonnées[[#This Row],[ModuleNumber]]&amp;CompilDonnées[[#This Row],[PlantationDate]])</f>
        <v>32545827</v>
      </c>
      <c r="O3492" t="str">
        <f>CompilDonnées[[#This Row],[FarmID]]&amp;CompilDonnées[[#This Row],[ModuleNumber]]</f>
        <v>325</v>
      </c>
      <c r="P3492" t="str">
        <f>CompilDonnées[[#This Row],[Ref_Module]]&amp;CompilDonnées[[#This Row],[HarvestingDate]]</f>
        <v>32545869</v>
      </c>
    </row>
    <row r="3493" spans="1:16">
      <c r="A3493" s="5">
        <v>45827</v>
      </c>
      <c r="B3493">
        <v>31</v>
      </c>
      <c r="C3493" t="s">
        <v>62</v>
      </c>
      <c r="D3493">
        <v>5</v>
      </c>
      <c r="E3493">
        <v>100</v>
      </c>
      <c r="F3493" t="s">
        <v>1</v>
      </c>
      <c r="G3493" s="6">
        <v>45869</v>
      </c>
      <c r="H3493">
        <v>42</v>
      </c>
      <c r="I3493">
        <f>ROUND(CompilDonnées[[#This Row],[CultureDuration_days]]/7,0)</f>
        <v>6</v>
      </c>
      <c r="J3493">
        <v>3751</v>
      </c>
      <c r="K3493" t="str">
        <f>_xlfn.CONCAT(WEEKNUM(CompilDonnées[[#This Row],[PlantationDate]]), " ", YEAR(CompilDonnées[[#This Row],[PlantationDate]]))</f>
        <v>25 2025</v>
      </c>
      <c r="L3493" t="str">
        <f>CONCATENATE(MONTH(CompilDonnées[[#This Row],[PlantationDate]])," ", YEAR(CompilDonnées[[#This Row],[PlantationDate]]))</f>
        <v>6 2025</v>
      </c>
      <c r="M3493" t="str">
        <f>CONCATENATE(MONTH(CompilDonnées[[#This Row],[HarvestingDate]])," ", YEAR(CompilDonnées[[#This Row],[HarvestingDate]]))</f>
        <v>7 2025</v>
      </c>
      <c r="N3493">
        <f>_xlfn.NUMBERVALUE(CompilDonnées[[#This Row],[FarmID]]&amp;CompilDonnées[[#This Row],[ModuleNumber]]&amp;CompilDonnées[[#This Row],[PlantationDate]])</f>
        <v>31545827</v>
      </c>
      <c r="O3493" t="str">
        <f>CompilDonnées[[#This Row],[FarmID]]&amp;CompilDonnées[[#This Row],[ModuleNumber]]</f>
        <v>315</v>
      </c>
      <c r="P3493" t="str">
        <f>CompilDonnées[[#This Row],[Ref_Module]]&amp;CompilDonnées[[#This Row],[HarvestingDate]]</f>
        <v>31545869</v>
      </c>
    </row>
    <row r="3494" spans="1:16">
      <c r="A3494" s="5">
        <v>45827</v>
      </c>
      <c r="B3494">
        <v>38</v>
      </c>
      <c r="C3494" t="s">
        <v>34</v>
      </c>
      <c r="D3494">
        <v>6</v>
      </c>
      <c r="E3494">
        <v>100</v>
      </c>
      <c r="F3494" t="s">
        <v>1</v>
      </c>
      <c r="G3494" s="6">
        <v>45868</v>
      </c>
      <c r="H3494">
        <v>41</v>
      </c>
      <c r="I3494">
        <f>ROUND(CompilDonnées[[#This Row],[CultureDuration_days]]/7,0)</f>
        <v>6</v>
      </c>
      <c r="J3494">
        <v>3833</v>
      </c>
      <c r="K3494" t="str">
        <f>_xlfn.CONCAT(WEEKNUM(CompilDonnées[[#This Row],[PlantationDate]]), " ", YEAR(CompilDonnées[[#This Row],[PlantationDate]]))</f>
        <v>25 2025</v>
      </c>
      <c r="L3494" t="str">
        <f>CONCATENATE(MONTH(CompilDonnées[[#This Row],[PlantationDate]])," ", YEAR(CompilDonnées[[#This Row],[PlantationDate]]))</f>
        <v>6 2025</v>
      </c>
      <c r="M3494" t="str">
        <f>CONCATENATE(MONTH(CompilDonnées[[#This Row],[HarvestingDate]])," ", YEAR(CompilDonnées[[#This Row],[HarvestingDate]]))</f>
        <v>7 2025</v>
      </c>
      <c r="N3494">
        <f>_xlfn.NUMBERVALUE(CompilDonnées[[#This Row],[FarmID]]&amp;CompilDonnées[[#This Row],[ModuleNumber]]&amp;CompilDonnées[[#This Row],[PlantationDate]])</f>
        <v>38645827</v>
      </c>
      <c r="O3494" t="str">
        <f>CompilDonnées[[#This Row],[FarmID]]&amp;CompilDonnées[[#This Row],[ModuleNumber]]</f>
        <v>386</v>
      </c>
      <c r="P3494" t="str">
        <f>CompilDonnées[[#This Row],[Ref_Module]]&amp;CompilDonnées[[#This Row],[HarvestingDate]]</f>
        <v>38645868</v>
      </c>
    </row>
    <row r="3495" spans="1:16">
      <c r="A3495" s="5">
        <v>45827</v>
      </c>
      <c r="B3495">
        <v>36</v>
      </c>
      <c r="C3495" t="s">
        <v>63</v>
      </c>
      <c r="D3495">
        <v>1</v>
      </c>
      <c r="E3495">
        <v>100</v>
      </c>
      <c r="F3495" t="s">
        <v>1</v>
      </c>
      <c r="G3495" s="6">
        <v>45868</v>
      </c>
      <c r="H3495">
        <v>41</v>
      </c>
      <c r="I3495">
        <f>ROUND(CompilDonnées[[#This Row],[CultureDuration_days]]/7,0)</f>
        <v>6</v>
      </c>
      <c r="J3495">
        <v>2567</v>
      </c>
      <c r="K3495" t="str">
        <f>_xlfn.CONCAT(WEEKNUM(CompilDonnées[[#This Row],[PlantationDate]]), " ", YEAR(CompilDonnées[[#This Row],[PlantationDate]]))</f>
        <v>25 2025</v>
      </c>
      <c r="L3495" t="str">
        <f>CONCATENATE(MONTH(CompilDonnées[[#This Row],[PlantationDate]])," ", YEAR(CompilDonnées[[#This Row],[PlantationDate]]))</f>
        <v>6 2025</v>
      </c>
      <c r="M3495" t="str">
        <f>CONCATENATE(MONTH(CompilDonnées[[#This Row],[HarvestingDate]])," ", YEAR(CompilDonnées[[#This Row],[HarvestingDate]]))</f>
        <v>7 2025</v>
      </c>
      <c r="N3495">
        <f>_xlfn.NUMBERVALUE(CompilDonnées[[#This Row],[FarmID]]&amp;CompilDonnées[[#This Row],[ModuleNumber]]&amp;CompilDonnées[[#This Row],[PlantationDate]])</f>
        <v>36145827</v>
      </c>
      <c r="O3495" t="str">
        <f>CompilDonnées[[#This Row],[FarmID]]&amp;CompilDonnées[[#This Row],[ModuleNumber]]</f>
        <v>361</v>
      </c>
      <c r="P3495" t="str">
        <f>CompilDonnées[[#This Row],[Ref_Module]]&amp;CompilDonnées[[#This Row],[HarvestingDate]]</f>
        <v>36145868</v>
      </c>
    </row>
    <row r="3496" spans="1:16">
      <c r="A3496" s="5">
        <v>45827</v>
      </c>
      <c r="B3496">
        <v>35</v>
      </c>
      <c r="C3496" t="s">
        <v>69</v>
      </c>
      <c r="D3496">
        <v>1</v>
      </c>
      <c r="E3496">
        <v>100</v>
      </c>
      <c r="F3496" t="s">
        <v>1</v>
      </c>
      <c r="G3496" s="6">
        <v>45868</v>
      </c>
      <c r="H3496">
        <v>41</v>
      </c>
      <c r="I3496">
        <f>ROUND(CompilDonnées[[#This Row],[CultureDuration_days]]/7,0)</f>
        <v>6</v>
      </c>
      <c r="J3496">
        <v>2233</v>
      </c>
      <c r="K3496" t="str">
        <f>_xlfn.CONCAT(WEEKNUM(CompilDonnées[[#This Row],[PlantationDate]]), " ", YEAR(CompilDonnées[[#This Row],[PlantationDate]]))</f>
        <v>25 2025</v>
      </c>
      <c r="L3496" t="str">
        <f>CONCATENATE(MONTH(CompilDonnées[[#This Row],[PlantationDate]])," ", YEAR(CompilDonnées[[#This Row],[PlantationDate]]))</f>
        <v>6 2025</v>
      </c>
      <c r="M3496" t="str">
        <f>CONCATENATE(MONTH(CompilDonnées[[#This Row],[HarvestingDate]])," ", YEAR(CompilDonnées[[#This Row],[HarvestingDate]]))</f>
        <v>7 2025</v>
      </c>
      <c r="N3496">
        <f>_xlfn.NUMBERVALUE(CompilDonnées[[#This Row],[FarmID]]&amp;CompilDonnées[[#This Row],[ModuleNumber]]&amp;CompilDonnées[[#This Row],[PlantationDate]])</f>
        <v>35145827</v>
      </c>
      <c r="O3496" t="str">
        <f>CompilDonnées[[#This Row],[FarmID]]&amp;CompilDonnées[[#This Row],[ModuleNumber]]</f>
        <v>351</v>
      </c>
      <c r="P3496" t="str">
        <f>CompilDonnées[[#This Row],[Ref_Module]]&amp;CompilDonnées[[#This Row],[HarvestingDate]]</f>
        <v>35145868</v>
      </c>
    </row>
    <row r="3497" spans="1:16">
      <c r="A3497" s="5">
        <v>45827</v>
      </c>
      <c r="B3497">
        <v>45</v>
      </c>
      <c r="C3497" t="s">
        <v>77</v>
      </c>
      <c r="D3497">
        <v>1</v>
      </c>
      <c r="E3497">
        <v>100</v>
      </c>
      <c r="F3497" t="s">
        <v>1</v>
      </c>
      <c r="G3497" s="6">
        <v>45868</v>
      </c>
      <c r="H3497">
        <v>41</v>
      </c>
      <c r="I3497">
        <f>ROUND(CompilDonnées[[#This Row],[CultureDuration_days]]/7,0)</f>
        <v>6</v>
      </c>
      <c r="J3497">
        <v>3742</v>
      </c>
      <c r="K3497" t="str">
        <f>_xlfn.CONCAT(WEEKNUM(CompilDonnées[[#This Row],[PlantationDate]]), " ", YEAR(CompilDonnées[[#This Row],[PlantationDate]]))</f>
        <v>25 2025</v>
      </c>
      <c r="L3497" t="str">
        <f>CONCATENATE(MONTH(CompilDonnées[[#This Row],[PlantationDate]])," ", YEAR(CompilDonnées[[#This Row],[PlantationDate]]))</f>
        <v>6 2025</v>
      </c>
      <c r="M3497" t="str">
        <f>CONCATENATE(MONTH(CompilDonnées[[#This Row],[HarvestingDate]])," ", YEAR(CompilDonnées[[#This Row],[HarvestingDate]]))</f>
        <v>7 2025</v>
      </c>
      <c r="N3497">
        <f>_xlfn.NUMBERVALUE(CompilDonnées[[#This Row],[FarmID]]&amp;CompilDonnées[[#This Row],[ModuleNumber]]&amp;CompilDonnées[[#This Row],[PlantationDate]])</f>
        <v>45145827</v>
      </c>
      <c r="O3497" t="str">
        <f>CompilDonnées[[#This Row],[FarmID]]&amp;CompilDonnées[[#This Row],[ModuleNumber]]</f>
        <v>451</v>
      </c>
      <c r="P3497" t="str">
        <f>CompilDonnées[[#This Row],[Ref_Module]]&amp;CompilDonnées[[#This Row],[HarvestingDate]]</f>
        <v>45145868</v>
      </c>
    </row>
    <row r="3498" spans="1:16">
      <c r="A3498" s="5">
        <v>45827</v>
      </c>
      <c r="B3498">
        <v>44</v>
      </c>
      <c r="C3498" t="s">
        <v>42</v>
      </c>
      <c r="D3498">
        <v>6</v>
      </c>
      <c r="E3498">
        <v>100</v>
      </c>
      <c r="F3498" t="s">
        <v>1</v>
      </c>
      <c r="G3498" s="6">
        <v>45868</v>
      </c>
      <c r="H3498">
        <v>41</v>
      </c>
      <c r="I3498">
        <f>ROUND(CompilDonnées[[#This Row],[CultureDuration_days]]/7,0)</f>
        <v>6</v>
      </c>
      <c r="J3498">
        <v>3098</v>
      </c>
      <c r="K3498" t="str">
        <f>_xlfn.CONCAT(WEEKNUM(CompilDonnées[[#This Row],[PlantationDate]]), " ", YEAR(CompilDonnées[[#This Row],[PlantationDate]]))</f>
        <v>25 2025</v>
      </c>
      <c r="L3498" t="str">
        <f>CONCATENATE(MONTH(CompilDonnées[[#This Row],[PlantationDate]])," ", YEAR(CompilDonnées[[#This Row],[PlantationDate]]))</f>
        <v>6 2025</v>
      </c>
      <c r="M3498" t="str">
        <f>CONCATENATE(MONTH(CompilDonnées[[#This Row],[HarvestingDate]])," ", YEAR(CompilDonnées[[#This Row],[HarvestingDate]]))</f>
        <v>7 2025</v>
      </c>
      <c r="N3498">
        <f>_xlfn.NUMBERVALUE(CompilDonnées[[#This Row],[FarmID]]&amp;CompilDonnées[[#This Row],[ModuleNumber]]&amp;CompilDonnées[[#This Row],[PlantationDate]])</f>
        <v>44645827</v>
      </c>
      <c r="O3498" t="str">
        <f>CompilDonnées[[#This Row],[FarmID]]&amp;CompilDonnées[[#This Row],[ModuleNumber]]</f>
        <v>446</v>
      </c>
      <c r="P3498" t="str">
        <f>CompilDonnées[[#This Row],[Ref_Module]]&amp;CompilDonnées[[#This Row],[HarvestingDate]]</f>
        <v>44645868</v>
      </c>
    </row>
    <row r="3499" spans="1:16">
      <c r="A3499" s="5">
        <v>45827</v>
      </c>
      <c r="B3499">
        <v>43</v>
      </c>
      <c r="C3499" t="s">
        <v>45</v>
      </c>
      <c r="D3499">
        <v>6</v>
      </c>
      <c r="E3499">
        <v>100</v>
      </c>
      <c r="F3499" t="s">
        <v>1</v>
      </c>
      <c r="G3499" s="6">
        <v>45868</v>
      </c>
      <c r="H3499">
        <v>41</v>
      </c>
      <c r="I3499">
        <f>ROUND(CompilDonnées[[#This Row],[CultureDuration_days]]/7,0)</f>
        <v>6</v>
      </c>
      <c r="J3499">
        <v>3359</v>
      </c>
      <c r="K3499" t="str">
        <f>_xlfn.CONCAT(WEEKNUM(CompilDonnées[[#This Row],[PlantationDate]]), " ", YEAR(CompilDonnées[[#This Row],[PlantationDate]]))</f>
        <v>25 2025</v>
      </c>
      <c r="L3499" t="str">
        <f>CONCATENATE(MONTH(CompilDonnées[[#This Row],[PlantationDate]])," ", YEAR(CompilDonnées[[#This Row],[PlantationDate]]))</f>
        <v>6 2025</v>
      </c>
      <c r="M3499" t="str">
        <f>CONCATENATE(MONTH(CompilDonnées[[#This Row],[HarvestingDate]])," ", YEAR(CompilDonnées[[#This Row],[HarvestingDate]]))</f>
        <v>7 2025</v>
      </c>
      <c r="N3499">
        <f>_xlfn.NUMBERVALUE(CompilDonnées[[#This Row],[FarmID]]&amp;CompilDonnées[[#This Row],[ModuleNumber]]&amp;CompilDonnées[[#This Row],[PlantationDate]])</f>
        <v>43645827</v>
      </c>
      <c r="O3499" t="str">
        <f>CompilDonnées[[#This Row],[FarmID]]&amp;CompilDonnées[[#This Row],[ModuleNumber]]</f>
        <v>436</v>
      </c>
      <c r="P3499" t="str">
        <f>CompilDonnées[[#This Row],[Ref_Module]]&amp;CompilDonnées[[#This Row],[HarvestingDate]]</f>
        <v>43645868</v>
      </c>
    </row>
    <row r="3500" spans="1:16">
      <c r="A3500" s="5">
        <v>45827</v>
      </c>
      <c r="B3500">
        <v>41</v>
      </c>
      <c r="C3500" t="s">
        <v>70</v>
      </c>
      <c r="D3500">
        <v>6</v>
      </c>
      <c r="E3500">
        <v>100</v>
      </c>
      <c r="F3500" t="s">
        <v>1</v>
      </c>
      <c r="G3500" s="6">
        <v>45868</v>
      </c>
      <c r="H3500">
        <v>41</v>
      </c>
      <c r="I3500">
        <f>ROUND(CompilDonnées[[#This Row],[CultureDuration_days]]/7,0)</f>
        <v>6</v>
      </c>
      <c r="J3500">
        <v>3089</v>
      </c>
      <c r="K3500" t="str">
        <f>_xlfn.CONCAT(WEEKNUM(CompilDonnées[[#This Row],[PlantationDate]]), " ", YEAR(CompilDonnées[[#This Row],[PlantationDate]]))</f>
        <v>25 2025</v>
      </c>
      <c r="L3500" t="str">
        <f>CONCATENATE(MONTH(CompilDonnées[[#This Row],[PlantationDate]])," ", YEAR(CompilDonnées[[#This Row],[PlantationDate]]))</f>
        <v>6 2025</v>
      </c>
      <c r="M3500" t="str">
        <f>CONCATENATE(MONTH(CompilDonnées[[#This Row],[HarvestingDate]])," ", YEAR(CompilDonnées[[#This Row],[HarvestingDate]]))</f>
        <v>7 2025</v>
      </c>
      <c r="N3500">
        <f>_xlfn.NUMBERVALUE(CompilDonnées[[#This Row],[FarmID]]&amp;CompilDonnées[[#This Row],[ModuleNumber]]&amp;CompilDonnées[[#This Row],[PlantationDate]])</f>
        <v>41645827</v>
      </c>
      <c r="O3500" t="str">
        <f>CompilDonnées[[#This Row],[FarmID]]&amp;CompilDonnées[[#This Row],[ModuleNumber]]</f>
        <v>416</v>
      </c>
      <c r="P3500" t="str">
        <f>CompilDonnées[[#This Row],[Ref_Module]]&amp;CompilDonnées[[#This Row],[HarvestingDate]]</f>
        <v>41645868</v>
      </c>
    </row>
    <row r="3501" spans="1:16">
      <c r="A3501" s="5">
        <v>45827</v>
      </c>
      <c r="B3501">
        <v>67</v>
      </c>
      <c r="C3501" t="s">
        <v>28</v>
      </c>
      <c r="D3501">
        <v>1</v>
      </c>
      <c r="E3501">
        <v>100</v>
      </c>
      <c r="F3501" t="s">
        <v>1</v>
      </c>
      <c r="G3501" s="6">
        <v>45876</v>
      </c>
      <c r="H3501">
        <v>49</v>
      </c>
      <c r="I3501">
        <f>ROUND(CompilDonnées[[#This Row],[CultureDuration_days]]/7,0)</f>
        <v>7</v>
      </c>
      <c r="J3501">
        <v>3484</v>
      </c>
      <c r="K3501" t="str">
        <f>_xlfn.CONCAT(WEEKNUM(CompilDonnées[[#This Row],[PlantationDate]]), " ", YEAR(CompilDonnées[[#This Row],[PlantationDate]]))</f>
        <v>25 2025</v>
      </c>
      <c r="L3501" t="str">
        <f>CONCATENATE(MONTH(CompilDonnées[[#This Row],[PlantationDate]])," ", YEAR(CompilDonnées[[#This Row],[PlantationDate]]))</f>
        <v>6 2025</v>
      </c>
      <c r="M3501" t="str">
        <f>CONCATENATE(MONTH(CompilDonnées[[#This Row],[HarvestingDate]])," ", YEAR(CompilDonnées[[#This Row],[HarvestingDate]]))</f>
        <v>8 2025</v>
      </c>
      <c r="N3501">
        <f>_xlfn.NUMBERVALUE(CompilDonnées[[#This Row],[FarmID]]&amp;CompilDonnées[[#This Row],[ModuleNumber]]&amp;CompilDonnées[[#This Row],[PlantationDate]])</f>
        <v>67145827</v>
      </c>
      <c r="O3501" t="str">
        <f>CompilDonnées[[#This Row],[FarmID]]&amp;CompilDonnées[[#This Row],[ModuleNumber]]</f>
        <v>671</v>
      </c>
      <c r="P3501" t="str">
        <f>CompilDonnées[[#This Row],[Ref_Module]]&amp;CompilDonnées[[#This Row],[HarvestingDate]]</f>
        <v>67145876</v>
      </c>
    </row>
    <row r="3502" spans="1:16">
      <c r="A3502" s="5">
        <v>45827</v>
      </c>
      <c r="B3502">
        <v>66</v>
      </c>
      <c r="C3502" t="s">
        <v>48</v>
      </c>
      <c r="D3502">
        <v>1</v>
      </c>
      <c r="E3502">
        <v>100</v>
      </c>
      <c r="F3502" t="s">
        <v>1</v>
      </c>
      <c r="G3502" s="6">
        <v>45876</v>
      </c>
      <c r="H3502">
        <v>49</v>
      </c>
      <c r="I3502">
        <f>ROUND(CompilDonnées[[#This Row],[CultureDuration_days]]/7,0)</f>
        <v>7</v>
      </c>
      <c r="J3502">
        <v>3354</v>
      </c>
      <c r="K3502" t="str">
        <f>_xlfn.CONCAT(WEEKNUM(CompilDonnées[[#This Row],[PlantationDate]]), " ", YEAR(CompilDonnées[[#This Row],[PlantationDate]]))</f>
        <v>25 2025</v>
      </c>
      <c r="L3502" t="str">
        <f>CONCATENATE(MONTH(CompilDonnées[[#This Row],[PlantationDate]])," ", YEAR(CompilDonnées[[#This Row],[PlantationDate]]))</f>
        <v>6 2025</v>
      </c>
      <c r="M3502" t="str">
        <f>CONCATENATE(MONTH(CompilDonnées[[#This Row],[HarvestingDate]])," ", YEAR(CompilDonnées[[#This Row],[HarvestingDate]]))</f>
        <v>8 2025</v>
      </c>
      <c r="N3502">
        <f>_xlfn.NUMBERVALUE(CompilDonnées[[#This Row],[FarmID]]&amp;CompilDonnées[[#This Row],[ModuleNumber]]&amp;CompilDonnées[[#This Row],[PlantationDate]])</f>
        <v>66145827</v>
      </c>
      <c r="O3502" t="str">
        <f>CompilDonnées[[#This Row],[FarmID]]&amp;CompilDonnées[[#This Row],[ModuleNumber]]</f>
        <v>661</v>
      </c>
      <c r="P3502" t="str">
        <f>CompilDonnées[[#This Row],[Ref_Module]]&amp;CompilDonnées[[#This Row],[HarvestingDate]]</f>
        <v>66145876</v>
      </c>
    </row>
    <row r="3503" spans="1:16">
      <c r="A3503" s="5">
        <v>45827</v>
      </c>
      <c r="B3503">
        <v>65</v>
      </c>
      <c r="C3503" t="s">
        <v>36</v>
      </c>
      <c r="D3503">
        <v>2</v>
      </c>
      <c r="E3503">
        <v>100</v>
      </c>
      <c r="F3503" t="s">
        <v>1</v>
      </c>
      <c r="G3503" s="6">
        <v>45881</v>
      </c>
      <c r="H3503">
        <v>54</v>
      </c>
      <c r="I3503">
        <f>ROUND(CompilDonnées[[#This Row],[CultureDuration_days]]/7,0)</f>
        <v>8</v>
      </c>
      <c r="J3503">
        <v>3227</v>
      </c>
      <c r="K3503" t="str">
        <f>_xlfn.CONCAT(WEEKNUM(CompilDonnées[[#This Row],[PlantationDate]]), " ", YEAR(CompilDonnées[[#This Row],[PlantationDate]]))</f>
        <v>25 2025</v>
      </c>
      <c r="L3503" t="str">
        <f>CONCATENATE(MONTH(CompilDonnées[[#This Row],[PlantationDate]])," ", YEAR(CompilDonnées[[#This Row],[PlantationDate]]))</f>
        <v>6 2025</v>
      </c>
      <c r="M3503" t="str">
        <f>CONCATENATE(MONTH(CompilDonnées[[#This Row],[HarvestingDate]])," ", YEAR(CompilDonnées[[#This Row],[HarvestingDate]]))</f>
        <v>8 2025</v>
      </c>
      <c r="N3503">
        <f>_xlfn.NUMBERVALUE(CompilDonnées[[#This Row],[FarmID]]&amp;CompilDonnées[[#This Row],[ModuleNumber]]&amp;CompilDonnées[[#This Row],[PlantationDate]])</f>
        <v>65245827</v>
      </c>
      <c r="O3503" t="str">
        <f>CompilDonnées[[#This Row],[FarmID]]&amp;CompilDonnées[[#This Row],[ModuleNumber]]</f>
        <v>652</v>
      </c>
      <c r="P3503" t="str">
        <f>CompilDonnées[[#This Row],[Ref_Module]]&amp;CompilDonnées[[#This Row],[HarvestingDate]]</f>
        <v>65245881</v>
      </c>
    </row>
    <row r="3504" spans="1:16">
      <c r="A3504" s="5">
        <v>45827</v>
      </c>
      <c r="B3504">
        <v>51</v>
      </c>
      <c r="C3504" t="s">
        <v>27</v>
      </c>
      <c r="D3504">
        <v>2</v>
      </c>
      <c r="E3504">
        <v>100</v>
      </c>
      <c r="F3504" t="s">
        <v>1</v>
      </c>
      <c r="G3504" s="6">
        <v>45868</v>
      </c>
      <c r="H3504">
        <v>41</v>
      </c>
      <c r="I3504">
        <f>ROUND(CompilDonnées[[#This Row],[CultureDuration_days]]/7,0)</f>
        <v>6</v>
      </c>
      <c r="J3504">
        <v>2872</v>
      </c>
      <c r="K3504" t="str">
        <f>_xlfn.CONCAT(WEEKNUM(CompilDonnées[[#This Row],[PlantationDate]]), " ", YEAR(CompilDonnées[[#This Row],[PlantationDate]]))</f>
        <v>25 2025</v>
      </c>
      <c r="L3504" t="str">
        <f>CONCATENATE(MONTH(CompilDonnées[[#This Row],[PlantationDate]])," ", YEAR(CompilDonnées[[#This Row],[PlantationDate]]))</f>
        <v>6 2025</v>
      </c>
      <c r="M3504" t="str">
        <f>CONCATENATE(MONTH(CompilDonnées[[#This Row],[HarvestingDate]])," ", YEAR(CompilDonnées[[#This Row],[HarvestingDate]]))</f>
        <v>7 2025</v>
      </c>
      <c r="N3504">
        <f>_xlfn.NUMBERVALUE(CompilDonnées[[#This Row],[FarmID]]&amp;CompilDonnées[[#This Row],[ModuleNumber]]&amp;CompilDonnées[[#This Row],[PlantationDate]])</f>
        <v>51245827</v>
      </c>
      <c r="O3504" t="str">
        <f>CompilDonnées[[#This Row],[FarmID]]&amp;CompilDonnées[[#This Row],[ModuleNumber]]</f>
        <v>512</v>
      </c>
      <c r="P3504" t="str">
        <f>CompilDonnées[[#This Row],[Ref_Module]]&amp;CompilDonnées[[#This Row],[HarvestingDate]]</f>
        <v>51245868</v>
      </c>
    </row>
    <row r="3505" spans="1:16">
      <c r="A3505" s="5">
        <v>45827</v>
      </c>
      <c r="B3505">
        <v>50</v>
      </c>
      <c r="C3505" t="s">
        <v>55</v>
      </c>
      <c r="D3505">
        <v>6</v>
      </c>
      <c r="E3505">
        <v>100</v>
      </c>
      <c r="F3505" t="s">
        <v>1</v>
      </c>
      <c r="G3505" s="6">
        <v>45868</v>
      </c>
      <c r="H3505">
        <v>41</v>
      </c>
      <c r="I3505">
        <f>ROUND(CompilDonnées[[#This Row],[CultureDuration_days]]/7,0)</f>
        <v>6</v>
      </c>
      <c r="J3505">
        <v>3171</v>
      </c>
      <c r="K3505" t="str">
        <f>_xlfn.CONCAT(WEEKNUM(CompilDonnées[[#This Row],[PlantationDate]]), " ", YEAR(CompilDonnées[[#This Row],[PlantationDate]]))</f>
        <v>25 2025</v>
      </c>
      <c r="L3505" t="str">
        <f>CONCATENATE(MONTH(CompilDonnées[[#This Row],[PlantationDate]])," ", YEAR(CompilDonnées[[#This Row],[PlantationDate]]))</f>
        <v>6 2025</v>
      </c>
      <c r="M3505" t="str">
        <f>CONCATENATE(MONTH(CompilDonnées[[#This Row],[HarvestingDate]])," ", YEAR(CompilDonnées[[#This Row],[HarvestingDate]]))</f>
        <v>7 2025</v>
      </c>
      <c r="N3505">
        <f>_xlfn.NUMBERVALUE(CompilDonnées[[#This Row],[FarmID]]&amp;CompilDonnées[[#This Row],[ModuleNumber]]&amp;CompilDonnées[[#This Row],[PlantationDate]])</f>
        <v>50645827</v>
      </c>
      <c r="O3505" t="str">
        <f>CompilDonnées[[#This Row],[FarmID]]&amp;CompilDonnées[[#This Row],[ModuleNumber]]</f>
        <v>506</v>
      </c>
      <c r="P3505" t="str">
        <f>CompilDonnées[[#This Row],[Ref_Module]]&amp;CompilDonnées[[#This Row],[HarvestingDate]]</f>
        <v>50645868</v>
      </c>
    </row>
    <row r="3506" spans="1:16">
      <c r="A3506" s="5">
        <v>45827</v>
      </c>
      <c r="B3506">
        <v>82</v>
      </c>
      <c r="C3506" t="s">
        <v>17</v>
      </c>
      <c r="D3506">
        <v>6</v>
      </c>
      <c r="E3506">
        <v>100</v>
      </c>
      <c r="F3506" t="s">
        <v>1</v>
      </c>
      <c r="G3506" s="6">
        <v>45867</v>
      </c>
      <c r="H3506">
        <v>40</v>
      </c>
      <c r="I3506">
        <f>ROUND(CompilDonnées[[#This Row],[CultureDuration_days]]/7,0)</f>
        <v>6</v>
      </c>
      <c r="J3506">
        <v>4062</v>
      </c>
      <c r="K3506" t="str">
        <f>_xlfn.CONCAT(WEEKNUM(CompilDonnées[[#This Row],[PlantationDate]]), " ", YEAR(CompilDonnées[[#This Row],[PlantationDate]]))</f>
        <v>25 2025</v>
      </c>
      <c r="L3506" t="str">
        <f>CONCATENATE(MONTH(CompilDonnées[[#This Row],[PlantationDate]])," ", YEAR(CompilDonnées[[#This Row],[PlantationDate]]))</f>
        <v>6 2025</v>
      </c>
      <c r="M3506" t="str">
        <f>CONCATENATE(MONTH(CompilDonnées[[#This Row],[HarvestingDate]])," ", YEAR(CompilDonnées[[#This Row],[HarvestingDate]]))</f>
        <v>7 2025</v>
      </c>
      <c r="N3506">
        <f>_xlfn.NUMBERVALUE(CompilDonnées[[#This Row],[FarmID]]&amp;CompilDonnées[[#This Row],[ModuleNumber]]&amp;CompilDonnées[[#This Row],[PlantationDate]])</f>
        <v>82645827</v>
      </c>
      <c r="O3506" t="str">
        <f>CompilDonnées[[#This Row],[FarmID]]&amp;CompilDonnées[[#This Row],[ModuleNumber]]</f>
        <v>826</v>
      </c>
      <c r="P3506" t="str">
        <f>CompilDonnées[[#This Row],[Ref_Module]]&amp;CompilDonnées[[#This Row],[HarvestingDate]]</f>
        <v>82645867</v>
      </c>
    </row>
    <row r="3507" spans="1:16">
      <c r="A3507" s="5">
        <v>45827</v>
      </c>
      <c r="B3507">
        <v>64</v>
      </c>
      <c r="C3507" t="s">
        <v>47</v>
      </c>
      <c r="D3507">
        <v>2</v>
      </c>
      <c r="E3507">
        <v>100</v>
      </c>
      <c r="F3507" t="s">
        <v>1</v>
      </c>
      <c r="G3507" s="6">
        <v>45889</v>
      </c>
      <c r="H3507">
        <v>62</v>
      </c>
      <c r="I3507">
        <f>ROUND(CompilDonnées[[#This Row],[CultureDuration_days]]/7,0)</f>
        <v>9</v>
      </c>
      <c r="J3507">
        <v>2178</v>
      </c>
      <c r="K3507" t="str">
        <f>_xlfn.CONCAT(WEEKNUM(CompilDonnées[[#This Row],[PlantationDate]]), " ", YEAR(CompilDonnées[[#This Row],[PlantationDate]]))</f>
        <v>25 2025</v>
      </c>
      <c r="L3507" t="str">
        <f>CONCATENATE(MONTH(CompilDonnées[[#This Row],[PlantationDate]])," ", YEAR(CompilDonnées[[#This Row],[PlantationDate]]))</f>
        <v>6 2025</v>
      </c>
      <c r="M3507" t="str">
        <f>CONCATENATE(MONTH(CompilDonnées[[#This Row],[HarvestingDate]])," ", YEAR(CompilDonnées[[#This Row],[HarvestingDate]]))</f>
        <v>8 2025</v>
      </c>
      <c r="N3507">
        <f>_xlfn.NUMBERVALUE(CompilDonnées[[#This Row],[FarmID]]&amp;CompilDonnées[[#This Row],[ModuleNumber]]&amp;CompilDonnées[[#This Row],[PlantationDate]])</f>
        <v>64245827</v>
      </c>
      <c r="O3507" t="str">
        <f>CompilDonnées[[#This Row],[FarmID]]&amp;CompilDonnées[[#This Row],[ModuleNumber]]</f>
        <v>642</v>
      </c>
      <c r="P3507" t="str">
        <f>CompilDonnées[[#This Row],[Ref_Module]]&amp;CompilDonnées[[#This Row],[HarvestingDate]]</f>
        <v>64245889</v>
      </c>
    </row>
    <row r="3508" spans="1:16">
      <c r="A3508" s="5">
        <v>45827</v>
      </c>
      <c r="B3508">
        <v>80</v>
      </c>
      <c r="C3508" t="s">
        <v>29</v>
      </c>
      <c r="D3508">
        <v>5</v>
      </c>
      <c r="E3508">
        <v>100</v>
      </c>
      <c r="F3508" t="s">
        <v>1</v>
      </c>
      <c r="G3508" s="6">
        <v>45867</v>
      </c>
      <c r="H3508">
        <v>40</v>
      </c>
      <c r="I3508">
        <f>ROUND(CompilDonnées[[#This Row],[CultureDuration_days]]/7,0)</f>
        <v>6</v>
      </c>
      <c r="J3508">
        <v>3863</v>
      </c>
      <c r="K3508" t="str">
        <f>_xlfn.CONCAT(WEEKNUM(CompilDonnées[[#This Row],[PlantationDate]]), " ", YEAR(CompilDonnées[[#This Row],[PlantationDate]]))</f>
        <v>25 2025</v>
      </c>
      <c r="L3508" t="str">
        <f>CONCATENATE(MONTH(CompilDonnées[[#This Row],[PlantationDate]])," ", YEAR(CompilDonnées[[#This Row],[PlantationDate]]))</f>
        <v>6 2025</v>
      </c>
      <c r="M3508" t="str">
        <f>CONCATENATE(MONTH(CompilDonnées[[#This Row],[HarvestingDate]])," ", YEAR(CompilDonnées[[#This Row],[HarvestingDate]]))</f>
        <v>7 2025</v>
      </c>
      <c r="N3508">
        <f>_xlfn.NUMBERVALUE(CompilDonnées[[#This Row],[FarmID]]&amp;CompilDonnées[[#This Row],[ModuleNumber]]&amp;CompilDonnées[[#This Row],[PlantationDate]])</f>
        <v>80545827</v>
      </c>
      <c r="O3508" t="str">
        <f>CompilDonnées[[#This Row],[FarmID]]&amp;CompilDonnées[[#This Row],[ModuleNumber]]</f>
        <v>805</v>
      </c>
      <c r="P3508" t="str">
        <f>CompilDonnées[[#This Row],[Ref_Module]]&amp;CompilDonnées[[#This Row],[HarvestingDate]]</f>
        <v>80545867</v>
      </c>
    </row>
    <row r="3509" spans="1:16">
      <c r="A3509" s="5">
        <v>45827</v>
      </c>
      <c r="B3509">
        <v>63</v>
      </c>
      <c r="C3509" t="s">
        <v>98</v>
      </c>
      <c r="D3509">
        <v>1</v>
      </c>
      <c r="E3509">
        <v>100</v>
      </c>
      <c r="F3509" t="s">
        <v>1</v>
      </c>
      <c r="G3509" s="6">
        <v>45876</v>
      </c>
      <c r="H3509">
        <v>49</v>
      </c>
      <c r="I3509">
        <f>ROUND(CompilDonnées[[#This Row],[CultureDuration_days]]/7,0)</f>
        <v>7</v>
      </c>
      <c r="J3509">
        <v>2000</v>
      </c>
      <c r="K3509" t="str">
        <f>_xlfn.CONCAT(WEEKNUM(CompilDonnées[[#This Row],[PlantationDate]]), " ", YEAR(CompilDonnées[[#This Row],[PlantationDate]]))</f>
        <v>25 2025</v>
      </c>
      <c r="L3509" t="str">
        <f>CONCATENATE(MONTH(CompilDonnées[[#This Row],[PlantationDate]])," ", YEAR(CompilDonnées[[#This Row],[PlantationDate]]))</f>
        <v>6 2025</v>
      </c>
      <c r="M3509" t="str">
        <f>CONCATENATE(MONTH(CompilDonnées[[#This Row],[HarvestingDate]])," ", YEAR(CompilDonnées[[#This Row],[HarvestingDate]]))</f>
        <v>8 2025</v>
      </c>
      <c r="N3509">
        <f>_xlfn.NUMBERVALUE(CompilDonnées[[#This Row],[FarmID]]&amp;CompilDonnées[[#This Row],[ModuleNumber]]&amp;CompilDonnées[[#This Row],[PlantationDate]])</f>
        <v>63145827</v>
      </c>
      <c r="O3509" t="str">
        <f>CompilDonnées[[#This Row],[FarmID]]&amp;CompilDonnées[[#This Row],[ModuleNumber]]</f>
        <v>631</v>
      </c>
      <c r="P3509" t="str">
        <f>CompilDonnées[[#This Row],[Ref_Module]]&amp;CompilDonnées[[#This Row],[HarvestingDate]]</f>
        <v>63145876</v>
      </c>
    </row>
    <row r="3510" spans="1:16">
      <c r="A3510" s="5">
        <v>45827</v>
      </c>
      <c r="B3510">
        <v>61</v>
      </c>
      <c r="C3510" t="s">
        <v>95</v>
      </c>
      <c r="D3510">
        <v>1</v>
      </c>
      <c r="E3510">
        <v>100</v>
      </c>
      <c r="F3510" t="s">
        <v>1</v>
      </c>
      <c r="G3510" s="6">
        <v>45876</v>
      </c>
      <c r="H3510">
        <v>49</v>
      </c>
      <c r="I3510">
        <f>ROUND(CompilDonnées[[#This Row],[CultureDuration_days]]/7,0)</f>
        <v>7</v>
      </c>
      <c r="J3510">
        <v>1913</v>
      </c>
      <c r="K3510" t="str">
        <f>_xlfn.CONCAT(WEEKNUM(CompilDonnées[[#This Row],[PlantationDate]]), " ", YEAR(CompilDonnées[[#This Row],[PlantationDate]]))</f>
        <v>25 2025</v>
      </c>
      <c r="L3510" t="str">
        <f>CONCATENATE(MONTH(CompilDonnées[[#This Row],[PlantationDate]])," ", YEAR(CompilDonnées[[#This Row],[PlantationDate]]))</f>
        <v>6 2025</v>
      </c>
      <c r="M3510" t="str">
        <f>CONCATENATE(MONTH(CompilDonnées[[#This Row],[HarvestingDate]])," ", YEAR(CompilDonnées[[#This Row],[HarvestingDate]]))</f>
        <v>8 2025</v>
      </c>
      <c r="N3510">
        <f>_xlfn.NUMBERVALUE(CompilDonnées[[#This Row],[FarmID]]&amp;CompilDonnées[[#This Row],[ModuleNumber]]&amp;CompilDonnées[[#This Row],[PlantationDate]])</f>
        <v>61145827</v>
      </c>
      <c r="O3510" t="str">
        <f>CompilDonnées[[#This Row],[FarmID]]&amp;CompilDonnées[[#This Row],[ModuleNumber]]</f>
        <v>611</v>
      </c>
      <c r="P3510" t="str">
        <f>CompilDonnées[[#This Row],[Ref_Module]]&amp;CompilDonnées[[#This Row],[HarvestingDate]]</f>
        <v>61145876</v>
      </c>
    </row>
    <row r="3511" spans="1:16">
      <c r="A3511" s="5">
        <v>45827</v>
      </c>
      <c r="B3511">
        <v>25</v>
      </c>
      <c r="C3511" t="s">
        <v>100</v>
      </c>
      <c r="D3511">
        <v>1</v>
      </c>
      <c r="E3511">
        <v>100</v>
      </c>
      <c r="F3511" t="s">
        <v>1</v>
      </c>
      <c r="G3511" s="6">
        <v>45875</v>
      </c>
      <c r="H3511">
        <v>48</v>
      </c>
      <c r="I3511">
        <f>ROUND(CompilDonnées[[#This Row],[CultureDuration_days]]/7,0)</f>
        <v>7</v>
      </c>
      <c r="J3511">
        <v>3101</v>
      </c>
      <c r="K3511" t="str">
        <f>_xlfn.CONCAT(WEEKNUM(CompilDonnées[[#This Row],[PlantationDate]]), " ", YEAR(CompilDonnées[[#This Row],[PlantationDate]]))</f>
        <v>25 2025</v>
      </c>
      <c r="L3511" t="str">
        <f>CONCATENATE(MONTH(CompilDonnées[[#This Row],[PlantationDate]])," ", YEAR(CompilDonnées[[#This Row],[PlantationDate]]))</f>
        <v>6 2025</v>
      </c>
      <c r="M3511" t="str">
        <f>CONCATENATE(MONTH(CompilDonnées[[#This Row],[HarvestingDate]])," ", YEAR(CompilDonnées[[#This Row],[HarvestingDate]]))</f>
        <v>8 2025</v>
      </c>
      <c r="N3511">
        <f>_xlfn.NUMBERVALUE(CompilDonnées[[#This Row],[FarmID]]&amp;CompilDonnées[[#This Row],[ModuleNumber]]&amp;CompilDonnées[[#This Row],[PlantationDate]])</f>
        <v>25145827</v>
      </c>
      <c r="O3511" t="str">
        <f>CompilDonnées[[#This Row],[FarmID]]&amp;CompilDonnées[[#This Row],[ModuleNumber]]</f>
        <v>251</v>
      </c>
      <c r="P3511" t="str">
        <f>CompilDonnées[[#This Row],[Ref_Module]]&amp;CompilDonnées[[#This Row],[HarvestingDate]]</f>
        <v>25145875</v>
      </c>
    </row>
    <row r="3512" spans="1:16">
      <c r="A3512" s="5">
        <v>45827</v>
      </c>
      <c r="B3512">
        <v>19</v>
      </c>
      <c r="C3512" t="s">
        <v>108</v>
      </c>
      <c r="D3512">
        <v>4</v>
      </c>
      <c r="E3512">
        <v>100</v>
      </c>
      <c r="F3512" t="s">
        <v>1</v>
      </c>
      <c r="G3512" s="6">
        <v>45875</v>
      </c>
      <c r="H3512">
        <v>48</v>
      </c>
      <c r="I3512">
        <f>ROUND(CompilDonnées[[#This Row],[CultureDuration_days]]/7,0)</f>
        <v>7</v>
      </c>
      <c r="J3512">
        <v>2830</v>
      </c>
      <c r="K3512" t="str">
        <f>_xlfn.CONCAT(WEEKNUM(CompilDonnées[[#This Row],[PlantationDate]]), " ", YEAR(CompilDonnées[[#This Row],[PlantationDate]]))</f>
        <v>25 2025</v>
      </c>
      <c r="L3512" t="str">
        <f>CONCATENATE(MONTH(CompilDonnées[[#This Row],[PlantationDate]])," ", YEAR(CompilDonnées[[#This Row],[PlantationDate]]))</f>
        <v>6 2025</v>
      </c>
      <c r="M3512" t="str">
        <f>CONCATENATE(MONTH(CompilDonnées[[#This Row],[HarvestingDate]])," ", YEAR(CompilDonnées[[#This Row],[HarvestingDate]]))</f>
        <v>8 2025</v>
      </c>
      <c r="N3512">
        <f>_xlfn.NUMBERVALUE(CompilDonnées[[#This Row],[FarmID]]&amp;CompilDonnées[[#This Row],[ModuleNumber]]&amp;CompilDonnées[[#This Row],[PlantationDate]])</f>
        <v>19445827</v>
      </c>
      <c r="O3512" t="str">
        <f>CompilDonnées[[#This Row],[FarmID]]&amp;CompilDonnées[[#This Row],[ModuleNumber]]</f>
        <v>194</v>
      </c>
      <c r="P3512" t="str">
        <f>CompilDonnées[[#This Row],[Ref_Module]]&amp;CompilDonnées[[#This Row],[HarvestingDate]]</f>
        <v>19445875</v>
      </c>
    </row>
    <row r="3513" spans="1:16">
      <c r="A3513" s="5">
        <v>45827</v>
      </c>
      <c r="B3513">
        <v>13</v>
      </c>
      <c r="C3513" t="s">
        <v>114</v>
      </c>
      <c r="D3513">
        <v>4</v>
      </c>
      <c r="E3513">
        <v>100</v>
      </c>
      <c r="F3513" t="s">
        <v>1</v>
      </c>
      <c r="G3513" s="6">
        <v>45869</v>
      </c>
      <c r="H3513">
        <v>42</v>
      </c>
      <c r="I3513">
        <f>ROUND(CompilDonnées[[#This Row],[CultureDuration_days]]/7,0)</f>
        <v>6</v>
      </c>
      <c r="J3513">
        <v>3843</v>
      </c>
      <c r="K3513" t="str">
        <f>_xlfn.CONCAT(WEEKNUM(CompilDonnées[[#This Row],[PlantationDate]]), " ", YEAR(CompilDonnées[[#This Row],[PlantationDate]]))</f>
        <v>25 2025</v>
      </c>
      <c r="L3513" t="str">
        <f>CONCATENATE(MONTH(CompilDonnées[[#This Row],[PlantationDate]])," ", YEAR(CompilDonnées[[#This Row],[PlantationDate]]))</f>
        <v>6 2025</v>
      </c>
      <c r="M3513" t="str">
        <f>CONCATENATE(MONTH(CompilDonnées[[#This Row],[HarvestingDate]])," ", YEAR(CompilDonnées[[#This Row],[HarvestingDate]]))</f>
        <v>7 2025</v>
      </c>
      <c r="N3513">
        <f>_xlfn.NUMBERVALUE(CompilDonnées[[#This Row],[FarmID]]&amp;CompilDonnées[[#This Row],[ModuleNumber]]&amp;CompilDonnées[[#This Row],[PlantationDate]])</f>
        <v>13445827</v>
      </c>
      <c r="O3513" t="str">
        <f>CompilDonnées[[#This Row],[FarmID]]&amp;CompilDonnées[[#This Row],[ModuleNumber]]</f>
        <v>134</v>
      </c>
      <c r="P3513" t="str">
        <f>CompilDonnées[[#This Row],[Ref_Module]]&amp;CompilDonnées[[#This Row],[HarvestingDate]]</f>
        <v>13445869</v>
      </c>
    </row>
    <row r="3514" spans="1:16">
      <c r="A3514" s="5">
        <v>45827</v>
      </c>
      <c r="B3514">
        <v>9</v>
      </c>
      <c r="C3514" t="s">
        <v>107</v>
      </c>
      <c r="D3514">
        <v>2</v>
      </c>
      <c r="E3514">
        <v>100</v>
      </c>
      <c r="F3514" t="s">
        <v>1</v>
      </c>
      <c r="G3514" s="6">
        <v>45875</v>
      </c>
      <c r="H3514">
        <v>48</v>
      </c>
      <c r="I3514">
        <f>ROUND(CompilDonnées[[#This Row],[CultureDuration_days]]/7,0)</f>
        <v>7</v>
      </c>
      <c r="J3514">
        <v>2642</v>
      </c>
      <c r="K3514" t="str">
        <f>_xlfn.CONCAT(WEEKNUM(CompilDonnées[[#This Row],[PlantationDate]]), " ", YEAR(CompilDonnées[[#This Row],[PlantationDate]]))</f>
        <v>25 2025</v>
      </c>
      <c r="L3514" t="str">
        <f>CONCATENATE(MONTH(CompilDonnées[[#This Row],[PlantationDate]])," ", YEAR(CompilDonnées[[#This Row],[PlantationDate]]))</f>
        <v>6 2025</v>
      </c>
      <c r="M3514" t="str">
        <f>CONCATENATE(MONTH(CompilDonnées[[#This Row],[HarvestingDate]])," ", YEAR(CompilDonnées[[#This Row],[HarvestingDate]]))</f>
        <v>8 2025</v>
      </c>
      <c r="N3514">
        <f>_xlfn.NUMBERVALUE(CompilDonnées[[#This Row],[FarmID]]&amp;CompilDonnées[[#This Row],[ModuleNumber]]&amp;CompilDonnées[[#This Row],[PlantationDate]])</f>
        <v>9245827</v>
      </c>
      <c r="O3514" t="str">
        <f>CompilDonnées[[#This Row],[FarmID]]&amp;CompilDonnées[[#This Row],[ModuleNumber]]</f>
        <v>92</v>
      </c>
      <c r="P3514" t="str">
        <f>CompilDonnées[[#This Row],[Ref_Module]]&amp;CompilDonnées[[#This Row],[HarvestingDate]]</f>
        <v>9245875</v>
      </c>
    </row>
    <row r="3515" spans="1:16">
      <c r="A3515" s="5">
        <v>45827</v>
      </c>
      <c r="B3515">
        <v>1</v>
      </c>
      <c r="C3515" t="s">
        <v>111</v>
      </c>
      <c r="D3515">
        <v>1</v>
      </c>
      <c r="E3515">
        <v>100</v>
      </c>
      <c r="F3515" t="s">
        <v>1</v>
      </c>
      <c r="G3515" s="6">
        <v>45869</v>
      </c>
      <c r="H3515">
        <v>42</v>
      </c>
      <c r="I3515">
        <f>ROUND(CompilDonnées[[#This Row],[CultureDuration_days]]/7,0)</f>
        <v>6</v>
      </c>
      <c r="J3515">
        <v>2989</v>
      </c>
      <c r="K3515" t="str">
        <f>_xlfn.CONCAT(WEEKNUM(CompilDonnées[[#This Row],[PlantationDate]]), " ", YEAR(CompilDonnées[[#This Row],[PlantationDate]]))</f>
        <v>25 2025</v>
      </c>
      <c r="L3515" t="str">
        <f>CONCATENATE(MONTH(CompilDonnées[[#This Row],[PlantationDate]])," ", YEAR(CompilDonnées[[#This Row],[PlantationDate]]))</f>
        <v>6 2025</v>
      </c>
      <c r="M3515" t="str">
        <f>CONCATENATE(MONTH(CompilDonnées[[#This Row],[HarvestingDate]])," ", YEAR(CompilDonnées[[#This Row],[HarvestingDate]]))</f>
        <v>7 2025</v>
      </c>
      <c r="N3515">
        <f>_xlfn.NUMBERVALUE(CompilDonnées[[#This Row],[FarmID]]&amp;CompilDonnées[[#This Row],[ModuleNumber]]&amp;CompilDonnées[[#This Row],[PlantationDate]])</f>
        <v>1145827</v>
      </c>
      <c r="O3515" t="str">
        <f>CompilDonnées[[#This Row],[FarmID]]&amp;CompilDonnées[[#This Row],[ModuleNumber]]</f>
        <v>11</v>
      </c>
      <c r="P3515" t="str">
        <f>CompilDonnées[[#This Row],[Ref_Module]]&amp;CompilDonnées[[#This Row],[HarvestingDate]]</f>
        <v>1145869</v>
      </c>
    </row>
    <row r="3516" spans="1:16">
      <c r="A3516" s="5">
        <v>45827</v>
      </c>
      <c r="B3516">
        <v>12</v>
      </c>
      <c r="C3516" t="s">
        <v>123</v>
      </c>
      <c r="D3516">
        <v>4</v>
      </c>
      <c r="E3516">
        <v>100</v>
      </c>
      <c r="F3516" t="s">
        <v>1</v>
      </c>
      <c r="G3516" s="6">
        <v>45875</v>
      </c>
      <c r="H3516">
        <v>48</v>
      </c>
      <c r="I3516">
        <f>ROUND(CompilDonnées[[#This Row],[CultureDuration_days]]/7,0)</f>
        <v>7</v>
      </c>
      <c r="J3516">
        <v>1822</v>
      </c>
      <c r="K3516" t="str">
        <f>_xlfn.CONCAT(WEEKNUM(CompilDonnées[[#This Row],[PlantationDate]]), " ", YEAR(CompilDonnées[[#This Row],[PlantationDate]]))</f>
        <v>25 2025</v>
      </c>
      <c r="L3516" t="str">
        <f>CONCATENATE(MONTH(CompilDonnées[[#This Row],[PlantationDate]])," ", YEAR(CompilDonnées[[#This Row],[PlantationDate]]))</f>
        <v>6 2025</v>
      </c>
      <c r="M3516" t="str">
        <f>CONCATENATE(MONTH(CompilDonnées[[#This Row],[HarvestingDate]])," ", YEAR(CompilDonnées[[#This Row],[HarvestingDate]]))</f>
        <v>8 2025</v>
      </c>
      <c r="N3516">
        <f>_xlfn.NUMBERVALUE(CompilDonnées[[#This Row],[FarmID]]&amp;CompilDonnées[[#This Row],[ModuleNumber]]&amp;CompilDonnées[[#This Row],[PlantationDate]])</f>
        <v>12445827</v>
      </c>
      <c r="O3516" t="str">
        <f>CompilDonnées[[#This Row],[FarmID]]&amp;CompilDonnées[[#This Row],[ModuleNumber]]</f>
        <v>124</v>
      </c>
      <c r="P3516" t="str">
        <f>CompilDonnées[[#This Row],[Ref_Module]]&amp;CompilDonnées[[#This Row],[HarvestingDate]]</f>
        <v>12445875</v>
      </c>
    </row>
    <row r="3517" spans="1:16">
      <c r="A3517" s="5">
        <v>45827</v>
      </c>
      <c r="B3517">
        <v>114</v>
      </c>
      <c r="C3517" t="s">
        <v>3</v>
      </c>
      <c r="D3517">
        <v>1</v>
      </c>
      <c r="E3517">
        <v>37</v>
      </c>
      <c r="F3517" t="s">
        <v>105</v>
      </c>
      <c r="G3517" s="6">
        <v>45890</v>
      </c>
      <c r="H3517">
        <v>63</v>
      </c>
      <c r="I3517">
        <f>ROUND(CompilDonnées[[#This Row],[CultureDuration_days]]/7,0)</f>
        <v>9</v>
      </c>
      <c r="J3517">
        <v>595</v>
      </c>
      <c r="K3517" t="str">
        <f>_xlfn.CONCAT(WEEKNUM(CompilDonnées[[#This Row],[PlantationDate]]), " ", YEAR(CompilDonnées[[#This Row],[PlantationDate]]))</f>
        <v>25 2025</v>
      </c>
      <c r="L3517" t="str">
        <f>CONCATENATE(MONTH(CompilDonnées[[#This Row],[PlantationDate]])," ", YEAR(CompilDonnées[[#This Row],[PlantationDate]]))</f>
        <v>6 2025</v>
      </c>
      <c r="M3517" t="str">
        <f>CONCATENATE(MONTH(CompilDonnées[[#This Row],[HarvestingDate]])," ", YEAR(CompilDonnées[[#This Row],[HarvestingDate]]))</f>
        <v>8 2025</v>
      </c>
      <c r="N3517">
        <f>_xlfn.NUMBERVALUE(CompilDonnées[[#This Row],[FarmID]]&amp;CompilDonnées[[#This Row],[ModuleNumber]]&amp;CompilDonnées[[#This Row],[PlantationDate]])</f>
        <v>114145827</v>
      </c>
      <c r="O3517" t="str">
        <f>CompilDonnées[[#This Row],[FarmID]]&amp;CompilDonnées[[#This Row],[ModuleNumber]]</f>
        <v>1141</v>
      </c>
      <c r="P3517" t="str">
        <f>CompilDonnées[[#This Row],[Ref_Module]]&amp;CompilDonnées[[#This Row],[HarvestingDate]]</f>
        <v>114145890</v>
      </c>
    </row>
    <row r="3518" spans="1:16">
      <c r="A3518" s="5">
        <v>45827</v>
      </c>
      <c r="B3518">
        <v>114</v>
      </c>
      <c r="C3518" t="s">
        <v>3</v>
      </c>
      <c r="D3518">
        <v>2</v>
      </c>
      <c r="E3518">
        <v>60</v>
      </c>
      <c r="F3518" t="s">
        <v>105</v>
      </c>
      <c r="G3518" s="6">
        <v>45890</v>
      </c>
      <c r="H3518">
        <v>63</v>
      </c>
      <c r="I3518">
        <f>ROUND(CompilDonnées[[#This Row],[CultureDuration_days]]/7,0)</f>
        <v>9</v>
      </c>
      <c r="J3518">
        <v>508</v>
      </c>
      <c r="K3518" t="str">
        <f>_xlfn.CONCAT(WEEKNUM(CompilDonnées[[#This Row],[PlantationDate]]), " ", YEAR(CompilDonnées[[#This Row],[PlantationDate]]))</f>
        <v>25 2025</v>
      </c>
      <c r="L3518" t="str">
        <f>CONCATENATE(MONTH(CompilDonnées[[#This Row],[PlantationDate]])," ", YEAR(CompilDonnées[[#This Row],[PlantationDate]]))</f>
        <v>6 2025</v>
      </c>
      <c r="M3518" t="str">
        <f>CONCATENATE(MONTH(CompilDonnées[[#This Row],[HarvestingDate]])," ", YEAR(CompilDonnées[[#This Row],[HarvestingDate]]))</f>
        <v>8 2025</v>
      </c>
      <c r="N3518">
        <f>_xlfn.NUMBERVALUE(CompilDonnées[[#This Row],[FarmID]]&amp;CompilDonnées[[#This Row],[ModuleNumber]]&amp;CompilDonnées[[#This Row],[PlantationDate]])</f>
        <v>114245827</v>
      </c>
      <c r="O3518" t="str">
        <f>CompilDonnées[[#This Row],[FarmID]]&amp;CompilDonnées[[#This Row],[ModuleNumber]]</f>
        <v>1142</v>
      </c>
      <c r="P3518" t="str">
        <f>CompilDonnées[[#This Row],[Ref_Module]]&amp;CompilDonnées[[#This Row],[HarvestingDate]]</f>
        <v>114245890</v>
      </c>
    </row>
    <row r="3519" spans="1:16">
      <c r="A3519" s="5">
        <v>45827</v>
      </c>
      <c r="B3519">
        <v>114</v>
      </c>
      <c r="C3519" t="s">
        <v>3</v>
      </c>
      <c r="D3519">
        <v>3</v>
      </c>
      <c r="E3519">
        <v>60</v>
      </c>
      <c r="F3519" t="s">
        <v>105</v>
      </c>
      <c r="G3519" s="6">
        <v>45890</v>
      </c>
      <c r="H3519">
        <v>63</v>
      </c>
      <c r="I3519">
        <f>ROUND(CompilDonnées[[#This Row],[CultureDuration_days]]/7,0)</f>
        <v>9</v>
      </c>
      <c r="J3519">
        <v>702</v>
      </c>
      <c r="K3519" t="str">
        <f>_xlfn.CONCAT(WEEKNUM(CompilDonnées[[#This Row],[PlantationDate]]), " ", YEAR(CompilDonnées[[#This Row],[PlantationDate]]))</f>
        <v>25 2025</v>
      </c>
      <c r="L3519" t="str">
        <f>CONCATENATE(MONTH(CompilDonnées[[#This Row],[PlantationDate]])," ", YEAR(CompilDonnées[[#This Row],[PlantationDate]]))</f>
        <v>6 2025</v>
      </c>
      <c r="M3519" t="str">
        <f>CONCATENATE(MONTH(CompilDonnées[[#This Row],[HarvestingDate]])," ", YEAR(CompilDonnées[[#This Row],[HarvestingDate]]))</f>
        <v>8 2025</v>
      </c>
      <c r="N3519">
        <f>_xlfn.NUMBERVALUE(CompilDonnées[[#This Row],[FarmID]]&amp;CompilDonnées[[#This Row],[ModuleNumber]]&amp;CompilDonnées[[#This Row],[PlantationDate]])</f>
        <v>114345827</v>
      </c>
      <c r="O3519" t="str">
        <f>CompilDonnées[[#This Row],[FarmID]]&amp;CompilDonnées[[#This Row],[ModuleNumber]]</f>
        <v>1143</v>
      </c>
      <c r="P3519" t="str">
        <f>CompilDonnées[[#This Row],[Ref_Module]]&amp;CompilDonnées[[#This Row],[HarvestingDate]]</f>
        <v>114345890</v>
      </c>
    </row>
    <row r="3520" spans="1:16">
      <c r="A3520" s="5">
        <v>45827</v>
      </c>
      <c r="B3520">
        <v>114</v>
      </c>
      <c r="C3520" t="s">
        <v>3</v>
      </c>
      <c r="D3520">
        <v>4</v>
      </c>
      <c r="E3520">
        <v>60</v>
      </c>
      <c r="F3520" t="s">
        <v>105</v>
      </c>
      <c r="G3520" s="6">
        <v>45890</v>
      </c>
      <c r="H3520">
        <v>63</v>
      </c>
      <c r="I3520">
        <f>ROUND(CompilDonnées[[#This Row],[CultureDuration_days]]/7,0)</f>
        <v>9</v>
      </c>
      <c r="J3520">
        <v>622</v>
      </c>
      <c r="K3520" t="str">
        <f>_xlfn.CONCAT(WEEKNUM(CompilDonnées[[#This Row],[PlantationDate]]), " ", YEAR(CompilDonnées[[#This Row],[PlantationDate]]))</f>
        <v>25 2025</v>
      </c>
      <c r="L3520" t="str">
        <f>CONCATENATE(MONTH(CompilDonnées[[#This Row],[PlantationDate]])," ", YEAR(CompilDonnées[[#This Row],[PlantationDate]]))</f>
        <v>6 2025</v>
      </c>
      <c r="M3520" t="str">
        <f>CONCATENATE(MONTH(CompilDonnées[[#This Row],[HarvestingDate]])," ", YEAR(CompilDonnées[[#This Row],[HarvestingDate]]))</f>
        <v>8 2025</v>
      </c>
      <c r="N3520">
        <f>_xlfn.NUMBERVALUE(CompilDonnées[[#This Row],[FarmID]]&amp;CompilDonnées[[#This Row],[ModuleNumber]]&amp;CompilDonnées[[#This Row],[PlantationDate]])</f>
        <v>114445827</v>
      </c>
      <c r="O3520" t="str">
        <f>CompilDonnées[[#This Row],[FarmID]]&amp;CompilDonnées[[#This Row],[ModuleNumber]]</f>
        <v>1144</v>
      </c>
      <c r="P3520" t="str">
        <f>CompilDonnées[[#This Row],[Ref_Module]]&amp;CompilDonnées[[#This Row],[HarvestingDate]]</f>
        <v>114445890</v>
      </c>
    </row>
    <row r="3521" spans="1:16">
      <c r="A3521" s="5">
        <v>45828</v>
      </c>
      <c r="B3521">
        <v>11</v>
      </c>
      <c r="C3521" t="s">
        <v>106</v>
      </c>
      <c r="D3521">
        <v>1</v>
      </c>
      <c r="E3521">
        <v>100</v>
      </c>
      <c r="F3521" t="s">
        <v>1</v>
      </c>
      <c r="G3521" s="6">
        <v>45875</v>
      </c>
      <c r="H3521">
        <v>47</v>
      </c>
      <c r="I3521">
        <f>ROUND(CompilDonnées[[#This Row],[CultureDuration_days]]/7,0)</f>
        <v>7</v>
      </c>
      <c r="J3521">
        <v>2108</v>
      </c>
      <c r="K3521" t="str">
        <f>_xlfn.CONCAT(WEEKNUM(CompilDonnées[[#This Row],[PlantationDate]]), " ", YEAR(CompilDonnées[[#This Row],[PlantationDate]]))</f>
        <v>25 2025</v>
      </c>
      <c r="L3521" t="str">
        <f>CONCATENATE(MONTH(CompilDonnées[[#This Row],[PlantationDate]])," ", YEAR(CompilDonnées[[#This Row],[PlantationDate]]))</f>
        <v>6 2025</v>
      </c>
      <c r="M3521" t="str">
        <f>CONCATENATE(MONTH(CompilDonnées[[#This Row],[HarvestingDate]])," ", YEAR(CompilDonnées[[#This Row],[HarvestingDate]]))</f>
        <v>8 2025</v>
      </c>
      <c r="N3521">
        <f>_xlfn.NUMBERVALUE(CompilDonnées[[#This Row],[FarmID]]&amp;CompilDonnées[[#This Row],[ModuleNumber]]&amp;CompilDonnées[[#This Row],[PlantationDate]])</f>
        <v>11145828</v>
      </c>
      <c r="O3521" t="str">
        <f>CompilDonnées[[#This Row],[FarmID]]&amp;CompilDonnées[[#This Row],[ModuleNumber]]</f>
        <v>111</v>
      </c>
      <c r="P3521" t="str">
        <f>CompilDonnées[[#This Row],[Ref_Module]]&amp;CompilDonnées[[#This Row],[HarvestingDate]]</f>
        <v>11145875</v>
      </c>
    </row>
    <row r="3522" spans="1:16">
      <c r="A3522" s="5">
        <v>45828</v>
      </c>
      <c r="B3522">
        <v>12</v>
      </c>
      <c r="C3522" t="s">
        <v>123</v>
      </c>
      <c r="D3522">
        <v>5</v>
      </c>
      <c r="E3522">
        <v>100</v>
      </c>
      <c r="F3522" t="s">
        <v>1</v>
      </c>
      <c r="G3522" s="6">
        <v>45875</v>
      </c>
      <c r="H3522">
        <v>47</v>
      </c>
      <c r="I3522">
        <f>ROUND(CompilDonnées[[#This Row],[CultureDuration_days]]/7,0)</f>
        <v>7</v>
      </c>
      <c r="J3522">
        <v>1808</v>
      </c>
      <c r="K3522" t="str">
        <f>_xlfn.CONCAT(WEEKNUM(CompilDonnées[[#This Row],[PlantationDate]]), " ", YEAR(CompilDonnées[[#This Row],[PlantationDate]]))</f>
        <v>25 2025</v>
      </c>
      <c r="L3522" t="str">
        <f>CONCATENATE(MONTH(CompilDonnées[[#This Row],[PlantationDate]])," ", YEAR(CompilDonnées[[#This Row],[PlantationDate]]))</f>
        <v>6 2025</v>
      </c>
      <c r="M3522" t="str">
        <f>CONCATENATE(MONTH(CompilDonnées[[#This Row],[HarvestingDate]])," ", YEAR(CompilDonnées[[#This Row],[HarvestingDate]]))</f>
        <v>8 2025</v>
      </c>
      <c r="N3522">
        <f>_xlfn.NUMBERVALUE(CompilDonnées[[#This Row],[FarmID]]&amp;CompilDonnées[[#This Row],[ModuleNumber]]&amp;CompilDonnées[[#This Row],[PlantationDate]])</f>
        <v>12545828</v>
      </c>
      <c r="O3522" t="str">
        <f>CompilDonnées[[#This Row],[FarmID]]&amp;CompilDonnées[[#This Row],[ModuleNumber]]</f>
        <v>125</v>
      </c>
      <c r="P3522" t="str">
        <f>CompilDonnées[[#This Row],[Ref_Module]]&amp;CompilDonnées[[#This Row],[HarvestingDate]]</f>
        <v>12545875</v>
      </c>
    </row>
    <row r="3523" spans="1:16">
      <c r="A3523" s="5">
        <v>45828</v>
      </c>
      <c r="B3523">
        <v>46</v>
      </c>
      <c r="C3523" t="s">
        <v>8</v>
      </c>
      <c r="D3523">
        <v>2</v>
      </c>
      <c r="E3523">
        <v>100</v>
      </c>
      <c r="F3523" t="s">
        <v>1</v>
      </c>
      <c r="G3523" s="6">
        <v>45876</v>
      </c>
      <c r="H3523">
        <v>48</v>
      </c>
      <c r="I3523">
        <f>ROUND(CompilDonnées[[#This Row],[CultureDuration_days]]/7,0)</f>
        <v>7</v>
      </c>
      <c r="J3523">
        <v>3451</v>
      </c>
      <c r="K3523" t="str">
        <f>_xlfn.CONCAT(WEEKNUM(CompilDonnées[[#This Row],[PlantationDate]]), " ", YEAR(CompilDonnées[[#This Row],[PlantationDate]]))</f>
        <v>25 2025</v>
      </c>
      <c r="L3523" t="str">
        <f>CONCATENATE(MONTH(CompilDonnées[[#This Row],[PlantationDate]])," ", YEAR(CompilDonnées[[#This Row],[PlantationDate]]))</f>
        <v>6 2025</v>
      </c>
      <c r="M3523" t="str">
        <f>CONCATENATE(MONTH(CompilDonnées[[#This Row],[HarvestingDate]])," ", YEAR(CompilDonnées[[#This Row],[HarvestingDate]]))</f>
        <v>8 2025</v>
      </c>
      <c r="N3523">
        <f>_xlfn.NUMBERVALUE(CompilDonnées[[#This Row],[FarmID]]&amp;CompilDonnées[[#This Row],[ModuleNumber]]&amp;CompilDonnées[[#This Row],[PlantationDate]])</f>
        <v>46245828</v>
      </c>
      <c r="O3523" t="str">
        <f>CompilDonnées[[#This Row],[FarmID]]&amp;CompilDonnées[[#This Row],[ModuleNumber]]</f>
        <v>462</v>
      </c>
      <c r="P3523" t="str">
        <f>CompilDonnées[[#This Row],[Ref_Module]]&amp;CompilDonnées[[#This Row],[HarvestingDate]]</f>
        <v>46245876</v>
      </c>
    </row>
    <row r="3524" spans="1:16">
      <c r="A3524" s="5">
        <v>45828</v>
      </c>
      <c r="B3524">
        <v>61</v>
      </c>
      <c r="C3524" t="s">
        <v>95</v>
      </c>
      <c r="D3524">
        <v>3</v>
      </c>
      <c r="E3524">
        <v>100</v>
      </c>
      <c r="F3524" t="s">
        <v>1</v>
      </c>
      <c r="G3524" s="6">
        <v>45876</v>
      </c>
      <c r="H3524">
        <v>48</v>
      </c>
      <c r="I3524">
        <f>ROUND(CompilDonnées[[#This Row],[CultureDuration_days]]/7,0)</f>
        <v>7</v>
      </c>
      <c r="J3524">
        <v>1788</v>
      </c>
      <c r="K3524" t="str">
        <f>_xlfn.CONCAT(WEEKNUM(CompilDonnées[[#This Row],[PlantationDate]]), " ", YEAR(CompilDonnées[[#This Row],[PlantationDate]]))</f>
        <v>25 2025</v>
      </c>
      <c r="L3524" t="str">
        <f>CONCATENATE(MONTH(CompilDonnées[[#This Row],[PlantationDate]])," ", YEAR(CompilDonnées[[#This Row],[PlantationDate]]))</f>
        <v>6 2025</v>
      </c>
      <c r="M3524" t="str">
        <f>CONCATENATE(MONTH(CompilDonnées[[#This Row],[HarvestingDate]])," ", YEAR(CompilDonnées[[#This Row],[HarvestingDate]]))</f>
        <v>8 2025</v>
      </c>
      <c r="N3524">
        <f>_xlfn.NUMBERVALUE(CompilDonnées[[#This Row],[FarmID]]&amp;CompilDonnées[[#This Row],[ModuleNumber]]&amp;CompilDonnées[[#This Row],[PlantationDate]])</f>
        <v>61345828</v>
      </c>
      <c r="O3524" t="str">
        <f>CompilDonnées[[#This Row],[FarmID]]&amp;CompilDonnées[[#This Row],[ModuleNumber]]</f>
        <v>613</v>
      </c>
      <c r="P3524" t="str">
        <f>CompilDonnées[[#This Row],[Ref_Module]]&amp;CompilDonnées[[#This Row],[HarvestingDate]]</f>
        <v>61345876</v>
      </c>
    </row>
    <row r="3525" spans="1:16">
      <c r="A3525" s="5">
        <v>45828</v>
      </c>
      <c r="B3525">
        <v>63</v>
      </c>
      <c r="C3525" t="s">
        <v>98</v>
      </c>
      <c r="D3525">
        <v>3</v>
      </c>
      <c r="E3525">
        <v>100</v>
      </c>
      <c r="F3525" t="s">
        <v>1</v>
      </c>
      <c r="G3525" s="6">
        <v>45876</v>
      </c>
      <c r="H3525">
        <v>48</v>
      </c>
      <c r="I3525">
        <f>ROUND(CompilDonnées[[#This Row],[CultureDuration_days]]/7,0)</f>
        <v>7</v>
      </c>
      <c r="J3525">
        <v>1918</v>
      </c>
      <c r="K3525" t="str">
        <f>_xlfn.CONCAT(WEEKNUM(CompilDonnées[[#This Row],[PlantationDate]]), " ", YEAR(CompilDonnées[[#This Row],[PlantationDate]]))</f>
        <v>25 2025</v>
      </c>
      <c r="L3525" t="str">
        <f>CONCATENATE(MONTH(CompilDonnées[[#This Row],[PlantationDate]])," ", YEAR(CompilDonnées[[#This Row],[PlantationDate]]))</f>
        <v>6 2025</v>
      </c>
      <c r="M3525" t="str">
        <f>CONCATENATE(MONTH(CompilDonnées[[#This Row],[HarvestingDate]])," ", YEAR(CompilDonnées[[#This Row],[HarvestingDate]]))</f>
        <v>8 2025</v>
      </c>
      <c r="N3525">
        <f>_xlfn.NUMBERVALUE(CompilDonnées[[#This Row],[FarmID]]&amp;CompilDonnées[[#This Row],[ModuleNumber]]&amp;CompilDonnées[[#This Row],[PlantationDate]])</f>
        <v>63345828</v>
      </c>
      <c r="O3525" t="str">
        <f>CompilDonnées[[#This Row],[FarmID]]&amp;CompilDonnées[[#This Row],[ModuleNumber]]</f>
        <v>633</v>
      </c>
      <c r="P3525" t="str">
        <f>CompilDonnées[[#This Row],[Ref_Module]]&amp;CompilDonnées[[#This Row],[HarvestingDate]]</f>
        <v>63345876</v>
      </c>
    </row>
    <row r="3526" spans="1:16">
      <c r="A3526" s="5">
        <v>45828</v>
      </c>
      <c r="B3526">
        <v>24</v>
      </c>
      <c r="C3526" t="s">
        <v>31</v>
      </c>
      <c r="D3526">
        <v>2</v>
      </c>
      <c r="E3526">
        <v>100</v>
      </c>
      <c r="F3526" t="s">
        <v>1</v>
      </c>
      <c r="G3526" s="6">
        <v>45859</v>
      </c>
      <c r="H3526">
        <v>31</v>
      </c>
      <c r="I3526">
        <f>ROUND(CompilDonnées[[#This Row],[CultureDuration_days]]/7,0)</f>
        <v>4</v>
      </c>
      <c r="J3526">
        <v>3523</v>
      </c>
      <c r="K3526" t="str">
        <f>_xlfn.CONCAT(WEEKNUM(CompilDonnées[[#This Row],[PlantationDate]]), " ", YEAR(CompilDonnées[[#This Row],[PlantationDate]]))</f>
        <v>25 2025</v>
      </c>
      <c r="L3526" t="str">
        <f>CONCATENATE(MONTH(CompilDonnées[[#This Row],[PlantationDate]])," ", YEAR(CompilDonnées[[#This Row],[PlantationDate]]))</f>
        <v>6 2025</v>
      </c>
      <c r="M3526" t="str">
        <f>CONCATENATE(MONTH(CompilDonnées[[#This Row],[HarvestingDate]])," ", YEAR(CompilDonnées[[#This Row],[HarvestingDate]]))</f>
        <v>7 2025</v>
      </c>
      <c r="N3526">
        <f>_xlfn.NUMBERVALUE(CompilDonnées[[#This Row],[FarmID]]&amp;CompilDonnées[[#This Row],[ModuleNumber]]&amp;CompilDonnées[[#This Row],[PlantationDate]])</f>
        <v>24245828</v>
      </c>
      <c r="O3526" t="str">
        <f>CompilDonnées[[#This Row],[FarmID]]&amp;CompilDonnées[[#This Row],[ModuleNumber]]</f>
        <v>242</v>
      </c>
      <c r="P3526" t="str">
        <f>CompilDonnées[[#This Row],[Ref_Module]]&amp;CompilDonnées[[#This Row],[HarvestingDate]]</f>
        <v>24245859</v>
      </c>
    </row>
    <row r="3527" spans="1:16">
      <c r="A3527" s="5">
        <v>45828</v>
      </c>
      <c r="B3527">
        <v>32</v>
      </c>
      <c r="C3527" t="s">
        <v>25</v>
      </c>
      <c r="D3527">
        <v>1</v>
      </c>
      <c r="E3527">
        <v>100</v>
      </c>
      <c r="F3527" t="s">
        <v>1</v>
      </c>
      <c r="G3527" s="6">
        <v>45875</v>
      </c>
      <c r="H3527">
        <v>47</v>
      </c>
      <c r="I3527">
        <f>ROUND(CompilDonnées[[#This Row],[CultureDuration_days]]/7,0)</f>
        <v>7</v>
      </c>
      <c r="J3527">
        <v>4534</v>
      </c>
      <c r="K3527" t="str">
        <f>_xlfn.CONCAT(WEEKNUM(CompilDonnées[[#This Row],[PlantationDate]]), " ", YEAR(CompilDonnées[[#This Row],[PlantationDate]]))</f>
        <v>25 2025</v>
      </c>
      <c r="L3527" t="str">
        <f>CONCATENATE(MONTH(CompilDonnées[[#This Row],[PlantationDate]])," ", YEAR(CompilDonnées[[#This Row],[PlantationDate]]))</f>
        <v>6 2025</v>
      </c>
      <c r="M3527" t="str">
        <f>CONCATENATE(MONTH(CompilDonnées[[#This Row],[HarvestingDate]])," ", YEAR(CompilDonnées[[#This Row],[HarvestingDate]]))</f>
        <v>8 2025</v>
      </c>
      <c r="N3527">
        <f>_xlfn.NUMBERVALUE(CompilDonnées[[#This Row],[FarmID]]&amp;CompilDonnées[[#This Row],[ModuleNumber]]&amp;CompilDonnées[[#This Row],[PlantationDate]])</f>
        <v>32145828</v>
      </c>
      <c r="O3527" t="str">
        <f>CompilDonnées[[#This Row],[FarmID]]&amp;CompilDonnées[[#This Row],[ModuleNumber]]</f>
        <v>321</v>
      </c>
      <c r="P3527" t="str">
        <f>CompilDonnées[[#This Row],[Ref_Module]]&amp;CompilDonnées[[#This Row],[HarvestingDate]]</f>
        <v>32145875</v>
      </c>
    </row>
    <row r="3528" spans="1:16">
      <c r="A3528" s="5">
        <v>45828</v>
      </c>
      <c r="B3528">
        <v>31</v>
      </c>
      <c r="C3528" t="s">
        <v>62</v>
      </c>
      <c r="D3528">
        <v>6</v>
      </c>
      <c r="E3528">
        <v>100</v>
      </c>
      <c r="F3528" t="s">
        <v>1</v>
      </c>
      <c r="G3528" s="6">
        <v>45869</v>
      </c>
      <c r="H3528">
        <v>41</v>
      </c>
      <c r="I3528">
        <f>ROUND(CompilDonnées[[#This Row],[CultureDuration_days]]/7,0)</f>
        <v>6</v>
      </c>
      <c r="J3528">
        <v>3517</v>
      </c>
      <c r="K3528" t="str">
        <f>_xlfn.CONCAT(WEEKNUM(CompilDonnées[[#This Row],[PlantationDate]]), " ", YEAR(CompilDonnées[[#This Row],[PlantationDate]]))</f>
        <v>25 2025</v>
      </c>
      <c r="L3528" t="str">
        <f>CONCATENATE(MONTH(CompilDonnées[[#This Row],[PlantationDate]])," ", YEAR(CompilDonnées[[#This Row],[PlantationDate]]))</f>
        <v>6 2025</v>
      </c>
      <c r="M3528" t="str">
        <f>CONCATENATE(MONTH(CompilDonnées[[#This Row],[HarvestingDate]])," ", YEAR(CompilDonnées[[#This Row],[HarvestingDate]]))</f>
        <v>7 2025</v>
      </c>
      <c r="N3528">
        <f>_xlfn.NUMBERVALUE(CompilDonnées[[#This Row],[FarmID]]&amp;CompilDonnées[[#This Row],[ModuleNumber]]&amp;CompilDonnées[[#This Row],[PlantationDate]])</f>
        <v>31645828</v>
      </c>
      <c r="O3528" t="str">
        <f>CompilDonnées[[#This Row],[FarmID]]&amp;CompilDonnées[[#This Row],[ModuleNumber]]</f>
        <v>316</v>
      </c>
      <c r="P3528" t="str">
        <f>CompilDonnées[[#This Row],[Ref_Module]]&amp;CompilDonnées[[#This Row],[HarvestingDate]]</f>
        <v>31645869</v>
      </c>
    </row>
    <row r="3529" spans="1:16">
      <c r="A3529" s="5">
        <v>45828</v>
      </c>
      <c r="B3529">
        <v>37</v>
      </c>
      <c r="C3529" t="s">
        <v>26</v>
      </c>
      <c r="D3529">
        <v>6</v>
      </c>
      <c r="E3529">
        <v>100</v>
      </c>
      <c r="F3529" t="s">
        <v>1</v>
      </c>
      <c r="G3529" s="6">
        <v>45878</v>
      </c>
      <c r="H3529">
        <v>50</v>
      </c>
      <c r="I3529">
        <f>ROUND(CompilDonnées[[#This Row],[CultureDuration_days]]/7,0)</f>
        <v>7</v>
      </c>
      <c r="J3529">
        <v>4591</v>
      </c>
      <c r="K3529" t="str">
        <f>_xlfn.CONCAT(WEEKNUM(CompilDonnées[[#This Row],[PlantationDate]]), " ", YEAR(CompilDonnées[[#This Row],[PlantationDate]]))</f>
        <v>25 2025</v>
      </c>
      <c r="L3529" t="str">
        <f>CONCATENATE(MONTH(CompilDonnées[[#This Row],[PlantationDate]])," ", YEAR(CompilDonnées[[#This Row],[PlantationDate]]))</f>
        <v>6 2025</v>
      </c>
      <c r="M3529" t="str">
        <f>CONCATENATE(MONTH(CompilDonnées[[#This Row],[HarvestingDate]])," ", YEAR(CompilDonnées[[#This Row],[HarvestingDate]]))</f>
        <v>8 2025</v>
      </c>
      <c r="N3529">
        <f>_xlfn.NUMBERVALUE(CompilDonnées[[#This Row],[FarmID]]&amp;CompilDonnées[[#This Row],[ModuleNumber]]&amp;CompilDonnées[[#This Row],[PlantationDate]])</f>
        <v>37645828</v>
      </c>
      <c r="O3529" t="str">
        <f>CompilDonnées[[#This Row],[FarmID]]&amp;CompilDonnées[[#This Row],[ModuleNumber]]</f>
        <v>376</v>
      </c>
      <c r="P3529" t="str">
        <f>CompilDonnées[[#This Row],[Ref_Module]]&amp;CompilDonnées[[#This Row],[HarvestingDate]]</f>
        <v>37645878</v>
      </c>
    </row>
    <row r="3530" spans="1:16">
      <c r="A3530" s="5">
        <v>45828</v>
      </c>
      <c r="B3530">
        <v>44</v>
      </c>
      <c r="C3530" t="s">
        <v>42</v>
      </c>
      <c r="D3530">
        <v>5</v>
      </c>
      <c r="E3530">
        <v>100</v>
      </c>
      <c r="F3530" t="s">
        <v>1</v>
      </c>
      <c r="G3530" s="6">
        <v>45868</v>
      </c>
      <c r="H3530">
        <v>40</v>
      </c>
      <c r="I3530">
        <f>ROUND(CompilDonnées[[#This Row],[CultureDuration_days]]/7,0)</f>
        <v>6</v>
      </c>
      <c r="J3530">
        <v>3098</v>
      </c>
      <c r="K3530" t="str">
        <f>_xlfn.CONCAT(WEEKNUM(CompilDonnées[[#This Row],[PlantationDate]]), " ", YEAR(CompilDonnées[[#This Row],[PlantationDate]]))</f>
        <v>25 2025</v>
      </c>
      <c r="L3530" t="str">
        <f>CONCATENATE(MONTH(CompilDonnées[[#This Row],[PlantationDate]])," ", YEAR(CompilDonnées[[#This Row],[PlantationDate]]))</f>
        <v>6 2025</v>
      </c>
      <c r="M3530" t="str">
        <f>CONCATENATE(MONTH(CompilDonnées[[#This Row],[HarvestingDate]])," ", YEAR(CompilDonnées[[#This Row],[HarvestingDate]]))</f>
        <v>7 2025</v>
      </c>
      <c r="N3530">
        <f>_xlfn.NUMBERVALUE(CompilDonnées[[#This Row],[FarmID]]&amp;CompilDonnées[[#This Row],[ModuleNumber]]&amp;CompilDonnées[[#This Row],[PlantationDate]])</f>
        <v>44545828</v>
      </c>
      <c r="O3530" t="str">
        <f>CompilDonnées[[#This Row],[FarmID]]&amp;CompilDonnées[[#This Row],[ModuleNumber]]</f>
        <v>445</v>
      </c>
      <c r="P3530" t="str">
        <f>CompilDonnées[[#This Row],[Ref_Module]]&amp;CompilDonnées[[#This Row],[HarvestingDate]]</f>
        <v>44545868</v>
      </c>
    </row>
    <row r="3531" spans="1:16">
      <c r="A3531" s="5">
        <v>45828</v>
      </c>
      <c r="B3531">
        <v>42</v>
      </c>
      <c r="C3531" t="s">
        <v>2</v>
      </c>
      <c r="D3531">
        <v>6</v>
      </c>
      <c r="E3531">
        <v>100</v>
      </c>
      <c r="F3531" t="s">
        <v>1</v>
      </c>
      <c r="G3531" s="6">
        <v>45868</v>
      </c>
      <c r="H3531">
        <v>40</v>
      </c>
      <c r="I3531">
        <f>ROUND(CompilDonnées[[#This Row],[CultureDuration_days]]/7,0)</f>
        <v>6</v>
      </c>
      <c r="J3531">
        <v>3363</v>
      </c>
      <c r="K3531" t="str">
        <f>_xlfn.CONCAT(WEEKNUM(CompilDonnées[[#This Row],[PlantationDate]]), " ", YEAR(CompilDonnées[[#This Row],[PlantationDate]]))</f>
        <v>25 2025</v>
      </c>
      <c r="L3531" t="str">
        <f>CONCATENATE(MONTH(CompilDonnées[[#This Row],[PlantationDate]])," ", YEAR(CompilDonnées[[#This Row],[PlantationDate]]))</f>
        <v>6 2025</v>
      </c>
      <c r="M3531" t="str">
        <f>CONCATENATE(MONTH(CompilDonnées[[#This Row],[HarvestingDate]])," ", YEAR(CompilDonnées[[#This Row],[HarvestingDate]]))</f>
        <v>7 2025</v>
      </c>
      <c r="N3531">
        <f>_xlfn.NUMBERVALUE(CompilDonnées[[#This Row],[FarmID]]&amp;CompilDonnées[[#This Row],[ModuleNumber]]&amp;CompilDonnées[[#This Row],[PlantationDate]])</f>
        <v>42645828</v>
      </c>
      <c r="O3531" t="str">
        <f>CompilDonnées[[#This Row],[FarmID]]&amp;CompilDonnées[[#This Row],[ModuleNumber]]</f>
        <v>426</v>
      </c>
      <c r="P3531" t="str">
        <f>CompilDonnées[[#This Row],[Ref_Module]]&amp;CompilDonnées[[#This Row],[HarvestingDate]]</f>
        <v>42645868</v>
      </c>
    </row>
    <row r="3532" spans="1:16">
      <c r="A3532" s="5">
        <v>45828</v>
      </c>
      <c r="B3532">
        <v>59</v>
      </c>
      <c r="C3532" t="s">
        <v>64</v>
      </c>
      <c r="D3532">
        <v>3</v>
      </c>
      <c r="E3532">
        <v>100</v>
      </c>
      <c r="F3532" t="s">
        <v>1</v>
      </c>
      <c r="G3532" s="6">
        <v>45868</v>
      </c>
      <c r="H3532">
        <v>40</v>
      </c>
      <c r="I3532">
        <f>ROUND(CompilDonnées[[#This Row],[CultureDuration_days]]/7,0)</f>
        <v>6</v>
      </c>
      <c r="J3532">
        <v>3420</v>
      </c>
      <c r="K3532" t="str">
        <f>_xlfn.CONCAT(WEEKNUM(CompilDonnées[[#This Row],[PlantationDate]]), " ", YEAR(CompilDonnées[[#This Row],[PlantationDate]]))</f>
        <v>25 2025</v>
      </c>
      <c r="L3532" t="str">
        <f>CONCATENATE(MONTH(CompilDonnées[[#This Row],[PlantationDate]])," ", YEAR(CompilDonnées[[#This Row],[PlantationDate]]))</f>
        <v>6 2025</v>
      </c>
      <c r="M3532" t="str">
        <f>CONCATENATE(MONTH(CompilDonnées[[#This Row],[HarvestingDate]])," ", YEAR(CompilDonnées[[#This Row],[HarvestingDate]]))</f>
        <v>7 2025</v>
      </c>
      <c r="N3532">
        <f>_xlfn.NUMBERVALUE(CompilDonnées[[#This Row],[FarmID]]&amp;CompilDonnées[[#This Row],[ModuleNumber]]&amp;CompilDonnées[[#This Row],[PlantationDate]])</f>
        <v>59345828</v>
      </c>
      <c r="O3532" t="str">
        <f>CompilDonnées[[#This Row],[FarmID]]&amp;CompilDonnées[[#This Row],[ModuleNumber]]</f>
        <v>593</v>
      </c>
      <c r="P3532" t="str">
        <f>CompilDonnées[[#This Row],[Ref_Module]]&amp;CompilDonnées[[#This Row],[HarvestingDate]]</f>
        <v>59345868</v>
      </c>
    </row>
    <row r="3533" spans="1:16">
      <c r="A3533" s="5">
        <v>45828</v>
      </c>
      <c r="B3533">
        <v>59</v>
      </c>
      <c r="C3533" t="s">
        <v>64</v>
      </c>
      <c r="D3533">
        <v>4</v>
      </c>
      <c r="E3533">
        <v>100</v>
      </c>
      <c r="F3533" t="s">
        <v>1</v>
      </c>
      <c r="G3533" s="6">
        <v>45877</v>
      </c>
      <c r="H3533">
        <v>49</v>
      </c>
      <c r="I3533">
        <f>ROUND(CompilDonnées[[#This Row],[CultureDuration_days]]/7,0)</f>
        <v>7</v>
      </c>
      <c r="J3533">
        <v>4037</v>
      </c>
      <c r="K3533" t="str">
        <f>_xlfn.CONCAT(WEEKNUM(CompilDonnées[[#This Row],[PlantationDate]]), " ", YEAR(CompilDonnées[[#This Row],[PlantationDate]]))</f>
        <v>25 2025</v>
      </c>
      <c r="L3533" t="str">
        <f>CONCATENATE(MONTH(CompilDonnées[[#This Row],[PlantationDate]])," ", YEAR(CompilDonnées[[#This Row],[PlantationDate]]))</f>
        <v>6 2025</v>
      </c>
      <c r="M3533" t="str">
        <f>CONCATENATE(MONTH(CompilDonnées[[#This Row],[HarvestingDate]])," ", YEAR(CompilDonnées[[#This Row],[HarvestingDate]]))</f>
        <v>8 2025</v>
      </c>
      <c r="N3533">
        <f>_xlfn.NUMBERVALUE(CompilDonnées[[#This Row],[FarmID]]&amp;CompilDonnées[[#This Row],[ModuleNumber]]&amp;CompilDonnées[[#This Row],[PlantationDate]])</f>
        <v>59445828</v>
      </c>
      <c r="O3533" t="str">
        <f>CompilDonnées[[#This Row],[FarmID]]&amp;CompilDonnées[[#This Row],[ModuleNumber]]</f>
        <v>594</v>
      </c>
      <c r="P3533" t="str">
        <f>CompilDonnées[[#This Row],[Ref_Module]]&amp;CompilDonnées[[#This Row],[HarvestingDate]]</f>
        <v>59445877</v>
      </c>
    </row>
    <row r="3534" spans="1:16">
      <c r="A3534" s="5">
        <v>45828</v>
      </c>
      <c r="B3534">
        <v>80</v>
      </c>
      <c r="C3534" t="s">
        <v>29</v>
      </c>
      <c r="D3534">
        <v>3</v>
      </c>
      <c r="E3534">
        <v>100</v>
      </c>
      <c r="F3534" t="s">
        <v>1</v>
      </c>
      <c r="G3534" s="6">
        <v>45867</v>
      </c>
      <c r="H3534">
        <v>39</v>
      </c>
      <c r="I3534">
        <f>ROUND(CompilDonnées[[#This Row],[CultureDuration_days]]/7,0)</f>
        <v>6</v>
      </c>
      <c r="J3534">
        <v>3890</v>
      </c>
      <c r="K3534" t="str">
        <f>_xlfn.CONCAT(WEEKNUM(CompilDonnées[[#This Row],[PlantationDate]]), " ", YEAR(CompilDonnées[[#This Row],[PlantationDate]]))</f>
        <v>25 2025</v>
      </c>
      <c r="L3534" t="str">
        <f>CONCATENATE(MONTH(CompilDonnées[[#This Row],[PlantationDate]])," ", YEAR(CompilDonnées[[#This Row],[PlantationDate]]))</f>
        <v>6 2025</v>
      </c>
      <c r="M3534" t="str">
        <f>CONCATENATE(MONTH(CompilDonnées[[#This Row],[HarvestingDate]])," ", YEAR(CompilDonnées[[#This Row],[HarvestingDate]]))</f>
        <v>7 2025</v>
      </c>
      <c r="N3534">
        <f>_xlfn.NUMBERVALUE(CompilDonnées[[#This Row],[FarmID]]&amp;CompilDonnées[[#This Row],[ModuleNumber]]&amp;CompilDonnées[[#This Row],[PlantationDate]])</f>
        <v>80345828</v>
      </c>
      <c r="O3534" t="str">
        <f>CompilDonnées[[#This Row],[FarmID]]&amp;CompilDonnées[[#This Row],[ModuleNumber]]</f>
        <v>803</v>
      </c>
      <c r="P3534" t="str">
        <f>CompilDonnées[[#This Row],[Ref_Module]]&amp;CompilDonnées[[#This Row],[HarvestingDate]]</f>
        <v>80345867</v>
      </c>
    </row>
    <row r="3535" spans="1:16">
      <c r="A3535" s="5">
        <v>45828</v>
      </c>
      <c r="B3535">
        <v>83</v>
      </c>
      <c r="C3535" t="s">
        <v>73</v>
      </c>
      <c r="D3535">
        <v>3</v>
      </c>
      <c r="E3535">
        <v>100</v>
      </c>
      <c r="F3535" t="s">
        <v>1</v>
      </c>
      <c r="G3535" s="6">
        <v>45867</v>
      </c>
      <c r="H3535">
        <v>39</v>
      </c>
      <c r="I3535">
        <f>ROUND(CompilDonnées[[#This Row],[CultureDuration_days]]/7,0)</f>
        <v>6</v>
      </c>
      <c r="J3535">
        <v>2635</v>
      </c>
      <c r="K3535" t="str">
        <f>_xlfn.CONCAT(WEEKNUM(CompilDonnées[[#This Row],[PlantationDate]]), " ", YEAR(CompilDonnées[[#This Row],[PlantationDate]]))</f>
        <v>25 2025</v>
      </c>
      <c r="L3535" t="str">
        <f>CONCATENATE(MONTH(CompilDonnées[[#This Row],[PlantationDate]])," ", YEAR(CompilDonnées[[#This Row],[PlantationDate]]))</f>
        <v>6 2025</v>
      </c>
      <c r="M3535" t="str">
        <f>CONCATENATE(MONTH(CompilDonnées[[#This Row],[HarvestingDate]])," ", YEAR(CompilDonnées[[#This Row],[HarvestingDate]]))</f>
        <v>7 2025</v>
      </c>
      <c r="N3535">
        <f>_xlfn.NUMBERVALUE(CompilDonnées[[#This Row],[FarmID]]&amp;CompilDonnées[[#This Row],[ModuleNumber]]&amp;CompilDonnées[[#This Row],[PlantationDate]])</f>
        <v>83345828</v>
      </c>
      <c r="O3535" t="str">
        <f>CompilDonnées[[#This Row],[FarmID]]&amp;CompilDonnées[[#This Row],[ModuleNumber]]</f>
        <v>833</v>
      </c>
      <c r="P3535" t="str">
        <f>CompilDonnées[[#This Row],[Ref_Module]]&amp;CompilDonnées[[#This Row],[HarvestingDate]]</f>
        <v>83345867</v>
      </c>
    </row>
    <row r="3536" spans="1:16">
      <c r="A3536" s="5">
        <v>45828</v>
      </c>
      <c r="B3536">
        <v>84</v>
      </c>
      <c r="C3536" t="s">
        <v>65</v>
      </c>
      <c r="D3536">
        <v>4</v>
      </c>
      <c r="E3536">
        <v>100</v>
      </c>
      <c r="F3536" t="s">
        <v>1</v>
      </c>
      <c r="G3536" s="6">
        <v>45880</v>
      </c>
      <c r="H3536">
        <v>52</v>
      </c>
      <c r="I3536">
        <f>ROUND(CompilDonnées[[#This Row],[CultureDuration_days]]/7,0)</f>
        <v>7</v>
      </c>
      <c r="J3536">
        <v>3326</v>
      </c>
      <c r="K3536" t="str">
        <f>_xlfn.CONCAT(WEEKNUM(CompilDonnées[[#This Row],[PlantationDate]]), " ", YEAR(CompilDonnées[[#This Row],[PlantationDate]]))</f>
        <v>25 2025</v>
      </c>
      <c r="L3536" t="str">
        <f>CONCATENATE(MONTH(CompilDonnées[[#This Row],[PlantationDate]])," ", YEAR(CompilDonnées[[#This Row],[PlantationDate]]))</f>
        <v>6 2025</v>
      </c>
      <c r="M3536" t="str">
        <f>CONCATENATE(MONTH(CompilDonnées[[#This Row],[HarvestingDate]])," ", YEAR(CompilDonnées[[#This Row],[HarvestingDate]]))</f>
        <v>8 2025</v>
      </c>
      <c r="N3536">
        <f>_xlfn.NUMBERVALUE(CompilDonnées[[#This Row],[FarmID]]&amp;CompilDonnées[[#This Row],[ModuleNumber]]&amp;CompilDonnées[[#This Row],[PlantationDate]])</f>
        <v>84445828</v>
      </c>
      <c r="O3536" t="str">
        <f>CompilDonnées[[#This Row],[FarmID]]&amp;CompilDonnées[[#This Row],[ModuleNumber]]</f>
        <v>844</v>
      </c>
      <c r="P3536" t="str">
        <f>CompilDonnées[[#This Row],[Ref_Module]]&amp;CompilDonnées[[#This Row],[HarvestingDate]]</f>
        <v>84445880</v>
      </c>
    </row>
    <row r="3537" spans="1:16">
      <c r="A3537" s="5">
        <v>45828</v>
      </c>
      <c r="B3537">
        <v>72</v>
      </c>
      <c r="C3537" t="s">
        <v>49</v>
      </c>
      <c r="D3537">
        <v>2</v>
      </c>
      <c r="E3537">
        <v>100</v>
      </c>
      <c r="F3537" t="s">
        <v>1</v>
      </c>
      <c r="G3537" s="6">
        <v>45876</v>
      </c>
      <c r="H3537">
        <v>48</v>
      </c>
      <c r="I3537">
        <f>ROUND(CompilDonnées[[#This Row],[CultureDuration_days]]/7,0)</f>
        <v>7</v>
      </c>
      <c r="J3537">
        <v>3238</v>
      </c>
      <c r="K3537" t="str">
        <f>_xlfn.CONCAT(WEEKNUM(CompilDonnées[[#This Row],[PlantationDate]]), " ", YEAR(CompilDonnées[[#This Row],[PlantationDate]]))</f>
        <v>25 2025</v>
      </c>
      <c r="L3537" t="str">
        <f>CONCATENATE(MONTH(CompilDonnées[[#This Row],[PlantationDate]])," ", YEAR(CompilDonnées[[#This Row],[PlantationDate]]))</f>
        <v>6 2025</v>
      </c>
      <c r="M3537" t="str">
        <f>CONCATENATE(MONTH(CompilDonnées[[#This Row],[HarvestingDate]])," ", YEAR(CompilDonnées[[#This Row],[HarvestingDate]]))</f>
        <v>8 2025</v>
      </c>
      <c r="N3537">
        <f>_xlfn.NUMBERVALUE(CompilDonnées[[#This Row],[FarmID]]&amp;CompilDonnées[[#This Row],[ModuleNumber]]&amp;CompilDonnées[[#This Row],[PlantationDate]])</f>
        <v>72245828</v>
      </c>
      <c r="O3537" t="str">
        <f>CompilDonnées[[#This Row],[FarmID]]&amp;CompilDonnées[[#This Row],[ModuleNumber]]</f>
        <v>722</v>
      </c>
      <c r="P3537" t="str">
        <f>CompilDonnées[[#This Row],[Ref_Module]]&amp;CompilDonnées[[#This Row],[HarvestingDate]]</f>
        <v>72245876</v>
      </c>
    </row>
    <row r="3538" spans="1:16">
      <c r="A3538" s="5">
        <v>45828</v>
      </c>
      <c r="B3538">
        <v>68</v>
      </c>
      <c r="C3538" t="s">
        <v>89</v>
      </c>
      <c r="D3538">
        <v>1</v>
      </c>
      <c r="E3538">
        <v>100</v>
      </c>
      <c r="F3538" t="s">
        <v>1</v>
      </c>
      <c r="G3538" s="6">
        <v>45867</v>
      </c>
      <c r="H3538">
        <v>39</v>
      </c>
      <c r="I3538">
        <f>ROUND(CompilDonnées[[#This Row],[CultureDuration_days]]/7,0)</f>
        <v>6</v>
      </c>
      <c r="J3538">
        <v>3285</v>
      </c>
      <c r="K3538" t="str">
        <f>_xlfn.CONCAT(WEEKNUM(CompilDonnées[[#This Row],[PlantationDate]]), " ", YEAR(CompilDonnées[[#This Row],[PlantationDate]]))</f>
        <v>25 2025</v>
      </c>
      <c r="L3538" t="str">
        <f>CONCATENATE(MONTH(CompilDonnées[[#This Row],[PlantationDate]])," ", YEAR(CompilDonnées[[#This Row],[PlantationDate]]))</f>
        <v>6 2025</v>
      </c>
      <c r="M3538" t="str">
        <f>CONCATENATE(MONTH(CompilDonnées[[#This Row],[HarvestingDate]])," ", YEAR(CompilDonnées[[#This Row],[HarvestingDate]]))</f>
        <v>7 2025</v>
      </c>
      <c r="N3538">
        <f>_xlfn.NUMBERVALUE(CompilDonnées[[#This Row],[FarmID]]&amp;CompilDonnées[[#This Row],[ModuleNumber]]&amp;CompilDonnées[[#This Row],[PlantationDate]])</f>
        <v>68145828</v>
      </c>
      <c r="O3538" t="str">
        <f>CompilDonnées[[#This Row],[FarmID]]&amp;CompilDonnées[[#This Row],[ModuleNumber]]</f>
        <v>681</v>
      </c>
      <c r="P3538" t="str">
        <f>CompilDonnées[[#This Row],[Ref_Module]]&amp;CompilDonnées[[#This Row],[HarvestingDate]]</f>
        <v>68145867</v>
      </c>
    </row>
    <row r="3539" spans="1:16">
      <c r="A3539" s="5">
        <v>45828</v>
      </c>
      <c r="B3539">
        <v>82</v>
      </c>
      <c r="C3539" t="s">
        <v>17</v>
      </c>
      <c r="D3539">
        <v>4</v>
      </c>
      <c r="E3539">
        <v>100</v>
      </c>
      <c r="F3539" t="s">
        <v>1</v>
      </c>
      <c r="G3539" s="6">
        <v>45867</v>
      </c>
      <c r="H3539">
        <v>39</v>
      </c>
      <c r="I3539">
        <f>ROUND(CompilDonnées[[#This Row],[CultureDuration_days]]/7,0)</f>
        <v>6</v>
      </c>
      <c r="J3539">
        <v>4024</v>
      </c>
      <c r="K3539" t="str">
        <f>_xlfn.CONCAT(WEEKNUM(CompilDonnées[[#This Row],[PlantationDate]]), " ", YEAR(CompilDonnées[[#This Row],[PlantationDate]]))</f>
        <v>25 2025</v>
      </c>
      <c r="L3539" t="str">
        <f>CONCATENATE(MONTH(CompilDonnées[[#This Row],[PlantationDate]])," ", YEAR(CompilDonnées[[#This Row],[PlantationDate]]))</f>
        <v>6 2025</v>
      </c>
      <c r="M3539" t="str">
        <f>CONCATENATE(MONTH(CompilDonnées[[#This Row],[HarvestingDate]])," ", YEAR(CompilDonnées[[#This Row],[HarvestingDate]]))</f>
        <v>7 2025</v>
      </c>
      <c r="N3539">
        <f>_xlfn.NUMBERVALUE(CompilDonnées[[#This Row],[FarmID]]&amp;CompilDonnées[[#This Row],[ModuleNumber]]&amp;CompilDonnées[[#This Row],[PlantationDate]])</f>
        <v>82445828</v>
      </c>
      <c r="O3539" t="str">
        <f>CompilDonnées[[#This Row],[FarmID]]&amp;CompilDonnées[[#This Row],[ModuleNumber]]</f>
        <v>824</v>
      </c>
      <c r="P3539" t="str">
        <f>CompilDonnées[[#This Row],[Ref_Module]]&amp;CompilDonnées[[#This Row],[HarvestingDate]]</f>
        <v>82445867</v>
      </c>
    </row>
    <row r="3540" spans="1:16">
      <c r="A3540" s="5">
        <v>45828</v>
      </c>
      <c r="B3540">
        <v>74</v>
      </c>
      <c r="C3540" t="s">
        <v>21</v>
      </c>
      <c r="D3540">
        <v>3</v>
      </c>
      <c r="E3540">
        <v>100</v>
      </c>
      <c r="F3540" t="s">
        <v>1</v>
      </c>
      <c r="G3540" s="6">
        <v>45867</v>
      </c>
      <c r="H3540">
        <v>39</v>
      </c>
      <c r="I3540">
        <f>ROUND(CompilDonnées[[#This Row],[CultureDuration_days]]/7,0)</f>
        <v>6</v>
      </c>
      <c r="J3540">
        <v>2909</v>
      </c>
      <c r="K3540" t="str">
        <f>_xlfn.CONCAT(WEEKNUM(CompilDonnées[[#This Row],[PlantationDate]]), " ", YEAR(CompilDonnées[[#This Row],[PlantationDate]]))</f>
        <v>25 2025</v>
      </c>
      <c r="L3540" t="str">
        <f>CONCATENATE(MONTH(CompilDonnées[[#This Row],[PlantationDate]])," ", YEAR(CompilDonnées[[#This Row],[PlantationDate]]))</f>
        <v>6 2025</v>
      </c>
      <c r="M3540" t="str">
        <f>CONCATENATE(MONTH(CompilDonnées[[#This Row],[HarvestingDate]])," ", YEAR(CompilDonnées[[#This Row],[HarvestingDate]]))</f>
        <v>7 2025</v>
      </c>
      <c r="N3540">
        <f>_xlfn.NUMBERVALUE(CompilDonnées[[#This Row],[FarmID]]&amp;CompilDonnées[[#This Row],[ModuleNumber]]&amp;CompilDonnées[[#This Row],[PlantationDate]])</f>
        <v>74345828</v>
      </c>
      <c r="O3540" t="str">
        <f>CompilDonnées[[#This Row],[FarmID]]&amp;CompilDonnées[[#This Row],[ModuleNumber]]</f>
        <v>743</v>
      </c>
      <c r="P3540" t="str">
        <f>CompilDonnées[[#This Row],[Ref_Module]]&amp;CompilDonnées[[#This Row],[HarvestingDate]]</f>
        <v>74345867</v>
      </c>
    </row>
    <row r="3541" spans="1:16">
      <c r="A3541" s="5">
        <v>45828</v>
      </c>
      <c r="B3541">
        <v>87</v>
      </c>
      <c r="C3541" t="s">
        <v>38</v>
      </c>
      <c r="D3541">
        <v>2</v>
      </c>
      <c r="E3541">
        <v>100</v>
      </c>
      <c r="F3541" t="s">
        <v>1</v>
      </c>
      <c r="G3541" s="6">
        <v>45867</v>
      </c>
      <c r="H3541">
        <v>39</v>
      </c>
      <c r="I3541">
        <f>ROUND(CompilDonnées[[#This Row],[CultureDuration_days]]/7,0)</f>
        <v>6</v>
      </c>
      <c r="J3541">
        <v>2985</v>
      </c>
      <c r="K3541" t="str">
        <f>_xlfn.CONCAT(WEEKNUM(CompilDonnées[[#This Row],[PlantationDate]]), " ", YEAR(CompilDonnées[[#This Row],[PlantationDate]]))</f>
        <v>25 2025</v>
      </c>
      <c r="L3541" t="str">
        <f>CONCATENATE(MONTH(CompilDonnées[[#This Row],[PlantationDate]])," ", YEAR(CompilDonnées[[#This Row],[PlantationDate]]))</f>
        <v>6 2025</v>
      </c>
      <c r="M3541" t="str">
        <f>CONCATENATE(MONTH(CompilDonnées[[#This Row],[HarvestingDate]])," ", YEAR(CompilDonnées[[#This Row],[HarvestingDate]]))</f>
        <v>7 2025</v>
      </c>
      <c r="N3541">
        <f>_xlfn.NUMBERVALUE(CompilDonnées[[#This Row],[FarmID]]&amp;CompilDonnées[[#This Row],[ModuleNumber]]&amp;CompilDonnées[[#This Row],[PlantationDate]])</f>
        <v>87245828</v>
      </c>
      <c r="O3541" t="str">
        <f>CompilDonnées[[#This Row],[FarmID]]&amp;CompilDonnées[[#This Row],[ModuleNumber]]</f>
        <v>872</v>
      </c>
      <c r="P3541" t="str">
        <f>CompilDonnées[[#This Row],[Ref_Module]]&amp;CompilDonnées[[#This Row],[HarvestingDate]]</f>
        <v>87245867</v>
      </c>
    </row>
    <row r="3542" spans="1:16">
      <c r="A3542" s="5">
        <v>45828</v>
      </c>
      <c r="B3542">
        <v>90</v>
      </c>
      <c r="C3542" t="s">
        <v>72</v>
      </c>
      <c r="D3542">
        <v>4</v>
      </c>
      <c r="E3542">
        <v>100</v>
      </c>
      <c r="F3542" t="s">
        <v>1</v>
      </c>
      <c r="G3542" s="6">
        <v>45867</v>
      </c>
      <c r="H3542">
        <v>39</v>
      </c>
      <c r="I3542">
        <f>ROUND(CompilDonnées[[#This Row],[CultureDuration_days]]/7,0)</f>
        <v>6</v>
      </c>
      <c r="J3542">
        <v>2242</v>
      </c>
      <c r="K3542" t="str">
        <f>_xlfn.CONCAT(WEEKNUM(CompilDonnées[[#This Row],[PlantationDate]]), " ", YEAR(CompilDonnées[[#This Row],[PlantationDate]]))</f>
        <v>25 2025</v>
      </c>
      <c r="L3542" t="str">
        <f>CONCATENATE(MONTH(CompilDonnées[[#This Row],[PlantationDate]])," ", YEAR(CompilDonnées[[#This Row],[PlantationDate]]))</f>
        <v>6 2025</v>
      </c>
      <c r="M3542" t="str">
        <f>CONCATENATE(MONTH(CompilDonnées[[#This Row],[HarvestingDate]])," ", YEAR(CompilDonnées[[#This Row],[HarvestingDate]]))</f>
        <v>7 2025</v>
      </c>
      <c r="N3542">
        <f>_xlfn.NUMBERVALUE(CompilDonnées[[#This Row],[FarmID]]&amp;CompilDonnées[[#This Row],[ModuleNumber]]&amp;CompilDonnées[[#This Row],[PlantationDate]])</f>
        <v>90445828</v>
      </c>
      <c r="O3542" t="str">
        <f>CompilDonnées[[#This Row],[FarmID]]&amp;CompilDonnées[[#This Row],[ModuleNumber]]</f>
        <v>904</v>
      </c>
      <c r="P3542" t="str">
        <f>CompilDonnées[[#This Row],[Ref_Module]]&amp;CompilDonnées[[#This Row],[HarvestingDate]]</f>
        <v>90445867</v>
      </c>
    </row>
    <row r="3543" spans="1:16">
      <c r="A3543" s="5">
        <v>45828</v>
      </c>
      <c r="B3543">
        <v>91</v>
      </c>
      <c r="C3543" t="s">
        <v>9</v>
      </c>
      <c r="D3543">
        <v>5</v>
      </c>
      <c r="E3543">
        <v>100</v>
      </c>
      <c r="F3543" t="s">
        <v>1</v>
      </c>
      <c r="G3543" s="6">
        <v>45877</v>
      </c>
      <c r="H3543">
        <v>49</v>
      </c>
      <c r="I3543">
        <f>ROUND(CompilDonnées[[#This Row],[CultureDuration_days]]/7,0)</f>
        <v>7</v>
      </c>
      <c r="J3543">
        <v>3531</v>
      </c>
      <c r="K3543" t="str">
        <f>_xlfn.CONCAT(WEEKNUM(CompilDonnées[[#This Row],[PlantationDate]]), " ", YEAR(CompilDonnées[[#This Row],[PlantationDate]]))</f>
        <v>25 2025</v>
      </c>
      <c r="L3543" t="str">
        <f>CONCATENATE(MONTH(CompilDonnées[[#This Row],[PlantationDate]])," ", YEAR(CompilDonnées[[#This Row],[PlantationDate]]))</f>
        <v>6 2025</v>
      </c>
      <c r="M3543" t="str">
        <f>CONCATENATE(MONTH(CompilDonnées[[#This Row],[HarvestingDate]])," ", YEAR(CompilDonnées[[#This Row],[HarvestingDate]]))</f>
        <v>8 2025</v>
      </c>
      <c r="N3543">
        <f>_xlfn.NUMBERVALUE(CompilDonnées[[#This Row],[FarmID]]&amp;CompilDonnées[[#This Row],[ModuleNumber]]&amp;CompilDonnées[[#This Row],[PlantationDate]])</f>
        <v>91545828</v>
      </c>
      <c r="O3543" t="str">
        <f>CompilDonnées[[#This Row],[FarmID]]&amp;CompilDonnées[[#This Row],[ModuleNumber]]</f>
        <v>915</v>
      </c>
      <c r="P3543" t="str">
        <f>CompilDonnées[[#This Row],[Ref_Module]]&amp;CompilDonnées[[#This Row],[HarvestingDate]]</f>
        <v>91545877</v>
      </c>
    </row>
    <row r="3544" spans="1:16">
      <c r="A3544" s="5">
        <v>45828</v>
      </c>
      <c r="B3544">
        <v>92</v>
      </c>
      <c r="C3544" t="s">
        <v>66</v>
      </c>
      <c r="D3544">
        <v>3</v>
      </c>
      <c r="E3544">
        <v>100</v>
      </c>
      <c r="F3544" t="s">
        <v>1</v>
      </c>
      <c r="G3544" s="6">
        <v>45866</v>
      </c>
      <c r="H3544">
        <v>38</v>
      </c>
      <c r="I3544">
        <f>ROUND(CompilDonnées[[#This Row],[CultureDuration_days]]/7,0)</f>
        <v>5</v>
      </c>
      <c r="J3544">
        <v>2966</v>
      </c>
      <c r="K3544" t="str">
        <f>_xlfn.CONCAT(WEEKNUM(CompilDonnées[[#This Row],[PlantationDate]]), " ", YEAR(CompilDonnées[[#This Row],[PlantationDate]]))</f>
        <v>25 2025</v>
      </c>
      <c r="L3544" t="str">
        <f>CONCATENATE(MONTH(CompilDonnées[[#This Row],[PlantationDate]])," ", YEAR(CompilDonnées[[#This Row],[PlantationDate]]))</f>
        <v>6 2025</v>
      </c>
      <c r="M3544" t="str">
        <f>CONCATENATE(MONTH(CompilDonnées[[#This Row],[HarvestingDate]])," ", YEAR(CompilDonnées[[#This Row],[HarvestingDate]]))</f>
        <v>7 2025</v>
      </c>
      <c r="N3544">
        <f>_xlfn.NUMBERVALUE(CompilDonnées[[#This Row],[FarmID]]&amp;CompilDonnées[[#This Row],[ModuleNumber]]&amp;CompilDonnées[[#This Row],[PlantationDate]])</f>
        <v>92345828</v>
      </c>
      <c r="O3544" t="str">
        <f>CompilDonnées[[#This Row],[FarmID]]&amp;CompilDonnées[[#This Row],[ModuleNumber]]</f>
        <v>923</v>
      </c>
      <c r="P3544" t="str">
        <f>CompilDonnées[[#This Row],[Ref_Module]]&amp;CompilDonnées[[#This Row],[HarvestingDate]]</f>
        <v>92345866</v>
      </c>
    </row>
    <row r="3545" spans="1:16">
      <c r="A3545" s="5">
        <v>45828</v>
      </c>
      <c r="B3545">
        <v>95</v>
      </c>
      <c r="C3545" t="s">
        <v>90</v>
      </c>
      <c r="D3545">
        <v>4</v>
      </c>
      <c r="E3545">
        <v>100</v>
      </c>
      <c r="F3545" t="s">
        <v>1</v>
      </c>
      <c r="G3545" s="6">
        <v>45866</v>
      </c>
      <c r="H3545">
        <v>38</v>
      </c>
      <c r="I3545">
        <f>ROUND(CompilDonnées[[#This Row],[CultureDuration_days]]/7,0)</f>
        <v>5</v>
      </c>
      <c r="J3545">
        <v>2289</v>
      </c>
      <c r="K3545" t="str">
        <f>_xlfn.CONCAT(WEEKNUM(CompilDonnées[[#This Row],[PlantationDate]]), " ", YEAR(CompilDonnées[[#This Row],[PlantationDate]]))</f>
        <v>25 2025</v>
      </c>
      <c r="L3545" t="str">
        <f>CONCATENATE(MONTH(CompilDonnées[[#This Row],[PlantationDate]])," ", YEAR(CompilDonnées[[#This Row],[PlantationDate]]))</f>
        <v>6 2025</v>
      </c>
      <c r="M3545" t="str">
        <f>CONCATENATE(MONTH(CompilDonnées[[#This Row],[HarvestingDate]])," ", YEAR(CompilDonnées[[#This Row],[HarvestingDate]]))</f>
        <v>7 2025</v>
      </c>
      <c r="N3545">
        <f>_xlfn.NUMBERVALUE(CompilDonnées[[#This Row],[FarmID]]&amp;CompilDonnées[[#This Row],[ModuleNumber]]&amp;CompilDonnées[[#This Row],[PlantationDate]])</f>
        <v>95445828</v>
      </c>
      <c r="O3545" t="str">
        <f>CompilDonnées[[#This Row],[FarmID]]&amp;CompilDonnées[[#This Row],[ModuleNumber]]</f>
        <v>954</v>
      </c>
      <c r="P3545" t="str">
        <f>CompilDonnées[[#This Row],[Ref_Module]]&amp;CompilDonnées[[#This Row],[HarvestingDate]]</f>
        <v>95445866</v>
      </c>
    </row>
    <row r="3546" spans="1:16">
      <c r="A3546" s="5">
        <v>45828</v>
      </c>
      <c r="B3546">
        <v>98</v>
      </c>
      <c r="C3546" t="s">
        <v>79</v>
      </c>
      <c r="D3546">
        <v>1</v>
      </c>
      <c r="E3546">
        <v>100</v>
      </c>
      <c r="F3546" t="s">
        <v>1</v>
      </c>
      <c r="G3546" s="6">
        <v>45877</v>
      </c>
      <c r="H3546">
        <v>49</v>
      </c>
      <c r="I3546">
        <f>ROUND(CompilDonnées[[#This Row],[CultureDuration_days]]/7,0)</f>
        <v>7</v>
      </c>
      <c r="J3546">
        <v>3379</v>
      </c>
      <c r="K3546" t="str">
        <f>_xlfn.CONCAT(WEEKNUM(CompilDonnées[[#This Row],[PlantationDate]]), " ", YEAR(CompilDonnées[[#This Row],[PlantationDate]]))</f>
        <v>25 2025</v>
      </c>
      <c r="L3546" t="str">
        <f>CONCATENATE(MONTH(CompilDonnées[[#This Row],[PlantationDate]])," ", YEAR(CompilDonnées[[#This Row],[PlantationDate]]))</f>
        <v>6 2025</v>
      </c>
      <c r="M3546" t="str">
        <f>CONCATENATE(MONTH(CompilDonnées[[#This Row],[HarvestingDate]])," ", YEAR(CompilDonnées[[#This Row],[HarvestingDate]]))</f>
        <v>8 2025</v>
      </c>
      <c r="N3546">
        <f>_xlfn.NUMBERVALUE(CompilDonnées[[#This Row],[FarmID]]&amp;CompilDonnées[[#This Row],[ModuleNumber]]&amp;CompilDonnées[[#This Row],[PlantationDate]])</f>
        <v>98145828</v>
      </c>
      <c r="O3546" t="str">
        <f>CompilDonnées[[#This Row],[FarmID]]&amp;CompilDonnées[[#This Row],[ModuleNumber]]</f>
        <v>981</v>
      </c>
      <c r="P3546" t="str">
        <f>CompilDonnées[[#This Row],[Ref_Module]]&amp;CompilDonnées[[#This Row],[HarvestingDate]]</f>
        <v>98145877</v>
      </c>
    </row>
    <row r="3547" spans="1:16">
      <c r="A3547" s="5">
        <v>45828</v>
      </c>
      <c r="B3547">
        <v>99</v>
      </c>
      <c r="C3547" t="s">
        <v>117</v>
      </c>
      <c r="D3547">
        <v>3</v>
      </c>
      <c r="E3547">
        <v>100</v>
      </c>
      <c r="F3547" t="s">
        <v>1</v>
      </c>
      <c r="G3547" s="6">
        <v>45866</v>
      </c>
      <c r="H3547">
        <v>38</v>
      </c>
      <c r="I3547">
        <f>ROUND(CompilDonnées[[#This Row],[CultureDuration_days]]/7,0)</f>
        <v>5</v>
      </c>
      <c r="J3547">
        <v>2866</v>
      </c>
      <c r="K3547" t="str">
        <f>_xlfn.CONCAT(WEEKNUM(CompilDonnées[[#This Row],[PlantationDate]]), " ", YEAR(CompilDonnées[[#This Row],[PlantationDate]]))</f>
        <v>25 2025</v>
      </c>
      <c r="L3547" t="str">
        <f>CONCATENATE(MONTH(CompilDonnées[[#This Row],[PlantationDate]])," ", YEAR(CompilDonnées[[#This Row],[PlantationDate]]))</f>
        <v>6 2025</v>
      </c>
      <c r="M3547" t="str">
        <f>CONCATENATE(MONTH(CompilDonnées[[#This Row],[HarvestingDate]])," ", YEAR(CompilDonnées[[#This Row],[HarvestingDate]]))</f>
        <v>7 2025</v>
      </c>
      <c r="N3547">
        <f>_xlfn.NUMBERVALUE(CompilDonnées[[#This Row],[FarmID]]&amp;CompilDonnées[[#This Row],[ModuleNumber]]&amp;CompilDonnées[[#This Row],[PlantationDate]])</f>
        <v>99345828</v>
      </c>
      <c r="O3547" t="str">
        <f>CompilDonnées[[#This Row],[FarmID]]&amp;CompilDonnées[[#This Row],[ModuleNumber]]</f>
        <v>993</v>
      </c>
      <c r="P3547" t="str">
        <f>CompilDonnées[[#This Row],[Ref_Module]]&amp;CompilDonnées[[#This Row],[HarvestingDate]]</f>
        <v>99345866</v>
      </c>
    </row>
    <row r="3548" spans="1:16">
      <c r="A3548" s="5">
        <v>45828</v>
      </c>
      <c r="B3548">
        <v>88</v>
      </c>
      <c r="C3548" t="s">
        <v>94</v>
      </c>
      <c r="D3548">
        <v>6</v>
      </c>
      <c r="E3548">
        <v>100</v>
      </c>
      <c r="F3548" t="s">
        <v>1</v>
      </c>
      <c r="G3548" s="6">
        <v>45866</v>
      </c>
      <c r="H3548">
        <v>38</v>
      </c>
      <c r="I3548">
        <f>ROUND(CompilDonnées[[#This Row],[CultureDuration_days]]/7,0)</f>
        <v>5</v>
      </c>
      <c r="J3548">
        <v>3543</v>
      </c>
      <c r="K3548" t="str">
        <f>_xlfn.CONCAT(WEEKNUM(CompilDonnées[[#This Row],[PlantationDate]]), " ", YEAR(CompilDonnées[[#This Row],[PlantationDate]]))</f>
        <v>25 2025</v>
      </c>
      <c r="L3548" t="str">
        <f>CONCATENATE(MONTH(CompilDonnées[[#This Row],[PlantationDate]])," ", YEAR(CompilDonnées[[#This Row],[PlantationDate]]))</f>
        <v>6 2025</v>
      </c>
      <c r="M3548" t="str">
        <f>CONCATENATE(MONTH(CompilDonnées[[#This Row],[HarvestingDate]])," ", YEAR(CompilDonnées[[#This Row],[HarvestingDate]]))</f>
        <v>7 2025</v>
      </c>
      <c r="N3548">
        <f>_xlfn.NUMBERVALUE(CompilDonnées[[#This Row],[FarmID]]&amp;CompilDonnées[[#This Row],[ModuleNumber]]&amp;CompilDonnées[[#This Row],[PlantationDate]])</f>
        <v>88645828</v>
      </c>
      <c r="O3548" t="str">
        <f>CompilDonnées[[#This Row],[FarmID]]&amp;CompilDonnées[[#This Row],[ModuleNumber]]</f>
        <v>886</v>
      </c>
      <c r="P3548" t="str">
        <f>CompilDonnées[[#This Row],[Ref_Module]]&amp;CompilDonnées[[#This Row],[HarvestingDate]]</f>
        <v>88645866</v>
      </c>
    </row>
    <row r="3549" spans="1:16">
      <c r="A3549" s="5">
        <v>45828</v>
      </c>
      <c r="B3549">
        <v>85</v>
      </c>
      <c r="C3549" t="s">
        <v>56</v>
      </c>
      <c r="D3549">
        <v>2</v>
      </c>
      <c r="E3549">
        <v>100</v>
      </c>
      <c r="F3549" t="s">
        <v>1</v>
      </c>
      <c r="G3549" s="6">
        <v>45876</v>
      </c>
      <c r="H3549">
        <v>48</v>
      </c>
      <c r="I3549">
        <f>ROUND(CompilDonnées[[#This Row],[CultureDuration_days]]/7,0)</f>
        <v>7</v>
      </c>
      <c r="J3549">
        <v>2370</v>
      </c>
      <c r="K3549" t="str">
        <f>_xlfn.CONCAT(WEEKNUM(CompilDonnées[[#This Row],[PlantationDate]]), " ", YEAR(CompilDonnées[[#This Row],[PlantationDate]]))</f>
        <v>25 2025</v>
      </c>
      <c r="L3549" t="str">
        <f>CONCATENATE(MONTH(CompilDonnées[[#This Row],[PlantationDate]])," ", YEAR(CompilDonnées[[#This Row],[PlantationDate]]))</f>
        <v>6 2025</v>
      </c>
      <c r="M3549" t="str">
        <f>CONCATENATE(MONTH(CompilDonnées[[#This Row],[HarvestingDate]])," ", YEAR(CompilDonnées[[#This Row],[HarvestingDate]]))</f>
        <v>8 2025</v>
      </c>
      <c r="N3549">
        <f>_xlfn.NUMBERVALUE(CompilDonnées[[#This Row],[FarmID]]&amp;CompilDonnées[[#This Row],[ModuleNumber]]&amp;CompilDonnées[[#This Row],[PlantationDate]])</f>
        <v>85245828</v>
      </c>
      <c r="O3549" t="str">
        <f>CompilDonnées[[#This Row],[FarmID]]&amp;CompilDonnées[[#This Row],[ModuleNumber]]</f>
        <v>852</v>
      </c>
      <c r="P3549" t="str">
        <f>CompilDonnées[[#This Row],[Ref_Module]]&amp;CompilDonnées[[#This Row],[HarvestingDate]]</f>
        <v>85245876</v>
      </c>
    </row>
    <row r="3550" spans="1:16">
      <c r="A3550" s="5">
        <v>45828</v>
      </c>
      <c r="B3550">
        <v>86</v>
      </c>
      <c r="C3550" t="s">
        <v>37</v>
      </c>
      <c r="D3550">
        <v>2</v>
      </c>
      <c r="E3550">
        <v>100</v>
      </c>
      <c r="F3550" t="s">
        <v>1</v>
      </c>
      <c r="G3550" s="6">
        <v>45877</v>
      </c>
      <c r="H3550">
        <v>49</v>
      </c>
      <c r="I3550">
        <f>ROUND(CompilDonnées[[#This Row],[CultureDuration_days]]/7,0)</f>
        <v>7</v>
      </c>
      <c r="J3550">
        <v>3147</v>
      </c>
      <c r="K3550" t="str">
        <f>_xlfn.CONCAT(WEEKNUM(CompilDonnées[[#This Row],[PlantationDate]]), " ", YEAR(CompilDonnées[[#This Row],[PlantationDate]]))</f>
        <v>25 2025</v>
      </c>
      <c r="L3550" t="str">
        <f>CONCATENATE(MONTH(CompilDonnées[[#This Row],[PlantationDate]])," ", YEAR(CompilDonnées[[#This Row],[PlantationDate]]))</f>
        <v>6 2025</v>
      </c>
      <c r="M3550" t="str">
        <f>CONCATENATE(MONTH(CompilDonnées[[#This Row],[HarvestingDate]])," ", YEAR(CompilDonnées[[#This Row],[HarvestingDate]]))</f>
        <v>8 2025</v>
      </c>
      <c r="N3550">
        <f>_xlfn.NUMBERVALUE(CompilDonnées[[#This Row],[FarmID]]&amp;CompilDonnées[[#This Row],[ModuleNumber]]&amp;CompilDonnées[[#This Row],[PlantationDate]])</f>
        <v>86245828</v>
      </c>
      <c r="O3550" t="str">
        <f>CompilDonnées[[#This Row],[FarmID]]&amp;CompilDonnées[[#This Row],[ModuleNumber]]</f>
        <v>862</v>
      </c>
      <c r="P3550" t="str">
        <f>CompilDonnées[[#This Row],[Ref_Module]]&amp;CompilDonnées[[#This Row],[HarvestingDate]]</f>
        <v>86245877</v>
      </c>
    </row>
    <row r="3551" spans="1:16">
      <c r="A3551" s="5">
        <v>45828</v>
      </c>
      <c r="B3551">
        <v>89</v>
      </c>
      <c r="C3551" t="s">
        <v>67</v>
      </c>
      <c r="D3551">
        <v>3</v>
      </c>
      <c r="E3551">
        <v>100</v>
      </c>
      <c r="F3551" t="s">
        <v>1</v>
      </c>
      <c r="G3551" s="6">
        <v>45877</v>
      </c>
      <c r="H3551">
        <v>49</v>
      </c>
      <c r="I3551">
        <f>ROUND(CompilDonnées[[#This Row],[CultureDuration_days]]/7,0)</f>
        <v>7</v>
      </c>
      <c r="J3551">
        <v>2828</v>
      </c>
      <c r="K3551" t="str">
        <f>_xlfn.CONCAT(WEEKNUM(CompilDonnées[[#This Row],[PlantationDate]]), " ", YEAR(CompilDonnées[[#This Row],[PlantationDate]]))</f>
        <v>25 2025</v>
      </c>
      <c r="L3551" t="str">
        <f>CONCATENATE(MONTH(CompilDonnées[[#This Row],[PlantationDate]])," ", YEAR(CompilDonnées[[#This Row],[PlantationDate]]))</f>
        <v>6 2025</v>
      </c>
      <c r="M3551" t="str">
        <f>CONCATENATE(MONTH(CompilDonnées[[#This Row],[HarvestingDate]])," ", YEAR(CompilDonnées[[#This Row],[HarvestingDate]]))</f>
        <v>8 2025</v>
      </c>
      <c r="N3551">
        <f>_xlfn.NUMBERVALUE(CompilDonnées[[#This Row],[FarmID]]&amp;CompilDonnées[[#This Row],[ModuleNumber]]&amp;CompilDonnées[[#This Row],[PlantationDate]])</f>
        <v>89345828</v>
      </c>
      <c r="O3551" t="str">
        <f>CompilDonnées[[#This Row],[FarmID]]&amp;CompilDonnées[[#This Row],[ModuleNumber]]</f>
        <v>893</v>
      </c>
      <c r="P3551" t="str">
        <f>CompilDonnées[[#This Row],[Ref_Module]]&amp;CompilDonnées[[#This Row],[HarvestingDate]]</f>
        <v>89345877</v>
      </c>
    </row>
    <row r="3552" spans="1:16">
      <c r="A3552" s="5">
        <v>45828</v>
      </c>
      <c r="B3552">
        <v>96</v>
      </c>
      <c r="C3552" t="s">
        <v>125</v>
      </c>
      <c r="D3552">
        <v>5</v>
      </c>
      <c r="E3552">
        <v>100</v>
      </c>
      <c r="F3552" t="s">
        <v>1</v>
      </c>
      <c r="G3552" s="6">
        <v>45877</v>
      </c>
      <c r="H3552">
        <v>49</v>
      </c>
      <c r="I3552">
        <f>ROUND(CompilDonnées[[#This Row],[CultureDuration_days]]/7,0)</f>
        <v>7</v>
      </c>
      <c r="J3552">
        <v>2889</v>
      </c>
      <c r="K3552" t="str">
        <f>_xlfn.CONCAT(WEEKNUM(CompilDonnées[[#This Row],[PlantationDate]]), " ", YEAR(CompilDonnées[[#This Row],[PlantationDate]]))</f>
        <v>25 2025</v>
      </c>
      <c r="L3552" t="str">
        <f>CONCATENATE(MONTH(CompilDonnées[[#This Row],[PlantationDate]])," ", YEAR(CompilDonnées[[#This Row],[PlantationDate]]))</f>
        <v>6 2025</v>
      </c>
      <c r="M3552" t="str">
        <f>CONCATENATE(MONTH(CompilDonnées[[#This Row],[HarvestingDate]])," ", YEAR(CompilDonnées[[#This Row],[HarvestingDate]]))</f>
        <v>8 2025</v>
      </c>
      <c r="N3552">
        <f>_xlfn.NUMBERVALUE(CompilDonnées[[#This Row],[FarmID]]&amp;CompilDonnées[[#This Row],[ModuleNumber]]&amp;CompilDonnées[[#This Row],[PlantationDate]])</f>
        <v>96545828</v>
      </c>
      <c r="O3552" t="str">
        <f>CompilDonnées[[#This Row],[FarmID]]&amp;CompilDonnées[[#This Row],[ModuleNumber]]</f>
        <v>965</v>
      </c>
      <c r="P3552" t="str">
        <f>CompilDonnées[[#This Row],[Ref_Module]]&amp;CompilDonnées[[#This Row],[HarvestingDate]]</f>
        <v>96545877</v>
      </c>
    </row>
    <row r="3553" spans="1:16">
      <c r="A3553" s="5">
        <v>45828</v>
      </c>
      <c r="B3553">
        <v>101</v>
      </c>
      <c r="C3553" t="s">
        <v>54</v>
      </c>
      <c r="D3553">
        <v>2</v>
      </c>
      <c r="E3553">
        <v>100</v>
      </c>
      <c r="F3553" t="s">
        <v>1</v>
      </c>
      <c r="G3553" s="6">
        <v>45866</v>
      </c>
      <c r="H3553">
        <v>38</v>
      </c>
      <c r="I3553">
        <f>ROUND(CompilDonnées[[#This Row],[CultureDuration_days]]/7,0)</f>
        <v>5</v>
      </c>
      <c r="J3553">
        <v>3587</v>
      </c>
      <c r="K3553" t="str">
        <f>_xlfn.CONCAT(WEEKNUM(CompilDonnées[[#This Row],[PlantationDate]]), " ", YEAR(CompilDonnées[[#This Row],[PlantationDate]]))</f>
        <v>25 2025</v>
      </c>
      <c r="L3553" t="str">
        <f>CONCATENATE(MONTH(CompilDonnées[[#This Row],[PlantationDate]])," ", YEAR(CompilDonnées[[#This Row],[PlantationDate]]))</f>
        <v>6 2025</v>
      </c>
      <c r="M3553" t="str">
        <f>CONCATENATE(MONTH(CompilDonnées[[#This Row],[HarvestingDate]])," ", YEAR(CompilDonnées[[#This Row],[HarvestingDate]]))</f>
        <v>7 2025</v>
      </c>
      <c r="N3553">
        <f>_xlfn.NUMBERVALUE(CompilDonnées[[#This Row],[FarmID]]&amp;CompilDonnées[[#This Row],[ModuleNumber]]&amp;CompilDonnées[[#This Row],[PlantationDate]])</f>
        <v>101245828</v>
      </c>
      <c r="O3553" t="str">
        <f>CompilDonnées[[#This Row],[FarmID]]&amp;CompilDonnées[[#This Row],[ModuleNumber]]</f>
        <v>1012</v>
      </c>
      <c r="P3553" t="str">
        <f>CompilDonnées[[#This Row],[Ref_Module]]&amp;CompilDonnées[[#This Row],[HarvestingDate]]</f>
        <v>101245866</v>
      </c>
    </row>
    <row r="3554" spans="1:16">
      <c r="A3554" s="5">
        <v>45828</v>
      </c>
      <c r="B3554">
        <v>75</v>
      </c>
      <c r="C3554" t="s">
        <v>3</v>
      </c>
      <c r="D3554">
        <v>1</v>
      </c>
      <c r="E3554">
        <v>60</v>
      </c>
      <c r="F3554" t="s">
        <v>105</v>
      </c>
      <c r="G3554" s="6">
        <v>45887</v>
      </c>
      <c r="H3554">
        <v>59</v>
      </c>
      <c r="I3554">
        <f>ROUND(CompilDonnées[[#This Row],[CultureDuration_days]]/7,0)</f>
        <v>8</v>
      </c>
      <c r="J3554">
        <v>2065</v>
      </c>
      <c r="K3554" t="str">
        <f>_xlfn.CONCAT(WEEKNUM(CompilDonnées[[#This Row],[PlantationDate]]), " ", YEAR(CompilDonnées[[#This Row],[PlantationDate]]))</f>
        <v>25 2025</v>
      </c>
      <c r="L3554" t="str">
        <f>CONCATENATE(MONTH(CompilDonnées[[#This Row],[PlantationDate]])," ", YEAR(CompilDonnées[[#This Row],[PlantationDate]]))</f>
        <v>6 2025</v>
      </c>
      <c r="M3554" t="str">
        <f>CONCATENATE(MONTH(CompilDonnées[[#This Row],[HarvestingDate]])," ", YEAR(CompilDonnées[[#This Row],[HarvestingDate]]))</f>
        <v>8 2025</v>
      </c>
      <c r="N3554">
        <f>_xlfn.NUMBERVALUE(CompilDonnées[[#This Row],[FarmID]]&amp;CompilDonnées[[#This Row],[ModuleNumber]]&amp;CompilDonnées[[#This Row],[PlantationDate]])</f>
        <v>75145828</v>
      </c>
      <c r="O3554" t="str">
        <f>CompilDonnées[[#This Row],[FarmID]]&amp;CompilDonnées[[#This Row],[ModuleNumber]]</f>
        <v>751</v>
      </c>
      <c r="P3554" t="str">
        <f>CompilDonnées[[#This Row],[Ref_Module]]&amp;CompilDonnées[[#This Row],[HarvestingDate]]</f>
        <v>75145887</v>
      </c>
    </row>
    <row r="3555" spans="1:16">
      <c r="A3555" s="5">
        <v>45829</v>
      </c>
      <c r="B3555">
        <v>139</v>
      </c>
      <c r="C3555" t="s">
        <v>103</v>
      </c>
      <c r="D3555">
        <v>2</v>
      </c>
      <c r="E3555">
        <v>100</v>
      </c>
      <c r="F3555" t="s">
        <v>1</v>
      </c>
      <c r="G3555" s="6">
        <v>45866</v>
      </c>
      <c r="H3555">
        <v>37</v>
      </c>
      <c r="I3555">
        <f>ROUND(CompilDonnées[[#This Row],[CultureDuration_days]]/7,0)</f>
        <v>5</v>
      </c>
      <c r="J3555">
        <v>3289</v>
      </c>
      <c r="K3555" t="str">
        <f>_xlfn.CONCAT(WEEKNUM(CompilDonnées[[#This Row],[PlantationDate]]), " ", YEAR(CompilDonnées[[#This Row],[PlantationDate]]))</f>
        <v>25 2025</v>
      </c>
      <c r="L3555" t="str">
        <f>CONCATENATE(MONTH(CompilDonnées[[#This Row],[PlantationDate]])," ", YEAR(CompilDonnées[[#This Row],[PlantationDate]]))</f>
        <v>6 2025</v>
      </c>
      <c r="M3555" t="str">
        <f>CONCATENATE(MONTH(CompilDonnées[[#This Row],[HarvestingDate]])," ", YEAR(CompilDonnées[[#This Row],[HarvestingDate]]))</f>
        <v>7 2025</v>
      </c>
      <c r="N3555">
        <f>_xlfn.NUMBERVALUE(CompilDonnées[[#This Row],[FarmID]]&amp;CompilDonnées[[#This Row],[ModuleNumber]]&amp;CompilDonnées[[#This Row],[PlantationDate]])</f>
        <v>139245829</v>
      </c>
      <c r="O3555" t="str">
        <f>CompilDonnées[[#This Row],[FarmID]]&amp;CompilDonnées[[#This Row],[ModuleNumber]]</f>
        <v>1392</v>
      </c>
      <c r="P3555" t="str">
        <f>CompilDonnées[[#This Row],[Ref_Module]]&amp;CompilDonnées[[#This Row],[HarvestingDate]]</f>
        <v>139245866</v>
      </c>
    </row>
    <row r="3556" spans="1:16">
      <c r="A3556" s="5">
        <v>45829</v>
      </c>
      <c r="B3556">
        <v>132</v>
      </c>
      <c r="C3556" t="s">
        <v>120</v>
      </c>
      <c r="D3556">
        <v>4</v>
      </c>
      <c r="E3556">
        <v>100</v>
      </c>
      <c r="F3556" t="s">
        <v>1</v>
      </c>
      <c r="G3556" s="6">
        <v>45866</v>
      </c>
      <c r="H3556">
        <v>37</v>
      </c>
      <c r="I3556">
        <f>ROUND(CompilDonnées[[#This Row],[CultureDuration_days]]/7,0)</f>
        <v>5</v>
      </c>
      <c r="J3556">
        <v>3931</v>
      </c>
      <c r="K3556" t="str">
        <f>_xlfn.CONCAT(WEEKNUM(CompilDonnées[[#This Row],[PlantationDate]]), " ", YEAR(CompilDonnées[[#This Row],[PlantationDate]]))</f>
        <v>25 2025</v>
      </c>
      <c r="L3556" t="str">
        <f>CONCATENATE(MONTH(CompilDonnées[[#This Row],[PlantationDate]])," ", YEAR(CompilDonnées[[#This Row],[PlantationDate]]))</f>
        <v>6 2025</v>
      </c>
      <c r="M3556" t="str">
        <f>CONCATENATE(MONTH(CompilDonnées[[#This Row],[HarvestingDate]])," ", YEAR(CompilDonnées[[#This Row],[HarvestingDate]]))</f>
        <v>7 2025</v>
      </c>
      <c r="N3556">
        <f>_xlfn.NUMBERVALUE(CompilDonnées[[#This Row],[FarmID]]&amp;CompilDonnées[[#This Row],[ModuleNumber]]&amp;CompilDonnées[[#This Row],[PlantationDate]])</f>
        <v>132445829</v>
      </c>
      <c r="O3556" t="str">
        <f>CompilDonnées[[#This Row],[FarmID]]&amp;CompilDonnées[[#This Row],[ModuleNumber]]</f>
        <v>1324</v>
      </c>
      <c r="P3556" t="str">
        <f>CompilDonnées[[#This Row],[Ref_Module]]&amp;CompilDonnées[[#This Row],[HarvestingDate]]</f>
        <v>132445866</v>
      </c>
    </row>
    <row r="3557" spans="1:16">
      <c r="A3557" s="5">
        <v>45829</v>
      </c>
      <c r="B3557">
        <v>133</v>
      </c>
      <c r="C3557" t="s">
        <v>99</v>
      </c>
      <c r="D3557">
        <v>3</v>
      </c>
      <c r="E3557">
        <v>100</v>
      </c>
      <c r="F3557" t="s">
        <v>1</v>
      </c>
      <c r="G3557" s="6">
        <v>45866</v>
      </c>
      <c r="H3557">
        <v>37</v>
      </c>
      <c r="I3557">
        <f>ROUND(CompilDonnées[[#This Row],[CultureDuration_days]]/7,0)</f>
        <v>5</v>
      </c>
      <c r="J3557">
        <v>4048</v>
      </c>
      <c r="K3557" t="str">
        <f>_xlfn.CONCAT(WEEKNUM(CompilDonnées[[#This Row],[PlantationDate]]), " ", YEAR(CompilDonnées[[#This Row],[PlantationDate]]))</f>
        <v>25 2025</v>
      </c>
      <c r="L3557" t="str">
        <f>CONCATENATE(MONTH(CompilDonnées[[#This Row],[PlantationDate]])," ", YEAR(CompilDonnées[[#This Row],[PlantationDate]]))</f>
        <v>6 2025</v>
      </c>
      <c r="M3557" t="str">
        <f>CONCATENATE(MONTH(CompilDonnées[[#This Row],[HarvestingDate]])," ", YEAR(CompilDonnées[[#This Row],[HarvestingDate]]))</f>
        <v>7 2025</v>
      </c>
      <c r="N3557">
        <f>_xlfn.NUMBERVALUE(CompilDonnées[[#This Row],[FarmID]]&amp;CompilDonnées[[#This Row],[ModuleNumber]]&amp;CompilDonnées[[#This Row],[PlantationDate]])</f>
        <v>133345829</v>
      </c>
      <c r="O3557" t="str">
        <f>CompilDonnées[[#This Row],[FarmID]]&amp;CompilDonnées[[#This Row],[ModuleNumber]]</f>
        <v>1333</v>
      </c>
      <c r="P3557" t="str">
        <f>CompilDonnées[[#This Row],[Ref_Module]]&amp;CompilDonnées[[#This Row],[HarvestingDate]]</f>
        <v>133345866</v>
      </c>
    </row>
    <row r="3558" spans="1:16">
      <c r="A3558" s="5">
        <v>45829</v>
      </c>
      <c r="B3558">
        <v>126</v>
      </c>
      <c r="C3558" t="s">
        <v>52</v>
      </c>
      <c r="D3558">
        <v>3</v>
      </c>
      <c r="E3558">
        <v>100</v>
      </c>
      <c r="F3558" t="s">
        <v>1</v>
      </c>
      <c r="G3558" s="6">
        <v>45866</v>
      </c>
      <c r="H3558">
        <v>37</v>
      </c>
      <c r="I3558">
        <f>ROUND(CompilDonnées[[#This Row],[CultureDuration_days]]/7,0)</f>
        <v>5</v>
      </c>
      <c r="J3558">
        <v>3636</v>
      </c>
      <c r="K3558" t="str">
        <f>_xlfn.CONCAT(WEEKNUM(CompilDonnées[[#This Row],[PlantationDate]]), " ", YEAR(CompilDonnées[[#This Row],[PlantationDate]]))</f>
        <v>25 2025</v>
      </c>
      <c r="L3558" t="str">
        <f>CONCATENATE(MONTH(CompilDonnées[[#This Row],[PlantationDate]])," ", YEAR(CompilDonnées[[#This Row],[PlantationDate]]))</f>
        <v>6 2025</v>
      </c>
      <c r="M3558" t="str">
        <f>CONCATENATE(MONTH(CompilDonnées[[#This Row],[HarvestingDate]])," ", YEAR(CompilDonnées[[#This Row],[HarvestingDate]]))</f>
        <v>7 2025</v>
      </c>
      <c r="N3558">
        <f>_xlfn.NUMBERVALUE(CompilDonnées[[#This Row],[FarmID]]&amp;CompilDonnées[[#This Row],[ModuleNumber]]&amp;CompilDonnées[[#This Row],[PlantationDate]])</f>
        <v>126345829</v>
      </c>
      <c r="O3558" t="str">
        <f>CompilDonnées[[#This Row],[FarmID]]&amp;CompilDonnées[[#This Row],[ModuleNumber]]</f>
        <v>1263</v>
      </c>
      <c r="P3558" t="str">
        <f>CompilDonnées[[#This Row],[Ref_Module]]&amp;CompilDonnées[[#This Row],[HarvestingDate]]</f>
        <v>126345866</v>
      </c>
    </row>
    <row r="3559" spans="1:16">
      <c r="A3559" s="5">
        <v>45829</v>
      </c>
      <c r="B3559">
        <v>123</v>
      </c>
      <c r="C3559" t="s">
        <v>13</v>
      </c>
      <c r="D3559">
        <v>4</v>
      </c>
      <c r="E3559">
        <v>100</v>
      </c>
      <c r="F3559" t="s">
        <v>1</v>
      </c>
      <c r="G3559" s="6">
        <v>45866</v>
      </c>
      <c r="H3559">
        <v>37</v>
      </c>
      <c r="I3559">
        <f>ROUND(CompilDonnées[[#This Row],[CultureDuration_days]]/7,0)</f>
        <v>5</v>
      </c>
      <c r="J3559">
        <v>3725</v>
      </c>
      <c r="K3559" t="str">
        <f>_xlfn.CONCAT(WEEKNUM(CompilDonnées[[#This Row],[PlantationDate]]), " ", YEAR(CompilDonnées[[#This Row],[PlantationDate]]))</f>
        <v>25 2025</v>
      </c>
      <c r="L3559" t="str">
        <f>CONCATENATE(MONTH(CompilDonnées[[#This Row],[PlantationDate]])," ", YEAR(CompilDonnées[[#This Row],[PlantationDate]]))</f>
        <v>6 2025</v>
      </c>
      <c r="M3559" t="str">
        <f>CONCATENATE(MONTH(CompilDonnées[[#This Row],[HarvestingDate]])," ", YEAR(CompilDonnées[[#This Row],[HarvestingDate]]))</f>
        <v>7 2025</v>
      </c>
      <c r="N3559">
        <f>_xlfn.NUMBERVALUE(CompilDonnées[[#This Row],[FarmID]]&amp;CompilDonnées[[#This Row],[ModuleNumber]]&amp;CompilDonnées[[#This Row],[PlantationDate]])</f>
        <v>123445829</v>
      </c>
      <c r="O3559" t="str">
        <f>CompilDonnées[[#This Row],[FarmID]]&amp;CompilDonnées[[#This Row],[ModuleNumber]]</f>
        <v>1234</v>
      </c>
      <c r="P3559" t="str">
        <f>CompilDonnées[[#This Row],[Ref_Module]]&amp;CompilDonnées[[#This Row],[HarvestingDate]]</f>
        <v>123445866</v>
      </c>
    </row>
    <row r="3560" spans="1:16">
      <c r="A3560" s="5">
        <v>45829</v>
      </c>
      <c r="B3560">
        <v>118</v>
      </c>
      <c r="C3560" t="s">
        <v>51</v>
      </c>
      <c r="D3560">
        <v>1</v>
      </c>
      <c r="E3560">
        <v>100</v>
      </c>
      <c r="F3560" t="s">
        <v>1</v>
      </c>
      <c r="G3560" s="6">
        <v>45866</v>
      </c>
      <c r="H3560">
        <v>37</v>
      </c>
      <c r="I3560">
        <f>ROUND(CompilDonnées[[#This Row],[CultureDuration_days]]/7,0)</f>
        <v>5</v>
      </c>
      <c r="J3560">
        <v>3299</v>
      </c>
      <c r="K3560" t="str">
        <f>_xlfn.CONCAT(WEEKNUM(CompilDonnées[[#This Row],[PlantationDate]]), " ", YEAR(CompilDonnées[[#This Row],[PlantationDate]]))</f>
        <v>25 2025</v>
      </c>
      <c r="L3560" t="str">
        <f>CONCATENATE(MONTH(CompilDonnées[[#This Row],[PlantationDate]])," ", YEAR(CompilDonnées[[#This Row],[PlantationDate]]))</f>
        <v>6 2025</v>
      </c>
      <c r="M3560" t="str">
        <f>CONCATENATE(MONTH(CompilDonnées[[#This Row],[HarvestingDate]])," ", YEAR(CompilDonnées[[#This Row],[HarvestingDate]]))</f>
        <v>7 2025</v>
      </c>
      <c r="N3560">
        <f>_xlfn.NUMBERVALUE(CompilDonnées[[#This Row],[FarmID]]&amp;CompilDonnées[[#This Row],[ModuleNumber]]&amp;CompilDonnées[[#This Row],[PlantationDate]])</f>
        <v>118145829</v>
      </c>
      <c r="O3560" t="str">
        <f>CompilDonnées[[#This Row],[FarmID]]&amp;CompilDonnées[[#This Row],[ModuleNumber]]</f>
        <v>1181</v>
      </c>
      <c r="P3560" t="str">
        <f>CompilDonnées[[#This Row],[Ref_Module]]&amp;CompilDonnées[[#This Row],[HarvestingDate]]</f>
        <v>118145866</v>
      </c>
    </row>
    <row r="3561" spans="1:16">
      <c r="A3561" s="5">
        <v>45829</v>
      </c>
      <c r="B3561">
        <v>119</v>
      </c>
      <c r="C3561" t="s">
        <v>59</v>
      </c>
      <c r="D3561">
        <v>5</v>
      </c>
      <c r="E3561">
        <v>100</v>
      </c>
      <c r="F3561" t="s">
        <v>1</v>
      </c>
      <c r="G3561" s="6">
        <v>45863</v>
      </c>
      <c r="H3561">
        <v>34</v>
      </c>
      <c r="I3561">
        <f>ROUND(CompilDonnées[[#This Row],[CultureDuration_days]]/7,0)</f>
        <v>5</v>
      </c>
      <c r="J3561">
        <v>3065</v>
      </c>
      <c r="K3561" t="str">
        <f>_xlfn.CONCAT(WEEKNUM(CompilDonnées[[#This Row],[PlantationDate]]), " ", YEAR(CompilDonnées[[#This Row],[PlantationDate]]))</f>
        <v>25 2025</v>
      </c>
      <c r="L3561" t="str">
        <f>CONCATENATE(MONTH(CompilDonnées[[#This Row],[PlantationDate]])," ", YEAR(CompilDonnées[[#This Row],[PlantationDate]]))</f>
        <v>6 2025</v>
      </c>
      <c r="M3561" t="str">
        <f>CONCATENATE(MONTH(CompilDonnées[[#This Row],[HarvestingDate]])," ", YEAR(CompilDonnées[[#This Row],[HarvestingDate]]))</f>
        <v>7 2025</v>
      </c>
      <c r="N3561">
        <f>_xlfn.NUMBERVALUE(CompilDonnées[[#This Row],[FarmID]]&amp;CompilDonnées[[#This Row],[ModuleNumber]]&amp;CompilDonnées[[#This Row],[PlantationDate]])</f>
        <v>119545829</v>
      </c>
      <c r="O3561" t="str">
        <f>CompilDonnées[[#This Row],[FarmID]]&amp;CompilDonnées[[#This Row],[ModuleNumber]]</f>
        <v>1195</v>
      </c>
      <c r="P3561" t="str">
        <f>CompilDonnées[[#This Row],[Ref_Module]]&amp;CompilDonnées[[#This Row],[HarvestingDate]]</f>
        <v>119545863</v>
      </c>
    </row>
    <row r="3562" spans="1:16">
      <c r="A3562" s="5">
        <v>45829</v>
      </c>
      <c r="B3562">
        <v>110</v>
      </c>
      <c r="C3562" t="s">
        <v>14</v>
      </c>
      <c r="D3562">
        <v>1</v>
      </c>
      <c r="E3562">
        <v>100</v>
      </c>
      <c r="F3562" t="s">
        <v>1</v>
      </c>
      <c r="G3562" s="6">
        <v>45866</v>
      </c>
      <c r="H3562">
        <v>37</v>
      </c>
      <c r="I3562">
        <f>ROUND(CompilDonnées[[#This Row],[CultureDuration_days]]/7,0)</f>
        <v>5</v>
      </c>
      <c r="J3562">
        <v>3301</v>
      </c>
      <c r="K3562" t="str">
        <f>_xlfn.CONCAT(WEEKNUM(CompilDonnées[[#This Row],[PlantationDate]]), " ", YEAR(CompilDonnées[[#This Row],[PlantationDate]]))</f>
        <v>25 2025</v>
      </c>
      <c r="L3562" t="str">
        <f>CONCATENATE(MONTH(CompilDonnées[[#This Row],[PlantationDate]])," ", YEAR(CompilDonnées[[#This Row],[PlantationDate]]))</f>
        <v>6 2025</v>
      </c>
      <c r="M3562" t="str">
        <f>CONCATENATE(MONTH(CompilDonnées[[#This Row],[HarvestingDate]])," ", YEAR(CompilDonnées[[#This Row],[HarvestingDate]]))</f>
        <v>7 2025</v>
      </c>
      <c r="N3562">
        <f>_xlfn.NUMBERVALUE(CompilDonnées[[#This Row],[FarmID]]&amp;CompilDonnées[[#This Row],[ModuleNumber]]&amp;CompilDonnées[[#This Row],[PlantationDate]])</f>
        <v>110145829</v>
      </c>
      <c r="O3562" t="str">
        <f>CompilDonnées[[#This Row],[FarmID]]&amp;CompilDonnées[[#This Row],[ModuleNumber]]</f>
        <v>1101</v>
      </c>
      <c r="P3562" t="str">
        <f>CompilDonnées[[#This Row],[Ref_Module]]&amp;CompilDonnées[[#This Row],[HarvestingDate]]</f>
        <v>110145866</v>
      </c>
    </row>
    <row r="3563" spans="1:16">
      <c r="A3563" s="5">
        <v>45829</v>
      </c>
      <c r="B3563">
        <v>111</v>
      </c>
      <c r="C3563" t="s">
        <v>41</v>
      </c>
      <c r="D3563">
        <v>2</v>
      </c>
      <c r="E3563">
        <v>100</v>
      </c>
      <c r="F3563" t="s">
        <v>1</v>
      </c>
      <c r="G3563" s="6">
        <v>45866</v>
      </c>
      <c r="H3563">
        <v>37</v>
      </c>
      <c r="I3563">
        <f>ROUND(CompilDonnées[[#This Row],[CultureDuration_days]]/7,0)</f>
        <v>5</v>
      </c>
      <c r="J3563">
        <v>3495</v>
      </c>
      <c r="K3563" t="str">
        <f>_xlfn.CONCAT(WEEKNUM(CompilDonnées[[#This Row],[PlantationDate]]), " ", YEAR(CompilDonnées[[#This Row],[PlantationDate]]))</f>
        <v>25 2025</v>
      </c>
      <c r="L3563" t="str">
        <f>CONCATENATE(MONTH(CompilDonnées[[#This Row],[PlantationDate]])," ", YEAR(CompilDonnées[[#This Row],[PlantationDate]]))</f>
        <v>6 2025</v>
      </c>
      <c r="M3563" t="str">
        <f>CONCATENATE(MONTH(CompilDonnées[[#This Row],[HarvestingDate]])," ", YEAR(CompilDonnées[[#This Row],[HarvestingDate]]))</f>
        <v>7 2025</v>
      </c>
      <c r="N3563">
        <f>_xlfn.NUMBERVALUE(CompilDonnées[[#This Row],[FarmID]]&amp;CompilDonnées[[#This Row],[ModuleNumber]]&amp;CompilDonnées[[#This Row],[PlantationDate]])</f>
        <v>111245829</v>
      </c>
      <c r="O3563" t="str">
        <f>CompilDonnées[[#This Row],[FarmID]]&amp;CompilDonnées[[#This Row],[ModuleNumber]]</f>
        <v>1112</v>
      </c>
      <c r="P3563" t="str">
        <f>CompilDonnées[[#This Row],[Ref_Module]]&amp;CompilDonnées[[#This Row],[HarvestingDate]]</f>
        <v>111245866</v>
      </c>
    </row>
    <row r="3564" spans="1:16">
      <c r="A3564" s="5">
        <v>45829</v>
      </c>
      <c r="B3564">
        <v>112</v>
      </c>
      <c r="C3564" t="s">
        <v>15</v>
      </c>
      <c r="D3564">
        <v>2</v>
      </c>
      <c r="E3564">
        <v>100</v>
      </c>
      <c r="F3564" t="s">
        <v>1</v>
      </c>
      <c r="G3564" s="6">
        <v>45866</v>
      </c>
      <c r="H3564">
        <v>37</v>
      </c>
      <c r="I3564">
        <f>ROUND(CompilDonnées[[#This Row],[CultureDuration_days]]/7,0)</f>
        <v>5</v>
      </c>
      <c r="J3564">
        <v>2513</v>
      </c>
      <c r="K3564" t="str">
        <f>_xlfn.CONCAT(WEEKNUM(CompilDonnées[[#This Row],[PlantationDate]]), " ", YEAR(CompilDonnées[[#This Row],[PlantationDate]]))</f>
        <v>25 2025</v>
      </c>
      <c r="L3564" t="str">
        <f>CONCATENATE(MONTH(CompilDonnées[[#This Row],[PlantationDate]])," ", YEAR(CompilDonnées[[#This Row],[PlantationDate]]))</f>
        <v>6 2025</v>
      </c>
      <c r="M3564" t="str">
        <f>CONCATENATE(MONTH(CompilDonnées[[#This Row],[HarvestingDate]])," ", YEAR(CompilDonnées[[#This Row],[HarvestingDate]]))</f>
        <v>7 2025</v>
      </c>
      <c r="N3564">
        <f>_xlfn.NUMBERVALUE(CompilDonnées[[#This Row],[FarmID]]&amp;CompilDonnées[[#This Row],[ModuleNumber]]&amp;CompilDonnées[[#This Row],[PlantationDate]])</f>
        <v>112245829</v>
      </c>
      <c r="O3564" t="str">
        <f>CompilDonnées[[#This Row],[FarmID]]&amp;CompilDonnées[[#This Row],[ModuleNumber]]</f>
        <v>1122</v>
      </c>
      <c r="P3564" t="str">
        <f>CompilDonnées[[#This Row],[Ref_Module]]&amp;CompilDonnées[[#This Row],[HarvestingDate]]</f>
        <v>112245866</v>
      </c>
    </row>
    <row r="3565" spans="1:16">
      <c r="A3565" s="5">
        <v>45829</v>
      </c>
      <c r="B3565">
        <v>113</v>
      </c>
      <c r="C3565" t="s">
        <v>16</v>
      </c>
      <c r="D3565">
        <v>4</v>
      </c>
      <c r="E3565">
        <v>100</v>
      </c>
      <c r="F3565" t="s">
        <v>1</v>
      </c>
      <c r="G3565" s="6">
        <v>45877</v>
      </c>
      <c r="H3565">
        <v>48</v>
      </c>
      <c r="I3565">
        <f>ROUND(CompilDonnées[[#This Row],[CultureDuration_days]]/7,0)</f>
        <v>7</v>
      </c>
      <c r="J3565">
        <v>4059</v>
      </c>
      <c r="K3565" t="str">
        <f>_xlfn.CONCAT(WEEKNUM(CompilDonnées[[#This Row],[PlantationDate]]), " ", YEAR(CompilDonnées[[#This Row],[PlantationDate]]))</f>
        <v>25 2025</v>
      </c>
      <c r="L3565" t="str">
        <f>CONCATENATE(MONTH(CompilDonnées[[#This Row],[PlantationDate]])," ", YEAR(CompilDonnées[[#This Row],[PlantationDate]]))</f>
        <v>6 2025</v>
      </c>
      <c r="M3565" t="str">
        <f>CONCATENATE(MONTH(CompilDonnées[[#This Row],[HarvestingDate]])," ", YEAR(CompilDonnées[[#This Row],[HarvestingDate]]))</f>
        <v>8 2025</v>
      </c>
      <c r="N3565">
        <f>_xlfn.NUMBERVALUE(CompilDonnées[[#This Row],[FarmID]]&amp;CompilDonnées[[#This Row],[ModuleNumber]]&amp;CompilDonnées[[#This Row],[PlantationDate]])</f>
        <v>113445829</v>
      </c>
      <c r="O3565" t="str">
        <f>CompilDonnées[[#This Row],[FarmID]]&amp;CompilDonnées[[#This Row],[ModuleNumber]]</f>
        <v>1134</v>
      </c>
      <c r="P3565" t="str">
        <f>CompilDonnées[[#This Row],[Ref_Module]]&amp;CompilDonnées[[#This Row],[HarvestingDate]]</f>
        <v>113445877</v>
      </c>
    </row>
    <row r="3566" spans="1:16">
      <c r="A3566" s="5">
        <v>45829</v>
      </c>
      <c r="B3566">
        <v>44</v>
      </c>
      <c r="C3566" t="s">
        <v>42</v>
      </c>
      <c r="D3566">
        <v>3</v>
      </c>
      <c r="E3566">
        <v>100</v>
      </c>
      <c r="F3566" t="s">
        <v>1</v>
      </c>
      <c r="G3566" s="6">
        <v>45875</v>
      </c>
      <c r="H3566">
        <v>46</v>
      </c>
      <c r="I3566">
        <f>ROUND(CompilDonnées[[#This Row],[CultureDuration_days]]/7,0)</f>
        <v>7</v>
      </c>
      <c r="J3566">
        <v>3036</v>
      </c>
      <c r="K3566" t="str">
        <f>_xlfn.CONCAT(WEEKNUM(CompilDonnées[[#This Row],[PlantationDate]]), " ", YEAR(CompilDonnées[[#This Row],[PlantationDate]]))</f>
        <v>25 2025</v>
      </c>
      <c r="L3566" t="str">
        <f>CONCATENATE(MONTH(CompilDonnées[[#This Row],[PlantationDate]])," ", YEAR(CompilDonnées[[#This Row],[PlantationDate]]))</f>
        <v>6 2025</v>
      </c>
      <c r="M3566" t="str">
        <f>CONCATENATE(MONTH(CompilDonnées[[#This Row],[HarvestingDate]])," ", YEAR(CompilDonnées[[#This Row],[HarvestingDate]]))</f>
        <v>8 2025</v>
      </c>
      <c r="N3566">
        <f>_xlfn.NUMBERVALUE(CompilDonnées[[#This Row],[FarmID]]&amp;CompilDonnées[[#This Row],[ModuleNumber]]&amp;CompilDonnées[[#This Row],[PlantationDate]])</f>
        <v>44345829</v>
      </c>
      <c r="O3566" t="str">
        <f>CompilDonnées[[#This Row],[FarmID]]&amp;CompilDonnées[[#This Row],[ModuleNumber]]</f>
        <v>443</v>
      </c>
      <c r="P3566" t="str">
        <f>CompilDonnées[[#This Row],[Ref_Module]]&amp;CompilDonnées[[#This Row],[HarvestingDate]]</f>
        <v>44345875</v>
      </c>
    </row>
    <row r="3567" spans="1:16">
      <c r="A3567" s="5">
        <v>45829</v>
      </c>
      <c r="B3567">
        <v>42</v>
      </c>
      <c r="C3567" t="s">
        <v>2</v>
      </c>
      <c r="D3567">
        <v>5</v>
      </c>
      <c r="E3567">
        <v>100</v>
      </c>
      <c r="F3567" t="s">
        <v>1</v>
      </c>
      <c r="G3567" s="6">
        <v>45875</v>
      </c>
      <c r="H3567">
        <v>46</v>
      </c>
      <c r="I3567">
        <f>ROUND(CompilDonnées[[#This Row],[CultureDuration_days]]/7,0)</f>
        <v>7</v>
      </c>
      <c r="J3567">
        <v>3342</v>
      </c>
      <c r="K3567" t="str">
        <f>_xlfn.CONCAT(WEEKNUM(CompilDonnées[[#This Row],[PlantationDate]]), " ", YEAR(CompilDonnées[[#This Row],[PlantationDate]]))</f>
        <v>25 2025</v>
      </c>
      <c r="L3567" t="str">
        <f>CONCATENATE(MONTH(CompilDonnées[[#This Row],[PlantationDate]])," ", YEAR(CompilDonnées[[#This Row],[PlantationDate]]))</f>
        <v>6 2025</v>
      </c>
      <c r="M3567" t="str">
        <f>CONCATENATE(MONTH(CompilDonnées[[#This Row],[HarvestingDate]])," ", YEAR(CompilDonnées[[#This Row],[HarvestingDate]]))</f>
        <v>8 2025</v>
      </c>
      <c r="N3567">
        <f>_xlfn.NUMBERVALUE(CompilDonnées[[#This Row],[FarmID]]&amp;CompilDonnées[[#This Row],[ModuleNumber]]&amp;CompilDonnées[[#This Row],[PlantationDate]])</f>
        <v>42545829</v>
      </c>
      <c r="O3567" t="str">
        <f>CompilDonnées[[#This Row],[FarmID]]&amp;CompilDonnées[[#This Row],[ModuleNumber]]</f>
        <v>425</v>
      </c>
      <c r="P3567" t="str">
        <f>CompilDonnées[[#This Row],[Ref_Module]]&amp;CompilDonnées[[#This Row],[HarvestingDate]]</f>
        <v>42545875</v>
      </c>
    </row>
    <row r="3568" spans="1:16">
      <c r="A3568" s="5">
        <v>45829</v>
      </c>
      <c r="B3568">
        <v>87</v>
      </c>
      <c r="C3568" t="s">
        <v>38</v>
      </c>
      <c r="D3568">
        <v>3</v>
      </c>
      <c r="E3568">
        <v>100</v>
      </c>
      <c r="F3568" t="s">
        <v>1</v>
      </c>
      <c r="G3568" s="6">
        <v>45877</v>
      </c>
      <c r="H3568">
        <v>48</v>
      </c>
      <c r="I3568">
        <f>ROUND(CompilDonnées[[#This Row],[CultureDuration_days]]/7,0)</f>
        <v>7</v>
      </c>
      <c r="J3568">
        <v>3740</v>
      </c>
      <c r="K3568" t="str">
        <f>_xlfn.CONCAT(WEEKNUM(CompilDonnées[[#This Row],[PlantationDate]]), " ", YEAR(CompilDonnées[[#This Row],[PlantationDate]]))</f>
        <v>25 2025</v>
      </c>
      <c r="L3568" t="str">
        <f>CONCATENATE(MONTH(CompilDonnées[[#This Row],[PlantationDate]])," ", YEAR(CompilDonnées[[#This Row],[PlantationDate]]))</f>
        <v>6 2025</v>
      </c>
      <c r="M3568" t="str">
        <f>CONCATENATE(MONTH(CompilDonnées[[#This Row],[HarvestingDate]])," ", YEAR(CompilDonnées[[#This Row],[HarvestingDate]]))</f>
        <v>8 2025</v>
      </c>
      <c r="N3568">
        <f>_xlfn.NUMBERVALUE(CompilDonnées[[#This Row],[FarmID]]&amp;CompilDonnées[[#This Row],[ModuleNumber]]&amp;CompilDonnées[[#This Row],[PlantationDate]])</f>
        <v>87345829</v>
      </c>
      <c r="O3568" t="str">
        <f>CompilDonnées[[#This Row],[FarmID]]&amp;CompilDonnées[[#This Row],[ModuleNumber]]</f>
        <v>873</v>
      </c>
      <c r="P3568" t="str">
        <f>CompilDonnées[[#This Row],[Ref_Module]]&amp;CompilDonnées[[#This Row],[HarvestingDate]]</f>
        <v>87345877</v>
      </c>
    </row>
    <row r="3569" spans="1:16">
      <c r="A3569" s="5">
        <v>45829</v>
      </c>
      <c r="B3569">
        <v>90</v>
      </c>
      <c r="C3569" t="s">
        <v>72</v>
      </c>
      <c r="D3569">
        <v>3</v>
      </c>
      <c r="E3569">
        <v>100</v>
      </c>
      <c r="F3569" t="s">
        <v>1</v>
      </c>
      <c r="G3569" s="6">
        <v>45877</v>
      </c>
      <c r="H3569">
        <v>48</v>
      </c>
      <c r="I3569">
        <f>ROUND(CompilDonnées[[#This Row],[CultureDuration_days]]/7,0)</f>
        <v>7</v>
      </c>
      <c r="J3569">
        <v>2828</v>
      </c>
      <c r="K3569" t="str">
        <f>_xlfn.CONCAT(WEEKNUM(CompilDonnées[[#This Row],[PlantationDate]]), " ", YEAR(CompilDonnées[[#This Row],[PlantationDate]]))</f>
        <v>25 2025</v>
      </c>
      <c r="L3569" t="str">
        <f>CONCATENATE(MONTH(CompilDonnées[[#This Row],[PlantationDate]])," ", YEAR(CompilDonnées[[#This Row],[PlantationDate]]))</f>
        <v>6 2025</v>
      </c>
      <c r="M3569" t="str">
        <f>CONCATENATE(MONTH(CompilDonnées[[#This Row],[HarvestingDate]])," ", YEAR(CompilDonnées[[#This Row],[HarvestingDate]]))</f>
        <v>8 2025</v>
      </c>
      <c r="N3569">
        <f>_xlfn.NUMBERVALUE(CompilDonnées[[#This Row],[FarmID]]&amp;CompilDonnées[[#This Row],[ModuleNumber]]&amp;CompilDonnées[[#This Row],[PlantationDate]])</f>
        <v>90345829</v>
      </c>
      <c r="O3569" t="str">
        <f>CompilDonnées[[#This Row],[FarmID]]&amp;CompilDonnées[[#This Row],[ModuleNumber]]</f>
        <v>903</v>
      </c>
      <c r="P3569" t="str">
        <f>CompilDonnées[[#This Row],[Ref_Module]]&amp;CompilDonnées[[#This Row],[HarvestingDate]]</f>
        <v>90345877</v>
      </c>
    </row>
    <row r="3570" spans="1:16">
      <c r="A3570" s="5">
        <v>45829</v>
      </c>
      <c r="B3570">
        <v>95</v>
      </c>
      <c r="C3570" t="s">
        <v>90</v>
      </c>
      <c r="D3570">
        <v>3</v>
      </c>
      <c r="E3570">
        <v>100</v>
      </c>
      <c r="F3570" t="s">
        <v>1</v>
      </c>
      <c r="G3570" s="6">
        <v>45877</v>
      </c>
      <c r="H3570">
        <v>48</v>
      </c>
      <c r="I3570">
        <f>ROUND(CompilDonnées[[#This Row],[CultureDuration_days]]/7,0)</f>
        <v>7</v>
      </c>
      <c r="J3570">
        <v>2681</v>
      </c>
      <c r="K3570" t="str">
        <f>_xlfn.CONCAT(WEEKNUM(CompilDonnées[[#This Row],[PlantationDate]]), " ", YEAR(CompilDonnées[[#This Row],[PlantationDate]]))</f>
        <v>25 2025</v>
      </c>
      <c r="L3570" t="str">
        <f>CONCATENATE(MONTH(CompilDonnées[[#This Row],[PlantationDate]])," ", YEAR(CompilDonnées[[#This Row],[PlantationDate]]))</f>
        <v>6 2025</v>
      </c>
      <c r="M3570" t="str">
        <f>CONCATENATE(MONTH(CompilDonnées[[#This Row],[HarvestingDate]])," ", YEAR(CompilDonnées[[#This Row],[HarvestingDate]]))</f>
        <v>8 2025</v>
      </c>
      <c r="N3570">
        <f>_xlfn.NUMBERVALUE(CompilDonnées[[#This Row],[FarmID]]&amp;CompilDonnées[[#This Row],[ModuleNumber]]&amp;CompilDonnées[[#This Row],[PlantationDate]])</f>
        <v>95345829</v>
      </c>
      <c r="O3570" t="str">
        <f>CompilDonnées[[#This Row],[FarmID]]&amp;CompilDonnées[[#This Row],[ModuleNumber]]</f>
        <v>953</v>
      </c>
      <c r="P3570" t="str">
        <f>CompilDonnées[[#This Row],[Ref_Module]]&amp;CompilDonnées[[#This Row],[HarvestingDate]]</f>
        <v>95345877</v>
      </c>
    </row>
    <row r="3571" spans="1:16">
      <c r="A3571" s="5">
        <v>45829</v>
      </c>
      <c r="B3571">
        <v>88</v>
      </c>
      <c r="C3571" t="s">
        <v>94</v>
      </c>
      <c r="D3571">
        <v>5</v>
      </c>
      <c r="E3571">
        <v>100</v>
      </c>
      <c r="F3571" t="s">
        <v>1</v>
      </c>
      <c r="G3571" s="6">
        <v>45866</v>
      </c>
      <c r="H3571">
        <v>37</v>
      </c>
      <c r="I3571">
        <f>ROUND(CompilDonnées[[#This Row],[CultureDuration_days]]/7,0)</f>
        <v>5</v>
      </c>
      <c r="J3571">
        <v>3588</v>
      </c>
      <c r="K3571" t="str">
        <f>_xlfn.CONCAT(WEEKNUM(CompilDonnées[[#This Row],[PlantationDate]]), " ", YEAR(CompilDonnées[[#This Row],[PlantationDate]]))</f>
        <v>25 2025</v>
      </c>
      <c r="L3571" t="str">
        <f>CONCATENATE(MONTH(CompilDonnées[[#This Row],[PlantationDate]])," ", YEAR(CompilDonnées[[#This Row],[PlantationDate]]))</f>
        <v>6 2025</v>
      </c>
      <c r="M3571" t="str">
        <f>CONCATENATE(MONTH(CompilDonnées[[#This Row],[HarvestingDate]])," ", YEAR(CompilDonnées[[#This Row],[HarvestingDate]]))</f>
        <v>7 2025</v>
      </c>
      <c r="N3571">
        <f>_xlfn.NUMBERVALUE(CompilDonnées[[#This Row],[FarmID]]&amp;CompilDonnées[[#This Row],[ModuleNumber]]&amp;CompilDonnées[[#This Row],[PlantationDate]])</f>
        <v>88545829</v>
      </c>
      <c r="O3571" t="str">
        <f>CompilDonnées[[#This Row],[FarmID]]&amp;CompilDonnées[[#This Row],[ModuleNumber]]</f>
        <v>885</v>
      </c>
      <c r="P3571" t="str">
        <f>CompilDonnées[[#This Row],[Ref_Module]]&amp;CompilDonnées[[#This Row],[HarvestingDate]]</f>
        <v>88545866</v>
      </c>
    </row>
    <row r="3572" spans="1:16">
      <c r="A3572" s="5">
        <v>45829</v>
      </c>
      <c r="B3572">
        <v>109</v>
      </c>
      <c r="C3572" t="s">
        <v>87</v>
      </c>
      <c r="D3572">
        <v>2</v>
      </c>
      <c r="E3572">
        <v>100</v>
      </c>
      <c r="F3572" t="s">
        <v>1</v>
      </c>
      <c r="G3572" s="6">
        <v>45877</v>
      </c>
      <c r="H3572">
        <v>48</v>
      </c>
      <c r="I3572">
        <f>ROUND(CompilDonnées[[#This Row],[CultureDuration_days]]/7,0)</f>
        <v>7</v>
      </c>
      <c r="J3572">
        <v>4200</v>
      </c>
      <c r="K3572" t="str">
        <f>_xlfn.CONCAT(WEEKNUM(CompilDonnées[[#This Row],[PlantationDate]]), " ", YEAR(CompilDonnées[[#This Row],[PlantationDate]]))</f>
        <v>25 2025</v>
      </c>
      <c r="L3572" t="str">
        <f>CONCATENATE(MONTH(CompilDonnées[[#This Row],[PlantationDate]])," ", YEAR(CompilDonnées[[#This Row],[PlantationDate]]))</f>
        <v>6 2025</v>
      </c>
      <c r="M3572" t="str">
        <f>CONCATENATE(MONTH(CompilDonnées[[#This Row],[HarvestingDate]])," ", YEAR(CompilDonnées[[#This Row],[HarvestingDate]]))</f>
        <v>8 2025</v>
      </c>
      <c r="N3572">
        <f>_xlfn.NUMBERVALUE(CompilDonnées[[#This Row],[FarmID]]&amp;CompilDonnées[[#This Row],[ModuleNumber]]&amp;CompilDonnées[[#This Row],[PlantationDate]])</f>
        <v>109245829</v>
      </c>
      <c r="O3572" t="str">
        <f>CompilDonnées[[#This Row],[FarmID]]&amp;CompilDonnées[[#This Row],[ModuleNumber]]</f>
        <v>1092</v>
      </c>
      <c r="P3572" t="str">
        <f>CompilDonnées[[#This Row],[Ref_Module]]&amp;CompilDonnées[[#This Row],[HarvestingDate]]</f>
        <v>109245877</v>
      </c>
    </row>
    <row r="3573" spans="1:16">
      <c r="A3573" s="5">
        <v>45829</v>
      </c>
      <c r="B3573">
        <v>103</v>
      </c>
      <c r="C3573" t="s">
        <v>86</v>
      </c>
      <c r="D3573">
        <v>5</v>
      </c>
      <c r="E3573">
        <v>100</v>
      </c>
      <c r="F3573" t="s">
        <v>1</v>
      </c>
      <c r="G3573" s="6">
        <v>45877</v>
      </c>
      <c r="H3573">
        <v>48</v>
      </c>
      <c r="I3573">
        <f>ROUND(CompilDonnées[[#This Row],[CultureDuration_days]]/7,0)</f>
        <v>7</v>
      </c>
      <c r="J3573">
        <v>2515</v>
      </c>
      <c r="K3573" t="str">
        <f>_xlfn.CONCAT(WEEKNUM(CompilDonnées[[#This Row],[PlantationDate]]), " ", YEAR(CompilDonnées[[#This Row],[PlantationDate]]))</f>
        <v>25 2025</v>
      </c>
      <c r="L3573" t="str">
        <f>CONCATENATE(MONTH(CompilDonnées[[#This Row],[PlantationDate]])," ", YEAR(CompilDonnées[[#This Row],[PlantationDate]]))</f>
        <v>6 2025</v>
      </c>
      <c r="M3573" t="str">
        <f>CONCATENATE(MONTH(CompilDonnées[[#This Row],[HarvestingDate]])," ", YEAR(CompilDonnées[[#This Row],[HarvestingDate]]))</f>
        <v>8 2025</v>
      </c>
      <c r="N3573">
        <f>_xlfn.NUMBERVALUE(CompilDonnées[[#This Row],[FarmID]]&amp;CompilDonnées[[#This Row],[ModuleNumber]]&amp;CompilDonnées[[#This Row],[PlantationDate]])</f>
        <v>103545829</v>
      </c>
      <c r="O3573" t="str">
        <f>CompilDonnées[[#This Row],[FarmID]]&amp;CompilDonnées[[#This Row],[ModuleNumber]]</f>
        <v>1035</v>
      </c>
      <c r="P3573" t="str">
        <f>CompilDonnées[[#This Row],[Ref_Module]]&amp;CompilDonnées[[#This Row],[HarvestingDate]]</f>
        <v>103545877</v>
      </c>
    </row>
    <row r="3574" spans="1:16">
      <c r="A3574" s="5">
        <v>45829</v>
      </c>
      <c r="B3574">
        <v>104</v>
      </c>
      <c r="C3574" t="s">
        <v>91</v>
      </c>
      <c r="D3574">
        <v>6</v>
      </c>
      <c r="E3574">
        <v>100</v>
      </c>
      <c r="F3574" t="s">
        <v>1</v>
      </c>
      <c r="G3574" s="6">
        <v>45877</v>
      </c>
      <c r="H3574">
        <v>48</v>
      </c>
      <c r="I3574">
        <f>ROUND(CompilDonnées[[#This Row],[CultureDuration_days]]/7,0)</f>
        <v>7</v>
      </c>
      <c r="J3574">
        <v>2594</v>
      </c>
      <c r="K3574" t="str">
        <f>_xlfn.CONCAT(WEEKNUM(CompilDonnées[[#This Row],[PlantationDate]]), " ", YEAR(CompilDonnées[[#This Row],[PlantationDate]]))</f>
        <v>25 2025</v>
      </c>
      <c r="L3574" t="str">
        <f>CONCATENATE(MONTH(CompilDonnées[[#This Row],[PlantationDate]])," ", YEAR(CompilDonnées[[#This Row],[PlantationDate]]))</f>
        <v>6 2025</v>
      </c>
      <c r="M3574" t="str">
        <f>CONCATENATE(MONTH(CompilDonnées[[#This Row],[HarvestingDate]])," ", YEAR(CompilDonnées[[#This Row],[HarvestingDate]]))</f>
        <v>8 2025</v>
      </c>
      <c r="N3574">
        <f>_xlfn.NUMBERVALUE(CompilDonnées[[#This Row],[FarmID]]&amp;CompilDonnées[[#This Row],[ModuleNumber]]&amp;CompilDonnées[[#This Row],[PlantationDate]])</f>
        <v>104645829</v>
      </c>
      <c r="O3574" t="str">
        <f>CompilDonnées[[#This Row],[FarmID]]&amp;CompilDonnées[[#This Row],[ModuleNumber]]</f>
        <v>1046</v>
      </c>
      <c r="P3574" t="str">
        <f>CompilDonnées[[#This Row],[Ref_Module]]&amp;CompilDonnées[[#This Row],[HarvestingDate]]</f>
        <v>104645877</v>
      </c>
    </row>
    <row r="3575" spans="1:16">
      <c r="A3575" s="5">
        <v>45829</v>
      </c>
      <c r="B3575">
        <v>107</v>
      </c>
      <c r="C3575" t="s">
        <v>23</v>
      </c>
      <c r="D3575">
        <v>5</v>
      </c>
      <c r="E3575">
        <v>100</v>
      </c>
      <c r="F3575" t="s">
        <v>1</v>
      </c>
      <c r="G3575" s="6">
        <v>45877</v>
      </c>
      <c r="H3575">
        <v>48</v>
      </c>
      <c r="I3575">
        <f>ROUND(CompilDonnées[[#This Row],[CultureDuration_days]]/7,0)</f>
        <v>7</v>
      </c>
      <c r="J3575">
        <v>3884</v>
      </c>
      <c r="K3575" t="str">
        <f>_xlfn.CONCAT(WEEKNUM(CompilDonnées[[#This Row],[PlantationDate]]), " ", YEAR(CompilDonnées[[#This Row],[PlantationDate]]))</f>
        <v>25 2025</v>
      </c>
      <c r="L3575" t="str">
        <f>CONCATENATE(MONTH(CompilDonnées[[#This Row],[PlantationDate]])," ", YEAR(CompilDonnées[[#This Row],[PlantationDate]]))</f>
        <v>6 2025</v>
      </c>
      <c r="M3575" t="str">
        <f>CONCATENATE(MONTH(CompilDonnées[[#This Row],[HarvestingDate]])," ", YEAR(CompilDonnées[[#This Row],[HarvestingDate]]))</f>
        <v>8 2025</v>
      </c>
      <c r="N3575">
        <f>_xlfn.NUMBERVALUE(CompilDonnées[[#This Row],[FarmID]]&amp;CompilDonnées[[#This Row],[ModuleNumber]]&amp;CompilDonnées[[#This Row],[PlantationDate]])</f>
        <v>107545829</v>
      </c>
      <c r="O3575" t="str">
        <f>CompilDonnées[[#This Row],[FarmID]]&amp;CompilDonnées[[#This Row],[ModuleNumber]]</f>
        <v>1075</v>
      </c>
      <c r="P3575" t="str">
        <f>CompilDonnées[[#This Row],[Ref_Module]]&amp;CompilDonnées[[#This Row],[HarvestingDate]]</f>
        <v>107545877</v>
      </c>
    </row>
    <row r="3576" spans="1:16">
      <c r="A3576" s="5">
        <v>45829</v>
      </c>
      <c r="B3576">
        <v>108</v>
      </c>
      <c r="C3576" t="s">
        <v>58</v>
      </c>
      <c r="D3576">
        <v>4</v>
      </c>
      <c r="E3576">
        <v>78</v>
      </c>
      <c r="F3576" t="s">
        <v>1</v>
      </c>
      <c r="G3576" s="6">
        <v>45866</v>
      </c>
      <c r="H3576">
        <v>37</v>
      </c>
      <c r="I3576">
        <f>ROUND(CompilDonnées[[#This Row],[CultureDuration_days]]/7,0)</f>
        <v>5</v>
      </c>
      <c r="J3576">
        <v>2617</v>
      </c>
      <c r="K3576" t="str">
        <f>_xlfn.CONCAT(WEEKNUM(CompilDonnées[[#This Row],[PlantationDate]]), " ", YEAR(CompilDonnées[[#This Row],[PlantationDate]]))</f>
        <v>25 2025</v>
      </c>
      <c r="L3576" t="str">
        <f>CONCATENATE(MONTH(CompilDonnées[[#This Row],[PlantationDate]])," ", YEAR(CompilDonnées[[#This Row],[PlantationDate]]))</f>
        <v>6 2025</v>
      </c>
      <c r="M3576" t="str">
        <f>CONCATENATE(MONTH(CompilDonnées[[#This Row],[HarvestingDate]])," ", YEAR(CompilDonnées[[#This Row],[HarvestingDate]]))</f>
        <v>7 2025</v>
      </c>
      <c r="N3576">
        <f>_xlfn.NUMBERVALUE(CompilDonnées[[#This Row],[FarmID]]&amp;CompilDonnées[[#This Row],[ModuleNumber]]&amp;CompilDonnées[[#This Row],[PlantationDate]])</f>
        <v>108445829</v>
      </c>
      <c r="O3576" t="str">
        <f>CompilDonnées[[#This Row],[FarmID]]&amp;CompilDonnées[[#This Row],[ModuleNumber]]</f>
        <v>1084</v>
      </c>
      <c r="P3576" t="str">
        <f>CompilDonnées[[#This Row],[Ref_Module]]&amp;CompilDonnées[[#This Row],[HarvestingDate]]</f>
        <v>108445866</v>
      </c>
    </row>
    <row r="3577" spans="1:16">
      <c r="A3577" s="5">
        <v>45829</v>
      </c>
      <c r="B3577">
        <v>94</v>
      </c>
      <c r="C3577" t="s">
        <v>40</v>
      </c>
      <c r="D3577">
        <v>6</v>
      </c>
      <c r="E3577">
        <v>100</v>
      </c>
      <c r="F3577" t="s">
        <v>1</v>
      </c>
      <c r="G3577" s="6">
        <v>45867</v>
      </c>
      <c r="H3577">
        <v>38</v>
      </c>
      <c r="I3577">
        <f>ROUND(CompilDonnées[[#This Row],[CultureDuration_days]]/7,0)</f>
        <v>5</v>
      </c>
      <c r="J3577">
        <v>4032</v>
      </c>
      <c r="K3577" t="str">
        <f>_xlfn.CONCAT(WEEKNUM(CompilDonnées[[#This Row],[PlantationDate]]), " ", YEAR(CompilDonnées[[#This Row],[PlantationDate]]))</f>
        <v>25 2025</v>
      </c>
      <c r="L3577" t="str">
        <f>CONCATENATE(MONTH(CompilDonnées[[#This Row],[PlantationDate]])," ", YEAR(CompilDonnées[[#This Row],[PlantationDate]]))</f>
        <v>6 2025</v>
      </c>
      <c r="M3577" t="str">
        <f>CONCATENATE(MONTH(CompilDonnées[[#This Row],[HarvestingDate]])," ", YEAR(CompilDonnées[[#This Row],[HarvestingDate]]))</f>
        <v>7 2025</v>
      </c>
      <c r="N3577">
        <f>_xlfn.NUMBERVALUE(CompilDonnées[[#This Row],[FarmID]]&amp;CompilDonnées[[#This Row],[ModuleNumber]]&amp;CompilDonnées[[#This Row],[PlantationDate]])</f>
        <v>94645829</v>
      </c>
      <c r="O3577" t="str">
        <f>CompilDonnées[[#This Row],[FarmID]]&amp;CompilDonnées[[#This Row],[ModuleNumber]]</f>
        <v>946</v>
      </c>
      <c r="P3577" t="str">
        <f>CompilDonnées[[#This Row],[Ref_Module]]&amp;CompilDonnées[[#This Row],[HarvestingDate]]</f>
        <v>94645867</v>
      </c>
    </row>
    <row r="3578" spans="1:16">
      <c r="A3578" s="5">
        <v>45829</v>
      </c>
      <c r="B3578">
        <v>97</v>
      </c>
      <c r="C3578" t="s">
        <v>78</v>
      </c>
      <c r="D3578">
        <v>5</v>
      </c>
      <c r="E3578">
        <v>100</v>
      </c>
      <c r="F3578" t="s">
        <v>1</v>
      </c>
      <c r="G3578" s="6">
        <v>45877</v>
      </c>
      <c r="H3578">
        <v>48</v>
      </c>
      <c r="I3578">
        <f>ROUND(CompilDonnées[[#This Row],[CultureDuration_days]]/7,0)</f>
        <v>7</v>
      </c>
      <c r="J3578">
        <v>3029</v>
      </c>
      <c r="K3578" t="str">
        <f>_xlfn.CONCAT(WEEKNUM(CompilDonnées[[#This Row],[PlantationDate]]), " ", YEAR(CompilDonnées[[#This Row],[PlantationDate]]))</f>
        <v>25 2025</v>
      </c>
      <c r="L3578" t="str">
        <f>CONCATENATE(MONTH(CompilDonnées[[#This Row],[PlantationDate]])," ", YEAR(CompilDonnées[[#This Row],[PlantationDate]]))</f>
        <v>6 2025</v>
      </c>
      <c r="M3578" t="str">
        <f>CONCATENATE(MONTH(CompilDonnées[[#This Row],[HarvestingDate]])," ", YEAR(CompilDonnées[[#This Row],[HarvestingDate]]))</f>
        <v>8 2025</v>
      </c>
      <c r="N3578">
        <f>_xlfn.NUMBERVALUE(CompilDonnées[[#This Row],[FarmID]]&amp;CompilDonnées[[#This Row],[ModuleNumber]]&amp;CompilDonnées[[#This Row],[PlantationDate]])</f>
        <v>97545829</v>
      </c>
      <c r="O3578" t="str">
        <f>CompilDonnées[[#This Row],[FarmID]]&amp;CompilDonnées[[#This Row],[ModuleNumber]]</f>
        <v>975</v>
      </c>
      <c r="P3578" t="str">
        <f>CompilDonnées[[#This Row],[Ref_Module]]&amp;CompilDonnées[[#This Row],[HarvestingDate]]</f>
        <v>97545877</v>
      </c>
    </row>
    <row r="3579" spans="1:16">
      <c r="A3579" s="5">
        <v>45829</v>
      </c>
      <c r="B3579">
        <v>80</v>
      </c>
      <c r="C3579" t="s">
        <v>29</v>
      </c>
      <c r="D3579">
        <v>2</v>
      </c>
      <c r="E3579">
        <v>100</v>
      </c>
      <c r="F3579" t="s">
        <v>1</v>
      </c>
      <c r="G3579" s="6">
        <v>45876</v>
      </c>
      <c r="H3579">
        <v>47</v>
      </c>
      <c r="I3579">
        <f>ROUND(CompilDonnées[[#This Row],[CultureDuration_days]]/7,0)</f>
        <v>7</v>
      </c>
      <c r="J3579">
        <v>4110</v>
      </c>
      <c r="K3579" t="str">
        <f>_xlfn.CONCAT(WEEKNUM(CompilDonnées[[#This Row],[PlantationDate]]), " ", YEAR(CompilDonnées[[#This Row],[PlantationDate]]))</f>
        <v>25 2025</v>
      </c>
      <c r="L3579" t="str">
        <f>CONCATENATE(MONTH(CompilDonnées[[#This Row],[PlantationDate]])," ", YEAR(CompilDonnées[[#This Row],[PlantationDate]]))</f>
        <v>6 2025</v>
      </c>
      <c r="M3579" t="str">
        <f>CONCATENATE(MONTH(CompilDonnées[[#This Row],[HarvestingDate]])," ", YEAR(CompilDonnées[[#This Row],[HarvestingDate]]))</f>
        <v>8 2025</v>
      </c>
      <c r="N3579">
        <f>_xlfn.NUMBERVALUE(CompilDonnées[[#This Row],[FarmID]]&amp;CompilDonnées[[#This Row],[ModuleNumber]]&amp;CompilDonnées[[#This Row],[PlantationDate]])</f>
        <v>80245829</v>
      </c>
      <c r="O3579" t="str">
        <f>CompilDonnées[[#This Row],[FarmID]]&amp;CompilDonnées[[#This Row],[ModuleNumber]]</f>
        <v>802</v>
      </c>
      <c r="P3579" t="str">
        <f>CompilDonnées[[#This Row],[Ref_Module]]&amp;CompilDonnées[[#This Row],[HarvestingDate]]</f>
        <v>80245876</v>
      </c>
    </row>
    <row r="3580" spans="1:16">
      <c r="A3580" s="5">
        <v>45829</v>
      </c>
      <c r="B3580">
        <v>79</v>
      </c>
      <c r="C3580" t="s">
        <v>61</v>
      </c>
      <c r="D3580">
        <v>6</v>
      </c>
      <c r="E3580">
        <v>100</v>
      </c>
      <c r="F3580" t="s">
        <v>1</v>
      </c>
      <c r="G3580" s="6">
        <v>45860</v>
      </c>
      <c r="H3580">
        <v>31</v>
      </c>
      <c r="I3580">
        <f>ROUND(CompilDonnées[[#This Row],[CultureDuration_days]]/7,0)</f>
        <v>4</v>
      </c>
      <c r="J3580">
        <v>2459</v>
      </c>
      <c r="K3580" t="str">
        <f>_xlfn.CONCAT(WEEKNUM(CompilDonnées[[#This Row],[PlantationDate]]), " ", YEAR(CompilDonnées[[#This Row],[PlantationDate]]))</f>
        <v>25 2025</v>
      </c>
      <c r="L3580" t="str">
        <f>CONCATENATE(MONTH(CompilDonnées[[#This Row],[PlantationDate]])," ", YEAR(CompilDonnées[[#This Row],[PlantationDate]]))</f>
        <v>6 2025</v>
      </c>
      <c r="M3580" t="str">
        <f>CONCATENATE(MONTH(CompilDonnées[[#This Row],[HarvestingDate]])," ", YEAR(CompilDonnées[[#This Row],[HarvestingDate]]))</f>
        <v>7 2025</v>
      </c>
      <c r="N3580">
        <f>_xlfn.NUMBERVALUE(CompilDonnées[[#This Row],[FarmID]]&amp;CompilDonnées[[#This Row],[ModuleNumber]]&amp;CompilDonnées[[#This Row],[PlantationDate]])</f>
        <v>79645829</v>
      </c>
      <c r="O3580" t="str">
        <f>CompilDonnées[[#This Row],[FarmID]]&amp;CompilDonnées[[#This Row],[ModuleNumber]]</f>
        <v>796</v>
      </c>
      <c r="P3580" t="str">
        <f>CompilDonnées[[#This Row],[Ref_Module]]&amp;CompilDonnées[[#This Row],[HarvestingDate]]</f>
        <v>79645860</v>
      </c>
    </row>
    <row r="3581" spans="1:16">
      <c r="A3581" s="5">
        <v>45829</v>
      </c>
      <c r="B3581">
        <v>83</v>
      </c>
      <c r="C3581" t="s">
        <v>73</v>
      </c>
      <c r="D3581">
        <v>4</v>
      </c>
      <c r="E3581">
        <v>100</v>
      </c>
      <c r="F3581" t="s">
        <v>1</v>
      </c>
      <c r="G3581" s="6">
        <v>45876</v>
      </c>
      <c r="H3581">
        <v>47</v>
      </c>
      <c r="I3581">
        <f>ROUND(CompilDonnées[[#This Row],[CultureDuration_days]]/7,0)</f>
        <v>7</v>
      </c>
      <c r="J3581">
        <v>3543</v>
      </c>
      <c r="K3581" t="str">
        <f>_xlfn.CONCAT(WEEKNUM(CompilDonnées[[#This Row],[PlantationDate]]), " ", YEAR(CompilDonnées[[#This Row],[PlantationDate]]))</f>
        <v>25 2025</v>
      </c>
      <c r="L3581" t="str">
        <f>CONCATENATE(MONTH(CompilDonnées[[#This Row],[PlantationDate]])," ", YEAR(CompilDonnées[[#This Row],[PlantationDate]]))</f>
        <v>6 2025</v>
      </c>
      <c r="M3581" t="str">
        <f>CONCATENATE(MONTH(CompilDonnées[[#This Row],[HarvestingDate]])," ", YEAR(CompilDonnées[[#This Row],[HarvestingDate]]))</f>
        <v>8 2025</v>
      </c>
      <c r="N3581">
        <f>_xlfn.NUMBERVALUE(CompilDonnées[[#This Row],[FarmID]]&amp;CompilDonnées[[#This Row],[ModuleNumber]]&amp;CompilDonnées[[#This Row],[PlantationDate]])</f>
        <v>83445829</v>
      </c>
      <c r="O3581" t="str">
        <f>CompilDonnées[[#This Row],[FarmID]]&amp;CompilDonnées[[#This Row],[ModuleNumber]]</f>
        <v>834</v>
      </c>
      <c r="P3581" t="str">
        <f>CompilDonnées[[#This Row],[Ref_Module]]&amp;CompilDonnées[[#This Row],[HarvestingDate]]</f>
        <v>83445876</v>
      </c>
    </row>
    <row r="3582" spans="1:16">
      <c r="A3582" s="5">
        <v>45829</v>
      </c>
      <c r="B3582">
        <v>56</v>
      </c>
      <c r="C3582" t="s">
        <v>6</v>
      </c>
      <c r="D3582">
        <v>5</v>
      </c>
      <c r="E3582">
        <v>100</v>
      </c>
      <c r="F3582" t="s">
        <v>1</v>
      </c>
      <c r="G3582" s="6">
        <v>45876</v>
      </c>
      <c r="H3582">
        <v>47</v>
      </c>
      <c r="I3582">
        <f>ROUND(CompilDonnées[[#This Row],[CultureDuration_days]]/7,0)</f>
        <v>7</v>
      </c>
      <c r="J3582">
        <v>3461</v>
      </c>
      <c r="K3582" t="str">
        <f>_xlfn.CONCAT(WEEKNUM(CompilDonnées[[#This Row],[PlantationDate]]), " ", YEAR(CompilDonnées[[#This Row],[PlantationDate]]))</f>
        <v>25 2025</v>
      </c>
      <c r="L3582" t="str">
        <f>CONCATENATE(MONTH(CompilDonnées[[#This Row],[PlantationDate]])," ", YEAR(CompilDonnées[[#This Row],[PlantationDate]]))</f>
        <v>6 2025</v>
      </c>
      <c r="M3582" t="str">
        <f>CONCATENATE(MONTH(CompilDonnées[[#This Row],[HarvestingDate]])," ", YEAR(CompilDonnées[[#This Row],[HarvestingDate]]))</f>
        <v>8 2025</v>
      </c>
      <c r="N3582">
        <f>_xlfn.NUMBERVALUE(CompilDonnées[[#This Row],[FarmID]]&amp;CompilDonnées[[#This Row],[ModuleNumber]]&amp;CompilDonnées[[#This Row],[PlantationDate]])</f>
        <v>56545829</v>
      </c>
      <c r="O3582" t="str">
        <f>CompilDonnées[[#This Row],[FarmID]]&amp;CompilDonnées[[#This Row],[ModuleNumber]]</f>
        <v>565</v>
      </c>
      <c r="P3582" t="str">
        <f>CompilDonnées[[#This Row],[Ref_Module]]&amp;CompilDonnées[[#This Row],[HarvestingDate]]</f>
        <v>56545876</v>
      </c>
    </row>
    <row r="3583" spans="1:16">
      <c r="A3583" s="5">
        <v>45829</v>
      </c>
      <c r="B3583">
        <v>131</v>
      </c>
      <c r="C3583" t="s">
        <v>3</v>
      </c>
      <c r="D3583">
        <v>3</v>
      </c>
      <c r="E3583">
        <v>60</v>
      </c>
      <c r="F3583" t="s">
        <v>105</v>
      </c>
      <c r="G3583" s="6">
        <v>45891</v>
      </c>
      <c r="H3583">
        <v>62</v>
      </c>
      <c r="I3583">
        <f>ROUND(CompilDonnées[[#This Row],[CultureDuration_days]]/7,0)</f>
        <v>9</v>
      </c>
      <c r="J3583">
        <v>452</v>
      </c>
      <c r="K3583" t="str">
        <f>_xlfn.CONCAT(WEEKNUM(CompilDonnées[[#This Row],[PlantationDate]]), " ", YEAR(CompilDonnées[[#This Row],[PlantationDate]]))</f>
        <v>25 2025</v>
      </c>
      <c r="L3583" t="str">
        <f>CONCATENATE(MONTH(CompilDonnées[[#This Row],[PlantationDate]])," ", YEAR(CompilDonnées[[#This Row],[PlantationDate]]))</f>
        <v>6 2025</v>
      </c>
      <c r="M3583" t="str">
        <f>CONCATENATE(MONTH(CompilDonnées[[#This Row],[HarvestingDate]])," ", YEAR(CompilDonnées[[#This Row],[HarvestingDate]]))</f>
        <v>8 2025</v>
      </c>
      <c r="N3583">
        <f>_xlfn.NUMBERVALUE(CompilDonnées[[#This Row],[FarmID]]&amp;CompilDonnées[[#This Row],[ModuleNumber]]&amp;CompilDonnées[[#This Row],[PlantationDate]])</f>
        <v>131345829</v>
      </c>
      <c r="O3583" t="str">
        <f>CompilDonnées[[#This Row],[FarmID]]&amp;CompilDonnées[[#This Row],[ModuleNumber]]</f>
        <v>1313</v>
      </c>
      <c r="P3583" t="str">
        <f>CompilDonnées[[#This Row],[Ref_Module]]&amp;CompilDonnées[[#This Row],[HarvestingDate]]</f>
        <v>131345891</v>
      </c>
    </row>
    <row r="3584" spans="1:16">
      <c r="A3584" s="5">
        <v>45829</v>
      </c>
      <c r="B3584">
        <v>56</v>
      </c>
      <c r="C3584" t="s">
        <v>6</v>
      </c>
      <c r="D3584">
        <v>6</v>
      </c>
      <c r="E3584">
        <v>100</v>
      </c>
      <c r="F3584" t="s">
        <v>1</v>
      </c>
      <c r="G3584" s="6">
        <v>45876</v>
      </c>
      <c r="H3584">
        <v>47</v>
      </c>
      <c r="I3584">
        <f>ROUND(CompilDonnées[[#This Row],[CultureDuration_days]]/7,0)</f>
        <v>7</v>
      </c>
      <c r="J3584">
        <v>3480</v>
      </c>
      <c r="K3584" t="str">
        <f>_xlfn.CONCAT(WEEKNUM(CompilDonnées[[#This Row],[PlantationDate]]), " ", YEAR(CompilDonnées[[#This Row],[PlantationDate]]))</f>
        <v>25 2025</v>
      </c>
      <c r="L3584" t="str">
        <f>CONCATENATE(MONTH(CompilDonnées[[#This Row],[PlantationDate]])," ", YEAR(CompilDonnées[[#This Row],[PlantationDate]]))</f>
        <v>6 2025</v>
      </c>
      <c r="M3584" t="str">
        <f>CONCATENATE(MONTH(CompilDonnées[[#This Row],[HarvestingDate]])," ", YEAR(CompilDonnées[[#This Row],[HarvestingDate]]))</f>
        <v>8 2025</v>
      </c>
      <c r="N3584">
        <f>_xlfn.NUMBERVALUE(CompilDonnées[[#This Row],[FarmID]]&amp;CompilDonnées[[#This Row],[ModuleNumber]]&amp;CompilDonnées[[#This Row],[PlantationDate]])</f>
        <v>56645829</v>
      </c>
      <c r="O3584" t="str">
        <f>CompilDonnées[[#This Row],[FarmID]]&amp;CompilDonnées[[#This Row],[ModuleNumber]]</f>
        <v>566</v>
      </c>
      <c r="P3584" t="str">
        <f>CompilDonnées[[#This Row],[Ref_Module]]&amp;CompilDonnées[[#This Row],[HarvestingDate]]</f>
        <v>56645876</v>
      </c>
    </row>
    <row r="3585" spans="1:16">
      <c r="A3585" s="5">
        <v>45830</v>
      </c>
      <c r="B3585">
        <v>140</v>
      </c>
      <c r="C3585" t="s">
        <v>96</v>
      </c>
      <c r="D3585">
        <v>5</v>
      </c>
      <c r="E3585">
        <v>100</v>
      </c>
      <c r="F3585" t="s">
        <v>1</v>
      </c>
      <c r="G3585" s="6">
        <v>45866</v>
      </c>
      <c r="H3585">
        <v>36</v>
      </c>
      <c r="I3585">
        <f>ROUND(CompilDonnées[[#This Row],[CultureDuration_days]]/7,0)</f>
        <v>5</v>
      </c>
      <c r="J3585">
        <v>3749</v>
      </c>
      <c r="K3585" t="str">
        <f>_xlfn.CONCAT(WEEKNUM(CompilDonnées[[#This Row],[PlantationDate]]), " ", YEAR(CompilDonnées[[#This Row],[PlantationDate]]))</f>
        <v>26 2025</v>
      </c>
      <c r="L3585" t="str">
        <f>CONCATENATE(MONTH(CompilDonnées[[#This Row],[PlantationDate]])," ", YEAR(CompilDonnées[[#This Row],[PlantationDate]]))</f>
        <v>6 2025</v>
      </c>
      <c r="M3585" t="str">
        <f>CONCATENATE(MONTH(CompilDonnées[[#This Row],[HarvestingDate]])," ", YEAR(CompilDonnées[[#This Row],[HarvestingDate]]))</f>
        <v>7 2025</v>
      </c>
      <c r="N3585">
        <f>_xlfn.NUMBERVALUE(CompilDonnées[[#This Row],[FarmID]]&amp;CompilDonnées[[#This Row],[ModuleNumber]]&amp;CompilDonnées[[#This Row],[PlantationDate]])</f>
        <v>140545830</v>
      </c>
      <c r="O3585" t="str">
        <f>CompilDonnées[[#This Row],[FarmID]]&amp;CompilDonnées[[#This Row],[ModuleNumber]]</f>
        <v>1405</v>
      </c>
      <c r="P3585" t="str">
        <f>CompilDonnées[[#This Row],[Ref_Module]]&amp;CompilDonnées[[#This Row],[HarvestingDate]]</f>
        <v>140545866</v>
      </c>
    </row>
    <row r="3586" spans="1:16">
      <c r="A3586" s="5">
        <v>45830</v>
      </c>
      <c r="B3586">
        <v>119</v>
      </c>
      <c r="C3586" t="s">
        <v>59</v>
      </c>
      <c r="D3586">
        <v>6</v>
      </c>
      <c r="E3586">
        <v>100</v>
      </c>
      <c r="F3586" t="s">
        <v>1</v>
      </c>
      <c r="G3586" s="6">
        <v>45866</v>
      </c>
      <c r="H3586">
        <v>36</v>
      </c>
      <c r="I3586">
        <f>ROUND(CompilDonnées[[#This Row],[CultureDuration_days]]/7,0)</f>
        <v>5</v>
      </c>
      <c r="J3586">
        <v>3396</v>
      </c>
      <c r="K3586" t="str">
        <f>_xlfn.CONCAT(WEEKNUM(CompilDonnées[[#This Row],[PlantationDate]]), " ", YEAR(CompilDonnées[[#This Row],[PlantationDate]]))</f>
        <v>26 2025</v>
      </c>
      <c r="L3586" t="str">
        <f>CONCATENATE(MONTH(CompilDonnées[[#This Row],[PlantationDate]])," ", YEAR(CompilDonnées[[#This Row],[PlantationDate]]))</f>
        <v>6 2025</v>
      </c>
      <c r="M3586" t="str">
        <f>CONCATENATE(MONTH(CompilDonnées[[#This Row],[HarvestingDate]])," ", YEAR(CompilDonnées[[#This Row],[HarvestingDate]]))</f>
        <v>7 2025</v>
      </c>
      <c r="N3586">
        <f>_xlfn.NUMBERVALUE(CompilDonnées[[#This Row],[FarmID]]&amp;CompilDonnées[[#This Row],[ModuleNumber]]&amp;CompilDonnées[[#This Row],[PlantationDate]])</f>
        <v>119645830</v>
      </c>
      <c r="O3586" t="str">
        <f>CompilDonnées[[#This Row],[FarmID]]&amp;CompilDonnées[[#This Row],[ModuleNumber]]</f>
        <v>1196</v>
      </c>
      <c r="P3586" t="str">
        <f>CompilDonnées[[#This Row],[Ref_Module]]&amp;CompilDonnées[[#This Row],[HarvestingDate]]</f>
        <v>119645866</v>
      </c>
    </row>
    <row r="3587" spans="1:16">
      <c r="A3587" s="5">
        <v>45830</v>
      </c>
      <c r="B3587">
        <v>113</v>
      </c>
      <c r="C3587" t="s">
        <v>16</v>
      </c>
      <c r="D3587">
        <v>6</v>
      </c>
      <c r="E3587">
        <v>100</v>
      </c>
      <c r="F3587" t="s">
        <v>1</v>
      </c>
      <c r="G3587" s="6">
        <v>45866</v>
      </c>
      <c r="H3587">
        <v>36</v>
      </c>
      <c r="I3587">
        <f>ROUND(CompilDonnées[[#This Row],[CultureDuration_days]]/7,0)</f>
        <v>5</v>
      </c>
      <c r="J3587">
        <v>4189</v>
      </c>
      <c r="K3587" t="str">
        <f>_xlfn.CONCAT(WEEKNUM(CompilDonnées[[#This Row],[PlantationDate]]), " ", YEAR(CompilDonnées[[#This Row],[PlantationDate]]))</f>
        <v>26 2025</v>
      </c>
      <c r="L3587" t="str">
        <f>CONCATENATE(MONTH(CompilDonnées[[#This Row],[PlantationDate]])," ", YEAR(CompilDonnées[[#This Row],[PlantationDate]]))</f>
        <v>6 2025</v>
      </c>
      <c r="M3587" t="str">
        <f>CONCATENATE(MONTH(CompilDonnées[[#This Row],[HarvestingDate]])," ", YEAR(CompilDonnées[[#This Row],[HarvestingDate]]))</f>
        <v>7 2025</v>
      </c>
      <c r="N3587">
        <f>_xlfn.NUMBERVALUE(CompilDonnées[[#This Row],[FarmID]]&amp;CompilDonnées[[#This Row],[ModuleNumber]]&amp;CompilDonnées[[#This Row],[PlantationDate]])</f>
        <v>113645830</v>
      </c>
      <c r="O3587" t="str">
        <f>CompilDonnées[[#This Row],[FarmID]]&amp;CompilDonnées[[#This Row],[ModuleNumber]]</f>
        <v>1136</v>
      </c>
      <c r="P3587" t="str">
        <f>CompilDonnées[[#This Row],[Ref_Module]]&amp;CompilDonnées[[#This Row],[HarvestingDate]]</f>
        <v>113645866</v>
      </c>
    </row>
    <row r="3588" spans="1:16">
      <c r="A3588" s="5">
        <v>45830</v>
      </c>
      <c r="B3588">
        <v>111</v>
      </c>
      <c r="C3588" t="s">
        <v>41</v>
      </c>
      <c r="D3588">
        <v>6</v>
      </c>
      <c r="E3588">
        <v>100</v>
      </c>
      <c r="F3588" t="s">
        <v>1</v>
      </c>
      <c r="G3588" s="6">
        <v>45877</v>
      </c>
      <c r="H3588">
        <v>47</v>
      </c>
      <c r="I3588">
        <f>ROUND(CompilDonnées[[#This Row],[CultureDuration_days]]/7,0)</f>
        <v>7</v>
      </c>
      <c r="J3588">
        <v>4590</v>
      </c>
      <c r="K3588" t="str">
        <f>_xlfn.CONCAT(WEEKNUM(CompilDonnées[[#This Row],[PlantationDate]]), " ", YEAR(CompilDonnées[[#This Row],[PlantationDate]]))</f>
        <v>26 2025</v>
      </c>
      <c r="L3588" t="str">
        <f>CONCATENATE(MONTH(CompilDonnées[[#This Row],[PlantationDate]])," ", YEAR(CompilDonnées[[#This Row],[PlantationDate]]))</f>
        <v>6 2025</v>
      </c>
      <c r="M3588" t="str">
        <f>CONCATENATE(MONTH(CompilDonnées[[#This Row],[HarvestingDate]])," ", YEAR(CompilDonnées[[#This Row],[HarvestingDate]]))</f>
        <v>8 2025</v>
      </c>
      <c r="N3588">
        <f>_xlfn.NUMBERVALUE(CompilDonnées[[#This Row],[FarmID]]&amp;CompilDonnées[[#This Row],[ModuleNumber]]&amp;CompilDonnées[[#This Row],[PlantationDate]])</f>
        <v>111645830</v>
      </c>
      <c r="O3588" t="str">
        <f>CompilDonnées[[#This Row],[FarmID]]&amp;CompilDonnées[[#This Row],[ModuleNumber]]</f>
        <v>1116</v>
      </c>
      <c r="P3588" t="str">
        <f>CompilDonnées[[#This Row],[Ref_Module]]&amp;CompilDonnées[[#This Row],[HarvestingDate]]</f>
        <v>111645877</v>
      </c>
    </row>
    <row r="3589" spans="1:16">
      <c r="A3589" s="5">
        <v>45830</v>
      </c>
      <c r="B3589">
        <v>109</v>
      </c>
      <c r="C3589" t="s">
        <v>87</v>
      </c>
      <c r="D3589">
        <v>3</v>
      </c>
      <c r="E3589">
        <v>100</v>
      </c>
      <c r="F3589" t="s">
        <v>1</v>
      </c>
      <c r="G3589" s="6">
        <v>45877</v>
      </c>
      <c r="H3589">
        <v>47</v>
      </c>
      <c r="I3589">
        <f>ROUND(CompilDonnées[[#This Row],[CultureDuration_days]]/7,0)</f>
        <v>7</v>
      </c>
      <c r="J3589">
        <v>4243</v>
      </c>
      <c r="K3589" t="str">
        <f>_xlfn.CONCAT(WEEKNUM(CompilDonnées[[#This Row],[PlantationDate]]), " ", YEAR(CompilDonnées[[#This Row],[PlantationDate]]))</f>
        <v>26 2025</v>
      </c>
      <c r="L3589" t="str">
        <f>CONCATENATE(MONTH(CompilDonnées[[#This Row],[PlantationDate]])," ", YEAR(CompilDonnées[[#This Row],[PlantationDate]]))</f>
        <v>6 2025</v>
      </c>
      <c r="M3589" t="str">
        <f>CONCATENATE(MONTH(CompilDonnées[[#This Row],[HarvestingDate]])," ", YEAR(CompilDonnées[[#This Row],[HarvestingDate]]))</f>
        <v>8 2025</v>
      </c>
      <c r="N3589">
        <f>_xlfn.NUMBERVALUE(CompilDonnées[[#This Row],[FarmID]]&amp;CompilDonnées[[#This Row],[ModuleNumber]]&amp;CompilDonnées[[#This Row],[PlantationDate]])</f>
        <v>109345830</v>
      </c>
      <c r="O3589" t="str">
        <f>CompilDonnées[[#This Row],[FarmID]]&amp;CompilDonnées[[#This Row],[ModuleNumber]]</f>
        <v>1093</v>
      </c>
      <c r="P3589" t="str">
        <f>CompilDonnées[[#This Row],[Ref_Module]]&amp;CompilDonnées[[#This Row],[HarvestingDate]]</f>
        <v>109345877</v>
      </c>
    </row>
    <row r="3590" spans="1:16">
      <c r="A3590" s="5">
        <v>45830</v>
      </c>
      <c r="B3590">
        <v>91</v>
      </c>
      <c r="C3590" t="s">
        <v>9</v>
      </c>
      <c r="D3590">
        <v>4</v>
      </c>
      <c r="E3590">
        <v>100</v>
      </c>
      <c r="F3590" t="s">
        <v>1</v>
      </c>
      <c r="G3590" s="6">
        <v>45880</v>
      </c>
      <c r="H3590">
        <v>50</v>
      </c>
      <c r="I3590">
        <f>ROUND(CompilDonnées[[#This Row],[CultureDuration_days]]/7,0)</f>
        <v>7</v>
      </c>
      <c r="J3590">
        <v>2979</v>
      </c>
      <c r="K3590" t="str">
        <f>_xlfn.CONCAT(WEEKNUM(CompilDonnées[[#This Row],[PlantationDate]]), " ", YEAR(CompilDonnées[[#This Row],[PlantationDate]]))</f>
        <v>26 2025</v>
      </c>
      <c r="L3590" t="str">
        <f>CONCATENATE(MONTH(CompilDonnées[[#This Row],[PlantationDate]])," ", YEAR(CompilDonnées[[#This Row],[PlantationDate]]))</f>
        <v>6 2025</v>
      </c>
      <c r="M3590" t="str">
        <f>CONCATENATE(MONTH(CompilDonnées[[#This Row],[HarvestingDate]])," ", YEAR(CompilDonnées[[#This Row],[HarvestingDate]]))</f>
        <v>8 2025</v>
      </c>
      <c r="N3590">
        <f>_xlfn.NUMBERVALUE(CompilDonnées[[#This Row],[FarmID]]&amp;CompilDonnées[[#This Row],[ModuleNumber]]&amp;CompilDonnées[[#This Row],[PlantationDate]])</f>
        <v>91445830</v>
      </c>
      <c r="O3590" t="str">
        <f>CompilDonnées[[#This Row],[FarmID]]&amp;CompilDonnées[[#This Row],[ModuleNumber]]</f>
        <v>914</v>
      </c>
      <c r="P3590" t="str">
        <f>CompilDonnées[[#This Row],[Ref_Module]]&amp;CompilDonnées[[#This Row],[HarvestingDate]]</f>
        <v>91445880</v>
      </c>
    </row>
    <row r="3591" spans="1:16">
      <c r="A3591" s="5">
        <v>45830</v>
      </c>
      <c r="B3591">
        <v>87</v>
      </c>
      <c r="C3591" t="s">
        <v>38</v>
      </c>
      <c r="D3591">
        <v>4</v>
      </c>
      <c r="E3591">
        <v>100</v>
      </c>
      <c r="F3591" t="s">
        <v>1</v>
      </c>
      <c r="G3591" s="6">
        <v>45877</v>
      </c>
      <c r="H3591">
        <v>47</v>
      </c>
      <c r="I3591">
        <f>ROUND(CompilDonnées[[#This Row],[CultureDuration_days]]/7,0)</f>
        <v>7</v>
      </c>
      <c r="J3591">
        <v>3740</v>
      </c>
      <c r="K3591" t="str">
        <f>_xlfn.CONCAT(WEEKNUM(CompilDonnées[[#This Row],[PlantationDate]]), " ", YEAR(CompilDonnées[[#This Row],[PlantationDate]]))</f>
        <v>26 2025</v>
      </c>
      <c r="L3591" t="str">
        <f>CONCATENATE(MONTH(CompilDonnées[[#This Row],[PlantationDate]])," ", YEAR(CompilDonnées[[#This Row],[PlantationDate]]))</f>
        <v>6 2025</v>
      </c>
      <c r="M3591" t="str">
        <f>CONCATENATE(MONTH(CompilDonnées[[#This Row],[HarvestingDate]])," ", YEAR(CompilDonnées[[#This Row],[HarvestingDate]]))</f>
        <v>8 2025</v>
      </c>
      <c r="N3591">
        <f>_xlfn.NUMBERVALUE(CompilDonnées[[#This Row],[FarmID]]&amp;CompilDonnées[[#This Row],[ModuleNumber]]&amp;CompilDonnées[[#This Row],[PlantationDate]])</f>
        <v>87445830</v>
      </c>
      <c r="O3591" t="str">
        <f>CompilDonnées[[#This Row],[FarmID]]&amp;CompilDonnées[[#This Row],[ModuleNumber]]</f>
        <v>874</v>
      </c>
      <c r="P3591" t="str">
        <f>CompilDonnées[[#This Row],[Ref_Module]]&amp;CompilDonnées[[#This Row],[HarvestingDate]]</f>
        <v>87445877</v>
      </c>
    </row>
    <row r="3592" spans="1:16">
      <c r="A3592" s="5">
        <v>45830</v>
      </c>
      <c r="B3592">
        <v>26</v>
      </c>
      <c r="C3592" t="s">
        <v>97</v>
      </c>
      <c r="D3592">
        <v>1</v>
      </c>
      <c r="E3592">
        <v>100</v>
      </c>
      <c r="F3592" t="s">
        <v>1</v>
      </c>
      <c r="G3592" s="6">
        <v>45875</v>
      </c>
      <c r="H3592">
        <v>45</v>
      </c>
      <c r="I3592">
        <f>ROUND(CompilDonnées[[#This Row],[CultureDuration_days]]/7,0)</f>
        <v>6</v>
      </c>
      <c r="J3592">
        <v>2820</v>
      </c>
      <c r="K3592" t="str">
        <f>_xlfn.CONCAT(WEEKNUM(CompilDonnées[[#This Row],[PlantationDate]]), " ", YEAR(CompilDonnées[[#This Row],[PlantationDate]]))</f>
        <v>26 2025</v>
      </c>
      <c r="L3592" t="str">
        <f>CONCATENATE(MONTH(CompilDonnées[[#This Row],[PlantationDate]])," ", YEAR(CompilDonnées[[#This Row],[PlantationDate]]))</f>
        <v>6 2025</v>
      </c>
      <c r="M3592" t="str">
        <f>CONCATENATE(MONTH(CompilDonnées[[#This Row],[HarvestingDate]])," ", YEAR(CompilDonnées[[#This Row],[HarvestingDate]]))</f>
        <v>8 2025</v>
      </c>
      <c r="N3592">
        <f>_xlfn.NUMBERVALUE(CompilDonnées[[#This Row],[FarmID]]&amp;CompilDonnées[[#This Row],[ModuleNumber]]&amp;CompilDonnées[[#This Row],[PlantationDate]])</f>
        <v>26145830</v>
      </c>
      <c r="O3592" t="str">
        <f>CompilDonnées[[#This Row],[FarmID]]&amp;CompilDonnées[[#This Row],[ModuleNumber]]</f>
        <v>261</v>
      </c>
      <c r="P3592" t="str">
        <f>CompilDonnées[[#This Row],[Ref_Module]]&amp;CompilDonnées[[#This Row],[HarvestingDate]]</f>
        <v>26145875</v>
      </c>
    </row>
    <row r="3593" spans="1:16">
      <c r="A3593" s="5">
        <v>45830</v>
      </c>
      <c r="B3593">
        <v>2</v>
      </c>
      <c r="C3593" t="s">
        <v>119</v>
      </c>
      <c r="D3593">
        <v>1</v>
      </c>
      <c r="E3593">
        <v>100</v>
      </c>
      <c r="F3593" t="s">
        <v>1</v>
      </c>
      <c r="G3593" s="6">
        <v>45875</v>
      </c>
      <c r="H3593">
        <v>45</v>
      </c>
      <c r="I3593">
        <f>ROUND(CompilDonnées[[#This Row],[CultureDuration_days]]/7,0)</f>
        <v>6</v>
      </c>
      <c r="J3593">
        <v>3211</v>
      </c>
      <c r="K3593" t="str">
        <f>_xlfn.CONCAT(WEEKNUM(CompilDonnées[[#This Row],[PlantationDate]]), " ", YEAR(CompilDonnées[[#This Row],[PlantationDate]]))</f>
        <v>26 2025</v>
      </c>
      <c r="L3593" t="str">
        <f>CONCATENATE(MONTH(CompilDonnées[[#This Row],[PlantationDate]])," ", YEAR(CompilDonnées[[#This Row],[PlantationDate]]))</f>
        <v>6 2025</v>
      </c>
      <c r="M3593" t="str">
        <f>CONCATENATE(MONTH(CompilDonnées[[#This Row],[HarvestingDate]])," ", YEAR(CompilDonnées[[#This Row],[HarvestingDate]]))</f>
        <v>8 2025</v>
      </c>
      <c r="N3593">
        <f>_xlfn.NUMBERVALUE(CompilDonnées[[#This Row],[FarmID]]&amp;CompilDonnées[[#This Row],[ModuleNumber]]&amp;CompilDonnées[[#This Row],[PlantationDate]])</f>
        <v>2145830</v>
      </c>
      <c r="O3593" t="str">
        <f>CompilDonnées[[#This Row],[FarmID]]&amp;CompilDonnées[[#This Row],[ModuleNumber]]</f>
        <v>21</v>
      </c>
      <c r="P3593" t="str">
        <f>CompilDonnées[[#This Row],[Ref_Module]]&amp;CompilDonnées[[#This Row],[HarvestingDate]]</f>
        <v>2145875</v>
      </c>
    </row>
    <row r="3594" spans="1:16">
      <c r="A3594" s="5">
        <v>45830</v>
      </c>
      <c r="B3594">
        <v>10</v>
      </c>
      <c r="C3594" t="s">
        <v>109</v>
      </c>
      <c r="D3594">
        <v>2</v>
      </c>
      <c r="E3594">
        <v>100</v>
      </c>
      <c r="F3594" t="s">
        <v>1</v>
      </c>
      <c r="G3594" s="6">
        <v>45875</v>
      </c>
      <c r="H3594">
        <v>45</v>
      </c>
      <c r="I3594">
        <f>ROUND(CompilDonnées[[#This Row],[CultureDuration_days]]/7,0)</f>
        <v>6</v>
      </c>
      <c r="J3594">
        <v>3460</v>
      </c>
      <c r="K3594" t="str">
        <f>_xlfn.CONCAT(WEEKNUM(CompilDonnées[[#This Row],[PlantationDate]]), " ", YEAR(CompilDonnées[[#This Row],[PlantationDate]]))</f>
        <v>26 2025</v>
      </c>
      <c r="L3594" t="str">
        <f>CONCATENATE(MONTH(CompilDonnées[[#This Row],[PlantationDate]])," ", YEAR(CompilDonnées[[#This Row],[PlantationDate]]))</f>
        <v>6 2025</v>
      </c>
      <c r="M3594" t="str">
        <f>CONCATENATE(MONTH(CompilDonnées[[#This Row],[HarvestingDate]])," ", YEAR(CompilDonnées[[#This Row],[HarvestingDate]]))</f>
        <v>8 2025</v>
      </c>
      <c r="N3594">
        <f>_xlfn.NUMBERVALUE(CompilDonnées[[#This Row],[FarmID]]&amp;CompilDonnées[[#This Row],[ModuleNumber]]&amp;CompilDonnées[[#This Row],[PlantationDate]])</f>
        <v>10245830</v>
      </c>
      <c r="O3594" t="str">
        <f>CompilDonnées[[#This Row],[FarmID]]&amp;CompilDonnées[[#This Row],[ModuleNumber]]</f>
        <v>102</v>
      </c>
      <c r="P3594" t="str">
        <f>CompilDonnées[[#This Row],[Ref_Module]]&amp;CompilDonnées[[#This Row],[HarvestingDate]]</f>
        <v>10245875</v>
      </c>
    </row>
    <row r="3595" spans="1:16">
      <c r="A3595" s="5">
        <v>45830</v>
      </c>
      <c r="B3595">
        <v>9</v>
      </c>
      <c r="C3595" t="s">
        <v>107</v>
      </c>
      <c r="D3595">
        <v>3</v>
      </c>
      <c r="E3595">
        <v>100</v>
      </c>
      <c r="F3595" t="s">
        <v>1</v>
      </c>
      <c r="G3595" s="6">
        <v>45875</v>
      </c>
      <c r="H3595">
        <v>45</v>
      </c>
      <c r="I3595">
        <f>ROUND(CompilDonnées[[#This Row],[CultureDuration_days]]/7,0)</f>
        <v>6</v>
      </c>
      <c r="J3595">
        <v>3034</v>
      </c>
      <c r="K3595" t="str">
        <f>_xlfn.CONCAT(WEEKNUM(CompilDonnées[[#This Row],[PlantationDate]]), " ", YEAR(CompilDonnées[[#This Row],[PlantationDate]]))</f>
        <v>26 2025</v>
      </c>
      <c r="L3595" t="str">
        <f>CONCATENATE(MONTH(CompilDonnées[[#This Row],[PlantationDate]])," ", YEAR(CompilDonnées[[#This Row],[PlantationDate]]))</f>
        <v>6 2025</v>
      </c>
      <c r="M3595" t="str">
        <f>CONCATENATE(MONTH(CompilDonnées[[#This Row],[HarvestingDate]])," ", YEAR(CompilDonnées[[#This Row],[HarvestingDate]]))</f>
        <v>8 2025</v>
      </c>
      <c r="N3595">
        <f>_xlfn.NUMBERVALUE(CompilDonnées[[#This Row],[FarmID]]&amp;CompilDonnées[[#This Row],[ModuleNumber]]&amp;CompilDonnées[[#This Row],[PlantationDate]])</f>
        <v>9345830</v>
      </c>
      <c r="O3595" t="str">
        <f>CompilDonnées[[#This Row],[FarmID]]&amp;CompilDonnées[[#This Row],[ModuleNumber]]</f>
        <v>93</v>
      </c>
      <c r="P3595" t="str">
        <f>CompilDonnées[[#This Row],[Ref_Module]]&amp;CompilDonnées[[#This Row],[HarvestingDate]]</f>
        <v>9345875</v>
      </c>
    </row>
    <row r="3596" spans="1:16">
      <c r="A3596" s="5">
        <v>45830</v>
      </c>
      <c r="B3596">
        <v>1</v>
      </c>
      <c r="C3596" t="s">
        <v>111</v>
      </c>
      <c r="D3596">
        <v>3</v>
      </c>
      <c r="E3596">
        <v>100</v>
      </c>
      <c r="F3596" t="s">
        <v>1</v>
      </c>
      <c r="G3596" s="6">
        <v>45875</v>
      </c>
      <c r="H3596">
        <v>45</v>
      </c>
      <c r="I3596">
        <f>ROUND(CompilDonnées[[#This Row],[CultureDuration_days]]/7,0)</f>
        <v>6</v>
      </c>
      <c r="J3596">
        <v>3396</v>
      </c>
      <c r="K3596" t="str">
        <f>_xlfn.CONCAT(WEEKNUM(CompilDonnées[[#This Row],[PlantationDate]]), " ", YEAR(CompilDonnées[[#This Row],[PlantationDate]]))</f>
        <v>26 2025</v>
      </c>
      <c r="L3596" t="str">
        <f>CONCATENATE(MONTH(CompilDonnées[[#This Row],[PlantationDate]])," ", YEAR(CompilDonnées[[#This Row],[PlantationDate]]))</f>
        <v>6 2025</v>
      </c>
      <c r="M3596" t="str">
        <f>CONCATENATE(MONTH(CompilDonnées[[#This Row],[HarvestingDate]])," ", YEAR(CompilDonnées[[#This Row],[HarvestingDate]]))</f>
        <v>8 2025</v>
      </c>
      <c r="N3596">
        <f>_xlfn.NUMBERVALUE(CompilDonnées[[#This Row],[FarmID]]&amp;CompilDonnées[[#This Row],[ModuleNumber]]&amp;CompilDonnées[[#This Row],[PlantationDate]])</f>
        <v>1345830</v>
      </c>
      <c r="O3596" t="str">
        <f>CompilDonnées[[#This Row],[FarmID]]&amp;CompilDonnées[[#This Row],[ModuleNumber]]</f>
        <v>13</v>
      </c>
      <c r="P3596" t="str">
        <f>CompilDonnées[[#This Row],[Ref_Module]]&amp;CompilDonnées[[#This Row],[HarvestingDate]]</f>
        <v>1345875</v>
      </c>
    </row>
    <row r="3597" spans="1:16">
      <c r="A3597" s="5">
        <v>45830</v>
      </c>
      <c r="B3597">
        <v>13</v>
      </c>
      <c r="C3597" t="s">
        <v>114</v>
      </c>
      <c r="D3597">
        <v>6</v>
      </c>
      <c r="E3597">
        <v>100</v>
      </c>
      <c r="F3597" t="s">
        <v>1</v>
      </c>
      <c r="G3597" s="6">
        <v>45875</v>
      </c>
      <c r="H3597">
        <v>45</v>
      </c>
      <c r="I3597">
        <f>ROUND(CompilDonnées[[#This Row],[CultureDuration_days]]/7,0)</f>
        <v>6</v>
      </c>
      <c r="J3597">
        <v>3564</v>
      </c>
      <c r="K3597" t="str">
        <f>_xlfn.CONCAT(WEEKNUM(CompilDonnées[[#This Row],[PlantationDate]]), " ", YEAR(CompilDonnées[[#This Row],[PlantationDate]]))</f>
        <v>26 2025</v>
      </c>
      <c r="L3597" t="str">
        <f>CONCATENATE(MONTH(CompilDonnées[[#This Row],[PlantationDate]])," ", YEAR(CompilDonnées[[#This Row],[PlantationDate]]))</f>
        <v>6 2025</v>
      </c>
      <c r="M3597" t="str">
        <f>CONCATENATE(MONTH(CompilDonnées[[#This Row],[HarvestingDate]])," ", YEAR(CompilDonnées[[#This Row],[HarvestingDate]]))</f>
        <v>8 2025</v>
      </c>
      <c r="N3597">
        <f>_xlfn.NUMBERVALUE(CompilDonnées[[#This Row],[FarmID]]&amp;CompilDonnées[[#This Row],[ModuleNumber]]&amp;CompilDonnées[[#This Row],[PlantationDate]])</f>
        <v>13645830</v>
      </c>
      <c r="O3597" t="str">
        <f>CompilDonnées[[#This Row],[FarmID]]&amp;CompilDonnées[[#This Row],[ModuleNumber]]</f>
        <v>136</v>
      </c>
      <c r="P3597" t="str">
        <f>CompilDonnées[[#This Row],[Ref_Module]]&amp;CompilDonnées[[#This Row],[HarvestingDate]]</f>
        <v>13645875</v>
      </c>
    </row>
    <row r="3598" spans="1:16">
      <c r="A3598" s="5">
        <v>45830</v>
      </c>
      <c r="B3598">
        <v>11</v>
      </c>
      <c r="C3598" t="s">
        <v>106</v>
      </c>
      <c r="D3598">
        <v>6</v>
      </c>
      <c r="E3598">
        <v>100</v>
      </c>
      <c r="F3598" t="s">
        <v>1</v>
      </c>
      <c r="G3598" s="6">
        <v>45882</v>
      </c>
      <c r="H3598">
        <v>52</v>
      </c>
      <c r="I3598">
        <f>ROUND(CompilDonnées[[#This Row],[CultureDuration_days]]/7,0)</f>
        <v>7</v>
      </c>
      <c r="J3598">
        <v>2573</v>
      </c>
      <c r="K3598" t="str">
        <f>_xlfn.CONCAT(WEEKNUM(CompilDonnées[[#This Row],[PlantationDate]]), " ", YEAR(CompilDonnées[[#This Row],[PlantationDate]]))</f>
        <v>26 2025</v>
      </c>
      <c r="L3598" t="str">
        <f>CONCATENATE(MONTH(CompilDonnées[[#This Row],[PlantationDate]])," ", YEAR(CompilDonnées[[#This Row],[PlantationDate]]))</f>
        <v>6 2025</v>
      </c>
      <c r="M3598" t="str">
        <f>CONCATENATE(MONTH(CompilDonnées[[#This Row],[HarvestingDate]])," ", YEAR(CompilDonnées[[#This Row],[HarvestingDate]]))</f>
        <v>8 2025</v>
      </c>
      <c r="N3598">
        <f>_xlfn.NUMBERVALUE(CompilDonnées[[#This Row],[FarmID]]&amp;CompilDonnées[[#This Row],[ModuleNumber]]&amp;CompilDonnées[[#This Row],[PlantationDate]])</f>
        <v>11645830</v>
      </c>
      <c r="O3598" t="str">
        <f>CompilDonnées[[#This Row],[FarmID]]&amp;CompilDonnées[[#This Row],[ModuleNumber]]</f>
        <v>116</v>
      </c>
      <c r="P3598" t="str">
        <f>CompilDonnées[[#This Row],[Ref_Module]]&amp;CompilDonnées[[#This Row],[HarvestingDate]]</f>
        <v>11645882</v>
      </c>
    </row>
    <row r="3599" spans="1:16">
      <c r="A3599" s="5">
        <v>45830</v>
      </c>
      <c r="B3599">
        <v>12</v>
      </c>
      <c r="C3599" t="s">
        <v>123</v>
      </c>
      <c r="D3599">
        <v>6</v>
      </c>
      <c r="E3599">
        <v>100</v>
      </c>
      <c r="F3599" t="s">
        <v>1</v>
      </c>
      <c r="G3599" s="6">
        <v>45882</v>
      </c>
      <c r="H3599">
        <v>52</v>
      </c>
      <c r="I3599">
        <f>ROUND(CompilDonnées[[#This Row],[CultureDuration_days]]/7,0)</f>
        <v>7</v>
      </c>
      <c r="J3599">
        <v>1903</v>
      </c>
      <c r="K3599" t="str">
        <f>_xlfn.CONCAT(WEEKNUM(CompilDonnées[[#This Row],[PlantationDate]]), " ", YEAR(CompilDonnées[[#This Row],[PlantationDate]]))</f>
        <v>26 2025</v>
      </c>
      <c r="L3599" t="str">
        <f>CONCATENATE(MONTH(CompilDonnées[[#This Row],[PlantationDate]])," ", YEAR(CompilDonnées[[#This Row],[PlantationDate]]))</f>
        <v>6 2025</v>
      </c>
      <c r="M3599" t="str">
        <f>CONCATENATE(MONTH(CompilDonnées[[#This Row],[HarvestingDate]])," ", YEAR(CompilDonnées[[#This Row],[HarvestingDate]]))</f>
        <v>8 2025</v>
      </c>
      <c r="N3599">
        <f>_xlfn.NUMBERVALUE(CompilDonnées[[#This Row],[FarmID]]&amp;CompilDonnées[[#This Row],[ModuleNumber]]&amp;CompilDonnées[[#This Row],[PlantationDate]])</f>
        <v>12645830</v>
      </c>
      <c r="O3599" t="str">
        <f>CompilDonnées[[#This Row],[FarmID]]&amp;CompilDonnées[[#This Row],[ModuleNumber]]</f>
        <v>126</v>
      </c>
      <c r="P3599" t="str">
        <f>CompilDonnées[[#This Row],[Ref_Module]]&amp;CompilDonnées[[#This Row],[HarvestingDate]]</f>
        <v>12645882</v>
      </c>
    </row>
    <row r="3600" spans="1:16">
      <c r="A3600" s="5">
        <v>45830</v>
      </c>
      <c r="B3600">
        <v>59</v>
      </c>
      <c r="C3600" t="s">
        <v>64</v>
      </c>
      <c r="D3600">
        <v>2</v>
      </c>
      <c r="E3600">
        <v>100</v>
      </c>
      <c r="F3600" t="s">
        <v>1</v>
      </c>
      <c r="G3600" s="6">
        <v>45868</v>
      </c>
      <c r="H3600">
        <v>38</v>
      </c>
      <c r="I3600">
        <f>ROUND(CompilDonnées[[#This Row],[CultureDuration_days]]/7,0)</f>
        <v>5</v>
      </c>
      <c r="J3600">
        <v>3264</v>
      </c>
      <c r="K3600" t="str">
        <f>_xlfn.CONCAT(WEEKNUM(CompilDonnées[[#This Row],[PlantationDate]]), " ", YEAR(CompilDonnées[[#This Row],[PlantationDate]]))</f>
        <v>26 2025</v>
      </c>
      <c r="L3600" t="str">
        <f>CONCATENATE(MONTH(CompilDonnées[[#This Row],[PlantationDate]])," ", YEAR(CompilDonnées[[#This Row],[PlantationDate]]))</f>
        <v>6 2025</v>
      </c>
      <c r="M3600" t="str">
        <f>CONCATENATE(MONTH(CompilDonnées[[#This Row],[HarvestingDate]])," ", YEAR(CompilDonnées[[#This Row],[HarvestingDate]]))</f>
        <v>7 2025</v>
      </c>
      <c r="N3600">
        <f>_xlfn.NUMBERVALUE(CompilDonnées[[#This Row],[FarmID]]&amp;CompilDonnées[[#This Row],[ModuleNumber]]&amp;CompilDonnées[[#This Row],[PlantationDate]])</f>
        <v>59245830</v>
      </c>
      <c r="O3600" t="str">
        <f>CompilDonnées[[#This Row],[FarmID]]&amp;CompilDonnées[[#This Row],[ModuleNumber]]</f>
        <v>592</v>
      </c>
      <c r="P3600" t="str">
        <f>CompilDonnées[[#This Row],[Ref_Module]]&amp;CompilDonnées[[#This Row],[HarvestingDate]]</f>
        <v>59245868</v>
      </c>
    </row>
    <row r="3601" spans="1:16">
      <c r="A3601" s="5">
        <v>45830</v>
      </c>
      <c r="B3601">
        <v>3</v>
      </c>
      <c r="C3601" t="s">
        <v>116</v>
      </c>
      <c r="D3601">
        <v>4</v>
      </c>
      <c r="E3601">
        <v>100</v>
      </c>
      <c r="F3601" t="s">
        <v>1</v>
      </c>
      <c r="G3601" s="6">
        <v>45882</v>
      </c>
      <c r="H3601">
        <v>52</v>
      </c>
      <c r="I3601">
        <f>ROUND(CompilDonnées[[#This Row],[CultureDuration_days]]/7,0)</f>
        <v>7</v>
      </c>
      <c r="J3601">
        <v>3083</v>
      </c>
      <c r="K3601" t="str">
        <f>_xlfn.CONCAT(WEEKNUM(CompilDonnées[[#This Row],[PlantationDate]]), " ", YEAR(CompilDonnées[[#This Row],[PlantationDate]]))</f>
        <v>26 2025</v>
      </c>
      <c r="L3601" t="str">
        <f>CONCATENATE(MONTH(CompilDonnées[[#This Row],[PlantationDate]])," ", YEAR(CompilDonnées[[#This Row],[PlantationDate]]))</f>
        <v>6 2025</v>
      </c>
      <c r="M3601" t="str">
        <f>CONCATENATE(MONTH(CompilDonnées[[#This Row],[HarvestingDate]])," ", YEAR(CompilDonnées[[#This Row],[HarvestingDate]]))</f>
        <v>8 2025</v>
      </c>
      <c r="N3601">
        <f>_xlfn.NUMBERVALUE(CompilDonnées[[#This Row],[FarmID]]&amp;CompilDonnées[[#This Row],[ModuleNumber]]&amp;CompilDonnées[[#This Row],[PlantationDate]])</f>
        <v>3445830</v>
      </c>
      <c r="O3601" t="str">
        <f>CompilDonnées[[#This Row],[FarmID]]&amp;CompilDonnées[[#This Row],[ModuleNumber]]</f>
        <v>34</v>
      </c>
      <c r="P3601" t="str">
        <f>CompilDonnées[[#This Row],[Ref_Module]]&amp;CompilDonnées[[#This Row],[HarvestingDate]]</f>
        <v>3445882</v>
      </c>
    </row>
    <row r="3602" spans="1:16">
      <c r="A3602" s="5">
        <v>45830</v>
      </c>
      <c r="B3602">
        <v>6</v>
      </c>
      <c r="C3602" t="s">
        <v>24</v>
      </c>
      <c r="D3602">
        <v>1</v>
      </c>
      <c r="E3602">
        <v>100</v>
      </c>
      <c r="F3602" t="s">
        <v>1</v>
      </c>
      <c r="G3602" s="6">
        <v>45875</v>
      </c>
      <c r="H3602">
        <v>45</v>
      </c>
      <c r="I3602">
        <f>ROUND(CompilDonnées[[#This Row],[CultureDuration_days]]/7,0)</f>
        <v>6</v>
      </c>
      <c r="J3602">
        <v>3869</v>
      </c>
      <c r="K3602" t="str">
        <f>_xlfn.CONCAT(WEEKNUM(CompilDonnées[[#This Row],[PlantationDate]]), " ", YEAR(CompilDonnées[[#This Row],[PlantationDate]]))</f>
        <v>26 2025</v>
      </c>
      <c r="L3602" t="str">
        <f>CONCATENATE(MONTH(CompilDonnées[[#This Row],[PlantationDate]])," ", YEAR(CompilDonnées[[#This Row],[PlantationDate]]))</f>
        <v>6 2025</v>
      </c>
      <c r="M3602" t="str">
        <f>CONCATENATE(MONTH(CompilDonnées[[#This Row],[HarvestingDate]])," ", YEAR(CompilDonnées[[#This Row],[HarvestingDate]]))</f>
        <v>8 2025</v>
      </c>
      <c r="N3602">
        <f>_xlfn.NUMBERVALUE(CompilDonnées[[#This Row],[FarmID]]&amp;CompilDonnées[[#This Row],[ModuleNumber]]&amp;CompilDonnées[[#This Row],[PlantationDate]])</f>
        <v>6145830</v>
      </c>
      <c r="O3602" t="str">
        <f>CompilDonnées[[#This Row],[FarmID]]&amp;CompilDonnées[[#This Row],[ModuleNumber]]</f>
        <v>61</v>
      </c>
      <c r="P3602" t="str">
        <f>CompilDonnées[[#This Row],[Ref_Module]]&amp;CompilDonnées[[#This Row],[HarvestingDate]]</f>
        <v>6145875</v>
      </c>
    </row>
    <row r="3603" spans="1:16">
      <c r="A3603" s="5">
        <v>45830</v>
      </c>
      <c r="B3603">
        <v>4</v>
      </c>
      <c r="C3603" t="s">
        <v>74</v>
      </c>
      <c r="D3603">
        <v>1</v>
      </c>
      <c r="E3603">
        <v>100</v>
      </c>
      <c r="F3603" t="s">
        <v>1</v>
      </c>
      <c r="G3603" s="6">
        <v>45882</v>
      </c>
      <c r="H3603">
        <v>52</v>
      </c>
      <c r="I3603">
        <f>ROUND(CompilDonnées[[#This Row],[CultureDuration_days]]/7,0)</f>
        <v>7</v>
      </c>
      <c r="J3603">
        <v>2103</v>
      </c>
      <c r="K3603" t="str">
        <f>_xlfn.CONCAT(WEEKNUM(CompilDonnées[[#This Row],[PlantationDate]]), " ", YEAR(CompilDonnées[[#This Row],[PlantationDate]]))</f>
        <v>26 2025</v>
      </c>
      <c r="L3603" t="str">
        <f>CONCATENATE(MONTH(CompilDonnées[[#This Row],[PlantationDate]])," ", YEAR(CompilDonnées[[#This Row],[PlantationDate]]))</f>
        <v>6 2025</v>
      </c>
      <c r="M3603" t="str">
        <f>CONCATENATE(MONTH(CompilDonnées[[#This Row],[HarvestingDate]])," ", YEAR(CompilDonnées[[#This Row],[HarvestingDate]]))</f>
        <v>8 2025</v>
      </c>
      <c r="N3603">
        <f>_xlfn.NUMBERVALUE(CompilDonnées[[#This Row],[FarmID]]&amp;CompilDonnées[[#This Row],[ModuleNumber]]&amp;CompilDonnées[[#This Row],[PlantationDate]])</f>
        <v>4145830</v>
      </c>
      <c r="O3603" t="str">
        <f>CompilDonnées[[#This Row],[FarmID]]&amp;CompilDonnées[[#This Row],[ModuleNumber]]</f>
        <v>41</v>
      </c>
      <c r="P3603" t="str">
        <f>CompilDonnées[[#This Row],[Ref_Module]]&amp;CompilDonnées[[#This Row],[HarvestingDate]]</f>
        <v>4145882</v>
      </c>
    </row>
    <row r="3604" spans="1:16">
      <c r="A3604" s="5">
        <v>45830</v>
      </c>
      <c r="B3604">
        <v>15</v>
      </c>
      <c r="C3604" t="s">
        <v>5</v>
      </c>
      <c r="D3604">
        <v>2</v>
      </c>
      <c r="E3604">
        <v>100</v>
      </c>
      <c r="F3604" t="s">
        <v>1</v>
      </c>
      <c r="G3604" s="6">
        <v>45875</v>
      </c>
      <c r="H3604">
        <v>45</v>
      </c>
      <c r="I3604">
        <f>ROUND(CompilDonnées[[#This Row],[CultureDuration_days]]/7,0)</f>
        <v>6</v>
      </c>
      <c r="J3604">
        <v>2450</v>
      </c>
      <c r="K3604" t="str">
        <f>_xlfn.CONCAT(WEEKNUM(CompilDonnées[[#This Row],[PlantationDate]]), " ", YEAR(CompilDonnées[[#This Row],[PlantationDate]]))</f>
        <v>26 2025</v>
      </c>
      <c r="L3604" t="str">
        <f>CONCATENATE(MONTH(CompilDonnées[[#This Row],[PlantationDate]])," ", YEAR(CompilDonnées[[#This Row],[PlantationDate]]))</f>
        <v>6 2025</v>
      </c>
      <c r="M3604" t="str">
        <f>CONCATENATE(MONTH(CompilDonnées[[#This Row],[HarvestingDate]])," ", YEAR(CompilDonnées[[#This Row],[HarvestingDate]]))</f>
        <v>8 2025</v>
      </c>
      <c r="N3604">
        <f>_xlfn.NUMBERVALUE(CompilDonnées[[#This Row],[FarmID]]&amp;CompilDonnées[[#This Row],[ModuleNumber]]&amp;CompilDonnées[[#This Row],[PlantationDate]])</f>
        <v>15245830</v>
      </c>
      <c r="O3604" t="str">
        <f>CompilDonnées[[#This Row],[FarmID]]&amp;CompilDonnées[[#This Row],[ModuleNumber]]</f>
        <v>152</v>
      </c>
      <c r="P3604" t="str">
        <f>CompilDonnées[[#This Row],[Ref_Module]]&amp;CompilDonnées[[#This Row],[HarvestingDate]]</f>
        <v>15245875</v>
      </c>
    </row>
    <row r="3605" spans="1:16">
      <c r="A3605" s="5">
        <v>45830</v>
      </c>
      <c r="B3605">
        <v>16</v>
      </c>
      <c r="C3605" t="s">
        <v>112</v>
      </c>
      <c r="D3605">
        <v>1</v>
      </c>
      <c r="E3605">
        <v>100</v>
      </c>
      <c r="F3605" t="s">
        <v>1</v>
      </c>
      <c r="G3605" s="6">
        <v>45875</v>
      </c>
      <c r="H3605">
        <v>45</v>
      </c>
      <c r="I3605">
        <f>ROUND(CompilDonnées[[#This Row],[CultureDuration_days]]/7,0)</f>
        <v>6</v>
      </c>
      <c r="J3605">
        <v>3062</v>
      </c>
      <c r="K3605" t="str">
        <f>_xlfn.CONCAT(WEEKNUM(CompilDonnées[[#This Row],[PlantationDate]]), " ", YEAR(CompilDonnées[[#This Row],[PlantationDate]]))</f>
        <v>26 2025</v>
      </c>
      <c r="L3605" t="str">
        <f>CONCATENATE(MONTH(CompilDonnées[[#This Row],[PlantationDate]])," ", YEAR(CompilDonnées[[#This Row],[PlantationDate]]))</f>
        <v>6 2025</v>
      </c>
      <c r="M3605" t="str">
        <f>CONCATENATE(MONTH(CompilDonnées[[#This Row],[HarvestingDate]])," ", YEAR(CompilDonnées[[#This Row],[HarvestingDate]]))</f>
        <v>8 2025</v>
      </c>
      <c r="N3605">
        <f>_xlfn.NUMBERVALUE(CompilDonnées[[#This Row],[FarmID]]&amp;CompilDonnées[[#This Row],[ModuleNumber]]&amp;CompilDonnées[[#This Row],[PlantationDate]])</f>
        <v>16145830</v>
      </c>
      <c r="O3605" t="str">
        <f>CompilDonnées[[#This Row],[FarmID]]&amp;CompilDonnées[[#This Row],[ModuleNumber]]</f>
        <v>161</v>
      </c>
      <c r="P3605" t="str">
        <f>CompilDonnées[[#This Row],[Ref_Module]]&amp;CompilDonnées[[#This Row],[HarvestingDate]]</f>
        <v>16145875</v>
      </c>
    </row>
    <row r="3606" spans="1:16">
      <c r="A3606" s="5">
        <v>45830</v>
      </c>
      <c r="B3606">
        <v>18</v>
      </c>
      <c r="C3606" t="s">
        <v>33</v>
      </c>
      <c r="D3606">
        <v>6</v>
      </c>
      <c r="E3606">
        <v>100</v>
      </c>
      <c r="F3606" t="s">
        <v>1</v>
      </c>
      <c r="G3606" s="6">
        <v>45875</v>
      </c>
      <c r="H3606">
        <v>45</v>
      </c>
      <c r="I3606">
        <f>ROUND(CompilDonnées[[#This Row],[CultureDuration_days]]/7,0)</f>
        <v>6</v>
      </c>
      <c r="J3606">
        <v>4212</v>
      </c>
      <c r="K3606" t="str">
        <f>_xlfn.CONCAT(WEEKNUM(CompilDonnées[[#This Row],[PlantationDate]]), " ", YEAR(CompilDonnées[[#This Row],[PlantationDate]]))</f>
        <v>26 2025</v>
      </c>
      <c r="L3606" t="str">
        <f>CONCATENATE(MONTH(CompilDonnées[[#This Row],[PlantationDate]])," ", YEAR(CompilDonnées[[#This Row],[PlantationDate]]))</f>
        <v>6 2025</v>
      </c>
      <c r="M3606" t="str">
        <f>CONCATENATE(MONTH(CompilDonnées[[#This Row],[HarvestingDate]])," ", YEAR(CompilDonnées[[#This Row],[HarvestingDate]]))</f>
        <v>8 2025</v>
      </c>
      <c r="N3606">
        <f>_xlfn.NUMBERVALUE(CompilDonnées[[#This Row],[FarmID]]&amp;CompilDonnées[[#This Row],[ModuleNumber]]&amp;CompilDonnées[[#This Row],[PlantationDate]])</f>
        <v>18645830</v>
      </c>
      <c r="O3606" t="str">
        <f>CompilDonnées[[#This Row],[FarmID]]&amp;CompilDonnées[[#This Row],[ModuleNumber]]</f>
        <v>186</v>
      </c>
      <c r="P3606" t="str">
        <f>CompilDonnées[[#This Row],[Ref_Module]]&amp;CompilDonnées[[#This Row],[HarvestingDate]]</f>
        <v>18645875</v>
      </c>
    </row>
    <row r="3607" spans="1:16">
      <c r="A3607" s="5">
        <v>45830</v>
      </c>
      <c r="B3607">
        <v>24</v>
      </c>
      <c r="C3607" t="s">
        <v>31</v>
      </c>
      <c r="D3607">
        <v>6</v>
      </c>
      <c r="E3607">
        <v>100</v>
      </c>
      <c r="F3607" t="s">
        <v>1</v>
      </c>
      <c r="G3607" s="6">
        <v>45869</v>
      </c>
      <c r="H3607">
        <v>39</v>
      </c>
      <c r="I3607">
        <f>ROUND(CompilDonnées[[#This Row],[CultureDuration_days]]/7,0)</f>
        <v>6</v>
      </c>
      <c r="J3607">
        <v>3881</v>
      </c>
      <c r="K3607" t="str">
        <f>_xlfn.CONCAT(WEEKNUM(CompilDonnées[[#This Row],[PlantationDate]]), " ", YEAR(CompilDonnées[[#This Row],[PlantationDate]]))</f>
        <v>26 2025</v>
      </c>
      <c r="L3607" t="str">
        <f>CONCATENATE(MONTH(CompilDonnées[[#This Row],[PlantationDate]])," ", YEAR(CompilDonnées[[#This Row],[PlantationDate]]))</f>
        <v>6 2025</v>
      </c>
      <c r="M3607" t="str">
        <f>CONCATENATE(MONTH(CompilDonnées[[#This Row],[HarvestingDate]])," ", YEAR(CompilDonnées[[#This Row],[HarvestingDate]]))</f>
        <v>7 2025</v>
      </c>
      <c r="N3607">
        <f>_xlfn.NUMBERVALUE(CompilDonnées[[#This Row],[FarmID]]&amp;CompilDonnées[[#This Row],[ModuleNumber]]&amp;CompilDonnées[[#This Row],[PlantationDate]])</f>
        <v>24645830</v>
      </c>
      <c r="O3607" t="str">
        <f>CompilDonnées[[#This Row],[FarmID]]&amp;CompilDonnées[[#This Row],[ModuleNumber]]</f>
        <v>246</v>
      </c>
      <c r="P3607" t="str">
        <f>CompilDonnées[[#This Row],[Ref_Module]]&amp;CompilDonnées[[#This Row],[HarvestingDate]]</f>
        <v>24645869</v>
      </c>
    </row>
    <row r="3608" spans="1:16">
      <c r="A3608" s="5">
        <v>45830</v>
      </c>
      <c r="B3608">
        <v>35</v>
      </c>
      <c r="C3608" t="s">
        <v>69</v>
      </c>
      <c r="D3608">
        <v>6</v>
      </c>
      <c r="E3608">
        <v>100</v>
      </c>
      <c r="F3608" t="s">
        <v>1</v>
      </c>
      <c r="G3608" s="6">
        <v>45882</v>
      </c>
      <c r="H3608">
        <v>52</v>
      </c>
      <c r="I3608">
        <f>ROUND(CompilDonnées[[#This Row],[CultureDuration_days]]/7,0)</f>
        <v>7</v>
      </c>
      <c r="J3608">
        <v>5261</v>
      </c>
      <c r="K3608" t="str">
        <f>_xlfn.CONCAT(WEEKNUM(CompilDonnées[[#This Row],[PlantationDate]]), " ", YEAR(CompilDonnées[[#This Row],[PlantationDate]]))</f>
        <v>26 2025</v>
      </c>
      <c r="L3608" t="str">
        <f>CONCATENATE(MONTH(CompilDonnées[[#This Row],[PlantationDate]])," ", YEAR(CompilDonnées[[#This Row],[PlantationDate]]))</f>
        <v>6 2025</v>
      </c>
      <c r="M3608" t="str">
        <f>CONCATENATE(MONTH(CompilDonnées[[#This Row],[HarvestingDate]])," ", YEAR(CompilDonnées[[#This Row],[HarvestingDate]]))</f>
        <v>8 2025</v>
      </c>
      <c r="N3608">
        <f>_xlfn.NUMBERVALUE(CompilDonnées[[#This Row],[FarmID]]&amp;CompilDonnées[[#This Row],[ModuleNumber]]&amp;CompilDonnées[[#This Row],[PlantationDate]])</f>
        <v>35645830</v>
      </c>
      <c r="O3608" t="str">
        <f>CompilDonnées[[#This Row],[FarmID]]&amp;CompilDonnées[[#This Row],[ModuleNumber]]</f>
        <v>356</v>
      </c>
      <c r="P3608" t="str">
        <f>CompilDonnées[[#This Row],[Ref_Module]]&amp;CompilDonnées[[#This Row],[HarvestingDate]]</f>
        <v>35645882</v>
      </c>
    </row>
    <row r="3609" spans="1:16">
      <c r="A3609" s="5">
        <v>45830</v>
      </c>
      <c r="B3609">
        <v>17</v>
      </c>
      <c r="C3609" t="s">
        <v>80</v>
      </c>
      <c r="D3609">
        <v>6</v>
      </c>
      <c r="E3609">
        <v>100</v>
      </c>
      <c r="F3609" t="s">
        <v>1</v>
      </c>
      <c r="G3609" s="6">
        <v>45875</v>
      </c>
      <c r="H3609">
        <v>45</v>
      </c>
      <c r="I3609">
        <f>ROUND(CompilDonnées[[#This Row],[CultureDuration_days]]/7,0)</f>
        <v>6</v>
      </c>
      <c r="J3609">
        <v>3934</v>
      </c>
      <c r="K3609" t="str">
        <f>_xlfn.CONCAT(WEEKNUM(CompilDonnées[[#This Row],[PlantationDate]]), " ", YEAR(CompilDonnées[[#This Row],[PlantationDate]]))</f>
        <v>26 2025</v>
      </c>
      <c r="L3609" t="str">
        <f>CONCATENATE(MONTH(CompilDonnées[[#This Row],[PlantationDate]])," ", YEAR(CompilDonnées[[#This Row],[PlantationDate]]))</f>
        <v>6 2025</v>
      </c>
      <c r="M3609" t="str">
        <f>CONCATENATE(MONTH(CompilDonnées[[#This Row],[HarvestingDate]])," ", YEAR(CompilDonnées[[#This Row],[HarvestingDate]]))</f>
        <v>8 2025</v>
      </c>
      <c r="N3609">
        <f>_xlfn.NUMBERVALUE(CompilDonnées[[#This Row],[FarmID]]&amp;CompilDonnées[[#This Row],[ModuleNumber]]&amp;CompilDonnées[[#This Row],[PlantationDate]])</f>
        <v>17645830</v>
      </c>
      <c r="O3609" t="str">
        <f>CompilDonnées[[#This Row],[FarmID]]&amp;CompilDonnées[[#This Row],[ModuleNumber]]</f>
        <v>176</v>
      </c>
      <c r="P3609" t="str">
        <f>CompilDonnées[[#This Row],[Ref_Module]]&amp;CompilDonnées[[#This Row],[HarvestingDate]]</f>
        <v>17645875</v>
      </c>
    </row>
    <row r="3610" spans="1:16">
      <c r="A3610" s="5">
        <v>45830</v>
      </c>
      <c r="B3610">
        <v>23</v>
      </c>
      <c r="C3610" t="s">
        <v>44</v>
      </c>
      <c r="D3610">
        <v>2</v>
      </c>
      <c r="E3610">
        <v>100</v>
      </c>
      <c r="F3610" t="s">
        <v>1</v>
      </c>
      <c r="G3610" s="6">
        <v>45869</v>
      </c>
      <c r="H3610">
        <v>39</v>
      </c>
      <c r="I3610">
        <f>ROUND(CompilDonnées[[#This Row],[CultureDuration_days]]/7,0)</f>
        <v>6</v>
      </c>
      <c r="J3610">
        <v>3011</v>
      </c>
      <c r="K3610" t="str">
        <f>_xlfn.CONCAT(WEEKNUM(CompilDonnées[[#This Row],[PlantationDate]]), " ", YEAR(CompilDonnées[[#This Row],[PlantationDate]]))</f>
        <v>26 2025</v>
      </c>
      <c r="L3610" t="str">
        <f>CONCATENATE(MONTH(CompilDonnées[[#This Row],[PlantationDate]])," ", YEAR(CompilDonnées[[#This Row],[PlantationDate]]))</f>
        <v>6 2025</v>
      </c>
      <c r="M3610" t="str">
        <f>CONCATENATE(MONTH(CompilDonnées[[#This Row],[HarvestingDate]])," ", YEAR(CompilDonnées[[#This Row],[HarvestingDate]]))</f>
        <v>7 2025</v>
      </c>
      <c r="N3610">
        <f>_xlfn.NUMBERVALUE(CompilDonnées[[#This Row],[FarmID]]&amp;CompilDonnées[[#This Row],[ModuleNumber]]&amp;CompilDonnées[[#This Row],[PlantationDate]])</f>
        <v>23245830</v>
      </c>
      <c r="O3610" t="str">
        <f>CompilDonnées[[#This Row],[FarmID]]&amp;CompilDonnées[[#This Row],[ModuleNumber]]</f>
        <v>232</v>
      </c>
      <c r="P3610" t="str">
        <f>CompilDonnées[[#This Row],[Ref_Module]]&amp;CompilDonnées[[#This Row],[HarvestingDate]]</f>
        <v>23245869</v>
      </c>
    </row>
    <row r="3611" spans="1:16">
      <c r="A3611" s="5">
        <v>45831</v>
      </c>
      <c r="B3611">
        <v>4</v>
      </c>
      <c r="C3611" t="s">
        <v>74</v>
      </c>
      <c r="D3611">
        <v>4</v>
      </c>
      <c r="E3611">
        <v>100</v>
      </c>
      <c r="F3611" t="s">
        <v>1</v>
      </c>
      <c r="G3611" s="6">
        <v>45875</v>
      </c>
      <c r="H3611">
        <v>44</v>
      </c>
      <c r="I3611">
        <f>ROUND(CompilDonnées[[#This Row],[CultureDuration_days]]/7,0)</f>
        <v>6</v>
      </c>
      <c r="J3611">
        <v>2550</v>
      </c>
      <c r="K3611" t="str">
        <f>_xlfn.CONCAT(WEEKNUM(CompilDonnées[[#This Row],[PlantationDate]]), " ", YEAR(CompilDonnées[[#This Row],[PlantationDate]]))</f>
        <v>26 2025</v>
      </c>
      <c r="L3611" t="str">
        <f>CONCATENATE(MONTH(CompilDonnées[[#This Row],[PlantationDate]])," ", YEAR(CompilDonnées[[#This Row],[PlantationDate]]))</f>
        <v>6 2025</v>
      </c>
      <c r="M3611" t="str">
        <f>CONCATENATE(MONTH(CompilDonnées[[#This Row],[HarvestingDate]])," ", YEAR(CompilDonnées[[#This Row],[HarvestingDate]]))</f>
        <v>8 2025</v>
      </c>
      <c r="N3611">
        <f>_xlfn.NUMBERVALUE(CompilDonnées[[#This Row],[FarmID]]&amp;CompilDonnées[[#This Row],[ModuleNumber]]&amp;CompilDonnées[[#This Row],[PlantationDate]])</f>
        <v>4445831</v>
      </c>
      <c r="O3611" t="str">
        <f>CompilDonnées[[#This Row],[FarmID]]&amp;CompilDonnées[[#This Row],[ModuleNumber]]</f>
        <v>44</v>
      </c>
      <c r="P3611" t="str">
        <f>CompilDonnées[[#This Row],[Ref_Module]]&amp;CompilDonnées[[#This Row],[HarvestingDate]]</f>
        <v>4445875</v>
      </c>
    </row>
    <row r="3612" spans="1:16">
      <c r="A3612" s="5">
        <v>45831</v>
      </c>
      <c r="B3612">
        <v>16</v>
      </c>
      <c r="C3612" t="s">
        <v>112</v>
      </c>
      <c r="D3612">
        <v>2</v>
      </c>
      <c r="E3612">
        <v>100</v>
      </c>
      <c r="F3612" t="s">
        <v>1</v>
      </c>
      <c r="G3612" s="6">
        <v>45875</v>
      </c>
      <c r="H3612">
        <v>44</v>
      </c>
      <c r="I3612">
        <f>ROUND(CompilDonnées[[#This Row],[CultureDuration_days]]/7,0)</f>
        <v>6</v>
      </c>
      <c r="J3612">
        <v>2943</v>
      </c>
      <c r="K3612" t="str">
        <f>_xlfn.CONCAT(WEEKNUM(CompilDonnées[[#This Row],[PlantationDate]]), " ", YEAR(CompilDonnées[[#This Row],[PlantationDate]]))</f>
        <v>26 2025</v>
      </c>
      <c r="L3612" t="str">
        <f>CONCATENATE(MONTH(CompilDonnées[[#This Row],[PlantationDate]])," ", YEAR(CompilDonnées[[#This Row],[PlantationDate]]))</f>
        <v>6 2025</v>
      </c>
      <c r="M3612" t="str">
        <f>CONCATENATE(MONTH(CompilDonnées[[#This Row],[HarvestingDate]])," ", YEAR(CompilDonnées[[#This Row],[HarvestingDate]]))</f>
        <v>8 2025</v>
      </c>
      <c r="N3612">
        <f>_xlfn.NUMBERVALUE(CompilDonnées[[#This Row],[FarmID]]&amp;CompilDonnées[[#This Row],[ModuleNumber]]&amp;CompilDonnées[[#This Row],[PlantationDate]])</f>
        <v>16245831</v>
      </c>
      <c r="O3612" t="str">
        <f>CompilDonnées[[#This Row],[FarmID]]&amp;CompilDonnées[[#This Row],[ModuleNumber]]</f>
        <v>162</v>
      </c>
      <c r="P3612" t="str">
        <f>CompilDonnées[[#This Row],[Ref_Module]]&amp;CompilDonnées[[#This Row],[HarvestingDate]]</f>
        <v>16245875</v>
      </c>
    </row>
    <row r="3613" spans="1:16">
      <c r="A3613" s="5">
        <v>45831</v>
      </c>
      <c r="B3613">
        <v>15</v>
      </c>
      <c r="C3613" t="s">
        <v>5</v>
      </c>
      <c r="D3613">
        <v>3</v>
      </c>
      <c r="E3613">
        <v>100</v>
      </c>
      <c r="F3613" t="s">
        <v>1</v>
      </c>
      <c r="G3613" s="6">
        <v>45875</v>
      </c>
      <c r="H3613">
        <v>44</v>
      </c>
      <c r="I3613">
        <f>ROUND(CompilDonnées[[#This Row],[CultureDuration_days]]/7,0)</f>
        <v>6</v>
      </c>
      <c r="J3613">
        <v>2481</v>
      </c>
      <c r="K3613" t="str">
        <f>_xlfn.CONCAT(WEEKNUM(CompilDonnées[[#This Row],[PlantationDate]]), " ", YEAR(CompilDonnées[[#This Row],[PlantationDate]]))</f>
        <v>26 2025</v>
      </c>
      <c r="L3613" t="str">
        <f>CONCATENATE(MONTH(CompilDonnées[[#This Row],[PlantationDate]])," ", YEAR(CompilDonnées[[#This Row],[PlantationDate]]))</f>
        <v>6 2025</v>
      </c>
      <c r="M3613" t="str">
        <f>CONCATENATE(MONTH(CompilDonnées[[#This Row],[HarvestingDate]])," ", YEAR(CompilDonnées[[#This Row],[HarvestingDate]]))</f>
        <v>8 2025</v>
      </c>
      <c r="N3613">
        <f>_xlfn.NUMBERVALUE(CompilDonnées[[#This Row],[FarmID]]&amp;CompilDonnées[[#This Row],[ModuleNumber]]&amp;CompilDonnées[[#This Row],[PlantationDate]])</f>
        <v>15345831</v>
      </c>
      <c r="O3613" t="str">
        <f>CompilDonnées[[#This Row],[FarmID]]&amp;CompilDonnées[[#This Row],[ModuleNumber]]</f>
        <v>153</v>
      </c>
      <c r="P3613" t="str">
        <f>CompilDonnées[[#This Row],[Ref_Module]]&amp;CompilDonnées[[#This Row],[HarvestingDate]]</f>
        <v>15345875</v>
      </c>
    </row>
    <row r="3614" spans="1:16">
      <c r="A3614" s="5">
        <v>45831</v>
      </c>
      <c r="B3614">
        <v>24</v>
      </c>
      <c r="C3614" t="s">
        <v>31</v>
      </c>
      <c r="D3614">
        <v>5</v>
      </c>
      <c r="E3614">
        <v>100</v>
      </c>
      <c r="F3614" t="s">
        <v>1</v>
      </c>
      <c r="G3614" s="6">
        <v>45869</v>
      </c>
      <c r="H3614">
        <v>38</v>
      </c>
      <c r="I3614">
        <f>ROUND(CompilDonnées[[#This Row],[CultureDuration_days]]/7,0)</f>
        <v>5</v>
      </c>
      <c r="J3614">
        <v>3910</v>
      </c>
      <c r="K3614" t="str">
        <f>_xlfn.CONCAT(WEEKNUM(CompilDonnées[[#This Row],[PlantationDate]]), " ", YEAR(CompilDonnées[[#This Row],[PlantationDate]]))</f>
        <v>26 2025</v>
      </c>
      <c r="L3614" t="str">
        <f>CONCATENATE(MONTH(CompilDonnées[[#This Row],[PlantationDate]])," ", YEAR(CompilDonnées[[#This Row],[PlantationDate]]))</f>
        <v>6 2025</v>
      </c>
      <c r="M3614" t="str">
        <f>CONCATENATE(MONTH(CompilDonnées[[#This Row],[HarvestingDate]])," ", YEAR(CompilDonnées[[#This Row],[HarvestingDate]]))</f>
        <v>7 2025</v>
      </c>
      <c r="N3614">
        <f>_xlfn.NUMBERVALUE(CompilDonnées[[#This Row],[FarmID]]&amp;CompilDonnées[[#This Row],[ModuleNumber]]&amp;CompilDonnées[[#This Row],[PlantationDate]])</f>
        <v>24545831</v>
      </c>
      <c r="O3614" t="str">
        <f>CompilDonnées[[#This Row],[FarmID]]&amp;CompilDonnées[[#This Row],[ModuleNumber]]</f>
        <v>245</v>
      </c>
      <c r="P3614" t="str">
        <f>CompilDonnées[[#This Row],[Ref_Module]]&amp;CompilDonnées[[#This Row],[HarvestingDate]]</f>
        <v>24545869</v>
      </c>
    </row>
    <row r="3615" spans="1:16">
      <c r="A3615" s="5">
        <v>45831</v>
      </c>
      <c r="B3615">
        <v>23</v>
      </c>
      <c r="C3615" t="s">
        <v>44</v>
      </c>
      <c r="D3615">
        <v>3</v>
      </c>
      <c r="E3615">
        <v>100</v>
      </c>
      <c r="F3615" t="s">
        <v>1</v>
      </c>
      <c r="G3615" s="6">
        <v>45875</v>
      </c>
      <c r="H3615">
        <v>44</v>
      </c>
      <c r="I3615">
        <f>ROUND(CompilDonnées[[#This Row],[CultureDuration_days]]/7,0)</f>
        <v>6</v>
      </c>
      <c r="J3615">
        <v>2991</v>
      </c>
      <c r="K3615" t="str">
        <f>_xlfn.CONCAT(WEEKNUM(CompilDonnées[[#This Row],[PlantationDate]]), " ", YEAR(CompilDonnées[[#This Row],[PlantationDate]]))</f>
        <v>26 2025</v>
      </c>
      <c r="L3615" t="str">
        <f>CONCATENATE(MONTH(CompilDonnées[[#This Row],[PlantationDate]])," ", YEAR(CompilDonnées[[#This Row],[PlantationDate]]))</f>
        <v>6 2025</v>
      </c>
      <c r="M3615" t="str">
        <f>CONCATENATE(MONTH(CompilDonnées[[#This Row],[HarvestingDate]])," ", YEAR(CompilDonnées[[#This Row],[HarvestingDate]]))</f>
        <v>8 2025</v>
      </c>
      <c r="N3615">
        <f>_xlfn.NUMBERVALUE(CompilDonnées[[#This Row],[FarmID]]&amp;CompilDonnées[[#This Row],[ModuleNumber]]&amp;CompilDonnées[[#This Row],[PlantationDate]])</f>
        <v>23345831</v>
      </c>
      <c r="O3615" t="str">
        <f>CompilDonnées[[#This Row],[FarmID]]&amp;CompilDonnées[[#This Row],[ModuleNumber]]</f>
        <v>233</v>
      </c>
      <c r="P3615" t="str">
        <f>CompilDonnées[[#This Row],[Ref_Module]]&amp;CompilDonnées[[#This Row],[HarvestingDate]]</f>
        <v>23345875</v>
      </c>
    </row>
    <row r="3616" spans="1:16">
      <c r="A3616" s="5">
        <v>45831</v>
      </c>
      <c r="B3616">
        <v>38</v>
      </c>
      <c r="C3616" t="s">
        <v>34</v>
      </c>
      <c r="D3616">
        <v>1</v>
      </c>
      <c r="E3616">
        <v>100</v>
      </c>
      <c r="F3616" t="s">
        <v>1</v>
      </c>
      <c r="G3616" s="6">
        <v>45876</v>
      </c>
      <c r="H3616">
        <v>45</v>
      </c>
      <c r="I3616">
        <f>ROUND(CompilDonnées[[#This Row],[CultureDuration_days]]/7,0)</f>
        <v>6</v>
      </c>
      <c r="J3616">
        <v>4188</v>
      </c>
      <c r="K3616" t="str">
        <f>_xlfn.CONCAT(WEEKNUM(CompilDonnées[[#This Row],[PlantationDate]]), " ", YEAR(CompilDonnées[[#This Row],[PlantationDate]]))</f>
        <v>26 2025</v>
      </c>
      <c r="L3616" t="str">
        <f>CONCATENATE(MONTH(CompilDonnées[[#This Row],[PlantationDate]])," ", YEAR(CompilDonnées[[#This Row],[PlantationDate]]))</f>
        <v>6 2025</v>
      </c>
      <c r="M3616" t="str">
        <f>CONCATENATE(MONTH(CompilDonnées[[#This Row],[HarvestingDate]])," ", YEAR(CompilDonnées[[#This Row],[HarvestingDate]]))</f>
        <v>8 2025</v>
      </c>
      <c r="N3616">
        <f>_xlfn.NUMBERVALUE(CompilDonnées[[#This Row],[FarmID]]&amp;CompilDonnées[[#This Row],[ModuleNumber]]&amp;CompilDonnées[[#This Row],[PlantationDate]])</f>
        <v>38145831</v>
      </c>
      <c r="O3616" t="str">
        <f>CompilDonnées[[#This Row],[FarmID]]&amp;CompilDonnées[[#This Row],[ModuleNumber]]</f>
        <v>381</v>
      </c>
      <c r="P3616" t="str">
        <f>CompilDonnées[[#This Row],[Ref_Module]]&amp;CompilDonnées[[#This Row],[HarvestingDate]]</f>
        <v>38145876</v>
      </c>
    </row>
    <row r="3617" spans="1:16">
      <c r="A3617" s="5">
        <v>45831</v>
      </c>
      <c r="B3617">
        <v>31</v>
      </c>
      <c r="C3617" t="s">
        <v>62</v>
      </c>
      <c r="D3617">
        <v>3</v>
      </c>
      <c r="E3617">
        <v>100</v>
      </c>
      <c r="F3617" t="s">
        <v>1</v>
      </c>
      <c r="G3617" s="6">
        <v>45882</v>
      </c>
      <c r="H3617">
        <v>51</v>
      </c>
      <c r="I3617">
        <f>ROUND(CompilDonnées[[#This Row],[CultureDuration_days]]/7,0)</f>
        <v>7</v>
      </c>
      <c r="J3617">
        <v>3310</v>
      </c>
      <c r="K3617" t="str">
        <f>_xlfn.CONCAT(WEEKNUM(CompilDonnées[[#This Row],[PlantationDate]]), " ", YEAR(CompilDonnées[[#This Row],[PlantationDate]]))</f>
        <v>26 2025</v>
      </c>
      <c r="L3617" t="str">
        <f>CONCATENATE(MONTH(CompilDonnées[[#This Row],[PlantationDate]])," ", YEAR(CompilDonnées[[#This Row],[PlantationDate]]))</f>
        <v>6 2025</v>
      </c>
      <c r="M3617" t="str">
        <f>CONCATENATE(MONTH(CompilDonnées[[#This Row],[HarvestingDate]])," ", YEAR(CompilDonnées[[#This Row],[HarvestingDate]]))</f>
        <v>8 2025</v>
      </c>
      <c r="N3617">
        <f>_xlfn.NUMBERVALUE(CompilDonnées[[#This Row],[FarmID]]&amp;CompilDonnées[[#This Row],[ModuleNumber]]&amp;CompilDonnées[[#This Row],[PlantationDate]])</f>
        <v>31345831</v>
      </c>
      <c r="O3617" t="str">
        <f>CompilDonnées[[#This Row],[FarmID]]&amp;CompilDonnées[[#This Row],[ModuleNumber]]</f>
        <v>313</v>
      </c>
      <c r="P3617" t="str">
        <f>CompilDonnées[[#This Row],[Ref_Module]]&amp;CompilDonnées[[#This Row],[HarvestingDate]]</f>
        <v>31345882</v>
      </c>
    </row>
    <row r="3618" spans="1:16">
      <c r="A3618" s="5">
        <v>45831</v>
      </c>
      <c r="B3618">
        <v>32</v>
      </c>
      <c r="C3618" t="s">
        <v>25</v>
      </c>
      <c r="D3618">
        <v>3</v>
      </c>
      <c r="E3618">
        <v>100</v>
      </c>
      <c r="F3618" t="s">
        <v>1</v>
      </c>
      <c r="G3618" s="6">
        <v>45882</v>
      </c>
      <c r="H3618">
        <v>51</v>
      </c>
      <c r="I3618">
        <f>ROUND(CompilDonnées[[#This Row],[CultureDuration_days]]/7,0)</f>
        <v>7</v>
      </c>
      <c r="J3618">
        <v>4602</v>
      </c>
      <c r="K3618" t="str">
        <f>_xlfn.CONCAT(WEEKNUM(CompilDonnées[[#This Row],[PlantationDate]]), " ", YEAR(CompilDonnées[[#This Row],[PlantationDate]]))</f>
        <v>26 2025</v>
      </c>
      <c r="L3618" t="str">
        <f>CONCATENATE(MONTH(CompilDonnées[[#This Row],[PlantationDate]])," ", YEAR(CompilDonnées[[#This Row],[PlantationDate]]))</f>
        <v>6 2025</v>
      </c>
      <c r="M3618" t="str">
        <f>CONCATENATE(MONTH(CompilDonnées[[#This Row],[HarvestingDate]])," ", YEAR(CompilDonnées[[#This Row],[HarvestingDate]]))</f>
        <v>8 2025</v>
      </c>
      <c r="N3618">
        <f>_xlfn.NUMBERVALUE(CompilDonnées[[#This Row],[FarmID]]&amp;CompilDonnées[[#This Row],[ModuleNumber]]&amp;CompilDonnées[[#This Row],[PlantationDate]])</f>
        <v>32345831</v>
      </c>
      <c r="O3618" t="str">
        <f>CompilDonnées[[#This Row],[FarmID]]&amp;CompilDonnées[[#This Row],[ModuleNumber]]</f>
        <v>323</v>
      </c>
      <c r="P3618" t="str">
        <f>CompilDonnées[[#This Row],[Ref_Module]]&amp;CompilDonnées[[#This Row],[HarvestingDate]]</f>
        <v>32345882</v>
      </c>
    </row>
    <row r="3619" spans="1:16">
      <c r="A3619" s="5">
        <v>45831</v>
      </c>
      <c r="B3619">
        <v>36</v>
      </c>
      <c r="C3619" t="s">
        <v>63</v>
      </c>
      <c r="D3619">
        <v>2</v>
      </c>
      <c r="E3619">
        <v>100</v>
      </c>
      <c r="F3619" t="s">
        <v>1</v>
      </c>
      <c r="G3619" s="6">
        <v>45875</v>
      </c>
      <c r="H3619">
        <v>44</v>
      </c>
      <c r="I3619">
        <f>ROUND(CompilDonnées[[#This Row],[CultureDuration_days]]/7,0)</f>
        <v>6</v>
      </c>
      <c r="J3619">
        <v>2968</v>
      </c>
      <c r="K3619" t="str">
        <f>_xlfn.CONCAT(WEEKNUM(CompilDonnées[[#This Row],[PlantationDate]]), " ", YEAR(CompilDonnées[[#This Row],[PlantationDate]]))</f>
        <v>26 2025</v>
      </c>
      <c r="L3619" t="str">
        <f>CONCATENATE(MONTH(CompilDonnées[[#This Row],[PlantationDate]])," ", YEAR(CompilDonnées[[#This Row],[PlantationDate]]))</f>
        <v>6 2025</v>
      </c>
      <c r="M3619" t="str">
        <f>CONCATENATE(MONTH(CompilDonnées[[#This Row],[HarvestingDate]])," ", YEAR(CompilDonnées[[#This Row],[HarvestingDate]]))</f>
        <v>8 2025</v>
      </c>
      <c r="N3619">
        <f>_xlfn.NUMBERVALUE(CompilDonnées[[#This Row],[FarmID]]&amp;CompilDonnées[[#This Row],[ModuleNumber]]&amp;CompilDonnées[[#This Row],[PlantationDate]])</f>
        <v>36245831</v>
      </c>
      <c r="O3619" t="str">
        <f>CompilDonnées[[#This Row],[FarmID]]&amp;CompilDonnées[[#This Row],[ModuleNumber]]</f>
        <v>362</v>
      </c>
      <c r="P3619" t="str">
        <f>CompilDonnées[[#This Row],[Ref_Module]]&amp;CompilDonnées[[#This Row],[HarvestingDate]]</f>
        <v>36245875</v>
      </c>
    </row>
    <row r="3620" spans="1:16">
      <c r="A3620" s="5">
        <v>45831</v>
      </c>
      <c r="B3620">
        <v>35</v>
      </c>
      <c r="C3620" t="s">
        <v>69</v>
      </c>
      <c r="D3620">
        <v>3</v>
      </c>
      <c r="E3620">
        <v>100</v>
      </c>
      <c r="F3620" t="s">
        <v>1</v>
      </c>
      <c r="G3620" s="6">
        <v>45875</v>
      </c>
      <c r="H3620">
        <v>44</v>
      </c>
      <c r="I3620">
        <f>ROUND(CompilDonnées[[#This Row],[CultureDuration_days]]/7,0)</f>
        <v>6</v>
      </c>
      <c r="J3620">
        <v>2523</v>
      </c>
      <c r="K3620" t="str">
        <f>_xlfn.CONCAT(WEEKNUM(CompilDonnées[[#This Row],[PlantationDate]]), " ", YEAR(CompilDonnées[[#This Row],[PlantationDate]]))</f>
        <v>26 2025</v>
      </c>
      <c r="L3620" t="str">
        <f>CONCATENATE(MONTH(CompilDonnées[[#This Row],[PlantationDate]])," ", YEAR(CompilDonnées[[#This Row],[PlantationDate]]))</f>
        <v>6 2025</v>
      </c>
      <c r="M3620" t="str">
        <f>CONCATENATE(MONTH(CompilDonnées[[#This Row],[HarvestingDate]])," ", YEAR(CompilDonnées[[#This Row],[HarvestingDate]]))</f>
        <v>8 2025</v>
      </c>
      <c r="N3620">
        <f>_xlfn.NUMBERVALUE(CompilDonnées[[#This Row],[FarmID]]&amp;CompilDonnées[[#This Row],[ModuleNumber]]&amp;CompilDonnées[[#This Row],[PlantationDate]])</f>
        <v>35345831</v>
      </c>
      <c r="O3620" t="str">
        <f>CompilDonnées[[#This Row],[FarmID]]&amp;CompilDonnées[[#This Row],[ModuleNumber]]</f>
        <v>353</v>
      </c>
      <c r="P3620" t="str">
        <f>CompilDonnées[[#This Row],[Ref_Module]]&amp;CompilDonnées[[#This Row],[HarvestingDate]]</f>
        <v>35345875</v>
      </c>
    </row>
    <row r="3621" spans="1:16">
      <c r="A3621" s="5">
        <v>45831</v>
      </c>
      <c r="B3621">
        <v>42</v>
      </c>
      <c r="C3621" t="s">
        <v>2</v>
      </c>
      <c r="D3621">
        <v>4</v>
      </c>
      <c r="E3621">
        <v>100</v>
      </c>
      <c r="F3621" t="s">
        <v>1</v>
      </c>
      <c r="G3621" s="6">
        <v>45882</v>
      </c>
      <c r="H3621">
        <v>51</v>
      </c>
      <c r="I3621">
        <f>ROUND(CompilDonnées[[#This Row],[CultureDuration_days]]/7,0)</f>
        <v>7</v>
      </c>
      <c r="J3621">
        <v>3026</v>
      </c>
      <c r="K3621" t="str">
        <f>_xlfn.CONCAT(WEEKNUM(CompilDonnées[[#This Row],[PlantationDate]]), " ", YEAR(CompilDonnées[[#This Row],[PlantationDate]]))</f>
        <v>26 2025</v>
      </c>
      <c r="L3621" t="str">
        <f>CONCATENATE(MONTH(CompilDonnées[[#This Row],[PlantationDate]])," ", YEAR(CompilDonnées[[#This Row],[PlantationDate]]))</f>
        <v>6 2025</v>
      </c>
      <c r="M3621" t="str">
        <f>CONCATENATE(MONTH(CompilDonnées[[#This Row],[HarvestingDate]])," ", YEAR(CompilDonnées[[#This Row],[HarvestingDate]]))</f>
        <v>8 2025</v>
      </c>
      <c r="N3621">
        <f>_xlfn.NUMBERVALUE(CompilDonnées[[#This Row],[FarmID]]&amp;CompilDonnées[[#This Row],[ModuleNumber]]&amp;CompilDonnées[[#This Row],[PlantationDate]])</f>
        <v>42445831</v>
      </c>
      <c r="O3621" t="str">
        <f>CompilDonnées[[#This Row],[FarmID]]&amp;CompilDonnées[[#This Row],[ModuleNumber]]</f>
        <v>424</v>
      </c>
      <c r="P3621" t="str">
        <f>CompilDonnées[[#This Row],[Ref_Module]]&amp;CompilDonnées[[#This Row],[HarvestingDate]]</f>
        <v>42445882</v>
      </c>
    </row>
    <row r="3622" spans="1:16">
      <c r="A3622" s="5">
        <v>45831</v>
      </c>
      <c r="B3622">
        <v>21</v>
      </c>
      <c r="C3622" t="s">
        <v>0</v>
      </c>
      <c r="D3622">
        <v>4</v>
      </c>
      <c r="E3622">
        <v>100</v>
      </c>
      <c r="F3622" t="s">
        <v>1</v>
      </c>
      <c r="G3622" s="6">
        <v>45875</v>
      </c>
      <c r="H3622">
        <v>44</v>
      </c>
      <c r="I3622">
        <f>ROUND(CompilDonnées[[#This Row],[CultureDuration_days]]/7,0)</f>
        <v>6</v>
      </c>
      <c r="J3622">
        <v>3125</v>
      </c>
      <c r="K3622" t="str">
        <f>_xlfn.CONCAT(WEEKNUM(CompilDonnées[[#This Row],[PlantationDate]]), " ", YEAR(CompilDonnées[[#This Row],[PlantationDate]]))</f>
        <v>26 2025</v>
      </c>
      <c r="L3622" t="str">
        <f>CONCATENATE(MONTH(CompilDonnées[[#This Row],[PlantationDate]])," ", YEAR(CompilDonnées[[#This Row],[PlantationDate]]))</f>
        <v>6 2025</v>
      </c>
      <c r="M3622" t="str">
        <f>CONCATENATE(MONTH(CompilDonnées[[#This Row],[HarvestingDate]])," ", YEAR(CompilDonnées[[#This Row],[HarvestingDate]]))</f>
        <v>8 2025</v>
      </c>
      <c r="N3622">
        <f>_xlfn.NUMBERVALUE(CompilDonnées[[#This Row],[FarmID]]&amp;CompilDonnées[[#This Row],[ModuleNumber]]&amp;CompilDonnées[[#This Row],[PlantationDate]])</f>
        <v>21445831</v>
      </c>
      <c r="O3622" t="str">
        <f>CompilDonnées[[#This Row],[FarmID]]&amp;CompilDonnées[[#This Row],[ModuleNumber]]</f>
        <v>214</v>
      </c>
      <c r="P3622" t="str">
        <f>CompilDonnées[[#This Row],[Ref_Module]]&amp;CompilDonnées[[#This Row],[HarvestingDate]]</f>
        <v>21445875</v>
      </c>
    </row>
    <row r="3623" spans="1:16">
      <c r="A3623" s="5">
        <v>45831</v>
      </c>
      <c r="B3623">
        <v>73</v>
      </c>
      <c r="C3623" t="s">
        <v>20</v>
      </c>
      <c r="D3623">
        <v>1</v>
      </c>
      <c r="E3623">
        <v>100</v>
      </c>
      <c r="F3623" t="s">
        <v>1</v>
      </c>
      <c r="G3623" s="6">
        <v>45881</v>
      </c>
      <c r="H3623">
        <v>50</v>
      </c>
      <c r="I3623">
        <f>ROUND(CompilDonnées[[#This Row],[CultureDuration_days]]/7,0)</f>
        <v>7</v>
      </c>
      <c r="J3623">
        <v>3718</v>
      </c>
      <c r="K3623" t="str">
        <f>_xlfn.CONCAT(WEEKNUM(CompilDonnées[[#This Row],[PlantationDate]]), " ", YEAR(CompilDonnées[[#This Row],[PlantationDate]]))</f>
        <v>26 2025</v>
      </c>
      <c r="L3623" t="str">
        <f>CONCATENATE(MONTH(CompilDonnées[[#This Row],[PlantationDate]])," ", YEAR(CompilDonnées[[#This Row],[PlantationDate]]))</f>
        <v>6 2025</v>
      </c>
      <c r="M3623" t="str">
        <f>CONCATENATE(MONTH(CompilDonnées[[#This Row],[HarvestingDate]])," ", YEAR(CompilDonnées[[#This Row],[HarvestingDate]]))</f>
        <v>8 2025</v>
      </c>
      <c r="N3623">
        <f>_xlfn.NUMBERVALUE(CompilDonnées[[#This Row],[FarmID]]&amp;CompilDonnées[[#This Row],[ModuleNumber]]&amp;CompilDonnées[[#This Row],[PlantationDate]])</f>
        <v>73145831</v>
      </c>
      <c r="O3623" t="str">
        <f>CompilDonnées[[#This Row],[FarmID]]&amp;CompilDonnées[[#This Row],[ModuleNumber]]</f>
        <v>731</v>
      </c>
      <c r="P3623" t="str">
        <f>CompilDonnées[[#This Row],[Ref_Module]]&amp;CompilDonnées[[#This Row],[HarvestingDate]]</f>
        <v>73145881</v>
      </c>
    </row>
    <row r="3624" spans="1:16">
      <c r="A3624" s="5">
        <v>45831</v>
      </c>
      <c r="B3624">
        <v>77</v>
      </c>
      <c r="C3624" t="s">
        <v>75</v>
      </c>
      <c r="D3624">
        <v>3</v>
      </c>
      <c r="E3624">
        <v>100</v>
      </c>
      <c r="F3624" t="s">
        <v>1</v>
      </c>
      <c r="G3624" s="6">
        <v>45881</v>
      </c>
      <c r="H3624">
        <v>50</v>
      </c>
      <c r="I3624">
        <f>ROUND(CompilDonnées[[#This Row],[CultureDuration_days]]/7,0)</f>
        <v>7</v>
      </c>
      <c r="J3624">
        <v>2543</v>
      </c>
      <c r="K3624" t="str">
        <f>_xlfn.CONCAT(WEEKNUM(CompilDonnées[[#This Row],[PlantationDate]]), " ", YEAR(CompilDonnées[[#This Row],[PlantationDate]]))</f>
        <v>26 2025</v>
      </c>
      <c r="L3624" t="str">
        <f>CONCATENATE(MONTH(CompilDonnées[[#This Row],[PlantationDate]])," ", YEAR(CompilDonnées[[#This Row],[PlantationDate]]))</f>
        <v>6 2025</v>
      </c>
      <c r="M3624" t="str">
        <f>CONCATENATE(MONTH(CompilDonnées[[#This Row],[HarvestingDate]])," ", YEAR(CompilDonnées[[#This Row],[HarvestingDate]]))</f>
        <v>8 2025</v>
      </c>
      <c r="N3624">
        <f>_xlfn.NUMBERVALUE(CompilDonnées[[#This Row],[FarmID]]&amp;CompilDonnées[[#This Row],[ModuleNumber]]&amp;CompilDonnées[[#This Row],[PlantationDate]])</f>
        <v>77345831</v>
      </c>
      <c r="O3624" t="str">
        <f>CompilDonnées[[#This Row],[FarmID]]&amp;CompilDonnées[[#This Row],[ModuleNumber]]</f>
        <v>773</v>
      </c>
      <c r="P3624" t="str">
        <f>CompilDonnées[[#This Row],[Ref_Module]]&amp;CompilDonnées[[#This Row],[HarvestingDate]]</f>
        <v>77345881</v>
      </c>
    </row>
    <row r="3625" spans="1:16">
      <c r="A3625" s="5">
        <v>45831</v>
      </c>
      <c r="B3625">
        <v>76</v>
      </c>
      <c r="C3625" t="s">
        <v>18</v>
      </c>
      <c r="D3625">
        <v>3</v>
      </c>
      <c r="E3625">
        <v>100</v>
      </c>
      <c r="F3625" t="s">
        <v>1</v>
      </c>
      <c r="G3625" s="6">
        <v>45890</v>
      </c>
      <c r="H3625">
        <v>59</v>
      </c>
      <c r="I3625">
        <f>ROUND(CompilDonnées[[#This Row],[CultureDuration_days]]/7,0)</f>
        <v>8</v>
      </c>
      <c r="J3625">
        <v>2848</v>
      </c>
      <c r="K3625" t="str">
        <f>_xlfn.CONCAT(WEEKNUM(CompilDonnées[[#This Row],[PlantationDate]]), " ", YEAR(CompilDonnées[[#This Row],[PlantationDate]]))</f>
        <v>26 2025</v>
      </c>
      <c r="L3625" t="str">
        <f>CONCATENATE(MONTH(CompilDonnées[[#This Row],[PlantationDate]])," ", YEAR(CompilDonnées[[#This Row],[PlantationDate]]))</f>
        <v>6 2025</v>
      </c>
      <c r="M3625" t="str">
        <f>CONCATENATE(MONTH(CompilDonnées[[#This Row],[HarvestingDate]])," ", YEAR(CompilDonnées[[#This Row],[HarvestingDate]]))</f>
        <v>8 2025</v>
      </c>
      <c r="N3625">
        <f>_xlfn.NUMBERVALUE(CompilDonnées[[#This Row],[FarmID]]&amp;CompilDonnées[[#This Row],[ModuleNumber]]&amp;CompilDonnées[[#This Row],[PlantationDate]])</f>
        <v>76345831</v>
      </c>
      <c r="O3625" t="str">
        <f>CompilDonnées[[#This Row],[FarmID]]&amp;CompilDonnées[[#This Row],[ModuleNumber]]</f>
        <v>763</v>
      </c>
      <c r="P3625" t="str">
        <f>CompilDonnées[[#This Row],[Ref_Module]]&amp;CompilDonnées[[#This Row],[HarvestingDate]]</f>
        <v>76345890</v>
      </c>
    </row>
    <row r="3626" spans="1:16">
      <c r="A3626" s="5">
        <v>45831</v>
      </c>
      <c r="B3626">
        <v>50</v>
      </c>
      <c r="C3626" t="s">
        <v>55</v>
      </c>
      <c r="D3626">
        <v>1</v>
      </c>
      <c r="E3626">
        <v>100</v>
      </c>
      <c r="F3626" t="s">
        <v>1</v>
      </c>
      <c r="G3626" s="6">
        <v>45876</v>
      </c>
      <c r="H3626">
        <v>45</v>
      </c>
      <c r="I3626">
        <f>ROUND(CompilDonnées[[#This Row],[CultureDuration_days]]/7,0)</f>
        <v>6</v>
      </c>
      <c r="J3626">
        <v>2851</v>
      </c>
      <c r="K3626" t="str">
        <f>_xlfn.CONCAT(WEEKNUM(CompilDonnées[[#This Row],[PlantationDate]]), " ", YEAR(CompilDonnées[[#This Row],[PlantationDate]]))</f>
        <v>26 2025</v>
      </c>
      <c r="L3626" t="str">
        <f>CONCATENATE(MONTH(CompilDonnées[[#This Row],[PlantationDate]])," ", YEAR(CompilDonnées[[#This Row],[PlantationDate]]))</f>
        <v>6 2025</v>
      </c>
      <c r="M3626" t="str">
        <f>CONCATENATE(MONTH(CompilDonnées[[#This Row],[HarvestingDate]])," ", YEAR(CompilDonnées[[#This Row],[HarvestingDate]]))</f>
        <v>8 2025</v>
      </c>
      <c r="N3626">
        <f>_xlfn.NUMBERVALUE(CompilDonnées[[#This Row],[FarmID]]&amp;CompilDonnées[[#This Row],[ModuleNumber]]&amp;CompilDonnées[[#This Row],[PlantationDate]])</f>
        <v>50145831</v>
      </c>
      <c r="O3626" t="str">
        <f>CompilDonnées[[#This Row],[FarmID]]&amp;CompilDonnées[[#This Row],[ModuleNumber]]</f>
        <v>501</v>
      </c>
      <c r="P3626" t="str">
        <f>CompilDonnées[[#This Row],[Ref_Module]]&amp;CompilDonnées[[#This Row],[HarvestingDate]]</f>
        <v>50145876</v>
      </c>
    </row>
    <row r="3627" spans="1:16">
      <c r="A3627" s="5">
        <v>45831</v>
      </c>
      <c r="B3627">
        <v>48</v>
      </c>
      <c r="C3627" t="s">
        <v>71</v>
      </c>
      <c r="D3627">
        <v>5</v>
      </c>
      <c r="E3627">
        <v>100</v>
      </c>
      <c r="F3627" t="s">
        <v>1</v>
      </c>
      <c r="G3627" s="6">
        <v>45882</v>
      </c>
      <c r="H3627">
        <v>51</v>
      </c>
      <c r="I3627">
        <f>ROUND(CompilDonnées[[#This Row],[CultureDuration_days]]/7,0)</f>
        <v>7</v>
      </c>
      <c r="J3627">
        <v>2851</v>
      </c>
      <c r="K3627" t="str">
        <f>_xlfn.CONCAT(WEEKNUM(CompilDonnées[[#This Row],[PlantationDate]]), " ", YEAR(CompilDonnées[[#This Row],[PlantationDate]]))</f>
        <v>26 2025</v>
      </c>
      <c r="L3627" t="str">
        <f>CONCATENATE(MONTH(CompilDonnées[[#This Row],[PlantationDate]])," ", YEAR(CompilDonnées[[#This Row],[PlantationDate]]))</f>
        <v>6 2025</v>
      </c>
      <c r="M3627" t="str">
        <f>CONCATENATE(MONTH(CompilDonnées[[#This Row],[HarvestingDate]])," ", YEAR(CompilDonnées[[#This Row],[HarvestingDate]]))</f>
        <v>8 2025</v>
      </c>
      <c r="N3627">
        <f>_xlfn.NUMBERVALUE(CompilDonnées[[#This Row],[FarmID]]&amp;CompilDonnées[[#This Row],[ModuleNumber]]&amp;CompilDonnées[[#This Row],[PlantationDate]])</f>
        <v>48545831</v>
      </c>
      <c r="O3627" t="str">
        <f>CompilDonnées[[#This Row],[FarmID]]&amp;CompilDonnées[[#This Row],[ModuleNumber]]</f>
        <v>485</v>
      </c>
      <c r="P3627" t="str">
        <f>CompilDonnées[[#This Row],[Ref_Module]]&amp;CompilDonnées[[#This Row],[HarvestingDate]]</f>
        <v>48545882</v>
      </c>
    </row>
    <row r="3628" spans="1:16">
      <c r="A3628" s="5">
        <v>45831</v>
      </c>
      <c r="B3628">
        <v>57</v>
      </c>
      <c r="C3628" t="s">
        <v>46</v>
      </c>
      <c r="D3628">
        <v>1</v>
      </c>
      <c r="E3628">
        <v>100</v>
      </c>
      <c r="F3628" t="s">
        <v>1</v>
      </c>
      <c r="G3628" s="6">
        <v>45881</v>
      </c>
      <c r="H3628">
        <v>50</v>
      </c>
      <c r="I3628">
        <f>ROUND(CompilDonnées[[#This Row],[CultureDuration_days]]/7,0)</f>
        <v>7</v>
      </c>
      <c r="J3628">
        <v>3504</v>
      </c>
      <c r="K3628" t="str">
        <f>_xlfn.CONCAT(WEEKNUM(CompilDonnées[[#This Row],[PlantationDate]]), " ", YEAR(CompilDonnées[[#This Row],[PlantationDate]]))</f>
        <v>26 2025</v>
      </c>
      <c r="L3628" t="str">
        <f>CONCATENATE(MONTH(CompilDonnées[[#This Row],[PlantationDate]])," ", YEAR(CompilDonnées[[#This Row],[PlantationDate]]))</f>
        <v>6 2025</v>
      </c>
      <c r="M3628" t="str">
        <f>CONCATENATE(MONTH(CompilDonnées[[#This Row],[HarvestingDate]])," ", YEAR(CompilDonnées[[#This Row],[HarvestingDate]]))</f>
        <v>8 2025</v>
      </c>
      <c r="N3628">
        <f>_xlfn.NUMBERVALUE(CompilDonnées[[#This Row],[FarmID]]&amp;CompilDonnées[[#This Row],[ModuleNumber]]&amp;CompilDonnées[[#This Row],[PlantationDate]])</f>
        <v>57145831</v>
      </c>
      <c r="O3628" t="str">
        <f>CompilDonnées[[#This Row],[FarmID]]&amp;CompilDonnées[[#This Row],[ModuleNumber]]</f>
        <v>571</v>
      </c>
      <c r="P3628" t="str">
        <f>CompilDonnées[[#This Row],[Ref_Module]]&amp;CompilDonnées[[#This Row],[HarvestingDate]]</f>
        <v>57145881</v>
      </c>
    </row>
    <row r="3629" spans="1:16">
      <c r="A3629" s="5">
        <v>45831</v>
      </c>
      <c r="B3629">
        <v>59</v>
      </c>
      <c r="C3629" t="s">
        <v>64</v>
      </c>
      <c r="D3629">
        <v>6</v>
      </c>
      <c r="E3629">
        <v>100</v>
      </c>
      <c r="F3629" t="s">
        <v>1</v>
      </c>
      <c r="G3629" s="6">
        <v>45877</v>
      </c>
      <c r="H3629">
        <v>46</v>
      </c>
      <c r="I3629">
        <f>ROUND(CompilDonnées[[#This Row],[CultureDuration_days]]/7,0)</f>
        <v>7</v>
      </c>
      <c r="J3629">
        <v>4186</v>
      </c>
      <c r="K3629" t="str">
        <f>_xlfn.CONCAT(WEEKNUM(CompilDonnées[[#This Row],[PlantationDate]]), " ", YEAR(CompilDonnées[[#This Row],[PlantationDate]]))</f>
        <v>26 2025</v>
      </c>
      <c r="L3629" t="str">
        <f>CONCATENATE(MONTH(CompilDonnées[[#This Row],[PlantationDate]])," ", YEAR(CompilDonnées[[#This Row],[PlantationDate]]))</f>
        <v>6 2025</v>
      </c>
      <c r="M3629" t="str">
        <f>CONCATENATE(MONTH(CompilDonnées[[#This Row],[HarvestingDate]])," ", YEAR(CompilDonnées[[#This Row],[HarvestingDate]]))</f>
        <v>8 2025</v>
      </c>
      <c r="N3629">
        <f>_xlfn.NUMBERVALUE(CompilDonnées[[#This Row],[FarmID]]&amp;CompilDonnées[[#This Row],[ModuleNumber]]&amp;CompilDonnées[[#This Row],[PlantationDate]])</f>
        <v>59645831</v>
      </c>
      <c r="O3629" t="str">
        <f>CompilDonnées[[#This Row],[FarmID]]&amp;CompilDonnées[[#This Row],[ModuleNumber]]</f>
        <v>596</v>
      </c>
      <c r="P3629" t="str">
        <f>CompilDonnées[[#This Row],[Ref_Module]]&amp;CompilDonnées[[#This Row],[HarvestingDate]]</f>
        <v>59645877</v>
      </c>
    </row>
    <row r="3630" spans="1:16">
      <c r="A3630" s="5">
        <v>45831</v>
      </c>
      <c r="B3630">
        <v>94</v>
      </c>
      <c r="C3630" t="s">
        <v>40</v>
      </c>
      <c r="D3630">
        <v>3</v>
      </c>
      <c r="E3630">
        <v>100</v>
      </c>
      <c r="F3630" t="s">
        <v>1</v>
      </c>
      <c r="G3630" s="6">
        <v>45877</v>
      </c>
      <c r="H3630">
        <v>46</v>
      </c>
      <c r="I3630">
        <f>ROUND(CompilDonnées[[#This Row],[CultureDuration_days]]/7,0)</f>
        <v>7</v>
      </c>
      <c r="J3630">
        <v>4178</v>
      </c>
      <c r="K3630" t="str">
        <f>_xlfn.CONCAT(WEEKNUM(CompilDonnées[[#This Row],[PlantationDate]]), " ", YEAR(CompilDonnées[[#This Row],[PlantationDate]]))</f>
        <v>26 2025</v>
      </c>
      <c r="L3630" t="str">
        <f>CONCATENATE(MONTH(CompilDonnées[[#This Row],[PlantationDate]])," ", YEAR(CompilDonnées[[#This Row],[PlantationDate]]))</f>
        <v>6 2025</v>
      </c>
      <c r="M3630" t="str">
        <f>CONCATENATE(MONTH(CompilDonnées[[#This Row],[HarvestingDate]])," ", YEAR(CompilDonnées[[#This Row],[HarvestingDate]]))</f>
        <v>8 2025</v>
      </c>
      <c r="N3630">
        <f>_xlfn.NUMBERVALUE(CompilDonnées[[#This Row],[FarmID]]&amp;CompilDonnées[[#This Row],[ModuleNumber]]&amp;CompilDonnées[[#This Row],[PlantationDate]])</f>
        <v>94345831</v>
      </c>
      <c r="O3630" t="str">
        <f>CompilDonnées[[#This Row],[FarmID]]&amp;CompilDonnées[[#This Row],[ModuleNumber]]</f>
        <v>943</v>
      </c>
      <c r="P3630" t="str">
        <f>CompilDonnées[[#This Row],[Ref_Module]]&amp;CompilDonnées[[#This Row],[HarvestingDate]]</f>
        <v>94345877</v>
      </c>
    </row>
    <row r="3631" spans="1:16">
      <c r="A3631" s="5">
        <v>45831</v>
      </c>
      <c r="B3631">
        <v>100</v>
      </c>
      <c r="C3631" t="s">
        <v>84</v>
      </c>
      <c r="D3631">
        <v>6</v>
      </c>
      <c r="E3631">
        <v>100</v>
      </c>
      <c r="F3631" t="s">
        <v>1</v>
      </c>
      <c r="G3631" s="6">
        <v>45876</v>
      </c>
      <c r="H3631">
        <v>45</v>
      </c>
      <c r="I3631">
        <f>ROUND(CompilDonnées[[#This Row],[CultureDuration_days]]/7,0)</f>
        <v>6</v>
      </c>
      <c r="J3631">
        <v>4555</v>
      </c>
      <c r="K3631" t="str">
        <f>_xlfn.CONCAT(WEEKNUM(CompilDonnées[[#This Row],[PlantationDate]]), " ", YEAR(CompilDonnées[[#This Row],[PlantationDate]]))</f>
        <v>26 2025</v>
      </c>
      <c r="L3631" t="str">
        <f>CONCATENATE(MONTH(CompilDonnées[[#This Row],[PlantationDate]])," ", YEAR(CompilDonnées[[#This Row],[PlantationDate]]))</f>
        <v>6 2025</v>
      </c>
      <c r="M3631" t="str">
        <f>CONCATENATE(MONTH(CompilDonnées[[#This Row],[HarvestingDate]])," ", YEAR(CompilDonnées[[#This Row],[HarvestingDate]]))</f>
        <v>8 2025</v>
      </c>
      <c r="N3631">
        <f>_xlfn.NUMBERVALUE(CompilDonnées[[#This Row],[FarmID]]&amp;CompilDonnées[[#This Row],[ModuleNumber]]&amp;CompilDonnées[[#This Row],[PlantationDate]])</f>
        <v>100645831</v>
      </c>
      <c r="O3631" t="str">
        <f>CompilDonnées[[#This Row],[FarmID]]&amp;CompilDonnées[[#This Row],[ModuleNumber]]</f>
        <v>1006</v>
      </c>
      <c r="P3631" t="str">
        <f>CompilDonnées[[#This Row],[Ref_Module]]&amp;CompilDonnées[[#This Row],[HarvestingDate]]</f>
        <v>100645876</v>
      </c>
    </row>
    <row r="3632" spans="1:16">
      <c r="A3632" s="5">
        <v>45831</v>
      </c>
      <c r="B3632">
        <v>54</v>
      </c>
      <c r="C3632" t="s">
        <v>39</v>
      </c>
      <c r="D3632">
        <v>1</v>
      </c>
      <c r="E3632">
        <v>100</v>
      </c>
      <c r="F3632" t="s">
        <v>1</v>
      </c>
      <c r="G3632" s="6">
        <v>45881</v>
      </c>
      <c r="H3632">
        <v>50</v>
      </c>
      <c r="I3632">
        <f>ROUND(CompilDonnées[[#This Row],[CultureDuration_days]]/7,0)</f>
        <v>7</v>
      </c>
      <c r="J3632">
        <v>2331</v>
      </c>
      <c r="K3632" t="str">
        <f>_xlfn.CONCAT(WEEKNUM(CompilDonnées[[#This Row],[PlantationDate]]), " ", YEAR(CompilDonnées[[#This Row],[PlantationDate]]))</f>
        <v>26 2025</v>
      </c>
      <c r="L3632" t="str">
        <f>CONCATENATE(MONTH(CompilDonnées[[#This Row],[PlantationDate]])," ", YEAR(CompilDonnées[[#This Row],[PlantationDate]]))</f>
        <v>6 2025</v>
      </c>
      <c r="M3632" t="str">
        <f>CONCATENATE(MONTH(CompilDonnées[[#This Row],[HarvestingDate]])," ", YEAR(CompilDonnées[[#This Row],[HarvestingDate]]))</f>
        <v>8 2025</v>
      </c>
      <c r="N3632">
        <f>_xlfn.NUMBERVALUE(CompilDonnées[[#This Row],[FarmID]]&amp;CompilDonnées[[#This Row],[ModuleNumber]]&amp;CompilDonnées[[#This Row],[PlantationDate]])</f>
        <v>54145831</v>
      </c>
      <c r="O3632" t="str">
        <f>CompilDonnées[[#This Row],[FarmID]]&amp;CompilDonnées[[#This Row],[ModuleNumber]]</f>
        <v>541</v>
      </c>
      <c r="P3632" t="str">
        <f>CompilDonnées[[#This Row],[Ref_Module]]&amp;CompilDonnées[[#This Row],[HarvestingDate]]</f>
        <v>54145881</v>
      </c>
    </row>
    <row r="3633" spans="1:16">
      <c r="A3633" s="5">
        <v>45831</v>
      </c>
      <c r="B3633">
        <v>46</v>
      </c>
      <c r="C3633" t="s">
        <v>8</v>
      </c>
      <c r="D3633">
        <v>4</v>
      </c>
      <c r="E3633">
        <v>100</v>
      </c>
      <c r="F3633" t="s">
        <v>1</v>
      </c>
      <c r="G3633" s="6">
        <v>45876</v>
      </c>
      <c r="H3633">
        <v>45</v>
      </c>
      <c r="I3633">
        <f>ROUND(CompilDonnées[[#This Row],[CultureDuration_days]]/7,0)</f>
        <v>6</v>
      </c>
      <c r="J3633">
        <v>3451</v>
      </c>
      <c r="K3633" t="str">
        <f>_xlfn.CONCAT(WEEKNUM(CompilDonnées[[#This Row],[PlantationDate]]), " ", YEAR(CompilDonnées[[#This Row],[PlantationDate]]))</f>
        <v>26 2025</v>
      </c>
      <c r="L3633" t="str">
        <f>CONCATENATE(MONTH(CompilDonnées[[#This Row],[PlantationDate]])," ", YEAR(CompilDonnées[[#This Row],[PlantationDate]]))</f>
        <v>6 2025</v>
      </c>
      <c r="M3633" t="str">
        <f>CONCATENATE(MONTH(CompilDonnées[[#This Row],[HarvestingDate]])," ", YEAR(CompilDonnées[[#This Row],[HarvestingDate]]))</f>
        <v>8 2025</v>
      </c>
      <c r="N3633">
        <f>_xlfn.NUMBERVALUE(CompilDonnées[[#This Row],[FarmID]]&amp;CompilDonnées[[#This Row],[ModuleNumber]]&amp;CompilDonnées[[#This Row],[PlantationDate]])</f>
        <v>46445831</v>
      </c>
      <c r="O3633" t="str">
        <f>CompilDonnées[[#This Row],[FarmID]]&amp;CompilDonnées[[#This Row],[ModuleNumber]]</f>
        <v>464</v>
      </c>
      <c r="P3633" t="str">
        <f>CompilDonnées[[#This Row],[Ref_Module]]&amp;CompilDonnées[[#This Row],[HarvestingDate]]</f>
        <v>46445876</v>
      </c>
    </row>
    <row r="3634" spans="1:16">
      <c r="A3634" s="5">
        <v>45831</v>
      </c>
      <c r="B3634">
        <v>13</v>
      </c>
      <c r="C3634" t="s">
        <v>114</v>
      </c>
      <c r="D3634">
        <v>5</v>
      </c>
      <c r="E3634">
        <v>100</v>
      </c>
      <c r="F3634" t="s">
        <v>1</v>
      </c>
      <c r="G3634" s="6">
        <v>45875</v>
      </c>
      <c r="H3634">
        <v>44</v>
      </c>
      <c r="I3634">
        <f>ROUND(CompilDonnées[[#This Row],[CultureDuration_days]]/7,0)</f>
        <v>6</v>
      </c>
      <c r="J3634">
        <v>3504</v>
      </c>
      <c r="K3634" t="str">
        <f>_xlfn.CONCAT(WEEKNUM(CompilDonnées[[#This Row],[PlantationDate]]), " ", YEAR(CompilDonnées[[#This Row],[PlantationDate]]))</f>
        <v>26 2025</v>
      </c>
      <c r="L3634" t="str">
        <f>CONCATENATE(MONTH(CompilDonnées[[#This Row],[PlantationDate]])," ", YEAR(CompilDonnées[[#This Row],[PlantationDate]]))</f>
        <v>6 2025</v>
      </c>
      <c r="M3634" t="str">
        <f>CONCATENATE(MONTH(CompilDonnées[[#This Row],[HarvestingDate]])," ", YEAR(CompilDonnées[[#This Row],[HarvestingDate]]))</f>
        <v>8 2025</v>
      </c>
      <c r="N3634">
        <f>_xlfn.NUMBERVALUE(CompilDonnées[[#This Row],[FarmID]]&amp;CompilDonnées[[#This Row],[ModuleNumber]]&amp;CompilDonnées[[#This Row],[PlantationDate]])</f>
        <v>13545831</v>
      </c>
      <c r="O3634" t="str">
        <f>CompilDonnées[[#This Row],[FarmID]]&amp;CompilDonnées[[#This Row],[ModuleNumber]]</f>
        <v>135</v>
      </c>
      <c r="P3634" t="str">
        <f>CompilDonnées[[#This Row],[Ref_Module]]&amp;CompilDonnées[[#This Row],[HarvestingDate]]</f>
        <v>13545875</v>
      </c>
    </row>
    <row r="3635" spans="1:16">
      <c r="A3635" s="5">
        <v>45831</v>
      </c>
      <c r="B3635">
        <v>10</v>
      </c>
      <c r="C3635" t="s">
        <v>109</v>
      </c>
      <c r="D3635">
        <v>1</v>
      </c>
      <c r="E3635">
        <v>100</v>
      </c>
      <c r="F3635" t="s">
        <v>1</v>
      </c>
      <c r="G3635" s="6">
        <v>45875</v>
      </c>
      <c r="H3635">
        <v>44</v>
      </c>
      <c r="I3635">
        <f>ROUND(CompilDonnées[[#This Row],[CultureDuration_days]]/7,0)</f>
        <v>6</v>
      </c>
      <c r="J3635">
        <v>3680</v>
      </c>
      <c r="K3635" t="str">
        <f>_xlfn.CONCAT(WEEKNUM(CompilDonnées[[#This Row],[PlantationDate]]), " ", YEAR(CompilDonnées[[#This Row],[PlantationDate]]))</f>
        <v>26 2025</v>
      </c>
      <c r="L3635" t="str">
        <f>CONCATENATE(MONTH(CompilDonnées[[#This Row],[PlantationDate]])," ", YEAR(CompilDonnées[[#This Row],[PlantationDate]]))</f>
        <v>6 2025</v>
      </c>
      <c r="M3635" t="str">
        <f>CONCATENATE(MONTH(CompilDonnées[[#This Row],[HarvestingDate]])," ", YEAR(CompilDonnées[[#This Row],[HarvestingDate]]))</f>
        <v>8 2025</v>
      </c>
      <c r="N3635">
        <f>_xlfn.NUMBERVALUE(CompilDonnées[[#This Row],[FarmID]]&amp;CompilDonnées[[#This Row],[ModuleNumber]]&amp;CompilDonnées[[#This Row],[PlantationDate]])</f>
        <v>10145831</v>
      </c>
      <c r="O3635" t="str">
        <f>CompilDonnées[[#This Row],[FarmID]]&amp;CompilDonnées[[#This Row],[ModuleNumber]]</f>
        <v>101</v>
      </c>
      <c r="P3635" t="str">
        <f>CompilDonnées[[#This Row],[Ref_Module]]&amp;CompilDonnées[[#This Row],[HarvestingDate]]</f>
        <v>10145875</v>
      </c>
    </row>
    <row r="3636" spans="1:16">
      <c r="A3636" s="5">
        <v>45831</v>
      </c>
      <c r="B3636">
        <v>9</v>
      </c>
      <c r="C3636" t="s">
        <v>107</v>
      </c>
      <c r="D3636">
        <v>4</v>
      </c>
      <c r="E3636">
        <v>100</v>
      </c>
      <c r="F3636" t="s">
        <v>1</v>
      </c>
      <c r="G3636" s="6">
        <v>45882</v>
      </c>
      <c r="H3636">
        <v>51</v>
      </c>
      <c r="I3636">
        <f>ROUND(CompilDonnées[[#This Row],[CultureDuration_days]]/7,0)</f>
        <v>7</v>
      </c>
      <c r="J3636">
        <v>3284</v>
      </c>
      <c r="K3636" t="str">
        <f>_xlfn.CONCAT(WEEKNUM(CompilDonnées[[#This Row],[PlantationDate]]), " ", YEAR(CompilDonnées[[#This Row],[PlantationDate]]))</f>
        <v>26 2025</v>
      </c>
      <c r="L3636" t="str">
        <f>CONCATENATE(MONTH(CompilDonnées[[#This Row],[PlantationDate]])," ", YEAR(CompilDonnées[[#This Row],[PlantationDate]]))</f>
        <v>6 2025</v>
      </c>
      <c r="M3636" t="str">
        <f>CONCATENATE(MONTH(CompilDonnées[[#This Row],[HarvestingDate]])," ", YEAR(CompilDonnées[[#This Row],[HarvestingDate]]))</f>
        <v>8 2025</v>
      </c>
      <c r="N3636">
        <f>_xlfn.NUMBERVALUE(CompilDonnées[[#This Row],[FarmID]]&amp;CompilDonnées[[#This Row],[ModuleNumber]]&amp;CompilDonnées[[#This Row],[PlantationDate]])</f>
        <v>9445831</v>
      </c>
      <c r="O3636" t="str">
        <f>CompilDonnées[[#This Row],[FarmID]]&amp;CompilDonnées[[#This Row],[ModuleNumber]]</f>
        <v>94</v>
      </c>
      <c r="P3636" t="str">
        <f>CompilDonnées[[#This Row],[Ref_Module]]&amp;CompilDonnées[[#This Row],[HarvestingDate]]</f>
        <v>9445882</v>
      </c>
    </row>
    <row r="3637" spans="1:16">
      <c r="A3637" s="5">
        <v>45831</v>
      </c>
      <c r="B3637">
        <v>26</v>
      </c>
      <c r="C3637" t="s">
        <v>97</v>
      </c>
      <c r="D3637">
        <v>2</v>
      </c>
      <c r="E3637">
        <v>100</v>
      </c>
      <c r="F3637" t="s">
        <v>1</v>
      </c>
      <c r="G3637" s="6">
        <v>45875</v>
      </c>
      <c r="H3637">
        <v>44</v>
      </c>
      <c r="I3637">
        <f>ROUND(CompilDonnées[[#This Row],[CultureDuration_days]]/7,0)</f>
        <v>6</v>
      </c>
      <c r="J3637">
        <v>3029</v>
      </c>
      <c r="K3637" t="str">
        <f>_xlfn.CONCAT(WEEKNUM(CompilDonnées[[#This Row],[PlantationDate]]), " ", YEAR(CompilDonnées[[#This Row],[PlantationDate]]))</f>
        <v>26 2025</v>
      </c>
      <c r="L3637" t="str">
        <f>CONCATENATE(MONTH(CompilDonnées[[#This Row],[PlantationDate]])," ", YEAR(CompilDonnées[[#This Row],[PlantationDate]]))</f>
        <v>6 2025</v>
      </c>
      <c r="M3637" t="str">
        <f>CONCATENATE(MONTH(CompilDonnées[[#This Row],[HarvestingDate]])," ", YEAR(CompilDonnées[[#This Row],[HarvestingDate]]))</f>
        <v>8 2025</v>
      </c>
      <c r="N3637">
        <f>_xlfn.NUMBERVALUE(CompilDonnées[[#This Row],[FarmID]]&amp;CompilDonnées[[#This Row],[ModuleNumber]]&amp;CompilDonnées[[#This Row],[PlantationDate]])</f>
        <v>26245831</v>
      </c>
      <c r="O3637" t="str">
        <f>CompilDonnées[[#This Row],[FarmID]]&amp;CompilDonnées[[#This Row],[ModuleNumber]]</f>
        <v>262</v>
      </c>
      <c r="P3637" t="str">
        <f>CompilDonnées[[#This Row],[Ref_Module]]&amp;CompilDonnées[[#This Row],[HarvestingDate]]</f>
        <v>26245875</v>
      </c>
    </row>
    <row r="3638" spans="1:16">
      <c r="A3638" s="5">
        <v>45832</v>
      </c>
      <c r="B3638">
        <v>115</v>
      </c>
      <c r="C3638" t="s">
        <v>121</v>
      </c>
      <c r="D3638">
        <v>6</v>
      </c>
      <c r="E3638">
        <v>100</v>
      </c>
      <c r="F3638" t="s">
        <v>1</v>
      </c>
      <c r="G3638" s="6">
        <v>45880</v>
      </c>
      <c r="H3638">
        <v>48</v>
      </c>
      <c r="I3638">
        <f>ROUND(CompilDonnées[[#This Row],[CultureDuration_days]]/7,0)</f>
        <v>7</v>
      </c>
      <c r="J3638">
        <v>2900</v>
      </c>
      <c r="K3638" t="str">
        <f>_xlfn.CONCAT(WEEKNUM(CompilDonnées[[#This Row],[PlantationDate]]), " ", YEAR(CompilDonnées[[#This Row],[PlantationDate]]))</f>
        <v>26 2025</v>
      </c>
      <c r="L3638" t="str">
        <f>CONCATENATE(MONTH(CompilDonnées[[#This Row],[PlantationDate]])," ", YEAR(CompilDonnées[[#This Row],[PlantationDate]]))</f>
        <v>6 2025</v>
      </c>
      <c r="M3638" t="str">
        <f>CONCATENATE(MONTH(CompilDonnées[[#This Row],[HarvestingDate]])," ", YEAR(CompilDonnées[[#This Row],[HarvestingDate]]))</f>
        <v>8 2025</v>
      </c>
      <c r="N3638">
        <f>_xlfn.NUMBERVALUE(CompilDonnées[[#This Row],[FarmID]]&amp;CompilDonnées[[#This Row],[ModuleNumber]]&amp;CompilDonnées[[#This Row],[PlantationDate]])</f>
        <v>115645832</v>
      </c>
      <c r="O3638" t="str">
        <f>CompilDonnées[[#This Row],[FarmID]]&amp;CompilDonnées[[#This Row],[ModuleNumber]]</f>
        <v>1156</v>
      </c>
      <c r="P3638" t="str">
        <f>CompilDonnées[[#This Row],[Ref_Module]]&amp;CompilDonnées[[#This Row],[HarvestingDate]]</f>
        <v>115645880</v>
      </c>
    </row>
    <row r="3639" spans="1:16">
      <c r="A3639" s="5">
        <v>45832</v>
      </c>
      <c r="B3639">
        <v>140</v>
      </c>
      <c r="C3639" t="s">
        <v>96</v>
      </c>
      <c r="D3639">
        <v>6</v>
      </c>
      <c r="E3639">
        <v>100</v>
      </c>
      <c r="F3639" t="s">
        <v>1</v>
      </c>
      <c r="G3639" s="6">
        <v>45866</v>
      </c>
      <c r="H3639">
        <v>34</v>
      </c>
      <c r="I3639">
        <f>ROUND(CompilDonnées[[#This Row],[CultureDuration_days]]/7,0)</f>
        <v>5</v>
      </c>
      <c r="J3639">
        <v>3688</v>
      </c>
      <c r="K3639" t="str">
        <f>_xlfn.CONCAT(WEEKNUM(CompilDonnées[[#This Row],[PlantationDate]]), " ", YEAR(CompilDonnées[[#This Row],[PlantationDate]]))</f>
        <v>26 2025</v>
      </c>
      <c r="L3639" t="str">
        <f>CONCATENATE(MONTH(CompilDonnées[[#This Row],[PlantationDate]])," ", YEAR(CompilDonnées[[#This Row],[PlantationDate]]))</f>
        <v>6 2025</v>
      </c>
      <c r="M3639" t="str">
        <f>CONCATENATE(MONTH(CompilDonnées[[#This Row],[HarvestingDate]])," ", YEAR(CompilDonnées[[#This Row],[HarvestingDate]]))</f>
        <v>7 2025</v>
      </c>
      <c r="N3639">
        <f>_xlfn.NUMBERVALUE(CompilDonnées[[#This Row],[FarmID]]&amp;CompilDonnées[[#This Row],[ModuleNumber]]&amp;CompilDonnées[[#This Row],[PlantationDate]])</f>
        <v>140645832</v>
      </c>
      <c r="O3639" t="str">
        <f>CompilDonnées[[#This Row],[FarmID]]&amp;CompilDonnées[[#This Row],[ModuleNumber]]</f>
        <v>1406</v>
      </c>
      <c r="P3639" t="str">
        <f>CompilDonnées[[#This Row],[Ref_Module]]&amp;CompilDonnées[[#This Row],[HarvestingDate]]</f>
        <v>140645866</v>
      </c>
    </row>
    <row r="3640" spans="1:16">
      <c r="A3640" s="5">
        <v>45832</v>
      </c>
      <c r="B3640">
        <v>116</v>
      </c>
      <c r="C3640" t="s">
        <v>76</v>
      </c>
      <c r="D3640">
        <v>5</v>
      </c>
      <c r="E3640">
        <v>100</v>
      </c>
      <c r="F3640" t="s">
        <v>1</v>
      </c>
      <c r="G3640" s="6">
        <v>45877</v>
      </c>
      <c r="H3640">
        <v>45</v>
      </c>
      <c r="I3640">
        <f>ROUND(CompilDonnées[[#This Row],[CultureDuration_days]]/7,0)</f>
        <v>6</v>
      </c>
      <c r="J3640">
        <v>2905</v>
      </c>
      <c r="K3640" t="str">
        <f>_xlfn.CONCAT(WEEKNUM(CompilDonnées[[#This Row],[PlantationDate]]), " ", YEAR(CompilDonnées[[#This Row],[PlantationDate]]))</f>
        <v>26 2025</v>
      </c>
      <c r="L3640" t="str">
        <f>CONCATENATE(MONTH(CompilDonnées[[#This Row],[PlantationDate]])," ", YEAR(CompilDonnées[[#This Row],[PlantationDate]]))</f>
        <v>6 2025</v>
      </c>
      <c r="M3640" t="str">
        <f>CONCATENATE(MONTH(CompilDonnées[[#This Row],[HarvestingDate]])," ", YEAR(CompilDonnées[[#This Row],[HarvestingDate]]))</f>
        <v>8 2025</v>
      </c>
      <c r="N3640">
        <f>_xlfn.NUMBERVALUE(CompilDonnées[[#This Row],[FarmID]]&amp;CompilDonnées[[#This Row],[ModuleNumber]]&amp;CompilDonnées[[#This Row],[PlantationDate]])</f>
        <v>116545832</v>
      </c>
      <c r="O3640" t="str">
        <f>CompilDonnées[[#This Row],[FarmID]]&amp;CompilDonnées[[#This Row],[ModuleNumber]]</f>
        <v>1165</v>
      </c>
      <c r="P3640" t="str">
        <f>CompilDonnées[[#This Row],[Ref_Module]]&amp;CompilDonnées[[#This Row],[HarvestingDate]]</f>
        <v>116545877</v>
      </c>
    </row>
    <row r="3641" spans="1:16">
      <c r="A3641" s="5">
        <v>45832</v>
      </c>
      <c r="B3641">
        <v>110</v>
      </c>
      <c r="C3641" t="s">
        <v>14</v>
      </c>
      <c r="D3641">
        <v>2</v>
      </c>
      <c r="E3641">
        <v>100</v>
      </c>
      <c r="F3641" t="s">
        <v>1</v>
      </c>
      <c r="G3641" s="6">
        <v>45877</v>
      </c>
      <c r="H3641">
        <v>45</v>
      </c>
      <c r="I3641">
        <f>ROUND(CompilDonnées[[#This Row],[CultureDuration_days]]/7,0)</f>
        <v>6</v>
      </c>
      <c r="J3641">
        <v>3906</v>
      </c>
      <c r="K3641" t="str">
        <f>_xlfn.CONCAT(WEEKNUM(CompilDonnées[[#This Row],[PlantationDate]]), " ", YEAR(CompilDonnées[[#This Row],[PlantationDate]]))</f>
        <v>26 2025</v>
      </c>
      <c r="L3641" t="str">
        <f>CONCATENATE(MONTH(CompilDonnées[[#This Row],[PlantationDate]])," ", YEAR(CompilDonnées[[#This Row],[PlantationDate]]))</f>
        <v>6 2025</v>
      </c>
      <c r="M3641" t="str">
        <f>CONCATENATE(MONTH(CompilDonnées[[#This Row],[HarvestingDate]])," ", YEAR(CompilDonnées[[#This Row],[HarvestingDate]]))</f>
        <v>8 2025</v>
      </c>
      <c r="N3641">
        <f>_xlfn.NUMBERVALUE(CompilDonnées[[#This Row],[FarmID]]&amp;CompilDonnées[[#This Row],[ModuleNumber]]&amp;CompilDonnées[[#This Row],[PlantationDate]])</f>
        <v>110245832</v>
      </c>
      <c r="O3641" t="str">
        <f>CompilDonnées[[#This Row],[FarmID]]&amp;CompilDonnées[[#This Row],[ModuleNumber]]</f>
        <v>1102</v>
      </c>
      <c r="P3641" t="str">
        <f>CompilDonnées[[#This Row],[Ref_Module]]&amp;CompilDonnées[[#This Row],[HarvestingDate]]</f>
        <v>110245877</v>
      </c>
    </row>
    <row r="3642" spans="1:16">
      <c r="A3642" s="5">
        <v>45832</v>
      </c>
      <c r="B3642">
        <v>117</v>
      </c>
      <c r="C3642" t="s">
        <v>11</v>
      </c>
      <c r="D3642">
        <v>3</v>
      </c>
      <c r="E3642">
        <v>100</v>
      </c>
      <c r="F3642" t="s">
        <v>1</v>
      </c>
      <c r="G3642" s="6">
        <v>45878</v>
      </c>
      <c r="H3642">
        <v>46</v>
      </c>
      <c r="I3642">
        <f>ROUND(CompilDonnées[[#This Row],[CultureDuration_days]]/7,0)</f>
        <v>7</v>
      </c>
      <c r="J3642">
        <v>3166</v>
      </c>
      <c r="K3642" t="str">
        <f>_xlfn.CONCAT(WEEKNUM(CompilDonnées[[#This Row],[PlantationDate]]), " ", YEAR(CompilDonnées[[#This Row],[PlantationDate]]))</f>
        <v>26 2025</v>
      </c>
      <c r="L3642" t="str">
        <f>CONCATENATE(MONTH(CompilDonnées[[#This Row],[PlantationDate]])," ", YEAR(CompilDonnées[[#This Row],[PlantationDate]]))</f>
        <v>6 2025</v>
      </c>
      <c r="M3642" t="str">
        <f>CONCATENATE(MONTH(CompilDonnées[[#This Row],[HarvestingDate]])," ", YEAR(CompilDonnées[[#This Row],[HarvestingDate]]))</f>
        <v>8 2025</v>
      </c>
      <c r="N3642">
        <f>_xlfn.NUMBERVALUE(CompilDonnées[[#This Row],[FarmID]]&amp;CompilDonnées[[#This Row],[ModuleNumber]]&amp;CompilDonnées[[#This Row],[PlantationDate]])</f>
        <v>117345832</v>
      </c>
      <c r="O3642" t="str">
        <f>CompilDonnées[[#This Row],[FarmID]]&amp;CompilDonnées[[#This Row],[ModuleNumber]]</f>
        <v>1173</v>
      </c>
      <c r="P3642" t="str">
        <f>CompilDonnées[[#This Row],[Ref_Module]]&amp;CompilDonnées[[#This Row],[HarvestingDate]]</f>
        <v>117345878</v>
      </c>
    </row>
    <row r="3643" spans="1:16">
      <c r="A3643" s="5">
        <v>45832</v>
      </c>
      <c r="B3643">
        <v>5</v>
      </c>
      <c r="C3643" t="s">
        <v>32</v>
      </c>
      <c r="D3643">
        <v>2</v>
      </c>
      <c r="E3643">
        <v>100</v>
      </c>
      <c r="F3643" t="s">
        <v>1</v>
      </c>
      <c r="G3643" s="6">
        <v>45882</v>
      </c>
      <c r="H3643">
        <v>50</v>
      </c>
      <c r="I3643">
        <f>ROUND(CompilDonnées[[#This Row],[CultureDuration_days]]/7,0)</f>
        <v>7</v>
      </c>
      <c r="J3643">
        <v>3878</v>
      </c>
      <c r="K3643" t="str">
        <f>_xlfn.CONCAT(WEEKNUM(CompilDonnées[[#This Row],[PlantationDate]]), " ", YEAR(CompilDonnées[[#This Row],[PlantationDate]]))</f>
        <v>26 2025</v>
      </c>
      <c r="L3643" t="str">
        <f>CONCATENATE(MONTH(CompilDonnées[[#This Row],[PlantationDate]])," ", YEAR(CompilDonnées[[#This Row],[PlantationDate]]))</f>
        <v>6 2025</v>
      </c>
      <c r="M3643" t="str">
        <f>CONCATENATE(MONTH(CompilDonnées[[#This Row],[HarvestingDate]])," ", YEAR(CompilDonnées[[#This Row],[HarvestingDate]]))</f>
        <v>8 2025</v>
      </c>
      <c r="N3643">
        <f>_xlfn.NUMBERVALUE(CompilDonnées[[#This Row],[FarmID]]&amp;CompilDonnées[[#This Row],[ModuleNumber]]&amp;CompilDonnées[[#This Row],[PlantationDate]])</f>
        <v>5245832</v>
      </c>
      <c r="O3643" t="str">
        <f>CompilDonnées[[#This Row],[FarmID]]&amp;CompilDonnées[[#This Row],[ModuleNumber]]</f>
        <v>52</v>
      </c>
      <c r="P3643" t="str">
        <f>CompilDonnées[[#This Row],[Ref_Module]]&amp;CompilDonnées[[#This Row],[HarvestingDate]]</f>
        <v>5245882</v>
      </c>
    </row>
    <row r="3644" spans="1:16">
      <c r="A3644" s="5">
        <v>45832</v>
      </c>
      <c r="B3644">
        <v>14</v>
      </c>
      <c r="C3644" t="s">
        <v>82</v>
      </c>
      <c r="D3644">
        <v>1</v>
      </c>
      <c r="E3644">
        <v>100</v>
      </c>
      <c r="F3644" t="s">
        <v>1</v>
      </c>
      <c r="G3644" s="6">
        <v>45875</v>
      </c>
      <c r="H3644">
        <v>43</v>
      </c>
      <c r="I3644">
        <f>ROUND(CompilDonnées[[#This Row],[CultureDuration_days]]/7,0)</f>
        <v>6</v>
      </c>
      <c r="J3644">
        <v>3156</v>
      </c>
      <c r="K3644" t="str">
        <f>_xlfn.CONCAT(WEEKNUM(CompilDonnées[[#This Row],[PlantationDate]]), " ", YEAR(CompilDonnées[[#This Row],[PlantationDate]]))</f>
        <v>26 2025</v>
      </c>
      <c r="L3644" t="str">
        <f>CONCATENATE(MONTH(CompilDonnées[[#This Row],[PlantationDate]])," ", YEAR(CompilDonnées[[#This Row],[PlantationDate]]))</f>
        <v>6 2025</v>
      </c>
      <c r="M3644" t="str">
        <f>CONCATENATE(MONTH(CompilDonnées[[#This Row],[HarvestingDate]])," ", YEAR(CompilDonnées[[#This Row],[HarvestingDate]]))</f>
        <v>8 2025</v>
      </c>
      <c r="N3644">
        <f>_xlfn.NUMBERVALUE(CompilDonnées[[#This Row],[FarmID]]&amp;CompilDonnées[[#This Row],[ModuleNumber]]&amp;CompilDonnées[[#This Row],[PlantationDate]])</f>
        <v>14145832</v>
      </c>
      <c r="O3644" t="str">
        <f>CompilDonnées[[#This Row],[FarmID]]&amp;CompilDonnées[[#This Row],[ModuleNumber]]</f>
        <v>141</v>
      </c>
      <c r="P3644" t="str">
        <f>CompilDonnées[[#This Row],[Ref_Module]]&amp;CompilDonnées[[#This Row],[HarvestingDate]]</f>
        <v>14145875</v>
      </c>
    </row>
    <row r="3645" spans="1:16">
      <c r="A3645" s="5">
        <v>45832</v>
      </c>
      <c r="B3645">
        <v>45</v>
      </c>
      <c r="C3645" t="s">
        <v>77</v>
      </c>
      <c r="D3645">
        <v>5</v>
      </c>
      <c r="E3645">
        <v>100</v>
      </c>
      <c r="F3645" t="s">
        <v>1</v>
      </c>
      <c r="G3645" s="6">
        <v>45876</v>
      </c>
      <c r="H3645">
        <v>44</v>
      </c>
      <c r="I3645">
        <f>ROUND(CompilDonnées[[#This Row],[CultureDuration_days]]/7,0)</f>
        <v>6</v>
      </c>
      <c r="J3645">
        <v>3506</v>
      </c>
      <c r="K3645" t="str">
        <f>_xlfn.CONCAT(WEEKNUM(CompilDonnées[[#This Row],[PlantationDate]]), " ", YEAR(CompilDonnées[[#This Row],[PlantationDate]]))</f>
        <v>26 2025</v>
      </c>
      <c r="L3645" t="str">
        <f>CONCATENATE(MONTH(CompilDonnées[[#This Row],[PlantationDate]])," ", YEAR(CompilDonnées[[#This Row],[PlantationDate]]))</f>
        <v>6 2025</v>
      </c>
      <c r="M3645" t="str">
        <f>CONCATENATE(MONTH(CompilDonnées[[#This Row],[HarvestingDate]])," ", YEAR(CompilDonnées[[#This Row],[HarvestingDate]]))</f>
        <v>8 2025</v>
      </c>
      <c r="N3645">
        <f>_xlfn.NUMBERVALUE(CompilDonnées[[#This Row],[FarmID]]&amp;CompilDonnées[[#This Row],[ModuleNumber]]&amp;CompilDonnées[[#This Row],[PlantationDate]])</f>
        <v>45545832</v>
      </c>
      <c r="O3645" t="str">
        <f>CompilDonnées[[#This Row],[FarmID]]&amp;CompilDonnées[[#This Row],[ModuleNumber]]</f>
        <v>455</v>
      </c>
      <c r="P3645" t="str">
        <f>CompilDonnées[[#This Row],[Ref_Module]]&amp;CompilDonnées[[#This Row],[HarvestingDate]]</f>
        <v>45545876</v>
      </c>
    </row>
    <row r="3646" spans="1:16">
      <c r="A3646" s="5">
        <v>45832</v>
      </c>
      <c r="B3646">
        <v>42</v>
      </c>
      <c r="C3646" t="s">
        <v>2</v>
      </c>
      <c r="D3646">
        <v>1</v>
      </c>
      <c r="E3646">
        <v>100</v>
      </c>
      <c r="F3646" t="s">
        <v>1</v>
      </c>
      <c r="G3646" s="6">
        <v>45882</v>
      </c>
      <c r="H3646">
        <v>50</v>
      </c>
      <c r="I3646">
        <f>ROUND(CompilDonnées[[#This Row],[CultureDuration_days]]/7,0)</f>
        <v>7</v>
      </c>
      <c r="J3646">
        <v>3100</v>
      </c>
      <c r="K3646" t="str">
        <f>_xlfn.CONCAT(WEEKNUM(CompilDonnées[[#This Row],[PlantationDate]]), " ", YEAR(CompilDonnées[[#This Row],[PlantationDate]]))</f>
        <v>26 2025</v>
      </c>
      <c r="L3646" t="str">
        <f>CONCATENATE(MONTH(CompilDonnées[[#This Row],[PlantationDate]])," ", YEAR(CompilDonnées[[#This Row],[PlantationDate]]))</f>
        <v>6 2025</v>
      </c>
      <c r="M3646" t="str">
        <f>CONCATENATE(MONTH(CompilDonnées[[#This Row],[HarvestingDate]])," ", YEAR(CompilDonnées[[#This Row],[HarvestingDate]]))</f>
        <v>8 2025</v>
      </c>
      <c r="N3646">
        <f>_xlfn.NUMBERVALUE(CompilDonnées[[#This Row],[FarmID]]&amp;CompilDonnées[[#This Row],[ModuleNumber]]&amp;CompilDonnées[[#This Row],[PlantationDate]])</f>
        <v>42145832</v>
      </c>
      <c r="O3646" t="str">
        <f>CompilDonnées[[#This Row],[FarmID]]&amp;CompilDonnées[[#This Row],[ModuleNumber]]</f>
        <v>421</v>
      </c>
      <c r="P3646" t="str">
        <f>CompilDonnées[[#This Row],[Ref_Module]]&amp;CompilDonnées[[#This Row],[HarvestingDate]]</f>
        <v>42145882</v>
      </c>
    </row>
    <row r="3647" spans="1:16">
      <c r="A3647" s="5">
        <v>45832</v>
      </c>
      <c r="B3647">
        <v>107</v>
      </c>
      <c r="C3647" t="s">
        <v>23</v>
      </c>
      <c r="D3647">
        <v>4</v>
      </c>
      <c r="E3647">
        <v>100</v>
      </c>
      <c r="F3647" t="s">
        <v>1</v>
      </c>
      <c r="G3647" s="6">
        <v>45880</v>
      </c>
      <c r="H3647">
        <v>48</v>
      </c>
      <c r="I3647">
        <f>ROUND(CompilDonnées[[#This Row],[CultureDuration_days]]/7,0)</f>
        <v>7</v>
      </c>
      <c r="J3647">
        <v>3918</v>
      </c>
      <c r="K3647" t="str">
        <f>_xlfn.CONCAT(WEEKNUM(CompilDonnées[[#This Row],[PlantationDate]]), " ", YEAR(CompilDonnées[[#This Row],[PlantationDate]]))</f>
        <v>26 2025</v>
      </c>
      <c r="L3647" t="str">
        <f>CONCATENATE(MONTH(CompilDonnées[[#This Row],[PlantationDate]])," ", YEAR(CompilDonnées[[#This Row],[PlantationDate]]))</f>
        <v>6 2025</v>
      </c>
      <c r="M3647" t="str">
        <f>CONCATENATE(MONTH(CompilDonnées[[#This Row],[HarvestingDate]])," ", YEAR(CompilDonnées[[#This Row],[HarvestingDate]]))</f>
        <v>8 2025</v>
      </c>
      <c r="N3647">
        <f>_xlfn.NUMBERVALUE(CompilDonnées[[#This Row],[FarmID]]&amp;CompilDonnées[[#This Row],[ModuleNumber]]&amp;CompilDonnées[[#This Row],[PlantationDate]])</f>
        <v>107445832</v>
      </c>
      <c r="O3647" t="str">
        <f>CompilDonnées[[#This Row],[FarmID]]&amp;CompilDonnées[[#This Row],[ModuleNumber]]</f>
        <v>1074</v>
      </c>
      <c r="P3647" t="str">
        <f>CompilDonnées[[#This Row],[Ref_Module]]&amp;CompilDonnées[[#This Row],[HarvestingDate]]</f>
        <v>107445880</v>
      </c>
    </row>
    <row r="3648" spans="1:16">
      <c r="A3648" s="5">
        <v>45832</v>
      </c>
      <c r="B3648">
        <v>100</v>
      </c>
      <c r="C3648" t="s">
        <v>84</v>
      </c>
      <c r="D3648">
        <v>5</v>
      </c>
      <c r="E3648">
        <v>100</v>
      </c>
      <c r="F3648" t="s">
        <v>1</v>
      </c>
      <c r="G3648" s="6">
        <v>45876</v>
      </c>
      <c r="H3648">
        <v>44</v>
      </c>
      <c r="I3648">
        <f>ROUND(CompilDonnées[[#This Row],[CultureDuration_days]]/7,0)</f>
        <v>6</v>
      </c>
      <c r="J3648">
        <v>4529</v>
      </c>
      <c r="K3648" t="str">
        <f>_xlfn.CONCAT(WEEKNUM(CompilDonnées[[#This Row],[PlantationDate]]), " ", YEAR(CompilDonnées[[#This Row],[PlantationDate]]))</f>
        <v>26 2025</v>
      </c>
      <c r="L3648" t="str">
        <f>CONCATENATE(MONTH(CompilDonnées[[#This Row],[PlantationDate]])," ", YEAR(CompilDonnées[[#This Row],[PlantationDate]]))</f>
        <v>6 2025</v>
      </c>
      <c r="M3648" t="str">
        <f>CONCATENATE(MONTH(CompilDonnées[[#This Row],[HarvestingDate]])," ", YEAR(CompilDonnées[[#This Row],[HarvestingDate]]))</f>
        <v>8 2025</v>
      </c>
      <c r="N3648">
        <f>_xlfn.NUMBERVALUE(CompilDonnées[[#This Row],[FarmID]]&amp;CompilDonnées[[#This Row],[ModuleNumber]]&amp;CompilDonnées[[#This Row],[PlantationDate]])</f>
        <v>100545832</v>
      </c>
      <c r="O3648" t="str">
        <f>CompilDonnées[[#This Row],[FarmID]]&amp;CompilDonnées[[#This Row],[ModuleNumber]]</f>
        <v>1005</v>
      </c>
      <c r="P3648" t="str">
        <f>CompilDonnées[[#This Row],[Ref_Module]]&amp;CompilDonnées[[#This Row],[HarvestingDate]]</f>
        <v>100545876</v>
      </c>
    </row>
    <row r="3649" spans="1:16">
      <c r="A3649" s="5">
        <v>45832</v>
      </c>
      <c r="B3649">
        <v>92</v>
      </c>
      <c r="C3649" t="s">
        <v>66</v>
      </c>
      <c r="D3649">
        <v>2</v>
      </c>
      <c r="E3649">
        <v>100</v>
      </c>
      <c r="F3649" t="s">
        <v>1</v>
      </c>
      <c r="G3649" s="6">
        <v>45880</v>
      </c>
      <c r="H3649">
        <v>48</v>
      </c>
      <c r="I3649">
        <f>ROUND(CompilDonnées[[#This Row],[CultureDuration_days]]/7,0)</f>
        <v>7</v>
      </c>
      <c r="J3649">
        <v>3483</v>
      </c>
      <c r="K3649" t="str">
        <f>_xlfn.CONCAT(WEEKNUM(CompilDonnées[[#This Row],[PlantationDate]]), " ", YEAR(CompilDonnées[[#This Row],[PlantationDate]]))</f>
        <v>26 2025</v>
      </c>
      <c r="L3649" t="str">
        <f>CONCATENATE(MONTH(CompilDonnées[[#This Row],[PlantationDate]])," ", YEAR(CompilDonnées[[#This Row],[PlantationDate]]))</f>
        <v>6 2025</v>
      </c>
      <c r="M3649" t="str">
        <f>CONCATENATE(MONTH(CompilDonnées[[#This Row],[HarvestingDate]])," ", YEAR(CompilDonnées[[#This Row],[HarvestingDate]]))</f>
        <v>8 2025</v>
      </c>
      <c r="N3649">
        <f>_xlfn.NUMBERVALUE(CompilDonnées[[#This Row],[FarmID]]&amp;CompilDonnées[[#This Row],[ModuleNumber]]&amp;CompilDonnées[[#This Row],[PlantationDate]])</f>
        <v>92245832</v>
      </c>
      <c r="O3649" t="str">
        <f>CompilDonnées[[#This Row],[FarmID]]&amp;CompilDonnées[[#This Row],[ModuleNumber]]</f>
        <v>922</v>
      </c>
      <c r="P3649" t="str">
        <f>CompilDonnées[[#This Row],[Ref_Module]]&amp;CompilDonnées[[#This Row],[HarvestingDate]]</f>
        <v>92245880</v>
      </c>
    </row>
    <row r="3650" spans="1:16">
      <c r="A3650" s="5">
        <v>45832</v>
      </c>
      <c r="B3650">
        <v>112</v>
      </c>
      <c r="C3650" t="s">
        <v>15</v>
      </c>
      <c r="D3650">
        <v>4</v>
      </c>
      <c r="E3650">
        <v>100</v>
      </c>
      <c r="F3650" t="s">
        <v>1</v>
      </c>
      <c r="G3650" s="6">
        <v>45877</v>
      </c>
      <c r="H3650">
        <v>45</v>
      </c>
      <c r="I3650">
        <f>ROUND(CompilDonnées[[#This Row],[CultureDuration_days]]/7,0)</f>
        <v>6</v>
      </c>
      <c r="J3650">
        <v>3306</v>
      </c>
      <c r="K3650" t="str">
        <f>_xlfn.CONCAT(WEEKNUM(CompilDonnées[[#This Row],[PlantationDate]]), " ", YEAR(CompilDonnées[[#This Row],[PlantationDate]]))</f>
        <v>26 2025</v>
      </c>
      <c r="L3650" t="str">
        <f>CONCATENATE(MONTH(CompilDonnées[[#This Row],[PlantationDate]])," ", YEAR(CompilDonnées[[#This Row],[PlantationDate]]))</f>
        <v>6 2025</v>
      </c>
      <c r="M3650" t="str">
        <f>CONCATENATE(MONTH(CompilDonnées[[#This Row],[HarvestingDate]])," ", YEAR(CompilDonnées[[#This Row],[HarvestingDate]]))</f>
        <v>8 2025</v>
      </c>
      <c r="N3650">
        <f>_xlfn.NUMBERVALUE(CompilDonnées[[#This Row],[FarmID]]&amp;CompilDonnées[[#This Row],[ModuleNumber]]&amp;CompilDonnées[[#This Row],[PlantationDate]])</f>
        <v>112445832</v>
      </c>
      <c r="O3650" t="str">
        <f>CompilDonnées[[#This Row],[FarmID]]&amp;CompilDonnées[[#This Row],[ModuleNumber]]</f>
        <v>1124</v>
      </c>
      <c r="P3650" t="str">
        <f>CompilDonnées[[#This Row],[Ref_Module]]&amp;CompilDonnées[[#This Row],[HarvestingDate]]</f>
        <v>112445877</v>
      </c>
    </row>
    <row r="3651" spans="1:16">
      <c r="A3651" s="5">
        <v>45832</v>
      </c>
      <c r="B3651">
        <v>60</v>
      </c>
      <c r="C3651" t="s">
        <v>113</v>
      </c>
      <c r="D3651">
        <v>1</v>
      </c>
      <c r="E3651">
        <v>100</v>
      </c>
      <c r="F3651" t="s">
        <v>1</v>
      </c>
      <c r="G3651" s="6">
        <v>45881</v>
      </c>
      <c r="H3651">
        <v>49</v>
      </c>
      <c r="I3651">
        <f>ROUND(CompilDonnées[[#This Row],[CultureDuration_days]]/7,0)</f>
        <v>7</v>
      </c>
      <c r="J3651">
        <v>2318</v>
      </c>
      <c r="K3651" t="str">
        <f>_xlfn.CONCAT(WEEKNUM(CompilDonnées[[#This Row],[PlantationDate]]), " ", YEAR(CompilDonnées[[#This Row],[PlantationDate]]))</f>
        <v>26 2025</v>
      </c>
      <c r="L3651" t="str">
        <f>CONCATENATE(MONTH(CompilDonnées[[#This Row],[PlantationDate]])," ", YEAR(CompilDonnées[[#This Row],[PlantationDate]]))</f>
        <v>6 2025</v>
      </c>
      <c r="M3651" t="str">
        <f>CONCATENATE(MONTH(CompilDonnées[[#This Row],[HarvestingDate]])," ", YEAR(CompilDonnées[[#This Row],[HarvestingDate]]))</f>
        <v>8 2025</v>
      </c>
      <c r="N3651">
        <f>_xlfn.NUMBERVALUE(CompilDonnées[[#This Row],[FarmID]]&amp;CompilDonnées[[#This Row],[ModuleNumber]]&amp;CompilDonnées[[#This Row],[PlantationDate]])</f>
        <v>60145832</v>
      </c>
      <c r="O3651" t="str">
        <f>CompilDonnées[[#This Row],[FarmID]]&amp;CompilDonnées[[#This Row],[ModuleNumber]]</f>
        <v>601</v>
      </c>
      <c r="P3651" t="str">
        <f>CompilDonnées[[#This Row],[Ref_Module]]&amp;CompilDonnées[[#This Row],[HarvestingDate]]</f>
        <v>60145881</v>
      </c>
    </row>
    <row r="3652" spans="1:16">
      <c r="A3652" s="5">
        <v>45832</v>
      </c>
      <c r="B3652">
        <v>72</v>
      </c>
      <c r="C3652" t="s">
        <v>49</v>
      </c>
      <c r="D3652">
        <v>1</v>
      </c>
      <c r="E3652">
        <v>100</v>
      </c>
      <c r="F3652" t="s">
        <v>1</v>
      </c>
      <c r="G3652" s="6">
        <v>45881</v>
      </c>
      <c r="H3652">
        <v>49</v>
      </c>
      <c r="I3652">
        <f>ROUND(CompilDonnées[[#This Row],[CultureDuration_days]]/7,0)</f>
        <v>7</v>
      </c>
      <c r="J3652">
        <v>3484</v>
      </c>
      <c r="K3652" t="str">
        <f>_xlfn.CONCAT(WEEKNUM(CompilDonnées[[#This Row],[PlantationDate]]), " ", YEAR(CompilDonnées[[#This Row],[PlantationDate]]))</f>
        <v>26 2025</v>
      </c>
      <c r="L3652" t="str">
        <f>CONCATENATE(MONTH(CompilDonnées[[#This Row],[PlantationDate]])," ", YEAR(CompilDonnées[[#This Row],[PlantationDate]]))</f>
        <v>6 2025</v>
      </c>
      <c r="M3652" t="str">
        <f>CONCATENATE(MONTH(CompilDonnées[[#This Row],[HarvestingDate]])," ", YEAR(CompilDonnées[[#This Row],[HarvestingDate]]))</f>
        <v>8 2025</v>
      </c>
      <c r="N3652">
        <f>_xlfn.NUMBERVALUE(CompilDonnées[[#This Row],[FarmID]]&amp;CompilDonnées[[#This Row],[ModuleNumber]]&amp;CompilDonnées[[#This Row],[PlantationDate]])</f>
        <v>72145832</v>
      </c>
      <c r="O3652" t="str">
        <f>CompilDonnées[[#This Row],[FarmID]]&amp;CompilDonnées[[#This Row],[ModuleNumber]]</f>
        <v>721</v>
      </c>
      <c r="P3652" t="str">
        <f>CompilDonnées[[#This Row],[Ref_Module]]&amp;CompilDonnées[[#This Row],[HarvestingDate]]</f>
        <v>72145881</v>
      </c>
    </row>
    <row r="3653" spans="1:16">
      <c r="A3653" s="5">
        <v>45832</v>
      </c>
      <c r="B3653">
        <v>71</v>
      </c>
      <c r="C3653" t="s">
        <v>19</v>
      </c>
      <c r="D3653">
        <v>6</v>
      </c>
      <c r="E3653">
        <v>100</v>
      </c>
      <c r="F3653" t="s">
        <v>1</v>
      </c>
      <c r="G3653" s="6">
        <v>45876</v>
      </c>
      <c r="H3653">
        <v>44</v>
      </c>
      <c r="I3653">
        <f>ROUND(CompilDonnées[[#This Row],[CultureDuration_days]]/7,0)</f>
        <v>6</v>
      </c>
      <c r="J3653">
        <v>3209</v>
      </c>
      <c r="K3653" t="str">
        <f>_xlfn.CONCAT(WEEKNUM(CompilDonnées[[#This Row],[PlantationDate]]), " ", YEAR(CompilDonnées[[#This Row],[PlantationDate]]))</f>
        <v>26 2025</v>
      </c>
      <c r="L3653" t="str">
        <f>CONCATENATE(MONTH(CompilDonnées[[#This Row],[PlantationDate]])," ", YEAR(CompilDonnées[[#This Row],[PlantationDate]]))</f>
        <v>6 2025</v>
      </c>
      <c r="M3653" t="str">
        <f>CONCATENATE(MONTH(CompilDonnées[[#This Row],[HarvestingDate]])," ", YEAR(CompilDonnées[[#This Row],[HarvestingDate]]))</f>
        <v>8 2025</v>
      </c>
      <c r="N3653">
        <f>_xlfn.NUMBERVALUE(CompilDonnées[[#This Row],[FarmID]]&amp;CompilDonnées[[#This Row],[ModuleNumber]]&amp;CompilDonnées[[#This Row],[PlantationDate]])</f>
        <v>71645832</v>
      </c>
      <c r="O3653" t="str">
        <f>CompilDonnées[[#This Row],[FarmID]]&amp;CompilDonnées[[#This Row],[ModuleNumber]]</f>
        <v>716</v>
      </c>
      <c r="P3653" t="str">
        <f>CompilDonnées[[#This Row],[Ref_Module]]&amp;CompilDonnées[[#This Row],[HarvestingDate]]</f>
        <v>71645876</v>
      </c>
    </row>
    <row r="3654" spans="1:16">
      <c r="A3654" s="5">
        <v>45832</v>
      </c>
      <c r="B3654">
        <v>64</v>
      </c>
      <c r="C3654" t="s">
        <v>47</v>
      </c>
      <c r="D3654">
        <v>1</v>
      </c>
      <c r="E3654">
        <v>100</v>
      </c>
      <c r="F3654" t="s">
        <v>1</v>
      </c>
      <c r="G3654" s="6">
        <v>45889</v>
      </c>
      <c r="H3654">
        <v>57</v>
      </c>
      <c r="I3654">
        <f>ROUND(CompilDonnées[[#This Row],[CultureDuration_days]]/7,0)</f>
        <v>8</v>
      </c>
      <c r="J3654">
        <v>2302</v>
      </c>
      <c r="K3654" t="str">
        <f>_xlfn.CONCAT(WEEKNUM(CompilDonnées[[#This Row],[PlantationDate]]), " ", YEAR(CompilDonnées[[#This Row],[PlantationDate]]))</f>
        <v>26 2025</v>
      </c>
      <c r="L3654" t="str">
        <f>CONCATENATE(MONTH(CompilDonnées[[#This Row],[PlantationDate]])," ", YEAR(CompilDonnées[[#This Row],[PlantationDate]]))</f>
        <v>6 2025</v>
      </c>
      <c r="M3654" t="str">
        <f>CONCATENATE(MONTH(CompilDonnées[[#This Row],[HarvestingDate]])," ", YEAR(CompilDonnées[[#This Row],[HarvestingDate]]))</f>
        <v>8 2025</v>
      </c>
      <c r="N3654">
        <f>_xlfn.NUMBERVALUE(CompilDonnées[[#This Row],[FarmID]]&amp;CompilDonnées[[#This Row],[ModuleNumber]]&amp;CompilDonnées[[#This Row],[PlantationDate]])</f>
        <v>64145832</v>
      </c>
      <c r="O3654" t="str">
        <f>CompilDonnées[[#This Row],[FarmID]]&amp;CompilDonnées[[#This Row],[ModuleNumber]]</f>
        <v>641</v>
      </c>
      <c r="P3654" t="str">
        <f>CompilDonnées[[#This Row],[Ref_Module]]&amp;CompilDonnées[[#This Row],[HarvestingDate]]</f>
        <v>64145889</v>
      </c>
    </row>
    <row r="3655" spans="1:16">
      <c r="A3655" s="5">
        <v>45832</v>
      </c>
      <c r="B3655">
        <v>67</v>
      </c>
      <c r="C3655" t="s">
        <v>28</v>
      </c>
      <c r="D3655">
        <v>4</v>
      </c>
      <c r="E3655">
        <v>100</v>
      </c>
      <c r="F3655" t="s">
        <v>1</v>
      </c>
      <c r="G3655" s="6">
        <v>45867</v>
      </c>
      <c r="H3655">
        <v>35</v>
      </c>
      <c r="I3655">
        <f>ROUND(CompilDonnées[[#This Row],[CultureDuration_days]]/7,0)</f>
        <v>5</v>
      </c>
      <c r="J3655">
        <v>3297</v>
      </c>
      <c r="K3655" t="str">
        <f>_xlfn.CONCAT(WEEKNUM(CompilDonnées[[#This Row],[PlantationDate]]), " ", YEAR(CompilDonnées[[#This Row],[PlantationDate]]))</f>
        <v>26 2025</v>
      </c>
      <c r="L3655" t="str">
        <f>CONCATENATE(MONTH(CompilDonnées[[#This Row],[PlantationDate]])," ", YEAR(CompilDonnées[[#This Row],[PlantationDate]]))</f>
        <v>6 2025</v>
      </c>
      <c r="M3655" t="str">
        <f>CONCATENATE(MONTH(CompilDonnées[[#This Row],[HarvestingDate]])," ", YEAR(CompilDonnées[[#This Row],[HarvestingDate]]))</f>
        <v>7 2025</v>
      </c>
      <c r="N3655">
        <f>_xlfn.NUMBERVALUE(CompilDonnées[[#This Row],[FarmID]]&amp;CompilDonnées[[#This Row],[ModuleNumber]]&amp;CompilDonnées[[#This Row],[PlantationDate]])</f>
        <v>67445832</v>
      </c>
      <c r="O3655" t="str">
        <f>CompilDonnées[[#This Row],[FarmID]]&amp;CompilDonnées[[#This Row],[ModuleNumber]]</f>
        <v>674</v>
      </c>
      <c r="P3655" t="str">
        <f>CompilDonnées[[#This Row],[Ref_Module]]&amp;CompilDonnées[[#This Row],[HarvestingDate]]</f>
        <v>67445867</v>
      </c>
    </row>
    <row r="3656" spans="1:16">
      <c r="A3656" s="5">
        <v>45832</v>
      </c>
      <c r="B3656">
        <v>68</v>
      </c>
      <c r="C3656" t="s">
        <v>89</v>
      </c>
      <c r="D3656">
        <v>4</v>
      </c>
      <c r="E3656">
        <v>100</v>
      </c>
      <c r="F3656" t="s">
        <v>1</v>
      </c>
      <c r="G3656" s="6">
        <v>45876</v>
      </c>
      <c r="H3656">
        <v>44</v>
      </c>
      <c r="I3656">
        <f>ROUND(CompilDonnées[[#This Row],[CultureDuration_days]]/7,0)</f>
        <v>6</v>
      </c>
      <c r="J3656">
        <v>4735</v>
      </c>
      <c r="K3656" t="str">
        <f>_xlfn.CONCAT(WEEKNUM(CompilDonnées[[#This Row],[PlantationDate]]), " ", YEAR(CompilDonnées[[#This Row],[PlantationDate]]))</f>
        <v>26 2025</v>
      </c>
      <c r="L3656" t="str">
        <f>CONCATENATE(MONTH(CompilDonnées[[#This Row],[PlantationDate]])," ", YEAR(CompilDonnées[[#This Row],[PlantationDate]]))</f>
        <v>6 2025</v>
      </c>
      <c r="M3656" t="str">
        <f>CONCATENATE(MONTH(CompilDonnées[[#This Row],[HarvestingDate]])," ", YEAR(CompilDonnées[[#This Row],[HarvestingDate]]))</f>
        <v>8 2025</v>
      </c>
      <c r="N3656">
        <f>_xlfn.NUMBERVALUE(CompilDonnées[[#This Row],[FarmID]]&amp;CompilDonnées[[#This Row],[ModuleNumber]]&amp;CompilDonnées[[#This Row],[PlantationDate]])</f>
        <v>68445832</v>
      </c>
      <c r="O3656" t="str">
        <f>CompilDonnées[[#This Row],[FarmID]]&amp;CompilDonnées[[#This Row],[ModuleNumber]]</f>
        <v>684</v>
      </c>
      <c r="P3656" t="str">
        <f>CompilDonnées[[#This Row],[Ref_Module]]&amp;CompilDonnées[[#This Row],[HarvestingDate]]</f>
        <v>68445876</v>
      </c>
    </row>
    <row r="3657" spans="1:16">
      <c r="A3657" s="5">
        <v>45832</v>
      </c>
      <c r="B3657">
        <v>57</v>
      </c>
      <c r="C3657" t="s">
        <v>46</v>
      </c>
      <c r="D3657">
        <v>6</v>
      </c>
      <c r="E3657">
        <v>100</v>
      </c>
      <c r="F3657" t="s">
        <v>1</v>
      </c>
      <c r="G3657" s="6">
        <v>45876</v>
      </c>
      <c r="H3657">
        <v>44</v>
      </c>
      <c r="I3657">
        <f>ROUND(CompilDonnées[[#This Row],[CultureDuration_days]]/7,0)</f>
        <v>6</v>
      </c>
      <c r="J3657">
        <v>3202</v>
      </c>
      <c r="K3657" t="str">
        <f>_xlfn.CONCAT(WEEKNUM(CompilDonnées[[#This Row],[PlantationDate]]), " ", YEAR(CompilDonnées[[#This Row],[PlantationDate]]))</f>
        <v>26 2025</v>
      </c>
      <c r="L3657" t="str">
        <f>CONCATENATE(MONTH(CompilDonnées[[#This Row],[PlantationDate]])," ", YEAR(CompilDonnées[[#This Row],[PlantationDate]]))</f>
        <v>6 2025</v>
      </c>
      <c r="M3657" t="str">
        <f>CONCATENATE(MONTH(CompilDonnées[[#This Row],[HarvestingDate]])," ", YEAR(CompilDonnées[[#This Row],[HarvestingDate]]))</f>
        <v>8 2025</v>
      </c>
      <c r="N3657">
        <f>_xlfn.NUMBERVALUE(CompilDonnées[[#This Row],[FarmID]]&amp;CompilDonnées[[#This Row],[ModuleNumber]]&amp;CompilDonnées[[#This Row],[PlantationDate]])</f>
        <v>57645832</v>
      </c>
      <c r="O3657" t="str">
        <f>CompilDonnées[[#This Row],[FarmID]]&amp;CompilDonnées[[#This Row],[ModuleNumber]]</f>
        <v>576</v>
      </c>
      <c r="P3657" t="str">
        <f>CompilDonnées[[#This Row],[Ref_Module]]&amp;CompilDonnées[[#This Row],[HarvestingDate]]</f>
        <v>57645876</v>
      </c>
    </row>
    <row r="3658" spans="1:16">
      <c r="A3658" s="5">
        <v>45839</v>
      </c>
      <c r="B3658">
        <v>85</v>
      </c>
      <c r="C3658" t="s">
        <v>56</v>
      </c>
      <c r="D3658">
        <v>3</v>
      </c>
      <c r="E3658">
        <v>100</v>
      </c>
      <c r="F3658" t="s">
        <v>1</v>
      </c>
      <c r="G3658" s="6">
        <v>45880</v>
      </c>
      <c r="H3658">
        <v>41</v>
      </c>
      <c r="I3658">
        <f>ROUND(CompilDonnées[[#This Row],[CultureDuration_days]]/7,0)</f>
        <v>6</v>
      </c>
      <c r="J3658">
        <v>2657</v>
      </c>
      <c r="K3658" t="str">
        <f>_xlfn.CONCAT(WEEKNUM(CompilDonnées[[#This Row],[PlantationDate]]), " ", YEAR(CompilDonnées[[#This Row],[PlantationDate]]))</f>
        <v>27 2025</v>
      </c>
      <c r="L3658" t="str">
        <f>CONCATENATE(MONTH(CompilDonnées[[#This Row],[PlantationDate]])," ", YEAR(CompilDonnées[[#This Row],[PlantationDate]]))</f>
        <v>7 2025</v>
      </c>
      <c r="M3658" t="str">
        <f>CONCATENATE(MONTH(CompilDonnées[[#This Row],[HarvestingDate]])," ", YEAR(CompilDonnées[[#This Row],[HarvestingDate]]))</f>
        <v>8 2025</v>
      </c>
      <c r="N3658">
        <f>_xlfn.NUMBERVALUE(CompilDonnées[[#This Row],[FarmID]]&amp;CompilDonnées[[#This Row],[ModuleNumber]]&amp;CompilDonnées[[#This Row],[PlantationDate]])</f>
        <v>85345839</v>
      </c>
      <c r="O3658" t="str">
        <f>CompilDonnées[[#This Row],[FarmID]]&amp;CompilDonnées[[#This Row],[ModuleNumber]]</f>
        <v>853</v>
      </c>
      <c r="P3658" t="str">
        <f>CompilDonnées[[#This Row],[Ref_Module]]&amp;CompilDonnées[[#This Row],[HarvestingDate]]</f>
        <v>85345880</v>
      </c>
    </row>
    <row r="3659" spans="1:16">
      <c r="A3659" s="5">
        <v>45839</v>
      </c>
      <c r="B3659">
        <v>100</v>
      </c>
      <c r="C3659" t="s">
        <v>84</v>
      </c>
      <c r="D3659">
        <v>2</v>
      </c>
      <c r="E3659">
        <v>100</v>
      </c>
      <c r="F3659" t="s">
        <v>1</v>
      </c>
      <c r="G3659" s="6">
        <v>45880</v>
      </c>
      <c r="H3659">
        <v>41</v>
      </c>
      <c r="I3659">
        <f>ROUND(CompilDonnées[[#This Row],[CultureDuration_days]]/7,0)</f>
        <v>6</v>
      </c>
      <c r="J3659">
        <v>3055</v>
      </c>
      <c r="K3659" t="str">
        <f>_xlfn.CONCAT(WEEKNUM(CompilDonnées[[#This Row],[PlantationDate]]), " ", YEAR(CompilDonnées[[#This Row],[PlantationDate]]))</f>
        <v>27 2025</v>
      </c>
      <c r="L3659" t="str">
        <f>CONCATENATE(MONTH(CompilDonnées[[#This Row],[PlantationDate]])," ", YEAR(CompilDonnées[[#This Row],[PlantationDate]]))</f>
        <v>7 2025</v>
      </c>
      <c r="M3659" t="str">
        <f>CONCATENATE(MONTH(CompilDonnées[[#This Row],[HarvestingDate]])," ", YEAR(CompilDonnées[[#This Row],[HarvestingDate]]))</f>
        <v>8 2025</v>
      </c>
      <c r="N3659">
        <f>_xlfn.NUMBERVALUE(CompilDonnées[[#This Row],[FarmID]]&amp;CompilDonnées[[#This Row],[ModuleNumber]]&amp;CompilDonnées[[#This Row],[PlantationDate]])</f>
        <v>100245839</v>
      </c>
      <c r="O3659" t="str">
        <f>CompilDonnées[[#This Row],[FarmID]]&amp;CompilDonnées[[#This Row],[ModuleNumber]]</f>
        <v>1002</v>
      </c>
      <c r="P3659" t="str">
        <f>CompilDonnées[[#This Row],[Ref_Module]]&amp;CompilDonnées[[#This Row],[HarvestingDate]]</f>
        <v>100245880</v>
      </c>
    </row>
    <row r="3660" spans="1:16">
      <c r="A3660" s="5">
        <v>45839</v>
      </c>
      <c r="B3660">
        <v>98</v>
      </c>
      <c r="C3660" t="s">
        <v>79</v>
      </c>
      <c r="D3660">
        <v>3</v>
      </c>
      <c r="E3660">
        <v>100</v>
      </c>
      <c r="F3660" t="s">
        <v>1</v>
      </c>
      <c r="G3660" s="6">
        <v>45880</v>
      </c>
      <c r="H3660">
        <v>41</v>
      </c>
      <c r="I3660">
        <f>ROUND(CompilDonnées[[#This Row],[CultureDuration_days]]/7,0)</f>
        <v>6</v>
      </c>
      <c r="J3660">
        <v>3464</v>
      </c>
      <c r="K3660" t="str">
        <f>_xlfn.CONCAT(WEEKNUM(CompilDonnées[[#This Row],[PlantationDate]]), " ", YEAR(CompilDonnées[[#This Row],[PlantationDate]]))</f>
        <v>27 2025</v>
      </c>
      <c r="L3660" t="str">
        <f>CONCATENATE(MONTH(CompilDonnées[[#This Row],[PlantationDate]])," ", YEAR(CompilDonnées[[#This Row],[PlantationDate]]))</f>
        <v>7 2025</v>
      </c>
      <c r="M3660" t="str">
        <f>CONCATENATE(MONTH(CompilDonnées[[#This Row],[HarvestingDate]])," ", YEAR(CompilDonnées[[#This Row],[HarvestingDate]]))</f>
        <v>8 2025</v>
      </c>
      <c r="N3660">
        <f>_xlfn.NUMBERVALUE(CompilDonnées[[#This Row],[FarmID]]&amp;CompilDonnées[[#This Row],[ModuleNumber]]&amp;CompilDonnées[[#This Row],[PlantationDate]])</f>
        <v>98345839</v>
      </c>
      <c r="O3660" t="str">
        <f>CompilDonnées[[#This Row],[FarmID]]&amp;CompilDonnées[[#This Row],[ModuleNumber]]</f>
        <v>983</v>
      </c>
      <c r="P3660" t="str">
        <f>CompilDonnées[[#This Row],[Ref_Module]]&amp;CompilDonnées[[#This Row],[HarvestingDate]]</f>
        <v>98345880</v>
      </c>
    </row>
    <row r="3661" spans="1:16">
      <c r="A3661" s="5">
        <v>45839</v>
      </c>
      <c r="B3661">
        <v>107</v>
      </c>
      <c r="C3661" t="s">
        <v>23</v>
      </c>
      <c r="D3661">
        <v>3</v>
      </c>
      <c r="E3661">
        <v>100</v>
      </c>
      <c r="F3661" t="s">
        <v>1</v>
      </c>
      <c r="G3661" s="6">
        <v>45891</v>
      </c>
      <c r="H3661">
        <v>52</v>
      </c>
      <c r="I3661">
        <f>ROUND(CompilDonnées[[#This Row],[CultureDuration_days]]/7,0)</f>
        <v>7</v>
      </c>
      <c r="J3661">
        <v>3681</v>
      </c>
      <c r="K3661" t="str">
        <f>_xlfn.CONCAT(WEEKNUM(CompilDonnées[[#This Row],[PlantationDate]]), " ", YEAR(CompilDonnées[[#This Row],[PlantationDate]]))</f>
        <v>27 2025</v>
      </c>
      <c r="L3661" t="str">
        <f>CONCATENATE(MONTH(CompilDonnées[[#This Row],[PlantationDate]])," ", YEAR(CompilDonnées[[#This Row],[PlantationDate]]))</f>
        <v>7 2025</v>
      </c>
      <c r="M3661" t="str">
        <f>CONCATENATE(MONTH(CompilDonnées[[#This Row],[HarvestingDate]])," ", YEAR(CompilDonnées[[#This Row],[HarvestingDate]]))</f>
        <v>8 2025</v>
      </c>
      <c r="N3661">
        <f>_xlfn.NUMBERVALUE(CompilDonnées[[#This Row],[FarmID]]&amp;CompilDonnées[[#This Row],[ModuleNumber]]&amp;CompilDonnées[[#This Row],[PlantationDate]])</f>
        <v>107345839</v>
      </c>
      <c r="O3661" t="str">
        <f>CompilDonnées[[#This Row],[FarmID]]&amp;CompilDonnées[[#This Row],[ModuleNumber]]</f>
        <v>1073</v>
      </c>
      <c r="P3661" t="str">
        <f>CompilDonnées[[#This Row],[Ref_Module]]&amp;CompilDonnées[[#This Row],[HarvestingDate]]</f>
        <v>107345891</v>
      </c>
    </row>
    <row r="3662" spans="1:16">
      <c r="A3662" s="5">
        <v>45839</v>
      </c>
      <c r="B3662">
        <v>103</v>
      </c>
      <c r="C3662" t="s">
        <v>86</v>
      </c>
      <c r="D3662">
        <v>4</v>
      </c>
      <c r="E3662">
        <v>100</v>
      </c>
      <c r="F3662" t="s">
        <v>1</v>
      </c>
      <c r="G3662" s="6">
        <v>45880</v>
      </c>
      <c r="H3662">
        <v>41</v>
      </c>
      <c r="I3662">
        <f>ROUND(CompilDonnées[[#This Row],[CultureDuration_days]]/7,0)</f>
        <v>6</v>
      </c>
      <c r="J3662">
        <v>2153</v>
      </c>
      <c r="K3662" t="str">
        <f>_xlfn.CONCAT(WEEKNUM(CompilDonnées[[#This Row],[PlantationDate]]), " ", YEAR(CompilDonnées[[#This Row],[PlantationDate]]))</f>
        <v>27 2025</v>
      </c>
      <c r="L3662" t="str">
        <f>CONCATENATE(MONTH(CompilDonnées[[#This Row],[PlantationDate]])," ", YEAR(CompilDonnées[[#This Row],[PlantationDate]]))</f>
        <v>7 2025</v>
      </c>
      <c r="M3662" t="str">
        <f>CONCATENATE(MONTH(CompilDonnées[[#This Row],[HarvestingDate]])," ", YEAR(CompilDonnées[[#This Row],[HarvestingDate]]))</f>
        <v>8 2025</v>
      </c>
      <c r="N3662">
        <f>_xlfn.NUMBERVALUE(CompilDonnées[[#This Row],[FarmID]]&amp;CompilDonnées[[#This Row],[ModuleNumber]]&amp;CompilDonnées[[#This Row],[PlantationDate]])</f>
        <v>103445839</v>
      </c>
      <c r="O3662" t="str">
        <f>CompilDonnées[[#This Row],[FarmID]]&amp;CompilDonnées[[#This Row],[ModuleNumber]]</f>
        <v>1034</v>
      </c>
      <c r="P3662" t="str">
        <f>CompilDonnées[[#This Row],[Ref_Module]]&amp;CompilDonnées[[#This Row],[HarvestingDate]]</f>
        <v>103445880</v>
      </c>
    </row>
    <row r="3663" spans="1:16">
      <c r="A3663" s="5">
        <v>45839</v>
      </c>
      <c r="B3663">
        <v>109</v>
      </c>
      <c r="C3663" t="s">
        <v>87</v>
      </c>
      <c r="D3663">
        <v>1</v>
      </c>
      <c r="E3663">
        <v>100</v>
      </c>
      <c r="F3663" t="s">
        <v>1</v>
      </c>
      <c r="G3663" s="6">
        <v>45880</v>
      </c>
      <c r="H3663">
        <v>41</v>
      </c>
      <c r="I3663">
        <f>ROUND(CompilDonnées[[#This Row],[CultureDuration_days]]/7,0)</f>
        <v>6</v>
      </c>
      <c r="J3663">
        <v>4116</v>
      </c>
      <c r="K3663" t="str">
        <f>_xlfn.CONCAT(WEEKNUM(CompilDonnées[[#This Row],[PlantationDate]]), " ", YEAR(CompilDonnées[[#This Row],[PlantationDate]]))</f>
        <v>27 2025</v>
      </c>
      <c r="L3663" t="str">
        <f>CONCATENATE(MONTH(CompilDonnées[[#This Row],[PlantationDate]])," ", YEAR(CompilDonnées[[#This Row],[PlantationDate]]))</f>
        <v>7 2025</v>
      </c>
      <c r="M3663" t="str">
        <f>CONCATENATE(MONTH(CompilDonnées[[#This Row],[HarvestingDate]])," ", YEAR(CompilDonnées[[#This Row],[HarvestingDate]]))</f>
        <v>8 2025</v>
      </c>
      <c r="N3663">
        <f>_xlfn.NUMBERVALUE(CompilDonnées[[#This Row],[FarmID]]&amp;CompilDonnées[[#This Row],[ModuleNumber]]&amp;CompilDonnées[[#This Row],[PlantationDate]])</f>
        <v>109145839</v>
      </c>
      <c r="O3663" t="str">
        <f>CompilDonnées[[#This Row],[FarmID]]&amp;CompilDonnées[[#This Row],[ModuleNumber]]</f>
        <v>1091</v>
      </c>
      <c r="P3663" t="str">
        <f>CompilDonnées[[#This Row],[Ref_Module]]&amp;CompilDonnées[[#This Row],[HarvestingDate]]</f>
        <v>109145880</v>
      </c>
    </row>
    <row r="3664" spans="1:16">
      <c r="A3664" s="5">
        <v>45839</v>
      </c>
      <c r="B3664">
        <v>102</v>
      </c>
      <c r="C3664" t="s">
        <v>85</v>
      </c>
      <c r="D3664">
        <v>1</v>
      </c>
      <c r="E3664">
        <v>100</v>
      </c>
      <c r="F3664" t="s">
        <v>1</v>
      </c>
      <c r="G3664" s="6">
        <v>45882</v>
      </c>
      <c r="H3664">
        <v>43</v>
      </c>
      <c r="I3664">
        <f>ROUND(CompilDonnées[[#This Row],[CultureDuration_days]]/7,0)</f>
        <v>6</v>
      </c>
      <c r="J3664">
        <v>1742</v>
      </c>
      <c r="K3664" t="str">
        <f>_xlfn.CONCAT(WEEKNUM(CompilDonnées[[#This Row],[PlantationDate]]), " ", YEAR(CompilDonnées[[#This Row],[PlantationDate]]))</f>
        <v>27 2025</v>
      </c>
      <c r="L3664" t="str">
        <f>CONCATENATE(MONTH(CompilDonnées[[#This Row],[PlantationDate]])," ", YEAR(CompilDonnées[[#This Row],[PlantationDate]]))</f>
        <v>7 2025</v>
      </c>
      <c r="M3664" t="str">
        <f>CONCATENATE(MONTH(CompilDonnées[[#This Row],[HarvestingDate]])," ", YEAR(CompilDonnées[[#This Row],[HarvestingDate]]))</f>
        <v>8 2025</v>
      </c>
      <c r="N3664">
        <f>_xlfn.NUMBERVALUE(CompilDonnées[[#This Row],[FarmID]]&amp;CompilDonnées[[#This Row],[ModuleNumber]]&amp;CompilDonnées[[#This Row],[PlantationDate]])</f>
        <v>102145839</v>
      </c>
      <c r="O3664" t="str">
        <f>CompilDonnées[[#This Row],[FarmID]]&amp;CompilDonnées[[#This Row],[ModuleNumber]]</f>
        <v>1021</v>
      </c>
      <c r="P3664" t="str">
        <f>CompilDonnées[[#This Row],[Ref_Module]]&amp;CompilDonnées[[#This Row],[HarvestingDate]]</f>
        <v>102145882</v>
      </c>
    </row>
    <row r="3665" spans="1:16">
      <c r="A3665" s="5">
        <v>45839</v>
      </c>
      <c r="B3665">
        <v>97</v>
      </c>
      <c r="C3665" t="s">
        <v>78</v>
      </c>
      <c r="D3665">
        <v>4</v>
      </c>
      <c r="E3665">
        <v>100</v>
      </c>
      <c r="F3665" t="s">
        <v>1</v>
      </c>
      <c r="G3665" s="6">
        <v>45880</v>
      </c>
      <c r="H3665">
        <v>41</v>
      </c>
      <c r="I3665">
        <f>ROUND(CompilDonnées[[#This Row],[CultureDuration_days]]/7,0)</f>
        <v>6</v>
      </c>
      <c r="J3665">
        <v>2587</v>
      </c>
      <c r="K3665" t="str">
        <f>_xlfn.CONCAT(WEEKNUM(CompilDonnées[[#This Row],[PlantationDate]]), " ", YEAR(CompilDonnées[[#This Row],[PlantationDate]]))</f>
        <v>27 2025</v>
      </c>
      <c r="L3665" t="str">
        <f>CONCATENATE(MONTH(CompilDonnées[[#This Row],[PlantationDate]])," ", YEAR(CompilDonnées[[#This Row],[PlantationDate]]))</f>
        <v>7 2025</v>
      </c>
      <c r="M3665" t="str">
        <f>CONCATENATE(MONTH(CompilDonnées[[#This Row],[HarvestingDate]])," ", YEAR(CompilDonnées[[#This Row],[HarvestingDate]]))</f>
        <v>8 2025</v>
      </c>
      <c r="N3665">
        <f>_xlfn.NUMBERVALUE(CompilDonnées[[#This Row],[FarmID]]&amp;CompilDonnées[[#This Row],[ModuleNumber]]&amp;CompilDonnées[[#This Row],[PlantationDate]])</f>
        <v>97445839</v>
      </c>
      <c r="O3665" t="str">
        <f>CompilDonnées[[#This Row],[FarmID]]&amp;CompilDonnées[[#This Row],[ModuleNumber]]</f>
        <v>974</v>
      </c>
      <c r="P3665" t="str">
        <f>CompilDonnées[[#This Row],[Ref_Module]]&amp;CompilDonnées[[#This Row],[HarvestingDate]]</f>
        <v>97445880</v>
      </c>
    </row>
    <row r="3666" spans="1:16">
      <c r="A3666" s="5">
        <v>45839</v>
      </c>
      <c r="B3666">
        <v>89</v>
      </c>
      <c r="C3666" t="s">
        <v>67</v>
      </c>
      <c r="D3666">
        <v>5</v>
      </c>
      <c r="E3666">
        <v>100</v>
      </c>
      <c r="F3666" t="s">
        <v>1</v>
      </c>
      <c r="G3666" s="6">
        <v>45881</v>
      </c>
      <c r="H3666">
        <v>42</v>
      </c>
      <c r="I3666">
        <f>ROUND(CompilDonnées[[#This Row],[CultureDuration_days]]/7,0)</f>
        <v>6</v>
      </c>
      <c r="J3666">
        <v>3478</v>
      </c>
      <c r="K3666" t="str">
        <f>_xlfn.CONCAT(WEEKNUM(CompilDonnées[[#This Row],[PlantationDate]]), " ", YEAR(CompilDonnées[[#This Row],[PlantationDate]]))</f>
        <v>27 2025</v>
      </c>
      <c r="L3666" t="str">
        <f>CONCATENATE(MONTH(CompilDonnées[[#This Row],[PlantationDate]])," ", YEAR(CompilDonnées[[#This Row],[PlantationDate]]))</f>
        <v>7 2025</v>
      </c>
      <c r="M3666" t="str">
        <f>CONCATENATE(MONTH(CompilDonnées[[#This Row],[HarvestingDate]])," ", YEAR(CompilDonnées[[#This Row],[HarvestingDate]]))</f>
        <v>8 2025</v>
      </c>
      <c r="N3666">
        <f>_xlfn.NUMBERVALUE(CompilDonnées[[#This Row],[FarmID]]&amp;CompilDonnées[[#This Row],[ModuleNumber]]&amp;CompilDonnées[[#This Row],[PlantationDate]])</f>
        <v>89545839</v>
      </c>
      <c r="O3666" t="str">
        <f>CompilDonnées[[#This Row],[FarmID]]&amp;CompilDonnées[[#This Row],[ModuleNumber]]</f>
        <v>895</v>
      </c>
      <c r="P3666" t="str">
        <f>CompilDonnées[[#This Row],[Ref_Module]]&amp;CompilDonnées[[#This Row],[HarvestingDate]]</f>
        <v>89545881</v>
      </c>
    </row>
    <row r="3667" spans="1:16">
      <c r="A3667" s="5">
        <v>45839</v>
      </c>
      <c r="B3667">
        <v>68</v>
      </c>
      <c r="C3667" t="s">
        <v>89</v>
      </c>
      <c r="D3667">
        <v>5</v>
      </c>
      <c r="E3667">
        <v>100</v>
      </c>
      <c r="F3667" t="s">
        <v>1</v>
      </c>
      <c r="G3667" s="6">
        <v>45881</v>
      </c>
      <c r="H3667">
        <v>42</v>
      </c>
      <c r="I3667">
        <f>ROUND(CompilDonnées[[#This Row],[CultureDuration_days]]/7,0)</f>
        <v>6</v>
      </c>
      <c r="J3667">
        <v>4315</v>
      </c>
      <c r="K3667" t="str">
        <f>_xlfn.CONCAT(WEEKNUM(CompilDonnées[[#This Row],[PlantationDate]]), " ", YEAR(CompilDonnées[[#This Row],[PlantationDate]]))</f>
        <v>27 2025</v>
      </c>
      <c r="L3667" t="str">
        <f>CONCATENATE(MONTH(CompilDonnées[[#This Row],[PlantationDate]])," ", YEAR(CompilDonnées[[#This Row],[PlantationDate]]))</f>
        <v>7 2025</v>
      </c>
      <c r="M3667" t="str">
        <f>CONCATENATE(MONTH(CompilDonnées[[#This Row],[HarvestingDate]])," ", YEAR(CompilDonnées[[#This Row],[HarvestingDate]]))</f>
        <v>8 2025</v>
      </c>
      <c r="N3667">
        <f>_xlfn.NUMBERVALUE(CompilDonnées[[#This Row],[FarmID]]&amp;CompilDonnées[[#This Row],[ModuleNumber]]&amp;CompilDonnées[[#This Row],[PlantationDate]])</f>
        <v>68545839</v>
      </c>
      <c r="O3667" t="str">
        <f>CompilDonnées[[#This Row],[FarmID]]&amp;CompilDonnées[[#This Row],[ModuleNumber]]</f>
        <v>685</v>
      </c>
      <c r="P3667" t="str">
        <f>CompilDonnées[[#This Row],[Ref_Module]]&amp;CompilDonnées[[#This Row],[HarvestingDate]]</f>
        <v>68545881</v>
      </c>
    </row>
    <row r="3668" spans="1:16">
      <c r="A3668" s="5">
        <v>45839</v>
      </c>
      <c r="B3668">
        <v>67</v>
      </c>
      <c r="C3668" t="s">
        <v>28</v>
      </c>
      <c r="D3668">
        <v>3</v>
      </c>
      <c r="E3668">
        <v>100</v>
      </c>
      <c r="F3668" t="s">
        <v>1</v>
      </c>
      <c r="G3668" s="6">
        <v>45881</v>
      </c>
      <c r="H3668">
        <v>42</v>
      </c>
      <c r="I3668">
        <f>ROUND(CompilDonnées[[#This Row],[CultureDuration_days]]/7,0)</f>
        <v>6</v>
      </c>
      <c r="J3668">
        <v>3773</v>
      </c>
      <c r="K3668" t="str">
        <f>_xlfn.CONCAT(WEEKNUM(CompilDonnées[[#This Row],[PlantationDate]]), " ", YEAR(CompilDonnées[[#This Row],[PlantationDate]]))</f>
        <v>27 2025</v>
      </c>
      <c r="L3668" t="str">
        <f>CONCATENATE(MONTH(CompilDonnées[[#This Row],[PlantationDate]])," ", YEAR(CompilDonnées[[#This Row],[PlantationDate]]))</f>
        <v>7 2025</v>
      </c>
      <c r="M3668" t="str">
        <f>CONCATENATE(MONTH(CompilDonnées[[#This Row],[HarvestingDate]])," ", YEAR(CompilDonnées[[#This Row],[HarvestingDate]]))</f>
        <v>8 2025</v>
      </c>
      <c r="N3668">
        <f>_xlfn.NUMBERVALUE(CompilDonnées[[#This Row],[FarmID]]&amp;CompilDonnées[[#This Row],[ModuleNumber]]&amp;CompilDonnées[[#This Row],[PlantationDate]])</f>
        <v>67345839</v>
      </c>
      <c r="O3668" t="str">
        <f>CompilDonnées[[#This Row],[FarmID]]&amp;CompilDonnées[[#This Row],[ModuleNumber]]</f>
        <v>673</v>
      </c>
      <c r="P3668" t="str">
        <f>CompilDonnées[[#This Row],[Ref_Module]]&amp;CompilDonnées[[#This Row],[HarvestingDate]]</f>
        <v>67345881</v>
      </c>
    </row>
    <row r="3669" spans="1:16">
      <c r="A3669" s="5">
        <v>45839</v>
      </c>
      <c r="B3669">
        <v>133</v>
      </c>
      <c r="C3669" t="s">
        <v>99</v>
      </c>
      <c r="D3669">
        <v>6</v>
      </c>
      <c r="E3669">
        <v>100</v>
      </c>
      <c r="F3669" t="s">
        <v>1</v>
      </c>
      <c r="G3669" s="6">
        <v>45880</v>
      </c>
      <c r="H3669">
        <v>41</v>
      </c>
      <c r="I3669">
        <f>ROUND(CompilDonnées[[#This Row],[CultureDuration_days]]/7,0)</f>
        <v>6</v>
      </c>
      <c r="J3669">
        <v>4407</v>
      </c>
      <c r="K3669" t="str">
        <f>_xlfn.CONCAT(WEEKNUM(CompilDonnées[[#This Row],[PlantationDate]]), " ", YEAR(CompilDonnées[[#This Row],[PlantationDate]]))</f>
        <v>27 2025</v>
      </c>
      <c r="L3669" t="str">
        <f>CONCATENATE(MONTH(CompilDonnées[[#This Row],[PlantationDate]])," ", YEAR(CompilDonnées[[#This Row],[PlantationDate]]))</f>
        <v>7 2025</v>
      </c>
      <c r="M3669" t="str">
        <f>CONCATENATE(MONTH(CompilDonnées[[#This Row],[HarvestingDate]])," ", YEAR(CompilDonnées[[#This Row],[HarvestingDate]]))</f>
        <v>8 2025</v>
      </c>
      <c r="N3669">
        <f>_xlfn.NUMBERVALUE(CompilDonnées[[#This Row],[FarmID]]&amp;CompilDonnées[[#This Row],[ModuleNumber]]&amp;CompilDonnées[[#This Row],[PlantationDate]])</f>
        <v>133645839</v>
      </c>
      <c r="O3669" t="str">
        <f>CompilDonnées[[#This Row],[FarmID]]&amp;CompilDonnées[[#This Row],[ModuleNumber]]</f>
        <v>1336</v>
      </c>
      <c r="P3669" t="str">
        <f>CompilDonnées[[#This Row],[Ref_Module]]&amp;CompilDonnées[[#This Row],[HarvestingDate]]</f>
        <v>133645880</v>
      </c>
    </row>
    <row r="3670" spans="1:16">
      <c r="A3670" s="5">
        <v>45839</v>
      </c>
      <c r="B3670">
        <v>115</v>
      </c>
      <c r="C3670" t="s">
        <v>121</v>
      </c>
      <c r="D3670">
        <v>5</v>
      </c>
      <c r="E3670">
        <v>100</v>
      </c>
      <c r="F3670" t="s">
        <v>1</v>
      </c>
      <c r="G3670" s="6">
        <v>45880</v>
      </c>
      <c r="H3670">
        <v>41</v>
      </c>
      <c r="I3670">
        <f>ROUND(CompilDonnées[[#This Row],[CultureDuration_days]]/7,0)</f>
        <v>6</v>
      </c>
      <c r="J3670">
        <v>3065</v>
      </c>
      <c r="K3670" t="str">
        <f>_xlfn.CONCAT(WEEKNUM(CompilDonnées[[#This Row],[PlantationDate]]), " ", YEAR(CompilDonnées[[#This Row],[PlantationDate]]))</f>
        <v>27 2025</v>
      </c>
      <c r="L3670" t="str">
        <f>CONCATENATE(MONTH(CompilDonnées[[#This Row],[PlantationDate]])," ", YEAR(CompilDonnées[[#This Row],[PlantationDate]]))</f>
        <v>7 2025</v>
      </c>
      <c r="M3670" t="str">
        <f>CONCATENATE(MONTH(CompilDonnées[[#This Row],[HarvestingDate]])," ", YEAR(CompilDonnées[[#This Row],[HarvestingDate]]))</f>
        <v>8 2025</v>
      </c>
      <c r="N3670">
        <f>_xlfn.NUMBERVALUE(CompilDonnées[[#This Row],[FarmID]]&amp;CompilDonnées[[#This Row],[ModuleNumber]]&amp;CompilDonnées[[#This Row],[PlantationDate]])</f>
        <v>115545839</v>
      </c>
      <c r="O3670" t="str">
        <f>CompilDonnées[[#This Row],[FarmID]]&amp;CompilDonnées[[#This Row],[ModuleNumber]]</f>
        <v>1155</v>
      </c>
      <c r="P3670" t="str">
        <f>CompilDonnées[[#This Row],[Ref_Module]]&amp;CompilDonnées[[#This Row],[HarvestingDate]]</f>
        <v>115545880</v>
      </c>
    </row>
    <row r="3671" spans="1:16">
      <c r="A3671" s="5">
        <v>45839</v>
      </c>
      <c r="B3671">
        <v>139</v>
      </c>
      <c r="C3671" t="s">
        <v>103</v>
      </c>
      <c r="D3671">
        <v>5</v>
      </c>
      <c r="E3671">
        <v>100</v>
      </c>
      <c r="F3671" t="s">
        <v>1</v>
      </c>
      <c r="G3671" s="6">
        <v>45878</v>
      </c>
      <c r="H3671">
        <v>39</v>
      </c>
      <c r="I3671">
        <f>ROUND(CompilDonnées[[#This Row],[CultureDuration_days]]/7,0)</f>
        <v>6</v>
      </c>
      <c r="J3671">
        <v>4280</v>
      </c>
      <c r="K3671" t="str">
        <f>_xlfn.CONCAT(WEEKNUM(CompilDonnées[[#This Row],[PlantationDate]]), " ", YEAR(CompilDonnées[[#This Row],[PlantationDate]]))</f>
        <v>27 2025</v>
      </c>
      <c r="L3671" t="str">
        <f>CONCATENATE(MONTH(CompilDonnées[[#This Row],[PlantationDate]])," ", YEAR(CompilDonnées[[#This Row],[PlantationDate]]))</f>
        <v>7 2025</v>
      </c>
      <c r="M3671" t="str">
        <f>CONCATENATE(MONTH(CompilDonnées[[#This Row],[HarvestingDate]])," ", YEAR(CompilDonnées[[#This Row],[HarvestingDate]]))</f>
        <v>8 2025</v>
      </c>
      <c r="N3671">
        <f>_xlfn.NUMBERVALUE(CompilDonnées[[#This Row],[FarmID]]&amp;CompilDonnées[[#This Row],[ModuleNumber]]&amp;CompilDonnées[[#This Row],[PlantationDate]])</f>
        <v>139545839</v>
      </c>
      <c r="O3671" t="str">
        <f>CompilDonnées[[#This Row],[FarmID]]&amp;CompilDonnées[[#This Row],[ModuleNumber]]</f>
        <v>1395</v>
      </c>
      <c r="P3671" t="str">
        <f>CompilDonnées[[#This Row],[Ref_Module]]&amp;CompilDonnées[[#This Row],[HarvestingDate]]</f>
        <v>139545878</v>
      </c>
    </row>
    <row r="3672" spans="1:16">
      <c r="A3672" s="5">
        <v>45839</v>
      </c>
      <c r="B3672">
        <v>140</v>
      </c>
      <c r="C3672" t="s">
        <v>96</v>
      </c>
      <c r="D3672">
        <v>4</v>
      </c>
      <c r="E3672">
        <v>100</v>
      </c>
      <c r="F3672" t="s">
        <v>1</v>
      </c>
      <c r="G3672" s="6">
        <v>45878</v>
      </c>
      <c r="H3672">
        <v>39</v>
      </c>
      <c r="I3672">
        <f>ROUND(CompilDonnées[[#This Row],[CultureDuration_days]]/7,0)</f>
        <v>6</v>
      </c>
      <c r="J3672">
        <v>4346</v>
      </c>
      <c r="K3672" t="str">
        <f>_xlfn.CONCAT(WEEKNUM(CompilDonnées[[#This Row],[PlantationDate]]), " ", YEAR(CompilDonnées[[#This Row],[PlantationDate]]))</f>
        <v>27 2025</v>
      </c>
      <c r="L3672" t="str">
        <f>CONCATENATE(MONTH(CompilDonnées[[#This Row],[PlantationDate]])," ", YEAR(CompilDonnées[[#This Row],[PlantationDate]]))</f>
        <v>7 2025</v>
      </c>
      <c r="M3672" t="str">
        <f>CONCATENATE(MONTH(CompilDonnées[[#This Row],[HarvestingDate]])," ", YEAR(CompilDonnées[[#This Row],[HarvestingDate]]))</f>
        <v>8 2025</v>
      </c>
      <c r="N3672">
        <f>_xlfn.NUMBERVALUE(CompilDonnées[[#This Row],[FarmID]]&amp;CompilDonnées[[#This Row],[ModuleNumber]]&amp;CompilDonnées[[#This Row],[PlantationDate]])</f>
        <v>140445839</v>
      </c>
      <c r="O3672" t="str">
        <f>CompilDonnées[[#This Row],[FarmID]]&amp;CompilDonnées[[#This Row],[ModuleNumber]]</f>
        <v>1404</v>
      </c>
      <c r="P3672" t="str">
        <f>CompilDonnées[[#This Row],[Ref_Module]]&amp;CompilDonnées[[#This Row],[HarvestingDate]]</f>
        <v>140445878</v>
      </c>
    </row>
    <row r="3673" spans="1:16">
      <c r="A3673" s="5">
        <v>45839</v>
      </c>
      <c r="B3673">
        <v>113</v>
      </c>
      <c r="C3673" t="s">
        <v>16</v>
      </c>
      <c r="D3673">
        <v>5</v>
      </c>
      <c r="E3673">
        <v>100</v>
      </c>
      <c r="F3673" t="s">
        <v>1</v>
      </c>
      <c r="G3673" s="6">
        <v>45880</v>
      </c>
      <c r="H3673">
        <v>41</v>
      </c>
      <c r="I3673">
        <f>ROUND(CompilDonnées[[#This Row],[CultureDuration_days]]/7,0)</f>
        <v>6</v>
      </c>
      <c r="J3673">
        <v>4568</v>
      </c>
      <c r="K3673" t="str">
        <f>_xlfn.CONCAT(WEEKNUM(CompilDonnées[[#This Row],[PlantationDate]]), " ", YEAR(CompilDonnées[[#This Row],[PlantationDate]]))</f>
        <v>27 2025</v>
      </c>
      <c r="L3673" t="str">
        <f>CONCATENATE(MONTH(CompilDonnées[[#This Row],[PlantationDate]])," ", YEAR(CompilDonnées[[#This Row],[PlantationDate]]))</f>
        <v>7 2025</v>
      </c>
      <c r="M3673" t="str">
        <f>CONCATENATE(MONTH(CompilDonnées[[#This Row],[HarvestingDate]])," ", YEAR(CompilDonnées[[#This Row],[HarvestingDate]]))</f>
        <v>8 2025</v>
      </c>
      <c r="N3673">
        <f>_xlfn.NUMBERVALUE(CompilDonnées[[#This Row],[FarmID]]&amp;CompilDonnées[[#This Row],[ModuleNumber]]&amp;CompilDonnées[[#This Row],[PlantationDate]])</f>
        <v>113545839</v>
      </c>
      <c r="O3673" t="str">
        <f>CompilDonnées[[#This Row],[FarmID]]&amp;CompilDonnées[[#This Row],[ModuleNumber]]</f>
        <v>1135</v>
      </c>
      <c r="P3673" t="str">
        <f>CompilDonnées[[#This Row],[Ref_Module]]&amp;CompilDonnées[[#This Row],[HarvestingDate]]</f>
        <v>113545880</v>
      </c>
    </row>
    <row r="3674" spans="1:16">
      <c r="A3674" s="5">
        <v>45839</v>
      </c>
      <c r="B3674">
        <v>112</v>
      </c>
      <c r="C3674" t="s">
        <v>15</v>
      </c>
      <c r="D3674">
        <v>5</v>
      </c>
      <c r="E3674">
        <v>100</v>
      </c>
      <c r="F3674" t="s">
        <v>1</v>
      </c>
      <c r="G3674" s="6">
        <v>45880</v>
      </c>
      <c r="H3674">
        <v>41</v>
      </c>
      <c r="I3674">
        <f>ROUND(CompilDonnées[[#This Row],[CultureDuration_days]]/7,0)</f>
        <v>6</v>
      </c>
      <c r="J3674">
        <v>4023</v>
      </c>
      <c r="K3674" t="str">
        <f>_xlfn.CONCAT(WEEKNUM(CompilDonnées[[#This Row],[PlantationDate]]), " ", YEAR(CompilDonnées[[#This Row],[PlantationDate]]))</f>
        <v>27 2025</v>
      </c>
      <c r="L3674" t="str">
        <f>CONCATENATE(MONTH(CompilDonnées[[#This Row],[PlantationDate]])," ", YEAR(CompilDonnées[[#This Row],[PlantationDate]]))</f>
        <v>7 2025</v>
      </c>
      <c r="M3674" t="str">
        <f>CONCATENATE(MONTH(CompilDonnées[[#This Row],[HarvestingDate]])," ", YEAR(CompilDonnées[[#This Row],[HarvestingDate]]))</f>
        <v>8 2025</v>
      </c>
      <c r="N3674">
        <f>_xlfn.NUMBERVALUE(CompilDonnées[[#This Row],[FarmID]]&amp;CompilDonnées[[#This Row],[ModuleNumber]]&amp;CompilDonnées[[#This Row],[PlantationDate]])</f>
        <v>112545839</v>
      </c>
      <c r="O3674" t="str">
        <f>CompilDonnées[[#This Row],[FarmID]]&amp;CompilDonnées[[#This Row],[ModuleNumber]]</f>
        <v>1125</v>
      </c>
      <c r="P3674" t="str">
        <f>CompilDonnées[[#This Row],[Ref_Module]]&amp;CompilDonnées[[#This Row],[HarvestingDate]]</f>
        <v>112545880</v>
      </c>
    </row>
    <row r="3675" spans="1:16">
      <c r="A3675" s="5">
        <v>45839</v>
      </c>
      <c r="B3675">
        <v>111</v>
      </c>
      <c r="C3675" t="s">
        <v>41</v>
      </c>
      <c r="D3675">
        <v>1</v>
      </c>
      <c r="E3675">
        <v>100</v>
      </c>
      <c r="F3675" t="s">
        <v>1</v>
      </c>
      <c r="G3675" s="6">
        <v>45880</v>
      </c>
      <c r="H3675">
        <v>41</v>
      </c>
      <c r="I3675">
        <f>ROUND(CompilDonnées[[#This Row],[CultureDuration_days]]/7,0)</f>
        <v>6</v>
      </c>
      <c r="J3675">
        <v>3195</v>
      </c>
      <c r="K3675" t="str">
        <f>_xlfn.CONCAT(WEEKNUM(CompilDonnées[[#This Row],[PlantationDate]]), " ", YEAR(CompilDonnées[[#This Row],[PlantationDate]]))</f>
        <v>27 2025</v>
      </c>
      <c r="L3675" t="str">
        <f>CONCATENATE(MONTH(CompilDonnées[[#This Row],[PlantationDate]])," ", YEAR(CompilDonnées[[#This Row],[PlantationDate]]))</f>
        <v>7 2025</v>
      </c>
      <c r="M3675" t="str">
        <f>CONCATENATE(MONTH(CompilDonnées[[#This Row],[HarvestingDate]])," ", YEAR(CompilDonnées[[#This Row],[HarvestingDate]]))</f>
        <v>8 2025</v>
      </c>
      <c r="N3675">
        <f>_xlfn.NUMBERVALUE(CompilDonnées[[#This Row],[FarmID]]&amp;CompilDonnées[[#This Row],[ModuleNumber]]&amp;CompilDonnées[[#This Row],[PlantationDate]])</f>
        <v>111145839</v>
      </c>
      <c r="O3675" t="str">
        <f>CompilDonnées[[#This Row],[FarmID]]&amp;CompilDonnées[[#This Row],[ModuleNumber]]</f>
        <v>1111</v>
      </c>
      <c r="P3675" t="str">
        <f>CompilDonnées[[#This Row],[Ref_Module]]&amp;CompilDonnées[[#This Row],[HarvestingDate]]</f>
        <v>111145880</v>
      </c>
    </row>
    <row r="3676" spans="1:16">
      <c r="A3676" s="5">
        <v>45839</v>
      </c>
      <c r="B3676">
        <v>110</v>
      </c>
      <c r="C3676" t="s">
        <v>14</v>
      </c>
      <c r="D3676">
        <v>3</v>
      </c>
      <c r="E3676">
        <v>100</v>
      </c>
      <c r="F3676" t="s">
        <v>1</v>
      </c>
      <c r="G3676" s="6">
        <v>45880</v>
      </c>
      <c r="H3676">
        <v>41</v>
      </c>
      <c r="I3676">
        <f>ROUND(CompilDonnées[[#This Row],[CultureDuration_days]]/7,0)</f>
        <v>6</v>
      </c>
      <c r="J3676">
        <v>3813</v>
      </c>
      <c r="K3676" t="str">
        <f>_xlfn.CONCAT(WEEKNUM(CompilDonnées[[#This Row],[PlantationDate]]), " ", YEAR(CompilDonnées[[#This Row],[PlantationDate]]))</f>
        <v>27 2025</v>
      </c>
      <c r="L3676" t="str">
        <f>CONCATENATE(MONTH(CompilDonnées[[#This Row],[PlantationDate]])," ", YEAR(CompilDonnées[[#This Row],[PlantationDate]]))</f>
        <v>7 2025</v>
      </c>
      <c r="M3676" t="str">
        <f>CONCATENATE(MONTH(CompilDonnées[[#This Row],[HarvestingDate]])," ", YEAR(CompilDonnées[[#This Row],[HarvestingDate]]))</f>
        <v>8 2025</v>
      </c>
      <c r="N3676">
        <f>_xlfn.NUMBERVALUE(CompilDonnées[[#This Row],[FarmID]]&amp;CompilDonnées[[#This Row],[ModuleNumber]]&amp;CompilDonnées[[#This Row],[PlantationDate]])</f>
        <v>110345839</v>
      </c>
      <c r="O3676" t="str">
        <f>CompilDonnées[[#This Row],[FarmID]]&amp;CompilDonnées[[#This Row],[ModuleNumber]]</f>
        <v>1103</v>
      </c>
      <c r="P3676" t="str">
        <f>CompilDonnées[[#This Row],[Ref_Module]]&amp;CompilDonnées[[#This Row],[HarvestingDate]]</f>
        <v>110345880</v>
      </c>
    </row>
    <row r="3677" spans="1:16">
      <c r="A3677" s="5">
        <v>45839</v>
      </c>
      <c r="B3677">
        <v>119</v>
      </c>
      <c r="C3677" t="s">
        <v>59</v>
      </c>
      <c r="D3677">
        <v>4</v>
      </c>
      <c r="E3677">
        <v>100</v>
      </c>
      <c r="F3677" t="s">
        <v>1</v>
      </c>
      <c r="G3677" s="6">
        <v>45878</v>
      </c>
      <c r="H3677">
        <v>39</v>
      </c>
      <c r="I3677">
        <f>ROUND(CompilDonnées[[#This Row],[CultureDuration_days]]/7,0)</f>
        <v>6</v>
      </c>
      <c r="J3677">
        <v>3089</v>
      </c>
      <c r="K3677" t="str">
        <f>_xlfn.CONCAT(WEEKNUM(CompilDonnées[[#This Row],[PlantationDate]]), " ", YEAR(CompilDonnées[[#This Row],[PlantationDate]]))</f>
        <v>27 2025</v>
      </c>
      <c r="L3677" t="str">
        <f>CONCATENATE(MONTH(CompilDonnées[[#This Row],[PlantationDate]])," ", YEAR(CompilDonnées[[#This Row],[PlantationDate]]))</f>
        <v>7 2025</v>
      </c>
      <c r="M3677" t="str">
        <f>CONCATENATE(MONTH(CompilDonnées[[#This Row],[HarvestingDate]])," ", YEAR(CompilDonnées[[#This Row],[HarvestingDate]]))</f>
        <v>8 2025</v>
      </c>
      <c r="N3677">
        <f>_xlfn.NUMBERVALUE(CompilDonnées[[#This Row],[FarmID]]&amp;CompilDonnées[[#This Row],[ModuleNumber]]&amp;CompilDonnées[[#This Row],[PlantationDate]])</f>
        <v>119445839</v>
      </c>
      <c r="O3677" t="str">
        <f>CompilDonnées[[#This Row],[FarmID]]&amp;CompilDonnées[[#This Row],[ModuleNumber]]</f>
        <v>1194</v>
      </c>
      <c r="P3677" t="str">
        <f>CompilDonnées[[#This Row],[Ref_Module]]&amp;CompilDonnées[[#This Row],[HarvestingDate]]</f>
        <v>119445878</v>
      </c>
    </row>
    <row r="3678" spans="1:16">
      <c r="A3678" s="5">
        <v>45839</v>
      </c>
      <c r="B3678">
        <v>118</v>
      </c>
      <c r="C3678" t="s">
        <v>51</v>
      </c>
      <c r="D3678">
        <v>4</v>
      </c>
      <c r="E3678">
        <v>100</v>
      </c>
      <c r="F3678" t="s">
        <v>1</v>
      </c>
      <c r="G3678" s="6">
        <v>45878</v>
      </c>
      <c r="H3678">
        <v>39</v>
      </c>
      <c r="I3678">
        <f>ROUND(CompilDonnées[[#This Row],[CultureDuration_days]]/7,0)</f>
        <v>6</v>
      </c>
      <c r="J3678">
        <v>3607</v>
      </c>
      <c r="K3678" t="str">
        <f>_xlfn.CONCAT(WEEKNUM(CompilDonnées[[#This Row],[PlantationDate]]), " ", YEAR(CompilDonnées[[#This Row],[PlantationDate]]))</f>
        <v>27 2025</v>
      </c>
      <c r="L3678" t="str">
        <f>CONCATENATE(MONTH(CompilDonnées[[#This Row],[PlantationDate]])," ", YEAR(CompilDonnées[[#This Row],[PlantationDate]]))</f>
        <v>7 2025</v>
      </c>
      <c r="M3678" t="str">
        <f>CONCATENATE(MONTH(CompilDonnées[[#This Row],[HarvestingDate]])," ", YEAR(CompilDonnées[[#This Row],[HarvestingDate]]))</f>
        <v>8 2025</v>
      </c>
      <c r="N3678">
        <f>_xlfn.NUMBERVALUE(CompilDonnées[[#This Row],[FarmID]]&amp;CompilDonnées[[#This Row],[ModuleNumber]]&amp;CompilDonnées[[#This Row],[PlantationDate]])</f>
        <v>118445839</v>
      </c>
      <c r="O3678" t="str">
        <f>CompilDonnées[[#This Row],[FarmID]]&amp;CompilDonnées[[#This Row],[ModuleNumber]]</f>
        <v>1184</v>
      </c>
      <c r="P3678" t="str">
        <f>CompilDonnées[[#This Row],[Ref_Module]]&amp;CompilDonnées[[#This Row],[HarvestingDate]]</f>
        <v>118445878</v>
      </c>
    </row>
    <row r="3679" spans="1:16">
      <c r="A3679" s="5">
        <v>45839</v>
      </c>
      <c r="B3679">
        <v>117</v>
      </c>
      <c r="C3679" t="s">
        <v>11</v>
      </c>
      <c r="D3679">
        <v>5</v>
      </c>
      <c r="E3679">
        <v>100</v>
      </c>
      <c r="F3679" t="s">
        <v>1</v>
      </c>
      <c r="G3679" s="6">
        <v>45878</v>
      </c>
      <c r="H3679">
        <v>39</v>
      </c>
      <c r="I3679">
        <f>ROUND(CompilDonnées[[#This Row],[CultureDuration_days]]/7,0)</f>
        <v>6</v>
      </c>
      <c r="J3679">
        <v>3201</v>
      </c>
      <c r="K3679" t="str">
        <f>_xlfn.CONCAT(WEEKNUM(CompilDonnées[[#This Row],[PlantationDate]]), " ", YEAR(CompilDonnées[[#This Row],[PlantationDate]]))</f>
        <v>27 2025</v>
      </c>
      <c r="L3679" t="str">
        <f>CONCATENATE(MONTH(CompilDonnées[[#This Row],[PlantationDate]])," ", YEAR(CompilDonnées[[#This Row],[PlantationDate]]))</f>
        <v>7 2025</v>
      </c>
      <c r="M3679" t="str">
        <f>CONCATENATE(MONTH(CompilDonnées[[#This Row],[HarvestingDate]])," ", YEAR(CompilDonnées[[#This Row],[HarvestingDate]]))</f>
        <v>8 2025</v>
      </c>
      <c r="N3679">
        <f>_xlfn.NUMBERVALUE(CompilDonnées[[#This Row],[FarmID]]&amp;CompilDonnées[[#This Row],[ModuleNumber]]&amp;CompilDonnées[[#This Row],[PlantationDate]])</f>
        <v>117545839</v>
      </c>
      <c r="O3679" t="str">
        <f>CompilDonnées[[#This Row],[FarmID]]&amp;CompilDonnées[[#This Row],[ModuleNumber]]</f>
        <v>1175</v>
      </c>
      <c r="P3679" t="str">
        <f>CompilDonnées[[#This Row],[Ref_Module]]&amp;CompilDonnées[[#This Row],[HarvestingDate]]</f>
        <v>117545878</v>
      </c>
    </row>
    <row r="3680" spans="1:16">
      <c r="A3680" s="5">
        <v>45839</v>
      </c>
      <c r="B3680">
        <v>124</v>
      </c>
      <c r="C3680" t="s">
        <v>115</v>
      </c>
      <c r="D3680">
        <v>3</v>
      </c>
      <c r="E3680">
        <v>100</v>
      </c>
      <c r="F3680" t="s">
        <v>1</v>
      </c>
      <c r="G3680" s="6">
        <v>45878</v>
      </c>
      <c r="H3680">
        <v>39</v>
      </c>
      <c r="I3680">
        <f>ROUND(CompilDonnées[[#This Row],[CultureDuration_days]]/7,0)</f>
        <v>6</v>
      </c>
      <c r="J3680">
        <v>3640</v>
      </c>
      <c r="K3680" t="str">
        <f>_xlfn.CONCAT(WEEKNUM(CompilDonnées[[#This Row],[PlantationDate]]), " ", YEAR(CompilDonnées[[#This Row],[PlantationDate]]))</f>
        <v>27 2025</v>
      </c>
      <c r="L3680" t="str">
        <f>CONCATENATE(MONTH(CompilDonnées[[#This Row],[PlantationDate]])," ", YEAR(CompilDonnées[[#This Row],[PlantationDate]]))</f>
        <v>7 2025</v>
      </c>
      <c r="M3680" t="str">
        <f>CONCATENATE(MONTH(CompilDonnées[[#This Row],[HarvestingDate]])," ", YEAR(CompilDonnées[[#This Row],[HarvestingDate]]))</f>
        <v>8 2025</v>
      </c>
      <c r="N3680">
        <f>_xlfn.NUMBERVALUE(CompilDonnées[[#This Row],[FarmID]]&amp;CompilDonnées[[#This Row],[ModuleNumber]]&amp;CompilDonnées[[#This Row],[PlantationDate]])</f>
        <v>124345839</v>
      </c>
      <c r="O3680" t="str">
        <f>CompilDonnées[[#This Row],[FarmID]]&amp;CompilDonnées[[#This Row],[ModuleNumber]]</f>
        <v>1243</v>
      </c>
      <c r="P3680" t="str">
        <f>CompilDonnées[[#This Row],[Ref_Module]]&amp;CompilDonnées[[#This Row],[HarvestingDate]]</f>
        <v>124345878</v>
      </c>
    </row>
    <row r="3681" spans="1:16">
      <c r="A3681" s="5">
        <v>45839</v>
      </c>
      <c r="B3681">
        <v>123</v>
      </c>
      <c r="C3681" t="s">
        <v>13</v>
      </c>
      <c r="D3681">
        <v>3</v>
      </c>
      <c r="E3681">
        <v>100</v>
      </c>
      <c r="F3681" t="s">
        <v>1</v>
      </c>
      <c r="G3681" s="6">
        <v>45878</v>
      </c>
      <c r="H3681">
        <v>39</v>
      </c>
      <c r="I3681">
        <f>ROUND(CompilDonnées[[#This Row],[CultureDuration_days]]/7,0)</f>
        <v>6</v>
      </c>
      <c r="J3681">
        <v>3315</v>
      </c>
      <c r="K3681" t="str">
        <f>_xlfn.CONCAT(WEEKNUM(CompilDonnées[[#This Row],[PlantationDate]]), " ", YEAR(CompilDonnées[[#This Row],[PlantationDate]]))</f>
        <v>27 2025</v>
      </c>
      <c r="L3681" t="str">
        <f>CONCATENATE(MONTH(CompilDonnées[[#This Row],[PlantationDate]])," ", YEAR(CompilDonnées[[#This Row],[PlantationDate]]))</f>
        <v>7 2025</v>
      </c>
      <c r="M3681" t="str">
        <f>CONCATENATE(MONTH(CompilDonnées[[#This Row],[HarvestingDate]])," ", YEAR(CompilDonnées[[#This Row],[HarvestingDate]]))</f>
        <v>8 2025</v>
      </c>
      <c r="N3681">
        <f>_xlfn.NUMBERVALUE(CompilDonnées[[#This Row],[FarmID]]&amp;CompilDonnées[[#This Row],[ModuleNumber]]&amp;CompilDonnées[[#This Row],[PlantationDate]])</f>
        <v>123345839</v>
      </c>
      <c r="O3681" t="str">
        <f>CompilDonnées[[#This Row],[FarmID]]&amp;CompilDonnées[[#This Row],[ModuleNumber]]</f>
        <v>1233</v>
      </c>
      <c r="P3681" t="str">
        <f>CompilDonnées[[#This Row],[Ref_Module]]&amp;CompilDonnées[[#This Row],[HarvestingDate]]</f>
        <v>123345878</v>
      </c>
    </row>
    <row r="3682" spans="1:16">
      <c r="A3682" s="5">
        <v>45839</v>
      </c>
      <c r="B3682">
        <v>114</v>
      </c>
      <c r="C3682" t="s">
        <v>3</v>
      </c>
      <c r="D3682">
        <v>5</v>
      </c>
      <c r="E3682">
        <v>60</v>
      </c>
      <c r="F3682" t="s">
        <v>105</v>
      </c>
      <c r="G3682" s="6">
        <v>45890</v>
      </c>
      <c r="H3682">
        <v>51</v>
      </c>
      <c r="I3682">
        <f>ROUND(CompilDonnées[[#This Row],[CultureDuration_days]]/7,0)</f>
        <v>7</v>
      </c>
      <c r="J3682">
        <v>522</v>
      </c>
      <c r="K3682" t="str">
        <f>_xlfn.CONCAT(WEEKNUM(CompilDonnées[[#This Row],[PlantationDate]]), " ", YEAR(CompilDonnées[[#This Row],[PlantationDate]]))</f>
        <v>27 2025</v>
      </c>
      <c r="L3682" t="str">
        <f>CONCATENATE(MONTH(CompilDonnées[[#This Row],[PlantationDate]])," ", YEAR(CompilDonnées[[#This Row],[PlantationDate]]))</f>
        <v>7 2025</v>
      </c>
      <c r="M3682" t="str">
        <f>CONCATENATE(MONTH(CompilDonnées[[#This Row],[HarvestingDate]])," ", YEAR(CompilDonnées[[#This Row],[HarvestingDate]]))</f>
        <v>8 2025</v>
      </c>
      <c r="N3682">
        <f>_xlfn.NUMBERVALUE(CompilDonnées[[#This Row],[FarmID]]&amp;CompilDonnées[[#This Row],[ModuleNumber]]&amp;CompilDonnées[[#This Row],[PlantationDate]])</f>
        <v>114545839</v>
      </c>
      <c r="O3682" t="str">
        <f>CompilDonnées[[#This Row],[FarmID]]&amp;CompilDonnées[[#This Row],[ModuleNumber]]</f>
        <v>1145</v>
      </c>
      <c r="P3682" t="str">
        <f>CompilDonnées[[#This Row],[Ref_Module]]&amp;CompilDonnées[[#This Row],[HarvestingDate]]</f>
        <v>114545890</v>
      </c>
    </row>
    <row r="3683" spans="1:16">
      <c r="A3683" s="5">
        <v>45839</v>
      </c>
      <c r="B3683">
        <v>114</v>
      </c>
      <c r="C3683" t="s">
        <v>3</v>
      </c>
      <c r="D3683">
        <v>6</v>
      </c>
      <c r="E3683">
        <v>60</v>
      </c>
      <c r="F3683" t="s">
        <v>105</v>
      </c>
      <c r="G3683" s="6">
        <v>45890</v>
      </c>
      <c r="H3683">
        <v>51</v>
      </c>
      <c r="I3683">
        <f>ROUND(CompilDonnées[[#This Row],[CultureDuration_days]]/7,0)</f>
        <v>7</v>
      </c>
      <c r="J3683">
        <v>621</v>
      </c>
      <c r="K3683" t="str">
        <f>_xlfn.CONCAT(WEEKNUM(CompilDonnées[[#This Row],[PlantationDate]]), " ", YEAR(CompilDonnées[[#This Row],[PlantationDate]]))</f>
        <v>27 2025</v>
      </c>
      <c r="L3683" t="str">
        <f>CONCATENATE(MONTH(CompilDonnées[[#This Row],[PlantationDate]])," ", YEAR(CompilDonnées[[#This Row],[PlantationDate]]))</f>
        <v>7 2025</v>
      </c>
      <c r="M3683" t="str">
        <f>CONCATENATE(MONTH(CompilDonnées[[#This Row],[HarvestingDate]])," ", YEAR(CompilDonnées[[#This Row],[HarvestingDate]]))</f>
        <v>8 2025</v>
      </c>
      <c r="N3683">
        <f>_xlfn.NUMBERVALUE(CompilDonnées[[#This Row],[FarmID]]&amp;CompilDonnées[[#This Row],[ModuleNumber]]&amp;CompilDonnées[[#This Row],[PlantationDate]])</f>
        <v>114645839</v>
      </c>
      <c r="O3683" t="str">
        <f>CompilDonnées[[#This Row],[FarmID]]&amp;CompilDonnées[[#This Row],[ModuleNumber]]</f>
        <v>1146</v>
      </c>
      <c r="P3683" t="str">
        <f>CompilDonnées[[#This Row],[Ref_Module]]&amp;CompilDonnées[[#This Row],[HarvestingDate]]</f>
        <v>114645890</v>
      </c>
    </row>
    <row r="3684" spans="1:16">
      <c r="A3684" s="5">
        <v>45842</v>
      </c>
      <c r="B3684">
        <v>93</v>
      </c>
      <c r="C3684" t="s">
        <v>10</v>
      </c>
      <c r="D3684">
        <v>4</v>
      </c>
      <c r="E3684">
        <v>100</v>
      </c>
      <c r="F3684" t="s">
        <v>1</v>
      </c>
      <c r="G3684" s="6">
        <v>45891</v>
      </c>
      <c r="H3684">
        <v>49</v>
      </c>
      <c r="I3684">
        <f>ROUND(CompilDonnées[[#This Row],[CultureDuration_days]]/7,0)</f>
        <v>7</v>
      </c>
      <c r="J3684">
        <v>2852</v>
      </c>
      <c r="K3684" t="str">
        <f>_xlfn.CONCAT(WEEKNUM(CompilDonnées[[#This Row],[PlantationDate]]), " ", YEAR(CompilDonnées[[#This Row],[PlantationDate]]))</f>
        <v>27 2025</v>
      </c>
      <c r="L3684" t="str">
        <f>CONCATENATE(MONTH(CompilDonnées[[#This Row],[PlantationDate]])," ", YEAR(CompilDonnées[[#This Row],[PlantationDate]]))</f>
        <v>7 2025</v>
      </c>
      <c r="M3684" t="str">
        <f>CONCATENATE(MONTH(CompilDonnées[[#This Row],[HarvestingDate]])," ", YEAR(CompilDonnées[[#This Row],[HarvestingDate]]))</f>
        <v>8 2025</v>
      </c>
      <c r="N3684">
        <f>_xlfn.NUMBERVALUE(CompilDonnées[[#This Row],[FarmID]]&amp;CompilDonnées[[#This Row],[ModuleNumber]]&amp;CompilDonnées[[#This Row],[PlantationDate]])</f>
        <v>93445842</v>
      </c>
      <c r="O3684" t="str">
        <f>CompilDonnées[[#This Row],[FarmID]]&amp;CompilDonnées[[#This Row],[ModuleNumber]]</f>
        <v>934</v>
      </c>
      <c r="P3684" t="str">
        <f>CompilDonnées[[#This Row],[Ref_Module]]&amp;CompilDonnées[[#This Row],[HarvestingDate]]</f>
        <v>93445891</v>
      </c>
    </row>
    <row r="3685" spans="1:16">
      <c r="A3685" s="5">
        <v>45842</v>
      </c>
      <c r="B3685">
        <v>93</v>
      </c>
      <c r="C3685" t="s">
        <v>10</v>
      </c>
      <c r="D3685">
        <v>5</v>
      </c>
      <c r="E3685">
        <v>100</v>
      </c>
      <c r="F3685" t="s">
        <v>1</v>
      </c>
      <c r="G3685" s="6">
        <v>45880</v>
      </c>
      <c r="H3685">
        <v>38</v>
      </c>
      <c r="I3685">
        <f>ROUND(CompilDonnées[[#This Row],[CultureDuration_days]]/7,0)</f>
        <v>5</v>
      </c>
      <c r="J3685">
        <v>2291</v>
      </c>
      <c r="K3685" t="str">
        <f>_xlfn.CONCAT(WEEKNUM(CompilDonnées[[#This Row],[PlantationDate]]), " ", YEAR(CompilDonnées[[#This Row],[PlantationDate]]))</f>
        <v>27 2025</v>
      </c>
      <c r="L3685" t="str">
        <f>CONCATENATE(MONTH(CompilDonnées[[#This Row],[PlantationDate]])," ", YEAR(CompilDonnées[[#This Row],[PlantationDate]]))</f>
        <v>7 2025</v>
      </c>
      <c r="M3685" t="str">
        <f>CONCATENATE(MONTH(CompilDonnées[[#This Row],[HarvestingDate]])," ", YEAR(CompilDonnées[[#This Row],[HarvestingDate]]))</f>
        <v>8 2025</v>
      </c>
      <c r="N3685">
        <f>_xlfn.NUMBERVALUE(CompilDonnées[[#This Row],[FarmID]]&amp;CompilDonnées[[#This Row],[ModuleNumber]]&amp;CompilDonnées[[#This Row],[PlantationDate]])</f>
        <v>93545842</v>
      </c>
      <c r="O3685" t="str">
        <f>CompilDonnées[[#This Row],[FarmID]]&amp;CompilDonnées[[#This Row],[ModuleNumber]]</f>
        <v>935</v>
      </c>
      <c r="P3685" t="str">
        <f>CompilDonnées[[#This Row],[Ref_Module]]&amp;CompilDonnées[[#This Row],[HarvestingDate]]</f>
        <v>93545880</v>
      </c>
    </row>
    <row r="3686" spans="1:16">
      <c r="A3686" s="5">
        <v>45842</v>
      </c>
      <c r="B3686">
        <v>96</v>
      </c>
      <c r="C3686" t="s">
        <v>125</v>
      </c>
      <c r="D3686">
        <v>6</v>
      </c>
      <c r="E3686">
        <v>100</v>
      </c>
      <c r="F3686" t="s">
        <v>1</v>
      </c>
      <c r="G3686" s="6">
        <v>45880</v>
      </c>
      <c r="H3686">
        <v>38</v>
      </c>
      <c r="I3686">
        <f>ROUND(CompilDonnées[[#This Row],[CultureDuration_days]]/7,0)</f>
        <v>5</v>
      </c>
      <c r="J3686">
        <v>2092</v>
      </c>
      <c r="K3686" t="str">
        <f>_xlfn.CONCAT(WEEKNUM(CompilDonnées[[#This Row],[PlantationDate]]), " ", YEAR(CompilDonnées[[#This Row],[PlantationDate]]))</f>
        <v>27 2025</v>
      </c>
      <c r="L3686" t="str">
        <f>CONCATENATE(MONTH(CompilDonnées[[#This Row],[PlantationDate]])," ", YEAR(CompilDonnées[[#This Row],[PlantationDate]]))</f>
        <v>7 2025</v>
      </c>
      <c r="M3686" t="str">
        <f>CONCATENATE(MONTH(CompilDonnées[[#This Row],[HarvestingDate]])," ", YEAR(CompilDonnées[[#This Row],[HarvestingDate]]))</f>
        <v>8 2025</v>
      </c>
      <c r="N3686">
        <f>_xlfn.NUMBERVALUE(CompilDonnées[[#This Row],[FarmID]]&amp;CompilDonnées[[#This Row],[ModuleNumber]]&amp;CompilDonnées[[#This Row],[PlantationDate]])</f>
        <v>96645842</v>
      </c>
      <c r="O3686" t="str">
        <f>CompilDonnées[[#This Row],[FarmID]]&amp;CompilDonnées[[#This Row],[ModuleNumber]]</f>
        <v>966</v>
      </c>
      <c r="P3686" t="str">
        <f>CompilDonnées[[#This Row],[Ref_Module]]&amp;CompilDonnées[[#This Row],[HarvestingDate]]</f>
        <v>96645880</v>
      </c>
    </row>
    <row r="3687" spans="1:16">
      <c r="A3687" s="5">
        <v>45842</v>
      </c>
      <c r="B3687">
        <v>95</v>
      </c>
      <c r="C3687" t="s">
        <v>90</v>
      </c>
      <c r="D3687">
        <v>1</v>
      </c>
      <c r="E3687">
        <v>100</v>
      </c>
      <c r="F3687" t="s">
        <v>1</v>
      </c>
      <c r="G3687" s="6">
        <v>45890</v>
      </c>
      <c r="H3687">
        <v>48</v>
      </c>
      <c r="I3687">
        <f>ROUND(CompilDonnées[[#This Row],[CultureDuration_days]]/7,0)</f>
        <v>7</v>
      </c>
      <c r="J3687">
        <v>1862</v>
      </c>
      <c r="K3687" t="str">
        <f>_xlfn.CONCAT(WEEKNUM(CompilDonnées[[#This Row],[PlantationDate]]), " ", YEAR(CompilDonnées[[#This Row],[PlantationDate]]))</f>
        <v>27 2025</v>
      </c>
      <c r="L3687" t="str">
        <f>CONCATENATE(MONTH(CompilDonnées[[#This Row],[PlantationDate]])," ", YEAR(CompilDonnées[[#This Row],[PlantationDate]]))</f>
        <v>7 2025</v>
      </c>
      <c r="M3687" t="str">
        <f>CONCATENATE(MONTH(CompilDonnées[[#This Row],[HarvestingDate]])," ", YEAR(CompilDonnées[[#This Row],[HarvestingDate]]))</f>
        <v>8 2025</v>
      </c>
      <c r="N3687">
        <f>_xlfn.NUMBERVALUE(CompilDonnées[[#This Row],[FarmID]]&amp;CompilDonnées[[#This Row],[ModuleNumber]]&amp;CompilDonnées[[#This Row],[PlantationDate]])</f>
        <v>95145842</v>
      </c>
      <c r="O3687" t="str">
        <f>CompilDonnées[[#This Row],[FarmID]]&amp;CompilDonnées[[#This Row],[ModuleNumber]]</f>
        <v>951</v>
      </c>
      <c r="P3687" t="str">
        <f>CompilDonnées[[#This Row],[Ref_Module]]&amp;CompilDonnées[[#This Row],[HarvestingDate]]</f>
        <v>95145890</v>
      </c>
    </row>
    <row r="3688" spans="1:16">
      <c r="A3688" s="5">
        <v>45842</v>
      </c>
      <c r="B3688">
        <v>95</v>
      </c>
      <c r="C3688" t="s">
        <v>90</v>
      </c>
      <c r="D3688">
        <v>2</v>
      </c>
      <c r="E3688">
        <v>100</v>
      </c>
      <c r="F3688" t="s">
        <v>1</v>
      </c>
      <c r="G3688" s="6">
        <v>45890</v>
      </c>
      <c r="H3688">
        <v>48</v>
      </c>
      <c r="I3688">
        <f>ROUND(CompilDonnées[[#This Row],[CultureDuration_days]]/7,0)</f>
        <v>7</v>
      </c>
      <c r="J3688">
        <v>1863</v>
      </c>
      <c r="K3688" t="str">
        <f>_xlfn.CONCAT(WEEKNUM(CompilDonnées[[#This Row],[PlantationDate]]), " ", YEAR(CompilDonnées[[#This Row],[PlantationDate]]))</f>
        <v>27 2025</v>
      </c>
      <c r="L3688" t="str">
        <f>CONCATENATE(MONTH(CompilDonnées[[#This Row],[PlantationDate]])," ", YEAR(CompilDonnées[[#This Row],[PlantationDate]]))</f>
        <v>7 2025</v>
      </c>
      <c r="M3688" t="str">
        <f>CONCATENATE(MONTH(CompilDonnées[[#This Row],[HarvestingDate]])," ", YEAR(CompilDonnées[[#This Row],[HarvestingDate]]))</f>
        <v>8 2025</v>
      </c>
      <c r="N3688">
        <f>_xlfn.NUMBERVALUE(CompilDonnées[[#This Row],[FarmID]]&amp;CompilDonnées[[#This Row],[ModuleNumber]]&amp;CompilDonnées[[#This Row],[PlantationDate]])</f>
        <v>95245842</v>
      </c>
      <c r="O3688" t="str">
        <f>CompilDonnées[[#This Row],[FarmID]]&amp;CompilDonnées[[#This Row],[ModuleNumber]]</f>
        <v>952</v>
      </c>
      <c r="P3688" t="str">
        <f>CompilDonnées[[#This Row],[Ref_Module]]&amp;CompilDonnées[[#This Row],[HarvestingDate]]</f>
        <v>95245890</v>
      </c>
    </row>
    <row r="3689" spans="1:16">
      <c r="A3689" s="5">
        <v>45842</v>
      </c>
      <c r="B3689">
        <v>106</v>
      </c>
      <c r="C3689" t="s">
        <v>22</v>
      </c>
      <c r="D3689">
        <v>6</v>
      </c>
      <c r="E3689">
        <v>100</v>
      </c>
      <c r="F3689" t="s">
        <v>1</v>
      </c>
      <c r="G3689" s="6">
        <v>45891</v>
      </c>
      <c r="H3689">
        <v>49</v>
      </c>
      <c r="I3689">
        <f>ROUND(CompilDonnées[[#This Row],[CultureDuration_days]]/7,0)</f>
        <v>7</v>
      </c>
      <c r="J3689">
        <v>3124</v>
      </c>
      <c r="K3689" t="str">
        <f>_xlfn.CONCAT(WEEKNUM(CompilDonnées[[#This Row],[PlantationDate]]), " ", YEAR(CompilDonnées[[#This Row],[PlantationDate]]))</f>
        <v>27 2025</v>
      </c>
      <c r="L3689" t="str">
        <f>CONCATENATE(MONTH(CompilDonnées[[#This Row],[PlantationDate]])," ", YEAR(CompilDonnées[[#This Row],[PlantationDate]]))</f>
        <v>7 2025</v>
      </c>
      <c r="M3689" t="str">
        <f>CONCATENATE(MONTH(CompilDonnées[[#This Row],[HarvestingDate]])," ", YEAR(CompilDonnées[[#This Row],[HarvestingDate]]))</f>
        <v>8 2025</v>
      </c>
      <c r="N3689">
        <f>_xlfn.NUMBERVALUE(CompilDonnées[[#This Row],[FarmID]]&amp;CompilDonnées[[#This Row],[ModuleNumber]]&amp;CompilDonnées[[#This Row],[PlantationDate]])</f>
        <v>106645842</v>
      </c>
      <c r="O3689" t="str">
        <f>CompilDonnées[[#This Row],[FarmID]]&amp;CompilDonnées[[#This Row],[ModuleNumber]]</f>
        <v>1066</v>
      </c>
      <c r="P3689" t="str">
        <f>CompilDonnées[[#This Row],[Ref_Module]]&amp;CompilDonnées[[#This Row],[HarvestingDate]]</f>
        <v>106645891</v>
      </c>
    </row>
    <row r="3690" spans="1:16">
      <c r="A3690" s="5">
        <v>45842</v>
      </c>
      <c r="B3690">
        <v>131</v>
      </c>
      <c r="C3690" t="s">
        <v>3</v>
      </c>
      <c r="D3690">
        <v>4</v>
      </c>
      <c r="E3690">
        <v>60</v>
      </c>
      <c r="F3690" t="s">
        <v>105</v>
      </c>
      <c r="G3690" s="6">
        <v>45891</v>
      </c>
      <c r="H3690">
        <v>49</v>
      </c>
      <c r="I3690">
        <f>ROUND(CompilDonnées[[#This Row],[CultureDuration_days]]/7,0)</f>
        <v>7</v>
      </c>
      <c r="J3690">
        <v>503</v>
      </c>
      <c r="K3690" t="str">
        <f>_xlfn.CONCAT(WEEKNUM(CompilDonnées[[#This Row],[PlantationDate]]), " ", YEAR(CompilDonnées[[#This Row],[PlantationDate]]))</f>
        <v>27 2025</v>
      </c>
      <c r="L3690" t="str">
        <f>CONCATENATE(MONTH(CompilDonnées[[#This Row],[PlantationDate]])," ", YEAR(CompilDonnées[[#This Row],[PlantationDate]]))</f>
        <v>7 2025</v>
      </c>
      <c r="M3690" t="str">
        <f>CONCATENATE(MONTH(CompilDonnées[[#This Row],[HarvestingDate]])," ", YEAR(CompilDonnées[[#This Row],[HarvestingDate]]))</f>
        <v>8 2025</v>
      </c>
      <c r="N3690">
        <f>_xlfn.NUMBERVALUE(CompilDonnées[[#This Row],[FarmID]]&amp;CompilDonnées[[#This Row],[ModuleNumber]]&amp;CompilDonnées[[#This Row],[PlantationDate]])</f>
        <v>131445842</v>
      </c>
      <c r="O3690" t="str">
        <f>CompilDonnées[[#This Row],[FarmID]]&amp;CompilDonnées[[#This Row],[ModuleNumber]]</f>
        <v>1314</v>
      </c>
      <c r="P3690" t="str">
        <f>CompilDonnées[[#This Row],[Ref_Module]]&amp;CompilDonnées[[#This Row],[HarvestingDate]]</f>
        <v>131445891</v>
      </c>
    </row>
    <row r="3691" spans="1:16">
      <c r="A3691" s="5">
        <v>45843</v>
      </c>
      <c r="B3691">
        <v>111</v>
      </c>
      <c r="C3691" t="s">
        <v>41</v>
      </c>
      <c r="D3691">
        <v>4</v>
      </c>
      <c r="E3691">
        <v>100</v>
      </c>
      <c r="F3691" t="s">
        <v>1</v>
      </c>
      <c r="G3691" s="6">
        <v>45891</v>
      </c>
      <c r="H3691">
        <v>48</v>
      </c>
      <c r="I3691">
        <f>ROUND(CompilDonnées[[#This Row],[CultureDuration_days]]/7,0)</f>
        <v>7</v>
      </c>
      <c r="J3691">
        <v>3805</v>
      </c>
      <c r="K3691" t="str">
        <f>_xlfn.CONCAT(WEEKNUM(CompilDonnées[[#This Row],[PlantationDate]]), " ", YEAR(CompilDonnées[[#This Row],[PlantationDate]]))</f>
        <v>27 2025</v>
      </c>
      <c r="L3691" t="str">
        <f>CONCATENATE(MONTH(CompilDonnées[[#This Row],[PlantationDate]])," ", YEAR(CompilDonnées[[#This Row],[PlantationDate]]))</f>
        <v>7 2025</v>
      </c>
      <c r="M3691" t="str">
        <f>CONCATENATE(MONTH(CompilDonnées[[#This Row],[HarvestingDate]])," ", YEAR(CompilDonnées[[#This Row],[HarvestingDate]]))</f>
        <v>8 2025</v>
      </c>
      <c r="N3691">
        <f>_xlfn.NUMBERVALUE(CompilDonnées[[#This Row],[FarmID]]&amp;CompilDonnées[[#This Row],[ModuleNumber]]&amp;CompilDonnées[[#This Row],[PlantationDate]])</f>
        <v>111445843</v>
      </c>
      <c r="O3691" t="str">
        <f>CompilDonnées[[#This Row],[FarmID]]&amp;CompilDonnées[[#This Row],[ModuleNumber]]</f>
        <v>1114</v>
      </c>
      <c r="P3691" t="str">
        <f>CompilDonnées[[#This Row],[Ref_Module]]&amp;CompilDonnées[[#This Row],[HarvestingDate]]</f>
        <v>111445891</v>
      </c>
    </row>
    <row r="3692" spans="1:16">
      <c r="A3692" s="5">
        <v>45843</v>
      </c>
      <c r="B3692">
        <v>110</v>
      </c>
      <c r="C3692" t="s">
        <v>14</v>
      </c>
      <c r="D3692">
        <v>4</v>
      </c>
      <c r="E3692">
        <v>100</v>
      </c>
      <c r="F3692" t="s">
        <v>1</v>
      </c>
      <c r="G3692" s="6">
        <v>45891</v>
      </c>
      <c r="H3692">
        <v>48</v>
      </c>
      <c r="I3692">
        <f>ROUND(CompilDonnées[[#This Row],[CultureDuration_days]]/7,0)</f>
        <v>7</v>
      </c>
      <c r="J3692">
        <v>3851</v>
      </c>
      <c r="K3692" t="str">
        <f>_xlfn.CONCAT(WEEKNUM(CompilDonnées[[#This Row],[PlantationDate]]), " ", YEAR(CompilDonnées[[#This Row],[PlantationDate]]))</f>
        <v>27 2025</v>
      </c>
      <c r="L3692" t="str">
        <f>CONCATENATE(MONTH(CompilDonnées[[#This Row],[PlantationDate]])," ", YEAR(CompilDonnées[[#This Row],[PlantationDate]]))</f>
        <v>7 2025</v>
      </c>
      <c r="M3692" t="str">
        <f>CONCATENATE(MONTH(CompilDonnées[[#This Row],[HarvestingDate]])," ", YEAR(CompilDonnées[[#This Row],[HarvestingDate]]))</f>
        <v>8 2025</v>
      </c>
      <c r="N3692">
        <f>_xlfn.NUMBERVALUE(CompilDonnées[[#This Row],[FarmID]]&amp;CompilDonnées[[#This Row],[ModuleNumber]]&amp;CompilDonnées[[#This Row],[PlantationDate]])</f>
        <v>110445843</v>
      </c>
      <c r="O3692" t="str">
        <f>CompilDonnées[[#This Row],[FarmID]]&amp;CompilDonnées[[#This Row],[ModuleNumber]]</f>
        <v>1104</v>
      </c>
      <c r="P3692" t="str">
        <f>CompilDonnées[[#This Row],[Ref_Module]]&amp;CompilDonnées[[#This Row],[HarvestingDate]]</f>
        <v>110445891</v>
      </c>
    </row>
    <row r="3693" spans="1:16">
      <c r="A3693" s="5">
        <v>45843</v>
      </c>
      <c r="B3693">
        <v>106</v>
      </c>
      <c r="C3693" t="s">
        <v>22</v>
      </c>
      <c r="D3693">
        <v>5</v>
      </c>
      <c r="E3693">
        <v>100</v>
      </c>
      <c r="F3693" t="s">
        <v>1</v>
      </c>
      <c r="G3693" s="6">
        <v>45891</v>
      </c>
      <c r="H3693">
        <v>48</v>
      </c>
      <c r="I3693">
        <f>ROUND(CompilDonnées[[#This Row],[CultureDuration_days]]/7,0)</f>
        <v>7</v>
      </c>
      <c r="J3693">
        <v>3381</v>
      </c>
      <c r="K3693" t="str">
        <f>_xlfn.CONCAT(WEEKNUM(CompilDonnées[[#This Row],[PlantationDate]]), " ", YEAR(CompilDonnées[[#This Row],[PlantationDate]]))</f>
        <v>27 2025</v>
      </c>
      <c r="L3693" t="str">
        <f>CONCATENATE(MONTH(CompilDonnées[[#This Row],[PlantationDate]])," ", YEAR(CompilDonnées[[#This Row],[PlantationDate]]))</f>
        <v>7 2025</v>
      </c>
      <c r="M3693" t="str">
        <f>CONCATENATE(MONTH(CompilDonnées[[#This Row],[HarvestingDate]])," ", YEAR(CompilDonnées[[#This Row],[HarvestingDate]]))</f>
        <v>8 2025</v>
      </c>
      <c r="N3693">
        <f>_xlfn.NUMBERVALUE(CompilDonnées[[#This Row],[FarmID]]&amp;CompilDonnées[[#This Row],[ModuleNumber]]&amp;CompilDonnées[[#This Row],[PlantationDate]])</f>
        <v>106545843</v>
      </c>
      <c r="O3693" t="str">
        <f>CompilDonnées[[#This Row],[FarmID]]&amp;CompilDonnées[[#This Row],[ModuleNumber]]</f>
        <v>1065</v>
      </c>
      <c r="P3693" t="str">
        <f>CompilDonnées[[#This Row],[Ref_Module]]&amp;CompilDonnées[[#This Row],[HarvestingDate]]</f>
        <v>106545891</v>
      </c>
    </row>
    <row r="3694" spans="1:16">
      <c r="A3694" s="5">
        <v>45843</v>
      </c>
      <c r="B3694">
        <v>103</v>
      </c>
      <c r="C3694" t="s">
        <v>86</v>
      </c>
      <c r="D3694">
        <v>6</v>
      </c>
      <c r="E3694">
        <v>100</v>
      </c>
      <c r="F3694" t="s">
        <v>1</v>
      </c>
      <c r="G3694" s="6">
        <v>45891</v>
      </c>
      <c r="H3694">
        <v>48</v>
      </c>
      <c r="I3694">
        <f>ROUND(CompilDonnées[[#This Row],[CultureDuration_days]]/7,0)</f>
        <v>7</v>
      </c>
      <c r="J3694">
        <v>2513</v>
      </c>
      <c r="K3694" t="str">
        <f>_xlfn.CONCAT(WEEKNUM(CompilDonnées[[#This Row],[PlantationDate]]), " ", YEAR(CompilDonnées[[#This Row],[PlantationDate]]))</f>
        <v>27 2025</v>
      </c>
      <c r="L3694" t="str">
        <f>CONCATENATE(MONTH(CompilDonnées[[#This Row],[PlantationDate]])," ", YEAR(CompilDonnées[[#This Row],[PlantationDate]]))</f>
        <v>7 2025</v>
      </c>
      <c r="M3694" t="str">
        <f>CONCATENATE(MONTH(CompilDonnées[[#This Row],[HarvestingDate]])," ", YEAR(CompilDonnées[[#This Row],[HarvestingDate]]))</f>
        <v>8 2025</v>
      </c>
      <c r="N3694">
        <f>_xlfn.NUMBERVALUE(CompilDonnées[[#This Row],[FarmID]]&amp;CompilDonnées[[#This Row],[ModuleNumber]]&amp;CompilDonnées[[#This Row],[PlantationDate]])</f>
        <v>103645843</v>
      </c>
      <c r="O3694" t="str">
        <f>CompilDonnées[[#This Row],[FarmID]]&amp;CompilDonnées[[#This Row],[ModuleNumber]]</f>
        <v>1036</v>
      </c>
      <c r="P3694" t="str">
        <f>CompilDonnées[[#This Row],[Ref_Module]]&amp;CompilDonnées[[#This Row],[HarvestingDate]]</f>
        <v>103645891</v>
      </c>
    </row>
    <row r="3695" spans="1:16">
      <c r="A3695" s="5">
        <v>45843</v>
      </c>
      <c r="B3695">
        <v>108</v>
      </c>
      <c r="C3695" t="s">
        <v>58</v>
      </c>
      <c r="D3695">
        <v>3</v>
      </c>
      <c r="E3695">
        <v>100</v>
      </c>
      <c r="F3695" t="s">
        <v>1</v>
      </c>
      <c r="G3695" s="6">
        <v>45880</v>
      </c>
      <c r="H3695">
        <v>37</v>
      </c>
      <c r="I3695">
        <f>ROUND(CompilDonnées[[#This Row],[CultureDuration_days]]/7,0)</f>
        <v>5</v>
      </c>
      <c r="J3695">
        <v>3388</v>
      </c>
      <c r="K3695" t="str">
        <f>_xlfn.CONCAT(WEEKNUM(CompilDonnées[[#This Row],[PlantationDate]]), " ", YEAR(CompilDonnées[[#This Row],[PlantationDate]]))</f>
        <v>27 2025</v>
      </c>
      <c r="L3695" t="str">
        <f>CONCATENATE(MONTH(CompilDonnées[[#This Row],[PlantationDate]])," ", YEAR(CompilDonnées[[#This Row],[PlantationDate]]))</f>
        <v>7 2025</v>
      </c>
      <c r="M3695" t="str">
        <f>CONCATENATE(MONTH(CompilDonnées[[#This Row],[HarvestingDate]])," ", YEAR(CompilDonnées[[#This Row],[HarvestingDate]]))</f>
        <v>8 2025</v>
      </c>
      <c r="N3695">
        <f>_xlfn.NUMBERVALUE(CompilDonnées[[#This Row],[FarmID]]&amp;CompilDonnées[[#This Row],[ModuleNumber]]&amp;CompilDonnées[[#This Row],[PlantationDate]])</f>
        <v>108345843</v>
      </c>
      <c r="O3695" t="str">
        <f>CompilDonnées[[#This Row],[FarmID]]&amp;CompilDonnées[[#This Row],[ModuleNumber]]</f>
        <v>1083</v>
      </c>
      <c r="P3695" t="str">
        <f>CompilDonnées[[#This Row],[Ref_Module]]&amp;CompilDonnées[[#This Row],[HarvestingDate]]</f>
        <v>108345880</v>
      </c>
    </row>
    <row r="3696" spans="1:16">
      <c r="A3696" s="5">
        <v>45843</v>
      </c>
      <c r="B3696">
        <v>97</v>
      </c>
      <c r="C3696" t="s">
        <v>78</v>
      </c>
      <c r="D3696">
        <v>3</v>
      </c>
      <c r="E3696">
        <v>100</v>
      </c>
      <c r="F3696" t="s">
        <v>1</v>
      </c>
      <c r="G3696" s="6">
        <v>45891</v>
      </c>
      <c r="H3696">
        <v>48</v>
      </c>
      <c r="I3696">
        <f>ROUND(CompilDonnées[[#This Row],[CultureDuration_days]]/7,0)</f>
        <v>7</v>
      </c>
      <c r="J3696">
        <v>2344</v>
      </c>
      <c r="K3696" t="str">
        <f>_xlfn.CONCAT(WEEKNUM(CompilDonnées[[#This Row],[PlantationDate]]), " ", YEAR(CompilDonnées[[#This Row],[PlantationDate]]))</f>
        <v>27 2025</v>
      </c>
      <c r="L3696" t="str">
        <f>CONCATENATE(MONTH(CompilDonnées[[#This Row],[PlantationDate]])," ", YEAR(CompilDonnées[[#This Row],[PlantationDate]]))</f>
        <v>7 2025</v>
      </c>
      <c r="M3696" t="str">
        <f>CONCATENATE(MONTH(CompilDonnées[[#This Row],[HarvestingDate]])," ", YEAR(CompilDonnées[[#This Row],[HarvestingDate]]))</f>
        <v>8 2025</v>
      </c>
      <c r="N3696">
        <f>_xlfn.NUMBERVALUE(CompilDonnées[[#This Row],[FarmID]]&amp;CompilDonnées[[#This Row],[ModuleNumber]]&amp;CompilDonnées[[#This Row],[PlantationDate]])</f>
        <v>97345843</v>
      </c>
      <c r="O3696" t="str">
        <f>CompilDonnées[[#This Row],[FarmID]]&amp;CompilDonnées[[#This Row],[ModuleNumber]]</f>
        <v>973</v>
      </c>
      <c r="P3696" t="str">
        <f>CompilDonnées[[#This Row],[Ref_Module]]&amp;CompilDonnées[[#This Row],[HarvestingDate]]</f>
        <v>97345891</v>
      </c>
    </row>
    <row r="3697" spans="1:16">
      <c r="A3697" s="5">
        <v>45843</v>
      </c>
      <c r="B3697">
        <v>89</v>
      </c>
      <c r="C3697" t="s">
        <v>67</v>
      </c>
      <c r="D3697">
        <v>6</v>
      </c>
      <c r="E3697">
        <v>100</v>
      </c>
      <c r="F3697" t="s">
        <v>1</v>
      </c>
      <c r="G3697" s="6">
        <v>45881</v>
      </c>
      <c r="H3697">
        <v>38</v>
      </c>
      <c r="I3697">
        <f>ROUND(CompilDonnées[[#This Row],[CultureDuration_days]]/7,0)</f>
        <v>5</v>
      </c>
      <c r="J3697">
        <v>3488</v>
      </c>
      <c r="K3697" t="str">
        <f>_xlfn.CONCAT(WEEKNUM(CompilDonnées[[#This Row],[PlantationDate]]), " ", YEAR(CompilDonnées[[#This Row],[PlantationDate]]))</f>
        <v>27 2025</v>
      </c>
      <c r="L3697" t="str">
        <f>CONCATENATE(MONTH(CompilDonnées[[#This Row],[PlantationDate]])," ", YEAR(CompilDonnées[[#This Row],[PlantationDate]]))</f>
        <v>7 2025</v>
      </c>
      <c r="M3697" t="str">
        <f>CONCATENATE(MONTH(CompilDonnées[[#This Row],[HarvestingDate]])," ", YEAR(CompilDonnées[[#This Row],[HarvestingDate]]))</f>
        <v>8 2025</v>
      </c>
      <c r="N3697">
        <f>_xlfn.NUMBERVALUE(CompilDonnées[[#This Row],[FarmID]]&amp;CompilDonnées[[#This Row],[ModuleNumber]]&amp;CompilDonnées[[#This Row],[PlantationDate]])</f>
        <v>89645843</v>
      </c>
      <c r="O3697" t="str">
        <f>CompilDonnées[[#This Row],[FarmID]]&amp;CompilDonnées[[#This Row],[ModuleNumber]]</f>
        <v>896</v>
      </c>
      <c r="P3697" t="str">
        <f>CompilDonnées[[#This Row],[Ref_Module]]&amp;CompilDonnées[[#This Row],[HarvestingDate]]</f>
        <v>89645881</v>
      </c>
    </row>
    <row r="3698" spans="1:16">
      <c r="A3698" s="5">
        <v>45843</v>
      </c>
      <c r="B3698">
        <v>90</v>
      </c>
      <c r="C3698" t="s">
        <v>72</v>
      </c>
      <c r="D3698">
        <v>5</v>
      </c>
      <c r="E3698">
        <v>100</v>
      </c>
      <c r="F3698" t="s">
        <v>1</v>
      </c>
      <c r="G3698" s="6">
        <v>45880</v>
      </c>
      <c r="H3698">
        <v>37</v>
      </c>
      <c r="I3698">
        <f>ROUND(CompilDonnées[[#This Row],[CultureDuration_days]]/7,0)</f>
        <v>5</v>
      </c>
      <c r="J3698">
        <v>2522</v>
      </c>
      <c r="K3698" t="str">
        <f>_xlfn.CONCAT(WEEKNUM(CompilDonnées[[#This Row],[PlantationDate]]), " ", YEAR(CompilDonnées[[#This Row],[PlantationDate]]))</f>
        <v>27 2025</v>
      </c>
      <c r="L3698" t="str">
        <f>CONCATENATE(MONTH(CompilDonnées[[#This Row],[PlantationDate]])," ", YEAR(CompilDonnées[[#This Row],[PlantationDate]]))</f>
        <v>7 2025</v>
      </c>
      <c r="M3698" t="str">
        <f>CONCATENATE(MONTH(CompilDonnées[[#This Row],[HarvestingDate]])," ", YEAR(CompilDonnées[[#This Row],[HarvestingDate]]))</f>
        <v>8 2025</v>
      </c>
      <c r="N3698">
        <f>_xlfn.NUMBERVALUE(CompilDonnées[[#This Row],[FarmID]]&amp;CompilDonnées[[#This Row],[ModuleNumber]]&amp;CompilDonnées[[#This Row],[PlantationDate]])</f>
        <v>90545843</v>
      </c>
      <c r="O3698" t="str">
        <f>CompilDonnées[[#This Row],[FarmID]]&amp;CompilDonnées[[#This Row],[ModuleNumber]]</f>
        <v>905</v>
      </c>
      <c r="P3698" t="str">
        <f>CompilDonnées[[#This Row],[Ref_Module]]&amp;CompilDonnées[[#This Row],[HarvestingDate]]</f>
        <v>90545880</v>
      </c>
    </row>
    <row r="3699" spans="1:16">
      <c r="A3699" s="5">
        <v>45843</v>
      </c>
      <c r="B3699">
        <v>85</v>
      </c>
      <c r="C3699" t="s">
        <v>56</v>
      </c>
      <c r="D3699">
        <v>4</v>
      </c>
      <c r="E3699">
        <v>100</v>
      </c>
      <c r="F3699" t="s">
        <v>1</v>
      </c>
      <c r="G3699" s="6">
        <v>45890</v>
      </c>
      <c r="H3699">
        <v>47</v>
      </c>
      <c r="I3699">
        <f>ROUND(CompilDonnées[[#This Row],[CultureDuration_days]]/7,0)</f>
        <v>7</v>
      </c>
      <c r="J3699">
        <v>2989</v>
      </c>
      <c r="K3699" t="str">
        <f>_xlfn.CONCAT(WEEKNUM(CompilDonnées[[#This Row],[PlantationDate]]), " ", YEAR(CompilDonnées[[#This Row],[PlantationDate]]))</f>
        <v>27 2025</v>
      </c>
      <c r="L3699" t="str">
        <f>CONCATENATE(MONTH(CompilDonnées[[#This Row],[PlantationDate]])," ", YEAR(CompilDonnées[[#This Row],[PlantationDate]]))</f>
        <v>7 2025</v>
      </c>
      <c r="M3699" t="str">
        <f>CONCATENATE(MONTH(CompilDonnées[[#This Row],[HarvestingDate]])," ", YEAR(CompilDonnées[[#This Row],[HarvestingDate]]))</f>
        <v>8 2025</v>
      </c>
      <c r="N3699">
        <f>_xlfn.NUMBERVALUE(CompilDonnées[[#This Row],[FarmID]]&amp;CompilDonnées[[#This Row],[ModuleNumber]]&amp;CompilDonnées[[#This Row],[PlantationDate]])</f>
        <v>85445843</v>
      </c>
      <c r="O3699" t="str">
        <f>CompilDonnées[[#This Row],[FarmID]]&amp;CompilDonnées[[#This Row],[ModuleNumber]]</f>
        <v>854</v>
      </c>
      <c r="P3699" t="str">
        <f>CompilDonnées[[#This Row],[Ref_Module]]&amp;CompilDonnées[[#This Row],[HarvestingDate]]</f>
        <v>85445890</v>
      </c>
    </row>
    <row r="3700" spans="1:16">
      <c r="A3700" s="5">
        <v>45843</v>
      </c>
      <c r="B3700">
        <v>86</v>
      </c>
      <c r="C3700" t="s">
        <v>37</v>
      </c>
      <c r="D3700">
        <v>3</v>
      </c>
      <c r="E3700">
        <v>100</v>
      </c>
      <c r="F3700" t="s">
        <v>1</v>
      </c>
      <c r="G3700" s="6">
        <v>45880</v>
      </c>
      <c r="H3700">
        <v>37</v>
      </c>
      <c r="I3700">
        <f>ROUND(CompilDonnées[[#This Row],[CultureDuration_days]]/7,0)</f>
        <v>5</v>
      </c>
      <c r="J3700">
        <v>2305</v>
      </c>
      <c r="K3700" t="str">
        <f>_xlfn.CONCAT(WEEKNUM(CompilDonnées[[#This Row],[PlantationDate]]), " ", YEAR(CompilDonnées[[#This Row],[PlantationDate]]))</f>
        <v>27 2025</v>
      </c>
      <c r="L3700" t="str">
        <f>CONCATENATE(MONTH(CompilDonnées[[#This Row],[PlantationDate]])," ", YEAR(CompilDonnées[[#This Row],[PlantationDate]]))</f>
        <v>7 2025</v>
      </c>
      <c r="M3700" t="str">
        <f>CONCATENATE(MONTH(CompilDonnées[[#This Row],[HarvestingDate]])," ", YEAR(CompilDonnées[[#This Row],[HarvestingDate]]))</f>
        <v>8 2025</v>
      </c>
      <c r="N3700">
        <f>_xlfn.NUMBERVALUE(CompilDonnées[[#This Row],[FarmID]]&amp;CompilDonnées[[#This Row],[ModuleNumber]]&amp;CompilDonnées[[#This Row],[PlantationDate]])</f>
        <v>86345843</v>
      </c>
      <c r="O3700" t="str">
        <f>CompilDonnées[[#This Row],[FarmID]]&amp;CompilDonnées[[#This Row],[ModuleNumber]]</f>
        <v>863</v>
      </c>
      <c r="P3700" t="str">
        <f>CompilDonnées[[#This Row],[Ref_Module]]&amp;CompilDonnées[[#This Row],[HarvestingDate]]</f>
        <v>86345880</v>
      </c>
    </row>
    <row r="3701" spans="1:16">
      <c r="A3701" s="5">
        <v>45843</v>
      </c>
      <c r="B3701">
        <v>88</v>
      </c>
      <c r="C3701" t="s">
        <v>94</v>
      </c>
      <c r="D3701">
        <v>2</v>
      </c>
      <c r="E3701">
        <v>100</v>
      </c>
      <c r="F3701" t="s">
        <v>1</v>
      </c>
      <c r="G3701" s="6">
        <v>45881</v>
      </c>
      <c r="H3701">
        <v>38</v>
      </c>
      <c r="I3701">
        <f>ROUND(CompilDonnées[[#This Row],[CultureDuration_days]]/7,0)</f>
        <v>5</v>
      </c>
      <c r="J3701">
        <v>3724</v>
      </c>
      <c r="K3701" t="str">
        <f>_xlfn.CONCAT(WEEKNUM(CompilDonnées[[#This Row],[PlantationDate]]), " ", YEAR(CompilDonnées[[#This Row],[PlantationDate]]))</f>
        <v>27 2025</v>
      </c>
      <c r="L3701" t="str">
        <f>CONCATENATE(MONTH(CompilDonnées[[#This Row],[PlantationDate]])," ", YEAR(CompilDonnées[[#This Row],[PlantationDate]]))</f>
        <v>7 2025</v>
      </c>
      <c r="M3701" t="str">
        <f>CONCATENATE(MONTH(CompilDonnées[[#This Row],[HarvestingDate]])," ", YEAR(CompilDonnées[[#This Row],[HarvestingDate]]))</f>
        <v>8 2025</v>
      </c>
      <c r="N3701">
        <f>_xlfn.NUMBERVALUE(CompilDonnées[[#This Row],[FarmID]]&amp;CompilDonnées[[#This Row],[ModuleNumber]]&amp;CompilDonnées[[#This Row],[PlantationDate]])</f>
        <v>88245843</v>
      </c>
      <c r="O3701" t="str">
        <f>CompilDonnées[[#This Row],[FarmID]]&amp;CompilDonnées[[#This Row],[ModuleNumber]]</f>
        <v>882</v>
      </c>
      <c r="P3701" t="str">
        <f>CompilDonnées[[#This Row],[Ref_Module]]&amp;CompilDonnées[[#This Row],[HarvestingDate]]</f>
        <v>88245881</v>
      </c>
    </row>
    <row r="3702" spans="1:16">
      <c r="A3702" s="5">
        <v>45843</v>
      </c>
      <c r="B3702">
        <v>92</v>
      </c>
      <c r="C3702" t="s">
        <v>66</v>
      </c>
      <c r="D3702">
        <v>5</v>
      </c>
      <c r="E3702">
        <v>100</v>
      </c>
      <c r="F3702" t="s">
        <v>1</v>
      </c>
      <c r="G3702" s="6">
        <v>45880</v>
      </c>
      <c r="H3702">
        <v>37</v>
      </c>
      <c r="I3702">
        <f>ROUND(CompilDonnées[[#This Row],[CultureDuration_days]]/7,0)</f>
        <v>5</v>
      </c>
      <c r="J3702">
        <v>3291</v>
      </c>
      <c r="K3702" t="str">
        <f>_xlfn.CONCAT(WEEKNUM(CompilDonnées[[#This Row],[PlantationDate]]), " ", YEAR(CompilDonnées[[#This Row],[PlantationDate]]))</f>
        <v>27 2025</v>
      </c>
      <c r="L3702" t="str">
        <f>CONCATENATE(MONTH(CompilDonnées[[#This Row],[PlantationDate]])," ", YEAR(CompilDonnées[[#This Row],[PlantationDate]]))</f>
        <v>7 2025</v>
      </c>
      <c r="M3702" t="str">
        <f>CONCATENATE(MONTH(CompilDonnées[[#This Row],[HarvestingDate]])," ", YEAR(CompilDonnées[[#This Row],[HarvestingDate]]))</f>
        <v>8 2025</v>
      </c>
      <c r="N3702">
        <f>_xlfn.NUMBERVALUE(CompilDonnées[[#This Row],[FarmID]]&amp;CompilDonnées[[#This Row],[ModuleNumber]]&amp;CompilDonnées[[#This Row],[PlantationDate]])</f>
        <v>92545843</v>
      </c>
      <c r="O3702" t="str">
        <f>CompilDonnées[[#This Row],[FarmID]]&amp;CompilDonnées[[#This Row],[ModuleNumber]]</f>
        <v>925</v>
      </c>
      <c r="P3702" t="str">
        <f>CompilDonnées[[#This Row],[Ref_Module]]&amp;CompilDonnées[[#This Row],[HarvestingDate]]</f>
        <v>92545880</v>
      </c>
    </row>
    <row r="3703" spans="1:16">
      <c r="A3703" s="5">
        <v>45843</v>
      </c>
      <c r="B3703">
        <v>91</v>
      </c>
      <c r="C3703" t="s">
        <v>9</v>
      </c>
      <c r="D3703">
        <v>3</v>
      </c>
      <c r="E3703">
        <v>100</v>
      </c>
      <c r="F3703" t="s">
        <v>1</v>
      </c>
      <c r="G3703" s="6">
        <v>45890</v>
      </c>
      <c r="H3703">
        <v>47</v>
      </c>
      <c r="I3703">
        <f>ROUND(CompilDonnées[[#This Row],[CultureDuration_days]]/7,0)</f>
        <v>7</v>
      </c>
      <c r="J3703">
        <v>2670</v>
      </c>
      <c r="K3703" t="str">
        <f>_xlfn.CONCAT(WEEKNUM(CompilDonnées[[#This Row],[PlantationDate]]), " ", YEAR(CompilDonnées[[#This Row],[PlantationDate]]))</f>
        <v>27 2025</v>
      </c>
      <c r="L3703" t="str">
        <f>CONCATENATE(MONTH(CompilDonnées[[#This Row],[PlantationDate]])," ", YEAR(CompilDonnées[[#This Row],[PlantationDate]]))</f>
        <v>7 2025</v>
      </c>
      <c r="M3703" t="str">
        <f>CONCATENATE(MONTH(CompilDonnées[[#This Row],[HarvestingDate]])," ", YEAR(CompilDonnées[[#This Row],[HarvestingDate]]))</f>
        <v>8 2025</v>
      </c>
      <c r="N3703">
        <f>_xlfn.NUMBERVALUE(CompilDonnées[[#This Row],[FarmID]]&amp;CompilDonnées[[#This Row],[ModuleNumber]]&amp;CompilDonnées[[#This Row],[PlantationDate]])</f>
        <v>91345843</v>
      </c>
      <c r="O3703" t="str">
        <f>CompilDonnées[[#This Row],[FarmID]]&amp;CompilDonnées[[#This Row],[ModuleNumber]]</f>
        <v>913</v>
      </c>
      <c r="P3703" t="str">
        <f>CompilDonnées[[#This Row],[Ref_Module]]&amp;CompilDonnées[[#This Row],[HarvestingDate]]</f>
        <v>91345890</v>
      </c>
    </row>
    <row r="3704" spans="1:16">
      <c r="A3704" s="5">
        <v>45843</v>
      </c>
      <c r="B3704">
        <v>6</v>
      </c>
      <c r="C3704" t="s">
        <v>24</v>
      </c>
      <c r="D3704">
        <v>6</v>
      </c>
      <c r="E3704">
        <v>100</v>
      </c>
      <c r="F3704" t="s">
        <v>1</v>
      </c>
      <c r="G3704" s="6">
        <v>45883</v>
      </c>
      <c r="H3704">
        <v>40</v>
      </c>
      <c r="I3704">
        <f>ROUND(CompilDonnées[[#This Row],[CultureDuration_days]]/7,0)</f>
        <v>6</v>
      </c>
      <c r="J3704">
        <v>2888</v>
      </c>
      <c r="K3704" t="str">
        <f>_xlfn.CONCAT(WEEKNUM(CompilDonnées[[#This Row],[PlantationDate]]), " ", YEAR(CompilDonnées[[#This Row],[PlantationDate]]))</f>
        <v>27 2025</v>
      </c>
      <c r="L3704" t="str">
        <f>CONCATENATE(MONTH(CompilDonnées[[#This Row],[PlantationDate]])," ", YEAR(CompilDonnées[[#This Row],[PlantationDate]]))</f>
        <v>7 2025</v>
      </c>
      <c r="M3704" t="str">
        <f>CONCATENATE(MONTH(CompilDonnées[[#This Row],[HarvestingDate]])," ", YEAR(CompilDonnées[[#This Row],[HarvestingDate]]))</f>
        <v>8 2025</v>
      </c>
      <c r="N3704">
        <f>_xlfn.NUMBERVALUE(CompilDonnées[[#This Row],[FarmID]]&amp;CompilDonnées[[#This Row],[ModuleNumber]]&amp;CompilDonnées[[#This Row],[PlantationDate]])</f>
        <v>6645843</v>
      </c>
      <c r="O3704" t="str">
        <f>CompilDonnées[[#This Row],[FarmID]]&amp;CompilDonnées[[#This Row],[ModuleNumber]]</f>
        <v>66</v>
      </c>
      <c r="P3704" t="str">
        <f>CompilDonnées[[#This Row],[Ref_Module]]&amp;CompilDonnées[[#This Row],[HarvestingDate]]</f>
        <v>6645883</v>
      </c>
    </row>
    <row r="3705" spans="1:16">
      <c r="A3705" s="5">
        <v>45843</v>
      </c>
      <c r="B3705">
        <v>3</v>
      </c>
      <c r="C3705" t="s">
        <v>116</v>
      </c>
      <c r="D3705">
        <v>5</v>
      </c>
      <c r="E3705">
        <v>100</v>
      </c>
      <c r="F3705" t="s">
        <v>1</v>
      </c>
      <c r="G3705" s="6">
        <v>45887</v>
      </c>
      <c r="H3705">
        <v>44</v>
      </c>
      <c r="I3705">
        <f>ROUND(CompilDonnées[[#This Row],[CultureDuration_days]]/7,0)</f>
        <v>6</v>
      </c>
      <c r="J3705">
        <v>2695</v>
      </c>
      <c r="K3705" t="str">
        <f>_xlfn.CONCAT(WEEKNUM(CompilDonnées[[#This Row],[PlantationDate]]), " ", YEAR(CompilDonnées[[#This Row],[PlantationDate]]))</f>
        <v>27 2025</v>
      </c>
      <c r="L3705" t="str">
        <f>CONCATENATE(MONTH(CompilDonnées[[#This Row],[PlantationDate]])," ", YEAR(CompilDonnées[[#This Row],[PlantationDate]]))</f>
        <v>7 2025</v>
      </c>
      <c r="M3705" t="str">
        <f>CONCATENATE(MONTH(CompilDonnées[[#This Row],[HarvestingDate]])," ", YEAR(CompilDonnées[[#This Row],[HarvestingDate]]))</f>
        <v>8 2025</v>
      </c>
      <c r="N3705">
        <f>_xlfn.NUMBERVALUE(CompilDonnées[[#This Row],[FarmID]]&amp;CompilDonnées[[#This Row],[ModuleNumber]]&amp;CompilDonnées[[#This Row],[PlantationDate]])</f>
        <v>3545843</v>
      </c>
      <c r="O3705" t="str">
        <f>CompilDonnées[[#This Row],[FarmID]]&amp;CompilDonnées[[#This Row],[ModuleNumber]]</f>
        <v>35</v>
      </c>
      <c r="P3705" t="str">
        <f>CompilDonnées[[#This Row],[Ref_Module]]&amp;CompilDonnées[[#This Row],[HarvestingDate]]</f>
        <v>3545887</v>
      </c>
    </row>
    <row r="3706" spans="1:16">
      <c r="A3706" s="5">
        <v>45843</v>
      </c>
      <c r="B3706">
        <v>5</v>
      </c>
      <c r="C3706" t="s">
        <v>32</v>
      </c>
      <c r="D3706">
        <v>3</v>
      </c>
      <c r="E3706">
        <v>100</v>
      </c>
      <c r="F3706" t="s">
        <v>1</v>
      </c>
      <c r="G3706" s="6">
        <v>45887</v>
      </c>
      <c r="H3706">
        <v>44</v>
      </c>
      <c r="I3706">
        <f>ROUND(CompilDonnées[[#This Row],[CultureDuration_days]]/7,0)</f>
        <v>6</v>
      </c>
      <c r="J3706">
        <v>3205</v>
      </c>
      <c r="K3706" t="str">
        <f>_xlfn.CONCAT(WEEKNUM(CompilDonnées[[#This Row],[PlantationDate]]), " ", YEAR(CompilDonnées[[#This Row],[PlantationDate]]))</f>
        <v>27 2025</v>
      </c>
      <c r="L3706" t="str">
        <f>CONCATENATE(MONTH(CompilDonnées[[#This Row],[PlantationDate]])," ", YEAR(CompilDonnées[[#This Row],[PlantationDate]]))</f>
        <v>7 2025</v>
      </c>
      <c r="M3706" t="str">
        <f>CONCATENATE(MONTH(CompilDonnées[[#This Row],[HarvestingDate]])," ", YEAR(CompilDonnées[[#This Row],[HarvestingDate]]))</f>
        <v>8 2025</v>
      </c>
      <c r="N3706">
        <f>_xlfn.NUMBERVALUE(CompilDonnées[[#This Row],[FarmID]]&amp;CompilDonnées[[#This Row],[ModuleNumber]]&amp;CompilDonnées[[#This Row],[PlantationDate]])</f>
        <v>5345843</v>
      </c>
      <c r="O3706" t="str">
        <f>CompilDonnées[[#This Row],[FarmID]]&amp;CompilDonnées[[#This Row],[ModuleNumber]]</f>
        <v>53</v>
      </c>
      <c r="P3706" t="str">
        <f>CompilDonnées[[#This Row],[Ref_Module]]&amp;CompilDonnées[[#This Row],[HarvestingDate]]</f>
        <v>5345887</v>
      </c>
    </row>
    <row r="3707" spans="1:16">
      <c r="A3707" s="5">
        <v>45843</v>
      </c>
      <c r="B3707">
        <v>8</v>
      </c>
      <c r="C3707" t="s">
        <v>57</v>
      </c>
      <c r="D3707">
        <v>5</v>
      </c>
      <c r="E3707">
        <v>100</v>
      </c>
      <c r="F3707" t="s">
        <v>1</v>
      </c>
      <c r="G3707" s="6">
        <v>45887</v>
      </c>
      <c r="H3707">
        <v>44</v>
      </c>
      <c r="I3707">
        <f>ROUND(CompilDonnées[[#This Row],[CultureDuration_days]]/7,0)</f>
        <v>6</v>
      </c>
      <c r="J3707">
        <v>1922</v>
      </c>
      <c r="K3707" t="str">
        <f>_xlfn.CONCAT(WEEKNUM(CompilDonnées[[#This Row],[PlantationDate]]), " ", YEAR(CompilDonnées[[#This Row],[PlantationDate]]))</f>
        <v>27 2025</v>
      </c>
      <c r="L3707" t="str">
        <f>CONCATENATE(MONTH(CompilDonnées[[#This Row],[PlantationDate]])," ", YEAR(CompilDonnées[[#This Row],[PlantationDate]]))</f>
        <v>7 2025</v>
      </c>
      <c r="M3707" t="str">
        <f>CONCATENATE(MONTH(CompilDonnées[[#This Row],[HarvestingDate]])," ", YEAR(CompilDonnées[[#This Row],[HarvestingDate]]))</f>
        <v>8 2025</v>
      </c>
      <c r="N3707">
        <f>_xlfn.NUMBERVALUE(CompilDonnées[[#This Row],[FarmID]]&amp;CompilDonnées[[#This Row],[ModuleNumber]]&amp;CompilDonnées[[#This Row],[PlantationDate]])</f>
        <v>8545843</v>
      </c>
      <c r="O3707" t="str">
        <f>CompilDonnées[[#This Row],[FarmID]]&amp;CompilDonnées[[#This Row],[ModuleNumber]]</f>
        <v>85</v>
      </c>
      <c r="P3707" t="str">
        <f>CompilDonnées[[#This Row],[Ref_Module]]&amp;CompilDonnées[[#This Row],[HarvestingDate]]</f>
        <v>8545887</v>
      </c>
    </row>
    <row r="3708" spans="1:16">
      <c r="A3708" s="5">
        <v>45843</v>
      </c>
      <c r="B3708">
        <v>2</v>
      </c>
      <c r="C3708" t="s">
        <v>119</v>
      </c>
      <c r="D3708">
        <v>6</v>
      </c>
      <c r="E3708">
        <v>100</v>
      </c>
      <c r="F3708" t="s">
        <v>1</v>
      </c>
      <c r="G3708" s="6">
        <v>45882</v>
      </c>
      <c r="H3708">
        <v>39</v>
      </c>
      <c r="I3708">
        <f>ROUND(CompilDonnées[[#This Row],[CultureDuration_days]]/7,0)</f>
        <v>6</v>
      </c>
      <c r="J3708">
        <v>2856</v>
      </c>
      <c r="K3708" t="str">
        <f>_xlfn.CONCAT(WEEKNUM(CompilDonnées[[#This Row],[PlantationDate]]), " ", YEAR(CompilDonnées[[#This Row],[PlantationDate]]))</f>
        <v>27 2025</v>
      </c>
      <c r="L3708" t="str">
        <f>CONCATENATE(MONTH(CompilDonnées[[#This Row],[PlantationDate]])," ", YEAR(CompilDonnées[[#This Row],[PlantationDate]]))</f>
        <v>7 2025</v>
      </c>
      <c r="M3708" t="str">
        <f>CONCATENATE(MONTH(CompilDonnées[[#This Row],[HarvestingDate]])," ", YEAR(CompilDonnées[[#This Row],[HarvestingDate]]))</f>
        <v>8 2025</v>
      </c>
      <c r="N3708">
        <f>_xlfn.NUMBERVALUE(CompilDonnées[[#This Row],[FarmID]]&amp;CompilDonnées[[#This Row],[ModuleNumber]]&amp;CompilDonnées[[#This Row],[PlantationDate]])</f>
        <v>2645843</v>
      </c>
      <c r="O3708" t="str">
        <f>CompilDonnées[[#This Row],[FarmID]]&amp;CompilDonnées[[#This Row],[ModuleNumber]]</f>
        <v>26</v>
      </c>
      <c r="P3708" t="str">
        <f>CompilDonnées[[#This Row],[Ref_Module]]&amp;CompilDonnées[[#This Row],[HarvestingDate]]</f>
        <v>2645882</v>
      </c>
    </row>
    <row r="3709" spans="1:16">
      <c r="A3709" s="5">
        <v>45843</v>
      </c>
      <c r="B3709">
        <v>20</v>
      </c>
      <c r="C3709" t="s">
        <v>53</v>
      </c>
      <c r="D3709">
        <v>5</v>
      </c>
      <c r="E3709">
        <v>100</v>
      </c>
      <c r="F3709" t="s">
        <v>1</v>
      </c>
      <c r="G3709" s="6">
        <v>45875</v>
      </c>
      <c r="H3709">
        <v>32</v>
      </c>
      <c r="I3709">
        <f>ROUND(CompilDonnées[[#This Row],[CultureDuration_days]]/7,0)</f>
        <v>5</v>
      </c>
      <c r="J3709">
        <v>1052</v>
      </c>
      <c r="K3709" t="str">
        <f>_xlfn.CONCAT(WEEKNUM(CompilDonnées[[#This Row],[PlantationDate]]), " ", YEAR(CompilDonnées[[#This Row],[PlantationDate]]))</f>
        <v>27 2025</v>
      </c>
      <c r="L3709" t="str">
        <f>CONCATENATE(MONTH(CompilDonnées[[#This Row],[PlantationDate]])," ", YEAR(CompilDonnées[[#This Row],[PlantationDate]]))</f>
        <v>7 2025</v>
      </c>
      <c r="M3709" t="str">
        <f>CONCATENATE(MONTH(CompilDonnées[[#This Row],[HarvestingDate]])," ", YEAR(CompilDonnées[[#This Row],[HarvestingDate]]))</f>
        <v>8 2025</v>
      </c>
      <c r="N3709">
        <f>_xlfn.NUMBERVALUE(CompilDonnées[[#This Row],[FarmID]]&amp;CompilDonnées[[#This Row],[ModuleNumber]]&amp;CompilDonnées[[#This Row],[PlantationDate]])</f>
        <v>20545843</v>
      </c>
      <c r="O3709" t="str">
        <f>CompilDonnées[[#This Row],[FarmID]]&amp;CompilDonnées[[#This Row],[ModuleNumber]]</f>
        <v>205</v>
      </c>
      <c r="P3709" t="str">
        <f>CompilDonnées[[#This Row],[Ref_Module]]&amp;CompilDonnées[[#This Row],[HarvestingDate]]</f>
        <v>20545875</v>
      </c>
    </row>
    <row r="3710" spans="1:16">
      <c r="A3710" s="5">
        <v>45843</v>
      </c>
      <c r="B3710">
        <v>69</v>
      </c>
      <c r="C3710" t="s">
        <v>102</v>
      </c>
      <c r="D3710">
        <v>4</v>
      </c>
      <c r="E3710">
        <v>100</v>
      </c>
      <c r="F3710" t="s">
        <v>1</v>
      </c>
      <c r="G3710" s="6">
        <v>45889</v>
      </c>
      <c r="H3710">
        <v>46</v>
      </c>
      <c r="I3710">
        <f>ROUND(CompilDonnées[[#This Row],[CultureDuration_days]]/7,0)</f>
        <v>7</v>
      </c>
      <c r="J3710">
        <v>1858</v>
      </c>
      <c r="K3710" t="str">
        <f>_xlfn.CONCAT(WEEKNUM(CompilDonnées[[#This Row],[PlantationDate]]), " ", YEAR(CompilDonnées[[#This Row],[PlantationDate]]))</f>
        <v>27 2025</v>
      </c>
      <c r="L3710" t="str">
        <f>CONCATENATE(MONTH(CompilDonnées[[#This Row],[PlantationDate]])," ", YEAR(CompilDonnées[[#This Row],[PlantationDate]]))</f>
        <v>7 2025</v>
      </c>
      <c r="M3710" t="str">
        <f>CONCATENATE(MONTH(CompilDonnées[[#This Row],[HarvestingDate]])," ", YEAR(CompilDonnées[[#This Row],[HarvestingDate]]))</f>
        <v>8 2025</v>
      </c>
      <c r="N3710">
        <f>_xlfn.NUMBERVALUE(CompilDonnées[[#This Row],[FarmID]]&amp;CompilDonnées[[#This Row],[ModuleNumber]]&amp;CompilDonnées[[#This Row],[PlantationDate]])</f>
        <v>69445843</v>
      </c>
      <c r="O3710" t="str">
        <f>CompilDonnées[[#This Row],[FarmID]]&amp;CompilDonnées[[#This Row],[ModuleNumber]]</f>
        <v>694</v>
      </c>
      <c r="P3710" t="str">
        <f>CompilDonnées[[#This Row],[Ref_Module]]&amp;CompilDonnées[[#This Row],[HarvestingDate]]</f>
        <v>69445889</v>
      </c>
    </row>
    <row r="3711" spans="1:16">
      <c r="A3711" s="5">
        <v>45843</v>
      </c>
      <c r="B3711">
        <v>69</v>
      </c>
      <c r="C3711" t="s">
        <v>102</v>
      </c>
      <c r="D3711">
        <v>6</v>
      </c>
      <c r="E3711">
        <v>100</v>
      </c>
      <c r="F3711" t="s">
        <v>1</v>
      </c>
      <c r="G3711" s="6">
        <v>45889</v>
      </c>
      <c r="H3711">
        <v>46</v>
      </c>
      <c r="I3711">
        <f>ROUND(CompilDonnées[[#This Row],[CultureDuration_days]]/7,0)</f>
        <v>7</v>
      </c>
      <c r="J3711">
        <v>2041</v>
      </c>
      <c r="K3711" t="str">
        <f>_xlfn.CONCAT(WEEKNUM(CompilDonnées[[#This Row],[PlantationDate]]), " ", YEAR(CompilDonnées[[#This Row],[PlantationDate]]))</f>
        <v>27 2025</v>
      </c>
      <c r="L3711" t="str">
        <f>CONCATENATE(MONTH(CompilDonnées[[#This Row],[PlantationDate]])," ", YEAR(CompilDonnées[[#This Row],[PlantationDate]]))</f>
        <v>7 2025</v>
      </c>
      <c r="M3711" t="str">
        <f>CONCATENATE(MONTH(CompilDonnées[[#This Row],[HarvestingDate]])," ", YEAR(CompilDonnées[[#This Row],[HarvestingDate]]))</f>
        <v>8 2025</v>
      </c>
      <c r="N3711">
        <f>_xlfn.NUMBERVALUE(CompilDonnées[[#This Row],[FarmID]]&amp;CompilDonnées[[#This Row],[ModuleNumber]]&amp;CompilDonnées[[#This Row],[PlantationDate]])</f>
        <v>69645843</v>
      </c>
      <c r="O3711" t="str">
        <f>CompilDonnées[[#This Row],[FarmID]]&amp;CompilDonnées[[#This Row],[ModuleNumber]]</f>
        <v>696</v>
      </c>
      <c r="P3711" t="str">
        <f>CompilDonnées[[#This Row],[Ref_Module]]&amp;CompilDonnées[[#This Row],[HarvestingDate]]</f>
        <v>69645889</v>
      </c>
    </row>
    <row r="3712" spans="1:16">
      <c r="A3712" s="5">
        <v>45843</v>
      </c>
      <c r="B3712">
        <v>14</v>
      </c>
      <c r="C3712" t="s">
        <v>82</v>
      </c>
      <c r="D3712">
        <v>2</v>
      </c>
      <c r="E3712">
        <v>100</v>
      </c>
      <c r="F3712" t="s">
        <v>1</v>
      </c>
      <c r="G3712" s="6">
        <v>45882</v>
      </c>
      <c r="H3712">
        <v>39</v>
      </c>
      <c r="I3712">
        <f>ROUND(CompilDonnées[[#This Row],[CultureDuration_days]]/7,0)</f>
        <v>6</v>
      </c>
      <c r="J3712">
        <v>2976</v>
      </c>
      <c r="K3712" t="str">
        <f>_xlfn.CONCAT(WEEKNUM(CompilDonnées[[#This Row],[PlantationDate]]), " ", YEAR(CompilDonnées[[#This Row],[PlantationDate]]))</f>
        <v>27 2025</v>
      </c>
      <c r="L3712" t="str">
        <f>CONCATENATE(MONTH(CompilDonnées[[#This Row],[PlantationDate]])," ", YEAR(CompilDonnées[[#This Row],[PlantationDate]]))</f>
        <v>7 2025</v>
      </c>
      <c r="M3712" t="str">
        <f>CONCATENATE(MONTH(CompilDonnées[[#This Row],[HarvestingDate]])," ", YEAR(CompilDonnées[[#This Row],[HarvestingDate]]))</f>
        <v>8 2025</v>
      </c>
      <c r="N3712">
        <f>_xlfn.NUMBERVALUE(CompilDonnées[[#This Row],[FarmID]]&amp;CompilDonnées[[#This Row],[ModuleNumber]]&amp;CompilDonnées[[#This Row],[PlantationDate]])</f>
        <v>14245843</v>
      </c>
      <c r="O3712" t="str">
        <f>CompilDonnées[[#This Row],[FarmID]]&amp;CompilDonnées[[#This Row],[ModuleNumber]]</f>
        <v>142</v>
      </c>
      <c r="P3712" t="str">
        <f>CompilDonnées[[#This Row],[Ref_Module]]&amp;CompilDonnées[[#This Row],[HarvestingDate]]</f>
        <v>14245882</v>
      </c>
    </row>
    <row r="3713" spans="1:16">
      <c r="A3713" s="5">
        <v>45843</v>
      </c>
      <c r="B3713">
        <v>83</v>
      </c>
      <c r="C3713" t="s">
        <v>73</v>
      </c>
      <c r="D3713">
        <v>6</v>
      </c>
      <c r="E3713">
        <v>100</v>
      </c>
      <c r="F3713" t="s">
        <v>1</v>
      </c>
      <c r="G3713" s="6">
        <v>45881</v>
      </c>
      <c r="H3713">
        <v>38</v>
      </c>
      <c r="I3713">
        <f>ROUND(CompilDonnées[[#This Row],[CultureDuration_days]]/7,0)</f>
        <v>5</v>
      </c>
      <c r="J3713">
        <v>2473</v>
      </c>
      <c r="K3713" t="str">
        <f>_xlfn.CONCAT(WEEKNUM(CompilDonnées[[#This Row],[PlantationDate]]), " ", YEAR(CompilDonnées[[#This Row],[PlantationDate]]))</f>
        <v>27 2025</v>
      </c>
      <c r="L3713" t="str">
        <f>CONCATENATE(MONTH(CompilDonnées[[#This Row],[PlantationDate]])," ", YEAR(CompilDonnées[[#This Row],[PlantationDate]]))</f>
        <v>7 2025</v>
      </c>
      <c r="M3713" t="str">
        <f>CONCATENATE(MONTH(CompilDonnées[[#This Row],[HarvestingDate]])," ", YEAR(CompilDonnées[[#This Row],[HarvestingDate]]))</f>
        <v>8 2025</v>
      </c>
      <c r="N3713">
        <f>_xlfn.NUMBERVALUE(CompilDonnées[[#This Row],[FarmID]]&amp;CompilDonnées[[#This Row],[ModuleNumber]]&amp;CompilDonnées[[#This Row],[PlantationDate]])</f>
        <v>83645843</v>
      </c>
      <c r="O3713" t="str">
        <f>CompilDonnées[[#This Row],[FarmID]]&amp;CompilDonnées[[#This Row],[ModuleNumber]]</f>
        <v>836</v>
      </c>
      <c r="P3713" t="str">
        <f>CompilDonnées[[#This Row],[Ref_Module]]&amp;CompilDonnées[[#This Row],[HarvestingDate]]</f>
        <v>83645881</v>
      </c>
    </row>
    <row r="3714" spans="1:16">
      <c r="A3714" s="5">
        <v>45843</v>
      </c>
      <c r="B3714">
        <v>84</v>
      </c>
      <c r="C3714" t="s">
        <v>65</v>
      </c>
      <c r="D3714">
        <v>5</v>
      </c>
      <c r="E3714">
        <v>100</v>
      </c>
      <c r="F3714" t="s">
        <v>1</v>
      </c>
      <c r="G3714" s="6">
        <v>45890</v>
      </c>
      <c r="H3714">
        <v>47</v>
      </c>
      <c r="I3714">
        <f>ROUND(CompilDonnées[[#This Row],[CultureDuration_days]]/7,0)</f>
        <v>7</v>
      </c>
      <c r="J3714">
        <v>2248</v>
      </c>
      <c r="K3714" t="str">
        <f>_xlfn.CONCAT(WEEKNUM(CompilDonnées[[#This Row],[PlantationDate]]), " ", YEAR(CompilDonnées[[#This Row],[PlantationDate]]))</f>
        <v>27 2025</v>
      </c>
      <c r="L3714" t="str">
        <f>CONCATENATE(MONTH(CompilDonnées[[#This Row],[PlantationDate]])," ", YEAR(CompilDonnées[[#This Row],[PlantationDate]]))</f>
        <v>7 2025</v>
      </c>
      <c r="M3714" t="str">
        <f>CONCATENATE(MONTH(CompilDonnées[[#This Row],[HarvestingDate]])," ", YEAR(CompilDonnées[[#This Row],[HarvestingDate]]))</f>
        <v>8 2025</v>
      </c>
      <c r="N3714">
        <f>_xlfn.NUMBERVALUE(CompilDonnées[[#This Row],[FarmID]]&amp;CompilDonnées[[#This Row],[ModuleNumber]]&amp;CompilDonnées[[#This Row],[PlantationDate]])</f>
        <v>84545843</v>
      </c>
      <c r="O3714" t="str">
        <f>CompilDonnées[[#This Row],[FarmID]]&amp;CompilDonnées[[#This Row],[ModuleNumber]]</f>
        <v>845</v>
      </c>
      <c r="P3714" t="str">
        <f>CompilDonnées[[#This Row],[Ref_Module]]&amp;CompilDonnées[[#This Row],[HarvestingDate]]</f>
        <v>84545890</v>
      </c>
    </row>
    <row r="3715" spans="1:16">
      <c r="A3715" s="5">
        <v>45843</v>
      </c>
      <c r="B3715">
        <v>76</v>
      </c>
      <c r="C3715" t="s">
        <v>18</v>
      </c>
      <c r="D3715">
        <v>5</v>
      </c>
      <c r="E3715">
        <v>100</v>
      </c>
      <c r="F3715" t="s">
        <v>1</v>
      </c>
      <c r="G3715" s="6">
        <v>45890</v>
      </c>
      <c r="H3715">
        <v>47</v>
      </c>
      <c r="I3715">
        <f>ROUND(CompilDonnées[[#This Row],[CultureDuration_days]]/7,0)</f>
        <v>7</v>
      </c>
      <c r="J3715">
        <v>3095</v>
      </c>
      <c r="K3715" t="str">
        <f>_xlfn.CONCAT(WEEKNUM(CompilDonnées[[#This Row],[PlantationDate]]), " ", YEAR(CompilDonnées[[#This Row],[PlantationDate]]))</f>
        <v>27 2025</v>
      </c>
      <c r="L3715" t="str">
        <f>CONCATENATE(MONTH(CompilDonnées[[#This Row],[PlantationDate]])," ", YEAR(CompilDonnées[[#This Row],[PlantationDate]]))</f>
        <v>7 2025</v>
      </c>
      <c r="M3715" t="str">
        <f>CONCATENATE(MONTH(CompilDonnées[[#This Row],[HarvestingDate]])," ", YEAR(CompilDonnées[[#This Row],[HarvestingDate]]))</f>
        <v>8 2025</v>
      </c>
      <c r="N3715">
        <f>_xlfn.NUMBERVALUE(CompilDonnées[[#This Row],[FarmID]]&amp;CompilDonnées[[#This Row],[ModuleNumber]]&amp;CompilDonnées[[#This Row],[PlantationDate]])</f>
        <v>76545843</v>
      </c>
      <c r="O3715" t="str">
        <f>CompilDonnées[[#This Row],[FarmID]]&amp;CompilDonnées[[#This Row],[ModuleNumber]]</f>
        <v>765</v>
      </c>
      <c r="P3715" t="str">
        <f>CompilDonnées[[#This Row],[Ref_Module]]&amp;CompilDonnées[[#This Row],[HarvestingDate]]</f>
        <v>76545890</v>
      </c>
    </row>
    <row r="3716" spans="1:16">
      <c r="A3716" s="5">
        <v>45843</v>
      </c>
      <c r="B3716">
        <v>77</v>
      </c>
      <c r="C3716" t="s">
        <v>75</v>
      </c>
      <c r="D3716">
        <v>5</v>
      </c>
      <c r="E3716">
        <v>100</v>
      </c>
      <c r="F3716" t="s">
        <v>1</v>
      </c>
      <c r="G3716" s="6">
        <v>45890</v>
      </c>
      <c r="H3716">
        <v>47</v>
      </c>
      <c r="I3716">
        <f>ROUND(CompilDonnées[[#This Row],[CultureDuration_days]]/7,0)</f>
        <v>7</v>
      </c>
      <c r="J3716">
        <v>1929</v>
      </c>
      <c r="K3716" t="str">
        <f>_xlfn.CONCAT(WEEKNUM(CompilDonnées[[#This Row],[PlantationDate]]), " ", YEAR(CompilDonnées[[#This Row],[PlantationDate]]))</f>
        <v>27 2025</v>
      </c>
      <c r="L3716" t="str">
        <f>CONCATENATE(MONTH(CompilDonnées[[#This Row],[PlantationDate]])," ", YEAR(CompilDonnées[[#This Row],[PlantationDate]]))</f>
        <v>7 2025</v>
      </c>
      <c r="M3716" t="str">
        <f>CONCATENATE(MONTH(CompilDonnées[[#This Row],[HarvestingDate]])," ", YEAR(CompilDonnées[[#This Row],[HarvestingDate]]))</f>
        <v>8 2025</v>
      </c>
      <c r="N3716">
        <f>_xlfn.NUMBERVALUE(CompilDonnées[[#This Row],[FarmID]]&amp;CompilDonnées[[#This Row],[ModuleNumber]]&amp;CompilDonnées[[#This Row],[PlantationDate]])</f>
        <v>77545843</v>
      </c>
      <c r="O3716" t="str">
        <f>CompilDonnées[[#This Row],[FarmID]]&amp;CompilDonnées[[#This Row],[ModuleNumber]]</f>
        <v>775</v>
      </c>
      <c r="P3716" t="str">
        <f>CompilDonnées[[#This Row],[Ref_Module]]&amp;CompilDonnées[[#This Row],[HarvestingDate]]</f>
        <v>77545890</v>
      </c>
    </row>
    <row r="3717" spans="1:16">
      <c r="A3717" s="5">
        <v>45843</v>
      </c>
      <c r="B3717">
        <v>81</v>
      </c>
      <c r="C3717" t="s">
        <v>30</v>
      </c>
      <c r="D3717">
        <v>6</v>
      </c>
      <c r="E3717">
        <v>100</v>
      </c>
      <c r="F3717" t="s">
        <v>1</v>
      </c>
      <c r="G3717" s="6">
        <v>45881</v>
      </c>
      <c r="H3717">
        <v>38</v>
      </c>
      <c r="I3717">
        <f>ROUND(CompilDonnées[[#This Row],[CultureDuration_days]]/7,0)</f>
        <v>5</v>
      </c>
      <c r="J3717">
        <v>4017</v>
      </c>
      <c r="K3717" t="str">
        <f>_xlfn.CONCAT(WEEKNUM(CompilDonnées[[#This Row],[PlantationDate]]), " ", YEAR(CompilDonnées[[#This Row],[PlantationDate]]))</f>
        <v>27 2025</v>
      </c>
      <c r="L3717" t="str">
        <f>CONCATENATE(MONTH(CompilDonnées[[#This Row],[PlantationDate]])," ", YEAR(CompilDonnées[[#This Row],[PlantationDate]]))</f>
        <v>7 2025</v>
      </c>
      <c r="M3717" t="str">
        <f>CONCATENATE(MONTH(CompilDonnées[[#This Row],[HarvestingDate]])," ", YEAR(CompilDonnées[[#This Row],[HarvestingDate]]))</f>
        <v>8 2025</v>
      </c>
      <c r="N3717">
        <f>_xlfn.NUMBERVALUE(CompilDonnées[[#This Row],[FarmID]]&amp;CompilDonnées[[#This Row],[ModuleNumber]]&amp;CompilDonnées[[#This Row],[PlantationDate]])</f>
        <v>81645843</v>
      </c>
      <c r="O3717" t="str">
        <f>CompilDonnées[[#This Row],[FarmID]]&amp;CompilDonnées[[#This Row],[ModuleNumber]]</f>
        <v>816</v>
      </c>
      <c r="P3717" t="str">
        <f>CompilDonnées[[#This Row],[Ref_Module]]&amp;CompilDonnées[[#This Row],[HarvestingDate]]</f>
        <v>81645881</v>
      </c>
    </row>
    <row r="3718" spans="1:16">
      <c r="A3718" s="5">
        <v>45843</v>
      </c>
      <c r="B3718">
        <v>82</v>
      </c>
      <c r="C3718" t="s">
        <v>17</v>
      </c>
      <c r="D3718">
        <v>3</v>
      </c>
      <c r="E3718">
        <v>100</v>
      </c>
      <c r="F3718" t="s">
        <v>1</v>
      </c>
      <c r="G3718" s="6">
        <v>45881</v>
      </c>
      <c r="H3718">
        <v>38</v>
      </c>
      <c r="I3718">
        <f>ROUND(CompilDonnées[[#This Row],[CultureDuration_days]]/7,0)</f>
        <v>5</v>
      </c>
      <c r="J3718">
        <v>3577</v>
      </c>
      <c r="K3718" t="str">
        <f>_xlfn.CONCAT(WEEKNUM(CompilDonnées[[#This Row],[PlantationDate]]), " ", YEAR(CompilDonnées[[#This Row],[PlantationDate]]))</f>
        <v>27 2025</v>
      </c>
      <c r="L3718" t="str">
        <f>CONCATENATE(MONTH(CompilDonnées[[#This Row],[PlantationDate]])," ", YEAR(CompilDonnées[[#This Row],[PlantationDate]]))</f>
        <v>7 2025</v>
      </c>
      <c r="M3718" t="str">
        <f>CONCATENATE(MONTH(CompilDonnées[[#This Row],[HarvestingDate]])," ", YEAR(CompilDonnées[[#This Row],[HarvestingDate]]))</f>
        <v>8 2025</v>
      </c>
      <c r="N3718">
        <f>_xlfn.NUMBERVALUE(CompilDonnées[[#This Row],[FarmID]]&amp;CompilDonnées[[#This Row],[ModuleNumber]]&amp;CompilDonnées[[#This Row],[PlantationDate]])</f>
        <v>82345843</v>
      </c>
      <c r="O3718" t="str">
        <f>CompilDonnées[[#This Row],[FarmID]]&amp;CompilDonnées[[#This Row],[ModuleNumber]]</f>
        <v>823</v>
      </c>
      <c r="P3718" t="str">
        <f>CompilDonnées[[#This Row],[Ref_Module]]&amp;CompilDonnées[[#This Row],[HarvestingDate]]</f>
        <v>82345881</v>
      </c>
    </row>
    <row r="3719" spans="1:16">
      <c r="A3719" s="5">
        <v>45843</v>
      </c>
      <c r="B3719">
        <v>78</v>
      </c>
      <c r="C3719" t="s">
        <v>3</v>
      </c>
      <c r="D3719">
        <v>4</v>
      </c>
      <c r="E3719">
        <v>60</v>
      </c>
      <c r="F3719" t="s">
        <v>105</v>
      </c>
      <c r="G3719" s="6">
        <v>45896</v>
      </c>
      <c r="H3719">
        <v>53</v>
      </c>
      <c r="I3719">
        <f>ROUND(CompilDonnées[[#This Row],[CultureDuration_days]]/7,0)</f>
        <v>8</v>
      </c>
      <c r="J3719">
        <v>857</v>
      </c>
      <c r="K3719" t="str">
        <f>_xlfn.CONCAT(WEEKNUM(CompilDonnées[[#This Row],[PlantationDate]]), " ", YEAR(CompilDonnées[[#This Row],[PlantationDate]]))</f>
        <v>27 2025</v>
      </c>
      <c r="L3719" t="str">
        <f>CONCATENATE(MONTH(CompilDonnées[[#This Row],[PlantationDate]])," ", YEAR(CompilDonnées[[#This Row],[PlantationDate]]))</f>
        <v>7 2025</v>
      </c>
      <c r="M3719" t="str">
        <f>CONCATENATE(MONTH(CompilDonnées[[#This Row],[HarvestingDate]])," ", YEAR(CompilDonnées[[#This Row],[HarvestingDate]]))</f>
        <v>8 2025</v>
      </c>
      <c r="N3719">
        <f>_xlfn.NUMBERVALUE(CompilDonnées[[#This Row],[FarmID]]&amp;CompilDonnées[[#This Row],[ModuleNumber]]&amp;CompilDonnées[[#This Row],[PlantationDate]])</f>
        <v>78445843</v>
      </c>
      <c r="O3719" t="str">
        <f>CompilDonnées[[#This Row],[FarmID]]&amp;CompilDonnées[[#This Row],[ModuleNumber]]</f>
        <v>784</v>
      </c>
      <c r="P3719" t="str">
        <f>CompilDonnées[[#This Row],[Ref_Module]]&amp;CompilDonnées[[#This Row],[HarvestingDate]]</f>
        <v>78445896</v>
      </c>
    </row>
    <row r="3720" spans="1:16">
      <c r="A3720" s="5">
        <v>45844</v>
      </c>
      <c r="B3720">
        <v>88</v>
      </c>
      <c r="C3720" t="s">
        <v>94</v>
      </c>
      <c r="D3720">
        <v>4</v>
      </c>
      <c r="E3720">
        <v>100</v>
      </c>
      <c r="F3720" t="s">
        <v>1</v>
      </c>
      <c r="G3720" s="6">
        <v>45881</v>
      </c>
      <c r="H3720">
        <v>37</v>
      </c>
      <c r="I3720">
        <f>ROUND(CompilDonnées[[#This Row],[CultureDuration_days]]/7,0)</f>
        <v>5</v>
      </c>
      <c r="J3720">
        <v>3814</v>
      </c>
      <c r="K3720" t="str">
        <f>_xlfn.CONCAT(WEEKNUM(CompilDonnées[[#This Row],[PlantationDate]]), " ", YEAR(CompilDonnées[[#This Row],[PlantationDate]]))</f>
        <v>28 2025</v>
      </c>
      <c r="L3720" t="str">
        <f>CONCATENATE(MONTH(CompilDonnées[[#This Row],[PlantationDate]])," ", YEAR(CompilDonnées[[#This Row],[PlantationDate]]))</f>
        <v>7 2025</v>
      </c>
      <c r="M3720" t="str">
        <f>CONCATENATE(MONTH(CompilDonnées[[#This Row],[HarvestingDate]])," ", YEAR(CompilDonnées[[#This Row],[HarvestingDate]]))</f>
        <v>8 2025</v>
      </c>
      <c r="N3720">
        <f>_xlfn.NUMBERVALUE(CompilDonnées[[#This Row],[FarmID]]&amp;CompilDonnées[[#This Row],[ModuleNumber]]&amp;CompilDonnées[[#This Row],[PlantationDate]])</f>
        <v>88445844</v>
      </c>
      <c r="O3720" t="str">
        <f>CompilDonnées[[#This Row],[FarmID]]&amp;CompilDonnées[[#This Row],[ModuleNumber]]</f>
        <v>884</v>
      </c>
      <c r="P3720" t="str">
        <f>CompilDonnées[[#This Row],[Ref_Module]]&amp;CompilDonnées[[#This Row],[HarvestingDate]]</f>
        <v>88445881</v>
      </c>
    </row>
    <row r="3721" spans="1:16">
      <c r="A3721" s="5">
        <v>45844</v>
      </c>
      <c r="B3721">
        <v>87</v>
      </c>
      <c r="C3721" t="s">
        <v>38</v>
      </c>
      <c r="D3721">
        <v>5</v>
      </c>
      <c r="E3721">
        <v>100</v>
      </c>
      <c r="F3721" t="s">
        <v>1</v>
      </c>
      <c r="G3721" s="6">
        <v>45890</v>
      </c>
      <c r="H3721">
        <v>46</v>
      </c>
      <c r="I3721">
        <f>ROUND(CompilDonnées[[#This Row],[CultureDuration_days]]/7,0)</f>
        <v>7</v>
      </c>
      <c r="J3721">
        <v>2976</v>
      </c>
      <c r="K3721" t="str">
        <f>_xlfn.CONCAT(WEEKNUM(CompilDonnées[[#This Row],[PlantationDate]]), " ", YEAR(CompilDonnées[[#This Row],[PlantationDate]]))</f>
        <v>28 2025</v>
      </c>
      <c r="L3721" t="str">
        <f>CONCATENATE(MONTH(CompilDonnées[[#This Row],[PlantationDate]])," ", YEAR(CompilDonnées[[#This Row],[PlantationDate]]))</f>
        <v>7 2025</v>
      </c>
      <c r="M3721" t="str">
        <f>CONCATENATE(MONTH(CompilDonnées[[#This Row],[HarvestingDate]])," ", YEAR(CompilDonnées[[#This Row],[HarvestingDate]]))</f>
        <v>8 2025</v>
      </c>
      <c r="N3721">
        <f>_xlfn.NUMBERVALUE(CompilDonnées[[#This Row],[FarmID]]&amp;CompilDonnées[[#This Row],[ModuleNumber]]&amp;CompilDonnées[[#This Row],[PlantationDate]])</f>
        <v>87545844</v>
      </c>
      <c r="O3721" t="str">
        <f>CompilDonnées[[#This Row],[FarmID]]&amp;CompilDonnées[[#This Row],[ModuleNumber]]</f>
        <v>875</v>
      </c>
      <c r="P3721" t="str">
        <f>CompilDonnées[[#This Row],[Ref_Module]]&amp;CompilDonnées[[#This Row],[HarvestingDate]]</f>
        <v>87545890</v>
      </c>
    </row>
    <row r="3722" spans="1:16">
      <c r="A3722" s="5">
        <v>45844</v>
      </c>
      <c r="B3722">
        <v>86</v>
      </c>
      <c r="C3722" t="s">
        <v>37</v>
      </c>
      <c r="D3722">
        <v>4</v>
      </c>
      <c r="E3722">
        <v>100</v>
      </c>
      <c r="F3722" t="s">
        <v>1</v>
      </c>
      <c r="G3722" s="6">
        <v>45890</v>
      </c>
      <c r="H3722">
        <v>46</v>
      </c>
      <c r="I3722">
        <f>ROUND(CompilDonnées[[#This Row],[CultureDuration_days]]/7,0)</f>
        <v>7</v>
      </c>
      <c r="J3722">
        <v>3056</v>
      </c>
      <c r="K3722" t="str">
        <f>_xlfn.CONCAT(WEEKNUM(CompilDonnées[[#This Row],[PlantationDate]]), " ", YEAR(CompilDonnées[[#This Row],[PlantationDate]]))</f>
        <v>28 2025</v>
      </c>
      <c r="L3722" t="str">
        <f>CONCATENATE(MONTH(CompilDonnées[[#This Row],[PlantationDate]])," ", YEAR(CompilDonnées[[#This Row],[PlantationDate]]))</f>
        <v>7 2025</v>
      </c>
      <c r="M3722" t="str">
        <f>CONCATENATE(MONTH(CompilDonnées[[#This Row],[HarvestingDate]])," ", YEAR(CompilDonnées[[#This Row],[HarvestingDate]]))</f>
        <v>8 2025</v>
      </c>
      <c r="N3722">
        <f>_xlfn.NUMBERVALUE(CompilDonnées[[#This Row],[FarmID]]&amp;CompilDonnées[[#This Row],[ModuleNumber]]&amp;CompilDonnées[[#This Row],[PlantationDate]])</f>
        <v>86445844</v>
      </c>
      <c r="O3722" t="str">
        <f>CompilDonnées[[#This Row],[FarmID]]&amp;CompilDonnées[[#This Row],[ModuleNumber]]</f>
        <v>864</v>
      </c>
      <c r="P3722" t="str">
        <f>CompilDonnées[[#This Row],[Ref_Module]]&amp;CompilDonnées[[#This Row],[HarvestingDate]]</f>
        <v>86445890</v>
      </c>
    </row>
    <row r="3723" spans="1:16">
      <c r="A3723" s="5">
        <v>45844</v>
      </c>
      <c r="B3723">
        <v>94</v>
      </c>
      <c r="C3723" t="s">
        <v>40</v>
      </c>
      <c r="D3723">
        <v>5</v>
      </c>
      <c r="E3723">
        <v>100</v>
      </c>
      <c r="F3723" t="s">
        <v>1</v>
      </c>
      <c r="G3723" s="6">
        <v>45880</v>
      </c>
      <c r="H3723">
        <v>36</v>
      </c>
      <c r="I3723">
        <f>ROUND(CompilDonnées[[#This Row],[CultureDuration_days]]/7,0)</f>
        <v>5</v>
      </c>
      <c r="J3723">
        <v>2978</v>
      </c>
      <c r="K3723" t="str">
        <f>_xlfn.CONCAT(WEEKNUM(CompilDonnées[[#This Row],[PlantationDate]]), " ", YEAR(CompilDonnées[[#This Row],[PlantationDate]]))</f>
        <v>28 2025</v>
      </c>
      <c r="L3723" t="str">
        <f>CONCATENATE(MONTH(CompilDonnées[[#This Row],[PlantationDate]])," ", YEAR(CompilDonnées[[#This Row],[PlantationDate]]))</f>
        <v>7 2025</v>
      </c>
      <c r="M3723" t="str">
        <f>CONCATENATE(MONTH(CompilDonnées[[#This Row],[HarvestingDate]])," ", YEAR(CompilDonnées[[#This Row],[HarvestingDate]]))</f>
        <v>8 2025</v>
      </c>
      <c r="N3723">
        <f>_xlfn.NUMBERVALUE(CompilDonnées[[#This Row],[FarmID]]&amp;CompilDonnées[[#This Row],[ModuleNumber]]&amp;CompilDonnées[[#This Row],[PlantationDate]])</f>
        <v>94545844</v>
      </c>
      <c r="O3723" t="str">
        <f>CompilDonnées[[#This Row],[FarmID]]&amp;CompilDonnées[[#This Row],[ModuleNumber]]</f>
        <v>945</v>
      </c>
      <c r="P3723" t="str">
        <f>CompilDonnées[[#This Row],[Ref_Module]]&amp;CompilDonnées[[#This Row],[HarvestingDate]]</f>
        <v>94545880</v>
      </c>
    </row>
    <row r="3724" spans="1:16">
      <c r="A3724" s="5">
        <v>45844</v>
      </c>
      <c r="B3724">
        <v>101</v>
      </c>
      <c r="C3724" t="s">
        <v>54</v>
      </c>
      <c r="D3724">
        <v>5</v>
      </c>
      <c r="E3724">
        <v>100</v>
      </c>
      <c r="F3724" t="s">
        <v>1</v>
      </c>
      <c r="G3724" s="6">
        <v>45891</v>
      </c>
      <c r="H3724">
        <v>47</v>
      </c>
      <c r="I3724">
        <f>ROUND(CompilDonnées[[#This Row],[CultureDuration_days]]/7,0)</f>
        <v>7</v>
      </c>
      <c r="J3724">
        <v>4400</v>
      </c>
      <c r="K3724" t="str">
        <f>_xlfn.CONCAT(WEEKNUM(CompilDonnées[[#This Row],[PlantationDate]]), " ", YEAR(CompilDonnées[[#This Row],[PlantationDate]]))</f>
        <v>28 2025</v>
      </c>
      <c r="L3724" t="str">
        <f>CONCATENATE(MONTH(CompilDonnées[[#This Row],[PlantationDate]])," ", YEAR(CompilDonnées[[#This Row],[PlantationDate]]))</f>
        <v>7 2025</v>
      </c>
      <c r="M3724" t="str">
        <f>CONCATENATE(MONTH(CompilDonnées[[#This Row],[HarvestingDate]])," ", YEAR(CompilDonnées[[#This Row],[HarvestingDate]]))</f>
        <v>8 2025</v>
      </c>
      <c r="N3724">
        <f>_xlfn.NUMBERVALUE(CompilDonnées[[#This Row],[FarmID]]&amp;CompilDonnées[[#This Row],[ModuleNumber]]&amp;CompilDonnées[[#This Row],[PlantationDate]])</f>
        <v>101545844</v>
      </c>
      <c r="O3724" t="str">
        <f>CompilDonnées[[#This Row],[FarmID]]&amp;CompilDonnées[[#This Row],[ModuleNumber]]</f>
        <v>1015</v>
      </c>
      <c r="P3724" t="str">
        <f>CompilDonnées[[#This Row],[Ref_Module]]&amp;CompilDonnées[[#This Row],[HarvestingDate]]</f>
        <v>101545891</v>
      </c>
    </row>
    <row r="3725" spans="1:16">
      <c r="A3725" s="5">
        <v>45844</v>
      </c>
      <c r="B3725">
        <v>101</v>
      </c>
      <c r="C3725" t="s">
        <v>54</v>
      </c>
      <c r="D3725">
        <v>6</v>
      </c>
      <c r="E3725">
        <v>100</v>
      </c>
      <c r="F3725" t="s">
        <v>1</v>
      </c>
      <c r="G3725" s="6">
        <v>45891</v>
      </c>
      <c r="H3725">
        <v>47</v>
      </c>
      <c r="I3725">
        <f>ROUND(CompilDonnées[[#This Row],[CultureDuration_days]]/7,0)</f>
        <v>7</v>
      </c>
      <c r="J3725">
        <v>4496</v>
      </c>
      <c r="K3725" t="str">
        <f>_xlfn.CONCAT(WEEKNUM(CompilDonnées[[#This Row],[PlantationDate]]), " ", YEAR(CompilDonnées[[#This Row],[PlantationDate]]))</f>
        <v>28 2025</v>
      </c>
      <c r="L3725" t="str">
        <f>CONCATENATE(MONTH(CompilDonnées[[#This Row],[PlantationDate]])," ", YEAR(CompilDonnées[[#This Row],[PlantationDate]]))</f>
        <v>7 2025</v>
      </c>
      <c r="M3725" t="str">
        <f>CONCATENATE(MONTH(CompilDonnées[[#This Row],[HarvestingDate]])," ", YEAR(CompilDonnées[[#This Row],[HarvestingDate]]))</f>
        <v>8 2025</v>
      </c>
      <c r="N3725">
        <f>_xlfn.NUMBERVALUE(CompilDonnées[[#This Row],[FarmID]]&amp;CompilDonnées[[#This Row],[ModuleNumber]]&amp;CompilDonnées[[#This Row],[PlantationDate]])</f>
        <v>101645844</v>
      </c>
      <c r="O3725" t="str">
        <f>CompilDonnées[[#This Row],[FarmID]]&amp;CompilDonnées[[#This Row],[ModuleNumber]]</f>
        <v>1016</v>
      </c>
      <c r="P3725" t="str">
        <f>CompilDonnées[[#This Row],[Ref_Module]]&amp;CompilDonnées[[#This Row],[HarvestingDate]]</f>
        <v>101645891</v>
      </c>
    </row>
    <row r="3726" spans="1:16">
      <c r="A3726" s="5">
        <v>45844</v>
      </c>
      <c r="B3726">
        <v>100</v>
      </c>
      <c r="C3726" t="s">
        <v>84</v>
      </c>
      <c r="D3726">
        <v>1</v>
      </c>
      <c r="E3726">
        <v>100</v>
      </c>
      <c r="F3726" t="s">
        <v>1</v>
      </c>
      <c r="G3726" s="6">
        <v>45880</v>
      </c>
      <c r="H3726">
        <v>36</v>
      </c>
      <c r="I3726">
        <f>ROUND(CompilDonnées[[#This Row],[CultureDuration_days]]/7,0)</f>
        <v>5</v>
      </c>
      <c r="J3726">
        <v>3058</v>
      </c>
      <c r="K3726" t="str">
        <f>_xlfn.CONCAT(WEEKNUM(CompilDonnées[[#This Row],[PlantationDate]]), " ", YEAR(CompilDonnées[[#This Row],[PlantationDate]]))</f>
        <v>28 2025</v>
      </c>
      <c r="L3726" t="str">
        <f>CONCATENATE(MONTH(CompilDonnées[[#This Row],[PlantationDate]])," ", YEAR(CompilDonnées[[#This Row],[PlantationDate]]))</f>
        <v>7 2025</v>
      </c>
      <c r="M3726" t="str">
        <f>CONCATENATE(MONTH(CompilDonnées[[#This Row],[HarvestingDate]])," ", YEAR(CompilDonnées[[#This Row],[HarvestingDate]]))</f>
        <v>8 2025</v>
      </c>
      <c r="N3726">
        <f>_xlfn.NUMBERVALUE(CompilDonnées[[#This Row],[FarmID]]&amp;CompilDonnées[[#This Row],[ModuleNumber]]&amp;CompilDonnées[[#This Row],[PlantationDate]])</f>
        <v>100145844</v>
      </c>
      <c r="O3726" t="str">
        <f>CompilDonnées[[#This Row],[FarmID]]&amp;CompilDonnées[[#This Row],[ModuleNumber]]</f>
        <v>1001</v>
      </c>
      <c r="P3726" t="str">
        <f>CompilDonnées[[#This Row],[Ref_Module]]&amp;CompilDonnées[[#This Row],[HarvestingDate]]</f>
        <v>100145880</v>
      </c>
    </row>
    <row r="3727" spans="1:16">
      <c r="A3727" s="5">
        <v>45844</v>
      </c>
      <c r="B3727">
        <v>108</v>
      </c>
      <c r="C3727" t="s">
        <v>58</v>
      </c>
      <c r="D3727">
        <v>5</v>
      </c>
      <c r="E3727">
        <v>100</v>
      </c>
      <c r="F3727" t="s">
        <v>1</v>
      </c>
      <c r="G3727" s="6">
        <v>45891</v>
      </c>
      <c r="H3727">
        <v>47</v>
      </c>
      <c r="I3727">
        <f>ROUND(CompilDonnées[[#This Row],[CultureDuration_days]]/7,0)</f>
        <v>7</v>
      </c>
      <c r="J3727">
        <v>3091</v>
      </c>
      <c r="K3727" t="str">
        <f>_xlfn.CONCAT(WEEKNUM(CompilDonnées[[#This Row],[PlantationDate]]), " ", YEAR(CompilDonnées[[#This Row],[PlantationDate]]))</f>
        <v>28 2025</v>
      </c>
      <c r="L3727" t="str">
        <f>CONCATENATE(MONTH(CompilDonnées[[#This Row],[PlantationDate]])," ", YEAR(CompilDonnées[[#This Row],[PlantationDate]]))</f>
        <v>7 2025</v>
      </c>
      <c r="M3727" t="str">
        <f>CONCATENATE(MONTH(CompilDonnées[[#This Row],[HarvestingDate]])," ", YEAR(CompilDonnées[[#This Row],[HarvestingDate]]))</f>
        <v>8 2025</v>
      </c>
      <c r="N3727">
        <f>_xlfn.NUMBERVALUE(CompilDonnées[[#This Row],[FarmID]]&amp;CompilDonnées[[#This Row],[ModuleNumber]]&amp;CompilDonnées[[#This Row],[PlantationDate]])</f>
        <v>108545844</v>
      </c>
      <c r="O3727" t="str">
        <f>CompilDonnées[[#This Row],[FarmID]]&amp;CompilDonnées[[#This Row],[ModuleNumber]]</f>
        <v>1085</v>
      </c>
      <c r="P3727" t="str">
        <f>CompilDonnées[[#This Row],[Ref_Module]]&amp;CompilDonnées[[#This Row],[HarvestingDate]]</f>
        <v>108545891</v>
      </c>
    </row>
    <row r="3728" spans="1:16">
      <c r="A3728" s="5">
        <v>45844</v>
      </c>
      <c r="B3728">
        <v>106</v>
      </c>
      <c r="C3728" t="s">
        <v>22</v>
      </c>
      <c r="D3728">
        <v>4</v>
      </c>
      <c r="E3728">
        <v>100</v>
      </c>
      <c r="F3728" t="s">
        <v>1</v>
      </c>
      <c r="G3728" s="6">
        <v>45894</v>
      </c>
      <c r="H3728">
        <v>50</v>
      </c>
      <c r="I3728">
        <f>ROUND(CompilDonnées[[#This Row],[CultureDuration_days]]/7,0)</f>
        <v>7</v>
      </c>
      <c r="J3728">
        <v>3158</v>
      </c>
      <c r="K3728" t="str">
        <f>_xlfn.CONCAT(WEEKNUM(CompilDonnées[[#This Row],[PlantationDate]]), " ", YEAR(CompilDonnées[[#This Row],[PlantationDate]]))</f>
        <v>28 2025</v>
      </c>
      <c r="L3728" t="str">
        <f>CONCATENATE(MONTH(CompilDonnées[[#This Row],[PlantationDate]])," ", YEAR(CompilDonnées[[#This Row],[PlantationDate]]))</f>
        <v>7 2025</v>
      </c>
      <c r="M3728" t="str">
        <f>CONCATENATE(MONTH(CompilDonnées[[#This Row],[HarvestingDate]])," ", YEAR(CompilDonnées[[#This Row],[HarvestingDate]]))</f>
        <v>8 2025</v>
      </c>
      <c r="N3728">
        <f>_xlfn.NUMBERVALUE(CompilDonnées[[#This Row],[FarmID]]&amp;CompilDonnées[[#This Row],[ModuleNumber]]&amp;CompilDonnées[[#This Row],[PlantationDate]])</f>
        <v>106445844</v>
      </c>
      <c r="O3728" t="str">
        <f>CompilDonnées[[#This Row],[FarmID]]&amp;CompilDonnées[[#This Row],[ModuleNumber]]</f>
        <v>1064</v>
      </c>
      <c r="P3728" t="str">
        <f>CompilDonnées[[#This Row],[Ref_Module]]&amp;CompilDonnées[[#This Row],[HarvestingDate]]</f>
        <v>106445894</v>
      </c>
    </row>
    <row r="3729" spans="1:16">
      <c r="A3729" s="5">
        <v>45844</v>
      </c>
      <c r="B3729">
        <v>97</v>
      </c>
      <c r="C3729" t="s">
        <v>78</v>
      </c>
      <c r="D3729">
        <v>2</v>
      </c>
      <c r="E3729">
        <v>100</v>
      </c>
      <c r="F3729" t="s">
        <v>1</v>
      </c>
      <c r="G3729" s="6">
        <v>45891</v>
      </c>
      <c r="H3729">
        <v>47</v>
      </c>
      <c r="I3729">
        <f>ROUND(CompilDonnées[[#This Row],[CultureDuration_days]]/7,0)</f>
        <v>7</v>
      </c>
      <c r="J3729">
        <v>2580</v>
      </c>
      <c r="K3729" t="str">
        <f>_xlfn.CONCAT(WEEKNUM(CompilDonnées[[#This Row],[PlantationDate]]), " ", YEAR(CompilDonnées[[#This Row],[PlantationDate]]))</f>
        <v>28 2025</v>
      </c>
      <c r="L3729" t="str">
        <f>CONCATENATE(MONTH(CompilDonnées[[#This Row],[PlantationDate]])," ", YEAR(CompilDonnées[[#This Row],[PlantationDate]]))</f>
        <v>7 2025</v>
      </c>
      <c r="M3729" t="str">
        <f>CONCATENATE(MONTH(CompilDonnées[[#This Row],[HarvestingDate]])," ", YEAR(CompilDonnées[[#This Row],[HarvestingDate]]))</f>
        <v>8 2025</v>
      </c>
      <c r="N3729">
        <f>_xlfn.NUMBERVALUE(CompilDonnées[[#This Row],[FarmID]]&amp;CompilDonnées[[#This Row],[ModuleNumber]]&amp;CompilDonnées[[#This Row],[PlantationDate]])</f>
        <v>97245844</v>
      </c>
      <c r="O3729" t="str">
        <f>CompilDonnées[[#This Row],[FarmID]]&amp;CompilDonnées[[#This Row],[ModuleNumber]]</f>
        <v>972</v>
      </c>
      <c r="P3729" t="str">
        <f>CompilDonnées[[#This Row],[Ref_Module]]&amp;CompilDonnées[[#This Row],[HarvestingDate]]</f>
        <v>97245891</v>
      </c>
    </row>
    <row r="3730" spans="1:16">
      <c r="A3730" s="5">
        <v>45844</v>
      </c>
      <c r="B3730">
        <v>90</v>
      </c>
      <c r="C3730" t="s">
        <v>72</v>
      </c>
      <c r="D3730">
        <v>6</v>
      </c>
      <c r="E3730">
        <v>100</v>
      </c>
      <c r="F3730" t="s">
        <v>1</v>
      </c>
      <c r="G3730" s="6">
        <v>45880</v>
      </c>
      <c r="H3730">
        <v>36</v>
      </c>
      <c r="I3730">
        <f>ROUND(CompilDonnées[[#This Row],[CultureDuration_days]]/7,0)</f>
        <v>5</v>
      </c>
      <c r="J3730">
        <v>2443</v>
      </c>
      <c r="K3730" t="str">
        <f>_xlfn.CONCAT(WEEKNUM(CompilDonnées[[#This Row],[PlantationDate]]), " ", YEAR(CompilDonnées[[#This Row],[PlantationDate]]))</f>
        <v>28 2025</v>
      </c>
      <c r="L3730" t="str">
        <f>CONCATENATE(MONTH(CompilDonnées[[#This Row],[PlantationDate]])," ", YEAR(CompilDonnées[[#This Row],[PlantationDate]]))</f>
        <v>7 2025</v>
      </c>
      <c r="M3730" t="str">
        <f>CONCATENATE(MONTH(CompilDonnées[[#This Row],[HarvestingDate]])," ", YEAR(CompilDonnées[[#This Row],[HarvestingDate]]))</f>
        <v>8 2025</v>
      </c>
      <c r="N3730">
        <f>_xlfn.NUMBERVALUE(CompilDonnées[[#This Row],[FarmID]]&amp;CompilDonnées[[#This Row],[ModuleNumber]]&amp;CompilDonnées[[#This Row],[PlantationDate]])</f>
        <v>90645844</v>
      </c>
      <c r="O3730" t="str">
        <f>CompilDonnées[[#This Row],[FarmID]]&amp;CompilDonnées[[#This Row],[ModuleNumber]]</f>
        <v>906</v>
      </c>
      <c r="P3730" t="str">
        <f>CompilDonnées[[#This Row],[Ref_Module]]&amp;CompilDonnées[[#This Row],[HarvestingDate]]</f>
        <v>90645880</v>
      </c>
    </row>
    <row r="3731" spans="1:16">
      <c r="A3731" s="5">
        <v>45844</v>
      </c>
      <c r="B3731">
        <v>7</v>
      </c>
      <c r="C3731" t="s">
        <v>50</v>
      </c>
      <c r="D3731">
        <v>5</v>
      </c>
      <c r="E3731">
        <v>100</v>
      </c>
      <c r="F3731" t="s">
        <v>1</v>
      </c>
      <c r="G3731" s="6">
        <v>45887</v>
      </c>
      <c r="H3731">
        <v>43</v>
      </c>
      <c r="I3731">
        <f>ROUND(CompilDonnées[[#This Row],[CultureDuration_days]]/7,0)</f>
        <v>6</v>
      </c>
      <c r="J3731">
        <v>2728</v>
      </c>
      <c r="K3731" t="str">
        <f>_xlfn.CONCAT(WEEKNUM(CompilDonnées[[#This Row],[PlantationDate]]), " ", YEAR(CompilDonnées[[#This Row],[PlantationDate]]))</f>
        <v>28 2025</v>
      </c>
      <c r="L3731" t="str">
        <f>CONCATENATE(MONTH(CompilDonnées[[#This Row],[PlantationDate]])," ", YEAR(CompilDonnées[[#This Row],[PlantationDate]]))</f>
        <v>7 2025</v>
      </c>
      <c r="M3731" t="str">
        <f>CONCATENATE(MONTH(CompilDonnées[[#This Row],[HarvestingDate]])," ", YEAR(CompilDonnées[[#This Row],[HarvestingDate]]))</f>
        <v>8 2025</v>
      </c>
      <c r="N3731">
        <f>_xlfn.NUMBERVALUE(CompilDonnées[[#This Row],[FarmID]]&amp;CompilDonnées[[#This Row],[ModuleNumber]]&amp;CompilDonnées[[#This Row],[PlantationDate]])</f>
        <v>7545844</v>
      </c>
      <c r="O3731" t="str">
        <f>CompilDonnées[[#This Row],[FarmID]]&amp;CompilDonnées[[#This Row],[ModuleNumber]]</f>
        <v>75</v>
      </c>
      <c r="P3731" t="str">
        <f>CompilDonnées[[#This Row],[Ref_Module]]&amp;CompilDonnées[[#This Row],[HarvestingDate]]</f>
        <v>7545887</v>
      </c>
    </row>
    <row r="3732" spans="1:16">
      <c r="A3732" s="5">
        <v>45844</v>
      </c>
      <c r="B3732">
        <v>8</v>
      </c>
      <c r="C3732" t="s">
        <v>57</v>
      </c>
      <c r="D3732">
        <v>6</v>
      </c>
      <c r="E3732">
        <v>100</v>
      </c>
      <c r="F3732" t="s">
        <v>1</v>
      </c>
      <c r="G3732" s="6">
        <v>45887</v>
      </c>
      <c r="H3732">
        <v>43</v>
      </c>
      <c r="I3732">
        <f>ROUND(CompilDonnées[[#This Row],[CultureDuration_days]]/7,0)</f>
        <v>6</v>
      </c>
      <c r="J3732">
        <v>2509</v>
      </c>
      <c r="K3732" t="str">
        <f>_xlfn.CONCAT(WEEKNUM(CompilDonnées[[#This Row],[PlantationDate]]), " ", YEAR(CompilDonnées[[#This Row],[PlantationDate]]))</f>
        <v>28 2025</v>
      </c>
      <c r="L3732" t="str">
        <f>CONCATENATE(MONTH(CompilDonnées[[#This Row],[PlantationDate]])," ", YEAR(CompilDonnées[[#This Row],[PlantationDate]]))</f>
        <v>7 2025</v>
      </c>
      <c r="M3732" t="str">
        <f>CONCATENATE(MONTH(CompilDonnées[[#This Row],[HarvestingDate]])," ", YEAR(CompilDonnées[[#This Row],[HarvestingDate]]))</f>
        <v>8 2025</v>
      </c>
      <c r="N3732">
        <f>_xlfn.NUMBERVALUE(CompilDonnées[[#This Row],[FarmID]]&amp;CompilDonnées[[#This Row],[ModuleNumber]]&amp;CompilDonnées[[#This Row],[PlantationDate]])</f>
        <v>8645844</v>
      </c>
      <c r="O3732" t="str">
        <f>CompilDonnées[[#This Row],[FarmID]]&amp;CompilDonnées[[#This Row],[ModuleNumber]]</f>
        <v>86</v>
      </c>
      <c r="P3732" t="str">
        <f>CompilDonnées[[#This Row],[Ref_Module]]&amp;CompilDonnées[[#This Row],[HarvestingDate]]</f>
        <v>8645887</v>
      </c>
    </row>
    <row r="3733" spans="1:16">
      <c r="A3733" s="5">
        <v>45844</v>
      </c>
      <c r="B3733">
        <v>14</v>
      </c>
      <c r="C3733" t="s">
        <v>82</v>
      </c>
      <c r="D3733">
        <v>3</v>
      </c>
      <c r="E3733">
        <v>100</v>
      </c>
      <c r="F3733" t="s">
        <v>1</v>
      </c>
      <c r="G3733" s="6">
        <v>45887</v>
      </c>
      <c r="H3733">
        <v>43</v>
      </c>
      <c r="I3733">
        <f>ROUND(CompilDonnées[[#This Row],[CultureDuration_days]]/7,0)</f>
        <v>6</v>
      </c>
      <c r="J3733">
        <v>2711</v>
      </c>
      <c r="K3733" t="str">
        <f>_xlfn.CONCAT(WEEKNUM(CompilDonnées[[#This Row],[PlantationDate]]), " ", YEAR(CompilDonnées[[#This Row],[PlantationDate]]))</f>
        <v>28 2025</v>
      </c>
      <c r="L3733" t="str">
        <f>CONCATENATE(MONTH(CompilDonnées[[#This Row],[PlantationDate]])," ", YEAR(CompilDonnées[[#This Row],[PlantationDate]]))</f>
        <v>7 2025</v>
      </c>
      <c r="M3733" t="str">
        <f>CONCATENATE(MONTH(CompilDonnées[[#This Row],[HarvestingDate]])," ", YEAR(CompilDonnées[[#This Row],[HarvestingDate]]))</f>
        <v>8 2025</v>
      </c>
      <c r="N3733">
        <f>_xlfn.NUMBERVALUE(CompilDonnées[[#This Row],[FarmID]]&amp;CompilDonnées[[#This Row],[ModuleNumber]]&amp;CompilDonnées[[#This Row],[PlantationDate]])</f>
        <v>14345844</v>
      </c>
      <c r="O3733" t="str">
        <f>CompilDonnées[[#This Row],[FarmID]]&amp;CompilDonnées[[#This Row],[ModuleNumber]]</f>
        <v>143</v>
      </c>
      <c r="P3733" t="str">
        <f>CompilDonnées[[#This Row],[Ref_Module]]&amp;CompilDonnées[[#This Row],[HarvestingDate]]</f>
        <v>14345887</v>
      </c>
    </row>
    <row r="3734" spans="1:16">
      <c r="A3734" s="5">
        <v>45844</v>
      </c>
      <c r="B3734">
        <v>46</v>
      </c>
      <c r="C3734" t="s">
        <v>8</v>
      </c>
      <c r="D3734">
        <v>3</v>
      </c>
      <c r="E3734">
        <v>100</v>
      </c>
      <c r="F3734" t="s">
        <v>1</v>
      </c>
      <c r="G3734" s="6">
        <v>45882</v>
      </c>
      <c r="H3734">
        <v>38</v>
      </c>
      <c r="I3734">
        <f>ROUND(CompilDonnées[[#This Row],[CultureDuration_days]]/7,0)</f>
        <v>5</v>
      </c>
      <c r="J3734">
        <v>2846</v>
      </c>
      <c r="K3734" t="str">
        <f>_xlfn.CONCAT(WEEKNUM(CompilDonnées[[#This Row],[PlantationDate]]), " ", YEAR(CompilDonnées[[#This Row],[PlantationDate]]))</f>
        <v>28 2025</v>
      </c>
      <c r="L3734" t="str">
        <f>CONCATENATE(MONTH(CompilDonnées[[#This Row],[PlantationDate]])," ", YEAR(CompilDonnées[[#This Row],[PlantationDate]]))</f>
        <v>7 2025</v>
      </c>
      <c r="M3734" t="str">
        <f>CONCATENATE(MONTH(CompilDonnées[[#This Row],[HarvestingDate]])," ", YEAR(CompilDonnées[[#This Row],[HarvestingDate]]))</f>
        <v>8 2025</v>
      </c>
      <c r="N3734">
        <f>_xlfn.NUMBERVALUE(CompilDonnées[[#This Row],[FarmID]]&amp;CompilDonnées[[#This Row],[ModuleNumber]]&amp;CompilDonnées[[#This Row],[PlantationDate]])</f>
        <v>46345844</v>
      </c>
      <c r="O3734" t="str">
        <f>CompilDonnées[[#This Row],[FarmID]]&amp;CompilDonnées[[#This Row],[ModuleNumber]]</f>
        <v>463</v>
      </c>
      <c r="P3734" t="str">
        <f>CompilDonnées[[#This Row],[Ref_Module]]&amp;CompilDonnées[[#This Row],[HarvestingDate]]</f>
        <v>46345882</v>
      </c>
    </row>
    <row r="3735" spans="1:16">
      <c r="A3735" s="5">
        <v>45844</v>
      </c>
      <c r="B3735">
        <v>61</v>
      </c>
      <c r="C3735" t="s">
        <v>95</v>
      </c>
      <c r="D3735">
        <v>2</v>
      </c>
      <c r="E3735">
        <v>100</v>
      </c>
      <c r="F3735" t="s">
        <v>1</v>
      </c>
      <c r="G3735" s="6">
        <v>45881</v>
      </c>
      <c r="H3735">
        <v>37</v>
      </c>
      <c r="I3735">
        <f>ROUND(CompilDonnées[[#This Row],[CultureDuration_days]]/7,0)</f>
        <v>5</v>
      </c>
      <c r="J3735">
        <v>1773</v>
      </c>
      <c r="K3735" t="str">
        <f>_xlfn.CONCAT(WEEKNUM(CompilDonnées[[#This Row],[PlantationDate]]), " ", YEAR(CompilDonnées[[#This Row],[PlantationDate]]))</f>
        <v>28 2025</v>
      </c>
      <c r="L3735" t="str">
        <f>CONCATENATE(MONTH(CompilDonnées[[#This Row],[PlantationDate]])," ", YEAR(CompilDonnées[[#This Row],[PlantationDate]]))</f>
        <v>7 2025</v>
      </c>
      <c r="M3735" t="str">
        <f>CONCATENATE(MONTH(CompilDonnées[[#This Row],[HarvestingDate]])," ", YEAR(CompilDonnées[[#This Row],[HarvestingDate]]))</f>
        <v>8 2025</v>
      </c>
      <c r="N3735">
        <f>_xlfn.NUMBERVALUE(CompilDonnées[[#This Row],[FarmID]]&amp;CompilDonnées[[#This Row],[ModuleNumber]]&amp;CompilDonnées[[#This Row],[PlantationDate]])</f>
        <v>61245844</v>
      </c>
      <c r="O3735" t="str">
        <f>CompilDonnées[[#This Row],[FarmID]]&amp;CompilDonnées[[#This Row],[ModuleNumber]]</f>
        <v>612</v>
      </c>
      <c r="P3735" t="str">
        <f>CompilDonnées[[#This Row],[Ref_Module]]&amp;CompilDonnées[[#This Row],[HarvestingDate]]</f>
        <v>61245881</v>
      </c>
    </row>
    <row r="3736" spans="1:16">
      <c r="A3736" s="5">
        <v>45844</v>
      </c>
      <c r="B3736">
        <v>63</v>
      </c>
      <c r="C3736" t="s">
        <v>98</v>
      </c>
      <c r="D3736">
        <v>2</v>
      </c>
      <c r="E3736">
        <v>100</v>
      </c>
      <c r="F3736" t="s">
        <v>1</v>
      </c>
      <c r="G3736" s="6">
        <v>45868</v>
      </c>
      <c r="H3736">
        <v>24</v>
      </c>
      <c r="I3736">
        <f>ROUND(CompilDonnées[[#This Row],[CultureDuration_days]]/7,0)</f>
        <v>3</v>
      </c>
      <c r="J3736">
        <v>1204</v>
      </c>
      <c r="K3736" t="str">
        <f>_xlfn.CONCAT(WEEKNUM(CompilDonnées[[#This Row],[PlantationDate]]), " ", YEAR(CompilDonnées[[#This Row],[PlantationDate]]))</f>
        <v>28 2025</v>
      </c>
      <c r="L3736" t="str">
        <f>CONCATENATE(MONTH(CompilDonnées[[#This Row],[PlantationDate]])," ", YEAR(CompilDonnées[[#This Row],[PlantationDate]]))</f>
        <v>7 2025</v>
      </c>
      <c r="M3736" t="str">
        <f>CONCATENATE(MONTH(CompilDonnées[[#This Row],[HarvestingDate]])," ", YEAR(CompilDonnées[[#This Row],[HarvestingDate]]))</f>
        <v>7 2025</v>
      </c>
      <c r="N3736">
        <f>_xlfn.NUMBERVALUE(CompilDonnées[[#This Row],[FarmID]]&amp;CompilDonnées[[#This Row],[ModuleNumber]]&amp;CompilDonnées[[#This Row],[PlantationDate]])</f>
        <v>63245844</v>
      </c>
      <c r="O3736" t="str">
        <f>CompilDonnées[[#This Row],[FarmID]]&amp;CompilDonnées[[#This Row],[ModuleNumber]]</f>
        <v>632</v>
      </c>
      <c r="P3736" t="str">
        <f>CompilDonnées[[#This Row],[Ref_Module]]&amp;CompilDonnées[[#This Row],[HarvestingDate]]</f>
        <v>63245868</v>
      </c>
    </row>
    <row r="3737" spans="1:16">
      <c r="A3737" s="5">
        <v>45844</v>
      </c>
      <c r="B3737">
        <v>62</v>
      </c>
      <c r="C3737" t="s">
        <v>124</v>
      </c>
      <c r="D3737">
        <v>2</v>
      </c>
      <c r="E3737">
        <v>100</v>
      </c>
      <c r="F3737" t="s">
        <v>1</v>
      </c>
      <c r="G3737" s="6">
        <v>45881</v>
      </c>
      <c r="H3737">
        <v>37</v>
      </c>
      <c r="I3737">
        <f>ROUND(CompilDonnées[[#This Row],[CultureDuration_days]]/7,0)</f>
        <v>5</v>
      </c>
      <c r="J3737">
        <v>2194</v>
      </c>
      <c r="K3737" t="str">
        <f>_xlfn.CONCAT(WEEKNUM(CompilDonnées[[#This Row],[PlantationDate]]), " ", YEAR(CompilDonnées[[#This Row],[PlantationDate]]))</f>
        <v>28 2025</v>
      </c>
      <c r="L3737" t="str">
        <f>CONCATENATE(MONTH(CompilDonnées[[#This Row],[PlantationDate]])," ", YEAR(CompilDonnées[[#This Row],[PlantationDate]]))</f>
        <v>7 2025</v>
      </c>
      <c r="M3737" t="str">
        <f>CONCATENATE(MONTH(CompilDonnées[[#This Row],[HarvestingDate]])," ", YEAR(CompilDonnées[[#This Row],[HarvestingDate]]))</f>
        <v>8 2025</v>
      </c>
      <c r="N3737">
        <f>_xlfn.NUMBERVALUE(CompilDonnées[[#This Row],[FarmID]]&amp;CompilDonnées[[#This Row],[ModuleNumber]]&amp;CompilDonnées[[#This Row],[PlantationDate]])</f>
        <v>62245844</v>
      </c>
      <c r="O3737" t="str">
        <f>CompilDonnées[[#This Row],[FarmID]]&amp;CompilDonnées[[#This Row],[ModuleNumber]]</f>
        <v>622</v>
      </c>
      <c r="P3737" t="str">
        <f>CompilDonnées[[#This Row],[Ref_Module]]&amp;CompilDonnées[[#This Row],[HarvestingDate]]</f>
        <v>62245881</v>
      </c>
    </row>
    <row r="3738" spans="1:16">
      <c r="A3738" s="5">
        <v>45844</v>
      </c>
      <c r="B3738">
        <v>60</v>
      </c>
      <c r="C3738" t="s">
        <v>113</v>
      </c>
      <c r="D3738">
        <v>3</v>
      </c>
      <c r="E3738">
        <v>100</v>
      </c>
      <c r="F3738" t="s">
        <v>1</v>
      </c>
      <c r="G3738" s="6">
        <v>45890</v>
      </c>
      <c r="H3738">
        <v>46</v>
      </c>
      <c r="I3738">
        <f>ROUND(CompilDonnées[[#This Row],[CultureDuration_days]]/7,0)</f>
        <v>7</v>
      </c>
      <c r="J3738">
        <v>2476</v>
      </c>
      <c r="K3738" t="str">
        <f>_xlfn.CONCAT(WEEKNUM(CompilDonnées[[#This Row],[PlantationDate]]), " ", YEAR(CompilDonnées[[#This Row],[PlantationDate]]))</f>
        <v>28 2025</v>
      </c>
      <c r="L3738" t="str">
        <f>CONCATENATE(MONTH(CompilDonnées[[#This Row],[PlantationDate]])," ", YEAR(CompilDonnées[[#This Row],[PlantationDate]]))</f>
        <v>7 2025</v>
      </c>
      <c r="M3738" t="str">
        <f>CONCATENATE(MONTH(CompilDonnées[[#This Row],[HarvestingDate]])," ", YEAR(CompilDonnées[[#This Row],[HarvestingDate]]))</f>
        <v>8 2025</v>
      </c>
      <c r="N3738">
        <f>_xlfn.NUMBERVALUE(CompilDonnées[[#This Row],[FarmID]]&amp;CompilDonnées[[#This Row],[ModuleNumber]]&amp;CompilDonnées[[#This Row],[PlantationDate]])</f>
        <v>60345844</v>
      </c>
      <c r="O3738" t="str">
        <f>CompilDonnées[[#This Row],[FarmID]]&amp;CompilDonnées[[#This Row],[ModuleNumber]]</f>
        <v>603</v>
      </c>
      <c r="P3738" t="str">
        <f>CompilDonnées[[#This Row],[Ref_Module]]&amp;CompilDonnées[[#This Row],[HarvestingDate]]</f>
        <v>60345890</v>
      </c>
    </row>
    <row r="3739" spans="1:16">
      <c r="A3739" s="5">
        <v>45844</v>
      </c>
      <c r="B3739">
        <v>70</v>
      </c>
      <c r="C3739" t="s">
        <v>7</v>
      </c>
      <c r="D3739">
        <v>1</v>
      </c>
      <c r="E3739">
        <v>100</v>
      </c>
      <c r="F3739" t="s">
        <v>1</v>
      </c>
      <c r="G3739" s="6">
        <v>45881</v>
      </c>
      <c r="H3739">
        <v>37</v>
      </c>
      <c r="I3739">
        <f>ROUND(CompilDonnées[[#This Row],[CultureDuration_days]]/7,0)</f>
        <v>5</v>
      </c>
      <c r="J3739">
        <v>2321</v>
      </c>
      <c r="K3739" t="str">
        <f>_xlfn.CONCAT(WEEKNUM(CompilDonnées[[#This Row],[PlantationDate]]), " ", YEAR(CompilDonnées[[#This Row],[PlantationDate]]))</f>
        <v>28 2025</v>
      </c>
      <c r="L3739" t="str">
        <f>CONCATENATE(MONTH(CompilDonnées[[#This Row],[PlantationDate]])," ", YEAR(CompilDonnées[[#This Row],[PlantationDate]]))</f>
        <v>7 2025</v>
      </c>
      <c r="M3739" t="str">
        <f>CONCATENATE(MONTH(CompilDonnées[[#This Row],[HarvestingDate]])," ", YEAR(CompilDonnées[[#This Row],[HarvestingDate]]))</f>
        <v>8 2025</v>
      </c>
      <c r="N3739">
        <f>_xlfn.NUMBERVALUE(CompilDonnées[[#This Row],[FarmID]]&amp;CompilDonnées[[#This Row],[ModuleNumber]]&amp;CompilDonnées[[#This Row],[PlantationDate]])</f>
        <v>70145844</v>
      </c>
      <c r="O3739" t="str">
        <f>CompilDonnées[[#This Row],[FarmID]]&amp;CompilDonnées[[#This Row],[ModuleNumber]]</f>
        <v>701</v>
      </c>
      <c r="P3739" t="str">
        <f>CompilDonnées[[#This Row],[Ref_Module]]&amp;CompilDonnées[[#This Row],[HarvestingDate]]</f>
        <v>70145881</v>
      </c>
    </row>
    <row r="3740" spans="1:16">
      <c r="A3740" s="5">
        <v>45844</v>
      </c>
      <c r="B3740">
        <v>69</v>
      </c>
      <c r="C3740" t="s">
        <v>102</v>
      </c>
      <c r="D3740">
        <v>3</v>
      </c>
      <c r="E3740">
        <v>100</v>
      </c>
      <c r="F3740" t="s">
        <v>1</v>
      </c>
      <c r="G3740" s="6">
        <v>45896</v>
      </c>
      <c r="H3740">
        <v>52</v>
      </c>
      <c r="I3740">
        <f>ROUND(CompilDonnées[[#This Row],[CultureDuration_days]]/7,0)</f>
        <v>7</v>
      </c>
      <c r="J3740">
        <v>2028</v>
      </c>
      <c r="K3740" t="str">
        <f>_xlfn.CONCAT(WEEKNUM(CompilDonnées[[#This Row],[PlantationDate]]), " ", YEAR(CompilDonnées[[#This Row],[PlantationDate]]))</f>
        <v>28 2025</v>
      </c>
      <c r="L3740" t="str">
        <f>CONCATENATE(MONTH(CompilDonnées[[#This Row],[PlantationDate]])," ", YEAR(CompilDonnées[[#This Row],[PlantationDate]]))</f>
        <v>7 2025</v>
      </c>
      <c r="M3740" t="str">
        <f>CONCATENATE(MONTH(CompilDonnées[[#This Row],[HarvestingDate]])," ", YEAR(CompilDonnées[[#This Row],[HarvestingDate]]))</f>
        <v>8 2025</v>
      </c>
      <c r="N3740">
        <f>_xlfn.NUMBERVALUE(CompilDonnées[[#This Row],[FarmID]]&amp;CompilDonnées[[#This Row],[ModuleNumber]]&amp;CompilDonnées[[#This Row],[PlantationDate]])</f>
        <v>69345844</v>
      </c>
      <c r="O3740" t="str">
        <f>CompilDonnées[[#This Row],[FarmID]]&amp;CompilDonnées[[#This Row],[ModuleNumber]]</f>
        <v>693</v>
      </c>
      <c r="P3740" t="str">
        <f>CompilDonnées[[#This Row],[Ref_Module]]&amp;CompilDonnées[[#This Row],[HarvestingDate]]</f>
        <v>69345896</v>
      </c>
    </row>
    <row r="3741" spans="1:16">
      <c r="A3741" s="5">
        <v>45844</v>
      </c>
      <c r="B3741">
        <v>53</v>
      </c>
      <c r="C3741" t="s">
        <v>83</v>
      </c>
      <c r="D3741">
        <v>1</v>
      </c>
      <c r="E3741">
        <v>100</v>
      </c>
      <c r="F3741" t="s">
        <v>1</v>
      </c>
      <c r="G3741" s="6">
        <v>45882</v>
      </c>
      <c r="H3741">
        <v>38</v>
      </c>
      <c r="I3741">
        <f>ROUND(CompilDonnées[[#This Row],[CultureDuration_days]]/7,0)</f>
        <v>5</v>
      </c>
      <c r="J3741">
        <v>2072</v>
      </c>
      <c r="K3741" t="str">
        <f>_xlfn.CONCAT(WEEKNUM(CompilDonnées[[#This Row],[PlantationDate]]), " ", YEAR(CompilDonnées[[#This Row],[PlantationDate]]))</f>
        <v>28 2025</v>
      </c>
      <c r="L3741" t="str">
        <f>CONCATENATE(MONTH(CompilDonnées[[#This Row],[PlantationDate]])," ", YEAR(CompilDonnées[[#This Row],[PlantationDate]]))</f>
        <v>7 2025</v>
      </c>
      <c r="M3741" t="str">
        <f>CONCATENATE(MONTH(CompilDonnées[[#This Row],[HarvestingDate]])," ", YEAR(CompilDonnées[[#This Row],[HarvestingDate]]))</f>
        <v>8 2025</v>
      </c>
      <c r="N3741">
        <f>_xlfn.NUMBERVALUE(CompilDonnées[[#This Row],[FarmID]]&amp;CompilDonnées[[#This Row],[ModuleNumber]]&amp;CompilDonnées[[#This Row],[PlantationDate]])</f>
        <v>53145844</v>
      </c>
      <c r="O3741" t="str">
        <f>CompilDonnées[[#This Row],[FarmID]]&amp;CompilDonnées[[#This Row],[ModuleNumber]]</f>
        <v>531</v>
      </c>
      <c r="P3741" t="str">
        <f>CompilDonnées[[#This Row],[Ref_Module]]&amp;CompilDonnées[[#This Row],[HarvestingDate]]</f>
        <v>53145882</v>
      </c>
    </row>
    <row r="3742" spans="1:16">
      <c r="A3742" s="5">
        <v>45844</v>
      </c>
      <c r="B3742">
        <v>44</v>
      </c>
      <c r="C3742" t="s">
        <v>42</v>
      </c>
      <c r="D3742">
        <v>2</v>
      </c>
      <c r="E3742">
        <v>100</v>
      </c>
      <c r="F3742" t="s">
        <v>1</v>
      </c>
      <c r="G3742" s="6">
        <v>45882</v>
      </c>
      <c r="H3742">
        <v>38</v>
      </c>
      <c r="I3742">
        <f>ROUND(CompilDonnées[[#This Row],[CultureDuration_days]]/7,0)</f>
        <v>5</v>
      </c>
      <c r="J3742">
        <v>2350</v>
      </c>
      <c r="K3742" t="str">
        <f>_xlfn.CONCAT(WEEKNUM(CompilDonnées[[#This Row],[PlantationDate]]), " ", YEAR(CompilDonnées[[#This Row],[PlantationDate]]))</f>
        <v>28 2025</v>
      </c>
      <c r="L3742" t="str">
        <f>CONCATENATE(MONTH(CompilDonnées[[#This Row],[PlantationDate]])," ", YEAR(CompilDonnées[[#This Row],[PlantationDate]]))</f>
        <v>7 2025</v>
      </c>
      <c r="M3742" t="str">
        <f>CONCATENATE(MONTH(CompilDonnées[[#This Row],[HarvestingDate]])," ", YEAR(CompilDonnées[[#This Row],[HarvestingDate]]))</f>
        <v>8 2025</v>
      </c>
      <c r="N3742">
        <f>_xlfn.NUMBERVALUE(CompilDonnées[[#This Row],[FarmID]]&amp;CompilDonnées[[#This Row],[ModuleNumber]]&amp;CompilDonnées[[#This Row],[PlantationDate]])</f>
        <v>44245844</v>
      </c>
      <c r="O3742" t="str">
        <f>CompilDonnées[[#This Row],[FarmID]]&amp;CompilDonnées[[#This Row],[ModuleNumber]]</f>
        <v>442</v>
      </c>
      <c r="P3742" t="str">
        <f>CompilDonnées[[#This Row],[Ref_Module]]&amp;CompilDonnées[[#This Row],[HarvestingDate]]</f>
        <v>44245882</v>
      </c>
    </row>
    <row r="3743" spans="1:16">
      <c r="A3743" s="5">
        <v>45844</v>
      </c>
      <c r="B3743">
        <v>74</v>
      </c>
      <c r="C3743" t="s">
        <v>21</v>
      </c>
      <c r="D3743">
        <v>2</v>
      </c>
      <c r="E3743">
        <v>100</v>
      </c>
      <c r="F3743" t="s">
        <v>1</v>
      </c>
      <c r="G3743" s="6">
        <v>45890</v>
      </c>
      <c r="H3743">
        <v>46</v>
      </c>
      <c r="I3743">
        <f>ROUND(CompilDonnées[[#This Row],[CultureDuration_days]]/7,0)</f>
        <v>7</v>
      </c>
      <c r="J3743">
        <v>2684</v>
      </c>
      <c r="K3743" t="str">
        <f>_xlfn.CONCAT(WEEKNUM(CompilDonnées[[#This Row],[PlantationDate]]), " ", YEAR(CompilDonnées[[#This Row],[PlantationDate]]))</f>
        <v>28 2025</v>
      </c>
      <c r="L3743" t="str">
        <f>CONCATENATE(MONTH(CompilDonnées[[#This Row],[PlantationDate]])," ", YEAR(CompilDonnées[[#This Row],[PlantationDate]]))</f>
        <v>7 2025</v>
      </c>
      <c r="M3743" t="str">
        <f>CONCATENATE(MONTH(CompilDonnées[[#This Row],[HarvestingDate]])," ", YEAR(CompilDonnées[[#This Row],[HarvestingDate]]))</f>
        <v>8 2025</v>
      </c>
      <c r="N3743">
        <f>_xlfn.NUMBERVALUE(CompilDonnées[[#This Row],[FarmID]]&amp;CompilDonnées[[#This Row],[ModuleNumber]]&amp;CompilDonnées[[#This Row],[PlantationDate]])</f>
        <v>74245844</v>
      </c>
      <c r="O3743" t="str">
        <f>CompilDonnées[[#This Row],[FarmID]]&amp;CompilDonnées[[#This Row],[ModuleNumber]]</f>
        <v>742</v>
      </c>
      <c r="P3743" t="str">
        <f>CompilDonnées[[#This Row],[Ref_Module]]&amp;CompilDonnées[[#This Row],[HarvestingDate]]</f>
        <v>74245890</v>
      </c>
    </row>
    <row r="3744" spans="1:16">
      <c r="A3744" s="5">
        <v>45844</v>
      </c>
      <c r="B3744">
        <v>81</v>
      </c>
      <c r="C3744" t="s">
        <v>30</v>
      </c>
      <c r="D3744">
        <v>4</v>
      </c>
      <c r="E3744">
        <v>100</v>
      </c>
      <c r="F3744" t="s">
        <v>1</v>
      </c>
      <c r="G3744" s="6">
        <v>45881</v>
      </c>
      <c r="H3744">
        <v>37</v>
      </c>
      <c r="I3744">
        <f>ROUND(CompilDonnées[[#This Row],[CultureDuration_days]]/7,0)</f>
        <v>5</v>
      </c>
      <c r="J3744">
        <v>4090</v>
      </c>
      <c r="K3744" t="str">
        <f>_xlfn.CONCAT(WEEKNUM(CompilDonnées[[#This Row],[PlantationDate]]), " ", YEAR(CompilDonnées[[#This Row],[PlantationDate]]))</f>
        <v>28 2025</v>
      </c>
      <c r="L3744" t="str">
        <f>CONCATENATE(MONTH(CompilDonnées[[#This Row],[PlantationDate]])," ", YEAR(CompilDonnées[[#This Row],[PlantationDate]]))</f>
        <v>7 2025</v>
      </c>
      <c r="M3744" t="str">
        <f>CONCATENATE(MONTH(CompilDonnées[[#This Row],[HarvestingDate]])," ", YEAR(CompilDonnées[[#This Row],[HarvestingDate]]))</f>
        <v>8 2025</v>
      </c>
      <c r="N3744">
        <f>_xlfn.NUMBERVALUE(CompilDonnées[[#This Row],[FarmID]]&amp;CompilDonnées[[#This Row],[ModuleNumber]]&amp;CompilDonnées[[#This Row],[PlantationDate]])</f>
        <v>81445844</v>
      </c>
      <c r="O3744" t="str">
        <f>CompilDonnées[[#This Row],[FarmID]]&amp;CompilDonnées[[#This Row],[ModuleNumber]]</f>
        <v>814</v>
      </c>
      <c r="P3744" t="str">
        <f>CompilDonnées[[#This Row],[Ref_Module]]&amp;CompilDonnées[[#This Row],[HarvestingDate]]</f>
        <v>81445881</v>
      </c>
    </row>
    <row r="3745" spans="1:16">
      <c r="A3745" s="5">
        <v>45844</v>
      </c>
      <c r="B3745">
        <v>82</v>
      </c>
      <c r="C3745" t="s">
        <v>17</v>
      </c>
      <c r="D3745">
        <v>1</v>
      </c>
      <c r="E3745">
        <v>100</v>
      </c>
      <c r="F3745" t="s">
        <v>1</v>
      </c>
      <c r="G3745" s="6">
        <v>45881</v>
      </c>
      <c r="H3745">
        <v>37</v>
      </c>
      <c r="I3745">
        <f>ROUND(CompilDonnées[[#This Row],[CultureDuration_days]]/7,0)</f>
        <v>5</v>
      </c>
      <c r="J3745">
        <v>3425</v>
      </c>
      <c r="K3745" t="str">
        <f>_xlfn.CONCAT(WEEKNUM(CompilDonnées[[#This Row],[PlantationDate]]), " ", YEAR(CompilDonnées[[#This Row],[PlantationDate]]))</f>
        <v>28 2025</v>
      </c>
      <c r="L3745" t="str">
        <f>CONCATENATE(MONTH(CompilDonnées[[#This Row],[PlantationDate]])," ", YEAR(CompilDonnées[[#This Row],[PlantationDate]]))</f>
        <v>7 2025</v>
      </c>
      <c r="M3745" t="str">
        <f>CONCATENATE(MONTH(CompilDonnées[[#This Row],[HarvestingDate]])," ", YEAR(CompilDonnées[[#This Row],[HarvestingDate]]))</f>
        <v>8 2025</v>
      </c>
      <c r="N3745">
        <f>_xlfn.NUMBERVALUE(CompilDonnées[[#This Row],[FarmID]]&amp;CompilDonnées[[#This Row],[ModuleNumber]]&amp;CompilDonnées[[#This Row],[PlantationDate]])</f>
        <v>82145844</v>
      </c>
      <c r="O3745" t="str">
        <f>CompilDonnées[[#This Row],[FarmID]]&amp;CompilDonnées[[#This Row],[ModuleNumber]]</f>
        <v>821</v>
      </c>
      <c r="P3745" t="str">
        <f>CompilDonnées[[#This Row],[Ref_Module]]&amp;CompilDonnées[[#This Row],[HarvestingDate]]</f>
        <v>82145881</v>
      </c>
    </row>
    <row r="3746" spans="1:16">
      <c r="A3746" s="5">
        <v>45844</v>
      </c>
      <c r="B3746">
        <v>80</v>
      </c>
      <c r="C3746" t="s">
        <v>29</v>
      </c>
      <c r="D3746">
        <v>6</v>
      </c>
      <c r="E3746">
        <v>100</v>
      </c>
      <c r="F3746" t="s">
        <v>1</v>
      </c>
      <c r="G3746" s="6">
        <v>45881</v>
      </c>
      <c r="H3746">
        <v>37</v>
      </c>
      <c r="I3746">
        <f>ROUND(CompilDonnées[[#This Row],[CultureDuration_days]]/7,0)</f>
        <v>5</v>
      </c>
      <c r="J3746">
        <v>4881</v>
      </c>
      <c r="K3746" t="str">
        <f>_xlfn.CONCAT(WEEKNUM(CompilDonnées[[#This Row],[PlantationDate]]), " ", YEAR(CompilDonnées[[#This Row],[PlantationDate]]))</f>
        <v>28 2025</v>
      </c>
      <c r="L3746" t="str">
        <f>CONCATENATE(MONTH(CompilDonnées[[#This Row],[PlantationDate]])," ", YEAR(CompilDonnées[[#This Row],[PlantationDate]]))</f>
        <v>7 2025</v>
      </c>
      <c r="M3746" t="str">
        <f>CONCATENATE(MONTH(CompilDonnées[[#This Row],[HarvestingDate]])," ", YEAR(CompilDonnées[[#This Row],[HarvestingDate]]))</f>
        <v>8 2025</v>
      </c>
      <c r="N3746">
        <f>_xlfn.NUMBERVALUE(CompilDonnées[[#This Row],[FarmID]]&amp;CompilDonnées[[#This Row],[ModuleNumber]]&amp;CompilDonnées[[#This Row],[PlantationDate]])</f>
        <v>80645844</v>
      </c>
      <c r="O3746" t="str">
        <f>CompilDonnées[[#This Row],[FarmID]]&amp;CompilDonnées[[#This Row],[ModuleNumber]]</f>
        <v>806</v>
      </c>
      <c r="P3746" t="str">
        <f>CompilDonnées[[#This Row],[Ref_Module]]&amp;CompilDonnées[[#This Row],[HarvestingDate]]</f>
        <v>80645881</v>
      </c>
    </row>
    <row r="3747" spans="1:16">
      <c r="A3747" s="5">
        <v>45844</v>
      </c>
      <c r="B3747">
        <v>71</v>
      </c>
      <c r="C3747" t="s">
        <v>19</v>
      </c>
      <c r="D3747">
        <v>3</v>
      </c>
      <c r="E3747">
        <v>100</v>
      </c>
      <c r="F3747" t="s">
        <v>1</v>
      </c>
      <c r="G3747" s="6">
        <v>45890</v>
      </c>
      <c r="H3747">
        <v>46</v>
      </c>
      <c r="I3747">
        <f>ROUND(CompilDonnées[[#This Row],[CultureDuration_days]]/7,0)</f>
        <v>7</v>
      </c>
      <c r="J3747">
        <v>2568</v>
      </c>
      <c r="K3747" t="str">
        <f>_xlfn.CONCAT(WEEKNUM(CompilDonnées[[#This Row],[PlantationDate]]), " ", YEAR(CompilDonnées[[#This Row],[PlantationDate]]))</f>
        <v>28 2025</v>
      </c>
      <c r="L3747" t="str">
        <f>CONCATENATE(MONTH(CompilDonnées[[#This Row],[PlantationDate]])," ", YEAR(CompilDonnées[[#This Row],[PlantationDate]]))</f>
        <v>7 2025</v>
      </c>
      <c r="M3747" t="str">
        <f>CONCATENATE(MONTH(CompilDonnées[[#This Row],[HarvestingDate]])," ", YEAR(CompilDonnées[[#This Row],[HarvestingDate]]))</f>
        <v>8 2025</v>
      </c>
      <c r="N3747">
        <f>_xlfn.NUMBERVALUE(CompilDonnées[[#This Row],[FarmID]]&amp;CompilDonnées[[#This Row],[ModuleNumber]]&amp;CompilDonnées[[#This Row],[PlantationDate]])</f>
        <v>71345844</v>
      </c>
      <c r="O3747" t="str">
        <f>CompilDonnées[[#This Row],[FarmID]]&amp;CompilDonnées[[#This Row],[ModuleNumber]]</f>
        <v>713</v>
      </c>
      <c r="P3747" t="str">
        <f>CompilDonnées[[#This Row],[Ref_Module]]&amp;CompilDonnées[[#This Row],[HarvestingDate]]</f>
        <v>71345890</v>
      </c>
    </row>
    <row r="3748" spans="1:16">
      <c r="A3748" s="5">
        <v>45844</v>
      </c>
      <c r="B3748">
        <v>72</v>
      </c>
      <c r="C3748" t="s">
        <v>49</v>
      </c>
      <c r="D3748">
        <v>6</v>
      </c>
      <c r="E3748">
        <v>100</v>
      </c>
      <c r="F3748" t="s">
        <v>1</v>
      </c>
      <c r="G3748" s="6">
        <v>45890</v>
      </c>
      <c r="H3748">
        <v>46</v>
      </c>
      <c r="I3748">
        <f>ROUND(CompilDonnées[[#This Row],[CultureDuration_days]]/7,0)</f>
        <v>7</v>
      </c>
      <c r="J3748">
        <v>3177</v>
      </c>
      <c r="K3748" t="str">
        <f>_xlfn.CONCAT(WEEKNUM(CompilDonnées[[#This Row],[PlantationDate]]), " ", YEAR(CompilDonnées[[#This Row],[PlantationDate]]))</f>
        <v>28 2025</v>
      </c>
      <c r="L3748" t="str">
        <f>CONCATENATE(MONTH(CompilDonnées[[#This Row],[PlantationDate]])," ", YEAR(CompilDonnées[[#This Row],[PlantationDate]]))</f>
        <v>7 2025</v>
      </c>
      <c r="M3748" t="str">
        <f>CONCATENATE(MONTH(CompilDonnées[[#This Row],[HarvestingDate]])," ", YEAR(CompilDonnées[[#This Row],[HarvestingDate]]))</f>
        <v>8 2025</v>
      </c>
      <c r="N3748">
        <f>_xlfn.NUMBERVALUE(CompilDonnées[[#This Row],[FarmID]]&amp;CompilDonnées[[#This Row],[ModuleNumber]]&amp;CompilDonnées[[#This Row],[PlantationDate]])</f>
        <v>72645844</v>
      </c>
      <c r="O3748" t="str">
        <f>CompilDonnées[[#This Row],[FarmID]]&amp;CompilDonnées[[#This Row],[ModuleNumber]]</f>
        <v>726</v>
      </c>
      <c r="P3748" t="str">
        <f>CompilDonnées[[#This Row],[Ref_Module]]&amp;CompilDonnées[[#This Row],[HarvestingDate]]</f>
        <v>72645890</v>
      </c>
    </row>
    <row r="3749" spans="1:16">
      <c r="A3749" s="5">
        <v>45844</v>
      </c>
      <c r="B3749">
        <v>68</v>
      </c>
      <c r="C3749" t="s">
        <v>89</v>
      </c>
      <c r="D3749">
        <v>2</v>
      </c>
      <c r="E3749">
        <v>100</v>
      </c>
      <c r="F3749" t="s">
        <v>1</v>
      </c>
      <c r="G3749" s="6">
        <v>45881</v>
      </c>
      <c r="H3749">
        <v>37</v>
      </c>
      <c r="I3749">
        <f>ROUND(CompilDonnées[[#This Row],[CultureDuration_days]]/7,0)</f>
        <v>5</v>
      </c>
      <c r="J3749">
        <v>4034</v>
      </c>
      <c r="K3749" t="str">
        <f>_xlfn.CONCAT(WEEKNUM(CompilDonnées[[#This Row],[PlantationDate]]), " ", YEAR(CompilDonnées[[#This Row],[PlantationDate]]))</f>
        <v>28 2025</v>
      </c>
      <c r="L3749" t="str">
        <f>CONCATENATE(MONTH(CompilDonnées[[#This Row],[PlantationDate]])," ", YEAR(CompilDonnées[[#This Row],[PlantationDate]]))</f>
        <v>7 2025</v>
      </c>
      <c r="M3749" t="str">
        <f>CONCATENATE(MONTH(CompilDonnées[[#This Row],[HarvestingDate]])," ", YEAR(CompilDonnées[[#This Row],[HarvestingDate]]))</f>
        <v>8 2025</v>
      </c>
      <c r="N3749">
        <f>_xlfn.NUMBERVALUE(CompilDonnées[[#This Row],[FarmID]]&amp;CompilDonnées[[#This Row],[ModuleNumber]]&amp;CompilDonnées[[#This Row],[PlantationDate]])</f>
        <v>68245844</v>
      </c>
      <c r="O3749" t="str">
        <f>CompilDonnées[[#This Row],[FarmID]]&amp;CompilDonnées[[#This Row],[ModuleNumber]]</f>
        <v>682</v>
      </c>
      <c r="P3749" t="str">
        <f>CompilDonnées[[#This Row],[Ref_Module]]&amp;CompilDonnées[[#This Row],[HarvestingDate]]</f>
        <v>68245881</v>
      </c>
    </row>
    <row r="3750" spans="1:16">
      <c r="A3750" s="5">
        <v>45844</v>
      </c>
      <c r="B3750">
        <v>51</v>
      </c>
      <c r="C3750" t="s">
        <v>27</v>
      </c>
      <c r="D3750">
        <v>3</v>
      </c>
      <c r="E3750">
        <v>100</v>
      </c>
      <c r="F3750" t="s">
        <v>1</v>
      </c>
      <c r="G3750" s="6">
        <v>45896</v>
      </c>
      <c r="H3750">
        <v>52</v>
      </c>
      <c r="I3750">
        <f>ROUND(CompilDonnées[[#This Row],[CultureDuration_days]]/7,0)</f>
        <v>7</v>
      </c>
      <c r="J3750">
        <v>3117</v>
      </c>
      <c r="K3750" t="str">
        <f>_xlfn.CONCAT(WEEKNUM(CompilDonnées[[#This Row],[PlantationDate]]), " ", YEAR(CompilDonnées[[#This Row],[PlantationDate]]))</f>
        <v>28 2025</v>
      </c>
      <c r="L3750" t="str">
        <f>CONCATENATE(MONTH(CompilDonnées[[#This Row],[PlantationDate]])," ", YEAR(CompilDonnées[[#This Row],[PlantationDate]]))</f>
        <v>7 2025</v>
      </c>
      <c r="M3750" t="str">
        <f>CONCATENATE(MONTH(CompilDonnées[[#This Row],[HarvestingDate]])," ", YEAR(CompilDonnées[[#This Row],[HarvestingDate]]))</f>
        <v>8 2025</v>
      </c>
      <c r="N3750">
        <f>_xlfn.NUMBERVALUE(CompilDonnées[[#This Row],[FarmID]]&amp;CompilDonnées[[#This Row],[ModuleNumber]]&amp;CompilDonnées[[#This Row],[PlantationDate]])</f>
        <v>51345844</v>
      </c>
      <c r="O3750" t="str">
        <f>CompilDonnées[[#This Row],[FarmID]]&amp;CompilDonnées[[#This Row],[ModuleNumber]]</f>
        <v>513</v>
      </c>
      <c r="P3750" t="str">
        <f>CompilDonnées[[#This Row],[Ref_Module]]&amp;CompilDonnées[[#This Row],[HarvestingDate]]</f>
        <v>51345896</v>
      </c>
    </row>
    <row r="3751" spans="1:16">
      <c r="A3751" s="5">
        <v>45844</v>
      </c>
      <c r="B3751">
        <v>56</v>
      </c>
      <c r="C3751" t="s">
        <v>6</v>
      </c>
      <c r="D3751">
        <v>4</v>
      </c>
      <c r="E3751">
        <v>100</v>
      </c>
      <c r="F3751" t="s">
        <v>1</v>
      </c>
      <c r="G3751" s="6">
        <v>45890</v>
      </c>
      <c r="H3751">
        <v>46</v>
      </c>
      <c r="I3751">
        <f>ROUND(CompilDonnées[[#This Row],[CultureDuration_days]]/7,0)</f>
        <v>7</v>
      </c>
      <c r="J3751">
        <v>2975</v>
      </c>
      <c r="K3751" t="str">
        <f>_xlfn.CONCAT(WEEKNUM(CompilDonnées[[#This Row],[PlantationDate]]), " ", YEAR(CompilDonnées[[#This Row],[PlantationDate]]))</f>
        <v>28 2025</v>
      </c>
      <c r="L3751" t="str">
        <f>CONCATENATE(MONTH(CompilDonnées[[#This Row],[PlantationDate]])," ", YEAR(CompilDonnées[[#This Row],[PlantationDate]]))</f>
        <v>7 2025</v>
      </c>
      <c r="M3751" t="str">
        <f>CONCATENATE(MONTH(CompilDonnées[[#This Row],[HarvestingDate]])," ", YEAR(CompilDonnées[[#This Row],[HarvestingDate]]))</f>
        <v>8 2025</v>
      </c>
      <c r="N3751">
        <f>_xlfn.NUMBERVALUE(CompilDonnées[[#This Row],[FarmID]]&amp;CompilDonnées[[#This Row],[ModuleNumber]]&amp;CompilDonnées[[#This Row],[PlantationDate]])</f>
        <v>56445844</v>
      </c>
      <c r="O3751" t="str">
        <f>CompilDonnées[[#This Row],[FarmID]]&amp;CompilDonnées[[#This Row],[ModuleNumber]]</f>
        <v>564</v>
      </c>
      <c r="P3751" t="str">
        <f>CompilDonnées[[#This Row],[Ref_Module]]&amp;CompilDonnées[[#This Row],[HarvestingDate]]</f>
        <v>56445890</v>
      </c>
    </row>
    <row r="3752" spans="1:16">
      <c r="A3752" s="5">
        <v>45844</v>
      </c>
      <c r="B3752">
        <v>66</v>
      </c>
      <c r="C3752" t="s">
        <v>48</v>
      </c>
      <c r="D3752">
        <v>3</v>
      </c>
      <c r="E3752">
        <v>100</v>
      </c>
      <c r="F3752" t="s">
        <v>1</v>
      </c>
      <c r="G3752" s="6">
        <v>45889</v>
      </c>
      <c r="H3752">
        <v>45</v>
      </c>
      <c r="I3752">
        <f>ROUND(CompilDonnées[[#This Row],[CultureDuration_days]]/7,0)</f>
        <v>6</v>
      </c>
      <c r="J3752">
        <v>2967</v>
      </c>
      <c r="K3752" t="str">
        <f>_xlfn.CONCAT(WEEKNUM(CompilDonnées[[#This Row],[PlantationDate]]), " ", YEAR(CompilDonnées[[#This Row],[PlantationDate]]))</f>
        <v>28 2025</v>
      </c>
      <c r="L3752" t="str">
        <f>CONCATENATE(MONTH(CompilDonnées[[#This Row],[PlantationDate]])," ", YEAR(CompilDonnées[[#This Row],[PlantationDate]]))</f>
        <v>7 2025</v>
      </c>
      <c r="M3752" t="str">
        <f>CONCATENATE(MONTH(CompilDonnées[[#This Row],[HarvestingDate]])," ", YEAR(CompilDonnées[[#This Row],[HarvestingDate]]))</f>
        <v>8 2025</v>
      </c>
      <c r="N3752">
        <f>_xlfn.NUMBERVALUE(CompilDonnées[[#This Row],[FarmID]]&amp;CompilDonnées[[#This Row],[ModuleNumber]]&amp;CompilDonnées[[#This Row],[PlantationDate]])</f>
        <v>66345844</v>
      </c>
      <c r="O3752" t="str">
        <f>CompilDonnées[[#This Row],[FarmID]]&amp;CompilDonnées[[#This Row],[ModuleNumber]]</f>
        <v>663</v>
      </c>
      <c r="P3752" t="str">
        <f>CompilDonnées[[#This Row],[Ref_Module]]&amp;CompilDonnées[[#This Row],[HarvestingDate]]</f>
        <v>66345889</v>
      </c>
    </row>
    <row r="3753" spans="1:16">
      <c r="A3753" s="5">
        <v>45844</v>
      </c>
      <c r="B3753">
        <v>122</v>
      </c>
      <c r="C3753" t="s">
        <v>3</v>
      </c>
      <c r="D3753">
        <v>1</v>
      </c>
      <c r="E3753">
        <v>60</v>
      </c>
      <c r="F3753" t="s">
        <v>105</v>
      </c>
      <c r="G3753" s="6">
        <v>45891</v>
      </c>
      <c r="H3753">
        <v>47</v>
      </c>
      <c r="I3753">
        <f>ROUND(CompilDonnées[[#This Row],[CultureDuration_days]]/7,0)</f>
        <v>7</v>
      </c>
      <c r="J3753">
        <v>345</v>
      </c>
      <c r="K3753" t="str">
        <f>_xlfn.CONCAT(WEEKNUM(CompilDonnées[[#This Row],[PlantationDate]]), " ", YEAR(CompilDonnées[[#This Row],[PlantationDate]]))</f>
        <v>28 2025</v>
      </c>
      <c r="L3753" t="str">
        <f>CONCATENATE(MONTH(CompilDonnées[[#This Row],[PlantationDate]])," ", YEAR(CompilDonnées[[#This Row],[PlantationDate]]))</f>
        <v>7 2025</v>
      </c>
      <c r="M3753" t="str">
        <f>CONCATENATE(MONTH(CompilDonnées[[#This Row],[HarvestingDate]])," ", YEAR(CompilDonnées[[#This Row],[HarvestingDate]]))</f>
        <v>8 2025</v>
      </c>
      <c r="N3753">
        <f>_xlfn.NUMBERVALUE(CompilDonnées[[#This Row],[FarmID]]&amp;CompilDonnées[[#This Row],[ModuleNumber]]&amp;CompilDonnées[[#This Row],[PlantationDate]])</f>
        <v>122145844</v>
      </c>
      <c r="O3753" t="str">
        <f>CompilDonnées[[#This Row],[FarmID]]&amp;CompilDonnées[[#This Row],[ModuleNumber]]</f>
        <v>1221</v>
      </c>
      <c r="P3753" t="str">
        <f>CompilDonnées[[#This Row],[Ref_Module]]&amp;CompilDonnées[[#This Row],[HarvestingDate]]</f>
        <v>122145891</v>
      </c>
    </row>
    <row r="3754" spans="1:16">
      <c r="A3754" s="5">
        <v>45844</v>
      </c>
      <c r="B3754">
        <v>78</v>
      </c>
      <c r="C3754" t="s">
        <v>3</v>
      </c>
      <c r="D3754">
        <v>5</v>
      </c>
      <c r="E3754">
        <v>60</v>
      </c>
      <c r="F3754" t="s">
        <v>105</v>
      </c>
      <c r="G3754" s="6">
        <v>45887</v>
      </c>
      <c r="H3754">
        <v>43</v>
      </c>
      <c r="I3754">
        <f>ROUND(CompilDonnées[[#This Row],[CultureDuration_days]]/7,0)</f>
        <v>6</v>
      </c>
      <c r="J3754">
        <v>2042</v>
      </c>
      <c r="K3754" t="str">
        <f>_xlfn.CONCAT(WEEKNUM(CompilDonnées[[#This Row],[PlantationDate]]), " ", YEAR(CompilDonnées[[#This Row],[PlantationDate]]))</f>
        <v>28 2025</v>
      </c>
      <c r="L3754" t="str">
        <f>CONCATENATE(MONTH(CompilDonnées[[#This Row],[PlantationDate]])," ", YEAR(CompilDonnées[[#This Row],[PlantationDate]]))</f>
        <v>7 2025</v>
      </c>
      <c r="M3754" t="str">
        <f>CONCATENATE(MONTH(CompilDonnées[[#This Row],[HarvestingDate]])," ", YEAR(CompilDonnées[[#This Row],[HarvestingDate]]))</f>
        <v>8 2025</v>
      </c>
      <c r="N3754">
        <f>_xlfn.NUMBERVALUE(CompilDonnées[[#This Row],[FarmID]]&amp;CompilDonnées[[#This Row],[ModuleNumber]]&amp;CompilDonnées[[#This Row],[PlantationDate]])</f>
        <v>78545844</v>
      </c>
      <c r="O3754" t="str">
        <f>CompilDonnées[[#This Row],[FarmID]]&amp;CompilDonnées[[#This Row],[ModuleNumber]]</f>
        <v>785</v>
      </c>
      <c r="P3754" t="str">
        <f>CompilDonnées[[#This Row],[Ref_Module]]&amp;CompilDonnées[[#This Row],[HarvestingDate]]</f>
        <v>78545887</v>
      </c>
    </row>
    <row r="3755" spans="1:16">
      <c r="A3755" s="5">
        <v>45844</v>
      </c>
      <c r="B3755">
        <v>78</v>
      </c>
      <c r="C3755" t="s">
        <v>3</v>
      </c>
      <c r="D3755">
        <v>6</v>
      </c>
      <c r="E3755">
        <v>60</v>
      </c>
      <c r="F3755" t="s">
        <v>105</v>
      </c>
      <c r="G3755" s="6">
        <v>45887</v>
      </c>
      <c r="H3755">
        <v>43</v>
      </c>
      <c r="I3755">
        <f>ROUND(CompilDonnées[[#This Row],[CultureDuration_days]]/7,0)</f>
        <v>6</v>
      </c>
      <c r="J3755">
        <v>2103</v>
      </c>
      <c r="K3755" t="str">
        <f>_xlfn.CONCAT(WEEKNUM(CompilDonnées[[#This Row],[PlantationDate]]), " ", YEAR(CompilDonnées[[#This Row],[PlantationDate]]))</f>
        <v>28 2025</v>
      </c>
      <c r="L3755" t="str">
        <f>CONCATENATE(MONTH(CompilDonnées[[#This Row],[PlantationDate]])," ", YEAR(CompilDonnées[[#This Row],[PlantationDate]]))</f>
        <v>7 2025</v>
      </c>
      <c r="M3755" t="str">
        <f>CONCATENATE(MONTH(CompilDonnées[[#This Row],[HarvestingDate]])," ", YEAR(CompilDonnées[[#This Row],[HarvestingDate]]))</f>
        <v>8 2025</v>
      </c>
      <c r="N3755">
        <f>_xlfn.NUMBERVALUE(CompilDonnées[[#This Row],[FarmID]]&amp;CompilDonnées[[#This Row],[ModuleNumber]]&amp;CompilDonnées[[#This Row],[PlantationDate]])</f>
        <v>78645844</v>
      </c>
      <c r="O3755" t="str">
        <f>CompilDonnées[[#This Row],[FarmID]]&amp;CompilDonnées[[#This Row],[ModuleNumber]]</f>
        <v>786</v>
      </c>
      <c r="P3755" t="str">
        <f>CompilDonnées[[#This Row],[Ref_Module]]&amp;CompilDonnées[[#This Row],[HarvestingDate]]</f>
        <v>78645887</v>
      </c>
    </row>
    <row r="3756" spans="1:16">
      <c r="A3756" s="5">
        <v>45845</v>
      </c>
      <c r="B3756">
        <v>87</v>
      </c>
      <c r="C3756" t="s">
        <v>38</v>
      </c>
      <c r="D3756">
        <v>6</v>
      </c>
      <c r="E3756">
        <v>100</v>
      </c>
      <c r="F3756" t="s">
        <v>1</v>
      </c>
      <c r="G3756" s="6">
        <v>45890</v>
      </c>
      <c r="H3756">
        <v>45</v>
      </c>
      <c r="I3756">
        <f>ROUND(CompilDonnées[[#This Row],[CultureDuration_days]]/7,0)</f>
        <v>6</v>
      </c>
      <c r="J3756">
        <v>3073</v>
      </c>
      <c r="K3756" t="str">
        <f>_xlfn.CONCAT(WEEKNUM(CompilDonnées[[#This Row],[PlantationDate]]), " ", YEAR(CompilDonnées[[#This Row],[PlantationDate]]))</f>
        <v>28 2025</v>
      </c>
      <c r="L3756" t="str">
        <f>CONCATENATE(MONTH(CompilDonnées[[#This Row],[PlantationDate]])," ", YEAR(CompilDonnées[[#This Row],[PlantationDate]]))</f>
        <v>7 2025</v>
      </c>
      <c r="M3756" t="str">
        <f>CONCATENATE(MONTH(CompilDonnées[[#This Row],[HarvestingDate]])," ", YEAR(CompilDonnées[[#This Row],[HarvestingDate]]))</f>
        <v>8 2025</v>
      </c>
      <c r="N3756">
        <f>_xlfn.NUMBERVALUE(CompilDonnées[[#This Row],[FarmID]]&amp;CompilDonnées[[#This Row],[ModuleNumber]]&amp;CompilDonnées[[#This Row],[PlantationDate]])</f>
        <v>87645845</v>
      </c>
      <c r="O3756" t="str">
        <f>CompilDonnées[[#This Row],[FarmID]]&amp;CompilDonnées[[#This Row],[ModuleNumber]]</f>
        <v>876</v>
      </c>
      <c r="P3756" t="str">
        <f>CompilDonnées[[#This Row],[Ref_Module]]&amp;CompilDonnées[[#This Row],[HarvestingDate]]</f>
        <v>87645890</v>
      </c>
    </row>
    <row r="3757" spans="1:16">
      <c r="A3757" s="5">
        <v>45845</v>
      </c>
      <c r="B3757">
        <v>86</v>
      </c>
      <c r="C3757" t="s">
        <v>37</v>
      </c>
      <c r="D3757">
        <v>6</v>
      </c>
      <c r="E3757">
        <v>100</v>
      </c>
      <c r="F3757" t="s">
        <v>1</v>
      </c>
      <c r="G3757" s="6">
        <v>45895</v>
      </c>
      <c r="H3757">
        <v>50</v>
      </c>
      <c r="I3757">
        <f>ROUND(CompilDonnées[[#This Row],[CultureDuration_days]]/7,0)</f>
        <v>7</v>
      </c>
      <c r="J3757">
        <v>3221</v>
      </c>
      <c r="K3757" t="str">
        <f>_xlfn.CONCAT(WEEKNUM(CompilDonnées[[#This Row],[PlantationDate]]), " ", YEAR(CompilDonnées[[#This Row],[PlantationDate]]))</f>
        <v>28 2025</v>
      </c>
      <c r="L3757" t="str">
        <f>CONCATENATE(MONTH(CompilDonnées[[#This Row],[PlantationDate]])," ", YEAR(CompilDonnées[[#This Row],[PlantationDate]]))</f>
        <v>7 2025</v>
      </c>
      <c r="M3757" t="str">
        <f>CONCATENATE(MONTH(CompilDonnées[[#This Row],[HarvestingDate]])," ", YEAR(CompilDonnées[[#This Row],[HarvestingDate]]))</f>
        <v>8 2025</v>
      </c>
      <c r="N3757">
        <f>_xlfn.NUMBERVALUE(CompilDonnées[[#This Row],[FarmID]]&amp;CompilDonnées[[#This Row],[ModuleNumber]]&amp;CompilDonnées[[#This Row],[PlantationDate]])</f>
        <v>86645845</v>
      </c>
      <c r="O3757" t="str">
        <f>CompilDonnées[[#This Row],[FarmID]]&amp;CompilDonnées[[#This Row],[ModuleNumber]]</f>
        <v>866</v>
      </c>
      <c r="P3757" t="str">
        <f>CompilDonnées[[#This Row],[Ref_Module]]&amp;CompilDonnées[[#This Row],[HarvestingDate]]</f>
        <v>86645895</v>
      </c>
    </row>
    <row r="3758" spans="1:16">
      <c r="A3758" s="5">
        <v>45845</v>
      </c>
      <c r="B3758">
        <v>124</v>
      </c>
      <c r="C3758" t="s">
        <v>115</v>
      </c>
      <c r="D3758">
        <v>1</v>
      </c>
      <c r="E3758">
        <v>100</v>
      </c>
      <c r="F3758" t="s">
        <v>1</v>
      </c>
      <c r="G3758" s="6">
        <v>45891</v>
      </c>
      <c r="H3758">
        <v>46</v>
      </c>
      <c r="I3758">
        <f>ROUND(CompilDonnées[[#This Row],[CultureDuration_days]]/7,0)</f>
        <v>7</v>
      </c>
      <c r="J3758">
        <v>3629</v>
      </c>
      <c r="K3758" t="str">
        <f>_xlfn.CONCAT(WEEKNUM(CompilDonnées[[#This Row],[PlantationDate]]), " ", YEAR(CompilDonnées[[#This Row],[PlantationDate]]))</f>
        <v>28 2025</v>
      </c>
      <c r="L3758" t="str">
        <f>CONCATENATE(MONTH(CompilDonnées[[#This Row],[PlantationDate]])," ", YEAR(CompilDonnées[[#This Row],[PlantationDate]]))</f>
        <v>7 2025</v>
      </c>
      <c r="M3758" t="str">
        <f>CONCATENATE(MONTH(CompilDonnées[[#This Row],[HarvestingDate]])," ", YEAR(CompilDonnées[[#This Row],[HarvestingDate]]))</f>
        <v>8 2025</v>
      </c>
      <c r="N3758">
        <f>_xlfn.NUMBERVALUE(CompilDonnées[[#This Row],[FarmID]]&amp;CompilDonnées[[#This Row],[ModuleNumber]]&amp;CompilDonnées[[#This Row],[PlantationDate]])</f>
        <v>124145845</v>
      </c>
      <c r="O3758" t="str">
        <f>CompilDonnées[[#This Row],[FarmID]]&amp;CompilDonnées[[#This Row],[ModuleNumber]]</f>
        <v>1241</v>
      </c>
      <c r="P3758" t="str">
        <f>CompilDonnées[[#This Row],[Ref_Module]]&amp;CompilDonnées[[#This Row],[HarvestingDate]]</f>
        <v>124145891</v>
      </c>
    </row>
    <row r="3759" spans="1:16">
      <c r="A3759" s="5">
        <v>45845</v>
      </c>
      <c r="B3759">
        <v>126</v>
      </c>
      <c r="C3759" t="s">
        <v>52</v>
      </c>
      <c r="D3759">
        <v>1</v>
      </c>
      <c r="E3759">
        <v>100</v>
      </c>
      <c r="F3759" t="s">
        <v>1</v>
      </c>
      <c r="G3759" s="6">
        <v>45878</v>
      </c>
      <c r="H3759">
        <v>33</v>
      </c>
      <c r="I3759">
        <f>ROUND(CompilDonnées[[#This Row],[CultureDuration_days]]/7,0)</f>
        <v>5</v>
      </c>
      <c r="J3759">
        <v>3131</v>
      </c>
      <c r="K3759" t="str">
        <f>_xlfn.CONCAT(WEEKNUM(CompilDonnées[[#This Row],[PlantationDate]]), " ", YEAR(CompilDonnées[[#This Row],[PlantationDate]]))</f>
        <v>28 2025</v>
      </c>
      <c r="L3759" t="str">
        <f>CONCATENATE(MONTH(CompilDonnées[[#This Row],[PlantationDate]])," ", YEAR(CompilDonnées[[#This Row],[PlantationDate]]))</f>
        <v>7 2025</v>
      </c>
      <c r="M3759" t="str">
        <f>CONCATENATE(MONTH(CompilDonnées[[#This Row],[HarvestingDate]])," ", YEAR(CompilDonnées[[#This Row],[HarvestingDate]]))</f>
        <v>8 2025</v>
      </c>
      <c r="N3759">
        <f>_xlfn.NUMBERVALUE(CompilDonnées[[#This Row],[FarmID]]&amp;CompilDonnées[[#This Row],[ModuleNumber]]&amp;CompilDonnées[[#This Row],[PlantationDate]])</f>
        <v>126145845</v>
      </c>
      <c r="O3759" t="str">
        <f>CompilDonnées[[#This Row],[FarmID]]&amp;CompilDonnées[[#This Row],[ModuleNumber]]</f>
        <v>1261</v>
      </c>
      <c r="P3759" t="str">
        <f>CompilDonnées[[#This Row],[Ref_Module]]&amp;CompilDonnées[[#This Row],[HarvestingDate]]</f>
        <v>126145878</v>
      </c>
    </row>
    <row r="3760" spans="1:16">
      <c r="A3760" s="5">
        <v>45845</v>
      </c>
      <c r="B3760">
        <v>14</v>
      </c>
      <c r="C3760" t="s">
        <v>82</v>
      </c>
      <c r="D3760">
        <v>4</v>
      </c>
      <c r="E3760">
        <v>100</v>
      </c>
      <c r="F3760" t="s">
        <v>1</v>
      </c>
      <c r="G3760" s="6">
        <v>45887</v>
      </c>
      <c r="H3760">
        <v>42</v>
      </c>
      <c r="I3760">
        <f>ROUND(CompilDonnées[[#This Row],[CultureDuration_days]]/7,0)</f>
        <v>6</v>
      </c>
      <c r="J3760">
        <v>2525</v>
      </c>
      <c r="K3760" t="str">
        <f>_xlfn.CONCAT(WEEKNUM(CompilDonnées[[#This Row],[PlantationDate]]), " ", YEAR(CompilDonnées[[#This Row],[PlantationDate]]))</f>
        <v>28 2025</v>
      </c>
      <c r="L3760" t="str">
        <f>CONCATENATE(MONTH(CompilDonnées[[#This Row],[PlantationDate]])," ", YEAR(CompilDonnées[[#This Row],[PlantationDate]]))</f>
        <v>7 2025</v>
      </c>
      <c r="M3760" t="str">
        <f>CONCATENATE(MONTH(CompilDonnées[[#This Row],[HarvestingDate]])," ", YEAR(CompilDonnées[[#This Row],[HarvestingDate]]))</f>
        <v>8 2025</v>
      </c>
      <c r="N3760">
        <f>_xlfn.NUMBERVALUE(CompilDonnées[[#This Row],[FarmID]]&amp;CompilDonnées[[#This Row],[ModuleNumber]]&amp;CompilDonnées[[#This Row],[PlantationDate]])</f>
        <v>14445845</v>
      </c>
      <c r="O3760" t="str">
        <f>CompilDonnées[[#This Row],[FarmID]]&amp;CompilDonnées[[#This Row],[ModuleNumber]]</f>
        <v>144</v>
      </c>
      <c r="P3760" t="str">
        <f>CompilDonnées[[#This Row],[Ref_Module]]&amp;CompilDonnées[[#This Row],[HarvestingDate]]</f>
        <v>14445887</v>
      </c>
    </row>
    <row r="3761" spans="1:16">
      <c r="A3761" s="5">
        <v>45845</v>
      </c>
      <c r="B3761">
        <v>53</v>
      </c>
      <c r="C3761" t="s">
        <v>83</v>
      </c>
      <c r="D3761">
        <v>5</v>
      </c>
      <c r="E3761">
        <v>100</v>
      </c>
      <c r="F3761" t="s">
        <v>1</v>
      </c>
      <c r="G3761" s="6">
        <v>45889</v>
      </c>
      <c r="H3761">
        <v>44</v>
      </c>
      <c r="I3761">
        <f>ROUND(CompilDonnées[[#This Row],[CultureDuration_days]]/7,0)</f>
        <v>6</v>
      </c>
      <c r="J3761">
        <v>2839</v>
      </c>
      <c r="K3761" t="str">
        <f>_xlfn.CONCAT(WEEKNUM(CompilDonnées[[#This Row],[PlantationDate]]), " ", YEAR(CompilDonnées[[#This Row],[PlantationDate]]))</f>
        <v>28 2025</v>
      </c>
      <c r="L3761" t="str">
        <f>CONCATENATE(MONTH(CompilDonnées[[#This Row],[PlantationDate]])," ", YEAR(CompilDonnées[[#This Row],[PlantationDate]]))</f>
        <v>7 2025</v>
      </c>
      <c r="M3761" t="str">
        <f>CONCATENATE(MONTH(CompilDonnées[[#This Row],[HarvestingDate]])," ", YEAR(CompilDonnées[[#This Row],[HarvestingDate]]))</f>
        <v>8 2025</v>
      </c>
      <c r="N3761">
        <f>_xlfn.NUMBERVALUE(CompilDonnées[[#This Row],[FarmID]]&amp;CompilDonnées[[#This Row],[ModuleNumber]]&amp;CompilDonnées[[#This Row],[PlantationDate]])</f>
        <v>53545845</v>
      </c>
      <c r="O3761" t="str">
        <f>CompilDonnées[[#This Row],[FarmID]]&amp;CompilDonnées[[#This Row],[ModuleNumber]]</f>
        <v>535</v>
      </c>
      <c r="P3761" t="str">
        <f>CompilDonnées[[#This Row],[Ref_Module]]&amp;CompilDonnées[[#This Row],[HarvestingDate]]</f>
        <v>53545889</v>
      </c>
    </row>
    <row r="3762" spans="1:16">
      <c r="A3762" s="5">
        <v>45845</v>
      </c>
      <c r="B3762">
        <v>54</v>
      </c>
      <c r="C3762" t="s">
        <v>39</v>
      </c>
      <c r="D3762">
        <v>6</v>
      </c>
      <c r="E3762">
        <v>100</v>
      </c>
      <c r="F3762" t="s">
        <v>1</v>
      </c>
      <c r="G3762" s="6">
        <v>45889</v>
      </c>
      <c r="H3762">
        <v>44</v>
      </c>
      <c r="I3762">
        <f>ROUND(CompilDonnées[[#This Row],[CultureDuration_days]]/7,0)</f>
        <v>6</v>
      </c>
      <c r="J3762">
        <v>2285</v>
      </c>
      <c r="K3762" t="str">
        <f>_xlfn.CONCAT(WEEKNUM(CompilDonnées[[#This Row],[PlantationDate]]), " ", YEAR(CompilDonnées[[#This Row],[PlantationDate]]))</f>
        <v>28 2025</v>
      </c>
      <c r="L3762" t="str">
        <f>CONCATENATE(MONTH(CompilDonnées[[#This Row],[PlantationDate]])," ", YEAR(CompilDonnées[[#This Row],[PlantationDate]]))</f>
        <v>7 2025</v>
      </c>
      <c r="M3762" t="str">
        <f>CONCATENATE(MONTH(CompilDonnées[[#This Row],[HarvestingDate]])," ", YEAR(CompilDonnées[[#This Row],[HarvestingDate]]))</f>
        <v>8 2025</v>
      </c>
      <c r="N3762">
        <f>_xlfn.NUMBERVALUE(CompilDonnées[[#This Row],[FarmID]]&amp;CompilDonnées[[#This Row],[ModuleNumber]]&amp;CompilDonnées[[#This Row],[PlantationDate]])</f>
        <v>54645845</v>
      </c>
      <c r="O3762" t="str">
        <f>CompilDonnées[[#This Row],[FarmID]]&amp;CompilDonnées[[#This Row],[ModuleNumber]]</f>
        <v>546</v>
      </c>
      <c r="P3762" t="str">
        <f>CompilDonnées[[#This Row],[Ref_Module]]&amp;CompilDonnées[[#This Row],[HarvestingDate]]</f>
        <v>54645889</v>
      </c>
    </row>
    <row r="3763" spans="1:16">
      <c r="A3763" s="5">
        <v>45845</v>
      </c>
      <c r="B3763">
        <v>46</v>
      </c>
      <c r="C3763" t="s">
        <v>8</v>
      </c>
      <c r="D3763">
        <v>6</v>
      </c>
      <c r="E3763">
        <v>100</v>
      </c>
      <c r="F3763" t="s">
        <v>1</v>
      </c>
      <c r="G3763" s="6">
        <v>45889</v>
      </c>
      <c r="H3763">
        <v>44</v>
      </c>
      <c r="I3763">
        <f>ROUND(CompilDonnées[[#This Row],[CultureDuration_days]]/7,0)</f>
        <v>6</v>
      </c>
      <c r="J3763">
        <v>4274</v>
      </c>
      <c r="K3763" t="str">
        <f>_xlfn.CONCAT(WEEKNUM(CompilDonnées[[#This Row],[PlantationDate]]), " ", YEAR(CompilDonnées[[#This Row],[PlantationDate]]))</f>
        <v>28 2025</v>
      </c>
      <c r="L3763" t="str">
        <f>CONCATENATE(MONTH(CompilDonnées[[#This Row],[PlantationDate]])," ", YEAR(CompilDonnées[[#This Row],[PlantationDate]]))</f>
        <v>7 2025</v>
      </c>
      <c r="M3763" t="str">
        <f>CONCATENATE(MONTH(CompilDonnées[[#This Row],[HarvestingDate]])," ", YEAR(CompilDonnées[[#This Row],[HarvestingDate]]))</f>
        <v>8 2025</v>
      </c>
      <c r="N3763">
        <f>_xlfn.NUMBERVALUE(CompilDonnées[[#This Row],[FarmID]]&amp;CompilDonnées[[#This Row],[ModuleNumber]]&amp;CompilDonnées[[#This Row],[PlantationDate]])</f>
        <v>46645845</v>
      </c>
      <c r="O3763" t="str">
        <f>CompilDonnées[[#This Row],[FarmID]]&amp;CompilDonnées[[#This Row],[ModuleNumber]]</f>
        <v>466</v>
      </c>
      <c r="P3763" t="str">
        <f>CompilDonnées[[#This Row],[Ref_Module]]&amp;CompilDonnées[[#This Row],[HarvestingDate]]</f>
        <v>46645889</v>
      </c>
    </row>
    <row r="3764" spans="1:16">
      <c r="A3764" s="5">
        <v>45845</v>
      </c>
      <c r="B3764">
        <v>21</v>
      </c>
      <c r="C3764" t="s">
        <v>0</v>
      </c>
      <c r="D3764">
        <v>3</v>
      </c>
      <c r="E3764">
        <v>100</v>
      </c>
      <c r="F3764" t="s">
        <v>1</v>
      </c>
      <c r="G3764" s="6">
        <v>45887</v>
      </c>
      <c r="H3764">
        <v>42</v>
      </c>
      <c r="I3764">
        <f>ROUND(CompilDonnées[[#This Row],[CultureDuration_days]]/7,0)</f>
        <v>6</v>
      </c>
      <c r="J3764">
        <v>2486</v>
      </c>
      <c r="K3764" t="str">
        <f>_xlfn.CONCAT(WEEKNUM(CompilDonnées[[#This Row],[PlantationDate]]), " ", YEAR(CompilDonnées[[#This Row],[PlantationDate]]))</f>
        <v>28 2025</v>
      </c>
      <c r="L3764" t="str">
        <f>CONCATENATE(MONTH(CompilDonnées[[#This Row],[PlantationDate]])," ", YEAR(CompilDonnées[[#This Row],[PlantationDate]]))</f>
        <v>7 2025</v>
      </c>
      <c r="M3764" t="str">
        <f>CONCATENATE(MONTH(CompilDonnées[[#This Row],[HarvestingDate]])," ", YEAR(CompilDonnées[[#This Row],[HarvestingDate]]))</f>
        <v>8 2025</v>
      </c>
      <c r="N3764">
        <f>_xlfn.NUMBERVALUE(CompilDonnées[[#This Row],[FarmID]]&amp;CompilDonnées[[#This Row],[ModuleNumber]]&amp;CompilDonnées[[#This Row],[PlantationDate]])</f>
        <v>21345845</v>
      </c>
      <c r="O3764" t="str">
        <f>CompilDonnées[[#This Row],[FarmID]]&amp;CompilDonnées[[#This Row],[ModuleNumber]]</f>
        <v>213</v>
      </c>
      <c r="P3764" t="str">
        <f>CompilDonnées[[#This Row],[Ref_Module]]&amp;CompilDonnées[[#This Row],[HarvestingDate]]</f>
        <v>21345887</v>
      </c>
    </row>
    <row r="3765" spans="1:16">
      <c r="A3765" s="5">
        <v>45845</v>
      </c>
      <c r="B3765">
        <v>38</v>
      </c>
      <c r="C3765" t="s">
        <v>34</v>
      </c>
      <c r="D3765">
        <v>2</v>
      </c>
      <c r="E3765">
        <v>100</v>
      </c>
      <c r="F3765" t="s">
        <v>1</v>
      </c>
      <c r="G3765" s="6">
        <v>45889</v>
      </c>
      <c r="H3765">
        <v>44</v>
      </c>
      <c r="I3765">
        <f>ROUND(CompilDonnées[[#This Row],[CultureDuration_days]]/7,0)</f>
        <v>6</v>
      </c>
      <c r="J3765">
        <v>4287</v>
      </c>
      <c r="K3765" t="str">
        <f>_xlfn.CONCAT(WEEKNUM(CompilDonnées[[#This Row],[PlantationDate]]), " ", YEAR(CompilDonnées[[#This Row],[PlantationDate]]))</f>
        <v>28 2025</v>
      </c>
      <c r="L3765" t="str">
        <f>CONCATENATE(MONTH(CompilDonnées[[#This Row],[PlantationDate]])," ", YEAR(CompilDonnées[[#This Row],[PlantationDate]]))</f>
        <v>7 2025</v>
      </c>
      <c r="M3765" t="str">
        <f>CONCATENATE(MONTH(CompilDonnées[[#This Row],[HarvestingDate]])," ", YEAR(CompilDonnées[[#This Row],[HarvestingDate]]))</f>
        <v>8 2025</v>
      </c>
      <c r="N3765">
        <f>_xlfn.NUMBERVALUE(CompilDonnées[[#This Row],[FarmID]]&amp;CompilDonnées[[#This Row],[ModuleNumber]]&amp;CompilDonnées[[#This Row],[PlantationDate]])</f>
        <v>38245845</v>
      </c>
      <c r="O3765" t="str">
        <f>CompilDonnées[[#This Row],[FarmID]]&amp;CompilDonnées[[#This Row],[ModuleNumber]]</f>
        <v>382</v>
      </c>
      <c r="P3765" t="str">
        <f>CompilDonnées[[#This Row],[Ref_Module]]&amp;CompilDonnées[[#This Row],[HarvestingDate]]</f>
        <v>38245889</v>
      </c>
    </row>
    <row r="3766" spans="1:16">
      <c r="A3766" s="5">
        <v>45845</v>
      </c>
      <c r="B3766">
        <v>37</v>
      </c>
      <c r="C3766" t="s">
        <v>26</v>
      </c>
      <c r="D3766">
        <v>1</v>
      </c>
      <c r="E3766">
        <v>100</v>
      </c>
      <c r="F3766" t="s">
        <v>1</v>
      </c>
      <c r="G3766" s="6">
        <v>45882</v>
      </c>
      <c r="H3766">
        <v>37</v>
      </c>
      <c r="I3766">
        <f>ROUND(CompilDonnées[[#This Row],[CultureDuration_days]]/7,0)</f>
        <v>5</v>
      </c>
      <c r="J3766">
        <v>3225</v>
      </c>
      <c r="K3766" t="str">
        <f>_xlfn.CONCAT(WEEKNUM(CompilDonnées[[#This Row],[PlantationDate]]), " ", YEAR(CompilDonnées[[#This Row],[PlantationDate]]))</f>
        <v>28 2025</v>
      </c>
      <c r="L3766" t="str">
        <f>CONCATENATE(MONTH(CompilDonnées[[#This Row],[PlantationDate]])," ", YEAR(CompilDonnées[[#This Row],[PlantationDate]]))</f>
        <v>7 2025</v>
      </c>
      <c r="M3766" t="str">
        <f>CONCATENATE(MONTH(CompilDonnées[[#This Row],[HarvestingDate]])," ", YEAR(CompilDonnées[[#This Row],[HarvestingDate]]))</f>
        <v>8 2025</v>
      </c>
      <c r="N3766">
        <f>_xlfn.NUMBERVALUE(CompilDonnées[[#This Row],[FarmID]]&amp;CompilDonnées[[#This Row],[ModuleNumber]]&amp;CompilDonnées[[#This Row],[PlantationDate]])</f>
        <v>37145845</v>
      </c>
      <c r="O3766" t="str">
        <f>CompilDonnées[[#This Row],[FarmID]]&amp;CompilDonnées[[#This Row],[ModuleNumber]]</f>
        <v>371</v>
      </c>
      <c r="P3766" t="str">
        <f>CompilDonnées[[#This Row],[Ref_Module]]&amp;CompilDonnées[[#This Row],[HarvestingDate]]</f>
        <v>37145882</v>
      </c>
    </row>
    <row r="3767" spans="1:16">
      <c r="A3767" s="5">
        <v>45845</v>
      </c>
      <c r="B3767">
        <v>35</v>
      </c>
      <c r="C3767" t="s">
        <v>69</v>
      </c>
      <c r="D3767">
        <v>4</v>
      </c>
      <c r="E3767">
        <v>100</v>
      </c>
      <c r="F3767" t="s">
        <v>1</v>
      </c>
      <c r="G3767" s="6">
        <v>45887</v>
      </c>
      <c r="H3767">
        <v>42</v>
      </c>
      <c r="I3767">
        <f>ROUND(CompilDonnées[[#This Row],[CultureDuration_days]]/7,0)</f>
        <v>6</v>
      </c>
      <c r="J3767">
        <v>3139</v>
      </c>
      <c r="K3767" t="str">
        <f>_xlfn.CONCAT(WEEKNUM(CompilDonnées[[#This Row],[PlantationDate]]), " ", YEAR(CompilDonnées[[#This Row],[PlantationDate]]))</f>
        <v>28 2025</v>
      </c>
      <c r="L3767" t="str">
        <f>CONCATENATE(MONTH(CompilDonnées[[#This Row],[PlantationDate]])," ", YEAR(CompilDonnées[[#This Row],[PlantationDate]]))</f>
        <v>7 2025</v>
      </c>
      <c r="M3767" t="str">
        <f>CONCATENATE(MONTH(CompilDonnées[[#This Row],[HarvestingDate]])," ", YEAR(CompilDonnées[[#This Row],[HarvestingDate]]))</f>
        <v>8 2025</v>
      </c>
      <c r="N3767">
        <f>_xlfn.NUMBERVALUE(CompilDonnées[[#This Row],[FarmID]]&amp;CompilDonnées[[#This Row],[ModuleNumber]]&amp;CompilDonnées[[#This Row],[PlantationDate]])</f>
        <v>35445845</v>
      </c>
      <c r="O3767" t="str">
        <f>CompilDonnées[[#This Row],[FarmID]]&amp;CompilDonnées[[#This Row],[ModuleNumber]]</f>
        <v>354</v>
      </c>
      <c r="P3767" t="str">
        <f>CompilDonnées[[#This Row],[Ref_Module]]&amp;CompilDonnées[[#This Row],[HarvestingDate]]</f>
        <v>35445887</v>
      </c>
    </row>
    <row r="3768" spans="1:16">
      <c r="A3768" s="5">
        <v>45845</v>
      </c>
      <c r="B3768">
        <v>44</v>
      </c>
      <c r="C3768" t="s">
        <v>42</v>
      </c>
      <c r="D3768">
        <v>4</v>
      </c>
      <c r="E3768">
        <v>100</v>
      </c>
      <c r="F3768" t="s">
        <v>1</v>
      </c>
      <c r="G3768" s="6">
        <v>45889</v>
      </c>
      <c r="H3768">
        <v>44</v>
      </c>
      <c r="I3768">
        <f>ROUND(CompilDonnées[[#This Row],[CultureDuration_days]]/7,0)</f>
        <v>6</v>
      </c>
      <c r="J3768">
        <v>2862</v>
      </c>
      <c r="K3768" t="str">
        <f>_xlfn.CONCAT(WEEKNUM(CompilDonnées[[#This Row],[PlantationDate]]), " ", YEAR(CompilDonnées[[#This Row],[PlantationDate]]))</f>
        <v>28 2025</v>
      </c>
      <c r="L3768" t="str">
        <f>CONCATENATE(MONTH(CompilDonnées[[#This Row],[PlantationDate]])," ", YEAR(CompilDonnées[[#This Row],[PlantationDate]]))</f>
        <v>7 2025</v>
      </c>
      <c r="M3768" t="str">
        <f>CONCATENATE(MONTH(CompilDonnées[[#This Row],[HarvestingDate]])," ", YEAR(CompilDonnées[[#This Row],[HarvestingDate]]))</f>
        <v>8 2025</v>
      </c>
      <c r="N3768">
        <f>_xlfn.NUMBERVALUE(CompilDonnées[[#This Row],[FarmID]]&amp;CompilDonnées[[#This Row],[ModuleNumber]]&amp;CompilDonnées[[#This Row],[PlantationDate]])</f>
        <v>44445845</v>
      </c>
      <c r="O3768" t="str">
        <f>CompilDonnées[[#This Row],[FarmID]]&amp;CompilDonnées[[#This Row],[ModuleNumber]]</f>
        <v>444</v>
      </c>
      <c r="P3768" t="str">
        <f>CompilDonnées[[#This Row],[Ref_Module]]&amp;CompilDonnées[[#This Row],[HarvestingDate]]</f>
        <v>44445889</v>
      </c>
    </row>
    <row r="3769" spans="1:16">
      <c r="A3769" s="5">
        <v>45845</v>
      </c>
      <c r="B3769">
        <v>41</v>
      </c>
      <c r="C3769" t="s">
        <v>70</v>
      </c>
      <c r="D3769">
        <v>5</v>
      </c>
      <c r="E3769">
        <v>100</v>
      </c>
      <c r="F3769" t="s">
        <v>1</v>
      </c>
      <c r="G3769" s="6">
        <v>45882</v>
      </c>
      <c r="H3769">
        <v>37</v>
      </c>
      <c r="I3769">
        <f>ROUND(CompilDonnées[[#This Row],[CultureDuration_days]]/7,0)</f>
        <v>5</v>
      </c>
      <c r="J3769">
        <v>2420</v>
      </c>
      <c r="K3769" t="str">
        <f>_xlfn.CONCAT(WEEKNUM(CompilDonnées[[#This Row],[PlantationDate]]), " ", YEAR(CompilDonnées[[#This Row],[PlantationDate]]))</f>
        <v>28 2025</v>
      </c>
      <c r="L3769" t="str">
        <f>CONCATENATE(MONTH(CompilDonnées[[#This Row],[PlantationDate]])," ", YEAR(CompilDonnées[[#This Row],[PlantationDate]]))</f>
        <v>7 2025</v>
      </c>
      <c r="M3769" t="str">
        <f>CONCATENATE(MONTH(CompilDonnées[[#This Row],[HarvestingDate]])," ", YEAR(CompilDonnées[[#This Row],[HarvestingDate]]))</f>
        <v>8 2025</v>
      </c>
      <c r="N3769">
        <f>_xlfn.NUMBERVALUE(CompilDonnées[[#This Row],[FarmID]]&amp;CompilDonnées[[#This Row],[ModuleNumber]]&amp;CompilDonnées[[#This Row],[PlantationDate]])</f>
        <v>41545845</v>
      </c>
      <c r="O3769" t="str">
        <f>CompilDonnées[[#This Row],[FarmID]]&amp;CompilDonnées[[#This Row],[ModuleNumber]]</f>
        <v>415</v>
      </c>
      <c r="P3769" t="str">
        <f>CompilDonnées[[#This Row],[Ref_Module]]&amp;CompilDonnées[[#This Row],[HarvestingDate]]</f>
        <v>41545882</v>
      </c>
    </row>
    <row r="3770" spans="1:16">
      <c r="A3770" s="5">
        <v>45845</v>
      </c>
      <c r="B3770">
        <v>43</v>
      </c>
      <c r="C3770" t="s">
        <v>45</v>
      </c>
      <c r="D3770">
        <v>4</v>
      </c>
      <c r="E3770">
        <v>100</v>
      </c>
      <c r="F3770" t="s">
        <v>1</v>
      </c>
      <c r="G3770" s="6">
        <v>45882</v>
      </c>
      <c r="H3770">
        <v>37</v>
      </c>
      <c r="I3770">
        <f>ROUND(CompilDonnées[[#This Row],[CultureDuration_days]]/7,0)</f>
        <v>5</v>
      </c>
      <c r="J3770">
        <v>2922</v>
      </c>
      <c r="K3770" t="str">
        <f>_xlfn.CONCAT(WEEKNUM(CompilDonnées[[#This Row],[PlantationDate]]), " ", YEAR(CompilDonnées[[#This Row],[PlantationDate]]))</f>
        <v>28 2025</v>
      </c>
      <c r="L3770" t="str">
        <f>CONCATENATE(MONTH(CompilDonnées[[#This Row],[PlantationDate]])," ", YEAR(CompilDonnées[[#This Row],[PlantationDate]]))</f>
        <v>7 2025</v>
      </c>
      <c r="M3770" t="str">
        <f>CONCATENATE(MONTH(CompilDonnées[[#This Row],[HarvestingDate]])," ", YEAR(CompilDonnées[[#This Row],[HarvestingDate]]))</f>
        <v>8 2025</v>
      </c>
      <c r="N3770">
        <f>_xlfn.NUMBERVALUE(CompilDonnées[[#This Row],[FarmID]]&amp;CompilDonnées[[#This Row],[ModuleNumber]]&amp;CompilDonnées[[#This Row],[PlantationDate]])</f>
        <v>43445845</v>
      </c>
      <c r="O3770" t="str">
        <f>CompilDonnées[[#This Row],[FarmID]]&amp;CompilDonnées[[#This Row],[ModuleNumber]]</f>
        <v>434</v>
      </c>
      <c r="P3770" t="str">
        <f>CompilDonnées[[#This Row],[Ref_Module]]&amp;CompilDonnées[[#This Row],[HarvestingDate]]</f>
        <v>43445882</v>
      </c>
    </row>
    <row r="3771" spans="1:16">
      <c r="A3771" s="5">
        <v>45845</v>
      </c>
      <c r="B3771">
        <v>58</v>
      </c>
      <c r="C3771" t="s">
        <v>35</v>
      </c>
      <c r="D3771">
        <v>1</v>
      </c>
      <c r="E3771">
        <v>100</v>
      </c>
      <c r="F3771" t="s">
        <v>1</v>
      </c>
      <c r="G3771" s="6">
        <v>45889</v>
      </c>
      <c r="H3771">
        <v>44</v>
      </c>
      <c r="I3771">
        <f>ROUND(CompilDonnées[[#This Row],[CultureDuration_days]]/7,0)</f>
        <v>6</v>
      </c>
      <c r="J3771">
        <v>2768</v>
      </c>
      <c r="K3771" t="str">
        <f>_xlfn.CONCAT(WEEKNUM(CompilDonnées[[#This Row],[PlantationDate]]), " ", YEAR(CompilDonnées[[#This Row],[PlantationDate]]))</f>
        <v>28 2025</v>
      </c>
      <c r="L3771" t="str">
        <f>CONCATENATE(MONTH(CompilDonnées[[#This Row],[PlantationDate]])," ", YEAR(CompilDonnées[[#This Row],[PlantationDate]]))</f>
        <v>7 2025</v>
      </c>
      <c r="M3771" t="str">
        <f>CONCATENATE(MONTH(CompilDonnées[[#This Row],[HarvestingDate]])," ", YEAR(CompilDonnées[[#This Row],[HarvestingDate]]))</f>
        <v>8 2025</v>
      </c>
      <c r="N3771">
        <f>_xlfn.NUMBERVALUE(CompilDonnées[[#This Row],[FarmID]]&amp;CompilDonnées[[#This Row],[ModuleNumber]]&amp;CompilDonnées[[#This Row],[PlantationDate]])</f>
        <v>58145845</v>
      </c>
      <c r="O3771" t="str">
        <f>CompilDonnées[[#This Row],[FarmID]]&amp;CompilDonnées[[#This Row],[ModuleNumber]]</f>
        <v>581</v>
      </c>
      <c r="P3771" t="str">
        <f>CompilDonnées[[#This Row],[Ref_Module]]&amp;CompilDonnées[[#This Row],[HarvestingDate]]</f>
        <v>58145889</v>
      </c>
    </row>
    <row r="3772" spans="1:16">
      <c r="A3772" s="5">
        <v>45845</v>
      </c>
      <c r="B3772">
        <v>65</v>
      </c>
      <c r="C3772" t="s">
        <v>36</v>
      </c>
      <c r="D3772">
        <v>5</v>
      </c>
      <c r="E3772">
        <v>100</v>
      </c>
      <c r="F3772" t="s">
        <v>1</v>
      </c>
      <c r="G3772" s="6">
        <v>45896</v>
      </c>
      <c r="H3772">
        <v>51</v>
      </c>
      <c r="I3772">
        <f>ROUND(CompilDonnées[[#This Row],[CultureDuration_days]]/7,0)</f>
        <v>7</v>
      </c>
      <c r="J3772">
        <v>2703</v>
      </c>
      <c r="K3772" t="str">
        <f>_xlfn.CONCAT(WEEKNUM(CompilDonnées[[#This Row],[PlantationDate]]), " ", YEAR(CompilDonnées[[#This Row],[PlantationDate]]))</f>
        <v>28 2025</v>
      </c>
      <c r="L3772" t="str">
        <f>CONCATENATE(MONTH(CompilDonnées[[#This Row],[PlantationDate]])," ", YEAR(CompilDonnées[[#This Row],[PlantationDate]]))</f>
        <v>7 2025</v>
      </c>
      <c r="M3772" t="str">
        <f>CONCATENATE(MONTH(CompilDonnées[[#This Row],[HarvestingDate]])," ", YEAR(CompilDonnées[[#This Row],[HarvestingDate]]))</f>
        <v>8 2025</v>
      </c>
      <c r="N3772">
        <f>_xlfn.NUMBERVALUE(CompilDonnées[[#This Row],[FarmID]]&amp;CompilDonnées[[#This Row],[ModuleNumber]]&amp;CompilDonnées[[#This Row],[PlantationDate]])</f>
        <v>65545845</v>
      </c>
      <c r="O3772" t="str">
        <f>CompilDonnées[[#This Row],[FarmID]]&amp;CompilDonnées[[#This Row],[ModuleNumber]]</f>
        <v>655</v>
      </c>
      <c r="P3772" t="str">
        <f>CompilDonnées[[#This Row],[Ref_Module]]&amp;CompilDonnées[[#This Row],[HarvestingDate]]</f>
        <v>65545896</v>
      </c>
    </row>
    <row r="3773" spans="1:16">
      <c r="A3773" s="5">
        <v>45845</v>
      </c>
      <c r="B3773">
        <v>55</v>
      </c>
      <c r="C3773" t="s">
        <v>60</v>
      </c>
      <c r="D3773">
        <v>2</v>
      </c>
      <c r="E3773">
        <v>100</v>
      </c>
      <c r="F3773" t="s">
        <v>1</v>
      </c>
      <c r="G3773" s="6">
        <v>45890</v>
      </c>
      <c r="H3773">
        <v>45</v>
      </c>
      <c r="I3773">
        <f>ROUND(CompilDonnées[[#This Row],[CultureDuration_days]]/7,0)</f>
        <v>6</v>
      </c>
      <c r="J3773">
        <v>1715</v>
      </c>
      <c r="K3773" t="str">
        <f>_xlfn.CONCAT(WEEKNUM(CompilDonnées[[#This Row],[PlantationDate]]), " ", YEAR(CompilDonnées[[#This Row],[PlantationDate]]))</f>
        <v>28 2025</v>
      </c>
      <c r="L3773" t="str">
        <f>CONCATENATE(MONTH(CompilDonnées[[#This Row],[PlantationDate]])," ", YEAR(CompilDonnées[[#This Row],[PlantationDate]]))</f>
        <v>7 2025</v>
      </c>
      <c r="M3773" t="str">
        <f>CONCATENATE(MONTH(CompilDonnées[[#This Row],[HarvestingDate]])," ", YEAR(CompilDonnées[[#This Row],[HarvestingDate]]))</f>
        <v>8 2025</v>
      </c>
      <c r="N3773">
        <f>_xlfn.NUMBERVALUE(CompilDonnées[[#This Row],[FarmID]]&amp;CompilDonnées[[#This Row],[ModuleNumber]]&amp;CompilDonnées[[#This Row],[PlantationDate]])</f>
        <v>55245845</v>
      </c>
      <c r="O3773" t="str">
        <f>CompilDonnées[[#This Row],[FarmID]]&amp;CompilDonnées[[#This Row],[ModuleNumber]]</f>
        <v>552</v>
      </c>
      <c r="P3773" t="str">
        <f>CompilDonnées[[#This Row],[Ref_Module]]&amp;CompilDonnées[[#This Row],[HarvestingDate]]</f>
        <v>55245890</v>
      </c>
    </row>
    <row r="3774" spans="1:16">
      <c r="A3774" s="5">
        <v>45845</v>
      </c>
      <c r="B3774">
        <v>49</v>
      </c>
      <c r="C3774" t="s">
        <v>110</v>
      </c>
      <c r="D3774">
        <v>1</v>
      </c>
      <c r="E3774">
        <v>100</v>
      </c>
      <c r="F3774" t="s">
        <v>1</v>
      </c>
      <c r="G3774" s="6">
        <v>45889</v>
      </c>
      <c r="H3774">
        <v>44</v>
      </c>
      <c r="I3774">
        <f>ROUND(CompilDonnées[[#This Row],[CultureDuration_days]]/7,0)</f>
        <v>6</v>
      </c>
      <c r="J3774">
        <v>2250</v>
      </c>
      <c r="K3774" t="str">
        <f>_xlfn.CONCAT(WEEKNUM(CompilDonnées[[#This Row],[PlantationDate]]), " ", YEAR(CompilDonnées[[#This Row],[PlantationDate]]))</f>
        <v>28 2025</v>
      </c>
      <c r="L3774" t="str">
        <f>CONCATENATE(MONTH(CompilDonnées[[#This Row],[PlantationDate]])," ", YEAR(CompilDonnées[[#This Row],[PlantationDate]]))</f>
        <v>7 2025</v>
      </c>
      <c r="M3774" t="str">
        <f>CONCATENATE(MONTH(CompilDonnées[[#This Row],[HarvestingDate]])," ", YEAR(CompilDonnées[[#This Row],[HarvestingDate]]))</f>
        <v>8 2025</v>
      </c>
      <c r="N3774">
        <f>_xlfn.NUMBERVALUE(CompilDonnées[[#This Row],[FarmID]]&amp;CompilDonnées[[#This Row],[ModuleNumber]]&amp;CompilDonnées[[#This Row],[PlantationDate]])</f>
        <v>49145845</v>
      </c>
      <c r="O3774" t="str">
        <f>CompilDonnées[[#This Row],[FarmID]]&amp;CompilDonnées[[#This Row],[ModuleNumber]]</f>
        <v>491</v>
      </c>
      <c r="P3774" t="str">
        <f>CompilDonnées[[#This Row],[Ref_Module]]&amp;CompilDonnées[[#This Row],[HarvestingDate]]</f>
        <v>49145889</v>
      </c>
    </row>
    <row r="3775" spans="1:16">
      <c r="A3775" s="5">
        <v>45845</v>
      </c>
      <c r="B3775">
        <v>48</v>
      </c>
      <c r="C3775" t="s">
        <v>71</v>
      </c>
      <c r="D3775">
        <v>4</v>
      </c>
      <c r="E3775">
        <v>100</v>
      </c>
      <c r="F3775" t="s">
        <v>1</v>
      </c>
      <c r="G3775" s="6">
        <v>45889</v>
      </c>
      <c r="H3775">
        <v>44</v>
      </c>
      <c r="I3775">
        <f>ROUND(CompilDonnées[[#This Row],[CultureDuration_days]]/7,0)</f>
        <v>6</v>
      </c>
      <c r="J3775">
        <v>2493</v>
      </c>
      <c r="K3775" t="str">
        <f>_xlfn.CONCAT(WEEKNUM(CompilDonnées[[#This Row],[PlantationDate]]), " ", YEAR(CompilDonnées[[#This Row],[PlantationDate]]))</f>
        <v>28 2025</v>
      </c>
      <c r="L3775" t="str">
        <f>CONCATENATE(MONTH(CompilDonnées[[#This Row],[PlantationDate]])," ", YEAR(CompilDonnées[[#This Row],[PlantationDate]]))</f>
        <v>7 2025</v>
      </c>
      <c r="M3775" t="str">
        <f>CONCATENATE(MONTH(CompilDonnées[[#This Row],[HarvestingDate]])," ", YEAR(CompilDonnées[[#This Row],[HarvestingDate]]))</f>
        <v>8 2025</v>
      </c>
      <c r="N3775">
        <f>_xlfn.NUMBERVALUE(CompilDonnées[[#This Row],[FarmID]]&amp;CompilDonnées[[#This Row],[ModuleNumber]]&amp;CompilDonnées[[#This Row],[PlantationDate]])</f>
        <v>48445845</v>
      </c>
      <c r="O3775" t="str">
        <f>CompilDonnées[[#This Row],[FarmID]]&amp;CompilDonnées[[#This Row],[ModuleNumber]]</f>
        <v>484</v>
      </c>
      <c r="P3775" t="str">
        <f>CompilDonnées[[#This Row],[Ref_Module]]&amp;CompilDonnées[[#This Row],[HarvestingDate]]</f>
        <v>48445889</v>
      </c>
    </row>
    <row r="3776" spans="1:16">
      <c r="A3776" s="5">
        <v>45845</v>
      </c>
      <c r="B3776">
        <v>51</v>
      </c>
      <c r="C3776" t="s">
        <v>27</v>
      </c>
      <c r="D3776">
        <v>4</v>
      </c>
      <c r="E3776">
        <v>100</v>
      </c>
      <c r="F3776" t="s">
        <v>1</v>
      </c>
      <c r="G3776" s="6">
        <v>45890</v>
      </c>
      <c r="H3776">
        <v>45</v>
      </c>
      <c r="I3776">
        <f>ROUND(CompilDonnées[[#This Row],[CultureDuration_days]]/7,0)</f>
        <v>6</v>
      </c>
      <c r="J3776">
        <v>3212</v>
      </c>
      <c r="K3776" t="str">
        <f>_xlfn.CONCAT(WEEKNUM(CompilDonnées[[#This Row],[PlantationDate]]), " ", YEAR(CompilDonnées[[#This Row],[PlantationDate]]))</f>
        <v>28 2025</v>
      </c>
      <c r="L3776" t="str">
        <f>CONCATENATE(MONTH(CompilDonnées[[#This Row],[PlantationDate]])," ", YEAR(CompilDonnées[[#This Row],[PlantationDate]]))</f>
        <v>7 2025</v>
      </c>
      <c r="M3776" t="str">
        <f>CONCATENATE(MONTH(CompilDonnées[[#This Row],[HarvestingDate]])," ", YEAR(CompilDonnées[[#This Row],[HarvestingDate]]))</f>
        <v>8 2025</v>
      </c>
      <c r="N3776">
        <f>_xlfn.NUMBERVALUE(CompilDonnées[[#This Row],[FarmID]]&amp;CompilDonnées[[#This Row],[ModuleNumber]]&amp;CompilDonnées[[#This Row],[PlantationDate]])</f>
        <v>51445845</v>
      </c>
      <c r="O3776" t="str">
        <f>CompilDonnées[[#This Row],[FarmID]]&amp;CompilDonnées[[#This Row],[ModuleNumber]]</f>
        <v>514</v>
      </c>
      <c r="P3776" t="str">
        <f>CompilDonnées[[#This Row],[Ref_Module]]&amp;CompilDonnées[[#This Row],[HarvestingDate]]</f>
        <v>51445890</v>
      </c>
    </row>
    <row r="3777" spans="1:16">
      <c r="A3777" s="5">
        <v>45845</v>
      </c>
      <c r="B3777">
        <v>50</v>
      </c>
      <c r="C3777" t="s">
        <v>55</v>
      </c>
      <c r="D3777">
        <v>2</v>
      </c>
      <c r="E3777">
        <v>100</v>
      </c>
      <c r="F3777" t="s">
        <v>1</v>
      </c>
      <c r="G3777" s="6">
        <v>45889</v>
      </c>
      <c r="H3777">
        <v>44</v>
      </c>
      <c r="I3777">
        <f>ROUND(CompilDonnées[[#This Row],[CultureDuration_days]]/7,0)</f>
        <v>6</v>
      </c>
      <c r="J3777">
        <v>2714</v>
      </c>
      <c r="K3777" t="str">
        <f>_xlfn.CONCAT(WEEKNUM(CompilDonnées[[#This Row],[PlantationDate]]), " ", YEAR(CompilDonnées[[#This Row],[PlantationDate]]))</f>
        <v>28 2025</v>
      </c>
      <c r="L3777" t="str">
        <f>CONCATENATE(MONTH(CompilDonnées[[#This Row],[PlantationDate]])," ", YEAR(CompilDonnées[[#This Row],[PlantationDate]]))</f>
        <v>7 2025</v>
      </c>
      <c r="M3777" t="str">
        <f>CONCATENATE(MONTH(CompilDonnées[[#This Row],[HarvestingDate]])," ", YEAR(CompilDonnées[[#This Row],[HarvestingDate]]))</f>
        <v>8 2025</v>
      </c>
      <c r="N3777">
        <f>_xlfn.NUMBERVALUE(CompilDonnées[[#This Row],[FarmID]]&amp;CompilDonnées[[#This Row],[ModuleNumber]]&amp;CompilDonnées[[#This Row],[PlantationDate]])</f>
        <v>50245845</v>
      </c>
      <c r="O3777" t="str">
        <f>CompilDonnées[[#This Row],[FarmID]]&amp;CompilDonnées[[#This Row],[ModuleNumber]]</f>
        <v>502</v>
      </c>
      <c r="P3777" t="str">
        <f>CompilDonnées[[#This Row],[Ref_Module]]&amp;CompilDonnées[[#This Row],[HarvestingDate]]</f>
        <v>50245889</v>
      </c>
    </row>
    <row r="3778" spans="1:16">
      <c r="A3778" s="5">
        <v>45845</v>
      </c>
      <c r="B3778">
        <v>81</v>
      </c>
      <c r="C3778" t="s">
        <v>30</v>
      </c>
      <c r="D3778">
        <v>1</v>
      </c>
      <c r="E3778">
        <v>100</v>
      </c>
      <c r="F3778" t="s">
        <v>1</v>
      </c>
      <c r="G3778" s="6">
        <v>45890</v>
      </c>
      <c r="H3778">
        <v>45</v>
      </c>
      <c r="I3778">
        <f>ROUND(CompilDonnées[[#This Row],[CultureDuration_days]]/7,0)</f>
        <v>6</v>
      </c>
      <c r="J3778">
        <v>3790</v>
      </c>
      <c r="K3778" t="str">
        <f>_xlfn.CONCAT(WEEKNUM(CompilDonnées[[#This Row],[PlantationDate]]), " ", YEAR(CompilDonnées[[#This Row],[PlantationDate]]))</f>
        <v>28 2025</v>
      </c>
      <c r="L3778" t="str">
        <f>CONCATENATE(MONTH(CompilDonnées[[#This Row],[PlantationDate]])," ", YEAR(CompilDonnées[[#This Row],[PlantationDate]]))</f>
        <v>7 2025</v>
      </c>
      <c r="M3778" t="str">
        <f>CONCATENATE(MONTH(CompilDonnées[[#This Row],[HarvestingDate]])," ", YEAR(CompilDonnées[[#This Row],[HarvestingDate]]))</f>
        <v>8 2025</v>
      </c>
      <c r="N3778">
        <f>_xlfn.NUMBERVALUE(CompilDonnées[[#This Row],[FarmID]]&amp;CompilDonnées[[#This Row],[ModuleNumber]]&amp;CompilDonnées[[#This Row],[PlantationDate]])</f>
        <v>81145845</v>
      </c>
      <c r="O3778" t="str">
        <f>CompilDonnées[[#This Row],[FarmID]]&amp;CompilDonnées[[#This Row],[ModuleNumber]]</f>
        <v>811</v>
      </c>
      <c r="P3778" t="str">
        <f>CompilDonnées[[#This Row],[Ref_Module]]&amp;CompilDonnées[[#This Row],[HarvestingDate]]</f>
        <v>81145890</v>
      </c>
    </row>
    <row r="3779" spans="1:16">
      <c r="A3779" s="5">
        <v>45845</v>
      </c>
      <c r="B3779">
        <v>79</v>
      </c>
      <c r="C3779" t="s">
        <v>61</v>
      </c>
      <c r="D3779">
        <v>3</v>
      </c>
      <c r="E3779">
        <v>100</v>
      </c>
      <c r="F3779" t="s">
        <v>1</v>
      </c>
      <c r="G3779" s="6">
        <v>45890</v>
      </c>
      <c r="H3779">
        <v>45</v>
      </c>
      <c r="I3779">
        <f>ROUND(CompilDonnées[[#This Row],[CultureDuration_days]]/7,0)</f>
        <v>6</v>
      </c>
      <c r="J3779">
        <v>2768</v>
      </c>
      <c r="K3779" t="str">
        <f>_xlfn.CONCAT(WEEKNUM(CompilDonnées[[#This Row],[PlantationDate]]), " ", YEAR(CompilDonnées[[#This Row],[PlantationDate]]))</f>
        <v>28 2025</v>
      </c>
      <c r="L3779" t="str">
        <f>CONCATENATE(MONTH(CompilDonnées[[#This Row],[PlantationDate]])," ", YEAR(CompilDonnées[[#This Row],[PlantationDate]]))</f>
        <v>7 2025</v>
      </c>
      <c r="M3779" t="str">
        <f>CONCATENATE(MONTH(CompilDonnées[[#This Row],[HarvestingDate]])," ", YEAR(CompilDonnées[[#This Row],[HarvestingDate]]))</f>
        <v>8 2025</v>
      </c>
      <c r="N3779">
        <f>_xlfn.NUMBERVALUE(CompilDonnées[[#This Row],[FarmID]]&amp;CompilDonnées[[#This Row],[ModuleNumber]]&amp;CompilDonnées[[#This Row],[PlantationDate]])</f>
        <v>79345845</v>
      </c>
      <c r="O3779" t="str">
        <f>CompilDonnées[[#This Row],[FarmID]]&amp;CompilDonnées[[#This Row],[ModuleNumber]]</f>
        <v>793</v>
      </c>
      <c r="P3779" t="str">
        <f>CompilDonnées[[#This Row],[Ref_Module]]&amp;CompilDonnées[[#This Row],[HarvestingDate]]</f>
        <v>79345890</v>
      </c>
    </row>
    <row r="3780" spans="1:16">
      <c r="A3780" s="5">
        <v>45846</v>
      </c>
      <c r="B3780">
        <v>6</v>
      </c>
      <c r="C3780" t="s">
        <v>24</v>
      </c>
      <c r="D3780">
        <v>4</v>
      </c>
      <c r="E3780">
        <v>100</v>
      </c>
      <c r="F3780" t="s">
        <v>1</v>
      </c>
      <c r="G3780" s="6">
        <v>45887</v>
      </c>
      <c r="H3780">
        <v>41</v>
      </c>
      <c r="I3780">
        <f>ROUND(CompilDonnées[[#This Row],[CultureDuration_days]]/7,0)</f>
        <v>6</v>
      </c>
      <c r="J3780">
        <v>3468</v>
      </c>
      <c r="K3780" t="str">
        <f>_xlfn.CONCAT(WEEKNUM(CompilDonnées[[#This Row],[PlantationDate]]), " ", YEAR(CompilDonnées[[#This Row],[PlantationDate]]))</f>
        <v>28 2025</v>
      </c>
      <c r="L3780" t="str">
        <f>CONCATENATE(MONTH(CompilDonnées[[#This Row],[PlantationDate]])," ", YEAR(CompilDonnées[[#This Row],[PlantationDate]]))</f>
        <v>7 2025</v>
      </c>
      <c r="M3780" t="str">
        <f>CONCATENATE(MONTH(CompilDonnées[[#This Row],[HarvestingDate]])," ", YEAR(CompilDonnées[[#This Row],[HarvestingDate]]))</f>
        <v>8 2025</v>
      </c>
      <c r="N3780">
        <f>_xlfn.NUMBERVALUE(CompilDonnées[[#This Row],[FarmID]]&amp;CompilDonnées[[#This Row],[ModuleNumber]]&amp;CompilDonnées[[#This Row],[PlantationDate]])</f>
        <v>6445846</v>
      </c>
      <c r="O3780" t="str">
        <f>CompilDonnées[[#This Row],[FarmID]]&amp;CompilDonnées[[#This Row],[ModuleNumber]]</f>
        <v>64</v>
      </c>
      <c r="P3780" t="str">
        <f>CompilDonnées[[#This Row],[Ref_Module]]&amp;CompilDonnées[[#This Row],[HarvestingDate]]</f>
        <v>6445887</v>
      </c>
    </row>
    <row r="3781" spans="1:16">
      <c r="A3781" s="5">
        <v>45846</v>
      </c>
      <c r="B3781">
        <v>5</v>
      </c>
      <c r="C3781" t="s">
        <v>32</v>
      </c>
      <c r="D3781">
        <v>6</v>
      </c>
      <c r="E3781">
        <v>100</v>
      </c>
      <c r="F3781" t="s">
        <v>1</v>
      </c>
      <c r="G3781" s="6">
        <v>45898</v>
      </c>
      <c r="H3781">
        <v>52</v>
      </c>
      <c r="I3781">
        <f>ROUND(CompilDonnées[[#This Row],[CultureDuration_days]]/7,0)</f>
        <v>7</v>
      </c>
      <c r="J3781">
        <v>3325</v>
      </c>
      <c r="K3781" t="str">
        <f>_xlfn.CONCAT(WEEKNUM(CompilDonnées[[#This Row],[PlantationDate]]), " ", YEAR(CompilDonnées[[#This Row],[PlantationDate]]))</f>
        <v>28 2025</v>
      </c>
      <c r="L3781" t="str">
        <f>CONCATENATE(MONTH(CompilDonnées[[#This Row],[PlantationDate]])," ", YEAR(CompilDonnées[[#This Row],[PlantationDate]]))</f>
        <v>7 2025</v>
      </c>
      <c r="M3781" t="str">
        <f>CONCATENATE(MONTH(CompilDonnées[[#This Row],[HarvestingDate]])," ", YEAR(CompilDonnées[[#This Row],[HarvestingDate]]))</f>
        <v>8 2025</v>
      </c>
      <c r="N3781">
        <f>_xlfn.NUMBERVALUE(CompilDonnées[[#This Row],[FarmID]]&amp;CompilDonnées[[#This Row],[ModuleNumber]]&amp;CompilDonnées[[#This Row],[PlantationDate]])</f>
        <v>5645846</v>
      </c>
      <c r="O3781" t="str">
        <f>CompilDonnées[[#This Row],[FarmID]]&amp;CompilDonnées[[#This Row],[ModuleNumber]]</f>
        <v>56</v>
      </c>
      <c r="P3781" t="str">
        <f>CompilDonnées[[#This Row],[Ref_Module]]&amp;CompilDonnées[[#This Row],[HarvestingDate]]</f>
        <v>5645898</v>
      </c>
    </row>
    <row r="3782" spans="1:16">
      <c r="A3782" s="5">
        <v>45846</v>
      </c>
      <c r="B3782">
        <v>4</v>
      </c>
      <c r="C3782" t="s">
        <v>74</v>
      </c>
      <c r="D3782">
        <v>5</v>
      </c>
      <c r="E3782">
        <v>100</v>
      </c>
      <c r="F3782" t="s">
        <v>1</v>
      </c>
      <c r="G3782" s="6">
        <v>45882</v>
      </c>
      <c r="H3782">
        <v>36</v>
      </c>
      <c r="I3782">
        <f>ROUND(CompilDonnées[[#This Row],[CultureDuration_days]]/7,0)</f>
        <v>5</v>
      </c>
      <c r="J3782">
        <v>2709</v>
      </c>
      <c r="K3782" t="str">
        <f>_xlfn.CONCAT(WEEKNUM(CompilDonnées[[#This Row],[PlantationDate]]), " ", YEAR(CompilDonnées[[#This Row],[PlantationDate]]))</f>
        <v>28 2025</v>
      </c>
      <c r="L3782" t="str">
        <f>CONCATENATE(MONTH(CompilDonnées[[#This Row],[PlantationDate]])," ", YEAR(CompilDonnées[[#This Row],[PlantationDate]]))</f>
        <v>7 2025</v>
      </c>
      <c r="M3782" t="str">
        <f>CONCATENATE(MONTH(CompilDonnées[[#This Row],[HarvestingDate]])," ", YEAR(CompilDonnées[[#This Row],[HarvestingDate]]))</f>
        <v>8 2025</v>
      </c>
      <c r="N3782">
        <f>_xlfn.NUMBERVALUE(CompilDonnées[[#This Row],[FarmID]]&amp;CompilDonnées[[#This Row],[ModuleNumber]]&amp;CompilDonnées[[#This Row],[PlantationDate]])</f>
        <v>4545846</v>
      </c>
      <c r="O3782" t="str">
        <f>CompilDonnées[[#This Row],[FarmID]]&amp;CompilDonnées[[#This Row],[ModuleNumber]]</f>
        <v>45</v>
      </c>
      <c r="P3782" t="str">
        <f>CompilDonnées[[#This Row],[Ref_Module]]&amp;CompilDonnées[[#This Row],[HarvestingDate]]</f>
        <v>4545882</v>
      </c>
    </row>
    <row r="3783" spans="1:16">
      <c r="A3783" s="5">
        <v>45846</v>
      </c>
      <c r="B3783">
        <v>15</v>
      </c>
      <c r="C3783" t="s">
        <v>5</v>
      </c>
      <c r="D3783">
        <v>6</v>
      </c>
      <c r="E3783">
        <v>100</v>
      </c>
      <c r="F3783" t="s">
        <v>1</v>
      </c>
      <c r="G3783" s="6">
        <v>45882</v>
      </c>
      <c r="H3783">
        <v>36</v>
      </c>
      <c r="I3783">
        <f>ROUND(CompilDonnées[[#This Row],[CultureDuration_days]]/7,0)</f>
        <v>5</v>
      </c>
      <c r="J3783">
        <v>3403</v>
      </c>
      <c r="K3783" t="str">
        <f>_xlfn.CONCAT(WEEKNUM(CompilDonnées[[#This Row],[PlantationDate]]), " ", YEAR(CompilDonnées[[#This Row],[PlantationDate]]))</f>
        <v>28 2025</v>
      </c>
      <c r="L3783" t="str">
        <f>CONCATENATE(MONTH(CompilDonnées[[#This Row],[PlantationDate]])," ", YEAR(CompilDonnées[[#This Row],[PlantationDate]]))</f>
        <v>7 2025</v>
      </c>
      <c r="M3783" t="str">
        <f>CONCATENATE(MONTH(CompilDonnées[[#This Row],[HarvestingDate]])," ", YEAR(CompilDonnées[[#This Row],[HarvestingDate]]))</f>
        <v>8 2025</v>
      </c>
      <c r="N3783">
        <f>_xlfn.NUMBERVALUE(CompilDonnées[[#This Row],[FarmID]]&amp;CompilDonnées[[#This Row],[ModuleNumber]]&amp;CompilDonnées[[#This Row],[PlantationDate]])</f>
        <v>15645846</v>
      </c>
      <c r="O3783" t="str">
        <f>CompilDonnées[[#This Row],[FarmID]]&amp;CompilDonnées[[#This Row],[ModuleNumber]]</f>
        <v>156</v>
      </c>
      <c r="P3783" t="str">
        <f>CompilDonnées[[#This Row],[Ref_Module]]&amp;CompilDonnées[[#This Row],[HarvestingDate]]</f>
        <v>15645882</v>
      </c>
    </row>
    <row r="3784" spans="1:16">
      <c r="A3784" s="5">
        <v>45846</v>
      </c>
      <c r="B3784">
        <v>16</v>
      </c>
      <c r="C3784" t="s">
        <v>112</v>
      </c>
      <c r="D3784">
        <v>3</v>
      </c>
      <c r="E3784">
        <v>100</v>
      </c>
      <c r="F3784" t="s">
        <v>1</v>
      </c>
      <c r="G3784" s="6">
        <v>45882</v>
      </c>
      <c r="H3784">
        <v>36</v>
      </c>
      <c r="I3784">
        <f>ROUND(CompilDonnées[[#This Row],[CultureDuration_days]]/7,0)</f>
        <v>5</v>
      </c>
      <c r="J3784">
        <v>2295</v>
      </c>
      <c r="K3784" t="str">
        <f>_xlfn.CONCAT(WEEKNUM(CompilDonnées[[#This Row],[PlantationDate]]), " ", YEAR(CompilDonnées[[#This Row],[PlantationDate]]))</f>
        <v>28 2025</v>
      </c>
      <c r="L3784" t="str">
        <f>CONCATENATE(MONTH(CompilDonnées[[#This Row],[PlantationDate]])," ", YEAR(CompilDonnées[[#This Row],[PlantationDate]]))</f>
        <v>7 2025</v>
      </c>
      <c r="M3784" t="str">
        <f>CONCATENATE(MONTH(CompilDonnées[[#This Row],[HarvestingDate]])," ", YEAR(CompilDonnées[[#This Row],[HarvestingDate]]))</f>
        <v>8 2025</v>
      </c>
      <c r="N3784">
        <f>_xlfn.NUMBERVALUE(CompilDonnées[[#This Row],[FarmID]]&amp;CompilDonnées[[#This Row],[ModuleNumber]]&amp;CompilDonnées[[#This Row],[PlantationDate]])</f>
        <v>16345846</v>
      </c>
      <c r="O3784" t="str">
        <f>CompilDonnées[[#This Row],[FarmID]]&amp;CompilDonnées[[#This Row],[ModuleNumber]]</f>
        <v>163</v>
      </c>
      <c r="P3784" t="str">
        <f>CompilDonnées[[#This Row],[Ref_Module]]&amp;CompilDonnées[[#This Row],[HarvestingDate]]</f>
        <v>16345882</v>
      </c>
    </row>
    <row r="3785" spans="1:16">
      <c r="A3785" s="5">
        <v>45846</v>
      </c>
      <c r="B3785">
        <v>17</v>
      </c>
      <c r="C3785" t="s">
        <v>80</v>
      </c>
      <c r="D3785">
        <v>3</v>
      </c>
      <c r="E3785">
        <v>100</v>
      </c>
      <c r="F3785" t="s">
        <v>1</v>
      </c>
      <c r="G3785" s="6">
        <v>45887</v>
      </c>
      <c r="H3785">
        <v>41</v>
      </c>
      <c r="I3785">
        <f>ROUND(CompilDonnées[[#This Row],[CultureDuration_days]]/7,0)</f>
        <v>6</v>
      </c>
      <c r="J3785">
        <v>3089</v>
      </c>
      <c r="K3785" t="str">
        <f>_xlfn.CONCAT(WEEKNUM(CompilDonnées[[#This Row],[PlantationDate]]), " ", YEAR(CompilDonnées[[#This Row],[PlantationDate]]))</f>
        <v>28 2025</v>
      </c>
      <c r="L3785" t="str">
        <f>CONCATENATE(MONTH(CompilDonnées[[#This Row],[PlantationDate]])," ", YEAR(CompilDonnées[[#This Row],[PlantationDate]]))</f>
        <v>7 2025</v>
      </c>
      <c r="M3785" t="str">
        <f>CONCATENATE(MONTH(CompilDonnées[[#This Row],[HarvestingDate]])," ", YEAR(CompilDonnées[[#This Row],[HarvestingDate]]))</f>
        <v>8 2025</v>
      </c>
      <c r="N3785">
        <f>_xlfn.NUMBERVALUE(CompilDonnées[[#This Row],[FarmID]]&amp;CompilDonnées[[#This Row],[ModuleNumber]]&amp;CompilDonnées[[#This Row],[PlantationDate]])</f>
        <v>17345846</v>
      </c>
      <c r="O3785" t="str">
        <f>CompilDonnées[[#This Row],[FarmID]]&amp;CompilDonnées[[#This Row],[ModuleNumber]]</f>
        <v>173</v>
      </c>
      <c r="P3785" t="str">
        <f>CompilDonnées[[#This Row],[Ref_Module]]&amp;CompilDonnées[[#This Row],[HarvestingDate]]</f>
        <v>17345887</v>
      </c>
    </row>
    <row r="3786" spans="1:16">
      <c r="A3786" s="5">
        <v>45846</v>
      </c>
      <c r="B3786">
        <v>18</v>
      </c>
      <c r="C3786" t="s">
        <v>33</v>
      </c>
      <c r="D3786">
        <v>2</v>
      </c>
      <c r="E3786">
        <v>100</v>
      </c>
      <c r="F3786" t="s">
        <v>1</v>
      </c>
      <c r="G3786" s="6">
        <v>45887</v>
      </c>
      <c r="H3786">
        <v>41</v>
      </c>
      <c r="I3786">
        <f>ROUND(CompilDonnées[[#This Row],[CultureDuration_days]]/7,0)</f>
        <v>6</v>
      </c>
      <c r="J3786">
        <v>4010</v>
      </c>
      <c r="K3786" t="str">
        <f>_xlfn.CONCAT(WEEKNUM(CompilDonnées[[#This Row],[PlantationDate]]), " ", YEAR(CompilDonnées[[#This Row],[PlantationDate]]))</f>
        <v>28 2025</v>
      </c>
      <c r="L3786" t="str">
        <f>CONCATENATE(MONTH(CompilDonnées[[#This Row],[PlantationDate]])," ", YEAR(CompilDonnées[[#This Row],[PlantationDate]]))</f>
        <v>7 2025</v>
      </c>
      <c r="M3786" t="str">
        <f>CONCATENATE(MONTH(CompilDonnées[[#This Row],[HarvestingDate]])," ", YEAR(CompilDonnées[[#This Row],[HarvestingDate]]))</f>
        <v>8 2025</v>
      </c>
      <c r="N3786">
        <f>_xlfn.NUMBERVALUE(CompilDonnées[[#This Row],[FarmID]]&amp;CompilDonnées[[#This Row],[ModuleNumber]]&amp;CompilDonnées[[#This Row],[PlantationDate]])</f>
        <v>18245846</v>
      </c>
      <c r="O3786" t="str">
        <f>CompilDonnées[[#This Row],[FarmID]]&amp;CompilDonnées[[#This Row],[ModuleNumber]]</f>
        <v>182</v>
      </c>
      <c r="P3786" t="str">
        <f>CompilDonnées[[#This Row],[Ref_Module]]&amp;CompilDonnées[[#This Row],[HarvestingDate]]</f>
        <v>18245887</v>
      </c>
    </row>
    <row r="3787" spans="1:16">
      <c r="A3787" s="5">
        <v>45846</v>
      </c>
      <c r="B3787">
        <v>24</v>
      </c>
      <c r="C3787" t="s">
        <v>31</v>
      </c>
      <c r="D3787">
        <v>4</v>
      </c>
      <c r="E3787">
        <v>100</v>
      </c>
      <c r="F3787" t="s">
        <v>1</v>
      </c>
      <c r="G3787" s="6">
        <v>45882</v>
      </c>
      <c r="H3787">
        <v>36</v>
      </c>
      <c r="I3787">
        <f>ROUND(CompilDonnées[[#This Row],[CultureDuration_days]]/7,0)</f>
        <v>5</v>
      </c>
      <c r="J3787">
        <v>3308</v>
      </c>
      <c r="K3787" t="str">
        <f>_xlfn.CONCAT(WEEKNUM(CompilDonnées[[#This Row],[PlantationDate]]), " ", YEAR(CompilDonnées[[#This Row],[PlantationDate]]))</f>
        <v>28 2025</v>
      </c>
      <c r="L3787" t="str">
        <f>CONCATENATE(MONTH(CompilDonnées[[#This Row],[PlantationDate]])," ", YEAR(CompilDonnées[[#This Row],[PlantationDate]]))</f>
        <v>7 2025</v>
      </c>
      <c r="M3787" t="str">
        <f>CONCATENATE(MONTH(CompilDonnées[[#This Row],[HarvestingDate]])," ", YEAR(CompilDonnées[[#This Row],[HarvestingDate]]))</f>
        <v>8 2025</v>
      </c>
      <c r="N3787">
        <f>_xlfn.NUMBERVALUE(CompilDonnées[[#This Row],[FarmID]]&amp;CompilDonnées[[#This Row],[ModuleNumber]]&amp;CompilDonnées[[#This Row],[PlantationDate]])</f>
        <v>24445846</v>
      </c>
      <c r="O3787" t="str">
        <f>CompilDonnées[[#This Row],[FarmID]]&amp;CompilDonnées[[#This Row],[ModuleNumber]]</f>
        <v>244</v>
      </c>
      <c r="P3787" t="str">
        <f>CompilDonnées[[#This Row],[Ref_Module]]&amp;CompilDonnées[[#This Row],[HarvestingDate]]</f>
        <v>24445882</v>
      </c>
    </row>
    <row r="3788" spans="1:16">
      <c r="A3788" s="5">
        <v>45846</v>
      </c>
      <c r="B3788">
        <v>23</v>
      </c>
      <c r="C3788" t="s">
        <v>44</v>
      </c>
      <c r="D3788">
        <v>4</v>
      </c>
      <c r="E3788">
        <v>100</v>
      </c>
      <c r="F3788" t="s">
        <v>1</v>
      </c>
      <c r="G3788" s="6">
        <v>45887</v>
      </c>
      <c r="H3788">
        <v>41</v>
      </c>
      <c r="I3788">
        <f>ROUND(CompilDonnées[[#This Row],[CultureDuration_days]]/7,0)</f>
        <v>6</v>
      </c>
      <c r="J3788">
        <v>3312</v>
      </c>
      <c r="K3788" t="str">
        <f>_xlfn.CONCAT(WEEKNUM(CompilDonnées[[#This Row],[PlantationDate]]), " ", YEAR(CompilDonnées[[#This Row],[PlantationDate]]))</f>
        <v>28 2025</v>
      </c>
      <c r="L3788" t="str">
        <f>CONCATENATE(MONTH(CompilDonnées[[#This Row],[PlantationDate]])," ", YEAR(CompilDonnées[[#This Row],[PlantationDate]]))</f>
        <v>7 2025</v>
      </c>
      <c r="M3788" t="str">
        <f>CONCATENATE(MONTH(CompilDonnées[[#This Row],[HarvestingDate]])," ", YEAR(CompilDonnées[[#This Row],[HarvestingDate]]))</f>
        <v>8 2025</v>
      </c>
      <c r="N3788">
        <f>_xlfn.NUMBERVALUE(CompilDonnées[[#This Row],[FarmID]]&amp;CompilDonnées[[#This Row],[ModuleNumber]]&amp;CompilDonnées[[#This Row],[PlantationDate]])</f>
        <v>23445846</v>
      </c>
      <c r="O3788" t="str">
        <f>CompilDonnées[[#This Row],[FarmID]]&amp;CompilDonnées[[#This Row],[ModuleNumber]]</f>
        <v>234</v>
      </c>
      <c r="P3788" t="str">
        <f>CompilDonnées[[#This Row],[Ref_Module]]&amp;CompilDonnées[[#This Row],[HarvestingDate]]</f>
        <v>23445887</v>
      </c>
    </row>
    <row r="3789" spans="1:16">
      <c r="A3789" s="5">
        <v>45846</v>
      </c>
      <c r="B3789">
        <v>22</v>
      </c>
      <c r="C3789" t="s">
        <v>43</v>
      </c>
      <c r="D3789">
        <v>4</v>
      </c>
      <c r="E3789">
        <v>100</v>
      </c>
      <c r="F3789" t="s">
        <v>1</v>
      </c>
      <c r="G3789" s="6">
        <v>45887</v>
      </c>
      <c r="H3789">
        <v>41</v>
      </c>
      <c r="I3789">
        <f>ROUND(CompilDonnées[[#This Row],[CultureDuration_days]]/7,0)</f>
        <v>6</v>
      </c>
      <c r="J3789">
        <v>3004</v>
      </c>
      <c r="K3789" t="str">
        <f>_xlfn.CONCAT(WEEKNUM(CompilDonnées[[#This Row],[PlantationDate]]), " ", YEAR(CompilDonnées[[#This Row],[PlantationDate]]))</f>
        <v>28 2025</v>
      </c>
      <c r="L3789" t="str">
        <f>CONCATENATE(MONTH(CompilDonnées[[#This Row],[PlantationDate]])," ", YEAR(CompilDonnées[[#This Row],[PlantationDate]]))</f>
        <v>7 2025</v>
      </c>
      <c r="M3789" t="str">
        <f>CONCATENATE(MONTH(CompilDonnées[[#This Row],[HarvestingDate]])," ", YEAR(CompilDonnées[[#This Row],[HarvestingDate]]))</f>
        <v>8 2025</v>
      </c>
      <c r="N3789">
        <f>_xlfn.NUMBERVALUE(CompilDonnées[[#This Row],[FarmID]]&amp;CompilDonnées[[#This Row],[ModuleNumber]]&amp;CompilDonnées[[#This Row],[PlantationDate]])</f>
        <v>22445846</v>
      </c>
      <c r="O3789" t="str">
        <f>CompilDonnées[[#This Row],[FarmID]]&amp;CompilDonnées[[#This Row],[ModuleNumber]]</f>
        <v>224</v>
      </c>
      <c r="P3789" t="str">
        <f>CompilDonnées[[#This Row],[Ref_Module]]&amp;CompilDonnées[[#This Row],[HarvestingDate]]</f>
        <v>22445887</v>
      </c>
    </row>
    <row r="3790" spans="1:16">
      <c r="A3790" s="5">
        <v>45846</v>
      </c>
      <c r="B3790">
        <v>32</v>
      </c>
      <c r="C3790" t="s">
        <v>25</v>
      </c>
      <c r="D3790">
        <v>2</v>
      </c>
      <c r="E3790">
        <v>100</v>
      </c>
      <c r="F3790" t="s">
        <v>1</v>
      </c>
      <c r="G3790" s="6">
        <v>45889</v>
      </c>
      <c r="H3790">
        <v>43</v>
      </c>
      <c r="I3790">
        <f>ROUND(CompilDonnées[[#This Row],[CultureDuration_days]]/7,0)</f>
        <v>6</v>
      </c>
      <c r="J3790">
        <v>4066</v>
      </c>
      <c r="K3790" t="str">
        <f>_xlfn.CONCAT(WEEKNUM(CompilDonnées[[#This Row],[PlantationDate]]), " ", YEAR(CompilDonnées[[#This Row],[PlantationDate]]))</f>
        <v>28 2025</v>
      </c>
      <c r="L3790" t="str">
        <f>CONCATENATE(MONTH(CompilDonnées[[#This Row],[PlantationDate]])," ", YEAR(CompilDonnées[[#This Row],[PlantationDate]]))</f>
        <v>7 2025</v>
      </c>
      <c r="M3790" t="str">
        <f>CONCATENATE(MONTH(CompilDonnées[[#This Row],[HarvestingDate]])," ", YEAR(CompilDonnées[[#This Row],[HarvestingDate]]))</f>
        <v>8 2025</v>
      </c>
      <c r="N3790">
        <f>_xlfn.NUMBERVALUE(CompilDonnées[[#This Row],[FarmID]]&amp;CompilDonnées[[#This Row],[ModuleNumber]]&amp;CompilDonnées[[#This Row],[PlantationDate]])</f>
        <v>32245846</v>
      </c>
      <c r="O3790" t="str">
        <f>CompilDonnées[[#This Row],[FarmID]]&amp;CompilDonnées[[#This Row],[ModuleNumber]]</f>
        <v>322</v>
      </c>
      <c r="P3790" t="str">
        <f>CompilDonnées[[#This Row],[Ref_Module]]&amp;CompilDonnées[[#This Row],[HarvestingDate]]</f>
        <v>32245889</v>
      </c>
    </row>
    <row r="3791" spans="1:16">
      <c r="A3791" s="5">
        <v>45846</v>
      </c>
      <c r="B3791">
        <v>31</v>
      </c>
      <c r="C3791" t="s">
        <v>62</v>
      </c>
      <c r="D3791">
        <v>1</v>
      </c>
      <c r="E3791">
        <v>100</v>
      </c>
      <c r="F3791" t="s">
        <v>1</v>
      </c>
      <c r="G3791" s="6">
        <v>45889</v>
      </c>
      <c r="H3791">
        <v>43</v>
      </c>
      <c r="I3791">
        <f>ROUND(CompilDonnées[[#This Row],[CultureDuration_days]]/7,0)</f>
        <v>6</v>
      </c>
      <c r="J3791">
        <v>2502</v>
      </c>
      <c r="K3791" t="str">
        <f>_xlfn.CONCAT(WEEKNUM(CompilDonnées[[#This Row],[PlantationDate]]), " ", YEAR(CompilDonnées[[#This Row],[PlantationDate]]))</f>
        <v>28 2025</v>
      </c>
      <c r="L3791" t="str">
        <f>CONCATENATE(MONTH(CompilDonnées[[#This Row],[PlantationDate]])," ", YEAR(CompilDonnées[[#This Row],[PlantationDate]]))</f>
        <v>7 2025</v>
      </c>
      <c r="M3791" t="str">
        <f>CONCATENATE(MONTH(CompilDonnées[[#This Row],[HarvestingDate]])," ", YEAR(CompilDonnées[[#This Row],[HarvestingDate]]))</f>
        <v>8 2025</v>
      </c>
      <c r="N3791">
        <f>_xlfn.NUMBERVALUE(CompilDonnées[[#This Row],[FarmID]]&amp;CompilDonnées[[#This Row],[ModuleNumber]]&amp;CompilDonnées[[#This Row],[PlantationDate]])</f>
        <v>31145846</v>
      </c>
      <c r="O3791" t="str">
        <f>CompilDonnées[[#This Row],[FarmID]]&amp;CompilDonnées[[#This Row],[ModuleNumber]]</f>
        <v>311</v>
      </c>
      <c r="P3791" t="str">
        <f>CompilDonnées[[#This Row],[Ref_Module]]&amp;CompilDonnées[[#This Row],[HarvestingDate]]</f>
        <v>31145889</v>
      </c>
    </row>
    <row r="3792" spans="1:16">
      <c r="A3792" s="5">
        <v>45846</v>
      </c>
      <c r="B3792">
        <v>36</v>
      </c>
      <c r="C3792" t="s">
        <v>63</v>
      </c>
      <c r="D3792">
        <v>5</v>
      </c>
      <c r="E3792">
        <v>100</v>
      </c>
      <c r="F3792" t="s">
        <v>1</v>
      </c>
      <c r="G3792" s="6">
        <v>45882</v>
      </c>
      <c r="H3792">
        <v>36</v>
      </c>
      <c r="I3792">
        <f>ROUND(CompilDonnées[[#This Row],[CultureDuration_days]]/7,0)</f>
        <v>5</v>
      </c>
      <c r="J3792">
        <v>2956</v>
      </c>
      <c r="K3792" t="str">
        <f>_xlfn.CONCAT(WEEKNUM(CompilDonnées[[#This Row],[PlantationDate]]), " ", YEAR(CompilDonnées[[#This Row],[PlantationDate]]))</f>
        <v>28 2025</v>
      </c>
      <c r="L3792" t="str">
        <f>CONCATENATE(MONTH(CompilDonnées[[#This Row],[PlantationDate]])," ", YEAR(CompilDonnées[[#This Row],[PlantationDate]]))</f>
        <v>7 2025</v>
      </c>
      <c r="M3792" t="str">
        <f>CONCATENATE(MONTH(CompilDonnées[[#This Row],[HarvestingDate]])," ", YEAR(CompilDonnées[[#This Row],[HarvestingDate]]))</f>
        <v>8 2025</v>
      </c>
      <c r="N3792">
        <f>_xlfn.NUMBERVALUE(CompilDonnées[[#This Row],[FarmID]]&amp;CompilDonnées[[#This Row],[ModuleNumber]]&amp;CompilDonnées[[#This Row],[PlantationDate]])</f>
        <v>36545846</v>
      </c>
      <c r="O3792" t="str">
        <f>CompilDonnées[[#This Row],[FarmID]]&amp;CompilDonnées[[#This Row],[ModuleNumber]]</f>
        <v>365</v>
      </c>
      <c r="P3792" t="str">
        <f>CompilDonnées[[#This Row],[Ref_Module]]&amp;CompilDonnées[[#This Row],[HarvestingDate]]</f>
        <v>36545882</v>
      </c>
    </row>
    <row r="3793" spans="1:16">
      <c r="A3793" s="5">
        <v>45846</v>
      </c>
      <c r="B3793">
        <v>132</v>
      </c>
      <c r="C3793" t="s">
        <v>120</v>
      </c>
      <c r="D3793">
        <v>3</v>
      </c>
      <c r="E3793">
        <v>100</v>
      </c>
      <c r="F3793" t="s">
        <v>1</v>
      </c>
      <c r="G3793" s="6">
        <v>45878</v>
      </c>
      <c r="H3793">
        <v>32</v>
      </c>
      <c r="I3793">
        <f>ROUND(CompilDonnées[[#This Row],[CultureDuration_days]]/7,0)</f>
        <v>5</v>
      </c>
      <c r="J3793">
        <v>2919</v>
      </c>
      <c r="K3793" t="str">
        <f>_xlfn.CONCAT(WEEKNUM(CompilDonnées[[#This Row],[PlantationDate]]), " ", YEAR(CompilDonnées[[#This Row],[PlantationDate]]))</f>
        <v>28 2025</v>
      </c>
      <c r="L3793" t="str">
        <f>CONCATENATE(MONTH(CompilDonnées[[#This Row],[PlantationDate]])," ", YEAR(CompilDonnées[[#This Row],[PlantationDate]]))</f>
        <v>7 2025</v>
      </c>
      <c r="M3793" t="str">
        <f>CONCATENATE(MONTH(CompilDonnées[[#This Row],[HarvestingDate]])," ", YEAR(CompilDonnées[[#This Row],[HarvestingDate]]))</f>
        <v>8 2025</v>
      </c>
      <c r="N3793">
        <f>_xlfn.NUMBERVALUE(CompilDonnées[[#This Row],[FarmID]]&amp;CompilDonnées[[#This Row],[ModuleNumber]]&amp;CompilDonnées[[#This Row],[PlantationDate]])</f>
        <v>132345846</v>
      </c>
      <c r="O3793" t="str">
        <f>CompilDonnées[[#This Row],[FarmID]]&amp;CompilDonnées[[#This Row],[ModuleNumber]]</f>
        <v>1323</v>
      </c>
      <c r="P3793" t="str">
        <f>CompilDonnées[[#This Row],[Ref_Module]]&amp;CompilDonnées[[#This Row],[HarvestingDate]]</f>
        <v>132345878</v>
      </c>
    </row>
    <row r="3794" spans="1:16">
      <c r="A3794" s="5">
        <v>45846</v>
      </c>
      <c r="B3794">
        <v>133</v>
      </c>
      <c r="C3794" t="s">
        <v>99</v>
      </c>
      <c r="D3794">
        <v>1</v>
      </c>
      <c r="E3794">
        <v>100</v>
      </c>
      <c r="F3794" t="s">
        <v>1</v>
      </c>
      <c r="G3794" s="6">
        <v>45878</v>
      </c>
      <c r="H3794">
        <v>32</v>
      </c>
      <c r="I3794">
        <f>ROUND(CompilDonnées[[#This Row],[CultureDuration_days]]/7,0)</f>
        <v>5</v>
      </c>
      <c r="J3794">
        <v>3747</v>
      </c>
      <c r="K3794" t="str">
        <f>_xlfn.CONCAT(WEEKNUM(CompilDonnées[[#This Row],[PlantationDate]]), " ", YEAR(CompilDonnées[[#This Row],[PlantationDate]]))</f>
        <v>28 2025</v>
      </c>
      <c r="L3794" t="str">
        <f>CONCATENATE(MONTH(CompilDonnées[[#This Row],[PlantationDate]])," ", YEAR(CompilDonnées[[#This Row],[PlantationDate]]))</f>
        <v>7 2025</v>
      </c>
      <c r="M3794" t="str">
        <f>CONCATENATE(MONTH(CompilDonnées[[#This Row],[HarvestingDate]])," ", YEAR(CompilDonnées[[#This Row],[HarvestingDate]]))</f>
        <v>8 2025</v>
      </c>
      <c r="N3794">
        <f>_xlfn.NUMBERVALUE(CompilDonnées[[#This Row],[FarmID]]&amp;CompilDonnées[[#This Row],[ModuleNumber]]&amp;CompilDonnées[[#This Row],[PlantationDate]])</f>
        <v>133145846</v>
      </c>
      <c r="O3794" t="str">
        <f>CompilDonnées[[#This Row],[FarmID]]&amp;CompilDonnées[[#This Row],[ModuleNumber]]</f>
        <v>1331</v>
      </c>
      <c r="P3794" t="str">
        <f>CompilDonnées[[#This Row],[Ref_Module]]&amp;CompilDonnées[[#This Row],[HarvestingDate]]</f>
        <v>133145878</v>
      </c>
    </row>
    <row r="3795" spans="1:16">
      <c r="A3795" s="5">
        <v>45846</v>
      </c>
      <c r="B3795">
        <v>126</v>
      </c>
      <c r="C3795" t="s">
        <v>52</v>
      </c>
      <c r="D3795">
        <v>5</v>
      </c>
      <c r="E3795">
        <v>100</v>
      </c>
      <c r="F3795" t="s">
        <v>1</v>
      </c>
      <c r="G3795" s="6">
        <v>45880</v>
      </c>
      <c r="H3795">
        <v>34</v>
      </c>
      <c r="I3795">
        <f>ROUND(CompilDonnées[[#This Row],[CultureDuration_days]]/7,0)</f>
        <v>5</v>
      </c>
      <c r="J3795">
        <v>3163</v>
      </c>
      <c r="K3795" t="str">
        <f>_xlfn.CONCAT(WEEKNUM(CompilDonnées[[#This Row],[PlantationDate]]), " ", YEAR(CompilDonnées[[#This Row],[PlantationDate]]))</f>
        <v>28 2025</v>
      </c>
      <c r="L3795" t="str">
        <f>CONCATENATE(MONTH(CompilDonnées[[#This Row],[PlantationDate]])," ", YEAR(CompilDonnées[[#This Row],[PlantationDate]]))</f>
        <v>7 2025</v>
      </c>
      <c r="M3795" t="str">
        <f>CONCATENATE(MONTH(CompilDonnées[[#This Row],[HarvestingDate]])," ", YEAR(CompilDonnées[[#This Row],[HarvestingDate]]))</f>
        <v>8 2025</v>
      </c>
      <c r="N3795">
        <f>_xlfn.NUMBERVALUE(CompilDonnées[[#This Row],[FarmID]]&amp;CompilDonnées[[#This Row],[ModuleNumber]]&amp;CompilDonnées[[#This Row],[PlantationDate]])</f>
        <v>126545846</v>
      </c>
      <c r="O3795" t="str">
        <f>CompilDonnées[[#This Row],[FarmID]]&amp;CompilDonnées[[#This Row],[ModuleNumber]]</f>
        <v>1265</v>
      </c>
      <c r="P3795" t="str">
        <f>CompilDonnées[[#This Row],[Ref_Module]]&amp;CompilDonnées[[#This Row],[HarvestingDate]]</f>
        <v>126545880</v>
      </c>
    </row>
    <row r="3796" spans="1:16">
      <c r="A3796" s="5">
        <v>45846</v>
      </c>
      <c r="B3796">
        <v>125</v>
      </c>
      <c r="C3796" t="s">
        <v>101</v>
      </c>
      <c r="D3796">
        <v>6</v>
      </c>
      <c r="E3796">
        <v>100</v>
      </c>
      <c r="F3796" t="s">
        <v>1</v>
      </c>
      <c r="G3796" s="6">
        <v>45891</v>
      </c>
      <c r="H3796">
        <v>45</v>
      </c>
      <c r="I3796">
        <f>ROUND(CompilDonnées[[#This Row],[CultureDuration_days]]/7,0)</f>
        <v>6</v>
      </c>
      <c r="J3796">
        <v>3849</v>
      </c>
      <c r="K3796" t="str">
        <f>_xlfn.CONCAT(WEEKNUM(CompilDonnées[[#This Row],[PlantationDate]]), " ", YEAR(CompilDonnées[[#This Row],[PlantationDate]]))</f>
        <v>28 2025</v>
      </c>
      <c r="L3796" t="str">
        <f>CONCATENATE(MONTH(CompilDonnées[[#This Row],[PlantationDate]])," ", YEAR(CompilDonnées[[#This Row],[PlantationDate]]))</f>
        <v>7 2025</v>
      </c>
      <c r="M3796" t="str">
        <f>CONCATENATE(MONTH(CompilDonnées[[#This Row],[HarvestingDate]])," ", YEAR(CompilDonnées[[#This Row],[HarvestingDate]]))</f>
        <v>8 2025</v>
      </c>
      <c r="N3796">
        <f>_xlfn.NUMBERVALUE(CompilDonnées[[#This Row],[FarmID]]&amp;CompilDonnées[[#This Row],[ModuleNumber]]&amp;CompilDonnées[[#This Row],[PlantationDate]])</f>
        <v>125645846</v>
      </c>
      <c r="O3796" t="str">
        <f>CompilDonnées[[#This Row],[FarmID]]&amp;CompilDonnées[[#This Row],[ModuleNumber]]</f>
        <v>1256</v>
      </c>
      <c r="P3796" t="str">
        <f>CompilDonnées[[#This Row],[Ref_Module]]&amp;CompilDonnées[[#This Row],[HarvestingDate]]</f>
        <v>125645891</v>
      </c>
    </row>
    <row r="3797" spans="1:16">
      <c r="A3797" s="5">
        <v>45846</v>
      </c>
      <c r="B3797">
        <v>7</v>
      </c>
      <c r="C3797" t="s">
        <v>50</v>
      </c>
      <c r="D3797">
        <v>6</v>
      </c>
      <c r="E3797">
        <v>100</v>
      </c>
      <c r="F3797" t="s">
        <v>1</v>
      </c>
      <c r="G3797" s="6">
        <v>45887</v>
      </c>
      <c r="H3797">
        <v>41</v>
      </c>
      <c r="I3797">
        <f>ROUND(CompilDonnées[[#This Row],[CultureDuration_days]]/7,0)</f>
        <v>6</v>
      </c>
      <c r="J3797">
        <v>3104</v>
      </c>
      <c r="K3797" t="str">
        <f>_xlfn.CONCAT(WEEKNUM(CompilDonnées[[#This Row],[PlantationDate]]), " ", YEAR(CompilDonnées[[#This Row],[PlantationDate]]))</f>
        <v>28 2025</v>
      </c>
      <c r="L3797" t="str">
        <f>CONCATENATE(MONTH(CompilDonnées[[#This Row],[PlantationDate]])," ", YEAR(CompilDonnées[[#This Row],[PlantationDate]]))</f>
        <v>7 2025</v>
      </c>
      <c r="M3797" t="str">
        <f>CONCATENATE(MONTH(CompilDonnées[[#This Row],[HarvestingDate]])," ", YEAR(CompilDonnées[[#This Row],[HarvestingDate]]))</f>
        <v>8 2025</v>
      </c>
      <c r="N3797">
        <f>_xlfn.NUMBERVALUE(CompilDonnées[[#This Row],[FarmID]]&amp;CompilDonnées[[#This Row],[ModuleNumber]]&amp;CompilDonnées[[#This Row],[PlantationDate]])</f>
        <v>7645846</v>
      </c>
      <c r="O3797" t="str">
        <f>CompilDonnées[[#This Row],[FarmID]]&amp;CompilDonnées[[#This Row],[ModuleNumber]]</f>
        <v>76</v>
      </c>
      <c r="P3797" t="str">
        <f>CompilDonnées[[#This Row],[Ref_Module]]&amp;CompilDonnées[[#This Row],[HarvestingDate]]</f>
        <v>7645887</v>
      </c>
    </row>
    <row r="3798" spans="1:16">
      <c r="A3798" s="5">
        <v>45846</v>
      </c>
      <c r="B3798">
        <v>9</v>
      </c>
      <c r="C3798" t="s">
        <v>107</v>
      </c>
      <c r="D3798">
        <v>6</v>
      </c>
      <c r="E3798">
        <v>100</v>
      </c>
      <c r="F3798" t="s">
        <v>1</v>
      </c>
      <c r="G3798" s="6">
        <v>45898</v>
      </c>
      <c r="H3798">
        <v>52</v>
      </c>
      <c r="I3798">
        <f>ROUND(CompilDonnées[[#This Row],[CultureDuration_days]]/7,0)</f>
        <v>7</v>
      </c>
      <c r="J3798">
        <v>3471</v>
      </c>
      <c r="K3798" t="str">
        <f>_xlfn.CONCAT(WEEKNUM(CompilDonnées[[#This Row],[PlantationDate]]), " ", YEAR(CompilDonnées[[#This Row],[PlantationDate]]))</f>
        <v>28 2025</v>
      </c>
      <c r="L3798" t="str">
        <f>CONCATENATE(MONTH(CompilDonnées[[#This Row],[PlantationDate]])," ", YEAR(CompilDonnées[[#This Row],[PlantationDate]]))</f>
        <v>7 2025</v>
      </c>
      <c r="M3798" t="str">
        <f>CONCATENATE(MONTH(CompilDonnées[[#This Row],[HarvestingDate]])," ", YEAR(CompilDonnées[[#This Row],[HarvestingDate]]))</f>
        <v>8 2025</v>
      </c>
      <c r="N3798">
        <f>_xlfn.NUMBERVALUE(CompilDonnées[[#This Row],[FarmID]]&amp;CompilDonnées[[#This Row],[ModuleNumber]]&amp;CompilDonnées[[#This Row],[PlantationDate]])</f>
        <v>9645846</v>
      </c>
      <c r="O3798" t="str">
        <f>CompilDonnées[[#This Row],[FarmID]]&amp;CompilDonnées[[#This Row],[ModuleNumber]]</f>
        <v>96</v>
      </c>
      <c r="P3798" t="str">
        <f>CompilDonnées[[#This Row],[Ref_Module]]&amp;CompilDonnées[[#This Row],[HarvestingDate]]</f>
        <v>9645898</v>
      </c>
    </row>
    <row r="3799" spans="1:16">
      <c r="A3799" s="5">
        <v>45846</v>
      </c>
      <c r="B3799">
        <v>1</v>
      </c>
      <c r="C3799" t="s">
        <v>111</v>
      </c>
      <c r="D3799">
        <v>5</v>
      </c>
      <c r="E3799">
        <v>100</v>
      </c>
      <c r="F3799" t="s">
        <v>1</v>
      </c>
      <c r="G3799" s="6">
        <v>45882</v>
      </c>
      <c r="H3799">
        <v>36</v>
      </c>
      <c r="I3799">
        <f>ROUND(CompilDonnées[[#This Row],[CultureDuration_days]]/7,0)</f>
        <v>5</v>
      </c>
      <c r="J3799">
        <v>2538</v>
      </c>
      <c r="K3799" t="str">
        <f>_xlfn.CONCAT(WEEKNUM(CompilDonnées[[#This Row],[PlantationDate]]), " ", YEAR(CompilDonnées[[#This Row],[PlantationDate]]))</f>
        <v>28 2025</v>
      </c>
      <c r="L3799" t="str">
        <f>CONCATENATE(MONTH(CompilDonnées[[#This Row],[PlantationDate]])," ", YEAR(CompilDonnées[[#This Row],[PlantationDate]]))</f>
        <v>7 2025</v>
      </c>
      <c r="M3799" t="str">
        <f>CONCATENATE(MONTH(CompilDonnées[[#This Row],[HarvestingDate]])," ", YEAR(CompilDonnées[[#This Row],[HarvestingDate]]))</f>
        <v>8 2025</v>
      </c>
      <c r="N3799">
        <f>_xlfn.NUMBERVALUE(CompilDonnées[[#This Row],[FarmID]]&amp;CompilDonnées[[#This Row],[ModuleNumber]]&amp;CompilDonnées[[#This Row],[PlantationDate]])</f>
        <v>1545846</v>
      </c>
      <c r="O3799" t="str">
        <f>CompilDonnées[[#This Row],[FarmID]]&amp;CompilDonnées[[#This Row],[ModuleNumber]]</f>
        <v>15</v>
      </c>
      <c r="P3799" t="str">
        <f>CompilDonnées[[#This Row],[Ref_Module]]&amp;CompilDonnées[[#This Row],[HarvestingDate]]</f>
        <v>1545882</v>
      </c>
    </row>
    <row r="3800" spans="1:16">
      <c r="A3800" s="5">
        <v>45846</v>
      </c>
      <c r="B3800">
        <v>2</v>
      </c>
      <c r="C3800" t="s">
        <v>119</v>
      </c>
      <c r="D3800">
        <v>3</v>
      </c>
      <c r="E3800">
        <v>100</v>
      </c>
      <c r="F3800" t="s">
        <v>1</v>
      </c>
      <c r="G3800" s="6">
        <v>45887</v>
      </c>
      <c r="H3800">
        <v>41</v>
      </c>
      <c r="I3800">
        <f>ROUND(CompilDonnées[[#This Row],[CultureDuration_days]]/7,0)</f>
        <v>6</v>
      </c>
      <c r="J3800">
        <v>2678</v>
      </c>
      <c r="K3800" t="str">
        <f>_xlfn.CONCAT(WEEKNUM(CompilDonnées[[#This Row],[PlantationDate]]), " ", YEAR(CompilDonnées[[#This Row],[PlantationDate]]))</f>
        <v>28 2025</v>
      </c>
      <c r="L3800" t="str">
        <f>CONCATENATE(MONTH(CompilDonnées[[#This Row],[PlantationDate]])," ", YEAR(CompilDonnées[[#This Row],[PlantationDate]]))</f>
        <v>7 2025</v>
      </c>
      <c r="M3800" t="str">
        <f>CONCATENATE(MONTH(CompilDonnées[[#This Row],[HarvestingDate]])," ", YEAR(CompilDonnées[[#This Row],[HarvestingDate]]))</f>
        <v>8 2025</v>
      </c>
      <c r="N3800">
        <f>_xlfn.NUMBERVALUE(CompilDonnées[[#This Row],[FarmID]]&amp;CompilDonnées[[#This Row],[ModuleNumber]]&amp;CompilDonnées[[#This Row],[PlantationDate]])</f>
        <v>2345846</v>
      </c>
      <c r="O3800" t="str">
        <f>CompilDonnées[[#This Row],[FarmID]]&amp;CompilDonnées[[#This Row],[ModuleNumber]]</f>
        <v>23</v>
      </c>
      <c r="P3800" t="str">
        <f>CompilDonnées[[#This Row],[Ref_Module]]&amp;CompilDonnées[[#This Row],[HarvestingDate]]</f>
        <v>2345887</v>
      </c>
    </row>
    <row r="3801" spans="1:16">
      <c r="A3801" s="5">
        <v>45846</v>
      </c>
      <c r="B3801">
        <v>70</v>
      </c>
      <c r="C3801" t="s">
        <v>7</v>
      </c>
      <c r="D3801">
        <v>2</v>
      </c>
      <c r="E3801">
        <v>100</v>
      </c>
      <c r="F3801" t="s">
        <v>1</v>
      </c>
      <c r="G3801" s="6">
        <v>45890</v>
      </c>
      <c r="H3801">
        <v>44</v>
      </c>
      <c r="I3801">
        <f>ROUND(CompilDonnées[[#This Row],[CultureDuration_days]]/7,0)</f>
        <v>6</v>
      </c>
      <c r="J3801">
        <v>2585</v>
      </c>
      <c r="K3801" t="str">
        <f>_xlfn.CONCAT(WEEKNUM(CompilDonnées[[#This Row],[PlantationDate]]), " ", YEAR(CompilDonnées[[#This Row],[PlantationDate]]))</f>
        <v>28 2025</v>
      </c>
      <c r="L3801" t="str">
        <f>CONCATENATE(MONTH(CompilDonnées[[#This Row],[PlantationDate]])," ", YEAR(CompilDonnées[[#This Row],[PlantationDate]]))</f>
        <v>7 2025</v>
      </c>
      <c r="M3801" t="str">
        <f>CONCATENATE(MONTH(CompilDonnées[[#This Row],[HarvestingDate]])," ", YEAR(CompilDonnées[[#This Row],[HarvestingDate]]))</f>
        <v>8 2025</v>
      </c>
      <c r="N3801">
        <f>_xlfn.NUMBERVALUE(CompilDonnées[[#This Row],[FarmID]]&amp;CompilDonnées[[#This Row],[ModuleNumber]]&amp;CompilDonnées[[#This Row],[PlantationDate]])</f>
        <v>70245846</v>
      </c>
      <c r="O3801" t="str">
        <f>CompilDonnées[[#This Row],[FarmID]]&amp;CompilDonnées[[#This Row],[ModuleNumber]]</f>
        <v>702</v>
      </c>
      <c r="P3801" t="str">
        <f>CompilDonnées[[#This Row],[Ref_Module]]&amp;CompilDonnées[[#This Row],[HarvestingDate]]</f>
        <v>70245890</v>
      </c>
    </row>
    <row r="3802" spans="1:16">
      <c r="A3802" s="5">
        <v>45846</v>
      </c>
      <c r="B3802">
        <v>13</v>
      </c>
      <c r="C3802" t="s">
        <v>114</v>
      </c>
      <c r="D3802">
        <v>1</v>
      </c>
      <c r="E3802">
        <v>100</v>
      </c>
      <c r="F3802" t="s">
        <v>1</v>
      </c>
      <c r="G3802" s="6">
        <v>45887</v>
      </c>
      <c r="H3802">
        <v>41</v>
      </c>
      <c r="I3802">
        <f>ROUND(CompilDonnées[[#This Row],[CultureDuration_days]]/7,0)</f>
        <v>6</v>
      </c>
      <c r="J3802">
        <v>3581</v>
      </c>
      <c r="K3802" t="str">
        <f>_xlfn.CONCAT(WEEKNUM(CompilDonnées[[#This Row],[PlantationDate]]), " ", YEAR(CompilDonnées[[#This Row],[PlantationDate]]))</f>
        <v>28 2025</v>
      </c>
      <c r="L3802" t="str">
        <f>CONCATENATE(MONTH(CompilDonnées[[#This Row],[PlantationDate]])," ", YEAR(CompilDonnées[[#This Row],[PlantationDate]]))</f>
        <v>7 2025</v>
      </c>
      <c r="M3802" t="str">
        <f>CONCATENATE(MONTH(CompilDonnées[[#This Row],[HarvestingDate]])," ", YEAR(CompilDonnées[[#This Row],[HarvestingDate]]))</f>
        <v>8 2025</v>
      </c>
      <c r="N3802">
        <f>_xlfn.NUMBERVALUE(CompilDonnées[[#This Row],[FarmID]]&amp;CompilDonnées[[#This Row],[ModuleNumber]]&amp;CompilDonnées[[#This Row],[PlantationDate]])</f>
        <v>13145846</v>
      </c>
      <c r="O3802" t="str">
        <f>CompilDonnées[[#This Row],[FarmID]]&amp;CompilDonnées[[#This Row],[ModuleNumber]]</f>
        <v>131</v>
      </c>
      <c r="P3802" t="str">
        <f>CompilDonnées[[#This Row],[Ref_Module]]&amp;CompilDonnées[[#This Row],[HarvestingDate]]</f>
        <v>13145887</v>
      </c>
    </row>
    <row r="3803" spans="1:16">
      <c r="A3803" s="5">
        <v>45846</v>
      </c>
      <c r="B3803">
        <v>20</v>
      </c>
      <c r="C3803" t="s">
        <v>53</v>
      </c>
      <c r="D3803">
        <v>1</v>
      </c>
      <c r="E3803">
        <v>100</v>
      </c>
      <c r="F3803" t="s">
        <v>1</v>
      </c>
      <c r="G3803" s="6">
        <v>45882</v>
      </c>
      <c r="H3803">
        <v>36</v>
      </c>
      <c r="I3803">
        <f>ROUND(CompilDonnées[[#This Row],[CultureDuration_days]]/7,0)</f>
        <v>5</v>
      </c>
      <c r="J3803">
        <v>2120</v>
      </c>
      <c r="K3803" t="str">
        <f>_xlfn.CONCAT(WEEKNUM(CompilDonnées[[#This Row],[PlantationDate]]), " ", YEAR(CompilDonnées[[#This Row],[PlantationDate]]))</f>
        <v>28 2025</v>
      </c>
      <c r="L3803" t="str">
        <f>CONCATENATE(MONTH(CompilDonnées[[#This Row],[PlantationDate]])," ", YEAR(CompilDonnées[[#This Row],[PlantationDate]]))</f>
        <v>7 2025</v>
      </c>
      <c r="M3803" t="str">
        <f>CONCATENATE(MONTH(CompilDonnées[[#This Row],[HarvestingDate]])," ", YEAR(CompilDonnées[[#This Row],[HarvestingDate]]))</f>
        <v>8 2025</v>
      </c>
      <c r="N3803">
        <f>_xlfn.NUMBERVALUE(CompilDonnées[[#This Row],[FarmID]]&amp;CompilDonnées[[#This Row],[ModuleNumber]]&amp;CompilDonnées[[#This Row],[PlantationDate]])</f>
        <v>20145846</v>
      </c>
      <c r="O3803" t="str">
        <f>CompilDonnées[[#This Row],[FarmID]]&amp;CompilDonnées[[#This Row],[ModuleNumber]]</f>
        <v>201</v>
      </c>
      <c r="P3803" t="str">
        <f>CompilDonnées[[#This Row],[Ref_Module]]&amp;CompilDonnées[[#This Row],[HarvestingDate]]</f>
        <v>20145882</v>
      </c>
    </row>
    <row r="3804" spans="1:16">
      <c r="A3804" s="5">
        <v>45846</v>
      </c>
      <c r="B3804">
        <v>19</v>
      </c>
      <c r="C3804" t="s">
        <v>108</v>
      </c>
      <c r="D3804">
        <v>1</v>
      </c>
      <c r="E3804">
        <v>100</v>
      </c>
      <c r="F3804" t="s">
        <v>1</v>
      </c>
      <c r="G3804" s="6">
        <v>45882</v>
      </c>
      <c r="H3804">
        <v>36</v>
      </c>
      <c r="I3804">
        <f>ROUND(CompilDonnées[[#This Row],[CultureDuration_days]]/7,0)</f>
        <v>5</v>
      </c>
      <c r="J3804">
        <v>2090</v>
      </c>
      <c r="K3804" t="str">
        <f>_xlfn.CONCAT(WEEKNUM(CompilDonnées[[#This Row],[PlantationDate]]), " ", YEAR(CompilDonnées[[#This Row],[PlantationDate]]))</f>
        <v>28 2025</v>
      </c>
      <c r="L3804" t="str">
        <f>CONCATENATE(MONTH(CompilDonnées[[#This Row],[PlantationDate]])," ", YEAR(CompilDonnées[[#This Row],[PlantationDate]]))</f>
        <v>7 2025</v>
      </c>
      <c r="M3804" t="str">
        <f>CONCATENATE(MONTH(CompilDonnées[[#This Row],[HarvestingDate]])," ", YEAR(CompilDonnées[[#This Row],[HarvestingDate]]))</f>
        <v>8 2025</v>
      </c>
      <c r="N3804">
        <f>_xlfn.NUMBERVALUE(CompilDonnées[[#This Row],[FarmID]]&amp;CompilDonnées[[#This Row],[ModuleNumber]]&amp;CompilDonnées[[#This Row],[PlantationDate]])</f>
        <v>19145846</v>
      </c>
      <c r="O3804" t="str">
        <f>CompilDonnées[[#This Row],[FarmID]]&amp;CompilDonnées[[#This Row],[ModuleNumber]]</f>
        <v>191</v>
      </c>
      <c r="P3804" t="str">
        <f>CompilDonnées[[#This Row],[Ref_Module]]&amp;CompilDonnées[[#This Row],[HarvestingDate]]</f>
        <v>19145882</v>
      </c>
    </row>
    <row r="3805" spans="1:16">
      <c r="A3805" s="5">
        <v>45846</v>
      </c>
      <c r="B3805">
        <v>10</v>
      </c>
      <c r="C3805" t="s">
        <v>109</v>
      </c>
      <c r="D3805">
        <v>3</v>
      </c>
      <c r="E3805">
        <v>100</v>
      </c>
      <c r="F3805" t="s">
        <v>1</v>
      </c>
      <c r="G3805" s="6">
        <v>45887</v>
      </c>
      <c r="H3805">
        <v>41</v>
      </c>
      <c r="I3805">
        <f>ROUND(CompilDonnées[[#This Row],[CultureDuration_days]]/7,0)</f>
        <v>6</v>
      </c>
      <c r="J3805">
        <v>2208</v>
      </c>
      <c r="K3805" t="str">
        <f>_xlfn.CONCAT(WEEKNUM(CompilDonnées[[#This Row],[PlantationDate]]), " ", YEAR(CompilDonnées[[#This Row],[PlantationDate]]))</f>
        <v>28 2025</v>
      </c>
      <c r="L3805" t="str">
        <f>CONCATENATE(MONTH(CompilDonnées[[#This Row],[PlantationDate]])," ", YEAR(CompilDonnées[[#This Row],[PlantationDate]]))</f>
        <v>7 2025</v>
      </c>
      <c r="M3805" t="str">
        <f>CONCATENATE(MONTH(CompilDonnées[[#This Row],[HarvestingDate]])," ", YEAR(CompilDonnées[[#This Row],[HarvestingDate]]))</f>
        <v>8 2025</v>
      </c>
      <c r="N3805">
        <f>_xlfn.NUMBERVALUE(CompilDonnées[[#This Row],[FarmID]]&amp;CompilDonnées[[#This Row],[ModuleNumber]]&amp;CompilDonnées[[#This Row],[PlantationDate]])</f>
        <v>10345846</v>
      </c>
      <c r="O3805" t="str">
        <f>CompilDonnées[[#This Row],[FarmID]]&amp;CompilDonnées[[#This Row],[ModuleNumber]]</f>
        <v>103</v>
      </c>
      <c r="P3805" t="str">
        <f>CompilDonnées[[#This Row],[Ref_Module]]&amp;CompilDonnées[[#This Row],[HarvestingDate]]</f>
        <v>10345887</v>
      </c>
    </row>
    <row r="3806" spans="1:16">
      <c r="A3806" s="5">
        <v>45847</v>
      </c>
      <c r="B3806">
        <v>87</v>
      </c>
      <c r="C3806" t="s">
        <v>38</v>
      </c>
      <c r="D3806">
        <v>1</v>
      </c>
      <c r="E3806">
        <v>100</v>
      </c>
      <c r="F3806" t="s">
        <v>1</v>
      </c>
      <c r="G3806" s="6">
        <v>45895</v>
      </c>
      <c r="H3806">
        <v>48</v>
      </c>
      <c r="I3806">
        <f>ROUND(CompilDonnées[[#This Row],[CultureDuration_days]]/7,0)</f>
        <v>7</v>
      </c>
      <c r="J3806">
        <v>3237</v>
      </c>
      <c r="K3806" t="str">
        <f>_xlfn.CONCAT(WEEKNUM(CompilDonnées[[#This Row],[PlantationDate]]), " ", YEAR(CompilDonnées[[#This Row],[PlantationDate]]))</f>
        <v>28 2025</v>
      </c>
      <c r="L3806" t="str">
        <f>CONCATENATE(MONTH(CompilDonnées[[#This Row],[PlantationDate]])," ", YEAR(CompilDonnées[[#This Row],[PlantationDate]]))</f>
        <v>7 2025</v>
      </c>
      <c r="M3806" t="str">
        <f>CONCATENATE(MONTH(CompilDonnées[[#This Row],[HarvestingDate]])," ", YEAR(CompilDonnées[[#This Row],[HarvestingDate]]))</f>
        <v>8 2025</v>
      </c>
      <c r="N3806">
        <f>_xlfn.NUMBERVALUE(CompilDonnées[[#This Row],[FarmID]]&amp;CompilDonnées[[#This Row],[ModuleNumber]]&amp;CompilDonnées[[#This Row],[PlantationDate]])</f>
        <v>87145847</v>
      </c>
      <c r="O3806" t="str">
        <f>CompilDonnées[[#This Row],[FarmID]]&amp;CompilDonnées[[#This Row],[ModuleNumber]]</f>
        <v>871</v>
      </c>
      <c r="P3806" t="str">
        <f>CompilDonnées[[#This Row],[Ref_Module]]&amp;CompilDonnées[[#This Row],[HarvestingDate]]</f>
        <v>87145895</v>
      </c>
    </row>
    <row r="3807" spans="1:16">
      <c r="A3807" s="5">
        <v>45847</v>
      </c>
      <c r="B3807">
        <v>91</v>
      </c>
      <c r="C3807" t="s">
        <v>9</v>
      </c>
      <c r="D3807">
        <v>2</v>
      </c>
      <c r="E3807">
        <v>100</v>
      </c>
      <c r="F3807" t="s">
        <v>1</v>
      </c>
      <c r="G3807" s="6">
        <v>45895</v>
      </c>
      <c r="H3807">
        <v>48</v>
      </c>
      <c r="I3807">
        <f>ROUND(CompilDonnées[[#This Row],[CultureDuration_days]]/7,0)</f>
        <v>7</v>
      </c>
      <c r="J3807">
        <v>2600</v>
      </c>
      <c r="K3807" t="str">
        <f>_xlfn.CONCAT(WEEKNUM(CompilDonnées[[#This Row],[PlantationDate]]), " ", YEAR(CompilDonnées[[#This Row],[PlantationDate]]))</f>
        <v>28 2025</v>
      </c>
      <c r="L3807" t="str">
        <f>CONCATENATE(MONTH(CompilDonnées[[#This Row],[PlantationDate]])," ", YEAR(CompilDonnées[[#This Row],[PlantationDate]]))</f>
        <v>7 2025</v>
      </c>
      <c r="M3807" t="str">
        <f>CONCATENATE(MONTH(CompilDonnées[[#This Row],[HarvestingDate]])," ", YEAR(CompilDonnées[[#This Row],[HarvestingDate]]))</f>
        <v>8 2025</v>
      </c>
      <c r="N3807">
        <f>_xlfn.NUMBERVALUE(CompilDonnées[[#This Row],[FarmID]]&amp;CompilDonnées[[#This Row],[ModuleNumber]]&amp;CompilDonnées[[#This Row],[PlantationDate]])</f>
        <v>91245847</v>
      </c>
      <c r="O3807" t="str">
        <f>CompilDonnées[[#This Row],[FarmID]]&amp;CompilDonnées[[#This Row],[ModuleNumber]]</f>
        <v>912</v>
      </c>
      <c r="P3807" t="str">
        <f>CompilDonnées[[#This Row],[Ref_Module]]&amp;CompilDonnées[[#This Row],[HarvestingDate]]</f>
        <v>91245895</v>
      </c>
    </row>
    <row r="3808" spans="1:16">
      <c r="A3808" s="5">
        <v>45847</v>
      </c>
      <c r="B3808">
        <v>116</v>
      </c>
      <c r="C3808" t="s">
        <v>76</v>
      </c>
      <c r="D3808">
        <v>2</v>
      </c>
      <c r="E3808">
        <v>100</v>
      </c>
      <c r="F3808" t="s">
        <v>1</v>
      </c>
      <c r="G3808" s="6">
        <v>45880</v>
      </c>
      <c r="H3808">
        <v>33</v>
      </c>
      <c r="I3808">
        <f>ROUND(CompilDonnées[[#This Row],[CultureDuration_days]]/7,0)</f>
        <v>5</v>
      </c>
      <c r="J3808">
        <v>1993</v>
      </c>
      <c r="K3808" t="str">
        <f>_xlfn.CONCAT(WEEKNUM(CompilDonnées[[#This Row],[PlantationDate]]), " ", YEAR(CompilDonnées[[#This Row],[PlantationDate]]))</f>
        <v>28 2025</v>
      </c>
      <c r="L3808" t="str">
        <f>CONCATENATE(MONTH(CompilDonnées[[#This Row],[PlantationDate]])," ", YEAR(CompilDonnées[[#This Row],[PlantationDate]]))</f>
        <v>7 2025</v>
      </c>
      <c r="M3808" t="str">
        <f>CONCATENATE(MONTH(CompilDonnées[[#This Row],[HarvestingDate]])," ", YEAR(CompilDonnées[[#This Row],[HarvestingDate]]))</f>
        <v>8 2025</v>
      </c>
      <c r="N3808">
        <f>_xlfn.NUMBERVALUE(CompilDonnées[[#This Row],[FarmID]]&amp;CompilDonnées[[#This Row],[ModuleNumber]]&amp;CompilDonnées[[#This Row],[PlantationDate]])</f>
        <v>116245847</v>
      </c>
      <c r="O3808" t="str">
        <f>CompilDonnées[[#This Row],[FarmID]]&amp;CompilDonnées[[#This Row],[ModuleNumber]]</f>
        <v>1162</v>
      </c>
      <c r="P3808" t="str">
        <f>CompilDonnées[[#This Row],[Ref_Module]]&amp;CompilDonnées[[#This Row],[HarvestingDate]]</f>
        <v>116245880</v>
      </c>
    </row>
    <row r="3809" spans="1:16">
      <c r="A3809" s="5">
        <v>45847</v>
      </c>
      <c r="B3809">
        <v>119</v>
      </c>
      <c r="C3809" t="s">
        <v>59</v>
      </c>
      <c r="D3809">
        <v>2</v>
      </c>
      <c r="E3809">
        <v>100</v>
      </c>
      <c r="F3809" t="s">
        <v>1</v>
      </c>
      <c r="G3809" s="6">
        <v>45878</v>
      </c>
      <c r="H3809">
        <v>31</v>
      </c>
      <c r="I3809">
        <f>ROUND(CompilDonnées[[#This Row],[CultureDuration_days]]/7,0)</f>
        <v>4</v>
      </c>
      <c r="J3809">
        <v>3043</v>
      </c>
      <c r="K3809" t="str">
        <f>_xlfn.CONCAT(WEEKNUM(CompilDonnées[[#This Row],[PlantationDate]]), " ", YEAR(CompilDonnées[[#This Row],[PlantationDate]]))</f>
        <v>28 2025</v>
      </c>
      <c r="L3809" t="str">
        <f>CONCATENATE(MONTH(CompilDonnées[[#This Row],[PlantationDate]])," ", YEAR(CompilDonnées[[#This Row],[PlantationDate]]))</f>
        <v>7 2025</v>
      </c>
      <c r="M3809" t="str">
        <f>CONCATENATE(MONTH(CompilDonnées[[#This Row],[HarvestingDate]])," ", YEAR(CompilDonnées[[#This Row],[HarvestingDate]]))</f>
        <v>8 2025</v>
      </c>
      <c r="N3809">
        <f>_xlfn.NUMBERVALUE(CompilDonnées[[#This Row],[FarmID]]&amp;CompilDonnées[[#This Row],[ModuleNumber]]&amp;CompilDonnées[[#This Row],[PlantationDate]])</f>
        <v>119245847</v>
      </c>
      <c r="O3809" t="str">
        <f>CompilDonnées[[#This Row],[FarmID]]&amp;CompilDonnées[[#This Row],[ModuleNumber]]</f>
        <v>1192</v>
      </c>
      <c r="P3809" t="str">
        <f>CompilDonnées[[#This Row],[Ref_Module]]&amp;CompilDonnées[[#This Row],[HarvestingDate]]</f>
        <v>119245878</v>
      </c>
    </row>
    <row r="3810" spans="1:16">
      <c r="A3810" s="5">
        <v>45847</v>
      </c>
      <c r="B3810">
        <v>118</v>
      </c>
      <c r="C3810" t="s">
        <v>51</v>
      </c>
      <c r="D3810">
        <v>2</v>
      </c>
      <c r="E3810">
        <v>100</v>
      </c>
      <c r="F3810" t="s">
        <v>1</v>
      </c>
      <c r="G3810" s="6">
        <v>45878</v>
      </c>
      <c r="H3810">
        <v>31</v>
      </c>
      <c r="I3810">
        <f>ROUND(CompilDonnées[[#This Row],[CultureDuration_days]]/7,0)</f>
        <v>4</v>
      </c>
      <c r="J3810">
        <v>2607</v>
      </c>
      <c r="K3810" t="str">
        <f>_xlfn.CONCAT(WEEKNUM(CompilDonnées[[#This Row],[PlantationDate]]), " ", YEAR(CompilDonnées[[#This Row],[PlantationDate]]))</f>
        <v>28 2025</v>
      </c>
      <c r="L3810" t="str">
        <f>CONCATENATE(MONTH(CompilDonnées[[#This Row],[PlantationDate]])," ", YEAR(CompilDonnées[[#This Row],[PlantationDate]]))</f>
        <v>7 2025</v>
      </c>
      <c r="M3810" t="str">
        <f>CONCATENATE(MONTH(CompilDonnées[[#This Row],[HarvestingDate]])," ", YEAR(CompilDonnées[[#This Row],[HarvestingDate]]))</f>
        <v>8 2025</v>
      </c>
      <c r="N3810">
        <f>_xlfn.NUMBERVALUE(CompilDonnées[[#This Row],[FarmID]]&amp;CompilDonnées[[#This Row],[ModuleNumber]]&amp;CompilDonnées[[#This Row],[PlantationDate]])</f>
        <v>118245847</v>
      </c>
      <c r="O3810" t="str">
        <f>CompilDonnées[[#This Row],[FarmID]]&amp;CompilDonnées[[#This Row],[ModuleNumber]]</f>
        <v>1182</v>
      </c>
      <c r="P3810" t="str">
        <f>CompilDonnées[[#This Row],[Ref_Module]]&amp;CompilDonnées[[#This Row],[HarvestingDate]]</f>
        <v>118245878</v>
      </c>
    </row>
    <row r="3811" spans="1:16">
      <c r="A3811" s="5">
        <v>45847</v>
      </c>
      <c r="B3811">
        <v>126</v>
      </c>
      <c r="C3811" t="s">
        <v>52</v>
      </c>
      <c r="D3811">
        <v>2</v>
      </c>
      <c r="E3811">
        <v>100</v>
      </c>
      <c r="F3811" t="s">
        <v>1</v>
      </c>
      <c r="G3811" s="6">
        <v>45880</v>
      </c>
      <c r="H3811">
        <v>33</v>
      </c>
      <c r="I3811">
        <f>ROUND(CompilDonnées[[#This Row],[CultureDuration_days]]/7,0)</f>
        <v>5</v>
      </c>
      <c r="J3811">
        <v>3004</v>
      </c>
      <c r="K3811" t="str">
        <f>_xlfn.CONCAT(WEEKNUM(CompilDonnées[[#This Row],[PlantationDate]]), " ", YEAR(CompilDonnées[[#This Row],[PlantationDate]]))</f>
        <v>28 2025</v>
      </c>
      <c r="L3811" t="str">
        <f>CONCATENATE(MONTH(CompilDonnées[[#This Row],[PlantationDate]])," ", YEAR(CompilDonnées[[#This Row],[PlantationDate]]))</f>
        <v>7 2025</v>
      </c>
      <c r="M3811" t="str">
        <f>CONCATENATE(MONTH(CompilDonnées[[#This Row],[HarvestingDate]])," ", YEAR(CompilDonnées[[#This Row],[HarvestingDate]]))</f>
        <v>8 2025</v>
      </c>
      <c r="N3811">
        <f>_xlfn.NUMBERVALUE(CompilDonnées[[#This Row],[FarmID]]&amp;CompilDonnées[[#This Row],[ModuleNumber]]&amp;CompilDonnées[[#This Row],[PlantationDate]])</f>
        <v>126245847</v>
      </c>
      <c r="O3811" t="str">
        <f>CompilDonnées[[#This Row],[FarmID]]&amp;CompilDonnées[[#This Row],[ModuleNumber]]</f>
        <v>1262</v>
      </c>
      <c r="P3811" t="str">
        <f>CompilDonnées[[#This Row],[Ref_Module]]&amp;CompilDonnées[[#This Row],[HarvestingDate]]</f>
        <v>126245880</v>
      </c>
    </row>
    <row r="3812" spans="1:16">
      <c r="A3812" s="5">
        <v>45847</v>
      </c>
      <c r="B3812">
        <v>125</v>
      </c>
      <c r="C3812" t="s">
        <v>101</v>
      </c>
      <c r="D3812">
        <v>3</v>
      </c>
      <c r="E3812">
        <v>100</v>
      </c>
      <c r="F3812" t="s">
        <v>1</v>
      </c>
      <c r="G3812" s="6">
        <v>45878</v>
      </c>
      <c r="H3812">
        <v>31</v>
      </c>
      <c r="I3812">
        <f>ROUND(CompilDonnées[[#This Row],[CultureDuration_days]]/7,0)</f>
        <v>4</v>
      </c>
      <c r="J3812">
        <v>2995</v>
      </c>
      <c r="K3812" t="str">
        <f>_xlfn.CONCAT(WEEKNUM(CompilDonnées[[#This Row],[PlantationDate]]), " ", YEAR(CompilDonnées[[#This Row],[PlantationDate]]))</f>
        <v>28 2025</v>
      </c>
      <c r="L3812" t="str">
        <f>CONCATENATE(MONTH(CompilDonnées[[#This Row],[PlantationDate]])," ", YEAR(CompilDonnées[[#This Row],[PlantationDate]]))</f>
        <v>7 2025</v>
      </c>
      <c r="M3812" t="str">
        <f>CONCATENATE(MONTH(CompilDonnées[[#This Row],[HarvestingDate]])," ", YEAR(CompilDonnées[[#This Row],[HarvestingDate]]))</f>
        <v>8 2025</v>
      </c>
      <c r="N3812">
        <f>_xlfn.NUMBERVALUE(CompilDonnées[[#This Row],[FarmID]]&amp;CompilDonnées[[#This Row],[ModuleNumber]]&amp;CompilDonnées[[#This Row],[PlantationDate]])</f>
        <v>125345847</v>
      </c>
      <c r="O3812" t="str">
        <f>CompilDonnées[[#This Row],[FarmID]]&amp;CompilDonnées[[#This Row],[ModuleNumber]]</f>
        <v>1253</v>
      </c>
      <c r="P3812" t="str">
        <f>CompilDonnées[[#This Row],[Ref_Module]]&amp;CompilDonnées[[#This Row],[HarvestingDate]]</f>
        <v>125345878</v>
      </c>
    </row>
    <row r="3813" spans="1:16">
      <c r="A3813" s="5">
        <v>45847</v>
      </c>
      <c r="B3813">
        <v>133</v>
      </c>
      <c r="C3813" t="s">
        <v>99</v>
      </c>
      <c r="D3813">
        <v>4</v>
      </c>
      <c r="E3813">
        <v>100</v>
      </c>
      <c r="F3813" t="s">
        <v>1</v>
      </c>
      <c r="G3813" s="6">
        <v>45891</v>
      </c>
      <c r="H3813">
        <v>44</v>
      </c>
      <c r="I3813">
        <f>ROUND(CompilDonnées[[#This Row],[CultureDuration_days]]/7,0)</f>
        <v>6</v>
      </c>
      <c r="J3813">
        <v>4336</v>
      </c>
      <c r="K3813" t="str">
        <f>_xlfn.CONCAT(WEEKNUM(CompilDonnées[[#This Row],[PlantationDate]]), " ", YEAR(CompilDonnées[[#This Row],[PlantationDate]]))</f>
        <v>28 2025</v>
      </c>
      <c r="L3813" t="str">
        <f>CONCATENATE(MONTH(CompilDonnées[[#This Row],[PlantationDate]])," ", YEAR(CompilDonnées[[#This Row],[PlantationDate]]))</f>
        <v>7 2025</v>
      </c>
      <c r="M3813" t="str">
        <f>CONCATENATE(MONTH(CompilDonnées[[#This Row],[HarvestingDate]])," ", YEAR(CompilDonnées[[#This Row],[HarvestingDate]]))</f>
        <v>8 2025</v>
      </c>
      <c r="N3813">
        <f>_xlfn.NUMBERVALUE(CompilDonnées[[#This Row],[FarmID]]&amp;CompilDonnées[[#This Row],[ModuleNumber]]&amp;CompilDonnées[[#This Row],[PlantationDate]])</f>
        <v>133445847</v>
      </c>
      <c r="O3813" t="str">
        <f>CompilDonnées[[#This Row],[FarmID]]&amp;CompilDonnées[[#This Row],[ModuleNumber]]</f>
        <v>1334</v>
      </c>
      <c r="P3813" t="str">
        <f>CompilDonnées[[#This Row],[Ref_Module]]&amp;CompilDonnées[[#This Row],[HarvestingDate]]</f>
        <v>133445891</v>
      </c>
    </row>
    <row r="3814" spans="1:16">
      <c r="A3814" s="5">
        <v>45847</v>
      </c>
      <c r="B3814">
        <v>132</v>
      </c>
      <c r="C3814" t="s">
        <v>120</v>
      </c>
      <c r="D3814">
        <v>5</v>
      </c>
      <c r="E3814">
        <v>100</v>
      </c>
      <c r="F3814" t="s">
        <v>1</v>
      </c>
      <c r="G3814" s="6">
        <v>45891</v>
      </c>
      <c r="H3814">
        <v>44</v>
      </c>
      <c r="I3814">
        <f>ROUND(CompilDonnées[[#This Row],[CultureDuration_days]]/7,0)</f>
        <v>6</v>
      </c>
      <c r="J3814">
        <v>4437</v>
      </c>
      <c r="K3814" t="str">
        <f>_xlfn.CONCAT(WEEKNUM(CompilDonnées[[#This Row],[PlantationDate]]), " ", YEAR(CompilDonnées[[#This Row],[PlantationDate]]))</f>
        <v>28 2025</v>
      </c>
      <c r="L3814" t="str">
        <f>CONCATENATE(MONTH(CompilDonnées[[#This Row],[PlantationDate]])," ", YEAR(CompilDonnées[[#This Row],[PlantationDate]]))</f>
        <v>7 2025</v>
      </c>
      <c r="M3814" t="str">
        <f>CONCATENATE(MONTH(CompilDonnées[[#This Row],[HarvestingDate]])," ", YEAR(CompilDonnées[[#This Row],[HarvestingDate]]))</f>
        <v>8 2025</v>
      </c>
      <c r="N3814">
        <f>_xlfn.NUMBERVALUE(CompilDonnées[[#This Row],[FarmID]]&amp;CompilDonnées[[#This Row],[ModuleNumber]]&amp;CompilDonnées[[#This Row],[PlantationDate]])</f>
        <v>132545847</v>
      </c>
      <c r="O3814" t="str">
        <f>CompilDonnées[[#This Row],[FarmID]]&amp;CompilDonnées[[#This Row],[ModuleNumber]]</f>
        <v>1325</v>
      </c>
      <c r="P3814" t="str">
        <f>CompilDonnées[[#This Row],[Ref_Module]]&amp;CompilDonnées[[#This Row],[HarvestingDate]]</f>
        <v>132545891</v>
      </c>
    </row>
    <row r="3815" spans="1:16">
      <c r="A3815" s="5">
        <v>45847</v>
      </c>
      <c r="B3815">
        <v>139</v>
      </c>
      <c r="C3815" t="s">
        <v>103</v>
      </c>
      <c r="D3815">
        <v>1</v>
      </c>
      <c r="E3815">
        <v>100</v>
      </c>
      <c r="F3815" t="s">
        <v>1</v>
      </c>
      <c r="G3815" s="6">
        <v>45891</v>
      </c>
      <c r="H3815">
        <v>44</v>
      </c>
      <c r="I3815">
        <f>ROUND(CompilDonnées[[#This Row],[CultureDuration_days]]/7,0)</f>
        <v>6</v>
      </c>
      <c r="J3815">
        <v>3763</v>
      </c>
      <c r="K3815" t="str">
        <f>_xlfn.CONCAT(WEEKNUM(CompilDonnées[[#This Row],[PlantationDate]]), " ", YEAR(CompilDonnées[[#This Row],[PlantationDate]]))</f>
        <v>28 2025</v>
      </c>
      <c r="L3815" t="str">
        <f>CONCATENATE(MONTH(CompilDonnées[[#This Row],[PlantationDate]])," ", YEAR(CompilDonnées[[#This Row],[PlantationDate]]))</f>
        <v>7 2025</v>
      </c>
      <c r="M3815" t="str">
        <f>CONCATENATE(MONTH(CompilDonnées[[#This Row],[HarvestingDate]])," ", YEAR(CompilDonnées[[#This Row],[HarvestingDate]]))</f>
        <v>8 2025</v>
      </c>
      <c r="N3815">
        <f>_xlfn.NUMBERVALUE(CompilDonnées[[#This Row],[FarmID]]&amp;CompilDonnées[[#This Row],[ModuleNumber]]&amp;CompilDonnées[[#This Row],[PlantationDate]])</f>
        <v>139145847</v>
      </c>
      <c r="O3815" t="str">
        <f>CompilDonnées[[#This Row],[FarmID]]&amp;CompilDonnées[[#This Row],[ModuleNumber]]</f>
        <v>1391</v>
      </c>
      <c r="P3815" t="str">
        <f>CompilDonnées[[#This Row],[Ref_Module]]&amp;CompilDonnées[[#This Row],[HarvestingDate]]</f>
        <v>139145891</v>
      </c>
    </row>
    <row r="3816" spans="1:16">
      <c r="A3816" s="5">
        <v>45847</v>
      </c>
      <c r="B3816">
        <v>18</v>
      </c>
      <c r="C3816" t="s">
        <v>33</v>
      </c>
      <c r="D3816">
        <v>3</v>
      </c>
      <c r="E3816">
        <v>100</v>
      </c>
      <c r="F3816" t="s">
        <v>1</v>
      </c>
      <c r="G3816" s="6">
        <v>45887</v>
      </c>
      <c r="H3816">
        <v>40</v>
      </c>
      <c r="I3816">
        <f>ROUND(CompilDonnées[[#This Row],[CultureDuration_days]]/7,0)</f>
        <v>6</v>
      </c>
      <c r="J3816">
        <v>4414</v>
      </c>
      <c r="K3816" t="str">
        <f>_xlfn.CONCAT(WEEKNUM(CompilDonnées[[#This Row],[PlantationDate]]), " ", YEAR(CompilDonnées[[#This Row],[PlantationDate]]))</f>
        <v>28 2025</v>
      </c>
      <c r="L3816" t="str">
        <f>CONCATENATE(MONTH(CompilDonnées[[#This Row],[PlantationDate]])," ", YEAR(CompilDonnées[[#This Row],[PlantationDate]]))</f>
        <v>7 2025</v>
      </c>
      <c r="M3816" t="str">
        <f>CONCATENATE(MONTH(CompilDonnées[[#This Row],[HarvestingDate]])," ", YEAR(CompilDonnées[[#This Row],[HarvestingDate]]))</f>
        <v>8 2025</v>
      </c>
      <c r="N3816">
        <f>_xlfn.NUMBERVALUE(CompilDonnées[[#This Row],[FarmID]]&amp;CompilDonnées[[#This Row],[ModuleNumber]]&amp;CompilDonnées[[#This Row],[PlantationDate]])</f>
        <v>18345847</v>
      </c>
      <c r="O3816" t="str">
        <f>CompilDonnées[[#This Row],[FarmID]]&amp;CompilDonnées[[#This Row],[ModuleNumber]]</f>
        <v>183</v>
      </c>
      <c r="P3816" t="str">
        <f>CompilDonnées[[#This Row],[Ref_Module]]&amp;CompilDonnées[[#This Row],[HarvestingDate]]</f>
        <v>18345887</v>
      </c>
    </row>
    <row r="3817" spans="1:16">
      <c r="A3817" s="5">
        <v>45847</v>
      </c>
      <c r="B3817">
        <v>17</v>
      </c>
      <c r="C3817" t="s">
        <v>80</v>
      </c>
      <c r="D3817">
        <v>4</v>
      </c>
      <c r="E3817">
        <v>100</v>
      </c>
      <c r="F3817" t="s">
        <v>1</v>
      </c>
      <c r="G3817" s="6">
        <v>45887</v>
      </c>
      <c r="H3817">
        <v>40</v>
      </c>
      <c r="I3817">
        <f>ROUND(CompilDonnées[[#This Row],[CultureDuration_days]]/7,0)</f>
        <v>6</v>
      </c>
      <c r="J3817">
        <v>3094</v>
      </c>
      <c r="K3817" t="str">
        <f>_xlfn.CONCAT(WEEKNUM(CompilDonnées[[#This Row],[PlantationDate]]), " ", YEAR(CompilDonnées[[#This Row],[PlantationDate]]))</f>
        <v>28 2025</v>
      </c>
      <c r="L3817" t="str">
        <f>CONCATENATE(MONTH(CompilDonnées[[#This Row],[PlantationDate]])," ", YEAR(CompilDonnées[[#This Row],[PlantationDate]]))</f>
        <v>7 2025</v>
      </c>
      <c r="M3817" t="str">
        <f>CONCATENATE(MONTH(CompilDonnées[[#This Row],[HarvestingDate]])," ", YEAR(CompilDonnées[[#This Row],[HarvestingDate]]))</f>
        <v>8 2025</v>
      </c>
      <c r="N3817">
        <f>_xlfn.NUMBERVALUE(CompilDonnées[[#This Row],[FarmID]]&amp;CompilDonnées[[#This Row],[ModuleNumber]]&amp;CompilDonnées[[#This Row],[PlantationDate]])</f>
        <v>17445847</v>
      </c>
      <c r="O3817" t="str">
        <f>CompilDonnées[[#This Row],[FarmID]]&amp;CompilDonnées[[#This Row],[ModuleNumber]]</f>
        <v>174</v>
      </c>
      <c r="P3817" t="str">
        <f>CompilDonnées[[#This Row],[Ref_Module]]&amp;CompilDonnées[[#This Row],[HarvestingDate]]</f>
        <v>17445887</v>
      </c>
    </row>
    <row r="3818" spans="1:16">
      <c r="A3818" s="5">
        <v>45847</v>
      </c>
      <c r="B3818">
        <v>16</v>
      </c>
      <c r="C3818" t="s">
        <v>112</v>
      </c>
      <c r="D3818">
        <v>5</v>
      </c>
      <c r="E3818">
        <v>100</v>
      </c>
      <c r="F3818" t="s">
        <v>1</v>
      </c>
      <c r="G3818" s="6">
        <v>45887</v>
      </c>
      <c r="H3818">
        <v>40</v>
      </c>
      <c r="I3818">
        <f>ROUND(CompilDonnées[[#This Row],[CultureDuration_days]]/7,0)</f>
        <v>6</v>
      </c>
      <c r="J3818">
        <v>2782</v>
      </c>
      <c r="K3818" t="str">
        <f>_xlfn.CONCAT(WEEKNUM(CompilDonnées[[#This Row],[PlantationDate]]), " ", YEAR(CompilDonnées[[#This Row],[PlantationDate]]))</f>
        <v>28 2025</v>
      </c>
      <c r="L3818" t="str">
        <f>CONCATENATE(MONTH(CompilDonnées[[#This Row],[PlantationDate]])," ", YEAR(CompilDonnées[[#This Row],[PlantationDate]]))</f>
        <v>7 2025</v>
      </c>
      <c r="M3818" t="str">
        <f>CONCATENATE(MONTH(CompilDonnées[[#This Row],[HarvestingDate]])," ", YEAR(CompilDonnées[[#This Row],[HarvestingDate]]))</f>
        <v>8 2025</v>
      </c>
      <c r="N3818">
        <f>_xlfn.NUMBERVALUE(CompilDonnées[[#This Row],[FarmID]]&amp;CompilDonnées[[#This Row],[ModuleNumber]]&amp;CompilDonnées[[#This Row],[PlantationDate]])</f>
        <v>16545847</v>
      </c>
      <c r="O3818" t="str">
        <f>CompilDonnées[[#This Row],[FarmID]]&amp;CompilDonnées[[#This Row],[ModuleNumber]]</f>
        <v>165</v>
      </c>
      <c r="P3818" t="str">
        <f>CompilDonnées[[#This Row],[Ref_Module]]&amp;CompilDonnées[[#This Row],[HarvestingDate]]</f>
        <v>16545887</v>
      </c>
    </row>
    <row r="3819" spans="1:16">
      <c r="A3819" s="5">
        <v>45847</v>
      </c>
      <c r="B3819">
        <v>24</v>
      </c>
      <c r="C3819" t="s">
        <v>31</v>
      </c>
      <c r="D3819">
        <v>3</v>
      </c>
      <c r="E3819">
        <v>100</v>
      </c>
      <c r="F3819" t="s">
        <v>1</v>
      </c>
      <c r="G3819" s="6">
        <v>45887</v>
      </c>
      <c r="H3819">
        <v>40</v>
      </c>
      <c r="I3819">
        <f>ROUND(CompilDonnées[[#This Row],[CultureDuration_days]]/7,0)</f>
        <v>6</v>
      </c>
      <c r="J3819">
        <v>4145</v>
      </c>
      <c r="K3819" t="str">
        <f>_xlfn.CONCAT(WEEKNUM(CompilDonnées[[#This Row],[PlantationDate]]), " ", YEAR(CompilDonnées[[#This Row],[PlantationDate]]))</f>
        <v>28 2025</v>
      </c>
      <c r="L3819" t="str">
        <f>CONCATENATE(MONTH(CompilDonnées[[#This Row],[PlantationDate]])," ", YEAR(CompilDonnées[[#This Row],[PlantationDate]]))</f>
        <v>7 2025</v>
      </c>
      <c r="M3819" t="str">
        <f>CONCATENATE(MONTH(CompilDonnées[[#This Row],[HarvestingDate]])," ", YEAR(CompilDonnées[[#This Row],[HarvestingDate]]))</f>
        <v>8 2025</v>
      </c>
      <c r="N3819">
        <f>_xlfn.NUMBERVALUE(CompilDonnées[[#This Row],[FarmID]]&amp;CompilDonnées[[#This Row],[ModuleNumber]]&amp;CompilDonnées[[#This Row],[PlantationDate]])</f>
        <v>24345847</v>
      </c>
      <c r="O3819" t="str">
        <f>CompilDonnées[[#This Row],[FarmID]]&amp;CompilDonnées[[#This Row],[ModuleNumber]]</f>
        <v>243</v>
      </c>
      <c r="P3819" t="str">
        <f>CompilDonnées[[#This Row],[Ref_Module]]&amp;CompilDonnées[[#This Row],[HarvestingDate]]</f>
        <v>24345887</v>
      </c>
    </row>
    <row r="3820" spans="1:16">
      <c r="A3820" s="5">
        <v>45847</v>
      </c>
      <c r="B3820">
        <v>22</v>
      </c>
      <c r="C3820" t="s">
        <v>43</v>
      </c>
      <c r="D3820">
        <v>3</v>
      </c>
      <c r="E3820">
        <v>100</v>
      </c>
      <c r="F3820" t="s">
        <v>1</v>
      </c>
      <c r="G3820" s="6">
        <v>45887</v>
      </c>
      <c r="H3820">
        <v>40</v>
      </c>
      <c r="I3820">
        <f>ROUND(CompilDonnées[[#This Row],[CultureDuration_days]]/7,0)</f>
        <v>6</v>
      </c>
      <c r="J3820">
        <v>3213</v>
      </c>
      <c r="K3820" t="str">
        <f>_xlfn.CONCAT(WEEKNUM(CompilDonnées[[#This Row],[PlantationDate]]), " ", YEAR(CompilDonnées[[#This Row],[PlantationDate]]))</f>
        <v>28 2025</v>
      </c>
      <c r="L3820" t="str">
        <f>CONCATENATE(MONTH(CompilDonnées[[#This Row],[PlantationDate]])," ", YEAR(CompilDonnées[[#This Row],[PlantationDate]]))</f>
        <v>7 2025</v>
      </c>
      <c r="M3820" t="str">
        <f>CONCATENATE(MONTH(CompilDonnées[[#This Row],[HarvestingDate]])," ", YEAR(CompilDonnées[[#This Row],[HarvestingDate]]))</f>
        <v>8 2025</v>
      </c>
      <c r="N3820">
        <f>_xlfn.NUMBERVALUE(CompilDonnées[[#This Row],[FarmID]]&amp;CompilDonnées[[#This Row],[ModuleNumber]]&amp;CompilDonnées[[#This Row],[PlantationDate]])</f>
        <v>22345847</v>
      </c>
      <c r="O3820" t="str">
        <f>CompilDonnées[[#This Row],[FarmID]]&amp;CompilDonnées[[#This Row],[ModuleNumber]]</f>
        <v>223</v>
      </c>
      <c r="P3820" t="str">
        <f>CompilDonnées[[#This Row],[Ref_Module]]&amp;CompilDonnées[[#This Row],[HarvestingDate]]</f>
        <v>22345887</v>
      </c>
    </row>
    <row r="3821" spans="1:16">
      <c r="A3821" s="5">
        <v>45847</v>
      </c>
      <c r="B3821">
        <v>45</v>
      </c>
      <c r="C3821" t="s">
        <v>77</v>
      </c>
      <c r="D3821">
        <v>2</v>
      </c>
      <c r="E3821">
        <v>100</v>
      </c>
      <c r="F3821" t="s">
        <v>1</v>
      </c>
      <c r="G3821" s="6">
        <v>45889</v>
      </c>
      <c r="H3821">
        <v>42</v>
      </c>
      <c r="I3821">
        <f>ROUND(CompilDonnées[[#This Row],[CultureDuration_days]]/7,0)</f>
        <v>6</v>
      </c>
      <c r="J3821">
        <v>4125</v>
      </c>
      <c r="K3821" t="str">
        <f>_xlfn.CONCAT(WEEKNUM(CompilDonnées[[#This Row],[PlantationDate]]), " ", YEAR(CompilDonnées[[#This Row],[PlantationDate]]))</f>
        <v>28 2025</v>
      </c>
      <c r="L3821" t="str">
        <f>CONCATENATE(MONTH(CompilDonnées[[#This Row],[PlantationDate]])," ", YEAR(CompilDonnées[[#This Row],[PlantationDate]]))</f>
        <v>7 2025</v>
      </c>
      <c r="M3821" t="str">
        <f>CONCATENATE(MONTH(CompilDonnées[[#This Row],[HarvestingDate]])," ", YEAR(CompilDonnées[[#This Row],[HarvestingDate]]))</f>
        <v>8 2025</v>
      </c>
      <c r="N3821">
        <f>_xlfn.NUMBERVALUE(CompilDonnées[[#This Row],[FarmID]]&amp;CompilDonnées[[#This Row],[ModuleNumber]]&amp;CompilDonnées[[#This Row],[PlantationDate]])</f>
        <v>45245847</v>
      </c>
      <c r="O3821" t="str">
        <f>CompilDonnées[[#This Row],[FarmID]]&amp;CompilDonnées[[#This Row],[ModuleNumber]]</f>
        <v>452</v>
      </c>
      <c r="P3821" t="str">
        <f>CompilDonnées[[#This Row],[Ref_Module]]&amp;CompilDonnées[[#This Row],[HarvestingDate]]</f>
        <v>45245889</v>
      </c>
    </row>
    <row r="3822" spans="1:16">
      <c r="A3822" s="5">
        <v>45847</v>
      </c>
      <c r="B3822">
        <v>43</v>
      </c>
      <c r="C3822" t="s">
        <v>45</v>
      </c>
      <c r="D3822">
        <v>5</v>
      </c>
      <c r="E3822">
        <v>100</v>
      </c>
      <c r="F3822" t="s">
        <v>1</v>
      </c>
      <c r="G3822" s="6">
        <v>45889</v>
      </c>
      <c r="H3822">
        <v>42</v>
      </c>
      <c r="I3822">
        <f>ROUND(CompilDonnées[[#This Row],[CultureDuration_days]]/7,0)</f>
        <v>6</v>
      </c>
      <c r="J3822">
        <v>3284</v>
      </c>
      <c r="K3822" t="str">
        <f>_xlfn.CONCAT(WEEKNUM(CompilDonnées[[#This Row],[PlantationDate]]), " ", YEAR(CompilDonnées[[#This Row],[PlantationDate]]))</f>
        <v>28 2025</v>
      </c>
      <c r="L3822" t="str">
        <f>CONCATENATE(MONTH(CompilDonnées[[#This Row],[PlantationDate]])," ", YEAR(CompilDonnées[[#This Row],[PlantationDate]]))</f>
        <v>7 2025</v>
      </c>
      <c r="M3822" t="str">
        <f>CONCATENATE(MONTH(CompilDonnées[[#This Row],[HarvestingDate]])," ", YEAR(CompilDonnées[[#This Row],[HarvestingDate]]))</f>
        <v>8 2025</v>
      </c>
      <c r="N3822">
        <f>_xlfn.NUMBERVALUE(CompilDonnées[[#This Row],[FarmID]]&amp;CompilDonnées[[#This Row],[ModuleNumber]]&amp;CompilDonnées[[#This Row],[PlantationDate]])</f>
        <v>43545847</v>
      </c>
      <c r="O3822" t="str">
        <f>CompilDonnées[[#This Row],[FarmID]]&amp;CompilDonnées[[#This Row],[ModuleNumber]]</f>
        <v>435</v>
      </c>
      <c r="P3822" t="str">
        <f>CompilDonnées[[#This Row],[Ref_Module]]&amp;CompilDonnées[[#This Row],[HarvestingDate]]</f>
        <v>43545889</v>
      </c>
    </row>
    <row r="3823" spans="1:16">
      <c r="A3823" s="5">
        <v>45847</v>
      </c>
      <c r="B3823">
        <v>10</v>
      </c>
      <c r="C3823" t="s">
        <v>109</v>
      </c>
      <c r="D3823">
        <v>4</v>
      </c>
      <c r="E3823">
        <v>100</v>
      </c>
      <c r="F3823" t="s">
        <v>1</v>
      </c>
      <c r="G3823" s="6">
        <v>45898</v>
      </c>
      <c r="H3823">
        <v>51</v>
      </c>
      <c r="I3823">
        <f>ROUND(CompilDonnées[[#This Row],[CultureDuration_days]]/7,0)</f>
        <v>7</v>
      </c>
      <c r="J3823">
        <v>2210</v>
      </c>
      <c r="K3823" t="str">
        <f>_xlfn.CONCAT(WEEKNUM(CompilDonnées[[#This Row],[PlantationDate]]), " ", YEAR(CompilDonnées[[#This Row],[PlantationDate]]))</f>
        <v>28 2025</v>
      </c>
      <c r="L3823" t="str">
        <f>CONCATENATE(MONTH(CompilDonnées[[#This Row],[PlantationDate]])," ", YEAR(CompilDonnées[[#This Row],[PlantationDate]]))</f>
        <v>7 2025</v>
      </c>
      <c r="M3823" t="str">
        <f>CONCATENATE(MONTH(CompilDonnées[[#This Row],[HarvestingDate]])," ", YEAR(CompilDonnées[[#This Row],[HarvestingDate]]))</f>
        <v>8 2025</v>
      </c>
      <c r="N3823">
        <f>_xlfn.NUMBERVALUE(CompilDonnées[[#This Row],[FarmID]]&amp;CompilDonnées[[#This Row],[ModuleNumber]]&amp;CompilDonnées[[#This Row],[PlantationDate]])</f>
        <v>10445847</v>
      </c>
      <c r="O3823" t="str">
        <f>CompilDonnées[[#This Row],[FarmID]]&amp;CompilDonnées[[#This Row],[ModuleNumber]]</f>
        <v>104</v>
      </c>
      <c r="P3823" t="str">
        <f>CompilDonnées[[#This Row],[Ref_Module]]&amp;CompilDonnées[[#This Row],[HarvestingDate]]</f>
        <v>10445898</v>
      </c>
    </row>
    <row r="3824" spans="1:16">
      <c r="A3824" s="5">
        <v>45847</v>
      </c>
      <c r="B3824">
        <v>9</v>
      </c>
      <c r="C3824" t="s">
        <v>107</v>
      </c>
      <c r="D3824">
        <v>5</v>
      </c>
      <c r="E3824">
        <v>100</v>
      </c>
      <c r="F3824" t="s">
        <v>1</v>
      </c>
      <c r="G3824" s="6">
        <v>45887</v>
      </c>
      <c r="H3824">
        <v>40</v>
      </c>
      <c r="I3824">
        <f>ROUND(CompilDonnées[[#This Row],[CultureDuration_days]]/7,0)</f>
        <v>6</v>
      </c>
      <c r="J3824">
        <v>2438</v>
      </c>
      <c r="K3824" t="str">
        <f>_xlfn.CONCAT(WEEKNUM(CompilDonnées[[#This Row],[PlantationDate]]), " ", YEAR(CompilDonnées[[#This Row],[PlantationDate]]))</f>
        <v>28 2025</v>
      </c>
      <c r="L3824" t="str">
        <f>CONCATENATE(MONTH(CompilDonnées[[#This Row],[PlantationDate]])," ", YEAR(CompilDonnées[[#This Row],[PlantationDate]]))</f>
        <v>7 2025</v>
      </c>
      <c r="M3824" t="str">
        <f>CONCATENATE(MONTH(CompilDonnées[[#This Row],[HarvestingDate]])," ", YEAR(CompilDonnées[[#This Row],[HarvestingDate]]))</f>
        <v>8 2025</v>
      </c>
      <c r="N3824">
        <f>_xlfn.NUMBERVALUE(CompilDonnées[[#This Row],[FarmID]]&amp;CompilDonnées[[#This Row],[ModuleNumber]]&amp;CompilDonnées[[#This Row],[PlantationDate]])</f>
        <v>9545847</v>
      </c>
      <c r="O3824" t="str">
        <f>CompilDonnées[[#This Row],[FarmID]]&amp;CompilDonnées[[#This Row],[ModuleNumber]]</f>
        <v>95</v>
      </c>
      <c r="P3824" t="str">
        <f>CompilDonnées[[#This Row],[Ref_Module]]&amp;CompilDonnées[[#This Row],[HarvestingDate]]</f>
        <v>9545887</v>
      </c>
    </row>
    <row r="3825" spans="1:16">
      <c r="A3825" s="5">
        <v>45847</v>
      </c>
      <c r="B3825">
        <v>63</v>
      </c>
      <c r="C3825" t="s">
        <v>98</v>
      </c>
      <c r="D3825">
        <v>4</v>
      </c>
      <c r="E3825">
        <v>100</v>
      </c>
      <c r="F3825" t="s">
        <v>1</v>
      </c>
      <c r="G3825" s="6">
        <v>45889</v>
      </c>
      <c r="H3825">
        <v>42</v>
      </c>
      <c r="I3825">
        <f>ROUND(CompilDonnées[[#This Row],[CultureDuration_days]]/7,0)</f>
        <v>6</v>
      </c>
      <c r="J3825">
        <v>1762</v>
      </c>
      <c r="K3825" t="str">
        <f>_xlfn.CONCAT(WEEKNUM(CompilDonnées[[#This Row],[PlantationDate]]), " ", YEAR(CompilDonnées[[#This Row],[PlantationDate]]))</f>
        <v>28 2025</v>
      </c>
      <c r="L3825" t="str">
        <f>CONCATENATE(MONTH(CompilDonnées[[#This Row],[PlantationDate]])," ", YEAR(CompilDonnées[[#This Row],[PlantationDate]]))</f>
        <v>7 2025</v>
      </c>
      <c r="M3825" t="str">
        <f>CONCATENATE(MONTH(CompilDonnées[[#This Row],[HarvestingDate]])," ", YEAR(CompilDonnées[[#This Row],[HarvestingDate]]))</f>
        <v>8 2025</v>
      </c>
      <c r="N3825">
        <f>_xlfn.NUMBERVALUE(CompilDonnées[[#This Row],[FarmID]]&amp;CompilDonnées[[#This Row],[ModuleNumber]]&amp;CompilDonnées[[#This Row],[PlantationDate]])</f>
        <v>63445847</v>
      </c>
      <c r="O3825" t="str">
        <f>CompilDonnées[[#This Row],[FarmID]]&amp;CompilDonnées[[#This Row],[ModuleNumber]]</f>
        <v>634</v>
      </c>
      <c r="P3825" t="str">
        <f>CompilDonnées[[#This Row],[Ref_Module]]&amp;CompilDonnées[[#This Row],[HarvestingDate]]</f>
        <v>63445889</v>
      </c>
    </row>
    <row r="3826" spans="1:16">
      <c r="A3826" s="5">
        <v>45847</v>
      </c>
      <c r="B3826">
        <v>62</v>
      </c>
      <c r="C3826" t="s">
        <v>124</v>
      </c>
      <c r="D3826">
        <v>3</v>
      </c>
      <c r="E3826">
        <v>100</v>
      </c>
      <c r="F3826" t="s">
        <v>1</v>
      </c>
      <c r="G3826" s="6">
        <v>45889</v>
      </c>
      <c r="H3826">
        <v>42</v>
      </c>
      <c r="I3826">
        <f>ROUND(CompilDonnées[[#This Row],[CultureDuration_days]]/7,0)</f>
        <v>6</v>
      </c>
      <c r="J3826">
        <v>1941</v>
      </c>
      <c r="K3826" t="str">
        <f>_xlfn.CONCAT(WEEKNUM(CompilDonnées[[#This Row],[PlantationDate]]), " ", YEAR(CompilDonnées[[#This Row],[PlantationDate]]))</f>
        <v>28 2025</v>
      </c>
      <c r="L3826" t="str">
        <f>CONCATENATE(MONTH(CompilDonnées[[#This Row],[PlantationDate]])," ", YEAR(CompilDonnées[[#This Row],[PlantationDate]]))</f>
        <v>7 2025</v>
      </c>
      <c r="M3826" t="str">
        <f>CONCATENATE(MONTH(CompilDonnées[[#This Row],[HarvestingDate]])," ", YEAR(CompilDonnées[[#This Row],[HarvestingDate]]))</f>
        <v>8 2025</v>
      </c>
      <c r="N3826">
        <f>_xlfn.NUMBERVALUE(CompilDonnées[[#This Row],[FarmID]]&amp;CompilDonnées[[#This Row],[ModuleNumber]]&amp;CompilDonnées[[#This Row],[PlantationDate]])</f>
        <v>62345847</v>
      </c>
      <c r="O3826" t="str">
        <f>CompilDonnées[[#This Row],[FarmID]]&amp;CompilDonnées[[#This Row],[ModuleNumber]]</f>
        <v>623</v>
      </c>
      <c r="P3826" t="str">
        <f>CompilDonnées[[#This Row],[Ref_Module]]&amp;CompilDonnées[[#This Row],[HarvestingDate]]</f>
        <v>62345889</v>
      </c>
    </row>
    <row r="3827" spans="1:16">
      <c r="A3827" s="5">
        <v>45847</v>
      </c>
      <c r="B3827">
        <v>19</v>
      </c>
      <c r="C3827" t="s">
        <v>108</v>
      </c>
      <c r="D3827">
        <v>2</v>
      </c>
      <c r="E3827">
        <v>100</v>
      </c>
      <c r="F3827" t="s">
        <v>1</v>
      </c>
      <c r="G3827" s="6">
        <v>45887</v>
      </c>
      <c r="H3827">
        <v>40</v>
      </c>
      <c r="I3827">
        <f>ROUND(CompilDonnées[[#This Row],[CultureDuration_days]]/7,0)</f>
        <v>6</v>
      </c>
      <c r="J3827">
        <v>2368</v>
      </c>
      <c r="K3827" t="str">
        <f>_xlfn.CONCAT(WEEKNUM(CompilDonnées[[#This Row],[PlantationDate]]), " ", YEAR(CompilDonnées[[#This Row],[PlantationDate]]))</f>
        <v>28 2025</v>
      </c>
      <c r="L3827" t="str">
        <f>CONCATENATE(MONTH(CompilDonnées[[#This Row],[PlantationDate]])," ", YEAR(CompilDonnées[[#This Row],[PlantationDate]]))</f>
        <v>7 2025</v>
      </c>
      <c r="M3827" t="str">
        <f>CONCATENATE(MONTH(CompilDonnées[[#This Row],[HarvestingDate]])," ", YEAR(CompilDonnées[[#This Row],[HarvestingDate]]))</f>
        <v>8 2025</v>
      </c>
      <c r="N3827">
        <f>_xlfn.NUMBERVALUE(CompilDonnées[[#This Row],[FarmID]]&amp;CompilDonnées[[#This Row],[ModuleNumber]]&amp;CompilDonnées[[#This Row],[PlantationDate]])</f>
        <v>19245847</v>
      </c>
      <c r="O3827" t="str">
        <f>CompilDonnées[[#This Row],[FarmID]]&amp;CompilDonnées[[#This Row],[ModuleNumber]]</f>
        <v>192</v>
      </c>
      <c r="P3827" t="str">
        <f>CompilDonnées[[#This Row],[Ref_Module]]&amp;CompilDonnées[[#This Row],[HarvestingDate]]</f>
        <v>19245887</v>
      </c>
    </row>
    <row r="3828" spans="1:16">
      <c r="A3828" s="5">
        <v>45847</v>
      </c>
      <c r="B3828">
        <v>20</v>
      </c>
      <c r="C3828" t="s">
        <v>53</v>
      </c>
      <c r="D3828">
        <v>2</v>
      </c>
      <c r="E3828">
        <v>100</v>
      </c>
      <c r="F3828" t="s">
        <v>1</v>
      </c>
      <c r="G3828" s="6">
        <v>45887</v>
      </c>
      <c r="H3828">
        <v>40</v>
      </c>
      <c r="I3828">
        <f>ROUND(CompilDonnées[[#This Row],[CultureDuration_days]]/7,0)</f>
        <v>6</v>
      </c>
      <c r="J3828">
        <v>2252</v>
      </c>
      <c r="K3828" t="str">
        <f>_xlfn.CONCAT(WEEKNUM(CompilDonnées[[#This Row],[PlantationDate]]), " ", YEAR(CompilDonnées[[#This Row],[PlantationDate]]))</f>
        <v>28 2025</v>
      </c>
      <c r="L3828" t="str">
        <f>CONCATENATE(MONTH(CompilDonnées[[#This Row],[PlantationDate]])," ", YEAR(CompilDonnées[[#This Row],[PlantationDate]]))</f>
        <v>7 2025</v>
      </c>
      <c r="M3828" t="str">
        <f>CONCATENATE(MONTH(CompilDonnées[[#This Row],[HarvestingDate]])," ", YEAR(CompilDonnées[[#This Row],[HarvestingDate]]))</f>
        <v>8 2025</v>
      </c>
      <c r="N3828">
        <f>_xlfn.NUMBERVALUE(CompilDonnées[[#This Row],[FarmID]]&amp;CompilDonnées[[#This Row],[ModuleNumber]]&amp;CompilDonnées[[#This Row],[PlantationDate]])</f>
        <v>20245847</v>
      </c>
      <c r="O3828" t="str">
        <f>CompilDonnées[[#This Row],[FarmID]]&amp;CompilDonnées[[#This Row],[ModuleNumber]]</f>
        <v>202</v>
      </c>
      <c r="P3828" t="str">
        <f>CompilDonnées[[#This Row],[Ref_Module]]&amp;CompilDonnées[[#This Row],[HarvestingDate]]</f>
        <v>20245887</v>
      </c>
    </row>
    <row r="3829" spans="1:16">
      <c r="A3829" s="5">
        <v>45847</v>
      </c>
      <c r="B3829">
        <v>13</v>
      </c>
      <c r="C3829" t="s">
        <v>114</v>
      </c>
      <c r="D3829">
        <v>2</v>
      </c>
      <c r="E3829">
        <v>100</v>
      </c>
      <c r="F3829" t="s">
        <v>1</v>
      </c>
      <c r="G3829" s="6">
        <v>45887</v>
      </c>
      <c r="H3829">
        <v>40</v>
      </c>
      <c r="I3829">
        <f>ROUND(CompilDonnées[[#This Row],[CultureDuration_days]]/7,0)</f>
        <v>6</v>
      </c>
      <c r="J3829">
        <v>3705</v>
      </c>
      <c r="K3829" t="str">
        <f>_xlfn.CONCAT(WEEKNUM(CompilDonnées[[#This Row],[PlantationDate]]), " ", YEAR(CompilDonnées[[#This Row],[PlantationDate]]))</f>
        <v>28 2025</v>
      </c>
      <c r="L3829" t="str">
        <f>CONCATENATE(MONTH(CompilDonnées[[#This Row],[PlantationDate]])," ", YEAR(CompilDonnées[[#This Row],[PlantationDate]]))</f>
        <v>7 2025</v>
      </c>
      <c r="M3829" t="str">
        <f>CONCATENATE(MONTH(CompilDonnées[[#This Row],[HarvestingDate]])," ", YEAR(CompilDonnées[[#This Row],[HarvestingDate]]))</f>
        <v>8 2025</v>
      </c>
      <c r="N3829">
        <f>_xlfn.NUMBERVALUE(CompilDonnées[[#This Row],[FarmID]]&amp;CompilDonnées[[#This Row],[ModuleNumber]]&amp;CompilDonnées[[#This Row],[PlantationDate]])</f>
        <v>13245847</v>
      </c>
      <c r="O3829" t="str">
        <f>CompilDonnées[[#This Row],[FarmID]]&amp;CompilDonnées[[#This Row],[ModuleNumber]]</f>
        <v>132</v>
      </c>
      <c r="P3829" t="str">
        <f>CompilDonnées[[#This Row],[Ref_Module]]&amp;CompilDonnées[[#This Row],[HarvestingDate]]</f>
        <v>13245887</v>
      </c>
    </row>
    <row r="3830" spans="1:16">
      <c r="A3830" s="5">
        <v>45847</v>
      </c>
      <c r="B3830">
        <v>51</v>
      </c>
      <c r="C3830" t="s">
        <v>27</v>
      </c>
      <c r="D3830">
        <v>1</v>
      </c>
      <c r="E3830">
        <v>100</v>
      </c>
      <c r="F3830" t="s">
        <v>1</v>
      </c>
      <c r="G3830" s="6">
        <v>45896</v>
      </c>
      <c r="H3830">
        <v>49</v>
      </c>
      <c r="I3830">
        <f>ROUND(CompilDonnées[[#This Row],[CultureDuration_days]]/7,0)</f>
        <v>7</v>
      </c>
      <c r="J3830">
        <v>3112</v>
      </c>
      <c r="K3830" t="str">
        <f>_xlfn.CONCAT(WEEKNUM(CompilDonnées[[#This Row],[PlantationDate]]), " ", YEAR(CompilDonnées[[#This Row],[PlantationDate]]))</f>
        <v>28 2025</v>
      </c>
      <c r="L3830" t="str">
        <f>CONCATENATE(MONTH(CompilDonnées[[#This Row],[PlantationDate]])," ", YEAR(CompilDonnées[[#This Row],[PlantationDate]]))</f>
        <v>7 2025</v>
      </c>
      <c r="M3830" t="str">
        <f>CONCATENATE(MONTH(CompilDonnées[[#This Row],[HarvestingDate]])," ", YEAR(CompilDonnées[[#This Row],[HarvestingDate]]))</f>
        <v>8 2025</v>
      </c>
      <c r="N3830">
        <f>_xlfn.NUMBERVALUE(CompilDonnées[[#This Row],[FarmID]]&amp;CompilDonnées[[#This Row],[ModuleNumber]]&amp;CompilDonnées[[#This Row],[PlantationDate]])</f>
        <v>51145847</v>
      </c>
      <c r="O3830" t="str">
        <f>CompilDonnées[[#This Row],[FarmID]]&amp;CompilDonnées[[#This Row],[ModuleNumber]]</f>
        <v>511</v>
      </c>
      <c r="P3830" t="str">
        <f>CompilDonnées[[#This Row],[Ref_Module]]&amp;CompilDonnées[[#This Row],[HarvestingDate]]</f>
        <v>51145896</v>
      </c>
    </row>
    <row r="3831" spans="1:16">
      <c r="A3831" s="5">
        <v>45847</v>
      </c>
      <c r="B3831">
        <v>50</v>
      </c>
      <c r="C3831" t="s">
        <v>55</v>
      </c>
      <c r="D3831">
        <v>5</v>
      </c>
      <c r="E3831">
        <v>100</v>
      </c>
      <c r="F3831" t="s">
        <v>1</v>
      </c>
      <c r="G3831" s="6">
        <v>45889</v>
      </c>
      <c r="H3831">
        <v>42</v>
      </c>
      <c r="I3831">
        <f>ROUND(CompilDonnées[[#This Row],[CultureDuration_days]]/7,0)</f>
        <v>6</v>
      </c>
      <c r="J3831">
        <v>2736</v>
      </c>
      <c r="K3831" t="str">
        <f>_xlfn.CONCAT(WEEKNUM(CompilDonnées[[#This Row],[PlantationDate]]), " ", YEAR(CompilDonnées[[#This Row],[PlantationDate]]))</f>
        <v>28 2025</v>
      </c>
      <c r="L3831" t="str">
        <f>CONCATENATE(MONTH(CompilDonnées[[#This Row],[PlantationDate]])," ", YEAR(CompilDonnées[[#This Row],[PlantationDate]]))</f>
        <v>7 2025</v>
      </c>
      <c r="M3831" t="str">
        <f>CONCATENATE(MONTH(CompilDonnées[[#This Row],[HarvestingDate]])," ", YEAR(CompilDonnées[[#This Row],[HarvestingDate]]))</f>
        <v>8 2025</v>
      </c>
      <c r="N3831">
        <f>_xlfn.NUMBERVALUE(CompilDonnées[[#This Row],[FarmID]]&amp;CompilDonnées[[#This Row],[ModuleNumber]]&amp;CompilDonnées[[#This Row],[PlantationDate]])</f>
        <v>50545847</v>
      </c>
      <c r="O3831" t="str">
        <f>CompilDonnées[[#This Row],[FarmID]]&amp;CompilDonnées[[#This Row],[ModuleNumber]]</f>
        <v>505</v>
      </c>
      <c r="P3831" t="str">
        <f>CompilDonnées[[#This Row],[Ref_Module]]&amp;CompilDonnées[[#This Row],[HarvestingDate]]</f>
        <v>50545889</v>
      </c>
    </row>
    <row r="3832" spans="1:16">
      <c r="A3832" s="5">
        <v>45847</v>
      </c>
      <c r="B3832">
        <v>59</v>
      </c>
      <c r="C3832" t="s">
        <v>64</v>
      </c>
      <c r="D3832">
        <v>1</v>
      </c>
      <c r="E3832">
        <v>100</v>
      </c>
      <c r="F3832" t="s">
        <v>1</v>
      </c>
      <c r="G3832" s="6">
        <v>45881</v>
      </c>
      <c r="H3832">
        <v>34</v>
      </c>
      <c r="I3832">
        <f>ROUND(CompilDonnées[[#This Row],[CultureDuration_days]]/7,0)</f>
        <v>5</v>
      </c>
      <c r="J3832">
        <v>3123</v>
      </c>
      <c r="K3832" t="str">
        <f>_xlfn.CONCAT(WEEKNUM(CompilDonnées[[#This Row],[PlantationDate]]), " ", YEAR(CompilDonnées[[#This Row],[PlantationDate]]))</f>
        <v>28 2025</v>
      </c>
      <c r="L3832" t="str">
        <f>CONCATENATE(MONTH(CompilDonnées[[#This Row],[PlantationDate]])," ", YEAR(CompilDonnées[[#This Row],[PlantationDate]]))</f>
        <v>7 2025</v>
      </c>
      <c r="M3832" t="str">
        <f>CONCATENATE(MONTH(CompilDonnées[[#This Row],[HarvestingDate]])," ", YEAR(CompilDonnées[[#This Row],[HarvestingDate]]))</f>
        <v>8 2025</v>
      </c>
      <c r="N3832">
        <f>_xlfn.NUMBERVALUE(CompilDonnées[[#This Row],[FarmID]]&amp;CompilDonnées[[#This Row],[ModuleNumber]]&amp;CompilDonnées[[#This Row],[PlantationDate]])</f>
        <v>59145847</v>
      </c>
      <c r="O3832" t="str">
        <f>CompilDonnées[[#This Row],[FarmID]]&amp;CompilDonnées[[#This Row],[ModuleNumber]]</f>
        <v>591</v>
      </c>
      <c r="P3832" t="str">
        <f>CompilDonnées[[#This Row],[Ref_Module]]&amp;CompilDonnées[[#This Row],[HarvestingDate]]</f>
        <v>59145881</v>
      </c>
    </row>
    <row r="3833" spans="1:16">
      <c r="A3833" s="5">
        <v>45847</v>
      </c>
      <c r="B3833">
        <v>57</v>
      </c>
      <c r="C3833" t="s">
        <v>46</v>
      </c>
      <c r="D3833">
        <v>5</v>
      </c>
      <c r="E3833">
        <v>100</v>
      </c>
      <c r="F3833" t="s">
        <v>1</v>
      </c>
      <c r="G3833" s="6">
        <v>45889</v>
      </c>
      <c r="H3833">
        <v>42</v>
      </c>
      <c r="I3833">
        <f>ROUND(CompilDonnées[[#This Row],[CultureDuration_days]]/7,0)</f>
        <v>6</v>
      </c>
      <c r="J3833">
        <v>3551</v>
      </c>
      <c r="K3833" t="str">
        <f>_xlfn.CONCAT(WEEKNUM(CompilDonnées[[#This Row],[PlantationDate]]), " ", YEAR(CompilDonnées[[#This Row],[PlantationDate]]))</f>
        <v>28 2025</v>
      </c>
      <c r="L3833" t="str">
        <f>CONCATENATE(MONTH(CompilDonnées[[#This Row],[PlantationDate]])," ", YEAR(CompilDonnées[[#This Row],[PlantationDate]]))</f>
        <v>7 2025</v>
      </c>
      <c r="M3833" t="str">
        <f>CONCATENATE(MONTH(CompilDonnées[[#This Row],[HarvestingDate]])," ", YEAR(CompilDonnées[[#This Row],[HarvestingDate]]))</f>
        <v>8 2025</v>
      </c>
      <c r="N3833">
        <f>_xlfn.NUMBERVALUE(CompilDonnées[[#This Row],[FarmID]]&amp;CompilDonnées[[#This Row],[ModuleNumber]]&amp;CompilDonnées[[#This Row],[PlantationDate]])</f>
        <v>57545847</v>
      </c>
      <c r="O3833" t="str">
        <f>CompilDonnées[[#This Row],[FarmID]]&amp;CompilDonnées[[#This Row],[ModuleNumber]]</f>
        <v>575</v>
      </c>
      <c r="P3833" t="str">
        <f>CompilDonnées[[#This Row],[Ref_Module]]&amp;CompilDonnées[[#This Row],[HarvestingDate]]</f>
        <v>57545889</v>
      </c>
    </row>
    <row r="3834" spans="1:16">
      <c r="A3834" s="5">
        <v>45847</v>
      </c>
      <c r="B3834">
        <v>56</v>
      </c>
      <c r="C3834" t="s">
        <v>6</v>
      </c>
      <c r="D3834">
        <v>1</v>
      </c>
      <c r="E3834">
        <v>100</v>
      </c>
      <c r="F3834" t="s">
        <v>1</v>
      </c>
      <c r="G3834" s="6">
        <v>45887</v>
      </c>
      <c r="H3834">
        <v>40</v>
      </c>
      <c r="I3834">
        <f>ROUND(CompilDonnées[[#This Row],[CultureDuration_days]]/7,0)</f>
        <v>6</v>
      </c>
      <c r="J3834">
        <v>2800</v>
      </c>
      <c r="K3834" t="str">
        <f>_xlfn.CONCAT(WEEKNUM(CompilDonnées[[#This Row],[PlantationDate]]), " ", YEAR(CompilDonnées[[#This Row],[PlantationDate]]))</f>
        <v>28 2025</v>
      </c>
      <c r="L3834" t="str">
        <f>CONCATENATE(MONTH(CompilDonnées[[#This Row],[PlantationDate]])," ", YEAR(CompilDonnées[[#This Row],[PlantationDate]]))</f>
        <v>7 2025</v>
      </c>
      <c r="M3834" t="str">
        <f>CONCATENATE(MONTH(CompilDonnées[[#This Row],[HarvestingDate]])," ", YEAR(CompilDonnées[[#This Row],[HarvestingDate]]))</f>
        <v>8 2025</v>
      </c>
      <c r="N3834">
        <f>_xlfn.NUMBERVALUE(CompilDonnées[[#This Row],[FarmID]]&amp;CompilDonnées[[#This Row],[ModuleNumber]]&amp;CompilDonnées[[#This Row],[PlantationDate]])</f>
        <v>56145847</v>
      </c>
      <c r="O3834" t="str">
        <f>CompilDonnées[[#This Row],[FarmID]]&amp;CompilDonnées[[#This Row],[ModuleNumber]]</f>
        <v>561</v>
      </c>
      <c r="P3834" t="str">
        <f>CompilDonnées[[#This Row],[Ref_Module]]&amp;CompilDonnées[[#This Row],[HarvestingDate]]</f>
        <v>56145887</v>
      </c>
    </row>
    <row r="3835" spans="1:16">
      <c r="A3835" s="5">
        <v>45847</v>
      </c>
      <c r="B3835">
        <v>56</v>
      </c>
      <c r="C3835" t="s">
        <v>6</v>
      </c>
      <c r="D3835">
        <v>3</v>
      </c>
      <c r="E3835">
        <v>100</v>
      </c>
      <c r="F3835" t="s">
        <v>1</v>
      </c>
      <c r="G3835" s="6">
        <v>45887</v>
      </c>
      <c r="H3835">
        <v>40</v>
      </c>
      <c r="I3835">
        <f>ROUND(CompilDonnées[[#This Row],[CultureDuration_days]]/7,0)</f>
        <v>6</v>
      </c>
      <c r="J3835">
        <v>2539</v>
      </c>
      <c r="K3835" t="str">
        <f>_xlfn.CONCAT(WEEKNUM(CompilDonnées[[#This Row],[PlantationDate]]), " ", YEAR(CompilDonnées[[#This Row],[PlantationDate]]))</f>
        <v>28 2025</v>
      </c>
      <c r="L3835" t="str">
        <f>CONCATENATE(MONTH(CompilDonnées[[#This Row],[PlantationDate]])," ", YEAR(CompilDonnées[[#This Row],[PlantationDate]]))</f>
        <v>7 2025</v>
      </c>
      <c r="M3835" t="str">
        <f>CONCATENATE(MONTH(CompilDonnées[[#This Row],[HarvestingDate]])," ", YEAR(CompilDonnées[[#This Row],[HarvestingDate]]))</f>
        <v>8 2025</v>
      </c>
      <c r="N3835">
        <f>_xlfn.NUMBERVALUE(CompilDonnées[[#This Row],[FarmID]]&amp;CompilDonnées[[#This Row],[ModuleNumber]]&amp;CompilDonnées[[#This Row],[PlantationDate]])</f>
        <v>56345847</v>
      </c>
      <c r="O3835" t="str">
        <f>CompilDonnées[[#This Row],[FarmID]]&amp;CompilDonnées[[#This Row],[ModuleNumber]]</f>
        <v>563</v>
      </c>
      <c r="P3835" t="str">
        <f>CompilDonnées[[#This Row],[Ref_Module]]&amp;CompilDonnées[[#This Row],[HarvestingDate]]</f>
        <v>56345887</v>
      </c>
    </row>
    <row r="3836" spans="1:16">
      <c r="A3836" s="5">
        <v>45847</v>
      </c>
      <c r="B3836">
        <v>55</v>
      </c>
      <c r="C3836" t="s">
        <v>60</v>
      </c>
      <c r="D3836">
        <v>1</v>
      </c>
      <c r="E3836">
        <v>100</v>
      </c>
      <c r="F3836" t="s">
        <v>1</v>
      </c>
      <c r="G3836" s="6">
        <v>45896</v>
      </c>
      <c r="H3836">
        <v>49</v>
      </c>
      <c r="I3836">
        <f>ROUND(CompilDonnées[[#This Row],[CultureDuration_days]]/7,0)</f>
        <v>7</v>
      </c>
      <c r="J3836">
        <v>2303</v>
      </c>
      <c r="K3836" t="str">
        <f>_xlfn.CONCAT(WEEKNUM(CompilDonnées[[#This Row],[PlantationDate]]), " ", YEAR(CompilDonnées[[#This Row],[PlantationDate]]))</f>
        <v>28 2025</v>
      </c>
      <c r="L3836" t="str">
        <f>CONCATENATE(MONTH(CompilDonnées[[#This Row],[PlantationDate]])," ", YEAR(CompilDonnées[[#This Row],[PlantationDate]]))</f>
        <v>7 2025</v>
      </c>
      <c r="M3836" t="str">
        <f>CONCATENATE(MONTH(CompilDonnées[[#This Row],[HarvestingDate]])," ", YEAR(CompilDonnées[[#This Row],[HarvestingDate]]))</f>
        <v>8 2025</v>
      </c>
      <c r="N3836">
        <f>_xlfn.NUMBERVALUE(CompilDonnées[[#This Row],[FarmID]]&amp;CompilDonnées[[#This Row],[ModuleNumber]]&amp;CompilDonnées[[#This Row],[PlantationDate]])</f>
        <v>55145847</v>
      </c>
      <c r="O3836" t="str">
        <f>CompilDonnées[[#This Row],[FarmID]]&amp;CompilDonnées[[#This Row],[ModuleNumber]]</f>
        <v>551</v>
      </c>
      <c r="P3836" t="str">
        <f>CompilDonnées[[#This Row],[Ref_Module]]&amp;CompilDonnées[[#This Row],[HarvestingDate]]</f>
        <v>55145896</v>
      </c>
    </row>
    <row r="3837" spans="1:16">
      <c r="A3837" s="5">
        <v>45847</v>
      </c>
      <c r="B3837">
        <v>48</v>
      </c>
      <c r="C3837" t="s">
        <v>71</v>
      </c>
      <c r="D3837">
        <v>1</v>
      </c>
      <c r="E3837">
        <v>100</v>
      </c>
      <c r="F3837" t="s">
        <v>1</v>
      </c>
      <c r="G3837" s="6">
        <v>45889</v>
      </c>
      <c r="H3837">
        <v>42</v>
      </c>
      <c r="I3837">
        <f>ROUND(CompilDonnées[[#This Row],[CultureDuration_days]]/7,0)</f>
        <v>6</v>
      </c>
      <c r="J3837">
        <v>1877</v>
      </c>
      <c r="K3837" t="str">
        <f>_xlfn.CONCAT(WEEKNUM(CompilDonnées[[#This Row],[PlantationDate]]), " ", YEAR(CompilDonnées[[#This Row],[PlantationDate]]))</f>
        <v>28 2025</v>
      </c>
      <c r="L3837" t="str">
        <f>CONCATENATE(MONTH(CompilDonnées[[#This Row],[PlantationDate]])," ", YEAR(CompilDonnées[[#This Row],[PlantationDate]]))</f>
        <v>7 2025</v>
      </c>
      <c r="M3837" t="str">
        <f>CONCATENATE(MONTH(CompilDonnées[[#This Row],[HarvestingDate]])," ", YEAR(CompilDonnées[[#This Row],[HarvestingDate]]))</f>
        <v>8 2025</v>
      </c>
      <c r="N3837">
        <f>_xlfn.NUMBERVALUE(CompilDonnées[[#This Row],[FarmID]]&amp;CompilDonnées[[#This Row],[ModuleNumber]]&amp;CompilDonnées[[#This Row],[PlantationDate]])</f>
        <v>48145847</v>
      </c>
      <c r="O3837" t="str">
        <f>CompilDonnées[[#This Row],[FarmID]]&amp;CompilDonnées[[#This Row],[ModuleNumber]]</f>
        <v>481</v>
      </c>
      <c r="P3837" t="str">
        <f>CompilDonnées[[#This Row],[Ref_Module]]&amp;CompilDonnées[[#This Row],[HarvestingDate]]</f>
        <v>48145889</v>
      </c>
    </row>
    <row r="3838" spans="1:16">
      <c r="A3838" s="5">
        <v>45847</v>
      </c>
      <c r="B3838">
        <v>78</v>
      </c>
      <c r="C3838" t="s">
        <v>3</v>
      </c>
      <c r="D3838">
        <v>1</v>
      </c>
      <c r="E3838">
        <v>60</v>
      </c>
      <c r="F3838" t="s">
        <v>105</v>
      </c>
      <c r="G3838" s="6">
        <v>45896</v>
      </c>
      <c r="H3838">
        <v>49</v>
      </c>
      <c r="I3838">
        <f>ROUND(CompilDonnées[[#This Row],[CultureDuration_days]]/7,0)</f>
        <v>7</v>
      </c>
      <c r="J3838">
        <v>884</v>
      </c>
      <c r="K3838" t="str">
        <f>_xlfn.CONCAT(WEEKNUM(CompilDonnées[[#This Row],[PlantationDate]]), " ", YEAR(CompilDonnées[[#This Row],[PlantationDate]]))</f>
        <v>28 2025</v>
      </c>
      <c r="L3838" t="str">
        <f>CONCATENATE(MONTH(CompilDonnées[[#This Row],[PlantationDate]])," ", YEAR(CompilDonnées[[#This Row],[PlantationDate]]))</f>
        <v>7 2025</v>
      </c>
      <c r="M3838" t="str">
        <f>CONCATENATE(MONTH(CompilDonnées[[#This Row],[HarvestingDate]])," ", YEAR(CompilDonnées[[#This Row],[HarvestingDate]]))</f>
        <v>8 2025</v>
      </c>
      <c r="N3838">
        <f>_xlfn.NUMBERVALUE(CompilDonnées[[#This Row],[FarmID]]&amp;CompilDonnées[[#This Row],[ModuleNumber]]&amp;CompilDonnées[[#This Row],[PlantationDate]])</f>
        <v>78145847</v>
      </c>
      <c r="O3838" t="str">
        <f>CompilDonnées[[#This Row],[FarmID]]&amp;CompilDonnées[[#This Row],[ModuleNumber]]</f>
        <v>781</v>
      </c>
      <c r="P3838" t="str">
        <f>CompilDonnées[[#This Row],[Ref_Module]]&amp;CompilDonnées[[#This Row],[HarvestingDate]]</f>
        <v>78145896</v>
      </c>
    </row>
    <row r="3839" spans="1:16">
      <c r="A3839" s="5">
        <v>45847</v>
      </c>
      <c r="B3839">
        <v>78</v>
      </c>
      <c r="C3839" t="s">
        <v>3</v>
      </c>
      <c r="D3839">
        <v>2</v>
      </c>
      <c r="E3839">
        <v>60</v>
      </c>
      <c r="F3839" t="s">
        <v>105</v>
      </c>
      <c r="G3839" s="6">
        <v>45896</v>
      </c>
      <c r="H3839">
        <v>49</v>
      </c>
      <c r="I3839">
        <f>ROUND(CompilDonnées[[#This Row],[CultureDuration_days]]/7,0)</f>
        <v>7</v>
      </c>
      <c r="J3839">
        <v>872</v>
      </c>
      <c r="K3839" t="str">
        <f>_xlfn.CONCAT(WEEKNUM(CompilDonnées[[#This Row],[PlantationDate]]), " ", YEAR(CompilDonnées[[#This Row],[PlantationDate]]))</f>
        <v>28 2025</v>
      </c>
      <c r="L3839" t="str">
        <f>CONCATENATE(MONTH(CompilDonnées[[#This Row],[PlantationDate]])," ", YEAR(CompilDonnées[[#This Row],[PlantationDate]]))</f>
        <v>7 2025</v>
      </c>
      <c r="M3839" t="str">
        <f>CONCATENATE(MONTH(CompilDonnées[[#This Row],[HarvestingDate]])," ", YEAR(CompilDonnées[[#This Row],[HarvestingDate]]))</f>
        <v>8 2025</v>
      </c>
      <c r="N3839">
        <f>_xlfn.NUMBERVALUE(CompilDonnées[[#This Row],[FarmID]]&amp;CompilDonnées[[#This Row],[ModuleNumber]]&amp;CompilDonnées[[#This Row],[PlantationDate]])</f>
        <v>78245847</v>
      </c>
      <c r="O3839" t="str">
        <f>CompilDonnées[[#This Row],[FarmID]]&amp;CompilDonnées[[#This Row],[ModuleNumber]]</f>
        <v>782</v>
      </c>
      <c r="P3839" t="str">
        <f>CompilDonnées[[#This Row],[Ref_Module]]&amp;CompilDonnées[[#This Row],[HarvestingDate]]</f>
        <v>78245896</v>
      </c>
    </row>
    <row r="3840" spans="1:16">
      <c r="A3840" s="5">
        <v>45847</v>
      </c>
      <c r="B3840">
        <v>78</v>
      </c>
      <c r="C3840" t="s">
        <v>3</v>
      </c>
      <c r="D3840">
        <v>3</v>
      </c>
      <c r="E3840">
        <v>60</v>
      </c>
      <c r="F3840" t="s">
        <v>105</v>
      </c>
      <c r="G3840" s="6">
        <v>45896</v>
      </c>
      <c r="H3840">
        <v>49</v>
      </c>
      <c r="I3840">
        <f>ROUND(CompilDonnées[[#This Row],[CultureDuration_days]]/7,0)</f>
        <v>7</v>
      </c>
      <c r="J3840">
        <v>887</v>
      </c>
      <c r="K3840" t="str">
        <f>_xlfn.CONCAT(WEEKNUM(CompilDonnées[[#This Row],[PlantationDate]]), " ", YEAR(CompilDonnées[[#This Row],[PlantationDate]]))</f>
        <v>28 2025</v>
      </c>
      <c r="L3840" t="str">
        <f>CONCATENATE(MONTH(CompilDonnées[[#This Row],[PlantationDate]])," ", YEAR(CompilDonnées[[#This Row],[PlantationDate]]))</f>
        <v>7 2025</v>
      </c>
      <c r="M3840" t="str">
        <f>CONCATENATE(MONTH(CompilDonnées[[#This Row],[HarvestingDate]])," ", YEAR(CompilDonnées[[#This Row],[HarvestingDate]]))</f>
        <v>8 2025</v>
      </c>
      <c r="N3840">
        <f>_xlfn.NUMBERVALUE(CompilDonnées[[#This Row],[FarmID]]&amp;CompilDonnées[[#This Row],[ModuleNumber]]&amp;CompilDonnées[[#This Row],[PlantationDate]])</f>
        <v>78345847</v>
      </c>
      <c r="O3840" t="str">
        <f>CompilDonnées[[#This Row],[FarmID]]&amp;CompilDonnées[[#This Row],[ModuleNumber]]</f>
        <v>783</v>
      </c>
      <c r="P3840" t="str">
        <f>CompilDonnées[[#This Row],[Ref_Module]]&amp;CompilDonnées[[#This Row],[HarvestingDate]]</f>
        <v>78345896</v>
      </c>
    </row>
    <row r="3841" spans="1:16">
      <c r="A3841" s="5">
        <v>45848</v>
      </c>
      <c r="B3841">
        <v>91</v>
      </c>
      <c r="C3841" t="s">
        <v>9</v>
      </c>
      <c r="D3841">
        <v>1</v>
      </c>
      <c r="E3841">
        <v>100</v>
      </c>
      <c r="F3841" t="s">
        <v>1</v>
      </c>
      <c r="G3841" s="6">
        <v>45895</v>
      </c>
      <c r="H3841">
        <v>47</v>
      </c>
      <c r="I3841">
        <f>ROUND(CompilDonnées[[#This Row],[CultureDuration_days]]/7,0)</f>
        <v>7</v>
      </c>
      <c r="J3841">
        <v>2758</v>
      </c>
      <c r="K3841" t="str">
        <f>_xlfn.CONCAT(WEEKNUM(CompilDonnées[[#This Row],[PlantationDate]]), " ", YEAR(CompilDonnées[[#This Row],[PlantationDate]]))</f>
        <v>28 2025</v>
      </c>
      <c r="L3841" t="str">
        <f>CONCATENATE(MONTH(CompilDonnées[[#This Row],[PlantationDate]])," ", YEAR(CompilDonnées[[#This Row],[PlantationDate]]))</f>
        <v>7 2025</v>
      </c>
      <c r="M3841" t="str">
        <f>CONCATENATE(MONTH(CompilDonnées[[#This Row],[HarvestingDate]])," ", YEAR(CompilDonnées[[#This Row],[HarvestingDate]]))</f>
        <v>8 2025</v>
      </c>
      <c r="N3841">
        <f>_xlfn.NUMBERVALUE(CompilDonnées[[#This Row],[FarmID]]&amp;CompilDonnées[[#This Row],[ModuleNumber]]&amp;CompilDonnées[[#This Row],[PlantationDate]])</f>
        <v>91145848</v>
      </c>
      <c r="O3841" t="str">
        <f>CompilDonnées[[#This Row],[FarmID]]&amp;CompilDonnées[[#This Row],[ModuleNumber]]</f>
        <v>911</v>
      </c>
      <c r="P3841" t="str">
        <f>CompilDonnées[[#This Row],[Ref_Module]]&amp;CompilDonnées[[#This Row],[HarvestingDate]]</f>
        <v>91145895</v>
      </c>
    </row>
    <row r="3842" spans="1:16">
      <c r="A3842" s="5">
        <v>45848</v>
      </c>
      <c r="B3842">
        <v>99</v>
      </c>
      <c r="C3842" t="s">
        <v>117</v>
      </c>
      <c r="D3842">
        <v>5</v>
      </c>
      <c r="E3842">
        <v>100</v>
      </c>
      <c r="F3842" t="s">
        <v>1</v>
      </c>
      <c r="G3842" s="6">
        <v>45891</v>
      </c>
      <c r="H3842">
        <v>43</v>
      </c>
      <c r="I3842">
        <f>ROUND(CompilDonnées[[#This Row],[CultureDuration_days]]/7,0)</f>
        <v>6</v>
      </c>
      <c r="J3842">
        <v>3373</v>
      </c>
      <c r="K3842" t="str">
        <f>_xlfn.CONCAT(WEEKNUM(CompilDonnées[[#This Row],[PlantationDate]]), " ", YEAR(CompilDonnées[[#This Row],[PlantationDate]]))</f>
        <v>28 2025</v>
      </c>
      <c r="L3842" t="str">
        <f>CONCATENATE(MONTH(CompilDonnées[[#This Row],[PlantationDate]])," ", YEAR(CompilDonnées[[#This Row],[PlantationDate]]))</f>
        <v>7 2025</v>
      </c>
      <c r="M3842" t="str">
        <f>CONCATENATE(MONTH(CompilDonnées[[#This Row],[HarvestingDate]])," ", YEAR(CompilDonnées[[#This Row],[HarvestingDate]]))</f>
        <v>8 2025</v>
      </c>
      <c r="N3842">
        <f>_xlfn.NUMBERVALUE(CompilDonnées[[#This Row],[FarmID]]&amp;CompilDonnées[[#This Row],[ModuleNumber]]&amp;CompilDonnées[[#This Row],[PlantationDate]])</f>
        <v>99545848</v>
      </c>
      <c r="O3842" t="str">
        <f>CompilDonnées[[#This Row],[FarmID]]&amp;CompilDonnées[[#This Row],[ModuleNumber]]</f>
        <v>995</v>
      </c>
      <c r="P3842" t="str">
        <f>CompilDonnées[[#This Row],[Ref_Module]]&amp;CompilDonnées[[#This Row],[HarvestingDate]]</f>
        <v>99545891</v>
      </c>
    </row>
    <row r="3843" spans="1:16">
      <c r="A3843" s="5">
        <v>45848</v>
      </c>
      <c r="B3843">
        <v>98</v>
      </c>
      <c r="C3843" t="s">
        <v>79</v>
      </c>
      <c r="D3843">
        <v>4</v>
      </c>
      <c r="E3843">
        <v>100</v>
      </c>
      <c r="F3843" t="s">
        <v>1</v>
      </c>
      <c r="G3843" s="6">
        <v>45891</v>
      </c>
      <c r="H3843">
        <v>43</v>
      </c>
      <c r="I3843">
        <f>ROUND(CompilDonnées[[#This Row],[CultureDuration_days]]/7,0)</f>
        <v>6</v>
      </c>
      <c r="J3843">
        <v>2785</v>
      </c>
      <c r="K3843" t="str">
        <f>_xlfn.CONCAT(WEEKNUM(CompilDonnées[[#This Row],[PlantationDate]]), " ", YEAR(CompilDonnées[[#This Row],[PlantationDate]]))</f>
        <v>28 2025</v>
      </c>
      <c r="L3843" t="str">
        <f>CONCATENATE(MONTH(CompilDonnées[[#This Row],[PlantationDate]])," ", YEAR(CompilDonnées[[#This Row],[PlantationDate]]))</f>
        <v>7 2025</v>
      </c>
      <c r="M3843" t="str">
        <f>CONCATENATE(MONTH(CompilDonnées[[#This Row],[HarvestingDate]])," ", YEAR(CompilDonnées[[#This Row],[HarvestingDate]]))</f>
        <v>8 2025</v>
      </c>
      <c r="N3843">
        <f>_xlfn.NUMBERVALUE(CompilDonnées[[#This Row],[FarmID]]&amp;CompilDonnées[[#This Row],[ModuleNumber]]&amp;CompilDonnées[[#This Row],[PlantationDate]])</f>
        <v>98445848</v>
      </c>
      <c r="O3843" t="str">
        <f>CompilDonnées[[#This Row],[FarmID]]&amp;CompilDonnées[[#This Row],[ModuleNumber]]</f>
        <v>984</v>
      </c>
      <c r="P3843" t="str">
        <f>CompilDonnées[[#This Row],[Ref_Module]]&amp;CompilDonnées[[#This Row],[HarvestingDate]]</f>
        <v>98445891</v>
      </c>
    </row>
    <row r="3844" spans="1:16">
      <c r="A3844" s="5">
        <v>45848</v>
      </c>
      <c r="B3844">
        <v>96</v>
      </c>
      <c r="C3844" t="s">
        <v>125</v>
      </c>
      <c r="D3844">
        <v>1</v>
      </c>
      <c r="E3844">
        <v>100</v>
      </c>
      <c r="F3844" t="s">
        <v>1</v>
      </c>
      <c r="G3844" s="6">
        <v>45903</v>
      </c>
      <c r="H3844">
        <v>55</v>
      </c>
      <c r="I3844">
        <f>ROUND(CompilDonnées[[#This Row],[CultureDuration_days]]/7,0)</f>
        <v>8</v>
      </c>
      <c r="J3844">
        <v>2788</v>
      </c>
      <c r="K3844" t="str">
        <f>_xlfn.CONCAT(WEEKNUM(CompilDonnées[[#This Row],[PlantationDate]]), " ", YEAR(CompilDonnées[[#This Row],[PlantationDate]]))</f>
        <v>28 2025</v>
      </c>
      <c r="L3844" t="str">
        <f>CONCATENATE(MONTH(CompilDonnées[[#This Row],[PlantationDate]])," ", YEAR(CompilDonnées[[#This Row],[PlantationDate]]))</f>
        <v>7 2025</v>
      </c>
      <c r="M3844" t="str">
        <f>CONCATENATE(MONTH(CompilDonnées[[#This Row],[HarvestingDate]])," ", YEAR(CompilDonnées[[#This Row],[HarvestingDate]]))</f>
        <v>9 2025</v>
      </c>
      <c r="N3844">
        <f>_xlfn.NUMBERVALUE(CompilDonnées[[#This Row],[FarmID]]&amp;CompilDonnées[[#This Row],[ModuleNumber]]&amp;CompilDonnées[[#This Row],[PlantationDate]])</f>
        <v>96145848</v>
      </c>
      <c r="O3844" t="str">
        <f>CompilDonnées[[#This Row],[FarmID]]&amp;CompilDonnées[[#This Row],[ModuleNumber]]</f>
        <v>961</v>
      </c>
      <c r="P3844" t="str">
        <f>CompilDonnées[[#This Row],[Ref_Module]]&amp;CompilDonnées[[#This Row],[HarvestingDate]]</f>
        <v>96145903</v>
      </c>
    </row>
    <row r="3845" spans="1:16">
      <c r="A3845" s="5">
        <v>45848</v>
      </c>
      <c r="B3845">
        <v>97</v>
      </c>
      <c r="C3845" t="s">
        <v>78</v>
      </c>
      <c r="D3845">
        <v>1</v>
      </c>
      <c r="E3845">
        <v>100</v>
      </c>
      <c r="F3845" t="s">
        <v>1</v>
      </c>
      <c r="G3845" s="6">
        <v>45894</v>
      </c>
      <c r="H3845">
        <v>46</v>
      </c>
      <c r="I3845">
        <f>ROUND(CompilDonnées[[#This Row],[CultureDuration_days]]/7,0)</f>
        <v>7</v>
      </c>
      <c r="J3845">
        <v>2416</v>
      </c>
      <c r="K3845" t="str">
        <f>_xlfn.CONCAT(WEEKNUM(CompilDonnées[[#This Row],[PlantationDate]]), " ", YEAR(CompilDonnées[[#This Row],[PlantationDate]]))</f>
        <v>28 2025</v>
      </c>
      <c r="L3845" t="str">
        <f>CONCATENATE(MONTH(CompilDonnées[[#This Row],[PlantationDate]])," ", YEAR(CompilDonnées[[#This Row],[PlantationDate]]))</f>
        <v>7 2025</v>
      </c>
      <c r="M3845" t="str">
        <f>CONCATENATE(MONTH(CompilDonnées[[#This Row],[HarvestingDate]])," ", YEAR(CompilDonnées[[#This Row],[HarvestingDate]]))</f>
        <v>8 2025</v>
      </c>
      <c r="N3845">
        <f>_xlfn.NUMBERVALUE(CompilDonnées[[#This Row],[FarmID]]&amp;CompilDonnées[[#This Row],[ModuleNumber]]&amp;CompilDonnées[[#This Row],[PlantationDate]])</f>
        <v>97145848</v>
      </c>
      <c r="O3845" t="str">
        <f>CompilDonnées[[#This Row],[FarmID]]&amp;CompilDonnées[[#This Row],[ModuleNumber]]</f>
        <v>971</v>
      </c>
      <c r="P3845" t="str">
        <f>CompilDonnées[[#This Row],[Ref_Module]]&amp;CompilDonnées[[#This Row],[HarvestingDate]]</f>
        <v>97145894</v>
      </c>
    </row>
    <row r="3846" spans="1:16">
      <c r="A3846" s="5">
        <v>45848</v>
      </c>
      <c r="B3846">
        <v>15</v>
      </c>
      <c r="C3846" t="s">
        <v>5</v>
      </c>
      <c r="D3846">
        <v>1</v>
      </c>
      <c r="E3846">
        <v>100</v>
      </c>
      <c r="F3846" t="s">
        <v>1</v>
      </c>
      <c r="G3846" s="6">
        <v>45887</v>
      </c>
      <c r="H3846">
        <v>39</v>
      </c>
      <c r="I3846">
        <f>ROUND(CompilDonnées[[#This Row],[CultureDuration_days]]/7,0)</f>
        <v>6</v>
      </c>
      <c r="J3846">
        <v>1785</v>
      </c>
      <c r="K3846" t="str">
        <f>_xlfn.CONCAT(WEEKNUM(CompilDonnées[[#This Row],[PlantationDate]]), " ", YEAR(CompilDonnées[[#This Row],[PlantationDate]]))</f>
        <v>28 2025</v>
      </c>
      <c r="L3846" t="str">
        <f>CONCATENATE(MONTH(CompilDonnées[[#This Row],[PlantationDate]])," ", YEAR(CompilDonnées[[#This Row],[PlantationDate]]))</f>
        <v>7 2025</v>
      </c>
      <c r="M3846" t="str">
        <f>CONCATENATE(MONTH(CompilDonnées[[#This Row],[HarvestingDate]])," ", YEAR(CompilDonnées[[#This Row],[HarvestingDate]]))</f>
        <v>8 2025</v>
      </c>
      <c r="N3846">
        <f>_xlfn.NUMBERVALUE(CompilDonnées[[#This Row],[FarmID]]&amp;CompilDonnées[[#This Row],[ModuleNumber]]&amp;CompilDonnées[[#This Row],[PlantationDate]])</f>
        <v>15145848</v>
      </c>
      <c r="O3846" t="str">
        <f>CompilDonnées[[#This Row],[FarmID]]&amp;CompilDonnées[[#This Row],[ModuleNumber]]</f>
        <v>151</v>
      </c>
      <c r="P3846" t="str">
        <f>CompilDonnées[[#This Row],[Ref_Module]]&amp;CompilDonnées[[#This Row],[HarvestingDate]]</f>
        <v>15145887</v>
      </c>
    </row>
    <row r="3847" spans="1:16">
      <c r="A3847" s="5">
        <v>45848</v>
      </c>
      <c r="B3847">
        <v>32</v>
      </c>
      <c r="C3847" t="s">
        <v>25</v>
      </c>
      <c r="D3847">
        <v>4</v>
      </c>
      <c r="E3847">
        <v>100</v>
      </c>
      <c r="F3847" t="s">
        <v>1</v>
      </c>
      <c r="G3847" s="6">
        <v>45897</v>
      </c>
      <c r="H3847">
        <v>49</v>
      </c>
      <c r="I3847">
        <f>ROUND(CompilDonnées[[#This Row],[CultureDuration_days]]/7,0)</f>
        <v>7</v>
      </c>
      <c r="J3847">
        <v>4083</v>
      </c>
      <c r="K3847" t="str">
        <f>_xlfn.CONCAT(WEEKNUM(CompilDonnées[[#This Row],[PlantationDate]]), " ", YEAR(CompilDonnées[[#This Row],[PlantationDate]]))</f>
        <v>28 2025</v>
      </c>
      <c r="L3847" t="str">
        <f>CONCATENATE(MONTH(CompilDonnées[[#This Row],[PlantationDate]])," ", YEAR(CompilDonnées[[#This Row],[PlantationDate]]))</f>
        <v>7 2025</v>
      </c>
      <c r="M3847" t="str">
        <f>CONCATENATE(MONTH(CompilDonnées[[#This Row],[HarvestingDate]])," ", YEAR(CompilDonnées[[#This Row],[HarvestingDate]]))</f>
        <v>8 2025</v>
      </c>
      <c r="N3847">
        <f>_xlfn.NUMBERVALUE(CompilDonnées[[#This Row],[FarmID]]&amp;CompilDonnées[[#This Row],[ModuleNumber]]&amp;CompilDonnées[[#This Row],[PlantationDate]])</f>
        <v>32445848</v>
      </c>
      <c r="O3847" t="str">
        <f>CompilDonnées[[#This Row],[FarmID]]&amp;CompilDonnées[[#This Row],[ModuleNumber]]</f>
        <v>324</v>
      </c>
      <c r="P3847" t="str">
        <f>CompilDonnées[[#This Row],[Ref_Module]]&amp;CompilDonnées[[#This Row],[HarvestingDate]]</f>
        <v>32445897</v>
      </c>
    </row>
    <row r="3848" spans="1:16">
      <c r="A3848" s="5">
        <v>45848</v>
      </c>
      <c r="B3848">
        <v>31</v>
      </c>
      <c r="C3848" t="s">
        <v>62</v>
      </c>
      <c r="D3848">
        <v>2</v>
      </c>
      <c r="E3848">
        <v>100</v>
      </c>
      <c r="F3848" t="s">
        <v>1</v>
      </c>
      <c r="G3848" s="6">
        <v>45897</v>
      </c>
      <c r="H3848">
        <v>49</v>
      </c>
      <c r="I3848">
        <f>ROUND(CompilDonnées[[#This Row],[CultureDuration_days]]/7,0)</f>
        <v>7</v>
      </c>
      <c r="J3848">
        <v>3132</v>
      </c>
      <c r="K3848" t="str">
        <f>_xlfn.CONCAT(WEEKNUM(CompilDonnées[[#This Row],[PlantationDate]]), " ", YEAR(CompilDonnées[[#This Row],[PlantationDate]]))</f>
        <v>28 2025</v>
      </c>
      <c r="L3848" t="str">
        <f>CONCATENATE(MONTH(CompilDonnées[[#This Row],[PlantationDate]])," ", YEAR(CompilDonnées[[#This Row],[PlantationDate]]))</f>
        <v>7 2025</v>
      </c>
      <c r="M3848" t="str">
        <f>CONCATENATE(MONTH(CompilDonnées[[#This Row],[HarvestingDate]])," ", YEAR(CompilDonnées[[#This Row],[HarvestingDate]]))</f>
        <v>8 2025</v>
      </c>
      <c r="N3848">
        <f>_xlfn.NUMBERVALUE(CompilDonnées[[#This Row],[FarmID]]&amp;CompilDonnées[[#This Row],[ModuleNumber]]&amp;CompilDonnées[[#This Row],[PlantationDate]])</f>
        <v>31245848</v>
      </c>
      <c r="O3848" t="str">
        <f>CompilDonnées[[#This Row],[FarmID]]&amp;CompilDonnées[[#This Row],[ModuleNumber]]</f>
        <v>312</v>
      </c>
      <c r="P3848" t="str">
        <f>CompilDonnées[[#This Row],[Ref_Module]]&amp;CompilDonnées[[#This Row],[HarvestingDate]]</f>
        <v>31245897</v>
      </c>
    </row>
    <row r="3849" spans="1:16">
      <c r="A3849" s="5">
        <v>45848</v>
      </c>
      <c r="B3849">
        <v>38</v>
      </c>
      <c r="C3849" t="s">
        <v>34</v>
      </c>
      <c r="D3849">
        <v>3</v>
      </c>
      <c r="E3849">
        <v>100</v>
      </c>
      <c r="F3849" t="s">
        <v>1</v>
      </c>
      <c r="G3849" s="6">
        <v>45889</v>
      </c>
      <c r="H3849">
        <v>41</v>
      </c>
      <c r="I3849">
        <f>ROUND(CompilDonnées[[#This Row],[CultureDuration_days]]/7,0)</f>
        <v>6</v>
      </c>
      <c r="J3849">
        <v>3486</v>
      </c>
      <c r="K3849" t="str">
        <f>_xlfn.CONCAT(WEEKNUM(CompilDonnées[[#This Row],[PlantationDate]]), " ", YEAR(CompilDonnées[[#This Row],[PlantationDate]]))</f>
        <v>28 2025</v>
      </c>
      <c r="L3849" t="str">
        <f>CONCATENATE(MONTH(CompilDonnées[[#This Row],[PlantationDate]])," ", YEAR(CompilDonnées[[#This Row],[PlantationDate]]))</f>
        <v>7 2025</v>
      </c>
      <c r="M3849" t="str">
        <f>CONCATENATE(MONTH(CompilDonnées[[#This Row],[HarvestingDate]])," ", YEAR(CompilDonnées[[#This Row],[HarvestingDate]]))</f>
        <v>8 2025</v>
      </c>
      <c r="N3849">
        <f>_xlfn.NUMBERVALUE(CompilDonnées[[#This Row],[FarmID]]&amp;CompilDonnées[[#This Row],[ModuleNumber]]&amp;CompilDonnées[[#This Row],[PlantationDate]])</f>
        <v>38345848</v>
      </c>
      <c r="O3849" t="str">
        <f>CompilDonnées[[#This Row],[FarmID]]&amp;CompilDonnées[[#This Row],[ModuleNumber]]</f>
        <v>383</v>
      </c>
      <c r="P3849" t="str">
        <f>CompilDonnées[[#This Row],[Ref_Module]]&amp;CompilDonnées[[#This Row],[HarvestingDate]]</f>
        <v>38345889</v>
      </c>
    </row>
    <row r="3850" spans="1:16">
      <c r="A3850" s="5">
        <v>45848</v>
      </c>
      <c r="B3850">
        <v>37</v>
      </c>
      <c r="C3850" t="s">
        <v>26</v>
      </c>
      <c r="D3850">
        <v>5</v>
      </c>
      <c r="E3850">
        <v>100</v>
      </c>
      <c r="F3850" t="s">
        <v>1</v>
      </c>
      <c r="G3850" s="6">
        <v>45889</v>
      </c>
      <c r="H3850">
        <v>41</v>
      </c>
      <c r="I3850">
        <f>ROUND(CompilDonnées[[#This Row],[CultureDuration_days]]/7,0)</f>
        <v>6</v>
      </c>
      <c r="J3850">
        <v>3499</v>
      </c>
      <c r="K3850" t="str">
        <f>_xlfn.CONCAT(WEEKNUM(CompilDonnées[[#This Row],[PlantationDate]]), " ", YEAR(CompilDonnées[[#This Row],[PlantationDate]]))</f>
        <v>28 2025</v>
      </c>
      <c r="L3850" t="str">
        <f>CONCATENATE(MONTH(CompilDonnées[[#This Row],[PlantationDate]])," ", YEAR(CompilDonnées[[#This Row],[PlantationDate]]))</f>
        <v>7 2025</v>
      </c>
      <c r="M3850" t="str">
        <f>CONCATENATE(MONTH(CompilDonnées[[#This Row],[HarvestingDate]])," ", YEAR(CompilDonnées[[#This Row],[HarvestingDate]]))</f>
        <v>8 2025</v>
      </c>
      <c r="N3850">
        <f>_xlfn.NUMBERVALUE(CompilDonnées[[#This Row],[FarmID]]&amp;CompilDonnées[[#This Row],[ModuleNumber]]&amp;CompilDonnées[[#This Row],[PlantationDate]])</f>
        <v>37545848</v>
      </c>
      <c r="O3850" t="str">
        <f>CompilDonnées[[#This Row],[FarmID]]&amp;CompilDonnées[[#This Row],[ModuleNumber]]</f>
        <v>375</v>
      </c>
      <c r="P3850" t="str">
        <f>CompilDonnées[[#This Row],[Ref_Module]]&amp;CompilDonnées[[#This Row],[HarvestingDate]]</f>
        <v>37545889</v>
      </c>
    </row>
    <row r="3851" spans="1:16">
      <c r="A3851" s="5">
        <v>45848</v>
      </c>
      <c r="B3851">
        <v>36</v>
      </c>
      <c r="C3851" t="s">
        <v>63</v>
      </c>
      <c r="D3851">
        <v>4</v>
      </c>
      <c r="E3851">
        <v>100</v>
      </c>
      <c r="F3851" t="s">
        <v>1</v>
      </c>
      <c r="G3851" s="6">
        <v>45889</v>
      </c>
      <c r="H3851">
        <v>41</v>
      </c>
      <c r="I3851">
        <f>ROUND(CompilDonnées[[#This Row],[CultureDuration_days]]/7,0)</f>
        <v>6</v>
      </c>
      <c r="J3851">
        <v>3085</v>
      </c>
      <c r="K3851" t="str">
        <f>_xlfn.CONCAT(WEEKNUM(CompilDonnées[[#This Row],[PlantationDate]]), " ", YEAR(CompilDonnées[[#This Row],[PlantationDate]]))</f>
        <v>28 2025</v>
      </c>
      <c r="L3851" t="str">
        <f>CONCATENATE(MONTH(CompilDonnées[[#This Row],[PlantationDate]])," ", YEAR(CompilDonnées[[#This Row],[PlantationDate]]))</f>
        <v>7 2025</v>
      </c>
      <c r="M3851" t="str">
        <f>CONCATENATE(MONTH(CompilDonnées[[#This Row],[HarvestingDate]])," ", YEAR(CompilDonnées[[#This Row],[HarvestingDate]]))</f>
        <v>8 2025</v>
      </c>
      <c r="N3851">
        <f>_xlfn.NUMBERVALUE(CompilDonnées[[#This Row],[FarmID]]&amp;CompilDonnées[[#This Row],[ModuleNumber]]&amp;CompilDonnées[[#This Row],[PlantationDate]])</f>
        <v>36445848</v>
      </c>
      <c r="O3851" t="str">
        <f>CompilDonnées[[#This Row],[FarmID]]&amp;CompilDonnées[[#This Row],[ModuleNumber]]</f>
        <v>364</v>
      </c>
      <c r="P3851" t="str">
        <f>CompilDonnées[[#This Row],[Ref_Module]]&amp;CompilDonnées[[#This Row],[HarvestingDate]]</f>
        <v>36445889</v>
      </c>
    </row>
    <row r="3852" spans="1:16">
      <c r="A3852" s="5">
        <v>45848</v>
      </c>
      <c r="B3852">
        <v>35</v>
      </c>
      <c r="C3852" t="s">
        <v>69</v>
      </c>
      <c r="D3852">
        <v>5</v>
      </c>
      <c r="E3852">
        <v>100</v>
      </c>
      <c r="F3852" t="s">
        <v>1</v>
      </c>
      <c r="G3852" s="6">
        <v>45887</v>
      </c>
      <c r="H3852">
        <v>39</v>
      </c>
      <c r="I3852">
        <f>ROUND(CompilDonnées[[#This Row],[CultureDuration_days]]/7,0)</f>
        <v>6</v>
      </c>
      <c r="J3852">
        <v>2592</v>
      </c>
      <c r="K3852" t="str">
        <f>_xlfn.CONCAT(WEEKNUM(CompilDonnées[[#This Row],[PlantationDate]]), " ", YEAR(CompilDonnées[[#This Row],[PlantationDate]]))</f>
        <v>28 2025</v>
      </c>
      <c r="L3852" t="str">
        <f>CONCATENATE(MONTH(CompilDonnées[[#This Row],[PlantationDate]])," ", YEAR(CompilDonnées[[#This Row],[PlantationDate]]))</f>
        <v>7 2025</v>
      </c>
      <c r="M3852" t="str">
        <f>CONCATENATE(MONTH(CompilDonnées[[#This Row],[HarvestingDate]])," ", YEAR(CompilDonnées[[#This Row],[HarvestingDate]]))</f>
        <v>8 2025</v>
      </c>
      <c r="N3852">
        <f>_xlfn.NUMBERVALUE(CompilDonnées[[#This Row],[FarmID]]&amp;CompilDonnées[[#This Row],[ModuleNumber]]&amp;CompilDonnées[[#This Row],[PlantationDate]])</f>
        <v>35545848</v>
      </c>
      <c r="O3852" t="str">
        <f>CompilDonnées[[#This Row],[FarmID]]&amp;CompilDonnées[[#This Row],[ModuleNumber]]</f>
        <v>355</v>
      </c>
      <c r="P3852" t="str">
        <f>CompilDonnées[[#This Row],[Ref_Module]]&amp;CompilDonnées[[#This Row],[HarvestingDate]]</f>
        <v>35545887</v>
      </c>
    </row>
    <row r="3853" spans="1:16">
      <c r="A3853" s="5">
        <v>45848</v>
      </c>
      <c r="B3853">
        <v>45</v>
      </c>
      <c r="C3853" t="s">
        <v>77</v>
      </c>
      <c r="D3853">
        <v>3</v>
      </c>
      <c r="E3853">
        <v>100</v>
      </c>
      <c r="F3853" t="s">
        <v>1</v>
      </c>
      <c r="G3853" s="6">
        <v>45896</v>
      </c>
      <c r="H3853">
        <v>48</v>
      </c>
      <c r="I3853">
        <f>ROUND(CompilDonnées[[#This Row],[CultureDuration_days]]/7,0)</f>
        <v>7</v>
      </c>
      <c r="J3853">
        <v>3667</v>
      </c>
      <c r="K3853" t="str">
        <f>_xlfn.CONCAT(WEEKNUM(CompilDonnées[[#This Row],[PlantationDate]]), " ", YEAR(CompilDonnées[[#This Row],[PlantationDate]]))</f>
        <v>28 2025</v>
      </c>
      <c r="L3853" t="str">
        <f>CONCATENATE(MONTH(CompilDonnées[[#This Row],[PlantationDate]])," ", YEAR(CompilDonnées[[#This Row],[PlantationDate]]))</f>
        <v>7 2025</v>
      </c>
      <c r="M3853" t="str">
        <f>CONCATENATE(MONTH(CompilDonnées[[#This Row],[HarvestingDate]])," ", YEAR(CompilDonnées[[#This Row],[HarvestingDate]]))</f>
        <v>8 2025</v>
      </c>
      <c r="N3853">
        <f>_xlfn.NUMBERVALUE(CompilDonnées[[#This Row],[FarmID]]&amp;CompilDonnées[[#This Row],[ModuleNumber]]&amp;CompilDonnées[[#This Row],[PlantationDate]])</f>
        <v>45345848</v>
      </c>
      <c r="O3853" t="str">
        <f>CompilDonnées[[#This Row],[FarmID]]&amp;CompilDonnées[[#This Row],[ModuleNumber]]</f>
        <v>453</v>
      </c>
      <c r="P3853" t="str">
        <f>CompilDonnées[[#This Row],[Ref_Module]]&amp;CompilDonnées[[#This Row],[HarvestingDate]]</f>
        <v>45345896</v>
      </c>
    </row>
    <row r="3854" spans="1:16">
      <c r="A3854" s="5">
        <v>45848</v>
      </c>
      <c r="B3854">
        <v>19</v>
      </c>
      <c r="C3854" t="s">
        <v>108</v>
      </c>
      <c r="D3854">
        <v>5</v>
      </c>
      <c r="E3854">
        <v>100</v>
      </c>
      <c r="F3854" t="s">
        <v>1</v>
      </c>
      <c r="G3854" s="6">
        <v>45897</v>
      </c>
      <c r="H3854">
        <v>49</v>
      </c>
      <c r="I3854">
        <f>ROUND(CompilDonnées[[#This Row],[CultureDuration_days]]/7,0)</f>
        <v>7</v>
      </c>
      <c r="J3854">
        <v>2452</v>
      </c>
      <c r="K3854" t="str">
        <f>_xlfn.CONCAT(WEEKNUM(CompilDonnées[[#This Row],[PlantationDate]]), " ", YEAR(CompilDonnées[[#This Row],[PlantationDate]]))</f>
        <v>28 2025</v>
      </c>
      <c r="L3854" t="str">
        <f>CONCATENATE(MONTH(CompilDonnées[[#This Row],[PlantationDate]])," ", YEAR(CompilDonnées[[#This Row],[PlantationDate]]))</f>
        <v>7 2025</v>
      </c>
      <c r="M3854" t="str">
        <f>CONCATENATE(MONTH(CompilDonnées[[#This Row],[HarvestingDate]])," ", YEAR(CompilDonnées[[#This Row],[HarvestingDate]]))</f>
        <v>8 2025</v>
      </c>
      <c r="N3854">
        <f>_xlfn.NUMBERVALUE(CompilDonnées[[#This Row],[FarmID]]&amp;CompilDonnées[[#This Row],[ModuleNumber]]&amp;CompilDonnées[[#This Row],[PlantationDate]])</f>
        <v>19545848</v>
      </c>
      <c r="O3854" t="str">
        <f>CompilDonnées[[#This Row],[FarmID]]&amp;CompilDonnées[[#This Row],[ModuleNumber]]</f>
        <v>195</v>
      </c>
      <c r="P3854" t="str">
        <f>CompilDonnées[[#This Row],[Ref_Module]]&amp;CompilDonnées[[#This Row],[HarvestingDate]]</f>
        <v>19545897</v>
      </c>
    </row>
    <row r="3855" spans="1:16">
      <c r="A3855" s="5">
        <v>45848</v>
      </c>
      <c r="B3855">
        <v>46</v>
      </c>
      <c r="C3855" t="s">
        <v>8</v>
      </c>
      <c r="D3855">
        <v>5</v>
      </c>
      <c r="E3855">
        <v>100</v>
      </c>
      <c r="F3855" t="s">
        <v>1</v>
      </c>
      <c r="G3855" s="6">
        <v>45896</v>
      </c>
      <c r="H3855">
        <v>48</v>
      </c>
      <c r="I3855">
        <f>ROUND(CompilDonnées[[#This Row],[CultureDuration_days]]/7,0)</f>
        <v>7</v>
      </c>
      <c r="J3855">
        <v>3520</v>
      </c>
      <c r="K3855" t="str">
        <f>_xlfn.CONCAT(WEEKNUM(CompilDonnées[[#This Row],[PlantationDate]]), " ", YEAR(CompilDonnées[[#This Row],[PlantationDate]]))</f>
        <v>28 2025</v>
      </c>
      <c r="L3855" t="str">
        <f>CONCATENATE(MONTH(CompilDonnées[[#This Row],[PlantationDate]])," ", YEAR(CompilDonnées[[#This Row],[PlantationDate]]))</f>
        <v>7 2025</v>
      </c>
      <c r="M3855" t="str">
        <f>CONCATENATE(MONTH(CompilDonnées[[#This Row],[HarvestingDate]])," ", YEAR(CompilDonnées[[#This Row],[HarvestingDate]]))</f>
        <v>8 2025</v>
      </c>
      <c r="N3855">
        <f>_xlfn.NUMBERVALUE(CompilDonnées[[#This Row],[FarmID]]&amp;CompilDonnées[[#This Row],[ModuleNumber]]&amp;CompilDonnées[[#This Row],[PlantationDate]])</f>
        <v>46545848</v>
      </c>
      <c r="O3855" t="str">
        <f>CompilDonnées[[#This Row],[FarmID]]&amp;CompilDonnées[[#This Row],[ModuleNumber]]</f>
        <v>465</v>
      </c>
      <c r="P3855" t="str">
        <f>CompilDonnées[[#This Row],[Ref_Module]]&amp;CompilDonnées[[#This Row],[HarvestingDate]]</f>
        <v>46545896</v>
      </c>
    </row>
    <row r="3856" spans="1:16">
      <c r="A3856" s="5">
        <v>45848</v>
      </c>
      <c r="B3856">
        <v>60</v>
      </c>
      <c r="C3856" t="s">
        <v>113</v>
      </c>
      <c r="D3856">
        <v>2</v>
      </c>
      <c r="E3856">
        <v>100</v>
      </c>
      <c r="F3856" t="s">
        <v>1</v>
      </c>
      <c r="G3856" s="6">
        <v>45896</v>
      </c>
      <c r="H3856">
        <v>48</v>
      </c>
      <c r="I3856">
        <f>ROUND(CompilDonnées[[#This Row],[CultureDuration_days]]/7,0)</f>
        <v>7</v>
      </c>
      <c r="J3856">
        <v>2599</v>
      </c>
      <c r="K3856" t="str">
        <f>_xlfn.CONCAT(WEEKNUM(CompilDonnées[[#This Row],[PlantationDate]]), " ", YEAR(CompilDonnées[[#This Row],[PlantationDate]]))</f>
        <v>28 2025</v>
      </c>
      <c r="L3856" t="str">
        <f>CONCATENATE(MONTH(CompilDonnées[[#This Row],[PlantationDate]])," ", YEAR(CompilDonnées[[#This Row],[PlantationDate]]))</f>
        <v>7 2025</v>
      </c>
      <c r="M3856" t="str">
        <f>CONCATENATE(MONTH(CompilDonnées[[#This Row],[HarvestingDate]])," ", YEAR(CompilDonnées[[#This Row],[HarvestingDate]]))</f>
        <v>8 2025</v>
      </c>
      <c r="N3856">
        <f>_xlfn.NUMBERVALUE(CompilDonnées[[#This Row],[FarmID]]&amp;CompilDonnées[[#This Row],[ModuleNumber]]&amp;CompilDonnées[[#This Row],[PlantationDate]])</f>
        <v>60245848</v>
      </c>
      <c r="O3856" t="str">
        <f>CompilDonnées[[#This Row],[FarmID]]&amp;CompilDonnées[[#This Row],[ModuleNumber]]</f>
        <v>602</v>
      </c>
      <c r="P3856" t="str">
        <f>CompilDonnées[[#This Row],[Ref_Module]]&amp;CompilDonnées[[#This Row],[HarvestingDate]]</f>
        <v>60245896</v>
      </c>
    </row>
    <row r="3857" spans="1:16">
      <c r="A3857" s="5">
        <v>45848</v>
      </c>
      <c r="B3857">
        <v>57</v>
      </c>
      <c r="C3857" t="s">
        <v>46</v>
      </c>
      <c r="D3857">
        <v>2</v>
      </c>
      <c r="E3857">
        <v>100</v>
      </c>
      <c r="F3857" t="s">
        <v>1</v>
      </c>
      <c r="G3857" s="6">
        <v>45896</v>
      </c>
      <c r="H3857">
        <v>48</v>
      </c>
      <c r="I3857">
        <f>ROUND(CompilDonnées[[#This Row],[CultureDuration_days]]/7,0)</f>
        <v>7</v>
      </c>
      <c r="J3857">
        <v>2686</v>
      </c>
      <c r="K3857" t="str">
        <f>_xlfn.CONCAT(WEEKNUM(CompilDonnées[[#This Row],[PlantationDate]]), " ", YEAR(CompilDonnées[[#This Row],[PlantationDate]]))</f>
        <v>28 2025</v>
      </c>
      <c r="L3857" t="str">
        <f>CONCATENATE(MONTH(CompilDonnées[[#This Row],[PlantationDate]])," ", YEAR(CompilDonnées[[#This Row],[PlantationDate]]))</f>
        <v>7 2025</v>
      </c>
      <c r="M3857" t="str">
        <f>CONCATENATE(MONTH(CompilDonnées[[#This Row],[HarvestingDate]])," ", YEAR(CompilDonnées[[#This Row],[HarvestingDate]]))</f>
        <v>8 2025</v>
      </c>
      <c r="N3857">
        <f>_xlfn.NUMBERVALUE(CompilDonnées[[#This Row],[FarmID]]&amp;CompilDonnées[[#This Row],[ModuleNumber]]&amp;CompilDonnées[[#This Row],[PlantationDate]])</f>
        <v>57245848</v>
      </c>
      <c r="O3857" t="str">
        <f>CompilDonnées[[#This Row],[FarmID]]&amp;CompilDonnées[[#This Row],[ModuleNumber]]</f>
        <v>572</v>
      </c>
      <c r="P3857" t="str">
        <f>CompilDonnées[[#This Row],[Ref_Module]]&amp;CompilDonnées[[#This Row],[HarvestingDate]]</f>
        <v>57245896</v>
      </c>
    </row>
    <row r="3858" spans="1:16">
      <c r="A3858" s="5">
        <v>45848</v>
      </c>
      <c r="B3858">
        <v>58</v>
      </c>
      <c r="C3858" t="s">
        <v>35</v>
      </c>
      <c r="D3858">
        <v>3</v>
      </c>
      <c r="E3858">
        <v>100</v>
      </c>
      <c r="F3858" t="s">
        <v>1</v>
      </c>
      <c r="G3858" s="6">
        <v>45898</v>
      </c>
      <c r="H3858">
        <v>50</v>
      </c>
      <c r="I3858">
        <f>ROUND(CompilDonnées[[#This Row],[CultureDuration_days]]/7,0)</f>
        <v>7</v>
      </c>
      <c r="J3858">
        <v>3463</v>
      </c>
      <c r="K3858" t="str">
        <f>_xlfn.CONCAT(WEEKNUM(CompilDonnées[[#This Row],[PlantationDate]]), " ", YEAR(CompilDonnées[[#This Row],[PlantationDate]]))</f>
        <v>28 2025</v>
      </c>
      <c r="L3858" t="str">
        <f>CONCATENATE(MONTH(CompilDonnées[[#This Row],[PlantationDate]])," ", YEAR(CompilDonnées[[#This Row],[PlantationDate]]))</f>
        <v>7 2025</v>
      </c>
      <c r="M3858" t="str">
        <f>CONCATENATE(MONTH(CompilDonnées[[#This Row],[HarvestingDate]])," ", YEAR(CompilDonnées[[#This Row],[HarvestingDate]]))</f>
        <v>8 2025</v>
      </c>
      <c r="N3858">
        <f>_xlfn.NUMBERVALUE(CompilDonnées[[#This Row],[FarmID]]&amp;CompilDonnées[[#This Row],[ModuleNumber]]&amp;CompilDonnées[[#This Row],[PlantationDate]])</f>
        <v>58345848</v>
      </c>
      <c r="O3858" t="str">
        <f>CompilDonnées[[#This Row],[FarmID]]&amp;CompilDonnées[[#This Row],[ModuleNumber]]</f>
        <v>583</v>
      </c>
      <c r="P3858" t="str">
        <f>CompilDonnées[[#This Row],[Ref_Module]]&amp;CompilDonnées[[#This Row],[HarvestingDate]]</f>
        <v>58345898</v>
      </c>
    </row>
    <row r="3859" spans="1:16">
      <c r="A3859" s="5">
        <v>45848</v>
      </c>
      <c r="B3859">
        <v>71</v>
      </c>
      <c r="C3859" t="s">
        <v>19</v>
      </c>
      <c r="D3859">
        <v>1</v>
      </c>
      <c r="E3859">
        <v>100</v>
      </c>
      <c r="F3859" t="s">
        <v>1</v>
      </c>
      <c r="G3859" s="6">
        <v>45896</v>
      </c>
      <c r="H3859">
        <v>48</v>
      </c>
      <c r="I3859">
        <f>ROUND(CompilDonnées[[#This Row],[CultureDuration_days]]/7,0)</f>
        <v>7</v>
      </c>
      <c r="J3859">
        <v>2624</v>
      </c>
      <c r="K3859" t="str">
        <f>_xlfn.CONCAT(WEEKNUM(CompilDonnées[[#This Row],[PlantationDate]]), " ", YEAR(CompilDonnées[[#This Row],[PlantationDate]]))</f>
        <v>28 2025</v>
      </c>
      <c r="L3859" t="str">
        <f>CONCATENATE(MONTH(CompilDonnées[[#This Row],[PlantationDate]])," ", YEAR(CompilDonnées[[#This Row],[PlantationDate]]))</f>
        <v>7 2025</v>
      </c>
      <c r="M3859" t="str">
        <f>CONCATENATE(MONTH(CompilDonnées[[#This Row],[HarvestingDate]])," ", YEAR(CompilDonnées[[#This Row],[HarvestingDate]]))</f>
        <v>8 2025</v>
      </c>
      <c r="N3859">
        <f>_xlfn.NUMBERVALUE(CompilDonnées[[#This Row],[FarmID]]&amp;CompilDonnées[[#This Row],[ModuleNumber]]&amp;CompilDonnées[[#This Row],[PlantationDate]])</f>
        <v>71145848</v>
      </c>
      <c r="O3859" t="str">
        <f>CompilDonnées[[#This Row],[FarmID]]&amp;CompilDonnées[[#This Row],[ModuleNumber]]</f>
        <v>711</v>
      </c>
      <c r="P3859" t="str">
        <f>CompilDonnées[[#This Row],[Ref_Module]]&amp;CompilDonnées[[#This Row],[HarvestingDate]]</f>
        <v>71145896</v>
      </c>
    </row>
    <row r="3860" spans="1:16">
      <c r="A3860" s="5">
        <v>45848</v>
      </c>
      <c r="B3860">
        <v>72</v>
      </c>
      <c r="C3860" t="s">
        <v>49</v>
      </c>
      <c r="D3860">
        <v>5</v>
      </c>
      <c r="E3860">
        <v>100</v>
      </c>
      <c r="F3860" t="s">
        <v>1</v>
      </c>
      <c r="G3860" s="6">
        <v>45898</v>
      </c>
      <c r="H3860">
        <v>50</v>
      </c>
      <c r="I3860">
        <f>ROUND(CompilDonnées[[#This Row],[CultureDuration_days]]/7,0)</f>
        <v>7</v>
      </c>
      <c r="J3860">
        <v>3996</v>
      </c>
      <c r="K3860" t="str">
        <f>_xlfn.CONCAT(WEEKNUM(CompilDonnées[[#This Row],[PlantationDate]]), " ", YEAR(CompilDonnées[[#This Row],[PlantationDate]]))</f>
        <v>28 2025</v>
      </c>
      <c r="L3860" t="str">
        <f>CONCATENATE(MONTH(CompilDonnées[[#This Row],[PlantationDate]])," ", YEAR(CompilDonnées[[#This Row],[PlantationDate]]))</f>
        <v>7 2025</v>
      </c>
      <c r="M3860" t="str">
        <f>CONCATENATE(MONTH(CompilDonnées[[#This Row],[HarvestingDate]])," ", YEAR(CompilDonnées[[#This Row],[HarvestingDate]]))</f>
        <v>8 2025</v>
      </c>
      <c r="N3860">
        <f>_xlfn.NUMBERVALUE(CompilDonnées[[#This Row],[FarmID]]&amp;CompilDonnées[[#This Row],[ModuleNumber]]&amp;CompilDonnées[[#This Row],[PlantationDate]])</f>
        <v>72545848</v>
      </c>
      <c r="O3860" t="str">
        <f>CompilDonnées[[#This Row],[FarmID]]&amp;CompilDonnées[[#This Row],[ModuleNumber]]</f>
        <v>725</v>
      </c>
      <c r="P3860" t="str">
        <f>CompilDonnées[[#This Row],[Ref_Module]]&amp;CompilDonnées[[#This Row],[HarvestingDate]]</f>
        <v>72545898</v>
      </c>
    </row>
    <row r="3861" spans="1:16">
      <c r="A3861" s="5">
        <v>45848</v>
      </c>
      <c r="B3861">
        <v>73</v>
      </c>
      <c r="C3861" t="s">
        <v>20</v>
      </c>
      <c r="D3861">
        <v>2</v>
      </c>
      <c r="E3861">
        <v>98</v>
      </c>
      <c r="F3861" t="s">
        <v>1</v>
      </c>
      <c r="G3861" s="6">
        <v>45890</v>
      </c>
      <c r="H3861">
        <v>42</v>
      </c>
      <c r="I3861">
        <f>ROUND(CompilDonnées[[#This Row],[CultureDuration_days]]/7,0)</f>
        <v>6</v>
      </c>
      <c r="J3861">
        <v>2610</v>
      </c>
      <c r="K3861" t="str">
        <f>_xlfn.CONCAT(WEEKNUM(CompilDonnées[[#This Row],[PlantationDate]]), " ", YEAR(CompilDonnées[[#This Row],[PlantationDate]]))</f>
        <v>28 2025</v>
      </c>
      <c r="L3861" t="str">
        <f>CONCATENATE(MONTH(CompilDonnées[[#This Row],[PlantationDate]])," ", YEAR(CompilDonnées[[#This Row],[PlantationDate]]))</f>
        <v>7 2025</v>
      </c>
      <c r="M3861" t="str">
        <f>CONCATENATE(MONTH(CompilDonnées[[#This Row],[HarvestingDate]])," ", YEAR(CompilDonnées[[#This Row],[HarvestingDate]]))</f>
        <v>8 2025</v>
      </c>
      <c r="N3861">
        <f>_xlfn.NUMBERVALUE(CompilDonnées[[#This Row],[FarmID]]&amp;CompilDonnées[[#This Row],[ModuleNumber]]&amp;CompilDonnées[[#This Row],[PlantationDate]])</f>
        <v>73245848</v>
      </c>
      <c r="O3861" t="str">
        <f>CompilDonnées[[#This Row],[FarmID]]&amp;CompilDonnées[[#This Row],[ModuleNumber]]</f>
        <v>732</v>
      </c>
      <c r="P3861" t="str">
        <f>CompilDonnées[[#This Row],[Ref_Module]]&amp;CompilDonnées[[#This Row],[HarvestingDate]]</f>
        <v>73245890</v>
      </c>
    </row>
    <row r="3862" spans="1:16">
      <c r="A3862" s="5">
        <v>45848</v>
      </c>
      <c r="B3862">
        <v>74</v>
      </c>
      <c r="C3862" t="s">
        <v>21</v>
      </c>
      <c r="D3862">
        <v>1</v>
      </c>
      <c r="E3862">
        <v>100</v>
      </c>
      <c r="F3862" t="s">
        <v>1</v>
      </c>
      <c r="G3862" s="6">
        <v>45890</v>
      </c>
      <c r="H3862">
        <v>42</v>
      </c>
      <c r="I3862">
        <f>ROUND(CompilDonnées[[#This Row],[CultureDuration_days]]/7,0)</f>
        <v>6</v>
      </c>
      <c r="J3862">
        <v>3000</v>
      </c>
      <c r="K3862" t="str">
        <f>_xlfn.CONCAT(WEEKNUM(CompilDonnées[[#This Row],[PlantationDate]]), " ", YEAR(CompilDonnées[[#This Row],[PlantationDate]]))</f>
        <v>28 2025</v>
      </c>
      <c r="L3862" t="str">
        <f>CONCATENATE(MONTH(CompilDonnées[[#This Row],[PlantationDate]])," ", YEAR(CompilDonnées[[#This Row],[PlantationDate]]))</f>
        <v>7 2025</v>
      </c>
      <c r="M3862" t="str">
        <f>CONCATENATE(MONTH(CompilDonnées[[#This Row],[HarvestingDate]])," ", YEAR(CompilDonnées[[#This Row],[HarvestingDate]]))</f>
        <v>8 2025</v>
      </c>
      <c r="N3862">
        <f>_xlfn.NUMBERVALUE(CompilDonnées[[#This Row],[FarmID]]&amp;CompilDonnées[[#This Row],[ModuleNumber]]&amp;CompilDonnées[[#This Row],[PlantationDate]])</f>
        <v>74145848</v>
      </c>
      <c r="O3862" t="str">
        <f>CompilDonnées[[#This Row],[FarmID]]&amp;CompilDonnées[[#This Row],[ModuleNumber]]</f>
        <v>741</v>
      </c>
      <c r="P3862" t="str">
        <f>CompilDonnées[[#This Row],[Ref_Module]]&amp;CompilDonnées[[#This Row],[HarvestingDate]]</f>
        <v>74145890</v>
      </c>
    </row>
    <row r="3863" spans="1:16">
      <c r="A3863" s="5">
        <v>45848</v>
      </c>
      <c r="B3863">
        <v>80</v>
      </c>
      <c r="C3863" t="s">
        <v>29</v>
      </c>
      <c r="D3863">
        <v>1</v>
      </c>
      <c r="E3863">
        <v>100</v>
      </c>
      <c r="F3863" t="s">
        <v>1</v>
      </c>
      <c r="G3863" s="6">
        <v>45898</v>
      </c>
      <c r="H3863">
        <v>50</v>
      </c>
      <c r="I3863">
        <f>ROUND(CompilDonnées[[#This Row],[CultureDuration_days]]/7,0)</f>
        <v>7</v>
      </c>
      <c r="J3863">
        <v>3925</v>
      </c>
      <c r="K3863" t="str">
        <f>_xlfn.CONCAT(WEEKNUM(CompilDonnées[[#This Row],[PlantationDate]]), " ", YEAR(CompilDonnées[[#This Row],[PlantationDate]]))</f>
        <v>28 2025</v>
      </c>
      <c r="L3863" t="str">
        <f>CONCATENATE(MONTH(CompilDonnées[[#This Row],[PlantationDate]])," ", YEAR(CompilDonnées[[#This Row],[PlantationDate]]))</f>
        <v>7 2025</v>
      </c>
      <c r="M3863" t="str">
        <f>CONCATENATE(MONTH(CompilDonnées[[#This Row],[HarvestingDate]])," ", YEAR(CompilDonnées[[#This Row],[HarvestingDate]]))</f>
        <v>8 2025</v>
      </c>
      <c r="N3863">
        <f>_xlfn.NUMBERVALUE(CompilDonnées[[#This Row],[FarmID]]&amp;CompilDonnées[[#This Row],[ModuleNumber]]&amp;CompilDonnées[[#This Row],[PlantationDate]])</f>
        <v>80145848</v>
      </c>
      <c r="O3863" t="str">
        <f>CompilDonnées[[#This Row],[FarmID]]&amp;CompilDonnées[[#This Row],[ModuleNumber]]</f>
        <v>801</v>
      </c>
      <c r="P3863" t="str">
        <f>CompilDonnées[[#This Row],[Ref_Module]]&amp;CompilDonnées[[#This Row],[HarvestingDate]]</f>
        <v>80145898</v>
      </c>
    </row>
    <row r="3864" spans="1:16">
      <c r="A3864" s="5">
        <v>45848</v>
      </c>
      <c r="B3864">
        <v>83</v>
      </c>
      <c r="C3864" t="s">
        <v>73</v>
      </c>
      <c r="D3864">
        <v>5</v>
      </c>
      <c r="E3864">
        <v>100</v>
      </c>
      <c r="F3864" t="s">
        <v>1</v>
      </c>
      <c r="G3864" s="6">
        <v>45890</v>
      </c>
      <c r="H3864">
        <v>42</v>
      </c>
      <c r="I3864">
        <f>ROUND(CompilDonnées[[#This Row],[CultureDuration_days]]/7,0)</f>
        <v>6</v>
      </c>
      <c r="J3864">
        <v>2086</v>
      </c>
      <c r="K3864" t="str">
        <f>_xlfn.CONCAT(WEEKNUM(CompilDonnées[[#This Row],[PlantationDate]]), " ", YEAR(CompilDonnées[[#This Row],[PlantationDate]]))</f>
        <v>28 2025</v>
      </c>
      <c r="L3864" t="str">
        <f>CONCATENATE(MONTH(CompilDonnées[[#This Row],[PlantationDate]])," ", YEAR(CompilDonnées[[#This Row],[PlantationDate]]))</f>
        <v>7 2025</v>
      </c>
      <c r="M3864" t="str">
        <f>CONCATENATE(MONTH(CompilDonnées[[#This Row],[HarvestingDate]])," ", YEAR(CompilDonnées[[#This Row],[HarvestingDate]]))</f>
        <v>8 2025</v>
      </c>
      <c r="N3864">
        <f>_xlfn.NUMBERVALUE(CompilDonnées[[#This Row],[FarmID]]&amp;CompilDonnées[[#This Row],[ModuleNumber]]&amp;CompilDonnées[[#This Row],[PlantationDate]])</f>
        <v>83545848</v>
      </c>
      <c r="O3864" t="str">
        <f>CompilDonnées[[#This Row],[FarmID]]&amp;CompilDonnées[[#This Row],[ModuleNumber]]</f>
        <v>835</v>
      </c>
      <c r="P3864" t="str">
        <f>CompilDonnées[[#This Row],[Ref_Module]]&amp;CompilDonnées[[#This Row],[HarvestingDate]]</f>
        <v>83545890</v>
      </c>
    </row>
    <row r="3865" spans="1:16">
      <c r="A3865" s="5">
        <v>45848</v>
      </c>
      <c r="B3865">
        <v>84</v>
      </c>
      <c r="C3865" t="s">
        <v>65</v>
      </c>
      <c r="D3865">
        <v>6</v>
      </c>
      <c r="E3865">
        <v>100</v>
      </c>
      <c r="F3865" t="s">
        <v>1</v>
      </c>
      <c r="G3865" s="6">
        <v>45895</v>
      </c>
      <c r="H3865">
        <v>47</v>
      </c>
      <c r="I3865">
        <f>ROUND(CompilDonnées[[#This Row],[CultureDuration_days]]/7,0)</f>
        <v>7</v>
      </c>
      <c r="J3865">
        <v>2473</v>
      </c>
      <c r="K3865" t="str">
        <f>_xlfn.CONCAT(WEEKNUM(CompilDonnées[[#This Row],[PlantationDate]]), " ", YEAR(CompilDonnées[[#This Row],[PlantationDate]]))</f>
        <v>28 2025</v>
      </c>
      <c r="L3865" t="str">
        <f>CONCATENATE(MONTH(CompilDonnées[[#This Row],[PlantationDate]])," ", YEAR(CompilDonnées[[#This Row],[PlantationDate]]))</f>
        <v>7 2025</v>
      </c>
      <c r="M3865" t="str">
        <f>CONCATENATE(MONTH(CompilDonnées[[#This Row],[HarvestingDate]])," ", YEAR(CompilDonnées[[#This Row],[HarvestingDate]]))</f>
        <v>8 2025</v>
      </c>
      <c r="N3865">
        <f>_xlfn.NUMBERVALUE(CompilDonnées[[#This Row],[FarmID]]&amp;CompilDonnées[[#This Row],[ModuleNumber]]&amp;CompilDonnées[[#This Row],[PlantationDate]])</f>
        <v>84645848</v>
      </c>
      <c r="O3865" t="str">
        <f>CompilDonnées[[#This Row],[FarmID]]&amp;CompilDonnées[[#This Row],[ModuleNumber]]</f>
        <v>846</v>
      </c>
      <c r="P3865" t="str">
        <f>CompilDonnées[[#This Row],[Ref_Module]]&amp;CompilDonnées[[#This Row],[HarvestingDate]]</f>
        <v>84645895</v>
      </c>
    </row>
    <row r="3866" spans="1:16">
      <c r="A3866" s="5">
        <v>45848</v>
      </c>
      <c r="B3866">
        <v>81</v>
      </c>
      <c r="C3866" t="s">
        <v>30</v>
      </c>
      <c r="D3866">
        <v>3</v>
      </c>
      <c r="E3866">
        <v>100</v>
      </c>
      <c r="F3866" t="s">
        <v>1</v>
      </c>
      <c r="G3866" s="6">
        <v>45895</v>
      </c>
      <c r="H3866">
        <v>47</v>
      </c>
      <c r="I3866">
        <f>ROUND(CompilDonnées[[#This Row],[CultureDuration_days]]/7,0)</f>
        <v>7</v>
      </c>
      <c r="J3866">
        <v>3384</v>
      </c>
      <c r="K3866" t="str">
        <f>_xlfn.CONCAT(WEEKNUM(CompilDonnées[[#This Row],[PlantationDate]]), " ", YEAR(CompilDonnées[[#This Row],[PlantationDate]]))</f>
        <v>28 2025</v>
      </c>
      <c r="L3866" t="str">
        <f>CONCATENATE(MONTH(CompilDonnées[[#This Row],[PlantationDate]])," ", YEAR(CompilDonnées[[#This Row],[PlantationDate]]))</f>
        <v>7 2025</v>
      </c>
      <c r="M3866" t="str">
        <f>CONCATENATE(MONTH(CompilDonnées[[#This Row],[HarvestingDate]])," ", YEAR(CompilDonnées[[#This Row],[HarvestingDate]]))</f>
        <v>8 2025</v>
      </c>
      <c r="N3866">
        <f>_xlfn.NUMBERVALUE(CompilDonnées[[#This Row],[FarmID]]&amp;CompilDonnées[[#This Row],[ModuleNumber]]&amp;CompilDonnées[[#This Row],[PlantationDate]])</f>
        <v>81345848</v>
      </c>
      <c r="O3866" t="str">
        <f>CompilDonnées[[#This Row],[FarmID]]&amp;CompilDonnées[[#This Row],[ModuleNumber]]</f>
        <v>813</v>
      </c>
      <c r="P3866" t="str">
        <f>CompilDonnées[[#This Row],[Ref_Module]]&amp;CompilDonnées[[#This Row],[HarvestingDate]]</f>
        <v>81345895</v>
      </c>
    </row>
    <row r="3867" spans="1:16">
      <c r="A3867" s="5">
        <v>45848</v>
      </c>
      <c r="B3867">
        <v>64</v>
      </c>
      <c r="C3867" t="s">
        <v>47</v>
      </c>
      <c r="D3867">
        <v>6</v>
      </c>
      <c r="E3867">
        <v>100</v>
      </c>
      <c r="F3867" t="s">
        <v>1</v>
      </c>
      <c r="G3867" s="6">
        <v>45896</v>
      </c>
      <c r="H3867">
        <v>48</v>
      </c>
      <c r="I3867">
        <f>ROUND(CompilDonnées[[#This Row],[CultureDuration_days]]/7,0)</f>
        <v>7</v>
      </c>
      <c r="J3867">
        <v>3159</v>
      </c>
      <c r="K3867" t="str">
        <f>_xlfn.CONCAT(WEEKNUM(CompilDonnées[[#This Row],[PlantationDate]]), " ", YEAR(CompilDonnées[[#This Row],[PlantationDate]]))</f>
        <v>28 2025</v>
      </c>
      <c r="L3867" t="str">
        <f>CONCATENATE(MONTH(CompilDonnées[[#This Row],[PlantationDate]])," ", YEAR(CompilDonnées[[#This Row],[PlantationDate]]))</f>
        <v>7 2025</v>
      </c>
      <c r="M3867" t="str">
        <f>CONCATENATE(MONTH(CompilDonnées[[#This Row],[HarvestingDate]])," ", YEAR(CompilDonnées[[#This Row],[HarvestingDate]]))</f>
        <v>8 2025</v>
      </c>
      <c r="N3867">
        <f>_xlfn.NUMBERVALUE(CompilDonnées[[#This Row],[FarmID]]&amp;CompilDonnées[[#This Row],[ModuleNumber]]&amp;CompilDonnées[[#This Row],[PlantationDate]])</f>
        <v>64645848</v>
      </c>
      <c r="O3867" t="str">
        <f>CompilDonnées[[#This Row],[FarmID]]&amp;CompilDonnées[[#This Row],[ModuleNumber]]</f>
        <v>646</v>
      </c>
      <c r="P3867" t="str">
        <f>CompilDonnées[[#This Row],[Ref_Module]]&amp;CompilDonnées[[#This Row],[HarvestingDate]]</f>
        <v>64645896</v>
      </c>
    </row>
    <row r="3868" spans="1:16">
      <c r="A3868" s="5">
        <v>45848</v>
      </c>
      <c r="B3868">
        <v>49</v>
      </c>
      <c r="C3868" t="s">
        <v>110</v>
      </c>
      <c r="D3868">
        <v>6</v>
      </c>
      <c r="E3868">
        <v>100</v>
      </c>
      <c r="F3868" t="s">
        <v>1</v>
      </c>
      <c r="G3868" s="6">
        <v>45896</v>
      </c>
      <c r="H3868">
        <v>48</v>
      </c>
      <c r="I3868">
        <f>ROUND(CompilDonnées[[#This Row],[CultureDuration_days]]/7,0)</f>
        <v>7</v>
      </c>
      <c r="J3868">
        <v>3031</v>
      </c>
      <c r="K3868" t="str">
        <f>_xlfn.CONCAT(WEEKNUM(CompilDonnées[[#This Row],[PlantationDate]]), " ", YEAR(CompilDonnées[[#This Row],[PlantationDate]]))</f>
        <v>28 2025</v>
      </c>
      <c r="L3868" t="str">
        <f>CONCATENATE(MONTH(CompilDonnées[[#This Row],[PlantationDate]])," ", YEAR(CompilDonnées[[#This Row],[PlantationDate]]))</f>
        <v>7 2025</v>
      </c>
      <c r="M3868" t="str">
        <f>CONCATENATE(MONTH(CompilDonnées[[#This Row],[HarvestingDate]])," ", YEAR(CompilDonnées[[#This Row],[HarvestingDate]]))</f>
        <v>8 2025</v>
      </c>
      <c r="N3868">
        <f>_xlfn.NUMBERVALUE(CompilDonnées[[#This Row],[FarmID]]&amp;CompilDonnées[[#This Row],[ModuleNumber]]&amp;CompilDonnées[[#This Row],[PlantationDate]])</f>
        <v>49645848</v>
      </c>
      <c r="O3868" t="str">
        <f>CompilDonnées[[#This Row],[FarmID]]&amp;CompilDonnées[[#This Row],[ModuleNumber]]</f>
        <v>496</v>
      </c>
      <c r="P3868" t="str">
        <f>CompilDonnées[[#This Row],[Ref_Module]]&amp;CompilDonnées[[#This Row],[HarvestingDate]]</f>
        <v>49645896</v>
      </c>
    </row>
    <row r="3869" spans="1:16">
      <c r="A3869" s="5">
        <v>45848</v>
      </c>
      <c r="B3869">
        <v>67</v>
      </c>
      <c r="C3869" t="s">
        <v>28</v>
      </c>
      <c r="D3869">
        <v>2</v>
      </c>
      <c r="E3869">
        <v>100</v>
      </c>
      <c r="F3869" t="s">
        <v>1</v>
      </c>
      <c r="G3869" s="6">
        <v>45889</v>
      </c>
      <c r="H3869">
        <v>41</v>
      </c>
      <c r="I3869">
        <f>ROUND(CompilDonnées[[#This Row],[CultureDuration_days]]/7,0)</f>
        <v>6</v>
      </c>
      <c r="J3869">
        <v>2604</v>
      </c>
      <c r="K3869" t="str">
        <f>_xlfn.CONCAT(WEEKNUM(CompilDonnées[[#This Row],[PlantationDate]]), " ", YEAR(CompilDonnées[[#This Row],[PlantationDate]]))</f>
        <v>28 2025</v>
      </c>
      <c r="L3869" t="str">
        <f>CONCATENATE(MONTH(CompilDonnées[[#This Row],[PlantationDate]])," ", YEAR(CompilDonnées[[#This Row],[PlantationDate]]))</f>
        <v>7 2025</v>
      </c>
      <c r="M3869" t="str">
        <f>CONCATENATE(MONTH(CompilDonnées[[#This Row],[HarvestingDate]])," ", YEAR(CompilDonnées[[#This Row],[HarvestingDate]]))</f>
        <v>8 2025</v>
      </c>
      <c r="N3869">
        <f>_xlfn.NUMBERVALUE(CompilDonnées[[#This Row],[FarmID]]&amp;CompilDonnées[[#This Row],[ModuleNumber]]&amp;CompilDonnées[[#This Row],[PlantationDate]])</f>
        <v>67245848</v>
      </c>
      <c r="O3869" t="str">
        <f>CompilDonnées[[#This Row],[FarmID]]&amp;CompilDonnées[[#This Row],[ModuleNumber]]</f>
        <v>672</v>
      </c>
      <c r="P3869" t="str">
        <f>CompilDonnées[[#This Row],[Ref_Module]]&amp;CompilDonnées[[#This Row],[HarvestingDate]]</f>
        <v>67245889</v>
      </c>
    </row>
    <row r="3870" spans="1:16">
      <c r="A3870" s="5">
        <v>45848</v>
      </c>
      <c r="B3870">
        <v>77</v>
      </c>
      <c r="C3870" t="s">
        <v>75</v>
      </c>
      <c r="D3870">
        <v>6</v>
      </c>
      <c r="E3870">
        <v>100</v>
      </c>
      <c r="F3870" t="s">
        <v>1</v>
      </c>
      <c r="G3870" s="6">
        <v>45895</v>
      </c>
      <c r="H3870">
        <v>47</v>
      </c>
      <c r="I3870">
        <f>ROUND(CompilDonnées[[#This Row],[CultureDuration_days]]/7,0)</f>
        <v>7</v>
      </c>
      <c r="J3870">
        <v>2653</v>
      </c>
      <c r="K3870" t="str">
        <f>_xlfn.CONCAT(WEEKNUM(CompilDonnées[[#This Row],[PlantationDate]]), " ", YEAR(CompilDonnées[[#This Row],[PlantationDate]]))</f>
        <v>28 2025</v>
      </c>
      <c r="L3870" t="str">
        <f>CONCATENATE(MONTH(CompilDonnées[[#This Row],[PlantationDate]])," ", YEAR(CompilDonnées[[#This Row],[PlantationDate]]))</f>
        <v>7 2025</v>
      </c>
      <c r="M3870" t="str">
        <f>CONCATENATE(MONTH(CompilDonnées[[#This Row],[HarvestingDate]])," ", YEAR(CompilDonnées[[#This Row],[HarvestingDate]]))</f>
        <v>8 2025</v>
      </c>
      <c r="N3870">
        <f>_xlfn.NUMBERVALUE(CompilDonnées[[#This Row],[FarmID]]&amp;CompilDonnées[[#This Row],[ModuleNumber]]&amp;CompilDonnées[[#This Row],[PlantationDate]])</f>
        <v>77645848</v>
      </c>
      <c r="O3870" t="str">
        <f>CompilDonnées[[#This Row],[FarmID]]&amp;CompilDonnées[[#This Row],[ModuleNumber]]</f>
        <v>776</v>
      </c>
      <c r="P3870" t="str">
        <f>CompilDonnées[[#This Row],[Ref_Module]]&amp;CompilDonnées[[#This Row],[HarvestingDate]]</f>
        <v>77645895</v>
      </c>
    </row>
    <row r="3871" spans="1:16">
      <c r="A3871" s="5">
        <v>45848</v>
      </c>
      <c r="B3871">
        <v>76</v>
      </c>
      <c r="C3871" t="s">
        <v>18</v>
      </c>
      <c r="D3871">
        <v>6</v>
      </c>
      <c r="E3871">
        <v>100</v>
      </c>
      <c r="F3871" t="s">
        <v>1</v>
      </c>
      <c r="G3871" s="6">
        <v>45895</v>
      </c>
      <c r="H3871">
        <v>47</v>
      </c>
      <c r="I3871">
        <f>ROUND(CompilDonnées[[#This Row],[CultureDuration_days]]/7,0)</f>
        <v>7</v>
      </c>
      <c r="J3871">
        <v>3627</v>
      </c>
      <c r="K3871" t="str">
        <f>_xlfn.CONCAT(WEEKNUM(CompilDonnées[[#This Row],[PlantationDate]]), " ", YEAR(CompilDonnées[[#This Row],[PlantationDate]]))</f>
        <v>28 2025</v>
      </c>
      <c r="L3871" t="str">
        <f>CONCATENATE(MONTH(CompilDonnées[[#This Row],[PlantationDate]])," ", YEAR(CompilDonnées[[#This Row],[PlantationDate]]))</f>
        <v>7 2025</v>
      </c>
      <c r="M3871" t="str">
        <f>CONCATENATE(MONTH(CompilDonnées[[#This Row],[HarvestingDate]])," ", YEAR(CompilDonnées[[#This Row],[HarvestingDate]]))</f>
        <v>8 2025</v>
      </c>
      <c r="N3871">
        <f>_xlfn.NUMBERVALUE(CompilDonnées[[#This Row],[FarmID]]&amp;CompilDonnées[[#This Row],[ModuleNumber]]&amp;CompilDonnées[[#This Row],[PlantationDate]])</f>
        <v>76645848</v>
      </c>
      <c r="O3871" t="str">
        <f>CompilDonnées[[#This Row],[FarmID]]&amp;CompilDonnées[[#This Row],[ModuleNumber]]</f>
        <v>766</v>
      </c>
      <c r="P3871" t="str">
        <f>CompilDonnées[[#This Row],[Ref_Module]]&amp;CompilDonnées[[#This Row],[HarvestingDate]]</f>
        <v>76645895</v>
      </c>
    </row>
    <row r="3872" spans="1:16">
      <c r="A3872" s="5">
        <v>45853</v>
      </c>
      <c r="B3872">
        <v>102</v>
      </c>
      <c r="C3872" t="s">
        <v>85</v>
      </c>
      <c r="D3872">
        <v>2</v>
      </c>
      <c r="E3872">
        <v>100</v>
      </c>
      <c r="F3872" t="s">
        <v>1</v>
      </c>
      <c r="G3872" s="6">
        <v>45895</v>
      </c>
      <c r="H3872">
        <v>42</v>
      </c>
      <c r="I3872">
        <f>ROUND(CompilDonnées[[#This Row],[CultureDuration_days]]/7,0)</f>
        <v>6</v>
      </c>
      <c r="J3872">
        <v>1377</v>
      </c>
      <c r="K3872" t="str">
        <f>_xlfn.CONCAT(WEEKNUM(CompilDonnées[[#This Row],[PlantationDate]]), " ", YEAR(CompilDonnées[[#This Row],[PlantationDate]]))</f>
        <v>29 2025</v>
      </c>
      <c r="L3872" t="str">
        <f>CONCATENATE(MONTH(CompilDonnées[[#This Row],[PlantationDate]])," ", YEAR(CompilDonnées[[#This Row],[PlantationDate]]))</f>
        <v>7 2025</v>
      </c>
      <c r="M3872" t="str">
        <f>CONCATENATE(MONTH(CompilDonnées[[#This Row],[HarvestingDate]])," ", YEAR(CompilDonnées[[#This Row],[HarvestingDate]]))</f>
        <v>8 2025</v>
      </c>
      <c r="N3872">
        <f>_xlfn.NUMBERVALUE(CompilDonnées[[#This Row],[FarmID]]&amp;CompilDonnées[[#This Row],[ModuleNumber]]&amp;CompilDonnées[[#This Row],[PlantationDate]])</f>
        <v>102245853</v>
      </c>
      <c r="O3872" t="str">
        <f>CompilDonnées[[#This Row],[FarmID]]&amp;CompilDonnées[[#This Row],[ModuleNumber]]</f>
        <v>1022</v>
      </c>
      <c r="P3872" t="str">
        <f>CompilDonnées[[#This Row],[Ref_Module]]&amp;CompilDonnées[[#This Row],[HarvestingDate]]</f>
        <v>102245895</v>
      </c>
    </row>
    <row r="3873" spans="1:16">
      <c r="A3873" s="5">
        <v>45853</v>
      </c>
      <c r="B3873">
        <v>103</v>
      </c>
      <c r="C3873" t="s">
        <v>86</v>
      </c>
      <c r="D3873">
        <v>3</v>
      </c>
      <c r="E3873">
        <v>100</v>
      </c>
      <c r="F3873" t="s">
        <v>1</v>
      </c>
      <c r="G3873" s="6">
        <v>45903</v>
      </c>
      <c r="H3873">
        <v>50</v>
      </c>
      <c r="I3873">
        <f>ROUND(CompilDonnées[[#This Row],[CultureDuration_days]]/7,0)</f>
        <v>7</v>
      </c>
      <c r="J3873">
        <v>1695</v>
      </c>
      <c r="K3873" t="str">
        <f>_xlfn.CONCAT(WEEKNUM(CompilDonnées[[#This Row],[PlantationDate]]), " ", YEAR(CompilDonnées[[#This Row],[PlantationDate]]))</f>
        <v>29 2025</v>
      </c>
      <c r="L3873" t="str">
        <f>CONCATENATE(MONTH(CompilDonnées[[#This Row],[PlantationDate]])," ", YEAR(CompilDonnées[[#This Row],[PlantationDate]]))</f>
        <v>7 2025</v>
      </c>
      <c r="M3873" t="str">
        <f>CONCATENATE(MONTH(CompilDonnées[[#This Row],[HarvestingDate]])," ", YEAR(CompilDonnées[[#This Row],[HarvestingDate]]))</f>
        <v>9 2025</v>
      </c>
      <c r="N3873">
        <f>_xlfn.NUMBERVALUE(CompilDonnées[[#This Row],[FarmID]]&amp;CompilDonnées[[#This Row],[ModuleNumber]]&amp;CompilDonnées[[#This Row],[PlantationDate]])</f>
        <v>103345853</v>
      </c>
      <c r="O3873" t="str">
        <f>CompilDonnées[[#This Row],[FarmID]]&amp;CompilDonnées[[#This Row],[ModuleNumber]]</f>
        <v>1033</v>
      </c>
      <c r="P3873" t="str">
        <f>CompilDonnées[[#This Row],[Ref_Module]]&amp;CompilDonnées[[#This Row],[HarvestingDate]]</f>
        <v>103345903</v>
      </c>
    </row>
    <row r="3874" spans="1:16">
      <c r="A3874" s="5">
        <v>45853</v>
      </c>
      <c r="B3874">
        <v>104</v>
      </c>
      <c r="C3874" t="s">
        <v>91</v>
      </c>
      <c r="D3874">
        <v>4</v>
      </c>
      <c r="E3874">
        <v>100</v>
      </c>
      <c r="F3874" t="s">
        <v>1</v>
      </c>
      <c r="G3874" s="6">
        <v>45894</v>
      </c>
      <c r="H3874">
        <v>41</v>
      </c>
      <c r="I3874">
        <f>ROUND(CompilDonnées[[#This Row],[CultureDuration_days]]/7,0)</f>
        <v>6</v>
      </c>
      <c r="J3874">
        <v>1793</v>
      </c>
      <c r="K3874" t="str">
        <f>_xlfn.CONCAT(WEEKNUM(CompilDonnées[[#This Row],[PlantationDate]]), " ", YEAR(CompilDonnées[[#This Row],[PlantationDate]]))</f>
        <v>29 2025</v>
      </c>
      <c r="L3874" t="str">
        <f>CONCATENATE(MONTH(CompilDonnées[[#This Row],[PlantationDate]])," ", YEAR(CompilDonnées[[#This Row],[PlantationDate]]))</f>
        <v>7 2025</v>
      </c>
      <c r="M3874" t="str">
        <f>CONCATENATE(MONTH(CompilDonnées[[#This Row],[HarvestingDate]])," ", YEAR(CompilDonnées[[#This Row],[HarvestingDate]]))</f>
        <v>8 2025</v>
      </c>
      <c r="N3874">
        <f>_xlfn.NUMBERVALUE(CompilDonnées[[#This Row],[FarmID]]&amp;CompilDonnées[[#This Row],[ModuleNumber]]&amp;CompilDonnées[[#This Row],[PlantationDate]])</f>
        <v>104445853</v>
      </c>
      <c r="O3874" t="str">
        <f>CompilDonnées[[#This Row],[FarmID]]&amp;CompilDonnées[[#This Row],[ModuleNumber]]</f>
        <v>1044</v>
      </c>
      <c r="P3874" t="str">
        <f>CompilDonnées[[#This Row],[Ref_Module]]&amp;CompilDonnées[[#This Row],[HarvestingDate]]</f>
        <v>104445894</v>
      </c>
    </row>
    <row r="3875" spans="1:16">
      <c r="A3875" s="5">
        <v>45853</v>
      </c>
      <c r="B3875">
        <v>96</v>
      </c>
      <c r="C3875" t="s">
        <v>125</v>
      </c>
      <c r="D3875">
        <v>2</v>
      </c>
      <c r="E3875">
        <v>100</v>
      </c>
      <c r="F3875" t="s">
        <v>1</v>
      </c>
      <c r="G3875" s="6">
        <v>45903</v>
      </c>
      <c r="H3875">
        <v>50</v>
      </c>
      <c r="I3875">
        <f>ROUND(CompilDonnées[[#This Row],[CultureDuration_days]]/7,0)</f>
        <v>7</v>
      </c>
      <c r="J3875">
        <v>1176</v>
      </c>
      <c r="K3875" t="str">
        <f>_xlfn.CONCAT(WEEKNUM(CompilDonnées[[#This Row],[PlantationDate]]), " ", YEAR(CompilDonnées[[#This Row],[PlantationDate]]))</f>
        <v>29 2025</v>
      </c>
      <c r="L3875" t="str">
        <f>CONCATENATE(MONTH(CompilDonnées[[#This Row],[PlantationDate]])," ", YEAR(CompilDonnées[[#This Row],[PlantationDate]]))</f>
        <v>7 2025</v>
      </c>
      <c r="M3875" t="str">
        <f>CONCATENATE(MONTH(CompilDonnées[[#This Row],[HarvestingDate]])," ", YEAR(CompilDonnées[[#This Row],[HarvestingDate]]))</f>
        <v>9 2025</v>
      </c>
      <c r="N3875">
        <f>_xlfn.NUMBERVALUE(CompilDonnées[[#This Row],[FarmID]]&amp;CompilDonnées[[#This Row],[ModuleNumber]]&amp;CompilDonnées[[#This Row],[PlantationDate]])</f>
        <v>96245853</v>
      </c>
      <c r="O3875" t="str">
        <f>CompilDonnées[[#This Row],[FarmID]]&amp;CompilDonnées[[#This Row],[ModuleNumber]]</f>
        <v>962</v>
      </c>
      <c r="P3875" t="str">
        <f>CompilDonnées[[#This Row],[Ref_Module]]&amp;CompilDonnées[[#This Row],[HarvestingDate]]</f>
        <v>96245903</v>
      </c>
    </row>
    <row r="3876" spans="1:16">
      <c r="A3876" s="5">
        <v>45853</v>
      </c>
      <c r="B3876">
        <v>106</v>
      </c>
      <c r="C3876" t="s">
        <v>22</v>
      </c>
      <c r="D3876">
        <v>3</v>
      </c>
      <c r="E3876">
        <v>100</v>
      </c>
      <c r="F3876" t="s">
        <v>1</v>
      </c>
      <c r="G3876" s="6">
        <v>45894</v>
      </c>
      <c r="H3876">
        <v>41</v>
      </c>
      <c r="I3876">
        <f>ROUND(CompilDonnées[[#This Row],[CultureDuration_days]]/7,0)</f>
        <v>6</v>
      </c>
      <c r="J3876">
        <v>3052</v>
      </c>
      <c r="K3876" t="str">
        <f>_xlfn.CONCAT(WEEKNUM(CompilDonnées[[#This Row],[PlantationDate]]), " ", YEAR(CompilDonnées[[#This Row],[PlantationDate]]))</f>
        <v>29 2025</v>
      </c>
      <c r="L3876" t="str">
        <f>CONCATENATE(MONTH(CompilDonnées[[#This Row],[PlantationDate]])," ", YEAR(CompilDonnées[[#This Row],[PlantationDate]]))</f>
        <v>7 2025</v>
      </c>
      <c r="M3876" t="str">
        <f>CONCATENATE(MONTH(CompilDonnées[[#This Row],[HarvestingDate]])," ", YEAR(CompilDonnées[[#This Row],[HarvestingDate]]))</f>
        <v>8 2025</v>
      </c>
      <c r="N3876">
        <f>_xlfn.NUMBERVALUE(CompilDonnées[[#This Row],[FarmID]]&amp;CompilDonnées[[#This Row],[ModuleNumber]]&amp;CompilDonnées[[#This Row],[PlantationDate]])</f>
        <v>106345853</v>
      </c>
      <c r="O3876" t="str">
        <f>CompilDonnées[[#This Row],[FarmID]]&amp;CompilDonnées[[#This Row],[ModuleNumber]]</f>
        <v>1063</v>
      </c>
      <c r="P3876" t="str">
        <f>CompilDonnées[[#This Row],[Ref_Module]]&amp;CompilDonnées[[#This Row],[HarvestingDate]]</f>
        <v>106345894</v>
      </c>
    </row>
    <row r="3877" spans="1:16">
      <c r="A3877" s="5">
        <v>45853</v>
      </c>
      <c r="B3877">
        <v>107</v>
      </c>
      <c r="C3877" t="s">
        <v>23</v>
      </c>
      <c r="D3877">
        <v>2</v>
      </c>
      <c r="E3877">
        <v>100</v>
      </c>
      <c r="F3877" t="s">
        <v>1</v>
      </c>
      <c r="G3877" s="6">
        <v>45894</v>
      </c>
      <c r="H3877">
        <v>41</v>
      </c>
      <c r="I3877">
        <f>ROUND(CompilDonnées[[#This Row],[CultureDuration_days]]/7,0)</f>
        <v>6</v>
      </c>
      <c r="J3877">
        <v>2699</v>
      </c>
      <c r="K3877" t="str">
        <f>_xlfn.CONCAT(WEEKNUM(CompilDonnées[[#This Row],[PlantationDate]]), " ", YEAR(CompilDonnées[[#This Row],[PlantationDate]]))</f>
        <v>29 2025</v>
      </c>
      <c r="L3877" t="str">
        <f>CONCATENATE(MONTH(CompilDonnées[[#This Row],[PlantationDate]])," ", YEAR(CompilDonnées[[#This Row],[PlantationDate]]))</f>
        <v>7 2025</v>
      </c>
      <c r="M3877" t="str">
        <f>CONCATENATE(MONTH(CompilDonnées[[#This Row],[HarvestingDate]])," ", YEAR(CompilDonnées[[#This Row],[HarvestingDate]]))</f>
        <v>8 2025</v>
      </c>
      <c r="N3877">
        <f>_xlfn.NUMBERVALUE(CompilDonnées[[#This Row],[FarmID]]&amp;CompilDonnées[[#This Row],[ModuleNumber]]&amp;CompilDonnées[[#This Row],[PlantationDate]])</f>
        <v>107245853</v>
      </c>
      <c r="O3877" t="str">
        <f>CompilDonnées[[#This Row],[FarmID]]&amp;CompilDonnées[[#This Row],[ModuleNumber]]</f>
        <v>1072</v>
      </c>
      <c r="P3877" t="str">
        <f>CompilDonnées[[#This Row],[Ref_Module]]&amp;CompilDonnées[[#This Row],[HarvestingDate]]</f>
        <v>107245894</v>
      </c>
    </row>
    <row r="3878" spans="1:16">
      <c r="A3878" s="5">
        <v>45853</v>
      </c>
      <c r="B3878">
        <v>108</v>
      </c>
      <c r="C3878" t="s">
        <v>58</v>
      </c>
      <c r="D3878">
        <v>2</v>
      </c>
      <c r="E3878">
        <v>100</v>
      </c>
      <c r="F3878" t="s">
        <v>1</v>
      </c>
      <c r="G3878" s="6">
        <v>45894</v>
      </c>
      <c r="H3878">
        <v>41</v>
      </c>
      <c r="I3878">
        <f>ROUND(CompilDonnées[[#This Row],[CultureDuration_days]]/7,0)</f>
        <v>6</v>
      </c>
      <c r="J3878">
        <v>3409</v>
      </c>
      <c r="K3878" t="str">
        <f>_xlfn.CONCAT(WEEKNUM(CompilDonnées[[#This Row],[PlantationDate]]), " ", YEAR(CompilDonnées[[#This Row],[PlantationDate]]))</f>
        <v>29 2025</v>
      </c>
      <c r="L3878" t="str">
        <f>CONCATENATE(MONTH(CompilDonnées[[#This Row],[PlantationDate]])," ", YEAR(CompilDonnées[[#This Row],[PlantationDate]]))</f>
        <v>7 2025</v>
      </c>
      <c r="M3878" t="str">
        <f>CONCATENATE(MONTH(CompilDonnées[[#This Row],[HarvestingDate]])," ", YEAR(CompilDonnées[[#This Row],[HarvestingDate]]))</f>
        <v>8 2025</v>
      </c>
      <c r="N3878">
        <f>_xlfn.NUMBERVALUE(CompilDonnées[[#This Row],[FarmID]]&amp;CompilDonnées[[#This Row],[ModuleNumber]]&amp;CompilDonnées[[#This Row],[PlantationDate]])</f>
        <v>108245853</v>
      </c>
      <c r="O3878" t="str">
        <f>CompilDonnées[[#This Row],[FarmID]]&amp;CompilDonnées[[#This Row],[ModuleNumber]]</f>
        <v>1082</v>
      </c>
      <c r="P3878" t="str">
        <f>CompilDonnées[[#This Row],[Ref_Module]]&amp;CompilDonnées[[#This Row],[HarvestingDate]]</f>
        <v>108245894</v>
      </c>
    </row>
    <row r="3879" spans="1:16">
      <c r="A3879" s="5">
        <v>45853</v>
      </c>
      <c r="B3879">
        <v>109</v>
      </c>
      <c r="C3879" t="s">
        <v>87</v>
      </c>
      <c r="D3879">
        <v>6</v>
      </c>
      <c r="E3879">
        <v>100</v>
      </c>
      <c r="F3879" t="s">
        <v>1</v>
      </c>
      <c r="G3879" s="6">
        <v>45894</v>
      </c>
      <c r="H3879">
        <v>41</v>
      </c>
      <c r="I3879">
        <f>ROUND(CompilDonnées[[#This Row],[CultureDuration_days]]/7,0)</f>
        <v>6</v>
      </c>
      <c r="J3879">
        <v>3900</v>
      </c>
      <c r="K3879" t="str">
        <f>_xlfn.CONCAT(WEEKNUM(CompilDonnées[[#This Row],[PlantationDate]]), " ", YEAR(CompilDonnées[[#This Row],[PlantationDate]]))</f>
        <v>29 2025</v>
      </c>
      <c r="L3879" t="str">
        <f>CONCATENATE(MONTH(CompilDonnées[[#This Row],[PlantationDate]])," ", YEAR(CompilDonnées[[#This Row],[PlantationDate]]))</f>
        <v>7 2025</v>
      </c>
      <c r="M3879" t="str">
        <f>CONCATENATE(MONTH(CompilDonnées[[#This Row],[HarvestingDate]])," ", YEAR(CompilDonnées[[#This Row],[HarvestingDate]]))</f>
        <v>8 2025</v>
      </c>
      <c r="N3879">
        <f>_xlfn.NUMBERVALUE(CompilDonnées[[#This Row],[FarmID]]&amp;CompilDonnées[[#This Row],[ModuleNumber]]&amp;CompilDonnées[[#This Row],[PlantationDate]])</f>
        <v>109645853</v>
      </c>
      <c r="O3879" t="str">
        <f>CompilDonnées[[#This Row],[FarmID]]&amp;CompilDonnées[[#This Row],[ModuleNumber]]</f>
        <v>1096</v>
      </c>
      <c r="P3879" t="str">
        <f>CompilDonnées[[#This Row],[Ref_Module]]&amp;CompilDonnées[[#This Row],[HarvestingDate]]</f>
        <v>109645894</v>
      </c>
    </row>
    <row r="3880" spans="1:16">
      <c r="A3880" s="5">
        <v>45853</v>
      </c>
      <c r="B3880">
        <v>101</v>
      </c>
      <c r="C3880" t="s">
        <v>54</v>
      </c>
      <c r="D3880">
        <v>1</v>
      </c>
      <c r="E3880">
        <v>100</v>
      </c>
      <c r="F3880" t="s">
        <v>1</v>
      </c>
      <c r="G3880" s="6">
        <v>45895</v>
      </c>
      <c r="H3880">
        <v>42</v>
      </c>
      <c r="I3880">
        <f>ROUND(CompilDonnées[[#This Row],[CultureDuration_days]]/7,0)</f>
        <v>6</v>
      </c>
      <c r="J3880">
        <v>4123</v>
      </c>
      <c r="K3880" t="str">
        <f>_xlfn.CONCAT(WEEKNUM(CompilDonnées[[#This Row],[PlantationDate]]), " ", YEAR(CompilDonnées[[#This Row],[PlantationDate]]))</f>
        <v>29 2025</v>
      </c>
      <c r="L3880" t="str">
        <f>CONCATENATE(MONTH(CompilDonnées[[#This Row],[PlantationDate]])," ", YEAR(CompilDonnées[[#This Row],[PlantationDate]]))</f>
        <v>7 2025</v>
      </c>
      <c r="M3880" t="str">
        <f>CONCATENATE(MONTH(CompilDonnées[[#This Row],[HarvestingDate]])," ", YEAR(CompilDonnées[[#This Row],[HarvestingDate]]))</f>
        <v>8 2025</v>
      </c>
      <c r="N3880">
        <f>_xlfn.NUMBERVALUE(CompilDonnées[[#This Row],[FarmID]]&amp;CompilDonnées[[#This Row],[ModuleNumber]]&amp;CompilDonnées[[#This Row],[PlantationDate]])</f>
        <v>101145853</v>
      </c>
      <c r="O3880" t="str">
        <f>CompilDonnées[[#This Row],[FarmID]]&amp;CompilDonnées[[#This Row],[ModuleNumber]]</f>
        <v>1011</v>
      </c>
      <c r="P3880" t="str">
        <f>CompilDonnées[[#This Row],[Ref_Module]]&amp;CompilDonnées[[#This Row],[HarvestingDate]]</f>
        <v>101145895</v>
      </c>
    </row>
    <row r="3881" spans="1:16">
      <c r="A3881" s="5">
        <v>45853</v>
      </c>
      <c r="B3881">
        <v>99</v>
      </c>
      <c r="C3881" t="s">
        <v>117</v>
      </c>
      <c r="D3881">
        <v>2</v>
      </c>
      <c r="E3881">
        <v>100</v>
      </c>
      <c r="F3881" t="s">
        <v>1</v>
      </c>
      <c r="G3881" s="6">
        <v>45903</v>
      </c>
      <c r="H3881">
        <v>50</v>
      </c>
      <c r="I3881">
        <f>ROUND(CompilDonnées[[#This Row],[CultureDuration_days]]/7,0)</f>
        <v>7</v>
      </c>
      <c r="J3881">
        <v>3112</v>
      </c>
      <c r="K3881" t="str">
        <f>_xlfn.CONCAT(WEEKNUM(CompilDonnées[[#This Row],[PlantationDate]]), " ", YEAR(CompilDonnées[[#This Row],[PlantationDate]]))</f>
        <v>29 2025</v>
      </c>
      <c r="L3881" t="str">
        <f>CONCATENATE(MONTH(CompilDonnées[[#This Row],[PlantationDate]])," ", YEAR(CompilDonnées[[#This Row],[PlantationDate]]))</f>
        <v>7 2025</v>
      </c>
      <c r="M3881" t="str">
        <f>CONCATENATE(MONTH(CompilDonnées[[#This Row],[HarvestingDate]])," ", YEAR(CompilDonnées[[#This Row],[HarvestingDate]]))</f>
        <v>9 2025</v>
      </c>
      <c r="N3881">
        <f>_xlfn.NUMBERVALUE(CompilDonnées[[#This Row],[FarmID]]&amp;CompilDonnées[[#This Row],[ModuleNumber]]&amp;CompilDonnées[[#This Row],[PlantationDate]])</f>
        <v>99245853</v>
      </c>
      <c r="O3881" t="str">
        <f>CompilDonnées[[#This Row],[FarmID]]&amp;CompilDonnées[[#This Row],[ModuleNumber]]</f>
        <v>992</v>
      </c>
      <c r="P3881" t="str">
        <f>CompilDonnées[[#This Row],[Ref_Module]]&amp;CompilDonnées[[#This Row],[HarvestingDate]]</f>
        <v>99245903</v>
      </c>
    </row>
    <row r="3882" spans="1:16">
      <c r="A3882" s="5">
        <v>45853</v>
      </c>
      <c r="B3882">
        <v>98</v>
      </c>
      <c r="C3882" t="s">
        <v>79</v>
      </c>
      <c r="D3882">
        <v>5</v>
      </c>
      <c r="E3882">
        <v>100</v>
      </c>
      <c r="F3882" t="s">
        <v>1</v>
      </c>
      <c r="G3882" s="6">
        <v>45894</v>
      </c>
      <c r="H3882">
        <v>41</v>
      </c>
      <c r="I3882">
        <f>ROUND(CompilDonnées[[#This Row],[CultureDuration_days]]/7,0)</f>
        <v>6</v>
      </c>
      <c r="J3882">
        <v>3076</v>
      </c>
      <c r="K3882" t="str">
        <f>_xlfn.CONCAT(WEEKNUM(CompilDonnées[[#This Row],[PlantationDate]]), " ", YEAR(CompilDonnées[[#This Row],[PlantationDate]]))</f>
        <v>29 2025</v>
      </c>
      <c r="L3882" t="str">
        <f>CONCATENATE(MONTH(CompilDonnées[[#This Row],[PlantationDate]])," ", YEAR(CompilDonnées[[#This Row],[PlantationDate]]))</f>
        <v>7 2025</v>
      </c>
      <c r="M3882" t="str">
        <f>CONCATENATE(MONTH(CompilDonnées[[#This Row],[HarvestingDate]])," ", YEAR(CompilDonnées[[#This Row],[HarvestingDate]]))</f>
        <v>8 2025</v>
      </c>
      <c r="N3882">
        <f>_xlfn.NUMBERVALUE(CompilDonnées[[#This Row],[FarmID]]&amp;CompilDonnées[[#This Row],[ModuleNumber]]&amp;CompilDonnées[[#This Row],[PlantationDate]])</f>
        <v>98545853</v>
      </c>
      <c r="O3882" t="str">
        <f>CompilDonnées[[#This Row],[FarmID]]&amp;CompilDonnées[[#This Row],[ModuleNumber]]</f>
        <v>985</v>
      </c>
      <c r="P3882" t="str">
        <f>CompilDonnées[[#This Row],[Ref_Module]]&amp;CompilDonnées[[#This Row],[HarvestingDate]]</f>
        <v>98545894</v>
      </c>
    </row>
    <row r="3883" spans="1:16">
      <c r="A3883" s="5">
        <v>45853</v>
      </c>
      <c r="B3883">
        <v>94</v>
      </c>
      <c r="C3883" t="s">
        <v>40</v>
      </c>
      <c r="D3883">
        <v>4</v>
      </c>
      <c r="E3883">
        <v>100</v>
      </c>
      <c r="F3883" t="s">
        <v>1</v>
      </c>
      <c r="G3883" s="6">
        <v>45895</v>
      </c>
      <c r="H3883">
        <v>42</v>
      </c>
      <c r="I3883">
        <f>ROUND(CompilDonnées[[#This Row],[CultureDuration_days]]/7,0)</f>
        <v>6</v>
      </c>
      <c r="J3883">
        <v>3280</v>
      </c>
      <c r="K3883" t="str">
        <f>_xlfn.CONCAT(WEEKNUM(CompilDonnées[[#This Row],[PlantationDate]]), " ", YEAR(CompilDonnées[[#This Row],[PlantationDate]]))</f>
        <v>29 2025</v>
      </c>
      <c r="L3883" t="str">
        <f>CONCATENATE(MONTH(CompilDonnées[[#This Row],[PlantationDate]])," ", YEAR(CompilDonnées[[#This Row],[PlantationDate]]))</f>
        <v>7 2025</v>
      </c>
      <c r="M3883" t="str">
        <f>CONCATENATE(MONTH(CompilDonnées[[#This Row],[HarvestingDate]])," ", YEAR(CompilDonnées[[#This Row],[HarvestingDate]]))</f>
        <v>8 2025</v>
      </c>
      <c r="N3883">
        <f>_xlfn.NUMBERVALUE(CompilDonnées[[#This Row],[FarmID]]&amp;CompilDonnées[[#This Row],[ModuleNumber]]&amp;CompilDonnées[[#This Row],[PlantationDate]])</f>
        <v>94445853</v>
      </c>
      <c r="O3883" t="str">
        <f>CompilDonnées[[#This Row],[FarmID]]&amp;CompilDonnées[[#This Row],[ModuleNumber]]</f>
        <v>944</v>
      </c>
      <c r="P3883" t="str">
        <f>CompilDonnées[[#This Row],[Ref_Module]]&amp;CompilDonnées[[#This Row],[HarvestingDate]]</f>
        <v>94445895</v>
      </c>
    </row>
    <row r="3884" spans="1:16">
      <c r="A3884" s="5">
        <v>45853</v>
      </c>
      <c r="B3884">
        <v>93</v>
      </c>
      <c r="C3884" t="s">
        <v>10</v>
      </c>
      <c r="D3884">
        <v>3</v>
      </c>
      <c r="E3884">
        <v>100</v>
      </c>
      <c r="F3884" t="s">
        <v>1</v>
      </c>
      <c r="G3884" s="6">
        <v>45895</v>
      </c>
      <c r="H3884">
        <v>42</v>
      </c>
      <c r="I3884">
        <f>ROUND(CompilDonnées[[#This Row],[CultureDuration_days]]/7,0)</f>
        <v>6</v>
      </c>
      <c r="J3884">
        <v>2070</v>
      </c>
      <c r="K3884" t="str">
        <f>_xlfn.CONCAT(WEEKNUM(CompilDonnées[[#This Row],[PlantationDate]]), " ", YEAR(CompilDonnées[[#This Row],[PlantationDate]]))</f>
        <v>29 2025</v>
      </c>
      <c r="L3884" t="str">
        <f>CONCATENATE(MONTH(CompilDonnées[[#This Row],[PlantationDate]])," ", YEAR(CompilDonnées[[#This Row],[PlantationDate]]))</f>
        <v>7 2025</v>
      </c>
      <c r="M3884" t="str">
        <f>CONCATENATE(MONTH(CompilDonnées[[#This Row],[HarvestingDate]])," ", YEAR(CompilDonnées[[#This Row],[HarvestingDate]]))</f>
        <v>8 2025</v>
      </c>
      <c r="N3884">
        <f>_xlfn.NUMBERVALUE(CompilDonnées[[#This Row],[FarmID]]&amp;CompilDonnées[[#This Row],[ModuleNumber]]&amp;CompilDonnées[[#This Row],[PlantationDate]])</f>
        <v>93345853</v>
      </c>
      <c r="O3884" t="str">
        <f>CompilDonnées[[#This Row],[FarmID]]&amp;CompilDonnées[[#This Row],[ModuleNumber]]</f>
        <v>933</v>
      </c>
      <c r="P3884" t="str">
        <f>CompilDonnées[[#This Row],[Ref_Module]]&amp;CompilDonnées[[#This Row],[HarvestingDate]]</f>
        <v>93345895</v>
      </c>
    </row>
    <row r="3885" spans="1:16">
      <c r="A3885" s="5">
        <v>45853</v>
      </c>
      <c r="B3885">
        <v>88</v>
      </c>
      <c r="C3885" t="s">
        <v>94</v>
      </c>
      <c r="D3885">
        <v>3</v>
      </c>
      <c r="E3885">
        <v>100</v>
      </c>
      <c r="F3885" t="s">
        <v>1</v>
      </c>
      <c r="G3885" s="6">
        <v>45895</v>
      </c>
      <c r="H3885">
        <v>42</v>
      </c>
      <c r="I3885">
        <f>ROUND(CompilDonnées[[#This Row],[CultureDuration_days]]/7,0)</f>
        <v>6</v>
      </c>
      <c r="J3885">
        <v>3508</v>
      </c>
      <c r="K3885" t="str">
        <f>_xlfn.CONCAT(WEEKNUM(CompilDonnées[[#This Row],[PlantationDate]]), " ", YEAR(CompilDonnées[[#This Row],[PlantationDate]]))</f>
        <v>29 2025</v>
      </c>
      <c r="L3885" t="str">
        <f>CONCATENATE(MONTH(CompilDonnées[[#This Row],[PlantationDate]])," ", YEAR(CompilDonnées[[#This Row],[PlantationDate]]))</f>
        <v>7 2025</v>
      </c>
      <c r="M3885" t="str">
        <f>CONCATENATE(MONTH(CompilDonnées[[#This Row],[HarvestingDate]])," ", YEAR(CompilDonnées[[#This Row],[HarvestingDate]]))</f>
        <v>8 2025</v>
      </c>
      <c r="N3885">
        <f>_xlfn.NUMBERVALUE(CompilDonnées[[#This Row],[FarmID]]&amp;CompilDonnées[[#This Row],[ModuleNumber]]&amp;CompilDonnées[[#This Row],[PlantationDate]])</f>
        <v>88345853</v>
      </c>
      <c r="O3885" t="str">
        <f>CompilDonnées[[#This Row],[FarmID]]&amp;CompilDonnées[[#This Row],[ModuleNumber]]</f>
        <v>883</v>
      </c>
      <c r="P3885" t="str">
        <f>CompilDonnées[[#This Row],[Ref_Module]]&amp;CompilDonnées[[#This Row],[HarvestingDate]]</f>
        <v>88345895</v>
      </c>
    </row>
    <row r="3886" spans="1:16">
      <c r="A3886" s="5">
        <v>45853</v>
      </c>
      <c r="B3886">
        <v>63</v>
      </c>
      <c r="C3886" t="s">
        <v>98</v>
      </c>
      <c r="D3886">
        <v>6</v>
      </c>
      <c r="E3886">
        <v>100</v>
      </c>
      <c r="F3886" t="s">
        <v>1</v>
      </c>
      <c r="G3886" s="6">
        <v>45896</v>
      </c>
      <c r="H3886">
        <v>43</v>
      </c>
      <c r="I3886">
        <f>ROUND(CompilDonnées[[#This Row],[CultureDuration_days]]/7,0)</f>
        <v>6</v>
      </c>
      <c r="J3886">
        <v>2322</v>
      </c>
      <c r="K3886" t="str">
        <f>_xlfn.CONCAT(WEEKNUM(CompilDonnées[[#This Row],[PlantationDate]]), " ", YEAR(CompilDonnées[[#This Row],[PlantationDate]]))</f>
        <v>29 2025</v>
      </c>
      <c r="L3886" t="str">
        <f>CONCATENATE(MONTH(CompilDonnées[[#This Row],[PlantationDate]])," ", YEAR(CompilDonnées[[#This Row],[PlantationDate]]))</f>
        <v>7 2025</v>
      </c>
      <c r="M3886" t="str">
        <f>CONCATENATE(MONTH(CompilDonnées[[#This Row],[HarvestingDate]])," ", YEAR(CompilDonnées[[#This Row],[HarvestingDate]]))</f>
        <v>8 2025</v>
      </c>
      <c r="N3886">
        <f>_xlfn.NUMBERVALUE(CompilDonnées[[#This Row],[FarmID]]&amp;CompilDonnées[[#This Row],[ModuleNumber]]&amp;CompilDonnées[[#This Row],[PlantationDate]])</f>
        <v>63645853</v>
      </c>
      <c r="O3886" t="str">
        <f>CompilDonnées[[#This Row],[FarmID]]&amp;CompilDonnées[[#This Row],[ModuleNumber]]</f>
        <v>636</v>
      </c>
      <c r="P3886" t="str">
        <f>CompilDonnées[[#This Row],[Ref_Module]]&amp;CompilDonnées[[#This Row],[HarvestingDate]]</f>
        <v>63645896</v>
      </c>
    </row>
    <row r="3887" spans="1:16">
      <c r="A3887" s="5">
        <v>45853</v>
      </c>
      <c r="B3887">
        <v>70</v>
      </c>
      <c r="C3887" t="s">
        <v>7</v>
      </c>
      <c r="D3887">
        <v>3</v>
      </c>
      <c r="E3887">
        <v>100</v>
      </c>
      <c r="F3887" t="s">
        <v>1</v>
      </c>
      <c r="G3887" s="6">
        <v>45896</v>
      </c>
      <c r="H3887">
        <v>43</v>
      </c>
      <c r="I3887">
        <f>ROUND(CompilDonnées[[#This Row],[CultureDuration_days]]/7,0)</f>
        <v>6</v>
      </c>
      <c r="J3887">
        <v>2343</v>
      </c>
      <c r="K3887" t="str">
        <f>_xlfn.CONCAT(WEEKNUM(CompilDonnées[[#This Row],[PlantationDate]]), " ", YEAR(CompilDonnées[[#This Row],[PlantationDate]]))</f>
        <v>29 2025</v>
      </c>
      <c r="L3887" t="str">
        <f>CONCATENATE(MONTH(CompilDonnées[[#This Row],[PlantationDate]])," ", YEAR(CompilDonnées[[#This Row],[PlantationDate]]))</f>
        <v>7 2025</v>
      </c>
      <c r="M3887" t="str">
        <f>CONCATENATE(MONTH(CompilDonnées[[#This Row],[HarvestingDate]])," ", YEAR(CompilDonnées[[#This Row],[HarvestingDate]]))</f>
        <v>8 2025</v>
      </c>
      <c r="N3887">
        <f>_xlfn.NUMBERVALUE(CompilDonnées[[#This Row],[FarmID]]&amp;CompilDonnées[[#This Row],[ModuleNumber]]&amp;CompilDonnées[[#This Row],[PlantationDate]])</f>
        <v>70345853</v>
      </c>
      <c r="O3887" t="str">
        <f>CompilDonnées[[#This Row],[FarmID]]&amp;CompilDonnées[[#This Row],[ModuleNumber]]</f>
        <v>703</v>
      </c>
      <c r="P3887" t="str">
        <f>CompilDonnées[[#This Row],[Ref_Module]]&amp;CompilDonnées[[#This Row],[HarvestingDate]]</f>
        <v>70345896</v>
      </c>
    </row>
    <row r="3888" spans="1:16">
      <c r="A3888" s="5">
        <v>45853</v>
      </c>
      <c r="B3888">
        <v>58</v>
      </c>
      <c r="C3888" t="s">
        <v>35</v>
      </c>
      <c r="D3888">
        <v>4</v>
      </c>
      <c r="E3888">
        <v>100</v>
      </c>
      <c r="F3888" t="s">
        <v>1</v>
      </c>
      <c r="G3888" s="6">
        <v>45896</v>
      </c>
      <c r="H3888">
        <v>43</v>
      </c>
      <c r="I3888">
        <f>ROUND(CompilDonnées[[#This Row],[CultureDuration_days]]/7,0)</f>
        <v>6</v>
      </c>
      <c r="J3888">
        <v>3702</v>
      </c>
      <c r="K3888" t="str">
        <f>_xlfn.CONCAT(WEEKNUM(CompilDonnées[[#This Row],[PlantationDate]]), " ", YEAR(CompilDonnées[[#This Row],[PlantationDate]]))</f>
        <v>29 2025</v>
      </c>
      <c r="L3888" t="str">
        <f>CONCATENATE(MONTH(CompilDonnées[[#This Row],[PlantationDate]])," ", YEAR(CompilDonnées[[#This Row],[PlantationDate]]))</f>
        <v>7 2025</v>
      </c>
      <c r="M3888" t="str">
        <f>CONCATENATE(MONTH(CompilDonnées[[#This Row],[HarvestingDate]])," ", YEAR(CompilDonnées[[#This Row],[HarvestingDate]]))</f>
        <v>8 2025</v>
      </c>
      <c r="N3888">
        <f>_xlfn.NUMBERVALUE(CompilDonnées[[#This Row],[FarmID]]&amp;CompilDonnées[[#This Row],[ModuleNumber]]&amp;CompilDonnées[[#This Row],[PlantationDate]])</f>
        <v>58445853</v>
      </c>
      <c r="O3888" t="str">
        <f>CompilDonnées[[#This Row],[FarmID]]&amp;CompilDonnées[[#This Row],[ModuleNumber]]</f>
        <v>584</v>
      </c>
      <c r="P3888" t="str">
        <f>CompilDonnées[[#This Row],[Ref_Module]]&amp;CompilDonnées[[#This Row],[HarvestingDate]]</f>
        <v>58445896</v>
      </c>
    </row>
    <row r="3889" spans="1:16">
      <c r="A3889" s="5">
        <v>45853</v>
      </c>
      <c r="B3889">
        <v>115</v>
      </c>
      <c r="C3889" t="s">
        <v>121</v>
      </c>
      <c r="D3889">
        <v>1</v>
      </c>
      <c r="E3889">
        <v>100</v>
      </c>
      <c r="F3889" t="s">
        <v>1</v>
      </c>
      <c r="G3889" s="6">
        <v>45894</v>
      </c>
      <c r="H3889">
        <v>41</v>
      </c>
      <c r="I3889">
        <f>ROUND(CompilDonnées[[#This Row],[CultureDuration_days]]/7,0)</f>
        <v>6</v>
      </c>
      <c r="J3889">
        <v>1855</v>
      </c>
      <c r="K3889" t="str">
        <f>_xlfn.CONCAT(WEEKNUM(CompilDonnées[[#This Row],[PlantationDate]]), " ", YEAR(CompilDonnées[[#This Row],[PlantationDate]]))</f>
        <v>29 2025</v>
      </c>
      <c r="L3889" t="str">
        <f>CONCATENATE(MONTH(CompilDonnées[[#This Row],[PlantationDate]])," ", YEAR(CompilDonnées[[#This Row],[PlantationDate]]))</f>
        <v>7 2025</v>
      </c>
      <c r="M3889" t="str">
        <f>CONCATENATE(MONTH(CompilDonnées[[#This Row],[HarvestingDate]])," ", YEAR(CompilDonnées[[#This Row],[HarvestingDate]]))</f>
        <v>8 2025</v>
      </c>
      <c r="N3889">
        <f>_xlfn.NUMBERVALUE(CompilDonnées[[#This Row],[FarmID]]&amp;CompilDonnées[[#This Row],[ModuleNumber]]&amp;CompilDonnées[[#This Row],[PlantationDate]])</f>
        <v>115145853</v>
      </c>
      <c r="O3889" t="str">
        <f>CompilDonnées[[#This Row],[FarmID]]&amp;CompilDonnées[[#This Row],[ModuleNumber]]</f>
        <v>1151</v>
      </c>
      <c r="P3889" t="str">
        <f>CompilDonnées[[#This Row],[Ref_Module]]&amp;CompilDonnées[[#This Row],[HarvestingDate]]</f>
        <v>115145894</v>
      </c>
    </row>
    <row r="3890" spans="1:16">
      <c r="A3890" s="5">
        <v>45853</v>
      </c>
      <c r="B3890">
        <v>140</v>
      </c>
      <c r="C3890" t="s">
        <v>96</v>
      </c>
      <c r="D3890">
        <v>1</v>
      </c>
      <c r="E3890">
        <v>100</v>
      </c>
      <c r="F3890" t="s">
        <v>1</v>
      </c>
      <c r="G3890" s="6">
        <v>45890</v>
      </c>
      <c r="H3890">
        <v>37</v>
      </c>
      <c r="I3890">
        <f>ROUND(CompilDonnées[[#This Row],[CultureDuration_days]]/7,0)</f>
        <v>5</v>
      </c>
      <c r="J3890">
        <v>3028</v>
      </c>
      <c r="K3890" t="str">
        <f>_xlfn.CONCAT(WEEKNUM(CompilDonnées[[#This Row],[PlantationDate]]), " ", YEAR(CompilDonnées[[#This Row],[PlantationDate]]))</f>
        <v>29 2025</v>
      </c>
      <c r="L3890" t="str">
        <f>CONCATENATE(MONTH(CompilDonnées[[#This Row],[PlantationDate]])," ", YEAR(CompilDonnées[[#This Row],[PlantationDate]]))</f>
        <v>7 2025</v>
      </c>
      <c r="M3890" t="str">
        <f>CONCATENATE(MONTH(CompilDonnées[[#This Row],[HarvestingDate]])," ", YEAR(CompilDonnées[[#This Row],[HarvestingDate]]))</f>
        <v>8 2025</v>
      </c>
      <c r="N3890">
        <f>_xlfn.NUMBERVALUE(CompilDonnées[[#This Row],[FarmID]]&amp;CompilDonnées[[#This Row],[ModuleNumber]]&amp;CompilDonnées[[#This Row],[PlantationDate]])</f>
        <v>140145853</v>
      </c>
      <c r="O3890" t="str">
        <f>CompilDonnées[[#This Row],[FarmID]]&amp;CompilDonnées[[#This Row],[ModuleNumber]]</f>
        <v>1401</v>
      </c>
      <c r="P3890" t="str">
        <f>CompilDonnées[[#This Row],[Ref_Module]]&amp;CompilDonnées[[#This Row],[HarvestingDate]]</f>
        <v>140145890</v>
      </c>
    </row>
    <row r="3891" spans="1:16">
      <c r="A3891" s="5">
        <v>45853</v>
      </c>
      <c r="B3891">
        <v>119</v>
      </c>
      <c r="C3891" t="s">
        <v>59</v>
      </c>
      <c r="D3891">
        <v>1</v>
      </c>
      <c r="E3891">
        <v>100</v>
      </c>
      <c r="F3891" t="s">
        <v>1</v>
      </c>
      <c r="G3891" s="6">
        <v>45891</v>
      </c>
      <c r="H3891">
        <v>38</v>
      </c>
      <c r="I3891">
        <f>ROUND(CompilDonnées[[#This Row],[CultureDuration_days]]/7,0)</f>
        <v>5</v>
      </c>
      <c r="J3891">
        <v>3490</v>
      </c>
      <c r="K3891" t="str">
        <f>_xlfn.CONCAT(WEEKNUM(CompilDonnées[[#This Row],[PlantationDate]]), " ", YEAR(CompilDonnées[[#This Row],[PlantationDate]]))</f>
        <v>29 2025</v>
      </c>
      <c r="L3891" t="str">
        <f>CONCATENATE(MONTH(CompilDonnées[[#This Row],[PlantationDate]])," ", YEAR(CompilDonnées[[#This Row],[PlantationDate]]))</f>
        <v>7 2025</v>
      </c>
      <c r="M3891" t="str">
        <f>CONCATENATE(MONTH(CompilDonnées[[#This Row],[HarvestingDate]])," ", YEAR(CompilDonnées[[#This Row],[HarvestingDate]]))</f>
        <v>8 2025</v>
      </c>
      <c r="N3891">
        <f>_xlfn.NUMBERVALUE(CompilDonnées[[#This Row],[FarmID]]&amp;CompilDonnées[[#This Row],[ModuleNumber]]&amp;CompilDonnées[[#This Row],[PlantationDate]])</f>
        <v>119145853</v>
      </c>
      <c r="O3891" t="str">
        <f>CompilDonnées[[#This Row],[FarmID]]&amp;CompilDonnées[[#This Row],[ModuleNumber]]</f>
        <v>1191</v>
      </c>
      <c r="P3891" t="str">
        <f>CompilDonnées[[#This Row],[Ref_Module]]&amp;CompilDonnées[[#This Row],[HarvestingDate]]</f>
        <v>119145891</v>
      </c>
    </row>
    <row r="3892" spans="1:16">
      <c r="A3892" s="5">
        <v>45853</v>
      </c>
      <c r="B3892">
        <v>113</v>
      </c>
      <c r="C3892" t="s">
        <v>16</v>
      </c>
      <c r="D3892">
        <v>1</v>
      </c>
      <c r="E3892">
        <v>100</v>
      </c>
      <c r="F3892" t="s">
        <v>1</v>
      </c>
      <c r="G3892" s="6">
        <v>45891</v>
      </c>
      <c r="H3892">
        <v>38</v>
      </c>
      <c r="I3892">
        <f>ROUND(CompilDonnées[[#This Row],[CultureDuration_days]]/7,0)</f>
        <v>5</v>
      </c>
      <c r="J3892">
        <v>3757</v>
      </c>
      <c r="K3892" t="str">
        <f>_xlfn.CONCAT(WEEKNUM(CompilDonnées[[#This Row],[PlantationDate]]), " ", YEAR(CompilDonnées[[#This Row],[PlantationDate]]))</f>
        <v>29 2025</v>
      </c>
      <c r="L3892" t="str">
        <f>CONCATENATE(MONTH(CompilDonnées[[#This Row],[PlantationDate]])," ", YEAR(CompilDonnées[[#This Row],[PlantationDate]]))</f>
        <v>7 2025</v>
      </c>
      <c r="M3892" t="str">
        <f>CONCATENATE(MONTH(CompilDonnées[[#This Row],[HarvestingDate]])," ", YEAR(CompilDonnées[[#This Row],[HarvestingDate]]))</f>
        <v>8 2025</v>
      </c>
      <c r="N3892">
        <f>_xlfn.NUMBERVALUE(CompilDonnées[[#This Row],[FarmID]]&amp;CompilDonnées[[#This Row],[ModuleNumber]]&amp;CompilDonnées[[#This Row],[PlantationDate]])</f>
        <v>113145853</v>
      </c>
      <c r="O3892" t="str">
        <f>CompilDonnées[[#This Row],[FarmID]]&amp;CompilDonnées[[#This Row],[ModuleNumber]]</f>
        <v>1131</v>
      </c>
      <c r="P3892" t="str">
        <f>CompilDonnées[[#This Row],[Ref_Module]]&amp;CompilDonnées[[#This Row],[HarvestingDate]]</f>
        <v>113145891</v>
      </c>
    </row>
    <row r="3893" spans="1:16">
      <c r="A3893" s="5">
        <v>45853</v>
      </c>
      <c r="B3893">
        <v>112</v>
      </c>
      <c r="C3893" t="s">
        <v>15</v>
      </c>
      <c r="D3893">
        <v>1</v>
      </c>
      <c r="E3893">
        <v>100</v>
      </c>
      <c r="F3893" t="s">
        <v>1</v>
      </c>
      <c r="G3893" s="6">
        <v>45891</v>
      </c>
      <c r="H3893">
        <v>38</v>
      </c>
      <c r="I3893">
        <f>ROUND(CompilDonnées[[#This Row],[CultureDuration_days]]/7,0)</f>
        <v>5</v>
      </c>
      <c r="J3893">
        <v>2981</v>
      </c>
      <c r="K3893" t="str">
        <f>_xlfn.CONCAT(WEEKNUM(CompilDonnées[[#This Row],[PlantationDate]]), " ", YEAR(CompilDonnées[[#This Row],[PlantationDate]]))</f>
        <v>29 2025</v>
      </c>
      <c r="L3893" t="str">
        <f>CONCATENATE(MONTH(CompilDonnées[[#This Row],[PlantationDate]])," ", YEAR(CompilDonnées[[#This Row],[PlantationDate]]))</f>
        <v>7 2025</v>
      </c>
      <c r="M3893" t="str">
        <f>CONCATENATE(MONTH(CompilDonnées[[#This Row],[HarvestingDate]])," ", YEAR(CompilDonnées[[#This Row],[HarvestingDate]]))</f>
        <v>8 2025</v>
      </c>
      <c r="N3893">
        <f>_xlfn.NUMBERVALUE(CompilDonnées[[#This Row],[FarmID]]&amp;CompilDonnées[[#This Row],[ModuleNumber]]&amp;CompilDonnées[[#This Row],[PlantationDate]])</f>
        <v>112145853</v>
      </c>
      <c r="O3893" t="str">
        <f>CompilDonnées[[#This Row],[FarmID]]&amp;CompilDonnées[[#This Row],[ModuleNumber]]</f>
        <v>1121</v>
      </c>
      <c r="P3893" t="str">
        <f>CompilDonnées[[#This Row],[Ref_Module]]&amp;CompilDonnées[[#This Row],[HarvestingDate]]</f>
        <v>112145891</v>
      </c>
    </row>
    <row r="3894" spans="1:16">
      <c r="A3894" s="5">
        <v>45853</v>
      </c>
      <c r="B3894">
        <v>111</v>
      </c>
      <c r="C3894" t="s">
        <v>41</v>
      </c>
      <c r="D3894">
        <v>3</v>
      </c>
      <c r="E3894">
        <v>100</v>
      </c>
      <c r="F3894" t="s">
        <v>1</v>
      </c>
      <c r="G3894" s="6">
        <v>45894</v>
      </c>
      <c r="H3894">
        <v>41</v>
      </c>
      <c r="I3894">
        <f>ROUND(CompilDonnées[[#This Row],[CultureDuration_days]]/7,0)</f>
        <v>6</v>
      </c>
      <c r="J3894">
        <v>3303</v>
      </c>
      <c r="K3894" t="str">
        <f>_xlfn.CONCAT(WEEKNUM(CompilDonnées[[#This Row],[PlantationDate]]), " ", YEAR(CompilDonnées[[#This Row],[PlantationDate]]))</f>
        <v>29 2025</v>
      </c>
      <c r="L3894" t="str">
        <f>CONCATENATE(MONTH(CompilDonnées[[#This Row],[PlantationDate]])," ", YEAR(CompilDonnées[[#This Row],[PlantationDate]]))</f>
        <v>7 2025</v>
      </c>
      <c r="M3894" t="str">
        <f>CONCATENATE(MONTH(CompilDonnées[[#This Row],[HarvestingDate]])," ", YEAR(CompilDonnées[[#This Row],[HarvestingDate]]))</f>
        <v>8 2025</v>
      </c>
      <c r="N3894">
        <f>_xlfn.NUMBERVALUE(CompilDonnées[[#This Row],[FarmID]]&amp;CompilDonnées[[#This Row],[ModuleNumber]]&amp;CompilDonnées[[#This Row],[PlantationDate]])</f>
        <v>111345853</v>
      </c>
      <c r="O3894" t="str">
        <f>CompilDonnées[[#This Row],[FarmID]]&amp;CompilDonnées[[#This Row],[ModuleNumber]]</f>
        <v>1113</v>
      </c>
      <c r="P3894" t="str">
        <f>CompilDonnées[[#This Row],[Ref_Module]]&amp;CompilDonnées[[#This Row],[HarvestingDate]]</f>
        <v>111345894</v>
      </c>
    </row>
    <row r="3895" spans="1:16">
      <c r="A3895" s="5">
        <v>45853</v>
      </c>
      <c r="B3895">
        <v>118</v>
      </c>
      <c r="C3895" t="s">
        <v>51</v>
      </c>
      <c r="D3895">
        <v>3</v>
      </c>
      <c r="E3895">
        <v>100</v>
      </c>
      <c r="F3895" t="s">
        <v>1</v>
      </c>
      <c r="G3895" s="6">
        <v>45891</v>
      </c>
      <c r="H3895">
        <v>38</v>
      </c>
      <c r="I3895">
        <f>ROUND(CompilDonnées[[#This Row],[CultureDuration_days]]/7,0)</f>
        <v>5</v>
      </c>
      <c r="J3895">
        <v>3261</v>
      </c>
      <c r="K3895" t="str">
        <f>_xlfn.CONCAT(WEEKNUM(CompilDonnées[[#This Row],[PlantationDate]]), " ", YEAR(CompilDonnées[[#This Row],[PlantationDate]]))</f>
        <v>29 2025</v>
      </c>
      <c r="L3895" t="str">
        <f>CONCATENATE(MONTH(CompilDonnées[[#This Row],[PlantationDate]])," ", YEAR(CompilDonnées[[#This Row],[PlantationDate]]))</f>
        <v>7 2025</v>
      </c>
      <c r="M3895" t="str">
        <f>CONCATENATE(MONTH(CompilDonnées[[#This Row],[HarvestingDate]])," ", YEAR(CompilDonnées[[#This Row],[HarvestingDate]]))</f>
        <v>8 2025</v>
      </c>
      <c r="N3895">
        <f>_xlfn.NUMBERVALUE(CompilDonnées[[#This Row],[FarmID]]&amp;CompilDonnées[[#This Row],[ModuleNumber]]&amp;CompilDonnées[[#This Row],[PlantationDate]])</f>
        <v>118345853</v>
      </c>
      <c r="O3895" t="str">
        <f>CompilDonnées[[#This Row],[FarmID]]&amp;CompilDonnées[[#This Row],[ModuleNumber]]</f>
        <v>1183</v>
      </c>
      <c r="P3895" t="str">
        <f>CompilDonnées[[#This Row],[Ref_Module]]&amp;CompilDonnées[[#This Row],[HarvestingDate]]</f>
        <v>118345891</v>
      </c>
    </row>
    <row r="3896" spans="1:16">
      <c r="A3896" s="5">
        <v>45853</v>
      </c>
      <c r="B3896">
        <v>110</v>
      </c>
      <c r="C3896" t="s">
        <v>14</v>
      </c>
      <c r="D3896">
        <v>5</v>
      </c>
      <c r="E3896">
        <v>100</v>
      </c>
      <c r="F3896" t="s">
        <v>1</v>
      </c>
      <c r="G3896" s="6">
        <v>45894</v>
      </c>
      <c r="H3896">
        <v>41</v>
      </c>
      <c r="I3896">
        <f>ROUND(CompilDonnées[[#This Row],[CultureDuration_days]]/7,0)</f>
        <v>6</v>
      </c>
      <c r="J3896">
        <v>3876</v>
      </c>
      <c r="K3896" t="str">
        <f>_xlfn.CONCAT(WEEKNUM(CompilDonnées[[#This Row],[PlantationDate]]), " ", YEAR(CompilDonnées[[#This Row],[PlantationDate]]))</f>
        <v>29 2025</v>
      </c>
      <c r="L3896" t="str">
        <f>CONCATENATE(MONTH(CompilDonnées[[#This Row],[PlantationDate]])," ", YEAR(CompilDonnées[[#This Row],[PlantationDate]]))</f>
        <v>7 2025</v>
      </c>
      <c r="M3896" t="str">
        <f>CONCATENATE(MONTH(CompilDonnées[[#This Row],[HarvestingDate]])," ", YEAR(CompilDonnées[[#This Row],[HarvestingDate]]))</f>
        <v>8 2025</v>
      </c>
      <c r="N3896">
        <f>_xlfn.NUMBERVALUE(CompilDonnées[[#This Row],[FarmID]]&amp;CompilDonnées[[#This Row],[ModuleNumber]]&amp;CompilDonnées[[#This Row],[PlantationDate]])</f>
        <v>110545853</v>
      </c>
      <c r="O3896" t="str">
        <f>CompilDonnées[[#This Row],[FarmID]]&amp;CompilDonnées[[#This Row],[ModuleNumber]]</f>
        <v>1105</v>
      </c>
      <c r="P3896" t="str">
        <f>CompilDonnées[[#This Row],[Ref_Module]]&amp;CompilDonnées[[#This Row],[HarvestingDate]]</f>
        <v>110545894</v>
      </c>
    </row>
    <row r="3897" spans="1:16">
      <c r="A3897" s="5">
        <v>45853</v>
      </c>
      <c r="B3897">
        <v>123</v>
      </c>
      <c r="C3897" t="s">
        <v>13</v>
      </c>
      <c r="D3897">
        <v>5</v>
      </c>
      <c r="E3897">
        <v>100</v>
      </c>
      <c r="F3897" t="s">
        <v>1</v>
      </c>
      <c r="G3897" s="6">
        <v>45891</v>
      </c>
      <c r="H3897">
        <v>38</v>
      </c>
      <c r="I3897">
        <f>ROUND(CompilDonnées[[#This Row],[CultureDuration_days]]/7,0)</f>
        <v>5</v>
      </c>
      <c r="J3897">
        <v>3849</v>
      </c>
      <c r="K3897" t="str">
        <f>_xlfn.CONCAT(WEEKNUM(CompilDonnées[[#This Row],[PlantationDate]]), " ", YEAR(CompilDonnées[[#This Row],[PlantationDate]]))</f>
        <v>29 2025</v>
      </c>
      <c r="L3897" t="str">
        <f>CONCATENATE(MONTH(CompilDonnées[[#This Row],[PlantationDate]])," ", YEAR(CompilDonnées[[#This Row],[PlantationDate]]))</f>
        <v>7 2025</v>
      </c>
      <c r="M3897" t="str">
        <f>CONCATENATE(MONTH(CompilDonnées[[#This Row],[HarvestingDate]])," ", YEAR(CompilDonnées[[#This Row],[HarvestingDate]]))</f>
        <v>8 2025</v>
      </c>
      <c r="N3897">
        <f>_xlfn.NUMBERVALUE(CompilDonnées[[#This Row],[FarmID]]&amp;CompilDonnées[[#This Row],[ModuleNumber]]&amp;CompilDonnées[[#This Row],[PlantationDate]])</f>
        <v>123545853</v>
      </c>
      <c r="O3897" t="str">
        <f>CompilDonnées[[#This Row],[FarmID]]&amp;CompilDonnées[[#This Row],[ModuleNumber]]</f>
        <v>1235</v>
      </c>
      <c r="P3897" t="str">
        <f>CompilDonnées[[#This Row],[Ref_Module]]&amp;CompilDonnées[[#This Row],[HarvestingDate]]</f>
        <v>123545891</v>
      </c>
    </row>
    <row r="3898" spans="1:16">
      <c r="A3898" s="5">
        <v>45853</v>
      </c>
      <c r="B3898">
        <v>133</v>
      </c>
      <c r="C3898" t="s">
        <v>99</v>
      </c>
      <c r="D3898">
        <v>5</v>
      </c>
      <c r="E3898">
        <v>100</v>
      </c>
      <c r="F3898" t="s">
        <v>1</v>
      </c>
      <c r="G3898" s="6">
        <v>45894</v>
      </c>
      <c r="H3898">
        <v>41</v>
      </c>
      <c r="I3898">
        <f>ROUND(CompilDonnées[[#This Row],[CultureDuration_days]]/7,0)</f>
        <v>6</v>
      </c>
      <c r="J3898">
        <v>3343</v>
      </c>
      <c r="K3898" t="str">
        <f>_xlfn.CONCAT(WEEKNUM(CompilDonnées[[#This Row],[PlantationDate]]), " ", YEAR(CompilDonnées[[#This Row],[PlantationDate]]))</f>
        <v>29 2025</v>
      </c>
      <c r="L3898" t="str">
        <f>CONCATENATE(MONTH(CompilDonnées[[#This Row],[PlantationDate]])," ", YEAR(CompilDonnées[[#This Row],[PlantationDate]]))</f>
        <v>7 2025</v>
      </c>
      <c r="M3898" t="str">
        <f>CONCATENATE(MONTH(CompilDonnées[[#This Row],[HarvestingDate]])," ", YEAR(CompilDonnées[[#This Row],[HarvestingDate]]))</f>
        <v>8 2025</v>
      </c>
      <c r="N3898">
        <f>_xlfn.NUMBERVALUE(CompilDonnées[[#This Row],[FarmID]]&amp;CompilDonnées[[#This Row],[ModuleNumber]]&amp;CompilDonnées[[#This Row],[PlantationDate]])</f>
        <v>133545853</v>
      </c>
      <c r="O3898" t="str">
        <f>CompilDonnées[[#This Row],[FarmID]]&amp;CompilDonnées[[#This Row],[ModuleNumber]]</f>
        <v>1335</v>
      </c>
      <c r="P3898" t="str">
        <f>CompilDonnées[[#This Row],[Ref_Module]]&amp;CompilDonnées[[#This Row],[HarvestingDate]]</f>
        <v>133545894</v>
      </c>
    </row>
    <row r="3899" spans="1:16">
      <c r="A3899" s="5">
        <v>45853</v>
      </c>
      <c r="B3899">
        <v>139</v>
      </c>
      <c r="C3899" t="s">
        <v>103</v>
      </c>
      <c r="D3899">
        <v>6</v>
      </c>
      <c r="E3899">
        <v>100</v>
      </c>
      <c r="F3899" t="s">
        <v>1</v>
      </c>
      <c r="G3899" s="6">
        <v>45904</v>
      </c>
      <c r="H3899">
        <v>51</v>
      </c>
      <c r="I3899">
        <f>ROUND(CompilDonnées[[#This Row],[CultureDuration_days]]/7,0)</f>
        <v>7</v>
      </c>
      <c r="J3899">
        <v>4950</v>
      </c>
      <c r="K3899" t="str">
        <f>_xlfn.CONCAT(WEEKNUM(CompilDonnées[[#This Row],[PlantationDate]]), " ", YEAR(CompilDonnées[[#This Row],[PlantationDate]]))</f>
        <v>29 2025</v>
      </c>
      <c r="L3899" t="str">
        <f>CONCATENATE(MONTH(CompilDonnées[[#This Row],[PlantationDate]])," ", YEAR(CompilDonnées[[#This Row],[PlantationDate]]))</f>
        <v>7 2025</v>
      </c>
      <c r="M3899" t="str">
        <f>CONCATENATE(MONTH(CompilDonnées[[#This Row],[HarvestingDate]])," ", YEAR(CompilDonnées[[#This Row],[HarvestingDate]]))</f>
        <v>9 2025</v>
      </c>
      <c r="N3899">
        <f>_xlfn.NUMBERVALUE(CompilDonnées[[#This Row],[FarmID]]&amp;CompilDonnées[[#This Row],[ModuleNumber]]&amp;CompilDonnées[[#This Row],[PlantationDate]])</f>
        <v>139645853</v>
      </c>
      <c r="O3899" t="str">
        <f>CompilDonnées[[#This Row],[FarmID]]&amp;CompilDonnées[[#This Row],[ModuleNumber]]</f>
        <v>1396</v>
      </c>
      <c r="P3899" t="str">
        <f>CompilDonnées[[#This Row],[Ref_Module]]&amp;CompilDonnées[[#This Row],[HarvestingDate]]</f>
        <v>139645904</v>
      </c>
    </row>
    <row r="3900" spans="1:16">
      <c r="A3900" s="5">
        <v>45853</v>
      </c>
      <c r="B3900">
        <v>116</v>
      </c>
      <c r="C3900" t="s">
        <v>76</v>
      </c>
      <c r="D3900">
        <v>6</v>
      </c>
      <c r="E3900">
        <v>100</v>
      </c>
      <c r="F3900" t="s">
        <v>1</v>
      </c>
      <c r="G3900" s="6">
        <v>45894</v>
      </c>
      <c r="H3900">
        <v>41</v>
      </c>
      <c r="I3900">
        <f>ROUND(CompilDonnées[[#This Row],[CultureDuration_days]]/7,0)</f>
        <v>6</v>
      </c>
      <c r="J3900">
        <v>1877</v>
      </c>
      <c r="K3900" t="str">
        <f>_xlfn.CONCAT(WEEKNUM(CompilDonnées[[#This Row],[PlantationDate]]), " ", YEAR(CompilDonnées[[#This Row],[PlantationDate]]))</f>
        <v>29 2025</v>
      </c>
      <c r="L3900" t="str">
        <f>CONCATENATE(MONTH(CompilDonnées[[#This Row],[PlantationDate]])," ", YEAR(CompilDonnées[[#This Row],[PlantationDate]]))</f>
        <v>7 2025</v>
      </c>
      <c r="M3900" t="str">
        <f>CONCATENATE(MONTH(CompilDonnées[[#This Row],[HarvestingDate]])," ", YEAR(CompilDonnées[[#This Row],[HarvestingDate]]))</f>
        <v>8 2025</v>
      </c>
      <c r="N3900">
        <f>_xlfn.NUMBERVALUE(CompilDonnées[[#This Row],[FarmID]]&amp;CompilDonnées[[#This Row],[ModuleNumber]]&amp;CompilDonnées[[#This Row],[PlantationDate]])</f>
        <v>116645853</v>
      </c>
      <c r="O3900" t="str">
        <f>CompilDonnées[[#This Row],[FarmID]]&amp;CompilDonnées[[#This Row],[ModuleNumber]]</f>
        <v>1166</v>
      </c>
      <c r="P3900" t="str">
        <f>CompilDonnées[[#This Row],[Ref_Module]]&amp;CompilDonnées[[#This Row],[HarvestingDate]]</f>
        <v>116645894</v>
      </c>
    </row>
    <row r="3901" spans="1:16">
      <c r="A3901" s="5">
        <v>45853</v>
      </c>
      <c r="B3901">
        <v>132</v>
      </c>
      <c r="C3901" t="s">
        <v>120</v>
      </c>
      <c r="D3901">
        <v>6</v>
      </c>
      <c r="E3901">
        <v>100</v>
      </c>
      <c r="F3901" t="s">
        <v>1</v>
      </c>
      <c r="G3901" s="6">
        <v>45894</v>
      </c>
      <c r="H3901">
        <v>41</v>
      </c>
      <c r="I3901">
        <f>ROUND(CompilDonnées[[#This Row],[CultureDuration_days]]/7,0)</f>
        <v>6</v>
      </c>
      <c r="J3901">
        <v>3461</v>
      </c>
      <c r="K3901" t="str">
        <f>_xlfn.CONCAT(WEEKNUM(CompilDonnées[[#This Row],[PlantationDate]]), " ", YEAR(CompilDonnées[[#This Row],[PlantationDate]]))</f>
        <v>29 2025</v>
      </c>
      <c r="L3901" t="str">
        <f>CONCATENATE(MONTH(CompilDonnées[[#This Row],[PlantationDate]])," ", YEAR(CompilDonnées[[#This Row],[PlantationDate]]))</f>
        <v>7 2025</v>
      </c>
      <c r="M3901" t="str">
        <f>CONCATENATE(MONTH(CompilDonnées[[#This Row],[HarvestingDate]])," ", YEAR(CompilDonnées[[#This Row],[HarvestingDate]]))</f>
        <v>8 2025</v>
      </c>
      <c r="N3901">
        <f>_xlfn.NUMBERVALUE(CompilDonnées[[#This Row],[FarmID]]&amp;CompilDonnées[[#This Row],[ModuleNumber]]&amp;CompilDonnées[[#This Row],[PlantationDate]])</f>
        <v>132645853</v>
      </c>
      <c r="O3901" t="str">
        <f>CompilDonnées[[#This Row],[FarmID]]&amp;CompilDonnées[[#This Row],[ModuleNumber]]</f>
        <v>1326</v>
      </c>
      <c r="P3901" t="str">
        <f>CompilDonnées[[#This Row],[Ref_Module]]&amp;CompilDonnées[[#This Row],[HarvestingDate]]</f>
        <v>132645894</v>
      </c>
    </row>
    <row r="3902" spans="1:16">
      <c r="A3902" s="5">
        <v>45853</v>
      </c>
      <c r="B3902">
        <v>117</v>
      </c>
      <c r="C3902" t="s">
        <v>11</v>
      </c>
      <c r="D3902">
        <v>6</v>
      </c>
      <c r="E3902">
        <v>100</v>
      </c>
      <c r="F3902" t="s">
        <v>1</v>
      </c>
      <c r="G3902" s="6">
        <v>45891</v>
      </c>
      <c r="H3902">
        <v>38</v>
      </c>
      <c r="I3902">
        <f>ROUND(CompilDonnées[[#This Row],[CultureDuration_days]]/7,0)</f>
        <v>5</v>
      </c>
      <c r="J3902">
        <v>2716</v>
      </c>
      <c r="K3902" t="str">
        <f>_xlfn.CONCAT(WEEKNUM(CompilDonnées[[#This Row],[PlantationDate]]), " ", YEAR(CompilDonnées[[#This Row],[PlantationDate]]))</f>
        <v>29 2025</v>
      </c>
      <c r="L3902" t="str">
        <f>CONCATENATE(MONTH(CompilDonnées[[#This Row],[PlantationDate]])," ", YEAR(CompilDonnées[[#This Row],[PlantationDate]]))</f>
        <v>7 2025</v>
      </c>
      <c r="M3902" t="str">
        <f>CONCATENATE(MONTH(CompilDonnées[[#This Row],[HarvestingDate]])," ", YEAR(CompilDonnées[[#This Row],[HarvestingDate]]))</f>
        <v>8 2025</v>
      </c>
      <c r="N3902">
        <f>_xlfn.NUMBERVALUE(CompilDonnées[[#This Row],[FarmID]]&amp;CompilDonnées[[#This Row],[ModuleNumber]]&amp;CompilDonnées[[#This Row],[PlantationDate]])</f>
        <v>117645853</v>
      </c>
      <c r="O3902" t="str">
        <f>CompilDonnées[[#This Row],[FarmID]]&amp;CompilDonnées[[#This Row],[ModuleNumber]]</f>
        <v>1176</v>
      </c>
      <c r="P3902" t="str">
        <f>CompilDonnées[[#This Row],[Ref_Module]]&amp;CompilDonnées[[#This Row],[HarvestingDate]]</f>
        <v>117645891</v>
      </c>
    </row>
    <row r="3903" spans="1:16">
      <c r="A3903" s="5">
        <v>45853</v>
      </c>
      <c r="B3903">
        <v>124</v>
      </c>
      <c r="C3903" t="s">
        <v>115</v>
      </c>
      <c r="D3903">
        <v>6</v>
      </c>
      <c r="E3903">
        <v>100</v>
      </c>
      <c r="F3903" t="s">
        <v>1</v>
      </c>
      <c r="G3903" s="6">
        <v>45894</v>
      </c>
      <c r="H3903">
        <v>41</v>
      </c>
      <c r="I3903">
        <f>ROUND(CompilDonnées[[#This Row],[CultureDuration_days]]/7,0)</f>
        <v>6</v>
      </c>
      <c r="J3903">
        <v>3705</v>
      </c>
      <c r="K3903" t="str">
        <f>_xlfn.CONCAT(WEEKNUM(CompilDonnées[[#This Row],[PlantationDate]]), " ", YEAR(CompilDonnées[[#This Row],[PlantationDate]]))</f>
        <v>29 2025</v>
      </c>
      <c r="L3903" t="str">
        <f>CONCATENATE(MONTH(CompilDonnées[[#This Row],[PlantationDate]])," ", YEAR(CompilDonnées[[#This Row],[PlantationDate]]))</f>
        <v>7 2025</v>
      </c>
      <c r="M3903" t="str">
        <f>CONCATENATE(MONTH(CompilDonnées[[#This Row],[HarvestingDate]])," ", YEAR(CompilDonnées[[#This Row],[HarvestingDate]]))</f>
        <v>8 2025</v>
      </c>
      <c r="N3903">
        <f>_xlfn.NUMBERVALUE(CompilDonnées[[#This Row],[FarmID]]&amp;CompilDonnées[[#This Row],[ModuleNumber]]&amp;CompilDonnées[[#This Row],[PlantationDate]])</f>
        <v>124645853</v>
      </c>
      <c r="O3903" t="str">
        <f>CompilDonnées[[#This Row],[FarmID]]&amp;CompilDonnées[[#This Row],[ModuleNumber]]</f>
        <v>1246</v>
      </c>
      <c r="P3903" t="str">
        <f>CompilDonnées[[#This Row],[Ref_Module]]&amp;CompilDonnées[[#This Row],[HarvestingDate]]</f>
        <v>124645894</v>
      </c>
    </row>
    <row r="3904" spans="1:16">
      <c r="A3904" s="5">
        <v>45853</v>
      </c>
      <c r="B3904">
        <v>146</v>
      </c>
      <c r="C3904" t="s">
        <v>3</v>
      </c>
      <c r="D3904">
        <v>1</v>
      </c>
      <c r="E3904">
        <v>80</v>
      </c>
      <c r="F3904" t="s">
        <v>1</v>
      </c>
      <c r="G3904" s="6">
        <v>45889</v>
      </c>
      <c r="H3904">
        <v>36</v>
      </c>
      <c r="I3904">
        <f>ROUND(CompilDonnées[[#This Row],[CultureDuration_days]]/7,0)</f>
        <v>5</v>
      </c>
      <c r="J3904">
        <v>2264</v>
      </c>
      <c r="K3904" t="str">
        <f>_xlfn.CONCAT(WEEKNUM(CompilDonnées[[#This Row],[PlantationDate]]), " ", YEAR(CompilDonnées[[#This Row],[PlantationDate]]))</f>
        <v>29 2025</v>
      </c>
      <c r="L3904" t="str">
        <f>CONCATENATE(MONTH(CompilDonnées[[#This Row],[PlantationDate]])," ", YEAR(CompilDonnées[[#This Row],[PlantationDate]]))</f>
        <v>7 2025</v>
      </c>
      <c r="M3904" t="str">
        <f>CONCATENATE(MONTH(CompilDonnées[[#This Row],[HarvestingDate]])," ", YEAR(CompilDonnées[[#This Row],[HarvestingDate]]))</f>
        <v>8 2025</v>
      </c>
      <c r="N3904">
        <f>_xlfn.NUMBERVALUE(CompilDonnées[[#This Row],[FarmID]]&amp;CompilDonnées[[#This Row],[ModuleNumber]]&amp;CompilDonnées[[#This Row],[PlantationDate]])</f>
        <v>146145853</v>
      </c>
      <c r="O3904" t="str">
        <f>CompilDonnées[[#This Row],[FarmID]]&amp;CompilDonnées[[#This Row],[ModuleNumber]]</f>
        <v>1461</v>
      </c>
      <c r="P3904" t="str">
        <f>CompilDonnées[[#This Row],[Ref_Module]]&amp;CompilDonnées[[#This Row],[HarvestingDate]]</f>
        <v>146145889</v>
      </c>
    </row>
    <row r="3905" spans="1:16">
      <c r="A3905" s="5">
        <v>45853</v>
      </c>
      <c r="B3905">
        <v>146</v>
      </c>
      <c r="C3905" t="s">
        <v>3</v>
      </c>
      <c r="D3905">
        <v>2</v>
      </c>
      <c r="E3905">
        <v>77</v>
      </c>
      <c r="F3905" t="s">
        <v>1</v>
      </c>
      <c r="G3905" s="6">
        <v>45895</v>
      </c>
      <c r="H3905">
        <v>42</v>
      </c>
      <c r="I3905">
        <f>ROUND(CompilDonnées[[#This Row],[CultureDuration_days]]/7,0)</f>
        <v>6</v>
      </c>
      <c r="J3905">
        <v>3360</v>
      </c>
      <c r="K3905" t="str">
        <f>_xlfn.CONCAT(WEEKNUM(CompilDonnées[[#This Row],[PlantationDate]]), " ", YEAR(CompilDonnées[[#This Row],[PlantationDate]]))</f>
        <v>29 2025</v>
      </c>
      <c r="L3905" t="str">
        <f>CONCATENATE(MONTH(CompilDonnées[[#This Row],[PlantationDate]])," ", YEAR(CompilDonnées[[#This Row],[PlantationDate]]))</f>
        <v>7 2025</v>
      </c>
      <c r="M3905" t="str">
        <f>CONCATENATE(MONTH(CompilDonnées[[#This Row],[HarvestingDate]])," ", YEAR(CompilDonnées[[#This Row],[HarvestingDate]]))</f>
        <v>8 2025</v>
      </c>
      <c r="N3905">
        <f>_xlfn.NUMBERVALUE(CompilDonnées[[#This Row],[FarmID]]&amp;CompilDonnées[[#This Row],[ModuleNumber]]&amp;CompilDonnées[[#This Row],[PlantationDate]])</f>
        <v>146245853</v>
      </c>
      <c r="O3905" t="str">
        <f>CompilDonnées[[#This Row],[FarmID]]&amp;CompilDonnées[[#This Row],[ModuleNumber]]</f>
        <v>1462</v>
      </c>
      <c r="P3905" t="str">
        <f>CompilDonnées[[#This Row],[Ref_Module]]&amp;CompilDonnées[[#This Row],[HarvestingDate]]</f>
        <v>146245895</v>
      </c>
    </row>
    <row r="3906" spans="1:16">
      <c r="A3906" s="5">
        <v>45853</v>
      </c>
      <c r="B3906">
        <v>130</v>
      </c>
      <c r="C3906" t="s">
        <v>3</v>
      </c>
      <c r="D3906">
        <v>4</v>
      </c>
      <c r="E3906">
        <v>60</v>
      </c>
      <c r="F3906" t="s">
        <v>105</v>
      </c>
      <c r="G3906" s="6">
        <v>45894</v>
      </c>
      <c r="H3906">
        <v>41</v>
      </c>
      <c r="I3906">
        <f>ROUND(CompilDonnées[[#This Row],[CultureDuration_days]]/7,0)</f>
        <v>6</v>
      </c>
      <c r="J3906">
        <v>465</v>
      </c>
      <c r="K3906" t="str">
        <f>_xlfn.CONCAT(WEEKNUM(CompilDonnées[[#This Row],[PlantationDate]]), " ", YEAR(CompilDonnées[[#This Row],[PlantationDate]]))</f>
        <v>29 2025</v>
      </c>
      <c r="L3906" t="str">
        <f>CONCATENATE(MONTH(CompilDonnées[[#This Row],[PlantationDate]])," ", YEAR(CompilDonnées[[#This Row],[PlantationDate]]))</f>
        <v>7 2025</v>
      </c>
      <c r="M3906" t="str">
        <f>CONCATENATE(MONTH(CompilDonnées[[#This Row],[HarvestingDate]])," ", YEAR(CompilDonnées[[#This Row],[HarvestingDate]]))</f>
        <v>8 2025</v>
      </c>
      <c r="N3906">
        <f>_xlfn.NUMBERVALUE(CompilDonnées[[#This Row],[FarmID]]&amp;CompilDonnées[[#This Row],[ModuleNumber]]&amp;CompilDonnées[[#This Row],[PlantationDate]])</f>
        <v>130445853</v>
      </c>
      <c r="O3906" t="str">
        <f>CompilDonnées[[#This Row],[FarmID]]&amp;CompilDonnées[[#This Row],[ModuleNumber]]</f>
        <v>1304</v>
      </c>
      <c r="P3906" t="str">
        <f>CompilDonnées[[#This Row],[Ref_Module]]&amp;CompilDonnées[[#This Row],[HarvestingDate]]</f>
        <v>130445894</v>
      </c>
    </row>
    <row r="3907" spans="1:16">
      <c r="A3907" s="5">
        <v>45853</v>
      </c>
      <c r="B3907">
        <v>130</v>
      </c>
      <c r="C3907" t="s">
        <v>3</v>
      </c>
      <c r="D3907">
        <v>5</v>
      </c>
      <c r="E3907">
        <v>60</v>
      </c>
      <c r="F3907" t="s">
        <v>105</v>
      </c>
      <c r="G3907" s="6">
        <v>45894</v>
      </c>
      <c r="H3907">
        <v>41</v>
      </c>
      <c r="I3907">
        <f>ROUND(CompilDonnées[[#This Row],[CultureDuration_days]]/7,0)</f>
        <v>6</v>
      </c>
      <c r="J3907">
        <v>461</v>
      </c>
      <c r="K3907" t="str">
        <f>_xlfn.CONCAT(WEEKNUM(CompilDonnées[[#This Row],[PlantationDate]]), " ", YEAR(CompilDonnées[[#This Row],[PlantationDate]]))</f>
        <v>29 2025</v>
      </c>
      <c r="L3907" t="str">
        <f>CONCATENATE(MONTH(CompilDonnées[[#This Row],[PlantationDate]])," ", YEAR(CompilDonnées[[#This Row],[PlantationDate]]))</f>
        <v>7 2025</v>
      </c>
      <c r="M3907" t="str">
        <f>CONCATENATE(MONTH(CompilDonnées[[#This Row],[HarvestingDate]])," ", YEAR(CompilDonnées[[#This Row],[HarvestingDate]]))</f>
        <v>8 2025</v>
      </c>
      <c r="N3907">
        <f>_xlfn.NUMBERVALUE(CompilDonnées[[#This Row],[FarmID]]&amp;CompilDonnées[[#This Row],[ModuleNumber]]&amp;CompilDonnées[[#This Row],[PlantationDate]])</f>
        <v>130545853</v>
      </c>
      <c r="O3907" t="str">
        <f>CompilDonnées[[#This Row],[FarmID]]&amp;CompilDonnées[[#This Row],[ModuleNumber]]</f>
        <v>1305</v>
      </c>
      <c r="P3907" t="str">
        <f>CompilDonnées[[#This Row],[Ref_Module]]&amp;CompilDonnées[[#This Row],[HarvestingDate]]</f>
        <v>130545894</v>
      </c>
    </row>
    <row r="3908" spans="1:16">
      <c r="A3908" s="5">
        <v>45853</v>
      </c>
      <c r="B3908">
        <v>130</v>
      </c>
      <c r="C3908" t="s">
        <v>3</v>
      </c>
      <c r="D3908">
        <v>6</v>
      </c>
      <c r="E3908">
        <v>60</v>
      </c>
      <c r="F3908" t="s">
        <v>105</v>
      </c>
      <c r="G3908" s="6">
        <v>45903</v>
      </c>
      <c r="H3908">
        <v>50</v>
      </c>
      <c r="I3908">
        <f>ROUND(CompilDonnées[[#This Row],[CultureDuration_days]]/7,0)</f>
        <v>7</v>
      </c>
      <c r="J3908">
        <v>832</v>
      </c>
      <c r="K3908" t="str">
        <f>_xlfn.CONCAT(WEEKNUM(CompilDonnées[[#This Row],[PlantationDate]]), " ", YEAR(CompilDonnées[[#This Row],[PlantationDate]]))</f>
        <v>29 2025</v>
      </c>
      <c r="L3908" t="str">
        <f>CONCATENATE(MONTH(CompilDonnées[[#This Row],[PlantationDate]])," ", YEAR(CompilDonnées[[#This Row],[PlantationDate]]))</f>
        <v>7 2025</v>
      </c>
      <c r="M3908" t="str">
        <f>CONCATENATE(MONTH(CompilDonnées[[#This Row],[HarvestingDate]])," ", YEAR(CompilDonnées[[#This Row],[HarvestingDate]]))</f>
        <v>9 2025</v>
      </c>
      <c r="N3908">
        <f>_xlfn.NUMBERVALUE(CompilDonnées[[#This Row],[FarmID]]&amp;CompilDonnées[[#This Row],[ModuleNumber]]&amp;CompilDonnées[[#This Row],[PlantationDate]])</f>
        <v>130645853</v>
      </c>
      <c r="O3908" t="str">
        <f>CompilDonnées[[#This Row],[FarmID]]&amp;CompilDonnées[[#This Row],[ModuleNumber]]</f>
        <v>1306</v>
      </c>
      <c r="P3908" t="str">
        <f>CompilDonnées[[#This Row],[Ref_Module]]&amp;CompilDonnées[[#This Row],[HarvestingDate]]</f>
        <v>130645903</v>
      </c>
    </row>
    <row r="3909" spans="1:16">
      <c r="A3909" s="5">
        <v>45854</v>
      </c>
      <c r="B3909">
        <v>61</v>
      </c>
      <c r="C3909" t="s">
        <v>95</v>
      </c>
      <c r="D3909">
        <v>4</v>
      </c>
      <c r="E3909">
        <v>100</v>
      </c>
      <c r="F3909" t="s">
        <v>1</v>
      </c>
      <c r="G3909" s="6">
        <v>45896</v>
      </c>
      <c r="H3909">
        <v>42</v>
      </c>
      <c r="I3909">
        <f>ROUND(CompilDonnées[[#This Row],[CultureDuration_days]]/7,0)</f>
        <v>6</v>
      </c>
      <c r="J3909">
        <v>2092</v>
      </c>
      <c r="K3909" t="str">
        <f>_xlfn.CONCAT(WEEKNUM(CompilDonnées[[#This Row],[PlantationDate]]), " ", YEAR(CompilDonnées[[#This Row],[PlantationDate]]))</f>
        <v>29 2025</v>
      </c>
      <c r="L3909" t="str">
        <f>CONCATENATE(MONTH(CompilDonnées[[#This Row],[PlantationDate]])," ", YEAR(CompilDonnées[[#This Row],[PlantationDate]]))</f>
        <v>7 2025</v>
      </c>
      <c r="M3909" t="str">
        <f>CONCATENATE(MONTH(CompilDonnées[[#This Row],[HarvestingDate]])," ", YEAR(CompilDonnées[[#This Row],[HarvestingDate]]))</f>
        <v>8 2025</v>
      </c>
      <c r="N3909">
        <f>_xlfn.NUMBERVALUE(CompilDonnées[[#This Row],[FarmID]]&amp;CompilDonnées[[#This Row],[ModuleNumber]]&amp;CompilDonnées[[#This Row],[PlantationDate]])</f>
        <v>61445854</v>
      </c>
      <c r="O3909" t="str">
        <f>CompilDonnées[[#This Row],[FarmID]]&amp;CompilDonnées[[#This Row],[ModuleNumber]]</f>
        <v>614</v>
      </c>
      <c r="P3909" t="str">
        <f>CompilDonnées[[#This Row],[Ref_Module]]&amp;CompilDonnées[[#This Row],[HarvestingDate]]</f>
        <v>61445896</v>
      </c>
    </row>
    <row r="3910" spans="1:16">
      <c r="A3910" s="5">
        <v>45854</v>
      </c>
      <c r="B3910">
        <v>90</v>
      </c>
      <c r="C3910" t="s">
        <v>72</v>
      </c>
      <c r="D3910">
        <v>1</v>
      </c>
      <c r="E3910">
        <v>100</v>
      </c>
      <c r="F3910" t="s">
        <v>1</v>
      </c>
      <c r="G3910" s="6">
        <v>45895</v>
      </c>
      <c r="H3910">
        <v>41</v>
      </c>
      <c r="I3910">
        <f>ROUND(CompilDonnées[[#This Row],[CultureDuration_days]]/7,0)</f>
        <v>6</v>
      </c>
      <c r="J3910">
        <v>2380</v>
      </c>
      <c r="K3910" t="str">
        <f>_xlfn.CONCAT(WEEKNUM(CompilDonnées[[#This Row],[PlantationDate]]), " ", YEAR(CompilDonnées[[#This Row],[PlantationDate]]))</f>
        <v>29 2025</v>
      </c>
      <c r="L3910" t="str">
        <f>CONCATENATE(MONTH(CompilDonnées[[#This Row],[PlantationDate]])," ", YEAR(CompilDonnées[[#This Row],[PlantationDate]]))</f>
        <v>7 2025</v>
      </c>
      <c r="M3910" t="str">
        <f>CONCATENATE(MONTH(CompilDonnées[[#This Row],[HarvestingDate]])," ", YEAR(CompilDonnées[[#This Row],[HarvestingDate]]))</f>
        <v>8 2025</v>
      </c>
      <c r="N3910">
        <f>_xlfn.NUMBERVALUE(CompilDonnées[[#This Row],[FarmID]]&amp;CompilDonnées[[#This Row],[ModuleNumber]]&amp;CompilDonnées[[#This Row],[PlantationDate]])</f>
        <v>90145854</v>
      </c>
      <c r="O3910" t="str">
        <f>CompilDonnées[[#This Row],[FarmID]]&amp;CompilDonnées[[#This Row],[ModuleNumber]]</f>
        <v>901</v>
      </c>
      <c r="P3910" t="str">
        <f>CompilDonnées[[#This Row],[Ref_Module]]&amp;CompilDonnées[[#This Row],[HarvestingDate]]</f>
        <v>90145895</v>
      </c>
    </row>
    <row r="3911" spans="1:16">
      <c r="A3911" s="5">
        <v>45854</v>
      </c>
      <c r="B3911">
        <v>89</v>
      </c>
      <c r="C3911" t="s">
        <v>67</v>
      </c>
      <c r="D3911">
        <v>2</v>
      </c>
      <c r="E3911">
        <v>100</v>
      </c>
      <c r="F3911" t="s">
        <v>1</v>
      </c>
      <c r="G3911" s="6">
        <v>45895</v>
      </c>
      <c r="H3911">
        <v>41</v>
      </c>
      <c r="I3911">
        <f>ROUND(CompilDonnées[[#This Row],[CultureDuration_days]]/7,0)</f>
        <v>6</v>
      </c>
      <c r="J3911">
        <v>3011</v>
      </c>
      <c r="K3911" t="str">
        <f>_xlfn.CONCAT(WEEKNUM(CompilDonnées[[#This Row],[PlantationDate]]), " ", YEAR(CompilDonnées[[#This Row],[PlantationDate]]))</f>
        <v>29 2025</v>
      </c>
      <c r="L3911" t="str">
        <f>CONCATENATE(MONTH(CompilDonnées[[#This Row],[PlantationDate]])," ", YEAR(CompilDonnées[[#This Row],[PlantationDate]]))</f>
        <v>7 2025</v>
      </c>
      <c r="M3911" t="str">
        <f>CONCATENATE(MONTH(CompilDonnées[[#This Row],[HarvestingDate]])," ", YEAR(CompilDonnées[[#This Row],[HarvestingDate]]))</f>
        <v>8 2025</v>
      </c>
      <c r="N3911">
        <f>_xlfn.NUMBERVALUE(CompilDonnées[[#This Row],[FarmID]]&amp;CompilDonnées[[#This Row],[ModuleNumber]]&amp;CompilDonnées[[#This Row],[PlantationDate]])</f>
        <v>89245854</v>
      </c>
      <c r="O3911" t="str">
        <f>CompilDonnées[[#This Row],[FarmID]]&amp;CompilDonnées[[#This Row],[ModuleNumber]]</f>
        <v>892</v>
      </c>
      <c r="P3911" t="str">
        <f>CompilDonnées[[#This Row],[Ref_Module]]&amp;CompilDonnées[[#This Row],[HarvestingDate]]</f>
        <v>89245895</v>
      </c>
    </row>
    <row r="3912" spans="1:16">
      <c r="A3912" s="5">
        <v>45854</v>
      </c>
      <c r="B3912">
        <v>85</v>
      </c>
      <c r="C3912" t="s">
        <v>56</v>
      </c>
      <c r="D3912">
        <v>6</v>
      </c>
      <c r="E3912">
        <v>100</v>
      </c>
      <c r="F3912" t="s">
        <v>1</v>
      </c>
      <c r="G3912" s="6">
        <v>45903</v>
      </c>
      <c r="H3912">
        <v>49</v>
      </c>
      <c r="I3912">
        <f>ROUND(CompilDonnées[[#This Row],[CultureDuration_days]]/7,0)</f>
        <v>7</v>
      </c>
      <c r="J3912">
        <v>3273</v>
      </c>
      <c r="K3912" t="str">
        <f>_xlfn.CONCAT(WEEKNUM(CompilDonnées[[#This Row],[PlantationDate]]), " ", YEAR(CompilDonnées[[#This Row],[PlantationDate]]))</f>
        <v>29 2025</v>
      </c>
      <c r="L3912" t="str">
        <f>CONCATENATE(MONTH(CompilDonnées[[#This Row],[PlantationDate]])," ", YEAR(CompilDonnées[[#This Row],[PlantationDate]]))</f>
        <v>7 2025</v>
      </c>
      <c r="M3912" t="str">
        <f>CONCATENATE(MONTH(CompilDonnées[[#This Row],[HarvestingDate]])," ", YEAR(CompilDonnées[[#This Row],[HarvestingDate]]))</f>
        <v>9 2025</v>
      </c>
      <c r="N3912">
        <f>_xlfn.NUMBERVALUE(CompilDonnées[[#This Row],[FarmID]]&amp;CompilDonnées[[#This Row],[ModuleNumber]]&amp;CompilDonnées[[#This Row],[PlantationDate]])</f>
        <v>85645854</v>
      </c>
      <c r="O3912" t="str">
        <f>CompilDonnées[[#This Row],[FarmID]]&amp;CompilDonnées[[#This Row],[ModuleNumber]]</f>
        <v>856</v>
      </c>
      <c r="P3912" t="str">
        <f>CompilDonnées[[#This Row],[Ref_Module]]&amp;CompilDonnées[[#This Row],[HarvestingDate]]</f>
        <v>85645903</v>
      </c>
    </row>
    <row r="3913" spans="1:16">
      <c r="A3913" s="5">
        <v>45854</v>
      </c>
      <c r="B3913">
        <v>86</v>
      </c>
      <c r="C3913" t="s">
        <v>37</v>
      </c>
      <c r="D3913">
        <v>1</v>
      </c>
      <c r="E3913">
        <v>100</v>
      </c>
      <c r="F3913" t="s">
        <v>1</v>
      </c>
      <c r="G3913" s="6">
        <v>45903</v>
      </c>
      <c r="H3913">
        <v>49</v>
      </c>
      <c r="I3913">
        <f>ROUND(CompilDonnées[[#This Row],[CultureDuration_days]]/7,0)</f>
        <v>7</v>
      </c>
      <c r="J3913">
        <v>2649</v>
      </c>
      <c r="K3913" t="str">
        <f>_xlfn.CONCAT(WEEKNUM(CompilDonnées[[#This Row],[PlantationDate]]), " ", YEAR(CompilDonnées[[#This Row],[PlantationDate]]))</f>
        <v>29 2025</v>
      </c>
      <c r="L3913" t="str">
        <f>CONCATENATE(MONTH(CompilDonnées[[#This Row],[PlantationDate]])," ", YEAR(CompilDonnées[[#This Row],[PlantationDate]]))</f>
        <v>7 2025</v>
      </c>
      <c r="M3913" t="str">
        <f>CONCATENATE(MONTH(CompilDonnées[[#This Row],[HarvestingDate]])," ", YEAR(CompilDonnées[[#This Row],[HarvestingDate]]))</f>
        <v>9 2025</v>
      </c>
      <c r="N3913">
        <f>_xlfn.NUMBERVALUE(CompilDonnées[[#This Row],[FarmID]]&amp;CompilDonnées[[#This Row],[ModuleNumber]]&amp;CompilDonnées[[#This Row],[PlantationDate]])</f>
        <v>86145854</v>
      </c>
      <c r="O3913" t="str">
        <f>CompilDonnées[[#This Row],[FarmID]]&amp;CompilDonnées[[#This Row],[ModuleNumber]]</f>
        <v>861</v>
      </c>
      <c r="P3913" t="str">
        <f>CompilDonnées[[#This Row],[Ref_Module]]&amp;CompilDonnées[[#This Row],[HarvestingDate]]</f>
        <v>86145903</v>
      </c>
    </row>
    <row r="3914" spans="1:16">
      <c r="A3914" s="5">
        <v>45854</v>
      </c>
      <c r="B3914">
        <v>88</v>
      </c>
      <c r="C3914" t="s">
        <v>94</v>
      </c>
      <c r="D3914">
        <v>1</v>
      </c>
      <c r="E3914">
        <v>100</v>
      </c>
      <c r="F3914" t="s">
        <v>1</v>
      </c>
      <c r="G3914" s="6">
        <v>45895</v>
      </c>
      <c r="H3914">
        <v>41</v>
      </c>
      <c r="I3914">
        <f>ROUND(CompilDonnées[[#This Row],[CultureDuration_days]]/7,0)</f>
        <v>6</v>
      </c>
      <c r="J3914">
        <v>3518</v>
      </c>
      <c r="K3914" t="str">
        <f>_xlfn.CONCAT(WEEKNUM(CompilDonnées[[#This Row],[PlantationDate]]), " ", YEAR(CompilDonnées[[#This Row],[PlantationDate]]))</f>
        <v>29 2025</v>
      </c>
      <c r="L3914" t="str">
        <f>CONCATENATE(MONTH(CompilDonnées[[#This Row],[PlantationDate]])," ", YEAR(CompilDonnées[[#This Row],[PlantationDate]]))</f>
        <v>7 2025</v>
      </c>
      <c r="M3914" t="str">
        <f>CONCATENATE(MONTH(CompilDonnées[[#This Row],[HarvestingDate]])," ", YEAR(CompilDonnées[[#This Row],[HarvestingDate]]))</f>
        <v>8 2025</v>
      </c>
      <c r="N3914">
        <f>_xlfn.NUMBERVALUE(CompilDonnées[[#This Row],[FarmID]]&amp;CompilDonnées[[#This Row],[ModuleNumber]]&amp;CompilDonnées[[#This Row],[PlantationDate]])</f>
        <v>88145854</v>
      </c>
      <c r="O3914" t="str">
        <f>CompilDonnées[[#This Row],[FarmID]]&amp;CompilDonnées[[#This Row],[ModuleNumber]]</f>
        <v>881</v>
      </c>
      <c r="P3914" t="str">
        <f>CompilDonnées[[#This Row],[Ref_Module]]&amp;CompilDonnées[[#This Row],[HarvestingDate]]</f>
        <v>88145895</v>
      </c>
    </row>
    <row r="3915" spans="1:16">
      <c r="A3915" s="5">
        <v>45854</v>
      </c>
      <c r="B3915">
        <v>92</v>
      </c>
      <c r="C3915" t="s">
        <v>66</v>
      </c>
      <c r="D3915">
        <v>6</v>
      </c>
      <c r="E3915">
        <v>100</v>
      </c>
      <c r="F3915" t="s">
        <v>1</v>
      </c>
      <c r="G3915" s="6">
        <v>45895</v>
      </c>
      <c r="H3915">
        <v>41</v>
      </c>
      <c r="I3915">
        <f>ROUND(CompilDonnées[[#This Row],[CultureDuration_days]]/7,0)</f>
        <v>6</v>
      </c>
      <c r="J3915">
        <v>3342</v>
      </c>
      <c r="K3915" t="str">
        <f>_xlfn.CONCAT(WEEKNUM(CompilDonnées[[#This Row],[PlantationDate]]), " ", YEAR(CompilDonnées[[#This Row],[PlantationDate]]))</f>
        <v>29 2025</v>
      </c>
      <c r="L3915" t="str">
        <f>CONCATENATE(MONTH(CompilDonnées[[#This Row],[PlantationDate]])," ", YEAR(CompilDonnées[[#This Row],[PlantationDate]]))</f>
        <v>7 2025</v>
      </c>
      <c r="M3915" t="str">
        <f>CONCATENATE(MONTH(CompilDonnées[[#This Row],[HarvestingDate]])," ", YEAR(CompilDonnées[[#This Row],[HarvestingDate]]))</f>
        <v>8 2025</v>
      </c>
      <c r="N3915">
        <f>_xlfn.NUMBERVALUE(CompilDonnées[[#This Row],[FarmID]]&amp;CompilDonnées[[#This Row],[ModuleNumber]]&amp;CompilDonnées[[#This Row],[PlantationDate]])</f>
        <v>92645854</v>
      </c>
      <c r="O3915" t="str">
        <f>CompilDonnées[[#This Row],[FarmID]]&amp;CompilDonnées[[#This Row],[ModuleNumber]]</f>
        <v>926</v>
      </c>
      <c r="P3915" t="str">
        <f>CompilDonnées[[#This Row],[Ref_Module]]&amp;CompilDonnées[[#This Row],[HarvestingDate]]</f>
        <v>92645895</v>
      </c>
    </row>
    <row r="3916" spans="1:16">
      <c r="A3916" s="5">
        <v>45854</v>
      </c>
      <c r="B3916">
        <v>93</v>
      </c>
      <c r="C3916" t="s">
        <v>10</v>
      </c>
      <c r="D3916">
        <v>2</v>
      </c>
      <c r="E3916">
        <v>100</v>
      </c>
      <c r="F3916" t="s">
        <v>1</v>
      </c>
      <c r="G3916" s="6">
        <v>45895</v>
      </c>
      <c r="H3916">
        <v>41</v>
      </c>
      <c r="I3916">
        <f>ROUND(CompilDonnées[[#This Row],[CultureDuration_days]]/7,0)</f>
        <v>6</v>
      </c>
      <c r="J3916">
        <v>2478</v>
      </c>
      <c r="K3916" t="str">
        <f>_xlfn.CONCAT(WEEKNUM(CompilDonnées[[#This Row],[PlantationDate]]), " ", YEAR(CompilDonnées[[#This Row],[PlantationDate]]))</f>
        <v>29 2025</v>
      </c>
      <c r="L3916" t="str">
        <f>CONCATENATE(MONTH(CompilDonnées[[#This Row],[PlantationDate]])," ", YEAR(CompilDonnées[[#This Row],[PlantationDate]]))</f>
        <v>7 2025</v>
      </c>
      <c r="M3916" t="str">
        <f>CONCATENATE(MONTH(CompilDonnées[[#This Row],[HarvestingDate]])," ", YEAR(CompilDonnées[[#This Row],[HarvestingDate]]))</f>
        <v>8 2025</v>
      </c>
      <c r="N3916">
        <f>_xlfn.NUMBERVALUE(CompilDonnées[[#This Row],[FarmID]]&amp;CompilDonnées[[#This Row],[ModuleNumber]]&amp;CompilDonnées[[#This Row],[PlantationDate]])</f>
        <v>93245854</v>
      </c>
      <c r="O3916" t="str">
        <f>CompilDonnées[[#This Row],[FarmID]]&amp;CompilDonnées[[#This Row],[ModuleNumber]]</f>
        <v>932</v>
      </c>
      <c r="P3916" t="str">
        <f>CompilDonnées[[#This Row],[Ref_Module]]&amp;CompilDonnées[[#This Row],[HarvestingDate]]</f>
        <v>93245895</v>
      </c>
    </row>
    <row r="3917" spans="1:16">
      <c r="A3917" s="5">
        <v>45854</v>
      </c>
      <c r="B3917">
        <v>102</v>
      </c>
      <c r="C3917" t="s">
        <v>85</v>
      </c>
      <c r="D3917">
        <v>3</v>
      </c>
      <c r="E3917">
        <v>100</v>
      </c>
      <c r="F3917" t="s">
        <v>1</v>
      </c>
      <c r="G3917" s="6">
        <v>45903</v>
      </c>
      <c r="H3917">
        <v>49</v>
      </c>
      <c r="I3917">
        <f>ROUND(CompilDonnées[[#This Row],[CultureDuration_days]]/7,0)</f>
        <v>7</v>
      </c>
      <c r="J3917">
        <v>1486</v>
      </c>
      <c r="K3917" t="str">
        <f>_xlfn.CONCAT(WEEKNUM(CompilDonnées[[#This Row],[PlantationDate]]), " ", YEAR(CompilDonnées[[#This Row],[PlantationDate]]))</f>
        <v>29 2025</v>
      </c>
      <c r="L3917" t="str">
        <f>CONCATENATE(MONTH(CompilDonnées[[#This Row],[PlantationDate]])," ", YEAR(CompilDonnées[[#This Row],[PlantationDate]]))</f>
        <v>7 2025</v>
      </c>
      <c r="M3917" t="str">
        <f>CONCATENATE(MONTH(CompilDonnées[[#This Row],[HarvestingDate]])," ", YEAR(CompilDonnées[[#This Row],[HarvestingDate]]))</f>
        <v>9 2025</v>
      </c>
      <c r="N3917">
        <f>_xlfn.NUMBERVALUE(CompilDonnées[[#This Row],[FarmID]]&amp;CompilDonnées[[#This Row],[ModuleNumber]]&amp;CompilDonnées[[#This Row],[PlantationDate]])</f>
        <v>102345854</v>
      </c>
      <c r="O3917" t="str">
        <f>CompilDonnées[[#This Row],[FarmID]]&amp;CompilDonnées[[#This Row],[ModuleNumber]]</f>
        <v>1023</v>
      </c>
      <c r="P3917" t="str">
        <f>CompilDonnées[[#This Row],[Ref_Module]]&amp;CompilDonnées[[#This Row],[HarvestingDate]]</f>
        <v>102345903</v>
      </c>
    </row>
    <row r="3918" spans="1:16">
      <c r="A3918" s="5">
        <v>45854</v>
      </c>
      <c r="B3918">
        <v>103</v>
      </c>
      <c r="C3918" t="s">
        <v>86</v>
      </c>
      <c r="D3918">
        <v>2</v>
      </c>
      <c r="E3918">
        <v>100</v>
      </c>
      <c r="F3918" t="s">
        <v>1</v>
      </c>
      <c r="G3918" s="6">
        <v>45903</v>
      </c>
      <c r="H3918">
        <v>49</v>
      </c>
      <c r="I3918">
        <f>ROUND(CompilDonnées[[#This Row],[CultureDuration_days]]/7,0)</f>
        <v>7</v>
      </c>
      <c r="J3918">
        <v>1694</v>
      </c>
      <c r="K3918" t="str">
        <f>_xlfn.CONCAT(WEEKNUM(CompilDonnées[[#This Row],[PlantationDate]]), " ", YEAR(CompilDonnées[[#This Row],[PlantationDate]]))</f>
        <v>29 2025</v>
      </c>
      <c r="L3918" t="str">
        <f>CONCATENATE(MONTH(CompilDonnées[[#This Row],[PlantationDate]])," ", YEAR(CompilDonnées[[#This Row],[PlantationDate]]))</f>
        <v>7 2025</v>
      </c>
      <c r="M3918" t="str">
        <f>CONCATENATE(MONTH(CompilDonnées[[#This Row],[HarvestingDate]])," ", YEAR(CompilDonnées[[#This Row],[HarvestingDate]]))</f>
        <v>9 2025</v>
      </c>
      <c r="N3918">
        <f>_xlfn.NUMBERVALUE(CompilDonnées[[#This Row],[FarmID]]&amp;CompilDonnées[[#This Row],[ModuleNumber]]&amp;CompilDonnées[[#This Row],[PlantationDate]])</f>
        <v>103245854</v>
      </c>
      <c r="O3918" t="str">
        <f>CompilDonnées[[#This Row],[FarmID]]&amp;CompilDonnées[[#This Row],[ModuleNumber]]</f>
        <v>1032</v>
      </c>
      <c r="P3918" t="str">
        <f>CompilDonnées[[#This Row],[Ref_Module]]&amp;CompilDonnées[[#This Row],[HarvestingDate]]</f>
        <v>103245903</v>
      </c>
    </row>
    <row r="3919" spans="1:16">
      <c r="A3919" s="5">
        <v>45854</v>
      </c>
      <c r="B3919">
        <v>104</v>
      </c>
      <c r="C3919" t="s">
        <v>91</v>
      </c>
      <c r="D3919">
        <v>3</v>
      </c>
      <c r="E3919">
        <v>100</v>
      </c>
      <c r="F3919" t="s">
        <v>1</v>
      </c>
      <c r="G3919" s="6">
        <v>45904</v>
      </c>
      <c r="H3919">
        <v>50</v>
      </c>
      <c r="I3919">
        <f>ROUND(CompilDonnées[[#This Row],[CultureDuration_days]]/7,0)</f>
        <v>7</v>
      </c>
      <c r="J3919">
        <v>2370</v>
      </c>
      <c r="K3919" t="str">
        <f>_xlfn.CONCAT(WEEKNUM(CompilDonnées[[#This Row],[PlantationDate]]), " ", YEAR(CompilDonnées[[#This Row],[PlantationDate]]))</f>
        <v>29 2025</v>
      </c>
      <c r="L3919" t="str">
        <f>CONCATENATE(MONTH(CompilDonnées[[#This Row],[PlantationDate]])," ", YEAR(CompilDonnées[[#This Row],[PlantationDate]]))</f>
        <v>7 2025</v>
      </c>
      <c r="M3919" t="str">
        <f>CONCATENATE(MONTH(CompilDonnées[[#This Row],[HarvestingDate]])," ", YEAR(CompilDonnées[[#This Row],[HarvestingDate]]))</f>
        <v>9 2025</v>
      </c>
      <c r="N3919">
        <f>_xlfn.NUMBERVALUE(CompilDonnées[[#This Row],[FarmID]]&amp;CompilDonnées[[#This Row],[ModuleNumber]]&amp;CompilDonnées[[#This Row],[PlantationDate]])</f>
        <v>104345854</v>
      </c>
      <c r="O3919" t="str">
        <f>CompilDonnées[[#This Row],[FarmID]]&amp;CompilDonnées[[#This Row],[ModuleNumber]]</f>
        <v>1043</v>
      </c>
      <c r="P3919" t="str">
        <f>CompilDonnées[[#This Row],[Ref_Module]]&amp;CompilDonnées[[#This Row],[HarvestingDate]]</f>
        <v>104345904</v>
      </c>
    </row>
    <row r="3920" spans="1:16">
      <c r="A3920" s="5">
        <v>45854</v>
      </c>
      <c r="B3920">
        <v>98</v>
      </c>
      <c r="C3920" t="s">
        <v>79</v>
      </c>
      <c r="D3920">
        <v>6</v>
      </c>
      <c r="E3920">
        <v>100</v>
      </c>
      <c r="F3920" t="s">
        <v>1</v>
      </c>
      <c r="G3920" s="6">
        <v>45903</v>
      </c>
      <c r="H3920">
        <v>49</v>
      </c>
      <c r="I3920">
        <f>ROUND(CompilDonnées[[#This Row],[CultureDuration_days]]/7,0)</f>
        <v>7</v>
      </c>
      <c r="J3920">
        <v>3110</v>
      </c>
      <c r="K3920" t="str">
        <f>_xlfn.CONCAT(WEEKNUM(CompilDonnées[[#This Row],[PlantationDate]]), " ", YEAR(CompilDonnées[[#This Row],[PlantationDate]]))</f>
        <v>29 2025</v>
      </c>
      <c r="L3920" t="str">
        <f>CONCATENATE(MONTH(CompilDonnées[[#This Row],[PlantationDate]])," ", YEAR(CompilDonnées[[#This Row],[PlantationDate]]))</f>
        <v>7 2025</v>
      </c>
      <c r="M3920" t="str">
        <f>CONCATENATE(MONTH(CompilDonnées[[#This Row],[HarvestingDate]])," ", YEAR(CompilDonnées[[#This Row],[HarvestingDate]]))</f>
        <v>9 2025</v>
      </c>
      <c r="N3920">
        <f>_xlfn.NUMBERVALUE(CompilDonnées[[#This Row],[FarmID]]&amp;CompilDonnées[[#This Row],[ModuleNumber]]&amp;CompilDonnées[[#This Row],[PlantationDate]])</f>
        <v>98645854</v>
      </c>
      <c r="O3920" t="str">
        <f>CompilDonnées[[#This Row],[FarmID]]&amp;CompilDonnées[[#This Row],[ModuleNumber]]</f>
        <v>986</v>
      </c>
      <c r="P3920" t="str">
        <f>CompilDonnées[[#This Row],[Ref_Module]]&amp;CompilDonnées[[#This Row],[HarvestingDate]]</f>
        <v>98645903</v>
      </c>
    </row>
    <row r="3921" spans="1:16">
      <c r="A3921" s="5">
        <v>45854</v>
      </c>
      <c r="B3921">
        <v>99</v>
      </c>
      <c r="C3921" t="s">
        <v>117</v>
      </c>
      <c r="D3921">
        <v>6</v>
      </c>
      <c r="E3921">
        <v>100</v>
      </c>
      <c r="F3921" t="s">
        <v>1</v>
      </c>
      <c r="G3921" s="6">
        <v>45894</v>
      </c>
      <c r="H3921">
        <v>40</v>
      </c>
      <c r="I3921">
        <f>ROUND(CompilDonnées[[#This Row],[CultureDuration_days]]/7,0)</f>
        <v>6</v>
      </c>
      <c r="J3921">
        <v>3245</v>
      </c>
      <c r="K3921" t="str">
        <f>_xlfn.CONCAT(WEEKNUM(CompilDonnées[[#This Row],[PlantationDate]]), " ", YEAR(CompilDonnées[[#This Row],[PlantationDate]]))</f>
        <v>29 2025</v>
      </c>
      <c r="L3921" t="str">
        <f>CONCATENATE(MONTH(CompilDonnées[[#This Row],[PlantationDate]])," ", YEAR(CompilDonnées[[#This Row],[PlantationDate]]))</f>
        <v>7 2025</v>
      </c>
      <c r="M3921" t="str">
        <f>CONCATENATE(MONTH(CompilDonnées[[#This Row],[HarvestingDate]])," ", YEAR(CompilDonnées[[#This Row],[HarvestingDate]]))</f>
        <v>8 2025</v>
      </c>
      <c r="N3921">
        <f>_xlfn.NUMBERVALUE(CompilDonnées[[#This Row],[FarmID]]&amp;CompilDonnées[[#This Row],[ModuleNumber]]&amp;CompilDonnées[[#This Row],[PlantationDate]])</f>
        <v>99645854</v>
      </c>
      <c r="O3921" t="str">
        <f>CompilDonnées[[#This Row],[FarmID]]&amp;CompilDonnées[[#This Row],[ModuleNumber]]</f>
        <v>996</v>
      </c>
      <c r="P3921" t="str">
        <f>CompilDonnées[[#This Row],[Ref_Module]]&amp;CompilDonnées[[#This Row],[HarvestingDate]]</f>
        <v>99645894</v>
      </c>
    </row>
    <row r="3922" spans="1:16">
      <c r="A3922" s="5">
        <v>45854</v>
      </c>
      <c r="B3922">
        <v>106</v>
      </c>
      <c r="C3922" t="s">
        <v>22</v>
      </c>
      <c r="D3922">
        <v>2</v>
      </c>
      <c r="E3922">
        <v>100</v>
      </c>
      <c r="F3922" t="s">
        <v>1</v>
      </c>
      <c r="G3922" s="6">
        <v>45903</v>
      </c>
      <c r="H3922">
        <v>49</v>
      </c>
      <c r="I3922">
        <f>ROUND(CompilDonnées[[#This Row],[CultureDuration_days]]/7,0)</f>
        <v>7</v>
      </c>
      <c r="J3922">
        <v>2722</v>
      </c>
      <c r="K3922" t="str">
        <f>_xlfn.CONCAT(WEEKNUM(CompilDonnées[[#This Row],[PlantationDate]]), " ", YEAR(CompilDonnées[[#This Row],[PlantationDate]]))</f>
        <v>29 2025</v>
      </c>
      <c r="L3922" t="str">
        <f>CONCATENATE(MONTH(CompilDonnées[[#This Row],[PlantationDate]])," ", YEAR(CompilDonnées[[#This Row],[PlantationDate]]))</f>
        <v>7 2025</v>
      </c>
      <c r="M3922" t="str">
        <f>CONCATENATE(MONTH(CompilDonnées[[#This Row],[HarvestingDate]])," ", YEAR(CompilDonnées[[#This Row],[HarvestingDate]]))</f>
        <v>9 2025</v>
      </c>
      <c r="N3922">
        <f>_xlfn.NUMBERVALUE(CompilDonnées[[#This Row],[FarmID]]&amp;CompilDonnées[[#This Row],[ModuleNumber]]&amp;CompilDonnées[[#This Row],[PlantationDate]])</f>
        <v>106245854</v>
      </c>
      <c r="O3922" t="str">
        <f>CompilDonnées[[#This Row],[FarmID]]&amp;CompilDonnées[[#This Row],[ModuleNumber]]</f>
        <v>1062</v>
      </c>
      <c r="P3922" t="str">
        <f>CompilDonnées[[#This Row],[Ref_Module]]&amp;CompilDonnées[[#This Row],[HarvestingDate]]</f>
        <v>106245903</v>
      </c>
    </row>
    <row r="3923" spans="1:16">
      <c r="A3923" s="5">
        <v>45854</v>
      </c>
      <c r="B3923">
        <v>109</v>
      </c>
      <c r="C3923" t="s">
        <v>87</v>
      </c>
      <c r="D3923">
        <v>5</v>
      </c>
      <c r="E3923">
        <v>100</v>
      </c>
      <c r="F3923" t="s">
        <v>1</v>
      </c>
      <c r="G3923" s="6">
        <v>45894</v>
      </c>
      <c r="H3923">
        <v>40</v>
      </c>
      <c r="I3923">
        <f>ROUND(CompilDonnées[[#This Row],[CultureDuration_days]]/7,0)</f>
        <v>6</v>
      </c>
      <c r="J3923">
        <v>3951</v>
      </c>
      <c r="K3923" t="str">
        <f>_xlfn.CONCAT(WEEKNUM(CompilDonnées[[#This Row],[PlantationDate]]), " ", YEAR(CompilDonnées[[#This Row],[PlantationDate]]))</f>
        <v>29 2025</v>
      </c>
      <c r="L3923" t="str">
        <f>CONCATENATE(MONTH(CompilDonnées[[#This Row],[PlantationDate]])," ", YEAR(CompilDonnées[[#This Row],[PlantationDate]]))</f>
        <v>7 2025</v>
      </c>
      <c r="M3923" t="str">
        <f>CONCATENATE(MONTH(CompilDonnées[[#This Row],[HarvestingDate]])," ", YEAR(CompilDonnées[[#This Row],[HarvestingDate]]))</f>
        <v>8 2025</v>
      </c>
      <c r="N3923">
        <f>_xlfn.NUMBERVALUE(CompilDonnées[[#This Row],[FarmID]]&amp;CompilDonnées[[#This Row],[ModuleNumber]]&amp;CompilDonnées[[#This Row],[PlantationDate]])</f>
        <v>109545854</v>
      </c>
      <c r="O3923" t="str">
        <f>CompilDonnées[[#This Row],[FarmID]]&amp;CompilDonnées[[#This Row],[ModuleNumber]]</f>
        <v>1095</v>
      </c>
      <c r="P3923" t="str">
        <f>CompilDonnées[[#This Row],[Ref_Module]]&amp;CompilDonnées[[#This Row],[HarvestingDate]]</f>
        <v>109545894</v>
      </c>
    </row>
    <row r="3924" spans="1:16">
      <c r="A3924" s="5">
        <v>45854</v>
      </c>
      <c r="B3924">
        <v>108</v>
      </c>
      <c r="C3924" t="s">
        <v>58</v>
      </c>
      <c r="D3924">
        <v>6</v>
      </c>
      <c r="E3924">
        <v>100</v>
      </c>
      <c r="F3924" t="s">
        <v>1</v>
      </c>
      <c r="G3924" s="6">
        <v>45891</v>
      </c>
      <c r="H3924">
        <v>37</v>
      </c>
      <c r="I3924">
        <f>ROUND(CompilDonnées[[#This Row],[CultureDuration_days]]/7,0)</f>
        <v>5</v>
      </c>
      <c r="J3924">
        <v>2706</v>
      </c>
      <c r="K3924" t="str">
        <f>_xlfn.CONCAT(WEEKNUM(CompilDonnées[[#This Row],[PlantationDate]]), " ", YEAR(CompilDonnées[[#This Row],[PlantationDate]]))</f>
        <v>29 2025</v>
      </c>
      <c r="L3924" t="str">
        <f>CONCATENATE(MONTH(CompilDonnées[[#This Row],[PlantationDate]])," ", YEAR(CompilDonnées[[#This Row],[PlantationDate]]))</f>
        <v>7 2025</v>
      </c>
      <c r="M3924" t="str">
        <f>CONCATENATE(MONTH(CompilDonnées[[#This Row],[HarvestingDate]])," ", YEAR(CompilDonnées[[#This Row],[HarvestingDate]]))</f>
        <v>8 2025</v>
      </c>
      <c r="N3924">
        <f>_xlfn.NUMBERVALUE(CompilDonnées[[#This Row],[FarmID]]&amp;CompilDonnées[[#This Row],[ModuleNumber]]&amp;CompilDonnées[[#This Row],[PlantationDate]])</f>
        <v>108645854</v>
      </c>
      <c r="O3924" t="str">
        <f>CompilDonnées[[#This Row],[FarmID]]&amp;CompilDonnées[[#This Row],[ModuleNumber]]</f>
        <v>1086</v>
      </c>
      <c r="P3924" t="str">
        <f>CompilDonnées[[#This Row],[Ref_Module]]&amp;CompilDonnées[[#This Row],[HarvestingDate]]</f>
        <v>108645891</v>
      </c>
    </row>
    <row r="3925" spans="1:16">
      <c r="A3925" s="5">
        <v>45854</v>
      </c>
      <c r="B3925">
        <v>101</v>
      </c>
      <c r="C3925" t="s">
        <v>54</v>
      </c>
      <c r="D3925">
        <v>3</v>
      </c>
      <c r="E3925">
        <v>100</v>
      </c>
      <c r="F3925" t="s">
        <v>1</v>
      </c>
      <c r="G3925" s="6">
        <v>45895</v>
      </c>
      <c r="H3925">
        <v>41</v>
      </c>
      <c r="I3925">
        <f>ROUND(CompilDonnées[[#This Row],[CultureDuration_days]]/7,0)</f>
        <v>6</v>
      </c>
      <c r="J3925">
        <v>4123</v>
      </c>
      <c r="K3925" t="str">
        <f>_xlfn.CONCAT(WEEKNUM(CompilDonnées[[#This Row],[PlantationDate]]), " ", YEAR(CompilDonnées[[#This Row],[PlantationDate]]))</f>
        <v>29 2025</v>
      </c>
      <c r="L3925" t="str">
        <f>CONCATENATE(MONTH(CompilDonnées[[#This Row],[PlantationDate]])," ", YEAR(CompilDonnées[[#This Row],[PlantationDate]]))</f>
        <v>7 2025</v>
      </c>
      <c r="M3925" t="str">
        <f>CONCATENATE(MONTH(CompilDonnées[[#This Row],[HarvestingDate]])," ", YEAR(CompilDonnées[[#This Row],[HarvestingDate]]))</f>
        <v>8 2025</v>
      </c>
      <c r="N3925">
        <f>_xlfn.NUMBERVALUE(CompilDonnées[[#This Row],[FarmID]]&amp;CompilDonnées[[#This Row],[ModuleNumber]]&amp;CompilDonnées[[#This Row],[PlantationDate]])</f>
        <v>101345854</v>
      </c>
      <c r="O3925" t="str">
        <f>CompilDonnées[[#This Row],[FarmID]]&amp;CompilDonnées[[#This Row],[ModuleNumber]]</f>
        <v>1013</v>
      </c>
      <c r="P3925" t="str">
        <f>CompilDonnées[[#This Row],[Ref_Module]]&amp;CompilDonnées[[#This Row],[HarvestingDate]]</f>
        <v>101345895</v>
      </c>
    </row>
    <row r="3926" spans="1:16">
      <c r="A3926" s="5">
        <v>45854</v>
      </c>
      <c r="B3926">
        <v>83</v>
      </c>
      <c r="C3926" t="s">
        <v>73</v>
      </c>
      <c r="D3926">
        <v>2</v>
      </c>
      <c r="E3926">
        <v>100</v>
      </c>
      <c r="F3926" t="s">
        <v>1</v>
      </c>
      <c r="G3926" s="6">
        <v>45895</v>
      </c>
      <c r="H3926">
        <v>41</v>
      </c>
      <c r="I3926">
        <f>ROUND(CompilDonnées[[#This Row],[CultureDuration_days]]/7,0)</f>
        <v>6</v>
      </c>
      <c r="J3926">
        <v>2422</v>
      </c>
      <c r="K3926" t="str">
        <f>_xlfn.CONCAT(WEEKNUM(CompilDonnées[[#This Row],[PlantationDate]]), " ", YEAR(CompilDonnées[[#This Row],[PlantationDate]]))</f>
        <v>29 2025</v>
      </c>
      <c r="L3926" t="str">
        <f>CONCATENATE(MONTH(CompilDonnées[[#This Row],[PlantationDate]])," ", YEAR(CompilDonnées[[#This Row],[PlantationDate]]))</f>
        <v>7 2025</v>
      </c>
      <c r="M3926" t="str">
        <f>CONCATENATE(MONTH(CompilDonnées[[#This Row],[HarvestingDate]])," ", YEAR(CompilDonnées[[#This Row],[HarvestingDate]]))</f>
        <v>8 2025</v>
      </c>
      <c r="N3926">
        <f>_xlfn.NUMBERVALUE(CompilDonnées[[#This Row],[FarmID]]&amp;CompilDonnées[[#This Row],[ModuleNumber]]&amp;CompilDonnées[[#This Row],[PlantationDate]])</f>
        <v>83245854</v>
      </c>
      <c r="O3926" t="str">
        <f>CompilDonnées[[#This Row],[FarmID]]&amp;CompilDonnées[[#This Row],[ModuleNumber]]</f>
        <v>832</v>
      </c>
      <c r="P3926" t="str">
        <f>CompilDonnées[[#This Row],[Ref_Module]]&amp;CompilDonnées[[#This Row],[HarvestingDate]]</f>
        <v>83245895</v>
      </c>
    </row>
    <row r="3927" spans="1:16">
      <c r="A3927" s="5">
        <v>45854</v>
      </c>
      <c r="B3927">
        <v>79</v>
      </c>
      <c r="C3927" t="s">
        <v>61</v>
      </c>
      <c r="D3927">
        <v>4</v>
      </c>
      <c r="E3927">
        <v>100</v>
      </c>
      <c r="F3927" t="s">
        <v>1</v>
      </c>
      <c r="G3927" s="6">
        <v>45890</v>
      </c>
      <c r="H3927">
        <v>36</v>
      </c>
      <c r="I3927">
        <f>ROUND(CompilDonnées[[#This Row],[CultureDuration_days]]/7,0)</f>
        <v>5</v>
      </c>
      <c r="J3927">
        <v>2583</v>
      </c>
      <c r="K3927" t="str">
        <f>_xlfn.CONCAT(WEEKNUM(CompilDonnées[[#This Row],[PlantationDate]]), " ", YEAR(CompilDonnées[[#This Row],[PlantationDate]]))</f>
        <v>29 2025</v>
      </c>
      <c r="L3927" t="str">
        <f>CONCATENATE(MONTH(CompilDonnées[[#This Row],[PlantationDate]])," ", YEAR(CompilDonnées[[#This Row],[PlantationDate]]))</f>
        <v>7 2025</v>
      </c>
      <c r="M3927" t="str">
        <f>CONCATENATE(MONTH(CompilDonnées[[#This Row],[HarvestingDate]])," ", YEAR(CompilDonnées[[#This Row],[HarvestingDate]]))</f>
        <v>8 2025</v>
      </c>
      <c r="N3927">
        <f>_xlfn.NUMBERVALUE(CompilDonnées[[#This Row],[FarmID]]&amp;CompilDonnées[[#This Row],[ModuleNumber]]&amp;CompilDonnées[[#This Row],[PlantationDate]])</f>
        <v>79445854</v>
      </c>
      <c r="O3927" t="str">
        <f>CompilDonnées[[#This Row],[FarmID]]&amp;CompilDonnées[[#This Row],[ModuleNumber]]</f>
        <v>794</v>
      </c>
      <c r="P3927" t="str">
        <f>CompilDonnées[[#This Row],[Ref_Module]]&amp;CompilDonnées[[#This Row],[HarvestingDate]]</f>
        <v>79445890</v>
      </c>
    </row>
    <row r="3928" spans="1:16">
      <c r="A3928" s="5">
        <v>45854</v>
      </c>
      <c r="B3928">
        <v>81</v>
      </c>
      <c r="C3928" t="s">
        <v>30</v>
      </c>
      <c r="D3928">
        <v>5</v>
      </c>
      <c r="E3928">
        <v>100</v>
      </c>
      <c r="F3928" t="s">
        <v>1</v>
      </c>
      <c r="G3928" s="6">
        <v>45895</v>
      </c>
      <c r="H3928">
        <v>41</v>
      </c>
      <c r="I3928">
        <f>ROUND(CompilDonnées[[#This Row],[CultureDuration_days]]/7,0)</f>
        <v>6</v>
      </c>
      <c r="J3928">
        <v>3554</v>
      </c>
      <c r="K3928" t="str">
        <f>_xlfn.CONCAT(WEEKNUM(CompilDonnées[[#This Row],[PlantationDate]]), " ", YEAR(CompilDonnées[[#This Row],[PlantationDate]]))</f>
        <v>29 2025</v>
      </c>
      <c r="L3928" t="str">
        <f>CONCATENATE(MONTH(CompilDonnées[[#This Row],[PlantationDate]])," ", YEAR(CompilDonnées[[#This Row],[PlantationDate]]))</f>
        <v>7 2025</v>
      </c>
      <c r="M3928" t="str">
        <f>CONCATENATE(MONTH(CompilDonnées[[#This Row],[HarvestingDate]])," ", YEAR(CompilDonnées[[#This Row],[HarvestingDate]]))</f>
        <v>8 2025</v>
      </c>
      <c r="N3928">
        <f>_xlfn.NUMBERVALUE(CompilDonnées[[#This Row],[FarmID]]&amp;CompilDonnées[[#This Row],[ModuleNumber]]&amp;CompilDonnées[[#This Row],[PlantationDate]])</f>
        <v>81545854</v>
      </c>
      <c r="O3928" t="str">
        <f>CompilDonnées[[#This Row],[FarmID]]&amp;CompilDonnées[[#This Row],[ModuleNumber]]</f>
        <v>815</v>
      </c>
      <c r="P3928" t="str">
        <f>CompilDonnées[[#This Row],[Ref_Module]]&amp;CompilDonnées[[#This Row],[HarvestingDate]]</f>
        <v>81545895</v>
      </c>
    </row>
    <row r="3929" spans="1:16">
      <c r="A3929" s="5">
        <v>45854</v>
      </c>
      <c r="B3929">
        <v>82</v>
      </c>
      <c r="C3929" t="s">
        <v>17</v>
      </c>
      <c r="D3929">
        <v>2</v>
      </c>
      <c r="E3929">
        <v>100</v>
      </c>
      <c r="F3929" t="s">
        <v>1</v>
      </c>
      <c r="G3929" s="6">
        <v>45895</v>
      </c>
      <c r="H3929">
        <v>41</v>
      </c>
      <c r="I3929">
        <f>ROUND(CompilDonnées[[#This Row],[CultureDuration_days]]/7,0)</f>
        <v>6</v>
      </c>
      <c r="J3929">
        <v>3580</v>
      </c>
      <c r="K3929" t="str">
        <f>_xlfn.CONCAT(WEEKNUM(CompilDonnées[[#This Row],[PlantationDate]]), " ", YEAR(CompilDonnées[[#This Row],[PlantationDate]]))</f>
        <v>29 2025</v>
      </c>
      <c r="L3929" t="str">
        <f>CONCATENATE(MONTH(CompilDonnées[[#This Row],[PlantationDate]])," ", YEAR(CompilDonnées[[#This Row],[PlantationDate]]))</f>
        <v>7 2025</v>
      </c>
      <c r="M3929" t="str">
        <f>CONCATENATE(MONTH(CompilDonnées[[#This Row],[HarvestingDate]])," ", YEAR(CompilDonnées[[#This Row],[HarvestingDate]]))</f>
        <v>8 2025</v>
      </c>
      <c r="N3929">
        <f>_xlfn.NUMBERVALUE(CompilDonnées[[#This Row],[FarmID]]&amp;CompilDonnées[[#This Row],[ModuleNumber]]&amp;CompilDonnées[[#This Row],[PlantationDate]])</f>
        <v>82245854</v>
      </c>
      <c r="O3929" t="str">
        <f>CompilDonnées[[#This Row],[FarmID]]&amp;CompilDonnées[[#This Row],[ModuleNumber]]</f>
        <v>822</v>
      </c>
      <c r="P3929" t="str">
        <f>CompilDonnées[[#This Row],[Ref_Module]]&amp;CompilDonnées[[#This Row],[HarvestingDate]]</f>
        <v>82245895</v>
      </c>
    </row>
    <row r="3930" spans="1:16">
      <c r="A3930" s="5">
        <v>45854</v>
      </c>
      <c r="B3930">
        <v>71</v>
      </c>
      <c r="C3930" t="s">
        <v>19</v>
      </c>
      <c r="D3930">
        <v>4</v>
      </c>
      <c r="E3930">
        <v>100</v>
      </c>
      <c r="F3930" t="s">
        <v>1</v>
      </c>
      <c r="G3930" s="6">
        <v>45902</v>
      </c>
      <c r="H3930">
        <v>48</v>
      </c>
      <c r="I3930">
        <f>ROUND(CompilDonnées[[#This Row],[CultureDuration_days]]/7,0)</f>
        <v>7</v>
      </c>
      <c r="J3930">
        <v>2033</v>
      </c>
      <c r="K3930" t="str">
        <f>_xlfn.CONCAT(WEEKNUM(CompilDonnées[[#This Row],[PlantationDate]]), " ", YEAR(CompilDonnées[[#This Row],[PlantationDate]]))</f>
        <v>29 2025</v>
      </c>
      <c r="L3930" t="str">
        <f>CONCATENATE(MONTH(CompilDonnées[[#This Row],[PlantationDate]])," ", YEAR(CompilDonnées[[#This Row],[PlantationDate]]))</f>
        <v>7 2025</v>
      </c>
      <c r="M3930" t="str">
        <f>CONCATENATE(MONTH(CompilDonnées[[#This Row],[HarvestingDate]])," ", YEAR(CompilDonnées[[#This Row],[HarvestingDate]]))</f>
        <v>9 2025</v>
      </c>
      <c r="N3930">
        <f>_xlfn.NUMBERVALUE(CompilDonnées[[#This Row],[FarmID]]&amp;CompilDonnées[[#This Row],[ModuleNumber]]&amp;CompilDonnées[[#This Row],[PlantationDate]])</f>
        <v>71445854</v>
      </c>
      <c r="O3930" t="str">
        <f>CompilDonnées[[#This Row],[FarmID]]&amp;CompilDonnées[[#This Row],[ModuleNumber]]</f>
        <v>714</v>
      </c>
      <c r="P3930" t="str">
        <f>CompilDonnées[[#This Row],[Ref_Module]]&amp;CompilDonnées[[#This Row],[HarvestingDate]]</f>
        <v>71445902</v>
      </c>
    </row>
    <row r="3931" spans="1:16">
      <c r="A3931" s="5">
        <v>45854</v>
      </c>
      <c r="B3931">
        <v>140</v>
      </c>
      <c r="C3931" t="s">
        <v>96</v>
      </c>
      <c r="D3931">
        <v>2</v>
      </c>
      <c r="E3931">
        <v>100</v>
      </c>
      <c r="F3931" t="s">
        <v>1</v>
      </c>
      <c r="G3931" s="6">
        <v>45894</v>
      </c>
      <c r="H3931">
        <v>40</v>
      </c>
      <c r="I3931">
        <f>ROUND(CompilDonnées[[#This Row],[CultureDuration_days]]/7,0)</f>
        <v>6</v>
      </c>
      <c r="J3931">
        <v>2901</v>
      </c>
      <c r="K3931" t="str">
        <f>_xlfn.CONCAT(WEEKNUM(CompilDonnées[[#This Row],[PlantationDate]]), " ", YEAR(CompilDonnées[[#This Row],[PlantationDate]]))</f>
        <v>29 2025</v>
      </c>
      <c r="L3931" t="str">
        <f>CONCATENATE(MONTH(CompilDonnées[[#This Row],[PlantationDate]])," ", YEAR(CompilDonnées[[#This Row],[PlantationDate]]))</f>
        <v>7 2025</v>
      </c>
      <c r="M3931" t="str">
        <f>CONCATENATE(MONTH(CompilDonnées[[#This Row],[HarvestingDate]])," ", YEAR(CompilDonnées[[#This Row],[HarvestingDate]]))</f>
        <v>8 2025</v>
      </c>
      <c r="N3931">
        <f>_xlfn.NUMBERVALUE(CompilDonnées[[#This Row],[FarmID]]&amp;CompilDonnées[[#This Row],[ModuleNumber]]&amp;CompilDonnées[[#This Row],[PlantationDate]])</f>
        <v>140245854</v>
      </c>
      <c r="O3931" t="str">
        <f>CompilDonnées[[#This Row],[FarmID]]&amp;CompilDonnées[[#This Row],[ModuleNumber]]</f>
        <v>1402</v>
      </c>
      <c r="P3931" t="str">
        <f>CompilDonnées[[#This Row],[Ref_Module]]&amp;CompilDonnées[[#This Row],[HarvestingDate]]</f>
        <v>140245894</v>
      </c>
    </row>
    <row r="3932" spans="1:16">
      <c r="A3932" s="5">
        <v>45854</v>
      </c>
      <c r="B3932">
        <v>139</v>
      </c>
      <c r="C3932" t="s">
        <v>103</v>
      </c>
      <c r="D3932">
        <v>4</v>
      </c>
      <c r="E3932">
        <v>100</v>
      </c>
      <c r="F3932" t="s">
        <v>1</v>
      </c>
      <c r="G3932" s="6">
        <v>45894</v>
      </c>
      <c r="H3932">
        <v>40</v>
      </c>
      <c r="I3932">
        <f>ROUND(CompilDonnées[[#This Row],[CultureDuration_days]]/7,0)</f>
        <v>6</v>
      </c>
      <c r="J3932">
        <v>3443</v>
      </c>
      <c r="K3932" t="str">
        <f>_xlfn.CONCAT(WEEKNUM(CompilDonnées[[#This Row],[PlantationDate]]), " ", YEAR(CompilDonnées[[#This Row],[PlantationDate]]))</f>
        <v>29 2025</v>
      </c>
      <c r="L3932" t="str">
        <f>CONCATENATE(MONTH(CompilDonnées[[#This Row],[PlantationDate]])," ", YEAR(CompilDonnées[[#This Row],[PlantationDate]]))</f>
        <v>7 2025</v>
      </c>
      <c r="M3932" t="str">
        <f>CONCATENATE(MONTH(CompilDonnées[[#This Row],[HarvestingDate]])," ", YEAR(CompilDonnées[[#This Row],[HarvestingDate]]))</f>
        <v>8 2025</v>
      </c>
      <c r="N3932">
        <f>_xlfn.NUMBERVALUE(CompilDonnées[[#This Row],[FarmID]]&amp;CompilDonnées[[#This Row],[ModuleNumber]]&amp;CompilDonnées[[#This Row],[PlantationDate]])</f>
        <v>139445854</v>
      </c>
      <c r="O3932" t="str">
        <f>CompilDonnées[[#This Row],[FarmID]]&amp;CompilDonnées[[#This Row],[ModuleNumber]]</f>
        <v>1394</v>
      </c>
      <c r="P3932" t="str">
        <f>CompilDonnées[[#This Row],[Ref_Module]]&amp;CompilDonnées[[#This Row],[HarvestingDate]]</f>
        <v>139445894</v>
      </c>
    </row>
    <row r="3933" spans="1:16">
      <c r="A3933" s="5">
        <v>45854</v>
      </c>
      <c r="B3933">
        <v>132</v>
      </c>
      <c r="C3933" t="s">
        <v>120</v>
      </c>
      <c r="D3933">
        <v>1</v>
      </c>
      <c r="E3933">
        <v>100</v>
      </c>
      <c r="F3933" t="s">
        <v>1</v>
      </c>
      <c r="G3933" s="6">
        <v>45894</v>
      </c>
      <c r="H3933">
        <v>40</v>
      </c>
      <c r="I3933">
        <f>ROUND(CompilDonnées[[#This Row],[CultureDuration_days]]/7,0)</f>
        <v>6</v>
      </c>
      <c r="J3933">
        <v>3347</v>
      </c>
      <c r="K3933" t="str">
        <f>_xlfn.CONCAT(WEEKNUM(CompilDonnées[[#This Row],[PlantationDate]]), " ", YEAR(CompilDonnées[[#This Row],[PlantationDate]]))</f>
        <v>29 2025</v>
      </c>
      <c r="L3933" t="str">
        <f>CONCATENATE(MONTH(CompilDonnées[[#This Row],[PlantationDate]])," ", YEAR(CompilDonnées[[#This Row],[PlantationDate]]))</f>
        <v>7 2025</v>
      </c>
      <c r="M3933" t="str">
        <f>CONCATENATE(MONTH(CompilDonnées[[#This Row],[HarvestingDate]])," ", YEAR(CompilDonnées[[#This Row],[HarvestingDate]]))</f>
        <v>8 2025</v>
      </c>
      <c r="N3933">
        <f>_xlfn.NUMBERVALUE(CompilDonnées[[#This Row],[FarmID]]&amp;CompilDonnées[[#This Row],[ModuleNumber]]&amp;CompilDonnées[[#This Row],[PlantationDate]])</f>
        <v>132145854</v>
      </c>
      <c r="O3933" t="str">
        <f>CompilDonnées[[#This Row],[FarmID]]&amp;CompilDonnées[[#This Row],[ModuleNumber]]</f>
        <v>1321</v>
      </c>
      <c r="P3933" t="str">
        <f>CompilDonnées[[#This Row],[Ref_Module]]&amp;CompilDonnées[[#This Row],[HarvestingDate]]</f>
        <v>132145894</v>
      </c>
    </row>
    <row r="3934" spans="1:16">
      <c r="A3934" s="5">
        <v>45854</v>
      </c>
      <c r="B3934">
        <v>133</v>
      </c>
      <c r="C3934" t="s">
        <v>99</v>
      </c>
      <c r="D3934">
        <v>2</v>
      </c>
      <c r="E3934">
        <v>100</v>
      </c>
      <c r="F3934" t="s">
        <v>1</v>
      </c>
      <c r="G3934" s="6">
        <v>45894</v>
      </c>
      <c r="H3934">
        <v>40</v>
      </c>
      <c r="I3934">
        <f>ROUND(CompilDonnées[[#This Row],[CultureDuration_days]]/7,0)</f>
        <v>6</v>
      </c>
      <c r="J3934">
        <v>3439</v>
      </c>
      <c r="K3934" t="str">
        <f>_xlfn.CONCAT(WEEKNUM(CompilDonnées[[#This Row],[PlantationDate]]), " ", YEAR(CompilDonnées[[#This Row],[PlantationDate]]))</f>
        <v>29 2025</v>
      </c>
      <c r="L3934" t="str">
        <f>CONCATENATE(MONTH(CompilDonnées[[#This Row],[PlantationDate]])," ", YEAR(CompilDonnées[[#This Row],[PlantationDate]]))</f>
        <v>7 2025</v>
      </c>
      <c r="M3934" t="str">
        <f>CONCATENATE(MONTH(CompilDonnées[[#This Row],[HarvestingDate]])," ", YEAR(CompilDonnées[[#This Row],[HarvestingDate]]))</f>
        <v>8 2025</v>
      </c>
      <c r="N3934">
        <f>_xlfn.NUMBERVALUE(CompilDonnées[[#This Row],[FarmID]]&amp;CompilDonnées[[#This Row],[ModuleNumber]]&amp;CompilDonnées[[#This Row],[PlantationDate]])</f>
        <v>133245854</v>
      </c>
      <c r="O3934" t="str">
        <f>CompilDonnées[[#This Row],[FarmID]]&amp;CompilDonnées[[#This Row],[ModuleNumber]]</f>
        <v>1332</v>
      </c>
      <c r="P3934" t="str">
        <f>CompilDonnées[[#This Row],[Ref_Module]]&amp;CompilDonnées[[#This Row],[HarvestingDate]]</f>
        <v>133245894</v>
      </c>
    </row>
    <row r="3935" spans="1:16">
      <c r="A3935" s="5">
        <v>45854</v>
      </c>
      <c r="B3935">
        <v>124</v>
      </c>
      <c r="C3935" t="s">
        <v>115</v>
      </c>
      <c r="D3935">
        <v>4</v>
      </c>
      <c r="E3935">
        <v>100</v>
      </c>
      <c r="F3935" t="s">
        <v>1</v>
      </c>
      <c r="G3935" s="6">
        <v>45902</v>
      </c>
      <c r="H3935">
        <v>48</v>
      </c>
      <c r="I3935">
        <f>ROUND(CompilDonnées[[#This Row],[CultureDuration_days]]/7,0)</f>
        <v>7</v>
      </c>
      <c r="J3935">
        <v>3877</v>
      </c>
      <c r="K3935" t="str">
        <f>_xlfn.CONCAT(WEEKNUM(CompilDonnées[[#This Row],[PlantationDate]]), " ", YEAR(CompilDonnées[[#This Row],[PlantationDate]]))</f>
        <v>29 2025</v>
      </c>
      <c r="L3935" t="str">
        <f>CONCATENATE(MONTH(CompilDonnées[[#This Row],[PlantationDate]])," ", YEAR(CompilDonnées[[#This Row],[PlantationDate]]))</f>
        <v>7 2025</v>
      </c>
      <c r="M3935" t="str">
        <f>CONCATENATE(MONTH(CompilDonnées[[#This Row],[HarvestingDate]])," ", YEAR(CompilDonnées[[#This Row],[HarvestingDate]]))</f>
        <v>9 2025</v>
      </c>
      <c r="N3935">
        <f>_xlfn.NUMBERVALUE(CompilDonnées[[#This Row],[FarmID]]&amp;CompilDonnées[[#This Row],[ModuleNumber]]&amp;CompilDonnées[[#This Row],[PlantationDate]])</f>
        <v>124445854</v>
      </c>
      <c r="O3935" t="str">
        <f>CompilDonnées[[#This Row],[FarmID]]&amp;CompilDonnées[[#This Row],[ModuleNumber]]</f>
        <v>1244</v>
      </c>
      <c r="P3935" t="str">
        <f>CompilDonnées[[#This Row],[Ref_Module]]&amp;CompilDonnées[[#This Row],[HarvestingDate]]</f>
        <v>124445902</v>
      </c>
    </row>
    <row r="3936" spans="1:16">
      <c r="A3936" s="5">
        <v>45854</v>
      </c>
      <c r="B3936">
        <v>123</v>
      </c>
      <c r="C3936" t="s">
        <v>13</v>
      </c>
      <c r="D3936">
        <v>6</v>
      </c>
      <c r="E3936">
        <v>100</v>
      </c>
      <c r="F3936" t="s">
        <v>1</v>
      </c>
      <c r="G3936" s="6">
        <v>45894</v>
      </c>
      <c r="H3936">
        <v>40</v>
      </c>
      <c r="I3936">
        <f>ROUND(CompilDonnées[[#This Row],[CultureDuration_days]]/7,0)</f>
        <v>6</v>
      </c>
      <c r="J3936">
        <v>3097</v>
      </c>
      <c r="K3936" t="str">
        <f>_xlfn.CONCAT(WEEKNUM(CompilDonnées[[#This Row],[PlantationDate]]), " ", YEAR(CompilDonnées[[#This Row],[PlantationDate]]))</f>
        <v>29 2025</v>
      </c>
      <c r="L3936" t="str">
        <f>CONCATENATE(MONTH(CompilDonnées[[#This Row],[PlantationDate]])," ", YEAR(CompilDonnées[[#This Row],[PlantationDate]]))</f>
        <v>7 2025</v>
      </c>
      <c r="M3936" t="str">
        <f>CONCATENATE(MONTH(CompilDonnées[[#This Row],[HarvestingDate]])," ", YEAR(CompilDonnées[[#This Row],[HarvestingDate]]))</f>
        <v>8 2025</v>
      </c>
      <c r="N3936">
        <f>_xlfn.NUMBERVALUE(CompilDonnées[[#This Row],[FarmID]]&amp;CompilDonnées[[#This Row],[ModuleNumber]]&amp;CompilDonnées[[#This Row],[PlantationDate]])</f>
        <v>123645854</v>
      </c>
      <c r="O3936" t="str">
        <f>CompilDonnées[[#This Row],[FarmID]]&amp;CompilDonnées[[#This Row],[ModuleNumber]]</f>
        <v>1236</v>
      </c>
      <c r="P3936" t="str">
        <f>CompilDonnées[[#This Row],[Ref_Module]]&amp;CompilDonnées[[#This Row],[HarvestingDate]]</f>
        <v>123645894</v>
      </c>
    </row>
    <row r="3937" spans="1:16">
      <c r="A3937" s="5">
        <v>45854</v>
      </c>
      <c r="B3937">
        <v>126</v>
      </c>
      <c r="C3937" t="s">
        <v>52</v>
      </c>
      <c r="D3937">
        <v>6</v>
      </c>
      <c r="E3937">
        <v>100</v>
      </c>
      <c r="F3937" t="s">
        <v>1</v>
      </c>
      <c r="G3937" s="6">
        <v>45894</v>
      </c>
      <c r="H3937">
        <v>40</v>
      </c>
      <c r="I3937">
        <f>ROUND(CompilDonnées[[#This Row],[CultureDuration_days]]/7,0)</f>
        <v>6</v>
      </c>
      <c r="J3937">
        <v>3565</v>
      </c>
      <c r="K3937" t="str">
        <f>_xlfn.CONCAT(WEEKNUM(CompilDonnées[[#This Row],[PlantationDate]]), " ", YEAR(CompilDonnées[[#This Row],[PlantationDate]]))</f>
        <v>29 2025</v>
      </c>
      <c r="L3937" t="str">
        <f>CONCATENATE(MONTH(CompilDonnées[[#This Row],[PlantationDate]])," ", YEAR(CompilDonnées[[#This Row],[PlantationDate]]))</f>
        <v>7 2025</v>
      </c>
      <c r="M3937" t="str">
        <f>CONCATENATE(MONTH(CompilDonnées[[#This Row],[HarvestingDate]])," ", YEAR(CompilDonnées[[#This Row],[HarvestingDate]]))</f>
        <v>8 2025</v>
      </c>
      <c r="N3937">
        <f>_xlfn.NUMBERVALUE(CompilDonnées[[#This Row],[FarmID]]&amp;CompilDonnées[[#This Row],[ModuleNumber]]&amp;CompilDonnées[[#This Row],[PlantationDate]])</f>
        <v>126645854</v>
      </c>
      <c r="O3937" t="str">
        <f>CompilDonnées[[#This Row],[FarmID]]&amp;CompilDonnées[[#This Row],[ModuleNumber]]</f>
        <v>1266</v>
      </c>
      <c r="P3937" t="str">
        <f>CompilDonnées[[#This Row],[Ref_Module]]&amp;CompilDonnées[[#This Row],[HarvestingDate]]</f>
        <v>126645894</v>
      </c>
    </row>
    <row r="3938" spans="1:16">
      <c r="A3938" s="5">
        <v>45854</v>
      </c>
      <c r="B3938">
        <v>116</v>
      </c>
      <c r="C3938" t="s">
        <v>76</v>
      </c>
      <c r="D3938">
        <v>4</v>
      </c>
      <c r="E3938">
        <v>100</v>
      </c>
      <c r="F3938" t="s">
        <v>1</v>
      </c>
      <c r="G3938" s="6">
        <v>45894</v>
      </c>
      <c r="H3938">
        <v>40</v>
      </c>
      <c r="I3938">
        <f>ROUND(CompilDonnées[[#This Row],[CultureDuration_days]]/7,0)</f>
        <v>6</v>
      </c>
      <c r="J3938">
        <v>1877</v>
      </c>
      <c r="K3938" t="str">
        <f>_xlfn.CONCAT(WEEKNUM(CompilDonnées[[#This Row],[PlantationDate]]), " ", YEAR(CompilDonnées[[#This Row],[PlantationDate]]))</f>
        <v>29 2025</v>
      </c>
      <c r="L3938" t="str">
        <f>CONCATENATE(MONTH(CompilDonnées[[#This Row],[PlantationDate]])," ", YEAR(CompilDonnées[[#This Row],[PlantationDate]]))</f>
        <v>7 2025</v>
      </c>
      <c r="M3938" t="str">
        <f>CONCATENATE(MONTH(CompilDonnées[[#This Row],[HarvestingDate]])," ", YEAR(CompilDonnées[[#This Row],[HarvestingDate]]))</f>
        <v>8 2025</v>
      </c>
      <c r="N3938">
        <f>_xlfn.NUMBERVALUE(CompilDonnées[[#This Row],[FarmID]]&amp;CompilDonnées[[#This Row],[ModuleNumber]]&amp;CompilDonnées[[#This Row],[PlantationDate]])</f>
        <v>116445854</v>
      </c>
      <c r="O3938" t="str">
        <f>CompilDonnées[[#This Row],[FarmID]]&amp;CompilDonnées[[#This Row],[ModuleNumber]]</f>
        <v>1164</v>
      </c>
      <c r="P3938" t="str">
        <f>CompilDonnées[[#This Row],[Ref_Module]]&amp;CompilDonnées[[#This Row],[HarvestingDate]]</f>
        <v>116445894</v>
      </c>
    </row>
    <row r="3939" spans="1:16">
      <c r="A3939" s="5">
        <v>45854</v>
      </c>
      <c r="B3939">
        <v>112</v>
      </c>
      <c r="C3939" t="s">
        <v>15</v>
      </c>
      <c r="D3939">
        <v>6</v>
      </c>
      <c r="E3939">
        <v>100</v>
      </c>
      <c r="F3939" t="s">
        <v>1</v>
      </c>
      <c r="G3939" s="6">
        <v>45894</v>
      </c>
      <c r="H3939">
        <v>40</v>
      </c>
      <c r="I3939">
        <f>ROUND(CompilDonnées[[#This Row],[CultureDuration_days]]/7,0)</f>
        <v>6</v>
      </c>
      <c r="J3939">
        <v>3482</v>
      </c>
      <c r="K3939" t="str">
        <f>_xlfn.CONCAT(WEEKNUM(CompilDonnées[[#This Row],[PlantationDate]]), " ", YEAR(CompilDonnées[[#This Row],[PlantationDate]]))</f>
        <v>29 2025</v>
      </c>
      <c r="L3939" t="str">
        <f>CONCATENATE(MONTH(CompilDonnées[[#This Row],[PlantationDate]])," ", YEAR(CompilDonnées[[#This Row],[PlantationDate]]))</f>
        <v>7 2025</v>
      </c>
      <c r="M3939" t="str">
        <f>CONCATENATE(MONTH(CompilDonnées[[#This Row],[HarvestingDate]])," ", YEAR(CompilDonnées[[#This Row],[HarvestingDate]]))</f>
        <v>8 2025</v>
      </c>
      <c r="N3939">
        <f>_xlfn.NUMBERVALUE(CompilDonnées[[#This Row],[FarmID]]&amp;CompilDonnées[[#This Row],[ModuleNumber]]&amp;CompilDonnées[[#This Row],[PlantationDate]])</f>
        <v>112645854</v>
      </c>
      <c r="O3939" t="str">
        <f>CompilDonnées[[#This Row],[FarmID]]&amp;CompilDonnées[[#This Row],[ModuleNumber]]</f>
        <v>1126</v>
      </c>
      <c r="P3939" t="str">
        <f>CompilDonnées[[#This Row],[Ref_Module]]&amp;CompilDonnées[[#This Row],[HarvestingDate]]</f>
        <v>112645894</v>
      </c>
    </row>
    <row r="3940" spans="1:16">
      <c r="A3940" s="5">
        <v>45854</v>
      </c>
      <c r="B3940">
        <v>113</v>
      </c>
      <c r="C3940" t="s">
        <v>16</v>
      </c>
      <c r="D3940">
        <v>2</v>
      </c>
      <c r="E3940">
        <v>100</v>
      </c>
      <c r="F3940" t="s">
        <v>1</v>
      </c>
      <c r="G3940" s="6">
        <v>45894</v>
      </c>
      <c r="H3940">
        <v>40</v>
      </c>
      <c r="I3940">
        <f>ROUND(CompilDonnées[[#This Row],[CultureDuration_days]]/7,0)</f>
        <v>6</v>
      </c>
      <c r="J3940">
        <v>3485</v>
      </c>
      <c r="K3940" t="str">
        <f>_xlfn.CONCAT(WEEKNUM(CompilDonnées[[#This Row],[PlantationDate]]), " ", YEAR(CompilDonnées[[#This Row],[PlantationDate]]))</f>
        <v>29 2025</v>
      </c>
      <c r="L3940" t="str">
        <f>CONCATENATE(MONTH(CompilDonnées[[#This Row],[PlantationDate]])," ", YEAR(CompilDonnées[[#This Row],[PlantationDate]]))</f>
        <v>7 2025</v>
      </c>
      <c r="M3940" t="str">
        <f>CONCATENATE(MONTH(CompilDonnées[[#This Row],[HarvestingDate]])," ", YEAR(CompilDonnées[[#This Row],[HarvestingDate]]))</f>
        <v>8 2025</v>
      </c>
      <c r="N3940">
        <f>_xlfn.NUMBERVALUE(CompilDonnées[[#This Row],[FarmID]]&amp;CompilDonnées[[#This Row],[ModuleNumber]]&amp;CompilDonnées[[#This Row],[PlantationDate]])</f>
        <v>113245854</v>
      </c>
      <c r="O3940" t="str">
        <f>CompilDonnées[[#This Row],[FarmID]]&amp;CompilDonnées[[#This Row],[ModuleNumber]]</f>
        <v>1132</v>
      </c>
      <c r="P3940" t="str">
        <f>CompilDonnées[[#This Row],[Ref_Module]]&amp;CompilDonnées[[#This Row],[HarvestingDate]]</f>
        <v>113245894</v>
      </c>
    </row>
    <row r="3941" spans="1:16">
      <c r="A3941" s="5">
        <v>45854</v>
      </c>
      <c r="B3941">
        <v>118</v>
      </c>
      <c r="C3941" t="s">
        <v>51</v>
      </c>
      <c r="D3941">
        <v>6</v>
      </c>
      <c r="E3941">
        <v>100</v>
      </c>
      <c r="F3941" t="s">
        <v>1</v>
      </c>
      <c r="G3941" s="6">
        <v>45894</v>
      </c>
      <c r="H3941">
        <v>40</v>
      </c>
      <c r="I3941">
        <f>ROUND(CompilDonnées[[#This Row],[CultureDuration_days]]/7,0)</f>
        <v>6</v>
      </c>
      <c r="J3941">
        <v>2740</v>
      </c>
      <c r="K3941" t="str">
        <f>_xlfn.CONCAT(WEEKNUM(CompilDonnées[[#This Row],[PlantationDate]]), " ", YEAR(CompilDonnées[[#This Row],[PlantationDate]]))</f>
        <v>29 2025</v>
      </c>
      <c r="L3941" t="str">
        <f>CONCATENATE(MONTH(CompilDonnées[[#This Row],[PlantationDate]])," ", YEAR(CompilDonnées[[#This Row],[PlantationDate]]))</f>
        <v>7 2025</v>
      </c>
      <c r="M3941" t="str">
        <f>CONCATENATE(MONTH(CompilDonnées[[#This Row],[HarvestingDate]])," ", YEAR(CompilDonnées[[#This Row],[HarvestingDate]]))</f>
        <v>8 2025</v>
      </c>
      <c r="N3941">
        <f>_xlfn.NUMBERVALUE(CompilDonnées[[#This Row],[FarmID]]&amp;CompilDonnées[[#This Row],[ModuleNumber]]&amp;CompilDonnées[[#This Row],[PlantationDate]])</f>
        <v>118645854</v>
      </c>
      <c r="O3941" t="str">
        <f>CompilDonnées[[#This Row],[FarmID]]&amp;CompilDonnées[[#This Row],[ModuleNumber]]</f>
        <v>1186</v>
      </c>
      <c r="P3941" t="str">
        <f>CompilDonnées[[#This Row],[Ref_Module]]&amp;CompilDonnées[[#This Row],[HarvestingDate]]</f>
        <v>118645894</v>
      </c>
    </row>
    <row r="3942" spans="1:16">
      <c r="A3942" s="5">
        <v>45854</v>
      </c>
      <c r="B3942">
        <v>119</v>
      </c>
      <c r="C3942" t="s">
        <v>59</v>
      </c>
      <c r="D3942">
        <v>3</v>
      </c>
      <c r="E3942">
        <v>100</v>
      </c>
      <c r="F3942" t="s">
        <v>1</v>
      </c>
      <c r="G3942" s="6">
        <v>45894</v>
      </c>
      <c r="H3942">
        <v>40</v>
      </c>
      <c r="I3942">
        <f>ROUND(CompilDonnées[[#This Row],[CultureDuration_days]]/7,0)</f>
        <v>6</v>
      </c>
      <c r="J3942">
        <v>3368</v>
      </c>
      <c r="K3942" t="str">
        <f>_xlfn.CONCAT(WEEKNUM(CompilDonnées[[#This Row],[PlantationDate]]), " ", YEAR(CompilDonnées[[#This Row],[PlantationDate]]))</f>
        <v>29 2025</v>
      </c>
      <c r="L3942" t="str">
        <f>CONCATENATE(MONTH(CompilDonnées[[#This Row],[PlantationDate]])," ", YEAR(CompilDonnées[[#This Row],[PlantationDate]]))</f>
        <v>7 2025</v>
      </c>
      <c r="M3942" t="str">
        <f>CONCATENATE(MONTH(CompilDonnées[[#This Row],[HarvestingDate]])," ", YEAR(CompilDonnées[[#This Row],[HarvestingDate]]))</f>
        <v>8 2025</v>
      </c>
      <c r="N3942">
        <f>_xlfn.NUMBERVALUE(CompilDonnées[[#This Row],[FarmID]]&amp;CompilDonnées[[#This Row],[ModuleNumber]]&amp;CompilDonnées[[#This Row],[PlantationDate]])</f>
        <v>119345854</v>
      </c>
      <c r="O3942" t="str">
        <f>CompilDonnées[[#This Row],[FarmID]]&amp;CompilDonnées[[#This Row],[ModuleNumber]]</f>
        <v>1193</v>
      </c>
      <c r="P3942" t="str">
        <f>CompilDonnées[[#This Row],[Ref_Module]]&amp;CompilDonnées[[#This Row],[HarvestingDate]]</f>
        <v>119345894</v>
      </c>
    </row>
    <row r="3943" spans="1:16">
      <c r="A3943" s="5">
        <v>45854</v>
      </c>
      <c r="B3943">
        <v>117</v>
      </c>
      <c r="C3943" t="s">
        <v>11</v>
      </c>
      <c r="D3943">
        <v>2</v>
      </c>
      <c r="E3943">
        <v>100</v>
      </c>
      <c r="F3943" t="s">
        <v>1</v>
      </c>
      <c r="G3943" s="6">
        <v>45894</v>
      </c>
      <c r="H3943">
        <v>40</v>
      </c>
      <c r="I3943">
        <f>ROUND(CompilDonnées[[#This Row],[CultureDuration_days]]/7,0)</f>
        <v>6</v>
      </c>
      <c r="J3943">
        <v>2553</v>
      </c>
      <c r="K3943" t="str">
        <f>_xlfn.CONCAT(WEEKNUM(CompilDonnées[[#This Row],[PlantationDate]]), " ", YEAR(CompilDonnées[[#This Row],[PlantationDate]]))</f>
        <v>29 2025</v>
      </c>
      <c r="L3943" t="str">
        <f>CONCATENATE(MONTH(CompilDonnées[[#This Row],[PlantationDate]])," ", YEAR(CompilDonnées[[#This Row],[PlantationDate]]))</f>
        <v>7 2025</v>
      </c>
      <c r="M3943" t="str">
        <f>CONCATENATE(MONTH(CompilDonnées[[#This Row],[HarvestingDate]])," ", YEAR(CompilDonnées[[#This Row],[HarvestingDate]]))</f>
        <v>8 2025</v>
      </c>
      <c r="N3943">
        <f>_xlfn.NUMBERVALUE(CompilDonnées[[#This Row],[FarmID]]&amp;CompilDonnées[[#This Row],[ModuleNumber]]&amp;CompilDonnées[[#This Row],[PlantationDate]])</f>
        <v>117245854</v>
      </c>
      <c r="O3943" t="str">
        <f>CompilDonnées[[#This Row],[FarmID]]&amp;CompilDonnées[[#This Row],[ModuleNumber]]</f>
        <v>1172</v>
      </c>
      <c r="P3943" t="str">
        <f>CompilDonnées[[#This Row],[Ref_Module]]&amp;CompilDonnées[[#This Row],[HarvestingDate]]</f>
        <v>117245894</v>
      </c>
    </row>
    <row r="3944" spans="1:16">
      <c r="A3944" s="5">
        <v>45854</v>
      </c>
      <c r="B3944">
        <v>130</v>
      </c>
      <c r="C3944" t="s">
        <v>3</v>
      </c>
      <c r="D3944">
        <v>3</v>
      </c>
      <c r="E3944">
        <v>60</v>
      </c>
      <c r="F3944" t="s">
        <v>105</v>
      </c>
      <c r="G3944" s="6">
        <v>45894</v>
      </c>
      <c r="H3944">
        <v>40</v>
      </c>
      <c r="I3944">
        <f>ROUND(CompilDonnées[[#This Row],[CultureDuration_days]]/7,0)</f>
        <v>6</v>
      </c>
      <c r="J3944">
        <v>458</v>
      </c>
      <c r="K3944" t="str">
        <f>_xlfn.CONCAT(WEEKNUM(CompilDonnées[[#This Row],[PlantationDate]]), " ", YEAR(CompilDonnées[[#This Row],[PlantationDate]]))</f>
        <v>29 2025</v>
      </c>
      <c r="L3944" t="str">
        <f>CONCATENATE(MONTH(CompilDonnées[[#This Row],[PlantationDate]])," ", YEAR(CompilDonnées[[#This Row],[PlantationDate]]))</f>
        <v>7 2025</v>
      </c>
      <c r="M3944" t="str">
        <f>CONCATENATE(MONTH(CompilDonnées[[#This Row],[HarvestingDate]])," ", YEAR(CompilDonnées[[#This Row],[HarvestingDate]]))</f>
        <v>8 2025</v>
      </c>
      <c r="N3944">
        <f>_xlfn.NUMBERVALUE(CompilDonnées[[#This Row],[FarmID]]&amp;CompilDonnées[[#This Row],[ModuleNumber]]&amp;CompilDonnées[[#This Row],[PlantationDate]])</f>
        <v>130345854</v>
      </c>
      <c r="O3944" t="str">
        <f>CompilDonnées[[#This Row],[FarmID]]&amp;CompilDonnées[[#This Row],[ModuleNumber]]</f>
        <v>1303</v>
      </c>
      <c r="P3944" t="str">
        <f>CompilDonnées[[#This Row],[Ref_Module]]&amp;CompilDonnées[[#This Row],[HarvestingDate]]</f>
        <v>130345894</v>
      </c>
    </row>
    <row r="3945" spans="1:16">
      <c r="A3945" s="5">
        <v>45855</v>
      </c>
      <c r="B3945">
        <v>106</v>
      </c>
      <c r="C3945" t="s">
        <v>22</v>
      </c>
      <c r="D3945">
        <v>1</v>
      </c>
      <c r="E3945">
        <v>100</v>
      </c>
      <c r="F3945" t="s">
        <v>1</v>
      </c>
      <c r="G3945" s="6">
        <v>45903</v>
      </c>
      <c r="H3945">
        <v>48</v>
      </c>
      <c r="I3945">
        <f>ROUND(CompilDonnées[[#This Row],[CultureDuration_days]]/7,0)</f>
        <v>7</v>
      </c>
      <c r="J3945">
        <v>2313</v>
      </c>
      <c r="K3945" t="str">
        <f>_xlfn.CONCAT(WEEKNUM(CompilDonnées[[#This Row],[PlantationDate]]), " ", YEAR(CompilDonnées[[#This Row],[PlantationDate]]))</f>
        <v>29 2025</v>
      </c>
      <c r="L3945" t="str">
        <f>CONCATENATE(MONTH(CompilDonnées[[#This Row],[PlantationDate]])," ", YEAR(CompilDonnées[[#This Row],[PlantationDate]]))</f>
        <v>7 2025</v>
      </c>
      <c r="M3945" t="str">
        <f>CONCATENATE(MONTH(CompilDonnées[[#This Row],[HarvestingDate]])," ", YEAR(CompilDonnées[[#This Row],[HarvestingDate]]))</f>
        <v>9 2025</v>
      </c>
      <c r="N3945">
        <f>_xlfn.NUMBERVALUE(CompilDonnées[[#This Row],[FarmID]]&amp;CompilDonnées[[#This Row],[ModuleNumber]]&amp;CompilDonnées[[#This Row],[PlantationDate]])</f>
        <v>106145855</v>
      </c>
      <c r="O3945" t="str">
        <f>CompilDonnées[[#This Row],[FarmID]]&amp;CompilDonnées[[#This Row],[ModuleNumber]]</f>
        <v>1061</v>
      </c>
      <c r="P3945" t="str">
        <f>CompilDonnées[[#This Row],[Ref_Module]]&amp;CompilDonnées[[#This Row],[HarvestingDate]]</f>
        <v>106145903</v>
      </c>
    </row>
    <row r="3946" spans="1:16">
      <c r="A3946" s="5">
        <v>45855</v>
      </c>
      <c r="B3946">
        <v>105</v>
      </c>
      <c r="C3946" t="s">
        <v>12</v>
      </c>
      <c r="D3946">
        <v>4</v>
      </c>
      <c r="E3946">
        <v>100</v>
      </c>
      <c r="F3946" t="s">
        <v>1</v>
      </c>
      <c r="G3946" s="6">
        <v>45894</v>
      </c>
      <c r="H3946">
        <v>39</v>
      </c>
      <c r="I3946">
        <f>ROUND(CompilDonnées[[#This Row],[CultureDuration_days]]/7,0)</f>
        <v>6</v>
      </c>
      <c r="J3946">
        <v>2243</v>
      </c>
      <c r="K3946" t="str">
        <f>_xlfn.CONCAT(WEEKNUM(CompilDonnées[[#This Row],[PlantationDate]]), " ", YEAR(CompilDonnées[[#This Row],[PlantationDate]]))</f>
        <v>29 2025</v>
      </c>
      <c r="L3946" t="str">
        <f>CONCATENATE(MONTH(CompilDonnées[[#This Row],[PlantationDate]])," ", YEAR(CompilDonnées[[#This Row],[PlantationDate]]))</f>
        <v>7 2025</v>
      </c>
      <c r="M3946" t="str">
        <f>CONCATENATE(MONTH(CompilDonnées[[#This Row],[HarvestingDate]])," ", YEAR(CompilDonnées[[#This Row],[HarvestingDate]]))</f>
        <v>8 2025</v>
      </c>
      <c r="N3946">
        <f>_xlfn.NUMBERVALUE(CompilDonnées[[#This Row],[FarmID]]&amp;CompilDonnées[[#This Row],[ModuleNumber]]&amp;CompilDonnées[[#This Row],[PlantationDate]])</f>
        <v>105445855</v>
      </c>
      <c r="O3946" t="str">
        <f>CompilDonnées[[#This Row],[FarmID]]&amp;CompilDonnées[[#This Row],[ModuleNumber]]</f>
        <v>1054</v>
      </c>
      <c r="P3946" t="str">
        <f>CompilDonnées[[#This Row],[Ref_Module]]&amp;CompilDonnées[[#This Row],[HarvestingDate]]</f>
        <v>105445894</v>
      </c>
    </row>
    <row r="3947" spans="1:16">
      <c r="A3947" s="5">
        <v>45855</v>
      </c>
      <c r="B3947">
        <v>104</v>
      </c>
      <c r="C3947" t="s">
        <v>91</v>
      </c>
      <c r="D3947">
        <v>5</v>
      </c>
      <c r="E3947">
        <v>100</v>
      </c>
      <c r="F3947" t="s">
        <v>1</v>
      </c>
      <c r="G3947" s="6">
        <v>45904</v>
      </c>
      <c r="H3947">
        <v>49</v>
      </c>
      <c r="I3947">
        <f>ROUND(CompilDonnées[[#This Row],[CultureDuration_days]]/7,0)</f>
        <v>7</v>
      </c>
      <c r="J3947">
        <v>2255</v>
      </c>
      <c r="K3947" t="str">
        <f>_xlfn.CONCAT(WEEKNUM(CompilDonnées[[#This Row],[PlantationDate]]), " ", YEAR(CompilDonnées[[#This Row],[PlantationDate]]))</f>
        <v>29 2025</v>
      </c>
      <c r="L3947" t="str">
        <f>CONCATENATE(MONTH(CompilDonnées[[#This Row],[PlantationDate]])," ", YEAR(CompilDonnées[[#This Row],[PlantationDate]]))</f>
        <v>7 2025</v>
      </c>
      <c r="M3947" t="str">
        <f>CONCATENATE(MONTH(CompilDonnées[[#This Row],[HarvestingDate]])," ", YEAR(CompilDonnées[[#This Row],[HarvestingDate]]))</f>
        <v>9 2025</v>
      </c>
      <c r="N3947">
        <f>_xlfn.NUMBERVALUE(CompilDonnées[[#This Row],[FarmID]]&amp;CompilDonnées[[#This Row],[ModuleNumber]]&amp;CompilDonnées[[#This Row],[PlantationDate]])</f>
        <v>104545855</v>
      </c>
      <c r="O3947" t="str">
        <f>CompilDonnées[[#This Row],[FarmID]]&amp;CompilDonnées[[#This Row],[ModuleNumber]]</f>
        <v>1045</v>
      </c>
      <c r="P3947" t="str">
        <f>CompilDonnées[[#This Row],[Ref_Module]]&amp;CompilDonnées[[#This Row],[HarvestingDate]]</f>
        <v>104545904</v>
      </c>
    </row>
    <row r="3948" spans="1:16">
      <c r="A3948" s="5">
        <v>45855</v>
      </c>
      <c r="B3948">
        <v>102</v>
      </c>
      <c r="C3948" t="s">
        <v>85</v>
      </c>
      <c r="D3948">
        <v>4</v>
      </c>
      <c r="E3948">
        <v>100</v>
      </c>
      <c r="F3948" t="s">
        <v>1</v>
      </c>
      <c r="G3948" s="6">
        <v>45903</v>
      </c>
      <c r="H3948">
        <v>48</v>
      </c>
      <c r="I3948">
        <f>ROUND(CompilDonnées[[#This Row],[CultureDuration_days]]/7,0)</f>
        <v>7</v>
      </c>
      <c r="J3948">
        <v>1487</v>
      </c>
      <c r="K3948" t="str">
        <f>_xlfn.CONCAT(WEEKNUM(CompilDonnées[[#This Row],[PlantationDate]]), " ", YEAR(CompilDonnées[[#This Row],[PlantationDate]]))</f>
        <v>29 2025</v>
      </c>
      <c r="L3948" t="str">
        <f>CONCATENATE(MONTH(CompilDonnées[[#This Row],[PlantationDate]])," ", YEAR(CompilDonnées[[#This Row],[PlantationDate]]))</f>
        <v>7 2025</v>
      </c>
      <c r="M3948" t="str">
        <f>CONCATENATE(MONTH(CompilDonnées[[#This Row],[HarvestingDate]])," ", YEAR(CompilDonnées[[#This Row],[HarvestingDate]]))</f>
        <v>9 2025</v>
      </c>
      <c r="N3948">
        <f>_xlfn.NUMBERVALUE(CompilDonnées[[#This Row],[FarmID]]&amp;CompilDonnées[[#This Row],[ModuleNumber]]&amp;CompilDonnées[[#This Row],[PlantationDate]])</f>
        <v>102445855</v>
      </c>
      <c r="O3948" t="str">
        <f>CompilDonnées[[#This Row],[FarmID]]&amp;CompilDonnées[[#This Row],[ModuleNumber]]</f>
        <v>1024</v>
      </c>
      <c r="P3948" t="str">
        <f>CompilDonnées[[#This Row],[Ref_Module]]&amp;CompilDonnées[[#This Row],[HarvestingDate]]</f>
        <v>102445903</v>
      </c>
    </row>
    <row r="3949" spans="1:16">
      <c r="A3949" s="5">
        <v>45855</v>
      </c>
      <c r="B3949">
        <v>92</v>
      </c>
      <c r="C3949" t="s">
        <v>66</v>
      </c>
      <c r="D3949">
        <v>1</v>
      </c>
      <c r="E3949">
        <v>100</v>
      </c>
      <c r="F3949" t="s">
        <v>1</v>
      </c>
      <c r="G3949" s="6">
        <v>45903</v>
      </c>
      <c r="H3949">
        <v>48</v>
      </c>
      <c r="I3949">
        <f>ROUND(CompilDonnées[[#This Row],[CultureDuration_days]]/7,0)</f>
        <v>7</v>
      </c>
      <c r="J3949">
        <v>2843</v>
      </c>
      <c r="K3949" t="str">
        <f>_xlfn.CONCAT(WEEKNUM(CompilDonnées[[#This Row],[PlantationDate]]), " ", YEAR(CompilDonnées[[#This Row],[PlantationDate]]))</f>
        <v>29 2025</v>
      </c>
      <c r="L3949" t="str">
        <f>CONCATENATE(MONTH(CompilDonnées[[#This Row],[PlantationDate]])," ", YEAR(CompilDonnées[[#This Row],[PlantationDate]]))</f>
        <v>7 2025</v>
      </c>
      <c r="M3949" t="str">
        <f>CONCATENATE(MONTH(CompilDonnées[[#This Row],[HarvestingDate]])," ", YEAR(CompilDonnées[[#This Row],[HarvestingDate]]))</f>
        <v>9 2025</v>
      </c>
      <c r="N3949">
        <f>_xlfn.NUMBERVALUE(CompilDonnées[[#This Row],[FarmID]]&amp;CompilDonnées[[#This Row],[ModuleNumber]]&amp;CompilDonnées[[#This Row],[PlantationDate]])</f>
        <v>92145855</v>
      </c>
      <c r="O3949" t="str">
        <f>CompilDonnées[[#This Row],[FarmID]]&amp;CompilDonnées[[#This Row],[ModuleNumber]]</f>
        <v>921</v>
      </c>
      <c r="P3949" t="str">
        <f>CompilDonnées[[#This Row],[Ref_Module]]&amp;CompilDonnées[[#This Row],[HarvestingDate]]</f>
        <v>92145903</v>
      </c>
    </row>
    <row r="3950" spans="1:16">
      <c r="A3950" s="5">
        <v>45855</v>
      </c>
      <c r="B3950">
        <v>85</v>
      </c>
      <c r="C3950" t="s">
        <v>56</v>
      </c>
      <c r="D3950">
        <v>1</v>
      </c>
      <c r="E3950">
        <v>100</v>
      </c>
      <c r="F3950" t="s">
        <v>1</v>
      </c>
      <c r="G3950" s="6">
        <v>45910</v>
      </c>
      <c r="H3950">
        <v>55</v>
      </c>
      <c r="I3950">
        <f>ROUND(CompilDonnées[[#This Row],[CultureDuration_days]]/7,0)</f>
        <v>8</v>
      </c>
      <c r="J3950">
        <v>2501</v>
      </c>
      <c r="K3950" t="str">
        <f>_xlfn.CONCAT(WEEKNUM(CompilDonnées[[#This Row],[PlantationDate]]), " ", YEAR(CompilDonnées[[#This Row],[PlantationDate]]))</f>
        <v>29 2025</v>
      </c>
      <c r="L3950" t="str">
        <f>CONCATENATE(MONTH(CompilDonnées[[#This Row],[PlantationDate]])," ", YEAR(CompilDonnées[[#This Row],[PlantationDate]]))</f>
        <v>7 2025</v>
      </c>
      <c r="M3950" t="str">
        <f>CONCATENATE(MONTH(CompilDonnées[[#This Row],[HarvestingDate]])," ", YEAR(CompilDonnées[[#This Row],[HarvestingDate]]))</f>
        <v>9 2025</v>
      </c>
      <c r="N3950">
        <f>_xlfn.NUMBERVALUE(CompilDonnées[[#This Row],[FarmID]]&amp;CompilDonnées[[#This Row],[ModuleNumber]]&amp;CompilDonnées[[#This Row],[PlantationDate]])</f>
        <v>85145855</v>
      </c>
      <c r="O3950" t="str">
        <f>CompilDonnées[[#This Row],[FarmID]]&amp;CompilDonnées[[#This Row],[ModuleNumber]]</f>
        <v>851</v>
      </c>
      <c r="P3950" t="str">
        <f>CompilDonnées[[#This Row],[Ref_Module]]&amp;CompilDonnées[[#This Row],[HarvestingDate]]</f>
        <v>85145910</v>
      </c>
    </row>
    <row r="3951" spans="1:16">
      <c r="A3951" s="5">
        <v>45855</v>
      </c>
      <c r="B3951">
        <v>53</v>
      </c>
      <c r="C3951" t="s">
        <v>83</v>
      </c>
      <c r="D3951">
        <v>2</v>
      </c>
      <c r="E3951">
        <v>100</v>
      </c>
      <c r="F3951" t="s">
        <v>1</v>
      </c>
      <c r="G3951" s="6">
        <v>45896</v>
      </c>
      <c r="H3951">
        <v>41</v>
      </c>
      <c r="I3951">
        <f>ROUND(CompilDonnées[[#This Row],[CultureDuration_days]]/7,0)</f>
        <v>6</v>
      </c>
      <c r="J3951">
        <v>2726</v>
      </c>
      <c r="K3951" t="str">
        <f>_xlfn.CONCAT(WEEKNUM(CompilDonnées[[#This Row],[PlantationDate]]), " ", YEAR(CompilDonnées[[#This Row],[PlantationDate]]))</f>
        <v>29 2025</v>
      </c>
      <c r="L3951" t="str">
        <f>CONCATENATE(MONTH(CompilDonnées[[#This Row],[PlantationDate]])," ", YEAR(CompilDonnées[[#This Row],[PlantationDate]]))</f>
        <v>7 2025</v>
      </c>
      <c r="M3951" t="str">
        <f>CONCATENATE(MONTH(CompilDonnées[[#This Row],[HarvestingDate]])," ", YEAR(CompilDonnées[[#This Row],[HarvestingDate]]))</f>
        <v>8 2025</v>
      </c>
      <c r="N3951">
        <f>_xlfn.NUMBERVALUE(CompilDonnées[[#This Row],[FarmID]]&amp;CompilDonnées[[#This Row],[ModuleNumber]]&amp;CompilDonnées[[#This Row],[PlantationDate]])</f>
        <v>53245855</v>
      </c>
      <c r="O3951" t="str">
        <f>CompilDonnées[[#This Row],[FarmID]]&amp;CompilDonnées[[#This Row],[ModuleNumber]]</f>
        <v>532</v>
      </c>
      <c r="P3951" t="str">
        <f>CompilDonnées[[#This Row],[Ref_Module]]&amp;CompilDonnées[[#This Row],[HarvestingDate]]</f>
        <v>53245896</v>
      </c>
    </row>
    <row r="3952" spans="1:16">
      <c r="A3952" s="5">
        <v>45855</v>
      </c>
      <c r="B3952">
        <v>69</v>
      </c>
      <c r="C3952" t="s">
        <v>102</v>
      </c>
      <c r="D3952">
        <v>2</v>
      </c>
      <c r="E3952">
        <v>100</v>
      </c>
      <c r="F3952" t="s">
        <v>1</v>
      </c>
      <c r="G3952" s="6">
        <v>45902</v>
      </c>
      <c r="H3952">
        <v>47</v>
      </c>
      <c r="I3952">
        <f>ROUND(CompilDonnées[[#This Row],[CultureDuration_days]]/7,0)</f>
        <v>7</v>
      </c>
      <c r="J3952">
        <v>2452</v>
      </c>
      <c r="K3952" t="str">
        <f>_xlfn.CONCAT(WEEKNUM(CompilDonnées[[#This Row],[PlantationDate]]), " ", YEAR(CompilDonnées[[#This Row],[PlantationDate]]))</f>
        <v>29 2025</v>
      </c>
      <c r="L3952" t="str">
        <f>CONCATENATE(MONTH(CompilDonnées[[#This Row],[PlantationDate]])," ", YEAR(CompilDonnées[[#This Row],[PlantationDate]]))</f>
        <v>7 2025</v>
      </c>
      <c r="M3952" t="str">
        <f>CONCATENATE(MONTH(CompilDonnées[[#This Row],[HarvestingDate]])," ", YEAR(CompilDonnées[[#This Row],[HarvestingDate]]))</f>
        <v>9 2025</v>
      </c>
      <c r="N3952">
        <f>_xlfn.NUMBERVALUE(CompilDonnées[[#This Row],[FarmID]]&amp;CompilDonnées[[#This Row],[ModuleNumber]]&amp;CompilDonnées[[#This Row],[PlantationDate]])</f>
        <v>69245855</v>
      </c>
      <c r="O3952" t="str">
        <f>CompilDonnées[[#This Row],[FarmID]]&amp;CompilDonnées[[#This Row],[ModuleNumber]]</f>
        <v>692</v>
      </c>
      <c r="P3952" t="str">
        <f>CompilDonnées[[#This Row],[Ref_Module]]&amp;CompilDonnées[[#This Row],[HarvestingDate]]</f>
        <v>69245902</v>
      </c>
    </row>
    <row r="3953" spans="1:16">
      <c r="A3953" s="5">
        <v>45855</v>
      </c>
      <c r="B3953">
        <v>60</v>
      </c>
      <c r="C3953" t="s">
        <v>113</v>
      </c>
      <c r="D3953">
        <v>4</v>
      </c>
      <c r="E3953">
        <v>100</v>
      </c>
      <c r="F3953" t="s">
        <v>1</v>
      </c>
      <c r="G3953" s="6">
        <v>45902</v>
      </c>
      <c r="H3953">
        <v>47</v>
      </c>
      <c r="I3953">
        <f>ROUND(CompilDonnées[[#This Row],[CultureDuration_days]]/7,0)</f>
        <v>7</v>
      </c>
      <c r="J3953">
        <v>2867</v>
      </c>
      <c r="K3953" t="str">
        <f>_xlfn.CONCAT(WEEKNUM(CompilDonnées[[#This Row],[PlantationDate]]), " ", YEAR(CompilDonnées[[#This Row],[PlantationDate]]))</f>
        <v>29 2025</v>
      </c>
      <c r="L3953" t="str">
        <f>CONCATENATE(MONTH(CompilDonnées[[#This Row],[PlantationDate]])," ", YEAR(CompilDonnées[[#This Row],[PlantationDate]]))</f>
        <v>7 2025</v>
      </c>
      <c r="M3953" t="str">
        <f>CONCATENATE(MONTH(CompilDonnées[[#This Row],[HarvestingDate]])," ", YEAR(CompilDonnées[[#This Row],[HarvestingDate]]))</f>
        <v>9 2025</v>
      </c>
      <c r="N3953">
        <f>_xlfn.NUMBERVALUE(CompilDonnées[[#This Row],[FarmID]]&amp;CompilDonnées[[#This Row],[ModuleNumber]]&amp;CompilDonnées[[#This Row],[PlantationDate]])</f>
        <v>60445855</v>
      </c>
      <c r="O3953" t="str">
        <f>CompilDonnées[[#This Row],[FarmID]]&amp;CompilDonnées[[#This Row],[ModuleNumber]]</f>
        <v>604</v>
      </c>
      <c r="P3953" t="str">
        <f>CompilDonnées[[#This Row],[Ref_Module]]&amp;CompilDonnées[[#This Row],[HarvestingDate]]</f>
        <v>60445902</v>
      </c>
    </row>
    <row r="3954" spans="1:16">
      <c r="A3954" s="5">
        <v>45855</v>
      </c>
      <c r="B3954">
        <v>70</v>
      </c>
      <c r="C3954" t="s">
        <v>7</v>
      </c>
      <c r="D3954">
        <v>4</v>
      </c>
      <c r="E3954">
        <v>100</v>
      </c>
      <c r="F3954" t="s">
        <v>1</v>
      </c>
      <c r="G3954" s="6">
        <v>45896</v>
      </c>
      <c r="H3954">
        <v>41</v>
      </c>
      <c r="I3954">
        <f>ROUND(CompilDonnées[[#This Row],[CultureDuration_days]]/7,0)</f>
        <v>6</v>
      </c>
      <c r="J3954">
        <v>2435</v>
      </c>
      <c r="K3954" t="str">
        <f>_xlfn.CONCAT(WEEKNUM(CompilDonnées[[#This Row],[PlantationDate]]), " ", YEAR(CompilDonnées[[#This Row],[PlantationDate]]))</f>
        <v>29 2025</v>
      </c>
      <c r="L3954" t="str">
        <f>CONCATENATE(MONTH(CompilDonnées[[#This Row],[PlantationDate]])," ", YEAR(CompilDonnées[[#This Row],[PlantationDate]]))</f>
        <v>7 2025</v>
      </c>
      <c r="M3954" t="str">
        <f>CONCATENATE(MONTH(CompilDonnées[[#This Row],[HarvestingDate]])," ", YEAR(CompilDonnées[[#This Row],[HarvestingDate]]))</f>
        <v>8 2025</v>
      </c>
      <c r="N3954">
        <f>_xlfn.NUMBERVALUE(CompilDonnées[[#This Row],[FarmID]]&amp;CompilDonnées[[#This Row],[ModuleNumber]]&amp;CompilDonnées[[#This Row],[PlantationDate]])</f>
        <v>70445855</v>
      </c>
      <c r="O3954" t="str">
        <f>CompilDonnées[[#This Row],[FarmID]]&amp;CompilDonnées[[#This Row],[ModuleNumber]]</f>
        <v>704</v>
      </c>
      <c r="P3954" t="str">
        <f>CompilDonnées[[#This Row],[Ref_Module]]&amp;CompilDonnées[[#This Row],[HarvestingDate]]</f>
        <v>70445896</v>
      </c>
    </row>
    <row r="3955" spans="1:16">
      <c r="A3955" s="5">
        <v>45855</v>
      </c>
      <c r="B3955">
        <v>43</v>
      </c>
      <c r="C3955" t="s">
        <v>45</v>
      </c>
      <c r="D3955">
        <v>2</v>
      </c>
      <c r="E3955">
        <v>100</v>
      </c>
      <c r="F3955" t="s">
        <v>1</v>
      </c>
      <c r="G3955" s="6">
        <v>45897</v>
      </c>
      <c r="H3955">
        <v>42</v>
      </c>
      <c r="I3955">
        <f>ROUND(CompilDonnées[[#This Row],[CultureDuration_days]]/7,0)</f>
        <v>6</v>
      </c>
      <c r="J3955">
        <v>2506</v>
      </c>
      <c r="K3955" t="str">
        <f>_xlfn.CONCAT(WEEKNUM(CompilDonnées[[#This Row],[PlantationDate]]), " ", YEAR(CompilDonnées[[#This Row],[PlantationDate]]))</f>
        <v>29 2025</v>
      </c>
      <c r="L3955" t="str">
        <f>CONCATENATE(MONTH(CompilDonnées[[#This Row],[PlantationDate]])," ", YEAR(CompilDonnées[[#This Row],[PlantationDate]]))</f>
        <v>7 2025</v>
      </c>
      <c r="M3955" t="str">
        <f>CONCATENATE(MONTH(CompilDonnées[[#This Row],[HarvestingDate]])," ", YEAR(CompilDonnées[[#This Row],[HarvestingDate]]))</f>
        <v>8 2025</v>
      </c>
      <c r="N3955">
        <f>_xlfn.NUMBERVALUE(CompilDonnées[[#This Row],[FarmID]]&amp;CompilDonnées[[#This Row],[ModuleNumber]]&amp;CompilDonnées[[#This Row],[PlantationDate]])</f>
        <v>43245855</v>
      </c>
      <c r="O3955" t="str">
        <f>CompilDonnées[[#This Row],[FarmID]]&amp;CompilDonnées[[#This Row],[ModuleNumber]]</f>
        <v>432</v>
      </c>
      <c r="P3955" t="str">
        <f>CompilDonnées[[#This Row],[Ref_Module]]&amp;CompilDonnées[[#This Row],[HarvestingDate]]</f>
        <v>43245897</v>
      </c>
    </row>
    <row r="3956" spans="1:16">
      <c r="A3956" s="5">
        <v>45855</v>
      </c>
      <c r="B3956">
        <v>84</v>
      </c>
      <c r="C3956" t="s">
        <v>65</v>
      </c>
      <c r="D3956">
        <v>1</v>
      </c>
      <c r="E3956">
        <v>100</v>
      </c>
      <c r="F3956" t="s">
        <v>1</v>
      </c>
      <c r="G3956" s="6">
        <v>45903</v>
      </c>
      <c r="H3956">
        <v>48</v>
      </c>
      <c r="I3956">
        <f>ROUND(CompilDonnées[[#This Row],[CultureDuration_days]]/7,0)</f>
        <v>7</v>
      </c>
      <c r="J3956">
        <v>2665</v>
      </c>
      <c r="K3956" t="str">
        <f>_xlfn.CONCAT(WEEKNUM(CompilDonnées[[#This Row],[PlantationDate]]), " ", YEAR(CompilDonnées[[#This Row],[PlantationDate]]))</f>
        <v>29 2025</v>
      </c>
      <c r="L3956" t="str">
        <f>CONCATENATE(MONTH(CompilDonnées[[#This Row],[PlantationDate]])," ", YEAR(CompilDonnées[[#This Row],[PlantationDate]]))</f>
        <v>7 2025</v>
      </c>
      <c r="M3956" t="str">
        <f>CONCATENATE(MONTH(CompilDonnées[[#This Row],[HarvestingDate]])," ", YEAR(CompilDonnées[[#This Row],[HarvestingDate]]))</f>
        <v>9 2025</v>
      </c>
      <c r="N3956">
        <f>_xlfn.NUMBERVALUE(CompilDonnées[[#This Row],[FarmID]]&amp;CompilDonnées[[#This Row],[ModuleNumber]]&amp;CompilDonnées[[#This Row],[PlantationDate]])</f>
        <v>84145855</v>
      </c>
      <c r="O3956" t="str">
        <f>CompilDonnées[[#This Row],[FarmID]]&amp;CompilDonnées[[#This Row],[ModuleNumber]]</f>
        <v>841</v>
      </c>
      <c r="P3956" t="str">
        <f>CompilDonnées[[#This Row],[Ref_Module]]&amp;CompilDonnées[[#This Row],[HarvestingDate]]</f>
        <v>84145903</v>
      </c>
    </row>
    <row r="3957" spans="1:16">
      <c r="A3957" s="5">
        <v>45855</v>
      </c>
      <c r="B3957">
        <v>79</v>
      </c>
      <c r="C3957" t="s">
        <v>61</v>
      </c>
      <c r="D3957">
        <v>5</v>
      </c>
      <c r="E3957">
        <v>100</v>
      </c>
      <c r="F3957" t="s">
        <v>1</v>
      </c>
      <c r="G3957" s="6">
        <v>45896</v>
      </c>
      <c r="H3957">
        <v>41</v>
      </c>
      <c r="I3957">
        <f>ROUND(CompilDonnées[[#This Row],[CultureDuration_days]]/7,0)</f>
        <v>6</v>
      </c>
      <c r="J3957">
        <v>3401</v>
      </c>
      <c r="K3957" t="str">
        <f>_xlfn.CONCAT(WEEKNUM(CompilDonnées[[#This Row],[PlantationDate]]), " ", YEAR(CompilDonnées[[#This Row],[PlantationDate]]))</f>
        <v>29 2025</v>
      </c>
      <c r="L3957" t="str">
        <f>CONCATENATE(MONTH(CompilDonnées[[#This Row],[PlantationDate]])," ", YEAR(CompilDonnées[[#This Row],[PlantationDate]]))</f>
        <v>7 2025</v>
      </c>
      <c r="M3957" t="str">
        <f>CONCATENATE(MONTH(CompilDonnées[[#This Row],[HarvestingDate]])," ", YEAR(CompilDonnées[[#This Row],[HarvestingDate]]))</f>
        <v>8 2025</v>
      </c>
      <c r="N3957">
        <f>_xlfn.NUMBERVALUE(CompilDonnées[[#This Row],[FarmID]]&amp;CompilDonnées[[#This Row],[ModuleNumber]]&amp;CompilDonnées[[#This Row],[PlantationDate]])</f>
        <v>79545855</v>
      </c>
      <c r="O3957" t="str">
        <f>CompilDonnées[[#This Row],[FarmID]]&amp;CompilDonnées[[#This Row],[ModuleNumber]]</f>
        <v>795</v>
      </c>
      <c r="P3957" t="str">
        <f>CompilDonnées[[#This Row],[Ref_Module]]&amp;CompilDonnées[[#This Row],[HarvestingDate]]</f>
        <v>79545896</v>
      </c>
    </row>
    <row r="3958" spans="1:16">
      <c r="A3958" s="5">
        <v>45855</v>
      </c>
      <c r="B3958">
        <v>83</v>
      </c>
      <c r="C3958" t="s">
        <v>73</v>
      </c>
      <c r="D3958">
        <v>1</v>
      </c>
      <c r="E3958">
        <v>100</v>
      </c>
      <c r="F3958" t="s">
        <v>1</v>
      </c>
      <c r="G3958" s="6">
        <v>45895</v>
      </c>
      <c r="H3958">
        <v>40</v>
      </c>
      <c r="I3958">
        <f>ROUND(CompilDonnées[[#This Row],[CultureDuration_days]]/7,0)</f>
        <v>6</v>
      </c>
      <c r="J3958">
        <v>3070</v>
      </c>
      <c r="K3958" t="str">
        <f>_xlfn.CONCAT(WEEKNUM(CompilDonnées[[#This Row],[PlantationDate]]), " ", YEAR(CompilDonnées[[#This Row],[PlantationDate]]))</f>
        <v>29 2025</v>
      </c>
      <c r="L3958" t="str">
        <f>CONCATENATE(MONTH(CompilDonnées[[#This Row],[PlantationDate]])," ", YEAR(CompilDonnées[[#This Row],[PlantationDate]]))</f>
        <v>7 2025</v>
      </c>
      <c r="M3958" t="str">
        <f>CONCATENATE(MONTH(CompilDonnées[[#This Row],[HarvestingDate]])," ", YEAR(CompilDonnées[[#This Row],[HarvestingDate]]))</f>
        <v>8 2025</v>
      </c>
      <c r="N3958">
        <f>_xlfn.NUMBERVALUE(CompilDonnées[[#This Row],[FarmID]]&amp;CompilDonnées[[#This Row],[ModuleNumber]]&amp;CompilDonnées[[#This Row],[PlantationDate]])</f>
        <v>83145855</v>
      </c>
      <c r="O3958" t="str">
        <f>CompilDonnées[[#This Row],[FarmID]]&amp;CompilDonnées[[#This Row],[ModuleNumber]]</f>
        <v>831</v>
      </c>
      <c r="P3958" t="str">
        <f>CompilDonnées[[#This Row],[Ref_Module]]&amp;CompilDonnées[[#This Row],[HarvestingDate]]</f>
        <v>83145895</v>
      </c>
    </row>
    <row r="3959" spans="1:16">
      <c r="A3959" s="5">
        <v>45855</v>
      </c>
      <c r="B3959">
        <v>81</v>
      </c>
      <c r="C3959" t="s">
        <v>30</v>
      </c>
      <c r="D3959">
        <v>2</v>
      </c>
      <c r="E3959">
        <v>100</v>
      </c>
      <c r="F3959" t="s">
        <v>1</v>
      </c>
      <c r="G3959" s="6">
        <v>45903</v>
      </c>
      <c r="H3959">
        <v>48</v>
      </c>
      <c r="I3959">
        <f>ROUND(CompilDonnées[[#This Row],[CultureDuration_days]]/7,0)</f>
        <v>7</v>
      </c>
      <c r="J3959">
        <v>3710</v>
      </c>
      <c r="K3959" t="str">
        <f>_xlfn.CONCAT(WEEKNUM(CompilDonnées[[#This Row],[PlantationDate]]), " ", YEAR(CompilDonnées[[#This Row],[PlantationDate]]))</f>
        <v>29 2025</v>
      </c>
      <c r="L3959" t="str">
        <f>CONCATENATE(MONTH(CompilDonnées[[#This Row],[PlantationDate]])," ", YEAR(CompilDonnées[[#This Row],[PlantationDate]]))</f>
        <v>7 2025</v>
      </c>
      <c r="M3959" t="str">
        <f>CONCATENATE(MONTH(CompilDonnées[[#This Row],[HarvestingDate]])," ", YEAR(CompilDonnées[[#This Row],[HarvestingDate]]))</f>
        <v>9 2025</v>
      </c>
      <c r="N3959">
        <f>_xlfn.NUMBERVALUE(CompilDonnées[[#This Row],[FarmID]]&amp;CompilDonnées[[#This Row],[ModuleNumber]]&amp;CompilDonnées[[#This Row],[PlantationDate]])</f>
        <v>81245855</v>
      </c>
      <c r="O3959" t="str">
        <f>CompilDonnées[[#This Row],[FarmID]]&amp;CompilDonnées[[#This Row],[ModuleNumber]]</f>
        <v>812</v>
      </c>
      <c r="P3959" t="str">
        <f>CompilDonnées[[#This Row],[Ref_Module]]&amp;CompilDonnées[[#This Row],[HarvestingDate]]</f>
        <v>81245903</v>
      </c>
    </row>
    <row r="3960" spans="1:16">
      <c r="A3960" s="5">
        <v>45855</v>
      </c>
      <c r="B3960">
        <v>71</v>
      </c>
      <c r="C3960" t="s">
        <v>19</v>
      </c>
      <c r="D3960">
        <v>2</v>
      </c>
      <c r="E3960">
        <v>100</v>
      </c>
      <c r="F3960" t="s">
        <v>1</v>
      </c>
      <c r="G3960" s="6">
        <v>45902</v>
      </c>
      <c r="H3960">
        <v>47</v>
      </c>
      <c r="I3960">
        <f>ROUND(CompilDonnées[[#This Row],[CultureDuration_days]]/7,0)</f>
        <v>7</v>
      </c>
      <c r="J3960">
        <v>2800</v>
      </c>
      <c r="K3960" t="str">
        <f>_xlfn.CONCAT(WEEKNUM(CompilDonnées[[#This Row],[PlantationDate]]), " ", YEAR(CompilDonnées[[#This Row],[PlantationDate]]))</f>
        <v>29 2025</v>
      </c>
      <c r="L3960" t="str">
        <f>CONCATENATE(MONTH(CompilDonnées[[#This Row],[PlantationDate]])," ", YEAR(CompilDonnées[[#This Row],[PlantationDate]]))</f>
        <v>7 2025</v>
      </c>
      <c r="M3960" t="str">
        <f>CONCATENATE(MONTH(CompilDonnées[[#This Row],[HarvestingDate]])," ", YEAR(CompilDonnées[[#This Row],[HarvestingDate]]))</f>
        <v>9 2025</v>
      </c>
      <c r="N3960">
        <f>_xlfn.NUMBERVALUE(CompilDonnées[[#This Row],[FarmID]]&amp;CompilDonnées[[#This Row],[ModuleNumber]]&amp;CompilDonnées[[#This Row],[PlantationDate]])</f>
        <v>71245855</v>
      </c>
      <c r="O3960" t="str">
        <f>CompilDonnées[[#This Row],[FarmID]]&amp;CompilDonnées[[#This Row],[ModuleNumber]]</f>
        <v>712</v>
      </c>
      <c r="P3960" t="str">
        <f>CompilDonnées[[#This Row],[Ref_Module]]&amp;CompilDonnées[[#This Row],[HarvestingDate]]</f>
        <v>71245902</v>
      </c>
    </row>
    <row r="3961" spans="1:16">
      <c r="A3961" s="5">
        <v>45855</v>
      </c>
      <c r="B3961">
        <v>51</v>
      </c>
      <c r="C3961" t="s">
        <v>27</v>
      </c>
      <c r="D3961">
        <v>6</v>
      </c>
      <c r="E3961">
        <v>100</v>
      </c>
      <c r="F3961" t="s">
        <v>1</v>
      </c>
      <c r="G3961" s="6">
        <v>45901</v>
      </c>
      <c r="H3961">
        <v>46</v>
      </c>
      <c r="I3961">
        <f>ROUND(CompilDonnées[[#This Row],[CultureDuration_days]]/7,0)</f>
        <v>7</v>
      </c>
      <c r="J3961">
        <v>2139</v>
      </c>
      <c r="K3961" t="str">
        <f>_xlfn.CONCAT(WEEKNUM(CompilDonnées[[#This Row],[PlantationDate]]), " ", YEAR(CompilDonnées[[#This Row],[PlantationDate]]))</f>
        <v>29 2025</v>
      </c>
      <c r="L3961" t="str">
        <f>CONCATENATE(MONTH(CompilDonnées[[#This Row],[PlantationDate]])," ", YEAR(CompilDonnées[[#This Row],[PlantationDate]]))</f>
        <v>7 2025</v>
      </c>
      <c r="M3961" t="str">
        <f>CONCATENATE(MONTH(CompilDonnées[[#This Row],[HarvestingDate]])," ", YEAR(CompilDonnées[[#This Row],[HarvestingDate]]))</f>
        <v>9 2025</v>
      </c>
      <c r="N3961">
        <f>_xlfn.NUMBERVALUE(CompilDonnées[[#This Row],[FarmID]]&amp;CompilDonnées[[#This Row],[ModuleNumber]]&amp;CompilDonnées[[#This Row],[PlantationDate]])</f>
        <v>51645855</v>
      </c>
      <c r="O3961" t="str">
        <f>CompilDonnées[[#This Row],[FarmID]]&amp;CompilDonnées[[#This Row],[ModuleNumber]]</f>
        <v>516</v>
      </c>
      <c r="P3961" t="str">
        <f>CompilDonnées[[#This Row],[Ref_Module]]&amp;CompilDonnées[[#This Row],[HarvestingDate]]</f>
        <v>51645901</v>
      </c>
    </row>
    <row r="3962" spans="1:16">
      <c r="A3962" s="5">
        <v>45855</v>
      </c>
      <c r="B3962">
        <v>50</v>
      </c>
      <c r="C3962" t="s">
        <v>55</v>
      </c>
      <c r="D3962">
        <v>3</v>
      </c>
      <c r="E3962">
        <v>100</v>
      </c>
      <c r="F3962" t="s">
        <v>1</v>
      </c>
      <c r="G3962" s="6">
        <v>45902</v>
      </c>
      <c r="H3962">
        <v>47</v>
      </c>
      <c r="I3962">
        <f>ROUND(CompilDonnées[[#This Row],[CultureDuration_days]]/7,0)</f>
        <v>7</v>
      </c>
      <c r="J3962">
        <v>3032</v>
      </c>
      <c r="K3962" t="str">
        <f>_xlfn.CONCAT(WEEKNUM(CompilDonnées[[#This Row],[PlantationDate]]), " ", YEAR(CompilDonnées[[#This Row],[PlantationDate]]))</f>
        <v>29 2025</v>
      </c>
      <c r="L3962" t="str">
        <f>CONCATENATE(MONTH(CompilDonnées[[#This Row],[PlantationDate]])," ", YEAR(CompilDonnées[[#This Row],[PlantationDate]]))</f>
        <v>7 2025</v>
      </c>
      <c r="M3962" t="str">
        <f>CONCATENATE(MONTH(CompilDonnées[[#This Row],[HarvestingDate]])," ", YEAR(CompilDonnées[[#This Row],[HarvestingDate]]))</f>
        <v>9 2025</v>
      </c>
      <c r="N3962">
        <f>_xlfn.NUMBERVALUE(CompilDonnées[[#This Row],[FarmID]]&amp;CompilDonnées[[#This Row],[ModuleNumber]]&amp;CompilDonnées[[#This Row],[PlantationDate]])</f>
        <v>50345855</v>
      </c>
      <c r="O3962" t="str">
        <f>CompilDonnées[[#This Row],[FarmID]]&amp;CompilDonnées[[#This Row],[ModuleNumber]]</f>
        <v>503</v>
      </c>
      <c r="P3962" t="str">
        <f>CompilDonnées[[#This Row],[Ref_Module]]&amp;CompilDonnées[[#This Row],[HarvestingDate]]</f>
        <v>50345902</v>
      </c>
    </row>
    <row r="3963" spans="1:16">
      <c r="A3963" s="5">
        <v>45855</v>
      </c>
      <c r="B3963">
        <v>48</v>
      </c>
      <c r="C3963" t="s">
        <v>71</v>
      </c>
      <c r="D3963">
        <v>6</v>
      </c>
      <c r="E3963">
        <v>100</v>
      </c>
      <c r="F3963" t="s">
        <v>1</v>
      </c>
      <c r="G3963" s="6">
        <v>45896</v>
      </c>
      <c r="H3963">
        <v>41</v>
      </c>
      <c r="I3963">
        <f>ROUND(CompilDonnées[[#This Row],[CultureDuration_days]]/7,0)</f>
        <v>6</v>
      </c>
      <c r="J3963">
        <v>2498</v>
      </c>
      <c r="K3963" t="str">
        <f>_xlfn.CONCAT(WEEKNUM(CompilDonnées[[#This Row],[PlantationDate]]), " ", YEAR(CompilDonnées[[#This Row],[PlantationDate]]))</f>
        <v>29 2025</v>
      </c>
      <c r="L3963" t="str">
        <f>CONCATENATE(MONTH(CompilDonnées[[#This Row],[PlantationDate]])," ", YEAR(CompilDonnées[[#This Row],[PlantationDate]]))</f>
        <v>7 2025</v>
      </c>
      <c r="M3963" t="str">
        <f>CONCATENATE(MONTH(CompilDonnées[[#This Row],[HarvestingDate]])," ", YEAR(CompilDonnées[[#This Row],[HarvestingDate]]))</f>
        <v>8 2025</v>
      </c>
      <c r="N3963">
        <f>_xlfn.NUMBERVALUE(CompilDonnées[[#This Row],[FarmID]]&amp;CompilDonnées[[#This Row],[ModuleNumber]]&amp;CompilDonnées[[#This Row],[PlantationDate]])</f>
        <v>48645855</v>
      </c>
      <c r="O3963" t="str">
        <f>CompilDonnées[[#This Row],[FarmID]]&amp;CompilDonnées[[#This Row],[ModuleNumber]]</f>
        <v>486</v>
      </c>
      <c r="P3963" t="str">
        <f>CompilDonnées[[#This Row],[Ref_Module]]&amp;CompilDonnées[[#This Row],[HarvestingDate]]</f>
        <v>48645896</v>
      </c>
    </row>
    <row r="3964" spans="1:16">
      <c r="A3964" s="5">
        <v>45855</v>
      </c>
      <c r="B3964">
        <v>68</v>
      </c>
      <c r="C3964" t="s">
        <v>89</v>
      </c>
      <c r="D3964">
        <v>3</v>
      </c>
      <c r="E3964">
        <v>100</v>
      </c>
      <c r="F3964" t="s">
        <v>1</v>
      </c>
      <c r="G3964" s="6">
        <v>45896</v>
      </c>
      <c r="H3964">
        <v>41</v>
      </c>
      <c r="I3964">
        <f>ROUND(CompilDonnées[[#This Row],[CultureDuration_days]]/7,0)</f>
        <v>6</v>
      </c>
      <c r="J3964">
        <v>3469</v>
      </c>
      <c r="K3964" t="str">
        <f>_xlfn.CONCAT(WEEKNUM(CompilDonnées[[#This Row],[PlantationDate]]), " ", YEAR(CompilDonnées[[#This Row],[PlantationDate]]))</f>
        <v>29 2025</v>
      </c>
      <c r="L3964" t="str">
        <f>CONCATENATE(MONTH(CompilDonnées[[#This Row],[PlantationDate]])," ", YEAR(CompilDonnées[[#This Row],[PlantationDate]]))</f>
        <v>7 2025</v>
      </c>
      <c r="M3964" t="str">
        <f>CONCATENATE(MONTH(CompilDonnées[[#This Row],[HarvestingDate]])," ", YEAR(CompilDonnées[[#This Row],[HarvestingDate]]))</f>
        <v>8 2025</v>
      </c>
      <c r="N3964">
        <f>_xlfn.NUMBERVALUE(CompilDonnées[[#This Row],[FarmID]]&amp;CompilDonnées[[#This Row],[ModuleNumber]]&amp;CompilDonnées[[#This Row],[PlantationDate]])</f>
        <v>68345855</v>
      </c>
      <c r="O3964" t="str">
        <f>CompilDonnées[[#This Row],[FarmID]]&amp;CompilDonnées[[#This Row],[ModuleNumber]]</f>
        <v>683</v>
      </c>
      <c r="P3964" t="str">
        <f>CompilDonnées[[#This Row],[Ref_Module]]&amp;CompilDonnées[[#This Row],[HarvestingDate]]</f>
        <v>68345896</v>
      </c>
    </row>
    <row r="3965" spans="1:16">
      <c r="A3965" s="5">
        <v>45855</v>
      </c>
      <c r="B3965">
        <v>67</v>
      </c>
      <c r="C3965" t="s">
        <v>28</v>
      </c>
      <c r="D3965">
        <v>6</v>
      </c>
      <c r="E3965">
        <v>100</v>
      </c>
      <c r="F3965" t="s">
        <v>1</v>
      </c>
      <c r="G3965" s="6">
        <v>45896</v>
      </c>
      <c r="H3965">
        <v>41</v>
      </c>
      <c r="I3965">
        <f>ROUND(CompilDonnées[[#This Row],[CultureDuration_days]]/7,0)</f>
        <v>6</v>
      </c>
      <c r="J3965">
        <v>3263</v>
      </c>
      <c r="K3965" t="str">
        <f>_xlfn.CONCAT(WEEKNUM(CompilDonnées[[#This Row],[PlantationDate]]), " ", YEAR(CompilDonnées[[#This Row],[PlantationDate]]))</f>
        <v>29 2025</v>
      </c>
      <c r="L3965" t="str">
        <f>CONCATENATE(MONTH(CompilDonnées[[#This Row],[PlantationDate]])," ", YEAR(CompilDonnées[[#This Row],[PlantationDate]]))</f>
        <v>7 2025</v>
      </c>
      <c r="M3965" t="str">
        <f>CONCATENATE(MONTH(CompilDonnées[[#This Row],[HarvestingDate]])," ", YEAR(CompilDonnées[[#This Row],[HarvestingDate]]))</f>
        <v>8 2025</v>
      </c>
      <c r="N3965">
        <f>_xlfn.NUMBERVALUE(CompilDonnées[[#This Row],[FarmID]]&amp;CompilDonnées[[#This Row],[ModuleNumber]]&amp;CompilDonnées[[#This Row],[PlantationDate]])</f>
        <v>67645855</v>
      </c>
      <c r="O3965" t="str">
        <f>CompilDonnées[[#This Row],[FarmID]]&amp;CompilDonnées[[#This Row],[ModuleNumber]]</f>
        <v>676</v>
      </c>
      <c r="P3965" t="str">
        <f>CompilDonnées[[#This Row],[Ref_Module]]&amp;CompilDonnées[[#This Row],[HarvestingDate]]</f>
        <v>67645896</v>
      </c>
    </row>
    <row r="3966" spans="1:16">
      <c r="A3966" s="5">
        <v>45855</v>
      </c>
      <c r="B3966">
        <v>49</v>
      </c>
      <c r="C3966" t="s">
        <v>110</v>
      </c>
      <c r="D3966">
        <v>5</v>
      </c>
      <c r="E3966">
        <v>100</v>
      </c>
      <c r="F3966" t="s">
        <v>1</v>
      </c>
      <c r="G3966" s="6">
        <v>45902</v>
      </c>
      <c r="H3966">
        <v>47</v>
      </c>
      <c r="I3966">
        <f>ROUND(CompilDonnées[[#This Row],[CultureDuration_days]]/7,0)</f>
        <v>7</v>
      </c>
      <c r="J3966">
        <v>2934</v>
      </c>
      <c r="K3966" t="str">
        <f>_xlfn.CONCAT(WEEKNUM(CompilDonnées[[#This Row],[PlantationDate]]), " ", YEAR(CompilDonnées[[#This Row],[PlantationDate]]))</f>
        <v>29 2025</v>
      </c>
      <c r="L3966" t="str">
        <f>CONCATENATE(MONTH(CompilDonnées[[#This Row],[PlantationDate]])," ", YEAR(CompilDonnées[[#This Row],[PlantationDate]]))</f>
        <v>7 2025</v>
      </c>
      <c r="M3966" t="str">
        <f>CONCATENATE(MONTH(CompilDonnées[[#This Row],[HarvestingDate]])," ", YEAR(CompilDonnées[[#This Row],[HarvestingDate]]))</f>
        <v>9 2025</v>
      </c>
      <c r="N3966">
        <f>_xlfn.NUMBERVALUE(CompilDonnées[[#This Row],[FarmID]]&amp;CompilDonnées[[#This Row],[ModuleNumber]]&amp;CompilDonnées[[#This Row],[PlantationDate]])</f>
        <v>49545855</v>
      </c>
      <c r="O3966" t="str">
        <f>CompilDonnées[[#This Row],[FarmID]]&amp;CompilDonnées[[#This Row],[ModuleNumber]]</f>
        <v>495</v>
      </c>
      <c r="P3966" t="str">
        <f>CompilDonnées[[#This Row],[Ref_Module]]&amp;CompilDonnées[[#This Row],[HarvestingDate]]</f>
        <v>49545902</v>
      </c>
    </row>
    <row r="3967" spans="1:16">
      <c r="A3967" s="5">
        <v>45855</v>
      </c>
      <c r="B3967">
        <v>73</v>
      </c>
      <c r="C3967" t="s">
        <v>20</v>
      </c>
      <c r="D3967">
        <v>3</v>
      </c>
      <c r="E3967">
        <v>100</v>
      </c>
      <c r="F3967" t="s">
        <v>1</v>
      </c>
      <c r="G3967" s="6">
        <v>45895</v>
      </c>
      <c r="H3967">
        <v>40</v>
      </c>
      <c r="I3967">
        <f>ROUND(CompilDonnées[[#This Row],[CultureDuration_days]]/7,0)</f>
        <v>6</v>
      </c>
      <c r="J3967">
        <v>2613</v>
      </c>
      <c r="K3967" t="str">
        <f>_xlfn.CONCAT(WEEKNUM(CompilDonnées[[#This Row],[PlantationDate]]), " ", YEAR(CompilDonnées[[#This Row],[PlantationDate]]))</f>
        <v>29 2025</v>
      </c>
      <c r="L3967" t="str">
        <f>CONCATENATE(MONTH(CompilDonnées[[#This Row],[PlantationDate]])," ", YEAR(CompilDonnées[[#This Row],[PlantationDate]]))</f>
        <v>7 2025</v>
      </c>
      <c r="M3967" t="str">
        <f>CONCATENATE(MONTH(CompilDonnées[[#This Row],[HarvestingDate]])," ", YEAR(CompilDonnées[[#This Row],[HarvestingDate]]))</f>
        <v>8 2025</v>
      </c>
      <c r="N3967">
        <f>_xlfn.NUMBERVALUE(CompilDonnées[[#This Row],[FarmID]]&amp;CompilDonnées[[#This Row],[ModuleNumber]]&amp;CompilDonnées[[#This Row],[PlantationDate]])</f>
        <v>73345855</v>
      </c>
      <c r="O3967" t="str">
        <f>CompilDonnées[[#This Row],[FarmID]]&amp;CompilDonnées[[#This Row],[ModuleNumber]]</f>
        <v>733</v>
      </c>
      <c r="P3967" t="str">
        <f>CompilDonnées[[#This Row],[Ref_Module]]&amp;CompilDonnées[[#This Row],[HarvestingDate]]</f>
        <v>73345895</v>
      </c>
    </row>
    <row r="3968" spans="1:16">
      <c r="A3968" s="5">
        <v>45855</v>
      </c>
      <c r="B3968">
        <v>77</v>
      </c>
      <c r="C3968" t="s">
        <v>75</v>
      </c>
      <c r="D3968">
        <v>1</v>
      </c>
      <c r="E3968">
        <v>100</v>
      </c>
      <c r="F3968" t="s">
        <v>1</v>
      </c>
      <c r="G3968" s="6">
        <v>45902</v>
      </c>
      <c r="H3968">
        <v>47</v>
      </c>
      <c r="I3968">
        <f>ROUND(CompilDonnées[[#This Row],[CultureDuration_days]]/7,0)</f>
        <v>7</v>
      </c>
      <c r="J3968">
        <v>2900</v>
      </c>
      <c r="K3968" t="str">
        <f>_xlfn.CONCAT(WEEKNUM(CompilDonnées[[#This Row],[PlantationDate]]), " ", YEAR(CompilDonnées[[#This Row],[PlantationDate]]))</f>
        <v>29 2025</v>
      </c>
      <c r="L3968" t="str">
        <f>CONCATENATE(MONTH(CompilDonnées[[#This Row],[PlantationDate]])," ", YEAR(CompilDonnées[[#This Row],[PlantationDate]]))</f>
        <v>7 2025</v>
      </c>
      <c r="M3968" t="str">
        <f>CONCATENATE(MONTH(CompilDonnées[[#This Row],[HarvestingDate]])," ", YEAR(CompilDonnées[[#This Row],[HarvestingDate]]))</f>
        <v>9 2025</v>
      </c>
      <c r="N3968">
        <f>_xlfn.NUMBERVALUE(CompilDonnées[[#This Row],[FarmID]]&amp;CompilDonnées[[#This Row],[ModuleNumber]]&amp;CompilDonnées[[#This Row],[PlantationDate]])</f>
        <v>77145855</v>
      </c>
      <c r="O3968" t="str">
        <f>CompilDonnées[[#This Row],[FarmID]]&amp;CompilDonnées[[#This Row],[ModuleNumber]]</f>
        <v>771</v>
      </c>
      <c r="P3968" t="str">
        <f>CompilDonnées[[#This Row],[Ref_Module]]&amp;CompilDonnées[[#This Row],[HarvestingDate]]</f>
        <v>77145902</v>
      </c>
    </row>
    <row r="3969" spans="1:16">
      <c r="A3969" s="5">
        <v>45855</v>
      </c>
      <c r="B3969">
        <v>55</v>
      </c>
      <c r="C3969" t="s">
        <v>60</v>
      </c>
      <c r="D3969">
        <v>6</v>
      </c>
      <c r="E3969">
        <v>100</v>
      </c>
      <c r="F3969" t="s">
        <v>1</v>
      </c>
      <c r="G3969" s="6">
        <v>45902</v>
      </c>
      <c r="H3969">
        <v>47</v>
      </c>
      <c r="I3969">
        <f>ROUND(CompilDonnées[[#This Row],[CultureDuration_days]]/7,0)</f>
        <v>7</v>
      </c>
      <c r="J3969">
        <v>3007</v>
      </c>
      <c r="K3969" t="str">
        <f>_xlfn.CONCAT(WEEKNUM(CompilDonnées[[#This Row],[PlantationDate]]), " ", YEAR(CompilDonnées[[#This Row],[PlantationDate]]))</f>
        <v>29 2025</v>
      </c>
      <c r="L3969" t="str">
        <f>CONCATENATE(MONTH(CompilDonnées[[#This Row],[PlantationDate]])," ", YEAR(CompilDonnées[[#This Row],[PlantationDate]]))</f>
        <v>7 2025</v>
      </c>
      <c r="M3969" t="str">
        <f>CONCATENATE(MONTH(CompilDonnées[[#This Row],[HarvestingDate]])," ", YEAR(CompilDonnées[[#This Row],[HarvestingDate]]))</f>
        <v>9 2025</v>
      </c>
      <c r="N3969">
        <f>_xlfn.NUMBERVALUE(CompilDonnées[[#This Row],[FarmID]]&amp;CompilDonnées[[#This Row],[ModuleNumber]]&amp;CompilDonnées[[#This Row],[PlantationDate]])</f>
        <v>55645855</v>
      </c>
      <c r="O3969" t="str">
        <f>CompilDonnées[[#This Row],[FarmID]]&amp;CompilDonnées[[#This Row],[ModuleNumber]]</f>
        <v>556</v>
      </c>
      <c r="P3969" t="str">
        <f>CompilDonnées[[#This Row],[Ref_Module]]&amp;CompilDonnées[[#This Row],[HarvestingDate]]</f>
        <v>55645902</v>
      </c>
    </row>
    <row r="3970" spans="1:16">
      <c r="A3970" s="5">
        <v>45855</v>
      </c>
      <c r="B3970">
        <v>65</v>
      </c>
      <c r="C3970" t="s">
        <v>36</v>
      </c>
      <c r="D3970">
        <v>6</v>
      </c>
      <c r="E3970">
        <v>100</v>
      </c>
      <c r="F3970" t="s">
        <v>1</v>
      </c>
      <c r="G3970" s="6">
        <v>45902</v>
      </c>
      <c r="H3970">
        <v>47</v>
      </c>
      <c r="I3970">
        <f>ROUND(CompilDonnées[[#This Row],[CultureDuration_days]]/7,0)</f>
        <v>7</v>
      </c>
      <c r="J3970">
        <v>2753</v>
      </c>
      <c r="K3970" t="str">
        <f>_xlfn.CONCAT(WEEKNUM(CompilDonnées[[#This Row],[PlantationDate]]), " ", YEAR(CompilDonnées[[#This Row],[PlantationDate]]))</f>
        <v>29 2025</v>
      </c>
      <c r="L3970" t="str">
        <f>CONCATENATE(MONTH(CompilDonnées[[#This Row],[PlantationDate]])," ", YEAR(CompilDonnées[[#This Row],[PlantationDate]]))</f>
        <v>7 2025</v>
      </c>
      <c r="M3970" t="str">
        <f>CONCATENATE(MONTH(CompilDonnées[[#This Row],[HarvestingDate]])," ", YEAR(CompilDonnées[[#This Row],[HarvestingDate]]))</f>
        <v>9 2025</v>
      </c>
      <c r="N3970">
        <f>_xlfn.NUMBERVALUE(CompilDonnées[[#This Row],[FarmID]]&amp;CompilDonnées[[#This Row],[ModuleNumber]]&amp;CompilDonnées[[#This Row],[PlantationDate]])</f>
        <v>65645855</v>
      </c>
      <c r="O3970" t="str">
        <f>CompilDonnées[[#This Row],[FarmID]]&amp;CompilDonnées[[#This Row],[ModuleNumber]]</f>
        <v>656</v>
      </c>
      <c r="P3970" t="str">
        <f>CompilDonnées[[#This Row],[Ref_Module]]&amp;CompilDonnées[[#This Row],[HarvestingDate]]</f>
        <v>65645902</v>
      </c>
    </row>
    <row r="3971" spans="1:16">
      <c r="A3971" s="5">
        <v>45855</v>
      </c>
      <c r="B3971">
        <v>64</v>
      </c>
      <c r="C3971" t="s">
        <v>47</v>
      </c>
      <c r="D3971">
        <v>5</v>
      </c>
      <c r="E3971">
        <v>100</v>
      </c>
      <c r="F3971" t="s">
        <v>1</v>
      </c>
      <c r="G3971" s="6">
        <v>45902</v>
      </c>
      <c r="H3971">
        <v>47</v>
      </c>
      <c r="I3971">
        <f>ROUND(CompilDonnées[[#This Row],[CultureDuration_days]]/7,0)</f>
        <v>7</v>
      </c>
      <c r="J3971">
        <v>2729</v>
      </c>
      <c r="K3971" t="str">
        <f>_xlfn.CONCAT(WEEKNUM(CompilDonnées[[#This Row],[PlantationDate]]), " ", YEAR(CompilDonnées[[#This Row],[PlantationDate]]))</f>
        <v>29 2025</v>
      </c>
      <c r="L3971" t="str">
        <f>CONCATENATE(MONTH(CompilDonnées[[#This Row],[PlantationDate]])," ", YEAR(CompilDonnées[[#This Row],[PlantationDate]]))</f>
        <v>7 2025</v>
      </c>
      <c r="M3971" t="str">
        <f>CONCATENATE(MONTH(CompilDonnées[[#This Row],[HarvestingDate]])," ", YEAR(CompilDonnées[[#This Row],[HarvestingDate]]))</f>
        <v>9 2025</v>
      </c>
      <c r="N3971">
        <f>_xlfn.NUMBERVALUE(CompilDonnées[[#This Row],[FarmID]]&amp;CompilDonnées[[#This Row],[ModuleNumber]]&amp;CompilDonnées[[#This Row],[PlantationDate]])</f>
        <v>64545855</v>
      </c>
      <c r="O3971" t="str">
        <f>CompilDonnées[[#This Row],[FarmID]]&amp;CompilDonnées[[#This Row],[ModuleNumber]]</f>
        <v>645</v>
      </c>
      <c r="P3971" t="str">
        <f>CompilDonnées[[#This Row],[Ref_Module]]&amp;CompilDonnées[[#This Row],[HarvestingDate]]</f>
        <v>64545902</v>
      </c>
    </row>
    <row r="3972" spans="1:16">
      <c r="A3972" s="5">
        <v>45855</v>
      </c>
      <c r="B3972">
        <v>76</v>
      </c>
      <c r="C3972" t="s">
        <v>18</v>
      </c>
      <c r="D3972">
        <v>2</v>
      </c>
      <c r="E3972">
        <v>100</v>
      </c>
      <c r="F3972" t="s">
        <v>1</v>
      </c>
      <c r="G3972" s="6">
        <v>45902</v>
      </c>
      <c r="H3972">
        <v>47</v>
      </c>
      <c r="I3972">
        <f>ROUND(CompilDonnées[[#This Row],[CultureDuration_days]]/7,0)</f>
        <v>7</v>
      </c>
      <c r="J3972">
        <v>2759</v>
      </c>
      <c r="K3972" t="str">
        <f>_xlfn.CONCAT(WEEKNUM(CompilDonnées[[#This Row],[PlantationDate]]), " ", YEAR(CompilDonnées[[#This Row],[PlantationDate]]))</f>
        <v>29 2025</v>
      </c>
      <c r="L3972" t="str">
        <f>CONCATENATE(MONTH(CompilDonnées[[#This Row],[PlantationDate]])," ", YEAR(CompilDonnées[[#This Row],[PlantationDate]]))</f>
        <v>7 2025</v>
      </c>
      <c r="M3972" t="str">
        <f>CONCATENATE(MONTH(CompilDonnées[[#This Row],[HarvestingDate]])," ", YEAR(CompilDonnées[[#This Row],[HarvestingDate]]))</f>
        <v>9 2025</v>
      </c>
      <c r="N3972">
        <f>_xlfn.NUMBERVALUE(CompilDonnées[[#This Row],[FarmID]]&amp;CompilDonnées[[#This Row],[ModuleNumber]]&amp;CompilDonnées[[#This Row],[PlantationDate]])</f>
        <v>76245855</v>
      </c>
      <c r="O3972" t="str">
        <f>CompilDonnées[[#This Row],[FarmID]]&amp;CompilDonnées[[#This Row],[ModuleNumber]]</f>
        <v>762</v>
      </c>
      <c r="P3972" t="str">
        <f>CompilDonnées[[#This Row],[Ref_Module]]&amp;CompilDonnées[[#This Row],[HarvestingDate]]</f>
        <v>76245902</v>
      </c>
    </row>
    <row r="3973" spans="1:16">
      <c r="A3973" s="5">
        <v>45855</v>
      </c>
      <c r="B3973">
        <v>74</v>
      </c>
      <c r="C3973" t="s">
        <v>21</v>
      </c>
      <c r="D3973">
        <v>5</v>
      </c>
      <c r="E3973">
        <v>100</v>
      </c>
      <c r="F3973" t="s">
        <v>1</v>
      </c>
      <c r="G3973" s="6">
        <v>45895</v>
      </c>
      <c r="H3973">
        <v>40</v>
      </c>
      <c r="I3973">
        <f>ROUND(CompilDonnées[[#This Row],[CultureDuration_days]]/7,0)</f>
        <v>6</v>
      </c>
      <c r="J3973">
        <v>1484</v>
      </c>
      <c r="K3973" t="str">
        <f>_xlfn.CONCAT(WEEKNUM(CompilDonnées[[#This Row],[PlantationDate]]), " ", YEAR(CompilDonnées[[#This Row],[PlantationDate]]))</f>
        <v>29 2025</v>
      </c>
      <c r="L3973" t="str">
        <f>CONCATENATE(MONTH(CompilDonnées[[#This Row],[PlantationDate]])," ", YEAR(CompilDonnées[[#This Row],[PlantationDate]]))</f>
        <v>7 2025</v>
      </c>
      <c r="M3973" t="str">
        <f>CONCATENATE(MONTH(CompilDonnées[[#This Row],[HarvestingDate]])," ", YEAR(CompilDonnées[[#This Row],[HarvestingDate]]))</f>
        <v>8 2025</v>
      </c>
      <c r="N3973">
        <f>_xlfn.NUMBERVALUE(CompilDonnées[[#This Row],[FarmID]]&amp;CompilDonnées[[#This Row],[ModuleNumber]]&amp;CompilDonnées[[#This Row],[PlantationDate]])</f>
        <v>74545855</v>
      </c>
      <c r="O3973" t="str">
        <f>CompilDonnées[[#This Row],[FarmID]]&amp;CompilDonnées[[#This Row],[ModuleNumber]]</f>
        <v>745</v>
      </c>
      <c r="P3973" t="str">
        <f>CompilDonnées[[#This Row],[Ref_Module]]&amp;CompilDonnées[[#This Row],[HarvestingDate]]</f>
        <v>74545895</v>
      </c>
    </row>
    <row r="3974" spans="1:16">
      <c r="A3974" s="5">
        <v>45855</v>
      </c>
      <c r="B3974">
        <v>66</v>
      </c>
      <c r="C3974" t="s">
        <v>48</v>
      </c>
      <c r="D3974">
        <v>2</v>
      </c>
      <c r="E3974">
        <v>100</v>
      </c>
      <c r="F3974" t="s">
        <v>1</v>
      </c>
      <c r="G3974" s="6">
        <v>45896</v>
      </c>
      <c r="H3974">
        <v>41</v>
      </c>
      <c r="I3974">
        <f>ROUND(CompilDonnées[[#This Row],[CultureDuration_days]]/7,0)</f>
        <v>6</v>
      </c>
      <c r="J3974">
        <v>2382</v>
      </c>
      <c r="K3974" t="str">
        <f>_xlfn.CONCAT(WEEKNUM(CompilDonnées[[#This Row],[PlantationDate]]), " ", YEAR(CompilDonnées[[#This Row],[PlantationDate]]))</f>
        <v>29 2025</v>
      </c>
      <c r="L3974" t="str">
        <f>CONCATENATE(MONTH(CompilDonnées[[#This Row],[PlantationDate]])," ", YEAR(CompilDonnées[[#This Row],[PlantationDate]]))</f>
        <v>7 2025</v>
      </c>
      <c r="M3974" t="str">
        <f>CONCATENATE(MONTH(CompilDonnées[[#This Row],[HarvestingDate]])," ", YEAR(CompilDonnées[[#This Row],[HarvestingDate]]))</f>
        <v>8 2025</v>
      </c>
      <c r="N3974">
        <f>_xlfn.NUMBERVALUE(CompilDonnées[[#This Row],[FarmID]]&amp;CompilDonnées[[#This Row],[ModuleNumber]]&amp;CompilDonnées[[#This Row],[PlantationDate]])</f>
        <v>66245855</v>
      </c>
      <c r="O3974" t="str">
        <f>CompilDonnées[[#This Row],[FarmID]]&amp;CompilDonnées[[#This Row],[ModuleNumber]]</f>
        <v>662</v>
      </c>
      <c r="P3974" t="str">
        <f>CompilDonnées[[#This Row],[Ref_Module]]&amp;CompilDonnées[[#This Row],[HarvestingDate]]</f>
        <v>66245896</v>
      </c>
    </row>
    <row r="3975" spans="1:16">
      <c r="A3975" s="5">
        <v>45855</v>
      </c>
      <c r="B3975">
        <v>131</v>
      </c>
      <c r="C3975" t="s">
        <v>3</v>
      </c>
      <c r="D3975">
        <v>5</v>
      </c>
      <c r="E3975">
        <v>60</v>
      </c>
      <c r="F3975" t="s">
        <v>105</v>
      </c>
      <c r="G3975" s="6">
        <v>45903</v>
      </c>
      <c r="H3975">
        <v>48</v>
      </c>
      <c r="I3975">
        <f>ROUND(CompilDonnées[[#This Row],[CultureDuration_days]]/7,0)</f>
        <v>7</v>
      </c>
      <c r="J3975">
        <v>825</v>
      </c>
      <c r="K3975" t="str">
        <f>_xlfn.CONCAT(WEEKNUM(CompilDonnées[[#This Row],[PlantationDate]]), " ", YEAR(CompilDonnées[[#This Row],[PlantationDate]]))</f>
        <v>29 2025</v>
      </c>
      <c r="L3975" t="str">
        <f>CONCATENATE(MONTH(CompilDonnées[[#This Row],[PlantationDate]])," ", YEAR(CompilDonnées[[#This Row],[PlantationDate]]))</f>
        <v>7 2025</v>
      </c>
      <c r="M3975" t="str">
        <f>CONCATENATE(MONTH(CompilDonnées[[#This Row],[HarvestingDate]])," ", YEAR(CompilDonnées[[#This Row],[HarvestingDate]]))</f>
        <v>9 2025</v>
      </c>
      <c r="N3975">
        <f>_xlfn.NUMBERVALUE(CompilDonnées[[#This Row],[FarmID]]&amp;CompilDonnées[[#This Row],[ModuleNumber]]&amp;CompilDonnées[[#This Row],[PlantationDate]])</f>
        <v>131545855</v>
      </c>
      <c r="O3975" t="str">
        <f>CompilDonnées[[#This Row],[FarmID]]&amp;CompilDonnées[[#This Row],[ModuleNumber]]</f>
        <v>1315</v>
      </c>
      <c r="P3975" t="str">
        <f>CompilDonnées[[#This Row],[Ref_Module]]&amp;CompilDonnées[[#This Row],[HarvestingDate]]</f>
        <v>131545903</v>
      </c>
    </row>
    <row r="3976" spans="1:16">
      <c r="A3976" s="5">
        <v>45855</v>
      </c>
      <c r="B3976">
        <v>131</v>
      </c>
      <c r="C3976" t="s">
        <v>3</v>
      </c>
      <c r="D3976">
        <v>6</v>
      </c>
      <c r="E3976">
        <v>60</v>
      </c>
      <c r="F3976" t="s">
        <v>105</v>
      </c>
      <c r="G3976" s="6">
        <v>45903</v>
      </c>
      <c r="H3976">
        <v>48</v>
      </c>
      <c r="I3976">
        <f>ROUND(CompilDonnées[[#This Row],[CultureDuration_days]]/7,0)</f>
        <v>7</v>
      </c>
      <c r="J3976">
        <v>843</v>
      </c>
      <c r="K3976" t="str">
        <f>_xlfn.CONCAT(WEEKNUM(CompilDonnées[[#This Row],[PlantationDate]]), " ", YEAR(CompilDonnées[[#This Row],[PlantationDate]]))</f>
        <v>29 2025</v>
      </c>
      <c r="L3976" t="str">
        <f>CONCATENATE(MONTH(CompilDonnées[[#This Row],[PlantationDate]])," ", YEAR(CompilDonnées[[#This Row],[PlantationDate]]))</f>
        <v>7 2025</v>
      </c>
      <c r="M3976" t="str">
        <f>CONCATENATE(MONTH(CompilDonnées[[#This Row],[HarvestingDate]])," ", YEAR(CompilDonnées[[#This Row],[HarvestingDate]]))</f>
        <v>9 2025</v>
      </c>
      <c r="N3976">
        <f>_xlfn.NUMBERVALUE(CompilDonnées[[#This Row],[FarmID]]&amp;CompilDonnées[[#This Row],[ModuleNumber]]&amp;CompilDonnées[[#This Row],[PlantationDate]])</f>
        <v>131645855</v>
      </c>
      <c r="O3976" t="str">
        <f>CompilDonnées[[#This Row],[FarmID]]&amp;CompilDonnées[[#This Row],[ModuleNumber]]</f>
        <v>1316</v>
      </c>
      <c r="P3976" t="str">
        <f>CompilDonnées[[#This Row],[Ref_Module]]&amp;CompilDonnées[[#This Row],[HarvestingDate]]</f>
        <v>131645903</v>
      </c>
    </row>
    <row r="3977" spans="1:16">
      <c r="A3977" s="5">
        <v>45855</v>
      </c>
      <c r="B3977">
        <v>138</v>
      </c>
      <c r="C3977" t="s">
        <v>3</v>
      </c>
      <c r="D3977">
        <v>1</v>
      </c>
      <c r="E3977">
        <v>60</v>
      </c>
      <c r="F3977" t="s">
        <v>105</v>
      </c>
      <c r="G3977" s="6">
        <v>45908</v>
      </c>
      <c r="H3977">
        <v>53</v>
      </c>
      <c r="I3977">
        <f>ROUND(CompilDonnées[[#This Row],[CultureDuration_days]]/7,0)</f>
        <v>8</v>
      </c>
      <c r="J3977">
        <v>635</v>
      </c>
      <c r="K3977" t="str">
        <f>_xlfn.CONCAT(WEEKNUM(CompilDonnées[[#This Row],[PlantationDate]]), " ", YEAR(CompilDonnées[[#This Row],[PlantationDate]]))</f>
        <v>29 2025</v>
      </c>
      <c r="L3977" t="str">
        <f>CONCATENATE(MONTH(CompilDonnées[[#This Row],[PlantationDate]])," ", YEAR(CompilDonnées[[#This Row],[PlantationDate]]))</f>
        <v>7 2025</v>
      </c>
      <c r="M3977" t="str">
        <f>CONCATENATE(MONTH(CompilDonnées[[#This Row],[HarvestingDate]])," ", YEAR(CompilDonnées[[#This Row],[HarvestingDate]]))</f>
        <v>9 2025</v>
      </c>
      <c r="N3977">
        <f>_xlfn.NUMBERVALUE(CompilDonnées[[#This Row],[FarmID]]&amp;CompilDonnées[[#This Row],[ModuleNumber]]&amp;CompilDonnées[[#This Row],[PlantationDate]])</f>
        <v>138145855</v>
      </c>
      <c r="O3977" t="str">
        <f>CompilDonnées[[#This Row],[FarmID]]&amp;CompilDonnées[[#This Row],[ModuleNumber]]</f>
        <v>1381</v>
      </c>
      <c r="P3977" t="str">
        <f>CompilDonnées[[#This Row],[Ref_Module]]&amp;CompilDonnées[[#This Row],[HarvestingDate]]</f>
        <v>138145908</v>
      </c>
    </row>
    <row r="3978" spans="1:16">
      <c r="A3978" s="5">
        <v>45855</v>
      </c>
      <c r="B3978">
        <v>138</v>
      </c>
      <c r="C3978" t="s">
        <v>3</v>
      </c>
      <c r="D3978">
        <v>2</v>
      </c>
      <c r="E3978">
        <v>60</v>
      </c>
      <c r="F3978" t="s">
        <v>105</v>
      </c>
      <c r="G3978" s="6">
        <v>45908</v>
      </c>
      <c r="H3978">
        <v>53</v>
      </c>
      <c r="I3978">
        <f>ROUND(CompilDonnées[[#This Row],[CultureDuration_days]]/7,0)</f>
        <v>8</v>
      </c>
      <c r="J3978">
        <v>631</v>
      </c>
      <c r="K3978" t="str">
        <f>_xlfn.CONCAT(WEEKNUM(CompilDonnées[[#This Row],[PlantationDate]]), " ", YEAR(CompilDonnées[[#This Row],[PlantationDate]]))</f>
        <v>29 2025</v>
      </c>
      <c r="L3978" t="str">
        <f>CONCATENATE(MONTH(CompilDonnées[[#This Row],[PlantationDate]])," ", YEAR(CompilDonnées[[#This Row],[PlantationDate]]))</f>
        <v>7 2025</v>
      </c>
      <c r="M3978" t="str">
        <f>CONCATENATE(MONTH(CompilDonnées[[#This Row],[HarvestingDate]])," ", YEAR(CompilDonnées[[#This Row],[HarvestingDate]]))</f>
        <v>9 2025</v>
      </c>
      <c r="N3978">
        <f>_xlfn.NUMBERVALUE(CompilDonnées[[#This Row],[FarmID]]&amp;CompilDonnées[[#This Row],[ModuleNumber]]&amp;CompilDonnées[[#This Row],[PlantationDate]])</f>
        <v>138245855</v>
      </c>
      <c r="O3978" t="str">
        <f>CompilDonnées[[#This Row],[FarmID]]&amp;CompilDonnées[[#This Row],[ModuleNumber]]</f>
        <v>1382</v>
      </c>
      <c r="P3978" t="str">
        <f>CompilDonnées[[#This Row],[Ref_Module]]&amp;CompilDonnées[[#This Row],[HarvestingDate]]</f>
        <v>138245908</v>
      </c>
    </row>
    <row r="3979" spans="1:16">
      <c r="A3979" s="5">
        <v>45854</v>
      </c>
      <c r="B3979">
        <v>111</v>
      </c>
      <c r="C3979" t="s">
        <v>41</v>
      </c>
      <c r="D3979">
        <v>5</v>
      </c>
      <c r="E3979">
        <v>100</v>
      </c>
      <c r="F3979" t="s">
        <v>1</v>
      </c>
      <c r="G3979" s="6">
        <v>45903</v>
      </c>
      <c r="H3979">
        <v>49</v>
      </c>
      <c r="I3979">
        <f>ROUND(CompilDonnées[[#This Row],[CultureDuration_days]]/7,0)</f>
        <v>7</v>
      </c>
      <c r="J3979">
        <v>4168</v>
      </c>
      <c r="K3979" t="str">
        <f>_xlfn.CONCAT(WEEKNUM(CompilDonnées[[#This Row],[PlantationDate]]), " ", YEAR(CompilDonnées[[#This Row],[PlantationDate]]))</f>
        <v>29 2025</v>
      </c>
      <c r="L3979" t="str">
        <f>CONCATENATE(MONTH(CompilDonnées[[#This Row],[PlantationDate]])," ", YEAR(CompilDonnées[[#This Row],[PlantationDate]]))</f>
        <v>7 2025</v>
      </c>
      <c r="M3979" t="str">
        <f>CONCATENATE(MONTH(CompilDonnées[[#This Row],[HarvestingDate]])," ", YEAR(CompilDonnées[[#This Row],[HarvestingDate]]))</f>
        <v>9 2025</v>
      </c>
      <c r="N3979">
        <f>_xlfn.NUMBERVALUE(CompilDonnées[[#This Row],[FarmID]]&amp;CompilDonnées[[#This Row],[ModuleNumber]]&amp;CompilDonnées[[#This Row],[PlantationDate]])</f>
        <v>111545854</v>
      </c>
      <c r="O3979" t="str">
        <f>CompilDonnées[[#This Row],[FarmID]]&amp;CompilDonnées[[#This Row],[ModuleNumber]]</f>
        <v>1115</v>
      </c>
      <c r="P3979" t="str">
        <f>CompilDonnées[[#This Row],[Ref_Module]]&amp;CompilDonnées[[#This Row],[HarvestingDate]]</f>
        <v>111545903</v>
      </c>
    </row>
    <row r="3980" spans="1:16">
      <c r="A3980" s="5">
        <v>45856</v>
      </c>
      <c r="B3980">
        <v>26</v>
      </c>
      <c r="C3980" t="s">
        <v>97</v>
      </c>
      <c r="D3980">
        <v>3</v>
      </c>
      <c r="E3980">
        <v>100</v>
      </c>
      <c r="F3980" t="s">
        <v>1</v>
      </c>
      <c r="G3980" s="6">
        <v>45897</v>
      </c>
      <c r="H3980">
        <v>41</v>
      </c>
      <c r="I3980">
        <f>ROUND(CompilDonnées[[#This Row],[CultureDuration_days]]/7,0)</f>
        <v>6</v>
      </c>
      <c r="J3980">
        <v>0</v>
      </c>
      <c r="K3980" t="str">
        <f>_xlfn.CONCAT(WEEKNUM(CompilDonnées[[#This Row],[PlantationDate]]), " ", YEAR(CompilDonnées[[#This Row],[PlantationDate]]))</f>
        <v>29 2025</v>
      </c>
      <c r="L3980" t="str">
        <f>CONCATENATE(MONTH(CompilDonnées[[#This Row],[PlantationDate]])," ", YEAR(CompilDonnées[[#This Row],[PlantationDate]]))</f>
        <v>7 2025</v>
      </c>
      <c r="M3980" t="str">
        <f>CONCATENATE(MONTH(CompilDonnées[[#This Row],[HarvestingDate]])," ", YEAR(CompilDonnées[[#This Row],[HarvestingDate]]))</f>
        <v>8 2025</v>
      </c>
      <c r="N3980">
        <f>_xlfn.NUMBERVALUE(CompilDonnées[[#This Row],[FarmID]]&amp;CompilDonnées[[#This Row],[ModuleNumber]]&amp;CompilDonnées[[#This Row],[PlantationDate]])</f>
        <v>26345856</v>
      </c>
      <c r="O3980" t="str">
        <f>CompilDonnées[[#This Row],[FarmID]]&amp;CompilDonnées[[#This Row],[ModuleNumber]]</f>
        <v>263</v>
      </c>
      <c r="P3980" t="str">
        <f>CompilDonnées[[#This Row],[Ref_Module]]&amp;CompilDonnées[[#This Row],[HarvestingDate]]</f>
        <v>26345897</v>
      </c>
    </row>
    <row r="3981" spans="1:16">
      <c r="A3981" s="5">
        <v>45856</v>
      </c>
      <c r="B3981">
        <v>10</v>
      </c>
      <c r="C3981" t="s">
        <v>109</v>
      </c>
      <c r="D3981">
        <v>5</v>
      </c>
      <c r="E3981">
        <v>100</v>
      </c>
      <c r="F3981" t="s">
        <v>1</v>
      </c>
      <c r="G3981" s="6">
        <v>45898</v>
      </c>
      <c r="H3981">
        <v>42</v>
      </c>
      <c r="I3981">
        <f>ROUND(CompilDonnées[[#This Row],[CultureDuration_days]]/7,0)</f>
        <v>6</v>
      </c>
      <c r="J3981">
        <v>2283</v>
      </c>
      <c r="K3981" t="str">
        <f>_xlfn.CONCAT(WEEKNUM(CompilDonnées[[#This Row],[PlantationDate]]), " ", YEAR(CompilDonnées[[#This Row],[PlantationDate]]))</f>
        <v>29 2025</v>
      </c>
      <c r="L3981" t="str">
        <f>CONCATENATE(MONTH(CompilDonnées[[#This Row],[PlantationDate]])," ", YEAR(CompilDonnées[[#This Row],[PlantationDate]]))</f>
        <v>7 2025</v>
      </c>
      <c r="M3981" t="str">
        <f>CONCATENATE(MONTH(CompilDonnées[[#This Row],[HarvestingDate]])," ", YEAR(CompilDonnées[[#This Row],[HarvestingDate]]))</f>
        <v>8 2025</v>
      </c>
      <c r="N3981">
        <f>_xlfn.NUMBERVALUE(CompilDonnées[[#This Row],[FarmID]]&amp;CompilDonnées[[#This Row],[ModuleNumber]]&amp;CompilDonnées[[#This Row],[PlantationDate]])</f>
        <v>10545856</v>
      </c>
      <c r="O3981" t="str">
        <f>CompilDonnées[[#This Row],[FarmID]]&amp;CompilDonnées[[#This Row],[ModuleNumber]]</f>
        <v>105</v>
      </c>
      <c r="P3981" t="str">
        <f>CompilDonnées[[#This Row],[Ref_Module]]&amp;CompilDonnées[[#This Row],[HarvestingDate]]</f>
        <v>10545898</v>
      </c>
    </row>
    <row r="3982" spans="1:16">
      <c r="A3982" s="5">
        <v>45856</v>
      </c>
      <c r="B3982">
        <v>11</v>
      </c>
      <c r="C3982" t="s">
        <v>106</v>
      </c>
      <c r="D3982">
        <v>4</v>
      </c>
      <c r="E3982">
        <v>100</v>
      </c>
      <c r="F3982" t="s">
        <v>1</v>
      </c>
      <c r="G3982" s="6">
        <v>45898</v>
      </c>
      <c r="H3982">
        <v>42</v>
      </c>
      <c r="I3982">
        <f>ROUND(CompilDonnées[[#This Row],[CultureDuration_days]]/7,0)</f>
        <v>6</v>
      </c>
      <c r="J3982">
        <v>2128</v>
      </c>
      <c r="K3982" t="str">
        <f>_xlfn.CONCAT(WEEKNUM(CompilDonnées[[#This Row],[PlantationDate]]), " ", YEAR(CompilDonnées[[#This Row],[PlantationDate]]))</f>
        <v>29 2025</v>
      </c>
      <c r="L3982" t="str">
        <f>CONCATENATE(MONTH(CompilDonnées[[#This Row],[PlantationDate]])," ", YEAR(CompilDonnées[[#This Row],[PlantationDate]]))</f>
        <v>7 2025</v>
      </c>
      <c r="M3982" t="str">
        <f>CONCATENATE(MONTH(CompilDonnées[[#This Row],[HarvestingDate]])," ", YEAR(CompilDonnées[[#This Row],[HarvestingDate]]))</f>
        <v>8 2025</v>
      </c>
      <c r="N3982">
        <f>_xlfn.NUMBERVALUE(CompilDonnées[[#This Row],[FarmID]]&amp;CompilDonnées[[#This Row],[ModuleNumber]]&amp;CompilDonnées[[#This Row],[PlantationDate]])</f>
        <v>11445856</v>
      </c>
      <c r="O3982" t="str">
        <f>CompilDonnées[[#This Row],[FarmID]]&amp;CompilDonnées[[#This Row],[ModuleNumber]]</f>
        <v>114</v>
      </c>
      <c r="P3982" t="str">
        <f>CompilDonnées[[#This Row],[Ref_Module]]&amp;CompilDonnées[[#This Row],[HarvestingDate]]</f>
        <v>11445898</v>
      </c>
    </row>
    <row r="3983" spans="1:16">
      <c r="A3983" s="5">
        <v>45856</v>
      </c>
      <c r="B3983">
        <v>7</v>
      </c>
      <c r="C3983" t="s">
        <v>50</v>
      </c>
      <c r="D3983">
        <v>4</v>
      </c>
      <c r="E3983">
        <v>100</v>
      </c>
      <c r="F3983" t="s">
        <v>1</v>
      </c>
      <c r="G3983" s="6">
        <v>45898</v>
      </c>
      <c r="H3983">
        <v>42</v>
      </c>
      <c r="I3983">
        <f>ROUND(CompilDonnées[[#This Row],[CultureDuration_days]]/7,0)</f>
        <v>6</v>
      </c>
      <c r="J3983">
        <v>3414</v>
      </c>
      <c r="K3983" t="str">
        <f>_xlfn.CONCAT(WEEKNUM(CompilDonnées[[#This Row],[PlantationDate]]), " ", YEAR(CompilDonnées[[#This Row],[PlantationDate]]))</f>
        <v>29 2025</v>
      </c>
      <c r="L3983" t="str">
        <f>CONCATENATE(MONTH(CompilDonnées[[#This Row],[PlantationDate]])," ", YEAR(CompilDonnées[[#This Row],[PlantationDate]]))</f>
        <v>7 2025</v>
      </c>
      <c r="M3983" t="str">
        <f>CONCATENATE(MONTH(CompilDonnées[[#This Row],[HarvestingDate]])," ", YEAR(CompilDonnées[[#This Row],[HarvestingDate]]))</f>
        <v>8 2025</v>
      </c>
      <c r="N3983">
        <f>_xlfn.NUMBERVALUE(CompilDonnées[[#This Row],[FarmID]]&amp;CompilDonnées[[#This Row],[ModuleNumber]]&amp;CompilDonnées[[#This Row],[PlantationDate]])</f>
        <v>7445856</v>
      </c>
      <c r="O3983" t="str">
        <f>CompilDonnées[[#This Row],[FarmID]]&amp;CompilDonnées[[#This Row],[ModuleNumber]]</f>
        <v>74</v>
      </c>
      <c r="P3983" t="str">
        <f>CompilDonnées[[#This Row],[Ref_Module]]&amp;CompilDonnées[[#This Row],[HarvestingDate]]</f>
        <v>7445898</v>
      </c>
    </row>
    <row r="3984" spans="1:16">
      <c r="A3984" s="5">
        <v>45856</v>
      </c>
      <c r="B3984">
        <v>12</v>
      </c>
      <c r="C3984" t="s">
        <v>123</v>
      </c>
      <c r="D3984">
        <v>3</v>
      </c>
      <c r="E3984">
        <v>100</v>
      </c>
      <c r="F3984" t="s">
        <v>1</v>
      </c>
      <c r="G3984" s="6">
        <v>45897</v>
      </c>
      <c r="H3984">
        <v>41</v>
      </c>
      <c r="I3984">
        <f>ROUND(CompilDonnées[[#This Row],[CultureDuration_days]]/7,0)</f>
        <v>6</v>
      </c>
      <c r="J3984">
        <v>1385</v>
      </c>
      <c r="K3984" t="str">
        <f>_xlfn.CONCAT(WEEKNUM(CompilDonnées[[#This Row],[PlantationDate]]), " ", YEAR(CompilDonnées[[#This Row],[PlantationDate]]))</f>
        <v>29 2025</v>
      </c>
      <c r="L3984" t="str">
        <f>CONCATENATE(MONTH(CompilDonnées[[#This Row],[PlantationDate]])," ", YEAR(CompilDonnées[[#This Row],[PlantationDate]]))</f>
        <v>7 2025</v>
      </c>
      <c r="M3984" t="str">
        <f>CONCATENATE(MONTH(CompilDonnées[[#This Row],[HarvestingDate]])," ", YEAR(CompilDonnées[[#This Row],[HarvestingDate]]))</f>
        <v>8 2025</v>
      </c>
      <c r="N3984">
        <f>_xlfn.NUMBERVALUE(CompilDonnées[[#This Row],[FarmID]]&amp;CompilDonnées[[#This Row],[ModuleNumber]]&amp;CompilDonnées[[#This Row],[PlantationDate]])</f>
        <v>12345856</v>
      </c>
      <c r="O3984" t="str">
        <f>CompilDonnées[[#This Row],[FarmID]]&amp;CompilDonnées[[#This Row],[ModuleNumber]]</f>
        <v>123</v>
      </c>
      <c r="P3984" t="str">
        <f>CompilDonnées[[#This Row],[Ref_Module]]&amp;CompilDonnées[[#This Row],[HarvestingDate]]</f>
        <v>12345897</v>
      </c>
    </row>
    <row r="3985" spans="1:16">
      <c r="A3985" s="5">
        <v>45856</v>
      </c>
      <c r="B3985">
        <v>8</v>
      </c>
      <c r="C3985" t="s">
        <v>57</v>
      </c>
      <c r="D3985">
        <v>1</v>
      </c>
      <c r="E3985">
        <v>100</v>
      </c>
      <c r="F3985" t="s">
        <v>1</v>
      </c>
      <c r="G3985" s="6">
        <v>45898</v>
      </c>
      <c r="H3985">
        <v>42</v>
      </c>
      <c r="I3985">
        <f>ROUND(CompilDonnées[[#This Row],[CultureDuration_days]]/7,0)</f>
        <v>6</v>
      </c>
      <c r="J3985">
        <v>2672</v>
      </c>
      <c r="K3985" t="str">
        <f>_xlfn.CONCAT(WEEKNUM(CompilDonnées[[#This Row],[PlantationDate]]), " ", YEAR(CompilDonnées[[#This Row],[PlantationDate]]))</f>
        <v>29 2025</v>
      </c>
      <c r="L3985" t="str">
        <f>CONCATENATE(MONTH(CompilDonnées[[#This Row],[PlantationDate]])," ", YEAR(CompilDonnées[[#This Row],[PlantationDate]]))</f>
        <v>7 2025</v>
      </c>
      <c r="M3985" t="str">
        <f>CONCATENATE(MONTH(CompilDonnées[[#This Row],[HarvestingDate]])," ", YEAR(CompilDonnées[[#This Row],[HarvestingDate]]))</f>
        <v>8 2025</v>
      </c>
      <c r="N3985">
        <f>_xlfn.NUMBERVALUE(CompilDonnées[[#This Row],[FarmID]]&amp;CompilDonnées[[#This Row],[ModuleNumber]]&amp;CompilDonnées[[#This Row],[PlantationDate]])</f>
        <v>8145856</v>
      </c>
      <c r="O3985" t="str">
        <f>CompilDonnées[[#This Row],[FarmID]]&amp;CompilDonnées[[#This Row],[ModuleNumber]]</f>
        <v>81</v>
      </c>
      <c r="P3985" t="str">
        <f>CompilDonnées[[#This Row],[Ref_Module]]&amp;CompilDonnées[[#This Row],[HarvestingDate]]</f>
        <v>8145898</v>
      </c>
    </row>
    <row r="3986" spans="1:16">
      <c r="A3986" s="5">
        <v>45856</v>
      </c>
      <c r="B3986">
        <v>65</v>
      </c>
      <c r="C3986" t="s">
        <v>36</v>
      </c>
      <c r="D3986">
        <v>1</v>
      </c>
      <c r="E3986">
        <v>100</v>
      </c>
      <c r="F3986" t="s">
        <v>1</v>
      </c>
      <c r="G3986" s="6">
        <v>45902</v>
      </c>
      <c r="H3986">
        <v>46</v>
      </c>
      <c r="I3986">
        <f>ROUND(CompilDonnées[[#This Row],[CultureDuration_days]]/7,0)</f>
        <v>7</v>
      </c>
      <c r="J3986">
        <v>2740</v>
      </c>
      <c r="K3986" t="str">
        <f>_xlfn.CONCAT(WEEKNUM(CompilDonnées[[#This Row],[PlantationDate]]), " ", YEAR(CompilDonnées[[#This Row],[PlantationDate]]))</f>
        <v>29 2025</v>
      </c>
      <c r="L3986" t="str">
        <f>CONCATENATE(MONTH(CompilDonnées[[#This Row],[PlantationDate]])," ", YEAR(CompilDonnées[[#This Row],[PlantationDate]]))</f>
        <v>7 2025</v>
      </c>
      <c r="M3986" t="str">
        <f>CONCATENATE(MONTH(CompilDonnées[[#This Row],[HarvestingDate]])," ", YEAR(CompilDonnées[[#This Row],[HarvestingDate]]))</f>
        <v>9 2025</v>
      </c>
      <c r="N3986">
        <f>_xlfn.NUMBERVALUE(CompilDonnées[[#This Row],[FarmID]]&amp;CompilDonnées[[#This Row],[ModuleNumber]]&amp;CompilDonnées[[#This Row],[PlantationDate]])</f>
        <v>65145856</v>
      </c>
      <c r="O3986" t="str">
        <f>CompilDonnées[[#This Row],[FarmID]]&amp;CompilDonnées[[#This Row],[ModuleNumber]]</f>
        <v>651</v>
      </c>
      <c r="P3986" t="str">
        <f>CompilDonnées[[#This Row],[Ref_Module]]&amp;CompilDonnées[[#This Row],[HarvestingDate]]</f>
        <v>65145902</v>
      </c>
    </row>
    <row r="3987" spans="1:16">
      <c r="A3987" s="5">
        <v>45856</v>
      </c>
      <c r="B3987">
        <v>51</v>
      </c>
      <c r="C3987" t="s">
        <v>27</v>
      </c>
      <c r="D3987">
        <v>5</v>
      </c>
      <c r="E3987">
        <v>100</v>
      </c>
      <c r="F3987" t="s">
        <v>1</v>
      </c>
      <c r="G3987" s="6">
        <v>45901</v>
      </c>
      <c r="H3987">
        <v>45</v>
      </c>
      <c r="I3987">
        <f>ROUND(CompilDonnées[[#This Row],[CultureDuration_days]]/7,0)</f>
        <v>6</v>
      </c>
      <c r="J3987">
        <v>2772</v>
      </c>
      <c r="K3987" t="str">
        <f>_xlfn.CONCAT(WEEKNUM(CompilDonnées[[#This Row],[PlantationDate]]), " ", YEAR(CompilDonnées[[#This Row],[PlantationDate]]))</f>
        <v>29 2025</v>
      </c>
      <c r="L3987" t="str">
        <f>CONCATENATE(MONTH(CompilDonnées[[#This Row],[PlantationDate]])," ", YEAR(CompilDonnées[[#This Row],[PlantationDate]]))</f>
        <v>7 2025</v>
      </c>
      <c r="M3987" t="str">
        <f>CONCATENATE(MONTH(CompilDonnées[[#This Row],[HarvestingDate]])," ", YEAR(CompilDonnées[[#This Row],[HarvestingDate]]))</f>
        <v>9 2025</v>
      </c>
      <c r="N3987">
        <f>_xlfn.NUMBERVALUE(CompilDonnées[[#This Row],[FarmID]]&amp;CompilDonnées[[#This Row],[ModuleNumber]]&amp;CompilDonnées[[#This Row],[PlantationDate]])</f>
        <v>51545856</v>
      </c>
      <c r="O3987" t="str">
        <f>CompilDonnées[[#This Row],[FarmID]]&amp;CompilDonnées[[#This Row],[ModuleNumber]]</f>
        <v>515</v>
      </c>
      <c r="P3987" t="str">
        <f>CompilDonnées[[#This Row],[Ref_Module]]&amp;CompilDonnées[[#This Row],[HarvestingDate]]</f>
        <v>51545901</v>
      </c>
    </row>
    <row r="3988" spans="1:16">
      <c r="A3988" s="5">
        <v>45856</v>
      </c>
      <c r="B3988">
        <v>57</v>
      </c>
      <c r="C3988" t="s">
        <v>46</v>
      </c>
      <c r="D3988">
        <v>3</v>
      </c>
      <c r="E3988">
        <v>100</v>
      </c>
      <c r="F3988" t="s">
        <v>1</v>
      </c>
      <c r="G3988" s="6">
        <v>45902</v>
      </c>
      <c r="H3988">
        <v>46</v>
      </c>
      <c r="I3988">
        <f>ROUND(CompilDonnées[[#This Row],[CultureDuration_days]]/7,0)</f>
        <v>7</v>
      </c>
      <c r="J3988">
        <v>3415</v>
      </c>
      <c r="K3988" t="str">
        <f>_xlfn.CONCAT(WEEKNUM(CompilDonnées[[#This Row],[PlantationDate]]), " ", YEAR(CompilDonnées[[#This Row],[PlantationDate]]))</f>
        <v>29 2025</v>
      </c>
      <c r="L3988" t="str">
        <f>CONCATENATE(MONTH(CompilDonnées[[#This Row],[PlantationDate]])," ", YEAR(CompilDonnées[[#This Row],[PlantationDate]]))</f>
        <v>7 2025</v>
      </c>
      <c r="M3988" t="str">
        <f>CONCATENATE(MONTH(CompilDonnées[[#This Row],[HarvestingDate]])," ", YEAR(CompilDonnées[[#This Row],[HarvestingDate]]))</f>
        <v>9 2025</v>
      </c>
      <c r="N3988">
        <f>_xlfn.NUMBERVALUE(CompilDonnées[[#This Row],[FarmID]]&amp;CompilDonnées[[#This Row],[ModuleNumber]]&amp;CompilDonnées[[#This Row],[PlantationDate]])</f>
        <v>57345856</v>
      </c>
      <c r="O3988" t="str">
        <f>CompilDonnées[[#This Row],[FarmID]]&amp;CompilDonnées[[#This Row],[ModuleNumber]]</f>
        <v>573</v>
      </c>
      <c r="P3988" t="str">
        <f>CompilDonnées[[#This Row],[Ref_Module]]&amp;CompilDonnées[[#This Row],[HarvestingDate]]</f>
        <v>57345902</v>
      </c>
    </row>
    <row r="3989" spans="1:16">
      <c r="A3989" s="5">
        <v>45856</v>
      </c>
      <c r="B3989">
        <v>50</v>
      </c>
      <c r="C3989" t="s">
        <v>55</v>
      </c>
      <c r="D3989">
        <v>4</v>
      </c>
      <c r="E3989">
        <v>100</v>
      </c>
      <c r="F3989" t="s">
        <v>1</v>
      </c>
      <c r="G3989" s="6">
        <v>45902</v>
      </c>
      <c r="H3989">
        <v>46</v>
      </c>
      <c r="I3989">
        <f>ROUND(CompilDonnées[[#This Row],[CultureDuration_days]]/7,0)</f>
        <v>7</v>
      </c>
      <c r="J3989">
        <v>2761</v>
      </c>
      <c r="K3989" t="str">
        <f>_xlfn.CONCAT(WEEKNUM(CompilDonnées[[#This Row],[PlantationDate]]), " ", YEAR(CompilDonnées[[#This Row],[PlantationDate]]))</f>
        <v>29 2025</v>
      </c>
      <c r="L3989" t="str">
        <f>CONCATENATE(MONTH(CompilDonnées[[#This Row],[PlantationDate]])," ", YEAR(CompilDonnées[[#This Row],[PlantationDate]]))</f>
        <v>7 2025</v>
      </c>
      <c r="M3989" t="str">
        <f>CONCATENATE(MONTH(CompilDonnées[[#This Row],[HarvestingDate]])," ", YEAR(CompilDonnées[[#This Row],[HarvestingDate]]))</f>
        <v>9 2025</v>
      </c>
      <c r="N3989">
        <f>_xlfn.NUMBERVALUE(CompilDonnées[[#This Row],[FarmID]]&amp;CompilDonnées[[#This Row],[ModuleNumber]]&amp;CompilDonnées[[#This Row],[PlantationDate]])</f>
        <v>50445856</v>
      </c>
      <c r="O3989" t="str">
        <f>CompilDonnées[[#This Row],[FarmID]]&amp;CompilDonnées[[#This Row],[ModuleNumber]]</f>
        <v>504</v>
      </c>
      <c r="P3989" t="str">
        <f>CompilDonnées[[#This Row],[Ref_Module]]&amp;CompilDonnées[[#This Row],[HarvestingDate]]</f>
        <v>50445902</v>
      </c>
    </row>
    <row r="3990" spans="1:16">
      <c r="A3990" s="5">
        <v>45856</v>
      </c>
      <c r="B3990">
        <v>48</v>
      </c>
      <c r="C3990" t="s">
        <v>71</v>
      </c>
      <c r="D3990">
        <v>3</v>
      </c>
      <c r="E3990">
        <v>100</v>
      </c>
      <c r="F3990" t="s">
        <v>1</v>
      </c>
      <c r="G3990" s="6">
        <v>45901</v>
      </c>
      <c r="H3990">
        <v>45</v>
      </c>
      <c r="I3990">
        <f>ROUND(CompilDonnées[[#This Row],[CultureDuration_days]]/7,0)</f>
        <v>6</v>
      </c>
      <c r="J3990">
        <v>2182</v>
      </c>
      <c r="K3990" t="str">
        <f>_xlfn.CONCAT(WEEKNUM(CompilDonnées[[#This Row],[PlantationDate]]), " ", YEAR(CompilDonnées[[#This Row],[PlantationDate]]))</f>
        <v>29 2025</v>
      </c>
      <c r="L3990" t="str">
        <f>CONCATENATE(MONTH(CompilDonnées[[#This Row],[PlantationDate]])," ", YEAR(CompilDonnées[[#This Row],[PlantationDate]]))</f>
        <v>7 2025</v>
      </c>
      <c r="M3990" t="str">
        <f>CONCATENATE(MONTH(CompilDonnées[[#This Row],[HarvestingDate]])," ", YEAR(CompilDonnées[[#This Row],[HarvestingDate]]))</f>
        <v>9 2025</v>
      </c>
      <c r="N3990">
        <f>_xlfn.NUMBERVALUE(CompilDonnées[[#This Row],[FarmID]]&amp;CompilDonnées[[#This Row],[ModuleNumber]]&amp;CompilDonnées[[#This Row],[PlantationDate]])</f>
        <v>48345856</v>
      </c>
      <c r="O3990" t="str">
        <f>CompilDonnées[[#This Row],[FarmID]]&amp;CompilDonnées[[#This Row],[ModuleNumber]]</f>
        <v>483</v>
      </c>
      <c r="P3990" t="str">
        <f>CompilDonnées[[#This Row],[Ref_Module]]&amp;CompilDonnées[[#This Row],[HarvestingDate]]</f>
        <v>48345901</v>
      </c>
    </row>
    <row r="3991" spans="1:16">
      <c r="A3991" s="5">
        <v>45856</v>
      </c>
      <c r="B3991">
        <v>36</v>
      </c>
      <c r="C3991" t="s">
        <v>63</v>
      </c>
      <c r="D3991">
        <v>6</v>
      </c>
      <c r="E3991">
        <v>100</v>
      </c>
      <c r="F3991" t="s">
        <v>1</v>
      </c>
      <c r="G3991" s="6">
        <v>45897</v>
      </c>
      <c r="H3991">
        <v>41</v>
      </c>
      <c r="I3991">
        <f>ROUND(CompilDonnées[[#This Row],[CultureDuration_days]]/7,0)</f>
        <v>6</v>
      </c>
      <c r="J3991">
        <v>3588</v>
      </c>
      <c r="K3991" t="str">
        <f>_xlfn.CONCAT(WEEKNUM(CompilDonnées[[#This Row],[PlantationDate]]), " ", YEAR(CompilDonnées[[#This Row],[PlantationDate]]))</f>
        <v>29 2025</v>
      </c>
      <c r="L3991" t="str">
        <f>CONCATENATE(MONTH(CompilDonnées[[#This Row],[PlantationDate]])," ", YEAR(CompilDonnées[[#This Row],[PlantationDate]]))</f>
        <v>7 2025</v>
      </c>
      <c r="M3991" t="str">
        <f>CONCATENATE(MONTH(CompilDonnées[[#This Row],[HarvestingDate]])," ", YEAR(CompilDonnées[[#This Row],[HarvestingDate]]))</f>
        <v>8 2025</v>
      </c>
      <c r="N3991">
        <f>_xlfn.NUMBERVALUE(CompilDonnées[[#This Row],[FarmID]]&amp;CompilDonnées[[#This Row],[ModuleNumber]]&amp;CompilDonnées[[#This Row],[PlantationDate]])</f>
        <v>36645856</v>
      </c>
      <c r="O3991" t="str">
        <f>CompilDonnées[[#This Row],[FarmID]]&amp;CompilDonnées[[#This Row],[ModuleNumber]]</f>
        <v>366</v>
      </c>
      <c r="P3991" t="str">
        <f>CompilDonnées[[#This Row],[Ref_Module]]&amp;CompilDonnées[[#This Row],[HarvestingDate]]</f>
        <v>36645897</v>
      </c>
    </row>
    <row r="3992" spans="1:16">
      <c r="A3992" s="5">
        <v>45856</v>
      </c>
      <c r="B3992">
        <v>36</v>
      </c>
      <c r="C3992" t="s">
        <v>63</v>
      </c>
      <c r="D3992">
        <v>3</v>
      </c>
      <c r="E3992">
        <v>100</v>
      </c>
      <c r="F3992" t="s">
        <v>1</v>
      </c>
      <c r="G3992" s="6">
        <v>45897</v>
      </c>
      <c r="H3992">
        <v>41</v>
      </c>
      <c r="I3992">
        <f>ROUND(CompilDonnées[[#This Row],[CultureDuration_days]]/7,0)</f>
        <v>6</v>
      </c>
      <c r="J3992">
        <v>3288</v>
      </c>
      <c r="K3992" t="str">
        <f>_xlfn.CONCAT(WEEKNUM(CompilDonnées[[#This Row],[PlantationDate]]), " ", YEAR(CompilDonnées[[#This Row],[PlantationDate]]))</f>
        <v>29 2025</v>
      </c>
      <c r="L3992" t="str">
        <f>CONCATENATE(MONTH(CompilDonnées[[#This Row],[PlantationDate]])," ", YEAR(CompilDonnées[[#This Row],[PlantationDate]]))</f>
        <v>7 2025</v>
      </c>
      <c r="M3992" t="str">
        <f>CONCATENATE(MONTH(CompilDonnées[[#This Row],[HarvestingDate]])," ", YEAR(CompilDonnées[[#This Row],[HarvestingDate]]))</f>
        <v>8 2025</v>
      </c>
      <c r="N3992">
        <f>_xlfn.NUMBERVALUE(CompilDonnées[[#This Row],[FarmID]]&amp;CompilDonnées[[#This Row],[ModuleNumber]]&amp;CompilDonnées[[#This Row],[PlantationDate]])</f>
        <v>36345856</v>
      </c>
      <c r="O3992" t="str">
        <f>CompilDonnées[[#This Row],[FarmID]]&amp;CompilDonnées[[#This Row],[ModuleNumber]]</f>
        <v>363</v>
      </c>
      <c r="P3992" t="str">
        <f>CompilDonnées[[#This Row],[Ref_Module]]&amp;CompilDonnées[[#This Row],[HarvestingDate]]</f>
        <v>36345897</v>
      </c>
    </row>
    <row r="3993" spans="1:16">
      <c r="A3993" s="5">
        <v>45856</v>
      </c>
      <c r="B3993">
        <v>18</v>
      </c>
      <c r="C3993" t="s">
        <v>33</v>
      </c>
      <c r="D3993">
        <v>4</v>
      </c>
      <c r="E3993">
        <v>100</v>
      </c>
      <c r="F3993" t="s">
        <v>1</v>
      </c>
      <c r="G3993" s="6">
        <v>45897</v>
      </c>
      <c r="H3993">
        <v>41</v>
      </c>
      <c r="I3993">
        <f>ROUND(CompilDonnées[[#This Row],[CultureDuration_days]]/7,0)</f>
        <v>6</v>
      </c>
      <c r="J3993">
        <v>3448</v>
      </c>
      <c r="K3993" t="str">
        <f>_xlfn.CONCAT(WEEKNUM(CompilDonnées[[#This Row],[PlantationDate]]), " ", YEAR(CompilDonnées[[#This Row],[PlantationDate]]))</f>
        <v>29 2025</v>
      </c>
      <c r="L3993" t="str">
        <f>CONCATENATE(MONTH(CompilDonnées[[#This Row],[PlantationDate]])," ", YEAR(CompilDonnées[[#This Row],[PlantationDate]]))</f>
        <v>7 2025</v>
      </c>
      <c r="M3993" t="str">
        <f>CONCATENATE(MONTH(CompilDonnées[[#This Row],[HarvestingDate]])," ", YEAR(CompilDonnées[[#This Row],[HarvestingDate]]))</f>
        <v>8 2025</v>
      </c>
      <c r="N3993">
        <f>_xlfn.NUMBERVALUE(CompilDonnées[[#This Row],[FarmID]]&amp;CompilDonnées[[#This Row],[ModuleNumber]]&amp;CompilDonnées[[#This Row],[PlantationDate]])</f>
        <v>18445856</v>
      </c>
      <c r="O3993" t="str">
        <f>CompilDonnées[[#This Row],[FarmID]]&amp;CompilDonnées[[#This Row],[ModuleNumber]]</f>
        <v>184</v>
      </c>
      <c r="P3993" t="str">
        <f>CompilDonnées[[#This Row],[Ref_Module]]&amp;CompilDonnées[[#This Row],[HarvestingDate]]</f>
        <v>18445897</v>
      </c>
    </row>
    <row r="3994" spans="1:16">
      <c r="A3994" s="5">
        <v>45856</v>
      </c>
      <c r="B3994">
        <v>17</v>
      </c>
      <c r="C3994" t="s">
        <v>80</v>
      </c>
      <c r="D3994">
        <v>5</v>
      </c>
      <c r="E3994">
        <v>100</v>
      </c>
      <c r="F3994" t="s">
        <v>1</v>
      </c>
      <c r="G3994" s="6">
        <v>45897</v>
      </c>
      <c r="H3994">
        <v>41</v>
      </c>
      <c r="I3994">
        <f>ROUND(CompilDonnées[[#This Row],[CultureDuration_days]]/7,0)</f>
        <v>6</v>
      </c>
      <c r="J3994">
        <v>1997</v>
      </c>
      <c r="K3994" t="str">
        <f>_xlfn.CONCAT(WEEKNUM(CompilDonnées[[#This Row],[PlantationDate]]), " ", YEAR(CompilDonnées[[#This Row],[PlantationDate]]))</f>
        <v>29 2025</v>
      </c>
      <c r="L3994" t="str">
        <f>CONCATENATE(MONTH(CompilDonnées[[#This Row],[PlantationDate]])," ", YEAR(CompilDonnées[[#This Row],[PlantationDate]]))</f>
        <v>7 2025</v>
      </c>
      <c r="M3994" t="str">
        <f>CONCATENATE(MONTH(CompilDonnées[[#This Row],[HarvestingDate]])," ", YEAR(CompilDonnées[[#This Row],[HarvestingDate]]))</f>
        <v>8 2025</v>
      </c>
      <c r="N3994">
        <f>_xlfn.NUMBERVALUE(CompilDonnées[[#This Row],[FarmID]]&amp;CompilDonnées[[#This Row],[ModuleNumber]]&amp;CompilDonnées[[#This Row],[PlantationDate]])</f>
        <v>17545856</v>
      </c>
      <c r="O3994" t="str">
        <f>CompilDonnées[[#This Row],[FarmID]]&amp;CompilDonnées[[#This Row],[ModuleNumber]]</f>
        <v>175</v>
      </c>
      <c r="P3994" t="str">
        <f>CompilDonnées[[#This Row],[Ref_Module]]&amp;CompilDonnées[[#This Row],[HarvestingDate]]</f>
        <v>17545897</v>
      </c>
    </row>
    <row r="3995" spans="1:16">
      <c r="A3995" s="5">
        <v>45856</v>
      </c>
      <c r="B3995">
        <v>16</v>
      </c>
      <c r="C3995" t="s">
        <v>112</v>
      </c>
      <c r="D3995">
        <v>6</v>
      </c>
      <c r="E3995">
        <v>100</v>
      </c>
      <c r="F3995" t="s">
        <v>1</v>
      </c>
      <c r="G3995" s="6">
        <v>45887</v>
      </c>
      <c r="H3995">
        <v>31</v>
      </c>
      <c r="I3995">
        <f>ROUND(CompilDonnées[[#This Row],[CultureDuration_days]]/7,0)</f>
        <v>4</v>
      </c>
      <c r="J3995">
        <v>3007</v>
      </c>
      <c r="K3995" t="str">
        <f>_xlfn.CONCAT(WEEKNUM(CompilDonnées[[#This Row],[PlantationDate]]), " ", YEAR(CompilDonnées[[#This Row],[PlantationDate]]))</f>
        <v>29 2025</v>
      </c>
      <c r="L3995" t="str">
        <f>CONCATENATE(MONTH(CompilDonnées[[#This Row],[PlantationDate]])," ", YEAR(CompilDonnées[[#This Row],[PlantationDate]]))</f>
        <v>7 2025</v>
      </c>
      <c r="M3995" t="str">
        <f>CONCATENATE(MONTH(CompilDonnées[[#This Row],[HarvestingDate]])," ", YEAR(CompilDonnées[[#This Row],[HarvestingDate]]))</f>
        <v>8 2025</v>
      </c>
      <c r="N3995">
        <f>_xlfn.NUMBERVALUE(CompilDonnées[[#This Row],[FarmID]]&amp;CompilDonnées[[#This Row],[ModuleNumber]]&amp;CompilDonnées[[#This Row],[PlantationDate]])</f>
        <v>16645856</v>
      </c>
      <c r="O3995" t="str">
        <f>CompilDonnées[[#This Row],[FarmID]]&amp;CompilDonnées[[#This Row],[ModuleNumber]]</f>
        <v>166</v>
      </c>
      <c r="P3995" t="str">
        <f>CompilDonnées[[#This Row],[Ref_Module]]&amp;CompilDonnées[[#This Row],[HarvestingDate]]</f>
        <v>16645887</v>
      </c>
    </row>
    <row r="3996" spans="1:16">
      <c r="A3996" s="5">
        <v>45856</v>
      </c>
      <c r="B3996">
        <v>22</v>
      </c>
      <c r="C3996" t="s">
        <v>43</v>
      </c>
      <c r="D3996">
        <v>2</v>
      </c>
      <c r="E3996">
        <v>100</v>
      </c>
      <c r="F3996" t="s">
        <v>1</v>
      </c>
      <c r="G3996" s="6">
        <v>45897</v>
      </c>
      <c r="H3996">
        <v>41</v>
      </c>
      <c r="I3996">
        <f>ROUND(CompilDonnées[[#This Row],[CultureDuration_days]]/7,0)</f>
        <v>6</v>
      </c>
      <c r="J3996">
        <v>3150</v>
      </c>
      <c r="K3996" t="str">
        <f>_xlfn.CONCAT(WEEKNUM(CompilDonnées[[#This Row],[PlantationDate]]), " ", YEAR(CompilDonnées[[#This Row],[PlantationDate]]))</f>
        <v>29 2025</v>
      </c>
      <c r="L3996" t="str">
        <f>CONCATENATE(MONTH(CompilDonnées[[#This Row],[PlantationDate]])," ", YEAR(CompilDonnées[[#This Row],[PlantationDate]]))</f>
        <v>7 2025</v>
      </c>
      <c r="M3996" t="str">
        <f>CONCATENATE(MONTH(CompilDonnées[[#This Row],[HarvestingDate]])," ", YEAR(CompilDonnées[[#This Row],[HarvestingDate]]))</f>
        <v>8 2025</v>
      </c>
      <c r="N3996">
        <f>_xlfn.NUMBERVALUE(CompilDonnées[[#This Row],[FarmID]]&amp;CompilDonnées[[#This Row],[ModuleNumber]]&amp;CompilDonnées[[#This Row],[PlantationDate]])</f>
        <v>22245856</v>
      </c>
      <c r="O3996" t="str">
        <f>CompilDonnées[[#This Row],[FarmID]]&amp;CompilDonnées[[#This Row],[ModuleNumber]]</f>
        <v>222</v>
      </c>
      <c r="P3996" t="str">
        <f>CompilDonnées[[#This Row],[Ref_Module]]&amp;CompilDonnées[[#This Row],[HarvestingDate]]</f>
        <v>22245897</v>
      </c>
    </row>
    <row r="3997" spans="1:16">
      <c r="A3997" s="5">
        <v>45856</v>
      </c>
      <c r="B3997">
        <v>21</v>
      </c>
      <c r="C3997" t="s">
        <v>0</v>
      </c>
      <c r="D3997">
        <v>1</v>
      </c>
      <c r="E3997">
        <v>100</v>
      </c>
      <c r="F3997" t="s">
        <v>1</v>
      </c>
      <c r="G3997" s="6">
        <v>45897</v>
      </c>
      <c r="H3997">
        <v>41</v>
      </c>
      <c r="I3997">
        <f>ROUND(CompilDonnées[[#This Row],[CultureDuration_days]]/7,0)</f>
        <v>6</v>
      </c>
      <c r="J3997">
        <v>2626</v>
      </c>
      <c r="K3997" t="str">
        <f>_xlfn.CONCAT(WEEKNUM(CompilDonnées[[#This Row],[PlantationDate]]), " ", YEAR(CompilDonnées[[#This Row],[PlantationDate]]))</f>
        <v>29 2025</v>
      </c>
      <c r="L3997" t="str">
        <f>CONCATENATE(MONTH(CompilDonnées[[#This Row],[PlantationDate]])," ", YEAR(CompilDonnées[[#This Row],[PlantationDate]]))</f>
        <v>7 2025</v>
      </c>
      <c r="M3997" t="str">
        <f>CONCATENATE(MONTH(CompilDonnées[[#This Row],[HarvestingDate]])," ", YEAR(CompilDonnées[[#This Row],[HarvestingDate]]))</f>
        <v>8 2025</v>
      </c>
      <c r="N3997">
        <f>_xlfn.NUMBERVALUE(CompilDonnées[[#This Row],[FarmID]]&amp;CompilDonnées[[#This Row],[ModuleNumber]]&amp;CompilDonnées[[#This Row],[PlantationDate]])</f>
        <v>21145856</v>
      </c>
      <c r="O3997" t="str">
        <f>CompilDonnées[[#This Row],[FarmID]]&amp;CompilDonnées[[#This Row],[ModuleNumber]]</f>
        <v>211</v>
      </c>
      <c r="P3997" t="str">
        <f>CompilDonnées[[#This Row],[Ref_Module]]&amp;CompilDonnées[[#This Row],[HarvestingDate]]</f>
        <v>21145897</v>
      </c>
    </row>
    <row r="3998" spans="1:16">
      <c r="A3998" s="5">
        <v>45856</v>
      </c>
      <c r="B3998">
        <v>43</v>
      </c>
      <c r="C3998" t="s">
        <v>45</v>
      </c>
      <c r="D3998">
        <v>3</v>
      </c>
      <c r="E3998">
        <v>100</v>
      </c>
      <c r="F3998" t="s">
        <v>1</v>
      </c>
      <c r="G3998" s="6">
        <v>45897</v>
      </c>
      <c r="H3998">
        <v>41</v>
      </c>
      <c r="I3998">
        <f>ROUND(CompilDonnées[[#This Row],[CultureDuration_days]]/7,0)</f>
        <v>6</v>
      </c>
      <c r="J3998">
        <v>2410</v>
      </c>
      <c r="K3998" t="str">
        <f>_xlfn.CONCAT(WEEKNUM(CompilDonnées[[#This Row],[PlantationDate]]), " ", YEAR(CompilDonnées[[#This Row],[PlantationDate]]))</f>
        <v>29 2025</v>
      </c>
      <c r="L3998" t="str">
        <f>CONCATENATE(MONTH(CompilDonnées[[#This Row],[PlantationDate]])," ", YEAR(CompilDonnées[[#This Row],[PlantationDate]]))</f>
        <v>7 2025</v>
      </c>
      <c r="M3998" t="str">
        <f>CONCATENATE(MONTH(CompilDonnées[[#This Row],[HarvestingDate]])," ", YEAR(CompilDonnées[[#This Row],[HarvestingDate]]))</f>
        <v>8 2025</v>
      </c>
      <c r="N3998">
        <f>_xlfn.NUMBERVALUE(CompilDonnées[[#This Row],[FarmID]]&amp;CompilDonnées[[#This Row],[ModuleNumber]]&amp;CompilDonnées[[#This Row],[PlantationDate]])</f>
        <v>43345856</v>
      </c>
      <c r="O3998" t="str">
        <f>CompilDonnées[[#This Row],[FarmID]]&amp;CompilDonnées[[#This Row],[ModuleNumber]]</f>
        <v>433</v>
      </c>
      <c r="P3998" t="str">
        <f>CompilDonnées[[#This Row],[Ref_Module]]&amp;CompilDonnées[[#This Row],[HarvestingDate]]</f>
        <v>43345897</v>
      </c>
    </row>
    <row r="3999" spans="1:16">
      <c r="A3999" s="5">
        <v>45856</v>
      </c>
      <c r="B3999">
        <v>41</v>
      </c>
      <c r="C3999" t="s">
        <v>70</v>
      </c>
      <c r="D3999">
        <v>2</v>
      </c>
      <c r="E3999">
        <v>100</v>
      </c>
      <c r="F3999" t="s">
        <v>1</v>
      </c>
      <c r="G3999" s="6">
        <v>45897</v>
      </c>
      <c r="H3999">
        <v>41</v>
      </c>
      <c r="I3999">
        <f>ROUND(CompilDonnées[[#This Row],[CultureDuration_days]]/7,0)</f>
        <v>6</v>
      </c>
      <c r="J3999">
        <v>2001</v>
      </c>
      <c r="K3999" t="str">
        <f>_xlfn.CONCAT(WEEKNUM(CompilDonnées[[#This Row],[PlantationDate]]), " ", YEAR(CompilDonnées[[#This Row],[PlantationDate]]))</f>
        <v>29 2025</v>
      </c>
      <c r="L3999" t="str">
        <f>CONCATENATE(MONTH(CompilDonnées[[#This Row],[PlantationDate]])," ", YEAR(CompilDonnées[[#This Row],[PlantationDate]]))</f>
        <v>7 2025</v>
      </c>
      <c r="M3999" t="str">
        <f>CONCATENATE(MONTH(CompilDonnées[[#This Row],[HarvestingDate]])," ", YEAR(CompilDonnées[[#This Row],[HarvestingDate]]))</f>
        <v>8 2025</v>
      </c>
      <c r="N3999">
        <f>_xlfn.NUMBERVALUE(CompilDonnées[[#This Row],[FarmID]]&amp;CompilDonnées[[#This Row],[ModuleNumber]]&amp;CompilDonnées[[#This Row],[PlantationDate]])</f>
        <v>41245856</v>
      </c>
      <c r="O3999" t="str">
        <f>CompilDonnées[[#This Row],[FarmID]]&amp;CompilDonnées[[#This Row],[ModuleNumber]]</f>
        <v>412</v>
      </c>
      <c r="P3999" t="str">
        <f>CompilDonnées[[#This Row],[Ref_Module]]&amp;CompilDonnées[[#This Row],[HarvestingDate]]</f>
        <v>41245897</v>
      </c>
    </row>
    <row r="4000" spans="1:16">
      <c r="A4000" s="5">
        <v>45856</v>
      </c>
      <c r="B4000">
        <v>59</v>
      </c>
      <c r="C4000" t="s">
        <v>64</v>
      </c>
      <c r="D4000">
        <v>5</v>
      </c>
      <c r="E4000">
        <v>100</v>
      </c>
      <c r="F4000" t="s">
        <v>1</v>
      </c>
      <c r="G4000" s="6">
        <v>45902</v>
      </c>
      <c r="H4000">
        <v>46</v>
      </c>
      <c r="I4000">
        <f>ROUND(CompilDonnées[[#This Row],[CultureDuration_days]]/7,0)</f>
        <v>7</v>
      </c>
      <c r="J4000">
        <v>4666</v>
      </c>
      <c r="K4000" t="str">
        <f>_xlfn.CONCAT(WEEKNUM(CompilDonnées[[#This Row],[PlantationDate]]), " ", YEAR(CompilDonnées[[#This Row],[PlantationDate]]))</f>
        <v>29 2025</v>
      </c>
      <c r="L4000" t="str">
        <f>CONCATENATE(MONTH(CompilDonnées[[#This Row],[PlantationDate]])," ", YEAR(CompilDonnées[[#This Row],[PlantationDate]]))</f>
        <v>7 2025</v>
      </c>
      <c r="M4000" t="str">
        <f>CONCATENATE(MONTH(CompilDonnées[[#This Row],[HarvestingDate]])," ", YEAR(CompilDonnées[[#This Row],[HarvestingDate]]))</f>
        <v>9 2025</v>
      </c>
      <c r="N4000">
        <f>_xlfn.NUMBERVALUE(CompilDonnées[[#This Row],[FarmID]]&amp;CompilDonnées[[#This Row],[ModuleNumber]]&amp;CompilDonnées[[#This Row],[PlantationDate]])</f>
        <v>59545856</v>
      </c>
      <c r="O4000" t="str">
        <f>CompilDonnées[[#This Row],[FarmID]]&amp;CompilDonnées[[#This Row],[ModuleNumber]]</f>
        <v>595</v>
      </c>
      <c r="P4000" t="str">
        <f>CompilDonnées[[#This Row],[Ref_Module]]&amp;CompilDonnées[[#This Row],[HarvestingDate]]</f>
        <v>59545902</v>
      </c>
    </row>
    <row r="4001" spans="1:16">
      <c r="A4001" s="5">
        <v>45860</v>
      </c>
      <c r="B4001">
        <v>6</v>
      </c>
      <c r="C4001" t="s">
        <v>24</v>
      </c>
      <c r="D4001">
        <v>5</v>
      </c>
      <c r="E4001">
        <v>100</v>
      </c>
      <c r="F4001" t="s">
        <v>1</v>
      </c>
      <c r="G4001" s="6">
        <v>45901</v>
      </c>
      <c r="H4001">
        <v>41</v>
      </c>
      <c r="I4001">
        <f>ROUND(CompilDonnées[[#This Row],[CultureDuration_days]]/7,0)</f>
        <v>6</v>
      </c>
      <c r="J4001">
        <v>3245</v>
      </c>
      <c r="K4001" t="str">
        <f>_xlfn.CONCAT(WEEKNUM(CompilDonnées[[#This Row],[PlantationDate]]), " ", YEAR(CompilDonnées[[#This Row],[PlantationDate]]))</f>
        <v>30 2025</v>
      </c>
      <c r="L4001" t="str">
        <f>CONCATENATE(MONTH(CompilDonnées[[#This Row],[PlantationDate]])," ", YEAR(CompilDonnées[[#This Row],[PlantationDate]]))</f>
        <v>7 2025</v>
      </c>
      <c r="M4001" t="str">
        <f>CONCATENATE(MONTH(CompilDonnées[[#This Row],[HarvestingDate]])," ", YEAR(CompilDonnées[[#This Row],[HarvestingDate]]))</f>
        <v>9 2025</v>
      </c>
      <c r="N4001">
        <f>_xlfn.NUMBERVALUE(CompilDonnées[[#This Row],[FarmID]]&amp;CompilDonnées[[#This Row],[ModuleNumber]]&amp;CompilDonnées[[#This Row],[PlantationDate]])</f>
        <v>6545860</v>
      </c>
      <c r="O4001" t="str">
        <f>CompilDonnées[[#This Row],[FarmID]]&amp;CompilDonnées[[#This Row],[ModuleNumber]]</f>
        <v>65</v>
      </c>
      <c r="P4001" t="str">
        <f>CompilDonnées[[#This Row],[Ref_Module]]&amp;CompilDonnées[[#This Row],[HarvestingDate]]</f>
        <v>6545901</v>
      </c>
    </row>
    <row r="4002" spans="1:16">
      <c r="A4002" s="5">
        <v>45860</v>
      </c>
      <c r="B4002">
        <v>5</v>
      </c>
      <c r="C4002" t="s">
        <v>32</v>
      </c>
      <c r="D4002">
        <v>5</v>
      </c>
      <c r="E4002">
        <v>100</v>
      </c>
      <c r="F4002" t="s">
        <v>1</v>
      </c>
      <c r="G4002" s="6">
        <v>45901</v>
      </c>
      <c r="H4002">
        <v>41</v>
      </c>
      <c r="I4002">
        <f>ROUND(CompilDonnées[[#This Row],[CultureDuration_days]]/7,0)</f>
        <v>6</v>
      </c>
      <c r="J4002">
        <v>2533</v>
      </c>
      <c r="K4002" t="str">
        <f>_xlfn.CONCAT(WEEKNUM(CompilDonnées[[#This Row],[PlantationDate]]), " ", YEAR(CompilDonnées[[#This Row],[PlantationDate]]))</f>
        <v>30 2025</v>
      </c>
      <c r="L4002" t="str">
        <f>CONCATENATE(MONTH(CompilDonnées[[#This Row],[PlantationDate]])," ", YEAR(CompilDonnées[[#This Row],[PlantationDate]]))</f>
        <v>7 2025</v>
      </c>
      <c r="M4002" t="str">
        <f>CONCATENATE(MONTH(CompilDonnées[[#This Row],[HarvestingDate]])," ", YEAR(CompilDonnées[[#This Row],[HarvestingDate]]))</f>
        <v>9 2025</v>
      </c>
      <c r="N4002">
        <f>_xlfn.NUMBERVALUE(CompilDonnées[[#This Row],[FarmID]]&amp;CompilDonnées[[#This Row],[ModuleNumber]]&amp;CompilDonnées[[#This Row],[PlantationDate]])</f>
        <v>5545860</v>
      </c>
      <c r="O4002" t="str">
        <f>CompilDonnées[[#This Row],[FarmID]]&amp;CompilDonnées[[#This Row],[ModuleNumber]]</f>
        <v>55</v>
      </c>
      <c r="P4002" t="str">
        <f>CompilDonnées[[#This Row],[Ref_Module]]&amp;CompilDonnées[[#This Row],[HarvestingDate]]</f>
        <v>5545901</v>
      </c>
    </row>
    <row r="4003" spans="1:16">
      <c r="A4003" s="5">
        <v>45860</v>
      </c>
      <c r="B4003">
        <v>4</v>
      </c>
      <c r="C4003" t="s">
        <v>74</v>
      </c>
      <c r="D4003">
        <v>6</v>
      </c>
      <c r="E4003">
        <v>100</v>
      </c>
      <c r="F4003" t="s">
        <v>1</v>
      </c>
      <c r="G4003" s="6">
        <v>45898</v>
      </c>
      <c r="H4003">
        <v>38</v>
      </c>
      <c r="I4003">
        <f>ROUND(CompilDonnées[[#This Row],[CultureDuration_days]]/7,0)</f>
        <v>5</v>
      </c>
      <c r="J4003">
        <v>2648</v>
      </c>
      <c r="K4003" t="str">
        <f>_xlfn.CONCAT(WEEKNUM(CompilDonnées[[#This Row],[PlantationDate]]), " ", YEAR(CompilDonnées[[#This Row],[PlantationDate]]))</f>
        <v>30 2025</v>
      </c>
      <c r="L4003" t="str">
        <f>CONCATENATE(MONTH(CompilDonnées[[#This Row],[PlantationDate]])," ", YEAR(CompilDonnées[[#This Row],[PlantationDate]]))</f>
        <v>7 2025</v>
      </c>
      <c r="M4003" t="str">
        <f>CONCATENATE(MONTH(CompilDonnées[[#This Row],[HarvestingDate]])," ", YEAR(CompilDonnées[[#This Row],[HarvestingDate]]))</f>
        <v>8 2025</v>
      </c>
      <c r="N4003">
        <f>_xlfn.NUMBERVALUE(CompilDonnées[[#This Row],[FarmID]]&amp;CompilDonnées[[#This Row],[ModuleNumber]]&amp;CompilDonnées[[#This Row],[PlantationDate]])</f>
        <v>4645860</v>
      </c>
      <c r="O4003" t="str">
        <f>CompilDonnées[[#This Row],[FarmID]]&amp;CompilDonnées[[#This Row],[ModuleNumber]]</f>
        <v>46</v>
      </c>
      <c r="P4003" t="str">
        <f>CompilDonnées[[#This Row],[Ref_Module]]&amp;CompilDonnées[[#This Row],[HarvestingDate]]</f>
        <v>4645898</v>
      </c>
    </row>
    <row r="4004" spans="1:16">
      <c r="A4004" s="5">
        <v>45860</v>
      </c>
      <c r="B4004">
        <v>3</v>
      </c>
      <c r="C4004" t="s">
        <v>116</v>
      </c>
      <c r="D4004">
        <v>1</v>
      </c>
      <c r="E4004">
        <v>100</v>
      </c>
      <c r="F4004" t="s">
        <v>1</v>
      </c>
      <c r="G4004" s="6">
        <v>45898</v>
      </c>
      <c r="H4004">
        <v>38</v>
      </c>
      <c r="I4004">
        <f>ROUND(CompilDonnées[[#This Row],[CultureDuration_days]]/7,0)</f>
        <v>5</v>
      </c>
      <c r="J4004">
        <v>2178</v>
      </c>
      <c r="K4004" t="str">
        <f>_xlfn.CONCAT(WEEKNUM(CompilDonnées[[#This Row],[PlantationDate]]), " ", YEAR(CompilDonnées[[#This Row],[PlantationDate]]))</f>
        <v>30 2025</v>
      </c>
      <c r="L4004" t="str">
        <f>CONCATENATE(MONTH(CompilDonnées[[#This Row],[PlantationDate]])," ", YEAR(CompilDonnées[[#This Row],[PlantationDate]]))</f>
        <v>7 2025</v>
      </c>
      <c r="M4004" t="str">
        <f>CONCATENATE(MONTH(CompilDonnées[[#This Row],[HarvestingDate]])," ", YEAR(CompilDonnées[[#This Row],[HarvestingDate]]))</f>
        <v>8 2025</v>
      </c>
      <c r="N4004">
        <f>_xlfn.NUMBERVALUE(CompilDonnées[[#This Row],[FarmID]]&amp;CompilDonnées[[#This Row],[ModuleNumber]]&amp;CompilDonnées[[#This Row],[PlantationDate]])</f>
        <v>3145860</v>
      </c>
      <c r="O4004" t="str">
        <f>CompilDonnées[[#This Row],[FarmID]]&amp;CompilDonnées[[#This Row],[ModuleNumber]]</f>
        <v>31</v>
      </c>
      <c r="P4004" t="str">
        <f>CompilDonnées[[#This Row],[Ref_Module]]&amp;CompilDonnées[[#This Row],[HarvestingDate]]</f>
        <v>3145898</v>
      </c>
    </row>
    <row r="4005" spans="1:16">
      <c r="A4005" s="5">
        <v>45860</v>
      </c>
      <c r="B4005">
        <v>18</v>
      </c>
      <c r="C4005" t="s">
        <v>33</v>
      </c>
      <c r="D4005">
        <v>1</v>
      </c>
      <c r="E4005">
        <v>100</v>
      </c>
      <c r="F4005" t="s">
        <v>1</v>
      </c>
      <c r="G4005" s="6">
        <v>45901</v>
      </c>
      <c r="H4005">
        <v>41</v>
      </c>
      <c r="I4005">
        <f>ROUND(CompilDonnées[[#This Row],[CultureDuration_days]]/7,0)</f>
        <v>6</v>
      </c>
      <c r="J4005">
        <v>4582</v>
      </c>
      <c r="K4005" t="str">
        <f>_xlfn.CONCAT(WEEKNUM(CompilDonnées[[#This Row],[PlantationDate]]), " ", YEAR(CompilDonnées[[#This Row],[PlantationDate]]))</f>
        <v>30 2025</v>
      </c>
      <c r="L4005" t="str">
        <f>CONCATENATE(MONTH(CompilDonnées[[#This Row],[PlantationDate]])," ", YEAR(CompilDonnées[[#This Row],[PlantationDate]]))</f>
        <v>7 2025</v>
      </c>
      <c r="M4005" t="str">
        <f>CONCATENATE(MONTH(CompilDonnées[[#This Row],[HarvestingDate]])," ", YEAR(CompilDonnées[[#This Row],[HarvestingDate]]))</f>
        <v>9 2025</v>
      </c>
      <c r="N4005">
        <f>_xlfn.NUMBERVALUE(CompilDonnées[[#This Row],[FarmID]]&amp;CompilDonnées[[#This Row],[ModuleNumber]]&amp;CompilDonnées[[#This Row],[PlantationDate]])</f>
        <v>18145860</v>
      </c>
      <c r="O4005" t="str">
        <f>CompilDonnées[[#This Row],[FarmID]]&amp;CompilDonnées[[#This Row],[ModuleNumber]]</f>
        <v>181</v>
      </c>
      <c r="P4005" t="str">
        <f>CompilDonnées[[#This Row],[Ref_Module]]&amp;CompilDonnées[[#This Row],[HarvestingDate]]</f>
        <v>18145901</v>
      </c>
    </row>
    <row r="4006" spans="1:16">
      <c r="A4006" s="5">
        <v>45860</v>
      </c>
      <c r="B4006">
        <v>17</v>
      </c>
      <c r="C4006" t="s">
        <v>80</v>
      </c>
      <c r="D4006">
        <v>2</v>
      </c>
      <c r="E4006">
        <v>100</v>
      </c>
      <c r="F4006" t="s">
        <v>1</v>
      </c>
      <c r="G4006" s="6">
        <v>45897</v>
      </c>
      <c r="H4006">
        <v>37</v>
      </c>
      <c r="I4006">
        <f>ROUND(CompilDonnées[[#This Row],[CultureDuration_days]]/7,0)</f>
        <v>5</v>
      </c>
      <c r="J4006">
        <v>2903</v>
      </c>
      <c r="K4006" t="str">
        <f>_xlfn.CONCAT(WEEKNUM(CompilDonnées[[#This Row],[PlantationDate]]), " ", YEAR(CompilDonnées[[#This Row],[PlantationDate]]))</f>
        <v>30 2025</v>
      </c>
      <c r="L4006" t="str">
        <f>CONCATENATE(MONTH(CompilDonnées[[#This Row],[PlantationDate]])," ", YEAR(CompilDonnées[[#This Row],[PlantationDate]]))</f>
        <v>7 2025</v>
      </c>
      <c r="M4006" t="str">
        <f>CONCATENATE(MONTH(CompilDonnées[[#This Row],[HarvestingDate]])," ", YEAR(CompilDonnées[[#This Row],[HarvestingDate]]))</f>
        <v>8 2025</v>
      </c>
      <c r="N4006">
        <f>_xlfn.NUMBERVALUE(CompilDonnées[[#This Row],[FarmID]]&amp;CompilDonnées[[#This Row],[ModuleNumber]]&amp;CompilDonnées[[#This Row],[PlantationDate]])</f>
        <v>17245860</v>
      </c>
      <c r="O4006" t="str">
        <f>CompilDonnées[[#This Row],[FarmID]]&amp;CompilDonnées[[#This Row],[ModuleNumber]]</f>
        <v>172</v>
      </c>
      <c r="P4006" t="str">
        <f>CompilDonnées[[#This Row],[Ref_Module]]&amp;CompilDonnées[[#This Row],[HarvestingDate]]</f>
        <v>17245897</v>
      </c>
    </row>
    <row r="4007" spans="1:16">
      <c r="A4007" s="5">
        <v>45860</v>
      </c>
      <c r="B4007">
        <v>16</v>
      </c>
      <c r="C4007" t="s">
        <v>112</v>
      </c>
      <c r="D4007">
        <v>4</v>
      </c>
      <c r="E4007">
        <v>100</v>
      </c>
      <c r="F4007" t="s">
        <v>1</v>
      </c>
      <c r="G4007" s="6">
        <v>45897</v>
      </c>
      <c r="H4007">
        <v>37</v>
      </c>
      <c r="I4007">
        <f>ROUND(CompilDonnées[[#This Row],[CultureDuration_days]]/7,0)</f>
        <v>5</v>
      </c>
      <c r="J4007">
        <v>2122</v>
      </c>
      <c r="K4007" t="str">
        <f>_xlfn.CONCAT(WEEKNUM(CompilDonnées[[#This Row],[PlantationDate]]), " ", YEAR(CompilDonnées[[#This Row],[PlantationDate]]))</f>
        <v>30 2025</v>
      </c>
      <c r="L4007" t="str">
        <f>CONCATENATE(MONTH(CompilDonnées[[#This Row],[PlantationDate]])," ", YEAR(CompilDonnées[[#This Row],[PlantationDate]]))</f>
        <v>7 2025</v>
      </c>
      <c r="M4007" t="str">
        <f>CONCATENATE(MONTH(CompilDonnées[[#This Row],[HarvestingDate]])," ", YEAR(CompilDonnées[[#This Row],[HarvestingDate]]))</f>
        <v>8 2025</v>
      </c>
      <c r="N4007">
        <f>_xlfn.NUMBERVALUE(CompilDonnées[[#This Row],[FarmID]]&amp;CompilDonnées[[#This Row],[ModuleNumber]]&amp;CompilDonnées[[#This Row],[PlantationDate]])</f>
        <v>16445860</v>
      </c>
      <c r="O4007" t="str">
        <f>CompilDonnées[[#This Row],[FarmID]]&amp;CompilDonnées[[#This Row],[ModuleNumber]]</f>
        <v>164</v>
      </c>
      <c r="P4007" t="str">
        <f>CompilDonnées[[#This Row],[Ref_Module]]&amp;CompilDonnées[[#This Row],[HarvestingDate]]</f>
        <v>16445897</v>
      </c>
    </row>
    <row r="4008" spans="1:16">
      <c r="A4008" s="5">
        <v>45860</v>
      </c>
      <c r="B4008">
        <v>15</v>
      </c>
      <c r="C4008" t="s">
        <v>5</v>
      </c>
      <c r="D4008">
        <v>5</v>
      </c>
      <c r="E4008">
        <v>100</v>
      </c>
      <c r="F4008" t="s">
        <v>1</v>
      </c>
      <c r="G4008" s="6">
        <v>45897</v>
      </c>
      <c r="H4008">
        <v>37</v>
      </c>
      <c r="I4008">
        <f>ROUND(CompilDonnées[[#This Row],[CultureDuration_days]]/7,0)</f>
        <v>5</v>
      </c>
      <c r="J4008">
        <v>2550</v>
      </c>
      <c r="K4008" t="str">
        <f>_xlfn.CONCAT(WEEKNUM(CompilDonnées[[#This Row],[PlantationDate]]), " ", YEAR(CompilDonnées[[#This Row],[PlantationDate]]))</f>
        <v>30 2025</v>
      </c>
      <c r="L4008" t="str">
        <f>CONCATENATE(MONTH(CompilDonnées[[#This Row],[PlantationDate]])," ", YEAR(CompilDonnées[[#This Row],[PlantationDate]]))</f>
        <v>7 2025</v>
      </c>
      <c r="M4008" t="str">
        <f>CONCATENATE(MONTH(CompilDonnées[[#This Row],[HarvestingDate]])," ", YEAR(CompilDonnées[[#This Row],[HarvestingDate]]))</f>
        <v>8 2025</v>
      </c>
      <c r="N4008">
        <f>_xlfn.NUMBERVALUE(CompilDonnées[[#This Row],[FarmID]]&amp;CompilDonnées[[#This Row],[ModuleNumber]]&amp;CompilDonnées[[#This Row],[PlantationDate]])</f>
        <v>15545860</v>
      </c>
      <c r="O4008" t="str">
        <f>CompilDonnées[[#This Row],[FarmID]]&amp;CompilDonnées[[#This Row],[ModuleNumber]]</f>
        <v>155</v>
      </c>
      <c r="P4008" t="str">
        <f>CompilDonnées[[#This Row],[Ref_Module]]&amp;CompilDonnées[[#This Row],[HarvestingDate]]</f>
        <v>15545897</v>
      </c>
    </row>
    <row r="4009" spans="1:16">
      <c r="A4009" s="5">
        <v>45860</v>
      </c>
      <c r="B4009">
        <v>24</v>
      </c>
      <c r="C4009" t="s">
        <v>31</v>
      </c>
      <c r="D4009">
        <v>2</v>
      </c>
      <c r="E4009">
        <v>100</v>
      </c>
      <c r="F4009" t="s">
        <v>1</v>
      </c>
      <c r="G4009" s="6">
        <v>45897</v>
      </c>
      <c r="H4009">
        <v>37</v>
      </c>
      <c r="I4009">
        <f>ROUND(CompilDonnées[[#This Row],[CultureDuration_days]]/7,0)</f>
        <v>5</v>
      </c>
      <c r="J4009">
        <v>3632</v>
      </c>
      <c r="K4009" t="str">
        <f>_xlfn.CONCAT(WEEKNUM(CompilDonnées[[#This Row],[PlantationDate]]), " ", YEAR(CompilDonnées[[#This Row],[PlantationDate]]))</f>
        <v>30 2025</v>
      </c>
      <c r="L4009" t="str">
        <f>CONCATENATE(MONTH(CompilDonnées[[#This Row],[PlantationDate]])," ", YEAR(CompilDonnées[[#This Row],[PlantationDate]]))</f>
        <v>7 2025</v>
      </c>
      <c r="M4009" t="str">
        <f>CONCATENATE(MONTH(CompilDonnées[[#This Row],[HarvestingDate]])," ", YEAR(CompilDonnées[[#This Row],[HarvestingDate]]))</f>
        <v>8 2025</v>
      </c>
      <c r="N4009">
        <f>_xlfn.NUMBERVALUE(CompilDonnées[[#This Row],[FarmID]]&amp;CompilDonnées[[#This Row],[ModuleNumber]]&amp;CompilDonnées[[#This Row],[PlantationDate]])</f>
        <v>24245860</v>
      </c>
      <c r="O4009" t="str">
        <f>CompilDonnées[[#This Row],[FarmID]]&amp;CompilDonnées[[#This Row],[ModuleNumber]]</f>
        <v>242</v>
      </c>
      <c r="P4009" t="str">
        <f>CompilDonnées[[#This Row],[Ref_Module]]&amp;CompilDonnées[[#This Row],[HarvestingDate]]</f>
        <v>24245897</v>
      </c>
    </row>
    <row r="4010" spans="1:16">
      <c r="A4010" s="5">
        <v>45860</v>
      </c>
      <c r="B4010">
        <v>23</v>
      </c>
      <c r="C4010" t="s">
        <v>44</v>
      </c>
      <c r="D4010">
        <v>5</v>
      </c>
      <c r="E4010">
        <v>100</v>
      </c>
      <c r="F4010" t="s">
        <v>1</v>
      </c>
      <c r="G4010" s="6">
        <v>45897</v>
      </c>
      <c r="H4010">
        <v>37</v>
      </c>
      <c r="I4010">
        <f>ROUND(CompilDonnées[[#This Row],[CultureDuration_days]]/7,0)</f>
        <v>5</v>
      </c>
      <c r="J4010">
        <v>3085</v>
      </c>
      <c r="K4010" t="str">
        <f>_xlfn.CONCAT(WEEKNUM(CompilDonnées[[#This Row],[PlantationDate]]), " ", YEAR(CompilDonnées[[#This Row],[PlantationDate]]))</f>
        <v>30 2025</v>
      </c>
      <c r="L4010" t="str">
        <f>CONCATENATE(MONTH(CompilDonnées[[#This Row],[PlantationDate]])," ", YEAR(CompilDonnées[[#This Row],[PlantationDate]]))</f>
        <v>7 2025</v>
      </c>
      <c r="M4010" t="str">
        <f>CONCATENATE(MONTH(CompilDonnées[[#This Row],[HarvestingDate]])," ", YEAR(CompilDonnées[[#This Row],[HarvestingDate]]))</f>
        <v>8 2025</v>
      </c>
      <c r="N4010">
        <f>_xlfn.NUMBERVALUE(CompilDonnées[[#This Row],[FarmID]]&amp;CompilDonnées[[#This Row],[ModuleNumber]]&amp;CompilDonnées[[#This Row],[PlantationDate]])</f>
        <v>23545860</v>
      </c>
      <c r="O4010" t="str">
        <f>CompilDonnées[[#This Row],[FarmID]]&amp;CompilDonnées[[#This Row],[ModuleNumber]]</f>
        <v>235</v>
      </c>
      <c r="P4010" t="str">
        <f>CompilDonnées[[#This Row],[Ref_Module]]&amp;CompilDonnées[[#This Row],[HarvestingDate]]</f>
        <v>23545897</v>
      </c>
    </row>
    <row r="4011" spans="1:16">
      <c r="A4011" s="5">
        <v>45860</v>
      </c>
      <c r="B4011">
        <v>22</v>
      </c>
      <c r="C4011" t="s">
        <v>43</v>
      </c>
      <c r="D4011">
        <v>6</v>
      </c>
      <c r="E4011">
        <v>100</v>
      </c>
      <c r="F4011" t="s">
        <v>1</v>
      </c>
      <c r="G4011" s="6">
        <v>45897</v>
      </c>
      <c r="H4011">
        <v>37</v>
      </c>
      <c r="I4011">
        <f>ROUND(CompilDonnées[[#This Row],[CultureDuration_days]]/7,0)</f>
        <v>5</v>
      </c>
      <c r="J4011">
        <v>3006</v>
      </c>
      <c r="K4011" t="str">
        <f>_xlfn.CONCAT(WEEKNUM(CompilDonnées[[#This Row],[PlantationDate]]), " ", YEAR(CompilDonnées[[#This Row],[PlantationDate]]))</f>
        <v>30 2025</v>
      </c>
      <c r="L4011" t="str">
        <f>CONCATENATE(MONTH(CompilDonnées[[#This Row],[PlantationDate]])," ", YEAR(CompilDonnées[[#This Row],[PlantationDate]]))</f>
        <v>7 2025</v>
      </c>
      <c r="M4011" t="str">
        <f>CONCATENATE(MONTH(CompilDonnées[[#This Row],[HarvestingDate]])," ", YEAR(CompilDonnées[[#This Row],[HarvestingDate]]))</f>
        <v>8 2025</v>
      </c>
      <c r="N4011">
        <f>_xlfn.NUMBERVALUE(CompilDonnées[[#This Row],[FarmID]]&amp;CompilDonnées[[#This Row],[ModuleNumber]]&amp;CompilDonnées[[#This Row],[PlantationDate]])</f>
        <v>22645860</v>
      </c>
      <c r="O4011" t="str">
        <f>CompilDonnées[[#This Row],[FarmID]]&amp;CompilDonnées[[#This Row],[ModuleNumber]]</f>
        <v>226</v>
      </c>
      <c r="P4011" t="str">
        <f>CompilDonnées[[#This Row],[Ref_Module]]&amp;CompilDonnées[[#This Row],[HarvestingDate]]</f>
        <v>22645897</v>
      </c>
    </row>
    <row r="4012" spans="1:16">
      <c r="A4012" s="5">
        <v>45860</v>
      </c>
      <c r="B4012">
        <v>21</v>
      </c>
      <c r="C4012" t="s">
        <v>0</v>
      </c>
      <c r="D4012">
        <v>6</v>
      </c>
      <c r="E4012">
        <v>100</v>
      </c>
      <c r="F4012" t="s">
        <v>1</v>
      </c>
      <c r="G4012" s="6">
        <v>45897</v>
      </c>
      <c r="H4012">
        <v>37</v>
      </c>
      <c r="I4012">
        <f>ROUND(CompilDonnées[[#This Row],[CultureDuration_days]]/7,0)</f>
        <v>5</v>
      </c>
      <c r="J4012">
        <v>2505</v>
      </c>
      <c r="K4012" t="str">
        <f>_xlfn.CONCAT(WEEKNUM(CompilDonnées[[#This Row],[PlantationDate]]), " ", YEAR(CompilDonnées[[#This Row],[PlantationDate]]))</f>
        <v>30 2025</v>
      </c>
      <c r="L4012" t="str">
        <f>CONCATENATE(MONTH(CompilDonnées[[#This Row],[PlantationDate]])," ", YEAR(CompilDonnées[[#This Row],[PlantationDate]]))</f>
        <v>7 2025</v>
      </c>
      <c r="M4012" t="str">
        <f>CONCATENATE(MONTH(CompilDonnées[[#This Row],[HarvestingDate]])," ", YEAR(CompilDonnées[[#This Row],[HarvestingDate]]))</f>
        <v>8 2025</v>
      </c>
      <c r="N4012">
        <f>_xlfn.NUMBERVALUE(CompilDonnées[[#This Row],[FarmID]]&amp;CompilDonnées[[#This Row],[ModuleNumber]]&amp;CompilDonnées[[#This Row],[PlantationDate]])</f>
        <v>21645860</v>
      </c>
      <c r="O4012" t="str">
        <f>CompilDonnées[[#This Row],[FarmID]]&amp;CompilDonnées[[#This Row],[ModuleNumber]]</f>
        <v>216</v>
      </c>
      <c r="P4012" t="str">
        <f>CompilDonnées[[#This Row],[Ref_Module]]&amp;CompilDonnées[[#This Row],[HarvestingDate]]</f>
        <v>21645897</v>
      </c>
    </row>
    <row r="4013" spans="1:16">
      <c r="A4013" s="5">
        <v>45860</v>
      </c>
      <c r="B4013">
        <v>32</v>
      </c>
      <c r="C4013" t="s">
        <v>25</v>
      </c>
      <c r="D4013">
        <v>6</v>
      </c>
      <c r="E4013">
        <v>100</v>
      </c>
      <c r="F4013" t="s">
        <v>1</v>
      </c>
      <c r="G4013" s="6">
        <v>45901</v>
      </c>
      <c r="H4013">
        <v>41</v>
      </c>
      <c r="I4013">
        <f>ROUND(CompilDonnées[[#This Row],[CultureDuration_days]]/7,0)</f>
        <v>6</v>
      </c>
      <c r="J4013">
        <v>4329</v>
      </c>
      <c r="K4013" t="str">
        <f>_xlfn.CONCAT(WEEKNUM(CompilDonnées[[#This Row],[PlantationDate]]), " ", YEAR(CompilDonnées[[#This Row],[PlantationDate]]))</f>
        <v>30 2025</v>
      </c>
      <c r="L4013" t="str">
        <f>CONCATENATE(MONTH(CompilDonnées[[#This Row],[PlantationDate]])," ", YEAR(CompilDonnées[[#This Row],[PlantationDate]]))</f>
        <v>7 2025</v>
      </c>
      <c r="M4013" t="str">
        <f>CONCATENATE(MONTH(CompilDonnées[[#This Row],[HarvestingDate]])," ", YEAR(CompilDonnées[[#This Row],[HarvestingDate]]))</f>
        <v>9 2025</v>
      </c>
      <c r="N4013">
        <f>_xlfn.NUMBERVALUE(CompilDonnées[[#This Row],[FarmID]]&amp;CompilDonnées[[#This Row],[ModuleNumber]]&amp;CompilDonnées[[#This Row],[PlantationDate]])</f>
        <v>32645860</v>
      </c>
      <c r="O4013" t="str">
        <f>CompilDonnées[[#This Row],[FarmID]]&amp;CompilDonnées[[#This Row],[ModuleNumber]]</f>
        <v>326</v>
      </c>
      <c r="P4013" t="str">
        <f>CompilDonnées[[#This Row],[Ref_Module]]&amp;CompilDonnées[[#This Row],[HarvestingDate]]</f>
        <v>32645901</v>
      </c>
    </row>
    <row r="4014" spans="1:16">
      <c r="A4014" s="5">
        <v>45860</v>
      </c>
      <c r="B4014">
        <v>31</v>
      </c>
      <c r="C4014" t="s">
        <v>62</v>
      </c>
      <c r="D4014">
        <v>4</v>
      </c>
      <c r="E4014">
        <v>100</v>
      </c>
      <c r="F4014" t="s">
        <v>1</v>
      </c>
      <c r="G4014" s="6">
        <v>45901</v>
      </c>
      <c r="H4014">
        <v>41</v>
      </c>
      <c r="I4014">
        <f>ROUND(CompilDonnées[[#This Row],[CultureDuration_days]]/7,0)</f>
        <v>6</v>
      </c>
      <c r="J4014">
        <v>3206</v>
      </c>
      <c r="K4014" t="str">
        <f>_xlfn.CONCAT(WEEKNUM(CompilDonnées[[#This Row],[PlantationDate]]), " ", YEAR(CompilDonnées[[#This Row],[PlantationDate]]))</f>
        <v>30 2025</v>
      </c>
      <c r="L4014" t="str">
        <f>CONCATENATE(MONTH(CompilDonnées[[#This Row],[PlantationDate]])," ", YEAR(CompilDonnées[[#This Row],[PlantationDate]]))</f>
        <v>7 2025</v>
      </c>
      <c r="M4014" t="str">
        <f>CONCATENATE(MONTH(CompilDonnées[[#This Row],[HarvestingDate]])," ", YEAR(CompilDonnées[[#This Row],[HarvestingDate]]))</f>
        <v>9 2025</v>
      </c>
      <c r="N4014">
        <f>_xlfn.NUMBERVALUE(CompilDonnées[[#This Row],[FarmID]]&amp;CompilDonnées[[#This Row],[ModuleNumber]]&amp;CompilDonnées[[#This Row],[PlantationDate]])</f>
        <v>31445860</v>
      </c>
      <c r="O4014" t="str">
        <f>CompilDonnées[[#This Row],[FarmID]]&amp;CompilDonnées[[#This Row],[ModuleNumber]]</f>
        <v>314</v>
      </c>
      <c r="P4014" t="str">
        <f>CompilDonnées[[#This Row],[Ref_Module]]&amp;CompilDonnées[[#This Row],[HarvestingDate]]</f>
        <v>31445901</v>
      </c>
    </row>
    <row r="4015" spans="1:16">
      <c r="A4015" s="5">
        <v>45860</v>
      </c>
      <c r="B4015">
        <v>37</v>
      </c>
      <c r="C4015" t="s">
        <v>26</v>
      </c>
      <c r="D4015">
        <v>2</v>
      </c>
      <c r="E4015">
        <v>100</v>
      </c>
      <c r="F4015" t="s">
        <v>1</v>
      </c>
      <c r="G4015" s="6">
        <v>45901</v>
      </c>
      <c r="H4015">
        <v>41</v>
      </c>
      <c r="I4015">
        <f>ROUND(CompilDonnées[[#This Row],[CultureDuration_days]]/7,0)</f>
        <v>6</v>
      </c>
      <c r="J4015">
        <v>3014</v>
      </c>
      <c r="K4015" t="str">
        <f>_xlfn.CONCAT(WEEKNUM(CompilDonnées[[#This Row],[PlantationDate]]), " ", YEAR(CompilDonnées[[#This Row],[PlantationDate]]))</f>
        <v>30 2025</v>
      </c>
      <c r="L4015" t="str">
        <f>CONCATENATE(MONTH(CompilDonnées[[#This Row],[PlantationDate]])," ", YEAR(CompilDonnées[[#This Row],[PlantationDate]]))</f>
        <v>7 2025</v>
      </c>
      <c r="M4015" t="str">
        <f>CONCATENATE(MONTH(CompilDonnées[[#This Row],[HarvestingDate]])," ", YEAR(CompilDonnées[[#This Row],[HarvestingDate]]))</f>
        <v>9 2025</v>
      </c>
      <c r="N4015">
        <f>_xlfn.NUMBERVALUE(CompilDonnées[[#This Row],[FarmID]]&amp;CompilDonnées[[#This Row],[ModuleNumber]]&amp;CompilDonnées[[#This Row],[PlantationDate]])</f>
        <v>37245860</v>
      </c>
      <c r="O4015" t="str">
        <f>CompilDonnées[[#This Row],[FarmID]]&amp;CompilDonnées[[#This Row],[ModuleNumber]]</f>
        <v>372</v>
      </c>
      <c r="P4015" t="str">
        <f>CompilDonnées[[#This Row],[Ref_Module]]&amp;CompilDonnées[[#This Row],[HarvestingDate]]</f>
        <v>37245901</v>
      </c>
    </row>
    <row r="4016" spans="1:16">
      <c r="A4016" s="5">
        <v>45860</v>
      </c>
      <c r="B4016">
        <v>44</v>
      </c>
      <c r="C4016" t="s">
        <v>42</v>
      </c>
      <c r="D4016">
        <v>1</v>
      </c>
      <c r="E4016">
        <v>100</v>
      </c>
      <c r="F4016" t="s">
        <v>1</v>
      </c>
      <c r="G4016" s="6">
        <v>45897</v>
      </c>
      <c r="H4016">
        <v>37</v>
      </c>
      <c r="I4016">
        <f>ROUND(CompilDonnées[[#This Row],[CultureDuration_days]]/7,0)</f>
        <v>5</v>
      </c>
      <c r="J4016">
        <v>2119</v>
      </c>
      <c r="K4016" t="str">
        <f>_xlfn.CONCAT(WEEKNUM(CompilDonnées[[#This Row],[PlantationDate]]), " ", YEAR(CompilDonnées[[#This Row],[PlantationDate]]))</f>
        <v>30 2025</v>
      </c>
      <c r="L4016" t="str">
        <f>CONCATENATE(MONTH(CompilDonnées[[#This Row],[PlantationDate]])," ", YEAR(CompilDonnées[[#This Row],[PlantationDate]]))</f>
        <v>7 2025</v>
      </c>
      <c r="M4016" t="str">
        <f>CONCATENATE(MONTH(CompilDonnées[[#This Row],[HarvestingDate]])," ", YEAR(CompilDonnées[[#This Row],[HarvestingDate]]))</f>
        <v>8 2025</v>
      </c>
      <c r="N4016">
        <f>_xlfn.NUMBERVALUE(CompilDonnées[[#This Row],[FarmID]]&amp;CompilDonnées[[#This Row],[ModuleNumber]]&amp;CompilDonnées[[#This Row],[PlantationDate]])</f>
        <v>44145860</v>
      </c>
      <c r="O4016" t="str">
        <f>CompilDonnées[[#This Row],[FarmID]]&amp;CompilDonnées[[#This Row],[ModuleNumber]]</f>
        <v>441</v>
      </c>
      <c r="P4016" t="str">
        <f>CompilDonnées[[#This Row],[Ref_Module]]&amp;CompilDonnées[[#This Row],[HarvestingDate]]</f>
        <v>44145897</v>
      </c>
    </row>
    <row r="4017" spans="1:16">
      <c r="A4017" s="5">
        <v>45860</v>
      </c>
      <c r="B4017">
        <v>42</v>
      </c>
      <c r="C4017" t="s">
        <v>2</v>
      </c>
      <c r="D4017">
        <v>3</v>
      </c>
      <c r="E4017">
        <v>100</v>
      </c>
      <c r="F4017" t="s">
        <v>1</v>
      </c>
      <c r="G4017" s="6">
        <v>45897</v>
      </c>
      <c r="H4017">
        <v>37</v>
      </c>
      <c r="I4017">
        <f>ROUND(CompilDonnées[[#This Row],[CultureDuration_days]]/7,0)</f>
        <v>5</v>
      </c>
      <c r="J4017">
        <v>2171</v>
      </c>
      <c r="K4017" t="str">
        <f>_xlfn.CONCAT(WEEKNUM(CompilDonnées[[#This Row],[PlantationDate]]), " ", YEAR(CompilDonnées[[#This Row],[PlantationDate]]))</f>
        <v>30 2025</v>
      </c>
      <c r="L4017" t="str">
        <f>CONCATENATE(MONTH(CompilDonnées[[#This Row],[PlantationDate]])," ", YEAR(CompilDonnées[[#This Row],[PlantationDate]]))</f>
        <v>7 2025</v>
      </c>
      <c r="M4017" t="str">
        <f>CONCATENATE(MONTH(CompilDonnées[[#This Row],[HarvestingDate]])," ", YEAR(CompilDonnées[[#This Row],[HarvestingDate]]))</f>
        <v>8 2025</v>
      </c>
      <c r="N4017">
        <f>_xlfn.NUMBERVALUE(CompilDonnées[[#This Row],[FarmID]]&amp;CompilDonnées[[#This Row],[ModuleNumber]]&amp;CompilDonnées[[#This Row],[PlantationDate]])</f>
        <v>42345860</v>
      </c>
      <c r="O4017" t="str">
        <f>CompilDonnées[[#This Row],[FarmID]]&amp;CompilDonnées[[#This Row],[ModuleNumber]]</f>
        <v>423</v>
      </c>
      <c r="P4017" t="str">
        <f>CompilDonnées[[#This Row],[Ref_Module]]&amp;CompilDonnées[[#This Row],[HarvestingDate]]</f>
        <v>42345897</v>
      </c>
    </row>
    <row r="4018" spans="1:16">
      <c r="A4018" s="5">
        <v>45860</v>
      </c>
      <c r="B4018">
        <v>41</v>
      </c>
      <c r="C4018" t="s">
        <v>70</v>
      </c>
      <c r="D4018">
        <v>3</v>
      </c>
      <c r="E4018">
        <v>100</v>
      </c>
      <c r="F4018" t="s">
        <v>1</v>
      </c>
      <c r="G4018" s="6">
        <v>45901</v>
      </c>
      <c r="H4018">
        <v>41</v>
      </c>
      <c r="I4018">
        <f>ROUND(CompilDonnées[[#This Row],[CultureDuration_days]]/7,0)</f>
        <v>6</v>
      </c>
      <c r="J4018">
        <v>2248</v>
      </c>
      <c r="K4018" t="str">
        <f>_xlfn.CONCAT(WEEKNUM(CompilDonnées[[#This Row],[PlantationDate]]), " ", YEAR(CompilDonnées[[#This Row],[PlantationDate]]))</f>
        <v>30 2025</v>
      </c>
      <c r="L4018" t="str">
        <f>CONCATENATE(MONTH(CompilDonnées[[#This Row],[PlantationDate]])," ", YEAR(CompilDonnées[[#This Row],[PlantationDate]]))</f>
        <v>7 2025</v>
      </c>
      <c r="M4018" t="str">
        <f>CONCATENATE(MONTH(CompilDonnées[[#This Row],[HarvestingDate]])," ", YEAR(CompilDonnées[[#This Row],[HarvestingDate]]))</f>
        <v>9 2025</v>
      </c>
      <c r="N4018">
        <f>_xlfn.NUMBERVALUE(CompilDonnées[[#This Row],[FarmID]]&amp;CompilDonnées[[#This Row],[ModuleNumber]]&amp;CompilDonnées[[#This Row],[PlantationDate]])</f>
        <v>41345860</v>
      </c>
      <c r="O4018" t="str">
        <f>CompilDonnées[[#This Row],[FarmID]]&amp;CompilDonnées[[#This Row],[ModuleNumber]]</f>
        <v>413</v>
      </c>
      <c r="P4018" t="str">
        <f>CompilDonnées[[#This Row],[Ref_Module]]&amp;CompilDonnées[[#This Row],[HarvestingDate]]</f>
        <v>41345901</v>
      </c>
    </row>
    <row r="4019" spans="1:16">
      <c r="A4019" s="5">
        <v>45860</v>
      </c>
      <c r="B4019">
        <v>48</v>
      </c>
      <c r="C4019" t="s">
        <v>71</v>
      </c>
      <c r="D4019">
        <v>2</v>
      </c>
      <c r="E4019">
        <v>100</v>
      </c>
      <c r="F4019" t="s">
        <v>1</v>
      </c>
      <c r="G4019" s="6">
        <v>45903</v>
      </c>
      <c r="H4019">
        <v>43</v>
      </c>
      <c r="I4019">
        <f>ROUND(CompilDonnées[[#This Row],[CultureDuration_days]]/7,0)</f>
        <v>6</v>
      </c>
      <c r="J4019">
        <v>2126</v>
      </c>
      <c r="K4019" t="str">
        <f>_xlfn.CONCAT(WEEKNUM(CompilDonnées[[#This Row],[PlantationDate]]), " ", YEAR(CompilDonnées[[#This Row],[PlantationDate]]))</f>
        <v>30 2025</v>
      </c>
      <c r="L4019" t="str">
        <f>CONCATENATE(MONTH(CompilDonnées[[#This Row],[PlantationDate]])," ", YEAR(CompilDonnées[[#This Row],[PlantationDate]]))</f>
        <v>7 2025</v>
      </c>
      <c r="M4019" t="str">
        <f>CONCATENATE(MONTH(CompilDonnées[[#This Row],[HarvestingDate]])," ", YEAR(CompilDonnées[[#This Row],[HarvestingDate]]))</f>
        <v>9 2025</v>
      </c>
      <c r="N4019">
        <f>_xlfn.NUMBERVALUE(CompilDonnées[[#This Row],[FarmID]]&amp;CompilDonnées[[#This Row],[ModuleNumber]]&amp;CompilDonnées[[#This Row],[PlantationDate]])</f>
        <v>48245860</v>
      </c>
      <c r="O4019" t="str">
        <f>CompilDonnées[[#This Row],[FarmID]]&amp;CompilDonnées[[#This Row],[ModuleNumber]]</f>
        <v>482</v>
      </c>
      <c r="P4019" t="str">
        <f>CompilDonnées[[#This Row],[Ref_Module]]&amp;CompilDonnées[[#This Row],[HarvestingDate]]</f>
        <v>48245903</v>
      </c>
    </row>
    <row r="4020" spans="1:16">
      <c r="A4020" s="5">
        <v>45860</v>
      </c>
      <c r="B4020">
        <v>49</v>
      </c>
      <c r="C4020" t="s">
        <v>110</v>
      </c>
      <c r="D4020">
        <v>4</v>
      </c>
      <c r="E4020">
        <v>100</v>
      </c>
      <c r="F4020" t="s">
        <v>1</v>
      </c>
      <c r="G4020" s="6">
        <v>45910</v>
      </c>
      <c r="H4020">
        <v>50</v>
      </c>
      <c r="I4020">
        <f>ROUND(CompilDonnées[[#This Row],[CultureDuration_days]]/7,0)</f>
        <v>7</v>
      </c>
      <c r="J4020">
        <v>2822</v>
      </c>
      <c r="K4020" t="str">
        <f>_xlfn.CONCAT(WEEKNUM(CompilDonnées[[#This Row],[PlantationDate]]), " ", YEAR(CompilDonnées[[#This Row],[PlantationDate]]))</f>
        <v>30 2025</v>
      </c>
      <c r="L4020" t="str">
        <f>CONCATENATE(MONTH(CompilDonnées[[#This Row],[PlantationDate]])," ", YEAR(CompilDonnées[[#This Row],[PlantationDate]]))</f>
        <v>7 2025</v>
      </c>
      <c r="M4020" t="str">
        <f>CONCATENATE(MONTH(CompilDonnées[[#This Row],[HarvestingDate]])," ", YEAR(CompilDonnées[[#This Row],[HarvestingDate]]))</f>
        <v>9 2025</v>
      </c>
      <c r="N4020">
        <f>_xlfn.NUMBERVALUE(CompilDonnées[[#This Row],[FarmID]]&amp;CompilDonnées[[#This Row],[ModuleNumber]]&amp;CompilDonnées[[#This Row],[PlantationDate]])</f>
        <v>49445860</v>
      </c>
      <c r="O4020" t="str">
        <f>CompilDonnées[[#This Row],[FarmID]]&amp;CompilDonnées[[#This Row],[ModuleNumber]]</f>
        <v>494</v>
      </c>
      <c r="P4020" t="str">
        <f>CompilDonnées[[#This Row],[Ref_Module]]&amp;CompilDonnées[[#This Row],[HarvestingDate]]</f>
        <v>49445910</v>
      </c>
    </row>
    <row r="4021" spans="1:16">
      <c r="A4021" s="5">
        <v>45860</v>
      </c>
      <c r="B4021">
        <v>58</v>
      </c>
      <c r="C4021" t="s">
        <v>35</v>
      </c>
      <c r="D4021">
        <v>6</v>
      </c>
      <c r="E4021">
        <v>100</v>
      </c>
      <c r="F4021" t="s">
        <v>1</v>
      </c>
      <c r="G4021" s="6">
        <v>45902</v>
      </c>
      <c r="H4021">
        <v>42</v>
      </c>
      <c r="I4021">
        <f>ROUND(CompilDonnées[[#This Row],[CultureDuration_days]]/7,0)</f>
        <v>6</v>
      </c>
      <c r="J4021">
        <v>3904</v>
      </c>
      <c r="K4021" t="str">
        <f>_xlfn.CONCAT(WEEKNUM(CompilDonnées[[#This Row],[PlantationDate]]), " ", YEAR(CompilDonnées[[#This Row],[PlantationDate]]))</f>
        <v>30 2025</v>
      </c>
      <c r="L4021" t="str">
        <f>CONCATENATE(MONTH(CompilDonnées[[#This Row],[PlantationDate]])," ", YEAR(CompilDonnées[[#This Row],[PlantationDate]]))</f>
        <v>7 2025</v>
      </c>
      <c r="M4021" t="str">
        <f>CONCATENATE(MONTH(CompilDonnées[[#This Row],[HarvestingDate]])," ", YEAR(CompilDonnées[[#This Row],[HarvestingDate]]))</f>
        <v>9 2025</v>
      </c>
      <c r="N4021">
        <f>_xlfn.NUMBERVALUE(CompilDonnées[[#This Row],[FarmID]]&amp;CompilDonnées[[#This Row],[ModuleNumber]]&amp;CompilDonnées[[#This Row],[PlantationDate]])</f>
        <v>58645860</v>
      </c>
      <c r="O4021" t="str">
        <f>CompilDonnées[[#This Row],[FarmID]]&amp;CompilDonnées[[#This Row],[ModuleNumber]]</f>
        <v>586</v>
      </c>
      <c r="P4021" t="str">
        <f>CompilDonnées[[#This Row],[Ref_Module]]&amp;CompilDonnées[[#This Row],[HarvestingDate]]</f>
        <v>58645902</v>
      </c>
    </row>
    <row r="4022" spans="1:16">
      <c r="A4022" s="5">
        <v>45860</v>
      </c>
      <c r="B4022">
        <v>53</v>
      </c>
      <c r="C4022" t="s">
        <v>83</v>
      </c>
      <c r="D4022">
        <v>3</v>
      </c>
      <c r="E4022">
        <v>100</v>
      </c>
      <c r="F4022" t="s">
        <v>1</v>
      </c>
      <c r="G4022" s="6">
        <v>45902</v>
      </c>
      <c r="H4022">
        <v>42</v>
      </c>
      <c r="I4022">
        <f>ROUND(CompilDonnées[[#This Row],[CultureDuration_days]]/7,0)</f>
        <v>6</v>
      </c>
      <c r="J4022">
        <v>2933</v>
      </c>
      <c r="K4022" t="str">
        <f>_xlfn.CONCAT(WEEKNUM(CompilDonnées[[#This Row],[PlantationDate]]), " ", YEAR(CompilDonnées[[#This Row],[PlantationDate]]))</f>
        <v>30 2025</v>
      </c>
      <c r="L4022" t="str">
        <f>CONCATENATE(MONTH(CompilDonnées[[#This Row],[PlantationDate]])," ", YEAR(CompilDonnées[[#This Row],[PlantationDate]]))</f>
        <v>7 2025</v>
      </c>
      <c r="M4022" t="str">
        <f>CONCATENATE(MONTH(CompilDonnées[[#This Row],[HarvestingDate]])," ", YEAR(CompilDonnées[[#This Row],[HarvestingDate]]))</f>
        <v>9 2025</v>
      </c>
      <c r="N4022">
        <f>_xlfn.NUMBERVALUE(CompilDonnées[[#This Row],[FarmID]]&amp;CompilDonnées[[#This Row],[ModuleNumber]]&amp;CompilDonnées[[#This Row],[PlantationDate]])</f>
        <v>53345860</v>
      </c>
      <c r="O4022" t="str">
        <f>CompilDonnées[[#This Row],[FarmID]]&amp;CompilDonnées[[#This Row],[ModuleNumber]]</f>
        <v>533</v>
      </c>
      <c r="P4022" t="str">
        <f>CompilDonnées[[#This Row],[Ref_Module]]&amp;CompilDonnées[[#This Row],[HarvestingDate]]</f>
        <v>53345902</v>
      </c>
    </row>
    <row r="4023" spans="1:16">
      <c r="A4023" s="5">
        <v>45860</v>
      </c>
      <c r="B4023">
        <v>20</v>
      </c>
      <c r="C4023" t="s">
        <v>53</v>
      </c>
      <c r="D4023">
        <v>3</v>
      </c>
      <c r="E4023">
        <v>100</v>
      </c>
      <c r="F4023" t="s">
        <v>1</v>
      </c>
      <c r="G4023" s="6">
        <v>45901</v>
      </c>
      <c r="H4023">
        <v>41</v>
      </c>
      <c r="I4023">
        <f>ROUND(CompilDonnées[[#This Row],[CultureDuration_days]]/7,0)</f>
        <v>6</v>
      </c>
      <c r="J4023">
        <v>996</v>
      </c>
      <c r="K4023" t="str">
        <f>_xlfn.CONCAT(WEEKNUM(CompilDonnées[[#This Row],[PlantationDate]]), " ", YEAR(CompilDonnées[[#This Row],[PlantationDate]]))</f>
        <v>30 2025</v>
      </c>
      <c r="L4023" t="str">
        <f>CONCATENATE(MONTH(CompilDonnées[[#This Row],[PlantationDate]])," ", YEAR(CompilDonnées[[#This Row],[PlantationDate]]))</f>
        <v>7 2025</v>
      </c>
      <c r="M4023" t="str">
        <f>CONCATENATE(MONTH(CompilDonnées[[#This Row],[HarvestingDate]])," ", YEAR(CompilDonnées[[#This Row],[HarvestingDate]]))</f>
        <v>9 2025</v>
      </c>
      <c r="N4023">
        <f>_xlfn.NUMBERVALUE(CompilDonnées[[#This Row],[FarmID]]&amp;CompilDonnées[[#This Row],[ModuleNumber]]&amp;CompilDonnées[[#This Row],[PlantationDate]])</f>
        <v>20345860</v>
      </c>
      <c r="O4023" t="str">
        <f>CompilDonnées[[#This Row],[FarmID]]&amp;CompilDonnées[[#This Row],[ModuleNumber]]</f>
        <v>203</v>
      </c>
      <c r="P4023" t="str">
        <f>CompilDonnées[[#This Row],[Ref_Module]]&amp;CompilDonnées[[#This Row],[HarvestingDate]]</f>
        <v>20345901</v>
      </c>
    </row>
    <row r="4024" spans="1:16">
      <c r="A4024" s="5">
        <v>45860</v>
      </c>
      <c r="B4024">
        <v>10</v>
      </c>
      <c r="C4024" t="s">
        <v>109</v>
      </c>
      <c r="D4024">
        <v>6</v>
      </c>
      <c r="E4024">
        <v>100</v>
      </c>
      <c r="F4024" t="s">
        <v>1</v>
      </c>
      <c r="G4024" s="6">
        <v>45911</v>
      </c>
      <c r="H4024">
        <v>51</v>
      </c>
      <c r="I4024">
        <f>ROUND(CompilDonnées[[#This Row],[CultureDuration_days]]/7,0)</f>
        <v>7</v>
      </c>
      <c r="J4024">
        <v>2304</v>
      </c>
      <c r="K4024" t="str">
        <f>_xlfn.CONCAT(WEEKNUM(CompilDonnées[[#This Row],[PlantationDate]]), " ", YEAR(CompilDonnées[[#This Row],[PlantationDate]]))</f>
        <v>30 2025</v>
      </c>
      <c r="L4024" t="str">
        <f>CONCATENATE(MONTH(CompilDonnées[[#This Row],[PlantationDate]])," ", YEAR(CompilDonnées[[#This Row],[PlantationDate]]))</f>
        <v>7 2025</v>
      </c>
      <c r="M4024" t="str">
        <f>CONCATENATE(MONTH(CompilDonnées[[#This Row],[HarvestingDate]])," ", YEAR(CompilDonnées[[#This Row],[HarvestingDate]]))</f>
        <v>9 2025</v>
      </c>
      <c r="N4024">
        <f>_xlfn.NUMBERVALUE(CompilDonnées[[#This Row],[FarmID]]&amp;CompilDonnées[[#This Row],[ModuleNumber]]&amp;CompilDonnées[[#This Row],[PlantationDate]])</f>
        <v>10645860</v>
      </c>
      <c r="O4024" t="str">
        <f>CompilDonnées[[#This Row],[FarmID]]&amp;CompilDonnées[[#This Row],[ModuleNumber]]</f>
        <v>106</v>
      </c>
      <c r="P4024" t="str">
        <f>CompilDonnées[[#This Row],[Ref_Module]]&amp;CompilDonnées[[#This Row],[HarvestingDate]]</f>
        <v>10645911</v>
      </c>
    </row>
    <row r="4025" spans="1:16">
      <c r="A4025" s="5">
        <v>45860</v>
      </c>
      <c r="B4025">
        <v>14</v>
      </c>
      <c r="C4025" t="s">
        <v>82</v>
      </c>
      <c r="D4025">
        <v>5</v>
      </c>
      <c r="E4025">
        <v>100</v>
      </c>
      <c r="F4025" t="s">
        <v>1</v>
      </c>
      <c r="G4025" s="6">
        <v>45901</v>
      </c>
      <c r="H4025">
        <v>41</v>
      </c>
      <c r="I4025">
        <f>ROUND(CompilDonnées[[#This Row],[CultureDuration_days]]/7,0)</f>
        <v>6</v>
      </c>
      <c r="J4025">
        <v>2506</v>
      </c>
      <c r="K4025" t="str">
        <f>_xlfn.CONCAT(WEEKNUM(CompilDonnées[[#This Row],[PlantationDate]]), " ", YEAR(CompilDonnées[[#This Row],[PlantationDate]]))</f>
        <v>30 2025</v>
      </c>
      <c r="L4025" t="str">
        <f>CONCATENATE(MONTH(CompilDonnées[[#This Row],[PlantationDate]])," ", YEAR(CompilDonnées[[#This Row],[PlantationDate]]))</f>
        <v>7 2025</v>
      </c>
      <c r="M4025" t="str">
        <f>CONCATENATE(MONTH(CompilDonnées[[#This Row],[HarvestingDate]])," ", YEAR(CompilDonnées[[#This Row],[HarvestingDate]]))</f>
        <v>9 2025</v>
      </c>
      <c r="N4025">
        <f>_xlfn.NUMBERVALUE(CompilDonnées[[#This Row],[FarmID]]&amp;CompilDonnées[[#This Row],[ModuleNumber]]&amp;CompilDonnées[[#This Row],[PlantationDate]])</f>
        <v>14545860</v>
      </c>
      <c r="O4025" t="str">
        <f>CompilDonnées[[#This Row],[FarmID]]&amp;CompilDonnées[[#This Row],[ModuleNumber]]</f>
        <v>145</v>
      </c>
      <c r="P4025" t="str">
        <f>CompilDonnées[[#This Row],[Ref_Module]]&amp;CompilDonnées[[#This Row],[HarvestingDate]]</f>
        <v>14545901</v>
      </c>
    </row>
    <row r="4026" spans="1:16">
      <c r="A4026" s="5">
        <v>45860</v>
      </c>
      <c r="B4026">
        <v>14</v>
      </c>
      <c r="C4026" t="s">
        <v>82</v>
      </c>
      <c r="D4026">
        <v>6</v>
      </c>
      <c r="E4026">
        <v>100</v>
      </c>
      <c r="F4026" t="s">
        <v>1</v>
      </c>
      <c r="G4026" s="6">
        <v>45897</v>
      </c>
      <c r="H4026">
        <v>37</v>
      </c>
      <c r="I4026">
        <f>ROUND(CompilDonnées[[#This Row],[CultureDuration_days]]/7,0)</f>
        <v>5</v>
      </c>
      <c r="J4026">
        <v>2638</v>
      </c>
      <c r="K4026" t="str">
        <f>_xlfn.CONCAT(WEEKNUM(CompilDonnées[[#This Row],[PlantationDate]]), " ", YEAR(CompilDonnées[[#This Row],[PlantationDate]]))</f>
        <v>30 2025</v>
      </c>
      <c r="L4026" t="str">
        <f>CONCATENATE(MONTH(CompilDonnées[[#This Row],[PlantationDate]])," ", YEAR(CompilDonnées[[#This Row],[PlantationDate]]))</f>
        <v>7 2025</v>
      </c>
      <c r="M4026" t="str">
        <f>CONCATENATE(MONTH(CompilDonnées[[#This Row],[HarvestingDate]])," ", YEAR(CompilDonnées[[#This Row],[HarvestingDate]]))</f>
        <v>8 2025</v>
      </c>
      <c r="N4026">
        <f>_xlfn.NUMBERVALUE(CompilDonnées[[#This Row],[FarmID]]&amp;CompilDonnées[[#This Row],[ModuleNumber]]&amp;CompilDonnées[[#This Row],[PlantationDate]])</f>
        <v>14645860</v>
      </c>
      <c r="O4026" t="str">
        <f>CompilDonnées[[#This Row],[FarmID]]&amp;CompilDonnées[[#This Row],[ModuleNumber]]</f>
        <v>146</v>
      </c>
      <c r="P4026" t="str">
        <f>CompilDonnées[[#This Row],[Ref_Module]]&amp;CompilDonnées[[#This Row],[HarvestingDate]]</f>
        <v>14645897</v>
      </c>
    </row>
    <row r="4027" spans="1:16">
      <c r="A4027" s="5">
        <v>45860</v>
      </c>
      <c r="B4027">
        <v>11</v>
      </c>
      <c r="C4027" t="s">
        <v>106</v>
      </c>
      <c r="D4027">
        <v>2</v>
      </c>
      <c r="E4027">
        <v>100</v>
      </c>
      <c r="F4027" t="s">
        <v>1</v>
      </c>
      <c r="G4027" s="6">
        <v>45901</v>
      </c>
      <c r="H4027">
        <v>41</v>
      </c>
      <c r="I4027">
        <f>ROUND(CompilDonnées[[#This Row],[CultureDuration_days]]/7,0)</f>
        <v>6</v>
      </c>
      <c r="J4027">
        <v>1653</v>
      </c>
      <c r="K4027" t="str">
        <f>_xlfn.CONCAT(WEEKNUM(CompilDonnées[[#This Row],[PlantationDate]]), " ", YEAR(CompilDonnées[[#This Row],[PlantationDate]]))</f>
        <v>30 2025</v>
      </c>
      <c r="L4027" t="str">
        <f>CONCATENATE(MONTH(CompilDonnées[[#This Row],[PlantationDate]])," ", YEAR(CompilDonnées[[#This Row],[PlantationDate]]))</f>
        <v>7 2025</v>
      </c>
      <c r="M4027" t="str">
        <f>CONCATENATE(MONTH(CompilDonnées[[#This Row],[HarvestingDate]])," ", YEAR(CompilDonnées[[#This Row],[HarvestingDate]]))</f>
        <v>9 2025</v>
      </c>
      <c r="N4027">
        <f>_xlfn.NUMBERVALUE(CompilDonnées[[#This Row],[FarmID]]&amp;CompilDonnées[[#This Row],[ModuleNumber]]&amp;CompilDonnées[[#This Row],[PlantationDate]])</f>
        <v>11245860</v>
      </c>
      <c r="O4027" t="str">
        <f>CompilDonnées[[#This Row],[FarmID]]&amp;CompilDonnées[[#This Row],[ModuleNumber]]</f>
        <v>112</v>
      </c>
      <c r="P4027" t="str">
        <f>CompilDonnées[[#This Row],[Ref_Module]]&amp;CompilDonnées[[#This Row],[HarvestingDate]]</f>
        <v>11245901</v>
      </c>
    </row>
    <row r="4028" spans="1:16">
      <c r="A4028" s="5">
        <v>45860</v>
      </c>
      <c r="B4028">
        <v>8</v>
      </c>
      <c r="C4028" t="s">
        <v>57</v>
      </c>
      <c r="D4028">
        <v>2</v>
      </c>
      <c r="E4028">
        <v>100</v>
      </c>
      <c r="F4028" t="s">
        <v>1</v>
      </c>
      <c r="G4028" s="6">
        <v>45901</v>
      </c>
      <c r="H4028">
        <v>41</v>
      </c>
      <c r="I4028">
        <f>ROUND(CompilDonnées[[#This Row],[CultureDuration_days]]/7,0)</f>
        <v>6</v>
      </c>
      <c r="J4028">
        <v>2078</v>
      </c>
      <c r="K4028" t="str">
        <f>_xlfn.CONCAT(WEEKNUM(CompilDonnées[[#This Row],[PlantationDate]]), " ", YEAR(CompilDonnées[[#This Row],[PlantationDate]]))</f>
        <v>30 2025</v>
      </c>
      <c r="L4028" t="str">
        <f>CONCATENATE(MONTH(CompilDonnées[[#This Row],[PlantationDate]])," ", YEAR(CompilDonnées[[#This Row],[PlantationDate]]))</f>
        <v>7 2025</v>
      </c>
      <c r="M4028" t="str">
        <f>CONCATENATE(MONTH(CompilDonnées[[#This Row],[HarvestingDate]])," ", YEAR(CompilDonnées[[#This Row],[HarvestingDate]]))</f>
        <v>9 2025</v>
      </c>
      <c r="N4028">
        <f>_xlfn.NUMBERVALUE(CompilDonnées[[#This Row],[FarmID]]&amp;CompilDonnées[[#This Row],[ModuleNumber]]&amp;CompilDonnées[[#This Row],[PlantationDate]])</f>
        <v>8245860</v>
      </c>
      <c r="O4028" t="str">
        <f>CompilDonnées[[#This Row],[FarmID]]&amp;CompilDonnées[[#This Row],[ModuleNumber]]</f>
        <v>82</v>
      </c>
      <c r="P4028" t="str">
        <f>CompilDonnées[[#This Row],[Ref_Module]]&amp;CompilDonnées[[#This Row],[HarvestingDate]]</f>
        <v>8245901</v>
      </c>
    </row>
    <row r="4029" spans="1:16">
      <c r="A4029" s="5">
        <v>45860</v>
      </c>
      <c r="B4029">
        <v>7</v>
      </c>
      <c r="C4029" t="s">
        <v>50</v>
      </c>
      <c r="D4029">
        <v>2</v>
      </c>
      <c r="E4029">
        <v>100</v>
      </c>
      <c r="F4029" t="s">
        <v>1</v>
      </c>
      <c r="G4029" s="6">
        <v>45911</v>
      </c>
      <c r="H4029">
        <v>51</v>
      </c>
      <c r="I4029">
        <f>ROUND(CompilDonnées[[#This Row],[CultureDuration_days]]/7,0)</f>
        <v>7</v>
      </c>
      <c r="J4029">
        <v>1974</v>
      </c>
      <c r="K4029" t="str">
        <f>_xlfn.CONCAT(WEEKNUM(CompilDonnées[[#This Row],[PlantationDate]]), " ", YEAR(CompilDonnées[[#This Row],[PlantationDate]]))</f>
        <v>30 2025</v>
      </c>
      <c r="L4029" t="str">
        <f>CONCATENATE(MONTH(CompilDonnées[[#This Row],[PlantationDate]])," ", YEAR(CompilDonnées[[#This Row],[PlantationDate]]))</f>
        <v>7 2025</v>
      </c>
      <c r="M4029" t="str">
        <f>CONCATENATE(MONTH(CompilDonnées[[#This Row],[HarvestingDate]])," ", YEAR(CompilDonnées[[#This Row],[HarvestingDate]]))</f>
        <v>9 2025</v>
      </c>
      <c r="N4029">
        <f>_xlfn.NUMBERVALUE(CompilDonnées[[#This Row],[FarmID]]&amp;CompilDonnées[[#This Row],[ModuleNumber]]&amp;CompilDonnées[[#This Row],[PlantationDate]])</f>
        <v>7245860</v>
      </c>
      <c r="O4029" t="str">
        <f>CompilDonnées[[#This Row],[FarmID]]&amp;CompilDonnées[[#This Row],[ModuleNumber]]</f>
        <v>72</v>
      </c>
      <c r="P4029" t="str">
        <f>CompilDonnées[[#This Row],[Ref_Module]]&amp;CompilDonnées[[#This Row],[HarvestingDate]]</f>
        <v>7245911</v>
      </c>
    </row>
    <row r="4030" spans="1:16">
      <c r="A4030" s="5">
        <v>45860</v>
      </c>
      <c r="B4030">
        <v>12</v>
      </c>
      <c r="C4030" t="s">
        <v>123</v>
      </c>
      <c r="D4030">
        <v>1</v>
      </c>
      <c r="E4030">
        <v>100</v>
      </c>
      <c r="F4030" t="s">
        <v>1</v>
      </c>
      <c r="G4030" s="6">
        <v>45901</v>
      </c>
      <c r="H4030">
        <v>41</v>
      </c>
      <c r="I4030">
        <f>ROUND(CompilDonnées[[#This Row],[CultureDuration_days]]/7,0)</f>
        <v>6</v>
      </c>
      <c r="J4030">
        <v>2053</v>
      </c>
      <c r="K4030" t="str">
        <f>_xlfn.CONCAT(WEEKNUM(CompilDonnées[[#This Row],[PlantationDate]]), " ", YEAR(CompilDonnées[[#This Row],[PlantationDate]]))</f>
        <v>30 2025</v>
      </c>
      <c r="L4030" t="str">
        <f>CONCATENATE(MONTH(CompilDonnées[[#This Row],[PlantationDate]])," ", YEAR(CompilDonnées[[#This Row],[PlantationDate]]))</f>
        <v>7 2025</v>
      </c>
      <c r="M4030" t="str">
        <f>CONCATENATE(MONTH(CompilDonnées[[#This Row],[HarvestingDate]])," ", YEAR(CompilDonnées[[#This Row],[HarvestingDate]]))</f>
        <v>9 2025</v>
      </c>
      <c r="N4030">
        <f>_xlfn.NUMBERVALUE(CompilDonnées[[#This Row],[FarmID]]&amp;CompilDonnées[[#This Row],[ModuleNumber]]&amp;CompilDonnées[[#This Row],[PlantationDate]])</f>
        <v>12145860</v>
      </c>
      <c r="O4030" t="str">
        <f>CompilDonnées[[#This Row],[FarmID]]&amp;CompilDonnées[[#This Row],[ModuleNumber]]</f>
        <v>121</v>
      </c>
      <c r="P4030" t="str">
        <f>CompilDonnées[[#This Row],[Ref_Module]]&amp;CompilDonnées[[#This Row],[HarvestingDate]]</f>
        <v>12145901</v>
      </c>
    </row>
    <row r="4031" spans="1:16">
      <c r="A4031" s="5">
        <v>45860</v>
      </c>
      <c r="B4031">
        <v>2</v>
      </c>
      <c r="C4031" t="s">
        <v>119</v>
      </c>
      <c r="D4031">
        <v>5</v>
      </c>
      <c r="E4031">
        <v>100</v>
      </c>
      <c r="F4031" t="s">
        <v>1</v>
      </c>
      <c r="G4031" s="6">
        <v>45911</v>
      </c>
      <c r="H4031">
        <v>51</v>
      </c>
      <c r="I4031">
        <f>ROUND(CompilDonnées[[#This Row],[CultureDuration_days]]/7,0)</f>
        <v>7</v>
      </c>
      <c r="J4031">
        <v>2011</v>
      </c>
      <c r="K4031" t="str">
        <f>_xlfn.CONCAT(WEEKNUM(CompilDonnées[[#This Row],[PlantationDate]]), " ", YEAR(CompilDonnées[[#This Row],[PlantationDate]]))</f>
        <v>30 2025</v>
      </c>
      <c r="L4031" t="str">
        <f>CONCATENATE(MONTH(CompilDonnées[[#This Row],[PlantationDate]])," ", YEAR(CompilDonnées[[#This Row],[PlantationDate]]))</f>
        <v>7 2025</v>
      </c>
      <c r="M4031" t="str">
        <f>CONCATENATE(MONTH(CompilDonnées[[#This Row],[HarvestingDate]])," ", YEAR(CompilDonnées[[#This Row],[HarvestingDate]]))</f>
        <v>9 2025</v>
      </c>
      <c r="N4031">
        <f>_xlfn.NUMBERVALUE(CompilDonnées[[#This Row],[FarmID]]&amp;CompilDonnées[[#This Row],[ModuleNumber]]&amp;CompilDonnées[[#This Row],[PlantationDate]])</f>
        <v>2545860</v>
      </c>
      <c r="O4031" t="str">
        <f>CompilDonnées[[#This Row],[FarmID]]&amp;CompilDonnées[[#This Row],[ModuleNumber]]</f>
        <v>25</v>
      </c>
      <c r="P4031" t="str">
        <f>CompilDonnées[[#This Row],[Ref_Module]]&amp;CompilDonnées[[#This Row],[HarvestingDate]]</f>
        <v>2545911</v>
      </c>
    </row>
    <row r="4032" spans="1:16">
      <c r="A4032" s="5">
        <v>45860</v>
      </c>
      <c r="B4032">
        <v>138</v>
      </c>
      <c r="C4032" t="s">
        <v>3</v>
      </c>
      <c r="D4032">
        <v>3</v>
      </c>
      <c r="E4032">
        <v>60</v>
      </c>
      <c r="F4032" t="s">
        <v>105</v>
      </c>
      <c r="G4032" s="6">
        <v>45909</v>
      </c>
      <c r="H4032">
        <v>49</v>
      </c>
      <c r="I4032">
        <f>ROUND(CompilDonnées[[#This Row],[CultureDuration_days]]/7,0)</f>
        <v>7</v>
      </c>
      <c r="J4032">
        <v>740</v>
      </c>
      <c r="K4032" t="str">
        <f>_xlfn.CONCAT(WEEKNUM(CompilDonnées[[#This Row],[PlantationDate]]), " ", YEAR(CompilDonnées[[#This Row],[PlantationDate]]))</f>
        <v>30 2025</v>
      </c>
      <c r="L4032" t="str">
        <f>CONCATENATE(MONTH(CompilDonnées[[#This Row],[PlantationDate]])," ", YEAR(CompilDonnées[[#This Row],[PlantationDate]]))</f>
        <v>7 2025</v>
      </c>
      <c r="M4032" t="str">
        <f>CONCATENATE(MONTH(CompilDonnées[[#This Row],[HarvestingDate]])," ", YEAR(CompilDonnées[[#This Row],[HarvestingDate]]))</f>
        <v>9 2025</v>
      </c>
      <c r="N4032">
        <f>_xlfn.NUMBERVALUE(CompilDonnées[[#This Row],[FarmID]]&amp;CompilDonnées[[#This Row],[ModuleNumber]]&amp;CompilDonnées[[#This Row],[PlantationDate]])</f>
        <v>138345860</v>
      </c>
      <c r="O4032" t="str">
        <f>CompilDonnées[[#This Row],[FarmID]]&amp;CompilDonnées[[#This Row],[ModuleNumber]]</f>
        <v>1383</v>
      </c>
      <c r="P4032" t="str">
        <f>CompilDonnées[[#This Row],[Ref_Module]]&amp;CompilDonnées[[#This Row],[HarvestingDate]]</f>
        <v>138345909</v>
      </c>
    </row>
    <row r="4033" spans="1:16">
      <c r="A4033" s="5">
        <v>45860</v>
      </c>
      <c r="B4033">
        <v>138</v>
      </c>
      <c r="C4033" t="s">
        <v>3</v>
      </c>
      <c r="D4033">
        <v>4</v>
      </c>
      <c r="E4033">
        <v>60</v>
      </c>
      <c r="F4033" t="s">
        <v>105</v>
      </c>
      <c r="G4033" s="6">
        <v>45909</v>
      </c>
      <c r="H4033">
        <v>49</v>
      </c>
      <c r="I4033">
        <f>ROUND(CompilDonnées[[#This Row],[CultureDuration_days]]/7,0)</f>
        <v>7</v>
      </c>
      <c r="J4033">
        <v>755</v>
      </c>
      <c r="K4033" t="str">
        <f>_xlfn.CONCAT(WEEKNUM(CompilDonnées[[#This Row],[PlantationDate]]), " ", YEAR(CompilDonnées[[#This Row],[PlantationDate]]))</f>
        <v>30 2025</v>
      </c>
      <c r="L4033" t="str">
        <f>CONCATENATE(MONTH(CompilDonnées[[#This Row],[PlantationDate]])," ", YEAR(CompilDonnées[[#This Row],[PlantationDate]]))</f>
        <v>7 2025</v>
      </c>
      <c r="M4033" t="str">
        <f>CONCATENATE(MONTH(CompilDonnées[[#This Row],[HarvestingDate]])," ", YEAR(CompilDonnées[[#This Row],[HarvestingDate]]))</f>
        <v>9 2025</v>
      </c>
      <c r="N4033">
        <f>_xlfn.NUMBERVALUE(CompilDonnées[[#This Row],[FarmID]]&amp;CompilDonnées[[#This Row],[ModuleNumber]]&amp;CompilDonnées[[#This Row],[PlantationDate]])</f>
        <v>138445860</v>
      </c>
      <c r="O4033" t="str">
        <f>CompilDonnées[[#This Row],[FarmID]]&amp;CompilDonnées[[#This Row],[ModuleNumber]]</f>
        <v>1384</v>
      </c>
      <c r="P4033" t="str">
        <f>CompilDonnées[[#This Row],[Ref_Module]]&amp;CompilDonnées[[#This Row],[HarvestingDate]]</f>
        <v>138445909</v>
      </c>
    </row>
    <row r="4034" spans="1:16">
      <c r="A4034" s="5">
        <v>45860</v>
      </c>
      <c r="B4034">
        <v>138</v>
      </c>
      <c r="C4034" t="s">
        <v>3</v>
      </c>
      <c r="D4034">
        <v>5</v>
      </c>
      <c r="E4034">
        <v>60</v>
      </c>
      <c r="F4034" t="s">
        <v>105</v>
      </c>
      <c r="G4034" s="6">
        <v>45909</v>
      </c>
      <c r="H4034">
        <v>49</v>
      </c>
      <c r="I4034">
        <f>ROUND(CompilDonnées[[#This Row],[CultureDuration_days]]/7,0)</f>
        <v>7</v>
      </c>
      <c r="J4034">
        <v>762</v>
      </c>
      <c r="K4034" t="str">
        <f>_xlfn.CONCAT(WEEKNUM(CompilDonnées[[#This Row],[PlantationDate]]), " ", YEAR(CompilDonnées[[#This Row],[PlantationDate]]))</f>
        <v>30 2025</v>
      </c>
      <c r="L4034" t="str">
        <f>CONCATENATE(MONTH(CompilDonnées[[#This Row],[PlantationDate]])," ", YEAR(CompilDonnées[[#This Row],[PlantationDate]]))</f>
        <v>7 2025</v>
      </c>
      <c r="M4034" t="str">
        <f>CONCATENATE(MONTH(CompilDonnées[[#This Row],[HarvestingDate]])," ", YEAR(CompilDonnées[[#This Row],[HarvestingDate]]))</f>
        <v>9 2025</v>
      </c>
      <c r="N4034">
        <f>_xlfn.NUMBERVALUE(CompilDonnées[[#This Row],[FarmID]]&amp;CompilDonnées[[#This Row],[ModuleNumber]]&amp;CompilDonnées[[#This Row],[PlantationDate]])</f>
        <v>138545860</v>
      </c>
      <c r="O4034" t="str">
        <f>CompilDonnées[[#This Row],[FarmID]]&amp;CompilDonnées[[#This Row],[ModuleNumber]]</f>
        <v>1385</v>
      </c>
      <c r="P4034" t="str">
        <f>CompilDonnées[[#This Row],[Ref_Module]]&amp;CompilDonnées[[#This Row],[HarvestingDate]]</f>
        <v>138545909</v>
      </c>
    </row>
    <row r="4035" spans="1:16">
      <c r="A4035" s="5">
        <v>45861</v>
      </c>
      <c r="B4035">
        <v>105</v>
      </c>
      <c r="C4035" t="s">
        <v>12</v>
      </c>
      <c r="D4035">
        <v>5</v>
      </c>
      <c r="E4035">
        <v>100</v>
      </c>
      <c r="F4035" t="s">
        <v>1</v>
      </c>
      <c r="G4035" s="6">
        <v>45904</v>
      </c>
      <c r="H4035">
        <v>43</v>
      </c>
      <c r="I4035">
        <f>ROUND(CompilDonnées[[#This Row],[CultureDuration_days]]/7,0)</f>
        <v>6</v>
      </c>
      <c r="J4035">
        <v>2238</v>
      </c>
      <c r="K4035" t="str">
        <f>_xlfn.CONCAT(WEEKNUM(CompilDonnées[[#This Row],[PlantationDate]]), " ", YEAR(CompilDonnées[[#This Row],[PlantationDate]]))</f>
        <v>30 2025</v>
      </c>
      <c r="L4035" t="str">
        <f>CONCATENATE(MONTH(CompilDonnées[[#This Row],[PlantationDate]])," ", YEAR(CompilDonnées[[#This Row],[PlantationDate]]))</f>
        <v>7 2025</v>
      </c>
      <c r="M4035" t="str">
        <f>CONCATENATE(MONTH(CompilDonnées[[#This Row],[HarvestingDate]])," ", YEAR(CompilDonnées[[#This Row],[HarvestingDate]]))</f>
        <v>9 2025</v>
      </c>
      <c r="N4035">
        <f>_xlfn.NUMBERVALUE(CompilDonnées[[#This Row],[FarmID]]&amp;CompilDonnées[[#This Row],[ModuleNumber]]&amp;CompilDonnées[[#This Row],[PlantationDate]])</f>
        <v>105545861</v>
      </c>
      <c r="O4035" t="str">
        <f>CompilDonnées[[#This Row],[FarmID]]&amp;CompilDonnées[[#This Row],[ModuleNumber]]</f>
        <v>1055</v>
      </c>
      <c r="P4035" t="str">
        <f>CompilDonnées[[#This Row],[Ref_Module]]&amp;CompilDonnées[[#This Row],[HarvestingDate]]</f>
        <v>105545904</v>
      </c>
    </row>
    <row r="4036" spans="1:16">
      <c r="A4036" s="5">
        <v>45861</v>
      </c>
      <c r="B4036">
        <v>104</v>
      </c>
      <c r="C4036" t="s">
        <v>91</v>
      </c>
      <c r="D4036">
        <v>2</v>
      </c>
      <c r="E4036">
        <v>100</v>
      </c>
      <c r="F4036" t="s">
        <v>1</v>
      </c>
      <c r="G4036" s="6">
        <v>45908</v>
      </c>
      <c r="H4036">
        <v>47</v>
      </c>
      <c r="I4036">
        <f>ROUND(CompilDonnées[[#This Row],[CultureDuration_days]]/7,0)</f>
        <v>7</v>
      </c>
      <c r="J4036">
        <v>1560</v>
      </c>
      <c r="K4036" t="str">
        <f>_xlfn.CONCAT(WEEKNUM(CompilDonnées[[#This Row],[PlantationDate]]), " ", YEAR(CompilDonnées[[#This Row],[PlantationDate]]))</f>
        <v>30 2025</v>
      </c>
      <c r="L4036" t="str">
        <f>CONCATENATE(MONTH(CompilDonnées[[#This Row],[PlantationDate]])," ", YEAR(CompilDonnées[[#This Row],[PlantationDate]]))</f>
        <v>7 2025</v>
      </c>
      <c r="M4036" t="str">
        <f>CONCATENATE(MONTH(CompilDonnées[[#This Row],[HarvestingDate]])," ", YEAR(CompilDonnées[[#This Row],[HarvestingDate]]))</f>
        <v>9 2025</v>
      </c>
      <c r="N4036">
        <f>_xlfn.NUMBERVALUE(CompilDonnées[[#This Row],[FarmID]]&amp;CompilDonnées[[#This Row],[ModuleNumber]]&amp;CompilDonnées[[#This Row],[PlantationDate]])</f>
        <v>104245861</v>
      </c>
      <c r="O4036" t="str">
        <f>CompilDonnées[[#This Row],[FarmID]]&amp;CompilDonnées[[#This Row],[ModuleNumber]]</f>
        <v>1042</v>
      </c>
      <c r="P4036" t="str">
        <f>CompilDonnées[[#This Row],[Ref_Module]]&amp;CompilDonnées[[#This Row],[HarvestingDate]]</f>
        <v>104245908</v>
      </c>
    </row>
    <row r="4037" spans="1:16">
      <c r="A4037" s="5">
        <v>45861</v>
      </c>
      <c r="B4037">
        <v>117</v>
      </c>
      <c r="C4037" t="s">
        <v>11</v>
      </c>
      <c r="D4037">
        <v>1</v>
      </c>
      <c r="E4037">
        <v>100</v>
      </c>
      <c r="F4037" t="s">
        <v>1</v>
      </c>
      <c r="G4037" s="6">
        <v>45904</v>
      </c>
      <c r="H4037">
        <v>43</v>
      </c>
      <c r="I4037">
        <f>ROUND(CompilDonnées[[#This Row],[CultureDuration_days]]/7,0)</f>
        <v>6</v>
      </c>
      <c r="J4037">
        <v>2515</v>
      </c>
      <c r="K4037" t="str">
        <f>_xlfn.CONCAT(WEEKNUM(CompilDonnées[[#This Row],[PlantationDate]]), " ", YEAR(CompilDonnées[[#This Row],[PlantationDate]]))</f>
        <v>30 2025</v>
      </c>
      <c r="L4037" t="str">
        <f>CONCATENATE(MONTH(CompilDonnées[[#This Row],[PlantationDate]])," ", YEAR(CompilDonnées[[#This Row],[PlantationDate]]))</f>
        <v>7 2025</v>
      </c>
      <c r="M4037" t="str">
        <f>CONCATENATE(MONTH(CompilDonnées[[#This Row],[HarvestingDate]])," ", YEAR(CompilDonnées[[#This Row],[HarvestingDate]]))</f>
        <v>9 2025</v>
      </c>
      <c r="N4037">
        <f>_xlfn.NUMBERVALUE(CompilDonnées[[#This Row],[FarmID]]&amp;CompilDonnées[[#This Row],[ModuleNumber]]&amp;CompilDonnées[[#This Row],[PlantationDate]])</f>
        <v>117145861</v>
      </c>
      <c r="O4037" t="str">
        <f>CompilDonnées[[#This Row],[FarmID]]&amp;CompilDonnées[[#This Row],[ModuleNumber]]</f>
        <v>1171</v>
      </c>
      <c r="P4037" t="str">
        <f>CompilDonnées[[#This Row],[Ref_Module]]&amp;CompilDonnées[[#This Row],[HarvestingDate]]</f>
        <v>117145904</v>
      </c>
    </row>
    <row r="4038" spans="1:16">
      <c r="A4038" s="5">
        <v>45861</v>
      </c>
      <c r="B4038">
        <v>123</v>
      </c>
      <c r="C4038" t="s">
        <v>13</v>
      </c>
      <c r="D4038">
        <v>1</v>
      </c>
      <c r="E4038">
        <v>100</v>
      </c>
      <c r="F4038" t="s">
        <v>1</v>
      </c>
      <c r="G4038" s="6">
        <v>45904</v>
      </c>
      <c r="H4038">
        <v>43</v>
      </c>
      <c r="I4038">
        <f>ROUND(CompilDonnées[[#This Row],[CultureDuration_days]]/7,0)</f>
        <v>6</v>
      </c>
      <c r="J4038">
        <v>3050</v>
      </c>
      <c r="K4038" t="str">
        <f>_xlfn.CONCAT(WEEKNUM(CompilDonnées[[#This Row],[PlantationDate]]), " ", YEAR(CompilDonnées[[#This Row],[PlantationDate]]))</f>
        <v>30 2025</v>
      </c>
      <c r="L4038" t="str">
        <f>CONCATENATE(MONTH(CompilDonnées[[#This Row],[PlantationDate]])," ", YEAR(CompilDonnées[[#This Row],[PlantationDate]]))</f>
        <v>7 2025</v>
      </c>
      <c r="M4038" t="str">
        <f>CONCATENATE(MONTH(CompilDonnées[[#This Row],[HarvestingDate]])," ", YEAR(CompilDonnées[[#This Row],[HarvestingDate]]))</f>
        <v>9 2025</v>
      </c>
      <c r="N4038">
        <f>_xlfn.NUMBERVALUE(CompilDonnées[[#This Row],[FarmID]]&amp;CompilDonnées[[#This Row],[ModuleNumber]]&amp;CompilDonnées[[#This Row],[PlantationDate]])</f>
        <v>123145861</v>
      </c>
      <c r="O4038" t="str">
        <f>CompilDonnées[[#This Row],[FarmID]]&amp;CompilDonnées[[#This Row],[ModuleNumber]]</f>
        <v>1231</v>
      </c>
      <c r="P4038" t="str">
        <f>CompilDonnées[[#This Row],[Ref_Module]]&amp;CompilDonnées[[#This Row],[HarvestingDate]]</f>
        <v>123145904</v>
      </c>
    </row>
    <row r="4039" spans="1:16">
      <c r="A4039" s="5">
        <v>45861</v>
      </c>
      <c r="B4039">
        <v>123</v>
      </c>
      <c r="C4039" t="s">
        <v>13</v>
      </c>
      <c r="D4039">
        <v>2</v>
      </c>
      <c r="E4039">
        <v>100</v>
      </c>
      <c r="F4039" t="s">
        <v>1</v>
      </c>
      <c r="G4039" s="6">
        <v>45904</v>
      </c>
      <c r="H4039">
        <v>43</v>
      </c>
      <c r="I4039">
        <f>ROUND(CompilDonnées[[#This Row],[CultureDuration_days]]/7,0)</f>
        <v>6</v>
      </c>
      <c r="J4039">
        <v>3486</v>
      </c>
      <c r="K4039" t="str">
        <f>_xlfn.CONCAT(WEEKNUM(CompilDonnées[[#This Row],[PlantationDate]]), " ", YEAR(CompilDonnées[[#This Row],[PlantationDate]]))</f>
        <v>30 2025</v>
      </c>
      <c r="L4039" t="str">
        <f>CONCATENATE(MONTH(CompilDonnées[[#This Row],[PlantationDate]])," ", YEAR(CompilDonnées[[#This Row],[PlantationDate]]))</f>
        <v>7 2025</v>
      </c>
      <c r="M4039" t="str">
        <f>CONCATENATE(MONTH(CompilDonnées[[#This Row],[HarvestingDate]])," ", YEAR(CompilDonnées[[#This Row],[HarvestingDate]]))</f>
        <v>9 2025</v>
      </c>
      <c r="N4039">
        <f>_xlfn.NUMBERVALUE(CompilDonnées[[#This Row],[FarmID]]&amp;CompilDonnées[[#This Row],[ModuleNumber]]&amp;CompilDonnées[[#This Row],[PlantationDate]])</f>
        <v>123245861</v>
      </c>
      <c r="O4039" t="str">
        <f>CompilDonnées[[#This Row],[FarmID]]&amp;CompilDonnées[[#This Row],[ModuleNumber]]</f>
        <v>1232</v>
      </c>
      <c r="P4039" t="str">
        <f>CompilDonnées[[#This Row],[Ref_Module]]&amp;CompilDonnées[[#This Row],[HarvestingDate]]</f>
        <v>123245904</v>
      </c>
    </row>
    <row r="4040" spans="1:16">
      <c r="A4040" s="5">
        <v>45861</v>
      </c>
      <c r="B4040">
        <v>6</v>
      </c>
      <c r="C4040" t="s">
        <v>24</v>
      </c>
      <c r="D4040">
        <v>2</v>
      </c>
      <c r="E4040">
        <v>100</v>
      </c>
      <c r="F4040" t="s">
        <v>1</v>
      </c>
      <c r="G4040" s="6">
        <v>45901</v>
      </c>
      <c r="H4040">
        <v>40</v>
      </c>
      <c r="I4040">
        <f>ROUND(CompilDonnées[[#This Row],[CultureDuration_days]]/7,0)</f>
        <v>6</v>
      </c>
      <c r="J4040">
        <v>3140</v>
      </c>
      <c r="K4040" t="str">
        <f>_xlfn.CONCAT(WEEKNUM(CompilDonnées[[#This Row],[PlantationDate]]), " ", YEAR(CompilDonnées[[#This Row],[PlantationDate]]))</f>
        <v>30 2025</v>
      </c>
      <c r="L4040" t="str">
        <f>CONCATENATE(MONTH(CompilDonnées[[#This Row],[PlantationDate]])," ", YEAR(CompilDonnées[[#This Row],[PlantationDate]]))</f>
        <v>7 2025</v>
      </c>
      <c r="M4040" t="str">
        <f>CONCATENATE(MONTH(CompilDonnées[[#This Row],[HarvestingDate]])," ", YEAR(CompilDonnées[[#This Row],[HarvestingDate]]))</f>
        <v>9 2025</v>
      </c>
      <c r="N4040">
        <f>_xlfn.NUMBERVALUE(CompilDonnées[[#This Row],[FarmID]]&amp;CompilDonnées[[#This Row],[ModuleNumber]]&amp;CompilDonnées[[#This Row],[PlantationDate]])</f>
        <v>6245861</v>
      </c>
      <c r="O4040" t="str">
        <f>CompilDonnées[[#This Row],[FarmID]]&amp;CompilDonnées[[#This Row],[ModuleNumber]]</f>
        <v>62</v>
      </c>
      <c r="P4040" t="str">
        <f>CompilDonnées[[#This Row],[Ref_Module]]&amp;CompilDonnées[[#This Row],[HarvestingDate]]</f>
        <v>6245901</v>
      </c>
    </row>
    <row r="4041" spans="1:16">
      <c r="A4041" s="5">
        <v>45861</v>
      </c>
      <c r="B4041">
        <v>5</v>
      </c>
      <c r="C4041" t="s">
        <v>32</v>
      </c>
      <c r="D4041">
        <v>4</v>
      </c>
      <c r="E4041">
        <v>100</v>
      </c>
      <c r="F4041" t="s">
        <v>1</v>
      </c>
      <c r="G4041" s="6">
        <v>45901</v>
      </c>
      <c r="H4041">
        <v>40</v>
      </c>
      <c r="I4041">
        <f>ROUND(CompilDonnées[[#This Row],[CultureDuration_days]]/7,0)</f>
        <v>6</v>
      </c>
      <c r="J4041">
        <v>2696</v>
      </c>
      <c r="K4041" t="str">
        <f>_xlfn.CONCAT(WEEKNUM(CompilDonnées[[#This Row],[PlantationDate]]), " ", YEAR(CompilDonnées[[#This Row],[PlantationDate]]))</f>
        <v>30 2025</v>
      </c>
      <c r="L4041" t="str">
        <f>CONCATENATE(MONTH(CompilDonnées[[#This Row],[PlantationDate]])," ", YEAR(CompilDonnées[[#This Row],[PlantationDate]]))</f>
        <v>7 2025</v>
      </c>
      <c r="M4041" t="str">
        <f>CONCATENATE(MONTH(CompilDonnées[[#This Row],[HarvestingDate]])," ", YEAR(CompilDonnées[[#This Row],[HarvestingDate]]))</f>
        <v>9 2025</v>
      </c>
      <c r="N4041">
        <f>_xlfn.NUMBERVALUE(CompilDonnées[[#This Row],[FarmID]]&amp;CompilDonnées[[#This Row],[ModuleNumber]]&amp;CompilDonnées[[#This Row],[PlantationDate]])</f>
        <v>5445861</v>
      </c>
      <c r="O4041" t="str">
        <f>CompilDonnées[[#This Row],[FarmID]]&amp;CompilDonnées[[#This Row],[ModuleNumber]]</f>
        <v>54</v>
      </c>
      <c r="P4041" t="str">
        <f>CompilDonnées[[#This Row],[Ref_Module]]&amp;CompilDonnées[[#This Row],[HarvestingDate]]</f>
        <v>5445901</v>
      </c>
    </row>
    <row r="4042" spans="1:16">
      <c r="A4042" s="5">
        <v>45861</v>
      </c>
      <c r="B4042">
        <v>4</v>
      </c>
      <c r="C4042" t="s">
        <v>74</v>
      </c>
      <c r="D4042">
        <v>2</v>
      </c>
      <c r="E4042">
        <v>100</v>
      </c>
      <c r="F4042" t="s">
        <v>1</v>
      </c>
      <c r="G4042" s="6">
        <v>45901</v>
      </c>
      <c r="H4042">
        <v>40</v>
      </c>
      <c r="I4042">
        <f>ROUND(CompilDonnées[[#This Row],[CultureDuration_days]]/7,0)</f>
        <v>6</v>
      </c>
      <c r="J4042">
        <v>1831</v>
      </c>
      <c r="K4042" t="str">
        <f>_xlfn.CONCAT(WEEKNUM(CompilDonnées[[#This Row],[PlantationDate]]), " ", YEAR(CompilDonnées[[#This Row],[PlantationDate]]))</f>
        <v>30 2025</v>
      </c>
      <c r="L4042" t="str">
        <f>CONCATENATE(MONTH(CompilDonnées[[#This Row],[PlantationDate]])," ", YEAR(CompilDonnées[[#This Row],[PlantationDate]]))</f>
        <v>7 2025</v>
      </c>
      <c r="M4042" t="str">
        <f>CONCATENATE(MONTH(CompilDonnées[[#This Row],[HarvestingDate]])," ", YEAR(CompilDonnées[[#This Row],[HarvestingDate]]))</f>
        <v>9 2025</v>
      </c>
      <c r="N4042">
        <f>_xlfn.NUMBERVALUE(CompilDonnées[[#This Row],[FarmID]]&amp;CompilDonnées[[#This Row],[ModuleNumber]]&amp;CompilDonnées[[#This Row],[PlantationDate]])</f>
        <v>4245861</v>
      </c>
      <c r="O4042" t="str">
        <f>CompilDonnées[[#This Row],[FarmID]]&amp;CompilDonnées[[#This Row],[ModuleNumber]]</f>
        <v>42</v>
      </c>
      <c r="P4042" t="str">
        <f>CompilDonnées[[#This Row],[Ref_Module]]&amp;CompilDonnées[[#This Row],[HarvestingDate]]</f>
        <v>4245901</v>
      </c>
    </row>
    <row r="4043" spans="1:16">
      <c r="A4043" s="5">
        <v>45861</v>
      </c>
      <c r="B4043">
        <v>3</v>
      </c>
      <c r="C4043" t="s">
        <v>116</v>
      </c>
      <c r="D4043">
        <v>6</v>
      </c>
      <c r="E4043">
        <v>100</v>
      </c>
      <c r="F4043" t="s">
        <v>1</v>
      </c>
      <c r="G4043" s="6">
        <v>45901</v>
      </c>
      <c r="H4043">
        <v>40</v>
      </c>
      <c r="I4043">
        <f>ROUND(CompilDonnées[[#This Row],[CultureDuration_days]]/7,0)</f>
        <v>6</v>
      </c>
      <c r="J4043">
        <v>2821</v>
      </c>
      <c r="K4043" t="str">
        <f>_xlfn.CONCAT(WEEKNUM(CompilDonnées[[#This Row],[PlantationDate]]), " ", YEAR(CompilDonnées[[#This Row],[PlantationDate]]))</f>
        <v>30 2025</v>
      </c>
      <c r="L4043" t="str">
        <f>CONCATENATE(MONTH(CompilDonnées[[#This Row],[PlantationDate]])," ", YEAR(CompilDonnées[[#This Row],[PlantationDate]]))</f>
        <v>7 2025</v>
      </c>
      <c r="M4043" t="str">
        <f>CONCATENATE(MONTH(CompilDonnées[[#This Row],[HarvestingDate]])," ", YEAR(CompilDonnées[[#This Row],[HarvestingDate]]))</f>
        <v>9 2025</v>
      </c>
      <c r="N4043">
        <f>_xlfn.NUMBERVALUE(CompilDonnées[[#This Row],[FarmID]]&amp;CompilDonnées[[#This Row],[ModuleNumber]]&amp;CompilDonnées[[#This Row],[PlantationDate]])</f>
        <v>3645861</v>
      </c>
      <c r="O4043" t="str">
        <f>CompilDonnées[[#This Row],[FarmID]]&amp;CompilDonnées[[#This Row],[ModuleNumber]]</f>
        <v>36</v>
      </c>
      <c r="P4043" t="str">
        <f>CompilDonnées[[#This Row],[Ref_Module]]&amp;CompilDonnées[[#This Row],[HarvestingDate]]</f>
        <v>3645901</v>
      </c>
    </row>
    <row r="4044" spans="1:16">
      <c r="A4044" s="5">
        <v>45861</v>
      </c>
      <c r="B4044">
        <v>15</v>
      </c>
      <c r="C4044" t="s">
        <v>5</v>
      </c>
      <c r="D4044">
        <v>4</v>
      </c>
      <c r="E4044">
        <v>100</v>
      </c>
      <c r="F4044" t="s">
        <v>1</v>
      </c>
      <c r="G4044" s="6">
        <v>45902</v>
      </c>
      <c r="H4044">
        <v>41</v>
      </c>
      <c r="I4044">
        <f>ROUND(CompilDonnées[[#This Row],[CultureDuration_days]]/7,0)</f>
        <v>6</v>
      </c>
      <c r="J4044">
        <v>1935</v>
      </c>
      <c r="K4044" t="str">
        <f>_xlfn.CONCAT(WEEKNUM(CompilDonnées[[#This Row],[PlantationDate]]), " ", YEAR(CompilDonnées[[#This Row],[PlantationDate]]))</f>
        <v>30 2025</v>
      </c>
      <c r="L4044" t="str">
        <f>CONCATENATE(MONTH(CompilDonnées[[#This Row],[PlantationDate]])," ", YEAR(CompilDonnées[[#This Row],[PlantationDate]]))</f>
        <v>7 2025</v>
      </c>
      <c r="M4044" t="str">
        <f>CONCATENATE(MONTH(CompilDonnées[[#This Row],[HarvestingDate]])," ", YEAR(CompilDonnées[[#This Row],[HarvestingDate]]))</f>
        <v>9 2025</v>
      </c>
      <c r="N4044">
        <f>_xlfn.NUMBERVALUE(CompilDonnées[[#This Row],[FarmID]]&amp;CompilDonnées[[#This Row],[ModuleNumber]]&amp;CompilDonnées[[#This Row],[PlantationDate]])</f>
        <v>15445861</v>
      </c>
      <c r="O4044" t="str">
        <f>CompilDonnées[[#This Row],[FarmID]]&amp;CompilDonnées[[#This Row],[ModuleNumber]]</f>
        <v>154</v>
      </c>
      <c r="P4044" t="str">
        <f>CompilDonnées[[#This Row],[Ref_Module]]&amp;CompilDonnées[[#This Row],[HarvestingDate]]</f>
        <v>15445902</v>
      </c>
    </row>
    <row r="4045" spans="1:16">
      <c r="A4045" s="5">
        <v>45861</v>
      </c>
      <c r="B4045">
        <v>24</v>
      </c>
      <c r="C4045" t="s">
        <v>31</v>
      </c>
      <c r="D4045">
        <v>1</v>
      </c>
      <c r="E4045">
        <v>100</v>
      </c>
      <c r="F4045" t="s">
        <v>1</v>
      </c>
      <c r="G4045" s="6">
        <v>45897</v>
      </c>
      <c r="H4045">
        <v>36</v>
      </c>
      <c r="I4045">
        <f>ROUND(CompilDonnées[[#This Row],[CultureDuration_days]]/7,0)</f>
        <v>5</v>
      </c>
      <c r="J4045">
        <v>3204</v>
      </c>
      <c r="K4045" t="str">
        <f>_xlfn.CONCAT(WEEKNUM(CompilDonnées[[#This Row],[PlantationDate]]), " ", YEAR(CompilDonnées[[#This Row],[PlantationDate]]))</f>
        <v>30 2025</v>
      </c>
      <c r="L4045" t="str">
        <f>CONCATENATE(MONTH(CompilDonnées[[#This Row],[PlantationDate]])," ", YEAR(CompilDonnées[[#This Row],[PlantationDate]]))</f>
        <v>7 2025</v>
      </c>
      <c r="M4045" t="str">
        <f>CONCATENATE(MONTH(CompilDonnées[[#This Row],[HarvestingDate]])," ", YEAR(CompilDonnées[[#This Row],[HarvestingDate]]))</f>
        <v>8 2025</v>
      </c>
      <c r="N4045">
        <f>_xlfn.NUMBERVALUE(CompilDonnées[[#This Row],[FarmID]]&amp;CompilDonnées[[#This Row],[ModuleNumber]]&amp;CompilDonnées[[#This Row],[PlantationDate]])</f>
        <v>24145861</v>
      </c>
      <c r="O4045" t="str">
        <f>CompilDonnées[[#This Row],[FarmID]]&amp;CompilDonnées[[#This Row],[ModuleNumber]]</f>
        <v>241</v>
      </c>
      <c r="P4045" t="str">
        <f>CompilDonnées[[#This Row],[Ref_Module]]&amp;CompilDonnées[[#This Row],[HarvestingDate]]</f>
        <v>24145897</v>
      </c>
    </row>
    <row r="4046" spans="1:16">
      <c r="A4046" s="5">
        <v>45861</v>
      </c>
      <c r="B4046">
        <v>23</v>
      </c>
      <c r="C4046" t="s">
        <v>44</v>
      </c>
      <c r="D4046">
        <v>6</v>
      </c>
      <c r="E4046">
        <v>100</v>
      </c>
      <c r="F4046" t="s">
        <v>1</v>
      </c>
      <c r="G4046" s="6">
        <v>45897</v>
      </c>
      <c r="H4046">
        <v>36</v>
      </c>
      <c r="I4046">
        <f>ROUND(CompilDonnées[[#This Row],[CultureDuration_days]]/7,0)</f>
        <v>5</v>
      </c>
      <c r="J4046">
        <v>3666</v>
      </c>
      <c r="K4046" t="str">
        <f>_xlfn.CONCAT(WEEKNUM(CompilDonnées[[#This Row],[PlantationDate]]), " ", YEAR(CompilDonnées[[#This Row],[PlantationDate]]))</f>
        <v>30 2025</v>
      </c>
      <c r="L4046" t="str">
        <f>CONCATENATE(MONTH(CompilDonnées[[#This Row],[PlantationDate]])," ", YEAR(CompilDonnées[[#This Row],[PlantationDate]]))</f>
        <v>7 2025</v>
      </c>
      <c r="M4046" t="str">
        <f>CONCATENATE(MONTH(CompilDonnées[[#This Row],[HarvestingDate]])," ", YEAR(CompilDonnées[[#This Row],[HarvestingDate]]))</f>
        <v>8 2025</v>
      </c>
      <c r="N4046">
        <f>_xlfn.NUMBERVALUE(CompilDonnées[[#This Row],[FarmID]]&amp;CompilDonnées[[#This Row],[ModuleNumber]]&amp;CompilDonnées[[#This Row],[PlantationDate]])</f>
        <v>23645861</v>
      </c>
      <c r="O4046" t="str">
        <f>CompilDonnées[[#This Row],[FarmID]]&amp;CompilDonnées[[#This Row],[ModuleNumber]]</f>
        <v>236</v>
      </c>
      <c r="P4046" t="str">
        <f>CompilDonnées[[#This Row],[Ref_Module]]&amp;CompilDonnées[[#This Row],[HarvestingDate]]</f>
        <v>23645897</v>
      </c>
    </row>
    <row r="4047" spans="1:16">
      <c r="A4047" s="5">
        <v>45861</v>
      </c>
      <c r="B4047">
        <v>22</v>
      </c>
      <c r="C4047" t="s">
        <v>43</v>
      </c>
      <c r="D4047">
        <v>1</v>
      </c>
      <c r="E4047">
        <v>100</v>
      </c>
      <c r="F4047" t="s">
        <v>1</v>
      </c>
      <c r="G4047" s="6">
        <v>45901</v>
      </c>
      <c r="H4047">
        <v>40</v>
      </c>
      <c r="I4047">
        <f>ROUND(CompilDonnées[[#This Row],[CultureDuration_days]]/7,0)</f>
        <v>6</v>
      </c>
      <c r="J4047">
        <v>1943</v>
      </c>
      <c r="K4047" t="str">
        <f>_xlfn.CONCAT(WEEKNUM(CompilDonnées[[#This Row],[PlantationDate]]), " ", YEAR(CompilDonnées[[#This Row],[PlantationDate]]))</f>
        <v>30 2025</v>
      </c>
      <c r="L4047" t="str">
        <f>CONCATENATE(MONTH(CompilDonnées[[#This Row],[PlantationDate]])," ", YEAR(CompilDonnées[[#This Row],[PlantationDate]]))</f>
        <v>7 2025</v>
      </c>
      <c r="M4047" t="str">
        <f>CONCATENATE(MONTH(CompilDonnées[[#This Row],[HarvestingDate]])," ", YEAR(CompilDonnées[[#This Row],[HarvestingDate]]))</f>
        <v>9 2025</v>
      </c>
      <c r="N4047">
        <f>_xlfn.NUMBERVALUE(CompilDonnées[[#This Row],[FarmID]]&amp;CompilDonnées[[#This Row],[ModuleNumber]]&amp;CompilDonnées[[#This Row],[PlantationDate]])</f>
        <v>22145861</v>
      </c>
      <c r="O4047" t="str">
        <f>CompilDonnées[[#This Row],[FarmID]]&amp;CompilDonnées[[#This Row],[ModuleNumber]]</f>
        <v>221</v>
      </c>
      <c r="P4047" t="str">
        <f>CompilDonnées[[#This Row],[Ref_Module]]&amp;CompilDonnées[[#This Row],[HarvestingDate]]</f>
        <v>22145901</v>
      </c>
    </row>
    <row r="4048" spans="1:16">
      <c r="A4048" s="5">
        <v>45861</v>
      </c>
      <c r="B4048">
        <v>21</v>
      </c>
      <c r="C4048" t="s">
        <v>0</v>
      </c>
      <c r="D4048">
        <v>2</v>
      </c>
      <c r="E4048">
        <v>100</v>
      </c>
      <c r="F4048" t="s">
        <v>1</v>
      </c>
      <c r="G4048" s="6">
        <v>45901</v>
      </c>
      <c r="H4048">
        <v>40</v>
      </c>
      <c r="I4048">
        <f>ROUND(CompilDonnées[[#This Row],[CultureDuration_days]]/7,0)</f>
        <v>6</v>
      </c>
      <c r="J4048">
        <v>1954</v>
      </c>
      <c r="K4048" t="str">
        <f>_xlfn.CONCAT(WEEKNUM(CompilDonnées[[#This Row],[PlantationDate]]), " ", YEAR(CompilDonnées[[#This Row],[PlantationDate]]))</f>
        <v>30 2025</v>
      </c>
      <c r="L4048" t="str">
        <f>CONCATENATE(MONTH(CompilDonnées[[#This Row],[PlantationDate]])," ", YEAR(CompilDonnées[[#This Row],[PlantationDate]]))</f>
        <v>7 2025</v>
      </c>
      <c r="M4048" t="str">
        <f>CONCATENATE(MONTH(CompilDonnées[[#This Row],[HarvestingDate]])," ", YEAR(CompilDonnées[[#This Row],[HarvestingDate]]))</f>
        <v>9 2025</v>
      </c>
      <c r="N4048">
        <f>_xlfn.NUMBERVALUE(CompilDonnées[[#This Row],[FarmID]]&amp;CompilDonnées[[#This Row],[ModuleNumber]]&amp;CompilDonnées[[#This Row],[PlantationDate]])</f>
        <v>21245861</v>
      </c>
      <c r="O4048" t="str">
        <f>CompilDonnées[[#This Row],[FarmID]]&amp;CompilDonnées[[#This Row],[ModuleNumber]]</f>
        <v>212</v>
      </c>
      <c r="P4048" t="str">
        <f>CompilDonnées[[#This Row],[Ref_Module]]&amp;CompilDonnées[[#This Row],[HarvestingDate]]</f>
        <v>21245901</v>
      </c>
    </row>
    <row r="4049" spans="1:16">
      <c r="A4049" s="5">
        <v>45861</v>
      </c>
      <c r="B4049">
        <v>37</v>
      </c>
      <c r="C4049" t="s">
        <v>26</v>
      </c>
      <c r="D4049">
        <v>3</v>
      </c>
      <c r="E4049">
        <v>100</v>
      </c>
      <c r="F4049" t="s">
        <v>1</v>
      </c>
      <c r="G4049" s="6">
        <v>45901</v>
      </c>
      <c r="H4049">
        <v>40</v>
      </c>
      <c r="I4049">
        <f>ROUND(CompilDonnées[[#This Row],[CultureDuration_days]]/7,0)</f>
        <v>6</v>
      </c>
      <c r="J4049">
        <v>2812</v>
      </c>
      <c r="K4049" t="str">
        <f>_xlfn.CONCAT(WEEKNUM(CompilDonnées[[#This Row],[PlantationDate]]), " ", YEAR(CompilDonnées[[#This Row],[PlantationDate]]))</f>
        <v>30 2025</v>
      </c>
      <c r="L4049" t="str">
        <f>CONCATENATE(MONTH(CompilDonnées[[#This Row],[PlantationDate]])," ", YEAR(CompilDonnées[[#This Row],[PlantationDate]]))</f>
        <v>7 2025</v>
      </c>
      <c r="M4049" t="str">
        <f>CONCATENATE(MONTH(CompilDonnées[[#This Row],[HarvestingDate]])," ", YEAR(CompilDonnées[[#This Row],[HarvestingDate]]))</f>
        <v>9 2025</v>
      </c>
      <c r="N4049">
        <f>_xlfn.NUMBERVALUE(CompilDonnées[[#This Row],[FarmID]]&amp;CompilDonnées[[#This Row],[ModuleNumber]]&amp;CompilDonnées[[#This Row],[PlantationDate]])</f>
        <v>37345861</v>
      </c>
      <c r="O4049" t="str">
        <f>CompilDonnées[[#This Row],[FarmID]]&amp;CompilDonnées[[#This Row],[ModuleNumber]]</f>
        <v>373</v>
      </c>
      <c r="P4049" t="str">
        <f>CompilDonnées[[#This Row],[Ref_Module]]&amp;CompilDonnées[[#This Row],[HarvestingDate]]</f>
        <v>37345901</v>
      </c>
    </row>
    <row r="4050" spans="1:16">
      <c r="A4050" s="5">
        <v>45861</v>
      </c>
      <c r="B4050">
        <v>45</v>
      </c>
      <c r="C4050" t="s">
        <v>77</v>
      </c>
      <c r="D4050">
        <v>4</v>
      </c>
      <c r="E4050">
        <v>100</v>
      </c>
      <c r="F4050" t="s">
        <v>1</v>
      </c>
      <c r="G4050" s="6">
        <v>45901</v>
      </c>
      <c r="H4050">
        <v>40</v>
      </c>
      <c r="I4050">
        <f>ROUND(CompilDonnées[[#This Row],[CultureDuration_days]]/7,0)</f>
        <v>6</v>
      </c>
      <c r="J4050">
        <v>3135</v>
      </c>
      <c r="K4050" t="str">
        <f>_xlfn.CONCAT(WEEKNUM(CompilDonnées[[#This Row],[PlantationDate]]), " ", YEAR(CompilDonnées[[#This Row],[PlantationDate]]))</f>
        <v>30 2025</v>
      </c>
      <c r="L4050" t="str">
        <f>CONCATENATE(MONTH(CompilDonnées[[#This Row],[PlantationDate]])," ", YEAR(CompilDonnées[[#This Row],[PlantationDate]]))</f>
        <v>7 2025</v>
      </c>
      <c r="M4050" t="str">
        <f>CONCATENATE(MONTH(CompilDonnées[[#This Row],[HarvestingDate]])," ", YEAR(CompilDonnées[[#This Row],[HarvestingDate]]))</f>
        <v>9 2025</v>
      </c>
      <c r="N4050">
        <f>_xlfn.NUMBERVALUE(CompilDonnées[[#This Row],[FarmID]]&amp;CompilDonnées[[#This Row],[ModuleNumber]]&amp;CompilDonnées[[#This Row],[PlantationDate]])</f>
        <v>45445861</v>
      </c>
      <c r="O4050" t="str">
        <f>CompilDonnées[[#This Row],[FarmID]]&amp;CompilDonnées[[#This Row],[ModuleNumber]]</f>
        <v>454</v>
      </c>
      <c r="P4050" t="str">
        <f>CompilDonnées[[#This Row],[Ref_Module]]&amp;CompilDonnées[[#This Row],[HarvestingDate]]</f>
        <v>45445901</v>
      </c>
    </row>
    <row r="4051" spans="1:16">
      <c r="A4051" s="5">
        <v>45861</v>
      </c>
      <c r="B4051">
        <v>43</v>
      </c>
      <c r="C4051" t="s">
        <v>45</v>
      </c>
      <c r="D4051">
        <v>1</v>
      </c>
      <c r="E4051">
        <v>100</v>
      </c>
      <c r="F4051" t="s">
        <v>1</v>
      </c>
      <c r="G4051" s="6">
        <v>45901</v>
      </c>
      <c r="H4051">
        <v>40</v>
      </c>
      <c r="I4051">
        <f>ROUND(CompilDonnées[[#This Row],[CultureDuration_days]]/7,0)</f>
        <v>6</v>
      </c>
      <c r="J4051">
        <v>1986</v>
      </c>
      <c r="K4051" t="str">
        <f>_xlfn.CONCAT(WEEKNUM(CompilDonnées[[#This Row],[PlantationDate]]), " ", YEAR(CompilDonnées[[#This Row],[PlantationDate]]))</f>
        <v>30 2025</v>
      </c>
      <c r="L4051" t="str">
        <f>CONCATENATE(MONTH(CompilDonnées[[#This Row],[PlantationDate]])," ", YEAR(CompilDonnées[[#This Row],[PlantationDate]]))</f>
        <v>7 2025</v>
      </c>
      <c r="M4051" t="str">
        <f>CONCATENATE(MONTH(CompilDonnées[[#This Row],[HarvestingDate]])," ", YEAR(CompilDonnées[[#This Row],[HarvestingDate]]))</f>
        <v>9 2025</v>
      </c>
      <c r="N4051">
        <f>_xlfn.NUMBERVALUE(CompilDonnées[[#This Row],[FarmID]]&amp;CompilDonnées[[#This Row],[ModuleNumber]]&amp;CompilDonnées[[#This Row],[PlantationDate]])</f>
        <v>43145861</v>
      </c>
      <c r="O4051" t="str">
        <f>CompilDonnées[[#This Row],[FarmID]]&amp;CompilDonnées[[#This Row],[ModuleNumber]]</f>
        <v>431</v>
      </c>
      <c r="P4051" t="str">
        <f>CompilDonnées[[#This Row],[Ref_Module]]&amp;CompilDonnées[[#This Row],[HarvestingDate]]</f>
        <v>43145901</v>
      </c>
    </row>
    <row r="4052" spans="1:16">
      <c r="A4052" s="5">
        <v>45861</v>
      </c>
      <c r="B4052">
        <v>70</v>
      </c>
      <c r="C4052" t="s">
        <v>7</v>
      </c>
      <c r="D4052">
        <v>5</v>
      </c>
      <c r="E4052">
        <v>100</v>
      </c>
      <c r="F4052" t="s">
        <v>1</v>
      </c>
      <c r="G4052" s="6">
        <v>45910</v>
      </c>
      <c r="H4052">
        <v>49</v>
      </c>
      <c r="I4052">
        <f>ROUND(CompilDonnées[[#This Row],[CultureDuration_days]]/7,0)</f>
        <v>7</v>
      </c>
      <c r="J4052">
        <v>1706</v>
      </c>
      <c r="K4052" t="str">
        <f>_xlfn.CONCAT(WEEKNUM(CompilDonnées[[#This Row],[PlantationDate]]), " ", YEAR(CompilDonnées[[#This Row],[PlantationDate]]))</f>
        <v>30 2025</v>
      </c>
      <c r="L4052" t="str">
        <f>CONCATENATE(MONTH(CompilDonnées[[#This Row],[PlantationDate]])," ", YEAR(CompilDonnées[[#This Row],[PlantationDate]]))</f>
        <v>7 2025</v>
      </c>
      <c r="M4052" t="str">
        <f>CONCATENATE(MONTH(CompilDonnées[[#This Row],[HarvestingDate]])," ", YEAR(CompilDonnées[[#This Row],[HarvestingDate]]))</f>
        <v>9 2025</v>
      </c>
      <c r="N4052">
        <f>_xlfn.NUMBERVALUE(CompilDonnées[[#This Row],[FarmID]]&amp;CompilDonnées[[#This Row],[ModuleNumber]]&amp;CompilDonnées[[#This Row],[PlantationDate]])</f>
        <v>70545861</v>
      </c>
      <c r="O4052" t="str">
        <f>CompilDonnées[[#This Row],[FarmID]]&amp;CompilDonnées[[#This Row],[ModuleNumber]]</f>
        <v>705</v>
      </c>
      <c r="P4052" t="str">
        <f>CompilDonnées[[#This Row],[Ref_Module]]&amp;CompilDonnées[[#This Row],[HarvestingDate]]</f>
        <v>70545910</v>
      </c>
    </row>
    <row r="4053" spans="1:16">
      <c r="A4053" s="5">
        <v>45861</v>
      </c>
      <c r="B4053">
        <v>69</v>
      </c>
      <c r="C4053" t="s">
        <v>102</v>
      </c>
      <c r="D4053">
        <v>5</v>
      </c>
      <c r="E4053">
        <v>100</v>
      </c>
      <c r="F4053" t="s">
        <v>1</v>
      </c>
      <c r="G4053" s="6">
        <v>45910</v>
      </c>
      <c r="H4053">
        <v>49</v>
      </c>
      <c r="I4053">
        <f>ROUND(CompilDonnées[[#This Row],[CultureDuration_days]]/7,0)</f>
        <v>7</v>
      </c>
      <c r="J4053">
        <v>1513</v>
      </c>
      <c r="K4053" t="str">
        <f>_xlfn.CONCAT(WEEKNUM(CompilDonnées[[#This Row],[PlantationDate]]), " ", YEAR(CompilDonnées[[#This Row],[PlantationDate]]))</f>
        <v>30 2025</v>
      </c>
      <c r="L4053" t="str">
        <f>CONCATENATE(MONTH(CompilDonnées[[#This Row],[PlantationDate]])," ", YEAR(CompilDonnées[[#This Row],[PlantationDate]]))</f>
        <v>7 2025</v>
      </c>
      <c r="M4053" t="str">
        <f>CONCATENATE(MONTH(CompilDonnées[[#This Row],[HarvestingDate]])," ", YEAR(CompilDonnées[[#This Row],[HarvestingDate]]))</f>
        <v>9 2025</v>
      </c>
      <c r="N4053">
        <f>_xlfn.NUMBERVALUE(CompilDonnées[[#This Row],[FarmID]]&amp;CompilDonnées[[#This Row],[ModuleNumber]]&amp;CompilDonnées[[#This Row],[PlantationDate]])</f>
        <v>69545861</v>
      </c>
      <c r="O4053" t="str">
        <f>CompilDonnées[[#This Row],[FarmID]]&amp;CompilDonnées[[#This Row],[ModuleNumber]]</f>
        <v>695</v>
      </c>
      <c r="P4053" t="str">
        <f>CompilDonnées[[#This Row],[Ref_Module]]&amp;CompilDonnées[[#This Row],[HarvestingDate]]</f>
        <v>69545910</v>
      </c>
    </row>
    <row r="4054" spans="1:16">
      <c r="A4054" s="5">
        <v>45861</v>
      </c>
      <c r="B4054">
        <v>12</v>
      </c>
      <c r="C4054" t="s">
        <v>123</v>
      </c>
      <c r="D4054">
        <v>2</v>
      </c>
      <c r="E4054">
        <v>100</v>
      </c>
      <c r="F4054" t="s">
        <v>1</v>
      </c>
      <c r="G4054" s="6">
        <v>45901</v>
      </c>
      <c r="H4054">
        <v>40</v>
      </c>
      <c r="I4054">
        <f>ROUND(CompilDonnées[[#This Row],[CultureDuration_days]]/7,0)</f>
        <v>6</v>
      </c>
      <c r="J4054">
        <v>1868</v>
      </c>
      <c r="K4054" t="str">
        <f>_xlfn.CONCAT(WEEKNUM(CompilDonnées[[#This Row],[PlantationDate]]), " ", YEAR(CompilDonnées[[#This Row],[PlantationDate]]))</f>
        <v>30 2025</v>
      </c>
      <c r="L4054" t="str">
        <f>CONCATENATE(MONTH(CompilDonnées[[#This Row],[PlantationDate]])," ", YEAR(CompilDonnées[[#This Row],[PlantationDate]]))</f>
        <v>7 2025</v>
      </c>
      <c r="M4054" t="str">
        <f>CONCATENATE(MONTH(CompilDonnées[[#This Row],[HarvestingDate]])," ", YEAR(CompilDonnées[[#This Row],[HarvestingDate]]))</f>
        <v>9 2025</v>
      </c>
      <c r="N4054">
        <f>_xlfn.NUMBERVALUE(CompilDonnées[[#This Row],[FarmID]]&amp;CompilDonnées[[#This Row],[ModuleNumber]]&amp;CompilDonnées[[#This Row],[PlantationDate]])</f>
        <v>12245861</v>
      </c>
      <c r="O4054" t="str">
        <f>CompilDonnées[[#This Row],[FarmID]]&amp;CompilDonnées[[#This Row],[ModuleNumber]]</f>
        <v>122</v>
      </c>
      <c r="P4054" t="str">
        <f>CompilDonnées[[#This Row],[Ref_Module]]&amp;CompilDonnées[[#This Row],[HarvestingDate]]</f>
        <v>12245901</v>
      </c>
    </row>
    <row r="4055" spans="1:16">
      <c r="A4055" s="5">
        <v>45861</v>
      </c>
      <c r="B4055">
        <v>7</v>
      </c>
      <c r="C4055" t="s">
        <v>50</v>
      </c>
      <c r="D4055">
        <v>3</v>
      </c>
      <c r="E4055">
        <v>100</v>
      </c>
      <c r="F4055" t="s">
        <v>1</v>
      </c>
      <c r="G4055" s="6">
        <v>45901</v>
      </c>
      <c r="H4055">
        <v>40</v>
      </c>
      <c r="I4055">
        <f>ROUND(CompilDonnées[[#This Row],[CultureDuration_days]]/7,0)</f>
        <v>6</v>
      </c>
      <c r="J4055">
        <v>2351</v>
      </c>
      <c r="K4055" t="str">
        <f>_xlfn.CONCAT(WEEKNUM(CompilDonnées[[#This Row],[PlantationDate]]), " ", YEAR(CompilDonnées[[#This Row],[PlantationDate]]))</f>
        <v>30 2025</v>
      </c>
      <c r="L4055" t="str">
        <f>CONCATENATE(MONTH(CompilDonnées[[#This Row],[PlantationDate]])," ", YEAR(CompilDonnées[[#This Row],[PlantationDate]]))</f>
        <v>7 2025</v>
      </c>
      <c r="M4055" t="str">
        <f>CONCATENATE(MONTH(CompilDonnées[[#This Row],[HarvestingDate]])," ", YEAR(CompilDonnées[[#This Row],[HarvestingDate]]))</f>
        <v>9 2025</v>
      </c>
      <c r="N4055">
        <f>_xlfn.NUMBERVALUE(CompilDonnées[[#This Row],[FarmID]]&amp;CompilDonnées[[#This Row],[ModuleNumber]]&amp;CompilDonnées[[#This Row],[PlantationDate]])</f>
        <v>7345861</v>
      </c>
      <c r="O4055" t="str">
        <f>CompilDonnées[[#This Row],[FarmID]]&amp;CompilDonnées[[#This Row],[ModuleNumber]]</f>
        <v>73</v>
      </c>
      <c r="P4055" t="str">
        <f>CompilDonnées[[#This Row],[Ref_Module]]&amp;CompilDonnées[[#This Row],[HarvestingDate]]</f>
        <v>7345901</v>
      </c>
    </row>
    <row r="4056" spans="1:16">
      <c r="A4056" s="5">
        <v>45861</v>
      </c>
      <c r="B4056">
        <v>2</v>
      </c>
      <c r="C4056" t="s">
        <v>119</v>
      </c>
      <c r="D4056">
        <v>4</v>
      </c>
      <c r="E4056">
        <v>100</v>
      </c>
      <c r="F4056" t="s">
        <v>1</v>
      </c>
      <c r="G4056" s="6">
        <v>45901</v>
      </c>
      <c r="H4056">
        <v>40</v>
      </c>
      <c r="I4056">
        <f>ROUND(CompilDonnées[[#This Row],[CultureDuration_days]]/7,0)</f>
        <v>6</v>
      </c>
      <c r="J4056">
        <v>2263</v>
      </c>
      <c r="K4056" t="str">
        <f>_xlfn.CONCAT(WEEKNUM(CompilDonnées[[#This Row],[PlantationDate]]), " ", YEAR(CompilDonnées[[#This Row],[PlantationDate]]))</f>
        <v>30 2025</v>
      </c>
      <c r="L4056" t="str">
        <f>CONCATENATE(MONTH(CompilDonnées[[#This Row],[PlantationDate]])," ", YEAR(CompilDonnées[[#This Row],[PlantationDate]]))</f>
        <v>7 2025</v>
      </c>
      <c r="M4056" t="str">
        <f>CONCATENATE(MONTH(CompilDonnées[[#This Row],[HarvestingDate]])," ", YEAR(CompilDonnées[[#This Row],[HarvestingDate]]))</f>
        <v>9 2025</v>
      </c>
      <c r="N4056">
        <f>_xlfn.NUMBERVALUE(CompilDonnées[[#This Row],[FarmID]]&amp;CompilDonnées[[#This Row],[ModuleNumber]]&amp;CompilDonnées[[#This Row],[PlantationDate]])</f>
        <v>2445861</v>
      </c>
      <c r="O4056" t="str">
        <f>CompilDonnées[[#This Row],[FarmID]]&amp;CompilDonnées[[#This Row],[ModuleNumber]]</f>
        <v>24</v>
      </c>
      <c r="P4056" t="str">
        <f>CompilDonnées[[#This Row],[Ref_Module]]&amp;CompilDonnées[[#This Row],[HarvestingDate]]</f>
        <v>2445901</v>
      </c>
    </row>
    <row r="4057" spans="1:16">
      <c r="A4057" s="5">
        <v>45861</v>
      </c>
      <c r="B4057">
        <v>1</v>
      </c>
      <c r="C4057" t="s">
        <v>111</v>
      </c>
      <c r="D4057">
        <v>6</v>
      </c>
      <c r="E4057">
        <v>100</v>
      </c>
      <c r="F4057" t="s">
        <v>1</v>
      </c>
      <c r="G4057" s="6">
        <v>45898</v>
      </c>
      <c r="H4057">
        <v>37</v>
      </c>
      <c r="I4057">
        <f>ROUND(CompilDonnées[[#This Row],[CultureDuration_days]]/7,0)</f>
        <v>5</v>
      </c>
      <c r="J4057">
        <v>3585</v>
      </c>
      <c r="K4057" t="str">
        <f>_xlfn.CONCAT(WEEKNUM(CompilDonnées[[#This Row],[PlantationDate]]), " ", YEAR(CompilDonnées[[#This Row],[PlantationDate]]))</f>
        <v>30 2025</v>
      </c>
      <c r="L4057" t="str">
        <f>CONCATENATE(MONTH(CompilDonnées[[#This Row],[PlantationDate]])," ", YEAR(CompilDonnées[[#This Row],[PlantationDate]]))</f>
        <v>7 2025</v>
      </c>
      <c r="M4057" t="str">
        <f>CONCATENATE(MONTH(CompilDonnées[[#This Row],[HarvestingDate]])," ", YEAR(CompilDonnées[[#This Row],[HarvestingDate]]))</f>
        <v>8 2025</v>
      </c>
      <c r="N4057">
        <f>_xlfn.NUMBERVALUE(CompilDonnées[[#This Row],[FarmID]]&amp;CompilDonnées[[#This Row],[ModuleNumber]]&amp;CompilDonnées[[#This Row],[PlantationDate]])</f>
        <v>1645861</v>
      </c>
      <c r="O4057" t="str">
        <f>CompilDonnées[[#This Row],[FarmID]]&amp;CompilDonnées[[#This Row],[ModuleNumber]]</f>
        <v>16</v>
      </c>
      <c r="P4057" t="str">
        <f>CompilDonnées[[#This Row],[Ref_Module]]&amp;CompilDonnées[[#This Row],[HarvestingDate]]</f>
        <v>1645898</v>
      </c>
    </row>
    <row r="4058" spans="1:16">
      <c r="A4058" s="5">
        <v>45861</v>
      </c>
      <c r="B4058">
        <v>64</v>
      </c>
      <c r="C4058" t="s">
        <v>47</v>
      </c>
      <c r="D4058">
        <v>4</v>
      </c>
      <c r="E4058">
        <v>100</v>
      </c>
      <c r="F4058" t="s">
        <v>1</v>
      </c>
      <c r="G4058" s="6">
        <v>45910</v>
      </c>
      <c r="H4058">
        <v>49</v>
      </c>
      <c r="I4058">
        <f>ROUND(CompilDonnées[[#This Row],[CultureDuration_days]]/7,0)</f>
        <v>7</v>
      </c>
      <c r="J4058">
        <v>2295</v>
      </c>
      <c r="K4058" t="str">
        <f>_xlfn.CONCAT(WEEKNUM(CompilDonnées[[#This Row],[PlantationDate]]), " ", YEAR(CompilDonnées[[#This Row],[PlantationDate]]))</f>
        <v>30 2025</v>
      </c>
      <c r="L4058" t="str">
        <f>CONCATENATE(MONTH(CompilDonnées[[#This Row],[PlantationDate]])," ", YEAR(CompilDonnées[[#This Row],[PlantationDate]]))</f>
        <v>7 2025</v>
      </c>
      <c r="M4058" t="str">
        <f>CONCATENATE(MONTH(CompilDonnées[[#This Row],[HarvestingDate]])," ", YEAR(CompilDonnées[[#This Row],[HarvestingDate]]))</f>
        <v>9 2025</v>
      </c>
      <c r="N4058">
        <f>_xlfn.NUMBERVALUE(CompilDonnées[[#This Row],[FarmID]]&amp;CompilDonnées[[#This Row],[ModuleNumber]]&amp;CompilDonnées[[#This Row],[PlantationDate]])</f>
        <v>64445861</v>
      </c>
      <c r="O4058" t="str">
        <f>CompilDonnées[[#This Row],[FarmID]]&amp;CompilDonnées[[#This Row],[ModuleNumber]]</f>
        <v>644</v>
      </c>
      <c r="P4058" t="str">
        <f>CompilDonnées[[#This Row],[Ref_Module]]&amp;CompilDonnées[[#This Row],[HarvestingDate]]</f>
        <v>64445910</v>
      </c>
    </row>
    <row r="4059" spans="1:16">
      <c r="A4059" s="5">
        <v>45861</v>
      </c>
      <c r="B4059">
        <v>68</v>
      </c>
      <c r="C4059" t="s">
        <v>89</v>
      </c>
      <c r="D4059">
        <v>6</v>
      </c>
      <c r="E4059">
        <v>100</v>
      </c>
      <c r="F4059" t="s">
        <v>1</v>
      </c>
      <c r="G4059" s="6">
        <v>45902</v>
      </c>
      <c r="H4059">
        <v>41</v>
      </c>
      <c r="I4059">
        <f>ROUND(CompilDonnées[[#This Row],[CultureDuration_days]]/7,0)</f>
        <v>6</v>
      </c>
      <c r="J4059">
        <v>4633</v>
      </c>
      <c r="K4059" t="str">
        <f>_xlfn.CONCAT(WEEKNUM(CompilDonnées[[#This Row],[PlantationDate]]), " ", YEAR(CompilDonnées[[#This Row],[PlantationDate]]))</f>
        <v>30 2025</v>
      </c>
      <c r="L4059" t="str">
        <f>CONCATENATE(MONTH(CompilDonnées[[#This Row],[PlantationDate]])," ", YEAR(CompilDonnées[[#This Row],[PlantationDate]]))</f>
        <v>7 2025</v>
      </c>
      <c r="M4059" t="str">
        <f>CONCATENATE(MONTH(CompilDonnées[[#This Row],[HarvestingDate]])," ", YEAR(CompilDonnées[[#This Row],[HarvestingDate]]))</f>
        <v>9 2025</v>
      </c>
      <c r="N4059">
        <f>_xlfn.NUMBERVALUE(CompilDonnées[[#This Row],[FarmID]]&amp;CompilDonnées[[#This Row],[ModuleNumber]]&amp;CompilDonnées[[#This Row],[PlantationDate]])</f>
        <v>68645861</v>
      </c>
      <c r="O4059" t="str">
        <f>CompilDonnées[[#This Row],[FarmID]]&amp;CompilDonnées[[#This Row],[ModuleNumber]]</f>
        <v>686</v>
      </c>
      <c r="P4059" t="str">
        <f>CompilDonnées[[#This Row],[Ref_Module]]&amp;CompilDonnées[[#This Row],[HarvestingDate]]</f>
        <v>68645902</v>
      </c>
    </row>
    <row r="4060" spans="1:16">
      <c r="A4060" s="5">
        <v>45861</v>
      </c>
      <c r="B4060">
        <v>67</v>
      </c>
      <c r="C4060" t="s">
        <v>28</v>
      </c>
      <c r="D4060">
        <v>5</v>
      </c>
      <c r="E4060">
        <v>100</v>
      </c>
      <c r="F4060" t="s">
        <v>1</v>
      </c>
      <c r="G4060" s="6">
        <v>45902</v>
      </c>
      <c r="H4060">
        <v>41</v>
      </c>
      <c r="I4060">
        <f>ROUND(CompilDonnées[[#This Row],[CultureDuration_days]]/7,0)</f>
        <v>6</v>
      </c>
      <c r="J4060">
        <v>3507</v>
      </c>
      <c r="K4060" t="str">
        <f>_xlfn.CONCAT(WEEKNUM(CompilDonnées[[#This Row],[PlantationDate]]), " ", YEAR(CompilDonnées[[#This Row],[PlantationDate]]))</f>
        <v>30 2025</v>
      </c>
      <c r="L4060" t="str">
        <f>CONCATENATE(MONTH(CompilDonnées[[#This Row],[PlantationDate]])," ", YEAR(CompilDonnées[[#This Row],[PlantationDate]]))</f>
        <v>7 2025</v>
      </c>
      <c r="M4060" t="str">
        <f>CONCATENATE(MONTH(CompilDonnées[[#This Row],[HarvestingDate]])," ", YEAR(CompilDonnées[[#This Row],[HarvestingDate]]))</f>
        <v>9 2025</v>
      </c>
      <c r="N4060">
        <f>_xlfn.NUMBERVALUE(CompilDonnées[[#This Row],[FarmID]]&amp;CompilDonnées[[#This Row],[ModuleNumber]]&amp;CompilDonnées[[#This Row],[PlantationDate]])</f>
        <v>67545861</v>
      </c>
      <c r="O4060" t="str">
        <f>CompilDonnées[[#This Row],[FarmID]]&amp;CompilDonnées[[#This Row],[ModuleNumber]]</f>
        <v>675</v>
      </c>
      <c r="P4060" t="str">
        <f>CompilDonnées[[#This Row],[Ref_Module]]&amp;CompilDonnées[[#This Row],[HarvestingDate]]</f>
        <v>67545902</v>
      </c>
    </row>
    <row r="4061" spans="1:16">
      <c r="A4061" s="5">
        <v>45861</v>
      </c>
      <c r="B4061">
        <v>65</v>
      </c>
      <c r="C4061" t="s">
        <v>36</v>
      </c>
      <c r="D4061">
        <v>4</v>
      </c>
      <c r="E4061">
        <v>100</v>
      </c>
      <c r="F4061" t="s">
        <v>1</v>
      </c>
      <c r="G4061" s="6">
        <v>45910</v>
      </c>
      <c r="H4061">
        <v>49</v>
      </c>
      <c r="I4061">
        <f>ROUND(CompilDonnées[[#This Row],[CultureDuration_days]]/7,0)</f>
        <v>7</v>
      </c>
      <c r="J4061">
        <v>3038</v>
      </c>
      <c r="K4061" t="str">
        <f>_xlfn.CONCAT(WEEKNUM(CompilDonnées[[#This Row],[PlantationDate]]), " ", YEAR(CompilDonnées[[#This Row],[PlantationDate]]))</f>
        <v>30 2025</v>
      </c>
      <c r="L4061" t="str">
        <f>CONCATENATE(MONTH(CompilDonnées[[#This Row],[PlantationDate]])," ", YEAR(CompilDonnées[[#This Row],[PlantationDate]]))</f>
        <v>7 2025</v>
      </c>
      <c r="M4061" t="str">
        <f>CONCATENATE(MONTH(CompilDonnées[[#This Row],[HarvestingDate]])," ", YEAR(CompilDonnées[[#This Row],[HarvestingDate]]))</f>
        <v>9 2025</v>
      </c>
      <c r="N4061">
        <f>_xlfn.NUMBERVALUE(CompilDonnées[[#This Row],[FarmID]]&amp;CompilDonnées[[#This Row],[ModuleNumber]]&amp;CompilDonnées[[#This Row],[PlantationDate]])</f>
        <v>65445861</v>
      </c>
      <c r="O4061" t="str">
        <f>CompilDonnées[[#This Row],[FarmID]]&amp;CompilDonnées[[#This Row],[ModuleNumber]]</f>
        <v>654</v>
      </c>
      <c r="P4061" t="str">
        <f>CompilDonnées[[#This Row],[Ref_Module]]&amp;CompilDonnées[[#This Row],[HarvestingDate]]</f>
        <v>65445910</v>
      </c>
    </row>
    <row r="4062" spans="1:16">
      <c r="A4062" s="5">
        <v>45861</v>
      </c>
      <c r="B4062">
        <v>66</v>
      </c>
      <c r="C4062" t="s">
        <v>48</v>
      </c>
      <c r="D4062">
        <v>4</v>
      </c>
      <c r="E4062">
        <v>100</v>
      </c>
      <c r="F4062" t="s">
        <v>1</v>
      </c>
      <c r="G4062" s="6">
        <v>45902</v>
      </c>
      <c r="H4062">
        <v>41</v>
      </c>
      <c r="I4062">
        <f>ROUND(CompilDonnées[[#This Row],[CultureDuration_days]]/7,0)</f>
        <v>6</v>
      </c>
      <c r="J4062">
        <v>3024</v>
      </c>
      <c r="K4062" t="str">
        <f>_xlfn.CONCAT(WEEKNUM(CompilDonnées[[#This Row],[PlantationDate]]), " ", YEAR(CompilDonnées[[#This Row],[PlantationDate]]))</f>
        <v>30 2025</v>
      </c>
      <c r="L4062" t="str">
        <f>CONCATENATE(MONTH(CompilDonnées[[#This Row],[PlantationDate]])," ", YEAR(CompilDonnées[[#This Row],[PlantationDate]]))</f>
        <v>7 2025</v>
      </c>
      <c r="M4062" t="str">
        <f>CONCATENATE(MONTH(CompilDonnées[[#This Row],[HarvestingDate]])," ", YEAR(CompilDonnées[[#This Row],[HarvestingDate]]))</f>
        <v>9 2025</v>
      </c>
      <c r="N4062">
        <f>_xlfn.NUMBERVALUE(CompilDonnées[[#This Row],[FarmID]]&amp;CompilDonnées[[#This Row],[ModuleNumber]]&amp;CompilDonnées[[#This Row],[PlantationDate]])</f>
        <v>66445861</v>
      </c>
      <c r="O4062" t="str">
        <f>CompilDonnées[[#This Row],[FarmID]]&amp;CompilDonnées[[#This Row],[ModuleNumber]]</f>
        <v>664</v>
      </c>
      <c r="P4062" t="str">
        <f>CompilDonnées[[#This Row],[Ref_Module]]&amp;CompilDonnées[[#This Row],[HarvestingDate]]</f>
        <v>66445902</v>
      </c>
    </row>
    <row r="4063" spans="1:16">
      <c r="A4063" s="5">
        <v>45861</v>
      </c>
      <c r="B4063">
        <v>56</v>
      </c>
      <c r="C4063" t="s">
        <v>6</v>
      </c>
      <c r="D4063">
        <v>2</v>
      </c>
      <c r="E4063">
        <v>100</v>
      </c>
      <c r="F4063" t="s">
        <v>1</v>
      </c>
      <c r="G4063" s="6">
        <v>45902</v>
      </c>
      <c r="H4063">
        <v>41</v>
      </c>
      <c r="I4063">
        <f>ROUND(CompilDonnées[[#This Row],[CultureDuration_days]]/7,0)</f>
        <v>6</v>
      </c>
      <c r="J4063">
        <v>2221</v>
      </c>
      <c r="K4063" t="str">
        <f>_xlfn.CONCAT(WEEKNUM(CompilDonnées[[#This Row],[PlantationDate]]), " ", YEAR(CompilDonnées[[#This Row],[PlantationDate]]))</f>
        <v>30 2025</v>
      </c>
      <c r="L4063" t="str">
        <f>CONCATENATE(MONTH(CompilDonnées[[#This Row],[PlantationDate]])," ", YEAR(CompilDonnées[[#This Row],[PlantationDate]]))</f>
        <v>7 2025</v>
      </c>
      <c r="M4063" t="str">
        <f>CONCATENATE(MONTH(CompilDonnées[[#This Row],[HarvestingDate]])," ", YEAR(CompilDonnées[[#This Row],[HarvestingDate]]))</f>
        <v>9 2025</v>
      </c>
      <c r="N4063">
        <f>_xlfn.NUMBERVALUE(CompilDonnées[[#This Row],[FarmID]]&amp;CompilDonnées[[#This Row],[ModuleNumber]]&amp;CompilDonnées[[#This Row],[PlantationDate]])</f>
        <v>56245861</v>
      </c>
      <c r="O4063" t="str">
        <f>CompilDonnées[[#This Row],[FarmID]]&amp;CompilDonnées[[#This Row],[ModuleNumber]]</f>
        <v>562</v>
      </c>
      <c r="P4063" t="str">
        <f>CompilDonnées[[#This Row],[Ref_Module]]&amp;CompilDonnées[[#This Row],[HarvestingDate]]</f>
        <v>56245902</v>
      </c>
    </row>
    <row r="4064" spans="1:16">
      <c r="A4064" s="5">
        <v>45861</v>
      </c>
      <c r="B4064">
        <v>55</v>
      </c>
      <c r="C4064" t="s">
        <v>60</v>
      </c>
      <c r="D4064">
        <v>5</v>
      </c>
      <c r="E4064">
        <v>100</v>
      </c>
      <c r="F4064" t="s">
        <v>1</v>
      </c>
      <c r="G4064" s="6">
        <v>45910</v>
      </c>
      <c r="H4064">
        <v>49</v>
      </c>
      <c r="I4064">
        <f>ROUND(CompilDonnées[[#This Row],[CultureDuration_days]]/7,0)</f>
        <v>7</v>
      </c>
      <c r="J4064">
        <v>2779</v>
      </c>
      <c r="K4064" t="str">
        <f>_xlfn.CONCAT(WEEKNUM(CompilDonnées[[#This Row],[PlantationDate]]), " ", YEAR(CompilDonnées[[#This Row],[PlantationDate]]))</f>
        <v>30 2025</v>
      </c>
      <c r="L4064" t="str">
        <f>CONCATENATE(MONTH(CompilDonnées[[#This Row],[PlantationDate]])," ", YEAR(CompilDonnées[[#This Row],[PlantationDate]]))</f>
        <v>7 2025</v>
      </c>
      <c r="M4064" t="str">
        <f>CONCATENATE(MONTH(CompilDonnées[[#This Row],[HarvestingDate]])," ", YEAR(CompilDonnées[[#This Row],[HarvestingDate]]))</f>
        <v>9 2025</v>
      </c>
      <c r="N4064">
        <f>_xlfn.NUMBERVALUE(CompilDonnées[[#This Row],[FarmID]]&amp;CompilDonnées[[#This Row],[ModuleNumber]]&amp;CompilDonnées[[#This Row],[PlantationDate]])</f>
        <v>55545861</v>
      </c>
      <c r="O4064" t="str">
        <f>CompilDonnées[[#This Row],[FarmID]]&amp;CompilDonnées[[#This Row],[ModuleNumber]]</f>
        <v>555</v>
      </c>
      <c r="P4064" t="str">
        <f>CompilDonnées[[#This Row],[Ref_Module]]&amp;CompilDonnées[[#This Row],[HarvestingDate]]</f>
        <v>55545910</v>
      </c>
    </row>
    <row r="4065" spans="1:16">
      <c r="A4065" s="5">
        <v>45861</v>
      </c>
      <c r="B4065">
        <v>57</v>
      </c>
      <c r="C4065" t="s">
        <v>46</v>
      </c>
      <c r="D4065">
        <v>4</v>
      </c>
      <c r="E4065">
        <v>100</v>
      </c>
      <c r="F4065" t="s">
        <v>1</v>
      </c>
      <c r="G4065" s="6">
        <v>45910</v>
      </c>
      <c r="H4065">
        <v>49</v>
      </c>
      <c r="I4065">
        <f>ROUND(CompilDonnées[[#This Row],[CultureDuration_days]]/7,0)</f>
        <v>7</v>
      </c>
      <c r="J4065">
        <v>3565</v>
      </c>
      <c r="K4065" t="str">
        <f>_xlfn.CONCAT(WEEKNUM(CompilDonnées[[#This Row],[PlantationDate]]), " ", YEAR(CompilDonnées[[#This Row],[PlantationDate]]))</f>
        <v>30 2025</v>
      </c>
      <c r="L4065" t="str">
        <f>CONCATENATE(MONTH(CompilDonnées[[#This Row],[PlantationDate]])," ", YEAR(CompilDonnées[[#This Row],[PlantationDate]]))</f>
        <v>7 2025</v>
      </c>
      <c r="M4065" t="str">
        <f>CONCATENATE(MONTH(CompilDonnées[[#This Row],[HarvestingDate]])," ", YEAR(CompilDonnées[[#This Row],[HarvestingDate]]))</f>
        <v>9 2025</v>
      </c>
      <c r="N4065">
        <f>_xlfn.NUMBERVALUE(CompilDonnées[[#This Row],[FarmID]]&amp;CompilDonnées[[#This Row],[ModuleNumber]]&amp;CompilDonnées[[#This Row],[PlantationDate]])</f>
        <v>57445861</v>
      </c>
      <c r="O4065" t="str">
        <f>CompilDonnées[[#This Row],[FarmID]]&amp;CompilDonnées[[#This Row],[ModuleNumber]]</f>
        <v>574</v>
      </c>
      <c r="P4065" t="str">
        <f>CompilDonnées[[#This Row],[Ref_Module]]&amp;CompilDonnées[[#This Row],[HarvestingDate]]</f>
        <v>57445910</v>
      </c>
    </row>
    <row r="4066" spans="1:16">
      <c r="A4066" s="5">
        <v>45861</v>
      </c>
      <c r="B4066">
        <v>73</v>
      </c>
      <c r="C4066" t="s">
        <v>20</v>
      </c>
      <c r="D4066">
        <v>4</v>
      </c>
      <c r="E4066">
        <v>100</v>
      </c>
      <c r="F4066" t="s">
        <v>1</v>
      </c>
      <c r="G4066" s="6">
        <v>45902</v>
      </c>
      <c r="H4066">
        <v>41</v>
      </c>
      <c r="I4066">
        <f>ROUND(CompilDonnées[[#This Row],[CultureDuration_days]]/7,0)</f>
        <v>6</v>
      </c>
      <c r="J4066">
        <v>2700</v>
      </c>
      <c r="K4066" t="str">
        <f>_xlfn.CONCAT(WEEKNUM(CompilDonnées[[#This Row],[PlantationDate]]), " ", YEAR(CompilDonnées[[#This Row],[PlantationDate]]))</f>
        <v>30 2025</v>
      </c>
      <c r="L4066" t="str">
        <f>CONCATENATE(MONTH(CompilDonnées[[#This Row],[PlantationDate]])," ", YEAR(CompilDonnées[[#This Row],[PlantationDate]]))</f>
        <v>7 2025</v>
      </c>
      <c r="M4066" t="str">
        <f>CONCATENATE(MONTH(CompilDonnées[[#This Row],[HarvestingDate]])," ", YEAR(CompilDonnées[[#This Row],[HarvestingDate]]))</f>
        <v>9 2025</v>
      </c>
      <c r="N4066">
        <f>_xlfn.NUMBERVALUE(CompilDonnées[[#This Row],[FarmID]]&amp;CompilDonnées[[#This Row],[ModuleNumber]]&amp;CompilDonnées[[#This Row],[PlantationDate]])</f>
        <v>73445861</v>
      </c>
      <c r="O4066" t="str">
        <f>CompilDonnées[[#This Row],[FarmID]]&amp;CompilDonnées[[#This Row],[ModuleNumber]]</f>
        <v>734</v>
      </c>
      <c r="P4066" t="str">
        <f>CompilDonnées[[#This Row],[Ref_Module]]&amp;CompilDonnées[[#This Row],[HarvestingDate]]</f>
        <v>73445902</v>
      </c>
    </row>
    <row r="4067" spans="1:16">
      <c r="A4067" s="5">
        <v>45861</v>
      </c>
      <c r="B4067">
        <v>72</v>
      </c>
      <c r="C4067" t="s">
        <v>49</v>
      </c>
      <c r="D4067">
        <v>4</v>
      </c>
      <c r="E4067">
        <v>100</v>
      </c>
      <c r="F4067" t="s">
        <v>1</v>
      </c>
      <c r="G4067" s="6">
        <v>45910</v>
      </c>
      <c r="H4067">
        <v>49</v>
      </c>
      <c r="I4067">
        <f>ROUND(CompilDonnées[[#This Row],[CultureDuration_days]]/7,0)</f>
        <v>7</v>
      </c>
      <c r="J4067">
        <v>2580</v>
      </c>
      <c r="K4067" t="str">
        <f>_xlfn.CONCAT(WEEKNUM(CompilDonnées[[#This Row],[PlantationDate]]), " ", YEAR(CompilDonnées[[#This Row],[PlantationDate]]))</f>
        <v>30 2025</v>
      </c>
      <c r="L4067" t="str">
        <f>CONCATENATE(MONTH(CompilDonnées[[#This Row],[PlantationDate]])," ", YEAR(CompilDonnées[[#This Row],[PlantationDate]]))</f>
        <v>7 2025</v>
      </c>
      <c r="M4067" t="str">
        <f>CONCATENATE(MONTH(CompilDonnées[[#This Row],[HarvestingDate]])," ", YEAR(CompilDonnées[[#This Row],[HarvestingDate]]))</f>
        <v>9 2025</v>
      </c>
      <c r="N4067">
        <f>_xlfn.NUMBERVALUE(CompilDonnées[[#This Row],[FarmID]]&amp;CompilDonnées[[#This Row],[ModuleNumber]]&amp;CompilDonnées[[#This Row],[PlantationDate]])</f>
        <v>72445861</v>
      </c>
      <c r="O4067" t="str">
        <f>CompilDonnées[[#This Row],[FarmID]]&amp;CompilDonnées[[#This Row],[ModuleNumber]]</f>
        <v>724</v>
      </c>
      <c r="P4067" t="str">
        <f>CompilDonnées[[#This Row],[Ref_Module]]&amp;CompilDonnées[[#This Row],[HarvestingDate]]</f>
        <v>72445910</v>
      </c>
    </row>
    <row r="4068" spans="1:16">
      <c r="A4068" s="5">
        <v>45861</v>
      </c>
      <c r="B4068">
        <v>74</v>
      </c>
      <c r="C4068" t="s">
        <v>21</v>
      </c>
      <c r="D4068">
        <v>6</v>
      </c>
      <c r="E4068">
        <v>100</v>
      </c>
      <c r="F4068" t="s">
        <v>1</v>
      </c>
      <c r="G4068" s="6">
        <v>45902</v>
      </c>
      <c r="H4068">
        <v>41</v>
      </c>
      <c r="I4068">
        <f>ROUND(CompilDonnées[[#This Row],[CultureDuration_days]]/7,0)</f>
        <v>6</v>
      </c>
      <c r="J4068">
        <v>2427</v>
      </c>
      <c r="K4068" t="str">
        <f>_xlfn.CONCAT(WEEKNUM(CompilDonnées[[#This Row],[PlantationDate]]), " ", YEAR(CompilDonnées[[#This Row],[PlantationDate]]))</f>
        <v>30 2025</v>
      </c>
      <c r="L4068" t="str">
        <f>CONCATENATE(MONTH(CompilDonnées[[#This Row],[PlantationDate]])," ", YEAR(CompilDonnées[[#This Row],[PlantationDate]]))</f>
        <v>7 2025</v>
      </c>
      <c r="M4068" t="str">
        <f>CONCATENATE(MONTH(CompilDonnées[[#This Row],[HarvestingDate]])," ", YEAR(CompilDonnées[[#This Row],[HarvestingDate]]))</f>
        <v>9 2025</v>
      </c>
      <c r="N4068">
        <f>_xlfn.NUMBERVALUE(CompilDonnées[[#This Row],[FarmID]]&amp;CompilDonnées[[#This Row],[ModuleNumber]]&amp;CompilDonnées[[#This Row],[PlantationDate]])</f>
        <v>74645861</v>
      </c>
      <c r="O4068" t="str">
        <f>CompilDonnées[[#This Row],[FarmID]]&amp;CompilDonnées[[#This Row],[ModuleNumber]]</f>
        <v>746</v>
      </c>
      <c r="P4068" t="str">
        <f>CompilDonnées[[#This Row],[Ref_Module]]&amp;CompilDonnées[[#This Row],[HarvestingDate]]</f>
        <v>74645902</v>
      </c>
    </row>
    <row r="4069" spans="1:16">
      <c r="A4069" s="5">
        <v>45861</v>
      </c>
      <c r="B4069">
        <v>71</v>
      </c>
      <c r="C4069" t="s">
        <v>19</v>
      </c>
      <c r="D4069">
        <v>5</v>
      </c>
      <c r="E4069">
        <v>100</v>
      </c>
      <c r="F4069" t="s">
        <v>1</v>
      </c>
      <c r="G4069" s="6">
        <v>45910</v>
      </c>
      <c r="H4069">
        <v>49</v>
      </c>
      <c r="I4069">
        <f>ROUND(CompilDonnées[[#This Row],[CultureDuration_days]]/7,0)</f>
        <v>7</v>
      </c>
      <c r="J4069">
        <v>2540</v>
      </c>
      <c r="K4069" t="str">
        <f>_xlfn.CONCAT(WEEKNUM(CompilDonnées[[#This Row],[PlantationDate]]), " ", YEAR(CompilDonnées[[#This Row],[PlantationDate]]))</f>
        <v>30 2025</v>
      </c>
      <c r="L4069" t="str">
        <f>CONCATENATE(MONTH(CompilDonnées[[#This Row],[PlantationDate]])," ", YEAR(CompilDonnées[[#This Row],[PlantationDate]]))</f>
        <v>7 2025</v>
      </c>
      <c r="M4069" t="str">
        <f>CONCATENATE(MONTH(CompilDonnées[[#This Row],[HarvestingDate]])," ", YEAR(CompilDonnées[[#This Row],[HarvestingDate]]))</f>
        <v>9 2025</v>
      </c>
      <c r="N4069">
        <f>_xlfn.NUMBERVALUE(CompilDonnées[[#This Row],[FarmID]]&amp;CompilDonnées[[#This Row],[ModuleNumber]]&amp;CompilDonnées[[#This Row],[PlantationDate]])</f>
        <v>71545861</v>
      </c>
      <c r="O4069" t="str">
        <f>CompilDonnées[[#This Row],[FarmID]]&amp;CompilDonnées[[#This Row],[ModuleNumber]]</f>
        <v>715</v>
      </c>
      <c r="P4069" t="str">
        <f>CompilDonnées[[#This Row],[Ref_Module]]&amp;CompilDonnées[[#This Row],[HarvestingDate]]</f>
        <v>71545910</v>
      </c>
    </row>
    <row r="4070" spans="1:16">
      <c r="A4070" s="5">
        <v>45861</v>
      </c>
      <c r="B4070">
        <v>79</v>
      </c>
      <c r="C4070" t="s">
        <v>61</v>
      </c>
      <c r="D4070">
        <v>1</v>
      </c>
      <c r="E4070">
        <v>100</v>
      </c>
      <c r="F4070" t="s">
        <v>1</v>
      </c>
      <c r="G4070" s="6">
        <v>45902</v>
      </c>
      <c r="H4070">
        <v>41</v>
      </c>
      <c r="I4070">
        <f>ROUND(CompilDonnées[[#This Row],[CultureDuration_days]]/7,0)</f>
        <v>6</v>
      </c>
      <c r="J4070">
        <v>2769</v>
      </c>
      <c r="K4070" t="str">
        <f>_xlfn.CONCAT(WEEKNUM(CompilDonnées[[#This Row],[PlantationDate]]), " ", YEAR(CompilDonnées[[#This Row],[PlantationDate]]))</f>
        <v>30 2025</v>
      </c>
      <c r="L4070" t="str">
        <f>CONCATENATE(MONTH(CompilDonnées[[#This Row],[PlantationDate]])," ", YEAR(CompilDonnées[[#This Row],[PlantationDate]]))</f>
        <v>7 2025</v>
      </c>
      <c r="M4070" t="str">
        <f>CONCATENATE(MONTH(CompilDonnées[[#This Row],[HarvestingDate]])," ", YEAR(CompilDonnées[[#This Row],[HarvestingDate]]))</f>
        <v>9 2025</v>
      </c>
      <c r="N4070">
        <f>_xlfn.NUMBERVALUE(CompilDonnées[[#This Row],[FarmID]]&amp;CompilDonnées[[#This Row],[ModuleNumber]]&amp;CompilDonnées[[#This Row],[PlantationDate]])</f>
        <v>79145861</v>
      </c>
      <c r="O4070" t="str">
        <f>CompilDonnées[[#This Row],[FarmID]]&amp;CompilDonnées[[#This Row],[ModuleNumber]]</f>
        <v>791</v>
      </c>
      <c r="P4070" t="str">
        <f>CompilDonnées[[#This Row],[Ref_Module]]&amp;CompilDonnées[[#This Row],[HarvestingDate]]</f>
        <v>79145902</v>
      </c>
    </row>
    <row r="4071" spans="1:16">
      <c r="A4071" s="5">
        <v>45861</v>
      </c>
      <c r="B4071">
        <v>138</v>
      </c>
      <c r="C4071" t="s">
        <v>3</v>
      </c>
      <c r="D4071">
        <v>6</v>
      </c>
      <c r="E4071">
        <v>60</v>
      </c>
      <c r="F4071" t="s">
        <v>105</v>
      </c>
      <c r="G4071" s="6">
        <v>45909</v>
      </c>
      <c r="H4071">
        <v>48</v>
      </c>
      <c r="I4071">
        <f>ROUND(CompilDonnées[[#This Row],[CultureDuration_days]]/7,0)</f>
        <v>7</v>
      </c>
      <c r="J4071">
        <v>743</v>
      </c>
      <c r="K4071" t="str">
        <f>_xlfn.CONCAT(WEEKNUM(CompilDonnées[[#This Row],[PlantationDate]]), " ", YEAR(CompilDonnées[[#This Row],[PlantationDate]]))</f>
        <v>30 2025</v>
      </c>
      <c r="L4071" t="str">
        <f>CONCATENATE(MONTH(CompilDonnées[[#This Row],[PlantationDate]])," ", YEAR(CompilDonnées[[#This Row],[PlantationDate]]))</f>
        <v>7 2025</v>
      </c>
      <c r="M4071" t="str">
        <f>CONCATENATE(MONTH(CompilDonnées[[#This Row],[HarvestingDate]])," ", YEAR(CompilDonnées[[#This Row],[HarvestingDate]]))</f>
        <v>9 2025</v>
      </c>
      <c r="N4071">
        <f>_xlfn.NUMBERVALUE(CompilDonnées[[#This Row],[FarmID]]&amp;CompilDonnées[[#This Row],[ModuleNumber]]&amp;CompilDonnées[[#This Row],[PlantationDate]])</f>
        <v>138645861</v>
      </c>
      <c r="O4071" t="str">
        <f>CompilDonnées[[#This Row],[FarmID]]&amp;CompilDonnées[[#This Row],[ModuleNumber]]</f>
        <v>1386</v>
      </c>
      <c r="P4071" t="str">
        <f>CompilDonnées[[#This Row],[Ref_Module]]&amp;CompilDonnées[[#This Row],[HarvestingDate]]</f>
        <v>138645909</v>
      </c>
    </row>
    <row r="4072" spans="1:16">
      <c r="A4072" s="5">
        <v>45861</v>
      </c>
      <c r="B4072">
        <v>75</v>
      </c>
      <c r="C4072" t="s">
        <v>3</v>
      </c>
      <c r="D4072">
        <v>2</v>
      </c>
      <c r="E4072">
        <v>60</v>
      </c>
      <c r="F4072" t="s">
        <v>105</v>
      </c>
      <c r="G4072" s="6">
        <v>45901</v>
      </c>
      <c r="H4072">
        <v>40</v>
      </c>
      <c r="I4072">
        <f>ROUND(CompilDonnées[[#This Row],[CultureDuration_days]]/7,0)</f>
        <v>6</v>
      </c>
      <c r="J4072">
        <v>1022</v>
      </c>
      <c r="K4072" t="str">
        <f>_xlfn.CONCAT(WEEKNUM(CompilDonnées[[#This Row],[PlantationDate]]), " ", YEAR(CompilDonnées[[#This Row],[PlantationDate]]))</f>
        <v>30 2025</v>
      </c>
      <c r="L4072" t="str">
        <f>CONCATENATE(MONTH(CompilDonnées[[#This Row],[PlantationDate]])," ", YEAR(CompilDonnées[[#This Row],[PlantationDate]]))</f>
        <v>7 2025</v>
      </c>
      <c r="M4072" t="str">
        <f>CONCATENATE(MONTH(CompilDonnées[[#This Row],[HarvestingDate]])," ", YEAR(CompilDonnées[[#This Row],[HarvestingDate]]))</f>
        <v>9 2025</v>
      </c>
      <c r="N4072">
        <f>_xlfn.NUMBERVALUE(CompilDonnées[[#This Row],[FarmID]]&amp;CompilDonnées[[#This Row],[ModuleNumber]]&amp;CompilDonnées[[#This Row],[PlantationDate]])</f>
        <v>75245861</v>
      </c>
      <c r="O4072" t="str">
        <f>CompilDonnées[[#This Row],[FarmID]]&amp;CompilDonnées[[#This Row],[ModuleNumber]]</f>
        <v>752</v>
      </c>
      <c r="P4072" t="str">
        <f>CompilDonnées[[#This Row],[Ref_Module]]&amp;CompilDonnées[[#This Row],[HarvestingDate]]</f>
        <v>75245901</v>
      </c>
    </row>
    <row r="4073" spans="1:16">
      <c r="A4073" s="5">
        <v>45861</v>
      </c>
      <c r="B4073">
        <v>75</v>
      </c>
      <c r="C4073" t="s">
        <v>3</v>
      </c>
      <c r="D4073">
        <v>3</v>
      </c>
      <c r="E4073">
        <v>60</v>
      </c>
      <c r="F4073" t="s">
        <v>105</v>
      </c>
      <c r="G4073" s="6">
        <v>45901</v>
      </c>
      <c r="H4073">
        <v>40</v>
      </c>
      <c r="I4073">
        <f>ROUND(CompilDonnées[[#This Row],[CultureDuration_days]]/7,0)</f>
        <v>6</v>
      </c>
      <c r="J4073">
        <v>778</v>
      </c>
      <c r="K4073" t="str">
        <f>_xlfn.CONCAT(WEEKNUM(CompilDonnées[[#This Row],[PlantationDate]]), " ", YEAR(CompilDonnées[[#This Row],[PlantationDate]]))</f>
        <v>30 2025</v>
      </c>
      <c r="L4073" t="str">
        <f>CONCATENATE(MONTH(CompilDonnées[[#This Row],[PlantationDate]])," ", YEAR(CompilDonnées[[#This Row],[PlantationDate]]))</f>
        <v>7 2025</v>
      </c>
      <c r="M4073" t="str">
        <f>CONCATENATE(MONTH(CompilDonnées[[#This Row],[HarvestingDate]])," ", YEAR(CompilDonnées[[#This Row],[HarvestingDate]]))</f>
        <v>9 2025</v>
      </c>
      <c r="N4073">
        <f>_xlfn.NUMBERVALUE(CompilDonnées[[#This Row],[FarmID]]&amp;CompilDonnées[[#This Row],[ModuleNumber]]&amp;CompilDonnées[[#This Row],[PlantationDate]])</f>
        <v>75345861</v>
      </c>
      <c r="O4073" t="str">
        <f>CompilDonnées[[#This Row],[FarmID]]&amp;CompilDonnées[[#This Row],[ModuleNumber]]</f>
        <v>753</v>
      </c>
      <c r="P4073" t="str">
        <f>CompilDonnées[[#This Row],[Ref_Module]]&amp;CompilDonnées[[#This Row],[HarvestingDate]]</f>
        <v>75345901</v>
      </c>
    </row>
    <row r="4074" spans="1:16">
      <c r="A4074" s="5">
        <v>45862</v>
      </c>
      <c r="B4074">
        <v>86</v>
      </c>
      <c r="C4074" t="s">
        <v>37</v>
      </c>
      <c r="D4074">
        <v>5</v>
      </c>
      <c r="E4074">
        <v>100</v>
      </c>
      <c r="F4074" t="s">
        <v>1</v>
      </c>
      <c r="G4074" s="6">
        <v>45909</v>
      </c>
      <c r="H4074">
        <v>47</v>
      </c>
      <c r="I4074">
        <f>ROUND(CompilDonnées[[#This Row],[CultureDuration_days]]/7,0)</f>
        <v>7</v>
      </c>
      <c r="J4074">
        <v>2838</v>
      </c>
      <c r="K4074" t="str">
        <f>_xlfn.CONCAT(WEEKNUM(CompilDonnées[[#This Row],[PlantationDate]]), " ", YEAR(CompilDonnées[[#This Row],[PlantationDate]]))</f>
        <v>30 2025</v>
      </c>
      <c r="L4074" t="str">
        <f>CONCATENATE(MONTH(CompilDonnées[[#This Row],[PlantationDate]])," ", YEAR(CompilDonnées[[#This Row],[PlantationDate]]))</f>
        <v>7 2025</v>
      </c>
      <c r="M4074" t="str">
        <f>CONCATENATE(MONTH(CompilDonnées[[#This Row],[HarvestingDate]])," ", YEAR(CompilDonnées[[#This Row],[HarvestingDate]]))</f>
        <v>9 2025</v>
      </c>
      <c r="N4074">
        <f>_xlfn.NUMBERVALUE(CompilDonnées[[#This Row],[FarmID]]&amp;CompilDonnées[[#This Row],[ModuleNumber]]&amp;CompilDonnées[[#This Row],[PlantationDate]])</f>
        <v>86545862</v>
      </c>
      <c r="O4074" t="str">
        <f>CompilDonnées[[#This Row],[FarmID]]&amp;CompilDonnées[[#This Row],[ModuleNumber]]</f>
        <v>865</v>
      </c>
      <c r="P4074" t="str">
        <f>CompilDonnées[[#This Row],[Ref_Module]]&amp;CompilDonnées[[#This Row],[HarvestingDate]]</f>
        <v>86545909</v>
      </c>
    </row>
    <row r="4075" spans="1:16">
      <c r="A4075" s="5">
        <v>45862</v>
      </c>
      <c r="B4075">
        <v>85</v>
      </c>
      <c r="C4075" t="s">
        <v>56</v>
      </c>
      <c r="D4075">
        <v>5</v>
      </c>
      <c r="E4075">
        <v>100</v>
      </c>
      <c r="F4075" t="s">
        <v>1</v>
      </c>
      <c r="G4075" s="6">
        <v>45910</v>
      </c>
      <c r="H4075">
        <v>48</v>
      </c>
      <c r="I4075">
        <f>ROUND(CompilDonnées[[#This Row],[CultureDuration_days]]/7,0)</f>
        <v>7</v>
      </c>
      <c r="J4075">
        <v>2521</v>
      </c>
      <c r="K4075" t="str">
        <f>_xlfn.CONCAT(WEEKNUM(CompilDonnées[[#This Row],[PlantationDate]]), " ", YEAR(CompilDonnées[[#This Row],[PlantationDate]]))</f>
        <v>30 2025</v>
      </c>
      <c r="L4075" t="str">
        <f>CONCATENATE(MONTH(CompilDonnées[[#This Row],[PlantationDate]])," ", YEAR(CompilDonnées[[#This Row],[PlantationDate]]))</f>
        <v>7 2025</v>
      </c>
      <c r="M4075" t="str">
        <f>CONCATENATE(MONTH(CompilDonnées[[#This Row],[HarvestingDate]])," ", YEAR(CompilDonnées[[#This Row],[HarvestingDate]]))</f>
        <v>9 2025</v>
      </c>
      <c r="N4075">
        <f>_xlfn.NUMBERVALUE(CompilDonnées[[#This Row],[FarmID]]&amp;CompilDonnées[[#This Row],[ModuleNumber]]&amp;CompilDonnées[[#This Row],[PlantationDate]])</f>
        <v>85545862</v>
      </c>
      <c r="O4075" t="str">
        <f>CompilDonnées[[#This Row],[FarmID]]&amp;CompilDonnées[[#This Row],[ModuleNumber]]</f>
        <v>855</v>
      </c>
      <c r="P4075" t="str">
        <f>CompilDonnées[[#This Row],[Ref_Module]]&amp;CompilDonnées[[#This Row],[HarvestingDate]]</f>
        <v>85545910</v>
      </c>
    </row>
    <row r="4076" spans="1:16">
      <c r="A4076" s="5">
        <v>45862</v>
      </c>
      <c r="B4076">
        <v>89</v>
      </c>
      <c r="C4076" t="s">
        <v>67</v>
      </c>
      <c r="D4076">
        <v>1</v>
      </c>
      <c r="E4076">
        <v>100</v>
      </c>
      <c r="F4076" t="s">
        <v>1</v>
      </c>
      <c r="G4076" s="6">
        <v>45903</v>
      </c>
      <c r="H4076">
        <v>41</v>
      </c>
      <c r="I4076">
        <f>ROUND(CompilDonnées[[#This Row],[CultureDuration_days]]/7,0)</f>
        <v>6</v>
      </c>
      <c r="J4076">
        <v>2733</v>
      </c>
      <c r="K4076" t="str">
        <f>_xlfn.CONCAT(WEEKNUM(CompilDonnées[[#This Row],[PlantationDate]]), " ", YEAR(CompilDonnées[[#This Row],[PlantationDate]]))</f>
        <v>30 2025</v>
      </c>
      <c r="L4076" t="str">
        <f>CONCATENATE(MONTH(CompilDonnées[[#This Row],[PlantationDate]])," ", YEAR(CompilDonnées[[#This Row],[PlantationDate]]))</f>
        <v>7 2025</v>
      </c>
      <c r="M4076" t="str">
        <f>CONCATENATE(MONTH(CompilDonnées[[#This Row],[HarvestingDate]])," ", YEAR(CompilDonnées[[#This Row],[HarvestingDate]]))</f>
        <v>9 2025</v>
      </c>
      <c r="N4076">
        <f>_xlfn.NUMBERVALUE(CompilDonnées[[#This Row],[FarmID]]&amp;CompilDonnées[[#This Row],[ModuleNumber]]&amp;CompilDonnées[[#This Row],[PlantationDate]])</f>
        <v>89145862</v>
      </c>
      <c r="O4076" t="str">
        <f>CompilDonnées[[#This Row],[FarmID]]&amp;CompilDonnées[[#This Row],[ModuleNumber]]</f>
        <v>891</v>
      </c>
      <c r="P4076" t="str">
        <f>CompilDonnées[[#This Row],[Ref_Module]]&amp;CompilDonnées[[#This Row],[HarvestingDate]]</f>
        <v>89145903</v>
      </c>
    </row>
    <row r="4077" spans="1:16">
      <c r="A4077" s="5">
        <v>45862</v>
      </c>
      <c r="B4077">
        <v>90</v>
      </c>
      <c r="C4077" t="s">
        <v>72</v>
      </c>
      <c r="D4077">
        <v>2</v>
      </c>
      <c r="E4077">
        <v>100</v>
      </c>
      <c r="F4077" t="s">
        <v>1</v>
      </c>
      <c r="G4077" s="6">
        <v>45903</v>
      </c>
      <c r="H4077">
        <v>41</v>
      </c>
      <c r="I4077">
        <f>ROUND(CompilDonnées[[#This Row],[CultureDuration_days]]/7,0)</f>
        <v>6</v>
      </c>
      <c r="J4077">
        <v>2429</v>
      </c>
      <c r="K4077" t="str">
        <f>_xlfn.CONCAT(WEEKNUM(CompilDonnées[[#This Row],[PlantationDate]]), " ", YEAR(CompilDonnées[[#This Row],[PlantationDate]]))</f>
        <v>30 2025</v>
      </c>
      <c r="L4077" t="str">
        <f>CONCATENATE(MONTH(CompilDonnées[[#This Row],[PlantationDate]])," ", YEAR(CompilDonnées[[#This Row],[PlantationDate]]))</f>
        <v>7 2025</v>
      </c>
      <c r="M4077" t="str">
        <f>CONCATENATE(MONTH(CompilDonnées[[#This Row],[HarvestingDate]])," ", YEAR(CompilDonnées[[#This Row],[HarvestingDate]]))</f>
        <v>9 2025</v>
      </c>
      <c r="N4077">
        <f>_xlfn.NUMBERVALUE(CompilDonnées[[#This Row],[FarmID]]&amp;CompilDonnées[[#This Row],[ModuleNumber]]&amp;CompilDonnées[[#This Row],[PlantationDate]])</f>
        <v>90245862</v>
      </c>
      <c r="O4077" t="str">
        <f>CompilDonnées[[#This Row],[FarmID]]&amp;CompilDonnées[[#This Row],[ModuleNumber]]</f>
        <v>902</v>
      </c>
      <c r="P4077" t="str">
        <f>CompilDonnées[[#This Row],[Ref_Module]]&amp;CompilDonnées[[#This Row],[HarvestingDate]]</f>
        <v>90245903</v>
      </c>
    </row>
    <row r="4078" spans="1:16">
      <c r="A4078" s="5">
        <v>45862</v>
      </c>
      <c r="B4078">
        <v>94</v>
      </c>
      <c r="C4078" t="s">
        <v>40</v>
      </c>
      <c r="D4078">
        <v>2</v>
      </c>
      <c r="E4078">
        <v>100</v>
      </c>
      <c r="F4078" t="s">
        <v>1</v>
      </c>
      <c r="G4078" s="6">
        <v>45902</v>
      </c>
      <c r="H4078">
        <v>40</v>
      </c>
      <c r="I4078">
        <f>ROUND(CompilDonnées[[#This Row],[CultureDuration_days]]/7,0)</f>
        <v>6</v>
      </c>
      <c r="J4078">
        <v>3219</v>
      </c>
      <c r="K4078" t="str">
        <f>_xlfn.CONCAT(WEEKNUM(CompilDonnées[[#This Row],[PlantationDate]]), " ", YEAR(CompilDonnées[[#This Row],[PlantationDate]]))</f>
        <v>30 2025</v>
      </c>
      <c r="L4078" t="str">
        <f>CONCATENATE(MONTH(CompilDonnées[[#This Row],[PlantationDate]])," ", YEAR(CompilDonnées[[#This Row],[PlantationDate]]))</f>
        <v>7 2025</v>
      </c>
      <c r="M4078" t="str">
        <f>CONCATENATE(MONTH(CompilDonnées[[#This Row],[HarvestingDate]])," ", YEAR(CompilDonnées[[#This Row],[HarvestingDate]]))</f>
        <v>9 2025</v>
      </c>
      <c r="N4078">
        <f>_xlfn.NUMBERVALUE(CompilDonnées[[#This Row],[FarmID]]&amp;CompilDonnées[[#This Row],[ModuleNumber]]&amp;CompilDonnées[[#This Row],[PlantationDate]])</f>
        <v>94245862</v>
      </c>
      <c r="O4078" t="str">
        <f>CompilDonnées[[#This Row],[FarmID]]&amp;CompilDonnées[[#This Row],[ModuleNumber]]</f>
        <v>942</v>
      </c>
      <c r="P4078" t="str">
        <f>CompilDonnées[[#This Row],[Ref_Module]]&amp;CompilDonnées[[#This Row],[HarvestingDate]]</f>
        <v>94245902</v>
      </c>
    </row>
    <row r="4079" spans="1:16">
      <c r="A4079" s="5">
        <v>45862</v>
      </c>
      <c r="B4079">
        <v>93</v>
      </c>
      <c r="C4079" t="s">
        <v>10</v>
      </c>
      <c r="D4079">
        <v>1</v>
      </c>
      <c r="E4079">
        <v>100</v>
      </c>
      <c r="F4079" t="s">
        <v>1</v>
      </c>
      <c r="G4079" s="6">
        <v>45903</v>
      </c>
      <c r="H4079">
        <v>41</v>
      </c>
      <c r="I4079">
        <f>ROUND(CompilDonnées[[#This Row],[CultureDuration_days]]/7,0)</f>
        <v>6</v>
      </c>
      <c r="J4079">
        <v>2801</v>
      </c>
      <c r="K4079" t="str">
        <f>_xlfn.CONCAT(WEEKNUM(CompilDonnées[[#This Row],[PlantationDate]]), " ", YEAR(CompilDonnées[[#This Row],[PlantationDate]]))</f>
        <v>30 2025</v>
      </c>
      <c r="L4079" t="str">
        <f>CONCATENATE(MONTH(CompilDonnées[[#This Row],[PlantationDate]])," ", YEAR(CompilDonnées[[#This Row],[PlantationDate]]))</f>
        <v>7 2025</v>
      </c>
      <c r="M4079" t="str">
        <f>CONCATENATE(MONTH(CompilDonnées[[#This Row],[HarvestingDate]])," ", YEAR(CompilDonnées[[#This Row],[HarvestingDate]]))</f>
        <v>9 2025</v>
      </c>
      <c r="N4079">
        <f>_xlfn.NUMBERVALUE(CompilDonnées[[#This Row],[FarmID]]&amp;CompilDonnées[[#This Row],[ModuleNumber]]&amp;CompilDonnées[[#This Row],[PlantationDate]])</f>
        <v>93145862</v>
      </c>
      <c r="O4079" t="str">
        <f>CompilDonnées[[#This Row],[FarmID]]&amp;CompilDonnées[[#This Row],[ModuleNumber]]</f>
        <v>931</v>
      </c>
      <c r="P4079" t="str">
        <f>CompilDonnées[[#This Row],[Ref_Module]]&amp;CompilDonnées[[#This Row],[HarvestingDate]]</f>
        <v>93145903</v>
      </c>
    </row>
    <row r="4080" spans="1:16">
      <c r="A4080" s="5">
        <v>45862</v>
      </c>
      <c r="B4080">
        <v>93</v>
      </c>
      <c r="C4080" t="s">
        <v>10</v>
      </c>
      <c r="D4080">
        <v>6</v>
      </c>
      <c r="E4080">
        <v>100</v>
      </c>
      <c r="F4080" t="s">
        <v>1</v>
      </c>
      <c r="G4080" s="6">
        <v>45909</v>
      </c>
      <c r="H4080">
        <v>47</v>
      </c>
      <c r="I4080">
        <f>ROUND(CompilDonnées[[#This Row],[CultureDuration_days]]/7,0)</f>
        <v>7</v>
      </c>
      <c r="J4080">
        <v>4129</v>
      </c>
      <c r="K4080" t="str">
        <f>_xlfn.CONCAT(WEEKNUM(CompilDonnées[[#This Row],[PlantationDate]]), " ", YEAR(CompilDonnées[[#This Row],[PlantationDate]]))</f>
        <v>30 2025</v>
      </c>
      <c r="L4080" t="str">
        <f>CONCATENATE(MONTH(CompilDonnées[[#This Row],[PlantationDate]])," ", YEAR(CompilDonnées[[#This Row],[PlantationDate]]))</f>
        <v>7 2025</v>
      </c>
      <c r="M4080" t="str">
        <f>CONCATENATE(MONTH(CompilDonnées[[#This Row],[HarvestingDate]])," ", YEAR(CompilDonnées[[#This Row],[HarvestingDate]]))</f>
        <v>9 2025</v>
      </c>
      <c r="N4080">
        <f>_xlfn.NUMBERVALUE(CompilDonnées[[#This Row],[FarmID]]&amp;CompilDonnées[[#This Row],[ModuleNumber]]&amp;CompilDonnées[[#This Row],[PlantationDate]])</f>
        <v>93645862</v>
      </c>
      <c r="O4080" t="str">
        <f>CompilDonnées[[#This Row],[FarmID]]&amp;CompilDonnées[[#This Row],[ModuleNumber]]</f>
        <v>936</v>
      </c>
      <c r="P4080" t="str">
        <f>CompilDonnées[[#This Row],[Ref_Module]]&amp;CompilDonnées[[#This Row],[HarvestingDate]]</f>
        <v>93645909</v>
      </c>
    </row>
    <row r="4081" spans="1:16">
      <c r="A4081" s="5">
        <v>45862</v>
      </c>
      <c r="B4081">
        <v>92</v>
      </c>
      <c r="C4081" t="s">
        <v>66</v>
      </c>
      <c r="D4081">
        <v>4</v>
      </c>
      <c r="E4081">
        <v>100</v>
      </c>
      <c r="F4081" t="s">
        <v>1</v>
      </c>
      <c r="G4081" s="6">
        <v>45909</v>
      </c>
      <c r="H4081">
        <v>47</v>
      </c>
      <c r="I4081">
        <f>ROUND(CompilDonnées[[#This Row],[CultureDuration_days]]/7,0)</f>
        <v>7</v>
      </c>
      <c r="J4081">
        <v>3152</v>
      </c>
      <c r="K4081" t="str">
        <f>_xlfn.CONCAT(WEEKNUM(CompilDonnées[[#This Row],[PlantationDate]]), " ", YEAR(CompilDonnées[[#This Row],[PlantationDate]]))</f>
        <v>30 2025</v>
      </c>
      <c r="L4081" t="str">
        <f>CONCATENATE(MONTH(CompilDonnées[[#This Row],[PlantationDate]])," ", YEAR(CompilDonnées[[#This Row],[PlantationDate]]))</f>
        <v>7 2025</v>
      </c>
      <c r="M4081" t="str">
        <f>CONCATENATE(MONTH(CompilDonnées[[#This Row],[HarvestingDate]])," ", YEAR(CompilDonnées[[#This Row],[HarvestingDate]]))</f>
        <v>9 2025</v>
      </c>
      <c r="N4081">
        <f>_xlfn.NUMBERVALUE(CompilDonnées[[#This Row],[FarmID]]&amp;CompilDonnées[[#This Row],[ModuleNumber]]&amp;CompilDonnées[[#This Row],[PlantationDate]])</f>
        <v>92445862</v>
      </c>
      <c r="O4081" t="str">
        <f>CompilDonnées[[#This Row],[FarmID]]&amp;CompilDonnées[[#This Row],[ModuleNumber]]</f>
        <v>924</v>
      </c>
      <c r="P4081" t="str">
        <f>CompilDonnées[[#This Row],[Ref_Module]]&amp;CompilDonnées[[#This Row],[HarvestingDate]]</f>
        <v>92445909</v>
      </c>
    </row>
    <row r="4082" spans="1:16">
      <c r="A4082" s="5">
        <v>45862</v>
      </c>
      <c r="B4082">
        <v>97</v>
      </c>
      <c r="C4082" t="s">
        <v>78</v>
      </c>
      <c r="D4082">
        <v>6</v>
      </c>
      <c r="E4082">
        <v>100</v>
      </c>
      <c r="F4082" t="s">
        <v>1</v>
      </c>
      <c r="G4082" s="6">
        <v>45908</v>
      </c>
      <c r="H4082">
        <v>46</v>
      </c>
      <c r="I4082">
        <f>ROUND(CompilDonnées[[#This Row],[CultureDuration_days]]/7,0)</f>
        <v>7</v>
      </c>
      <c r="J4082">
        <v>2579</v>
      </c>
      <c r="K4082" t="str">
        <f>_xlfn.CONCAT(WEEKNUM(CompilDonnées[[#This Row],[PlantationDate]]), " ", YEAR(CompilDonnées[[#This Row],[PlantationDate]]))</f>
        <v>30 2025</v>
      </c>
      <c r="L4082" t="str">
        <f>CONCATENATE(MONTH(CompilDonnées[[#This Row],[PlantationDate]])," ", YEAR(CompilDonnées[[#This Row],[PlantationDate]]))</f>
        <v>7 2025</v>
      </c>
      <c r="M4082" t="str">
        <f>CONCATENATE(MONTH(CompilDonnées[[#This Row],[HarvestingDate]])," ", YEAR(CompilDonnées[[#This Row],[HarvestingDate]]))</f>
        <v>9 2025</v>
      </c>
      <c r="N4082">
        <f>_xlfn.NUMBERVALUE(CompilDonnées[[#This Row],[FarmID]]&amp;CompilDonnées[[#This Row],[ModuleNumber]]&amp;CompilDonnées[[#This Row],[PlantationDate]])</f>
        <v>97645862</v>
      </c>
      <c r="O4082" t="str">
        <f>CompilDonnées[[#This Row],[FarmID]]&amp;CompilDonnées[[#This Row],[ModuleNumber]]</f>
        <v>976</v>
      </c>
      <c r="P4082" t="str">
        <f>CompilDonnées[[#This Row],[Ref_Module]]&amp;CompilDonnées[[#This Row],[HarvestingDate]]</f>
        <v>97645908</v>
      </c>
    </row>
    <row r="4083" spans="1:16">
      <c r="A4083" s="5">
        <v>45862</v>
      </c>
      <c r="B4083">
        <v>96</v>
      </c>
      <c r="C4083" t="s">
        <v>125</v>
      </c>
      <c r="D4083">
        <v>3</v>
      </c>
      <c r="E4083">
        <v>100</v>
      </c>
      <c r="F4083" t="s">
        <v>1</v>
      </c>
      <c r="G4083" s="6">
        <v>45909</v>
      </c>
      <c r="H4083">
        <v>47</v>
      </c>
      <c r="I4083">
        <f>ROUND(CompilDonnées[[#This Row],[CultureDuration_days]]/7,0)</f>
        <v>7</v>
      </c>
      <c r="J4083">
        <v>2068</v>
      </c>
      <c r="K4083" t="str">
        <f>_xlfn.CONCAT(WEEKNUM(CompilDonnées[[#This Row],[PlantationDate]]), " ", YEAR(CompilDonnées[[#This Row],[PlantationDate]]))</f>
        <v>30 2025</v>
      </c>
      <c r="L4083" t="str">
        <f>CONCATENATE(MONTH(CompilDonnées[[#This Row],[PlantationDate]])," ", YEAR(CompilDonnées[[#This Row],[PlantationDate]]))</f>
        <v>7 2025</v>
      </c>
      <c r="M4083" t="str">
        <f>CONCATENATE(MONTH(CompilDonnées[[#This Row],[HarvestingDate]])," ", YEAR(CompilDonnées[[#This Row],[HarvestingDate]]))</f>
        <v>9 2025</v>
      </c>
      <c r="N4083">
        <f>_xlfn.NUMBERVALUE(CompilDonnées[[#This Row],[FarmID]]&amp;CompilDonnées[[#This Row],[ModuleNumber]]&amp;CompilDonnées[[#This Row],[PlantationDate]])</f>
        <v>96345862</v>
      </c>
      <c r="O4083" t="str">
        <f>CompilDonnées[[#This Row],[FarmID]]&amp;CompilDonnées[[#This Row],[ModuleNumber]]</f>
        <v>963</v>
      </c>
      <c r="P4083" t="str">
        <f>CompilDonnées[[#This Row],[Ref_Module]]&amp;CompilDonnées[[#This Row],[HarvestingDate]]</f>
        <v>96345909</v>
      </c>
    </row>
    <row r="4084" spans="1:16">
      <c r="A4084" s="5">
        <v>45862</v>
      </c>
      <c r="B4084">
        <v>95</v>
      </c>
      <c r="C4084" t="s">
        <v>90</v>
      </c>
      <c r="D4084">
        <v>6</v>
      </c>
      <c r="E4084">
        <v>100</v>
      </c>
      <c r="F4084" t="s">
        <v>1</v>
      </c>
      <c r="G4084" s="6">
        <v>45909</v>
      </c>
      <c r="H4084">
        <v>47</v>
      </c>
      <c r="I4084">
        <f>ROUND(CompilDonnées[[#This Row],[CultureDuration_days]]/7,0)</f>
        <v>7</v>
      </c>
      <c r="J4084">
        <v>2500</v>
      </c>
      <c r="K4084" t="str">
        <f>_xlfn.CONCAT(WEEKNUM(CompilDonnées[[#This Row],[PlantationDate]]), " ", YEAR(CompilDonnées[[#This Row],[PlantationDate]]))</f>
        <v>30 2025</v>
      </c>
      <c r="L4084" t="str">
        <f>CONCATENATE(MONTH(CompilDonnées[[#This Row],[PlantationDate]])," ", YEAR(CompilDonnées[[#This Row],[PlantationDate]]))</f>
        <v>7 2025</v>
      </c>
      <c r="M4084" t="str">
        <f>CONCATENATE(MONTH(CompilDonnées[[#This Row],[HarvestingDate]])," ", YEAR(CompilDonnées[[#This Row],[HarvestingDate]]))</f>
        <v>9 2025</v>
      </c>
      <c r="N4084">
        <f>_xlfn.NUMBERVALUE(CompilDonnées[[#This Row],[FarmID]]&amp;CompilDonnées[[#This Row],[ModuleNumber]]&amp;CompilDonnées[[#This Row],[PlantationDate]])</f>
        <v>95645862</v>
      </c>
      <c r="O4084" t="str">
        <f>CompilDonnées[[#This Row],[FarmID]]&amp;CompilDonnées[[#This Row],[ModuleNumber]]</f>
        <v>956</v>
      </c>
      <c r="P4084" t="str">
        <f>CompilDonnées[[#This Row],[Ref_Module]]&amp;CompilDonnées[[#This Row],[HarvestingDate]]</f>
        <v>95645909</v>
      </c>
    </row>
    <row r="4085" spans="1:16">
      <c r="A4085" s="5">
        <v>45862</v>
      </c>
      <c r="B4085">
        <v>105</v>
      </c>
      <c r="C4085" t="s">
        <v>12</v>
      </c>
      <c r="D4085">
        <v>6</v>
      </c>
      <c r="E4085">
        <v>100</v>
      </c>
      <c r="F4085" t="s">
        <v>1</v>
      </c>
      <c r="G4085" s="6">
        <v>45908</v>
      </c>
      <c r="H4085">
        <v>46</v>
      </c>
      <c r="I4085">
        <f>ROUND(CompilDonnées[[#This Row],[CultureDuration_days]]/7,0)</f>
        <v>7</v>
      </c>
      <c r="J4085">
        <v>2395</v>
      </c>
      <c r="K4085" t="str">
        <f>_xlfn.CONCAT(WEEKNUM(CompilDonnées[[#This Row],[PlantationDate]]), " ", YEAR(CompilDonnées[[#This Row],[PlantationDate]]))</f>
        <v>30 2025</v>
      </c>
      <c r="L4085" t="str">
        <f>CONCATENATE(MONTH(CompilDonnées[[#This Row],[PlantationDate]])," ", YEAR(CompilDonnées[[#This Row],[PlantationDate]]))</f>
        <v>7 2025</v>
      </c>
      <c r="M4085" t="str">
        <f>CONCATENATE(MONTH(CompilDonnées[[#This Row],[HarvestingDate]])," ", YEAR(CompilDonnées[[#This Row],[HarvestingDate]]))</f>
        <v>9 2025</v>
      </c>
      <c r="N4085">
        <f>_xlfn.NUMBERVALUE(CompilDonnées[[#This Row],[FarmID]]&amp;CompilDonnées[[#This Row],[ModuleNumber]]&amp;CompilDonnées[[#This Row],[PlantationDate]])</f>
        <v>105645862</v>
      </c>
      <c r="O4085" t="str">
        <f>CompilDonnées[[#This Row],[FarmID]]&amp;CompilDonnées[[#This Row],[ModuleNumber]]</f>
        <v>1056</v>
      </c>
      <c r="P4085" t="str">
        <f>CompilDonnées[[#This Row],[Ref_Module]]&amp;CompilDonnées[[#This Row],[HarvestingDate]]</f>
        <v>105645908</v>
      </c>
    </row>
    <row r="4086" spans="1:16">
      <c r="A4086" s="5">
        <v>45862</v>
      </c>
      <c r="B4086">
        <v>104</v>
      </c>
      <c r="C4086" t="s">
        <v>91</v>
      </c>
      <c r="D4086">
        <v>1</v>
      </c>
      <c r="E4086">
        <v>100</v>
      </c>
      <c r="F4086" t="s">
        <v>1</v>
      </c>
      <c r="G4086" s="6">
        <v>45908</v>
      </c>
      <c r="H4086">
        <v>46</v>
      </c>
      <c r="I4086">
        <f>ROUND(CompilDonnées[[#This Row],[CultureDuration_days]]/7,0)</f>
        <v>7</v>
      </c>
      <c r="J4086">
        <v>1711</v>
      </c>
      <c r="K4086" t="str">
        <f>_xlfn.CONCAT(WEEKNUM(CompilDonnées[[#This Row],[PlantationDate]]), " ", YEAR(CompilDonnées[[#This Row],[PlantationDate]]))</f>
        <v>30 2025</v>
      </c>
      <c r="L4086" t="str">
        <f>CONCATENATE(MONTH(CompilDonnées[[#This Row],[PlantationDate]])," ", YEAR(CompilDonnées[[#This Row],[PlantationDate]]))</f>
        <v>7 2025</v>
      </c>
      <c r="M4086" t="str">
        <f>CONCATENATE(MONTH(CompilDonnées[[#This Row],[HarvestingDate]])," ", YEAR(CompilDonnées[[#This Row],[HarvestingDate]]))</f>
        <v>9 2025</v>
      </c>
      <c r="N4086">
        <f>_xlfn.NUMBERVALUE(CompilDonnées[[#This Row],[FarmID]]&amp;CompilDonnées[[#This Row],[ModuleNumber]]&amp;CompilDonnées[[#This Row],[PlantationDate]])</f>
        <v>104145862</v>
      </c>
      <c r="O4086" t="str">
        <f>CompilDonnées[[#This Row],[FarmID]]&amp;CompilDonnées[[#This Row],[ModuleNumber]]</f>
        <v>1041</v>
      </c>
      <c r="P4086" t="str">
        <f>CompilDonnées[[#This Row],[Ref_Module]]&amp;CompilDonnées[[#This Row],[HarvestingDate]]</f>
        <v>104145908</v>
      </c>
    </row>
    <row r="4087" spans="1:16">
      <c r="A4087" s="5">
        <v>45862</v>
      </c>
      <c r="B4087">
        <v>98</v>
      </c>
      <c r="C4087" t="s">
        <v>79</v>
      </c>
      <c r="D4087">
        <v>2</v>
      </c>
      <c r="E4087">
        <v>100</v>
      </c>
      <c r="F4087" t="s">
        <v>1</v>
      </c>
      <c r="G4087" s="6">
        <v>45908</v>
      </c>
      <c r="H4087">
        <v>46</v>
      </c>
      <c r="I4087">
        <f>ROUND(CompilDonnées[[#This Row],[CultureDuration_days]]/7,0)</f>
        <v>7</v>
      </c>
      <c r="J4087">
        <v>2410</v>
      </c>
      <c r="K4087" t="str">
        <f>_xlfn.CONCAT(WEEKNUM(CompilDonnées[[#This Row],[PlantationDate]]), " ", YEAR(CompilDonnées[[#This Row],[PlantationDate]]))</f>
        <v>30 2025</v>
      </c>
      <c r="L4087" t="str">
        <f>CONCATENATE(MONTH(CompilDonnées[[#This Row],[PlantationDate]])," ", YEAR(CompilDonnées[[#This Row],[PlantationDate]]))</f>
        <v>7 2025</v>
      </c>
      <c r="M4087" t="str">
        <f>CONCATENATE(MONTH(CompilDonnées[[#This Row],[HarvestingDate]])," ", YEAR(CompilDonnées[[#This Row],[HarvestingDate]]))</f>
        <v>9 2025</v>
      </c>
      <c r="N4087">
        <f>_xlfn.NUMBERVALUE(CompilDonnées[[#This Row],[FarmID]]&amp;CompilDonnées[[#This Row],[ModuleNumber]]&amp;CompilDonnées[[#This Row],[PlantationDate]])</f>
        <v>98245862</v>
      </c>
      <c r="O4087" t="str">
        <f>CompilDonnées[[#This Row],[FarmID]]&amp;CompilDonnées[[#This Row],[ModuleNumber]]</f>
        <v>982</v>
      </c>
      <c r="P4087" t="str">
        <f>CompilDonnées[[#This Row],[Ref_Module]]&amp;CompilDonnées[[#This Row],[HarvestingDate]]</f>
        <v>98245908</v>
      </c>
    </row>
    <row r="4088" spans="1:16">
      <c r="A4088" s="5">
        <v>45862</v>
      </c>
      <c r="B4088">
        <v>38</v>
      </c>
      <c r="C4088" t="s">
        <v>34</v>
      </c>
      <c r="D4088">
        <v>4</v>
      </c>
      <c r="E4088">
        <v>100</v>
      </c>
      <c r="F4088" t="s">
        <v>1</v>
      </c>
      <c r="G4088" s="6">
        <v>45901</v>
      </c>
      <c r="H4088">
        <v>39</v>
      </c>
      <c r="I4088">
        <f>ROUND(CompilDonnées[[#This Row],[CultureDuration_days]]/7,0)</f>
        <v>6</v>
      </c>
      <c r="J4088">
        <v>3567</v>
      </c>
      <c r="K4088" t="str">
        <f>_xlfn.CONCAT(WEEKNUM(CompilDonnées[[#This Row],[PlantationDate]]), " ", YEAR(CompilDonnées[[#This Row],[PlantationDate]]))</f>
        <v>30 2025</v>
      </c>
      <c r="L4088" t="str">
        <f>CONCATENATE(MONTH(CompilDonnées[[#This Row],[PlantationDate]])," ", YEAR(CompilDonnées[[#This Row],[PlantationDate]]))</f>
        <v>7 2025</v>
      </c>
      <c r="M4088" t="str">
        <f>CONCATENATE(MONTH(CompilDonnées[[#This Row],[HarvestingDate]])," ", YEAR(CompilDonnées[[#This Row],[HarvestingDate]]))</f>
        <v>9 2025</v>
      </c>
      <c r="N4088">
        <f>_xlfn.NUMBERVALUE(CompilDonnées[[#This Row],[FarmID]]&amp;CompilDonnées[[#This Row],[ModuleNumber]]&amp;CompilDonnées[[#This Row],[PlantationDate]])</f>
        <v>38445862</v>
      </c>
      <c r="O4088" t="str">
        <f>CompilDonnées[[#This Row],[FarmID]]&amp;CompilDonnées[[#This Row],[ModuleNumber]]</f>
        <v>384</v>
      </c>
      <c r="P4088" t="str">
        <f>CompilDonnées[[#This Row],[Ref_Module]]&amp;CompilDonnées[[#This Row],[HarvestingDate]]</f>
        <v>38445901</v>
      </c>
    </row>
    <row r="4089" spans="1:16">
      <c r="A4089" s="5">
        <v>45862</v>
      </c>
      <c r="B4089">
        <v>41</v>
      </c>
      <c r="C4089" t="s">
        <v>70</v>
      </c>
      <c r="D4089">
        <v>4</v>
      </c>
      <c r="E4089">
        <v>100</v>
      </c>
      <c r="F4089" t="s">
        <v>1</v>
      </c>
      <c r="G4089" s="6">
        <v>45910</v>
      </c>
      <c r="H4089">
        <v>48</v>
      </c>
      <c r="I4089">
        <f>ROUND(CompilDonnées[[#This Row],[CultureDuration_days]]/7,0)</f>
        <v>7</v>
      </c>
      <c r="J4089">
        <v>1896</v>
      </c>
      <c r="K4089" t="str">
        <f>_xlfn.CONCAT(WEEKNUM(CompilDonnées[[#This Row],[PlantationDate]]), " ", YEAR(CompilDonnées[[#This Row],[PlantationDate]]))</f>
        <v>30 2025</v>
      </c>
      <c r="L4089" t="str">
        <f>CONCATENATE(MONTH(CompilDonnées[[#This Row],[PlantationDate]])," ", YEAR(CompilDonnées[[#This Row],[PlantationDate]]))</f>
        <v>7 2025</v>
      </c>
      <c r="M4089" t="str">
        <f>CONCATENATE(MONTH(CompilDonnées[[#This Row],[HarvestingDate]])," ", YEAR(CompilDonnées[[#This Row],[HarvestingDate]]))</f>
        <v>9 2025</v>
      </c>
      <c r="N4089">
        <f>_xlfn.NUMBERVALUE(CompilDonnées[[#This Row],[FarmID]]&amp;CompilDonnées[[#This Row],[ModuleNumber]]&amp;CompilDonnées[[#This Row],[PlantationDate]])</f>
        <v>41445862</v>
      </c>
      <c r="O4089" t="str">
        <f>CompilDonnées[[#This Row],[FarmID]]&amp;CompilDonnées[[#This Row],[ModuleNumber]]</f>
        <v>414</v>
      </c>
      <c r="P4089" t="str">
        <f>CompilDonnées[[#This Row],[Ref_Module]]&amp;CompilDonnées[[#This Row],[HarvestingDate]]</f>
        <v>41445910</v>
      </c>
    </row>
    <row r="4090" spans="1:16">
      <c r="A4090" s="5">
        <v>45862</v>
      </c>
      <c r="B4090">
        <v>42</v>
      </c>
      <c r="C4090" t="s">
        <v>2</v>
      </c>
      <c r="D4090">
        <v>2</v>
      </c>
      <c r="E4090">
        <v>100</v>
      </c>
      <c r="F4090" t="s">
        <v>1</v>
      </c>
      <c r="G4090" s="6">
        <v>45901</v>
      </c>
      <c r="H4090">
        <v>39</v>
      </c>
      <c r="I4090">
        <f>ROUND(CompilDonnées[[#This Row],[CultureDuration_days]]/7,0)</f>
        <v>6</v>
      </c>
      <c r="J4090">
        <v>2039</v>
      </c>
      <c r="K4090" t="str">
        <f>_xlfn.CONCAT(WEEKNUM(CompilDonnées[[#This Row],[PlantationDate]]), " ", YEAR(CompilDonnées[[#This Row],[PlantationDate]]))</f>
        <v>30 2025</v>
      </c>
      <c r="L4090" t="str">
        <f>CONCATENATE(MONTH(CompilDonnées[[#This Row],[PlantationDate]])," ", YEAR(CompilDonnées[[#This Row],[PlantationDate]]))</f>
        <v>7 2025</v>
      </c>
      <c r="M4090" t="str">
        <f>CONCATENATE(MONTH(CompilDonnées[[#This Row],[HarvestingDate]])," ", YEAR(CompilDonnées[[#This Row],[HarvestingDate]]))</f>
        <v>9 2025</v>
      </c>
      <c r="N4090">
        <f>_xlfn.NUMBERVALUE(CompilDonnées[[#This Row],[FarmID]]&amp;CompilDonnées[[#This Row],[ModuleNumber]]&amp;CompilDonnées[[#This Row],[PlantationDate]])</f>
        <v>42245862</v>
      </c>
      <c r="O4090" t="str">
        <f>CompilDonnées[[#This Row],[FarmID]]&amp;CompilDonnées[[#This Row],[ModuleNumber]]</f>
        <v>422</v>
      </c>
      <c r="P4090" t="str">
        <f>CompilDonnées[[#This Row],[Ref_Module]]&amp;CompilDonnées[[#This Row],[HarvestingDate]]</f>
        <v>42245901</v>
      </c>
    </row>
    <row r="4091" spans="1:16">
      <c r="A4091" s="5">
        <v>45862</v>
      </c>
      <c r="B4091">
        <v>2</v>
      </c>
      <c r="C4091" t="s">
        <v>119</v>
      </c>
      <c r="D4091">
        <v>2</v>
      </c>
      <c r="E4091">
        <v>100</v>
      </c>
      <c r="F4091" t="s">
        <v>1</v>
      </c>
      <c r="G4091" s="6">
        <v>45911</v>
      </c>
      <c r="H4091">
        <v>49</v>
      </c>
      <c r="I4091">
        <f>ROUND(CompilDonnées[[#This Row],[CultureDuration_days]]/7,0)</f>
        <v>7</v>
      </c>
      <c r="J4091">
        <v>2968</v>
      </c>
      <c r="K4091" t="str">
        <f>_xlfn.CONCAT(WEEKNUM(CompilDonnées[[#This Row],[PlantationDate]]), " ", YEAR(CompilDonnées[[#This Row],[PlantationDate]]))</f>
        <v>30 2025</v>
      </c>
      <c r="L4091" t="str">
        <f>CONCATENATE(MONTH(CompilDonnées[[#This Row],[PlantationDate]])," ", YEAR(CompilDonnées[[#This Row],[PlantationDate]]))</f>
        <v>7 2025</v>
      </c>
      <c r="M4091" t="str">
        <f>CONCATENATE(MONTH(CompilDonnées[[#This Row],[HarvestingDate]])," ", YEAR(CompilDonnées[[#This Row],[HarvestingDate]]))</f>
        <v>9 2025</v>
      </c>
      <c r="N4091">
        <f>_xlfn.NUMBERVALUE(CompilDonnées[[#This Row],[FarmID]]&amp;CompilDonnées[[#This Row],[ModuleNumber]]&amp;CompilDonnées[[#This Row],[PlantationDate]])</f>
        <v>2245862</v>
      </c>
      <c r="O4091" t="str">
        <f>CompilDonnées[[#This Row],[FarmID]]&amp;CompilDonnées[[#This Row],[ModuleNumber]]</f>
        <v>22</v>
      </c>
      <c r="P4091" t="str">
        <f>CompilDonnées[[#This Row],[Ref_Module]]&amp;CompilDonnées[[#This Row],[HarvestingDate]]</f>
        <v>2245911</v>
      </c>
    </row>
    <row r="4092" spans="1:16">
      <c r="A4092" s="5">
        <v>45862</v>
      </c>
      <c r="B4092">
        <v>7</v>
      </c>
      <c r="C4092" t="s">
        <v>50</v>
      </c>
      <c r="D4092">
        <v>1</v>
      </c>
      <c r="E4092">
        <v>100</v>
      </c>
      <c r="F4092" t="s">
        <v>1</v>
      </c>
      <c r="G4092" s="6">
        <v>45911</v>
      </c>
      <c r="H4092">
        <v>49</v>
      </c>
      <c r="I4092">
        <f>ROUND(CompilDonnées[[#This Row],[CultureDuration_days]]/7,0)</f>
        <v>7</v>
      </c>
      <c r="J4092">
        <v>2292</v>
      </c>
      <c r="K4092" t="str">
        <f>_xlfn.CONCAT(WEEKNUM(CompilDonnées[[#This Row],[PlantationDate]]), " ", YEAR(CompilDonnées[[#This Row],[PlantationDate]]))</f>
        <v>30 2025</v>
      </c>
      <c r="L4092" t="str">
        <f>CONCATENATE(MONTH(CompilDonnées[[#This Row],[PlantationDate]])," ", YEAR(CompilDonnées[[#This Row],[PlantationDate]]))</f>
        <v>7 2025</v>
      </c>
      <c r="M4092" t="str">
        <f>CONCATENATE(MONTH(CompilDonnées[[#This Row],[HarvestingDate]])," ", YEAR(CompilDonnées[[#This Row],[HarvestingDate]]))</f>
        <v>9 2025</v>
      </c>
      <c r="N4092">
        <f>_xlfn.NUMBERVALUE(CompilDonnées[[#This Row],[FarmID]]&amp;CompilDonnées[[#This Row],[ModuleNumber]]&amp;CompilDonnées[[#This Row],[PlantationDate]])</f>
        <v>7145862</v>
      </c>
      <c r="O4092" t="str">
        <f>CompilDonnées[[#This Row],[FarmID]]&amp;CompilDonnées[[#This Row],[ModuleNumber]]</f>
        <v>71</v>
      </c>
      <c r="P4092" t="str">
        <f>CompilDonnées[[#This Row],[Ref_Module]]&amp;CompilDonnées[[#This Row],[HarvestingDate]]</f>
        <v>7145911</v>
      </c>
    </row>
    <row r="4093" spans="1:16">
      <c r="A4093" s="5">
        <v>45862</v>
      </c>
      <c r="B4093">
        <v>62</v>
      </c>
      <c r="C4093" t="s">
        <v>124</v>
      </c>
      <c r="D4093">
        <v>4</v>
      </c>
      <c r="E4093">
        <v>100</v>
      </c>
      <c r="F4093" t="s">
        <v>1</v>
      </c>
      <c r="G4093" s="6">
        <v>45902</v>
      </c>
      <c r="H4093">
        <v>40</v>
      </c>
      <c r="I4093">
        <f>ROUND(CompilDonnées[[#This Row],[CultureDuration_days]]/7,0)</f>
        <v>6</v>
      </c>
      <c r="J4093">
        <v>2113</v>
      </c>
      <c r="K4093" t="str">
        <f>_xlfn.CONCAT(WEEKNUM(CompilDonnées[[#This Row],[PlantationDate]]), " ", YEAR(CompilDonnées[[#This Row],[PlantationDate]]))</f>
        <v>30 2025</v>
      </c>
      <c r="L4093" t="str">
        <f>CONCATENATE(MONTH(CompilDonnées[[#This Row],[PlantationDate]])," ", YEAR(CompilDonnées[[#This Row],[PlantationDate]]))</f>
        <v>7 2025</v>
      </c>
      <c r="M4093" t="str">
        <f>CONCATENATE(MONTH(CompilDonnées[[#This Row],[HarvestingDate]])," ", YEAR(CompilDonnées[[#This Row],[HarvestingDate]]))</f>
        <v>9 2025</v>
      </c>
      <c r="N4093">
        <f>_xlfn.NUMBERVALUE(CompilDonnées[[#This Row],[FarmID]]&amp;CompilDonnées[[#This Row],[ModuleNumber]]&amp;CompilDonnées[[#This Row],[PlantationDate]])</f>
        <v>62445862</v>
      </c>
      <c r="O4093" t="str">
        <f>CompilDonnées[[#This Row],[FarmID]]&amp;CompilDonnées[[#This Row],[ModuleNumber]]</f>
        <v>624</v>
      </c>
      <c r="P4093" t="str">
        <f>CompilDonnées[[#This Row],[Ref_Module]]&amp;CompilDonnées[[#This Row],[HarvestingDate]]</f>
        <v>62445902</v>
      </c>
    </row>
    <row r="4094" spans="1:16">
      <c r="A4094" s="5">
        <v>45862</v>
      </c>
      <c r="B4094">
        <v>1</v>
      </c>
      <c r="C4094" t="s">
        <v>111</v>
      </c>
      <c r="D4094">
        <v>4</v>
      </c>
      <c r="E4094">
        <v>100</v>
      </c>
      <c r="F4094" t="s">
        <v>1</v>
      </c>
      <c r="G4094" s="6">
        <v>45901</v>
      </c>
      <c r="H4094">
        <v>39</v>
      </c>
      <c r="I4094">
        <f>ROUND(CompilDonnées[[#This Row],[CultureDuration_days]]/7,0)</f>
        <v>6</v>
      </c>
      <c r="J4094">
        <v>3434</v>
      </c>
      <c r="K4094" t="str">
        <f>_xlfn.CONCAT(WEEKNUM(CompilDonnées[[#This Row],[PlantationDate]]), " ", YEAR(CompilDonnées[[#This Row],[PlantationDate]]))</f>
        <v>30 2025</v>
      </c>
      <c r="L4094" t="str">
        <f>CONCATENATE(MONTH(CompilDonnées[[#This Row],[PlantationDate]])," ", YEAR(CompilDonnées[[#This Row],[PlantationDate]]))</f>
        <v>7 2025</v>
      </c>
      <c r="M4094" t="str">
        <f>CONCATENATE(MONTH(CompilDonnées[[#This Row],[HarvestingDate]])," ", YEAR(CompilDonnées[[#This Row],[HarvestingDate]]))</f>
        <v>9 2025</v>
      </c>
      <c r="N4094">
        <f>_xlfn.NUMBERVALUE(CompilDonnées[[#This Row],[FarmID]]&amp;CompilDonnées[[#This Row],[ModuleNumber]]&amp;CompilDonnées[[#This Row],[PlantationDate]])</f>
        <v>1445862</v>
      </c>
      <c r="O4094" t="str">
        <f>CompilDonnées[[#This Row],[FarmID]]&amp;CompilDonnées[[#This Row],[ModuleNumber]]</f>
        <v>14</v>
      </c>
      <c r="P4094" t="str">
        <f>CompilDonnées[[#This Row],[Ref_Module]]&amp;CompilDonnées[[#This Row],[HarvestingDate]]</f>
        <v>1445901</v>
      </c>
    </row>
    <row r="4095" spans="1:16">
      <c r="A4095" s="5">
        <v>45862</v>
      </c>
      <c r="B4095">
        <v>122</v>
      </c>
      <c r="C4095" t="s">
        <v>122</v>
      </c>
      <c r="D4095">
        <v>2</v>
      </c>
      <c r="E4095">
        <v>100</v>
      </c>
      <c r="F4095" t="s">
        <v>1</v>
      </c>
      <c r="G4095" s="6">
        <v>45904</v>
      </c>
      <c r="H4095">
        <v>42</v>
      </c>
      <c r="I4095">
        <f>ROUND(CompilDonnées[[#This Row],[CultureDuration_days]]/7,0)</f>
        <v>6</v>
      </c>
      <c r="J4095">
        <v>1894</v>
      </c>
      <c r="K4095" t="str">
        <f>_xlfn.CONCAT(WEEKNUM(CompilDonnées[[#This Row],[PlantationDate]]), " ", YEAR(CompilDonnées[[#This Row],[PlantationDate]]))</f>
        <v>30 2025</v>
      </c>
      <c r="L4095" t="str">
        <f>CONCATENATE(MONTH(CompilDonnées[[#This Row],[PlantationDate]])," ", YEAR(CompilDonnées[[#This Row],[PlantationDate]]))</f>
        <v>7 2025</v>
      </c>
      <c r="M4095" t="str">
        <f>CONCATENATE(MONTH(CompilDonnées[[#This Row],[HarvestingDate]])," ", YEAR(CompilDonnées[[#This Row],[HarvestingDate]]))</f>
        <v>9 2025</v>
      </c>
      <c r="N4095">
        <f>_xlfn.NUMBERVALUE(CompilDonnées[[#This Row],[FarmID]]&amp;CompilDonnées[[#This Row],[ModuleNumber]]&amp;CompilDonnées[[#This Row],[PlantationDate]])</f>
        <v>122245862</v>
      </c>
      <c r="O4095" t="str">
        <f>CompilDonnées[[#This Row],[FarmID]]&amp;CompilDonnées[[#This Row],[ModuleNumber]]</f>
        <v>1222</v>
      </c>
      <c r="P4095" t="str">
        <f>CompilDonnées[[#This Row],[Ref_Module]]&amp;CompilDonnées[[#This Row],[HarvestingDate]]</f>
        <v>122245904</v>
      </c>
    </row>
    <row r="4096" spans="1:16">
      <c r="A4096" s="5">
        <v>45862</v>
      </c>
      <c r="B4096">
        <v>126</v>
      </c>
      <c r="C4096" t="s">
        <v>52</v>
      </c>
      <c r="D4096">
        <v>4</v>
      </c>
      <c r="E4096">
        <v>100</v>
      </c>
      <c r="F4096" t="s">
        <v>1</v>
      </c>
      <c r="G4096" s="6">
        <v>45908</v>
      </c>
      <c r="H4096">
        <v>46</v>
      </c>
      <c r="I4096">
        <f>ROUND(CompilDonnées[[#This Row],[CultureDuration_days]]/7,0)</f>
        <v>7</v>
      </c>
      <c r="J4096">
        <v>4153</v>
      </c>
      <c r="K4096" t="str">
        <f>_xlfn.CONCAT(WEEKNUM(CompilDonnées[[#This Row],[PlantationDate]]), " ", YEAR(CompilDonnées[[#This Row],[PlantationDate]]))</f>
        <v>30 2025</v>
      </c>
      <c r="L4096" t="str">
        <f>CONCATENATE(MONTH(CompilDonnées[[#This Row],[PlantationDate]])," ", YEAR(CompilDonnées[[#This Row],[PlantationDate]]))</f>
        <v>7 2025</v>
      </c>
      <c r="M4096" t="str">
        <f>CONCATENATE(MONTH(CompilDonnées[[#This Row],[HarvestingDate]])," ", YEAR(CompilDonnées[[#This Row],[HarvestingDate]]))</f>
        <v>9 2025</v>
      </c>
      <c r="N4096">
        <f>_xlfn.NUMBERVALUE(CompilDonnées[[#This Row],[FarmID]]&amp;CompilDonnées[[#This Row],[ModuleNumber]]&amp;CompilDonnées[[#This Row],[PlantationDate]])</f>
        <v>126445862</v>
      </c>
      <c r="O4096" t="str">
        <f>CompilDonnées[[#This Row],[FarmID]]&amp;CompilDonnées[[#This Row],[ModuleNumber]]</f>
        <v>1264</v>
      </c>
      <c r="P4096" t="str">
        <f>CompilDonnées[[#This Row],[Ref_Module]]&amp;CompilDonnées[[#This Row],[HarvestingDate]]</f>
        <v>126445908</v>
      </c>
    </row>
    <row r="4097" spans="1:16">
      <c r="A4097" s="5">
        <v>45862</v>
      </c>
      <c r="B4097">
        <v>120</v>
      </c>
      <c r="C4097" t="s">
        <v>100</v>
      </c>
      <c r="D4097">
        <v>1</v>
      </c>
      <c r="E4097">
        <v>100</v>
      </c>
      <c r="F4097" t="s">
        <v>1</v>
      </c>
      <c r="G4097" s="6">
        <v>45904</v>
      </c>
      <c r="H4097">
        <v>42</v>
      </c>
      <c r="I4097">
        <f>ROUND(CompilDonnées[[#This Row],[CultureDuration_days]]/7,0)</f>
        <v>6</v>
      </c>
      <c r="J4097">
        <v>4112</v>
      </c>
      <c r="K4097" t="str">
        <f>_xlfn.CONCAT(WEEKNUM(CompilDonnées[[#This Row],[PlantationDate]]), " ", YEAR(CompilDonnées[[#This Row],[PlantationDate]]))</f>
        <v>30 2025</v>
      </c>
      <c r="L4097" t="str">
        <f>CONCATENATE(MONTH(CompilDonnées[[#This Row],[PlantationDate]])," ", YEAR(CompilDonnées[[#This Row],[PlantationDate]]))</f>
        <v>7 2025</v>
      </c>
      <c r="M4097" t="str">
        <f>CONCATENATE(MONTH(CompilDonnées[[#This Row],[HarvestingDate]])," ", YEAR(CompilDonnées[[#This Row],[HarvestingDate]]))</f>
        <v>9 2025</v>
      </c>
      <c r="N4097">
        <f>_xlfn.NUMBERVALUE(CompilDonnées[[#This Row],[FarmID]]&amp;CompilDonnées[[#This Row],[ModuleNumber]]&amp;CompilDonnées[[#This Row],[PlantationDate]])</f>
        <v>120145862</v>
      </c>
      <c r="O4097" t="str">
        <f>CompilDonnées[[#This Row],[FarmID]]&amp;CompilDonnées[[#This Row],[ModuleNumber]]</f>
        <v>1201</v>
      </c>
      <c r="P4097" t="str">
        <f>CompilDonnées[[#This Row],[Ref_Module]]&amp;CompilDonnées[[#This Row],[HarvestingDate]]</f>
        <v>120145904</v>
      </c>
    </row>
    <row r="4098" spans="1:16">
      <c r="A4098" s="5">
        <v>45862</v>
      </c>
      <c r="B4098">
        <v>125</v>
      </c>
      <c r="C4098" t="s">
        <v>101</v>
      </c>
      <c r="D4098">
        <v>4</v>
      </c>
      <c r="E4098">
        <v>100</v>
      </c>
      <c r="F4098" t="s">
        <v>1</v>
      </c>
      <c r="G4098" s="6">
        <v>45904</v>
      </c>
      <c r="H4098">
        <v>42</v>
      </c>
      <c r="I4098">
        <f>ROUND(CompilDonnées[[#This Row],[CultureDuration_days]]/7,0)</f>
        <v>6</v>
      </c>
      <c r="J4098">
        <v>3780</v>
      </c>
      <c r="K4098" t="str">
        <f>_xlfn.CONCAT(WEEKNUM(CompilDonnées[[#This Row],[PlantationDate]]), " ", YEAR(CompilDonnées[[#This Row],[PlantationDate]]))</f>
        <v>30 2025</v>
      </c>
      <c r="L4098" t="str">
        <f>CONCATENATE(MONTH(CompilDonnées[[#This Row],[PlantationDate]])," ", YEAR(CompilDonnées[[#This Row],[PlantationDate]]))</f>
        <v>7 2025</v>
      </c>
      <c r="M4098" t="str">
        <f>CONCATENATE(MONTH(CompilDonnées[[#This Row],[HarvestingDate]])," ", YEAR(CompilDonnées[[#This Row],[HarvestingDate]]))</f>
        <v>9 2025</v>
      </c>
      <c r="N4098">
        <f>_xlfn.NUMBERVALUE(CompilDonnées[[#This Row],[FarmID]]&amp;CompilDonnées[[#This Row],[ModuleNumber]]&amp;CompilDonnées[[#This Row],[PlantationDate]])</f>
        <v>125445862</v>
      </c>
      <c r="O4098" t="str">
        <f>CompilDonnées[[#This Row],[FarmID]]&amp;CompilDonnées[[#This Row],[ModuleNumber]]</f>
        <v>1254</v>
      </c>
      <c r="P4098" t="str">
        <f>CompilDonnées[[#This Row],[Ref_Module]]&amp;CompilDonnées[[#This Row],[HarvestingDate]]</f>
        <v>125445904</v>
      </c>
    </row>
    <row r="4099" spans="1:16">
      <c r="A4099" s="5">
        <v>45862</v>
      </c>
      <c r="B4099">
        <v>79</v>
      </c>
      <c r="C4099" t="s">
        <v>61</v>
      </c>
      <c r="D4099">
        <v>6</v>
      </c>
      <c r="E4099">
        <v>100</v>
      </c>
      <c r="F4099" t="s">
        <v>1</v>
      </c>
      <c r="G4099" s="6">
        <v>45896</v>
      </c>
      <c r="H4099">
        <v>34</v>
      </c>
      <c r="I4099">
        <f>ROUND(CompilDonnées[[#This Row],[CultureDuration_days]]/7,0)</f>
        <v>5</v>
      </c>
      <c r="J4099">
        <v>3373</v>
      </c>
      <c r="K4099" t="str">
        <f>_xlfn.CONCAT(WEEKNUM(CompilDonnées[[#This Row],[PlantationDate]]), " ", YEAR(CompilDonnées[[#This Row],[PlantationDate]]))</f>
        <v>30 2025</v>
      </c>
      <c r="L4099" t="str">
        <f>CONCATENATE(MONTH(CompilDonnées[[#This Row],[PlantationDate]])," ", YEAR(CompilDonnées[[#This Row],[PlantationDate]]))</f>
        <v>7 2025</v>
      </c>
      <c r="M4099" t="str">
        <f>CONCATENATE(MONTH(CompilDonnées[[#This Row],[HarvestingDate]])," ", YEAR(CompilDonnées[[#This Row],[HarvestingDate]]))</f>
        <v>8 2025</v>
      </c>
      <c r="N4099">
        <f>_xlfn.NUMBERVALUE(CompilDonnées[[#This Row],[FarmID]]&amp;CompilDonnées[[#This Row],[ModuleNumber]]&amp;CompilDonnées[[#This Row],[PlantationDate]])</f>
        <v>79645862</v>
      </c>
      <c r="O4099" t="str">
        <f>CompilDonnées[[#This Row],[FarmID]]&amp;CompilDonnées[[#This Row],[ModuleNumber]]</f>
        <v>796</v>
      </c>
      <c r="P4099" t="str">
        <f>CompilDonnées[[#This Row],[Ref_Module]]&amp;CompilDonnées[[#This Row],[HarvestingDate]]</f>
        <v>79645896</v>
      </c>
    </row>
    <row r="4100" spans="1:16">
      <c r="A4100" s="5">
        <v>45862</v>
      </c>
      <c r="B4100">
        <v>84</v>
      </c>
      <c r="C4100" t="s">
        <v>65</v>
      </c>
      <c r="D4100">
        <v>2</v>
      </c>
      <c r="E4100">
        <v>100</v>
      </c>
      <c r="F4100" t="s">
        <v>1</v>
      </c>
      <c r="G4100" s="6">
        <v>45909</v>
      </c>
      <c r="H4100">
        <v>47</v>
      </c>
      <c r="I4100">
        <f>ROUND(CompilDonnées[[#This Row],[CultureDuration_days]]/7,0)</f>
        <v>7</v>
      </c>
      <c r="J4100">
        <v>3578</v>
      </c>
      <c r="K4100" t="str">
        <f>_xlfn.CONCAT(WEEKNUM(CompilDonnées[[#This Row],[PlantationDate]]), " ", YEAR(CompilDonnées[[#This Row],[PlantationDate]]))</f>
        <v>30 2025</v>
      </c>
      <c r="L4100" t="str">
        <f>CONCATENATE(MONTH(CompilDonnées[[#This Row],[PlantationDate]])," ", YEAR(CompilDonnées[[#This Row],[PlantationDate]]))</f>
        <v>7 2025</v>
      </c>
      <c r="M4100" t="str">
        <f>CONCATENATE(MONTH(CompilDonnées[[#This Row],[HarvestingDate]])," ", YEAR(CompilDonnées[[#This Row],[HarvestingDate]]))</f>
        <v>9 2025</v>
      </c>
      <c r="N4100">
        <f>_xlfn.NUMBERVALUE(CompilDonnées[[#This Row],[FarmID]]&amp;CompilDonnées[[#This Row],[ModuleNumber]]&amp;CompilDonnées[[#This Row],[PlantationDate]])</f>
        <v>84245862</v>
      </c>
      <c r="O4100" t="str">
        <f>CompilDonnées[[#This Row],[FarmID]]&amp;CompilDonnées[[#This Row],[ModuleNumber]]</f>
        <v>842</v>
      </c>
      <c r="P4100" t="str">
        <f>CompilDonnées[[#This Row],[Ref_Module]]&amp;CompilDonnées[[#This Row],[HarvestingDate]]</f>
        <v>84245909</v>
      </c>
    </row>
    <row r="4101" spans="1:16">
      <c r="A4101" s="5">
        <v>45862</v>
      </c>
      <c r="B4101">
        <v>52</v>
      </c>
      <c r="C4101" t="s">
        <v>88</v>
      </c>
      <c r="D4101">
        <v>1</v>
      </c>
      <c r="E4101">
        <v>100</v>
      </c>
      <c r="F4101" t="s">
        <v>1</v>
      </c>
      <c r="G4101" s="6">
        <v>45901</v>
      </c>
      <c r="H4101">
        <v>39</v>
      </c>
      <c r="I4101">
        <f>ROUND(CompilDonnées[[#This Row],[CultureDuration_days]]/7,0)</f>
        <v>6</v>
      </c>
      <c r="J4101">
        <v>3728</v>
      </c>
      <c r="K4101" t="str">
        <f>_xlfn.CONCAT(WEEKNUM(CompilDonnées[[#This Row],[PlantationDate]]), " ", YEAR(CompilDonnées[[#This Row],[PlantationDate]]))</f>
        <v>30 2025</v>
      </c>
      <c r="L4101" t="str">
        <f>CONCATENATE(MONTH(CompilDonnées[[#This Row],[PlantationDate]])," ", YEAR(CompilDonnées[[#This Row],[PlantationDate]]))</f>
        <v>7 2025</v>
      </c>
      <c r="M4101" t="str">
        <f>CONCATENATE(MONTH(CompilDonnées[[#This Row],[HarvestingDate]])," ", YEAR(CompilDonnées[[#This Row],[HarvestingDate]]))</f>
        <v>9 2025</v>
      </c>
      <c r="N4101">
        <f>_xlfn.NUMBERVALUE(CompilDonnées[[#This Row],[FarmID]]&amp;CompilDonnées[[#This Row],[ModuleNumber]]&amp;CompilDonnées[[#This Row],[PlantationDate]])</f>
        <v>52145862</v>
      </c>
      <c r="O4101" t="str">
        <f>CompilDonnées[[#This Row],[FarmID]]&amp;CompilDonnées[[#This Row],[ModuleNumber]]</f>
        <v>521</v>
      </c>
      <c r="P4101" t="str">
        <f>CompilDonnées[[#This Row],[Ref_Module]]&amp;CompilDonnées[[#This Row],[HarvestingDate]]</f>
        <v>52145901</v>
      </c>
    </row>
    <row r="4102" spans="1:16">
      <c r="A4102" s="5">
        <v>45862</v>
      </c>
      <c r="B4102">
        <v>66</v>
      </c>
      <c r="C4102" t="s">
        <v>48</v>
      </c>
      <c r="D4102">
        <v>6</v>
      </c>
      <c r="E4102">
        <v>100</v>
      </c>
      <c r="F4102" t="s">
        <v>1</v>
      </c>
      <c r="G4102" s="6">
        <v>45902</v>
      </c>
      <c r="H4102">
        <v>40</v>
      </c>
      <c r="I4102">
        <f>ROUND(CompilDonnées[[#This Row],[CultureDuration_days]]/7,0)</f>
        <v>6</v>
      </c>
      <c r="J4102">
        <v>2980</v>
      </c>
      <c r="K4102" t="str">
        <f>_xlfn.CONCAT(WEEKNUM(CompilDonnées[[#This Row],[PlantationDate]]), " ", YEAR(CompilDonnées[[#This Row],[PlantationDate]]))</f>
        <v>30 2025</v>
      </c>
      <c r="L4102" t="str">
        <f>CONCATENATE(MONTH(CompilDonnées[[#This Row],[PlantationDate]])," ", YEAR(CompilDonnées[[#This Row],[PlantationDate]]))</f>
        <v>7 2025</v>
      </c>
      <c r="M4102" t="str">
        <f>CONCATENATE(MONTH(CompilDonnées[[#This Row],[HarvestingDate]])," ", YEAR(CompilDonnées[[#This Row],[HarvestingDate]]))</f>
        <v>9 2025</v>
      </c>
      <c r="N4102">
        <f>_xlfn.NUMBERVALUE(CompilDonnées[[#This Row],[FarmID]]&amp;CompilDonnées[[#This Row],[ModuleNumber]]&amp;CompilDonnées[[#This Row],[PlantationDate]])</f>
        <v>66645862</v>
      </c>
      <c r="O4102" t="str">
        <f>CompilDonnées[[#This Row],[FarmID]]&amp;CompilDonnées[[#This Row],[ModuleNumber]]</f>
        <v>666</v>
      </c>
      <c r="P4102" t="str">
        <f>CompilDonnées[[#This Row],[Ref_Module]]&amp;CompilDonnées[[#This Row],[HarvestingDate]]</f>
        <v>66645902</v>
      </c>
    </row>
    <row r="4103" spans="1:16">
      <c r="A4103" s="5">
        <v>45862</v>
      </c>
      <c r="B4103">
        <v>82</v>
      </c>
      <c r="C4103" t="s">
        <v>17</v>
      </c>
      <c r="D4103">
        <v>5</v>
      </c>
      <c r="E4103">
        <v>100</v>
      </c>
      <c r="F4103" t="s">
        <v>1</v>
      </c>
      <c r="G4103" s="6">
        <v>45903</v>
      </c>
      <c r="H4103">
        <v>41</v>
      </c>
      <c r="I4103">
        <f>ROUND(CompilDonnées[[#This Row],[CultureDuration_days]]/7,0)</f>
        <v>6</v>
      </c>
      <c r="J4103">
        <v>3871</v>
      </c>
      <c r="K4103" t="str">
        <f>_xlfn.CONCAT(WEEKNUM(CompilDonnées[[#This Row],[PlantationDate]]), " ", YEAR(CompilDonnées[[#This Row],[PlantationDate]]))</f>
        <v>30 2025</v>
      </c>
      <c r="L4103" t="str">
        <f>CONCATENATE(MONTH(CompilDonnées[[#This Row],[PlantationDate]])," ", YEAR(CompilDonnées[[#This Row],[PlantationDate]]))</f>
        <v>7 2025</v>
      </c>
      <c r="M4103" t="str">
        <f>CONCATENATE(MONTH(CompilDonnées[[#This Row],[HarvestingDate]])," ", YEAR(CompilDonnées[[#This Row],[HarvestingDate]]))</f>
        <v>9 2025</v>
      </c>
      <c r="N4103">
        <f>_xlfn.NUMBERVALUE(CompilDonnées[[#This Row],[FarmID]]&amp;CompilDonnées[[#This Row],[ModuleNumber]]&amp;CompilDonnées[[#This Row],[PlantationDate]])</f>
        <v>82545862</v>
      </c>
      <c r="O4103" t="str">
        <f>CompilDonnées[[#This Row],[FarmID]]&amp;CompilDonnées[[#This Row],[ModuleNumber]]</f>
        <v>825</v>
      </c>
      <c r="P4103" t="str">
        <f>CompilDonnées[[#This Row],[Ref_Module]]&amp;CompilDonnées[[#This Row],[HarvestingDate]]</f>
        <v>82545903</v>
      </c>
    </row>
    <row r="4104" spans="1:16">
      <c r="A4104" s="5">
        <v>45862</v>
      </c>
      <c r="B4104">
        <v>80</v>
      </c>
      <c r="C4104" t="s">
        <v>29</v>
      </c>
      <c r="D4104">
        <v>4</v>
      </c>
      <c r="E4104">
        <v>100</v>
      </c>
      <c r="F4104" t="s">
        <v>1</v>
      </c>
      <c r="G4104" s="6">
        <v>45904</v>
      </c>
      <c r="H4104">
        <v>42</v>
      </c>
      <c r="I4104">
        <f>ROUND(CompilDonnées[[#This Row],[CultureDuration_days]]/7,0)</f>
        <v>6</v>
      </c>
      <c r="J4104">
        <v>4260</v>
      </c>
      <c r="K4104" t="str">
        <f>_xlfn.CONCAT(WEEKNUM(CompilDonnées[[#This Row],[PlantationDate]]), " ", YEAR(CompilDonnées[[#This Row],[PlantationDate]]))</f>
        <v>30 2025</v>
      </c>
      <c r="L4104" t="str">
        <f>CONCATENATE(MONTH(CompilDonnées[[#This Row],[PlantationDate]])," ", YEAR(CompilDonnées[[#This Row],[PlantationDate]]))</f>
        <v>7 2025</v>
      </c>
      <c r="M4104" t="str">
        <f>CONCATENATE(MONTH(CompilDonnées[[#This Row],[HarvestingDate]])," ", YEAR(CompilDonnées[[#This Row],[HarvestingDate]]))</f>
        <v>9 2025</v>
      </c>
      <c r="N4104">
        <f>_xlfn.NUMBERVALUE(CompilDonnées[[#This Row],[FarmID]]&amp;CompilDonnées[[#This Row],[ModuleNumber]]&amp;CompilDonnées[[#This Row],[PlantationDate]])</f>
        <v>80445862</v>
      </c>
      <c r="O4104" t="str">
        <f>CompilDonnées[[#This Row],[FarmID]]&amp;CompilDonnées[[#This Row],[ModuleNumber]]</f>
        <v>804</v>
      </c>
      <c r="P4104" t="str">
        <f>CompilDonnées[[#This Row],[Ref_Module]]&amp;CompilDonnées[[#This Row],[HarvestingDate]]</f>
        <v>80445904</v>
      </c>
    </row>
    <row r="4105" spans="1:16">
      <c r="A4105" s="5">
        <v>45862</v>
      </c>
      <c r="B4105">
        <v>209</v>
      </c>
      <c r="C4105" t="s">
        <v>118</v>
      </c>
      <c r="D4105">
        <v>1</v>
      </c>
      <c r="E4105">
        <v>68</v>
      </c>
      <c r="F4105" t="s">
        <v>1</v>
      </c>
      <c r="G4105" s="6">
        <v>45905</v>
      </c>
      <c r="H4105">
        <v>43</v>
      </c>
      <c r="I4105">
        <f>ROUND(CompilDonnées[[#This Row],[CultureDuration_days]]/7,0)</f>
        <v>6</v>
      </c>
      <c r="J4105">
        <v>3319</v>
      </c>
      <c r="K4105" t="str">
        <f>_xlfn.CONCAT(WEEKNUM(CompilDonnées[[#This Row],[PlantationDate]]), " ", YEAR(CompilDonnées[[#This Row],[PlantationDate]]))</f>
        <v>30 2025</v>
      </c>
      <c r="L4105" t="str">
        <f>CONCATENATE(MONTH(CompilDonnées[[#This Row],[PlantationDate]])," ", YEAR(CompilDonnées[[#This Row],[PlantationDate]]))</f>
        <v>7 2025</v>
      </c>
      <c r="M4105" t="str">
        <f>CONCATENATE(MONTH(CompilDonnées[[#This Row],[HarvestingDate]])," ", YEAR(CompilDonnées[[#This Row],[HarvestingDate]]))</f>
        <v>9 2025</v>
      </c>
      <c r="N4105">
        <f>_xlfn.NUMBERVALUE(CompilDonnées[[#This Row],[FarmID]]&amp;CompilDonnées[[#This Row],[ModuleNumber]]&amp;CompilDonnées[[#This Row],[PlantationDate]])</f>
        <v>209145862</v>
      </c>
      <c r="O4105" t="str">
        <f>CompilDonnées[[#This Row],[FarmID]]&amp;CompilDonnées[[#This Row],[ModuleNumber]]</f>
        <v>2091</v>
      </c>
      <c r="P4105" t="str">
        <f>CompilDonnées[[#This Row],[Ref_Module]]&amp;CompilDonnées[[#This Row],[HarvestingDate]]</f>
        <v>209145905</v>
      </c>
    </row>
    <row r="4106" spans="1:16">
      <c r="A4106" s="5">
        <v>45862</v>
      </c>
      <c r="B4106">
        <v>209</v>
      </c>
      <c r="C4106" t="s">
        <v>118</v>
      </c>
      <c r="D4106">
        <v>2</v>
      </c>
      <c r="E4106">
        <v>52</v>
      </c>
      <c r="F4106" t="s">
        <v>1</v>
      </c>
      <c r="G4106" s="6">
        <v>45905</v>
      </c>
      <c r="H4106">
        <v>43</v>
      </c>
      <c r="I4106">
        <f>ROUND(CompilDonnées[[#This Row],[CultureDuration_days]]/7,0)</f>
        <v>6</v>
      </c>
      <c r="J4106">
        <v>2897</v>
      </c>
      <c r="K4106" t="str">
        <f>_xlfn.CONCAT(WEEKNUM(CompilDonnées[[#This Row],[PlantationDate]]), " ", YEAR(CompilDonnées[[#This Row],[PlantationDate]]))</f>
        <v>30 2025</v>
      </c>
      <c r="L4106" t="str">
        <f>CONCATENATE(MONTH(CompilDonnées[[#This Row],[PlantationDate]])," ", YEAR(CompilDonnées[[#This Row],[PlantationDate]]))</f>
        <v>7 2025</v>
      </c>
      <c r="M4106" t="str">
        <f>CONCATENATE(MONTH(CompilDonnées[[#This Row],[HarvestingDate]])," ", YEAR(CompilDonnées[[#This Row],[HarvestingDate]]))</f>
        <v>9 2025</v>
      </c>
      <c r="N4106">
        <f>_xlfn.NUMBERVALUE(CompilDonnées[[#This Row],[FarmID]]&amp;CompilDonnées[[#This Row],[ModuleNumber]]&amp;CompilDonnées[[#This Row],[PlantationDate]])</f>
        <v>209245862</v>
      </c>
      <c r="O4106" t="str">
        <f>CompilDonnées[[#This Row],[FarmID]]&amp;CompilDonnées[[#This Row],[ModuleNumber]]</f>
        <v>2092</v>
      </c>
      <c r="P4106" t="str">
        <f>CompilDonnées[[#This Row],[Ref_Module]]&amp;CompilDonnées[[#This Row],[HarvestingDate]]</f>
        <v>209245905</v>
      </c>
    </row>
    <row r="4107" spans="1:16">
      <c r="A4107" s="5">
        <v>45862</v>
      </c>
      <c r="B4107">
        <v>209</v>
      </c>
      <c r="C4107" t="s">
        <v>118</v>
      </c>
      <c r="D4107">
        <v>3</v>
      </c>
      <c r="E4107">
        <v>100</v>
      </c>
      <c r="F4107" t="s">
        <v>1</v>
      </c>
      <c r="G4107" s="6">
        <v>45905</v>
      </c>
      <c r="H4107">
        <v>43</v>
      </c>
      <c r="I4107">
        <f>ROUND(CompilDonnées[[#This Row],[CultureDuration_days]]/7,0)</f>
        <v>6</v>
      </c>
      <c r="J4107">
        <v>3347</v>
      </c>
      <c r="K4107" t="str">
        <f>_xlfn.CONCAT(WEEKNUM(CompilDonnées[[#This Row],[PlantationDate]]), " ", YEAR(CompilDonnées[[#This Row],[PlantationDate]]))</f>
        <v>30 2025</v>
      </c>
      <c r="L4107" t="str">
        <f>CONCATENATE(MONTH(CompilDonnées[[#This Row],[PlantationDate]])," ", YEAR(CompilDonnées[[#This Row],[PlantationDate]]))</f>
        <v>7 2025</v>
      </c>
      <c r="M4107" t="str">
        <f>CONCATENATE(MONTH(CompilDonnées[[#This Row],[HarvestingDate]])," ", YEAR(CompilDonnées[[#This Row],[HarvestingDate]]))</f>
        <v>9 2025</v>
      </c>
      <c r="N4107">
        <f>_xlfn.NUMBERVALUE(CompilDonnées[[#This Row],[FarmID]]&amp;CompilDonnées[[#This Row],[ModuleNumber]]&amp;CompilDonnées[[#This Row],[PlantationDate]])</f>
        <v>209345862</v>
      </c>
      <c r="O4107" t="str">
        <f>CompilDonnées[[#This Row],[FarmID]]&amp;CompilDonnées[[#This Row],[ModuleNumber]]</f>
        <v>2093</v>
      </c>
      <c r="P4107" t="str">
        <f>CompilDonnées[[#This Row],[Ref_Module]]&amp;CompilDonnées[[#This Row],[HarvestingDate]]</f>
        <v>209345905</v>
      </c>
    </row>
    <row r="4108" spans="1:16">
      <c r="A4108" s="5">
        <v>45862</v>
      </c>
      <c r="B4108">
        <v>145</v>
      </c>
      <c r="C4108" t="s">
        <v>3</v>
      </c>
      <c r="D4108">
        <v>1</v>
      </c>
      <c r="E4108">
        <v>60</v>
      </c>
      <c r="F4108" t="s">
        <v>105</v>
      </c>
      <c r="G4108" s="6">
        <v>45908</v>
      </c>
      <c r="H4108">
        <v>46</v>
      </c>
      <c r="I4108">
        <f>ROUND(CompilDonnées[[#This Row],[CultureDuration_days]]/7,0)</f>
        <v>7</v>
      </c>
      <c r="J4108">
        <v>610</v>
      </c>
      <c r="K4108" t="str">
        <f>_xlfn.CONCAT(WEEKNUM(CompilDonnées[[#This Row],[PlantationDate]]), " ", YEAR(CompilDonnées[[#This Row],[PlantationDate]]))</f>
        <v>30 2025</v>
      </c>
      <c r="L4108" t="str">
        <f>CONCATENATE(MONTH(CompilDonnées[[#This Row],[PlantationDate]])," ", YEAR(CompilDonnées[[#This Row],[PlantationDate]]))</f>
        <v>7 2025</v>
      </c>
      <c r="M4108" t="str">
        <f>CONCATENATE(MONTH(CompilDonnées[[#This Row],[HarvestingDate]])," ", YEAR(CompilDonnées[[#This Row],[HarvestingDate]]))</f>
        <v>9 2025</v>
      </c>
      <c r="N4108">
        <f>_xlfn.NUMBERVALUE(CompilDonnées[[#This Row],[FarmID]]&amp;CompilDonnées[[#This Row],[ModuleNumber]]&amp;CompilDonnées[[#This Row],[PlantationDate]])</f>
        <v>145145862</v>
      </c>
      <c r="O4108" t="str">
        <f>CompilDonnées[[#This Row],[FarmID]]&amp;CompilDonnées[[#This Row],[ModuleNumber]]</f>
        <v>1451</v>
      </c>
      <c r="P4108" t="str">
        <f>CompilDonnées[[#This Row],[Ref_Module]]&amp;CompilDonnées[[#This Row],[HarvestingDate]]</f>
        <v>145145908</v>
      </c>
    </row>
    <row r="4109" spans="1:16">
      <c r="A4109" s="5">
        <v>45862</v>
      </c>
      <c r="B4109">
        <v>145</v>
      </c>
      <c r="C4109" t="s">
        <v>3</v>
      </c>
      <c r="D4109">
        <v>2</v>
      </c>
      <c r="E4109">
        <v>60</v>
      </c>
      <c r="F4109" t="s">
        <v>105</v>
      </c>
      <c r="G4109" s="6">
        <v>45908</v>
      </c>
      <c r="H4109">
        <v>46</v>
      </c>
      <c r="I4109">
        <f>ROUND(CompilDonnées[[#This Row],[CultureDuration_days]]/7,0)</f>
        <v>7</v>
      </c>
      <c r="J4109">
        <v>624</v>
      </c>
      <c r="K4109" t="str">
        <f>_xlfn.CONCAT(WEEKNUM(CompilDonnées[[#This Row],[PlantationDate]]), " ", YEAR(CompilDonnées[[#This Row],[PlantationDate]]))</f>
        <v>30 2025</v>
      </c>
      <c r="L4109" t="str">
        <f>CONCATENATE(MONTH(CompilDonnées[[#This Row],[PlantationDate]])," ", YEAR(CompilDonnées[[#This Row],[PlantationDate]]))</f>
        <v>7 2025</v>
      </c>
      <c r="M4109" t="str">
        <f>CONCATENATE(MONTH(CompilDonnées[[#This Row],[HarvestingDate]])," ", YEAR(CompilDonnées[[#This Row],[HarvestingDate]]))</f>
        <v>9 2025</v>
      </c>
      <c r="N4109">
        <f>_xlfn.NUMBERVALUE(CompilDonnées[[#This Row],[FarmID]]&amp;CompilDonnées[[#This Row],[ModuleNumber]]&amp;CompilDonnées[[#This Row],[PlantationDate]])</f>
        <v>145245862</v>
      </c>
      <c r="O4109" t="str">
        <f>CompilDonnées[[#This Row],[FarmID]]&amp;CompilDonnées[[#This Row],[ModuleNumber]]</f>
        <v>1452</v>
      </c>
      <c r="P4109" t="str">
        <f>CompilDonnées[[#This Row],[Ref_Module]]&amp;CompilDonnées[[#This Row],[HarvestingDate]]</f>
        <v>145245908</v>
      </c>
    </row>
    <row r="4110" spans="1:16">
      <c r="A4110" s="5">
        <v>45863</v>
      </c>
      <c r="B4110">
        <v>26</v>
      </c>
      <c r="C4110" t="s">
        <v>97</v>
      </c>
      <c r="D4110">
        <v>4</v>
      </c>
      <c r="E4110">
        <v>100</v>
      </c>
      <c r="F4110" t="s">
        <v>1</v>
      </c>
      <c r="G4110" s="6">
        <v>45897</v>
      </c>
      <c r="H4110">
        <v>34</v>
      </c>
      <c r="I4110">
        <f>ROUND(CompilDonnées[[#This Row],[CultureDuration_days]]/7,0)</f>
        <v>5</v>
      </c>
      <c r="J4110">
        <v>0</v>
      </c>
      <c r="K4110" t="str">
        <f>_xlfn.CONCAT(WEEKNUM(CompilDonnées[[#This Row],[PlantationDate]]), " ", YEAR(CompilDonnées[[#This Row],[PlantationDate]]))</f>
        <v>30 2025</v>
      </c>
      <c r="L4110" t="str">
        <f>CONCATENATE(MONTH(CompilDonnées[[#This Row],[PlantationDate]])," ", YEAR(CompilDonnées[[#This Row],[PlantationDate]]))</f>
        <v>7 2025</v>
      </c>
      <c r="M4110" t="str">
        <f>CONCATENATE(MONTH(CompilDonnées[[#This Row],[HarvestingDate]])," ", YEAR(CompilDonnées[[#This Row],[HarvestingDate]]))</f>
        <v>8 2025</v>
      </c>
      <c r="N4110">
        <f>_xlfn.NUMBERVALUE(CompilDonnées[[#This Row],[FarmID]]&amp;CompilDonnées[[#This Row],[ModuleNumber]]&amp;CompilDonnées[[#This Row],[PlantationDate]])</f>
        <v>26445863</v>
      </c>
      <c r="O4110" t="str">
        <f>CompilDonnées[[#This Row],[FarmID]]&amp;CompilDonnées[[#This Row],[ModuleNumber]]</f>
        <v>264</v>
      </c>
      <c r="P4110" t="str">
        <f>CompilDonnées[[#This Row],[Ref_Module]]&amp;CompilDonnées[[#This Row],[HarvestingDate]]</f>
        <v>26445897</v>
      </c>
    </row>
    <row r="4111" spans="1:16">
      <c r="A4111" s="5">
        <v>45863</v>
      </c>
      <c r="B4111">
        <v>1</v>
      </c>
      <c r="C4111" t="s">
        <v>111</v>
      </c>
      <c r="D4111">
        <v>2</v>
      </c>
      <c r="E4111">
        <v>100</v>
      </c>
      <c r="F4111" t="s">
        <v>1</v>
      </c>
      <c r="G4111" s="6">
        <v>45911</v>
      </c>
      <c r="H4111">
        <v>48</v>
      </c>
      <c r="I4111">
        <f>ROUND(CompilDonnées[[#This Row],[CultureDuration_days]]/7,0)</f>
        <v>7</v>
      </c>
      <c r="J4111">
        <v>3567</v>
      </c>
      <c r="K4111" t="str">
        <f>_xlfn.CONCAT(WEEKNUM(CompilDonnées[[#This Row],[PlantationDate]]), " ", YEAR(CompilDonnées[[#This Row],[PlantationDate]]))</f>
        <v>30 2025</v>
      </c>
      <c r="L4111" t="str">
        <f>CONCATENATE(MONTH(CompilDonnées[[#This Row],[PlantationDate]])," ", YEAR(CompilDonnées[[#This Row],[PlantationDate]]))</f>
        <v>7 2025</v>
      </c>
      <c r="M4111" t="str">
        <f>CONCATENATE(MONTH(CompilDonnées[[#This Row],[HarvestingDate]])," ", YEAR(CompilDonnées[[#This Row],[HarvestingDate]]))</f>
        <v>9 2025</v>
      </c>
      <c r="N4111">
        <f>_xlfn.NUMBERVALUE(CompilDonnées[[#This Row],[FarmID]]&amp;CompilDonnées[[#This Row],[ModuleNumber]]&amp;CompilDonnées[[#This Row],[PlantationDate]])</f>
        <v>1245863</v>
      </c>
      <c r="O4111" t="str">
        <f>CompilDonnées[[#This Row],[FarmID]]&amp;CompilDonnées[[#This Row],[ModuleNumber]]</f>
        <v>12</v>
      </c>
      <c r="P4111" t="str">
        <f>CompilDonnées[[#This Row],[Ref_Module]]&amp;CompilDonnées[[#This Row],[HarvestingDate]]</f>
        <v>1245911</v>
      </c>
    </row>
    <row r="4112" spans="1:16">
      <c r="A4112" s="5">
        <v>45863</v>
      </c>
      <c r="B4112">
        <v>41</v>
      </c>
      <c r="C4112" t="s">
        <v>70</v>
      </c>
      <c r="D4112">
        <v>1</v>
      </c>
      <c r="E4112">
        <v>100</v>
      </c>
      <c r="F4112" t="s">
        <v>1</v>
      </c>
      <c r="G4112" s="6">
        <v>45910</v>
      </c>
      <c r="H4112">
        <v>47</v>
      </c>
      <c r="I4112">
        <f>ROUND(CompilDonnées[[#This Row],[CultureDuration_days]]/7,0)</f>
        <v>7</v>
      </c>
      <c r="J4112">
        <v>2114</v>
      </c>
      <c r="K4112" t="str">
        <f>_xlfn.CONCAT(WEEKNUM(CompilDonnées[[#This Row],[PlantationDate]]), " ", YEAR(CompilDonnées[[#This Row],[PlantationDate]]))</f>
        <v>30 2025</v>
      </c>
      <c r="L4112" t="str">
        <f>CONCATENATE(MONTH(CompilDonnées[[#This Row],[PlantationDate]])," ", YEAR(CompilDonnées[[#This Row],[PlantationDate]]))</f>
        <v>7 2025</v>
      </c>
      <c r="M4112" t="str">
        <f>CONCATENATE(MONTH(CompilDonnées[[#This Row],[HarvestingDate]])," ", YEAR(CompilDonnées[[#This Row],[HarvestingDate]]))</f>
        <v>9 2025</v>
      </c>
      <c r="N4112">
        <f>_xlfn.NUMBERVALUE(CompilDonnées[[#This Row],[FarmID]]&amp;CompilDonnées[[#This Row],[ModuleNumber]]&amp;CompilDonnées[[#This Row],[PlantationDate]])</f>
        <v>41145863</v>
      </c>
      <c r="O4112" t="str">
        <f>CompilDonnées[[#This Row],[FarmID]]&amp;CompilDonnées[[#This Row],[ModuleNumber]]</f>
        <v>411</v>
      </c>
      <c r="P4112" t="str">
        <f>CompilDonnées[[#This Row],[Ref_Module]]&amp;CompilDonnées[[#This Row],[HarvestingDate]]</f>
        <v>41145910</v>
      </c>
    </row>
    <row r="4113" spans="1:16">
      <c r="A4113" s="5">
        <v>45863</v>
      </c>
      <c r="B4113">
        <v>52</v>
      </c>
      <c r="C4113" t="s">
        <v>88</v>
      </c>
      <c r="D4113">
        <v>2</v>
      </c>
      <c r="E4113">
        <v>100</v>
      </c>
      <c r="F4113" t="s">
        <v>1</v>
      </c>
      <c r="G4113" s="6">
        <v>45911</v>
      </c>
      <c r="H4113">
        <v>48</v>
      </c>
      <c r="I4113">
        <f>ROUND(CompilDonnées[[#This Row],[CultureDuration_days]]/7,0)</f>
        <v>7</v>
      </c>
      <c r="J4113">
        <v>4064</v>
      </c>
      <c r="K4113" t="str">
        <f>_xlfn.CONCAT(WEEKNUM(CompilDonnées[[#This Row],[PlantationDate]]), " ", YEAR(CompilDonnées[[#This Row],[PlantationDate]]))</f>
        <v>30 2025</v>
      </c>
      <c r="L4113" t="str">
        <f>CONCATENATE(MONTH(CompilDonnées[[#This Row],[PlantationDate]])," ", YEAR(CompilDonnées[[#This Row],[PlantationDate]]))</f>
        <v>7 2025</v>
      </c>
      <c r="M4113" t="str">
        <f>CONCATENATE(MONTH(CompilDonnées[[#This Row],[HarvestingDate]])," ", YEAR(CompilDonnées[[#This Row],[HarvestingDate]]))</f>
        <v>9 2025</v>
      </c>
      <c r="N4113">
        <f>_xlfn.NUMBERVALUE(CompilDonnées[[#This Row],[FarmID]]&amp;CompilDonnées[[#This Row],[ModuleNumber]]&amp;CompilDonnées[[#This Row],[PlantationDate]])</f>
        <v>52245863</v>
      </c>
      <c r="O4113" t="str">
        <f>CompilDonnées[[#This Row],[FarmID]]&amp;CompilDonnées[[#This Row],[ModuleNumber]]</f>
        <v>522</v>
      </c>
      <c r="P4113" t="str">
        <f>CompilDonnées[[#This Row],[Ref_Module]]&amp;CompilDonnées[[#This Row],[HarvestingDate]]</f>
        <v>52245911</v>
      </c>
    </row>
    <row r="4114" spans="1:16">
      <c r="A4114" s="5">
        <v>45863</v>
      </c>
      <c r="B4114">
        <v>79</v>
      </c>
      <c r="C4114" t="s">
        <v>61</v>
      </c>
      <c r="D4114">
        <v>2</v>
      </c>
      <c r="E4114">
        <v>100</v>
      </c>
      <c r="F4114" t="s">
        <v>1</v>
      </c>
      <c r="G4114" s="6">
        <v>45910</v>
      </c>
      <c r="H4114">
        <v>47</v>
      </c>
      <c r="I4114">
        <f>ROUND(CompilDonnées[[#This Row],[CultureDuration_days]]/7,0)</f>
        <v>7</v>
      </c>
      <c r="J4114">
        <v>3125</v>
      </c>
      <c r="K4114" t="str">
        <f>_xlfn.CONCAT(WEEKNUM(CompilDonnées[[#This Row],[PlantationDate]]), " ", YEAR(CompilDonnées[[#This Row],[PlantationDate]]))</f>
        <v>30 2025</v>
      </c>
      <c r="L4114" t="str">
        <f>CONCATENATE(MONTH(CompilDonnées[[#This Row],[PlantationDate]])," ", YEAR(CompilDonnées[[#This Row],[PlantationDate]]))</f>
        <v>7 2025</v>
      </c>
      <c r="M4114" t="str">
        <f>CONCATENATE(MONTH(CompilDonnées[[#This Row],[HarvestingDate]])," ", YEAR(CompilDonnées[[#This Row],[HarvestingDate]]))</f>
        <v>9 2025</v>
      </c>
      <c r="N4114">
        <f>_xlfn.NUMBERVALUE(CompilDonnées[[#This Row],[FarmID]]&amp;CompilDonnées[[#This Row],[ModuleNumber]]&amp;CompilDonnées[[#This Row],[PlantationDate]])</f>
        <v>79245863</v>
      </c>
      <c r="O4114" t="str">
        <f>CompilDonnées[[#This Row],[FarmID]]&amp;CompilDonnées[[#This Row],[ModuleNumber]]</f>
        <v>792</v>
      </c>
      <c r="P4114" t="str">
        <f>CompilDonnées[[#This Row],[Ref_Module]]&amp;CompilDonnées[[#This Row],[HarvestingDate]]</f>
        <v>79245910</v>
      </c>
    </row>
    <row r="4115" spans="1:16">
      <c r="A4115" s="5">
        <v>45863</v>
      </c>
      <c r="B4115">
        <v>109</v>
      </c>
      <c r="C4115" t="s">
        <v>87</v>
      </c>
      <c r="D4115">
        <v>4</v>
      </c>
      <c r="E4115">
        <v>100</v>
      </c>
      <c r="F4115" t="s">
        <v>1</v>
      </c>
      <c r="G4115" s="6">
        <v>45904</v>
      </c>
      <c r="H4115">
        <v>41</v>
      </c>
      <c r="I4115">
        <f>ROUND(CompilDonnées[[#This Row],[CultureDuration_days]]/7,0)</f>
        <v>6</v>
      </c>
      <c r="J4115">
        <v>4465</v>
      </c>
      <c r="K4115" t="str">
        <f>_xlfn.CONCAT(WEEKNUM(CompilDonnées[[#This Row],[PlantationDate]]), " ", YEAR(CompilDonnées[[#This Row],[PlantationDate]]))</f>
        <v>30 2025</v>
      </c>
      <c r="L4115" t="str">
        <f>CONCATENATE(MONTH(CompilDonnées[[#This Row],[PlantationDate]])," ", YEAR(CompilDonnées[[#This Row],[PlantationDate]]))</f>
        <v>7 2025</v>
      </c>
      <c r="M4115" t="str">
        <f>CONCATENATE(MONTH(CompilDonnées[[#This Row],[HarvestingDate]])," ", YEAR(CompilDonnées[[#This Row],[HarvestingDate]]))</f>
        <v>9 2025</v>
      </c>
      <c r="N4115">
        <f>_xlfn.NUMBERVALUE(CompilDonnées[[#This Row],[FarmID]]&amp;CompilDonnées[[#This Row],[ModuleNumber]]&amp;CompilDonnées[[#This Row],[PlantationDate]])</f>
        <v>109445863</v>
      </c>
      <c r="O4115" t="str">
        <f>CompilDonnées[[#This Row],[FarmID]]&amp;CompilDonnées[[#This Row],[ModuleNumber]]</f>
        <v>1094</v>
      </c>
      <c r="P4115" t="str">
        <f>CompilDonnées[[#This Row],[Ref_Module]]&amp;CompilDonnées[[#This Row],[HarvestingDate]]</f>
        <v>109445904</v>
      </c>
    </row>
    <row r="4116" spans="1:16">
      <c r="A4116" s="5">
        <v>45863</v>
      </c>
      <c r="B4116">
        <v>108</v>
      </c>
      <c r="C4116" t="s">
        <v>58</v>
      </c>
      <c r="D4116">
        <v>1</v>
      </c>
      <c r="E4116">
        <v>100</v>
      </c>
      <c r="F4116" t="s">
        <v>1</v>
      </c>
      <c r="G4116" s="6">
        <v>45903</v>
      </c>
      <c r="H4116">
        <v>40</v>
      </c>
      <c r="I4116">
        <f>ROUND(CompilDonnées[[#This Row],[CultureDuration_days]]/7,0)</f>
        <v>6</v>
      </c>
      <c r="J4116">
        <v>2704</v>
      </c>
      <c r="K4116" t="str">
        <f>_xlfn.CONCAT(WEEKNUM(CompilDonnées[[#This Row],[PlantationDate]]), " ", YEAR(CompilDonnées[[#This Row],[PlantationDate]]))</f>
        <v>30 2025</v>
      </c>
      <c r="L4116" t="str">
        <f>CONCATENATE(MONTH(CompilDonnées[[#This Row],[PlantationDate]])," ", YEAR(CompilDonnées[[#This Row],[PlantationDate]]))</f>
        <v>7 2025</v>
      </c>
      <c r="M4116" t="str">
        <f>CONCATENATE(MONTH(CompilDonnées[[#This Row],[HarvestingDate]])," ", YEAR(CompilDonnées[[#This Row],[HarvestingDate]]))</f>
        <v>9 2025</v>
      </c>
      <c r="N4116">
        <f>_xlfn.NUMBERVALUE(CompilDonnées[[#This Row],[FarmID]]&amp;CompilDonnées[[#This Row],[ModuleNumber]]&amp;CompilDonnées[[#This Row],[PlantationDate]])</f>
        <v>108145863</v>
      </c>
      <c r="O4116" t="str">
        <f>CompilDonnées[[#This Row],[FarmID]]&amp;CompilDonnées[[#This Row],[ModuleNumber]]</f>
        <v>1081</v>
      </c>
      <c r="P4116" t="str">
        <f>CompilDonnées[[#This Row],[Ref_Module]]&amp;CompilDonnées[[#This Row],[HarvestingDate]]</f>
        <v>108145903</v>
      </c>
    </row>
    <row r="4117" spans="1:16">
      <c r="A4117" s="5">
        <v>45863</v>
      </c>
      <c r="B4117">
        <v>107</v>
      </c>
      <c r="C4117" t="s">
        <v>23</v>
      </c>
      <c r="D4117">
        <v>1</v>
      </c>
      <c r="E4117">
        <v>100</v>
      </c>
      <c r="F4117" t="s">
        <v>1</v>
      </c>
      <c r="G4117" s="6">
        <v>45903</v>
      </c>
      <c r="H4117">
        <v>40</v>
      </c>
      <c r="I4117">
        <f>ROUND(CompilDonnées[[#This Row],[CultureDuration_days]]/7,0)</f>
        <v>6</v>
      </c>
      <c r="J4117">
        <v>2301</v>
      </c>
      <c r="K4117" t="str">
        <f>_xlfn.CONCAT(WEEKNUM(CompilDonnées[[#This Row],[PlantationDate]]), " ", YEAR(CompilDonnées[[#This Row],[PlantationDate]]))</f>
        <v>30 2025</v>
      </c>
      <c r="L4117" t="str">
        <f>CONCATENATE(MONTH(CompilDonnées[[#This Row],[PlantationDate]])," ", YEAR(CompilDonnées[[#This Row],[PlantationDate]]))</f>
        <v>7 2025</v>
      </c>
      <c r="M4117" t="str">
        <f>CONCATENATE(MONTH(CompilDonnées[[#This Row],[HarvestingDate]])," ", YEAR(CompilDonnées[[#This Row],[HarvestingDate]]))</f>
        <v>9 2025</v>
      </c>
      <c r="N4117">
        <f>_xlfn.NUMBERVALUE(CompilDonnées[[#This Row],[FarmID]]&amp;CompilDonnées[[#This Row],[ModuleNumber]]&amp;CompilDonnées[[#This Row],[PlantationDate]])</f>
        <v>107145863</v>
      </c>
      <c r="O4117" t="str">
        <f>CompilDonnées[[#This Row],[FarmID]]&amp;CompilDonnées[[#This Row],[ModuleNumber]]</f>
        <v>1071</v>
      </c>
      <c r="P4117" t="str">
        <f>CompilDonnées[[#This Row],[Ref_Module]]&amp;CompilDonnées[[#This Row],[HarvestingDate]]</f>
        <v>107145903</v>
      </c>
    </row>
    <row r="4118" spans="1:16">
      <c r="A4118" s="5">
        <v>45863</v>
      </c>
      <c r="B4118">
        <v>101</v>
      </c>
      <c r="C4118" t="s">
        <v>54</v>
      </c>
      <c r="D4118">
        <v>4</v>
      </c>
      <c r="E4118">
        <v>100</v>
      </c>
      <c r="F4118" t="s">
        <v>1</v>
      </c>
      <c r="G4118" s="6">
        <v>45908</v>
      </c>
      <c r="H4118">
        <v>45</v>
      </c>
      <c r="I4118">
        <f>ROUND(CompilDonnées[[#This Row],[CultureDuration_days]]/7,0)</f>
        <v>6</v>
      </c>
      <c r="J4118">
        <v>4027</v>
      </c>
      <c r="K4118" t="str">
        <f>_xlfn.CONCAT(WEEKNUM(CompilDonnées[[#This Row],[PlantationDate]]), " ", YEAR(CompilDonnées[[#This Row],[PlantationDate]]))</f>
        <v>30 2025</v>
      </c>
      <c r="L4118" t="str">
        <f>CONCATENATE(MONTH(CompilDonnées[[#This Row],[PlantationDate]])," ", YEAR(CompilDonnées[[#This Row],[PlantationDate]]))</f>
        <v>7 2025</v>
      </c>
      <c r="M4118" t="str">
        <f>CONCATENATE(MONTH(CompilDonnées[[#This Row],[HarvestingDate]])," ", YEAR(CompilDonnées[[#This Row],[HarvestingDate]]))</f>
        <v>9 2025</v>
      </c>
      <c r="N4118">
        <f>_xlfn.NUMBERVALUE(CompilDonnées[[#This Row],[FarmID]]&amp;CompilDonnées[[#This Row],[ModuleNumber]]&amp;CompilDonnées[[#This Row],[PlantationDate]])</f>
        <v>101445863</v>
      </c>
      <c r="O4118" t="str">
        <f>CompilDonnées[[#This Row],[FarmID]]&amp;CompilDonnées[[#This Row],[ModuleNumber]]</f>
        <v>1014</v>
      </c>
      <c r="P4118" t="str">
        <f>CompilDonnées[[#This Row],[Ref_Module]]&amp;CompilDonnées[[#This Row],[HarvestingDate]]</f>
        <v>101445908</v>
      </c>
    </row>
    <row r="4119" spans="1:16">
      <c r="A4119" s="5">
        <v>45863</v>
      </c>
      <c r="B4119">
        <v>100</v>
      </c>
      <c r="C4119" t="s">
        <v>84</v>
      </c>
      <c r="D4119">
        <v>3</v>
      </c>
      <c r="E4119">
        <v>100</v>
      </c>
      <c r="F4119" t="s">
        <v>1</v>
      </c>
      <c r="G4119" s="6">
        <v>45909</v>
      </c>
      <c r="H4119">
        <v>46</v>
      </c>
      <c r="I4119">
        <f>ROUND(CompilDonnées[[#This Row],[CultureDuration_days]]/7,0)</f>
        <v>7</v>
      </c>
      <c r="J4119">
        <v>2739</v>
      </c>
      <c r="K4119" t="str">
        <f>_xlfn.CONCAT(WEEKNUM(CompilDonnées[[#This Row],[PlantationDate]]), " ", YEAR(CompilDonnées[[#This Row],[PlantationDate]]))</f>
        <v>30 2025</v>
      </c>
      <c r="L4119" t="str">
        <f>CONCATENATE(MONTH(CompilDonnées[[#This Row],[PlantationDate]])," ", YEAR(CompilDonnées[[#This Row],[PlantationDate]]))</f>
        <v>7 2025</v>
      </c>
      <c r="M4119" t="str">
        <f>CONCATENATE(MONTH(CompilDonnées[[#This Row],[HarvestingDate]])," ", YEAR(CompilDonnées[[#This Row],[HarvestingDate]]))</f>
        <v>9 2025</v>
      </c>
      <c r="N4119">
        <f>_xlfn.NUMBERVALUE(CompilDonnées[[#This Row],[FarmID]]&amp;CompilDonnées[[#This Row],[ModuleNumber]]&amp;CompilDonnées[[#This Row],[PlantationDate]])</f>
        <v>100345863</v>
      </c>
      <c r="O4119" t="str">
        <f>CompilDonnées[[#This Row],[FarmID]]&amp;CompilDonnées[[#This Row],[ModuleNumber]]</f>
        <v>1003</v>
      </c>
      <c r="P4119" t="str">
        <f>CompilDonnées[[#This Row],[Ref_Module]]&amp;CompilDonnées[[#This Row],[HarvestingDate]]</f>
        <v>100345909</v>
      </c>
    </row>
    <row r="4120" spans="1:16">
      <c r="A4120" s="5">
        <v>45863</v>
      </c>
      <c r="B4120">
        <v>99</v>
      </c>
      <c r="C4120" t="s">
        <v>117</v>
      </c>
      <c r="D4120">
        <v>1</v>
      </c>
      <c r="E4120">
        <v>100</v>
      </c>
      <c r="F4120" t="s">
        <v>1</v>
      </c>
      <c r="G4120" s="6">
        <v>45909</v>
      </c>
      <c r="H4120">
        <v>46</v>
      </c>
      <c r="I4120">
        <f>ROUND(CompilDonnées[[#This Row],[CultureDuration_days]]/7,0)</f>
        <v>7</v>
      </c>
      <c r="J4120">
        <v>3032</v>
      </c>
      <c r="K4120" t="str">
        <f>_xlfn.CONCAT(WEEKNUM(CompilDonnées[[#This Row],[PlantationDate]]), " ", YEAR(CompilDonnées[[#This Row],[PlantationDate]]))</f>
        <v>30 2025</v>
      </c>
      <c r="L4120" t="str">
        <f>CONCATENATE(MONTH(CompilDonnées[[#This Row],[PlantationDate]])," ", YEAR(CompilDonnées[[#This Row],[PlantationDate]]))</f>
        <v>7 2025</v>
      </c>
      <c r="M4120" t="str">
        <f>CONCATENATE(MONTH(CompilDonnées[[#This Row],[HarvestingDate]])," ", YEAR(CompilDonnées[[#This Row],[HarvestingDate]]))</f>
        <v>9 2025</v>
      </c>
      <c r="N4120">
        <f>_xlfn.NUMBERVALUE(CompilDonnées[[#This Row],[FarmID]]&amp;CompilDonnées[[#This Row],[ModuleNumber]]&amp;CompilDonnées[[#This Row],[PlantationDate]])</f>
        <v>99145863</v>
      </c>
      <c r="O4120" t="str">
        <f>CompilDonnées[[#This Row],[FarmID]]&amp;CompilDonnées[[#This Row],[ModuleNumber]]</f>
        <v>991</v>
      </c>
      <c r="P4120" t="str">
        <f>CompilDonnées[[#This Row],[Ref_Module]]&amp;CompilDonnées[[#This Row],[HarvestingDate]]</f>
        <v>99145909</v>
      </c>
    </row>
    <row r="4121" spans="1:16">
      <c r="A4121" s="5">
        <v>45863</v>
      </c>
      <c r="B4121">
        <v>99</v>
      </c>
      <c r="C4121" t="s">
        <v>117</v>
      </c>
      <c r="D4121">
        <v>4</v>
      </c>
      <c r="E4121">
        <v>100</v>
      </c>
      <c r="F4121" t="s">
        <v>1</v>
      </c>
      <c r="G4121" s="6">
        <v>45909</v>
      </c>
      <c r="H4121">
        <v>46</v>
      </c>
      <c r="I4121">
        <f>ROUND(CompilDonnées[[#This Row],[CultureDuration_days]]/7,0)</f>
        <v>7</v>
      </c>
      <c r="J4121">
        <v>3033</v>
      </c>
      <c r="K4121" t="str">
        <f>_xlfn.CONCAT(WEEKNUM(CompilDonnées[[#This Row],[PlantationDate]]), " ", YEAR(CompilDonnées[[#This Row],[PlantationDate]]))</f>
        <v>30 2025</v>
      </c>
      <c r="L4121" t="str">
        <f>CONCATENATE(MONTH(CompilDonnées[[#This Row],[PlantationDate]])," ", YEAR(CompilDonnées[[#This Row],[PlantationDate]]))</f>
        <v>7 2025</v>
      </c>
      <c r="M4121" t="str">
        <f>CONCATENATE(MONTH(CompilDonnées[[#This Row],[HarvestingDate]])," ", YEAR(CompilDonnées[[#This Row],[HarvestingDate]]))</f>
        <v>9 2025</v>
      </c>
      <c r="N4121">
        <f>_xlfn.NUMBERVALUE(CompilDonnées[[#This Row],[FarmID]]&amp;CompilDonnées[[#This Row],[ModuleNumber]]&amp;CompilDonnées[[#This Row],[PlantationDate]])</f>
        <v>99445863</v>
      </c>
      <c r="O4121" t="str">
        <f>CompilDonnées[[#This Row],[FarmID]]&amp;CompilDonnées[[#This Row],[ModuleNumber]]</f>
        <v>994</v>
      </c>
      <c r="P4121" t="str">
        <f>CompilDonnées[[#This Row],[Ref_Module]]&amp;CompilDonnées[[#This Row],[HarvestingDate]]</f>
        <v>99445909</v>
      </c>
    </row>
    <row r="4122" spans="1:16">
      <c r="A4122" s="5">
        <v>45863</v>
      </c>
      <c r="B4122">
        <v>94</v>
      </c>
      <c r="C4122" t="s">
        <v>40</v>
      </c>
      <c r="D4122">
        <v>1</v>
      </c>
      <c r="E4122">
        <v>100</v>
      </c>
      <c r="F4122" t="s">
        <v>1</v>
      </c>
      <c r="G4122" s="6">
        <v>45902</v>
      </c>
      <c r="H4122">
        <v>39</v>
      </c>
      <c r="I4122">
        <f>ROUND(CompilDonnées[[#This Row],[CultureDuration_days]]/7,0)</f>
        <v>6</v>
      </c>
      <c r="J4122">
        <v>3494</v>
      </c>
      <c r="K4122" t="str">
        <f>_xlfn.CONCAT(WEEKNUM(CompilDonnées[[#This Row],[PlantationDate]]), " ", YEAR(CompilDonnées[[#This Row],[PlantationDate]]))</f>
        <v>30 2025</v>
      </c>
      <c r="L4122" t="str">
        <f>CONCATENATE(MONTH(CompilDonnées[[#This Row],[PlantationDate]])," ", YEAR(CompilDonnées[[#This Row],[PlantationDate]]))</f>
        <v>7 2025</v>
      </c>
      <c r="M4122" t="str">
        <f>CONCATENATE(MONTH(CompilDonnées[[#This Row],[HarvestingDate]])," ", YEAR(CompilDonnées[[#This Row],[HarvestingDate]]))</f>
        <v>9 2025</v>
      </c>
      <c r="N4122">
        <f>_xlfn.NUMBERVALUE(CompilDonnées[[#This Row],[FarmID]]&amp;CompilDonnées[[#This Row],[ModuleNumber]]&amp;CompilDonnées[[#This Row],[PlantationDate]])</f>
        <v>94145863</v>
      </c>
      <c r="O4122" t="str">
        <f>CompilDonnées[[#This Row],[FarmID]]&amp;CompilDonnées[[#This Row],[ModuleNumber]]</f>
        <v>941</v>
      </c>
      <c r="P4122" t="str">
        <f>CompilDonnées[[#This Row],[Ref_Module]]&amp;CompilDonnées[[#This Row],[HarvestingDate]]</f>
        <v>94145902</v>
      </c>
    </row>
    <row r="4123" spans="1:16">
      <c r="A4123" s="5">
        <v>45863</v>
      </c>
      <c r="B4123">
        <v>105</v>
      </c>
      <c r="C4123" t="s">
        <v>12</v>
      </c>
      <c r="D4123">
        <v>3</v>
      </c>
      <c r="E4123">
        <v>100</v>
      </c>
      <c r="F4123" t="s">
        <v>1</v>
      </c>
      <c r="G4123" s="6">
        <v>45917</v>
      </c>
      <c r="H4123">
        <v>54</v>
      </c>
      <c r="I4123">
        <f>ROUND(CompilDonnées[[#This Row],[CultureDuration_days]]/7,0)</f>
        <v>8</v>
      </c>
      <c r="J4123">
        <v>1455</v>
      </c>
      <c r="K4123" t="str">
        <f>_xlfn.CONCAT(WEEKNUM(CompilDonnées[[#This Row],[PlantationDate]]), " ", YEAR(CompilDonnées[[#This Row],[PlantationDate]]))</f>
        <v>30 2025</v>
      </c>
      <c r="L4123" t="str">
        <f>CONCATENATE(MONTH(CompilDonnées[[#This Row],[PlantationDate]])," ", YEAR(CompilDonnées[[#This Row],[PlantationDate]]))</f>
        <v>7 2025</v>
      </c>
      <c r="M4123" t="str">
        <f>CONCATENATE(MONTH(CompilDonnées[[#This Row],[HarvestingDate]])," ", YEAR(CompilDonnées[[#This Row],[HarvestingDate]]))</f>
        <v>9 2025</v>
      </c>
      <c r="N4123">
        <f>_xlfn.NUMBERVALUE(CompilDonnées[[#This Row],[FarmID]]&amp;CompilDonnées[[#This Row],[ModuleNumber]]&amp;CompilDonnées[[#This Row],[PlantationDate]])</f>
        <v>105345863</v>
      </c>
      <c r="O4123" t="str">
        <f>CompilDonnées[[#This Row],[FarmID]]&amp;CompilDonnées[[#This Row],[ModuleNumber]]</f>
        <v>1053</v>
      </c>
      <c r="P4123" t="str">
        <f>CompilDonnées[[#This Row],[Ref_Module]]&amp;CompilDonnées[[#This Row],[HarvestingDate]]</f>
        <v>105345917</v>
      </c>
    </row>
    <row r="4124" spans="1:16">
      <c r="A4124" s="5">
        <v>45863</v>
      </c>
      <c r="B4124">
        <v>103</v>
      </c>
      <c r="C4124" t="s">
        <v>86</v>
      </c>
      <c r="D4124">
        <v>1</v>
      </c>
      <c r="E4124">
        <v>100</v>
      </c>
      <c r="F4124" t="s">
        <v>1</v>
      </c>
      <c r="G4124" s="6">
        <v>45908</v>
      </c>
      <c r="H4124">
        <v>45</v>
      </c>
      <c r="I4124">
        <f>ROUND(CompilDonnées[[#This Row],[CultureDuration_days]]/7,0)</f>
        <v>6</v>
      </c>
      <c r="J4124">
        <v>1410</v>
      </c>
      <c r="K4124" t="str">
        <f>_xlfn.CONCAT(WEEKNUM(CompilDonnées[[#This Row],[PlantationDate]]), " ", YEAR(CompilDonnées[[#This Row],[PlantationDate]]))</f>
        <v>30 2025</v>
      </c>
      <c r="L4124" t="str">
        <f>CONCATENATE(MONTH(CompilDonnées[[#This Row],[PlantationDate]])," ", YEAR(CompilDonnées[[#This Row],[PlantationDate]]))</f>
        <v>7 2025</v>
      </c>
      <c r="M4124" t="str">
        <f>CONCATENATE(MONTH(CompilDonnées[[#This Row],[HarvestingDate]])," ", YEAR(CompilDonnées[[#This Row],[HarvestingDate]]))</f>
        <v>9 2025</v>
      </c>
      <c r="N4124">
        <f>_xlfn.NUMBERVALUE(CompilDonnées[[#This Row],[FarmID]]&amp;CompilDonnées[[#This Row],[ModuleNumber]]&amp;CompilDonnées[[#This Row],[PlantationDate]])</f>
        <v>103145863</v>
      </c>
      <c r="O4124" t="str">
        <f>CompilDonnées[[#This Row],[FarmID]]&amp;CompilDonnées[[#This Row],[ModuleNumber]]</f>
        <v>1031</v>
      </c>
      <c r="P4124" t="str">
        <f>CompilDonnées[[#This Row],[Ref_Module]]&amp;CompilDonnées[[#This Row],[HarvestingDate]]</f>
        <v>103145908</v>
      </c>
    </row>
    <row r="4125" spans="1:16">
      <c r="A4125" s="5">
        <v>45863</v>
      </c>
      <c r="B4125">
        <v>95</v>
      </c>
      <c r="C4125" t="s">
        <v>90</v>
      </c>
      <c r="D4125">
        <v>5</v>
      </c>
      <c r="E4125">
        <v>100</v>
      </c>
      <c r="F4125" t="s">
        <v>1</v>
      </c>
      <c r="G4125" s="6">
        <v>45909</v>
      </c>
      <c r="H4125">
        <v>46</v>
      </c>
      <c r="I4125">
        <f>ROUND(CompilDonnées[[#This Row],[CultureDuration_days]]/7,0)</f>
        <v>7</v>
      </c>
      <c r="J4125">
        <v>2400</v>
      </c>
      <c r="K4125" t="str">
        <f>_xlfn.CONCAT(WEEKNUM(CompilDonnées[[#This Row],[PlantationDate]]), " ", YEAR(CompilDonnées[[#This Row],[PlantationDate]]))</f>
        <v>30 2025</v>
      </c>
      <c r="L4125" t="str">
        <f>CONCATENATE(MONTH(CompilDonnées[[#This Row],[PlantationDate]])," ", YEAR(CompilDonnées[[#This Row],[PlantationDate]]))</f>
        <v>7 2025</v>
      </c>
      <c r="M4125" t="str">
        <f>CONCATENATE(MONTH(CompilDonnées[[#This Row],[HarvestingDate]])," ", YEAR(CompilDonnées[[#This Row],[HarvestingDate]]))</f>
        <v>9 2025</v>
      </c>
      <c r="N4125">
        <f>_xlfn.NUMBERVALUE(CompilDonnées[[#This Row],[FarmID]]&amp;CompilDonnées[[#This Row],[ModuleNumber]]&amp;CompilDonnées[[#This Row],[PlantationDate]])</f>
        <v>95545863</v>
      </c>
      <c r="O4125" t="str">
        <f>CompilDonnées[[#This Row],[FarmID]]&amp;CompilDonnées[[#This Row],[ModuleNumber]]</f>
        <v>955</v>
      </c>
      <c r="P4125" t="str">
        <f>CompilDonnées[[#This Row],[Ref_Module]]&amp;CompilDonnées[[#This Row],[HarvestingDate]]</f>
        <v>95545909</v>
      </c>
    </row>
    <row r="4126" spans="1:16">
      <c r="A4126" s="5">
        <v>45863</v>
      </c>
      <c r="B4126">
        <v>113</v>
      </c>
      <c r="C4126" t="s">
        <v>16</v>
      </c>
      <c r="D4126">
        <v>3</v>
      </c>
      <c r="E4126">
        <v>100</v>
      </c>
      <c r="F4126" t="s">
        <v>1</v>
      </c>
      <c r="G4126" s="6">
        <v>45903</v>
      </c>
      <c r="H4126">
        <v>40</v>
      </c>
      <c r="I4126">
        <f>ROUND(CompilDonnées[[#This Row],[CultureDuration_days]]/7,0)</f>
        <v>6</v>
      </c>
      <c r="J4126">
        <v>4264</v>
      </c>
      <c r="K4126" t="str">
        <f>_xlfn.CONCAT(WEEKNUM(CompilDonnées[[#This Row],[PlantationDate]]), " ", YEAR(CompilDonnées[[#This Row],[PlantationDate]]))</f>
        <v>30 2025</v>
      </c>
      <c r="L4126" t="str">
        <f>CONCATENATE(MONTH(CompilDonnées[[#This Row],[PlantationDate]])," ", YEAR(CompilDonnées[[#This Row],[PlantationDate]]))</f>
        <v>7 2025</v>
      </c>
      <c r="M4126" t="str">
        <f>CONCATENATE(MONTH(CompilDonnées[[#This Row],[HarvestingDate]])," ", YEAR(CompilDonnées[[#This Row],[HarvestingDate]]))</f>
        <v>9 2025</v>
      </c>
      <c r="N4126">
        <f>_xlfn.NUMBERVALUE(CompilDonnées[[#This Row],[FarmID]]&amp;CompilDonnées[[#This Row],[ModuleNumber]]&amp;CompilDonnées[[#This Row],[PlantationDate]])</f>
        <v>113345863</v>
      </c>
      <c r="O4126" t="str">
        <f>CompilDonnées[[#This Row],[FarmID]]&amp;CompilDonnées[[#This Row],[ModuleNumber]]</f>
        <v>1133</v>
      </c>
      <c r="P4126" t="str">
        <f>CompilDonnées[[#This Row],[Ref_Module]]&amp;CompilDonnées[[#This Row],[HarvestingDate]]</f>
        <v>113345903</v>
      </c>
    </row>
    <row r="4127" spans="1:16">
      <c r="A4127" s="5">
        <v>45863</v>
      </c>
      <c r="B4127">
        <v>112</v>
      </c>
      <c r="C4127" t="s">
        <v>15</v>
      </c>
      <c r="D4127">
        <v>3</v>
      </c>
      <c r="E4127">
        <v>100</v>
      </c>
      <c r="F4127" t="s">
        <v>1</v>
      </c>
      <c r="G4127" s="6">
        <v>45903</v>
      </c>
      <c r="H4127">
        <v>40</v>
      </c>
      <c r="I4127">
        <f>ROUND(CompilDonnées[[#This Row],[CultureDuration_days]]/7,0)</f>
        <v>6</v>
      </c>
      <c r="J4127">
        <v>3013</v>
      </c>
      <c r="K4127" t="str">
        <f>_xlfn.CONCAT(WEEKNUM(CompilDonnées[[#This Row],[PlantationDate]]), " ", YEAR(CompilDonnées[[#This Row],[PlantationDate]]))</f>
        <v>30 2025</v>
      </c>
      <c r="L4127" t="str">
        <f>CONCATENATE(MONTH(CompilDonnées[[#This Row],[PlantationDate]])," ", YEAR(CompilDonnées[[#This Row],[PlantationDate]]))</f>
        <v>7 2025</v>
      </c>
      <c r="M4127" t="str">
        <f>CONCATENATE(MONTH(CompilDonnées[[#This Row],[HarvestingDate]])," ", YEAR(CompilDonnées[[#This Row],[HarvestingDate]]))</f>
        <v>9 2025</v>
      </c>
      <c r="N4127">
        <f>_xlfn.NUMBERVALUE(CompilDonnées[[#This Row],[FarmID]]&amp;CompilDonnées[[#This Row],[ModuleNumber]]&amp;CompilDonnées[[#This Row],[PlantationDate]])</f>
        <v>112345863</v>
      </c>
      <c r="O4127" t="str">
        <f>CompilDonnées[[#This Row],[FarmID]]&amp;CompilDonnées[[#This Row],[ModuleNumber]]</f>
        <v>1123</v>
      </c>
      <c r="P4127" t="str">
        <f>CompilDonnées[[#This Row],[Ref_Module]]&amp;CompilDonnées[[#This Row],[HarvestingDate]]</f>
        <v>112345903</v>
      </c>
    </row>
    <row r="4128" spans="1:16">
      <c r="A4128" s="5">
        <v>45863</v>
      </c>
      <c r="B4128">
        <v>110</v>
      </c>
      <c r="C4128" t="s">
        <v>14</v>
      </c>
      <c r="D4128">
        <v>6</v>
      </c>
      <c r="E4128">
        <v>100</v>
      </c>
      <c r="F4128" t="s">
        <v>1</v>
      </c>
      <c r="G4128" s="6">
        <v>45903</v>
      </c>
      <c r="H4128">
        <v>40</v>
      </c>
      <c r="I4128">
        <f>ROUND(CompilDonnées[[#This Row],[CultureDuration_days]]/7,0)</f>
        <v>6</v>
      </c>
      <c r="J4128">
        <v>3647</v>
      </c>
      <c r="K4128" t="str">
        <f>_xlfn.CONCAT(WEEKNUM(CompilDonnées[[#This Row],[PlantationDate]]), " ", YEAR(CompilDonnées[[#This Row],[PlantationDate]]))</f>
        <v>30 2025</v>
      </c>
      <c r="L4128" t="str">
        <f>CONCATENATE(MONTH(CompilDonnées[[#This Row],[PlantationDate]])," ", YEAR(CompilDonnées[[#This Row],[PlantationDate]]))</f>
        <v>7 2025</v>
      </c>
      <c r="M4128" t="str">
        <f>CONCATENATE(MONTH(CompilDonnées[[#This Row],[HarvestingDate]])," ", YEAR(CompilDonnées[[#This Row],[HarvestingDate]]))</f>
        <v>9 2025</v>
      </c>
      <c r="N4128">
        <f>_xlfn.NUMBERVALUE(CompilDonnées[[#This Row],[FarmID]]&amp;CompilDonnées[[#This Row],[ModuleNumber]]&amp;CompilDonnées[[#This Row],[PlantationDate]])</f>
        <v>110645863</v>
      </c>
      <c r="O4128" t="str">
        <f>CompilDonnées[[#This Row],[FarmID]]&amp;CompilDonnées[[#This Row],[ModuleNumber]]</f>
        <v>1106</v>
      </c>
      <c r="P4128" t="str">
        <f>CompilDonnées[[#This Row],[Ref_Module]]&amp;CompilDonnées[[#This Row],[HarvestingDate]]</f>
        <v>110645903</v>
      </c>
    </row>
    <row r="4129" spans="1:16">
      <c r="A4129" s="5">
        <v>45863</v>
      </c>
      <c r="B4129">
        <v>117</v>
      </c>
      <c r="C4129" t="s">
        <v>11</v>
      </c>
      <c r="D4129">
        <v>4</v>
      </c>
      <c r="E4129">
        <v>100</v>
      </c>
      <c r="F4129" t="s">
        <v>1</v>
      </c>
      <c r="G4129" s="6">
        <v>45908</v>
      </c>
      <c r="H4129">
        <v>45</v>
      </c>
      <c r="I4129">
        <f>ROUND(CompilDonnées[[#This Row],[CultureDuration_days]]/7,0)</f>
        <v>6</v>
      </c>
      <c r="J4129">
        <v>3249</v>
      </c>
      <c r="K4129" t="str">
        <f>_xlfn.CONCAT(WEEKNUM(CompilDonnées[[#This Row],[PlantationDate]]), " ", YEAR(CompilDonnées[[#This Row],[PlantationDate]]))</f>
        <v>30 2025</v>
      </c>
      <c r="L4129" t="str">
        <f>CONCATENATE(MONTH(CompilDonnées[[#This Row],[PlantationDate]])," ", YEAR(CompilDonnées[[#This Row],[PlantationDate]]))</f>
        <v>7 2025</v>
      </c>
      <c r="M4129" t="str">
        <f>CONCATENATE(MONTH(CompilDonnées[[#This Row],[HarvestingDate]])," ", YEAR(CompilDonnées[[#This Row],[HarvestingDate]]))</f>
        <v>9 2025</v>
      </c>
      <c r="N4129">
        <f>_xlfn.NUMBERVALUE(CompilDonnées[[#This Row],[FarmID]]&amp;CompilDonnées[[#This Row],[ModuleNumber]]&amp;CompilDonnées[[#This Row],[PlantationDate]])</f>
        <v>117445863</v>
      </c>
      <c r="O4129" t="str">
        <f>CompilDonnées[[#This Row],[FarmID]]&amp;CompilDonnées[[#This Row],[ModuleNumber]]</f>
        <v>1174</v>
      </c>
      <c r="P4129" t="str">
        <f>CompilDonnées[[#This Row],[Ref_Module]]&amp;CompilDonnées[[#This Row],[HarvestingDate]]</f>
        <v>117445908</v>
      </c>
    </row>
    <row r="4130" spans="1:16">
      <c r="A4130" s="5">
        <v>45863</v>
      </c>
      <c r="B4130">
        <v>115</v>
      </c>
      <c r="C4130" t="s">
        <v>121</v>
      </c>
      <c r="D4130">
        <v>2</v>
      </c>
      <c r="E4130">
        <v>100</v>
      </c>
      <c r="F4130" t="s">
        <v>1</v>
      </c>
      <c r="G4130" s="6">
        <v>45904</v>
      </c>
      <c r="H4130">
        <v>41</v>
      </c>
      <c r="I4130">
        <f>ROUND(CompilDonnées[[#This Row],[CultureDuration_days]]/7,0)</f>
        <v>6</v>
      </c>
      <c r="J4130">
        <v>1613</v>
      </c>
      <c r="K4130" t="str">
        <f>_xlfn.CONCAT(WEEKNUM(CompilDonnées[[#This Row],[PlantationDate]]), " ", YEAR(CompilDonnées[[#This Row],[PlantationDate]]))</f>
        <v>30 2025</v>
      </c>
      <c r="L4130" t="str">
        <f>CONCATENATE(MONTH(CompilDonnées[[#This Row],[PlantationDate]])," ", YEAR(CompilDonnées[[#This Row],[PlantationDate]]))</f>
        <v>7 2025</v>
      </c>
      <c r="M4130" t="str">
        <f>CONCATENATE(MONTH(CompilDonnées[[#This Row],[HarvestingDate]])," ", YEAR(CompilDonnées[[#This Row],[HarvestingDate]]))</f>
        <v>9 2025</v>
      </c>
      <c r="N4130">
        <f>_xlfn.NUMBERVALUE(CompilDonnées[[#This Row],[FarmID]]&amp;CompilDonnées[[#This Row],[ModuleNumber]]&amp;CompilDonnées[[#This Row],[PlantationDate]])</f>
        <v>115245863</v>
      </c>
      <c r="O4130" t="str">
        <f>CompilDonnées[[#This Row],[FarmID]]&amp;CompilDonnées[[#This Row],[ModuleNumber]]</f>
        <v>1152</v>
      </c>
      <c r="P4130" t="str">
        <f>CompilDonnées[[#This Row],[Ref_Module]]&amp;CompilDonnées[[#This Row],[HarvestingDate]]</f>
        <v>115245904</v>
      </c>
    </row>
    <row r="4131" spans="1:16">
      <c r="A4131" s="5">
        <v>45863</v>
      </c>
      <c r="B4131">
        <v>116</v>
      </c>
      <c r="C4131" t="s">
        <v>76</v>
      </c>
      <c r="D4131">
        <v>1</v>
      </c>
      <c r="E4131">
        <v>100</v>
      </c>
      <c r="F4131" t="s">
        <v>1</v>
      </c>
      <c r="G4131" s="6">
        <v>45904</v>
      </c>
      <c r="H4131">
        <v>41</v>
      </c>
      <c r="I4131">
        <f>ROUND(CompilDonnées[[#This Row],[CultureDuration_days]]/7,0)</f>
        <v>6</v>
      </c>
      <c r="J4131">
        <v>2105</v>
      </c>
      <c r="K4131" t="str">
        <f>_xlfn.CONCAT(WEEKNUM(CompilDonnées[[#This Row],[PlantationDate]]), " ", YEAR(CompilDonnées[[#This Row],[PlantationDate]]))</f>
        <v>30 2025</v>
      </c>
      <c r="L4131" t="str">
        <f>CONCATENATE(MONTH(CompilDonnées[[#This Row],[PlantationDate]])," ", YEAR(CompilDonnées[[#This Row],[PlantationDate]]))</f>
        <v>7 2025</v>
      </c>
      <c r="M4131" t="str">
        <f>CONCATENATE(MONTH(CompilDonnées[[#This Row],[HarvestingDate]])," ", YEAR(CompilDonnées[[#This Row],[HarvestingDate]]))</f>
        <v>9 2025</v>
      </c>
      <c r="N4131">
        <f>_xlfn.NUMBERVALUE(CompilDonnées[[#This Row],[FarmID]]&amp;CompilDonnées[[#This Row],[ModuleNumber]]&amp;CompilDonnées[[#This Row],[PlantationDate]])</f>
        <v>116145863</v>
      </c>
      <c r="O4131" t="str">
        <f>CompilDonnées[[#This Row],[FarmID]]&amp;CompilDonnées[[#This Row],[ModuleNumber]]</f>
        <v>1161</v>
      </c>
      <c r="P4131" t="str">
        <f>CompilDonnées[[#This Row],[Ref_Module]]&amp;CompilDonnées[[#This Row],[HarvestingDate]]</f>
        <v>116145904</v>
      </c>
    </row>
    <row r="4132" spans="1:16">
      <c r="A4132" s="5">
        <v>45863</v>
      </c>
      <c r="B4132">
        <v>125</v>
      </c>
      <c r="C4132" t="s">
        <v>101</v>
      </c>
      <c r="D4132">
        <v>2</v>
      </c>
      <c r="E4132">
        <v>100</v>
      </c>
      <c r="F4132" t="s">
        <v>1</v>
      </c>
      <c r="G4132" s="6">
        <v>45909</v>
      </c>
      <c r="H4132">
        <v>46</v>
      </c>
      <c r="I4132">
        <f>ROUND(CompilDonnées[[#This Row],[CultureDuration_days]]/7,0)</f>
        <v>7</v>
      </c>
      <c r="J4132">
        <v>3639</v>
      </c>
      <c r="K4132" t="str">
        <f>_xlfn.CONCAT(WEEKNUM(CompilDonnées[[#This Row],[PlantationDate]]), " ", YEAR(CompilDonnées[[#This Row],[PlantationDate]]))</f>
        <v>30 2025</v>
      </c>
      <c r="L4132" t="str">
        <f>CONCATENATE(MONTH(CompilDonnées[[#This Row],[PlantationDate]])," ", YEAR(CompilDonnées[[#This Row],[PlantationDate]]))</f>
        <v>7 2025</v>
      </c>
      <c r="M4132" t="str">
        <f>CONCATENATE(MONTH(CompilDonnées[[#This Row],[HarvestingDate]])," ", YEAR(CompilDonnées[[#This Row],[HarvestingDate]]))</f>
        <v>9 2025</v>
      </c>
      <c r="N4132">
        <f>_xlfn.NUMBERVALUE(CompilDonnées[[#This Row],[FarmID]]&amp;CompilDonnées[[#This Row],[ModuleNumber]]&amp;CompilDonnées[[#This Row],[PlantationDate]])</f>
        <v>125245863</v>
      </c>
      <c r="O4132" t="str">
        <f>CompilDonnées[[#This Row],[FarmID]]&amp;CompilDonnées[[#This Row],[ModuleNumber]]</f>
        <v>1252</v>
      </c>
      <c r="P4132" t="str">
        <f>CompilDonnées[[#This Row],[Ref_Module]]&amp;CompilDonnées[[#This Row],[HarvestingDate]]</f>
        <v>125245909</v>
      </c>
    </row>
    <row r="4133" spans="1:16">
      <c r="A4133" s="5">
        <v>45863</v>
      </c>
      <c r="B4133">
        <v>143</v>
      </c>
      <c r="C4133" t="s">
        <v>81</v>
      </c>
      <c r="D4133">
        <v>6</v>
      </c>
      <c r="E4133">
        <v>100</v>
      </c>
      <c r="F4133" t="s">
        <v>1</v>
      </c>
      <c r="G4133" s="6">
        <v>45908</v>
      </c>
      <c r="H4133">
        <v>45</v>
      </c>
      <c r="I4133">
        <f>ROUND(CompilDonnées[[#This Row],[CultureDuration_days]]/7,0)</f>
        <v>6</v>
      </c>
      <c r="J4133">
        <v>2109</v>
      </c>
      <c r="K4133" t="str">
        <f>_xlfn.CONCAT(WEEKNUM(CompilDonnées[[#This Row],[PlantationDate]]), " ", YEAR(CompilDonnées[[#This Row],[PlantationDate]]))</f>
        <v>30 2025</v>
      </c>
      <c r="L4133" t="str">
        <f>CONCATENATE(MONTH(CompilDonnées[[#This Row],[PlantationDate]])," ", YEAR(CompilDonnées[[#This Row],[PlantationDate]]))</f>
        <v>7 2025</v>
      </c>
      <c r="M4133" t="str">
        <f>CONCATENATE(MONTH(CompilDonnées[[#This Row],[HarvestingDate]])," ", YEAR(CompilDonnées[[#This Row],[HarvestingDate]]))</f>
        <v>9 2025</v>
      </c>
      <c r="N4133">
        <f>_xlfn.NUMBERVALUE(CompilDonnées[[#This Row],[FarmID]]&amp;CompilDonnées[[#This Row],[ModuleNumber]]&amp;CompilDonnées[[#This Row],[PlantationDate]])</f>
        <v>143645863</v>
      </c>
      <c r="O4133" t="str">
        <f>CompilDonnées[[#This Row],[FarmID]]&amp;CompilDonnées[[#This Row],[ModuleNumber]]</f>
        <v>1436</v>
      </c>
      <c r="P4133" t="str">
        <f>CompilDonnées[[#This Row],[Ref_Module]]&amp;CompilDonnées[[#This Row],[HarvestingDate]]</f>
        <v>143645908</v>
      </c>
    </row>
    <row r="4134" spans="1:16">
      <c r="A4134" s="5">
        <v>45863</v>
      </c>
      <c r="B4134">
        <v>122</v>
      </c>
      <c r="C4134" t="s">
        <v>122</v>
      </c>
      <c r="D4134">
        <v>3</v>
      </c>
      <c r="E4134">
        <v>100</v>
      </c>
      <c r="F4134" t="s">
        <v>1</v>
      </c>
      <c r="G4134" s="6">
        <v>45904</v>
      </c>
      <c r="H4134">
        <v>41</v>
      </c>
      <c r="I4134">
        <f>ROUND(CompilDonnées[[#This Row],[CultureDuration_days]]/7,0)</f>
        <v>6</v>
      </c>
      <c r="J4134">
        <v>1739</v>
      </c>
      <c r="K4134" t="str">
        <f>_xlfn.CONCAT(WEEKNUM(CompilDonnées[[#This Row],[PlantationDate]]), " ", YEAR(CompilDonnées[[#This Row],[PlantationDate]]))</f>
        <v>30 2025</v>
      </c>
      <c r="L4134" t="str">
        <f>CONCATENATE(MONTH(CompilDonnées[[#This Row],[PlantationDate]])," ", YEAR(CompilDonnées[[#This Row],[PlantationDate]]))</f>
        <v>7 2025</v>
      </c>
      <c r="M4134" t="str">
        <f>CONCATENATE(MONTH(CompilDonnées[[#This Row],[HarvestingDate]])," ", YEAR(CompilDonnées[[#This Row],[HarvestingDate]]))</f>
        <v>9 2025</v>
      </c>
      <c r="N4134">
        <f>_xlfn.NUMBERVALUE(CompilDonnées[[#This Row],[FarmID]]&amp;CompilDonnées[[#This Row],[ModuleNumber]]&amp;CompilDonnées[[#This Row],[PlantationDate]])</f>
        <v>122345863</v>
      </c>
      <c r="O4134" t="str">
        <f>CompilDonnées[[#This Row],[FarmID]]&amp;CompilDonnées[[#This Row],[ModuleNumber]]</f>
        <v>1223</v>
      </c>
      <c r="P4134" t="str">
        <f>CompilDonnées[[#This Row],[Ref_Module]]&amp;CompilDonnées[[#This Row],[HarvestingDate]]</f>
        <v>122345904</v>
      </c>
    </row>
    <row r="4135" spans="1:16">
      <c r="A4135" s="5">
        <v>45863</v>
      </c>
      <c r="B4135">
        <v>145</v>
      </c>
      <c r="C4135" t="s">
        <v>3</v>
      </c>
      <c r="D4135">
        <v>3</v>
      </c>
      <c r="E4135">
        <v>60</v>
      </c>
      <c r="F4135" t="s">
        <v>105</v>
      </c>
      <c r="G4135" s="6">
        <v>45915</v>
      </c>
      <c r="H4135">
        <v>52</v>
      </c>
      <c r="I4135">
        <f>ROUND(CompilDonnées[[#This Row],[CultureDuration_days]]/7,0)</f>
        <v>7</v>
      </c>
      <c r="J4135">
        <v>752</v>
      </c>
      <c r="K4135" t="str">
        <f>_xlfn.CONCAT(WEEKNUM(CompilDonnées[[#This Row],[PlantationDate]]), " ", YEAR(CompilDonnées[[#This Row],[PlantationDate]]))</f>
        <v>30 2025</v>
      </c>
      <c r="L4135" t="str">
        <f>CONCATENATE(MONTH(CompilDonnées[[#This Row],[PlantationDate]])," ", YEAR(CompilDonnées[[#This Row],[PlantationDate]]))</f>
        <v>7 2025</v>
      </c>
      <c r="M4135" t="str">
        <f>CONCATENATE(MONTH(CompilDonnées[[#This Row],[HarvestingDate]])," ", YEAR(CompilDonnées[[#This Row],[HarvestingDate]]))</f>
        <v>9 2025</v>
      </c>
      <c r="N4135">
        <f>_xlfn.NUMBERVALUE(CompilDonnées[[#This Row],[FarmID]]&amp;CompilDonnées[[#This Row],[ModuleNumber]]&amp;CompilDonnées[[#This Row],[PlantationDate]])</f>
        <v>145345863</v>
      </c>
      <c r="O4135" t="str">
        <f>CompilDonnées[[#This Row],[FarmID]]&amp;CompilDonnées[[#This Row],[ModuleNumber]]</f>
        <v>1453</v>
      </c>
      <c r="P4135" t="str">
        <f>CompilDonnées[[#This Row],[Ref_Module]]&amp;CompilDonnées[[#This Row],[HarvestingDate]]</f>
        <v>145345915</v>
      </c>
    </row>
    <row r="4136" spans="1:16">
      <c r="A4136" s="5">
        <v>45864</v>
      </c>
      <c r="B4136">
        <v>100</v>
      </c>
      <c r="C4136" t="s">
        <v>84</v>
      </c>
      <c r="D4136">
        <v>4</v>
      </c>
      <c r="E4136">
        <v>100</v>
      </c>
      <c r="F4136" t="s">
        <v>1</v>
      </c>
      <c r="G4136" s="6">
        <v>45909</v>
      </c>
      <c r="H4136">
        <v>45</v>
      </c>
      <c r="I4136">
        <f>ROUND(CompilDonnées[[#This Row],[CultureDuration_days]]/7,0)</f>
        <v>6</v>
      </c>
      <c r="J4136">
        <v>2870</v>
      </c>
      <c r="K4136" t="str">
        <f>_xlfn.CONCAT(WEEKNUM(CompilDonnées[[#This Row],[PlantationDate]]), " ", YEAR(CompilDonnées[[#This Row],[PlantationDate]]))</f>
        <v>30 2025</v>
      </c>
      <c r="L4136" t="str">
        <f>CONCATENATE(MONTH(CompilDonnées[[#This Row],[PlantationDate]])," ", YEAR(CompilDonnées[[#This Row],[PlantationDate]]))</f>
        <v>7 2025</v>
      </c>
      <c r="M4136" t="str">
        <f>CONCATENATE(MONTH(CompilDonnées[[#This Row],[HarvestingDate]])," ", YEAR(CompilDonnées[[#This Row],[HarvestingDate]]))</f>
        <v>9 2025</v>
      </c>
      <c r="N4136">
        <f>_xlfn.NUMBERVALUE(CompilDonnées[[#This Row],[FarmID]]&amp;CompilDonnées[[#This Row],[ModuleNumber]]&amp;CompilDonnées[[#This Row],[PlantationDate]])</f>
        <v>100445864</v>
      </c>
      <c r="O4136" t="str">
        <f>CompilDonnées[[#This Row],[FarmID]]&amp;CompilDonnées[[#This Row],[ModuleNumber]]</f>
        <v>1004</v>
      </c>
      <c r="P4136" t="str">
        <f>CompilDonnées[[#This Row],[Ref_Module]]&amp;CompilDonnées[[#This Row],[HarvestingDate]]</f>
        <v>100445909</v>
      </c>
    </row>
    <row r="4137" spans="1:16">
      <c r="A4137" s="5">
        <v>45864</v>
      </c>
      <c r="B4137">
        <v>47</v>
      </c>
      <c r="C4137" t="s">
        <v>104</v>
      </c>
      <c r="D4137">
        <v>1</v>
      </c>
      <c r="E4137">
        <v>100</v>
      </c>
      <c r="F4137" t="s">
        <v>1</v>
      </c>
      <c r="G4137" s="6">
        <v>45911</v>
      </c>
      <c r="H4137">
        <v>47</v>
      </c>
      <c r="I4137">
        <f>ROUND(CompilDonnées[[#This Row],[CultureDuration_days]]/7,0)</f>
        <v>7</v>
      </c>
      <c r="J4137">
        <v>2585</v>
      </c>
      <c r="K4137" t="str">
        <f>_xlfn.CONCAT(WEEKNUM(CompilDonnées[[#This Row],[PlantationDate]]), " ", YEAR(CompilDonnées[[#This Row],[PlantationDate]]))</f>
        <v>30 2025</v>
      </c>
      <c r="L4137" t="str">
        <f>CONCATENATE(MONTH(CompilDonnées[[#This Row],[PlantationDate]])," ", YEAR(CompilDonnées[[#This Row],[PlantationDate]]))</f>
        <v>7 2025</v>
      </c>
      <c r="M4137" t="str">
        <f>CONCATENATE(MONTH(CompilDonnées[[#This Row],[HarvestingDate]])," ", YEAR(CompilDonnées[[#This Row],[HarvestingDate]]))</f>
        <v>9 2025</v>
      </c>
      <c r="N4137">
        <f>_xlfn.NUMBERVALUE(CompilDonnées[[#This Row],[FarmID]]&amp;CompilDonnées[[#This Row],[ModuleNumber]]&amp;CompilDonnées[[#This Row],[PlantationDate]])</f>
        <v>47145864</v>
      </c>
      <c r="O4137" t="str">
        <f>CompilDonnées[[#This Row],[FarmID]]&amp;CompilDonnées[[#This Row],[ModuleNumber]]</f>
        <v>471</v>
      </c>
      <c r="P4137" t="str">
        <f>CompilDonnées[[#This Row],[Ref_Module]]&amp;CompilDonnées[[#This Row],[HarvestingDate]]</f>
        <v>47145911</v>
      </c>
    </row>
    <row r="4138" spans="1:16">
      <c r="A4138" s="5">
        <v>45864</v>
      </c>
      <c r="B4138">
        <v>38</v>
      </c>
      <c r="C4138" t="s">
        <v>34</v>
      </c>
      <c r="D4138">
        <v>5</v>
      </c>
      <c r="E4138">
        <v>100</v>
      </c>
      <c r="F4138" t="s">
        <v>1</v>
      </c>
      <c r="G4138" s="6">
        <v>45901</v>
      </c>
      <c r="H4138">
        <v>37</v>
      </c>
      <c r="I4138">
        <f>ROUND(CompilDonnées[[#This Row],[CultureDuration_days]]/7,0)</f>
        <v>5</v>
      </c>
      <c r="J4138">
        <v>3496</v>
      </c>
      <c r="K4138" t="str">
        <f>_xlfn.CONCAT(WEEKNUM(CompilDonnées[[#This Row],[PlantationDate]]), " ", YEAR(CompilDonnées[[#This Row],[PlantationDate]]))</f>
        <v>30 2025</v>
      </c>
      <c r="L4138" t="str">
        <f>CONCATENATE(MONTH(CompilDonnées[[#This Row],[PlantationDate]])," ", YEAR(CompilDonnées[[#This Row],[PlantationDate]]))</f>
        <v>7 2025</v>
      </c>
      <c r="M4138" t="str">
        <f>CONCATENATE(MONTH(CompilDonnées[[#This Row],[HarvestingDate]])," ", YEAR(CompilDonnées[[#This Row],[HarvestingDate]]))</f>
        <v>9 2025</v>
      </c>
      <c r="N4138">
        <f>_xlfn.NUMBERVALUE(CompilDonnées[[#This Row],[FarmID]]&amp;CompilDonnées[[#This Row],[ModuleNumber]]&amp;CompilDonnées[[#This Row],[PlantationDate]])</f>
        <v>38545864</v>
      </c>
      <c r="O4138" t="str">
        <f>CompilDonnées[[#This Row],[FarmID]]&amp;CompilDonnées[[#This Row],[ModuleNumber]]</f>
        <v>385</v>
      </c>
      <c r="P4138" t="str">
        <f>CompilDonnées[[#This Row],[Ref_Module]]&amp;CompilDonnées[[#This Row],[HarvestingDate]]</f>
        <v>38545901</v>
      </c>
    </row>
    <row r="4139" spans="1:16">
      <c r="A4139" s="5">
        <v>45864</v>
      </c>
      <c r="B4139">
        <v>119</v>
      </c>
      <c r="C4139" t="s">
        <v>59</v>
      </c>
      <c r="D4139">
        <v>5</v>
      </c>
      <c r="E4139">
        <v>100</v>
      </c>
      <c r="F4139" t="s">
        <v>1</v>
      </c>
      <c r="G4139" s="6">
        <v>45904</v>
      </c>
      <c r="H4139">
        <v>40</v>
      </c>
      <c r="I4139">
        <f>ROUND(CompilDonnées[[#This Row],[CultureDuration_days]]/7,0)</f>
        <v>6</v>
      </c>
      <c r="J4139">
        <v>3304</v>
      </c>
      <c r="K4139" t="str">
        <f>_xlfn.CONCAT(WEEKNUM(CompilDonnées[[#This Row],[PlantationDate]]), " ", YEAR(CompilDonnées[[#This Row],[PlantationDate]]))</f>
        <v>30 2025</v>
      </c>
      <c r="L4139" t="str">
        <f>CONCATENATE(MONTH(CompilDonnées[[#This Row],[PlantationDate]])," ", YEAR(CompilDonnées[[#This Row],[PlantationDate]]))</f>
        <v>7 2025</v>
      </c>
      <c r="M4139" t="str">
        <f>CONCATENATE(MONTH(CompilDonnées[[#This Row],[HarvestingDate]])," ", YEAR(CompilDonnées[[#This Row],[HarvestingDate]]))</f>
        <v>9 2025</v>
      </c>
      <c r="N4139">
        <f>_xlfn.NUMBERVALUE(CompilDonnées[[#This Row],[FarmID]]&amp;CompilDonnées[[#This Row],[ModuleNumber]]&amp;CompilDonnées[[#This Row],[PlantationDate]])</f>
        <v>119545864</v>
      </c>
      <c r="O4139" t="str">
        <f>CompilDonnées[[#This Row],[FarmID]]&amp;CompilDonnées[[#This Row],[ModuleNumber]]</f>
        <v>1195</v>
      </c>
      <c r="P4139" t="str">
        <f>CompilDonnées[[#This Row],[Ref_Module]]&amp;CompilDonnées[[#This Row],[HarvestingDate]]</f>
        <v>119545904</v>
      </c>
    </row>
    <row r="4140" spans="1:16">
      <c r="A4140" s="5">
        <v>45864</v>
      </c>
      <c r="B4140">
        <v>118</v>
      </c>
      <c r="C4140" t="s">
        <v>51</v>
      </c>
      <c r="D4140">
        <v>5</v>
      </c>
      <c r="E4140">
        <v>100</v>
      </c>
      <c r="F4140" t="s">
        <v>1</v>
      </c>
      <c r="G4140" s="6">
        <v>45904</v>
      </c>
      <c r="H4140">
        <v>40</v>
      </c>
      <c r="I4140">
        <f>ROUND(CompilDonnées[[#This Row],[CultureDuration_days]]/7,0)</f>
        <v>6</v>
      </c>
      <c r="J4140">
        <v>3241</v>
      </c>
      <c r="K4140" t="str">
        <f>_xlfn.CONCAT(WEEKNUM(CompilDonnées[[#This Row],[PlantationDate]]), " ", YEAR(CompilDonnées[[#This Row],[PlantationDate]]))</f>
        <v>30 2025</v>
      </c>
      <c r="L4140" t="str">
        <f>CONCATENATE(MONTH(CompilDonnées[[#This Row],[PlantationDate]])," ", YEAR(CompilDonnées[[#This Row],[PlantationDate]]))</f>
        <v>7 2025</v>
      </c>
      <c r="M4140" t="str">
        <f>CONCATENATE(MONTH(CompilDonnées[[#This Row],[HarvestingDate]])," ", YEAR(CompilDonnées[[#This Row],[HarvestingDate]]))</f>
        <v>9 2025</v>
      </c>
      <c r="N4140">
        <f>_xlfn.NUMBERVALUE(CompilDonnées[[#This Row],[FarmID]]&amp;CompilDonnées[[#This Row],[ModuleNumber]]&amp;CompilDonnées[[#This Row],[PlantationDate]])</f>
        <v>118545864</v>
      </c>
      <c r="O4140" t="str">
        <f>CompilDonnées[[#This Row],[FarmID]]&amp;CompilDonnées[[#This Row],[ModuleNumber]]</f>
        <v>1185</v>
      </c>
      <c r="P4140" t="str">
        <f>CompilDonnées[[#This Row],[Ref_Module]]&amp;CompilDonnées[[#This Row],[HarvestingDate]]</f>
        <v>118545904</v>
      </c>
    </row>
    <row r="4141" spans="1:16">
      <c r="A4141" s="5">
        <v>45864</v>
      </c>
      <c r="B4141">
        <v>120</v>
      </c>
      <c r="C4141" t="s">
        <v>100</v>
      </c>
      <c r="D4141">
        <v>6</v>
      </c>
      <c r="E4141">
        <v>100</v>
      </c>
      <c r="F4141" t="s">
        <v>1</v>
      </c>
      <c r="G4141" s="6">
        <v>45908</v>
      </c>
      <c r="H4141">
        <v>44</v>
      </c>
      <c r="I4141">
        <f>ROUND(CompilDonnées[[#This Row],[CultureDuration_days]]/7,0)</f>
        <v>6</v>
      </c>
      <c r="J4141">
        <v>4259</v>
      </c>
      <c r="K4141" t="str">
        <f>_xlfn.CONCAT(WEEKNUM(CompilDonnées[[#This Row],[PlantationDate]]), " ", YEAR(CompilDonnées[[#This Row],[PlantationDate]]))</f>
        <v>30 2025</v>
      </c>
      <c r="L4141" t="str">
        <f>CONCATENATE(MONTH(CompilDonnées[[#This Row],[PlantationDate]])," ", YEAR(CompilDonnées[[#This Row],[PlantationDate]]))</f>
        <v>7 2025</v>
      </c>
      <c r="M4141" t="str">
        <f>CONCATENATE(MONTH(CompilDonnées[[#This Row],[HarvestingDate]])," ", YEAR(CompilDonnées[[#This Row],[HarvestingDate]]))</f>
        <v>9 2025</v>
      </c>
      <c r="N4141">
        <f>_xlfn.NUMBERVALUE(CompilDonnées[[#This Row],[FarmID]]&amp;CompilDonnées[[#This Row],[ModuleNumber]]&amp;CompilDonnées[[#This Row],[PlantationDate]])</f>
        <v>120645864</v>
      </c>
      <c r="O4141" t="str">
        <f>CompilDonnées[[#This Row],[FarmID]]&amp;CompilDonnées[[#This Row],[ModuleNumber]]</f>
        <v>1206</v>
      </c>
      <c r="P4141" t="str">
        <f>CompilDonnées[[#This Row],[Ref_Module]]&amp;CompilDonnées[[#This Row],[HarvestingDate]]</f>
        <v>120645908</v>
      </c>
    </row>
    <row r="4142" spans="1:16">
      <c r="A4142" s="5">
        <v>45864</v>
      </c>
      <c r="B4142">
        <v>122</v>
      </c>
      <c r="C4142" t="s">
        <v>122</v>
      </c>
      <c r="D4142">
        <v>4</v>
      </c>
      <c r="E4142">
        <v>100</v>
      </c>
      <c r="F4142" t="s">
        <v>1</v>
      </c>
      <c r="G4142" s="6">
        <v>45908</v>
      </c>
      <c r="H4142">
        <v>44</v>
      </c>
      <c r="I4142">
        <f>ROUND(CompilDonnées[[#This Row],[CultureDuration_days]]/7,0)</f>
        <v>6</v>
      </c>
      <c r="J4142">
        <v>1814</v>
      </c>
      <c r="K4142" t="str">
        <f>_xlfn.CONCAT(WEEKNUM(CompilDonnées[[#This Row],[PlantationDate]]), " ", YEAR(CompilDonnées[[#This Row],[PlantationDate]]))</f>
        <v>30 2025</v>
      </c>
      <c r="L4142" t="str">
        <f>CONCATENATE(MONTH(CompilDonnées[[#This Row],[PlantationDate]])," ", YEAR(CompilDonnées[[#This Row],[PlantationDate]]))</f>
        <v>7 2025</v>
      </c>
      <c r="M4142" t="str">
        <f>CONCATENATE(MONTH(CompilDonnées[[#This Row],[HarvestingDate]])," ", YEAR(CompilDonnées[[#This Row],[HarvestingDate]]))</f>
        <v>9 2025</v>
      </c>
      <c r="N4142">
        <f>_xlfn.NUMBERVALUE(CompilDonnées[[#This Row],[FarmID]]&amp;CompilDonnées[[#This Row],[ModuleNumber]]&amp;CompilDonnées[[#This Row],[PlantationDate]])</f>
        <v>122445864</v>
      </c>
      <c r="O4142" t="str">
        <f>CompilDonnées[[#This Row],[FarmID]]&amp;CompilDonnées[[#This Row],[ModuleNumber]]</f>
        <v>1224</v>
      </c>
      <c r="P4142" t="str">
        <f>CompilDonnées[[#This Row],[Ref_Module]]&amp;CompilDonnées[[#This Row],[HarvestingDate]]</f>
        <v>122445908</v>
      </c>
    </row>
    <row r="4143" spans="1:16">
      <c r="A4143" s="5">
        <v>45864</v>
      </c>
      <c r="B4143">
        <v>124</v>
      </c>
      <c r="C4143" t="s">
        <v>115</v>
      </c>
      <c r="D4143">
        <v>2</v>
      </c>
      <c r="E4143">
        <v>100</v>
      </c>
      <c r="F4143" t="s">
        <v>1</v>
      </c>
      <c r="G4143" s="6">
        <v>45918</v>
      </c>
      <c r="H4143">
        <v>54</v>
      </c>
      <c r="I4143">
        <f>ROUND(CompilDonnées[[#This Row],[CultureDuration_days]]/7,0)</f>
        <v>8</v>
      </c>
      <c r="J4143">
        <v>3833</v>
      </c>
      <c r="K4143" t="str">
        <f>_xlfn.CONCAT(WEEKNUM(CompilDonnées[[#This Row],[PlantationDate]]), " ", YEAR(CompilDonnées[[#This Row],[PlantationDate]]))</f>
        <v>30 2025</v>
      </c>
      <c r="L4143" t="str">
        <f>CONCATENATE(MONTH(CompilDonnées[[#This Row],[PlantationDate]])," ", YEAR(CompilDonnées[[#This Row],[PlantationDate]]))</f>
        <v>7 2025</v>
      </c>
      <c r="M4143" t="str">
        <f>CONCATENATE(MONTH(CompilDonnées[[#This Row],[HarvestingDate]])," ", YEAR(CompilDonnées[[#This Row],[HarvestingDate]]))</f>
        <v>9 2025</v>
      </c>
      <c r="N4143">
        <f>_xlfn.NUMBERVALUE(CompilDonnées[[#This Row],[FarmID]]&amp;CompilDonnées[[#This Row],[ModuleNumber]]&amp;CompilDonnées[[#This Row],[PlantationDate]])</f>
        <v>124245864</v>
      </c>
      <c r="O4143" t="str">
        <f>CompilDonnées[[#This Row],[FarmID]]&amp;CompilDonnées[[#This Row],[ModuleNumber]]</f>
        <v>1242</v>
      </c>
      <c r="P4143" t="str">
        <f>CompilDonnées[[#This Row],[Ref_Module]]&amp;CompilDonnées[[#This Row],[HarvestingDate]]</f>
        <v>124245918</v>
      </c>
    </row>
    <row r="4144" spans="1:16">
      <c r="A4144" s="5">
        <v>45864</v>
      </c>
      <c r="B4144">
        <v>124</v>
      </c>
      <c r="C4144" t="s">
        <v>115</v>
      </c>
      <c r="D4144">
        <v>5</v>
      </c>
      <c r="E4144">
        <v>100</v>
      </c>
      <c r="F4144" t="s">
        <v>1</v>
      </c>
      <c r="G4144" s="6">
        <v>45908</v>
      </c>
      <c r="H4144">
        <v>44</v>
      </c>
      <c r="I4144">
        <f>ROUND(CompilDonnées[[#This Row],[CultureDuration_days]]/7,0)</f>
        <v>6</v>
      </c>
      <c r="J4144">
        <v>3832</v>
      </c>
      <c r="K4144" t="str">
        <f>_xlfn.CONCAT(WEEKNUM(CompilDonnées[[#This Row],[PlantationDate]]), " ", YEAR(CompilDonnées[[#This Row],[PlantationDate]]))</f>
        <v>30 2025</v>
      </c>
      <c r="L4144" t="str">
        <f>CONCATENATE(MONTH(CompilDonnées[[#This Row],[PlantationDate]])," ", YEAR(CompilDonnées[[#This Row],[PlantationDate]]))</f>
        <v>7 2025</v>
      </c>
      <c r="M4144" t="str">
        <f>CONCATENATE(MONTH(CompilDonnées[[#This Row],[HarvestingDate]])," ", YEAR(CompilDonnées[[#This Row],[HarvestingDate]]))</f>
        <v>9 2025</v>
      </c>
      <c r="N4144">
        <f>_xlfn.NUMBERVALUE(CompilDonnées[[#This Row],[FarmID]]&amp;CompilDonnées[[#This Row],[ModuleNumber]]&amp;CompilDonnées[[#This Row],[PlantationDate]])</f>
        <v>124545864</v>
      </c>
      <c r="O4144" t="str">
        <f>CompilDonnées[[#This Row],[FarmID]]&amp;CompilDonnées[[#This Row],[ModuleNumber]]</f>
        <v>1245</v>
      </c>
      <c r="P4144" t="str">
        <f>CompilDonnées[[#This Row],[Ref_Module]]&amp;CompilDonnées[[#This Row],[HarvestingDate]]</f>
        <v>124545908</v>
      </c>
    </row>
    <row r="4145" spans="1:16">
      <c r="A4145" s="5">
        <v>45864</v>
      </c>
      <c r="B4145">
        <v>125</v>
      </c>
      <c r="C4145" t="s">
        <v>101</v>
      </c>
      <c r="D4145">
        <v>1</v>
      </c>
      <c r="E4145">
        <v>100</v>
      </c>
      <c r="F4145" t="s">
        <v>1</v>
      </c>
      <c r="G4145" s="6">
        <v>45909</v>
      </c>
      <c r="H4145">
        <v>45</v>
      </c>
      <c r="I4145">
        <f>ROUND(CompilDonnées[[#This Row],[CultureDuration_days]]/7,0)</f>
        <v>6</v>
      </c>
      <c r="J4145">
        <v>3576</v>
      </c>
      <c r="K4145" t="str">
        <f>_xlfn.CONCAT(WEEKNUM(CompilDonnées[[#This Row],[PlantationDate]]), " ", YEAR(CompilDonnées[[#This Row],[PlantationDate]]))</f>
        <v>30 2025</v>
      </c>
      <c r="L4145" t="str">
        <f>CONCATENATE(MONTH(CompilDonnées[[#This Row],[PlantationDate]])," ", YEAR(CompilDonnées[[#This Row],[PlantationDate]]))</f>
        <v>7 2025</v>
      </c>
      <c r="M4145" t="str">
        <f>CONCATENATE(MONTH(CompilDonnées[[#This Row],[HarvestingDate]])," ", YEAR(CompilDonnées[[#This Row],[HarvestingDate]]))</f>
        <v>9 2025</v>
      </c>
      <c r="N4145">
        <f>_xlfn.NUMBERVALUE(CompilDonnées[[#This Row],[FarmID]]&amp;CompilDonnées[[#This Row],[ModuleNumber]]&amp;CompilDonnées[[#This Row],[PlantationDate]])</f>
        <v>125145864</v>
      </c>
      <c r="O4145" t="str">
        <f>CompilDonnées[[#This Row],[FarmID]]&amp;CompilDonnées[[#This Row],[ModuleNumber]]</f>
        <v>1251</v>
      </c>
      <c r="P4145" t="str">
        <f>CompilDonnées[[#This Row],[Ref_Module]]&amp;CompilDonnées[[#This Row],[HarvestingDate]]</f>
        <v>125145909</v>
      </c>
    </row>
    <row r="4146" spans="1:16">
      <c r="A4146" s="5">
        <v>45864</v>
      </c>
      <c r="B4146">
        <v>132</v>
      </c>
      <c r="C4146" t="s">
        <v>120</v>
      </c>
      <c r="D4146">
        <v>2</v>
      </c>
      <c r="E4146">
        <v>100</v>
      </c>
      <c r="F4146" t="s">
        <v>1</v>
      </c>
      <c r="G4146" s="6">
        <v>45904</v>
      </c>
      <c r="H4146">
        <v>40</v>
      </c>
      <c r="I4146">
        <f>ROUND(CompilDonnées[[#This Row],[CultureDuration_days]]/7,0)</f>
        <v>6</v>
      </c>
      <c r="J4146">
        <v>3320</v>
      </c>
      <c r="K4146" t="str">
        <f>_xlfn.CONCAT(WEEKNUM(CompilDonnées[[#This Row],[PlantationDate]]), " ", YEAR(CompilDonnées[[#This Row],[PlantationDate]]))</f>
        <v>30 2025</v>
      </c>
      <c r="L4146" t="str">
        <f>CONCATENATE(MONTH(CompilDonnées[[#This Row],[PlantationDate]])," ", YEAR(CompilDonnées[[#This Row],[PlantationDate]]))</f>
        <v>7 2025</v>
      </c>
      <c r="M4146" t="str">
        <f>CONCATENATE(MONTH(CompilDonnées[[#This Row],[HarvestingDate]])," ", YEAR(CompilDonnées[[#This Row],[HarvestingDate]]))</f>
        <v>9 2025</v>
      </c>
      <c r="N4146">
        <f>_xlfn.NUMBERVALUE(CompilDonnées[[#This Row],[FarmID]]&amp;CompilDonnées[[#This Row],[ModuleNumber]]&amp;CompilDonnées[[#This Row],[PlantationDate]])</f>
        <v>132245864</v>
      </c>
      <c r="O4146" t="str">
        <f>CompilDonnées[[#This Row],[FarmID]]&amp;CompilDonnées[[#This Row],[ModuleNumber]]</f>
        <v>1322</v>
      </c>
      <c r="P4146" t="str">
        <f>CompilDonnées[[#This Row],[Ref_Module]]&amp;CompilDonnées[[#This Row],[HarvestingDate]]</f>
        <v>132245904</v>
      </c>
    </row>
    <row r="4147" spans="1:16">
      <c r="A4147" s="5">
        <v>45864</v>
      </c>
      <c r="B4147">
        <v>139</v>
      </c>
      <c r="C4147" t="s">
        <v>103</v>
      </c>
      <c r="D4147">
        <v>3</v>
      </c>
      <c r="E4147">
        <v>100</v>
      </c>
      <c r="F4147" t="s">
        <v>1</v>
      </c>
      <c r="G4147" s="6">
        <v>45908</v>
      </c>
      <c r="H4147">
        <v>44</v>
      </c>
      <c r="I4147">
        <f>ROUND(CompilDonnées[[#This Row],[CultureDuration_days]]/7,0)</f>
        <v>6</v>
      </c>
      <c r="J4147">
        <v>3919</v>
      </c>
      <c r="K4147" t="str">
        <f>_xlfn.CONCAT(WEEKNUM(CompilDonnées[[#This Row],[PlantationDate]]), " ", YEAR(CompilDonnées[[#This Row],[PlantationDate]]))</f>
        <v>30 2025</v>
      </c>
      <c r="L4147" t="str">
        <f>CONCATENATE(MONTH(CompilDonnées[[#This Row],[PlantationDate]])," ", YEAR(CompilDonnées[[#This Row],[PlantationDate]]))</f>
        <v>7 2025</v>
      </c>
      <c r="M4147" t="str">
        <f>CONCATENATE(MONTH(CompilDonnées[[#This Row],[HarvestingDate]])," ", YEAR(CompilDonnées[[#This Row],[HarvestingDate]]))</f>
        <v>9 2025</v>
      </c>
      <c r="N4147">
        <f>_xlfn.NUMBERVALUE(CompilDonnées[[#This Row],[FarmID]]&amp;CompilDonnées[[#This Row],[ModuleNumber]]&amp;CompilDonnées[[#This Row],[PlantationDate]])</f>
        <v>139345864</v>
      </c>
      <c r="O4147" t="str">
        <f>CompilDonnées[[#This Row],[FarmID]]&amp;CompilDonnées[[#This Row],[ModuleNumber]]</f>
        <v>1393</v>
      </c>
      <c r="P4147" t="str">
        <f>CompilDonnées[[#This Row],[Ref_Module]]&amp;CompilDonnées[[#This Row],[HarvestingDate]]</f>
        <v>139345908</v>
      </c>
    </row>
    <row r="4148" spans="1:16">
      <c r="A4148" s="5">
        <v>45864</v>
      </c>
      <c r="B4148">
        <v>140</v>
      </c>
      <c r="C4148" t="s">
        <v>96</v>
      </c>
      <c r="D4148">
        <v>3</v>
      </c>
      <c r="E4148">
        <v>100</v>
      </c>
      <c r="F4148" t="s">
        <v>1</v>
      </c>
      <c r="G4148" s="6">
        <v>45908</v>
      </c>
      <c r="H4148">
        <v>44</v>
      </c>
      <c r="I4148">
        <f>ROUND(CompilDonnées[[#This Row],[CultureDuration_days]]/7,0)</f>
        <v>6</v>
      </c>
      <c r="J4148">
        <v>3442</v>
      </c>
      <c r="K4148" t="str">
        <f>_xlfn.CONCAT(WEEKNUM(CompilDonnées[[#This Row],[PlantationDate]]), " ", YEAR(CompilDonnées[[#This Row],[PlantationDate]]))</f>
        <v>30 2025</v>
      </c>
      <c r="L4148" t="str">
        <f>CONCATENATE(MONTH(CompilDonnées[[#This Row],[PlantationDate]])," ", YEAR(CompilDonnées[[#This Row],[PlantationDate]]))</f>
        <v>7 2025</v>
      </c>
      <c r="M4148" t="str">
        <f>CONCATENATE(MONTH(CompilDonnées[[#This Row],[HarvestingDate]])," ", YEAR(CompilDonnées[[#This Row],[HarvestingDate]]))</f>
        <v>9 2025</v>
      </c>
      <c r="N4148">
        <f>_xlfn.NUMBERVALUE(CompilDonnées[[#This Row],[FarmID]]&amp;CompilDonnées[[#This Row],[ModuleNumber]]&amp;CompilDonnées[[#This Row],[PlantationDate]])</f>
        <v>140345864</v>
      </c>
      <c r="O4148" t="str">
        <f>CompilDonnées[[#This Row],[FarmID]]&amp;CompilDonnées[[#This Row],[ModuleNumber]]</f>
        <v>1403</v>
      </c>
      <c r="P4148" t="str">
        <f>CompilDonnées[[#This Row],[Ref_Module]]&amp;CompilDonnées[[#This Row],[HarvestingDate]]</f>
        <v>140345908</v>
      </c>
    </row>
    <row r="4149" spans="1:16">
      <c r="A4149" s="5">
        <v>45864</v>
      </c>
      <c r="B4149">
        <v>143</v>
      </c>
      <c r="C4149" t="s">
        <v>81</v>
      </c>
      <c r="D4149">
        <v>5</v>
      </c>
      <c r="E4149">
        <v>100</v>
      </c>
      <c r="F4149" t="s">
        <v>1</v>
      </c>
      <c r="G4149" s="6">
        <v>45904</v>
      </c>
      <c r="H4149">
        <v>40</v>
      </c>
      <c r="I4149">
        <f>ROUND(CompilDonnées[[#This Row],[CultureDuration_days]]/7,0)</f>
        <v>6</v>
      </c>
      <c r="J4149">
        <v>1669</v>
      </c>
      <c r="K4149" t="str">
        <f>_xlfn.CONCAT(WEEKNUM(CompilDonnées[[#This Row],[PlantationDate]]), " ", YEAR(CompilDonnées[[#This Row],[PlantationDate]]))</f>
        <v>30 2025</v>
      </c>
      <c r="L4149" t="str">
        <f>CONCATENATE(MONTH(CompilDonnées[[#This Row],[PlantationDate]])," ", YEAR(CompilDonnées[[#This Row],[PlantationDate]]))</f>
        <v>7 2025</v>
      </c>
      <c r="M4149" t="str">
        <f>CONCATENATE(MONTH(CompilDonnées[[#This Row],[HarvestingDate]])," ", YEAR(CompilDonnées[[#This Row],[HarvestingDate]]))</f>
        <v>9 2025</v>
      </c>
      <c r="N4149">
        <f>_xlfn.NUMBERVALUE(CompilDonnées[[#This Row],[FarmID]]&amp;CompilDonnées[[#This Row],[ModuleNumber]]&amp;CompilDonnées[[#This Row],[PlantationDate]])</f>
        <v>143545864</v>
      </c>
      <c r="O4149" t="str">
        <f>CompilDonnées[[#This Row],[FarmID]]&amp;CompilDonnées[[#This Row],[ModuleNumber]]</f>
        <v>1435</v>
      </c>
      <c r="P4149" t="str">
        <f>CompilDonnées[[#This Row],[Ref_Module]]&amp;CompilDonnées[[#This Row],[HarvestingDate]]</f>
        <v>143545904</v>
      </c>
    </row>
    <row r="4150" spans="1:16">
      <c r="A4150" s="5">
        <v>45864</v>
      </c>
      <c r="B4150">
        <v>125</v>
      </c>
      <c r="C4150" t="s">
        <v>101</v>
      </c>
      <c r="D4150">
        <v>5</v>
      </c>
      <c r="E4150">
        <v>100</v>
      </c>
      <c r="F4150" t="s">
        <v>1</v>
      </c>
      <c r="G4150" s="6">
        <v>45904</v>
      </c>
      <c r="H4150">
        <v>40</v>
      </c>
      <c r="I4150">
        <f>ROUND(CompilDonnées[[#This Row],[CultureDuration_days]]/7,0)</f>
        <v>6</v>
      </c>
      <c r="J4150">
        <v>3885</v>
      </c>
      <c r="K4150" t="str">
        <f>_xlfn.CONCAT(WEEKNUM(CompilDonnées[[#This Row],[PlantationDate]]), " ", YEAR(CompilDonnées[[#This Row],[PlantationDate]]))</f>
        <v>30 2025</v>
      </c>
      <c r="L4150" t="str">
        <f>CONCATENATE(MONTH(CompilDonnées[[#This Row],[PlantationDate]])," ", YEAR(CompilDonnées[[#This Row],[PlantationDate]]))</f>
        <v>7 2025</v>
      </c>
      <c r="M4150" t="str">
        <f>CONCATENATE(MONTH(CompilDonnées[[#This Row],[HarvestingDate]])," ", YEAR(CompilDonnées[[#This Row],[HarvestingDate]]))</f>
        <v>9 2025</v>
      </c>
      <c r="N4150">
        <f>_xlfn.NUMBERVALUE(CompilDonnées[[#This Row],[FarmID]]&amp;CompilDonnées[[#This Row],[ModuleNumber]]&amp;CompilDonnées[[#This Row],[PlantationDate]])</f>
        <v>125545864</v>
      </c>
      <c r="O4150" t="str">
        <f>CompilDonnées[[#This Row],[FarmID]]&amp;CompilDonnées[[#This Row],[ModuleNumber]]</f>
        <v>1255</v>
      </c>
      <c r="P4150" t="str">
        <f>CompilDonnées[[#This Row],[Ref_Module]]&amp;CompilDonnées[[#This Row],[HarvestingDate]]</f>
        <v>125545904</v>
      </c>
    </row>
    <row r="4151" spans="1:16">
      <c r="A4151" s="5">
        <v>45867</v>
      </c>
      <c r="B4151">
        <v>88</v>
      </c>
      <c r="C4151" t="s">
        <v>94</v>
      </c>
      <c r="D4151">
        <v>5</v>
      </c>
      <c r="E4151">
        <v>100</v>
      </c>
      <c r="F4151" t="s">
        <v>1</v>
      </c>
      <c r="G4151" s="6">
        <v>45909</v>
      </c>
      <c r="H4151">
        <v>42</v>
      </c>
      <c r="I4151">
        <f>ROUND(CompilDonnées[[#This Row],[CultureDuration_days]]/7,0)</f>
        <v>6</v>
      </c>
      <c r="J4151">
        <v>3922</v>
      </c>
      <c r="K4151" t="str">
        <f>_xlfn.CONCAT(WEEKNUM(CompilDonnées[[#This Row],[PlantationDate]]), " ", YEAR(CompilDonnées[[#This Row],[PlantationDate]]))</f>
        <v>31 2025</v>
      </c>
      <c r="L4151" t="str">
        <f>CONCATENATE(MONTH(CompilDonnées[[#This Row],[PlantationDate]])," ", YEAR(CompilDonnées[[#This Row],[PlantationDate]]))</f>
        <v>7 2025</v>
      </c>
      <c r="M4151" t="str">
        <f>CONCATENATE(MONTH(CompilDonnées[[#This Row],[HarvestingDate]])," ", YEAR(CompilDonnées[[#This Row],[HarvestingDate]]))</f>
        <v>9 2025</v>
      </c>
      <c r="N4151">
        <f>_xlfn.NUMBERVALUE(CompilDonnées[[#This Row],[FarmID]]&amp;CompilDonnées[[#This Row],[ModuleNumber]]&amp;CompilDonnées[[#This Row],[PlantationDate]])</f>
        <v>88545867</v>
      </c>
      <c r="O4151" t="str">
        <f>CompilDonnées[[#This Row],[FarmID]]&amp;CompilDonnées[[#This Row],[ModuleNumber]]</f>
        <v>885</v>
      </c>
      <c r="P4151" t="str">
        <f>CompilDonnées[[#This Row],[Ref_Module]]&amp;CompilDonnées[[#This Row],[HarvestingDate]]</f>
        <v>88545909</v>
      </c>
    </row>
    <row r="4152" spans="1:16">
      <c r="A4152" s="5">
        <v>45867</v>
      </c>
      <c r="B4152">
        <v>92</v>
      </c>
      <c r="C4152" t="s">
        <v>66</v>
      </c>
      <c r="D4152">
        <v>3</v>
      </c>
      <c r="E4152">
        <v>100</v>
      </c>
      <c r="F4152" t="s">
        <v>1</v>
      </c>
      <c r="G4152" s="6">
        <v>45918</v>
      </c>
      <c r="H4152">
        <v>51</v>
      </c>
      <c r="I4152">
        <f>ROUND(CompilDonnées[[#This Row],[CultureDuration_days]]/7,0)</f>
        <v>7</v>
      </c>
      <c r="J4152">
        <v>2923</v>
      </c>
      <c r="K4152" t="str">
        <f>_xlfn.CONCAT(WEEKNUM(CompilDonnées[[#This Row],[PlantationDate]]), " ", YEAR(CompilDonnées[[#This Row],[PlantationDate]]))</f>
        <v>31 2025</v>
      </c>
      <c r="L4152" t="str">
        <f>CONCATENATE(MONTH(CompilDonnées[[#This Row],[PlantationDate]])," ", YEAR(CompilDonnées[[#This Row],[PlantationDate]]))</f>
        <v>7 2025</v>
      </c>
      <c r="M4152" t="str">
        <f>CONCATENATE(MONTH(CompilDonnées[[#This Row],[HarvestingDate]])," ", YEAR(CompilDonnées[[#This Row],[HarvestingDate]]))</f>
        <v>9 2025</v>
      </c>
      <c r="N4152">
        <f>_xlfn.NUMBERVALUE(CompilDonnées[[#This Row],[FarmID]]&amp;CompilDonnées[[#This Row],[ModuleNumber]]&amp;CompilDonnées[[#This Row],[PlantationDate]])</f>
        <v>92345867</v>
      </c>
      <c r="O4152" t="str">
        <f>CompilDonnées[[#This Row],[FarmID]]&amp;CompilDonnées[[#This Row],[ModuleNumber]]</f>
        <v>923</v>
      </c>
      <c r="P4152" t="str">
        <f>CompilDonnées[[#This Row],[Ref_Module]]&amp;CompilDonnées[[#This Row],[HarvestingDate]]</f>
        <v>92345918</v>
      </c>
    </row>
    <row r="4153" spans="1:16">
      <c r="A4153" s="5">
        <v>45867</v>
      </c>
      <c r="B4153">
        <v>91</v>
      </c>
      <c r="C4153" t="s">
        <v>9</v>
      </c>
      <c r="D4153">
        <v>6</v>
      </c>
      <c r="E4153">
        <v>100</v>
      </c>
      <c r="F4153" t="s">
        <v>1</v>
      </c>
      <c r="G4153" s="6">
        <v>45909</v>
      </c>
      <c r="H4153">
        <v>42</v>
      </c>
      <c r="I4153">
        <f>ROUND(CompilDonnées[[#This Row],[CultureDuration_days]]/7,0)</f>
        <v>6</v>
      </c>
      <c r="J4153">
        <v>3053</v>
      </c>
      <c r="K4153" t="str">
        <f>_xlfn.CONCAT(WEEKNUM(CompilDonnées[[#This Row],[PlantationDate]]), " ", YEAR(CompilDonnées[[#This Row],[PlantationDate]]))</f>
        <v>31 2025</v>
      </c>
      <c r="L4153" t="str">
        <f>CONCATENATE(MONTH(CompilDonnées[[#This Row],[PlantationDate]])," ", YEAR(CompilDonnées[[#This Row],[PlantationDate]]))</f>
        <v>7 2025</v>
      </c>
      <c r="M4153" t="str">
        <f>CONCATENATE(MONTH(CompilDonnées[[#This Row],[HarvestingDate]])," ", YEAR(CompilDonnées[[#This Row],[HarvestingDate]]))</f>
        <v>9 2025</v>
      </c>
      <c r="N4153">
        <f>_xlfn.NUMBERVALUE(CompilDonnées[[#This Row],[FarmID]]&amp;CompilDonnées[[#This Row],[ModuleNumber]]&amp;CompilDonnées[[#This Row],[PlantationDate]])</f>
        <v>91645867</v>
      </c>
      <c r="O4153" t="str">
        <f>CompilDonnées[[#This Row],[FarmID]]&amp;CompilDonnées[[#This Row],[ModuleNumber]]</f>
        <v>916</v>
      </c>
      <c r="P4153" t="str">
        <f>CompilDonnées[[#This Row],[Ref_Module]]&amp;CompilDonnées[[#This Row],[HarvestingDate]]</f>
        <v>91645909</v>
      </c>
    </row>
    <row r="4154" spans="1:16">
      <c r="A4154" s="5">
        <v>45867</v>
      </c>
      <c r="B4154">
        <v>101</v>
      </c>
      <c r="C4154" t="s">
        <v>54</v>
      </c>
      <c r="D4154">
        <v>2</v>
      </c>
      <c r="E4154">
        <v>100</v>
      </c>
      <c r="F4154" t="s">
        <v>1</v>
      </c>
      <c r="G4154" s="6">
        <v>45908</v>
      </c>
      <c r="H4154">
        <v>41</v>
      </c>
      <c r="I4154">
        <f>ROUND(CompilDonnées[[#This Row],[CultureDuration_days]]/7,0)</f>
        <v>6</v>
      </c>
      <c r="J4154">
        <v>4009</v>
      </c>
      <c r="K4154" t="str">
        <f>_xlfn.CONCAT(WEEKNUM(CompilDonnées[[#This Row],[PlantationDate]]), " ", YEAR(CompilDonnées[[#This Row],[PlantationDate]]))</f>
        <v>31 2025</v>
      </c>
      <c r="L4154" t="str">
        <f>CONCATENATE(MONTH(CompilDonnées[[#This Row],[PlantationDate]])," ", YEAR(CompilDonnées[[#This Row],[PlantationDate]]))</f>
        <v>7 2025</v>
      </c>
      <c r="M4154" t="str">
        <f>CONCATENATE(MONTH(CompilDonnées[[#This Row],[HarvestingDate]])," ", YEAR(CompilDonnées[[#This Row],[HarvestingDate]]))</f>
        <v>9 2025</v>
      </c>
      <c r="N4154">
        <f>_xlfn.NUMBERVALUE(CompilDonnées[[#This Row],[FarmID]]&amp;CompilDonnées[[#This Row],[ModuleNumber]]&amp;CompilDonnées[[#This Row],[PlantationDate]])</f>
        <v>101245867</v>
      </c>
      <c r="O4154" t="str">
        <f>CompilDonnées[[#This Row],[FarmID]]&amp;CompilDonnées[[#This Row],[ModuleNumber]]</f>
        <v>1012</v>
      </c>
      <c r="P4154" t="str">
        <f>CompilDonnées[[#This Row],[Ref_Module]]&amp;CompilDonnées[[#This Row],[HarvestingDate]]</f>
        <v>101245908</v>
      </c>
    </row>
    <row r="4155" spans="1:16">
      <c r="A4155" s="5">
        <v>45867</v>
      </c>
      <c r="B4155">
        <v>99</v>
      </c>
      <c r="C4155" t="s">
        <v>117</v>
      </c>
      <c r="D4155">
        <v>3</v>
      </c>
      <c r="E4155">
        <v>100</v>
      </c>
      <c r="F4155" t="s">
        <v>1</v>
      </c>
      <c r="G4155" s="6">
        <v>45918</v>
      </c>
      <c r="H4155">
        <v>51</v>
      </c>
      <c r="I4155">
        <f>ROUND(CompilDonnées[[#This Row],[CultureDuration_days]]/7,0)</f>
        <v>7</v>
      </c>
      <c r="J4155">
        <v>3189</v>
      </c>
      <c r="K4155" t="str">
        <f>_xlfn.CONCAT(WEEKNUM(CompilDonnées[[#This Row],[PlantationDate]]), " ", YEAR(CompilDonnées[[#This Row],[PlantationDate]]))</f>
        <v>31 2025</v>
      </c>
      <c r="L4155" t="str">
        <f>CONCATENATE(MONTH(CompilDonnées[[#This Row],[PlantationDate]])," ", YEAR(CompilDonnées[[#This Row],[PlantationDate]]))</f>
        <v>7 2025</v>
      </c>
      <c r="M4155" t="str">
        <f>CONCATENATE(MONTH(CompilDonnées[[#This Row],[HarvestingDate]])," ", YEAR(CompilDonnées[[#This Row],[HarvestingDate]]))</f>
        <v>9 2025</v>
      </c>
      <c r="N4155">
        <f>_xlfn.NUMBERVALUE(CompilDonnées[[#This Row],[FarmID]]&amp;CompilDonnées[[#This Row],[ModuleNumber]]&amp;CompilDonnées[[#This Row],[PlantationDate]])</f>
        <v>99345867</v>
      </c>
      <c r="O4155" t="str">
        <f>CompilDonnées[[#This Row],[FarmID]]&amp;CompilDonnées[[#This Row],[ModuleNumber]]</f>
        <v>993</v>
      </c>
      <c r="P4155" t="str">
        <f>CompilDonnées[[#This Row],[Ref_Module]]&amp;CompilDonnées[[#This Row],[HarvestingDate]]</f>
        <v>99345918</v>
      </c>
    </row>
    <row r="4156" spans="1:16">
      <c r="A4156" s="5">
        <v>45867</v>
      </c>
      <c r="B4156">
        <v>108</v>
      </c>
      <c r="C4156" t="s">
        <v>58</v>
      </c>
      <c r="D4156">
        <v>4</v>
      </c>
      <c r="E4156">
        <v>100</v>
      </c>
      <c r="F4156" t="s">
        <v>1</v>
      </c>
      <c r="G4156" s="6">
        <v>45908</v>
      </c>
      <c r="H4156">
        <v>41</v>
      </c>
      <c r="I4156">
        <f>ROUND(CompilDonnées[[#This Row],[CultureDuration_days]]/7,0)</f>
        <v>6</v>
      </c>
      <c r="J4156">
        <v>2888</v>
      </c>
      <c r="K4156" t="str">
        <f>_xlfn.CONCAT(WEEKNUM(CompilDonnées[[#This Row],[PlantationDate]]), " ", YEAR(CompilDonnées[[#This Row],[PlantationDate]]))</f>
        <v>31 2025</v>
      </c>
      <c r="L4156" t="str">
        <f>CONCATENATE(MONTH(CompilDonnées[[#This Row],[PlantationDate]])," ", YEAR(CompilDonnées[[#This Row],[PlantationDate]]))</f>
        <v>7 2025</v>
      </c>
      <c r="M4156" t="str">
        <f>CONCATENATE(MONTH(CompilDonnées[[#This Row],[HarvestingDate]])," ", YEAR(CompilDonnées[[#This Row],[HarvestingDate]]))</f>
        <v>9 2025</v>
      </c>
      <c r="N4156">
        <f>_xlfn.NUMBERVALUE(CompilDonnées[[#This Row],[FarmID]]&amp;CompilDonnées[[#This Row],[ModuleNumber]]&amp;CompilDonnées[[#This Row],[PlantationDate]])</f>
        <v>108445867</v>
      </c>
      <c r="O4156" t="str">
        <f>CompilDonnées[[#This Row],[FarmID]]&amp;CompilDonnées[[#This Row],[ModuleNumber]]</f>
        <v>1084</v>
      </c>
      <c r="P4156" t="str">
        <f>CompilDonnées[[#This Row],[Ref_Module]]&amp;CompilDonnées[[#This Row],[HarvestingDate]]</f>
        <v>108445908</v>
      </c>
    </row>
    <row r="4157" spans="1:16">
      <c r="A4157" s="5">
        <v>45867</v>
      </c>
      <c r="B4157">
        <v>107</v>
      </c>
      <c r="C4157" t="s">
        <v>23</v>
      </c>
      <c r="D4157">
        <v>6</v>
      </c>
      <c r="E4157">
        <v>100</v>
      </c>
      <c r="F4157" t="s">
        <v>1</v>
      </c>
      <c r="G4157" s="6">
        <v>45908</v>
      </c>
      <c r="H4157">
        <v>41</v>
      </c>
      <c r="I4157">
        <f>ROUND(CompilDonnées[[#This Row],[CultureDuration_days]]/7,0)</f>
        <v>6</v>
      </c>
      <c r="J4157">
        <v>3033</v>
      </c>
      <c r="K4157" t="str">
        <f>_xlfn.CONCAT(WEEKNUM(CompilDonnées[[#This Row],[PlantationDate]]), " ", YEAR(CompilDonnées[[#This Row],[PlantationDate]]))</f>
        <v>31 2025</v>
      </c>
      <c r="L4157" t="str">
        <f>CONCATENATE(MONTH(CompilDonnées[[#This Row],[PlantationDate]])," ", YEAR(CompilDonnées[[#This Row],[PlantationDate]]))</f>
        <v>7 2025</v>
      </c>
      <c r="M4157" t="str">
        <f>CONCATENATE(MONTH(CompilDonnées[[#This Row],[HarvestingDate]])," ", YEAR(CompilDonnées[[#This Row],[HarvestingDate]]))</f>
        <v>9 2025</v>
      </c>
      <c r="N4157">
        <f>_xlfn.NUMBERVALUE(CompilDonnées[[#This Row],[FarmID]]&amp;CompilDonnées[[#This Row],[ModuleNumber]]&amp;CompilDonnées[[#This Row],[PlantationDate]])</f>
        <v>107645867</v>
      </c>
      <c r="O4157" t="str">
        <f>CompilDonnées[[#This Row],[FarmID]]&amp;CompilDonnées[[#This Row],[ModuleNumber]]</f>
        <v>1076</v>
      </c>
      <c r="P4157" t="str">
        <f>CompilDonnées[[#This Row],[Ref_Module]]&amp;CompilDonnées[[#This Row],[HarvestingDate]]</f>
        <v>107645908</v>
      </c>
    </row>
    <row r="4158" spans="1:16">
      <c r="A4158" s="5">
        <v>45867</v>
      </c>
      <c r="B4158">
        <v>105</v>
      </c>
      <c r="C4158" t="s">
        <v>12</v>
      </c>
      <c r="D4158">
        <v>2</v>
      </c>
      <c r="E4158">
        <v>100</v>
      </c>
      <c r="F4158" t="s">
        <v>1</v>
      </c>
      <c r="G4158" s="6">
        <v>45917</v>
      </c>
      <c r="H4158">
        <v>50</v>
      </c>
      <c r="I4158">
        <f>ROUND(CompilDonnées[[#This Row],[CultureDuration_days]]/7,0)</f>
        <v>7</v>
      </c>
      <c r="J4158">
        <v>1240</v>
      </c>
      <c r="K4158" t="str">
        <f>_xlfn.CONCAT(WEEKNUM(CompilDonnées[[#This Row],[PlantationDate]]), " ", YEAR(CompilDonnées[[#This Row],[PlantationDate]]))</f>
        <v>31 2025</v>
      </c>
      <c r="L4158" t="str">
        <f>CONCATENATE(MONTH(CompilDonnées[[#This Row],[PlantationDate]])," ", YEAR(CompilDonnées[[#This Row],[PlantationDate]]))</f>
        <v>7 2025</v>
      </c>
      <c r="M4158" t="str">
        <f>CONCATENATE(MONTH(CompilDonnées[[#This Row],[HarvestingDate]])," ", YEAR(CompilDonnées[[#This Row],[HarvestingDate]]))</f>
        <v>9 2025</v>
      </c>
      <c r="N4158">
        <f>_xlfn.NUMBERVALUE(CompilDonnées[[#This Row],[FarmID]]&amp;CompilDonnées[[#This Row],[ModuleNumber]]&amp;CompilDonnées[[#This Row],[PlantationDate]])</f>
        <v>105245867</v>
      </c>
      <c r="O4158" t="str">
        <f>CompilDonnées[[#This Row],[FarmID]]&amp;CompilDonnées[[#This Row],[ModuleNumber]]</f>
        <v>1052</v>
      </c>
      <c r="P4158" t="str">
        <f>CompilDonnées[[#This Row],[Ref_Module]]&amp;CompilDonnées[[#This Row],[HarvestingDate]]</f>
        <v>105245917</v>
      </c>
    </row>
    <row r="4159" spans="1:16">
      <c r="A4159" s="5">
        <v>45867</v>
      </c>
      <c r="B4159">
        <v>96</v>
      </c>
      <c r="C4159" t="s">
        <v>125</v>
      </c>
      <c r="D4159">
        <v>4</v>
      </c>
      <c r="E4159">
        <v>100</v>
      </c>
      <c r="F4159" t="s">
        <v>1</v>
      </c>
      <c r="G4159" s="6">
        <v>45917</v>
      </c>
      <c r="H4159">
        <v>50</v>
      </c>
      <c r="I4159">
        <f>ROUND(CompilDonnées[[#This Row],[CultureDuration_days]]/7,0)</f>
        <v>7</v>
      </c>
      <c r="J4159">
        <v>1617</v>
      </c>
      <c r="K4159" t="str">
        <f>_xlfn.CONCAT(WEEKNUM(CompilDonnées[[#This Row],[PlantationDate]]), " ", YEAR(CompilDonnées[[#This Row],[PlantationDate]]))</f>
        <v>31 2025</v>
      </c>
      <c r="L4159" t="str">
        <f>CONCATENATE(MONTH(CompilDonnées[[#This Row],[PlantationDate]])," ", YEAR(CompilDonnées[[#This Row],[PlantationDate]]))</f>
        <v>7 2025</v>
      </c>
      <c r="M4159" t="str">
        <f>CONCATENATE(MONTH(CompilDonnées[[#This Row],[HarvestingDate]])," ", YEAR(CompilDonnées[[#This Row],[HarvestingDate]]))</f>
        <v>9 2025</v>
      </c>
      <c r="N4159">
        <f>_xlfn.NUMBERVALUE(CompilDonnées[[#This Row],[FarmID]]&amp;CompilDonnées[[#This Row],[ModuleNumber]]&amp;CompilDonnées[[#This Row],[PlantationDate]])</f>
        <v>96445867</v>
      </c>
      <c r="O4159" t="str">
        <f>CompilDonnées[[#This Row],[FarmID]]&amp;CompilDonnées[[#This Row],[ModuleNumber]]</f>
        <v>964</v>
      </c>
      <c r="P4159" t="str">
        <f>CompilDonnées[[#This Row],[Ref_Module]]&amp;CompilDonnées[[#This Row],[HarvestingDate]]</f>
        <v>96445917</v>
      </c>
    </row>
    <row r="4160" spans="1:16">
      <c r="A4160" s="5">
        <v>45867</v>
      </c>
      <c r="B4160">
        <v>95</v>
      </c>
      <c r="C4160" t="s">
        <v>90</v>
      </c>
      <c r="D4160">
        <v>4</v>
      </c>
      <c r="E4160">
        <v>100</v>
      </c>
      <c r="F4160" t="s">
        <v>1</v>
      </c>
      <c r="G4160" s="6">
        <v>45917</v>
      </c>
      <c r="H4160">
        <v>50</v>
      </c>
      <c r="I4160">
        <f>ROUND(CompilDonnées[[#This Row],[CultureDuration_days]]/7,0)</f>
        <v>7</v>
      </c>
      <c r="J4160">
        <v>1442</v>
      </c>
      <c r="K4160" t="str">
        <f>_xlfn.CONCAT(WEEKNUM(CompilDonnées[[#This Row],[PlantationDate]]), " ", YEAR(CompilDonnées[[#This Row],[PlantationDate]]))</f>
        <v>31 2025</v>
      </c>
      <c r="L4160" t="str">
        <f>CONCATENATE(MONTH(CompilDonnées[[#This Row],[PlantationDate]])," ", YEAR(CompilDonnées[[#This Row],[PlantationDate]]))</f>
        <v>7 2025</v>
      </c>
      <c r="M4160" t="str">
        <f>CONCATENATE(MONTH(CompilDonnées[[#This Row],[HarvestingDate]])," ", YEAR(CompilDonnées[[#This Row],[HarvestingDate]]))</f>
        <v>9 2025</v>
      </c>
      <c r="N4160">
        <f>_xlfn.NUMBERVALUE(CompilDonnées[[#This Row],[FarmID]]&amp;CompilDonnées[[#This Row],[ModuleNumber]]&amp;CompilDonnées[[#This Row],[PlantationDate]])</f>
        <v>95445867</v>
      </c>
      <c r="O4160" t="str">
        <f>CompilDonnées[[#This Row],[FarmID]]&amp;CompilDonnées[[#This Row],[ModuleNumber]]</f>
        <v>954</v>
      </c>
      <c r="P4160" t="str">
        <f>CompilDonnées[[#This Row],[Ref_Module]]&amp;CompilDonnées[[#This Row],[HarvestingDate]]</f>
        <v>95445917</v>
      </c>
    </row>
    <row r="4161" spans="1:16">
      <c r="A4161" s="5">
        <v>45867</v>
      </c>
      <c r="B4161">
        <v>113</v>
      </c>
      <c r="C4161" t="s">
        <v>16</v>
      </c>
      <c r="D4161">
        <v>6</v>
      </c>
      <c r="E4161">
        <v>100</v>
      </c>
      <c r="F4161" t="s">
        <v>1</v>
      </c>
      <c r="G4161" s="6">
        <v>45908</v>
      </c>
      <c r="H4161">
        <v>41</v>
      </c>
      <c r="I4161">
        <f>ROUND(CompilDonnées[[#This Row],[CultureDuration_days]]/7,0)</f>
        <v>6</v>
      </c>
      <c r="J4161">
        <v>4316</v>
      </c>
      <c r="K4161" t="str">
        <f>_xlfn.CONCAT(WEEKNUM(CompilDonnées[[#This Row],[PlantationDate]]), " ", YEAR(CompilDonnées[[#This Row],[PlantationDate]]))</f>
        <v>31 2025</v>
      </c>
      <c r="L4161" t="str">
        <f>CONCATENATE(MONTH(CompilDonnées[[#This Row],[PlantationDate]])," ", YEAR(CompilDonnées[[#This Row],[PlantationDate]]))</f>
        <v>7 2025</v>
      </c>
      <c r="M4161" t="str">
        <f>CONCATENATE(MONTH(CompilDonnées[[#This Row],[HarvestingDate]])," ", YEAR(CompilDonnées[[#This Row],[HarvestingDate]]))</f>
        <v>9 2025</v>
      </c>
      <c r="N4161">
        <f>_xlfn.NUMBERVALUE(CompilDonnées[[#This Row],[FarmID]]&amp;CompilDonnées[[#This Row],[ModuleNumber]]&amp;CompilDonnées[[#This Row],[PlantationDate]])</f>
        <v>113645867</v>
      </c>
      <c r="O4161" t="str">
        <f>CompilDonnées[[#This Row],[FarmID]]&amp;CompilDonnées[[#This Row],[ModuleNumber]]</f>
        <v>1136</v>
      </c>
      <c r="P4161" t="str">
        <f>CompilDonnées[[#This Row],[Ref_Module]]&amp;CompilDonnées[[#This Row],[HarvestingDate]]</f>
        <v>113645908</v>
      </c>
    </row>
    <row r="4162" spans="1:16">
      <c r="A4162" s="5">
        <v>45867</v>
      </c>
      <c r="B4162">
        <v>112</v>
      </c>
      <c r="C4162" t="s">
        <v>15</v>
      </c>
      <c r="D4162">
        <v>2</v>
      </c>
      <c r="E4162">
        <v>100</v>
      </c>
      <c r="F4162" t="s">
        <v>1</v>
      </c>
      <c r="G4162" s="6">
        <v>45908</v>
      </c>
      <c r="H4162">
        <v>41</v>
      </c>
      <c r="I4162">
        <f>ROUND(CompilDonnées[[#This Row],[CultureDuration_days]]/7,0)</f>
        <v>6</v>
      </c>
      <c r="J4162">
        <v>3064</v>
      </c>
      <c r="K4162" t="str">
        <f>_xlfn.CONCAT(WEEKNUM(CompilDonnées[[#This Row],[PlantationDate]]), " ", YEAR(CompilDonnées[[#This Row],[PlantationDate]]))</f>
        <v>31 2025</v>
      </c>
      <c r="L4162" t="str">
        <f>CONCATENATE(MONTH(CompilDonnées[[#This Row],[PlantationDate]])," ", YEAR(CompilDonnées[[#This Row],[PlantationDate]]))</f>
        <v>7 2025</v>
      </c>
      <c r="M4162" t="str">
        <f>CONCATENATE(MONTH(CompilDonnées[[#This Row],[HarvestingDate]])," ", YEAR(CompilDonnées[[#This Row],[HarvestingDate]]))</f>
        <v>9 2025</v>
      </c>
      <c r="N4162">
        <f>_xlfn.NUMBERVALUE(CompilDonnées[[#This Row],[FarmID]]&amp;CompilDonnées[[#This Row],[ModuleNumber]]&amp;CompilDonnées[[#This Row],[PlantationDate]])</f>
        <v>112245867</v>
      </c>
      <c r="O4162" t="str">
        <f>CompilDonnées[[#This Row],[FarmID]]&amp;CompilDonnées[[#This Row],[ModuleNumber]]</f>
        <v>1122</v>
      </c>
      <c r="P4162" t="str">
        <f>CompilDonnées[[#This Row],[Ref_Module]]&amp;CompilDonnées[[#This Row],[HarvestingDate]]</f>
        <v>112245908</v>
      </c>
    </row>
    <row r="4163" spans="1:16">
      <c r="A4163" s="5">
        <v>45867</v>
      </c>
      <c r="B4163">
        <v>111</v>
      </c>
      <c r="C4163" t="s">
        <v>41</v>
      </c>
      <c r="D4163">
        <v>2</v>
      </c>
      <c r="E4163">
        <v>100</v>
      </c>
      <c r="F4163" t="s">
        <v>1</v>
      </c>
      <c r="G4163" s="6">
        <v>45908</v>
      </c>
      <c r="H4163">
        <v>41</v>
      </c>
      <c r="I4163">
        <f>ROUND(CompilDonnées[[#This Row],[CultureDuration_days]]/7,0)</f>
        <v>6</v>
      </c>
      <c r="J4163">
        <v>3079</v>
      </c>
      <c r="K4163" t="str">
        <f>_xlfn.CONCAT(WEEKNUM(CompilDonnées[[#This Row],[PlantationDate]]), " ", YEAR(CompilDonnées[[#This Row],[PlantationDate]]))</f>
        <v>31 2025</v>
      </c>
      <c r="L4163" t="str">
        <f>CONCATENATE(MONTH(CompilDonnées[[#This Row],[PlantationDate]])," ", YEAR(CompilDonnées[[#This Row],[PlantationDate]]))</f>
        <v>7 2025</v>
      </c>
      <c r="M4163" t="str">
        <f>CONCATENATE(MONTH(CompilDonnées[[#This Row],[HarvestingDate]])," ", YEAR(CompilDonnées[[#This Row],[HarvestingDate]]))</f>
        <v>9 2025</v>
      </c>
      <c r="N4163">
        <f>_xlfn.NUMBERVALUE(CompilDonnées[[#This Row],[FarmID]]&amp;CompilDonnées[[#This Row],[ModuleNumber]]&amp;CompilDonnées[[#This Row],[PlantationDate]])</f>
        <v>111245867</v>
      </c>
      <c r="O4163" t="str">
        <f>CompilDonnées[[#This Row],[FarmID]]&amp;CompilDonnées[[#This Row],[ModuleNumber]]</f>
        <v>1112</v>
      </c>
      <c r="P4163" t="str">
        <f>CompilDonnées[[#This Row],[Ref_Module]]&amp;CompilDonnées[[#This Row],[HarvestingDate]]</f>
        <v>111245908</v>
      </c>
    </row>
    <row r="4164" spans="1:16">
      <c r="A4164" s="5">
        <v>45867</v>
      </c>
      <c r="B4164">
        <v>110</v>
      </c>
      <c r="C4164" t="s">
        <v>14</v>
      </c>
      <c r="D4164">
        <v>1</v>
      </c>
      <c r="E4164">
        <v>100</v>
      </c>
      <c r="F4164" t="s">
        <v>1</v>
      </c>
      <c r="G4164" s="6">
        <v>45908</v>
      </c>
      <c r="H4164">
        <v>41</v>
      </c>
      <c r="I4164">
        <f>ROUND(CompilDonnées[[#This Row],[CultureDuration_days]]/7,0)</f>
        <v>6</v>
      </c>
      <c r="J4164">
        <v>2677</v>
      </c>
      <c r="K4164" t="str">
        <f>_xlfn.CONCAT(WEEKNUM(CompilDonnées[[#This Row],[PlantationDate]]), " ", YEAR(CompilDonnées[[#This Row],[PlantationDate]]))</f>
        <v>31 2025</v>
      </c>
      <c r="L4164" t="str">
        <f>CONCATENATE(MONTH(CompilDonnées[[#This Row],[PlantationDate]])," ", YEAR(CompilDonnées[[#This Row],[PlantationDate]]))</f>
        <v>7 2025</v>
      </c>
      <c r="M4164" t="str">
        <f>CONCATENATE(MONTH(CompilDonnées[[#This Row],[HarvestingDate]])," ", YEAR(CompilDonnées[[#This Row],[HarvestingDate]]))</f>
        <v>9 2025</v>
      </c>
      <c r="N4164">
        <f>_xlfn.NUMBERVALUE(CompilDonnées[[#This Row],[FarmID]]&amp;CompilDonnées[[#This Row],[ModuleNumber]]&amp;CompilDonnées[[#This Row],[PlantationDate]])</f>
        <v>110145867</v>
      </c>
      <c r="O4164" t="str">
        <f>CompilDonnées[[#This Row],[FarmID]]&amp;CompilDonnées[[#This Row],[ModuleNumber]]</f>
        <v>1101</v>
      </c>
      <c r="P4164" t="str">
        <f>CompilDonnées[[#This Row],[Ref_Module]]&amp;CompilDonnées[[#This Row],[HarvestingDate]]</f>
        <v>110145908</v>
      </c>
    </row>
    <row r="4165" spans="1:16">
      <c r="A4165" s="5">
        <v>45867</v>
      </c>
      <c r="B4165">
        <v>116</v>
      </c>
      <c r="C4165" t="s">
        <v>76</v>
      </c>
      <c r="D4165">
        <v>3</v>
      </c>
      <c r="E4165">
        <v>100</v>
      </c>
      <c r="F4165" t="s">
        <v>1</v>
      </c>
      <c r="G4165" s="6">
        <v>45908</v>
      </c>
      <c r="H4165">
        <v>41</v>
      </c>
      <c r="I4165">
        <f>ROUND(CompilDonnées[[#This Row],[CultureDuration_days]]/7,0)</f>
        <v>6</v>
      </c>
      <c r="J4165">
        <v>1883</v>
      </c>
      <c r="K4165" t="str">
        <f>_xlfn.CONCAT(WEEKNUM(CompilDonnées[[#This Row],[PlantationDate]]), " ", YEAR(CompilDonnées[[#This Row],[PlantationDate]]))</f>
        <v>31 2025</v>
      </c>
      <c r="L4165" t="str">
        <f>CONCATENATE(MONTH(CompilDonnées[[#This Row],[PlantationDate]])," ", YEAR(CompilDonnées[[#This Row],[PlantationDate]]))</f>
        <v>7 2025</v>
      </c>
      <c r="M4165" t="str">
        <f>CONCATENATE(MONTH(CompilDonnées[[#This Row],[HarvestingDate]])," ", YEAR(CompilDonnées[[#This Row],[HarvestingDate]]))</f>
        <v>9 2025</v>
      </c>
      <c r="N4165">
        <f>_xlfn.NUMBERVALUE(CompilDonnées[[#This Row],[FarmID]]&amp;CompilDonnées[[#This Row],[ModuleNumber]]&amp;CompilDonnées[[#This Row],[PlantationDate]])</f>
        <v>116345867</v>
      </c>
      <c r="O4165" t="str">
        <f>CompilDonnées[[#This Row],[FarmID]]&amp;CompilDonnées[[#This Row],[ModuleNumber]]</f>
        <v>1163</v>
      </c>
      <c r="P4165" t="str">
        <f>CompilDonnées[[#This Row],[Ref_Module]]&amp;CompilDonnées[[#This Row],[HarvestingDate]]</f>
        <v>116345908</v>
      </c>
    </row>
    <row r="4166" spans="1:16">
      <c r="A4166" s="5">
        <v>45867</v>
      </c>
      <c r="B4166">
        <v>115</v>
      </c>
      <c r="C4166" t="s">
        <v>121</v>
      </c>
      <c r="D4166">
        <v>3</v>
      </c>
      <c r="E4166">
        <v>100</v>
      </c>
      <c r="F4166" t="s">
        <v>1</v>
      </c>
      <c r="G4166" s="6">
        <v>45908</v>
      </c>
      <c r="H4166">
        <v>41</v>
      </c>
      <c r="I4166">
        <f>ROUND(CompilDonnées[[#This Row],[CultureDuration_days]]/7,0)</f>
        <v>6</v>
      </c>
      <c r="J4166">
        <v>1623</v>
      </c>
      <c r="K4166" t="str">
        <f>_xlfn.CONCAT(WEEKNUM(CompilDonnées[[#This Row],[PlantationDate]]), " ", YEAR(CompilDonnées[[#This Row],[PlantationDate]]))</f>
        <v>31 2025</v>
      </c>
      <c r="L4166" t="str">
        <f>CONCATENATE(MONTH(CompilDonnées[[#This Row],[PlantationDate]])," ", YEAR(CompilDonnées[[#This Row],[PlantationDate]]))</f>
        <v>7 2025</v>
      </c>
      <c r="M4166" t="str">
        <f>CONCATENATE(MONTH(CompilDonnées[[#This Row],[HarvestingDate]])," ", YEAR(CompilDonnées[[#This Row],[HarvestingDate]]))</f>
        <v>9 2025</v>
      </c>
      <c r="N4166">
        <f>_xlfn.NUMBERVALUE(CompilDonnées[[#This Row],[FarmID]]&amp;CompilDonnées[[#This Row],[ModuleNumber]]&amp;CompilDonnées[[#This Row],[PlantationDate]])</f>
        <v>115345867</v>
      </c>
      <c r="O4166" t="str">
        <f>CompilDonnées[[#This Row],[FarmID]]&amp;CompilDonnées[[#This Row],[ModuleNumber]]</f>
        <v>1153</v>
      </c>
      <c r="P4166" t="str">
        <f>CompilDonnées[[#This Row],[Ref_Module]]&amp;CompilDonnées[[#This Row],[HarvestingDate]]</f>
        <v>115345908</v>
      </c>
    </row>
    <row r="4167" spans="1:16">
      <c r="A4167" s="5">
        <v>45867</v>
      </c>
      <c r="B4167">
        <v>119</v>
      </c>
      <c r="C4167" t="s">
        <v>59</v>
      </c>
      <c r="D4167">
        <v>6</v>
      </c>
      <c r="E4167">
        <v>100</v>
      </c>
      <c r="F4167" t="s">
        <v>1</v>
      </c>
      <c r="G4167" s="6">
        <v>45908</v>
      </c>
      <c r="H4167">
        <v>41</v>
      </c>
      <c r="I4167">
        <f>ROUND(CompilDonnées[[#This Row],[CultureDuration_days]]/7,0)</f>
        <v>6</v>
      </c>
      <c r="J4167">
        <v>4254</v>
      </c>
      <c r="K4167" t="str">
        <f>_xlfn.CONCAT(WEEKNUM(CompilDonnées[[#This Row],[PlantationDate]]), " ", YEAR(CompilDonnées[[#This Row],[PlantationDate]]))</f>
        <v>31 2025</v>
      </c>
      <c r="L4167" t="str">
        <f>CONCATENATE(MONTH(CompilDonnées[[#This Row],[PlantationDate]])," ", YEAR(CompilDonnées[[#This Row],[PlantationDate]]))</f>
        <v>7 2025</v>
      </c>
      <c r="M4167" t="str">
        <f>CONCATENATE(MONTH(CompilDonnées[[#This Row],[HarvestingDate]])," ", YEAR(CompilDonnées[[#This Row],[HarvestingDate]]))</f>
        <v>9 2025</v>
      </c>
      <c r="N4167">
        <f>_xlfn.NUMBERVALUE(CompilDonnées[[#This Row],[FarmID]]&amp;CompilDonnées[[#This Row],[ModuleNumber]]&amp;CompilDonnées[[#This Row],[PlantationDate]])</f>
        <v>119645867</v>
      </c>
      <c r="O4167" t="str">
        <f>CompilDonnées[[#This Row],[FarmID]]&amp;CompilDonnées[[#This Row],[ModuleNumber]]</f>
        <v>1196</v>
      </c>
      <c r="P4167" t="str">
        <f>CompilDonnées[[#This Row],[Ref_Module]]&amp;CompilDonnées[[#This Row],[HarvestingDate]]</f>
        <v>119645908</v>
      </c>
    </row>
    <row r="4168" spans="1:16">
      <c r="A4168" s="5">
        <v>45867</v>
      </c>
      <c r="B4168">
        <v>118</v>
      </c>
      <c r="C4168" t="s">
        <v>51</v>
      </c>
      <c r="D4168">
        <v>1</v>
      </c>
      <c r="E4168">
        <v>100</v>
      </c>
      <c r="F4168" t="s">
        <v>1</v>
      </c>
      <c r="G4168" s="6">
        <v>45908</v>
      </c>
      <c r="H4168">
        <v>41</v>
      </c>
      <c r="I4168">
        <f>ROUND(CompilDonnées[[#This Row],[CultureDuration_days]]/7,0)</f>
        <v>6</v>
      </c>
      <c r="J4168">
        <v>3262</v>
      </c>
      <c r="K4168" t="str">
        <f>_xlfn.CONCAT(WEEKNUM(CompilDonnées[[#This Row],[PlantationDate]]), " ", YEAR(CompilDonnées[[#This Row],[PlantationDate]]))</f>
        <v>31 2025</v>
      </c>
      <c r="L4168" t="str">
        <f>CONCATENATE(MONTH(CompilDonnées[[#This Row],[PlantationDate]])," ", YEAR(CompilDonnées[[#This Row],[PlantationDate]]))</f>
        <v>7 2025</v>
      </c>
      <c r="M4168" t="str">
        <f>CONCATENATE(MONTH(CompilDonnées[[#This Row],[HarvestingDate]])," ", YEAR(CompilDonnées[[#This Row],[HarvestingDate]]))</f>
        <v>9 2025</v>
      </c>
      <c r="N4168">
        <f>_xlfn.NUMBERVALUE(CompilDonnées[[#This Row],[FarmID]]&amp;CompilDonnées[[#This Row],[ModuleNumber]]&amp;CompilDonnées[[#This Row],[PlantationDate]])</f>
        <v>118145867</v>
      </c>
      <c r="O4168" t="str">
        <f>CompilDonnées[[#This Row],[FarmID]]&amp;CompilDonnées[[#This Row],[ModuleNumber]]</f>
        <v>1181</v>
      </c>
      <c r="P4168" t="str">
        <f>CompilDonnées[[#This Row],[Ref_Module]]&amp;CompilDonnées[[#This Row],[HarvestingDate]]</f>
        <v>118145908</v>
      </c>
    </row>
    <row r="4169" spans="1:16">
      <c r="A4169" s="5">
        <v>45867</v>
      </c>
      <c r="B4169">
        <v>122</v>
      </c>
      <c r="C4169" t="s">
        <v>122</v>
      </c>
      <c r="D4169">
        <v>5</v>
      </c>
      <c r="E4169">
        <v>100</v>
      </c>
      <c r="F4169" t="s">
        <v>1</v>
      </c>
      <c r="G4169" s="6">
        <v>45908</v>
      </c>
      <c r="H4169">
        <v>41</v>
      </c>
      <c r="I4169">
        <f>ROUND(CompilDonnées[[#This Row],[CultureDuration_days]]/7,0)</f>
        <v>6</v>
      </c>
      <c r="J4169">
        <v>2014</v>
      </c>
      <c r="K4169" t="str">
        <f>_xlfn.CONCAT(WEEKNUM(CompilDonnées[[#This Row],[PlantationDate]]), " ", YEAR(CompilDonnées[[#This Row],[PlantationDate]]))</f>
        <v>31 2025</v>
      </c>
      <c r="L4169" t="str">
        <f>CONCATENATE(MONTH(CompilDonnées[[#This Row],[PlantationDate]])," ", YEAR(CompilDonnées[[#This Row],[PlantationDate]]))</f>
        <v>7 2025</v>
      </c>
      <c r="M4169" t="str">
        <f>CONCATENATE(MONTH(CompilDonnées[[#This Row],[HarvestingDate]])," ", YEAR(CompilDonnées[[#This Row],[HarvestingDate]]))</f>
        <v>9 2025</v>
      </c>
      <c r="N4169">
        <f>_xlfn.NUMBERVALUE(CompilDonnées[[#This Row],[FarmID]]&amp;CompilDonnées[[#This Row],[ModuleNumber]]&amp;CompilDonnées[[#This Row],[PlantationDate]])</f>
        <v>122545867</v>
      </c>
      <c r="O4169" t="str">
        <f>CompilDonnées[[#This Row],[FarmID]]&amp;CompilDonnées[[#This Row],[ModuleNumber]]</f>
        <v>1225</v>
      </c>
      <c r="P4169" t="str">
        <f>CompilDonnées[[#This Row],[Ref_Module]]&amp;CompilDonnées[[#This Row],[HarvestingDate]]</f>
        <v>122545908</v>
      </c>
    </row>
    <row r="4170" spans="1:16">
      <c r="A4170" s="5">
        <v>45867</v>
      </c>
      <c r="B4170">
        <v>132</v>
      </c>
      <c r="C4170" t="s">
        <v>120</v>
      </c>
      <c r="D4170">
        <v>4</v>
      </c>
      <c r="E4170">
        <v>100</v>
      </c>
      <c r="F4170" t="s">
        <v>1</v>
      </c>
      <c r="G4170" s="6">
        <v>45908</v>
      </c>
      <c r="H4170">
        <v>41</v>
      </c>
      <c r="I4170">
        <f>ROUND(CompilDonnées[[#This Row],[CultureDuration_days]]/7,0)</f>
        <v>6</v>
      </c>
      <c r="J4170">
        <v>4021</v>
      </c>
      <c r="K4170" t="str">
        <f>_xlfn.CONCAT(WEEKNUM(CompilDonnées[[#This Row],[PlantationDate]]), " ", YEAR(CompilDonnées[[#This Row],[PlantationDate]]))</f>
        <v>31 2025</v>
      </c>
      <c r="L4170" t="str">
        <f>CONCATENATE(MONTH(CompilDonnées[[#This Row],[PlantationDate]])," ", YEAR(CompilDonnées[[#This Row],[PlantationDate]]))</f>
        <v>7 2025</v>
      </c>
      <c r="M4170" t="str">
        <f>CONCATENATE(MONTH(CompilDonnées[[#This Row],[HarvestingDate]])," ", YEAR(CompilDonnées[[#This Row],[HarvestingDate]]))</f>
        <v>9 2025</v>
      </c>
      <c r="N4170">
        <f>_xlfn.NUMBERVALUE(CompilDonnées[[#This Row],[FarmID]]&amp;CompilDonnées[[#This Row],[ModuleNumber]]&amp;CompilDonnées[[#This Row],[PlantationDate]])</f>
        <v>132445867</v>
      </c>
      <c r="O4170" t="str">
        <f>CompilDonnées[[#This Row],[FarmID]]&amp;CompilDonnées[[#This Row],[ModuleNumber]]</f>
        <v>1324</v>
      </c>
      <c r="P4170" t="str">
        <f>CompilDonnées[[#This Row],[Ref_Module]]&amp;CompilDonnées[[#This Row],[HarvestingDate]]</f>
        <v>132445908</v>
      </c>
    </row>
    <row r="4171" spans="1:16">
      <c r="A4171" s="5">
        <v>45867</v>
      </c>
      <c r="B4171">
        <v>133</v>
      </c>
      <c r="C4171" t="s">
        <v>99</v>
      </c>
      <c r="D4171">
        <v>3</v>
      </c>
      <c r="E4171">
        <v>100</v>
      </c>
      <c r="F4171" t="s">
        <v>1</v>
      </c>
      <c r="G4171" s="6">
        <v>45908</v>
      </c>
      <c r="H4171">
        <v>41</v>
      </c>
      <c r="I4171">
        <f>ROUND(CompilDonnées[[#This Row],[CultureDuration_days]]/7,0)</f>
        <v>6</v>
      </c>
      <c r="J4171">
        <v>4510</v>
      </c>
      <c r="K4171" t="str">
        <f>_xlfn.CONCAT(WEEKNUM(CompilDonnées[[#This Row],[PlantationDate]]), " ", YEAR(CompilDonnées[[#This Row],[PlantationDate]]))</f>
        <v>31 2025</v>
      </c>
      <c r="L4171" t="str">
        <f>CONCATENATE(MONTH(CompilDonnées[[#This Row],[PlantationDate]])," ", YEAR(CompilDonnées[[#This Row],[PlantationDate]]))</f>
        <v>7 2025</v>
      </c>
      <c r="M4171" t="str">
        <f>CONCATENATE(MONTH(CompilDonnées[[#This Row],[HarvestingDate]])," ", YEAR(CompilDonnées[[#This Row],[HarvestingDate]]))</f>
        <v>9 2025</v>
      </c>
      <c r="N4171">
        <f>_xlfn.NUMBERVALUE(CompilDonnées[[#This Row],[FarmID]]&amp;CompilDonnées[[#This Row],[ModuleNumber]]&amp;CompilDonnées[[#This Row],[PlantationDate]])</f>
        <v>133345867</v>
      </c>
      <c r="O4171" t="str">
        <f>CompilDonnées[[#This Row],[FarmID]]&amp;CompilDonnées[[#This Row],[ModuleNumber]]</f>
        <v>1333</v>
      </c>
      <c r="P4171" t="str">
        <f>CompilDonnées[[#This Row],[Ref_Module]]&amp;CompilDonnées[[#This Row],[HarvestingDate]]</f>
        <v>133345908</v>
      </c>
    </row>
    <row r="4172" spans="1:16">
      <c r="A4172" s="5">
        <v>45867</v>
      </c>
      <c r="B4172">
        <v>140</v>
      </c>
      <c r="C4172" t="s">
        <v>96</v>
      </c>
      <c r="D4172">
        <v>5</v>
      </c>
      <c r="E4172">
        <v>100</v>
      </c>
      <c r="F4172" t="s">
        <v>1</v>
      </c>
      <c r="G4172" s="6">
        <v>45904</v>
      </c>
      <c r="H4172">
        <v>37</v>
      </c>
      <c r="I4172">
        <f>ROUND(CompilDonnées[[#This Row],[CultureDuration_days]]/7,0)</f>
        <v>5</v>
      </c>
      <c r="J4172">
        <v>4190</v>
      </c>
      <c r="K4172" t="str">
        <f>_xlfn.CONCAT(WEEKNUM(CompilDonnées[[#This Row],[PlantationDate]]), " ", YEAR(CompilDonnées[[#This Row],[PlantationDate]]))</f>
        <v>31 2025</v>
      </c>
      <c r="L4172" t="str">
        <f>CONCATENATE(MONTH(CompilDonnées[[#This Row],[PlantationDate]])," ", YEAR(CompilDonnées[[#This Row],[PlantationDate]]))</f>
        <v>7 2025</v>
      </c>
      <c r="M4172" t="str">
        <f>CONCATENATE(MONTH(CompilDonnées[[#This Row],[HarvestingDate]])," ", YEAR(CompilDonnées[[#This Row],[HarvestingDate]]))</f>
        <v>9 2025</v>
      </c>
      <c r="N4172">
        <f>_xlfn.NUMBERVALUE(CompilDonnées[[#This Row],[FarmID]]&amp;CompilDonnées[[#This Row],[ModuleNumber]]&amp;CompilDonnées[[#This Row],[PlantationDate]])</f>
        <v>140545867</v>
      </c>
      <c r="O4172" t="str">
        <f>CompilDonnées[[#This Row],[FarmID]]&amp;CompilDonnées[[#This Row],[ModuleNumber]]</f>
        <v>1405</v>
      </c>
      <c r="P4172" t="str">
        <f>CompilDonnées[[#This Row],[Ref_Module]]&amp;CompilDonnées[[#This Row],[HarvestingDate]]</f>
        <v>140545904</v>
      </c>
    </row>
    <row r="4173" spans="1:16">
      <c r="A4173" s="5">
        <v>45867</v>
      </c>
      <c r="B4173">
        <v>139</v>
      </c>
      <c r="C4173" t="s">
        <v>103</v>
      </c>
      <c r="D4173">
        <v>2</v>
      </c>
      <c r="E4173">
        <v>100</v>
      </c>
      <c r="F4173" t="s">
        <v>1</v>
      </c>
      <c r="G4173" s="6">
        <v>45918</v>
      </c>
      <c r="H4173">
        <v>51</v>
      </c>
      <c r="I4173">
        <f>ROUND(CompilDonnées[[#This Row],[CultureDuration_days]]/7,0)</f>
        <v>7</v>
      </c>
      <c r="J4173">
        <v>4120</v>
      </c>
      <c r="K4173" t="str">
        <f>_xlfn.CONCAT(WEEKNUM(CompilDonnées[[#This Row],[PlantationDate]]), " ", YEAR(CompilDonnées[[#This Row],[PlantationDate]]))</f>
        <v>31 2025</v>
      </c>
      <c r="L4173" t="str">
        <f>CONCATENATE(MONTH(CompilDonnées[[#This Row],[PlantationDate]])," ", YEAR(CompilDonnées[[#This Row],[PlantationDate]]))</f>
        <v>7 2025</v>
      </c>
      <c r="M4173" t="str">
        <f>CONCATENATE(MONTH(CompilDonnées[[#This Row],[HarvestingDate]])," ", YEAR(CompilDonnées[[#This Row],[HarvestingDate]]))</f>
        <v>9 2025</v>
      </c>
      <c r="N4173">
        <f>_xlfn.NUMBERVALUE(CompilDonnées[[#This Row],[FarmID]]&amp;CompilDonnées[[#This Row],[ModuleNumber]]&amp;CompilDonnées[[#This Row],[PlantationDate]])</f>
        <v>139245867</v>
      </c>
      <c r="O4173" t="str">
        <f>CompilDonnées[[#This Row],[FarmID]]&amp;CompilDonnées[[#This Row],[ModuleNumber]]</f>
        <v>1392</v>
      </c>
      <c r="P4173" t="str">
        <f>CompilDonnées[[#This Row],[Ref_Module]]&amp;CompilDonnées[[#This Row],[HarvestingDate]]</f>
        <v>139245918</v>
      </c>
    </row>
    <row r="4174" spans="1:16">
      <c r="A4174" s="5">
        <v>45867</v>
      </c>
      <c r="B4174">
        <v>143</v>
      </c>
      <c r="C4174" t="s">
        <v>81</v>
      </c>
      <c r="D4174">
        <v>4</v>
      </c>
      <c r="E4174">
        <v>100</v>
      </c>
      <c r="F4174" t="s">
        <v>1</v>
      </c>
      <c r="G4174" s="6">
        <v>45908</v>
      </c>
      <c r="H4174">
        <v>41</v>
      </c>
      <c r="I4174">
        <f>ROUND(CompilDonnées[[#This Row],[CultureDuration_days]]/7,0)</f>
        <v>6</v>
      </c>
      <c r="J4174">
        <v>2210</v>
      </c>
      <c r="K4174" t="str">
        <f>_xlfn.CONCAT(WEEKNUM(CompilDonnées[[#This Row],[PlantationDate]]), " ", YEAR(CompilDonnées[[#This Row],[PlantationDate]]))</f>
        <v>31 2025</v>
      </c>
      <c r="L4174" t="str">
        <f>CONCATENATE(MONTH(CompilDonnées[[#This Row],[PlantationDate]])," ", YEAR(CompilDonnées[[#This Row],[PlantationDate]]))</f>
        <v>7 2025</v>
      </c>
      <c r="M4174" t="str">
        <f>CONCATENATE(MONTH(CompilDonnées[[#This Row],[HarvestingDate]])," ", YEAR(CompilDonnées[[#This Row],[HarvestingDate]]))</f>
        <v>9 2025</v>
      </c>
      <c r="N4174">
        <f>_xlfn.NUMBERVALUE(CompilDonnées[[#This Row],[FarmID]]&amp;CompilDonnées[[#This Row],[ModuleNumber]]&amp;CompilDonnées[[#This Row],[PlantationDate]])</f>
        <v>143445867</v>
      </c>
      <c r="O4174" t="str">
        <f>CompilDonnées[[#This Row],[FarmID]]&amp;CompilDonnées[[#This Row],[ModuleNumber]]</f>
        <v>1434</v>
      </c>
      <c r="P4174" t="str">
        <f>CompilDonnées[[#This Row],[Ref_Module]]&amp;CompilDonnées[[#This Row],[HarvestingDate]]</f>
        <v>143445908</v>
      </c>
    </row>
    <row r="4175" spans="1:16">
      <c r="A4175" s="5">
        <v>45867</v>
      </c>
      <c r="B4175">
        <v>126</v>
      </c>
      <c r="C4175" t="s">
        <v>52</v>
      </c>
      <c r="D4175">
        <v>3</v>
      </c>
      <c r="E4175">
        <v>100</v>
      </c>
      <c r="F4175" t="s">
        <v>1</v>
      </c>
      <c r="G4175" s="6">
        <v>45908</v>
      </c>
      <c r="H4175">
        <v>41</v>
      </c>
      <c r="I4175">
        <f>ROUND(CompilDonnées[[#This Row],[CultureDuration_days]]/7,0)</f>
        <v>6</v>
      </c>
      <c r="J4175">
        <v>4126</v>
      </c>
      <c r="K4175" t="str">
        <f>_xlfn.CONCAT(WEEKNUM(CompilDonnées[[#This Row],[PlantationDate]]), " ", YEAR(CompilDonnées[[#This Row],[PlantationDate]]))</f>
        <v>31 2025</v>
      </c>
      <c r="L4175" t="str">
        <f>CONCATENATE(MONTH(CompilDonnées[[#This Row],[PlantationDate]])," ", YEAR(CompilDonnées[[#This Row],[PlantationDate]]))</f>
        <v>7 2025</v>
      </c>
      <c r="M4175" t="str">
        <f>CONCATENATE(MONTH(CompilDonnées[[#This Row],[HarvestingDate]])," ", YEAR(CompilDonnées[[#This Row],[HarvestingDate]]))</f>
        <v>9 2025</v>
      </c>
      <c r="N4175">
        <f>_xlfn.NUMBERVALUE(CompilDonnées[[#This Row],[FarmID]]&amp;CompilDonnées[[#This Row],[ModuleNumber]]&amp;CompilDonnées[[#This Row],[PlantationDate]])</f>
        <v>126345867</v>
      </c>
      <c r="O4175" t="str">
        <f>CompilDonnées[[#This Row],[FarmID]]&amp;CompilDonnées[[#This Row],[ModuleNumber]]</f>
        <v>1263</v>
      </c>
      <c r="P4175" t="str">
        <f>CompilDonnées[[#This Row],[Ref_Module]]&amp;CompilDonnées[[#This Row],[HarvestingDate]]</f>
        <v>126345908</v>
      </c>
    </row>
    <row r="4176" spans="1:16">
      <c r="A4176" s="5">
        <v>45867</v>
      </c>
      <c r="B4176">
        <v>123</v>
      </c>
      <c r="C4176" t="s">
        <v>13</v>
      </c>
      <c r="D4176">
        <v>4</v>
      </c>
      <c r="E4176">
        <v>100</v>
      </c>
      <c r="F4176" t="s">
        <v>1</v>
      </c>
      <c r="G4176" s="6">
        <v>45917</v>
      </c>
      <c r="H4176">
        <v>50</v>
      </c>
      <c r="I4176">
        <f>ROUND(CompilDonnées[[#This Row],[CultureDuration_days]]/7,0)</f>
        <v>7</v>
      </c>
      <c r="J4176">
        <v>4730</v>
      </c>
      <c r="K4176" t="str">
        <f>_xlfn.CONCAT(WEEKNUM(CompilDonnées[[#This Row],[PlantationDate]]), " ", YEAR(CompilDonnées[[#This Row],[PlantationDate]]))</f>
        <v>31 2025</v>
      </c>
      <c r="L4176" t="str">
        <f>CONCATENATE(MONTH(CompilDonnées[[#This Row],[PlantationDate]])," ", YEAR(CompilDonnées[[#This Row],[PlantationDate]]))</f>
        <v>7 2025</v>
      </c>
      <c r="M4176" t="str">
        <f>CONCATENATE(MONTH(CompilDonnées[[#This Row],[HarvestingDate]])," ", YEAR(CompilDonnées[[#This Row],[HarvestingDate]]))</f>
        <v>9 2025</v>
      </c>
      <c r="N4176">
        <f>_xlfn.NUMBERVALUE(CompilDonnées[[#This Row],[FarmID]]&amp;CompilDonnées[[#This Row],[ModuleNumber]]&amp;CompilDonnées[[#This Row],[PlantationDate]])</f>
        <v>123445867</v>
      </c>
      <c r="O4176" t="str">
        <f>CompilDonnées[[#This Row],[FarmID]]&amp;CompilDonnées[[#This Row],[ModuleNumber]]</f>
        <v>1234</v>
      </c>
      <c r="P4176" t="str">
        <f>CompilDonnées[[#This Row],[Ref_Module]]&amp;CompilDonnées[[#This Row],[HarvestingDate]]</f>
        <v>123445917</v>
      </c>
    </row>
    <row r="4177" spans="1:16">
      <c r="A4177" s="5">
        <v>45867</v>
      </c>
      <c r="B4177">
        <v>67</v>
      </c>
      <c r="C4177" t="s">
        <v>28</v>
      </c>
      <c r="D4177">
        <v>4</v>
      </c>
      <c r="E4177">
        <v>100</v>
      </c>
      <c r="F4177" t="s">
        <v>1</v>
      </c>
      <c r="G4177" s="6">
        <v>45910</v>
      </c>
      <c r="H4177">
        <v>43</v>
      </c>
      <c r="I4177">
        <f>ROUND(CompilDonnées[[#This Row],[CultureDuration_days]]/7,0)</f>
        <v>6</v>
      </c>
      <c r="J4177">
        <v>3747</v>
      </c>
      <c r="K4177" t="str">
        <f>_xlfn.CONCAT(WEEKNUM(CompilDonnées[[#This Row],[PlantationDate]]), " ", YEAR(CompilDonnées[[#This Row],[PlantationDate]]))</f>
        <v>31 2025</v>
      </c>
      <c r="L4177" t="str">
        <f>CONCATENATE(MONTH(CompilDonnées[[#This Row],[PlantationDate]])," ", YEAR(CompilDonnées[[#This Row],[PlantationDate]]))</f>
        <v>7 2025</v>
      </c>
      <c r="M4177" t="str">
        <f>CONCATENATE(MONTH(CompilDonnées[[#This Row],[HarvestingDate]])," ", YEAR(CompilDonnées[[#This Row],[HarvestingDate]]))</f>
        <v>9 2025</v>
      </c>
      <c r="N4177">
        <f>_xlfn.NUMBERVALUE(CompilDonnées[[#This Row],[FarmID]]&amp;CompilDonnées[[#This Row],[ModuleNumber]]&amp;CompilDonnées[[#This Row],[PlantationDate]])</f>
        <v>67445867</v>
      </c>
      <c r="O4177" t="str">
        <f>CompilDonnées[[#This Row],[FarmID]]&amp;CompilDonnées[[#This Row],[ModuleNumber]]</f>
        <v>674</v>
      </c>
      <c r="P4177" t="str">
        <f>CompilDonnées[[#This Row],[Ref_Module]]&amp;CompilDonnées[[#This Row],[HarvestingDate]]</f>
        <v>67445910</v>
      </c>
    </row>
    <row r="4178" spans="1:16">
      <c r="A4178" s="5">
        <v>45867</v>
      </c>
      <c r="B4178">
        <v>145</v>
      </c>
      <c r="C4178" t="s">
        <v>3</v>
      </c>
      <c r="D4178">
        <v>4</v>
      </c>
      <c r="E4178">
        <v>60</v>
      </c>
      <c r="F4178" t="s">
        <v>105</v>
      </c>
      <c r="G4178" s="6">
        <v>45915</v>
      </c>
      <c r="H4178">
        <v>48</v>
      </c>
      <c r="I4178">
        <f>ROUND(CompilDonnées[[#This Row],[CultureDuration_days]]/7,0)</f>
        <v>7</v>
      </c>
      <c r="J4178">
        <v>748</v>
      </c>
      <c r="K4178" t="str">
        <f>_xlfn.CONCAT(WEEKNUM(CompilDonnées[[#This Row],[PlantationDate]]), " ", YEAR(CompilDonnées[[#This Row],[PlantationDate]]))</f>
        <v>31 2025</v>
      </c>
      <c r="L4178" t="str">
        <f>CONCATENATE(MONTH(CompilDonnées[[#This Row],[PlantationDate]])," ", YEAR(CompilDonnées[[#This Row],[PlantationDate]]))</f>
        <v>7 2025</v>
      </c>
      <c r="M4178" t="str">
        <f>CONCATENATE(MONTH(CompilDonnées[[#This Row],[HarvestingDate]])," ", YEAR(CompilDonnées[[#This Row],[HarvestingDate]]))</f>
        <v>9 2025</v>
      </c>
      <c r="N4178">
        <f>_xlfn.NUMBERVALUE(CompilDonnées[[#This Row],[FarmID]]&amp;CompilDonnées[[#This Row],[ModuleNumber]]&amp;CompilDonnées[[#This Row],[PlantationDate]])</f>
        <v>145445867</v>
      </c>
      <c r="O4178" t="str">
        <f>CompilDonnées[[#This Row],[FarmID]]&amp;CompilDonnées[[#This Row],[ModuleNumber]]</f>
        <v>1454</v>
      </c>
      <c r="P4178" t="str">
        <f>CompilDonnées[[#This Row],[Ref_Module]]&amp;CompilDonnées[[#This Row],[HarvestingDate]]</f>
        <v>145445915</v>
      </c>
    </row>
    <row r="4179" spans="1:16">
      <c r="A4179" s="5">
        <v>45867</v>
      </c>
      <c r="B4179">
        <v>145</v>
      </c>
      <c r="C4179" t="s">
        <v>3</v>
      </c>
      <c r="D4179">
        <v>5</v>
      </c>
      <c r="E4179">
        <v>60</v>
      </c>
      <c r="F4179" t="s">
        <v>105</v>
      </c>
      <c r="G4179" s="6">
        <v>45915</v>
      </c>
      <c r="H4179">
        <v>48</v>
      </c>
      <c r="I4179">
        <f>ROUND(CompilDonnées[[#This Row],[CultureDuration_days]]/7,0)</f>
        <v>7</v>
      </c>
      <c r="J4179">
        <v>754</v>
      </c>
      <c r="K4179" t="str">
        <f>_xlfn.CONCAT(WEEKNUM(CompilDonnées[[#This Row],[PlantationDate]]), " ", YEAR(CompilDonnées[[#This Row],[PlantationDate]]))</f>
        <v>31 2025</v>
      </c>
      <c r="L4179" t="str">
        <f>CONCATENATE(MONTH(CompilDonnées[[#This Row],[PlantationDate]])," ", YEAR(CompilDonnées[[#This Row],[PlantationDate]]))</f>
        <v>7 2025</v>
      </c>
      <c r="M4179" t="str">
        <f>CONCATENATE(MONTH(CompilDonnées[[#This Row],[HarvestingDate]])," ", YEAR(CompilDonnées[[#This Row],[HarvestingDate]]))</f>
        <v>9 2025</v>
      </c>
      <c r="N4179">
        <f>_xlfn.NUMBERVALUE(CompilDonnées[[#This Row],[FarmID]]&amp;CompilDonnées[[#This Row],[ModuleNumber]]&amp;CompilDonnées[[#This Row],[PlantationDate]])</f>
        <v>145545867</v>
      </c>
      <c r="O4179" t="str">
        <f>CompilDonnées[[#This Row],[FarmID]]&amp;CompilDonnées[[#This Row],[ModuleNumber]]</f>
        <v>1455</v>
      </c>
      <c r="P4179" t="str">
        <f>CompilDonnées[[#This Row],[Ref_Module]]&amp;CompilDonnées[[#This Row],[HarvestingDate]]</f>
        <v>145545915</v>
      </c>
    </row>
    <row r="4180" spans="1:16">
      <c r="A4180" s="5">
        <v>45867</v>
      </c>
      <c r="B4180">
        <v>145</v>
      </c>
      <c r="C4180" t="s">
        <v>3</v>
      </c>
      <c r="D4180">
        <v>6</v>
      </c>
      <c r="E4180">
        <v>60</v>
      </c>
      <c r="F4180" t="s">
        <v>105</v>
      </c>
      <c r="G4180" s="6">
        <v>45915</v>
      </c>
      <c r="H4180">
        <v>48</v>
      </c>
      <c r="I4180">
        <f>ROUND(CompilDonnées[[#This Row],[CultureDuration_days]]/7,0)</f>
        <v>7</v>
      </c>
      <c r="J4180">
        <v>746</v>
      </c>
      <c r="K4180" t="str">
        <f>_xlfn.CONCAT(WEEKNUM(CompilDonnées[[#This Row],[PlantationDate]]), " ", YEAR(CompilDonnées[[#This Row],[PlantationDate]]))</f>
        <v>31 2025</v>
      </c>
      <c r="L4180" t="str">
        <f>CONCATENATE(MONTH(CompilDonnées[[#This Row],[PlantationDate]])," ", YEAR(CompilDonnées[[#This Row],[PlantationDate]]))</f>
        <v>7 2025</v>
      </c>
      <c r="M4180" t="str">
        <f>CONCATENATE(MONTH(CompilDonnées[[#This Row],[HarvestingDate]])," ", YEAR(CompilDonnées[[#This Row],[HarvestingDate]]))</f>
        <v>9 2025</v>
      </c>
      <c r="N4180">
        <f>_xlfn.NUMBERVALUE(CompilDonnées[[#This Row],[FarmID]]&amp;CompilDonnées[[#This Row],[ModuleNumber]]&amp;CompilDonnées[[#This Row],[PlantationDate]])</f>
        <v>145645867</v>
      </c>
      <c r="O4180" t="str">
        <f>CompilDonnées[[#This Row],[FarmID]]&amp;CompilDonnées[[#This Row],[ModuleNumber]]</f>
        <v>1456</v>
      </c>
      <c r="P4180" t="str">
        <f>CompilDonnées[[#This Row],[Ref_Module]]&amp;CompilDonnées[[#This Row],[HarvestingDate]]</f>
        <v>145645915</v>
      </c>
    </row>
    <row r="4181" spans="1:16">
      <c r="A4181" s="5">
        <v>45868</v>
      </c>
      <c r="B4181">
        <v>62</v>
      </c>
      <c r="C4181" t="s">
        <v>124</v>
      </c>
      <c r="D4181">
        <v>1</v>
      </c>
      <c r="E4181">
        <v>100</v>
      </c>
      <c r="F4181" t="s">
        <v>1</v>
      </c>
      <c r="G4181" s="6">
        <v>45916</v>
      </c>
      <c r="H4181">
        <v>48</v>
      </c>
      <c r="I4181">
        <f>ROUND(CompilDonnées[[#This Row],[CultureDuration_days]]/7,0)</f>
        <v>7</v>
      </c>
      <c r="J4181">
        <v>1843</v>
      </c>
      <c r="K4181" t="str">
        <f>_xlfn.CONCAT(WEEKNUM(CompilDonnées[[#This Row],[PlantationDate]]), " ", YEAR(CompilDonnées[[#This Row],[PlantationDate]]))</f>
        <v>31 2025</v>
      </c>
      <c r="L4181" t="str">
        <f>CONCATENATE(MONTH(CompilDonnées[[#This Row],[PlantationDate]])," ", YEAR(CompilDonnées[[#This Row],[PlantationDate]]))</f>
        <v>7 2025</v>
      </c>
      <c r="M4181" t="str">
        <f>CONCATENATE(MONTH(CompilDonnées[[#This Row],[HarvestingDate]])," ", YEAR(CompilDonnées[[#This Row],[HarvestingDate]]))</f>
        <v>9 2025</v>
      </c>
      <c r="N4181">
        <f>_xlfn.NUMBERVALUE(CompilDonnées[[#This Row],[FarmID]]&amp;CompilDonnées[[#This Row],[ModuleNumber]]&amp;CompilDonnées[[#This Row],[PlantationDate]])</f>
        <v>62145868</v>
      </c>
      <c r="O4181" t="str">
        <f>CompilDonnées[[#This Row],[FarmID]]&amp;CompilDonnées[[#This Row],[ModuleNumber]]</f>
        <v>621</v>
      </c>
      <c r="P4181" t="str">
        <f>CompilDonnées[[#This Row],[Ref_Module]]&amp;CompilDonnées[[#This Row],[HarvestingDate]]</f>
        <v>62145916</v>
      </c>
    </row>
    <row r="4182" spans="1:16">
      <c r="A4182" s="5">
        <v>45868</v>
      </c>
      <c r="B4182">
        <v>87</v>
      </c>
      <c r="C4182" t="s">
        <v>38</v>
      </c>
      <c r="D4182">
        <v>2</v>
      </c>
      <c r="E4182">
        <v>100</v>
      </c>
      <c r="F4182" t="s">
        <v>1</v>
      </c>
      <c r="G4182" s="6">
        <v>45909</v>
      </c>
      <c r="H4182">
        <v>41</v>
      </c>
      <c r="I4182">
        <f>ROUND(CompilDonnées[[#This Row],[CultureDuration_days]]/7,0)</f>
        <v>6</v>
      </c>
      <c r="J4182">
        <v>2691</v>
      </c>
      <c r="K4182" t="str">
        <f>_xlfn.CONCAT(WEEKNUM(CompilDonnées[[#This Row],[PlantationDate]]), " ", YEAR(CompilDonnées[[#This Row],[PlantationDate]]))</f>
        <v>31 2025</v>
      </c>
      <c r="L4182" t="str">
        <f>CONCATENATE(MONTH(CompilDonnées[[#This Row],[PlantationDate]])," ", YEAR(CompilDonnées[[#This Row],[PlantationDate]]))</f>
        <v>7 2025</v>
      </c>
      <c r="M4182" t="str">
        <f>CONCATENATE(MONTH(CompilDonnées[[#This Row],[HarvestingDate]])," ", YEAR(CompilDonnées[[#This Row],[HarvestingDate]]))</f>
        <v>9 2025</v>
      </c>
      <c r="N4182">
        <f>_xlfn.NUMBERVALUE(CompilDonnées[[#This Row],[FarmID]]&amp;CompilDonnées[[#This Row],[ModuleNumber]]&amp;CompilDonnées[[#This Row],[PlantationDate]])</f>
        <v>87245868</v>
      </c>
      <c r="O4182" t="str">
        <f>CompilDonnées[[#This Row],[FarmID]]&amp;CompilDonnées[[#This Row],[ModuleNumber]]</f>
        <v>872</v>
      </c>
      <c r="P4182" t="str">
        <f>CompilDonnées[[#This Row],[Ref_Module]]&amp;CompilDonnées[[#This Row],[HarvestingDate]]</f>
        <v>87245909</v>
      </c>
    </row>
    <row r="4183" spans="1:16">
      <c r="A4183" s="5">
        <v>45868</v>
      </c>
      <c r="B4183">
        <v>94</v>
      </c>
      <c r="C4183" t="s">
        <v>40</v>
      </c>
      <c r="D4183">
        <v>6</v>
      </c>
      <c r="E4183">
        <v>100</v>
      </c>
      <c r="F4183" t="s">
        <v>1</v>
      </c>
      <c r="G4183" s="6">
        <v>45909</v>
      </c>
      <c r="H4183">
        <v>41</v>
      </c>
      <c r="I4183">
        <f>ROUND(CompilDonnées[[#This Row],[CultureDuration_days]]/7,0)</f>
        <v>6</v>
      </c>
      <c r="J4183">
        <v>3624</v>
      </c>
      <c r="K4183" t="str">
        <f>_xlfn.CONCAT(WEEKNUM(CompilDonnées[[#This Row],[PlantationDate]]), " ", YEAR(CompilDonnées[[#This Row],[PlantationDate]]))</f>
        <v>31 2025</v>
      </c>
      <c r="L4183" t="str">
        <f>CONCATENATE(MONTH(CompilDonnées[[#This Row],[PlantationDate]])," ", YEAR(CompilDonnées[[#This Row],[PlantationDate]]))</f>
        <v>7 2025</v>
      </c>
      <c r="M4183" t="str">
        <f>CONCATENATE(MONTH(CompilDonnées[[#This Row],[HarvestingDate]])," ", YEAR(CompilDonnées[[#This Row],[HarvestingDate]]))</f>
        <v>9 2025</v>
      </c>
      <c r="N4183">
        <f>_xlfn.NUMBERVALUE(CompilDonnées[[#This Row],[FarmID]]&amp;CompilDonnées[[#This Row],[ModuleNumber]]&amp;CompilDonnées[[#This Row],[PlantationDate]])</f>
        <v>94645868</v>
      </c>
      <c r="O4183" t="str">
        <f>CompilDonnées[[#This Row],[FarmID]]&amp;CompilDonnées[[#This Row],[ModuleNumber]]</f>
        <v>946</v>
      </c>
      <c r="P4183" t="str">
        <f>CompilDonnées[[#This Row],[Ref_Module]]&amp;CompilDonnées[[#This Row],[HarvestingDate]]</f>
        <v>94645909</v>
      </c>
    </row>
    <row r="4184" spans="1:16">
      <c r="A4184" s="5">
        <v>45868</v>
      </c>
      <c r="B4184">
        <v>102</v>
      </c>
      <c r="C4184" t="s">
        <v>85</v>
      </c>
      <c r="D4184">
        <v>5</v>
      </c>
      <c r="E4184">
        <v>100</v>
      </c>
      <c r="F4184" t="s">
        <v>1</v>
      </c>
      <c r="G4184" s="6">
        <v>45908</v>
      </c>
      <c r="H4184">
        <v>40</v>
      </c>
      <c r="I4184">
        <f>ROUND(CompilDonnées[[#This Row],[CultureDuration_days]]/7,0)</f>
        <v>6</v>
      </c>
      <c r="J4184">
        <v>1542</v>
      </c>
      <c r="K4184" t="str">
        <f>_xlfn.CONCAT(WEEKNUM(CompilDonnées[[#This Row],[PlantationDate]]), " ", YEAR(CompilDonnées[[#This Row],[PlantationDate]]))</f>
        <v>31 2025</v>
      </c>
      <c r="L4184" t="str">
        <f>CONCATENATE(MONTH(CompilDonnées[[#This Row],[PlantationDate]])," ", YEAR(CompilDonnées[[#This Row],[PlantationDate]]))</f>
        <v>7 2025</v>
      </c>
      <c r="M4184" t="str">
        <f>CONCATENATE(MONTH(CompilDonnées[[#This Row],[HarvestingDate]])," ", YEAR(CompilDonnées[[#This Row],[HarvestingDate]]))</f>
        <v>9 2025</v>
      </c>
      <c r="N4184">
        <f>_xlfn.NUMBERVALUE(CompilDonnées[[#This Row],[FarmID]]&amp;CompilDonnées[[#This Row],[ModuleNumber]]&amp;CompilDonnées[[#This Row],[PlantationDate]])</f>
        <v>102545868</v>
      </c>
      <c r="O4184" t="str">
        <f>CompilDonnées[[#This Row],[FarmID]]&amp;CompilDonnées[[#This Row],[ModuleNumber]]</f>
        <v>1025</v>
      </c>
      <c r="P4184" t="str">
        <f>CompilDonnées[[#This Row],[Ref_Module]]&amp;CompilDonnées[[#This Row],[HarvestingDate]]</f>
        <v>102545908</v>
      </c>
    </row>
    <row r="4185" spans="1:16">
      <c r="A4185" s="5">
        <v>45868</v>
      </c>
      <c r="B4185">
        <v>102</v>
      </c>
      <c r="C4185" t="s">
        <v>85</v>
      </c>
      <c r="D4185">
        <v>6</v>
      </c>
      <c r="E4185">
        <v>100</v>
      </c>
      <c r="F4185" t="s">
        <v>1</v>
      </c>
      <c r="G4185" s="6">
        <v>45908</v>
      </c>
      <c r="H4185">
        <v>40</v>
      </c>
      <c r="I4185">
        <f>ROUND(CompilDonnées[[#This Row],[CultureDuration_days]]/7,0)</f>
        <v>6</v>
      </c>
      <c r="J4185">
        <v>1572</v>
      </c>
      <c r="K4185" t="str">
        <f>_xlfn.CONCAT(WEEKNUM(CompilDonnées[[#This Row],[PlantationDate]]), " ", YEAR(CompilDonnées[[#This Row],[PlantationDate]]))</f>
        <v>31 2025</v>
      </c>
      <c r="L4185" t="str">
        <f>CONCATENATE(MONTH(CompilDonnées[[#This Row],[PlantationDate]])," ", YEAR(CompilDonnées[[#This Row],[PlantationDate]]))</f>
        <v>7 2025</v>
      </c>
      <c r="M4185" t="str">
        <f>CONCATENATE(MONTH(CompilDonnées[[#This Row],[HarvestingDate]])," ", YEAR(CompilDonnées[[#This Row],[HarvestingDate]]))</f>
        <v>9 2025</v>
      </c>
      <c r="N4185">
        <f>_xlfn.NUMBERVALUE(CompilDonnées[[#This Row],[FarmID]]&amp;CompilDonnées[[#This Row],[ModuleNumber]]&amp;CompilDonnées[[#This Row],[PlantationDate]])</f>
        <v>102645868</v>
      </c>
      <c r="O4185" t="str">
        <f>CompilDonnées[[#This Row],[FarmID]]&amp;CompilDonnées[[#This Row],[ModuleNumber]]</f>
        <v>1026</v>
      </c>
      <c r="P4185" t="str">
        <f>CompilDonnées[[#This Row],[Ref_Module]]&amp;CompilDonnées[[#This Row],[HarvestingDate]]</f>
        <v>102645908</v>
      </c>
    </row>
    <row r="4186" spans="1:16">
      <c r="A4186" s="5">
        <v>45868</v>
      </c>
      <c r="B4186">
        <v>89</v>
      </c>
      <c r="C4186" t="s">
        <v>67</v>
      </c>
      <c r="D4186">
        <v>4</v>
      </c>
      <c r="E4186">
        <v>100</v>
      </c>
      <c r="F4186" t="s">
        <v>1</v>
      </c>
      <c r="G4186" s="6">
        <v>45909</v>
      </c>
      <c r="H4186">
        <v>41</v>
      </c>
      <c r="I4186">
        <f>ROUND(CompilDonnées[[#This Row],[CultureDuration_days]]/7,0)</f>
        <v>6</v>
      </c>
      <c r="J4186">
        <v>2783</v>
      </c>
      <c r="K4186" t="str">
        <f>_xlfn.CONCAT(WEEKNUM(CompilDonnées[[#This Row],[PlantationDate]]), " ", YEAR(CompilDonnées[[#This Row],[PlantationDate]]))</f>
        <v>31 2025</v>
      </c>
      <c r="L4186" t="str">
        <f>CONCATENATE(MONTH(CompilDonnées[[#This Row],[PlantationDate]])," ", YEAR(CompilDonnées[[#This Row],[PlantationDate]]))</f>
        <v>7 2025</v>
      </c>
      <c r="M4186" t="str">
        <f>CONCATENATE(MONTH(CompilDonnées[[#This Row],[HarvestingDate]])," ", YEAR(CompilDonnées[[#This Row],[HarvestingDate]]))</f>
        <v>9 2025</v>
      </c>
      <c r="N4186">
        <f>_xlfn.NUMBERVALUE(CompilDonnées[[#This Row],[FarmID]]&amp;CompilDonnées[[#This Row],[ModuleNumber]]&amp;CompilDonnées[[#This Row],[PlantationDate]])</f>
        <v>89445868</v>
      </c>
      <c r="O4186" t="str">
        <f>CompilDonnées[[#This Row],[FarmID]]&amp;CompilDonnées[[#This Row],[ModuleNumber]]</f>
        <v>894</v>
      </c>
      <c r="P4186" t="str">
        <f>CompilDonnées[[#This Row],[Ref_Module]]&amp;CompilDonnées[[#This Row],[HarvestingDate]]</f>
        <v>89445909</v>
      </c>
    </row>
    <row r="4187" spans="1:16">
      <c r="A4187" s="5">
        <v>45868</v>
      </c>
      <c r="B4187">
        <v>90</v>
      </c>
      <c r="C4187" t="s">
        <v>72</v>
      </c>
      <c r="D4187">
        <v>4</v>
      </c>
      <c r="E4187">
        <v>100</v>
      </c>
      <c r="F4187" t="s">
        <v>1</v>
      </c>
      <c r="G4187" s="6">
        <v>45909</v>
      </c>
      <c r="H4187">
        <v>41</v>
      </c>
      <c r="I4187">
        <f>ROUND(CompilDonnées[[#This Row],[CultureDuration_days]]/7,0)</f>
        <v>6</v>
      </c>
      <c r="J4187">
        <v>1959</v>
      </c>
      <c r="K4187" t="str">
        <f>_xlfn.CONCAT(WEEKNUM(CompilDonnées[[#This Row],[PlantationDate]]), " ", YEAR(CompilDonnées[[#This Row],[PlantationDate]]))</f>
        <v>31 2025</v>
      </c>
      <c r="L4187" t="str">
        <f>CONCATENATE(MONTH(CompilDonnées[[#This Row],[PlantationDate]])," ", YEAR(CompilDonnées[[#This Row],[PlantationDate]]))</f>
        <v>7 2025</v>
      </c>
      <c r="M4187" t="str">
        <f>CONCATENATE(MONTH(CompilDonnées[[#This Row],[HarvestingDate]])," ", YEAR(CompilDonnées[[#This Row],[HarvestingDate]]))</f>
        <v>9 2025</v>
      </c>
      <c r="N4187">
        <f>_xlfn.NUMBERVALUE(CompilDonnées[[#This Row],[FarmID]]&amp;CompilDonnées[[#This Row],[ModuleNumber]]&amp;CompilDonnées[[#This Row],[PlantationDate]])</f>
        <v>90445868</v>
      </c>
      <c r="O4187" t="str">
        <f>CompilDonnées[[#This Row],[FarmID]]&amp;CompilDonnées[[#This Row],[ModuleNumber]]</f>
        <v>904</v>
      </c>
      <c r="P4187" t="str">
        <f>CompilDonnées[[#This Row],[Ref_Module]]&amp;CompilDonnées[[#This Row],[HarvestingDate]]</f>
        <v>90445909</v>
      </c>
    </row>
    <row r="4188" spans="1:16">
      <c r="A4188" s="5">
        <v>45868</v>
      </c>
      <c r="B4188">
        <v>73</v>
      </c>
      <c r="C4188" t="s">
        <v>20</v>
      </c>
      <c r="D4188">
        <v>5</v>
      </c>
      <c r="E4188">
        <v>100</v>
      </c>
      <c r="F4188" t="s">
        <v>1</v>
      </c>
      <c r="G4188" s="6">
        <v>45910</v>
      </c>
      <c r="H4188">
        <v>42</v>
      </c>
      <c r="I4188">
        <f>ROUND(CompilDonnées[[#This Row],[CultureDuration_days]]/7,0)</f>
        <v>6</v>
      </c>
      <c r="J4188">
        <v>2593</v>
      </c>
      <c r="K4188" t="str">
        <f>_xlfn.CONCAT(WEEKNUM(CompilDonnées[[#This Row],[PlantationDate]]), " ", YEAR(CompilDonnées[[#This Row],[PlantationDate]]))</f>
        <v>31 2025</v>
      </c>
      <c r="L4188" t="str">
        <f>CONCATENATE(MONTH(CompilDonnées[[#This Row],[PlantationDate]])," ", YEAR(CompilDonnées[[#This Row],[PlantationDate]]))</f>
        <v>7 2025</v>
      </c>
      <c r="M4188" t="str">
        <f>CONCATENATE(MONTH(CompilDonnées[[#This Row],[HarvestingDate]])," ", YEAR(CompilDonnées[[#This Row],[HarvestingDate]]))</f>
        <v>9 2025</v>
      </c>
      <c r="N4188">
        <f>_xlfn.NUMBERVALUE(CompilDonnées[[#This Row],[FarmID]]&amp;CompilDonnées[[#This Row],[ModuleNumber]]&amp;CompilDonnées[[#This Row],[PlantationDate]])</f>
        <v>73545868</v>
      </c>
      <c r="O4188" t="str">
        <f>CompilDonnées[[#This Row],[FarmID]]&amp;CompilDonnées[[#This Row],[ModuleNumber]]</f>
        <v>735</v>
      </c>
      <c r="P4188" t="str">
        <f>CompilDonnées[[#This Row],[Ref_Module]]&amp;CompilDonnées[[#This Row],[HarvestingDate]]</f>
        <v>73545910</v>
      </c>
    </row>
    <row r="4189" spans="1:16">
      <c r="A4189" s="5">
        <v>45868</v>
      </c>
      <c r="B4189">
        <v>73</v>
      </c>
      <c r="C4189" t="s">
        <v>20</v>
      </c>
      <c r="D4189">
        <v>6</v>
      </c>
      <c r="E4189">
        <v>100</v>
      </c>
      <c r="F4189" t="s">
        <v>1</v>
      </c>
      <c r="G4189" s="6">
        <v>45916</v>
      </c>
      <c r="H4189">
        <v>48</v>
      </c>
      <c r="I4189">
        <f>ROUND(CompilDonnées[[#This Row],[CultureDuration_days]]/7,0)</f>
        <v>7</v>
      </c>
      <c r="J4189">
        <v>3021</v>
      </c>
      <c r="K4189" t="str">
        <f>_xlfn.CONCAT(WEEKNUM(CompilDonnées[[#This Row],[PlantationDate]]), " ", YEAR(CompilDonnées[[#This Row],[PlantationDate]]))</f>
        <v>31 2025</v>
      </c>
      <c r="L4189" t="str">
        <f>CONCATENATE(MONTH(CompilDonnées[[#This Row],[PlantationDate]])," ", YEAR(CompilDonnées[[#This Row],[PlantationDate]]))</f>
        <v>7 2025</v>
      </c>
      <c r="M4189" t="str">
        <f>CONCATENATE(MONTH(CompilDonnées[[#This Row],[HarvestingDate]])," ", YEAR(CompilDonnées[[#This Row],[HarvestingDate]]))</f>
        <v>9 2025</v>
      </c>
      <c r="N4189">
        <f>_xlfn.NUMBERVALUE(CompilDonnées[[#This Row],[FarmID]]&amp;CompilDonnées[[#This Row],[ModuleNumber]]&amp;CompilDonnées[[#This Row],[PlantationDate]])</f>
        <v>73645868</v>
      </c>
      <c r="O4189" t="str">
        <f>CompilDonnées[[#This Row],[FarmID]]&amp;CompilDonnées[[#This Row],[ModuleNumber]]</f>
        <v>736</v>
      </c>
      <c r="P4189" t="str">
        <f>CompilDonnées[[#This Row],[Ref_Module]]&amp;CompilDonnées[[#This Row],[HarvestingDate]]</f>
        <v>73645916</v>
      </c>
    </row>
    <row r="4190" spans="1:16">
      <c r="A4190" s="5">
        <v>45868</v>
      </c>
      <c r="B4190">
        <v>72</v>
      </c>
      <c r="C4190" t="s">
        <v>49</v>
      </c>
      <c r="D4190">
        <v>3</v>
      </c>
      <c r="E4190">
        <v>100</v>
      </c>
      <c r="F4190" t="s">
        <v>1</v>
      </c>
      <c r="G4190" s="6">
        <v>45917</v>
      </c>
      <c r="H4190">
        <v>49</v>
      </c>
      <c r="I4190">
        <f>ROUND(CompilDonnées[[#This Row],[CultureDuration_days]]/7,0)</f>
        <v>7</v>
      </c>
      <c r="J4190">
        <v>3000</v>
      </c>
      <c r="K4190" t="str">
        <f>_xlfn.CONCAT(WEEKNUM(CompilDonnées[[#This Row],[PlantationDate]]), " ", YEAR(CompilDonnées[[#This Row],[PlantationDate]]))</f>
        <v>31 2025</v>
      </c>
      <c r="L4190" t="str">
        <f>CONCATENATE(MONTH(CompilDonnées[[#This Row],[PlantationDate]])," ", YEAR(CompilDonnées[[#This Row],[PlantationDate]]))</f>
        <v>7 2025</v>
      </c>
      <c r="M4190" t="str">
        <f>CONCATENATE(MONTH(CompilDonnées[[#This Row],[HarvestingDate]])," ", YEAR(CompilDonnées[[#This Row],[HarvestingDate]]))</f>
        <v>9 2025</v>
      </c>
      <c r="N4190">
        <f>_xlfn.NUMBERVALUE(CompilDonnées[[#This Row],[FarmID]]&amp;CompilDonnées[[#This Row],[ModuleNumber]]&amp;CompilDonnées[[#This Row],[PlantationDate]])</f>
        <v>72345868</v>
      </c>
      <c r="O4190" t="str">
        <f>CompilDonnées[[#This Row],[FarmID]]&amp;CompilDonnées[[#This Row],[ModuleNumber]]</f>
        <v>723</v>
      </c>
      <c r="P4190" t="str">
        <f>CompilDonnées[[#This Row],[Ref_Module]]&amp;CompilDonnées[[#This Row],[HarvestingDate]]</f>
        <v>72345917</v>
      </c>
    </row>
    <row r="4191" spans="1:16">
      <c r="A4191" s="5">
        <v>45868</v>
      </c>
      <c r="B4191">
        <v>74</v>
      </c>
      <c r="C4191" t="s">
        <v>21</v>
      </c>
      <c r="D4191">
        <v>3</v>
      </c>
      <c r="E4191">
        <v>100</v>
      </c>
      <c r="F4191" t="s">
        <v>1</v>
      </c>
      <c r="G4191" s="6">
        <v>45910</v>
      </c>
      <c r="H4191">
        <v>42</v>
      </c>
      <c r="I4191">
        <f>ROUND(CompilDonnées[[#This Row],[CultureDuration_days]]/7,0)</f>
        <v>6</v>
      </c>
      <c r="J4191">
        <v>2461</v>
      </c>
      <c r="K4191" t="str">
        <f>_xlfn.CONCAT(WEEKNUM(CompilDonnées[[#This Row],[PlantationDate]]), " ", YEAR(CompilDonnées[[#This Row],[PlantationDate]]))</f>
        <v>31 2025</v>
      </c>
      <c r="L4191" t="str">
        <f>CONCATENATE(MONTH(CompilDonnées[[#This Row],[PlantationDate]])," ", YEAR(CompilDonnées[[#This Row],[PlantationDate]]))</f>
        <v>7 2025</v>
      </c>
      <c r="M4191" t="str">
        <f>CONCATENATE(MONTH(CompilDonnées[[#This Row],[HarvestingDate]])," ", YEAR(CompilDonnées[[#This Row],[HarvestingDate]]))</f>
        <v>9 2025</v>
      </c>
      <c r="N4191">
        <f>_xlfn.NUMBERVALUE(CompilDonnées[[#This Row],[FarmID]]&amp;CompilDonnées[[#This Row],[ModuleNumber]]&amp;CompilDonnées[[#This Row],[PlantationDate]])</f>
        <v>74345868</v>
      </c>
      <c r="O4191" t="str">
        <f>CompilDonnées[[#This Row],[FarmID]]&amp;CompilDonnées[[#This Row],[ModuleNumber]]</f>
        <v>743</v>
      </c>
      <c r="P4191" t="str">
        <f>CompilDonnées[[#This Row],[Ref_Module]]&amp;CompilDonnées[[#This Row],[HarvestingDate]]</f>
        <v>74345910</v>
      </c>
    </row>
    <row r="4192" spans="1:16">
      <c r="A4192" s="5">
        <v>45868</v>
      </c>
      <c r="B4192">
        <v>66</v>
      </c>
      <c r="C4192" t="s">
        <v>48</v>
      </c>
      <c r="D4192">
        <v>5</v>
      </c>
      <c r="E4192">
        <v>100</v>
      </c>
      <c r="F4192" t="s">
        <v>1</v>
      </c>
      <c r="G4192" s="6">
        <v>45910</v>
      </c>
      <c r="H4192">
        <v>42</v>
      </c>
      <c r="I4192">
        <f>ROUND(CompilDonnées[[#This Row],[CultureDuration_days]]/7,0)</f>
        <v>6</v>
      </c>
      <c r="J4192">
        <v>2857</v>
      </c>
      <c r="K4192" t="str">
        <f>_xlfn.CONCAT(WEEKNUM(CompilDonnées[[#This Row],[PlantationDate]]), " ", YEAR(CompilDonnées[[#This Row],[PlantationDate]]))</f>
        <v>31 2025</v>
      </c>
      <c r="L4192" t="str">
        <f>CONCATENATE(MONTH(CompilDonnées[[#This Row],[PlantationDate]])," ", YEAR(CompilDonnées[[#This Row],[PlantationDate]]))</f>
        <v>7 2025</v>
      </c>
      <c r="M4192" t="str">
        <f>CONCATENATE(MONTH(CompilDonnées[[#This Row],[HarvestingDate]])," ", YEAR(CompilDonnées[[#This Row],[HarvestingDate]]))</f>
        <v>9 2025</v>
      </c>
      <c r="N4192">
        <f>_xlfn.NUMBERVALUE(CompilDonnées[[#This Row],[FarmID]]&amp;CompilDonnées[[#This Row],[ModuleNumber]]&amp;CompilDonnées[[#This Row],[PlantationDate]])</f>
        <v>66545868</v>
      </c>
      <c r="O4192" t="str">
        <f>CompilDonnées[[#This Row],[FarmID]]&amp;CompilDonnées[[#This Row],[ModuleNumber]]</f>
        <v>665</v>
      </c>
      <c r="P4192" t="str">
        <f>CompilDonnées[[#This Row],[Ref_Module]]&amp;CompilDonnées[[#This Row],[HarvestingDate]]</f>
        <v>66545910</v>
      </c>
    </row>
    <row r="4193" spans="1:16">
      <c r="A4193" s="5">
        <v>45868</v>
      </c>
      <c r="B4193">
        <v>65</v>
      </c>
      <c r="C4193" t="s">
        <v>36</v>
      </c>
      <c r="D4193">
        <v>3</v>
      </c>
      <c r="E4193">
        <v>100</v>
      </c>
      <c r="F4193" t="s">
        <v>1</v>
      </c>
      <c r="G4193" s="6">
        <v>45917</v>
      </c>
      <c r="H4193">
        <v>49</v>
      </c>
      <c r="I4193">
        <f>ROUND(CompilDonnées[[#This Row],[CultureDuration_days]]/7,0)</f>
        <v>7</v>
      </c>
      <c r="J4193">
        <v>2751</v>
      </c>
      <c r="K4193" t="str">
        <f>_xlfn.CONCAT(WEEKNUM(CompilDonnées[[#This Row],[PlantationDate]]), " ", YEAR(CompilDonnées[[#This Row],[PlantationDate]]))</f>
        <v>31 2025</v>
      </c>
      <c r="L4193" t="str">
        <f>CONCATENATE(MONTH(CompilDonnées[[#This Row],[PlantationDate]])," ", YEAR(CompilDonnées[[#This Row],[PlantationDate]]))</f>
        <v>7 2025</v>
      </c>
      <c r="M4193" t="str">
        <f>CONCATENATE(MONTH(CompilDonnées[[#This Row],[HarvestingDate]])," ", YEAR(CompilDonnées[[#This Row],[HarvestingDate]]))</f>
        <v>9 2025</v>
      </c>
      <c r="N4193">
        <f>_xlfn.NUMBERVALUE(CompilDonnées[[#This Row],[FarmID]]&amp;CompilDonnées[[#This Row],[ModuleNumber]]&amp;CompilDonnées[[#This Row],[PlantationDate]])</f>
        <v>65345868</v>
      </c>
      <c r="O4193" t="str">
        <f>CompilDonnées[[#This Row],[FarmID]]&amp;CompilDonnées[[#This Row],[ModuleNumber]]</f>
        <v>653</v>
      </c>
      <c r="P4193" t="str">
        <f>CompilDonnées[[#This Row],[Ref_Module]]&amp;CompilDonnées[[#This Row],[HarvestingDate]]</f>
        <v>65345917</v>
      </c>
    </row>
    <row r="4194" spans="1:16">
      <c r="A4194" s="5">
        <v>45868</v>
      </c>
      <c r="B4194">
        <v>68</v>
      </c>
      <c r="C4194" t="s">
        <v>89</v>
      </c>
      <c r="D4194">
        <v>1</v>
      </c>
      <c r="E4194">
        <v>100</v>
      </c>
      <c r="F4194" t="s">
        <v>1</v>
      </c>
      <c r="G4194" s="6">
        <v>45911</v>
      </c>
      <c r="H4194">
        <v>43</v>
      </c>
      <c r="I4194">
        <f>ROUND(CompilDonnées[[#This Row],[CultureDuration_days]]/7,0)</f>
        <v>6</v>
      </c>
      <c r="J4194">
        <v>2598</v>
      </c>
      <c r="K4194" t="str">
        <f>_xlfn.CONCAT(WEEKNUM(CompilDonnées[[#This Row],[PlantationDate]]), " ", YEAR(CompilDonnées[[#This Row],[PlantationDate]]))</f>
        <v>31 2025</v>
      </c>
      <c r="L4194" t="str">
        <f>CONCATENATE(MONTH(CompilDonnées[[#This Row],[PlantationDate]])," ", YEAR(CompilDonnées[[#This Row],[PlantationDate]]))</f>
        <v>7 2025</v>
      </c>
      <c r="M4194" t="str">
        <f>CONCATENATE(MONTH(CompilDonnées[[#This Row],[HarvestingDate]])," ", YEAR(CompilDonnées[[#This Row],[HarvestingDate]]))</f>
        <v>9 2025</v>
      </c>
      <c r="N4194">
        <f>_xlfn.NUMBERVALUE(CompilDonnées[[#This Row],[FarmID]]&amp;CompilDonnées[[#This Row],[ModuleNumber]]&amp;CompilDonnées[[#This Row],[PlantationDate]])</f>
        <v>68145868</v>
      </c>
      <c r="O4194" t="str">
        <f>CompilDonnées[[#This Row],[FarmID]]&amp;CompilDonnées[[#This Row],[ModuleNumber]]</f>
        <v>681</v>
      </c>
      <c r="P4194" t="str">
        <f>CompilDonnées[[#This Row],[Ref_Module]]&amp;CompilDonnées[[#This Row],[HarvestingDate]]</f>
        <v>68145911</v>
      </c>
    </row>
    <row r="4195" spans="1:16">
      <c r="A4195" s="5">
        <v>45868</v>
      </c>
      <c r="B4195">
        <v>82</v>
      </c>
      <c r="C4195" t="s">
        <v>17</v>
      </c>
      <c r="D4195">
        <v>6</v>
      </c>
      <c r="E4195">
        <v>100</v>
      </c>
      <c r="F4195" t="s">
        <v>1</v>
      </c>
      <c r="G4195" s="6">
        <v>45909</v>
      </c>
      <c r="H4195">
        <v>41</v>
      </c>
      <c r="I4195">
        <f>ROUND(CompilDonnées[[#This Row],[CultureDuration_days]]/7,0)</f>
        <v>6</v>
      </c>
      <c r="J4195">
        <v>3727</v>
      </c>
      <c r="K4195" t="str">
        <f>_xlfn.CONCAT(WEEKNUM(CompilDonnées[[#This Row],[PlantationDate]]), " ", YEAR(CompilDonnées[[#This Row],[PlantationDate]]))</f>
        <v>31 2025</v>
      </c>
      <c r="L4195" t="str">
        <f>CONCATENATE(MONTH(CompilDonnées[[#This Row],[PlantationDate]])," ", YEAR(CompilDonnées[[#This Row],[PlantationDate]]))</f>
        <v>7 2025</v>
      </c>
      <c r="M4195" t="str">
        <f>CONCATENATE(MONTH(CompilDonnées[[#This Row],[HarvestingDate]])," ", YEAR(CompilDonnées[[#This Row],[HarvestingDate]]))</f>
        <v>9 2025</v>
      </c>
      <c r="N4195">
        <f>_xlfn.NUMBERVALUE(CompilDonnées[[#This Row],[FarmID]]&amp;CompilDonnées[[#This Row],[ModuleNumber]]&amp;CompilDonnées[[#This Row],[PlantationDate]])</f>
        <v>82645868</v>
      </c>
      <c r="O4195" t="str">
        <f>CompilDonnées[[#This Row],[FarmID]]&amp;CompilDonnées[[#This Row],[ModuleNumber]]</f>
        <v>826</v>
      </c>
      <c r="P4195" t="str">
        <f>CompilDonnées[[#This Row],[Ref_Module]]&amp;CompilDonnées[[#This Row],[HarvestingDate]]</f>
        <v>82645909</v>
      </c>
    </row>
    <row r="4196" spans="1:16">
      <c r="A4196" s="5">
        <v>45868</v>
      </c>
      <c r="B4196">
        <v>82</v>
      </c>
      <c r="C4196" t="s">
        <v>17</v>
      </c>
      <c r="D4196">
        <v>4</v>
      </c>
      <c r="E4196">
        <v>100</v>
      </c>
      <c r="F4196" t="s">
        <v>1</v>
      </c>
      <c r="G4196" s="6">
        <v>45909</v>
      </c>
      <c r="H4196">
        <v>41</v>
      </c>
      <c r="I4196">
        <f>ROUND(CompilDonnées[[#This Row],[CultureDuration_days]]/7,0)</f>
        <v>6</v>
      </c>
      <c r="J4196">
        <v>3698</v>
      </c>
      <c r="K4196" t="str">
        <f>_xlfn.CONCAT(WEEKNUM(CompilDonnées[[#This Row],[PlantationDate]]), " ", YEAR(CompilDonnées[[#This Row],[PlantationDate]]))</f>
        <v>31 2025</v>
      </c>
      <c r="L4196" t="str">
        <f>CONCATENATE(MONTH(CompilDonnées[[#This Row],[PlantationDate]])," ", YEAR(CompilDonnées[[#This Row],[PlantationDate]]))</f>
        <v>7 2025</v>
      </c>
      <c r="M4196" t="str">
        <f>CONCATENATE(MONTH(CompilDonnées[[#This Row],[HarvestingDate]])," ", YEAR(CompilDonnées[[#This Row],[HarvestingDate]]))</f>
        <v>9 2025</v>
      </c>
      <c r="N4196">
        <f>_xlfn.NUMBERVALUE(CompilDonnées[[#This Row],[FarmID]]&amp;CompilDonnées[[#This Row],[ModuleNumber]]&amp;CompilDonnées[[#This Row],[PlantationDate]])</f>
        <v>82445868</v>
      </c>
      <c r="O4196" t="str">
        <f>CompilDonnées[[#This Row],[FarmID]]&amp;CompilDonnées[[#This Row],[ModuleNumber]]</f>
        <v>824</v>
      </c>
      <c r="P4196" t="str">
        <f>CompilDonnées[[#This Row],[Ref_Module]]&amp;CompilDonnées[[#This Row],[HarvestingDate]]</f>
        <v>82445909</v>
      </c>
    </row>
    <row r="4197" spans="1:16">
      <c r="A4197" s="5">
        <v>45868</v>
      </c>
      <c r="B4197">
        <v>76</v>
      </c>
      <c r="C4197" t="s">
        <v>18</v>
      </c>
      <c r="D4197">
        <v>1</v>
      </c>
      <c r="E4197">
        <v>100</v>
      </c>
      <c r="F4197" t="s">
        <v>1</v>
      </c>
      <c r="G4197" s="6">
        <v>45910</v>
      </c>
      <c r="H4197">
        <v>42</v>
      </c>
      <c r="I4197">
        <f>ROUND(CompilDonnées[[#This Row],[CultureDuration_days]]/7,0)</f>
        <v>6</v>
      </c>
      <c r="J4197">
        <v>2176</v>
      </c>
      <c r="K4197" t="str">
        <f>_xlfn.CONCAT(WEEKNUM(CompilDonnées[[#This Row],[PlantationDate]]), " ", YEAR(CompilDonnées[[#This Row],[PlantationDate]]))</f>
        <v>31 2025</v>
      </c>
      <c r="L4197" t="str">
        <f>CONCATENATE(MONTH(CompilDonnées[[#This Row],[PlantationDate]])," ", YEAR(CompilDonnées[[#This Row],[PlantationDate]]))</f>
        <v>7 2025</v>
      </c>
      <c r="M4197" t="str">
        <f>CONCATENATE(MONTH(CompilDonnées[[#This Row],[HarvestingDate]])," ", YEAR(CompilDonnées[[#This Row],[HarvestingDate]]))</f>
        <v>9 2025</v>
      </c>
      <c r="N4197">
        <f>_xlfn.NUMBERVALUE(CompilDonnées[[#This Row],[FarmID]]&amp;CompilDonnées[[#This Row],[ModuleNumber]]&amp;CompilDonnées[[#This Row],[PlantationDate]])</f>
        <v>76145868</v>
      </c>
      <c r="O4197" t="str">
        <f>CompilDonnées[[#This Row],[FarmID]]&amp;CompilDonnées[[#This Row],[ModuleNumber]]</f>
        <v>761</v>
      </c>
      <c r="P4197" t="str">
        <f>CompilDonnées[[#This Row],[Ref_Module]]&amp;CompilDonnées[[#This Row],[HarvestingDate]]</f>
        <v>76145910</v>
      </c>
    </row>
    <row r="4198" spans="1:16">
      <c r="A4198" s="5">
        <v>45868</v>
      </c>
      <c r="B4198">
        <v>77</v>
      </c>
      <c r="C4198" t="s">
        <v>75</v>
      </c>
      <c r="D4198">
        <v>2</v>
      </c>
      <c r="E4198">
        <v>100</v>
      </c>
      <c r="F4198" t="s">
        <v>1</v>
      </c>
      <c r="G4198" s="6">
        <v>45910</v>
      </c>
      <c r="H4198">
        <v>42</v>
      </c>
      <c r="I4198">
        <f>ROUND(CompilDonnées[[#This Row],[CultureDuration_days]]/7,0)</f>
        <v>6</v>
      </c>
      <c r="J4198">
        <v>2334</v>
      </c>
      <c r="K4198" t="str">
        <f>_xlfn.CONCAT(WEEKNUM(CompilDonnées[[#This Row],[PlantationDate]]), " ", YEAR(CompilDonnées[[#This Row],[PlantationDate]]))</f>
        <v>31 2025</v>
      </c>
      <c r="L4198" t="str">
        <f>CONCATENATE(MONTH(CompilDonnées[[#This Row],[PlantationDate]])," ", YEAR(CompilDonnées[[#This Row],[PlantationDate]]))</f>
        <v>7 2025</v>
      </c>
      <c r="M4198" t="str">
        <f>CONCATENATE(MONTH(CompilDonnées[[#This Row],[HarvestingDate]])," ", YEAR(CompilDonnées[[#This Row],[HarvestingDate]]))</f>
        <v>9 2025</v>
      </c>
      <c r="N4198">
        <f>_xlfn.NUMBERVALUE(CompilDonnées[[#This Row],[FarmID]]&amp;CompilDonnées[[#This Row],[ModuleNumber]]&amp;CompilDonnées[[#This Row],[PlantationDate]])</f>
        <v>77245868</v>
      </c>
      <c r="O4198" t="str">
        <f>CompilDonnées[[#This Row],[FarmID]]&amp;CompilDonnées[[#This Row],[ModuleNumber]]</f>
        <v>772</v>
      </c>
      <c r="P4198" t="str">
        <f>CompilDonnées[[#This Row],[Ref_Module]]&amp;CompilDonnées[[#This Row],[HarvestingDate]]</f>
        <v>77245910</v>
      </c>
    </row>
    <row r="4199" spans="1:16">
      <c r="A4199" s="5">
        <v>45868</v>
      </c>
      <c r="B4199">
        <v>83</v>
      </c>
      <c r="C4199" t="s">
        <v>73</v>
      </c>
      <c r="D4199">
        <v>3</v>
      </c>
      <c r="E4199">
        <v>100</v>
      </c>
      <c r="F4199" t="s">
        <v>1</v>
      </c>
      <c r="G4199" s="6">
        <v>45909</v>
      </c>
      <c r="H4199">
        <v>41</v>
      </c>
      <c r="I4199">
        <f>ROUND(CompilDonnées[[#This Row],[CultureDuration_days]]/7,0)</f>
        <v>6</v>
      </c>
      <c r="J4199">
        <v>2359</v>
      </c>
      <c r="K4199" t="str">
        <f>_xlfn.CONCAT(WEEKNUM(CompilDonnées[[#This Row],[PlantationDate]]), " ", YEAR(CompilDonnées[[#This Row],[PlantationDate]]))</f>
        <v>31 2025</v>
      </c>
      <c r="L4199" t="str">
        <f>CONCATENATE(MONTH(CompilDonnées[[#This Row],[PlantationDate]])," ", YEAR(CompilDonnées[[#This Row],[PlantationDate]]))</f>
        <v>7 2025</v>
      </c>
      <c r="M4199" t="str">
        <f>CONCATENATE(MONTH(CompilDonnées[[#This Row],[HarvestingDate]])," ", YEAR(CompilDonnées[[#This Row],[HarvestingDate]]))</f>
        <v>9 2025</v>
      </c>
      <c r="N4199">
        <f>_xlfn.NUMBERVALUE(CompilDonnées[[#This Row],[FarmID]]&amp;CompilDonnées[[#This Row],[ModuleNumber]]&amp;CompilDonnées[[#This Row],[PlantationDate]])</f>
        <v>83345868</v>
      </c>
      <c r="O4199" t="str">
        <f>CompilDonnées[[#This Row],[FarmID]]&amp;CompilDonnées[[#This Row],[ModuleNumber]]</f>
        <v>833</v>
      </c>
      <c r="P4199" t="str">
        <f>CompilDonnées[[#This Row],[Ref_Module]]&amp;CompilDonnées[[#This Row],[HarvestingDate]]</f>
        <v>83345909</v>
      </c>
    </row>
    <row r="4200" spans="1:16">
      <c r="A4200" s="5">
        <v>45868</v>
      </c>
      <c r="B4200">
        <v>84</v>
      </c>
      <c r="C4200" t="s">
        <v>65</v>
      </c>
      <c r="D4200">
        <v>3</v>
      </c>
      <c r="E4200">
        <v>100</v>
      </c>
      <c r="F4200" t="s">
        <v>1</v>
      </c>
      <c r="G4200" s="6">
        <v>45917</v>
      </c>
      <c r="H4200">
        <v>49</v>
      </c>
      <c r="I4200">
        <f>ROUND(CompilDonnées[[#This Row],[CultureDuration_days]]/7,0)</f>
        <v>7</v>
      </c>
      <c r="J4200">
        <v>2302</v>
      </c>
      <c r="K4200" t="str">
        <f>_xlfn.CONCAT(WEEKNUM(CompilDonnées[[#This Row],[PlantationDate]]), " ", YEAR(CompilDonnées[[#This Row],[PlantationDate]]))</f>
        <v>31 2025</v>
      </c>
      <c r="L4200" t="str">
        <f>CONCATENATE(MONTH(CompilDonnées[[#This Row],[PlantationDate]])," ", YEAR(CompilDonnées[[#This Row],[PlantationDate]]))</f>
        <v>7 2025</v>
      </c>
      <c r="M4200" t="str">
        <f>CONCATENATE(MONTH(CompilDonnées[[#This Row],[HarvestingDate]])," ", YEAR(CompilDonnées[[#This Row],[HarvestingDate]]))</f>
        <v>9 2025</v>
      </c>
      <c r="N4200">
        <f>_xlfn.NUMBERVALUE(CompilDonnées[[#This Row],[FarmID]]&amp;CompilDonnées[[#This Row],[ModuleNumber]]&amp;CompilDonnées[[#This Row],[PlantationDate]])</f>
        <v>84345868</v>
      </c>
      <c r="O4200" t="str">
        <f>CompilDonnées[[#This Row],[FarmID]]&amp;CompilDonnées[[#This Row],[ModuleNumber]]</f>
        <v>843</v>
      </c>
      <c r="P4200" t="str">
        <f>CompilDonnées[[#This Row],[Ref_Module]]&amp;CompilDonnées[[#This Row],[HarvestingDate]]</f>
        <v>84345917</v>
      </c>
    </row>
    <row r="4201" spans="1:16">
      <c r="A4201" s="5">
        <v>45867</v>
      </c>
      <c r="B4201">
        <v>131</v>
      </c>
      <c r="C4201" t="s">
        <v>3</v>
      </c>
      <c r="D4201">
        <v>1</v>
      </c>
      <c r="E4201">
        <v>60</v>
      </c>
      <c r="F4201" t="s">
        <v>105</v>
      </c>
      <c r="G4201" s="6">
        <v>45911</v>
      </c>
      <c r="H4201">
        <v>44</v>
      </c>
      <c r="I4201">
        <f>ROUND(CompilDonnées[[#This Row],[CultureDuration_days]]/7,0)</f>
        <v>6</v>
      </c>
      <c r="J4201">
        <v>919</v>
      </c>
      <c r="K4201" t="str">
        <f>_xlfn.CONCAT(WEEKNUM(CompilDonnées[[#This Row],[PlantationDate]]), " ", YEAR(CompilDonnées[[#This Row],[PlantationDate]]))</f>
        <v>31 2025</v>
      </c>
      <c r="L4201" t="str">
        <f>CONCATENATE(MONTH(CompilDonnées[[#This Row],[PlantationDate]])," ", YEAR(CompilDonnées[[#This Row],[PlantationDate]]))</f>
        <v>7 2025</v>
      </c>
      <c r="M4201" t="str">
        <f>CONCATENATE(MONTH(CompilDonnées[[#This Row],[HarvestingDate]])," ", YEAR(CompilDonnées[[#This Row],[HarvestingDate]]))</f>
        <v>9 2025</v>
      </c>
      <c r="N4201">
        <f>_xlfn.NUMBERVALUE(CompilDonnées[[#This Row],[FarmID]]&amp;CompilDonnées[[#This Row],[ModuleNumber]]&amp;CompilDonnées[[#This Row],[PlantationDate]])</f>
        <v>131145867</v>
      </c>
      <c r="O4201" t="str">
        <f>CompilDonnées[[#This Row],[FarmID]]&amp;CompilDonnées[[#This Row],[ModuleNumber]]</f>
        <v>1311</v>
      </c>
      <c r="P4201" t="str">
        <f>CompilDonnées[[#This Row],[Ref_Module]]&amp;CompilDonnées[[#This Row],[HarvestingDate]]</f>
        <v>131145911</v>
      </c>
    </row>
    <row r="4202" spans="1:16">
      <c r="A4202" s="5">
        <v>45868</v>
      </c>
      <c r="B4202">
        <v>131</v>
      </c>
      <c r="C4202" t="s">
        <v>3</v>
      </c>
      <c r="D4202">
        <v>2</v>
      </c>
      <c r="E4202">
        <v>60</v>
      </c>
      <c r="F4202" t="s">
        <v>105</v>
      </c>
      <c r="G4202" s="6">
        <v>45911</v>
      </c>
      <c r="H4202">
        <v>43</v>
      </c>
      <c r="I4202">
        <f>ROUND(CompilDonnées[[#This Row],[CultureDuration_days]]/7,0)</f>
        <v>6</v>
      </c>
      <c r="J4202">
        <v>904</v>
      </c>
      <c r="K4202" t="str">
        <f>_xlfn.CONCAT(WEEKNUM(CompilDonnées[[#This Row],[PlantationDate]]), " ", YEAR(CompilDonnées[[#This Row],[PlantationDate]]))</f>
        <v>31 2025</v>
      </c>
      <c r="L4202" t="str">
        <f>CONCATENATE(MONTH(CompilDonnées[[#This Row],[PlantationDate]])," ", YEAR(CompilDonnées[[#This Row],[PlantationDate]]))</f>
        <v>7 2025</v>
      </c>
      <c r="M4202" t="str">
        <f>CONCATENATE(MONTH(CompilDonnées[[#This Row],[HarvestingDate]])," ", YEAR(CompilDonnées[[#This Row],[HarvestingDate]]))</f>
        <v>9 2025</v>
      </c>
      <c r="N4202">
        <f>_xlfn.NUMBERVALUE(CompilDonnées[[#This Row],[FarmID]]&amp;CompilDonnées[[#This Row],[ModuleNumber]]&amp;CompilDonnées[[#This Row],[PlantationDate]])</f>
        <v>131245868</v>
      </c>
      <c r="O4202" t="str">
        <f>CompilDonnées[[#This Row],[FarmID]]&amp;CompilDonnées[[#This Row],[ModuleNumber]]</f>
        <v>1312</v>
      </c>
      <c r="P4202" t="str">
        <f>CompilDonnées[[#This Row],[Ref_Module]]&amp;CompilDonnées[[#This Row],[HarvestingDate]]</f>
        <v>131245911</v>
      </c>
    </row>
    <row r="4203" spans="1:16">
      <c r="A4203" s="5">
        <v>45868</v>
      </c>
      <c r="B4203">
        <v>130</v>
      </c>
      <c r="C4203" t="s">
        <v>3</v>
      </c>
      <c r="D4203">
        <v>1</v>
      </c>
      <c r="E4203">
        <v>60</v>
      </c>
      <c r="F4203" t="s">
        <v>105</v>
      </c>
      <c r="G4203" s="6">
        <v>45911</v>
      </c>
      <c r="H4203">
        <v>43</v>
      </c>
      <c r="I4203">
        <f>ROUND(CompilDonnées[[#This Row],[CultureDuration_days]]/7,0)</f>
        <v>6</v>
      </c>
      <c r="J4203">
        <v>906</v>
      </c>
      <c r="K4203" t="str">
        <f>_xlfn.CONCAT(WEEKNUM(CompilDonnées[[#This Row],[PlantationDate]]), " ", YEAR(CompilDonnées[[#This Row],[PlantationDate]]))</f>
        <v>31 2025</v>
      </c>
      <c r="L4203" t="str">
        <f>CONCATENATE(MONTH(CompilDonnées[[#This Row],[PlantationDate]])," ", YEAR(CompilDonnées[[#This Row],[PlantationDate]]))</f>
        <v>7 2025</v>
      </c>
      <c r="M4203" t="str">
        <f>CONCATENATE(MONTH(CompilDonnées[[#This Row],[HarvestingDate]])," ", YEAR(CompilDonnées[[#This Row],[HarvestingDate]]))</f>
        <v>9 2025</v>
      </c>
      <c r="N4203">
        <f>_xlfn.NUMBERVALUE(CompilDonnées[[#This Row],[FarmID]]&amp;CompilDonnées[[#This Row],[ModuleNumber]]&amp;CompilDonnées[[#This Row],[PlantationDate]])</f>
        <v>130145868</v>
      </c>
      <c r="O4203" t="str">
        <f>CompilDonnées[[#This Row],[FarmID]]&amp;CompilDonnées[[#This Row],[ModuleNumber]]</f>
        <v>1301</v>
      </c>
      <c r="P4203" t="str">
        <f>CompilDonnées[[#This Row],[Ref_Module]]&amp;CompilDonnées[[#This Row],[HarvestingDate]]</f>
        <v>130145911</v>
      </c>
    </row>
    <row r="4204" spans="1:16">
      <c r="A4204" s="5">
        <v>45869</v>
      </c>
      <c r="B4204">
        <v>130</v>
      </c>
      <c r="C4204" t="s">
        <v>3</v>
      </c>
      <c r="D4204">
        <v>2</v>
      </c>
      <c r="E4204">
        <v>60</v>
      </c>
      <c r="F4204" t="s">
        <v>105</v>
      </c>
      <c r="G4204" s="6">
        <v>45911</v>
      </c>
      <c r="H4204">
        <v>42</v>
      </c>
      <c r="I4204">
        <f>ROUND(CompilDonnées[[#This Row],[CultureDuration_days]]/7,0)</f>
        <v>6</v>
      </c>
      <c r="J4204">
        <v>895</v>
      </c>
      <c r="K4204" t="str">
        <f>_xlfn.CONCAT(WEEKNUM(CompilDonnées[[#This Row],[PlantationDate]]), " ", YEAR(CompilDonnées[[#This Row],[PlantationDate]]))</f>
        <v>31 2025</v>
      </c>
      <c r="L4204" t="str">
        <f>CONCATENATE(MONTH(CompilDonnées[[#This Row],[PlantationDate]])," ", YEAR(CompilDonnées[[#This Row],[PlantationDate]]))</f>
        <v>7 2025</v>
      </c>
      <c r="M4204" t="str">
        <f>CONCATENATE(MONTH(CompilDonnées[[#This Row],[HarvestingDate]])," ", YEAR(CompilDonnées[[#This Row],[HarvestingDate]]))</f>
        <v>9 2025</v>
      </c>
      <c r="N4204">
        <f>_xlfn.NUMBERVALUE(CompilDonnées[[#This Row],[FarmID]]&amp;CompilDonnées[[#This Row],[ModuleNumber]]&amp;CompilDonnées[[#This Row],[PlantationDate]])</f>
        <v>130245869</v>
      </c>
      <c r="O4204" t="str">
        <f>CompilDonnées[[#This Row],[FarmID]]&amp;CompilDonnées[[#This Row],[ModuleNumber]]</f>
        <v>1302</v>
      </c>
      <c r="P4204" t="str">
        <f>CompilDonnées[[#This Row],[Ref_Module]]&amp;CompilDonnées[[#This Row],[HarvestingDate]]</f>
        <v>130245911</v>
      </c>
    </row>
    <row r="4205" spans="1:16">
      <c r="A4205" s="5">
        <v>45869</v>
      </c>
      <c r="B4205">
        <v>105</v>
      </c>
      <c r="C4205" t="s">
        <v>12</v>
      </c>
      <c r="D4205">
        <v>1</v>
      </c>
      <c r="E4205">
        <v>100</v>
      </c>
      <c r="F4205" t="s">
        <v>1</v>
      </c>
      <c r="G4205" s="6">
        <v>45922</v>
      </c>
      <c r="H4205">
        <v>53</v>
      </c>
      <c r="I4205">
        <f>ROUND(CompilDonnées[[#This Row],[CultureDuration_days]]/7,0)</f>
        <v>8</v>
      </c>
      <c r="J4205">
        <v>1868</v>
      </c>
      <c r="K4205" t="str">
        <f>_xlfn.CONCAT(WEEKNUM(CompilDonnées[[#This Row],[PlantationDate]]), " ", YEAR(CompilDonnées[[#This Row],[PlantationDate]]))</f>
        <v>31 2025</v>
      </c>
      <c r="L4205" t="str">
        <f>CONCATENATE(MONTH(CompilDonnées[[#This Row],[PlantationDate]])," ", YEAR(CompilDonnées[[#This Row],[PlantationDate]]))</f>
        <v>7 2025</v>
      </c>
      <c r="M4205" t="str">
        <f>CONCATENATE(MONTH(CompilDonnées[[#This Row],[HarvestingDate]])," ", YEAR(CompilDonnées[[#This Row],[HarvestingDate]]))</f>
        <v>9 2025</v>
      </c>
      <c r="N4205">
        <f>_xlfn.NUMBERVALUE(CompilDonnées[[#This Row],[FarmID]]&amp;CompilDonnées[[#This Row],[ModuleNumber]]&amp;CompilDonnées[[#This Row],[PlantationDate]])</f>
        <v>105145869</v>
      </c>
      <c r="O4205" t="str">
        <f>CompilDonnées[[#This Row],[FarmID]]&amp;CompilDonnées[[#This Row],[ModuleNumber]]</f>
        <v>1051</v>
      </c>
      <c r="P4205" t="str">
        <f>CompilDonnées[[#This Row],[Ref_Module]]&amp;CompilDonnées[[#This Row],[HarvestingDate]]</f>
        <v>105145922</v>
      </c>
    </row>
    <row r="4206" spans="1:16">
      <c r="A4206" s="5">
        <v>45869</v>
      </c>
      <c r="B4206">
        <v>88</v>
      </c>
      <c r="C4206" t="s">
        <v>94</v>
      </c>
      <c r="D4206">
        <v>6</v>
      </c>
      <c r="E4206">
        <v>100</v>
      </c>
      <c r="F4206" t="s">
        <v>1</v>
      </c>
      <c r="G4206" s="6">
        <v>45917</v>
      </c>
      <c r="H4206">
        <v>48</v>
      </c>
      <c r="I4206">
        <f>ROUND(CompilDonnées[[#This Row],[CultureDuration_days]]/7,0)</f>
        <v>7</v>
      </c>
      <c r="J4206">
        <v>4162</v>
      </c>
      <c r="K4206" t="str">
        <f>_xlfn.CONCAT(WEEKNUM(CompilDonnées[[#This Row],[PlantationDate]]), " ", YEAR(CompilDonnées[[#This Row],[PlantationDate]]))</f>
        <v>31 2025</v>
      </c>
      <c r="L4206" t="str">
        <f>CONCATENATE(MONTH(CompilDonnées[[#This Row],[PlantationDate]])," ", YEAR(CompilDonnées[[#This Row],[PlantationDate]]))</f>
        <v>7 2025</v>
      </c>
      <c r="M4206" t="str">
        <f>CONCATENATE(MONTH(CompilDonnées[[#This Row],[HarvestingDate]])," ", YEAR(CompilDonnées[[#This Row],[HarvestingDate]]))</f>
        <v>9 2025</v>
      </c>
      <c r="N4206">
        <f>_xlfn.NUMBERVALUE(CompilDonnées[[#This Row],[FarmID]]&amp;CompilDonnées[[#This Row],[ModuleNumber]]&amp;CompilDonnées[[#This Row],[PlantationDate]])</f>
        <v>88645869</v>
      </c>
      <c r="O4206" t="str">
        <f>CompilDonnées[[#This Row],[FarmID]]&amp;CompilDonnées[[#This Row],[ModuleNumber]]</f>
        <v>886</v>
      </c>
      <c r="P4206" t="str">
        <f>CompilDonnées[[#This Row],[Ref_Module]]&amp;CompilDonnées[[#This Row],[HarvestingDate]]</f>
        <v>88645917</v>
      </c>
    </row>
    <row r="4207" spans="1:16">
      <c r="A4207" s="5">
        <v>45869</v>
      </c>
      <c r="B4207">
        <v>76</v>
      </c>
      <c r="C4207" t="s">
        <v>18</v>
      </c>
      <c r="D4207">
        <v>4</v>
      </c>
      <c r="E4207">
        <v>100</v>
      </c>
      <c r="F4207" t="s">
        <v>1</v>
      </c>
      <c r="G4207" s="6">
        <v>45917</v>
      </c>
      <c r="H4207">
        <v>48</v>
      </c>
      <c r="I4207">
        <f>ROUND(CompilDonnées[[#This Row],[CultureDuration_days]]/7,0)</f>
        <v>7</v>
      </c>
      <c r="J4207">
        <v>2819</v>
      </c>
      <c r="K4207" t="str">
        <f>_xlfn.CONCAT(WEEKNUM(CompilDonnées[[#This Row],[PlantationDate]]), " ", YEAR(CompilDonnées[[#This Row],[PlantationDate]]))</f>
        <v>31 2025</v>
      </c>
      <c r="L4207" t="str">
        <f>CONCATENATE(MONTH(CompilDonnées[[#This Row],[PlantationDate]])," ", YEAR(CompilDonnées[[#This Row],[PlantationDate]]))</f>
        <v>7 2025</v>
      </c>
      <c r="M4207" t="str">
        <f>CONCATENATE(MONTH(CompilDonnées[[#This Row],[HarvestingDate]])," ", YEAR(CompilDonnées[[#This Row],[HarvestingDate]]))</f>
        <v>9 2025</v>
      </c>
      <c r="N4207">
        <f>_xlfn.NUMBERVALUE(CompilDonnées[[#This Row],[FarmID]]&amp;CompilDonnées[[#This Row],[ModuleNumber]]&amp;CompilDonnées[[#This Row],[PlantationDate]])</f>
        <v>76445869</v>
      </c>
      <c r="O4207" t="str">
        <f>CompilDonnées[[#This Row],[FarmID]]&amp;CompilDonnées[[#This Row],[ModuleNumber]]</f>
        <v>764</v>
      </c>
      <c r="P4207" t="str">
        <f>CompilDonnées[[#This Row],[Ref_Module]]&amp;CompilDonnées[[#This Row],[HarvestingDate]]</f>
        <v>76445917</v>
      </c>
    </row>
    <row r="4208" spans="1:16">
      <c r="A4208" s="5">
        <v>45869</v>
      </c>
      <c r="B4208">
        <v>69</v>
      </c>
      <c r="C4208" t="s">
        <v>102</v>
      </c>
      <c r="D4208">
        <v>1</v>
      </c>
      <c r="E4208">
        <v>100</v>
      </c>
      <c r="F4208" t="s">
        <v>1</v>
      </c>
      <c r="G4208" s="6">
        <v>45917</v>
      </c>
      <c r="H4208">
        <v>48</v>
      </c>
      <c r="I4208">
        <f>ROUND(CompilDonnées[[#This Row],[CultureDuration_days]]/7,0)</f>
        <v>7</v>
      </c>
      <c r="J4208">
        <v>2434</v>
      </c>
      <c r="K4208" t="str">
        <f>_xlfn.CONCAT(WEEKNUM(CompilDonnées[[#This Row],[PlantationDate]]), " ", YEAR(CompilDonnées[[#This Row],[PlantationDate]]))</f>
        <v>31 2025</v>
      </c>
      <c r="L4208" t="str">
        <f>CONCATENATE(MONTH(CompilDonnées[[#This Row],[PlantationDate]])," ", YEAR(CompilDonnées[[#This Row],[PlantationDate]]))</f>
        <v>7 2025</v>
      </c>
      <c r="M4208" t="str">
        <f>CONCATENATE(MONTH(CompilDonnées[[#This Row],[HarvestingDate]])," ", YEAR(CompilDonnées[[#This Row],[HarvestingDate]]))</f>
        <v>9 2025</v>
      </c>
      <c r="N4208">
        <f>_xlfn.NUMBERVALUE(CompilDonnées[[#This Row],[FarmID]]&amp;CompilDonnées[[#This Row],[ModuleNumber]]&amp;CompilDonnées[[#This Row],[PlantationDate]])</f>
        <v>69145869</v>
      </c>
      <c r="O4208" t="str">
        <f>CompilDonnées[[#This Row],[FarmID]]&amp;CompilDonnées[[#This Row],[ModuleNumber]]</f>
        <v>691</v>
      </c>
      <c r="P4208" t="str">
        <f>CompilDonnées[[#This Row],[Ref_Module]]&amp;CompilDonnées[[#This Row],[HarvestingDate]]</f>
        <v>69145917</v>
      </c>
    </row>
    <row r="4209" spans="1:16">
      <c r="A4209" s="5">
        <v>45869</v>
      </c>
      <c r="B4209">
        <v>63</v>
      </c>
      <c r="C4209" t="s">
        <v>98</v>
      </c>
      <c r="D4209">
        <v>2</v>
      </c>
      <c r="E4209">
        <v>100</v>
      </c>
      <c r="F4209" t="s">
        <v>1</v>
      </c>
      <c r="G4209" s="6">
        <v>45916</v>
      </c>
      <c r="H4209">
        <v>47</v>
      </c>
      <c r="I4209">
        <f>ROUND(CompilDonnées[[#This Row],[CultureDuration_days]]/7,0)</f>
        <v>7</v>
      </c>
      <c r="J4209">
        <v>1724</v>
      </c>
      <c r="K4209" t="str">
        <f>_xlfn.CONCAT(WEEKNUM(CompilDonnées[[#This Row],[PlantationDate]]), " ", YEAR(CompilDonnées[[#This Row],[PlantationDate]]))</f>
        <v>31 2025</v>
      </c>
      <c r="L4209" t="str">
        <f>CONCATENATE(MONTH(CompilDonnées[[#This Row],[PlantationDate]])," ", YEAR(CompilDonnées[[#This Row],[PlantationDate]]))</f>
        <v>7 2025</v>
      </c>
      <c r="M4209" t="str">
        <f>CONCATENATE(MONTH(CompilDonnées[[#This Row],[HarvestingDate]])," ", YEAR(CompilDonnées[[#This Row],[HarvestingDate]]))</f>
        <v>9 2025</v>
      </c>
      <c r="N4209">
        <f>_xlfn.NUMBERVALUE(CompilDonnées[[#This Row],[FarmID]]&amp;CompilDonnées[[#This Row],[ModuleNumber]]&amp;CompilDonnées[[#This Row],[PlantationDate]])</f>
        <v>63245869</v>
      </c>
      <c r="O4209" t="str">
        <f>CompilDonnées[[#This Row],[FarmID]]&amp;CompilDonnées[[#This Row],[ModuleNumber]]</f>
        <v>632</v>
      </c>
      <c r="P4209" t="str">
        <f>CompilDonnées[[#This Row],[Ref_Module]]&amp;CompilDonnées[[#This Row],[HarvestingDate]]</f>
        <v>63245916</v>
      </c>
    </row>
    <row r="4210" spans="1:16">
      <c r="A4210" s="5">
        <v>45869</v>
      </c>
      <c r="B4210">
        <v>59</v>
      </c>
      <c r="C4210" t="s">
        <v>64</v>
      </c>
      <c r="D4210">
        <v>2</v>
      </c>
      <c r="E4210">
        <v>100</v>
      </c>
      <c r="F4210" t="s">
        <v>1</v>
      </c>
      <c r="G4210" s="6">
        <v>45910</v>
      </c>
      <c r="H4210">
        <v>41</v>
      </c>
      <c r="I4210">
        <f>ROUND(CompilDonnées[[#This Row],[CultureDuration_days]]/7,0)</f>
        <v>6</v>
      </c>
      <c r="J4210">
        <v>3185</v>
      </c>
      <c r="K4210" t="str">
        <f>_xlfn.CONCAT(WEEKNUM(CompilDonnées[[#This Row],[PlantationDate]]), " ", YEAR(CompilDonnées[[#This Row],[PlantationDate]]))</f>
        <v>31 2025</v>
      </c>
      <c r="L4210" t="str">
        <f>CONCATENATE(MONTH(CompilDonnées[[#This Row],[PlantationDate]])," ", YEAR(CompilDonnées[[#This Row],[PlantationDate]]))</f>
        <v>7 2025</v>
      </c>
      <c r="M4210" t="str">
        <f>CONCATENATE(MONTH(CompilDonnées[[#This Row],[HarvestingDate]])," ", YEAR(CompilDonnées[[#This Row],[HarvestingDate]]))</f>
        <v>9 2025</v>
      </c>
      <c r="N4210">
        <f>_xlfn.NUMBERVALUE(CompilDonnées[[#This Row],[FarmID]]&amp;CompilDonnées[[#This Row],[ModuleNumber]]&amp;CompilDonnées[[#This Row],[PlantationDate]])</f>
        <v>59245869</v>
      </c>
      <c r="O4210" t="str">
        <f>CompilDonnées[[#This Row],[FarmID]]&amp;CompilDonnées[[#This Row],[ModuleNumber]]</f>
        <v>592</v>
      </c>
      <c r="P4210" t="str">
        <f>CompilDonnées[[#This Row],[Ref_Module]]&amp;CompilDonnées[[#This Row],[HarvestingDate]]</f>
        <v>59245910</v>
      </c>
    </row>
    <row r="4211" spans="1:16">
      <c r="A4211" s="5">
        <v>45869</v>
      </c>
      <c r="B4211">
        <v>58</v>
      </c>
      <c r="C4211" t="s">
        <v>35</v>
      </c>
      <c r="D4211">
        <v>5</v>
      </c>
      <c r="E4211">
        <v>100</v>
      </c>
      <c r="F4211" t="s">
        <v>1</v>
      </c>
      <c r="G4211" s="6">
        <v>45910</v>
      </c>
      <c r="H4211">
        <v>41</v>
      </c>
      <c r="I4211">
        <f>ROUND(CompilDonnées[[#This Row],[CultureDuration_days]]/7,0)</f>
        <v>6</v>
      </c>
      <c r="J4211">
        <v>3145</v>
      </c>
      <c r="K4211" t="str">
        <f>_xlfn.CONCAT(WEEKNUM(CompilDonnées[[#This Row],[PlantationDate]]), " ", YEAR(CompilDonnées[[#This Row],[PlantationDate]]))</f>
        <v>31 2025</v>
      </c>
      <c r="L4211" t="str">
        <f>CONCATENATE(MONTH(CompilDonnées[[#This Row],[PlantationDate]])," ", YEAR(CompilDonnées[[#This Row],[PlantationDate]]))</f>
        <v>7 2025</v>
      </c>
      <c r="M4211" t="str">
        <f>CONCATENATE(MONTH(CompilDonnées[[#This Row],[HarvestingDate]])," ", YEAR(CompilDonnées[[#This Row],[HarvestingDate]]))</f>
        <v>9 2025</v>
      </c>
      <c r="N4211">
        <f>_xlfn.NUMBERVALUE(CompilDonnées[[#This Row],[FarmID]]&amp;CompilDonnées[[#This Row],[ModuleNumber]]&amp;CompilDonnées[[#This Row],[PlantationDate]])</f>
        <v>58545869</v>
      </c>
      <c r="O4211" t="str">
        <f>CompilDonnées[[#This Row],[FarmID]]&amp;CompilDonnées[[#This Row],[ModuleNumber]]</f>
        <v>585</v>
      </c>
      <c r="P4211" t="str">
        <f>CompilDonnées[[#This Row],[Ref_Module]]&amp;CompilDonnées[[#This Row],[HarvestingDate]]</f>
        <v>58545910</v>
      </c>
    </row>
    <row r="4212" spans="1:16">
      <c r="A4212" s="5">
        <v>45869</v>
      </c>
      <c r="B4212">
        <v>55</v>
      </c>
      <c r="C4212" t="s">
        <v>60</v>
      </c>
      <c r="D4212">
        <v>4</v>
      </c>
      <c r="E4212">
        <v>100</v>
      </c>
      <c r="F4212" t="s">
        <v>1</v>
      </c>
      <c r="G4212" s="6">
        <v>45916</v>
      </c>
      <c r="H4212">
        <v>47</v>
      </c>
      <c r="I4212">
        <f>ROUND(CompilDonnées[[#This Row],[CultureDuration_days]]/7,0)</f>
        <v>7</v>
      </c>
      <c r="J4212">
        <v>2103</v>
      </c>
      <c r="K4212" t="str">
        <f>_xlfn.CONCAT(WEEKNUM(CompilDonnées[[#This Row],[PlantationDate]]), " ", YEAR(CompilDonnées[[#This Row],[PlantationDate]]))</f>
        <v>31 2025</v>
      </c>
      <c r="L4212" t="str">
        <f>CONCATENATE(MONTH(CompilDonnées[[#This Row],[PlantationDate]])," ", YEAR(CompilDonnées[[#This Row],[PlantationDate]]))</f>
        <v>7 2025</v>
      </c>
      <c r="M4212" t="str">
        <f>CONCATENATE(MONTH(CompilDonnées[[#This Row],[HarvestingDate]])," ", YEAR(CompilDonnées[[#This Row],[HarvestingDate]]))</f>
        <v>9 2025</v>
      </c>
      <c r="N4212">
        <f>_xlfn.NUMBERVALUE(CompilDonnées[[#This Row],[FarmID]]&amp;CompilDonnées[[#This Row],[ModuleNumber]]&amp;CompilDonnées[[#This Row],[PlantationDate]])</f>
        <v>55445869</v>
      </c>
      <c r="O4212" t="str">
        <f>CompilDonnées[[#This Row],[FarmID]]&amp;CompilDonnées[[#This Row],[ModuleNumber]]</f>
        <v>554</v>
      </c>
      <c r="P4212" t="str">
        <f>CompilDonnées[[#This Row],[Ref_Module]]&amp;CompilDonnées[[#This Row],[HarvestingDate]]</f>
        <v>55445916</v>
      </c>
    </row>
    <row r="4213" spans="1:16">
      <c r="A4213" s="5">
        <v>45869</v>
      </c>
      <c r="B4213">
        <v>53</v>
      </c>
      <c r="C4213" t="s">
        <v>83</v>
      </c>
      <c r="D4213">
        <v>4</v>
      </c>
      <c r="E4213">
        <v>100</v>
      </c>
      <c r="F4213" t="s">
        <v>1</v>
      </c>
      <c r="G4213" s="6">
        <v>45910</v>
      </c>
      <c r="H4213">
        <v>41</v>
      </c>
      <c r="I4213">
        <f>ROUND(CompilDonnées[[#This Row],[CultureDuration_days]]/7,0)</f>
        <v>6</v>
      </c>
      <c r="J4213">
        <v>2484</v>
      </c>
      <c r="K4213" t="str">
        <f>_xlfn.CONCAT(WEEKNUM(CompilDonnées[[#This Row],[PlantationDate]]), " ", YEAR(CompilDonnées[[#This Row],[PlantationDate]]))</f>
        <v>31 2025</v>
      </c>
      <c r="L4213" t="str">
        <f>CONCATENATE(MONTH(CompilDonnées[[#This Row],[PlantationDate]])," ", YEAR(CompilDonnées[[#This Row],[PlantationDate]]))</f>
        <v>7 2025</v>
      </c>
      <c r="M4213" t="str">
        <f>CONCATENATE(MONTH(CompilDonnées[[#This Row],[HarvestingDate]])," ", YEAR(CompilDonnées[[#This Row],[HarvestingDate]]))</f>
        <v>9 2025</v>
      </c>
      <c r="N4213">
        <f>_xlfn.NUMBERVALUE(CompilDonnées[[#This Row],[FarmID]]&amp;CompilDonnées[[#This Row],[ModuleNumber]]&amp;CompilDonnées[[#This Row],[PlantationDate]])</f>
        <v>53445869</v>
      </c>
      <c r="O4213" t="str">
        <f>CompilDonnées[[#This Row],[FarmID]]&amp;CompilDonnées[[#This Row],[ModuleNumber]]</f>
        <v>534</v>
      </c>
      <c r="P4213" t="str">
        <f>CompilDonnées[[#This Row],[Ref_Module]]&amp;CompilDonnées[[#This Row],[HarvestingDate]]</f>
        <v>53445910</v>
      </c>
    </row>
    <row r="4214" spans="1:16">
      <c r="A4214" s="5">
        <v>45869</v>
      </c>
      <c r="B4214">
        <v>52</v>
      </c>
      <c r="C4214" t="s">
        <v>88</v>
      </c>
      <c r="D4214">
        <v>3</v>
      </c>
      <c r="E4214">
        <v>100</v>
      </c>
      <c r="F4214" t="s">
        <v>1</v>
      </c>
      <c r="G4214" s="6">
        <v>45916</v>
      </c>
      <c r="H4214">
        <v>47</v>
      </c>
      <c r="I4214">
        <f>ROUND(CompilDonnées[[#This Row],[CultureDuration_days]]/7,0)</f>
        <v>7</v>
      </c>
      <c r="J4214">
        <v>4122</v>
      </c>
      <c r="K4214" t="str">
        <f>_xlfn.CONCAT(WEEKNUM(CompilDonnées[[#This Row],[PlantationDate]]), " ", YEAR(CompilDonnées[[#This Row],[PlantationDate]]))</f>
        <v>31 2025</v>
      </c>
      <c r="L4214" t="str">
        <f>CONCATENATE(MONTH(CompilDonnées[[#This Row],[PlantationDate]])," ", YEAR(CompilDonnées[[#This Row],[PlantationDate]]))</f>
        <v>7 2025</v>
      </c>
      <c r="M4214" t="str">
        <f>CONCATENATE(MONTH(CompilDonnées[[#This Row],[HarvestingDate]])," ", YEAR(CompilDonnées[[#This Row],[HarvestingDate]]))</f>
        <v>9 2025</v>
      </c>
      <c r="N4214">
        <f>_xlfn.NUMBERVALUE(CompilDonnées[[#This Row],[FarmID]]&amp;CompilDonnées[[#This Row],[ModuleNumber]]&amp;CompilDonnées[[#This Row],[PlantationDate]])</f>
        <v>52345869</v>
      </c>
      <c r="O4214" t="str">
        <f>CompilDonnées[[#This Row],[FarmID]]&amp;CompilDonnées[[#This Row],[ModuleNumber]]</f>
        <v>523</v>
      </c>
      <c r="P4214" t="str">
        <f>CompilDonnées[[#This Row],[Ref_Module]]&amp;CompilDonnées[[#This Row],[HarvestingDate]]</f>
        <v>52345916</v>
      </c>
    </row>
    <row r="4215" spans="1:16">
      <c r="A4215" s="5">
        <v>45869</v>
      </c>
      <c r="B4215">
        <v>51</v>
      </c>
      <c r="C4215" t="s">
        <v>27</v>
      </c>
      <c r="D4215">
        <v>2</v>
      </c>
      <c r="E4215">
        <v>100</v>
      </c>
      <c r="F4215" t="s">
        <v>1</v>
      </c>
      <c r="G4215" s="6">
        <v>45916</v>
      </c>
      <c r="H4215">
        <v>47</v>
      </c>
      <c r="I4215">
        <f>ROUND(CompilDonnées[[#This Row],[CultureDuration_days]]/7,0)</f>
        <v>7</v>
      </c>
      <c r="J4215">
        <v>2516</v>
      </c>
      <c r="K4215" t="str">
        <f>_xlfn.CONCAT(WEEKNUM(CompilDonnées[[#This Row],[PlantationDate]]), " ", YEAR(CompilDonnées[[#This Row],[PlantationDate]]))</f>
        <v>31 2025</v>
      </c>
      <c r="L4215" t="str">
        <f>CONCATENATE(MONTH(CompilDonnées[[#This Row],[PlantationDate]])," ", YEAR(CompilDonnées[[#This Row],[PlantationDate]]))</f>
        <v>7 2025</v>
      </c>
      <c r="M4215" t="str">
        <f>CONCATENATE(MONTH(CompilDonnées[[#This Row],[HarvestingDate]])," ", YEAR(CompilDonnées[[#This Row],[HarvestingDate]]))</f>
        <v>9 2025</v>
      </c>
      <c r="N4215">
        <f>_xlfn.NUMBERVALUE(CompilDonnées[[#This Row],[FarmID]]&amp;CompilDonnées[[#This Row],[ModuleNumber]]&amp;CompilDonnées[[#This Row],[PlantationDate]])</f>
        <v>51245869</v>
      </c>
      <c r="O4215" t="str">
        <f>CompilDonnées[[#This Row],[FarmID]]&amp;CompilDonnées[[#This Row],[ModuleNumber]]</f>
        <v>512</v>
      </c>
      <c r="P4215" t="str">
        <f>CompilDonnées[[#This Row],[Ref_Module]]&amp;CompilDonnées[[#This Row],[HarvestingDate]]</f>
        <v>51245916</v>
      </c>
    </row>
    <row r="4216" spans="1:16">
      <c r="A4216" s="5">
        <v>45869</v>
      </c>
      <c r="B4216">
        <v>50</v>
      </c>
      <c r="C4216" t="s">
        <v>55</v>
      </c>
      <c r="D4216">
        <v>6</v>
      </c>
      <c r="E4216">
        <v>100</v>
      </c>
      <c r="F4216" t="s">
        <v>1</v>
      </c>
      <c r="G4216" s="6">
        <v>45910</v>
      </c>
      <c r="H4216">
        <v>41</v>
      </c>
      <c r="I4216">
        <f>ROUND(CompilDonnées[[#This Row],[CultureDuration_days]]/7,0)</f>
        <v>6</v>
      </c>
      <c r="J4216">
        <v>2916</v>
      </c>
      <c r="K4216" t="str">
        <f>_xlfn.CONCAT(WEEKNUM(CompilDonnées[[#This Row],[PlantationDate]]), " ", YEAR(CompilDonnées[[#This Row],[PlantationDate]]))</f>
        <v>31 2025</v>
      </c>
      <c r="L4216" t="str">
        <f>CONCATENATE(MONTH(CompilDonnées[[#This Row],[PlantationDate]])," ", YEAR(CompilDonnées[[#This Row],[PlantationDate]]))</f>
        <v>7 2025</v>
      </c>
      <c r="M4216" t="str">
        <f>CONCATENATE(MONTH(CompilDonnées[[#This Row],[HarvestingDate]])," ", YEAR(CompilDonnées[[#This Row],[HarvestingDate]]))</f>
        <v>9 2025</v>
      </c>
      <c r="N4216">
        <f>_xlfn.NUMBERVALUE(CompilDonnées[[#This Row],[FarmID]]&amp;CompilDonnées[[#This Row],[ModuleNumber]]&amp;CompilDonnées[[#This Row],[PlantationDate]])</f>
        <v>50645869</v>
      </c>
      <c r="O4216" t="str">
        <f>CompilDonnées[[#This Row],[FarmID]]&amp;CompilDonnées[[#This Row],[ModuleNumber]]</f>
        <v>506</v>
      </c>
      <c r="P4216" t="str">
        <f>CompilDonnées[[#This Row],[Ref_Module]]&amp;CompilDonnées[[#This Row],[HarvestingDate]]</f>
        <v>50645910</v>
      </c>
    </row>
    <row r="4217" spans="1:16">
      <c r="A4217" s="5">
        <v>45869</v>
      </c>
      <c r="B4217">
        <v>49</v>
      </c>
      <c r="C4217" t="s">
        <v>110</v>
      </c>
      <c r="D4217">
        <v>3</v>
      </c>
      <c r="E4217">
        <v>100</v>
      </c>
      <c r="F4217" t="s">
        <v>1</v>
      </c>
      <c r="G4217" s="6">
        <v>45916</v>
      </c>
      <c r="H4217">
        <v>47</v>
      </c>
      <c r="I4217">
        <f>ROUND(CompilDonnées[[#This Row],[CultureDuration_days]]/7,0)</f>
        <v>7</v>
      </c>
      <c r="J4217">
        <v>2114</v>
      </c>
      <c r="K4217" t="str">
        <f>_xlfn.CONCAT(WEEKNUM(CompilDonnées[[#This Row],[PlantationDate]]), " ", YEAR(CompilDonnées[[#This Row],[PlantationDate]]))</f>
        <v>31 2025</v>
      </c>
      <c r="L4217" t="str">
        <f>CONCATENATE(MONTH(CompilDonnées[[#This Row],[PlantationDate]])," ", YEAR(CompilDonnées[[#This Row],[PlantationDate]]))</f>
        <v>7 2025</v>
      </c>
      <c r="M4217" t="str">
        <f>CONCATENATE(MONTH(CompilDonnées[[#This Row],[HarvestingDate]])," ", YEAR(CompilDonnées[[#This Row],[HarvestingDate]]))</f>
        <v>9 2025</v>
      </c>
      <c r="N4217">
        <f>_xlfn.NUMBERVALUE(CompilDonnées[[#This Row],[FarmID]]&amp;CompilDonnées[[#This Row],[ModuleNumber]]&amp;CompilDonnées[[#This Row],[PlantationDate]])</f>
        <v>49345869</v>
      </c>
      <c r="O4217" t="str">
        <f>CompilDonnées[[#This Row],[FarmID]]&amp;CompilDonnées[[#This Row],[ModuleNumber]]</f>
        <v>493</v>
      </c>
      <c r="P4217" t="str">
        <f>CompilDonnées[[#This Row],[Ref_Module]]&amp;CompilDonnées[[#This Row],[HarvestingDate]]</f>
        <v>49345916</v>
      </c>
    </row>
    <row r="4218" spans="1:16">
      <c r="A4218" s="5">
        <v>45869</v>
      </c>
      <c r="B4218">
        <v>47</v>
      </c>
      <c r="C4218" t="s">
        <v>104</v>
      </c>
      <c r="D4218">
        <v>2</v>
      </c>
      <c r="E4218">
        <v>100</v>
      </c>
      <c r="F4218" t="s">
        <v>1</v>
      </c>
      <c r="G4218" s="6">
        <v>45916</v>
      </c>
      <c r="H4218">
        <v>47</v>
      </c>
      <c r="I4218">
        <f>ROUND(CompilDonnées[[#This Row],[CultureDuration_days]]/7,0)</f>
        <v>7</v>
      </c>
      <c r="J4218">
        <v>2027</v>
      </c>
      <c r="K4218" t="str">
        <f>_xlfn.CONCAT(WEEKNUM(CompilDonnées[[#This Row],[PlantationDate]]), " ", YEAR(CompilDonnées[[#This Row],[PlantationDate]]))</f>
        <v>31 2025</v>
      </c>
      <c r="L4218" t="str">
        <f>CONCATENATE(MONTH(CompilDonnées[[#This Row],[PlantationDate]])," ", YEAR(CompilDonnées[[#This Row],[PlantationDate]]))</f>
        <v>7 2025</v>
      </c>
      <c r="M4218" t="str">
        <f>CONCATENATE(MONTH(CompilDonnées[[#This Row],[HarvestingDate]])," ", YEAR(CompilDonnées[[#This Row],[HarvestingDate]]))</f>
        <v>9 2025</v>
      </c>
      <c r="N4218">
        <f>_xlfn.NUMBERVALUE(CompilDonnées[[#This Row],[FarmID]]&amp;CompilDonnées[[#This Row],[ModuleNumber]]&amp;CompilDonnées[[#This Row],[PlantationDate]])</f>
        <v>47245869</v>
      </c>
      <c r="O4218" t="str">
        <f>CompilDonnées[[#This Row],[FarmID]]&amp;CompilDonnées[[#This Row],[ModuleNumber]]</f>
        <v>472</v>
      </c>
      <c r="P4218" t="str">
        <f>CompilDonnées[[#This Row],[Ref_Module]]&amp;CompilDonnées[[#This Row],[HarvestingDate]]</f>
        <v>47245916</v>
      </c>
    </row>
    <row r="4219" spans="1:16">
      <c r="A4219" s="5">
        <v>45869</v>
      </c>
      <c r="B4219">
        <v>46</v>
      </c>
      <c r="C4219" t="s">
        <v>8</v>
      </c>
      <c r="D4219">
        <v>1</v>
      </c>
      <c r="E4219">
        <v>100</v>
      </c>
      <c r="F4219" t="s">
        <v>1</v>
      </c>
      <c r="G4219" s="6">
        <v>45916</v>
      </c>
      <c r="H4219">
        <v>47</v>
      </c>
      <c r="I4219">
        <f>ROUND(CompilDonnées[[#This Row],[CultureDuration_days]]/7,0)</f>
        <v>7</v>
      </c>
      <c r="J4219">
        <v>2292</v>
      </c>
      <c r="K4219" t="str">
        <f>_xlfn.CONCAT(WEEKNUM(CompilDonnées[[#This Row],[PlantationDate]]), " ", YEAR(CompilDonnées[[#This Row],[PlantationDate]]))</f>
        <v>31 2025</v>
      </c>
      <c r="L4219" t="str">
        <f>CONCATENATE(MONTH(CompilDonnées[[#This Row],[PlantationDate]])," ", YEAR(CompilDonnées[[#This Row],[PlantationDate]]))</f>
        <v>7 2025</v>
      </c>
      <c r="M4219" t="str">
        <f>CONCATENATE(MONTH(CompilDonnées[[#This Row],[HarvestingDate]])," ", YEAR(CompilDonnées[[#This Row],[HarvestingDate]]))</f>
        <v>9 2025</v>
      </c>
      <c r="N4219">
        <f>_xlfn.NUMBERVALUE(CompilDonnées[[#This Row],[FarmID]]&amp;CompilDonnées[[#This Row],[ModuleNumber]]&amp;CompilDonnées[[#This Row],[PlantationDate]])</f>
        <v>46145869</v>
      </c>
      <c r="O4219" t="str">
        <f>CompilDonnées[[#This Row],[FarmID]]&amp;CompilDonnées[[#This Row],[ModuleNumber]]</f>
        <v>461</v>
      </c>
      <c r="P4219" t="str">
        <f>CompilDonnées[[#This Row],[Ref_Module]]&amp;CompilDonnées[[#This Row],[HarvestingDate]]</f>
        <v>46145916</v>
      </c>
    </row>
    <row r="4220" spans="1:16">
      <c r="A4220" s="5">
        <v>45869</v>
      </c>
      <c r="B4220">
        <v>45</v>
      </c>
      <c r="C4220" t="s">
        <v>77</v>
      </c>
      <c r="D4220">
        <v>6</v>
      </c>
      <c r="E4220">
        <v>100</v>
      </c>
      <c r="F4220" t="s">
        <v>1</v>
      </c>
      <c r="G4220" s="6">
        <v>45916</v>
      </c>
      <c r="H4220">
        <v>47</v>
      </c>
      <c r="I4220">
        <f>ROUND(CompilDonnées[[#This Row],[CultureDuration_days]]/7,0)</f>
        <v>7</v>
      </c>
      <c r="J4220">
        <v>3734</v>
      </c>
      <c r="K4220" t="str">
        <f>_xlfn.CONCAT(WEEKNUM(CompilDonnées[[#This Row],[PlantationDate]]), " ", YEAR(CompilDonnées[[#This Row],[PlantationDate]]))</f>
        <v>31 2025</v>
      </c>
      <c r="L4220" t="str">
        <f>CONCATENATE(MONTH(CompilDonnées[[#This Row],[PlantationDate]])," ", YEAR(CompilDonnées[[#This Row],[PlantationDate]]))</f>
        <v>7 2025</v>
      </c>
      <c r="M4220" t="str">
        <f>CONCATENATE(MONTH(CompilDonnées[[#This Row],[HarvestingDate]])," ", YEAR(CompilDonnées[[#This Row],[HarvestingDate]]))</f>
        <v>9 2025</v>
      </c>
      <c r="N4220">
        <f>_xlfn.NUMBERVALUE(CompilDonnées[[#This Row],[FarmID]]&amp;CompilDonnées[[#This Row],[ModuleNumber]]&amp;CompilDonnées[[#This Row],[PlantationDate]])</f>
        <v>45645869</v>
      </c>
      <c r="O4220" t="str">
        <f>CompilDonnées[[#This Row],[FarmID]]&amp;CompilDonnées[[#This Row],[ModuleNumber]]</f>
        <v>456</v>
      </c>
      <c r="P4220" t="str">
        <f>CompilDonnées[[#This Row],[Ref_Module]]&amp;CompilDonnées[[#This Row],[HarvestingDate]]</f>
        <v>45645916</v>
      </c>
    </row>
    <row r="4221" spans="1:16">
      <c r="A4221" s="5">
        <v>45869</v>
      </c>
      <c r="B4221">
        <v>44</v>
      </c>
      <c r="C4221" t="s">
        <v>42</v>
      </c>
      <c r="D4221">
        <v>5</v>
      </c>
      <c r="E4221">
        <v>100</v>
      </c>
      <c r="F4221" t="s">
        <v>1</v>
      </c>
      <c r="G4221" s="6">
        <v>45910</v>
      </c>
      <c r="H4221">
        <v>41</v>
      </c>
      <c r="I4221">
        <f>ROUND(CompilDonnées[[#This Row],[CultureDuration_days]]/7,0)</f>
        <v>6</v>
      </c>
      <c r="J4221">
        <v>2355</v>
      </c>
      <c r="K4221" t="str">
        <f>_xlfn.CONCAT(WEEKNUM(CompilDonnées[[#This Row],[PlantationDate]]), " ", YEAR(CompilDonnées[[#This Row],[PlantationDate]]))</f>
        <v>31 2025</v>
      </c>
      <c r="L4221" t="str">
        <f>CONCATENATE(MONTH(CompilDonnées[[#This Row],[PlantationDate]])," ", YEAR(CompilDonnées[[#This Row],[PlantationDate]]))</f>
        <v>7 2025</v>
      </c>
      <c r="M4221" t="str">
        <f>CONCATENATE(MONTH(CompilDonnées[[#This Row],[HarvestingDate]])," ", YEAR(CompilDonnées[[#This Row],[HarvestingDate]]))</f>
        <v>9 2025</v>
      </c>
      <c r="N4221">
        <f>_xlfn.NUMBERVALUE(CompilDonnées[[#This Row],[FarmID]]&amp;CompilDonnées[[#This Row],[ModuleNumber]]&amp;CompilDonnées[[#This Row],[PlantationDate]])</f>
        <v>44545869</v>
      </c>
      <c r="O4221" t="str">
        <f>CompilDonnées[[#This Row],[FarmID]]&amp;CompilDonnées[[#This Row],[ModuleNumber]]</f>
        <v>445</v>
      </c>
      <c r="P4221" t="str">
        <f>CompilDonnées[[#This Row],[Ref_Module]]&amp;CompilDonnées[[#This Row],[HarvestingDate]]</f>
        <v>44545910</v>
      </c>
    </row>
    <row r="4222" spans="1:16">
      <c r="A4222" s="5">
        <v>45869</v>
      </c>
      <c r="B4222">
        <v>42</v>
      </c>
      <c r="C4222" t="s">
        <v>2</v>
      </c>
      <c r="D4222">
        <v>6</v>
      </c>
      <c r="E4222">
        <v>100</v>
      </c>
      <c r="F4222" t="s">
        <v>1</v>
      </c>
      <c r="G4222" s="6">
        <v>45911</v>
      </c>
      <c r="H4222">
        <v>42</v>
      </c>
      <c r="I4222">
        <f>ROUND(CompilDonnées[[#This Row],[CultureDuration_days]]/7,0)</f>
        <v>6</v>
      </c>
      <c r="J4222">
        <v>2542</v>
      </c>
      <c r="K4222" t="str">
        <f>_xlfn.CONCAT(WEEKNUM(CompilDonnées[[#This Row],[PlantationDate]]), " ", YEAR(CompilDonnées[[#This Row],[PlantationDate]]))</f>
        <v>31 2025</v>
      </c>
      <c r="L4222" t="str">
        <f>CONCATENATE(MONTH(CompilDonnées[[#This Row],[PlantationDate]])," ", YEAR(CompilDonnées[[#This Row],[PlantationDate]]))</f>
        <v>7 2025</v>
      </c>
      <c r="M4222" t="str">
        <f>CONCATENATE(MONTH(CompilDonnées[[#This Row],[HarvestingDate]])," ", YEAR(CompilDonnées[[#This Row],[HarvestingDate]]))</f>
        <v>9 2025</v>
      </c>
      <c r="N4222">
        <f>_xlfn.NUMBERVALUE(CompilDonnées[[#This Row],[FarmID]]&amp;CompilDonnées[[#This Row],[ModuleNumber]]&amp;CompilDonnées[[#This Row],[PlantationDate]])</f>
        <v>42645869</v>
      </c>
      <c r="O4222" t="str">
        <f>CompilDonnées[[#This Row],[FarmID]]&amp;CompilDonnées[[#This Row],[ModuleNumber]]</f>
        <v>426</v>
      </c>
      <c r="P4222" t="str">
        <f>CompilDonnées[[#This Row],[Ref_Module]]&amp;CompilDonnées[[#This Row],[HarvestingDate]]</f>
        <v>42645911</v>
      </c>
    </row>
    <row r="4223" spans="1:16">
      <c r="A4223" s="5">
        <v>45869</v>
      </c>
      <c r="B4223">
        <v>41</v>
      </c>
      <c r="C4223" t="s">
        <v>70</v>
      </c>
      <c r="D4223">
        <v>6</v>
      </c>
      <c r="E4223">
        <v>100</v>
      </c>
      <c r="F4223" t="s">
        <v>1</v>
      </c>
      <c r="G4223" s="6">
        <v>45915</v>
      </c>
      <c r="H4223">
        <v>46</v>
      </c>
      <c r="I4223">
        <f>ROUND(CompilDonnées[[#This Row],[CultureDuration_days]]/7,0)</f>
        <v>7</v>
      </c>
      <c r="J4223">
        <v>2898</v>
      </c>
      <c r="K4223" t="str">
        <f>_xlfn.CONCAT(WEEKNUM(CompilDonnées[[#This Row],[PlantationDate]]), " ", YEAR(CompilDonnées[[#This Row],[PlantationDate]]))</f>
        <v>31 2025</v>
      </c>
      <c r="L4223" t="str">
        <f>CONCATENATE(MONTH(CompilDonnées[[#This Row],[PlantationDate]])," ", YEAR(CompilDonnées[[#This Row],[PlantationDate]]))</f>
        <v>7 2025</v>
      </c>
      <c r="M4223" t="str">
        <f>CONCATENATE(MONTH(CompilDonnées[[#This Row],[HarvestingDate]])," ", YEAR(CompilDonnées[[#This Row],[HarvestingDate]]))</f>
        <v>9 2025</v>
      </c>
      <c r="N4223">
        <f>_xlfn.NUMBERVALUE(CompilDonnées[[#This Row],[FarmID]]&amp;CompilDonnées[[#This Row],[ModuleNumber]]&amp;CompilDonnées[[#This Row],[PlantationDate]])</f>
        <v>41645869</v>
      </c>
      <c r="O4223" t="str">
        <f>CompilDonnées[[#This Row],[FarmID]]&amp;CompilDonnées[[#This Row],[ModuleNumber]]</f>
        <v>416</v>
      </c>
      <c r="P4223" t="str">
        <f>CompilDonnées[[#This Row],[Ref_Module]]&amp;CompilDonnées[[#This Row],[HarvestingDate]]</f>
        <v>41645915</v>
      </c>
    </row>
    <row r="4224" spans="1:16">
      <c r="A4224" s="5">
        <v>45869</v>
      </c>
      <c r="B4224">
        <v>36</v>
      </c>
      <c r="C4224" t="s">
        <v>63</v>
      </c>
      <c r="D4224">
        <v>1</v>
      </c>
      <c r="E4224">
        <v>100</v>
      </c>
      <c r="F4224" t="s">
        <v>1</v>
      </c>
      <c r="G4224" s="6">
        <v>45916</v>
      </c>
      <c r="H4224">
        <v>47</v>
      </c>
      <c r="I4224">
        <f>ROUND(CompilDonnées[[#This Row],[CultureDuration_days]]/7,0)</f>
        <v>7</v>
      </c>
      <c r="J4224">
        <v>1727</v>
      </c>
      <c r="K4224" t="str">
        <f>_xlfn.CONCAT(WEEKNUM(CompilDonnées[[#This Row],[PlantationDate]]), " ", YEAR(CompilDonnées[[#This Row],[PlantationDate]]))</f>
        <v>31 2025</v>
      </c>
      <c r="L4224" t="str">
        <f>CONCATENATE(MONTH(CompilDonnées[[#This Row],[PlantationDate]])," ", YEAR(CompilDonnées[[#This Row],[PlantationDate]]))</f>
        <v>7 2025</v>
      </c>
      <c r="M4224" t="str">
        <f>CONCATENATE(MONTH(CompilDonnées[[#This Row],[HarvestingDate]])," ", YEAR(CompilDonnées[[#This Row],[HarvestingDate]]))</f>
        <v>9 2025</v>
      </c>
      <c r="N4224">
        <f>_xlfn.NUMBERVALUE(CompilDonnées[[#This Row],[FarmID]]&amp;CompilDonnées[[#This Row],[ModuleNumber]]&amp;CompilDonnées[[#This Row],[PlantationDate]])</f>
        <v>36145869</v>
      </c>
      <c r="O4224" t="str">
        <f>CompilDonnées[[#This Row],[FarmID]]&amp;CompilDonnées[[#This Row],[ModuleNumber]]</f>
        <v>361</v>
      </c>
      <c r="P4224" t="str">
        <f>CompilDonnées[[#This Row],[Ref_Module]]&amp;CompilDonnées[[#This Row],[HarvestingDate]]</f>
        <v>36145916</v>
      </c>
    </row>
    <row r="4225" spans="1:16">
      <c r="A4225" s="5">
        <v>45869</v>
      </c>
      <c r="B4225">
        <v>35</v>
      </c>
      <c r="C4225" t="s">
        <v>69</v>
      </c>
      <c r="D4225">
        <v>1</v>
      </c>
      <c r="E4225">
        <v>100</v>
      </c>
      <c r="F4225" t="s">
        <v>1</v>
      </c>
      <c r="G4225" s="6">
        <v>45916</v>
      </c>
      <c r="H4225">
        <v>47</v>
      </c>
      <c r="I4225">
        <f>ROUND(CompilDonnées[[#This Row],[CultureDuration_days]]/7,0)</f>
        <v>7</v>
      </c>
      <c r="J4225">
        <v>1708</v>
      </c>
      <c r="K4225" t="str">
        <f>_xlfn.CONCAT(WEEKNUM(CompilDonnées[[#This Row],[PlantationDate]]), " ", YEAR(CompilDonnées[[#This Row],[PlantationDate]]))</f>
        <v>31 2025</v>
      </c>
      <c r="L4225" t="str">
        <f>CONCATENATE(MONTH(CompilDonnées[[#This Row],[PlantationDate]])," ", YEAR(CompilDonnées[[#This Row],[PlantationDate]]))</f>
        <v>7 2025</v>
      </c>
      <c r="M4225" t="str">
        <f>CONCATENATE(MONTH(CompilDonnées[[#This Row],[HarvestingDate]])," ", YEAR(CompilDonnées[[#This Row],[HarvestingDate]]))</f>
        <v>9 2025</v>
      </c>
      <c r="N4225">
        <f>_xlfn.NUMBERVALUE(CompilDonnées[[#This Row],[FarmID]]&amp;CompilDonnées[[#This Row],[ModuleNumber]]&amp;CompilDonnées[[#This Row],[PlantationDate]])</f>
        <v>35145869</v>
      </c>
      <c r="O4225" t="str">
        <f>CompilDonnées[[#This Row],[FarmID]]&amp;CompilDonnées[[#This Row],[ModuleNumber]]</f>
        <v>351</v>
      </c>
      <c r="P4225" t="str">
        <f>CompilDonnées[[#This Row],[Ref_Module]]&amp;CompilDonnées[[#This Row],[HarvestingDate]]</f>
        <v>35145916</v>
      </c>
    </row>
    <row r="4226" spans="1:16">
      <c r="A4226" s="5">
        <v>45870</v>
      </c>
      <c r="B4226">
        <v>5</v>
      </c>
      <c r="C4226" t="s">
        <v>32</v>
      </c>
      <c r="D4226">
        <v>1</v>
      </c>
      <c r="E4226">
        <v>100</v>
      </c>
      <c r="F4226" t="s">
        <v>1</v>
      </c>
      <c r="G4226" s="6">
        <v>45915</v>
      </c>
      <c r="H4226">
        <v>45</v>
      </c>
      <c r="I4226">
        <f>ROUND(CompilDonnées[[#This Row],[CultureDuration_days]]/7,0)</f>
        <v>6</v>
      </c>
      <c r="J4226">
        <v>2295</v>
      </c>
      <c r="K4226" t="str">
        <f>_xlfn.CONCAT(WEEKNUM(CompilDonnées[[#This Row],[PlantationDate]]), " ", YEAR(CompilDonnées[[#This Row],[PlantationDate]]))</f>
        <v>31 2025</v>
      </c>
      <c r="L4226" t="str">
        <f>CONCATENATE(MONTH(CompilDonnées[[#This Row],[PlantationDate]])," ", YEAR(CompilDonnées[[#This Row],[PlantationDate]]))</f>
        <v>8 2025</v>
      </c>
      <c r="M4226" t="str">
        <f>CONCATENATE(MONTH(CompilDonnées[[#This Row],[HarvestingDate]])," ", YEAR(CompilDonnées[[#This Row],[HarvestingDate]]))</f>
        <v>9 2025</v>
      </c>
      <c r="N4226">
        <f>_xlfn.NUMBERVALUE(CompilDonnées[[#This Row],[FarmID]]&amp;CompilDonnées[[#This Row],[ModuleNumber]]&amp;CompilDonnées[[#This Row],[PlantationDate]])</f>
        <v>5145870</v>
      </c>
      <c r="O4226" t="str">
        <f>CompilDonnées[[#This Row],[FarmID]]&amp;CompilDonnées[[#This Row],[ModuleNumber]]</f>
        <v>51</v>
      </c>
      <c r="P4226" t="str">
        <f>CompilDonnées[[#This Row],[Ref_Module]]&amp;CompilDonnées[[#This Row],[HarvestingDate]]</f>
        <v>5145915</v>
      </c>
    </row>
    <row r="4227" spans="1:16">
      <c r="A4227" s="5">
        <v>45870</v>
      </c>
      <c r="B4227">
        <v>3</v>
      </c>
      <c r="C4227" t="s">
        <v>116</v>
      </c>
      <c r="D4227">
        <v>2</v>
      </c>
      <c r="E4227">
        <v>100</v>
      </c>
      <c r="F4227" t="s">
        <v>1</v>
      </c>
      <c r="G4227" s="6">
        <v>45915</v>
      </c>
      <c r="H4227">
        <v>45</v>
      </c>
      <c r="I4227">
        <f>ROUND(CompilDonnées[[#This Row],[CultureDuration_days]]/7,0)</f>
        <v>6</v>
      </c>
      <c r="J4227">
        <v>1782</v>
      </c>
      <c r="K4227" t="str">
        <f>_xlfn.CONCAT(WEEKNUM(CompilDonnées[[#This Row],[PlantationDate]]), " ", YEAR(CompilDonnées[[#This Row],[PlantationDate]]))</f>
        <v>31 2025</v>
      </c>
      <c r="L4227" t="str">
        <f>CONCATENATE(MONTH(CompilDonnées[[#This Row],[PlantationDate]])," ", YEAR(CompilDonnées[[#This Row],[PlantationDate]]))</f>
        <v>8 2025</v>
      </c>
      <c r="M4227" t="str">
        <f>CONCATENATE(MONTH(CompilDonnées[[#This Row],[HarvestingDate]])," ", YEAR(CompilDonnées[[#This Row],[HarvestingDate]]))</f>
        <v>9 2025</v>
      </c>
      <c r="N4227">
        <f>_xlfn.NUMBERVALUE(CompilDonnées[[#This Row],[FarmID]]&amp;CompilDonnées[[#This Row],[ModuleNumber]]&amp;CompilDonnées[[#This Row],[PlantationDate]])</f>
        <v>3245870</v>
      </c>
      <c r="O4227" t="str">
        <f>CompilDonnées[[#This Row],[FarmID]]&amp;CompilDonnées[[#This Row],[ModuleNumber]]</f>
        <v>32</v>
      </c>
      <c r="P4227" t="str">
        <f>CompilDonnées[[#This Row],[Ref_Module]]&amp;CompilDonnées[[#This Row],[HarvestingDate]]</f>
        <v>3245915</v>
      </c>
    </row>
    <row r="4228" spans="1:16">
      <c r="A4228" s="5">
        <v>45870</v>
      </c>
      <c r="B4228">
        <v>18</v>
      </c>
      <c r="C4228" t="s">
        <v>33</v>
      </c>
      <c r="D4228">
        <v>5</v>
      </c>
      <c r="E4228">
        <v>100</v>
      </c>
      <c r="F4228" t="s">
        <v>1</v>
      </c>
      <c r="G4228" s="6">
        <v>45915</v>
      </c>
      <c r="H4228">
        <v>45</v>
      </c>
      <c r="I4228">
        <f>ROUND(CompilDonnées[[#This Row],[CultureDuration_days]]/7,0)</f>
        <v>6</v>
      </c>
      <c r="J4228">
        <v>3743</v>
      </c>
      <c r="K4228" t="str">
        <f>_xlfn.CONCAT(WEEKNUM(CompilDonnées[[#This Row],[PlantationDate]]), " ", YEAR(CompilDonnées[[#This Row],[PlantationDate]]))</f>
        <v>31 2025</v>
      </c>
      <c r="L4228" t="str">
        <f>CONCATENATE(MONTH(CompilDonnées[[#This Row],[PlantationDate]])," ", YEAR(CompilDonnées[[#This Row],[PlantationDate]]))</f>
        <v>8 2025</v>
      </c>
      <c r="M4228" t="str">
        <f>CONCATENATE(MONTH(CompilDonnées[[#This Row],[HarvestingDate]])," ", YEAR(CompilDonnées[[#This Row],[HarvestingDate]]))</f>
        <v>9 2025</v>
      </c>
      <c r="N4228">
        <f>_xlfn.NUMBERVALUE(CompilDonnées[[#This Row],[FarmID]]&amp;CompilDonnées[[#This Row],[ModuleNumber]]&amp;CompilDonnées[[#This Row],[PlantationDate]])</f>
        <v>18545870</v>
      </c>
      <c r="O4228" t="str">
        <f>CompilDonnées[[#This Row],[FarmID]]&amp;CompilDonnées[[#This Row],[ModuleNumber]]</f>
        <v>185</v>
      </c>
      <c r="P4228" t="str">
        <f>CompilDonnées[[#This Row],[Ref_Module]]&amp;CompilDonnées[[#This Row],[HarvestingDate]]</f>
        <v>18545915</v>
      </c>
    </row>
    <row r="4229" spans="1:16">
      <c r="A4229" s="5">
        <v>45870</v>
      </c>
      <c r="B4229">
        <v>24</v>
      </c>
      <c r="C4229" t="s">
        <v>31</v>
      </c>
      <c r="D4229">
        <v>5</v>
      </c>
      <c r="E4229">
        <v>100</v>
      </c>
      <c r="F4229" t="s">
        <v>1</v>
      </c>
      <c r="G4229" s="6">
        <v>45915</v>
      </c>
      <c r="H4229">
        <v>45</v>
      </c>
      <c r="I4229">
        <f>ROUND(CompilDonnées[[#This Row],[CultureDuration_days]]/7,0)</f>
        <v>6</v>
      </c>
      <c r="J4229">
        <v>3705</v>
      </c>
      <c r="K4229" t="str">
        <f>_xlfn.CONCAT(WEEKNUM(CompilDonnées[[#This Row],[PlantationDate]]), " ", YEAR(CompilDonnées[[#This Row],[PlantationDate]]))</f>
        <v>31 2025</v>
      </c>
      <c r="L4229" t="str">
        <f>CONCATENATE(MONTH(CompilDonnées[[#This Row],[PlantationDate]])," ", YEAR(CompilDonnées[[#This Row],[PlantationDate]]))</f>
        <v>8 2025</v>
      </c>
      <c r="M4229" t="str">
        <f>CONCATENATE(MONTH(CompilDonnées[[#This Row],[HarvestingDate]])," ", YEAR(CompilDonnées[[#This Row],[HarvestingDate]]))</f>
        <v>9 2025</v>
      </c>
      <c r="N4229">
        <f>_xlfn.NUMBERVALUE(CompilDonnées[[#This Row],[FarmID]]&amp;CompilDonnées[[#This Row],[ModuleNumber]]&amp;CompilDonnées[[#This Row],[PlantationDate]])</f>
        <v>24545870</v>
      </c>
      <c r="O4229" t="str">
        <f>CompilDonnées[[#This Row],[FarmID]]&amp;CompilDonnées[[#This Row],[ModuleNumber]]</f>
        <v>245</v>
      </c>
      <c r="P4229" t="str">
        <f>CompilDonnées[[#This Row],[Ref_Module]]&amp;CompilDonnées[[#This Row],[HarvestingDate]]</f>
        <v>24545915</v>
      </c>
    </row>
    <row r="4230" spans="1:16">
      <c r="A4230" s="5">
        <v>45870</v>
      </c>
      <c r="B4230">
        <v>23</v>
      </c>
      <c r="C4230" t="s">
        <v>44</v>
      </c>
      <c r="D4230">
        <v>1</v>
      </c>
      <c r="E4230">
        <v>100</v>
      </c>
      <c r="F4230" t="s">
        <v>1</v>
      </c>
      <c r="G4230" s="6">
        <v>45915</v>
      </c>
      <c r="H4230">
        <v>45</v>
      </c>
      <c r="I4230">
        <f>ROUND(CompilDonnées[[#This Row],[CultureDuration_days]]/7,0)</f>
        <v>6</v>
      </c>
      <c r="J4230">
        <v>2010</v>
      </c>
      <c r="K4230" t="str">
        <f>_xlfn.CONCAT(WEEKNUM(CompilDonnées[[#This Row],[PlantationDate]]), " ", YEAR(CompilDonnées[[#This Row],[PlantationDate]]))</f>
        <v>31 2025</v>
      </c>
      <c r="L4230" t="str">
        <f>CONCATENATE(MONTH(CompilDonnées[[#This Row],[PlantationDate]])," ", YEAR(CompilDonnées[[#This Row],[PlantationDate]]))</f>
        <v>8 2025</v>
      </c>
      <c r="M4230" t="str">
        <f>CONCATENATE(MONTH(CompilDonnées[[#This Row],[HarvestingDate]])," ", YEAR(CompilDonnées[[#This Row],[HarvestingDate]]))</f>
        <v>9 2025</v>
      </c>
      <c r="N4230">
        <f>_xlfn.NUMBERVALUE(CompilDonnées[[#This Row],[FarmID]]&amp;CompilDonnées[[#This Row],[ModuleNumber]]&amp;CompilDonnées[[#This Row],[PlantationDate]])</f>
        <v>23145870</v>
      </c>
      <c r="O4230" t="str">
        <f>CompilDonnées[[#This Row],[FarmID]]&amp;CompilDonnées[[#This Row],[ModuleNumber]]</f>
        <v>231</v>
      </c>
      <c r="P4230" t="str">
        <f>CompilDonnées[[#This Row],[Ref_Module]]&amp;CompilDonnées[[#This Row],[HarvestingDate]]</f>
        <v>23145915</v>
      </c>
    </row>
    <row r="4231" spans="1:16">
      <c r="A4231" s="5">
        <v>45870</v>
      </c>
      <c r="B4231">
        <v>22</v>
      </c>
      <c r="C4231" t="s">
        <v>43</v>
      </c>
      <c r="D4231">
        <v>5</v>
      </c>
      <c r="E4231">
        <v>100</v>
      </c>
      <c r="F4231" t="s">
        <v>1</v>
      </c>
      <c r="G4231" s="6">
        <v>45915</v>
      </c>
      <c r="H4231">
        <v>45</v>
      </c>
      <c r="I4231">
        <f>ROUND(CompilDonnées[[#This Row],[CultureDuration_days]]/7,0)</f>
        <v>6</v>
      </c>
      <c r="J4231">
        <v>3304</v>
      </c>
      <c r="K4231" t="str">
        <f>_xlfn.CONCAT(WEEKNUM(CompilDonnées[[#This Row],[PlantationDate]]), " ", YEAR(CompilDonnées[[#This Row],[PlantationDate]]))</f>
        <v>31 2025</v>
      </c>
      <c r="L4231" t="str">
        <f>CONCATENATE(MONTH(CompilDonnées[[#This Row],[PlantationDate]])," ", YEAR(CompilDonnées[[#This Row],[PlantationDate]]))</f>
        <v>8 2025</v>
      </c>
      <c r="M4231" t="str">
        <f>CONCATENATE(MONTH(CompilDonnées[[#This Row],[HarvestingDate]])," ", YEAR(CompilDonnées[[#This Row],[HarvestingDate]]))</f>
        <v>9 2025</v>
      </c>
      <c r="N4231">
        <f>_xlfn.NUMBERVALUE(CompilDonnées[[#This Row],[FarmID]]&amp;CompilDonnées[[#This Row],[ModuleNumber]]&amp;CompilDonnées[[#This Row],[PlantationDate]])</f>
        <v>22545870</v>
      </c>
      <c r="O4231" t="str">
        <f>CompilDonnées[[#This Row],[FarmID]]&amp;CompilDonnées[[#This Row],[ModuleNumber]]</f>
        <v>225</v>
      </c>
      <c r="P4231" t="str">
        <f>CompilDonnées[[#This Row],[Ref_Module]]&amp;CompilDonnées[[#This Row],[HarvestingDate]]</f>
        <v>22545915</v>
      </c>
    </row>
    <row r="4232" spans="1:16">
      <c r="A4232" s="5">
        <v>45870</v>
      </c>
      <c r="B4232">
        <v>21</v>
      </c>
      <c r="C4232" t="s">
        <v>0</v>
      </c>
      <c r="D4232">
        <v>5</v>
      </c>
      <c r="E4232">
        <v>100</v>
      </c>
      <c r="F4232" t="s">
        <v>1</v>
      </c>
      <c r="G4232" s="6">
        <v>45915</v>
      </c>
      <c r="H4232">
        <v>45</v>
      </c>
      <c r="I4232">
        <f>ROUND(CompilDonnées[[#This Row],[CultureDuration_days]]/7,0)</f>
        <v>6</v>
      </c>
      <c r="J4232">
        <v>2700</v>
      </c>
      <c r="K4232" t="str">
        <f>_xlfn.CONCAT(WEEKNUM(CompilDonnées[[#This Row],[PlantationDate]]), " ", YEAR(CompilDonnées[[#This Row],[PlantationDate]]))</f>
        <v>31 2025</v>
      </c>
      <c r="L4232" t="str">
        <f>CONCATENATE(MONTH(CompilDonnées[[#This Row],[PlantationDate]])," ", YEAR(CompilDonnées[[#This Row],[PlantationDate]]))</f>
        <v>8 2025</v>
      </c>
      <c r="M4232" t="str">
        <f>CONCATENATE(MONTH(CompilDonnées[[#This Row],[HarvestingDate]])," ", YEAR(CompilDonnées[[#This Row],[HarvestingDate]]))</f>
        <v>9 2025</v>
      </c>
      <c r="N4232">
        <f>_xlfn.NUMBERVALUE(CompilDonnées[[#This Row],[FarmID]]&amp;CompilDonnées[[#This Row],[ModuleNumber]]&amp;CompilDonnées[[#This Row],[PlantationDate]])</f>
        <v>21545870</v>
      </c>
      <c r="O4232" t="str">
        <f>CompilDonnées[[#This Row],[FarmID]]&amp;CompilDonnées[[#This Row],[ModuleNumber]]</f>
        <v>215</v>
      </c>
      <c r="P4232" t="str">
        <f>CompilDonnées[[#This Row],[Ref_Module]]&amp;CompilDonnées[[#This Row],[HarvestingDate]]</f>
        <v>21545915</v>
      </c>
    </row>
    <row r="4233" spans="1:16">
      <c r="A4233" s="5">
        <v>45870</v>
      </c>
      <c r="B4233">
        <v>32</v>
      </c>
      <c r="C4233" t="s">
        <v>25</v>
      </c>
      <c r="D4233">
        <v>5</v>
      </c>
      <c r="E4233">
        <v>100</v>
      </c>
      <c r="F4233" t="s">
        <v>1</v>
      </c>
      <c r="G4233" s="6">
        <v>45915</v>
      </c>
      <c r="H4233">
        <v>45</v>
      </c>
      <c r="I4233">
        <f>ROUND(CompilDonnées[[#This Row],[CultureDuration_days]]/7,0)</f>
        <v>6</v>
      </c>
      <c r="J4233">
        <v>3529</v>
      </c>
      <c r="K4233" t="str">
        <f>_xlfn.CONCAT(WEEKNUM(CompilDonnées[[#This Row],[PlantationDate]]), " ", YEAR(CompilDonnées[[#This Row],[PlantationDate]]))</f>
        <v>31 2025</v>
      </c>
      <c r="L4233" t="str">
        <f>CONCATENATE(MONTH(CompilDonnées[[#This Row],[PlantationDate]])," ", YEAR(CompilDonnées[[#This Row],[PlantationDate]]))</f>
        <v>8 2025</v>
      </c>
      <c r="M4233" t="str">
        <f>CONCATENATE(MONTH(CompilDonnées[[#This Row],[HarvestingDate]])," ", YEAR(CompilDonnées[[#This Row],[HarvestingDate]]))</f>
        <v>9 2025</v>
      </c>
      <c r="N4233">
        <f>_xlfn.NUMBERVALUE(CompilDonnées[[#This Row],[FarmID]]&amp;CompilDonnées[[#This Row],[ModuleNumber]]&amp;CompilDonnées[[#This Row],[PlantationDate]])</f>
        <v>32545870</v>
      </c>
      <c r="O4233" t="str">
        <f>CompilDonnées[[#This Row],[FarmID]]&amp;CompilDonnées[[#This Row],[ModuleNumber]]</f>
        <v>325</v>
      </c>
      <c r="P4233" t="str">
        <f>CompilDonnées[[#This Row],[Ref_Module]]&amp;CompilDonnées[[#This Row],[HarvestingDate]]</f>
        <v>32545915</v>
      </c>
    </row>
    <row r="4234" spans="1:16">
      <c r="A4234" s="5">
        <v>45870</v>
      </c>
      <c r="B4234">
        <v>31</v>
      </c>
      <c r="C4234" t="s">
        <v>62</v>
      </c>
      <c r="D4234">
        <v>5</v>
      </c>
      <c r="E4234">
        <v>100</v>
      </c>
      <c r="F4234" t="s">
        <v>1</v>
      </c>
      <c r="G4234" s="6">
        <v>45915</v>
      </c>
      <c r="H4234">
        <v>45</v>
      </c>
      <c r="I4234">
        <f>ROUND(CompilDonnées[[#This Row],[CultureDuration_days]]/7,0)</f>
        <v>6</v>
      </c>
      <c r="J4234">
        <v>2866</v>
      </c>
      <c r="K4234" t="str">
        <f>_xlfn.CONCAT(WEEKNUM(CompilDonnées[[#This Row],[PlantationDate]]), " ", YEAR(CompilDonnées[[#This Row],[PlantationDate]]))</f>
        <v>31 2025</v>
      </c>
      <c r="L4234" t="str">
        <f>CONCATENATE(MONTH(CompilDonnées[[#This Row],[PlantationDate]])," ", YEAR(CompilDonnées[[#This Row],[PlantationDate]]))</f>
        <v>8 2025</v>
      </c>
      <c r="M4234" t="str">
        <f>CONCATENATE(MONTH(CompilDonnées[[#This Row],[HarvestingDate]])," ", YEAR(CompilDonnées[[#This Row],[HarvestingDate]]))</f>
        <v>9 2025</v>
      </c>
      <c r="N4234">
        <f>_xlfn.NUMBERVALUE(CompilDonnées[[#This Row],[FarmID]]&amp;CompilDonnées[[#This Row],[ModuleNumber]]&amp;CompilDonnées[[#This Row],[PlantationDate]])</f>
        <v>31545870</v>
      </c>
      <c r="O4234" t="str">
        <f>CompilDonnées[[#This Row],[FarmID]]&amp;CompilDonnées[[#This Row],[ModuleNumber]]</f>
        <v>315</v>
      </c>
      <c r="P4234" t="str">
        <f>CompilDonnées[[#This Row],[Ref_Module]]&amp;CompilDonnées[[#This Row],[HarvestingDate]]</f>
        <v>31545915</v>
      </c>
    </row>
    <row r="4235" spans="1:16">
      <c r="A4235" s="5">
        <v>45870</v>
      </c>
      <c r="B4235">
        <v>37</v>
      </c>
      <c r="C4235" t="s">
        <v>26</v>
      </c>
      <c r="D4235">
        <v>4</v>
      </c>
      <c r="E4235">
        <v>100</v>
      </c>
      <c r="F4235" t="s">
        <v>1</v>
      </c>
      <c r="G4235" s="6">
        <v>45915</v>
      </c>
      <c r="H4235">
        <v>45</v>
      </c>
      <c r="I4235">
        <f>ROUND(CompilDonnées[[#This Row],[CultureDuration_days]]/7,0)</f>
        <v>6</v>
      </c>
      <c r="J4235">
        <v>3013</v>
      </c>
      <c r="K4235" t="str">
        <f>_xlfn.CONCAT(WEEKNUM(CompilDonnées[[#This Row],[PlantationDate]]), " ", YEAR(CompilDonnées[[#This Row],[PlantationDate]]))</f>
        <v>31 2025</v>
      </c>
      <c r="L4235" t="str">
        <f>CONCATENATE(MONTH(CompilDonnées[[#This Row],[PlantationDate]])," ", YEAR(CompilDonnées[[#This Row],[PlantationDate]]))</f>
        <v>8 2025</v>
      </c>
      <c r="M4235" t="str">
        <f>CONCATENATE(MONTH(CompilDonnées[[#This Row],[HarvestingDate]])," ", YEAR(CompilDonnées[[#This Row],[HarvestingDate]]))</f>
        <v>9 2025</v>
      </c>
      <c r="N4235">
        <f>_xlfn.NUMBERVALUE(CompilDonnées[[#This Row],[FarmID]]&amp;CompilDonnées[[#This Row],[ModuleNumber]]&amp;CompilDonnées[[#This Row],[PlantationDate]])</f>
        <v>37445870</v>
      </c>
      <c r="O4235" t="str">
        <f>CompilDonnées[[#This Row],[FarmID]]&amp;CompilDonnées[[#This Row],[ModuleNumber]]</f>
        <v>374</v>
      </c>
      <c r="P4235" t="str">
        <f>CompilDonnées[[#This Row],[Ref_Module]]&amp;CompilDonnées[[#This Row],[HarvestingDate]]</f>
        <v>37445915</v>
      </c>
    </row>
    <row r="4236" spans="1:16">
      <c r="A4236" s="5">
        <v>45870</v>
      </c>
      <c r="B4236">
        <v>35</v>
      </c>
      <c r="C4236" t="s">
        <v>69</v>
      </c>
      <c r="D4236">
        <v>2</v>
      </c>
      <c r="E4236">
        <v>100</v>
      </c>
      <c r="F4236" t="s">
        <v>1</v>
      </c>
      <c r="G4236" s="6">
        <v>45916</v>
      </c>
      <c r="H4236">
        <v>46</v>
      </c>
      <c r="I4236">
        <f>ROUND(CompilDonnées[[#This Row],[CultureDuration_days]]/7,0)</f>
        <v>7</v>
      </c>
      <c r="J4236">
        <v>1466</v>
      </c>
      <c r="K4236" t="str">
        <f>_xlfn.CONCAT(WEEKNUM(CompilDonnées[[#This Row],[PlantationDate]]), " ", YEAR(CompilDonnées[[#This Row],[PlantationDate]]))</f>
        <v>31 2025</v>
      </c>
      <c r="L4236" t="str">
        <f>CONCATENATE(MONTH(CompilDonnées[[#This Row],[PlantationDate]])," ", YEAR(CompilDonnées[[#This Row],[PlantationDate]]))</f>
        <v>8 2025</v>
      </c>
      <c r="M4236" t="str">
        <f>CONCATENATE(MONTH(CompilDonnées[[#This Row],[HarvestingDate]])," ", YEAR(CompilDonnées[[#This Row],[HarvestingDate]]))</f>
        <v>9 2025</v>
      </c>
      <c r="N4236">
        <f>_xlfn.NUMBERVALUE(CompilDonnées[[#This Row],[FarmID]]&amp;CompilDonnées[[#This Row],[ModuleNumber]]&amp;CompilDonnées[[#This Row],[PlantationDate]])</f>
        <v>35245870</v>
      </c>
      <c r="O4236" t="str">
        <f>CompilDonnées[[#This Row],[FarmID]]&amp;CompilDonnées[[#This Row],[ModuleNumber]]</f>
        <v>352</v>
      </c>
      <c r="P4236" t="str">
        <f>CompilDonnées[[#This Row],[Ref_Module]]&amp;CompilDonnées[[#This Row],[HarvestingDate]]</f>
        <v>35245916</v>
      </c>
    </row>
    <row r="4237" spans="1:16">
      <c r="A4237" s="5">
        <v>45870</v>
      </c>
      <c r="B4237">
        <v>44</v>
      </c>
      <c r="C4237" t="s">
        <v>42</v>
      </c>
      <c r="D4237">
        <v>6</v>
      </c>
      <c r="E4237">
        <v>100</v>
      </c>
      <c r="F4237" t="s">
        <v>1</v>
      </c>
      <c r="G4237" s="6">
        <v>45915</v>
      </c>
      <c r="H4237">
        <v>45</v>
      </c>
      <c r="I4237">
        <f>ROUND(CompilDonnées[[#This Row],[CultureDuration_days]]/7,0)</f>
        <v>6</v>
      </c>
      <c r="J4237">
        <v>3593</v>
      </c>
      <c r="K4237" t="str">
        <f>_xlfn.CONCAT(WEEKNUM(CompilDonnées[[#This Row],[PlantationDate]]), " ", YEAR(CompilDonnées[[#This Row],[PlantationDate]]))</f>
        <v>31 2025</v>
      </c>
      <c r="L4237" t="str">
        <f>CONCATENATE(MONTH(CompilDonnées[[#This Row],[PlantationDate]])," ", YEAR(CompilDonnées[[#This Row],[PlantationDate]]))</f>
        <v>8 2025</v>
      </c>
      <c r="M4237" t="str">
        <f>CONCATENATE(MONTH(CompilDonnées[[#This Row],[HarvestingDate]])," ", YEAR(CompilDonnées[[#This Row],[HarvestingDate]]))</f>
        <v>9 2025</v>
      </c>
      <c r="N4237">
        <f>_xlfn.NUMBERVALUE(CompilDonnées[[#This Row],[FarmID]]&amp;CompilDonnées[[#This Row],[ModuleNumber]]&amp;CompilDonnées[[#This Row],[PlantationDate]])</f>
        <v>44645870</v>
      </c>
      <c r="O4237" t="str">
        <f>CompilDonnées[[#This Row],[FarmID]]&amp;CompilDonnées[[#This Row],[ModuleNumber]]</f>
        <v>446</v>
      </c>
      <c r="P4237" t="str">
        <f>CompilDonnées[[#This Row],[Ref_Module]]&amp;CompilDonnées[[#This Row],[HarvestingDate]]</f>
        <v>44645915</v>
      </c>
    </row>
    <row r="4238" spans="1:16">
      <c r="A4238" s="5">
        <v>45870</v>
      </c>
      <c r="B4238">
        <v>43</v>
      </c>
      <c r="C4238" t="s">
        <v>45</v>
      </c>
      <c r="D4238">
        <v>6</v>
      </c>
      <c r="E4238">
        <v>100</v>
      </c>
      <c r="F4238" t="s">
        <v>1</v>
      </c>
      <c r="G4238" s="6">
        <v>45910</v>
      </c>
      <c r="H4238">
        <v>40</v>
      </c>
      <c r="I4238">
        <f>ROUND(CompilDonnées[[#This Row],[CultureDuration_days]]/7,0)</f>
        <v>6</v>
      </c>
      <c r="J4238">
        <v>3122</v>
      </c>
      <c r="K4238" t="str">
        <f>_xlfn.CONCAT(WEEKNUM(CompilDonnées[[#This Row],[PlantationDate]]), " ", YEAR(CompilDonnées[[#This Row],[PlantationDate]]))</f>
        <v>31 2025</v>
      </c>
      <c r="L4238" t="str">
        <f>CONCATENATE(MONTH(CompilDonnées[[#This Row],[PlantationDate]])," ", YEAR(CompilDonnées[[#This Row],[PlantationDate]]))</f>
        <v>8 2025</v>
      </c>
      <c r="M4238" t="str">
        <f>CONCATENATE(MONTH(CompilDonnées[[#This Row],[HarvestingDate]])," ", YEAR(CompilDonnées[[#This Row],[HarvestingDate]]))</f>
        <v>9 2025</v>
      </c>
      <c r="N4238">
        <f>_xlfn.NUMBERVALUE(CompilDonnées[[#This Row],[FarmID]]&amp;CompilDonnées[[#This Row],[ModuleNumber]]&amp;CompilDonnées[[#This Row],[PlantationDate]])</f>
        <v>43645870</v>
      </c>
      <c r="O4238" t="str">
        <f>CompilDonnées[[#This Row],[FarmID]]&amp;CompilDonnées[[#This Row],[ModuleNumber]]</f>
        <v>436</v>
      </c>
      <c r="P4238" t="str">
        <f>CompilDonnées[[#This Row],[Ref_Module]]&amp;CompilDonnées[[#This Row],[HarvestingDate]]</f>
        <v>43645910</v>
      </c>
    </row>
    <row r="4239" spans="1:16">
      <c r="A4239" s="5">
        <v>45870</v>
      </c>
      <c r="B4239">
        <v>6</v>
      </c>
      <c r="C4239" t="s">
        <v>24</v>
      </c>
      <c r="D4239">
        <v>3</v>
      </c>
      <c r="E4239">
        <v>100</v>
      </c>
      <c r="F4239" t="s">
        <v>1</v>
      </c>
      <c r="G4239" s="6">
        <v>45915</v>
      </c>
      <c r="H4239">
        <v>45</v>
      </c>
      <c r="I4239">
        <f>ROUND(CompilDonnées[[#This Row],[CultureDuration_days]]/7,0)</f>
        <v>6</v>
      </c>
      <c r="J4239">
        <v>3416</v>
      </c>
      <c r="K4239" t="str">
        <f>_xlfn.CONCAT(WEEKNUM(CompilDonnées[[#This Row],[PlantationDate]]), " ", YEAR(CompilDonnées[[#This Row],[PlantationDate]]))</f>
        <v>31 2025</v>
      </c>
      <c r="L4239" t="str">
        <f>CONCATENATE(MONTH(CompilDonnées[[#This Row],[PlantationDate]])," ", YEAR(CompilDonnées[[#This Row],[PlantationDate]]))</f>
        <v>8 2025</v>
      </c>
      <c r="M4239" t="str">
        <f>CONCATENATE(MONTH(CompilDonnées[[#This Row],[HarvestingDate]])," ", YEAR(CompilDonnées[[#This Row],[HarvestingDate]]))</f>
        <v>9 2025</v>
      </c>
      <c r="N4239">
        <f>_xlfn.NUMBERVALUE(CompilDonnées[[#This Row],[FarmID]]&amp;CompilDonnées[[#This Row],[ModuleNumber]]&amp;CompilDonnées[[#This Row],[PlantationDate]])</f>
        <v>6345870</v>
      </c>
      <c r="O4239" t="str">
        <f>CompilDonnées[[#This Row],[FarmID]]&amp;CompilDonnées[[#This Row],[ModuleNumber]]</f>
        <v>63</v>
      </c>
      <c r="P4239" t="str">
        <f>CompilDonnées[[#This Row],[Ref_Module]]&amp;CompilDonnées[[#This Row],[HarvestingDate]]</f>
        <v>6345915</v>
      </c>
    </row>
    <row r="4240" spans="1:16">
      <c r="A4240" s="5">
        <v>45870</v>
      </c>
      <c r="B4240">
        <v>17</v>
      </c>
      <c r="C4240" t="s">
        <v>80</v>
      </c>
      <c r="D4240">
        <v>1</v>
      </c>
      <c r="E4240">
        <v>100</v>
      </c>
      <c r="F4240" t="s">
        <v>1</v>
      </c>
      <c r="G4240" s="6">
        <v>45915</v>
      </c>
      <c r="H4240">
        <v>45</v>
      </c>
      <c r="I4240">
        <f>ROUND(CompilDonnées[[#This Row],[CultureDuration_days]]/7,0)</f>
        <v>6</v>
      </c>
      <c r="J4240">
        <v>2745</v>
      </c>
      <c r="K4240" t="str">
        <f>_xlfn.CONCAT(WEEKNUM(CompilDonnées[[#This Row],[PlantationDate]]), " ", YEAR(CompilDonnées[[#This Row],[PlantationDate]]))</f>
        <v>31 2025</v>
      </c>
      <c r="L4240" t="str">
        <f>CONCATENATE(MONTH(CompilDonnées[[#This Row],[PlantationDate]])," ", YEAR(CompilDonnées[[#This Row],[PlantationDate]]))</f>
        <v>8 2025</v>
      </c>
      <c r="M4240" t="str">
        <f>CONCATENATE(MONTH(CompilDonnées[[#This Row],[HarvestingDate]])," ", YEAR(CompilDonnées[[#This Row],[HarvestingDate]]))</f>
        <v>9 2025</v>
      </c>
      <c r="N4240">
        <f>_xlfn.NUMBERVALUE(CompilDonnées[[#This Row],[FarmID]]&amp;CompilDonnées[[#This Row],[ModuleNumber]]&amp;CompilDonnées[[#This Row],[PlantationDate]])</f>
        <v>17145870</v>
      </c>
      <c r="O4240" t="str">
        <f>CompilDonnées[[#This Row],[FarmID]]&amp;CompilDonnées[[#This Row],[ModuleNumber]]</f>
        <v>171</v>
      </c>
      <c r="P4240" t="str">
        <f>CompilDonnées[[#This Row],[Ref_Module]]&amp;CompilDonnées[[#This Row],[HarvestingDate]]</f>
        <v>17145915</v>
      </c>
    </row>
    <row r="4241" spans="1:16">
      <c r="A4241" s="5">
        <v>45870</v>
      </c>
      <c r="B4241">
        <v>45</v>
      </c>
      <c r="C4241" t="s">
        <v>77</v>
      </c>
      <c r="D4241">
        <v>1</v>
      </c>
      <c r="E4241">
        <v>100</v>
      </c>
      <c r="F4241" t="s">
        <v>1</v>
      </c>
      <c r="G4241" s="6">
        <v>45916</v>
      </c>
      <c r="H4241">
        <v>46</v>
      </c>
      <c r="I4241">
        <f>ROUND(CompilDonnées[[#This Row],[CultureDuration_days]]/7,0)</f>
        <v>7</v>
      </c>
      <c r="J4241">
        <v>3700</v>
      </c>
      <c r="K4241" t="str">
        <f>_xlfn.CONCAT(WEEKNUM(CompilDonnées[[#This Row],[PlantationDate]]), " ", YEAR(CompilDonnées[[#This Row],[PlantationDate]]))</f>
        <v>31 2025</v>
      </c>
      <c r="L4241" t="str">
        <f>CONCATENATE(MONTH(CompilDonnées[[#This Row],[PlantationDate]])," ", YEAR(CompilDonnées[[#This Row],[PlantationDate]]))</f>
        <v>8 2025</v>
      </c>
      <c r="M4241" t="str">
        <f>CONCATENATE(MONTH(CompilDonnées[[#This Row],[HarvestingDate]])," ", YEAR(CompilDonnées[[#This Row],[HarvestingDate]]))</f>
        <v>9 2025</v>
      </c>
      <c r="N4241">
        <f>_xlfn.NUMBERVALUE(CompilDonnées[[#This Row],[FarmID]]&amp;CompilDonnées[[#This Row],[ModuleNumber]]&amp;CompilDonnées[[#This Row],[PlantationDate]])</f>
        <v>45145870</v>
      </c>
      <c r="O4241" t="str">
        <f>CompilDonnées[[#This Row],[FarmID]]&amp;CompilDonnées[[#This Row],[ModuleNumber]]</f>
        <v>451</v>
      </c>
      <c r="P4241" t="str">
        <f>CompilDonnées[[#This Row],[Ref_Module]]&amp;CompilDonnées[[#This Row],[HarvestingDate]]</f>
        <v>45145916</v>
      </c>
    </row>
    <row r="4242" spans="1:16">
      <c r="A4242" s="5">
        <v>45870</v>
      </c>
      <c r="B4242">
        <v>1</v>
      </c>
      <c r="C4242" t="s">
        <v>111</v>
      </c>
      <c r="D4242">
        <v>1</v>
      </c>
      <c r="E4242">
        <v>100</v>
      </c>
      <c r="F4242" t="s">
        <v>1</v>
      </c>
      <c r="G4242" s="6">
        <v>45915</v>
      </c>
      <c r="H4242">
        <v>45</v>
      </c>
      <c r="I4242">
        <f>ROUND(CompilDonnées[[#This Row],[CultureDuration_days]]/7,0)</f>
        <v>6</v>
      </c>
      <c r="J4242">
        <v>2358</v>
      </c>
      <c r="K4242" t="str">
        <f>_xlfn.CONCAT(WEEKNUM(CompilDonnées[[#This Row],[PlantationDate]]), " ", YEAR(CompilDonnées[[#This Row],[PlantationDate]]))</f>
        <v>31 2025</v>
      </c>
      <c r="L4242" t="str">
        <f>CONCATENATE(MONTH(CompilDonnées[[#This Row],[PlantationDate]])," ", YEAR(CompilDonnées[[#This Row],[PlantationDate]]))</f>
        <v>8 2025</v>
      </c>
      <c r="M4242" t="str">
        <f>CONCATENATE(MONTH(CompilDonnées[[#This Row],[HarvestingDate]])," ", YEAR(CompilDonnées[[#This Row],[HarvestingDate]]))</f>
        <v>9 2025</v>
      </c>
      <c r="N4242">
        <f>_xlfn.NUMBERVALUE(CompilDonnées[[#This Row],[FarmID]]&amp;CompilDonnées[[#This Row],[ModuleNumber]]&amp;CompilDonnées[[#This Row],[PlantationDate]])</f>
        <v>1145870</v>
      </c>
      <c r="O4242" t="str">
        <f>CompilDonnées[[#This Row],[FarmID]]&amp;CompilDonnées[[#This Row],[ModuleNumber]]</f>
        <v>11</v>
      </c>
      <c r="P4242" t="str">
        <f>CompilDonnées[[#This Row],[Ref_Module]]&amp;CompilDonnées[[#This Row],[HarvestingDate]]</f>
        <v>1145915</v>
      </c>
    </row>
    <row r="4243" spans="1:16">
      <c r="A4243" s="5">
        <v>45870</v>
      </c>
      <c r="B4243">
        <v>9</v>
      </c>
      <c r="C4243" t="s">
        <v>107</v>
      </c>
      <c r="D4243">
        <v>1</v>
      </c>
      <c r="E4243">
        <v>100</v>
      </c>
      <c r="F4243" t="s">
        <v>1</v>
      </c>
      <c r="G4243" s="6">
        <v>45915</v>
      </c>
      <c r="H4243">
        <v>45</v>
      </c>
      <c r="I4243">
        <f>ROUND(CompilDonnées[[#This Row],[CultureDuration_days]]/7,0)</f>
        <v>6</v>
      </c>
      <c r="J4243">
        <v>3009</v>
      </c>
      <c r="K4243" t="str">
        <f>_xlfn.CONCAT(WEEKNUM(CompilDonnées[[#This Row],[PlantationDate]]), " ", YEAR(CompilDonnées[[#This Row],[PlantationDate]]))</f>
        <v>31 2025</v>
      </c>
      <c r="L4243" t="str">
        <f>CONCATENATE(MONTH(CompilDonnées[[#This Row],[PlantationDate]])," ", YEAR(CompilDonnées[[#This Row],[PlantationDate]]))</f>
        <v>8 2025</v>
      </c>
      <c r="M4243" t="str">
        <f>CONCATENATE(MONTH(CompilDonnées[[#This Row],[HarvestingDate]])," ", YEAR(CompilDonnées[[#This Row],[HarvestingDate]]))</f>
        <v>9 2025</v>
      </c>
      <c r="N4243">
        <f>_xlfn.NUMBERVALUE(CompilDonnées[[#This Row],[FarmID]]&amp;CompilDonnées[[#This Row],[ModuleNumber]]&amp;CompilDonnées[[#This Row],[PlantationDate]])</f>
        <v>9145870</v>
      </c>
      <c r="O4243" t="str">
        <f>CompilDonnées[[#This Row],[FarmID]]&amp;CompilDonnées[[#This Row],[ModuleNumber]]</f>
        <v>91</v>
      </c>
      <c r="P4243" t="str">
        <f>CompilDonnées[[#This Row],[Ref_Module]]&amp;CompilDonnées[[#This Row],[HarvestingDate]]</f>
        <v>9145915</v>
      </c>
    </row>
    <row r="4244" spans="1:16">
      <c r="A4244" s="5">
        <v>45870</v>
      </c>
      <c r="B4244">
        <v>8</v>
      </c>
      <c r="C4244" t="s">
        <v>57</v>
      </c>
      <c r="D4244">
        <v>3</v>
      </c>
      <c r="E4244">
        <v>100</v>
      </c>
      <c r="F4244" t="s">
        <v>1</v>
      </c>
      <c r="G4244" s="6">
        <v>45925</v>
      </c>
      <c r="H4244">
        <v>55</v>
      </c>
      <c r="I4244">
        <f>ROUND(CompilDonnées[[#This Row],[CultureDuration_days]]/7,0)</f>
        <v>8</v>
      </c>
      <c r="J4244">
        <v>2095</v>
      </c>
      <c r="K4244" t="str">
        <f>_xlfn.CONCAT(WEEKNUM(CompilDonnées[[#This Row],[PlantationDate]]), " ", YEAR(CompilDonnées[[#This Row],[PlantationDate]]))</f>
        <v>31 2025</v>
      </c>
      <c r="L4244" t="str">
        <f>CONCATENATE(MONTH(CompilDonnées[[#This Row],[PlantationDate]])," ", YEAR(CompilDonnées[[#This Row],[PlantationDate]]))</f>
        <v>8 2025</v>
      </c>
      <c r="M4244" t="str">
        <f>CONCATENATE(MONTH(CompilDonnées[[#This Row],[HarvestingDate]])," ", YEAR(CompilDonnées[[#This Row],[HarvestingDate]]))</f>
        <v>9 2025</v>
      </c>
      <c r="N4244">
        <f>_xlfn.NUMBERVALUE(CompilDonnées[[#This Row],[FarmID]]&amp;CompilDonnées[[#This Row],[ModuleNumber]]&amp;CompilDonnées[[#This Row],[PlantationDate]])</f>
        <v>8345870</v>
      </c>
      <c r="O4244" t="str">
        <f>CompilDonnées[[#This Row],[FarmID]]&amp;CompilDonnées[[#This Row],[ModuleNumber]]</f>
        <v>83</v>
      </c>
      <c r="P4244" t="str">
        <f>CompilDonnées[[#This Row],[Ref_Module]]&amp;CompilDonnées[[#This Row],[HarvestingDate]]</f>
        <v>8345925</v>
      </c>
    </row>
    <row r="4245" spans="1:16">
      <c r="A4245" s="5">
        <v>45870</v>
      </c>
      <c r="B4245">
        <v>13</v>
      </c>
      <c r="C4245" t="s">
        <v>114</v>
      </c>
      <c r="D4245">
        <v>3</v>
      </c>
      <c r="E4245">
        <v>100</v>
      </c>
      <c r="F4245" t="s">
        <v>1</v>
      </c>
      <c r="G4245" s="6">
        <v>45915</v>
      </c>
      <c r="H4245">
        <v>45</v>
      </c>
      <c r="I4245">
        <f>ROUND(CompilDonnées[[#This Row],[CultureDuration_days]]/7,0)</f>
        <v>6</v>
      </c>
      <c r="J4245">
        <v>2785</v>
      </c>
      <c r="K4245" t="str">
        <f>_xlfn.CONCAT(WEEKNUM(CompilDonnées[[#This Row],[PlantationDate]]), " ", YEAR(CompilDonnées[[#This Row],[PlantationDate]]))</f>
        <v>31 2025</v>
      </c>
      <c r="L4245" t="str">
        <f>CONCATENATE(MONTH(CompilDonnées[[#This Row],[PlantationDate]])," ", YEAR(CompilDonnées[[#This Row],[PlantationDate]]))</f>
        <v>8 2025</v>
      </c>
      <c r="M4245" t="str">
        <f>CONCATENATE(MONTH(CompilDonnées[[#This Row],[HarvestingDate]])," ", YEAR(CompilDonnées[[#This Row],[HarvestingDate]]))</f>
        <v>9 2025</v>
      </c>
      <c r="N4245">
        <f>_xlfn.NUMBERVALUE(CompilDonnées[[#This Row],[FarmID]]&amp;CompilDonnées[[#This Row],[ModuleNumber]]&amp;CompilDonnées[[#This Row],[PlantationDate]])</f>
        <v>13345870</v>
      </c>
      <c r="O4245" t="str">
        <f>CompilDonnées[[#This Row],[FarmID]]&amp;CompilDonnées[[#This Row],[ModuleNumber]]</f>
        <v>133</v>
      </c>
      <c r="P4245" t="str">
        <f>CompilDonnées[[#This Row],[Ref_Module]]&amp;CompilDonnées[[#This Row],[HarvestingDate]]</f>
        <v>13345915</v>
      </c>
    </row>
    <row r="4246" spans="1:16">
      <c r="A4246" s="5">
        <v>45870</v>
      </c>
      <c r="B4246">
        <v>19</v>
      </c>
      <c r="C4246" t="s">
        <v>108</v>
      </c>
      <c r="D4246">
        <v>3</v>
      </c>
      <c r="E4246">
        <v>100</v>
      </c>
      <c r="F4246" t="s">
        <v>1</v>
      </c>
      <c r="G4246" s="6">
        <v>45911</v>
      </c>
      <c r="H4246">
        <v>41</v>
      </c>
      <c r="I4246">
        <f>ROUND(CompilDonnées[[#This Row],[CultureDuration_days]]/7,0)</f>
        <v>6</v>
      </c>
      <c r="J4246">
        <v>2008</v>
      </c>
      <c r="K4246" t="str">
        <f>_xlfn.CONCAT(WEEKNUM(CompilDonnées[[#This Row],[PlantationDate]]), " ", YEAR(CompilDonnées[[#This Row],[PlantationDate]]))</f>
        <v>31 2025</v>
      </c>
      <c r="L4246" t="str">
        <f>CONCATENATE(MONTH(CompilDonnées[[#This Row],[PlantationDate]])," ", YEAR(CompilDonnées[[#This Row],[PlantationDate]]))</f>
        <v>8 2025</v>
      </c>
      <c r="M4246" t="str">
        <f>CONCATENATE(MONTH(CompilDonnées[[#This Row],[HarvestingDate]])," ", YEAR(CompilDonnées[[#This Row],[HarvestingDate]]))</f>
        <v>9 2025</v>
      </c>
      <c r="N4246">
        <f>_xlfn.NUMBERVALUE(CompilDonnées[[#This Row],[FarmID]]&amp;CompilDonnées[[#This Row],[ModuleNumber]]&amp;CompilDonnées[[#This Row],[PlantationDate]])</f>
        <v>19345870</v>
      </c>
      <c r="O4246" t="str">
        <f>CompilDonnées[[#This Row],[FarmID]]&amp;CompilDonnées[[#This Row],[ModuleNumber]]</f>
        <v>193</v>
      </c>
      <c r="P4246" t="str">
        <f>CompilDonnées[[#This Row],[Ref_Module]]&amp;CompilDonnées[[#This Row],[HarvestingDate]]</f>
        <v>19345911</v>
      </c>
    </row>
    <row r="4247" spans="1:16">
      <c r="A4247" s="5">
        <v>45870</v>
      </c>
      <c r="B4247">
        <v>47</v>
      </c>
      <c r="C4247" t="s">
        <v>104</v>
      </c>
      <c r="D4247">
        <v>3</v>
      </c>
      <c r="E4247">
        <v>100</v>
      </c>
      <c r="F4247" t="s">
        <v>1</v>
      </c>
      <c r="G4247" s="6">
        <v>45924</v>
      </c>
      <c r="H4247">
        <v>54</v>
      </c>
      <c r="I4247">
        <f>ROUND(CompilDonnées[[#This Row],[CultureDuration_days]]/7,0)</f>
        <v>8</v>
      </c>
      <c r="J4247">
        <v>2462</v>
      </c>
      <c r="K4247" t="str">
        <f>_xlfn.CONCAT(WEEKNUM(CompilDonnées[[#This Row],[PlantationDate]]), " ", YEAR(CompilDonnées[[#This Row],[PlantationDate]]))</f>
        <v>31 2025</v>
      </c>
      <c r="L4247" t="str">
        <f>CONCATENATE(MONTH(CompilDonnées[[#This Row],[PlantationDate]])," ", YEAR(CompilDonnées[[#This Row],[PlantationDate]]))</f>
        <v>8 2025</v>
      </c>
      <c r="M4247" t="str">
        <f>CONCATENATE(MONTH(CompilDonnées[[#This Row],[HarvestingDate]])," ", YEAR(CompilDonnées[[#This Row],[HarvestingDate]]))</f>
        <v>9 2025</v>
      </c>
      <c r="N4247">
        <f>_xlfn.NUMBERVALUE(CompilDonnées[[#This Row],[FarmID]]&amp;CompilDonnées[[#This Row],[ModuleNumber]]&amp;CompilDonnées[[#This Row],[PlantationDate]])</f>
        <v>47345870</v>
      </c>
      <c r="O4247" t="str">
        <f>CompilDonnées[[#This Row],[FarmID]]&amp;CompilDonnées[[#This Row],[ModuleNumber]]</f>
        <v>473</v>
      </c>
      <c r="P4247" t="str">
        <f>CompilDonnées[[#This Row],[Ref_Module]]&amp;CompilDonnées[[#This Row],[HarvestingDate]]</f>
        <v>47345924</v>
      </c>
    </row>
    <row r="4248" spans="1:16">
      <c r="A4248" s="5">
        <v>45870</v>
      </c>
      <c r="B4248">
        <v>54</v>
      </c>
      <c r="C4248" t="s">
        <v>39</v>
      </c>
      <c r="D4248">
        <v>3</v>
      </c>
      <c r="E4248">
        <v>100</v>
      </c>
      <c r="F4248" t="s">
        <v>1</v>
      </c>
      <c r="G4248" s="6">
        <v>45916</v>
      </c>
      <c r="H4248">
        <v>46</v>
      </c>
      <c r="I4248">
        <f>ROUND(CompilDonnées[[#This Row],[CultureDuration_days]]/7,0)</f>
        <v>7</v>
      </c>
      <c r="J4248">
        <v>1805</v>
      </c>
      <c r="K4248" t="str">
        <f>_xlfn.CONCAT(WEEKNUM(CompilDonnées[[#This Row],[PlantationDate]]), " ", YEAR(CompilDonnées[[#This Row],[PlantationDate]]))</f>
        <v>31 2025</v>
      </c>
      <c r="L4248" t="str">
        <f>CONCATENATE(MONTH(CompilDonnées[[#This Row],[PlantationDate]])," ", YEAR(CompilDonnées[[#This Row],[PlantationDate]]))</f>
        <v>8 2025</v>
      </c>
      <c r="M4248" t="str">
        <f>CONCATENATE(MONTH(CompilDonnées[[#This Row],[HarvestingDate]])," ", YEAR(CompilDonnées[[#This Row],[HarvestingDate]]))</f>
        <v>9 2025</v>
      </c>
      <c r="N4248">
        <f>_xlfn.NUMBERVALUE(CompilDonnées[[#This Row],[FarmID]]&amp;CompilDonnées[[#This Row],[ModuleNumber]]&amp;CompilDonnées[[#This Row],[PlantationDate]])</f>
        <v>54345870</v>
      </c>
      <c r="O4248" t="str">
        <f>CompilDonnées[[#This Row],[FarmID]]&amp;CompilDonnées[[#This Row],[ModuleNumber]]</f>
        <v>543</v>
      </c>
      <c r="P4248" t="str">
        <f>CompilDonnées[[#This Row],[Ref_Module]]&amp;CompilDonnées[[#This Row],[HarvestingDate]]</f>
        <v>54345916</v>
      </c>
    </row>
    <row r="4249" spans="1:16">
      <c r="A4249" s="5">
        <v>45870</v>
      </c>
      <c r="B4249">
        <v>74</v>
      </c>
      <c r="C4249" t="s">
        <v>21</v>
      </c>
      <c r="D4249">
        <v>4</v>
      </c>
      <c r="E4249">
        <v>100</v>
      </c>
      <c r="F4249" t="s">
        <v>1</v>
      </c>
      <c r="G4249" s="6">
        <v>45917</v>
      </c>
      <c r="H4249">
        <v>47</v>
      </c>
      <c r="I4249">
        <f>ROUND(CompilDonnées[[#This Row],[CultureDuration_days]]/7,0)</f>
        <v>7</v>
      </c>
      <c r="J4249">
        <v>3275</v>
      </c>
      <c r="K4249" t="str">
        <f>_xlfn.CONCAT(WEEKNUM(CompilDonnées[[#This Row],[PlantationDate]]), " ", YEAR(CompilDonnées[[#This Row],[PlantationDate]]))</f>
        <v>31 2025</v>
      </c>
      <c r="L4249" t="str">
        <f>CONCATENATE(MONTH(CompilDonnées[[#This Row],[PlantationDate]])," ", YEAR(CompilDonnées[[#This Row],[PlantationDate]]))</f>
        <v>8 2025</v>
      </c>
      <c r="M4249" t="str">
        <f>CONCATENATE(MONTH(CompilDonnées[[#This Row],[HarvestingDate]])," ", YEAR(CompilDonnées[[#This Row],[HarvestingDate]]))</f>
        <v>9 2025</v>
      </c>
      <c r="N4249">
        <f>_xlfn.NUMBERVALUE(CompilDonnées[[#This Row],[FarmID]]&amp;CompilDonnées[[#This Row],[ModuleNumber]]&amp;CompilDonnées[[#This Row],[PlantationDate]])</f>
        <v>74445870</v>
      </c>
      <c r="O4249" t="str">
        <f>CompilDonnées[[#This Row],[FarmID]]&amp;CompilDonnées[[#This Row],[ModuleNumber]]</f>
        <v>744</v>
      </c>
      <c r="P4249" t="str">
        <f>CompilDonnées[[#This Row],[Ref_Module]]&amp;CompilDonnées[[#This Row],[HarvestingDate]]</f>
        <v>74445917</v>
      </c>
    </row>
    <row r="4250" spans="1:16">
      <c r="A4250" s="5">
        <v>45870</v>
      </c>
      <c r="B4250">
        <v>80</v>
      </c>
      <c r="C4250" t="s">
        <v>29</v>
      </c>
      <c r="D4250">
        <v>5</v>
      </c>
      <c r="E4250">
        <v>100</v>
      </c>
      <c r="F4250" t="s">
        <v>1</v>
      </c>
      <c r="G4250" s="6">
        <v>45909</v>
      </c>
      <c r="H4250">
        <v>39</v>
      </c>
      <c r="I4250">
        <f>ROUND(CompilDonnées[[#This Row],[CultureDuration_days]]/7,0)</f>
        <v>6</v>
      </c>
      <c r="J4250">
        <v>3823</v>
      </c>
      <c r="K4250" t="str">
        <f>_xlfn.CONCAT(WEEKNUM(CompilDonnées[[#This Row],[PlantationDate]]), " ", YEAR(CompilDonnées[[#This Row],[PlantationDate]]))</f>
        <v>31 2025</v>
      </c>
      <c r="L4250" t="str">
        <f>CONCATENATE(MONTH(CompilDonnées[[#This Row],[PlantationDate]])," ", YEAR(CompilDonnées[[#This Row],[PlantationDate]]))</f>
        <v>8 2025</v>
      </c>
      <c r="M4250" t="str">
        <f>CONCATENATE(MONTH(CompilDonnées[[#This Row],[HarvestingDate]])," ", YEAR(CompilDonnées[[#This Row],[HarvestingDate]]))</f>
        <v>9 2025</v>
      </c>
      <c r="N4250">
        <f>_xlfn.NUMBERVALUE(CompilDonnées[[#This Row],[FarmID]]&amp;CompilDonnées[[#This Row],[ModuleNumber]]&amp;CompilDonnées[[#This Row],[PlantationDate]])</f>
        <v>80545870</v>
      </c>
      <c r="O4250" t="str">
        <f>CompilDonnées[[#This Row],[FarmID]]&amp;CompilDonnées[[#This Row],[ModuleNumber]]</f>
        <v>805</v>
      </c>
      <c r="P4250" t="str">
        <f>CompilDonnées[[#This Row],[Ref_Module]]&amp;CompilDonnées[[#This Row],[HarvestingDate]]</f>
        <v>80545909</v>
      </c>
    </row>
    <row r="4251" spans="1:16">
      <c r="A4251" s="5">
        <v>45870</v>
      </c>
      <c r="B4251">
        <v>52</v>
      </c>
      <c r="C4251" t="s">
        <v>88</v>
      </c>
      <c r="D4251">
        <v>4</v>
      </c>
      <c r="E4251">
        <v>100</v>
      </c>
      <c r="F4251" t="s">
        <v>1</v>
      </c>
      <c r="G4251" s="6">
        <v>45916</v>
      </c>
      <c r="H4251">
        <v>46</v>
      </c>
      <c r="I4251">
        <f>ROUND(CompilDonnées[[#This Row],[CultureDuration_days]]/7,0)</f>
        <v>7</v>
      </c>
      <c r="J4251">
        <v>4089</v>
      </c>
      <c r="K4251" t="str">
        <f>_xlfn.CONCAT(WEEKNUM(CompilDonnées[[#This Row],[PlantationDate]]), " ", YEAR(CompilDonnées[[#This Row],[PlantationDate]]))</f>
        <v>31 2025</v>
      </c>
      <c r="L4251" t="str">
        <f>CONCATENATE(MONTH(CompilDonnées[[#This Row],[PlantationDate]])," ", YEAR(CompilDonnées[[#This Row],[PlantationDate]]))</f>
        <v>8 2025</v>
      </c>
      <c r="M4251" t="str">
        <f>CONCATENATE(MONTH(CompilDonnées[[#This Row],[HarvestingDate]])," ", YEAR(CompilDonnées[[#This Row],[HarvestingDate]]))</f>
        <v>9 2025</v>
      </c>
      <c r="N4251">
        <f>_xlfn.NUMBERVALUE(CompilDonnées[[#This Row],[FarmID]]&amp;CompilDonnées[[#This Row],[ModuleNumber]]&amp;CompilDonnées[[#This Row],[PlantationDate]])</f>
        <v>52445870</v>
      </c>
      <c r="O4251" t="str">
        <f>CompilDonnées[[#This Row],[FarmID]]&amp;CompilDonnées[[#This Row],[ModuleNumber]]</f>
        <v>524</v>
      </c>
      <c r="P4251" t="str">
        <f>CompilDonnées[[#This Row],[Ref_Module]]&amp;CompilDonnées[[#This Row],[HarvestingDate]]</f>
        <v>52445916</v>
      </c>
    </row>
    <row r="4252" spans="1:16">
      <c r="A4252" s="5">
        <v>45876</v>
      </c>
      <c r="B4252">
        <v>6</v>
      </c>
      <c r="C4252" t="s">
        <v>24</v>
      </c>
      <c r="D4252">
        <v>1</v>
      </c>
      <c r="E4252">
        <v>100</v>
      </c>
      <c r="F4252" t="s">
        <v>1</v>
      </c>
      <c r="G4252" s="6">
        <v>45915</v>
      </c>
      <c r="H4252">
        <v>39</v>
      </c>
      <c r="I4252">
        <f>ROUND(CompilDonnées[[#This Row],[CultureDuration_days]]/7,0)</f>
        <v>6</v>
      </c>
      <c r="J4252">
        <v>3128</v>
      </c>
      <c r="K4252" t="str">
        <f>_xlfn.CONCAT(WEEKNUM(CompilDonnées[[#This Row],[PlantationDate]]), " ", YEAR(CompilDonnées[[#This Row],[PlantationDate]]))</f>
        <v>32 2025</v>
      </c>
      <c r="L4252" t="str">
        <f>CONCATENATE(MONTH(CompilDonnées[[#This Row],[PlantationDate]])," ", YEAR(CompilDonnées[[#This Row],[PlantationDate]]))</f>
        <v>8 2025</v>
      </c>
      <c r="M4252" t="str">
        <f>CONCATENATE(MONTH(CompilDonnées[[#This Row],[HarvestingDate]])," ", YEAR(CompilDonnées[[#This Row],[HarvestingDate]]))</f>
        <v>9 2025</v>
      </c>
      <c r="N4252">
        <f>_xlfn.NUMBERVALUE(CompilDonnées[[#This Row],[FarmID]]&amp;CompilDonnées[[#This Row],[ModuleNumber]]&amp;CompilDonnées[[#This Row],[PlantationDate]])</f>
        <v>6145876</v>
      </c>
      <c r="O4252" t="str">
        <f>CompilDonnées[[#This Row],[FarmID]]&amp;CompilDonnées[[#This Row],[ModuleNumber]]</f>
        <v>61</v>
      </c>
      <c r="P4252" t="str">
        <f>CompilDonnées[[#This Row],[Ref_Module]]&amp;CompilDonnées[[#This Row],[HarvestingDate]]</f>
        <v>6145915</v>
      </c>
    </row>
    <row r="4253" spans="1:16">
      <c r="A4253" s="5">
        <v>45876</v>
      </c>
      <c r="B4253">
        <v>4</v>
      </c>
      <c r="C4253" t="s">
        <v>74</v>
      </c>
      <c r="D4253">
        <v>3</v>
      </c>
      <c r="E4253">
        <v>100</v>
      </c>
      <c r="F4253" t="s">
        <v>1</v>
      </c>
      <c r="G4253" s="6">
        <v>45915</v>
      </c>
      <c r="H4253">
        <v>39</v>
      </c>
      <c r="I4253">
        <f>ROUND(CompilDonnées[[#This Row],[CultureDuration_days]]/7,0)</f>
        <v>6</v>
      </c>
      <c r="J4253">
        <v>1396</v>
      </c>
      <c r="K4253" t="str">
        <f>_xlfn.CONCAT(WEEKNUM(CompilDonnées[[#This Row],[PlantationDate]]), " ", YEAR(CompilDonnées[[#This Row],[PlantationDate]]))</f>
        <v>32 2025</v>
      </c>
      <c r="L4253" t="str">
        <f>CONCATENATE(MONTH(CompilDonnées[[#This Row],[PlantationDate]])," ", YEAR(CompilDonnées[[#This Row],[PlantationDate]]))</f>
        <v>8 2025</v>
      </c>
      <c r="M4253" t="str">
        <f>CONCATENATE(MONTH(CompilDonnées[[#This Row],[HarvestingDate]])," ", YEAR(CompilDonnées[[#This Row],[HarvestingDate]]))</f>
        <v>9 2025</v>
      </c>
      <c r="N4253">
        <f>_xlfn.NUMBERVALUE(CompilDonnées[[#This Row],[FarmID]]&amp;CompilDonnées[[#This Row],[ModuleNumber]]&amp;CompilDonnées[[#This Row],[PlantationDate]])</f>
        <v>4345876</v>
      </c>
      <c r="O4253" t="str">
        <f>CompilDonnées[[#This Row],[FarmID]]&amp;CompilDonnées[[#This Row],[ModuleNumber]]</f>
        <v>43</v>
      </c>
      <c r="P4253" t="str">
        <f>CompilDonnées[[#This Row],[Ref_Module]]&amp;CompilDonnées[[#This Row],[HarvestingDate]]</f>
        <v>4345915</v>
      </c>
    </row>
    <row r="4254" spans="1:16">
      <c r="A4254" s="5">
        <v>45876</v>
      </c>
      <c r="B4254">
        <v>3</v>
      </c>
      <c r="C4254" t="s">
        <v>116</v>
      </c>
      <c r="D4254">
        <v>3</v>
      </c>
      <c r="E4254">
        <v>100</v>
      </c>
      <c r="F4254" t="s">
        <v>1</v>
      </c>
      <c r="G4254" s="6">
        <v>45915</v>
      </c>
      <c r="H4254">
        <v>39</v>
      </c>
      <c r="I4254">
        <f>ROUND(CompilDonnées[[#This Row],[CultureDuration_days]]/7,0)</f>
        <v>6</v>
      </c>
      <c r="J4254">
        <v>1597</v>
      </c>
      <c r="K4254" t="str">
        <f>_xlfn.CONCAT(WEEKNUM(CompilDonnées[[#This Row],[PlantationDate]]), " ", YEAR(CompilDonnées[[#This Row],[PlantationDate]]))</f>
        <v>32 2025</v>
      </c>
      <c r="L4254" t="str">
        <f>CONCATENATE(MONTH(CompilDonnées[[#This Row],[PlantationDate]])," ", YEAR(CompilDonnées[[#This Row],[PlantationDate]]))</f>
        <v>8 2025</v>
      </c>
      <c r="M4254" t="str">
        <f>CONCATENATE(MONTH(CompilDonnées[[#This Row],[HarvestingDate]])," ", YEAR(CompilDonnées[[#This Row],[HarvestingDate]]))</f>
        <v>9 2025</v>
      </c>
      <c r="N4254">
        <f>_xlfn.NUMBERVALUE(CompilDonnées[[#This Row],[FarmID]]&amp;CompilDonnées[[#This Row],[ModuleNumber]]&amp;CompilDonnées[[#This Row],[PlantationDate]])</f>
        <v>3345876</v>
      </c>
      <c r="O4254" t="str">
        <f>CompilDonnées[[#This Row],[FarmID]]&amp;CompilDonnées[[#This Row],[ModuleNumber]]</f>
        <v>33</v>
      </c>
      <c r="P4254" t="str">
        <f>CompilDonnées[[#This Row],[Ref_Module]]&amp;CompilDonnées[[#This Row],[HarvestingDate]]</f>
        <v>3345915</v>
      </c>
    </row>
    <row r="4255" spans="1:16">
      <c r="A4255" s="5">
        <v>45876</v>
      </c>
      <c r="B4255">
        <v>18</v>
      </c>
      <c r="C4255" t="s">
        <v>33</v>
      </c>
      <c r="D4255">
        <v>6</v>
      </c>
      <c r="E4255">
        <v>100</v>
      </c>
      <c r="F4255" t="s">
        <v>1</v>
      </c>
      <c r="G4255" s="6">
        <v>45924</v>
      </c>
      <c r="H4255">
        <v>48</v>
      </c>
      <c r="I4255">
        <f>ROUND(CompilDonnées[[#This Row],[CultureDuration_days]]/7,0)</f>
        <v>7</v>
      </c>
      <c r="J4255">
        <v>3277</v>
      </c>
      <c r="K4255" t="str">
        <f>_xlfn.CONCAT(WEEKNUM(CompilDonnées[[#This Row],[PlantationDate]]), " ", YEAR(CompilDonnées[[#This Row],[PlantationDate]]))</f>
        <v>32 2025</v>
      </c>
      <c r="L4255" t="str">
        <f>CONCATENATE(MONTH(CompilDonnées[[#This Row],[PlantationDate]])," ", YEAR(CompilDonnées[[#This Row],[PlantationDate]]))</f>
        <v>8 2025</v>
      </c>
      <c r="M4255" t="str">
        <f>CONCATENATE(MONTH(CompilDonnées[[#This Row],[HarvestingDate]])," ", YEAR(CompilDonnées[[#This Row],[HarvestingDate]]))</f>
        <v>9 2025</v>
      </c>
      <c r="N4255">
        <f>_xlfn.NUMBERVALUE(CompilDonnées[[#This Row],[FarmID]]&amp;CompilDonnées[[#This Row],[ModuleNumber]]&amp;CompilDonnées[[#This Row],[PlantationDate]])</f>
        <v>18645876</v>
      </c>
      <c r="O4255" t="str">
        <f>CompilDonnées[[#This Row],[FarmID]]&amp;CompilDonnées[[#This Row],[ModuleNumber]]</f>
        <v>186</v>
      </c>
      <c r="P4255" t="str">
        <f>CompilDonnées[[#This Row],[Ref_Module]]&amp;CompilDonnées[[#This Row],[HarvestingDate]]</f>
        <v>18645924</v>
      </c>
    </row>
    <row r="4256" spans="1:16">
      <c r="A4256" s="5">
        <v>45876</v>
      </c>
      <c r="B4256">
        <v>17</v>
      </c>
      <c r="C4256" t="s">
        <v>80</v>
      </c>
      <c r="D4256">
        <v>6</v>
      </c>
      <c r="E4256">
        <v>100</v>
      </c>
      <c r="F4256" t="s">
        <v>1</v>
      </c>
      <c r="G4256" s="6">
        <v>45915</v>
      </c>
      <c r="H4256">
        <v>39</v>
      </c>
      <c r="I4256">
        <f>ROUND(CompilDonnées[[#This Row],[CultureDuration_days]]/7,0)</f>
        <v>6</v>
      </c>
      <c r="J4256">
        <v>3069</v>
      </c>
      <c r="K4256" t="str">
        <f>_xlfn.CONCAT(WEEKNUM(CompilDonnées[[#This Row],[PlantationDate]]), " ", YEAR(CompilDonnées[[#This Row],[PlantationDate]]))</f>
        <v>32 2025</v>
      </c>
      <c r="L4256" t="str">
        <f>CONCATENATE(MONTH(CompilDonnées[[#This Row],[PlantationDate]])," ", YEAR(CompilDonnées[[#This Row],[PlantationDate]]))</f>
        <v>8 2025</v>
      </c>
      <c r="M4256" t="str">
        <f>CONCATENATE(MONTH(CompilDonnées[[#This Row],[HarvestingDate]])," ", YEAR(CompilDonnées[[#This Row],[HarvestingDate]]))</f>
        <v>9 2025</v>
      </c>
      <c r="N4256">
        <f>_xlfn.NUMBERVALUE(CompilDonnées[[#This Row],[FarmID]]&amp;CompilDonnées[[#This Row],[ModuleNumber]]&amp;CompilDonnées[[#This Row],[PlantationDate]])</f>
        <v>17645876</v>
      </c>
      <c r="O4256" t="str">
        <f>CompilDonnées[[#This Row],[FarmID]]&amp;CompilDonnées[[#This Row],[ModuleNumber]]</f>
        <v>176</v>
      </c>
      <c r="P4256" t="str">
        <f>CompilDonnées[[#This Row],[Ref_Module]]&amp;CompilDonnées[[#This Row],[HarvestingDate]]</f>
        <v>17645915</v>
      </c>
    </row>
    <row r="4257" spans="1:16">
      <c r="A4257" s="5">
        <v>45876</v>
      </c>
      <c r="B4257">
        <v>16</v>
      </c>
      <c r="C4257" t="s">
        <v>112</v>
      </c>
      <c r="D4257">
        <v>1</v>
      </c>
      <c r="E4257">
        <v>100</v>
      </c>
      <c r="F4257" t="s">
        <v>1</v>
      </c>
      <c r="G4257" s="6">
        <v>45915</v>
      </c>
      <c r="H4257">
        <v>39</v>
      </c>
      <c r="I4257">
        <f>ROUND(CompilDonnées[[#This Row],[CultureDuration_days]]/7,0)</f>
        <v>6</v>
      </c>
      <c r="J4257">
        <v>1829</v>
      </c>
      <c r="K4257" t="str">
        <f>_xlfn.CONCAT(WEEKNUM(CompilDonnées[[#This Row],[PlantationDate]]), " ", YEAR(CompilDonnées[[#This Row],[PlantationDate]]))</f>
        <v>32 2025</v>
      </c>
      <c r="L4257" t="str">
        <f>CONCATENATE(MONTH(CompilDonnées[[#This Row],[PlantationDate]])," ", YEAR(CompilDonnées[[#This Row],[PlantationDate]]))</f>
        <v>8 2025</v>
      </c>
      <c r="M4257" t="str">
        <f>CONCATENATE(MONTH(CompilDonnées[[#This Row],[HarvestingDate]])," ", YEAR(CompilDonnées[[#This Row],[HarvestingDate]]))</f>
        <v>9 2025</v>
      </c>
      <c r="N4257">
        <f>_xlfn.NUMBERVALUE(CompilDonnées[[#This Row],[FarmID]]&amp;CompilDonnées[[#This Row],[ModuleNumber]]&amp;CompilDonnées[[#This Row],[PlantationDate]])</f>
        <v>16145876</v>
      </c>
      <c r="O4257" t="str">
        <f>CompilDonnées[[#This Row],[FarmID]]&amp;CompilDonnées[[#This Row],[ModuleNumber]]</f>
        <v>161</v>
      </c>
      <c r="P4257" t="str">
        <f>CompilDonnées[[#This Row],[Ref_Module]]&amp;CompilDonnées[[#This Row],[HarvestingDate]]</f>
        <v>16145915</v>
      </c>
    </row>
    <row r="4258" spans="1:16">
      <c r="A4258" s="5">
        <v>45876</v>
      </c>
      <c r="B4258">
        <v>15</v>
      </c>
      <c r="C4258" t="s">
        <v>5</v>
      </c>
      <c r="D4258">
        <v>2</v>
      </c>
      <c r="E4258">
        <v>100</v>
      </c>
      <c r="F4258" t="s">
        <v>1</v>
      </c>
      <c r="G4258" s="6">
        <v>45915</v>
      </c>
      <c r="H4258">
        <v>39</v>
      </c>
      <c r="I4258">
        <f>ROUND(CompilDonnées[[#This Row],[CultureDuration_days]]/7,0)</f>
        <v>6</v>
      </c>
      <c r="J4258">
        <v>1464</v>
      </c>
      <c r="K4258" t="str">
        <f>_xlfn.CONCAT(WEEKNUM(CompilDonnées[[#This Row],[PlantationDate]]), " ", YEAR(CompilDonnées[[#This Row],[PlantationDate]]))</f>
        <v>32 2025</v>
      </c>
      <c r="L4258" t="str">
        <f>CONCATENATE(MONTH(CompilDonnées[[#This Row],[PlantationDate]])," ", YEAR(CompilDonnées[[#This Row],[PlantationDate]]))</f>
        <v>8 2025</v>
      </c>
      <c r="M4258" t="str">
        <f>CONCATENATE(MONTH(CompilDonnées[[#This Row],[HarvestingDate]])," ", YEAR(CompilDonnées[[#This Row],[HarvestingDate]]))</f>
        <v>9 2025</v>
      </c>
      <c r="N4258">
        <f>_xlfn.NUMBERVALUE(CompilDonnées[[#This Row],[FarmID]]&amp;CompilDonnées[[#This Row],[ModuleNumber]]&amp;CompilDonnées[[#This Row],[PlantationDate]])</f>
        <v>15245876</v>
      </c>
      <c r="O4258" t="str">
        <f>CompilDonnées[[#This Row],[FarmID]]&amp;CompilDonnées[[#This Row],[ModuleNumber]]</f>
        <v>152</v>
      </c>
      <c r="P4258" t="str">
        <f>CompilDonnées[[#This Row],[Ref_Module]]&amp;CompilDonnées[[#This Row],[HarvestingDate]]</f>
        <v>15245915</v>
      </c>
    </row>
    <row r="4259" spans="1:16">
      <c r="A4259" s="5">
        <v>45876</v>
      </c>
      <c r="B4259">
        <v>24</v>
      </c>
      <c r="C4259" t="s">
        <v>31</v>
      </c>
      <c r="D4259">
        <v>6</v>
      </c>
      <c r="E4259">
        <v>100</v>
      </c>
      <c r="F4259" t="s">
        <v>1</v>
      </c>
      <c r="G4259" s="6">
        <v>45915</v>
      </c>
      <c r="H4259">
        <v>39</v>
      </c>
      <c r="I4259">
        <f>ROUND(CompilDonnées[[#This Row],[CultureDuration_days]]/7,0)</f>
        <v>6</v>
      </c>
      <c r="J4259">
        <v>3846</v>
      </c>
      <c r="K4259" t="str">
        <f>_xlfn.CONCAT(WEEKNUM(CompilDonnées[[#This Row],[PlantationDate]]), " ", YEAR(CompilDonnées[[#This Row],[PlantationDate]]))</f>
        <v>32 2025</v>
      </c>
      <c r="L4259" t="str">
        <f>CONCATENATE(MONTH(CompilDonnées[[#This Row],[PlantationDate]])," ", YEAR(CompilDonnées[[#This Row],[PlantationDate]]))</f>
        <v>8 2025</v>
      </c>
      <c r="M4259" t="str">
        <f>CONCATENATE(MONTH(CompilDonnées[[#This Row],[HarvestingDate]])," ", YEAR(CompilDonnées[[#This Row],[HarvestingDate]]))</f>
        <v>9 2025</v>
      </c>
      <c r="N4259">
        <f>_xlfn.NUMBERVALUE(CompilDonnées[[#This Row],[FarmID]]&amp;CompilDonnées[[#This Row],[ModuleNumber]]&amp;CompilDonnées[[#This Row],[PlantationDate]])</f>
        <v>24645876</v>
      </c>
      <c r="O4259" t="str">
        <f>CompilDonnées[[#This Row],[FarmID]]&amp;CompilDonnées[[#This Row],[ModuleNumber]]</f>
        <v>246</v>
      </c>
      <c r="P4259" t="str">
        <f>CompilDonnées[[#This Row],[Ref_Module]]&amp;CompilDonnées[[#This Row],[HarvestingDate]]</f>
        <v>24645915</v>
      </c>
    </row>
    <row r="4260" spans="1:16">
      <c r="A4260" s="5">
        <v>45876</v>
      </c>
      <c r="B4260">
        <v>23</v>
      </c>
      <c r="C4260" t="s">
        <v>44</v>
      </c>
      <c r="D4260">
        <v>2</v>
      </c>
      <c r="E4260">
        <v>100</v>
      </c>
      <c r="F4260" t="s">
        <v>1</v>
      </c>
      <c r="G4260" s="6">
        <v>45915</v>
      </c>
      <c r="H4260">
        <v>39</v>
      </c>
      <c r="I4260">
        <f>ROUND(CompilDonnées[[#This Row],[CultureDuration_days]]/7,0)</f>
        <v>6</v>
      </c>
      <c r="J4260">
        <v>2112</v>
      </c>
      <c r="K4260" t="str">
        <f>_xlfn.CONCAT(WEEKNUM(CompilDonnées[[#This Row],[PlantationDate]]), " ", YEAR(CompilDonnées[[#This Row],[PlantationDate]]))</f>
        <v>32 2025</v>
      </c>
      <c r="L4260" t="str">
        <f>CONCATENATE(MONTH(CompilDonnées[[#This Row],[PlantationDate]])," ", YEAR(CompilDonnées[[#This Row],[PlantationDate]]))</f>
        <v>8 2025</v>
      </c>
      <c r="M4260" t="str">
        <f>CONCATENATE(MONTH(CompilDonnées[[#This Row],[HarvestingDate]])," ", YEAR(CompilDonnées[[#This Row],[HarvestingDate]]))</f>
        <v>9 2025</v>
      </c>
      <c r="N4260">
        <f>_xlfn.NUMBERVALUE(CompilDonnées[[#This Row],[FarmID]]&amp;CompilDonnées[[#This Row],[ModuleNumber]]&amp;CompilDonnées[[#This Row],[PlantationDate]])</f>
        <v>23245876</v>
      </c>
      <c r="O4260" t="str">
        <f>CompilDonnées[[#This Row],[FarmID]]&amp;CompilDonnées[[#This Row],[ModuleNumber]]</f>
        <v>232</v>
      </c>
      <c r="P4260" t="str">
        <f>CompilDonnées[[#This Row],[Ref_Module]]&amp;CompilDonnées[[#This Row],[HarvestingDate]]</f>
        <v>23245915</v>
      </c>
    </row>
    <row r="4261" spans="1:16">
      <c r="A4261" s="5">
        <v>45876</v>
      </c>
      <c r="B4261">
        <v>21</v>
      </c>
      <c r="C4261" t="s">
        <v>0</v>
      </c>
      <c r="D4261">
        <v>4</v>
      </c>
      <c r="E4261">
        <v>100</v>
      </c>
      <c r="F4261" t="s">
        <v>1</v>
      </c>
      <c r="G4261" s="6">
        <v>45915</v>
      </c>
      <c r="H4261">
        <v>39</v>
      </c>
      <c r="I4261">
        <f>ROUND(CompilDonnées[[#This Row],[CultureDuration_days]]/7,0)</f>
        <v>6</v>
      </c>
      <c r="J4261">
        <v>2088</v>
      </c>
      <c r="K4261" t="str">
        <f>_xlfn.CONCAT(WEEKNUM(CompilDonnées[[#This Row],[PlantationDate]]), " ", YEAR(CompilDonnées[[#This Row],[PlantationDate]]))</f>
        <v>32 2025</v>
      </c>
      <c r="L4261" t="str">
        <f>CONCATENATE(MONTH(CompilDonnées[[#This Row],[PlantationDate]])," ", YEAR(CompilDonnées[[#This Row],[PlantationDate]]))</f>
        <v>8 2025</v>
      </c>
      <c r="M4261" t="str">
        <f>CONCATENATE(MONTH(CompilDonnées[[#This Row],[HarvestingDate]])," ", YEAR(CompilDonnées[[#This Row],[HarvestingDate]]))</f>
        <v>9 2025</v>
      </c>
      <c r="N4261">
        <f>_xlfn.NUMBERVALUE(CompilDonnées[[#This Row],[FarmID]]&amp;CompilDonnées[[#This Row],[ModuleNumber]]&amp;CompilDonnées[[#This Row],[PlantationDate]])</f>
        <v>21445876</v>
      </c>
      <c r="O4261" t="str">
        <f>CompilDonnées[[#This Row],[FarmID]]&amp;CompilDonnées[[#This Row],[ModuleNumber]]</f>
        <v>214</v>
      </c>
      <c r="P4261" t="str">
        <f>CompilDonnées[[#This Row],[Ref_Module]]&amp;CompilDonnées[[#This Row],[HarvestingDate]]</f>
        <v>21445915</v>
      </c>
    </row>
    <row r="4262" spans="1:16">
      <c r="A4262" s="5">
        <v>45876</v>
      </c>
      <c r="B4262">
        <v>32</v>
      </c>
      <c r="C4262" t="s">
        <v>25</v>
      </c>
      <c r="D4262">
        <v>1</v>
      </c>
      <c r="E4262">
        <v>100</v>
      </c>
      <c r="F4262" t="s">
        <v>1</v>
      </c>
      <c r="G4262" s="6">
        <v>45915</v>
      </c>
      <c r="H4262">
        <v>39</v>
      </c>
      <c r="I4262">
        <f>ROUND(CompilDonnées[[#This Row],[CultureDuration_days]]/7,0)</f>
        <v>6</v>
      </c>
      <c r="J4262">
        <v>3146</v>
      </c>
      <c r="K4262" t="str">
        <f>_xlfn.CONCAT(WEEKNUM(CompilDonnées[[#This Row],[PlantationDate]]), " ", YEAR(CompilDonnées[[#This Row],[PlantationDate]]))</f>
        <v>32 2025</v>
      </c>
      <c r="L4262" t="str">
        <f>CONCATENATE(MONTH(CompilDonnées[[#This Row],[PlantationDate]])," ", YEAR(CompilDonnées[[#This Row],[PlantationDate]]))</f>
        <v>8 2025</v>
      </c>
      <c r="M4262" t="str">
        <f>CONCATENATE(MONTH(CompilDonnées[[#This Row],[HarvestingDate]])," ", YEAR(CompilDonnées[[#This Row],[HarvestingDate]]))</f>
        <v>9 2025</v>
      </c>
      <c r="N4262">
        <f>_xlfn.NUMBERVALUE(CompilDonnées[[#This Row],[FarmID]]&amp;CompilDonnées[[#This Row],[ModuleNumber]]&amp;CompilDonnées[[#This Row],[PlantationDate]])</f>
        <v>32145876</v>
      </c>
      <c r="O4262" t="str">
        <f>CompilDonnées[[#This Row],[FarmID]]&amp;CompilDonnées[[#This Row],[ModuleNumber]]</f>
        <v>321</v>
      </c>
      <c r="P4262" t="str">
        <f>CompilDonnées[[#This Row],[Ref_Module]]&amp;CompilDonnées[[#This Row],[HarvestingDate]]</f>
        <v>32145915</v>
      </c>
    </row>
    <row r="4263" spans="1:16">
      <c r="A4263" s="5">
        <v>45876</v>
      </c>
      <c r="B4263">
        <v>31</v>
      </c>
      <c r="C4263" t="s">
        <v>62</v>
      </c>
      <c r="D4263">
        <v>6</v>
      </c>
      <c r="E4263">
        <v>100</v>
      </c>
      <c r="F4263" t="s">
        <v>1</v>
      </c>
      <c r="G4263" s="6">
        <v>45915</v>
      </c>
      <c r="H4263">
        <v>39</v>
      </c>
      <c r="I4263">
        <f>ROUND(CompilDonnées[[#This Row],[CultureDuration_days]]/7,0)</f>
        <v>6</v>
      </c>
      <c r="J4263">
        <v>3002</v>
      </c>
      <c r="K4263" t="str">
        <f>_xlfn.CONCAT(WEEKNUM(CompilDonnées[[#This Row],[PlantationDate]]), " ", YEAR(CompilDonnées[[#This Row],[PlantationDate]]))</f>
        <v>32 2025</v>
      </c>
      <c r="L4263" t="str">
        <f>CONCATENATE(MONTH(CompilDonnées[[#This Row],[PlantationDate]])," ", YEAR(CompilDonnées[[#This Row],[PlantationDate]]))</f>
        <v>8 2025</v>
      </c>
      <c r="M4263" t="str">
        <f>CONCATENATE(MONTH(CompilDonnées[[#This Row],[HarvestingDate]])," ", YEAR(CompilDonnées[[#This Row],[HarvestingDate]]))</f>
        <v>9 2025</v>
      </c>
      <c r="N4263">
        <f>_xlfn.NUMBERVALUE(CompilDonnées[[#This Row],[FarmID]]&amp;CompilDonnées[[#This Row],[ModuleNumber]]&amp;CompilDonnées[[#This Row],[PlantationDate]])</f>
        <v>31645876</v>
      </c>
      <c r="O4263" t="str">
        <f>CompilDonnées[[#This Row],[FarmID]]&amp;CompilDonnées[[#This Row],[ModuleNumber]]</f>
        <v>316</v>
      </c>
      <c r="P4263" t="str">
        <f>CompilDonnées[[#This Row],[Ref_Module]]&amp;CompilDonnées[[#This Row],[HarvestingDate]]</f>
        <v>31645915</v>
      </c>
    </row>
    <row r="4264" spans="1:16">
      <c r="A4264" s="5">
        <v>45876</v>
      </c>
      <c r="B4264">
        <v>36</v>
      </c>
      <c r="C4264" t="s">
        <v>63</v>
      </c>
      <c r="D4264">
        <v>2</v>
      </c>
      <c r="E4264">
        <v>100</v>
      </c>
      <c r="F4264" t="s">
        <v>1</v>
      </c>
      <c r="G4264" s="6">
        <v>45916</v>
      </c>
      <c r="H4264">
        <v>40</v>
      </c>
      <c r="I4264">
        <f>ROUND(CompilDonnées[[#This Row],[CultureDuration_days]]/7,0)</f>
        <v>6</v>
      </c>
      <c r="J4264">
        <v>1968</v>
      </c>
      <c r="K4264" t="str">
        <f>_xlfn.CONCAT(WEEKNUM(CompilDonnées[[#This Row],[PlantationDate]]), " ", YEAR(CompilDonnées[[#This Row],[PlantationDate]]))</f>
        <v>32 2025</v>
      </c>
      <c r="L4264" t="str">
        <f>CONCATENATE(MONTH(CompilDonnées[[#This Row],[PlantationDate]])," ", YEAR(CompilDonnées[[#This Row],[PlantationDate]]))</f>
        <v>8 2025</v>
      </c>
      <c r="M4264" t="str">
        <f>CONCATENATE(MONTH(CompilDonnées[[#This Row],[HarvestingDate]])," ", YEAR(CompilDonnées[[#This Row],[HarvestingDate]]))</f>
        <v>9 2025</v>
      </c>
      <c r="N4264">
        <f>_xlfn.NUMBERVALUE(CompilDonnées[[#This Row],[FarmID]]&amp;CompilDonnées[[#This Row],[ModuleNumber]]&amp;CompilDonnées[[#This Row],[PlantationDate]])</f>
        <v>36245876</v>
      </c>
      <c r="O4264" t="str">
        <f>CompilDonnées[[#This Row],[FarmID]]&amp;CompilDonnées[[#This Row],[ModuleNumber]]</f>
        <v>362</v>
      </c>
      <c r="P4264" t="str">
        <f>CompilDonnées[[#This Row],[Ref_Module]]&amp;CompilDonnées[[#This Row],[HarvestingDate]]</f>
        <v>36245916</v>
      </c>
    </row>
    <row r="4265" spans="1:16">
      <c r="A4265" s="5">
        <v>45876</v>
      </c>
      <c r="B4265">
        <v>35</v>
      </c>
      <c r="C4265" t="s">
        <v>69</v>
      </c>
      <c r="D4265">
        <v>3</v>
      </c>
      <c r="E4265">
        <v>100</v>
      </c>
      <c r="F4265" t="s">
        <v>1</v>
      </c>
      <c r="G4265" s="6">
        <v>45918</v>
      </c>
      <c r="H4265">
        <v>42</v>
      </c>
      <c r="I4265">
        <f>ROUND(CompilDonnées[[#This Row],[CultureDuration_days]]/7,0)</f>
        <v>6</v>
      </c>
      <c r="J4265">
        <v>1268</v>
      </c>
      <c r="K4265" t="str">
        <f>_xlfn.CONCAT(WEEKNUM(CompilDonnées[[#This Row],[PlantationDate]]), " ", YEAR(CompilDonnées[[#This Row],[PlantationDate]]))</f>
        <v>32 2025</v>
      </c>
      <c r="L4265" t="str">
        <f>CONCATENATE(MONTH(CompilDonnées[[#This Row],[PlantationDate]])," ", YEAR(CompilDonnées[[#This Row],[PlantationDate]]))</f>
        <v>8 2025</v>
      </c>
      <c r="M4265" t="str">
        <f>CONCATENATE(MONTH(CompilDonnées[[#This Row],[HarvestingDate]])," ", YEAR(CompilDonnées[[#This Row],[HarvestingDate]]))</f>
        <v>9 2025</v>
      </c>
      <c r="N4265">
        <f>_xlfn.NUMBERVALUE(CompilDonnées[[#This Row],[FarmID]]&amp;CompilDonnées[[#This Row],[ModuleNumber]]&amp;CompilDonnées[[#This Row],[PlantationDate]])</f>
        <v>35345876</v>
      </c>
      <c r="O4265" t="str">
        <f>CompilDonnées[[#This Row],[FarmID]]&amp;CompilDonnées[[#This Row],[ModuleNumber]]</f>
        <v>353</v>
      </c>
      <c r="P4265" t="str">
        <f>CompilDonnées[[#This Row],[Ref_Module]]&amp;CompilDonnées[[#This Row],[HarvestingDate]]</f>
        <v>35345918</v>
      </c>
    </row>
    <row r="4266" spans="1:16">
      <c r="A4266" s="5">
        <v>45876</v>
      </c>
      <c r="B4266">
        <v>44</v>
      </c>
      <c r="C4266" t="s">
        <v>42</v>
      </c>
      <c r="D4266">
        <v>3</v>
      </c>
      <c r="E4266">
        <v>100</v>
      </c>
      <c r="F4266" t="s">
        <v>1</v>
      </c>
      <c r="G4266" s="6">
        <v>45924</v>
      </c>
      <c r="H4266">
        <v>48</v>
      </c>
      <c r="I4266">
        <f>ROUND(CompilDonnées[[#This Row],[CultureDuration_days]]/7,0)</f>
        <v>7</v>
      </c>
      <c r="J4266">
        <v>2515</v>
      </c>
      <c r="K4266" t="str">
        <f>_xlfn.CONCAT(WEEKNUM(CompilDonnées[[#This Row],[PlantationDate]]), " ", YEAR(CompilDonnées[[#This Row],[PlantationDate]]))</f>
        <v>32 2025</v>
      </c>
      <c r="L4266" t="str">
        <f>CONCATENATE(MONTH(CompilDonnées[[#This Row],[PlantationDate]])," ", YEAR(CompilDonnées[[#This Row],[PlantationDate]]))</f>
        <v>8 2025</v>
      </c>
      <c r="M4266" t="str">
        <f>CONCATENATE(MONTH(CompilDonnées[[#This Row],[HarvestingDate]])," ", YEAR(CompilDonnées[[#This Row],[HarvestingDate]]))</f>
        <v>9 2025</v>
      </c>
      <c r="N4266">
        <f>_xlfn.NUMBERVALUE(CompilDonnées[[#This Row],[FarmID]]&amp;CompilDonnées[[#This Row],[ModuleNumber]]&amp;CompilDonnées[[#This Row],[PlantationDate]])</f>
        <v>44345876</v>
      </c>
      <c r="O4266" t="str">
        <f>CompilDonnées[[#This Row],[FarmID]]&amp;CompilDonnées[[#This Row],[ModuleNumber]]</f>
        <v>443</v>
      </c>
      <c r="P4266" t="str">
        <f>CompilDonnées[[#This Row],[Ref_Module]]&amp;CompilDonnées[[#This Row],[HarvestingDate]]</f>
        <v>44345924</v>
      </c>
    </row>
    <row r="4267" spans="1:16">
      <c r="A4267" s="5">
        <v>45876</v>
      </c>
      <c r="B4267">
        <v>42</v>
      </c>
      <c r="C4267" t="s">
        <v>2</v>
      </c>
      <c r="D4267">
        <v>5</v>
      </c>
      <c r="E4267">
        <v>100</v>
      </c>
      <c r="F4267" t="s">
        <v>1</v>
      </c>
      <c r="G4267" s="6">
        <v>45915</v>
      </c>
      <c r="H4267">
        <v>39</v>
      </c>
      <c r="I4267">
        <f>ROUND(CompilDonnées[[#This Row],[CultureDuration_days]]/7,0)</f>
        <v>6</v>
      </c>
      <c r="J4267">
        <v>2476</v>
      </c>
      <c r="K4267" t="str">
        <f>_xlfn.CONCAT(WEEKNUM(CompilDonnées[[#This Row],[PlantationDate]]), " ", YEAR(CompilDonnées[[#This Row],[PlantationDate]]))</f>
        <v>32 2025</v>
      </c>
      <c r="L4267" t="str">
        <f>CONCATENATE(MONTH(CompilDonnées[[#This Row],[PlantationDate]])," ", YEAR(CompilDonnées[[#This Row],[PlantationDate]]))</f>
        <v>8 2025</v>
      </c>
      <c r="M4267" t="str">
        <f>CONCATENATE(MONTH(CompilDonnées[[#This Row],[HarvestingDate]])," ", YEAR(CompilDonnées[[#This Row],[HarvestingDate]]))</f>
        <v>9 2025</v>
      </c>
      <c r="N4267">
        <f>_xlfn.NUMBERVALUE(CompilDonnées[[#This Row],[FarmID]]&amp;CompilDonnées[[#This Row],[ModuleNumber]]&amp;CompilDonnées[[#This Row],[PlantationDate]])</f>
        <v>42545876</v>
      </c>
      <c r="O4267" t="str">
        <f>CompilDonnées[[#This Row],[FarmID]]&amp;CompilDonnées[[#This Row],[ModuleNumber]]</f>
        <v>425</v>
      </c>
      <c r="P4267" t="str">
        <f>CompilDonnées[[#This Row],[Ref_Module]]&amp;CompilDonnées[[#This Row],[HarvestingDate]]</f>
        <v>42545915</v>
      </c>
    </row>
    <row r="4268" spans="1:16">
      <c r="A4268" s="5">
        <v>45876</v>
      </c>
      <c r="B4268">
        <v>9</v>
      </c>
      <c r="C4268" t="s">
        <v>107</v>
      </c>
      <c r="D4268">
        <v>3</v>
      </c>
      <c r="E4268">
        <v>100</v>
      </c>
      <c r="F4268" t="s">
        <v>1</v>
      </c>
      <c r="G4268" s="6">
        <v>45925</v>
      </c>
      <c r="H4268">
        <v>49</v>
      </c>
      <c r="I4268">
        <f>ROUND(CompilDonnées[[#This Row],[CultureDuration_days]]/7,0)</f>
        <v>7</v>
      </c>
      <c r="J4268">
        <v>2535</v>
      </c>
      <c r="K4268" t="str">
        <f>_xlfn.CONCAT(WEEKNUM(CompilDonnées[[#This Row],[PlantationDate]]), " ", YEAR(CompilDonnées[[#This Row],[PlantationDate]]))</f>
        <v>32 2025</v>
      </c>
      <c r="L4268" t="str">
        <f>CONCATENATE(MONTH(CompilDonnées[[#This Row],[PlantationDate]])," ", YEAR(CompilDonnées[[#This Row],[PlantationDate]]))</f>
        <v>8 2025</v>
      </c>
      <c r="M4268" t="str">
        <f>CONCATENATE(MONTH(CompilDonnées[[#This Row],[HarvestingDate]])," ", YEAR(CompilDonnées[[#This Row],[HarvestingDate]]))</f>
        <v>9 2025</v>
      </c>
      <c r="N4268">
        <f>_xlfn.NUMBERVALUE(CompilDonnées[[#This Row],[FarmID]]&amp;CompilDonnées[[#This Row],[ModuleNumber]]&amp;CompilDonnées[[#This Row],[PlantationDate]])</f>
        <v>9345876</v>
      </c>
      <c r="O4268" t="str">
        <f>CompilDonnées[[#This Row],[FarmID]]&amp;CompilDonnées[[#This Row],[ModuleNumber]]</f>
        <v>93</v>
      </c>
      <c r="P4268" t="str">
        <f>CompilDonnées[[#This Row],[Ref_Module]]&amp;CompilDonnées[[#This Row],[HarvestingDate]]</f>
        <v>9345925</v>
      </c>
    </row>
    <row r="4269" spans="1:16">
      <c r="A4269" s="5">
        <v>45876</v>
      </c>
      <c r="B4269">
        <v>10</v>
      </c>
      <c r="C4269" t="s">
        <v>109</v>
      </c>
      <c r="D4269">
        <v>1</v>
      </c>
      <c r="E4269">
        <v>100</v>
      </c>
      <c r="F4269" t="s">
        <v>1</v>
      </c>
      <c r="G4269" s="6">
        <v>45915</v>
      </c>
      <c r="H4269">
        <v>39</v>
      </c>
      <c r="I4269">
        <f>ROUND(CompilDonnées[[#This Row],[CultureDuration_days]]/7,0)</f>
        <v>6</v>
      </c>
      <c r="J4269">
        <v>2962</v>
      </c>
      <c r="K4269" t="str">
        <f>_xlfn.CONCAT(WEEKNUM(CompilDonnées[[#This Row],[PlantationDate]]), " ", YEAR(CompilDonnées[[#This Row],[PlantationDate]]))</f>
        <v>32 2025</v>
      </c>
      <c r="L4269" t="str">
        <f>CONCATENATE(MONTH(CompilDonnées[[#This Row],[PlantationDate]])," ", YEAR(CompilDonnées[[#This Row],[PlantationDate]]))</f>
        <v>8 2025</v>
      </c>
      <c r="M4269" t="str">
        <f>CONCATENATE(MONTH(CompilDonnées[[#This Row],[HarvestingDate]])," ", YEAR(CompilDonnées[[#This Row],[HarvestingDate]]))</f>
        <v>9 2025</v>
      </c>
      <c r="N4269">
        <f>_xlfn.NUMBERVALUE(CompilDonnées[[#This Row],[FarmID]]&amp;CompilDonnées[[#This Row],[ModuleNumber]]&amp;CompilDonnées[[#This Row],[PlantationDate]])</f>
        <v>10145876</v>
      </c>
      <c r="O4269" t="str">
        <f>CompilDonnées[[#This Row],[FarmID]]&amp;CompilDonnées[[#This Row],[ModuleNumber]]</f>
        <v>101</v>
      </c>
      <c r="P4269" t="str">
        <f>CompilDonnées[[#This Row],[Ref_Module]]&amp;CompilDonnées[[#This Row],[HarvestingDate]]</f>
        <v>10145915</v>
      </c>
    </row>
    <row r="4270" spans="1:16">
      <c r="A4270" s="5">
        <v>45876</v>
      </c>
      <c r="B4270">
        <v>26</v>
      </c>
      <c r="C4270" t="s">
        <v>97</v>
      </c>
      <c r="D4270">
        <v>1</v>
      </c>
      <c r="E4270">
        <v>100</v>
      </c>
      <c r="F4270" t="s">
        <v>1</v>
      </c>
      <c r="G4270" s="6">
        <v>45916</v>
      </c>
      <c r="H4270">
        <v>40</v>
      </c>
      <c r="I4270">
        <f>ROUND(CompilDonnées[[#This Row],[CultureDuration_days]]/7,0)</f>
        <v>6</v>
      </c>
      <c r="J4270">
        <v>1903</v>
      </c>
      <c r="K4270" t="str">
        <f>_xlfn.CONCAT(WEEKNUM(CompilDonnées[[#This Row],[PlantationDate]]), " ", YEAR(CompilDonnées[[#This Row],[PlantationDate]]))</f>
        <v>32 2025</v>
      </c>
      <c r="L4270" t="str">
        <f>CONCATENATE(MONTH(CompilDonnées[[#This Row],[PlantationDate]])," ", YEAR(CompilDonnées[[#This Row],[PlantationDate]]))</f>
        <v>8 2025</v>
      </c>
      <c r="M4270" t="str">
        <f>CONCATENATE(MONTH(CompilDonnées[[#This Row],[HarvestingDate]])," ", YEAR(CompilDonnées[[#This Row],[HarvestingDate]]))</f>
        <v>9 2025</v>
      </c>
      <c r="N4270">
        <f>_xlfn.NUMBERVALUE(CompilDonnées[[#This Row],[FarmID]]&amp;CompilDonnées[[#This Row],[ModuleNumber]]&amp;CompilDonnées[[#This Row],[PlantationDate]])</f>
        <v>26145876</v>
      </c>
      <c r="O4270" t="str">
        <f>CompilDonnées[[#This Row],[FarmID]]&amp;CompilDonnées[[#This Row],[ModuleNumber]]</f>
        <v>261</v>
      </c>
      <c r="P4270" t="str">
        <f>CompilDonnées[[#This Row],[Ref_Module]]&amp;CompilDonnées[[#This Row],[HarvestingDate]]</f>
        <v>26145916</v>
      </c>
    </row>
    <row r="4271" spans="1:16">
      <c r="A4271" s="5">
        <v>45876</v>
      </c>
      <c r="B4271">
        <v>12</v>
      </c>
      <c r="C4271" t="s">
        <v>123</v>
      </c>
      <c r="D4271">
        <v>4</v>
      </c>
      <c r="E4271">
        <v>100</v>
      </c>
      <c r="F4271" t="s">
        <v>1</v>
      </c>
      <c r="G4271" s="6">
        <v>45925</v>
      </c>
      <c r="H4271">
        <v>49</v>
      </c>
      <c r="I4271">
        <f>ROUND(CompilDonnées[[#This Row],[CultureDuration_days]]/7,0)</f>
        <v>7</v>
      </c>
      <c r="J4271">
        <v>1488</v>
      </c>
      <c r="K4271" t="str">
        <f>_xlfn.CONCAT(WEEKNUM(CompilDonnées[[#This Row],[PlantationDate]]), " ", YEAR(CompilDonnées[[#This Row],[PlantationDate]]))</f>
        <v>32 2025</v>
      </c>
      <c r="L4271" t="str">
        <f>CONCATENATE(MONTH(CompilDonnées[[#This Row],[PlantationDate]])," ", YEAR(CompilDonnées[[#This Row],[PlantationDate]]))</f>
        <v>8 2025</v>
      </c>
      <c r="M4271" t="str">
        <f>CONCATENATE(MONTH(CompilDonnées[[#This Row],[HarvestingDate]])," ", YEAR(CompilDonnées[[#This Row],[HarvestingDate]]))</f>
        <v>9 2025</v>
      </c>
      <c r="N4271">
        <f>_xlfn.NUMBERVALUE(CompilDonnées[[#This Row],[FarmID]]&amp;CompilDonnées[[#This Row],[ModuleNumber]]&amp;CompilDonnées[[#This Row],[PlantationDate]])</f>
        <v>12445876</v>
      </c>
      <c r="O4271" t="str">
        <f>CompilDonnées[[#This Row],[FarmID]]&amp;CompilDonnées[[#This Row],[ModuleNumber]]</f>
        <v>124</v>
      </c>
      <c r="P4271" t="str">
        <f>CompilDonnées[[#This Row],[Ref_Module]]&amp;CompilDonnées[[#This Row],[HarvestingDate]]</f>
        <v>12445925</v>
      </c>
    </row>
    <row r="4272" spans="1:16">
      <c r="A4272" s="5">
        <v>45876</v>
      </c>
      <c r="B4272">
        <v>8</v>
      </c>
      <c r="C4272" t="s">
        <v>57</v>
      </c>
      <c r="D4272">
        <v>4</v>
      </c>
      <c r="E4272">
        <v>100</v>
      </c>
      <c r="F4272" t="s">
        <v>1</v>
      </c>
      <c r="G4272" s="6">
        <v>45925</v>
      </c>
      <c r="H4272">
        <v>49</v>
      </c>
      <c r="I4272">
        <f>ROUND(CompilDonnées[[#This Row],[CultureDuration_days]]/7,0)</f>
        <v>7</v>
      </c>
      <c r="J4272">
        <v>1499</v>
      </c>
      <c r="K4272" t="str">
        <f>_xlfn.CONCAT(WEEKNUM(CompilDonnées[[#This Row],[PlantationDate]]), " ", YEAR(CompilDonnées[[#This Row],[PlantationDate]]))</f>
        <v>32 2025</v>
      </c>
      <c r="L4272" t="str">
        <f>CONCATENATE(MONTH(CompilDonnées[[#This Row],[PlantationDate]])," ", YEAR(CompilDonnées[[#This Row],[PlantationDate]]))</f>
        <v>8 2025</v>
      </c>
      <c r="M4272" t="str">
        <f>CONCATENATE(MONTH(CompilDonnées[[#This Row],[HarvestingDate]])," ", YEAR(CompilDonnées[[#This Row],[HarvestingDate]]))</f>
        <v>9 2025</v>
      </c>
      <c r="N4272">
        <f>_xlfn.NUMBERVALUE(CompilDonnées[[#This Row],[FarmID]]&amp;CompilDonnées[[#This Row],[ModuleNumber]]&amp;CompilDonnées[[#This Row],[PlantationDate]])</f>
        <v>8445876</v>
      </c>
      <c r="O4272" t="str">
        <f>CompilDonnées[[#This Row],[FarmID]]&amp;CompilDonnées[[#This Row],[ModuleNumber]]</f>
        <v>84</v>
      </c>
      <c r="P4272" t="str">
        <f>CompilDonnées[[#This Row],[Ref_Module]]&amp;CompilDonnées[[#This Row],[HarvestingDate]]</f>
        <v>8445925</v>
      </c>
    </row>
    <row r="4273" spans="1:16">
      <c r="A4273" s="5">
        <v>45876</v>
      </c>
      <c r="B4273">
        <v>14</v>
      </c>
      <c r="C4273" t="s">
        <v>82</v>
      </c>
      <c r="D4273">
        <v>1</v>
      </c>
      <c r="E4273">
        <v>100</v>
      </c>
      <c r="F4273" t="s">
        <v>1</v>
      </c>
      <c r="G4273" s="6">
        <v>45924</v>
      </c>
      <c r="H4273">
        <v>48</v>
      </c>
      <c r="I4273">
        <f>ROUND(CompilDonnées[[#This Row],[CultureDuration_days]]/7,0)</f>
        <v>7</v>
      </c>
      <c r="J4273">
        <v>2839</v>
      </c>
      <c r="K4273" t="str">
        <f>_xlfn.CONCAT(WEEKNUM(CompilDonnées[[#This Row],[PlantationDate]]), " ", YEAR(CompilDonnées[[#This Row],[PlantationDate]]))</f>
        <v>32 2025</v>
      </c>
      <c r="L4273" t="str">
        <f>CONCATENATE(MONTH(CompilDonnées[[#This Row],[PlantationDate]])," ", YEAR(CompilDonnées[[#This Row],[PlantationDate]]))</f>
        <v>8 2025</v>
      </c>
      <c r="M4273" t="str">
        <f>CONCATENATE(MONTH(CompilDonnées[[#This Row],[HarvestingDate]])," ", YEAR(CompilDonnées[[#This Row],[HarvestingDate]]))</f>
        <v>9 2025</v>
      </c>
      <c r="N4273">
        <f>_xlfn.NUMBERVALUE(CompilDonnées[[#This Row],[FarmID]]&amp;CompilDonnées[[#This Row],[ModuleNumber]]&amp;CompilDonnées[[#This Row],[PlantationDate]])</f>
        <v>14145876</v>
      </c>
      <c r="O4273" t="str">
        <f>CompilDonnées[[#This Row],[FarmID]]&amp;CompilDonnées[[#This Row],[ModuleNumber]]</f>
        <v>141</v>
      </c>
      <c r="P4273" t="str">
        <f>CompilDonnées[[#This Row],[Ref_Module]]&amp;CompilDonnées[[#This Row],[HarvestingDate]]</f>
        <v>14145924</v>
      </c>
    </row>
    <row r="4274" spans="1:16">
      <c r="A4274" s="5">
        <v>45876</v>
      </c>
      <c r="B4274">
        <v>13</v>
      </c>
      <c r="C4274" t="s">
        <v>114</v>
      </c>
      <c r="D4274">
        <v>4</v>
      </c>
      <c r="E4274">
        <v>100</v>
      </c>
      <c r="F4274" t="s">
        <v>1</v>
      </c>
      <c r="G4274" s="6">
        <v>45915</v>
      </c>
      <c r="H4274">
        <v>39</v>
      </c>
      <c r="I4274">
        <f>ROUND(CompilDonnées[[#This Row],[CultureDuration_days]]/7,0)</f>
        <v>6</v>
      </c>
      <c r="J4274">
        <v>2786</v>
      </c>
      <c r="K4274" t="str">
        <f>_xlfn.CONCAT(WEEKNUM(CompilDonnées[[#This Row],[PlantationDate]]), " ", YEAR(CompilDonnées[[#This Row],[PlantationDate]]))</f>
        <v>32 2025</v>
      </c>
      <c r="L4274" t="str">
        <f>CONCATENATE(MONTH(CompilDonnées[[#This Row],[PlantationDate]])," ", YEAR(CompilDonnées[[#This Row],[PlantationDate]]))</f>
        <v>8 2025</v>
      </c>
      <c r="M4274" t="str">
        <f>CONCATENATE(MONTH(CompilDonnées[[#This Row],[HarvestingDate]])," ", YEAR(CompilDonnées[[#This Row],[HarvestingDate]]))</f>
        <v>9 2025</v>
      </c>
      <c r="N4274">
        <f>_xlfn.NUMBERVALUE(CompilDonnées[[#This Row],[FarmID]]&amp;CompilDonnées[[#This Row],[ModuleNumber]]&amp;CompilDonnées[[#This Row],[PlantationDate]])</f>
        <v>13445876</v>
      </c>
      <c r="O4274" t="str">
        <f>CompilDonnées[[#This Row],[FarmID]]&amp;CompilDonnées[[#This Row],[ModuleNumber]]</f>
        <v>134</v>
      </c>
      <c r="P4274" t="str">
        <f>CompilDonnées[[#This Row],[Ref_Module]]&amp;CompilDonnées[[#This Row],[HarvestingDate]]</f>
        <v>13445915</v>
      </c>
    </row>
    <row r="4275" spans="1:16">
      <c r="A4275" s="5">
        <v>45876</v>
      </c>
      <c r="B4275">
        <v>2</v>
      </c>
      <c r="C4275" t="s">
        <v>119</v>
      </c>
      <c r="D4275">
        <v>1</v>
      </c>
      <c r="E4275">
        <v>100</v>
      </c>
      <c r="F4275" t="s">
        <v>1</v>
      </c>
      <c r="G4275" s="6">
        <v>45915</v>
      </c>
      <c r="H4275">
        <v>39</v>
      </c>
      <c r="I4275">
        <f>ROUND(CompilDonnées[[#This Row],[CultureDuration_days]]/7,0)</f>
        <v>6</v>
      </c>
      <c r="J4275">
        <v>2000</v>
      </c>
      <c r="K4275" t="str">
        <f>_xlfn.CONCAT(WEEKNUM(CompilDonnées[[#This Row],[PlantationDate]]), " ", YEAR(CompilDonnées[[#This Row],[PlantationDate]]))</f>
        <v>32 2025</v>
      </c>
      <c r="L4275" t="str">
        <f>CONCATENATE(MONTH(CompilDonnées[[#This Row],[PlantationDate]])," ", YEAR(CompilDonnées[[#This Row],[PlantationDate]]))</f>
        <v>8 2025</v>
      </c>
      <c r="M4275" t="str">
        <f>CONCATENATE(MONTH(CompilDonnées[[#This Row],[HarvestingDate]])," ", YEAR(CompilDonnées[[#This Row],[HarvestingDate]]))</f>
        <v>9 2025</v>
      </c>
      <c r="N4275">
        <f>_xlfn.NUMBERVALUE(CompilDonnées[[#This Row],[FarmID]]&amp;CompilDonnées[[#This Row],[ModuleNumber]]&amp;CompilDonnées[[#This Row],[PlantationDate]])</f>
        <v>2145876</v>
      </c>
      <c r="O4275" t="str">
        <f>CompilDonnées[[#This Row],[FarmID]]&amp;CompilDonnées[[#This Row],[ModuleNumber]]</f>
        <v>21</v>
      </c>
      <c r="P4275" t="str">
        <f>CompilDonnées[[#This Row],[Ref_Module]]&amp;CompilDonnées[[#This Row],[HarvestingDate]]</f>
        <v>2145915</v>
      </c>
    </row>
    <row r="4276" spans="1:16">
      <c r="A4276" s="5">
        <v>45876</v>
      </c>
      <c r="B4276">
        <v>1</v>
      </c>
      <c r="C4276" t="s">
        <v>111</v>
      </c>
      <c r="D4276">
        <v>3</v>
      </c>
      <c r="E4276">
        <v>100</v>
      </c>
      <c r="F4276" t="s">
        <v>1</v>
      </c>
      <c r="G4276" s="6">
        <v>45925</v>
      </c>
      <c r="H4276">
        <v>49</v>
      </c>
      <c r="I4276">
        <f>ROUND(CompilDonnées[[#This Row],[CultureDuration_days]]/7,0)</f>
        <v>7</v>
      </c>
      <c r="J4276">
        <v>2154</v>
      </c>
      <c r="K4276" t="str">
        <f>_xlfn.CONCAT(WEEKNUM(CompilDonnées[[#This Row],[PlantationDate]]), " ", YEAR(CompilDonnées[[#This Row],[PlantationDate]]))</f>
        <v>32 2025</v>
      </c>
      <c r="L4276" t="str">
        <f>CONCATENATE(MONTH(CompilDonnées[[#This Row],[PlantationDate]])," ", YEAR(CompilDonnées[[#This Row],[PlantationDate]]))</f>
        <v>8 2025</v>
      </c>
      <c r="M4276" t="str">
        <f>CONCATENATE(MONTH(CompilDonnées[[#This Row],[HarvestingDate]])," ", YEAR(CompilDonnées[[#This Row],[HarvestingDate]]))</f>
        <v>9 2025</v>
      </c>
      <c r="N4276">
        <f>_xlfn.NUMBERVALUE(CompilDonnées[[#This Row],[FarmID]]&amp;CompilDonnées[[#This Row],[ModuleNumber]]&amp;CompilDonnées[[#This Row],[PlantationDate]])</f>
        <v>1345876</v>
      </c>
      <c r="O4276" t="str">
        <f>CompilDonnées[[#This Row],[FarmID]]&amp;CompilDonnées[[#This Row],[ModuleNumber]]</f>
        <v>13</v>
      </c>
      <c r="P4276" t="str">
        <f>CompilDonnées[[#This Row],[Ref_Module]]&amp;CompilDonnées[[#This Row],[HarvestingDate]]</f>
        <v>1345925</v>
      </c>
    </row>
    <row r="4277" spans="1:16">
      <c r="A4277" s="5">
        <v>45876</v>
      </c>
      <c r="B4277">
        <v>11</v>
      </c>
      <c r="C4277" t="s">
        <v>106</v>
      </c>
      <c r="D4277">
        <v>3</v>
      </c>
      <c r="E4277">
        <v>100</v>
      </c>
      <c r="F4277" t="s">
        <v>1</v>
      </c>
      <c r="G4277" s="6">
        <v>45915</v>
      </c>
      <c r="H4277">
        <v>39</v>
      </c>
      <c r="I4277">
        <f>ROUND(CompilDonnées[[#This Row],[CultureDuration_days]]/7,0)</f>
        <v>6</v>
      </c>
      <c r="J4277">
        <v>1534</v>
      </c>
      <c r="K4277" t="str">
        <f>_xlfn.CONCAT(WEEKNUM(CompilDonnées[[#This Row],[PlantationDate]]), " ", YEAR(CompilDonnées[[#This Row],[PlantationDate]]))</f>
        <v>32 2025</v>
      </c>
      <c r="L4277" t="str">
        <f>CONCATENATE(MONTH(CompilDonnées[[#This Row],[PlantationDate]])," ", YEAR(CompilDonnées[[#This Row],[PlantationDate]]))</f>
        <v>8 2025</v>
      </c>
      <c r="M4277" t="str">
        <f>CONCATENATE(MONTH(CompilDonnées[[#This Row],[HarvestingDate]])," ", YEAR(CompilDonnées[[#This Row],[HarvestingDate]]))</f>
        <v>9 2025</v>
      </c>
      <c r="N4277">
        <f>_xlfn.NUMBERVALUE(CompilDonnées[[#This Row],[FarmID]]&amp;CompilDonnées[[#This Row],[ModuleNumber]]&amp;CompilDonnées[[#This Row],[PlantationDate]])</f>
        <v>11345876</v>
      </c>
      <c r="O4277" t="str">
        <f>CompilDonnées[[#This Row],[FarmID]]&amp;CompilDonnées[[#This Row],[ModuleNumber]]</f>
        <v>113</v>
      </c>
      <c r="P4277" t="str">
        <f>CompilDonnées[[#This Row],[Ref_Module]]&amp;CompilDonnées[[#This Row],[HarvestingDate]]</f>
        <v>11345915</v>
      </c>
    </row>
    <row r="4278" spans="1:16">
      <c r="A4278" s="5">
        <v>45876</v>
      </c>
      <c r="B4278">
        <v>147</v>
      </c>
      <c r="C4278" t="s">
        <v>3</v>
      </c>
      <c r="D4278">
        <v>1</v>
      </c>
      <c r="E4278">
        <v>60</v>
      </c>
      <c r="F4278" t="s">
        <v>105</v>
      </c>
      <c r="G4278" s="6">
        <v>45924</v>
      </c>
      <c r="H4278">
        <v>48</v>
      </c>
      <c r="I4278">
        <f>ROUND(CompilDonnées[[#This Row],[CultureDuration_days]]/7,0)</f>
        <v>7</v>
      </c>
      <c r="J4278">
        <v>2042</v>
      </c>
      <c r="K4278" t="str">
        <f>_xlfn.CONCAT(WEEKNUM(CompilDonnées[[#This Row],[PlantationDate]]), " ", YEAR(CompilDonnées[[#This Row],[PlantationDate]]))</f>
        <v>32 2025</v>
      </c>
      <c r="L4278" t="str">
        <f>CONCATENATE(MONTH(CompilDonnées[[#This Row],[PlantationDate]])," ", YEAR(CompilDonnées[[#This Row],[PlantationDate]]))</f>
        <v>8 2025</v>
      </c>
      <c r="M4278" t="str">
        <f>CONCATENATE(MONTH(CompilDonnées[[#This Row],[HarvestingDate]])," ", YEAR(CompilDonnées[[#This Row],[HarvestingDate]]))</f>
        <v>9 2025</v>
      </c>
      <c r="N4278">
        <f>_xlfn.NUMBERVALUE(CompilDonnées[[#This Row],[FarmID]]&amp;CompilDonnées[[#This Row],[ModuleNumber]]&amp;CompilDonnées[[#This Row],[PlantationDate]])</f>
        <v>147145876</v>
      </c>
      <c r="O4278" t="str">
        <f>CompilDonnées[[#This Row],[FarmID]]&amp;CompilDonnées[[#This Row],[ModuleNumber]]</f>
        <v>1471</v>
      </c>
      <c r="P4278" t="str">
        <f>CompilDonnées[[#This Row],[Ref_Module]]&amp;CompilDonnées[[#This Row],[HarvestingDate]]</f>
        <v>147145924</v>
      </c>
    </row>
    <row r="4279" spans="1:16">
      <c r="A4279" s="5">
        <v>45876</v>
      </c>
      <c r="B4279">
        <v>146</v>
      </c>
      <c r="C4279" t="s">
        <v>3</v>
      </c>
      <c r="D4279">
        <v>3</v>
      </c>
      <c r="E4279">
        <v>60</v>
      </c>
      <c r="F4279" t="s">
        <v>105</v>
      </c>
      <c r="G4279" s="6">
        <v>45922</v>
      </c>
      <c r="H4279">
        <v>46</v>
      </c>
      <c r="I4279">
        <f>ROUND(CompilDonnées[[#This Row],[CultureDuration_days]]/7,0)</f>
        <v>7</v>
      </c>
      <c r="J4279">
        <v>1530</v>
      </c>
      <c r="K4279" t="str">
        <f>_xlfn.CONCAT(WEEKNUM(CompilDonnées[[#This Row],[PlantationDate]]), " ", YEAR(CompilDonnées[[#This Row],[PlantationDate]]))</f>
        <v>32 2025</v>
      </c>
      <c r="L4279" t="str">
        <f>CONCATENATE(MONTH(CompilDonnées[[#This Row],[PlantationDate]])," ", YEAR(CompilDonnées[[#This Row],[PlantationDate]]))</f>
        <v>8 2025</v>
      </c>
      <c r="M4279" t="str">
        <f>CONCATENATE(MONTH(CompilDonnées[[#This Row],[HarvestingDate]])," ", YEAR(CompilDonnées[[#This Row],[HarvestingDate]]))</f>
        <v>9 2025</v>
      </c>
      <c r="N4279">
        <f>_xlfn.NUMBERVALUE(CompilDonnées[[#This Row],[FarmID]]&amp;CompilDonnées[[#This Row],[ModuleNumber]]&amp;CompilDonnées[[#This Row],[PlantationDate]])</f>
        <v>146345876</v>
      </c>
      <c r="O4279" t="str">
        <f>CompilDonnées[[#This Row],[FarmID]]&amp;CompilDonnées[[#This Row],[ModuleNumber]]</f>
        <v>1463</v>
      </c>
      <c r="P4279" t="str">
        <f>CompilDonnées[[#This Row],[Ref_Module]]&amp;CompilDonnées[[#This Row],[HarvestingDate]]</f>
        <v>146345922</v>
      </c>
    </row>
    <row r="4280" spans="1:16">
      <c r="A4280" s="5">
        <v>45876</v>
      </c>
      <c r="B4280">
        <v>146</v>
      </c>
      <c r="C4280" t="s">
        <v>3</v>
      </c>
      <c r="D4280">
        <v>4</v>
      </c>
      <c r="E4280">
        <v>60</v>
      </c>
      <c r="F4280" t="s">
        <v>105</v>
      </c>
      <c r="G4280" s="6">
        <v>45922</v>
      </c>
      <c r="H4280">
        <v>46</v>
      </c>
      <c r="I4280">
        <f>ROUND(CompilDonnées[[#This Row],[CultureDuration_days]]/7,0)</f>
        <v>7</v>
      </c>
      <c r="J4280">
        <v>1585</v>
      </c>
      <c r="K4280" t="str">
        <f>_xlfn.CONCAT(WEEKNUM(CompilDonnées[[#This Row],[PlantationDate]]), " ", YEAR(CompilDonnées[[#This Row],[PlantationDate]]))</f>
        <v>32 2025</v>
      </c>
      <c r="L4280" t="str">
        <f>CONCATENATE(MONTH(CompilDonnées[[#This Row],[PlantationDate]])," ", YEAR(CompilDonnées[[#This Row],[PlantationDate]]))</f>
        <v>8 2025</v>
      </c>
      <c r="M4280" t="str">
        <f>CONCATENATE(MONTH(CompilDonnées[[#This Row],[HarvestingDate]])," ", YEAR(CompilDonnées[[#This Row],[HarvestingDate]]))</f>
        <v>9 2025</v>
      </c>
      <c r="N4280">
        <f>_xlfn.NUMBERVALUE(CompilDonnées[[#This Row],[FarmID]]&amp;CompilDonnées[[#This Row],[ModuleNumber]]&amp;CompilDonnées[[#This Row],[PlantationDate]])</f>
        <v>146445876</v>
      </c>
      <c r="O4280" t="str">
        <f>CompilDonnées[[#This Row],[FarmID]]&amp;CompilDonnées[[#This Row],[ModuleNumber]]</f>
        <v>1464</v>
      </c>
      <c r="P4280" t="str">
        <f>CompilDonnées[[#This Row],[Ref_Module]]&amp;CompilDonnées[[#This Row],[HarvestingDate]]</f>
        <v>146445922</v>
      </c>
    </row>
    <row r="4281" spans="1:16">
      <c r="A4281" s="5">
        <v>45876</v>
      </c>
      <c r="B4281">
        <v>146</v>
      </c>
      <c r="C4281" t="s">
        <v>3</v>
      </c>
      <c r="D4281">
        <v>5</v>
      </c>
      <c r="E4281">
        <v>60</v>
      </c>
      <c r="F4281" t="s">
        <v>105</v>
      </c>
      <c r="G4281" s="6">
        <v>45922</v>
      </c>
      <c r="H4281">
        <v>46</v>
      </c>
      <c r="I4281">
        <f>ROUND(CompilDonnées[[#This Row],[CultureDuration_days]]/7,0)</f>
        <v>7</v>
      </c>
      <c r="J4281">
        <v>1556</v>
      </c>
      <c r="K4281" t="str">
        <f>_xlfn.CONCAT(WEEKNUM(CompilDonnées[[#This Row],[PlantationDate]]), " ", YEAR(CompilDonnées[[#This Row],[PlantationDate]]))</f>
        <v>32 2025</v>
      </c>
      <c r="L4281" t="str">
        <f>CONCATENATE(MONTH(CompilDonnées[[#This Row],[PlantationDate]])," ", YEAR(CompilDonnées[[#This Row],[PlantationDate]]))</f>
        <v>8 2025</v>
      </c>
      <c r="M4281" t="str">
        <f>CONCATENATE(MONTH(CompilDonnées[[#This Row],[HarvestingDate]])," ", YEAR(CompilDonnées[[#This Row],[HarvestingDate]]))</f>
        <v>9 2025</v>
      </c>
      <c r="N4281">
        <f>_xlfn.NUMBERVALUE(CompilDonnées[[#This Row],[FarmID]]&amp;CompilDonnées[[#This Row],[ModuleNumber]]&amp;CompilDonnées[[#This Row],[PlantationDate]])</f>
        <v>146545876</v>
      </c>
      <c r="O4281" t="str">
        <f>CompilDonnées[[#This Row],[FarmID]]&amp;CompilDonnées[[#This Row],[ModuleNumber]]</f>
        <v>1465</v>
      </c>
      <c r="P4281" t="str">
        <f>CompilDonnées[[#This Row],[Ref_Module]]&amp;CompilDonnées[[#This Row],[HarvestingDate]]</f>
        <v>146545922</v>
      </c>
    </row>
    <row r="4282" spans="1:16">
      <c r="A4282" s="5">
        <v>45877</v>
      </c>
      <c r="B4282">
        <v>100</v>
      </c>
      <c r="C4282" t="s">
        <v>84</v>
      </c>
      <c r="D4282">
        <v>5</v>
      </c>
      <c r="E4282">
        <v>100</v>
      </c>
      <c r="F4282" t="s">
        <v>1</v>
      </c>
      <c r="G4282" s="6">
        <v>45922</v>
      </c>
      <c r="H4282">
        <v>45</v>
      </c>
      <c r="I4282">
        <f>ROUND(CompilDonnées[[#This Row],[CultureDuration_days]]/7,0)</f>
        <v>6</v>
      </c>
      <c r="J4282">
        <v>3691</v>
      </c>
      <c r="K4282" t="str">
        <f>_xlfn.CONCAT(WEEKNUM(CompilDonnées[[#This Row],[PlantationDate]]), " ", YEAR(CompilDonnées[[#This Row],[PlantationDate]]))</f>
        <v>32 2025</v>
      </c>
      <c r="L4282" t="str">
        <f>CONCATENATE(MONTH(CompilDonnées[[#This Row],[PlantationDate]])," ", YEAR(CompilDonnées[[#This Row],[PlantationDate]]))</f>
        <v>8 2025</v>
      </c>
      <c r="M4282" t="str">
        <f>CONCATENATE(MONTH(CompilDonnées[[#This Row],[HarvestingDate]])," ", YEAR(CompilDonnées[[#This Row],[HarvestingDate]]))</f>
        <v>9 2025</v>
      </c>
      <c r="N4282">
        <f>_xlfn.NUMBERVALUE(CompilDonnées[[#This Row],[FarmID]]&amp;CompilDonnées[[#This Row],[ModuleNumber]]&amp;CompilDonnées[[#This Row],[PlantationDate]])</f>
        <v>100545877</v>
      </c>
      <c r="O4282" t="str">
        <f>CompilDonnées[[#This Row],[FarmID]]&amp;CompilDonnées[[#This Row],[ModuleNumber]]</f>
        <v>1005</v>
      </c>
      <c r="P4282" t="str">
        <f>CompilDonnées[[#This Row],[Ref_Module]]&amp;CompilDonnées[[#This Row],[HarvestingDate]]</f>
        <v>100545922</v>
      </c>
    </row>
    <row r="4283" spans="1:16">
      <c r="A4283" s="5">
        <v>45877</v>
      </c>
      <c r="B4283">
        <v>85</v>
      </c>
      <c r="C4283" t="s">
        <v>56</v>
      </c>
      <c r="D4283">
        <v>2</v>
      </c>
      <c r="E4283">
        <v>100</v>
      </c>
      <c r="F4283" t="s">
        <v>1</v>
      </c>
      <c r="G4283" s="6">
        <v>45923</v>
      </c>
      <c r="H4283">
        <v>46</v>
      </c>
      <c r="I4283">
        <f>ROUND(CompilDonnées[[#This Row],[CultureDuration_days]]/7,0)</f>
        <v>7</v>
      </c>
      <c r="J4283">
        <v>1865</v>
      </c>
      <c r="K4283" t="str">
        <f>_xlfn.CONCAT(WEEKNUM(CompilDonnées[[#This Row],[PlantationDate]]), " ", YEAR(CompilDonnées[[#This Row],[PlantationDate]]))</f>
        <v>32 2025</v>
      </c>
      <c r="L4283" t="str">
        <f>CONCATENATE(MONTH(CompilDonnées[[#This Row],[PlantationDate]])," ", YEAR(CompilDonnées[[#This Row],[PlantationDate]]))</f>
        <v>8 2025</v>
      </c>
      <c r="M4283" t="str">
        <f>CONCATENATE(MONTH(CompilDonnées[[#This Row],[HarvestingDate]])," ", YEAR(CompilDonnées[[#This Row],[HarvestingDate]]))</f>
        <v>9 2025</v>
      </c>
      <c r="N4283">
        <f>_xlfn.NUMBERVALUE(CompilDonnées[[#This Row],[FarmID]]&amp;CompilDonnées[[#This Row],[ModuleNumber]]&amp;CompilDonnées[[#This Row],[PlantationDate]])</f>
        <v>85245877</v>
      </c>
      <c r="O4283" t="str">
        <f>CompilDonnées[[#This Row],[FarmID]]&amp;CompilDonnées[[#This Row],[ModuleNumber]]</f>
        <v>852</v>
      </c>
      <c r="P4283" t="str">
        <f>CompilDonnées[[#This Row],[Ref_Module]]&amp;CompilDonnées[[#This Row],[HarvestingDate]]</f>
        <v>85245923</v>
      </c>
    </row>
    <row r="4284" spans="1:16">
      <c r="A4284" s="5">
        <v>45877</v>
      </c>
      <c r="B4284">
        <v>52</v>
      </c>
      <c r="C4284" t="s">
        <v>88</v>
      </c>
      <c r="D4284">
        <v>5</v>
      </c>
      <c r="E4284">
        <v>100</v>
      </c>
      <c r="F4284" t="s">
        <v>1</v>
      </c>
      <c r="G4284" s="6">
        <v>45923</v>
      </c>
      <c r="H4284">
        <v>46</v>
      </c>
      <c r="I4284">
        <f>ROUND(CompilDonnées[[#This Row],[CultureDuration_days]]/7,0)</f>
        <v>7</v>
      </c>
      <c r="J4284">
        <v>3665</v>
      </c>
      <c r="K4284" t="str">
        <f>_xlfn.CONCAT(WEEKNUM(CompilDonnées[[#This Row],[PlantationDate]]), " ", YEAR(CompilDonnées[[#This Row],[PlantationDate]]))</f>
        <v>32 2025</v>
      </c>
      <c r="L4284" t="str">
        <f>CONCATENATE(MONTH(CompilDonnées[[#This Row],[PlantationDate]])," ", YEAR(CompilDonnées[[#This Row],[PlantationDate]]))</f>
        <v>8 2025</v>
      </c>
      <c r="M4284" t="str">
        <f>CONCATENATE(MONTH(CompilDonnées[[#This Row],[HarvestingDate]])," ", YEAR(CompilDonnées[[#This Row],[HarvestingDate]]))</f>
        <v>9 2025</v>
      </c>
      <c r="N4284">
        <f>_xlfn.NUMBERVALUE(CompilDonnées[[#This Row],[FarmID]]&amp;CompilDonnées[[#This Row],[ModuleNumber]]&amp;CompilDonnées[[#This Row],[PlantationDate]])</f>
        <v>52545877</v>
      </c>
      <c r="O4284" t="str">
        <f>CompilDonnées[[#This Row],[FarmID]]&amp;CompilDonnées[[#This Row],[ModuleNumber]]</f>
        <v>525</v>
      </c>
      <c r="P4284" t="str">
        <f>CompilDonnées[[#This Row],[Ref_Module]]&amp;CompilDonnées[[#This Row],[HarvestingDate]]</f>
        <v>52545923</v>
      </c>
    </row>
    <row r="4285" spans="1:16">
      <c r="A4285" s="5">
        <v>45877</v>
      </c>
      <c r="B4285">
        <v>50</v>
      </c>
      <c r="C4285" t="s">
        <v>55</v>
      </c>
      <c r="D4285">
        <v>1</v>
      </c>
      <c r="E4285">
        <v>100</v>
      </c>
      <c r="F4285" t="s">
        <v>1</v>
      </c>
      <c r="G4285" s="6">
        <v>45929</v>
      </c>
      <c r="H4285">
        <v>52</v>
      </c>
      <c r="I4285">
        <f>ROUND(CompilDonnées[[#This Row],[CultureDuration_days]]/7,0)</f>
        <v>7</v>
      </c>
      <c r="J4285">
        <v>2478</v>
      </c>
      <c r="K4285" t="str">
        <f>_xlfn.CONCAT(WEEKNUM(CompilDonnées[[#This Row],[PlantationDate]]), " ", YEAR(CompilDonnées[[#This Row],[PlantationDate]]))</f>
        <v>32 2025</v>
      </c>
      <c r="L4285" t="str">
        <f>CONCATENATE(MONTH(CompilDonnées[[#This Row],[PlantationDate]])," ", YEAR(CompilDonnées[[#This Row],[PlantationDate]]))</f>
        <v>8 2025</v>
      </c>
      <c r="M4285" t="str">
        <f>CONCATENATE(MONTH(CompilDonnées[[#This Row],[HarvestingDate]])," ", YEAR(CompilDonnées[[#This Row],[HarvestingDate]]))</f>
        <v>9 2025</v>
      </c>
      <c r="N4285">
        <f>_xlfn.NUMBERVALUE(CompilDonnées[[#This Row],[FarmID]]&amp;CompilDonnées[[#This Row],[ModuleNumber]]&amp;CompilDonnées[[#This Row],[PlantationDate]])</f>
        <v>50145877</v>
      </c>
      <c r="O4285" t="str">
        <f>CompilDonnées[[#This Row],[FarmID]]&amp;CompilDonnées[[#This Row],[ModuleNumber]]</f>
        <v>501</v>
      </c>
      <c r="P4285" t="str">
        <f>CompilDonnées[[#This Row],[Ref_Module]]&amp;CompilDonnées[[#This Row],[HarvestingDate]]</f>
        <v>50145929</v>
      </c>
    </row>
    <row r="4286" spans="1:16">
      <c r="A4286" s="5">
        <v>45877</v>
      </c>
      <c r="B4286">
        <v>49</v>
      </c>
      <c r="C4286" t="s">
        <v>110</v>
      </c>
      <c r="D4286">
        <v>2</v>
      </c>
      <c r="E4286">
        <v>100</v>
      </c>
      <c r="F4286" t="s">
        <v>1</v>
      </c>
      <c r="G4286" s="6">
        <v>45930</v>
      </c>
      <c r="H4286">
        <v>53</v>
      </c>
      <c r="I4286">
        <f>ROUND(CompilDonnées[[#This Row],[CultureDuration_days]]/7,0)</f>
        <v>8</v>
      </c>
      <c r="J4286">
        <v>2104</v>
      </c>
      <c r="K4286" t="str">
        <f>_xlfn.CONCAT(WEEKNUM(CompilDonnées[[#This Row],[PlantationDate]]), " ", YEAR(CompilDonnées[[#This Row],[PlantationDate]]))</f>
        <v>32 2025</v>
      </c>
      <c r="L4286" t="str">
        <f>CONCATENATE(MONTH(CompilDonnées[[#This Row],[PlantationDate]])," ", YEAR(CompilDonnées[[#This Row],[PlantationDate]]))</f>
        <v>8 2025</v>
      </c>
      <c r="M4286" t="str">
        <f>CONCATENATE(MONTH(CompilDonnées[[#This Row],[HarvestingDate]])," ", YEAR(CompilDonnées[[#This Row],[HarvestingDate]]))</f>
        <v>9 2025</v>
      </c>
      <c r="N4286">
        <f>_xlfn.NUMBERVALUE(CompilDonnées[[#This Row],[FarmID]]&amp;CompilDonnées[[#This Row],[ModuleNumber]]&amp;CompilDonnées[[#This Row],[PlantationDate]])</f>
        <v>49245877</v>
      </c>
      <c r="O4286" t="str">
        <f>CompilDonnées[[#This Row],[FarmID]]&amp;CompilDonnées[[#This Row],[ModuleNumber]]</f>
        <v>492</v>
      </c>
      <c r="P4286" t="str">
        <f>CompilDonnées[[#This Row],[Ref_Module]]&amp;CompilDonnées[[#This Row],[HarvestingDate]]</f>
        <v>49245930</v>
      </c>
    </row>
    <row r="4287" spans="1:16">
      <c r="A4287" s="5">
        <v>45877</v>
      </c>
      <c r="B4287">
        <v>58</v>
      </c>
      <c r="C4287" t="s">
        <v>35</v>
      </c>
      <c r="D4287">
        <v>2</v>
      </c>
      <c r="E4287">
        <v>100</v>
      </c>
      <c r="F4287" t="s">
        <v>1</v>
      </c>
      <c r="G4287" s="6">
        <v>45924</v>
      </c>
      <c r="H4287">
        <v>47</v>
      </c>
      <c r="I4287">
        <f>ROUND(CompilDonnées[[#This Row],[CultureDuration_days]]/7,0)</f>
        <v>7</v>
      </c>
      <c r="J4287">
        <v>3191</v>
      </c>
      <c r="K4287" t="str">
        <f>_xlfn.CONCAT(WEEKNUM(CompilDonnées[[#This Row],[PlantationDate]]), " ", YEAR(CompilDonnées[[#This Row],[PlantationDate]]))</f>
        <v>32 2025</v>
      </c>
      <c r="L4287" t="str">
        <f>CONCATENATE(MONTH(CompilDonnées[[#This Row],[PlantationDate]])," ", YEAR(CompilDonnées[[#This Row],[PlantationDate]]))</f>
        <v>8 2025</v>
      </c>
      <c r="M4287" t="str">
        <f>CONCATENATE(MONTH(CompilDonnées[[#This Row],[HarvestingDate]])," ", YEAR(CompilDonnées[[#This Row],[HarvestingDate]]))</f>
        <v>9 2025</v>
      </c>
      <c r="N4287">
        <f>_xlfn.NUMBERVALUE(CompilDonnées[[#This Row],[FarmID]]&amp;CompilDonnées[[#This Row],[ModuleNumber]]&amp;CompilDonnées[[#This Row],[PlantationDate]])</f>
        <v>58245877</v>
      </c>
      <c r="O4287" t="str">
        <f>CompilDonnées[[#This Row],[FarmID]]&amp;CompilDonnées[[#This Row],[ModuleNumber]]</f>
        <v>582</v>
      </c>
      <c r="P4287" t="str">
        <f>CompilDonnées[[#This Row],[Ref_Module]]&amp;CompilDonnées[[#This Row],[HarvestingDate]]</f>
        <v>58245924</v>
      </c>
    </row>
    <row r="4288" spans="1:16">
      <c r="A4288" s="5">
        <v>45877</v>
      </c>
      <c r="B4288">
        <v>56</v>
      </c>
      <c r="C4288" t="s">
        <v>6</v>
      </c>
      <c r="D4288">
        <v>5</v>
      </c>
      <c r="E4288">
        <v>100</v>
      </c>
      <c r="F4288" t="s">
        <v>1</v>
      </c>
      <c r="G4288" s="6">
        <v>45924</v>
      </c>
      <c r="H4288">
        <v>47</v>
      </c>
      <c r="I4288">
        <f>ROUND(CompilDonnées[[#This Row],[CultureDuration_days]]/7,0)</f>
        <v>7</v>
      </c>
      <c r="J4288">
        <v>2552</v>
      </c>
      <c r="K4288" t="str">
        <f>_xlfn.CONCAT(WEEKNUM(CompilDonnées[[#This Row],[PlantationDate]]), " ", YEAR(CompilDonnées[[#This Row],[PlantationDate]]))</f>
        <v>32 2025</v>
      </c>
      <c r="L4288" t="str">
        <f>CONCATENATE(MONTH(CompilDonnées[[#This Row],[PlantationDate]])," ", YEAR(CompilDonnées[[#This Row],[PlantationDate]]))</f>
        <v>8 2025</v>
      </c>
      <c r="M4288" t="str">
        <f>CONCATENATE(MONTH(CompilDonnées[[#This Row],[HarvestingDate]])," ", YEAR(CompilDonnées[[#This Row],[HarvestingDate]]))</f>
        <v>9 2025</v>
      </c>
      <c r="N4288">
        <f>_xlfn.NUMBERVALUE(CompilDonnées[[#This Row],[FarmID]]&amp;CompilDonnées[[#This Row],[ModuleNumber]]&amp;CompilDonnées[[#This Row],[PlantationDate]])</f>
        <v>56545877</v>
      </c>
      <c r="O4288" t="str">
        <f>CompilDonnées[[#This Row],[FarmID]]&amp;CompilDonnées[[#This Row],[ModuleNumber]]</f>
        <v>565</v>
      </c>
      <c r="P4288" t="str">
        <f>CompilDonnées[[#This Row],[Ref_Module]]&amp;CompilDonnées[[#This Row],[HarvestingDate]]</f>
        <v>56545924</v>
      </c>
    </row>
    <row r="4289" spans="1:16">
      <c r="A4289" s="5">
        <v>45877</v>
      </c>
      <c r="B4289">
        <v>57</v>
      </c>
      <c r="C4289" t="s">
        <v>46</v>
      </c>
      <c r="D4289">
        <v>6</v>
      </c>
      <c r="E4289">
        <v>100</v>
      </c>
      <c r="F4289" t="s">
        <v>1</v>
      </c>
      <c r="G4289" s="6">
        <v>45916</v>
      </c>
      <c r="H4289">
        <v>39</v>
      </c>
      <c r="I4289">
        <f>ROUND(CompilDonnées[[#This Row],[CultureDuration_days]]/7,0)</f>
        <v>6</v>
      </c>
      <c r="J4289">
        <v>2668</v>
      </c>
      <c r="K4289" t="str">
        <f>_xlfn.CONCAT(WEEKNUM(CompilDonnées[[#This Row],[PlantationDate]]), " ", YEAR(CompilDonnées[[#This Row],[PlantationDate]]))</f>
        <v>32 2025</v>
      </c>
      <c r="L4289" t="str">
        <f>CONCATENATE(MONTH(CompilDonnées[[#This Row],[PlantationDate]])," ", YEAR(CompilDonnées[[#This Row],[PlantationDate]]))</f>
        <v>8 2025</v>
      </c>
      <c r="M4289" t="str">
        <f>CONCATENATE(MONTH(CompilDonnées[[#This Row],[HarvestingDate]])," ", YEAR(CompilDonnées[[#This Row],[HarvestingDate]]))</f>
        <v>9 2025</v>
      </c>
      <c r="N4289">
        <f>_xlfn.NUMBERVALUE(CompilDonnées[[#This Row],[FarmID]]&amp;CompilDonnées[[#This Row],[ModuleNumber]]&amp;CompilDonnées[[#This Row],[PlantationDate]])</f>
        <v>57645877</v>
      </c>
      <c r="O4289" t="str">
        <f>CompilDonnées[[#This Row],[FarmID]]&amp;CompilDonnées[[#This Row],[ModuleNumber]]</f>
        <v>576</v>
      </c>
      <c r="P4289" t="str">
        <f>CompilDonnées[[#This Row],[Ref_Module]]&amp;CompilDonnées[[#This Row],[HarvestingDate]]</f>
        <v>57645916</v>
      </c>
    </row>
    <row r="4290" spans="1:16">
      <c r="A4290" s="5">
        <v>45877</v>
      </c>
      <c r="B4290">
        <v>68</v>
      </c>
      <c r="C4290" t="s">
        <v>89</v>
      </c>
      <c r="D4290">
        <v>4</v>
      </c>
      <c r="E4290">
        <v>100</v>
      </c>
      <c r="F4290" t="s">
        <v>1</v>
      </c>
      <c r="G4290" s="6">
        <v>45916</v>
      </c>
      <c r="H4290">
        <v>39</v>
      </c>
      <c r="I4290">
        <f>ROUND(CompilDonnées[[#This Row],[CultureDuration_days]]/7,0)</f>
        <v>6</v>
      </c>
      <c r="J4290">
        <v>3631</v>
      </c>
      <c r="K4290" t="str">
        <f>_xlfn.CONCAT(WEEKNUM(CompilDonnées[[#This Row],[PlantationDate]]), " ", YEAR(CompilDonnées[[#This Row],[PlantationDate]]))</f>
        <v>32 2025</v>
      </c>
      <c r="L4290" t="str">
        <f>CONCATENATE(MONTH(CompilDonnées[[#This Row],[PlantationDate]])," ", YEAR(CompilDonnées[[#This Row],[PlantationDate]]))</f>
        <v>8 2025</v>
      </c>
      <c r="M4290" t="str">
        <f>CONCATENATE(MONTH(CompilDonnées[[#This Row],[HarvestingDate]])," ", YEAR(CompilDonnées[[#This Row],[HarvestingDate]]))</f>
        <v>9 2025</v>
      </c>
      <c r="N4290">
        <f>_xlfn.NUMBERVALUE(CompilDonnées[[#This Row],[FarmID]]&amp;CompilDonnées[[#This Row],[ModuleNumber]]&amp;CompilDonnées[[#This Row],[PlantationDate]])</f>
        <v>68445877</v>
      </c>
      <c r="O4290" t="str">
        <f>CompilDonnées[[#This Row],[FarmID]]&amp;CompilDonnées[[#This Row],[ModuleNumber]]</f>
        <v>684</v>
      </c>
      <c r="P4290" t="str">
        <f>CompilDonnées[[#This Row],[Ref_Module]]&amp;CompilDonnées[[#This Row],[HarvestingDate]]</f>
        <v>68445916</v>
      </c>
    </row>
    <row r="4291" spans="1:16">
      <c r="A4291" s="5">
        <v>45877</v>
      </c>
      <c r="B4291">
        <v>67</v>
      </c>
      <c r="C4291" t="s">
        <v>28</v>
      </c>
      <c r="D4291">
        <v>1</v>
      </c>
      <c r="E4291">
        <v>100</v>
      </c>
      <c r="F4291" t="s">
        <v>1</v>
      </c>
      <c r="G4291" s="6">
        <v>45916</v>
      </c>
      <c r="H4291">
        <v>39</v>
      </c>
      <c r="I4291">
        <f>ROUND(CompilDonnées[[#This Row],[CultureDuration_days]]/7,0)</f>
        <v>6</v>
      </c>
      <c r="J4291">
        <v>2428</v>
      </c>
      <c r="K4291" t="str">
        <f>_xlfn.CONCAT(WEEKNUM(CompilDonnées[[#This Row],[PlantationDate]]), " ", YEAR(CompilDonnées[[#This Row],[PlantationDate]]))</f>
        <v>32 2025</v>
      </c>
      <c r="L4291" t="str">
        <f>CONCATENATE(MONTH(CompilDonnées[[#This Row],[PlantationDate]])," ", YEAR(CompilDonnées[[#This Row],[PlantationDate]]))</f>
        <v>8 2025</v>
      </c>
      <c r="M4291" t="str">
        <f>CONCATENATE(MONTH(CompilDonnées[[#This Row],[HarvestingDate]])," ", YEAR(CompilDonnées[[#This Row],[HarvestingDate]]))</f>
        <v>9 2025</v>
      </c>
      <c r="N4291">
        <f>_xlfn.NUMBERVALUE(CompilDonnées[[#This Row],[FarmID]]&amp;CompilDonnées[[#This Row],[ModuleNumber]]&amp;CompilDonnées[[#This Row],[PlantationDate]])</f>
        <v>67145877</v>
      </c>
      <c r="O4291" t="str">
        <f>CompilDonnées[[#This Row],[FarmID]]&amp;CompilDonnées[[#This Row],[ModuleNumber]]</f>
        <v>671</v>
      </c>
      <c r="P4291" t="str">
        <f>CompilDonnées[[#This Row],[Ref_Module]]&amp;CompilDonnées[[#This Row],[HarvestingDate]]</f>
        <v>67145916</v>
      </c>
    </row>
    <row r="4292" spans="1:16">
      <c r="A4292" s="5">
        <v>45877</v>
      </c>
      <c r="B4292">
        <v>66</v>
      </c>
      <c r="C4292" t="s">
        <v>48</v>
      </c>
      <c r="D4292">
        <v>1</v>
      </c>
      <c r="E4292">
        <v>100</v>
      </c>
      <c r="F4292" t="s">
        <v>1</v>
      </c>
      <c r="G4292" s="6">
        <v>45924</v>
      </c>
      <c r="H4292">
        <v>47</v>
      </c>
      <c r="I4292">
        <f>ROUND(CompilDonnées[[#This Row],[CultureDuration_days]]/7,0)</f>
        <v>7</v>
      </c>
      <c r="J4292">
        <v>2566</v>
      </c>
      <c r="K4292" t="str">
        <f>_xlfn.CONCAT(WEEKNUM(CompilDonnées[[#This Row],[PlantationDate]]), " ", YEAR(CompilDonnées[[#This Row],[PlantationDate]]))</f>
        <v>32 2025</v>
      </c>
      <c r="L4292" t="str">
        <f>CONCATENATE(MONTH(CompilDonnées[[#This Row],[PlantationDate]])," ", YEAR(CompilDonnées[[#This Row],[PlantationDate]]))</f>
        <v>8 2025</v>
      </c>
      <c r="M4292" t="str">
        <f>CONCATENATE(MONTH(CompilDonnées[[#This Row],[HarvestingDate]])," ", YEAR(CompilDonnées[[#This Row],[HarvestingDate]]))</f>
        <v>9 2025</v>
      </c>
      <c r="N4292">
        <f>_xlfn.NUMBERVALUE(CompilDonnées[[#This Row],[FarmID]]&amp;CompilDonnées[[#This Row],[ModuleNumber]]&amp;CompilDonnées[[#This Row],[PlantationDate]])</f>
        <v>66145877</v>
      </c>
      <c r="O4292" t="str">
        <f>CompilDonnées[[#This Row],[FarmID]]&amp;CompilDonnées[[#This Row],[ModuleNumber]]</f>
        <v>661</v>
      </c>
      <c r="P4292" t="str">
        <f>CompilDonnées[[#This Row],[Ref_Module]]&amp;CompilDonnées[[#This Row],[HarvestingDate]]</f>
        <v>66145924</v>
      </c>
    </row>
    <row r="4293" spans="1:16">
      <c r="A4293" s="5">
        <v>45877</v>
      </c>
      <c r="B4293">
        <v>55</v>
      </c>
      <c r="C4293" t="s">
        <v>60</v>
      </c>
      <c r="D4293">
        <v>3</v>
      </c>
      <c r="E4293">
        <v>100</v>
      </c>
      <c r="F4293" t="s">
        <v>1</v>
      </c>
      <c r="G4293" s="6">
        <v>45929</v>
      </c>
      <c r="H4293">
        <v>52</v>
      </c>
      <c r="I4293">
        <f>ROUND(CompilDonnées[[#This Row],[CultureDuration_days]]/7,0)</f>
        <v>7</v>
      </c>
      <c r="J4293">
        <v>2313</v>
      </c>
      <c r="K4293" t="str">
        <f>_xlfn.CONCAT(WEEKNUM(CompilDonnées[[#This Row],[PlantationDate]]), " ", YEAR(CompilDonnées[[#This Row],[PlantationDate]]))</f>
        <v>32 2025</v>
      </c>
      <c r="L4293" t="str">
        <f>CONCATENATE(MONTH(CompilDonnées[[#This Row],[PlantationDate]])," ", YEAR(CompilDonnées[[#This Row],[PlantationDate]]))</f>
        <v>8 2025</v>
      </c>
      <c r="M4293" t="str">
        <f>CONCATENATE(MONTH(CompilDonnées[[#This Row],[HarvestingDate]])," ", YEAR(CompilDonnées[[#This Row],[HarvestingDate]]))</f>
        <v>9 2025</v>
      </c>
      <c r="N4293">
        <f>_xlfn.NUMBERVALUE(CompilDonnées[[#This Row],[FarmID]]&amp;CompilDonnées[[#This Row],[ModuleNumber]]&amp;CompilDonnées[[#This Row],[PlantationDate]])</f>
        <v>55345877</v>
      </c>
      <c r="O4293" t="str">
        <f>CompilDonnées[[#This Row],[FarmID]]&amp;CompilDonnées[[#This Row],[ModuleNumber]]</f>
        <v>553</v>
      </c>
      <c r="P4293" t="str">
        <f>CompilDonnées[[#This Row],[Ref_Module]]&amp;CompilDonnées[[#This Row],[HarvestingDate]]</f>
        <v>55345929</v>
      </c>
    </row>
    <row r="4294" spans="1:16">
      <c r="A4294" s="5">
        <v>45877</v>
      </c>
      <c r="B4294">
        <v>64</v>
      </c>
      <c r="C4294" t="s">
        <v>47</v>
      </c>
      <c r="D4294">
        <v>3</v>
      </c>
      <c r="E4294">
        <v>100</v>
      </c>
      <c r="F4294" t="s">
        <v>1</v>
      </c>
      <c r="G4294" s="6">
        <v>45916</v>
      </c>
      <c r="H4294">
        <v>39</v>
      </c>
      <c r="I4294">
        <f>ROUND(CompilDonnées[[#This Row],[CultureDuration_days]]/7,0)</f>
        <v>6</v>
      </c>
      <c r="J4294">
        <v>2013</v>
      </c>
      <c r="K4294" t="str">
        <f>_xlfn.CONCAT(WEEKNUM(CompilDonnées[[#This Row],[PlantationDate]]), " ", YEAR(CompilDonnées[[#This Row],[PlantationDate]]))</f>
        <v>32 2025</v>
      </c>
      <c r="L4294" t="str">
        <f>CONCATENATE(MONTH(CompilDonnées[[#This Row],[PlantationDate]])," ", YEAR(CompilDonnées[[#This Row],[PlantationDate]]))</f>
        <v>8 2025</v>
      </c>
      <c r="M4294" t="str">
        <f>CONCATENATE(MONTH(CompilDonnées[[#This Row],[HarvestingDate]])," ", YEAR(CompilDonnées[[#This Row],[HarvestingDate]]))</f>
        <v>9 2025</v>
      </c>
      <c r="N4294">
        <f>_xlfn.NUMBERVALUE(CompilDonnées[[#This Row],[FarmID]]&amp;CompilDonnées[[#This Row],[ModuleNumber]]&amp;CompilDonnées[[#This Row],[PlantationDate]])</f>
        <v>64345877</v>
      </c>
      <c r="O4294" t="str">
        <f>CompilDonnées[[#This Row],[FarmID]]&amp;CompilDonnées[[#This Row],[ModuleNumber]]</f>
        <v>643</v>
      </c>
      <c r="P4294" t="str">
        <f>CompilDonnées[[#This Row],[Ref_Module]]&amp;CompilDonnées[[#This Row],[HarvestingDate]]</f>
        <v>64345916</v>
      </c>
    </row>
    <row r="4295" spans="1:16">
      <c r="A4295" s="5">
        <v>45877</v>
      </c>
      <c r="B4295">
        <v>80</v>
      </c>
      <c r="C4295" t="s">
        <v>29</v>
      </c>
      <c r="D4295">
        <v>3</v>
      </c>
      <c r="E4295">
        <v>100</v>
      </c>
      <c r="F4295" t="s">
        <v>1</v>
      </c>
      <c r="G4295" s="6">
        <v>45923</v>
      </c>
      <c r="H4295">
        <v>46</v>
      </c>
      <c r="I4295">
        <f>ROUND(CompilDonnées[[#This Row],[CultureDuration_days]]/7,0)</f>
        <v>7</v>
      </c>
      <c r="J4295">
        <v>3693</v>
      </c>
      <c r="K4295" t="str">
        <f>_xlfn.CONCAT(WEEKNUM(CompilDonnées[[#This Row],[PlantationDate]]), " ", YEAR(CompilDonnées[[#This Row],[PlantationDate]]))</f>
        <v>32 2025</v>
      </c>
      <c r="L4295" t="str">
        <f>CONCATENATE(MONTH(CompilDonnées[[#This Row],[PlantationDate]])," ", YEAR(CompilDonnées[[#This Row],[PlantationDate]]))</f>
        <v>8 2025</v>
      </c>
      <c r="M4295" t="str">
        <f>CONCATENATE(MONTH(CompilDonnées[[#This Row],[HarvestingDate]])," ", YEAR(CompilDonnées[[#This Row],[HarvestingDate]]))</f>
        <v>9 2025</v>
      </c>
      <c r="N4295">
        <f>_xlfn.NUMBERVALUE(CompilDonnées[[#This Row],[FarmID]]&amp;CompilDonnées[[#This Row],[ModuleNumber]]&amp;CompilDonnées[[#This Row],[PlantationDate]])</f>
        <v>80345877</v>
      </c>
      <c r="O4295" t="str">
        <f>CompilDonnées[[#This Row],[FarmID]]&amp;CompilDonnées[[#This Row],[ModuleNumber]]</f>
        <v>803</v>
      </c>
      <c r="P4295" t="str">
        <f>CompilDonnées[[#This Row],[Ref_Module]]&amp;CompilDonnées[[#This Row],[HarvestingDate]]</f>
        <v>80345923</v>
      </c>
    </row>
    <row r="4296" spans="1:16">
      <c r="A4296" s="5">
        <v>45877</v>
      </c>
      <c r="B4296">
        <v>72</v>
      </c>
      <c r="C4296" t="s">
        <v>49</v>
      </c>
      <c r="D4296">
        <v>2</v>
      </c>
      <c r="E4296">
        <v>100</v>
      </c>
      <c r="F4296" t="s">
        <v>1</v>
      </c>
      <c r="G4296" s="6">
        <v>45923</v>
      </c>
      <c r="H4296">
        <v>46</v>
      </c>
      <c r="I4296">
        <f>ROUND(CompilDonnées[[#This Row],[CultureDuration_days]]/7,0)</f>
        <v>7</v>
      </c>
      <c r="J4296">
        <v>2174</v>
      </c>
      <c r="K4296" t="str">
        <f>_xlfn.CONCAT(WEEKNUM(CompilDonnées[[#This Row],[PlantationDate]]), " ", YEAR(CompilDonnées[[#This Row],[PlantationDate]]))</f>
        <v>32 2025</v>
      </c>
      <c r="L4296" t="str">
        <f>CONCATENATE(MONTH(CompilDonnées[[#This Row],[PlantationDate]])," ", YEAR(CompilDonnées[[#This Row],[PlantationDate]]))</f>
        <v>8 2025</v>
      </c>
      <c r="M4296" t="str">
        <f>CONCATENATE(MONTH(CompilDonnées[[#This Row],[HarvestingDate]])," ", YEAR(CompilDonnées[[#This Row],[HarvestingDate]]))</f>
        <v>9 2025</v>
      </c>
      <c r="N4296">
        <f>_xlfn.NUMBERVALUE(CompilDonnées[[#This Row],[FarmID]]&amp;CompilDonnées[[#This Row],[ModuleNumber]]&amp;CompilDonnées[[#This Row],[PlantationDate]])</f>
        <v>72245877</v>
      </c>
      <c r="O4296" t="str">
        <f>CompilDonnées[[#This Row],[FarmID]]&amp;CompilDonnées[[#This Row],[ModuleNumber]]</f>
        <v>722</v>
      </c>
      <c r="P4296" t="str">
        <f>CompilDonnées[[#This Row],[Ref_Module]]&amp;CompilDonnées[[#This Row],[HarvestingDate]]</f>
        <v>72245923</v>
      </c>
    </row>
    <row r="4297" spans="1:16">
      <c r="A4297" s="5">
        <v>45877</v>
      </c>
      <c r="B4297">
        <v>71</v>
      </c>
      <c r="C4297" t="s">
        <v>19</v>
      </c>
      <c r="D4297">
        <v>6</v>
      </c>
      <c r="E4297">
        <v>100</v>
      </c>
      <c r="F4297" t="s">
        <v>1</v>
      </c>
      <c r="G4297" s="6">
        <v>45923</v>
      </c>
      <c r="H4297">
        <v>46</v>
      </c>
      <c r="I4297">
        <f>ROUND(CompilDonnées[[#This Row],[CultureDuration_days]]/7,0)</f>
        <v>7</v>
      </c>
      <c r="J4297">
        <v>2568</v>
      </c>
      <c r="K4297" t="str">
        <f>_xlfn.CONCAT(WEEKNUM(CompilDonnées[[#This Row],[PlantationDate]]), " ", YEAR(CompilDonnées[[#This Row],[PlantationDate]]))</f>
        <v>32 2025</v>
      </c>
      <c r="L4297" t="str">
        <f>CONCATENATE(MONTH(CompilDonnées[[#This Row],[PlantationDate]])," ", YEAR(CompilDonnées[[#This Row],[PlantationDate]]))</f>
        <v>8 2025</v>
      </c>
      <c r="M4297" t="str">
        <f>CONCATENATE(MONTH(CompilDonnées[[#This Row],[HarvestingDate]])," ", YEAR(CompilDonnées[[#This Row],[HarvestingDate]]))</f>
        <v>9 2025</v>
      </c>
      <c r="N4297">
        <f>_xlfn.NUMBERVALUE(CompilDonnées[[#This Row],[FarmID]]&amp;CompilDonnées[[#This Row],[ModuleNumber]]&amp;CompilDonnées[[#This Row],[PlantationDate]])</f>
        <v>71645877</v>
      </c>
      <c r="O4297" t="str">
        <f>CompilDonnées[[#This Row],[FarmID]]&amp;CompilDonnées[[#This Row],[ModuleNumber]]</f>
        <v>716</v>
      </c>
      <c r="P4297" t="str">
        <f>CompilDonnées[[#This Row],[Ref_Module]]&amp;CompilDonnées[[#This Row],[HarvestingDate]]</f>
        <v>71645923</v>
      </c>
    </row>
    <row r="4298" spans="1:16">
      <c r="A4298" s="5">
        <v>45877</v>
      </c>
      <c r="B4298">
        <v>77</v>
      </c>
      <c r="C4298" t="s">
        <v>75</v>
      </c>
      <c r="D4298">
        <v>4</v>
      </c>
      <c r="E4298">
        <v>100</v>
      </c>
      <c r="F4298" t="s">
        <v>1</v>
      </c>
      <c r="G4298" s="6">
        <v>45917</v>
      </c>
      <c r="H4298">
        <v>40</v>
      </c>
      <c r="I4298">
        <f>ROUND(CompilDonnées[[#This Row],[CultureDuration_days]]/7,0)</f>
        <v>6</v>
      </c>
      <c r="J4298">
        <v>2060</v>
      </c>
      <c r="K4298" t="str">
        <f>_xlfn.CONCAT(WEEKNUM(CompilDonnées[[#This Row],[PlantationDate]]), " ", YEAR(CompilDonnées[[#This Row],[PlantationDate]]))</f>
        <v>32 2025</v>
      </c>
      <c r="L4298" t="str">
        <f>CONCATENATE(MONTH(CompilDonnées[[#This Row],[PlantationDate]])," ", YEAR(CompilDonnées[[#This Row],[PlantationDate]]))</f>
        <v>8 2025</v>
      </c>
      <c r="M4298" t="str">
        <f>CONCATENATE(MONTH(CompilDonnées[[#This Row],[HarvestingDate]])," ", YEAR(CompilDonnées[[#This Row],[HarvestingDate]]))</f>
        <v>9 2025</v>
      </c>
      <c r="N4298">
        <f>_xlfn.NUMBERVALUE(CompilDonnées[[#This Row],[FarmID]]&amp;CompilDonnées[[#This Row],[ModuleNumber]]&amp;CompilDonnées[[#This Row],[PlantationDate]])</f>
        <v>77445877</v>
      </c>
      <c r="O4298" t="str">
        <f>CompilDonnées[[#This Row],[FarmID]]&amp;CompilDonnées[[#This Row],[ModuleNumber]]</f>
        <v>774</v>
      </c>
      <c r="P4298" t="str">
        <f>CompilDonnées[[#This Row],[Ref_Module]]&amp;CompilDonnées[[#This Row],[HarvestingDate]]</f>
        <v>77445917</v>
      </c>
    </row>
    <row r="4299" spans="1:16">
      <c r="A4299" s="5">
        <v>45877</v>
      </c>
      <c r="B4299">
        <v>83</v>
      </c>
      <c r="C4299" t="s">
        <v>73</v>
      </c>
      <c r="D4299">
        <v>4</v>
      </c>
      <c r="E4299">
        <v>100</v>
      </c>
      <c r="F4299" t="s">
        <v>1</v>
      </c>
      <c r="G4299" s="6">
        <v>45923</v>
      </c>
      <c r="H4299">
        <v>46</v>
      </c>
      <c r="I4299">
        <f>ROUND(CompilDonnées[[#This Row],[CultureDuration_days]]/7,0)</f>
        <v>7</v>
      </c>
      <c r="J4299">
        <v>2731</v>
      </c>
      <c r="K4299" t="str">
        <f>_xlfn.CONCAT(WEEKNUM(CompilDonnées[[#This Row],[PlantationDate]]), " ", YEAR(CompilDonnées[[#This Row],[PlantationDate]]))</f>
        <v>32 2025</v>
      </c>
      <c r="L4299" t="str">
        <f>CONCATENATE(MONTH(CompilDonnées[[#This Row],[PlantationDate]])," ", YEAR(CompilDonnées[[#This Row],[PlantationDate]]))</f>
        <v>8 2025</v>
      </c>
      <c r="M4299" t="str">
        <f>CONCATENATE(MONTH(CompilDonnées[[#This Row],[HarvestingDate]])," ", YEAR(CompilDonnées[[#This Row],[HarvestingDate]]))</f>
        <v>9 2025</v>
      </c>
      <c r="N4299">
        <f>_xlfn.NUMBERVALUE(CompilDonnées[[#This Row],[FarmID]]&amp;CompilDonnées[[#This Row],[ModuleNumber]]&amp;CompilDonnées[[#This Row],[PlantationDate]])</f>
        <v>83445877</v>
      </c>
      <c r="O4299" t="str">
        <f>CompilDonnées[[#This Row],[FarmID]]&amp;CompilDonnées[[#This Row],[ModuleNumber]]</f>
        <v>834</v>
      </c>
      <c r="P4299" t="str">
        <f>CompilDonnées[[#This Row],[Ref_Module]]&amp;CompilDonnées[[#This Row],[HarvestingDate]]</f>
        <v>83445923</v>
      </c>
    </row>
    <row r="4300" spans="1:16">
      <c r="A4300" s="5">
        <v>45877</v>
      </c>
      <c r="B4300">
        <v>4</v>
      </c>
      <c r="C4300" t="s">
        <v>74</v>
      </c>
      <c r="D4300">
        <v>4</v>
      </c>
      <c r="E4300">
        <v>100</v>
      </c>
      <c r="F4300" t="s">
        <v>1</v>
      </c>
      <c r="G4300" s="6">
        <v>45915</v>
      </c>
      <c r="H4300">
        <v>38</v>
      </c>
      <c r="I4300">
        <f>ROUND(CompilDonnées[[#This Row],[CultureDuration_days]]/7,0)</f>
        <v>5</v>
      </c>
      <c r="J4300">
        <v>1403</v>
      </c>
      <c r="K4300" t="str">
        <f>_xlfn.CONCAT(WEEKNUM(CompilDonnées[[#This Row],[PlantationDate]]), " ", YEAR(CompilDonnées[[#This Row],[PlantationDate]]))</f>
        <v>32 2025</v>
      </c>
      <c r="L4300" t="str">
        <f>CONCATENATE(MONTH(CompilDonnées[[#This Row],[PlantationDate]])," ", YEAR(CompilDonnées[[#This Row],[PlantationDate]]))</f>
        <v>8 2025</v>
      </c>
      <c r="M4300" t="str">
        <f>CONCATENATE(MONTH(CompilDonnées[[#This Row],[HarvestingDate]])," ", YEAR(CompilDonnées[[#This Row],[HarvestingDate]]))</f>
        <v>9 2025</v>
      </c>
      <c r="N4300">
        <f>_xlfn.NUMBERVALUE(CompilDonnées[[#This Row],[FarmID]]&amp;CompilDonnées[[#This Row],[ModuleNumber]]&amp;CompilDonnées[[#This Row],[PlantationDate]])</f>
        <v>4445877</v>
      </c>
      <c r="O4300" t="str">
        <f>CompilDonnées[[#This Row],[FarmID]]&amp;CompilDonnées[[#This Row],[ModuleNumber]]</f>
        <v>44</v>
      </c>
      <c r="P4300" t="str">
        <f>CompilDonnées[[#This Row],[Ref_Module]]&amp;CompilDonnées[[#This Row],[HarvestingDate]]</f>
        <v>4445915</v>
      </c>
    </row>
    <row r="4301" spans="1:16">
      <c r="A4301" s="5">
        <v>45877</v>
      </c>
      <c r="B4301">
        <v>16</v>
      </c>
      <c r="C4301" t="s">
        <v>112</v>
      </c>
      <c r="D4301">
        <v>2</v>
      </c>
      <c r="E4301">
        <v>100</v>
      </c>
      <c r="F4301" t="s">
        <v>1</v>
      </c>
      <c r="G4301" s="6">
        <v>45924</v>
      </c>
      <c r="H4301">
        <v>47</v>
      </c>
      <c r="I4301">
        <f>ROUND(CompilDonnées[[#This Row],[CultureDuration_days]]/7,0)</f>
        <v>7</v>
      </c>
      <c r="J4301">
        <v>1598</v>
      </c>
      <c r="K4301" t="str">
        <f>_xlfn.CONCAT(WEEKNUM(CompilDonnées[[#This Row],[PlantationDate]]), " ", YEAR(CompilDonnées[[#This Row],[PlantationDate]]))</f>
        <v>32 2025</v>
      </c>
      <c r="L4301" t="str">
        <f>CONCATENATE(MONTH(CompilDonnées[[#This Row],[PlantationDate]])," ", YEAR(CompilDonnées[[#This Row],[PlantationDate]]))</f>
        <v>8 2025</v>
      </c>
      <c r="M4301" t="str">
        <f>CONCATENATE(MONTH(CompilDonnées[[#This Row],[HarvestingDate]])," ", YEAR(CompilDonnées[[#This Row],[HarvestingDate]]))</f>
        <v>9 2025</v>
      </c>
      <c r="N4301">
        <f>_xlfn.NUMBERVALUE(CompilDonnées[[#This Row],[FarmID]]&amp;CompilDonnées[[#This Row],[ModuleNumber]]&amp;CompilDonnées[[#This Row],[PlantationDate]])</f>
        <v>16245877</v>
      </c>
      <c r="O4301" t="str">
        <f>CompilDonnées[[#This Row],[FarmID]]&amp;CompilDonnées[[#This Row],[ModuleNumber]]</f>
        <v>162</v>
      </c>
      <c r="P4301" t="str">
        <f>CompilDonnées[[#This Row],[Ref_Module]]&amp;CompilDonnées[[#This Row],[HarvestingDate]]</f>
        <v>16245924</v>
      </c>
    </row>
    <row r="4302" spans="1:16">
      <c r="A4302" s="5">
        <v>45877</v>
      </c>
      <c r="B4302">
        <v>15</v>
      </c>
      <c r="C4302" t="s">
        <v>5</v>
      </c>
      <c r="D4302">
        <v>3</v>
      </c>
      <c r="E4302">
        <v>100</v>
      </c>
      <c r="F4302" t="s">
        <v>1</v>
      </c>
      <c r="G4302" s="6">
        <v>45924</v>
      </c>
      <c r="H4302">
        <v>47</v>
      </c>
      <c r="I4302">
        <f>ROUND(CompilDonnées[[#This Row],[CultureDuration_days]]/7,0)</f>
        <v>7</v>
      </c>
      <c r="J4302">
        <v>1849</v>
      </c>
      <c r="K4302" t="str">
        <f>_xlfn.CONCAT(WEEKNUM(CompilDonnées[[#This Row],[PlantationDate]]), " ", YEAR(CompilDonnées[[#This Row],[PlantationDate]]))</f>
        <v>32 2025</v>
      </c>
      <c r="L4302" t="str">
        <f>CONCATENATE(MONTH(CompilDonnées[[#This Row],[PlantationDate]])," ", YEAR(CompilDonnées[[#This Row],[PlantationDate]]))</f>
        <v>8 2025</v>
      </c>
      <c r="M4302" t="str">
        <f>CONCATENATE(MONTH(CompilDonnées[[#This Row],[HarvestingDate]])," ", YEAR(CompilDonnées[[#This Row],[HarvestingDate]]))</f>
        <v>9 2025</v>
      </c>
      <c r="N4302">
        <f>_xlfn.NUMBERVALUE(CompilDonnées[[#This Row],[FarmID]]&amp;CompilDonnées[[#This Row],[ModuleNumber]]&amp;CompilDonnées[[#This Row],[PlantationDate]])</f>
        <v>15345877</v>
      </c>
      <c r="O4302" t="str">
        <f>CompilDonnées[[#This Row],[FarmID]]&amp;CompilDonnées[[#This Row],[ModuleNumber]]</f>
        <v>153</v>
      </c>
      <c r="P4302" t="str">
        <f>CompilDonnées[[#This Row],[Ref_Module]]&amp;CompilDonnées[[#This Row],[HarvestingDate]]</f>
        <v>15345924</v>
      </c>
    </row>
    <row r="4303" spans="1:16">
      <c r="A4303" s="5">
        <v>45877</v>
      </c>
      <c r="B4303">
        <v>38</v>
      </c>
      <c r="C4303" t="s">
        <v>34</v>
      </c>
      <c r="D4303">
        <v>6</v>
      </c>
      <c r="E4303">
        <v>100</v>
      </c>
      <c r="F4303" t="s">
        <v>1</v>
      </c>
      <c r="G4303" s="6">
        <v>45915</v>
      </c>
      <c r="H4303">
        <v>38</v>
      </c>
      <c r="I4303">
        <f>ROUND(CompilDonnées[[#This Row],[CultureDuration_days]]/7,0)</f>
        <v>5</v>
      </c>
      <c r="J4303">
        <v>3430</v>
      </c>
      <c r="K4303" t="str">
        <f>_xlfn.CONCAT(WEEKNUM(CompilDonnées[[#This Row],[PlantationDate]]), " ", YEAR(CompilDonnées[[#This Row],[PlantationDate]]))</f>
        <v>32 2025</v>
      </c>
      <c r="L4303" t="str">
        <f>CONCATENATE(MONTH(CompilDonnées[[#This Row],[PlantationDate]])," ", YEAR(CompilDonnées[[#This Row],[PlantationDate]]))</f>
        <v>8 2025</v>
      </c>
      <c r="M4303" t="str">
        <f>CONCATENATE(MONTH(CompilDonnées[[#This Row],[HarvestingDate]])," ", YEAR(CompilDonnées[[#This Row],[HarvestingDate]]))</f>
        <v>9 2025</v>
      </c>
      <c r="N4303">
        <f>_xlfn.NUMBERVALUE(CompilDonnées[[#This Row],[FarmID]]&amp;CompilDonnées[[#This Row],[ModuleNumber]]&amp;CompilDonnées[[#This Row],[PlantationDate]])</f>
        <v>38645877</v>
      </c>
      <c r="O4303" t="str">
        <f>CompilDonnées[[#This Row],[FarmID]]&amp;CompilDonnées[[#This Row],[ModuleNumber]]</f>
        <v>386</v>
      </c>
      <c r="P4303" t="str">
        <f>CompilDonnées[[#This Row],[Ref_Module]]&amp;CompilDonnées[[#This Row],[HarvestingDate]]</f>
        <v>38645915</v>
      </c>
    </row>
    <row r="4304" spans="1:16">
      <c r="A4304" s="5">
        <v>45877</v>
      </c>
      <c r="B4304">
        <v>45</v>
      </c>
      <c r="C4304" t="s">
        <v>77</v>
      </c>
      <c r="D4304">
        <v>5</v>
      </c>
      <c r="E4304">
        <v>100</v>
      </c>
      <c r="F4304" t="s">
        <v>1</v>
      </c>
      <c r="G4304" s="6">
        <v>45924</v>
      </c>
      <c r="H4304">
        <v>47</v>
      </c>
      <c r="I4304">
        <f>ROUND(CompilDonnées[[#This Row],[CultureDuration_days]]/7,0)</f>
        <v>7</v>
      </c>
      <c r="J4304">
        <v>3530</v>
      </c>
      <c r="K4304" t="str">
        <f>_xlfn.CONCAT(WEEKNUM(CompilDonnées[[#This Row],[PlantationDate]]), " ", YEAR(CompilDonnées[[#This Row],[PlantationDate]]))</f>
        <v>32 2025</v>
      </c>
      <c r="L4304" t="str">
        <f>CONCATENATE(MONTH(CompilDonnées[[#This Row],[PlantationDate]])," ", YEAR(CompilDonnées[[#This Row],[PlantationDate]]))</f>
        <v>8 2025</v>
      </c>
      <c r="M4304" t="str">
        <f>CONCATENATE(MONTH(CompilDonnées[[#This Row],[HarvestingDate]])," ", YEAR(CompilDonnées[[#This Row],[HarvestingDate]]))</f>
        <v>9 2025</v>
      </c>
      <c r="N4304">
        <f>_xlfn.NUMBERVALUE(CompilDonnées[[#This Row],[FarmID]]&amp;CompilDonnées[[#This Row],[ModuleNumber]]&amp;CompilDonnées[[#This Row],[PlantationDate]])</f>
        <v>45545877</v>
      </c>
      <c r="O4304" t="str">
        <f>CompilDonnées[[#This Row],[FarmID]]&amp;CompilDonnées[[#This Row],[ModuleNumber]]</f>
        <v>455</v>
      </c>
      <c r="P4304" t="str">
        <f>CompilDonnées[[#This Row],[Ref_Module]]&amp;CompilDonnées[[#This Row],[HarvestingDate]]</f>
        <v>45545924</v>
      </c>
    </row>
    <row r="4305" spans="1:16">
      <c r="A4305" s="5">
        <v>45877</v>
      </c>
      <c r="B4305">
        <v>9</v>
      </c>
      <c r="C4305" t="s">
        <v>107</v>
      </c>
      <c r="D4305">
        <v>2</v>
      </c>
      <c r="E4305">
        <v>100</v>
      </c>
      <c r="F4305" t="s">
        <v>1</v>
      </c>
      <c r="G4305" s="6">
        <v>45925</v>
      </c>
      <c r="H4305">
        <v>48</v>
      </c>
      <c r="I4305">
        <f>ROUND(CompilDonnées[[#This Row],[CultureDuration_days]]/7,0)</f>
        <v>7</v>
      </c>
      <c r="J4305">
        <v>2692</v>
      </c>
      <c r="K4305" t="str">
        <f>_xlfn.CONCAT(WEEKNUM(CompilDonnées[[#This Row],[PlantationDate]]), " ", YEAR(CompilDonnées[[#This Row],[PlantationDate]]))</f>
        <v>32 2025</v>
      </c>
      <c r="L4305" t="str">
        <f>CONCATENATE(MONTH(CompilDonnées[[#This Row],[PlantationDate]])," ", YEAR(CompilDonnées[[#This Row],[PlantationDate]]))</f>
        <v>8 2025</v>
      </c>
      <c r="M4305" t="str">
        <f>CONCATENATE(MONTH(CompilDonnées[[#This Row],[HarvestingDate]])," ", YEAR(CompilDonnées[[#This Row],[HarvestingDate]]))</f>
        <v>9 2025</v>
      </c>
      <c r="N4305">
        <f>_xlfn.NUMBERVALUE(CompilDonnées[[#This Row],[FarmID]]&amp;CompilDonnées[[#This Row],[ModuleNumber]]&amp;CompilDonnées[[#This Row],[PlantationDate]])</f>
        <v>9245877</v>
      </c>
      <c r="O4305" t="str">
        <f>CompilDonnées[[#This Row],[FarmID]]&amp;CompilDonnées[[#This Row],[ModuleNumber]]</f>
        <v>92</v>
      </c>
      <c r="P4305" t="str">
        <f>CompilDonnées[[#This Row],[Ref_Module]]&amp;CompilDonnées[[#This Row],[HarvestingDate]]</f>
        <v>9245925</v>
      </c>
    </row>
    <row r="4306" spans="1:16">
      <c r="A4306" s="5">
        <v>45877</v>
      </c>
      <c r="B4306">
        <v>10</v>
      </c>
      <c r="C4306" t="s">
        <v>109</v>
      </c>
      <c r="D4306">
        <v>2</v>
      </c>
      <c r="E4306">
        <v>100</v>
      </c>
      <c r="F4306" t="s">
        <v>1</v>
      </c>
      <c r="G4306" s="6">
        <v>45925</v>
      </c>
      <c r="H4306">
        <v>48</v>
      </c>
      <c r="I4306">
        <f>ROUND(CompilDonnées[[#This Row],[CultureDuration_days]]/7,0)</f>
        <v>7</v>
      </c>
      <c r="J4306">
        <v>3421</v>
      </c>
      <c r="K4306" t="str">
        <f>_xlfn.CONCAT(WEEKNUM(CompilDonnées[[#This Row],[PlantationDate]]), " ", YEAR(CompilDonnées[[#This Row],[PlantationDate]]))</f>
        <v>32 2025</v>
      </c>
      <c r="L4306" t="str">
        <f>CONCATENATE(MONTH(CompilDonnées[[#This Row],[PlantationDate]])," ", YEAR(CompilDonnées[[#This Row],[PlantationDate]]))</f>
        <v>8 2025</v>
      </c>
      <c r="M4306" t="str">
        <f>CONCATENATE(MONTH(CompilDonnées[[#This Row],[HarvestingDate]])," ", YEAR(CompilDonnées[[#This Row],[HarvestingDate]]))</f>
        <v>9 2025</v>
      </c>
      <c r="N4306">
        <f>_xlfn.NUMBERVALUE(CompilDonnées[[#This Row],[FarmID]]&amp;CompilDonnées[[#This Row],[ModuleNumber]]&amp;CompilDonnées[[#This Row],[PlantationDate]])</f>
        <v>10245877</v>
      </c>
      <c r="O4306" t="str">
        <f>CompilDonnées[[#This Row],[FarmID]]&amp;CompilDonnées[[#This Row],[ModuleNumber]]</f>
        <v>102</v>
      </c>
      <c r="P4306" t="str">
        <f>CompilDonnées[[#This Row],[Ref_Module]]&amp;CompilDonnées[[#This Row],[HarvestingDate]]</f>
        <v>10245925</v>
      </c>
    </row>
    <row r="4307" spans="1:16">
      <c r="A4307" s="5">
        <v>45877</v>
      </c>
      <c r="B4307">
        <v>13</v>
      </c>
      <c r="C4307" t="s">
        <v>114</v>
      </c>
      <c r="D4307">
        <v>5</v>
      </c>
      <c r="E4307">
        <v>100</v>
      </c>
      <c r="F4307" t="s">
        <v>1</v>
      </c>
      <c r="G4307" s="6">
        <v>45925</v>
      </c>
      <c r="H4307">
        <v>48</v>
      </c>
      <c r="I4307">
        <f>ROUND(CompilDonnées[[#This Row],[CultureDuration_days]]/7,0)</f>
        <v>7</v>
      </c>
      <c r="J4307">
        <v>3337</v>
      </c>
      <c r="K4307" t="str">
        <f>_xlfn.CONCAT(WEEKNUM(CompilDonnées[[#This Row],[PlantationDate]]), " ", YEAR(CompilDonnées[[#This Row],[PlantationDate]]))</f>
        <v>32 2025</v>
      </c>
      <c r="L4307" t="str">
        <f>CONCATENATE(MONTH(CompilDonnées[[#This Row],[PlantationDate]])," ", YEAR(CompilDonnées[[#This Row],[PlantationDate]]))</f>
        <v>8 2025</v>
      </c>
      <c r="M4307" t="str">
        <f>CONCATENATE(MONTH(CompilDonnées[[#This Row],[HarvestingDate]])," ", YEAR(CompilDonnées[[#This Row],[HarvestingDate]]))</f>
        <v>9 2025</v>
      </c>
      <c r="N4307">
        <f>_xlfn.NUMBERVALUE(CompilDonnées[[#This Row],[FarmID]]&amp;CompilDonnées[[#This Row],[ModuleNumber]]&amp;CompilDonnées[[#This Row],[PlantationDate]])</f>
        <v>13545877</v>
      </c>
      <c r="O4307" t="str">
        <f>CompilDonnées[[#This Row],[FarmID]]&amp;CompilDonnées[[#This Row],[ModuleNumber]]</f>
        <v>135</v>
      </c>
      <c r="P4307" t="str">
        <f>CompilDonnées[[#This Row],[Ref_Module]]&amp;CompilDonnées[[#This Row],[HarvestingDate]]</f>
        <v>13545925</v>
      </c>
    </row>
    <row r="4308" spans="1:16">
      <c r="A4308" s="5">
        <v>45877</v>
      </c>
      <c r="B4308">
        <v>11</v>
      </c>
      <c r="C4308" t="s">
        <v>106</v>
      </c>
      <c r="D4308">
        <v>1</v>
      </c>
      <c r="E4308">
        <v>100</v>
      </c>
      <c r="F4308" t="s">
        <v>1</v>
      </c>
      <c r="G4308" s="6">
        <v>45925</v>
      </c>
      <c r="H4308">
        <v>48</v>
      </c>
      <c r="I4308">
        <f>ROUND(CompilDonnées[[#This Row],[CultureDuration_days]]/7,0)</f>
        <v>7</v>
      </c>
      <c r="J4308">
        <v>1753</v>
      </c>
      <c r="K4308" t="str">
        <f>_xlfn.CONCAT(WEEKNUM(CompilDonnées[[#This Row],[PlantationDate]]), " ", YEAR(CompilDonnées[[#This Row],[PlantationDate]]))</f>
        <v>32 2025</v>
      </c>
      <c r="L4308" t="str">
        <f>CONCATENATE(MONTH(CompilDonnées[[#This Row],[PlantationDate]])," ", YEAR(CompilDonnées[[#This Row],[PlantationDate]]))</f>
        <v>8 2025</v>
      </c>
      <c r="M4308" t="str">
        <f>CONCATENATE(MONTH(CompilDonnées[[#This Row],[HarvestingDate]])," ", YEAR(CompilDonnées[[#This Row],[HarvestingDate]]))</f>
        <v>9 2025</v>
      </c>
      <c r="N4308">
        <f>_xlfn.NUMBERVALUE(CompilDonnées[[#This Row],[FarmID]]&amp;CompilDonnées[[#This Row],[ModuleNumber]]&amp;CompilDonnées[[#This Row],[PlantationDate]])</f>
        <v>11145877</v>
      </c>
      <c r="O4308" t="str">
        <f>CompilDonnées[[#This Row],[FarmID]]&amp;CompilDonnées[[#This Row],[ModuleNumber]]</f>
        <v>111</v>
      </c>
      <c r="P4308" t="str">
        <f>CompilDonnées[[#This Row],[Ref_Module]]&amp;CompilDonnées[[#This Row],[HarvestingDate]]</f>
        <v>11145925</v>
      </c>
    </row>
    <row r="4309" spans="1:16">
      <c r="A4309" s="5">
        <v>45877</v>
      </c>
      <c r="B4309">
        <v>26</v>
      </c>
      <c r="C4309" t="s">
        <v>97</v>
      </c>
      <c r="D4309">
        <v>2</v>
      </c>
      <c r="E4309">
        <v>100</v>
      </c>
      <c r="F4309" t="s">
        <v>1</v>
      </c>
      <c r="G4309" s="6">
        <v>45916</v>
      </c>
      <c r="H4309">
        <v>39</v>
      </c>
      <c r="I4309">
        <f>ROUND(CompilDonnées[[#This Row],[CultureDuration_days]]/7,0)</f>
        <v>6</v>
      </c>
      <c r="J4309">
        <v>2317</v>
      </c>
      <c r="K4309" t="str">
        <f>_xlfn.CONCAT(WEEKNUM(CompilDonnées[[#This Row],[PlantationDate]]), " ", YEAR(CompilDonnées[[#This Row],[PlantationDate]]))</f>
        <v>32 2025</v>
      </c>
      <c r="L4309" t="str">
        <f>CONCATENATE(MONTH(CompilDonnées[[#This Row],[PlantationDate]])," ", YEAR(CompilDonnées[[#This Row],[PlantationDate]]))</f>
        <v>8 2025</v>
      </c>
      <c r="M4309" t="str">
        <f>CONCATENATE(MONTH(CompilDonnées[[#This Row],[HarvestingDate]])," ", YEAR(CompilDonnées[[#This Row],[HarvestingDate]]))</f>
        <v>9 2025</v>
      </c>
      <c r="N4309">
        <f>_xlfn.NUMBERVALUE(CompilDonnées[[#This Row],[FarmID]]&amp;CompilDonnées[[#This Row],[ModuleNumber]]&amp;CompilDonnées[[#This Row],[PlantationDate]])</f>
        <v>26245877</v>
      </c>
      <c r="O4309" t="str">
        <f>CompilDonnées[[#This Row],[FarmID]]&amp;CompilDonnées[[#This Row],[ModuleNumber]]</f>
        <v>262</v>
      </c>
      <c r="P4309" t="str">
        <f>CompilDonnées[[#This Row],[Ref_Module]]&amp;CompilDonnées[[#This Row],[HarvestingDate]]</f>
        <v>26245916</v>
      </c>
    </row>
    <row r="4310" spans="1:16">
      <c r="A4310" s="5">
        <v>45877</v>
      </c>
      <c r="B4310">
        <v>46</v>
      </c>
      <c r="C4310" t="s">
        <v>8</v>
      </c>
      <c r="D4310">
        <v>2</v>
      </c>
      <c r="E4310">
        <v>100</v>
      </c>
      <c r="F4310" t="s">
        <v>1</v>
      </c>
      <c r="G4310" s="6">
        <v>45924</v>
      </c>
      <c r="H4310">
        <v>47</v>
      </c>
      <c r="I4310">
        <f>ROUND(CompilDonnées[[#This Row],[CultureDuration_days]]/7,0)</f>
        <v>7</v>
      </c>
      <c r="J4310">
        <v>2962</v>
      </c>
      <c r="K4310" t="str">
        <f>_xlfn.CONCAT(WEEKNUM(CompilDonnées[[#This Row],[PlantationDate]]), " ", YEAR(CompilDonnées[[#This Row],[PlantationDate]]))</f>
        <v>32 2025</v>
      </c>
      <c r="L4310" t="str">
        <f>CONCATENATE(MONTH(CompilDonnées[[#This Row],[PlantationDate]])," ", YEAR(CompilDonnées[[#This Row],[PlantationDate]]))</f>
        <v>8 2025</v>
      </c>
      <c r="M4310" t="str">
        <f>CONCATENATE(MONTH(CompilDonnées[[#This Row],[HarvestingDate]])," ", YEAR(CompilDonnées[[#This Row],[HarvestingDate]]))</f>
        <v>9 2025</v>
      </c>
      <c r="N4310">
        <f>_xlfn.NUMBERVALUE(CompilDonnées[[#This Row],[FarmID]]&amp;CompilDonnées[[#This Row],[ModuleNumber]]&amp;CompilDonnées[[#This Row],[PlantationDate]])</f>
        <v>46245877</v>
      </c>
      <c r="O4310" t="str">
        <f>CompilDonnées[[#This Row],[FarmID]]&amp;CompilDonnées[[#This Row],[ModuleNumber]]</f>
        <v>462</v>
      </c>
      <c r="P4310" t="str">
        <f>CompilDonnées[[#This Row],[Ref_Module]]&amp;CompilDonnées[[#This Row],[HarvestingDate]]</f>
        <v>46245924</v>
      </c>
    </row>
    <row r="4311" spans="1:16">
      <c r="A4311" s="5">
        <v>45877</v>
      </c>
      <c r="B4311">
        <v>47</v>
      </c>
      <c r="C4311" t="s">
        <v>104</v>
      </c>
      <c r="D4311">
        <v>4</v>
      </c>
      <c r="E4311">
        <v>100</v>
      </c>
      <c r="F4311" t="s">
        <v>1</v>
      </c>
      <c r="G4311" s="6">
        <v>45929</v>
      </c>
      <c r="H4311">
        <v>52</v>
      </c>
      <c r="I4311">
        <f>ROUND(CompilDonnées[[#This Row],[CultureDuration_days]]/7,0)</f>
        <v>7</v>
      </c>
      <c r="J4311">
        <v>2529</v>
      </c>
      <c r="K4311" t="str">
        <f>_xlfn.CONCAT(WEEKNUM(CompilDonnées[[#This Row],[PlantationDate]]), " ", YEAR(CompilDonnées[[#This Row],[PlantationDate]]))</f>
        <v>32 2025</v>
      </c>
      <c r="L4311" t="str">
        <f>CONCATENATE(MONTH(CompilDonnées[[#This Row],[PlantationDate]])," ", YEAR(CompilDonnées[[#This Row],[PlantationDate]]))</f>
        <v>8 2025</v>
      </c>
      <c r="M4311" t="str">
        <f>CONCATENATE(MONTH(CompilDonnées[[#This Row],[HarvestingDate]])," ", YEAR(CompilDonnées[[#This Row],[HarvestingDate]]))</f>
        <v>9 2025</v>
      </c>
      <c r="N4311">
        <f>_xlfn.NUMBERVALUE(CompilDonnées[[#This Row],[FarmID]]&amp;CompilDonnées[[#This Row],[ModuleNumber]]&amp;CompilDonnées[[#This Row],[PlantationDate]])</f>
        <v>47445877</v>
      </c>
      <c r="O4311" t="str">
        <f>CompilDonnées[[#This Row],[FarmID]]&amp;CompilDonnées[[#This Row],[ModuleNumber]]</f>
        <v>474</v>
      </c>
      <c r="P4311" t="str">
        <f>CompilDonnées[[#This Row],[Ref_Module]]&amp;CompilDonnées[[#This Row],[HarvestingDate]]</f>
        <v>47445929</v>
      </c>
    </row>
    <row r="4312" spans="1:16">
      <c r="A4312" s="5">
        <v>45877</v>
      </c>
      <c r="B4312">
        <v>61</v>
      </c>
      <c r="C4312" t="s">
        <v>95</v>
      </c>
      <c r="D4312">
        <v>1</v>
      </c>
      <c r="E4312">
        <v>100</v>
      </c>
      <c r="F4312" t="s">
        <v>1</v>
      </c>
      <c r="G4312" s="6">
        <v>45924</v>
      </c>
      <c r="H4312">
        <v>47</v>
      </c>
      <c r="I4312">
        <f>ROUND(CompilDonnées[[#This Row],[CultureDuration_days]]/7,0)</f>
        <v>7</v>
      </c>
      <c r="J4312">
        <v>2170</v>
      </c>
      <c r="K4312" t="str">
        <f>_xlfn.CONCAT(WEEKNUM(CompilDonnées[[#This Row],[PlantationDate]]), " ", YEAR(CompilDonnées[[#This Row],[PlantationDate]]))</f>
        <v>32 2025</v>
      </c>
      <c r="L4312" t="str">
        <f>CONCATENATE(MONTH(CompilDonnées[[#This Row],[PlantationDate]])," ", YEAR(CompilDonnées[[#This Row],[PlantationDate]]))</f>
        <v>8 2025</v>
      </c>
      <c r="M4312" t="str">
        <f>CONCATENATE(MONTH(CompilDonnées[[#This Row],[HarvestingDate]])," ", YEAR(CompilDonnées[[#This Row],[HarvestingDate]]))</f>
        <v>9 2025</v>
      </c>
      <c r="N4312">
        <f>_xlfn.NUMBERVALUE(CompilDonnées[[#This Row],[FarmID]]&amp;CompilDonnées[[#This Row],[ModuleNumber]]&amp;CompilDonnées[[#This Row],[PlantationDate]])</f>
        <v>61145877</v>
      </c>
      <c r="O4312" t="str">
        <f>CompilDonnées[[#This Row],[FarmID]]&amp;CompilDonnées[[#This Row],[ModuleNumber]]</f>
        <v>611</v>
      </c>
      <c r="P4312" t="str">
        <f>CompilDonnées[[#This Row],[Ref_Module]]&amp;CompilDonnées[[#This Row],[HarvestingDate]]</f>
        <v>61145924</v>
      </c>
    </row>
    <row r="4313" spans="1:16">
      <c r="A4313" s="5">
        <v>45877</v>
      </c>
      <c r="B4313">
        <v>63</v>
      </c>
      <c r="C4313" t="s">
        <v>98</v>
      </c>
      <c r="D4313">
        <v>1</v>
      </c>
      <c r="E4313">
        <v>100</v>
      </c>
      <c r="F4313" t="s">
        <v>1</v>
      </c>
      <c r="G4313" s="6">
        <v>45916</v>
      </c>
      <c r="H4313">
        <v>39</v>
      </c>
      <c r="I4313">
        <f>ROUND(CompilDonnées[[#This Row],[CultureDuration_days]]/7,0)</f>
        <v>6</v>
      </c>
      <c r="J4313">
        <v>1724</v>
      </c>
      <c r="K4313" t="str">
        <f>_xlfn.CONCAT(WEEKNUM(CompilDonnées[[#This Row],[PlantationDate]]), " ", YEAR(CompilDonnées[[#This Row],[PlantationDate]]))</f>
        <v>32 2025</v>
      </c>
      <c r="L4313" t="str">
        <f>CONCATENATE(MONTH(CompilDonnées[[#This Row],[PlantationDate]])," ", YEAR(CompilDonnées[[#This Row],[PlantationDate]]))</f>
        <v>8 2025</v>
      </c>
      <c r="M4313" t="str">
        <f>CONCATENATE(MONTH(CompilDonnées[[#This Row],[HarvestingDate]])," ", YEAR(CompilDonnées[[#This Row],[HarvestingDate]]))</f>
        <v>9 2025</v>
      </c>
      <c r="N4313">
        <f>_xlfn.NUMBERVALUE(CompilDonnées[[#This Row],[FarmID]]&amp;CompilDonnées[[#This Row],[ModuleNumber]]&amp;CompilDonnées[[#This Row],[PlantationDate]])</f>
        <v>63145877</v>
      </c>
      <c r="O4313" t="str">
        <f>CompilDonnées[[#This Row],[FarmID]]&amp;CompilDonnées[[#This Row],[ModuleNumber]]</f>
        <v>631</v>
      </c>
      <c r="P4313" t="str">
        <f>CompilDonnées[[#This Row],[Ref_Module]]&amp;CompilDonnées[[#This Row],[HarvestingDate]]</f>
        <v>63145916</v>
      </c>
    </row>
    <row r="4314" spans="1:16">
      <c r="A4314" s="5">
        <v>45877</v>
      </c>
      <c r="B4314">
        <v>70</v>
      </c>
      <c r="C4314" t="s">
        <v>7</v>
      </c>
      <c r="D4314">
        <v>6</v>
      </c>
      <c r="E4314">
        <v>100</v>
      </c>
      <c r="F4314" t="s">
        <v>1</v>
      </c>
      <c r="G4314" s="6">
        <v>45917</v>
      </c>
      <c r="H4314">
        <v>40</v>
      </c>
      <c r="I4314">
        <f>ROUND(CompilDonnées[[#This Row],[CultureDuration_days]]/7,0)</f>
        <v>6</v>
      </c>
      <c r="J4314">
        <v>1470</v>
      </c>
      <c r="K4314" t="str">
        <f>_xlfn.CONCAT(WEEKNUM(CompilDonnées[[#This Row],[PlantationDate]]), " ", YEAR(CompilDonnées[[#This Row],[PlantationDate]]))</f>
        <v>32 2025</v>
      </c>
      <c r="L4314" t="str">
        <f>CONCATENATE(MONTH(CompilDonnées[[#This Row],[PlantationDate]])," ", YEAR(CompilDonnées[[#This Row],[PlantationDate]]))</f>
        <v>8 2025</v>
      </c>
      <c r="M4314" t="str">
        <f>CONCATENATE(MONTH(CompilDonnées[[#This Row],[HarvestingDate]])," ", YEAR(CompilDonnées[[#This Row],[HarvestingDate]]))</f>
        <v>9 2025</v>
      </c>
      <c r="N4314">
        <f>_xlfn.NUMBERVALUE(CompilDonnées[[#This Row],[FarmID]]&amp;CompilDonnées[[#This Row],[ModuleNumber]]&amp;CompilDonnées[[#This Row],[PlantationDate]])</f>
        <v>70645877</v>
      </c>
      <c r="O4314" t="str">
        <f>CompilDonnées[[#This Row],[FarmID]]&amp;CompilDonnées[[#This Row],[ModuleNumber]]</f>
        <v>706</v>
      </c>
      <c r="P4314" t="str">
        <f>CompilDonnées[[#This Row],[Ref_Module]]&amp;CompilDonnées[[#This Row],[HarvestingDate]]</f>
        <v>70645917</v>
      </c>
    </row>
    <row r="4315" spans="1:16">
      <c r="A4315" s="5">
        <v>45877</v>
      </c>
      <c r="B4315">
        <v>147</v>
      </c>
      <c r="C4315" t="s">
        <v>3</v>
      </c>
      <c r="D4315">
        <v>2</v>
      </c>
      <c r="E4315">
        <v>60</v>
      </c>
      <c r="F4315" t="s">
        <v>105</v>
      </c>
      <c r="G4315" s="6">
        <v>45924</v>
      </c>
      <c r="H4315">
        <v>47</v>
      </c>
      <c r="I4315">
        <f>ROUND(CompilDonnées[[#This Row],[CultureDuration_days]]/7,0)</f>
        <v>7</v>
      </c>
      <c r="J4315">
        <v>2037</v>
      </c>
      <c r="K4315" t="str">
        <f>_xlfn.CONCAT(WEEKNUM(CompilDonnées[[#This Row],[PlantationDate]]), " ", YEAR(CompilDonnées[[#This Row],[PlantationDate]]))</f>
        <v>32 2025</v>
      </c>
      <c r="L4315" t="str">
        <f>CONCATENATE(MONTH(CompilDonnées[[#This Row],[PlantationDate]])," ", YEAR(CompilDonnées[[#This Row],[PlantationDate]]))</f>
        <v>8 2025</v>
      </c>
      <c r="M4315" t="str">
        <f>CONCATENATE(MONTH(CompilDonnées[[#This Row],[HarvestingDate]])," ", YEAR(CompilDonnées[[#This Row],[HarvestingDate]]))</f>
        <v>9 2025</v>
      </c>
      <c r="N4315">
        <f>_xlfn.NUMBERVALUE(CompilDonnées[[#This Row],[FarmID]]&amp;CompilDonnées[[#This Row],[ModuleNumber]]&amp;CompilDonnées[[#This Row],[PlantationDate]])</f>
        <v>147245877</v>
      </c>
      <c r="O4315" t="str">
        <f>CompilDonnées[[#This Row],[FarmID]]&amp;CompilDonnées[[#This Row],[ModuleNumber]]</f>
        <v>1472</v>
      </c>
      <c r="P4315" t="str">
        <f>CompilDonnées[[#This Row],[Ref_Module]]&amp;CompilDonnées[[#This Row],[HarvestingDate]]</f>
        <v>147245924</v>
      </c>
    </row>
    <row r="4316" spans="1:16">
      <c r="A4316" s="5">
        <v>45877</v>
      </c>
      <c r="B4316">
        <v>147</v>
      </c>
      <c r="C4316" t="s">
        <v>3</v>
      </c>
      <c r="D4316">
        <v>3</v>
      </c>
      <c r="E4316">
        <v>60</v>
      </c>
      <c r="F4316" t="s">
        <v>105</v>
      </c>
      <c r="G4316" s="6">
        <v>45924</v>
      </c>
      <c r="H4316">
        <v>47</v>
      </c>
      <c r="I4316">
        <f>ROUND(CompilDonnées[[#This Row],[CultureDuration_days]]/7,0)</f>
        <v>7</v>
      </c>
      <c r="J4316">
        <v>2045</v>
      </c>
      <c r="K4316" t="str">
        <f>_xlfn.CONCAT(WEEKNUM(CompilDonnées[[#This Row],[PlantationDate]]), " ", YEAR(CompilDonnées[[#This Row],[PlantationDate]]))</f>
        <v>32 2025</v>
      </c>
      <c r="L4316" t="str">
        <f>CONCATENATE(MONTH(CompilDonnées[[#This Row],[PlantationDate]])," ", YEAR(CompilDonnées[[#This Row],[PlantationDate]]))</f>
        <v>8 2025</v>
      </c>
      <c r="M4316" t="str">
        <f>CONCATENATE(MONTH(CompilDonnées[[#This Row],[HarvestingDate]])," ", YEAR(CompilDonnées[[#This Row],[HarvestingDate]]))</f>
        <v>9 2025</v>
      </c>
      <c r="N4316">
        <f>_xlfn.NUMBERVALUE(CompilDonnées[[#This Row],[FarmID]]&amp;CompilDonnées[[#This Row],[ModuleNumber]]&amp;CompilDonnées[[#This Row],[PlantationDate]])</f>
        <v>147345877</v>
      </c>
      <c r="O4316" t="str">
        <f>CompilDonnées[[#This Row],[FarmID]]&amp;CompilDonnées[[#This Row],[ModuleNumber]]</f>
        <v>1473</v>
      </c>
      <c r="P4316" t="str">
        <f>CompilDonnées[[#This Row],[Ref_Module]]&amp;CompilDonnées[[#This Row],[HarvestingDate]]</f>
        <v>147345924</v>
      </c>
    </row>
    <row r="4317" spans="1:16">
      <c r="A4317" s="5">
        <v>45877</v>
      </c>
      <c r="B4317">
        <v>146</v>
      </c>
      <c r="C4317" t="s">
        <v>3</v>
      </c>
      <c r="D4317">
        <v>6</v>
      </c>
      <c r="E4317">
        <v>60</v>
      </c>
      <c r="F4317" t="s">
        <v>105</v>
      </c>
      <c r="G4317" s="6">
        <v>45922</v>
      </c>
      <c r="H4317">
        <v>45</v>
      </c>
      <c r="I4317">
        <f>ROUND(CompilDonnées[[#This Row],[CultureDuration_days]]/7,0)</f>
        <v>6</v>
      </c>
      <c r="J4317">
        <v>1644</v>
      </c>
      <c r="K4317" t="str">
        <f>_xlfn.CONCAT(WEEKNUM(CompilDonnées[[#This Row],[PlantationDate]]), " ", YEAR(CompilDonnées[[#This Row],[PlantationDate]]))</f>
        <v>32 2025</v>
      </c>
      <c r="L4317" t="str">
        <f>CONCATENATE(MONTH(CompilDonnées[[#This Row],[PlantationDate]])," ", YEAR(CompilDonnées[[#This Row],[PlantationDate]]))</f>
        <v>8 2025</v>
      </c>
      <c r="M4317" t="str">
        <f>CONCATENATE(MONTH(CompilDonnées[[#This Row],[HarvestingDate]])," ", YEAR(CompilDonnées[[#This Row],[HarvestingDate]]))</f>
        <v>9 2025</v>
      </c>
      <c r="N4317">
        <f>_xlfn.NUMBERVALUE(CompilDonnées[[#This Row],[FarmID]]&amp;CompilDonnées[[#This Row],[ModuleNumber]]&amp;CompilDonnées[[#This Row],[PlantationDate]])</f>
        <v>146645877</v>
      </c>
      <c r="O4317" t="str">
        <f>CompilDonnées[[#This Row],[FarmID]]&amp;CompilDonnées[[#This Row],[ModuleNumber]]</f>
        <v>1466</v>
      </c>
      <c r="P4317" t="str">
        <f>CompilDonnées[[#This Row],[Ref_Module]]&amp;CompilDonnées[[#This Row],[HarvestingDate]]</f>
        <v>146645922</v>
      </c>
    </row>
    <row r="4318" spans="1:16">
      <c r="A4318" s="5">
        <v>45878</v>
      </c>
      <c r="B4318">
        <v>107</v>
      </c>
      <c r="C4318" t="s">
        <v>23</v>
      </c>
      <c r="D4318">
        <v>5</v>
      </c>
      <c r="E4318">
        <v>100</v>
      </c>
      <c r="F4318" t="s">
        <v>1</v>
      </c>
      <c r="G4318" s="6">
        <v>45922</v>
      </c>
      <c r="H4318">
        <v>44</v>
      </c>
      <c r="I4318">
        <f>ROUND(CompilDonnées[[#This Row],[CultureDuration_days]]/7,0)</f>
        <v>6</v>
      </c>
      <c r="J4318">
        <v>2614</v>
      </c>
      <c r="K4318" t="str">
        <f>_xlfn.CONCAT(WEEKNUM(CompilDonnées[[#This Row],[PlantationDate]]), " ", YEAR(CompilDonnées[[#This Row],[PlantationDate]]))</f>
        <v>32 2025</v>
      </c>
      <c r="L4318" t="str">
        <f>CONCATENATE(MONTH(CompilDonnées[[#This Row],[PlantationDate]])," ", YEAR(CompilDonnées[[#This Row],[PlantationDate]]))</f>
        <v>8 2025</v>
      </c>
      <c r="M4318" t="str">
        <f>CONCATENATE(MONTH(CompilDonnées[[#This Row],[HarvestingDate]])," ", YEAR(CompilDonnées[[#This Row],[HarvestingDate]]))</f>
        <v>9 2025</v>
      </c>
      <c r="N4318">
        <f>_xlfn.NUMBERVALUE(CompilDonnées[[#This Row],[FarmID]]&amp;CompilDonnées[[#This Row],[ModuleNumber]]&amp;CompilDonnées[[#This Row],[PlantationDate]])</f>
        <v>107545878</v>
      </c>
      <c r="O4318" t="str">
        <f>CompilDonnées[[#This Row],[FarmID]]&amp;CompilDonnées[[#This Row],[ModuleNumber]]</f>
        <v>1075</v>
      </c>
      <c r="P4318" t="str">
        <f>CompilDonnées[[#This Row],[Ref_Module]]&amp;CompilDonnées[[#This Row],[HarvestingDate]]</f>
        <v>107545922</v>
      </c>
    </row>
    <row r="4319" spans="1:16">
      <c r="A4319" s="5">
        <v>45878</v>
      </c>
      <c r="B4319">
        <v>109</v>
      </c>
      <c r="C4319" t="s">
        <v>87</v>
      </c>
      <c r="D4319">
        <v>2</v>
      </c>
      <c r="E4319">
        <v>100</v>
      </c>
      <c r="F4319" t="s">
        <v>1</v>
      </c>
      <c r="G4319" s="6">
        <v>45922</v>
      </c>
      <c r="H4319">
        <v>44</v>
      </c>
      <c r="I4319">
        <f>ROUND(CompilDonnées[[#This Row],[CultureDuration_days]]/7,0)</f>
        <v>6</v>
      </c>
      <c r="J4319">
        <v>3107</v>
      </c>
      <c r="K4319" t="str">
        <f>_xlfn.CONCAT(WEEKNUM(CompilDonnées[[#This Row],[PlantationDate]]), " ", YEAR(CompilDonnées[[#This Row],[PlantationDate]]))</f>
        <v>32 2025</v>
      </c>
      <c r="L4319" t="str">
        <f>CONCATENATE(MONTH(CompilDonnées[[#This Row],[PlantationDate]])," ", YEAR(CompilDonnées[[#This Row],[PlantationDate]]))</f>
        <v>8 2025</v>
      </c>
      <c r="M4319" t="str">
        <f>CONCATENATE(MONTH(CompilDonnées[[#This Row],[HarvestingDate]])," ", YEAR(CompilDonnées[[#This Row],[HarvestingDate]]))</f>
        <v>9 2025</v>
      </c>
      <c r="N4319">
        <f>_xlfn.NUMBERVALUE(CompilDonnées[[#This Row],[FarmID]]&amp;CompilDonnées[[#This Row],[ModuleNumber]]&amp;CompilDonnées[[#This Row],[PlantationDate]])</f>
        <v>109245878</v>
      </c>
      <c r="O4319" t="str">
        <f>CompilDonnées[[#This Row],[FarmID]]&amp;CompilDonnées[[#This Row],[ModuleNumber]]</f>
        <v>1092</v>
      </c>
      <c r="P4319" t="str">
        <f>CompilDonnées[[#This Row],[Ref_Module]]&amp;CompilDonnées[[#This Row],[HarvestingDate]]</f>
        <v>109245922</v>
      </c>
    </row>
    <row r="4320" spans="1:16">
      <c r="A4320" s="5">
        <v>45878</v>
      </c>
      <c r="B4320">
        <v>100</v>
      </c>
      <c r="C4320" t="s">
        <v>84</v>
      </c>
      <c r="D4320">
        <v>6</v>
      </c>
      <c r="E4320">
        <v>100</v>
      </c>
      <c r="F4320" t="s">
        <v>1</v>
      </c>
      <c r="G4320" s="6">
        <v>45922</v>
      </c>
      <c r="H4320">
        <v>44</v>
      </c>
      <c r="I4320">
        <f>ROUND(CompilDonnées[[#This Row],[CultureDuration_days]]/7,0)</f>
        <v>6</v>
      </c>
      <c r="J4320">
        <v>3651</v>
      </c>
      <c r="K4320" t="str">
        <f>_xlfn.CONCAT(WEEKNUM(CompilDonnées[[#This Row],[PlantationDate]]), " ", YEAR(CompilDonnées[[#This Row],[PlantationDate]]))</f>
        <v>32 2025</v>
      </c>
      <c r="L4320" t="str">
        <f>CONCATENATE(MONTH(CompilDonnées[[#This Row],[PlantationDate]])," ", YEAR(CompilDonnées[[#This Row],[PlantationDate]]))</f>
        <v>8 2025</v>
      </c>
      <c r="M4320" t="str">
        <f>CONCATENATE(MONTH(CompilDonnées[[#This Row],[HarvestingDate]])," ", YEAR(CompilDonnées[[#This Row],[HarvestingDate]]))</f>
        <v>9 2025</v>
      </c>
      <c r="N4320">
        <f>_xlfn.NUMBERVALUE(CompilDonnées[[#This Row],[FarmID]]&amp;CompilDonnées[[#This Row],[ModuleNumber]]&amp;CompilDonnées[[#This Row],[PlantationDate]])</f>
        <v>100645878</v>
      </c>
      <c r="O4320" t="str">
        <f>CompilDonnées[[#This Row],[FarmID]]&amp;CompilDonnées[[#This Row],[ModuleNumber]]</f>
        <v>1006</v>
      </c>
      <c r="P4320" t="str">
        <f>CompilDonnées[[#This Row],[Ref_Module]]&amp;CompilDonnées[[#This Row],[HarvestingDate]]</f>
        <v>100645922</v>
      </c>
    </row>
    <row r="4321" spans="1:16">
      <c r="A4321" s="5">
        <v>45878</v>
      </c>
      <c r="B4321">
        <v>98</v>
      </c>
      <c r="C4321" t="s">
        <v>79</v>
      </c>
      <c r="D4321">
        <v>1</v>
      </c>
      <c r="E4321">
        <v>100</v>
      </c>
      <c r="F4321" t="s">
        <v>1</v>
      </c>
      <c r="G4321" s="6">
        <v>45922</v>
      </c>
      <c r="H4321">
        <v>44</v>
      </c>
      <c r="I4321">
        <f>ROUND(CompilDonnées[[#This Row],[CultureDuration_days]]/7,0)</f>
        <v>6</v>
      </c>
      <c r="J4321">
        <v>2034</v>
      </c>
      <c r="K4321" t="str">
        <f>_xlfn.CONCAT(WEEKNUM(CompilDonnées[[#This Row],[PlantationDate]]), " ", YEAR(CompilDonnées[[#This Row],[PlantationDate]]))</f>
        <v>32 2025</v>
      </c>
      <c r="L4321" t="str">
        <f>CONCATENATE(MONTH(CompilDonnées[[#This Row],[PlantationDate]])," ", YEAR(CompilDonnées[[#This Row],[PlantationDate]]))</f>
        <v>8 2025</v>
      </c>
      <c r="M4321" t="str">
        <f>CONCATENATE(MONTH(CompilDonnées[[#This Row],[HarvestingDate]])," ", YEAR(CompilDonnées[[#This Row],[HarvestingDate]]))</f>
        <v>9 2025</v>
      </c>
      <c r="N4321">
        <f>_xlfn.NUMBERVALUE(CompilDonnées[[#This Row],[FarmID]]&amp;CompilDonnées[[#This Row],[ModuleNumber]]&amp;CompilDonnées[[#This Row],[PlantationDate]])</f>
        <v>98145878</v>
      </c>
      <c r="O4321" t="str">
        <f>CompilDonnées[[#This Row],[FarmID]]&amp;CompilDonnées[[#This Row],[ModuleNumber]]</f>
        <v>981</v>
      </c>
      <c r="P4321" t="str">
        <f>CompilDonnées[[#This Row],[Ref_Module]]&amp;CompilDonnées[[#This Row],[HarvestingDate]]</f>
        <v>98145922</v>
      </c>
    </row>
    <row r="4322" spans="1:16">
      <c r="A4322" s="5">
        <v>45878</v>
      </c>
      <c r="B4322">
        <v>94</v>
      </c>
      <c r="C4322" t="s">
        <v>40</v>
      </c>
      <c r="D4322">
        <v>3</v>
      </c>
      <c r="E4322">
        <v>100</v>
      </c>
      <c r="F4322" t="s">
        <v>1</v>
      </c>
      <c r="G4322" s="6">
        <v>45922</v>
      </c>
      <c r="H4322">
        <v>44</v>
      </c>
      <c r="I4322">
        <f>ROUND(CompilDonnées[[#This Row],[CultureDuration_days]]/7,0)</f>
        <v>6</v>
      </c>
      <c r="J4322">
        <v>3345</v>
      </c>
      <c r="K4322" t="str">
        <f>_xlfn.CONCAT(WEEKNUM(CompilDonnées[[#This Row],[PlantationDate]]), " ", YEAR(CompilDonnées[[#This Row],[PlantationDate]]))</f>
        <v>32 2025</v>
      </c>
      <c r="L4322" t="str">
        <f>CONCATENATE(MONTH(CompilDonnées[[#This Row],[PlantationDate]])," ", YEAR(CompilDonnées[[#This Row],[PlantationDate]]))</f>
        <v>8 2025</v>
      </c>
      <c r="M4322" t="str">
        <f>CONCATENATE(MONTH(CompilDonnées[[#This Row],[HarvestingDate]])," ", YEAR(CompilDonnées[[#This Row],[HarvestingDate]]))</f>
        <v>9 2025</v>
      </c>
      <c r="N4322">
        <f>_xlfn.NUMBERVALUE(CompilDonnées[[#This Row],[FarmID]]&amp;CompilDonnées[[#This Row],[ModuleNumber]]&amp;CompilDonnées[[#This Row],[PlantationDate]])</f>
        <v>94345878</v>
      </c>
      <c r="O4322" t="str">
        <f>CompilDonnées[[#This Row],[FarmID]]&amp;CompilDonnées[[#This Row],[ModuleNumber]]</f>
        <v>943</v>
      </c>
      <c r="P4322" t="str">
        <f>CompilDonnées[[#This Row],[Ref_Module]]&amp;CompilDonnées[[#This Row],[HarvestingDate]]</f>
        <v>94345922</v>
      </c>
    </row>
    <row r="4323" spans="1:16">
      <c r="A4323" s="5">
        <v>45878</v>
      </c>
      <c r="B4323">
        <v>91</v>
      </c>
      <c r="C4323" t="s">
        <v>9</v>
      </c>
      <c r="D4323">
        <v>5</v>
      </c>
      <c r="E4323">
        <v>100</v>
      </c>
      <c r="F4323" t="s">
        <v>1</v>
      </c>
      <c r="G4323" s="6">
        <v>45923</v>
      </c>
      <c r="H4323">
        <v>45</v>
      </c>
      <c r="I4323">
        <f>ROUND(CompilDonnées[[#This Row],[CultureDuration_days]]/7,0)</f>
        <v>6</v>
      </c>
      <c r="J4323">
        <v>2130</v>
      </c>
      <c r="K4323" t="str">
        <f>_xlfn.CONCAT(WEEKNUM(CompilDonnées[[#This Row],[PlantationDate]]), " ", YEAR(CompilDonnées[[#This Row],[PlantationDate]]))</f>
        <v>32 2025</v>
      </c>
      <c r="L4323" t="str">
        <f>CONCATENATE(MONTH(CompilDonnées[[#This Row],[PlantationDate]])," ", YEAR(CompilDonnées[[#This Row],[PlantationDate]]))</f>
        <v>8 2025</v>
      </c>
      <c r="M4323" t="str">
        <f>CONCATENATE(MONTH(CompilDonnées[[#This Row],[HarvestingDate]])," ", YEAR(CompilDonnées[[#This Row],[HarvestingDate]]))</f>
        <v>9 2025</v>
      </c>
      <c r="N4323">
        <f>_xlfn.NUMBERVALUE(CompilDonnées[[#This Row],[FarmID]]&amp;CompilDonnées[[#This Row],[ModuleNumber]]&amp;CompilDonnées[[#This Row],[PlantationDate]])</f>
        <v>91545878</v>
      </c>
      <c r="O4323" t="str">
        <f>CompilDonnées[[#This Row],[FarmID]]&amp;CompilDonnées[[#This Row],[ModuleNumber]]</f>
        <v>915</v>
      </c>
      <c r="P4323" t="str">
        <f>CompilDonnées[[#This Row],[Ref_Module]]&amp;CompilDonnées[[#This Row],[HarvestingDate]]</f>
        <v>91545923</v>
      </c>
    </row>
    <row r="4324" spans="1:16">
      <c r="A4324" s="5">
        <v>45878</v>
      </c>
      <c r="B4324">
        <v>87</v>
      </c>
      <c r="C4324" t="s">
        <v>38</v>
      </c>
      <c r="D4324">
        <v>3</v>
      </c>
      <c r="E4324">
        <v>100</v>
      </c>
      <c r="F4324" t="s">
        <v>1</v>
      </c>
      <c r="G4324" s="6">
        <v>45923</v>
      </c>
      <c r="H4324">
        <v>45</v>
      </c>
      <c r="I4324">
        <f>ROUND(CompilDonnées[[#This Row],[CultureDuration_days]]/7,0)</f>
        <v>6</v>
      </c>
      <c r="J4324">
        <v>2852</v>
      </c>
      <c r="K4324" t="str">
        <f>_xlfn.CONCAT(WEEKNUM(CompilDonnées[[#This Row],[PlantationDate]]), " ", YEAR(CompilDonnées[[#This Row],[PlantationDate]]))</f>
        <v>32 2025</v>
      </c>
      <c r="L4324" t="str">
        <f>CONCATENATE(MONTH(CompilDonnées[[#This Row],[PlantationDate]])," ", YEAR(CompilDonnées[[#This Row],[PlantationDate]]))</f>
        <v>8 2025</v>
      </c>
      <c r="M4324" t="str">
        <f>CONCATENATE(MONTH(CompilDonnées[[#This Row],[HarvestingDate]])," ", YEAR(CompilDonnées[[#This Row],[HarvestingDate]]))</f>
        <v>9 2025</v>
      </c>
      <c r="N4324">
        <f>_xlfn.NUMBERVALUE(CompilDonnées[[#This Row],[FarmID]]&amp;CompilDonnées[[#This Row],[ModuleNumber]]&amp;CompilDonnées[[#This Row],[PlantationDate]])</f>
        <v>87345878</v>
      </c>
      <c r="O4324" t="str">
        <f>CompilDonnées[[#This Row],[FarmID]]&amp;CompilDonnées[[#This Row],[ModuleNumber]]</f>
        <v>873</v>
      </c>
      <c r="P4324" t="str">
        <f>CompilDonnées[[#This Row],[Ref_Module]]&amp;CompilDonnées[[#This Row],[HarvestingDate]]</f>
        <v>87345923</v>
      </c>
    </row>
    <row r="4325" spans="1:16">
      <c r="A4325" s="5">
        <v>45878</v>
      </c>
      <c r="B4325">
        <v>86</v>
      </c>
      <c r="C4325" t="s">
        <v>37</v>
      </c>
      <c r="D4325">
        <v>2</v>
      </c>
      <c r="E4325">
        <v>100</v>
      </c>
      <c r="F4325" t="s">
        <v>1</v>
      </c>
      <c r="G4325" s="6">
        <v>45923</v>
      </c>
      <c r="H4325">
        <v>45</v>
      </c>
      <c r="I4325">
        <f>ROUND(CompilDonnées[[#This Row],[CultureDuration_days]]/7,0)</f>
        <v>6</v>
      </c>
      <c r="J4325">
        <v>2084</v>
      </c>
      <c r="K4325" t="str">
        <f>_xlfn.CONCAT(WEEKNUM(CompilDonnées[[#This Row],[PlantationDate]]), " ", YEAR(CompilDonnées[[#This Row],[PlantationDate]]))</f>
        <v>32 2025</v>
      </c>
      <c r="L4325" t="str">
        <f>CONCATENATE(MONTH(CompilDonnées[[#This Row],[PlantationDate]])," ", YEAR(CompilDonnées[[#This Row],[PlantationDate]]))</f>
        <v>8 2025</v>
      </c>
      <c r="M4325" t="str">
        <f>CONCATENATE(MONTH(CompilDonnées[[#This Row],[HarvestingDate]])," ", YEAR(CompilDonnées[[#This Row],[HarvestingDate]]))</f>
        <v>9 2025</v>
      </c>
      <c r="N4325">
        <f>_xlfn.NUMBERVALUE(CompilDonnées[[#This Row],[FarmID]]&amp;CompilDonnées[[#This Row],[ModuleNumber]]&amp;CompilDonnées[[#This Row],[PlantationDate]])</f>
        <v>86245878</v>
      </c>
      <c r="O4325" t="str">
        <f>CompilDonnées[[#This Row],[FarmID]]&amp;CompilDonnées[[#This Row],[ModuleNumber]]</f>
        <v>862</v>
      </c>
      <c r="P4325" t="str">
        <f>CompilDonnées[[#This Row],[Ref_Module]]&amp;CompilDonnées[[#This Row],[HarvestingDate]]</f>
        <v>86245923</v>
      </c>
    </row>
    <row r="4326" spans="1:16">
      <c r="A4326" s="5">
        <v>45878</v>
      </c>
      <c r="B4326">
        <v>89</v>
      </c>
      <c r="C4326" t="s">
        <v>67</v>
      </c>
      <c r="D4326">
        <v>3</v>
      </c>
      <c r="E4326">
        <v>100</v>
      </c>
      <c r="F4326" t="s">
        <v>1</v>
      </c>
      <c r="G4326" s="6">
        <v>45917</v>
      </c>
      <c r="H4326">
        <v>39</v>
      </c>
      <c r="I4326">
        <f>ROUND(CompilDonnées[[#This Row],[CultureDuration_days]]/7,0)</f>
        <v>6</v>
      </c>
      <c r="J4326">
        <v>2359</v>
      </c>
      <c r="K4326" t="str">
        <f>_xlfn.CONCAT(WEEKNUM(CompilDonnées[[#This Row],[PlantationDate]]), " ", YEAR(CompilDonnées[[#This Row],[PlantationDate]]))</f>
        <v>32 2025</v>
      </c>
      <c r="L4326" t="str">
        <f>CONCATENATE(MONTH(CompilDonnées[[#This Row],[PlantationDate]])," ", YEAR(CompilDonnées[[#This Row],[PlantationDate]]))</f>
        <v>8 2025</v>
      </c>
      <c r="M4326" t="str">
        <f>CONCATENATE(MONTH(CompilDonnées[[#This Row],[HarvestingDate]])," ", YEAR(CompilDonnées[[#This Row],[HarvestingDate]]))</f>
        <v>9 2025</v>
      </c>
      <c r="N4326">
        <f>_xlfn.NUMBERVALUE(CompilDonnées[[#This Row],[FarmID]]&amp;CompilDonnées[[#This Row],[ModuleNumber]]&amp;CompilDonnées[[#This Row],[PlantationDate]])</f>
        <v>89345878</v>
      </c>
      <c r="O4326" t="str">
        <f>CompilDonnées[[#This Row],[FarmID]]&amp;CompilDonnées[[#This Row],[ModuleNumber]]</f>
        <v>893</v>
      </c>
      <c r="P4326" t="str">
        <f>CompilDonnées[[#This Row],[Ref_Module]]&amp;CompilDonnées[[#This Row],[HarvestingDate]]</f>
        <v>89345917</v>
      </c>
    </row>
    <row r="4327" spans="1:16">
      <c r="A4327" s="5">
        <v>45878</v>
      </c>
      <c r="B4327">
        <v>90</v>
      </c>
      <c r="C4327" t="s">
        <v>72</v>
      </c>
      <c r="D4327">
        <v>3</v>
      </c>
      <c r="E4327">
        <v>100</v>
      </c>
      <c r="F4327" t="s">
        <v>1</v>
      </c>
      <c r="G4327" s="6">
        <v>45918</v>
      </c>
      <c r="H4327">
        <v>40</v>
      </c>
      <c r="I4327">
        <f>ROUND(CompilDonnées[[#This Row],[CultureDuration_days]]/7,0)</f>
        <v>6</v>
      </c>
      <c r="J4327">
        <v>1793</v>
      </c>
      <c r="K4327" t="str">
        <f>_xlfn.CONCAT(WEEKNUM(CompilDonnées[[#This Row],[PlantationDate]]), " ", YEAR(CompilDonnées[[#This Row],[PlantationDate]]))</f>
        <v>32 2025</v>
      </c>
      <c r="L4327" t="str">
        <f>CONCATENATE(MONTH(CompilDonnées[[#This Row],[PlantationDate]])," ", YEAR(CompilDonnées[[#This Row],[PlantationDate]]))</f>
        <v>8 2025</v>
      </c>
      <c r="M4327" t="str">
        <f>CONCATENATE(MONTH(CompilDonnées[[#This Row],[HarvestingDate]])," ", YEAR(CompilDonnées[[#This Row],[HarvestingDate]]))</f>
        <v>9 2025</v>
      </c>
      <c r="N4327">
        <f>_xlfn.NUMBERVALUE(CompilDonnées[[#This Row],[FarmID]]&amp;CompilDonnées[[#This Row],[ModuleNumber]]&amp;CompilDonnées[[#This Row],[PlantationDate]])</f>
        <v>90345878</v>
      </c>
      <c r="O4327" t="str">
        <f>CompilDonnées[[#This Row],[FarmID]]&amp;CompilDonnées[[#This Row],[ModuleNumber]]</f>
        <v>903</v>
      </c>
      <c r="P4327" t="str">
        <f>CompilDonnées[[#This Row],[Ref_Module]]&amp;CompilDonnées[[#This Row],[HarvestingDate]]</f>
        <v>90345918</v>
      </c>
    </row>
    <row r="4328" spans="1:16">
      <c r="A4328" s="5">
        <v>45878</v>
      </c>
      <c r="B4328">
        <v>97</v>
      </c>
      <c r="C4328" t="s">
        <v>78</v>
      </c>
      <c r="D4328">
        <v>5</v>
      </c>
      <c r="E4328">
        <v>100</v>
      </c>
      <c r="F4328" t="s">
        <v>1</v>
      </c>
      <c r="G4328" s="6">
        <v>45931</v>
      </c>
      <c r="H4328">
        <v>53</v>
      </c>
      <c r="I4328">
        <f>ROUND(CompilDonnées[[#This Row],[CultureDuration_days]]/7,0)</f>
        <v>8</v>
      </c>
      <c r="J4328">
        <v>2158</v>
      </c>
      <c r="K4328" t="str">
        <f>_xlfn.CONCAT(WEEKNUM(CompilDonnées[[#This Row],[PlantationDate]]), " ", YEAR(CompilDonnées[[#This Row],[PlantationDate]]))</f>
        <v>32 2025</v>
      </c>
      <c r="L4328" t="str">
        <f>CONCATENATE(MONTH(CompilDonnées[[#This Row],[PlantationDate]])," ", YEAR(CompilDonnées[[#This Row],[PlantationDate]]))</f>
        <v>8 2025</v>
      </c>
      <c r="M4328" t="str">
        <f>CONCATENATE(MONTH(CompilDonnées[[#This Row],[HarvestingDate]])," ", YEAR(CompilDonnées[[#This Row],[HarvestingDate]]))</f>
        <v>10 2025</v>
      </c>
      <c r="N4328">
        <f>_xlfn.NUMBERVALUE(CompilDonnées[[#This Row],[FarmID]]&amp;CompilDonnées[[#This Row],[ModuleNumber]]&amp;CompilDonnées[[#This Row],[PlantationDate]])</f>
        <v>97545878</v>
      </c>
      <c r="O4328" t="str">
        <f>CompilDonnées[[#This Row],[FarmID]]&amp;CompilDonnées[[#This Row],[ModuleNumber]]</f>
        <v>975</v>
      </c>
      <c r="P4328" t="str">
        <f>CompilDonnées[[#This Row],[Ref_Module]]&amp;CompilDonnées[[#This Row],[HarvestingDate]]</f>
        <v>97545931</v>
      </c>
    </row>
    <row r="4329" spans="1:16">
      <c r="A4329" s="5">
        <v>45878</v>
      </c>
      <c r="B4329">
        <v>96</v>
      </c>
      <c r="C4329" t="s">
        <v>125</v>
      </c>
      <c r="D4329">
        <v>5</v>
      </c>
      <c r="E4329">
        <v>100</v>
      </c>
      <c r="F4329" t="s">
        <v>1</v>
      </c>
      <c r="G4329" s="6">
        <v>45931</v>
      </c>
      <c r="H4329">
        <v>53</v>
      </c>
      <c r="I4329">
        <f>ROUND(CompilDonnées[[#This Row],[CultureDuration_days]]/7,0)</f>
        <v>8</v>
      </c>
      <c r="J4329">
        <v>2039</v>
      </c>
      <c r="K4329" t="str">
        <f>_xlfn.CONCAT(WEEKNUM(CompilDonnées[[#This Row],[PlantationDate]]), " ", YEAR(CompilDonnées[[#This Row],[PlantationDate]]))</f>
        <v>32 2025</v>
      </c>
      <c r="L4329" t="str">
        <f>CONCATENATE(MONTH(CompilDonnées[[#This Row],[PlantationDate]])," ", YEAR(CompilDonnées[[#This Row],[PlantationDate]]))</f>
        <v>8 2025</v>
      </c>
      <c r="M4329" t="str">
        <f>CONCATENATE(MONTH(CompilDonnées[[#This Row],[HarvestingDate]])," ", YEAR(CompilDonnées[[#This Row],[HarvestingDate]]))</f>
        <v>10 2025</v>
      </c>
      <c r="N4329">
        <f>_xlfn.NUMBERVALUE(CompilDonnées[[#This Row],[FarmID]]&amp;CompilDonnées[[#This Row],[ModuleNumber]]&amp;CompilDonnées[[#This Row],[PlantationDate]])</f>
        <v>96545878</v>
      </c>
      <c r="O4329" t="str">
        <f>CompilDonnées[[#This Row],[FarmID]]&amp;CompilDonnées[[#This Row],[ModuleNumber]]</f>
        <v>965</v>
      </c>
      <c r="P4329" t="str">
        <f>CompilDonnées[[#This Row],[Ref_Module]]&amp;CompilDonnées[[#This Row],[HarvestingDate]]</f>
        <v>96545931</v>
      </c>
    </row>
    <row r="4330" spans="1:16">
      <c r="A4330" s="5">
        <v>45878</v>
      </c>
      <c r="B4330">
        <v>95</v>
      </c>
      <c r="C4330" t="s">
        <v>90</v>
      </c>
      <c r="D4330">
        <v>3</v>
      </c>
      <c r="E4330">
        <v>100</v>
      </c>
      <c r="F4330" t="s">
        <v>1</v>
      </c>
      <c r="G4330" s="6">
        <v>45923</v>
      </c>
      <c r="H4330">
        <v>45</v>
      </c>
      <c r="I4330">
        <f>ROUND(CompilDonnées[[#This Row],[CultureDuration_days]]/7,0)</f>
        <v>6</v>
      </c>
      <c r="J4330">
        <v>1569</v>
      </c>
      <c r="K4330" t="str">
        <f>_xlfn.CONCAT(WEEKNUM(CompilDonnées[[#This Row],[PlantationDate]]), " ", YEAR(CompilDonnées[[#This Row],[PlantationDate]]))</f>
        <v>32 2025</v>
      </c>
      <c r="L4330" t="str">
        <f>CONCATENATE(MONTH(CompilDonnées[[#This Row],[PlantationDate]])," ", YEAR(CompilDonnées[[#This Row],[PlantationDate]]))</f>
        <v>8 2025</v>
      </c>
      <c r="M4330" t="str">
        <f>CONCATENATE(MONTH(CompilDonnées[[#This Row],[HarvestingDate]])," ", YEAR(CompilDonnées[[#This Row],[HarvestingDate]]))</f>
        <v>9 2025</v>
      </c>
      <c r="N4330">
        <f>_xlfn.NUMBERVALUE(CompilDonnées[[#This Row],[FarmID]]&amp;CompilDonnées[[#This Row],[ModuleNumber]]&amp;CompilDonnées[[#This Row],[PlantationDate]])</f>
        <v>95345878</v>
      </c>
      <c r="O4330" t="str">
        <f>CompilDonnées[[#This Row],[FarmID]]&amp;CompilDonnées[[#This Row],[ModuleNumber]]</f>
        <v>953</v>
      </c>
      <c r="P4330" t="str">
        <f>CompilDonnées[[#This Row],[Ref_Module]]&amp;CompilDonnées[[#This Row],[HarvestingDate]]</f>
        <v>95345923</v>
      </c>
    </row>
    <row r="4331" spans="1:16">
      <c r="A4331" s="5">
        <v>45878</v>
      </c>
      <c r="B4331">
        <v>104</v>
      </c>
      <c r="C4331" t="s">
        <v>91</v>
      </c>
      <c r="D4331">
        <v>6</v>
      </c>
      <c r="E4331">
        <v>100</v>
      </c>
      <c r="F4331" t="s">
        <v>1</v>
      </c>
      <c r="G4331" s="6">
        <v>45930</v>
      </c>
      <c r="H4331">
        <v>52</v>
      </c>
      <c r="I4331">
        <f>ROUND(CompilDonnées[[#This Row],[CultureDuration_days]]/7,0)</f>
        <v>7</v>
      </c>
      <c r="J4331">
        <v>1779</v>
      </c>
      <c r="K4331" t="str">
        <f>_xlfn.CONCAT(WEEKNUM(CompilDonnées[[#This Row],[PlantationDate]]), " ", YEAR(CompilDonnées[[#This Row],[PlantationDate]]))</f>
        <v>32 2025</v>
      </c>
      <c r="L4331" t="str">
        <f>CONCATENATE(MONTH(CompilDonnées[[#This Row],[PlantationDate]])," ", YEAR(CompilDonnées[[#This Row],[PlantationDate]]))</f>
        <v>8 2025</v>
      </c>
      <c r="M4331" t="str">
        <f>CONCATENATE(MONTH(CompilDonnées[[#This Row],[HarvestingDate]])," ", YEAR(CompilDonnées[[#This Row],[HarvestingDate]]))</f>
        <v>9 2025</v>
      </c>
      <c r="N4331">
        <f>_xlfn.NUMBERVALUE(CompilDonnées[[#This Row],[FarmID]]&amp;CompilDonnées[[#This Row],[ModuleNumber]]&amp;CompilDonnées[[#This Row],[PlantationDate]])</f>
        <v>104645878</v>
      </c>
      <c r="O4331" t="str">
        <f>CompilDonnées[[#This Row],[FarmID]]&amp;CompilDonnées[[#This Row],[ModuleNumber]]</f>
        <v>1046</v>
      </c>
      <c r="P4331" t="str">
        <f>CompilDonnées[[#This Row],[Ref_Module]]&amp;CompilDonnées[[#This Row],[HarvestingDate]]</f>
        <v>104645930</v>
      </c>
    </row>
    <row r="4332" spans="1:16">
      <c r="A4332" s="5">
        <v>45878</v>
      </c>
      <c r="B4332">
        <v>103</v>
      </c>
      <c r="C4332" t="s">
        <v>86</v>
      </c>
      <c r="D4332">
        <v>5</v>
      </c>
      <c r="E4332">
        <v>100</v>
      </c>
      <c r="F4332" t="s">
        <v>1</v>
      </c>
      <c r="G4332" s="6">
        <v>45930</v>
      </c>
      <c r="H4332">
        <v>52</v>
      </c>
      <c r="I4332">
        <f>ROUND(CompilDonnées[[#This Row],[CultureDuration_days]]/7,0)</f>
        <v>7</v>
      </c>
      <c r="J4332">
        <v>1430</v>
      </c>
      <c r="K4332" t="str">
        <f>_xlfn.CONCAT(WEEKNUM(CompilDonnées[[#This Row],[PlantationDate]]), " ", YEAR(CompilDonnées[[#This Row],[PlantationDate]]))</f>
        <v>32 2025</v>
      </c>
      <c r="L4332" t="str">
        <f>CONCATENATE(MONTH(CompilDonnées[[#This Row],[PlantationDate]])," ", YEAR(CompilDonnées[[#This Row],[PlantationDate]]))</f>
        <v>8 2025</v>
      </c>
      <c r="M4332" t="str">
        <f>CONCATENATE(MONTH(CompilDonnées[[#This Row],[HarvestingDate]])," ", YEAR(CompilDonnées[[#This Row],[HarvestingDate]]))</f>
        <v>9 2025</v>
      </c>
      <c r="N4332">
        <f>_xlfn.NUMBERVALUE(CompilDonnées[[#This Row],[FarmID]]&amp;CompilDonnées[[#This Row],[ModuleNumber]]&amp;CompilDonnées[[#This Row],[PlantationDate]])</f>
        <v>103545878</v>
      </c>
      <c r="O4332" t="str">
        <f>CompilDonnées[[#This Row],[FarmID]]&amp;CompilDonnées[[#This Row],[ModuleNumber]]</f>
        <v>1035</v>
      </c>
      <c r="P4332" t="str">
        <f>CompilDonnées[[#This Row],[Ref_Module]]&amp;CompilDonnées[[#This Row],[HarvestingDate]]</f>
        <v>103545930</v>
      </c>
    </row>
    <row r="4333" spans="1:16">
      <c r="A4333" s="5">
        <v>45878</v>
      </c>
      <c r="B4333">
        <v>38</v>
      </c>
      <c r="C4333" t="s">
        <v>34</v>
      </c>
      <c r="D4333">
        <v>1</v>
      </c>
      <c r="E4333">
        <v>100</v>
      </c>
      <c r="F4333" t="s">
        <v>1</v>
      </c>
      <c r="G4333" s="6">
        <v>45924</v>
      </c>
      <c r="H4333">
        <v>46</v>
      </c>
      <c r="I4333">
        <f>ROUND(CompilDonnées[[#This Row],[CultureDuration_days]]/7,0)</f>
        <v>7</v>
      </c>
      <c r="J4333">
        <v>2965</v>
      </c>
      <c r="K4333" t="str">
        <f>_xlfn.CONCAT(WEEKNUM(CompilDonnées[[#This Row],[PlantationDate]]), " ", YEAR(CompilDonnées[[#This Row],[PlantationDate]]))</f>
        <v>32 2025</v>
      </c>
      <c r="L4333" t="str">
        <f>CONCATENATE(MONTH(CompilDonnées[[#This Row],[PlantationDate]])," ", YEAR(CompilDonnées[[#This Row],[PlantationDate]]))</f>
        <v>8 2025</v>
      </c>
      <c r="M4333" t="str">
        <f>CONCATENATE(MONTH(CompilDonnées[[#This Row],[HarvestingDate]])," ", YEAR(CompilDonnées[[#This Row],[HarvestingDate]]))</f>
        <v>9 2025</v>
      </c>
      <c r="N4333">
        <f>_xlfn.NUMBERVALUE(CompilDonnées[[#This Row],[FarmID]]&amp;CompilDonnées[[#This Row],[ModuleNumber]]&amp;CompilDonnées[[#This Row],[PlantationDate]])</f>
        <v>38145878</v>
      </c>
      <c r="O4333" t="str">
        <f>CompilDonnées[[#This Row],[FarmID]]&amp;CompilDonnées[[#This Row],[ModuleNumber]]</f>
        <v>381</v>
      </c>
      <c r="P4333" t="str">
        <f>CompilDonnées[[#This Row],[Ref_Module]]&amp;CompilDonnées[[#This Row],[HarvestingDate]]</f>
        <v>38145924</v>
      </c>
    </row>
    <row r="4334" spans="1:16">
      <c r="A4334" s="5">
        <v>45878</v>
      </c>
      <c r="B4334">
        <v>23</v>
      </c>
      <c r="C4334" t="s">
        <v>44</v>
      </c>
      <c r="D4334">
        <v>3</v>
      </c>
      <c r="E4334">
        <v>100</v>
      </c>
      <c r="F4334" t="s">
        <v>1</v>
      </c>
      <c r="G4334" s="6">
        <v>45924</v>
      </c>
      <c r="H4334">
        <v>46</v>
      </c>
      <c r="I4334">
        <f>ROUND(CompilDonnées[[#This Row],[CultureDuration_days]]/7,0)</f>
        <v>7</v>
      </c>
      <c r="J4334">
        <v>2331</v>
      </c>
      <c r="K4334" t="str">
        <f>_xlfn.CONCAT(WEEKNUM(CompilDonnées[[#This Row],[PlantationDate]]), " ", YEAR(CompilDonnées[[#This Row],[PlantationDate]]))</f>
        <v>32 2025</v>
      </c>
      <c r="L4334" t="str">
        <f>CONCATENATE(MONTH(CompilDonnées[[#This Row],[PlantationDate]])," ", YEAR(CompilDonnées[[#This Row],[PlantationDate]]))</f>
        <v>8 2025</v>
      </c>
      <c r="M4334" t="str">
        <f>CONCATENATE(MONTH(CompilDonnées[[#This Row],[HarvestingDate]])," ", YEAR(CompilDonnées[[#This Row],[HarvestingDate]]))</f>
        <v>9 2025</v>
      </c>
      <c r="N4334">
        <f>_xlfn.NUMBERVALUE(CompilDonnées[[#This Row],[FarmID]]&amp;CompilDonnées[[#This Row],[ModuleNumber]]&amp;CompilDonnées[[#This Row],[PlantationDate]])</f>
        <v>23345878</v>
      </c>
      <c r="O4334" t="str">
        <f>CompilDonnées[[#This Row],[FarmID]]&amp;CompilDonnées[[#This Row],[ModuleNumber]]</f>
        <v>233</v>
      </c>
      <c r="P4334" t="str">
        <f>CompilDonnées[[#This Row],[Ref_Module]]&amp;CompilDonnées[[#This Row],[HarvestingDate]]</f>
        <v>23345924</v>
      </c>
    </row>
    <row r="4335" spans="1:16">
      <c r="A4335" s="5">
        <v>45878</v>
      </c>
      <c r="B4335">
        <v>13</v>
      </c>
      <c r="C4335" t="s">
        <v>114</v>
      </c>
      <c r="D4335">
        <v>6</v>
      </c>
      <c r="E4335">
        <v>100</v>
      </c>
      <c r="F4335" t="s">
        <v>1</v>
      </c>
      <c r="G4335" s="6">
        <v>45925</v>
      </c>
      <c r="H4335">
        <v>47</v>
      </c>
      <c r="I4335">
        <f>ROUND(CompilDonnées[[#This Row],[CultureDuration_days]]/7,0)</f>
        <v>7</v>
      </c>
      <c r="J4335">
        <v>3413</v>
      </c>
      <c r="K4335" t="str">
        <f>_xlfn.CONCAT(WEEKNUM(CompilDonnées[[#This Row],[PlantationDate]]), " ", YEAR(CompilDonnées[[#This Row],[PlantationDate]]))</f>
        <v>32 2025</v>
      </c>
      <c r="L4335" t="str">
        <f>CONCATENATE(MONTH(CompilDonnées[[#This Row],[PlantationDate]])," ", YEAR(CompilDonnées[[#This Row],[PlantationDate]]))</f>
        <v>8 2025</v>
      </c>
      <c r="M4335" t="str">
        <f>CONCATENATE(MONTH(CompilDonnées[[#This Row],[HarvestingDate]])," ", YEAR(CompilDonnées[[#This Row],[HarvestingDate]]))</f>
        <v>9 2025</v>
      </c>
      <c r="N4335">
        <f>_xlfn.NUMBERVALUE(CompilDonnées[[#This Row],[FarmID]]&amp;CompilDonnées[[#This Row],[ModuleNumber]]&amp;CompilDonnées[[#This Row],[PlantationDate]])</f>
        <v>13645878</v>
      </c>
      <c r="O4335" t="str">
        <f>CompilDonnées[[#This Row],[FarmID]]&amp;CompilDonnées[[#This Row],[ModuleNumber]]</f>
        <v>136</v>
      </c>
      <c r="P4335" t="str">
        <f>CompilDonnées[[#This Row],[Ref_Module]]&amp;CompilDonnées[[#This Row],[HarvestingDate]]</f>
        <v>13645925</v>
      </c>
    </row>
    <row r="4336" spans="1:16">
      <c r="A4336" s="5">
        <v>45878</v>
      </c>
      <c r="B4336">
        <v>46</v>
      </c>
      <c r="C4336" t="s">
        <v>8</v>
      </c>
      <c r="D4336">
        <v>4</v>
      </c>
      <c r="E4336">
        <v>100</v>
      </c>
      <c r="F4336" t="s">
        <v>1</v>
      </c>
      <c r="G4336" s="6">
        <v>45924</v>
      </c>
      <c r="H4336">
        <v>46</v>
      </c>
      <c r="I4336">
        <f>ROUND(CompilDonnées[[#This Row],[CultureDuration_days]]/7,0)</f>
        <v>7</v>
      </c>
      <c r="J4336">
        <v>2880</v>
      </c>
      <c r="K4336" t="str">
        <f>_xlfn.CONCAT(WEEKNUM(CompilDonnées[[#This Row],[PlantationDate]]), " ", YEAR(CompilDonnées[[#This Row],[PlantationDate]]))</f>
        <v>32 2025</v>
      </c>
      <c r="L4336" t="str">
        <f>CONCATENATE(MONTH(CompilDonnées[[#This Row],[PlantationDate]])," ", YEAR(CompilDonnées[[#This Row],[PlantationDate]]))</f>
        <v>8 2025</v>
      </c>
      <c r="M4336" t="str">
        <f>CONCATENATE(MONTH(CompilDonnées[[#This Row],[HarvestingDate]])," ", YEAR(CompilDonnées[[#This Row],[HarvestingDate]]))</f>
        <v>9 2025</v>
      </c>
      <c r="N4336">
        <f>_xlfn.NUMBERVALUE(CompilDonnées[[#This Row],[FarmID]]&amp;CompilDonnées[[#This Row],[ModuleNumber]]&amp;CompilDonnées[[#This Row],[PlantationDate]])</f>
        <v>46445878</v>
      </c>
      <c r="O4336" t="str">
        <f>CompilDonnées[[#This Row],[FarmID]]&amp;CompilDonnées[[#This Row],[ModuleNumber]]</f>
        <v>464</v>
      </c>
      <c r="P4336" t="str">
        <f>CompilDonnées[[#This Row],[Ref_Module]]&amp;CompilDonnées[[#This Row],[HarvestingDate]]</f>
        <v>46445924</v>
      </c>
    </row>
    <row r="4337" spans="1:16">
      <c r="A4337" s="5">
        <v>45878</v>
      </c>
      <c r="B4337">
        <v>54</v>
      </c>
      <c r="C4337" t="s">
        <v>39</v>
      </c>
      <c r="D4337">
        <v>4</v>
      </c>
      <c r="E4337">
        <v>100</v>
      </c>
      <c r="F4337" t="s">
        <v>1</v>
      </c>
      <c r="G4337" s="6">
        <v>45929</v>
      </c>
      <c r="H4337">
        <v>51</v>
      </c>
      <c r="I4337">
        <f>ROUND(CompilDonnées[[#This Row],[CultureDuration_days]]/7,0)</f>
        <v>7</v>
      </c>
      <c r="J4337">
        <v>1642</v>
      </c>
      <c r="K4337" t="str">
        <f>_xlfn.CONCAT(WEEKNUM(CompilDonnées[[#This Row],[PlantationDate]]), " ", YEAR(CompilDonnées[[#This Row],[PlantationDate]]))</f>
        <v>32 2025</v>
      </c>
      <c r="L4337" t="str">
        <f>CONCATENATE(MONTH(CompilDonnées[[#This Row],[PlantationDate]])," ", YEAR(CompilDonnées[[#This Row],[PlantationDate]]))</f>
        <v>8 2025</v>
      </c>
      <c r="M4337" t="str">
        <f>CONCATENATE(MONTH(CompilDonnées[[#This Row],[HarvestingDate]])," ", YEAR(CompilDonnées[[#This Row],[HarvestingDate]]))</f>
        <v>9 2025</v>
      </c>
      <c r="N4337">
        <f>_xlfn.NUMBERVALUE(CompilDonnées[[#This Row],[FarmID]]&amp;CompilDonnées[[#This Row],[ModuleNumber]]&amp;CompilDonnées[[#This Row],[PlantationDate]])</f>
        <v>54445878</v>
      </c>
      <c r="O4337" t="str">
        <f>CompilDonnées[[#This Row],[FarmID]]&amp;CompilDonnées[[#This Row],[ModuleNumber]]</f>
        <v>544</v>
      </c>
      <c r="P4337" t="str">
        <f>CompilDonnées[[#This Row],[Ref_Module]]&amp;CompilDonnées[[#This Row],[HarvestingDate]]</f>
        <v>54445929</v>
      </c>
    </row>
    <row r="4338" spans="1:16">
      <c r="A4338" s="5">
        <v>45878</v>
      </c>
      <c r="B4338">
        <v>61</v>
      </c>
      <c r="C4338" t="s">
        <v>95</v>
      </c>
      <c r="D4338">
        <v>3</v>
      </c>
      <c r="E4338">
        <v>100</v>
      </c>
      <c r="F4338" t="s">
        <v>1</v>
      </c>
      <c r="G4338" s="6">
        <v>45929</v>
      </c>
      <c r="H4338">
        <v>51</v>
      </c>
      <c r="I4338">
        <f>ROUND(CompilDonnées[[#This Row],[CultureDuration_days]]/7,0)</f>
        <v>7</v>
      </c>
      <c r="J4338">
        <v>1842</v>
      </c>
      <c r="K4338" t="str">
        <f>_xlfn.CONCAT(WEEKNUM(CompilDonnées[[#This Row],[PlantationDate]]), " ", YEAR(CompilDonnées[[#This Row],[PlantationDate]]))</f>
        <v>32 2025</v>
      </c>
      <c r="L4338" t="str">
        <f>CONCATENATE(MONTH(CompilDonnées[[#This Row],[PlantationDate]])," ", YEAR(CompilDonnées[[#This Row],[PlantationDate]]))</f>
        <v>8 2025</v>
      </c>
      <c r="M4338" t="str">
        <f>CONCATENATE(MONTH(CompilDonnées[[#This Row],[HarvestingDate]])," ", YEAR(CompilDonnées[[#This Row],[HarvestingDate]]))</f>
        <v>9 2025</v>
      </c>
      <c r="N4338">
        <f>_xlfn.NUMBERVALUE(CompilDonnées[[#This Row],[FarmID]]&amp;CompilDonnées[[#This Row],[ModuleNumber]]&amp;CompilDonnées[[#This Row],[PlantationDate]])</f>
        <v>61345878</v>
      </c>
      <c r="O4338" t="str">
        <f>CompilDonnées[[#This Row],[FarmID]]&amp;CompilDonnées[[#This Row],[ModuleNumber]]</f>
        <v>613</v>
      </c>
      <c r="P4338" t="str">
        <f>CompilDonnées[[#This Row],[Ref_Module]]&amp;CompilDonnées[[#This Row],[HarvestingDate]]</f>
        <v>61345929</v>
      </c>
    </row>
    <row r="4339" spans="1:16">
      <c r="A4339" s="5">
        <v>45878</v>
      </c>
      <c r="B4339">
        <v>63</v>
      </c>
      <c r="C4339" t="s">
        <v>98</v>
      </c>
      <c r="D4339">
        <v>3</v>
      </c>
      <c r="E4339">
        <v>100</v>
      </c>
      <c r="F4339" t="s">
        <v>1</v>
      </c>
      <c r="G4339" s="6">
        <v>45923</v>
      </c>
      <c r="H4339">
        <v>45</v>
      </c>
      <c r="I4339">
        <f>ROUND(CompilDonnées[[#This Row],[CultureDuration_days]]/7,0)</f>
        <v>6</v>
      </c>
      <c r="J4339">
        <v>958</v>
      </c>
      <c r="K4339" t="str">
        <f>_xlfn.CONCAT(WEEKNUM(CompilDonnées[[#This Row],[PlantationDate]]), " ", YEAR(CompilDonnées[[#This Row],[PlantationDate]]))</f>
        <v>32 2025</v>
      </c>
      <c r="L4339" t="str">
        <f>CONCATENATE(MONTH(CompilDonnées[[#This Row],[PlantationDate]])," ", YEAR(CompilDonnées[[#This Row],[PlantationDate]]))</f>
        <v>8 2025</v>
      </c>
      <c r="M4339" t="str">
        <f>CONCATENATE(MONTH(CompilDonnées[[#This Row],[HarvestingDate]])," ", YEAR(CompilDonnées[[#This Row],[HarvestingDate]]))</f>
        <v>9 2025</v>
      </c>
      <c r="N4339">
        <f>_xlfn.NUMBERVALUE(CompilDonnées[[#This Row],[FarmID]]&amp;CompilDonnées[[#This Row],[ModuleNumber]]&amp;CompilDonnées[[#This Row],[PlantationDate]])</f>
        <v>63345878</v>
      </c>
      <c r="O4339" t="str">
        <f>CompilDonnées[[#This Row],[FarmID]]&amp;CompilDonnées[[#This Row],[ModuleNumber]]</f>
        <v>633</v>
      </c>
      <c r="P4339" t="str">
        <f>CompilDonnées[[#This Row],[Ref_Module]]&amp;CompilDonnées[[#This Row],[HarvestingDate]]</f>
        <v>63345923</v>
      </c>
    </row>
    <row r="4340" spans="1:16">
      <c r="A4340" s="5">
        <v>45878</v>
      </c>
      <c r="B4340">
        <v>52</v>
      </c>
      <c r="C4340" t="s">
        <v>88</v>
      </c>
      <c r="D4340">
        <v>6</v>
      </c>
      <c r="E4340">
        <v>100</v>
      </c>
      <c r="F4340" t="s">
        <v>1</v>
      </c>
      <c r="G4340" s="6">
        <v>45923</v>
      </c>
      <c r="H4340">
        <v>45</v>
      </c>
      <c r="I4340">
        <f>ROUND(CompilDonnées[[#This Row],[CultureDuration_days]]/7,0)</f>
        <v>6</v>
      </c>
      <c r="J4340">
        <v>3623</v>
      </c>
      <c r="K4340" t="str">
        <f>_xlfn.CONCAT(WEEKNUM(CompilDonnées[[#This Row],[PlantationDate]]), " ", YEAR(CompilDonnées[[#This Row],[PlantationDate]]))</f>
        <v>32 2025</v>
      </c>
      <c r="L4340" t="str">
        <f>CONCATENATE(MONTH(CompilDonnées[[#This Row],[PlantationDate]])," ", YEAR(CompilDonnées[[#This Row],[PlantationDate]]))</f>
        <v>8 2025</v>
      </c>
      <c r="M4340" t="str">
        <f>CONCATENATE(MONTH(CompilDonnées[[#This Row],[HarvestingDate]])," ", YEAR(CompilDonnées[[#This Row],[HarvestingDate]]))</f>
        <v>9 2025</v>
      </c>
      <c r="N4340">
        <f>_xlfn.NUMBERVALUE(CompilDonnées[[#This Row],[FarmID]]&amp;CompilDonnées[[#This Row],[ModuleNumber]]&amp;CompilDonnées[[#This Row],[PlantationDate]])</f>
        <v>52645878</v>
      </c>
      <c r="O4340" t="str">
        <f>CompilDonnées[[#This Row],[FarmID]]&amp;CompilDonnées[[#This Row],[ModuleNumber]]</f>
        <v>526</v>
      </c>
      <c r="P4340" t="str">
        <f>CompilDonnées[[#This Row],[Ref_Module]]&amp;CompilDonnées[[#This Row],[HarvestingDate]]</f>
        <v>52645923</v>
      </c>
    </row>
    <row r="4341" spans="1:16">
      <c r="A4341" s="5">
        <v>45878</v>
      </c>
      <c r="B4341">
        <v>80</v>
      </c>
      <c r="C4341" t="s">
        <v>29</v>
      </c>
      <c r="D4341">
        <v>2</v>
      </c>
      <c r="E4341">
        <v>100</v>
      </c>
      <c r="F4341" t="s">
        <v>1</v>
      </c>
      <c r="G4341" s="6">
        <v>45930</v>
      </c>
      <c r="H4341">
        <v>52</v>
      </c>
      <c r="I4341">
        <f>ROUND(CompilDonnées[[#This Row],[CultureDuration_days]]/7,0)</f>
        <v>7</v>
      </c>
      <c r="J4341">
        <v>3286</v>
      </c>
      <c r="K4341" t="str">
        <f>_xlfn.CONCAT(WEEKNUM(CompilDonnées[[#This Row],[PlantationDate]]), " ", YEAR(CompilDonnées[[#This Row],[PlantationDate]]))</f>
        <v>32 2025</v>
      </c>
      <c r="L4341" t="str">
        <f>CONCATENATE(MONTH(CompilDonnées[[#This Row],[PlantationDate]])," ", YEAR(CompilDonnées[[#This Row],[PlantationDate]]))</f>
        <v>8 2025</v>
      </c>
      <c r="M4341" t="str">
        <f>CONCATENATE(MONTH(CompilDonnées[[#This Row],[HarvestingDate]])," ", YEAR(CompilDonnées[[#This Row],[HarvestingDate]]))</f>
        <v>9 2025</v>
      </c>
      <c r="N4341">
        <f>_xlfn.NUMBERVALUE(CompilDonnées[[#This Row],[FarmID]]&amp;CompilDonnées[[#This Row],[ModuleNumber]]&amp;CompilDonnées[[#This Row],[PlantationDate]])</f>
        <v>80245878</v>
      </c>
      <c r="O4341" t="str">
        <f>CompilDonnées[[#This Row],[FarmID]]&amp;CompilDonnées[[#This Row],[ModuleNumber]]</f>
        <v>802</v>
      </c>
      <c r="P4341" t="str">
        <f>CompilDonnées[[#This Row],[Ref_Module]]&amp;CompilDonnées[[#This Row],[HarvestingDate]]</f>
        <v>80245930</v>
      </c>
    </row>
    <row r="4342" spans="1:16">
      <c r="A4342" s="5">
        <v>45878</v>
      </c>
      <c r="B4342">
        <v>56</v>
      </c>
      <c r="C4342" t="s">
        <v>6</v>
      </c>
      <c r="D4342">
        <v>6</v>
      </c>
      <c r="E4342">
        <v>100</v>
      </c>
      <c r="F4342" t="s">
        <v>1</v>
      </c>
      <c r="G4342" s="6">
        <v>45924</v>
      </c>
      <c r="H4342">
        <v>46</v>
      </c>
      <c r="I4342">
        <f>ROUND(CompilDonnées[[#This Row],[CultureDuration_days]]/7,0)</f>
        <v>7</v>
      </c>
      <c r="J4342">
        <v>2364</v>
      </c>
      <c r="K4342" t="str">
        <f>_xlfn.CONCAT(WEEKNUM(CompilDonnées[[#This Row],[PlantationDate]]), " ", YEAR(CompilDonnées[[#This Row],[PlantationDate]]))</f>
        <v>32 2025</v>
      </c>
      <c r="L4342" t="str">
        <f>CONCATENATE(MONTH(CompilDonnées[[#This Row],[PlantationDate]])," ", YEAR(CompilDonnées[[#This Row],[PlantationDate]]))</f>
        <v>8 2025</v>
      </c>
      <c r="M4342" t="str">
        <f>CONCATENATE(MONTH(CompilDonnées[[#This Row],[HarvestingDate]])," ", YEAR(CompilDonnées[[#This Row],[HarvestingDate]]))</f>
        <v>9 2025</v>
      </c>
      <c r="N4342">
        <f>_xlfn.NUMBERVALUE(CompilDonnées[[#This Row],[FarmID]]&amp;CompilDonnées[[#This Row],[ModuleNumber]]&amp;CompilDonnées[[#This Row],[PlantationDate]])</f>
        <v>56645878</v>
      </c>
      <c r="O4342" t="str">
        <f>CompilDonnées[[#This Row],[FarmID]]&amp;CompilDonnées[[#This Row],[ModuleNumber]]</f>
        <v>566</v>
      </c>
      <c r="P4342" t="str">
        <f>CompilDonnées[[#This Row],[Ref_Module]]&amp;CompilDonnées[[#This Row],[HarvestingDate]]</f>
        <v>56645924</v>
      </c>
    </row>
    <row r="4343" spans="1:16">
      <c r="A4343" s="5">
        <v>45878</v>
      </c>
      <c r="B4343">
        <v>59</v>
      </c>
      <c r="C4343" t="s">
        <v>64</v>
      </c>
      <c r="D4343">
        <v>6</v>
      </c>
      <c r="E4343">
        <v>100</v>
      </c>
      <c r="F4343" t="s">
        <v>1</v>
      </c>
      <c r="G4343" s="6">
        <v>45923</v>
      </c>
      <c r="H4343">
        <v>45</v>
      </c>
      <c r="I4343">
        <f>ROUND(CompilDonnées[[#This Row],[CultureDuration_days]]/7,0)</f>
        <v>6</v>
      </c>
      <c r="J4343">
        <v>3606</v>
      </c>
      <c r="K4343" t="str">
        <f>_xlfn.CONCAT(WEEKNUM(CompilDonnées[[#This Row],[PlantationDate]]), " ", YEAR(CompilDonnées[[#This Row],[PlantationDate]]))</f>
        <v>32 2025</v>
      </c>
      <c r="L4343" t="str">
        <f>CONCATENATE(MONTH(CompilDonnées[[#This Row],[PlantationDate]])," ", YEAR(CompilDonnées[[#This Row],[PlantationDate]]))</f>
        <v>8 2025</v>
      </c>
      <c r="M4343" t="str">
        <f>CONCATENATE(MONTH(CompilDonnées[[#This Row],[HarvestingDate]])," ", YEAR(CompilDonnées[[#This Row],[HarvestingDate]]))</f>
        <v>9 2025</v>
      </c>
      <c r="N4343">
        <f>_xlfn.NUMBERVALUE(CompilDonnées[[#This Row],[FarmID]]&amp;CompilDonnées[[#This Row],[ModuleNumber]]&amp;CompilDonnées[[#This Row],[PlantationDate]])</f>
        <v>59645878</v>
      </c>
      <c r="O4343" t="str">
        <f>CompilDonnées[[#This Row],[FarmID]]&amp;CompilDonnées[[#This Row],[ModuleNumber]]</f>
        <v>596</v>
      </c>
      <c r="P4343" t="str">
        <f>CompilDonnées[[#This Row],[Ref_Module]]&amp;CompilDonnées[[#This Row],[HarvestingDate]]</f>
        <v>59645923</v>
      </c>
    </row>
    <row r="4344" spans="1:16">
      <c r="A4344" s="5">
        <v>45878</v>
      </c>
      <c r="B4344">
        <v>143</v>
      </c>
      <c r="C4344" t="s">
        <v>81</v>
      </c>
      <c r="D4344">
        <v>3</v>
      </c>
      <c r="E4344">
        <v>100</v>
      </c>
      <c r="F4344" t="s">
        <v>1</v>
      </c>
      <c r="G4344" s="6">
        <v>45922</v>
      </c>
      <c r="H4344">
        <v>44</v>
      </c>
      <c r="I4344">
        <f>ROUND(CompilDonnées[[#This Row],[CultureDuration_days]]/7,0)</f>
        <v>6</v>
      </c>
      <c r="J4344">
        <v>1795</v>
      </c>
      <c r="K4344" t="str">
        <f>_xlfn.CONCAT(WEEKNUM(CompilDonnées[[#This Row],[PlantationDate]]), " ", YEAR(CompilDonnées[[#This Row],[PlantationDate]]))</f>
        <v>32 2025</v>
      </c>
      <c r="L4344" t="str">
        <f>CONCATENATE(MONTH(CompilDonnées[[#This Row],[PlantationDate]])," ", YEAR(CompilDonnées[[#This Row],[PlantationDate]]))</f>
        <v>8 2025</v>
      </c>
      <c r="M4344" t="str">
        <f>CONCATENATE(MONTH(CompilDonnées[[#This Row],[HarvestingDate]])," ", YEAR(CompilDonnées[[#This Row],[HarvestingDate]]))</f>
        <v>9 2025</v>
      </c>
      <c r="N4344">
        <f>_xlfn.NUMBERVALUE(CompilDonnées[[#This Row],[FarmID]]&amp;CompilDonnées[[#This Row],[ModuleNumber]]&amp;CompilDonnées[[#This Row],[PlantationDate]])</f>
        <v>143345878</v>
      </c>
      <c r="O4344" t="str">
        <f>CompilDonnées[[#This Row],[FarmID]]&amp;CompilDonnées[[#This Row],[ModuleNumber]]</f>
        <v>1433</v>
      </c>
      <c r="P4344" t="str">
        <f>CompilDonnées[[#This Row],[Ref_Module]]&amp;CompilDonnées[[#This Row],[HarvestingDate]]</f>
        <v>143345922</v>
      </c>
    </row>
    <row r="4345" spans="1:16">
      <c r="A4345" s="5">
        <v>45878</v>
      </c>
      <c r="B4345">
        <v>124</v>
      </c>
      <c r="C4345" t="s">
        <v>115</v>
      </c>
      <c r="D4345">
        <v>3</v>
      </c>
      <c r="E4345">
        <v>100</v>
      </c>
      <c r="F4345" t="s">
        <v>1</v>
      </c>
      <c r="G4345" s="6">
        <v>45922</v>
      </c>
      <c r="H4345">
        <v>44</v>
      </c>
      <c r="I4345">
        <f>ROUND(CompilDonnées[[#This Row],[CultureDuration_days]]/7,0)</f>
        <v>6</v>
      </c>
      <c r="J4345">
        <v>3304</v>
      </c>
      <c r="K4345" t="str">
        <f>_xlfn.CONCAT(WEEKNUM(CompilDonnées[[#This Row],[PlantationDate]]), " ", YEAR(CompilDonnées[[#This Row],[PlantationDate]]))</f>
        <v>32 2025</v>
      </c>
      <c r="L4345" t="str">
        <f>CONCATENATE(MONTH(CompilDonnées[[#This Row],[PlantationDate]])," ", YEAR(CompilDonnées[[#This Row],[PlantationDate]]))</f>
        <v>8 2025</v>
      </c>
      <c r="M4345" t="str">
        <f>CONCATENATE(MONTH(CompilDonnées[[#This Row],[HarvestingDate]])," ", YEAR(CompilDonnées[[#This Row],[HarvestingDate]]))</f>
        <v>9 2025</v>
      </c>
      <c r="N4345">
        <f>_xlfn.NUMBERVALUE(CompilDonnées[[#This Row],[FarmID]]&amp;CompilDonnées[[#This Row],[ModuleNumber]]&amp;CompilDonnées[[#This Row],[PlantationDate]])</f>
        <v>124345878</v>
      </c>
      <c r="O4345" t="str">
        <f>CompilDonnées[[#This Row],[FarmID]]&amp;CompilDonnées[[#This Row],[ModuleNumber]]</f>
        <v>1243</v>
      </c>
      <c r="P4345" t="str">
        <f>CompilDonnées[[#This Row],[Ref_Module]]&amp;CompilDonnées[[#This Row],[HarvestingDate]]</f>
        <v>124345922</v>
      </c>
    </row>
    <row r="4346" spans="1:16">
      <c r="A4346" s="5">
        <v>45878</v>
      </c>
      <c r="B4346">
        <v>120</v>
      </c>
      <c r="C4346" t="s">
        <v>100</v>
      </c>
      <c r="D4346">
        <v>2</v>
      </c>
      <c r="E4346">
        <v>100</v>
      </c>
      <c r="F4346" t="s">
        <v>1</v>
      </c>
      <c r="G4346" s="6">
        <v>45917</v>
      </c>
      <c r="H4346">
        <v>39</v>
      </c>
      <c r="I4346">
        <f>ROUND(CompilDonnées[[#This Row],[CultureDuration_days]]/7,0)</f>
        <v>6</v>
      </c>
      <c r="J4346">
        <v>3823</v>
      </c>
      <c r="K4346" t="str">
        <f>_xlfn.CONCAT(WEEKNUM(CompilDonnées[[#This Row],[PlantationDate]]), " ", YEAR(CompilDonnées[[#This Row],[PlantationDate]]))</f>
        <v>32 2025</v>
      </c>
      <c r="L4346" t="str">
        <f>CONCATENATE(MONTH(CompilDonnées[[#This Row],[PlantationDate]])," ", YEAR(CompilDonnées[[#This Row],[PlantationDate]]))</f>
        <v>8 2025</v>
      </c>
      <c r="M4346" t="str">
        <f>CONCATENATE(MONTH(CompilDonnées[[#This Row],[HarvestingDate]])," ", YEAR(CompilDonnées[[#This Row],[HarvestingDate]]))</f>
        <v>9 2025</v>
      </c>
      <c r="N4346">
        <f>_xlfn.NUMBERVALUE(CompilDonnées[[#This Row],[FarmID]]&amp;CompilDonnées[[#This Row],[ModuleNumber]]&amp;CompilDonnées[[#This Row],[PlantationDate]])</f>
        <v>120245878</v>
      </c>
      <c r="O4346" t="str">
        <f>CompilDonnées[[#This Row],[FarmID]]&amp;CompilDonnées[[#This Row],[ModuleNumber]]</f>
        <v>1202</v>
      </c>
      <c r="P4346" t="str">
        <f>CompilDonnées[[#This Row],[Ref_Module]]&amp;CompilDonnées[[#This Row],[HarvestingDate]]</f>
        <v>120245917</v>
      </c>
    </row>
    <row r="4347" spans="1:16">
      <c r="A4347" s="5">
        <v>45878</v>
      </c>
      <c r="B4347">
        <v>113</v>
      </c>
      <c r="C4347" t="s">
        <v>16</v>
      </c>
      <c r="D4347">
        <v>4</v>
      </c>
      <c r="E4347">
        <v>100</v>
      </c>
      <c r="F4347" t="s">
        <v>1</v>
      </c>
      <c r="G4347" s="6">
        <v>45917</v>
      </c>
      <c r="H4347">
        <v>39</v>
      </c>
      <c r="I4347">
        <f>ROUND(CompilDonnées[[#This Row],[CultureDuration_days]]/7,0)</f>
        <v>6</v>
      </c>
      <c r="J4347">
        <v>3462</v>
      </c>
      <c r="K4347" t="str">
        <f>_xlfn.CONCAT(WEEKNUM(CompilDonnées[[#This Row],[PlantationDate]]), " ", YEAR(CompilDonnées[[#This Row],[PlantationDate]]))</f>
        <v>32 2025</v>
      </c>
      <c r="L4347" t="str">
        <f>CONCATENATE(MONTH(CompilDonnées[[#This Row],[PlantationDate]])," ", YEAR(CompilDonnées[[#This Row],[PlantationDate]]))</f>
        <v>8 2025</v>
      </c>
      <c r="M4347" t="str">
        <f>CONCATENATE(MONTH(CompilDonnées[[#This Row],[HarvestingDate]])," ", YEAR(CompilDonnées[[#This Row],[HarvestingDate]]))</f>
        <v>9 2025</v>
      </c>
      <c r="N4347">
        <f>_xlfn.NUMBERVALUE(CompilDonnées[[#This Row],[FarmID]]&amp;CompilDonnées[[#This Row],[ModuleNumber]]&amp;CompilDonnées[[#This Row],[PlantationDate]])</f>
        <v>113445878</v>
      </c>
      <c r="O4347" t="str">
        <f>CompilDonnées[[#This Row],[FarmID]]&amp;CompilDonnées[[#This Row],[ModuleNumber]]</f>
        <v>1134</v>
      </c>
      <c r="P4347" t="str">
        <f>CompilDonnées[[#This Row],[Ref_Module]]&amp;CompilDonnées[[#This Row],[HarvestingDate]]</f>
        <v>113445917</v>
      </c>
    </row>
    <row r="4348" spans="1:16">
      <c r="A4348" s="5">
        <v>45878</v>
      </c>
      <c r="B4348">
        <v>112</v>
      </c>
      <c r="C4348" t="s">
        <v>15</v>
      </c>
      <c r="D4348">
        <v>4</v>
      </c>
      <c r="E4348">
        <v>100</v>
      </c>
      <c r="F4348" t="s">
        <v>1</v>
      </c>
      <c r="G4348" s="6">
        <v>45917</v>
      </c>
      <c r="H4348">
        <v>39</v>
      </c>
      <c r="I4348">
        <f>ROUND(CompilDonnées[[#This Row],[CultureDuration_days]]/7,0)</f>
        <v>6</v>
      </c>
      <c r="J4348">
        <v>1659</v>
      </c>
      <c r="K4348" t="str">
        <f>_xlfn.CONCAT(WEEKNUM(CompilDonnées[[#This Row],[PlantationDate]]), " ", YEAR(CompilDonnées[[#This Row],[PlantationDate]]))</f>
        <v>32 2025</v>
      </c>
      <c r="L4348" t="str">
        <f>CONCATENATE(MONTH(CompilDonnées[[#This Row],[PlantationDate]])," ", YEAR(CompilDonnées[[#This Row],[PlantationDate]]))</f>
        <v>8 2025</v>
      </c>
      <c r="M4348" t="str">
        <f>CONCATENATE(MONTH(CompilDonnées[[#This Row],[HarvestingDate]])," ", YEAR(CompilDonnées[[#This Row],[HarvestingDate]]))</f>
        <v>9 2025</v>
      </c>
      <c r="N4348">
        <f>_xlfn.NUMBERVALUE(CompilDonnées[[#This Row],[FarmID]]&amp;CompilDonnées[[#This Row],[ModuleNumber]]&amp;CompilDonnées[[#This Row],[PlantationDate]])</f>
        <v>112445878</v>
      </c>
      <c r="O4348" t="str">
        <f>CompilDonnées[[#This Row],[FarmID]]&amp;CompilDonnées[[#This Row],[ModuleNumber]]</f>
        <v>1124</v>
      </c>
      <c r="P4348" t="str">
        <f>CompilDonnées[[#This Row],[Ref_Module]]&amp;CompilDonnées[[#This Row],[HarvestingDate]]</f>
        <v>112445917</v>
      </c>
    </row>
    <row r="4349" spans="1:16">
      <c r="A4349" s="5">
        <v>45878</v>
      </c>
      <c r="B4349">
        <v>111</v>
      </c>
      <c r="C4349" t="s">
        <v>41</v>
      </c>
      <c r="D4349">
        <v>6</v>
      </c>
      <c r="E4349">
        <v>100</v>
      </c>
      <c r="F4349" t="s">
        <v>1</v>
      </c>
      <c r="G4349" s="6">
        <v>45922</v>
      </c>
      <c r="H4349">
        <v>44</v>
      </c>
      <c r="I4349">
        <f>ROUND(CompilDonnées[[#This Row],[CultureDuration_days]]/7,0)</f>
        <v>6</v>
      </c>
      <c r="J4349">
        <v>3207</v>
      </c>
      <c r="K4349" t="str">
        <f>_xlfn.CONCAT(WEEKNUM(CompilDonnées[[#This Row],[PlantationDate]]), " ", YEAR(CompilDonnées[[#This Row],[PlantationDate]]))</f>
        <v>32 2025</v>
      </c>
      <c r="L4349" t="str">
        <f>CONCATENATE(MONTH(CompilDonnées[[#This Row],[PlantationDate]])," ", YEAR(CompilDonnées[[#This Row],[PlantationDate]]))</f>
        <v>8 2025</v>
      </c>
      <c r="M4349" t="str">
        <f>CONCATENATE(MONTH(CompilDonnées[[#This Row],[HarvestingDate]])," ", YEAR(CompilDonnées[[#This Row],[HarvestingDate]]))</f>
        <v>9 2025</v>
      </c>
      <c r="N4349">
        <f>_xlfn.NUMBERVALUE(CompilDonnées[[#This Row],[FarmID]]&amp;CompilDonnées[[#This Row],[ModuleNumber]]&amp;CompilDonnées[[#This Row],[PlantationDate]])</f>
        <v>111645878</v>
      </c>
      <c r="O4349" t="str">
        <f>CompilDonnées[[#This Row],[FarmID]]&amp;CompilDonnées[[#This Row],[ModuleNumber]]</f>
        <v>1116</v>
      </c>
      <c r="P4349" t="str">
        <f>CompilDonnées[[#This Row],[Ref_Module]]&amp;CompilDonnées[[#This Row],[HarvestingDate]]</f>
        <v>111645922</v>
      </c>
    </row>
    <row r="4350" spans="1:16">
      <c r="A4350" s="5">
        <v>45878</v>
      </c>
      <c r="B4350">
        <v>110</v>
      </c>
      <c r="C4350" t="s">
        <v>14</v>
      </c>
      <c r="D4350">
        <v>2</v>
      </c>
      <c r="E4350">
        <v>100</v>
      </c>
      <c r="F4350" t="s">
        <v>1</v>
      </c>
      <c r="G4350" s="6">
        <v>45922</v>
      </c>
      <c r="H4350">
        <v>44</v>
      </c>
      <c r="I4350">
        <f>ROUND(CompilDonnées[[#This Row],[CultureDuration_days]]/7,0)</f>
        <v>6</v>
      </c>
      <c r="J4350">
        <v>2017</v>
      </c>
      <c r="K4350" t="str">
        <f>_xlfn.CONCAT(WEEKNUM(CompilDonnées[[#This Row],[PlantationDate]]), " ", YEAR(CompilDonnées[[#This Row],[PlantationDate]]))</f>
        <v>32 2025</v>
      </c>
      <c r="L4350" t="str">
        <f>CONCATENATE(MONTH(CompilDonnées[[#This Row],[PlantationDate]])," ", YEAR(CompilDonnées[[#This Row],[PlantationDate]]))</f>
        <v>8 2025</v>
      </c>
      <c r="M4350" t="str">
        <f>CONCATENATE(MONTH(CompilDonnées[[#This Row],[HarvestingDate]])," ", YEAR(CompilDonnées[[#This Row],[HarvestingDate]]))</f>
        <v>9 2025</v>
      </c>
      <c r="N4350">
        <f>_xlfn.NUMBERVALUE(CompilDonnées[[#This Row],[FarmID]]&amp;CompilDonnées[[#This Row],[ModuleNumber]]&amp;CompilDonnées[[#This Row],[PlantationDate]])</f>
        <v>110245878</v>
      </c>
      <c r="O4350" t="str">
        <f>CompilDonnées[[#This Row],[FarmID]]&amp;CompilDonnées[[#This Row],[ModuleNumber]]</f>
        <v>1102</v>
      </c>
      <c r="P4350" t="str">
        <f>CompilDonnées[[#This Row],[Ref_Module]]&amp;CompilDonnées[[#This Row],[HarvestingDate]]</f>
        <v>110245922</v>
      </c>
    </row>
    <row r="4351" spans="1:16">
      <c r="A4351" s="5">
        <v>45878</v>
      </c>
      <c r="B4351">
        <v>116</v>
      </c>
      <c r="C4351" t="s">
        <v>76</v>
      </c>
      <c r="D4351">
        <v>5</v>
      </c>
      <c r="E4351">
        <v>100</v>
      </c>
      <c r="F4351" t="s">
        <v>1</v>
      </c>
      <c r="G4351" s="6">
        <v>45922</v>
      </c>
      <c r="H4351">
        <v>44</v>
      </c>
      <c r="I4351">
        <f>ROUND(CompilDonnées[[#This Row],[CultureDuration_days]]/7,0)</f>
        <v>6</v>
      </c>
      <c r="J4351">
        <v>1404</v>
      </c>
      <c r="K4351" t="str">
        <f>_xlfn.CONCAT(WEEKNUM(CompilDonnées[[#This Row],[PlantationDate]]), " ", YEAR(CompilDonnées[[#This Row],[PlantationDate]]))</f>
        <v>32 2025</v>
      </c>
      <c r="L4351" t="str">
        <f>CONCATENATE(MONTH(CompilDonnées[[#This Row],[PlantationDate]])," ", YEAR(CompilDonnées[[#This Row],[PlantationDate]]))</f>
        <v>8 2025</v>
      </c>
      <c r="M4351" t="str">
        <f>CONCATENATE(MONTH(CompilDonnées[[#This Row],[HarvestingDate]])," ", YEAR(CompilDonnées[[#This Row],[HarvestingDate]]))</f>
        <v>9 2025</v>
      </c>
      <c r="N4351">
        <f>_xlfn.NUMBERVALUE(CompilDonnées[[#This Row],[FarmID]]&amp;CompilDonnées[[#This Row],[ModuleNumber]]&amp;CompilDonnées[[#This Row],[PlantationDate]])</f>
        <v>116545878</v>
      </c>
      <c r="O4351" t="str">
        <f>CompilDonnées[[#This Row],[FarmID]]&amp;CompilDonnées[[#This Row],[ModuleNumber]]</f>
        <v>1165</v>
      </c>
      <c r="P4351" t="str">
        <f>CompilDonnées[[#This Row],[Ref_Module]]&amp;CompilDonnées[[#This Row],[HarvestingDate]]</f>
        <v>116545922</v>
      </c>
    </row>
    <row r="4352" spans="1:16">
      <c r="A4352" s="5">
        <v>45878</v>
      </c>
      <c r="B4352">
        <v>115</v>
      </c>
      <c r="C4352" t="s">
        <v>121</v>
      </c>
      <c r="D4352">
        <v>4</v>
      </c>
      <c r="E4352">
        <v>100</v>
      </c>
      <c r="F4352" t="s">
        <v>1</v>
      </c>
      <c r="G4352" s="6">
        <v>45922</v>
      </c>
      <c r="H4352">
        <v>44</v>
      </c>
      <c r="I4352">
        <f>ROUND(CompilDonnées[[#This Row],[CultureDuration_days]]/7,0)</f>
        <v>6</v>
      </c>
      <c r="J4352">
        <v>1750</v>
      </c>
      <c r="K4352" t="str">
        <f>_xlfn.CONCAT(WEEKNUM(CompilDonnées[[#This Row],[PlantationDate]]), " ", YEAR(CompilDonnées[[#This Row],[PlantationDate]]))</f>
        <v>32 2025</v>
      </c>
      <c r="L4352" t="str">
        <f>CONCATENATE(MONTH(CompilDonnées[[#This Row],[PlantationDate]])," ", YEAR(CompilDonnées[[#This Row],[PlantationDate]]))</f>
        <v>8 2025</v>
      </c>
      <c r="M4352" t="str">
        <f>CONCATENATE(MONTH(CompilDonnées[[#This Row],[HarvestingDate]])," ", YEAR(CompilDonnées[[#This Row],[HarvestingDate]]))</f>
        <v>9 2025</v>
      </c>
      <c r="N4352">
        <f>_xlfn.NUMBERVALUE(CompilDonnées[[#This Row],[FarmID]]&amp;CompilDonnées[[#This Row],[ModuleNumber]]&amp;CompilDonnées[[#This Row],[PlantationDate]])</f>
        <v>115445878</v>
      </c>
      <c r="O4352" t="str">
        <f>CompilDonnées[[#This Row],[FarmID]]&amp;CompilDonnées[[#This Row],[ModuleNumber]]</f>
        <v>1154</v>
      </c>
      <c r="P4352" t="str">
        <f>CompilDonnées[[#This Row],[Ref_Module]]&amp;CompilDonnées[[#This Row],[HarvestingDate]]</f>
        <v>115445922</v>
      </c>
    </row>
    <row r="4353" spans="1:16">
      <c r="A4353" s="5">
        <v>45878</v>
      </c>
      <c r="B4353">
        <v>122</v>
      </c>
      <c r="C4353" t="s">
        <v>122</v>
      </c>
      <c r="D4353">
        <v>6</v>
      </c>
      <c r="E4353">
        <v>100</v>
      </c>
      <c r="F4353" t="s">
        <v>1</v>
      </c>
      <c r="G4353" s="6">
        <v>45918</v>
      </c>
      <c r="H4353">
        <v>40</v>
      </c>
      <c r="I4353">
        <f>ROUND(CompilDonnées[[#This Row],[CultureDuration_days]]/7,0)</f>
        <v>6</v>
      </c>
      <c r="J4353">
        <v>1708</v>
      </c>
      <c r="K4353" t="str">
        <f>_xlfn.CONCAT(WEEKNUM(CompilDonnées[[#This Row],[PlantationDate]]), " ", YEAR(CompilDonnées[[#This Row],[PlantationDate]]))</f>
        <v>32 2025</v>
      </c>
      <c r="L4353" t="str">
        <f>CONCATENATE(MONTH(CompilDonnées[[#This Row],[PlantationDate]])," ", YEAR(CompilDonnées[[#This Row],[PlantationDate]]))</f>
        <v>8 2025</v>
      </c>
      <c r="M4353" t="str">
        <f>CONCATENATE(MONTH(CompilDonnées[[#This Row],[HarvestingDate]])," ", YEAR(CompilDonnées[[#This Row],[HarvestingDate]]))</f>
        <v>9 2025</v>
      </c>
      <c r="N4353">
        <f>_xlfn.NUMBERVALUE(CompilDonnées[[#This Row],[FarmID]]&amp;CompilDonnées[[#This Row],[ModuleNumber]]&amp;CompilDonnées[[#This Row],[PlantationDate]])</f>
        <v>122645878</v>
      </c>
      <c r="O4353" t="str">
        <f>CompilDonnées[[#This Row],[FarmID]]&amp;CompilDonnées[[#This Row],[ModuleNumber]]</f>
        <v>1226</v>
      </c>
      <c r="P4353" t="str">
        <f>CompilDonnées[[#This Row],[Ref_Module]]&amp;CompilDonnées[[#This Row],[HarvestingDate]]</f>
        <v>122645918</v>
      </c>
    </row>
    <row r="4354" spans="1:16">
      <c r="A4354" s="5">
        <v>45878</v>
      </c>
      <c r="B4354">
        <v>121</v>
      </c>
      <c r="C4354" t="s">
        <v>3</v>
      </c>
      <c r="D4354">
        <v>1</v>
      </c>
      <c r="E4354">
        <v>60</v>
      </c>
      <c r="F4354" t="s">
        <v>105</v>
      </c>
      <c r="G4354" s="6">
        <v>45904</v>
      </c>
      <c r="H4354">
        <v>26</v>
      </c>
      <c r="I4354">
        <f>ROUND(CompilDonnées[[#This Row],[CultureDuration_days]]/7,0)</f>
        <v>4</v>
      </c>
      <c r="J4354">
        <v>80</v>
      </c>
      <c r="K4354" t="str">
        <f>_xlfn.CONCAT(WEEKNUM(CompilDonnées[[#This Row],[PlantationDate]]), " ", YEAR(CompilDonnées[[#This Row],[PlantationDate]]))</f>
        <v>32 2025</v>
      </c>
      <c r="L4354" t="str">
        <f>CONCATENATE(MONTH(CompilDonnées[[#This Row],[PlantationDate]])," ", YEAR(CompilDonnées[[#This Row],[PlantationDate]]))</f>
        <v>8 2025</v>
      </c>
      <c r="M4354" t="str">
        <f>CONCATENATE(MONTH(CompilDonnées[[#This Row],[HarvestingDate]])," ", YEAR(CompilDonnées[[#This Row],[HarvestingDate]]))</f>
        <v>9 2025</v>
      </c>
      <c r="N4354">
        <f>_xlfn.NUMBERVALUE(CompilDonnées[[#This Row],[FarmID]]&amp;CompilDonnées[[#This Row],[ModuleNumber]]&amp;CompilDonnées[[#This Row],[PlantationDate]])</f>
        <v>121145878</v>
      </c>
      <c r="O4354" t="str">
        <f>CompilDonnées[[#This Row],[FarmID]]&amp;CompilDonnées[[#This Row],[ModuleNumber]]</f>
        <v>1211</v>
      </c>
      <c r="P4354" t="str">
        <f>CompilDonnées[[#This Row],[Ref_Module]]&amp;CompilDonnées[[#This Row],[HarvestingDate]]</f>
        <v>121145904</v>
      </c>
    </row>
    <row r="4355" spans="1:16">
      <c r="A4355" s="5">
        <v>45878</v>
      </c>
      <c r="B4355">
        <v>75</v>
      </c>
      <c r="C4355" t="s">
        <v>3</v>
      </c>
      <c r="D4355">
        <v>4</v>
      </c>
      <c r="E4355">
        <v>60</v>
      </c>
      <c r="F4355" t="s">
        <v>105</v>
      </c>
      <c r="G4355" s="6">
        <v>45925</v>
      </c>
      <c r="H4355">
        <v>47</v>
      </c>
      <c r="I4355">
        <f>ROUND(CompilDonnées[[#This Row],[CultureDuration_days]]/7,0)</f>
        <v>7</v>
      </c>
      <c r="J4355">
        <v>1256</v>
      </c>
      <c r="K4355" t="str">
        <f>_xlfn.CONCAT(WEEKNUM(CompilDonnées[[#This Row],[PlantationDate]]), " ", YEAR(CompilDonnées[[#This Row],[PlantationDate]]))</f>
        <v>32 2025</v>
      </c>
      <c r="L4355" t="str">
        <f>CONCATENATE(MONTH(CompilDonnées[[#This Row],[PlantationDate]])," ", YEAR(CompilDonnées[[#This Row],[PlantationDate]]))</f>
        <v>8 2025</v>
      </c>
      <c r="M4355" t="str">
        <f>CONCATENATE(MONTH(CompilDonnées[[#This Row],[HarvestingDate]])," ", YEAR(CompilDonnées[[#This Row],[HarvestingDate]]))</f>
        <v>9 2025</v>
      </c>
      <c r="N4355">
        <f>_xlfn.NUMBERVALUE(CompilDonnées[[#This Row],[FarmID]]&amp;CompilDonnées[[#This Row],[ModuleNumber]]&amp;CompilDonnées[[#This Row],[PlantationDate]])</f>
        <v>75445878</v>
      </c>
      <c r="O4355" t="str">
        <f>CompilDonnées[[#This Row],[FarmID]]&amp;CompilDonnées[[#This Row],[ModuleNumber]]</f>
        <v>754</v>
      </c>
      <c r="P4355" t="str">
        <f>CompilDonnées[[#This Row],[Ref_Module]]&amp;CompilDonnées[[#This Row],[HarvestingDate]]</f>
        <v>75445925</v>
      </c>
    </row>
    <row r="4356" spans="1:16">
      <c r="A4356" s="5">
        <v>45878</v>
      </c>
      <c r="B4356">
        <v>147</v>
      </c>
      <c r="C4356" t="s">
        <v>3</v>
      </c>
      <c r="D4356">
        <v>4</v>
      </c>
      <c r="E4356">
        <v>60</v>
      </c>
      <c r="F4356" t="s">
        <v>105</v>
      </c>
      <c r="G4356" s="6">
        <v>45924</v>
      </c>
      <c r="H4356">
        <v>46</v>
      </c>
      <c r="I4356">
        <f>ROUND(CompilDonnées[[#This Row],[CultureDuration_days]]/7,0)</f>
        <v>7</v>
      </c>
      <c r="J4356">
        <v>2046</v>
      </c>
      <c r="K4356" t="str">
        <f>_xlfn.CONCAT(WEEKNUM(CompilDonnées[[#This Row],[PlantationDate]]), " ", YEAR(CompilDonnées[[#This Row],[PlantationDate]]))</f>
        <v>32 2025</v>
      </c>
      <c r="L4356" t="str">
        <f>CONCATENATE(MONTH(CompilDonnées[[#This Row],[PlantationDate]])," ", YEAR(CompilDonnées[[#This Row],[PlantationDate]]))</f>
        <v>8 2025</v>
      </c>
      <c r="M4356" t="str">
        <f>CONCATENATE(MONTH(CompilDonnées[[#This Row],[HarvestingDate]])," ", YEAR(CompilDonnées[[#This Row],[HarvestingDate]]))</f>
        <v>9 2025</v>
      </c>
      <c r="N4356">
        <f>_xlfn.NUMBERVALUE(CompilDonnées[[#This Row],[FarmID]]&amp;CompilDonnées[[#This Row],[ModuleNumber]]&amp;CompilDonnées[[#This Row],[PlantationDate]])</f>
        <v>147445878</v>
      </c>
      <c r="O4356" t="str">
        <f>CompilDonnées[[#This Row],[FarmID]]&amp;CompilDonnées[[#This Row],[ModuleNumber]]</f>
        <v>1474</v>
      </c>
      <c r="P4356" t="str">
        <f>CompilDonnées[[#This Row],[Ref_Module]]&amp;CompilDonnées[[#This Row],[HarvestingDate]]</f>
        <v>147445924</v>
      </c>
    </row>
    <row r="4357" spans="1:16">
      <c r="A4357" s="5">
        <v>45879</v>
      </c>
      <c r="B4357">
        <v>87</v>
      </c>
      <c r="C4357" t="s">
        <v>38</v>
      </c>
      <c r="D4357">
        <v>4</v>
      </c>
      <c r="E4357">
        <v>100</v>
      </c>
      <c r="F4357" t="s">
        <v>1</v>
      </c>
      <c r="G4357" s="6">
        <v>45930</v>
      </c>
      <c r="H4357">
        <v>51</v>
      </c>
      <c r="I4357">
        <f>ROUND(CompilDonnées[[#This Row],[CultureDuration_days]]/7,0)</f>
        <v>7</v>
      </c>
      <c r="J4357">
        <v>3455</v>
      </c>
      <c r="K4357" t="str">
        <f>_xlfn.CONCAT(WEEKNUM(CompilDonnées[[#This Row],[PlantationDate]]), " ", YEAR(CompilDonnées[[#This Row],[PlantationDate]]))</f>
        <v>33 2025</v>
      </c>
      <c r="L4357" t="str">
        <f>CONCATENATE(MONTH(CompilDonnées[[#This Row],[PlantationDate]])," ", YEAR(CompilDonnées[[#This Row],[PlantationDate]]))</f>
        <v>8 2025</v>
      </c>
      <c r="M4357" t="str">
        <f>CONCATENATE(MONTH(CompilDonnées[[#This Row],[HarvestingDate]])," ", YEAR(CompilDonnées[[#This Row],[HarvestingDate]]))</f>
        <v>9 2025</v>
      </c>
      <c r="N4357">
        <f>_xlfn.NUMBERVALUE(CompilDonnées[[#This Row],[FarmID]]&amp;CompilDonnées[[#This Row],[ModuleNumber]]&amp;CompilDonnées[[#This Row],[PlantationDate]])</f>
        <v>87445879</v>
      </c>
      <c r="O4357" t="str">
        <f>CompilDonnées[[#This Row],[FarmID]]&amp;CompilDonnées[[#This Row],[ModuleNumber]]</f>
        <v>874</v>
      </c>
      <c r="P4357" t="str">
        <f>CompilDonnées[[#This Row],[Ref_Module]]&amp;CompilDonnées[[#This Row],[HarvestingDate]]</f>
        <v>87445930</v>
      </c>
    </row>
    <row r="4358" spans="1:16">
      <c r="A4358" s="5">
        <v>45879</v>
      </c>
      <c r="B4358">
        <v>109</v>
      </c>
      <c r="C4358" t="s">
        <v>87</v>
      </c>
      <c r="D4358">
        <v>3</v>
      </c>
      <c r="E4358">
        <v>100</v>
      </c>
      <c r="F4358" t="s">
        <v>1</v>
      </c>
      <c r="G4358" s="6">
        <v>45918</v>
      </c>
      <c r="H4358">
        <v>39</v>
      </c>
      <c r="I4358">
        <f>ROUND(CompilDonnées[[#This Row],[CultureDuration_days]]/7,0)</f>
        <v>6</v>
      </c>
      <c r="J4358">
        <v>3942</v>
      </c>
      <c r="K4358" t="str">
        <f>_xlfn.CONCAT(WEEKNUM(CompilDonnées[[#This Row],[PlantationDate]]), " ", YEAR(CompilDonnées[[#This Row],[PlantationDate]]))</f>
        <v>33 2025</v>
      </c>
      <c r="L4358" t="str">
        <f>CONCATENATE(MONTH(CompilDonnées[[#This Row],[PlantationDate]])," ", YEAR(CompilDonnées[[#This Row],[PlantationDate]]))</f>
        <v>8 2025</v>
      </c>
      <c r="M4358" t="str">
        <f>CONCATENATE(MONTH(CompilDonnées[[#This Row],[HarvestingDate]])," ", YEAR(CompilDonnées[[#This Row],[HarvestingDate]]))</f>
        <v>9 2025</v>
      </c>
      <c r="N4358">
        <f>_xlfn.NUMBERVALUE(CompilDonnées[[#This Row],[FarmID]]&amp;CompilDonnées[[#This Row],[ModuleNumber]]&amp;CompilDonnées[[#This Row],[PlantationDate]])</f>
        <v>109345879</v>
      </c>
      <c r="O4358" t="str">
        <f>CompilDonnées[[#This Row],[FarmID]]&amp;CompilDonnées[[#This Row],[ModuleNumber]]</f>
        <v>1093</v>
      </c>
      <c r="P4358" t="str">
        <f>CompilDonnées[[#This Row],[Ref_Module]]&amp;CompilDonnées[[#This Row],[HarvestingDate]]</f>
        <v>109345918</v>
      </c>
    </row>
    <row r="4359" spans="1:16">
      <c r="A4359" s="5">
        <v>45879</v>
      </c>
      <c r="B4359">
        <v>37</v>
      </c>
      <c r="C4359" t="s">
        <v>26</v>
      </c>
      <c r="D4359">
        <v>6</v>
      </c>
      <c r="E4359">
        <v>100</v>
      </c>
      <c r="F4359" t="s">
        <v>1</v>
      </c>
      <c r="G4359" s="6">
        <v>45924</v>
      </c>
      <c r="H4359">
        <v>45</v>
      </c>
      <c r="I4359">
        <f>ROUND(CompilDonnées[[#This Row],[CultureDuration_days]]/7,0)</f>
        <v>6</v>
      </c>
      <c r="J4359">
        <v>3168</v>
      </c>
      <c r="K4359" t="str">
        <f>_xlfn.CONCAT(WEEKNUM(CompilDonnées[[#This Row],[PlantationDate]]), " ", YEAR(CompilDonnées[[#This Row],[PlantationDate]]))</f>
        <v>33 2025</v>
      </c>
      <c r="L4359" t="str">
        <f>CONCATENATE(MONTH(CompilDonnées[[#This Row],[PlantationDate]])," ", YEAR(CompilDonnées[[#This Row],[PlantationDate]]))</f>
        <v>8 2025</v>
      </c>
      <c r="M4359" t="str">
        <f>CONCATENATE(MONTH(CompilDonnées[[#This Row],[HarvestingDate]])," ", YEAR(CompilDonnées[[#This Row],[HarvestingDate]]))</f>
        <v>9 2025</v>
      </c>
      <c r="N4359">
        <f>_xlfn.NUMBERVALUE(CompilDonnées[[#This Row],[FarmID]]&amp;CompilDonnées[[#This Row],[ModuleNumber]]&amp;CompilDonnées[[#This Row],[PlantationDate]])</f>
        <v>37645879</v>
      </c>
      <c r="O4359" t="str">
        <f>CompilDonnées[[#This Row],[FarmID]]&amp;CompilDonnées[[#This Row],[ModuleNumber]]</f>
        <v>376</v>
      </c>
      <c r="P4359" t="str">
        <f>CompilDonnées[[#This Row],[Ref_Module]]&amp;CompilDonnées[[#This Row],[HarvestingDate]]</f>
        <v>37645924</v>
      </c>
    </row>
    <row r="4360" spans="1:16">
      <c r="A4360" s="5">
        <v>45879</v>
      </c>
      <c r="B4360">
        <v>54</v>
      </c>
      <c r="C4360" t="s">
        <v>39</v>
      </c>
      <c r="D4360">
        <v>2</v>
      </c>
      <c r="E4360">
        <v>100</v>
      </c>
      <c r="F4360" t="s">
        <v>1</v>
      </c>
      <c r="G4360" s="6">
        <v>45923</v>
      </c>
      <c r="H4360">
        <v>44</v>
      </c>
      <c r="I4360">
        <f>ROUND(CompilDonnées[[#This Row],[CultureDuration_days]]/7,0)</f>
        <v>6</v>
      </c>
      <c r="J4360">
        <v>1702</v>
      </c>
      <c r="K4360" t="str">
        <f>_xlfn.CONCAT(WEEKNUM(CompilDonnées[[#This Row],[PlantationDate]]), " ", YEAR(CompilDonnées[[#This Row],[PlantationDate]]))</f>
        <v>33 2025</v>
      </c>
      <c r="L4360" t="str">
        <f>CONCATENATE(MONTH(CompilDonnées[[#This Row],[PlantationDate]])," ", YEAR(CompilDonnées[[#This Row],[PlantationDate]]))</f>
        <v>8 2025</v>
      </c>
      <c r="M4360" t="str">
        <f>CONCATENATE(MONTH(CompilDonnées[[#This Row],[HarvestingDate]])," ", YEAR(CompilDonnées[[#This Row],[HarvestingDate]]))</f>
        <v>9 2025</v>
      </c>
      <c r="N4360">
        <f>_xlfn.NUMBERVALUE(CompilDonnées[[#This Row],[FarmID]]&amp;CompilDonnées[[#This Row],[ModuleNumber]]&amp;CompilDonnées[[#This Row],[PlantationDate]])</f>
        <v>54245879</v>
      </c>
      <c r="O4360" t="str">
        <f>CompilDonnées[[#This Row],[FarmID]]&amp;CompilDonnées[[#This Row],[ModuleNumber]]</f>
        <v>542</v>
      </c>
      <c r="P4360" t="str">
        <f>CompilDonnées[[#This Row],[Ref_Module]]&amp;CompilDonnées[[#This Row],[HarvestingDate]]</f>
        <v>54245923</v>
      </c>
    </row>
    <row r="4361" spans="1:16">
      <c r="A4361" s="5">
        <v>45879</v>
      </c>
      <c r="B4361">
        <v>59</v>
      </c>
      <c r="C4361" t="s">
        <v>64</v>
      </c>
      <c r="D4361">
        <v>3</v>
      </c>
      <c r="E4361">
        <v>100</v>
      </c>
      <c r="F4361" t="s">
        <v>1</v>
      </c>
      <c r="G4361" s="6">
        <v>45916</v>
      </c>
      <c r="H4361">
        <v>37</v>
      </c>
      <c r="I4361">
        <f>ROUND(CompilDonnées[[#This Row],[CultureDuration_days]]/7,0)</f>
        <v>5</v>
      </c>
      <c r="J4361">
        <v>3214</v>
      </c>
      <c r="K4361" t="str">
        <f>_xlfn.CONCAT(WEEKNUM(CompilDonnées[[#This Row],[PlantationDate]]), " ", YEAR(CompilDonnées[[#This Row],[PlantationDate]]))</f>
        <v>33 2025</v>
      </c>
      <c r="L4361" t="str">
        <f>CONCATENATE(MONTH(CompilDonnées[[#This Row],[PlantationDate]])," ", YEAR(CompilDonnées[[#This Row],[PlantationDate]]))</f>
        <v>8 2025</v>
      </c>
      <c r="M4361" t="str">
        <f>CONCATENATE(MONTH(CompilDonnées[[#This Row],[HarvestingDate]])," ", YEAR(CompilDonnées[[#This Row],[HarvestingDate]]))</f>
        <v>9 2025</v>
      </c>
      <c r="N4361">
        <f>_xlfn.NUMBERVALUE(CompilDonnées[[#This Row],[FarmID]]&amp;CompilDonnées[[#This Row],[ModuleNumber]]&amp;CompilDonnées[[#This Row],[PlantationDate]])</f>
        <v>59345879</v>
      </c>
      <c r="O4361" t="str">
        <f>CompilDonnées[[#This Row],[FarmID]]&amp;CompilDonnées[[#This Row],[ModuleNumber]]</f>
        <v>593</v>
      </c>
      <c r="P4361" t="str">
        <f>CompilDonnées[[#This Row],[Ref_Module]]&amp;CompilDonnées[[#This Row],[HarvestingDate]]</f>
        <v>59345916</v>
      </c>
    </row>
    <row r="4362" spans="1:16">
      <c r="A4362" s="5">
        <v>45879</v>
      </c>
      <c r="B4362">
        <v>59</v>
      </c>
      <c r="C4362" t="s">
        <v>64</v>
      </c>
      <c r="D4362">
        <v>4</v>
      </c>
      <c r="E4362">
        <v>100</v>
      </c>
      <c r="F4362" t="s">
        <v>1</v>
      </c>
      <c r="G4362" s="6">
        <v>45923</v>
      </c>
      <c r="H4362">
        <v>44</v>
      </c>
      <c r="I4362">
        <f>ROUND(CompilDonnées[[#This Row],[CultureDuration_days]]/7,0)</f>
        <v>6</v>
      </c>
      <c r="J4362">
        <v>3662</v>
      </c>
      <c r="K4362" t="str">
        <f>_xlfn.CONCAT(WEEKNUM(CompilDonnées[[#This Row],[PlantationDate]]), " ", YEAR(CompilDonnées[[#This Row],[PlantationDate]]))</f>
        <v>33 2025</v>
      </c>
      <c r="L4362" t="str">
        <f>CONCATENATE(MONTH(CompilDonnées[[#This Row],[PlantationDate]])," ", YEAR(CompilDonnées[[#This Row],[PlantationDate]]))</f>
        <v>8 2025</v>
      </c>
      <c r="M4362" t="str">
        <f>CONCATENATE(MONTH(CompilDonnées[[#This Row],[HarvestingDate]])," ", YEAR(CompilDonnées[[#This Row],[HarvestingDate]]))</f>
        <v>9 2025</v>
      </c>
      <c r="N4362">
        <f>_xlfn.NUMBERVALUE(CompilDonnées[[#This Row],[FarmID]]&amp;CompilDonnées[[#This Row],[ModuleNumber]]&amp;CompilDonnées[[#This Row],[PlantationDate]])</f>
        <v>59445879</v>
      </c>
      <c r="O4362" t="str">
        <f>CompilDonnées[[#This Row],[FarmID]]&amp;CompilDonnées[[#This Row],[ModuleNumber]]</f>
        <v>594</v>
      </c>
      <c r="P4362" t="str">
        <f>CompilDonnées[[#This Row],[Ref_Module]]&amp;CompilDonnées[[#This Row],[HarvestingDate]]</f>
        <v>59445923</v>
      </c>
    </row>
    <row r="4363" spans="1:16">
      <c r="A4363" s="5">
        <v>45879</v>
      </c>
      <c r="B4363">
        <v>120</v>
      </c>
      <c r="C4363" t="s">
        <v>100</v>
      </c>
      <c r="D4363">
        <v>3</v>
      </c>
      <c r="E4363">
        <v>100</v>
      </c>
      <c r="F4363" t="s">
        <v>1</v>
      </c>
      <c r="G4363" s="6">
        <v>45917</v>
      </c>
      <c r="H4363">
        <v>38</v>
      </c>
      <c r="I4363">
        <f>ROUND(CompilDonnées[[#This Row],[CultureDuration_days]]/7,0)</f>
        <v>5</v>
      </c>
      <c r="J4363">
        <v>4029</v>
      </c>
      <c r="K4363" t="str">
        <f>_xlfn.CONCAT(WEEKNUM(CompilDonnées[[#This Row],[PlantationDate]]), " ", YEAR(CompilDonnées[[#This Row],[PlantationDate]]))</f>
        <v>33 2025</v>
      </c>
      <c r="L4363" t="str">
        <f>CONCATENATE(MONTH(CompilDonnées[[#This Row],[PlantationDate]])," ", YEAR(CompilDonnées[[#This Row],[PlantationDate]]))</f>
        <v>8 2025</v>
      </c>
      <c r="M4363" t="str">
        <f>CONCATENATE(MONTH(CompilDonnées[[#This Row],[HarvestingDate]])," ", YEAR(CompilDonnées[[#This Row],[HarvestingDate]]))</f>
        <v>9 2025</v>
      </c>
      <c r="N4363">
        <f>_xlfn.NUMBERVALUE(CompilDonnées[[#This Row],[FarmID]]&amp;CompilDonnées[[#This Row],[ModuleNumber]]&amp;CompilDonnées[[#This Row],[PlantationDate]])</f>
        <v>120345879</v>
      </c>
      <c r="O4363" t="str">
        <f>CompilDonnées[[#This Row],[FarmID]]&amp;CompilDonnées[[#This Row],[ModuleNumber]]</f>
        <v>1203</v>
      </c>
      <c r="P4363" t="str">
        <f>CompilDonnées[[#This Row],[Ref_Module]]&amp;CompilDonnées[[#This Row],[HarvestingDate]]</f>
        <v>120345917</v>
      </c>
    </row>
    <row r="4364" spans="1:16">
      <c r="A4364" s="5">
        <v>45879</v>
      </c>
      <c r="B4364">
        <v>119</v>
      </c>
      <c r="C4364" t="s">
        <v>59</v>
      </c>
      <c r="D4364">
        <v>4</v>
      </c>
      <c r="E4364">
        <v>100</v>
      </c>
      <c r="F4364" t="s">
        <v>1</v>
      </c>
      <c r="G4364" s="6">
        <v>45917</v>
      </c>
      <c r="H4364">
        <v>38</v>
      </c>
      <c r="I4364">
        <f>ROUND(CompilDonnées[[#This Row],[CultureDuration_days]]/7,0)</f>
        <v>5</v>
      </c>
      <c r="J4364">
        <v>3341</v>
      </c>
      <c r="K4364" t="str">
        <f>_xlfn.CONCAT(WEEKNUM(CompilDonnées[[#This Row],[PlantationDate]]), " ", YEAR(CompilDonnées[[#This Row],[PlantationDate]]))</f>
        <v>33 2025</v>
      </c>
      <c r="L4364" t="str">
        <f>CONCATENATE(MONTH(CompilDonnées[[#This Row],[PlantationDate]])," ", YEAR(CompilDonnées[[#This Row],[PlantationDate]]))</f>
        <v>8 2025</v>
      </c>
      <c r="M4364" t="str">
        <f>CONCATENATE(MONTH(CompilDonnées[[#This Row],[HarvestingDate]])," ", YEAR(CompilDonnées[[#This Row],[HarvestingDate]]))</f>
        <v>9 2025</v>
      </c>
      <c r="N4364">
        <f>_xlfn.NUMBERVALUE(CompilDonnées[[#This Row],[FarmID]]&amp;CompilDonnées[[#This Row],[ModuleNumber]]&amp;CompilDonnées[[#This Row],[PlantationDate]])</f>
        <v>119445879</v>
      </c>
      <c r="O4364" t="str">
        <f>CompilDonnées[[#This Row],[FarmID]]&amp;CompilDonnées[[#This Row],[ModuleNumber]]</f>
        <v>1194</v>
      </c>
      <c r="P4364" t="str">
        <f>CompilDonnées[[#This Row],[Ref_Module]]&amp;CompilDonnées[[#This Row],[HarvestingDate]]</f>
        <v>119445917</v>
      </c>
    </row>
    <row r="4365" spans="1:16">
      <c r="A4365" s="5">
        <v>45879</v>
      </c>
      <c r="B4365">
        <v>118</v>
      </c>
      <c r="C4365" t="s">
        <v>51</v>
      </c>
      <c r="D4365">
        <v>4</v>
      </c>
      <c r="E4365">
        <v>100</v>
      </c>
      <c r="F4365" t="s">
        <v>1</v>
      </c>
      <c r="G4365" s="6">
        <v>45917</v>
      </c>
      <c r="H4365">
        <v>38</v>
      </c>
      <c r="I4365">
        <f>ROUND(CompilDonnées[[#This Row],[CultureDuration_days]]/7,0)</f>
        <v>5</v>
      </c>
      <c r="J4365">
        <v>3042</v>
      </c>
      <c r="K4365" t="str">
        <f>_xlfn.CONCAT(WEEKNUM(CompilDonnées[[#This Row],[PlantationDate]]), " ", YEAR(CompilDonnées[[#This Row],[PlantationDate]]))</f>
        <v>33 2025</v>
      </c>
      <c r="L4365" t="str">
        <f>CONCATENATE(MONTH(CompilDonnées[[#This Row],[PlantationDate]])," ", YEAR(CompilDonnées[[#This Row],[PlantationDate]]))</f>
        <v>8 2025</v>
      </c>
      <c r="M4365" t="str">
        <f>CONCATENATE(MONTH(CompilDonnées[[#This Row],[HarvestingDate]])," ", YEAR(CompilDonnées[[#This Row],[HarvestingDate]]))</f>
        <v>9 2025</v>
      </c>
      <c r="N4365">
        <f>_xlfn.NUMBERVALUE(CompilDonnées[[#This Row],[FarmID]]&amp;CompilDonnées[[#This Row],[ModuleNumber]]&amp;CompilDonnées[[#This Row],[PlantationDate]])</f>
        <v>118445879</v>
      </c>
      <c r="O4365" t="str">
        <f>CompilDonnées[[#This Row],[FarmID]]&amp;CompilDonnées[[#This Row],[ModuleNumber]]</f>
        <v>1184</v>
      </c>
      <c r="P4365" t="str">
        <f>CompilDonnées[[#This Row],[Ref_Module]]&amp;CompilDonnées[[#This Row],[HarvestingDate]]</f>
        <v>118445917</v>
      </c>
    </row>
    <row r="4366" spans="1:16">
      <c r="A4366" s="5">
        <v>45879</v>
      </c>
      <c r="B4366">
        <v>117</v>
      </c>
      <c r="C4366" t="s">
        <v>11</v>
      </c>
      <c r="D4366">
        <v>5</v>
      </c>
      <c r="E4366">
        <v>100</v>
      </c>
      <c r="F4366" t="s">
        <v>1</v>
      </c>
      <c r="G4366" s="6">
        <v>45922</v>
      </c>
      <c r="H4366">
        <v>43</v>
      </c>
      <c r="I4366">
        <f>ROUND(CompilDonnées[[#This Row],[CultureDuration_days]]/7,0)</f>
        <v>6</v>
      </c>
      <c r="J4366">
        <v>2463</v>
      </c>
      <c r="K4366" t="str">
        <f>_xlfn.CONCAT(WEEKNUM(CompilDonnées[[#This Row],[PlantationDate]]), " ", YEAR(CompilDonnées[[#This Row],[PlantationDate]]))</f>
        <v>33 2025</v>
      </c>
      <c r="L4366" t="str">
        <f>CONCATENATE(MONTH(CompilDonnées[[#This Row],[PlantationDate]])," ", YEAR(CompilDonnées[[#This Row],[PlantationDate]]))</f>
        <v>8 2025</v>
      </c>
      <c r="M4366" t="str">
        <f>CONCATENATE(MONTH(CompilDonnées[[#This Row],[HarvestingDate]])," ", YEAR(CompilDonnées[[#This Row],[HarvestingDate]]))</f>
        <v>9 2025</v>
      </c>
      <c r="N4366">
        <f>_xlfn.NUMBERVALUE(CompilDonnées[[#This Row],[FarmID]]&amp;CompilDonnées[[#This Row],[ModuleNumber]]&amp;CompilDonnées[[#This Row],[PlantationDate]])</f>
        <v>117545879</v>
      </c>
      <c r="O4366" t="str">
        <f>CompilDonnées[[#This Row],[FarmID]]&amp;CompilDonnées[[#This Row],[ModuleNumber]]</f>
        <v>1175</v>
      </c>
      <c r="P4366" t="str">
        <f>CompilDonnées[[#This Row],[Ref_Module]]&amp;CompilDonnées[[#This Row],[HarvestingDate]]</f>
        <v>117545922</v>
      </c>
    </row>
    <row r="4367" spans="1:16">
      <c r="A4367" s="5">
        <v>45879</v>
      </c>
      <c r="B4367">
        <v>117</v>
      </c>
      <c r="C4367" t="s">
        <v>11</v>
      </c>
      <c r="D4367">
        <v>3</v>
      </c>
      <c r="E4367">
        <v>100</v>
      </c>
      <c r="F4367" t="s">
        <v>1</v>
      </c>
      <c r="G4367" s="6">
        <v>45931</v>
      </c>
      <c r="H4367">
        <v>52</v>
      </c>
      <c r="I4367">
        <f>ROUND(CompilDonnées[[#This Row],[CultureDuration_days]]/7,0)</f>
        <v>7</v>
      </c>
      <c r="J4367">
        <v>2865</v>
      </c>
      <c r="K4367" t="str">
        <f>_xlfn.CONCAT(WEEKNUM(CompilDonnées[[#This Row],[PlantationDate]]), " ", YEAR(CompilDonnées[[#This Row],[PlantationDate]]))</f>
        <v>33 2025</v>
      </c>
      <c r="L4367" t="str">
        <f>CONCATENATE(MONTH(CompilDonnées[[#This Row],[PlantationDate]])," ", YEAR(CompilDonnées[[#This Row],[PlantationDate]]))</f>
        <v>8 2025</v>
      </c>
      <c r="M4367" t="str">
        <f>CONCATENATE(MONTH(CompilDonnées[[#This Row],[HarvestingDate]])," ", YEAR(CompilDonnées[[#This Row],[HarvestingDate]]))</f>
        <v>10 2025</v>
      </c>
      <c r="N4367">
        <f>_xlfn.NUMBERVALUE(CompilDonnées[[#This Row],[FarmID]]&amp;CompilDonnées[[#This Row],[ModuleNumber]]&amp;CompilDonnées[[#This Row],[PlantationDate]])</f>
        <v>117345879</v>
      </c>
      <c r="O4367" t="str">
        <f>CompilDonnées[[#This Row],[FarmID]]&amp;CompilDonnées[[#This Row],[ModuleNumber]]</f>
        <v>1173</v>
      </c>
      <c r="P4367" t="str">
        <f>CompilDonnées[[#This Row],[Ref_Module]]&amp;CompilDonnées[[#This Row],[HarvestingDate]]</f>
        <v>117345931</v>
      </c>
    </row>
    <row r="4368" spans="1:16">
      <c r="A4368" s="5">
        <v>45879</v>
      </c>
      <c r="B4368">
        <v>126</v>
      </c>
      <c r="C4368" t="s">
        <v>52</v>
      </c>
      <c r="D4368">
        <v>1</v>
      </c>
      <c r="E4368">
        <v>100</v>
      </c>
      <c r="F4368" t="s">
        <v>1</v>
      </c>
      <c r="G4368" s="6">
        <v>45917</v>
      </c>
      <c r="H4368">
        <v>38</v>
      </c>
      <c r="I4368">
        <f>ROUND(CompilDonnées[[#This Row],[CultureDuration_days]]/7,0)</f>
        <v>5</v>
      </c>
      <c r="J4368">
        <v>2937</v>
      </c>
      <c r="K4368" t="str">
        <f>_xlfn.CONCAT(WEEKNUM(CompilDonnées[[#This Row],[PlantationDate]]), " ", YEAR(CompilDonnées[[#This Row],[PlantationDate]]))</f>
        <v>33 2025</v>
      </c>
      <c r="L4368" t="str">
        <f>CONCATENATE(MONTH(CompilDonnées[[#This Row],[PlantationDate]])," ", YEAR(CompilDonnées[[#This Row],[PlantationDate]]))</f>
        <v>8 2025</v>
      </c>
      <c r="M4368" t="str">
        <f>CONCATENATE(MONTH(CompilDonnées[[#This Row],[HarvestingDate]])," ", YEAR(CompilDonnées[[#This Row],[HarvestingDate]]))</f>
        <v>9 2025</v>
      </c>
      <c r="N4368">
        <f>_xlfn.NUMBERVALUE(CompilDonnées[[#This Row],[FarmID]]&amp;CompilDonnées[[#This Row],[ModuleNumber]]&amp;CompilDonnées[[#This Row],[PlantationDate]])</f>
        <v>126145879</v>
      </c>
      <c r="O4368" t="str">
        <f>CompilDonnées[[#This Row],[FarmID]]&amp;CompilDonnées[[#This Row],[ModuleNumber]]</f>
        <v>1261</v>
      </c>
      <c r="P4368" t="str">
        <f>CompilDonnées[[#This Row],[Ref_Module]]&amp;CompilDonnées[[#This Row],[HarvestingDate]]</f>
        <v>126145917</v>
      </c>
    </row>
    <row r="4369" spans="1:16">
      <c r="A4369" s="5">
        <v>45879</v>
      </c>
      <c r="B4369">
        <v>133</v>
      </c>
      <c r="C4369" t="s">
        <v>99</v>
      </c>
      <c r="D4369">
        <v>1</v>
      </c>
      <c r="E4369">
        <v>100</v>
      </c>
      <c r="F4369" t="s">
        <v>1</v>
      </c>
      <c r="G4369" s="6">
        <v>45918</v>
      </c>
      <c r="H4369">
        <v>39</v>
      </c>
      <c r="I4369">
        <f>ROUND(CompilDonnées[[#This Row],[CultureDuration_days]]/7,0)</f>
        <v>6</v>
      </c>
      <c r="J4369">
        <v>4118</v>
      </c>
      <c r="K4369" t="str">
        <f>_xlfn.CONCAT(WEEKNUM(CompilDonnées[[#This Row],[PlantationDate]]), " ", YEAR(CompilDonnées[[#This Row],[PlantationDate]]))</f>
        <v>33 2025</v>
      </c>
      <c r="L4369" t="str">
        <f>CONCATENATE(MONTH(CompilDonnées[[#This Row],[PlantationDate]])," ", YEAR(CompilDonnées[[#This Row],[PlantationDate]]))</f>
        <v>8 2025</v>
      </c>
      <c r="M4369" t="str">
        <f>CONCATENATE(MONTH(CompilDonnées[[#This Row],[HarvestingDate]])," ", YEAR(CompilDonnées[[#This Row],[HarvestingDate]]))</f>
        <v>9 2025</v>
      </c>
      <c r="N4369">
        <f>_xlfn.NUMBERVALUE(CompilDonnées[[#This Row],[FarmID]]&amp;CompilDonnées[[#This Row],[ModuleNumber]]&amp;CompilDonnées[[#This Row],[PlantationDate]])</f>
        <v>133145879</v>
      </c>
      <c r="O4369" t="str">
        <f>CompilDonnées[[#This Row],[FarmID]]&amp;CompilDonnées[[#This Row],[ModuleNumber]]</f>
        <v>1331</v>
      </c>
      <c r="P4369" t="str">
        <f>CompilDonnées[[#This Row],[Ref_Module]]&amp;CompilDonnées[[#This Row],[HarvestingDate]]</f>
        <v>133145918</v>
      </c>
    </row>
    <row r="4370" spans="1:16">
      <c r="A4370" s="5">
        <v>45879</v>
      </c>
      <c r="B4370">
        <v>132</v>
      </c>
      <c r="C4370" t="s">
        <v>120</v>
      </c>
      <c r="D4370">
        <v>3</v>
      </c>
      <c r="E4370">
        <v>100</v>
      </c>
      <c r="F4370" t="s">
        <v>1</v>
      </c>
      <c r="G4370" s="6">
        <v>45922</v>
      </c>
      <c r="H4370">
        <v>43</v>
      </c>
      <c r="I4370">
        <f>ROUND(CompilDonnées[[#This Row],[CultureDuration_days]]/7,0)</f>
        <v>6</v>
      </c>
      <c r="J4370">
        <v>3648</v>
      </c>
      <c r="K4370" t="str">
        <f>_xlfn.CONCAT(WEEKNUM(CompilDonnées[[#This Row],[PlantationDate]]), " ", YEAR(CompilDonnées[[#This Row],[PlantationDate]]))</f>
        <v>33 2025</v>
      </c>
      <c r="L4370" t="str">
        <f>CONCATENATE(MONTH(CompilDonnées[[#This Row],[PlantationDate]])," ", YEAR(CompilDonnées[[#This Row],[PlantationDate]]))</f>
        <v>8 2025</v>
      </c>
      <c r="M4370" t="str">
        <f>CONCATENATE(MONTH(CompilDonnées[[#This Row],[HarvestingDate]])," ", YEAR(CompilDonnées[[#This Row],[HarvestingDate]]))</f>
        <v>9 2025</v>
      </c>
      <c r="N4370">
        <f>_xlfn.NUMBERVALUE(CompilDonnées[[#This Row],[FarmID]]&amp;CompilDonnées[[#This Row],[ModuleNumber]]&amp;CompilDonnées[[#This Row],[PlantationDate]])</f>
        <v>132345879</v>
      </c>
      <c r="O4370" t="str">
        <f>CompilDonnées[[#This Row],[FarmID]]&amp;CompilDonnées[[#This Row],[ModuleNumber]]</f>
        <v>1323</v>
      </c>
      <c r="P4370" t="str">
        <f>CompilDonnées[[#This Row],[Ref_Module]]&amp;CompilDonnées[[#This Row],[HarvestingDate]]</f>
        <v>132345922</v>
      </c>
    </row>
    <row r="4371" spans="1:16">
      <c r="A4371" s="5">
        <v>45879</v>
      </c>
      <c r="B4371">
        <v>140</v>
      </c>
      <c r="C4371" t="s">
        <v>96</v>
      </c>
      <c r="D4371">
        <v>4</v>
      </c>
      <c r="E4371">
        <v>100</v>
      </c>
      <c r="F4371" t="s">
        <v>1</v>
      </c>
      <c r="G4371" s="6">
        <v>45922</v>
      </c>
      <c r="H4371">
        <v>43</v>
      </c>
      <c r="I4371">
        <f>ROUND(CompilDonnées[[#This Row],[CultureDuration_days]]/7,0)</f>
        <v>6</v>
      </c>
      <c r="J4371">
        <v>3658</v>
      </c>
      <c r="K4371" t="str">
        <f>_xlfn.CONCAT(WEEKNUM(CompilDonnées[[#This Row],[PlantationDate]]), " ", YEAR(CompilDonnées[[#This Row],[PlantationDate]]))</f>
        <v>33 2025</v>
      </c>
      <c r="L4371" t="str">
        <f>CONCATENATE(MONTH(CompilDonnées[[#This Row],[PlantationDate]])," ", YEAR(CompilDonnées[[#This Row],[PlantationDate]]))</f>
        <v>8 2025</v>
      </c>
      <c r="M4371" t="str">
        <f>CONCATENATE(MONTH(CompilDonnées[[#This Row],[HarvestingDate]])," ", YEAR(CompilDonnées[[#This Row],[HarvestingDate]]))</f>
        <v>9 2025</v>
      </c>
      <c r="N4371">
        <f>_xlfn.NUMBERVALUE(CompilDonnées[[#This Row],[FarmID]]&amp;CompilDonnées[[#This Row],[ModuleNumber]]&amp;CompilDonnées[[#This Row],[PlantationDate]])</f>
        <v>140445879</v>
      </c>
      <c r="O4371" t="str">
        <f>CompilDonnées[[#This Row],[FarmID]]&amp;CompilDonnées[[#This Row],[ModuleNumber]]</f>
        <v>1404</v>
      </c>
      <c r="P4371" t="str">
        <f>CompilDonnées[[#This Row],[Ref_Module]]&amp;CompilDonnées[[#This Row],[HarvestingDate]]</f>
        <v>140445922</v>
      </c>
    </row>
    <row r="4372" spans="1:16">
      <c r="A4372" s="5">
        <v>45879</v>
      </c>
      <c r="B4372">
        <v>140</v>
      </c>
      <c r="C4372" t="s">
        <v>96</v>
      </c>
      <c r="D4372">
        <v>6</v>
      </c>
      <c r="E4372">
        <v>100</v>
      </c>
      <c r="F4372" t="s">
        <v>1</v>
      </c>
      <c r="G4372" s="6">
        <v>45918</v>
      </c>
      <c r="H4372">
        <v>39</v>
      </c>
      <c r="I4372">
        <f>ROUND(CompilDonnées[[#This Row],[CultureDuration_days]]/7,0)</f>
        <v>6</v>
      </c>
      <c r="J4372">
        <v>4115</v>
      </c>
      <c r="K4372" t="str">
        <f>_xlfn.CONCAT(WEEKNUM(CompilDonnées[[#This Row],[PlantationDate]]), " ", YEAR(CompilDonnées[[#This Row],[PlantationDate]]))</f>
        <v>33 2025</v>
      </c>
      <c r="L4372" t="str">
        <f>CONCATENATE(MONTH(CompilDonnées[[#This Row],[PlantationDate]])," ", YEAR(CompilDonnées[[#This Row],[PlantationDate]]))</f>
        <v>8 2025</v>
      </c>
      <c r="M4372" t="str">
        <f>CONCATENATE(MONTH(CompilDonnées[[#This Row],[HarvestingDate]])," ", YEAR(CompilDonnées[[#This Row],[HarvestingDate]]))</f>
        <v>9 2025</v>
      </c>
      <c r="N4372">
        <f>_xlfn.NUMBERVALUE(CompilDonnées[[#This Row],[FarmID]]&amp;CompilDonnées[[#This Row],[ModuleNumber]]&amp;CompilDonnées[[#This Row],[PlantationDate]])</f>
        <v>140645879</v>
      </c>
      <c r="O4372" t="str">
        <f>CompilDonnées[[#This Row],[FarmID]]&amp;CompilDonnées[[#This Row],[ModuleNumber]]</f>
        <v>1406</v>
      </c>
      <c r="P4372" t="str">
        <f>CompilDonnées[[#This Row],[Ref_Module]]&amp;CompilDonnées[[#This Row],[HarvestingDate]]</f>
        <v>140645918</v>
      </c>
    </row>
    <row r="4373" spans="1:16">
      <c r="A4373" s="5">
        <v>45879</v>
      </c>
      <c r="B4373">
        <v>139</v>
      </c>
      <c r="C4373" t="s">
        <v>103</v>
      </c>
      <c r="D4373">
        <v>5</v>
      </c>
      <c r="E4373">
        <v>100</v>
      </c>
      <c r="F4373" t="s">
        <v>1</v>
      </c>
      <c r="G4373" s="6">
        <v>45922</v>
      </c>
      <c r="H4373">
        <v>43</v>
      </c>
      <c r="I4373">
        <f>ROUND(CompilDonnées[[#This Row],[CultureDuration_days]]/7,0)</f>
        <v>6</v>
      </c>
      <c r="J4373">
        <v>3924</v>
      </c>
      <c r="K4373" t="str">
        <f>_xlfn.CONCAT(WEEKNUM(CompilDonnées[[#This Row],[PlantationDate]]), " ", YEAR(CompilDonnées[[#This Row],[PlantationDate]]))</f>
        <v>33 2025</v>
      </c>
      <c r="L4373" t="str">
        <f>CONCATENATE(MONTH(CompilDonnées[[#This Row],[PlantationDate]])," ", YEAR(CompilDonnées[[#This Row],[PlantationDate]]))</f>
        <v>8 2025</v>
      </c>
      <c r="M4373" t="str">
        <f>CONCATENATE(MONTH(CompilDonnées[[#This Row],[HarvestingDate]])," ", YEAR(CompilDonnées[[#This Row],[HarvestingDate]]))</f>
        <v>9 2025</v>
      </c>
      <c r="N4373">
        <f>_xlfn.NUMBERVALUE(CompilDonnées[[#This Row],[FarmID]]&amp;CompilDonnées[[#This Row],[ModuleNumber]]&amp;CompilDonnées[[#This Row],[PlantationDate]])</f>
        <v>139545879</v>
      </c>
      <c r="O4373" t="str">
        <f>CompilDonnées[[#This Row],[FarmID]]&amp;CompilDonnées[[#This Row],[ModuleNumber]]</f>
        <v>1395</v>
      </c>
      <c r="P4373" t="str">
        <f>CompilDonnées[[#This Row],[Ref_Module]]&amp;CompilDonnées[[#This Row],[HarvestingDate]]</f>
        <v>139545922</v>
      </c>
    </row>
    <row r="4374" spans="1:16">
      <c r="A4374" s="5">
        <v>45879</v>
      </c>
      <c r="B4374">
        <v>143</v>
      </c>
      <c r="C4374" t="s">
        <v>81</v>
      </c>
      <c r="D4374">
        <v>2</v>
      </c>
      <c r="E4374">
        <v>100</v>
      </c>
      <c r="F4374" t="s">
        <v>1</v>
      </c>
      <c r="G4374" s="6">
        <v>45931</v>
      </c>
      <c r="H4374">
        <v>52</v>
      </c>
      <c r="I4374">
        <f>ROUND(CompilDonnées[[#This Row],[CultureDuration_days]]/7,0)</f>
        <v>7</v>
      </c>
      <c r="J4374">
        <v>2405</v>
      </c>
      <c r="K4374" t="str">
        <f>_xlfn.CONCAT(WEEKNUM(CompilDonnées[[#This Row],[PlantationDate]]), " ", YEAR(CompilDonnées[[#This Row],[PlantationDate]]))</f>
        <v>33 2025</v>
      </c>
      <c r="L4374" t="str">
        <f>CONCATENATE(MONTH(CompilDonnées[[#This Row],[PlantationDate]])," ", YEAR(CompilDonnées[[#This Row],[PlantationDate]]))</f>
        <v>8 2025</v>
      </c>
      <c r="M4374" t="str">
        <f>CONCATENATE(MONTH(CompilDonnées[[#This Row],[HarvestingDate]])," ", YEAR(CompilDonnées[[#This Row],[HarvestingDate]]))</f>
        <v>10 2025</v>
      </c>
      <c r="N4374">
        <f>_xlfn.NUMBERVALUE(CompilDonnées[[#This Row],[FarmID]]&amp;CompilDonnées[[#This Row],[ModuleNumber]]&amp;CompilDonnées[[#This Row],[PlantationDate]])</f>
        <v>143245879</v>
      </c>
      <c r="O4374" t="str">
        <f>CompilDonnées[[#This Row],[FarmID]]&amp;CompilDonnées[[#This Row],[ModuleNumber]]</f>
        <v>1432</v>
      </c>
      <c r="P4374" t="str">
        <f>CompilDonnées[[#This Row],[Ref_Module]]&amp;CompilDonnées[[#This Row],[HarvestingDate]]</f>
        <v>143245931</v>
      </c>
    </row>
    <row r="4375" spans="1:16">
      <c r="A4375" s="5">
        <v>45879</v>
      </c>
      <c r="B4375">
        <v>125</v>
      </c>
      <c r="C4375" t="s">
        <v>101</v>
      </c>
      <c r="D4375">
        <v>3</v>
      </c>
      <c r="E4375">
        <v>100</v>
      </c>
      <c r="F4375" t="s">
        <v>1</v>
      </c>
      <c r="G4375" s="6">
        <v>45922</v>
      </c>
      <c r="H4375">
        <v>43</v>
      </c>
      <c r="I4375">
        <f>ROUND(CompilDonnées[[#This Row],[CultureDuration_days]]/7,0)</f>
        <v>6</v>
      </c>
      <c r="J4375">
        <v>3634</v>
      </c>
      <c r="K4375" t="str">
        <f>_xlfn.CONCAT(WEEKNUM(CompilDonnées[[#This Row],[PlantationDate]]), " ", YEAR(CompilDonnées[[#This Row],[PlantationDate]]))</f>
        <v>33 2025</v>
      </c>
      <c r="L4375" t="str">
        <f>CONCATENATE(MONTH(CompilDonnées[[#This Row],[PlantationDate]])," ", YEAR(CompilDonnées[[#This Row],[PlantationDate]]))</f>
        <v>8 2025</v>
      </c>
      <c r="M4375" t="str">
        <f>CONCATENATE(MONTH(CompilDonnées[[#This Row],[HarvestingDate]])," ", YEAR(CompilDonnées[[#This Row],[HarvestingDate]]))</f>
        <v>9 2025</v>
      </c>
      <c r="N4375">
        <f>_xlfn.NUMBERVALUE(CompilDonnées[[#This Row],[FarmID]]&amp;CompilDonnées[[#This Row],[ModuleNumber]]&amp;CompilDonnées[[#This Row],[PlantationDate]])</f>
        <v>125345879</v>
      </c>
      <c r="O4375" t="str">
        <f>CompilDonnées[[#This Row],[FarmID]]&amp;CompilDonnées[[#This Row],[ModuleNumber]]</f>
        <v>1253</v>
      </c>
      <c r="P4375" t="str">
        <f>CompilDonnées[[#This Row],[Ref_Module]]&amp;CompilDonnées[[#This Row],[HarvestingDate]]</f>
        <v>125345922</v>
      </c>
    </row>
    <row r="4376" spans="1:16">
      <c r="A4376" s="5">
        <v>45881</v>
      </c>
      <c r="B4376">
        <v>84</v>
      </c>
      <c r="C4376" t="s">
        <v>65</v>
      </c>
      <c r="D4376">
        <v>4</v>
      </c>
      <c r="E4376">
        <v>100</v>
      </c>
      <c r="F4376" t="s">
        <v>1</v>
      </c>
      <c r="G4376" s="6">
        <v>45930</v>
      </c>
      <c r="H4376">
        <v>49</v>
      </c>
      <c r="I4376">
        <f>ROUND(CompilDonnées[[#This Row],[CultureDuration_days]]/7,0)</f>
        <v>7</v>
      </c>
      <c r="J4376">
        <v>2162</v>
      </c>
      <c r="K4376" t="str">
        <f>_xlfn.CONCAT(WEEKNUM(CompilDonnées[[#This Row],[PlantationDate]]), " ", YEAR(CompilDonnées[[#This Row],[PlantationDate]]))</f>
        <v>33 2025</v>
      </c>
      <c r="L4376" t="str">
        <f>CONCATENATE(MONTH(CompilDonnées[[#This Row],[PlantationDate]])," ", YEAR(CompilDonnées[[#This Row],[PlantationDate]]))</f>
        <v>8 2025</v>
      </c>
      <c r="M4376" t="str">
        <f>CONCATENATE(MONTH(CompilDonnées[[#This Row],[HarvestingDate]])," ", YEAR(CompilDonnées[[#This Row],[HarvestingDate]]))</f>
        <v>9 2025</v>
      </c>
      <c r="N4376">
        <f>_xlfn.NUMBERVALUE(CompilDonnées[[#This Row],[FarmID]]&amp;CompilDonnées[[#This Row],[ModuleNumber]]&amp;CompilDonnées[[#This Row],[PlantationDate]])</f>
        <v>84445881</v>
      </c>
      <c r="O4376" t="str">
        <f>CompilDonnées[[#This Row],[FarmID]]&amp;CompilDonnées[[#This Row],[ModuleNumber]]</f>
        <v>844</v>
      </c>
      <c r="P4376" t="str">
        <f>CompilDonnées[[#This Row],[Ref_Module]]&amp;CompilDonnées[[#This Row],[HarvestingDate]]</f>
        <v>84445930</v>
      </c>
    </row>
    <row r="4377" spans="1:16">
      <c r="A4377" s="5">
        <v>45881</v>
      </c>
      <c r="B4377">
        <v>143</v>
      </c>
      <c r="C4377" t="s">
        <v>81</v>
      </c>
      <c r="D4377">
        <v>1</v>
      </c>
      <c r="E4377">
        <v>100</v>
      </c>
      <c r="F4377" t="s">
        <v>1</v>
      </c>
      <c r="G4377" s="6">
        <v>45937</v>
      </c>
      <c r="H4377">
        <v>56</v>
      </c>
      <c r="I4377">
        <f>ROUND(CompilDonnées[[#This Row],[CultureDuration_days]]/7,0)</f>
        <v>8</v>
      </c>
      <c r="J4377">
        <v>2242</v>
      </c>
      <c r="K4377" t="str">
        <f>_xlfn.CONCAT(WEEKNUM(CompilDonnées[[#This Row],[PlantationDate]]), " ", YEAR(CompilDonnées[[#This Row],[PlantationDate]]))</f>
        <v>33 2025</v>
      </c>
      <c r="L4377" t="str">
        <f>CONCATENATE(MONTH(CompilDonnées[[#This Row],[PlantationDate]])," ", YEAR(CompilDonnées[[#This Row],[PlantationDate]]))</f>
        <v>8 2025</v>
      </c>
      <c r="M4377" t="str">
        <f>CONCATENATE(MONTH(CompilDonnées[[#This Row],[HarvestingDate]])," ", YEAR(CompilDonnées[[#This Row],[HarvestingDate]]))</f>
        <v>10 2025</v>
      </c>
      <c r="N4377">
        <f>_xlfn.NUMBERVALUE(CompilDonnées[[#This Row],[FarmID]]&amp;CompilDonnées[[#This Row],[ModuleNumber]]&amp;CompilDonnées[[#This Row],[PlantationDate]])</f>
        <v>143145881</v>
      </c>
      <c r="O4377" t="str">
        <f>CompilDonnées[[#This Row],[FarmID]]&amp;CompilDonnées[[#This Row],[ModuleNumber]]</f>
        <v>1431</v>
      </c>
      <c r="P4377" t="str">
        <f>CompilDonnées[[#This Row],[Ref_Module]]&amp;CompilDonnées[[#This Row],[HarvestingDate]]</f>
        <v>143145937</v>
      </c>
    </row>
    <row r="4378" spans="1:16">
      <c r="A4378" s="5">
        <v>45881</v>
      </c>
      <c r="B4378">
        <v>133</v>
      </c>
      <c r="C4378" t="s">
        <v>99</v>
      </c>
      <c r="D4378">
        <v>6</v>
      </c>
      <c r="E4378">
        <v>100</v>
      </c>
      <c r="F4378" t="s">
        <v>1</v>
      </c>
      <c r="G4378" s="6">
        <v>45922</v>
      </c>
      <c r="H4378">
        <v>41</v>
      </c>
      <c r="I4378">
        <f>ROUND(CompilDonnées[[#This Row],[CultureDuration_days]]/7,0)</f>
        <v>6</v>
      </c>
      <c r="J4378">
        <v>3714</v>
      </c>
      <c r="K4378" t="str">
        <f>_xlfn.CONCAT(WEEKNUM(CompilDonnées[[#This Row],[PlantationDate]]), " ", YEAR(CompilDonnées[[#This Row],[PlantationDate]]))</f>
        <v>33 2025</v>
      </c>
      <c r="L4378" t="str">
        <f>CONCATENATE(MONTH(CompilDonnées[[#This Row],[PlantationDate]])," ", YEAR(CompilDonnées[[#This Row],[PlantationDate]]))</f>
        <v>8 2025</v>
      </c>
      <c r="M4378" t="str">
        <f>CONCATENATE(MONTH(CompilDonnées[[#This Row],[HarvestingDate]])," ", YEAR(CompilDonnées[[#This Row],[HarvestingDate]]))</f>
        <v>9 2025</v>
      </c>
      <c r="N4378">
        <f>_xlfn.NUMBERVALUE(CompilDonnées[[#This Row],[FarmID]]&amp;CompilDonnées[[#This Row],[ModuleNumber]]&amp;CompilDonnées[[#This Row],[PlantationDate]])</f>
        <v>133645881</v>
      </c>
      <c r="O4378" t="str">
        <f>CompilDonnées[[#This Row],[FarmID]]&amp;CompilDonnées[[#This Row],[ModuleNumber]]</f>
        <v>1336</v>
      </c>
      <c r="P4378" t="str">
        <f>CompilDonnées[[#This Row],[Ref_Module]]&amp;CompilDonnées[[#This Row],[HarvestingDate]]</f>
        <v>133645922</v>
      </c>
    </row>
    <row r="4379" spans="1:16">
      <c r="A4379" s="5">
        <v>45881</v>
      </c>
      <c r="B4379">
        <v>126</v>
      </c>
      <c r="C4379" t="s">
        <v>52</v>
      </c>
      <c r="D4379">
        <v>2</v>
      </c>
      <c r="E4379">
        <v>100</v>
      </c>
      <c r="F4379" t="s">
        <v>1</v>
      </c>
      <c r="G4379" s="6">
        <v>45931</v>
      </c>
      <c r="H4379">
        <v>50</v>
      </c>
      <c r="I4379">
        <f>ROUND(CompilDonnées[[#This Row],[CultureDuration_days]]/7,0)</f>
        <v>7</v>
      </c>
      <c r="J4379">
        <v>4372</v>
      </c>
      <c r="K4379" t="str">
        <f>_xlfn.CONCAT(WEEKNUM(CompilDonnées[[#This Row],[PlantationDate]]), " ", YEAR(CompilDonnées[[#This Row],[PlantationDate]]))</f>
        <v>33 2025</v>
      </c>
      <c r="L4379" t="str">
        <f>CONCATENATE(MONTH(CompilDonnées[[#This Row],[PlantationDate]])," ", YEAR(CompilDonnées[[#This Row],[PlantationDate]]))</f>
        <v>8 2025</v>
      </c>
      <c r="M4379" t="str">
        <f>CONCATENATE(MONTH(CompilDonnées[[#This Row],[HarvestingDate]])," ", YEAR(CompilDonnées[[#This Row],[HarvestingDate]]))</f>
        <v>10 2025</v>
      </c>
      <c r="N4379">
        <f>_xlfn.NUMBERVALUE(CompilDonnées[[#This Row],[FarmID]]&amp;CompilDonnées[[#This Row],[ModuleNumber]]&amp;CompilDonnées[[#This Row],[PlantationDate]])</f>
        <v>126245881</v>
      </c>
      <c r="O4379" t="str">
        <f>CompilDonnées[[#This Row],[FarmID]]&amp;CompilDonnées[[#This Row],[ModuleNumber]]</f>
        <v>1262</v>
      </c>
      <c r="P4379" t="str">
        <f>CompilDonnées[[#This Row],[Ref_Module]]&amp;CompilDonnées[[#This Row],[HarvestingDate]]</f>
        <v>126245931</v>
      </c>
    </row>
    <row r="4380" spans="1:16">
      <c r="A4380" s="5">
        <v>45881</v>
      </c>
      <c r="B4380">
        <v>126</v>
      </c>
      <c r="C4380" t="s">
        <v>52</v>
      </c>
      <c r="D4380">
        <v>5</v>
      </c>
      <c r="E4380">
        <v>100</v>
      </c>
      <c r="F4380" t="s">
        <v>1</v>
      </c>
      <c r="G4380" s="6">
        <v>45922</v>
      </c>
      <c r="H4380">
        <v>41</v>
      </c>
      <c r="I4380">
        <f>ROUND(CompilDonnées[[#This Row],[CultureDuration_days]]/7,0)</f>
        <v>6</v>
      </c>
      <c r="J4380">
        <v>3126</v>
      </c>
      <c r="K4380" t="str">
        <f>_xlfn.CONCAT(WEEKNUM(CompilDonnées[[#This Row],[PlantationDate]]), " ", YEAR(CompilDonnées[[#This Row],[PlantationDate]]))</f>
        <v>33 2025</v>
      </c>
      <c r="L4380" t="str">
        <f>CONCATENATE(MONTH(CompilDonnées[[#This Row],[PlantationDate]])," ", YEAR(CompilDonnées[[#This Row],[PlantationDate]]))</f>
        <v>8 2025</v>
      </c>
      <c r="M4380" t="str">
        <f>CONCATENATE(MONTH(CompilDonnées[[#This Row],[HarvestingDate]])," ", YEAR(CompilDonnées[[#This Row],[HarvestingDate]]))</f>
        <v>9 2025</v>
      </c>
      <c r="N4380">
        <f>_xlfn.NUMBERVALUE(CompilDonnées[[#This Row],[FarmID]]&amp;CompilDonnées[[#This Row],[ModuleNumber]]&amp;CompilDonnées[[#This Row],[PlantationDate]])</f>
        <v>126545881</v>
      </c>
      <c r="O4380" t="str">
        <f>CompilDonnées[[#This Row],[FarmID]]&amp;CompilDonnées[[#This Row],[ModuleNumber]]</f>
        <v>1265</v>
      </c>
      <c r="P4380" t="str">
        <f>CompilDonnées[[#This Row],[Ref_Module]]&amp;CompilDonnées[[#This Row],[HarvestingDate]]</f>
        <v>126545922</v>
      </c>
    </row>
    <row r="4381" spans="1:16">
      <c r="A4381" s="5">
        <v>45881</v>
      </c>
      <c r="B4381">
        <v>120</v>
      </c>
      <c r="C4381" t="s">
        <v>100</v>
      </c>
      <c r="D4381">
        <v>4</v>
      </c>
      <c r="E4381">
        <v>100</v>
      </c>
      <c r="F4381" t="s">
        <v>1</v>
      </c>
      <c r="G4381" s="6">
        <v>45922</v>
      </c>
      <c r="H4381">
        <v>41</v>
      </c>
      <c r="I4381">
        <f>ROUND(CompilDonnées[[#This Row],[CultureDuration_days]]/7,0)</f>
        <v>6</v>
      </c>
      <c r="J4381">
        <v>3506</v>
      </c>
      <c r="K4381" t="str">
        <f>_xlfn.CONCAT(WEEKNUM(CompilDonnées[[#This Row],[PlantationDate]]), " ", YEAR(CompilDonnées[[#This Row],[PlantationDate]]))</f>
        <v>33 2025</v>
      </c>
      <c r="L4381" t="str">
        <f>CONCATENATE(MONTH(CompilDonnées[[#This Row],[PlantationDate]])," ", YEAR(CompilDonnées[[#This Row],[PlantationDate]]))</f>
        <v>8 2025</v>
      </c>
      <c r="M4381" t="str">
        <f>CONCATENATE(MONTH(CompilDonnées[[#This Row],[HarvestingDate]])," ", YEAR(CompilDonnées[[#This Row],[HarvestingDate]]))</f>
        <v>9 2025</v>
      </c>
      <c r="N4381">
        <f>_xlfn.NUMBERVALUE(CompilDonnées[[#This Row],[FarmID]]&amp;CompilDonnées[[#This Row],[ModuleNumber]]&amp;CompilDonnées[[#This Row],[PlantationDate]])</f>
        <v>120445881</v>
      </c>
      <c r="O4381" t="str">
        <f>CompilDonnées[[#This Row],[FarmID]]&amp;CompilDonnées[[#This Row],[ModuleNumber]]</f>
        <v>1204</v>
      </c>
      <c r="P4381" t="str">
        <f>CompilDonnées[[#This Row],[Ref_Module]]&amp;CompilDonnées[[#This Row],[HarvestingDate]]</f>
        <v>120445922</v>
      </c>
    </row>
    <row r="4382" spans="1:16">
      <c r="A4382" s="5">
        <v>45881</v>
      </c>
      <c r="B4382">
        <v>119</v>
      </c>
      <c r="C4382" t="s">
        <v>59</v>
      </c>
      <c r="D4382">
        <v>2</v>
      </c>
      <c r="E4382">
        <v>100</v>
      </c>
      <c r="F4382" t="s">
        <v>1</v>
      </c>
      <c r="G4382" s="6">
        <v>45922</v>
      </c>
      <c r="H4382">
        <v>41</v>
      </c>
      <c r="I4382">
        <f>ROUND(CompilDonnées[[#This Row],[CultureDuration_days]]/7,0)</f>
        <v>6</v>
      </c>
      <c r="J4382">
        <v>3024</v>
      </c>
      <c r="K4382" t="str">
        <f>_xlfn.CONCAT(WEEKNUM(CompilDonnées[[#This Row],[PlantationDate]]), " ", YEAR(CompilDonnées[[#This Row],[PlantationDate]]))</f>
        <v>33 2025</v>
      </c>
      <c r="L4382" t="str">
        <f>CONCATENATE(MONTH(CompilDonnées[[#This Row],[PlantationDate]])," ", YEAR(CompilDonnées[[#This Row],[PlantationDate]]))</f>
        <v>8 2025</v>
      </c>
      <c r="M4382" t="str">
        <f>CONCATENATE(MONTH(CompilDonnées[[#This Row],[HarvestingDate]])," ", YEAR(CompilDonnées[[#This Row],[HarvestingDate]]))</f>
        <v>9 2025</v>
      </c>
      <c r="N4382">
        <f>_xlfn.NUMBERVALUE(CompilDonnées[[#This Row],[FarmID]]&amp;CompilDonnées[[#This Row],[ModuleNumber]]&amp;CompilDonnées[[#This Row],[PlantationDate]])</f>
        <v>119245881</v>
      </c>
      <c r="O4382" t="str">
        <f>CompilDonnées[[#This Row],[FarmID]]&amp;CompilDonnées[[#This Row],[ModuleNumber]]</f>
        <v>1192</v>
      </c>
      <c r="P4382" t="str">
        <f>CompilDonnées[[#This Row],[Ref_Module]]&amp;CompilDonnées[[#This Row],[HarvestingDate]]</f>
        <v>119245922</v>
      </c>
    </row>
    <row r="4383" spans="1:16">
      <c r="A4383" s="5">
        <v>45881</v>
      </c>
      <c r="B4383">
        <v>118</v>
      </c>
      <c r="C4383" t="s">
        <v>51</v>
      </c>
      <c r="D4383">
        <v>2</v>
      </c>
      <c r="E4383">
        <v>100</v>
      </c>
      <c r="F4383" t="s">
        <v>1</v>
      </c>
      <c r="G4383" s="6">
        <v>45922</v>
      </c>
      <c r="H4383">
        <v>41</v>
      </c>
      <c r="I4383">
        <f>ROUND(CompilDonnées[[#This Row],[CultureDuration_days]]/7,0)</f>
        <v>6</v>
      </c>
      <c r="J4383">
        <v>2863</v>
      </c>
      <c r="K4383" t="str">
        <f>_xlfn.CONCAT(WEEKNUM(CompilDonnées[[#This Row],[PlantationDate]]), " ", YEAR(CompilDonnées[[#This Row],[PlantationDate]]))</f>
        <v>33 2025</v>
      </c>
      <c r="L4383" t="str">
        <f>CONCATENATE(MONTH(CompilDonnées[[#This Row],[PlantationDate]])," ", YEAR(CompilDonnées[[#This Row],[PlantationDate]]))</f>
        <v>8 2025</v>
      </c>
      <c r="M4383" t="str">
        <f>CONCATENATE(MONTH(CompilDonnées[[#This Row],[HarvestingDate]])," ", YEAR(CompilDonnées[[#This Row],[HarvestingDate]]))</f>
        <v>9 2025</v>
      </c>
      <c r="N4383">
        <f>_xlfn.NUMBERVALUE(CompilDonnées[[#This Row],[FarmID]]&amp;CompilDonnées[[#This Row],[ModuleNumber]]&amp;CompilDonnées[[#This Row],[PlantationDate]])</f>
        <v>118245881</v>
      </c>
      <c r="O4383" t="str">
        <f>CompilDonnées[[#This Row],[FarmID]]&amp;CompilDonnées[[#This Row],[ModuleNumber]]</f>
        <v>1182</v>
      </c>
      <c r="P4383" t="str">
        <f>CompilDonnées[[#This Row],[Ref_Module]]&amp;CompilDonnées[[#This Row],[HarvestingDate]]</f>
        <v>118245922</v>
      </c>
    </row>
    <row r="4384" spans="1:16">
      <c r="A4384" s="5">
        <v>45881</v>
      </c>
      <c r="B4384">
        <v>113</v>
      </c>
      <c r="C4384" t="s">
        <v>16</v>
      </c>
      <c r="D4384">
        <v>5</v>
      </c>
      <c r="E4384">
        <v>100</v>
      </c>
      <c r="F4384" t="s">
        <v>1</v>
      </c>
      <c r="G4384" s="6">
        <v>45922</v>
      </c>
      <c r="H4384">
        <v>41</v>
      </c>
      <c r="I4384">
        <f>ROUND(CompilDonnées[[#This Row],[CultureDuration_days]]/7,0)</f>
        <v>6</v>
      </c>
      <c r="J4384">
        <v>3130</v>
      </c>
      <c r="K4384" t="str">
        <f>_xlfn.CONCAT(WEEKNUM(CompilDonnées[[#This Row],[PlantationDate]]), " ", YEAR(CompilDonnées[[#This Row],[PlantationDate]]))</f>
        <v>33 2025</v>
      </c>
      <c r="L4384" t="str">
        <f>CONCATENATE(MONTH(CompilDonnées[[#This Row],[PlantationDate]])," ", YEAR(CompilDonnées[[#This Row],[PlantationDate]]))</f>
        <v>8 2025</v>
      </c>
      <c r="M4384" t="str">
        <f>CONCATENATE(MONTH(CompilDonnées[[#This Row],[HarvestingDate]])," ", YEAR(CompilDonnées[[#This Row],[HarvestingDate]]))</f>
        <v>9 2025</v>
      </c>
      <c r="N4384">
        <f>_xlfn.NUMBERVALUE(CompilDonnées[[#This Row],[FarmID]]&amp;CompilDonnées[[#This Row],[ModuleNumber]]&amp;CompilDonnées[[#This Row],[PlantationDate]])</f>
        <v>113545881</v>
      </c>
      <c r="O4384" t="str">
        <f>CompilDonnées[[#This Row],[FarmID]]&amp;CompilDonnées[[#This Row],[ModuleNumber]]</f>
        <v>1135</v>
      </c>
      <c r="P4384" t="str">
        <f>CompilDonnées[[#This Row],[Ref_Module]]&amp;CompilDonnées[[#This Row],[HarvestingDate]]</f>
        <v>113545922</v>
      </c>
    </row>
    <row r="4385" spans="1:16">
      <c r="A4385" s="5">
        <v>45881</v>
      </c>
      <c r="B4385">
        <v>112</v>
      </c>
      <c r="C4385" t="s">
        <v>15</v>
      </c>
      <c r="D4385">
        <v>5</v>
      </c>
      <c r="E4385">
        <v>100</v>
      </c>
      <c r="F4385" t="s">
        <v>1</v>
      </c>
      <c r="G4385" s="6">
        <v>45922</v>
      </c>
      <c r="H4385">
        <v>41</v>
      </c>
      <c r="I4385">
        <f>ROUND(CompilDonnées[[#This Row],[CultureDuration_days]]/7,0)</f>
        <v>6</v>
      </c>
      <c r="J4385">
        <v>2896</v>
      </c>
      <c r="K4385" t="str">
        <f>_xlfn.CONCAT(WEEKNUM(CompilDonnées[[#This Row],[PlantationDate]]), " ", YEAR(CompilDonnées[[#This Row],[PlantationDate]]))</f>
        <v>33 2025</v>
      </c>
      <c r="L4385" t="str">
        <f>CONCATENATE(MONTH(CompilDonnées[[#This Row],[PlantationDate]])," ", YEAR(CompilDonnées[[#This Row],[PlantationDate]]))</f>
        <v>8 2025</v>
      </c>
      <c r="M4385" t="str">
        <f>CONCATENATE(MONTH(CompilDonnées[[#This Row],[HarvestingDate]])," ", YEAR(CompilDonnées[[#This Row],[HarvestingDate]]))</f>
        <v>9 2025</v>
      </c>
      <c r="N4385">
        <f>_xlfn.NUMBERVALUE(CompilDonnées[[#This Row],[FarmID]]&amp;CompilDonnées[[#This Row],[ModuleNumber]]&amp;CompilDonnées[[#This Row],[PlantationDate]])</f>
        <v>112545881</v>
      </c>
      <c r="O4385" t="str">
        <f>CompilDonnées[[#This Row],[FarmID]]&amp;CompilDonnées[[#This Row],[ModuleNumber]]</f>
        <v>1125</v>
      </c>
      <c r="P4385" t="str">
        <f>CompilDonnées[[#This Row],[Ref_Module]]&amp;CompilDonnées[[#This Row],[HarvestingDate]]</f>
        <v>112545922</v>
      </c>
    </row>
    <row r="4386" spans="1:16">
      <c r="A4386" s="5">
        <v>45881</v>
      </c>
      <c r="B4386">
        <v>111</v>
      </c>
      <c r="C4386" t="s">
        <v>41</v>
      </c>
      <c r="D4386">
        <v>1</v>
      </c>
      <c r="E4386">
        <v>100</v>
      </c>
      <c r="F4386" t="s">
        <v>1</v>
      </c>
      <c r="G4386" s="6">
        <v>45931</v>
      </c>
      <c r="H4386">
        <v>50</v>
      </c>
      <c r="I4386">
        <f>ROUND(CompilDonnées[[#This Row],[CultureDuration_days]]/7,0)</f>
        <v>7</v>
      </c>
      <c r="J4386">
        <v>2721</v>
      </c>
      <c r="K4386" t="str">
        <f>_xlfn.CONCAT(WEEKNUM(CompilDonnées[[#This Row],[PlantationDate]]), " ", YEAR(CompilDonnées[[#This Row],[PlantationDate]]))</f>
        <v>33 2025</v>
      </c>
      <c r="L4386" t="str">
        <f>CONCATENATE(MONTH(CompilDonnées[[#This Row],[PlantationDate]])," ", YEAR(CompilDonnées[[#This Row],[PlantationDate]]))</f>
        <v>8 2025</v>
      </c>
      <c r="M4386" t="str">
        <f>CONCATENATE(MONTH(CompilDonnées[[#This Row],[HarvestingDate]])," ", YEAR(CompilDonnées[[#This Row],[HarvestingDate]]))</f>
        <v>10 2025</v>
      </c>
      <c r="N4386">
        <f>_xlfn.NUMBERVALUE(CompilDonnées[[#This Row],[FarmID]]&amp;CompilDonnées[[#This Row],[ModuleNumber]]&amp;CompilDonnées[[#This Row],[PlantationDate]])</f>
        <v>111145881</v>
      </c>
      <c r="O4386" t="str">
        <f>CompilDonnées[[#This Row],[FarmID]]&amp;CompilDonnées[[#This Row],[ModuleNumber]]</f>
        <v>1111</v>
      </c>
      <c r="P4386" t="str">
        <f>CompilDonnées[[#This Row],[Ref_Module]]&amp;CompilDonnées[[#This Row],[HarvestingDate]]</f>
        <v>111145931</v>
      </c>
    </row>
    <row r="4387" spans="1:16">
      <c r="A4387" s="5">
        <v>45881</v>
      </c>
      <c r="B4387">
        <v>110</v>
      </c>
      <c r="C4387" t="s">
        <v>14</v>
      </c>
      <c r="D4387">
        <v>3</v>
      </c>
      <c r="E4387">
        <v>100</v>
      </c>
      <c r="F4387" t="s">
        <v>1</v>
      </c>
      <c r="G4387" s="6">
        <v>45931</v>
      </c>
      <c r="H4387">
        <v>50</v>
      </c>
      <c r="I4387">
        <f>ROUND(CompilDonnées[[#This Row],[CultureDuration_days]]/7,0)</f>
        <v>7</v>
      </c>
      <c r="J4387">
        <v>2698</v>
      </c>
      <c r="K4387" t="str">
        <f>_xlfn.CONCAT(WEEKNUM(CompilDonnées[[#This Row],[PlantationDate]]), " ", YEAR(CompilDonnées[[#This Row],[PlantationDate]]))</f>
        <v>33 2025</v>
      </c>
      <c r="L4387" t="str">
        <f>CONCATENATE(MONTH(CompilDonnées[[#This Row],[PlantationDate]])," ", YEAR(CompilDonnées[[#This Row],[PlantationDate]]))</f>
        <v>8 2025</v>
      </c>
      <c r="M4387" t="str">
        <f>CONCATENATE(MONTH(CompilDonnées[[#This Row],[HarvestingDate]])," ", YEAR(CompilDonnées[[#This Row],[HarvestingDate]]))</f>
        <v>10 2025</v>
      </c>
      <c r="N4387">
        <f>_xlfn.NUMBERVALUE(CompilDonnées[[#This Row],[FarmID]]&amp;CompilDonnées[[#This Row],[ModuleNumber]]&amp;CompilDonnées[[#This Row],[PlantationDate]])</f>
        <v>110345881</v>
      </c>
      <c r="O4387" t="str">
        <f>CompilDonnées[[#This Row],[FarmID]]&amp;CompilDonnées[[#This Row],[ModuleNumber]]</f>
        <v>1103</v>
      </c>
      <c r="P4387" t="str">
        <f>CompilDonnées[[#This Row],[Ref_Module]]&amp;CompilDonnées[[#This Row],[HarvestingDate]]</f>
        <v>110345931</v>
      </c>
    </row>
    <row r="4388" spans="1:16">
      <c r="A4388" s="5">
        <v>45881</v>
      </c>
      <c r="B4388">
        <v>115</v>
      </c>
      <c r="C4388" t="s">
        <v>121</v>
      </c>
      <c r="D4388">
        <v>6</v>
      </c>
      <c r="E4388">
        <v>100</v>
      </c>
      <c r="F4388" t="s">
        <v>1</v>
      </c>
      <c r="G4388" s="6">
        <v>45937</v>
      </c>
      <c r="H4388">
        <v>56</v>
      </c>
      <c r="I4388">
        <f>ROUND(CompilDonnées[[#This Row],[CultureDuration_days]]/7,0)</f>
        <v>8</v>
      </c>
      <c r="J4388">
        <v>1693</v>
      </c>
      <c r="K4388" t="str">
        <f>_xlfn.CONCAT(WEEKNUM(CompilDonnées[[#This Row],[PlantationDate]]), " ", YEAR(CompilDonnées[[#This Row],[PlantationDate]]))</f>
        <v>33 2025</v>
      </c>
      <c r="L4388" t="str">
        <f>CONCATENATE(MONTH(CompilDonnées[[#This Row],[PlantationDate]])," ", YEAR(CompilDonnées[[#This Row],[PlantationDate]]))</f>
        <v>8 2025</v>
      </c>
      <c r="M4388" t="str">
        <f>CONCATENATE(MONTH(CompilDonnées[[#This Row],[HarvestingDate]])," ", YEAR(CompilDonnées[[#This Row],[HarvestingDate]]))</f>
        <v>10 2025</v>
      </c>
      <c r="N4388">
        <f>_xlfn.NUMBERVALUE(CompilDonnées[[#This Row],[FarmID]]&amp;CompilDonnées[[#This Row],[ModuleNumber]]&amp;CompilDonnées[[#This Row],[PlantationDate]])</f>
        <v>115645881</v>
      </c>
      <c r="O4388" t="str">
        <f>CompilDonnées[[#This Row],[FarmID]]&amp;CompilDonnées[[#This Row],[ModuleNumber]]</f>
        <v>1156</v>
      </c>
      <c r="P4388" t="str">
        <f>CompilDonnées[[#This Row],[Ref_Module]]&amp;CompilDonnées[[#This Row],[HarvestingDate]]</f>
        <v>115645937</v>
      </c>
    </row>
    <row r="4389" spans="1:16">
      <c r="A4389" s="5">
        <v>45881</v>
      </c>
      <c r="B4389">
        <v>116</v>
      </c>
      <c r="C4389" t="s">
        <v>76</v>
      </c>
      <c r="D4389">
        <v>2</v>
      </c>
      <c r="E4389">
        <v>100</v>
      </c>
      <c r="F4389" t="s">
        <v>1</v>
      </c>
      <c r="G4389" s="6">
        <v>45922</v>
      </c>
      <c r="H4389">
        <v>41</v>
      </c>
      <c r="I4389">
        <f>ROUND(CompilDonnées[[#This Row],[CultureDuration_days]]/7,0)</f>
        <v>6</v>
      </c>
      <c r="J4389">
        <v>1656</v>
      </c>
      <c r="K4389" t="str">
        <f>_xlfn.CONCAT(WEEKNUM(CompilDonnées[[#This Row],[PlantationDate]]), " ", YEAR(CompilDonnées[[#This Row],[PlantationDate]]))</f>
        <v>33 2025</v>
      </c>
      <c r="L4389" t="str">
        <f>CONCATENATE(MONTH(CompilDonnées[[#This Row],[PlantationDate]])," ", YEAR(CompilDonnées[[#This Row],[PlantationDate]]))</f>
        <v>8 2025</v>
      </c>
      <c r="M4389" t="str">
        <f>CONCATENATE(MONTH(CompilDonnées[[#This Row],[HarvestingDate]])," ", YEAR(CompilDonnées[[#This Row],[HarvestingDate]]))</f>
        <v>9 2025</v>
      </c>
      <c r="N4389">
        <f>_xlfn.NUMBERVALUE(CompilDonnées[[#This Row],[FarmID]]&amp;CompilDonnées[[#This Row],[ModuleNumber]]&amp;CompilDonnées[[#This Row],[PlantationDate]])</f>
        <v>116245881</v>
      </c>
      <c r="O4389" t="str">
        <f>CompilDonnées[[#This Row],[FarmID]]&amp;CompilDonnées[[#This Row],[ModuleNumber]]</f>
        <v>1162</v>
      </c>
      <c r="P4389" t="str">
        <f>CompilDonnées[[#This Row],[Ref_Module]]&amp;CompilDonnées[[#This Row],[HarvestingDate]]</f>
        <v>116245922</v>
      </c>
    </row>
    <row r="4390" spans="1:16">
      <c r="A4390" s="5">
        <v>45881</v>
      </c>
      <c r="B4390">
        <v>109</v>
      </c>
      <c r="C4390" t="s">
        <v>87</v>
      </c>
      <c r="D4390">
        <v>1</v>
      </c>
      <c r="E4390">
        <v>100</v>
      </c>
      <c r="F4390" t="s">
        <v>1</v>
      </c>
      <c r="G4390" s="6">
        <v>45922</v>
      </c>
      <c r="H4390">
        <v>41</v>
      </c>
      <c r="I4390">
        <f>ROUND(CompilDonnées[[#This Row],[CultureDuration_days]]/7,0)</f>
        <v>6</v>
      </c>
      <c r="J4390">
        <v>2575</v>
      </c>
      <c r="K4390" t="str">
        <f>_xlfn.CONCAT(WEEKNUM(CompilDonnées[[#This Row],[PlantationDate]]), " ", YEAR(CompilDonnées[[#This Row],[PlantationDate]]))</f>
        <v>33 2025</v>
      </c>
      <c r="L4390" t="str">
        <f>CONCATENATE(MONTH(CompilDonnées[[#This Row],[PlantationDate]])," ", YEAR(CompilDonnées[[#This Row],[PlantationDate]]))</f>
        <v>8 2025</v>
      </c>
      <c r="M4390" t="str">
        <f>CONCATENATE(MONTH(CompilDonnées[[#This Row],[HarvestingDate]])," ", YEAR(CompilDonnées[[#This Row],[HarvestingDate]]))</f>
        <v>9 2025</v>
      </c>
      <c r="N4390">
        <f>_xlfn.NUMBERVALUE(CompilDonnées[[#This Row],[FarmID]]&amp;CompilDonnées[[#This Row],[ModuleNumber]]&amp;CompilDonnées[[#This Row],[PlantationDate]])</f>
        <v>109145881</v>
      </c>
      <c r="O4390" t="str">
        <f>CompilDonnées[[#This Row],[FarmID]]&amp;CompilDonnées[[#This Row],[ModuleNumber]]</f>
        <v>1091</v>
      </c>
      <c r="P4390" t="str">
        <f>CompilDonnées[[#This Row],[Ref_Module]]&amp;CompilDonnées[[#This Row],[HarvestingDate]]</f>
        <v>109145922</v>
      </c>
    </row>
    <row r="4391" spans="1:16">
      <c r="A4391" s="5">
        <v>45881</v>
      </c>
      <c r="B4391">
        <v>108</v>
      </c>
      <c r="C4391" t="s">
        <v>58</v>
      </c>
      <c r="D4391">
        <v>3</v>
      </c>
      <c r="E4391">
        <v>100</v>
      </c>
      <c r="F4391" t="s">
        <v>1</v>
      </c>
      <c r="G4391" s="6">
        <v>45922</v>
      </c>
      <c r="H4391">
        <v>41</v>
      </c>
      <c r="I4391">
        <f>ROUND(CompilDonnées[[#This Row],[CultureDuration_days]]/7,0)</f>
        <v>6</v>
      </c>
      <c r="J4391">
        <v>2482</v>
      </c>
      <c r="K4391" t="str">
        <f>_xlfn.CONCAT(WEEKNUM(CompilDonnées[[#This Row],[PlantationDate]]), " ", YEAR(CompilDonnées[[#This Row],[PlantationDate]]))</f>
        <v>33 2025</v>
      </c>
      <c r="L4391" t="str">
        <f>CONCATENATE(MONTH(CompilDonnées[[#This Row],[PlantationDate]])," ", YEAR(CompilDonnées[[#This Row],[PlantationDate]]))</f>
        <v>8 2025</v>
      </c>
      <c r="M4391" t="str">
        <f>CONCATENATE(MONTH(CompilDonnées[[#This Row],[HarvestingDate]])," ", YEAR(CompilDonnées[[#This Row],[HarvestingDate]]))</f>
        <v>9 2025</v>
      </c>
      <c r="N4391">
        <f>_xlfn.NUMBERVALUE(CompilDonnées[[#This Row],[FarmID]]&amp;CompilDonnées[[#This Row],[ModuleNumber]]&amp;CompilDonnées[[#This Row],[PlantationDate]])</f>
        <v>108345881</v>
      </c>
      <c r="O4391" t="str">
        <f>CompilDonnées[[#This Row],[FarmID]]&amp;CompilDonnées[[#This Row],[ModuleNumber]]</f>
        <v>1083</v>
      </c>
      <c r="P4391" t="str">
        <f>CompilDonnées[[#This Row],[Ref_Module]]&amp;CompilDonnées[[#This Row],[HarvestingDate]]</f>
        <v>108345922</v>
      </c>
    </row>
    <row r="4392" spans="1:16">
      <c r="A4392" s="5">
        <v>45881</v>
      </c>
      <c r="B4392">
        <v>107</v>
      </c>
      <c r="C4392" t="s">
        <v>23</v>
      </c>
      <c r="D4392">
        <v>4</v>
      </c>
      <c r="E4392">
        <v>100</v>
      </c>
      <c r="F4392" t="s">
        <v>1</v>
      </c>
      <c r="G4392" s="6">
        <v>45931</v>
      </c>
      <c r="H4392">
        <v>50</v>
      </c>
      <c r="I4392">
        <f>ROUND(CompilDonnées[[#This Row],[CultureDuration_days]]/7,0)</f>
        <v>7</v>
      </c>
      <c r="J4392">
        <v>2740</v>
      </c>
      <c r="K4392" t="str">
        <f>_xlfn.CONCAT(WEEKNUM(CompilDonnées[[#This Row],[PlantationDate]]), " ", YEAR(CompilDonnées[[#This Row],[PlantationDate]]))</f>
        <v>33 2025</v>
      </c>
      <c r="L4392" t="str">
        <f>CONCATENATE(MONTH(CompilDonnées[[#This Row],[PlantationDate]])," ", YEAR(CompilDonnées[[#This Row],[PlantationDate]]))</f>
        <v>8 2025</v>
      </c>
      <c r="M4392" t="str">
        <f>CONCATENATE(MONTH(CompilDonnées[[#This Row],[HarvestingDate]])," ", YEAR(CompilDonnées[[#This Row],[HarvestingDate]]))</f>
        <v>10 2025</v>
      </c>
      <c r="N4392">
        <f>_xlfn.NUMBERVALUE(CompilDonnées[[#This Row],[FarmID]]&amp;CompilDonnées[[#This Row],[ModuleNumber]]&amp;CompilDonnées[[#This Row],[PlantationDate]])</f>
        <v>107445881</v>
      </c>
      <c r="O4392" t="str">
        <f>CompilDonnées[[#This Row],[FarmID]]&amp;CompilDonnées[[#This Row],[ModuleNumber]]</f>
        <v>1074</v>
      </c>
      <c r="P4392" t="str">
        <f>CompilDonnées[[#This Row],[Ref_Module]]&amp;CompilDonnées[[#This Row],[HarvestingDate]]</f>
        <v>107445931</v>
      </c>
    </row>
    <row r="4393" spans="1:16">
      <c r="A4393" s="5">
        <v>45881</v>
      </c>
      <c r="B4393">
        <v>100</v>
      </c>
      <c r="C4393" t="s">
        <v>84</v>
      </c>
      <c r="D4393">
        <v>1</v>
      </c>
      <c r="E4393">
        <v>100</v>
      </c>
      <c r="F4393" t="s">
        <v>1</v>
      </c>
      <c r="G4393" s="6">
        <v>45931</v>
      </c>
      <c r="H4393">
        <v>50</v>
      </c>
      <c r="I4393">
        <f>ROUND(CompilDonnées[[#This Row],[CultureDuration_days]]/7,0)</f>
        <v>7</v>
      </c>
      <c r="J4393">
        <v>2382</v>
      </c>
      <c r="K4393" t="str">
        <f>_xlfn.CONCAT(WEEKNUM(CompilDonnées[[#This Row],[PlantationDate]]), " ", YEAR(CompilDonnées[[#This Row],[PlantationDate]]))</f>
        <v>33 2025</v>
      </c>
      <c r="L4393" t="str">
        <f>CONCATENATE(MONTH(CompilDonnées[[#This Row],[PlantationDate]])," ", YEAR(CompilDonnées[[#This Row],[PlantationDate]]))</f>
        <v>8 2025</v>
      </c>
      <c r="M4393" t="str">
        <f>CONCATENATE(MONTH(CompilDonnées[[#This Row],[HarvestingDate]])," ", YEAR(CompilDonnées[[#This Row],[HarvestingDate]]))</f>
        <v>10 2025</v>
      </c>
      <c r="N4393">
        <f>_xlfn.NUMBERVALUE(CompilDonnées[[#This Row],[FarmID]]&amp;CompilDonnées[[#This Row],[ModuleNumber]]&amp;CompilDonnées[[#This Row],[PlantationDate]])</f>
        <v>100145881</v>
      </c>
      <c r="O4393" t="str">
        <f>CompilDonnées[[#This Row],[FarmID]]&amp;CompilDonnées[[#This Row],[ModuleNumber]]</f>
        <v>1001</v>
      </c>
      <c r="P4393" t="str">
        <f>CompilDonnées[[#This Row],[Ref_Module]]&amp;CompilDonnées[[#This Row],[HarvestingDate]]</f>
        <v>100145931</v>
      </c>
    </row>
    <row r="4394" spans="1:16">
      <c r="A4394" s="5">
        <v>45881</v>
      </c>
      <c r="B4394">
        <v>94</v>
      </c>
      <c r="C4394" t="s">
        <v>40</v>
      </c>
      <c r="D4394">
        <v>5</v>
      </c>
      <c r="E4394">
        <v>100</v>
      </c>
      <c r="F4394" t="s">
        <v>1</v>
      </c>
      <c r="G4394" s="6">
        <v>45930</v>
      </c>
      <c r="H4394">
        <v>49</v>
      </c>
      <c r="I4394">
        <f>ROUND(CompilDonnées[[#This Row],[CultureDuration_days]]/7,0)</f>
        <v>7</v>
      </c>
      <c r="J4394">
        <v>4299</v>
      </c>
      <c r="K4394" t="str">
        <f>_xlfn.CONCAT(WEEKNUM(CompilDonnées[[#This Row],[PlantationDate]]), " ", YEAR(CompilDonnées[[#This Row],[PlantationDate]]))</f>
        <v>33 2025</v>
      </c>
      <c r="L4394" t="str">
        <f>CONCATENATE(MONTH(CompilDonnées[[#This Row],[PlantationDate]])," ", YEAR(CompilDonnées[[#This Row],[PlantationDate]]))</f>
        <v>8 2025</v>
      </c>
      <c r="M4394" t="str">
        <f>CONCATENATE(MONTH(CompilDonnées[[#This Row],[HarvestingDate]])," ", YEAR(CompilDonnées[[#This Row],[HarvestingDate]]))</f>
        <v>9 2025</v>
      </c>
      <c r="N4394">
        <f>_xlfn.NUMBERVALUE(CompilDonnées[[#This Row],[FarmID]]&amp;CompilDonnées[[#This Row],[ModuleNumber]]&amp;CompilDonnées[[#This Row],[PlantationDate]])</f>
        <v>94545881</v>
      </c>
      <c r="O4394" t="str">
        <f>CompilDonnées[[#This Row],[FarmID]]&amp;CompilDonnées[[#This Row],[ModuleNumber]]</f>
        <v>945</v>
      </c>
      <c r="P4394" t="str">
        <f>CompilDonnées[[#This Row],[Ref_Module]]&amp;CompilDonnées[[#This Row],[HarvestingDate]]</f>
        <v>94545930</v>
      </c>
    </row>
    <row r="4395" spans="1:16">
      <c r="A4395" s="5">
        <v>45881</v>
      </c>
      <c r="B4395">
        <v>93</v>
      </c>
      <c r="C4395" t="s">
        <v>10</v>
      </c>
      <c r="D4395">
        <v>5</v>
      </c>
      <c r="E4395">
        <v>100</v>
      </c>
      <c r="F4395" t="s">
        <v>1</v>
      </c>
      <c r="G4395" s="6">
        <v>45923</v>
      </c>
      <c r="H4395">
        <v>42</v>
      </c>
      <c r="I4395">
        <f>ROUND(CompilDonnées[[#This Row],[CultureDuration_days]]/7,0)</f>
        <v>6</v>
      </c>
      <c r="J4395">
        <v>2903</v>
      </c>
      <c r="K4395" t="str">
        <f>_xlfn.CONCAT(WEEKNUM(CompilDonnées[[#This Row],[PlantationDate]]), " ", YEAR(CompilDonnées[[#This Row],[PlantationDate]]))</f>
        <v>33 2025</v>
      </c>
      <c r="L4395" t="str">
        <f>CONCATENATE(MONTH(CompilDonnées[[#This Row],[PlantationDate]])," ", YEAR(CompilDonnées[[#This Row],[PlantationDate]]))</f>
        <v>8 2025</v>
      </c>
      <c r="M4395" t="str">
        <f>CONCATENATE(MONTH(CompilDonnées[[#This Row],[HarvestingDate]])," ", YEAR(CompilDonnées[[#This Row],[HarvestingDate]]))</f>
        <v>9 2025</v>
      </c>
      <c r="N4395">
        <f>_xlfn.NUMBERVALUE(CompilDonnées[[#This Row],[FarmID]]&amp;CompilDonnées[[#This Row],[ModuleNumber]]&amp;CompilDonnées[[#This Row],[PlantationDate]])</f>
        <v>93545881</v>
      </c>
      <c r="O4395" t="str">
        <f>CompilDonnées[[#This Row],[FarmID]]&amp;CompilDonnées[[#This Row],[ModuleNumber]]</f>
        <v>935</v>
      </c>
      <c r="P4395" t="str">
        <f>CompilDonnées[[#This Row],[Ref_Module]]&amp;CompilDonnées[[#This Row],[HarvestingDate]]</f>
        <v>93545923</v>
      </c>
    </row>
    <row r="4396" spans="1:16">
      <c r="A4396" s="5">
        <v>45881</v>
      </c>
      <c r="B4396">
        <v>91</v>
      </c>
      <c r="C4396" t="s">
        <v>9</v>
      </c>
      <c r="D4396">
        <v>4</v>
      </c>
      <c r="E4396">
        <v>100</v>
      </c>
      <c r="F4396" t="s">
        <v>1</v>
      </c>
      <c r="G4396" s="6">
        <v>45931</v>
      </c>
      <c r="H4396">
        <v>50</v>
      </c>
      <c r="I4396">
        <f>ROUND(CompilDonnées[[#This Row],[CultureDuration_days]]/7,0)</f>
        <v>7</v>
      </c>
      <c r="J4396">
        <v>2494</v>
      </c>
      <c r="K4396" t="str">
        <f>_xlfn.CONCAT(WEEKNUM(CompilDonnées[[#This Row],[PlantationDate]]), " ", YEAR(CompilDonnées[[#This Row],[PlantationDate]]))</f>
        <v>33 2025</v>
      </c>
      <c r="L4396" t="str">
        <f>CONCATENATE(MONTH(CompilDonnées[[#This Row],[PlantationDate]])," ", YEAR(CompilDonnées[[#This Row],[PlantationDate]]))</f>
        <v>8 2025</v>
      </c>
      <c r="M4396" t="str">
        <f>CONCATENATE(MONTH(CompilDonnées[[#This Row],[HarvestingDate]])," ", YEAR(CompilDonnées[[#This Row],[HarvestingDate]]))</f>
        <v>10 2025</v>
      </c>
      <c r="N4396">
        <f>_xlfn.NUMBERVALUE(CompilDonnées[[#This Row],[FarmID]]&amp;CompilDonnées[[#This Row],[ModuleNumber]]&amp;CompilDonnées[[#This Row],[PlantationDate]])</f>
        <v>91445881</v>
      </c>
      <c r="O4396" t="str">
        <f>CompilDonnées[[#This Row],[FarmID]]&amp;CompilDonnées[[#This Row],[ModuleNumber]]</f>
        <v>914</v>
      </c>
      <c r="P4396" t="str">
        <f>CompilDonnées[[#This Row],[Ref_Module]]&amp;CompilDonnées[[#This Row],[HarvestingDate]]</f>
        <v>91445931</v>
      </c>
    </row>
    <row r="4397" spans="1:16">
      <c r="A4397" s="5">
        <v>45881</v>
      </c>
      <c r="B4397">
        <v>86</v>
      </c>
      <c r="C4397" t="s">
        <v>37</v>
      </c>
      <c r="D4397">
        <v>3</v>
      </c>
      <c r="E4397">
        <v>100</v>
      </c>
      <c r="F4397" t="s">
        <v>1</v>
      </c>
      <c r="G4397" s="6">
        <v>45930</v>
      </c>
      <c r="H4397">
        <v>49</v>
      </c>
      <c r="I4397">
        <f>ROUND(CompilDonnées[[#This Row],[CultureDuration_days]]/7,0)</f>
        <v>7</v>
      </c>
      <c r="J4397">
        <v>2384</v>
      </c>
      <c r="K4397" t="str">
        <f>_xlfn.CONCAT(WEEKNUM(CompilDonnées[[#This Row],[PlantationDate]]), " ", YEAR(CompilDonnées[[#This Row],[PlantationDate]]))</f>
        <v>33 2025</v>
      </c>
      <c r="L4397" t="str">
        <f>CONCATENATE(MONTH(CompilDonnées[[#This Row],[PlantationDate]])," ", YEAR(CompilDonnées[[#This Row],[PlantationDate]]))</f>
        <v>8 2025</v>
      </c>
      <c r="M4397" t="str">
        <f>CONCATENATE(MONTH(CompilDonnées[[#This Row],[HarvestingDate]])," ", YEAR(CompilDonnées[[#This Row],[HarvestingDate]]))</f>
        <v>9 2025</v>
      </c>
      <c r="N4397">
        <f>_xlfn.NUMBERVALUE(CompilDonnées[[#This Row],[FarmID]]&amp;CompilDonnées[[#This Row],[ModuleNumber]]&amp;CompilDonnées[[#This Row],[PlantationDate]])</f>
        <v>86345881</v>
      </c>
      <c r="O4397" t="str">
        <f>CompilDonnées[[#This Row],[FarmID]]&amp;CompilDonnées[[#This Row],[ModuleNumber]]</f>
        <v>863</v>
      </c>
      <c r="P4397" t="str">
        <f>CompilDonnées[[#This Row],[Ref_Module]]&amp;CompilDonnées[[#This Row],[HarvestingDate]]</f>
        <v>86345930</v>
      </c>
    </row>
    <row r="4398" spans="1:16">
      <c r="A4398" s="5">
        <v>45881</v>
      </c>
      <c r="B4398">
        <v>85</v>
      </c>
      <c r="C4398" t="s">
        <v>56</v>
      </c>
      <c r="D4398">
        <v>3</v>
      </c>
      <c r="E4398">
        <v>100</v>
      </c>
      <c r="F4398" t="s">
        <v>1</v>
      </c>
      <c r="G4398" s="6">
        <v>45930</v>
      </c>
      <c r="H4398">
        <v>49</v>
      </c>
      <c r="I4398">
        <f>ROUND(CompilDonnées[[#This Row],[CultureDuration_days]]/7,0)</f>
        <v>7</v>
      </c>
      <c r="J4398">
        <v>1849</v>
      </c>
      <c r="K4398" t="str">
        <f>_xlfn.CONCAT(WEEKNUM(CompilDonnées[[#This Row],[PlantationDate]]), " ", YEAR(CompilDonnées[[#This Row],[PlantationDate]]))</f>
        <v>33 2025</v>
      </c>
      <c r="L4398" t="str">
        <f>CONCATENATE(MONTH(CompilDonnées[[#This Row],[PlantationDate]])," ", YEAR(CompilDonnées[[#This Row],[PlantationDate]]))</f>
        <v>8 2025</v>
      </c>
      <c r="M4398" t="str">
        <f>CONCATENATE(MONTH(CompilDonnées[[#This Row],[HarvestingDate]])," ", YEAR(CompilDonnées[[#This Row],[HarvestingDate]]))</f>
        <v>9 2025</v>
      </c>
      <c r="N4398">
        <f>_xlfn.NUMBERVALUE(CompilDonnées[[#This Row],[FarmID]]&amp;CompilDonnées[[#This Row],[ModuleNumber]]&amp;CompilDonnées[[#This Row],[PlantationDate]])</f>
        <v>85345881</v>
      </c>
      <c r="O4398" t="str">
        <f>CompilDonnées[[#This Row],[FarmID]]&amp;CompilDonnées[[#This Row],[ModuleNumber]]</f>
        <v>853</v>
      </c>
      <c r="P4398" t="str">
        <f>CompilDonnées[[#This Row],[Ref_Module]]&amp;CompilDonnées[[#This Row],[HarvestingDate]]</f>
        <v>85345930</v>
      </c>
    </row>
    <row r="4399" spans="1:16">
      <c r="A4399" s="5">
        <v>45881</v>
      </c>
      <c r="B4399">
        <v>90</v>
      </c>
      <c r="C4399" t="s">
        <v>72</v>
      </c>
      <c r="D4399">
        <v>5</v>
      </c>
      <c r="E4399">
        <v>100</v>
      </c>
      <c r="F4399" t="s">
        <v>1</v>
      </c>
      <c r="G4399" s="6">
        <v>45923</v>
      </c>
      <c r="H4399">
        <v>42</v>
      </c>
      <c r="I4399">
        <f>ROUND(CompilDonnées[[#This Row],[CultureDuration_days]]/7,0)</f>
        <v>6</v>
      </c>
      <c r="J4399">
        <v>1752</v>
      </c>
      <c r="K4399" t="str">
        <f>_xlfn.CONCAT(WEEKNUM(CompilDonnées[[#This Row],[PlantationDate]]), " ", YEAR(CompilDonnées[[#This Row],[PlantationDate]]))</f>
        <v>33 2025</v>
      </c>
      <c r="L4399" t="str">
        <f>CONCATENATE(MONTH(CompilDonnées[[#This Row],[PlantationDate]])," ", YEAR(CompilDonnées[[#This Row],[PlantationDate]]))</f>
        <v>8 2025</v>
      </c>
      <c r="M4399" t="str">
        <f>CONCATENATE(MONTH(CompilDonnées[[#This Row],[HarvestingDate]])," ", YEAR(CompilDonnées[[#This Row],[HarvestingDate]]))</f>
        <v>9 2025</v>
      </c>
      <c r="N4399">
        <f>_xlfn.NUMBERVALUE(CompilDonnées[[#This Row],[FarmID]]&amp;CompilDonnées[[#This Row],[ModuleNumber]]&amp;CompilDonnées[[#This Row],[PlantationDate]])</f>
        <v>90545881</v>
      </c>
      <c r="O4399" t="str">
        <f>CompilDonnées[[#This Row],[FarmID]]&amp;CompilDonnées[[#This Row],[ModuleNumber]]</f>
        <v>905</v>
      </c>
      <c r="P4399" t="str">
        <f>CompilDonnées[[#This Row],[Ref_Module]]&amp;CompilDonnées[[#This Row],[HarvestingDate]]</f>
        <v>90545923</v>
      </c>
    </row>
    <row r="4400" spans="1:16">
      <c r="A4400" s="5">
        <v>45881</v>
      </c>
      <c r="B4400">
        <v>96</v>
      </c>
      <c r="C4400" t="s">
        <v>125</v>
      </c>
      <c r="D4400">
        <v>6</v>
      </c>
      <c r="E4400">
        <v>100</v>
      </c>
      <c r="F4400" t="s">
        <v>1</v>
      </c>
      <c r="G4400" s="6">
        <v>45931</v>
      </c>
      <c r="H4400">
        <v>50</v>
      </c>
      <c r="I4400">
        <f>ROUND(CompilDonnées[[#This Row],[CultureDuration_days]]/7,0)</f>
        <v>7</v>
      </c>
      <c r="J4400">
        <v>2275</v>
      </c>
      <c r="K4400" t="str">
        <f>_xlfn.CONCAT(WEEKNUM(CompilDonnées[[#This Row],[PlantationDate]]), " ", YEAR(CompilDonnées[[#This Row],[PlantationDate]]))</f>
        <v>33 2025</v>
      </c>
      <c r="L4400" t="str">
        <f>CONCATENATE(MONTH(CompilDonnées[[#This Row],[PlantationDate]])," ", YEAR(CompilDonnées[[#This Row],[PlantationDate]]))</f>
        <v>8 2025</v>
      </c>
      <c r="M4400" t="str">
        <f>CONCATENATE(MONTH(CompilDonnées[[#This Row],[HarvestingDate]])," ", YEAR(CompilDonnées[[#This Row],[HarvestingDate]]))</f>
        <v>10 2025</v>
      </c>
      <c r="N4400">
        <f>_xlfn.NUMBERVALUE(CompilDonnées[[#This Row],[FarmID]]&amp;CompilDonnées[[#This Row],[ModuleNumber]]&amp;CompilDonnées[[#This Row],[PlantationDate]])</f>
        <v>96645881</v>
      </c>
      <c r="O4400" t="str">
        <f>CompilDonnées[[#This Row],[FarmID]]&amp;CompilDonnées[[#This Row],[ModuleNumber]]</f>
        <v>966</v>
      </c>
      <c r="P4400" t="str">
        <f>CompilDonnées[[#This Row],[Ref_Module]]&amp;CompilDonnées[[#This Row],[HarvestingDate]]</f>
        <v>96645931</v>
      </c>
    </row>
    <row r="4401" spans="1:16">
      <c r="A4401" s="5">
        <v>45881</v>
      </c>
      <c r="B4401">
        <v>97</v>
      </c>
      <c r="C4401" t="s">
        <v>78</v>
      </c>
      <c r="D4401">
        <v>4</v>
      </c>
      <c r="E4401">
        <v>100</v>
      </c>
      <c r="F4401" t="s">
        <v>1</v>
      </c>
      <c r="G4401" s="6">
        <v>45931</v>
      </c>
      <c r="H4401">
        <v>50</v>
      </c>
      <c r="I4401">
        <f>ROUND(CompilDonnées[[#This Row],[CultureDuration_days]]/7,0)</f>
        <v>7</v>
      </c>
      <c r="J4401">
        <v>2025</v>
      </c>
      <c r="K4401" t="str">
        <f>_xlfn.CONCAT(WEEKNUM(CompilDonnées[[#This Row],[PlantationDate]]), " ", YEAR(CompilDonnées[[#This Row],[PlantationDate]]))</f>
        <v>33 2025</v>
      </c>
      <c r="L4401" t="str">
        <f>CONCATENATE(MONTH(CompilDonnées[[#This Row],[PlantationDate]])," ", YEAR(CompilDonnées[[#This Row],[PlantationDate]]))</f>
        <v>8 2025</v>
      </c>
      <c r="M4401" t="str">
        <f>CONCATENATE(MONTH(CompilDonnées[[#This Row],[HarvestingDate]])," ", YEAR(CompilDonnées[[#This Row],[HarvestingDate]]))</f>
        <v>10 2025</v>
      </c>
      <c r="N4401">
        <f>_xlfn.NUMBERVALUE(CompilDonnées[[#This Row],[FarmID]]&amp;CompilDonnées[[#This Row],[ModuleNumber]]&amp;CompilDonnées[[#This Row],[PlantationDate]])</f>
        <v>97445881</v>
      </c>
      <c r="O4401" t="str">
        <f>CompilDonnées[[#This Row],[FarmID]]&amp;CompilDonnées[[#This Row],[ModuleNumber]]</f>
        <v>974</v>
      </c>
      <c r="P4401" t="str">
        <f>CompilDonnées[[#This Row],[Ref_Module]]&amp;CompilDonnées[[#This Row],[HarvestingDate]]</f>
        <v>97445931</v>
      </c>
    </row>
    <row r="4402" spans="1:16">
      <c r="A4402" s="5">
        <v>45881</v>
      </c>
      <c r="B4402">
        <v>103</v>
      </c>
      <c r="C4402" t="s">
        <v>86</v>
      </c>
      <c r="D4402">
        <v>4</v>
      </c>
      <c r="E4402">
        <v>100</v>
      </c>
      <c r="F4402" t="s">
        <v>1</v>
      </c>
      <c r="G4402" s="6">
        <v>45937</v>
      </c>
      <c r="H4402">
        <v>56</v>
      </c>
      <c r="I4402">
        <f>ROUND(CompilDonnées[[#This Row],[CultureDuration_days]]/7,0)</f>
        <v>8</v>
      </c>
      <c r="J4402">
        <v>1402</v>
      </c>
      <c r="K4402" t="str">
        <f>_xlfn.CONCAT(WEEKNUM(CompilDonnées[[#This Row],[PlantationDate]]), " ", YEAR(CompilDonnées[[#This Row],[PlantationDate]]))</f>
        <v>33 2025</v>
      </c>
      <c r="L4402" t="str">
        <f>CONCATENATE(MONTH(CompilDonnées[[#This Row],[PlantationDate]])," ", YEAR(CompilDonnées[[#This Row],[PlantationDate]]))</f>
        <v>8 2025</v>
      </c>
      <c r="M4402" t="str">
        <f>CONCATENATE(MONTH(CompilDonnées[[#This Row],[HarvestingDate]])," ", YEAR(CompilDonnées[[#This Row],[HarvestingDate]]))</f>
        <v>10 2025</v>
      </c>
      <c r="N4402">
        <f>_xlfn.NUMBERVALUE(CompilDonnées[[#This Row],[FarmID]]&amp;CompilDonnées[[#This Row],[ModuleNumber]]&amp;CompilDonnées[[#This Row],[PlantationDate]])</f>
        <v>103445881</v>
      </c>
      <c r="O4402" t="str">
        <f>CompilDonnées[[#This Row],[FarmID]]&amp;CompilDonnées[[#This Row],[ModuleNumber]]</f>
        <v>1034</v>
      </c>
      <c r="P4402" t="str">
        <f>CompilDonnées[[#This Row],[Ref_Module]]&amp;CompilDonnées[[#This Row],[HarvestingDate]]</f>
        <v>103445937</v>
      </c>
    </row>
    <row r="4403" spans="1:16">
      <c r="A4403" s="5">
        <v>45881</v>
      </c>
      <c r="B4403">
        <v>92</v>
      </c>
      <c r="C4403" t="s">
        <v>66</v>
      </c>
      <c r="D4403">
        <v>5</v>
      </c>
      <c r="E4403">
        <v>100</v>
      </c>
      <c r="F4403" t="s">
        <v>1</v>
      </c>
      <c r="G4403" s="6">
        <v>45930</v>
      </c>
      <c r="H4403">
        <v>49</v>
      </c>
      <c r="I4403">
        <f>ROUND(CompilDonnées[[#This Row],[CultureDuration_days]]/7,0)</f>
        <v>7</v>
      </c>
      <c r="J4403">
        <v>3230</v>
      </c>
      <c r="K4403" t="str">
        <f>_xlfn.CONCAT(WEEKNUM(CompilDonnées[[#This Row],[PlantationDate]]), " ", YEAR(CompilDonnées[[#This Row],[PlantationDate]]))</f>
        <v>33 2025</v>
      </c>
      <c r="L4403" t="str">
        <f>CONCATENATE(MONTH(CompilDonnées[[#This Row],[PlantationDate]])," ", YEAR(CompilDonnées[[#This Row],[PlantationDate]]))</f>
        <v>8 2025</v>
      </c>
      <c r="M4403" t="str">
        <f>CONCATENATE(MONTH(CompilDonnées[[#This Row],[HarvestingDate]])," ", YEAR(CompilDonnées[[#This Row],[HarvestingDate]]))</f>
        <v>9 2025</v>
      </c>
      <c r="N4403">
        <f>_xlfn.NUMBERVALUE(CompilDonnées[[#This Row],[FarmID]]&amp;CompilDonnées[[#This Row],[ModuleNumber]]&amp;CompilDonnées[[#This Row],[PlantationDate]])</f>
        <v>92545881</v>
      </c>
      <c r="O4403" t="str">
        <f>CompilDonnées[[#This Row],[FarmID]]&amp;CompilDonnées[[#This Row],[ModuleNumber]]</f>
        <v>925</v>
      </c>
      <c r="P4403" t="str">
        <f>CompilDonnées[[#This Row],[Ref_Module]]&amp;CompilDonnées[[#This Row],[HarvestingDate]]</f>
        <v>92545930</v>
      </c>
    </row>
    <row r="4404" spans="1:16">
      <c r="A4404" s="5">
        <v>45881</v>
      </c>
      <c r="B4404">
        <v>92</v>
      </c>
      <c r="C4404" t="s">
        <v>66</v>
      </c>
      <c r="D4404">
        <v>2</v>
      </c>
      <c r="E4404">
        <v>100</v>
      </c>
      <c r="F4404" t="s">
        <v>1</v>
      </c>
      <c r="G4404" s="6">
        <v>45923</v>
      </c>
      <c r="H4404">
        <v>42</v>
      </c>
      <c r="I4404">
        <f>ROUND(CompilDonnées[[#This Row],[CultureDuration_days]]/7,0)</f>
        <v>6</v>
      </c>
      <c r="J4404">
        <v>2214</v>
      </c>
      <c r="K4404" t="str">
        <f>_xlfn.CONCAT(WEEKNUM(CompilDonnées[[#This Row],[PlantationDate]]), " ", YEAR(CompilDonnées[[#This Row],[PlantationDate]]))</f>
        <v>33 2025</v>
      </c>
      <c r="L4404" t="str">
        <f>CONCATENATE(MONTH(CompilDonnées[[#This Row],[PlantationDate]])," ", YEAR(CompilDonnées[[#This Row],[PlantationDate]]))</f>
        <v>8 2025</v>
      </c>
      <c r="M4404" t="str">
        <f>CONCATENATE(MONTH(CompilDonnées[[#This Row],[HarvestingDate]])," ", YEAR(CompilDonnées[[#This Row],[HarvestingDate]]))</f>
        <v>9 2025</v>
      </c>
      <c r="N4404">
        <f>_xlfn.NUMBERVALUE(CompilDonnées[[#This Row],[FarmID]]&amp;CompilDonnées[[#This Row],[ModuleNumber]]&amp;CompilDonnées[[#This Row],[PlantationDate]])</f>
        <v>92245881</v>
      </c>
      <c r="O4404" t="str">
        <f>CompilDonnées[[#This Row],[FarmID]]&amp;CompilDonnées[[#This Row],[ModuleNumber]]</f>
        <v>922</v>
      </c>
      <c r="P4404" t="str">
        <f>CompilDonnées[[#This Row],[Ref_Module]]&amp;CompilDonnées[[#This Row],[HarvestingDate]]</f>
        <v>92245923</v>
      </c>
    </row>
    <row r="4405" spans="1:16">
      <c r="A4405" s="5">
        <v>45881</v>
      </c>
      <c r="B4405">
        <v>98</v>
      </c>
      <c r="C4405" t="s">
        <v>79</v>
      </c>
      <c r="D4405">
        <v>3</v>
      </c>
      <c r="E4405">
        <v>100</v>
      </c>
      <c r="F4405" t="s">
        <v>1</v>
      </c>
      <c r="G4405" s="6">
        <v>45931</v>
      </c>
      <c r="H4405">
        <v>50</v>
      </c>
      <c r="I4405">
        <f>ROUND(CompilDonnées[[#This Row],[CultureDuration_days]]/7,0)</f>
        <v>7</v>
      </c>
      <c r="J4405">
        <v>2604</v>
      </c>
      <c r="K4405" t="str">
        <f>_xlfn.CONCAT(WEEKNUM(CompilDonnées[[#This Row],[PlantationDate]]), " ", YEAR(CompilDonnées[[#This Row],[PlantationDate]]))</f>
        <v>33 2025</v>
      </c>
      <c r="L4405" t="str">
        <f>CONCATENATE(MONTH(CompilDonnées[[#This Row],[PlantationDate]])," ", YEAR(CompilDonnées[[#This Row],[PlantationDate]]))</f>
        <v>8 2025</v>
      </c>
      <c r="M4405" t="str">
        <f>CONCATENATE(MONTH(CompilDonnées[[#This Row],[HarvestingDate]])," ", YEAR(CompilDonnées[[#This Row],[HarvestingDate]]))</f>
        <v>10 2025</v>
      </c>
      <c r="N4405">
        <f>_xlfn.NUMBERVALUE(CompilDonnées[[#This Row],[FarmID]]&amp;CompilDonnées[[#This Row],[ModuleNumber]]&amp;CompilDonnées[[#This Row],[PlantationDate]])</f>
        <v>98345881</v>
      </c>
      <c r="O4405" t="str">
        <f>CompilDonnées[[#This Row],[FarmID]]&amp;CompilDonnées[[#This Row],[ModuleNumber]]</f>
        <v>983</v>
      </c>
      <c r="P4405" t="str">
        <f>CompilDonnées[[#This Row],[Ref_Module]]&amp;CompilDonnées[[#This Row],[HarvestingDate]]</f>
        <v>98345931</v>
      </c>
    </row>
    <row r="4406" spans="1:16">
      <c r="A4406" s="5">
        <v>45881</v>
      </c>
      <c r="B4406">
        <v>121</v>
      </c>
      <c r="C4406" t="s">
        <v>3</v>
      </c>
      <c r="D4406">
        <v>2</v>
      </c>
      <c r="E4406">
        <v>60</v>
      </c>
      <c r="F4406" t="s">
        <v>105</v>
      </c>
      <c r="G4406" s="6">
        <v>45904</v>
      </c>
      <c r="H4406">
        <v>23</v>
      </c>
      <c r="I4406">
        <f>ROUND(CompilDonnées[[#This Row],[CultureDuration_days]]/7,0)</f>
        <v>3</v>
      </c>
      <c r="J4406">
        <v>82</v>
      </c>
      <c r="K4406" t="str">
        <f>_xlfn.CONCAT(WEEKNUM(CompilDonnées[[#This Row],[PlantationDate]]), " ", YEAR(CompilDonnées[[#This Row],[PlantationDate]]))</f>
        <v>33 2025</v>
      </c>
      <c r="L4406" t="str">
        <f>CONCATENATE(MONTH(CompilDonnées[[#This Row],[PlantationDate]])," ", YEAR(CompilDonnées[[#This Row],[PlantationDate]]))</f>
        <v>8 2025</v>
      </c>
      <c r="M4406" t="str">
        <f>CONCATENATE(MONTH(CompilDonnées[[#This Row],[HarvestingDate]])," ", YEAR(CompilDonnées[[#This Row],[HarvestingDate]]))</f>
        <v>9 2025</v>
      </c>
      <c r="N4406">
        <f>_xlfn.NUMBERVALUE(CompilDonnées[[#This Row],[FarmID]]&amp;CompilDonnées[[#This Row],[ModuleNumber]]&amp;CompilDonnées[[#This Row],[PlantationDate]])</f>
        <v>121245881</v>
      </c>
      <c r="O4406" t="str">
        <f>CompilDonnées[[#This Row],[FarmID]]&amp;CompilDonnées[[#This Row],[ModuleNumber]]</f>
        <v>1212</v>
      </c>
      <c r="P4406" t="str">
        <f>CompilDonnées[[#This Row],[Ref_Module]]&amp;CompilDonnées[[#This Row],[HarvestingDate]]</f>
        <v>121245904</v>
      </c>
    </row>
    <row r="4407" spans="1:16">
      <c r="A4407" s="5">
        <v>45881</v>
      </c>
      <c r="B4407">
        <v>121</v>
      </c>
      <c r="C4407" t="s">
        <v>3</v>
      </c>
      <c r="D4407">
        <v>3</v>
      </c>
      <c r="E4407">
        <v>60</v>
      </c>
      <c r="F4407" t="s">
        <v>105</v>
      </c>
      <c r="G4407" s="6">
        <v>45904</v>
      </c>
      <c r="H4407">
        <v>23</v>
      </c>
      <c r="I4407">
        <f>ROUND(CompilDonnées[[#This Row],[CultureDuration_days]]/7,0)</f>
        <v>3</v>
      </c>
      <c r="J4407">
        <v>81</v>
      </c>
      <c r="K4407" t="str">
        <f>_xlfn.CONCAT(WEEKNUM(CompilDonnées[[#This Row],[PlantationDate]]), " ", YEAR(CompilDonnées[[#This Row],[PlantationDate]]))</f>
        <v>33 2025</v>
      </c>
      <c r="L4407" t="str">
        <f>CONCATENATE(MONTH(CompilDonnées[[#This Row],[PlantationDate]])," ", YEAR(CompilDonnées[[#This Row],[PlantationDate]]))</f>
        <v>8 2025</v>
      </c>
      <c r="M4407" t="str">
        <f>CONCATENATE(MONTH(CompilDonnées[[#This Row],[HarvestingDate]])," ", YEAR(CompilDonnées[[#This Row],[HarvestingDate]]))</f>
        <v>9 2025</v>
      </c>
      <c r="N4407">
        <f>_xlfn.NUMBERVALUE(CompilDonnées[[#This Row],[FarmID]]&amp;CompilDonnées[[#This Row],[ModuleNumber]]&amp;CompilDonnées[[#This Row],[PlantationDate]])</f>
        <v>121345881</v>
      </c>
      <c r="O4407" t="str">
        <f>CompilDonnées[[#This Row],[FarmID]]&amp;CompilDonnées[[#This Row],[ModuleNumber]]</f>
        <v>1213</v>
      </c>
      <c r="P4407" t="str">
        <f>CompilDonnées[[#This Row],[Ref_Module]]&amp;CompilDonnées[[#This Row],[HarvestingDate]]</f>
        <v>121345904</v>
      </c>
    </row>
    <row r="4408" spans="1:16">
      <c r="A4408" s="5">
        <v>45881</v>
      </c>
      <c r="B4408">
        <v>75</v>
      </c>
      <c r="C4408" t="s">
        <v>3</v>
      </c>
      <c r="D4408">
        <v>5</v>
      </c>
      <c r="E4408">
        <v>60</v>
      </c>
      <c r="F4408" t="s">
        <v>105</v>
      </c>
      <c r="G4408" s="6">
        <v>45925</v>
      </c>
      <c r="H4408">
        <v>44</v>
      </c>
      <c r="I4408">
        <f>ROUND(CompilDonnées[[#This Row],[CultureDuration_days]]/7,0)</f>
        <v>6</v>
      </c>
      <c r="J4408">
        <v>1247</v>
      </c>
      <c r="K4408" t="str">
        <f>_xlfn.CONCAT(WEEKNUM(CompilDonnées[[#This Row],[PlantationDate]]), " ", YEAR(CompilDonnées[[#This Row],[PlantationDate]]))</f>
        <v>33 2025</v>
      </c>
      <c r="L4408" t="str">
        <f>CONCATENATE(MONTH(CompilDonnées[[#This Row],[PlantationDate]])," ", YEAR(CompilDonnées[[#This Row],[PlantationDate]]))</f>
        <v>8 2025</v>
      </c>
      <c r="M4408" t="str">
        <f>CONCATENATE(MONTH(CompilDonnées[[#This Row],[HarvestingDate]])," ", YEAR(CompilDonnées[[#This Row],[HarvestingDate]]))</f>
        <v>9 2025</v>
      </c>
      <c r="N4408">
        <f>_xlfn.NUMBERVALUE(CompilDonnées[[#This Row],[FarmID]]&amp;CompilDonnées[[#This Row],[ModuleNumber]]&amp;CompilDonnées[[#This Row],[PlantationDate]])</f>
        <v>75545881</v>
      </c>
      <c r="O4408" t="str">
        <f>CompilDonnées[[#This Row],[FarmID]]&amp;CompilDonnées[[#This Row],[ModuleNumber]]</f>
        <v>755</v>
      </c>
      <c r="P4408" t="str">
        <f>CompilDonnées[[#This Row],[Ref_Module]]&amp;CompilDonnées[[#This Row],[HarvestingDate]]</f>
        <v>75545925</v>
      </c>
    </row>
    <row r="4409" spans="1:16">
      <c r="A4409" s="5">
        <v>45881</v>
      </c>
      <c r="B4409">
        <v>75</v>
      </c>
      <c r="C4409" t="s">
        <v>3</v>
      </c>
      <c r="D4409">
        <v>6</v>
      </c>
      <c r="E4409">
        <v>60</v>
      </c>
      <c r="F4409" t="s">
        <v>105</v>
      </c>
      <c r="G4409" s="6">
        <v>45925</v>
      </c>
      <c r="H4409">
        <v>44</v>
      </c>
      <c r="I4409">
        <f>ROUND(CompilDonnées[[#This Row],[CultureDuration_days]]/7,0)</f>
        <v>6</v>
      </c>
      <c r="J4409">
        <v>1267</v>
      </c>
      <c r="K4409" t="str">
        <f>_xlfn.CONCAT(WEEKNUM(CompilDonnées[[#This Row],[PlantationDate]]), " ", YEAR(CompilDonnées[[#This Row],[PlantationDate]]))</f>
        <v>33 2025</v>
      </c>
      <c r="L4409" t="str">
        <f>CONCATENATE(MONTH(CompilDonnées[[#This Row],[PlantationDate]])," ", YEAR(CompilDonnées[[#This Row],[PlantationDate]]))</f>
        <v>8 2025</v>
      </c>
      <c r="M4409" t="str">
        <f>CONCATENATE(MONTH(CompilDonnées[[#This Row],[HarvestingDate]])," ", YEAR(CompilDonnées[[#This Row],[HarvestingDate]]))</f>
        <v>9 2025</v>
      </c>
      <c r="N4409">
        <f>_xlfn.NUMBERVALUE(CompilDonnées[[#This Row],[FarmID]]&amp;CompilDonnées[[#This Row],[ModuleNumber]]&amp;CompilDonnées[[#This Row],[PlantationDate]])</f>
        <v>75645881</v>
      </c>
      <c r="O4409" t="str">
        <f>CompilDonnées[[#This Row],[FarmID]]&amp;CompilDonnées[[#This Row],[ModuleNumber]]</f>
        <v>756</v>
      </c>
      <c r="P4409" t="str">
        <f>CompilDonnées[[#This Row],[Ref_Module]]&amp;CompilDonnées[[#This Row],[HarvestingDate]]</f>
        <v>75645925</v>
      </c>
    </row>
    <row r="4410" spans="1:16">
      <c r="A4410" s="5">
        <v>45882</v>
      </c>
      <c r="B4410">
        <v>100</v>
      </c>
      <c r="C4410" t="s">
        <v>84</v>
      </c>
      <c r="D4410">
        <v>2</v>
      </c>
      <c r="E4410">
        <v>100</v>
      </c>
      <c r="F4410" t="s">
        <v>1</v>
      </c>
      <c r="G4410" s="6">
        <v>45937</v>
      </c>
      <c r="H4410">
        <v>55</v>
      </c>
      <c r="I4410">
        <f>ROUND(CompilDonnées[[#This Row],[CultureDuration_days]]/7,0)</f>
        <v>8</v>
      </c>
      <c r="J4410">
        <v>2213</v>
      </c>
      <c r="K4410" t="str">
        <f>_xlfn.CONCAT(WEEKNUM(CompilDonnées[[#This Row],[PlantationDate]]), " ", YEAR(CompilDonnées[[#This Row],[PlantationDate]]))</f>
        <v>33 2025</v>
      </c>
      <c r="L4410" t="str">
        <f>CONCATENATE(MONTH(CompilDonnées[[#This Row],[PlantationDate]])," ", YEAR(CompilDonnées[[#This Row],[PlantationDate]]))</f>
        <v>8 2025</v>
      </c>
      <c r="M4410" t="str">
        <f>CONCATENATE(MONTH(CompilDonnées[[#This Row],[HarvestingDate]])," ", YEAR(CompilDonnées[[#This Row],[HarvestingDate]]))</f>
        <v>10 2025</v>
      </c>
      <c r="N4410">
        <f>_xlfn.NUMBERVALUE(CompilDonnées[[#This Row],[FarmID]]&amp;CompilDonnées[[#This Row],[ModuleNumber]]&amp;CompilDonnées[[#This Row],[PlantationDate]])</f>
        <v>100245882</v>
      </c>
      <c r="O4410" t="str">
        <f>CompilDonnées[[#This Row],[FarmID]]&amp;CompilDonnées[[#This Row],[ModuleNumber]]</f>
        <v>1002</v>
      </c>
      <c r="P4410" t="str">
        <f>CompilDonnées[[#This Row],[Ref_Module]]&amp;CompilDonnées[[#This Row],[HarvestingDate]]</f>
        <v>100245937</v>
      </c>
    </row>
    <row r="4411" spans="1:16">
      <c r="A4411" s="5">
        <v>45882</v>
      </c>
      <c r="B4411">
        <v>88</v>
      </c>
      <c r="C4411" t="s">
        <v>94</v>
      </c>
      <c r="D4411">
        <v>2</v>
      </c>
      <c r="E4411">
        <v>100</v>
      </c>
      <c r="F4411" t="s">
        <v>1</v>
      </c>
      <c r="G4411" s="6">
        <v>45923</v>
      </c>
      <c r="H4411">
        <v>41</v>
      </c>
      <c r="I4411">
        <f>ROUND(CompilDonnées[[#This Row],[CultureDuration_days]]/7,0)</f>
        <v>6</v>
      </c>
      <c r="J4411">
        <v>3445</v>
      </c>
      <c r="K4411" t="str">
        <f>_xlfn.CONCAT(WEEKNUM(CompilDonnées[[#This Row],[PlantationDate]]), " ", YEAR(CompilDonnées[[#This Row],[PlantationDate]]))</f>
        <v>33 2025</v>
      </c>
      <c r="L4411" t="str">
        <f>CONCATENATE(MONTH(CompilDonnées[[#This Row],[PlantationDate]])," ", YEAR(CompilDonnées[[#This Row],[PlantationDate]]))</f>
        <v>8 2025</v>
      </c>
      <c r="M4411" t="str">
        <f>CONCATENATE(MONTH(CompilDonnées[[#This Row],[HarvestingDate]])," ", YEAR(CompilDonnées[[#This Row],[HarvestingDate]]))</f>
        <v>9 2025</v>
      </c>
      <c r="N4411">
        <f>_xlfn.NUMBERVALUE(CompilDonnées[[#This Row],[FarmID]]&amp;CompilDonnées[[#This Row],[ModuleNumber]]&amp;CompilDonnées[[#This Row],[PlantationDate]])</f>
        <v>88245882</v>
      </c>
      <c r="O4411" t="str">
        <f>CompilDonnées[[#This Row],[FarmID]]&amp;CompilDonnées[[#This Row],[ModuleNumber]]</f>
        <v>882</v>
      </c>
      <c r="P4411" t="str">
        <f>CompilDonnées[[#This Row],[Ref_Module]]&amp;CompilDonnées[[#This Row],[HarvestingDate]]</f>
        <v>88245923</v>
      </c>
    </row>
    <row r="4412" spans="1:16">
      <c r="A4412" s="5">
        <v>45882</v>
      </c>
      <c r="B4412">
        <v>89</v>
      </c>
      <c r="C4412" t="s">
        <v>67</v>
      </c>
      <c r="D4412">
        <v>5</v>
      </c>
      <c r="E4412">
        <v>100</v>
      </c>
      <c r="F4412" t="s">
        <v>1</v>
      </c>
      <c r="G4412" s="6">
        <v>45923</v>
      </c>
      <c r="H4412">
        <v>41</v>
      </c>
      <c r="I4412">
        <f>ROUND(CompilDonnées[[#This Row],[CultureDuration_days]]/7,0)</f>
        <v>6</v>
      </c>
      <c r="J4412">
        <v>1941</v>
      </c>
      <c r="K4412" t="str">
        <f>_xlfn.CONCAT(WEEKNUM(CompilDonnées[[#This Row],[PlantationDate]]), " ", YEAR(CompilDonnées[[#This Row],[PlantationDate]]))</f>
        <v>33 2025</v>
      </c>
      <c r="L4412" t="str">
        <f>CONCATENATE(MONTH(CompilDonnées[[#This Row],[PlantationDate]])," ", YEAR(CompilDonnées[[#This Row],[PlantationDate]]))</f>
        <v>8 2025</v>
      </c>
      <c r="M4412" t="str">
        <f>CONCATENATE(MONTH(CompilDonnées[[#This Row],[HarvestingDate]])," ", YEAR(CompilDonnées[[#This Row],[HarvestingDate]]))</f>
        <v>9 2025</v>
      </c>
      <c r="N4412">
        <f>_xlfn.NUMBERVALUE(CompilDonnées[[#This Row],[FarmID]]&amp;CompilDonnées[[#This Row],[ModuleNumber]]&amp;CompilDonnées[[#This Row],[PlantationDate]])</f>
        <v>89545882</v>
      </c>
      <c r="O4412" t="str">
        <f>CompilDonnées[[#This Row],[FarmID]]&amp;CompilDonnées[[#This Row],[ModuleNumber]]</f>
        <v>895</v>
      </c>
      <c r="P4412" t="str">
        <f>CompilDonnées[[#This Row],[Ref_Module]]&amp;CompilDonnées[[#This Row],[HarvestingDate]]</f>
        <v>89545923</v>
      </c>
    </row>
    <row r="4413" spans="1:16">
      <c r="A4413" s="5">
        <v>45882</v>
      </c>
      <c r="B4413">
        <v>90</v>
      </c>
      <c r="C4413" t="s">
        <v>72</v>
      </c>
      <c r="D4413">
        <v>6</v>
      </c>
      <c r="E4413">
        <v>100</v>
      </c>
      <c r="F4413" t="s">
        <v>1</v>
      </c>
      <c r="G4413" s="6">
        <v>45930</v>
      </c>
      <c r="H4413">
        <v>48</v>
      </c>
      <c r="I4413">
        <f>ROUND(CompilDonnées[[#This Row],[CultureDuration_days]]/7,0)</f>
        <v>7</v>
      </c>
      <c r="J4413">
        <v>1948</v>
      </c>
      <c r="K4413" t="str">
        <f>_xlfn.CONCAT(WEEKNUM(CompilDonnées[[#This Row],[PlantationDate]]), " ", YEAR(CompilDonnées[[#This Row],[PlantationDate]]))</f>
        <v>33 2025</v>
      </c>
      <c r="L4413" t="str">
        <f>CONCATENATE(MONTH(CompilDonnées[[#This Row],[PlantationDate]])," ", YEAR(CompilDonnées[[#This Row],[PlantationDate]]))</f>
        <v>8 2025</v>
      </c>
      <c r="M4413" t="str">
        <f>CONCATENATE(MONTH(CompilDonnées[[#This Row],[HarvestingDate]])," ", YEAR(CompilDonnées[[#This Row],[HarvestingDate]]))</f>
        <v>9 2025</v>
      </c>
      <c r="N4413">
        <f>_xlfn.NUMBERVALUE(CompilDonnées[[#This Row],[FarmID]]&amp;CompilDonnées[[#This Row],[ModuleNumber]]&amp;CompilDonnées[[#This Row],[PlantationDate]])</f>
        <v>90645882</v>
      </c>
      <c r="O4413" t="str">
        <f>CompilDonnées[[#This Row],[FarmID]]&amp;CompilDonnées[[#This Row],[ModuleNumber]]</f>
        <v>906</v>
      </c>
      <c r="P4413" t="str">
        <f>CompilDonnées[[#This Row],[Ref_Module]]&amp;CompilDonnées[[#This Row],[HarvestingDate]]</f>
        <v>90645930</v>
      </c>
    </row>
    <row r="4414" spans="1:16">
      <c r="A4414" s="5">
        <v>45882</v>
      </c>
      <c r="B4414">
        <v>120</v>
      </c>
      <c r="C4414" t="s">
        <v>100</v>
      </c>
      <c r="D4414">
        <v>5</v>
      </c>
      <c r="E4414">
        <v>100</v>
      </c>
      <c r="F4414" t="s">
        <v>1</v>
      </c>
      <c r="G4414" s="6">
        <v>45922</v>
      </c>
      <c r="H4414">
        <v>40</v>
      </c>
      <c r="I4414">
        <f>ROUND(CompilDonnées[[#This Row],[CultureDuration_days]]/7,0)</f>
        <v>6</v>
      </c>
      <c r="J4414">
        <v>3871</v>
      </c>
      <c r="K4414" t="str">
        <f>_xlfn.CONCAT(WEEKNUM(CompilDonnées[[#This Row],[PlantationDate]]), " ", YEAR(CompilDonnées[[#This Row],[PlantationDate]]))</f>
        <v>33 2025</v>
      </c>
      <c r="L4414" t="str">
        <f>CONCATENATE(MONTH(CompilDonnées[[#This Row],[PlantationDate]])," ", YEAR(CompilDonnées[[#This Row],[PlantationDate]]))</f>
        <v>8 2025</v>
      </c>
      <c r="M4414" t="str">
        <f>CONCATENATE(MONTH(CompilDonnées[[#This Row],[HarvestingDate]])," ", YEAR(CompilDonnées[[#This Row],[HarvestingDate]]))</f>
        <v>9 2025</v>
      </c>
      <c r="N4414">
        <f>_xlfn.NUMBERVALUE(CompilDonnées[[#This Row],[FarmID]]&amp;CompilDonnées[[#This Row],[ModuleNumber]]&amp;CompilDonnées[[#This Row],[PlantationDate]])</f>
        <v>120545882</v>
      </c>
      <c r="O4414" t="str">
        <f>CompilDonnées[[#This Row],[FarmID]]&amp;CompilDonnées[[#This Row],[ModuleNumber]]</f>
        <v>1205</v>
      </c>
      <c r="P4414" t="str">
        <f>CompilDonnées[[#This Row],[Ref_Module]]&amp;CompilDonnées[[#This Row],[HarvestingDate]]</f>
        <v>120545922</v>
      </c>
    </row>
    <row r="4415" spans="1:16">
      <c r="A4415" s="5">
        <v>45882</v>
      </c>
      <c r="B4415">
        <v>115</v>
      </c>
      <c r="C4415" t="s">
        <v>121</v>
      </c>
      <c r="D4415">
        <v>5</v>
      </c>
      <c r="E4415">
        <v>100</v>
      </c>
      <c r="F4415" t="s">
        <v>1</v>
      </c>
      <c r="G4415" s="6">
        <v>45922</v>
      </c>
      <c r="H4415">
        <v>40</v>
      </c>
      <c r="I4415">
        <f>ROUND(CompilDonnées[[#This Row],[CultureDuration_days]]/7,0)</f>
        <v>6</v>
      </c>
      <c r="J4415">
        <v>1684</v>
      </c>
      <c r="K4415" t="str">
        <f>_xlfn.CONCAT(WEEKNUM(CompilDonnées[[#This Row],[PlantationDate]]), " ", YEAR(CompilDonnées[[#This Row],[PlantationDate]]))</f>
        <v>33 2025</v>
      </c>
      <c r="L4415" t="str">
        <f>CONCATENATE(MONTH(CompilDonnées[[#This Row],[PlantationDate]])," ", YEAR(CompilDonnées[[#This Row],[PlantationDate]]))</f>
        <v>8 2025</v>
      </c>
      <c r="M4415" t="str">
        <f>CONCATENATE(MONTH(CompilDonnées[[#This Row],[HarvestingDate]])," ", YEAR(CompilDonnées[[#This Row],[HarvestingDate]]))</f>
        <v>9 2025</v>
      </c>
      <c r="N4415">
        <f>_xlfn.NUMBERVALUE(CompilDonnées[[#This Row],[FarmID]]&amp;CompilDonnées[[#This Row],[ModuleNumber]]&amp;CompilDonnées[[#This Row],[PlantationDate]])</f>
        <v>115545882</v>
      </c>
      <c r="O4415" t="str">
        <f>CompilDonnées[[#This Row],[FarmID]]&amp;CompilDonnées[[#This Row],[ModuleNumber]]</f>
        <v>1155</v>
      </c>
      <c r="P4415" t="str">
        <f>CompilDonnées[[#This Row],[Ref_Module]]&amp;CompilDonnées[[#This Row],[HarvestingDate]]</f>
        <v>115545922</v>
      </c>
    </row>
    <row r="4416" spans="1:16">
      <c r="A4416" s="5">
        <v>45882</v>
      </c>
      <c r="B4416">
        <v>123</v>
      </c>
      <c r="C4416" t="s">
        <v>13</v>
      </c>
      <c r="D4416">
        <v>3</v>
      </c>
      <c r="E4416">
        <v>100</v>
      </c>
      <c r="F4416" t="s">
        <v>1</v>
      </c>
      <c r="G4416" s="6">
        <v>45931</v>
      </c>
      <c r="H4416">
        <v>49</v>
      </c>
      <c r="I4416">
        <f>ROUND(CompilDonnées[[#This Row],[CultureDuration_days]]/7,0)</f>
        <v>7</v>
      </c>
      <c r="J4416">
        <v>4045</v>
      </c>
      <c r="K4416" t="str">
        <f>_xlfn.CONCAT(WEEKNUM(CompilDonnées[[#This Row],[PlantationDate]]), " ", YEAR(CompilDonnées[[#This Row],[PlantationDate]]))</f>
        <v>33 2025</v>
      </c>
      <c r="L4416" t="str">
        <f>CONCATENATE(MONTH(CompilDonnées[[#This Row],[PlantationDate]])," ", YEAR(CompilDonnées[[#This Row],[PlantationDate]]))</f>
        <v>8 2025</v>
      </c>
      <c r="M4416" t="str">
        <f>CONCATENATE(MONTH(CompilDonnées[[#This Row],[HarvestingDate]])," ", YEAR(CompilDonnées[[#This Row],[HarvestingDate]]))</f>
        <v>10 2025</v>
      </c>
      <c r="N4416">
        <f>_xlfn.NUMBERVALUE(CompilDonnées[[#This Row],[FarmID]]&amp;CompilDonnées[[#This Row],[ModuleNumber]]&amp;CompilDonnées[[#This Row],[PlantationDate]])</f>
        <v>123345882</v>
      </c>
      <c r="O4416" t="str">
        <f>CompilDonnées[[#This Row],[FarmID]]&amp;CompilDonnées[[#This Row],[ModuleNumber]]</f>
        <v>1233</v>
      </c>
      <c r="P4416" t="str">
        <f>CompilDonnées[[#This Row],[Ref_Module]]&amp;CompilDonnées[[#This Row],[HarvestingDate]]</f>
        <v>123345931</v>
      </c>
    </row>
    <row r="4417" spans="1:16">
      <c r="A4417" s="5">
        <v>45882</v>
      </c>
      <c r="B4417">
        <v>54</v>
      </c>
      <c r="C4417" t="s">
        <v>39</v>
      </c>
      <c r="D4417">
        <v>1</v>
      </c>
      <c r="E4417">
        <v>100</v>
      </c>
      <c r="F4417" t="s">
        <v>1</v>
      </c>
      <c r="G4417" s="6">
        <v>45923</v>
      </c>
      <c r="H4417">
        <v>41</v>
      </c>
      <c r="I4417">
        <f>ROUND(CompilDonnées[[#This Row],[CultureDuration_days]]/7,0)</f>
        <v>6</v>
      </c>
      <c r="J4417">
        <v>2042</v>
      </c>
      <c r="K4417" t="str">
        <f>_xlfn.CONCAT(WEEKNUM(CompilDonnées[[#This Row],[PlantationDate]]), " ", YEAR(CompilDonnées[[#This Row],[PlantationDate]]))</f>
        <v>33 2025</v>
      </c>
      <c r="L4417" t="str">
        <f>CONCATENATE(MONTH(CompilDonnées[[#This Row],[PlantationDate]])," ", YEAR(CompilDonnées[[#This Row],[PlantationDate]]))</f>
        <v>8 2025</v>
      </c>
      <c r="M4417" t="str">
        <f>CONCATENATE(MONTH(CompilDonnées[[#This Row],[HarvestingDate]])," ", YEAR(CompilDonnées[[#This Row],[HarvestingDate]]))</f>
        <v>9 2025</v>
      </c>
      <c r="N4417">
        <f>_xlfn.NUMBERVALUE(CompilDonnées[[#This Row],[FarmID]]&amp;CompilDonnées[[#This Row],[ModuleNumber]]&amp;CompilDonnées[[#This Row],[PlantationDate]])</f>
        <v>54145882</v>
      </c>
      <c r="O4417" t="str">
        <f>CompilDonnées[[#This Row],[FarmID]]&amp;CompilDonnées[[#This Row],[ModuleNumber]]</f>
        <v>541</v>
      </c>
      <c r="P4417" t="str">
        <f>CompilDonnées[[#This Row],[Ref_Module]]&amp;CompilDonnées[[#This Row],[HarvestingDate]]</f>
        <v>54145923</v>
      </c>
    </row>
    <row r="4418" spans="1:16">
      <c r="A4418" s="5">
        <v>45882</v>
      </c>
      <c r="B4418">
        <v>60</v>
      </c>
      <c r="C4418" t="s">
        <v>113</v>
      </c>
      <c r="D4418">
        <v>1</v>
      </c>
      <c r="E4418">
        <v>100</v>
      </c>
      <c r="F4418" t="s">
        <v>1</v>
      </c>
      <c r="G4418" s="6">
        <v>45931</v>
      </c>
      <c r="H4418">
        <v>49</v>
      </c>
      <c r="I4418">
        <f>ROUND(CompilDonnées[[#This Row],[CultureDuration_days]]/7,0)</f>
        <v>7</v>
      </c>
      <c r="J4418">
        <v>1884</v>
      </c>
      <c r="K4418" t="str">
        <f>_xlfn.CONCAT(WEEKNUM(CompilDonnées[[#This Row],[PlantationDate]]), " ", YEAR(CompilDonnées[[#This Row],[PlantationDate]]))</f>
        <v>33 2025</v>
      </c>
      <c r="L4418" t="str">
        <f>CONCATENATE(MONTH(CompilDonnées[[#This Row],[PlantationDate]])," ", YEAR(CompilDonnées[[#This Row],[PlantationDate]]))</f>
        <v>8 2025</v>
      </c>
      <c r="M4418" t="str">
        <f>CONCATENATE(MONTH(CompilDonnées[[#This Row],[HarvestingDate]])," ", YEAR(CompilDonnées[[#This Row],[HarvestingDate]]))</f>
        <v>10 2025</v>
      </c>
      <c r="N4418">
        <f>_xlfn.NUMBERVALUE(CompilDonnées[[#This Row],[FarmID]]&amp;CompilDonnées[[#This Row],[ModuleNumber]]&amp;CompilDonnées[[#This Row],[PlantationDate]])</f>
        <v>60145882</v>
      </c>
      <c r="O4418" t="str">
        <f>CompilDonnées[[#This Row],[FarmID]]&amp;CompilDonnées[[#This Row],[ModuleNumber]]</f>
        <v>601</v>
      </c>
      <c r="P4418" t="str">
        <f>CompilDonnées[[#This Row],[Ref_Module]]&amp;CompilDonnées[[#This Row],[HarvestingDate]]</f>
        <v>60145931</v>
      </c>
    </row>
    <row r="4419" spans="1:16">
      <c r="A4419" s="5">
        <v>45882</v>
      </c>
      <c r="B4419">
        <v>70</v>
      </c>
      <c r="C4419" t="s">
        <v>7</v>
      </c>
      <c r="D4419">
        <v>1</v>
      </c>
      <c r="E4419">
        <v>100</v>
      </c>
      <c r="F4419" t="s">
        <v>1</v>
      </c>
      <c r="G4419" s="6">
        <v>45930</v>
      </c>
      <c r="H4419">
        <v>48</v>
      </c>
      <c r="I4419">
        <f>ROUND(CompilDonnées[[#This Row],[CultureDuration_days]]/7,0)</f>
        <v>7</v>
      </c>
      <c r="J4419">
        <v>2504</v>
      </c>
      <c r="K4419" t="str">
        <f>_xlfn.CONCAT(WEEKNUM(CompilDonnées[[#This Row],[PlantationDate]]), " ", YEAR(CompilDonnées[[#This Row],[PlantationDate]]))</f>
        <v>33 2025</v>
      </c>
      <c r="L4419" t="str">
        <f>CONCATENATE(MONTH(CompilDonnées[[#This Row],[PlantationDate]])," ", YEAR(CompilDonnées[[#This Row],[PlantationDate]]))</f>
        <v>8 2025</v>
      </c>
      <c r="M4419" t="str">
        <f>CONCATENATE(MONTH(CompilDonnées[[#This Row],[HarvestingDate]])," ", YEAR(CompilDonnées[[#This Row],[HarvestingDate]]))</f>
        <v>9 2025</v>
      </c>
      <c r="N4419">
        <f>_xlfn.NUMBERVALUE(CompilDonnées[[#This Row],[FarmID]]&amp;CompilDonnées[[#This Row],[ModuleNumber]]&amp;CompilDonnées[[#This Row],[PlantationDate]])</f>
        <v>70145882</v>
      </c>
      <c r="O4419" t="str">
        <f>CompilDonnées[[#This Row],[FarmID]]&amp;CompilDonnées[[#This Row],[ModuleNumber]]</f>
        <v>701</v>
      </c>
      <c r="P4419" t="str">
        <f>CompilDonnées[[#This Row],[Ref_Module]]&amp;CompilDonnées[[#This Row],[HarvestingDate]]</f>
        <v>70145930</v>
      </c>
    </row>
    <row r="4420" spans="1:16">
      <c r="A4420" s="5">
        <v>45882</v>
      </c>
      <c r="B4420">
        <v>61</v>
      </c>
      <c r="C4420" t="s">
        <v>95</v>
      </c>
      <c r="D4420">
        <v>2</v>
      </c>
      <c r="E4420">
        <v>100</v>
      </c>
      <c r="F4420" t="s">
        <v>1</v>
      </c>
      <c r="G4420" s="6">
        <v>45929</v>
      </c>
      <c r="H4420">
        <v>47</v>
      </c>
      <c r="I4420">
        <f>ROUND(CompilDonnées[[#This Row],[CultureDuration_days]]/7,0)</f>
        <v>7</v>
      </c>
      <c r="J4420">
        <v>1800</v>
      </c>
      <c r="K4420" t="str">
        <f>_xlfn.CONCAT(WEEKNUM(CompilDonnées[[#This Row],[PlantationDate]]), " ", YEAR(CompilDonnées[[#This Row],[PlantationDate]]))</f>
        <v>33 2025</v>
      </c>
      <c r="L4420" t="str">
        <f>CONCATENATE(MONTH(CompilDonnées[[#This Row],[PlantationDate]])," ", YEAR(CompilDonnées[[#This Row],[PlantationDate]]))</f>
        <v>8 2025</v>
      </c>
      <c r="M4420" t="str">
        <f>CONCATENATE(MONTH(CompilDonnées[[#This Row],[HarvestingDate]])," ", YEAR(CompilDonnées[[#This Row],[HarvestingDate]]))</f>
        <v>9 2025</v>
      </c>
      <c r="N4420">
        <f>_xlfn.NUMBERVALUE(CompilDonnées[[#This Row],[FarmID]]&amp;CompilDonnées[[#This Row],[ModuleNumber]]&amp;CompilDonnées[[#This Row],[PlantationDate]])</f>
        <v>61245882</v>
      </c>
      <c r="O4420" t="str">
        <f>CompilDonnées[[#This Row],[FarmID]]&amp;CompilDonnées[[#This Row],[ModuleNumber]]</f>
        <v>612</v>
      </c>
      <c r="P4420" t="str">
        <f>CompilDonnées[[#This Row],[Ref_Module]]&amp;CompilDonnées[[#This Row],[HarvestingDate]]</f>
        <v>61245929</v>
      </c>
    </row>
    <row r="4421" spans="1:16">
      <c r="A4421" s="5">
        <v>45882</v>
      </c>
      <c r="B4421">
        <v>62</v>
      </c>
      <c r="C4421" t="s">
        <v>124</v>
      </c>
      <c r="D4421">
        <v>2</v>
      </c>
      <c r="E4421">
        <v>100</v>
      </c>
      <c r="F4421" t="s">
        <v>1</v>
      </c>
      <c r="G4421" s="6">
        <v>45916</v>
      </c>
      <c r="H4421">
        <v>34</v>
      </c>
      <c r="I4421">
        <f>ROUND(CompilDonnées[[#This Row],[CultureDuration_days]]/7,0)</f>
        <v>5</v>
      </c>
      <c r="J4421">
        <v>1804</v>
      </c>
      <c r="K4421" t="str">
        <f>_xlfn.CONCAT(WEEKNUM(CompilDonnées[[#This Row],[PlantationDate]]), " ", YEAR(CompilDonnées[[#This Row],[PlantationDate]]))</f>
        <v>33 2025</v>
      </c>
      <c r="L4421" t="str">
        <f>CONCATENATE(MONTH(CompilDonnées[[#This Row],[PlantationDate]])," ", YEAR(CompilDonnées[[#This Row],[PlantationDate]]))</f>
        <v>8 2025</v>
      </c>
      <c r="M4421" t="str">
        <f>CONCATENATE(MONTH(CompilDonnées[[#This Row],[HarvestingDate]])," ", YEAR(CompilDonnées[[#This Row],[HarvestingDate]]))</f>
        <v>9 2025</v>
      </c>
      <c r="N4421">
        <f>_xlfn.NUMBERVALUE(CompilDonnées[[#This Row],[FarmID]]&amp;CompilDonnées[[#This Row],[ModuleNumber]]&amp;CompilDonnées[[#This Row],[PlantationDate]])</f>
        <v>62245882</v>
      </c>
      <c r="O4421" t="str">
        <f>CompilDonnées[[#This Row],[FarmID]]&amp;CompilDonnées[[#This Row],[ModuleNumber]]</f>
        <v>622</v>
      </c>
      <c r="P4421" t="str">
        <f>CompilDonnées[[#This Row],[Ref_Module]]&amp;CompilDonnées[[#This Row],[HarvestingDate]]</f>
        <v>62245916</v>
      </c>
    </row>
    <row r="4422" spans="1:16">
      <c r="A4422" s="5">
        <v>45882</v>
      </c>
      <c r="B4422">
        <v>82</v>
      </c>
      <c r="C4422" t="s">
        <v>17</v>
      </c>
      <c r="D4422">
        <v>3</v>
      </c>
      <c r="E4422">
        <v>100</v>
      </c>
      <c r="F4422" t="s">
        <v>1</v>
      </c>
      <c r="G4422" s="6">
        <v>45923</v>
      </c>
      <c r="H4422">
        <v>41</v>
      </c>
      <c r="I4422">
        <f>ROUND(CompilDonnées[[#This Row],[CultureDuration_days]]/7,0)</f>
        <v>6</v>
      </c>
      <c r="J4422">
        <v>3087</v>
      </c>
      <c r="K4422" t="str">
        <f>_xlfn.CONCAT(WEEKNUM(CompilDonnées[[#This Row],[PlantationDate]]), " ", YEAR(CompilDonnées[[#This Row],[PlantationDate]]))</f>
        <v>33 2025</v>
      </c>
      <c r="L4422" t="str">
        <f>CONCATENATE(MONTH(CompilDonnées[[#This Row],[PlantationDate]])," ", YEAR(CompilDonnées[[#This Row],[PlantationDate]]))</f>
        <v>8 2025</v>
      </c>
      <c r="M4422" t="str">
        <f>CONCATENATE(MONTH(CompilDonnées[[#This Row],[HarvestingDate]])," ", YEAR(CompilDonnées[[#This Row],[HarvestingDate]]))</f>
        <v>9 2025</v>
      </c>
      <c r="N4422">
        <f>_xlfn.NUMBERVALUE(CompilDonnées[[#This Row],[FarmID]]&amp;CompilDonnées[[#This Row],[ModuleNumber]]&amp;CompilDonnées[[#This Row],[PlantationDate]])</f>
        <v>82345882</v>
      </c>
      <c r="O4422" t="str">
        <f>CompilDonnées[[#This Row],[FarmID]]&amp;CompilDonnées[[#This Row],[ModuleNumber]]</f>
        <v>823</v>
      </c>
      <c r="P4422" t="str">
        <f>CompilDonnées[[#This Row],[Ref_Module]]&amp;CompilDonnées[[#This Row],[HarvestingDate]]</f>
        <v>82345923</v>
      </c>
    </row>
    <row r="4423" spans="1:16">
      <c r="A4423" s="5">
        <v>45882</v>
      </c>
      <c r="B4423">
        <v>80</v>
      </c>
      <c r="C4423" t="s">
        <v>29</v>
      </c>
      <c r="D4423">
        <v>6</v>
      </c>
      <c r="E4423">
        <v>100</v>
      </c>
      <c r="F4423" t="s">
        <v>1</v>
      </c>
      <c r="G4423" s="6">
        <v>45923</v>
      </c>
      <c r="H4423">
        <v>41</v>
      </c>
      <c r="I4423">
        <f>ROUND(CompilDonnées[[#This Row],[CultureDuration_days]]/7,0)</f>
        <v>6</v>
      </c>
      <c r="J4423">
        <v>3663</v>
      </c>
      <c r="K4423" t="str">
        <f>_xlfn.CONCAT(WEEKNUM(CompilDonnées[[#This Row],[PlantationDate]]), " ", YEAR(CompilDonnées[[#This Row],[PlantationDate]]))</f>
        <v>33 2025</v>
      </c>
      <c r="L4423" t="str">
        <f>CONCATENATE(MONTH(CompilDonnées[[#This Row],[PlantationDate]])," ", YEAR(CompilDonnées[[#This Row],[PlantationDate]]))</f>
        <v>8 2025</v>
      </c>
      <c r="M4423" t="str">
        <f>CONCATENATE(MONTH(CompilDonnées[[#This Row],[HarvestingDate]])," ", YEAR(CompilDonnées[[#This Row],[HarvestingDate]]))</f>
        <v>9 2025</v>
      </c>
      <c r="N4423">
        <f>_xlfn.NUMBERVALUE(CompilDonnées[[#This Row],[FarmID]]&amp;CompilDonnées[[#This Row],[ModuleNumber]]&amp;CompilDonnées[[#This Row],[PlantationDate]])</f>
        <v>80645882</v>
      </c>
      <c r="O4423" t="str">
        <f>CompilDonnées[[#This Row],[FarmID]]&amp;CompilDonnées[[#This Row],[ModuleNumber]]</f>
        <v>806</v>
      </c>
      <c r="P4423" t="str">
        <f>CompilDonnées[[#This Row],[Ref_Module]]&amp;CompilDonnées[[#This Row],[HarvestingDate]]</f>
        <v>80645923</v>
      </c>
    </row>
    <row r="4424" spans="1:16">
      <c r="A4424" s="5">
        <v>45882</v>
      </c>
      <c r="B4424">
        <v>81</v>
      </c>
      <c r="C4424" t="s">
        <v>30</v>
      </c>
      <c r="D4424">
        <v>6</v>
      </c>
      <c r="E4424">
        <v>100</v>
      </c>
      <c r="F4424" t="s">
        <v>1</v>
      </c>
      <c r="G4424" s="6">
        <v>45917</v>
      </c>
      <c r="H4424">
        <v>35</v>
      </c>
      <c r="I4424">
        <f>ROUND(CompilDonnées[[#This Row],[CultureDuration_days]]/7,0)</f>
        <v>5</v>
      </c>
      <c r="J4424">
        <v>3617</v>
      </c>
      <c r="K4424" t="str">
        <f>_xlfn.CONCAT(WEEKNUM(CompilDonnées[[#This Row],[PlantationDate]]), " ", YEAR(CompilDonnées[[#This Row],[PlantationDate]]))</f>
        <v>33 2025</v>
      </c>
      <c r="L4424" t="str">
        <f>CONCATENATE(MONTH(CompilDonnées[[#This Row],[PlantationDate]])," ", YEAR(CompilDonnées[[#This Row],[PlantationDate]]))</f>
        <v>8 2025</v>
      </c>
      <c r="M4424" t="str">
        <f>CONCATENATE(MONTH(CompilDonnées[[#This Row],[HarvestingDate]])," ", YEAR(CompilDonnées[[#This Row],[HarvestingDate]]))</f>
        <v>9 2025</v>
      </c>
      <c r="N4424">
        <f>_xlfn.NUMBERVALUE(CompilDonnées[[#This Row],[FarmID]]&amp;CompilDonnées[[#This Row],[ModuleNumber]]&amp;CompilDonnées[[#This Row],[PlantationDate]])</f>
        <v>81645882</v>
      </c>
      <c r="O4424" t="str">
        <f>CompilDonnées[[#This Row],[FarmID]]&amp;CompilDonnées[[#This Row],[ModuleNumber]]</f>
        <v>816</v>
      </c>
      <c r="P4424" t="str">
        <f>CompilDonnées[[#This Row],[Ref_Module]]&amp;CompilDonnées[[#This Row],[HarvestingDate]]</f>
        <v>81645917</v>
      </c>
    </row>
    <row r="4425" spans="1:16">
      <c r="A4425" s="5">
        <v>45882</v>
      </c>
      <c r="B4425">
        <v>83</v>
      </c>
      <c r="C4425" t="s">
        <v>73</v>
      </c>
      <c r="D4425">
        <v>6</v>
      </c>
      <c r="E4425">
        <v>100</v>
      </c>
      <c r="F4425" t="s">
        <v>1</v>
      </c>
      <c r="G4425" s="6">
        <v>45930</v>
      </c>
      <c r="H4425">
        <v>48</v>
      </c>
      <c r="I4425">
        <f>ROUND(CompilDonnées[[#This Row],[CultureDuration_days]]/7,0)</f>
        <v>7</v>
      </c>
      <c r="J4425">
        <v>2129</v>
      </c>
      <c r="K4425" t="str">
        <f>_xlfn.CONCAT(WEEKNUM(CompilDonnées[[#This Row],[PlantationDate]]), " ", YEAR(CompilDonnées[[#This Row],[PlantationDate]]))</f>
        <v>33 2025</v>
      </c>
      <c r="L4425" t="str">
        <f>CONCATENATE(MONTH(CompilDonnées[[#This Row],[PlantationDate]])," ", YEAR(CompilDonnées[[#This Row],[PlantationDate]]))</f>
        <v>8 2025</v>
      </c>
      <c r="M4425" t="str">
        <f>CONCATENATE(MONTH(CompilDonnées[[#This Row],[HarvestingDate]])," ", YEAR(CompilDonnées[[#This Row],[HarvestingDate]]))</f>
        <v>9 2025</v>
      </c>
      <c r="N4425">
        <f>_xlfn.NUMBERVALUE(CompilDonnées[[#This Row],[FarmID]]&amp;CompilDonnées[[#This Row],[ModuleNumber]]&amp;CompilDonnées[[#This Row],[PlantationDate]])</f>
        <v>83645882</v>
      </c>
      <c r="O4425" t="str">
        <f>CompilDonnées[[#This Row],[FarmID]]&amp;CompilDonnées[[#This Row],[ModuleNumber]]</f>
        <v>836</v>
      </c>
      <c r="P4425" t="str">
        <f>CompilDonnées[[#This Row],[Ref_Module]]&amp;CompilDonnées[[#This Row],[HarvestingDate]]</f>
        <v>83645930</v>
      </c>
    </row>
    <row r="4426" spans="1:16">
      <c r="A4426" s="5">
        <v>45882</v>
      </c>
      <c r="B4426">
        <v>77</v>
      </c>
      <c r="C4426" t="s">
        <v>75</v>
      </c>
      <c r="D4426">
        <v>3</v>
      </c>
      <c r="E4426">
        <v>100</v>
      </c>
      <c r="F4426" t="s">
        <v>1</v>
      </c>
      <c r="G4426" s="6">
        <v>45930</v>
      </c>
      <c r="H4426">
        <v>48</v>
      </c>
      <c r="I4426">
        <f>ROUND(CompilDonnées[[#This Row],[CultureDuration_days]]/7,0)</f>
        <v>7</v>
      </c>
      <c r="J4426">
        <v>1658</v>
      </c>
      <c r="K4426" t="str">
        <f>_xlfn.CONCAT(WEEKNUM(CompilDonnées[[#This Row],[PlantationDate]]), " ", YEAR(CompilDonnées[[#This Row],[PlantationDate]]))</f>
        <v>33 2025</v>
      </c>
      <c r="L4426" t="str">
        <f>CONCATENATE(MONTH(CompilDonnées[[#This Row],[PlantationDate]])," ", YEAR(CompilDonnées[[#This Row],[PlantationDate]]))</f>
        <v>8 2025</v>
      </c>
      <c r="M4426" t="str">
        <f>CONCATENATE(MONTH(CompilDonnées[[#This Row],[HarvestingDate]])," ", YEAR(CompilDonnées[[#This Row],[HarvestingDate]]))</f>
        <v>9 2025</v>
      </c>
      <c r="N4426">
        <f>_xlfn.NUMBERVALUE(CompilDonnées[[#This Row],[FarmID]]&amp;CompilDonnées[[#This Row],[ModuleNumber]]&amp;CompilDonnées[[#This Row],[PlantationDate]])</f>
        <v>77345882</v>
      </c>
      <c r="O4426" t="str">
        <f>CompilDonnées[[#This Row],[FarmID]]&amp;CompilDonnées[[#This Row],[ModuleNumber]]</f>
        <v>773</v>
      </c>
      <c r="P4426" t="str">
        <f>CompilDonnées[[#This Row],[Ref_Module]]&amp;CompilDonnées[[#This Row],[HarvestingDate]]</f>
        <v>77345930</v>
      </c>
    </row>
    <row r="4427" spans="1:16">
      <c r="A4427" s="5">
        <v>45882</v>
      </c>
      <c r="B4427">
        <v>72</v>
      </c>
      <c r="C4427" t="s">
        <v>49</v>
      </c>
      <c r="D4427">
        <v>1</v>
      </c>
      <c r="E4427">
        <v>100</v>
      </c>
      <c r="F4427" t="s">
        <v>1</v>
      </c>
      <c r="G4427" s="6">
        <v>45938</v>
      </c>
      <c r="H4427">
        <v>56</v>
      </c>
      <c r="I4427">
        <f>ROUND(CompilDonnées[[#This Row],[CultureDuration_days]]/7,0)</f>
        <v>8</v>
      </c>
      <c r="J4427">
        <v>2643</v>
      </c>
      <c r="K4427" t="str">
        <f>_xlfn.CONCAT(WEEKNUM(CompilDonnées[[#This Row],[PlantationDate]]), " ", YEAR(CompilDonnées[[#This Row],[PlantationDate]]))</f>
        <v>33 2025</v>
      </c>
      <c r="L4427" t="str">
        <f>CONCATENATE(MONTH(CompilDonnées[[#This Row],[PlantationDate]])," ", YEAR(CompilDonnées[[#This Row],[PlantationDate]]))</f>
        <v>8 2025</v>
      </c>
      <c r="M4427" t="str">
        <f>CONCATENATE(MONTH(CompilDonnées[[#This Row],[HarvestingDate]])," ", YEAR(CompilDonnées[[#This Row],[HarvestingDate]]))</f>
        <v>10 2025</v>
      </c>
      <c r="N4427">
        <f>_xlfn.NUMBERVALUE(CompilDonnées[[#This Row],[FarmID]]&amp;CompilDonnées[[#This Row],[ModuleNumber]]&amp;CompilDonnées[[#This Row],[PlantationDate]])</f>
        <v>72145882</v>
      </c>
      <c r="O4427" t="str">
        <f>CompilDonnées[[#This Row],[FarmID]]&amp;CompilDonnées[[#This Row],[ModuleNumber]]</f>
        <v>721</v>
      </c>
      <c r="P4427" t="str">
        <f>CompilDonnées[[#This Row],[Ref_Module]]&amp;CompilDonnées[[#This Row],[HarvestingDate]]</f>
        <v>72145938</v>
      </c>
    </row>
    <row r="4428" spans="1:16">
      <c r="A4428" s="5">
        <v>45882</v>
      </c>
      <c r="B4428">
        <v>68</v>
      </c>
      <c r="C4428" t="s">
        <v>89</v>
      </c>
      <c r="D4428">
        <v>5</v>
      </c>
      <c r="E4428">
        <v>100</v>
      </c>
      <c r="F4428" t="s">
        <v>1</v>
      </c>
      <c r="G4428" s="6">
        <v>45929</v>
      </c>
      <c r="H4428">
        <v>47</v>
      </c>
      <c r="I4428">
        <f>ROUND(CompilDonnées[[#This Row],[CultureDuration_days]]/7,0)</f>
        <v>7</v>
      </c>
      <c r="J4428">
        <v>3996</v>
      </c>
      <c r="K4428" t="str">
        <f>_xlfn.CONCAT(WEEKNUM(CompilDonnées[[#This Row],[PlantationDate]]), " ", YEAR(CompilDonnées[[#This Row],[PlantationDate]]))</f>
        <v>33 2025</v>
      </c>
      <c r="L4428" t="str">
        <f>CONCATENATE(MONTH(CompilDonnées[[#This Row],[PlantationDate]])," ", YEAR(CompilDonnées[[#This Row],[PlantationDate]]))</f>
        <v>8 2025</v>
      </c>
      <c r="M4428" t="str">
        <f>CONCATENATE(MONTH(CompilDonnées[[#This Row],[HarvestingDate]])," ", YEAR(CompilDonnées[[#This Row],[HarvestingDate]]))</f>
        <v>9 2025</v>
      </c>
      <c r="N4428">
        <f>_xlfn.NUMBERVALUE(CompilDonnées[[#This Row],[FarmID]]&amp;CompilDonnées[[#This Row],[ModuleNumber]]&amp;CompilDonnées[[#This Row],[PlantationDate]])</f>
        <v>68545882</v>
      </c>
      <c r="O4428" t="str">
        <f>CompilDonnées[[#This Row],[FarmID]]&amp;CompilDonnées[[#This Row],[ModuleNumber]]</f>
        <v>685</v>
      </c>
      <c r="P4428" t="str">
        <f>CompilDonnées[[#This Row],[Ref_Module]]&amp;CompilDonnées[[#This Row],[HarvestingDate]]</f>
        <v>68545929</v>
      </c>
    </row>
    <row r="4429" spans="1:16">
      <c r="A4429" s="5">
        <v>45882</v>
      </c>
      <c r="B4429">
        <v>67</v>
      </c>
      <c r="C4429" t="s">
        <v>28</v>
      </c>
      <c r="D4429">
        <v>3</v>
      </c>
      <c r="E4429">
        <v>100</v>
      </c>
      <c r="F4429" t="s">
        <v>1</v>
      </c>
      <c r="G4429" s="6">
        <v>45930</v>
      </c>
      <c r="H4429">
        <v>48</v>
      </c>
      <c r="I4429">
        <f>ROUND(CompilDonnées[[#This Row],[CultureDuration_days]]/7,0)</f>
        <v>7</v>
      </c>
      <c r="J4429">
        <v>3222</v>
      </c>
      <c r="K4429" t="str">
        <f>_xlfn.CONCAT(WEEKNUM(CompilDonnées[[#This Row],[PlantationDate]]), " ", YEAR(CompilDonnées[[#This Row],[PlantationDate]]))</f>
        <v>33 2025</v>
      </c>
      <c r="L4429" t="str">
        <f>CONCATENATE(MONTH(CompilDonnées[[#This Row],[PlantationDate]])," ", YEAR(CompilDonnées[[#This Row],[PlantationDate]]))</f>
        <v>8 2025</v>
      </c>
      <c r="M4429" t="str">
        <f>CONCATENATE(MONTH(CompilDonnées[[#This Row],[HarvestingDate]])," ", YEAR(CompilDonnées[[#This Row],[HarvestingDate]]))</f>
        <v>9 2025</v>
      </c>
      <c r="N4429">
        <f>_xlfn.NUMBERVALUE(CompilDonnées[[#This Row],[FarmID]]&amp;CompilDonnées[[#This Row],[ModuleNumber]]&amp;CompilDonnées[[#This Row],[PlantationDate]])</f>
        <v>67345882</v>
      </c>
      <c r="O4429" t="str">
        <f>CompilDonnées[[#This Row],[FarmID]]&amp;CompilDonnées[[#This Row],[ModuleNumber]]</f>
        <v>673</v>
      </c>
      <c r="P4429" t="str">
        <f>CompilDonnées[[#This Row],[Ref_Module]]&amp;CompilDonnées[[#This Row],[HarvestingDate]]</f>
        <v>67345930</v>
      </c>
    </row>
    <row r="4430" spans="1:16">
      <c r="A4430" s="5">
        <v>45882</v>
      </c>
      <c r="B4430">
        <v>65</v>
      </c>
      <c r="C4430" t="s">
        <v>36</v>
      </c>
      <c r="D4430">
        <v>2</v>
      </c>
      <c r="E4430">
        <v>100</v>
      </c>
      <c r="F4430" t="s">
        <v>1</v>
      </c>
      <c r="G4430" s="6">
        <v>45939</v>
      </c>
      <c r="H4430">
        <v>57</v>
      </c>
      <c r="I4430">
        <f>ROUND(CompilDonnées[[#This Row],[CultureDuration_days]]/7,0)</f>
        <v>8</v>
      </c>
      <c r="J4430">
        <v>2334</v>
      </c>
      <c r="K4430" t="str">
        <f>_xlfn.CONCAT(WEEKNUM(CompilDonnées[[#This Row],[PlantationDate]]), " ", YEAR(CompilDonnées[[#This Row],[PlantationDate]]))</f>
        <v>33 2025</v>
      </c>
      <c r="L4430" t="str">
        <f>CONCATENATE(MONTH(CompilDonnées[[#This Row],[PlantationDate]])," ", YEAR(CompilDonnées[[#This Row],[PlantationDate]]))</f>
        <v>8 2025</v>
      </c>
      <c r="M4430" t="str">
        <f>CONCATENATE(MONTH(CompilDonnées[[#This Row],[HarvestingDate]])," ", YEAR(CompilDonnées[[#This Row],[HarvestingDate]]))</f>
        <v>10 2025</v>
      </c>
      <c r="N4430">
        <f>_xlfn.NUMBERVALUE(CompilDonnées[[#This Row],[FarmID]]&amp;CompilDonnées[[#This Row],[ModuleNumber]]&amp;CompilDonnées[[#This Row],[PlantationDate]])</f>
        <v>65245882</v>
      </c>
      <c r="O4430" t="str">
        <f>CompilDonnées[[#This Row],[FarmID]]&amp;CompilDonnées[[#This Row],[ModuleNumber]]</f>
        <v>652</v>
      </c>
      <c r="P4430" t="str">
        <f>CompilDonnées[[#This Row],[Ref_Module]]&amp;CompilDonnées[[#This Row],[HarvestingDate]]</f>
        <v>65245939</v>
      </c>
    </row>
    <row r="4431" spans="1:16">
      <c r="A4431" s="5">
        <v>45882</v>
      </c>
      <c r="B4431">
        <v>59</v>
      </c>
      <c r="C4431" t="s">
        <v>64</v>
      </c>
      <c r="D4431">
        <v>1</v>
      </c>
      <c r="E4431">
        <v>100</v>
      </c>
      <c r="F4431" t="s">
        <v>1</v>
      </c>
      <c r="G4431" s="6">
        <v>45916</v>
      </c>
      <c r="H4431">
        <v>34</v>
      </c>
      <c r="I4431">
        <f>ROUND(CompilDonnées[[#This Row],[CultureDuration_days]]/7,0)</f>
        <v>5</v>
      </c>
      <c r="J4431">
        <v>3002</v>
      </c>
      <c r="K4431" t="str">
        <f>_xlfn.CONCAT(WEEKNUM(CompilDonnées[[#This Row],[PlantationDate]]), " ", YEAR(CompilDonnées[[#This Row],[PlantationDate]]))</f>
        <v>33 2025</v>
      </c>
      <c r="L4431" t="str">
        <f>CONCATENATE(MONTH(CompilDonnées[[#This Row],[PlantationDate]])," ", YEAR(CompilDonnées[[#This Row],[PlantationDate]]))</f>
        <v>8 2025</v>
      </c>
      <c r="M4431" t="str">
        <f>CONCATENATE(MONTH(CompilDonnées[[#This Row],[HarvestingDate]])," ", YEAR(CompilDonnées[[#This Row],[HarvestingDate]]))</f>
        <v>9 2025</v>
      </c>
      <c r="N4431">
        <f>_xlfn.NUMBERVALUE(CompilDonnées[[#This Row],[FarmID]]&amp;CompilDonnées[[#This Row],[ModuleNumber]]&amp;CompilDonnées[[#This Row],[PlantationDate]])</f>
        <v>59145882</v>
      </c>
      <c r="O4431" t="str">
        <f>CompilDonnées[[#This Row],[FarmID]]&amp;CompilDonnées[[#This Row],[ModuleNumber]]</f>
        <v>591</v>
      </c>
      <c r="P4431" t="str">
        <f>CompilDonnées[[#This Row],[Ref_Module]]&amp;CompilDonnées[[#This Row],[HarvestingDate]]</f>
        <v>59145916</v>
      </c>
    </row>
    <row r="4432" spans="1:16">
      <c r="A4432" s="5">
        <v>45882</v>
      </c>
      <c r="B4432">
        <v>57</v>
      </c>
      <c r="C4432" t="s">
        <v>46</v>
      </c>
      <c r="D4432">
        <v>1</v>
      </c>
      <c r="E4432">
        <v>100</v>
      </c>
      <c r="F4432" t="s">
        <v>1</v>
      </c>
      <c r="G4432" s="6">
        <v>45929</v>
      </c>
      <c r="H4432">
        <v>47</v>
      </c>
      <c r="I4432">
        <f>ROUND(CompilDonnées[[#This Row],[CultureDuration_days]]/7,0)</f>
        <v>7</v>
      </c>
      <c r="J4432">
        <v>2299</v>
      </c>
      <c r="K4432" t="str">
        <f>_xlfn.CONCAT(WEEKNUM(CompilDonnées[[#This Row],[PlantationDate]]), " ", YEAR(CompilDonnées[[#This Row],[PlantationDate]]))</f>
        <v>33 2025</v>
      </c>
      <c r="L4432" t="str">
        <f>CONCATENATE(MONTH(CompilDonnées[[#This Row],[PlantationDate]])," ", YEAR(CompilDonnées[[#This Row],[PlantationDate]]))</f>
        <v>8 2025</v>
      </c>
      <c r="M4432" t="str">
        <f>CONCATENATE(MONTH(CompilDonnées[[#This Row],[HarvestingDate]])," ", YEAR(CompilDonnées[[#This Row],[HarvestingDate]]))</f>
        <v>9 2025</v>
      </c>
      <c r="N4432">
        <f>_xlfn.NUMBERVALUE(CompilDonnées[[#This Row],[FarmID]]&amp;CompilDonnées[[#This Row],[ModuleNumber]]&amp;CompilDonnées[[#This Row],[PlantationDate]])</f>
        <v>57145882</v>
      </c>
      <c r="O4432" t="str">
        <f>CompilDonnées[[#This Row],[FarmID]]&amp;CompilDonnées[[#This Row],[ModuleNumber]]</f>
        <v>571</v>
      </c>
      <c r="P4432" t="str">
        <f>CompilDonnées[[#This Row],[Ref_Module]]&amp;CompilDonnées[[#This Row],[HarvestingDate]]</f>
        <v>57145929</v>
      </c>
    </row>
    <row r="4433" spans="1:16">
      <c r="A4433" s="5">
        <v>45882</v>
      </c>
      <c r="B4433">
        <v>73</v>
      </c>
      <c r="C4433" t="s">
        <v>20</v>
      </c>
      <c r="D4433">
        <v>1</v>
      </c>
      <c r="E4433">
        <v>100</v>
      </c>
      <c r="F4433" t="s">
        <v>1</v>
      </c>
      <c r="G4433" s="6">
        <v>45930</v>
      </c>
      <c r="H4433">
        <v>48</v>
      </c>
      <c r="I4433">
        <f>ROUND(CompilDonnées[[#This Row],[CultureDuration_days]]/7,0)</f>
        <v>7</v>
      </c>
      <c r="J4433">
        <v>2586</v>
      </c>
      <c r="K4433" t="str">
        <f>_xlfn.CONCAT(WEEKNUM(CompilDonnées[[#This Row],[PlantationDate]]), " ", YEAR(CompilDonnées[[#This Row],[PlantationDate]]))</f>
        <v>33 2025</v>
      </c>
      <c r="L4433" t="str">
        <f>CONCATENATE(MONTH(CompilDonnées[[#This Row],[PlantationDate]])," ", YEAR(CompilDonnées[[#This Row],[PlantationDate]]))</f>
        <v>8 2025</v>
      </c>
      <c r="M4433" t="str">
        <f>CONCATENATE(MONTH(CompilDonnées[[#This Row],[HarvestingDate]])," ", YEAR(CompilDonnées[[#This Row],[HarvestingDate]]))</f>
        <v>9 2025</v>
      </c>
      <c r="N4433">
        <f>_xlfn.NUMBERVALUE(CompilDonnées[[#This Row],[FarmID]]&amp;CompilDonnées[[#This Row],[ModuleNumber]]&amp;CompilDonnées[[#This Row],[PlantationDate]])</f>
        <v>73145882</v>
      </c>
      <c r="O4433" t="str">
        <f>CompilDonnées[[#This Row],[FarmID]]&amp;CompilDonnées[[#This Row],[ModuleNumber]]</f>
        <v>731</v>
      </c>
      <c r="P4433" t="str">
        <f>CompilDonnées[[#This Row],[Ref_Module]]&amp;CompilDonnées[[#This Row],[HarvestingDate]]</f>
        <v>73145930</v>
      </c>
    </row>
    <row r="4434" spans="1:16">
      <c r="A4434" s="5">
        <v>45882</v>
      </c>
      <c r="B4434">
        <v>121</v>
      </c>
      <c r="C4434" t="s">
        <v>3</v>
      </c>
      <c r="D4434">
        <v>4</v>
      </c>
      <c r="E4434">
        <v>60</v>
      </c>
      <c r="F4434" t="s">
        <v>105</v>
      </c>
      <c r="G4434" s="6">
        <v>45904</v>
      </c>
      <c r="H4434">
        <v>22</v>
      </c>
      <c r="I4434">
        <f>ROUND(CompilDonnées[[#This Row],[CultureDuration_days]]/7,0)</f>
        <v>3</v>
      </c>
      <c r="J4434">
        <v>84</v>
      </c>
      <c r="K4434" t="str">
        <f>_xlfn.CONCAT(WEEKNUM(CompilDonnées[[#This Row],[PlantationDate]]), " ", YEAR(CompilDonnées[[#This Row],[PlantationDate]]))</f>
        <v>33 2025</v>
      </c>
      <c r="L4434" t="str">
        <f>CONCATENATE(MONTH(CompilDonnées[[#This Row],[PlantationDate]])," ", YEAR(CompilDonnées[[#This Row],[PlantationDate]]))</f>
        <v>8 2025</v>
      </c>
      <c r="M4434" t="str">
        <f>CONCATENATE(MONTH(CompilDonnées[[#This Row],[HarvestingDate]])," ", YEAR(CompilDonnées[[#This Row],[HarvestingDate]]))</f>
        <v>9 2025</v>
      </c>
      <c r="N4434">
        <f>_xlfn.NUMBERVALUE(CompilDonnées[[#This Row],[FarmID]]&amp;CompilDonnées[[#This Row],[ModuleNumber]]&amp;CompilDonnées[[#This Row],[PlantationDate]])</f>
        <v>121445882</v>
      </c>
      <c r="O4434" t="str">
        <f>CompilDonnées[[#This Row],[FarmID]]&amp;CompilDonnées[[#This Row],[ModuleNumber]]</f>
        <v>1214</v>
      </c>
      <c r="P4434" t="str">
        <f>CompilDonnées[[#This Row],[Ref_Module]]&amp;CompilDonnées[[#This Row],[HarvestingDate]]</f>
        <v>121445904</v>
      </c>
    </row>
    <row r="4435" spans="1:16">
      <c r="A4435" s="5">
        <v>45882</v>
      </c>
      <c r="B4435">
        <v>121</v>
      </c>
      <c r="C4435" t="s">
        <v>3</v>
      </c>
      <c r="D4435">
        <v>5</v>
      </c>
      <c r="E4435">
        <v>60</v>
      </c>
      <c r="F4435" t="s">
        <v>105</v>
      </c>
      <c r="G4435" s="6">
        <v>45904</v>
      </c>
      <c r="H4435">
        <v>22</v>
      </c>
      <c r="I4435">
        <f>ROUND(CompilDonnées[[#This Row],[CultureDuration_days]]/7,0)</f>
        <v>3</v>
      </c>
      <c r="J4435">
        <v>83</v>
      </c>
      <c r="K4435" t="str">
        <f>_xlfn.CONCAT(WEEKNUM(CompilDonnées[[#This Row],[PlantationDate]]), " ", YEAR(CompilDonnées[[#This Row],[PlantationDate]]))</f>
        <v>33 2025</v>
      </c>
      <c r="L4435" t="str">
        <f>CONCATENATE(MONTH(CompilDonnées[[#This Row],[PlantationDate]])," ", YEAR(CompilDonnées[[#This Row],[PlantationDate]]))</f>
        <v>8 2025</v>
      </c>
      <c r="M4435" t="str">
        <f>CONCATENATE(MONTH(CompilDonnées[[#This Row],[HarvestingDate]])," ", YEAR(CompilDonnées[[#This Row],[HarvestingDate]]))</f>
        <v>9 2025</v>
      </c>
      <c r="N4435">
        <f>_xlfn.NUMBERVALUE(CompilDonnées[[#This Row],[FarmID]]&amp;CompilDonnées[[#This Row],[ModuleNumber]]&amp;CompilDonnées[[#This Row],[PlantationDate]])</f>
        <v>121545882</v>
      </c>
      <c r="O4435" t="str">
        <f>CompilDonnées[[#This Row],[FarmID]]&amp;CompilDonnées[[#This Row],[ModuleNumber]]</f>
        <v>1215</v>
      </c>
      <c r="P4435" t="str">
        <f>CompilDonnées[[#This Row],[Ref_Module]]&amp;CompilDonnées[[#This Row],[HarvestingDate]]</f>
        <v>121545904</v>
      </c>
    </row>
    <row r="4436" spans="1:16">
      <c r="A4436" s="5">
        <v>45882</v>
      </c>
      <c r="B4436">
        <v>121</v>
      </c>
      <c r="C4436" t="s">
        <v>3</v>
      </c>
      <c r="D4436">
        <v>6</v>
      </c>
      <c r="E4436">
        <v>60</v>
      </c>
      <c r="F4436" t="s">
        <v>105</v>
      </c>
      <c r="G4436" s="6">
        <v>45904</v>
      </c>
      <c r="H4436">
        <v>22</v>
      </c>
      <c r="I4436">
        <f>ROUND(CompilDonnées[[#This Row],[CultureDuration_days]]/7,0)</f>
        <v>3</v>
      </c>
      <c r="J4436">
        <v>90</v>
      </c>
      <c r="K4436" t="str">
        <f>_xlfn.CONCAT(WEEKNUM(CompilDonnées[[#This Row],[PlantationDate]]), " ", YEAR(CompilDonnées[[#This Row],[PlantationDate]]))</f>
        <v>33 2025</v>
      </c>
      <c r="L4436" t="str">
        <f>CONCATENATE(MONTH(CompilDonnées[[#This Row],[PlantationDate]])," ", YEAR(CompilDonnées[[#This Row],[PlantationDate]]))</f>
        <v>8 2025</v>
      </c>
      <c r="M4436" t="str">
        <f>CONCATENATE(MONTH(CompilDonnées[[#This Row],[HarvestingDate]])," ", YEAR(CompilDonnées[[#This Row],[HarvestingDate]]))</f>
        <v>9 2025</v>
      </c>
      <c r="N4436">
        <f>_xlfn.NUMBERVALUE(CompilDonnées[[#This Row],[FarmID]]&amp;CompilDonnées[[#This Row],[ModuleNumber]]&amp;CompilDonnées[[#This Row],[PlantationDate]])</f>
        <v>121645882</v>
      </c>
      <c r="O4436" t="str">
        <f>CompilDonnées[[#This Row],[FarmID]]&amp;CompilDonnées[[#This Row],[ModuleNumber]]</f>
        <v>1216</v>
      </c>
      <c r="P4436" t="str">
        <f>CompilDonnées[[#This Row],[Ref_Module]]&amp;CompilDonnées[[#This Row],[HarvestingDate]]</f>
        <v>121645904</v>
      </c>
    </row>
    <row r="4437" spans="1:16">
      <c r="A4437" s="5">
        <v>45883</v>
      </c>
      <c r="B4437">
        <v>6</v>
      </c>
      <c r="C4437" t="s">
        <v>24</v>
      </c>
      <c r="D4437">
        <v>6</v>
      </c>
      <c r="E4437">
        <v>100</v>
      </c>
      <c r="F4437" t="s">
        <v>1</v>
      </c>
      <c r="G4437" s="6">
        <v>45925</v>
      </c>
      <c r="H4437">
        <v>42</v>
      </c>
      <c r="I4437">
        <f>ROUND(CompilDonnées[[#This Row],[CultureDuration_days]]/7,0)</f>
        <v>6</v>
      </c>
      <c r="J4437">
        <v>2964</v>
      </c>
      <c r="K4437" t="str">
        <f>_xlfn.CONCAT(WEEKNUM(CompilDonnées[[#This Row],[PlantationDate]]), " ", YEAR(CompilDonnées[[#This Row],[PlantationDate]]))</f>
        <v>33 2025</v>
      </c>
      <c r="L4437" t="str">
        <f>CONCATENATE(MONTH(CompilDonnées[[#This Row],[PlantationDate]])," ", YEAR(CompilDonnées[[#This Row],[PlantationDate]]))</f>
        <v>8 2025</v>
      </c>
      <c r="M4437" t="str">
        <f>CONCATENATE(MONTH(CompilDonnées[[#This Row],[HarvestingDate]])," ", YEAR(CompilDonnées[[#This Row],[HarvestingDate]]))</f>
        <v>9 2025</v>
      </c>
      <c r="N4437">
        <f>_xlfn.NUMBERVALUE(CompilDonnées[[#This Row],[FarmID]]&amp;CompilDonnées[[#This Row],[ModuleNumber]]&amp;CompilDonnées[[#This Row],[PlantationDate]])</f>
        <v>6645883</v>
      </c>
      <c r="O4437" t="str">
        <f>CompilDonnées[[#This Row],[FarmID]]&amp;CompilDonnées[[#This Row],[ModuleNumber]]</f>
        <v>66</v>
      </c>
      <c r="P4437" t="str">
        <f>CompilDonnées[[#This Row],[Ref_Module]]&amp;CompilDonnées[[#This Row],[HarvestingDate]]</f>
        <v>6645925</v>
      </c>
    </row>
    <row r="4438" spans="1:16">
      <c r="A4438" s="5">
        <v>45883</v>
      </c>
      <c r="B4438">
        <v>5</v>
      </c>
      <c r="C4438" t="s">
        <v>32</v>
      </c>
      <c r="D4438">
        <v>2</v>
      </c>
      <c r="E4438">
        <v>100</v>
      </c>
      <c r="F4438" t="s">
        <v>1</v>
      </c>
      <c r="G4438" s="6">
        <v>45925</v>
      </c>
      <c r="H4438">
        <v>42</v>
      </c>
      <c r="I4438">
        <f>ROUND(CompilDonnées[[#This Row],[CultureDuration_days]]/7,0)</f>
        <v>6</v>
      </c>
      <c r="J4438">
        <v>2180</v>
      </c>
      <c r="K4438" t="str">
        <f>_xlfn.CONCAT(WEEKNUM(CompilDonnées[[#This Row],[PlantationDate]]), " ", YEAR(CompilDonnées[[#This Row],[PlantationDate]]))</f>
        <v>33 2025</v>
      </c>
      <c r="L4438" t="str">
        <f>CONCATENATE(MONTH(CompilDonnées[[#This Row],[PlantationDate]])," ", YEAR(CompilDonnées[[#This Row],[PlantationDate]]))</f>
        <v>8 2025</v>
      </c>
      <c r="M4438" t="str">
        <f>CONCATENATE(MONTH(CompilDonnées[[#This Row],[HarvestingDate]])," ", YEAR(CompilDonnées[[#This Row],[HarvestingDate]]))</f>
        <v>9 2025</v>
      </c>
      <c r="N4438">
        <f>_xlfn.NUMBERVALUE(CompilDonnées[[#This Row],[FarmID]]&amp;CompilDonnées[[#This Row],[ModuleNumber]]&amp;CompilDonnées[[#This Row],[PlantationDate]])</f>
        <v>5245883</v>
      </c>
      <c r="O4438" t="str">
        <f>CompilDonnées[[#This Row],[FarmID]]&amp;CompilDonnées[[#This Row],[ModuleNumber]]</f>
        <v>52</v>
      </c>
      <c r="P4438" t="str">
        <f>CompilDonnées[[#This Row],[Ref_Module]]&amp;CompilDonnées[[#This Row],[HarvestingDate]]</f>
        <v>5245925</v>
      </c>
    </row>
    <row r="4439" spans="1:16">
      <c r="A4439" s="5">
        <v>45883</v>
      </c>
      <c r="B4439">
        <v>4</v>
      </c>
      <c r="C4439" t="s">
        <v>74</v>
      </c>
      <c r="D4439">
        <v>5</v>
      </c>
      <c r="E4439">
        <v>100</v>
      </c>
      <c r="F4439" t="s">
        <v>1</v>
      </c>
      <c r="G4439" s="6">
        <v>45929</v>
      </c>
      <c r="H4439">
        <v>46</v>
      </c>
      <c r="I4439">
        <f>ROUND(CompilDonnées[[#This Row],[CultureDuration_days]]/7,0)</f>
        <v>7</v>
      </c>
      <c r="J4439">
        <v>1464</v>
      </c>
      <c r="K4439" t="str">
        <f>_xlfn.CONCAT(WEEKNUM(CompilDonnées[[#This Row],[PlantationDate]]), " ", YEAR(CompilDonnées[[#This Row],[PlantationDate]]))</f>
        <v>33 2025</v>
      </c>
      <c r="L4439" t="str">
        <f>CONCATENATE(MONTH(CompilDonnées[[#This Row],[PlantationDate]])," ", YEAR(CompilDonnées[[#This Row],[PlantationDate]]))</f>
        <v>8 2025</v>
      </c>
      <c r="M4439" t="str">
        <f>CONCATENATE(MONTH(CompilDonnées[[#This Row],[HarvestingDate]])," ", YEAR(CompilDonnées[[#This Row],[HarvestingDate]]))</f>
        <v>9 2025</v>
      </c>
      <c r="N4439">
        <f>_xlfn.NUMBERVALUE(CompilDonnées[[#This Row],[FarmID]]&amp;CompilDonnées[[#This Row],[ModuleNumber]]&amp;CompilDonnées[[#This Row],[PlantationDate]])</f>
        <v>4545883</v>
      </c>
      <c r="O4439" t="str">
        <f>CompilDonnées[[#This Row],[FarmID]]&amp;CompilDonnées[[#This Row],[ModuleNumber]]</f>
        <v>45</v>
      </c>
      <c r="P4439" t="str">
        <f>CompilDonnées[[#This Row],[Ref_Module]]&amp;CompilDonnées[[#This Row],[HarvestingDate]]</f>
        <v>4545929</v>
      </c>
    </row>
    <row r="4440" spans="1:16">
      <c r="A4440" s="5">
        <v>45883</v>
      </c>
      <c r="B4440">
        <v>3</v>
      </c>
      <c r="C4440" t="s">
        <v>116</v>
      </c>
      <c r="D4440">
        <v>4</v>
      </c>
      <c r="E4440">
        <v>100</v>
      </c>
      <c r="F4440" t="s">
        <v>1</v>
      </c>
      <c r="G4440" s="6">
        <v>45925</v>
      </c>
      <c r="H4440">
        <v>42</v>
      </c>
      <c r="I4440">
        <f>ROUND(CompilDonnées[[#This Row],[CultureDuration_days]]/7,0)</f>
        <v>6</v>
      </c>
      <c r="J4440">
        <v>1613</v>
      </c>
      <c r="K4440" t="str">
        <f>_xlfn.CONCAT(WEEKNUM(CompilDonnées[[#This Row],[PlantationDate]]), " ", YEAR(CompilDonnées[[#This Row],[PlantationDate]]))</f>
        <v>33 2025</v>
      </c>
      <c r="L4440" t="str">
        <f>CONCATENATE(MONTH(CompilDonnées[[#This Row],[PlantationDate]])," ", YEAR(CompilDonnées[[#This Row],[PlantationDate]]))</f>
        <v>8 2025</v>
      </c>
      <c r="M4440" t="str">
        <f>CONCATENATE(MONTH(CompilDonnées[[#This Row],[HarvestingDate]])," ", YEAR(CompilDonnées[[#This Row],[HarvestingDate]]))</f>
        <v>9 2025</v>
      </c>
      <c r="N4440">
        <f>_xlfn.NUMBERVALUE(CompilDonnées[[#This Row],[FarmID]]&amp;CompilDonnées[[#This Row],[ModuleNumber]]&amp;CompilDonnées[[#This Row],[PlantationDate]])</f>
        <v>3445883</v>
      </c>
      <c r="O4440" t="str">
        <f>CompilDonnées[[#This Row],[FarmID]]&amp;CompilDonnées[[#This Row],[ModuleNumber]]</f>
        <v>34</v>
      </c>
      <c r="P4440" t="str">
        <f>CompilDonnées[[#This Row],[Ref_Module]]&amp;CompilDonnées[[#This Row],[HarvestingDate]]</f>
        <v>3445925</v>
      </c>
    </row>
    <row r="4441" spans="1:16">
      <c r="A4441" s="5">
        <v>45883</v>
      </c>
      <c r="B4441">
        <v>16</v>
      </c>
      <c r="C4441" t="s">
        <v>112</v>
      </c>
      <c r="D4441">
        <v>3</v>
      </c>
      <c r="E4441">
        <v>100</v>
      </c>
      <c r="F4441" t="s">
        <v>1</v>
      </c>
      <c r="G4441" s="6">
        <v>45924</v>
      </c>
      <c r="H4441">
        <v>41</v>
      </c>
      <c r="I4441">
        <f>ROUND(CompilDonnées[[#This Row],[CultureDuration_days]]/7,0)</f>
        <v>6</v>
      </c>
      <c r="J4441">
        <v>1599</v>
      </c>
      <c r="K4441" t="str">
        <f>_xlfn.CONCAT(WEEKNUM(CompilDonnées[[#This Row],[PlantationDate]]), " ", YEAR(CompilDonnées[[#This Row],[PlantationDate]]))</f>
        <v>33 2025</v>
      </c>
      <c r="L4441" t="str">
        <f>CONCATENATE(MONTH(CompilDonnées[[#This Row],[PlantationDate]])," ", YEAR(CompilDonnées[[#This Row],[PlantationDate]]))</f>
        <v>8 2025</v>
      </c>
      <c r="M4441" t="str">
        <f>CONCATENATE(MONTH(CompilDonnées[[#This Row],[HarvestingDate]])," ", YEAR(CompilDonnées[[#This Row],[HarvestingDate]]))</f>
        <v>9 2025</v>
      </c>
      <c r="N4441">
        <f>_xlfn.NUMBERVALUE(CompilDonnées[[#This Row],[FarmID]]&amp;CompilDonnées[[#This Row],[ModuleNumber]]&amp;CompilDonnées[[#This Row],[PlantationDate]])</f>
        <v>16345883</v>
      </c>
      <c r="O4441" t="str">
        <f>CompilDonnées[[#This Row],[FarmID]]&amp;CompilDonnées[[#This Row],[ModuleNumber]]</f>
        <v>163</v>
      </c>
      <c r="P4441" t="str">
        <f>CompilDonnées[[#This Row],[Ref_Module]]&amp;CompilDonnées[[#This Row],[HarvestingDate]]</f>
        <v>16345924</v>
      </c>
    </row>
    <row r="4442" spans="1:16">
      <c r="A4442" s="5">
        <v>45883</v>
      </c>
      <c r="B4442">
        <v>15</v>
      </c>
      <c r="C4442" t="s">
        <v>5</v>
      </c>
      <c r="D4442">
        <v>6</v>
      </c>
      <c r="E4442">
        <v>100</v>
      </c>
      <c r="F4442" t="s">
        <v>1</v>
      </c>
      <c r="G4442" s="6">
        <v>45929</v>
      </c>
      <c r="H4442">
        <v>46</v>
      </c>
      <c r="I4442">
        <f>ROUND(CompilDonnées[[#This Row],[CultureDuration_days]]/7,0)</f>
        <v>7</v>
      </c>
      <c r="J4442">
        <v>2950</v>
      </c>
      <c r="K4442" t="str">
        <f>_xlfn.CONCAT(WEEKNUM(CompilDonnées[[#This Row],[PlantationDate]]), " ", YEAR(CompilDonnées[[#This Row],[PlantationDate]]))</f>
        <v>33 2025</v>
      </c>
      <c r="L4442" t="str">
        <f>CONCATENATE(MONTH(CompilDonnées[[#This Row],[PlantationDate]])," ", YEAR(CompilDonnées[[#This Row],[PlantationDate]]))</f>
        <v>8 2025</v>
      </c>
      <c r="M4442" t="str">
        <f>CONCATENATE(MONTH(CompilDonnées[[#This Row],[HarvestingDate]])," ", YEAR(CompilDonnées[[#This Row],[HarvestingDate]]))</f>
        <v>9 2025</v>
      </c>
      <c r="N4442">
        <f>_xlfn.NUMBERVALUE(CompilDonnées[[#This Row],[FarmID]]&amp;CompilDonnées[[#This Row],[ModuleNumber]]&amp;CompilDonnées[[#This Row],[PlantationDate]])</f>
        <v>15645883</v>
      </c>
      <c r="O4442" t="str">
        <f>CompilDonnées[[#This Row],[FarmID]]&amp;CompilDonnées[[#This Row],[ModuleNumber]]</f>
        <v>156</v>
      </c>
      <c r="P4442" t="str">
        <f>CompilDonnées[[#This Row],[Ref_Module]]&amp;CompilDonnées[[#This Row],[HarvestingDate]]</f>
        <v>15645929</v>
      </c>
    </row>
    <row r="4443" spans="1:16">
      <c r="A4443" s="5">
        <v>45883</v>
      </c>
      <c r="B4443">
        <v>24</v>
      </c>
      <c r="C4443" t="s">
        <v>31</v>
      </c>
      <c r="D4443">
        <v>4</v>
      </c>
      <c r="E4443">
        <v>100</v>
      </c>
      <c r="F4443" t="s">
        <v>1</v>
      </c>
      <c r="G4443" s="6">
        <v>45924</v>
      </c>
      <c r="H4443">
        <v>41</v>
      </c>
      <c r="I4443">
        <f>ROUND(CompilDonnées[[#This Row],[CultureDuration_days]]/7,0)</f>
        <v>6</v>
      </c>
      <c r="J4443">
        <v>3197</v>
      </c>
      <c r="K4443" t="str">
        <f>_xlfn.CONCAT(WEEKNUM(CompilDonnées[[#This Row],[PlantationDate]]), " ", YEAR(CompilDonnées[[#This Row],[PlantationDate]]))</f>
        <v>33 2025</v>
      </c>
      <c r="L4443" t="str">
        <f>CONCATENATE(MONTH(CompilDonnées[[#This Row],[PlantationDate]])," ", YEAR(CompilDonnées[[#This Row],[PlantationDate]]))</f>
        <v>8 2025</v>
      </c>
      <c r="M4443" t="str">
        <f>CONCATENATE(MONTH(CompilDonnées[[#This Row],[HarvestingDate]])," ", YEAR(CompilDonnées[[#This Row],[HarvestingDate]]))</f>
        <v>9 2025</v>
      </c>
      <c r="N4443">
        <f>_xlfn.NUMBERVALUE(CompilDonnées[[#This Row],[FarmID]]&amp;CompilDonnées[[#This Row],[ModuleNumber]]&amp;CompilDonnées[[#This Row],[PlantationDate]])</f>
        <v>24445883</v>
      </c>
      <c r="O4443" t="str">
        <f>CompilDonnées[[#This Row],[FarmID]]&amp;CompilDonnées[[#This Row],[ModuleNumber]]</f>
        <v>244</v>
      </c>
      <c r="P4443" t="str">
        <f>CompilDonnées[[#This Row],[Ref_Module]]&amp;CompilDonnées[[#This Row],[HarvestingDate]]</f>
        <v>24445924</v>
      </c>
    </row>
    <row r="4444" spans="1:16">
      <c r="A4444" s="5">
        <v>45883</v>
      </c>
      <c r="B4444">
        <v>32</v>
      </c>
      <c r="C4444" t="s">
        <v>25</v>
      </c>
      <c r="D4444">
        <v>3</v>
      </c>
      <c r="E4444">
        <v>100</v>
      </c>
      <c r="F4444" t="s">
        <v>1</v>
      </c>
      <c r="G4444" s="6">
        <v>45929</v>
      </c>
      <c r="H4444">
        <v>46</v>
      </c>
      <c r="I4444">
        <f>ROUND(CompilDonnées[[#This Row],[CultureDuration_days]]/7,0)</f>
        <v>7</v>
      </c>
      <c r="J4444">
        <v>3175</v>
      </c>
      <c r="K4444" t="str">
        <f>_xlfn.CONCAT(WEEKNUM(CompilDonnées[[#This Row],[PlantationDate]]), " ", YEAR(CompilDonnées[[#This Row],[PlantationDate]]))</f>
        <v>33 2025</v>
      </c>
      <c r="L4444" t="str">
        <f>CONCATENATE(MONTH(CompilDonnées[[#This Row],[PlantationDate]])," ", YEAR(CompilDonnées[[#This Row],[PlantationDate]]))</f>
        <v>8 2025</v>
      </c>
      <c r="M4444" t="str">
        <f>CONCATENATE(MONTH(CompilDonnées[[#This Row],[HarvestingDate]])," ", YEAR(CompilDonnées[[#This Row],[HarvestingDate]]))</f>
        <v>9 2025</v>
      </c>
      <c r="N4444">
        <f>_xlfn.NUMBERVALUE(CompilDonnées[[#This Row],[FarmID]]&amp;CompilDonnées[[#This Row],[ModuleNumber]]&amp;CompilDonnées[[#This Row],[PlantationDate]])</f>
        <v>32345883</v>
      </c>
      <c r="O4444" t="str">
        <f>CompilDonnées[[#This Row],[FarmID]]&amp;CompilDonnées[[#This Row],[ModuleNumber]]</f>
        <v>323</v>
      </c>
      <c r="P4444" t="str">
        <f>CompilDonnées[[#This Row],[Ref_Module]]&amp;CompilDonnées[[#This Row],[HarvestingDate]]</f>
        <v>32345929</v>
      </c>
    </row>
    <row r="4445" spans="1:16">
      <c r="A4445" s="5">
        <v>45883</v>
      </c>
      <c r="B4445">
        <v>31</v>
      </c>
      <c r="C4445" t="s">
        <v>62</v>
      </c>
      <c r="D4445">
        <v>3</v>
      </c>
      <c r="E4445">
        <v>100</v>
      </c>
      <c r="F4445" t="s">
        <v>1</v>
      </c>
      <c r="G4445" s="6">
        <v>45929</v>
      </c>
      <c r="H4445">
        <v>46</v>
      </c>
      <c r="I4445">
        <f>ROUND(CompilDonnées[[#This Row],[CultureDuration_days]]/7,0)</f>
        <v>7</v>
      </c>
      <c r="J4445">
        <v>2142</v>
      </c>
      <c r="K4445" t="str">
        <f>_xlfn.CONCAT(WEEKNUM(CompilDonnées[[#This Row],[PlantationDate]]), " ", YEAR(CompilDonnées[[#This Row],[PlantationDate]]))</f>
        <v>33 2025</v>
      </c>
      <c r="L4445" t="str">
        <f>CONCATENATE(MONTH(CompilDonnées[[#This Row],[PlantationDate]])," ", YEAR(CompilDonnées[[#This Row],[PlantationDate]]))</f>
        <v>8 2025</v>
      </c>
      <c r="M4445" t="str">
        <f>CONCATENATE(MONTH(CompilDonnées[[#This Row],[HarvestingDate]])," ", YEAR(CompilDonnées[[#This Row],[HarvestingDate]]))</f>
        <v>9 2025</v>
      </c>
      <c r="N4445">
        <f>_xlfn.NUMBERVALUE(CompilDonnées[[#This Row],[FarmID]]&amp;CompilDonnées[[#This Row],[ModuleNumber]]&amp;CompilDonnées[[#This Row],[PlantationDate]])</f>
        <v>31345883</v>
      </c>
      <c r="O4445" t="str">
        <f>CompilDonnées[[#This Row],[FarmID]]&amp;CompilDonnées[[#This Row],[ModuleNumber]]</f>
        <v>313</v>
      </c>
      <c r="P4445" t="str">
        <f>CompilDonnées[[#This Row],[Ref_Module]]&amp;CompilDonnées[[#This Row],[HarvestingDate]]</f>
        <v>31345929</v>
      </c>
    </row>
    <row r="4446" spans="1:16">
      <c r="A4446" s="5">
        <v>45883</v>
      </c>
      <c r="B4446">
        <v>37</v>
      </c>
      <c r="C4446" t="s">
        <v>26</v>
      </c>
      <c r="D4446">
        <v>1</v>
      </c>
      <c r="E4446">
        <v>100</v>
      </c>
      <c r="F4446" t="s">
        <v>1</v>
      </c>
      <c r="G4446" s="6">
        <v>45929</v>
      </c>
      <c r="H4446">
        <v>46</v>
      </c>
      <c r="I4446">
        <f>ROUND(CompilDonnées[[#This Row],[CultureDuration_days]]/7,0)</f>
        <v>7</v>
      </c>
      <c r="J4446">
        <v>2544</v>
      </c>
      <c r="K4446" t="str">
        <f>_xlfn.CONCAT(WEEKNUM(CompilDonnées[[#This Row],[PlantationDate]]), " ", YEAR(CompilDonnées[[#This Row],[PlantationDate]]))</f>
        <v>33 2025</v>
      </c>
      <c r="L4446" t="str">
        <f>CONCATENATE(MONTH(CompilDonnées[[#This Row],[PlantationDate]])," ", YEAR(CompilDonnées[[#This Row],[PlantationDate]]))</f>
        <v>8 2025</v>
      </c>
      <c r="M4446" t="str">
        <f>CONCATENATE(MONTH(CompilDonnées[[#This Row],[HarvestingDate]])," ", YEAR(CompilDonnées[[#This Row],[HarvestingDate]]))</f>
        <v>9 2025</v>
      </c>
      <c r="N4446">
        <f>_xlfn.NUMBERVALUE(CompilDonnées[[#This Row],[FarmID]]&amp;CompilDonnées[[#This Row],[ModuleNumber]]&amp;CompilDonnées[[#This Row],[PlantationDate]])</f>
        <v>37145883</v>
      </c>
      <c r="O4446" t="str">
        <f>CompilDonnées[[#This Row],[FarmID]]&amp;CompilDonnées[[#This Row],[ModuleNumber]]</f>
        <v>371</v>
      </c>
      <c r="P4446" t="str">
        <f>CompilDonnées[[#This Row],[Ref_Module]]&amp;CompilDonnées[[#This Row],[HarvestingDate]]</f>
        <v>37145929</v>
      </c>
    </row>
    <row r="4447" spans="1:16">
      <c r="A4447" s="5">
        <v>45883</v>
      </c>
      <c r="B4447">
        <v>36</v>
      </c>
      <c r="C4447" t="s">
        <v>63</v>
      </c>
      <c r="D4447">
        <v>5</v>
      </c>
      <c r="E4447">
        <v>100</v>
      </c>
      <c r="F4447" t="s">
        <v>1</v>
      </c>
      <c r="G4447" s="6">
        <v>45925</v>
      </c>
      <c r="H4447">
        <v>42</v>
      </c>
      <c r="I4447">
        <f>ROUND(CompilDonnées[[#This Row],[CultureDuration_days]]/7,0)</f>
        <v>6</v>
      </c>
      <c r="J4447">
        <v>2180</v>
      </c>
      <c r="K4447" t="str">
        <f>_xlfn.CONCAT(WEEKNUM(CompilDonnées[[#This Row],[PlantationDate]]), " ", YEAR(CompilDonnées[[#This Row],[PlantationDate]]))</f>
        <v>33 2025</v>
      </c>
      <c r="L4447" t="str">
        <f>CONCATENATE(MONTH(CompilDonnées[[#This Row],[PlantationDate]])," ", YEAR(CompilDonnées[[#This Row],[PlantationDate]]))</f>
        <v>8 2025</v>
      </c>
      <c r="M4447" t="str">
        <f>CONCATENATE(MONTH(CompilDonnées[[#This Row],[HarvestingDate]])," ", YEAR(CompilDonnées[[#This Row],[HarvestingDate]]))</f>
        <v>9 2025</v>
      </c>
      <c r="N4447">
        <f>_xlfn.NUMBERVALUE(CompilDonnées[[#This Row],[FarmID]]&amp;CompilDonnées[[#This Row],[ModuleNumber]]&amp;CompilDonnées[[#This Row],[PlantationDate]])</f>
        <v>36545883</v>
      </c>
      <c r="O4447" t="str">
        <f>CompilDonnées[[#This Row],[FarmID]]&amp;CompilDonnées[[#This Row],[ModuleNumber]]</f>
        <v>365</v>
      </c>
      <c r="P4447" t="str">
        <f>CompilDonnées[[#This Row],[Ref_Module]]&amp;CompilDonnées[[#This Row],[HarvestingDate]]</f>
        <v>36545925</v>
      </c>
    </row>
    <row r="4448" spans="1:16">
      <c r="A4448" s="5">
        <v>45883</v>
      </c>
      <c r="B4448">
        <v>35</v>
      </c>
      <c r="C4448" t="s">
        <v>69</v>
      </c>
      <c r="D4448">
        <v>6</v>
      </c>
      <c r="E4448">
        <v>100</v>
      </c>
      <c r="F4448" t="s">
        <v>1</v>
      </c>
      <c r="G4448" s="6">
        <v>45911</v>
      </c>
      <c r="H4448">
        <v>28</v>
      </c>
      <c r="I4448">
        <f>ROUND(CompilDonnées[[#This Row],[CultureDuration_days]]/7,0)</f>
        <v>4</v>
      </c>
      <c r="J4448">
        <v>1691</v>
      </c>
      <c r="K4448" t="str">
        <f>_xlfn.CONCAT(WEEKNUM(CompilDonnées[[#This Row],[PlantationDate]]), " ", YEAR(CompilDonnées[[#This Row],[PlantationDate]]))</f>
        <v>33 2025</v>
      </c>
      <c r="L4448" t="str">
        <f>CONCATENATE(MONTH(CompilDonnées[[#This Row],[PlantationDate]])," ", YEAR(CompilDonnées[[#This Row],[PlantationDate]]))</f>
        <v>8 2025</v>
      </c>
      <c r="M4448" t="str">
        <f>CONCATENATE(MONTH(CompilDonnées[[#This Row],[HarvestingDate]])," ", YEAR(CompilDonnées[[#This Row],[HarvestingDate]]))</f>
        <v>9 2025</v>
      </c>
      <c r="N4448">
        <f>_xlfn.NUMBERVALUE(CompilDonnées[[#This Row],[FarmID]]&amp;CompilDonnées[[#This Row],[ModuleNumber]]&amp;CompilDonnées[[#This Row],[PlantationDate]])</f>
        <v>35645883</v>
      </c>
      <c r="O4448" t="str">
        <f>CompilDonnées[[#This Row],[FarmID]]&amp;CompilDonnées[[#This Row],[ModuleNumber]]</f>
        <v>356</v>
      </c>
      <c r="P4448" t="str">
        <f>CompilDonnées[[#This Row],[Ref_Module]]&amp;CompilDonnées[[#This Row],[HarvestingDate]]</f>
        <v>35645911</v>
      </c>
    </row>
    <row r="4449" spans="1:16">
      <c r="A4449" s="5">
        <v>45883</v>
      </c>
      <c r="B4449">
        <v>44</v>
      </c>
      <c r="C4449" t="s">
        <v>42</v>
      </c>
      <c r="D4449">
        <v>2</v>
      </c>
      <c r="E4449">
        <v>100</v>
      </c>
      <c r="F4449" t="s">
        <v>1</v>
      </c>
      <c r="G4449" s="6">
        <v>45929</v>
      </c>
      <c r="H4449">
        <v>46</v>
      </c>
      <c r="I4449">
        <f>ROUND(CompilDonnées[[#This Row],[CultureDuration_days]]/7,0)</f>
        <v>7</v>
      </c>
      <c r="J4449">
        <v>1963</v>
      </c>
      <c r="K4449" t="str">
        <f>_xlfn.CONCAT(WEEKNUM(CompilDonnées[[#This Row],[PlantationDate]]), " ", YEAR(CompilDonnées[[#This Row],[PlantationDate]]))</f>
        <v>33 2025</v>
      </c>
      <c r="L4449" t="str">
        <f>CONCATENATE(MONTH(CompilDonnées[[#This Row],[PlantationDate]])," ", YEAR(CompilDonnées[[#This Row],[PlantationDate]]))</f>
        <v>8 2025</v>
      </c>
      <c r="M4449" t="str">
        <f>CONCATENATE(MONTH(CompilDonnées[[#This Row],[HarvestingDate]])," ", YEAR(CompilDonnées[[#This Row],[HarvestingDate]]))</f>
        <v>9 2025</v>
      </c>
      <c r="N4449">
        <f>_xlfn.NUMBERVALUE(CompilDonnées[[#This Row],[FarmID]]&amp;CompilDonnées[[#This Row],[ModuleNumber]]&amp;CompilDonnées[[#This Row],[PlantationDate]])</f>
        <v>44245883</v>
      </c>
      <c r="O4449" t="str">
        <f>CompilDonnées[[#This Row],[FarmID]]&amp;CompilDonnées[[#This Row],[ModuleNumber]]</f>
        <v>442</v>
      </c>
      <c r="P4449" t="str">
        <f>CompilDonnées[[#This Row],[Ref_Module]]&amp;CompilDonnées[[#This Row],[HarvestingDate]]</f>
        <v>44245929</v>
      </c>
    </row>
    <row r="4450" spans="1:16">
      <c r="A4450" s="5">
        <v>45883</v>
      </c>
      <c r="B4450">
        <v>43</v>
      </c>
      <c r="C4450" t="s">
        <v>45</v>
      </c>
      <c r="D4450">
        <v>4</v>
      </c>
      <c r="E4450">
        <v>100</v>
      </c>
      <c r="F4450" t="s">
        <v>1</v>
      </c>
      <c r="G4450" s="6">
        <v>45929</v>
      </c>
      <c r="H4450">
        <v>46</v>
      </c>
      <c r="I4450">
        <f>ROUND(CompilDonnées[[#This Row],[CultureDuration_days]]/7,0)</f>
        <v>7</v>
      </c>
      <c r="J4450">
        <v>2377</v>
      </c>
      <c r="K4450" t="str">
        <f>_xlfn.CONCAT(WEEKNUM(CompilDonnées[[#This Row],[PlantationDate]]), " ", YEAR(CompilDonnées[[#This Row],[PlantationDate]]))</f>
        <v>33 2025</v>
      </c>
      <c r="L4450" t="str">
        <f>CONCATENATE(MONTH(CompilDonnées[[#This Row],[PlantationDate]])," ", YEAR(CompilDonnées[[#This Row],[PlantationDate]]))</f>
        <v>8 2025</v>
      </c>
      <c r="M4450" t="str">
        <f>CONCATENATE(MONTH(CompilDonnées[[#This Row],[HarvestingDate]])," ", YEAR(CompilDonnées[[#This Row],[HarvestingDate]]))</f>
        <v>9 2025</v>
      </c>
      <c r="N4450">
        <f>_xlfn.NUMBERVALUE(CompilDonnées[[#This Row],[FarmID]]&amp;CompilDonnées[[#This Row],[ModuleNumber]]&amp;CompilDonnées[[#This Row],[PlantationDate]])</f>
        <v>43445883</v>
      </c>
      <c r="O4450" t="str">
        <f>CompilDonnées[[#This Row],[FarmID]]&amp;CompilDonnées[[#This Row],[ModuleNumber]]</f>
        <v>434</v>
      </c>
      <c r="P4450" t="str">
        <f>CompilDonnées[[#This Row],[Ref_Module]]&amp;CompilDonnées[[#This Row],[HarvestingDate]]</f>
        <v>43445929</v>
      </c>
    </row>
    <row r="4451" spans="1:16">
      <c r="A4451" s="5">
        <v>45883</v>
      </c>
      <c r="B4451">
        <v>42</v>
      </c>
      <c r="C4451" t="s">
        <v>2</v>
      </c>
      <c r="D4451">
        <v>4</v>
      </c>
      <c r="E4451">
        <v>100</v>
      </c>
      <c r="F4451" t="s">
        <v>1</v>
      </c>
      <c r="G4451" s="6">
        <v>45924</v>
      </c>
      <c r="H4451">
        <v>41</v>
      </c>
      <c r="I4451">
        <f>ROUND(CompilDonnées[[#This Row],[CultureDuration_days]]/7,0)</f>
        <v>6</v>
      </c>
      <c r="J4451">
        <v>1149</v>
      </c>
      <c r="K4451" t="str">
        <f>_xlfn.CONCAT(WEEKNUM(CompilDonnées[[#This Row],[PlantationDate]]), " ", YEAR(CompilDonnées[[#This Row],[PlantationDate]]))</f>
        <v>33 2025</v>
      </c>
      <c r="L4451" t="str">
        <f>CONCATENATE(MONTH(CompilDonnées[[#This Row],[PlantationDate]])," ", YEAR(CompilDonnées[[#This Row],[PlantationDate]]))</f>
        <v>8 2025</v>
      </c>
      <c r="M4451" t="str">
        <f>CONCATENATE(MONTH(CompilDonnées[[#This Row],[HarvestingDate]])," ", YEAR(CompilDonnées[[#This Row],[HarvestingDate]]))</f>
        <v>9 2025</v>
      </c>
      <c r="N4451">
        <f>_xlfn.NUMBERVALUE(CompilDonnées[[#This Row],[FarmID]]&amp;CompilDonnées[[#This Row],[ModuleNumber]]&amp;CompilDonnées[[#This Row],[PlantationDate]])</f>
        <v>42445883</v>
      </c>
      <c r="O4451" t="str">
        <f>CompilDonnées[[#This Row],[FarmID]]&amp;CompilDonnées[[#This Row],[ModuleNumber]]</f>
        <v>424</v>
      </c>
      <c r="P4451" t="str">
        <f>CompilDonnées[[#This Row],[Ref_Module]]&amp;CompilDonnées[[#This Row],[HarvestingDate]]</f>
        <v>42445924</v>
      </c>
    </row>
    <row r="4452" spans="1:16">
      <c r="A4452" s="5">
        <v>45883</v>
      </c>
      <c r="B4452">
        <v>42</v>
      </c>
      <c r="C4452" t="s">
        <v>2</v>
      </c>
      <c r="D4452">
        <v>1</v>
      </c>
      <c r="E4452">
        <v>100</v>
      </c>
      <c r="F4452" t="s">
        <v>1</v>
      </c>
      <c r="G4452" s="6">
        <v>45924</v>
      </c>
      <c r="H4452">
        <v>41</v>
      </c>
      <c r="I4452">
        <f>ROUND(CompilDonnées[[#This Row],[CultureDuration_days]]/7,0)</f>
        <v>6</v>
      </c>
      <c r="J4452">
        <v>2029</v>
      </c>
      <c r="K4452" t="str">
        <f>_xlfn.CONCAT(WEEKNUM(CompilDonnées[[#This Row],[PlantationDate]]), " ", YEAR(CompilDonnées[[#This Row],[PlantationDate]]))</f>
        <v>33 2025</v>
      </c>
      <c r="L4452" t="str">
        <f>CONCATENATE(MONTH(CompilDonnées[[#This Row],[PlantationDate]])," ", YEAR(CompilDonnées[[#This Row],[PlantationDate]]))</f>
        <v>8 2025</v>
      </c>
      <c r="M4452" t="str">
        <f>CONCATENATE(MONTH(CompilDonnées[[#This Row],[HarvestingDate]])," ", YEAR(CompilDonnées[[#This Row],[HarvestingDate]]))</f>
        <v>9 2025</v>
      </c>
      <c r="N4452">
        <f>_xlfn.NUMBERVALUE(CompilDonnées[[#This Row],[FarmID]]&amp;CompilDonnées[[#This Row],[ModuleNumber]]&amp;CompilDonnées[[#This Row],[PlantationDate]])</f>
        <v>42145883</v>
      </c>
      <c r="O4452" t="str">
        <f>CompilDonnées[[#This Row],[FarmID]]&amp;CompilDonnées[[#This Row],[ModuleNumber]]</f>
        <v>421</v>
      </c>
      <c r="P4452" t="str">
        <f>CompilDonnées[[#This Row],[Ref_Module]]&amp;CompilDonnées[[#This Row],[HarvestingDate]]</f>
        <v>42145924</v>
      </c>
    </row>
    <row r="4453" spans="1:16">
      <c r="A4453" s="5">
        <v>45883</v>
      </c>
      <c r="B4453">
        <v>41</v>
      </c>
      <c r="C4453" t="s">
        <v>70</v>
      </c>
      <c r="D4453">
        <v>5</v>
      </c>
      <c r="E4453">
        <v>100</v>
      </c>
      <c r="F4453" t="s">
        <v>1</v>
      </c>
      <c r="G4453" s="6">
        <v>45929</v>
      </c>
      <c r="H4453">
        <v>46</v>
      </c>
      <c r="I4453">
        <f>ROUND(CompilDonnées[[#This Row],[CultureDuration_days]]/7,0)</f>
        <v>7</v>
      </c>
      <c r="J4453">
        <v>1929</v>
      </c>
      <c r="K4453" t="str">
        <f>_xlfn.CONCAT(WEEKNUM(CompilDonnées[[#This Row],[PlantationDate]]), " ", YEAR(CompilDonnées[[#This Row],[PlantationDate]]))</f>
        <v>33 2025</v>
      </c>
      <c r="L4453" t="str">
        <f>CONCATENATE(MONTH(CompilDonnées[[#This Row],[PlantationDate]])," ", YEAR(CompilDonnées[[#This Row],[PlantationDate]]))</f>
        <v>8 2025</v>
      </c>
      <c r="M4453" t="str">
        <f>CONCATENATE(MONTH(CompilDonnées[[#This Row],[HarvestingDate]])," ", YEAR(CompilDonnées[[#This Row],[HarvestingDate]]))</f>
        <v>9 2025</v>
      </c>
      <c r="N4453">
        <f>_xlfn.NUMBERVALUE(CompilDonnées[[#This Row],[FarmID]]&amp;CompilDonnées[[#This Row],[ModuleNumber]]&amp;CompilDonnées[[#This Row],[PlantationDate]])</f>
        <v>41545883</v>
      </c>
      <c r="O4453" t="str">
        <f>CompilDonnées[[#This Row],[FarmID]]&amp;CompilDonnées[[#This Row],[ModuleNumber]]</f>
        <v>415</v>
      </c>
      <c r="P4453" t="str">
        <f>CompilDonnées[[#This Row],[Ref_Module]]&amp;CompilDonnées[[#This Row],[HarvestingDate]]</f>
        <v>41545929</v>
      </c>
    </row>
    <row r="4454" spans="1:16">
      <c r="A4454" s="5">
        <v>45883</v>
      </c>
      <c r="B4454">
        <v>81</v>
      </c>
      <c r="C4454" t="s">
        <v>30</v>
      </c>
      <c r="D4454">
        <v>4</v>
      </c>
      <c r="E4454">
        <v>100</v>
      </c>
      <c r="F4454" t="s">
        <v>1</v>
      </c>
      <c r="G4454" s="6">
        <v>45923</v>
      </c>
      <c r="H4454">
        <v>40</v>
      </c>
      <c r="I4454">
        <f>ROUND(CompilDonnées[[#This Row],[CultureDuration_days]]/7,0)</f>
        <v>6</v>
      </c>
      <c r="J4454">
        <v>2898</v>
      </c>
      <c r="K4454" t="str">
        <f>_xlfn.CONCAT(WEEKNUM(CompilDonnées[[#This Row],[PlantationDate]]), " ", YEAR(CompilDonnées[[#This Row],[PlantationDate]]))</f>
        <v>33 2025</v>
      </c>
      <c r="L4454" t="str">
        <f>CONCATENATE(MONTH(CompilDonnées[[#This Row],[PlantationDate]])," ", YEAR(CompilDonnées[[#This Row],[PlantationDate]]))</f>
        <v>8 2025</v>
      </c>
      <c r="M4454" t="str">
        <f>CONCATENATE(MONTH(CompilDonnées[[#This Row],[HarvestingDate]])," ", YEAR(CompilDonnées[[#This Row],[HarvestingDate]]))</f>
        <v>9 2025</v>
      </c>
      <c r="N4454">
        <f>_xlfn.NUMBERVALUE(CompilDonnées[[#This Row],[FarmID]]&amp;CompilDonnées[[#This Row],[ModuleNumber]]&amp;CompilDonnées[[#This Row],[PlantationDate]])</f>
        <v>81445883</v>
      </c>
      <c r="O4454" t="str">
        <f>CompilDonnées[[#This Row],[FarmID]]&amp;CompilDonnées[[#This Row],[ModuleNumber]]</f>
        <v>814</v>
      </c>
      <c r="P4454" t="str">
        <f>CompilDonnées[[#This Row],[Ref_Module]]&amp;CompilDonnées[[#This Row],[HarvestingDate]]</f>
        <v>81445923</v>
      </c>
    </row>
    <row r="4455" spans="1:16">
      <c r="A4455" s="5">
        <v>45883</v>
      </c>
      <c r="B4455">
        <v>82</v>
      </c>
      <c r="C4455" t="s">
        <v>17</v>
      </c>
      <c r="D4455">
        <v>1</v>
      </c>
      <c r="E4455">
        <v>100</v>
      </c>
      <c r="F4455" t="s">
        <v>1</v>
      </c>
      <c r="G4455" s="6">
        <v>45930</v>
      </c>
      <c r="H4455">
        <v>47</v>
      </c>
      <c r="I4455">
        <f>ROUND(CompilDonnées[[#This Row],[CultureDuration_days]]/7,0)</f>
        <v>7</v>
      </c>
      <c r="J4455">
        <v>4161</v>
      </c>
      <c r="K4455" t="str">
        <f>_xlfn.CONCAT(WEEKNUM(CompilDonnées[[#This Row],[PlantationDate]]), " ", YEAR(CompilDonnées[[#This Row],[PlantationDate]]))</f>
        <v>33 2025</v>
      </c>
      <c r="L4455" t="str">
        <f>CONCATENATE(MONTH(CompilDonnées[[#This Row],[PlantationDate]])," ", YEAR(CompilDonnées[[#This Row],[PlantationDate]]))</f>
        <v>8 2025</v>
      </c>
      <c r="M4455" t="str">
        <f>CONCATENATE(MONTH(CompilDonnées[[#This Row],[HarvestingDate]])," ", YEAR(CompilDonnées[[#This Row],[HarvestingDate]]))</f>
        <v>9 2025</v>
      </c>
      <c r="N4455">
        <f>_xlfn.NUMBERVALUE(CompilDonnées[[#This Row],[FarmID]]&amp;CompilDonnées[[#This Row],[ModuleNumber]]&amp;CompilDonnées[[#This Row],[PlantationDate]])</f>
        <v>82145883</v>
      </c>
      <c r="O4455" t="str">
        <f>CompilDonnées[[#This Row],[FarmID]]&amp;CompilDonnées[[#This Row],[ModuleNumber]]</f>
        <v>821</v>
      </c>
      <c r="P4455" t="str">
        <f>CompilDonnées[[#This Row],[Ref_Module]]&amp;CompilDonnées[[#This Row],[HarvestingDate]]</f>
        <v>82145930</v>
      </c>
    </row>
    <row r="4456" spans="1:16">
      <c r="A4456" s="5">
        <v>45883</v>
      </c>
      <c r="B4456">
        <v>68</v>
      </c>
      <c r="C4456" t="s">
        <v>89</v>
      </c>
      <c r="D4456">
        <v>2</v>
      </c>
      <c r="E4456">
        <v>100</v>
      </c>
      <c r="F4456" t="s">
        <v>1</v>
      </c>
      <c r="G4456" s="6">
        <v>45929</v>
      </c>
      <c r="H4456">
        <v>46</v>
      </c>
      <c r="I4456">
        <f>ROUND(CompilDonnées[[#This Row],[CultureDuration_days]]/7,0)</f>
        <v>7</v>
      </c>
      <c r="J4456">
        <v>3910</v>
      </c>
      <c r="K4456" t="str">
        <f>_xlfn.CONCAT(WEEKNUM(CompilDonnées[[#This Row],[PlantationDate]]), " ", YEAR(CompilDonnées[[#This Row],[PlantationDate]]))</f>
        <v>33 2025</v>
      </c>
      <c r="L4456" t="str">
        <f>CONCATENATE(MONTH(CompilDonnées[[#This Row],[PlantationDate]])," ", YEAR(CompilDonnées[[#This Row],[PlantationDate]]))</f>
        <v>8 2025</v>
      </c>
      <c r="M4456" t="str">
        <f>CONCATENATE(MONTH(CompilDonnées[[#This Row],[HarvestingDate]])," ", YEAR(CompilDonnées[[#This Row],[HarvestingDate]]))</f>
        <v>9 2025</v>
      </c>
      <c r="N4456">
        <f>_xlfn.NUMBERVALUE(CompilDonnées[[#This Row],[FarmID]]&amp;CompilDonnées[[#This Row],[ModuleNumber]]&amp;CompilDonnées[[#This Row],[PlantationDate]])</f>
        <v>68245883</v>
      </c>
      <c r="O4456" t="str">
        <f>CompilDonnées[[#This Row],[FarmID]]&amp;CompilDonnées[[#This Row],[ModuleNumber]]</f>
        <v>682</v>
      </c>
      <c r="P4456" t="str">
        <f>CompilDonnées[[#This Row],[Ref_Module]]&amp;CompilDonnées[[#This Row],[HarvestingDate]]</f>
        <v>68245929</v>
      </c>
    </row>
    <row r="4457" spans="1:16">
      <c r="A4457" s="5">
        <v>45883</v>
      </c>
      <c r="B4457">
        <v>48</v>
      </c>
      <c r="C4457" t="s">
        <v>71</v>
      </c>
      <c r="D4457">
        <v>5</v>
      </c>
      <c r="E4457">
        <v>100</v>
      </c>
      <c r="F4457" t="s">
        <v>1</v>
      </c>
      <c r="G4457" s="6">
        <v>45924</v>
      </c>
      <c r="H4457">
        <v>41</v>
      </c>
      <c r="I4457">
        <f>ROUND(CompilDonnées[[#This Row],[CultureDuration_days]]/7,0)</f>
        <v>6</v>
      </c>
      <c r="J4457">
        <v>1962</v>
      </c>
      <c r="K4457" t="str">
        <f>_xlfn.CONCAT(WEEKNUM(CompilDonnées[[#This Row],[PlantationDate]]), " ", YEAR(CompilDonnées[[#This Row],[PlantationDate]]))</f>
        <v>33 2025</v>
      </c>
      <c r="L4457" t="str">
        <f>CONCATENATE(MONTH(CompilDonnées[[#This Row],[PlantationDate]])," ", YEAR(CompilDonnées[[#This Row],[PlantationDate]]))</f>
        <v>8 2025</v>
      </c>
      <c r="M4457" t="str">
        <f>CONCATENATE(MONTH(CompilDonnées[[#This Row],[HarvestingDate]])," ", YEAR(CompilDonnées[[#This Row],[HarvestingDate]]))</f>
        <v>9 2025</v>
      </c>
      <c r="N4457">
        <f>_xlfn.NUMBERVALUE(CompilDonnées[[#This Row],[FarmID]]&amp;CompilDonnées[[#This Row],[ModuleNumber]]&amp;CompilDonnées[[#This Row],[PlantationDate]])</f>
        <v>48545883</v>
      </c>
      <c r="O4457" t="str">
        <f>CompilDonnées[[#This Row],[FarmID]]&amp;CompilDonnées[[#This Row],[ModuleNumber]]</f>
        <v>485</v>
      </c>
      <c r="P4457" t="str">
        <f>CompilDonnées[[#This Row],[Ref_Module]]&amp;CompilDonnées[[#This Row],[HarvestingDate]]</f>
        <v>48545924</v>
      </c>
    </row>
    <row r="4458" spans="1:16">
      <c r="A4458" s="5">
        <v>45883</v>
      </c>
      <c r="B4458">
        <v>89</v>
      </c>
      <c r="C4458" t="s">
        <v>67</v>
      </c>
      <c r="D4458">
        <v>6</v>
      </c>
      <c r="E4458">
        <v>100</v>
      </c>
      <c r="F4458" t="s">
        <v>1</v>
      </c>
      <c r="G4458" s="6">
        <v>45930</v>
      </c>
      <c r="H4458">
        <v>47</v>
      </c>
      <c r="I4458">
        <f>ROUND(CompilDonnées[[#This Row],[CultureDuration_days]]/7,0)</f>
        <v>7</v>
      </c>
      <c r="J4458">
        <v>2861</v>
      </c>
      <c r="K4458" t="str">
        <f>_xlfn.CONCAT(WEEKNUM(CompilDonnées[[#This Row],[PlantationDate]]), " ", YEAR(CompilDonnées[[#This Row],[PlantationDate]]))</f>
        <v>33 2025</v>
      </c>
      <c r="L4458" t="str">
        <f>CONCATENATE(MONTH(CompilDonnées[[#This Row],[PlantationDate]])," ", YEAR(CompilDonnées[[#This Row],[PlantationDate]]))</f>
        <v>8 2025</v>
      </c>
      <c r="M4458" t="str">
        <f>CONCATENATE(MONTH(CompilDonnées[[#This Row],[HarvestingDate]])," ", YEAR(CompilDonnées[[#This Row],[HarvestingDate]]))</f>
        <v>9 2025</v>
      </c>
      <c r="N4458">
        <f>_xlfn.NUMBERVALUE(CompilDonnées[[#This Row],[FarmID]]&amp;CompilDonnées[[#This Row],[ModuleNumber]]&amp;CompilDonnées[[#This Row],[PlantationDate]])</f>
        <v>89645883</v>
      </c>
      <c r="O4458" t="str">
        <f>CompilDonnées[[#This Row],[FarmID]]&amp;CompilDonnées[[#This Row],[ModuleNumber]]</f>
        <v>896</v>
      </c>
      <c r="P4458" t="str">
        <f>CompilDonnées[[#This Row],[Ref_Module]]&amp;CompilDonnées[[#This Row],[HarvestingDate]]</f>
        <v>89645930</v>
      </c>
    </row>
    <row r="4459" spans="1:16">
      <c r="A4459" s="5">
        <v>45883</v>
      </c>
      <c r="B4459">
        <v>102</v>
      </c>
      <c r="C4459" t="s">
        <v>85</v>
      </c>
      <c r="D4459">
        <v>1</v>
      </c>
      <c r="E4459">
        <v>100</v>
      </c>
      <c r="F4459" t="s">
        <v>1</v>
      </c>
      <c r="G4459" s="6">
        <v>45938</v>
      </c>
      <c r="H4459">
        <v>55</v>
      </c>
      <c r="I4459">
        <f>ROUND(CompilDonnées[[#This Row],[CultureDuration_days]]/7,0)</f>
        <v>8</v>
      </c>
      <c r="J4459">
        <v>1084</v>
      </c>
      <c r="K4459" t="str">
        <f>_xlfn.CONCAT(WEEKNUM(CompilDonnées[[#This Row],[PlantationDate]]), " ", YEAR(CompilDonnées[[#This Row],[PlantationDate]]))</f>
        <v>33 2025</v>
      </c>
      <c r="L4459" t="str">
        <f>CONCATENATE(MONTH(CompilDonnées[[#This Row],[PlantationDate]])," ", YEAR(CompilDonnées[[#This Row],[PlantationDate]]))</f>
        <v>8 2025</v>
      </c>
      <c r="M4459" t="str">
        <f>CONCATENATE(MONTH(CompilDonnées[[#This Row],[HarvestingDate]])," ", YEAR(CompilDonnées[[#This Row],[HarvestingDate]]))</f>
        <v>10 2025</v>
      </c>
      <c r="N4459">
        <f>_xlfn.NUMBERVALUE(CompilDonnées[[#This Row],[FarmID]]&amp;CompilDonnées[[#This Row],[ModuleNumber]]&amp;CompilDonnées[[#This Row],[PlantationDate]])</f>
        <v>102145883</v>
      </c>
      <c r="O4459" t="str">
        <f>CompilDonnées[[#This Row],[FarmID]]&amp;CompilDonnées[[#This Row],[ModuleNumber]]</f>
        <v>1021</v>
      </c>
      <c r="P4459" t="str">
        <f>CompilDonnées[[#This Row],[Ref_Module]]&amp;CompilDonnées[[#This Row],[HarvestingDate]]</f>
        <v>102145938</v>
      </c>
    </row>
    <row r="4460" spans="1:16">
      <c r="A4460" s="5">
        <v>45883</v>
      </c>
      <c r="B4460">
        <v>88</v>
      </c>
      <c r="C4460" t="s">
        <v>94</v>
      </c>
      <c r="D4460">
        <v>4</v>
      </c>
      <c r="E4460">
        <v>100</v>
      </c>
      <c r="F4460" t="s">
        <v>1</v>
      </c>
      <c r="G4460" s="6">
        <v>45930</v>
      </c>
      <c r="H4460">
        <v>47</v>
      </c>
      <c r="I4460">
        <f>ROUND(CompilDonnées[[#This Row],[CultureDuration_days]]/7,0)</f>
        <v>7</v>
      </c>
      <c r="J4460">
        <v>3904</v>
      </c>
      <c r="K4460" t="str">
        <f>_xlfn.CONCAT(WEEKNUM(CompilDonnées[[#This Row],[PlantationDate]]), " ", YEAR(CompilDonnées[[#This Row],[PlantationDate]]))</f>
        <v>33 2025</v>
      </c>
      <c r="L4460" t="str">
        <f>CONCATENATE(MONTH(CompilDonnées[[#This Row],[PlantationDate]])," ", YEAR(CompilDonnées[[#This Row],[PlantationDate]]))</f>
        <v>8 2025</v>
      </c>
      <c r="M4460" t="str">
        <f>CONCATENATE(MONTH(CompilDonnées[[#This Row],[HarvestingDate]])," ", YEAR(CompilDonnées[[#This Row],[HarvestingDate]]))</f>
        <v>9 2025</v>
      </c>
      <c r="N4460">
        <f>_xlfn.NUMBERVALUE(CompilDonnées[[#This Row],[FarmID]]&amp;CompilDonnées[[#This Row],[ModuleNumber]]&amp;CompilDonnées[[#This Row],[PlantationDate]])</f>
        <v>88445883</v>
      </c>
      <c r="O4460" t="str">
        <f>CompilDonnées[[#This Row],[FarmID]]&amp;CompilDonnées[[#This Row],[ModuleNumber]]</f>
        <v>884</v>
      </c>
      <c r="P4460" t="str">
        <f>CompilDonnées[[#This Row],[Ref_Module]]&amp;CompilDonnées[[#This Row],[HarvestingDate]]</f>
        <v>88445930</v>
      </c>
    </row>
    <row r="4461" spans="1:16">
      <c r="A4461" s="5">
        <v>45883</v>
      </c>
      <c r="B4461">
        <v>1</v>
      </c>
      <c r="C4461" t="s">
        <v>111</v>
      </c>
      <c r="D4461">
        <v>5</v>
      </c>
      <c r="E4461">
        <v>100</v>
      </c>
      <c r="F4461" t="s">
        <v>1</v>
      </c>
      <c r="G4461" s="6">
        <v>45929</v>
      </c>
      <c r="H4461">
        <v>46</v>
      </c>
      <c r="I4461">
        <f>ROUND(CompilDonnées[[#This Row],[CultureDuration_days]]/7,0)</f>
        <v>7</v>
      </c>
      <c r="J4461">
        <v>2194</v>
      </c>
      <c r="K4461" t="str">
        <f>_xlfn.CONCAT(WEEKNUM(CompilDonnées[[#This Row],[PlantationDate]]), " ", YEAR(CompilDonnées[[#This Row],[PlantationDate]]))</f>
        <v>33 2025</v>
      </c>
      <c r="L4461" t="str">
        <f>CONCATENATE(MONTH(CompilDonnées[[#This Row],[PlantationDate]])," ", YEAR(CompilDonnées[[#This Row],[PlantationDate]]))</f>
        <v>8 2025</v>
      </c>
      <c r="M4461" t="str">
        <f>CONCATENATE(MONTH(CompilDonnées[[#This Row],[HarvestingDate]])," ", YEAR(CompilDonnées[[#This Row],[HarvestingDate]]))</f>
        <v>9 2025</v>
      </c>
      <c r="N4461">
        <f>_xlfn.NUMBERVALUE(CompilDonnées[[#This Row],[FarmID]]&amp;CompilDonnées[[#This Row],[ModuleNumber]]&amp;CompilDonnées[[#This Row],[PlantationDate]])</f>
        <v>1545883</v>
      </c>
      <c r="O4461" t="str">
        <f>CompilDonnées[[#This Row],[FarmID]]&amp;CompilDonnées[[#This Row],[ModuleNumber]]</f>
        <v>15</v>
      </c>
      <c r="P4461" t="str">
        <f>CompilDonnées[[#This Row],[Ref_Module]]&amp;CompilDonnées[[#This Row],[HarvestingDate]]</f>
        <v>1545929</v>
      </c>
    </row>
    <row r="4462" spans="1:16">
      <c r="A4462" s="5">
        <v>45883</v>
      </c>
      <c r="B4462">
        <v>2</v>
      </c>
      <c r="C4462" t="s">
        <v>119</v>
      </c>
      <c r="D4462">
        <v>6</v>
      </c>
      <c r="E4462">
        <v>100</v>
      </c>
      <c r="F4462" t="s">
        <v>1</v>
      </c>
      <c r="G4462" s="6">
        <v>45915</v>
      </c>
      <c r="H4462">
        <v>32</v>
      </c>
      <c r="I4462">
        <f>ROUND(CompilDonnées[[#This Row],[CultureDuration_days]]/7,0)</f>
        <v>5</v>
      </c>
      <c r="J4462">
        <v>2005</v>
      </c>
      <c r="K4462" t="str">
        <f>_xlfn.CONCAT(WEEKNUM(CompilDonnées[[#This Row],[PlantationDate]]), " ", YEAR(CompilDonnées[[#This Row],[PlantationDate]]))</f>
        <v>33 2025</v>
      </c>
      <c r="L4462" t="str">
        <f>CONCATENATE(MONTH(CompilDonnées[[#This Row],[PlantationDate]])," ", YEAR(CompilDonnées[[#This Row],[PlantationDate]]))</f>
        <v>8 2025</v>
      </c>
      <c r="M4462" t="str">
        <f>CONCATENATE(MONTH(CompilDonnées[[#This Row],[HarvestingDate]])," ", YEAR(CompilDonnées[[#This Row],[HarvestingDate]]))</f>
        <v>9 2025</v>
      </c>
      <c r="N4462">
        <f>_xlfn.NUMBERVALUE(CompilDonnées[[#This Row],[FarmID]]&amp;CompilDonnées[[#This Row],[ModuleNumber]]&amp;CompilDonnées[[#This Row],[PlantationDate]])</f>
        <v>2645883</v>
      </c>
      <c r="O4462" t="str">
        <f>CompilDonnées[[#This Row],[FarmID]]&amp;CompilDonnées[[#This Row],[ModuleNumber]]</f>
        <v>26</v>
      </c>
      <c r="P4462" t="str">
        <f>CompilDonnées[[#This Row],[Ref_Module]]&amp;CompilDonnées[[#This Row],[HarvestingDate]]</f>
        <v>2645915</v>
      </c>
    </row>
    <row r="4463" spans="1:16">
      <c r="A4463" s="5">
        <v>45883</v>
      </c>
      <c r="B4463">
        <v>9</v>
      </c>
      <c r="C4463" t="s">
        <v>107</v>
      </c>
      <c r="D4463">
        <v>4</v>
      </c>
      <c r="E4463">
        <v>100</v>
      </c>
      <c r="F4463" t="s">
        <v>1</v>
      </c>
      <c r="G4463" s="6">
        <v>45939</v>
      </c>
      <c r="H4463">
        <v>56</v>
      </c>
      <c r="I4463">
        <f>ROUND(CompilDonnées[[#This Row],[CultureDuration_days]]/7,0)</f>
        <v>8</v>
      </c>
      <c r="J4463">
        <v>2379</v>
      </c>
      <c r="K4463" t="str">
        <f>_xlfn.CONCAT(WEEKNUM(CompilDonnées[[#This Row],[PlantationDate]]), " ", YEAR(CompilDonnées[[#This Row],[PlantationDate]]))</f>
        <v>33 2025</v>
      </c>
      <c r="L4463" t="str">
        <f>CONCATENATE(MONTH(CompilDonnées[[#This Row],[PlantationDate]])," ", YEAR(CompilDonnées[[#This Row],[PlantationDate]]))</f>
        <v>8 2025</v>
      </c>
      <c r="M4463" t="str">
        <f>CONCATENATE(MONTH(CompilDonnées[[#This Row],[HarvestingDate]])," ", YEAR(CompilDonnées[[#This Row],[HarvestingDate]]))</f>
        <v>10 2025</v>
      </c>
      <c r="N4463">
        <f>_xlfn.NUMBERVALUE(CompilDonnées[[#This Row],[FarmID]]&amp;CompilDonnées[[#This Row],[ModuleNumber]]&amp;CompilDonnées[[#This Row],[PlantationDate]])</f>
        <v>9445883</v>
      </c>
      <c r="O4463" t="str">
        <f>CompilDonnées[[#This Row],[FarmID]]&amp;CompilDonnées[[#This Row],[ModuleNumber]]</f>
        <v>94</v>
      </c>
      <c r="P4463" t="str">
        <f>CompilDonnées[[#This Row],[Ref_Module]]&amp;CompilDonnées[[#This Row],[HarvestingDate]]</f>
        <v>9445939</v>
      </c>
    </row>
    <row r="4464" spans="1:16">
      <c r="A4464" s="5">
        <v>45883</v>
      </c>
      <c r="B4464">
        <v>14</v>
      </c>
      <c r="C4464" t="s">
        <v>82</v>
      </c>
      <c r="D4464">
        <v>2</v>
      </c>
      <c r="E4464">
        <v>100</v>
      </c>
      <c r="F4464" t="s">
        <v>1</v>
      </c>
      <c r="G4464" s="6">
        <v>45929</v>
      </c>
      <c r="H4464">
        <v>46</v>
      </c>
      <c r="I4464">
        <f>ROUND(CompilDonnées[[#This Row],[CultureDuration_days]]/7,0)</f>
        <v>7</v>
      </c>
      <c r="J4464">
        <v>2813</v>
      </c>
      <c r="K4464" t="str">
        <f>_xlfn.CONCAT(WEEKNUM(CompilDonnées[[#This Row],[PlantationDate]]), " ", YEAR(CompilDonnées[[#This Row],[PlantationDate]]))</f>
        <v>33 2025</v>
      </c>
      <c r="L4464" t="str">
        <f>CONCATENATE(MONTH(CompilDonnées[[#This Row],[PlantationDate]])," ", YEAR(CompilDonnées[[#This Row],[PlantationDate]]))</f>
        <v>8 2025</v>
      </c>
      <c r="M4464" t="str">
        <f>CONCATENATE(MONTH(CompilDonnées[[#This Row],[HarvestingDate]])," ", YEAR(CompilDonnées[[#This Row],[HarvestingDate]]))</f>
        <v>9 2025</v>
      </c>
      <c r="N4464">
        <f>_xlfn.NUMBERVALUE(CompilDonnées[[#This Row],[FarmID]]&amp;CompilDonnées[[#This Row],[ModuleNumber]]&amp;CompilDonnées[[#This Row],[PlantationDate]])</f>
        <v>14245883</v>
      </c>
      <c r="O4464" t="str">
        <f>CompilDonnées[[#This Row],[FarmID]]&amp;CompilDonnées[[#This Row],[ModuleNumber]]</f>
        <v>142</v>
      </c>
      <c r="P4464" t="str">
        <f>CompilDonnées[[#This Row],[Ref_Module]]&amp;CompilDonnées[[#This Row],[HarvestingDate]]</f>
        <v>14245929</v>
      </c>
    </row>
    <row r="4465" spans="1:16">
      <c r="A4465" s="5">
        <v>45883</v>
      </c>
      <c r="B4465">
        <v>46</v>
      </c>
      <c r="C4465" t="s">
        <v>8</v>
      </c>
      <c r="D4465">
        <v>3</v>
      </c>
      <c r="E4465">
        <v>100</v>
      </c>
      <c r="F4465" t="s">
        <v>1</v>
      </c>
      <c r="G4465" s="6">
        <v>45939</v>
      </c>
      <c r="H4465">
        <v>56</v>
      </c>
      <c r="I4465">
        <f>ROUND(CompilDonnées[[#This Row],[CultureDuration_days]]/7,0)</f>
        <v>8</v>
      </c>
      <c r="J4465">
        <v>2700</v>
      </c>
      <c r="K4465" t="str">
        <f>_xlfn.CONCAT(WEEKNUM(CompilDonnées[[#This Row],[PlantationDate]]), " ", YEAR(CompilDonnées[[#This Row],[PlantationDate]]))</f>
        <v>33 2025</v>
      </c>
      <c r="L4465" t="str">
        <f>CONCATENATE(MONTH(CompilDonnées[[#This Row],[PlantationDate]])," ", YEAR(CompilDonnées[[#This Row],[PlantationDate]]))</f>
        <v>8 2025</v>
      </c>
      <c r="M4465" t="str">
        <f>CONCATENATE(MONTH(CompilDonnées[[#This Row],[HarvestingDate]])," ", YEAR(CompilDonnées[[#This Row],[HarvestingDate]]))</f>
        <v>10 2025</v>
      </c>
      <c r="N4465">
        <f>_xlfn.NUMBERVALUE(CompilDonnées[[#This Row],[FarmID]]&amp;CompilDonnées[[#This Row],[ModuleNumber]]&amp;CompilDonnées[[#This Row],[PlantationDate]])</f>
        <v>46345883</v>
      </c>
      <c r="O4465" t="str">
        <f>CompilDonnées[[#This Row],[FarmID]]&amp;CompilDonnées[[#This Row],[ModuleNumber]]</f>
        <v>463</v>
      </c>
      <c r="P4465" t="str">
        <f>CompilDonnées[[#This Row],[Ref_Module]]&amp;CompilDonnées[[#This Row],[HarvestingDate]]</f>
        <v>46345939</v>
      </c>
    </row>
    <row r="4466" spans="1:16">
      <c r="A4466" s="5">
        <v>45883</v>
      </c>
      <c r="B4466">
        <v>53</v>
      </c>
      <c r="C4466" t="s">
        <v>83</v>
      </c>
      <c r="D4466">
        <v>1</v>
      </c>
      <c r="E4466">
        <v>100</v>
      </c>
      <c r="F4466" t="s">
        <v>1</v>
      </c>
      <c r="G4466" s="6">
        <v>45924</v>
      </c>
      <c r="H4466">
        <v>41</v>
      </c>
      <c r="I4466">
        <f>ROUND(CompilDonnées[[#This Row],[CultureDuration_days]]/7,0)</f>
        <v>6</v>
      </c>
      <c r="J4466">
        <v>2030</v>
      </c>
      <c r="K4466" t="str">
        <f>_xlfn.CONCAT(WEEKNUM(CompilDonnées[[#This Row],[PlantationDate]]), " ", YEAR(CompilDonnées[[#This Row],[PlantationDate]]))</f>
        <v>33 2025</v>
      </c>
      <c r="L4466" t="str">
        <f>CONCATENATE(MONTH(CompilDonnées[[#This Row],[PlantationDate]])," ", YEAR(CompilDonnées[[#This Row],[PlantationDate]]))</f>
        <v>8 2025</v>
      </c>
      <c r="M4466" t="str">
        <f>CONCATENATE(MONTH(CompilDonnées[[#This Row],[HarvestingDate]])," ", YEAR(CompilDonnées[[#This Row],[HarvestingDate]]))</f>
        <v>9 2025</v>
      </c>
      <c r="N4466">
        <f>_xlfn.NUMBERVALUE(CompilDonnées[[#This Row],[FarmID]]&amp;CompilDonnées[[#This Row],[ModuleNumber]]&amp;CompilDonnées[[#This Row],[PlantationDate]])</f>
        <v>53145883</v>
      </c>
      <c r="O4466" t="str">
        <f>CompilDonnées[[#This Row],[FarmID]]&amp;CompilDonnées[[#This Row],[ModuleNumber]]</f>
        <v>531</v>
      </c>
      <c r="P4466" t="str">
        <f>CompilDonnées[[#This Row],[Ref_Module]]&amp;CompilDonnées[[#This Row],[HarvestingDate]]</f>
        <v>53145924</v>
      </c>
    </row>
    <row r="4467" spans="1:16">
      <c r="A4467" s="5">
        <v>45889</v>
      </c>
      <c r="B4467">
        <v>13</v>
      </c>
      <c r="C4467" t="s">
        <v>114</v>
      </c>
      <c r="D4467">
        <v>1</v>
      </c>
      <c r="E4467">
        <v>100</v>
      </c>
      <c r="F4467" t="s">
        <v>1</v>
      </c>
      <c r="G4467" s="6">
        <v>45939</v>
      </c>
      <c r="H4467">
        <v>50</v>
      </c>
      <c r="I4467">
        <f>ROUND(CompilDonnées[[#This Row],[CultureDuration_days]]/7,0)</f>
        <v>7</v>
      </c>
      <c r="J4467">
        <v>3509</v>
      </c>
      <c r="K4467" t="str">
        <f>_xlfn.CONCAT(WEEKNUM(CompilDonnées[[#This Row],[PlantationDate]]), " ", YEAR(CompilDonnées[[#This Row],[PlantationDate]]))</f>
        <v>34 2025</v>
      </c>
      <c r="L4467" t="str">
        <f>CONCATENATE(MONTH(CompilDonnées[[#This Row],[PlantationDate]])," ", YEAR(CompilDonnées[[#This Row],[PlantationDate]]))</f>
        <v>8 2025</v>
      </c>
      <c r="M4467" t="str">
        <f>CONCATENATE(MONTH(CompilDonnées[[#This Row],[HarvestingDate]])," ", YEAR(CompilDonnées[[#This Row],[HarvestingDate]]))</f>
        <v>10 2025</v>
      </c>
      <c r="N4467">
        <f>_xlfn.NUMBERVALUE(CompilDonnées[[#This Row],[FarmID]]&amp;CompilDonnées[[#This Row],[ModuleNumber]]&amp;CompilDonnées[[#This Row],[PlantationDate]])</f>
        <v>13145889</v>
      </c>
      <c r="O4467" t="str">
        <f>CompilDonnées[[#This Row],[FarmID]]&amp;CompilDonnées[[#This Row],[ModuleNumber]]</f>
        <v>131</v>
      </c>
      <c r="P4467" t="str">
        <f>CompilDonnées[[#This Row],[Ref_Module]]&amp;CompilDonnées[[#This Row],[HarvestingDate]]</f>
        <v>13145939</v>
      </c>
    </row>
    <row r="4468" spans="1:16">
      <c r="A4468" s="5">
        <v>45889</v>
      </c>
      <c r="B4468">
        <v>2</v>
      </c>
      <c r="C4468" t="s">
        <v>119</v>
      </c>
      <c r="D4468">
        <v>3</v>
      </c>
      <c r="E4468">
        <v>100</v>
      </c>
      <c r="F4468" t="s">
        <v>1</v>
      </c>
      <c r="G4468" s="6">
        <v>45943</v>
      </c>
      <c r="H4468">
        <v>54</v>
      </c>
      <c r="I4468">
        <f>ROUND(CompilDonnées[[#This Row],[CultureDuration_days]]/7,0)</f>
        <v>8</v>
      </c>
      <c r="J4468">
        <v>2383</v>
      </c>
      <c r="K4468" t="str">
        <f>_xlfn.CONCAT(WEEKNUM(CompilDonnées[[#This Row],[PlantationDate]]), " ", YEAR(CompilDonnées[[#This Row],[PlantationDate]]))</f>
        <v>34 2025</v>
      </c>
      <c r="L4468" t="str">
        <f>CONCATENATE(MONTH(CompilDonnées[[#This Row],[PlantationDate]])," ", YEAR(CompilDonnées[[#This Row],[PlantationDate]]))</f>
        <v>8 2025</v>
      </c>
      <c r="M4468" t="str">
        <f>CONCATENATE(MONTH(CompilDonnées[[#This Row],[HarvestingDate]])," ", YEAR(CompilDonnées[[#This Row],[HarvestingDate]]))</f>
        <v>10 2025</v>
      </c>
      <c r="N4468">
        <f>_xlfn.NUMBERVALUE(CompilDonnées[[#This Row],[FarmID]]&amp;CompilDonnées[[#This Row],[ModuleNumber]]&amp;CompilDonnées[[#This Row],[PlantationDate]])</f>
        <v>2345889</v>
      </c>
      <c r="O4468" t="str">
        <f>CompilDonnées[[#This Row],[FarmID]]&amp;CompilDonnées[[#This Row],[ModuleNumber]]</f>
        <v>23</v>
      </c>
      <c r="P4468" t="str">
        <f>CompilDonnées[[#This Row],[Ref_Module]]&amp;CompilDonnées[[#This Row],[HarvestingDate]]</f>
        <v>2345943</v>
      </c>
    </row>
    <row r="4469" spans="1:16">
      <c r="A4469" s="5">
        <v>45889</v>
      </c>
      <c r="B4469">
        <v>9</v>
      </c>
      <c r="C4469" t="s">
        <v>107</v>
      </c>
      <c r="D4469">
        <v>5</v>
      </c>
      <c r="E4469">
        <v>100</v>
      </c>
      <c r="F4469" t="s">
        <v>1</v>
      </c>
      <c r="G4469" s="6">
        <v>45943</v>
      </c>
      <c r="H4469">
        <v>54</v>
      </c>
      <c r="I4469">
        <f>ROUND(CompilDonnées[[#This Row],[CultureDuration_days]]/7,0)</f>
        <v>8</v>
      </c>
      <c r="J4469">
        <v>1860</v>
      </c>
      <c r="K4469" t="str">
        <f>_xlfn.CONCAT(WEEKNUM(CompilDonnées[[#This Row],[PlantationDate]]), " ", YEAR(CompilDonnées[[#This Row],[PlantationDate]]))</f>
        <v>34 2025</v>
      </c>
      <c r="L4469" t="str">
        <f>CONCATENATE(MONTH(CompilDonnées[[#This Row],[PlantationDate]])," ", YEAR(CompilDonnées[[#This Row],[PlantationDate]]))</f>
        <v>8 2025</v>
      </c>
      <c r="M4469" t="str">
        <f>CONCATENATE(MONTH(CompilDonnées[[#This Row],[HarvestingDate]])," ", YEAR(CompilDonnées[[#This Row],[HarvestingDate]]))</f>
        <v>10 2025</v>
      </c>
      <c r="N4469">
        <f>_xlfn.NUMBERVALUE(CompilDonnées[[#This Row],[FarmID]]&amp;CompilDonnées[[#This Row],[ModuleNumber]]&amp;CompilDonnées[[#This Row],[PlantationDate]])</f>
        <v>9545889</v>
      </c>
      <c r="O4469" t="str">
        <f>CompilDonnées[[#This Row],[FarmID]]&amp;CompilDonnées[[#This Row],[ModuleNumber]]</f>
        <v>95</v>
      </c>
      <c r="P4469" t="str">
        <f>CompilDonnées[[#This Row],[Ref_Module]]&amp;CompilDonnées[[#This Row],[HarvestingDate]]</f>
        <v>9545943</v>
      </c>
    </row>
    <row r="4470" spans="1:16">
      <c r="A4470" s="5">
        <v>45889</v>
      </c>
      <c r="B4470">
        <v>7</v>
      </c>
      <c r="C4470" t="s">
        <v>50</v>
      </c>
      <c r="D4470">
        <v>5</v>
      </c>
      <c r="E4470">
        <v>100</v>
      </c>
      <c r="F4470" t="s">
        <v>1</v>
      </c>
      <c r="G4470" s="6">
        <v>45939</v>
      </c>
      <c r="H4470">
        <v>50</v>
      </c>
      <c r="I4470">
        <f>ROUND(CompilDonnées[[#This Row],[CultureDuration_days]]/7,0)</f>
        <v>7</v>
      </c>
      <c r="J4470">
        <v>2238</v>
      </c>
      <c r="K4470" t="str">
        <f>_xlfn.CONCAT(WEEKNUM(CompilDonnées[[#This Row],[PlantationDate]]), " ", YEAR(CompilDonnées[[#This Row],[PlantationDate]]))</f>
        <v>34 2025</v>
      </c>
      <c r="L4470" t="str">
        <f>CONCATENATE(MONTH(CompilDonnées[[#This Row],[PlantationDate]])," ", YEAR(CompilDonnées[[#This Row],[PlantationDate]]))</f>
        <v>8 2025</v>
      </c>
      <c r="M4470" t="str">
        <f>CONCATENATE(MONTH(CompilDonnées[[#This Row],[HarvestingDate]])," ", YEAR(CompilDonnées[[#This Row],[HarvestingDate]]))</f>
        <v>10 2025</v>
      </c>
      <c r="N4470">
        <f>_xlfn.NUMBERVALUE(CompilDonnées[[#This Row],[FarmID]]&amp;CompilDonnées[[#This Row],[ModuleNumber]]&amp;CompilDonnées[[#This Row],[PlantationDate]])</f>
        <v>7545889</v>
      </c>
      <c r="O4470" t="str">
        <f>CompilDonnées[[#This Row],[FarmID]]&amp;CompilDonnées[[#This Row],[ModuleNumber]]</f>
        <v>75</v>
      </c>
      <c r="P4470" t="str">
        <f>CompilDonnées[[#This Row],[Ref_Module]]&amp;CompilDonnées[[#This Row],[HarvestingDate]]</f>
        <v>7545939</v>
      </c>
    </row>
    <row r="4471" spans="1:16">
      <c r="A4471" s="5">
        <v>45889</v>
      </c>
      <c r="B4471">
        <v>8</v>
      </c>
      <c r="C4471" t="s">
        <v>57</v>
      </c>
      <c r="D4471">
        <v>5</v>
      </c>
      <c r="E4471">
        <v>100</v>
      </c>
      <c r="F4471" t="s">
        <v>1</v>
      </c>
      <c r="G4471" s="6">
        <v>45939</v>
      </c>
      <c r="H4471">
        <v>50</v>
      </c>
      <c r="I4471">
        <f>ROUND(CompilDonnées[[#This Row],[CultureDuration_days]]/7,0)</f>
        <v>7</v>
      </c>
      <c r="J4471">
        <v>1443</v>
      </c>
      <c r="K4471" t="str">
        <f>_xlfn.CONCAT(WEEKNUM(CompilDonnées[[#This Row],[PlantationDate]]), " ", YEAR(CompilDonnées[[#This Row],[PlantationDate]]))</f>
        <v>34 2025</v>
      </c>
      <c r="L4471" t="str">
        <f>CONCATENATE(MONTH(CompilDonnées[[#This Row],[PlantationDate]])," ", YEAR(CompilDonnées[[#This Row],[PlantationDate]]))</f>
        <v>8 2025</v>
      </c>
      <c r="M4471" t="str">
        <f>CONCATENATE(MONTH(CompilDonnées[[#This Row],[HarvestingDate]])," ", YEAR(CompilDonnées[[#This Row],[HarvestingDate]]))</f>
        <v>10 2025</v>
      </c>
      <c r="N4471">
        <f>_xlfn.NUMBERVALUE(CompilDonnées[[#This Row],[FarmID]]&amp;CompilDonnées[[#This Row],[ModuleNumber]]&amp;CompilDonnées[[#This Row],[PlantationDate]])</f>
        <v>8545889</v>
      </c>
      <c r="O4471" t="str">
        <f>CompilDonnées[[#This Row],[FarmID]]&amp;CompilDonnées[[#This Row],[ModuleNumber]]</f>
        <v>85</v>
      </c>
      <c r="P4471" t="str">
        <f>CompilDonnées[[#This Row],[Ref_Module]]&amp;CompilDonnées[[#This Row],[HarvestingDate]]</f>
        <v>8545939</v>
      </c>
    </row>
    <row r="4472" spans="1:16">
      <c r="A4472" s="5">
        <v>45889</v>
      </c>
      <c r="B4472">
        <v>10</v>
      </c>
      <c r="C4472" t="s">
        <v>109</v>
      </c>
      <c r="D4472">
        <v>3</v>
      </c>
      <c r="E4472">
        <v>100</v>
      </c>
      <c r="F4472" t="s">
        <v>1</v>
      </c>
      <c r="G4472" s="6">
        <v>45943</v>
      </c>
      <c r="H4472">
        <v>54</v>
      </c>
      <c r="I4472">
        <f>ROUND(CompilDonnées[[#This Row],[CultureDuration_days]]/7,0)</f>
        <v>8</v>
      </c>
      <c r="J4472">
        <v>1554</v>
      </c>
      <c r="K4472" t="str">
        <f>_xlfn.CONCAT(WEEKNUM(CompilDonnées[[#This Row],[PlantationDate]]), " ", YEAR(CompilDonnées[[#This Row],[PlantationDate]]))</f>
        <v>34 2025</v>
      </c>
      <c r="L4472" t="str">
        <f>CONCATENATE(MONTH(CompilDonnées[[#This Row],[PlantationDate]])," ", YEAR(CompilDonnées[[#This Row],[PlantationDate]]))</f>
        <v>8 2025</v>
      </c>
      <c r="M4472" t="str">
        <f>CONCATENATE(MONTH(CompilDonnées[[#This Row],[HarvestingDate]])," ", YEAR(CompilDonnées[[#This Row],[HarvestingDate]]))</f>
        <v>10 2025</v>
      </c>
      <c r="N4472">
        <f>_xlfn.NUMBERVALUE(CompilDonnées[[#This Row],[FarmID]]&amp;CompilDonnées[[#This Row],[ModuleNumber]]&amp;CompilDonnées[[#This Row],[PlantationDate]])</f>
        <v>10345889</v>
      </c>
      <c r="O4472" t="str">
        <f>CompilDonnées[[#This Row],[FarmID]]&amp;CompilDonnées[[#This Row],[ModuleNumber]]</f>
        <v>103</v>
      </c>
      <c r="P4472" t="str">
        <f>CompilDonnées[[#This Row],[Ref_Module]]&amp;CompilDonnées[[#This Row],[HarvestingDate]]</f>
        <v>10345943</v>
      </c>
    </row>
    <row r="4473" spans="1:16">
      <c r="A4473" s="5">
        <v>45889</v>
      </c>
      <c r="B4473">
        <v>14</v>
      </c>
      <c r="C4473" t="s">
        <v>82</v>
      </c>
      <c r="D4473">
        <v>3</v>
      </c>
      <c r="E4473">
        <v>100</v>
      </c>
      <c r="F4473" t="s">
        <v>1</v>
      </c>
      <c r="G4473" s="6">
        <v>45943</v>
      </c>
      <c r="H4473">
        <v>54</v>
      </c>
      <c r="I4473">
        <f>ROUND(CompilDonnées[[#This Row],[CultureDuration_days]]/7,0)</f>
        <v>8</v>
      </c>
      <c r="J4473">
        <v>2316</v>
      </c>
      <c r="K4473" t="str">
        <f>_xlfn.CONCAT(WEEKNUM(CompilDonnées[[#This Row],[PlantationDate]]), " ", YEAR(CompilDonnées[[#This Row],[PlantationDate]]))</f>
        <v>34 2025</v>
      </c>
      <c r="L4473" t="str">
        <f>CONCATENATE(MONTH(CompilDonnées[[#This Row],[PlantationDate]])," ", YEAR(CompilDonnées[[#This Row],[PlantationDate]]))</f>
        <v>8 2025</v>
      </c>
      <c r="M4473" t="str">
        <f>CONCATENATE(MONTH(CompilDonnées[[#This Row],[HarvestingDate]])," ", YEAR(CompilDonnées[[#This Row],[HarvestingDate]]))</f>
        <v>10 2025</v>
      </c>
      <c r="N4473">
        <f>_xlfn.NUMBERVALUE(CompilDonnées[[#This Row],[FarmID]]&amp;CompilDonnées[[#This Row],[ModuleNumber]]&amp;CompilDonnées[[#This Row],[PlantationDate]])</f>
        <v>14345889</v>
      </c>
      <c r="O4473" t="str">
        <f>CompilDonnées[[#This Row],[FarmID]]&amp;CompilDonnées[[#This Row],[ModuleNumber]]</f>
        <v>143</v>
      </c>
      <c r="P4473" t="str">
        <f>CompilDonnées[[#This Row],[Ref_Module]]&amp;CompilDonnées[[#This Row],[HarvestingDate]]</f>
        <v>14345943</v>
      </c>
    </row>
    <row r="4474" spans="1:16">
      <c r="A4474" s="5">
        <v>45889</v>
      </c>
      <c r="B4474">
        <v>14</v>
      </c>
      <c r="C4474" t="s">
        <v>82</v>
      </c>
      <c r="D4474">
        <v>4</v>
      </c>
      <c r="E4474">
        <v>100</v>
      </c>
      <c r="F4474" t="s">
        <v>1</v>
      </c>
      <c r="G4474" s="6">
        <v>45943</v>
      </c>
      <c r="H4474">
        <v>54</v>
      </c>
      <c r="I4474">
        <f>ROUND(CompilDonnées[[#This Row],[CultureDuration_days]]/7,0)</f>
        <v>8</v>
      </c>
      <c r="J4474">
        <v>2335</v>
      </c>
      <c r="K4474" t="str">
        <f>_xlfn.CONCAT(WEEKNUM(CompilDonnées[[#This Row],[PlantationDate]]), " ", YEAR(CompilDonnées[[#This Row],[PlantationDate]]))</f>
        <v>34 2025</v>
      </c>
      <c r="L4474" t="str">
        <f>CONCATENATE(MONTH(CompilDonnées[[#This Row],[PlantationDate]])," ", YEAR(CompilDonnées[[#This Row],[PlantationDate]]))</f>
        <v>8 2025</v>
      </c>
      <c r="M4474" t="str">
        <f>CONCATENATE(MONTH(CompilDonnées[[#This Row],[HarvestingDate]])," ", YEAR(CompilDonnées[[#This Row],[HarvestingDate]]))</f>
        <v>10 2025</v>
      </c>
      <c r="N4474">
        <f>_xlfn.NUMBERVALUE(CompilDonnées[[#This Row],[FarmID]]&amp;CompilDonnées[[#This Row],[ModuleNumber]]&amp;CompilDonnées[[#This Row],[PlantationDate]])</f>
        <v>14445889</v>
      </c>
      <c r="O4474" t="str">
        <f>CompilDonnées[[#This Row],[FarmID]]&amp;CompilDonnées[[#This Row],[ModuleNumber]]</f>
        <v>144</v>
      </c>
      <c r="P4474" t="str">
        <f>CompilDonnées[[#This Row],[Ref_Module]]&amp;CompilDonnées[[#This Row],[HarvestingDate]]</f>
        <v>14445943</v>
      </c>
    </row>
    <row r="4475" spans="1:16">
      <c r="A4475" s="5">
        <v>45889</v>
      </c>
      <c r="B4475">
        <v>35</v>
      </c>
      <c r="C4475" t="s">
        <v>69</v>
      </c>
      <c r="D4475">
        <v>4</v>
      </c>
      <c r="E4475">
        <v>100</v>
      </c>
      <c r="F4475" t="s">
        <v>1</v>
      </c>
      <c r="G4475" s="6">
        <v>45918</v>
      </c>
      <c r="H4475">
        <v>29</v>
      </c>
      <c r="I4475">
        <f>ROUND(CompilDonnées[[#This Row],[CultureDuration_days]]/7,0)</f>
        <v>4</v>
      </c>
      <c r="J4475">
        <v>1268</v>
      </c>
      <c r="K4475" t="str">
        <f>_xlfn.CONCAT(WEEKNUM(CompilDonnées[[#This Row],[PlantationDate]]), " ", YEAR(CompilDonnées[[#This Row],[PlantationDate]]))</f>
        <v>34 2025</v>
      </c>
      <c r="L4475" t="str">
        <f>CONCATENATE(MONTH(CompilDonnées[[#This Row],[PlantationDate]])," ", YEAR(CompilDonnées[[#This Row],[PlantationDate]]))</f>
        <v>8 2025</v>
      </c>
      <c r="M4475" t="str">
        <f>CONCATENATE(MONTH(CompilDonnées[[#This Row],[HarvestingDate]])," ", YEAR(CompilDonnées[[#This Row],[HarvestingDate]]))</f>
        <v>9 2025</v>
      </c>
      <c r="N4475">
        <f>_xlfn.NUMBERVALUE(CompilDonnées[[#This Row],[FarmID]]&amp;CompilDonnées[[#This Row],[ModuleNumber]]&amp;CompilDonnées[[#This Row],[PlantationDate]])</f>
        <v>35445889</v>
      </c>
      <c r="O4475" t="str">
        <f>CompilDonnées[[#This Row],[FarmID]]&amp;CompilDonnées[[#This Row],[ModuleNumber]]</f>
        <v>354</v>
      </c>
      <c r="P4475" t="str">
        <f>CompilDonnées[[#This Row],[Ref_Module]]&amp;CompilDonnées[[#This Row],[HarvestingDate]]</f>
        <v>35445918</v>
      </c>
    </row>
    <row r="4476" spans="1:16">
      <c r="A4476" s="5">
        <v>45889</v>
      </c>
      <c r="B4476">
        <v>35</v>
      </c>
      <c r="C4476" t="s">
        <v>69</v>
      </c>
      <c r="D4476">
        <v>5</v>
      </c>
      <c r="E4476">
        <v>100</v>
      </c>
      <c r="F4476" t="s">
        <v>1</v>
      </c>
      <c r="G4476" s="6">
        <v>45918</v>
      </c>
      <c r="H4476">
        <v>29</v>
      </c>
      <c r="I4476">
        <f>ROUND(CompilDonnées[[#This Row],[CultureDuration_days]]/7,0)</f>
        <v>4</v>
      </c>
      <c r="J4476">
        <v>1268</v>
      </c>
      <c r="K4476" t="str">
        <f>_xlfn.CONCAT(WEEKNUM(CompilDonnées[[#This Row],[PlantationDate]]), " ", YEAR(CompilDonnées[[#This Row],[PlantationDate]]))</f>
        <v>34 2025</v>
      </c>
      <c r="L4476" t="str">
        <f>CONCATENATE(MONTH(CompilDonnées[[#This Row],[PlantationDate]])," ", YEAR(CompilDonnées[[#This Row],[PlantationDate]]))</f>
        <v>8 2025</v>
      </c>
      <c r="M4476" t="str">
        <f>CONCATENATE(MONTH(CompilDonnées[[#This Row],[HarvestingDate]])," ", YEAR(CompilDonnées[[#This Row],[HarvestingDate]]))</f>
        <v>9 2025</v>
      </c>
      <c r="N4476">
        <f>_xlfn.NUMBERVALUE(CompilDonnées[[#This Row],[FarmID]]&amp;CompilDonnées[[#This Row],[ModuleNumber]]&amp;CompilDonnées[[#This Row],[PlantationDate]])</f>
        <v>35545889</v>
      </c>
      <c r="O4476" t="str">
        <f>CompilDonnées[[#This Row],[FarmID]]&amp;CompilDonnées[[#This Row],[ModuleNumber]]</f>
        <v>355</v>
      </c>
      <c r="P4476" t="str">
        <f>CompilDonnées[[#This Row],[Ref_Module]]&amp;CompilDonnées[[#This Row],[HarvestingDate]]</f>
        <v>35545918</v>
      </c>
    </row>
    <row r="4477" spans="1:16">
      <c r="A4477" s="5">
        <v>45889</v>
      </c>
      <c r="B4477">
        <v>24</v>
      </c>
      <c r="C4477" t="s">
        <v>31</v>
      </c>
      <c r="D4477">
        <v>3</v>
      </c>
      <c r="E4477">
        <v>100</v>
      </c>
      <c r="F4477" t="s">
        <v>1</v>
      </c>
      <c r="G4477" s="6">
        <v>45929</v>
      </c>
      <c r="H4477">
        <v>40</v>
      </c>
      <c r="I4477">
        <f>ROUND(CompilDonnées[[#This Row],[CultureDuration_days]]/7,0)</f>
        <v>6</v>
      </c>
      <c r="J4477">
        <v>2848</v>
      </c>
      <c r="K4477" t="str">
        <f>_xlfn.CONCAT(WEEKNUM(CompilDonnées[[#This Row],[PlantationDate]]), " ", YEAR(CompilDonnées[[#This Row],[PlantationDate]]))</f>
        <v>34 2025</v>
      </c>
      <c r="L4477" t="str">
        <f>CONCATENATE(MONTH(CompilDonnées[[#This Row],[PlantationDate]])," ", YEAR(CompilDonnées[[#This Row],[PlantationDate]]))</f>
        <v>8 2025</v>
      </c>
      <c r="M4477" t="str">
        <f>CONCATENATE(MONTH(CompilDonnées[[#This Row],[HarvestingDate]])," ", YEAR(CompilDonnées[[#This Row],[HarvestingDate]]))</f>
        <v>9 2025</v>
      </c>
      <c r="N4477">
        <f>_xlfn.NUMBERVALUE(CompilDonnées[[#This Row],[FarmID]]&amp;CompilDonnées[[#This Row],[ModuleNumber]]&amp;CompilDonnées[[#This Row],[PlantationDate]])</f>
        <v>24345889</v>
      </c>
      <c r="O4477" t="str">
        <f>CompilDonnées[[#This Row],[FarmID]]&amp;CompilDonnées[[#This Row],[ModuleNumber]]</f>
        <v>243</v>
      </c>
      <c r="P4477" t="str">
        <f>CompilDonnées[[#This Row],[Ref_Module]]&amp;CompilDonnées[[#This Row],[HarvestingDate]]</f>
        <v>24345929</v>
      </c>
    </row>
    <row r="4478" spans="1:16">
      <c r="A4478" s="5">
        <v>45889</v>
      </c>
      <c r="B4478">
        <v>23</v>
      </c>
      <c r="C4478" t="s">
        <v>44</v>
      </c>
      <c r="D4478">
        <v>4</v>
      </c>
      <c r="E4478">
        <v>100</v>
      </c>
      <c r="F4478" t="s">
        <v>1</v>
      </c>
      <c r="G4478" s="6">
        <v>45929</v>
      </c>
      <c r="H4478">
        <v>40</v>
      </c>
      <c r="I4478">
        <f>ROUND(CompilDonnées[[#This Row],[CultureDuration_days]]/7,0)</f>
        <v>6</v>
      </c>
      <c r="J4478">
        <v>1961</v>
      </c>
      <c r="K4478" t="str">
        <f>_xlfn.CONCAT(WEEKNUM(CompilDonnées[[#This Row],[PlantationDate]]), " ", YEAR(CompilDonnées[[#This Row],[PlantationDate]]))</f>
        <v>34 2025</v>
      </c>
      <c r="L4478" t="str">
        <f>CONCATENATE(MONTH(CompilDonnées[[#This Row],[PlantationDate]])," ", YEAR(CompilDonnées[[#This Row],[PlantationDate]]))</f>
        <v>8 2025</v>
      </c>
      <c r="M4478" t="str">
        <f>CONCATENATE(MONTH(CompilDonnées[[#This Row],[HarvestingDate]])," ", YEAR(CompilDonnées[[#This Row],[HarvestingDate]]))</f>
        <v>9 2025</v>
      </c>
      <c r="N4478">
        <f>_xlfn.NUMBERVALUE(CompilDonnées[[#This Row],[FarmID]]&amp;CompilDonnées[[#This Row],[ModuleNumber]]&amp;CompilDonnées[[#This Row],[PlantationDate]])</f>
        <v>23445889</v>
      </c>
      <c r="O4478" t="str">
        <f>CompilDonnées[[#This Row],[FarmID]]&amp;CompilDonnées[[#This Row],[ModuleNumber]]</f>
        <v>234</v>
      </c>
      <c r="P4478" t="str">
        <f>CompilDonnées[[#This Row],[Ref_Module]]&amp;CompilDonnées[[#This Row],[HarvestingDate]]</f>
        <v>23445929</v>
      </c>
    </row>
    <row r="4479" spans="1:16">
      <c r="A4479" s="5">
        <v>45889</v>
      </c>
      <c r="B4479">
        <v>22</v>
      </c>
      <c r="C4479" t="s">
        <v>43</v>
      </c>
      <c r="D4479">
        <v>3</v>
      </c>
      <c r="E4479">
        <v>100</v>
      </c>
      <c r="F4479" t="s">
        <v>1</v>
      </c>
      <c r="G4479" s="6">
        <v>45939</v>
      </c>
      <c r="H4479">
        <v>50</v>
      </c>
      <c r="I4479">
        <f>ROUND(CompilDonnées[[#This Row],[CultureDuration_days]]/7,0)</f>
        <v>7</v>
      </c>
      <c r="J4479">
        <v>2070</v>
      </c>
      <c r="K4479" t="str">
        <f>_xlfn.CONCAT(WEEKNUM(CompilDonnées[[#This Row],[PlantationDate]]), " ", YEAR(CompilDonnées[[#This Row],[PlantationDate]]))</f>
        <v>34 2025</v>
      </c>
      <c r="L4479" t="str">
        <f>CONCATENATE(MONTH(CompilDonnées[[#This Row],[PlantationDate]])," ", YEAR(CompilDonnées[[#This Row],[PlantationDate]]))</f>
        <v>8 2025</v>
      </c>
      <c r="M4479" t="str">
        <f>CONCATENATE(MONTH(CompilDonnées[[#This Row],[HarvestingDate]])," ", YEAR(CompilDonnées[[#This Row],[HarvestingDate]]))</f>
        <v>10 2025</v>
      </c>
      <c r="N4479">
        <f>_xlfn.NUMBERVALUE(CompilDonnées[[#This Row],[FarmID]]&amp;CompilDonnées[[#This Row],[ModuleNumber]]&amp;CompilDonnées[[#This Row],[PlantationDate]])</f>
        <v>22345889</v>
      </c>
      <c r="O4479" t="str">
        <f>CompilDonnées[[#This Row],[FarmID]]&amp;CompilDonnées[[#This Row],[ModuleNumber]]</f>
        <v>223</v>
      </c>
      <c r="P4479" t="str">
        <f>CompilDonnées[[#This Row],[Ref_Module]]&amp;CompilDonnées[[#This Row],[HarvestingDate]]</f>
        <v>22345939</v>
      </c>
    </row>
    <row r="4480" spans="1:16">
      <c r="A4480" s="5">
        <v>45889</v>
      </c>
      <c r="B4480">
        <v>22</v>
      </c>
      <c r="C4480" t="s">
        <v>43</v>
      </c>
      <c r="D4480">
        <v>4</v>
      </c>
      <c r="E4480">
        <v>100</v>
      </c>
      <c r="F4480" t="s">
        <v>1</v>
      </c>
      <c r="G4480" s="6">
        <v>45939</v>
      </c>
      <c r="H4480">
        <v>50</v>
      </c>
      <c r="I4480">
        <f>ROUND(CompilDonnées[[#This Row],[CultureDuration_days]]/7,0)</f>
        <v>7</v>
      </c>
      <c r="J4480">
        <v>2346</v>
      </c>
      <c r="K4480" t="str">
        <f>_xlfn.CONCAT(WEEKNUM(CompilDonnées[[#This Row],[PlantationDate]]), " ", YEAR(CompilDonnées[[#This Row],[PlantationDate]]))</f>
        <v>34 2025</v>
      </c>
      <c r="L4480" t="str">
        <f>CONCATENATE(MONTH(CompilDonnées[[#This Row],[PlantationDate]])," ", YEAR(CompilDonnées[[#This Row],[PlantationDate]]))</f>
        <v>8 2025</v>
      </c>
      <c r="M4480" t="str">
        <f>CONCATENATE(MONTH(CompilDonnées[[#This Row],[HarvestingDate]])," ", YEAR(CompilDonnées[[#This Row],[HarvestingDate]]))</f>
        <v>10 2025</v>
      </c>
      <c r="N4480">
        <f>_xlfn.NUMBERVALUE(CompilDonnées[[#This Row],[FarmID]]&amp;CompilDonnées[[#This Row],[ModuleNumber]]&amp;CompilDonnées[[#This Row],[PlantationDate]])</f>
        <v>22445889</v>
      </c>
      <c r="O4480" t="str">
        <f>CompilDonnées[[#This Row],[FarmID]]&amp;CompilDonnées[[#This Row],[ModuleNumber]]</f>
        <v>224</v>
      </c>
      <c r="P4480" t="str">
        <f>CompilDonnées[[#This Row],[Ref_Module]]&amp;CompilDonnées[[#This Row],[HarvestingDate]]</f>
        <v>22445939</v>
      </c>
    </row>
    <row r="4481" spans="1:16">
      <c r="A4481" s="5">
        <v>45889</v>
      </c>
      <c r="B4481">
        <v>21</v>
      </c>
      <c r="C4481" t="s">
        <v>0</v>
      </c>
      <c r="D4481">
        <v>3</v>
      </c>
      <c r="E4481">
        <v>100</v>
      </c>
      <c r="F4481" t="s">
        <v>1</v>
      </c>
      <c r="G4481" s="6">
        <v>45939</v>
      </c>
      <c r="H4481">
        <v>50</v>
      </c>
      <c r="I4481">
        <f>ROUND(CompilDonnées[[#This Row],[CultureDuration_days]]/7,0)</f>
        <v>7</v>
      </c>
      <c r="J4481">
        <v>1512</v>
      </c>
      <c r="K4481" t="str">
        <f>_xlfn.CONCAT(WEEKNUM(CompilDonnées[[#This Row],[PlantationDate]]), " ", YEAR(CompilDonnées[[#This Row],[PlantationDate]]))</f>
        <v>34 2025</v>
      </c>
      <c r="L4481" t="str">
        <f>CONCATENATE(MONTH(CompilDonnées[[#This Row],[PlantationDate]])," ", YEAR(CompilDonnées[[#This Row],[PlantationDate]]))</f>
        <v>8 2025</v>
      </c>
      <c r="M4481" t="str">
        <f>CONCATENATE(MONTH(CompilDonnées[[#This Row],[HarvestingDate]])," ", YEAR(CompilDonnées[[#This Row],[HarvestingDate]]))</f>
        <v>10 2025</v>
      </c>
      <c r="N4481">
        <f>_xlfn.NUMBERVALUE(CompilDonnées[[#This Row],[FarmID]]&amp;CompilDonnées[[#This Row],[ModuleNumber]]&amp;CompilDonnées[[#This Row],[PlantationDate]])</f>
        <v>21345889</v>
      </c>
      <c r="O4481" t="str">
        <f>CompilDonnées[[#This Row],[FarmID]]&amp;CompilDonnées[[#This Row],[ModuleNumber]]</f>
        <v>213</v>
      </c>
      <c r="P4481" t="str">
        <f>CompilDonnées[[#This Row],[Ref_Module]]&amp;CompilDonnées[[#This Row],[HarvestingDate]]</f>
        <v>21345939</v>
      </c>
    </row>
    <row r="4482" spans="1:16">
      <c r="A4482" s="5">
        <v>45889</v>
      </c>
      <c r="B4482">
        <v>15</v>
      </c>
      <c r="C4482" t="s">
        <v>5</v>
      </c>
      <c r="D4482">
        <v>1</v>
      </c>
      <c r="E4482">
        <v>100</v>
      </c>
      <c r="F4482" t="s">
        <v>1</v>
      </c>
      <c r="G4482" s="6">
        <v>45929</v>
      </c>
      <c r="H4482">
        <v>40</v>
      </c>
      <c r="I4482">
        <f>ROUND(CompilDonnées[[#This Row],[CultureDuration_days]]/7,0)</f>
        <v>6</v>
      </c>
      <c r="J4482">
        <v>1314</v>
      </c>
      <c r="K4482" t="str">
        <f>_xlfn.CONCAT(WEEKNUM(CompilDonnées[[#This Row],[PlantationDate]]), " ", YEAR(CompilDonnées[[#This Row],[PlantationDate]]))</f>
        <v>34 2025</v>
      </c>
      <c r="L4482" t="str">
        <f>CONCATENATE(MONTH(CompilDonnées[[#This Row],[PlantationDate]])," ", YEAR(CompilDonnées[[#This Row],[PlantationDate]]))</f>
        <v>8 2025</v>
      </c>
      <c r="M4482" t="str">
        <f>CONCATENATE(MONTH(CompilDonnées[[#This Row],[HarvestingDate]])," ", YEAR(CompilDonnées[[#This Row],[HarvestingDate]]))</f>
        <v>9 2025</v>
      </c>
      <c r="N4482">
        <f>_xlfn.NUMBERVALUE(CompilDonnées[[#This Row],[FarmID]]&amp;CompilDonnées[[#This Row],[ModuleNumber]]&amp;CompilDonnées[[#This Row],[PlantationDate]])</f>
        <v>15145889</v>
      </c>
      <c r="O4482" t="str">
        <f>CompilDonnées[[#This Row],[FarmID]]&amp;CompilDonnées[[#This Row],[ModuleNumber]]</f>
        <v>151</v>
      </c>
      <c r="P4482" t="str">
        <f>CompilDonnées[[#This Row],[Ref_Module]]&amp;CompilDonnées[[#This Row],[HarvestingDate]]</f>
        <v>15145929</v>
      </c>
    </row>
    <row r="4483" spans="1:16">
      <c r="A4483" s="5">
        <v>45889</v>
      </c>
      <c r="B4483">
        <v>16</v>
      </c>
      <c r="C4483" t="s">
        <v>112</v>
      </c>
      <c r="D4483">
        <v>5</v>
      </c>
      <c r="E4483">
        <v>100</v>
      </c>
      <c r="F4483" t="s">
        <v>1</v>
      </c>
      <c r="G4483" s="6">
        <v>45940</v>
      </c>
      <c r="H4483">
        <v>51</v>
      </c>
      <c r="I4483">
        <f>ROUND(CompilDonnées[[#This Row],[CultureDuration_days]]/7,0)</f>
        <v>7</v>
      </c>
      <c r="J4483">
        <v>1939</v>
      </c>
      <c r="K4483" t="str">
        <f>_xlfn.CONCAT(WEEKNUM(CompilDonnées[[#This Row],[PlantationDate]]), " ", YEAR(CompilDonnées[[#This Row],[PlantationDate]]))</f>
        <v>34 2025</v>
      </c>
      <c r="L4483" t="str">
        <f>CONCATENATE(MONTH(CompilDonnées[[#This Row],[PlantationDate]])," ", YEAR(CompilDonnées[[#This Row],[PlantationDate]]))</f>
        <v>8 2025</v>
      </c>
      <c r="M4483" t="str">
        <f>CONCATENATE(MONTH(CompilDonnées[[#This Row],[HarvestingDate]])," ", YEAR(CompilDonnées[[#This Row],[HarvestingDate]]))</f>
        <v>10 2025</v>
      </c>
      <c r="N4483">
        <f>_xlfn.NUMBERVALUE(CompilDonnées[[#This Row],[FarmID]]&amp;CompilDonnées[[#This Row],[ModuleNumber]]&amp;CompilDonnées[[#This Row],[PlantationDate]])</f>
        <v>16545889</v>
      </c>
      <c r="O4483" t="str">
        <f>CompilDonnées[[#This Row],[FarmID]]&amp;CompilDonnées[[#This Row],[ModuleNumber]]</f>
        <v>165</v>
      </c>
      <c r="P4483" t="str">
        <f>CompilDonnées[[#This Row],[Ref_Module]]&amp;CompilDonnées[[#This Row],[HarvestingDate]]</f>
        <v>16545940</v>
      </c>
    </row>
    <row r="4484" spans="1:16">
      <c r="A4484" s="5">
        <v>45889</v>
      </c>
      <c r="B4484">
        <v>17</v>
      </c>
      <c r="C4484" t="s">
        <v>80</v>
      </c>
      <c r="D4484">
        <v>3</v>
      </c>
      <c r="E4484">
        <v>100</v>
      </c>
      <c r="F4484" t="s">
        <v>1</v>
      </c>
      <c r="G4484" s="6">
        <v>45929</v>
      </c>
      <c r="H4484">
        <v>40</v>
      </c>
      <c r="I4484">
        <f>ROUND(CompilDonnées[[#This Row],[CultureDuration_days]]/7,0)</f>
        <v>6</v>
      </c>
      <c r="J4484">
        <v>1897</v>
      </c>
      <c r="K4484" t="str">
        <f>_xlfn.CONCAT(WEEKNUM(CompilDonnées[[#This Row],[PlantationDate]]), " ", YEAR(CompilDonnées[[#This Row],[PlantationDate]]))</f>
        <v>34 2025</v>
      </c>
      <c r="L4484" t="str">
        <f>CONCATENATE(MONTH(CompilDonnées[[#This Row],[PlantationDate]])," ", YEAR(CompilDonnées[[#This Row],[PlantationDate]]))</f>
        <v>8 2025</v>
      </c>
      <c r="M4484" t="str">
        <f>CONCATENATE(MONTH(CompilDonnées[[#This Row],[HarvestingDate]])," ", YEAR(CompilDonnées[[#This Row],[HarvestingDate]]))</f>
        <v>9 2025</v>
      </c>
      <c r="N4484">
        <f>_xlfn.NUMBERVALUE(CompilDonnées[[#This Row],[FarmID]]&amp;CompilDonnées[[#This Row],[ModuleNumber]]&amp;CompilDonnées[[#This Row],[PlantationDate]])</f>
        <v>17345889</v>
      </c>
      <c r="O4484" t="str">
        <f>CompilDonnées[[#This Row],[FarmID]]&amp;CompilDonnées[[#This Row],[ModuleNumber]]</f>
        <v>173</v>
      </c>
      <c r="P4484" t="str">
        <f>CompilDonnées[[#This Row],[Ref_Module]]&amp;CompilDonnées[[#This Row],[HarvestingDate]]</f>
        <v>17345929</v>
      </c>
    </row>
    <row r="4485" spans="1:16">
      <c r="A4485" s="5">
        <v>45889</v>
      </c>
      <c r="B4485">
        <v>17</v>
      </c>
      <c r="C4485" t="s">
        <v>80</v>
      </c>
      <c r="D4485">
        <v>4</v>
      </c>
      <c r="E4485">
        <v>100</v>
      </c>
      <c r="F4485" t="s">
        <v>1</v>
      </c>
      <c r="G4485" s="6">
        <v>45943</v>
      </c>
      <c r="H4485">
        <v>54</v>
      </c>
      <c r="I4485">
        <f>ROUND(CompilDonnées[[#This Row],[CultureDuration_days]]/7,0)</f>
        <v>8</v>
      </c>
      <c r="J4485">
        <v>2263</v>
      </c>
      <c r="K4485" t="str">
        <f>_xlfn.CONCAT(WEEKNUM(CompilDonnées[[#This Row],[PlantationDate]]), " ", YEAR(CompilDonnées[[#This Row],[PlantationDate]]))</f>
        <v>34 2025</v>
      </c>
      <c r="L4485" t="str">
        <f>CONCATENATE(MONTH(CompilDonnées[[#This Row],[PlantationDate]])," ", YEAR(CompilDonnées[[#This Row],[PlantationDate]]))</f>
        <v>8 2025</v>
      </c>
      <c r="M4485" t="str">
        <f>CONCATENATE(MONTH(CompilDonnées[[#This Row],[HarvestingDate]])," ", YEAR(CompilDonnées[[#This Row],[HarvestingDate]]))</f>
        <v>10 2025</v>
      </c>
      <c r="N4485">
        <f>_xlfn.NUMBERVALUE(CompilDonnées[[#This Row],[FarmID]]&amp;CompilDonnées[[#This Row],[ModuleNumber]]&amp;CompilDonnées[[#This Row],[PlantationDate]])</f>
        <v>17445889</v>
      </c>
      <c r="O4485" t="str">
        <f>CompilDonnées[[#This Row],[FarmID]]&amp;CompilDonnées[[#This Row],[ModuleNumber]]</f>
        <v>174</v>
      </c>
      <c r="P4485" t="str">
        <f>CompilDonnées[[#This Row],[Ref_Module]]&amp;CompilDonnées[[#This Row],[HarvestingDate]]</f>
        <v>17445943</v>
      </c>
    </row>
    <row r="4486" spans="1:16">
      <c r="A4486" s="5">
        <v>45889</v>
      </c>
      <c r="B4486">
        <v>18</v>
      </c>
      <c r="C4486" t="s">
        <v>33</v>
      </c>
      <c r="D4486">
        <v>2</v>
      </c>
      <c r="E4486">
        <v>100</v>
      </c>
      <c r="F4486" t="s">
        <v>1</v>
      </c>
      <c r="G4486" s="6">
        <v>45929</v>
      </c>
      <c r="H4486">
        <v>40</v>
      </c>
      <c r="I4486">
        <f>ROUND(CompilDonnées[[#This Row],[CultureDuration_days]]/7,0)</f>
        <v>6</v>
      </c>
      <c r="J4486">
        <v>3160</v>
      </c>
      <c r="K4486" t="str">
        <f>_xlfn.CONCAT(WEEKNUM(CompilDonnées[[#This Row],[PlantationDate]]), " ", YEAR(CompilDonnées[[#This Row],[PlantationDate]]))</f>
        <v>34 2025</v>
      </c>
      <c r="L4486" t="str">
        <f>CONCATENATE(MONTH(CompilDonnées[[#This Row],[PlantationDate]])," ", YEAR(CompilDonnées[[#This Row],[PlantationDate]]))</f>
        <v>8 2025</v>
      </c>
      <c r="M4486" t="str">
        <f>CONCATENATE(MONTH(CompilDonnées[[#This Row],[HarvestingDate]])," ", YEAR(CompilDonnées[[#This Row],[HarvestingDate]]))</f>
        <v>9 2025</v>
      </c>
      <c r="N4486">
        <f>_xlfn.NUMBERVALUE(CompilDonnées[[#This Row],[FarmID]]&amp;CompilDonnées[[#This Row],[ModuleNumber]]&amp;CompilDonnées[[#This Row],[PlantationDate]])</f>
        <v>18245889</v>
      </c>
      <c r="O4486" t="str">
        <f>CompilDonnées[[#This Row],[FarmID]]&amp;CompilDonnées[[#This Row],[ModuleNumber]]</f>
        <v>182</v>
      </c>
      <c r="P4486" t="str">
        <f>CompilDonnées[[#This Row],[Ref_Module]]&amp;CompilDonnées[[#This Row],[HarvestingDate]]</f>
        <v>18245929</v>
      </c>
    </row>
    <row r="4487" spans="1:16">
      <c r="A4487" s="5">
        <v>45889</v>
      </c>
      <c r="B4487">
        <v>6</v>
      </c>
      <c r="C4487" t="s">
        <v>24</v>
      </c>
      <c r="D4487">
        <v>4</v>
      </c>
      <c r="E4487">
        <v>100</v>
      </c>
      <c r="F4487" t="s">
        <v>1</v>
      </c>
      <c r="G4487" s="6">
        <v>45939</v>
      </c>
      <c r="H4487">
        <v>50</v>
      </c>
      <c r="I4487">
        <f>ROUND(CompilDonnées[[#This Row],[CultureDuration_days]]/7,0)</f>
        <v>7</v>
      </c>
      <c r="J4487">
        <v>2462</v>
      </c>
      <c r="K4487" t="str">
        <f>_xlfn.CONCAT(WEEKNUM(CompilDonnées[[#This Row],[PlantationDate]]), " ", YEAR(CompilDonnées[[#This Row],[PlantationDate]]))</f>
        <v>34 2025</v>
      </c>
      <c r="L4487" t="str">
        <f>CONCATENATE(MONTH(CompilDonnées[[#This Row],[PlantationDate]])," ", YEAR(CompilDonnées[[#This Row],[PlantationDate]]))</f>
        <v>8 2025</v>
      </c>
      <c r="M4487" t="str">
        <f>CONCATENATE(MONTH(CompilDonnées[[#This Row],[HarvestingDate]])," ", YEAR(CompilDonnées[[#This Row],[HarvestingDate]]))</f>
        <v>10 2025</v>
      </c>
      <c r="N4487">
        <f>_xlfn.NUMBERVALUE(CompilDonnées[[#This Row],[FarmID]]&amp;CompilDonnées[[#This Row],[ModuleNumber]]&amp;CompilDonnées[[#This Row],[PlantationDate]])</f>
        <v>6445889</v>
      </c>
      <c r="O4487" t="str">
        <f>CompilDonnées[[#This Row],[FarmID]]&amp;CompilDonnées[[#This Row],[ModuleNumber]]</f>
        <v>64</v>
      </c>
      <c r="P4487" t="str">
        <f>CompilDonnées[[#This Row],[Ref_Module]]&amp;CompilDonnées[[#This Row],[HarvestingDate]]</f>
        <v>6445939</v>
      </c>
    </row>
    <row r="4488" spans="1:16">
      <c r="A4488" s="5">
        <v>45889</v>
      </c>
      <c r="B4488">
        <v>5</v>
      </c>
      <c r="C4488" t="s">
        <v>32</v>
      </c>
      <c r="D4488">
        <v>3</v>
      </c>
      <c r="E4488">
        <v>100</v>
      </c>
      <c r="F4488" t="s">
        <v>1</v>
      </c>
      <c r="G4488" s="6">
        <v>45939</v>
      </c>
      <c r="H4488">
        <v>50</v>
      </c>
      <c r="I4488">
        <f>ROUND(CompilDonnées[[#This Row],[CultureDuration_days]]/7,0)</f>
        <v>7</v>
      </c>
      <c r="J4488">
        <v>3039</v>
      </c>
      <c r="K4488" t="str">
        <f>_xlfn.CONCAT(WEEKNUM(CompilDonnées[[#This Row],[PlantationDate]]), " ", YEAR(CompilDonnées[[#This Row],[PlantationDate]]))</f>
        <v>34 2025</v>
      </c>
      <c r="L4488" t="str">
        <f>CONCATENATE(MONTH(CompilDonnées[[#This Row],[PlantationDate]])," ", YEAR(CompilDonnées[[#This Row],[PlantationDate]]))</f>
        <v>8 2025</v>
      </c>
      <c r="M4488" t="str">
        <f>CONCATENATE(MONTH(CompilDonnées[[#This Row],[HarvestingDate]])," ", YEAR(CompilDonnées[[#This Row],[HarvestingDate]]))</f>
        <v>10 2025</v>
      </c>
      <c r="N4488">
        <f>_xlfn.NUMBERVALUE(CompilDonnées[[#This Row],[FarmID]]&amp;CompilDonnées[[#This Row],[ModuleNumber]]&amp;CompilDonnées[[#This Row],[PlantationDate]])</f>
        <v>5345889</v>
      </c>
      <c r="O4488" t="str">
        <f>CompilDonnées[[#This Row],[FarmID]]&amp;CompilDonnées[[#This Row],[ModuleNumber]]</f>
        <v>53</v>
      </c>
      <c r="P4488" t="str">
        <f>CompilDonnées[[#This Row],[Ref_Module]]&amp;CompilDonnées[[#This Row],[HarvestingDate]]</f>
        <v>5345939</v>
      </c>
    </row>
    <row r="4489" spans="1:16">
      <c r="A4489" s="5">
        <v>45889</v>
      </c>
      <c r="B4489">
        <v>3</v>
      </c>
      <c r="C4489" t="s">
        <v>116</v>
      </c>
      <c r="D4489">
        <v>5</v>
      </c>
      <c r="E4489">
        <v>100</v>
      </c>
      <c r="F4489" t="s">
        <v>1</v>
      </c>
      <c r="G4489" s="6">
        <v>45940</v>
      </c>
      <c r="H4489">
        <v>51</v>
      </c>
      <c r="I4489">
        <f>ROUND(CompilDonnées[[#This Row],[CultureDuration_days]]/7,0)</f>
        <v>7</v>
      </c>
      <c r="J4489">
        <v>1510</v>
      </c>
      <c r="K4489" t="str">
        <f>_xlfn.CONCAT(WEEKNUM(CompilDonnées[[#This Row],[PlantationDate]]), " ", YEAR(CompilDonnées[[#This Row],[PlantationDate]]))</f>
        <v>34 2025</v>
      </c>
      <c r="L4489" t="str">
        <f>CONCATENATE(MONTH(CompilDonnées[[#This Row],[PlantationDate]])," ", YEAR(CompilDonnées[[#This Row],[PlantationDate]]))</f>
        <v>8 2025</v>
      </c>
      <c r="M4489" t="str">
        <f>CONCATENATE(MONTH(CompilDonnées[[#This Row],[HarvestingDate]])," ", YEAR(CompilDonnées[[#This Row],[HarvestingDate]]))</f>
        <v>10 2025</v>
      </c>
      <c r="N4489">
        <f>_xlfn.NUMBERVALUE(CompilDonnées[[#This Row],[FarmID]]&amp;CompilDonnées[[#This Row],[ModuleNumber]]&amp;CompilDonnées[[#This Row],[PlantationDate]])</f>
        <v>3545889</v>
      </c>
      <c r="O4489" t="str">
        <f>CompilDonnées[[#This Row],[FarmID]]&amp;CompilDonnées[[#This Row],[ModuleNumber]]</f>
        <v>35</v>
      </c>
      <c r="P4489" t="str">
        <f>CompilDonnées[[#This Row],[Ref_Module]]&amp;CompilDonnées[[#This Row],[HarvestingDate]]</f>
        <v>3545940</v>
      </c>
    </row>
    <row r="4490" spans="1:16">
      <c r="A4490" s="5">
        <v>45889</v>
      </c>
      <c r="B4490">
        <v>56</v>
      </c>
      <c r="C4490" t="s">
        <v>6</v>
      </c>
      <c r="D4490">
        <v>1</v>
      </c>
      <c r="E4490">
        <v>100</v>
      </c>
      <c r="F4490" t="s">
        <v>1</v>
      </c>
      <c r="G4490" s="6">
        <v>45939</v>
      </c>
      <c r="H4490">
        <v>50</v>
      </c>
      <c r="I4490">
        <f>ROUND(CompilDonnées[[#This Row],[CultureDuration_days]]/7,0)</f>
        <v>7</v>
      </c>
      <c r="J4490">
        <v>1834</v>
      </c>
      <c r="K4490" t="str">
        <f>_xlfn.CONCAT(WEEKNUM(CompilDonnées[[#This Row],[PlantationDate]]), " ", YEAR(CompilDonnées[[#This Row],[PlantationDate]]))</f>
        <v>34 2025</v>
      </c>
      <c r="L4490" t="str">
        <f>CONCATENATE(MONTH(CompilDonnées[[#This Row],[PlantationDate]])," ", YEAR(CompilDonnées[[#This Row],[PlantationDate]]))</f>
        <v>8 2025</v>
      </c>
      <c r="M4490" t="str">
        <f>CONCATENATE(MONTH(CompilDonnées[[#This Row],[HarvestingDate]])," ", YEAR(CompilDonnées[[#This Row],[HarvestingDate]]))</f>
        <v>10 2025</v>
      </c>
      <c r="N4490">
        <f>_xlfn.NUMBERVALUE(CompilDonnées[[#This Row],[FarmID]]&amp;CompilDonnées[[#This Row],[ModuleNumber]]&amp;CompilDonnées[[#This Row],[PlantationDate]])</f>
        <v>56145889</v>
      </c>
      <c r="O4490" t="str">
        <f>CompilDonnées[[#This Row],[FarmID]]&amp;CompilDonnées[[#This Row],[ModuleNumber]]</f>
        <v>561</v>
      </c>
      <c r="P4490" t="str">
        <f>CompilDonnées[[#This Row],[Ref_Module]]&amp;CompilDonnées[[#This Row],[HarvestingDate]]</f>
        <v>56145939</v>
      </c>
    </row>
    <row r="4491" spans="1:16">
      <c r="A4491" s="5">
        <v>45889</v>
      </c>
      <c r="B4491">
        <v>56</v>
      </c>
      <c r="C4491" t="s">
        <v>6</v>
      </c>
      <c r="D4491">
        <v>3</v>
      </c>
      <c r="E4491">
        <v>100</v>
      </c>
      <c r="F4491" t="s">
        <v>1</v>
      </c>
      <c r="G4491" s="6">
        <v>45944</v>
      </c>
      <c r="H4491">
        <v>55</v>
      </c>
      <c r="I4491">
        <f>ROUND(CompilDonnées[[#This Row],[CultureDuration_days]]/7,0)</f>
        <v>8</v>
      </c>
      <c r="J4491">
        <v>2260</v>
      </c>
      <c r="K4491" t="str">
        <f>_xlfn.CONCAT(WEEKNUM(CompilDonnées[[#This Row],[PlantationDate]]), " ", YEAR(CompilDonnées[[#This Row],[PlantationDate]]))</f>
        <v>34 2025</v>
      </c>
      <c r="L4491" t="str">
        <f>CONCATENATE(MONTH(CompilDonnées[[#This Row],[PlantationDate]])," ", YEAR(CompilDonnées[[#This Row],[PlantationDate]]))</f>
        <v>8 2025</v>
      </c>
      <c r="M4491" t="str">
        <f>CONCATENATE(MONTH(CompilDonnées[[#This Row],[HarvestingDate]])," ", YEAR(CompilDonnées[[#This Row],[HarvestingDate]]))</f>
        <v>10 2025</v>
      </c>
      <c r="N4491">
        <f>_xlfn.NUMBERVALUE(CompilDonnées[[#This Row],[FarmID]]&amp;CompilDonnées[[#This Row],[ModuleNumber]]&amp;CompilDonnées[[#This Row],[PlantationDate]])</f>
        <v>56345889</v>
      </c>
      <c r="O4491" t="str">
        <f>CompilDonnées[[#This Row],[FarmID]]&amp;CompilDonnées[[#This Row],[ModuleNumber]]</f>
        <v>563</v>
      </c>
      <c r="P4491" t="str">
        <f>CompilDonnées[[#This Row],[Ref_Module]]&amp;CompilDonnées[[#This Row],[HarvestingDate]]</f>
        <v>56345944</v>
      </c>
    </row>
    <row r="4492" spans="1:16">
      <c r="A4492" s="5">
        <v>45889</v>
      </c>
      <c r="B4492">
        <v>78</v>
      </c>
      <c r="C4492" t="s">
        <v>3</v>
      </c>
      <c r="D4492">
        <v>6</v>
      </c>
      <c r="E4492">
        <v>60</v>
      </c>
      <c r="F4492" t="s">
        <v>105</v>
      </c>
      <c r="G4492" s="6">
        <v>45931</v>
      </c>
      <c r="H4492">
        <v>42</v>
      </c>
      <c r="I4492">
        <f>ROUND(CompilDonnées[[#This Row],[CultureDuration_days]]/7,0)</f>
        <v>6</v>
      </c>
      <c r="J4492">
        <v>1473</v>
      </c>
      <c r="K4492" t="str">
        <f>_xlfn.CONCAT(WEEKNUM(CompilDonnées[[#This Row],[PlantationDate]]), " ", YEAR(CompilDonnées[[#This Row],[PlantationDate]]))</f>
        <v>34 2025</v>
      </c>
      <c r="L4492" t="str">
        <f>CONCATENATE(MONTH(CompilDonnées[[#This Row],[PlantationDate]])," ", YEAR(CompilDonnées[[#This Row],[PlantationDate]]))</f>
        <v>8 2025</v>
      </c>
      <c r="M4492" t="str">
        <f>CONCATENATE(MONTH(CompilDonnées[[#This Row],[HarvestingDate]])," ", YEAR(CompilDonnées[[#This Row],[HarvestingDate]]))</f>
        <v>10 2025</v>
      </c>
      <c r="N4492">
        <f>_xlfn.NUMBERVALUE(CompilDonnées[[#This Row],[FarmID]]&amp;CompilDonnées[[#This Row],[ModuleNumber]]&amp;CompilDonnées[[#This Row],[PlantationDate]])</f>
        <v>78645889</v>
      </c>
      <c r="O4492" t="str">
        <f>CompilDonnées[[#This Row],[FarmID]]&amp;CompilDonnées[[#This Row],[ModuleNumber]]</f>
        <v>786</v>
      </c>
      <c r="P4492" t="str">
        <f>CompilDonnées[[#This Row],[Ref_Module]]&amp;CompilDonnées[[#This Row],[HarvestingDate]]</f>
        <v>78645931</v>
      </c>
    </row>
    <row r="4493" spans="1:16">
      <c r="A4493" s="5">
        <v>45889</v>
      </c>
      <c r="B4493">
        <v>78</v>
      </c>
      <c r="C4493" t="s">
        <v>3</v>
      </c>
      <c r="D4493">
        <v>5</v>
      </c>
      <c r="E4493">
        <v>59</v>
      </c>
      <c r="F4493" t="s">
        <v>105</v>
      </c>
      <c r="G4493" s="6">
        <v>45931</v>
      </c>
      <c r="H4493">
        <v>42</v>
      </c>
      <c r="I4493">
        <f>ROUND(CompilDonnées[[#This Row],[CultureDuration_days]]/7,0)</f>
        <v>6</v>
      </c>
      <c r="J4493">
        <v>1352</v>
      </c>
      <c r="K4493" t="str">
        <f>_xlfn.CONCAT(WEEKNUM(CompilDonnées[[#This Row],[PlantationDate]]), " ", YEAR(CompilDonnées[[#This Row],[PlantationDate]]))</f>
        <v>34 2025</v>
      </c>
      <c r="L4493" t="str">
        <f>CONCATENATE(MONTH(CompilDonnées[[#This Row],[PlantationDate]])," ", YEAR(CompilDonnées[[#This Row],[PlantationDate]]))</f>
        <v>8 2025</v>
      </c>
      <c r="M4493" t="str">
        <f>CONCATENATE(MONTH(CompilDonnées[[#This Row],[HarvestingDate]])," ", YEAR(CompilDonnées[[#This Row],[HarvestingDate]]))</f>
        <v>10 2025</v>
      </c>
      <c r="N4493">
        <f>_xlfn.NUMBERVALUE(CompilDonnées[[#This Row],[FarmID]]&amp;CompilDonnées[[#This Row],[ModuleNumber]]&amp;CompilDonnées[[#This Row],[PlantationDate]])</f>
        <v>78545889</v>
      </c>
      <c r="O4493" t="str">
        <f>CompilDonnées[[#This Row],[FarmID]]&amp;CompilDonnées[[#This Row],[ModuleNumber]]</f>
        <v>785</v>
      </c>
      <c r="P4493" t="str">
        <f>CompilDonnées[[#This Row],[Ref_Module]]&amp;CompilDonnées[[#This Row],[HarvestingDate]]</f>
        <v>78545931</v>
      </c>
    </row>
    <row r="4494" spans="1:16">
      <c r="A4494" s="5">
        <v>45889</v>
      </c>
      <c r="B4494">
        <v>75</v>
      </c>
      <c r="C4494" t="s">
        <v>3</v>
      </c>
      <c r="D4494">
        <v>1</v>
      </c>
      <c r="E4494">
        <v>60</v>
      </c>
      <c r="F4494" t="s">
        <v>105</v>
      </c>
      <c r="G4494" s="6">
        <v>45931</v>
      </c>
      <c r="H4494">
        <v>42</v>
      </c>
      <c r="I4494">
        <f>ROUND(CompilDonnées[[#This Row],[CultureDuration_days]]/7,0)</f>
        <v>6</v>
      </c>
      <c r="J4494">
        <v>1325</v>
      </c>
      <c r="K4494" t="str">
        <f>_xlfn.CONCAT(WEEKNUM(CompilDonnées[[#This Row],[PlantationDate]]), " ", YEAR(CompilDonnées[[#This Row],[PlantationDate]]))</f>
        <v>34 2025</v>
      </c>
      <c r="L4494" t="str">
        <f>CONCATENATE(MONTH(CompilDonnées[[#This Row],[PlantationDate]])," ", YEAR(CompilDonnées[[#This Row],[PlantationDate]]))</f>
        <v>8 2025</v>
      </c>
      <c r="M4494" t="str">
        <f>CONCATENATE(MONTH(CompilDonnées[[#This Row],[HarvestingDate]])," ", YEAR(CompilDonnées[[#This Row],[HarvestingDate]]))</f>
        <v>10 2025</v>
      </c>
      <c r="N4494">
        <f>_xlfn.NUMBERVALUE(CompilDonnées[[#This Row],[FarmID]]&amp;CompilDonnées[[#This Row],[ModuleNumber]]&amp;CompilDonnées[[#This Row],[PlantationDate]])</f>
        <v>75145889</v>
      </c>
      <c r="O4494" t="str">
        <f>CompilDonnées[[#This Row],[FarmID]]&amp;CompilDonnées[[#This Row],[ModuleNumber]]</f>
        <v>751</v>
      </c>
      <c r="P4494" t="str">
        <f>CompilDonnées[[#This Row],[Ref_Module]]&amp;CompilDonnées[[#This Row],[HarvestingDate]]</f>
        <v>75145931</v>
      </c>
    </row>
    <row r="4495" spans="1:16">
      <c r="A4495" s="5">
        <v>45890</v>
      </c>
      <c r="B4495">
        <v>43</v>
      </c>
      <c r="C4495" t="s">
        <v>45</v>
      </c>
      <c r="D4495">
        <v>5</v>
      </c>
      <c r="E4495">
        <v>100</v>
      </c>
      <c r="F4495" t="s">
        <v>1</v>
      </c>
      <c r="G4495" s="6">
        <v>45944</v>
      </c>
      <c r="H4495">
        <v>54</v>
      </c>
      <c r="I4495">
        <f>ROUND(CompilDonnées[[#This Row],[CultureDuration_days]]/7,0)</f>
        <v>8</v>
      </c>
      <c r="J4495">
        <v>2907</v>
      </c>
      <c r="K4495" t="str">
        <f>_xlfn.CONCAT(WEEKNUM(CompilDonnées[[#This Row],[PlantationDate]]), " ", YEAR(CompilDonnées[[#This Row],[PlantationDate]]))</f>
        <v>34 2025</v>
      </c>
      <c r="L4495" t="str">
        <f>CONCATENATE(MONTH(CompilDonnées[[#This Row],[PlantationDate]])," ", YEAR(CompilDonnées[[#This Row],[PlantationDate]]))</f>
        <v>8 2025</v>
      </c>
      <c r="M4495" t="str">
        <f>CONCATENATE(MONTH(CompilDonnées[[#This Row],[HarvestingDate]])," ", YEAR(CompilDonnées[[#This Row],[HarvestingDate]]))</f>
        <v>10 2025</v>
      </c>
      <c r="N4495">
        <f>_xlfn.NUMBERVALUE(CompilDonnées[[#This Row],[FarmID]]&amp;CompilDonnées[[#This Row],[ModuleNumber]]&amp;CompilDonnées[[#This Row],[PlantationDate]])</f>
        <v>43545890</v>
      </c>
      <c r="O4495" t="str">
        <f>CompilDonnées[[#This Row],[FarmID]]&amp;CompilDonnées[[#This Row],[ModuleNumber]]</f>
        <v>435</v>
      </c>
      <c r="P4495" t="str">
        <f>CompilDonnées[[#This Row],[Ref_Module]]&amp;CompilDonnées[[#This Row],[HarvestingDate]]</f>
        <v>43545944</v>
      </c>
    </row>
    <row r="4496" spans="1:16">
      <c r="A4496" s="5">
        <v>45890</v>
      </c>
      <c r="B4496">
        <v>44</v>
      </c>
      <c r="C4496" t="s">
        <v>42</v>
      </c>
      <c r="D4496">
        <v>4</v>
      </c>
      <c r="E4496">
        <v>100</v>
      </c>
      <c r="F4496" t="s">
        <v>1</v>
      </c>
      <c r="G4496" s="6">
        <v>45939</v>
      </c>
      <c r="H4496">
        <v>49</v>
      </c>
      <c r="I4496">
        <f>ROUND(CompilDonnées[[#This Row],[CultureDuration_days]]/7,0)</f>
        <v>7</v>
      </c>
      <c r="J4496">
        <v>2354</v>
      </c>
      <c r="K4496" t="str">
        <f>_xlfn.CONCAT(WEEKNUM(CompilDonnées[[#This Row],[PlantationDate]]), " ", YEAR(CompilDonnées[[#This Row],[PlantationDate]]))</f>
        <v>34 2025</v>
      </c>
      <c r="L4496" t="str">
        <f>CONCATENATE(MONTH(CompilDonnées[[#This Row],[PlantationDate]])," ", YEAR(CompilDonnées[[#This Row],[PlantationDate]]))</f>
        <v>8 2025</v>
      </c>
      <c r="M4496" t="str">
        <f>CONCATENATE(MONTH(CompilDonnées[[#This Row],[HarvestingDate]])," ", YEAR(CompilDonnées[[#This Row],[HarvestingDate]]))</f>
        <v>10 2025</v>
      </c>
      <c r="N4496">
        <f>_xlfn.NUMBERVALUE(CompilDonnées[[#This Row],[FarmID]]&amp;CompilDonnées[[#This Row],[ModuleNumber]]&amp;CompilDonnées[[#This Row],[PlantationDate]])</f>
        <v>44445890</v>
      </c>
      <c r="O4496" t="str">
        <f>CompilDonnées[[#This Row],[FarmID]]&amp;CompilDonnées[[#This Row],[ModuleNumber]]</f>
        <v>444</v>
      </c>
      <c r="P4496" t="str">
        <f>CompilDonnées[[#This Row],[Ref_Module]]&amp;CompilDonnées[[#This Row],[HarvestingDate]]</f>
        <v>44445939</v>
      </c>
    </row>
    <row r="4497" spans="1:16">
      <c r="A4497" s="5">
        <v>45890</v>
      </c>
      <c r="B4497">
        <v>45</v>
      </c>
      <c r="C4497" t="s">
        <v>77</v>
      </c>
      <c r="D4497">
        <v>2</v>
      </c>
      <c r="E4497">
        <v>100</v>
      </c>
      <c r="F4497" t="s">
        <v>1</v>
      </c>
      <c r="G4497" s="6">
        <v>45939</v>
      </c>
      <c r="H4497">
        <v>49</v>
      </c>
      <c r="I4497">
        <f>ROUND(CompilDonnées[[#This Row],[CultureDuration_days]]/7,0)</f>
        <v>7</v>
      </c>
      <c r="J4497">
        <v>4131</v>
      </c>
      <c r="K4497" t="str">
        <f>_xlfn.CONCAT(WEEKNUM(CompilDonnées[[#This Row],[PlantationDate]]), " ", YEAR(CompilDonnées[[#This Row],[PlantationDate]]))</f>
        <v>34 2025</v>
      </c>
      <c r="L4497" t="str">
        <f>CONCATENATE(MONTH(CompilDonnées[[#This Row],[PlantationDate]])," ", YEAR(CompilDonnées[[#This Row],[PlantationDate]]))</f>
        <v>8 2025</v>
      </c>
      <c r="M4497" t="str">
        <f>CONCATENATE(MONTH(CompilDonnées[[#This Row],[HarvestingDate]])," ", YEAR(CompilDonnées[[#This Row],[HarvestingDate]]))</f>
        <v>10 2025</v>
      </c>
      <c r="N4497">
        <f>_xlfn.NUMBERVALUE(CompilDonnées[[#This Row],[FarmID]]&amp;CompilDonnées[[#This Row],[ModuleNumber]]&amp;CompilDonnées[[#This Row],[PlantationDate]])</f>
        <v>45245890</v>
      </c>
      <c r="O4497" t="str">
        <f>CompilDonnées[[#This Row],[FarmID]]&amp;CompilDonnées[[#This Row],[ModuleNumber]]</f>
        <v>452</v>
      </c>
      <c r="P4497" t="str">
        <f>CompilDonnées[[#This Row],[Ref_Module]]&amp;CompilDonnées[[#This Row],[HarvestingDate]]</f>
        <v>45245939</v>
      </c>
    </row>
    <row r="4498" spans="1:16">
      <c r="A4498" s="5">
        <v>45890</v>
      </c>
      <c r="B4498">
        <v>38</v>
      </c>
      <c r="C4498" t="s">
        <v>34</v>
      </c>
      <c r="D4498">
        <v>2</v>
      </c>
      <c r="E4498">
        <v>100</v>
      </c>
      <c r="F4498" t="s">
        <v>1</v>
      </c>
      <c r="G4498" s="6">
        <v>45929</v>
      </c>
      <c r="H4498">
        <v>39</v>
      </c>
      <c r="I4498">
        <f>ROUND(CompilDonnées[[#This Row],[CultureDuration_days]]/7,0)</f>
        <v>6</v>
      </c>
      <c r="J4498">
        <v>2416</v>
      </c>
      <c r="K4498" t="str">
        <f>_xlfn.CONCAT(WEEKNUM(CompilDonnées[[#This Row],[PlantationDate]]), " ", YEAR(CompilDonnées[[#This Row],[PlantationDate]]))</f>
        <v>34 2025</v>
      </c>
      <c r="L4498" t="str">
        <f>CONCATENATE(MONTH(CompilDonnées[[#This Row],[PlantationDate]])," ", YEAR(CompilDonnées[[#This Row],[PlantationDate]]))</f>
        <v>8 2025</v>
      </c>
      <c r="M4498" t="str">
        <f>CONCATENATE(MONTH(CompilDonnées[[#This Row],[HarvestingDate]])," ", YEAR(CompilDonnées[[#This Row],[HarvestingDate]]))</f>
        <v>9 2025</v>
      </c>
      <c r="N4498">
        <f>_xlfn.NUMBERVALUE(CompilDonnées[[#This Row],[FarmID]]&amp;CompilDonnées[[#This Row],[ModuleNumber]]&amp;CompilDonnées[[#This Row],[PlantationDate]])</f>
        <v>38245890</v>
      </c>
      <c r="O4498" t="str">
        <f>CompilDonnées[[#This Row],[FarmID]]&amp;CompilDonnées[[#This Row],[ModuleNumber]]</f>
        <v>382</v>
      </c>
      <c r="P4498" t="str">
        <f>CompilDonnées[[#This Row],[Ref_Module]]&amp;CompilDonnées[[#This Row],[HarvestingDate]]</f>
        <v>38245929</v>
      </c>
    </row>
    <row r="4499" spans="1:16">
      <c r="A4499" s="5">
        <v>45890</v>
      </c>
      <c r="B4499">
        <v>32</v>
      </c>
      <c r="C4499" t="s">
        <v>25</v>
      </c>
      <c r="D4499">
        <v>2</v>
      </c>
      <c r="E4499">
        <v>100</v>
      </c>
      <c r="F4499" t="s">
        <v>1</v>
      </c>
      <c r="G4499" s="6">
        <v>45939</v>
      </c>
      <c r="H4499">
        <v>49</v>
      </c>
      <c r="I4499">
        <f>ROUND(CompilDonnées[[#This Row],[CultureDuration_days]]/7,0)</f>
        <v>7</v>
      </c>
      <c r="J4499">
        <v>3526</v>
      </c>
      <c r="K4499" t="str">
        <f>_xlfn.CONCAT(WEEKNUM(CompilDonnées[[#This Row],[PlantationDate]]), " ", YEAR(CompilDonnées[[#This Row],[PlantationDate]]))</f>
        <v>34 2025</v>
      </c>
      <c r="L4499" t="str">
        <f>CONCATENATE(MONTH(CompilDonnées[[#This Row],[PlantationDate]])," ", YEAR(CompilDonnées[[#This Row],[PlantationDate]]))</f>
        <v>8 2025</v>
      </c>
      <c r="M4499" t="str">
        <f>CONCATENATE(MONTH(CompilDonnées[[#This Row],[HarvestingDate]])," ", YEAR(CompilDonnées[[#This Row],[HarvestingDate]]))</f>
        <v>10 2025</v>
      </c>
      <c r="N4499">
        <f>_xlfn.NUMBERVALUE(CompilDonnées[[#This Row],[FarmID]]&amp;CompilDonnées[[#This Row],[ModuleNumber]]&amp;CompilDonnées[[#This Row],[PlantationDate]])</f>
        <v>32245890</v>
      </c>
      <c r="O4499" t="str">
        <f>CompilDonnées[[#This Row],[FarmID]]&amp;CompilDonnées[[#This Row],[ModuleNumber]]</f>
        <v>322</v>
      </c>
      <c r="P4499" t="str">
        <f>CompilDonnées[[#This Row],[Ref_Module]]&amp;CompilDonnées[[#This Row],[HarvestingDate]]</f>
        <v>32245939</v>
      </c>
    </row>
    <row r="4500" spans="1:16">
      <c r="A4500" s="5">
        <v>45890</v>
      </c>
      <c r="B4500">
        <v>37</v>
      </c>
      <c r="C4500" t="s">
        <v>26</v>
      </c>
      <c r="D4500">
        <v>5</v>
      </c>
      <c r="E4500">
        <v>100</v>
      </c>
      <c r="F4500" t="s">
        <v>1</v>
      </c>
      <c r="G4500" s="6">
        <v>45939</v>
      </c>
      <c r="H4500">
        <v>49</v>
      </c>
      <c r="I4500">
        <f>ROUND(CompilDonnées[[#This Row],[CultureDuration_days]]/7,0)</f>
        <v>7</v>
      </c>
      <c r="J4500">
        <v>2531</v>
      </c>
      <c r="K4500" t="str">
        <f>_xlfn.CONCAT(WEEKNUM(CompilDonnées[[#This Row],[PlantationDate]]), " ", YEAR(CompilDonnées[[#This Row],[PlantationDate]]))</f>
        <v>34 2025</v>
      </c>
      <c r="L4500" t="str">
        <f>CONCATENATE(MONTH(CompilDonnées[[#This Row],[PlantationDate]])," ", YEAR(CompilDonnées[[#This Row],[PlantationDate]]))</f>
        <v>8 2025</v>
      </c>
      <c r="M4500" t="str">
        <f>CONCATENATE(MONTH(CompilDonnées[[#This Row],[HarvestingDate]])," ", YEAR(CompilDonnées[[#This Row],[HarvestingDate]]))</f>
        <v>10 2025</v>
      </c>
      <c r="N4500">
        <f>_xlfn.NUMBERVALUE(CompilDonnées[[#This Row],[FarmID]]&amp;CompilDonnées[[#This Row],[ModuleNumber]]&amp;CompilDonnées[[#This Row],[PlantationDate]])</f>
        <v>37545890</v>
      </c>
      <c r="O4500" t="str">
        <f>CompilDonnées[[#This Row],[FarmID]]&amp;CompilDonnées[[#This Row],[ModuleNumber]]</f>
        <v>375</v>
      </c>
      <c r="P4500" t="str">
        <f>CompilDonnées[[#This Row],[Ref_Module]]&amp;CompilDonnées[[#This Row],[HarvestingDate]]</f>
        <v>37545939</v>
      </c>
    </row>
    <row r="4501" spans="1:16">
      <c r="A4501" s="5">
        <v>45890</v>
      </c>
      <c r="B4501">
        <v>36</v>
      </c>
      <c r="C4501" t="s">
        <v>63</v>
      </c>
      <c r="D4501">
        <v>4</v>
      </c>
      <c r="E4501">
        <v>100</v>
      </c>
      <c r="F4501" t="s">
        <v>1</v>
      </c>
      <c r="G4501" s="6">
        <v>45929</v>
      </c>
      <c r="H4501">
        <v>39</v>
      </c>
      <c r="I4501">
        <f>ROUND(CompilDonnées[[#This Row],[CultureDuration_days]]/7,0)</f>
        <v>6</v>
      </c>
      <c r="J4501">
        <v>1370</v>
      </c>
      <c r="K4501" t="str">
        <f>_xlfn.CONCAT(WEEKNUM(CompilDonnées[[#This Row],[PlantationDate]]), " ", YEAR(CompilDonnées[[#This Row],[PlantationDate]]))</f>
        <v>34 2025</v>
      </c>
      <c r="L4501" t="str">
        <f>CONCATENATE(MONTH(CompilDonnées[[#This Row],[PlantationDate]])," ", YEAR(CompilDonnées[[#This Row],[PlantationDate]]))</f>
        <v>8 2025</v>
      </c>
      <c r="M4501" t="str">
        <f>CONCATENATE(MONTH(CompilDonnées[[#This Row],[HarvestingDate]])," ", YEAR(CompilDonnées[[#This Row],[HarvestingDate]]))</f>
        <v>9 2025</v>
      </c>
      <c r="N4501">
        <f>_xlfn.NUMBERVALUE(CompilDonnées[[#This Row],[FarmID]]&amp;CompilDonnées[[#This Row],[ModuleNumber]]&amp;CompilDonnées[[#This Row],[PlantationDate]])</f>
        <v>36445890</v>
      </c>
      <c r="O4501" t="str">
        <f>CompilDonnées[[#This Row],[FarmID]]&amp;CompilDonnées[[#This Row],[ModuleNumber]]</f>
        <v>364</v>
      </c>
      <c r="P4501" t="str">
        <f>CompilDonnées[[#This Row],[Ref_Module]]&amp;CompilDonnées[[#This Row],[HarvestingDate]]</f>
        <v>36445929</v>
      </c>
    </row>
    <row r="4502" spans="1:16">
      <c r="A4502" s="5">
        <v>45890</v>
      </c>
      <c r="B4502">
        <v>30</v>
      </c>
      <c r="C4502" t="s">
        <v>4</v>
      </c>
      <c r="D4502">
        <v>4</v>
      </c>
      <c r="E4502">
        <v>100</v>
      </c>
      <c r="F4502" t="s">
        <v>1</v>
      </c>
      <c r="G4502" s="6">
        <v>45939</v>
      </c>
      <c r="H4502">
        <v>49</v>
      </c>
      <c r="I4502">
        <f>ROUND(CompilDonnées[[#This Row],[CultureDuration_days]]/7,0)</f>
        <v>7</v>
      </c>
      <c r="J4502">
        <v>1610</v>
      </c>
      <c r="K4502" t="str">
        <f>_xlfn.CONCAT(WEEKNUM(CompilDonnées[[#This Row],[PlantationDate]]), " ", YEAR(CompilDonnées[[#This Row],[PlantationDate]]))</f>
        <v>34 2025</v>
      </c>
      <c r="L4502" t="str">
        <f>CONCATENATE(MONTH(CompilDonnées[[#This Row],[PlantationDate]])," ", YEAR(CompilDonnées[[#This Row],[PlantationDate]]))</f>
        <v>8 2025</v>
      </c>
      <c r="M4502" t="str">
        <f>CONCATENATE(MONTH(CompilDonnées[[#This Row],[HarvestingDate]])," ", YEAR(CompilDonnées[[#This Row],[HarvestingDate]]))</f>
        <v>10 2025</v>
      </c>
      <c r="N4502">
        <f>_xlfn.NUMBERVALUE(CompilDonnées[[#This Row],[FarmID]]&amp;CompilDonnées[[#This Row],[ModuleNumber]]&amp;CompilDonnées[[#This Row],[PlantationDate]])</f>
        <v>30445890</v>
      </c>
      <c r="O4502" t="str">
        <f>CompilDonnées[[#This Row],[FarmID]]&amp;CompilDonnées[[#This Row],[ModuleNumber]]</f>
        <v>304</v>
      </c>
      <c r="P4502" t="str">
        <f>CompilDonnées[[#This Row],[Ref_Module]]&amp;CompilDonnées[[#This Row],[HarvestingDate]]</f>
        <v>30445939</v>
      </c>
    </row>
    <row r="4503" spans="1:16">
      <c r="A4503" s="5">
        <v>45890</v>
      </c>
      <c r="B4503">
        <v>31</v>
      </c>
      <c r="C4503" t="s">
        <v>62</v>
      </c>
      <c r="D4503">
        <v>1</v>
      </c>
      <c r="E4503">
        <v>100</v>
      </c>
      <c r="F4503" t="s">
        <v>1</v>
      </c>
      <c r="G4503" s="6">
        <v>45944</v>
      </c>
      <c r="H4503">
        <v>54</v>
      </c>
      <c r="I4503">
        <f>ROUND(CompilDonnées[[#This Row],[CultureDuration_days]]/7,0)</f>
        <v>8</v>
      </c>
      <c r="J4503">
        <v>1951</v>
      </c>
      <c r="K4503" t="str">
        <f>_xlfn.CONCAT(WEEKNUM(CompilDonnées[[#This Row],[PlantationDate]]), " ", YEAR(CompilDonnées[[#This Row],[PlantationDate]]))</f>
        <v>34 2025</v>
      </c>
      <c r="L4503" t="str">
        <f>CONCATENATE(MONTH(CompilDonnées[[#This Row],[PlantationDate]])," ", YEAR(CompilDonnées[[#This Row],[PlantationDate]]))</f>
        <v>8 2025</v>
      </c>
      <c r="M4503" t="str">
        <f>CONCATENATE(MONTH(CompilDonnées[[#This Row],[HarvestingDate]])," ", YEAR(CompilDonnées[[#This Row],[HarvestingDate]]))</f>
        <v>10 2025</v>
      </c>
      <c r="N4503">
        <f>_xlfn.NUMBERVALUE(CompilDonnées[[#This Row],[FarmID]]&amp;CompilDonnées[[#This Row],[ModuleNumber]]&amp;CompilDonnées[[#This Row],[PlantationDate]])</f>
        <v>31145890</v>
      </c>
      <c r="O4503" t="str">
        <f>CompilDonnées[[#This Row],[FarmID]]&amp;CompilDonnées[[#This Row],[ModuleNumber]]</f>
        <v>311</v>
      </c>
      <c r="P4503" t="str">
        <f>CompilDonnées[[#This Row],[Ref_Module]]&amp;CompilDonnées[[#This Row],[HarvestingDate]]</f>
        <v>31145944</v>
      </c>
    </row>
    <row r="4504" spans="1:16">
      <c r="A4504" s="5">
        <v>45890</v>
      </c>
      <c r="B4504">
        <v>16</v>
      </c>
      <c r="C4504" t="s">
        <v>112</v>
      </c>
      <c r="D4504">
        <v>6</v>
      </c>
      <c r="E4504">
        <v>100</v>
      </c>
      <c r="F4504" t="s">
        <v>1</v>
      </c>
      <c r="G4504" s="6">
        <v>45943</v>
      </c>
      <c r="H4504">
        <v>53</v>
      </c>
      <c r="I4504">
        <f>ROUND(CompilDonnées[[#This Row],[CultureDuration_days]]/7,0)</f>
        <v>8</v>
      </c>
      <c r="J4504">
        <v>2889</v>
      </c>
      <c r="K4504" t="str">
        <f>_xlfn.CONCAT(WEEKNUM(CompilDonnées[[#This Row],[PlantationDate]]), " ", YEAR(CompilDonnées[[#This Row],[PlantationDate]]))</f>
        <v>34 2025</v>
      </c>
      <c r="L4504" t="str">
        <f>CONCATENATE(MONTH(CompilDonnées[[#This Row],[PlantationDate]])," ", YEAR(CompilDonnées[[#This Row],[PlantationDate]]))</f>
        <v>8 2025</v>
      </c>
      <c r="M4504" t="str">
        <f>CONCATENATE(MONTH(CompilDonnées[[#This Row],[HarvestingDate]])," ", YEAR(CompilDonnées[[#This Row],[HarvestingDate]]))</f>
        <v>10 2025</v>
      </c>
      <c r="N4504">
        <f>_xlfn.NUMBERVALUE(CompilDonnées[[#This Row],[FarmID]]&amp;CompilDonnées[[#This Row],[ModuleNumber]]&amp;CompilDonnées[[#This Row],[PlantationDate]])</f>
        <v>16645890</v>
      </c>
      <c r="O4504" t="str">
        <f>CompilDonnées[[#This Row],[FarmID]]&amp;CompilDonnées[[#This Row],[ModuleNumber]]</f>
        <v>166</v>
      </c>
      <c r="P4504" t="str">
        <f>CompilDonnées[[#This Row],[Ref_Module]]&amp;CompilDonnées[[#This Row],[HarvestingDate]]</f>
        <v>16645943</v>
      </c>
    </row>
    <row r="4505" spans="1:16">
      <c r="A4505" s="5">
        <v>45890</v>
      </c>
      <c r="B4505">
        <v>18</v>
      </c>
      <c r="C4505" t="s">
        <v>33</v>
      </c>
      <c r="D4505">
        <v>3</v>
      </c>
      <c r="E4505">
        <v>100</v>
      </c>
      <c r="F4505" t="s">
        <v>1</v>
      </c>
      <c r="G4505" s="6">
        <v>45939</v>
      </c>
      <c r="H4505">
        <v>49</v>
      </c>
      <c r="I4505">
        <f>ROUND(CompilDonnées[[#This Row],[CultureDuration_days]]/7,0)</f>
        <v>7</v>
      </c>
      <c r="J4505">
        <v>3462</v>
      </c>
      <c r="K4505" t="str">
        <f>_xlfn.CONCAT(WEEKNUM(CompilDonnées[[#This Row],[PlantationDate]]), " ", YEAR(CompilDonnées[[#This Row],[PlantationDate]]))</f>
        <v>34 2025</v>
      </c>
      <c r="L4505" t="str">
        <f>CONCATENATE(MONTH(CompilDonnées[[#This Row],[PlantationDate]])," ", YEAR(CompilDonnées[[#This Row],[PlantationDate]]))</f>
        <v>8 2025</v>
      </c>
      <c r="M4505" t="str">
        <f>CONCATENATE(MONTH(CompilDonnées[[#This Row],[HarvestingDate]])," ", YEAR(CompilDonnées[[#This Row],[HarvestingDate]]))</f>
        <v>10 2025</v>
      </c>
      <c r="N4505">
        <f>_xlfn.NUMBERVALUE(CompilDonnées[[#This Row],[FarmID]]&amp;CompilDonnées[[#This Row],[ModuleNumber]]&amp;CompilDonnées[[#This Row],[PlantationDate]])</f>
        <v>18345890</v>
      </c>
      <c r="O4505" t="str">
        <f>CompilDonnées[[#This Row],[FarmID]]&amp;CompilDonnées[[#This Row],[ModuleNumber]]</f>
        <v>183</v>
      </c>
      <c r="P4505" t="str">
        <f>CompilDonnées[[#This Row],[Ref_Module]]&amp;CompilDonnées[[#This Row],[HarvestingDate]]</f>
        <v>18345939</v>
      </c>
    </row>
    <row r="4506" spans="1:16">
      <c r="A4506" s="5">
        <v>45890</v>
      </c>
      <c r="B4506">
        <v>4</v>
      </c>
      <c r="C4506" t="s">
        <v>74</v>
      </c>
      <c r="D4506">
        <v>1</v>
      </c>
      <c r="E4506">
        <v>100</v>
      </c>
      <c r="F4506" t="s">
        <v>1</v>
      </c>
      <c r="G4506" s="6">
        <v>45929</v>
      </c>
      <c r="H4506">
        <v>39</v>
      </c>
      <c r="I4506">
        <f>ROUND(CompilDonnées[[#This Row],[CultureDuration_days]]/7,0)</f>
        <v>6</v>
      </c>
      <c r="J4506">
        <v>1375</v>
      </c>
      <c r="K4506" t="str">
        <f>_xlfn.CONCAT(WEEKNUM(CompilDonnées[[#This Row],[PlantationDate]]), " ", YEAR(CompilDonnées[[#This Row],[PlantationDate]]))</f>
        <v>34 2025</v>
      </c>
      <c r="L4506" t="str">
        <f>CONCATENATE(MONTH(CompilDonnées[[#This Row],[PlantationDate]])," ", YEAR(CompilDonnées[[#This Row],[PlantationDate]]))</f>
        <v>8 2025</v>
      </c>
      <c r="M4506" t="str">
        <f>CONCATENATE(MONTH(CompilDonnées[[#This Row],[HarvestingDate]])," ", YEAR(CompilDonnées[[#This Row],[HarvestingDate]]))</f>
        <v>9 2025</v>
      </c>
      <c r="N4506">
        <f>_xlfn.NUMBERVALUE(CompilDonnées[[#This Row],[FarmID]]&amp;CompilDonnées[[#This Row],[ModuleNumber]]&amp;CompilDonnées[[#This Row],[PlantationDate]])</f>
        <v>4145890</v>
      </c>
      <c r="O4506" t="str">
        <f>CompilDonnées[[#This Row],[FarmID]]&amp;CompilDonnées[[#This Row],[ModuleNumber]]</f>
        <v>41</v>
      </c>
      <c r="P4506" t="str">
        <f>CompilDonnées[[#This Row],[Ref_Module]]&amp;CompilDonnées[[#This Row],[HarvestingDate]]</f>
        <v>4145929</v>
      </c>
    </row>
    <row r="4507" spans="1:16">
      <c r="A4507" s="5">
        <v>45890</v>
      </c>
      <c r="B4507">
        <v>62</v>
      </c>
      <c r="C4507" t="s">
        <v>124</v>
      </c>
      <c r="D4507">
        <v>3</v>
      </c>
      <c r="E4507">
        <v>100</v>
      </c>
      <c r="F4507" t="s">
        <v>1</v>
      </c>
      <c r="G4507" s="6">
        <v>45924</v>
      </c>
      <c r="H4507">
        <v>34</v>
      </c>
      <c r="I4507">
        <f>ROUND(CompilDonnées[[#This Row],[CultureDuration_days]]/7,0)</f>
        <v>5</v>
      </c>
      <c r="J4507">
        <v>914</v>
      </c>
      <c r="K4507" t="str">
        <f>_xlfn.CONCAT(WEEKNUM(CompilDonnées[[#This Row],[PlantationDate]]), " ", YEAR(CompilDonnées[[#This Row],[PlantationDate]]))</f>
        <v>34 2025</v>
      </c>
      <c r="L4507" t="str">
        <f>CONCATENATE(MONTH(CompilDonnées[[#This Row],[PlantationDate]])," ", YEAR(CompilDonnées[[#This Row],[PlantationDate]]))</f>
        <v>8 2025</v>
      </c>
      <c r="M4507" t="str">
        <f>CONCATENATE(MONTH(CompilDonnées[[#This Row],[HarvestingDate]])," ", YEAR(CompilDonnées[[#This Row],[HarvestingDate]]))</f>
        <v>9 2025</v>
      </c>
      <c r="N4507">
        <f>_xlfn.NUMBERVALUE(CompilDonnées[[#This Row],[FarmID]]&amp;CompilDonnées[[#This Row],[ModuleNumber]]&amp;CompilDonnées[[#This Row],[PlantationDate]])</f>
        <v>62345890</v>
      </c>
      <c r="O4507" t="str">
        <f>CompilDonnées[[#This Row],[FarmID]]&amp;CompilDonnées[[#This Row],[ModuleNumber]]</f>
        <v>623</v>
      </c>
      <c r="P4507" t="str">
        <f>CompilDonnées[[#This Row],[Ref_Module]]&amp;CompilDonnées[[#This Row],[HarvestingDate]]</f>
        <v>62345924</v>
      </c>
    </row>
    <row r="4508" spans="1:16">
      <c r="A4508" s="5">
        <v>45890</v>
      </c>
      <c r="B4508">
        <v>63</v>
      </c>
      <c r="C4508" t="s">
        <v>98</v>
      </c>
      <c r="D4508">
        <v>4</v>
      </c>
      <c r="E4508">
        <v>100</v>
      </c>
      <c r="F4508" t="s">
        <v>1</v>
      </c>
      <c r="G4508" s="6">
        <v>45923</v>
      </c>
      <c r="H4508">
        <v>33</v>
      </c>
      <c r="I4508">
        <f>ROUND(CompilDonnées[[#This Row],[CultureDuration_days]]/7,0)</f>
        <v>5</v>
      </c>
      <c r="J4508">
        <v>963</v>
      </c>
      <c r="K4508" t="str">
        <f>_xlfn.CONCAT(WEEKNUM(CompilDonnées[[#This Row],[PlantationDate]]), " ", YEAR(CompilDonnées[[#This Row],[PlantationDate]]))</f>
        <v>34 2025</v>
      </c>
      <c r="L4508" t="str">
        <f>CONCATENATE(MONTH(CompilDonnées[[#This Row],[PlantationDate]])," ", YEAR(CompilDonnées[[#This Row],[PlantationDate]]))</f>
        <v>8 2025</v>
      </c>
      <c r="M4508" t="str">
        <f>CONCATENATE(MONTH(CompilDonnées[[#This Row],[HarvestingDate]])," ", YEAR(CompilDonnées[[#This Row],[HarvestingDate]]))</f>
        <v>9 2025</v>
      </c>
      <c r="N4508">
        <f>_xlfn.NUMBERVALUE(CompilDonnées[[#This Row],[FarmID]]&amp;CompilDonnées[[#This Row],[ModuleNumber]]&amp;CompilDonnées[[#This Row],[PlantationDate]])</f>
        <v>63445890</v>
      </c>
      <c r="O4508" t="str">
        <f>CompilDonnées[[#This Row],[FarmID]]&amp;CompilDonnées[[#This Row],[ModuleNumber]]</f>
        <v>634</v>
      </c>
      <c r="P4508" t="str">
        <f>CompilDonnées[[#This Row],[Ref_Module]]&amp;CompilDonnées[[#This Row],[HarvestingDate]]</f>
        <v>63445923</v>
      </c>
    </row>
    <row r="4509" spans="1:16">
      <c r="A4509" s="5">
        <v>45890</v>
      </c>
      <c r="B4509">
        <v>69</v>
      </c>
      <c r="C4509" t="s">
        <v>102</v>
      </c>
      <c r="D4509">
        <v>4</v>
      </c>
      <c r="E4509">
        <v>100</v>
      </c>
      <c r="F4509" t="s">
        <v>1</v>
      </c>
      <c r="G4509" s="6">
        <v>45944</v>
      </c>
      <c r="H4509">
        <v>54</v>
      </c>
      <c r="I4509">
        <f>ROUND(CompilDonnées[[#This Row],[CultureDuration_days]]/7,0)</f>
        <v>8</v>
      </c>
      <c r="J4509">
        <v>1815</v>
      </c>
      <c r="K4509" t="str">
        <f>_xlfn.CONCAT(WEEKNUM(CompilDonnées[[#This Row],[PlantationDate]]), " ", YEAR(CompilDonnées[[#This Row],[PlantationDate]]))</f>
        <v>34 2025</v>
      </c>
      <c r="L4509" t="str">
        <f>CONCATENATE(MONTH(CompilDonnées[[#This Row],[PlantationDate]])," ", YEAR(CompilDonnées[[#This Row],[PlantationDate]]))</f>
        <v>8 2025</v>
      </c>
      <c r="M4509" t="str">
        <f>CONCATENATE(MONTH(CompilDonnées[[#This Row],[HarvestingDate]])," ", YEAR(CompilDonnées[[#This Row],[HarvestingDate]]))</f>
        <v>10 2025</v>
      </c>
      <c r="N4509">
        <f>_xlfn.NUMBERVALUE(CompilDonnées[[#This Row],[FarmID]]&amp;CompilDonnées[[#This Row],[ModuleNumber]]&amp;CompilDonnées[[#This Row],[PlantationDate]])</f>
        <v>69445890</v>
      </c>
      <c r="O4509" t="str">
        <f>CompilDonnées[[#This Row],[FarmID]]&amp;CompilDonnées[[#This Row],[ModuleNumber]]</f>
        <v>694</v>
      </c>
      <c r="P4509" t="str">
        <f>CompilDonnées[[#This Row],[Ref_Module]]&amp;CompilDonnées[[#This Row],[HarvestingDate]]</f>
        <v>69445944</v>
      </c>
    </row>
    <row r="4510" spans="1:16">
      <c r="A4510" s="5">
        <v>45890</v>
      </c>
      <c r="B4510">
        <v>13</v>
      </c>
      <c r="C4510" t="s">
        <v>114</v>
      </c>
      <c r="D4510">
        <v>2</v>
      </c>
      <c r="E4510">
        <v>100</v>
      </c>
      <c r="F4510" t="s">
        <v>1</v>
      </c>
      <c r="G4510" s="6">
        <v>45939</v>
      </c>
      <c r="H4510">
        <v>49</v>
      </c>
      <c r="I4510">
        <f>ROUND(CompilDonnées[[#This Row],[CultureDuration_days]]/7,0)</f>
        <v>7</v>
      </c>
      <c r="J4510">
        <v>3033</v>
      </c>
      <c r="K4510" t="str">
        <f>_xlfn.CONCAT(WEEKNUM(CompilDonnées[[#This Row],[PlantationDate]]), " ", YEAR(CompilDonnées[[#This Row],[PlantationDate]]))</f>
        <v>34 2025</v>
      </c>
      <c r="L4510" t="str">
        <f>CONCATENATE(MONTH(CompilDonnées[[#This Row],[PlantationDate]])," ", YEAR(CompilDonnées[[#This Row],[PlantationDate]]))</f>
        <v>8 2025</v>
      </c>
      <c r="M4510" t="str">
        <f>CONCATENATE(MONTH(CompilDonnées[[#This Row],[HarvestingDate]])," ", YEAR(CompilDonnées[[#This Row],[HarvestingDate]]))</f>
        <v>10 2025</v>
      </c>
      <c r="N4510">
        <f>_xlfn.NUMBERVALUE(CompilDonnées[[#This Row],[FarmID]]&amp;CompilDonnées[[#This Row],[ModuleNumber]]&amp;CompilDonnées[[#This Row],[PlantationDate]])</f>
        <v>13245890</v>
      </c>
      <c r="O4510" t="str">
        <f>CompilDonnées[[#This Row],[FarmID]]&amp;CompilDonnées[[#This Row],[ModuleNumber]]</f>
        <v>132</v>
      </c>
      <c r="P4510" t="str">
        <f>CompilDonnées[[#This Row],[Ref_Module]]&amp;CompilDonnées[[#This Row],[HarvestingDate]]</f>
        <v>13245939</v>
      </c>
    </row>
    <row r="4511" spans="1:16">
      <c r="A4511" s="5">
        <v>45890</v>
      </c>
      <c r="B4511">
        <v>8</v>
      </c>
      <c r="C4511" t="s">
        <v>57</v>
      </c>
      <c r="D4511">
        <v>6</v>
      </c>
      <c r="E4511">
        <v>100</v>
      </c>
      <c r="F4511" t="s">
        <v>1</v>
      </c>
      <c r="G4511" s="6">
        <v>45939</v>
      </c>
      <c r="H4511">
        <v>49</v>
      </c>
      <c r="I4511">
        <f>ROUND(CompilDonnées[[#This Row],[CultureDuration_days]]/7,0)</f>
        <v>7</v>
      </c>
      <c r="J4511">
        <v>1015</v>
      </c>
      <c r="K4511" t="str">
        <f>_xlfn.CONCAT(WEEKNUM(CompilDonnées[[#This Row],[PlantationDate]]), " ", YEAR(CompilDonnées[[#This Row],[PlantationDate]]))</f>
        <v>34 2025</v>
      </c>
      <c r="L4511" t="str">
        <f>CONCATENATE(MONTH(CompilDonnées[[#This Row],[PlantationDate]])," ", YEAR(CompilDonnées[[#This Row],[PlantationDate]]))</f>
        <v>8 2025</v>
      </c>
      <c r="M4511" t="str">
        <f>CONCATENATE(MONTH(CompilDonnées[[#This Row],[HarvestingDate]])," ", YEAR(CompilDonnées[[#This Row],[HarvestingDate]]))</f>
        <v>10 2025</v>
      </c>
      <c r="N4511">
        <f>_xlfn.NUMBERVALUE(CompilDonnées[[#This Row],[FarmID]]&amp;CompilDonnées[[#This Row],[ModuleNumber]]&amp;CompilDonnées[[#This Row],[PlantationDate]])</f>
        <v>8645890</v>
      </c>
      <c r="O4511" t="str">
        <f>CompilDonnées[[#This Row],[FarmID]]&amp;CompilDonnées[[#This Row],[ModuleNumber]]</f>
        <v>86</v>
      </c>
      <c r="P4511" t="str">
        <f>CompilDonnées[[#This Row],[Ref_Module]]&amp;CompilDonnées[[#This Row],[HarvestingDate]]</f>
        <v>8645939</v>
      </c>
    </row>
    <row r="4512" spans="1:16">
      <c r="A4512" s="5">
        <v>45890</v>
      </c>
      <c r="B4512">
        <v>7</v>
      </c>
      <c r="C4512" t="s">
        <v>50</v>
      </c>
      <c r="D4512">
        <v>6</v>
      </c>
      <c r="E4512">
        <v>100</v>
      </c>
      <c r="F4512" t="s">
        <v>1</v>
      </c>
      <c r="G4512" s="6">
        <v>45939</v>
      </c>
      <c r="H4512">
        <v>49</v>
      </c>
      <c r="I4512">
        <f>ROUND(CompilDonnées[[#This Row],[CultureDuration_days]]/7,0)</f>
        <v>7</v>
      </c>
      <c r="J4512">
        <v>2366</v>
      </c>
      <c r="K4512" t="str">
        <f>_xlfn.CONCAT(WEEKNUM(CompilDonnées[[#This Row],[PlantationDate]]), " ", YEAR(CompilDonnées[[#This Row],[PlantationDate]]))</f>
        <v>34 2025</v>
      </c>
      <c r="L4512" t="str">
        <f>CONCATENATE(MONTH(CompilDonnées[[#This Row],[PlantationDate]])," ", YEAR(CompilDonnées[[#This Row],[PlantationDate]]))</f>
        <v>8 2025</v>
      </c>
      <c r="M4512" t="str">
        <f>CONCATENATE(MONTH(CompilDonnées[[#This Row],[HarvestingDate]])," ", YEAR(CompilDonnées[[#This Row],[HarvestingDate]]))</f>
        <v>10 2025</v>
      </c>
      <c r="N4512">
        <f>_xlfn.NUMBERVALUE(CompilDonnées[[#This Row],[FarmID]]&amp;CompilDonnées[[#This Row],[ModuleNumber]]&amp;CompilDonnées[[#This Row],[PlantationDate]])</f>
        <v>7645890</v>
      </c>
      <c r="O4512" t="str">
        <f>CompilDonnées[[#This Row],[FarmID]]&amp;CompilDonnées[[#This Row],[ModuleNumber]]</f>
        <v>76</v>
      </c>
      <c r="P4512" t="str">
        <f>CompilDonnées[[#This Row],[Ref_Module]]&amp;CompilDonnées[[#This Row],[HarvestingDate]]</f>
        <v>7645939</v>
      </c>
    </row>
    <row r="4513" spans="1:16">
      <c r="A4513" s="5">
        <v>45890</v>
      </c>
      <c r="B4513">
        <v>57</v>
      </c>
      <c r="C4513" t="s">
        <v>46</v>
      </c>
      <c r="D4513">
        <v>5</v>
      </c>
      <c r="E4513">
        <v>100</v>
      </c>
      <c r="F4513" t="s">
        <v>1</v>
      </c>
      <c r="G4513" s="6">
        <v>45939</v>
      </c>
      <c r="H4513">
        <v>49</v>
      </c>
      <c r="I4513">
        <f>ROUND(CompilDonnées[[#This Row],[CultureDuration_days]]/7,0)</f>
        <v>7</v>
      </c>
      <c r="J4513">
        <v>2794</v>
      </c>
      <c r="K4513" t="str">
        <f>_xlfn.CONCAT(WEEKNUM(CompilDonnées[[#This Row],[PlantationDate]]), " ", YEAR(CompilDonnées[[#This Row],[PlantationDate]]))</f>
        <v>34 2025</v>
      </c>
      <c r="L4513" t="str">
        <f>CONCATENATE(MONTH(CompilDonnées[[#This Row],[PlantationDate]])," ", YEAR(CompilDonnées[[#This Row],[PlantationDate]]))</f>
        <v>8 2025</v>
      </c>
      <c r="M4513" t="str">
        <f>CONCATENATE(MONTH(CompilDonnées[[#This Row],[HarvestingDate]])," ", YEAR(CompilDonnées[[#This Row],[HarvestingDate]]))</f>
        <v>10 2025</v>
      </c>
      <c r="N4513">
        <f>_xlfn.NUMBERVALUE(CompilDonnées[[#This Row],[FarmID]]&amp;CompilDonnées[[#This Row],[ModuleNumber]]&amp;CompilDonnées[[#This Row],[PlantationDate]])</f>
        <v>57545890</v>
      </c>
      <c r="O4513" t="str">
        <f>CompilDonnées[[#This Row],[FarmID]]&amp;CompilDonnées[[#This Row],[ModuleNumber]]</f>
        <v>575</v>
      </c>
      <c r="P4513" t="str">
        <f>CompilDonnées[[#This Row],[Ref_Module]]&amp;CompilDonnées[[#This Row],[HarvestingDate]]</f>
        <v>57545939</v>
      </c>
    </row>
    <row r="4514" spans="1:16">
      <c r="A4514" s="5">
        <v>45890</v>
      </c>
      <c r="B4514">
        <v>64</v>
      </c>
      <c r="C4514" t="s">
        <v>47</v>
      </c>
      <c r="D4514">
        <v>2</v>
      </c>
      <c r="E4514">
        <v>100</v>
      </c>
      <c r="F4514" t="s">
        <v>1</v>
      </c>
      <c r="G4514" s="6">
        <v>45945</v>
      </c>
      <c r="H4514">
        <v>55</v>
      </c>
      <c r="I4514">
        <f>ROUND(CompilDonnées[[#This Row],[CultureDuration_days]]/7,0)</f>
        <v>8</v>
      </c>
      <c r="J4514">
        <v>1819</v>
      </c>
      <c r="K4514" t="str">
        <f>_xlfn.CONCAT(WEEKNUM(CompilDonnées[[#This Row],[PlantationDate]]), " ", YEAR(CompilDonnées[[#This Row],[PlantationDate]]))</f>
        <v>34 2025</v>
      </c>
      <c r="L4514" t="str">
        <f>CONCATENATE(MONTH(CompilDonnées[[#This Row],[PlantationDate]])," ", YEAR(CompilDonnées[[#This Row],[PlantationDate]]))</f>
        <v>8 2025</v>
      </c>
      <c r="M4514" t="str">
        <f>CONCATENATE(MONTH(CompilDonnées[[#This Row],[HarvestingDate]])," ", YEAR(CompilDonnées[[#This Row],[HarvestingDate]]))</f>
        <v>10 2025</v>
      </c>
      <c r="N4514">
        <f>_xlfn.NUMBERVALUE(CompilDonnées[[#This Row],[FarmID]]&amp;CompilDonnées[[#This Row],[ModuleNumber]]&amp;CompilDonnées[[#This Row],[PlantationDate]])</f>
        <v>64245890</v>
      </c>
      <c r="O4514" t="str">
        <f>CompilDonnées[[#This Row],[FarmID]]&amp;CompilDonnées[[#This Row],[ModuleNumber]]</f>
        <v>642</v>
      </c>
      <c r="P4514" t="str">
        <f>CompilDonnées[[#This Row],[Ref_Module]]&amp;CompilDonnées[[#This Row],[HarvestingDate]]</f>
        <v>64245945</v>
      </c>
    </row>
    <row r="4515" spans="1:16">
      <c r="A4515" s="5">
        <v>45890</v>
      </c>
      <c r="B4515">
        <v>66</v>
      </c>
      <c r="C4515" t="s">
        <v>48</v>
      </c>
      <c r="D4515">
        <v>3</v>
      </c>
      <c r="E4515">
        <v>100</v>
      </c>
      <c r="F4515" t="s">
        <v>1</v>
      </c>
      <c r="G4515" s="6">
        <v>45930</v>
      </c>
      <c r="H4515">
        <v>40</v>
      </c>
      <c r="I4515">
        <f>ROUND(CompilDonnées[[#This Row],[CultureDuration_days]]/7,0)</f>
        <v>6</v>
      </c>
      <c r="J4515">
        <v>1911</v>
      </c>
      <c r="K4515" t="str">
        <f>_xlfn.CONCAT(WEEKNUM(CompilDonnées[[#This Row],[PlantationDate]]), " ", YEAR(CompilDonnées[[#This Row],[PlantationDate]]))</f>
        <v>34 2025</v>
      </c>
      <c r="L4515" t="str">
        <f>CONCATENATE(MONTH(CompilDonnées[[#This Row],[PlantationDate]])," ", YEAR(CompilDonnées[[#This Row],[PlantationDate]]))</f>
        <v>8 2025</v>
      </c>
      <c r="M4515" t="str">
        <f>CONCATENATE(MONTH(CompilDonnées[[#This Row],[HarvestingDate]])," ", YEAR(CompilDonnées[[#This Row],[HarvestingDate]]))</f>
        <v>9 2025</v>
      </c>
      <c r="N4515">
        <f>_xlfn.NUMBERVALUE(CompilDonnées[[#This Row],[FarmID]]&amp;CompilDonnées[[#This Row],[ModuleNumber]]&amp;CompilDonnées[[#This Row],[PlantationDate]])</f>
        <v>66345890</v>
      </c>
      <c r="O4515" t="str">
        <f>CompilDonnées[[#This Row],[FarmID]]&amp;CompilDonnées[[#This Row],[ModuleNumber]]</f>
        <v>663</v>
      </c>
      <c r="P4515" t="str">
        <f>CompilDonnées[[#This Row],[Ref_Module]]&amp;CompilDonnées[[#This Row],[HarvestingDate]]</f>
        <v>66345930</v>
      </c>
    </row>
    <row r="4516" spans="1:16">
      <c r="A4516" s="5">
        <v>45890</v>
      </c>
      <c r="B4516">
        <v>67</v>
      </c>
      <c r="C4516" t="s">
        <v>28</v>
      </c>
      <c r="D4516">
        <v>2</v>
      </c>
      <c r="E4516">
        <v>100</v>
      </c>
      <c r="F4516" t="s">
        <v>1</v>
      </c>
      <c r="G4516" s="6">
        <v>45944</v>
      </c>
      <c r="H4516">
        <v>54</v>
      </c>
      <c r="I4516">
        <f>ROUND(CompilDonnées[[#This Row],[CultureDuration_days]]/7,0)</f>
        <v>8</v>
      </c>
      <c r="J4516">
        <v>3258</v>
      </c>
      <c r="K4516" t="str">
        <f>_xlfn.CONCAT(WEEKNUM(CompilDonnées[[#This Row],[PlantationDate]]), " ", YEAR(CompilDonnées[[#This Row],[PlantationDate]]))</f>
        <v>34 2025</v>
      </c>
      <c r="L4516" t="str">
        <f>CONCATENATE(MONTH(CompilDonnées[[#This Row],[PlantationDate]])," ", YEAR(CompilDonnées[[#This Row],[PlantationDate]]))</f>
        <v>8 2025</v>
      </c>
      <c r="M4516" t="str">
        <f>CONCATENATE(MONTH(CompilDonnées[[#This Row],[HarvestingDate]])," ", YEAR(CompilDonnées[[#This Row],[HarvestingDate]]))</f>
        <v>10 2025</v>
      </c>
      <c r="N4516">
        <f>_xlfn.NUMBERVALUE(CompilDonnées[[#This Row],[FarmID]]&amp;CompilDonnées[[#This Row],[ModuleNumber]]&amp;CompilDonnées[[#This Row],[PlantationDate]])</f>
        <v>67245890</v>
      </c>
      <c r="O4516" t="str">
        <f>CompilDonnées[[#This Row],[FarmID]]&amp;CompilDonnées[[#This Row],[ModuleNumber]]</f>
        <v>672</v>
      </c>
      <c r="P4516" t="str">
        <f>CompilDonnées[[#This Row],[Ref_Module]]&amp;CompilDonnées[[#This Row],[HarvestingDate]]</f>
        <v>67245944</v>
      </c>
    </row>
    <row r="4517" spans="1:16">
      <c r="A4517" s="5">
        <v>45890</v>
      </c>
      <c r="B4517">
        <v>48</v>
      </c>
      <c r="C4517" t="s">
        <v>71</v>
      </c>
      <c r="D4517">
        <v>4</v>
      </c>
      <c r="E4517">
        <v>100</v>
      </c>
      <c r="F4517" t="s">
        <v>1</v>
      </c>
      <c r="G4517" s="6">
        <v>45929</v>
      </c>
      <c r="H4517">
        <v>39</v>
      </c>
      <c r="I4517">
        <f>ROUND(CompilDonnées[[#This Row],[CultureDuration_days]]/7,0)</f>
        <v>6</v>
      </c>
      <c r="J4517">
        <v>1040</v>
      </c>
      <c r="K4517" t="str">
        <f>_xlfn.CONCAT(WEEKNUM(CompilDonnées[[#This Row],[PlantationDate]]), " ", YEAR(CompilDonnées[[#This Row],[PlantationDate]]))</f>
        <v>34 2025</v>
      </c>
      <c r="L4517" t="str">
        <f>CONCATENATE(MONTH(CompilDonnées[[#This Row],[PlantationDate]])," ", YEAR(CompilDonnées[[#This Row],[PlantationDate]]))</f>
        <v>8 2025</v>
      </c>
      <c r="M4517" t="str">
        <f>CONCATENATE(MONTH(CompilDonnées[[#This Row],[HarvestingDate]])," ", YEAR(CompilDonnées[[#This Row],[HarvestingDate]]))</f>
        <v>9 2025</v>
      </c>
      <c r="N4517">
        <f>_xlfn.NUMBERVALUE(CompilDonnées[[#This Row],[FarmID]]&amp;CompilDonnées[[#This Row],[ModuleNumber]]&amp;CompilDonnées[[#This Row],[PlantationDate]])</f>
        <v>48445890</v>
      </c>
      <c r="O4517" t="str">
        <f>CompilDonnées[[#This Row],[FarmID]]&amp;CompilDonnées[[#This Row],[ModuleNumber]]</f>
        <v>484</v>
      </c>
      <c r="P4517" t="str">
        <f>CompilDonnées[[#This Row],[Ref_Module]]&amp;CompilDonnées[[#This Row],[HarvestingDate]]</f>
        <v>48445929</v>
      </c>
    </row>
    <row r="4518" spans="1:16">
      <c r="A4518" s="5">
        <v>45890</v>
      </c>
      <c r="B4518">
        <v>50</v>
      </c>
      <c r="C4518" t="s">
        <v>55</v>
      </c>
      <c r="D4518">
        <v>2</v>
      </c>
      <c r="E4518">
        <v>100</v>
      </c>
      <c r="F4518" t="s">
        <v>1</v>
      </c>
      <c r="G4518" s="6">
        <v>45944</v>
      </c>
      <c r="H4518">
        <v>54</v>
      </c>
      <c r="I4518">
        <f>ROUND(CompilDonnées[[#This Row],[CultureDuration_days]]/7,0)</f>
        <v>8</v>
      </c>
      <c r="J4518">
        <v>2361</v>
      </c>
      <c r="K4518" t="str">
        <f>_xlfn.CONCAT(WEEKNUM(CompilDonnées[[#This Row],[PlantationDate]]), " ", YEAR(CompilDonnées[[#This Row],[PlantationDate]]))</f>
        <v>34 2025</v>
      </c>
      <c r="L4518" t="str">
        <f>CONCATENATE(MONTH(CompilDonnées[[#This Row],[PlantationDate]])," ", YEAR(CompilDonnées[[#This Row],[PlantationDate]]))</f>
        <v>8 2025</v>
      </c>
      <c r="M4518" t="str">
        <f>CONCATENATE(MONTH(CompilDonnées[[#This Row],[HarvestingDate]])," ", YEAR(CompilDonnées[[#This Row],[HarvestingDate]]))</f>
        <v>10 2025</v>
      </c>
      <c r="N4518">
        <f>_xlfn.NUMBERVALUE(CompilDonnées[[#This Row],[FarmID]]&amp;CompilDonnées[[#This Row],[ModuleNumber]]&amp;CompilDonnées[[#This Row],[PlantationDate]])</f>
        <v>50245890</v>
      </c>
      <c r="O4518" t="str">
        <f>CompilDonnées[[#This Row],[FarmID]]&amp;CompilDonnées[[#This Row],[ModuleNumber]]</f>
        <v>502</v>
      </c>
      <c r="P4518" t="str">
        <f>CompilDonnées[[#This Row],[Ref_Module]]&amp;CompilDonnées[[#This Row],[HarvestingDate]]</f>
        <v>50245944</v>
      </c>
    </row>
    <row r="4519" spans="1:16">
      <c r="A4519" s="5">
        <v>45890</v>
      </c>
      <c r="B4519">
        <v>49</v>
      </c>
      <c r="C4519" t="s">
        <v>110</v>
      </c>
      <c r="D4519">
        <v>1</v>
      </c>
      <c r="E4519">
        <v>100</v>
      </c>
      <c r="F4519" t="s">
        <v>1</v>
      </c>
      <c r="G4519" s="6">
        <v>45944</v>
      </c>
      <c r="H4519">
        <v>54</v>
      </c>
      <c r="I4519">
        <f>ROUND(CompilDonnées[[#This Row],[CultureDuration_days]]/7,0)</f>
        <v>8</v>
      </c>
      <c r="J4519">
        <v>2721</v>
      </c>
      <c r="K4519" t="str">
        <f>_xlfn.CONCAT(WEEKNUM(CompilDonnées[[#This Row],[PlantationDate]]), " ", YEAR(CompilDonnées[[#This Row],[PlantationDate]]))</f>
        <v>34 2025</v>
      </c>
      <c r="L4519" t="str">
        <f>CONCATENATE(MONTH(CompilDonnées[[#This Row],[PlantationDate]])," ", YEAR(CompilDonnées[[#This Row],[PlantationDate]]))</f>
        <v>8 2025</v>
      </c>
      <c r="M4519" t="str">
        <f>CONCATENATE(MONTH(CompilDonnées[[#This Row],[HarvestingDate]])," ", YEAR(CompilDonnées[[#This Row],[HarvestingDate]]))</f>
        <v>10 2025</v>
      </c>
      <c r="N4519">
        <f>_xlfn.NUMBERVALUE(CompilDonnées[[#This Row],[FarmID]]&amp;CompilDonnées[[#This Row],[ModuleNumber]]&amp;CompilDonnées[[#This Row],[PlantationDate]])</f>
        <v>49145890</v>
      </c>
      <c r="O4519" t="str">
        <f>CompilDonnées[[#This Row],[FarmID]]&amp;CompilDonnées[[#This Row],[ModuleNumber]]</f>
        <v>491</v>
      </c>
      <c r="P4519" t="str">
        <f>CompilDonnées[[#This Row],[Ref_Module]]&amp;CompilDonnées[[#This Row],[HarvestingDate]]</f>
        <v>49145944</v>
      </c>
    </row>
    <row r="4520" spans="1:16">
      <c r="A4520" s="5">
        <v>45890</v>
      </c>
      <c r="B4520">
        <v>27</v>
      </c>
      <c r="C4520" t="s">
        <v>3</v>
      </c>
      <c r="D4520">
        <v>2</v>
      </c>
      <c r="E4520">
        <v>100</v>
      </c>
      <c r="F4520" t="s">
        <v>1</v>
      </c>
      <c r="G4520" s="6">
        <v>45929</v>
      </c>
      <c r="H4520">
        <v>39</v>
      </c>
      <c r="I4520">
        <f>ROUND(CompilDonnées[[#This Row],[CultureDuration_days]]/7,0)</f>
        <v>6</v>
      </c>
      <c r="J4520">
        <v>1500</v>
      </c>
      <c r="K4520" t="str">
        <f>_xlfn.CONCAT(WEEKNUM(CompilDonnées[[#This Row],[PlantationDate]]), " ", YEAR(CompilDonnées[[#This Row],[PlantationDate]]))</f>
        <v>34 2025</v>
      </c>
      <c r="L4520" t="str">
        <f>CONCATENATE(MONTH(CompilDonnées[[#This Row],[PlantationDate]])," ", YEAR(CompilDonnées[[#This Row],[PlantationDate]]))</f>
        <v>8 2025</v>
      </c>
      <c r="M4520" t="str">
        <f>CONCATENATE(MONTH(CompilDonnées[[#This Row],[HarvestingDate]])," ", YEAR(CompilDonnées[[#This Row],[HarvestingDate]]))</f>
        <v>9 2025</v>
      </c>
      <c r="N4520">
        <f>_xlfn.NUMBERVALUE(CompilDonnées[[#This Row],[FarmID]]&amp;CompilDonnées[[#This Row],[ModuleNumber]]&amp;CompilDonnées[[#This Row],[PlantationDate]])</f>
        <v>27245890</v>
      </c>
      <c r="O4520" t="str">
        <f>CompilDonnées[[#This Row],[FarmID]]&amp;CompilDonnées[[#This Row],[ModuleNumber]]</f>
        <v>272</v>
      </c>
      <c r="P4520" t="str">
        <f>CompilDonnées[[#This Row],[Ref_Module]]&amp;CompilDonnées[[#This Row],[HarvestingDate]]</f>
        <v>27245929</v>
      </c>
    </row>
    <row r="4521" spans="1:16">
      <c r="A4521" s="5">
        <v>45890</v>
      </c>
      <c r="B4521">
        <v>27</v>
      </c>
      <c r="C4521" t="s">
        <v>3</v>
      </c>
      <c r="D4521">
        <v>3</v>
      </c>
      <c r="E4521">
        <v>68</v>
      </c>
      <c r="F4521" t="s">
        <v>1</v>
      </c>
      <c r="G4521" s="6">
        <v>45929</v>
      </c>
      <c r="H4521">
        <v>39</v>
      </c>
      <c r="I4521">
        <f>ROUND(CompilDonnées[[#This Row],[CultureDuration_days]]/7,0)</f>
        <v>6</v>
      </c>
      <c r="J4521">
        <v>905</v>
      </c>
      <c r="K4521" t="str">
        <f>_xlfn.CONCAT(WEEKNUM(CompilDonnées[[#This Row],[PlantationDate]]), " ", YEAR(CompilDonnées[[#This Row],[PlantationDate]]))</f>
        <v>34 2025</v>
      </c>
      <c r="L4521" t="str">
        <f>CONCATENATE(MONTH(CompilDonnées[[#This Row],[PlantationDate]])," ", YEAR(CompilDonnées[[#This Row],[PlantationDate]]))</f>
        <v>8 2025</v>
      </c>
      <c r="M4521" t="str">
        <f>CONCATENATE(MONTH(CompilDonnées[[#This Row],[HarvestingDate]])," ", YEAR(CompilDonnées[[#This Row],[HarvestingDate]]))</f>
        <v>9 2025</v>
      </c>
      <c r="N4521">
        <f>_xlfn.NUMBERVALUE(CompilDonnées[[#This Row],[FarmID]]&amp;CompilDonnées[[#This Row],[ModuleNumber]]&amp;CompilDonnées[[#This Row],[PlantationDate]])</f>
        <v>27345890</v>
      </c>
      <c r="O4521" t="str">
        <f>CompilDonnées[[#This Row],[FarmID]]&amp;CompilDonnées[[#This Row],[ModuleNumber]]</f>
        <v>273</v>
      </c>
      <c r="P4521" t="str">
        <f>CompilDonnées[[#This Row],[Ref_Module]]&amp;CompilDonnées[[#This Row],[HarvestingDate]]</f>
        <v>27345929</v>
      </c>
    </row>
    <row r="4522" spans="1:16">
      <c r="A4522" s="5">
        <v>45890</v>
      </c>
      <c r="B4522">
        <v>27</v>
      </c>
      <c r="C4522" t="s">
        <v>3</v>
      </c>
      <c r="D4522">
        <v>6</v>
      </c>
      <c r="E4522">
        <v>52</v>
      </c>
      <c r="F4522" t="s">
        <v>1</v>
      </c>
      <c r="G4522" s="6">
        <v>45929</v>
      </c>
      <c r="H4522">
        <v>39</v>
      </c>
      <c r="I4522">
        <f>ROUND(CompilDonnées[[#This Row],[CultureDuration_days]]/7,0)</f>
        <v>6</v>
      </c>
      <c r="J4522">
        <v>895</v>
      </c>
      <c r="K4522" t="str">
        <f>_xlfn.CONCAT(WEEKNUM(CompilDonnées[[#This Row],[PlantationDate]]), " ", YEAR(CompilDonnées[[#This Row],[PlantationDate]]))</f>
        <v>34 2025</v>
      </c>
      <c r="L4522" t="str">
        <f>CONCATENATE(MONTH(CompilDonnées[[#This Row],[PlantationDate]])," ", YEAR(CompilDonnées[[#This Row],[PlantationDate]]))</f>
        <v>8 2025</v>
      </c>
      <c r="M4522" t="str">
        <f>CONCATENATE(MONTH(CompilDonnées[[#This Row],[HarvestingDate]])," ", YEAR(CompilDonnées[[#This Row],[HarvestingDate]]))</f>
        <v>9 2025</v>
      </c>
      <c r="N4522">
        <f>_xlfn.NUMBERVALUE(CompilDonnées[[#This Row],[FarmID]]&amp;CompilDonnées[[#This Row],[ModuleNumber]]&amp;CompilDonnées[[#This Row],[PlantationDate]])</f>
        <v>27645890</v>
      </c>
      <c r="O4522" t="str">
        <f>CompilDonnées[[#This Row],[FarmID]]&amp;CompilDonnées[[#This Row],[ModuleNumber]]</f>
        <v>276</v>
      </c>
      <c r="P4522" t="str">
        <f>CompilDonnées[[#This Row],[Ref_Module]]&amp;CompilDonnées[[#This Row],[HarvestingDate]]</f>
        <v>27645929</v>
      </c>
    </row>
    <row r="4523" spans="1:16">
      <c r="A4523" s="5">
        <v>45891</v>
      </c>
      <c r="B4523">
        <v>30</v>
      </c>
      <c r="C4523" t="s">
        <v>4</v>
      </c>
      <c r="D4523">
        <v>3</v>
      </c>
      <c r="E4523">
        <v>100</v>
      </c>
      <c r="F4523" t="s">
        <v>1</v>
      </c>
      <c r="G4523" s="6">
        <v>45924</v>
      </c>
      <c r="H4523">
        <v>33</v>
      </c>
      <c r="I4523">
        <f>ROUND(CompilDonnées[[#This Row],[CultureDuration_days]]/7,0)</f>
        <v>5</v>
      </c>
      <c r="J4523">
        <v>1256</v>
      </c>
      <c r="K4523" t="str">
        <f>_xlfn.CONCAT(WEEKNUM(CompilDonnées[[#This Row],[PlantationDate]]), " ", YEAR(CompilDonnées[[#This Row],[PlantationDate]]))</f>
        <v>34 2025</v>
      </c>
      <c r="L4523" t="str">
        <f>CONCATENATE(MONTH(CompilDonnées[[#This Row],[PlantationDate]])," ", YEAR(CompilDonnées[[#This Row],[PlantationDate]]))</f>
        <v>8 2025</v>
      </c>
      <c r="M4523" t="str">
        <f>CONCATENATE(MONTH(CompilDonnées[[#This Row],[HarvestingDate]])," ", YEAR(CompilDonnées[[#This Row],[HarvestingDate]]))</f>
        <v>9 2025</v>
      </c>
      <c r="N4523">
        <f>_xlfn.NUMBERVALUE(CompilDonnées[[#This Row],[FarmID]]&amp;CompilDonnées[[#This Row],[ModuleNumber]]&amp;CompilDonnées[[#This Row],[PlantationDate]])</f>
        <v>30345891</v>
      </c>
      <c r="O4523" t="str">
        <f>CompilDonnées[[#This Row],[FarmID]]&amp;CompilDonnées[[#This Row],[ModuleNumber]]</f>
        <v>303</v>
      </c>
      <c r="P4523" t="str">
        <f>CompilDonnées[[#This Row],[Ref_Module]]&amp;CompilDonnées[[#This Row],[HarvestingDate]]</f>
        <v>30345924</v>
      </c>
    </row>
    <row r="4524" spans="1:16">
      <c r="A4524" s="5">
        <v>45891</v>
      </c>
      <c r="B4524">
        <v>38</v>
      </c>
      <c r="C4524" t="s">
        <v>34</v>
      </c>
      <c r="D4524">
        <v>3</v>
      </c>
      <c r="E4524">
        <v>100</v>
      </c>
      <c r="F4524" t="s">
        <v>1</v>
      </c>
      <c r="G4524" s="6">
        <v>45939</v>
      </c>
      <c r="H4524">
        <v>48</v>
      </c>
      <c r="I4524">
        <f>ROUND(CompilDonnées[[#This Row],[CultureDuration_days]]/7,0)</f>
        <v>7</v>
      </c>
      <c r="J4524">
        <v>3268</v>
      </c>
      <c r="K4524" t="str">
        <f>_xlfn.CONCAT(WEEKNUM(CompilDonnées[[#This Row],[PlantationDate]]), " ", YEAR(CompilDonnées[[#This Row],[PlantationDate]]))</f>
        <v>34 2025</v>
      </c>
      <c r="L4524" t="str">
        <f>CONCATENATE(MONTH(CompilDonnées[[#This Row],[PlantationDate]])," ", YEAR(CompilDonnées[[#This Row],[PlantationDate]]))</f>
        <v>8 2025</v>
      </c>
      <c r="M4524" t="str">
        <f>CONCATENATE(MONTH(CompilDonnées[[#This Row],[HarvestingDate]])," ", YEAR(CompilDonnées[[#This Row],[HarvestingDate]]))</f>
        <v>10 2025</v>
      </c>
      <c r="N4524">
        <f>_xlfn.NUMBERVALUE(CompilDonnées[[#This Row],[FarmID]]&amp;CompilDonnées[[#This Row],[ModuleNumber]]&amp;CompilDonnées[[#This Row],[PlantationDate]])</f>
        <v>38345891</v>
      </c>
      <c r="O4524" t="str">
        <f>CompilDonnées[[#This Row],[FarmID]]&amp;CompilDonnées[[#This Row],[ModuleNumber]]</f>
        <v>383</v>
      </c>
      <c r="P4524" t="str">
        <f>CompilDonnées[[#This Row],[Ref_Module]]&amp;CompilDonnées[[#This Row],[HarvestingDate]]</f>
        <v>38345939</v>
      </c>
    </row>
    <row r="4525" spans="1:16">
      <c r="A4525" s="5">
        <v>45891</v>
      </c>
      <c r="B4525">
        <v>70</v>
      </c>
      <c r="C4525" t="s">
        <v>7</v>
      </c>
      <c r="D4525">
        <v>2</v>
      </c>
      <c r="E4525">
        <v>100</v>
      </c>
      <c r="F4525" t="s">
        <v>1</v>
      </c>
      <c r="G4525" s="6">
        <v>45944</v>
      </c>
      <c r="H4525">
        <v>53</v>
      </c>
      <c r="I4525">
        <f>ROUND(CompilDonnées[[#This Row],[CultureDuration_days]]/7,0)</f>
        <v>8</v>
      </c>
      <c r="J4525">
        <v>2228</v>
      </c>
      <c r="K4525" t="str">
        <f>_xlfn.CONCAT(WEEKNUM(CompilDonnées[[#This Row],[PlantationDate]]), " ", YEAR(CompilDonnées[[#This Row],[PlantationDate]]))</f>
        <v>34 2025</v>
      </c>
      <c r="L4525" t="str">
        <f>CONCATENATE(MONTH(CompilDonnées[[#This Row],[PlantationDate]])," ", YEAR(CompilDonnées[[#This Row],[PlantationDate]]))</f>
        <v>8 2025</v>
      </c>
      <c r="M4525" t="str">
        <f>CONCATENATE(MONTH(CompilDonnées[[#This Row],[HarvestingDate]])," ", YEAR(CompilDonnées[[#This Row],[HarvestingDate]]))</f>
        <v>10 2025</v>
      </c>
      <c r="N4525">
        <f>_xlfn.NUMBERVALUE(CompilDonnées[[#This Row],[FarmID]]&amp;CompilDonnées[[#This Row],[ModuleNumber]]&amp;CompilDonnées[[#This Row],[PlantationDate]])</f>
        <v>70245891</v>
      </c>
      <c r="O4525" t="str">
        <f>CompilDonnées[[#This Row],[FarmID]]&amp;CompilDonnées[[#This Row],[ModuleNumber]]</f>
        <v>702</v>
      </c>
      <c r="P4525" t="str">
        <f>CompilDonnées[[#This Row],[Ref_Module]]&amp;CompilDonnées[[#This Row],[HarvestingDate]]</f>
        <v>70245944</v>
      </c>
    </row>
    <row r="4526" spans="1:16">
      <c r="A4526" s="5">
        <v>45891</v>
      </c>
      <c r="B4526">
        <v>60</v>
      </c>
      <c r="C4526" t="s">
        <v>113</v>
      </c>
      <c r="D4526">
        <v>3</v>
      </c>
      <c r="E4526">
        <v>100</v>
      </c>
      <c r="F4526" t="s">
        <v>1</v>
      </c>
      <c r="G4526" s="6">
        <v>45930</v>
      </c>
      <c r="H4526">
        <v>39</v>
      </c>
      <c r="I4526">
        <f>ROUND(CompilDonnées[[#This Row],[CultureDuration_days]]/7,0)</f>
        <v>6</v>
      </c>
      <c r="J4526">
        <v>1757</v>
      </c>
      <c r="K4526" t="str">
        <f>_xlfn.CONCAT(WEEKNUM(CompilDonnées[[#This Row],[PlantationDate]]), " ", YEAR(CompilDonnées[[#This Row],[PlantationDate]]))</f>
        <v>34 2025</v>
      </c>
      <c r="L4526" t="str">
        <f>CONCATENATE(MONTH(CompilDonnées[[#This Row],[PlantationDate]])," ", YEAR(CompilDonnées[[#This Row],[PlantationDate]]))</f>
        <v>8 2025</v>
      </c>
      <c r="M4526" t="str">
        <f>CONCATENATE(MONTH(CompilDonnées[[#This Row],[HarvestingDate]])," ", YEAR(CompilDonnées[[#This Row],[HarvestingDate]]))</f>
        <v>9 2025</v>
      </c>
      <c r="N4526">
        <f>_xlfn.NUMBERVALUE(CompilDonnées[[#This Row],[FarmID]]&amp;CompilDonnées[[#This Row],[ModuleNumber]]&amp;CompilDonnées[[#This Row],[PlantationDate]])</f>
        <v>60345891</v>
      </c>
      <c r="O4526" t="str">
        <f>CompilDonnées[[#This Row],[FarmID]]&amp;CompilDonnées[[#This Row],[ModuleNumber]]</f>
        <v>603</v>
      </c>
      <c r="P4526" t="str">
        <f>CompilDonnées[[#This Row],[Ref_Module]]&amp;CompilDonnées[[#This Row],[HarvestingDate]]</f>
        <v>60345930</v>
      </c>
    </row>
    <row r="4527" spans="1:16">
      <c r="A4527" s="5">
        <v>45891</v>
      </c>
      <c r="B4527">
        <v>87</v>
      </c>
      <c r="C4527" t="s">
        <v>38</v>
      </c>
      <c r="D4527">
        <v>5</v>
      </c>
      <c r="E4527">
        <v>100</v>
      </c>
      <c r="F4527" t="s">
        <v>1</v>
      </c>
      <c r="G4527" s="6">
        <v>45945</v>
      </c>
      <c r="H4527">
        <v>54</v>
      </c>
      <c r="I4527">
        <f>ROUND(CompilDonnées[[#This Row],[CultureDuration_days]]/7,0)</f>
        <v>8</v>
      </c>
      <c r="J4527">
        <v>2803</v>
      </c>
      <c r="K4527" t="str">
        <f>_xlfn.CONCAT(WEEKNUM(CompilDonnées[[#This Row],[PlantationDate]]), " ", YEAR(CompilDonnées[[#This Row],[PlantationDate]]))</f>
        <v>34 2025</v>
      </c>
      <c r="L4527" t="str">
        <f>CONCATENATE(MONTH(CompilDonnées[[#This Row],[PlantationDate]])," ", YEAR(CompilDonnées[[#This Row],[PlantationDate]]))</f>
        <v>8 2025</v>
      </c>
      <c r="M4527" t="str">
        <f>CONCATENATE(MONTH(CompilDonnées[[#This Row],[HarvestingDate]])," ", YEAR(CompilDonnées[[#This Row],[HarvestingDate]]))</f>
        <v>10 2025</v>
      </c>
      <c r="N4527">
        <f>_xlfn.NUMBERVALUE(CompilDonnées[[#This Row],[FarmID]]&amp;CompilDonnées[[#This Row],[ModuleNumber]]&amp;CompilDonnées[[#This Row],[PlantationDate]])</f>
        <v>87545891</v>
      </c>
      <c r="O4527" t="str">
        <f>CompilDonnées[[#This Row],[FarmID]]&amp;CompilDonnées[[#This Row],[ModuleNumber]]</f>
        <v>875</v>
      </c>
      <c r="P4527" t="str">
        <f>CompilDonnées[[#This Row],[Ref_Module]]&amp;CompilDonnées[[#This Row],[HarvestingDate]]</f>
        <v>87545945</v>
      </c>
    </row>
    <row r="4528" spans="1:16">
      <c r="A4528" s="5">
        <v>45891</v>
      </c>
      <c r="B4528">
        <v>86</v>
      </c>
      <c r="C4528" t="s">
        <v>37</v>
      </c>
      <c r="D4528">
        <v>4</v>
      </c>
      <c r="E4528">
        <v>100</v>
      </c>
      <c r="F4528" t="s">
        <v>1</v>
      </c>
      <c r="G4528" s="6">
        <v>45938</v>
      </c>
      <c r="H4528">
        <v>47</v>
      </c>
      <c r="I4528">
        <f>ROUND(CompilDonnées[[#This Row],[CultureDuration_days]]/7,0)</f>
        <v>7</v>
      </c>
      <c r="J4528">
        <v>1935</v>
      </c>
      <c r="K4528" t="str">
        <f>_xlfn.CONCAT(WEEKNUM(CompilDonnées[[#This Row],[PlantationDate]]), " ", YEAR(CompilDonnées[[#This Row],[PlantationDate]]))</f>
        <v>34 2025</v>
      </c>
      <c r="L4528" t="str">
        <f>CONCATENATE(MONTH(CompilDonnées[[#This Row],[PlantationDate]])," ", YEAR(CompilDonnées[[#This Row],[PlantationDate]]))</f>
        <v>8 2025</v>
      </c>
      <c r="M4528" t="str">
        <f>CONCATENATE(MONTH(CompilDonnées[[#This Row],[HarvestingDate]])," ", YEAR(CompilDonnées[[#This Row],[HarvestingDate]]))</f>
        <v>10 2025</v>
      </c>
      <c r="N4528">
        <f>_xlfn.NUMBERVALUE(CompilDonnées[[#This Row],[FarmID]]&amp;CompilDonnées[[#This Row],[ModuleNumber]]&amp;CompilDonnées[[#This Row],[PlantationDate]])</f>
        <v>86445891</v>
      </c>
      <c r="O4528" t="str">
        <f>CompilDonnées[[#This Row],[FarmID]]&amp;CompilDonnées[[#This Row],[ModuleNumber]]</f>
        <v>864</v>
      </c>
      <c r="P4528" t="str">
        <f>CompilDonnées[[#This Row],[Ref_Module]]&amp;CompilDonnées[[#This Row],[HarvestingDate]]</f>
        <v>86445938</v>
      </c>
    </row>
    <row r="4529" spans="1:16">
      <c r="A4529" s="5">
        <v>45891</v>
      </c>
      <c r="B4529">
        <v>85</v>
      </c>
      <c r="C4529" t="s">
        <v>56</v>
      </c>
      <c r="D4529">
        <v>4</v>
      </c>
      <c r="E4529">
        <v>100</v>
      </c>
      <c r="F4529" t="s">
        <v>1</v>
      </c>
      <c r="G4529" s="6">
        <v>45938</v>
      </c>
      <c r="H4529">
        <v>47</v>
      </c>
      <c r="I4529">
        <f>ROUND(CompilDonnées[[#This Row],[CultureDuration_days]]/7,0)</f>
        <v>7</v>
      </c>
      <c r="J4529">
        <v>1982</v>
      </c>
      <c r="K4529" t="str">
        <f>_xlfn.CONCAT(WEEKNUM(CompilDonnées[[#This Row],[PlantationDate]]), " ", YEAR(CompilDonnées[[#This Row],[PlantationDate]]))</f>
        <v>34 2025</v>
      </c>
      <c r="L4529" t="str">
        <f>CONCATENATE(MONTH(CompilDonnées[[#This Row],[PlantationDate]])," ", YEAR(CompilDonnées[[#This Row],[PlantationDate]]))</f>
        <v>8 2025</v>
      </c>
      <c r="M4529" t="str">
        <f>CONCATENATE(MONTH(CompilDonnées[[#This Row],[HarvestingDate]])," ", YEAR(CompilDonnées[[#This Row],[HarvestingDate]]))</f>
        <v>10 2025</v>
      </c>
      <c r="N4529">
        <f>_xlfn.NUMBERVALUE(CompilDonnées[[#This Row],[FarmID]]&amp;CompilDonnées[[#This Row],[ModuleNumber]]&amp;CompilDonnées[[#This Row],[PlantationDate]])</f>
        <v>85445891</v>
      </c>
      <c r="O4529" t="str">
        <f>CompilDonnées[[#This Row],[FarmID]]&amp;CompilDonnées[[#This Row],[ModuleNumber]]</f>
        <v>854</v>
      </c>
      <c r="P4529" t="str">
        <f>CompilDonnées[[#This Row],[Ref_Module]]&amp;CompilDonnées[[#This Row],[HarvestingDate]]</f>
        <v>85445938</v>
      </c>
    </row>
    <row r="4530" spans="1:16">
      <c r="A4530" s="5">
        <v>45891</v>
      </c>
      <c r="B4530">
        <v>91</v>
      </c>
      <c r="C4530" t="s">
        <v>9</v>
      </c>
      <c r="D4530">
        <v>3</v>
      </c>
      <c r="E4530">
        <v>100</v>
      </c>
      <c r="F4530" t="s">
        <v>1</v>
      </c>
      <c r="G4530" s="6">
        <v>45938</v>
      </c>
      <c r="H4530">
        <v>47</v>
      </c>
      <c r="I4530">
        <f>ROUND(CompilDonnées[[#This Row],[CultureDuration_days]]/7,0)</f>
        <v>7</v>
      </c>
      <c r="J4530">
        <v>1825</v>
      </c>
      <c r="K4530" t="str">
        <f>_xlfn.CONCAT(WEEKNUM(CompilDonnées[[#This Row],[PlantationDate]]), " ", YEAR(CompilDonnées[[#This Row],[PlantationDate]]))</f>
        <v>34 2025</v>
      </c>
      <c r="L4530" t="str">
        <f>CONCATENATE(MONTH(CompilDonnées[[#This Row],[PlantationDate]])," ", YEAR(CompilDonnées[[#This Row],[PlantationDate]]))</f>
        <v>8 2025</v>
      </c>
      <c r="M4530" t="str">
        <f>CONCATENATE(MONTH(CompilDonnées[[#This Row],[HarvestingDate]])," ", YEAR(CompilDonnées[[#This Row],[HarvestingDate]]))</f>
        <v>10 2025</v>
      </c>
      <c r="N4530">
        <f>_xlfn.NUMBERVALUE(CompilDonnées[[#This Row],[FarmID]]&amp;CompilDonnées[[#This Row],[ModuleNumber]]&amp;CompilDonnées[[#This Row],[PlantationDate]])</f>
        <v>91345891</v>
      </c>
      <c r="O4530" t="str">
        <f>CompilDonnées[[#This Row],[FarmID]]&amp;CompilDonnées[[#This Row],[ModuleNumber]]</f>
        <v>913</v>
      </c>
      <c r="P4530" t="str">
        <f>CompilDonnées[[#This Row],[Ref_Module]]&amp;CompilDonnées[[#This Row],[HarvestingDate]]</f>
        <v>91345938</v>
      </c>
    </row>
    <row r="4531" spans="1:16">
      <c r="A4531" s="5">
        <v>45891</v>
      </c>
      <c r="B4531">
        <v>95</v>
      </c>
      <c r="C4531" t="s">
        <v>90</v>
      </c>
      <c r="D4531">
        <v>2</v>
      </c>
      <c r="E4531">
        <v>100</v>
      </c>
      <c r="F4531" t="s">
        <v>1</v>
      </c>
      <c r="G4531" s="6">
        <v>45946</v>
      </c>
      <c r="H4531">
        <v>55</v>
      </c>
      <c r="I4531">
        <f>ROUND(CompilDonnées[[#This Row],[CultureDuration_days]]/7,0)</f>
        <v>8</v>
      </c>
      <c r="J4531">
        <v>1508</v>
      </c>
      <c r="K4531" t="str">
        <f>_xlfn.CONCAT(WEEKNUM(CompilDonnées[[#This Row],[PlantationDate]]), " ", YEAR(CompilDonnées[[#This Row],[PlantationDate]]))</f>
        <v>34 2025</v>
      </c>
      <c r="L4531" t="str">
        <f>CONCATENATE(MONTH(CompilDonnées[[#This Row],[PlantationDate]])," ", YEAR(CompilDonnées[[#This Row],[PlantationDate]]))</f>
        <v>8 2025</v>
      </c>
      <c r="M4531" t="str">
        <f>CONCATENATE(MONTH(CompilDonnées[[#This Row],[HarvestingDate]])," ", YEAR(CompilDonnées[[#This Row],[HarvestingDate]]))</f>
        <v>10 2025</v>
      </c>
      <c r="N4531">
        <f>_xlfn.NUMBERVALUE(CompilDonnées[[#This Row],[FarmID]]&amp;CompilDonnées[[#This Row],[ModuleNumber]]&amp;CompilDonnées[[#This Row],[PlantationDate]])</f>
        <v>95245891</v>
      </c>
      <c r="O4531" t="str">
        <f>CompilDonnées[[#This Row],[FarmID]]&amp;CompilDonnées[[#This Row],[ModuleNumber]]</f>
        <v>952</v>
      </c>
      <c r="P4531" t="str">
        <f>CompilDonnées[[#This Row],[Ref_Module]]&amp;CompilDonnées[[#This Row],[HarvestingDate]]</f>
        <v>95245946</v>
      </c>
    </row>
    <row r="4532" spans="1:16">
      <c r="A4532" s="5">
        <v>45891</v>
      </c>
      <c r="B4532">
        <v>107</v>
      </c>
      <c r="C4532" t="s">
        <v>23</v>
      </c>
      <c r="D4532">
        <v>3</v>
      </c>
      <c r="E4532">
        <v>100</v>
      </c>
      <c r="F4532" t="s">
        <v>1</v>
      </c>
      <c r="G4532" s="6">
        <v>45937</v>
      </c>
      <c r="H4532">
        <v>46</v>
      </c>
      <c r="I4532">
        <f>ROUND(CompilDonnées[[#This Row],[CultureDuration_days]]/7,0)</f>
        <v>7</v>
      </c>
      <c r="J4532">
        <v>2080</v>
      </c>
      <c r="K4532" t="str">
        <f>_xlfn.CONCAT(WEEKNUM(CompilDonnées[[#This Row],[PlantationDate]]), " ", YEAR(CompilDonnées[[#This Row],[PlantationDate]]))</f>
        <v>34 2025</v>
      </c>
      <c r="L4532" t="str">
        <f>CONCATENATE(MONTH(CompilDonnées[[#This Row],[PlantationDate]])," ", YEAR(CompilDonnées[[#This Row],[PlantationDate]]))</f>
        <v>8 2025</v>
      </c>
      <c r="M4532" t="str">
        <f>CONCATENATE(MONTH(CompilDonnées[[#This Row],[HarvestingDate]])," ", YEAR(CompilDonnées[[#This Row],[HarvestingDate]]))</f>
        <v>10 2025</v>
      </c>
      <c r="N4532">
        <f>_xlfn.NUMBERVALUE(CompilDonnées[[#This Row],[FarmID]]&amp;CompilDonnées[[#This Row],[ModuleNumber]]&amp;CompilDonnées[[#This Row],[PlantationDate]])</f>
        <v>107345891</v>
      </c>
      <c r="O4532" t="str">
        <f>CompilDonnées[[#This Row],[FarmID]]&amp;CompilDonnées[[#This Row],[ModuleNumber]]</f>
        <v>1073</v>
      </c>
      <c r="P4532" t="str">
        <f>CompilDonnées[[#This Row],[Ref_Module]]&amp;CompilDonnées[[#This Row],[HarvestingDate]]</f>
        <v>107345937</v>
      </c>
    </row>
    <row r="4533" spans="1:16">
      <c r="A4533" s="5">
        <v>45891</v>
      </c>
      <c r="B4533">
        <v>81</v>
      </c>
      <c r="C4533" t="s">
        <v>30</v>
      </c>
      <c r="D4533">
        <v>1</v>
      </c>
      <c r="E4533">
        <v>100</v>
      </c>
      <c r="F4533" t="s">
        <v>1</v>
      </c>
      <c r="G4533" s="6">
        <v>45938</v>
      </c>
      <c r="H4533">
        <v>47</v>
      </c>
      <c r="I4533">
        <f>ROUND(CompilDonnées[[#This Row],[CultureDuration_days]]/7,0)</f>
        <v>7</v>
      </c>
      <c r="J4533">
        <v>2962</v>
      </c>
      <c r="K4533" t="str">
        <f>_xlfn.CONCAT(WEEKNUM(CompilDonnées[[#This Row],[PlantationDate]]), " ", YEAR(CompilDonnées[[#This Row],[PlantationDate]]))</f>
        <v>34 2025</v>
      </c>
      <c r="L4533" t="str">
        <f>CONCATENATE(MONTH(CompilDonnées[[#This Row],[PlantationDate]])," ", YEAR(CompilDonnées[[#This Row],[PlantationDate]]))</f>
        <v>8 2025</v>
      </c>
      <c r="M4533" t="str">
        <f>CONCATENATE(MONTH(CompilDonnées[[#This Row],[HarvestingDate]])," ", YEAR(CompilDonnées[[#This Row],[HarvestingDate]]))</f>
        <v>10 2025</v>
      </c>
      <c r="N4533">
        <f>_xlfn.NUMBERVALUE(CompilDonnées[[#This Row],[FarmID]]&amp;CompilDonnées[[#This Row],[ModuleNumber]]&amp;CompilDonnées[[#This Row],[PlantationDate]])</f>
        <v>81145891</v>
      </c>
      <c r="O4533" t="str">
        <f>CompilDonnées[[#This Row],[FarmID]]&amp;CompilDonnées[[#This Row],[ModuleNumber]]</f>
        <v>811</v>
      </c>
      <c r="P4533" t="str">
        <f>CompilDonnées[[#This Row],[Ref_Module]]&amp;CompilDonnées[[#This Row],[HarvestingDate]]</f>
        <v>81145938</v>
      </c>
    </row>
    <row r="4534" spans="1:16">
      <c r="A4534" s="5">
        <v>45891</v>
      </c>
      <c r="B4534">
        <v>74</v>
      </c>
      <c r="C4534" t="s">
        <v>21</v>
      </c>
      <c r="D4534">
        <v>1</v>
      </c>
      <c r="E4534">
        <v>100</v>
      </c>
      <c r="F4534" t="s">
        <v>1</v>
      </c>
      <c r="G4534" s="6">
        <v>45923</v>
      </c>
      <c r="H4534">
        <v>32</v>
      </c>
      <c r="I4534">
        <f>ROUND(CompilDonnées[[#This Row],[CultureDuration_days]]/7,0)</f>
        <v>5</v>
      </c>
      <c r="J4534">
        <v>1410</v>
      </c>
      <c r="K4534" t="str">
        <f>_xlfn.CONCAT(WEEKNUM(CompilDonnées[[#This Row],[PlantationDate]]), " ", YEAR(CompilDonnées[[#This Row],[PlantationDate]]))</f>
        <v>34 2025</v>
      </c>
      <c r="L4534" t="str">
        <f>CONCATENATE(MONTH(CompilDonnées[[#This Row],[PlantationDate]])," ", YEAR(CompilDonnées[[#This Row],[PlantationDate]]))</f>
        <v>8 2025</v>
      </c>
      <c r="M4534" t="str">
        <f>CONCATENATE(MONTH(CompilDonnées[[#This Row],[HarvestingDate]])," ", YEAR(CompilDonnées[[#This Row],[HarvestingDate]]))</f>
        <v>9 2025</v>
      </c>
      <c r="N4534">
        <f>_xlfn.NUMBERVALUE(CompilDonnées[[#This Row],[FarmID]]&amp;CompilDonnées[[#This Row],[ModuleNumber]]&amp;CompilDonnées[[#This Row],[PlantationDate]])</f>
        <v>74145891</v>
      </c>
      <c r="O4534" t="str">
        <f>CompilDonnées[[#This Row],[FarmID]]&amp;CompilDonnées[[#This Row],[ModuleNumber]]</f>
        <v>741</v>
      </c>
      <c r="P4534" t="str">
        <f>CompilDonnées[[#This Row],[Ref_Module]]&amp;CompilDonnées[[#This Row],[HarvestingDate]]</f>
        <v>74145923</v>
      </c>
    </row>
    <row r="4535" spans="1:16">
      <c r="A4535" s="5">
        <v>45891</v>
      </c>
      <c r="B4535">
        <v>74</v>
      </c>
      <c r="C4535" t="s">
        <v>21</v>
      </c>
      <c r="D4535">
        <v>2</v>
      </c>
      <c r="E4535">
        <v>100</v>
      </c>
      <c r="F4535" t="s">
        <v>1</v>
      </c>
      <c r="G4535" s="6">
        <v>45944</v>
      </c>
      <c r="H4535">
        <v>53</v>
      </c>
      <c r="I4535">
        <f>ROUND(CompilDonnées[[#This Row],[CultureDuration_days]]/7,0)</f>
        <v>8</v>
      </c>
      <c r="J4535">
        <v>3053</v>
      </c>
      <c r="K4535" t="str">
        <f>_xlfn.CONCAT(WEEKNUM(CompilDonnées[[#This Row],[PlantationDate]]), " ", YEAR(CompilDonnées[[#This Row],[PlantationDate]]))</f>
        <v>34 2025</v>
      </c>
      <c r="L4535" t="str">
        <f>CONCATENATE(MONTH(CompilDonnées[[#This Row],[PlantationDate]])," ", YEAR(CompilDonnées[[#This Row],[PlantationDate]]))</f>
        <v>8 2025</v>
      </c>
      <c r="M4535" t="str">
        <f>CONCATENATE(MONTH(CompilDonnées[[#This Row],[HarvestingDate]])," ", YEAR(CompilDonnées[[#This Row],[HarvestingDate]]))</f>
        <v>10 2025</v>
      </c>
      <c r="N4535">
        <f>_xlfn.NUMBERVALUE(CompilDonnées[[#This Row],[FarmID]]&amp;CompilDonnées[[#This Row],[ModuleNumber]]&amp;CompilDonnées[[#This Row],[PlantationDate]])</f>
        <v>74245891</v>
      </c>
      <c r="O4535" t="str">
        <f>CompilDonnées[[#This Row],[FarmID]]&amp;CompilDonnées[[#This Row],[ModuleNumber]]</f>
        <v>742</v>
      </c>
      <c r="P4535" t="str">
        <f>CompilDonnées[[#This Row],[Ref_Module]]&amp;CompilDonnées[[#This Row],[HarvestingDate]]</f>
        <v>74245944</v>
      </c>
    </row>
    <row r="4536" spans="1:16">
      <c r="A4536" s="5">
        <v>45891</v>
      </c>
      <c r="B4536">
        <v>73</v>
      </c>
      <c r="C4536" t="s">
        <v>20</v>
      </c>
      <c r="D4536">
        <v>2</v>
      </c>
      <c r="E4536">
        <v>100</v>
      </c>
      <c r="F4536" t="s">
        <v>1</v>
      </c>
      <c r="G4536" s="6">
        <v>45938</v>
      </c>
      <c r="H4536">
        <v>47</v>
      </c>
      <c r="I4536">
        <f>ROUND(CompilDonnées[[#This Row],[CultureDuration_days]]/7,0)</f>
        <v>7</v>
      </c>
      <c r="J4536">
        <v>2425</v>
      </c>
      <c r="K4536" t="str">
        <f>_xlfn.CONCAT(WEEKNUM(CompilDonnées[[#This Row],[PlantationDate]]), " ", YEAR(CompilDonnées[[#This Row],[PlantationDate]]))</f>
        <v>34 2025</v>
      </c>
      <c r="L4536" t="str">
        <f>CONCATENATE(MONTH(CompilDonnées[[#This Row],[PlantationDate]])," ", YEAR(CompilDonnées[[#This Row],[PlantationDate]]))</f>
        <v>8 2025</v>
      </c>
      <c r="M4536" t="str">
        <f>CONCATENATE(MONTH(CompilDonnées[[#This Row],[HarvestingDate]])," ", YEAR(CompilDonnées[[#This Row],[HarvestingDate]]))</f>
        <v>10 2025</v>
      </c>
      <c r="N4536">
        <f>_xlfn.NUMBERVALUE(CompilDonnées[[#This Row],[FarmID]]&amp;CompilDonnées[[#This Row],[ModuleNumber]]&amp;CompilDonnées[[#This Row],[PlantationDate]])</f>
        <v>73245891</v>
      </c>
      <c r="O4536" t="str">
        <f>CompilDonnées[[#This Row],[FarmID]]&amp;CompilDonnées[[#This Row],[ModuleNumber]]</f>
        <v>732</v>
      </c>
      <c r="P4536" t="str">
        <f>CompilDonnées[[#This Row],[Ref_Module]]&amp;CompilDonnées[[#This Row],[HarvestingDate]]</f>
        <v>73245938</v>
      </c>
    </row>
    <row r="4537" spans="1:16">
      <c r="A4537" s="5">
        <v>45891</v>
      </c>
      <c r="B4537">
        <v>71</v>
      </c>
      <c r="C4537" t="s">
        <v>19</v>
      </c>
      <c r="D4537">
        <v>3</v>
      </c>
      <c r="E4537">
        <v>100</v>
      </c>
      <c r="F4537" t="s">
        <v>1</v>
      </c>
      <c r="G4537" s="6">
        <v>45945</v>
      </c>
      <c r="H4537">
        <v>54</v>
      </c>
      <c r="I4537">
        <f>ROUND(CompilDonnées[[#This Row],[CultureDuration_days]]/7,0)</f>
        <v>8</v>
      </c>
      <c r="J4537">
        <v>2257</v>
      </c>
      <c r="K4537" t="str">
        <f>_xlfn.CONCAT(WEEKNUM(CompilDonnées[[#This Row],[PlantationDate]]), " ", YEAR(CompilDonnées[[#This Row],[PlantationDate]]))</f>
        <v>34 2025</v>
      </c>
      <c r="L4537" t="str">
        <f>CONCATENATE(MONTH(CompilDonnées[[#This Row],[PlantationDate]])," ", YEAR(CompilDonnées[[#This Row],[PlantationDate]]))</f>
        <v>8 2025</v>
      </c>
      <c r="M4537" t="str">
        <f>CONCATENATE(MONTH(CompilDonnées[[#This Row],[HarvestingDate]])," ", YEAR(CompilDonnées[[#This Row],[HarvestingDate]]))</f>
        <v>10 2025</v>
      </c>
      <c r="N4537">
        <f>_xlfn.NUMBERVALUE(CompilDonnées[[#This Row],[FarmID]]&amp;CompilDonnées[[#This Row],[ModuleNumber]]&amp;CompilDonnées[[#This Row],[PlantationDate]])</f>
        <v>71345891</v>
      </c>
      <c r="O4537" t="str">
        <f>CompilDonnées[[#This Row],[FarmID]]&amp;CompilDonnées[[#This Row],[ModuleNumber]]</f>
        <v>713</v>
      </c>
      <c r="P4537" t="str">
        <f>CompilDonnées[[#This Row],[Ref_Module]]&amp;CompilDonnées[[#This Row],[HarvestingDate]]</f>
        <v>71345945</v>
      </c>
    </row>
    <row r="4538" spans="1:16">
      <c r="A4538" s="5">
        <v>45891</v>
      </c>
      <c r="B4538">
        <v>72</v>
      </c>
      <c r="C4538" t="s">
        <v>49</v>
      </c>
      <c r="D4538">
        <v>6</v>
      </c>
      <c r="E4538">
        <v>100</v>
      </c>
      <c r="F4538" t="s">
        <v>1</v>
      </c>
      <c r="G4538" s="6">
        <v>45944</v>
      </c>
      <c r="H4538">
        <v>53</v>
      </c>
      <c r="I4538">
        <f>ROUND(CompilDonnées[[#This Row],[CultureDuration_days]]/7,0)</f>
        <v>8</v>
      </c>
      <c r="J4538">
        <v>2948</v>
      </c>
      <c r="K4538" t="str">
        <f>_xlfn.CONCAT(WEEKNUM(CompilDonnées[[#This Row],[PlantationDate]]), " ", YEAR(CompilDonnées[[#This Row],[PlantationDate]]))</f>
        <v>34 2025</v>
      </c>
      <c r="L4538" t="str">
        <f>CONCATENATE(MONTH(CompilDonnées[[#This Row],[PlantationDate]])," ", YEAR(CompilDonnées[[#This Row],[PlantationDate]]))</f>
        <v>8 2025</v>
      </c>
      <c r="M4538" t="str">
        <f>CONCATENATE(MONTH(CompilDonnées[[#This Row],[HarvestingDate]])," ", YEAR(CompilDonnées[[#This Row],[HarvestingDate]]))</f>
        <v>10 2025</v>
      </c>
      <c r="N4538">
        <f>_xlfn.NUMBERVALUE(CompilDonnées[[#This Row],[FarmID]]&amp;CompilDonnées[[#This Row],[ModuleNumber]]&amp;CompilDonnées[[#This Row],[PlantationDate]])</f>
        <v>72645891</v>
      </c>
      <c r="O4538" t="str">
        <f>CompilDonnées[[#This Row],[FarmID]]&amp;CompilDonnées[[#This Row],[ModuleNumber]]</f>
        <v>726</v>
      </c>
      <c r="P4538" t="str">
        <f>CompilDonnées[[#This Row],[Ref_Module]]&amp;CompilDonnées[[#This Row],[HarvestingDate]]</f>
        <v>72645944</v>
      </c>
    </row>
    <row r="4539" spans="1:16">
      <c r="A4539" s="5">
        <v>45891</v>
      </c>
      <c r="B4539">
        <v>83</v>
      </c>
      <c r="C4539" t="s">
        <v>73</v>
      </c>
      <c r="D4539">
        <v>5</v>
      </c>
      <c r="E4539">
        <v>100</v>
      </c>
      <c r="F4539" t="s">
        <v>1</v>
      </c>
      <c r="G4539" s="6">
        <v>45938</v>
      </c>
      <c r="H4539">
        <v>47</v>
      </c>
      <c r="I4539">
        <f>ROUND(CompilDonnées[[#This Row],[CultureDuration_days]]/7,0)</f>
        <v>7</v>
      </c>
      <c r="J4539">
        <v>1685</v>
      </c>
      <c r="K4539" t="str">
        <f>_xlfn.CONCAT(WEEKNUM(CompilDonnées[[#This Row],[PlantationDate]]), " ", YEAR(CompilDonnées[[#This Row],[PlantationDate]]))</f>
        <v>34 2025</v>
      </c>
      <c r="L4539" t="str">
        <f>CONCATENATE(MONTH(CompilDonnées[[#This Row],[PlantationDate]])," ", YEAR(CompilDonnées[[#This Row],[PlantationDate]]))</f>
        <v>8 2025</v>
      </c>
      <c r="M4539" t="str">
        <f>CONCATENATE(MONTH(CompilDonnées[[#This Row],[HarvestingDate]])," ", YEAR(CompilDonnées[[#This Row],[HarvestingDate]]))</f>
        <v>10 2025</v>
      </c>
      <c r="N4539">
        <f>_xlfn.NUMBERVALUE(CompilDonnées[[#This Row],[FarmID]]&amp;CompilDonnées[[#This Row],[ModuleNumber]]&amp;CompilDonnées[[#This Row],[PlantationDate]])</f>
        <v>83545891</v>
      </c>
      <c r="O4539" t="str">
        <f>CompilDonnées[[#This Row],[FarmID]]&amp;CompilDonnées[[#This Row],[ModuleNumber]]</f>
        <v>835</v>
      </c>
      <c r="P4539" t="str">
        <f>CompilDonnées[[#This Row],[Ref_Module]]&amp;CompilDonnées[[#This Row],[HarvestingDate]]</f>
        <v>83545938</v>
      </c>
    </row>
    <row r="4540" spans="1:16">
      <c r="A4540" s="5">
        <v>45891</v>
      </c>
      <c r="B4540">
        <v>84</v>
      </c>
      <c r="C4540" t="s">
        <v>65</v>
      </c>
      <c r="D4540">
        <v>5</v>
      </c>
      <c r="E4540">
        <v>100</v>
      </c>
      <c r="F4540" t="s">
        <v>1</v>
      </c>
      <c r="G4540" s="6">
        <v>45945</v>
      </c>
      <c r="H4540">
        <v>54</v>
      </c>
      <c r="I4540">
        <f>ROUND(CompilDonnées[[#This Row],[CultureDuration_days]]/7,0)</f>
        <v>8</v>
      </c>
      <c r="J4540">
        <v>1682</v>
      </c>
      <c r="K4540" t="str">
        <f>_xlfn.CONCAT(WEEKNUM(CompilDonnées[[#This Row],[PlantationDate]]), " ", YEAR(CompilDonnées[[#This Row],[PlantationDate]]))</f>
        <v>34 2025</v>
      </c>
      <c r="L4540" t="str">
        <f>CONCATENATE(MONTH(CompilDonnées[[#This Row],[PlantationDate]])," ", YEAR(CompilDonnées[[#This Row],[PlantationDate]]))</f>
        <v>8 2025</v>
      </c>
      <c r="M4540" t="str">
        <f>CONCATENATE(MONTH(CompilDonnées[[#This Row],[HarvestingDate]])," ", YEAR(CompilDonnées[[#This Row],[HarvestingDate]]))</f>
        <v>10 2025</v>
      </c>
      <c r="N4540">
        <f>_xlfn.NUMBERVALUE(CompilDonnées[[#This Row],[FarmID]]&amp;CompilDonnées[[#This Row],[ModuleNumber]]&amp;CompilDonnées[[#This Row],[PlantationDate]])</f>
        <v>84545891</v>
      </c>
      <c r="O4540" t="str">
        <f>CompilDonnées[[#This Row],[FarmID]]&amp;CompilDonnées[[#This Row],[ModuleNumber]]</f>
        <v>845</v>
      </c>
      <c r="P4540" t="str">
        <f>CompilDonnées[[#This Row],[Ref_Module]]&amp;CompilDonnées[[#This Row],[HarvestingDate]]</f>
        <v>84545945</v>
      </c>
    </row>
    <row r="4541" spans="1:16">
      <c r="A4541" s="5">
        <v>45891</v>
      </c>
      <c r="B4541">
        <v>77</v>
      </c>
      <c r="C4541" t="s">
        <v>75</v>
      </c>
      <c r="D4541">
        <v>5</v>
      </c>
      <c r="E4541">
        <v>100</v>
      </c>
      <c r="F4541" t="s">
        <v>1</v>
      </c>
      <c r="G4541" s="6">
        <v>45938</v>
      </c>
      <c r="H4541">
        <v>47</v>
      </c>
      <c r="I4541">
        <f>ROUND(CompilDonnées[[#This Row],[CultureDuration_days]]/7,0)</f>
        <v>7</v>
      </c>
      <c r="J4541">
        <v>1460</v>
      </c>
      <c r="K4541" t="str">
        <f>_xlfn.CONCAT(WEEKNUM(CompilDonnées[[#This Row],[PlantationDate]]), " ", YEAR(CompilDonnées[[#This Row],[PlantationDate]]))</f>
        <v>34 2025</v>
      </c>
      <c r="L4541" t="str">
        <f>CONCATENATE(MONTH(CompilDonnées[[#This Row],[PlantationDate]])," ", YEAR(CompilDonnées[[#This Row],[PlantationDate]]))</f>
        <v>8 2025</v>
      </c>
      <c r="M4541" t="str">
        <f>CONCATENATE(MONTH(CompilDonnées[[#This Row],[HarvestingDate]])," ", YEAR(CompilDonnées[[#This Row],[HarvestingDate]]))</f>
        <v>10 2025</v>
      </c>
      <c r="N4541">
        <f>_xlfn.NUMBERVALUE(CompilDonnées[[#This Row],[FarmID]]&amp;CompilDonnées[[#This Row],[ModuleNumber]]&amp;CompilDonnées[[#This Row],[PlantationDate]])</f>
        <v>77545891</v>
      </c>
      <c r="O4541" t="str">
        <f>CompilDonnées[[#This Row],[FarmID]]&amp;CompilDonnées[[#This Row],[ModuleNumber]]</f>
        <v>775</v>
      </c>
      <c r="P4541" t="str">
        <f>CompilDonnées[[#This Row],[Ref_Module]]&amp;CompilDonnées[[#This Row],[HarvestingDate]]</f>
        <v>77545938</v>
      </c>
    </row>
    <row r="4542" spans="1:16">
      <c r="A4542" s="5">
        <v>45891</v>
      </c>
      <c r="B4542">
        <v>76</v>
      </c>
      <c r="C4542" t="s">
        <v>18</v>
      </c>
      <c r="D4542">
        <v>3</v>
      </c>
      <c r="E4542">
        <v>100</v>
      </c>
      <c r="F4542" t="s">
        <v>1</v>
      </c>
      <c r="G4542" s="6">
        <v>45945</v>
      </c>
      <c r="H4542">
        <v>54</v>
      </c>
      <c r="I4542">
        <f>ROUND(CompilDonnées[[#This Row],[CultureDuration_days]]/7,0)</f>
        <v>8</v>
      </c>
      <c r="J4542">
        <v>2295</v>
      </c>
      <c r="K4542" t="str">
        <f>_xlfn.CONCAT(WEEKNUM(CompilDonnées[[#This Row],[PlantationDate]]), " ", YEAR(CompilDonnées[[#This Row],[PlantationDate]]))</f>
        <v>34 2025</v>
      </c>
      <c r="L4542" t="str">
        <f>CONCATENATE(MONTH(CompilDonnées[[#This Row],[PlantationDate]])," ", YEAR(CompilDonnées[[#This Row],[PlantationDate]]))</f>
        <v>8 2025</v>
      </c>
      <c r="M4542" t="str">
        <f>CONCATENATE(MONTH(CompilDonnées[[#This Row],[HarvestingDate]])," ", YEAR(CompilDonnées[[#This Row],[HarvestingDate]]))</f>
        <v>10 2025</v>
      </c>
      <c r="N4542">
        <f>_xlfn.NUMBERVALUE(CompilDonnées[[#This Row],[FarmID]]&amp;CompilDonnées[[#This Row],[ModuleNumber]]&amp;CompilDonnées[[#This Row],[PlantationDate]])</f>
        <v>76345891</v>
      </c>
      <c r="O4542" t="str">
        <f>CompilDonnées[[#This Row],[FarmID]]&amp;CompilDonnées[[#This Row],[ModuleNumber]]</f>
        <v>763</v>
      </c>
      <c r="P4542" t="str">
        <f>CompilDonnées[[#This Row],[Ref_Module]]&amp;CompilDonnées[[#This Row],[HarvestingDate]]</f>
        <v>76345945</v>
      </c>
    </row>
    <row r="4543" spans="1:16">
      <c r="A4543" s="5">
        <v>45891</v>
      </c>
      <c r="B4543">
        <v>79</v>
      </c>
      <c r="C4543" t="s">
        <v>61</v>
      </c>
      <c r="D4543">
        <v>4</v>
      </c>
      <c r="E4543">
        <v>100</v>
      </c>
      <c r="F4543" t="s">
        <v>1</v>
      </c>
      <c r="G4543" s="6">
        <v>45937</v>
      </c>
      <c r="H4543">
        <v>46</v>
      </c>
      <c r="I4543">
        <f>ROUND(CompilDonnées[[#This Row],[CultureDuration_days]]/7,0)</f>
        <v>7</v>
      </c>
      <c r="J4543">
        <v>2598</v>
      </c>
      <c r="K4543" t="str">
        <f>_xlfn.CONCAT(WEEKNUM(CompilDonnées[[#This Row],[PlantationDate]]), " ", YEAR(CompilDonnées[[#This Row],[PlantationDate]]))</f>
        <v>34 2025</v>
      </c>
      <c r="L4543" t="str">
        <f>CONCATENATE(MONTH(CompilDonnées[[#This Row],[PlantationDate]])," ", YEAR(CompilDonnées[[#This Row],[PlantationDate]]))</f>
        <v>8 2025</v>
      </c>
      <c r="M4543" t="str">
        <f>CONCATENATE(MONTH(CompilDonnées[[#This Row],[HarvestingDate]])," ", YEAR(CompilDonnées[[#This Row],[HarvestingDate]]))</f>
        <v>10 2025</v>
      </c>
      <c r="N4543">
        <f>_xlfn.NUMBERVALUE(CompilDonnées[[#This Row],[FarmID]]&amp;CompilDonnées[[#This Row],[ModuleNumber]]&amp;CompilDonnées[[#This Row],[PlantationDate]])</f>
        <v>79445891</v>
      </c>
      <c r="O4543" t="str">
        <f>CompilDonnées[[#This Row],[FarmID]]&amp;CompilDonnées[[#This Row],[ModuleNumber]]</f>
        <v>794</v>
      </c>
      <c r="P4543" t="str">
        <f>CompilDonnées[[#This Row],[Ref_Module]]&amp;CompilDonnées[[#This Row],[HarvestingDate]]</f>
        <v>79445937</v>
      </c>
    </row>
    <row r="4544" spans="1:16">
      <c r="A4544" s="5">
        <v>45891</v>
      </c>
      <c r="B4544">
        <v>56</v>
      </c>
      <c r="C4544" t="s">
        <v>6</v>
      </c>
      <c r="D4544">
        <v>4</v>
      </c>
      <c r="E4544">
        <v>100</v>
      </c>
      <c r="F4544" t="s">
        <v>1</v>
      </c>
      <c r="G4544" s="6">
        <v>45944</v>
      </c>
      <c r="H4544">
        <v>53</v>
      </c>
      <c r="I4544">
        <f>ROUND(CompilDonnées[[#This Row],[CultureDuration_days]]/7,0)</f>
        <v>8</v>
      </c>
      <c r="J4544">
        <v>2206</v>
      </c>
      <c r="K4544" t="str">
        <f>_xlfn.CONCAT(WEEKNUM(CompilDonnées[[#This Row],[PlantationDate]]), " ", YEAR(CompilDonnées[[#This Row],[PlantationDate]]))</f>
        <v>34 2025</v>
      </c>
      <c r="L4544" t="str">
        <f>CONCATENATE(MONTH(CompilDonnées[[#This Row],[PlantationDate]])," ", YEAR(CompilDonnées[[#This Row],[PlantationDate]]))</f>
        <v>8 2025</v>
      </c>
      <c r="M4544" t="str">
        <f>CONCATENATE(MONTH(CompilDonnées[[#This Row],[HarvestingDate]])," ", YEAR(CompilDonnées[[#This Row],[HarvestingDate]]))</f>
        <v>10 2025</v>
      </c>
      <c r="N4544">
        <f>_xlfn.NUMBERVALUE(CompilDonnées[[#This Row],[FarmID]]&amp;CompilDonnées[[#This Row],[ModuleNumber]]&amp;CompilDonnées[[#This Row],[PlantationDate]])</f>
        <v>56445891</v>
      </c>
      <c r="O4544" t="str">
        <f>CompilDonnées[[#This Row],[FarmID]]&amp;CompilDonnées[[#This Row],[ModuleNumber]]</f>
        <v>564</v>
      </c>
      <c r="P4544" t="str">
        <f>CompilDonnées[[#This Row],[Ref_Module]]&amp;CompilDonnées[[#This Row],[HarvestingDate]]</f>
        <v>56445944</v>
      </c>
    </row>
    <row r="4545" spans="1:16">
      <c r="A4545" s="5">
        <v>45891</v>
      </c>
      <c r="B4545">
        <v>55</v>
      </c>
      <c r="C4545" t="s">
        <v>60</v>
      </c>
      <c r="D4545">
        <v>2</v>
      </c>
      <c r="E4545">
        <v>100</v>
      </c>
      <c r="F4545" t="s">
        <v>1</v>
      </c>
      <c r="G4545" s="6">
        <v>45944</v>
      </c>
      <c r="H4545">
        <v>53</v>
      </c>
      <c r="I4545">
        <f>ROUND(CompilDonnées[[#This Row],[CultureDuration_days]]/7,0)</f>
        <v>8</v>
      </c>
      <c r="J4545">
        <v>1655</v>
      </c>
      <c r="K4545" t="str">
        <f>_xlfn.CONCAT(WEEKNUM(CompilDonnées[[#This Row],[PlantationDate]]), " ", YEAR(CompilDonnées[[#This Row],[PlantationDate]]))</f>
        <v>34 2025</v>
      </c>
      <c r="L4545" t="str">
        <f>CONCATENATE(MONTH(CompilDonnées[[#This Row],[PlantationDate]])," ", YEAR(CompilDonnées[[#This Row],[PlantationDate]]))</f>
        <v>8 2025</v>
      </c>
      <c r="M4545" t="str">
        <f>CONCATENATE(MONTH(CompilDonnées[[#This Row],[HarvestingDate]])," ", YEAR(CompilDonnées[[#This Row],[HarvestingDate]]))</f>
        <v>10 2025</v>
      </c>
      <c r="N4545">
        <f>_xlfn.NUMBERVALUE(CompilDonnées[[#This Row],[FarmID]]&amp;CompilDonnées[[#This Row],[ModuleNumber]]&amp;CompilDonnées[[#This Row],[PlantationDate]])</f>
        <v>55245891</v>
      </c>
      <c r="O4545" t="str">
        <f>CompilDonnées[[#This Row],[FarmID]]&amp;CompilDonnées[[#This Row],[ModuleNumber]]</f>
        <v>552</v>
      </c>
      <c r="P4545" t="str">
        <f>CompilDonnées[[#This Row],[Ref_Module]]&amp;CompilDonnées[[#This Row],[HarvestingDate]]</f>
        <v>55245944</v>
      </c>
    </row>
    <row r="4546" spans="1:16">
      <c r="A4546" s="5">
        <v>45891</v>
      </c>
      <c r="B4546">
        <v>64</v>
      </c>
      <c r="C4546" t="s">
        <v>47</v>
      </c>
      <c r="D4546">
        <v>1</v>
      </c>
      <c r="E4546">
        <v>100</v>
      </c>
      <c r="F4546" t="s">
        <v>1</v>
      </c>
      <c r="G4546" s="6">
        <v>45945</v>
      </c>
      <c r="H4546">
        <v>54</v>
      </c>
      <c r="I4546">
        <f>ROUND(CompilDonnées[[#This Row],[CultureDuration_days]]/7,0)</f>
        <v>8</v>
      </c>
      <c r="J4546">
        <v>1800</v>
      </c>
      <c r="K4546" t="str">
        <f>_xlfn.CONCAT(WEEKNUM(CompilDonnées[[#This Row],[PlantationDate]]), " ", YEAR(CompilDonnées[[#This Row],[PlantationDate]]))</f>
        <v>34 2025</v>
      </c>
      <c r="L4546" t="str">
        <f>CONCATENATE(MONTH(CompilDonnées[[#This Row],[PlantationDate]])," ", YEAR(CompilDonnées[[#This Row],[PlantationDate]]))</f>
        <v>8 2025</v>
      </c>
      <c r="M4546" t="str">
        <f>CONCATENATE(MONTH(CompilDonnées[[#This Row],[HarvestingDate]])," ", YEAR(CompilDonnées[[#This Row],[HarvestingDate]]))</f>
        <v>10 2025</v>
      </c>
      <c r="N4546">
        <f>_xlfn.NUMBERVALUE(CompilDonnées[[#This Row],[FarmID]]&amp;CompilDonnées[[#This Row],[ModuleNumber]]&amp;CompilDonnées[[#This Row],[PlantationDate]])</f>
        <v>64145891</v>
      </c>
      <c r="O4546" t="str">
        <f>CompilDonnées[[#This Row],[FarmID]]&amp;CompilDonnées[[#This Row],[ModuleNumber]]</f>
        <v>641</v>
      </c>
      <c r="P4546" t="str">
        <f>CompilDonnées[[#This Row],[Ref_Module]]&amp;CompilDonnées[[#This Row],[HarvestingDate]]</f>
        <v>64145945</v>
      </c>
    </row>
    <row r="4547" spans="1:16">
      <c r="A4547" s="5">
        <v>45891</v>
      </c>
      <c r="B4547">
        <v>51</v>
      </c>
      <c r="C4547" t="s">
        <v>27</v>
      </c>
      <c r="D4547">
        <v>4</v>
      </c>
      <c r="E4547">
        <v>100</v>
      </c>
      <c r="F4547" t="s">
        <v>1</v>
      </c>
      <c r="G4547" s="6">
        <v>45944</v>
      </c>
      <c r="H4547">
        <v>53</v>
      </c>
      <c r="I4547">
        <f>ROUND(CompilDonnées[[#This Row],[CultureDuration_days]]/7,0)</f>
        <v>8</v>
      </c>
      <c r="J4547">
        <v>2852</v>
      </c>
      <c r="K4547" t="str">
        <f>_xlfn.CONCAT(WEEKNUM(CompilDonnées[[#This Row],[PlantationDate]]), " ", YEAR(CompilDonnées[[#This Row],[PlantationDate]]))</f>
        <v>34 2025</v>
      </c>
      <c r="L4547" t="str">
        <f>CONCATENATE(MONTH(CompilDonnées[[#This Row],[PlantationDate]])," ", YEAR(CompilDonnées[[#This Row],[PlantationDate]]))</f>
        <v>8 2025</v>
      </c>
      <c r="M4547" t="str">
        <f>CONCATENATE(MONTH(CompilDonnées[[#This Row],[HarvestingDate]])," ", YEAR(CompilDonnées[[#This Row],[HarvestingDate]]))</f>
        <v>10 2025</v>
      </c>
      <c r="N4547">
        <f>_xlfn.NUMBERVALUE(CompilDonnées[[#This Row],[FarmID]]&amp;CompilDonnées[[#This Row],[ModuleNumber]]&amp;CompilDonnées[[#This Row],[PlantationDate]])</f>
        <v>51445891</v>
      </c>
      <c r="O4547" t="str">
        <f>CompilDonnées[[#This Row],[FarmID]]&amp;CompilDonnées[[#This Row],[ModuleNumber]]</f>
        <v>514</v>
      </c>
      <c r="P4547" t="str">
        <f>CompilDonnées[[#This Row],[Ref_Module]]&amp;CompilDonnées[[#This Row],[HarvestingDate]]</f>
        <v>51445944</v>
      </c>
    </row>
    <row r="4548" spans="1:16">
      <c r="A4548" s="5">
        <v>45891</v>
      </c>
      <c r="B4548">
        <v>50</v>
      </c>
      <c r="C4548" t="s">
        <v>55</v>
      </c>
      <c r="D4548">
        <v>5</v>
      </c>
      <c r="E4548">
        <v>100</v>
      </c>
      <c r="F4548" t="s">
        <v>1</v>
      </c>
      <c r="G4548" s="6">
        <v>45944</v>
      </c>
      <c r="H4548">
        <v>53</v>
      </c>
      <c r="I4548">
        <f>ROUND(CompilDonnées[[#This Row],[CultureDuration_days]]/7,0)</f>
        <v>8</v>
      </c>
      <c r="J4548">
        <v>2512</v>
      </c>
      <c r="K4548" t="str">
        <f>_xlfn.CONCAT(WEEKNUM(CompilDonnées[[#This Row],[PlantationDate]]), " ", YEAR(CompilDonnées[[#This Row],[PlantationDate]]))</f>
        <v>34 2025</v>
      </c>
      <c r="L4548" t="str">
        <f>CONCATENATE(MONTH(CompilDonnées[[#This Row],[PlantationDate]])," ", YEAR(CompilDonnées[[#This Row],[PlantationDate]]))</f>
        <v>8 2025</v>
      </c>
      <c r="M4548" t="str">
        <f>CONCATENATE(MONTH(CompilDonnées[[#This Row],[HarvestingDate]])," ", YEAR(CompilDonnées[[#This Row],[HarvestingDate]]))</f>
        <v>10 2025</v>
      </c>
      <c r="N4548">
        <f>_xlfn.NUMBERVALUE(CompilDonnées[[#This Row],[FarmID]]&amp;CompilDonnées[[#This Row],[ModuleNumber]]&amp;CompilDonnées[[#This Row],[PlantationDate]])</f>
        <v>50545891</v>
      </c>
      <c r="O4548" t="str">
        <f>CompilDonnées[[#This Row],[FarmID]]&amp;CompilDonnées[[#This Row],[ModuleNumber]]</f>
        <v>505</v>
      </c>
      <c r="P4548" t="str">
        <f>CompilDonnées[[#This Row],[Ref_Module]]&amp;CompilDonnées[[#This Row],[HarvestingDate]]</f>
        <v>50545944</v>
      </c>
    </row>
    <row r="4549" spans="1:16">
      <c r="A4549" s="5">
        <v>45891</v>
      </c>
      <c r="B4549">
        <v>48</v>
      </c>
      <c r="C4549" t="s">
        <v>71</v>
      </c>
      <c r="D4549">
        <v>1</v>
      </c>
      <c r="E4549">
        <v>100</v>
      </c>
      <c r="F4549" t="s">
        <v>1</v>
      </c>
      <c r="G4549" s="6">
        <v>45939</v>
      </c>
      <c r="H4549">
        <v>48</v>
      </c>
      <c r="I4549">
        <f>ROUND(CompilDonnées[[#This Row],[CultureDuration_days]]/7,0)</f>
        <v>7</v>
      </c>
      <c r="J4549">
        <v>1504</v>
      </c>
      <c r="K4549" t="str">
        <f>_xlfn.CONCAT(WEEKNUM(CompilDonnées[[#This Row],[PlantationDate]]), " ", YEAR(CompilDonnées[[#This Row],[PlantationDate]]))</f>
        <v>34 2025</v>
      </c>
      <c r="L4549" t="str">
        <f>CONCATENATE(MONTH(CompilDonnées[[#This Row],[PlantationDate]])," ", YEAR(CompilDonnées[[#This Row],[PlantationDate]]))</f>
        <v>8 2025</v>
      </c>
      <c r="M4549" t="str">
        <f>CONCATENATE(MONTH(CompilDonnées[[#This Row],[HarvestingDate]])," ", YEAR(CompilDonnées[[#This Row],[HarvestingDate]]))</f>
        <v>10 2025</v>
      </c>
      <c r="N4549">
        <f>_xlfn.NUMBERVALUE(CompilDonnées[[#This Row],[FarmID]]&amp;CompilDonnées[[#This Row],[ModuleNumber]]&amp;CompilDonnées[[#This Row],[PlantationDate]])</f>
        <v>48145891</v>
      </c>
      <c r="O4549" t="str">
        <f>CompilDonnées[[#This Row],[FarmID]]&amp;CompilDonnées[[#This Row],[ModuleNumber]]</f>
        <v>481</v>
      </c>
      <c r="P4549" t="str">
        <f>CompilDonnées[[#This Row],[Ref_Module]]&amp;CompilDonnées[[#This Row],[HarvestingDate]]</f>
        <v>48145939</v>
      </c>
    </row>
    <row r="4550" spans="1:16">
      <c r="A4550" s="5">
        <v>45891</v>
      </c>
      <c r="B4550">
        <v>114</v>
      </c>
      <c r="C4550" t="s">
        <v>3</v>
      </c>
      <c r="D4550">
        <v>1</v>
      </c>
      <c r="E4550">
        <v>60</v>
      </c>
      <c r="F4550" t="s">
        <v>105</v>
      </c>
      <c r="G4550" s="6">
        <v>45937</v>
      </c>
      <c r="H4550">
        <v>46</v>
      </c>
      <c r="I4550">
        <f>ROUND(CompilDonnées[[#This Row],[CultureDuration_days]]/7,0)</f>
        <v>7</v>
      </c>
      <c r="J4550">
        <v>50</v>
      </c>
      <c r="K4550" t="str">
        <f>_xlfn.CONCAT(WEEKNUM(CompilDonnées[[#This Row],[PlantationDate]]), " ", YEAR(CompilDonnées[[#This Row],[PlantationDate]]))</f>
        <v>34 2025</v>
      </c>
      <c r="L4550" t="str">
        <f>CONCATENATE(MONTH(CompilDonnées[[#This Row],[PlantationDate]])," ", YEAR(CompilDonnées[[#This Row],[PlantationDate]]))</f>
        <v>8 2025</v>
      </c>
      <c r="M4550" t="str">
        <f>CONCATENATE(MONTH(CompilDonnées[[#This Row],[HarvestingDate]])," ", YEAR(CompilDonnées[[#This Row],[HarvestingDate]]))</f>
        <v>10 2025</v>
      </c>
      <c r="N4550">
        <f>_xlfn.NUMBERVALUE(CompilDonnées[[#This Row],[FarmID]]&amp;CompilDonnées[[#This Row],[ModuleNumber]]&amp;CompilDonnées[[#This Row],[PlantationDate]])</f>
        <v>114145891</v>
      </c>
      <c r="O4550" t="str">
        <f>CompilDonnées[[#This Row],[FarmID]]&amp;CompilDonnées[[#This Row],[ModuleNumber]]</f>
        <v>1141</v>
      </c>
      <c r="P4550" t="str">
        <f>CompilDonnées[[#This Row],[Ref_Module]]&amp;CompilDonnées[[#This Row],[HarvestingDate]]</f>
        <v>114145937</v>
      </c>
    </row>
    <row r="4551" spans="1:16">
      <c r="A4551" s="5">
        <v>45891</v>
      </c>
      <c r="B4551">
        <v>114</v>
      </c>
      <c r="C4551" t="s">
        <v>3</v>
      </c>
      <c r="D4551">
        <v>2</v>
      </c>
      <c r="E4551">
        <v>60</v>
      </c>
      <c r="F4551" t="s">
        <v>105</v>
      </c>
      <c r="G4551" s="6">
        <v>45937</v>
      </c>
      <c r="H4551">
        <v>46</v>
      </c>
      <c r="I4551">
        <f>ROUND(CompilDonnées[[#This Row],[CultureDuration_days]]/7,0)</f>
        <v>7</v>
      </c>
      <c r="J4551">
        <v>50</v>
      </c>
      <c r="K4551" t="str">
        <f>_xlfn.CONCAT(WEEKNUM(CompilDonnées[[#This Row],[PlantationDate]]), " ", YEAR(CompilDonnées[[#This Row],[PlantationDate]]))</f>
        <v>34 2025</v>
      </c>
      <c r="L4551" t="str">
        <f>CONCATENATE(MONTH(CompilDonnées[[#This Row],[PlantationDate]])," ", YEAR(CompilDonnées[[#This Row],[PlantationDate]]))</f>
        <v>8 2025</v>
      </c>
      <c r="M4551" t="str">
        <f>CONCATENATE(MONTH(CompilDonnées[[#This Row],[HarvestingDate]])," ", YEAR(CompilDonnées[[#This Row],[HarvestingDate]]))</f>
        <v>10 2025</v>
      </c>
      <c r="N4551">
        <f>_xlfn.NUMBERVALUE(CompilDonnées[[#This Row],[FarmID]]&amp;CompilDonnées[[#This Row],[ModuleNumber]]&amp;CompilDonnées[[#This Row],[PlantationDate]])</f>
        <v>114245891</v>
      </c>
      <c r="O4551" t="str">
        <f>CompilDonnées[[#This Row],[FarmID]]&amp;CompilDonnées[[#This Row],[ModuleNumber]]</f>
        <v>1142</v>
      </c>
      <c r="P4551" t="str">
        <f>CompilDonnées[[#This Row],[Ref_Module]]&amp;CompilDonnées[[#This Row],[HarvestingDate]]</f>
        <v>114245937</v>
      </c>
    </row>
    <row r="4552" spans="1:16">
      <c r="A4552" s="5">
        <v>45891</v>
      </c>
      <c r="B4552">
        <v>114</v>
      </c>
      <c r="C4552" t="s">
        <v>3</v>
      </c>
      <c r="D4552">
        <v>3</v>
      </c>
      <c r="E4552">
        <v>60</v>
      </c>
      <c r="F4552" t="s">
        <v>105</v>
      </c>
      <c r="G4552" s="6">
        <v>45937</v>
      </c>
      <c r="H4552">
        <v>46</v>
      </c>
      <c r="I4552">
        <f>ROUND(CompilDonnées[[#This Row],[CultureDuration_days]]/7,0)</f>
        <v>7</v>
      </c>
      <c r="J4552">
        <v>50</v>
      </c>
      <c r="K4552" t="str">
        <f>_xlfn.CONCAT(WEEKNUM(CompilDonnées[[#This Row],[PlantationDate]]), " ", YEAR(CompilDonnées[[#This Row],[PlantationDate]]))</f>
        <v>34 2025</v>
      </c>
      <c r="L4552" t="str">
        <f>CONCATENATE(MONTH(CompilDonnées[[#This Row],[PlantationDate]])," ", YEAR(CompilDonnées[[#This Row],[PlantationDate]]))</f>
        <v>8 2025</v>
      </c>
      <c r="M4552" t="str">
        <f>CONCATENATE(MONTH(CompilDonnées[[#This Row],[HarvestingDate]])," ", YEAR(CompilDonnées[[#This Row],[HarvestingDate]]))</f>
        <v>10 2025</v>
      </c>
      <c r="N4552">
        <f>_xlfn.NUMBERVALUE(CompilDonnées[[#This Row],[FarmID]]&amp;CompilDonnées[[#This Row],[ModuleNumber]]&amp;CompilDonnées[[#This Row],[PlantationDate]])</f>
        <v>114345891</v>
      </c>
      <c r="O4552" t="str">
        <f>CompilDonnées[[#This Row],[FarmID]]&amp;CompilDonnées[[#This Row],[ModuleNumber]]</f>
        <v>1143</v>
      </c>
      <c r="P4552" t="str">
        <f>CompilDonnées[[#This Row],[Ref_Module]]&amp;CompilDonnées[[#This Row],[HarvestingDate]]</f>
        <v>114345937</v>
      </c>
    </row>
    <row r="4553" spans="1:16">
      <c r="A4553" s="5">
        <v>45891</v>
      </c>
      <c r="B4553">
        <v>114</v>
      </c>
      <c r="C4553" t="s">
        <v>3</v>
      </c>
      <c r="D4553">
        <v>4</v>
      </c>
      <c r="E4553">
        <v>60</v>
      </c>
      <c r="F4553" t="s">
        <v>105</v>
      </c>
      <c r="G4553" s="6">
        <v>45937</v>
      </c>
      <c r="H4553">
        <v>46</v>
      </c>
      <c r="I4553">
        <f>ROUND(CompilDonnées[[#This Row],[CultureDuration_days]]/7,0)</f>
        <v>7</v>
      </c>
      <c r="J4553">
        <v>50</v>
      </c>
      <c r="K4553" t="str">
        <f>_xlfn.CONCAT(WEEKNUM(CompilDonnées[[#This Row],[PlantationDate]]), " ", YEAR(CompilDonnées[[#This Row],[PlantationDate]]))</f>
        <v>34 2025</v>
      </c>
      <c r="L4553" t="str">
        <f>CONCATENATE(MONTH(CompilDonnées[[#This Row],[PlantationDate]])," ", YEAR(CompilDonnées[[#This Row],[PlantationDate]]))</f>
        <v>8 2025</v>
      </c>
      <c r="M4553" t="str">
        <f>CONCATENATE(MONTH(CompilDonnées[[#This Row],[HarvestingDate]])," ", YEAR(CompilDonnées[[#This Row],[HarvestingDate]]))</f>
        <v>10 2025</v>
      </c>
      <c r="N4553">
        <f>_xlfn.NUMBERVALUE(CompilDonnées[[#This Row],[FarmID]]&amp;CompilDonnées[[#This Row],[ModuleNumber]]&amp;CompilDonnées[[#This Row],[PlantationDate]])</f>
        <v>114445891</v>
      </c>
      <c r="O4553" t="str">
        <f>CompilDonnées[[#This Row],[FarmID]]&amp;CompilDonnées[[#This Row],[ModuleNumber]]</f>
        <v>1144</v>
      </c>
      <c r="P4553" t="str">
        <f>CompilDonnées[[#This Row],[Ref_Module]]&amp;CompilDonnées[[#This Row],[HarvestingDate]]</f>
        <v>114445937</v>
      </c>
    </row>
    <row r="4554" spans="1:16">
      <c r="A4554" s="5">
        <v>45891</v>
      </c>
      <c r="B4554">
        <v>114</v>
      </c>
      <c r="C4554" t="s">
        <v>3</v>
      </c>
      <c r="D4554">
        <v>5</v>
      </c>
      <c r="E4554">
        <v>60</v>
      </c>
      <c r="F4554" t="s">
        <v>105</v>
      </c>
      <c r="G4554" s="6">
        <v>45937</v>
      </c>
      <c r="H4554">
        <v>46</v>
      </c>
      <c r="I4554">
        <f>ROUND(CompilDonnées[[#This Row],[CultureDuration_days]]/7,0)</f>
        <v>7</v>
      </c>
      <c r="J4554">
        <v>50</v>
      </c>
      <c r="K4554" t="str">
        <f>_xlfn.CONCAT(WEEKNUM(CompilDonnées[[#This Row],[PlantationDate]]), " ", YEAR(CompilDonnées[[#This Row],[PlantationDate]]))</f>
        <v>34 2025</v>
      </c>
      <c r="L4554" t="str">
        <f>CONCATENATE(MONTH(CompilDonnées[[#This Row],[PlantationDate]])," ", YEAR(CompilDonnées[[#This Row],[PlantationDate]]))</f>
        <v>8 2025</v>
      </c>
      <c r="M4554" t="str">
        <f>CONCATENATE(MONTH(CompilDonnées[[#This Row],[HarvestingDate]])," ", YEAR(CompilDonnées[[#This Row],[HarvestingDate]]))</f>
        <v>10 2025</v>
      </c>
      <c r="N4554">
        <f>_xlfn.NUMBERVALUE(CompilDonnées[[#This Row],[FarmID]]&amp;CompilDonnées[[#This Row],[ModuleNumber]]&amp;CompilDonnées[[#This Row],[PlantationDate]])</f>
        <v>114545891</v>
      </c>
      <c r="O4554" t="str">
        <f>CompilDonnées[[#This Row],[FarmID]]&amp;CompilDonnées[[#This Row],[ModuleNumber]]</f>
        <v>1145</v>
      </c>
      <c r="P4554" t="str">
        <f>CompilDonnées[[#This Row],[Ref_Module]]&amp;CompilDonnées[[#This Row],[HarvestingDate]]</f>
        <v>114545937</v>
      </c>
    </row>
    <row r="4555" spans="1:16">
      <c r="A4555" s="5">
        <v>45892</v>
      </c>
      <c r="B4555">
        <v>108</v>
      </c>
      <c r="C4555" t="s">
        <v>58</v>
      </c>
      <c r="D4555">
        <v>5</v>
      </c>
      <c r="E4555">
        <v>100</v>
      </c>
      <c r="F4555" t="s">
        <v>1</v>
      </c>
      <c r="G4555" s="6">
        <v>45937</v>
      </c>
      <c r="H4555">
        <v>45</v>
      </c>
      <c r="I4555">
        <f>ROUND(CompilDonnées[[#This Row],[CultureDuration_days]]/7,0)</f>
        <v>6</v>
      </c>
      <c r="J4555">
        <v>3077</v>
      </c>
      <c r="K4555" t="str">
        <f>_xlfn.CONCAT(WEEKNUM(CompilDonnées[[#This Row],[PlantationDate]]), " ", YEAR(CompilDonnées[[#This Row],[PlantationDate]]))</f>
        <v>34 2025</v>
      </c>
      <c r="L4555" t="str">
        <f>CONCATENATE(MONTH(CompilDonnées[[#This Row],[PlantationDate]])," ", YEAR(CompilDonnées[[#This Row],[PlantationDate]]))</f>
        <v>8 2025</v>
      </c>
      <c r="M4555" t="str">
        <f>CONCATENATE(MONTH(CompilDonnées[[#This Row],[HarvestingDate]])," ", YEAR(CompilDonnées[[#This Row],[HarvestingDate]]))</f>
        <v>10 2025</v>
      </c>
      <c r="N4555">
        <f>_xlfn.NUMBERVALUE(CompilDonnées[[#This Row],[FarmID]]&amp;CompilDonnées[[#This Row],[ModuleNumber]]&amp;CompilDonnées[[#This Row],[PlantationDate]])</f>
        <v>108545892</v>
      </c>
      <c r="O4555" t="str">
        <f>CompilDonnées[[#This Row],[FarmID]]&amp;CompilDonnées[[#This Row],[ModuleNumber]]</f>
        <v>1085</v>
      </c>
      <c r="P4555" t="str">
        <f>CompilDonnées[[#This Row],[Ref_Module]]&amp;CompilDonnées[[#This Row],[HarvestingDate]]</f>
        <v>108545937</v>
      </c>
    </row>
    <row r="4556" spans="1:16">
      <c r="A4556" s="5">
        <v>45892</v>
      </c>
      <c r="B4556">
        <v>106</v>
      </c>
      <c r="C4556" t="s">
        <v>22</v>
      </c>
      <c r="D4556">
        <v>5</v>
      </c>
      <c r="E4556">
        <v>100</v>
      </c>
      <c r="F4556" t="s">
        <v>1</v>
      </c>
      <c r="G4556" s="6">
        <v>45937</v>
      </c>
      <c r="H4556">
        <v>45</v>
      </c>
      <c r="I4556">
        <f>ROUND(CompilDonnées[[#This Row],[CultureDuration_days]]/7,0)</f>
        <v>6</v>
      </c>
      <c r="J4556">
        <v>2442</v>
      </c>
      <c r="K4556" t="str">
        <f>_xlfn.CONCAT(WEEKNUM(CompilDonnées[[#This Row],[PlantationDate]]), " ", YEAR(CompilDonnées[[#This Row],[PlantationDate]]))</f>
        <v>34 2025</v>
      </c>
      <c r="L4556" t="str">
        <f>CONCATENATE(MONTH(CompilDonnées[[#This Row],[PlantationDate]])," ", YEAR(CompilDonnées[[#This Row],[PlantationDate]]))</f>
        <v>8 2025</v>
      </c>
      <c r="M4556" t="str">
        <f>CONCATENATE(MONTH(CompilDonnées[[#This Row],[HarvestingDate]])," ", YEAR(CompilDonnées[[#This Row],[HarvestingDate]]))</f>
        <v>10 2025</v>
      </c>
      <c r="N4556">
        <f>_xlfn.NUMBERVALUE(CompilDonnées[[#This Row],[FarmID]]&amp;CompilDonnées[[#This Row],[ModuleNumber]]&amp;CompilDonnées[[#This Row],[PlantationDate]])</f>
        <v>106545892</v>
      </c>
      <c r="O4556" t="str">
        <f>CompilDonnées[[#This Row],[FarmID]]&amp;CompilDonnées[[#This Row],[ModuleNumber]]</f>
        <v>1065</v>
      </c>
      <c r="P4556" t="str">
        <f>CompilDonnées[[#This Row],[Ref_Module]]&amp;CompilDonnées[[#This Row],[HarvestingDate]]</f>
        <v>106545937</v>
      </c>
    </row>
    <row r="4557" spans="1:16">
      <c r="A4557" s="5">
        <v>45892</v>
      </c>
      <c r="B4557">
        <v>106</v>
      </c>
      <c r="C4557" t="s">
        <v>22</v>
      </c>
      <c r="D4557">
        <v>6</v>
      </c>
      <c r="E4557">
        <v>100</v>
      </c>
      <c r="F4557" t="s">
        <v>1</v>
      </c>
      <c r="G4557" s="6">
        <v>45937</v>
      </c>
      <c r="H4557">
        <v>45</v>
      </c>
      <c r="I4557">
        <f>ROUND(CompilDonnées[[#This Row],[CultureDuration_days]]/7,0)</f>
        <v>6</v>
      </c>
      <c r="J4557">
        <v>2296</v>
      </c>
      <c r="K4557" t="str">
        <f>_xlfn.CONCAT(WEEKNUM(CompilDonnées[[#This Row],[PlantationDate]]), " ", YEAR(CompilDonnées[[#This Row],[PlantationDate]]))</f>
        <v>34 2025</v>
      </c>
      <c r="L4557" t="str">
        <f>CONCATENATE(MONTH(CompilDonnées[[#This Row],[PlantationDate]])," ", YEAR(CompilDonnées[[#This Row],[PlantationDate]]))</f>
        <v>8 2025</v>
      </c>
      <c r="M4557" t="str">
        <f>CONCATENATE(MONTH(CompilDonnées[[#This Row],[HarvestingDate]])," ", YEAR(CompilDonnées[[#This Row],[HarvestingDate]]))</f>
        <v>10 2025</v>
      </c>
      <c r="N4557">
        <f>_xlfn.NUMBERVALUE(CompilDonnées[[#This Row],[FarmID]]&amp;CompilDonnées[[#This Row],[ModuleNumber]]&amp;CompilDonnées[[#This Row],[PlantationDate]])</f>
        <v>106645892</v>
      </c>
      <c r="O4557" t="str">
        <f>CompilDonnées[[#This Row],[FarmID]]&amp;CompilDonnées[[#This Row],[ModuleNumber]]</f>
        <v>1066</v>
      </c>
      <c r="P4557" t="str">
        <f>CompilDonnées[[#This Row],[Ref_Module]]&amp;CompilDonnées[[#This Row],[HarvestingDate]]</f>
        <v>106645937</v>
      </c>
    </row>
    <row r="4558" spans="1:16">
      <c r="A4558" s="5">
        <v>45892</v>
      </c>
      <c r="B4558">
        <v>101</v>
      </c>
      <c r="C4558" t="s">
        <v>54</v>
      </c>
      <c r="D4558">
        <v>5</v>
      </c>
      <c r="E4558">
        <v>100</v>
      </c>
      <c r="F4558" t="s">
        <v>1</v>
      </c>
      <c r="G4558" s="6">
        <v>45938</v>
      </c>
      <c r="H4558">
        <v>46</v>
      </c>
      <c r="I4558">
        <f>ROUND(CompilDonnées[[#This Row],[CultureDuration_days]]/7,0)</f>
        <v>7</v>
      </c>
      <c r="J4558">
        <v>4467</v>
      </c>
      <c r="K4558" t="str">
        <f>_xlfn.CONCAT(WEEKNUM(CompilDonnées[[#This Row],[PlantationDate]]), " ", YEAR(CompilDonnées[[#This Row],[PlantationDate]]))</f>
        <v>34 2025</v>
      </c>
      <c r="L4558" t="str">
        <f>CONCATENATE(MONTH(CompilDonnées[[#This Row],[PlantationDate]])," ", YEAR(CompilDonnées[[#This Row],[PlantationDate]]))</f>
        <v>8 2025</v>
      </c>
      <c r="M4558" t="str">
        <f>CONCATENATE(MONTH(CompilDonnées[[#This Row],[HarvestingDate]])," ", YEAR(CompilDonnées[[#This Row],[HarvestingDate]]))</f>
        <v>10 2025</v>
      </c>
      <c r="N4558">
        <f>_xlfn.NUMBERVALUE(CompilDonnées[[#This Row],[FarmID]]&amp;CompilDonnées[[#This Row],[ModuleNumber]]&amp;CompilDonnées[[#This Row],[PlantationDate]])</f>
        <v>101545892</v>
      </c>
      <c r="O4558" t="str">
        <f>CompilDonnées[[#This Row],[FarmID]]&amp;CompilDonnées[[#This Row],[ModuleNumber]]</f>
        <v>1015</v>
      </c>
      <c r="P4558" t="str">
        <f>CompilDonnées[[#This Row],[Ref_Module]]&amp;CompilDonnées[[#This Row],[HarvestingDate]]</f>
        <v>101545938</v>
      </c>
    </row>
    <row r="4559" spans="1:16">
      <c r="A4559" s="5">
        <v>45892</v>
      </c>
      <c r="B4559">
        <v>101</v>
      </c>
      <c r="C4559" t="s">
        <v>54</v>
      </c>
      <c r="D4559">
        <v>6</v>
      </c>
      <c r="E4559">
        <v>100</v>
      </c>
      <c r="F4559" t="s">
        <v>1</v>
      </c>
      <c r="G4559" s="6">
        <v>45938</v>
      </c>
      <c r="H4559">
        <v>46</v>
      </c>
      <c r="I4559">
        <f>ROUND(CompilDonnées[[#This Row],[CultureDuration_days]]/7,0)</f>
        <v>7</v>
      </c>
      <c r="J4559">
        <v>4505</v>
      </c>
      <c r="K4559" t="str">
        <f>_xlfn.CONCAT(WEEKNUM(CompilDonnées[[#This Row],[PlantationDate]]), " ", YEAR(CompilDonnées[[#This Row],[PlantationDate]]))</f>
        <v>34 2025</v>
      </c>
      <c r="L4559" t="str">
        <f>CONCATENATE(MONTH(CompilDonnées[[#This Row],[PlantationDate]])," ", YEAR(CompilDonnées[[#This Row],[PlantationDate]]))</f>
        <v>8 2025</v>
      </c>
      <c r="M4559" t="str">
        <f>CONCATENATE(MONTH(CompilDonnées[[#This Row],[HarvestingDate]])," ", YEAR(CompilDonnées[[#This Row],[HarvestingDate]]))</f>
        <v>10 2025</v>
      </c>
      <c r="N4559">
        <f>_xlfn.NUMBERVALUE(CompilDonnées[[#This Row],[FarmID]]&amp;CompilDonnées[[#This Row],[ModuleNumber]]&amp;CompilDonnées[[#This Row],[PlantationDate]])</f>
        <v>101645892</v>
      </c>
      <c r="O4559" t="str">
        <f>CompilDonnées[[#This Row],[FarmID]]&amp;CompilDonnées[[#This Row],[ModuleNumber]]</f>
        <v>1016</v>
      </c>
      <c r="P4559" t="str">
        <f>CompilDonnées[[#This Row],[Ref_Module]]&amp;CompilDonnées[[#This Row],[HarvestingDate]]</f>
        <v>101645938</v>
      </c>
    </row>
    <row r="4560" spans="1:16">
      <c r="A4560" s="5">
        <v>45892</v>
      </c>
      <c r="B4560">
        <v>99</v>
      </c>
      <c r="C4560" t="s">
        <v>117</v>
      </c>
      <c r="D4560">
        <v>5</v>
      </c>
      <c r="E4560">
        <v>100</v>
      </c>
      <c r="F4560" t="s">
        <v>1</v>
      </c>
      <c r="G4560" s="6">
        <v>45937</v>
      </c>
      <c r="H4560">
        <v>45</v>
      </c>
      <c r="I4560">
        <f>ROUND(CompilDonnées[[#This Row],[CultureDuration_days]]/7,0)</f>
        <v>6</v>
      </c>
      <c r="J4560">
        <v>2832</v>
      </c>
      <c r="K4560" t="str">
        <f>_xlfn.CONCAT(WEEKNUM(CompilDonnées[[#This Row],[PlantationDate]]), " ", YEAR(CompilDonnées[[#This Row],[PlantationDate]]))</f>
        <v>34 2025</v>
      </c>
      <c r="L4560" t="str">
        <f>CONCATENATE(MONTH(CompilDonnées[[#This Row],[PlantationDate]])," ", YEAR(CompilDonnées[[#This Row],[PlantationDate]]))</f>
        <v>8 2025</v>
      </c>
      <c r="M4560" t="str">
        <f>CONCATENATE(MONTH(CompilDonnées[[#This Row],[HarvestingDate]])," ", YEAR(CompilDonnées[[#This Row],[HarvestingDate]]))</f>
        <v>10 2025</v>
      </c>
      <c r="N4560">
        <f>_xlfn.NUMBERVALUE(CompilDonnées[[#This Row],[FarmID]]&amp;CompilDonnées[[#This Row],[ModuleNumber]]&amp;CompilDonnées[[#This Row],[PlantationDate]])</f>
        <v>99545892</v>
      </c>
      <c r="O4560" t="str">
        <f>CompilDonnées[[#This Row],[FarmID]]&amp;CompilDonnées[[#This Row],[ModuleNumber]]</f>
        <v>995</v>
      </c>
      <c r="P4560" t="str">
        <f>CompilDonnées[[#This Row],[Ref_Module]]&amp;CompilDonnées[[#This Row],[HarvestingDate]]</f>
        <v>99545937</v>
      </c>
    </row>
    <row r="4561" spans="1:16">
      <c r="A4561" s="5">
        <v>45892</v>
      </c>
      <c r="B4561">
        <v>98</v>
      </c>
      <c r="C4561" t="s">
        <v>79</v>
      </c>
      <c r="D4561">
        <v>4</v>
      </c>
      <c r="E4561">
        <v>100</v>
      </c>
      <c r="F4561" t="s">
        <v>1</v>
      </c>
      <c r="G4561" s="6">
        <v>45937</v>
      </c>
      <c r="H4561">
        <v>45</v>
      </c>
      <c r="I4561">
        <f>ROUND(CompilDonnées[[#This Row],[CultureDuration_days]]/7,0)</f>
        <v>6</v>
      </c>
      <c r="J4561">
        <v>2478</v>
      </c>
      <c r="K4561" t="str">
        <f>_xlfn.CONCAT(WEEKNUM(CompilDonnées[[#This Row],[PlantationDate]]), " ", YEAR(CompilDonnées[[#This Row],[PlantationDate]]))</f>
        <v>34 2025</v>
      </c>
      <c r="L4561" t="str">
        <f>CONCATENATE(MONTH(CompilDonnées[[#This Row],[PlantationDate]])," ", YEAR(CompilDonnées[[#This Row],[PlantationDate]]))</f>
        <v>8 2025</v>
      </c>
      <c r="M4561" t="str">
        <f>CONCATENATE(MONTH(CompilDonnées[[#This Row],[HarvestingDate]])," ", YEAR(CompilDonnées[[#This Row],[HarvestingDate]]))</f>
        <v>10 2025</v>
      </c>
      <c r="N4561">
        <f>_xlfn.NUMBERVALUE(CompilDonnées[[#This Row],[FarmID]]&amp;CompilDonnées[[#This Row],[ModuleNumber]]&amp;CompilDonnées[[#This Row],[PlantationDate]])</f>
        <v>98445892</v>
      </c>
      <c r="O4561" t="str">
        <f>CompilDonnées[[#This Row],[FarmID]]&amp;CompilDonnées[[#This Row],[ModuleNumber]]</f>
        <v>984</v>
      </c>
      <c r="P4561" t="str">
        <f>CompilDonnées[[#This Row],[Ref_Module]]&amp;CompilDonnées[[#This Row],[HarvestingDate]]</f>
        <v>98445937</v>
      </c>
    </row>
    <row r="4562" spans="1:16">
      <c r="A4562" s="5">
        <v>45892</v>
      </c>
      <c r="B4562">
        <v>93</v>
      </c>
      <c r="C4562" t="s">
        <v>10</v>
      </c>
      <c r="D4562">
        <v>4</v>
      </c>
      <c r="E4562">
        <v>100</v>
      </c>
      <c r="F4562" t="s">
        <v>1</v>
      </c>
      <c r="G4562" s="6">
        <v>45938</v>
      </c>
      <c r="H4562">
        <v>46</v>
      </c>
      <c r="I4562">
        <f>ROUND(CompilDonnées[[#This Row],[CultureDuration_days]]/7,0)</f>
        <v>7</v>
      </c>
      <c r="J4562">
        <v>2971</v>
      </c>
      <c r="K4562" t="str">
        <f>_xlfn.CONCAT(WEEKNUM(CompilDonnées[[#This Row],[PlantationDate]]), " ", YEAR(CompilDonnées[[#This Row],[PlantationDate]]))</f>
        <v>34 2025</v>
      </c>
      <c r="L4562" t="str">
        <f>CONCATENATE(MONTH(CompilDonnées[[#This Row],[PlantationDate]])," ", YEAR(CompilDonnées[[#This Row],[PlantationDate]]))</f>
        <v>8 2025</v>
      </c>
      <c r="M4562" t="str">
        <f>CONCATENATE(MONTH(CompilDonnées[[#This Row],[HarvestingDate]])," ", YEAR(CompilDonnées[[#This Row],[HarvestingDate]]))</f>
        <v>10 2025</v>
      </c>
      <c r="N4562">
        <f>_xlfn.NUMBERVALUE(CompilDonnées[[#This Row],[FarmID]]&amp;CompilDonnées[[#This Row],[ModuleNumber]]&amp;CompilDonnées[[#This Row],[PlantationDate]])</f>
        <v>93445892</v>
      </c>
      <c r="O4562" t="str">
        <f>CompilDonnées[[#This Row],[FarmID]]&amp;CompilDonnées[[#This Row],[ModuleNumber]]</f>
        <v>934</v>
      </c>
      <c r="P4562" t="str">
        <f>CompilDonnées[[#This Row],[Ref_Module]]&amp;CompilDonnées[[#This Row],[HarvestingDate]]</f>
        <v>93445938</v>
      </c>
    </row>
    <row r="4563" spans="1:16">
      <c r="A4563" s="5">
        <v>45892</v>
      </c>
      <c r="B4563">
        <v>87</v>
      </c>
      <c r="C4563" t="s">
        <v>38</v>
      </c>
      <c r="D4563">
        <v>6</v>
      </c>
      <c r="E4563">
        <v>100</v>
      </c>
      <c r="F4563" t="s">
        <v>1</v>
      </c>
      <c r="G4563" s="6">
        <v>45938</v>
      </c>
      <c r="H4563">
        <v>46</v>
      </c>
      <c r="I4563">
        <f>ROUND(CompilDonnées[[#This Row],[CultureDuration_days]]/7,0)</f>
        <v>7</v>
      </c>
      <c r="J4563">
        <v>2765</v>
      </c>
      <c r="K4563" t="str">
        <f>_xlfn.CONCAT(WEEKNUM(CompilDonnées[[#This Row],[PlantationDate]]), " ", YEAR(CompilDonnées[[#This Row],[PlantationDate]]))</f>
        <v>34 2025</v>
      </c>
      <c r="L4563" t="str">
        <f>CONCATENATE(MONTH(CompilDonnées[[#This Row],[PlantationDate]])," ", YEAR(CompilDonnées[[#This Row],[PlantationDate]]))</f>
        <v>8 2025</v>
      </c>
      <c r="M4563" t="str">
        <f>CONCATENATE(MONTH(CompilDonnées[[#This Row],[HarvestingDate]])," ", YEAR(CompilDonnées[[#This Row],[HarvestingDate]]))</f>
        <v>10 2025</v>
      </c>
      <c r="N4563">
        <f>_xlfn.NUMBERVALUE(CompilDonnées[[#This Row],[FarmID]]&amp;CompilDonnées[[#This Row],[ModuleNumber]]&amp;CompilDonnées[[#This Row],[PlantationDate]])</f>
        <v>87645892</v>
      </c>
      <c r="O4563" t="str">
        <f>CompilDonnées[[#This Row],[FarmID]]&amp;CompilDonnées[[#This Row],[ModuleNumber]]</f>
        <v>876</v>
      </c>
      <c r="P4563" t="str">
        <f>CompilDonnées[[#This Row],[Ref_Module]]&amp;CompilDonnées[[#This Row],[HarvestingDate]]</f>
        <v>87645938</v>
      </c>
    </row>
    <row r="4564" spans="1:16">
      <c r="A4564" s="5">
        <v>45892</v>
      </c>
      <c r="B4564">
        <v>97</v>
      </c>
      <c r="C4564" t="s">
        <v>78</v>
      </c>
      <c r="D4564">
        <v>2</v>
      </c>
      <c r="E4564">
        <v>100</v>
      </c>
      <c r="F4564" t="s">
        <v>1</v>
      </c>
      <c r="G4564" s="6">
        <v>45938</v>
      </c>
      <c r="H4564">
        <v>46</v>
      </c>
      <c r="I4564">
        <f>ROUND(CompilDonnées[[#This Row],[CultureDuration_days]]/7,0)</f>
        <v>7</v>
      </c>
      <c r="J4564">
        <v>1665</v>
      </c>
      <c r="K4564" t="str">
        <f>_xlfn.CONCAT(WEEKNUM(CompilDonnées[[#This Row],[PlantationDate]]), " ", YEAR(CompilDonnées[[#This Row],[PlantationDate]]))</f>
        <v>34 2025</v>
      </c>
      <c r="L4564" t="str">
        <f>CONCATENATE(MONTH(CompilDonnées[[#This Row],[PlantationDate]])," ", YEAR(CompilDonnées[[#This Row],[PlantationDate]]))</f>
        <v>8 2025</v>
      </c>
      <c r="M4564" t="str">
        <f>CONCATENATE(MONTH(CompilDonnées[[#This Row],[HarvestingDate]])," ", YEAR(CompilDonnées[[#This Row],[HarvestingDate]]))</f>
        <v>10 2025</v>
      </c>
      <c r="N4564">
        <f>_xlfn.NUMBERVALUE(CompilDonnées[[#This Row],[FarmID]]&amp;CompilDonnées[[#This Row],[ModuleNumber]]&amp;CompilDonnées[[#This Row],[PlantationDate]])</f>
        <v>97245892</v>
      </c>
      <c r="O4564" t="str">
        <f>CompilDonnées[[#This Row],[FarmID]]&amp;CompilDonnées[[#This Row],[ModuleNumber]]</f>
        <v>972</v>
      </c>
      <c r="P4564" t="str">
        <f>CompilDonnées[[#This Row],[Ref_Module]]&amp;CompilDonnées[[#This Row],[HarvestingDate]]</f>
        <v>97245938</v>
      </c>
    </row>
    <row r="4565" spans="1:16">
      <c r="A4565" s="5">
        <v>45892</v>
      </c>
      <c r="B4565">
        <v>97</v>
      </c>
      <c r="C4565" t="s">
        <v>78</v>
      </c>
      <c r="D4565">
        <v>3</v>
      </c>
      <c r="E4565">
        <v>100</v>
      </c>
      <c r="F4565" t="s">
        <v>1</v>
      </c>
      <c r="G4565" s="6">
        <v>45946</v>
      </c>
      <c r="H4565">
        <v>54</v>
      </c>
      <c r="I4565">
        <f>ROUND(CompilDonnées[[#This Row],[CultureDuration_days]]/7,0)</f>
        <v>8</v>
      </c>
      <c r="J4565">
        <v>1922</v>
      </c>
      <c r="K4565" t="str">
        <f>_xlfn.CONCAT(WEEKNUM(CompilDonnées[[#This Row],[PlantationDate]]), " ", YEAR(CompilDonnées[[#This Row],[PlantationDate]]))</f>
        <v>34 2025</v>
      </c>
      <c r="L4565" t="str">
        <f>CONCATENATE(MONTH(CompilDonnées[[#This Row],[PlantationDate]])," ", YEAR(CompilDonnées[[#This Row],[PlantationDate]]))</f>
        <v>8 2025</v>
      </c>
      <c r="M4565" t="str">
        <f>CONCATENATE(MONTH(CompilDonnées[[#This Row],[HarvestingDate]])," ", YEAR(CompilDonnées[[#This Row],[HarvestingDate]]))</f>
        <v>10 2025</v>
      </c>
      <c r="N4565">
        <f>_xlfn.NUMBERVALUE(CompilDonnées[[#This Row],[FarmID]]&amp;CompilDonnées[[#This Row],[ModuleNumber]]&amp;CompilDonnées[[#This Row],[PlantationDate]])</f>
        <v>97345892</v>
      </c>
      <c r="O4565" t="str">
        <f>CompilDonnées[[#This Row],[FarmID]]&amp;CompilDonnées[[#This Row],[ModuleNumber]]</f>
        <v>973</v>
      </c>
      <c r="P4565" t="str">
        <f>CompilDonnées[[#This Row],[Ref_Module]]&amp;CompilDonnées[[#This Row],[HarvestingDate]]</f>
        <v>97345946</v>
      </c>
    </row>
    <row r="4566" spans="1:16">
      <c r="A4566" s="5">
        <v>45892</v>
      </c>
      <c r="B4566">
        <v>95</v>
      </c>
      <c r="C4566" t="s">
        <v>90</v>
      </c>
      <c r="D4566">
        <v>1</v>
      </c>
      <c r="E4566">
        <v>100</v>
      </c>
      <c r="F4566" t="s">
        <v>1</v>
      </c>
      <c r="G4566" s="6">
        <v>45946</v>
      </c>
      <c r="H4566">
        <v>54</v>
      </c>
      <c r="I4566">
        <f>ROUND(CompilDonnées[[#This Row],[CultureDuration_days]]/7,0)</f>
        <v>8</v>
      </c>
      <c r="J4566">
        <v>1619</v>
      </c>
      <c r="K4566" t="str">
        <f>_xlfn.CONCAT(WEEKNUM(CompilDonnées[[#This Row],[PlantationDate]]), " ", YEAR(CompilDonnées[[#This Row],[PlantationDate]]))</f>
        <v>34 2025</v>
      </c>
      <c r="L4566" t="str">
        <f>CONCATENATE(MONTH(CompilDonnées[[#This Row],[PlantationDate]])," ", YEAR(CompilDonnées[[#This Row],[PlantationDate]]))</f>
        <v>8 2025</v>
      </c>
      <c r="M4566" t="str">
        <f>CONCATENATE(MONTH(CompilDonnées[[#This Row],[HarvestingDate]])," ", YEAR(CompilDonnées[[#This Row],[HarvestingDate]]))</f>
        <v>10 2025</v>
      </c>
      <c r="N4566">
        <f>_xlfn.NUMBERVALUE(CompilDonnées[[#This Row],[FarmID]]&amp;CompilDonnées[[#This Row],[ModuleNumber]]&amp;CompilDonnées[[#This Row],[PlantationDate]])</f>
        <v>95145892</v>
      </c>
      <c r="O4566" t="str">
        <f>CompilDonnées[[#This Row],[FarmID]]&amp;CompilDonnées[[#This Row],[ModuleNumber]]</f>
        <v>951</v>
      </c>
      <c r="P4566" t="str">
        <f>CompilDonnées[[#This Row],[Ref_Module]]&amp;CompilDonnées[[#This Row],[HarvestingDate]]</f>
        <v>95145946</v>
      </c>
    </row>
    <row r="4567" spans="1:16">
      <c r="A4567" s="5">
        <v>45892</v>
      </c>
      <c r="B4567">
        <v>103</v>
      </c>
      <c r="C4567" t="s">
        <v>86</v>
      </c>
      <c r="D4567">
        <v>6</v>
      </c>
      <c r="E4567">
        <v>100</v>
      </c>
      <c r="F4567" t="s">
        <v>1</v>
      </c>
      <c r="G4567" s="6">
        <v>45945</v>
      </c>
      <c r="H4567">
        <v>53</v>
      </c>
      <c r="I4567">
        <f>ROUND(CompilDonnées[[#This Row],[CultureDuration_days]]/7,0)</f>
        <v>8</v>
      </c>
      <c r="J4567">
        <v>1634</v>
      </c>
      <c r="K4567" t="str">
        <f>_xlfn.CONCAT(WEEKNUM(CompilDonnées[[#This Row],[PlantationDate]]), " ", YEAR(CompilDonnées[[#This Row],[PlantationDate]]))</f>
        <v>34 2025</v>
      </c>
      <c r="L4567" t="str">
        <f>CONCATENATE(MONTH(CompilDonnées[[#This Row],[PlantationDate]])," ", YEAR(CompilDonnées[[#This Row],[PlantationDate]]))</f>
        <v>8 2025</v>
      </c>
      <c r="M4567" t="str">
        <f>CONCATENATE(MONTH(CompilDonnées[[#This Row],[HarvestingDate]])," ", YEAR(CompilDonnées[[#This Row],[HarvestingDate]]))</f>
        <v>10 2025</v>
      </c>
      <c r="N4567">
        <f>_xlfn.NUMBERVALUE(CompilDonnées[[#This Row],[FarmID]]&amp;CompilDonnées[[#This Row],[ModuleNumber]]&amp;CompilDonnées[[#This Row],[PlantationDate]])</f>
        <v>103645892</v>
      </c>
      <c r="O4567" t="str">
        <f>CompilDonnées[[#This Row],[FarmID]]&amp;CompilDonnées[[#This Row],[ModuleNumber]]</f>
        <v>1036</v>
      </c>
      <c r="P4567" t="str">
        <f>CompilDonnées[[#This Row],[Ref_Module]]&amp;CompilDonnées[[#This Row],[HarvestingDate]]</f>
        <v>103645945</v>
      </c>
    </row>
    <row r="4568" spans="1:16">
      <c r="A4568" s="5">
        <v>45892</v>
      </c>
      <c r="B4568">
        <v>79</v>
      </c>
      <c r="C4568" t="s">
        <v>61</v>
      </c>
      <c r="D4568">
        <v>3</v>
      </c>
      <c r="E4568">
        <v>100</v>
      </c>
      <c r="F4568" t="s">
        <v>1</v>
      </c>
      <c r="G4568" s="6">
        <v>45937</v>
      </c>
      <c r="H4568">
        <v>45</v>
      </c>
      <c r="I4568">
        <f>ROUND(CompilDonnées[[#This Row],[CultureDuration_days]]/7,0)</f>
        <v>6</v>
      </c>
      <c r="J4568">
        <v>2400</v>
      </c>
      <c r="K4568" t="str">
        <f>_xlfn.CONCAT(WEEKNUM(CompilDonnées[[#This Row],[PlantationDate]]), " ", YEAR(CompilDonnées[[#This Row],[PlantationDate]]))</f>
        <v>34 2025</v>
      </c>
      <c r="L4568" t="str">
        <f>CONCATENATE(MONTH(CompilDonnées[[#This Row],[PlantationDate]])," ", YEAR(CompilDonnées[[#This Row],[PlantationDate]]))</f>
        <v>8 2025</v>
      </c>
      <c r="M4568" t="str">
        <f>CONCATENATE(MONTH(CompilDonnées[[#This Row],[HarvestingDate]])," ", YEAR(CompilDonnées[[#This Row],[HarvestingDate]]))</f>
        <v>10 2025</v>
      </c>
      <c r="N4568">
        <f>_xlfn.NUMBERVALUE(CompilDonnées[[#This Row],[FarmID]]&amp;CompilDonnées[[#This Row],[ModuleNumber]]&amp;CompilDonnées[[#This Row],[PlantationDate]])</f>
        <v>79345892</v>
      </c>
      <c r="O4568" t="str">
        <f>CompilDonnées[[#This Row],[FarmID]]&amp;CompilDonnées[[#This Row],[ModuleNumber]]</f>
        <v>793</v>
      </c>
      <c r="P4568" t="str">
        <f>CompilDonnées[[#This Row],[Ref_Module]]&amp;CompilDonnées[[#This Row],[HarvestingDate]]</f>
        <v>79345937</v>
      </c>
    </row>
    <row r="4569" spans="1:16">
      <c r="A4569" s="5">
        <v>45892</v>
      </c>
      <c r="B4569">
        <v>76</v>
      </c>
      <c r="C4569" t="s">
        <v>18</v>
      </c>
      <c r="D4569">
        <v>5</v>
      </c>
      <c r="E4569">
        <v>100</v>
      </c>
      <c r="F4569" t="s">
        <v>1</v>
      </c>
      <c r="G4569" s="6">
        <v>45938</v>
      </c>
      <c r="H4569">
        <v>46</v>
      </c>
      <c r="I4569">
        <f>ROUND(CompilDonnées[[#This Row],[CultureDuration_days]]/7,0)</f>
        <v>7</v>
      </c>
      <c r="J4569">
        <v>2011</v>
      </c>
      <c r="K4569" t="str">
        <f>_xlfn.CONCAT(WEEKNUM(CompilDonnées[[#This Row],[PlantationDate]]), " ", YEAR(CompilDonnées[[#This Row],[PlantationDate]]))</f>
        <v>34 2025</v>
      </c>
      <c r="L4569" t="str">
        <f>CONCATENATE(MONTH(CompilDonnées[[#This Row],[PlantationDate]])," ", YEAR(CompilDonnées[[#This Row],[PlantationDate]]))</f>
        <v>8 2025</v>
      </c>
      <c r="M4569" t="str">
        <f>CONCATENATE(MONTH(CompilDonnées[[#This Row],[HarvestingDate]])," ", YEAR(CompilDonnées[[#This Row],[HarvestingDate]]))</f>
        <v>10 2025</v>
      </c>
      <c r="N4569">
        <f>_xlfn.NUMBERVALUE(CompilDonnées[[#This Row],[FarmID]]&amp;CompilDonnées[[#This Row],[ModuleNumber]]&amp;CompilDonnées[[#This Row],[PlantationDate]])</f>
        <v>76545892</v>
      </c>
      <c r="O4569" t="str">
        <f>CompilDonnées[[#This Row],[FarmID]]&amp;CompilDonnées[[#This Row],[ModuleNumber]]</f>
        <v>765</v>
      </c>
      <c r="P4569" t="str">
        <f>CompilDonnées[[#This Row],[Ref_Module]]&amp;CompilDonnées[[#This Row],[HarvestingDate]]</f>
        <v>76545938</v>
      </c>
    </row>
    <row r="4570" spans="1:16">
      <c r="A4570" s="5">
        <v>45892</v>
      </c>
      <c r="B4570">
        <v>110</v>
      </c>
      <c r="C4570" t="s">
        <v>14</v>
      </c>
      <c r="D4570">
        <v>4</v>
      </c>
      <c r="E4570">
        <v>100</v>
      </c>
      <c r="F4570" t="s">
        <v>1</v>
      </c>
      <c r="G4570" s="6">
        <v>45937</v>
      </c>
      <c r="H4570">
        <v>45</v>
      </c>
      <c r="I4570">
        <f>ROUND(CompilDonnées[[#This Row],[CultureDuration_days]]/7,0)</f>
        <v>6</v>
      </c>
      <c r="J4570">
        <v>2555</v>
      </c>
      <c r="K4570" t="str">
        <f>_xlfn.CONCAT(WEEKNUM(CompilDonnées[[#This Row],[PlantationDate]]), " ", YEAR(CompilDonnées[[#This Row],[PlantationDate]]))</f>
        <v>34 2025</v>
      </c>
      <c r="L4570" t="str">
        <f>CONCATENATE(MONTH(CompilDonnées[[#This Row],[PlantationDate]])," ", YEAR(CompilDonnées[[#This Row],[PlantationDate]]))</f>
        <v>8 2025</v>
      </c>
      <c r="M4570" t="str">
        <f>CONCATENATE(MONTH(CompilDonnées[[#This Row],[HarvestingDate]])," ", YEAR(CompilDonnées[[#This Row],[HarvestingDate]]))</f>
        <v>10 2025</v>
      </c>
      <c r="N4570">
        <f>_xlfn.NUMBERVALUE(CompilDonnées[[#This Row],[FarmID]]&amp;CompilDonnées[[#This Row],[ModuleNumber]]&amp;CompilDonnées[[#This Row],[PlantationDate]])</f>
        <v>110445892</v>
      </c>
      <c r="O4570" t="str">
        <f>CompilDonnées[[#This Row],[FarmID]]&amp;CompilDonnées[[#This Row],[ModuleNumber]]</f>
        <v>1104</v>
      </c>
      <c r="P4570" t="str">
        <f>CompilDonnées[[#This Row],[Ref_Module]]&amp;CompilDonnées[[#This Row],[HarvestingDate]]</f>
        <v>110445937</v>
      </c>
    </row>
    <row r="4571" spans="1:16">
      <c r="A4571" s="5">
        <v>45892</v>
      </c>
      <c r="B4571">
        <v>111</v>
      </c>
      <c r="C4571" t="s">
        <v>41</v>
      </c>
      <c r="D4571">
        <v>4</v>
      </c>
      <c r="E4571">
        <v>100</v>
      </c>
      <c r="F4571" t="s">
        <v>1</v>
      </c>
      <c r="G4571" s="6">
        <v>45937</v>
      </c>
      <c r="H4571">
        <v>45</v>
      </c>
      <c r="I4571">
        <f>ROUND(CompilDonnées[[#This Row],[CultureDuration_days]]/7,0)</f>
        <v>6</v>
      </c>
      <c r="J4571">
        <v>2596</v>
      </c>
      <c r="K4571" t="str">
        <f>_xlfn.CONCAT(WEEKNUM(CompilDonnées[[#This Row],[PlantationDate]]), " ", YEAR(CompilDonnées[[#This Row],[PlantationDate]]))</f>
        <v>34 2025</v>
      </c>
      <c r="L4571" t="str">
        <f>CONCATENATE(MONTH(CompilDonnées[[#This Row],[PlantationDate]])," ", YEAR(CompilDonnées[[#This Row],[PlantationDate]]))</f>
        <v>8 2025</v>
      </c>
      <c r="M4571" t="str">
        <f>CONCATENATE(MONTH(CompilDonnées[[#This Row],[HarvestingDate]])," ", YEAR(CompilDonnées[[#This Row],[HarvestingDate]]))</f>
        <v>10 2025</v>
      </c>
      <c r="N4571">
        <f>_xlfn.NUMBERVALUE(CompilDonnées[[#This Row],[FarmID]]&amp;CompilDonnées[[#This Row],[ModuleNumber]]&amp;CompilDonnées[[#This Row],[PlantationDate]])</f>
        <v>111445892</v>
      </c>
      <c r="O4571" t="str">
        <f>CompilDonnées[[#This Row],[FarmID]]&amp;CompilDonnées[[#This Row],[ModuleNumber]]</f>
        <v>1114</v>
      </c>
      <c r="P4571" t="str">
        <f>CompilDonnées[[#This Row],[Ref_Module]]&amp;CompilDonnées[[#This Row],[HarvestingDate]]</f>
        <v>111445937</v>
      </c>
    </row>
    <row r="4572" spans="1:16">
      <c r="A4572" s="5">
        <v>45892</v>
      </c>
      <c r="B4572">
        <v>112</v>
      </c>
      <c r="C4572" t="s">
        <v>15</v>
      </c>
      <c r="D4572">
        <v>1</v>
      </c>
      <c r="E4572">
        <v>100</v>
      </c>
      <c r="F4572" t="s">
        <v>1</v>
      </c>
      <c r="G4572" s="6">
        <v>45937</v>
      </c>
      <c r="H4572">
        <v>45</v>
      </c>
      <c r="I4572">
        <f>ROUND(CompilDonnées[[#This Row],[CultureDuration_days]]/7,0)</f>
        <v>6</v>
      </c>
      <c r="J4572">
        <v>2594</v>
      </c>
      <c r="K4572" t="str">
        <f>_xlfn.CONCAT(WEEKNUM(CompilDonnées[[#This Row],[PlantationDate]]), " ", YEAR(CompilDonnées[[#This Row],[PlantationDate]]))</f>
        <v>34 2025</v>
      </c>
      <c r="L4572" t="str">
        <f>CONCATENATE(MONTH(CompilDonnées[[#This Row],[PlantationDate]])," ", YEAR(CompilDonnées[[#This Row],[PlantationDate]]))</f>
        <v>8 2025</v>
      </c>
      <c r="M4572" t="str">
        <f>CONCATENATE(MONTH(CompilDonnées[[#This Row],[HarvestingDate]])," ", YEAR(CompilDonnées[[#This Row],[HarvestingDate]]))</f>
        <v>10 2025</v>
      </c>
      <c r="N4572">
        <f>_xlfn.NUMBERVALUE(CompilDonnées[[#This Row],[FarmID]]&amp;CompilDonnées[[#This Row],[ModuleNumber]]&amp;CompilDonnées[[#This Row],[PlantationDate]])</f>
        <v>112145892</v>
      </c>
      <c r="O4572" t="str">
        <f>CompilDonnées[[#This Row],[FarmID]]&amp;CompilDonnées[[#This Row],[ModuleNumber]]</f>
        <v>1121</v>
      </c>
      <c r="P4572" t="str">
        <f>CompilDonnées[[#This Row],[Ref_Module]]&amp;CompilDonnées[[#This Row],[HarvestingDate]]</f>
        <v>112145937</v>
      </c>
    </row>
    <row r="4573" spans="1:16">
      <c r="A4573" s="5">
        <v>45892</v>
      </c>
      <c r="B4573">
        <v>113</v>
      </c>
      <c r="C4573" t="s">
        <v>16</v>
      </c>
      <c r="D4573">
        <v>1</v>
      </c>
      <c r="E4573">
        <v>100</v>
      </c>
      <c r="F4573" t="s">
        <v>1</v>
      </c>
      <c r="G4573" s="6">
        <v>45946</v>
      </c>
      <c r="H4573">
        <v>54</v>
      </c>
      <c r="I4573">
        <f>ROUND(CompilDonnées[[#This Row],[CultureDuration_days]]/7,0)</f>
        <v>8</v>
      </c>
      <c r="J4573">
        <v>5773</v>
      </c>
      <c r="K4573" t="str">
        <f>_xlfn.CONCAT(WEEKNUM(CompilDonnées[[#This Row],[PlantationDate]]), " ", YEAR(CompilDonnées[[#This Row],[PlantationDate]]))</f>
        <v>34 2025</v>
      </c>
      <c r="L4573" t="str">
        <f>CONCATENATE(MONTH(CompilDonnées[[#This Row],[PlantationDate]])," ", YEAR(CompilDonnées[[#This Row],[PlantationDate]]))</f>
        <v>8 2025</v>
      </c>
      <c r="M4573" t="str">
        <f>CONCATENATE(MONTH(CompilDonnées[[#This Row],[HarvestingDate]])," ", YEAR(CompilDonnées[[#This Row],[HarvestingDate]]))</f>
        <v>10 2025</v>
      </c>
      <c r="N4573">
        <f>_xlfn.NUMBERVALUE(CompilDonnées[[#This Row],[FarmID]]&amp;CompilDonnées[[#This Row],[ModuleNumber]]&amp;CompilDonnées[[#This Row],[PlantationDate]])</f>
        <v>113145892</v>
      </c>
      <c r="O4573" t="str">
        <f>CompilDonnées[[#This Row],[FarmID]]&amp;CompilDonnées[[#This Row],[ModuleNumber]]</f>
        <v>1131</v>
      </c>
      <c r="P4573" t="str">
        <f>CompilDonnées[[#This Row],[Ref_Module]]&amp;CompilDonnées[[#This Row],[HarvestingDate]]</f>
        <v>113145946</v>
      </c>
    </row>
    <row r="4574" spans="1:16">
      <c r="A4574" s="5">
        <v>45892</v>
      </c>
      <c r="B4574">
        <v>119</v>
      </c>
      <c r="C4574" t="s">
        <v>59</v>
      </c>
      <c r="D4574">
        <v>1</v>
      </c>
      <c r="E4574">
        <v>100</v>
      </c>
      <c r="F4574" t="s">
        <v>1</v>
      </c>
      <c r="G4574" s="6">
        <v>45937</v>
      </c>
      <c r="H4574">
        <v>45</v>
      </c>
      <c r="I4574">
        <f>ROUND(CompilDonnées[[#This Row],[CultureDuration_days]]/7,0)</f>
        <v>6</v>
      </c>
      <c r="J4574">
        <v>3848</v>
      </c>
      <c r="K4574" t="str">
        <f>_xlfn.CONCAT(WEEKNUM(CompilDonnées[[#This Row],[PlantationDate]]), " ", YEAR(CompilDonnées[[#This Row],[PlantationDate]]))</f>
        <v>34 2025</v>
      </c>
      <c r="L4574" t="str">
        <f>CONCATENATE(MONTH(CompilDonnées[[#This Row],[PlantationDate]])," ", YEAR(CompilDonnées[[#This Row],[PlantationDate]]))</f>
        <v>8 2025</v>
      </c>
      <c r="M4574" t="str">
        <f>CONCATENATE(MONTH(CompilDonnées[[#This Row],[HarvestingDate]])," ", YEAR(CompilDonnées[[#This Row],[HarvestingDate]]))</f>
        <v>10 2025</v>
      </c>
      <c r="N4574">
        <f>_xlfn.NUMBERVALUE(CompilDonnées[[#This Row],[FarmID]]&amp;CompilDonnées[[#This Row],[ModuleNumber]]&amp;CompilDonnées[[#This Row],[PlantationDate]])</f>
        <v>119145892</v>
      </c>
      <c r="O4574" t="str">
        <f>CompilDonnées[[#This Row],[FarmID]]&amp;CompilDonnées[[#This Row],[ModuleNumber]]</f>
        <v>1191</v>
      </c>
      <c r="P4574" t="str">
        <f>CompilDonnées[[#This Row],[Ref_Module]]&amp;CompilDonnées[[#This Row],[HarvestingDate]]</f>
        <v>119145937</v>
      </c>
    </row>
    <row r="4575" spans="1:16">
      <c r="A4575" s="5">
        <v>45892</v>
      </c>
      <c r="B4575">
        <v>118</v>
      </c>
      <c r="C4575" t="s">
        <v>51</v>
      </c>
      <c r="D4575">
        <v>3</v>
      </c>
      <c r="E4575">
        <v>100</v>
      </c>
      <c r="F4575" t="s">
        <v>1</v>
      </c>
      <c r="G4575" s="6">
        <v>45931</v>
      </c>
      <c r="H4575">
        <v>39</v>
      </c>
      <c r="I4575">
        <f>ROUND(CompilDonnées[[#This Row],[CultureDuration_days]]/7,0)</f>
        <v>6</v>
      </c>
      <c r="J4575">
        <v>3079</v>
      </c>
      <c r="K4575" t="str">
        <f>_xlfn.CONCAT(WEEKNUM(CompilDonnées[[#This Row],[PlantationDate]]), " ", YEAR(CompilDonnées[[#This Row],[PlantationDate]]))</f>
        <v>34 2025</v>
      </c>
      <c r="L4575" t="str">
        <f>CONCATENATE(MONTH(CompilDonnées[[#This Row],[PlantationDate]])," ", YEAR(CompilDonnées[[#This Row],[PlantationDate]]))</f>
        <v>8 2025</v>
      </c>
      <c r="M4575" t="str">
        <f>CONCATENATE(MONTH(CompilDonnées[[#This Row],[HarvestingDate]])," ", YEAR(CompilDonnées[[#This Row],[HarvestingDate]]))</f>
        <v>10 2025</v>
      </c>
      <c r="N4575">
        <f>_xlfn.NUMBERVALUE(CompilDonnées[[#This Row],[FarmID]]&amp;CompilDonnées[[#This Row],[ModuleNumber]]&amp;CompilDonnées[[#This Row],[PlantationDate]])</f>
        <v>118345892</v>
      </c>
      <c r="O4575" t="str">
        <f>CompilDonnées[[#This Row],[FarmID]]&amp;CompilDonnées[[#This Row],[ModuleNumber]]</f>
        <v>1183</v>
      </c>
      <c r="P4575" t="str">
        <f>CompilDonnées[[#This Row],[Ref_Module]]&amp;CompilDonnées[[#This Row],[HarvestingDate]]</f>
        <v>118345931</v>
      </c>
    </row>
    <row r="4576" spans="1:16">
      <c r="A4576" s="5">
        <v>45892</v>
      </c>
      <c r="B4576">
        <v>117</v>
      </c>
      <c r="C4576" t="s">
        <v>11</v>
      </c>
      <c r="D4576">
        <v>6</v>
      </c>
      <c r="E4576">
        <v>100</v>
      </c>
      <c r="F4576" t="s">
        <v>1</v>
      </c>
      <c r="G4576" s="6">
        <v>45937</v>
      </c>
      <c r="H4576">
        <v>45</v>
      </c>
      <c r="I4576">
        <f>ROUND(CompilDonnées[[#This Row],[CultureDuration_days]]/7,0)</f>
        <v>6</v>
      </c>
      <c r="J4576">
        <v>2836</v>
      </c>
      <c r="K4576" t="str">
        <f>_xlfn.CONCAT(WEEKNUM(CompilDonnées[[#This Row],[PlantationDate]]), " ", YEAR(CompilDonnées[[#This Row],[PlantationDate]]))</f>
        <v>34 2025</v>
      </c>
      <c r="L4576" t="str">
        <f>CONCATENATE(MONTH(CompilDonnées[[#This Row],[PlantationDate]])," ", YEAR(CompilDonnées[[#This Row],[PlantationDate]]))</f>
        <v>8 2025</v>
      </c>
      <c r="M4576" t="str">
        <f>CONCATENATE(MONTH(CompilDonnées[[#This Row],[HarvestingDate]])," ", YEAR(CompilDonnées[[#This Row],[HarvestingDate]]))</f>
        <v>10 2025</v>
      </c>
      <c r="N4576">
        <f>_xlfn.NUMBERVALUE(CompilDonnées[[#This Row],[FarmID]]&amp;CompilDonnées[[#This Row],[ModuleNumber]]&amp;CompilDonnées[[#This Row],[PlantationDate]])</f>
        <v>117645892</v>
      </c>
      <c r="O4576" t="str">
        <f>CompilDonnées[[#This Row],[FarmID]]&amp;CompilDonnées[[#This Row],[ModuleNumber]]</f>
        <v>1176</v>
      </c>
      <c r="P4576" t="str">
        <f>CompilDonnées[[#This Row],[Ref_Module]]&amp;CompilDonnées[[#This Row],[HarvestingDate]]</f>
        <v>117645937</v>
      </c>
    </row>
    <row r="4577" spans="1:16">
      <c r="A4577" s="5">
        <v>45892</v>
      </c>
      <c r="B4577">
        <v>125</v>
      </c>
      <c r="C4577" t="s">
        <v>101</v>
      </c>
      <c r="D4577">
        <v>6</v>
      </c>
      <c r="E4577">
        <v>100</v>
      </c>
      <c r="F4577" t="s">
        <v>1</v>
      </c>
      <c r="G4577" s="6">
        <v>45937</v>
      </c>
      <c r="H4577">
        <v>45</v>
      </c>
      <c r="I4577">
        <f>ROUND(CompilDonnées[[#This Row],[CultureDuration_days]]/7,0)</f>
        <v>6</v>
      </c>
      <c r="J4577">
        <v>4556</v>
      </c>
      <c r="K4577" t="str">
        <f>_xlfn.CONCAT(WEEKNUM(CompilDonnées[[#This Row],[PlantationDate]]), " ", YEAR(CompilDonnées[[#This Row],[PlantationDate]]))</f>
        <v>34 2025</v>
      </c>
      <c r="L4577" t="str">
        <f>CONCATENATE(MONTH(CompilDonnées[[#This Row],[PlantationDate]])," ", YEAR(CompilDonnées[[#This Row],[PlantationDate]]))</f>
        <v>8 2025</v>
      </c>
      <c r="M4577" t="str">
        <f>CONCATENATE(MONTH(CompilDonnées[[#This Row],[HarvestingDate]])," ", YEAR(CompilDonnées[[#This Row],[HarvestingDate]]))</f>
        <v>10 2025</v>
      </c>
      <c r="N4577">
        <f>_xlfn.NUMBERVALUE(CompilDonnées[[#This Row],[FarmID]]&amp;CompilDonnées[[#This Row],[ModuleNumber]]&amp;CompilDonnées[[#This Row],[PlantationDate]])</f>
        <v>125645892</v>
      </c>
      <c r="O4577" t="str">
        <f>CompilDonnées[[#This Row],[FarmID]]&amp;CompilDonnées[[#This Row],[ModuleNumber]]</f>
        <v>1256</v>
      </c>
      <c r="P4577" t="str">
        <f>CompilDonnées[[#This Row],[Ref_Module]]&amp;CompilDonnées[[#This Row],[HarvestingDate]]</f>
        <v>125645937</v>
      </c>
    </row>
    <row r="4578" spans="1:16">
      <c r="A4578" s="5">
        <v>45892</v>
      </c>
      <c r="B4578">
        <v>123</v>
      </c>
      <c r="C4578" t="s">
        <v>13</v>
      </c>
      <c r="D4578">
        <v>5</v>
      </c>
      <c r="E4578">
        <v>100</v>
      </c>
      <c r="F4578" t="s">
        <v>1</v>
      </c>
      <c r="G4578" s="6">
        <v>45937</v>
      </c>
      <c r="H4578">
        <v>45</v>
      </c>
      <c r="I4578">
        <f>ROUND(CompilDonnées[[#This Row],[CultureDuration_days]]/7,0)</f>
        <v>6</v>
      </c>
      <c r="J4578">
        <v>4799</v>
      </c>
      <c r="K4578" t="str">
        <f>_xlfn.CONCAT(WEEKNUM(CompilDonnées[[#This Row],[PlantationDate]]), " ", YEAR(CompilDonnées[[#This Row],[PlantationDate]]))</f>
        <v>34 2025</v>
      </c>
      <c r="L4578" t="str">
        <f>CONCATENATE(MONTH(CompilDonnées[[#This Row],[PlantationDate]])," ", YEAR(CompilDonnées[[#This Row],[PlantationDate]]))</f>
        <v>8 2025</v>
      </c>
      <c r="M4578" t="str">
        <f>CONCATENATE(MONTH(CompilDonnées[[#This Row],[HarvestingDate]])," ", YEAR(CompilDonnées[[#This Row],[HarvestingDate]]))</f>
        <v>10 2025</v>
      </c>
      <c r="N4578">
        <f>_xlfn.NUMBERVALUE(CompilDonnées[[#This Row],[FarmID]]&amp;CompilDonnées[[#This Row],[ModuleNumber]]&amp;CompilDonnées[[#This Row],[PlantationDate]])</f>
        <v>123545892</v>
      </c>
      <c r="O4578" t="str">
        <f>CompilDonnées[[#This Row],[FarmID]]&amp;CompilDonnées[[#This Row],[ModuleNumber]]</f>
        <v>1235</v>
      </c>
      <c r="P4578" t="str">
        <f>CompilDonnées[[#This Row],[Ref_Module]]&amp;CompilDonnées[[#This Row],[HarvestingDate]]</f>
        <v>123545937</v>
      </c>
    </row>
    <row r="4579" spans="1:16">
      <c r="A4579" s="5">
        <v>45892</v>
      </c>
      <c r="B4579">
        <v>124</v>
      </c>
      <c r="C4579" t="s">
        <v>115</v>
      </c>
      <c r="D4579">
        <v>1</v>
      </c>
      <c r="E4579">
        <v>100</v>
      </c>
      <c r="F4579" t="s">
        <v>1</v>
      </c>
      <c r="G4579" s="6">
        <v>45947</v>
      </c>
      <c r="H4579">
        <v>55</v>
      </c>
      <c r="I4579">
        <f>ROUND(CompilDonnées[[#This Row],[CultureDuration_days]]/7,0)</f>
        <v>8</v>
      </c>
      <c r="J4579">
        <v>3797</v>
      </c>
      <c r="K4579" t="str">
        <f>_xlfn.CONCAT(WEEKNUM(CompilDonnées[[#This Row],[PlantationDate]]), " ", YEAR(CompilDonnées[[#This Row],[PlantationDate]]))</f>
        <v>34 2025</v>
      </c>
      <c r="L4579" t="str">
        <f>CONCATENATE(MONTH(CompilDonnées[[#This Row],[PlantationDate]])," ", YEAR(CompilDonnées[[#This Row],[PlantationDate]]))</f>
        <v>8 2025</v>
      </c>
      <c r="M4579" t="str">
        <f>CONCATENATE(MONTH(CompilDonnées[[#This Row],[HarvestingDate]])," ", YEAR(CompilDonnées[[#This Row],[HarvestingDate]]))</f>
        <v>10 2025</v>
      </c>
      <c r="N4579">
        <f>_xlfn.NUMBERVALUE(CompilDonnées[[#This Row],[FarmID]]&amp;CompilDonnées[[#This Row],[ModuleNumber]]&amp;CompilDonnées[[#This Row],[PlantationDate]])</f>
        <v>124145892</v>
      </c>
      <c r="O4579" t="str">
        <f>CompilDonnées[[#This Row],[FarmID]]&amp;CompilDonnées[[#This Row],[ModuleNumber]]</f>
        <v>1241</v>
      </c>
      <c r="P4579" t="str">
        <f>CompilDonnées[[#This Row],[Ref_Module]]&amp;CompilDonnées[[#This Row],[HarvestingDate]]</f>
        <v>124145947</v>
      </c>
    </row>
    <row r="4580" spans="1:16">
      <c r="A4580" s="5">
        <v>45892</v>
      </c>
      <c r="B4580">
        <v>132</v>
      </c>
      <c r="C4580" t="s">
        <v>120</v>
      </c>
      <c r="D4580">
        <v>5</v>
      </c>
      <c r="E4580">
        <v>100</v>
      </c>
      <c r="F4580" t="s">
        <v>1</v>
      </c>
      <c r="G4580" s="6">
        <v>45937</v>
      </c>
      <c r="H4580">
        <v>45</v>
      </c>
      <c r="I4580">
        <f>ROUND(CompilDonnées[[#This Row],[CultureDuration_days]]/7,0)</f>
        <v>6</v>
      </c>
      <c r="J4580">
        <v>3780</v>
      </c>
      <c r="K4580" t="str">
        <f>_xlfn.CONCAT(WEEKNUM(CompilDonnées[[#This Row],[PlantationDate]]), " ", YEAR(CompilDonnées[[#This Row],[PlantationDate]]))</f>
        <v>34 2025</v>
      </c>
      <c r="L4580" t="str">
        <f>CONCATENATE(MONTH(CompilDonnées[[#This Row],[PlantationDate]])," ", YEAR(CompilDonnées[[#This Row],[PlantationDate]]))</f>
        <v>8 2025</v>
      </c>
      <c r="M4580" t="str">
        <f>CONCATENATE(MONTH(CompilDonnées[[#This Row],[HarvestingDate]])," ", YEAR(CompilDonnées[[#This Row],[HarvestingDate]]))</f>
        <v>10 2025</v>
      </c>
      <c r="N4580">
        <f>_xlfn.NUMBERVALUE(CompilDonnées[[#This Row],[FarmID]]&amp;CompilDonnées[[#This Row],[ModuleNumber]]&amp;CompilDonnées[[#This Row],[PlantationDate]])</f>
        <v>132545892</v>
      </c>
      <c r="O4580" t="str">
        <f>CompilDonnées[[#This Row],[FarmID]]&amp;CompilDonnées[[#This Row],[ModuleNumber]]</f>
        <v>1325</v>
      </c>
      <c r="P4580" t="str">
        <f>CompilDonnées[[#This Row],[Ref_Module]]&amp;CompilDonnées[[#This Row],[HarvestingDate]]</f>
        <v>132545937</v>
      </c>
    </row>
    <row r="4581" spans="1:16">
      <c r="A4581" s="5">
        <v>45892</v>
      </c>
      <c r="B4581">
        <v>133</v>
      </c>
      <c r="C4581" t="s">
        <v>99</v>
      </c>
      <c r="D4581">
        <v>4</v>
      </c>
      <c r="E4581">
        <v>100</v>
      </c>
      <c r="F4581" t="s">
        <v>1</v>
      </c>
      <c r="G4581" s="6">
        <v>45937</v>
      </c>
      <c r="H4581">
        <v>45</v>
      </c>
      <c r="I4581">
        <f>ROUND(CompilDonnées[[#This Row],[CultureDuration_days]]/7,0)</f>
        <v>6</v>
      </c>
      <c r="J4581">
        <v>4146</v>
      </c>
      <c r="K4581" t="str">
        <f>_xlfn.CONCAT(WEEKNUM(CompilDonnées[[#This Row],[PlantationDate]]), " ", YEAR(CompilDonnées[[#This Row],[PlantationDate]]))</f>
        <v>34 2025</v>
      </c>
      <c r="L4581" t="str">
        <f>CONCATENATE(MONTH(CompilDonnées[[#This Row],[PlantationDate]])," ", YEAR(CompilDonnées[[#This Row],[PlantationDate]]))</f>
        <v>8 2025</v>
      </c>
      <c r="M4581" t="str">
        <f>CONCATENATE(MONTH(CompilDonnées[[#This Row],[HarvestingDate]])," ", YEAR(CompilDonnées[[#This Row],[HarvestingDate]]))</f>
        <v>10 2025</v>
      </c>
      <c r="N4581">
        <f>_xlfn.NUMBERVALUE(CompilDonnées[[#This Row],[FarmID]]&amp;CompilDonnées[[#This Row],[ModuleNumber]]&amp;CompilDonnées[[#This Row],[PlantationDate]])</f>
        <v>133445892</v>
      </c>
      <c r="O4581" t="str">
        <f>CompilDonnées[[#This Row],[FarmID]]&amp;CompilDonnées[[#This Row],[ModuleNumber]]</f>
        <v>1334</v>
      </c>
      <c r="P4581" t="str">
        <f>CompilDonnées[[#This Row],[Ref_Module]]&amp;CompilDonnées[[#This Row],[HarvestingDate]]</f>
        <v>133445937</v>
      </c>
    </row>
    <row r="4582" spans="1:16">
      <c r="A4582" s="5">
        <v>45892</v>
      </c>
      <c r="B4582">
        <v>140</v>
      </c>
      <c r="C4582" t="s">
        <v>96</v>
      </c>
      <c r="D4582">
        <v>1</v>
      </c>
      <c r="E4582">
        <v>100</v>
      </c>
      <c r="F4582" t="s">
        <v>1</v>
      </c>
      <c r="G4582" s="6">
        <v>45947</v>
      </c>
      <c r="H4582">
        <v>55</v>
      </c>
      <c r="I4582">
        <f>ROUND(CompilDonnées[[#This Row],[CultureDuration_days]]/7,0)</f>
        <v>8</v>
      </c>
      <c r="J4582">
        <v>3832</v>
      </c>
      <c r="K4582" t="str">
        <f>_xlfn.CONCAT(WEEKNUM(CompilDonnées[[#This Row],[PlantationDate]]), " ", YEAR(CompilDonnées[[#This Row],[PlantationDate]]))</f>
        <v>34 2025</v>
      </c>
      <c r="L4582" t="str">
        <f>CONCATENATE(MONTH(CompilDonnées[[#This Row],[PlantationDate]])," ", YEAR(CompilDonnées[[#This Row],[PlantationDate]]))</f>
        <v>8 2025</v>
      </c>
      <c r="M4582" t="str">
        <f>CONCATENATE(MONTH(CompilDonnées[[#This Row],[HarvestingDate]])," ", YEAR(CompilDonnées[[#This Row],[HarvestingDate]]))</f>
        <v>10 2025</v>
      </c>
      <c r="N4582">
        <f>_xlfn.NUMBERVALUE(CompilDonnées[[#This Row],[FarmID]]&amp;CompilDonnées[[#This Row],[ModuleNumber]]&amp;CompilDonnées[[#This Row],[PlantationDate]])</f>
        <v>140145892</v>
      </c>
      <c r="O4582" t="str">
        <f>CompilDonnées[[#This Row],[FarmID]]&amp;CompilDonnées[[#This Row],[ModuleNumber]]</f>
        <v>1401</v>
      </c>
      <c r="P4582" t="str">
        <f>CompilDonnées[[#This Row],[Ref_Module]]&amp;CompilDonnées[[#This Row],[HarvestingDate]]</f>
        <v>140145947</v>
      </c>
    </row>
    <row r="4583" spans="1:16">
      <c r="A4583" s="5">
        <v>45892</v>
      </c>
      <c r="B4583">
        <v>139</v>
      </c>
      <c r="C4583" t="s">
        <v>103</v>
      </c>
      <c r="D4583">
        <v>1</v>
      </c>
      <c r="E4583">
        <v>100</v>
      </c>
      <c r="F4583" t="s">
        <v>1</v>
      </c>
      <c r="G4583" s="6">
        <v>45937</v>
      </c>
      <c r="H4583">
        <v>45</v>
      </c>
      <c r="I4583">
        <f>ROUND(CompilDonnées[[#This Row],[CultureDuration_days]]/7,0)</f>
        <v>6</v>
      </c>
      <c r="J4583">
        <v>2680</v>
      </c>
      <c r="K4583" t="str">
        <f>_xlfn.CONCAT(WEEKNUM(CompilDonnées[[#This Row],[PlantationDate]]), " ", YEAR(CompilDonnées[[#This Row],[PlantationDate]]))</f>
        <v>34 2025</v>
      </c>
      <c r="L4583" t="str">
        <f>CONCATENATE(MONTH(CompilDonnées[[#This Row],[PlantationDate]])," ", YEAR(CompilDonnées[[#This Row],[PlantationDate]]))</f>
        <v>8 2025</v>
      </c>
      <c r="M4583" t="str">
        <f>CONCATENATE(MONTH(CompilDonnées[[#This Row],[HarvestingDate]])," ", YEAR(CompilDonnées[[#This Row],[HarvestingDate]]))</f>
        <v>10 2025</v>
      </c>
      <c r="N4583">
        <f>_xlfn.NUMBERVALUE(CompilDonnées[[#This Row],[FarmID]]&amp;CompilDonnées[[#This Row],[ModuleNumber]]&amp;CompilDonnées[[#This Row],[PlantationDate]])</f>
        <v>139145892</v>
      </c>
      <c r="O4583" t="str">
        <f>CompilDonnées[[#This Row],[FarmID]]&amp;CompilDonnées[[#This Row],[ModuleNumber]]</f>
        <v>1391</v>
      </c>
      <c r="P4583" t="str">
        <f>CompilDonnées[[#This Row],[Ref_Module]]&amp;CompilDonnées[[#This Row],[HarvestingDate]]</f>
        <v>139145937</v>
      </c>
    </row>
    <row r="4584" spans="1:16">
      <c r="A4584" s="5">
        <v>45890</v>
      </c>
      <c r="B4584">
        <v>58</v>
      </c>
      <c r="C4584" t="s">
        <v>35</v>
      </c>
      <c r="D4584">
        <v>1</v>
      </c>
      <c r="E4584">
        <v>100</v>
      </c>
      <c r="F4584" t="s">
        <v>1</v>
      </c>
      <c r="G4584" s="6">
        <v>45939</v>
      </c>
      <c r="H4584">
        <v>49</v>
      </c>
      <c r="I4584">
        <f>ROUND(CompilDonnées[[#This Row],[CultureDuration_days]]/7,0)</f>
        <v>7</v>
      </c>
      <c r="J4584">
        <v>2790</v>
      </c>
      <c r="K4584" t="str">
        <f>_xlfn.CONCAT(WEEKNUM(CompilDonnées[[#This Row],[PlantationDate]]), " ", YEAR(CompilDonnées[[#This Row],[PlantationDate]]))</f>
        <v>34 2025</v>
      </c>
      <c r="L4584" t="str">
        <f>CONCATENATE(MONTH(CompilDonnées[[#This Row],[PlantationDate]])," ", YEAR(CompilDonnées[[#This Row],[PlantationDate]]))</f>
        <v>8 2025</v>
      </c>
      <c r="M4584" t="str">
        <f>CONCATENATE(MONTH(CompilDonnées[[#This Row],[HarvestingDate]])," ", YEAR(CompilDonnées[[#This Row],[HarvestingDate]]))</f>
        <v>10 2025</v>
      </c>
      <c r="N4584">
        <f>_xlfn.NUMBERVALUE(CompilDonnées[[#This Row],[FarmID]]&amp;CompilDonnées[[#This Row],[ModuleNumber]]&amp;CompilDonnées[[#This Row],[PlantationDate]])</f>
        <v>58145890</v>
      </c>
      <c r="O4584" t="str">
        <f>CompilDonnées[[#This Row],[FarmID]]&amp;CompilDonnées[[#This Row],[ModuleNumber]]</f>
        <v>581</v>
      </c>
      <c r="P4584" t="str">
        <f>CompilDonnées[[#This Row],[Ref_Module]]&amp;CompilDonnées[[#This Row],[HarvestingDate]]</f>
        <v>58145939</v>
      </c>
    </row>
    <row r="4585" spans="1:16">
      <c r="A4585" s="5">
        <v>45895</v>
      </c>
      <c r="B4585">
        <v>109</v>
      </c>
      <c r="C4585" t="s">
        <v>87</v>
      </c>
      <c r="D4585">
        <v>5</v>
      </c>
      <c r="E4585">
        <v>100</v>
      </c>
      <c r="F4585" t="s">
        <v>1</v>
      </c>
      <c r="G4585" s="6">
        <v>45937</v>
      </c>
      <c r="H4585">
        <v>42</v>
      </c>
      <c r="I4585">
        <f>ROUND(CompilDonnées[[#This Row],[CultureDuration_days]]/7,0)</f>
        <v>6</v>
      </c>
      <c r="J4585">
        <v>3537</v>
      </c>
      <c r="K4585" t="str">
        <f>_xlfn.CONCAT(WEEKNUM(CompilDonnées[[#This Row],[PlantationDate]]), " ", YEAR(CompilDonnées[[#This Row],[PlantationDate]]))</f>
        <v>35 2025</v>
      </c>
      <c r="L4585" t="str">
        <f>CONCATENATE(MONTH(CompilDonnées[[#This Row],[PlantationDate]])," ", YEAR(CompilDonnées[[#This Row],[PlantationDate]]))</f>
        <v>8 2025</v>
      </c>
      <c r="M4585" t="str">
        <f>CONCATENATE(MONTH(CompilDonnées[[#This Row],[HarvestingDate]])," ", YEAR(CompilDonnées[[#This Row],[HarvestingDate]]))</f>
        <v>10 2025</v>
      </c>
      <c r="N4585">
        <f>_xlfn.NUMBERVALUE(CompilDonnées[[#This Row],[FarmID]]&amp;CompilDonnées[[#This Row],[ModuleNumber]]&amp;CompilDonnées[[#This Row],[PlantationDate]])</f>
        <v>109545895</v>
      </c>
      <c r="O4585" t="str">
        <f>CompilDonnées[[#This Row],[FarmID]]&amp;CompilDonnées[[#This Row],[ModuleNumber]]</f>
        <v>1095</v>
      </c>
      <c r="P4585" t="str">
        <f>CompilDonnées[[#This Row],[Ref_Module]]&amp;CompilDonnées[[#This Row],[HarvestingDate]]</f>
        <v>109545937</v>
      </c>
    </row>
    <row r="4586" spans="1:16">
      <c r="A4586" s="5">
        <v>45895</v>
      </c>
      <c r="B4586">
        <v>108</v>
      </c>
      <c r="C4586" t="s">
        <v>58</v>
      </c>
      <c r="D4586">
        <v>2</v>
      </c>
      <c r="E4586">
        <v>100</v>
      </c>
      <c r="F4586" t="s">
        <v>1</v>
      </c>
      <c r="G4586" s="6">
        <v>45947</v>
      </c>
      <c r="H4586">
        <v>52</v>
      </c>
      <c r="I4586">
        <f>ROUND(CompilDonnées[[#This Row],[CultureDuration_days]]/7,0)</f>
        <v>7</v>
      </c>
      <c r="J4586">
        <v>3776</v>
      </c>
      <c r="K4586" t="str">
        <f>_xlfn.CONCAT(WEEKNUM(CompilDonnées[[#This Row],[PlantationDate]]), " ", YEAR(CompilDonnées[[#This Row],[PlantationDate]]))</f>
        <v>35 2025</v>
      </c>
      <c r="L4586" t="str">
        <f>CONCATENATE(MONTH(CompilDonnées[[#This Row],[PlantationDate]])," ", YEAR(CompilDonnées[[#This Row],[PlantationDate]]))</f>
        <v>8 2025</v>
      </c>
      <c r="M4586" t="str">
        <f>CONCATENATE(MONTH(CompilDonnées[[#This Row],[HarvestingDate]])," ", YEAR(CompilDonnées[[#This Row],[HarvestingDate]]))</f>
        <v>10 2025</v>
      </c>
      <c r="N4586">
        <f>_xlfn.NUMBERVALUE(CompilDonnées[[#This Row],[FarmID]]&amp;CompilDonnées[[#This Row],[ModuleNumber]]&amp;CompilDonnées[[#This Row],[PlantationDate]])</f>
        <v>108245895</v>
      </c>
      <c r="O4586" t="str">
        <f>CompilDonnées[[#This Row],[FarmID]]&amp;CompilDonnées[[#This Row],[ModuleNumber]]</f>
        <v>1082</v>
      </c>
      <c r="P4586" t="str">
        <f>CompilDonnées[[#This Row],[Ref_Module]]&amp;CompilDonnées[[#This Row],[HarvestingDate]]</f>
        <v>108245947</v>
      </c>
    </row>
    <row r="4587" spans="1:16">
      <c r="A4587" s="5">
        <v>45895</v>
      </c>
      <c r="B4587">
        <v>107</v>
      </c>
      <c r="C4587" t="s">
        <v>23</v>
      </c>
      <c r="D4587">
        <v>2</v>
      </c>
      <c r="E4587">
        <v>100</v>
      </c>
      <c r="F4587" t="s">
        <v>1</v>
      </c>
      <c r="G4587" s="6">
        <v>45946</v>
      </c>
      <c r="H4587">
        <v>51</v>
      </c>
      <c r="I4587">
        <f>ROUND(CompilDonnées[[#This Row],[CultureDuration_days]]/7,0)</f>
        <v>7</v>
      </c>
      <c r="J4587">
        <v>2532</v>
      </c>
      <c r="K4587" t="str">
        <f>_xlfn.CONCAT(WEEKNUM(CompilDonnées[[#This Row],[PlantationDate]]), " ", YEAR(CompilDonnées[[#This Row],[PlantationDate]]))</f>
        <v>35 2025</v>
      </c>
      <c r="L4587" t="str">
        <f>CONCATENATE(MONTH(CompilDonnées[[#This Row],[PlantationDate]])," ", YEAR(CompilDonnées[[#This Row],[PlantationDate]]))</f>
        <v>8 2025</v>
      </c>
      <c r="M4587" t="str">
        <f>CONCATENATE(MONTH(CompilDonnées[[#This Row],[HarvestingDate]])," ", YEAR(CompilDonnées[[#This Row],[HarvestingDate]]))</f>
        <v>10 2025</v>
      </c>
      <c r="N4587">
        <f>_xlfn.NUMBERVALUE(CompilDonnées[[#This Row],[FarmID]]&amp;CompilDonnées[[#This Row],[ModuleNumber]]&amp;CompilDonnées[[#This Row],[PlantationDate]])</f>
        <v>107245895</v>
      </c>
      <c r="O4587" t="str">
        <f>CompilDonnées[[#This Row],[FarmID]]&amp;CompilDonnées[[#This Row],[ModuleNumber]]</f>
        <v>1072</v>
      </c>
      <c r="P4587" t="str">
        <f>CompilDonnées[[#This Row],[Ref_Module]]&amp;CompilDonnées[[#This Row],[HarvestingDate]]</f>
        <v>107245946</v>
      </c>
    </row>
    <row r="4588" spans="1:16">
      <c r="A4588" s="5">
        <v>45895</v>
      </c>
      <c r="B4588">
        <v>106</v>
      </c>
      <c r="C4588" t="s">
        <v>22</v>
      </c>
      <c r="D4588">
        <v>3</v>
      </c>
      <c r="E4588">
        <v>100</v>
      </c>
      <c r="F4588" t="s">
        <v>1</v>
      </c>
      <c r="G4588" s="6">
        <v>45946</v>
      </c>
      <c r="H4588">
        <v>51</v>
      </c>
      <c r="I4588">
        <f>ROUND(CompilDonnées[[#This Row],[CultureDuration_days]]/7,0)</f>
        <v>7</v>
      </c>
      <c r="J4588">
        <v>2680</v>
      </c>
      <c r="K4588" t="str">
        <f>_xlfn.CONCAT(WEEKNUM(CompilDonnées[[#This Row],[PlantationDate]]), " ", YEAR(CompilDonnées[[#This Row],[PlantationDate]]))</f>
        <v>35 2025</v>
      </c>
      <c r="L4588" t="str">
        <f>CONCATENATE(MONTH(CompilDonnées[[#This Row],[PlantationDate]])," ", YEAR(CompilDonnées[[#This Row],[PlantationDate]]))</f>
        <v>8 2025</v>
      </c>
      <c r="M4588" t="str">
        <f>CONCATENATE(MONTH(CompilDonnées[[#This Row],[HarvestingDate]])," ", YEAR(CompilDonnées[[#This Row],[HarvestingDate]]))</f>
        <v>10 2025</v>
      </c>
      <c r="N4588">
        <f>_xlfn.NUMBERVALUE(CompilDonnées[[#This Row],[FarmID]]&amp;CompilDonnées[[#This Row],[ModuleNumber]]&amp;CompilDonnées[[#This Row],[PlantationDate]])</f>
        <v>106345895</v>
      </c>
      <c r="O4588" t="str">
        <f>CompilDonnées[[#This Row],[FarmID]]&amp;CompilDonnées[[#This Row],[ModuleNumber]]</f>
        <v>1063</v>
      </c>
      <c r="P4588" t="str">
        <f>CompilDonnées[[#This Row],[Ref_Module]]&amp;CompilDonnées[[#This Row],[HarvestingDate]]</f>
        <v>106345946</v>
      </c>
    </row>
    <row r="4589" spans="1:16">
      <c r="A4589" s="5">
        <v>45895</v>
      </c>
      <c r="B4589">
        <v>106</v>
      </c>
      <c r="C4589" t="s">
        <v>22</v>
      </c>
      <c r="D4589">
        <v>4</v>
      </c>
      <c r="E4589">
        <v>100</v>
      </c>
      <c r="F4589" t="s">
        <v>1</v>
      </c>
      <c r="G4589" s="6">
        <v>45946</v>
      </c>
      <c r="H4589">
        <v>51</v>
      </c>
      <c r="I4589">
        <f>ROUND(CompilDonnées[[#This Row],[CultureDuration_days]]/7,0)</f>
        <v>7</v>
      </c>
      <c r="J4589">
        <v>2698</v>
      </c>
      <c r="K4589" t="str">
        <f>_xlfn.CONCAT(WEEKNUM(CompilDonnées[[#This Row],[PlantationDate]]), " ", YEAR(CompilDonnées[[#This Row],[PlantationDate]]))</f>
        <v>35 2025</v>
      </c>
      <c r="L4589" t="str">
        <f>CONCATENATE(MONTH(CompilDonnées[[#This Row],[PlantationDate]])," ", YEAR(CompilDonnées[[#This Row],[PlantationDate]]))</f>
        <v>8 2025</v>
      </c>
      <c r="M4589" t="str">
        <f>CONCATENATE(MONTH(CompilDonnées[[#This Row],[HarvestingDate]])," ", YEAR(CompilDonnées[[#This Row],[HarvestingDate]]))</f>
        <v>10 2025</v>
      </c>
      <c r="N4589">
        <f>_xlfn.NUMBERVALUE(CompilDonnées[[#This Row],[FarmID]]&amp;CompilDonnées[[#This Row],[ModuleNumber]]&amp;CompilDonnées[[#This Row],[PlantationDate]])</f>
        <v>106445895</v>
      </c>
      <c r="O4589" t="str">
        <f>CompilDonnées[[#This Row],[FarmID]]&amp;CompilDonnées[[#This Row],[ModuleNumber]]</f>
        <v>1064</v>
      </c>
      <c r="P4589" t="str">
        <f>CompilDonnées[[#This Row],[Ref_Module]]&amp;CompilDonnées[[#This Row],[HarvestingDate]]</f>
        <v>106445946</v>
      </c>
    </row>
    <row r="4590" spans="1:16">
      <c r="A4590" s="5">
        <v>45895</v>
      </c>
      <c r="B4590">
        <v>105</v>
      </c>
      <c r="C4590" t="s">
        <v>12</v>
      </c>
      <c r="D4590">
        <v>4</v>
      </c>
      <c r="E4590">
        <v>100</v>
      </c>
      <c r="F4590" t="s">
        <v>1</v>
      </c>
      <c r="G4590" s="6">
        <v>45946</v>
      </c>
      <c r="H4590">
        <v>51</v>
      </c>
      <c r="I4590">
        <f>ROUND(CompilDonnées[[#This Row],[CultureDuration_days]]/7,0)</f>
        <v>7</v>
      </c>
      <c r="J4590">
        <v>2161</v>
      </c>
      <c r="K4590" t="str">
        <f>_xlfn.CONCAT(WEEKNUM(CompilDonnées[[#This Row],[PlantationDate]]), " ", YEAR(CompilDonnées[[#This Row],[PlantationDate]]))</f>
        <v>35 2025</v>
      </c>
      <c r="L4590" t="str">
        <f>CONCATENATE(MONTH(CompilDonnées[[#This Row],[PlantationDate]])," ", YEAR(CompilDonnées[[#This Row],[PlantationDate]]))</f>
        <v>8 2025</v>
      </c>
      <c r="M4590" t="str">
        <f>CONCATENATE(MONTH(CompilDonnées[[#This Row],[HarvestingDate]])," ", YEAR(CompilDonnées[[#This Row],[HarvestingDate]]))</f>
        <v>10 2025</v>
      </c>
      <c r="N4590">
        <f>_xlfn.NUMBERVALUE(CompilDonnées[[#This Row],[FarmID]]&amp;CompilDonnées[[#This Row],[ModuleNumber]]&amp;CompilDonnées[[#This Row],[PlantationDate]])</f>
        <v>105445895</v>
      </c>
      <c r="O4590" t="str">
        <f>CompilDonnées[[#This Row],[FarmID]]&amp;CompilDonnées[[#This Row],[ModuleNumber]]</f>
        <v>1054</v>
      </c>
      <c r="P4590" t="str">
        <f>CompilDonnées[[#This Row],[Ref_Module]]&amp;CompilDonnées[[#This Row],[HarvestingDate]]</f>
        <v>105445946</v>
      </c>
    </row>
    <row r="4591" spans="1:16">
      <c r="A4591" s="5">
        <v>45895</v>
      </c>
      <c r="B4591">
        <v>104</v>
      </c>
      <c r="C4591" t="s">
        <v>91</v>
      </c>
      <c r="D4591">
        <v>4</v>
      </c>
      <c r="E4591">
        <v>100</v>
      </c>
      <c r="F4591" t="s">
        <v>1</v>
      </c>
      <c r="G4591" s="6">
        <v>45946</v>
      </c>
      <c r="H4591">
        <v>51</v>
      </c>
      <c r="I4591">
        <f>ROUND(CompilDonnées[[#This Row],[CultureDuration_days]]/7,0)</f>
        <v>7</v>
      </c>
      <c r="J4591">
        <v>1829</v>
      </c>
      <c r="K4591" t="str">
        <f>_xlfn.CONCAT(WEEKNUM(CompilDonnées[[#This Row],[PlantationDate]]), " ", YEAR(CompilDonnées[[#This Row],[PlantationDate]]))</f>
        <v>35 2025</v>
      </c>
      <c r="L4591" t="str">
        <f>CONCATENATE(MONTH(CompilDonnées[[#This Row],[PlantationDate]])," ", YEAR(CompilDonnées[[#This Row],[PlantationDate]]))</f>
        <v>8 2025</v>
      </c>
      <c r="M4591" t="str">
        <f>CONCATENATE(MONTH(CompilDonnées[[#This Row],[HarvestingDate]])," ", YEAR(CompilDonnées[[#This Row],[HarvestingDate]]))</f>
        <v>10 2025</v>
      </c>
      <c r="N4591">
        <f>_xlfn.NUMBERVALUE(CompilDonnées[[#This Row],[FarmID]]&amp;CompilDonnées[[#This Row],[ModuleNumber]]&amp;CompilDonnées[[#This Row],[PlantationDate]])</f>
        <v>104445895</v>
      </c>
      <c r="O4591" t="str">
        <f>CompilDonnées[[#This Row],[FarmID]]&amp;CompilDonnées[[#This Row],[ModuleNumber]]</f>
        <v>1044</v>
      </c>
      <c r="P4591" t="str">
        <f>CompilDonnées[[#This Row],[Ref_Module]]&amp;CompilDonnées[[#This Row],[HarvestingDate]]</f>
        <v>104445946</v>
      </c>
    </row>
    <row r="4592" spans="1:16">
      <c r="A4592" s="5">
        <v>45895</v>
      </c>
      <c r="B4592">
        <v>97</v>
      </c>
      <c r="C4592" t="s">
        <v>78</v>
      </c>
      <c r="D4592">
        <v>1</v>
      </c>
      <c r="E4592">
        <v>100</v>
      </c>
      <c r="F4592" t="s">
        <v>1</v>
      </c>
      <c r="G4592" s="6">
        <v>45946</v>
      </c>
      <c r="H4592">
        <v>51</v>
      </c>
      <c r="I4592">
        <f>ROUND(CompilDonnées[[#This Row],[CultureDuration_days]]/7,0)</f>
        <v>7</v>
      </c>
      <c r="J4592">
        <v>2291</v>
      </c>
      <c r="K4592" t="str">
        <f>_xlfn.CONCAT(WEEKNUM(CompilDonnées[[#This Row],[PlantationDate]]), " ", YEAR(CompilDonnées[[#This Row],[PlantationDate]]))</f>
        <v>35 2025</v>
      </c>
      <c r="L4592" t="str">
        <f>CONCATENATE(MONTH(CompilDonnées[[#This Row],[PlantationDate]])," ", YEAR(CompilDonnées[[#This Row],[PlantationDate]]))</f>
        <v>8 2025</v>
      </c>
      <c r="M4592" t="str">
        <f>CONCATENATE(MONTH(CompilDonnées[[#This Row],[HarvestingDate]])," ", YEAR(CompilDonnées[[#This Row],[HarvestingDate]]))</f>
        <v>10 2025</v>
      </c>
      <c r="N4592">
        <f>_xlfn.NUMBERVALUE(CompilDonnées[[#This Row],[FarmID]]&amp;CompilDonnées[[#This Row],[ModuleNumber]]&amp;CompilDonnées[[#This Row],[PlantationDate]])</f>
        <v>97145895</v>
      </c>
      <c r="O4592" t="str">
        <f>CompilDonnées[[#This Row],[FarmID]]&amp;CompilDonnées[[#This Row],[ModuleNumber]]</f>
        <v>971</v>
      </c>
      <c r="P4592" t="str">
        <f>CompilDonnées[[#This Row],[Ref_Module]]&amp;CompilDonnées[[#This Row],[HarvestingDate]]</f>
        <v>97145946</v>
      </c>
    </row>
    <row r="4593" spans="1:16">
      <c r="A4593" s="5">
        <v>45895</v>
      </c>
      <c r="B4593">
        <v>99</v>
      </c>
      <c r="C4593" t="s">
        <v>117</v>
      </c>
      <c r="D4593">
        <v>6</v>
      </c>
      <c r="E4593">
        <v>100</v>
      </c>
      <c r="F4593" t="s">
        <v>1</v>
      </c>
      <c r="G4593" s="6">
        <v>45946</v>
      </c>
      <c r="H4593">
        <v>51</v>
      </c>
      <c r="I4593">
        <f>ROUND(CompilDonnées[[#This Row],[CultureDuration_days]]/7,0)</f>
        <v>7</v>
      </c>
      <c r="J4593">
        <v>4105</v>
      </c>
      <c r="K4593" t="str">
        <f>_xlfn.CONCAT(WEEKNUM(CompilDonnées[[#This Row],[PlantationDate]]), " ", YEAR(CompilDonnées[[#This Row],[PlantationDate]]))</f>
        <v>35 2025</v>
      </c>
      <c r="L4593" t="str">
        <f>CONCATENATE(MONTH(CompilDonnées[[#This Row],[PlantationDate]])," ", YEAR(CompilDonnées[[#This Row],[PlantationDate]]))</f>
        <v>8 2025</v>
      </c>
      <c r="M4593" t="str">
        <f>CONCATENATE(MONTH(CompilDonnées[[#This Row],[HarvestingDate]])," ", YEAR(CompilDonnées[[#This Row],[HarvestingDate]]))</f>
        <v>10 2025</v>
      </c>
      <c r="N4593">
        <f>_xlfn.NUMBERVALUE(CompilDonnées[[#This Row],[FarmID]]&amp;CompilDonnées[[#This Row],[ModuleNumber]]&amp;CompilDonnées[[#This Row],[PlantationDate]])</f>
        <v>99645895</v>
      </c>
      <c r="O4593" t="str">
        <f>CompilDonnées[[#This Row],[FarmID]]&amp;CompilDonnées[[#This Row],[ModuleNumber]]</f>
        <v>996</v>
      </c>
      <c r="P4593" t="str">
        <f>CompilDonnées[[#This Row],[Ref_Module]]&amp;CompilDonnées[[#This Row],[HarvestingDate]]</f>
        <v>99645946</v>
      </c>
    </row>
    <row r="4594" spans="1:16">
      <c r="A4594" s="5">
        <v>45895</v>
      </c>
      <c r="B4594">
        <v>98</v>
      </c>
      <c r="C4594" t="s">
        <v>79</v>
      </c>
      <c r="D4594">
        <v>5</v>
      </c>
      <c r="E4594">
        <v>100</v>
      </c>
      <c r="F4594" t="s">
        <v>1</v>
      </c>
      <c r="G4594" s="6">
        <v>45946</v>
      </c>
      <c r="H4594">
        <v>51</v>
      </c>
      <c r="I4594">
        <f>ROUND(CompilDonnées[[#This Row],[CultureDuration_days]]/7,0)</f>
        <v>7</v>
      </c>
      <c r="J4594">
        <v>2937</v>
      </c>
      <c r="K4594" t="str">
        <f>_xlfn.CONCAT(WEEKNUM(CompilDonnées[[#This Row],[PlantationDate]]), " ", YEAR(CompilDonnées[[#This Row],[PlantationDate]]))</f>
        <v>35 2025</v>
      </c>
      <c r="L4594" t="str">
        <f>CONCATENATE(MONTH(CompilDonnées[[#This Row],[PlantationDate]])," ", YEAR(CompilDonnées[[#This Row],[PlantationDate]]))</f>
        <v>8 2025</v>
      </c>
      <c r="M4594" t="str">
        <f>CONCATENATE(MONTH(CompilDonnées[[#This Row],[HarvestingDate]])," ", YEAR(CompilDonnées[[#This Row],[HarvestingDate]]))</f>
        <v>10 2025</v>
      </c>
      <c r="N4594">
        <f>_xlfn.NUMBERVALUE(CompilDonnées[[#This Row],[FarmID]]&amp;CompilDonnées[[#This Row],[ModuleNumber]]&amp;CompilDonnées[[#This Row],[PlantationDate]])</f>
        <v>98545895</v>
      </c>
      <c r="O4594" t="str">
        <f>CompilDonnées[[#This Row],[FarmID]]&amp;CompilDonnées[[#This Row],[ModuleNumber]]</f>
        <v>985</v>
      </c>
      <c r="P4594" t="str">
        <f>CompilDonnées[[#This Row],[Ref_Module]]&amp;CompilDonnées[[#This Row],[HarvestingDate]]</f>
        <v>98545946</v>
      </c>
    </row>
    <row r="4595" spans="1:16">
      <c r="A4595" s="5">
        <v>45895</v>
      </c>
      <c r="B4595">
        <v>113</v>
      </c>
      <c r="C4595" t="s">
        <v>16</v>
      </c>
      <c r="D4595">
        <v>2</v>
      </c>
      <c r="E4595">
        <v>100</v>
      </c>
      <c r="F4595" t="s">
        <v>1</v>
      </c>
      <c r="G4595" s="6">
        <v>45937</v>
      </c>
      <c r="H4595">
        <v>42</v>
      </c>
      <c r="I4595">
        <f>ROUND(CompilDonnées[[#This Row],[CultureDuration_days]]/7,0)</f>
        <v>6</v>
      </c>
      <c r="J4595">
        <v>4035</v>
      </c>
      <c r="K4595" t="str">
        <f>_xlfn.CONCAT(WEEKNUM(CompilDonnées[[#This Row],[PlantationDate]]), " ", YEAR(CompilDonnées[[#This Row],[PlantationDate]]))</f>
        <v>35 2025</v>
      </c>
      <c r="L4595" t="str">
        <f>CONCATENATE(MONTH(CompilDonnées[[#This Row],[PlantationDate]])," ", YEAR(CompilDonnées[[#This Row],[PlantationDate]]))</f>
        <v>8 2025</v>
      </c>
      <c r="M4595" t="str">
        <f>CONCATENATE(MONTH(CompilDonnées[[#This Row],[HarvestingDate]])," ", YEAR(CompilDonnées[[#This Row],[HarvestingDate]]))</f>
        <v>10 2025</v>
      </c>
      <c r="N4595">
        <f>_xlfn.NUMBERVALUE(CompilDonnées[[#This Row],[FarmID]]&amp;CompilDonnées[[#This Row],[ModuleNumber]]&amp;CompilDonnées[[#This Row],[PlantationDate]])</f>
        <v>113245895</v>
      </c>
      <c r="O4595" t="str">
        <f>CompilDonnées[[#This Row],[FarmID]]&amp;CompilDonnées[[#This Row],[ModuleNumber]]</f>
        <v>1132</v>
      </c>
      <c r="P4595" t="str">
        <f>CompilDonnées[[#This Row],[Ref_Module]]&amp;CompilDonnées[[#This Row],[HarvestingDate]]</f>
        <v>113245937</v>
      </c>
    </row>
    <row r="4596" spans="1:16">
      <c r="A4596" s="5">
        <v>45895</v>
      </c>
      <c r="B4596">
        <v>112</v>
      </c>
      <c r="C4596" t="s">
        <v>15</v>
      </c>
      <c r="D4596">
        <v>6</v>
      </c>
      <c r="E4596">
        <v>100</v>
      </c>
      <c r="F4596" t="s">
        <v>1</v>
      </c>
      <c r="G4596" s="6">
        <v>45946</v>
      </c>
      <c r="H4596">
        <v>51</v>
      </c>
      <c r="I4596">
        <f>ROUND(CompilDonnées[[#This Row],[CultureDuration_days]]/7,0)</f>
        <v>7</v>
      </c>
      <c r="J4596">
        <v>4037</v>
      </c>
      <c r="K4596" t="str">
        <f>_xlfn.CONCAT(WEEKNUM(CompilDonnées[[#This Row],[PlantationDate]]), " ", YEAR(CompilDonnées[[#This Row],[PlantationDate]]))</f>
        <v>35 2025</v>
      </c>
      <c r="L4596" t="str">
        <f>CONCATENATE(MONTH(CompilDonnées[[#This Row],[PlantationDate]])," ", YEAR(CompilDonnées[[#This Row],[PlantationDate]]))</f>
        <v>8 2025</v>
      </c>
      <c r="M4596" t="str">
        <f>CONCATENATE(MONTH(CompilDonnées[[#This Row],[HarvestingDate]])," ", YEAR(CompilDonnées[[#This Row],[HarvestingDate]]))</f>
        <v>10 2025</v>
      </c>
      <c r="N4596">
        <f>_xlfn.NUMBERVALUE(CompilDonnées[[#This Row],[FarmID]]&amp;CompilDonnées[[#This Row],[ModuleNumber]]&amp;CompilDonnées[[#This Row],[PlantationDate]])</f>
        <v>112645895</v>
      </c>
      <c r="O4596" t="str">
        <f>CompilDonnées[[#This Row],[FarmID]]&amp;CompilDonnées[[#This Row],[ModuleNumber]]</f>
        <v>1126</v>
      </c>
      <c r="P4596" t="str">
        <f>CompilDonnées[[#This Row],[Ref_Module]]&amp;CompilDonnées[[#This Row],[HarvestingDate]]</f>
        <v>112645946</v>
      </c>
    </row>
    <row r="4597" spans="1:16">
      <c r="A4597" s="5">
        <v>45895</v>
      </c>
      <c r="B4597">
        <v>111</v>
      </c>
      <c r="C4597" t="s">
        <v>41</v>
      </c>
      <c r="D4597">
        <v>3</v>
      </c>
      <c r="E4597">
        <v>100</v>
      </c>
      <c r="F4597" t="s">
        <v>1</v>
      </c>
      <c r="G4597" s="6">
        <v>45946</v>
      </c>
      <c r="H4597">
        <v>51</v>
      </c>
      <c r="I4597">
        <f>ROUND(CompilDonnées[[#This Row],[CultureDuration_days]]/7,0)</f>
        <v>7</v>
      </c>
      <c r="J4597">
        <v>2911</v>
      </c>
      <c r="K4597" t="str">
        <f>_xlfn.CONCAT(WEEKNUM(CompilDonnées[[#This Row],[PlantationDate]]), " ", YEAR(CompilDonnées[[#This Row],[PlantationDate]]))</f>
        <v>35 2025</v>
      </c>
      <c r="L4597" t="str">
        <f>CONCATENATE(MONTH(CompilDonnées[[#This Row],[PlantationDate]])," ", YEAR(CompilDonnées[[#This Row],[PlantationDate]]))</f>
        <v>8 2025</v>
      </c>
      <c r="M4597" t="str">
        <f>CONCATENATE(MONTH(CompilDonnées[[#This Row],[HarvestingDate]])," ", YEAR(CompilDonnées[[#This Row],[HarvestingDate]]))</f>
        <v>10 2025</v>
      </c>
      <c r="N4597">
        <f>_xlfn.NUMBERVALUE(CompilDonnées[[#This Row],[FarmID]]&amp;CompilDonnées[[#This Row],[ModuleNumber]]&amp;CompilDonnées[[#This Row],[PlantationDate]])</f>
        <v>111345895</v>
      </c>
      <c r="O4597" t="str">
        <f>CompilDonnées[[#This Row],[FarmID]]&amp;CompilDonnées[[#This Row],[ModuleNumber]]</f>
        <v>1113</v>
      </c>
      <c r="P4597" t="str">
        <f>CompilDonnées[[#This Row],[Ref_Module]]&amp;CompilDonnées[[#This Row],[HarvestingDate]]</f>
        <v>111345946</v>
      </c>
    </row>
    <row r="4598" spans="1:16">
      <c r="A4598" s="5">
        <v>45895</v>
      </c>
      <c r="B4598">
        <v>116</v>
      </c>
      <c r="C4598" t="s">
        <v>76</v>
      </c>
      <c r="D4598">
        <v>4</v>
      </c>
      <c r="E4598">
        <v>100</v>
      </c>
      <c r="F4598" t="s">
        <v>1</v>
      </c>
      <c r="G4598" s="6">
        <v>45947</v>
      </c>
      <c r="H4598">
        <v>52</v>
      </c>
      <c r="I4598">
        <f>ROUND(CompilDonnées[[#This Row],[CultureDuration_days]]/7,0)</f>
        <v>7</v>
      </c>
      <c r="J4598">
        <v>2400</v>
      </c>
      <c r="K4598" t="str">
        <f>_xlfn.CONCAT(WEEKNUM(CompilDonnées[[#This Row],[PlantationDate]]), " ", YEAR(CompilDonnées[[#This Row],[PlantationDate]]))</f>
        <v>35 2025</v>
      </c>
      <c r="L4598" t="str">
        <f>CONCATENATE(MONTH(CompilDonnées[[#This Row],[PlantationDate]])," ", YEAR(CompilDonnées[[#This Row],[PlantationDate]]))</f>
        <v>8 2025</v>
      </c>
      <c r="M4598" t="str">
        <f>CONCATENATE(MONTH(CompilDonnées[[#This Row],[HarvestingDate]])," ", YEAR(CompilDonnées[[#This Row],[HarvestingDate]]))</f>
        <v>10 2025</v>
      </c>
      <c r="N4598">
        <f>_xlfn.NUMBERVALUE(CompilDonnées[[#This Row],[FarmID]]&amp;CompilDonnées[[#This Row],[ModuleNumber]]&amp;CompilDonnées[[#This Row],[PlantationDate]])</f>
        <v>116445895</v>
      </c>
      <c r="O4598" t="str">
        <f>CompilDonnées[[#This Row],[FarmID]]&amp;CompilDonnées[[#This Row],[ModuleNumber]]</f>
        <v>1164</v>
      </c>
      <c r="P4598" t="str">
        <f>CompilDonnées[[#This Row],[Ref_Module]]&amp;CompilDonnées[[#This Row],[HarvestingDate]]</f>
        <v>116445947</v>
      </c>
    </row>
    <row r="4599" spans="1:16">
      <c r="A4599" s="5">
        <v>45895</v>
      </c>
      <c r="B4599">
        <v>115</v>
      </c>
      <c r="C4599" t="s">
        <v>121</v>
      </c>
      <c r="D4599">
        <v>1</v>
      </c>
      <c r="E4599">
        <v>100</v>
      </c>
      <c r="F4599" t="s">
        <v>1</v>
      </c>
      <c r="G4599" s="6">
        <v>45947</v>
      </c>
      <c r="H4599">
        <v>52</v>
      </c>
      <c r="I4599">
        <f>ROUND(CompilDonnées[[#This Row],[CultureDuration_days]]/7,0)</f>
        <v>7</v>
      </c>
      <c r="J4599">
        <v>1495</v>
      </c>
      <c r="K4599" t="str">
        <f>_xlfn.CONCAT(WEEKNUM(CompilDonnées[[#This Row],[PlantationDate]]), " ", YEAR(CompilDonnées[[#This Row],[PlantationDate]]))</f>
        <v>35 2025</v>
      </c>
      <c r="L4599" t="str">
        <f>CONCATENATE(MONTH(CompilDonnées[[#This Row],[PlantationDate]])," ", YEAR(CompilDonnées[[#This Row],[PlantationDate]]))</f>
        <v>8 2025</v>
      </c>
      <c r="M4599" t="str">
        <f>CONCATENATE(MONTH(CompilDonnées[[#This Row],[HarvestingDate]])," ", YEAR(CompilDonnées[[#This Row],[HarvestingDate]]))</f>
        <v>10 2025</v>
      </c>
      <c r="N4599">
        <f>_xlfn.NUMBERVALUE(CompilDonnées[[#This Row],[FarmID]]&amp;CompilDonnées[[#This Row],[ModuleNumber]]&amp;CompilDonnées[[#This Row],[PlantationDate]])</f>
        <v>115145895</v>
      </c>
      <c r="O4599" t="str">
        <f>CompilDonnées[[#This Row],[FarmID]]&amp;CompilDonnées[[#This Row],[ModuleNumber]]</f>
        <v>1151</v>
      </c>
      <c r="P4599" t="str">
        <f>CompilDonnées[[#This Row],[Ref_Module]]&amp;CompilDonnées[[#This Row],[HarvestingDate]]</f>
        <v>115145947</v>
      </c>
    </row>
    <row r="4600" spans="1:16">
      <c r="A4600" s="5">
        <v>45895</v>
      </c>
      <c r="B4600">
        <v>117</v>
      </c>
      <c r="C4600" t="s">
        <v>11</v>
      </c>
      <c r="D4600">
        <v>2</v>
      </c>
      <c r="E4600">
        <v>100</v>
      </c>
      <c r="F4600" t="s">
        <v>1</v>
      </c>
      <c r="G4600" s="6">
        <v>45946</v>
      </c>
      <c r="H4600">
        <v>51</v>
      </c>
      <c r="I4600">
        <f>ROUND(CompilDonnées[[#This Row],[CultureDuration_days]]/7,0)</f>
        <v>7</v>
      </c>
      <c r="J4600">
        <v>2821</v>
      </c>
      <c r="K4600" t="str">
        <f>_xlfn.CONCAT(WEEKNUM(CompilDonnées[[#This Row],[PlantationDate]]), " ", YEAR(CompilDonnées[[#This Row],[PlantationDate]]))</f>
        <v>35 2025</v>
      </c>
      <c r="L4600" t="str">
        <f>CONCATENATE(MONTH(CompilDonnées[[#This Row],[PlantationDate]])," ", YEAR(CompilDonnées[[#This Row],[PlantationDate]]))</f>
        <v>8 2025</v>
      </c>
      <c r="M4600" t="str">
        <f>CONCATENATE(MONTH(CompilDonnées[[#This Row],[HarvestingDate]])," ", YEAR(CompilDonnées[[#This Row],[HarvestingDate]]))</f>
        <v>10 2025</v>
      </c>
      <c r="N4600">
        <f>_xlfn.NUMBERVALUE(CompilDonnées[[#This Row],[FarmID]]&amp;CompilDonnées[[#This Row],[ModuleNumber]]&amp;CompilDonnées[[#This Row],[PlantationDate]])</f>
        <v>117245895</v>
      </c>
      <c r="O4600" t="str">
        <f>CompilDonnées[[#This Row],[FarmID]]&amp;CompilDonnées[[#This Row],[ModuleNumber]]</f>
        <v>1172</v>
      </c>
      <c r="P4600" t="str">
        <f>CompilDonnées[[#This Row],[Ref_Module]]&amp;CompilDonnées[[#This Row],[HarvestingDate]]</f>
        <v>117245946</v>
      </c>
    </row>
    <row r="4601" spans="1:16">
      <c r="A4601" s="5">
        <v>45895</v>
      </c>
      <c r="B4601">
        <v>118</v>
      </c>
      <c r="C4601" t="s">
        <v>51</v>
      </c>
      <c r="D4601">
        <v>6</v>
      </c>
      <c r="E4601">
        <v>100</v>
      </c>
      <c r="F4601" t="s">
        <v>1</v>
      </c>
      <c r="G4601" s="6">
        <v>45946</v>
      </c>
      <c r="H4601">
        <v>51</v>
      </c>
      <c r="I4601">
        <f>ROUND(CompilDonnées[[#This Row],[CultureDuration_days]]/7,0)</f>
        <v>7</v>
      </c>
      <c r="J4601">
        <v>3985</v>
      </c>
      <c r="K4601" t="str">
        <f>_xlfn.CONCAT(WEEKNUM(CompilDonnées[[#This Row],[PlantationDate]]), " ", YEAR(CompilDonnées[[#This Row],[PlantationDate]]))</f>
        <v>35 2025</v>
      </c>
      <c r="L4601" t="str">
        <f>CONCATENATE(MONTH(CompilDonnées[[#This Row],[PlantationDate]])," ", YEAR(CompilDonnées[[#This Row],[PlantationDate]]))</f>
        <v>8 2025</v>
      </c>
      <c r="M4601" t="str">
        <f>CONCATENATE(MONTH(CompilDonnées[[#This Row],[HarvestingDate]])," ", YEAR(CompilDonnées[[#This Row],[HarvestingDate]]))</f>
        <v>10 2025</v>
      </c>
      <c r="N4601">
        <f>_xlfn.NUMBERVALUE(CompilDonnées[[#This Row],[FarmID]]&amp;CompilDonnées[[#This Row],[ModuleNumber]]&amp;CompilDonnées[[#This Row],[PlantationDate]])</f>
        <v>118645895</v>
      </c>
      <c r="O4601" t="str">
        <f>CompilDonnées[[#This Row],[FarmID]]&amp;CompilDonnées[[#This Row],[ModuleNumber]]</f>
        <v>1186</v>
      </c>
      <c r="P4601" t="str">
        <f>CompilDonnées[[#This Row],[Ref_Module]]&amp;CompilDonnées[[#This Row],[HarvestingDate]]</f>
        <v>118645946</v>
      </c>
    </row>
    <row r="4602" spans="1:16">
      <c r="A4602" s="5">
        <v>45895</v>
      </c>
      <c r="B4602">
        <v>119</v>
      </c>
      <c r="C4602" t="s">
        <v>59</v>
      </c>
      <c r="D4602">
        <v>3</v>
      </c>
      <c r="E4602">
        <v>100</v>
      </c>
      <c r="F4602" t="s">
        <v>1</v>
      </c>
      <c r="G4602" s="6">
        <v>45947</v>
      </c>
      <c r="H4602">
        <v>52</v>
      </c>
      <c r="I4602">
        <f>ROUND(CompilDonnées[[#This Row],[CultureDuration_days]]/7,0)</f>
        <v>7</v>
      </c>
      <c r="J4602">
        <v>4695</v>
      </c>
      <c r="K4602" t="str">
        <f>_xlfn.CONCAT(WEEKNUM(CompilDonnées[[#This Row],[PlantationDate]]), " ", YEAR(CompilDonnées[[#This Row],[PlantationDate]]))</f>
        <v>35 2025</v>
      </c>
      <c r="L4602" t="str">
        <f>CONCATENATE(MONTH(CompilDonnées[[#This Row],[PlantationDate]])," ", YEAR(CompilDonnées[[#This Row],[PlantationDate]]))</f>
        <v>8 2025</v>
      </c>
      <c r="M4602" t="str">
        <f>CONCATENATE(MONTH(CompilDonnées[[#This Row],[HarvestingDate]])," ", YEAR(CompilDonnées[[#This Row],[HarvestingDate]]))</f>
        <v>10 2025</v>
      </c>
      <c r="N4602">
        <f>_xlfn.NUMBERVALUE(CompilDonnées[[#This Row],[FarmID]]&amp;CompilDonnées[[#This Row],[ModuleNumber]]&amp;CompilDonnées[[#This Row],[PlantationDate]])</f>
        <v>119345895</v>
      </c>
      <c r="O4602" t="str">
        <f>CompilDonnées[[#This Row],[FarmID]]&amp;CompilDonnées[[#This Row],[ModuleNumber]]</f>
        <v>1193</v>
      </c>
      <c r="P4602" t="str">
        <f>CompilDonnées[[#This Row],[Ref_Module]]&amp;CompilDonnées[[#This Row],[HarvestingDate]]</f>
        <v>119345947</v>
      </c>
    </row>
    <row r="4603" spans="1:16">
      <c r="A4603" s="5">
        <v>45895</v>
      </c>
      <c r="B4603">
        <v>126</v>
      </c>
      <c r="C4603" t="s">
        <v>52</v>
      </c>
      <c r="D4603">
        <v>6</v>
      </c>
      <c r="E4603">
        <v>100</v>
      </c>
      <c r="F4603" t="s">
        <v>1</v>
      </c>
      <c r="G4603" s="6">
        <v>45946</v>
      </c>
      <c r="H4603">
        <v>51</v>
      </c>
      <c r="I4603">
        <f>ROUND(CompilDonnées[[#This Row],[CultureDuration_days]]/7,0)</f>
        <v>7</v>
      </c>
      <c r="J4603">
        <v>5340</v>
      </c>
      <c r="K4603" t="str">
        <f>_xlfn.CONCAT(WEEKNUM(CompilDonnées[[#This Row],[PlantationDate]]), " ", YEAR(CompilDonnées[[#This Row],[PlantationDate]]))</f>
        <v>35 2025</v>
      </c>
      <c r="L4603" t="str">
        <f>CONCATENATE(MONTH(CompilDonnées[[#This Row],[PlantationDate]])," ", YEAR(CompilDonnées[[#This Row],[PlantationDate]]))</f>
        <v>8 2025</v>
      </c>
      <c r="M4603" t="str">
        <f>CONCATENATE(MONTH(CompilDonnées[[#This Row],[HarvestingDate]])," ", YEAR(CompilDonnées[[#This Row],[HarvestingDate]]))</f>
        <v>10 2025</v>
      </c>
      <c r="N4603">
        <f>_xlfn.NUMBERVALUE(CompilDonnées[[#This Row],[FarmID]]&amp;CompilDonnées[[#This Row],[ModuleNumber]]&amp;CompilDonnées[[#This Row],[PlantationDate]])</f>
        <v>126645895</v>
      </c>
      <c r="O4603" t="str">
        <f>CompilDonnées[[#This Row],[FarmID]]&amp;CompilDonnées[[#This Row],[ModuleNumber]]</f>
        <v>1266</v>
      </c>
      <c r="P4603" t="str">
        <f>CompilDonnées[[#This Row],[Ref_Module]]&amp;CompilDonnées[[#This Row],[HarvestingDate]]</f>
        <v>126645946</v>
      </c>
    </row>
    <row r="4604" spans="1:16">
      <c r="A4604" s="5">
        <v>45895</v>
      </c>
      <c r="B4604">
        <v>124</v>
      </c>
      <c r="C4604" t="s">
        <v>115</v>
      </c>
      <c r="D4604">
        <v>6</v>
      </c>
      <c r="E4604">
        <v>100</v>
      </c>
      <c r="F4604" t="s">
        <v>1</v>
      </c>
      <c r="G4604" s="6">
        <v>45937</v>
      </c>
      <c r="H4604">
        <v>42</v>
      </c>
      <c r="I4604">
        <f>ROUND(CompilDonnées[[#This Row],[CultureDuration_days]]/7,0)</f>
        <v>6</v>
      </c>
      <c r="J4604">
        <v>4882</v>
      </c>
      <c r="K4604" t="str">
        <f>_xlfn.CONCAT(WEEKNUM(CompilDonnées[[#This Row],[PlantationDate]]), " ", YEAR(CompilDonnées[[#This Row],[PlantationDate]]))</f>
        <v>35 2025</v>
      </c>
      <c r="L4604" t="str">
        <f>CONCATENATE(MONTH(CompilDonnées[[#This Row],[PlantationDate]])," ", YEAR(CompilDonnées[[#This Row],[PlantationDate]]))</f>
        <v>8 2025</v>
      </c>
      <c r="M4604" t="str">
        <f>CONCATENATE(MONTH(CompilDonnées[[#This Row],[HarvestingDate]])," ", YEAR(CompilDonnées[[#This Row],[HarvestingDate]]))</f>
        <v>10 2025</v>
      </c>
      <c r="N4604">
        <f>_xlfn.NUMBERVALUE(CompilDonnées[[#This Row],[FarmID]]&amp;CompilDonnées[[#This Row],[ModuleNumber]]&amp;CompilDonnées[[#This Row],[PlantationDate]])</f>
        <v>124645895</v>
      </c>
      <c r="O4604" t="str">
        <f>CompilDonnées[[#This Row],[FarmID]]&amp;CompilDonnées[[#This Row],[ModuleNumber]]</f>
        <v>1246</v>
      </c>
      <c r="P4604" t="str">
        <f>CompilDonnées[[#This Row],[Ref_Module]]&amp;CompilDonnées[[#This Row],[HarvestingDate]]</f>
        <v>124645937</v>
      </c>
    </row>
    <row r="4605" spans="1:16">
      <c r="A4605" s="5">
        <v>45895</v>
      </c>
      <c r="B4605">
        <v>123</v>
      </c>
      <c r="C4605" t="s">
        <v>13</v>
      </c>
      <c r="D4605">
        <v>6</v>
      </c>
      <c r="E4605">
        <v>100</v>
      </c>
      <c r="F4605" t="s">
        <v>1</v>
      </c>
      <c r="G4605" s="6">
        <v>45937</v>
      </c>
      <c r="H4605">
        <v>42</v>
      </c>
      <c r="I4605">
        <f>ROUND(CompilDonnées[[#This Row],[CultureDuration_days]]/7,0)</f>
        <v>6</v>
      </c>
      <c r="J4605">
        <v>4766</v>
      </c>
      <c r="K4605" t="str">
        <f>_xlfn.CONCAT(WEEKNUM(CompilDonnées[[#This Row],[PlantationDate]]), " ", YEAR(CompilDonnées[[#This Row],[PlantationDate]]))</f>
        <v>35 2025</v>
      </c>
      <c r="L4605" t="str">
        <f>CONCATENATE(MONTH(CompilDonnées[[#This Row],[PlantationDate]])," ", YEAR(CompilDonnées[[#This Row],[PlantationDate]]))</f>
        <v>8 2025</v>
      </c>
      <c r="M4605" t="str">
        <f>CONCATENATE(MONTH(CompilDonnées[[#This Row],[HarvestingDate]])," ", YEAR(CompilDonnées[[#This Row],[HarvestingDate]]))</f>
        <v>10 2025</v>
      </c>
      <c r="N4605">
        <f>_xlfn.NUMBERVALUE(CompilDonnées[[#This Row],[FarmID]]&amp;CompilDonnées[[#This Row],[ModuleNumber]]&amp;CompilDonnées[[#This Row],[PlantationDate]])</f>
        <v>123645895</v>
      </c>
      <c r="O4605" t="str">
        <f>CompilDonnées[[#This Row],[FarmID]]&amp;CompilDonnées[[#This Row],[ModuleNumber]]</f>
        <v>1236</v>
      </c>
      <c r="P4605" t="str">
        <f>CompilDonnées[[#This Row],[Ref_Module]]&amp;CompilDonnées[[#This Row],[HarvestingDate]]</f>
        <v>123645937</v>
      </c>
    </row>
    <row r="4606" spans="1:16">
      <c r="A4606" s="5">
        <v>45895</v>
      </c>
      <c r="B4606">
        <v>133</v>
      </c>
      <c r="C4606" t="s">
        <v>99</v>
      </c>
      <c r="D4606">
        <v>2</v>
      </c>
      <c r="E4606">
        <v>100</v>
      </c>
      <c r="F4606" t="s">
        <v>1</v>
      </c>
      <c r="G4606" s="6">
        <v>45947</v>
      </c>
      <c r="H4606">
        <v>52</v>
      </c>
      <c r="I4606">
        <f>ROUND(CompilDonnées[[#This Row],[CultureDuration_days]]/7,0)</f>
        <v>7</v>
      </c>
      <c r="J4606">
        <v>4403</v>
      </c>
      <c r="K4606" t="str">
        <f>_xlfn.CONCAT(WEEKNUM(CompilDonnées[[#This Row],[PlantationDate]]), " ", YEAR(CompilDonnées[[#This Row],[PlantationDate]]))</f>
        <v>35 2025</v>
      </c>
      <c r="L4606" t="str">
        <f>CONCATENATE(MONTH(CompilDonnées[[#This Row],[PlantationDate]])," ", YEAR(CompilDonnées[[#This Row],[PlantationDate]]))</f>
        <v>8 2025</v>
      </c>
      <c r="M4606" t="str">
        <f>CONCATENATE(MONTH(CompilDonnées[[#This Row],[HarvestingDate]])," ", YEAR(CompilDonnées[[#This Row],[HarvestingDate]]))</f>
        <v>10 2025</v>
      </c>
      <c r="N4606">
        <f>_xlfn.NUMBERVALUE(CompilDonnées[[#This Row],[FarmID]]&amp;CompilDonnées[[#This Row],[ModuleNumber]]&amp;CompilDonnées[[#This Row],[PlantationDate]])</f>
        <v>133245895</v>
      </c>
      <c r="O4606" t="str">
        <f>CompilDonnées[[#This Row],[FarmID]]&amp;CompilDonnées[[#This Row],[ModuleNumber]]</f>
        <v>1332</v>
      </c>
      <c r="P4606" t="str">
        <f>CompilDonnées[[#This Row],[Ref_Module]]&amp;CompilDonnées[[#This Row],[HarvestingDate]]</f>
        <v>133245947</v>
      </c>
    </row>
    <row r="4607" spans="1:16">
      <c r="A4607" s="5">
        <v>45895</v>
      </c>
      <c r="B4607">
        <v>133</v>
      </c>
      <c r="C4607" t="s">
        <v>99</v>
      </c>
      <c r="D4607">
        <v>5</v>
      </c>
      <c r="E4607">
        <v>100</v>
      </c>
      <c r="F4607" t="s">
        <v>1</v>
      </c>
      <c r="G4607" s="6">
        <v>45947</v>
      </c>
      <c r="H4607">
        <v>52</v>
      </c>
      <c r="I4607">
        <f>ROUND(CompilDonnées[[#This Row],[CultureDuration_days]]/7,0)</f>
        <v>7</v>
      </c>
      <c r="J4607">
        <v>4510</v>
      </c>
      <c r="K4607" t="str">
        <f>_xlfn.CONCAT(WEEKNUM(CompilDonnées[[#This Row],[PlantationDate]]), " ", YEAR(CompilDonnées[[#This Row],[PlantationDate]]))</f>
        <v>35 2025</v>
      </c>
      <c r="L4607" t="str">
        <f>CONCATENATE(MONTH(CompilDonnées[[#This Row],[PlantationDate]])," ", YEAR(CompilDonnées[[#This Row],[PlantationDate]]))</f>
        <v>8 2025</v>
      </c>
      <c r="M4607" t="str">
        <f>CONCATENATE(MONTH(CompilDonnées[[#This Row],[HarvestingDate]])," ", YEAR(CompilDonnées[[#This Row],[HarvestingDate]]))</f>
        <v>10 2025</v>
      </c>
      <c r="N4607">
        <f>_xlfn.NUMBERVALUE(CompilDonnées[[#This Row],[FarmID]]&amp;CompilDonnées[[#This Row],[ModuleNumber]]&amp;CompilDonnées[[#This Row],[PlantationDate]])</f>
        <v>133545895</v>
      </c>
      <c r="O4607" t="str">
        <f>CompilDonnées[[#This Row],[FarmID]]&amp;CompilDonnées[[#This Row],[ModuleNumber]]</f>
        <v>1335</v>
      </c>
      <c r="P4607" t="str">
        <f>CompilDonnées[[#This Row],[Ref_Module]]&amp;CompilDonnées[[#This Row],[HarvestingDate]]</f>
        <v>133545947</v>
      </c>
    </row>
    <row r="4608" spans="1:16">
      <c r="A4608" s="5">
        <v>45895</v>
      </c>
      <c r="B4608">
        <v>139</v>
      </c>
      <c r="C4608" t="s">
        <v>103</v>
      </c>
      <c r="D4608">
        <v>4</v>
      </c>
      <c r="E4608">
        <v>100</v>
      </c>
      <c r="F4608" t="s">
        <v>1</v>
      </c>
      <c r="G4608" s="6">
        <v>45947</v>
      </c>
      <c r="H4608">
        <v>52</v>
      </c>
      <c r="I4608">
        <f>ROUND(CompilDonnées[[#This Row],[CultureDuration_days]]/7,0)</f>
        <v>7</v>
      </c>
      <c r="J4608">
        <v>3845</v>
      </c>
      <c r="K4608" t="str">
        <f>_xlfn.CONCAT(WEEKNUM(CompilDonnées[[#This Row],[PlantationDate]]), " ", YEAR(CompilDonnées[[#This Row],[PlantationDate]]))</f>
        <v>35 2025</v>
      </c>
      <c r="L4608" t="str">
        <f>CONCATENATE(MONTH(CompilDonnées[[#This Row],[PlantationDate]])," ", YEAR(CompilDonnées[[#This Row],[PlantationDate]]))</f>
        <v>8 2025</v>
      </c>
      <c r="M4608" t="str">
        <f>CONCATENATE(MONTH(CompilDonnées[[#This Row],[HarvestingDate]])," ", YEAR(CompilDonnées[[#This Row],[HarvestingDate]]))</f>
        <v>10 2025</v>
      </c>
      <c r="N4608">
        <f>_xlfn.NUMBERVALUE(CompilDonnées[[#This Row],[FarmID]]&amp;CompilDonnées[[#This Row],[ModuleNumber]]&amp;CompilDonnées[[#This Row],[PlantationDate]])</f>
        <v>139445895</v>
      </c>
      <c r="O4608" t="str">
        <f>CompilDonnées[[#This Row],[FarmID]]&amp;CompilDonnées[[#This Row],[ModuleNumber]]</f>
        <v>1394</v>
      </c>
      <c r="P4608" t="str">
        <f>CompilDonnées[[#This Row],[Ref_Module]]&amp;CompilDonnées[[#This Row],[HarvestingDate]]</f>
        <v>139445947</v>
      </c>
    </row>
    <row r="4609" spans="1:16">
      <c r="A4609" s="5">
        <v>45895</v>
      </c>
      <c r="B4609">
        <v>140</v>
      </c>
      <c r="C4609" t="s">
        <v>96</v>
      </c>
      <c r="D4609">
        <v>2</v>
      </c>
      <c r="E4609">
        <v>100</v>
      </c>
      <c r="F4609" t="s">
        <v>1</v>
      </c>
      <c r="G4609" s="6">
        <v>45937</v>
      </c>
      <c r="H4609">
        <v>42</v>
      </c>
      <c r="I4609">
        <f>ROUND(CompilDonnées[[#This Row],[CultureDuration_days]]/7,0)</f>
        <v>6</v>
      </c>
      <c r="J4609">
        <v>2928</v>
      </c>
      <c r="K4609" t="str">
        <f>_xlfn.CONCAT(WEEKNUM(CompilDonnées[[#This Row],[PlantationDate]]), " ", YEAR(CompilDonnées[[#This Row],[PlantationDate]]))</f>
        <v>35 2025</v>
      </c>
      <c r="L4609" t="str">
        <f>CONCATENATE(MONTH(CompilDonnées[[#This Row],[PlantationDate]])," ", YEAR(CompilDonnées[[#This Row],[PlantationDate]]))</f>
        <v>8 2025</v>
      </c>
      <c r="M4609" t="str">
        <f>CONCATENATE(MONTH(CompilDonnées[[#This Row],[HarvestingDate]])," ", YEAR(CompilDonnées[[#This Row],[HarvestingDate]]))</f>
        <v>10 2025</v>
      </c>
      <c r="N4609">
        <f>_xlfn.NUMBERVALUE(CompilDonnées[[#This Row],[FarmID]]&amp;CompilDonnées[[#This Row],[ModuleNumber]]&amp;CompilDonnées[[#This Row],[PlantationDate]])</f>
        <v>140245895</v>
      </c>
      <c r="O4609" t="str">
        <f>CompilDonnées[[#This Row],[FarmID]]&amp;CompilDonnées[[#This Row],[ModuleNumber]]</f>
        <v>1402</v>
      </c>
      <c r="P4609" t="str">
        <f>CompilDonnées[[#This Row],[Ref_Module]]&amp;CompilDonnées[[#This Row],[HarvestingDate]]</f>
        <v>140245937</v>
      </c>
    </row>
    <row r="4610" spans="1:16">
      <c r="A4610" s="5">
        <v>45895</v>
      </c>
      <c r="B4610">
        <v>132</v>
      </c>
      <c r="C4610" t="s">
        <v>120</v>
      </c>
      <c r="D4610">
        <v>1</v>
      </c>
      <c r="E4610">
        <v>100</v>
      </c>
      <c r="F4610" t="s">
        <v>1</v>
      </c>
      <c r="G4610" s="6">
        <v>45950</v>
      </c>
      <c r="H4610">
        <v>55</v>
      </c>
      <c r="I4610">
        <f>ROUND(CompilDonnées[[#This Row],[CultureDuration_days]]/7,0)</f>
        <v>8</v>
      </c>
      <c r="J4610">
        <v>3074</v>
      </c>
      <c r="K4610" t="str">
        <f>_xlfn.CONCAT(WEEKNUM(CompilDonnées[[#This Row],[PlantationDate]]), " ", YEAR(CompilDonnées[[#This Row],[PlantationDate]]))</f>
        <v>35 2025</v>
      </c>
      <c r="L4610" t="str">
        <f>CONCATENATE(MONTH(CompilDonnées[[#This Row],[PlantationDate]])," ", YEAR(CompilDonnées[[#This Row],[PlantationDate]]))</f>
        <v>8 2025</v>
      </c>
      <c r="M4610" t="str">
        <f>CONCATENATE(MONTH(CompilDonnées[[#This Row],[HarvestingDate]])," ", YEAR(CompilDonnées[[#This Row],[HarvestingDate]]))</f>
        <v>10 2025</v>
      </c>
      <c r="N4610">
        <f>_xlfn.NUMBERVALUE(CompilDonnées[[#This Row],[FarmID]]&amp;CompilDonnées[[#This Row],[ModuleNumber]]&amp;CompilDonnées[[#This Row],[PlantationDate]])</f>
        <v>132145895</v>
      </c>
      <c r="O4610" t="str">
        <f>CompilDonnées[[#This Row],[FarmID]]&amp;CompilDonnées[[#This Row],[ModuleNumber]]</f>
        <v>1321</v>
      </c>
      <c r="P4610" t="str">
        <f>CompilDonnées[[#This Row],[Ref_Module]]&amp;CompilDonnées[[#This Row],[HarvestingDate]]</f>
        <v>132145950</v>
      </c>
    </row>
    <row r="4611" spans="1:16">
      <c r="A4611" s="5">
        <v>45895</v>
      </c>
      <c r="B4611">
        <v>110</v>
      </c>
      <c r="C4611" t="s">
        <v>14</v>
      </c>
      <c r="D4611">
        <v>5</v>
      </c>
      <c r="E4611">
        <v>99</v>
      </c>
      <c r="F4611" t="s">
        <v>1</v>
      </c>
      <c r="G4611" s="6">
        <v>45946</v>
      </c>
      <c r="H4611">
        <v>51</v>
      </c>
      <c r="I4611">
        <f>ROUND(CompilDonnées[[#This Row],[CultureDuration_days]]/7,0)</f>
        <v>7</v>
      </c>
      <c r="J4611">
        <v>3309</v>
      </c>
      <c r="K4611" t="str">
        <f>_xlfn.CONCAT(WEEKNUM(CompilDonnées[[#This Row],[PlantationDate]]), " ", YEAR(CompilDonnées[[#This Row],[PlantationDate]]))</f>
        <v>35 2025</v>
      </c>
      <c r="L4611" t="str">
        <f>CONCATENATE(MONTH(CompilDonnées[[#This Row],[PlantationDate]])," ", YEAR(CompilDonnées[[#This Row],[PlantationDate]]))</f>
        <v>8 2025</v>
      </c>
      <c r="M4611" t="str">
        <f>CONCATENATE(MONTH(CompilDonnées[[#This Row],[HarvestingDate]])," ", YEAR(CompilDonnées[[#This Row],[HarvestingDate]]))</f>
        <v>10 2025</v>
      </c>
      <c r="N4611">
        <f>_xlfn.NUMBERVALUE(CompilDonnées[[#This Row],[FarmID]]&amp;CompilDonnées[[#This Row],[ModuleNumber]]&amp;CompilDonnées[[#This Row],[PlantationDate]])</f>
        <v>110545895</v>
      </c>
      <c r="O4611" t="str">
        <f>CompilDonnées[[#This Row],[FarmID]]&amp;CompilDonnées[[#This Row],[ModuleNumber]]</f>
        <v>1105</v>
      </c>
      <c r="P4611" t="str">
        <f>CompilDonnées[[#This Row],[Ref_Module]]&amp;CompilDonnées[[#This Row],[HarvestingDate]]</f>
        <v>110545946</v>
      </c>
    </row>
    <row r="4612" spans="1:16">
      <c r="A4612" s="5">
        <v>45895</v>
      </c>
      <c r="B4612">
        <v>130</v>
      </c>
      <c r="C4612" t="s">
        <v>3</v>
      </c>
      <c r="D4612">
        <v>3</v>
      </c>
      <c r="E4612">
        <v>60</v>
      </c>
      <c r="F4612" t="s">
        <v>105</v>
      </c>
      <c r="G4612" s="6">
        <v>45945</v>
      </c>
      <c r="H4612">
        <v>50</v>
      </c>
      <c r="I4612">
        <f>ROUND(CompilDonnées[[#This Row],[CultureDuration_days]]/7,0)</f>
        <v>7</v>
      </c>
      <c r="J4612">
        <v>1040</v>
      </c>
      <c r="K4612" t="str">
        <f>_xlfn.CONCAT(WEEKNUM(CompilDonnées[[#This Row],[PlantationDate]]), " ", YEAR(CompilDonnées[[#This Row],[PlantationDate]]))</f>
        <v>35 2025</v>
      </c>
      <c r="L4612" t="str">
        <f>CONCATENATE(MONTH(CompilDonnées[[#This Row],[PlantationDate]])," ", YEAR(CompilDonnées[[#This Row],[PlantationDate]]))</f>
        <v>8 2025</v>
      </c>
      <c r="M4612" t="str">
        <f>CONCATENATE(MONTH(CompilDonnées[[#This Row],[HarvestingDate]])," ", YEAR(CompilDonnées[[#This Row],[HarvestingDate]]))</f>
        <v>10 2025</v>
      </c>
      <c r="N4612">
        <f>_xlfn.NUMBERVALUE(CompilDonnées[[#This Row],[FarmID]]&amp;CompilDonnées[[#This Row],[ModuleNumber]]&amp;CompilDonnées[[#This Row],[PlantationDate]])</f>
        <v>130345895</v>
      </c>
      <c r="O4612" t="str">
        <f>CompilDonnées[[#This Row],[FarmID]]&amp;CompilDonnées[[#This Row],[ModuleNumber]]</f>
        <v>1303</v>
      </c>
      <c r="P4612" t="str">
        <f>CompilDonnées[[#This Row],[Ref_Module]]&amp;CompilDonnées[[#This Row],[HarvestingDate]]</f>
        <v>130345945</v>
      </c>
    </row>
    <row r="4613" spans="1:16">
      <c r="A4613" s="5">
        <v>45895</v>
      </c>
      <c r="B4613">
        <v>130</v>
      </c>
      <c r="C4613" t="s">
        <v>3</v>
      </c>
      <c r="D4613">
        <v>4</v>
      </c>
      <c r="E4613">
        <v>60</v>
      </c>
      <c r="F4613" t="s">
        <v>105</v>
      </c>
      <c r="G4613" s="6">
        <v>45945</v>
      </c>
      <c r="H4613">
        <v>50</v>
      </c>
      <c r="I4613">
        <f>ROUND(CompilDonnées[[#This Row],[CultureDuration_days]]/7,0)</f>
        <v>7</v>
      </c>
      <c r="J4613">
        <v>1023</v>
      </c>
      <c r="K4613" t="str">
        <f>_xlfn.CONCAT(WEEKNUM(CompilDonnées[[#This Row],[PlantationDate]]), " ", YEAR(CompilDonnées[[#This Row],[PlantationDate]]))</f>
        <v>35 2025</v>
      </c>
      <c r="L4613" t="str">
        <f>CONCATENATE(MONTH(CompilDonnées[[#This Row],[PlantationDate]])," ", YEAR(CompilDonnées[[#This Row],[PlantationDate]]))</f>
        <v>8 2025</v>
      </c>
      <c r="M4613" t="str">
        <f>CONCATENATE(MONTH(CompilDonnées[[#This Row],[HarvestingDate]])," ", YEAR(CompilDonnées[[#This Row],[HarvestingDate]]))</f>
        <v>10 2025</v>
      </c>
      <c r="N4613">
        <f>_xlfn.NUMBERVALUE(CompilDonnées[[#This Row],[FarmID]]&amp;CompilDonnées[[#This Row],[ModuleNumber]]&amp;CompilDonnées[[#This Row],[PlantationDate]])</f>
        <v>130445895</v>
      </c>
      <c r="O4613" t="str">
        <f>CompilDonnées[[#This Row],[FarmID]]&amp;CompilDonnées[[#This Row],[ModuleNumber]]</f>
        <v>1304</v>
      </c>
      <c r="P4613" t="str">
        <f>CompilDonnées[[#This Row],[Ref_Module]]&amp;CompilDonnées[[#This Row],[HarvestingDate]]</f>
        <v>130445945</v>
      </c>
    </row>
    <row r="4614" spans="1:16">
      <c r="A4614" s="5">
        <v>45895</v>
      </c>
      <c r="B4614">
        <v>114</v>
      </c>
      <c r="C4614" t="s">
        <v>3</v>
      </c>
      <c r="D4614">
        <v>6</v>
      </c>
      <c r="E4614">
        <v>60</v>
      </c>
      <c r="F4614" t="s">
        <v>105</v>
      </c>
      <c r="G4614" s="6">
        <v>45937</v>
      </c>
      <c r="H4614">
        <v>42</v>
      </c>
      <c r="I4614">
        <f>ROUND(CompilDonnées[[#This Row],[CultureDuration_days]]/7,0)</f>
        <v>6</v>
      </c>
      <c r="J4614">
        <v>50</v>
      </c>
      <c r="K4614" t="str">
        <f>_xlfn.CONCAT(WEEKNUM(CompilDonnées[[#This Row],[PlantationDate]]), " ", YEAR(CompilDonnées[[#This Row],[PlantationDate]]))</f>
        <v>35 2025</v>
      </c>
      <c r="L4614" t="str">
        <f>CONCATENATE(MONTH(CompilDonnées[[#This Row],[PlantationDate]])," ", YEAR(CompilDonnées[[#This Row],[PlantationDate]]))</f>
        <v>8 2025</v>
      </c>
      <c r="M4614" t="str">
        <f>CONCATENATE(MONTH(CompilDonnées[[#This Row],[HarvestingDate]])," ", YEAR(CompilDonnées[[#This Row],[HarvestingDate]]))</f>
        <v>10 2025</v>
      </c>
      <c r="N4614">
        <f>_xlfn.NUMBERVALUE(CompilDonnées[[#This Row],[FarmID]]&amp;CompilDonnées[[#This Row],[ModuleNumber]]&amp;CompilDonnées[[#This Row],[PlantationDate]])</f>
        <v>114645895</v>
      </c>
      <c r="O4614" t="str">
        <f>CompilDonnées[[#This Row],[FarmID]]&amp;CompilDonnées[[#This Row],[ModuleNumber]]</f>
        <v>1146</v>
      </c>
      <c r="P4614" t="str">
        <f>CompilDonnées[[#This Row],[Ref_Module]]&amp;CompilDonnées[[#This Row],[HarvestingDate]]</f>
        <v>114645937</v>
      </c>
    </row>
    <row r="4615" spans="1:16">
      <c r="A4615" s="5">
        <v>45896</v>
      </c>
      <c r="B4615">
        <v>109</v>
      </c>
      <c r="C4615" t="s">
        <v>87</v>
      </c>
      <c r="D4615">
        <v>6</v>
      </c>
      <c r="E4615">
        <v>100</v>
      </c>
      <c r="F4615" t="s">
        <v>1</v>
      </c>
      <c r="G4615" s="6">
        <v>45937</v>
      </c>
      <c r="H4615">
        <v>41</v>
      </c>
      <c r="I4615">
        <f>ROUND(CompilDonnées[[#This Row],[CultureDuration_days]]/7,0)</f>
        <v>6</v>
      </c>
      <c r="J4615">
        <v>3627</v>
      </c>
      <c r="K4615" t="str">
        <f>_xlfn.CONCAT(WEEKNUM(CompilDonnées[[#This Row],[PlantationDate]]), " ", YEAR(CompilDonnées[[#This Row],[PlantationDate]]))</f>
        <v>35 2025</v>
      </c>
      <c r="L4615" t="str">
        <f>CONCATENATE(MONTH(CompilDonnées[[#This Row],[PlantationDate]])," ", YEAR(CompilDonnées[[#This Row],[PlantationDate]]))</f>
        <v>8 2025</v>
      </c>
      <c r="M4615" t="str">
        <f>CONCATENATE(MONTH(CompilDonnées[[#This Row],[HarvestingDate]])," ", YEAR(CompilDonnées[[#This Row],[HarvestingDate]]))</f>
        <v>10 2025</v>
      </c>
      <c r="N4615">
        <f>_xlfn.NUMBERVALUE(CompilDonnées[[#This Row],[FarmID]]&amp;CompilDonnées[[#This Row],[ModuleNumber]]&amp;CompilDonnées[[#This Row],[PlantationDate]])</f>
        <v>109645896</v>
      </c>
      <c r="O4615" t="str">
        <f>CompilDonnées[[#This Row],[FarmID]]&amp;CompilDonnées[[#This Row],[ModuleNumber]]</f>
        <v>1096</v>
      </c>
      <c r="P4615" t="str">
        <f>CompilDonnées[[#This Row],[Ref_Module]]&amp;CompilDonnées[[#This Row],[HarvestingDate]]</f>
        <v>109645937</v>
      </c>
    </row>
    <row r="4616" spans="1:16">
      <c r="A4616" s="5">
        <v>45896</v>
      </c>
      <c r="B4616">
        <v>108</v>
      </c>
      <c r="C4616" t="s">
        <v>58</v>
      </c>
      <c r="D4616">
        <v>6</v>
      </c>
      <c r="E4616">
        <v>100</v>
      </c>
      <c r="F4616" t="s">
        <v>1</v>
      </c>
      <c r="G4616" s="6">
        <v>45937</v>
      </c>
      <c r="H4616">
        <v>41</v>
      </c>
      <c r="I4616">
        <f>ROUND(CompilDonnées[[#This Row],[CultureDuration_days]]/7,0)</f>
        <v>6</v>
      </c>
      <c r="J4616">
        <v>2842</v>
      </c>
      <c r="K4616" t="str">
        <f>_xlfn.CONCAT(WEEKNUM(CompilDonnées[[#This Row],[PlantationDate]]), " ", YEAR(CompilDonnées[[#This Row],[PlantationDate]]))</f>
        <v>35 2025</v>
      </c>
      <c r="L4616" t="str">
        <f>CONCATENATE(MONTH(CompilDonnées[[#This Row],[PlantationDate]])," ", YEAR(CompilDonnées[[#This Row],[PlantationDate]]))</f>
        <v>8 2025</v>
      </c>
      <c r="M4616" t="str">
        <f>CONCATENATE(MONTH(CompilDonnées[[#This Row],[HarvestingDate]])," ", YEAR(CompilDonnées[[#This Row],[HarvestingDate]]))</f>
        <v>10 2025</v>
      </c>
      <c r="N4616">
        <f>_xlfn.NUMBERVALUE(CompilDonnées[[#This Row],[FarmID]]&amp;CompilDonnées[[#This Row],[ModuleNumber]]&amp;CompilDonnées[[#This Row],[PlantationDate]])</f>
        <v>108645896</v>
      </c>
      <c r="O4616" t="str">
        <f>CompilDonnées[[#This Row],[FarmID]]&amp;CompilDonnées[[#This Row],[ModuleNumber]]</f>
        <v>1086</v>
      </c>
      <c r="P4616" t="str">
        <f>CompilDonnées[[#This Row],[Ref_Module]]&amp;CompilDonnées[[#This Row],[HarvestingDate]]</f>
        <v>108645937</v>
      </c>
    </row>
    <row r="4617" spans="1:16">
      <c r="A4617" s="5">
        <v>45896</v>
      </c>
      <c r="B4617">
        <v>101</v>
      </c>
      <c r="C4617" t="s">
        <v>54</v>
      </c>
      <c r="D4617">
        <v>1</v>
      </c>
      <c r="E4617">
        <v>100</v>
      </c>
      <c r="F4617" t="s">
        <v>1</v>
      </c>
      <c r="G4617" s="6">
        <v>45950</v>
      </c>
      <c r="H4617">
        <v>54</v>
      </c>
      <c r="I4617">
        <f>ROUND(CompilDonnées[[#This Row],[CultureDuration_days]]/7,0)</f>
        <v>8</v>
      </c>
      <c r="J4617">
        <v>3447</v>
      </c>
      <c r="K4617" t="str">
        <f>_xlfn.CONCAT(WEEKNUM(CompilDonnées[[#This Row],[PlantationDate]]), " ", YEAR(CompilDonnées[[#This Row],[PlantationDate]]))</f>
        <v>35 2025</v>
      </c>
      <c r="L4617" t="str">
        <f>CONCATENATE(MONTH(CompilDonnées[[#This Row],[PlantationDate]])," ", YEAR(CompilDonnées[[#This Row],[PlantationDate]]))</f>
        <v>8 2025</v>
      </c>
      <c r="M4617" t="str">
        <f>CONCATENATE(MONTH(CompilDonnées[[#This Row],[HarvestingDate]])," ", YEAR(CompilDonnées[[#This Row],[HarvestingDate]]))</f>
        <v>10 2025</v>
      </c>
      <c r="N4617">
        <f>_xlfn.NUMBERVALUE(CompilDonnées[[#This Row],[FarmID]]&amp;CompilDonnées[[#This Row],[ModuleNumber]]&amp;CompilDonnées[[#This Row],[PlantationDate]])</f>
        <v>101145896</v>
      </c>
      <c r="O4617" t="str">
        <f>CompilDonnées[[#This Row],[FarmID]]&amp;CompilDonnées[[#This Row],[ModuleNumber]]</f>
        <v>1011</v>
      </c>
      <c r="P4617" t="str">
        <f>CompilDonnées[[#This Row],[Ref_Module]]&amp;CompilDonnées[[#This Row],[HarvestingDate]]</f>
        <v>101145950</v>
      </c>
    </row>
    <row r="4618" spans="1:16">
      <c r="A4618" s="5">
        <v>45896</v>
      </c>
      <c r="B4618">
        <v>93</v>
      </c>
      <c r="C4618" t="s">
        <v>10</v>
      </c>
      <c r="D4618">
        <v>3</v>
      </c>
      <c r="E4618">
        <v>100</v>
      </c>
      <c r="F4618" t="s">
        <v>1</v>
      </c>
      <c r="G4618" s="6">
        <v>45945</v>
      </c>
      <c r="H4618">
        <v>49</v>
      </c>
      <c r="I4618">
        <f>ROUND(CompilDonnées[[#This Row],[CultureDuration_days]]/7,0)</f>
        <v>7</v>
      </c>
      <c r="J4618">
        <v>2889</v>
      </c>
      <c r="K4618" t="str">
        <f>_xlfn.CONCAT(WEEKNUM(CompilDonnées[[#This Row],[PlantationDate]]), " ", YEAR(CompilDonnées[[#This Row],[PlantationDate]]))</f>
        <v>35 2025</v>
      </c>
      <c r="L4618" t="str">
        <f>CONCATENATE(MONTH(CompilDonnées[[#This Row],[PlantationDate]])," ", YEAR(CompilDonnées[[#This Row],[PlantationDate]]))</f>
        <v>8 2025</v>
      </c>
      <c r="M4618" t="str">
        <f>CONCATENATE(MONTH(CompilDonnées[[#This Row],[HarvestingDate]])," ", YEAR(CompilDonnées[[#This Row],[HarvestingDate]]))</f>
        <v>10 2025</v>
      </c>
      <c r="N4618">
        <f>_xlfn.NUMBERVALUE(CompilDonnées[[#This Row],[FarmID]]&amp;CompilDonnées[[#This Row],[ModuleNumber]]&amp;CompilDonnées[[#This Row],[PlantationDate]])</f>
        <v>93345896</v>
      </c>
      <c r="O4618" t="str">
        <f>CompilDonnées[[#This Row],[FarmID]]&amp;CompilDonnées[[#This Row],[ModuleNumber]]</f>
        <v>933</v>
      </c>
      <c r="P4618" t="str">
        <f>CompilDonnées[[#This Row],[Ref_Module]]&amp;CompilDonnées[[#This Row],[HarvestingDate]]</f>
        <v>93345945</v>
      </c>
    </row>
    <row r="4619" spans="1:16">
      <c r="A4619" s="5">
        <v>45896</v>
      </c>
      <c r="B4619">
        <v>94</v>
      </c>
      <c r="C4619" t="s">
        <v>40</v>
      </c>
      <c r="D4619">
        <v>4</v>
      </c>
      <c r="E4619">
        <v>100</v>
      </c>
      <c r="F4619" t="s">
        <v>1</v>
      </c>
      <c r="G4619" s="6">
        <v>45938</v>
      </c>
      <c r="H4619">
        <v>42</v>
      </c>
      <c r="I4619">
        <f>ROUND(CompilDonnées[[#This Row],[CultureDuration_days]]/7,0)</f>
        <v>6</v>
      </c>
      <c r="J4619">
        <v>3063</v>
      </c>
      <c r="K4619" t="str">
        <f>_xlfn.CONCAT(WEEKNUM(CompilDonnées[[#This Row],[PlantationDate]]), " ", YEAR(CompilDonnées[[#This Row],[PlantationDate]]))</f>
        <v>35 2025</v>
      </c>
      <c r="L4619" t="str">
        <f>CONCATENATE(MONTH(CompilDonnées[[#This Row],[PlantationDate]])," ", YEAR(CompilDonnées[[#This Row],[PlantationDate]]))</f>
        <v>8 2025</v>
      </c>
      <c r="M4619" t="str">
        <f>CONCATENATE(MONTH(CompilDonnées[[#This Row],[HarvestingDate]])," ", YEAR(CompilDonnées[[#This Row],[HarvestingDate]]))</f>
        <v>10 2025</v>
      </c>
      <c r="N4619">
        <f>_xlfn.NUMBERVALUE(CompilDonnées[[#This Row],[FarmID]]&amp;CompilDonnées[[#This Row],[ModuleNumber]]&amp;CompilDonnées[[#This Row],[PlantationDate]])</f>
        <v>94445896</v>
      </c>
      <c r="O4619" t="str">
        <f>CompilDonnées[[#This Row],[FarmID]]&amp;CompilDonnées[[#This Row],[ModuleNumber]]</f>
        <v>944</v>
      </c>
      <c r="P4619" t="str">
        <f>CompilDonnées[[#This Row],[Ref_Module]]&amp;CompilDonnées[[#This Row],[HarvestingDate]]</f>
        <v>94445938</v>
      </c>
    </row>
    <row r="4620" spans="1:16">
      <c r="A4620" s="5">
        <v>45896</v>
      </c>
      <c r="B4620">
        <v>92</v>
      </c>
      <c r="C4620" t="s">
        <v>66</v>
      </c>
      <c r="D4620">
        <v>6</v>
      </c>
      <c r="E4620">
        <v>100</v>
      </c>
      <c r="F4620" t="s">
        <v>1</v>
      </c>
      <c r="G4620" s="6">
        <v>45938</v>
      </c>
      <c r="H4620">
        <v>42</v>
      </c>
      <c r="I4620">
        <f>ROUND(CompilDonnées[[#This Row],[CultureDuration_days]]/7,0)</f>
        <v>6</v>
      </c>
      <c r="J4620">
        <v>3060</v>
      </c>
      <c r="K4620" t="str">
        <f>_xlfn.CONCAT(WEEKNUM(CompilDonnées[[#This Row],[PlantationDate]]), " ", YEAR(CompilDonnées[[#This Row],[PlantationDate]]))</f>
        <v>35 2025</v>
      </c>
      <c r="L4620" t="str">
        <f>CONCATENATE(MONTH(CompilDonnées[[#This Row],[PlantationDate]])," ", YEAR(CompilDonnées[[#This Row],[PlantationDate]]))</f>
        <v>8 2025</v>
      </c>
      <c r="M4620" t="str">
        <f>CONCATENATE(MONTH(CompilDonnées[[#This Row],[HarvestingDate]])," ", YEAR(CompilDonnées[[#This Row],[HarvestingDate]]))</f>
        <v>10 2025</v>
      </c>
      <c r="N4620">
        <f>_xlfn.NUMBERVALUE(CompilDonnées[[#This Row],[FarmID]]&amp;CompilDonnées[[#This Row],[ModuleNumber]]&amp;CompilDonnées[[#This Row],[PlantationDate]])</f>
        <v>92645896</v>
      </c>
      <c r="O4620" t="str">
        <f>CompilDonnées[[#This Row],[FarmID]]&amp;CompilDonnées[[#This Row],[ModuleNumber]]</f>
        <v>926</v>
      </c>
      <c r="P4620" t="str">
        <f>CompilDonnées[[#This Row],[Ref_Module]]&amp;CompilDonnées[[#This Row],[HarvestingDate]]</f>
        <v>92645938</v>
      </c>
    </row>
    <row r="4621" spans="1:16">
      <c r="A4621" s="5">
        <v>45896</v>
      </c>
      <c r="B4621">
        <v>91</v>
      </c>
      <c r="C4621" t="s">
        <v>9</v>
      </c>
      <c r="D4621">
        <v>1</v>
      </c>
      <c r="E4621">
        <v>100</v>
      </c>
      <c r="F4621" t="s">
        <v>1</v>
      </c>
      <c r="G4621" s="6">
        <v>45945</v>
      </c>
      <c r="H4621">
        <v>49</v>
      </c>
      <c r="I4621">
        <f>ROUND(CompilDonnées[[#This Row],[CultureDuration_days]]/7,0)</f>
        <v>7</v>
      </c>
      <c r="J4621">
        <v>2002</v>
      </c>
      <c r="K4621" t="str">
        <f>_xlfn.CONCAT(WEEKNUM(CompilDonnées[[#This Row],[PlantationDate]]), " ", YEAR(CompilDonnées[[#This Row],[PlantationDate]]))</f>
        <v>35 2025</v>
      </c>
      <c r="L4621" t="str">
        <f>CONCATENATE(MONTH(CompilDonnées[[#This Row],[PlantationDate]])," ", YEAR(CompilDonnées[[#This Row],[PlantationDate]]))</f>
        <v>8 2025</v>
      </c>
      <c r="M4621" t="str">
        <f>CONCATENATE(MONTH(CompilDonnées[[#This Row],[HarvestingDate]])," ", YEAR(CompilDonnées[[#This Row],[HarvestingDate]]))</f>
        <v>10 2025</v>
      </c>
      <c r="N4621">
        <f>_xlfn.NUMBERVALUE(CompilDonnées[[#This Row],[FarmID]]&amp;CompilDonnées[[#This Row],[ModuleNumber]]&amp;CompilDonnées[[#This Row],[PlantationDate]])</f>
        <v>91145896</v>
      </c>
      <c r="O4621" t="str">
        <f>CompilDonnées[[#This Row],[FarmID]]&amp;CompilDonnées[[#This Row],[ModuleNumber]]</f>
        <v>911</v>
      </c>
      <c r="P4621" t="str">
        <f>CompilDonnées[[#This Row],[Ref_Module]]&amp;CompilDonnées[[#This Row],[HarvestingDate]]</f>
        <v>91145945</v>
      </c>
    </row>
    <row r="4622" spans="1:16">
      <c r="A4622" s="5">
        <v>45896</v>
      </c>
      <c r="B4622">
        <v>91</v>
      </c>
      <c r="C4622" t="s">
        <v>9</v>
      </c>
      <c r="D4622">
        <v>2</v>
      </c>
      <c r="E4622">
        <v>100</v>
      </c>
      <c r="F4622" t="s">
        <v>1</v>
      </c>
      <c r="G4622" s="6">
        <v>45945</v>
      </c>
      <c r="H4622">
        <v>49</v>
      </c>
      <c r="I4622">
        <f>ROUND(CompilDonnées[[#This Row],[CultureDuration_days]]/7,0)</f>
        <v>7</v>
      </c>
      <c r="J4622">
        <v>2050</v>
      </c>
      <c r="K4622" t="str">
        <f>_xlfn.CONCAT(WEEKNUM(CompilDonnées[[#This Row],[PlantationDate]]), " ", YEAR(CompilDonnées[[#This Row],[PlantationDate]]))</f>
        <v>35 2025</v>
      </c>
      <c r="L4622" t="str">
        <f>CONCATENATE(MONTH(CompilDonnées[[#This Row],[PlantationDate]])," ", YEAR(CompilDonnées[[#This Row],[PlantationDate]]))</f>
        <v>8 2025</v>
      </c>
      <c r="M4622" t="str">
        <f>CONCATENATE(MONTH(CompilDonnées[[#This Row],[HarvestingDate]])," ", YEAR(CompilDonnées[[#This Row],[HarvestingDate]]))</f>
        <v>10 2025</v>
      </c>
      <c r="N4622">
        <f>_xlfn.NUMBERVALUE(CompilDonnées[[#This Row],[FarmID]]&amp;CompilDonnées[[#This Row],[ModuleNumber]]&amp;CompilDonnées[[#This Row],[PlantationDate]])</f>
        <v>91245896</v>
      </c>
      <c r="O4622" t="str">
        <f>CompilDonnées[[#This Row],[FarmID]]&amp;CompilDonnées[[#This Row],[ModuleNumber]]</f>
        <v>912</v>
      </c>
      <c r="P4622" t="str">
        <f>CompilDonnées[[#This Row],[Ref_Module]]&amp;CompilDonnées[[#This Row],[HarvestingDate]]</f>
        <v>91245945</v>
      </c>
    </row>
    <row r="4623" spans="1:16">
      <c r="A4623" s="5">
        <v>45896</v>
      </c>
      <c r="B4623">
        <v>88</v>
      </c>
      <c r="C4623" t="s">
        <v>94</v>
      </c>
      <c r="D4623">
        <v>3</v>
      </c>
      <c r="E4623">
        <v>100</v>
      </c>
      <c r="F4623" t="s">
        <v>1</v>
      </c>
      <c r="G4623" s="6">
        <v>45938</v>
      </c>
      <c r="H4623">
        <v>42</v>
      </c>
      <c r="I4623">
        <f>ROUND(CompilDonnées[[#This Row],[CultureDuration_days]]/7,0)</f>
        <v>6</v>
      </c>
      <c r="J4623">
        <v>3713</v>
      </c>
      <c r="K4623" t="str">
        <f>_xlfn.CONCAT(WEEKNUM(CompilDonnées[[#This Row],[PlantationDate]]), " ", YEAR(CompilDonnées[[#This Row],[PlantationDate]]))</f>
        <v>35 2025</v>
      </c>
      <c r="L4623" t="str">
        <f>CONCATENATE(MONTH(CompilDonnées[[#This Row],[PlantationDate]])," ", YEAR(CompilDonnées[[#This Row],[PlantationDate]]))</f>
        <v>8 2025</v>
      </c>
      <c r="M4623" t="str">
        <f>CONCATENATE(MONTH(CompilDonnées[[#This Row],[HarvestingDate]])," ", YEAR(CompilDonnées[[#This Row],[HarvestingDate]]))</f>
        <v>10 2025</v>
      </c>
      <c r="N4623">
        <f>_xlfn.NUMBERVALUE(CompilDonnées[[#This Row],[FarmID]]&amp;CompilDonnées[[#This Row],[ModuleNumber]]&amp;CompilDonnées[[#This Row],[PlantationDate]])</f>
        <v>88345896</v>
      </c>
      <c r="O4623" t="str">
        <f>CompilDonnées[[#This Row],[FarmID]]&amp;CompilDonnées[[#This Row],[ModuleNumber]]</f>
        <v>883</v>
      </c>
      <c r="P4623" t="str">
        <f>CompilDonnées[[#This Row],[Ref_Module]]&amp;CompilDonnées[[#This Row],[HarvestingDate]]</f>
        <v>88345938</v>
      </c>
    </row>
    <row r="4624" spans="1:16">
      <c r="A4624" s="5">
        <v>45896</v>
      </c>
      <c r="B4624">
        <v>87</v>
      </c>
      <c r="C4624" t="s">
        <v>38</v>
      </c>
      <c r="D4624">
        <v>1</v>
      </c>
      <c r="E4624">
        <v>100</v>
      </c>
      <c r="F4624" t="s">
        <v>1</v>
      </c>
      <c r="G4624" s="6">
        <v>45945</v>
      </c>
      <c r="H4624">
        <v>49</v>
      </c>
      <c r="I4624">
        <f>ROUND(CompilDonnées[[#This Row],[CultureDuration_days]]/7,0)</f>
        <v>7</v>
      </c>
      <c r="J4624">
        <v>2790</v>
      </c>
      <c r="K4624" t="str">
        <f>_xlfn.CONCAT(WEEKNUM(CompilDonnées[[#This Row],[PlantationDate]]), " ", YEAR(CompilDonnées[[#This Row],[PlantationDate]]))</f>
        <v>35 2025</v>
      </c>
      <c r="L4624" t="str">
        <f>CONCATENATE(MONTH(CompilDonnées[[#This Row],[PlantationDate]])," ", YEAR(CompilDonnées[[#This Row],[PlantationDate]]))</f>
        <v>8 2025</v>
      </c>
      <c r="M4624" t="str">
        <f>CONCATENATE(MONTH(CompilDonnées[[#This Row],[HarvestingDate]])," ", YEAR(CompilDonnées[[#This Row],[HarvestingDate]]))</f>
        <v>10 2025</v>
      </c>
      <c r="N4624">
        <f>_xlfn.NUMBERVALUE(CompilDonnées[[#This Row],[FarmID]]&amp;CompilDonnées[[#This Row],[ModuleNumber]]&amp;CompilDonnées[[#This Row],[PlantationDate]])</f>
        <v>87145896</v>
      </c>
      <c r="O4624" t="str">
        <f>CompilDonnées[[#This Row],[FarmID]]&amp;CompilDonnées[[#This Row],[ModuleNumber]]</f>
        <v>871</v>
      </c>
      <c r="P4624" t="str">
        <f>CompilDonnées[[#This Row],[Ref_Module]]&amp;CompilDonnées[[#This Row],[HarvestingDate]]</f>
        <v>87145945</v>
      </c>
    </row>
    <row r="4625" spans="1:16">
      <c r="A4625" s="5">
        <v>45896</v>
      </c>
      <c r="B4625">
        <v>86</v>
      </c>
      <c r="C4625" t="s">
        <v>37</v>
      </c>
      <c r="D4625">
        <v>6</v>
      </c>
      <c r="E4625">
        <v>100</v>
      </c>
      <c r="F4625" t="s">
        <v>1</v>
      </c>
      <c r="G4625" s="6">
        <v>45945</v>
      </c>
      <c r="H4625">
        <v>49</v>
      </c>
      <c r="I4625">
        <f>ROUND(CompilDonnées[[#This Row],[CultureDuration_days]]/7,0)</f>
        <v>7</v>
      </c>
      <c r="J4625">
        <v>2960</v>
      </c>
      <c r="K4625" t="str">
        <f>_xlfn.CONCAT(WEEKNUM(CompilDonnées[[#This Row],[PlantationDate]]), " ", YEAR(CompilDonnées[[#This Row],[PlantationDate]]))</f>
        <v>35 2025</v>
      </c>
      <c r="L4625" t="str">
        <f>CONCATENATE(MONTH(CompilDonnées[[#This Row],[PlantationDate]])," ", YEAR(CompilDonnées[[#This Row],[PlantationDate]]))</f>
        <v>8 2025</v>
      </c>
      <c r="M4625" t="str">
        <f>CONCATENATE(MONTH(CompilDonnées[[#This Row],[HarvestingDate]])," ", YEAR(CompilDonnées[[#This Row],[HarvestingDate]]))</f>
        <v>10 2025</v>
      </c>
      <c r="N4625">
        <f>_xlfn.NUMBERVALUE(CompilDonnées[[#This Row],[FarmID]]&amp;CompilDonnées[[#This Row],[ModuleNumber]]&amp;CompilDonnées[[#This Row],[PlantationDate]])</f>
        <v>86645896</v>
      </c>
      <c r="O4625" t="str">
        <f>CompilDonnées[[#This Row],[FarmID]]&amp;CompilDonnées[[#This Row],[ModuleNumber]]</f>
        <v>866</v>
      </c>
      <c r="P4625" t="str">
        <f>CompilDonnées[[#This Row],[Ref_Module]]&amp;CompilDonnées[[#This Row],[HarvestingDate]]</f>
        <v>86645945</v>
      </c>
    </row>
    <row r="4626" spans="1:16">
      <c r="A4626" s="5">
        <v>45896</v>
      </c>
      <c r="B4626">
        <v>89</v>
      </c>
      <c r="C4626" t="s">
        <v>67</v>
      </c>
      <c r="D4626">
        <v>2</v>
      </c>
      <c r="E4626">
        <v>100</v>
      </c>
      <c r="F4626" t="s">
        <v>1</v>
      </c>
      <c r="G4626" s="6">
        <v>45945</v>
      </c>
      <c r="H4626">
        <v>49</v>
      </c>
      <c r="I4626">
        <f>ROUND(CompilDonnées[[#This Row],[CultureDuration_days]]/7,0)</f>
        <v>7</v>
      </c>
      <c r="J4626">
        <v>2119</v>
      </c>
      <c r="K4626" t="str">
        <f>_xlfn.CONCAT(WEEKNUM(CompilDonnées[[#This Row],[PlantationDate]]), " ", YEAR(CompilDonnées[[#This Row],[PlantationDate]]))</f>
        <v>35 2025</v>
      </c>
      <c r="L4626" t="str">
        <f>CONCATENATE(MONTH(CompilDonnées[[#This Row],[PlantationDate]])," ", YEAR(CompilDonnées[[#This Row],[PlantationDate]]))</f>
        <v>8 2025</v>
      </c>
      <c r="M4626" t="str">
        <f>CONCATENATE(MONTH(CompilDonnées[[#This Row],[HarvestingDate]])," ", YEAR(CompilDonnées[[#This Row],[HarvestingDate]]))</f>
        <v>10 2025</v>
      </c>
      <c r="N4626">
        <f>_xlfn.NUMBERVALUE(CompilDonnées[[#This Row],[FarmID]]&amp;CompilDonnées[[#This Row],[ModuleNumber]]&amp;CompilDonnées[[#This Row],[PlantationDate]])</f>
        <v>89245896</v>
      </c>
      <c r="O4626" t="str">
        <f>CompilDonnées[[#This Row],[FarmID]]&amp;CompilDonnées[[#This Row],[ModuleNumber]]</f>
        <v>892</v>
      </c>
      <c r="P4626" t="str">
        <f>CompilDonnées[[#This Row],[Ref_Module]]&amp;CompilDonnées[[#This Row],[HarvestingDate]]</f>
        <v>89245945</v>
      </c>
    </row>
    <row r="4627" spans="1:16">
      <c r="A4627" s="5">
        <v>45896</v>
      </c>
      <c r="B4627">
        <v>90</v>
      </c>
      <c r="C4627" t="s">
        <v>72</v>
      </c>
      <c r="D4627">
        <v>1</v>
      </c>
      <c r="E4627">
        <v>100</v>
      </c>
      <c r="F4627" t="s">
        <v>1</v>
      </c>
      <c r="G4627" s="6">
        <v>45945</v>
      </c>
      <c r="H4627">
        <v>49</v>
      </c>
      <c r="I4627">
        <f>ROUND(CompilDonnées[[#This Row],[CultureDuration_days]]/7,0)</f>
        <v>7</v>
      </c>
      <c r="J4627">
        <v>1732</v>
      </c>
      <c r="K4627" t="str">
        <f>_xlfn.CONCAT(WEEKNUM(CompilDonnées[[#This Row],[PlantationDate]]), " ", YEAR(CompilDonnées[[#This Row],[PlantationDate]]))</f>
        <v>35 2025</v>
      </c>
      <c r="L4627" t="str">
        <f>CONCATENATE(MONTH(CompilDonnées[[#This Row],[PlantationDate]])," ", YEAR(CompilDonnées[[#This Row],[PlantationDate]]))</f>
        <v>8 2025</v>
      </c>
      <c r="M4627" t="str">
        <f>CONCATENATE(MONTH(CompilDonnées[[#This Row],[HarvestingDate]])," ", YEAR(CompilDonnées[[#This Row],[HarvestingDate]]))</f>
        <v>10 2025</v>
      </c>
      <c r="N4627">
        <f>_xlfn.NUMBERVALUE(CompilDonnées[[#This Row],[FarmID]]&amp;CompilDonnées[[#This Row],[ModuleNumber]]&amp;CompilDonnées[[#This Row],[PlantationDate]])</f>
        <v>90145896</v>
      </c>
      <c r="O4627" t="str">
        <f>CompilDonnées[[#This Row],[FarmID]]&amp;CompilDonnées[[#This Row],[ModuleNumber]]</f>
        <v>901</v>
      </c>
      <c r="P4627" t="str">
        <f>CompilDonnées[[#This Row],[Ref_Module]]&amp;CompilDonnées[[#This Row],[HarvestingDate]]</f>
        <v>90145945</v>
      </c>
    </row>
    <row r="4628" spans="1:16">
      <c r="A4628" s="5">
        <v>45896</v>
      </c>
      <c r="B4628">
        <v>102</v>
      </c>
      <c r="C4628" t="s">
        <v>85</v>
      </c>
      <c r="D4628">
        <v>2</v>
      </c>
      <c r="E4628">
        <v>100</v>
      </c>
      <c r="F4628" t="s">
        <v>1</v>
      </c>
      <c r="G4628" s="6">
        <v>45946</v>
      </c>
      <c r="H4628">
        <v>50</v>
      </c>
      <c r="I4628">
        <f>ROUND(CompilDonnées[[#This Row],[CultureDuration_days]]/7,0)</f>
        <v>7</v>
      </c>
      <c r="J4628">
        <v>1311</v>
      </c>
      <c r="K4628" t="str">
        <f>_xlfn.CONCAT(WEEKNUM(CompilDonnées[[#This Row],[PlantationDate]]), " ", YEAR(CompilDonnées[[#This Row],[PlantationDate]]))</f>
        <v>35 2025</v>
      </c>
      <c r="L4628" t="str">
        <f>CONCATENATE(MONTH(CompilDonnées[[#This Row],[PlantationDate]])," ", YEAR(CompilDonnées[[#This Row],[PlantationDate]]))</f>
        <v>8 2025</v>
      </c>
      <c r="M4628" t="str">
        <f>CONCATENATE(MONTH(CompilDonnées[[#This Row],[HarvestingDate]])," ", YEAR(CompilDonnées[[#This Row],[HarvestingDate]]))</f>
        <v>10 2025</v>
      </c>
      <c r="N4628">
        <f>_xlfn.NUMBERVALUE(CompilDonnées[[#This Row],[FarmID]]&amp;CompilDonnées[[#This Row],[ModuleNumber]]&amp;CompilDonnées[[#This Row],[PlantationDate]])</f>
        <v>102245896</v>
      </c>
      <c r="O4628" t="str">
        <f>CompilDonnées[[#This Row],[FarmID]]&amp;CompilDonnées[[#This Row],[ModuleNumber]]</f>
        <v>1022</v>
      </c>
      <c r="P4628" t="str">
        <f>CompilDonnées[[#This Row],[Ref_Module]]&amp;CompilDonnées[[#This Row],[HarvestingDate]]</f>
        <v>102245946</v>
      </c>
    </row>
    <row r="4629" spans="1:16">
      <c r="A4629" s="5">
        <v>45896</v>
      </c>
      <c r="B4629">
        <v>132</v>
      </c>
      <c r="C4629" t="s">
        <v>120</v>
      </c>
      <c r="D4629">
        <v>6</v>
      </c>
      <c r="E4629">
        <v>100</v>
      </c>
      <c r="F4629" t="s">
        <v>1</v>
      </c>
      <c r="G4629" s="6">
        <v>45947</v>
      </c>
      <c r="H4629">
        <v>51</v>
      </c>
      <c r="I4629">
        <f>ROUND(CompilDonnées[[#This Row],[CultureDuration_days]]/7,0)</f>
        <v>7</v>
      </c>
      <c r="J4629">
        <v>5199</v>
      </c>
      <c r="K4629" t="str">
        <f>_xlfn.CONCAT(WEEKNUM(CompilDonnées[[#This Row],[PlantationDate]]), " ", YEAR(CompilDonnées[[#This Row],[PlantationDate]]))</f>
        <v>35 2025</v>
      </c>
      <c r="L4629" t="str">
        <f>CONCATENATE(MONTH(CompilDonnées[[#This Row],[PlantationDate]])," ", YEAR(CompilDonnées[[#This Row],[PlantationDate]]))</f>
        <v>8 2025</v>
      </c>
      <c r="M4629" t="str">
        <f>CONCATENATE(MONTH(CompilDonnées[[#This Row],[HarvestingDate]])," ", YEAR(CompilDonnées[[#This Row],[HarvestingDate]]))</f>
        <v>10 2025</v>
      </c>
      <c r="N4629">
        <f>_xlfn.NUMBERVALUE(CompilDonnées[[#This Row],[FarmID]]&amp;CompilDonnées[[#This Row],[ModuleNumber]]&amp;CompilDonnées[[#This Row],[PlantationDate]])</f>
        <v>132645896</v>
      </c>
      <c r="O4629" t="str">
        <f>CompilDonnées[[#This Row],[FarmID]]&amp;CompilDonnées[[#This Row],[ModuleNumber]]</f>
        <v>1326</v>
      </c>
      <c r="P4629" t="str">
        <f>CompilDonnées[[#This Row],[Ref_Module]]&amp;CompilDonnées[[#This Row],[HarvestingDate]]</f>
        <v>132645947</v>
      </c>
    </row>
    <row r="4630" spans="1:16">
      <c r="A4630" s="5">
        <v>45896</v>
      </c>
      <c r="B4630">
        <v>116</v>
      </c>
      <c r="C4630" t="s">
        <v>76</v>
      </c>
      <c r="D4630">
        <v>6</v>
      </c>
      <c r="E4630">
        <v>100</v>
      </c>
      <c r="F4630" t="s">
        <v>1</v>
      </c>
      <c r="G4630" s="6">
        <v>45947</v>
      </c>
      <c r="H4630">
        <v>51</v>
      </c>
      <c r="I4630">
        <f>ROUND(CompilDonnées[[#This Row],[CultureDuration_days]]/7,0)</f>
        <v>7</v>
      </c>
      <c r="J4630">
        <v>2434</v>
      </c>
      <c r="K4630" t="str">
        <f>_xlfn.CONCAT(WEEKNUM(CompilDonnées[[#This Row],[PlantationDate]]), " ", YEAR(CompilDonnées[[#This Row],[PlantationDate]]))</f>
        <v>35 2025</v>
      </c>
      <c r="L4630" t="str">
        <f>CONCATENATE(MONTH(CompilDonnées[[#This Row],[PlantationDate]])," ", YEAR(CompilDonnées[[#This Row],[PlantationDate]]))</f>
        <v>8 2025</v>
      </c>
      <c r="M4630" t="str">
        <f>CONCATENATE(MONTH(CompilDonnées[[#This Row],[HarvestingDate]])," ", YEAR(CompilDonnées[[#This Row],[HarvestingDate]]))</f>
        <v>10 2025</v>
      </c>
      <c r="N4630">
        <f>_xlfn.NUMBERVALUE(CompilDonnées[[#This Row],[FarmID]]&amp;CompilDonnées[[#This Row],[ModuleNumber]]&amp;CompilDonnées[[#This Row],[PlantationDate]])</f>
        <v>116645896</v>
      </c>
      <c r="O4630" t="str">
        <f>CompilDonnées[[#This Row],[FarmID]]&amp;CompilDonnées[[#This Row],[ModuleNumber]]</f>
        <v>1166</v>
      </c>
      <c r="P4630" t="str">
        <f>CompilDonnées[[#This Row],[Ref_Module]]&amp;CompilDonnées[[#This Row],[HarvestingDate]]</f>
        <v>116645947</v>
      </c>
    </row>
    <row r="4631" spans="1:16">
      <c r="A4631" s="5">
        <v>45896</v>
      </c>
      <c r="B4631">
        <v>81</v>
      </c>
      <c r="C4631" t="s">
        <v>30</v>
      </c>
      <c r="D4631">
        <v>3</v>
      </c>
      <c r="E4631">
        <v>100</v>
      </c>
      <c r="F4631" t="s">
        <v>1</v>
      </c>
      <c r="G4631" s="6">
        <v>45945</v>
      </c>
      <c r="H4631">
        <v>49</v>
      </c>
      <c r="I4631">
        <f>ROUND(CompilDonnées[[#This Row],[CultureDuration_days]]/7,0)</f>
        <v>7</v>
      </c>
      <c r="J4631">
        <v>3323</v>
      </c>
      <c r="K4631" t="str">
        <f>_xlfn.CONCAT(WEEKNUM(CompilDonnées[[#This Row],[PlantationDate]]), " ", YEAR(CompilDonnées[[#This Row],[PlantationDate]]))</f>
        <v>35 2025</v>
      </c>
      <c r="L4631" t="str">
        <f>CONCATENATE(MONTH(CompilDonnées[[#This Row],[PlantationDate]])," ", YEAR(CompilDonnées[[#This Row],[PlantationDate]]))</f>
        <v>8 2025</v>
      </c>
      <c r="M4631" t="str">
        <f>CONCATENATE(MONTH(CompilDonnées[[#This Row],[HarvestingDate]])," ", YEAR(CompilDonnées[[#This Row],[HarvestingDate]]))</f>
        <v>10 2025</v>
      </c>
      <c r="N4631">
        <f>_xlfn.NUMBERVALUE(CompilDonnées[[#This Row],[FarmID]]&amp;CompilDonnées[[#This Row],[ModuleNumber]]&amp;CompilDonnées[[#This Row],[PlantationDate]])</f>
        <v>81345896</v>
      </c>
      <c r="O4631" t="str">
        <f>CompilDonnées[[#This Row],[FarmID]]&amp;CompilDonnées[[#This Row],[ModuleNumber]]</f>
        <v>813</v>
      </c>
      <c r="P4631" t="str">
        <f>CompilDonnées[[#This Row],[Ref_Module]]&amp;CompilDonnées[[#This Row],[HarvestingDate]]</f>
        <v>81345945</v>
      </c>
    </row>
    <row r="4632" spans="1:16">
      <c r="A4632" s="5">
        <v>45896</v>
      </c>
      <c r="B4632">
        <v>81</v>
      </c>
      <c r="C4632" t="s">
        <v>30</v>
      </c>
      <c r="D4632">
        <v>5</v>
      </c>
      <c r="E4632">
        <v>100</v>
      </c>
      <c r="F4632" t="s">
        <v>1</v>
      </c>
      <c r="G4632" s="6">
        <v>45938</v>
      </c>
      <c r="H4632">
        <v>42</v>
      </c>
      <c r="I4632">
        <f>ROUND(CompilDonnées[[#This Row],[CultureDuration_days]]/7,0)</f>
        <v>6</v>
      </c>
      <c r="J4632">
        <v>3029</v>
      </c>
      <c r="K4632" t="str">
        <f>_xlfn.CONCAT(WEEKNUM(CompilDonnées[[#This Row],[PlantationDate]]), " ", YEAR(CompilDonnées[[#This Row],[PlantationDate]]))</f>
        <v>35 2025</v>
      </c>
      <c r="L4632" t="str">
        <f>CONCATENATE(MONTH(CompilDonnées[[#This Row],[PlantationDate]])," ", YEAR(CompilDonnées[[#This Row],[PlantationDate]]))</f>
        <v>8 2025</v>
      </c>
      <c r="M4632" t="str">
        <f>CONCATENATE(MONTH(CompilDonnées[[#This Row],[HarvestingDate]])," ", YEAR(CompilDonnées[[#This Row],[HarvestingDate]]))</f>
        <v>10 2025</v>
      </c>
      <c r="N4632">
        <f>_xlfn.NUMBERVALUE(CompilDonnées[[#This Row],[FarmID]]&amp;CompilDonnées[[#This Row],[ModuleNumber]]&amp;CompilDonnées[[#This Row],[PlantationDate]])</f>
        <v>81545896</v>
      </c>
      <c r="O4632" t="str">
        <f>CompilDonnées[[#This Row],[FarmID]]&amp;CompilDonnées[[#This Row],[ModuleNumber]]</f>
        <v>815</v>
      </c>
      <c r="P4632" t="str">
        <f>CompilDonnées[[#This Row],[Ref_Module]]&amp;CompilDonnées[[#This Row],[HarvestingDate]]</f>
        <v>81545938</v>
      </c>
    </row>
    <row r="4633" spans="1:16">
      <c r="A4633" s="5">
        <v>45896</v>
      </c>
      <c r="B4633">
        <v>82</v>
      </c>
      <c r="C4633" t="s">
        <v>17</v>
      </c>
      <c r="D4633">
        <v>2</v>
      </c>
      <c r="E4633">
        <v>100</v>
      </c>
      <c r="F4633" t="s">
        <v>1</v>
      </c>
      <c r="G4633" s="6">
        <v>45938</v>
      </c>
      <c r="H4633">
        <v>42</v>
      </c>
      <c r="I4633">
        <f>ROUND(CompilDonnées[[#This Row],[CultureDuration_days]]/7,0)</f>
        <v>6</v>
      </c>
      <c r="J4633">
        <v>3304</v>
      </c>
      <c r="K4633" t="str">
        <f>_xlfn.CONCAT(WEEKNUM(CompilDonnées[[#This Row],[PlantationDate]]), " ", YEAR(CompilDonnées[[#This Row],[PlantationDate]]))</f>
        <v>35 2025</v>
      </c>
      <c r="L4633" t="str">
        <f>CONCATENATE(MONTH(CompilDonnées[[#This Row],[PlantationDate]])," ", YEAR(CompilDonnées[[#This Row],[PlantationDate]]))</f>
        <v>8 2025</v>
      </c>
      <c r="M4633" t="str">
        <f>CONCATENATE(MONTH(CompilDonnées[[#This Row],[HarvestingDate]])," ", YEAR(CompilDonnées[[#This Row],[HarvestingDate]]))</f>
        <v>10 2025</v>
      </c>
      <c r="N4633">
        <f>_xlfn.NUMBERVALUE(CompilDonnées[[#This Row],[FarmID]]&amp;CompilDonnées[[#This Row],[ModuleNumber]]&amp;CompilDonnées[[#This Row],[PlantationDate]])</f>
        <v>82245896</v>
      </c>
      <c r="O4633" t="str">
        <f>CompilDonnées[[#This Row],[FarmID]]&amp;CompilDonnées[[#This Row],[ModuleNumber]]</f>
        <v>822</v>
      </c>
      <c r="P4633" t="str">
        <f>CompilDonnées[[#This Row],[Ref_Module]]&amp;CompilDonnées[[#This Row],[HarvestingDate]]</f>
        <v>82245938</v>
      </c>
    </row>
    <row r="4634" spans="1:16">
      <c r="A4634" s="5">
        <v>45896</v>
      </c>
      <c r="B4634">
        <v>84</v>
      </c>
      <c r="C4634" t="s">
        <v>65</v>
      </c>
      <c r="D4634">
        <v>6</v>
      </c>
      <c r="E4634">
        <v>100</v>
      </c>
      <c r="F4634" t="s">
        <v>1</v>
      </c>
      <c r="G4634" s="6">
        <v>45951</v>
      </c>
      <c r="H4634">
        <v>55</v>
      </c>
      <c r="I4634">
        <f>ROUND(CompilDonnées[[#This Row],[CultureDuration_days]]/7,0)</f>
        <v>8</v>
      </c>
      <c r="J4634">
        <v>1933</v>
      </c>
      <c r="K4634" t="str">
        <f>_xlfn.CONCAT(WEEKNUM(CompilDonnées[[#This Row],[PlantationDate]]), " ", YEAR(CompilDonnées[[#This Row],[PlantationDate]]))</f>
        <v>35 2025</v>
      </c>
      <c r="L4634" t="str">
        <f>CONCATENATE(MONTH(CompilDonnées[[#This Row],[PlantationDate]])," ", YEAR(CompilDonnées[[#This Row],[PlantationDate]]))</f>
        <v>8 2025</v>
      </c>
      <c r="M4634" t="str">
        <f>CONCATENATE(MONTH(CompilDonnées[[#This Row],[HarvestingDate]])," ", YEAR(CompilDonnées[[#This Row],[HarvestingDate]]))</f>
        <v>10 2025</v>
      </c>
      <c r="N4634">
        <f>_xlfn.NUMBERVALUE(CompilDonnées[[#This Row],[FarmID]]&amp;CompilDonnées[[#This Row],[ModuleNumber]]&amp;CompilDonnées[[#This Row],[PlantationDate]])</f>
        <v>84645896</v>
      </c>
      <c r="O4634" t="str">
        <f>CompilDonnées[[#This Row],[FarmID]]&amp;CompilDonnées[[#This Row],[ModuleNumber]]</f>
        <v>846</v>
      </c>
      <c r="P4634" t="str">
        <f>CompilDonnées[[#This Row],[Ref_Module]]&amp;CompilDonnées[[#This Row],[HarvestingDate]]</f>
        <v>84645951</v>
      </c>
    </row>
    <row r="4635" spans="1:16">
      <c r="A4635" s="5">
        <v>45896</v>
      </c>
      <c r="B4635">
        <v>83</v>
      </c>
      <c r="C4635" t="s">
        <v>73</v>
      </c>
      <c r="D4635">
        <v>1</v>
      </c>
      <c r="E4635">
        <v>100</v>
      </c>
      <c r="F4635" t="s">
        <v>1</v>
      </c>
      <c r="G4635" s="6">
        <v>45945</v>
      </c>
      <c r="H4635">
        <v>49</v>
      </c>
      <c r="I4635">
        <f>ROUND(CompilDonnées[[#This Row],[CultureDuration_days]]/7,0)</f>
        <v>7</v>
      </c>
      <c r="J4635">
        <v>2817</v>
      </c>
      <c r="K4635" t="str">
        <f>_xlfn.CONCAT(WEEKNUM(CompilDonnées[[#This Row],[PlantationDate]]), " ", YEAR(CompilDonnées[[#This Row],[PlantationDate]]))</f>
        <v>35 2025</v>
      </c>
      <c r="L4635" t="str">
        <f>CONCATENATE(MONTH(CompilDonnées[[#This Row],[PlantationDate]])," ", YEAR(CompilDonnées[[#This Row],[PlantationDate]]))</f>
        <v>8 2025</v>
      </c>
      <c r="M4635" t="str">
        <f>CONCATENATE(MONTH(CompilDonnées[[#This Row],[HarvestingDate]])," ", YEAR(CompilDonnées[[#This Row],[HarvestingDate]]))</f>
        <v>10 2025</v>
      </c>
      <c r="N4635">
        <f>_xlfn.NUMBERVALUE(CompilDonnées[[#This Row],[FarmID]]&amp;CompilDonnées[[#This Row],[ModuleNumber]]&amp;CompilDonnées[[#This Row],[PlantationDate]])</f>
        <v>83145896</v>
      </c>
      <c r="O4635" t="str">
        <f>CompilDonnées[[#This Row],[FarmID]]&amp;CompilDonnées[[#This Row],[ModuleNumber]]</f>
        <v>831</v>
      </c>
      <c r="P4635" t="str">
        <f>CompilDonnées[[#This Row],[Ref_Module]]&amp;CompilDonnées[[#This Row],[HarvestingDate]]</f>
        <v>83145945</v>
      </c>
    </row>
    <row r="4636" spans="1:16">
      <c r="A4636" s="5">
        <v>45896</v>
      </c>
      <c r="B4636">
        <v>77</v>
      </c>
      <c r="C4636" t="s">
        <v>75</v>
      </c>
      <c r="D4636">
        <v>6</v>
      </c>
      <c r="E4636">
        <v>100</v>
      </c>
      <c r="F4636" t="s">
        <v>1</v>
      </c>
      <c r="G4636" s="6">
        <v>45938</v>
      </c>
      <c r="H4636">
        <v>42</v>
      </c>
      <c r="I4636">
        <f>ROUND(CompilDonnées[[#This Row],[CultureDuration_days]]/7,0)</f>
        <v>6</v>
      </c>
      <c r="J4636">
        <v>1475</v>
      </c>
      <c r="K4636" t="str">
        <f>_xlfn.CONCAT(WEEKNUM(CompilDonnées[[#This Row],[PlantationDate]]), " ", YEAR(CompilDonnées[[#This Row],[PlantationDate]]))</f>
        <v>35 2025</v>
      </c>
      <c r="L4636" t="str">
        <f>CONCATENATE(MONTH(CompilDonnées[[#This Row],[PlantationDate]])," ", YEAR(CompilDonnées[[#This Row],[PlantationDate]]))</f>
        <v>8 2025</v>
      </c>
      <c r="M4636" t="str">
        <f>CONCATENATE(MONTH(CompilDonnées[[#This Row],[HarvestingDate]])," ", YEAR(CompilDonnées[[#This Row],[HarvestingDate]]))</f>
        <v>10 2025</v>
      </c>
      <c r="N4636">
        <f>_xlfn.NUMBERVALUE(CompilDonnées[[#This Row],[FarmID]]&amp;CompilDonnées[[#This Row],[ModuleNumber]]&amp;CompilDonnées[[#This Row],[PlantationDate]])</f>
        <v>77645896</v>
      </c>
      <c r="O4636" t="str">
        <f>CompilDonnées[[#This Row],[FarmID]]&amp;CompilDonnées[[#This Row],[ModuleNumber]]</f>
        <v>776</v>
      </c>
      <c r="P4636" t="str">
        <f>CompilDonnées[[#This Row],[Ref_Module]]&amp;CompilDonnées[[#This Row],[HarvestingDate]]</f>
        <v>77645938</v>
      </c>
    </row>
    <row r="4637" spans="1:16">
      <c r="A4637" s="5">
        <v>45896</v>
      </c>
      <c r="B4637">
        <v>76</v>
      </c>
      <c r="C4637" t="s">
        <v>18</v>
      </c>
      <c r="D4637">
        <v>6</v>
      </c>
      <c r="E4637">
        <v>100</v>
      </c>
      <c r="F4637" t="s">
        <v>1</v>
      </c>
      <c r="G4637" s="6">
        <v>45938</v>
      </c>
      <c r="H4637">
        <v>42</v>
      </c>
      <c r="I4637">
        <f>ROUND(CompilDonnées[[#This Row],[CultureDuration_days]]/7,0)</f>
        <v>6</v>
      </c>
      <c r="J4637">
        <v>2170</v>
      </c>
      <c r="K4637" t="str">
        <f>_xlfn.CONCAT(WEEKNUM(CompilDonnées[[#This Row],[PlantationDate]]), " ", YEAR(CompilDonnées[[#This Row],[PlantationDate]]))</f>
        <v>35 2025</v>
      </c>
      <c r="L4637" t="str">
        <f>CONCATENATE(MONTH(CompilDonnées[[#This Row],[PlantationDate]])," ", YEAR(CompilDonnées[[#This Row],[PlantationDate]]))</f>
        <v>8 2025</v>
      </c>
      <c r="M4637" t="str">
        <f>CONCATENATE(MONTH(CompilDonnées[[#This Row],[HarvestingDate]])," ", YEAR(CompilDonnées[[#This Row],[HarvestingDate]]))</f>
        <v>10 2025</v>
      </c>
      <c r="N4637">
        <f>_xlfn.NUMBERVALUE(CompilDonnées[[#This Row],[FarmID]]&amp;CompilDonnées[[#This Row],[ModuleNumber]]&amp;CompilDonnées[[#This Row],[PlantationDate]])</f>
        <v>76645896</v>
      </c>
      <c r="O4637" t="str">
        <f>CompilDonnées[[#This Row],[FarmID]]&amp;CompilDonnées[[#This Row],[ModuleNumber]]</f>
        <v>766</v>
      </c>
      <c r="P4637" t="str">
        <f>CompilDonnées[[#This Row],[Ref_Module]]&amp;CompilDonnées[[#This Row],[HarvestingDate]]</f>
        <v>76645938</v>
      </c>
    </row>
    <row r="4638" spans="1:16">
      <c r="A4638" s="5">
        <v>45896</v>
      </c>
      <c r="B4638">
        <v>74</v>
      </c>
      <c r="C4638" t="s">
        <v>21</v>
      </c>
      <c r="D4638">
        <v>5</v>
      </c>
      <c r="E4638">
        <v>100</v>
      </c>
      <c r="F4638" t="s">
        <v>1</v>
      </c>
      <c r="G4638" s="6">
        <v>45945</v>
      </c>
      <c r="H4638">
        <v>49</v>
      </c>
      <c r="I4638">
        <f>ROUND(CompilDonnées[[#This Row],[CultureDuration_days]]/7,0)</f>
        <v>7</v>
      </c>
      <c r="J4638">
        <v>2037</v>
      </c>
      <c r="K4638" t="str">
        <f>_xlfn.CONCAT(WEEKNUM(CompilDonnées[[#This Row],[PlantationDate]]), " ", YEAR(CompilDonnées[[#This Row],[PlantationDate]]))</f>
        <v>35 2025</v>
      </c>
      <c r="L4638" t="str">
        <f>CONCATENATE(MONTH(CompilDonnées[[#This Row],[PlantationDate]])," ", YEAR(CompilDonnées[[#This Row],[PlantationDate]]))</f>
        <v>8 2025</v>
      </c>
      <c r="M4638" t="str">
        <f>CONCATENATE(MONTH(CompilDonnées[[#This Row],[HarvestingDate]])," ", YEAR(CompilDonnées[[#This Row],[HarvestingDate]]))</f>
        <v>10 2025</v>
      </c>
      <c r="N4638">
        <f>_xlfn.NUMBERVALUE(CompilDonnées[[#This Row],[FarmID]]&amp;CompilDonnées[[#This Row],[ModuleNumber]]&amp;CompilDonnées[[#This Row],[PlantationDate]])</f>
        <v>74545896</v>
      </c>
      <c r="O4638" t="str">
        <f>CompilDonnées[[#This Row],[FarmID]]&amp;CompilDonnées[[#This Row],[ModuleNumber]]</f>
        <v>745</v>
      </c>
      <c r="P4638" t="str">
        <f>CompilDonnées[[#This Row],[Ref_Module]]&amp;CompilDonnées[[#This Row],[HarvestingDate]]</f>
        <v>74545945</v>
      </c>
    </row>
    <row r="4639" spans="1:16">
      <c r="A4639" s="5">
        <v>45896</v>
      </c>
      <c r="B4639">
        <v>73</v>
      </c>
      <c r="C4639" t="s">
        <v>20</v>
      </c>
      <c r="D4639">
        <v>3</v>
      </c>
      <c r="E4639">
        <v>100</v>
      </c>
      <c r="F4639" t="s">
        <v>1</v>
      </c>
      <c r="G4639" s="6">
        <v>45944</v>
      </c>
      <c r="H4639">
        <v>48</v>
      </c>
      <c r="I4639">
        <f>ROUND(CompilDonnées[[#This Row],[CultureDuration_days]]/7,0)</f>
        <v>7</v>
      </c>
      <c r="J4639">
        <v>2707</v>
      </c>
      <c r="K4639" t="str">
        <f>_xlfn.CONCAT(WEEKNUM(CompilDonnées[[#This Row],[PlantationDate]]), " ", YEAR(CompilDonnées[[#This Row],[PlantationDate]]))</f>
        <v>35 2025</v>
      </c>
      <c r="L4639" t="str">
        <f>CONCATENATE(MONTH(CompilDonnées[[#This Row],[PlantationDate]])," ", YEAR(CompilDonnées[[#This Row],[PlantationDate]]))</f>
        <v>8 2025</v>
      </c>
      <c r="M4639" t="str">
        <f>CONCATENATE(MONTH(CompilDonnées[[#This Row],[HarvestingDate]])," ", YEAR(CompilDonnées[[#This Row],[HarvestingDate]]))</f>
        <v>10 2025</v>
      </c>
      <c r="N4639">
        <f>_xlfn.NUMBERVALUE(CompilDonnées[[#This Row],[FarmID]]&amp;CompilDonnées[[#This Row],[ModuleNumber]]&amp;CompilDonnées[[#This Row],[PlantationDate]])</f>
        <v>73345896</v>
      </c>
      <c r="O4639" t="str">
        <f>CompilDonnées[[#This Row],[FarmID]]&amp;CompilDonnées[[#This Row],[ModuleNumber]]</f>
        <v>733</v>
      </c>
      <c r="P4639" t="str">
        <f>CompilDonnées[[#This Row],[Ref_Module]]&amp;CompilDonnées[[#This Row],[HarvestingDate]]</f>
        <v>73345944</v>
      </c>
    </row>
    <row r="4640" spans="1:16">
      <c r="A4640" s="5">
        <v>45896</v>
      </c>
      <c r="B4640">
        <v>19</v>
      </c>
      <c r="C4640" t="s">
        <v>3</v>
      </c>
      <c r="D4640">
        <v>2</v>
      </c>
      <c r="E4640">
        <v>52</v>
      </c>
      <c r="F4640" t="s">
        <v>1</v>
      </c>
      <c r="G4640" s="6">
        <v>45943</v>
      </c>
      <c r="H4640">
        <v>47</v>
      </c>
      <c r="I4640">
        <f>ROUND(CompilDonnées[[#This Row],[CultureDuration_days]]/7,0)</f>
        <v>7</v>
      </c>
      <c r="J4640">
        <v>1256</v>
      </c>
      <c r="K4640" t="str">
        <f>_xlfn.CONCAT(WEEKNUM(CompilDonnées[[#This Row],[PlantationDate]]), " ", YEAR(CompilDonnées[[#This Row],[PlantationDate]]))</f>
        <v>35 2025</v>
      </c>
      <c r="L4640" t="str">
        <f>CONCATENATE(MONTH(CompilDonnées[[#This Row],[PlantationDate]])," ", YEAR(CompilDonnées[[#This Row],[PlantationDate]]))</f>
        <v>8 2025</v>
      </c>
      <c r="M4640" t="str">
        <f>CONCATENATE(MONTH(CompilDonnées[[#This Row],[HarvestingDate]])," ", YEAR(CompilDonnées[[#This Row],[HarvestingDate]]))</f>
        <v>10 2025</v>
      </c>
      <c r="N4640">
        <f>_xlfn.NUMBERVALUE(CompilDonnées[[#This Row],[FarmID]]&amp;CompilDonnées[[#This Row],[ModuleNumber]]&amp;CompilDonnées[[#This Row],[PlantationDate]])</f>
        <v>19245896</v>
      </c>
      <c r="O4640" t="str">
        <f>CompilDonnées[[#This Row],[FarmID]]&amp;CompilDonnées[[#This Row],[ModuleNumber]]</f>
        <v>192</v>
      </c>
      <c r="P4640" t="str">
        <f>CompilDonnées[[#This Row],[Ref_Module]]&amp;CompilDonnées[[#This Row],[HarvestingDate]]</f>
        <v>19245943</v>
      </c>
    </row>
    <row r="4641" spans="1:16">
      <c r="A4641" s="5">
        <v>45896</v>
      </c>
      <c r="B4641">
        <v>19</v>
      </c>
      <c r="C4641" t="s">
        <v>3</v>
      </c>
      <c r="D4641">
        <v>4</v>
      </c>
      <c r="E4641">
        <v>68</v>
      </c>
      <c r="F4641" t="s">
        <v>1</v>
      </c>
      <c r="G4641" s="6">
        <v>45943</v>
      </c>
      <c r="H4641">
        <v>47</v>
      </c>
      <c r="I4641">
        <f>ROUND(CompilDonnées[[#This Row],[CultureDuration_days]]/7,0)</f>
        <v>7</v>
      </c>
      <c r="J4641">
        <v>1202</v>
      </c>
      <c r="K4641" t="str">
        <f>_xlfn.CONCAT(WEEKNUM(CompilDonnées[[#This Row],[PlantationDate]]), " ", YEAR(CompilDonnées[[#This Row],[PlantationDate]]))</f>
        <v>35 2025</v>
      </c>
      <c r="L4641" t="str">
        <f>CONCATENATE(MONTH(CompilDonnées[[#This Row],[PlantationDate]])," ", YEAR(CompilDonnées[[#This Row],[PlantationDate]]))</f>
        <v>8 2025</v>
      </c>
      <c r="M4641" t="str">
        <f>CONCATENATE(MONTH(CompilDonnées[[#This Row],[HarvestingDate]])," ", YEAR(CompilDonnées[[#This Row],[HarvestingDate]]))</f>
        <v>10 2025</v>
      </c>
      <c r="N4641">
        <f>_xlfn.NUMBERVALUE(CompilDonnées[[#This Row],[FarmID]]&amp;CompilDonnées[[#This Row],[ModuleNumber]]&amp;CompilDonnées[[#This Row],[PlantationDate]])</f>
        <v>19445896</v>
      </c>
      <c r="O4641" t="str">
        <f>CompilDonnées[[#This Row],[FarmID]]&amp;CompilDonnées[[#This Row],[ModuleNumber]]</f>
        <v>194</v>
      </c>
      <c r="P4641" t="str">
        <f>CompilDonnées[[#This Row],[Ref_Module]]&amp;CompilDonnées[[#This Row],[HarvestingDate]]</f>
        <v>19445943</v>
      </c>
    </row>
    <row r="4642" spans="1:16">
      <c r="A4642" s="5">
        <v>45896</v>
      </c>
      <c r="B4642">
        <v>19</v>
      </c>
      <c r="C4642" t="s">
        <v>3</v>
      </c>
      <c r="D4642">
        <v>6</v>
      </c>
      <c r="E4642">
        <v>99</v>
      </c>
      <c r="F4642" t="s">
        <v>1</v>
      </c>
      <c r="G4642" s="6">
        <v>45943</v>
      </c>
      <c r="H4642">
        <v>47</v>
      </c>
      <c r="I4642">
        <f>ROUND(CompilDonnées[[#This Row],[CultureDuration_days]]/7,0)</f>
        <v>7</v>
      </c>
      <c r="J4642">
        <v>1212</v>
      </c>
      <c r="K4642" t="str">
        <f>_xlfn.CONCAT(WEEKNUM(CompilDonnées[[#This Row],[PlantationDate]]), " ", YEAR(CompilDonnées[[#This Row],[PlantationDate]]))</f>
        <v>35 2025</v>
      </c>
      <c r="L4642" t="str">
        <f>CONCATENATE(MONTH(CompilDonnées[[#This Row],[PlantationDate]])," ", YEAR(CompilDonnées[[#This Row],[PlantationDate]]))</f>
        <v>8 2025</v>
      </c>
      <c r="M4642" t="str">
        <f>CONCATENATE(MONTH(CompilDonnées[[#This Row],[HarvestingDate]])," ", YEAR(CompilDonnées[[#This Row],[HarvestingDate]]))</f>
        <v>10 2025</v>
      </c>
      <c r="N4642">
        <f>_xlfn.NUMBERVALUE(CompilDonnées[[#This Row],[FarmID]]&amp;CompilDonnées[[#This Row],[ModuleNumber]]&amp;CompilDonnées[[#This Row],[PlantationDate]])</f>
        <v>19645896</v>
      </c>
      <c r="O4642" t="str">
        <f>CompilDonnées[[#This Row],[FarmID]]&amp;CompilDonnées[[#This Row],[ModuleNumber]]</f>
        <v>196</v>
      </c>
      <c r="P4642" t="str">
        <f>CompilDonnées[[#This Row],[Ref_Module]]&amp;CompilDonnées[[#This Row],[HarvestingDate]]</f>
        <v>19645943</v>
      </c>
    </row>
    <row r="4643" spans="1:16">
      <c r="A4643" s="5">
        <v>45896</v>
      </c>
      <c r="B4643">
        <v>146</v>
      </c>
      <c r="C4643" t="s">
        <v>3</v>
      </c>
      <c r="D4643">
        <v>1</v>
      </c>
      <c r="E4643">
        <v>100</v>
      </c>
      <c r="F4643" t="s">
        <v>1</v>
      </c>
      <c r="G4643" s="6">
        <v>45946</v>
      </c>
      <c r="H4643">
        <v>50</v>
      </c>
      <c r="I4643">
        <f>ROUND(CompilDonnées[[#This Row],[CultureDuration_days]]/7,0)</f>
        <v>7</v>
      </c>
      <c r="J4643">
        <v>5292</v>
      </c>
      <c r="K4643" t="str">
        <f>_xlfn.CONCAT(WEEKNUM(CompilDonnées[[#This Row],[PlantationDate]]), " ", YEAR(CompilDonnées[[#This Row],[PlantationDate]]))</f>
        <v>35 2025</v>
      </c>
      <c r="L4643" t="str">
        <f>CONCATENATE(MONTH(CompilDonnées[[#This Row],[PlantationDate]])," ", YEAR(CompilDonnées[[#This Row],[PlantationDate]]))</f>
        <v>8 2025</v>
      </c>
      <c r="M4643" t="str">
        <f>CONCATENATE(MONTH(CompilDonnées[[#This Row],[HarvestingDate]])," ", YEAR(CompilDonnées[[#This Row],[HarvestingDate]]))</f>
        <v>10 2025</v>
      </c>
      <c r="N4643">
        <f>_xlfn.NUMBERVALUE(CompilDonnées[[#This Row],[FarmID]]&amp;CompilDonnées[[#This Row],[ModuleNumber]]&amp;CompilDonnées[[#This Row],[PlantationDate]])</f>
        <v>146145896</v>
      </c>
      <c r="O4643" t="str">
        <f>CompilDonnées[[#This Row],[FarmID]]&amp;CompilDonnées[[#This Row],[ModuleNumber]]</f>
        <v>1461</v>
      </c>
      <c r="P4643" t="str">
        <f>CompilDonnées[[#This Row],[Ref_Module]]&amp;CompilDonnées[[#This Row],[HarvestingDate]]</f>
        <v>146145946</v>
      </c>
    </row>
    <row r="4644" spans="1:16">
      <c r="A4644" s="5">
        <v>45896</v>
      </c>
      <c r="B4644">
        <v>146</v>
      </c>
      <c r="C4644" t="s">
        <v>3</v>
      </c>
      <c r="D4644">
        <v>2</v>
      </c>
      <c r="E4644">
        <v>100</v>
      </c>
      <c r="F4644" t="s">
        <v>1</v>
      </c>
      <c r="G4644" s="6">
        <v>45947</v>
      </c>
      <c r="H4644">
        <v>51</v>
      </c>
      <c r="I4644">
        <f>ROUND(CompilDonnées[[#This Row],[CultureDuration_days]]/7,0)</f>
        <v>7</v>
      </c>
      <c r="J4644">
        <v>5407</v>
      </c>
      <c r="K4644" t="str">
        <f>_xlfn.CONCAT(WEEKNUM(CompilDonnées[[#This Row],[PlantationDate]]), " ", YEAR(CompilDonnées[[#This Row],[PlantationDate]]))</f>
        <v>35 2025</v>
      </c>
      <c r="L4644" t="str">
        <f>CONCATENATE(MONTH(CompilDonnées[[#This Row],[PlantationDate]])," ", YEAR(CompilDonnées[[#This Row],[PlantationDate]]))</f>
        <v>8 2025</v>
      </c>
      <c r="M4644" t="str">
        <f>CONCATENATE(MONTH(CompilDonnées[[#This Row],[HarvestingDate]])," ", YEAR(CompilDonnées[[#This Row],[HarvestingDate]]))</f>
        <v>10 2025</v>
      </c>
      <c r="N4644">
        <f>_xlfn.NUMBERVALUE(CompilDonnées[[#This Row],[FarmID]]&amp;CompilDonnées[[#This Row],[ModuleNumber]]&amp;CompilDonnées[[#This Row],[PlantationDate]])</f>
        <v>146245896</v>
      </c>
      <c r="O4644" t="str">
        <f>CompilDonnées[[#This Row],[FarmID]]&amp;CompilDonnées[[#This Row],[ModuleNumber]]</f>
        <v>1462</v>
      </c>
      <c r="P4644" t="str">
        <f>CompilDonnées[[#This Row],[Ref_Module]]&amp;CompilDonnées[[#This Row],[HarvestingDate]]</f>
        <v>146245947</v>
      </c>
    </row>
    <row r="4645" spans="1:16">
      <c r="A4645" s="5">
        <v>45897</v>
      </c>
      <c r="B4645">
        <v>46</v>
      </c>
      <c r="C4645" t="s">
        <v>8</v>
      </c>
      <c r="D4645">
        <v>5</v>
      </c>
      <c r="E4645">
        <v>100</v>
      </c>
      <c r="F4645" t="s">
        <v>1</v>
      </c>
      <c r="G4645" s="6">
        <v>45953</v>
      </c>
      <c r="H4645">
        <v>56</v>
      </c>
      <c r="I4645">
        <f>ROUND(CompilDonnées[[#This Row],[CultureDuration_days]]/7,0)</f>
        <v>8</v>
      </c>
      <c r="J4645">
        <v>3079</v>
      </c>
      <c r="K4645" t="str">
        <f>_xlfn.CONCAT(WEEKNUM(CompilDonnées[[#This Row],[PlantationDate]]), " ", YEAR(CompilDonnées[[#This Row],[PlantationDate]]))</f>
        <v>35 2025</v>
      </c>
      <c r="L4645" t="str">
        <f>CONCATENATE(MONTH(CompilDonnées[[#This Row],[PlantationDate]])," ", YEAR(CompilDonnées[[#This Row],[PlantationDate]]))</f>
        <v>8 2025</v>
      </c>
      <c r="M4645" t="str">
        <f>CONCATENATE(MONTH(CompilDonnées[[#This Row],[HarvestingDate]])," ", YEAR(CompilDonnées[[#This Row],[HarvestingDate]]))</f>
        <v>10 2025</v>
      </c>
      <c r="N4645">
        <f>_xlfn.NUMBERVALUE(CompilDonnées[[#This Row],[FarmID]]&amp;CompilDonnées[[#This Row],[ModuleNumber]]&amp;CompilDonnées[[#This Row],[PlantationDate]])</f>
        <v>46545897</v>
      </c>
      <c r="O4645" t="str">
        <f>CompilDonnées[[#This Row],[FarmID]]&amp;CompilDonnées[[#This Row],[ModuleNumber]]</f>
        <v>465</v>
      </c>
      <c r="P4645" t="str">
        <f>CompilDonnées[[#This Row],[Ref_Module]]&amp;CompilDonnées[[#This Row],[HarvestingDate]]</f>
        <v>46545953</v>
      </c>
    </row>
    <row r="4646" spans="1:16">
      <c r="A4646" s="5">
        <v>45897</v>
      </c>
      <c r="B4646">
        <v>53</v>
      </c>
      <c r="C4646" t="s">
        <v>83</v>
      </c>
      <c r="D4646">
        <v>2</v>
      </c>
      <c r="E4646">
        <v>100</v>
      </c>
      <c r="F4646" t="s">
        <v>1</v>
      </c>
      <c r="G4646" s="6">
        <v>45944</v>
      </c>
      <c r="H4646">
        <v>47</v>
      </c>
      <c r="I4646">
        <f>ROUND(CompilDonnées[[#This Row],[CultureDuration_days]]/7,0)</f>
        <v>7</v>
      </c>
      <c r="J4646">
        <v>2299</v>
      </c>
      <c r="K4646" t="str">
        <f>_xlfn.CONCAT(WEEKNUM(CompilDonnées[[#This Row],[PlantationDate]]), " ", YEAR(CompilDonnées[[#This Row],[PlantationDate]]))</f>
        <v>35 2025</v>
      </c>
      <c r="L4646" t="str">
        <f>CONCATENATE(MONTH(CompilDonnées[[#This Row],[PlantationDate]])," ", YEAR(CompilDonnées[[#This Row],[PlantationDate]]))</f>
        <v>8 2025</v>
      </c>
      <c r="M4646" t="str">
        <f>CONCATENATE(MONTH(CompilDonnées[[#This Row],[HarvestingDate]])," ", YEAR(CompilDonnées[[#This Row],[HarvestingDate]]))</f>
        <v>10 2025</v>
      </c>
      <c r="N4646">
        <f>_xlfn.NUMBERVALUE(CompilDonnées[[#This Row],[FarmID]]&amp;CompilDonnées[[#This Row],[ModuleNumber]]&amp;CompilDonnées[[#This Row],[PlantationDate]])</f>
        <v>53245897</v>
      </c>
      <c r="O4646" t="str">
        <f>CompilDonnées[[#This Row],[FarmID]]&amp;CompilDonnées[[#This Row],[ModuleNumber]]</f>
        <v>532</v>
      </c>
      <c r="P4646" t="str">
        <f>CompilDonnées[[#This Row],[Ref_Module]]&amp;CompilDonnées[[#This Row],[HarvestingDate]]</f>
        <v>53245944</v>
      </c>
    </row>
    <row r="4647" spans="1:16">
      <c r="A4647" s="5">
        <v>45897</v>
      </c>
      <c r="B4647">
        <v>60</v>
      </c>
      <c r="C4647" t="s">
        <v>113</v>
      </c>
      <c r="D4647">
        <v>2</v>
      </c>
      <c r="E4647">
        <v>100</v>
      </c>
      <c r="F4647" t="s">
        <v>1</v>
      </c>
      <c r="G4647" s="6">
        <v>45944</v>
      </c>
      <c r="H4647">
        <v>47</v>
      </c>
      <c r="I4647">
        <f>ROUND(CompilDonnées[[#This Row],[CultureDuration_days]]/7,0)</f>
        <v>7</v>
      </c>
      <c r="J4647">
        <v>2036</v>
      </c>
      <c r="K4647" t="str">
        <f>_xlfn.CONCAT(WEEKNUM(CompilDonnées[[#This Row],[PlantationDate]]), " ", YEAR(CompilDonnées[[#This Row],[PlantationDate]]))</f>
        <v>35 2025</v>
      </c>
      <c r="L4647" t="str">
        <f>CONCATENATE(MONTH(CompilDonnées[[#This Row],[PlantationDate]])," ", YEAR(CompilDonnées[[#This Row],[PlantationDate]]))</f>
        <v>8 2025</v>
      </c>
      <c r="M4647" t="str">
        <f>CONCATENATE(MONTH(CompilDonnées[[#This Row],[HarvestingDate]])," ", YEAR(CompilDonnées[[#This Row],[HarvestingDate]]))</f>
        <v>10 2025</v>
      </c>
      <c r="N4647">
        <f>_xlfn.NUMBERVALUE(CompilDonnées[[#This Row],[FarmID]]&amp;CompilDonnées[[#This Row],[ModuleNumber]]&amp;CompilDonnées[[#This Row],[PlantationDate]])</f>
        <v>60245897</v>
      </c>
      <c r="O4647" t="str">
        <f>CompilDonnées[[#This Row],[FarmID]]&amp;CompilDonnées[[#This Row],[ModuleNumber]]</f>
        <v>602</v>
      </c>
      <c r="P4647" t="str">
        <f>CompilDonnées[[#This Row],[Ref_Module]]&amp;CompilDonnées[[#This Row],[HarvestingDate]]</f>
        <v>60245944</v>
      </c>
    </row>
    <row r="4648" spans="1:16">
      <c r="A4648" s="5">
        <v>45897</v>
      </c>
      <c r="B4648">
        <v>69</v>
      </c>
      <c r="C4648" t="s">
        <v>102</v>
      </c>
      <c r="D4648">
        <v>3</v>
      </c>
      <c r="E4648">
        <v>100</v>
      </c>
      <c r="F4648" t="s">
        <v>1</v>
      </c>
      <c r="G4648" s="6">
        <v>45952</v>
      </c>
      <c r="H4648">
        <v>55</v>
      </c>
      <c r="I4648">
        <f>ROUND(CompilDonnées[[#This Row],[CultureDuration_days]]/7,0)</f>
        <v>8</v>
      </c>
      <c r="J4648">
        <v>2032</v>
      </c>
      <c r="K4648" t="str">
        <f>_xlfn.CONCAT(WEEKNUM(CompilDonnées[[#This Row],[PlantationDate]]), " ", YEAR(CompilDonnées[[#This Row],[PlantationDate]]))</f>
        <v>35 2025</v>
      </c>
      <c r="L4648" t="str">
        <f>CONCATENATE(MONTH(CompilDonnées[[#This Row],[PlantationDate]])," ", YEAR(CompilDonnées[[#This Row],[PlantationDate]]))</f>
        <v>8 2025</v>
      </c>
      <c r="M4648" t="str">
        <f>CONCATENATE(MONTH(CompilDonnées[[#This Row],[HarvestingDate]])," ", YEAR(CompilDonnées[[#This Row],[HarvestingDate]]))</f>
        <v>10 2025</v>
      </c>
      <c r="N4648">
        <f>_xlfn.NUMBERVALUE(CompilDonnées[[#This Row],[FarmID]]&amp;CompilDonnées[[#This Row],[ModuleNumber]]&amp;CompilDonnées[[#This Row],[PlantationDate]])</f>
        <v>69345897</v>
      </c>
      <c r="O4648" t="str">
        <f>CompilDonnées[[#This Row],[FarmID]]&amp;CompilDonnées[[#This Row],[ModuleNumber]]</f>
        <v>693</v>
      </c>
      <c r="P4648" t="str">
        <f>CompilDonnées[[#This Row],[Ref_Module]]&amp;CompilDonnées[[#This Row],[HarvestingDate]]</f>
        <v>69345952</v>
      </c>
    </row>
    <row r="4649" spans="1:16">
      <c r="A4649" s="5">
        <v>45897</v>
      </c>
      <c r="B4649">
        <v>70</v>
      </c>
      <c r="C4649" t="s">
        <v>7</v>
      </c>
      <c r="D4649">
        <v>4</v>
      </c>
      <c r="E4649">
        <v>100</v>
      </c>
      <c r="F4649" t="s">
        <v>1</v>
      </c>
      <c r="G4649" s="6">
        <v>45952</v>
      </c>
      <c r="H4649">
        <v>55</v>
      </c>
      <c r="I4649">
        <f>ROUND(CompilDonnées[[#This Row],[CultureDuration_days]]/7,0)</f>
        <v>8</v>
      </c>
      <c r="J4649">
        <v>1747</v>
      </c>
      <c r="K4649" t="str">
        <f>_xlfn.CONCAT(WEEKNUM(CompilDonnées[[#This Row],[PlantationDate]]), " ", YEAR(CompilDonnées[[#This Row],[PlantationDate]]))</f>
        <v>35 2025</v>
      </c>
      <c r="L4649" t="str">
        <f>CONCATENATE(MONTH(CompilDonnées[[#This Row],[PlantationDate]])," ", YEAR(CompilDonnées[[#This Row],[PlantationDate]]))</f>
        <v>8 2025</v>
      </c>
      <c r="M4649" t="str">
        <f>CONCATENATE(MONTH(CompilDonnées[[#This Row],[HarvestingDate]])," ", YEAR(CompilDonnées[[#This Row],[HarvestingDate]]))</f>
        <v>10 2025</v>
      </c>
      <c r="N4649">
        <f>_xlfn.NUMBERVALUE(CompilDonnées[[#This Row],[FarmID]]&amp;CompilDonnées[[#This Row],[ModuleNumber]]&amp;CompilDonnées[[#This Row],[PlantationDate]])</f>
        <v>70445897</v>
      </c>
      <c r="O4649" t="str">
        <f>CompilDonnées[[#This Row],[FarmID]]&amp;CompilDonnées[[#This Row],[ModuleNumber]]</f>
        <v>704</v>
      </c>
      <c r="P4649" t="str">
        <f>CompilDonnées[[#This Row],[Ref_Module]]&amp;CompilDonnées[[#This Row],[HarvestingDate]]</f>
        <v>70445952</v>
      </c>
    </row>
    <row r="4650" spans="1:16">
      <c r="A4650" s="5">
        <v>45897</v>
      </c>
      <c r="B4650">
        <v>61</v>
      </c>
      <c r="C4650" t="s">
        <v>95</v>
      </c>
      <c r="D4650">
        <v>4</v>
      </c>
      <c r="E4650">
        <v>100</v>
      </c>
      <c r="F4650" t="s">
        <v>1</v>
      </c>
      <c r="G4650" s="6">
        <v>45945</v>
      </c>
      <c r="H4650">
        <v>48</v>
      </c>
      <c r="I4650">
        <f>ROUND(CompilDonnées[[#This Row],[CultureDuration_days]]/7,0)</f>
        <v>7</v>
      </c>
      <c r="J4650">
        <v>1725</v>
      </c>
      <c r="K4650" t="str">
        <f>_xlfn.CONCAT(WEEKNUM(CompilDonnées[[#This Row],[PlantationDate]]), " ", YEAR(CompilDonnées[[#This Row],[PlantationDate]]))</f>
        <v>35 2025</v>
      </c>
      <c r="L4650" t="str">
        <f>CONCATENATE(MONTH(CompilDonnées[[#This Row],[PlantationDate]])," ", YEAR(CompilDonnées[[#This Row],[PlantationDate]]))</f>
        <v>8 2025</v>
      </c>
      <c r="M4650" t="str">
        <f>CONCATENATE(MONTH(CompilDonnées[[#This Row],[HarvestingDate]])," ", YEAR(CompilDonnées[[#This Row],[HarvestingDate]]))</f>
        <v>10 2025</v>
      </c>
      <c r="N4650">
        <f>_xlfn.NUMBERVALUE(CompilDonnées[[#This Row],[FarmID]]&amp;CompilDonnées[[#This Row],[ModuleNumber]]&amp;CompilDonnées[[#This Row],[PlantationDate]])</f>
        <v>61445897</v>
      </c>
      <c r="O4650" t="str">
        <f>CompilDonnées[[#This Row],[FarmID]]&amp;CompilDonnées[[#This Row],[ModuleNumber]]</f>
        <v>614</v>
      </c>
      <c r="P4650" t="str">
        <f>CompilDonnées[[#This Row],[Ref_Module]]&amp;CompilDonnées[[#This Row],[HarvestingDate]]</f>
        <v>61445945</v>
      </c>
    </row>
    <row r="4651" spans="1:16">
      <c r="A4651" s="5">
        <v>45897</v>
      </c>
      <c r="B4651">
        <v>30</v>
      </c>
      <c r="C4651" t="s">
        <v>4</v>
      </c>
      <c r="D4651">
        <v>2</v>
      </c>
      <c r="E4651">
        <v>100</v>
      </c>
      <c r="F4651" t="s">
        <v>1</v>
      </c>
      <c r="G4651" s="6">
        <v>45925</v>
      </c>
      <c r="H4651">
        <v>28</v>
      </c>
      <c r="I4651">
        <f>ROUND(CompilDonnées[[#This Row],[CultureDuration_days]]/7,0)</f>
        <v>4</v>
      </c>
      <c r="J4651">
        <v>600</v>
      </c>
      <c r="K4651" t="str">
        <f>_xlfn.CONCAT(WEEKNUM(CompilDonnées[[#This Row],[PlantationDate]]), " ", YEAR(CompilDonnées[[#This Row],[PlantationDate]]))</f>
        <v>35 2025</v>
      </c>
      <c r="L4651" t="str">
        <f>CONCATENATE(MONTH(CompilDonnées[[#This Row],[PlantationDate]])," ", YEAR(CompilDonnées[[#This Row],[PlantationDate]]))</f>
        <v>8 2025</v>
      </c>
      <c r="M4651" t="str">
        <f>CONCATENATE(MONTH(CompilDonnées[[#This Row],[HarvestingDate]])," ", YEAR(CompilDonnées[[#This Row],[HarvestingDate]]))</f>
        <v>9 2025</v>
      </c>
      <c r="N4651">
        <f>_xlfn.NUMBERVALUE(CompilDonnées[[#This Row],[FarmID]]&amp;CompilDonnées[[#This Row],[ModuleNumber]]&amp;CompilDonnées[[#This Row],[PlantationDate]])</f>
        <v>30245897</v>
      </c>
      <c r="O4651" t="str">
        <f>CompilDonnées[[#This Row],[FarmID]]&amp;CompilDonnées[[#This Row],[ModuleNumber]]</f>
        <v>302</v>
      </c>
      <c r="P4651" t="str">
        <f>CompilDonnées[[#This Row],[Ref_Module]]&amp;CompilDonnées[[#This Row],[HarvestingDate]]</f>
        <v>30245925</v>
      </c>
    </row>
    <row r="4652" spans="1:16">
      <c r="A4652" s="5">
        <v>45897</v>
      </c>
      <c r="B4652">
        <v>30</v>
      </c>
      <c r="C4652" t="s">
        <v>4</v>
      </c>
      <c r="D4652">
        <v>1</v>
      </c>
      <c r="E4652">
        <v>100</v>
      </c>
      <c r="F4652" t="s">
        <v>1</v>
      </c>
      <c r="G4652" s="6">
        <v>45925</v>
      </c>
      <c r="H4652">
        <v>28</v>
      </c>
      <c r="I4652">
        <f>ROUND(CompilDonnées[[#This Row],[CultureDuration_days]]/7,0)</f>
        <v>4</v>
      </c>
      <c r="J4652">
        <v>600</v>
      </c>
      <c r="K4652" t="str">
        <f>_xlfn.CONCAT(WEEKNUM(CompilDonnées[[#This Row],[PlantationDate]]), " ", YEAR(CompilDonnées[[#This Row],[PlantationDate]]))</f>
        <v>35 2025</v>
      </c>
      <c r="L4652" t="str">
        <f>CONCATENATE(MONTH(CompilDonnées[[#This Row],[PlantationDate]])," ", YEAR(CompilDonnées[[#This Row],[PlantationDate]]))</f>
        <v>8 2025</v>
      </c>
      <c r="M4652" t="str">
        <f>CONCATENATE(MONTH(CompilDonnées[[#This Row],[HarvestingDate]])," ", YEAR(CompilDonnées[[#This Row],[HarvestingDate]]))</f>
        <v>9 2025</v>
      </c>
      <c r="N4652">
        <f>_xlfn.NUMBERVALUE(CompilDonnées[[#This Row],[FarmID]]&amp;CompilDonnées[[#This Row],[ModuleNumber]]&amp;CompilDonnées[[#This Row],[PlantationDate]])</f>
        <v>30145897</v>
      </c>
      <c r="O4652" t="str">
        <f>CompilDonnées[[#This Row],[FarmID]]&amp;CompilDonnées[[#This Row],[ModuleNumber]]</f>
        <v>301</v>
      </c>
      <c r="P4652" t="str">
        <f>CompilDonnées[[#This Row],[Ref_Module]]&amp;CompilDonnées[[#This Row],[HarvestingDate]]</f>
        <v>30145925</v>
      </c>
    </row>
    <row r="4653" spans="1:16">
      <c r="A4653" s="5">
        <v>45897</v>
      </c>
      <c r="B4653">
        <v>45</v>
      </c>
      <c r="C4653" t="s">
        <v>77</v>
      </c>
      <c r="D4653">
        <v>3</v>
      </c>
      <c r="E4653">
        <v>100</v>
      </c>
      <c r="F4653" t="s">
        <v>1</v>
      </c>
      <c r="G4653" s="6">
        <v>45943</v>
      </c>
      <c r="H4653">
        <v>46</v>
      </c>
      <c r="I4653">
        <f>ROUND(CompilDonnées[[#This Row],[CultureDuration_days]]/7,0)</f>
        <v>7</v>
      </c>
      <c r="J4653">
        <v>3325</v>
      </c>
      <c r="K4653" t="str">
        <f>_xlfn.CONCAT(WEEKNUM(CompilDonnées[[#This Row],[PlantationDate]]), " ", YEAR(CompilDonnées[[#This Row],[PlantationDate]]))</f>
        <v>35 2025</v>
      </c>
      <c r="L4653" t="str">
        <f>CONCATENATE(MONTH(CompilDonnées[[#This Row],[PlantationDate]])," ", YEAR(CompilDonnées[[#This Row],[PlantationDate]]))</f>
        <v>8 2025</v>
      </c>
      <c r="M4653" t="str">
        <f>CONCATENATE(MONTH(CompilDonnées[[#This Row],[HarvestingDate]])," ", YEAR(CompilDonnées[[#This Row],[HarvestingDate]]))</f>
        <v>10 2025</v>
      </c>
      <c r="N4653">
        <f>_xlfn.NUMBERVALUE(CompilDonnées[[#This Row],[FarmID]]&amp;CompilDonnées[[#This Row],[ModuleNumber]]&amp;CompilDonnées[[#This Row],[PlantationDate]])</f>
        <v>45345897</v>
      </c>
      <c r="O4653" t="str">
        <f>CompilDonnées[[#This Row],[FarmID]]&amp;CompilDonnées[[#This Row],[ModuleNumber]]</f>
        <v>453</v>
      </c>
      <c r="P4653" t="str">
        <f>CompilDonnées[[#This Row],[Ref_Module]]&amp;CompilDonnées[[#This Row],[HarvestingDate]]</f>
        <v>45345943</v>
      </c>
    </row>
    <row r="4654" spans="1:16">
      <c r="A4654" s="5">
        <v>45897</v>
      </c>
      <c r="B4654">
        <v>83</v>
      </c>
      <c r="C4654" t="s">
        <v>73</v>
      </c>
      <c r="D4654">
        <v>2</v>
      </c>
      <c r="E4654">
        <v>100</v>
      </c>
      <c r="F4654" t="s">
        <v>1</v>
      </c>
      <c r="G4654" s="6">
        <v>45945</v>
      </c>
      <c r="H4654">
        <v>48</v>
      </c>
      <c r="I4654">
        <f>ROUND(CompilDonnées[[#This Row],[CultureDuration_days]]/7,0)</f>
        <v>7</v>
      </c>
      <c r="J4654">
        <v>2328</v>
      </c>
      <c r="K4654" t="str">
        <f>_xlfn.CONCAT(WEEKNUM(CompilDonnées[[#This Row],[PlantationDate]]), " ", YEAR(CompilDonnées[[#This Row],[PlantationDate]]))</f>
        <v>35 2025</v>
      </c>
      <c r="L4654" t="str">
        <f>CONCATENATE(MONTH(CompilDonnées[[#This Row],[PlantationDate]])," ", YEAR(CompilDonnées[[#This Row],[PlantationDate]]))</f>
        <v>8 2025</v>
      </c>
      <c r="M4654" t="str">
        <f>CONCATENATE(MONTH(CompilDonnées[[#This Row],[HarvestingDate]])," ", YEAR(CompilDonnées[[#This Row],[HarvestingDate]]))</f>
        <v>10 2025</v>
      </c>
      <c r="N4654">
        <f>_xlfn.NUMBERVALUE(CompilDonnées[[#This Row],[FarmID]]&amp;CompilDonnées[[#This Row],[ModuleNumber]]&amp;CompilDonnées[[#This Row],[PlantationDate]])</f>
        <v>83245897</v>
      </c>
      <c r="O4654" t="str">
        <f>CompilDonnées[[#This Row],[FarmID]]&amp;CompilDonnées[[#This Row],[ModuleNumber]]</f>
        <v>832</v>
      </c>
      <c r="P4654" t="str">
        <f>CompilDonnées[[#This Row],[Ref_Module]]&amp;CompilDonnées[[#This Row],[HarvestingDate]]</f>
        <v>83245945</v>
      </c>
    </row>
    <row r="4655" spans="1:16">
      <c r="A4655" s="5">
        <v>45897</v>
      </c>
      <c r="B4655">
        <v>79</v>
      </c>
      <c r="C4655" t="s">
        <v>61</v>
      </c>
      <c r="D4655">
        <v>6</v>
      </c>
      <c r="E4655">
        <v>100</v>
      </c>
      <c r="F4655" t="s">
        <v>1</v>
      </c>
      <c r="G4655" s="6">
        <v>45944</v>
      </c>
      <c r="H4655">
        <v>47</v>
      </c>
      <c r="I4655">
        <f>ROUND(CompilDonnées[[#This Row],[CultureDuration_days]]/7,0)</f>
        <v>7</v>
      </c>
      <c r="J4655">
        <v>3524</v>
      </c>
      <c r="K4655" t="str">
        <f>_xlfn.CONCAT(WEEKNUM(CompilDonnées[[#This Row],[PlantationDate]]), " ", YEAR(CompilDonnées[[#This Row],[PlantationDate]]))</f>
        <v>35 2025</v>
      </c>
      <c r="L4655" t="str">
        <f>CONCATENATE(MONTH(CompilDonnées[[#This Row],[PlantationDate]])," ", YEAR(CompilDonnées[[#This Row],[PlantationDate]]))</f>
        <v>8 2025</v>
      </c>
      <c r="M4655" t="str">
        <f>CONCATENATE(MONTH(CompilDonnées[[#This Row],[HarvestingDate]])," ", YEAR(CompilDonnées[[#This Row],[HarvestingDate]]))</f>
        <v>10 2025</v>
      </c>
      <c r="N4655">
        <f>_xlfn.NUMBERVALUE(CompilDonnées[[#This Row],[FarmID]]&amp;CompilDonnées[[#This Row],[ModuleNumber]]&amp;CompilDonnées[[#This Row],[PlantationDate]])</f>
        <v>79645897</v>
      </c>
      <c r="O4655" t="str">
        <f>CompilDonnées[[#This Row],[FarmID]]&amp;CompilDonnées[[#This Row],[ModuleNumber]]</f>
        <v>796</v>
      </c>
      <c r="P4655" t="str">
        <f>CompilDonnées[[#This Row],[Ref_Module]]&amp;CompilDonnées[[#This Row],[HarvestingDate]]</f>
        <v>79645944</v>
      </c>
    </row>
    <row r="4656" spans="1:16">
      <c r="A4656" s="5">
        <v>45897</v>
      </c>
      <c r="B4656">
        <v>71</v>
      </c>
      <c r="C4656" t="s">
        <v>19</v>
      </c>
      <c r="D4656">
        <v>1</v>
      </c>
      <c r="E4656">
        <v>100</v>
      </c>
      <c r="F4656" t="s">
        <v>1</v>
      </c>
      <c r="G4656" s="6">
        <v>45958</v>
      </c>
      <c r="H4656">
        <v>61</v>
      </c>
      <c r="I4656">
        <f>ROUND(CompilDonnées[[#This Row],[CultureDuration_days]]/7,0)</f>
        <v>9</v>
      </c>
      <c r="J4656">
        <v>1753</v>
      </c>
      <c r="K4656" t="str">
        <f>_xlfn.CONCAT(WEEKNUM(CompilDonnées[[#This Row],[PlantationDate]]), " ", YEAR(CompilDonnées[[#This Row],[PlantationDate]]))</f>
        <v>35 2025</v>
      </c>
      <c r="L4656" t="str">
        <f>CONCATENATE(MONTH(CompilDonnées[[#This Row],[PlantationDate]])," ", YEAR(CompilDonnées[[#This Row],[PlantationDate]]))</f>
        <v>8 2025</v>
      </c>
      <c r="M4656" t="str">
        <f>CONCATENATE(MONTH(CompilDonnées[[#This Row],[HarvestingDate]])," ", YEAR(CompilDonnées[[#This Row],[HarvestingDate]]))</f>
        <v>10 2025</v>
      </c>
      <c r="N4656">
        <f>_xlfn.NUMBERVALUE(CompilDonnées[[#This Row],[FarmID]]&amp;CompilDonnées[[#This Row],[ModuleNumber]]&amp;CompilDonnées[[#This Row],[PlantationDate]])</f>
        <v>71145897</v>
      </c>
      <c r="O4656" t="str">
        <f>CompilDonnées[[#This Row],[FarmID]]&amp;CompilDonnées[[#This Row],[ModuleNumber]]</f>
        <v>711</v>
      </c>
      <c r="P4656" t="str">
        <f>CompilDonnées[[#This Row],[Ref_Module]]&amp;CompilDonnées[[#This Row],[HarvestingDate]]</f>
        <v>71145958</v>
      </c>
    </row>
    <row r="4657" spans="1:16">
      <c r="A4657" s="5">
        <v>45897</v>
      </c>
      <c r="B4657">
        <v>68</v>
      </c>
      <c r="C4657" t="s">
        <v>89</v>
      </c>
      <c r="D4657">
        <v>3</v>
      </c>
      <c r="E4657">
        <v>100</v>
      </c>
      <c r="F4657" t="s">
        <v>1</v>
      </c>
      <c r="G4657" s="6">
        <v>45944</v>
      </c>
      <c r="H4657">
        <v>47</v>
      </c>
      <c r="I4657">
        <f>ROUND(CompilDonnées[[#This Row],[CultureDuration_days]]/7,0)</f>
        <v>7</v>
      </c>
      <c r="J4657">
        <v>3954</v>
      </c>
      <c r="K4657" t="str">
        <f>_xlfn.CONCAT(WEEKNUM(CompilDonnées[[#This Row],[PlantationDate]]), " ", YEAR(CompilDonnées[[#This Row],[PlantationDate]]))</f>
        <v>35 2025</v>
      </c>
      <c r="L4657" t="str">
        <f>CONCATENATE(MONTH(CompilDonnées[[#This Row],[PlantationDate]])," ", YEAR(CompilDonnées[[#This Row],[PlantationDate]]))</f>
        <v>8 2025</v>
      </c>
      <c r="M4657" t="str">
        <f>CONCATENATE(MONTH(CompilDonnées[[#This Row],[HarvestingDate]])," ", YEAR(CompilDonnées[[#This Row],[HarvestingDate]]))</f>
        <v>10 2025</v>
      </c>
      <c r="N4657">
        <f>_xlfn.NUMBERVALUE(CompilDonnées[[#This Row],[FarmID]]&amp;CompilDonnées[[#This Row],[ModuleNumber]]&amp;CompilDonnées[[#This Row],[PlantationDate]])</f>
        <v>68345897</v>
      </c>
      <c r="O4657" t="str">
        <f>CompilDonnées[[#This Row],[FarmID]]&amp;CompilDonnées[[#This Row],[ModuleNumber]]</f>
        <v>683</v>
      </c>
      <c r="P4657" t="str">
        <f>CompilDonnées[[#This Row],[Ref_Module]]&amp;CompilDonnées[[#This Row],[HarvestingDate]]</f>
        <v>68345944</v>
      </c>
    </row>
    <row r="4658" spans="1:16">
      <c r="A4658" s="5">
        <v>45897</v>
      </c>
      <c r="B4658">
        <v>67</v>
      </c>
      <c r="C4658" t="s">
        <v>28</v>
      </c>
      <c r="D4658">
        <v>6</v>
      </c>
      <c r="E4658">
        <v>100</v>
      </c>
      <c r="F4658" t="s">
        <v>1</v>
      </c>
      <c r="G4658" s="6">
        <v>45938</v>
      </c>
      <c r="H4658">
        <v>41</v>
      </c>
      <c r="I4658">
        <f>ROUND(CompilDonnées[[#This Row],[CultureDuration_days]]/7,0)</f>
        <v>6</v>
      </c>
      <c r="J4658">
        <v>3140</v>
      </c>
      <c r="K4658" t="str">
        <f>_xlfn.CONCAT(WEEKNUM(CompilDonnées[[#This Row],[PlantationDate]]), " ", YEAR(CompilDonnées[[#This Row],[PlantationDate]]))</f>
        <v>35 2025</v>
      </c>
      <c r="L4658" t="str">
        <f>CONCATENATE(MONTH(CompilDonnées[[#This Row],[PlantationDate]])," ", YEAR(CompilDonnées[[#This Row],[PlantationDate]]))</f>
        <v>8 2025</v>
      </c>
      <c r="M4658" t="str">
        <f>CONCATENATE(MONTH(CompilDonnées[[#This Row],[HarvestingDate]])," ", YEAR(CompilDonnées[[#This Row],[HarvestingDate]]))</f>
        <v>10 2025</v>
      </c>
      <c r="N4658">
        <f>_xlfn.NUMBERVALUE(CompilDonnées[[#This Row],[FarmID]]&amp;CompilDonnées[[#This Row],[ModuleNumber]]&amp;CompilDonnées[[#This Row],[PlantationDate]])</f>
        <v>67645897</v>
      </c>
      <c r="O4658" t="str">
        <f>CompilDonnées[[#This Row],[FarmID]]&amp;CompilDonnées[[#This Row],[ModuleNumber]]</f>
        <v>676</v>
      </c>
      <c r="P4658" t="str">
        <f>CompilDonnées[[#This Row],[Ref_Module]]&amp;CompilDonnées[[#This Row],[HarvestingDate]]</f>
        <v>67645938</v>
      </c>
    </row>
    <row r="4659" spans="1:16">
      <c r="A4659" s="5">
        <v>45897</v>
      </c>
      <c r="B4659">
        <v>66</v>
      </c>
      <c r="C4659" t="s">
        <v>48</v>
      </c>
      <c r="D4659">
        <v>2</v>
      </c>
      <c r="E4659">
        <v>100</v>
      </c>
      <c r="F4659" t="s">
        <v>1</v>
      </c>
      <c r="G4659" s="6">
        <v>45944</v>
      </c>
      <c r="H4659">
        <v>47</v>
      </c>
      <c r="I4659">
        <f>ROUND(CompilDonnées[[#This Row],[CultureDuration_days]]/7,0)</f>
        <v>7</v>
      </c>
      <c r="J4659">
        <v>1976</v>
      </c>
      <c r="K4659" t="str">
        <f>_xlfn.CONCAT(WEEKNUM(CompilDonnées[[#This Row],[PlantationDate]]), " ", YEAR(CompilDonnées[[#This Row],[PlantationDate]]))</f>
        <v>35 2025</v>
      </c>
      <c r="L4659" t="str">
        <f>CONCATENATE(MONTH(CompilDonnées[[#This Row],[PlantationDate]])," ", YEAR(CompilDonnées[[#This Row],[PlantationDate]]))</f>
        <v>8 2025</v>
      </c>
      <c r="M4659" t="str">
        <f>CONCATENATE(MONTH(CompilDonnées[[#This Row],[HarvestingDate]])," ", YEAR(CompilDonnées[[#This Row],[HarvestingDate]]))</f>
        <v>10 2025</v>
      </c>
      <c r="N4659">
        <f>_xlfn.NUMBERVALUE(CompilDonnées[[#This Row],[FarmID]]&amp;CompilDonnées[[#This Row],[ModuleNumber]]&amp;CompilDonnées[[#This Row],[PlantationDate]])</f>
        <v>66245897</v>
      </c>
      <c r="O4659" t="str">
        <f>CompilDonnées[[#This Row],[FarmID]]&amp;CompilDonnées[[#This Row],[ModuleNumber]]</f>
        <v>662</v>
      </c>
      <c r="P4659" t="str">
        <f>CompilDonnées[[#This Row],[Ref_Module]]&amp;CompilDonnées[[#This Row],[HarvestingDate]]</f>
        <v>66245944</v>
      </c>
    </row>
    <row r="4660" spans="1:16">
      <c r="A4660" s="5">
        <v>45897</v>
      </c>
      <c r="B4660">
        <v>65</v>
      </c>
      <c r="C4660" t="s">
        <v>36</v>
      </c>
      <c r="D4660">
        <v>5</v>
      </c>
      <c r="E4660">
        <v>100</v>
      </c>
      <c r="F4660" t="s">
        <v>1</v>
      </c>
      <c r="G4660" s="6">
        <v>45944</v>
      </c>
      <c r="H4660">
        <v>47</v>
      </c>
      <c r="I4660">
        <f>ROUND(CompilDonnées[[#This Row],[CultureDuration_days]]/7,0)</f>
        <v>7</v>
      </c>
      <c r="J4660">
        <v>2617</v>
      </c>
      <c r="K4660" t="str">
        <f>_xlfn.CONCAT(WEEKNUM(CompilDonnées[[#This Row],[PlantationDate]]), " ", YEAR(CompilDonnées[[#This Row],[PlantationDate]]))</f>
        <v>35 2025</v>
      </c>
      <c r="L4660" t="str">
        <f>CONCATENATE(MONTH(CompilDonnées[[#This Row],[PlantationDate]])," ", YEAR(CompilDonnées[[#This Row],[PlantationDate]]))</f>
        <v>8 2025</v>
      </c>
      <c r="M4660" t="str">
        <f>CONCATENATE(MONTH(CompilDonnées[[#This Row],[HarvestingDate]])," ", YEAR(CompilDonnées[[#This Row],[HarvestingDate]]))</f>
        <v>10 2025</v>
      </c>
      <c r="N4660">
        <f>_xlfn.NUMBERVALUE(CompilDonnées[[#This Row],[FarmID]]&amp;CompilDonnées[[#This Row],[ModuleNumber]]&amp;CompilDonnées[[#This Row],[PlantationDate]])</f>
        <v>65545897</v>
      </c>
      <c r="O4660" t="str">
        <f>CompilDonnées[[#This Row],[FarmID]]&amp;CompilDonnées[[#This Row],[ModuleNumber]]</f>
        <v>655</v>
      </c>
      <c r="P4660" t="str">
        <f>CompilDonnées[[#This Row],[Ref_Module]]&amp;CompilDonnées[[#This Row],[HarvestingDate]]</f>
        <v>65545944</v>
      </c>
    </row>
    <row r="4661" spans="1:16">
      <c r="A4661" s="5">
        <v>45897</v>
      </c>
      <c r="B4661">
        <v>64</v>
      </c>
      <c r="C4661" t="s">
        <v>47</v>
      </c>
      <c r="D4661">
        <v>6</v>
      </c>
      <c r="E4661">
        <v>100</v>
      </c>
      <c r="F4661" t="s">
        <v>1</v>
      </c>
      <c r="G4661" s="6">
        <v>45952</v>
      </c>
      <c r="H4661">
        <v>55</v>
      </c>
      <c r="I4661">
        <f>ROUND(CompilDonnées[[#This Row],[CultureDuration_days]]/7,0)</f>
        <v>8</v>
      </c>
      <c r="J4661">
        <v>2609</v>
      </c>
      <c r="K4661" t="str">
        <f>_xlfn.CONCAT(WEEKNUM(CompilDonnées[[#This Row],[PlantationDate]]), " ", YEAR(CompilDonnées[[#This Row],[PlantationDate]]))</f>
        <v>35 2025</v>
      </c>
      <c r="L4661" t="str">
        <f>CONCATENATE(MONTH(CompilDonnées[[#This Row],[PlantationDate]])," ", YEAR(CompilDonnées[[#This Row],[PlantationDate]]))</f>
        <v>8 2025</v>
      </c>
      <c r="M4661" t="str">
        <f>CONCATENATE(MONTH(CompilDonnées[[#This Row],[HarvestingDate]])," ", YEAR(CompilDonnées[[#This Row],[HarvestingDate]]))</f>
        <v>10 2025</v>
      </c>
      <c r="N4661">
        <f>_xlfn.NUMBERVALUE(CompilDonnées[[#This Row],[FarmID]]&amp;CompilDonnées[[#This Row],[ModuleNumber]]&amp;CompilDonnées[[#This Row],[PlantationDate]])</f>
        <v>64645897</v>
      </c>
      <c r="O4661" t="str">
        <f>CompilDonnées[[#This Row],[FarmID]]&amp;CompilDonnées[[#This Row],[ModuleNumber]]</f>
        <v>646</v>
      </c>
      <c r="P4661" t="str">
        <f>CompilDonnées[[#This Row],[Ref_Module]]&amp;CompilDonnées[[#This Row],[HarvestingDate]]</f>
        <v>64645952</v>
      </c>
    </row>
    <row r="4662" spans="1:16">
      <c r="A4662" s="5">
        <v>45897</v>
      </c>
      <c r="B4662">
        <v>55</v>
      </c>
      <c r="C4662" t="s">
        <v>60</v>
      </c>
      <c r="D4662">
        <v>1</v>
      </c>
      <c r="E4662">
        <v>100</v>
      </c>
      <c r="F4662" t="s">
        <v>1</v>
      </c>
      <c r="G4662" s="6">
        <v>45953</v>
      </c>
      <c r="H4662">
        <v>56</v>
      </c>
      <c r="I4662">
        <f>ROUND(CompilDonnées[[#This Row],[CultureDuration_days]]/7,0)</f>
        <v>8</v>
      </c>
      <c r="J4662">
        <v>1381</v>
      </c>
      <c r="K4662" t="str">
        <f>_xlfn.CONCAT(WEEKNUM(CompilDonnées[[#This Row],[PlantationDate]]), " ", YEAR(CompilDonnées[[#This Row],[PlantationDate]]))</f>
        <v>35 2025</v>
      </c>
      <c r="L4662" t="str">
        <f>CONCATENATE(MONTH(CompilDonnées[[#This Row],[PlantationDate]])," ", YEAR(CompilDonnées[[#This Row],[PlantationDate]]))</f>
        <v>8 2025</v>
      </c>
      <c r="M4662" t="str">
        <f>CONCATENATE(MONTH(CompilDonnées[[#This Row],[HarvestingDate]])," ", YEAR(CompilDonnées[[#This Row],[HarvestingDate]]))</f>
        <v>10 2025</v>
      </c>
      <c r="N4662">
        <f>_xlfn.NUMBERVALUE(CompilDonnées[[#This Row],[FarmID]]&amp;CompilDonnées[[#This Row],[ModuleNumber]]&amp;CompilDonnées[[#This Row],[PlantationDate]])</f>
        <v>55145897</v>
      </c>
      <c r="O4662" t="str">
        <f>CompilDonnées[[#This Row],[FarmID]]&amp;CompilDonnées[[#This Row],[ModuleNumber]]</f>
        <v>551</v>
      </c>
      <c r="P4662" t="str">
        <f>CompilDonnées[[#This Row],[Ref_Module]]&amp;CompilDonnées[[#This Row],[HarvestingDate]]</f>
        <v>55145953</v>
      </c>
    </row>
    <row r="4663" spans="1:16">
      <c r="A4663" s="5">
        <v>45897</v>
      </c>
      <c r="B4663">
        <v>51</v>
      </c>
      <c r="C4663" t="s">
        <v>27</v>
      </c>
      <c r="D4663">
        <v>3</v>
      </c>
      <c r="E4663">
        <v>100</v>
      </c>
      <c r="F4663" t="s">
        <v>1</v>
      </c>
      <c r="G4663" s="6">
        <v>45944</v>
      </c>
      <c r="H4663">
        <v>47</v>
      </c>
      <c r="I4663">
        <f>ROUND(CompilDonnées[[#This Row],[CultureDuration_days]]/7,0)</f>
        <v>7</v>
      </c>
      <c r="J4663">
        <v>2709</v>
      </c>
      <c r="K4663" t="str">
        <f>_xlfn.CONCAT(WEEKNUM(CompilDonnées[[#This Row],[PlantationDate]]), " ", YEAR(CompilDonnées[[#This Row],[PlantationDate]]))</f>
        <v>35 2025</v>
      </c>
      <c r="L4663" t="str">
        <f>CONCATENATE(MONTH(CompilDonnées[[#This Row],[PlantationDate]])," ", YEAR(CompilDonnées[[#This Row],[PlantationDate]]))</f>
        <v>8 2025</v>
      </c>
      <c r="M4663" t="str">
        <f>CONCATENATE(MONTH(CompilDonnées[[#This Row],[HarvestingDate]])," ", YEAR(CompilDonnées[[#This Row],[HarvestingDate]]))</f>
        <v>10 2025</v>
      </c>
      <c r="N4663">
        <f>_xlfn.NUMBERVALUE(CompilDonnées[[#This Row],[FarmID]]&amp;CompilDonnées[[#This Row],[ModuleNumber]]&amp;CompilDonnées[[#This Row],[PlantationDate]])</f>
        <v>51345897</v>
      </c>
      <c r="O4663" t="str">
        <f>CompilDonnées[[#This Row],[FarmID]]&amp;CompilDonnées[[#This Row],[ModuleNumber]]</f>
        <v>513</v>
      </c>
      <c r="P4663" t="str">
        <f>CompilDonnées[[#This Row],[Ref_Module]]&amp;CompilDonnées[[#This Row],[HarvestingDate]]</f>
        <v>51345944</v>
      </c>
    </row>
    <row r="4664" spans="1:16">
      <c r="A4664" s="5">
        <v>45897</v>
      </c>
      <c r="B4664">
        <v>49</v>
      </c>
      <c r="C4664" t="s">
        <v>110</v>
      </c>
      <c r="D4664">
        <v>6</v>
      </c>
      <c r="E4664">
        <v>100</v>
      </c>
      <c r="F4664" t="s">
        <v>1</v>
      </c>
      <c r="G4664" s="6">
        <v>45944</v>
      </c>
      <c r="H4664">
        <v>47</v>
      </c>
      <c r="I4664">
        <f>ROUND(CompilDonnées[[#This Row],[CultureDuration_days]]/7,0)</f>
        <v>7</v>
      </c>
      <c r="J4664">
        <v>2180</v>
      </c>
      <c r="K4664" t="str">
        <f>_xlfn.CONCAT(WEEKNUM(CompilDonnées[[#This Row],[PlantationDate]]), " ", YEAR(CompilDonnées[[#This Row],[PlantationDate]]))</f>
        <v>35 2025</v>
      </c>
      <c r="L4664" t="str">
        <f>CONCATENATE(MONTH(CompilDonnées[[#This Row],[PlantationDate]])," ", YEAR(CompilDonnées[[#This Row],[PlantationDate]]))</f>
        <v>8 2025</v>
      </c>
      <c r="M4664" t="str">
        <f>CONCATENATE(MONTH(CompilDonnées[[#This Row],[HarvestingDate]])," ", YEAR(CompilDonnées[[#This Row],[HarvestingDate]]))</f>
        <v>10 2025</v>
      </c>
      <c r="N4664">
        <f>_xlfn.NUMBERVALUE(CompilDonnées[[#This Row],[FarmID]]&amp;CompilDonnées[[#This Row],[ModuleNumber]]&amp;CompilDonnées[[#This Row],[PlantationDate]])</f>
        <v>49645897</v>
      </c>
      <c r="O4664" t="str">
        <f>CompilDonnées[[#This Row],[FarmID]]&amp;CompilDonnées[[#This Row],[ModuleNumber]]</f>
        <v>496</v>
      </c>
      <c r="P4664" t="str">
        <f>CompilDonnées[[#This Row],[Ref_Module]]&amp;CompilDonnées[[#This Row],[HarvestingDate]]</f>
        <v>49645944</v>
      </c>
    </row>
    <row r="4665" spans="1:16">
      <c r="A4665" s="5">
        <v>45897</v>
      </c>
      <c r="B4665">
        <v>48</v>
      </c>
      <c r="C4665" t="s">
        <v>71</v>
      </c>
      <c r="D4665">
        <v>6</v>
      </c>
      <c r="E4665">
        <v>100</v>
      </c>
      <c r="F4665" t="s">
        <v>1</v>
      </c>
      <c r="G4665" s="6">
        <v>45929</v>
      </c>
      <c r="H4665">
        <v>32</v>
      </c>
      <c r="I4665">
        <f>ROUND(CompilDonnées[[#This Row],[CultureDuration_days]]/7,0)</f>
        <v>5</v>
      </c>
      <c r="J4665">
        <v>1058</v>
      </c>
      <c r="K4665" t="str">
        <f>_xlfn.CONCAT(WEEKNUM(CompilDonnées[[#This Row],[PlantationDate]]), " ", YEAR(CompilDonnées[[#This Row],[PlantationDate]]))</f>
        <v>35 2025</v>
      </c>
      <c r="L4665" t="str">
        <f>CONCATENATE(MONTH(CompilDonnées[[#This Row],[PlantationDate]])," ", YEAR(CompilDonnées[[#This Row],[PlantationDate]]))</f>
        <v>8 2025</v>
      </c>
      <c r="M4665" t="str">
        <f>CONCATENATE(MONTH(CompilDonnées[[#This Row],[HarvestingDate]])," ", YEAR(CompilDonnées[[#This Row],[HarvestingDate]]))</f>
        <v>9 2025</v>
      </c>
      <c r="N4665">
        <f>_xlfn.NUMBERVALUE(CompilDonnées[[#This Row],[FarmID]]&amp;CompilDonnées[[#This Row],[ModuleNumber]]&amp;CompilDonnées[[#This Row],[PlantationDate]])</f>
        <v>48645897</v>
      </c>
      <c r="O4665" t="str">
        <f>CompilDonnées[[#This Row],[FarmID]]&amp;CompilDonnées[[#This Row],[ModuleNumber]]</f>
        <v>486</v>
      </c>
      <c r="P4665" t="str">
        <f>CompilDonnées[[#This Row],[Ref_Module]]&amp;CompilDonnées[[#This Row],[HarvestingDate]]</f>
        <v>48645929</v>
      </c>
    </row>
    <row r="4666" spans="1:16">
      <c r="A4666" s="5">
        <v>45897</v>
      </c>
      <c r="B4666">
        <v>57</v>
      </c>
      <c r="C4666" t="s">
        <v>46</v>
      </c>
      <c r="D4666">
        <v>2</v>
      </c>
      <c r="E4666">
        <v>100</v>
      </c>
      <c r="F4666" t="s">
        <v>1</v>
      </c>
      <c r="G4666" s="6">
        <v>45952</v>
      </c>
      <c r="H4666">
        <v>55</v>
      </c>
      <c r="I4666">
        <f>ROUND(CompilDonnées[[#This Row],[CultureDuration_days]]/7,0)</f>
        <v>8</v>
      </c>
      <c r="J4666">
        <v>2176</v>
      </c>
      <c r="K4666" t="str">
        <f>_xlfn.CONCAT(WEEKNUM(CompilDonnées[[#This Row],[PlantationDate]]), " ", YEAR(CompilDonnées[[#This Row],[PlantationDate]]))</f>
        <v>35 2025</v>
      </c>
      <c r="L4666" t="str">
        <f>CONCATENATE(MONTH(CompilDonnées[[#This Row],[PlantationDate]])," ", YEAR(CompilDonnées[[#This Row],[PlantationDate]]))</f>
        <v>8 2025</v>
      </c>
      <c r="M4666" t="str">
        <f>CONCATENATE(MONTH(CompilDonnées[[#This Row],[HarvestingDate]])," ", YEAR(CompilDonnées[[#This Row],[HarvestingDate]]))</f>
        <v>10 2025</v>
      </c>
      <c r="N4666">
        <f>_xlfn.NUMBERVALUE(CompilDonnées[[#This Row],[FarmID]]&amp;CompilDonnées[[#This Row],[ModuleNumber]]&amp;CompilDonnées[[#This Row],[PlantationDate]])</f>
        <v>57245897</v>
      </c>
      <c r="O4666" t="str">
        <f>CompilDonnées[[#This Row],[FarmID]]&amp;CompilDonnées[[#This Row],[ModuleNumber]]</f>
        <v>572</v>
      </c>
      <c r="P4666" t="str">
        <f>CompilDonnées[[#This Row],[Ref_Module]]&amp;CompilDonnées[[#This Row],[HarvestingDate]]</f>
        <v>57245952</v>
      </c>
    </row>
    <row r="4667" spans="1:16">
      <c r="A4667" s="5">
        <v>45897</v>
      </c>
      <c r="B4667">
        <v>101</v>
      </c>
      <c r="C4667" t="s">
        <v>54</v>
      </c>
      <c r="D4667">
        <v>3</v>
      </c>
      <c r="E4667">
        <v>100</v>
      </c>
      <c r="F4667" t="s">
        <v>1</v>
      </c>
      <c r="G4667" s="6">
        <v>45946</v>
      </c>
      <c r="H4667">
        <v>49</v>
      </c>
      <c r="I4667">
        <f>ROUND(CompilDonnées[[#This Row],[CultureDuration_days]]/7,0)</f>
        <v>7</v>
      </c>
      <c r="J4667">
        <v>4124</v>
      </c>
      <c r="K4667" t="str">
        <f>_xlfn.CONCAT(WEEKNUM(CompilDonnées[[#This Row],[PlantationDate]]), " ", YEAR(CompilDonnées[[#This Row],[PlantationDate]]))</f>
        <v>35 2025</v>
      </c>
      <c r="L4667" t="str">
        <f>CONCATENATE(MONTH(CompilDonnées[[#This Row],[PlantationDate]])," ", YEAR(CompilDonnées[[#This Row],[PlantationDate]]))</f>
        <v>8 2025</v>
      </c>
      <c r="M4667" t="str">
        <f>CONCATENATE(MONTH(CompilDonnées[[#This Row],[HarvestingDate]])," ", YEAR(CompilDonnées[[#This Row],[HarvestingDate]]))</f>
        <v>10 2025</v>
      </c>
      <c r="N4667">
        <f>_xlfn.NUMBERVALUE(CompilDonnées[[#This Row],[FarmID]]&amp;CompilDonnées[[#This Row],[ModuleNumber]]&amp;CompilDonnées[[#This Row],[PlantationDate]])</f>
        <v>101345897</v>
      </c>
      <c r="O4667" t="str">
        <f>CompilDonnées[[#This Row],[FarmID]]&amp;CompilDonnées[[#This Row],[ModuleNumber]]</f>
        <v>1013</v>
      </c>
      <c r="P4667" t="str">
        <f>CompilDonnées[[#This Row],[Ref_Module]]&amp;CompilDonnées[[#This Row],[HarvestingDate]]</f>
        <v>101345946</v>
      </c>
    </row>
    <row r="4668" spans="1:16">
      <c r="A4668" s="5">
        <v>45897</v>
      </c>
      <c r="B4668">
        <v>93</v>
      </c>
      <c r="C4668" t="s">
        <v>10</v>
      </c>
      <c r="D4668">
        <v>2</v>
      </c>
      <c r="E4668">
        <v>100</v>
      </c>
      <c r="F4668" t="s">
        <v>1</v>
      </c>
      <c r="G4668" s="6">
        <v>45945</v>
      </c>
      <c r="H4668">
        <v>48</v>
      </c>
      <c r="I4668">
        <f>ROUND(CompilDonnées[[#This Row],[CultureDuration_days]]/7,0)</f>
        <v>7</v>
      </c>
      <c r="J4668">
        <v>3032</v>
      </c>
      <c r="K4668" t="str">
        <f>_xlfn.CONCAT(WEEKNUM(CompilDonnées[[#This Row],[PlantationDate]]), " ", YEAR(CompilDonnées[[#This Row],[PlantationDate]]))</f>
        <v>35 2025</v>
      </c>
      <c r="L4668" t="str">
        <f>CONCATENATE(MONTH(CompilDonnées[[#This Row],[PlantationDate]])," ", YEAR(CompilDonnées[[#This Row],[PlantationDate]]))</f>
        <v>8 2025</v>
      </c>
      <c r="M4668" t="str">
        <f>CONCATENATE(MONTH(CompilDonnées[[#This Row],[HarvestingDate]])," ", YEAR(CompilDonnées[[#This Row],[HarvestingDate]]))</f>
        <v>10 2025</v>
      </c>
      <c r="N4668">
        <f>_xlfn.NUMBERVALUE(CompilDonnées[[#This Row],[FarmID]]&amp;CompilDonnées[[#This Row],[ModuleNumber]]&amp;CompilDonnées[[#This Row],[PlantationDate]])</f>
        <v>93245897</v>
      </c>
      <c r="O4668" t="str">
        <f>CompilDonnées[[#This Row],[FarmID]]&amp;CompilDonnées[[#This Row],[ModuleNumber]]</f>
        <v>932</v>
      </c>
      <c r="P4668" t="str">
        <f>CompilDonnées[[#This Row],[Ref_Module]]&amp;CompilDonnées[[#This Row],[HarvestingDate]]</f>
        <v>93245945</v>
      </c>
    </row>
    <row r="4669" spans="1:16">
      <c r="A4669" s="5">
        <v>45897</v>
      </c>
      <c r="B4669">
        <v>88</v>
      </c>
      <c r="C4669" t="s">
        <v>94</v>
      </c>
      <c r="D4669">
        <v>1</v>
      </c>
      <c r="E4669">
        <v>100</v>
      </c>
      <c r="F4669" t="s">
        <v>1</v>
      </c>
      <c r="G4669" s="6">
        <v>45945</v>
      </c>
      <c r="H4669">
        <v>48</v>
      </c>
      <c r="I4669">
        <f>ROUND(CompilDonnées[[#This Row],[CultureDuration_days]]/7,0)</f>
        <v>7</v>
      </c>
      <c r="J4669">
        <v>4789</v>
      </c>
      <c r="K4669" t="str">
        <f>_xlfn.CONCAT(WEEKNUM(CompilDonnées[[#This Row],[PlantationDate]]), " ", YEAR(CompilDonnées[[#This Row],[PlantationDate]]))</f>
        <v>35 2025</v>
      </c>
      <c r="L4669" t="str">
        <f>CONCATENATE(MONTH(CompilDonnées[[#This Row],[PlantationDate]])," ", YEAR(CompilDonnées[[#This Row],[PlantationDate]]))</f>
        <v>8 2025</v>
      </c>
      <c r="M4669" t="str">
        <f>CONCATENATE(MONTH(CompilDonnées[[#This Row],[HarvestingDate]])," ", YEAR(CompilDonnées[[#This Row],[HarvestingDate]]))</f>
        <v>10 2025</v>
      </c>
      <c r="N4669">
        <f>_xlfn.NUMBERVALUE(CompilDonnées[[#This Row],[FarmID]]&amp;CompilDonnées[[#This Row],[ModuleNumber]]&amp;CompilDonnées[[#This Row],[PlantationDate]])</f>
        <v>88145897</v>
      </c>
      <c r="O4669" t="str">
        <f>CompilDonnées[[#This Row],[FarmID]]&amp;CompilDonnées[[#This Row],[ModuleNumber]]</f>
        <v>881</v>
      </c>
      <c r="P4669" t="str">
        <f>CompilDonnées[[#This Row],[Ref_Module]]&amp;CompilDonnées[[#This Row],[HarvestingDate]]</f>
        <v>88145945</v>
      </c>
    </row>
    <row r="4670" spans="1:16">
      <c r="A4670" s="5">
        <v>45897</v>
      </c>
      <c r="B4670">
        <v>78</v>
      </c>
      <c r="C4670" t="s">
        <v>3</v>
      </c>
      <c r="D4670">
        <v>1</v>
      </c>
      <c r="E4670">
        <v>60</v>
      </c>
      <c r="F4670" t="s">
        <v>105</v>
      </c>
      <c r="G4670" s="6">
        <v>45944</v>
      </c>
      <c r="H4670">
        <v>47</v>
      </c>
      <c r="I4670">
        <f>ROUND(CompilDonnées[[#This Row],[CultureDuration_days]]/7,0)</f>
        <v>7</v>
      </c>
      <c r="J4670">
        <v>870</v>
      </c>
      <c r="K4670" t="str">
        <f>_xlfn.CONCAT(WEEKNUM(CompilDonnées[[#This Row],[PlantationDate]]), " ", YEAR(CompilDonnées[[#This Row],[PlantationDate]]))</f>
        <v>35 2025</v>
      </c>
      <c r="L4670" t="str">
        <f>CONCATENATE(MONTH(CompilDonnées[[#This Row],[PlantationDate]])," ", YEAR(CompilDonnées[[#This Row],[PlantationDate]]))</f>
        <v>8 2025</v>
      </c>
      <c r="M4670" t="str">
        <f>CONCATENATE(MONTH(CompilDonnées[[#This Row],[HarvestingDate]])," ", YEAR(CompilDonnées[[#This Row],[HarvestingDate]]))</f>
        <v>10 2025</v>
      </c>
      <c r="N4670">
        <f>_xlfn.NUMBERVALUE(CompilDonnées[[#This Row],[FarmID]]&amp;CompilDonnées[[#This Row],[ModuleNumber]]&amp;CompilDonnées[[#This Row],[PlantationDate]])</f>
        <v>78145897</v>
      </c>
      <c r="O4670" t="str">
        <f>CompilDonnées[[#This Row],[FarmID]]&amp;CompilDonnées[[#This Row],[ModuleNumber]]</f>
        <v>781</v>
      </c>
      <c r="P4670" t="str">
        <f>CompilDonnées[[#This Row],[Ref_Module]]&amp;CompilDonnées[[#This Row],[HarvestingDate]]</f>
        <v>78145944</v>
      </c>
    </row>
    <row r="4671" spans="1:16">
      <c r="A4671" s="5">
        <v>45897</v>
      </c>
      <c r="B4671">
        <v>78</v>
      </c>
      <c r="C4671" t="s">
        <v>3</v>
      </c>
      <c r="D4671">
        <v>2</v>
      </c>
      <c r="E4671">
        <v>60</v>
      </c>
      <c r="F4671" t="s">
        <v>105</v>
      </c>
      <c r="G4671" s="6">
        <v>45944</v>
      </c>
      <c r="H4671">
        <v>47</v>
      </c>
      <c r="I4671">
        <f>ROUND(CompilDonnées[[#This Row],[CultureDuration_days]]/7,0)</f>
        <v>7</v>
      </c>
      <c r="J4671">
        <v>1050</v>
      </c>
      <c r="K4671" t="str">
        <f>_xlfn.CONCAT(WEEKNUM(CompilDonnées[[#This Row],[PlantationDate]]), " ", YEAR(CompilDonnées[[#This Row],[PlantationDate]]))</f>
        <v>35 2025</v>
      </c>
      <c r="L4671" t="str">
        <f>CONCATENATE(MONTH(CompilDonnées[[#This Row],[PlantationDate]])," ", YEAR(CompilDonnées[[#This Row],[PlantationDate]]))</f>
        <v>8 2025</v>
      </c>
      <c r="M4671" t="str">
        <f>CONCATENATE(MONTH(CompilDonnées[[#This Row],[HarvestingDate]])," ", YEAR(CompilDonnées[[#This Row],[HarvestingDate]]))</f>
        <v>10 2025</v>
      </c>
      <c r="N4671">
        <f>_xlfn.NUMBERVALUE(CompilDonnées[[#This Row],[FarmID]]&amp;CompilDonnées[[#This Row],[ModuleNumber]]&amp;CompilDonnées[[#This Row],[PlantationDate]])</f>
        <v>78245897</v>
      </c>
      <c r="O4671" t="str">
        <f>CompilDonnées[[#This Row],[FarmID]]&amp;CompilDonnées[[#This Row],[ModuleNumber]]</f>
        <v>782</v>
      </c>
      <c r="P4671" t="str">
        <f>CompilDonnées[[#This Row],[Ref_Module]]&amp;CompilDonnées[[#This Row],[HarvestingDate]]</f>
        <v>78245944</v>
      </c>
    </row>
    <row r="4672" spans="1:16">
      <c r="A4672" s="5">
        <v>45897</v>
      </c>
      <c r="B4672">
        <v>78</v>
      </c>
      <c r="C4672" t="s">
        <v>3</v>
      </c>
      <c r="D4672">
        <v>3</v>
      </c>
      <c r="E4672">
        <v>60</v>
      </c>
      <c r="F4672" t="s">
        <v>105</v>
      </c>
      <c r="G4672" s="6">
        <v>45939</v>
      </c>
      <c r="H4672">
        <v>42</v>
      </c>
      <c r="I4672">
        <f>ROUND(CompilDonnées[[#This Row],[CultureDuration_days]]/7,0)</f>
        <v>6</v>
      </c>
      <c r="J4672">
        <v>1070</v>
      </c>
      <c r="K4672" t="str">
        <f>_xlfn.CONCAT(WEEKNUM(CompilDonnées[[#This Row],[PlantationDate]]), " ", YEAR(CompilDonnées[[#This Row],[PlantationDate]]))</f>
        <v>35 2025</v>
      </c>
      <c r="L4672" t="str">
        <f>CONCATENATE(MONTH(CompilDonnées[[#This Row],[PlantationDate]])," ", YEAR(CompilDonnées[[#This Row],[PlantationDate]]))</f>
        <v>8 2025</v>
      </c>
      <c r="M4672" t="str">
        <f>CONCATENATE(MONTH(CompilDonnées[[#This Row],[HarvestingDate]])," ", YEAR(CompilDonnées[[#This Row],[HarvestingDate]]))</f>
        <v>10 2025</v>
      </c>
      <c r="N4672">
        <f>_xlfn.NUMBERVALUE(CompilDonnées[[#This Row],[FarmID]]&amp;CompilDonnées[[#This Row],[ModuleNumber]]&amp;CompilDonnées[[#This Row],[PlantationDate]])</f>
        <v>78345897</v>
      </c>
      <c r="O4672" t="str">
        <f>CompilDonnées[[#This Row],[FarmID]]&amp;CompilDonnées[[#This Row],[ModuleNumber]]</f>
        <v>783</v>
      </c>
      <c r="P4672" t="str">
        <f>CompilDonnées[[#This Row],[Ref_Module]]&amp;CompilDonnées[[#This Row],[HarvestingDate]]</f>
        <v>78345939</v>
      </c>
    </row>
    <row r="4673" spans="1:16">
      <c r="A4673" s="5">
        <v>45897</v>
      </c>
      <c r="B4673">
        <v>78</v>
      </c>
      <c r="C4673" t="s">
        <v>3</v>
      </c>
      <c r="D4673">
        <v>4</v>
      </c>
      <c r="E4673">
        <v>60</v>
      </c>
      <c r="F4673" t="s">
        <v>105</v>
      </c>
      <c r="G4673" s="6">
        <v>45939</v>
      </c>
      <c r="H4673">
        <v>42</v>
      </c>
      <c r="I4673">
        <f>ROUND(CompilDonnées[[#This Row],[CultureDuration_days]]/7,0)</f>
        <v>6</v>
      </c>
      <c r="J4673">
        <v>1040</v>
      </c>
      <c r="K4673" t="str">
        <f>_xlfn.CONCAT(WEEKNUM(CompilDonnées[[#This Row],[PlantationDate]]), " ", YEAR(CompilDonnées[[#This Row],[PlantationDate]]))</f>
        <v>35 2025</v>
      </c>
      <c r="L4673" t="str">
        <f>CONCATENATE(MONTH(CompilDonnées[[#This Row],[PlantationDate]])," ", YEAR(CompilDonnées[[#This Row],[PlantationDate]]))</f>
        <v>8 2025</v>
      </c>
      <c r="M4673" t="str">
        <f>CONCATENATE(MONTH(CompilDonnées[[#This Row],[HarvestingDate]])," ", YEAR(CompilDonnées[[#This Row],[HarvestingDate]]))</f>
        <v>10 2025</v>
      </c>
      <c r="N4673">
        <f>_xlfn.NUMBERVALUE(CompilDonnées[[#This Row],[FarmID]]&amp;CompilDonnées[[#This Row],[ModuleNumber]]&amp;CompilDonnées[[#This Row],[PlantationDate]])</f>
        <v>78445897</v>
      </c>
      <c r="O4673" t="str">
        <f>CompilDonnées[[#This Row],[FarmID]]&amp;CompilDonnées[[#This Row],[ModuleNumber]]</f>
        <v>784</v>
      </c>
      <c r="P4673" t="str">
        <f>CompilDonnées[[#This Row],[Ref_Module]]&amp;CompilDonnées[[#This Row],[HarvestingDate]]</f>
        <v>78445939</v>
      </c>
    </row>
    <row r="4674" spans="1:16">
      <c r="A4674" s="5">
        <v>45897</v>
      </c>
      <c r="B4674">
        <v>131</v>
      </c>
      <c r="C4674" t="s">
        <v>3</v>
      </c>
      <c r="D4674">
        <v>4</v>
      </c>
      <c r="E4674">
        <v>60</v>
      </c>
      <c r="F4674" t="s">
        <v>105</v>
      </c>
      <c r="G4674" s="6">
        <v>45945</v>
      </c>
      <c r="H4674">
        <v>48</v>
      </c>
      <c r="I4674">
        <f>ROUND(CompilDonnées[[#This Row],[CultureDuration_days]]/7,0)</f>
        <v>7</v>
      </c>
      <c r="J4674">
        <v>1042</v>
      </c>
      <c r="K4674" t="str">
        <f>_xlfn.CONCAT(WEEKNUM(CompilDonnées[[#This Row],[PlantationDate]]), " ", YEAR(CompilDonnées[[#This Row],[PlantationDate]]))</f>
        <v>35 2025</v>
      </c>
      <c r="L4674" t="str">
        <f>CONCATENATE(MONTH(CompilDonnées[[#This Row],[PlantationDate]])," ", YEAR(CompilDonnées[[#This Row],[PlantationDate]]))</f>
        <v>8 2025</v>
      </c>
      <c r="M4674" t="str">
        <f>CONCATENATE(MONTH(CompilDonnées[[#This Row],[HarvestingDate]])," ", YEAR(CompilDonnées[[#This Row],[HarvestingDate]]))</f>
        <v>10 2025</v>
      </c>
      <c r="N4674">
        <f>_xlfn.NUMBERVALUE(CompilDonnées[[#This Row],[FarmID]]&amp;CompilDonnées[[#This Row],[ModuleNumber]]&amp;CompilDonnées[[#This Row],[PlantationDate]])</f>
        <v>131445897</v>
      </c>
      <c r="O4674" t="str">
        <f>CompilDonnées[[#This Row],[FarmID]]&amp;CompilDonnées[[#This Row],[ModuleNumber]]</f>
        <v>1314</v>
      </c>
      <c r="P4674" t="str">
        <f>CompilDonnées[[#This Row],[Ref_Module]]&amp;CompilDonnées[[#This Row],[HarvestingDate]]</f>
        <v>131445945</v>
      </c>
    </row>
    <row r="4675" spans="1:16">
      <c r="A4675" s="5">
        <v>45897</v>
      </c>
      <c r="B4675">
        <v>130</v>
      </c>
      <c r="C4675" t="s">
        <v>3</v>
      </c>
      <c r="D4675">
        <v>5</v>
      </c>
      <c r="E4675">
        <v>60</v>
      </c>
      <c r="F4675" t="s">
        <v>105</v>
      </c>
      <c r="G4675" s="6">
        <v>45945</v>
      </c>
      <c r="H4675">
        <v>48</v>
      </c>
      <c r="I4675">
        <f>ROUND(CompilDonnées[[#This Row],[CultureDuration_days]]/7,0)</f>
        <v>7</v>
      </c>
      <c r="J4675">
        <v>1060</v>
      </c>
      <c r="K4675" t="str">
        <f>_xlfn.CONCAT(WEEKNUM(CompilDonnées[[#This Row],[PlantationDate]]), " ", YEAR(CompilDonnées[[#This Row],[PlantationDate]]))</f>
        <v>35 2025</v>
      </c>
      <c r="L4675" t="str">
        <f>CONCATENATE(MONTH(CompilDonnées[[#This Row],[PlantationDate]])," ", YEAR(CompilDonnées[[#This Row],[PlantationDate]]))</f>
        <v>8 2025</v>
      </c>
      <c r="M4675" t="str">
        <f>CONCATENATE(MONTH(CompilDonnées[[#This Row],[HarvestingDate]])," ", YEAR(CompilDonnées[[#This Row],[HarvestingDate]]))</f>
        <v>10 2025</v>
      </c>
      <c r="N4675">
        <f>_xlfn.NUMBERVALUE(CompilDonnées[[#This Row],[FarmID]]&amp;CompilDonnées[[#This Row],[ModuleNumber]]&amp;CompilDonnées[[#This Row],[PlantationDate]])</f>
        <v>130545897</v>
      </c>
      <c r="O4675" t="str">
        <f>CompilDonnées[[#This Row],[FarmID]]&amp;CompilDonnées[[#This Row],[ModuleNumber]]</f>
        <v>1305</v>
      </c>
      <c r="P4675" t="str">
        <f>CompilDonnées[[#This Row],[Ref_Module]]&amp;CompilDonnées[[#This Row],[HarvestingDate]]</f>
        <v>130545945</v>
      </c>
    </row>
    <row r="4676" spans="1:16">
      <c r="A4676" s="5">
        <v>45898</v>
      </c>
      <c r="B4676">
        <v>79</v>
      </c>
      <c r="C4676" t="s">
        <v>61</v>
      </c>
      <c r="D4676">
        <v>5</v>
      </c>
      <c r="E4676">
        <v>100</v>
      </c>
      <c r="F4676" t="s">
        <v>1</v>
      </c>
      <c r="G4676" s="6">
        <v>45944</v>
      </c>
      <c r="H4676">
        <v>46</v>
      </c>
      <c r="I4676">
        <f>ROUND(CompilDonnées[[#This Row],[CultureDuration_days]]/7,0)</f>
        <v>7</v>
      </c>
      <c r="J4676">
        <v>3495</v>
      </c>
      <c r="K4676" t="str">
        <f>_xlfn.CONCAT(WEEKNUM(CompilDonnées[[#This Row],[PlantationDate]]), " ", YEAR(CompilDonnées[[#This Row],[PlantationDate]]))</f>
        <v>35 2025</v>
      </c>
      <c r="L4676" t="str">
        <f>CONCATENATE(MONTH(CompilDonnées[[#This Row],[PlantationDate]])," ", YEAR(CompilDonnées[[#This Row],[PlantationDate]]))</f>
        <v>8 2025</v>
      </c>
      <c r="M4676" t="str">
        <f>CONCATENATE(MONTH(CompilDonnées[[#This Row],[HarvestingDate]])," ", YEAR(CompilDonnées[[#This Row],[HarvestingDate]]))</f>
        <v>10 2025</v>
      </c>
      <c r="N4676">
        <f>_xlfn.NUMBERVALUE(CompilDonnées[[#This Row],[FarmID]]&amp;CompilDonnées[[#This Row],[ModuleNumber]]&amp;CompilDonnées[[#This Row],[PlantationDate]])</f>
        <v>79545898</v>
      </c>
      <c r="O4676" t="str">
        <f>CompilDonnées[[#This Row],[FarmID]]&amp;CompilDonnées[[#This Row],[ModuleNumber]]</f>
        <v>795</v>
      </c>
      <c r="P4676" t="str">
        <f>CompilDonnées[[#This Row],[Ref_Module]]&amp;CompilDonnées[[#This Row],[HarvestingDate]]</f>
        <v>79545944</v>
      </c>
    </row>
    <row r="4677" spans="1:16">
      <c r="A4677" s="5">
        <v>45898</v>
      </c>
      <c r="B4677">
        <v>51</v>
      </c>
      <c r="C4677" t="s">
        <v>27</v>
      </c>
      <c r="D4677">
        <v>1</v>
      </c>
      <c r="E4677">
        <v>100</v>
      </c>
      <c r="F4677" t="s">
        <v>1</v>
      </c>
      <c r="G4677" s="6">
        <v>45953</v>
      </c>
      <c r="H4677">
        <v>55</v>
      </c>
      <c r="I4677">
        <f>ROUND(CompilDonnées[[#This Row],[CultureDuration_days]]/7,0)</f>
        <v>8</v>
      </c>
      <c r="J4677">
        <v>3268</v>
      </c>
      <c r="K4677" t="str">
        <f>_xlfn.CONCAT(WEEKNUM(CompilDonnées[[#This Row],[PlantationDate]]), " ", YEAR(CompilDonnées[[#This Row],[PlantationDate]]))</f>
        <v>35 2025</v>
      </c>
      <c r="L4677" t="str">
        <f>CONCATENATE(MONTH(CompilDonnées[[#This Row],[PlantationDate]])," ", YEAR(CompilDonnées[[#This Row],[PlantationDate]]))</f>
        <v>8 2025</v>
      </c>
      <c r="M4677" t="str">
        <f>CONCATENATE(MONTH(CompilDonnées[[#This Row],[HarvestingDate]])," ", YEAR(CompilDonnées[[#This Row],[HarvestingDate]]))</f>
        <v>10 2025</v>
      </c>
      <c r="N4677">
        <f>_xlfn.NUMBERVALUE(CompilDonnées[[#This Row],[FarmID]]&amp;CompilDonnées[[#This Row],[ModuleNumber]]&amp;CompilDonnées[[#This Row],[PlantationDate]])</f>
        <v>51145898</v>
      </c>
      <c r="O4677" t="str">
        <f>CompilDonnées[[#This Row],[FarmID]]&amp;CompilDonnées[[#This Row],[ModuleNumber]]</f>
        <v>511</v>
      </c>
      <c r="P4677" t="str">
        <f>CompilDonnées[[#This Row],[Ref_Module]]&amp;CompilDonnées[[#This Row],[HarvestingDate]]</f>
        <v>51145953</v>
      </c>
    </row>
    <row r="4678" spans="1:16">
      <c r="A4678" s="5">
        <v>45898</v>
      </c>
      <c r="B4678">
        <v>72</v>
      </c>
      <c r="C4678" t="s">
        <v>49</v>
      </c>
      <c r="D4678">
        <v>5</v>
      </c>
      <c r="E4678">
        <v>100</v>
      </c>
      <c r="F4678" t="s">
        <v>1</v>
      </c>
      <c r="G4678" s="6">
        <v>45952</v>
      </c>
      <c r="H4678">
        <v>54</v>
      </c>
      <c r="I4678">
        <f>ROUND(CompilDonnées[[#This Row],[CultureDuration_days]]/7,0)</f>
        <v>8</v>
      </c>
      <c r="J4678">
        <v>2997</v>
      </c>
      <c r="K4678" t="str">
        <f>_xlfn.CONCAT(WEEKNUM(CompilDonnées[[#This Row],[PlantationDate]]), " ", YEAR(CompilDonnées[[#This Row],[PlantationDate]]))</f>
        <v>35 2025</v>
      </c>
      <c r="L4678" t="str">
        <f>CONCATENATE(MONTH(CompilDonnées[[#This Row],[PlantationDate]])," ", YEAR(CompilDonnées[[#This Row],[PlantationDate]]))</f>
        <v>8 2025</v>
      </c>
      <c r="M4678" t="str">
        <f>CONCATENATE(MONTH(CompilDonnées[[#This Row],[HarvestingDate]])," ", YEAR(CompilDonnées[[#This Row],[HarvestingDate]]))</f>
        <v>10 2025</v>
      </c>
      <c r="N4678">
        <f>_xlfn.NUMBERVALUE(CompilDonnées[[#This Row],[FarmID]]&amp;CompilDonnées[[#This Row],[ModuleNumber]]&amp;CompilDonnées[[#This Row],[PlantationDate]])</f>
        <v>72545898</v>
      </c>
      <c r="O4678" t="str">
        <f>CompilDonnées[[#This Row],[FarmID]]&amp;CompilDonnées[[#This Row],[ModuleNumber]]</f>
        <v>725</v>
      </c>
      <c r="P4678" t="str">
        <f>CompilDonnées[[#This Row],[Ref_Module]]&amp;CompilDonnées[[#This Row],[HarvestingDate]]</f>
        <v>72545952</v>
      </c>
    </row>
    <row r="4679" spans="1:16">
      <c r="A4679" s="5">
        <v>45898</v>
      </c>
      <c r="B4679">
        <v>14</v>
      </c>
      <c r="C4679" t="s">
        <v>82</v>
      </c>
      <c r="D4679">
        <v>6</v>
      </c>
      <c r="E4679">
        <v>100</v>
      </c>
      <c r="F4679" t="s">
        <v>1</v>
      </c>
      <c r="G4679" s="6">
        <v>45954</v>
      </c>
      <c r="H4679">
        <v>56</v>
      </c>
      <c r="I4679">
        <f>ROUND(CompilDonnées[[#This Row],[CultureDuration_days]]/7,0)</f>
        <v>8</v>
      </c>
      <c r="J4679">
        <v>1611</v>
      </c>
      <c r="K4679" t="str">
        <f>_xlfn.CONCAT(WEEKNUM(CompilDonnées[[#This Row],[PlantationDate]]), " ", YEAR(CompilDonnées[[#This Row],[PlantationDate]]))</f>
        <v>35 2025</v>
      </c>
      <c r="L4679" t="str">
        <f>CONCATENATE(MONTH(CompilDonnées[[#This Row],[PlantationDate]])," ", YEAR(CompilDonnées[[#This Row],[PlantationDate]]))</f>
        <v>8 2025</v>
      </c>
      <c r="M4679" t="str">
        <f>CONCATENATE(MONTH(CompilDonnées[[#This Row],[HarvestingDate]])," ", YEAR(CompilDonnées[[#This Row],[HarvestingDate]]))</f>
        <v>10 2025</v>
      </c>
      <c r="N4679">
        <f>_xlfn.NUMBERVALUE(CompilDonnées[[#This Row],[FarmID]]&amp;CompilDonnées[[#This Row],[ModuleNumber]]&amp;CompilDonnées[[#This Row],[PlantationDate]])</f>
        <v>14645898</v>
      </c>
      <c r="O4679" t="str">
        <f>CompilDonnées[[#This Row],[FarmID]]&amp;CompilDonnées[[#This Row],[ModuleNumber]]</f>
        <v>146</v>
      </c>
      <c r="P4679" t="str">
        <f>CompilDonnées[[#This Row],[Ref_Module]]&amp;CompilDonnées[[#This Row],[HarvestingDate]]</f>
        <v>14645954</v>
      </c>
    </row>
    <row r="4680" spans="1:16">
      <c r="A4680" s="5">
        <v>45898</v>
      </c>
      <c r="B4680">
        <v>12</v>
      </c>
      <c r="C4680" t="s">
        <v>123</v>
      </c>
      <c r="D4680">
        <v>3</v>
      </c>
      <c r="E4680">
        <v>100</v>
      </c>
      <c r="F4680" t="s">
        <v>1</v>
      </c>
      <c r="G4680" s="6">
        <v>45940</v>
      </c>
      <c r="H4680">
        <v>42</v>
      </c>
      <c r="I4680">
        <f>ROUND(CompilDonnées[[#This Row],[CultureDuration_days]]/7,0)</f>
        <v>6</v>
      </c>
      <c r="J4680">
        <v>1351</v>
      </c>
      <c r="K4680" t="str">
        <f>_xlfn.CONCAT(WEEKNUM(CompilDonnées[[#This Row],[PlantationDate]]), " ", YEAR(CompilDonnées[[#This Row],[PlantationDate]]))</f>
        <v>35 2025</v>
      </c>
      <c r="L4680" t="str">
        <f>CONCATENATE(MONTH(CompilDonnées[[#This Row],[PlantationDate]])," ", YEAR(CompilDonnées[[#This Row],[PlantationDate]]))</f>
        <v>8 2025</v>
      </c>
      <c r="M4680" t="str">
        <f>CONCATENATE(MONTH(CompilDonnées[[#This Row],[HarvestingDate]])," ", YEAR(CompilDonnées[[#This Row],[HarvestingDate]]))</f>
        <v>10 2025</v>
      </c>
      <c r="N4680">
        <f>_xlfn.NUMBERVALUE(CompilDonnées[[#This Row],[FarmID]]&amp;CompilDonnées[[#This Row],[ModuleNumber]]&amp;CompilDonnées[[#This Row],[PlantationDate]])</f>
        <v>12345898</v>
      </c>
      <c r="O4680" t="str">
        <f>CompilDonnées[[#This Row],[FarmID]]&amp;CompilDonnées[[#This Row],[ModuleNumber]]</f>
        <v>123</v>
      </c>
      <c r="P4680" t="str">
        <f>CompilDonnées[[#This Row],[Ref_Module]]&amp;CompilDonnées[[#This Row],[HarvestingDate]]</f>
        <v>12345940</v>
      </c>
    </row>
    <row r="4681" spans="1:16">
      <c r="A4681" s="5">
        <v>45898</v>
      </c>
      <c r="B4681">
        <v>46</v>
      </c>
      <c r="C4681" t="s">
        <v>8</v>
      </c>
      <c r="D4681">
        <v>6</v>
      </c>
      <c r="E4681">
        <v>100</v>
      </c>
      <c r="F4681" t="s">
        <v>1</v>
      </c>
      <c r="G4681" s="6">
        <v>45953</v>
      </c>
      <c r="H4681">
        <v>55</v>
      </c>
      <c r="I4681">
        <f>ROUND(CompilDonnées[[#This Row],[CultureDuration_days]]/7,0)</f>
        <v>8</v>
      </c>
      <c r="J4681">
        <v>3258</v>
      </c>
      <c r="K4681" t="str">
        <f>_xlfn.CONCAT(WEEKNUM(CompilDonnées[[#This Row],[PlantationDate]]), " ", YEAR(CompilDonnées[[#This Row],[PlantationDate]]))</f>
        <v>35 2025</v>
      </c>
      <c r="L4681" t="str">
        <f>CONCATENATE(MONTH(CompilDonnées[[#This Row],[PlantationDate]])," ", YEAR(CompilDonnées[[#This Row],[PlantationDate]]))</f>
        <v>8 2025</v>
      </c>
      <c r="M4681" t="str">
        <f>CONCATENATE(MONTH(CompilDonnées[[#This Row],[HarvestingDate]])," ", YEAR(CompilDonnées[[#This Row],[HarvestingDate]]))</f>
        <v>10 2025</v>
      </c>
      <c r="N4681">
        <f>_xlfn.NUMBERVALUE(CompilDonnées[[#This Row],[FarmID]]&amp;CompilDonnées[[#This Row],[ModuleNumber]]&amp;CompilDonnées[[#This Row],[PlantationDate]])</f>
        <v>46645898</v>
      </c>
      <c r="O4681" t="str">
        <f>CompilDonnées[[#This Row],[FarmID]]&amp;CompilDonnées[[#This Row],[ModuleNumber]]</f>
        <v>466</v>
      </c>
      <c r="P4681" t="str">
        <f>CompilDonnées[[#This Row],[Ref_Module]]&amp;CompilDonnées[[#This Row],[HarvestingDate]]</f>
        <v>46645953</v>
      </c>
    </row>
    <row r="4682" spans="1:16">
      <c r="A4682" s="5">
        <v>45898</v>
      </c>
      <c r="B4682">
        <v>70</v>
      </c>
      <c r="C4682" t="s">
        <v>7</v>
      </c>
      <c r="D4682">
        <v>3</v>
      </c>
      <c r="E4682">
        <v>100</v>
      </c>
      <c r="F4682" t="s">
        <v>1</v>
      </c>
      <c r="G4682" s="6">
        <v>45952</v>
      </c>
      <c r="H4682">
        <v>54</v>
      </c>
      <c r="I4682">
        <f>ROUND(CompilDonnées[[#This Row],[CultureDuration_days]]/7,0)</f>
        <v>8</v>
      </c>
      <c r="J4682">
        <v>1948</v>
      </c>
      <c r="K4682" t="str">
        <f>_xlfn.CONCAT(WEEKNUM(CompilDonnées[[#This Row],[PlantationDate]]), " ", YEAR(CompilDonnées[[#This Row],[PlantationDate]]))</f>
        <v>35 2025</v>
      </c>
      <c r="L4682" t="str">
        <f>CONCATENATE(MONTH(CompilDonnées[[#This Row],[PlantationDate]])," ", YEAR(CompilDonnées[[#This Row],[PlantationDate]]))</f>
        <v>8 2025</v>
      </c>
      <c r="M4682" t="str">
        <f>CONCATENATE(MONTH(CompilDonnées[[#This Row],[HarvestingDate]])," ", YEAR(CompilDonnées[[#This Row],[HarvestingDate]]))</f>
        <v>10 2025</v>
      </c>
      <c r="N4682">
        <f>_xlfn.NUMBERVALUE(CompilDonnées[[#This Row],[FarmID]]&amp;CompilDonnées[[#This Row],[ModuleNumber]]&amp;CompilDonnées[[#This Row],[PlantationDate]])</f>
        <v>70345898</v>
      </c>
      <c r="O4682" t="str">
        <f>CompilDonnées[[#This Row],[FarmID]]&amp;CompilDonnées[[#This Row],[ModuleNumber]]</f>
        <v>703</v>
      </c>
      <c r="P4682" t="str">
        <f>CompilDonnées[[#This Row],[Ref_Module]]&amp;CompilDonnées[[#This Row],[HarvestingDate]]</f>
        <v>70345952</v>
      </c>
    </row>
    <row r="4683" spans="1:16">
      <c r="A4683" s="5">
        <v>45898</v>
      </c>
      <c r="B4683">
        <v>18</v>
      </c>
      <c r="C4683" t="s">
        <v>33</v>
      </c>
      <c r="D4683">
        <v>4</v>
      </c>
      <c r="E4683">
        <v>100</v>
      </c>
      <c r="F4683" t="s">
        <v>1</v>
      </c>
      <c r="G4683" s="6">
        <v>45943</v>
      </c>
      <c r="H4683">
        <v>45</v>
      </c>
      <c r="I4683">
        <f>ROUND(CompilDonnées[[#This Row],[CultureDuration_days]]/7,0)</f>
        <v>6</v>
      </c>
      <c r="J4683">
        <v>3007</v>
      </c>
      <c r="K4683" t="str">
        <f>_xlfn.CONCAT(WEEKNUM(CompilDonnées[[#This Row],[PlantationDate]]), " ", YEAR(CompilDonnées[[#This Row],[PlantationDate]]))</f>
        <v>35 2025</v>
      </c>
      <c r="L4683" t="str">
        <f>CONCATENATE(MONTH(CompilDonnées[[#This Row],[PlantationDate]])," ", YEAR(CompilDonnées[[#This Row],[PlantationDate]]))</f>
        <v>8 2025</v>
      </c>
      <c r="M4683" t="str">
        <f>CONCATENATE(MONTH(CompilDonnées[[#This Row],[HarvestingDate]])," ", YEAR(CompilDonnées[[#This Row],[HarvestingDate]]))</f>
        <v>10 2025</v>
      </c>
      <c r="N4683">
        <f>_xlfn.NUMBERVALUE(CompilDonnées[[#This Row],[FarmID]]&amp;CompilDonnées[[#This Row],[ModuleNumber]]&amp;CompilDonnées[[#This Row],[PlantationDate]])</f>
        <v>18445898</v>
      </c>
      <c r="O4683" t="str">
        <f>CompilDonnées[[#This Row],[FarmID]]&amp;CompilDonnées[[#This Row],[ModuleNumber]]</f>
        <v>184</v>
      </c>
      <c r="P4683" t="str">
        <f>CompilDonnées[[#This Row],[Ref_Module]]&amp;CompilDonnées[[#This Row],[HarvestingDate]]</f>
        <v>18445943</v>
      </c>
    </row>
    <row r="4684" spans="1:16">
      <c r="A4684" s="5">
        <v>45898</v>
      </c>
      <c r="B4684">
        <v>17</v>
      </c>
      <c r="C4684" t="s">
        <v>80</v>
      </c>
      <c r="D4684">
        <v>2</v>
      </c>
      <c r="E4684">
        <v>100</v>
      </c>
      <c r="F4684" t="s">
        <v>1</v>
      </c>
      <c r="G4684" s="6">
        <v>45953</v>
      </c>
      <c r="H4684">
        <v>55</v>
      </c>
      <c r="I4684">
        <f>ROUND(CompilDonnées[[#This Row],[CultureDuration_days]]/7,0)</f>
        <v>8</v>
      </c>
      <c r="J4684">
        <v>2104</v>
      </c>
      <c r="K4684" t="str">
        <f>_xlfn.CONCAT(WEEKNUM(CompilDonnées[[#This Row],[PlantationDate]]), " ", YEAR(CompilDonnées[[#This Row],[PlantationDate]]))</f>
        <v>35 2025</v>
      </c>
      <c r="L4684" t="str">
        <f>CONCATENATE(MONTH(CompilDonnées[[#This Row],[PlantationDate]])," ", YEAR(CompilDonnées[[#This Row],[PlantationDate]]))</f>
        <v>8 2025</v>
      </c>
      <c r="M4684" t="str">
        <f>CONCATENATE(MONTH(CompilDonnées[[#This Row],[HarvestingDate]])," ", YEAR(CompilDonnées[[#This Row],[HarvestingDate]]))</f>
        <v>10 2025</v>
      </c>
      <c r="N4684">
        <f>_xlfn.NUMBERVALUE(CompilDonnées[[#This Row],[FarmID]]&amp;CompilDonnées[[#This Row],[ModuleNumber]]&amp;CompilDonnées[[#This Row],[PlantationDate]])</f>
        <v>17245898</v>
      </c>
      <c r="O4684" t="str">
        <f>CompilDonnées[[#This Row],[FarmID]]&amp;CompilDonnées[[#This Row],[ModuleNumber]]</f>
        <v>172</v>
      </c>
      <c r="P4684" t="str">
        <f>CompilDonnées[[#This Row],[Ref_Module]]&amp;CompilDonnées[[#This Row],[HarvestingDate]]</f>
        <v>17245953</v>
      </c>
    </row>
    <row r="4685" spans="1:16">
      <c r="A4685" s="5">
        <v>45898</v>
      </c>
      <c r="B4685">
        <v>17</v>
      </c>
      <c r="C4685" t="s">
        <v>80</v>
      </c>
      <c r="D4685">
        <v>5</v>
      </c>
      <c r="E4685">
        <v>100</v>
      </c>
      <c r="F4685" t="s">
        <v>1</v>
      </c>
      <c r="G4685" s="6">
        <v>45953</v>
      </c>
      <c r="H4685">
        <v>55</v>
      </c>
      <c r="I4685">
        <f>ROUND(CompilDonnées[[#This Row],[CultureDuration_days]]/7,0)</f>
        <v>8</v>
      </c>
      <c r="J4685">
        <v>1925</v>
      </c>
      <c r="K4685" t="str">
        <f>_xlfn.CONCAT(WEEKNUM(CompilDonnées[[#This Row],[PlantationDate]]), " ", YEAR(CompilDonnées[[#This Row],[PlantationDate]]))</f>
        <v>35 2025</v>
      </c>
      <c r="L4685" t="str">
        <f>CONCATENATE(MONTH(CompilDonnées[[#This Row],[PlantationDate]])," ", YEAR(CompilDonnées[[#This Row],[PlantationDate]]))</f>
        <v>8 2025</v>
      </c>
      <c r="M4685" t="str">
        <f>CONCATENATE(MONTH(CompilDonnées[[#This Row],[HarvestingDate]])," ", YEAR(CompilDonnées[[#This Row],[HarvestingDate]]))</f>
        <v>10 2025</v>
      </c>
      <c r="N4685">
        <f>_xlfn.NUMBERVALUE(CompilDonnées[[#This Row],[FarmID]]&amp;CompilDonnées[[#This Row],[ModuleNumber]]&amp;CompilDonnées[[#This Row],[PlantationDate]])</f>
        <v>17545898</v>
      </c>
      <c r="O4685" t="str">
        <f>CompilDonnées[[#This Row],[FarmID]]&amp;CompilDonnées[[#This Row],[ModuleNumber]]</f>
        <v>175</v>
      </c>
      <c r="P4685" t="str">
        <f>CompilDonnées[[#This Row],[Ref_Module]]&amp;CompilDonnées[[#This Row],[HarvestingDate]]</f>
        <v>17545953</v>
      </c>
    </row>
    <row r="4686" spans="1:16">
      <c r="A4686" s="5">
        <v>45898</v>
      </c>
      <c r="B4686">
        <v>15</v>
      </c>
      <c r="C4686" t="s">
        <v>5</v>
      </c>
      <c r="D4686">
        <v>5</v>
      </c>
      <c r="E4686">
        <v>100</v>
      </c>
      <c r="F4686" t="s">
        <v>1</v>
      </c>
      <c r="G4686" s="6">
        <v>45943</v>
      </c>
      <c r="H4686">
        <v>45</v>
      </c>
      <c r="I4686">
        <f>ROUND(CompilDonnées[[#This Row],[CultureDuration_days]]/7,0)</f>
        <v>6</v>
      </c>
      <c r="J4686">
        <v>2120</v>
      </c>
      <c r="K4686" t="str">
        <f>_xlfn.CONCAT(WEEKNUM(CompilDonnées[[#This Row],[PlantationDate]]), " ", YEAR(CompilDonnées[[#This Row],[PlantationDate]]))</f>
        <v>35 2025</v>
      </c>
      <c r="L4686" t="str">
        <f>CONCATENATE(MONTH(CompilDonnées[[#This Row],[PlantationDate]])," ", YEAR(CompilDonnées[[#This Row],[PlantationDate]]))</f>
        <v>8 2025</v>
      </c>
      <c r="M4686" t="str">
        <f>CONCATENATE(MONTH(CompilDonnées[[#This Row],[HarvestingDate]])," ", YEAR(CompilDonnées[[#This Row],[HarvestingDate]]))</f>
        <v>10 2025</v>
      </c>
      <c r="N4686">
        <f>_xlfn.NUMBERVALUE(CompilDonnées[[#This Row],[FarmID]]&amp;CompilDonnées[[#This Row],[ModuleNumber]]&amp;CompilDonnées[[#This Row],[PlantationDate]])</f>
        <v>15545898</v>
      </c>
      <c r="O4686" t="str">
        <f>CompilDonnées[[#This Row],[FarmID]]&amp;CompilDonnées[[#This Row],[ModuleNumber]]</f>
        <v>155</v>
      </c>
      <c r="P4686" t="str">
        <f>CompilDonnées[[#This Row],[Ref_Module]]&amp;CompilDonnées[[#This Row],[HarvestingDate]]</f>
        <v>15545943</v>
      </c>
    </row>
    <row r="4687" spans="1:16">
      <c r="A4687" s="5">
        <v>45898</v>
      </c>
      <c r="B4687">
        <v>24</v>
      </c>
      <c r="C4687" t="s">
        <v>31</v>
      </c>
      <c r="D4687">
        <v>1</v>
      </c>
      <c r="E4687">
        <v>100</v>
      </c>
      <c r="F4687" t="s">
        <v>1</v>
      </c>
      <c r="G4687" s="6">
        <v>45943</v>
      </c>
      <c r="H4687">
        <v>45</v>
      </c>
      <c r="I4687">
        <f>ROUND(CompilDonnées[[#This Row],[CultureDuration_days]]/7,0)</f>
        <v>6</v>
      </c>
      <c r="J4687">
        <v>3746</v>
      </c>
      <c r="K4687" t="str">
        <f>_xlfn.CONCAT(WEEKNUM(CompilDonnées[[#This Row],[PlantationDate]]), " ", YEAR(CompilDonnées[[#This Row],[PlantationDate]]))</f>
        <v>35 2025</v>
      </c>
      <c r="L4687" t="str">
        <f>CONCATENATE(MONTH(CompilDonnées[[#This Row],[PlantationDate]])," ", YEAR(CompilDonnées[[#This Row],[PlantationDate]]))</f>
        <v>8 2025</v>
      </c>
      <c r="M4687" t="str">
        <f>CONCATENATE(MONTH(CompilDonnées[[#This Row],[HarvestingDate]])," ", YEAR(CompilDonnées[[#This Row],[HarvestingDate]]))</f>
        <v>10 2025</v>
      </c>
      <c r="N4687">
        <f>_xlfn.NUMBERVALUE(CompilDonnées[[#This Row],[FarmID]]&amp;CompilDonnées[[#This Row],[ModuleNumber]]&amp;CompilDonnées[[#This Row],[PlantationDate]])</f>
        <v>24145898</v>
      </c>
      <c r="O4687" t="str">
        <f>CompilDonnées[[#This Row],[FarmID]]&amp;CompilDonnées[[#This Row],[ModuleNumber]]</f>
        <v>241</v>
      </c>
      <c r="P4687" t="str">
        <f>CompilDonnées[[#This Row],[Ref_Module]]&amp;CompilDonnées[[#This Row],[HarvestingDate]]</f>
        <v>24145943</v>
      </c>
    </row>
    <row r="4688" spans="1:16">
      <c r="A4688" s="5">
        <v>45898</v>
      </c>
      <c r="B4688">
        <v>24</v>
      </c>
      <c r="C4688" t="s">
        <v>31</v>
      </c>
      <c r="D4688">
        <v>2</v>
      </c>
      <c r="E4688">
        <v>100</v>
      </c>
      <c r="F4688" t="s">
        <v>1</v>
      </c>
      <c r="G4688" s="6">
        <v>45943</v>
      </c>
      <c r="H4688">
        <v>45</v>
      </c>
      <c r="I4688">
        <f>ROUND(CompilDonnées[[#This Row],[CultureDuration_days]]/7,0)</f>
        <v>6</v>
      </c>
      <c r="J4688">
        <v>3307</v>
      </c>
      <c r="K4688" t="str">
        <f>_xlfn.CONCAT(WEEKNUM(CompilDonnées[[#This Row],[PlantationDate]]), " ", YEAR(CompilDonnées[[#This Row],[PlantationDate]]))</f>
        <v>35 2025</v>
      </c>
      <c r="L4688" t="str">
        <f>CONCATENATE(MONTH(CompilDonnées[[#This Row],[PlantationDate]])," ", YEAR(CompilDonnées[[#This Row],[PlantationDate]]))</f>
        <v>8 2025</v>
      </c>
      <c r="M4688" t="str">
        <f>CONCATENATE(MONTH(CompilDonnées[[#This Row],[HarvestingDate]])," ", YEAR(CompilDonnées[[#This Row],[HarvestingDate]]))</f>
        <v>10 2025</v>
      </c>
      <c r="N4688">
        <f>_xlfn.NUMBERVALUE(CompilDonnées[[#This Row],[FarmID]]&amp;CompilDonnées[[#This Row],[ModuleNumber]]&amp;CompilDonnées[[#This Row],[PlantationDate]])</f>
        <v>24245898</v>
      </c>
      <c r="O4688" t="str">
        <f>CompilDonnées[[#This Row],[FarmID]]&amp;CompilDonnées[[#This Row],[ModuleNumber]]</f>
        <v>242</v>
      </c>
      <c r="P4688" t="str">
        <f>CompilDonnées[[#This Row],[Ref_Module]]&amp;CompilDonnées[[#This Row],[HarvestingDate]]</f>
        <v>24245943</v>
      </c>
    </row>
    <row r="4689" spans="1:16">
      <c r="A4689" s="5">
        <v>45898</v>
      </c>
      <c r="B4689">
        <v>23</v>
      </c>
      <c r="C4689" t="s">
        <v>44</v>
      </c>
      <c r="D4689">
        <v>5</v>
      </c>
      <c r="E4689">
        <v>98</v>
      </c>
      <c r="F4689" t="s">
        <v>1</v>
      </c>
      <c r="G4689" s="6">
        <v>45943</v>
      </c>
      <c r="H4689">
        <v>45</v>
      </c>
      <c r="I4689">
        <f>ROUND(CompilDonnées[[#This Row],[CultureDuration_days]]/7,0)</f>
        <v>6</v>
      </c>
      <c r="J4689">
        <v>2775</v>
      </c>
      <c r="K4689" t="str">
        <f>_xlfn.CONCAT(WEEKNUM(CompilDonnées[[#This Row],[PlantationDate]]), " ", YEAR(CompilDonnées[[#This Row],[PlantationDate]]))</f>
        <v>35 2025</v>
      </c>
      <c r="L4689" t="str">
        <f>CONCATENATE(MONTH(CompilDonnées[[#This Row],[PlantationDate]])," ", YEAR(CompilDonnées[[#This Row],[PlantationDate]]))</f>
        <v>8 2025</v>
      </c>
      <c r="M4689" t="str">
        <f>CONCATENATE(MONTH(CompilDonnées[[#This Row],[HarvestingDate]])," ", YEAR(CompilDonnées[[#This Row],[HarvestingDate]]))</f>
        <v>10 2025</v>
      </c>
      <c r="N4689">
        <f>_xlfn.NUMBERVALUE(CompilDonnées[[#This Row],[FarmID]]&amp;CompilDonnées[[#This Row],[ModuleNumber]]&amp;CompilDonnées[[#This Row],[PlantationDate]])</f>
        <v>23545898</v>
      </c>
      <c r="O4689" t="str">
        <f>CompilDonnées[[#This Row],[FarmID]]&amp;CompilDonnées[[#This Row],[ModuleNumber]]</f>
        <v>235</v>
      </c>
      <c r="P4689" t="str">
        <f>CompilDonnées[[#This Row],[Ref_Module]]&amp;CompilDonnées[[#This Row],[HarvestingDate]]</f>
        <v>23545943</v>
      </c>
    </row>
    <row r="4690" spans="1:16">
      <c r="A4690" s="5">
        <v>45898</v>
      </c>
      <c r="B4690">
        <v>22</v>
      </c>
      <c r="C4690" t="s">
        <v>43</v>
      </c>
      <c r="D4690">
        <v>2</v>
      </c>
      <c r="E4690">
        <v>100</v>
      </c>
      <c r="F4690" t="s">
        <v>1</v>
      </c>
      <c r="G4690" s="6">
        <v>45954</v>
      </c>
      <c r="H4690">
        <v>56</v>
      </c>
      <c r="I4690">
        <f>ROUND(CompilDonnées[[#This Row],[CultureDuration_days]]/7,0)</f>
        <v>8</v>
      </c>
      <c r="J4690">
        <v>1455</v>
      </c>
      <c r="K4690" t="str">
        <f>_xlfn.CONCAT(WEEKNUM(CompilDonnées[[#This Row],[PlantationDate]]), " ", YEAR(CompilDonnées[[#This Row],[PlantationDate]]))</f>
        <v>35 2025</v>
      </c>
      <c r="L4690" t="str">
        <f>CONCATENATE(MONTH(CompilDonnées[[#This Row],[PlantationDate]])," ", YEAR(CompilDonnées[[#This Row],[PlantationDate]]))</f>
        <v>8 2025</v>
      </c>
      <c r="M4690" t="str">
        <f>CONCATENATE(MONTH(CompilDonnées[[#This Row],[HarvestingDate]])," ", YEAR(CompilDonnées[[#This Row],[HarvestingDate]]))</f>
        <v>10 2025</v>
      </c>
      <c r="N4690">
        <f>_xlfn.NUMBERVALUE(CompilDonnées[[#This Row],[FarmID]]&amp;CompilDonnées[[#This Row],[ModuleNumber]]&amp;CompilDonnées[[#This Row],[PlantationDate]])</f>
        <v>22245898</v>
      </c>
      <c r="O4690" t="str">
        <f>CompilDonnées[[#This Row],[FarmID]]&amp;CompilDonnées[[#This Row],[ModuleNumber]]</f>
        <v>222</v>
      </c>
      <c r="P4690" t="str">
        <f>CompilDonnées[[#This Row],[Ref_Module]]&amp;CompilDonnées[[#This Row],[HarvestingDate]]</f>
        <v>22245954</v>
      </c>
    </row>
    <row r="4691" spans="1:16">
      <c r="A4691" s="5">
        <v>45898</v>
      </c>
      <c r="B4691">
        <v>22</v>
      </c>
      <c r="C4691" t="s">
        <v>43</v>
      </c>
      <c r="D4691">
        <v>6</v>
      </c>
      <c r="E4691">
        <v>100</v>
      </c>
      <c r="F4691" t="s">
        <v>1</v>
      </c>
      <c r="G4691" s="6">
        <v>45943</v>
      </c>
      <c r="H4691">
        <v>45</v>
      </c>
      <c r="I4691">
        <f>ROUND(CompilDonnées[[#This Row],[CultureDuration_days]]/7,0)</f>
        <v>6</v>
      </c>
      <c r="J4691">
        <v>4038</v>
      </c>
      <c r="K4691" t="str">
        <f>_xlfn.CONCAT(WEEKNUM(CompilDonnées[[#This Row],[PlantationDate]]), " ", YEAR(CompilDonnées[[#This Row],[PlantationDate]]))</f>
        <v>35 2025</v>
      </c>
      <c r="L4691" t="str">
        <f>CONCATENATE(MONTH(CompilDonnées[[#This Row],[PlantationDate]])," ", YEAR(CompilDonnées[[#This Row],[PlantationDate]]))</f>
        <v>8 2025</v>
      </c>
      <c r="M4691" t="str">
        <f>CONCATENATE(MONTH(CompilDonnées[[#This Row],[HarvestingDate]])," ", YEAR(CompilDonnées[[#This Row],[HarvestingDate]]))</f>
        <v>10 2025</v>
      </c>
      <c r="N4691">
        <f>_xlfn.NUMBERVALUE(CompilDonnées[[#This Row],[FarmID]]&amp;CompilDonnées[[#This Row],[ModuleNumber]]&amp;CompilDonnées[[#This Row],[PlantationDate]])</f>
        <v>22645898</v>
      </c>
      <c r="O4691" t="str">
        <f>CompilDonnées[[#This Row],[FarmID]]&amp;CompilDonnées[[#This Row],[ModuleNumber]]</f>
        <v>226</v>
      </c>
      <c r="P4691" t="str">
        <f>CompilDonnées[[#This Row],[Ref_Module]]&amp;CompilDonnées[[#This Row],[HarvestingDate]]</f>
        <v>22645943</v>
      </c>
    </row>
    <row r="4692" spans="1:16">
      <c r="A4692" s="5">
        <v>45898</v>
      </c>
      <c r="B4692">
        <v>21</v>
      </c>
      <c r="C4692" t="s">
        <v>0</v>
      </c>
      <c r="D4692">
        <v>1</v>
      </c>
      <c r="E4692">
        <v>100</v>
      </c>
      <c r="F4692" t="s">
        <v>1</v>
      </c>
      <c r="G4692" s="6">
        <v>45954</v>
      </c>
      <c r="H4692">
        <v>56</v>
      </c>
      <c r="I4692">
        <f>ROUND(CompilDonnées[[#This Row],[CultureDuration_days]]/7,0)</f>
        <v>8</v>
      </c>
      <c r="J4692">
        <v>1082</v>
      </c>
      <c r="K4692" t="str">
        <f>_xlfn.CONCAT(WEEKNUM(CompilDonnées[[#This Row],[PlantationDate]]), " ", YEAR(CompilDonnées[[#This Row],[PlantationDate]]))</f>
        <v>35 2025</v>
      </c>
      <c r="L4692" t="str">
        <f>CONCATENATE(MONTH(CompilDonnées[[#This Row],[PlantationDate]])," ", YEAR(CompilDonnées[[#This Row],[PlantationDate]]))</f>
        <v>8 2025</v>
      </c>
      <c r="M4692" t="str">
        <f>CONCATENATE(MONTH(CompilDonnées[[#This Row],[HarvestingDate]])," ", YEAR(CompilDonnées[[#This Row],[HarvestingDate]]))</f>
        <v>10 2025</v>
      </c>
      <c r="N4692">
        <f>_xlfn.NUMBERVALUE(CompilDonnées[[#This Row],[FarmID]]&amp;CompilDonnées[[#This Row],[ModuleNumber]]&amp;CompilDonnées[[#This Row],[PlantationDate]])</f>
        <v>21145898</v>
      </c>
      <c r="O4692" t="str">
        <f>CompilDonnées[[#This Row],[FarmID]]&amp;CompilDonnées[[#This Row],[ModuleNumber]]</f>
        <v>211</v>
      </c>
      <c r="P4692" t="str">
        <f>CompilDonnées[[#This Row],[Ref_Module]]&amp;CompilDonnées[[#This Row],[HarvestingDate]]</f>
        <v>21145954</v>
      </c>
    </row>
    <row r="4693" spans="1:16">
      <c r="A4693" s="5">
        <v>45898</v>
      </c>
      <c r="B4693">
        <v>21</v>
      </c>
      <c r="C4693" t="s">
        <v>0</v>
      </c>
      <c r="D4693">
        <v>6</v>
      </c>
      <c r="E4693">
        <v>100</v>
      </c>
      <c r="F4693" t="s">
        <v>1</v>
      </c>
      <c r="G4693" s="6">
        <v>45943</v>
      </c>
      <c r="H4693">
        <v>45</v>
      </c>
      <c r="I4693">
        <f>ROUND(CompilDonnées[[#This Row],[CultureDuration_days]]/7,0)</f>
        <v>6</v>
      </c>
      <c r="J4693">
        <v>2175</v>
      </c>
      <c r="K4693" t="str">
        <f>_xlfn.CONCAT(WEEKNUM(CompilDonnées[[#This Row],[PlantationDate]]), " ", YEAR(CompilDonnées[[#This Row],[PlantationDate]]))</f>
        <v>35 2025</v>
      </c>
      <c r="L4693" t="str">
        <f>CONCATENATE(MONTH(CompilDonnées[[#This Row],[PlantationDate]])," ", YEAR(CompilDonnées[[#This Row],[PlantationDate]]))</f>
        <v>8 2025</v>
      </c>
      <c r="M4693" t="str">
        <f>CONCATENATE(MONTH(CompilDonnées[[#This Row],[HarvestingDate]])," ", YEAR(CompilDonnées[[#This Row],[HarvestingDate]]))</f>
        <v>10 2025</v>
      </c>
      <c r="N4693">
        <f>_xlfn.NUMBERVALUE(CompilDonnées[[#This Row],[FarmID]]&amp;CompilDonnées[[#This Row],[ModuleNumber]]&amp;CompilDonnées[[#This Row],[PlantationDate]])</f>
        <v>21645898</v>
      </c>
      <c r="O4693" t="str">
        <f>CompilDonnées[[#This Row],[FarmID]]&amp;CompilDonnées[[#This Row],[ModuleNumber]]</f>
        <v>216</v>
      </c>
      <c r="P4693" t="str">
        <f>CompilDonnées[[#This Row],[Ref_Module]]&amp;CompilDonnées[[#This Row],[HarvestingDate]]</f>
        <v>21645943</v>
      </c>
    </row>
    <row r="4694" spans="1:16">
      <c r="A4694" s="5">
        <v>45898</v>
      </c>
      <c r="B4694">
        <v>32</v>
      </c>
      <c r="C4694" t="s">
        <v>25</v>
      </c>
      <c r="D4694">
        <v>4</v>
      </c>
      <c r="E4694">
        <v>100</v>
      </c>
      <c r="F4694" t="s">
        <v>1</v>
      </c>
      <c r="G4694" s="6">
        <v>45943</v>
      </c>
      <c r="H4694">
        <v>45</v>
      </c>
      <c r="I4694">
        <f>ROUND(CompilDonnées[[#This Row],[CultureDuration_days]]/7,0)</f>
        <v>6</v>
      </c>
      <c r="J4694">
        <v>3186</v>
      </c>
      <c r="K4694" t="str">
        <f>_xlfn.CONCAT(WEEKNUM(CompilDonnées[[#This Row],[PlantationDate]]), " ", YEAR(CompilDonnées[[#This Row],[PlantationDate]]))</f>
        <v>35 2025</v>
      </c>
      <c r="L4694" t="str">
        <f>CONCATENATE(MONTH(CompilDonnées[[#This Row],[PlantationDate]])," ", YEAR(CompilDonnées[[#This Row],[PlantationDate]]))</f>
        <v>8 2025</v>
      </c>
      <c r="M4694" t="str">
        <f>CONCATENATE(MONTH(CompilDonnées[[#This Row],[HarvestingDate]])," ", YEAR(CompilDonnées[[#This Row],[HarvestingDate]]))</f>
        <v>10 2025</v>
      </c>
      <c r="N4694">
        <f>_xlfn.NUMBERVALUE(CompilDonnées[[#This Row],[FarmID]]&amp;CompilDonnées[[#This Row],[ModuleNumber]]&amp;CompilDonnées[[#This Row],[PlantationDate]])</f>
        <v>32445898</v>
      </c>
      <c r="O4694" t="str">
        <f>CompilDonnées[[#This Row],[FarmID]]&amp;CompilDonnées[[#This Row],[ModuleNumber]]</f>
        <v>324</v>
      </c>
      <c r="P4694" t="str">
        <f>CompilDonnées[[#This Row],[Ref_Module]]&amp;CompilDonnées[[#This Row],[HarvestingDate]]</f>
        <v>32445943</v>
      </c>
    </row>
    <row r="4695" spans="1:16">
      <c r="A4695" s="5">
        <v>45898</v>
      </c>
      <c r="B4695">
        <v>31</v>
      </c>
      <c r="C4695" t="s">
        <v>62</v>
      </c>
      <c r="D4695">
        <v>2</v>
      </c>
      <c r="E4695">
        <v>100</v>
      </c>
      <c r="F4695" t="s">
        <v>1</v>
      </c>
      <c r="G4695" s="6">
        <v>45953</v>
      </c>
      <c r="H4695">
        <v>55</v>
      </c>
      <c r="I4695">
        <f>ROUND(CompilDonnées[[#This Row],[CultureDuration_days]]/7,0)</f>
        <v>8</v>
      </c>
      <c r="J4695">
        <v>1828</v>
      </c>
      <c r="K4695" t="str">
        <f>_xlfn.CONCAT(WEEKNUM(CompilDonnées[[#This Row],[PlantationDate]]), " ", YEAR(CompilDonnées[[#This Row],[PlantationDate]]))</f>
        <v>35 2025</v>
      </c>
      <c r="L4695" t="str">
        <f>CONCATENATE(MONTH(CompilDonnées[[#This Row],[PlantationDate]])," ", YEAR(CompilDonnées[[#This Row],[PlantationDate]]))</f>
        <v>8 2025</v>
      </c>
      <c r="M4695" t="str">
        <f>CONCATENATE(MONTH(CompilDonnées[[#This Row],[HarvestingDate]])," ", YEAR(CompilDonnées[[#This Row],[HarvestingDate]]))</f>
        <v>10 2025</v>
      </c>
      <c r="N4695">
        <f>_xlfn.NUMBERVALUE(CompilDonnées[[#This Row],[FarmID]]&amp;CompilDonnées[[#This Row],[ModuleNumber]]&amp;CompilDonnées[[#This Row],[PlantationDate]])</f>
        <v>31245898</v>
      </c>
      <c r="O4695" t="str">
        <f>CompilDonnées[[#This Row],[FarmID]]&amp;CompilDonnées[[#This Row],[ModuleNumber]]</f>
        <v>312</v>
      </c>
      <c r="P4695" t="str">
        <f>CompilDonnées[[#This Row],[Ref_Module]]&amp;CompilDonnées[[#This Row],[HarvestingDate]]</f>
        <v>31245953</v>
      </c>
    </row>
    <row r="4696" spans="1:16">
      <c r="A4696" s="5">
        <v>45898</v>
      </c>
      <c r="B4696">
        <v>36</v>
      </c>
      <c r="C4696" t="s">
        <v>63</v>
      </c>
      <c r="D4696">
        <v>3</v>
      </c>
      <c r="E4696">
        <v>100</v>
      </c>
      <c r="F4696" t="s">
        <v>1</v>
      </c>
      <c r="G4696" s="6">
        <v>45953</v>
      </c>
      <c r="H4696">
        <v>55</v>
      </c>
      <c r="I4696">
        <f>ROUND(CompilDonnées[[#This Row],[CultureDuration_days]]/7,0)</f>
        <v>8</v>
      </c>
      <c r="J4696">
        <v>1751</v>
      </c>
      <c r="K4696" t="str">
        <f>_xlfn.CONCAT(WEEKNUM(CompilDonnées[[#This Row],[PlantationDate]]), " ", YEAR(CompilDonnées[[#This Row],[PlantationDate]]))</f>
        <v>35 2025</v>
      </c>
      <c r="L4696" t="str">
        <f>CONCATENATE(MONTH(CompilDonnées[[#This Row],[PlantationDate]])," ", YEAR(CompilDonnées[[#This Row],[PlantationDate]]))</f>
        <v>8 2025</v>
      </c>
      <c r="M4696" t="str">
        <f>CONCATENATE(MONTH(CompilDonnées[[#This Row],[HarvestingDate]])," ", YEAR(CompilDonnées[[#This Row],[HarvestingDate]]))</f>
        <v>10 2025</v>
      </c>
      <c r="N4696">
        <f>_xlfn.NUMBERVALUE(CompilDonnées[[#This Row],[FarmID]]&amp;CompilDonnées[[#This Row],[ModuleNumber]]&amp;CompilDonnées[[#This Row],[PlantationDate]])</f>
        <v>36345898</v>
      </c>
      <c r="O4696" t="str">
        <f>CompilDonnées[[#This Row],[FarmID]]&amp;CompilDonnées[[#This Row],[ModuleNumber]]</f>
        <v>363</v>
      </c>
      <c r="P4696" t="str">
        <f>CompilDonnées[[#This Row],[Ref_Module]]&amp;CompilDonnées[[#This Row],[HarvestingDate]]</f>
        <v>36345953</v>
      </c>
    </row>
    <row r="4697" spans="1:16">
      <c r="A4697" s="5">
        <v>45898</v>
      </c>
      <c r="B4697">
        <v>36</v>
      </c>
      <c r="C4697" t="s">
        <v>63</v>
      </c>
      <c r="D4697">
        <v>6</v>
      </c>
      <c r="E4697">
        <v>100</v>
      </c>
      <c r="F4697" t="s">
        <v>1</v>
      </c>
      <c r="G4697" s="6">
        <v>45943</v>
      </c>
      <c r="H4697">
        <v>45</v>
      </c>
      <c r="I4697">
        <f>ROUND(CompilDonnées[[#This Row],[CultureDuration_days]]/7,0)</f>
        <v>6</v>
      </c>
      <c r="J4697">
        <v>3029</v>
      </c>
      <c r="K4697" t="str">
        <f>_xlfn.CONCAT(WEEKNUM(CompilDonnées[[#This Row],[PlantationDate]]), " ", YEAR(CompilDonnées[[#This Row],[PlantationDate]]))</f>
        <v>35 2025</v>
      </c>
      <c r="L4697" t="str">
        <f>CONCATENATE(MONTH(CompilDonnées[[#This Row],[PlantationDate]])," ", YEAR(CompilDonnées[[#This Row],[PlantationDate]]))</f>
        <v>8 2025</v>
      </c>
      <c r="M4697" t="str">
        <f>CONCATENATE(MONTH(CompilDonnées[[#This Row],[HarvestingDate]])," ", YEAR(CompilDonnées[[#This Row],[HarvestingDate]]))</f>
        <v>10 2025</v>
      </c>
      <c r="N4697">
        <f>_xlfn.NUMBERVALUE(CompilDonnées[[#This Row],[FarmID]]&amp;CompilDonnées[[#This Row],[ModuleNumber]]&amp;CompilDonnées[[#This Row],[PlantationDate]])</f>
        <v>36645898</v>
      </c>
      <c r="O4697" t="str">
        <f>CompilDonnées[[#This Row],[FarmID]]&amp;CompilDonnées[[#This Row],[ModuleNumber]]</f>
        <v>366</v>
      </c>
      <c r="P4697" t="str">
        <f>CompilDonnées[[#This Row],[Ref_Module]]&amp;CompilDonnées[[#This Row],[HarvestingDate]]</f>
        <v>36645943</v>
      </c>
    </row>
    <row r="4698" spans="1:16">
      <c r="A4698" s="5">
        <v>45898</v>
      </c>
      <c r="B4698">
        <v>44</v>
      </c>
      <c r="C4698" t="s">
        <v>42</v>
      </c>
      <c r="D4698">
        <v>1</v>
      </c>
      <c r="E4698">
        <v>100</v>
      </c>
      <c r="F4698" t="s">
        <v>1</v>
      </c>
      <c r="G4698" s="6">
        <v>45953</v>
      </c>
      <c r="H4698">
        <v>55</v>
      </c>
      <c r="I4698">
        <f>ROUND(CompilDonnées[[#This Row],[CultureDuration_days]]/7,0)</f>
        <v>8</v>
      </c>
      <c r="J4698">
        <v>2365</v>
      </c>
      <c r="K4698" t="str">
        <f>_xlfn.CONCAT(WEEKNUM(CompilDonnées[[#This Row],[PlantationDate]]), " ", YEAR(CompilDonnées[[#This Row],[PlantationDate]]))</f>
        <v>35 2025</v>
      </c>
      <c r="L4698" t="str">
        <f>CONCATENATE(MONTH(CompilDonnées[[#This Row],[PlantationDate]])," ", YEAR(CompilDonnées[[#This Row],[PlantationDate]]))</f>
        <v>8 2025</v>
      </c>
      <c r="M4698" t="str">
        <f>CONCATENATE(MONTH(CompilDonnées[[#This Row],[HarvestingDate]])," ", YEAR(CompilDonnées[[#This Row],[HarvestingDate]]))</f>
        <v>10 2025</v>
      </c>
      <c r="N4698">
        <f>_xlfn.NUMBERVALUE(CompilDonnées[[#This Row],[FarmID]]&amp;CompilDonnées[[#This Row],[ModuleNumber]]&amp;CompilDonnées[[#This Row],[PlantationDate]])</f>
        <v>44145898</v>
      </c>
      <c r="O4698" t="str">
        <f>CompilDonnées[[#This Row],[FarmID]]&amp;CompilDonnées[[#This Row],[ModuleNumber]]</f>
        <v>441</v>
      </c>
      <c r="P4698" t="str">
        <f>CompilDonnées[[#This Row],[Ref_Module]]&amp;CompilDonnées[[#This Row],[HarvestingDate]]</f>
        <v>44145953</v>
      </c>
    </row>
    <row r="4699" spans="1:16">
      <c r="A4699" s="5">
        <v>45898</v>
      </c>
      <c r="B4699">
        <v>43</v>
      </c>
      <c r="C4699" t="s">
        <v>45</v>
      </c>
      <c r="D4699">
        <v>2</v>
      </c>
      <c r="E4699">
        <v>100</v>
      </c>
      <c r="F4699" t="s">
        <v>1</v>
      </c>
      <c r="G4699" s="6">
        <v>45953</v>
      </c>
      <c r="H4699">
        <v>55</v>
      </c>
      <c r="I4699">
        <f>ROUND(CompilDonnées[[#This Row],[CultureDuration_days]]/7,0)</f>
        <v>8</v>
      </c>
      <c r="J4699">
        <v>2048</v>
      </c>
      <c r="K4699" t="str">
        <f>_xlfn.CONCAT(WEEKNUM(CompilDonnées[[#This Row],[PlantationDate]]), " ", YEAR(CompilDonnées[[#This Row],[PlantationDate]]))</f>
        <v>35 2025</v>
      </c>
      <c r="L4699" t="str">
        <f>CONCATENATE(MONTH(CompilDonnées[[#This Row],[PlantationDate]])," ", YEAR(CompilDonnées[[#This Row],[PlantationDate]]))</f>
        <v>8 2025</v>
      </c>
      <c r="M4699" t="str">
        <f>CONCATENATE(MONTH(CompilDonnées[[#This Row],[HarvestingDate]])," ", YEAR(CompilDonnées[[#This Row],[HarvestingDate]]))</f>
        <v>10 2025</v>
      </c>
      <c r="N4699">
        <f>_xlfn.NUMBERVALUE(CompilDonnées[[#This Row],[FarmID]]&amp;CompilDonnées[[#This Row],[ModuleNumber]]&amp;CompilDonnées[[#This Row],[PlantationDate]])</f>
        <v>43245898</v>
      </c>
      <c r="O4699" t="str">
        <f>CompilDonnées[[#This Row],[FarmID]]&amp;CompilDonnées[[#This Row],[ModuleNumber]]</f>
        <v>432</v>
      </c>
      <c r="P4699" t="str">
        <f>CompilDonnées[[#This Row],[Ref_Module]]&amp;CompilDonnées[[#This Row],[HarvestingDate]]</f>
        <v>43245953</v>
      </c>
    </row>
    <row r="4700" spans="1:16">
      <c r="A4700" s="5">
        <v>45898</v>
      </c>
      <c r="B4700">
        <v>42</v>
      </c>
      <c r="C4700" t="s">
        <v>2</v>
      </c>
      <c r="D4700">
        <v>3</v>
      </c>
      <c r="E4700">
        <v>100</v>
      </c>
      <c r="F4700" t="s">
        <v>1</v>
      </c>
      <c r="G4700" s="6">
        <v>45943</v>
      </c>
      <c r="H4700">
        <v>45</v>
      </c>
      <c r="I4700">
        <f>ROUND(CompilDonnées[[#This Row],[CultureDuration_days]]/7,0)</f>
        <v>6</v>
      </c>
      <c r="J4700">
        <v>1588</v>
      </c>
      <c r="K4700" t="str">
        <f>_xlfn.CONCAT(WEEKNUM(CompilDonnées[[#This Row],[PlantationDate]]), " ", YEAR(CompilDonnées[[#This Row],[PlantationDate]]))</f>
        <v>35 2025</v>
      </c>
      <c r="L4700" t="str">
        <f>CONCATENATE(MONTH(CompilDonnées[[#This Row],[PlantationDate]])," ", YEAR(CompilDonnées[[#This Row],[PlantationDate]]))</f>
        <v>8 2025</v>
      </c>
      <c r="M4700" t="str">
        <f>CONCATENATE(MONTH(CompilDonnées[[#This Row],[HarvestingDate]])," ", YEAR(CompilDonnées[[#This Row],[HarvestingDate]]))</f>
        <v>10 2025</v>
      </c>
      <c r="N4700">
        <f>_xlfn.NUMBERVALUE(CompilDonnées[[#This Row],[FarmID]]&amp;CompilDonnées[[#This Row],[ModuleNumber]]&amp;CompilDonnées[[#This Row],[PlantationDate]])</f>
        <v>42345898</v>
      </c>
      <c r="O4700" t="str">
        <f>CompilDonnées[[#This Row],[FarmID]]&amp;CompilDonnées[[#This Row],[ModuleNumber]]</f>
        <v>423</v>
      </c>
      <c r="P4700" t="str">
        <f>CompilDonnées[[#This Row],[Ref_Module]]&amp;CompilDonnées[[#This Row],[HarvestingDate]]</f>
        <v>42345943</v>
      </c>
    </row>
    <row r="4701" spans="1:16">
      <c r="A4701" s="5">
        <v>45898</v>
      </c>
      <c r="B4701">
        <v>41</v>
      </c>
      <c r="C4701" t="s">
        <v>70</v>
      </c>
      <c r="D4701">
        <v>2</v>
      </c>
      <c r="E4701">
        <v>100</v>
      </c>
      <c r="F4701" t="s">
        <v>1</v>
      </c>
      <c r="G4701" s="6">
        <v>45953</v>
      </c>
      <c r="H4701">
        <v>55</v>
      </c>
      <c r="I4701">
        <f>ROUND(CompilDonnées[[#This Row],[CultureDuration_days]]/7,0)</f>
        <v>8</v>
      </c>
      <c r="J4701">
        <v>1464</v>
      </c>
      <c r="K4701" t="str">
        <f>_xlfn.CONCAT(WEEKNUM(CompilDonnées[[#This Row],[PlantationDate]]), " ", YEAR(CompilDonnées[[#This Row],[PlantationDate]]))</f>
        <v>35 2025</v>
      </c>
      <c r="L4701" t="str">
        <f>CONCATENATE(MONTH(CompilDonnées[[#This Row],[PlantationDate]])," ", YEAR(CompilDonnées[[#This Row],[PlantationDate]]))</f>
        <v>8 2025</v>
      </c>
      <c r="M4701" t="str">
        <f>CONCATENATE(MONTH(CompilDonnées[[#This Row],[HarvestingDate]])," ", YEAR(CompilDonnées[[#This Row],[HarvestingDate]]))</f>
        <v>10 2025</v>
      </c>
      <c r="N4701">
        <f>_xlfn.NUMBERVALUE(CompilDonnées[[#This Row],[FarmID]]&amp;CompilDonnées[[#This Row],[ModuleNumber]]&amp;CompilDonnées[[#This Row],[PlantationDate]])</f>
        <v>41245898</v>
      </c>
      <c r="O4701" t="str">
        <f>CompilDonnées[[#This Row],[FarmID]]&amp;CompilDonnées[[#This Row],[ModuleNumber]]</f>
        <v>412</v>
      </c>
      <c r="P4701" t="str">
        <f>CompilDonnées[[#This Row],[Ref_Module]]&amp;CompilDonnées[[#This Row],[HarvestingDate]]</f>
        <v>41245953</v>
      </c>
    </row>
    <row r="4702" spans="1:16">
      <c r="A4702" s="5">
        <v>45898</v>
      </c>
      <c r="B4702">
        <v>16</v>
      </c>
      <c r="C4702" t="s">
        <v>112</v>
      </c>
      <c r="D4702">
        <v>4</v>
      </c>
      <c r="E4702">
        <v>100</v>
      </c>
      <c r="F4702" t="s">
        <v>1</v>
      </c>
      <c r="G4702" s="6">
        <v>45954</v>
      </c>
      <c r="H4702">
        <v>56</v>
      </c>
      <c r="I4702">
        <f>ROUND(CompilDonnées[[#This Row],[CultureDuration_days]]/7,0)</f>
        <v>8</v>
      </c>
      <c r="J4702">
        <v>1393</v>
      </c>
      <c r="K4702" t="str">
        <f>_xlfn.CONCAT(WEEKNUM(CompilDonnées[[#This Row],[PlantationDate]]), " ", YEAR(CompilDonnées[[#This Row],[PlantationDate]]))</f>
        <v>35 2025</v>
      </c>
      <c r="L4702" t="str">
        <f>CONCATENATE(MONTH(CompilDonnées[[#This Row],[PlantationDate]])," ", YEAR(CompilDonnées[[#This Row],[PlantationDate]]))</f>
        <v>8 2025</v>
      </c>
      <c r="M4702" t="str">
        <f>CONCATENATE(MONTH(CompilDonnées[[#This Row],[HarvestingDate]])," ", YEAR(CompilDonnées[[#This Row],[HarvestingDate]]))</f>
        <v>10 2025</v>
      </c>
      <c r="N4702">
        <f>_xlfn.NUMBERVALUE(CompilDonnées[[#This Row],[FarmID]]&amp;CompilDonnées[[#This Row],[ModuleNumber]]&amp;CompilDonnées[[#This Row],[PlantationDate]])</f>
        <v>16445898</v>
      </c>
      <c r="O4702" t="str">
        <f>CompilDonnées[[#This Row],[FarmID]]&amp;CompilDonnées[[#This Row],[ModuleNumber]]</f>
        <v>164</v>
      </c>
      <c r="P4702" t="str">
        <f>CompilDonnées[[#This Row],[Ref_Module]]&amp;CompilDonnées[[#This Row],[HarvestingDate]]</f>
        <v>16445954</v>
      </c>
    </row>
    <row r="4703" spans="1:16">
      <c r="A4703" s="5">
        <v>45898</v>
      </c>
      <c r="B4703">
        <v>131</v>
      </c>
      <c r="C4703" t="s">
        <v>3</v>
      </c>
      <c r="D4703">
        <v>3</v>
      </c>
      <c r="E4703">
        <v>60</v>
      </c>
      <c r="F4703" t="s">
        <v>105</v>
      </c>
      <c r="G4703" s="6">
        <v>45945</v>
      </c>
      <c r="H4703">
        <v>47</v>
      </c>
      <c r="I4703">
        <f>ROUND(CompilDonnées[[#This Row],[CultureDuration_days]]/7,0)</f>
        <v>7</v>
      </c>
      <c r="J4703">
        <v>1035</v>
      </c>
      <c r="K4703" t="str">
        <f>_xlfn.CONCAT(WEEKNUM(CompilDonnées[[#This Row],[PlantationDate]]), " ", YEAR(CompilDonnées[[#This Row],[PlantationDate]]))</f>
        <v>35 2025</v>
      </c>
      <c r="L4703" t="str">
        <f>CONCATENATE(MONTH(CompilDonnées[[#This Row],[PlantationDate]])," ", YEAR(CompilDonnées[[#This Row],[PlantationDate]]))</f>
        <v>8 2025</v>
      </c>
      <c r="M4703" t="str">
        <f>CONCATENATE(MONTH(CompilDonnées[[#This Row],[HarvestingDate]])," ", YEAR(CompilDonnées[[#This Row],[HarvestingDate]]))</f>
        <v>10 2025</v>
      </c>
      <c r="N4703">
        <f>_xlfn.NUMBERVALUE(CompilDonnées[[#This Row],[FarmID]]&amp;CompilDonnées[[#This Row],[ModuleNumber]]&amp;CompilDonnées[[#This Row],[PlantationDate]])</f>
        <v>131345898</v>
      </c>
      <c r="O4703" t="str">
        <f>CompilDonnées[[#This Row],[FarmID]]&amp;CompilDonnées[[#This Row],[ModuleNumber]]</f>
        <v>1313</v>
      </c>
      <c r="P4703" t="str">
        <f>CompilDonnées[[#This Row],[Ref_Module]]&amp;CompilDonnées[[#This Row],[HarvestingDate]]</f>
        <v>131345945</v>
      </c>
    </row>
    <row r="4704" spans="1:16">
      <c r="A4704" s="5">
        <v>45898</v>
      </c>
      <c r="B4704">
        <v>141</v>
      </c>
      <c r="C4704" t="s">
        <v>3</v>
      </c>
      <c r="D4704">
        <v>1</v>
      </c>
      <c r="E4704">
        <v>60</v>
      </c>
      <c r="F4704" t="s">
        <v>105</v>
      </c>
      <c r="G4704" s="6">
        <v>45946</v>
      </c>
      <c r="H4704">
        <v>48</v>
      </c>
      <c r="I4704">
        <f>ROUND(CompilDonnées[[#This Row],[CultureDuration_days]]/7,0)</f>
        <v>7</v>
      </c>
      <c r="J4704">
        <v>1050</v>
      </c>
      <c r="K4704" t="str">
        <f>_xlfn.CONCAT(WEEKNUM(CompilDonnées[[#This Row],[PlantationDate]]), " ", YEAR(CompilDonnées[[#This Row],[PlantationDate]]))</f>
        <v>35 2025</v>
      </c>
      <c r="L4704" t="str">
        <f>CONCATENATE(MONTH(CompilDonnées[[#This Row],[PlantationDate]])," ", YEAR(CompilDonnées[[#This Row],[PlantationDate]]))</f>
        <v>8 2025</v>
      </c>
      <c r="M4704" t="str">
        <f>CONCATENATE(MONTH(CompilDonnées[[#This Row],[HarvestingDate]])," ", YEAR(CompilDonnées[[#This Row],[HarvestingDate]]))</f>
        <v>10 2025</v>
      </c>
      <c r="N4704">
        <f>_xlfn.NUMBERVALUE(CompilDonnées[[#This Row],[FarmID]]&amp;CompilDonnées[[#This Row],[ModuleNumber]]&amp;CompilDonnées[[#This Row],[PlantationDate]])</f>
        <v>141145898</v>
      </c>
      <c r="O4704" t="str">
        <f>CompilDonnées[[#This Row],[FarmID]]&amp;CompilDonnées[[#This Row],[ModuleNumber]]</f>
        <v>1411</v>
      </c>
      <c r="P4704" t="str">
        <f>CompilDonnées[[#This Row],[Ref_Module]]&amp;CompilDonnées[[#This Row],[HarvestingDate]]</f>
        <v>141145946</v>
      </c>
    </row>
    <row r="4705" spans="1:16">
      <c r="A4705" s="5">
        <v>45899</v>
      </c>
      <c r="B4705">
        <v>5</v>
      </c>
      <c r="C4705" t="s">
        <v>32</v>
      </c>
      <c r="D4705">
        <v>6</v>
      </c>
      <c r="E4705">
        <v>100</v>
      </c>
      <c r="F4705" t="s">
        <v>1</v>
      </c>
      <c r="G4705" s="6">
        <v>45943</v>
      </c>
      <c r="H4705">
        <v>44</v>
      </c>
      <c r="I4705">
        <f>ROUND(CompilDonnées[[#This Row],[CultureDuration_days]]/7,0)</f>
        <v>6</v>
      </c>
      <c r="J4705">
        <v>2214</v>
      </c>
      <c r="K4705" t="str">
        <f>_xlfn.CONCAT(WEEKNUM(CompilDonnées[[#This Row],[PlantationDate]]), " ", YEAR(CompilDonnées[[#This Row],[PlantationDate]]))</f>
        <v>35 2025</v>
      </c>
      <c r="L4705" t="str">
        <f>CONCATENATE(MONTH(CompilDonnées[[#This Row],[PlantationDate]])," ", YEAR(CompilDonnées[[#This Row],[PlantationDate]]))</f>
        <v>8 2025</v>
      </c>
      <c r="M4705" t="str">
        <f>CONCATENATE(MONTH(CompilDonnées[[#This Row],[HarvestingDate]])," ", YEAR(CompilDonnées[[#This Row],[HarvestingDate]]))</f>
        <v>10 2025</v>
      </c>
      <c r="N4705">
        <f>_xlfn.NUMBERVALUE(CompilDonnées[[#This Row],[FarmID]]&amp;CompilDonnées[[#This Row],[ModuleNumber]]&amp;CompilDonnées[[#This Row],[PlantationDate]])</f>
        <v>5645899</v>
      </c>
      <c r="O4705" t="str">
        <f>CompilDonnées[[#This Row],[FarmID]]&amp;CompilDonnées[[#This Row],[ModuleNumber]]</f>
        <v>56</v>
      </c>
      <c r="P4705" t="str">
        <f>CompilDonnées[[#This Row],[Ref_Module]]&amp;CompilDonnées[[#This Row],[HarvestingDate]]</f>
        <v>5645943</v>
      </c>
    </row>
    <row r="4706" spans="1:16">
      <c r="A4706" s="5">
        <v>45899</v>
      </c>
      <c r="B4706">
        <v>4</v>
      </c>
      <c r="C4706" t="s">
        <v>74</v>
      </c>
      <c r="D4706">
        <v>6</v>
      </c>
      <c r="E4706">
        <v>100</v>
      </c>
      <c r="F4706" t="s">
        <v>1</v>
      </c>
      <c r="G4706" s="6">
        <v>45943</v>
      </c>
      <c r="H4706">
        <v>44</v>
      </c>
      <c r="I4706">
        <f>ROUND(CompilDonnées[[#This Row],[CultureDuration_days]]/7,0)</f>
        <v>6</v>
      </c>
      <c r="J4706">
        <v>1823</v>
      </c>
      <c r="K4706" t="str">
        <f>_xlfn.CONCAT(WEEKNUM(CompilDonnées[[#This Row],[PlantationDate]]), " ", YEAR(CompilDonnées[[#This Row],[PlantationDate]]))</f>
        <v>35 2025</v>
      </c>
      <c r="L4706" t="str">
        <f>CONCATENATE(MONTH(CompilDonnées[[#This Row],[PlantationDate]])," ", YEAR(CompilDonnées[[#This Row],[PlantationDate]]))</f>
        <v>8 2025</v>
      </c>
      <c r="M4706" t="str">
        <f>CONCATENATE(MONTH(CompilDonnées[[#This Row],[HarvestingDate]])," ", YEAR(CompilDonnées[[#This Row],[HarvestingDate]]))</f>
        <v>10 2025</v>
      </c>
      <c r="N4706">
        <f>_xlfn.NUMBERVALUE(CompilDonnées[[#This Row],[FarmID]]&amp;CompilDonnées[[#This Row],[ModuleNumber]]&amp;CompilDonnées[[#This Row],[PlantationDate]])</f>
        <v>4645899</v>
      </c>
      <c r="O4706" t="str">
        <f>CompilDonnées[[#This Row],[FarmID]]&amp;CompilDonnées[[#This Row],[ModuleNumber]]</f>
        <v>46</v>
      </c>
      <c r="P4706" t="str">
        <f>CompilDonnées[[#This Row],[Ref_Module]]&amp;CompilDonnées[[#This Row],[HarvestingDate]]</f>
        <v>4645943</v>
      </c>
    </row>
    <row r="4707" spans="1:16">
      <c r="A4707" s="5">
        <v>45899</v>
      </c>
      <c r="B4707">
        <v>3</v>
      </c>
      <c r="C4707" t="s">
        <v>116</v>
      </c>
      <c r="D4707">
        <v>1</v>
      </c>
      <c r="E4707">
        <v>100</v>
      </c>
      <c r="F4707" t="s">
        <v>1</v>
      </c>
      <c r="G4707" s="6">
        <v>45943</v>
      </c>
      <c r="H4707">
        <v>44</v>
      </c>
      <c r="I4707">
        <f>ROUND(CompilDonnées[[#This Row],[CultureDuration_days]]/7,0)</f>
        <v>6</v>
      </c>
      <c r="J4707">
        <v>1549</v>
      </c>
      <c r="K4707" t="str">
        <f>_xlfn.CONCAT(WEEKNUM(CompilDonnées[[#This Row],[PlantationDate]]), " ", YEAR(CompilDonnées[[#This Row],[PlantationDate]]))</f>
        <v>35 2025</v>
      </c>
      <c r="L4707" t="str">
        <f>CONCATENATE(MONTH(CompilDonnées[[#This Row],[PlantationDate]])," ", YEAR(CompilDonnées[[#This Row],[PlantationDate]]))</f>
        <v>8 2025</v>
      </c>
      <c r="M4707" t="str">
        <f>CONCATENATE(MONTH(CompilDonnées[[#This Row],[HarvestingDate]])," ", YEAR(CompilDonnées[[#This Row],[HarvestingDate]]))</f>
        <v>10 2025</v>
      </c>
      <c r="N4707">
        <f>_xlfn.NUMBERVALUE(CompilDonnées[[#This Row],[FarmID]]&amp;CompilDonnées[[#This Row],[ModuleNumber]]&amp;CompilDonnées[[#This Row],[PlantationDate]])</f>
        <v>3145899</v>
      </c>
      <c r="O4707" t="str">
        <f>CompilDonnées[[#This Row],[FarmID]]&amp;CompilDonnées[[#This Row],[ModuleNumber]]</f>
        <v>31</v>
      </c>
      <c r="P4707" t="str">
        <f>CompilDonnées[[#This Row],[Ref_Module]]&amp;CompilDonnées[[#This Row],[HarvestingDate]]</f>
        <v>3145943</v>
      </c>
    </row>
    <row r="4708" spans="1:16">
      <c r="A4708" s="5">
        <v>45899</v>
      </c>
      <c r="B4708">
        <v>23</v>
      </c>
      <c r="C4708" t="s">
        <v>44</v>
      </c>
      <c r="D4708">
        <v>6</v>
      </c>
      <c r="E4708">
        <v>100</v>
      </c>
      <c r="F4708" t="s">
        <v>1</v>
      </c>
      <c r="G4708" s="6">
        <v>45943</v>
      </c>
      <c r="H4708">
        <v>44</v>
      </c>
      <c r="I4708">
        <f>ROUND(CompilDonnées[[#This Row],[CultureDuration_days]]/7,0)</f>
        <v>6</v>
      </c>
      <c r="J4708">
        <v>3243</v>
      </c>
      <c r="K4708" t="str">
        <f>_xlfn.CONCAT(WEEKNUM(CompilDonnées[[#This Row],[PlantationDate]]), " ", YEAR(CompilDonnées[[#This Row],[PlantationDate]]))</f>
        <v>35 2025</v>
      </c>
      <c r="L4708" t="str">
        <f>CONCATENATE(MONTH(CompilDonnées[[#This Row],[PlantationDate]])," ", YEAR(CompilDonnées[[#This Row],[PlantationDate]]))</f>
        <v>8 2025</v>
      </c>
      <c r="M4708" t="str">
        <f>CONCATENATE(MONTH(CompilDonnées[[#This Row],[HarvestingDate]])," ", YEAR(CompilDonnées[[#This Row],[HarvestingDate]]))</f>
        <v>10 2025</v>
      </c>
      <c r="N4708">
        <f>_xlfn.NUMBERVALUE(CompilDonnées[[#This Row],[FarmID]]&amp;CompilDonnées[[#This Row],[ModuleNumber]]&amp;CompilDonnées[[#This Row],[PlantationDate]])</f>
        <v>23645899</v>
      </c>
      <c r="O4708" t="str">
        <f>CompilDonnées[[#This Row],[FarmID]]&amp;CompilDonnées[[#This Row],[ModuleNumber]]</f>
        <v>236</v>
      </c>
      <c r="P4708" t="str">
        <f>CompilDonnées[[#This Row],[Ref_Module]]&amp;CompilDonnées[[#This Row],[HarvestingDate]]</f>
        <v>23645943</v>
      </c>
    </row>
    <row r="4709" spans="1:16">
      <c r="A4709" s="5">
        <v>45899</v>
      </c>
      <c r="B4709">
        <v>43</v>
      </c>
      <c r="C4709" t="s">
        <v>45</v>
      </c>
      <c r="D4709">
        <v>3</v>
      </c>
      <c r="E4709">
        <v>100</v>
      </c>
      <c r="F4709" t="s">
        <v>1</v>
      </c>
      <c r="G4709" s="6">
        <v>45953</v>
      </c>
      <c r="H4709">
        <v>54</v>
      </c>
      <c r="I4709">
        <f>ROUND(CompilDonnées[[#This Row],[CultureDuration_days]]/7,0)</f>
        <v>8</v>
      </c>
      <c r="J4709">
        <v>2049</v>
      </c>
      <c r="K4709" t="str">
        <f>_xlfn.CONCAT(WEEKNUM(CompilDonnées[[#This Row],[PlantationDate]]), " ", YEAR(CompilDonnées[[#This Row],[PlantationDate]]))</f>
        <v>35 2025</v>
      </c>
      <c r="L4709" t="str">
        <f>CONCATENATE(MONTH(CompilDonnées[[#This Row],[PlantationDate]])," ", YEAR(CompilDonnées[[#This Row],[PlantationDate]]))</f>
        <v>8 2025</v>
      </c>
      <c r="M4709" t="str">
        <f>CONCATENATE(MONTH(CompilDonnées[[#This Row],[HarvestingDate]])," ", YEAR(CompilDonnées[[#This Row],[HarvestingDate]]))</f>
        <v>10 2025</v>
      </c>
      <c r="N4709">
        <f>_xlfn.NUMBERVALUE(CompilDonnées[[#This Row],[FarmID]]&amp;CompilDonnées[[#This Row],[ModuleNumber]]&amp;CompilDonnées[[#This Row],[PlantationDate]])</f>
        <v>43345899</v>
      </c>
      <c r="O4709" t="str">
        <f>CompilDonnées[[#This Row],[FarmID]]&amp;CompilDonnées[[#This Row],[ModuleNumber]]</f>
        <v>433</v>
      </c>
      <c r="P4709" t="str">
        <f>CompilDonnées[[#This Row],[Ref_Module]]&amp;CompilDonnées[[#This Row],[HarvestingDate]]</f>
        <v>43345953</v>
      </c>
    </row>
    <row r="4710" spans="1:16">
      <c r="A4710" s="5">
        <v>45899</v>
      </c>
      <c r="B4710">
        <v>1</v>
      </c>
      <c r="C4710" t="s">
        <v>111</v>
      </c>
      <c r="D4710">
        <v>6</v>
      </c>
      <c r="E4710">
        <v>100</v>
      </c>
      <c r="F4710" t="s">
        <v>1</v>
      </c>
      <c r="G4710" s="6">
        <v>45939</v>
      </c>
      <c r="H4710">
        <v>40</v>
      </c>
      <c r="I4710">
        <f>ROUND(CompilDonnées[[#This Row],[CultureDuration_days]]/7,0)</f>
        <v>6</v>
      </c>
      <c r="J4710">
        <v>3059</v>
      </c>
      <c r="K4710" t="str">
        <f>_xlfn.CONCAT(WEEKNUM(CompilDonnées[[#This Row],[PlantationDate]]), " ", YEAR(CompilDonnées[[#This Row],[PlantationDate]]))</f>
        <v>35 2025</v>
      </c>
      <c r="L4710" t="str">
        <f>CONCATENATE(MONTH(CompilDonnées[[#This Row],[PlantationDate]])," ", YEAR(CompilDonnées[[#This Row],[PlantationDate]]))</f>
        <v>8 2025</v>
      </c>
      <c r="M4710" t="str">
        <f>CONCATENATE(MONTH(CompilDonnées[[#This Row],[HarvestingDate]])," ", YEAR(CompilDonnées[[#This Row],[HarvestingDate]]))</f>
        <v>10 2025</v>
      </c>
      <c r="N4710">
        <f>_xlfn.NUMBERVALUE(CompilDonnées[[#This Row],[FarmID]]&amp;CompilDonnées[[#This Row],[ModuleNumber]]&amp;CompilDonnées[[#This Row],[PlantationDate]])</f>
        <v>1645899</v>
      </c>
      <c r="O4710" t="str">
        <f>CompilDonnées[[#This Row],[FarmID]]&amp;CompilDonnées[[#This Row],[ModuleNumber]]</f>
        <v>16</v>
      </c>
      <c r="P4710" t="str">
        <f>CompilDonnées[[#This Row],[Ref_Module]]&amp;CompilDonnées[[#This Row],[HarvestingDate]]</f>
        <v>1645939</v>
      </c>
    </row>
    <row r="4711" spans="1:16">
      <c r="A4711" s="5">
        <v>45899</v>
      </c>
      <c r="B4711">
        <v>7</v>
      </c>
      <c r="C4711" t="s">
        <v>50</v>
      </c>
      <c r="D4711">
        <v>4</v>
      </c>
      <c r="E4711">
        <v>100</v>
      </c>
      <c r="F4711" t="s">
        <v>1</v>
      </c>
      <c r="G4711" s="6">
        <v>45943</v>
      </c>
      <c r="H4711">
        <v>44</v>
      </c>
      <c r="I4711">
        <f>ROUND(CompilDonnées[[#This Row],[CultureDuration_days]]/7,0)</f>
        <v>6</v>
      </c>
      <c r="J4711">
        <v>2189</v>
      </c>
      <c r="K4711" t="str">
        <f>_xlfn.CONCAT(WEEKNUM(CompilDonnées[[#This Row],[PlantationDate]]), " ", YEAR(CompilDonnées[[#This Row],[PlantationDate]]))</f>
        <v>35 2025</v>
      </c>
      <c r="L4711" t="str">
        <f>CONCATENATE(MONTH(CompilDonnées[[#This Row],[PlantationDate]])," ", YEAR(CompilDonnées[[#This Row],[PlantationDate]]))</f>
        <v>8 2025</v>
      </c>
      <c r="M4711" t="str">
        <f>CONCATENATE(MONTH(CompilDonnées[[#This Row],[HarvestingDate]])," ", YEAR(CompilDonnées[[#This Row],[HarvestingDate]]))</f>
        <v>10 2025</v>
      </c>
      <c r="N4711">
        <f>_xlfn.NUMBERVALUE(CompilDonnées[[#This Row],[FarmID]]&amp;CompilDonnées[[#This Row],[ModuleNumber]]&amp;CompilDonnées[[#This Row],[PlantationDate]])</f>
        <v>7445899</v>
      </c>
      <c r="O4711" t="str">
        <f>CompilDonnées[[#This Row],[FarmID]]&amp;CompilDonnées[[#This Row],[ModuleNumber]]</f>
        <v>74</v>
      </c>
      <c r="P4711" t="str">
        <f>CompilDonnées[[#This Row],[Ref_Module]]&amp;CompilDonnées[[#This Row],[HarvestingDate]]</f>
        <v>7445943</v>
      </c>
    </row>
    <row r="4712" spans="1:16">
      <c r="A4712" s="5">
        <v>45899</v>
      </c>
      <c r="B4712">
        <v>8</v>
      </c>
      <c r="C4712" t="s">
        <v>57</v>
      </c>
      <c r="D4712">
        <v>1</v>
      </c>
      <c r="E4712">
        <v>100</v>
      </c>
      <c r="F4712" t="s">
        <v>1</v>
      </c>
      <c r="G4712" s="6">
        <v>45954</v>
      </c>
      <c r="H4712">
        <v>55</v>
      </c>
      <c r="I4712">
        <f>ROUND(CompilDonnées[[#This Row],[CultureDuration_days]]/7,0)</f>
        <v>8</v>
      </c>
      <c r="J4712">
        <v>2317</v>
      </c>
      <c r="K4712" t="str">
        <f>_xlfn.CONCAT(WEEKNUM(CompilDonnées[[#This Row],[PlantationDate]]), " ", YEAR(CompilDonnées[[#This Row],[PlantationDate]]))</f>
        <v>35 2025</v>
      </c>
      <c r="L4712" t="str">
        <f>CONCATENATE(MONTH(CompilDonnées[[#This Row],[PlantationDate]])," ", YEAR(CompilDonnées[[#This Row],[PlantationDate]]))</f>
        <v>8 2025</v>
      </c>
      <c r="M4712" t="str">
        <f>CONCATENATE(MONTH(CompilDonnées[[#This Row],[HarvestingDate]])," ", YEAR(CompilDonnées[[#This Row],[HarvestingDate]]))</f>
        <v>10 2025</v>
      </c>
      <c r="N4712">
        <f>_xlfn.NUMBERVALUE(CompilDonnées[[#This Row],[FarmID]]&amp;CompilDonnées[[#This Row],[ModuleNumber]]&amp;CompilDonnées[[#This Row],[PlantationDate]])</f>
        <v>8145899</v>
      </c>
      <c r="O4712" t="str">
        <f>CompilDonnées[[#This Row],[FarmID]]&amp;CompilDonnées[[#This Row],[ModuleNumber]]</f>
        <v>81</v>
      </c>
      <c r="P4712" t="str">
        <f>CompilDonnées[[#This Row],[Ref_Module]]&amp;CompilDonnées[[#This Row],[HarvestingDate]]</f>
        <v>8145954</v>
      </c>
    </row>
    <row r="4713" spans="1:16">
      <c r="A4713" s="5">
        <v>45899</v>
      </c>
      <c r="B4713">
        <v>9</v>
      </c>
      <c r="C4713" t="s">
        <v>107</v>
      </c>
      <c r="D4713">
        <v>6</v>
      </c>
      <c r="E4713">
        <v>100</v>
      </c>
      <c r="F4713" t="s">
        <v>1</v>
      </c>
      <c r="G4713" s="6">
        <v>45954</v>
      </c>
      <c r="H4713">
        <v>55</v>
      </c>
      <c r="I4713">
        <f>ROUND(CompilDonnées[[#This Row],[CultureDuration_days]]/7,0)</f>
        <v>8</v>
      </c>
      <c r="J4713">
        <v>2131</v>
      </c>
      <c r="K4713" t="str">
        <f>_xlfn.CONCAT(WEEKNUM(CompilDonnées[[#This Row],[PlantationDate]]), " ", YEAR(CompilDonnées[[#This Row],[PlantationDate]]))</f>
        <v>35 2025</v>
      </c>
      <c r="L4713" t="str">
        <f>CONCATENATE(MONTH(CompilDonnées[[#This Row],[PlantationDate]])," ", YEAR(CompilDonnées[[#This Row],[PlantationDate]]))</f>
        <v>8 2025</v>
      </c>
      <c r="M4713" t="str">
        <f>CONCATENATE(MONTH(CompilDonnées[[#This Row],[HarvestingDate]])," ", YEAR(CompilDonnées[[#This Row],[HarvestingDate]]))</f>
        <v>10 2025</v>
      </c>
      <c r="N4713">
        <f>_xlfn.NUMBERVALUE(CompilDonnées[[#This Row],[FarmID]]&amp;CompilDonnées[[#This Row],[ModuleNumber]]&amp;CompilDonnées[[#This Row],[PlantationDate]])</f>
        <v>9645899</v>
      </c>
      <c r="O4713" t="str">
        <f>CompilDonnées[[#This Row],[FarmID]]&amp;CompilDonnées[[#This Row],[ModuleNumber]]</f>
        <v>96</v>
      </c>
      <c r="P4713" t="str">
        <f>CompilDonnées[[#This Row],[Ref_Module]]&amp;CompilDonnées[[#This Row],[HarvestingDate]]</f>
        <v>9645954</v>
      </c>
    </row>
    <row r="4714" spans="1:16">
      <c r="A4714" s="5">
        <v>45899</v>
      </c>
      <c r="B4714">
        <v>10</v>
      </c>
      <c r="C4714" t="s">
        <v>109</v>
      </c>
      <c r="D4714">
        <v>4</v>
      </c>
      <c r="E4714">
        <v>100</v>
      </c>
      <c r="F4714" t="s">
        <v>1</v>
      </c>
      <c r="G4714" s="6">
        <v>45954</v>
      </c>
      <c r="H4714">
        <v>55</v>
      </c>
      <c r="I4714">
        <f>ROUND(CompilDonnées[[#This Row],[CultureDuration_days]]/7,0)</f>
        <v>8</v>
      </c>
      <c r="J4714">
        <v>1615</v>
      </c>
      <c r="K4714" t="str">
        <f>_xlfn.CONCAT(WEEKNUM(CompilDonnées[[#This Row],[PlantationDate]]), " ", YEAR(CompilDonnées[[#This Row],[PlantationDate]]))</f>
        <v>35 2025</v>
      </c>
      <c r="L4714" t="str">
        <f>CONCATENATE(MONTH(CompilDonnées[[#This Row],[PlantationDate]])," ", YEAR(CompilDonnées[[#This Row],[PlantationDate]]))</f>
        <v>8 2025</v>
      </c>
      <c r="M4714" t="str">
        <f>CONCATENATE(MONTH(CompilDonnées[[#This Row],[HarvestingDate]])," ", YEAR(CompilDonnées[[#This Row],[HarvestingDate]]))</f>
        <v>10 2025</v>
      </c>
      <c r="N4714">
        <f>_xlfn.NUMBERVALUE(CompilDonnées[[#This Row],[FarmID]]&amp;CompilDonnées[[#This Row],[ModuleNumber]]&amp;CompilDonnées[[#This Row],[PlantationDate]])</f>
        <v>10445899</v>
      </c>
      <c r="O4714" t="str">
        <f>CompilDonnées[[#This Row],[FarmID]]&amp;CompilDonnées[[#This Row],[ModuleNumber]]</f>
        <v>104</v>
      </c>
      <c r="P4714" t="str">
        <f>CompilDonnées[[#This Row],[Ref_Module]]&amp;CompilDonnées[[#This Row],[HarvestingDate]]</f>
        <v>10445954</v>
      </c>
    </row>
    <row r="4715" spans="1:16">
      <c r="A4715" s="5">
        <v>45899</v>
      </c>
      <c r="B4715">
        <v>10</v>
      </c>
      <c r="C4715" t="s">
        <v>109</v>
      </c>
      <c r="D4715">
        <v>5</v>
      </c>
      <c r="E4715">
        <v>100</v>
      </c>
      <c r="F4715" t="s">
        <v>1</v>
      </c>
      <c r="G4715" s="6">
        <v>45954</v>
      </c>
      <c r="H4715">
        <v>55</v>
      </c>
      <c r="I4715">
        <f>ROUND(CompilDonnées[[#This Row],[CultureDuration_days]]/7,0)</f>
        <v>8</v>
      </c>
      <c r="J4715">
        <v>1493</v>
      </c>
      <c r="K4715" t="str">
        <f>_xlfn.CONCAT(WEEKNUM(CompilDonnées[[#This Row],[PlantationDate]]), " ", YEAR(CompilDonnées[[#This Row],[PlantationDate]]))</f>
        <v>35 2025</v>
      </c>
      <c r="L4715" t="str">
        <f>CONCATENATE(MONTH(CompilDonnées[[#This Row],[PlantationDate]])," ", YEAR(CompilDonnées[[#This Row],[PlantationDate]]))</f>
        <v>8 2025</v>
      </c>
      <c r="M4715" t="str">
        <f>CONCATENATE(MONTH(CompilDonnées[[#This Row],[HarvestingDate]])," ", YEAR(CompilDonnées[[#This Row],[HarvestingDate]]))</f>
        <v>10 2025</v>
      </c>
      <c r="N4715">
        <f>_xlfn.NUMBERVALUE(CompilDonnées[[#This Row],[FarmID]]&amp;CompilDonnées[[#This Row],[ModuleNumber]]&amp;CompilDonnées[[#This Row],[PlantationDate]])</f>
        <v>10545899</v>
      </c>
      <c r="O4715" t="str">
        <f>CompilDonnées[[#This Row],[FarmID]]&amp;CompilDonnées[[#This Row],[ModuleNumber]]</f>
        <v>105</v>
      </c>
      <c r="P4715" t="str">
        <f>CompilDonnées[[#This Row],[Ref_Module]]&amp;CompilDonnées[[#This Row],[HarvestingDate]]</f>
        <v>10545954</v>
      </c>
    </row>
    <row r="4716" spans="1:16">
      <c r="A4716" s="5">
        <v>45899</v>
      </c>
      <c r="B4716">
        <v>11</v>
      </c>
      <c r="C4716" t="s">
        <v>106</v>
      </c>
      <c r="D4716">
        <v>4</v>
      </c>
      <c r="E4716">
        <v>100</v>
      </c>
      <c r="F4716" t="s">
        <v>1</v>
      </c>
      <c r="G4716" s="6">
        <v>45943</v>
      </c>
      <c r="H4716">
        <v>44</v>
      </c>
      <c r="I4716">
        <f>ROUND(CompilDonnées[[#This Row],[CultureDuration_days]]/7,0)</f>
        <v>6</v>
      </c>
      <c r="J4716">
        <v>1748</v>
      </c>
      <c r="K4716" t="str">
        <f>_xlfn.CONCAT(WEEKNUM(CompilDonnées[[#This Row],[PlantationDate]]), " ", YEAR(CompilDonnées[[#This Row],[PlantationDate]]))</f>
        <v>35 2025</v>
      </c>
      <c r="L4716" t="str">
        <f>CONCATENATE(MONTH(CompilDonnées[[#This Row],[PlantationDate]])," ", YEAR(CompilDonnées[[#This Row],[PlantationDate]]))</f>
        <v>8 2025</v>
      </c>
      <c r="M4716" t="str">
        <f>CONCATENATE(MONTH(CompilDonnées[[#This Row],[HarvestingDate]])," ", YEAR(CompilDonnées[[#This Row],[HarvestingDate]]))</f>
        <v>10 2025</v>
      </c>
      <c r="N4716">
        <f>_xlfn.NUMBERVALUE(CompilDonnées[[#This Row],[FarmID]]&amp;CompilDonnées[[#This Row],[ModuleNumber]]&amp;CompilDonnées[[#This Row],[PlantationDate]])</f>
        <v>11445899</v>
      </c>
      <c r="O4716" t="str">
        <f>CompilDonnées[[#This Row],[FarmID]]&amp;CompilDonnées[[#This Row],[ModuleNumber]]</f>
        <v>114</v>
      </c>
      <c r="P4716" t="str">
        <f>CompilDonnées[[#This Row],[Ref_Module]]&amp;CompilDonnées[[#This Row],[HarvestingDate]]</f>
        <v>11445943</v>
      </c>
    </row>
    <row r="4717" spans="1:16">
      <c r="A4717" s="5">
        <v>45899</v>
      </c>
      <c r="B4717">
        <v>58</v>
      </c>
      <c r="C4717" t="s">
        <v>35</v>
      </c>
      <c r="D4717">
        <v>4</v>
      </c>
      <c r="E4717">
        <v>100</v>
      </c>
      <c r="F4717" t="s">
        <v>1</v>
      </c>
      <c r="G4717" s="6">
        <v>45953</v>
      </c>
      <c r="H4717">
        <v>54</v>
      </c>
      <c r="I4717">
        <f>ROUND(CompilDonnées[[#This Row],[CultureDuration_days]]/7,0)</f>
        <v>8</v>
      </c>
      <c r="J4717">
        <v>3034</v>
      </c>
      <c r="K4717" t="str">
        <f>_xlfn.CONCAT(WEEKNUM(CompilDonnées[[#This Row],[PlantationDate]]), " ", YEAR(CompilDonnées[[#This Row],[PlantationDate]]))</f>
        <v>35 2025</v>
      </c>
      <c r="L4717" t="str">
        <f>CONCATENATE(MONTH(CompilDonnées[[#This Row],[PlantationDate]])," ", YEAR(CompilDonnées[[#This Row],[PlantationDate]]))</f>
        <v>8 2025</v>
      </c>
      <c r="M4717" t="str">
        <f>CONCATENATE(MONTH(CompilDonnées[[#This Row],[HarvestingDate]])," ", YEAR(CompilDonnées[[#This Row],[HarvestingDate]]))</f>
        <v>10 2025</v>
      </c>
      <c r="N4717">
        <f>_xlfn.NUMBERVALUE(CompilDonnées[[#This Row],[FarmID]]&amp;CompilDonnées[[#This Row],[ModuleNumber]]&amp;CompilDonnées[[#This Row],[PlantationDate]])</f>
        <v>58445899</v>
      </c>
      <c r="O4717" t="str">
        <f>CompilDonnées[[#This Row],[FarmID]]&amp;CompilDonnées[[#This Row],[ModuleNumber]]</f>
        <v>584</v>
      </c>
      <c r="P4717" t="str">
        <f>CompilDonnées[[#This Row],[Ref_Module]]&amp;CompilDonnées[[#This Row],[HarvestingDate]]</f>
        <v>58445953</v>
      </c>
    </row>
    <row r="4718" spans="1:16">
      <c r="A4718" s="5">
        <v>45899</v>
      </c>
      <c r="B4718">
        <v>58</v>
      </c>
      <c r="C4718" t="s">
        <v>35</v>
      </c>
      <c r="D4718">
        <v>3</v>
      </c>
      <c r="E4718">
        <v>100</v>
      </c>
      <c r="F4718" t="s">
        <v>1</v>
      </c>
      <c r="G4718" s="6">
        <v>45953</v>
      </c>
      <c r="H4718">
        <v>54</v>
      </c>
      <c r="I4718">
        <f>ROUND(CompilDonnées[[#This Row],[CultureDuration_days]]/7,0)</f>
        <v>8</v>
      </c>
      <c r="J4718">
        <v>3068</v>
      </c>
      <c r="K4718" t="str">
        <f>_xlfn.CONCAT(WEEKNUM(CompilDonnées[[#This Row],[PlantationDate]]), " ", YEAR(CompilDonnées[[#This Row],[PlantationDate]]))</f>
        <v>35 2025</v>
      </c>
      <c r="L4718" t="str">
        <f>CONCATENATE(MONTH(CompilDonnées[[#This Row],[PlantationDate]])," ", YEAR(CompilDonnées[[#This Row],[PlantationDate]]))</f>
        <v>8 2025</v>
      </c>
      <c r="M4718" t="str">
        <f>CONCATENATE(MONTH(CompilDonnées[[#This Row],[HarvestingDate]])," ", YEAR(CompilDonnées[[#This Row],[HarvestingDate]]))</f>
        <v>10 2025</v>
      </c>
      <c r="N4718">
        <f>_xlfn.NUMBERVALUE(CompilDonnées[[#This Row],[FarmID]]&amp;CompilDonnées[[#This Row],[ModuleNumber]]&amp;CompilDonnées[[#This Row],[PlantationDate]])</f>
        <v>58345899</v>
      </c>
      <c r="O4718" t="str">
        <f>CompilDonnées[[#This Row],[FarmID]]&amp;CompilDonnées[[#This Row],[ModuleNumber]]</f>
        <v>583</v>
      </c>
      <c r="P4718" t="str">
        <f>CompilDonnées[[#This Row],[Ref_Module]]&amp;CompilDonnées[[#This Row],[HarvestingDate]]</f>
        <v>58345953</v>
      </c>
    </row>
    <row r="4719" spans="1:16">
      <c r="A4719" s="5">
        <v>45899</v>
      </c>
      <c r="B4719">
        <v>80</v>
      </c>
      <c r="C4719" t="s">
        <v>29</v>
      </c>
      <c r="D4719">
        <v>1</v>
      </c>
      <c r="E4719">
        <v>100</v>
      </c>
      <c r="F4719" t="s">
        <v>1</v>
      </c>
      <c r="G4719" s="6">
        <v>45945</v>
      </c>
      <c r="H4719">
        <v>46</v>
      </c>
      <c r="I4719">
        <f>ROUND(CompilDonnées[[#This Row],[CultureDuration_days]]/7,0)</f>
        <v>7</v>
      </c>
      <c r="J4719">
        <v>3010</v>
      </c>
      <c r="K4719" t="str">
        <f>_xlfn.CONCAT(WEEKNUM(CompilDonnées[[#This Row],[PlantationDate]]), " ", YEAR(CompilDonnées[[#This Row],[PlantationDate]]))</f>
        <v>35 2025</v>
      </c>
      <c r="L4719" t="str">
        <f>CONCATENATE(MONTH(CompilDonnées[[#This Row],[PlantationDate]])," ", YEAR(CompilDonnées[[#This Row],[PlantationDate]]))</f>
        <v>8 2025</v>
      </c>
      <c r="M4719" t="str">
        <f>CONCATENATE(MONTH(CompilDonnées[[#This Row],[HarvestingDate]])," ", YEAR(CompilDonnées[[#This Row],[HarvestingDate]]))</f>
        <v>10 2025</v>
      </c>
      <c r="N4719">
        <f>_xlfn.NUMBERVALUE(CompilDonnées[[#This Row],[FarmID]]&amp;CompilDonnées[[#This Row],[ModuleNumber]]&amp;CompilDonnées[[#This Row],[PlantationDate]])</f>
        <v>80145899</v>
      </c>
      <c r="O4719" t="str">
        <f>CompilDonnées[[#This Row],[FarmID]]&amp;CompilDonnées[[#This Row],[ModuleNumber]]</f>
        <v>801</v>
      </c>
      <c r="P4719" t="str">
        <f>CompilDonnées[[#This Row],[Ref_Module]]&amp;CompilDonnées[[#This Row],[HarvestingDate]]</f>
        <v>80145945</v>
      </c>
    </row>
    <row r="4720" spans="1:16">
      <c r="A4720" s="5">
        <v>45902</v>
      </c>
      <c r="B4720">
        <v>1</v>
      </c>
      <c r="C4720" t="s">
        <v>111</v>
      </c>
      <c r="D4720">
        <v>4</v>
      </c>
      <c r="E4720">
        <v>100</v>
      </c>
      <c r="F4720" t="s">
        <v>1</v>
      </c>
      <c r="G4720" s="6">
        <v>45954</v>
      </c>
      <c r="H4720">
        <v>52</v>
      </c>
      <c r="I4720">
        <f>ROUND(CompilDonnées[[#This Row],[CultureDuration_days]]/7,0)</f>
        <v>7</v>
      </c>
      <c r="J4720">
        <v>3358</v>
      </c>
      <c r="K4720" t="str">
        <f>_xlfn.CONCAT(WEEKNUM(CompilDonnées[[#This Row],[PlantationDate]]), " ", YEAR(CompilDonnées[[#This Row],[PlantationDate]]))</f>
        <v>36 2025</v>
      </c>
      <c r="L4720" t="str">
        <f>CONCATENATE(MONTH(CompilDonnées[[#This Row],[PlantationDate]])," ", YEAR(CompilDonnées[[#This Row],[PlantationDate]]))</f>
        <v>9 2025</v>
      </c>
      <c r="M4720" t="str">
        <f>CONCATENATE(MONTH(CompilDonnées[[#This Row],[HarvestingDate]])," ", YEAR(CompilDonnées[[#This Row],[HarvestingDate]]))</f>
        <v>10 2025</v>
      </c>
      <c r="N4720">
        <f>_xlfn.NUMBERVALUE(CompilDonnées[[#This Row],[FarmID]]&amp;CompilDonnées[[#This Row],[ModuleNumber]]&amp;CompilDonnées[[#This Row],[PlantationDate]])</f>
        <v>1445902</v>
      </c>
      <c r="O4720" t="str">
        <f>CompilDonnées[[#This Row],[FarmID]]&amp;CompilDonnées[[#This Row],[ModuleNumber]]</f>
        <v>14</v>
      </c>
      <c r="P4720" t="str">
        <f>CompilDonnées[[#This Row],[Ref_Module]]&amp;CompilDonnées[[#This Row],[HarvestingDate]]</f>
        <v>1445954</v>
      </c>
    </row>
    <row r="4721" spans="1:16">
      <c r="A4721" s="5">
        <v>45902</v>
      </c>
      <c r="B4721">
        <v>2</v>
      </c>
      <c r="C4721" t="s">
        <v>119</v>
      </c>
      <c r="D4721">
        <v>4</v>
      </c>
      <c r="E4721">
        <v>100</v>
      </c>
      <c r="F4721" t="s">
        <v>1</v>
      </c>
      <c r="G4721" s="6">
        <v>45943</v>
      </c>
      <c r="H4721">
        <v>41</v>
      </c>
      <c r="I4721">
        <f>ROUND(CompilDonnées[[#This Row],[CultureDuration_days]]/7,0)</f>
        <v>6</v>
      </c>
      <c r="J4721">
        <v>1598</v>
      </c>
      <c r="K4721" t="str">
        <f>_xlfn.CONCAT(WEEKNUM(CompilDonnées[[#This Row],[PlantationDate]]), " ", YEAR(CompilDonnées[[#This Row],[PlantationDate]]))</f>
        <v>36 2025</v>
      </c>
      <c r="L4721" t="str">
        <f>CONCATENATE(MONTH(CompilDonnées[[#This Row],[PlantationDate]])," ", YEAR(CompilDonnées[[#This Row],[PlantationDate]]))</f>
        <v>9 2025</v>
      </c>
      <c r="M4721" t="str">
        <f>CONCATENATE(MONTH(CompilDonnées[[#This Row],[HarvestingDate]])," ", YEAR(CompilDonnées[[#This Row],[HarvestingDate]]))</f>
        <v>10 2025</v>
      </c>
      <c r="N4721">
        <f>_xlfn.NUMBERVALUE(CompilDonnées[[#This Row],[FarmID]]&amp;CompilDonnées[[#This Row],[ModuleNumber]]&amp;CompilDonnées[[#This Row],[PlantationDate]])</f>
        <v>2445902</v>
      </c>
      <c r="O4721" t="str">
        <f>CompilDonnées[[#This Row],[FarmID]]&amp;CompilDonnées[[#This Row],[ModuleNumber]]</f>
        <v>24</v>
      </c>
      <c r="P4721" t="str">
        <f>CompilDonnées[[#This Row],[Ref_Module]]&amp;CompilDonnées[[#This Row],[HarvestingDate]]</f>
        <v>2445943</v>
      </c>
    </row>
    <row r="4722" spans="1:16">
      <c r="A4722" s="5">
        <v>45902</v>
      </c>
      <c r="B4722">
        <v>7</v>
      </c>
      <c r="C4722" t="s">
        <v>50</v>
      </c>
      <c r="D4722">
        <v>3</v>
      </c>
      <c r="E4722">
        <v>100</v>
      </c>
      <c r="F4722" t="s">
        <v>1</v>
      </c>
      <c r="G4722" s="6">
        <v>45954</v>
      </c>
      <c r="H4722">
        <v>52</v>
      </c>
      <c r="I4722">
        <f>ROUND(CompilDonnées[[#This Row],[CultureDuration_days]]/7,0)</f>
        <v>7</v>
      </c>
      <c r="J4722">
        <v>2127</v>
      </c>
      <c r="K4722" t="str">
        <f>_xlfn.CONCAT(WEEKNUM(CompilDonnées[[#This Row],[PlantationDate]]), " ", YEAR(CompilDonnées[[#This Row],[PlantationDate]]))</f>
        <v>36 2025</v>
      </c>
      <c r="L4722" t="str">
        <f>CONCATENATE(MONTH(CompilDonnées[[#This Row],[PlantationDate]])," ", YEAR(CompilDonnées[[#This Row],[PlantationDate]]))</f>
        <v>9 2025</v>
      </c>
      <c r="M4722" t="str">
        <f>CONCATENATE(MONTH(CompilDonnées[[#This Row],[HarvestingDate]])," ", YEAR(CompilDonnées[[#This Row],[HarvestingDate]]))</f>
        <v>10 2025</v>
      </c>
      <c r="N4722">
        <f>_xlfn.NUMBERVALUE(CompilDonnées[[#This Row],[FarmID]]&amp;CompilDonnées[[#This Row],[ModuleNumber]]&amp;CompilDonnées[[#This Row],[PlantationDate]])</f>
        <v>7345902</v>
      </c>
      <c r="O4722" t="str">
        <f>CompilDonnées[[#This Row],[FarmID]]&amp;CompilDonnées[[#This Row],[ModuleNumber]]</f>
        <v>73</v>
      </c>
      <c r="P4722" t="str">
        <f>CompilDonnées[[#This Row],[Ref_Module]]&amp;CompilDonnées[[#This Row],[HarvestingDate]]</f>
        <v>7345954</v>
      </c>
    </row>
    <row r="4723" spans="1:16">
      <c r="A4723" s="5">
        <v>45902</v>
      </c>
      <c r="B4723">
        <v>8</v>
      </c>
      <c r="C4723" t="s">
        <v>57</v>
      </c>
      <c r="D4723">
        <v>2</v>
      </c>
      <c r="E4723">
        <v>100</v>
      </c>
      <c r="F4723" t="s">
        <v>1</v>
      </c>
      <c r="G4723" s="6">
        <v>45957</v>
      </c>
      <c r="H4723">
        <v>55</v>
      </c>
      <c r="I4723">
        <f>ROUND(CompilDonnées[[#This Row],[CultureDuration_days]]/7,0)</f>
        <v>8</v>
      </c>
      <c r="J4723">
        <v>2673</v>
      </c>
      <c r="K4723" t="str">
        <f>_xlfn.CONCAT(WEEKNUM(CompilDonnées[[#This Row],[PlantationDate]]), " ", YEAR(CompilDonnées[[#This Row],[PlantationDate]]))</f>
        <v>36 2025</v>
      </c>
      <c r="L4723" t="str">
        <f>CONCATENATE(MONTH(CompilDonnées[[#This Row],[PlantationDate]])," ", YEAR(CompilDonnées[[#This Row],[PlantationDate]]))</f>
        <v>9 2025</v>
      </c>
      <c r="M4723" t="str">
        <f>CONCATENATE(MONTH(CompilDonnées[[#This Row],[HarvestingDate]])," ", YEAR(CompilDonnées[[#This Row],[HarvestingDate]]))</f>
        <v>10 2025</v>
      </c>
      <c r="N4723">
        <f>_xlfn.NUMBERVALUE(CompilDonnées[[#This Row],[FarmID]]&amp;CompilDonnées[[#This Row],[ModuleNumber]]&amp;CompilDonnées[[#This Row],[PlantationDate]])</f>
        <v>8245902</v>
      </c>
      <c r="O4723" t="str">
        <f>CompilDonnées[[#This Row],[FarmID]]&amp;CompilDonnées[[#This Row],[ModuleNumber]]</f>
        <v>82</v>
      </c>
      <c r="P4723" t="str">
        <f>CompilDonnées[[#This Row],[Ref_Module]]&amp;CompilDonnées[[#This Row],[HarvestingDate]]</f>
        <v>8245957</v>
      </c>
    </row>
    <row r="4724" spans="1:16">
      <c r="A4724" s="5">
        <v>45902</v>
      </c>
      <c r="B4724">
        <v>14</v>
      </c>
      <c r="C4724" t="s">
        <v>82</v>
      </c>
      <c r="D4724">
        <v>5</v>
      </c>
      <c r="E4724">
        <v>100</v>
      </c>
      <c r="F4724" t="s">
        <v>1</v>
      </c>
      <c r="G4724" s="6">
        <v>45957</v>
      </c>
      <c r="H4724">
        <v>55</v>
      </c>
      <c r="I4724">
        <f>ROUND(CompilDonnées[[#This Row],[CultureDuration_days]]/7,0)</f>
        <v>8</v>
      </c>
      <c r="J4724">
        <v>1246</v>
      </c>
      <c r="K4724" t="str">
        <f>_xlfn.CONCAT(WEEKNUM(CompilDonnées[[#This Row],[PlantationDate]]), " ", YEAR(CompilDonnées[[#This Row],[PlantationDate]]))</f>
        <v>36 2025</v>
      </c>
      <c r="L4724" t="str">
        <f>CONCATENATE(MONTH(CompilDonnées[[#This Row],[PlantationDate]])," ", YEAR(CompilDonnées[[#This Row],[PlantationDate]]))</f>
        <v>9 2025</v>
      </c>
      <c r="M4724" t="str">
        <f>CONCATENATE(MONTH(CompilDonnées[[#This Row],[HarvestingDate]])," ", YEAR(CompilDonnées[[#This Row],[HarvestingDate]]))</f>
        <v>10 2025</v>
      </c>
      <c r="N4724">
        <f>_xlfn.NUMBERVALUE(CompilDonnées[[#This Row],[FarmID]]&amp;CompilDonnées[[#This Row],[ModuleNumber]]&amp;CompilDonnées[[#This Row],[PlantationDate]])</f>
        <v>14545902</v>
      </c>
      <c r="O4724" t="str">
        <f>CompilDonnées[[#This Row],[FarmID]]&amp;CompilDonnées[[#This Row],[ModuleNumber]]</f>
        <v>145</v>
      </c>
      <c r="P4724" t="str">
        <f>CompilDonnées[[#This Row],[Ref_Module]]&amp;CompilDonnées[[#This Row],[HarvestingDate]]</f>
        <v>14545957</v>
      </c>
    </row>
    <row r="4725" spans="1:16">
      <c r="A4725" s="5">
        <v>45902</v>
      </c>
      <c r="B4725">
        <v>11</v>
      </c>
      <c r="C4725" t="s">
        <v>106</v>
      </c>
      <c r="D4725">
        <v>2</v>
      </c>
      <c r="E4725">
        <v>100</v>
      </c>
      <c r="F4725" t="s">
        <v>1</v>
      </c>
      <c r="G4725" s="6">
        <v>45954</v>
      </c>
      <c r="H4725">
        <v>52</v>
      </c>
      <c r="I4725">
        <f>ROUND(CompilDonnées[[#This Row],[CultureDuration_days]]/7,0)</f>
        <v>7</v>
      </c>
      <c r="J4725">
        <v>1321</v>
      </c>
      <c r="K4725" t="str">
        <f>_xlfn.CONCAT(WEEKNUM(CompilDonnées[[#This Row],[PlantationDate]]), " ", YEAR(CompilDonnées[[#This Row],[PlantationDate]]))</f>
        <v>36 2025</v>
      </c>
      <c r="L4725" t="str">
        <f>CONCATENATE(MONTH(CompilDonnées[[#This Row],[PlantationDate]])," ", YEAR(CompilDonnées[[#This Row],[PlantationDate]]))</f>
        <v>9 2025</v>
      </c>
      <c r="M4725" t="str">
        <f>CONCATENATE(MONTH(CompilDonnées[[#This Row],[HarvestingDate]])," ", YEAR(CompilDonnées[[#This Row],[HarvestingDate]]))</f>
        <v>10 2025</v>
      </c>
      <c r="N4725">
        <f>_xlfn.NUMBERVALUE(CompilDonnées[[#This Row],[FarmID]]&amp;CompilDonnées[[#This Row],[ModuleNumber]]&amp;CompilDonnées[[#This Row],[PlantationDate]])</f>
        <v>11245902</v>
      </c>
      <c r="O4725" t="str">
        <f>CompilDonnées[[#This Row],[FarmID]]&amp;CompilDonnées[[#This Row],[ModuleNumber]]</f>
        <v>112</v>
      </c>
      <c r="P4725" t="str">
        <f>CompilDonnées[[#This Row],[Ref_Module]]&amp;CompilDonnées[[#This Row],[HarvestingDate]]</f>
        <v>11245954</v>
      </c>
    </row>
    <row r="4726" spans="1:16">
      <c r="A4726" s="5">
        <v>45902</v>
      </c>
      <c r="B4726">
        <v>52</v>
      </c>
      <c r="C4726" t="s">
        <v>88</v>
      </c>
      <c r="D4726">
        <v>1</v>
      </c>
      <c r="E4726">
        <v>100</v>
      </c>
      <c r="F4726" t="s">
        <v>1</v>
      </c>
      <c r="G4726" s="6">
        <v>45953</v>
      </c>
      <c r="H4726">
        <v>51</v>
      </c>
      <c r="I4726">
        <f>ROUND(CompilDonnées[[#This Row],[CultureDuration_days]]/7,0)</f>
        <v>7</v>
      </c>
      <c r="J4726">
        <v>3854</v>
      </c>
      <c r="K4726" t="str">
        <f>_xlfn.CONCAT(WEEKNUM(CompilDonnées[[#This Row],[PlantationDate]]), " ", YEAR(CompilDonnées[[#This Row],[PlantationDate]]))</f>
        <v>36 2025</v>
      </c>
      <c r="L4726" t="str">
        <f>CONCATENATE(MONTH(CompilDonnées[[#This Row],[PlantationDate]])," ", YEAR(CompilDonnées[[#This Row],[PlantationDate]]))</f>
        <v>9 2025</v>
      </c>
      <c r="M4726" t="str">
        <f>CONCATENATE(MONTH(CompilDonnées[[#This Row],[HarvestingDate]])," ", YEAR(CompilDonnées[[#This Row],[HarvestingDate]]))</f>
        <v>10 2025</v>
      </c>
      <c r="N4726">
        <f>_xlfn.NUMBERVALUE(CompilDonnées[[#This Row],[FarmID]]&amp;CompilDonnées[[#This Row],[ModuleNumber]]&amp;CompilDonnées[[#This Row],[PlantationDate]])</f>
        <v>52145902</v>
      </c>
      <c r="O4726" t="str">
        <f>CompilDonnées[[#This Row],[FarmID]]&amp;CompilDonnées[[#This Row],[ModuleNumber]]</f>
        <v>521</v>
      </c>
      <c r="P4726" t="str">
        <f>CompilDonnées[[#This Row],[Ref_Module]]&amp;CompilDonnées[[#This Row],[HarvestingDate]]</f>
        <v>52145953</v>
      </c>
    </row>
    <row r="4727" spans="1:16">
      <c r="A4727" s="5">
        <v>45902</v>
      </c>
      <c r="B4727">
        <v>51</v>
      </c>
      <c r="C4727" t="s">
        <v>27</v>
      </c>
      <c r="D4727">
        <v>5</v>
      </c>
      <c r="E4727">
        <v>100</v>
      </c>
      <c r="F4727" t="s">
        <v>1</v>
      </c>
      <c r="G4727" s="6">
        <v>45953</v>
      </c>
      <c r="H4727">
        <v>51</v>
      </c>
      <c r="I4727">
        <f>ROUND(CompilDonnées[[#This Row],[CultureDuration_days]]/7,0)</f>
        <v>7</v>
      </c>
      <c r="J4727">
        <v>3268</v>
      </c>
      <c r="K4727" t="str">
        <f>_xlfn.CONCAT(WEEKNUM(CompilDonnées[[#This Row],[PlantationDate]]), " ", YEAR(CompilDonnées[[#This Row],[PlantationDate]]))</f>
        <v>36 2025</v>
      </c>
      <c r="L4727" t="str">
        <f>CONCATENATE(MONTH(CompilDonnées[[#This Row],[PlantationDate]])," ", YEAR(CompilDonnées[[#This Row],[PlantationDate]]))</f>
        <v>9 2025</v>
      </c>
      <c r="M4727" t="str">
        <f>CONCATENATE(MONTH(CompilDonnées[[#This Row],[HarvestingDate]])," ", YEAR(CompilDonnées[[#This Row],[HarvestingDate]]))</f>
        <v>10 2025</v>
      </c>
      <c r="N4727">
        <f>_xlfn.NUMBERVALUE(CompilDonnées[[#This Row],[FarmID]]&amp;CompilDonnées[[#This Row],[ModuleNumber]]&amp;CompilDonnées[[#This Row],[PlantationDate]])</f>
        <v>51545902</v>
      </c>
      <c r="O4727" t="str">
        <f>CompilDonnées[[#This Row],[FarmID]]&amp;CompilDonnées[[#This Row],[ModuleNumber]]</f>
        <v>515</v>
      </c>
      <c r="P4727" t="str">
        <f>CompilDonnées[[#This Row],[Ref_Module]]&amp;CompilDonnées[[#This Row],[HarvestingDate]]</f>
        <v>51545953</v>
      </c>
    </row>
    <row r="4728" spans="1:16">
      <c r="A4728" s="5">
        <v>45902</v>
      </c>
      <c r="B4728">
        <v>48</v>
      </c>
      <c r="C4728" t="s">
        <v>71</v>
      </c>
      <c r="D4728">
        <v>3</v>
      </c>
      <c r="E4728">
        <v>100</v>
      </c>
      <c r="F4728" t="s">
        <v>1</v>
      </c>
      <c r="G4728" s="6">
        <v>45953</v>
      </c>
      <c r="H4728">
        <v>51</v>
      </c>
      <c r="I4728">
        <f>ROUND(CompilDonnées[[#This Row],[CultureDuration_days]]/7,0)</f>
        <v>7</v>
      </c>
      <c r="J4728">
        <v>1932</v>
      </c>
      <c r="K4728" t="str">
        <f>_xlfn.CONCAT(WEEKNUM(CompilDonnées[[#This Row],[PlantationDate]]), " ", YEAR(CompilDonnées[[#This Row],[PlantationDate]]))</f>
        <v>36 2025</v>
      </c>
      <c r="L4728" t="str">
        <f>CONCATENATE(MONTH(CompilDonnées[[#This Row],[PlantationDate]])," ", YEAR(CompilDonnées[[#This Row],[PlantationDate]]))</f>
        <v>9 2025</v>
      </c>
      <c r="M4728" t="str">
        <f>CONCATENATE(MONTH(CompilDonnées[[#This Row],[HarvestingDate]])," ", YEAR(CompilDonnées[[#This Row],[HarvestingDate]]))</f>
        <v>10 2025</v>
      </c>
      <c r="N4728">
        <f>_xlfn.NUMBERVALUE(CompilDonnées[[#This Row],[FarmID]]&amp;CompilDonnées[[#This Row],[ModuleNumber]]&amp;CompilDonnées[[#This Row],[PlantationDate]])</f>
        <v>48345902</v>
      </c>
      <c r="O4728" t="str">
        <f>CompilDonnées[[#This Row],[FarmID]]&amp;CompilDonnées[[#This Row],[ModuleNumber]]</f>
        <v>483</v>
      </c>
      <c r="P4728" t="str">
        <f>CompilDonnées[[#This Row],[Ref_Module]]&amp;CompilDonnées[[#This Row],[HarvestingDate]]</f>
        <v>48345953</v>
      </c>
    </row>
    <row r="4729" spans="1:16">
      <c r="A4729" s="5">
        <v>45902</v>
      </c>
      <c r="B4729">
        <v>6</v>
      </c>
      <c r="C4729" t="s">
        <v>24</v>
      </c>
      <c r="D4729">
        <v>2</v>
      </c>
      <c r="E4729">
        <v>100</v>
      </c>
      <c r="F4729" t="s">
        <v>1</v>
      </c>
      <c r="G4729" s="6">
        <v>45954</v>
      </c>
      <c r="H4729">
        <v>52</v>
      </c>
      <c r="I4729">
        <f>ROUND(CompilDonnées[[#This Row],[CultureDuration_days]]/7,0)</f>
        <v>7</v>
      </c>
      <c r="J4729">
        <v>2438</v>
      </c>
      <c r="K4729" t="str">
        <f>_xlfn.CONCAT(WEEKNUM(CompilDonnées[[#This Row],[PlantationDate]]), " ", YEAR(CompilDonnées[[#This Row],[PlantationDate]]))</f>
        <v>36 2025</v>
      </c>
      <c r="L4729" t="str">
        <f>CONCATENATE(MONTH(CompilDonnées[[#This Row],[PlantationDate]])," ", YEAR(CompilDonnées[[#This Row],[PlantationDate]]))</f>
        <v>9 2025</v>
      </c>
      <c r="M4729" t="str">
        <f>CONCATENATE(MONTH(CompilDonnées[[#This Row],[HarvestingDate]])," ", YEAR(CompilDonnées[[#This Row],[HarvestingDate]]))</f>
        <v>10 2025</v>
      </c>
      <c r="N4729">
        <f>_xlfn.NUMBERVALUE(CompilDonnées[[#This Row],[FarmID]]&amp;CompilDonnées[[#This Row],[ModuleNumber]]&amp;CompilDonnées[[#This Row],[PlantationDate]])</f>
        <v>6245902</v>
      </c>
      <c r="O4729" t="str">
        <f>CompilDonnées[[#This Row],[FarmID]]&amp;CompilDonnées[[#This Row],[ModuleNumber]]</f>
        <v>62</v>
      </c>
      <c r="P4729" t="str">
        <f>CompilDonnées[[#This Row],[Ref_Module]]&amp;CompilDonnées[[#This Row],[HarvestingDate]]</f>
        <v>6245954</v>
      </c>
    </row>
    <row r="4730" spans="1:16">
      <c r="A4730" s="5">
        <v>45902</v>
      </c>
      <c r="B4730">
        <v>5</v>
      </c>
      <c r="C4730" t="s">
        <v>32</v>
      </c>
      <c r="D4730">
        <v>5</v>
      </c>
      <c r="E4730">
        <v>100</v>
      </c>
      <c r="F4730" t="s">
        <v>1</v>
      </c>
      <c r="G4730" s="6">
        <v>45954</v>
      </c>
      <c r="H4730">
        <v>52</v>
      </c>
      <c r="I4730">
        <f>ROUND(CompilDonnées[[#This Row],[CultureDuration_days]]/7,0)</f>
        <v>7</v>
      </c>
      <c r="J4730">
        <v>1937</v>
      </c>
      <c r="K4730" t="str">
        <f>_xlfn.CONCAT(WEEKNUM(CompilDonnées[[#This Row],[PlantationDate]]), " ", YEAR(CompilDonnées[[#This Row],[PlantationDate]]))</f>
        <v>36 2025</v>
      </c>
      <c r="L4730" t="str">
        <f>CONCATENATE(MONTH(CompilDonnées[[#This Row],[PlantationDate]])," ", YEAR(CompilDonnées[[#This Row],[PlantationDate]]))</f>
        <v>9 2025</v>
      </c>
      <c r="M4730" t="str">
        <f>CONCATENATE(MONTH(CompilDonnées[[#This Row],[HarvestingDate]])," ", YEAR(CompilDonnées[[#This Row],[HarvestingDate]]))</f>
        <v>10 2025</v>
      </c>
      <c r="N4730">
        <f>_xlfn.NUMBERVALUE(CompilDonnées[[#This Row],[FarmID]]&amp;CompilDonnées[[#This Row],[ModuleNumber]]&amp;CompilDonnées[[#This Row],[PlantationDate]])</f>
        <v>5545902</v>
      </c>
      <c r="O4730" t="str">
        <f>CompilDonnées[[#This Row],[FarmID]]&amp;CompilDonnées[[#This Row],[ModuleNumber]]</f>
        <v>55</v>
      </c>
      <c r="P4730" t="str">
        <f>CompilDonnées[[#This Row],[Ref_Module]]&amp;CompilDonnées[[#This Row],[HarvestingDate]]</f>
        <v>5545954</v>
      </c>
    </row>
    <row r="4731" spans="1:16">
      <c r="A4731" s="5">
        <v>45902</v>
      </c>
      <c r="B4731">
        <v>4</v>
      </c>
      <c r="C4731" t="s">
        <v>74</v>
      </c>
      <c r="D4731">
        <v>2</v>
      </c>
      <c r="E4731">
        <v>100</v>
      </c>
      <c r="F4731" t="s">
        <v>1</v>
      </c>
      <c r="G4731" s="6">
        <v>45954</v>
      </c>
      <c r="H4731">
        <v>52</v>
      </c>
      <c r="I4731">
        <f>ROUND(CompilDonnées[[#This Row],[CultureDuration_days]]/7,0)</f>
        <v>7</v>
      </c>
      <c r="J4731">
        <v>1686</v>
      </c>
      <c r="K4731" t="str">
        <f>_xlfn.CONCAT(WEEKNUM(CompilDonnées[[#This Row],[PlantationDate]]), " ", YEAR(CompilDonnées[[#This Row],[PlantationDate]]))</f>
        <v>36 2025</v>
      </c>
      <c r="L4731" t="str">
        <f>CONCATENATE(MONTH(CompilDonnées[[#This Row],[PlantationDate]])," ", YEAR(CompilDonnées[[#This Row],[PlantationDate]]))</f>
        <v>9 2025</v>
      </c>
      <c r="M4731" t="str">
        <f>CONCATENATE(MONTH(CompilDonnées[[#This Row],[HarvestingDate]])," ", YEAR(CompilDonnées[[#This Row],[HarvestingDate]]))</f>
        <v>10 2025</v>
      </c>
      <c r="N4731">
        <f>_xlfn.NUMBERVALUE(CompilDonnées[[#This Row],[FarmID]]&amp;CompilDonnées[[#This Row],[ModuleNumber]]&amp;CompilDonnées[[#This Row],[PlantationDate]])</f>
        <v>4245902</v>
      </c>
      <c r="O4731" t="str">
        <f>CompilDonnées[[#This Row],[FarmID]]&amp;CompilDonnées[[#This Row],[ModuleNumber]]</f>
        <v>42</v>
      </c>
      <c r="P4731" t="str">
        <f>CompilDonnées[[#This Row],[Ref_Module]]&amp;CompilDonnées[[#This Row],[HarvestingDate]]</f>
        <v>4245954</v>
      </c>
    </row>
    <row r="4732" spans="1:16">
      <c r="A4732" s="5">
        <v>45902</v>
      </c>
      <c r="B4732">
        <v>3</v>
      </c>
      <c r="C4732" t="s">
        <v>116</v>
      </c>
      <c r="D4732">
        <v>6</v>
      </c>
      <c r="E4732">
        <v>100</v>
      </c>
      <c r="F4732" t="s">
        <v>1</v>
      </c>
      <c r="G4732" s="6">
        <v>45954</v>
      </c>
      <c r="H4732">
        <v>52</v>
      </c>
      <c r="I4732">
        <f>ROUND(CompilDonnées[[#This Row],[CultureDuration_days]]/7,0)</f>
        <v>7</v>
      </c>
      <c r="J4732">
        <v>2419</v>
      </c>
      <c r="K4732" t="str">
        <f>_xlfn.CONCAT(WEEKNUM(CompilDonnées[[#This Row],[PlantationDate]]), " ", YEAR(CompilDonnées[[#This Row],[PlantationDate]]))</f>
        <v>36 2025</v>
      </c>
      <c r="L4732" t="str">
        <f>CONCATENATE(MONTH(CompilDonnées[[#This Row],[PlantationDate]])," ", YEAR(CompilDonnées[[#This Row],[PlantationDate]]))</f>
        <v>9 2025</v>
      </c>
      <c r="M4732" t="str">
        <f>CONCATENATE(MONTH(CompilDonnées[[#This Row],[HarvestingDate]])," ", YEAR(CompilDonnées[[#This Row],[HarvestingDate]]))</f>
        <v>10 2025</v>
      </c>
      <c r="N4732">
        <f>_xlfn.NUMBERVALUE(CompilDonnées[[#This Row],[FarmID]]&amp;CompilDonnées[[#This Row],[ModuleNumber]]&amp;CompilDonnées[[#This Row],[PlantationDate]])</f>
        <v>3645902</v>
      </c>
      <c r="O4732" t="str">
        <f>CompilDonnées[[#This Row],[FarmID]]&amp;CompilDonnées[[#This Row],[ModuleNumber]]</f>
        <v>36</v>
      </c>
      <c r="P4732" t="str">
        <f>CompilDonnées[[#This Row],[Ref_Module]]&amp;CompilDonnées[[#This Row],[HarvestingDate]]</f>
        <v>3645954</v>
      </c>
    </row>
    <row r="4733" spans="1:16">
      <c r="A4733" s="5">
        <v>45902</v>
      </c>
      <c r="B4733">
        <v>18</v>
      </c>
      <c r="C4733" t="s">
        <v>33</v>
      </c>
      <c r="D4733">
        <v>1</v>
      </c>
      <c r="E4733">
        <v>100</v>
      </c>
      <c r="F4733" t="s">
        <v>1</v>
      </c>
      <c r="G4733" s="6">
        <v>45954</v>
      </c>
      <c r="H4733">
        <v>52</v>
      </c>
      <c r="I4733">
        <f>ROUND(CompilDonnées[[#This Row],[CultureDuration_days]]/7,0)</f>
        <v>7</v>
      </c>
      <c r="J4733">
        <v>3631</v>
      </c>
      <c r="K4733" t="str">
        <f>_xlfn.CONCAT(WEEKNUM(CompilDonnées[[#This Row],[PlantationDate]]), " ", YEAR(CompilDonnées[[#This Row],[PlantationDate]]))</f>
        <v>36 2025</v>
      </c>
      <c r="L4733" t="str">
        <f>CONCATENATE(MONTH(CompilDonnées[[#This Row],[PlantationDate]])," ", YEAR(CompilDonnées[[#This Row],[PlantationDate]]))</f>
        <v>9 2025</v>
      </c>
      <c r="M4733" t="str">
        <f>CONCATENATE(MONTH(CompilDonnées[[#This Row],[HarvestingDate]])," ", YEAR(CompilDonnées[[#This Row],[HarvestingDate]]))</f>
        <v>10 2025</v>
      </c>
      <c r="N4733">
        <f>_xlfn.NUMBERVALUE(CompilDonnées[[#This Row],[FarmID]]&amp;CompilDonnées[[#This Row],[ModuleNumber]]&amp;CompilDonnées[[#This Row],[PlantationDate]])</f>
        <v>18145902</v>
      </c>
      <c r="O4733" t="str">
        <f>CompilDonnées[[#This Row],[FarmID]]&amp;CompilDonnées[[#This Row],[ModuleNumber]]</f>
        <v>181</v>
      </c>
      <c r="P4733" t="str">
        <f>CompilDonnées[[#This Row],[Ref_Module]]&amp;CompilDonnées[[#This Row],[HarvestingDate]]</f>
        <v>18145954</v>
      </c>
    </row>
    <row r="4734" spans="1:16">
      <c r="A4734" s="5">
        <v>45902</v>
      </c>
      <c r="B4734">
        <v>22</v>
      </c>
      <c r="C4734" t="s">
        <v>43</v>
      </c>
      <c r="D4734">
        <v>1</v>
      </c>
      <c r="E4734">
        <v>100</v>
      </c>
      <c r="F4734" t="s">
        <v>1</v>
      </c>
      <c r="G4734" s="6">
        <v>45957</v>
      </c>
      <c r="H4734">
        <v>55</v>
      </c>
      <c r="I4734">
        <f>ROUND(CompilDonnées[[#This Row],[CultureDuration_days]]/7,0)</f>
        <v>8</v>
      </c>
      <c r="J4734">
        <v>1324</v>
      </c>
      <c r="K4734" t="str">
        <f>_xlfn.CONCAT(WEEKNUM(CompilDonnées[[#This Row],[PlantationDate]]), " ", YEAR(CompilDonnées[[#This Row],[PlantationDate]]))</f>
        <v>36 2025</v>
      </c>
      <c r="L4734" t="str">
        <f>CONCATENATE(MONTH(CompilDonnées[[#This Row],[PlantationDate]])," ", YEAR(CompilDonnées[[#This Row],[PlantationDate]]))</f>
        <v>9 2025</v>
      </c>
      <c r="M4734" t="str">
        <f>CONCATENATE(MONTH(CompilDonnées[[#This Row],[HarvestingDate]])," ", YEAR(CompilDonnées[[#This Row],[HarvestingDate]]))</f>
        <v>10 2025</v>
      </c>
      <c r="N4734">
        <f>_xlfn.NUMBERVALUE(CompilDonnées[[#This Row],[FarmID]]&amp;CompilDonnées[[#This Row],[ModuleNumber]]&amp;CompilDonnées[[#This Row],[PlantationDate]])</f>
        <v>22145902</v>
      </c>
      <c r="O4734" t="str">
        <f>CompilDonnées[[#This Row],[FarmID]]&amp;CompilDonnées[[#This Row],[ModuleNumber]]</f>
        <v>221</v>
      </c>
      <c r="P4734" t="str">
        <f>CompilDonnées[[#This Row],[Ref_Module]]&amp;CompilDonnées[[#This Row],[HarvestingDate]]</f>
        <v>22145957</v>
      </c>
    </row>
    <row r="4735" spans="1:16">
      <c r="A4735" s="5">
        <v>45902</v>
      </c>
      <c r="B4735">
        <v>21</v>
      </c>
      <c r="C4735" t="s">
        <v>0</v>
      </c>
      <c r="D4735">
        <v>2</v>
      </c>
      <c r="E4735">
        <v>100</v>
      </c>
      <c r="F4735" t="s">
        <v>1</v>
      </c>
      <c r="G4735" s="6">
        <v>45954</v>
      </c>
      <c r="H4735">
        <v>52</v>
      </c>
      <c r="I4735">
        <f>ROUND(CompilDonnées[[#This Row],[CultureDuration_days]]/7,0)</f>
        <v>7</v>
      </c>
      <c r="J4735">
        <v>985</v>
      </c>
      <c r="K4735" t="str">
        <f>_xlfn.CONCAT(WEEKNUM(CompilDonnées[[#This Row],[PlantationDate]]), " ", YEAR(CompilDonnées[[#This Row],[PlantationDate]]))</f>
        <v>36 2025</v>
      </c>
      <c r="L4735" t="str">
        <f>CONCATENATE(MONTH(CompilDonnées[[#This Row],[PlantationDate]])," ", YEAR(CompilDonnées[[#This Row],[PlantationDate]]))</f>
        <v>9 2025</v>
      </c>
      <c r="M4735" t="str">
        <f>CONCATENATE(MONTH(CompilDonnées[[#This Row],[HarvestingDate]])," ", YEAR(CompilDonnées[[#This Row],[HarvestingDate]]))</f>
        <v>10 2025</v>
      </c>
      <c r="N4735">
        <f>_xlfn.NUMBERVALUE(CompilDonnées[[#This Row],[FarmID]]&amp;CompilDonnées[[#This Row],[ModuleNumber]]&amp;CompilDonnées[[#This Row],[PlantationDate]])</f>
        <v>21245902</v>
      </c>
      <c r="O4735" t="str">
        <f>CompilDonnées[[#This Row],[FarmID]]&amp;CompilDonnées[[#This Row],[ModuleNumber]]</f>
        <v>212</v>
      </c>
      <c r="P4735" t="str">
        <f>CompilDonnées[[#This Row],[Ref_Module]]&amp;CompilDonnées[[#This Row],[HarvestingDate]]</f>
        <v>21245954</v>
      </c>
    </row>
    <row r="4736" spans="1:16">
      <c r="A4736" s="5">
        <v>45902</v>
      </c>
      <c r="B4736">
        <v>32</v>
      </c>
      <c r="C4736" t="s">
        <v>25</v>
      </c>
      <c r="D4736">
        <v>6</v>
      </c>
      <c r="E4736">
        <v>100</v>
      </c>
      <c r="F4736" t="s">
        <v>1</v>
      </c>
      <c r="G4736" s="6">
        <v>45943</v>
      </c>
      <c r="H4736">
        <v>41</v>
      </c>
      <c r="I4736">
        <f>ROUND(CompilDonnées[[#This Row],[CultureDuration_days]]/7,0)</f>
        <v>6</v>
      </c>
      <c r="J4736">
        <v>3538</v>
      </c>
      <c r="K4736" t="str">
        <f>_xlfn.CONCAT(WEEKNUM(CompilDonnées[[#This Row],[PlantationDate]]), " ", YEAR(CompilDonnées[[#This Row],[PlantationDate]]))</f>
        <v>36 2025</v>
      </c>
      <c r="L4736" t="str">
        <f>CONCATENATE(MONTH(CompilDonnées[[#This Row],[PlantationDate]])," ", YEAR(CompilDonnées[[#This Row],[PlantationDate]]))</f>
        <v>9 2025</v>
      </c>
      <c r="M4736" t="str">
        <f>CONCATENATE(MONTH(CompilDonnées[[#This Row],[HarvestingDate]])," ", YEAR(CompilDonnées[[#This Row],[HarvestingDate]]))</f>
        <v>10 2025</v>
      </c>
      <c r="N4736">
        <f>_xlfn.NUMBERVALUE(CompilDonnées[[#This Row],[FarmID]]&amp;CompilDonnées[[#This Row],[ModuleNumber]]&amp;CompilDonnées[[#This Row],[PlantationDate]])</f>
        <v>32645902</v>
      </c>
      <c r="O4736" t="str">
        <f>CompilDonnées[[#This Row],[FarmID]]&amp;CompilDonnées[[#This Row],[ModuleNumber]]</f>
        <v>326</v>
      </c>
      <c r="P4736" t="str">
        <f>CompilDonnées[[#This Row],[Ref_Module]]&amp;CompilDonnées[[#This Row],[HarvestingDate]]</f>
        <v>32645943</v>
      </c>
    </row>
    <row r="4737" spans="1:16">
      <c r="A4737" s="5">
        <v>45902</v>
      </c>
      <c r="B4737">
        <v>31</v>
      </c>
      <c r="C4737" t="s">
        <v>62</v>
      </c>
      <c r="D4737">
        <v>4</v>
      </c>
      <c r="E4737">
        <v>100</v>
      </c>
      <c r="F4737" t="s">
        <v>1</v>
      </c>
      <c r="G4737" s="6">
        <v>45953</v>
      </c>
      <c r="H4737">
        <v>51</v>
      </c>
      <c r="I4737">
        <f>ROUND(CompilDonnées[[#This Row],[CultureDuration_days]]/7,0)</f>
        <v>7</v>
      </c>
      <c r="J4737">
        <v>2026</v>
      </c>
      <c r="K4737" t="str">
        <f>_xlfn.CONCAT(WEEKNUM(CompilDonnées[[#This Row],[PlantationDate]]), " ", YEAR(CompilDonnées[[#This Row],[PlantationDate]]))</f>
        <v>36 2025</v>
      </c>
      <c r="L4737" t="str">
        <f>CONCATENATE(MONTH(CompilDonnées[[#This Row],[PlantationDate]])," ", YEAR(CompilDonnées[[#This Row],[PlantationDate]]))</f>
        <v>9 2025</v>
      </c>
      <c r="M4737" t="str">
        <f>CONCATENATE(MONTH(CompilDonnées[[#This Row],[HarvestingDate]])," ", YEAR(CompilDonnées[[#This Row],[HarvestingDate]]))</f>
        <v>10 2025</v>
      </c>
      <c r="N4737">
        <f>_xlfn.NUMBERVALUE(CompilDonnées[[#This Row],[FarmID]]&amp;CompilDonnées[[#This Row],[ModuleNumber]]&amp;CompilDonnées[[#This Row],[PlantationDate]])</f>
        <v>31445902</v>
      </c>
      <c r="O4737" t="str">
        <f>CompilDonnées[[#This Row],[FarmID]]&amp;CompilDonnées[[#This Row],[ModuleNumber]]</f>
        <v>314</v>
      </c>
      <c r="P4737" t="str">
        <f>CompilDonnées[[#This Row],[Ref_Module]]&amp;CompilDonnées[[#This Row],[HarvestingDate]]</f>
        <v>31445953</v>
      </c>
    </row>
    <row r="4738" spans="1:16">
      <c r="A4738" s="5">
        <v>45902</v>
      </c>
      <c r="B4738">
        <v>38</v>
      </c>
      <c r="C4738" t="s">
        <v>34</v>
      </c>
      <c r="D4738">
        <v>5</v>
      </c>
      <c r="E4738">
        <v>100</v>
      </c>
      <c r="F4738" t="s">
        <v>1</v>
      </c>
      <c r="G4738" s="6">
        <v>45943</v>
      </c>
      <c r="H4738">
        <v>41</v>
      </c>
      <c r="I4738">
        <f>ROUND(CompilDonnées[[#This Row],[CultureDuration_days]]/7,0)</f>
        <v>6</v>
      </c>
      <c r="J4738">
        <v>3017</v>
      </c>
      <c r="K4738" t="str">
        <f>_xlfn.CONCAT(WEEKNUM(CompilDonnées[[#This Row],[PlantationDate]]), " ", YEAR(CompilDonnées[[#This Row],[PlantationDate]]))</f>
        <v>36 2025</v>
      </c>
      <c r="L4738" t="str">
        <f>CONCATENATE(MONTH(CompilDonnées[[#This Row],[PlantationDate]])," ", YEAR(CompilDonnées[[#This Row],[PlantationDate]]))</f>
        <v>9 2025</v>
      </c>
      <c r="M4738" t="str">
        <f>CONCATENATE(MONTH(CompilDonnées[[#This Row],[HarvestingDate]])," ", YEAR(CompilDonnées[[#This Row],[HarvestingDate]]))</f>
        <v>10 2025</v>
      </c>
      <c r="N4738">
        <f>_xlfn.NUMBERVALUE(CompilDonnées[[#This Row],[FarmID]]&amp;CompilDonnées[[#This Row],[ModuleNumber]]&amp;CompilDonnées[[#This Row],[PlantationDate]])</f>
        <v>38545902</v>
      </c>
      <c r="O4738" t="str">
        <f>CompilDonnées[[#This Row],[FarmID]]&amp;CompilDonnées[[#This Row],[ModuleNumber]]</f>
        <v>385</v>
      </c>
      <c r="P4738" t="str">
        <f>CompilDonnées[[#This Row],[Ref_Module]]&amp;CompilDonnées[[#This Row],[HarvestingDate]]</f>
        <v>38545943</v>
      </c>
    </row>
    <row r="4739" spans="1:16">
      <c r="A4739" s="5">
        <v>45902</v>
      </c>
      <c r="B4739">
        <v>37</v>
      </c>
      <c r="C4739" t="s">
        <v>26</v>
      </c>
      <c r="D4739">
        <v>3</v>
      </c>
      <c r="E4739">
        <v>100</v>
      </c>
      <c r="F4739" t="s">
        <v>1</v>
      </c>
      <c r="G4739" s="6">
        <v>45953</v>
      </c>
      <c r="H4739">
        <v>51</v>
      </c>
      <c r="I4739">
        <f>ROUND(CompilDonnées[[#This Row],[CultureDuration_days]]/7,0)</f>
        <v>7</v>
      </c>
      <c r="J4739">
        <v>2185</v>
      </c>
      <c r="K4739" t="str">
        <f>_xlfn.CONCAT(WEEKNUM(CompilDonnées[[#This Row],[PlantationDate]]), " ", YEAR(CompilDonnées[[#This Row],[PlantationDate]]))</f>
        <v>36 2025</v>
      </c>
      <c r="L4739" t="str">
        <f>CONCATENATE(MONTH(CompilDonnées[[#This Row],[PlantationDate]])," ", YEAR(CompilDonnées[[#This Row],[PlantationDate]]))</f>
        <v>9 2025</v>
      </c>
      <c r="M4739" t="str">
        <f>CONCATENATE(MONTH(CompilDonnées[[#This Row],[HarvestingDate]])," ", YEAR(CompilDonnées[[#This Row],[HarvestingDate]]))</f>
        <v>10 2025</v>
      </c>
      <c r="N4739">
        <f>_xlfn.NUMBERVALUE(CompilDonnées[[#This Row],[FarmID]]&amp;CompilDonnées[[#This Row],[ModuleNumber]]&amp;CompilDonnées[[#This Row],[PlantationDate]])</f>
        <v>37345902</v>
      </c>
      <c r="O4739" t="str">
        <f>CompilDonnées[[#This Row],[FarmID]]&amp;CompilDonnées[[#This Row],[ModuleNumber]]</f>
        <v>373</v>
      </c>
      <c r="P4739" t="str">
        <f>CompilDonnées[[#This Row],[Ref_Module]]&amp;CompilDonnées[[#This Row],[HarvestingDate]]</f>
        <v>37345953</v>
      </c>
    </row>
    <row r="4740" spans="1:16">
      <c r="A4740" s="5">
        <v>45902</v>
      </c>
      <c r="B4740">
        <v>45</v>
      </c>
      <c r="C4740" t="s">
        <v>77</v>
      </c>
      <c r="D4740">
        <v>4</v>
      </c>
      <c r="E4740">
        <v>100</v>
      </c>
      <c r="F4740" t="s">
        <v>1</v>
      </c>
      <c r="G4740" s="6">
        <v>45953</v>
      </c>
      <c r="H4740">
        <v>51</v>
      </c>
      <c r="I4740">
        <f>ROUND(CompilDonnées[[#This Row],[CultureDuration_days]]/7,0)</f>
        <v>7</v>
      </c>
      <c r="J4740">
        <v>3070</v>
      </c>
      <c r="K4740" t="str">
        <f>_xlfn.CONCAT(WEEKNUM(CompilDonnées[[#This Row],[PlantationDate]]), " ", YEAR(CompilDonnées[[#This Row],[PlantationDate]]))</f>
        <v>36 2025</v>
      </c>
      <c r="L4740" t="str">
        <f>CONCATENATE(MONTH(CompilDonnées[[#This Row],[PlantationDate]])," ", YEAR(CompilDonnées[[#This Row],[PlantationDate]]))</f>
        <v>9 2025</v>
      </c>
      <c r="M4740" t="str">
        <f>CONCATENATE(MONTH(CompilDonnées[[#This Row],[HarvestingDate]])," ", YEAR(CompilDonnées[[#This Row],[HarvestingDate]]))</f>
        <v>10 2025</v>
      </c>
      <c r="N4740">
        <f>_xlfn.NUMBERVALUE(CompilDonnées[[#This Row],[FarmID]]&amp;CompilDonnées[[#This Row],[ModuleNumber]]&amp;CompilDonnées[[#This Row],[PlantationDate]])</f>
        <v>45445902</v>
      </c>
      <c r="O4740" t="str">
        <f>CompilDonnées[[#This Row],[FarmID]]&amp;CompilDonnées[[#This Row],[ModuleNumber]]</f>
        <v>454</v>
      </c>
      <c r="P4740" t="str">
        <f>CompilDonnées[[#This Row],[Ref_Module]]&amp;CompilDonnées[[#This Row],[HarvestingDate]]</f>
        <v>45445953</v>
      </c>
    </row>
    <row r="4741" spans="1:16">
      <c r="A4741" s="5">
        <v>45902</v>
      </c>
      <c r="B4741">
        <v>43</v>
      </c>
      <c r="C4741" t="s">
        <v>45</v>
      </c>
      <c r="D4741">
        <v>1</v>
      </c>
      <c r="E4741">
        <v>100</v>
      </c>
      <c r="F4741" t="s">
        <v>1</v>
      </c>
      <c r="G4741" s="6">
        <v>45954</v>
      </c>
      <c r="H4741">
        <v>52</v>
      </c>
      <c r="I4741">
        <f>ROUND(CompilDonnées[[#This Row],[CultureDuration_days]]/7,0)</f>
        <v>7</v>
      </c>
      <c r="J4741">
        <v>1637</v>
      </c>
      <c r="K4741" t="str">
        <f>_xlfn.CONCAT(WEEKNUM(CompilDonnées[[#This Row],[PlantationDate]]), " ", YEAR(CompilDonnées[[#This Row],[PlantationDate]]))</f>
        <v>36 2025</v>
      </c>
      <c r="L4741" t="str">
        <f>CONCATENATE(MONTH(CompilDonnées[[#This Row],[PlantationDate]])," ", YEAR(CompilDonnées[[#This Row],[PlantationDate]]))</f>
        <v>9 2025</v>
      </c>
      <c r="M4741" t="str">
        <f>CONCATENATE(MONTH(CompilDonnées[[#This Row],[HarvestingDate]])," ", YEAR(CompilDonnées[[#This Row],[HarvestingDate]]))</f>
        <v>10 2025</v>
      </c>
      <c r="N4741">
        <f>_xlfn.NUMBERVALUE(CompilDonnées[[#This Row],[FarmID]]&amp;CompilDonnées[[#This Row],[ModuleNumber]]&amp;CompilDonnées[[#This Row],[PlantationDate]])</f>
        <v>43145902</v>
      </c>
      <c r="O4741" t="str">
        <f>CompilDonnées[[#This Row],[FarmID]]&amp;CompilDonnées[[#This Row],[ModuleNumber]]</f>
        <v>431</v>
      </c>
      <c r="P4741" t="str">
        <f>CompilDonnées[[#This Row],[Ref_Module]]&amp;CompilDonnées[[#This Row],[HarvestingDate]]</f>
        <v>43145954</v>
      </c>
    </row>
    <row r="4742" spans="1:16">
      <c r="A4742" s="5">
        <v>45902</v>
      </c>
      <c r="B4742">
        <v>42</v>
      </c>
      <c r="C4742" t="s">
        <v>2</v>
      </c>
      <c r="D4742">
        <v>2</v>
      </c>
      <c r="E4742">
        <v>100</v>
      </c>
      <c r="F4742" t="s">
        <v>1</v>
      </c>
      <c r="G4742" s="6">
        <v>45943</v>
      </c>
      <c r="H4742">
        <v>41</v>
      </c>
      <c r="I4742">
        <f>ROUND(CompilDonnées[[#This Row],[CultureDuration_days]]/7,0)</f>
        <v>6</v>
      </c>
      <c r="J4742">
        <v>1713</v>
      </c>
      <c r="K4742" t="str">
        <f>_xlfn.CONCAT(WEEKNUM(CompilDonnées[[#This Row],[PlantationDate]]), " ", YEAR(CompilDonnées[[#This Row],[PlantationDate]]))</f>
        <v>36 2025</v>
      </c>
      <c r="L4742" t="str">
        <f>CONCATENATE(MONTH(CompilDonnées[[#This Row],[PlantationDate]])," ", YEAR(CompilDonnées[[#This Row],[PlantationDate]]))</f>
        <v>9 2025</v>
      </c>
      <c r="M4742" t="str">
        <f>CONCATENATE(MONTH(CompilDonnées[[#This Row],[HarvestingDate]])," ", YEAR(CompilDonnées[[#This Row],[HarvestingDate]]))</f>
        <v>10 2025</v>
      </c>
      <c r="N4742">
        <f>_xlfn.NUMBERVALUE(CompilDonnées[[#This Row],[FarmID]]&amp;CompilDonnées[[#This Row],[ModuleNumber]]&amp;CompilDonnées[[#This Row],[PlantationDate]])</f>
        <v>42245902</v>
      </c>
      <c r="O4742" t="str">
        <f>CompilDonnées[[#This Row],[FarmID]]&amp;CompilDonnées[[#This Row],[ModuleNumber]]</f>
        <v>422</v>
      </c>
      <c r="P4742" t="str">
        <f>CompilDonnées[[#This Row],[Ref_Module]]&amp;CompilDonnées[[#This Row],[HarvestingDate]]</f>
        <v>42245943</v>
      </c>
    </row>
    <row r="4743" spans="1:16">
      <c r="A4743" s="5">
        <v>45902</v>
      </c>
      <c r="B4743">
        <v>41</v>
      </c>
      <c r="C4743" t="s">
        <v>70</v>
      </c>
      <c r="D4743">
        <v>3</v>
      </c>
      <c r="E4743">
        <v>100</v>
      </c>
      <c r="F4743" t="s">
        <v>1</v>
      </c>
      <c r="G4743" s="6">
        <v>45953</v>
      </c>
      <c r="H4743">
        <v>51</v>
      </c>
      <c r="I4743">
        <f>ROUND(CompilDonnées[[#This Row],[CultureDuration_days]]/7,0)</f>
        <v>7</v>
      </c>
      <c r="J4743">
        <v>1401</v>
      </c>
      <c r="K4743" t="str">
        <f>_xlfn.CONCAT(WEEKNUM(CompilDonnées[[#This Row],[PlantationDate]]), " ", YEAR(CompilDonnées[[#This Row],[PlantationDate]]))</f>
        <v>36 2025</v>
      </c>
      <c r="L4743" t="str">
        <f>CONCATENATE(MONTH(CompilDonnées[[#This Row],[PlantationDate]])," ", YEAR(CompilDonnées[[#This Row],[PlantationDate]]))</f>
        <v>9 2025</v>
      </c>
      <c r="M4743" t="str">
        <f>CONCATENATE(MONTH(CompilDonnées[[#This Row],[HarvestingDate]])," ", YEAR(CompilDonnées[[#This Row],[HarvestingDate]]))</f>
        <v>10 2025</v>
      </c>
      <c r="N4743">
        <f>_xlfn.NUMBERVALUE(CompilDonnées[[#This Row],[FarmID]]&amp;CompilDonnées[[#This Row],[ModuleNumber]]&amp;CompilDonnées[[#This Row],[PlantationDate]])</f>
        <v>41345902</v>
      </c>
      <c r="O4743" t="str">
        <f>CompilDonnées[[#This Row],[FarmID]]&amp;CompilDonnées[[#This Row],[ModuleNumber]]</f>
        <v>413</v>
      </c>
      <c r="P4743" t="str">
        <f>CompilDonnées[[#This Row],[Ref_Module]]&amp;CompilDonnées[[#This Row],[HarvestingDate]]</f>
        <v>41345953</v>
      </c>
    </row>
    <row r="4744" spans="1:16">
      <c r="A4744" s="5">
        <v>45902</v>
      </c>
      <c r="B4744">
        <v>75</v>
      </c>
      <c r="C4744" t="s">
        <v>3</v>
      </c>
      <c r="D4744">
        <v>2</v>
      </c>
      <c r="E4744">
        <v>60</v>
      </c>
      <c r="F4744" t="s">
        <v>105</v>
      </c>
      <c r="G4744" s="6">
        <v>45939</v>
      </c>
      <c r="H4744">
        <v>37</v>
      </c>
      <c r="I4744">
        <f>ROUND(CompilDonnées[[#This Row],[CultureDuration_days]]/7,0)</f>
        <v>5</v>
      </c>
      <c r="J4744">
        <v>1160</v>
      </c>
      <c r="K4744" t="str">
        <f>_xlfn.CONCAT(WEEKNUM(CompilDonnées[[#This Row],[PlantationDate]]), " ", YEAR(CompilDonnées[[#This Row],[PlantationDate]]))</f>
        <v>36 2025</v>
      </c>
      <c r="L4744" t="str">
        <f>CONCATENATE(MONTH(CompilDonnées[[#This Row],[PlantationDate]])," ", YEAR(CompilDonnées[[#This Row],[PlantationDate]]))</f>
        <v>9 2025</v>
      </c>
      <c r="M4744" t="str">
        <f>CONCATENATE(MONTH(CompilDonnées[[#This Row],[HarvestingDate]])," ", YEAR(CompilDonnées[[#This Row],[HarvestingDate]]))</f>
        <v>10 2025</v>
      </c>
      <c r="N4744">
        <f>_xlfn.NUMBERVALUE(CompilDonnées[[#This Row],[FarmID]]&amp;CompilDonnées[[#This Row],[ModuleNumber]]&amp;CompilDonnées[[#This Row],[PlantationDate]])</f>
        <v>75245902</v>
      </c>
      <c r="O4744" t="str">
        <f>CompilDonnées[[#This Row],[FarmID]]&amp;CompilDonnées[[#This Row],[ModuleNumber]]</f>
        <v>752</v>
      </c>
      <c r="P4744" t="str">
        <f>CompilDonnées[[#This Row],[Ref_Module]]&amp;CompilDonnées[[#This Row],[HarvestingDate]]</f>
        <v>75245939</v>
      </c>
    </row>
    <row r="4745" spans="1:16">
      <c r="A4745" s="5">
        <v>45902</v>
      </c>
      <c r="B4745">
        <v>75</v>
      </c>
      <c r="C4745" t="s">
        <v>3</v>
      </c>
      <c r="D4745">
        <v>3</v>
      </c>
      <c r="E4745">
        <v>60</v>
      </c>
      <c r="F4745" t="s">
        <v>105</v>
      </c>
      <c r="G4745" s="6">
        <v>45944</v>
      </c>
      <c r="H4745">
        <v>42</v>
      </c>
      <c r="I4745">
        <f>ROUND(CompilDonnées[[#This Row],[CultureDuration_days]]/7,0)</f>
        <v>6</v>
      </c>
      <c r="J4745">
        <v>950</v>
      </c>
      <c r="K4745" t="str">
        <f>_xlfn.CONCAT(WEEKNUM(CompilDonnées[[#This Row],[PlantationDate]]), " ", YEAR(CompilDonnées[[#This Row],[PlantationDate]]))</f>
        <v>36 2025</v>
      </c>
      <c r="L4745" t="str">
        <f>CONCATENATE(MONTH(CompilDonnées[[#This Row],[PlantationDate]])," ", YEAR(CompilDonnées[[#This Row],[PlantationDate]]))</f>
        <v>9 2025</v>
      </c>
      <c r="M4745" t="str">
        <f>CONCATENATE(MONTH(CompilDonnées[[#This Row],[HarvestingDate]])," ", YEAR(CompilDonnées[[#This Row],[HarvestingDate]]))</f>
        <v>10 2025</v>
      </c>
      <c r="N4745">
        <f>_xlfn.NUMBERVALUE(CompilDonnées[[#This Row],[FarmID]]&amp;CompilDonnées[[#This Row],[ModuleNumber]]&amp;CompilDonnées[[#This Row],[PlantationDate]])</f>
        <v>75345902</v>
      </c>
      <c r="O4745" t="str">
        <f>CompilDonnées[[#This Row],[FarmID]]&amp;CompilDonnées[[#This Row],[ModuleNumber]]</f>
        <v>753</v>
      </c>
      <c r="P4745" t="str">
        <f>CompilDonnées[[#This Row],[Ref_Module]]&amp;CompilDonnées[[#This Row],[HarvestingDate]]</f>
        <v>75345944</v>
      </c>
    </row>
    <row r="4746" spans="1:16">
      <c r="A4746" s="5">
        <v>45902</v>
      </c>
      <c r="B4746">
        <v>141</v>
      </c>
      <c r="C4746" t="s">
        <v>3</v>
      </c>
      <c r="D4746">
        <v>2</v>
      </c>
      <c r="E4746">
        <v>61</v>
      </c>
      <c r="F4746" t="s">
        <v>105</v>
      </c>
      <c r="G4746" s="6">
        <v>45946</v>
      </c>
      <c r="H4746">
        <v>44</v>
      </c>
      <c r="I4746">
        <f>ROUND(CompilDonnées[[#This Row],[CultureDuration_days]]/7,0)</f>
        <v>6</v>
      </c>
      <c r="J4746">
        <v>1042</v>
      </c>
      <c r="K4746" t="str">
        <f>_xlfn.CONCAT(WEEKNUM(CompilDonnées[[#This Row],[PlantationDate]]), " ", YEAR(CompilDonnées[[#This Row],[PlantationDate]]))</f>
        <v>36 2025</v>
      </c>
      <c r="L4746" t="str">
        <f>CONCATENATE(MONTH(CompilDonnées[[#This Row],[PlantationDate]])," ", YEAR(CompilDonnées[[#This Row],[PlantationDate]]))</f>
        <v>9 2025</v>
      </c>
      <c r="M4746" t="str">
        <f>CONCATENATE(MONTH(CompilDonnées[[#This Row],[HarvestingDate]])," ", YEAR(CompilDonnées[[#This Row],[HarvestingDate]]))</f>
        <v>10 2025</v>
      </c>
      <c r="N4746">
        <f>_xlfn.NUMBERVALUE(CompilDonnées[[#This Row],[FarmID]]&amp;CompilDonnées[[#This Row],[ModuleNumber]]&amp;CompilDonnées[[#This Row],[PlantationDate]])</f>
        <v>141245902</v>
      </c>
      <c r="O4746" t="str">
        <f>CompilDonnées[[#This Row],[FarmID]]&amp;CompilDonnées[[#This Row],[ModuleNumber]]</f>
        <v>1412</v>
      </c>
      <c r="P4746" t="str">
        <f>CompilDonnées[[#This Row],[Ref_Module]]&amp;CompilDonnées[[#This Row],[HarvestingDate]]</f>
        <v>141245946</v>
      </c>
    </row>
    <row r="4747" spans="1:16">
      <c r="A4747" s="5">
        <v>45903</v>
      </c>
      <c r="B4747">
        <v>6</v>
      </c>
      <c r="C4747" t="s">
        <v>24</v>
      </c>
      <c r="D4747">
        <v>5</v>
      </c>
      <c r="E4747">
        <v>100</v>
      </c>
      <c r="F4747" t="s">
        <v>1</v>
      </c>
      <c r="G4747" s="6">
        <v>45954</v>
      </c>
      <c r="H4747">
        <v>51</v>
      </c>
      <c r="I4747">
        <f>ROUND(CompilDonnées[[#This Row],[CultureDuration_days]]/7,0)</f>
        <v>7</v>
      </c>
      <c r="J4747">
        <v>2510</v>
      </c>
      <c r="K4747" t="str">
        <f>_xlfn.CONCAT(WEEKNUM(CompilDonnées[[#This Row],[PlantationDate]]), " ", YEAR(CompilDonnées[[#This Row],[PlantationDate]]))</f>
        <v>36 2025</v>
      </c>
      <c r="L4747" t="str">
        <f>CONCATENATE(MONTH(CompilDonnées[[#This Row],[PlantationDate]])," ", YEAR(CompilDonnées[[#This Row],[PlantationDate]]))</f>
        <v>9 2025</v>
      </c>
      <c r="M4747" t="str">
        <f>CONCATENATE(MONTH(CompilDonnées[[#This Row],[HarvestingDate]])," ", YEAR(CompilDonnées[[#This Row],[HarvestingDate]]))</f>
        <v>10 2025</v>
      </c>
      <c r="N4747">
        <f>_xlfn.NUMBERVALUE(CompilDonnées[[#This Row],[FarmID]]&amp;CompilDonnées[[#This Row],[ModuleNumber]]&amp;CompilDonnées[[#This Row],[PlantationDate]])</f>
        <v>6545903</v>
      </c>
      <c r="O4747" t="str">
        <f>CompilDonnées[[#This Row],[FarmID]]&amp;CompilDonnées[[#This Row],[ModuleNumber]]</f>
        <v>65</v>
      </c>
      <c r="P4747" t="str">
        <f>CompilDonnées[[#This Row],[Ref_Module]]&amp;CompilDonnées[[#This Row],[HarvestingDate]]</f>
        <v>6545954</v>
      </c>
    </row>
    <row r="4748" spans="1:16">
      <c r="A4748" s="5">
        <v>45903</v>
      </c>
      <c r="B4748">
        <v>5</v>
      </c>
      <c r="C4748" t="s">
        <v>32</v>
      </c>
      <c r="D4748">
        <v>4</v>
      </c>
      <c r="E4748">
        <v>100</v>
      </c>
      <c r="F4748" t="s">
        <v>1</v>
      </c>
      <c r="G4748" s="6">
        <v>45954</v>
      </c>
      <c r="H4748">
        <v>51</v>
      </c>
      <c r="I4748">
        <f>ROUND(CompilDonnées[[#This Row],[CultureDuration_days]]/7,0)</f>
        <v>7</v>
      </c>
      <c r="J4748">
        <v>1977</v>
      </c>
      <c r="K4748" t="str">
        <f>_xlfn.CONCAT(WEEKNUM(CompilDonnées[[#This Row],[PlantationDate]]), " ", YEAR(CompilDonnées[[#This Row],[PlantationDate]]))</f>
        <v>36 2025</v>
      </c>
      <c r="L4748" t="str">
        <f>CONCATENATE(MONTH(CompilDonnées[[#This Row],[PlantationDate]])," ", YEAR(CompilDonnées[[#This Row],[PlantationDate]]))</f>
        <v>9 2025</v>
      </c>
      <c r="M4748" t="str">
        <f>CONCATENATE(MONTH(CompilDonnées[[#This Row],[HarvestingDate]])," ", YEAR(CompilDonnées[[#This Row],[HarvestingDate]]))</f>
        <v>10 2025</v>
      </c>
      <c r="N4748">
        <f>_xlfn.NUMBERVALUE(CompilDonnées[[#This Row],[FarmID]]&amp;CompilDonnées[[#This Row],[ModuleNumber]]&amp;CompilDonnées[[#This Row],[PlantationDate]])</f>
        <v>5445903</v>
      </c>
      <c r="O4748" t="str">
        <f>CompilDonnées[[#This Row],[FarmID]]&amp;CompilDonnées[[#This Row],[ModuleNumber]]</f>
        <v>54</v>
      </c>
      <c r="P4748" t="str">
        <f>CompilDonnées[[#This Row],[Ref_Module]]&amp;CompilDonnées[[#This Row],[HarvestingDate]]</f>
        <v>5445954</v>
      </c>
    </row>
    <row r="4749" spans="1:16">
      <c r="A4749" s="5">
        <v>45903</v>
      </c>
      <c r="B4749">
        <v>15</v>
      </c>
      <c r="C4749" t="s">
        <v>5</v>
      </c>
      <c r="D4749">
        <v>4</v>
      </c>
      <c r="E4749">
        <v>100</v>
      </c>
      <c r="F4749" t="s">
        <v>1</v>
      </c>
      <c r="G4749" s="6">
        <v>45954</v>
      </c>
      <c r="H4749">
        <v>51</v>
      </c>
      <c r="I4749">
        <f>ROUND(CompilDonnées[[#This Row],[CultureDuration_days]]/7,0)</f>
        <v>7</v>
      </c>
      <c r="J4749">
        <v>1033</v>
      </c>
      <c r="K4749" t="str">
        <f>_xlfn.CONCAT(WEEKNUM(CompilDonnées[[#This Row],[PlantationDate]]), " ", YEAR(CompilDonnées[[#This Row],[PlantationDate]]))</f>
        <v>36 2025</v>
      </c>
      <c r="L4749" t="str">
        <f>CONCATENATE(MONTH(CompilDonnées[[#This Row],[PlantationDate]])," ", YEAR(CompilDonnées[[#This Row],[PlantationDate]]))</f>
        <v>9 2025</v>
      </c>
      <c r="M4749" t="str">
        <f>CONCATENATE(MONTH(CompilDonnées[[#This Row],[HarvestingDate]])," ", YEAR(CompilDonnées[[#This Row],[HarvestingDate]]))</f>
        <v>10 2025</v>
      </c>
      <c r="N4749">
        <f>_xlfn.NUMBERVALUE(CompilDonnées[[#This Row],[FarmID]]&amp;CompilDonnées[[#This Row],[ModuleNumber]]&amp;CompilDonnées[[#This Row],[PlantationDate]])</f>
        <v>15445903</v>
      </c>
      <c r="O4749" t="str">
        <f>CompilDonnées[[#This Row],[FarmID]]&amp;CompilDonnées[[#This Row],[ModuleNumber]]</f>
        <v>154</v>
      </c>
      <c r="P4749" t="str">
        <f>CompilDonnées[[#This Row],[Ref_Module]]&amp;CompilDonnées[[#This Row],[HarvestingDate]]</f>
        <v>15445954</v>
      </c>
    </row>
    <row r="4750" spans="1:16">
      <c r="A4750" s="5">
        <v>45903</v>
      </c>
      <c r="B4750">
        <v>38</v>
      </c>
      <c r="C4750" t="s">
        <v>34</v>
      </c>
      <c r="D4750">
        <v>4</v>
      </c>
      <c r="E4750">
        <v>100</v>
      </c>
      <c r="F4750" t="s">
        <v>1</v>
      </c>
      <c r="G4750" s="6">
        <v>45943</v>
      </c>
      <c r="H4750">
        <v>40</v>
      </c>
      <c r="I4750">
        <f>ROUND(CompilDonnées[[#This Row],[CultureDuration_days]]/7,0)</f>
        <v>6</v>
      </c>
      <c r="J4750">
        <v>3000</v>
      </c>
      <c r="K4750" t="str">
        <f>_xlfn.CONCAT(WEEKNUM(CompilDonnées[[#This Row],[PlantationDate]]), " ", YEAR(CompilDonnées[[#This Row],[PlantationDate]]))</f>
        <v>36 2025</v>
      </c>
      <c r="L4750" t="str">
        <f>CONCATENATE(MONTH(CompilDonnées[[#This Row],[PlantationDate]])," ", YEAR(CompilDonnées[[#This Row],[PlantationDate]]))</f>
        <v>9 2025</v>
      </c>
      <c r="M4750" t="str">
        <f>CONCATENATE(MONTH(CompilDonnées[[#This Row],[HarvestingDate]])," ", YEAR(CompilDonnées[[#This Row],[HarvestingDate]]))</f>
        <v>10 2025</v>
      </c>
      <c r="N4750">
        <f>_xlfn.NUMBERVALUE(CompilDonnées[[#This Row],[FarmID]]&amp;CompilDonnées[[#This Row],[ModuleNumber]]&amp;CompilDonnées[[#This Row],[PlantationDate]])</f>
        <v>38445903</v>
      </c>
      <c r="O4750" t="str">
        <f>CompilDonnées[[#This Row],[FarmID]]&amp;CompilDonnées[[#This Row],[ModuleNumber]]</f>
        <v>384</v>
      </c>
      <c r="P4750" t="str">
        <f>CompilDonnées[[#This Row],[Ref_Module]]&amp;CompilDonnées[[#This Row],[HarvestingDate]]</f>
        <v>38445943</v>
      </c>
    </row>
    <row r="4751" spans="1:16">
      <c r="A4751" s="5">
        <v>45903</v>
      </c>
      <c r="B4751">
        <v>37</v>
      </c>
      <c r="C4751" t="s">
        <v>26</v>
      </c>
      <c r="D4751">
        <v>2</v>
      </c>
      <c r="E4751">
        <v>100</v>
      </c>
      <c r="F4751" t="s">
        <v>1</v>
      </c>
      <c r="G4751" s="6">
        <v>45953</v>
      </c>
      <c r="H4751">
        <v>50</v>
      </c>
      <c r="I4751">
        <f>ROUND(CompilDonnées[[#This Row],[CultureDuration_days]]/7,0)</f>
        <v>7</v>
      </c>
      <c r="J4751">
        <v>2222</v>
      </c>
      <c r="K4751" t="str">
        <f>_xlfn.CONCAT(WEEKNUM(CompilDonnées[[#This Row],[PlantationDate]]), " ", YEAR(CompilDonnées[[#This Row],[PlantationDate]]))</f>
        <v>36 2025</v>
      </c>
      <c r="L4751" t="str">
        <f>CONCATENATE(MONTH(CompilDonnées[[#This Row],[PlantationDate]])," ", YEAR(CompilDonnées[[#This Row],[PlantationDate]]))</f>
        <v>9 2025</v>
      </c>
      <c r="M4751" t="str">
        <f>CONCATENATE(MONTH(CompilDonnées[[#This Row],[HarvestingDate]])," ", YEAR(CompilDonnées[[#This Row],[HarvestingDate]]))</f>
        <v>10 2025</v>
      </c>
      <c r="N4751">
        <f>_xlfn.NUMBERVALUE(CompilDonnées[[#This Row],[FarmID]]&amp;CompilDonnées[[#This Row],[ModuleNumber]]&amp;CompilDonnées[[#This Row],[PlantationDate]])</f>
        <v>37245903</v>
      </c>
      <c r="O4751" t="str">
        <f>CompilDonnées[[#This Row],[FarmID]]&amp;CompilDonnées[[#This Row],[ModuleNumber]]</f>
        <v>372</v>
      </c>
      <c r="P4751" t="str">
        <f>CompilDonnées[[#This Row],[Ref_Module]]&amp;CompilDonnées[[#This Row],[HarvestingDate]]</f>
        <v>37245953</v>
      </c>
    </row>
    <row r="4752" spans="1:16">
      <c r="A4752" s="5">
        <v>45903</v>
      </c>
      <c r="B4752">
        <v>69</v>
      </c>
      <c r="C4752" t="s">
        <v>102</v>
      </c>
      <c r="D4752">
        <v>2</v>
      </c>
      <c r="E4752">
        <v>100</v>
      </c>
      <c r="F4752" t="s">
        <v>1</v>
      </c>
      <c r="G4752" s="6">
        <v>45952</v>
      </c>
      <c r="H4752">
        <v>49</v>
      </c>
      <c r="I4752">
        <f>ROUND(CompilDonnées[[#This Row],[CultureDuration_days]]/7,0)</f>
        <v>7</v>
      </c>
      <c r="J4752">
        <v>1820</v>
      </c>
      <c r="K4752" t="str">
        <f>_xlfn.CONCAT(WEEKNUM(CompilDonnées[[#This Row],[PlantationDate]]), " ", YEAR(CompilDonnées[[#This Row],[PlantationDate]]))</f>
        <v>36 2025</v>
      </c>
      <c r="L4752" t="str">
        <f>CONCATENATE(MONTH(CompilDonnées[[#This Row],[PlantationDate]])," ", YEAR(CompilDonnées[[#This Row],[PlantationDate]]))</f>
        <v>9 2025</v>
      </c>
      <c r="M4752" t="str">
        <f>CONCATENATE(MONTH(CompilDonnées[[#This Row],[HarvestingDate]])," ", YEAR(CompilDonnées[[#This Row],[HarvestingDate]]))</f>
        <v>10 2025</v>
      </c>
      <c r="N4752">
        <f>_xlfn.NUMBERVALUE(CompilDonnées[[#This Row],[FarmID]]&amp;CompilDonnées[[#This Row],[ModuleNumber]]&amp;CompilDonnées[[#This Row],[PlantationDate]])</f>
        <v>69245903</v>
      </c>
      <c r="O4752" t="str">
        <f>CompilDonnées[[#This Row],[FarmID]]&amp;CompilDonnées[[#This Row],[ModuleNumber]]</f>
        <v>692</v>
      </c>
      <c r="P4752" t="str">
        <f>CompilDonnées[[#This Row],[Ref_Module]]&amp;CompilDonnées[[#This Row],[HarvestingDate]]</f>
        <v>69245952</v>
      </c>
    </row>
    <row r="4753" spans="1:16">
      <c r="A4753" s="5">
        <v>45903</v>
      </c>
      <c r="B4753">
        <v>53</v>
      </c>
      <c r="C4753" t="s">
        <v>83</v>
      </c>
      <c r="D4753">
        <v>3</v>
      </c>
      <c r="E4753">
        <v>100</v>
      </c>
      <c r="F4753" t="s">
        <v>1</v>
      </c>
      <c r="G4753" s="6">
        <v>45953</v>
      </c>
      <c r="H4753">
        <v>50</v>
      </c>
      <c r="I4753">
        <f>ROUND(CompilDonnées[[#This Row],[CultureDuration_days]]/7,0)</f>
        <v>7</v>
      </c>
      <c r="J4753">
        <v>2201</v>
      </c>
      <c r="K4753" t="str">
        <f>_xlfn.CONCAT(WEEKNUM(CompilDonnées[[#This Row],[PlantationDate]]), " ", YEAR(CompilDonnées[[#This Row],[PlantationDate]]))</f>
        <v>36 2025</v>
      </c>
      <c r="L4753" t="str">
        <f>CONCATENATE(MONTH(CompilDonnées[[#This Row],[PlantationDate]])," ", YEAR(CompilDonnées[[#This Row],[PlantationDate]]))</f>
        <v>9 2025</v>
      </c>
      <c r="M4753" t="str">
        <f>CONCATENATE(MONTH(CompilDonnées[[#This Row],[HarvestingDate]])," ", YEAR(CompilDonnées[[#This Row],[HarvestingDate]]))</f>
        <v>10 2025</v>
      </c>
      <c r="N4753">
        <f>_xlfn.NUMBERVALUE(CompilDonnées[[#This Row],[FarmID]]&amp;CompilDonnées[[#This Row],[ModuleNumber]]&amp;CompilDonnées[[#This Row],[PlantationDate]])</f>
        <v>53345903</v>
      </c>
      <c r="O4753" t="str">
        <f>CompilDonnées[[#This Row],[FarmID]]&amp;CompilDonnées[[#This Row],[ModuleNumber]]</f>
        <v>533</v>
      </c>
      <c r="P4753" t="str">
        <f>CompilDonnées[[#This Row],[Ref_Module]]&amp;CompilDonnées[[#This Row],[HarvestingDate]]</f>
        <v>53345953</v>
      </c>
    </row>
    <row r="4754" spans="1:16">
      <c r="A4754" s="5">
        <v>45903</v>
      </c>
      <c r="B4754">
        <v>60</v>
      </c>
      <c r="C4754" t="s">
        <v>113</v>
      </c>
      <c r="D4754">
        <v>4</v>
      </c>
      <c r="E4754">
        <v>100</v>
      </c>
      <c r="F4754" t="s">
        <v>1</v>
      </c>
      <c r="G4754" s="6">
        <v>45944</v>
      </c>
      <c r="H4754">
        <v>41</v>
      </c>
      <c r="I4754">
        <f>ROUND(CompilDonnées[[#This Row],[CultureDuration_days]]/7,0)</f>
        <v>6</v>
      </c>
      <c r="J4754">
        <v>2527</v>
      </c>
      <c r="K4754" t="str">
        <f>_xlfn.CONCAT(WEEKNUM(CompilDonnées[[#This Row],[PlantationDate]]), " ", YEAR(CompilDonnées[[#This Row],[PlantationDate]]))</f>
        <v>36 2025</v>
      </c>
      <c r="L4754" t="str">
        <f>CONCATENATE(MONTH(CompilDonnées[[#This Row],[PlantationDate]])," ", YEAR(CompilDonnées[[#This Row],[PlantationDate]]))</f>
        <v>9 2025</v>
      </c>
      <c r="M4754" t="str">
        <f>CONCATENATE(MONTH(CompilDonnées[[#This Row],[HarvestingDate]])," ", YEAR(CompilDonnées[[#This Row],[HarvestingDate]]))</f>
        <v>10 2025</v>
      </c>
      <c r="N4754">
        <f>_xlfn.NUMBERVALUE(CompilDonnées[[#This Row],[FarmID]]&amp;CompilDonnées[[#This Row],[ModuleNumber]]&amp;CompilDonnées[[#This Row],[PlantationDate]])</f>
        <v>60445903</v>
      </c>
      <c r="O4754" t="str">
        <f>CompilDonnées[[#This Row],[FarmID]]&amp;CompilDonnées[[#This Row],[ModuleNumber]]</f>
        <v>604</v>
      </c>
      <c r="P4754" t="str">
        <f>CompilDonnées[[#This Row],[Ref_Module]]&amp;CompilDonnées[[#This Row],[HarvestingDate]]</f>
        <v>60445944</v>
      </c>
    </row>
    <row r="4755" spans="1:16">
      <c r="A4755" s="5">
        <v>45903</v>
      </c>
      <c r="B4755">
        <v>124</v>
      </c>
      <c r="C4755" t="s">
        <v>115</v>
      </c>
      <c r="D4755">
        <v>4</v>
      </c>
      <c r="E4755">
        <v>100</v>
      </c>
      <c r="F4755" t="s">
        <v>1</v>
      </c>
      <c r="G4755" s="6">
        <v>45951</v>
      </c>
      <c r="H4755">
        <v>48</v>
      </c>
      <c r="I4755">
        <f>ROUND(CompilDonnées[[#This Row],[CultureDuration_days]]/7,0)</f>
        <v>7</v>
      </c>
      <c r="J4755">
        <v>4386</v>
      </c>
      <c r="K4755" t="str">
        <f>_xlfn.CONCAT(WEEKNUM(CompilDonnées[[#This Row],[PlantationDate]]), " ", YEAR(CompilDonnées[[#This Row],[PlantationDate]]))</f>
        <v>36 2025</v>
      </c>
      <c r="L4755" t="str">
        <f>CONCATENATE(MONTH(CompilDonnées[[#This Row],[PlantationDate]])," ", YEAR(CompilDonnées[[#This Row],[PlantationDate]]))</f>
        <v>9 2025</v>
      </c>
      <c r="M4755" t="str">
        <f>CONCATENATE(MONTH(CompilDonnées[[#This Row],[HarvestingDate]])," ", YEAR(CompilDonnées[[#This Row],[HarvestingDate]]))</f>
        <v>10 2025</v>
      </c>
      <c r="N4755">
        <f>_xlfn.NUMBERVALUE(CompilDonnées[[#This Row],[FarmID]]&amp;CompilDonnées[[#This Row],[ModuleNumber]]&amp;CompilDonnées[[#This Row],[PlantationDate]])</f>
        <v>124445903</v>
      </c>
      <c r="O4755" t="str">
        <f>CompilDonnées[[#This Row],[FarmID]]&amp;CompilDonnées[[#This Row],[ModuleNumber]]</f>
        <v>1244</v>
      </c>
      <c r="P4755" t="str">
        <f>CompilDonnées[[#This Row],[Ref_Module]]&amp;CompilDonnées[[#This Row],[HarvestingDate]]</f>
        <v>124445951</v>
      </c>
    </row>
    <row r="4756" spans="1:16">
      <c r="A4756" s="5">
        <v>45903</v>
      </c>
      <c r="B4756">
        <v>94</v>
      </c>
      <c r="C4756" t="s">
        <v>40</v>
      </c>
      <c r="D4756">
        <v>2</v>
      </c>
      <c r="E4756">
        <v>100</v>
      </c>
      <c r="F4756" t="s">
        <v>1</v>
      </c>
      <c r="G4756" s="6">
        <v>45950</v>
      </c>
      <c r="H4756">
        <v>47</v>
      </c>
      <c r="I4756">
        <f>ROUND(CompilDonnées[[#This Row],[CultureDuration_days]]/7,0)</f>
        <v>7</v>
      </c>
      <c r="J4756">
        <v>3749</v>
      </c>
      <c r="K4756" t="str">
        <f>_xlfn.CONCAT(WEEKNUM(CompilDonnées[[#This Row],[PlantationDate]]), " ", YEAR(CompilDonnées[[#This Row],[PlantationDate]]))</f>
        <v>36 2025</v>
      </c>
      <c r="L4756" t="str">
        <f>CONCATENATE(MONTH(CompilDonnées[[#This Row],[PlantationDate]])," ", YEAR(CompilDonnées[[#This Row],[PlantationDate]]))</f>
        <v>9 2025</v>
      </c>
      <c r="M4756" t="str">
        <f>CONCATENATE(MONTH(CompilDonnées[[#This Row],[HarvestingDate]])," ", YEAR(CompilDonnées[[#This Row],[HarvestingDate]]))</f>
        <v>10 2025</v>
      </c>
      <c r="N4756">
        <f>_xlfn.NUMBERVALUE(CompilDonnées[[#This Row],[FarmID]]&amp;CompilDonnées[[#This Row],[ModuleNumber]]&amp;CompilDonnées[[#This Row],[PlantationDate]])</f>
        <v>94245903</v>
      </c>
      <c r="O4756" t="str">
        <f>CompilDonnées[[#This Row],[FarmID]]&amp;CompilDonnées[[#This Row],[ModuleNumber]]</f>
        <v>942</v>
      </c>
      <c r="P4756" t="str">
        <f>CompilDonnées[[#This Row],[Ref_Module]]&amp;CompilDonnées[[#This Row],[HarvestingDate]]</f>
        <v>94245950</v>
      </c>
    </row>
    <row r="4757" spans="1:16">
      <c r="A4757" s="5">
        <v>45903</v>
      </c>
      <c r="B4757">
        <v>79</v>
      </c>
      <c r="C4757" t="s">
        <v>61</v>
      </c>
      <c r="D4757">
        <v>1</v>
      </c>
      <c r="E4757">
        <v>100</v>
      </c>
      <c r="F4757" t="s">
        <v>1</v>
      </c>
      <c r="G4757" s="6">
        <v>45952</v>
      </c>
      <c r="H4757">
        <v>49</v>
      </c>
      <c r="I4757">
        <f>ROUND(CompilDonnées[[#This Row],[CultureDuration_days]]/7,0)</f>
        <v>7</v>
      </c>
      <c r="J4757">
        <v>2345</v>
      </c>
      <c r="K4757" t="str">
        <f>_xlfn.CONCAT(WEEKNUM(CompilDonnées[[#This Row],[PlantationDate]]), " ", YEAR(CompilDonnées[[#This Row],[PlantationDate]]))</f>
        <v>36 2025</v>
      </c>
      <c r="L4757" t="str">
        <f>CONCATENATE(MONTH(CompilDonnées[[#This Row],[PlantationDate]])," ", YEAR(CompilDonnées[[#This Row],[PlantationDate]]))</f>
        <v>9 2025</v>
      </c>
      <c r="M4757" t="str">
        <f>CONCATENATE(MONTH(CompilDonnées[[#This Row],[HarvestingDate]])," ", YEAR(CompilDonnées[[#This Row],[HarvestingDate]]))</f>
        <v>10 2025</v>
      </c>
      <c r="N4757">
        <f>_xlfn.NUMBERVALUE(CompilDonnées[[#This Row],[FarmID]]&amp;CompilDonnées[[#This Row],[ModuleNumber]]&amp;CompilDonnées[[#This Row],[PlantationDate]])</f>
        <v>79145903</v>
      </c>
      <c r="O4757" t="str">
        <f>CompilDonnées[[#This Row],[FarmID]]&amp;CompilDonnées[[#This Row],[ModuleNumber]]</f>
        <v>791</v>
      </c>
      <c r="P4757" t="str">
        <f>CompilDonnées[[#This Row],[Ref_Module]]&amp;CompilDonnées[[#This Row],[HarvestingDate]]</f>
        <v>79145952</v>
      </c>
    </row>
    <row r="4758" spans="1:16">
      <c r="A4758" s="5">
        <v>45903</v>
      </c>
      <c r="B4758">
        <v>73</v>
      </c>
      <c r="C4758" t="s">
        <v>20</v>
      </c>
      <c r="D4758">
        <v>4</v>
      </c>
      <c r="E4758">
        <v>100</v>
      </c>
      <c r="F4758" t="s">
        <v>1</v>
      </c>
      <c r="G4758" s="6">
        <v>45952</v>
      </c>
      <c r="H4758">
        <v>49</v>
      </c>
      <c r="I4758">
        <f>ROUND(CompilDonnées[[#This Row],[CultureDuration_days]]/7,0)</f>
        <v>7</v>
      </c>
      <c r="J4758">
        <v>2768</v>
      </c>
      <c r="K4758" t="str">
        <f>_xlfn.CONCAT(WEEKNUM(CompilDonnées[[#This Row],[PlantationDate]]), " ", YEAR(CompilDonnées[[#This Row],[PlantationDate]]))</f>
        <v>36 2025</v>
      </c>
      <c r="L4758" t="str">
        <f>CONCATENATE(MONTH(CompilDonnées[[#This Row],[PlantationDate]])," ", YEAR(CompilDonnées[[#This Row],[PlantationDate]]))</f>
        <v>9 2025</v>
      </c>
      <c r="M4758" t="str">
        <f>CONCATENATE(MONTH(CompilDonnées[[#This Row],[HarvestingDate]])," ", YEAR(CompilDonnées[[#This Row],[HarvestingDate]]))</f>
        <v>10 2025</v>
      </c>
      <c r="N4758">
        <f>_xlfn.NUMBERVALUE(CompilDonnées[[#This Row],[FarmID]]&amp;CompilDonnées[[#This Row],[ModuleNumber]]&amp;CompilDonnées[[#This Row],[PlantationDate]])</f>
        <v>73445903</v>
      </c>
      <c r="O4758" t="str">
        <f>CompilDonnées[[#This Row],[FarmID]]&amp;CompilDonnées[[#This Row],[ModuleNumber]]</f>
        <v>734</v>
      </c>
      <c r="P4758" t="str">
        <f>CompilDonnées[[#This Row],[Ref_Module]]&amp;CompilDonnées[[#This Row],[HarvestingDate]]</f>
        <v>73445952</v>
      </c>
    </row>
    <row r="4759" spans="1:16">
      <c r="A4759" s="5">
        <v>45903</v>
      </c>
      <c r="B4759">
        <v>74</v>
      </c>
      <c r="C4759" t="s">
        <v>21</v>
      </c>
      <c r="D4759">
        <v>6</v>
      </c>
      <c r="E4759">
        <v>96</v>
      </c>
      <c r="F4759" t="s">
        <v>1</v>
      </c>
      <c r="G4759" s="6">
        <v>45945</v>
      </c>
      <c r="H4759">
        <v>42</v>
      </c>
      <c r="I4759">
        <f>ROUND(CompilDonnées[[#This Row],[CultureDuration_days]]/7,0)</f>
        <v>6</v>
      </c>
      <c r="J4759">
        <v>1955</v>
      </c>
      <c r="K4759" t="str">
        <f>_xlfn.CONCAT(WEEKNUM(CompilDonnées[[#This Row],[PlantationDate]]), " ", YEAR(CompilDonnées[[#This Row],[PlantationDate]]))</f>
        <v>36 2025</v>
      </c>
      <c r="L4759" t="str">
        <f>CONCATENATE(MONTH(CompilDonnées[[#This Row],[PlantationDate]])," ", YEAR(CompilDonnées[[#This Row],[PlantationDate]]))</f>
        <v>9 2025</v>
      </c>
      <c r="M4759" t="str">
        <f>CONCATENATE(MONTH(CompilDonnées[[#This Row],[HarvestingDate]])," ", YEAR(CompilDonnées[[#This Row],[HarvestingDate]]))</f>
        <v>10 2025</v>
      </c>
      <c r="N4759">
        <f>_xlfn.NUMBERVALUE(CompilDonnées[[#This Row],[FarmID]]&amp;CompilDonnées[[#This Row],[ModuleNumber]]&amp;CompilDonnées[[#This Row],[PlantationDate]])</f>
        <v>74645903</v>
      </c>
      <c r="O4759" t="str">
        <f>CompilDonnées[[#This Row],[FarmID]]&amp;CompilDonnées[[#This Row],[ModuleNumber]]</f>
        <v>746</v>
      </c>
      <c r="P4759" t="str">
        <f>CompilDonnées[[#This Row],[Ref_Module]]&amp;CompilDonnées[[#This Row],[HarvestingDate]]</f>
        <v>74645945</v>
      </c>
    </row>
    <row r="4760" spans="1:16">
      <c r="A4760" s="5">
        <v>45903</v>
      </c>
      <c r="B4760">
        <v>65</v>
      </c>
      <c r="C4760" t="s">
        <v>36</v>
      </c>
      <c r="D4760">
        <v>1</v>
      </c>
      <c r="E4760">
        <v>100</v>
      </c>
      <c r="F4760" t="s">
        <v>1</v>
      </c>
      <c r="G4760" s="6">
        <v>45958</v>
      </c>
      <c r="H4760">
        <v>55</v>
      </c>
      <c r="I4760">
        <f>ROUND(CompilDonnées[[#This Row],[CultureDuration_days]]/7,0)</f>
        <v>8</v>
      </c>
      <c r="J4760">
        <v>1963</v>
      </c>
      <c r="K4760" t="str">
        <f>_xlfn.CONCAT(WEEKNUM(CompilDonnées[[#This Row],[PlantationDate]]), " ", YEAR(CompilDonnées[[#This Row],[PlantationDate]]))</f>
        <v>36 2025</v>
      </c>
      <c r="L4760" t="str">
        <f>CONCATENATE(MONTH(CompilDonnées[[#This Row],[PlantationDate]])," ", YEAR(CompilDonnées[[#This Row],[PlantationDate]]))</f>
        <v>9 2025</v>
      </c>
      <c r="M4760" t="str">
        <f>CONCATENATE(MONTH(CompilDonnées[[#This Row],[HarvestingDate]])," ", YEAR(CompilDonnées[[#This Row],[HarvestingDate]]))</f>
        <v>10 2025</v>
      </c>
      <c r="N4760">
        <f>_xlfn.NUMBERVALUE(CompilDonnées[[#This Row],[FarmID]]&amp;CompilDonnées[[#This Row],[ModuleNumber]]&amp;CompilDonnées[[#This Row],[PlantationDate]])</f>
        <v>65145903</v>
      </c>
      <c r="O4760" t="str">
        <f>CompilDonnées[[#This Row],[FarmID]]&amp;CompilDonnées[[#This Row],[ModuleNumber]]</f>
        <v>651</v>
      </c>
      <c r="P4760" t="str">
        <f>CompilDonnées[[#This Row],[Ref_Module]]&amp;CompilDonnées[[#This Row],[HarvestingDate]]</f>
        <v>65145958</v>
      </c>
    </row>
    <row r="4761" spans="1:16">
      <c r="A4761" s="5">
        <v>45903</v>
      </c>
      <c r="B4761">
        <v>64</v>
      </c>
      <c r="C4761" t="s">
        <v>47</v>
      </c>
      <c r="D4761">
        <v>5</v>
      </c>
      <c r="E4761">
        <v>100</v>
      </c>
      <c r="F4761" t="s">
        <v>1</v>
      </c>
      <c r="G4761" s="6">
        <v>45958</v>
      </c>
      <c r="H4761">
        <v>55</v>
      </c>
      <c r="I4761">
        <f>ROUND(CompilDonnées[[#This Row],[CultureDuration_days]]/7,0)</f>
        <v>8</v>
      </c>
      <c r="J4761">
        <v>2116</v>
      </c>
      <c r="K4761" t="str">
        <f>_xlfn.CONCAT(WEEKNUM(CompilDonnées[[#This Row],[PlantationDate]]), " ", YEAR(CompilDonnées[[#This Row],[PlantationDate]]))</f>
        <v>36 2025</v>
      </c>
      <c r="L4761" t="str">
        <f>CONCATENATE(MONTH(CompilDonnées[[#This Row],[PlantationDate]])," ", YEAR(CompilDonnées[[#This Row],[PlantationDate]]))</f>
        <v>9 2025</v>
      </c>
      <c r="M4761" t="str">
        <f>CONCATENATE(MONTH(CompilDonnées[[#This Row],[HarvestingDate]])," ", YEAR(CompilDonnées[[#This Row],[HarvestingDate]]))</f>
        <v>10 2025</v>
      </c>
      <c r="N4761">
        <f>_xlfn.NUMBERVALUE(CompilDonnées[[#This Row],[FarmID]]&amp;CompilDonnées[[#This Row],[ModuleNumber]]&amp;CompilDonnées[[#This Row],[PlantationDate]])</f>
        <v>64545903</v>
      </c>
      <c r="O4761" t="str">
        <f>CompilDonnées[[#This Row],[FarmID]]&amp;CompilDonnées[[#This Row],[ModuleNumber]]</f>
        <v>645</v>
      </c>
      <c r="P4761" t="str">
        <f>CompilDonnées[[#This Row],[Ref_Module]]&amp;CompilDonnées[[#This Row],[HarvestingDate]]</f>
        <v>64545958</v>
      </c>
    </row>
    <row r="4762" spans="1:16">
      <c r="A4762" s="5">
        <v>45903</v>
      </c>
      <c r="B4762">
        <v>66</v>
      </c>
      <c r="C4762" t="s">
        <v>48</v>
      </c>
      <c r="D4762">
        <v>6</v>
      </c>
      <c r="E4762">
        <v>100</v>
      </c>
      <c r="F4762" t="s">
        <v>1</v>
      </c>
      <c r="G4762" s="6">
        <v>45952</v>
      </c>
      <c r="H4762">
        <v>49</v>
      </c>
      <c r="I4762">
        <f>ROUND(CompilDonnées[[#This Row],[CultureDuration_days]]/7,0)</f>
        <v>7</v>
      </c>
      <c r="J4762">
        <v>2765</v>
      </c>
      <c r="K4762" t="str">
        <f>_xlfn.CONCAT(WEEKNUM(CompilDonnées[[#This Row],[PlantationDate]]), " ", YEAR(CompilDonnées[[#This Row],[PlantationDate]]))</f>
        <v>36 2025</v>
      </c>
      <c r="L4762" t="str">
        <f>CONCATENATE(MONTH(CompilDonnées[[#This Row],[PlantationDate]])," ", YEAR(CompilDonnées[[#This Row],[PlantationDate]]))</f>
        <v>9 2025</v>
      </c>
      <c r="M4762" t="str">
        <f>CONCATENATE(MONTH(CompilDonnées[[#This Row],[HarvestingDate]])," ", YEAR(CompilDonnées[[#This Row],[HarvestingDate]]))</f>
        <v>10 2025</v>
      </c>
      <c r="N4762">
        <f>_xlfn.NUMBERVALUE(CompilDonnées[[#This Row],[FarmID]]&amp;CompilDonnées[[#This Row],[ModuleNumber]]&amp;CompilDonnées[[#This Row],[PlantationDate]])</f>
        <v>66645903</v>
      </c>
      <c r="O4762" t="str">
        <f>CompilDonnées[[#This Row],[FarmID]]&amp;CompilDonnées[[#This Row],[ModuleNumber]]</f>
        <v>666</v>
      </c>
      <c r="P4762" t="str">
        <f>CompilDonnées[[#This Row],[Ref_Module]]&amp;CompilDonnées[[#This Row],[HarvestingDate]]</f>
        <v>66645952</v>
      </c>
    </row>
    <row r="4763" spans="1:16">
      <c r="A4763" s="5">
        <v>45903</v>
      </c>
      <c r="B4763">
        <v>67</v>
      </c>
      <c r="C4763" t="s">
        <v>28</v>
      </c>
      <c r="D4763">
        <v>5</v>
      </c>
      <c r="E4763">
        <v>100</v>
      </c>
      <c r="F4763" t="s">
        <v>1</v>
      </c>
      <c r="G4763" s="6">
        <v>45952</v>
      </c>
      <c r="H4763">
        <v>49</v>
      </c>
      <c r="I4763">
        <f>ROUND(CompilDonnées[[#This Row],[CultureDuration_days]]/7,0)</f>
        <v>7</v>
      </c>
      <c r="J4763">
        <v>3914</v>
      </c>
      <c r="K4763" t="str">
        <f>_xlfn.CONCAT(WEEKNUM(CompilDonnées[[#This Row],[PlantationDate]]), " ", YEAR(CompilDonnées[[#This Row],[PlantationDate]]))</f>
        <v>36 2025</v>
      </c>
      <c r="L4763" t="str">
        <f>CONCATENATE(MONTH(CompilDonnées[[#This Row],[PlantationDate]])," ", YEAR(CompilDonnées[[#This Row],[PlantationDate]]))</f>
        <v>9 2025</v>
      </c>
      <c r="M4763" t="str">
        <f>CONCATENATE(MONTH(CompilDonnées[[#This Row],[HarvestingDate]])," ", YEAR(CompilDonnées[[#This Row],[HarvestingDate]]))</f>
        <v>10 2025</v>
      </c>
      <c r="N4763">
        <f>_xlfn.NUMBERVALUE(CompilDonnées[[#This Row],[FarmID]]&amp;CompilDonnées[[#This Row],[ModuleNumber]]&amp;CompilDonnées[[#This Row],[PlantationDate]])</f>
        <v>67545903</v>
      </c>
      <c r="O4763" t="str">
        <f>CompilDonnées[[#This Row],[FarmID]]&amp;CompilDonnées[[#This Row],[ModuleNumber]]</f>
        <v>675</v>
      </c>
      <c r="P4763" t="str">
        <f>CompilDonnées[[#This Row],[Ref_Module]]&amp;CompilDonnées[[#This Row],[HarvestingDate]]</f>
        <v>67545952</v>
      </c>
    </row>
    <row r="4764" spans="1:16">
      <c r="A4764" s="5">
        <v>45903</v>
      </c>
      <c r="B4764">
        <v>68</v>
      </c>
      <c r="C4764" t="s">
        <v>89</v>
      </c>
      <c r="D4764">
        <v>6</v>
      </c>
      <c r="E4764">
        <v>100</v>
      </c>
      <c r="F4764" t="s">
        <v>1</v>
      </c>
      <c r="G4764" s="6">
        <v>45952</v>
      </c>
      <c r="H4764">
        <v>49</v>
      </c>
      <c r="I4764">
        <f>ROUND(CompilDonnées[[#This Row],[CultureDuration_days]]/7,0)</f>
        <v>7</v>
      </c>
      <c r="J4764">
        <v>4530</v>
      </c>
      <c r="K4764" t="str">
        <f>_xlfn.CONCAT(WEEKNUM(CompilDonnées[[#This Row],[PlantationDate]]), " ", YEAR(CompilDonnées[[#This Row],[PlantationDate]]))</f>
        <v>36 2025</v>
      </c>
      <c r="L4764" t="str">
        <f>CONCATENATE(MONTH(CompilDonnées[[#This Row],[PlantationDate]])," ", YEAR(CompilDonnées[[#This Row],[PlantationDate]]))</f>
        <v>9 2025</v>
      </c>
      <c r="M4764" t="str">
        <f>CONCATENATE(MONTH(CompilDonnées[[#This Row],[HarvestingDate]])," ", YEAR(CompilDonnées[[#This Row],[HarvestingDate]]))</f>
        <v>10 2025</v>
      </c>
      <c r="N4764">
        <f>_xlfn.NUMBERVALUE(CompilDonnées[[#This Row],[FarmID]]&amp;CompilDonnées[[#This Row],[ModuleNumber]]&amp;CompilDonnées[[#This Row],[PlantationDate]])</f>
        <v>68645903</v>
      </c>
      <c r="O4764" t="str">
        <f>CompilDonnées[[#This Row],[FarmID]]&amp;CompilDonnées[[#This Row],[ModuleNumber]]</f>
        <v>686</v>
      </c>
      <c r="P4764" t="str">
        <f>CompilDonnées[[#This Row],[Ref_Module]]&amp;CompilDonnées[[#This Row],[HarvestingDate]]</f>
        <v>68645952</v>
      </c>
    </row>
    <row r="4765" spans="1:16">
      <c r="A4765" s="5">
        <v>45903</v>
      </c>
      <c r="B4765">
        <v>59</v>
      </c>
      <c r="C4765" t="s">
        <v>64</v>
      </c>
      <c r="D4765">
        <v>5</v>
      </c>
      <c r="E4765">
        <v>100</v>
      </c>
      <c r="F4765" t="s">
        <v>1</v>
      </c>
      <c r="G4765" s="6">
        <v>45952</v>
      </c>
      <c r="H4765">
        <v>49</v>
      </c>
      <c r="I4765">
        <f>ROUND(CompilDonnées[[#This Row],[CultureDuration_days]]/7,0)</f>
        <v>7</v>
      </c>
      <c r="J4765">
        <v>3329</v>
      </c>
      <c r="K4765" t="str">
        <f>_xlfn.CONCAT(WEEKNUM(CompilDonnées[[#This Row],[PlantationDate]]), " ", YEAR(CompilDonnées[[#This Row],[PlantationDate]]))</f>
        <v>36 2025</v>
      </c>
      <c r="L4765" t="str">
        <f>CONCATENATE(MONTH(CompilDonnées[[#This Row],[PlantationDate]])," ", YEAR(CompilDonnées[[#This Row],[PlantationDate]]))</f>
        <v>9 2025</v>
      </c>
      <c r="M4765" t="str">
        <f>CONCATENATE(MONTH(CompilDonnées[[#This Row],[HarvestingDate]])," ", YEAR(CompilDonnées[[#This Row],[HarvestingDate]]))</f>
        <v>10 2025</v>
      </c>
      <c r="N4765">
        <f>_xlfn.NUMBERVALUE(CompilDonnées[[#This Row],[FarmID]]&amp;CompilDonnées[[#This Row],[ModuleNumber]]&amp;CompilDonnées[[#This Row],[PlantationDate]])</f>
        <v>59545903</v>
      </c>
      <c r="O4765" t="str">
        <f>CompilDonnées[[#This Row],[FarmID]]&amp;CompilDonnées[[#This Row],[ModuleNumber]]</f>
        <v>595</v>
      </c>
      <c r="P4765" t="str">
        <f>CompilDonnées[[#This Row],[Ref_Module]]&amp;CompilDonnées[[#This Row],[HarvestingDate]]</f>
        <v>59545952</v>
      </c>
    </row>
    <row r="4766" spans="1:16">
      <c r="A4766" s="5">
        <v>45903</v>
      </c>
      <c r="B4766">
        <v>58</v>
      </c>
      <c r="C4766" t="s">
        <v>35</v>
      </c>
      <c r="D4766">
        <v>6</v>
      </c>
      <c r="E4766">
        <v>100</v>
      </c>
      <c r="F4766" t="s">
        <v>1</v>
      </c>
      <c r="G4766" s="6">
        <v>45944</v>
      </c>
      <c r="H4766">
        <v>41</v>
      </c>
      <c r="I4766">
        <f>ROUND(CompilDonnées[[#This Row],[CultureDuration_days]]/7,0)</f>
        <v>6</v>
      </c>
      <c r="J4766">
        <v>3259</v>
      </c>
      <c r="K4766" t="str">
        <f>_xlfn.CONCAT(WEEKNUM(CompilDonnées[[#This Row],[PlantationDate]]), " ", YEAR(CompilDonnées[[#This Row],[PlantationDate]]))</f>
        <v>36 2025</v>
      </c>
      <c r="L4766" t="str">
        <f>CONCATENATE(MONTH(CompilDonnées[[#This Row],[PlantationDate]])," ", YEAR(CompilDonnées[[#This Row],[PlantationDate]]))</f>
        <v>9 2025</v>
      </c>
      <c r="M4766" t="str">
        <f>CONCATENATE(MONTH(CompilDonnées[[#This Row],[HarvestingDate]])," ", YEAR(CompilDonnées[[#This Row],[HarvestingDate]]))</f>
        <v>10 2025</v>
      </c>
      <c r="N4766">
        <f>_xlfn.NUMBERVALUE(CompilDonnées[[#This Row],[FarmID]]&amp;CompilDonnées[[#This Row],[ModuleNumber]]&amp;CompilDonnées[[#This Row],[PlantationDate]])</f>
        <v>58645903</v>
      </c>
      <c r="O4766" t="str">
        <f>CompilDonnées[[#This Row],[FarmID]]&amp;CompilDonnées[[#This Row],[ModuleNumber]]</f>
        <v>586</v>
      </c>
      <c r="P4766" t="str">
        <f>CompilDonnées[[#This Row],[Ref_Module]]&amp;CompilDonnées[[#This Row],[HarvestingDate]]</f>
        <v>58645944</v>
      </c>
    </row>
    <row r="4767" spans="1:16">
      <c r="A4767" s="5">
        <v>45903</v>
      </c>
      <c r="B4767">
        <v>57</v>
      </c>
      <c r="C4767" t="s">
        <v>46</v>
      </c>
      <c r="D4767">
        <v>3</v>
      </c>
      <c r="E4767">
        <v>100</v>
      </c>
      <c r="F4767" t="s">
        <v>1</v>
      </c>
      <c r="G4767" s="6">
        <v>45958</v>
      </c>
      <c r="H4767">
        <v>55</v>
      </c>
      <c r="I4767">
        <f>ROUND(CompilDonnées[[#This Row],[CultureDuration_days]]/7,0)</f>
        <v>8</v>
      </c>
      <c r="J4767">
        <v>2686</v>
      </c>
      <c r="K4767" t="str">
        <f>_xlfn.CONCAT(WEEKNUM(CompilDonnées[[#This Row],[PlantationDate]]), " ", YEAR(CompilDonnées[[#This Row],[PlantationDate]]))</f>
        <v>36 2025</v>
      </c>
      <c r="L4767" t="str">
        <f>CONCATENATE(MONTH(CompilDonnées[[#This Row],[PlantationDate]])," ", YEAR(CompilDonnées[[#This Row],[PlantationDate]]))</f>
        <v>9 2025</v>
      </c>
      <c r="M4767" t="str">
        <f>CONCATENATE(MONTH(CompilDonnées[[#This Row],[HarvestingDate]])," ", YEAR(CompilDonnées[[#This Row],[HarvestingDate]]))</f>
        <v>10 2025</v>
      </c>
      <c r="N4767">
        <f>_xlfn.NUMBERVALUE(CompilDonnées[[#This Row],[FarmID]]&amp;CompilDonnées[[#This Row],[ModuleNumber]]&amp;CompilDonnées[[#This Row],[PlantationDate]])</f>
        <v>57345903</v>
      </c>
      <c r="O4767" t="str">
        <f>CompilDonnées[[#This Row],[FarmID]]&amp;CompilDonnées[[#This Row],[ModuleNumber]]</f>
        <v>573</v>
      </c>
      <c r="P4767" t="str">
        <f>CompilDonnées[[#This Row],[Ref_Module]]&amp;CompilDonnées[[#This Row],[HarvestingDate]]</f>
        <v>57345958</v>
      </c>
    </row>
    <row r="4768" spans="1:16">
      <c r="A4768" s="5">
        <v>45903</v>
      </c>
      <c r="B4768">
        <v>56</v>
      </c>
      <c r="C4768" t="s">
        <v>6</v>
      </c>
      <c r="D4768">
        <v>2</v>
      </c>
      <c r="E4768">
        <v>100</v>
      </c>
      <c r="F4768" t="s">
        <v>1</v>
      </c>
      <c r="G4768" s="6">
        <v>45953</v>
      </c>
      <c r="H4768">
        <v>50</v>
      </c>
      <c r="I4768">
        <f>ROUND(CompilDonnées[[#This Row],[CultureDuration_days]]/7,0)</f>
        <v>7</v>
      </c>
      <c r="J4768">
        <v>1823</v>
      </c>
      <c r="K4768" t="str">
        <f>_xlfn.CONCAT(WEEKNUM(CompilDonnées[[#This Row],[PlantationDate]]), " ", YEAR(CompilDonnées[[#This Row],[PlantationDate]]))</f>
        <v>36 2025</v>
      </c>
      <c r="L4768" t="str">
        <f>CONCATENATE(MONTH(CompilDonnées[[#This Row],[PlantationDate]])," ", YEAR(CompilDonnées[[#This Row],[PlantationDate]]))</f>
        <v>9 2025</v>
      </c>
      <c r="M4768" t="str">
        <f>CONCATENATE(MONTH(CompilDonnées[[#This Row],[HarvestingDate]])," ", YEAR(CompilDonnées[[#This Row],[HarvestingDate]]))</f>
        <v>10 2025</v>
      </c>
      <c r="N4768">
        <f>_xlfn.NUMBERVALUE(CompilDonnées[[#This Row],[FarmID]]&amp;CompilDonnées[[#This Row],[ModuleNumber]]&amp;CompilDonnées[[#This Row],[PlantationDate]])</f>
        <v>56245903</v>
      </c>
      <c r="O4768" t="str">
        <f>CompilDonnées[[#This Row],[FarmID]]&amp;CompilDonnées[[#This Row],[ModuleNumber]]</f>
        <v>562</v>
      </c>
      <c r="P4768" t="str">
        <f>CompilDonnées[[#This Row],[Ref_Module]]&amp;CompilDonnées[[#This Row],[HarvestingDate]]</f>
        <v>56245953</v>
      </c>
    </row>
    <row r="4769" spans="1:16">
      <c r="A4769" s="5">
        <v>45903</v>
      </c>
      <c r="B4769">
        <v>55</v>
      </c>
      <c r="C4769" t="s">
        <v>60</v>
      </c>
      <c r="D4769">
        <v>6</v>
      </c>
      <c r="E4769">
        <v>100</v>
      </c>
      <c r="F4769" t="s">
        <v>1</v>
      </c>
      <c r="G4769" s="6">
        <v>45958</v>
      </c>
      <c r="H4769">
        <v>55</v>
      </c>
      <c r="I4769">
        <f>ROUND(CompilDonnées[[#This Row],[CultureDuration_days]]/7,0)</f>
        <v>8</v>
      </c>
      <c r="J4769">
        <v>2569</v>
      </c>
      <c r="K4769" t="str">
        <f>_xlfn.CONCAT(WEEKNUM(CompilDonnées[[#This Row],[PlantationDate]]), " ", YEAR(CompilDonnées[[#This Row],[PlantationDate]]))</f>
        <v>36 2025</v>
      </c>
      <c r="L4769" t="str">
        <f>CONCATENATE(MONTH(CompilDonnées[[#This Row],[PlantationDate]])," ", YEAR(CompilDonnées[[#This Row],[PlantationDate]]))</f>
        <v>9 2025</v>
      </c>
      <c r="M4769" t="str">
        <f>CONCATENATE(MONTH(CompilDonnées[[#This Row],[HarvestingDate]])," ", YEAR(CompilDonnées[[#This Row],[HarvestingDate]]))</f>
        <v>10 2025</v>
      </c>
      <c r="N4769">
        <f>_xlfn.NUMBERVALUE(CompilDonnées[[#This Row],[FarmID]]&amp;CompilDonnées[[#This Row],[ModuleNumber]]&amp;CompilDonnées[[#This Row],[PlantationDate]])</f>
        <v>55645903</v>
      </c>
      <c r="O4769" t="str">
        <f>CompilDonnées[[#This Row],[FarmID]]&amp;CompilDonnées[[#This Row],[ModuleNumber]]</f>
        <v>556</v>
      </c>
      <c r="P4769" t="str">
        <f>CompilDonnées[[#This Row],[Ref_Module]]&amp;CompilDonnées[[#This Row],[HarvestingDate]]</f>
        <v>55645958</v>
      </c>
    </row>
    <row r="4770" spans="1:16">
      <c r="A4770" s="5">
        <v>45903</v>
      </c>
      <c r="B4770">
        <v>51</v>
      </c>
      <c r="C4770" t="s">
        <v>27</v>
      </c>
      <c r="D4770">
        <v>6</v>
      </c>
      <c r="E4770">
        <v>100</v>
      </c>
      <c r="F4770" t="s">
        <v>1</v>
      </c>
      <c r="G4770" s="6">
        <v>45958</v>
      </c>
      <c r="H4770">
        <v>55</v>
      </c>
      <c r="I4770">
        <f>ROUND(CompilDonnées[[#This Row],[CultureDuration_days]]/7,0)</f>
        <v>8</v>
      </c>
      <c r="J4770">
        <v>3590</v>
      </c>
      <c r="K4770" t="str">
        <f>_xlfn.CONCAT(WEEKNUM(CompilDonnées[[#This Row],[PlantationDate]]), " ", YEAR(CompilDonnées[[#This Row],[PlantationDate]]))</f>
        <v>36 2025</v>
      </c>
      <c r="L4770" t="str">
        <f>CONCATENATE(MONTH(CompilDonnées[[#This Row],[PlantationDate]])," ", YEAR(CompilDonnées[[#This Row],[PlantationDate]]))</f>
        <v>9 2025</v>
      </c>
      <c r="M4770" t="str">
        <f>CONCATENATE(MONTH(CompilDonnées[[#This Row],[HarvestingDate]])," ", YEAR(CompilDonnées[[#This Row],[HarvestingDate]]))</f>
        <v>10 2025</v>
      </c>
      <c r="N4770">
        <f>_xlfn.NUMBERVALUE(CompilDonnées[[#This Row],[FarmID]]&amp;CompilDonnées[[#This Row],[ModuleNumber]]&amp;CompilDonnées[[#This Row],[PlantationDate]])</f>
        <v>51645903</v>
      </c>
      <c r="O4770" t="str">
        <f>CompilDonnées[[#This Row],[FarmID]]&amp;CompilDonnées[[#This Row],[ModuleNumber]]</f>
        <v>516</v>
      </c>
      <c r="P4770" t="str">
        <f>CompilDonnées[[#This Row],[Ref_Module]]&amp;CompilDonnées[[#This Row],[HarvestingDate]]</f>
        <v>51645958</v>
      </c>
    </row>
    <row r="4771" spans="1:16">
      <c r="A4771" s="5">
        <v>45903</v>
      </c>
      <c r="B4771">
        <v>50</v>
      </c>
      <c r="C4771" t="s">
        <v>55</v>
      </c>
      <c r="D4771">
        <v>3</v>
      </c>
      <c r="E4771">
        <v>100</v>
      </c>
      <c r="F4771" t="s">
        <v>1</v>
      </c>
      <c r="G4771" s="6">
        <v>45953</v>
      </c>
      <c r="H4771">
        <v>50</v>
      </c>
      <c r="I4771">
        <f>ROUND(CompilDonnées[[#This Row],[CultureDuration_days]]/7,0)</f>
        <v>7</v>
      </c>
      <c r="J4771">
        <v>2590</v>
      </c>
      <c r="K4771" t="str">
        <f>_xlfn.CONCAT(WEEKNUM(CompilDonnées[[#This Row],[PlantationDate]]), " ", YEAR(CompilDonnées[[#This Row],[PlantationDate]]))</f>
        <v>36 2025</v>
      </c>
      <c r="L4771" t="str">
        <f>CONCATENATE(MONTH(CompilDonnées[[#This Row],[PlantationDate]])," ", YEAR(CompilDonnées[[#This Row],[PlantationDate]]))</f>
        <v>9 2025</v>
      </c>
      <c r="M4771" t="str">
        <f>CONCATENATE(MONTH(CompilDonnées[[#This Row],[HarvestingDate]])," ", YEAR(CompilDonnées[[#This Row],[HarvestingDate]]))</f>
        <v>10 2025</v>
      </c>
      <c r="N4771">
        <f>_xlfn.NUMBERVALUE(CompilDonnées[[#This Row],[FarmID]]&amp;CompilDonnées[[#This Row],[ModuleNumber]]&amp;CompilDonnées[[#This Row],[PlantationDate]])</f>
        <v>50345903</v>
      </c>
      <c r="O4771" t="str">
        <f>CompilDonnées[[#This Row],[FarmID]]&amp;CompilDonnées[[#This Row],[ModuleNumber]]</f>
        <v>503</v>
      </c>
      <c r="P4771" t="str">
        <f>CompilDonnées[[#This Row],[Ref_Module]]&amp;CompilDonnées[[#This Row],[HarvestingDate]]</f>
        <v>50345953</v>
      </c>
    </row>
    <row r="4772" spans="1:16">
      <c r="A4772" s="5">
        <v>45903</v>
      </c>
      <c r="B4772">
        <v>49</v>
      </c>
      <c r="C4772" t="s">
        <v>110</v>
      </c>
      <c r="D4772">
        <v>5</v>
      </c>
      <c r="E4772">
        <v>100</v>
      </c>
      <c r="F4772" t="s">
        <v>1</v>
      </c>
      <c r="G4772" s="6">
        <v>45953</v>
      </c>
      <c r="H4772">
        <v>50</v>
      </c>
      <c r="I4772">
        <f>ROUND(CompilDonnées[[#This Row],[CultureDuration_days]]/7,0)</f>
        <v>7</v>
      </c>
      <c r="J4772">
        <v>2448</v>
      </c>
      <c r="K4772" t="str">
        <f>_xlfn.CONCAT(WEEKNUM(CompilDonnées[[#This Row],[PlantationDate]]), " ", YEAR(CompilDonnées[[#This Row],[PlantationDate]]))</f>
        <v>36 2025</v>
      </c>
      <c r="L4772" t="str">
        <f>CONCATENATE(MONTH(CompilDonnées[[#This Row],[PlantationDate]])," ", YEAR(CompilDonnées[[#This Row],[PlantationDate]]))</f>
        <v>9 2025</v>
      </c>
      <c r="M4772" t="str">
        <f>CONCATENATE(MONTH(CompilDonnées[[#This Row],[HarvestingDate]])," ", YEAR(CompilDonnées[[#This Row],[HarvestingDate]]))</f>
        <v>10 2025</v>
      </c>
      <c r="N4772">
        <f>_xlfn.NUMBERVALUE(CompilDonnées[[#This Row],[FarmID]]&amp;CompilDonnées[[#This Row],[ModuleNumber]]&amp;CompilDonnées[[#This Row],[PlantationDate]])</f>
        <v>49545903</v>
      </c>
      <c r="O4772" t="str">
        <f>CompilDonnées[[#This Row],[FarmID]]&amp;CompilDonnées[[#This Row],[ModuleNumber]]</f>
        <v>495</v>
      </c>
      <c r="P4772" t="str">
        <f>CompilDonnées[[#This Row],[Ref_Module]]&amp;CompilDonnées[[#This Row],[HarvestingDate]]</f>
        <v>49545953</v>
      </c>
    </row>
    <row r="4773" spans="1:16">
      <c r="A4773" s="5">
        <v>45903</v>
      </c>
      <c r="B4773">
        <v>77</v>
      </c>
      <c r="C4773" t="s">
        <v>75</v>
      </c>
      <c r="D4773">
        <v>1</v>
      </c>
      <c r="E4773">
        <v>100</v>
      </c>
      <c r="F4773" t="s">
        <v>1</v>
      </c>
      <c r="G4773" s="6">
        <v>45952</v>
      </c>
      <c r="H4773">
        <v>49</v>
      </c>
      <c r="I4773">
        <f>ROUND(CompilDonnées[[#This Row],[CultureDuration_days]]/7,0)</f>
        <v>7</v>
      </c>
      <c r="J4773">
        <v>2550</v>
      </c>
      <c r="K4773" t="str">
        <f>_xlfn.CONCAT(WEEKNUM(CompilDonnées[[#This Row],[PlantationDate]]), " ", YEAR(CompilDonnées[[#This Row],[PlantationDate]]))</f>
        <v>36 2025</v>
      </c>
      <c r="L4773" t="str">
        <f>CONCATENATE(MONTH(CompilDonnées[[#This Row],[PlantationDate]])," ", YEAR(CompilDonnées[[#This Row],[PlantationDate]]))</f>
        <v>9 2025</v>
      </c>
      <c r="M4773" t="str">
        <f>CONCATENATE(MONTH(CompilDonnées[[#This Row],[HarvestingDate]])," ", YEAR(CompilDonnées[[#This Row],[HarvestingDate]]))</f>
        <v>10 2025</v>
      </c>
      <c r="N4773">
        <f>_xlfn.NUMBERVALUE(CompilDonnées[[#This Row],[FarmID]]&amp;CompilDonnées[[#This Row],[ModuleNumber]]&amp;CompilDonnées[[#This Row],[PlantationDate]])</f>
        <v>77145903</v>
      </c>
      <c r="O4773" t="str">
        <f>CompilDonnées[[#This Row],[FarmID]]&amp;CompilDonnées[[#This Row],[ModuleNumber]]</f>
        <v>771</v>
      </c>
      <c r="P4773" t="str">
        <f>CompilDonnées[[#This Row],[Ref_Module]]&amp;CompilDonnées[[#This Row],[HarvestingDate]]</f>
        <v>77145952</v>
      </c>
    </row>
    <row r="4774" spans="1:16">
      <c r="A4774" s="5">
        <v>45903</v>
      </c>
      <c r="B4774">
        <v>76</v>
      </c>
      <c r="C4774" t="s">
        <v>18</v>
      </c>
      <c r="D4774">
        <v>2</v>
      </c>
      <c r="E4774">
        <v>100</v>
      </c>
      <c r="F4774" t="s">
        <v>1</v>
      </c>
      <c r="G4774" s="6">
        <v>45952</v>
      </c>
      <c r="H4774">
        <v>49</v>
      </c>
      <c r="I4774">
        <f>ROUND(CompilDonnées[[#This Row],[CultureDuration_days]]/7,0)</f>
        <v>7</v>
      </c>
      <c r="J4774">
        <v>2375</v>
      </c>
      <c r="K4774" t="str">
        <f>_xlfn.CONCAT(WEEKNUM(CompilDonnées[[#This Row],[PlantationDate]]), " ", YEAR(CompilDonnées[[#This Row],[PlantationDate]]))</f>
        <v>36 2025</v>
      </c>
      <c r="L4774" t="str">
        <f>CONCATENATE(MONTH(CompilDonnées[[#This Row],[PlantationDate]])," ", YEAR(CompilDonnées[[#This Row],[PlantationDate]]))</f>
        <v>9 2025</v>
      </c>
      <c r="M4774" t="str">
        <f>CONCATENATE(MONTH(CompilDonnées[[#This Row],[HarvestingDate]])," ", YEAR(CompilDonnées[[#This Row],[HarvestingDate]]))</f>
        <v>10 2025</v>
      </c>
      <c r="N4774">
        <f>_xlfn.NUMBERVALUE(CompilDonnées[[#This Row],[FarmID]]&amp;CompilDonnées[[#This Row],[ModuleNumber]]&amp;CompilDonnées[[#This Row],[PlantationDate]])</f>
        <v>76245903</v>
      </c>
      <c r="O4774" t="str">
        <f>CompilDonnées[[#This Row],[FarmID]]&amp;CompilDonnées[[#This Row],[ModuleNumber]]</f>
        <v>762</v>
      </c>
      <c r="P4774" t="str">
        <f>CompilDonnées[[#This Row],[Ref_Module]]&amp;CompilDonnées[[#This Row],[HarvestingDate]]</f>
        <v>76245952</v>
      </c>
    </row>
    <row r="4775" spans="1:16">
      <c r="A4775" s="5">
        <v>45903</v>
      </c>
      <c r="B4775">
        <v>71</v>
      </c>
      <c r="C4775" t="s">
        <v>19</v>
      </c>
      <c r="D4775">
        <v>4</v>
      </c>
      <c r="E4775">
        <v>100</v>
      </c>
      <c r="F4775" t="s">
        <v>1</v>
      </c>
      <c r="G4775" s="6">
        <v>45952</v>
      </c>
      <c r="H4775">
        <v>49</v>
      </c>
      <c r="I4775">
        <f>ROUND(CompilDonnées[[#This Row],[CultureDuration_days]]/7,0)</f>
        <v>7</v>
      </c>
      <c r="J4775">
        <v>1907</v>
      </c>
      <c r="K4775" t="str">
        <f>_xlfn.CONCAT(WEEKNUM(CompilDonnées[[#This Row],[PlantationDate]]), " ", YEAR(CompilDonnées[[#This Row],[PlantationDate]]))</f>
        <v>36 2025</v>
      </c>
      <c r="L4775" t="str">
        <f>CONCATENATE(MONTH(CompilDonnées[[#This Row],[PlantationDate]])," ", YEAR(CompilDonnées[[#This Row],[PlantationDate]]))</f>
        <v>9 2025</v>
      </c>
      <c r="M4775" t="str">
        <f>CONCATENATE(MONTH(CompilDonnées[[#This Row],[HarvestingDate]])," ", YEAR(CompilDonnées[[#This Row],[HarvestingDate]]))</f>
        <v>10 2025</v>
      </c>
      <c r="N4775">
        <f>_xlfn.NUMBERVALUE(CompilDonnées[[#This Row],[FarmID]]&amp;CompilDonnées[[#This Row],[ModuleNumber]]&amp;CompilDonnées[[#This Row],[PlantationDate]])</f>
        <v>71445903</v>
      </c>
      <c r="O4775" t="str">
        <f>CompilDonnées[[#This Row],[FarmID]]&amp;CompilDonnées[[#This Row],[ModuleNumber]]</f>
        <v>714</v>
      </c>
      <c r="P4775" t="str">
        <f>CompilDonnées[[#This Row],[Ref_Module]]&amp;CompilDonnées[[#This Row],[HarvestingDate]]</f>
        <v>71445952</v>
      </c>
    </row>
    <row r="4776" spans="1:16">
      <c r="A4776" s="5">
        <v>45904</v>
      </c>
      <c r="B4776">
        <v>108</v>
      </c>
      <c r="C4776" t="s">
        <v>58</v>
      </c>
      <c r="D4776">
        <v>1</v>
      </c>
      <c r="E4776">
        <v>100</v>
      </c>
      <c r="F4776" t="s">
        <v>1</v>
      </c>
      <c r="G4776" s="6">
        <v>45950</v>
      </c>
      <c r="H4776">
        <v>46</v>
      </c>
      <c r="I4776">
        <f>ROUND(CompilDonnées[[#This Row],[CultureDuration_days]]/7,0)</f>
        <v>7</v>
      </c>
      <c r="J4776">
        <v>2368</v>
      </c>
      <c r="K4776" t="str">
        <f>_xlfn.CONCAT(WEEKNUM(CompilDonnées[[#This Row],[PlantationDate]]), " ", YEAR(CompilDonnées[[#This Row],[PlantationDate]]))</f>
        <v>36 2025</v>
      </c>
      <c r="L4776" t="str">
        <f>CONCATENATE(MONTH(CompilDonnées[[#This Row],[PlantationDate]])," ", YEAR(CompilDonnées[[#This Row],[PlantationDate]]))</f>
        <v>9 2025</v>
      </c>
      <c r="M4776" t="str">
        <f>CONCATENATE(MONTH(CompilDonnées[[#This Row],[HarvestingDate]])," ", YEAR(CompilDonnées[[#This Row],[HarvestingDate]]))</f>
        <v>10 2025</v>
      </c>
      <c r="N4776">
        <f>_xlfn.NUMBERVALUE(CompilDonnées[[#This Row],[FarmID]]&amp;CompilDonnées[[#This Row],[ModuleNumber]]&amp;CompilDonnées[[#This Row],[PlantationDate]])</f>
        <v>108145904</v>
      </c>
      <c r="O4776" t="str">
        <f>CompilDonnées[[#This Row],[FarmID]]&amp;CompilDonnées[[#This Row],[ModuleNumber]]</f>
        <v>1081</v>
      </c>
      <c r="P4776" t="str">
        <f>CompilDonnées[[#This Row],[Ref_Module]]&amp;CompilDonnées[[#This Row],[HarvestingDate]]</f>
        <v>108145950</v>
      </c>
    </row>
    <row r="4777" spans="1:16">
      <c r="A4777" s="5">
        <v>45904</v>
      </c>
      <c r="B4777">
        <v>107</v>
      </c>
      <c r="C4777" t="s">
        <v>23</v>
      </c>
      <c r="D4777">
        <v>1</v>
      </c>
      <c r="E4777">
        <v>100</v>
      </c>
      <c r="F4777" t="s">
        <v>1</v>
      </c>
      <c r="G4777" s="6">
        <v>45950</v>
      </c>
      <c r="H4777">
        <v>46</v>
      </c>
      <c r="I4777">
        <f>ROUND(CompilDonnées[[#This Row],[CultureDuration_days]]/7,0)</f>
        <v>7</v>
      </c>
      <c r="J4777">
        <v>1891</v>
      </c>
      <c r="K4777" t="str">
        <f>_xlfn.CONCAT(WEEKNUM(CompilDonnées[[#This Row],[PlantationDate]]), " ", YEAR(CompilDonnées[[#This Row],[PlantationDate]]))</f>
        <v>36 2025</v>
      </c>
      <c r="L4777" t="str">
        <f>CONCATENATE(MONTH(CompilDonnées[[#This Row],[PlantationDate]])," ", YEAR(CompilDonnées[[#This Row],[PlantationDate]]))</f>
        <v>9 2025</v>
      </c>
      <c r="M4777" t="str">
        <f>CONCATENATE(MONTH(CompilDonnées[[#This Row],[HarvestingDate]])," ", YEAR(CompilDonnées[[#This Row],[HarvestingDate]]))</f>
        <v>10 2025</v>
      </c>
      <c r="N4777">
        <f>_xlfn.NUMBERVALUE(CompilDonnées[[#This Row],[FarmID]]&amp;CompilDonnées[[#This Row],[ModuleNumber]]&amp;CompilDonnées[[#This Row],[PlantationDate]])</f>
        <v>107145904</v>
      </c>
      <c r="O4777" t="str">
        <f>CompilDonnées[[#This Row],[FarmID]]&amp;CompilDonnées[[#This Row],[ModuleNumber]]</f>
        <v>1071</v>
      </c>
      <c r="P4777" t="str">
        <f>CompilDonnées[[#This Row],[Ref_Module]]&amp;CompilDonnées[[#This Row],[HarvestingDate]]</f>
        <v>107145950</v>
      </c>
    </row>
    <row r="4778" spans="1:16">
      <c r="A4778" s="5">
        <v>45904</v>
      </c>
      <c r="B4778">
        <v>106</v>
      </c>
      <c r="C4778" t="s">
        <v>22</v>
      </c>
      <c r="D4778">
        <v>2</v>
      </c>
      <c r="E4778">
        <v>100</v>
      </c>
      <c r="F4778" t="s">
        <v>1</v>
      </c>
      <c r="G4778" s="6">
        <v>45951</v>
      </c>
      <c r="H4778">
        <v>47</v>
      </c>
      <c r="I4778">
        <f>ROUND(CompilDonnées[[#This Row],[CultureDuration_days]]/7,0)</f>
        <v>7</v>
      </c>
      <c r="J4778">
        <v>1624</v>
      </c>
      <c r="K4778" t="str">
        <f>_xlfn.CONCAT(WEEKNUM(CompilDonnées[[#This Row],[PlantationDate]]), " ", YEAR(CompilDonnées[[#This Row],[PlantationDate]]))</f>
        <v>36 2025</v>
      </c>
      <c r="L4778" t="str">
        <f>CONCATENATE(MONTH(CompilDonnées[[#This Row],[PlantationDate]])," ", YEAR(CompilDonnées[[#This Row],[PlantationDate]]))</f>
        <v>9 2025</v>
      </c>
      <c r="M4778" t="str">
        <f>CONCATENATE(MONTH(CompilDonnées[[#This Row],[HarvestingDate]])," ", YEAR(CompilDonnées[[#This Row],[HarvestingDate]]))</f>
        <v>10 2025</v>
      </c>
      <c r="N4778">
        <f>_xlfn.NUMBERVALUE(CompilDonnées[[#This Row],[FarmID]]&amp;CompilDonnées[[#This Row],[ModuleNumber]]&amp;CompilDonnées[[#This Row],[PlantationDate]])</f>
        <v>106245904</v>
      </c>
      <c r="O4778" t="str">
        <f>CompilDonnées[[#This Row],[FarmID]]&amp;CompilDonnées[[#This Row],[ModuleNumber]]</f>
        <v>1062</v>
      </c>
      <c r="P4778" t="str">
        <f>CompilDonnées[[#This Row],[Ref_Module]]&amp;CompilDonnées[[#This Row],[HarvestingDate]]</f>
        <v>106245951</v>
      </c>
    </row>
    <row r="4779" spans="1:16">
      <c r="A4779" s="5">
        <v>45904</v>
      </c>
      <c r="B4779">
        <v>99</v>
      </c>
      <c r="C4779" t="s">
        <v>117</v>
      </c>
      <c r="D4779">
        <v>2</v>
      </c>
      <c r="E4779">
        <v>100</v>
      </c>
      <c r="F4779" t="s">
        <v>1</v>
      </c>
      <c r="G4779" s="6">
        <v>45950</v>
      </c>
      <c r="H4779">
        <v>46</v>
      </c>
      <c r="I4779">
        <f>ROUND(CompilDonnées[[#This Row],[CultureDuration_days]]/7,0)</f>
        <v>7</v>
      </c>
      <c r="J4779">
        <v>1884</v>
      </c>
      <c r="K4779" t="str">
        <f>_xlfn.CONCAT(WEEKNUM(CompilDonnées[[#This Row],[PlantationDate]]), " ", YEAR(CompilDonnées[[#This Row],[PlantationDate]]))</f>
        <v>36 2025</v>
      </c>
      <c r="L4779" t="str">
        <f>CONCATENATE(MONTH(CompilDonnées[[#This Row],[PlantationDate]])," ", YEAR(CompilDonnées[[#This Row],[PlantationDate]]))</f>
        <v>9 2025</v>
      </c>
      <c r="M4779" t="str">
        <f>CONCATENATE(MONTH(CompilDonnées[[#This Row],[HarvestingDate]])," ", YEAR(CompilDonnées[[#This Row],[HarvestingDate]]))</f>
        <v>10 2025</v>
      </c>
      <c r="N4779">
        <f>_xlfn.NUMBERVALUE(CompilDonnées[[#This Row],[FarmID]]&amp;CompilDonnées[[#This Row],[ModuleNumber]]&amp;CompilDonnées[[#This Row],[PlantationDate]])</f>
        <v>99245904</v>
      </c>
      <c r="O4779" t="str">
        <f>CompilDonnées[[#This Row],[FarmID]]&amp;CompilDonnées[[#This Row],[ModuleNumber]]</f>
        <v>992</v>
      </c>
      <c r="P4779" t="str">
        <f>CompilDonnées[[#This Row],[Ref_Module]]&amp;CompilDonnées[[#This Row],[HarvestingDate]]</f>
        <v>99245950</v>
      </c>
    </row>
    <row r="4780" spans="1:16">
      <c r="A4780" s="5">
        <v>45904</v>
      </c>
      <c r="B4780">
        <v>98</v>
      </c>
      <c r="C4780" t="s">
        <v>79</v>
      </c>
      <c r="D4780">
        <v>6</v>
      </c>
      <c r="E4780">
        <v>100</v>
      </c>
      <c r="F4780" t="s">
        <v>1</v>
      </c>
      <c r="G4780" s="6">
        <v>45950</v>
      </c>
      <c r="H4780">
        <v>46</v>
      </c>
      <c r="I4780">
        <f>ROUND(CompilDonnées[[#This Row],[CultureDuration_days]]/7,0)</f>
        <v>7</v>
      </c>
      <c r="J4780">
        <v>2440</v>
      </c>
      <c r="K4780" t="str">
        <f>_xlfn.CONCAT(WEEKNUM(CompilDonnées[[#This Row],[PlantationDate]]), " ", YEAR(CompilDonnées[[#This Row],[PlantationDate]]))</f>
        <v>36 2025</v>
      </c>
      <c r="L4780" t="str">
        <f>CONCATENATE(MONTH(CompilDonnées[[#This Row],[PlantationDate]])," ", YEAR(CompilDonnées[[#This Row],[PlantationDate]]))</f>
        <v>9 2025</v>
      </c>
      <c r="M4780" t="str">
        <f>CONCATENATE(MONTH(CompilDonnées[[#This Row],[HarvestingDate]])," ", YEAR(CompilDonnées[[#This Row],[HarvestingDate]]))</f>
        <v>10 2025</v>
      </c>
      <c r="N4780">
        <f>_xlfn.NUMBERVALUE(CompilDonnées[[#This Row],[FarmID]]&amp;CompilDonnées[[#This Row],[ModuleNumber]]&amp;CompilDonnées[[#This Row],[PlantationDate]])</f>
        <v>98645904</v>
      </c>
      <c r="O4780" t="str">
        <f>CompilDonnées[[#This Row],[FarmID]]&amp;CompilDonnées[[#This Row],[ModuleNumber]]</f>
        <v>986</v>
      </c>
      <c r="P4780" t="str">
        <f>CompilDonnées[[#This Row],[Ref_Module]]&amp;CompilDonnées[[#This Row],[HarvestingDate]]</f>
        <v>98645950</v>
      </c>
    </row>
    <row r="4781" spans="1:16">
      <c r="A4781" s="5">
        <v>45904</v>
      </c>
      <c r="B4781">
        <v>94</v>
      </c>
      <c r="C4781" t="s">
        <v>40</v>
      </c>
      <c r="D4781">
        <v>1</v>
      </c>
      <c r="E4781">
        <v>100</v>
      </c>
      <c r="F4781" t="s">
        <v>1</v>
      </c>
      <c r="G4781" s="6">
        <v>45945</v>
      </c>
      <c r="H4781">
        <v>41</v>
      </c>
      <c r="I4781">
        <f>ROUND(CompilDonnées[[#This Row],[CultureDuration_days]]/7,0)</f>
        <v>6</v>
      </c>
      <c r="J4781">
        <v>3700</v>
      </c>
      <c r="K4781" t="str">
        <f>_xlfn.CONCAT(WEEKNUM(CompilDonnées[[#This Row],[PlantationDate]]), " ", YEAR(CompilDonnées[[#This Row],[PlantationDate]]))</f>
        <v>36 2025</v>
      </c>
      <c r="L4781" t="str">
        <f>CONCATENATE(MONTH(CompilDonnées[[#This Row],[PlantationDate]])," ", YEAR(CompilDonnées[[#This Row],[PlantationDate]]))</f>
        <v>9 2025</v>
      </c>
      <c r="M4781" t="str">
        <f>CONCATENATE(MONTH(CompilDonnées[[#This Row],[HarvestingDate]])," ", YEAR(CompilDonnées[[#This Row],[HarvestingDate]]))</f>
        <v>10 2025</v>
      </c>
      <c r="N4781">
        <f>_xlfn.NUMBERVALUE(CompilDonnées[[#This Row],[FarmID]]&amp;CompilDonnées[[#This Row],[ModuleNumber]]&amp;CompilDonnées[[#This Row],[PlantationDate]])</f>
        <v>94145904</v>
      </c>
      <c r="O4781" t="str">
        <f>CompilDonnées[[#This Row],[FarmID]]&amp;CompilDonnées[[#This Row],[ModuleNumber]]</f>
        <v>941</v>
      </c>
      <c r="P4781" t="str">
        <f>CompilDonnées[[#This Row],[Ref_Module]]&amp;CompilDonnées[[#This Row],[HarvestingDate]]</f>
        <v>94145945</v>
      </c>
    </row>
    <row r="4782" spans="1:16">
      <c r="A4782" s="5">
        <v>45904</v>
      </c>
      <c r="B4782">
        <v>93</v>
      </c>
      <c r="C4782" t="s">
        <v>10</v>
      </c>
      <c r="D4782">
        <v>1</v>
      </c>
      <c r="E4782">
        <v>100</v>
      </c>
      <c r="F4782" t="s">
        <v>1</v>
      </c>
      <c r="G4782" s="6">
        <v>45951</v>
      </c>
      <c r="H4782">
        <v>47</v>
      </c>
      <c r="I4782">
        <f>ROUND(CompilDonnées[[#This Row],[CultureDuration_days]]/7,0)</f>
        <v>7</v>
      </c>
      <c r="J4782">
        <v>2913</v>
      </c>
      <c r="K4782" t="str">
        <f>_xlfn.CONCAT(WEEKNUM(CompilDonnées[[#This Row],[PlantationDate]]), " ", YEAR(CompilDonnées[[#This Row],[PlantationDate]]))</f>
        <v>36 2025</v>
      </c>
      <c r="L4782" t="str">
        <f>CONCATENATE(MONTH(CompilDonnées[[#This Row],[PlantationDate]])," ", YEAR(CompilDonnées[[#This Row],[PlantationDate]]))</f>
        <v>9 2025</v>
      </c>
      <c r="M4782" t="str">
        <f>CONCATENATE(MONTH(CompilDonnées[[#This Row],[HarvestingDate]])," ", YEAR(CompilDonnées[[#This Row],[HarvestingDate]]))</f>
        <v>10 2025</v>
      </c>
      <c r="N4782">
        <f>_xlfn.NUMBERVALUE(CompilDonnées[[#This Row],[FarmID]]&amp;CompilDonnées[[#This Row],[ModuleNumber]]&amp;CompilDonnées[[#This Row],[PlantationDate]])</f>
        <v>93145904</v>
      </c>
      <c r="O4782" t="str">
        <f>CompilDonnées[[#This Row],[FarmID]]&amp;CompilDonnées[[#This Row],[ModuleNumber]]</f>
        <v>931</v>
      </c>
      <c r="P4782" t="str">
        <f>CompilDonnées[[#This Row],[Ref_Module]]&amp;CompilDonnées[[#This Row],[HarvestingDate]]</f>
        <v>93145951</v>
      </c>
    </row>
    <row r="4783" spans="1:16">
      <c r="A4783" s="5">
        <v>45904</v>
      </c>
      <c r="B4783">
        <v>86</v>
      </c>
      <c r="C4783" t="s">
        <v>37</v>
      </c>
      <c r="D4783">
        <v>1</v>
      </c>
      <c r="E4783">
        <v>100</v>
      </c>
      <c r="F4783" t="s">
        <v>1</v>
      </c>
      <c r="G4783" s="6">
        <v>45951</v>
      </c>
      <c r="H4783">
        <v>47</v>
      </c>
      <c r="I4783">
        <f>ROUND(CompilDonnées[[#This Row],[CultureDuration_days]]/7,0)</f>
        <v>7</v>
      </c>
      <c r="J4783">
        <v>2323</v>
      </c>
      <c r="K4783" t="str">
        <f>_xlfn.CONCAT(WEEKNUM(CompilDonnées[[#This Row],[PlantationDate]]), " ", YEAR(CompilDonnées[[#This Row],[PlantationDate]]))</f>
        <v>36 2025</v>
      </c>
      <c r="L4783" t="str">
        <f>CONCATENATE(MONTH(CompilDonnées[[#This Row],[PlantationDate]])," ", YEAR(CompilDonnées[[#This Row],[PlantationDate]]))</f>
        <v>9 2025</v>
      </c>
      <c r="M4783" t="str">
        <f>CONCATENATE(MONTH(CompilDonnées[[#This Row],[HarvestingDate]])," ", YEAR(CompilDonnées[[#This Row],[HarvestingDate]]))</f>
        <v>10 2025</v>
      </c>
      <c r="N4783">
        <f>_xlfn.NUMBERVALUE(CompilDonnées[[#This Row],[FarmID]]&amp;CompilDonnées[[#This Row],[ModuleNumber]]&amp;CompilDonnées[[#This Row],[PlantationDate]])</f>
        <v>86145904</v>
      </c>
      <c r="O4783" t="str">
        <f>CompilDonnées[[#This Row],[FarmID]]&amp;CompilDonnées[[#This Row],[ModuleNumber]]</f>
        <v>861</v>
      </c>
      <c r="P4783" t="str">
        <f>CompilDonnées[[#This Row],[Ref_Module]]&amp;CompilDonnées[[#This Row],[HarvestingDate]]</f>
        <v>86145951</v>
      </c>
    </row>
    <row r="4784" spans="1:16">
      <c r="A4784" s="5">
        <v>45904</v>
      </c>
      <c r="B4784">
        <v>85</v>
      </c>
      <c r="C4784" t="s">
        <v>56</v>
      </c>
      <c r="D4784">
        <v>6</v>
      </c>
      <c r="E4784">
        <v>100</v>
      </c>
      <c r="F4784" t="s">
        <v>1</v>
      </c>
      <c r="G4784" s="6">
        <v>45951</v>
      </c>
      <c r="H4784">
        <v>47</v>
      </c>
      <c r="I4784">
        <f>ROUND(CompilDonnées[[#This Row],[CultureDuration_days]]/7,0)</f>
        <v>7</v>
      </c>
      <c r="J4784">
        <v>2595</v>
      </c>
      <c r="K4784" t="str">
        <f>_xlfn.CONCAT(WEEKNUM(CompilDonnées[[#This Row],[PlantationDate]]), " ", YEAR(CompilDonnées[[#This Row],[PlantationDate]]))</f>
        <v>36 2025</v>
      </c>
      <c r="L4784" t="str">
        <f>CONCATENATE(MONTH(CompilDonnées[[#This Row],[PlantationDate]])," ", YEAR(CompilDonnées[[#This Row],[PlantationDate]]))</f>
        <v>9 2025</v>
      </c>
      <c r="M4784" t="str">
        <f>CONCATENATE(MONTH(CompilDonnées[[#This Row],[HarvestingDate]])," ", YEAR(CompilDonnées[[#This Row],[HarvestingDate]]))</f>
        <v>10 2025</v>
      </c>
      <c r="N4784">
        <f>_xlfn.NUMBERVALUE(CompilDonnées[[#This Row],[FarmID]]&amp;CompilDonnées[[#This Row],[ModuleNumber]]&amp;CompilDonnées[[#This Row],[PlantationDate]])</f>
        <v>85645904</v>
      </c>
      <c r="O4784" t="str">
        <f>CompilDonnées[[#This Row],[FarmID]]&amp;CompilDonnées[[#This Row],[ModuleNumber]]</f>
        <v>856</v>
      </c>
      <c r="P4784" t="str">
        <f>CompilDonnées[[#This Row],[Ref_Module]]&amp;CompilDonnées[[#This Row],[HarvestingDate]]</f>
        <v>85645951</v>
      </c>
    </row>
    <row r="4785" spans="1:16">
      <c r="A4785" s="5">
        <v>45904</v>
      </c>
      <c r="B4785">
        <v>89</v>
      </c>
      <c r="C4785" t="s">
        <v>67</v>
      </c>
      <c r="D4785">
        <v>1</v>
      </c>
      <c r="E4785">
        <v>100</v>
      </c>
      <c r="F4785" t="s">
        <v>1</v>
      </c>
      <c r="G4785" s="6">
        <v>45945</v>
      </c>
      <c r="H4785">
        <v>41</v>
      </c>
      <c r="I4785">
        <f>ROUND(CompilDonnées[[#This Row],[CultureDuration_days]]/7,0)</f>
        <v>6</v>
      </c>
      <c r="J4785">
        <v>2319</v>
      </c>
      <c r="K4785" t="str">
        <f>_xlfn.CONCAT(WEEKNUM(CompilDonnées[[#This Row],[PlantationDate]]), " ", YEAR(CompilDonnées[[#This Row],[PlantationDate]]))</f>
        <v>36 2025</v>
      </c>
      <c r="L4785" t="str">
        <f>CONCATENATE(MONTH(CompilDonnées[[#This Row],[PlantationDate]])," ", YEAR(CompilDonnées[[#This Row],[PlantationDate]]))</f>
        <v>9 2025</v>
      </c>
      <c r="M4785" t="str">
        <f>CONCATENATE(MONTH(CompilDonnées[[#This Row],[HarvestingDate]])," ", YEAR(CompilDonnées[[#This Row],[HarvestingDate]]))</f>
        <v>10 2025</v>
      </c>
      <c r="N4785">
        <f>_xlfn.NUMBERVALUE(CompilDonnées[[#This Row],[FarmID]]&amp;CompilDonnées[[#This Row],[ModuleNumber]]&amp;CompilDonnées[[#This Row],[PlantationDate]])</f>
        <v>89145904</v>
      </c>
      <c r="O4785" t="str">
        <f>CompilDonnées[[#This Row],[FarmID]]&amp;CompilDonnées[[#This Row],[ModuleNumber]]</f>
        <v>891</v>
      </c>
      <c r="P4785" t="str">
        <f>CompilDonnées[[#This Row],[Ref_Module]]&amp;CompilDonnées[[#This Row],[HarvestingDate]]</f>
        <v>89145945</v>
      </c>
    </row>
    <row r="4786" spans="1:16">
      <c r="A4786" s="5">
        <v>45904</v>
      </c>
      <c r="B4786">
        <v>90</v>
      </c>
      <c r="C4786" t="s">
        <v>72</v>
      </c>
      <c r="D4786">
        <v>2</v>
      </c>
      <c r="E4786">
        <v>100</v>
      </c>
      <c r="F4786" t="s">
        <v>1</v>
      </c>
      <c r="G4786" s="6">
        <v>45945</v>
      </c>
      <c r="H4786">
        <v>41</v>
      </c>
      <c r="I4786">
        <f>ROUND(CompilDonnées[[#This Row],[CultureDuration_days]]/7,0)</f>
        <v>6</v>
      </c>
      <c r="J4786">
        <v>1777</v>
      </c>
      <c r="K4786" t="str">
        <f>_xlfn.CONCAT(WEEKNUM(CompilDonnées[[#This Row],[PlantationDate]]), " ", YEAR(CompilDonnées[[#This Row],[PlantationDate]]))</f>
        <v>36 2025</v>
      </c>
      <c r="L4786" t="str">
        <f>CONCATENATE(MONTH(CompilDonnées[[#This Row],[PlantationDate]])," ", YEAR(CompilDonnées[[#This Row],[PlantationDate]]))</f>
        <v>9 2025</v>
      </c>
      <c r="M4786" t="str">
        <f>CONCATENATE(MONTH(CompilDonnées[[#This Row],[HarvestingDate]])," ", YEAR(CompilDonnées[[#This Row],[HarvestingDate]]))</f>
        <v>10 2025</v>
      </c>
      <c r="N4786">
        <f>_xlfn.NUMBERVALUE(CompilDonnées[[#This Row],[FarmID]]&amp;CompilDonnées[[#This Row],[ModuleNumber]]&amp;CompilDonnées[[#This Row],[PlantationDate]])</f>
        <v>90245904</v>
      </c>
      <c r="O4786" t="str">
        <f>CompilDonnées[[#This Row],[FarmID]]&amp;CompilDonnées[[#This Row],[ModuleNumber]]</f>
        <v>902</v>
      </c>
      <c r="P4786" t="str">
        <f>CompilDonnées[[#This Row],[Ref_Module]]&amp;CompilDonnées[[#This Row],[HarvestingDate]]</f>
        <v>90245945</v>
      </c>
    </row>
    <row r="4787" spans="1:16">
      <c r="A4787" s="5">
        <v>45904</v>
      </c>
      <c r="B4787">
        <v>96</v>
      </c>
      <c r="C4787" t="s">
        <v>125</v>
      </c>
      <c r="D4787">
        <v>1</v>
      </c>
      <c r="E4787">
        <v>100</v>
      </c>
      <c r="F4787" t="s">
        <v>1</v>
      </c>
      <c r="G4787" s="6">
        <v>45959</v>
      </c>
      <c r="H4787">
        <v>55</v>
      </c>
      <c r="I4787">
        <f>ROUND(CompilDonnées[[#This Row],[CultureDuration_days]]/7,0)</f>
        <v>8</v>
      </c>
      <c r="J4787">
        <v>1135</v>
      </c>
      <c r="K4787" t="str">
        <f>_xlfn.CONCAT(WEEKNUM(CompilDonnées[[#This Row],[PlantationDate]]), " ", YEAR(CompilDonnées[[#This Row],[PlantationDate]]))</f>
        <v>36 2025</v>
      </c>
      <c r="L4787" t="str">
        <f>CONCATENATE(MONTH(CompilDonnées[[#This Row],[PlantationDate]])," ", YEAR(CompilDonnées[[#This Row],[PlantationDate]]))</f>
        <v>9 2025</v>
      </c>
      <c r="M4787" t="str">
        <f>CONCATENATE(MONTH(CompilDonnées[[#This Row],[HarvestingDate]])," ", YEAR(CompilDonnées[[#This Row],[HarvestingDate]]))</f>
        <v>10 2025</v>
      </c>
      <c r="N4787">
        <f>_xlfn.NUMBERVALUE(CompilDonnées[[#This Row],[FarmID]]&amp;CompilDonnées[[#This Row],[ModuleNumber]]&amp;CompilDonnées[[#This Row],[PlantationDate]])</f>
        <v>96145904</v>
      </c>
      <c r="O4787" t="str">
        <f>CompilDonnées[[#This Row],[FarmID]]&amp;CompilDonnées[[#This Row],[ModuleNumber]]</f>
        <v>961</v>
      </c>
      <c r="P4787" t="str">
        <f>CompilDonnées[[#This Row],[Ref_Module]]&amp;CompilDonnées[[#This Row],[HarvestingDate]]</f>
        <v>96145959</v>
      </c>
    </row>
    <row r="4788" spans="1:16">
      <c r="A4788" s="5">
        <v>45904</v>
      </c>
      <c r="B4788">
        <v>103</v>
      </c>
      <c r="C4788" t="s">
        <v>86</v>
      </c>
      <c r="D4788">
        <v>2</v>
      </c>
      <c r="E4788">
        <v>100</v>
      </c>
      <c r="F4788" t="s">
        <v>1</v>
      </c>
      <c r="G4788" s="6">
        <v>45952</v>
      </c>
      <c r="H4788">
        <v>48</v>
      </c>
      <c r="I4788">
        <f>ROUND(CompilDonnées[[#This Row],[CultureDuration_days]]/7,0)</f>
        <v>7</v>
      </c>
      <c r="J4788">
        <v>1332</v>
      </c>
      <c r="K4788" t="str">
        <f>_xlfn.CONCAT(WEEKNUM(CompilDonnées[[#This Row],[PlantationDate]]), " ", YEAR(CompilDonnées[[#This Row],[PlantationDate]]))</f>
        <v>36 2025</v>
      </c>
      <c r="L4788" t="str">
        <f>CONCATENATE(MONTH(CompilDonnées[[#This Row],[PlantationDate]])," ", YEAR(CompilDonnées[[#This Row],[PlantationDate]]))</f>
        <v>9 2025</v>
      </c>
      <c r="M4788" t="str">
        <f>CONCATENATE(MONTH(CompilDonnées[[#This Row],[HarvestingDate]])," ", YEAR(CompilDonnées[[#This Row],[HarvestingDate]]))</f>
        <v>10 2025</v>
      </c>
      <c r="N4788">
        <f>_xlfn.NUMBERVALUE(CompilDonnées[[#This Row],[FarmID]]&amp;CompilDonnées[[#This Row],[ModuleNumber]]&amp;CompilDonnées[[#This Row],[PlantationDate]])</f>
        <v>103245904</v>
      </c>
      <c r="O4788" t="str">
        <f>CompilDonnées[[#This Row],[FarmID]]&amp;CompilDonnées[[#This Row],[ModuleNumber]]</f>
        <v>1032</v>
      </c>
      <c r="P4788" t="str">
        <f>CompilDonnées[[#This Row],[Ref_Module]]&amp;CompilDonnées[[#This Row],[HarvestingDate]]</f>
        <v>103245952</v>
      </c>
    </row>
    <row r="4789" spans="1:16">
      <c r="A4789" s="5">
        <v>45904</v>
      </c>
      <c r="B4789">
        <v>102</v>
      </c>
      <c r="C4789" t="s">
        <v>85</v>
      </c>
      <c r="D4789">
        <v>3</v>
      </c>
      <c r="E4789">
        <v>100</v>
      </c>
      <c r="F4789" t="s">
        <v>1</v>
      </c>
      <c r="G4789" s="6">
        <v>45950</v>
      </c>
      <c r="H4789">
        <v>46</v>
      </c>
      <c r="I4789">
        <f>ROUND(CompilDonnées[[#This Row],[CultureDuration_days]]/7,0)</f>
        <v>7</v>
      </c>
      <c r="J4789">
        <v>1232</v>
      </c>
      <c r="K4789" t="str">
        <f>_xlfn.CONCAT(WEEKNUM(CompilDonnées[[#This Row],[PlantationDate]]), " ", YEAR(CompilDonnées[[#This Row],[PlantationDate]]))</f>
        <v>36 2025</v>
      </c>
      <c r="L4789" t="str">
        <f>CONCATENATE(MONTH(CompilDonnées[[#This Row],[PlantationDate]])," ", YEAR(CompilDonnées[[#This Row],[PlantationDate]]))</f>
        <v>9 2025</v>
      </c>
      <c r="M4789" t="str">
        <f>CONCATENATE(MONTH(CompilDonnées[[#This Row],[HarvestingDate]])," ", YEAR(CompilDonnées[[#This Row],[HarvestingDate]]))</f>
        <v>10 2025</v>
      </c>
      <c r="N4789">
        <f>_xlfn.NUMBERVALUE(CompilDonnées[[#This Row],[FarmID]]&amp;CompilDonnées[[#This Row],[ModuleNumber]]&amp;CompilDonnées[[#This Row],[PlantationDate]])</f>
        <v>102345904</v>
      </c>
      <c r="O4789" t="str">
        <f>CompilDonnées[[#This Row],[FarmID]]&amp;CompilDonnées[[#This Row],[ModuleNumber]]</f>
        <v>1023</v>
      </c>
      <c r="P4789" t="str">
        <f>CompilDonnées[[#This Row],[Ref_Module]]&amp;CompilDonnées[[#This Row],[HarvestingDate]]</f>
        <v>102345950</v>
      </c>
    </row>
    <row r="4790" spans="1:16">
      <c r="A4790" s="5">
        <v>45904</v>
      </c>
      <c r="B4790">
        <v>112</v>
      </c>
      <c r="C4790" t="s">
        <v>15</v>
      </c>
      <c r="D4790">
        <v>3</v>
      </c>
      <c r="E4790">
        <v>100</v>
      </c>
      <c r="F4790" t="s">
        <v>1</v>
      </c>
      <c r="G4790" s="6">
        <v>45950</v>
      </c>
      <c r="H4790">
        <v>46</v>
      </c>
      <c r="I4790">
        <f>ROUND(CompilDonnées[[#This Row],[CultureDuration_days]]/7,0)</f>
        <v>7</v>
      </c>
      <c r="J4790">
        <v>2951</v>
      </c>
      <c r="K4790" t="str">
        <f>_xlfn.CONCAT(WEEKNUM(CompilDonnées[[#This Row],[PlantationDate]]), " ", YEAR(CompilDonnées[[#This Row],[PlantationDate]]))</f>
        <v>36 2025</v>
      </c>
      <c r="L4790" t="str">
        <f>CONCATENATE(MONTH(CompilDonnées[[#This Row],[PlantationDate]])," ", YEAR(CompilDonnées[[#This Row],[PlantationDate]]))</f>
        <v>9 2025</v>
      </c>
      <c r="M4790" t="str">
        <f>CONCATENATE(MONTH(CompilDonnées[[#This Row],[HarvestingDate]])," ", YEAR(CompilDonnées[[#This Row],[HarvestingDate]]))</f>
        <v>10 2025</v>
      </c>
      <c r="N4790">
        <f>_xlfn.NUMBERVALUE(CompilDonnées[[#This Row],[FarmID]]&amp;CompilDonnées[[#This Row],[ModuleNumber]]&amp;CompilDonnées[[#This Row],[PlantationDate]])</f>
        <v>112345904</v>
      </c>
      <c r="O4790" t="str">
        <f>CompilDonnées[[#This Row],[FarmID]]&amp;CompilDonnées[[#This Row],[ModuleNumber]]</f>
        <v>1123</v>
      </c>
      <c r="P4790" t="str">
        <f>CompilDonnées[[#This Row],[Ref_Module]]&amp;CompilDonnées[[#This Row],[HarvestingDate]]</f>
        <v>112345950</v>
      </c>
    </row>
    <row r="4791" spans="1:16">
      <c r="A4791" s="5">
        <v>45904</v>
      </c>
      <c r="B4791">
        <v>111</v>
      </c>
      <c r="C4791" t="s">
        <v>41</v>
      </c>
      <c r="D4791">
        <v>5</v>
      </c>
      <c r="E4791">
        <v>100</v>
      </c>
      <c r="F4791" t="s">
        <v>1</v>
      </c>
      <c r="G4791" s="6">
        <v>45950</v>
      </c>
      <c r="H4791">
        <v>46</v>
      </c>
      <c r="I4791">
        <f>ROUND(CompilDonnées[[#This Row],[CultureDuration_days]]/7,0)</f>
        <v>7</v>
      </c>
      <c r="J4791">
        <v>2944</v>
      </c>
      <c r="K4791" t="str">
        <f>_xlfn.CONCAT(WEEKNUM(CompilDonnées[[#This Row],[PlantationDate]]), " ", YEAR(CompilDonnées[[#This Row],[PlantationDate]]))</f>
        <v>36 2025</v>
      </c>
      <c r="L4791" t="str">
        <f>CONCATENATE(MONTH(CompilDonnées[[#This Row],[PlantationDate]])," ", YEAR(CompilDonnées[[#This Row],[PlantationDate]]))</f>
        <v>9 2025</v>
      </c>
      <c r="M4791" t="str">
        <f>CONCATENATE(MONTH(CompilDonnées[[#This Row],[HarvestingDate]])," ", YEAR(CompilDonnées[[#This Row],[HarvestingDate]]))</f>
        <v>10 2025</v>
      </c>
      <c r="N4791">
        <f>_xlfn.NUMBERVALUE(CompilDonnées[[#This Row],[FarmID]]&amp;CompilDonnées[[#This Row],[ModuleNumber]]&amp;CompilDonnées[[#This Row],[PlantationDate]])</f>
        <v>111545904</v>
      </c>
      <c r="O4791" t="str">
        <f>CompilDonnées[[#This Row],[FarmID]]&amp;CompilDonnées[[#This Row],[ModuleNumber]]</f>
        <v>1115</v>
      </c>
      <c r="P4791" t="str">
        <f>CompilDonnées[[#This Row],[Ref_Module]]&amp;CompilDonnées[[#This Row],[HarvestingDate]]</f>
        <v>111545950</v>
      </c>
    </row>
    <row r="4792" spans="1:16">
      <c r="A4792" s="5">
        <v>45904</v>
      </c>
      <c r="B4792">
        <v>110</v>
      </c>
      <c r="C4792" t="s">
        <v>14</v>
      </c>
      <c r="D4792">
        <v>6</v>
      </c>
      <c r="E4792">
        <v>100</v>
      </c>
      <c r="F4792" t="s">
        <v>1</v>
      </c>
      <c r="G4792" s="6">
        <v>45950</v>
      </c>
      <c r="H4792">
        <v>46</v>
      </c>
      <c r="I4792">
        <f>ROUND(CompilDonnées[[#This Row],[CultureDuration_days]]/7,0)</f>
        <v>7</v>
      </c>
      <c r="J4792">
        <v>3073</v>
      </c>
      <c r="K4792" t="str">
        <f>_xlfn.CONCAT(WEEKNUM(CompilDonnées[[#This Row],[PlantationDate]]), " ", YEAR(CompilDonnées[[#This Row],[PlantationDate]]))</f>
        <v>36 2025</v>
      </c>
      <c r="L4792" t="str">
        <f>CONCATENATE(MONTH(CompilDonnées[[#This Row],[PlantationDate]])," ", YEAR(CompilDonnées[[#This Row],[PlantationDate]]))</f>
        <v>9 2025</v>
      </c>
      <c r="M4792" t="str">
        <f>CONCATENATE(MONTH(CompilDonnées[[#This Row],[HarvestingDate]])," ", YEAR(CompilDonnées[[#This Row],[HarvestingDate]]))</f>
        <v>10 2025</v>
      </c>
      <c r="N4792">
        <f>_xlfn.NUMBERVALUE(CompilDonnées[[#This Row],[FarmID]]&amp;CompilDonnées[[#This Row],[ModuleNumber]]&amp;CompilDonnées[[#This Row],[PlantationDate]])</f>
        <v>110645904</v>
      </c>
      <c r="O4792" t="str">
        <f>CompilDonnées[[#This Row],[FarmID]]&amp;CompilDonnées[[#This Row],[ModuleNumber]]</f>
        <v>1106</v>
      </c>
      <c r="P4792" t="str">
        <f>CompilDonnées[[#This Row],[Ref_Module]]&amp;CompilDonnées[[#This Row],[HarvestingDate]]</f>
        <v>110645950</v>
      </c>
    </row>
    <row r="4793" spans="1:16">
      <c r="A4793" s="5">
        <v>45904</v>
      </c>
      <c r="B4793">
        <v>141</v>
      </c>
      <c r="C4793" t="s">
        <v>3</v>
      </c>
      <c r="D4793">
        <v>6</v>
      </c>
      <c r="E4793">
        <v>100</v>
      </c>
      <c r="F4793" t="s">
        <v>1</v>
      </c>
      <c r="G4793" s="6">
        <v>45950</v>
      </c>
      <c r="H4793">
        <v>46</v>
      </c>
      <c r="I4793">
        <f>ROUND(CompilDonnées[[#This Row],[CultureDuration_days]]/7,0)</f>
        <v>7</v>
      </c>
      <c r="J4793">
        <v>1910</v>
      </c>
      <c r="K4793" t="str">
        <f>_xlfn.CONCAT(WEEKNUM(CompilDonnées[[#This Row],[PlantationDate]]), " ", YEAR(CompilDonnées[[#This Row],[PlantationDate]]))</f>
        <v>36 2025</v>
      </c>
      <c r="L4793" t="str">
        <f>CONCATENATE(MONTH(CompilDonnées[[#This Row],[PlantationDate]])," ", YEAR(CompilDonnées[[#This Row],[PlantationDate]]))</f>
        <v>9 2025</v>
      </c>
      <c r="M4793" t="str">
        <f>CONCATENATE(MONTH(CompilDonnées[[#This Row],[HarvestingDate]])," ", YEAR(CompilDonnées[[#This Row],[HarvestingDate]]))</f>
        <v>10 2025</v>
      </c>
      <c r="N4793">
        <f>_xlfn.NUMBERVALUE(CompilDonnées[[#This Row],[FarmID]]&amp;CompilDonnées[[#This Row],[ModuleNumber]]&amp;CompilDonnées[[#This Row],[PlantationDate]])</f>
        <v>141645904</v>
      </c>
      <c r="O4793" t="str">
        <f>CompilDonnées[[#This Row],[FarmID]]&amp;CompilDonnées[[#This Row],[ModuleNumber]]</f>
        <v>1416</v>
      </c>
      <c r="P4793" t="str">
        <f>CompilDonnées[[#This Row],[Ref_Module]]&amp;CompilDonnées[[#This Row],[HarvestingDate]]</f>
        <v>141645950</v>
      </c>
    </row>
    <row r="4794" spans="1:16">
      <c r="A4794" s="5">
        <v>45904</v>
      </c>
      <c r="B4794">
        <v>141</v>
      </c>
      <c r="C4794" t="s">
        <v>3</v>
      </c>
      <c r="D4794">
        <v>5</v>
      </c>
      <c r="E4794">
        <v>68</v>
      </c>
      <c r="F4794" t="s">
        <v>1</v>
      </c>
      <c r="G4794" s="6">
        <v>45950</v>
      </c>
      <c r="H4794">
        <v>46</v>
      </c>
      <c r="I4794">
        <f>ROUND(CompilDonnées[[#This Row],[CultureDuration_days]]/7,0)</f>
        <v>7</v>
      </c>
      <c r="J4794">
        <v>1810</v>
      </c>
      <c r="K4794" t="str">
        <f>_xlfn.CONCAT(WEEKNUM(CompilDonnées[[#This Row],[PlantationDate]]), " ", YEAR(CompilDonnées[[#This Row],[PlantationDate]]))</f>
        <v>36 2025</v>
      </c>
      <c r="L4794" t="str">
        <f>CONCATENATE(MONTH(CompilDonnées[[#This Row],[PlantationDate]])," ", YEAR(CompilDonnées[[#This Row],[PlantationDate]]))</f>
        <v>9 2025</v>
      </c>
      <c r="M4794" t="str">
        <f>CONCATENATE(MONTH(CompilDonnées[[#This Row],[HarvestingDate]])," ", YEAR(CompilDonnées[[#This Row],[HarvestingDate]]))</f>
        <v>10 2025</v>
      </c>
      <c r="N4794">
        <f>_xlfn.NUMBERVALUE(CompilDonnées[[#This Row],[FarmID]]&amp;CompilDonnées[[#This Row],[ModuleNumber]]&amp;CompilDonnées[[#This Row],[PlantationDate]])</f>
        <v>141545904</v>
      </c>
      <c r="O4794" t="str">
        <f>CompilDonnées[[#This Row],[FarmID]]&amp;CompilDonnées[[#This Row],[ModuleNumber]]</f>
        <v>1415</v>
      </c>
      <c r="P4794" t="str">
        <f>CompilDonnées[[#This Row],[Ref_Module]]&amp;CompilDonnées[[#This Row],[HarvestingDate]]</f>
        <v>141545950</v>
      </c>
    </row>
    <row r="4795" spans="1:16">
      <c r="A4795" s="5">
        <v>45904</v>
      </c>
      <c r="B4795">
        <v>141</v>
      </c>
      <c r="C4795" t="s">
        <v>3</v>
      </c>
      <c r="D4795">
        <v>4</v>
      </c>
      <c r="E4795">
        <v>52</v>
      </c>
      <c r="F4795" t="s">
        <v>1</v>
      </c>
      <c r="G4795" s="6">
        <v>45950</v>
      </c>
      <c r="H4795">
        <v>46</v>
      </c>
      <c r="I4795">
        <f>ROUND(CompilDonnées[[#This Row],[CultureDuration_days]]/7,0)</f>
        <v>7</v>
      </c>
      <c r="J4795">
        <v>1980</v>
      </c>
      <c r="K4795" t="str">
        <f>_xlfn.CONCAT(WEEKNUM(CompilDonnées[[#This Row],[PlantationDate]]), " ", YEAR(CompilDonnées[[#This Row],[PlantationDate]]))</f>
        <v>36 2025</v>
      </c>
      <c r="L4795" t="str">
        <f>CONCATENATE(MONTH(CompilDonnées[[#This Row],[PlantationDate]])," ", YEAR(CompilDonnées[[#This Row],[PlantationDate]]))</f>
        <v>9 2025</v>
      </c>
      <c r="M4795" t="str">
        <f>CONCATENATE(MONTH(CompilDonnées[[#This Row],[HarvestingDate]])," ", YEAR(CompilDonnées[[#This Row],[HarvestingDate]]))</f>
        <v>10 2025</v>
      </c>
      <c r="N4795">
        <f>_xlfn.NUMBERVALUE(CompilDonnées[[#This Row],[FarmID]]&amp;CompilDonnées[[#This Row],[ModuleNumber]]&amp;CompilDonnées[[#This Row],[PlantationDate]])</f>
        <v>141445904</v>
      </c>
      <c r="O4795" t="str">
        <f>CompilDonnées[[#This Row],[FarmID]]&amp;CompilDonnées[[#This Row],[ModuleNumber]]</f>
        <v>1414</v>
      </c>
      <c r="P4795" t="str">
        <f>CompilDonnées[[#This Row],[Ref_Module]]&amp;CompilDonnées[[#This Row],[HarvestingDate]]</f>
        <v>141445950</v>
      </c>
    </row>
    <row r="4796" spans="1:16">
      <c r="A4796" s="5">
        <v>45904</v>
      </c>
      <c r="B4796">
        <v>50</v>
      </c>
      <c r="C4796" t="s">
        <v>55</v>
      </c>
      <c r="D4796">
        <v>4</v>
      </c>
      <c r="E4796">
        <v>100</v>
      </c>
      <c r="F4796" t="s">
        <v>1</v>
      </c>
      <c r="G4796" s="6">
        <v>45958</v>
      </c>
      <c r="H4796">
        <v>54</v>
      </c>
      <c r="I4796">
        <f>ROUND(CompilDonnées[[#This Row],[CultureDuration_days]]/7,0)</f>
        <v>8</v>
      </c>
      <c r="J4796">
        <v>2293</v>
      </c>
      <c r="K4796" t="str">
        <f>_xlfn.CONCAT(WEEKNUM(CompilDonnées[[#This Row],[PlantationDate]]), " ", YEAR(CompilDonnées[[#This Row],[PlantationDate]]))</f>
        <v>36 2025</v>
      </c>
      <c r="L4796" t="str">
        <f>CONCATENATE(MONTH(CompilDonnées[[#This Row],[PlantationDate]])," ", YEAR(CompilDonnées[[#This Row],[PlantationDate]]))</f>
        <v>9 2025</v>
      </c>
      <c r="M4796" t="str">
        <f>CONCATENATE(MONTH(CompilDonnées[[#This Row],[HarvestingDate]])," ", YEAR(CompilDonnées[[#This Row],[HarvestingDate]]))</f>
        <v>10 2025</v>
      </c>
      <c r="N4796">
        <f>_xlfn.NUMBERVALUE(CompilDonnées[[#This Row],[FarmID]]&amp;CompilDonnées[[#This Row],[ModuleNumber]]&amp;CompilDonnées[[#This Row],[PlantationDate]])</f>
        <v>50445904</v>
      </c>
      <c r="O4796" t="str">
        <f>CompilDonnées[[#This Row],[FarmID]]&amp;CompilDonnées[[#This Row],[ModuleNumber]]</f>
        <v>504</v>
      </c>
      <c r="P4796" t="str">
        <f>CompilDonnées[[#This Row],[Ref_Module]]&amp;CompilDonnées[[#This Row],[HarvestingDate]]</f>
        <v>50445958</v>
      </c>
    </row>
    <row r="4797" spans="1:16">
      <c r="A4797" s="5">
        <v>45904</v>
      </c>
      <c r="B4797">
        <v>48</v>
      </c>
      <c r="C4797" t="s">
        <v>71</v>
      </c>
      <c r="D4797">
        <v>2</v>
      </c>
      <c r="E4797">
        <v>100</v>
      </c>
      <c r="F4797" t="s">
        <v>1</v>
      </c>
      <c r="G4797" s="6">
        <v>45957</v>
      </c>
      <c r="H4797">
        <v>53</v>
      </c>
      <c r="I4797">
        <f>ROUND(CompilDonnées[[#This Row],[CultureDuration_days]]/7,0)</f>
        <v>8</v>
      </c>
      <c r="J4797">
        <v>1313</v>
      </c>
      <c r="K4797" t="str">
        <f>_xlfn.CONCAT(WEEKNUM(CompilDonnées[[#This Row],[PlantationDate]]), " ", YEAR(CompilDonnées[[#This Row],[PlantationDate]]))</f>
        <v>36 2025</v>
      </c>
      <c r="L4797" t="str">
        <f>CONCATENATE(MONTH(CompilDonnées[[#This Row],[PlantationDate]])," ", YEAR(CompilDonnées[[#This Row],[PlantationDate]]))</f>
        <v>9 2025</v>
      </c>
      <c r="M4797" t="str">
        <f>CONCATENATE(MONTH(CompilDonnées[[#This Row],[HarvestingDate]])," ", YEAR(CompilDonnées[[#This Row],[HarvestingDate]]))</f>
        <v>10 2025</v>
      </c>
      <c r="N4797">
        <f>_xlfn.NUMBERVALUE(CompilDonnées[[#This Row],[FarmID]]&amp;CompilDonnées[[#This Row],[ModuleNumber]]&amp;CompilDonnées[[#This Row],[PlantationDate]])</f>
        <v>48245904</v>
      </c>
      <c r="O4797" t="str">
        <f>CompilDonnées[[#This Row],[FarmID]]&amp;CompilDonnées[[#This Row],[ModuleNumber]]</f>
        <v>482</v>
      </c>
      <c r="P4797" t="str">
        <f>CompilDonnées[[#This Row],[Ref_Module]]&amp;CompilDonnées[[#This Row],[HarvestingDate]]</f>
        <v>48245957</v>
      </c>
    </row>
    <row r="4798" spans="1:16">
      <c r="A4798" s="5">
        <v>45904</v>
      </c>
      <c r="B4798">
        <v>65</v>
      </c>
      <c r="C4798" t="s">
        <v>36</v>
      </c>
      <c r="D4798">
        <v>6</v>
      </c>
      <c r="E4798">
        <v>100</v>
      </c>
      <c r="F4798" t="s">
        <v>1</v>
      </c>
      <c r="G4798" s="6">
        <v>45952</v>
      </c>
      <c r="H4798">
        <v>48</v>
      </c>
      <c r="I4798">
        <f>ROUND(CompilDonnées[[#This Row],[CultureDuration_days]]/7,0)</f>
        <v>7</v>
      </c>
      <c r="J4798">
        <v>2946</v>
      </c>
      <c r="K4798" t="str">
        <f>_xlfn.CONCAT(WEEKNUM(CompilDonnées[[#This Row],[PlantationDate]]), " ", YEAR(CompilDonnées[[#This Row],[PlantationDate]]))</f>
        <v>36 2025</v>
      </c>
      <c r="L4798" t="str">
        <f>CONCATENATE(MONTH(CompilDonnées[[#This Row],[PlantationDate]])," ", YEAR(CompilDonnées[[#This Row],[PlantationDate]]))</f>
        <v>9 2025</v>
      </c>
      <c r="M4798" t="str">
        <f>CONCATENATE(MONTH(CompilDonnées[[#This Row],[HarvestingDate]])," ", YEAR(CompilDonnées[[#This Row],[HarvestingDate]]))</f>
        <v>10 2025</v>
      </c>
      <c r="N4798">
        <f>_xlfn.NUMBERVALUE(CompilDonnées[[#This Row],[FarmID]]&amp;CompilDonnées[[#This Row],[ModuleNumber]]&amp;CompilDonnées[[#This Row],[PlantationDate]])</f>
        <v>65645904</v>
      </c>
      <c r="O4798" t="str">
        <f>CompilDonnées[[#This Row],[FarmID]]&amp;CompilDonnées[[#This Row],[ModuleNumber]]</f>
        <v>656</v>
      </c>
      <c r="P4798" t="str">
        <f>CompilDonnées[[#This Row],[Ref_Module]]&amp;CompilDonnées[[#This Row],[HarvestingDate]]</f>
        <v>65645952</v>
      </c>
    </row>
    <row r="4799" spans="1:16">
      <c r="A4799" s="5">
        <v>45904</v>
      </c>
      <c r="B4799">
        <v>66</v>
      </c>
      <c r="C4799" t="s">
        <v>48</v>
      </c>
      <c r="D4799">
        <v>4</v>
      </c>
      <c r="E4799">
        <v>100</v>
      </c>
      <c r="F4799" t="s">
        <v>1</v>
      </c>
      <c r="G4799" s="6">
        <v>45952</v>
      </c>
      <c r="H4799">
        <v>48</v>
      </c>
      <c r="I4799">
        <f>ROUND(CompilDonnées[[#This Row],[CultureDuration_days]]/7,0)</f>
        <v>7</v>
      </c>
      <c r="J4799">
        <v>2740</v>
      </c>
      <c r="K4799" t="str">
        <f>_xlfn.CONCAT(WEEKNUM(CompilDonnées[[#This Row],[PlantationDate]]), " ", YEAR(CompilDonnées[[#This Row],[PlantationDate]]))</f>
        <v>36 2025</v>
      </c>
      <c r="L4799" t="str">
        <f>CONCATENATE(MONTH(CompilDonnées[[#This Row],[PlantationDate]])," ", YEAR(CompilDonnées[[#This Row],[PlantationDate]]))</f>
        <v>9 2025</v>
      </c>
      <c r="M4799" t="str">
        <f>CONCATENATE(MONTH(CompilDonnées[[#This Row],[HarvestingDate]])," ", YEAR(CompilDonnées[[#This Row],[HarvestingDate]]))</f>
        <v>10 2025</v>
      </c>
      <c r="N4799">
        <f>_xlfn.NUMBERVALUE(CompilDonnées[[#This Row],[FarmID]]&amp;CompilDonnées[[#This Row],[ModuleNumber]]&amp;CompilDonnées[[#This Row],[PlantationDate]])</f>
        <v>66445904</v>
      </c>
      <c r="O4799" t="str">
        <f>CompilDonnées[[#This Row],[FarmID]]&amp;CompilDonnées[[#This Row],[ModuleNumber]]</f>
        <v>664</v>
      </c>
      <c r="P4799" t="str">
        <f>CompilDonnées[[#This Row],[Ref_Module]]&amp;CompilDonnées[[#This Row],[HarvestingDate]]</f>
        <v>66445952</v>
      </c>
    </row>
    <row r="4800" spans="1:16">
      <c r="A4800" s="5">
        <v>45904</v>
      </c>
      <c r="B4800">
        <v>71</v>
      </c>
      <c r="C4800" t="s">
        <v>19</v>
      </c>
      <c r="D4800">
        <v>2</v>
      </c>
      <c r="E4800">
        <v>100</v>
      </c>
      <c r="F4800" t="s">
        <v>1</v>
      </c>
      <c r="G4800" s="6">
        <v>45958</v>
      </c>
      <c r="H4800">
        <v>54</v>
      </c>
      <c r="I4800">
        <f>ROUND(CompilDonnées[[#This Row],[CultureDuration_days]]/7,0)</f>
        <v>8</v>
      </c>
      <c r="J4800">
        <v>1765</v>
      </c>
      <c r="K4800" t="str">
        <f>_xlfn.CONCAT(WEEKNUM(CompilDonnées[[#This Row],[PlantationDate]]), " ", YEAR(CompilDonnées[[#This Row],[PlantationDate]]))</f>
        <v>36 2025</v>
      </c>
      <c r="L4800" t="str">
        <f>CONCATENATE(MONTH(CompilDonnées[[#This Row],[PlantationDate]])," ", YEAR(CompilDonnées[[#This Row],[PlantationDate]]))</f>
        <v>9 2025</v>
      </c>
      <c r="M4800" t="str">
        <f>CONCATENATE(MONTH(CompilDonnées[[#This Row],[HarvestingDate]])," ", YEAR(CompilDonnées[[#This Row],[HarvestingDate]]))</f>
        <v>10 2025</v>
      </c>
      <c r="N4800">
        <f>_xlfn.NUMBERVALUE(CompilDonnées[[#This Row],[FarmID]]&amp;CompilDonnées[[#This Row],[ModuleNumber]]&amp;CompilDonnées[[#This Row],[PlantationDate]])</f>
        <v>71245904</v>
      </c>
      <c r="O4800" t="str">
        <f>CompilDonnées[[#This Row],[FarmID]]&amp;CompilDonnées[[#This Row],[ModuleNumber]]</f>
        <v>712</v>
      </c>
      <c r="P4800" t="str">
        <f>CompilDonnées[[#This Row],[Ref_Module]]&amp;CompilDonnées[[#This Row],[HarvestingDate]]</f>
        <v>71245958</v>
      </c>
    </row>
    <row r="4801" spans="1:16">
      <c r="A4801" s="5">
        <v>45904</v>
      </c>
      <c r="B4801">
        <v>82</v>
      </c>
      <c r="C4801" t="s">
        <v>17</v>
      </c>
      <c r="D4801">
        <v>5</v>
      </c>
      <c r="E4801">
        <v>100</v>
      </c>
      <c r="F4801" t="s">
        <v>1</v>
      </c>
      <c r="G4801" s="6">
        <v>45945</v>
      </c>
      <c r="H4801">
        <v>41</v>
      </c>
      <c r="I4801">
        <f>ROUND(CompilDonnées[[#This Row],[CultureDuration_days]]/7,0)</f>
        <v>6</v>
      </c>
      <c r="J4801">
        <v>3729</v>
      </c>
      <c r="K4801" t="str">
        <f>_xlfn.CONCAT(WEEKNUM(CompilDonnées[[#This Row],[PlantationDate]]), " ", YEAR(CompilDonnées[[#This Row],[PlantationDate]]))</f>
        <v>36 2025</v>
      </c>
      <c r="L4801" t="str">
        <f>CONCATENATE(MONTH(CompilDonnées[[#This Row],[PlantationDate]])," ", YEAR(CompilDonnées[[#This Row],[PlantationDate]]))</f>
        <v>9 2025</v>
      </c>
      <c r="M4801" t="str">
        <f>CONCATENATE(MONTH(CompilDonnées[[#This Row],[HarvestingDate]])," ", YEAR(CompilDonnées[[#This Row],[HarvestingDate]]))</f>
        <v>10 2025</v>
      </c>
      <c r="N4801">
        <f>_xlfn.NUMBERVALUE(CompilDonnées[[#This Row],[FarmID]]&amp;CompilDonnées[[#This Row],[ModuleNumber]]&amp;CompilDonnées[[#This Row],[PlantationDate]])</f>
        <v>82545904</v>
      </c>
      <c r="O4801" t="str">
        <f>CompilDonnées[[#This Row],[FarmID]]&amp;CompilDonnées[[#This Row],[ModuleNumber]]</f>
        <v>825</v>
      </c>
      <c r="P4801" t="str">
        <f>CompilDonnées[[#This Row],[Ref_Module]]&amp;CompilDonnées[[#This Row],[HarvestingDate]]</f>
        <v>82545945</v>
      </c>
    </row>
    <row r="4802" spans="1:16">
      <c r="A4802" s="5">
        <v>45904</v>
      </c>
      <c r="B4802">
        <v>81</v>
      </c>
      <c r="C4802" t="s">
        <v>30</v>
      </c>
      <c r="D4802">
        <v>2</v>
      </c>
      <c r="E4802">
        <v>100</v>
      </c>
      <c r="F4802" t="s">
        <v>1</v>
      </c>
      <c r="G4802" s="6">
        <v>45951</v>
      </c>
      <c r="H4802">
        <v>47</v>
      </c>
      <c r="I4802">
        <f>ROUND(CompilDonnées[[#This Row],[CultureDuration_days]]/7,0)</f>
        <v>7</v>
      </c>
      <c r="J4802">
        <v>3078</v>
      </c>
      <c r="K4802" t="str">
        <f>_xlfn.CONCAT(WEEKNUM(CompilDonnées[[#This Row],[PlantationDate]]), " ", YEAR(CompilDonnées[[#This Row],[PlantationDate]]))</f>
        <v>36 2025</v>
      </c>
      <c r="L4802" t="str">
        <f>CONCATENATE(MONTH(CompilDonnées[[#This Row],[PlantationDate]])," ", YEAR(CompilDonnées[[#This Row],[PlantationDate]]))</f>
        <v>9 2025</v>
      </c>
      <c r="M4802" t="str">
        <f>CONCATENATE(MONTH(CompilDonnées[[#This Row],[HarvestingDate]])," ", YEAR(CompilDonnées[[#This Row],[HarvestingDate]]))</f>
        <v>10 2025</v>
      </c>
      <c r="N4802">
        <f>_xlfn.NUMBERVALUE(CompilDonnées[[#This Row],[FarmID]]&amp;CompilDonnées[[#This Row],[ModuleNumber]]&amp;CompilDonnées[[#This Row],[PlantationDate]])</f>
        <v>81245904</v>
      </c>
      <c r="O4802" t="str">
        <f>CompilDonnées[[#This Row],[FarmID]]&amp;CompilDonnées[[#This Row],[ModuleNumber]]</f>
        <v>812</v>
      </c>
      <c r="P4802" t="str">
        <f>CompilDonnées[[#This Row],[Ref_Module]]&amp;CompilDonnées[[#This Row],[HarvestingDate]]</f>
        <v>81245951</v>
      </c>
    </row>
    <row r="4803" spans="1:16">
      <c r="A4803" s="5">
        <v>45904</v>
      </c>
      <c r="B4803">
        <v>84</v>
      </c>
      <c r="C4803" t="s">
        <v>65</v>
      </c>
      <c r="D4803">
        <v>1</v>
      </c>
      <c r="E4803">
        <v>100</v>
      </c>
      <c r="F4803" t="s">
        <v>1</v>
      </c>
      <c r="G4803" s="6">
        <v>45951</v>
      </c>
      <c r="H4803">
        <v>47</v>
      </c>
      <c r="I4803">
        <f>ROUND(CompilDonnées[[#This Row],[CultureDuration_days]]/7,0)</f>
        <v>7</v>
      </c>
      <c r="J4803">
        <v>1900</v>
      </c>
      <c r="K4803" t="str">
        <f>_xlfn.CONCAT(WEEKNUM(CompilDonnées[[#This Row],[PlantationDate]]), " ", YEAR(CompilDonnées[[#This Row],[PlantationDate]]))</f>
        <v>36 2025</v>
      </c>
      <c r="L4803" t="str">
        <f>CONCATENATE(MONTH(CompilDonnées[[#This Row],[PlantationDate]])," ", YEAR(CompilDonnées[[#This Row],[PlantationDate]]))</f>
        <v>9 2025</v>
      </c>
      <c r="M4803" t="str">
        <f>CONCATENATE(MONTH(CompilDonnées[[#This Row],[HarvestingDate]])," ", YEAR(CompilDonnées[[#This Row],[HarvestingDate]]))</f>
        <v>10 2025</v>
      </c>
      <c r="N4803">
        <f>_xlfn.NUMBERVALUE(CompilDonnées[[#This Row],[FarmID]]&amp;CompilDonnées[[#This Row],[ModuleNumber]]&amp;CompilDonnées[[#This Row],[PlantationDate]])</f>
        <v>84145904</v>
      </c>
      <c r="O4803" t="str">
        <f>CompilDonnées[[#This Row],[FarmID]]&amp;CompilDonnées[[#This Row],[ModuleNumber]]</f>
        <v>841</v>
      </c>
      <c r="P4803" t="str">
        <f>CompilDonnées[[#This Row],[Ref_Module]]&amp;CompilDonnées[[#This Row],[HarvestingDate]]</f>
        <v>84145951</v>
      </c>
    </row>
    <row r="4804" spans="1:16">
      <c r="A4804" s="5">
        <v>45905</v>
      </c>
      <c r="B4804">
        <v>80</v>
      </c>
      <c r="C4804" t="s">
        <v>29</v>
      </c>
      <c r="D4804">
        <v>4</v>
      </c>
      <c r="E4804">
        <v>100</v>
      </c>
      <c r="F4804" t="s">
        <v>1</v>
      </c>
      <c r="G4804" s="6">
        <v>45952</v>
      </c>
      <c r="H4804">
        <v>47</v>
      </c>
      <c r="I4804">
        <f>ROUND(CompilDonnées[[#This Row],[CultureDuration_days]]/7,0)</f>
        <v>7</v>
      </c>
      <c r="J4804">
        <v>3701</v>
      </c>
      <c r="K4804" t="str">
        <f>_xlfn.CONCAT(WEEKNUM(CompilDonnées[[#This Row],[PlantationDate]]), " ", YEAR(CompilDonnées[[#This Row],[PlantationDate]]))</f>
        <v>36 2025</v>
      </c>
      <c r="L4804" t="str">
        <f>CONCATENATE(MONTH(CompilDonnées[[#This Row],[PlantationDate]])," ", YEAR(CompilDonnées[[#This Row],[PlantationDate]]))</f>
        <v>9 2025</v>
      </c>
      <c r="M4804" t="str">
        <f>CONCATENATE(MONTH(CompilDonnées[[#This Row],[HarvestingDate]])," ", YEAR(CompilDonnées[[#This Row],[HarvestingDate]]))</f>
        <v>10 2025</v>
      </c>
      <c r="N4804">
        <f>_xlfn.NUMBERVALUE(CompilDonnées[[#This Row],[FarmID]]&amp;CompilDonnées[[#This Row],[ModuleNumber]]&amp;CompilDonnées[[#This Row],[PlantationDate]])</f>
        <v>80445905</v>
      </c>
      <c r="O4804" t="str">
        <f>CompilDonnées[[#This Row],[FarmID]]&amp;CompilDonnées[[#This Row],[ModuleNumber]]</f>
        <v>804</v>
      </c>
      <c r="P4804" t="str">
        <f>CompilDonnées[[#This Row],[Ref_Module]]&amp;CompilDonnées[[#This Row],[HarvestingDate]]</f>
        <v>80445952</v>
      </c>
    </row>
    <row r="4805" spans="1:16">
      <c r="A4805" s="5">
        <v>45905</v>
      </c>
      <c r="B4805">
        <v>143</v>
      </c>
      <c r="C4805" t="s">
        <v>81</v>
      </c>
      <c r="D4805">
        <v>5</v>
      </c>
      <c r="E4805">
        <v>100</v>
      </c>
      <c r="F4805" t="s">
        <v>1</v>
      </c>
      <c r="G4805" s="6">
        <v>45950</v>
      </c>
      <c r="H4805">
        <v>45</v>
      </c>
      <c r="I4805">
        <f>ROUND(CompilDonnées[[#This Row],[CultureDuration_days]]/7,0)</f>
        <v>6</v>
      </c>
      <c r="J4805">
        <v>1785</v>
      </c>
      <c r="K4805" t="str">
        <f>_xlfn.CONCAT(WEEKNUM(CompilDonnées[[#This Row],[PlantationDate]]), " ", YEAR(CompilDonnées[[#This Row],[PlantationDate]]))</f>
        <v>36 2025</v>
      </c>
      <c r="L4805" t="str">
        <f>CONCATENATE(MONTH(CompilDonnées[[#This Row],[PlantationDate]])," ", YEAR(CompilDonnées[[#This Row],[PlantationDate]]))</f>
        <v>9 2025</v>
      </c>
      <c r="M4805" t="str">
        <f>CONCATENATE(MONTH(CompilDonnées[[#This Row],[HarvestingDate]])," ", YEAR(CompilDonnées[[#This Row],[HarvestingDate]]))</f>
        <v>10 2025</v>
      </c>
      <c r="N4805">
        <f>_xlfn.NUMBERVALUE(CompilDonnées[[#This Row],[FarmID]]&amp;CompilDonnées[[#This Row],[ModuleNumber]]&amp;CompilDonnées[[#This Row],[PlantationDate]])</f>
        <v>143545905</v>
      </c>
      <c r="O4805" t="str">
        <f>CompilDonnées[[#This Row],[FarmID]]&amp;CompilDonnées[[#This Row],[ModuleNumber]]</f>
        <v>1435</v>
      </c>
      <c r="P4805" t="str">
        <f>CompilDonnées[[#This Row],[Ref_Module]]&amp;CompilDonnées[[#This Row],[HarvestingDate]]</f>
        <v>143545950</v>
      </c>
    </row>
    <row r="4806" spans="1:16">
      <c r="A4806" s="5">
        <v>45905</v>
      </c>
      <c r="B4806">
        <v>140</v>
      </c>
      <c r="C4806" t="s">
        <v>96</v>
      </c>
      <c r="D4806">
        <v>5</v>
      </c>
      <c r="E4806">
        <v>100</v>
      </c>
      <c r="F4806" t="s">
        <v>1</v>
      </c>
      <c r="G4806" s="6">
        <v>45950</v>
      </c>
      <c r="H4806">
        <v>45</v>
      </c>
      <c r="I4806">
        <f>ROUND(CompilDonnées[[#This Row],[CultureDuration_days]]/7,0)</f>
        <v>6</v>
      </c>
      <c r="J4806">
        <v>3551</v>
      </c>
      <c r="K4806" t="str">
        <f>_xlfn.CONCAT(WEEKNUM(CompilDonnées[[#This Row],[PlantationDate]]), " ", YEAR(CompilDonnées[[#This Row],[PlantationDate]]))</f>
        <v>36 2025</v>
      </c>
      <c r="L4806" t="str">
        <f>CONCATENATE(MONTH(CompilDonnées[[#This Row],[PlantationDate]])," ", YEAR(CompilDonnées[[#This Row],[PlantationDate]]))</f>
        <v>9 2025</v>
      </c>
      <c r="M4806" t="str">
        <f>CONCATENATE(MONTH(CompilDonnées[[#This Row],[HarvestingDate]])," ", YEAR(CompilDonnées[[#This Row],[HarvestingDate]]))</f>
        <v>10 2025</v>
      </c>
      <c r="N4806">
        <f>_xlfn.NUMBERVALUE(CompilDonnées[[#This Row],[FarmID]]&amp;CompilDonnées[[#This Row],[ModuleNumber]]&amp;CompilDonnées[[#This Row],[PlantationDate]])</f>
        <v>140545905</v>
      </c>
      <c r="O4806" t="str">
        <f>CompilDonnées[[#This Row],[FarmID]]&amp;CompilDonnées[[#This Row],[ModuleNumber]]</f>
        <v>1405</v>
      </c>
      <c r="P4806" t="str">
        <f>CompilDonnées[[#This Row],[Ref_Module]]&amp;CompilDonnées[[#This Row],[HarvestingDate]]</f>
        <v>140545950</v>
      </c>
    </row>
    <row r="4807" spans="1:16">
      <c r="A4807" s="5">
        <v>45905</v>
      </c>
      <c r="B4807">
        <v>139</v>
      </c>
      <c r="C4807" t="s">
        <v>103</v>
      </c>
      <c r="D4807">
        <v>6</v>
      </c>
      <c r="E4807">
        <v>100</v>
      </c>
      <c r="F4807" t="s">
        <v>1</v>
      </c>
      <c r="G4807" s="6">
        <v>45950</v>
      </c>
      <c r="H4807">
        <v>45</v>
      </c>
      <c r="I4807">
        <f>ROUND(CompilDonnées[[#This Row],[CultureDuration_days]]/7,0)</f>
        <v>6</v>
      </c>
      <c r="J4807">
        <v>3474</v>
      </c>
      <c r="K4807" t="str">
        <f>_xlfn.CONCAT(WEEKNUM(CompilDonnées[[#This Row],[PlantationDate]]), " ", YEAR(CompilDonnées[[#This Row],[PlantationDate]]))</f>
        <v>36 2025</v>
      </c>
      <c r="L4807" t="str">
        <f>CONCATENATE(MONTH(CompilDonnées[[#This Row],[PlantationDate]])," ", YEAR(CompilDonnées[[#This Row],[PlantationDate]]))</f>
        <v>9 2025</v>
      </c>
      <c r="M4807" t="str">
        <f>CONCATENATE(MONTH(CompilDonnées[[#This Row],[HarvestingDate]])," ", YEAR(CompilDonnées[[#This Row],[HarvestingDate]]))</f>
        <v>10 2025</v>
      </c>
      <c r="N4807">
        <f>_xlfn.NUMBERVALUE(CompilDonnées[[#This Row],[FarmID]]&amp;CompilDonnées[[#This Row],[ModuleNumber]]&amp;CompilDonnées[[#This Row],[PlantationDate]])</f>
        <v>139645905</v>
      </c>
      <c r="O4807" t="str">
        <f>CompilDonnées[[#This Row],[FarmID]]&amp;CompilDonnées[[#This Row],[ModuleNumber]]</f>
        <v>1396</v>
      </c>
      <c r="P4807" t="str">
        <f>CompilDonnées[[#This Row],[Ref_Module]]&amp;CompilDonnées[[#This Row],[HarvestingDate]]</f>
        <v>139645950</v>
      </c>
    </row>
    <row r="4808" spans="1:16">
      <c r="A4808" s="5">
        <v>45905</v>
      </c>
      <c r="B4808">
        <v>132</v>
      </c>
      <c r="C4808" t="s">
        <v>120</v>
      </c>
      <c r="D4808">
        <v>2</v>
      </c>
      <c r="E4808">
        <v>100</v>
      </c>
      <c r="F4808" t="s">
        <v>1</v>
      </c>
      <c r="G4808" s="6">
        <v>45950</v>
      </c>
      <c r="H4808">
        <v>45</v>
      </c>
      <c r="I4808">
        <f>ROUND(CompilDonnées[[#This Row],[CultureDuration_days]]/7,0)</f>
        <v>6</v>
      </c>
      <c r="J4808">
        <v>3100</v>
      </c>
      <c r="K4808" t="str">
        <f>_xlfn.CONCAT(WEEKNUM(CompilDonnées[[#This Row],[PlantationDate]]), " ", YEAR(CompilDonnées[[#This Row],[PlantationDate]]))</f>
        <v>36 2025</v>
      </c>
      <c r="L4808" t="str">
        <f>CONCATENATE(MONTH(CompilDonnées[[#This Row],[PlantationDate]])," ", YEAR(CompilDonnées[[#This Row],[PlantationDate]]))</f>
        <v>9 2025</v>
      </c>
      <c r="M4808" t="str">
        <f>CONCATENATE(MONTH(CompilDonnées[[#This Row],[HarvestingDate]])," ", YEAR(CompilDonnées[[#This Row],[HarvestingDate]]))</f>
        <v>10 2025</v>
      </c>
      <c r="N4808">
        <f>_xlfn.NUMBERVALUE(CompilDonnées[[#This Row],[FarmID]]&amp;CompilDonnées[[#This Row],[ModuleNumber]]&amp;CompilDonnées[[#This Row],[PlantationDate]])</f>
        <v>132245905</v>
      </c>
      <c r="O4808" t="str">
        <f>CompilDonnées[[#This Row],[FarmID]]&amp;CompilDonnées[[#This Row],[ModuleNumber]]</f>
        <v>1322</v>
      </c>
      <c r="P4808" t="str">
        <f>CompilDonnées[[#This Row],[Ref_Module]]&amp;CompilDonnées[[#This Row],[HarvestingDate]]</f>
        <v>132245950</v>
      </c>
    </row>
    <row r="4809" spans="1:16">
      <c r="A4809" s="5">
        <v>45905</v>
      </c>
      <c r="B4809">
        <v>123</v>
      </c>
      <c r="C4809" t="s">
        <v>13</v>
      </c>
      <c r="D4809">
        <v>1</v>
      </c>
      <c r="E4809">
        <v>100</v>
      </c>
      <c r="F4809" t="s">
        <v>1</v>
      </c>
      <c r="G4809" s="6">
        <v>45951</v>
      </c>
      <c r="H4809">
        <v>46</v>
      </c>
      <c r="I4809">
        <f>ROUND(CompilDonnées[[#This Row],[CultureDuration_days]]/7,0)</f>
        <v>7</v>
      </c>
      <c r="J4809">
        <v>3300</v>
      </c>
      <c r="K4809" t="str">
        <f>_xlfn.CONCAT(WEEKNUM(CompilDonnées[[#This Row],[PlantationDate]]), " ", YEAR(CompilDonnées[[#This Row],[PlantationDate]]))</f>
        <v>36 2025</v>
      </c>
      <c r="L4809" t="str">
        <f>CONCATENATE(MONTH(CompilDonnées[[#This Row],[PlantationDate]])," ", YEAR(CompilDonnées[[#This Row],[PlantationDate]]))</f>
        <v>9 2025</v>
      </c>
      <c r="M4809" t="str">
        <f>CONCATENATE(MONTH(CompilDonnées[[#This Row],[HarvestingDate]])," ", YEAR(CompilDonnées[[#This Row],[HarvestingDate]]))</f>
        <v>10 2025</v>
      </c>
      <c r="N4809">
        <f>_xlfn.NUMBERVALUE(CompilDonnées[[#This Row],[FarmID]]&amp;CompilDonnées[[#This Row],[ModuleNumber]]&amp;CompilDonnées[[#This Row],[PlantationDate]])</f>
        <v>123145905</v>
      </c>
      <c r="O4809" t="str">
        <f>CompilDonnées[[#This Row],[FarmID]]&amp;CompilDonnées[[#This Row],[ModuleNumber]]</f>
        <v>1231</v>
      </c>
      <c r="P4809" t="str">
        <f>CompilDonnées[[#This Row],[Ref_Module]]&amp;CompilDonnées[[#This Row],[HarvestingDate]]</f>
        <v>123145951</v>
      </c>
    </row>
    <row r="4810" spans="1:16">
      <c r="A4810" s="5">
        <v>45905</v>
      </c>
      <c r="B4810">
        <v>125</v>
      </c>
      <c r="C4810" t="s">
        <v>101</v>
      </c>
      <c r="D4810">
        <v>4</v>
      </c>
      <c r="E4810">
        <v>100</v>
      </c>
      <c r="F4810" t="s">
        <v>1</v>
      </c>
      <c r="G4810" s="6">
        <v>45946</v>
      </c>
      <c r="H4810">
        <v>41</v>
      </c>
      <c r="I4810">
        <f>ROUND(CompilDonnées[[#This Row],[CultureDuration_days]]/7,0)</f>
        <v>6</v>
      </c>
      <c r="J4810">
        <v>3918</v>
      </c>
      <c r="K4810" t="str">
        <f>_xlfn.CONCAT(WEEKNUM(CompilDonnées[[#This Row],[PlantationDate]]), " ", YEAR(CompilDonnées[[#This Row],[PlantationDate]]))</f>
        <v>36 2025</v>
      </c>
      <c r="L4810" t="str">
        <f>CONCATENATE(MONTH(CompilDonnées[[#This Row],[PlantationDate]])," ", YEAR(CompilDonnées[[#This Row],[PlantationDate]]))</f>
        <v>9 2025</v>
      </c>
      <c r="M4810" t="str">
        <f>CONCATENATE(MONTH(CompilDonnées[[#This Row],[HarvestingDate]])," ", YEAR(CompilDonnées[[#This Row],[HarvestingDate]]))</f>
        <v>10 2025</v>
      </c>
      <c r="N4810">
        <f>_xlfn.NUMBERVALUE(CompilDonnées[[#This Row],[FarmID]]&amp;CompilDonnées[[#This Row],[ModuleNumber]]&amp;CompilDonnées[[#This Row],[PlantationDate]])</f>
        <v>125445905</v>
      </c>
      <c r="O4810" t="str">
        <f>CompilDonnées[[#This Row],[FarmID]]&amp;CompilDonnées[[#This Row],[ModuleNumber]]</f>
        <v>1254</v>
      </c>
      <c r="P4810" t="str">
        <f>CompilDonnées[[#This Row],[Ref_Module]]&amp;CompilDonnées[[#This Row],[HarvestingDate]]</f>
        <v>125445946</v>
      </c>
    </row>
    <row r="4811" spans="1:16">
      <c r="A4811" s="5">
        <v>45905</v>
      </c>
      <c r="B4811">
        <v>117</v>
      </c>
      <c r="C4811" t="s">
        <v>11</v>
      </c>
      <c r="D4811">
        <v>1</v>
      </c>
      <c r="E4811">
        <v>100</v>
      </c>
      <c r="F4811" t="s">
        <v>1</v>
      </c>
      <c r="G4811" s="6">
        <v>45950</v>
      </c>
      <c r="H4811">
        <v>45</v>
      </c>
      <c r="I4811">
        <f>ROUND(CompilDonnées[[#This Row],[CultureDuration_days]]/7,0)</f>
        <v>6</v>
      </c>
      <c r="J4811">
        <v>2690</v>
      </c>
      <c r="K4811" t="str">
        <f>_xlfn.CONCAT(WEEKNUM(CompilDonnées[[#This Row],[PlantationDate]]), " ", YEAR(CompilDonnées[[#This Row],[PlantationDate]]))</f>
        <v>36 2025</v>
      </c>
      <c r="L4811" t="str">
        <f>CONCATENATE(MONTH(CompilDonnées[[#This Row],[PlantationDate]])," ", YEAR(CompilDonnées[[#This Row],[PlantationDate]]))</f>
        <v>9 2025</v>
      </c>
      <c r="M4811" t="str">
        <f>CONCATENATE(MONTH(CompilDonnées[[#This Row],[HarvestingDate]])," ", YEAR(CompilDonnées[[#This Row],[HarvestingDate]]))</f>
        <v>10 2025</v>
      </c>
      <c r="N4811">
        <f>_xlfn.NUMBERVALUE(CompilDonnées[[#This Row],[FarmID]]&amp;CompilDonnées[[#This Row],[ModuleNumber]]&amp;CompilDonnées[[#This Row],[PlantationDate]])</f>
        <v>117145905</v>
      </c>
      <c r="O4811" t="str">
        <f>CompilDonnées[[#This Row],[FarmID]]&amp;CompilDonnées[[#This Row],[ModuleNumber]]</f>
        <v>1171</v>
      </c>
      <c r="P4811" t="str">
        <f>CompilDonnées[[#This Row],[Ref_Module]]&amp;CompilDonnées[[#This Row],[HarvestingDate]]</f>
        <v>117145950</v>
      </c>
    </row>
    <row r="4812" spans="1:16">
      <c r="A4812" s="5">
        <v>45905</v>
      </c>
      <c r="B4812">
        <v>118</v>
      </c>
      <c r="C4812" t="s">
        <v>51</v>
      </c>
      <c r="D4812">
        <v>5</v>
      </c>
      <c r="E4812">
        <v>100</v>
      </c>
      <c r="F4812" t="s">
        <v>1</v>
      </c>
      <c r="G4812" s="6">
        <v>45950</v>
      </c>
      <c r="H4812">
        <v>45</v>
      </c>
      <c r="I4812">
        <f>ROUND(CompilDonnées[[#This Row],[CultureDuration_days]]/7,0)</f>
        <v>6</v>
      </c>
      <c r="J4812">
        <v>3741</v>
      </c>
      <c r="K4812" t="str">
        <f>_xlfn.CONCAT(WEEKNUM(CompilDonnées[[#This Row],[PlantationDate]]), " ", YEAR(CompilDonnées[[#This Row],[PlantationDate]]))</f>
        <v>36 2025</v>
      </c>
      <c r="L4812" t="str">
        <f>CONCATENATE(MONTH(CompilDonnées[[#This Row],[PlantationDate]])," ", YEAR(CompilDonnées[[#This Row],[PlantationDate]]))</f>
        <v>9 2025</v>
      </c>
      <c r="M4812" t="str">
        <f>CONCATENATE(MONTH(CompilDonnées[[#This Row],[HarvestingDate]])," ", YEAR(CompilDonnées[[#This Row],[HarvestingDate]]))</f>
        <v>10 2025</v>
      </c>
      <c r="N4812">
        <f>_xlfn.NUMBERVALUE(CompilDonnées[[#This Row],[FarmID]]&amp;CompilDonnées[[#This Row],[ModuleNumber]]&amp;CompilDonnées[[#This Row],[PlantationDate]])</f>
        <v>118545905</v>
      </c>
      <c r="O4812" t="str">
        <f>CompilDonnées[[#This Row],[FarmID]]&amp;CompilDonnées[[#This Row],[ModuleNumber]]</f>
        <v>1185</v>
      </c>
      <c r="P4812" t="str">
        <f>CompilDonnées[[#This Row],[Ref_Module]]&amp;CompilDonnées[[#This Row],[HarvestingDate]]</f>
        <v>118545950</v>
      </c>
    </row>
    <row r="4813" spans="1:16">
      <c r="A4813" s="5">
        <v>45905</v>
      </c>
      <c r="B4813">
        <v>119</v>
      </c>
      <c r="C4813" t="s">
        <v>59</v>
      </c>
      <c r="D4813">
        <v>5</v>
      </c>
      <c r="E4813">
        <v>100</v>
      </c>
      <c r="F4813" t="s">
        <v>1</v>
      </c>
      <c r="G4813" s="6">
        <v>45951</v>
      </c>
      <c r="H4813">
        <v>46</v>
      </c>
      <c r="I4813">
        <f>ROUND(CompilDonnées[[#This Row],[CultureDuration_days]]/7,0)</f>
        <v>7</v>
      </c>
      <c r="J4813">
        <v>3702</v>
      </c>
      <c r="K4813" t="str">
        <f>_xlfn.CONCAT(WEEKNUM(CompilDonnées[[#This Row],[PlantationDate]]), " ", YEAR(CompilDonnées[[#This Row],[PlantationDate]]))</f>
        <v>36 2025</v>
      </c>
      <c r="L4813" t="str">
        <f>CONCATENATE(MONTH(CompilDonnées[[#This Row],[PlantationDate]])," ", YEAR(CompilDonnées[[#This Row],[PlantationDate]]))</f>
        <v>9 2025</v>
      </c>
      <c r="M4813" t="str">
        <f>CONCATENATE(MONTH(CompilDonnées[[#This Row],[HarvestingDate]])," ", YEAR(CompilDonnées[[#This Row],[HarvestingDate]]))</f>
        <v>10 2025</v>
      </c>
      <c r="N4813">
        <f>_xlfn.NUMBERVALUE(CompilDonnées[[#This Row],[FarmID]]&amp;CompilDonnées[[#This Row],[ModuleNumber]]&amp;CompilDonnées[[#This Row],[PlantationDate]])</f>
        <v>119545905</v>
      </c>
      <c r="O4813" t="str">
        <f>CompilDonnées[[#This Row],[FarmID]]&amp;CompilDonnées[[#This Row],[ModuleNumber]]</f>
        <v>1195</v>
      </c>
      <c r="P4813" t="str">
        <f>CompilDonnées[[#This Row],[Ref_Module]]&amp;CompilDonnées[[#This Row],[HarvestingDate]]</f>
        <v>119545951</v>
      </c>
    </row>
    <row r="4814" spans="1:16">
      <c r="A4814" s="5">
        <v>45905</v>
      </c>
      <c r="B4814">
        <v>120</v>
      </c>
      <c r="C4814" t="s">
        <v>100</v>
      </c>
      <c r="D4814">
        <v>1</v>
      </c>
      <c r="E4814">
        <v>100</v>
      </c>
      <c r="F4814" t="s">
        <v>1</v>
      </c>
      <c r="G4814" s="6">
        <v>45951</v>
      </c>
      <c r="H4814">
        <v>46</v>
      </c>
      <c r="I4814">
        <f>ROUND(CompilDonnées[[#This Row],[CultureDuration_days]]/7,0)</f>
        <v>7</v>
      </c>
      <c r="J4814">
        <v>4633</v>
      </c>
      <c r="K4814" t="str">
        <f>_xlfn.CONCAT(WEEKNUM(CompilDonnées[[#This Row],[PlantationDate]]), " ", YEAR(CompilDonnées[[#This Row],[PlantationDate]]))</f>
        <v>36 2025</v>
      </c>
      <c r="L4814" t="str">
        <f>CONCATENATE(MONTH(CompilDonnées[[#This Row],[PlantationDate]])," ", YEAR(CompilDonnées[[#This Row],[PlantationDate]]))</f>
        <v>9 2025</v>
      </c>
      <c r="M4814" t="str">
        <f>CONCATENATE(MONTH(CompilDonnées[[#This Row],[HarvestingDate]])," ", YEAR(CompilDonnées[[#This Row],[HarvestingDate]]))</f>
        <v>10 2025</v>
      </c>
      <c r="N4814">
        <f>_xlfn.NUMBERVALUE(CompilDonnées[[#This Row],[FarmID]]&amp;CompilDonnées[[#This Row],[ModuleNumber]]&amp;CompilDonnées[[#This Row],[PlantationDate]])</f>
        <v>120145905</v>
      </c>
      <c r="O4814" t="str">
        <f>CompilDonnées[[#This Row],[FarmID]]&amp;CompilDonnées[[#This Row],[ModuleNumber]]</f>
        <v>1201</v>
      </c>
      <c r="P4814" t="str">
        <f>CompilDonnées[[#This Row],[Ref_Module]]&amp;CompilDonnées[[#This Row],[HarvestingDate]]</f>
        <v>120145951</v>
      </c>
    </row>
    <row r="4815" spans="1:16">
      <c r="A4815" s="5">
        <v>45905</v>
      </c>
      <c r="B4815">
        <v>113</v>
      </c>
      <c r="C4815" t="s">
        <v>16</v>
      </c>
      <c r="D4815">
        <v>3</v>
      </c>
      <c r="E4815">
        <v>100</v>
      </c>
      <c r="F4815" t="s">
        <v>1</v>
      </c>
      <c r="G4815" s="6">
        <v>45951</v>
      </c>
      <c r="H4815">
        <v>46</v>
      </c>
      <c r="I4815">
        <f>ROUND(CompilDonnées[[#This Row],[CultureDuration_days]]/7,0)</f>
        <v>7</v>
      </c>
      <c r="J4815">
        <v>4120</v>
      </c>
      <c r="K4815" t="str">
        <f>_xlfn.CONCAT(WEEKNUM(CompilDonnées[[#This Row],[PlantationDate]]), " ", YEAR(CompilDonnées[[#This Row],[PlantationDate]]))</f>
        <v>36 2025</v>
      </c>
      <c r="L4815" t="str">
        <f>CONCATENATE(MONTH(CompilDonnées[[#This Row],[PlantationDate]])," ", YEAR(CompilDonnées[[#This Row],[PlantationDate]]))</f>
        <v>9 2025</v>
      </c>
      <c r="M4815" t="str">
        <f>CONCATENATE(MONTH(CompilDonnées[[#This Row],[HarvestingDate]])," ", YEAR(CompilDonnées[[#This Row],[HarvestingDate]]))</f>
        <v>10 2025</v>
      </c>
      <c r="N4815">
        <f>_xlfn.NUMBERVALUE(CompilDonnées[[#This Row],[FarmID]]&amp;CompilDonnées[[#This Row],[ModuleNumber]]&amp;CompilDonnées[[#This Row],[PlantationDate]])</f>
        <v>113345905</v>
      </c>
      <c r="O4815" t="str">
        <f>CompilDonnées[[#This Row],[FarmID]]&amp;CompilDonnées[[#This Row],[ModuleNumber]]</f>
        <v>1133</v>
      </c>
      <c r="P4815" t="str">
        <f>CompilDonnées[[#This Row],[Ref_Module]]&amp;CompilDonnées[[#This Row],[HarvestingDate]]</f>
        <v>113345951</v>
      </c>
    </row>
    <row r="4816" spans="1:16">
      <c r="A4816" s="5">
        <v>45905</v>
      </c>
      <c r="B4816">
        <v>116</v>
      </c>
      <c r="C4816" t="s">
        <v>76</v>
      </c>
      <c r="D4816">
        <v>1</v>
      </c>
      <c r="E4816">
        <v>100</v>
      </c>
      <c r="F4816" t="s">
        <v>1</v>
      </c>
      <c r="G4816" s="6">
        <v>45950</v>
      </c>
      <c r="H4816">
        <v>45</v>
      </c>
      <c r="I4816">
        <f>ROUND(CompilDonnées[[#This Row],[CultureDuration_days]]/7,0)</f>
        <v>6</v>
      </c>
      <c r="J4816">
        <v>2307</v>
      </c>
      <c r="K4816" t="str">
        <f>_xlfn.CONCAT(WEEKNUM(CompilDonnées[[#This Row],[PlantationDate]]), " ", YEAR(CompilDonnées[[#This Row],[PlantationDate]]))</f>
        <v>36 2025</v>
      </c>
      <c r="L4816" t="str">
        <f>CONCATENATE(MONTH(CompilDonnées[[#This Row],[PlantationDate]])," ", YEAR(CompilDonnées[[#This Row],[PlantationDate]]))</f>
        <v>9 2025</v>
      </c>
      <c r="M4816" t="str">
        <f>CONCATENATE(MONTH(CompilDonnées[[#This Row],[HarvestingDate]])," ", YEAR(CompilDonnées[[#This Row],[HarvestingDate]]))</f>
        <v>10 2025</v>
      </c>
      <c r="N4816">
        <f>_xlfn.NUMBERVALUE(CompilDonnées[[#This Row],[FarmID]]&amp;CompilDonnées[[#This Row],[ModuleNumber]]&amp;CompilDonnées[[#This Row],[PlantationDate]])</f>
        <v>116145905</v>
      </c>
      <c r="O4816" t="str">
        <f>CompilDonnées[[#This Row],[FarmID]]&amp;CompilDonnées[[#This Row],[ModuleNumber]]</f>
        <v>1161</v>
      </c>
      <c r="P4816" t="str">
        <f>CompilDonnées[[#This Row],[Ref_Module]]&amp;CompilDonnées[[#This Row],[HarvestingDate]]</f>
        <v>116145950</v>
      </c>
    </row>
    <row r="4817" spans="1:16">
      <c r="A4817" s="5">
        <v>45905</v>
      </c>
      <c r="B4817">
        <v>115</v>
      </c>
      <c r="C4817" t="s">
        <v>121</v>
      </c>
      <c r="D4817">
        <v>2</v>
      </c>
      <c r="E4817">
        <v>100</v>
      </c>
      <c r="F4817" t="s">
        <v>1</v>
      </c>
      <c r="G4817" s="6">
        <v>45951</v>
      </c>
      <c r="H4817">
        <v>46</v>
      </c>
      <c r="I4817">
        <f>ROUND(CompilDonnées[[#This Row],[CultureDuration_days]]/7,0)</f>
        <v>7</v>
      </c>
      <c r="J4817">
        <v>1417</v>
      </c>
      <c r="K4817" t="str">
        <f>_xlfn.CONCAT(WEEKNUM(CompilDonnées[[#This Row],[PlantationDate]]), " ", YEAR(CompilDonnées[[#This Row],[PlantationDate]]))</f>
        <v>36 2025</v>
      </c>
      <c r="L4817" t="str">
        <f>CONCATENATE(MONTH(CompilDonnées[[#This Row],[PlantationDate]])," ", YEAR(CompilDonnées[[#This Row],[PlantationDate]]))</f>
        <v>9 2025</v>
      </c>
      <c r="M4817" t="str">
        <f>CONCATENATE(MONTH(CompilDonnées[[#This Row],[HarvestingDate]])," ", YEAR(CompilDonnées[[#This Row],[HarvestingDate]]))</f>
        <v>10 2025</v>
      </c>
      <c r="N4817">
        <f>_xlfn.NUMBERVALUE(CompilDonnées[[#This Row],[FarmID]]&amp;CompilDonnées[[#This Row],[ModuleNumber]]&amp;CompilDonnées[[#This Row],[PlantationDate]])</f>
        <v>115245905</v>
      </c>
      <c r="O4817" t="str">
        <f>CompilDonnées[[#This Row],[FarmID]]&amp;CompilDonnées[[#This Row],[ModuleNumber]]</f>
        <v>1152</v>
      </c>
      <c r="P4817" t="str">
        <f>CompilDonnées[[#This Row],[Ref_Module]]&amp;CompilDonnées[[#This Row],[HarvestingDate]]</f>
        <v>115245951</v>
      </c>
    </row>
    <row r="4818" spans="1:16">
      <c r="A4818" s="5">
        <v>45905</v>
      </c>
      <c r="B4818">
        <v>105</v>
      </c>
      <c r="C4818" t="s">
        <v>12</v>
      </c>
      <c r="D4818">
        <v>5</v>
      </c>
      <c r="E4818">
        <v>100</v>
      </c>
      <c r="F4818" t="s">
        <v>1</v>
      </c>
      <c r="G4818" s="6">
        <v>45960</v>
      </c>
      <c r="H4818">
        <v>55</v>
      </c>
      <c r="I4818">
        <f>ROUND(CompilDonnées[[#This Row],[CultureDuration_days]]/7,0)</f>
        <v>8</v>
      </c>
      <c r="J4818">
        <v>1682</v>
      </c>
      <c r="K4818" t="str">
        <f>_xlfn.CONCAT(WEEKNUM(CompilDonnées[[#This Row],[PlantationDate]]), " ", YEAR(CompilDonnées[[#This Row],[PlantationDate]]))</f>
        <v>36 2025</v>
      </c>
      <c r="L4818" t="str">
        <f>CONCATENATE(MONTH(CompilDonnées[[#This Row],[PlantationDate]])," ", YEAR(CompilDonnées[[#This Row],[PlantationDate]]))</f>
        <v>9 2025</v>
      </c>
      <c r="M4818" t="str">
        <f>CONCATENATE(MONTH(CompilDonnées[[#This Row],[HarvestingDate]])," ", YEAR(CompilDonnées[[#This Row],[HarvestingDate]]))</f>
        <v>10 2025</v>
      </c>
      <c r="N4818">
        <f>_xlfn.NUMBERVALUE(CompilDonnées[[#This Row],[FarmID]]&amp;CompilDonnées[[#This Row],[ModuleNumber]]&amp;CompilDonnées[[#This Row],[PlantationDate]])</f>
        <v>105545905</v>
      </c>
      <c r="O4818" t="str">
        <f>CompilDonnées[[#This Row],[FarmID]]&amp;CompilDonnées[[#This Row],[ModuleNumber]]</f>
        <v>1055</v>
      </c>
      <c r="P4818" t="str">
        <f>CompilDonnées[[#This Row],[Ref_Module]]&amp;CompilDonnées[[#This Row],[HarvestingDate]]</f>
        <v>105545960</v>
      </c>
    </row>
    <row r="4819" spans="1:16">
      <c r="A4819" s="5">
        <v>45905</v>
      </c>
      <c r="B4819">
        <v>123</v>
      </c>
      <c r="C4819" t="s">
        <v>13</v>
      </c>
      <c r="D4819">
        <v>2</v>
      </c>
      <c r="E4819">
        <v>100</v>
      </c>
      <c r="F4819" t="s">
        <v>1</v>
      </c>
      <c r="G4819" s="6">
        <v>45951</v>
      </c>
      <c r="H4819">
        <v>46</v>
      </c>
      <c r="I4819">
        <f>ROUND(CompilDonnées[[#This Row],[CultureDuration_days]]/7,0)</f>
        <v>7</v>
      </c>
      <c r="J4819">
        <v>3470</v>
      </c>
      <c r="K4819" t="str">
        <f>_xlfn.CONCAT(WEEKNUM(CompilDonnées[[#This Row],[PlantationDate]]), " ", YEAR(CompilDonnées[[#This Row],[PlantationDate]]))</f>
        <v>36 2025</v>
      </c>
      <c r="L4819" t="str">
        <f>CONCATENATE(MONTH(CompilDonnées[[#This Row],[PlantationDate]])," ", YEAR(CompilDonnées[[#This Row],[PlantationDate]]))</f>
        <v>9 2025</v>
      </c>
      <c r="M4819" t="str">
        <f>CONCATENATE(MONTH(CompilDonnées[[#This Row],[HarvestingDate]])," ", YEAR(CompilDonnées[[#This Row],[HarvestingDate]]))</f>
        <v>10 2025</v>
      </c>
      <c r="N4819">
        <f>_xlfn.NUMBERVALUE(CompilDonnées[[#This Row],[FarmID]]&amp;CompilDonnées[[#This Row],[ModuleNumber]]&amp;CompilDonnées[[#This Row],[PlantationDate]])</f>
        <v>123245905</v>
      </c>
      <c r="O4819" t="str">
        <f>CompilDonnées[[#This Row],[FarmID]]&amp;CompilDonnées[[#This Row],[ModuleNumber]]</f>
        <v>1232</v>
      </c>
      <c r="P4819" t="str">
        <f>CompilDonnées[[#This Row],[Ref_Module]]&amp;CompilDonnées[[#This Row],[HarvestingDate]]</f>
        <v>123245951</v>
      </c>
    </row>
    <row r="4820" spans="1:16">
      <c r="A4820" s="5">
        <v>45905</v>
      </c>
      <c r="B4820">
        <v>106</v>
      </c>
      <c r="C4820" t="s">
        <v>22</v>
      </c>
      <c r="D4820">
        <v>1</v>
      </c>
      <c r="E4820">
        <v>100</v>
      </c>
      <c r="F4820" t="s">
        <v>1</v>
      </c>
      <c r="G4820" s="6">
        <v>45960</v>
      </c>
      <c r="H4820">
        <v>55</v>
      </c>
      <c r="I4820">
        <f>ROUND(CompilDonnées[[#This Row],[CultureDuration_days]]/7,0)</f>
        <v>8</v>
      </c>
      <c r="J4820">
        <v>2071</v>
      </c>
      <c r="K4820" t="str">
        <f>_xlfn.CONCAT(WEEKNUM(CompilDonnées[[#This Row],[PlantationDate]]), " ", YEAR(CompilDonnées[[#This Row],[PlantationDate]]))</f>
        <v>36 2025</v>
      </c>
      <c r="L4820" t="str">
        <f>CONCATENATE(MONTH(CompilDonnées[[#This Row],[PlantationDate]])," ", YEAR(CompilDonnées[[#This Row],[PlantationDate]]))</f>
        <v>9 2025</v>
      </c>
      <c r="M4820" t="str">
        <f>CONCATENATE(MONTH(CompilDonnées[[#This Row],[HarvestingDate]])," ", YEAR(CompilDonnées[[#This Row],[HarvestingDate]]))</f>
        <v>10 2025</v>
      </c>
      <c r="N4820">
        <f>_xlfn.NUMBERVALUE(CompilDonnées[[#This Row],[FarmID]]&amp;CompilDonnées[[#This Row],[ModuleNumber]]&amp;CompilDonnées[[#This Row],[PlantationDate]])</f>
        <v>106145905</v>
      </c>
      <c r="O4820" t="str">
        <f>CompilDonnées[[#This Row],[FarmID]]&amp;CompilDonnées[[#This Row],[ModuleNumber]]</f>
        <v>1061</v>
      </c>
      <c r="P4820" t="str">
        <f>CompilDonnées[[#This Row],[Ref_Module]]&amp;CompilDonnées[[#This Row],[HarvestingDate]]</f>
        <v>106145960</v>
      </c>
    </row>
    <row r="4821" spans="1:16">
      <c r="A4821" s="5">
        <v>45905</v>
      </c>
      <c r="B4821">
        <v>92</v>
      </c>
      <c r="C4821" t="s">
        <v>66</v>
      </c>
      <c r="D4821">
        <v>1</v>
      </c>
      <c r="E4821">
        <v>100</v>
      </c>
      <c r="F4821" t="s">
        <v>1</v>
      </c>
      <c r="G4821" s="6">
        <v>45951</v>
      </c>
      <c r="H4821">
        <v>46</v>
      </c>
      <c r="I4821">
        <f>ROUND(CompilDonnées[[#This Row],[CultureDuration_days]]/7,0)</f>
        <v>7</v>
      </c>
      <c r="J4821">
        <v>2435</v>
      </c>
      <c r="K4821" t="str">
        <f>_xlfn.CONCAT(WEEKNUM(CompilDonnées[[#This Row],[PlantationDate]]), " ", YEAR(CompilDonnées[[#This Row],[PlantationDate]]))</f>
        <v>36 2025</v>
      </c>
      <c r="L4821" t="str">
        <f>CONCATENATE(MONTH(CompilDonnées[[#This Row],[PlantationDate]])," ", YEAR(CompilDonnées[[#This Row],[PlantationDate]]))</f>
        <v>9 2025</v>
      </c>
      <c r="M4821" t="str">
        <f>CONCATENATE(MONTH(CompilDonnées[[#This Row],[HarvestingDate]])," ", YEAR(CompilDonnées[[#This Row],[HarvestingDate]]))</f>
        <v>10 2025</v>
      </c>
      <c r="N4821">
        <f>_xlfn.NUMBERVALUE(CompilDonnées[[#This Row],[FarmID]]&amp;CompilDonnées[[#This Row],[ModuleNumber]]&amp;CompilDonnées[[#This Row],[PlantationDate]])</f>
        <v>92145905</v>
      </c>
      <c r="O4821" t="str">
        <f>CompilDonnées[[#This Row],[FarmID]]&amp;CompilDonnées[[#This Row],[ModuleNumber]]</f>
        <v>921</v>
      </c>
      <c r="P4821" t="str">
        <f>CompilDonnées[[#This Row],[Ref_Module]]&amp;CompilDonnées[[#This Row],[HarvestingDate]]</f>
        <v>92145951</v>
      </c>
    </row>
    <row r="4822" spans="1:16">
      <c r="A4822" s="5">
        <v>45905</v>
      </c>
      <c r="B4822">
        <v>96</v>
      </c>
      <c r="C4822" t="s">
        <v>125</v>
      </c>
      <c r="D4822">
        <v>2</v>
      </c>
      <c r="E4822">
        <v>100</v>
      </c>
      <c r="F4822" t="s">
        <v>1</v>
      </c>
      <c r="G4822" s="6">
        <v>45959</v>
      </c>
      <c r="H4822">
        <v>54</v>
      </c>
      <c r="I4822">
        <f>ROUND(CompilDonnées[[#This Row],[CultureDuration_days]]/7,0)</f>
        <v>8</v>
      </c>
      <c r="J4822">
        <v>1391</v>
      </c>
      <c r="K4822" t="str">
        <f>_xlfn.CONCAT(WEEKNUM(CompilDonnées[[#This Row],[PlantationDate]]), " ", YEAR(CompilDonnées[[#This Row],[PlantationDate]]))</f>
        <v>36 2025</v>
      </c>
      <c r="L4822" t="str">
        <f>CONCATENATE(MONTH(CompilDonnées[[#This Row],[PlantationDate]])," ", YEAR(CompilDonnées[[#This Row],[PlantationDate]]))</f>
        <v>9 2025</v>
      </c>
      <c r="M4822" t="str">
        <f>CONCATENATE(MONTH(CompilDonnées[[#This Row],[HarvestingDate]])," ", YEAR(CompilDonnées[[#This Row],[HarvestingDate]]))</f>
        <v>10 2025</v>
      </c>
      <c r="N4822">
        <f>_xlfn.NUMBERVALUE(CompilDonnées[[#This Row],[FarmID]]&amp;CompilDonnées[[#This Row],[ModuleNumber]]&amp;CompilDonnées[[#This Row],[PlantationDate]])</f>
        <v>96245905</v>
      </c>
      <c r="O4822" t="str">
        <f>CompilDonnées[[#This Row],[FarmID]]&amp;CompilDonnées[[#This Row],[ModuleNumber]]</f>
        <v>962</v>
      </c>
      <c r="P4822" t="str">
        <f>CompilDonnées[[#This Row],[Ref_Module]]&amp;CompilDonnées[[#This Row],[HarvestingDate]]</f>
        <v>96245959</v>
      </c>
    </row>
    <row r="4823" spans="1:16">
      <c r="A4823" s="5">
        <v>45905</v>
      </c>
      <c r="B4823">
        <v>103</v>
      </c>
      <c r="C4823" t="s">
        <v>86</v>
      </c>
      <c r="D4823">
        <v>3</v>
      </c>
      <c r="E4823">
        <v>100</v>
      </c>
      <c r="F4823" t="s">
        <v>1</v>
      </c>
      <c r="G4823" s="6">
        <v>45960</v>
      </c>
      <c r="H4823">
        <v>55</v>
      </c>
      <c r="I4823">
        <f>ROUND(CompilDonnées[[#This Row],[CultureDuration_days]]/7,0)</f>
        <v>8</v>
      </c>
      <c r="J4823">
        <v>1262</v>
      </c>
      <c r="K4823" t="str">
        <f>_xlfn.CONCAT(WEEKNUM(CompilDonnées[[#This Row],[PlantationDate]]), " ", YEAR(CompilDonnées[[#This Row],[PlantationDate]]))</f>
        <v>36 2025</v>
      </c>
      <c r="L4823" t="str">
        <f>CONCATENATE(MONTH(CompilDonnées[[#This Row],[PlantationDate]])," ", YEAR(CompilDonnées[[#This Row],[PlantationDate]]))</f>
        <v>9 2025</v>
      </c>
      <c r="M4823" t="str">
        <f>CONCATENATE(MONTH(CompilDonnées[[#This Row],[HarvestingDate]])," ", YEAR(CompilDonnées[[#This Row],[HarvestingDate]]))</f>
        <v>10 2025</v>
      </c>
      <c r="N4823">
        <f>_xlfn.NUMBERVALUE(CompilDonnées[[#This Row],[FarmID]]&amp;CompilDonnées[[#This Row],[ModuleNumber]]&amp;CompilDonnées[[#This Row],[PlantationDate]])</f>
        <v>103345905</v>
      </c>
      <c r="O4823" t="str">
        <f>CompilDonnées[[#This Row],[FarmID]]&amp;CompilDonnées[[#This Row],[ModuleNumber]]</f>
        <v>1033</v>
      </c>
      <c r="P4823" t="str">
        <f>CompilDonnées[[#This Row],[Ref_Module]]&amp;CompilDonnées[[#This Row],[HarvestingDate]]</f>
        <v>103345960</v>
      </c>
    </row>
    <row r="4824" spans="1:16">
      <c r="A4824" s="5">
        <v>45905</v>
      </c>
      <c r="B4824">
        <v>104</v>
      </c>
      <c r="C4824" t="s">
        <v>91</v>
      </c>
      <c r="D4824">
        <v>3</v>
      </c>
      <c r="E4824">
        <v>100</v>
      </c>
      <c r="F4824" t="s">
        <v>1</v>
      </c>
      <c r="G4824" s="6">
        <v>45960</v>
      </c>
      <c r="H4824">
        <v>55</v>
      </c>
      <c r="I4824">
        <f>ROUND(CompilDonnées[[#This Row],[CultureDuration_days]]/7,0)</f>
        <v>8</v>
      </c>
      <c r="J4824">
        <v>1071</v>
      </c>
      <c r="K4824" t="str">
        <f>_xlfn.CONCAT(WEEKNUM(CompilDonnées[[#This Row],[PlantationDate]]), " ", YEAR(CompilDonnées[[#This Row],[PlantationDate]]))</f>
        <v>36 2025</v>
      </c>
      <c r="L4824" t="str">
        <f>CONCATENATE(MONTH(CompilDonnées[[#This Row],[PlantationDate]])," ", YEAR(CompilDonnées[[#This Row],[PlantationDate]]))</f>
        <v>9 2025</v>
      </c>
      <c r="M4824" t="str">
        <f>CONCATENATE(MONTH(CompilDonnées[[#This Row],[HarvestingDate]])," ", YEAR(CompilDonnées[[#This Row],[HarvestingDate]]))</f>
        <v>10 2025</v>
      </c>
      <c r="N4824">
        <f>_xlfn.NUMBERVALUE(CompilDonnées[[#This Row],[FarmID]]&amp;CompilDonnées[[#This Row],[ModuleNumber]]&amp;CompilDonnées[[#This Row],[PlantationDate]])</f>
        <v>104345905</v>
      </c>
      <c r="O4824" t="str">
        <f>CompilDonnées[[#This Row],[FarmID]]&amp;CompilDonnées[[#This Row],[ModuleNumber]]</f>
        <v>1043</v>
      </c>
      <c r="P4824" t="str">
        <f>CompilDonnées[[#This Row],[Ref_Module]]&amp;CompilDonnées[[#This Row],[HarvestingDate]]</f>
        <v>104345960</v>
      </c>
    </row>
    <row r="4825" spans="1:16">
      <c r="A4825" s="5">
        <v>45905</v>
      </c>
      <c r="B4825">
        <v>104</v>
      </c>
      <c r="C4825" t="s">
        <v>91</v>
      </c>
      <c r="D4825">
        <v>5</v>
      </c>
      <c r="E4825">
        <v>100</v>
      </c>
      <c r="F4825" t="s">
        <v>1</v>
      </c>
      <c r="G4825" s="6">
        <v>45952</v>
      </c>
      <c r="H4825">
        <v>47</v>
      </c>
      <c r="I4825">
        <f>ROUND(CompilDonnées[[#This Row],[CultureDuration_days]]/7,0)</f>
        <v>7</v>
      </c>
      <c r="J4825">
        <v>1357</v>
      </c>
      <c r="K4825" t="str">
        <f>_xlfn.CONCAT(WEEKNUM(CompilDonnées[[#This Row],[PlantationDate]]), " ", YEAR(CompilDonnées[[#This Row],[PlantationDate]]))</f>
        <v>36 2025</v>
      </c>
      <c r="L4825" t="str">
        <f>CONCATENATE(MONTH(CompilDonnées[[#This Row],[PlantationDate]])," ", YEAR(CompilDonnées[[#This Row],[PlantationDate]]))</f>
        <v>9 2025</v>
      </c>
      <c r="M4825" t="str">
        <f>CONCATENATE(MONTH(CompilDonnées[[#This Row],[HarvestingDate]])," ", YEAR(CompilDonnées[[#This Row],[HarvestingDate]]))</f>
        <v>10 2025</v>
      </c>
      <c r="N4825">
        <f>_xlfn.NUMBERVALUE(CompilDonnées[[#This Row],[FarmID]]&amp;CompilDonnées[[#This Row],[ModuleNumber]]&amp;CompilDonnées[[#This Row],[PlantationDate]])</f>
        <v>104545905</v>
      </c>
      <c r="O4825" t="str">
        <f>CompilDonnées[[#This Row],[FarmID]]&amp;CompilDonnées[[#This Row],[ModuleNumber]]</f>
        <v>1045</v>
      </c>
      <c r="P4825" t="str">
        <f>CompilDonnées[[#This Row],[Ref_Module]]&amp;CompilDonnées[[#This Row],[HarvestingDate]]</f>
        <v>104545952</v>
      </c>
    </row>
    <row r="4826" spans="1:16">
      <c r="A4826" s="5">
        <v>45905</v>
      </c>
      <c r="B4826">
        <v>102</v>
      </c>
      <c r="C4826" t="s">
        <v>85</v>
      </c>
      <c r="D4826">
        <v>4</v>
      </c>
      <c r="E4826">
        <v>100</v>
      </c>
      <c r="F4826" t="s">
        <v>1</v>
      </c>
      <c r="G4826" s="6">
        <v>45950</v>
      </c>
      <c r="H4826">
        <v>45</v>
      </c>
      <c r="I4826">
        <f>ROUND(CompilDonnées[[#This Row],[CultureDuration_days]]/7,0)</f>
        <v>6</v>
      </c>
      <c r="J4826">
        <v>1233</v>
      </c>
      <c r="K4826" t="str">
        <f>_xlfn.CONCAT(WEEKNUM(CompilDonnées[[#This Row],[PlantationDate]]), " ", YEAR(CompilDonnées[[#This Row],[PlantationDate]]))</f>
        <v>36 2025</v>
      </c>
      <c r="L4826" t="str">
        <f>CONCATENATE(MONTH(CompilDonnées[[#This Row],[PlantationDate]])," ", YEAR(CompilDonnées[[#This Row],[PlantationDate]]))</f>
        <v>9 2025</v>
      </c>
      <c r="M4826" t="str">
        <f>CONCATENATE(MONTH(CompilDonnées[[#This Row],[HarvestingDate]])," ", YEAR(CompilDonnées[[#This Row],[HarvestingDate]]))</f>
        <v>10 2025</v>
      </c>
      <c r="N4826">
        <f>_xlfn.NUMBERVALUE(CompilDonnées[[#This Row],[FarmID]]&amp;CompilDonnées[[#This Row],[ModuleNumber]]&amp;CompilDonnées[[#This Row],[PlantationDate]])</f>
        <v>102445905</v>
      </c>
      <c r="O4826" t="str">
        <f>CompilDonnées[[#This Row],[FarmID]]&amp;CompilDonnées[[#This Row],[ModuleNumber]]</f>
        <v>1024</v>
      </c>
      <c r="P4826" t="str">
        <f>CompilDonnées[[#This Row],[Ref_Module]]&amp;CompilDonnées[[#This Row],[HarvestingDate]]</f>
        <v>102445950</v>
      </c>
    </row>
    <row r="4827" spans="1:16">
      <c r="A4827" s="5">
        <v>45909</v>
      </c>
      <c r="B4827">
        <v>108</v>
      </c>
      <c r="C4827" t="s">
        <v>58</v>
      </c>
      <c r="D4827">
        <v>4</v>
      </c>
      <c r="E4827">
        <v>100</v>
      </c>
      <c r="F4827" t="s">
        <v>1</v>
      </c>
      <c r="G4827" s="6">
        <v>45960</v>
      </c>
      <c r="H4827">
        <v>51</v>
      </c>
      <c r="I4827">
        <f>ROUND(CompilDonnées[[#This Row],[CultureDuration_days]]/7,0)</f>
        <v>7</v>
      </c>
      <c r="J4827">
        <v>3465</v>
      </c>
      <c r="K4827" t="str">
        <f>_xlfn.CONCAT(WEEKNUM(CompilDonnées[[#This Row],[PlantationDate]]), " ", YEAR(CompilDonnées[[#This Row],[PlantationDate]]))</f>
        <v>37 2025</v>
      </c>
      <c r="L4827" t="str">
        <f>CONCATENATE(MONTH(CompilDonnées[[#This Row],[PlantationDate]])," ", YEAR(CompilDonnées[[#This Row],[PlantationDate]]))</f>
        <v>9 2025</v>
      </c>
      <c r="M4827" t="str">
        <f>CONCATENATE(MONTH(CompilDonnées[[#This Row],[HarvestingDate]])," ", YEAR(CompilDonnées[[#This Row],[HarvestingDate]]))</f>
        <v>10 2025</v>
      </c>
      <c r="N4827">
        <f>_xlfn.NUMBERVALUE(CompilDonnées[[#This Row],[FarmID]]&amp;CompilDonnées[[#This Row],[ModuleNumber]]&amp;CompilDonnées[[#This Row],[PlantationDate]])</f>
        <v>108445909</v>
      </c>
      <c r="O4827" t="str">
        <f>CompilDonnées[[#This Row],[FarmID]]&amp;CompilDonnées[[#This Row],[ModuleNumber]]</f>
        <v>1084</v>
      </c>
      <c r="P4827" t="str">
        <f>CompilDonnées[[#This Row],[Ref_Module]]&amp;CompilDonnées[[#This Row],[HarvestingDate]]</f>
        <v>108445960</v>
      </c>
    </row>
    <row r="4828" spans="1:16">
      <c r="A4828" s="5">
        <v>45909</v>
      </c>
      <c r="B4828">
        <v>107</v>
      </c>
      <c r="C4828" t="s">
        <v>23</v>
      </c>
      <c r="D4828">
        <v>6</v>
      </c>
      <c r="E4828">
        <v>100</v>
      </c>
      <c r="F4828" t="s">
        <v>1</v>
      </c>
      <c r="G4828" s="6">
        <v>45960</v>
      </c>
      <c r="H4828">
        <v>51</v>
      </c>
      <c r="I4828">
        <f>ROUND(CompilDonnées[[#This Row],[CultureDuration_days]]/7,0)</f>
        <v>7</v>
      </c>
      <c r="J4828">
        <v>2880</v>
      </c>
      <c r="K4828" t="str">
        <f>_xlfn.CONCAT(WEEKNUM(CompilDonnées[[#This Row],[PlantationDate]]), " ", YEAR(CompilDonnées[[#This Row],[PlantationDate]]))</f>
        <v>37 2025</v>
      </c>
      <c r="L4828" t="str">
        <f>CONCATENATE(MONTH(CompilDonnées[[#This Row],[PlantationDate]])," ", YEAR(CompilDonnées[[#This Row],[PlantationDate]]))</f>
        <v>9 2025</v>
      </c>
      <c r="M4828" t="str">
        <f>CONCATENATE(MONTH(CompilDonnées[[#This Row],[HarvestingDate]])," ", YEAR(CompilDonnées[[#This Row],[HarvestingDate]]))</f>
        <v>10 2025</v>
      </c>
      <c r="N4828">
        <f>_xlfn.NUMBERVALUE(CompilDonnées[[#This Row],[FarmID]]&amp;CompilDonnées[[#This Row],[ModuleNumber]]&amp;CompilDonnées[[#This Row],[PlantationDate]])</f>
        <v>107645909</v>
      </c>
      <c r="O4828" t="str">
        <f>CompilDonnées[[#This Row],[FarmID]]&amp;CompilDonnées[[#This Row],[ModuleNumber]]</f>
        <v>1076</v>
      </c>
      <c r="P4828" t="str">
        <f>CompilDonnées[[#This Row],[Ref_Module]]&amp;CompilDonnées[[#This Row],[HarvestingDate]]</f>
        <v>107645960</v>
      </c>
    </row>
    <row r="4829" spans="1:16">
      <c r="A4829" s="5">
        <v>45909</v>
      </c>
      <c r="B4829">
        <v>101</v>
      </c>
      <c r="C4829" t="s">
        <v>54</v>
      </c>
      <c r="D4829">
        <v>4</v>
      </c>
      <c r="E4829">
        <v>100</v>
      </c>
      <c r="F4829" t="s">
        <v>1</v>
      </c>
      <c r="G4829" s="6">
        <v>45959</v>
      </c>
      <c r="H4829">
        <v>50</v>
      </c>
      <c r="I4829">
        <f>ROUND(CompilDonnées[[#This Row],[CultureDuration_days]]/7,0)</f>
        <v>7</v>
      </c>
      <c r="J4829">
        <v>3742</v>
      </c>
      <c r="K4829" t="str">
        <f>_xlfn.CONCAT(WEEKNUM(CompilDonnées[[#This Row],[PlantationDate]]), " ", YEAR(CompilDonnées[[#This Row],[PlantationDate]]))</f>
        <v>37 2025</v>
      </c>
      <c r="L4829" t="str">
        <f>CONCATENATE(MONTH(CompilDonnées[[#This Row],[PlantationDate]])," ", YEAR(CompilDonnées[[#This Row],[PlantationDate]]))</f>
        <v>9 2025</v>
      </c>
      <c r="M4829" t="str">
        <f>CONCATENATE(MONTH(CompilDonnées[[#This Row],[HarvestingDate]])," ", YEAR(CompilDonnées[[#This Row],[HarvestingDate]]))</f>
        <v>10 2025</v>
      </c>
      <c r="N4829">
        <f>_xlfn.NUMBERVALUE(CompilDonnées[[#This Row],[FarmID]]&amp;CompilDonnées[[#This Row],[ModuleNumber]]&amp;CompilDonnées[[#This Row],[PlantationDate]])</f>
        <v>101445909</v>
      </c>
      <c r="O4829" t="str">
        <f>CompilDonnées[[#This Row],[FarmID]]&amp;CompilDonnées[[#This Row],[ModuleNumber]]</f>
        <v>1014</v>
      </c>
      <c r="P4829" t="str">
        <f>CompilDonnées[[#This Row],[Ref_Module]]&amp;CompilDonnées[[#This Row],[HarvestingDate]]</f>
        <v>101445959</v>
      </c>
    </row>
    <row r="4830" spans="1:16">
      <c r="A4830" s="5">
        <v>45909</v>
      </c>
      <c r="B4830">
        <v>98</v>
      </c>
      <c r="C4830" t="s">
        <v>79</v>
      </c>
      <c r="D4830">
        <v>2</v>
      </c>
      <c r="E4830">
        <v>100</v>
      </c>
      <c r="F4830" t="s">
        <v>1</v>
      </c>
      <c r="G4830" s="6">
        <v>45964</v>
      </c>
      <c r="H4830">
        <v>55</v>
      </c>
      <c r="I4830">
        <f>ROUND(CompilDonnées[[#This Row],[CultureDuration_days]]/7,0)</f>
        <v>8</v>
      </c>
      <c r="J4830">
        <v>2033</v>
      </c>
      <c r="K4830" t="str">
        <f>_xlfn.CONCAT(WEEKNUM(CompilDonnées[[#This Row],[PlantationDate]]), " ", YEAR(CompilDonnées[[#This Row],[PlantationDate]]))</f>
        <v>37 2025</v>
      </c>
      <c r="L4830" t="str">
        <f>CONCATENATE(MONTH(CompilDonnées[[#This Row],[PlantationDate]])," ", YEAR(CompilDonnées[[#This Row],[PlantationDate]]))</f>
        <v>9 2025</v>
      </c>
      <c r="M4830" t="str">
        <f>CONCATENATE(MONTH(CompilDonnées[[#This Row],[HarvestingDate]])," ", YEAR(CompilDonnées[[#This Row],[HarvestingDate]]))</f>
        <v>11 2025</v>
      </c>
      <c r="N4830">
        <f>_xlfn.NUMBERVALUE(CompilDonnées[[#This Row],[FarmID]]&amp;CompilDonnées[[#This Row],[ModuleNumber]]&amp;CompilDonnées[[#This Row],[PlantationDate]])</f>
        <v>98245909</v>
      </c>
      <c r="O4830" t="str">
        <f>CompilDonnées[[#This Row],[FarmID]]&amp;CompilDonnées[[#This Row],[ModuleNumber]]</f>
        <v>982</v>
      </c>
      <c r="P4830" t="str">
        <f>CompilDonnées[[#This Row],[Ref_Module]]&amp;CompilDonnées[[#This Row],[HarvestingDate]]</f>
        <v>98245964</v>
      </c>
    </row>
    <row r="4831" spans="1:16">
      <c r="A4831" s="5">
        <v>45909</v>
      </c>
      <c r="B4831">
        <v>97</v>
      </c>
      <c r="C4831" t="s">
        <v>78</v>
      </c>
      <c r="D4831">
        <v>6</v>
      </c>
      <c r="E4831">
        <v>100</v>
      </c>
      <c r="F4831" t="s">
        <v>1</v>
      </c>
      <c r="G4831" s="6">
        <v>45960</v>
      </c>
      <c r="H4831">
        <v>51</v>
      </c>
      <c r="I4831">
        <f>ROUND(CompilDonnées[[#This Row],[CultureDuration_days]]/7,0)</f>
        <v>7</v>
      </c>
      <c r="J4831">
        <v>2027</v>
      </c>
      <c r="K4831" t="str">
        <f>_xlfn.CONCAT(WEEKNUM(CompilDonnées[[#This Row],[PlantationDate]]), " ", YEAR(CompilDonnées[[#This Row],[PlantationDate]]))</f>
        <v>37 2025</v>
      </c>
      <c r="L4831" t="str">
        <f>CONCATENATE(MONTH(CompilDonnées[[#This Row],[PlantationDate]])," ", YEAR(CompilDonnées[[#This Row],[PlantationDate]]))</f>
        <v>9 2025</v>
      </c>
      <c r="M4831" t="str">
        <f>CONCATENATE(MONTH(CompilDonnées[[#This Row],[HarvestingDate]])," ", YEAR(CompilDonnées[[#This Row],[HarvestingDate]]))</f>
        <v>10 2025</v>
      </c>
      <c r="N4831">
        <f>_xlfn.NUMBERVALUE(CompilDonnées[[#This Row],[FarmID]]&amp;CompilDonnées[[#This Row],[ModuleNumber]]&amp;CompilDonnées[[#This Row],[PlantationDate]])</f>
        <v>97645909</v>
      </c>
      <c r="O4831" t="str">
        <f>CompilDonnées[[#This Row],[FarmID]]&amp;CompilDonnées[[#This Row],[ModuleNumber]]</f>
        <v>976</v>
      </c>
      <c r="P4831" t="str">
        <f>CompilDonnées[[#This Row],[Ref_Module]]&amp;CompilDonnées[[#This Row],[HarvestingDate]]</f>
        <v>97645960</v>
      </c>
    </row>
    <row r="4832" spans="1:16">
      <c r="A4832" s="5">
        <v>45909</v>
      </c>
      <c r="B4832">
        <v>105</v>
      </c>
      <c r="C4832" t="s">
        <v>12</v>
      </c>
      <c r="D4832">
        <v>6</v>
      </c>
      <c r="E4832">
        <v>100</v>
      </c>
      <c r="F4832" t="s">
        <v>1</v>
      </c>
      <c r="G4832" s="6">
        <v>45964</v>
      </c>
      <c r="H4832">
        <v>55</v>
      </c>
      <c r="I4832">
        <f>ROUND(CompilDonnées[[#This Row],[CultureDuration_days]]/7,0)</f>
        <v>8</v>
      </c>
      <c r="J4832">
        <v>2123</v>
      </c>
      <c r="K4832" t="str">
        <f>_xlfn.CONCAT(WEEKNUM(CompilDonnées[[#This Row],[PlantationDate]]), " ", YEAR(CompilDonnées[[#This Row],[PlantationDate]]))</f>
        <v>37 2025</v>
      </c>
      <c r="L4832" t="str">
        <f>CONCATENATE(MONTH(CompilDonnées[[#This Row],[PlantationDate]])," ", YEAR(CompilDonnées[[#This Row],[PlantationDate]]))</f>
        <v>9 2025</v>
      </c>
      <c r="M4832" t="str">
        <f>CONCATENATE(MONTH(CompilDonnées[[#This Row],[HarvestingDate]])," ", YEAR(CompilDonnées[[#This Row],[HarvestingDate]]))</f>
        <v>11 2025</v>
      </c>
      <c r="N4832">
        <f>_xlfn.NUMBERVALUE(CompilDonnées[[#This Row],[FarmID]]&amp;CompilDonnées[[#This Row],[ModuleNumber]]&amp;CompilDonnées[[#This Row],[PlantationDate]])</f>
        <v>105645909</v>
      </c>
      <c r="O4832" t="str">
        <f>CompilDonnées[[#This Row],[FarmID]]&amp;CompilDonnées[[#This Row],[ModuleNumber]]</f>
        <v>1056</v>
      </c>
      <c r="P4832" t="str">
        <f>CompilDonnées[[#This Row],[Ref_Module]]&amp;CompilDonnées[[#This Row],[HarvestingDate]]</f>
        <v>105645964</v>
      </c>
    </row>
    <row r="4833" spans="1:16">
      <c r="A4833" s="5">
        <v>45909</v>
      </c>
      <c r="B4833">
        <v>103</v>
      </c>
      <c r="C4833" t="s">
        <v>86</v>
      </c>
      <c r="D4833">
        <v>1</v>
      </c>
      <c r="E4833">
        <v>100</v>
      </c>
      <c r="F4833" t="s">
        <v>1</v>
      </c>
      <c r="G4833" s="6">
        <v>45960</v>
      </c>
      <c r="H4833">
        <v>51</v>
      </c>
      <c r="I4833">
        <f>ROUND(CompilDonnées[[#This Row],[CultureDuration_days]]/7,0)</f>
        <v>7</v>
      </c>
      <c r="J4833">
        <v>1222</v>
      </c>
      <c r="K4833" t="str">
        <f>_xlfn.CONCAT(WEEKNUM(CompilDonnées[[#This Row],[PlantationDate]]), " ", YEAR(CompilDonnées[[#This Row],[PlantationDate]]))</f>
        <v>37 2025</v>
      </c>
      <c r="L4833" t="str">
        <f>CONCATENATE(MONTH(CompilDonnées[[#This Row],[PlantationDate]])," ", YEAR(CompilDonnées[[#This Row],[PlantationDate]]))</f>
        <v>9 2025</v>
      </c>
      <c r="M4833" t="str">
        <f>CONCATENATE(MONTH(CompilDonnées[[#This Row],[HarvestingDate]])," ", YEAR(CompilDonnées[[#This Row],[HarvestingDate]]))</f>
        <v>10 2025</v>
      </c>
      <c r="N4833">
        <f>_xlfn.NUMBERVALUE(CompilDonnées[[#This Row],[FarmID]]&amp;CompilDonnées[[#This Row],[ModuleNumber]]&amp;CompilDonnées[[#This Row],[PlantationDate]])</f>
        <v>103145909</v>
      </c>
      <c r="O4833" t="str">
        <f>CompilDonnées[[#This Row],[FarmID]]&amp;CompilDonnées[[#This Row],[ModuleNumber]]</f>
        <v>1031</v>
      </c>
      <c r="P4833" t="str">
        <f>CompilDonnées[[#This Row],[Ref_Module]]&amp;CompilDonnées[[#This Row],[HarvestingDate]]</f>
        <v>103145960</v>
      </c>
    </row>
    <row r="4834" spans="1:16">
      <c r="A4834" s="5">
        <v>45909</v>
      </c>
      <c r="B4834">
        <v>104</v>
      </c>
      <c r="C4834" t="s">
        <v>91</v>
      </c>
      <c r="D4834">
        <v>2</v>
      </c>
      <c r="E4834">
        <v>100</v>
      </c>
      <c r="F4834" t="s">
        <v>1</v>
      </c>
      <c r="G4834" s="6">
        <v>45964</v>
      </c>
      <c r="H4834">
        <v>55</v>
      </c>
      <c r="I4834">
        <f>ROUND(CompilDonnées[[#This Row],[CultureDuration_days]]/7,0)</f>
        <v>8</v>
      </c>
      <c r="J4834">
        <v>956</v>
      </c>
      <c r="K4834" t="str">
        <f>_xlfn.CONCAT(WEEKNUM(CompilDonnées[[#This Row],[PlantationDate]]), " ", YEAR(CompilDonnées[[#This Row],[PlantationDate]]))</f>
        <v>37 2025</v>
      </c>
      <c r="L4834" t="str">
        <f>CONCATENATE(MONTH(CompilDonnées[[#This Row],[PlantationDate]])," ", YEAR(CompilDonnées[[#This Row],[PlantationDate]]))</f>
        <v>9 2025</v>
      </c>
      <c r="M4834" t="str">
        <f>CONCATENATE(MONTH(CompilDonnées[[#This Row],[HarvestingDate]])," ", YEAR(CompilDonnées[[#This Row],[HarvestingDate]]))</f>
        <v>11 2025</v>
      </c>
      <c r="N4834">
        <f>_xlfn.NUMBERVALUE(CompilDonnées[[#This Row],[FarmID]]&amp;CompilDonnées[[#This Row],[ModuleNumber]]&amp;CompilDonnées[[#This Row],[PlantationDate]])</f>
        <v>104245909</v>
      </c>
      <c r="O4834" t="str">
        <f>CompilDonnées[[#This Row],[FarmID]]&amp;CompilDonnées[[#This Row],[ModuleNumber]]</f>
        <v>1042</v>
      </c>
      <c r="P4834" t="str">
        <f>CompilDonnées[[#This Row],[Ref_Module]]&amp;CompilDonnées[[#This Row],[HarvestingDate]]</f>
        <v>104245964</v>
      </c>
    </row>
    <row r="4835" spans="1:16">
      <c r="A4835" s="5">
        <v>45909</v>
      </c>
      <c r="B4835">
        <v>102</v>
      </c>
      <c r="C4835" t="s">
        <v>85</v>
      </c>
      <c r="D4835">
        <v>5</v>
      </c>
      <c r="E4835">
        <v>100</v>
      </c>
      <c r="F4835" t="s">
        <v>1</v>
      </c>
      <c r="G4835" s="6">
        <v>45959</v>
      </c>
      <c r="H4835">
        <v>50</v>
      </c>
      <c r="I4835">
        <f>ROUND(CompilDonnées[[#This Row],[CultureDuration_days]]/7,0)</f>
        <v>7</v>
      </c>
      <c r="J4835">
        <v>1310</v>
      </c>
      <c r="K4835" t="str">
        <f>_xlfn.CONCAT(WEEKNUM(CompilDonnées[[#This Row],[PlantationDate]]), " ", YEAR(CompilDonnées[[#This Row],[PlantationDate]]))</f>
        <v>37 2025</v>
      </c>
      <c r="L4835" t="str">
        <f>CONCATENATE(MONTH(CompilDonnées[[#This Row],[PlantationDate]])," ", YEAR(CompilDonnées[[#This Row],[PlantationDate]]))</f>
        <v>9 2025</v>
      </c>
      <c r="M4835" t="str">
        <f>CONCATENATE(MONTH(CompilDonnées[[#This Row],[HarvestingDate]])," ", YEAR(CompilDonnées[[#This Row],[HarvestingDate]]))</f>
        <v>10 2025</v>
      </c>
      <c r="N4835">
        <f>_xlfn.NUMBERVALUE(CompilDonnées[[#This Row],[FarmID]]&amp;CompilDonnées[[#This Row],[ModuleNumber]]&amp;CompilDonnées[[#This Row],[PlantationDate]])</f>
        <v>102545909</v>
      </c>
      <c r="O4835" t="str">
        <f>CompilDonnées[[#This Row],[FarmID]]&amp;CompilDonnées[[#This Row],[ModuleNumber]]</f>
        <v>1025</v>
      </c>
      <c r="P4835" t="str">
        <f>CompilDonnées[[#This Row],[Ref_Module]]&amp;CompilDonnées[[#This Row],[HarvestingDate]]</f>
        <v>102545959</v>
      </c>
    </row>
    <row r="4836" spans="1:16">
      <c r="A4836" s="5">
        <v>45909</v>
      </c>
      <c r="B4836">
        <v>113</v>
      </c>
      <c r="C4836" t="s">
        <v>16</v>
      </c>
      <c r="D4836">
        <v>6</v>
      </c>
      <c r="E4836">
        <v>100</v>
      </c>
      <c r="F4836" t="s">
        <v>1</v>
      </c>
      <c r="G4836" s="6">
        <v>45951</v>
      </c>
      <c r="H4836">
        <v>42</v>
      </c>
      <c r="I4836">
        <f>ROUND(CompilDonnées[[#This Row],[CultureDuration_days]]/7,0)</f>
        <v>6</v>
      </c>
      <c r="J4836">
        <v>3820</v>
      </c>
      <c r="K4836" t="str">
        <f>_xlfn.CONCAT(WEEKNUM(CompilDonnées[[#This Row],[PlantationDate]]), " ", YEAR(CompilDonnées[[#This Row],[PlantationDate]]))</f>
        <v>37 2025</v>
      </c>
      <c r="L4836" t="str">
        <f>CONCATENATE(MONTH(CompilDonnées[[#This Row],[PlantationDate]])," ", YEAR(CompilDonnées[[#This Row],[PlantationDate]]))</f>
        <v>9 2025</v>
      </c>
      <c r="M4836" t="str">
        <f>CONCATENATE(MONTH(CompilDonnées[[#This Row],[HarvestingDate]])," ", YEAR(CompilDonnées[[#This Row],[HarvestingDate]]))</f>
        <v>10 2025</v>
      </c>
      <c r="N4836">
        <f>_xlfn.NUMBERVALUE(CompilDonnées[[#This Row],[FarmID]]&amp;CompilDonnées[[#This Row],[ModuleNumber]]&amp;CompilDonnées[[#This Row],[PlantationDate]])</f>
        <v>113645909</v>
      </c>
      <c r="O4836" t="str">
        <f>CompilDonnées[[#This Row],[FarmID]]&amp;CompilDonnées[[#This Row],[ModuleNumber]]</f>
        <v>1136</v>
      </c>
      <c r="P4836" t="str">
        <f>CompilDonnées[[#This Row],[Ref_Module]]&amp;CompilDonnées[[#This Row],[HarvestingDate]]</f>
        <v>113645951</v>
      </c>
    </row>
    <row r="4837" spans="1:16">
      <c r="A4837" s="5">
        <v>45909</v>
      </c>
      <c r="B4837">
        <v>112</v>
      </c>
      <c r="C4837" t="s">
        <v>15</v>
      </c>
      <c r="D4837">
        <v>2</v>
      </c>
      <c r="E4837">
        <v>100</v>
      </c>
      <c r="F4837" t="s">
        <v>1</v>
      </c>
      <c r="G4837" s="6">
        <v>45960</v>
      </c>
      <c r="H4837">
        <v>51</v>
      </c>
      <c r="I4837">
        <f>ROUND(CompilDonnées[[#This Row],[CultureDuration_days]]/7,0)</f>
        <v>7</v>
      </c>
      <c r="J4837">
        <v>3114</v>
      </c>
      <c r="K4837" t="str">
        <f>_xlfn.CONCAT(WEEKNUM(CompilDonnées[[#This Row],[PlantationDate]]), " ", YEAR(CompilDonnées[[#This Row],[PlantationDate]]))</f>
        <v>37 2025</v>
      </c>
      <c r="L4837" t="str">
        <f>CONCATENATE(MONTH(CompilDonnées[[#This Row],[PlantationDate]])," ", YEAR(CompilDonnées[[#This Row],[PlantationDate]]))</f>
        <v>9 2025</v>
      </c>
      <c r="M4837" t="str">
        <f>CONCATENATE(MONTH(CompilDonnées[[#This Row],[HarvestingDate]])," ", YEAR(CompilDonnées[[#This Row],[HarvestingDate]]))</f>
        <v>10 2025</v>
      </c>
      <c r="N4837">
        <f>_xlfn.NUMBERVALUE(CompilDonnées[[#This Row],[FarmID]]&amp;CompilDonnées[[#This Row],[ModuleNumber]]&amp;CompilDonnées[[#This Row],[PlantationDate]])</f>
        <v>112245909</v>
      </c>
      <c r="O4837" t="str">
        <f>CompilDonnées[[#This Row],[FarmID]]&amp;CompilDonnées[[#This Row],[ModuleNumber]]</f>
        <v>1122</v>
      </c>
      <c r="P4837" t="str">
        <f>CompilDonnées[[#This Row],[Ref_Module]]&amp;CompilDonnées[[#This Row],[HarvestingDate]]</f>
        <v>112245960</v>
      </c>
    </row>
    <row r="4838" spans="1:16">
      <c r="A4838" s="5">
        <v>45909</v>
      </c>
      <c r="B4838">
        <v>111</v>
      </c>
      <c r="C4838" t="s">
        <v>41</v>
      </c>
      <c r="D4838">
        <v>2</v>
      </c>
      <c r="E4838">
        <v>100</v>
      </c>
      <c r="F4838" t="s">
        <v>1</v>
      </c>
      <c r="G4838" s="6">
        <v>45960</v>
      </c>
      <c r="H4838">
        <v>51</v>
      </c>
      <c r="I4838">
        <f>ROUND(CompilDonnées[[#This Row],[CultureDuration_days]]/7,0)</f>
        <v>7</v>
      </c>
      <c r="J4838">
        <v>2787</v>
      </c>
      <c r="K4838" t="str">
        <f>_xlfn.CONCAT(WEEKNUM(CompilDonnées[[#This Row],[PlantationDate]]), " ", YEAR(CompilDonnées[[#This Row],[PlantationDate]]))</f>
        <v>37 2025</v>
      </c>
      <c r="L4838" t="str">
        <f>CONCATENATE(MONTH(CompilDonnées[[#This Row],[PlantationDate]])," ", YEAR(CompilDonnées[[#This Row],[PlantationDate]]))</f>
        <v>9 2025</v>
      </c>
      <c r="M4838" t="str">
        <f>CONCATENATE(MONTH(CompilDonnées[[#This Row],[HarvestingDate]])," ", YEAR(CompilDonnées[[#This Row],[HarvestingDate]]))</f>
        <v>10 2025</v>
      </c>
      <c r="N4838">
        <f>_xlfn.NUMBERVALUE(CompilDonnées[[#This Row],[FarmID]]&amp;CompilDonnées[[#This Row],[ModuleNumber]]&amp;CompilDonnées[[#This Row],[PlantationDate]])</f>
        <v>111245909</v>
      </c>
      <c r="O4838" t="str">
        <f>CompilDonnées[[#This Row],[FarmID]]&amp;CompilDonnées[[#This Row],[ModuleNumber]]</f>
        <v>1112</v>
      </c>
      <c r="P4838" t="str">
        <f>CompilDonnées[[#This Row],[Ref_Module]]&amp;CompilDonnées[[#This Row],[HarvestingDate]]</f>
        <v>111245960</v>
      </c>
    </row>
    <row r="4839" spans="1:16">
      <c r="A4839" s="5">
        <v>45909</v>
      </c>
      <c r="B4839">
        <v>110</v>
      </c>
      <c r="C4839" t="s">
        <v>14</v>
      </c>
      <c r="D4839">
        <v>1</v>
      </c>
      <c r="E4839">
        <v>100</v>
      </c>
      <c r="F4839" t="s">
        <v>1</v>
      </c>
      <c r="G4839" s="6">
        <v>45960</v>
      </c>
      <c r="H4839">
        <v>51</v>
      </c>
      <c r="I4839">
        <f>ROUND(CompilDonnées[[#This Row],[CultureDuration_days]]/7,0)</f>
        <v>7</v>
      </c>
      <c r="J4839">
        <v>2363</v>
      </c>
      <c r="K4839" t="str">
        <f>_xlfn.CONCAT(WEEKNUM(CompilDonnées[[#This Row],[PlantationDate]]), " ", YEAR(CompilDonnées[[#This Row],[PlantationDate]]))</f>
        <v>37 2025</v>
      </c>
      <c r="L4839" t="str">
        <f>CONCATENATE(MONTH(CompilDonnées[[#This Row],[PlantationDate]])," ", YEAR(CompilDonnées[[#This Row],[PlantationDate]]))</f>
        <v>9 2025</v>
      </c>
      <c r="M4839" t="str">
        <f>CONCATENATE(MONTH(CompilDonnées[[#This Row],[HarvestingDate]])," ", YEAR(CompilDonnées[[#This Row],[HarvestingDate]]))</f>
        <v>10 2025</v>
      </c>
      <c r="N4839">
        <f>_xlfn.NUMBERVALUE(CompilDonnées[[#This Row],[FarmID]]&amp;CompilDonnées[[#This Row],[ModuleNumber]]&amp;CompilDonnées[[#This Row],[PlantationDate]])</f>
        <v>110145909</v>
      </c>
      <c r="O4839" t="str">
        <f>CompilDonnées[[#This Row],[FarmID]]&amp;CompilDonnées[[#This Row],[ModuleNumber]]</f>
        <v>1101</v>
      </c>
      <c r="P4839" t="str">
        <f>CompilDonnées[[#This Row],[Ref_Module]]&amp;CompilDonnées[[#This Row],[HarvestingDate]]</f>
        <v>110145960</v>
      </c>
    </row>
    <row r="4840" spans="1:16">
      <c r="A4840" s="5">
        <v>45909</v>
      </c>
      <c r="B4840">
        <v>120</v>
      </c>
      <c r="C4840" t="s">
        <v>100</v>
      </c>
      <c r="D4840">
        <v>6</v>
      </c>
      <c r="E4840">
        <v>100</v>
      </c>
      <c r="F4840" t="s">
        <v>1</v>
      </c>
      <c r="G4840" s="6">
        <v>45951</v>
      </c>
      <c r="H4840">
        <v>42</v>
      </c>
      <c r="I4840">
        <f>ROUND(CompilDonnées[[#This Row],[CultureDuration_days]]/7,0)</f>
        <v>6</v>
      </c>
      <c r="J4840">
        <v>4681</v>
      </c>
      <c r="K4840" t="str">
        <f>_xlfn.CONCAT(WEEKNUM(CompilDonnées[[#This Row],[PlantationDate]]), " ", YEAR(CompilDonnées[[#This Row],[PlantationDate]]))</f>
        <v>37 2025</v>
      </c>
      <c r="L4840" t="str">
        <f>CONCATENATE(MONTH(CompilDonnées[[#This Row],[PlantationDate]])," ", YEAR(CompilDonnées[[#This Row],[PlantationDate]]))</f>
        <v>9 2025</v>
      </c>
      <c r="M4840" t="str">
        <f>CONCATENATE(MONTH(CompilDonnées[[#This Row],[HarvestingDate]])," ", YEAR(CompilDonnées[[#This Row],[HarvestingDate]]))</f>
        <v>10 2025</v>
      </c>
      <c r="N4840">
        <f>_xlfn.NUMBERVALUE(CompilDonnées[[#This Row],[FarmID]]&amp;CompilDonnées[[#This Row],[ModuleNumber]]&amp;CompilDonnées[[#This Row],[PlantationDate]])</f>
        <v>120645909</v>
      </c>
      <c r="O4840" t="str">
        <f>CompilDonnées[[#This Row],[FarmID]]&amp;CompilDonnées[[#This Row],[ModuleNumber]]</f>
        <v>1206</v>
      </c>
      <c r="P4840" t="str">
        <f>CompilDonnées[[#This Row],[Ref_Module]]&amp;CompilDonnées[[#This Row],[HarvestingDate]]</f>
        <v>120645951</v>
      </c>
    </row>
    <row r="4841" spans="1:16">
      <c r="A4841" s="5">
        <v>45909</v>
      </c>
      <c r="B4841">
        <v>119</v>
      </c>
      <c r="C4841" t="s">
        <v>59</v>
      </c>
      <c r="D4841">
        <v>6</v>
      </c>
      <c r="E4841">
        <v>100</v>
      </c>
      <c r="F4841" t="s">
        <v>1</v>
      </c>
      <c r="G4841" s="6">
        <v>45951</v>
      </c>
      <c r="H4841">
        <v>42</v>
      </c>
      <c r="I4841">
        <f>ROUND(CompilDonnées[[#This Row],[CultureDuration_days]]/7,0)</f>
        <v>6</v>
      </c>
      <c r="J4841">
        <v>3421</v>
      </c>
      <c r="K4841" t="str">
        <f>_xlfn.CONCAT(WEEKNUM(CompilDonnées[[#This Row],[PlantationDate]]), " ", YEAR(CompilDonnées[[#This Row],[PlantationDate]]))</f>
        <v>37 2025</v>
      </c>
      <c r="L4841" t="str">
        <f>CONCATENATE(MONTH(CompilDonnées[[#This Row],[PlantationDate]])," ", YEAR(CompilDonnées[[#This Row],[PlantationDate]]))</f>
        <v>9 2025</v>
      </c>
      <c r="M4841" t="str">
        <f>CONCATENATE(MONTH(CompilDonnées[[#This Row],[HarvestingDate]])," ", YEAR(CompilDonnées[[#This Row],[HarvestingDate]]))</f>
        <v>10 2025</v>
      </c>
      <c r="N4841">
        <f>_xlfn.NUMBERVALUE(CompilDonnées[[#This Row],[FarmID]]&amp;CompilDonnées[[#This Row],[ModuleNumber]]&amp;CompilDonnées[[#This Row],[PlantationDate]])</f>
        <v>119645909</v>
      </c>
      <c r="O4841" t="str">
        <f>CompilDonnées[[#This Row],[FarmID]]&amp;CompilDonnées[[#This Row],[ModuleNumber]]</f>
        <v>1196</v>
      </c>
      <c r="P4841" t="str">
        <f>CompilDonnées[[#This Row],[Ref_Module]]&amp;CompilDonnées[[#This Row],[HarvestingDate]]</f>
        <v>119645951</v>
      </c>
    </row>
    <row r="4842" spans="1:16">
      <c r="A4842" s="5">
        <v>45909</v>
      </c>
      <c r="B4842">
        <v>117</v>
      </c>
      <c r="C4842" t="s">
        <v>11</v>
      </c>
      <c r="D4842">
        <v>4</v>
      </c>
      <c r="E4842">
        <v>100</v>
      </c>
      <c r="F4842" t="s">
        <v>1</v>
      </c>
      <c r="G4842" s="6">
        <v>45960</v>
      </c>
      <c r="H4842">
        <v>51</v>
      </c>
      <c r="I4842">
        <f>ROUND(CompilDonnées[[#This Row],[CultureDuration_days]]/7,0)</f>
        <v>7</v>
      </c>
      <c r="J4842">
        <v>2991</v>
      </c>
      <c r="K4842" t="str">
        <f>_xlfn.CONCAT(WEEKNUM(CompilDonnées[[#This Row],[PlantationDate]]), " ", YEAR(CompilDonnées[[#This Row],[PlantationDate]]))</f>
        <v>37 2025</v>
      </c>
      <c r="L4842" t="str">
        <f>CONCATENATE(MONTH(CompilDonnées[[#This Row],[PlantationDate]])," ", YEAR(CompilDonnées[[#This Row],[PlantationDate]]))</f>
        <v>9 2025</v>
      </c>
      <c r="M4842" t="str">
        <f>CONCATENATE(MONTH(CompilDonnées[[#This Row],[HarvestingDate]])," ", YEAR(CompilDonnées[[#This Row],[HarvestingDate]]))</f>
        <v>10 2025</v>
      </c>
      <c r="N4842">
        <f>_xlfn.NUMBERVALUE(CompilDonnées[[#This Row],[FarmID]]&amp;CompilDonnées[[#This Row],[ModuleNumber]]&amp;CompilDonnées[[#This Row],[PlantationDate]])</f>
        <v>117445909</v>
      </c>
      <c r="O4842" t="str">
        <f>CompilDonnées[[#This Row],[FarmID]]&amp;CompilDonnées[[#This Row],[ModuleNumber]]</f>
        <v>1174</v>
      </c>
      <c r="P4842" t="str">
        <f>CompilDonnées[[#This Row],[Ref_Module]]&amp;CompilDonnées[[#This Row],[HarvestingDate]]</f>
        <v>117445960</v>
      </c>
    </row>
    <row r="4843" spans="1:16">
      <c r="A4843" s="5">
        <v>45909</v>
      </c>
      <c r="B4843">
        <v>118</v>
      </c>
      <c r="C4843" t="s">
        <v>51</v>
      </c>
      <c r="D4843">
        <v>1</v>
      </c>
      <c r="E4843">
        <v>100</v>
      </c>
      <c r="F4843" t="s">
        <v>1</v>
      </c>
      <c r="G4843" s="6">
        <v>45960</v>
      </c>
      <c r="H4843">
        <v>51</v>
      </c>
      <c r="I4843">
        <f>ROUND(CompilDonnées[[#This Row],[CultureDuration_days]]/7,0)</f>
        <v>7</v>
      </c>
      <c r="J4843">
        <v>3494</v>
      </c>
      <c r="K4843" t="str">
        <f>_xlfn.CONCAT(WEEKNUM(CompilDonnées[[#This Row],[PlantationDate]]), " ", YEAR(CompilDonnées[[#This Row],[PlantationDate]]))</f>
        <v>37 2025</v>
      </c>
      <c r="L4843" t="str">
        <f>CONCATENATE(MONTH(CompilDonnées[[#This Row],[PlantationDate]])," ", YEAR(CompilDonnées[[#This Row],[PlantationDate]]))</f>
        <v>9 2025</v>
      </c>
      <c r="M4843" t="str">
        <f>CONCATENATE(MONTH(CompilDonnées[[#This Row],[HarvestingDate]])," ", YEAR(CompilDonnées[[#This Row],[HarvestingDate]]))</f>
        <v>10 2025</v>
      </c>
      <c r="N4843">
        <f>_xlfn.NUMBERVALUE(CompilDonnées[[#This Row],[FarmID]]&amp;CompilDonnées[[#This Row],[ModuleNumber]]&amp;CompilDonnées[[#This Row],[PlantationDate]])</f>
        <v>118145909</v>
      </c>
      <c r="O4843" t="str">
        <f>CompilDonnées[[#This Row],[FarmID]]&amp;CompilDonnées[[#This Row],[ModuleNumber]]</f>
        <v>1181</v>
      </c>
      <c r="P4843" t="str">
        <f>CompilDonnées[[#This Row],[Ref_Module]]&amp;CompilDonnées[[#This Row],[HarvestingDate]]</f>
        <v>118145960</v>
      </c>
    </row>
    <row r="4844" spans="1:16">
      <c r="A4844" s="5">
        <v>45909</v>
      </c>
      <c r="B4844">
        <v>131</v>
      </c>
      <c r="C4844" t="s">
        <v>53</v>
      </c>
      <c r="D4844">
        <v>6</v>
      </c>
      <c r="E4844">
        <v>100</v>
      </c>
      <c r="F4844" t="s">
        <v>1</v>
      </c>
      <c r="G4844" s="6">
        <v>45951</v>
      </c>
      <c r="H4844">
        <v>42</v>
      </c>
      <c r="I4844">
        <f>ROUND(CompilDonnées[[#This Row],[CultureDuration_days]]/7,0)</f>
        <v>6</v>
      </c>
      <c r="J4844">
        <v>3337</v>
      </c>
      <c r="K4844" t="str">
        <f>_xlfn.CONCAT(WEEKNUM(CompilDonnées[[#This Row],[PlantationDate]]), " ", YEAR(CompilDonnées[[#This Row],[PlantationDate]]))</f>
        <v>37 2025</v>
      </c>
      <c r="L4844" t="str">
        <f>CONCATENATE(MONTH(CompilDonnées[[#This Row],[PlantationDate]])," ", YEAR(CompilDonnées[[#This Row],[PlantationDate]]))</f>
        <v>9 2025</v>
      </c>
      <c r="M4844" t="str">
        <f>CONCATENATE(MONTH(CompilDonnées[[#This Row],[HarvestingDate]])," ", YEAR(CompilDonnées[[#This Row],[HarvestingDate]]))</f>
        <v>10 2025</v>
      </c>
      <c r="N4844">
        <f>_xlfn.NUMBERVALUE(CompilDonnées[[#This Row],[FarmID]]&amp;CompilDonnées[[#This Row],[ModuleNumber]]&amp;CompilDonnées[[#This Row],[PlantationDate]])</f>
        <v>131645909</v>
      </c>
      <c r="O4844" t="str">
        <f>CompilDonnées[[#This Row],[FarmID]]&amp;CompilDonnées[[#This Row],[ModuleNumber]]</f>
        <v>1316</v>
      </c>
      <c r="P4844" t="str">
        <f>CompilDonnées[[#This Row],[Ref_Module]]&amp;CompilDonnées[[#This Row],[HarvestingDate]]</f>
        <v>131645951</v>
      </c>
    </row>
    <row r="4845" spans="1:16">
      <c r="A4845" s="5">
        <v>45909</v>
      </c>
      <c r="B4845">
        <v>130</v>
      </c>
      <c r="C4845" t="s">
        <v>98</v>
      </c>
      <c r="D4845">
        <v>6</v>
      </c>
      <c r="E4845">
        <v>100</v>
      </c>
      <c r="F4845" t="s">
        <v>1</v>
      </c>
      <c r="G4845" s="6">
        <v>45950</v>
      </c>
      <c r="H4845">
        <v>41</v>
      </c>
      <c r="I4845">
        <f>ROUND(CompilDonnées[[#This Row],[CultureDuration_days]]/7,0)</f>
        <v>6</v>
      </c>
      <c r="J4845">
        <v>2754</v>
      </c>
      <c r="K4845" t="str">
        <f>_xlfn.CONCAT(WEEKNUM(CompilDonnées[[#This Row],[PlantationDate]]), " ", YEAR(CompilDonnées[[#This Row],[PlantationDate]]))</f>
        <v>37 2025</v>
      </c>
      <c r="L4845" t="str">
        <f>CONCATENATE(MONTH(CompilDonnées[[#This Row],[PlantationDate]])," ", YEAR(CompilDonnées[[#This Row],[PlantationDate]]))</f>
        <v>9 2025</v>
      </c>
      <c r="M4845" t="str">
        <f>CONCATENATE(MONTH(CompilDonnées[[#This Row],[HarvestingDate]])," ", YEAR(CompilDonnées[[#This Row],[HarvestingDate]]))</f>
        <v>10 2025</v>
      </c>
      <c r="N4845">
        <f>_xlfn.NUMBERVALUE(CompilDonnées[[#This Row],[FarmID]]&amp;CompilDonnées[[#This Row],[ModuleNumber]]&amp;CompilDonnées[[#This Row],[PlantationDate]])</f>
        <v>130645909</v>
      </c>
      <c r="O4845" t="str">
        <f>CompilDonnées[[#This Row],[FarmID]]&amp;CompilDonnées[[#This Row],[ModuleNumber]]</f>
        <v>1306</v>
      </c>
      <c r="P4845" t="str">
        <f>CompilDonnées[[#This Row],[Ref_Module]]&amp;CompilDonnées[[#This Row],[HarvestingDate]]</f>
        <v>130645950</v>
      </c>
    </row>
    <row r="4846" spans="1:16">
      <c r="A4846" s="5">
        <v>45909</v>
      </c>
      <c r="B4846">
        <v>132</v>
      </c>
      <c r="C4846" t="s">
        <v>120</v>
      </c>
      <c r="D4846">
        <v>4</v>
      </c>
      <c r="E4846">
        <v>100</v>
      </c>
      <c r="F4846" t="s">
        <v>1</v>
      </c>
      <c r="G4846" s="6">
        <v>45961</v>
      </c>
      <c r="H4846">
        <v>52</v>
      </c>
      <c r="I4846">
        <f>ROUND(CompilDonnées[[#This Row],[CultureDuration_days]]/7,0)</f>
        <v>7</v>
      </c>
      <c r="J4846">
        <v>4074</v>
      </c>
      <c r="K4846" t="str">
        <f>_xlfn.CONCAT(WEEKNUM(CompilDonnées[[#This Row],[PlantationDate]]), " ", YEAR(CompilDonnées[[#This Row],[PlantationDate]]))</f>
        <v>37 2025</v>
      </c>
      <c r="L4846" t="str">
        <f>CONCATENATE(MONTH(CompilDonnées[[#This Row],[PlantationDate]])," ", YEAR(CompilDonnées[[#This Row],[PlantationDate]]))</f>
        <v>9 2025</v>
      </c>
      <c r="M4846" t="str">
        <f>CONCATENATE(MONTH(CompilDonnées[[#This Row],[HarvestingDate]])," ", YEAR(CompilDonnées[[#This Row],[HarvestingDate]]))</f>
        <v>10 2025</v>
      </c>
      <c r="N4846">
        <f>_xlfn.NUMBERVALUE(CompilDonnées[[#This Row],[FarmID]]&amp;CompilDonnées[[#This Row],[ModuleNumber]]&amp;CompilDonnées[[#This Row],[PlantationDate]])</f>
        <v>132445909</v>
      </c>
      <c r="O4846" t="str">
        <f>CompilDonnées[[#This Row],[FarmID]]&amp;CompilDonnées[[#This Row],[ModuleNumber]]</f>
        <v>1324</v>
      </c>
      <c r="P4846" t="str">
        <f>CompilDonnées[[#This Row],[Ref_Module]]&amp;CompilDonnées[[#This Row],[HarvestingDate]]</f>
        <v>132445961</v>
      </c>
    </row>
    <row r="4847" spans="1:16">
      <c r="A4847" s="5">
        <v>45909</v>
      </c>
      <c r="B4847">
        <v>133</v>
      </c>
      <c r="C4847" t="s">
        <v>99</v>
      </c>
      <c r="D4847">
        <v>3</v>
      </c>
      <c r="E4847">
        <v>100</v>
      </c>
      <c r="F4847" t="s">
        <v>1</v>
      </c>
      <c r="G4847" s="6">
        <v>45950</v>
      </c>
      <c r="H4847">
        <v>41</v>
      </c>
      <c r="I4847">
        <f>ROUND(CompilDonnées[[#This Row],[CultureDuration_days]]/7,0)</f>
        <v>6</v>
      </c>
      <c r="J4847">
        <v>4132</v>
      </c>
      <c r="K4847" t="str">
        <f>_xlfn.CONCAT(WEEKNUM(CompilDonnées[[#This Row],[PlantationDate]]), " ", YEAR(CompilDonnées[[#This Row],[PlantationDate]]))</f>
        <v>37 2025</v>
      </c>
      <c r="L4847" t="str">
        <f>CONCATENATE(MONTH(CompilDonnées[[#This Row],[PlantationDate]])," ", YEAR(CompilDonnées[[#This Row],[PlantationDate]]))</f>
        <v>9 2025</v>
      </c>
      <c r="M4847" t="str">
        <f>CONCATENATE(MONTH(CompilDonnées[[#This Row],[HarvestingDate]])," ", YEAR(CompilDonnées[[#This Row],[HarvestingDate]]))</f>
        <v>10 2025</v>
      </c>
      <c r="N4847">
        <f>_xlfn.NUMBERVALUE(CompilDonnées[[#This Row],[FarmID]]&amp;CompilDonnées[[#This Row],[ModuleNumber]]&amp;CompilDonnées[[#This Row],[PlantationDate]])</f>
        <v>133345909</v>
      </c>
      <c r="O4847" t="str">
        <f>CompilDonnées[[#This Row],[FarmID]]&amp;CompilDonnées[[#This Row],[ModuleNumber]]</f>
        <v>1333</v>
      </c>
      <c r="P4847" t="str">
        <f>CompilDonnées[[#This Row],[Ref_Module]]&amp;CompilDonnées[[#This Row],[HarvestingDate]]</f>
        <v>133345950</v>
      </c>
    </row>
    <row r="4848" spans="1:16">
      <c r="A4848" s="5">
        <v>45909</v>
      </c>
      <c r="B4848">
        <v>139</v>
      </c>
      <c r="C4848" t="s">
        <v>103</v>
      </c>
      <c r="D4848">
        <v>3</v>
      </c>
      <c r="E4848">
        <v>100</v>
      </c>
      <c r="F4848" t="s">
        <v>1</v>
      </c>
      <c r="G4848" s="6">
        <v>45950</v>
      </c>
      <c r="H4848">
        <v>41</v>
      </c>
      <c r="I4848">
        <f>ROUND(CompilDonnées[[#This Row],[CultureDuration_days]]/7,0)</f>
        <v>6</v>
      </c>
      <c r="J4848">
        <v>3378</v>
      </c>
      <c r="K4848" t="str">
        <f>_xlfn.CONCAT(WEEKNUM(CompilDonnées[[#This Row],[PlantationDate]]), " ", YEAR(CompilDonnées[[#This Row],[PlantationDate]]))</f>
        <v>37 2025</v>
      </c>
      <c r="L4848" t="str">
        <f>CONCATENATE(MONTH(CompilDonnées[[#This Row],[PlantationDate]])," ", YEAR(CompilDonnées[[#This Row],[PlantationDate]]))</f>
        <v>9 2025</v>
      </c>
      <c r="M4848" t="str">
        <f>CONCATENATE(MONTH(CompilDonnées[[#This Row],[HarvestingDate]])," ", YEAR(CompilDonnées[[#This Row],[HarvestingDate]]))</f>
        <v>10 2025</v>
      </c>
      <c r="N4848">
        <f>_xlfn.NUMBERVALUE(CompilDonnées[[#This Row],[FarmID]]&amp;CompilDonnées[[#This Row],[ModuleNumber]]&amp;CompilDonnées[[#This Row],[PlantationDate]])</f>
        <v>139345909</v>
      </c>
      <c r="O4848" t="str">
        <f>CompilDonnées[[#This Row],[FarmID]]&amp;CompilDonnées[[#This Row],[ModuleNumber]]</f>
        <v>1393</v>
      </c>
      <c r="P4848" t="str">
        <f>CompilDonnées[[#This Row],[Ref_Module]]&amp;CompilDonnées[[#This Row],[HarvestingDate]]</f>
        <v>139345950</v>
      </c>
    </row>
    <row r="4849" spans="1:16">
      <c r="A4849" s="5">
        <v>45909</v>
      </c>
      <c r="B4849">
        <v>140</v>
      </c>
      <c r="C4849" t="s">
        <v>96</v>
      </c>
      <c r="D4849">
        <v>3</v>
      </c>
      <c r="E4849">
        <v>100</v>
      </c>
      <c r="F4849" t="s">
        <v>1</v>
      </c>
      <c r="G4849" s="6">
        <v>45950</v>
      </c>
      <c r="H4849">
        <v>41</v>
      </c>
      <c r="I4849">
        <f>ROUND(CompilDonnées[[#This Row],[CultureDuration_days]]/7,0)</f>
        <v>6</v>
      </c>
      <c r="J4849">
        <v>3204</v>
      </c>
      <c r="K4849" t="str">
        <f>_xlfn.CONCAT(WEEKNUM(CompilDonnées[[#This Row],[PlantationDate]]), " ", YEAR(CompilDonnées[[#This Row],[PlantationDate]]))</f>
        <v>37 2025</v>
      </c>
      <c r="L4849" t="str">
        <f>CONCATENATE(MONTH(CompilDonnées[[#This Row],[PlantationDate]])," ", YEAR(CompilDonnées[[#This Row],[PlantationDate]]))</f>
        <v>9 2025</v>
      </c>
      <c r="M4849" t="str">
        <f>CONCATENATE(MONTH(CompilDonnées[[#This Row],[HarvestingDate]])," ", YEAR(CompilDonnées[[#This Row],[HarvestingDate]]))</f>
        <v>10 2025</v>
      </c>
      <c r="N4849">
        <f>_xlfn.NUMBERVALUE(CompilDonnées[[#This Row],[FarmID]]&amp;CompilDonnées[[#This Row],[ModuleNumber]]&amp;CompilDonnées[[#This Row],[PlantationDate]])</f>
        <v>140345909</v>
      </c>
      <c r="O4849" t="str">
        <f>CompilDonnées[[#This Row],[FarmID]]&amp;CompilDonnées[[#This Row],[ModuleNumber]]</f>
        <v>1403</v>
      </c>
      <c r="P4849" t="str">
        <f>CompilDonnées[[#This Row],[Ref_Module]]&amp;CompilDonnées[[#This Row],[HarvestingDate]]</f>
        <v>140345950</v>
      </c>
    </row>
    <row r="4850" spans="1:16">
      <c r="A4850" s="5">
        <v>45909</v>
      </c>
      <c r="B4850">
        <v>137</v>
      </c>
      <c r="C4850" t="s">
        <v>108</v>
      </c>
      <c r="D4850">
        <v>6</v>
      </c>
      <c r="E4850">
        <v>100</v>
      </c>
      <c r="F4850" t="s">
        <v>1</v>
      </c>
      <c r="G4850" s="6">
        <v>45950</v>
      </c>
      <c r="H4850">
        <v>41</v>
      </c>
      <c r="I4850">
        <f>ROUND(CompilDonnées[[#This Row],[CultureDuration_days]]/7,0)</f>
        <v>6</v>
      </c>
      <c r="J4850">
        <v>2134</v>
      </c>
      <c r="K4850" t="str">
        <f>_xlfn.CONCAT(WEEKNUM(CompilDonnées[[#This Row],[PlantationDate]]), " ", YEAR(CompilDonnées[[#This Row],[PlantationDate]]))</f>
        <v>37 2025</v>
      </c>
      <c r="L4850" t="str">
        <f>CONCATENATE(MONTH(CompilDonnées[[#This Row],[PlantationDate]])," ", YEAR(CompilDonnées[[#This Row],[PlantationDate]]))</f>
        <v>9 2025</v>
      </c>
      <c r="M4850" t="str">
        <f>CONCATENATE(MONTH(CompilDonnées[[#This Row],[HarvestingDate]])," ", YEAR(CompilDonnées[[#This Row],[HarvestingDate]]))</f>
        <v>10 2025</v>
      </c>
      <c r="N4850">
        <f>_xlfn.NUMBERVALUE(CompilDonnées[[#This Row],[FarmID]]&amp;CompilDonnées[[#This Row],[ModuleNumber]]&amp;CompilDonnées[[#This Row],[PlantationDate]])</f>
        <v>137645909</v>
      </c>
      <c r="O4850" t="str">
        <f>CompilDonnées[[#This Row],[FarmID]]&amp;CompilDonnées[[#This Row],[ModuleNumber]]</f>
        <v>1376</v>
      </c>
      <c r="P4850" t="str">
        <f>CompilDonnées[[#This Row],[Ref_Module]]&amp;CompilDonnées[[#This Row],[HarvestingDate]]</f>
        <v>137645950</v>
      </c>
    </row>
    <row r="4851" spans="1:16">
      <c r="A4851" s="5">
        <v>45909</v>
      </c>
      <c r="B4851">
        <v>144</v>
      </c>
      <c r="C4851" t="s">
        <v>95</v>
      </c>
      <c r="D4851">
        <v>6</v>
      </c>
      <c r="E4851">
        <v>100</v>
      </c>
      <c r="F4851" t="s">
        <v>1</v>
      </c>
      <c r="G4851" s="6">
        <v>45950</v>
      </c>
      <c r="H4851">
        <v>41</v>
      </c>
      <c r="I4851">
        <f>ROUND(CompilDonnées[[#This Row],[CultureDuration_days]]/7,0)</f>
        <v>6</v>
      </c>
      <c r="J4851">
        <v>2244</v>
      </c>
      <c r="K4851" t="str">
        <f>_xlfn.CONCAT(WEEKNUM(CompilDonnées[[#This Row],[PlantationDate]]), " ", YEAR(CompilDonnées[[#This Row],[PlantationDate]]))</f>
        <v>37 2025</v>
      </c>
      <c r="L4851" t="str">
        <f>CONCATENATE(MONTH(CompilDonnées[[#This Row],[PlantationDate]])," ", YEAR(CompilDonnées[[#This Row],[PlantationDate]]))</f>
        <v>9 2025</v>
      </c>
      <c r="M4851" t="str">
        <f>CONCATENATE(MONTH(CompilDonnées[[#This Row],[HarvestingDate]])," ", YEAR(CompilDonnées[[#This Row],[HarvestingDate]]))</f>
        <v>10 2025</v>
      </c>
      <c r="N4851">
        <f>_xlfn.NUMBERVALUE(CompilDonnées[[#This Row],[FarmID]]&amp;CompilDonnées[[#This Row],[ModuleNumber]]&amp;CompilDonnées[[#This Row],[PlantationDate]])</f>
        <v>144645909</v>
      </c>
      <c r="O4851" t="str">
        <f>CompilDonnées[[#This Row],[FarmID]]&amp;CompilDonnées[[#This Row],[ModuleNumber]]</f>
        <v>1446</v>
      </c>
      <c r="P4851" t="str">
        <f>CompilDonnées[[#This Row],[Ref_Module]]&amp;CompilDonnées[[#This Row],[HarvestingDate]]</f>
        <v>144645950</v>
      </c>
    </row>
    <row r="4852" spans="1:16">
      <c r="A4852" s="5">
        <v>45909</v>
      </c>
      <c r="B4852">
        <v>143</v>
      </c>
      <c r="C4852" t="s">
        <v>81</v>
      </c>
      <c r="D4852">
        <v>6</v>
      </c>
      <c r="E4852">
        <v>100</v>
      </c>
      <c r="F4852" t="s">
        <v>1</v>
      </c>
      <c r="G4852" s="6">
        <v>45961</v>
      </c>
      <c r="H4852">
        <v>52</v>
      </c>
      <c r="I4852">
        <f>ROUND(CompilDonnées[[#This Row],[CultureDuration_days]]/7,0)</f>
        <v>7</v>
      </c>
      <c r="J4852">
        <v>2010</v>
      </c>
      <c r="K4852" t="str">
        <f>_xlfn.CONCAT(WEEKNUM(CompilDonnées[[#This Row],[PlantationDate]]), " ", YEAR(CompilDonnées[[#This Row],[PlantationDate]]))</f>
        <v>37 2025</v>
      </c>
      <c r="L4852" t="str">
        <f>CONCATENATE(MONTH(CompilDonnées[[#This Row],[PlantationDate]])," ", YEAR(CompilDonnées[[#This Row],[PlantationDate]]))</f>
        <v>9 2025</v>
      </c>
      <c r="M4852" t="str">
        <f>CONCATENATE(MONTH(CompilDonnées[[#This Row],[HarvestingDate]])," ", YEAR(CompilDonnées[[#This Row],[HarvestingDate]]))</f>
        <v>10 2025</v>
      </c>
      <c r="N4852">
        <f>_xlfn.NUMBERVALUE(CompilDonnées[[#This Row],[FarmID]]&amp;CompilDonnées[[#This Row],[ModuleNumber]]&amp;CompilDonnées[[#This Row],[PlantationDate]])</f>
        <v>143645909</v>
      </c>
      <c r="O4852" t="str">
        <f>CompilDonnées[[#This Row],[FarmID]]&amp;CompilDonnées[[#This Row],[ModuleNumber]]</f>
        <v>1436</v>
      </c>
      <c r="P4852" t="str">
        <f>CompilDonnées[[#This Row],[Ref_Module]]&amp;CompilDonnées[[#This Row],[HarvestingDate]]</f>
        <v>143645961</v>
      </c>
    </row>
    <row r="4853" spans="1:16">
      <c r="A4853" s="5">
        <v>45909</v>
      </c>
      <c r="B4853">
        <v>142</v>
      </c>
      <c r="C4853" t="s">
        <v>113</v>
      </c>
      <c r="D4853">
        <v>6</v>
      </c>
      <c r="E4853">
        <v>100</v>
      </c>
      <c r="F4853" t="s">
        <v>1</v>
      </c>
      <c r="G4853" s="6">
        <v>45961</v>
      </c>
      <c r="H4853">
        <v>52</v>
      </c>
      <c r="I4853">
        <f>ROUND(CompilDonnées[[#This Row],[CultureDuration_days]]/7,0)</f>
        <v>7</v>
      </c>
      <c r="J4853">
        <v>2830</v>
      </c>
      <c r="K4853" t="str">
        <f>_xlfn.CONCAT(WEEKNUM(CompilDonnées[[#This Row],[PlantationDate]]), " ", YEAR(CompilDonnées[[#This Row],[PlantationDate]]))</f>
        <v>37 2025</v>
      </c>
      <c r="L4853" t="str">
        <f>CONCATENATE(MONTH(CompilDonnées[[#This Row],[PlantationDate]])," ", YEAR(CompilDonnées[[#This Row],[PlantationDate]]))</f>
        <v>9 2025</v>
      </c>
      <c r="M4853" t="str">
        <f>CONCATENATE(MONTH(CompilDonnées[[#This Row],[HarvestingDate]])," ", YEAR(CompilDonnées[[#This Row],[HarvestingDate]]))</f>
        <v>10 2025</v>
      </c>
      <c r="N4853">
        <f>_xlfn.NUMBERVALUE(CompilDonnées[[#This Row],[FarmID]]&amp;CompilDonnées[[#This Row],[ModuleNumber]]&amp;CompilDonnées[[#This Row],[PlantationDate]])</f>
        <v>142645909</v>
      </c>
      <c r="O4853" t="str">
        <f>CompilDonnées[[#This Row],[FarmID]]&amp;CompilDonnées[[#This Row],[ModuleNumber]]</f>
        <v>1426</v>
      </c>
      <c r="P4853" t="str">
        <f>CompilDonnées[[#This Row],[Ref_Module]]&amp;CompilDonnées[[#This Row],[HarvestingDate]]</f>
        <v>142645961</v>
      </c>
    </row>
    <row r="4854" spans="1:16">
      <c r="A4854" s="5">
        <v>45909</v>
      </c>
      <c r="B4854">
        <v>126</v>
      </c>
      <c r="C4854" t="s">
        <v>52</v>
      </c>
      <c r="D4854">
        <v>4</v>
      </c>
      <c r="E4854">
        <v>100</v>
      </c>
      <c r="F4854" t="s">
        <v>1</v>
      </c>
      <c r="G4854" s="6">
        <v>45961</v>
      </c>
      <c r="H4854">
        <v>52</v>
      </c>
      <c r="I4854">
        <f>ROUND(CompilDonnées[[#This Row],[CultureDuration_days]]/7,0)</f>
        <v>7</v>
      </c>
      <c r="J4854">
        <v>3976</v>
      </c>
      <c r="K4854" t="str">
        <f>_xlfn.CONCAT(WEEKNUM(CompilDonnées[[#This Row],[PlantationDate]]), " ", YEAR(CompilDonnées[[#This Row],[PlantationDate]]))</f>
        <v>37 2025</v>
      </c>
      <c r="L4854" t="str">
        <f>CONCATENATE(MONTH(CompilDonnées[[#This Row],[PlantationDate]])," ", YEAR(CompilDonnées[[#This Row],[PlantationDate]]))</f>
        <v>9 2025</v>
      </c>
      <c r="M4854" t="str">
        <f>CONCATENATE(MONTH(CompilDonnées[[#This Row],[HarvestingDate]])," ", YEAR(CompilDonnées[[#This Row],[HarvestingDate]]))</f>
        <v>10 2025</v>
      </c>
      <c r="N4854">
        <f>_xlfn.NUMBERVALUE(CompilDonnées[[#This Row],[FarmID]]&amp;CompilDonnées[[#This Row],[ModuleNumber]]&amp;CompilDonnées[[#This Row],[PlantationDate]])</f>
        <v>126445909</v>
      </c>
      <c r="O4854" t="str">
        <f>CompilDonnées[[#This Row],[FarmID]]&amp;CompilDonnées[[#This Row],[ModuleNumber]]</f>
        <v>1264</v>
      </c>
      <c r="P4854" t="str">
        <f>CompilDonnées[[#This Row],[Ref_Module]]&amp;CompilDonnées[[#This Row],[HarvestingDate]]</f>
        <v>126445961</v>
      </c>
    </row>
    <row r="4855" spans="1:16">
      <c r="A4855" s="5">
        <v>45909</v>
      </c>
      <c r="B4855">
        <v>115</v>
      </c>
      <c r="C4855" t="s">
        <v>121</v>
      </c>
      <c r="D4855">
        <v>3</v>
      </c>
      <c r="E4855">
        <v>100</v>
      </c>
      <c r="F4855" t="s">
        <v>1</v>
      </c>
      <c r="G4855" s="6">
        <v>45961</v>
      </c>
      <c r="H4855">
        <v>52</v>
      </c>
      <c r="I4855">
        <f>ROUND(CompilDonnées[[#This Row],[CultureDuration_days]]/7,0)</f>
        <v>7</v>
      </c>
      <c r="J4855">
        <v>1497</v>
      </c>
      <c r="K4855" t="str">
        <f>_xlfn.CONCAT(WEEKNUM(CompilDonnées[[#This Row],[PlantationDate]]), " ", YEAR(CompilDonnées[[#This Row],[PlantationDate]]))</f>
        <v>37 2025</v>
      </c>
      <c r="L4855" t="str">
        <f>CONCATENATE(MONTH(CompilDonnées[[#This Row],[PlantationDate]])," ", YEAR(CompilDonnées[[#This Row],[PlantationDate]]))</f>
        <v>9 2025</v>
      </c>
      <c r="M4855" t="str">
        <f>CONCATENATE(MONTH(CompilDonnées[[#This Row],[HarvestingDate]])," ", YEAR(CompilDonnées[[#This Row],[HarvestingDate]]))</f>
        <v>10 2025</v>
      </c>
      <c r="N4855">
        <f>_xlfn.NUMBERVALUE(CompilDonnées[[#This Row],[FarmID]]&amp;CompilDonnées[[#This Row],[ModuleNumber]]&amp;CompilDonnées[[#This Row],[PlantationDate]])</f>
        <v>115345909</v>
      </c>
      <c r="O4855" t="str">
        <f>CompilDonnées[[#This Row],[FarmID]]&amp;CompilDonnées[[#This Row],[ModuleNumber]]</f>
        <v>1153</v>
      </c>
      <c r="P4855" t="str">
        <f>CompilDonnées[[#This Row],[Ref_Module]]&amp;CompilDonnées[[#This Row],[HarvestingDate]]</f>
        <v>115345961</v>
      </c>
    </row>
    <row r="4856" spans="1:16">
      <c r="A4856" s="5">
        <v>45909</v>
      </c>
      <c r="B4856">
        <v>116</v>
      </c>
      <c r="C4856" t="s">
        <v>76</v>
      </c>
      <c r="D4856">
        <v>3</v>
      </c>
      <c r="E4856">
        <v>100</v>
      </c>
      <c r="F4856" t="s">
        <v>1</v>
      </c>
      <c r="G4856" s="6">
        <v>45961</v>
      </c>
      <c r="H4856">
        <v>52</v>
      </c>
      <c r="I4856">
        <f>ROUND(CompilDonnées[[#This Row],[CultureDuration_days]]/7,0)</f>
        <v>7</v>
      </c>
      <c r="J4856">
        <v>2121</v>
      </c>
      <c r="K4856" t="str">
        <f>_xlfn.CONCAT(WEEKNUM(CompilDonnées[[#This Row],[PlantationDate]]), " ", YEAR(CompilDonnées[[#This Row],[PlantationDate]]))</f>
        <v>37 2025</v>
      </c>
      <c r="L4856" t="str">
        <f>CONCATENATE(MONTH(CompilDonnées[[#This Row],[PlantationDate]])," ", YEAR(CompilDonnées[[#This Row],[PlantationDate]]))</f>
        <v>9 2025</v>
      </c>
      <c r="M4856" t="str">
        <f>CONCATENATE(MONTH(CompilDonnées[[#This Row],[HarvestingDate]])," ", YEAR(CompilDonnées[[#This Row],[HarvestingDate]]))</f>
        <v>10 2025</v>
      </c>
      <c r="N4856">
        <f>_xlfn.NUMBERVALUE(CompilDonnées[[#This Row],[FarmID]]&amp;CompilDonnées[[#This Row],[ModuleNumber]]&amp;CompilDonnées[[#This Row],[PlantationDate]])</f>
        <v>116345909</v>
      </c>
      <c r="O4856" t="str">
        <f>CompilDonnées[[#This Row],[FarmID]]&amp;CompilDonnées[[#This Row],[ModuleNumber]]</f>
        <v>1163</v>
      </c>
      <c r="P4856" t="str">
        <f>CompilDonnées[[#This Row],[Ref_Module]]&amp;CompilDonnées[[#This Row],[HarvestingDate]]</f>
        <v>116345961</v>
      </c>
    </row>
    <row r="4857" spans="1:16">
      <c r="A4857" s="5">
        <v>45909</v>
      </c>
      <c r="B4857">
        <v>124</v>
      </c>
      <c r="C4857" t="s">
        <v>115</v>
      </c>
      <c r="D4857">
        <v>5</v>
      </c>
      <c r="E4857">
        <v>100</v>
      </c>
      <c r="F4857" t="s">
        <v>1</v>
      </c>
      <c r="G4857" s="6">
        <v>45951</v>
      </c>
      <c r="H4857">
        <v>42</v>
      </c>
      <c r="I4857">
        <f>ROUND(CompilDonnées[[#This Row],[CultureDuration_days]]/7,0)</f>
        <v>6</v>
      </c>
      <c r="J4857">
        <v>4165</v>
      </c>
      <c r="K4857" t="str">
        <f>_xlfn.CONCAT(WEEKNUM(CompilDonnées[[#This Row],[PlantationDate]]), " ", YEAR(CompilDonnées[[#This Row],[PlantationDate]]))</f>
        <v>37 2025</v>
      </c>
      <c r="L4857" t="str">
        <f>CONCATENATE(MONTH(CompilDonnées[[#This Row],[PlantationDate]])," ", YEAR(CompilDonnées[[#This Row],[PlantationDate]]))</f>
        <v>9 2025</v>
      </c>
      <c r="M4857" t="str">
        <f>CONCATENATE(MONTH(CompilDonnées[[#This Row],[HarvestingDate]])," ", YEAR(CompilDonnées[[#This Row],[HarvestingDate]]))</f>
        <v>10 2025</v>
      </c>
      <c r="N4857">
        <f>_xlfn.NUMBERVALUE(CompilDonnées[[#This Row],[FarmID]]&amp;CompilDonnées[[#This Row],[ModuleNumber]]&amp;CompilDonnées[[#This Row],[PlantationDate]])</f>
        <v>124545909</v>
      </c>
      <c r="O4857" t="str">
        <f>CompilDonnées[[#This Row],[FarmID]]&amp;CompilDonnées[[#This Row],[ModuleNumber]]</f>
        <v>1245</v>
      </c>
      <c r="P4857" t="str">
        <f>CompilDonnées[[#This Row],[Ref_Module]]&amp;CompilDonnées[[#This Row],[HarvestingDate]]</f>
        <v>124545951</v>
      </c>
    </row>
    <row r="4858" spans="1:16">
      <c r="A4858" s="5">
        <v>45909</v>
      </c>
      <c r="B4858">
        <v>145</v>
      </c>
      <c r="C4858" t="s">
        <v>3</v>
      </c>
      <c r="D4858">
        <v>1</v>
      </c>
      <c r="E4858">
        <v>68</v>
      </c>
      <c r="F4858" t="s">
        <v>105</v>
      </c>
      <c r="G4858" s="6">
        <v>45951</v>
      </c>
      <c r="H4858">
        <v>42</v>
      </c>
      <c r="I4858">
        <f>ROUND(CompilDonnées[[#This Row],[CultureDuration_days]]/7,0)</f>
        <v>6</v>
      </c>
      <c r="J4858">
        <v>498</v>
      </c>
      <c r="K4858" t="str">
        <f>_xlfn.CONCAT(WEEKNUM(CompilDonnées[[#This Row],[PlantationDate]]), " ", YEAR(CompilDonnées[[#This Row],[PlantationDate]]))</f>
        <v>37 2025</v>
      </c>
      <c r="L4858" t="str">
        <f>CONCATENATE(MONTH(CompilDonnées[[#This Row],[PlantationDate]])," ", YEAR(CompilDonnées[[#This Row],[PlantationDate]]))</f>
        <v>9 2025</v>
      </c>
      <c r="M4858" t="str">
        <f>CONCATENATE(MONTH(CompilDonnées[[#This Row],[HarvestingDate]])," ", YEAR(CompilDonnées[[#This Row],[HarvestingDate]]))</f>
        <v>10 2025</v>
      </c>
      <c r="N4858">
        <f>_xlfn.NUMBERVALUE(CompilDonnées[[#This Row],[FarmID]]&amp;CompilDonnées[[#This Row],[ModuleNumber]]&amp;CompilDonnées[[#This Row],[PlantationDate]])</f>
        <v>145145909</v>
      </c>
      <c r="O4858" t="str">
        <f>CompilDonnées[[#This Row],[FarmID]]&amp;CompilDonnées[[#This Row],[ModuleNumber]]</f>
        <v>1451</v>
      </c>
      <c r="P4858" t="str">
        <f>CompilDonnées[[#This Row],[Ref_Module]]&amp;CompilDonnées[[#This Row],[HarvestingDate]]</f>
        <v>145145951</v>
      </c>
    </row>
    <row r="4859" spans="1:16">
      <c r="A4859" s="5">
        <v>45909</v>
      </c>
      <c r="B4859">
        <v>145</v>
      </c>
      <c r="C4859" t="s">
        <v>3</v>
      </c>
      <c r="D4859">
        <v>2</v>
      </c>
      <c r="E4859">
        <v>65</v>
      </c>
      <c r="F4859" t="s">
        <v>105</v>
      </c>
      <c r="G4859" s="6">
        <v>45951</v>
      </c>
      <c r="H4859">
        <v>42</v>
      </c>
      <c r="I4859">
        <f>ROUND(CompilDonnées[[#This Row],[CultureDuration_days]]/7,0)</f>
        <v>6</v>
      </c>
      <c r="J4859">
        <v>502</v>
      </c>
      <c r="K4859" t="str">
        <f>_xlfn.CONCAT(WEEKNUM(CompilDonnées[[#This Row],[PlantationDate]]), " ", YEAR(CompilDonnées[[#This Row],[PlantationDate]]))</f>
        <v>37 2025</v>
      </c>
      <c r="L4859" t="str">
        <f>CONCATENATE(MONTH(CompilDonnées[[#This Row],[PlantationDate]])," ", YEAR(CompilDonnées[[#This Row],[PlantationDate]]))</f>
        <v>9 2025</v>
      </c>
      <c r="M4859" t="str">
        <f>CONCATENATE(MONTH(CompilDonnées[[#This Row],[HarvestingDate]])," ", YEAR(CompilDonnées[[#This Row],[HarvestingDate]]))</f>
        <v>10 2025</v>
      </c>
      <c r="N4859">
        <f>_xlfn.NUMBERVALUE(CompilDonnées[[#This Row],[FarmID]]&amp;CompilDonnées[[#This Row],[ModuleNumber]]&amp;CompilDonnées[[#This Row],[PlantationDate]])</f>
        <v>145245909</v>
      </c>
      <c r="O4859" t="str">
        <f>CompilDonnées[[#This Row],[FarmID]]&amp;CompilDonnées[[#This Row],[ModuleNumber]]</f>
        <v>1452</v>
      </c>
      <c r="P4859" t="str">
        <f>CompilDonnées[[#This Row],[Ref_Module]]&amp;CompilDonnées[[#This Row],[HarvestingDate]]</f>
        <v>145245951</v>
      </c>
    </row>
    <row r="4860" spans="1:16">
      <c r="A4860" s="5">
        <v>45909</v>
      </c>
      <c r="B4860">
        <v>141</v>
      </c>
      <c r="C4860" t="s">
        <v>3</v>
      </c>
      <c r="D4860">
        <v>3</v>
      </c>
      <c r="E4860">
        <v>61</v>
      </c>
      <c r="F4860" t="s">
        <v>105</v>
      </c>
      <c r="G4860" s="6">
        <v>45946</v>
      </c>
      <c r="H4860">
        <v>37</v>
      </c>
      <c r="I4860">
        <f>ROUND(CompilDonnées[[#This Row],[CultureDuration_days]]/7,0)</f>
        <v>5</v>
      </c>
      <c r="J4860">
        <v>908</v>
      </c>
      <c r="K4860" t="str">
        <f>_xlfn.CONCAT(WEEKNUM(CompilDonnées[[#This Row],[PlantationDate]]), " ", YEAR(CompilDonnées[[#This Row],[PlantationDate]]))</f>
        <v>37 2025</v>
      </c>
      <c r="L4860" t="str">
        <f>CONCATENATE(MONTH(CompilDonnées[[#This Row],[PlantationDate]])," ", YEAR(CompilDonnées[[#This Row],[PlantationDate]]))</f>
        <v>9 2025</v>
      </c>
      <c r="M4860" t="str">
        <f>CONCATENATE(MONTH(CompilDonnées[[#This Row],[HarvestingDate]])," ", YEAR(CompilDonnées[[#This Row],[HarvestingDate]]))</f>
        <v>10 2025</v>
      </c>
      <c r="N4860">
        <f>_xlfn.NUMBERVALUE(CompilDonnées[[#This Row],[FarmID]]&amp;CompilDonnées[[#This Row],[ModuleNumber]]&amp;CompilDonnées[[#This Row],[PlantationDate]])</f>
        <v>141345909</v>
      </c>
      <c r="O4860" t="str">
        <f>CompilDonnées[[#This Row],[FarmID]]&amp;CompilDonnées[[#This Row],[ModuleNumber]]</f>
        <v>1413</v>
      </c>
      <c r="P4860" t="str">
        <f>CompilDonnées[[#This Row],[Ref_Module]]&amp;CompilDonnées[[#This Row],[HarvestingDate]]</f>
        <v>141345946</v>
      </c>
    </row>
    <row r="4861" spans="1:16">
      <c r="A4861" s="5">
        <v>45910</v>
      </c>
      <c r="B4861">
        <v>101</v>
      </c>
      <c r="C4861" t="s">
        <v>54</v>
      </c>
      <c r="D4861">
        <v>2</v>
      </c>
      <c r="E4861">
        <v>100</v>
      </c>
      <c r="F4861" t="s">
        <v>1</v>
      </c>
      <c r="G4861" s="6">
        <v>45959</v>
      </c>
      <c r="H4861">
        <v>49</v>
      </c>
      <c r="I4861">
        <f>ROUND(CompilDonnées[[#This Row],[CultureDuration_days]]/7,0)</f>
        <v>7</v>
      </c>
      <c r="J4861">
        <v>3694</v>
      </c>
      <c r="K4861" t="str">
        <f>_xlfn.CONCAT(WEEKNUM(CompilDonnées[[#This Row],[PlantationDate]]), " ", YEAR(CompilDonnées[[#This Row],[PlantationDate]]))</f>
        <v>37 2025</v>
      </c>
      <c r="L4861" t="str">
        <f>CONCATENATE(MONTH(CompilDonnées[[#This Row],[PlantationDate]])," ", YEAR(CompilDonnées[[#This Row],[PlantationDate]]))</f>
        <v>9 2025</v>
      </c>
      <c r="M4861" t="str">
        <f>CONCATENATE(MONTH(CompilDonnées[[#This Row],[HarvestingDate]])," ", YEAR(CompilDonnées[[#This Row],[HarvestingDate]]))</f>
        <v>10 2025</v>
      </c>
      <c r="N4861">
        <f>_xlfn.NUMBERVALUE(CompilDonnées[[#This Row],[FarmID]]&amp;CompilDonnées[[#This Row],[ModuleNumber]]&amp;CompilDonnées[[#This Row],[PlantationDate]])</f>
        <v>101245910</v>
      </c>
      <c r="O4861" t="str">
        <f>CompilDonnées[[#This Row],[FarmID]]&amp;CompilDonnées[[#This Row],[ModuleNumber]]</f>
        <v>1012</v>
      </c>
      <c r="P4861" t="str">
        <f>CompilDonnées[[#This Row],[Ref_Module]]&amp;CompilDonnées[[#This Row],[HarvestingDate]]</f>
        <v>101245959</v>
      </c>
    </row>
    <row r="4862" spans="1:16">
      <c r="A4862" s="5">
        <v>45910</v>
      </c>
      <c r="B4862">
        <v>100</v>
      </c>
      <c r="C4862" t="s">
        <v>84</v>
      </c>
      <c r="D4862">
        <v>3</v>
      </c>
      <c r="E4862">
        <v>100</v>
      </c>
      <c r="F4862" t="s">
        <v>1</v>
      </c>
      <c r="G4862" s="6">
        <v>45964</v>
      </c>
      <c r="H4862">
        <v>54</v>
      </c>
      <c r="I4862">
        <f>ROUND(CompilDonnées[[#This Row],[CultureDuration_days]]/7,0)</f>
        <v>8</v>
      </c>
      <c r="J4862">
        <v>2722</v>
      </c>
      <c r="K4862" t="str">
        <f>_xlfn.CONCAT(WEEKNUM(CompilDonnées[[#This Row],[PlantationDate]]), " ", YEAR(CompilDonnées[[#This Row],[PlantationDate]]))</f>
        <v>37 2025</v>
      </c>
      <c r="L4862" t="str">
        <f>CONCATENATE(MONTH(CompilDonnées[[#This Row],[PlantationDate]])," ", YEAR(CompilDonnées[[#This Row],[PlantationDate]]))</f>
        <v>9 2025</v>
      </c>
      <c r="M4862" t="str">
        <f>CONCATENATE(MONTH(CompilDonnées[[#This Row],[HarvestingDate]])," ", YEAR(CompilDonnées[[#This Row],[HarvestingDate]]))</f>
        <v>11 2025</v>
      </c>
      <c r="N4862">
        <f>_xlfn.NUMBERVALUE(CompilDonnées[[#This Row],[FarmID]]&amp;CompilDonnées[[#This Row],[ModuleNumber]]&amp;CompilDonnées[[#This Row],[PlantationDate]])</f>
        <v>100345910</v>
      </c>
      <c r="O4862" t="str">
        <f>CompilDonnées[[#This Row],[FarmID]]&amp;CompilDonnées[[#This Row],[ModuleNumber]]</f>
        <v>1003</v>
      </c>
      <c r="P4862" t="str">
        <f>CompilDonnées[[#This Row],[Ref_Module]]&amp;CompilDonnées[[#This Row],[HarvestingDate]]</f>
        <v>100345964</v>
      </c>
    </row>
    <row r="4863" spans="1:16">
      <c r="A4863" s="5">
        <v>45910</v>
      </c>
      <c r="B4863">
        <v>92</v>
      </c>
      <c r="C4863" t="s">
        <v>66</v>
      </c>
      <c r="D4863">
        <v>4</v>
      </c>
      <c r="E4863">
        <v>100</v>
      </c>
      <c r="F4863" t="s">
        <v>1</v>
      </c>
      <c r="G4863" s="6">
        <v>45959</v>
      </c>
      <c r="H4863">
        <v>49</v>
      </c>
      <c r="I4863">
        <f>ROUND(CompilDonnées[[#This Row],[CultureDuration_days]]/7,0)</f>
        <v>7</v>
      </c>
      <c r="J4863">
        <v>3032</v>
      </c>
      <c r="K4863" t="str">
        <f>_xlfn.CONCAT(WEEKNUM(CompilDonnées[[#This Row],[PlantationDate]]), " ", YEAR(CompilDonnées[[#This Row],[PlantationDate]]))</f>
        <v>37 2025</v>
      </c>
      <c r="L4863" t="str">
        <f>CONCATENATE(MONTH(CompilDonnées[[#This Row],[PlantationDate]])," ", YEAR(CompilDonnées[[#This Row],[PlantationDate]]))</f>
        <v>9 2025</v>
      </c>
      <c r="M4863" t="str">
        <f>CONCATENATE(MONTH(CompilDonnées[[#This Row],[HarvestingDate]])," ", YEAR(CompilDonnées[[#This Row],[HarvestingDate]]))</f>
        <v>10 2025</v>
      </c>
      <c r="N4863">
        <f>_xlfn.NUMBERVALUE(CompilDonnées[[#This Row],[FarmID]]&amp;CompilDonnées[[#This Row],[ModuleNumber]]&amp;CompilDonnées[[#This Row],[PlantationDate]])</f>
        <v>92445910</v>
      </c>
      <c r="O4863" t="str">
        <f>CompilDonnées[[#This Row],[FarmID]]&amp;CompilDonnées[[#This Row],[ModuleNumber]]</f>
        <v>924</v>
      </c>
      <c r="P4863" t="str">
        <f>CompilDonnées[[#This Row],[Ref_Module]]&amp;CompilDonnées[[#This Row],[HarvestingDate]]</f>
        <v>92445959</v>
      </c>
    </row>
    <row r="4864" spans="1:16">
      <c r="A4864" s="5">
        <v>45910</v>
      </c>
      <c r="B4864">
        <v>99</v>
      </c>
      <c r="C4864" t="s">
        <v>117</v>
      </c>
      <c r="D4864">
        <v>1</v>
      </c>
      <c r="E4864">
        <v>100</v>
      </c>
      <c r="F4864" t="s">
        <v>1</v>
      </c>
      <c r="G4864" s="6">
        <v>45959</v>
      </c>
      <c r="H4864">
        <v>49</v>
      </c>
      <c r="I4864">
        <f>ROUND(CompilDonnées[[#This Row],[CultureDuration_days]]/7,0)</f>
        <v>7</v>
      </c>
      <c r="J4864">
        <v>2666</v>
      </c>
      <c r="K4864" t="str">
        <f>_xlfn.CONCAT(WEEKNUM(CompilDonnées[[#This Row],[PlantationDate]]), " ", YEAR(CompilDonnées[[#This Row],[PlantationDate]]))</f>
        <v>37 2025</v>
      </c>
      <c r="L4864" t="str">
        <f>CONCATENATE(MONTH(CompilDonnées[[#This Row],[PlantationDate]])," ", YEAR(CompilDonnées[[#This Row],[PlantationDate]]))</f>
        <v>9 2025</v>
      </c>
      <c r="M4864" t="str">
        <f>CONCATENATE(MONTH(CompilDonnées[[#This Row],[HarvestingDate]])," ", YEAR(CompilDonnées[[#This Row],[HarvestingDate]]))</f>
        <v>10 2025</v>
      </c>
      <c r="N4864">
        <f>_xlfn.NUMBERVALUE(CompilDonnées[[#This Row],[FarmID]]&amp;CompilDonnées[[#This Row],[ModuleNumber]]&amp;CompilDonnées[[#This Row],[PlantationDate]])</f>
        <v>99145910</v>
      </c>
      <c r="O4864" t="str">
        <f>CompilDonnées[[#This Row],[FarmID]]&amp;CompilDonnées[[#This Row],[ModuleNumber]]</f>
        <v>991</v>
      </c>
      <c r="P4864" t="str">
        <f>CompilDonnées[[#This Row],[Ref_Module]]&amp;CompilDonnées[[#This Row],[HarvestingDate]]</f>
        <v>99145959</v>
      </c>
    </row>
    <row r="4865" spans="1:16">
      <c r="A4865" s="5">
        <v>45910</v>
      </c>
      <c r="B4865">
        <v>99</v>
      </c>
      <c r="C4865" t="s">
        <v>117</v>
      </c>
      <c r="D4865">
        <v>4</v>
      </c>
      <c r="E4865">
        <v>100</v>
      </c>
      <c r="F4865" t="s">
        <v>1</v>
      </c>
      <c r="G4865" s="6">
        <v>45959</v>
      </c>
      <c r="H4865">
        <v>49</v>
      </c>
      <c r="I4865">
        <f>ROUND(CompilDonnées[[#This Row],[CultureDuration_days]]/7,0)</f>
        <v>7</v>
      </c>
      <c r="J4865">
        <v>2729</v>
      </c>
      <c r="K4865" t="str">
        <f>_xlfn.CONCAT(WEEKNUM(CompilDonnées[[#This Row],[PlantationDate]]), " ", YEAR(CompilDonnées[[#This Row],[PlantationDate]]))</f>
        <v>37 2025</v>
      </c>
      <c r="L4865" t="str">
        <f>CONCATENATE(MONTH(CompilDonnées[[#This Row],[PlantationDate]])," ", YEAR(CompilDonnées[[#This Row],[PlantationDate]]))</f>
        <v>9 2025</v>
      </c>
      <c r="M4865" t="str">
        <f>CONCATENATE(MONTH(CompilDonnées[[#This Row],[HarvestingDate]])," ", YEAR(CompilDonnées[[#This Row],[HarvestingDate]]))</f>
        <v>10 2025</v>
      </c>
      <c r="N4865">
        <f>_xlfn.NUMBERVALUE(CompilDonnées[[#This Row],[FarmID]]&amp;CompilDonnées[[#This Row],[ModuleNumber]]&amp;CompilDonnées[[#This Row],[PlantationDate]])</f>
        <v>99445910</v>
      </c>
      <c r="O4865" t="str">
        <f>CompilDonnées[[#This Row],[FarmID]]&amp;CompilDonnées[[#This Row],[ModuleNumber]]</f>
        <v>994</v>
      </c>
      <c r="P4865" t="str">
        <f>CompilDonnées[[#This Row],[Ref_Module]]&amp;CompilDonnées[[#This Row],[HarvestingDate]]</f>
        <v>99445959</v>
      </c>
    </row>
    <row r="4866" spans="1:16">
      <c r="A4866" s="5">
        <v>45910</v>
      </c>
      <c r="B4866">
        <v>90</v>
      </c>
      <c r="C4866" t="s">
        <v>72</v>
      </c>
      <c r="D4866">
        <v>4</v>
      </c>
      <c r="E4866">
        <v>100</v>
      </c>
      <c r="F4866" t="s">
        <v>1</v>
      </c>
      <c r="G4866" s="6">
        <v>45952</v>
      </c>
      <c r="H4866">
        <v>42</v>
      </c>
      <c r="I4866">
        <f>ROUND(CompilDonnées[[#This Row],[CultureDuration_days]]/7,0)</f>
        <v>6</v>
      </c>
      <c r="J4866">
        <v>1171</v>
      </c>
      <c r="K4866" t="str">
        <f>_xlfn.CONCAT(WEEKNUM(CompilDonnées[[#This Row],[PlantationDate]]), " ", YEAR(CompilDonnées[[#This Row],[PlantationDate]]))</f>
        <v>37 2025</v>
      </c>
      <c r="L4866" t="str">
        <f>CONCATENATE(MONTH(CompilDonnées[[#This Row],[PlantationDate]])," ", YEAR(CompilDonnées[[#This Row],[PlantationDate]]))</f>
        <v>9 2025</v>
      </c>
      <c r="M4866" t="str">
        <f>CONCATENATE(MONTH(CompilDonnées[[#This Row],[HarvestingDate]])," ", YEAR(CompilDonnées[[#This Row],[HarvestingDate]]))</f>
        <v>10 2025</v>
      </c>
      <c r="N4866">
        <f>_xlfn.NUMBERVALUE(CompilDonnées[[#This Row],[FarmID]]&amp;CompilDonnées[[#This Row],[ModuleNumber]]&amp;CompilDonnées[[#This Row],[PlantationDate]])</f>
        <v>90445910</v>
      </c>
      <c r="O4866" t="str">
        <f>CompilDonnées[[#This Row],[FarmID]]&amp;CompilDonnées[[#This Row],[ModuleNumber]]</f>
        <v>904</v>
      </c>
      <c r="P4866" t="str">
        <f>CompilDonnées[[#This Row],[Ref_Module]]&amp;CompilDonnées[[#This Row],[HarvestingDate]]</f>
        <v>90445952</v>
      </c>
    </row>
    <row r="4867" spans="1:16">
      <c r="A4867" s="5">
        <v>45910</v>
      </c>
      <c r="B4867">
        <v>89</v>
      </c>
      <c r="C4867" t="s">
        <v>67</v>
      </c>
      <c r="D4867">
        <v>4</v>
      </c>
      <c r="E4867">
        <v>100</v>
      </c>
      <c r="F4867" t="s">
        <v>1</v>
      </c>
      <c r="G4867" s="6">
        <v>45952</v>
      </c>
      <c r="H4867">
        <v>42</v>
      </c>
      <c r="I4867">
        <f>ROUND(CompilDonnées[[#This Row],[CultureDuration_days]]/7,0)</f>
        <v>6</v>
      </c>
      <c r="J4867">
        <v>1698</v>
      </c>
      <c r="K4867" t="str">
        <f>_xlfn.CONCAT(WEEKNUM(CompilDonnées[[#This Row],[PlantationDate]]), " ", YEAR(CompilDonnées[[#This Row],[PlantationDate]]))</f>
        <v>37 2025</v>
      </c>
      <c r="L4867" t="str">
        <f>CONCATENATE(MONTH(CompilDonnées[[#This Row],[PlantationDate]])," ", YEAR(CompilDonnées[[#This Row],[PlantationDate]]))</f>
        <v>9 2025</v>
      </c>
      <c r="M4867" t="str">
        <f>CONCATENATE(MONTH(CompilDonnées[[#This Row],[HarvestingDate]])," ", YEAR(CompilDonnées[[#This Row],[HarvestingDate]]))</f>
        <v>10 2025</v>
      </c>
      <c r="N4867">
        <f>_xlfn.NUMBERVALUE(CompilDonnées[[#This Row],[FarmID]]&amp;CompilDonnées[[#This Row],[ModuleNumber]]&amp;CompilDonnées[[#This Row],[PlantationDate]])</f>
        <v>89445910</v>
      </c>
      <c r="O4867" t="str">
        <f>CompilDonnées[[#This Row],[FarmID]]&amp;CompilDonnées[[#This Row],[ModuleNumber]]</f>
        <v>894</v>
      </c>
      <c r="P4867" t="str">
        <f>CompilDonnées[[#This Row],[Ref_Module]]&amp;CompilDonnées[[#This Row],[HarvestingDate]]</f>
        <v>89445952</v>
      </c>
    </row>
    <row r="4868" spans="1:16">
      <c r="A4868" s="5">
        <v>45910</v>
      </c>
      <c r="B4868">
        <v>91</v>
      </c>
      <c r="C4868" t="s">
        <v>9</v>
      </c>
      <c r="D4868">
        <v>6</v>
      </c>
      <c r="E4868">
        <v>100</v>
      </c>
      <c r="F4868" t="s">
        <v>1</v>
      </c>
      <c r="G4868" s="6">
        <v>45959</v>
      </c>
      <c r="H4868">
        <v>49</v>
      </c>
      <c r="I4868">
        <f>ROUND(CompilDonnées[[#This Row],[CultureDuration_days]]/7,0)</f>
        <v>7</v>
      </c>
      <c r="J4868">
        <v>3340</v>
      </c>
      <c r="K4868" t="str">
        <f>_xlfn.CONCAT(WEEKNUM(CompilDonnées[[#This Row],[PlantationDate]]), " ", YEAR(CompilDonnées[[#This Row],[PlantationDate]]))</f>
        <v>37 2025</v>
      </c>
      <c r="L4868" t="str">
        <f>CONCATENATE(MONTH(CompilDonnées[[#This Row],[PlantationDate]])," ", YEAR(CompilDonnées[[#This Row],[PlantationDate]]))</f>
        <v>9 2025</v>
      </c>
      <c r="M4868" t="str">
        <f>CONCATENATE(MONTH(CompilDonnées[[#This Row],[HarvestingDate]])," ", YEAR(CompilDonnées[[#This Row],[HarvestingDate]]))</f>
        <v>10 2025</v>
      </c>
      <c r="N4868">
        <f>_xlfn.NUMBERVALUE(CompilDonnées[[#This Row],[FarmID]]&amp;CompilDonnées[[#This Row],[ModuleNumber]]&amp;CompilDonnées[[#This Row],[PlantationDate]])</f>
        <v>91645910</v>
      </c>
      <c r="O4868" t="str">
        <f>CompilDonnées[[#This Row],[FarmID]]&amp;CompilDonnées[[#This Row],[ModuleNumber]]</f>
        <v>916</v>
      </c>
      <c r="P4868" t="str">
        <f>CompilDonnées[[#This Row],[Ref_Module]]&amp;CompilDonnées[[#This Row],[HarvestingDate]]</f>
        <v>91645959</v>
      </c>
    </row>
    <row r="4869" spans="1:16">
      <c r="A4869" s="5">
        <v>45910</v>
      </c>
      <c r="B4869">
        <v>96</v>
      </c>
      <c r="C4869" t="s">
        <v>125</v>
      </c>
      <c r="D4869">
        <v>3</v>
      </c>
      <c r="E4869">
        <v>100</v>
      </c>
      <c r="F4869" t="s">
        <v>1</v>
      </c>
      <c r="G4869" s="6">
        <v>45965</v>
      </c>
      <c r="H4869">
        <v>55</v>
      </c>
      <c r="I4869">
        <f>ROUND(CompilDonnées[[#This Row],[CultureDuration_days]]/7,0)</f>
        <v>8</v>
      </c>
      <c r="J4869">
        <v>1450</v>
      </c>
      <c r="K4869" t="str">
        <f>_xlfn.CONCAT(WEEKNUM(CompilDonnées[[#This Row],[PlantationDate]]), " ", YEAR(CompilDonnées[[#This Row],[PlantationDate]]))</f>
        <v>37 2025</v>
      </c>
      <c r="L4869" t="str">
        <f>CONCATENATE(MONTH(CompilDonnées[[#This Row],[PlantationDate]])," ", YEAR(CompilDonnées[[#This Row],[PlantationDate]]))</f>
        <v>9 2025</v>
      </c>
      <c r="M4869" t="str">
        <f>CONCATENATE(MONTH(CompilDonnées[[#This Row],[HarvestingDate]])," ", YEAR(CompilDonnées[[#This Row],[HarvestingDate]]))</f>
        <v>11 2025</v>
      </c>
      <c r="N4869">
        <f>_xlfn.NUMBERVALUE(CompilDonnées[[#This Row],[FarmID]]&amp;CompilDonnées[[#This Row],[ModuleNumber]]&amp;CompilDonnées[[#This Row],[PlantationDate]])</f>
        <v>96345910</v>
      </c>
      <c r="O4869" t="str">
        <f>CompilDonnées[[#This Row],[FarmID]]&amp;CompilDonnées[[#This Row],[ModuleNumber]]</f>
        <v>963</v>
      </c>
      <c r="P4869" t="str">
        <f>CompilDonnées[[#This Row],[Ref_Module]]&amp;CompilDonnées[[#This Row],[HarvestingDate]]</f>
        <v>96345965</v>
      </c>
    </row>
    <row r="4870" spans="1:16">
      <c r="A4870" s="5">
        <v>45910</v>
      </c>
      <c r="B4870">
        <v>95</v>
      </c>
      <c r="C4870" t="s">
        <v>90</v>
      </c>
      <c r="D4870">
        <v>6</v>
      </c>
      <c r="E4870">
        <v>100</v>
      </c>
      <c r="F4870" t="s">
        <v>1</v>
      </c>
      <c r="G4870" s="6">
        <v>45965</v>
      </c>
      <c r="H4870">
        <v>55</v>
      </c>
      <c r="I4870">
        <f>ROUND(CompilDonnées[[#This Row],[CultureDuration_days]]/7,0)</f>
        <v>8</v>
      </c>
      <c r="J4870">
        <v>1766</v>
      </c>
      <c r="K4870" t="str">
        <f>_xlfn.CONCAT(WEEKNUM(CompilDonnées[[#This Row],[PlantationDate]]), " ", YEAR(CompilDonnées[[#This Row],[PlantationDate]]))</f>
        <v>37 2025</v>
      </c>
      <c r="L4870" t="str">
        <f>CONCATENATE(MONTH(CompilDonnées[[#This Row],[PlantationDate]])," ", YEAR(CompilDonnées[[#This Row],[PlantationDate]]))</f>
        <v>9 2025</v>
      </c>
      <c r="M4870" t="str">
        <f>CONCATENATE(MONTH(CompilDonnées[[#This Row],[HarvestingDate]])," ", YEAR(CompilDonnées[[#This Row],[HarvestingDate]]))</f>
        <v>11 2025</v>
      </c>
      <c r="N4870">
        <f>_xlfn.NUMBERVALUE(CompilDonnées[[#This Row],[FarmID]]&amp;CompilDonnées[[#This Row],[ModuleNumber]]&amp;CompilDonnées[[#This Row],[PlantationDate]])</f>
        <v>95645910</v>
      </c>
      <c r="O4870" t="str">
        <f>CompilDonnées[[#This Row],[FarmID]]&amp;CompilDonnées[[#This Row],[ModuleNumber]]</f>
        <v>956</v>
      </c>
      <c r="P4870" t="str">
        <f>CompilDonnées[[#This Row],[Ref_Module]]&amp;CompilDonnées[[#This Row],[HarvestingDate]]</f>
        <v>95645965</v>
      </c>
    </row>
    <row r="4871" spans="1:16">
      <c r="A4871" s="5">
        <v>45910</v>
      </c>
      <c r="B4871">
        <v>104</v>
      </c>
      <c r="C4871" t="s">
        <v>91</v>
      </c>
      <c r="D4871">
        <v>1</v>
      </c>
      <c r="E4871">
        <v>100</v>
      </c>
      <c r="F4871" t="s">
        <v>1</v>
      </c>
      <c r="G4871" s="6">
        <v>45964</v>
      </c>
      <c r="H4871">
        <v>54</v>
      </c>
      <c r="I4871">
        <f>ROUND(CompilDonnées[[#This Row],[CultureDuration_days]]/7,0)</f>
        <v>8</v>
      </c>
      <c r="J4871">
        <v>975</v>
      </c>
      <c r="K4871" t="str">
        <f>_xlfn.CONCAT(WEEKNUM(CompilDonnées[[#This Row],[PlantationDate]]), " ", YEAR(CompilDonnées[[#This Row],[PlantationDate]]))</f>
        <v>37 2025</v>
      </c>
      <c r="L4871" t="str">
        <f>CONCATENATE(MONTH(CompilDonnées[[#This Row],[PlantationDate]])," ", YEAR(CompilDonnées[[#This Row],[PlantationDate]]))</f>
        <v>9 2025</v>
      </c>
      <c r="M4871" t="str">
        <f>CONCATENATE(MONTH(CompilDonnées[[#This Row],[HarvestingDate]])," ", YEAR(CompilDonnées[[#This Row],[HarvestingDate]]))</f>
        <v>11 2025</v>
      </c>
      <c r="N4871">
        <f>_xlfn.NUMBERVALUE(CompilDonnées[[#This Row],[FarmID]]&amp;CompilDonnées[[#This Row],[ModuleNumber]]&amp;CompilDonnées[[#This Row],[PlantationDate]])</f>
        <v>104145910</v>
      </c>
      <c r="O4871" t="str">
        <f>CompilDonnées[[#This Row],[FarmID]]&amp;CompilDonnées[[#This Row],[ModuleNumber]]</f>
        <v>1041</v>
      </c>
      <c r="P4871" t="str">
        <f>CompilDonnées[[#This Row],[Ref_Module]]&amp;CompilDonnées[[#This Row],[HarvestingDate]]</f>
        <v>104145964</v>
      </c>
    </row>
    <row r="4872" spans="1:16">
      <c r="A4872" s="5">
        <v>45910</v>
      </c>
      <c r="B4872">
        <v>102</v>
      </c>
      <c r="C4872" t="s">
        <v>85</v>
      </c>
      <c r="D4872">
        <v>6</v>
      </c>
      <c r="E4872">
        <v>100</v>
      </c>
      <c r="F4872" t="s">
        <v>1</v>
      </c>
      <c r="G4872" s="6">
        <v>45959</v>
      </c>
      <c r="H4872">
        <v>49</v>
      </c>
      <c r="I4872">
        <f>ROUND(CompilDonnées[[#This Row],[CultureDuration_days]]/7,0)</f>
        <v>7</v>
      </c>
      <c r="J4872">
        <v>1119</v>
      </c>
      <c r="K4872" t="str">
        <f>_xlfn.CONCAT(WEEKNUM(CompilDonnées[[#This Row],[PlantationDate]]), " ", YEAR(CompilDonnées[[#This Row],[PlantationDate]]))</f>
        <v>37 2025</v>
      </c>
      <c r="L4872" t="str">
        <f>CONCATENATE(MONTH(CompilDonnées[[#This Row],[PlantationDate]])," ", YEAR(CompilDonnées[[#This Row],[PlantationDate]]))</f>
        <v>9 2025</v>
      </c>
      <c r="M4872" t="str">
        <f>CONCATENATE(MONTH(CompilDonnées[[#This Row],[HarvestingDate]])," ", YEAR(CompilDonnées[[#This Row],[HarvestingDate]]))</f>
        <v>10 2025</v>
      </c>
      <c r="N4872">
        <f>_xlfn.NUMBERVALUE(CompilDonnées[[#This Row],[FarmID]]&amp;CompilDonnées[[#This Row],[ModuleNumber]]&amp;CompilDonnées[[#This Row],[PlantationDate]])</f>
        <v>102645910</v>
      </c>
      <c r="O4872" t="str">
        <f>CompilDonnées[[#This Row],[FarmID]]&amp;CompilDonnées[[#This Row],[ModuleNumber]]</f>
        <v>1026</v>
      </c>
      <c r="P4872" t="str">
        <f>CompilDonnées[[#This Row],[Ref_Module]]&amp;CompilDonnées[[#This Row],[HarvestingDate]]</f>
        <v>102645959</v>
      </c>
    </row>
    <row r="4873" spans="1:16">
      <c r="A4873" s="5">
        <v>45910</v>
      </c>
      <c r="B4873">
        <v>87</v>
      </c>
      <c r="C4873" t="s">
        <v>38</v>
      </c>
      <c r="D4873">
        <v>2</v>
      </c>
      <c r="E4873">
        <v>100</v>
      </c>
      <c r="F4873" t="s">
        <v>1</v>
      </c>
      <c r="G4873" s="6">
        <v>45951</v>
      </c>
      <c r="H4873">
        <v>41</v>
      </c>
      <c r="I4873">
        <f>ROUND(CompilDonnées[[#This Row],[CultureDuration_days]]/7,0)</f>
        <v>6</v>
      </c>
      <c r="J4873">
        <v>2605</v>
      </c>
      <c r="K4873" t="str">
        <f>_xlfn.CONCAT(WEEKNUM(CompilDonnées[[#This Row],[PlantationDate]]), " ", YEAR(CompilDonnées[[#This Row],[PlantationDate]]))</f>
        <v>37 2025</v>
      </c>
      <c r="L4873" t="str">
        <f>CONCATENATE(MONTH(CompilDonnées[[#This Row],[PlantationDate]])," ", YEAR(CompilDonnées[[#This Row],[PlantationDate]]))</f>
        <v>9 2025</v>
      </c>
      <c r="M4873" t="str">
        <f>CONCATENATE(MONTH(CompilDonnées[[#This Row],[HarvestingDate]])," ", YEAR(CompilDonnées[[#This Row],[HarvestingDate]]))</f>
        <v>10 2025</v>
      </c>
      <c r="N4873">
        <f>_xlfn.NUMBERVALUE(CompilDonnées[[#This Row],[FarmID]]&amp;CompilDonnées[[#This Row],[ModuleNumber]]&amp;CompilDonnées[[#This Row],[PlantationDate]])</f>
        <v>87245910</v>
      </c>
      <c r="O4873" t="str">
        <f>CompilDonnées[[#This Row],[FarmID]]&amp;CompilDonnées[[#This Row],[ModuleNumber]]</f>
        <v>872</v>
      </c>
      <c r="P4873" t="str">
        <f>CompilDonnées[[#This Row],[Ref_Module]]&amp;CompilDonnées[[#This Row],[HarvestingDate]]</f>
        <v>87245951</v>
      </c>
    </row>
    <row r="4874" spans="1:16">
      <c r="A4874" s="5">
        <v>45910</v>
      </c>
      <c r="B4874">
        <v>86</v>
      </c>
      <c r="C4874" t="s">
        <v>37</v>
      </c>
      <c r="D4874">
        <v>5</v>
      </c>
      <c r="E4874">
        <v>100</v>
      </c>
      <c r="F4874" t="s">
        <v>1</v>
      </c>
      <c r="G4874" s="6">
        <v>45959</v>
      </c>
      <c r="H4874">
        <v>49</v>
      </c>
      <c r="I4874">
        <f>ROUND(CompilDonnées[[#This Row],[CultureDuration_days]]/7,0)</f>
        <v>7</v>
      </c>
      <c r="J4874">
        <v>2808</v>
      </c>
      <c r="K4874" t="str">
        <f>_xlfn.CONCAT(WEEKNUM(CompilDonnées[[#This Row],[PlantationDate]]), " ", YEAR(CompilDonnées[[#This Row],[PlantationDate]]))</f>
        <v>37 2025</v>
      </c>
      <c r="L4874" t="str">
        <f>CONCATENATE(MONTH(CompilDonnées[[#This Row],[PlantationDate]])," ", YEAR(CompilDonnées[[#This Row],[PlantationDate]]))</f>
        <v>9 2025</v>
      </c>
      <c r="M4874" t="str">
        <f>CONCATENATE(MONTH(CompilDonnées[[#This Row],[HarvestingDate]])," ", YEAR(CompilDonnées[[#This Row],[HarvestingDate]]))</f>
        <v>10 2025</v>
      </c>
      <c r="N4874">
        <f>_xlfn.NUMBERVALUE(CompilDonnées[[#This Row],[FarmID]]&amp;CompilDonnées[[#This Row],[ModuleNumber]]&amp;CompilDonnées[[#This Row],[PlantationDate]])</f>
        <v>86545910</v>
      </c>
      <c r="O4874" t="str">
        <f>CompilDonnées[[#This Row],[FarmID]]&amp;CompilDonnées[[#This Row],[ModuleNumber]]</f>
        <v>865</v>
      </c>
      <c r="P4874" t="str">
        <f>CompilDonnées[[#This Row],[Ref_Module]]&amp;CompilDonnées[[#This Row],[HarvestingDate]]</f>
        <v>86545959</v>
      </c>
    </row>
    <row r="4875" spans="1:16">
      <c r="A4875" s="5">
        <v>45910</v>
      </c>
      <c r="B4875">
        <v>88</v>
      </c>
      <c r="C4875" t="s">
        <v>94</v>
      </c>
      <c r="D4875">
        <v>5</v>
      </c>
      <c r="E4875">
        <v>100</v>
      </c>
      <c r="F4875" t="s">
        <v>1</v>
      </c>
      <c r="G4875" s="6">
        <v>45952</v>
      </c>
      <c r="H4875">
        <v>42</v>
      </c>
      <c r="I4875">
        <f>ROUND(CompilDonnées[[#This Row],[CultureDuration_days]]/7,0)</f>
        <v>6</v>
      </c>
      <c r="J4875">
        <v>4104</v>
      </c>
      <c r="K4875" t="str">
        <f>_xlfn.CONCAT(WEEKNUM(CompilDonnées[[#This Row],[PlantationDate]]), " ", YEAR(CompilDonnées[[#This Row],[PlantationDate]]))</f>
        <v>37 2025</v>
      </c>
      <c r="L4875" t="str">
        <f>CONCATENATE(MONTH(CompilDonnées[[#This Row],[PlantationDate]])," ", YEAR(CompilDonnées[[#This Row],[PlantationDate]]))</f>
        <v>9 2025</v>
      </c>
      <c r="M4875" t="str">
        <f>CONCATENATE(MONTH(CompilDonnées[[#This Row],[HarvestingDate]])," ", YEAR(CompilDonnées[[#This Row],[HarvestingDate]]))</f>
        <v>10 2025</v>
      </c>
      <c r="N4875">
        <f>_xlfn.NUMBERVALUE(CompilDonnées[[#This Row],[FarmID]]&amp;CompilDonnées[[#This Row],[ModuleNumber]]&amp;CompilDonnées[[#This Row],[PlantationDate]])</f>
        <v>88545910</v>
      </c>
      <c r="O4875" t="str">
        <f>CompilDonnées[[#This Row],[FarmID]]&amp;CompilDonnées[[#This Row],[ModuleNumber]]</f>
        <v>885</v>
      </c>
      <c r="P4875" t="str">
        <f>CompilDonnées[[#This Row],[Ref_Module]]&amp;CompilDonnées[[#This Row],[HarvestingDate]]</f>
        <v>88545952</v>
      </c>
    </row>
    <row r="4876" spans="1:16">
      <c r="A4876" s="5">
        <v>45910</v>
      </c>
      <c r="B4876">
        <v>94</v>
      </c>
      <c r="C4876" t="s">
        <v>40</v>
      </c>
      <c r="D4876">
        <v>6</v>
      </c>
      <c r="E4876">
        <v>100</v>
      </c>
      <c r="F4876" t="s">
        <v>1</v>
      </c>
      <c r="G4876" s="6">
        <v>45945</v>
      </c>
      <c r="H4876">
        <v>35</v>
      </c>
      <c r="I4876">
        <f>ROUND(CompilDonnées[[#This Row],[CultureDuration_days]]/7,0)</f>
        <v>5</v>
      </c>
      <c r="J4876">
        <v>3087</v>
      </c>
      <c r="K4876" t="str">
        <f>_xlfn.CONCAT(WEEKNUM(CompilDonnées[[#This Row],[PlantationDate]]), " ", YEAR(CompilDonnées[[#This Row],[PlantationDate]]))</f>
        <v>37 2025</v>
      </c>
      <c r="L4876" t="str">
        <f>CONCATENATE(MONTH(CompilDonnées[[#This Row],[PlantationDate]])," ", YEAR(CompilDonnées[[#This Row],[PlantationDate]]))</f>
        <v>9 2025</v>
      </c>
      <c r="M4876" t="str">
        <f>CONCATENATE(MONTH(CompilDonnées[[#This Row],[HarvestingDate]])," ", YEAR(CompilDonnées[[#This Row],[HarvestingDate]]))</f>
        <v>10 2025</v>
      </c>
      <c r="N4876">
        <f>_xlfn.NUMBERVALUE(CompilDonnées[[#This Row],[FarmID]]&amp;CompilDonnées[[#This Row],[ModuleNumber]]&amp;CompilDonnées[[#This Row],[PlantationDate]])</f>
        <v>94645910</v>
      </c>
      <c r="O4876" t="str">
        <f>CompilDonnées[[#This Row],[FarmID]]&amp;CompilDonnées[[#This Row],[ModuleNumber]]</f>
        <v>946</v>
      </c>
      <c r="P4876" t="str">
        <f>CompilDonnées[[#This Row],[Ref_Module]]&amp;CompilDonnées[[#This Row],[HarvestingDate]]</f>
        <v>94645945</v>
      </c>
    </row>
    <row r="4877" spans="1:16">
      <c r="A4877" s="5">
        <v>45910</v>
      </c>
      <c r="B4877">
        <v>93</v>
      </c>
      <c r="C4877" t="s">
        <v>10</v>
      </c>
      <c r="D4877">
        <v>6</v>
      </c>
      <c r="E4877">
        <v>100</v>
      </c>
      <c r="F4877" t="s">
        <v>1</v>
      </c>
      <c r="G4877" s="6">
        <v>45960</v>
      </c>
      <c r="H4877">
        <v>50</v>
      </c>
      <c r="I4877">
        <f>ROUND(CompilDonnées[[#This Row],[CultureDuration_days]]/7,0)</f>
        <v>7</v>
      </c>
      <c r="J4877">
        <v>4034</v>
      </c>
      <c r="K4877" t="str">
        <f>_xlfn.CONCAT(WEEKNUM(CompilDonnées[[#This Row],[PlantationDate]]), " ", YEAR(CompilDonnées[[#This Row],[PlantationDate]]))</f>
        <v>37 2025</v>
      </c>
      <c r="L4877" t="str">
        <f>CONCATENATE(MONTH(CompilDonnées[[#This Row],[PlantationDate]])," ", YEAR(CompilDonnées[[#This Row],[PlantationDate]]))</f>
        <v>9 2025</v>
      </c>
      <c r="M4877" t="str">
        <f>CONCATENATE(MONTH(CompilDonnées[[#This Row],[HarvestingDate]])," ", YEAR(CompilDonnées[[#This Row],[HarvestingDate]]))</f>
        <v>10 2025</v>
      </c>
      <c r="N4877">
        <f>_xlfn.NUMBERVALUE(CompilDonnées[[#This Row],[FarmID]]&amp;CompilDonnées[[#This Row],[ModuleNumber]]&amp;CompilDonnées[[#This Row],[PlantationDate]])</f>
        <v>93645910</v>
      </c>
      <c r="O4877" t="str">
        <f>CompilDonnées[[#This Row],[FarmID]]&amp;CompilDonnées[[#This Row],[ModuleNumber]]</f>
        <v>936</v>
      </c>
      <c r="P4877" t="str">
        <f>CompilDonnées[[#This Row],[Ref_Module]]&amp;CompilDonnées[[#This Row],[HarvestingDate]]</f>
        <v>93645960</v>
      </c>
    </row>
    <row r="4878" spans="1:16">
      <c r="A4878" s="5">
        <v>45910</v>
      </c>
      <c r="B4878">
        <v>82</v>
      </c>
      <c r="C4878" t="s">
        <v>17</v>
      </c>
      <c r="D4878">
        <v>4</v>
      </c>
      <c r="E4878">
        <v>100</v>
      </c>
      <c r="F4878" t="s">
        <v>1</v>
      </c>
      <c r="G4878" s="6">
        <v>45951</v>
      </c>
      <c r="H4878">
        <v>41</v>
      </c>
      <c r="I4878">
        <f>ROUND(CompilDonnées[[#This Row],[CultureDuration_days]]/7,0)</f>
        <v>6</v>
      </c>
      <c r="J4878">
        <v>3843</v>
      </c>
      <c r="K4878" t="str">
        <f>_xlfn.CONCAT(WEEKNUM(CompilDonnées[[#This Row],[PlantationDate]]), " ", YEAR(CompilDonnées[[#This Row],[PlantationDate]]))</f>
        <v>37 2025</v>
      </c>
      <c r="L4878" t="str">
        <f>CONCATENATE(MONTH(CompilDonnées[[#This Row],[PlantationDate]])," ", YEAR(CompilDonnées[[#This Row],[PlantationDate]]))</f>
        <v>9 2025</v>
      </c>
      <c r="M4878" t="str">
        <f>CONCATENATE(MONTH(CompilDonnées[[#This Row],[HarvestingDate]])," ", YEAR(CompilDonnées[[#This Row],[HarvestingDate]]))</f>
        <v>10 2025</v>
      </c>
      <c r="N4878">
        <f>_xlfn.NUMBERVALUE(CompilDonnées[[#This Row],[FarmID]]&amp;CompilDonnées[[#This Row],[ModuleNumber]]&amp;CompilDonnées[[#This Row],[PlantationDate]])</f>
        <v>82445910</v>
      </c>
      <c r="O4878" t="str">
        <f>CompilDonnées[[#This Row],[FarmID]]&amp;CompilDonnées[[#This Row],[ModuleNumber]]</f>
        <v>824</v>
      </c>
      <c r="P4878" t="str">
        <f>CompilDonnées[[#This Row],[Ref_Module]]&amp;CompilDonnées[[#This Row],[HarvestingDate]]</f>
        <v>82445951</v>
      </c>
    </row>
    <row r="4879" spans="1:16">
      <c r="A4879" s="5">
        <v>45910</v>
      </c>
      <c r="B4879">
        <v>80</v>
      </c>
      <c r="C4879" t="s">
        <v>29</v>
      </c>
      <c r="D4879">
        <v>5</v>
      </c>
      <c r="E4879">
        <v>100</v>
      </c>
      <c r="F4879" t="s">
        <v>1</v>
      </c>
      <c r="G4879" s="6">
        <v>45952</v>
      </c>
      <c r="H4879">
        <v>42</v>
      </c>
      <c r="I4879">
        <f>ROUND(CompilDonnées[[#This Row],[CultureDuration_days]]/7,0)</f>
        <v>6</v>
      </c>
      <c r="J4879">
        <v>3761</v>
      </c>
      <c r="K4879" t="str">
        <f>_xlfn.CONCAT(WEEKNUM(CompilDonnées[[#This Row],[PlantationDate]]), " ", YEAR(CompilDonnées[[#This Row],[PlantationDate]]))</f>
        <v>37 2025</v>
      </c>
      <c r="L4879" t="str">
        <f>CONCATENATE(MONTH(CompilDonnées[[#This Row],[PlantationDate]])," ", YEAR(CompilDonnées[[#This Row],[PlantationDate]]))</f>
        <v>9 2025</v>
      </c>
      <c r="M4879" t="str">
        <f>CONCATENATE(MONTH(CompilDonnées[[#This Row],[HarvestingDate]])," ", YEAR(CompilDonnées[[#This Row],[HarvestingDate]]))</f>
        <v>10 2025</v>
      </c>
      <c r="N4879">
        <f>_xlfn.NUMBERVALUE(CompilDonnées[[#This Row],[FarmID]]&amp;CompilDonnées[[#This Row],[ModuleNumber]]&amp;CompilDonnées[[#This Row],[PlantationDate]])</f>
        <v>80545910</v>
      </c>
      <c r="O4879" t="str">
        <f>CompilDonnées[[#This Row],[FarmID]]&amp;CompilDonnées[[#This Row],[ModuleNumber]]</f>
        <v>805</v>
      </c>
      <c r="P4879" t="str">
        <f>CompilDonnées[[#This Row],[Ref_Module]]&amp;CompilDonnées[[#This Row],[HarvestingDate]]</f>
        <v>80545952</v>
      </c>
    </row>
    <row r="4880" spans="1:16">
      <c r="A4880" s="5">
        <v>45910</v>
      </c>
      <c r="B4880">
        <v>84</v>
      </c>
      <c r="C4880" t="s">
        <v>65</v>
      </c>
      <c r="D4880">
        <v>2</v>
      </c>
      <c r="E4880">
        <v>100</v>
      </c>
      <c r="F4880" t="s">
        <v>1</v>
      </c>
      <c r="G4880" s="6">
        <v>45959</v>
      </c>
      <c r="H4880">
        <v>49</v>
      </c>
      <c r="I4880">
        <f>ROUND(CompilDonnées[[#This Row],[CultureDuration_days]]/7,0)</f>
        <v>7</v>
      </c>
      <c r="J4880">
        <v>1945</v>
      </c>
      <c r="K4880" t="str">
        <f>_xlfn.CONCAT(WEEKNUM(CompilDonnées[[#This Row],[PlantationDate]]), " ", YEAR(CompilDonnées[[#This Row],[PlantationDate]]))</f>
        <v>37 2025</v>
      </c>
      <c r="L4880" t="str">
        <f>CONCATENATE(MONTH(CompilDonnées[[#This Row],[PlantationDate]])," ", YEAR(CompilDonnées[[#This Row],[PlantationDate]]))</f>
        <v>9 2025</v>
      </c>
      <c r="M4880" t="str">
        <f>CONCATENATE(MONTH(CompilDonnées[[#This Row],[HarvestingDate]])," ", YEAR(CompilDonnées[[#This Row],[HarvestingDate]]))</f>
        <v>10 2025</v>
      </c>
      <c r="N4880">
        <f>_xlfn.NUMBERVALUE(CompilDonnées[[#This Row],[FarmID]]&amp;CompilDonnées[[#This Row],[ModuleNumber]]&amp;CompilDonnées[[#This Row],[PlantationDate]])</f>
        <v>84245910</v>
      </c>
      <c r="O4880" t="str">
        <f>CompilDonnées[[#This Row],[FarmID]]&amp;CompilDonnées[[#This Row],[ModuleNumber]]</f>
        <v>842</v>
      </c>
      <c r="P4880" t="str">
        <f>CompilDonnées[[#This Row],[Ref_Module]]&amp;CompilDonnées[[#This Row],[HarvestingDate]]</f>
        <v>84245959</v>
      </c>
    </row>
    <row r="4881" spans="1:16">
      <c r="A4881" s="5">
        <v>45910</v>
      </c>
      <c r="B4881">
        <v>83</v>
      </c>
      <c r="C4881" t="s">
        <v>73</v>
      </c>
      <c r="D4881">
        <v>3</v>
      </c>
      <c r="E4881">
        <v>100</v>
      </c>
      <c r="F4881" t="s">
        <v>1</v>
      </c>
      <c r="G4881" s="6">
        <v>45951</v>
      </c>
      <c r="H4881">
        <v>41</v>
      </c>
      <c r="I4881">
        <f>ROUND(CompilDonnées[[#This Row],[CultureDuration_days]]/7,0)</f>
        <v>6</v>
      </c>
      <c r="J4881">
        <v>2305</v>
      </c>
      <c r="K4881" t="str">
        <f>_xlfn.CONCAT(WEEKNUM(CompilDonnées[[#This Row],[PlantationDate]]), " ", YEAR(CompilDonnées[[#This Row],[PlantationDate]]))</f>
        <v>37 2025</v>
      </c>
      <c r="L4881" t="str">
        <f>CONCATENATE(MONTH(CompilDonnées[[#This Row],[PlantationDate]])," ", YEAR(CompilDonnées[[#This Row],[PlantationDate]]))</f>
        <v>9 2025</v>
      </c>
      <c r="M4881" t="str">
        <f>CONCATENATE(MONTH(CompilDonnées[[#This Row],[HarvestingDate]])," ", YEAR(CompilDonnées[[#This Row],[HarvestingDate]]))</f>
        <v>10 2025</v>
      </c>
      <c r="N4881">
        <f>_xlfn.NUMBERVALUE(CompilDonnées[[#This Row],[FarmID]]&amp;CompilDonnées[[#This Row],[ModuleNumber]]&amp;CompilDonnées[[#This Row],[PlantationDate]])</f>
        <v>83345910</v>
      </c>
      <c r="O4881" t="str">
        <f>CompilDonnées[[#This Row],[FarmID]]&amp;CompilDonnées[[#This Row],[ModuleNumber]]</f>
        <v>833</v>
      </c>
      <c r="P4881" t="str">
        <f>CompilDonnées[[#This Row],[Ref_Module]]&amp;CompilDonnées[[#This Row],[HarvestingDate]]</f>
        <v>83345951</v>
      </c>
    </row>
    <row r="4882" spans="1:16">
      <c r="A4882" s="5">
        <v>45910</v>
      </c>
      <c r="B4882">
        <v>125</v>
      </c>
      <c r="C4882" t="s">
        <v>101</v>
      </c>
      <c r="D4882">
        <v>1</v>
      </c>
      <c r="E4882">
        <v>100</v>
      </c>
      <c r="F4882" t="s">
        <v>1</v>
      </c>
      <c r="G4882" s="6">
        <v>45950</v>
      </c>
      <c r="H4882">
        <v>40</v>
      </c>
      <c r="I4882">
        <f>ROUND(CompilDonnées[[#This Row],[CultureDuration_days]]/7,0)</f>
        <v>6</v>
      </c>
      <c r="J4882">
        <v>3610</v>
      </c>
      <c r="K4882" t="str">
        <f>_xlfn.CONCAT(WEEKNUM(CompilDonnées[[#This Row],[PlantationDate]]), " ", YEAR(CompilDonnées[[#This Row],[PlantationDate]]))</f>
        <v>37 2025</v>
      </c>
      <c r="L4882" t="str">
        <f>CONCATENATE(MONTH(CompilDonnées[[#This Row],[PlantationDate]])," ", YEAR(CompilDonnées[[#This Row],[PlantationDate]]))</f>
        <v>9 2025</v>
      </c>
      <c r="M4882" t="str">
        <f>CONCATENATE(MONTH(CompilDonnées[[#This Row],[HarvestingDate]])," ", YEAR(CompilDonnées[[#This Row],[HarvestingDate]]))</f>
        <v>10 2025</v>
      </c>
      <c r="N4882">
        <f>_xlfn.NUMBERVALUE(CompilDonnées[[#This Row],[FarmID]]&amp;CompilDonnées[[#This Row],[ModuleNumber]]&amp;CompilDonnées[[#This Row],[PlantationDate]])</f>
        <v>125145910</v>
      </c>
      <c r="O4882" t="str">
        <f>CompilDonnées[[#This Row],[FarmID]]&amp;CompilDonnées[[#This Row],[ModuleNumber]]</f>
        <v>1251</v>
      </c>
      <c r="P4882" t="str">
        <f>CompilDonnées[[#This Row],[Ref_Module]]&amp;CompilDonnées[[#This Row],[HarvestingDate]]</f>
        <v>125145950</v>
      </c>
    </row>
    <row r="4883" spans="1:16">
      <c r="A4883" s="5">
        <v>45910</v>
      </c>
      <c r="B4883">
        <v>125</v>
      </c>
      <c r="C4883" t="s">
        <v>101</v>
      </c>
      <c r="D4883">
        <v>2</v>
      </c>
      <c r="E4883">
        <v>100</v>
      </c>
      <c r="F4883" t="s">
        <v>1</v>
      </c>
      <c r="G4883" s="6">
        <v>45950</v>
      </c>
      <c r="H4883">
        <v>40</v>
      </c>
      <c r="I4883">
        <f>ROUND(CompilDonnées[[#This Row],[CultureDuration_days]]/7,0)</f>
        <v>6</v>
      </c>
      <c r="J4883">
        <v>3306</v>
      </c>
      <c r="K4883" t="str">
        <f>_xlfn.CONCAT(WEEKNUM(CompilDonnées[[#This Row],[PlantationDate]]), " ", YEAR(CompilDonnées[[#This Row],[PlantationDate]]))</f>
        <v>37 2025</v>
      </c>
      <c r="L4883" t="str">
        <f>CONCATENATE(MONTH(CompilDonnées[[#This Row],[PlantationDate]])," ", YEAR(CompilDonnées[[#This Row],[PlantationDate]]))</f>
        <v>9 2025</v>
      </c>
      <c r="M4883" t="str">
        <f>CONCATENATE(MONTH(CompilDonnées[[#This Row],[HarvestingDate]])," ", YEAR(CompilDonnées[[#This Row],[HarvestingDate]]))</f>
        <v>10 2025</v>
      </c>
      <c r="N4883">
        <f>_xlfn.NUMBERVALUE(CompilDonnées[[#This Row],[FarmID]]&amp;CompilDonnées[[#This Row],[ModuleNumber]]&amp;CompilDonnées[[#This Row],[PlantationDate]])</f>
        <v>125245910</v>
      </c>
      <c r="O4883" t="str">
        <f>CompilDonnées[[#This Row],[FarmID]]&amp;CompilDonnées[[#This Row],[ModuleNumber]]</f>
        <v>1252</v>
      </c>
      <c r="P4883" t="str">
        <f>CompilDonnées[[#This Row],[Ref_Module]]&amp;CompilDonnées[[#This Row],[HarvestingDate]]</f>
        <v>125245950</v>
      </c>
    </row>
    <row r="4884" spans="1:16">
      <c r="A4884" s="5">
        <v>45910</v>
      </c>
      <c r="B4884">
        <v>131</v>
      </c>
      <c r="C4884" t="s">
        <v>53</v>
      </c>
      <c r="D4884">
        <v>5</v>
      </c>
      <c r="E4884">
        <v>100</v>
      </c>
      <c r="F4884" t="s">
        <v>1</v>
      </c>
      <c r="G4884" s="6">
        <v>45951</v>
      </c>
      <c r="H4884">
        <v>41</v>
      </c>
      <c r="I4884">
        <f>ROUND(CompilDonnées[[#This Row],[CultureDuration_days]]/7,0)</f>
        <v>6</v>
      </c>
      <c r="J4884">
        <v>3370</v>
      </c>
      <c r="K4884" t="str">
        <f>_xlfn.CONCAT(WEEKNUM(CompilDonnées[[#This Row],[PlantationDate]]), " ", YEAR(CompilDonnées[[#This Row],[PlantationDate]]))</f>
        <v>37 2025</v>
      </c>
      <c r="L4884" t="str">
        <f>CONCATENATE(MONTH(CompilDonnées[[#This Row],[PlantationDate]])," ", YEAR(CompilDonnées[[#This Row],[PlantationDate]]))</f>
        <v>9 2025</v>
      </c>
      <c r="M4884" t="str">
        <f>CONCATENATE(MONTH(CompilDonnées[[#This Row],[HarvestingDate]])," ", YEAR(CompilDonnées[[#This Row],[HarvestingDate]]))</f>
        <v>10 2025</v>
      </c>
      <c r="N4884">
        <f>_xlfn.NUMBERVALUE(CompilDonnées[[#This Row],[FarmID]]&amp;CompilDonnées[[#This Row],[ModuleNumber]]&amp;CompilDonnées[[#This Row],[PlantationDate]])</f>
        <v>131545910</v>
      </c>
      <c r="O4884" t="str">
        <f>CompilDonnées[[#This Row],[FarmID]]&amp;CompilDonnées[[#This Row],[ModuleNumber]]</f>
        <v>1315</v>
      </c>
      <c r="P4884" t="str">
        <f>CompilDonnées[[#This Row],[Ref_Module]]&amp;CompilDonnées[[#This Row],[HarvestingDate]]</f>
        <v>131545951</v>
      </c>
    </row>
    <row r="4885" spans="1:16">
      <c r="A4885" s="5">
        <v>45910</v>
      </c>
      <c r="B4885">
        <v>138</v>
      </c>
      <c r="C4885" t="s">
        <v>124</v>
      </c>
      <c r="D4885">
        <v>6</v>
      </c>
      <c r="E4885">
        <v>100</v>
      </c>
      <c r="F4885" t="s">
        <v>1</v>
      </c>
      <c r="G4885" s="6">
        <v>45961</v>
      </c>
      <c r="H4885">
        <v>51</v>
      </c>
      <c r="I4885">
        <f>ROUND(CompilDonnées[[#This Row],[CultureDuration_days]]/7,0)</f>
        <v>7</v>
      </c>
      <c r="J4885">
        <v>2374</v>
      </c>
      <c r="K4885" t="str">
        <f>_xlfn.CONCAT(WEEKNUM(CompilDonnées[[#This Row],[PlantationDate]]), " ", YEAR(CompilDonnées[[#This Row],[PlantationDate]]))</f>
        <v>37 2025</v>
      </c>
      <c r="L4885" t="str">
        <f>CONCATENATE(MONTH(CompilDonnées[[#This Row],[PlantationDate]])," ", YEAR(CompilDonnées[[#This Row],[PlantationDate]]))</f>
        <v>9 2025</v>
      </c>
      <c r="M4885" t="str">
        <f>CONCATENATE(MONTH(CompilDonnées[[#This Row],[HarvestingDate]])," ", YEAR(CompilDonnées[[#This Row],[HarvestingDate]]))</f>
        <v>10 2025</v>
      </c>
      <c r="N4885">
        <f>_xlfn.NUMBERVALUE(CompilDonnées[[#This Row],[FarmID]]&amp;CompilDonnées[[#This Row],[ModuleNumber]]&amp;CompilDonnées[[#This Row],[PlantationDate]])</f>
        <v>138645910</v>
      </c>
      <c r="O4885" t="str">
        <f>CompilDonnées[[#This Row],[FarmID]]&amp;CompilDonnées[[#This Row],[ModuleNumber]]</f>
        <v>1386</v>
      </c>
      <c r="P4885" t="str">
        <f>CompilDonnées[[#This Row],[Ref_Module]]&amp;CompilDonnées[[#This Row],[HarvestingDate]]</f>
        <v>138645961</v>
      </c>
    </row>
    <row r="4886" spans="1:16">
      <c r="A4886" s="5">
        <v>45910</v>
      </c>
      <c r="B4886">
        <v>137</v>
      </c>
      <c r="C4886" t="s">
        <v>108</v>
      </c>
      <c r="D4886">
        <v>5</v>
      </c>
      <c r="E4886">
        <v>100</v>
      </c>
      <c r="F4886" t="s">
        <v>1</v>
      </c>
      <c r="G4886" s="6">
        <v>45961</v>
      </c>
      <c r="H4886">
        <v>51</v>
      </c>
      <c r="I4886">
        <f>ROUND(CompilDonnées[[#This Row],[CultureDuration_days]]/7,0)</f>
        <v>7</v>
      </c>
      <c r="J4886">
        <v>2889</v>
      </c>
      <c r="K4886" t="str">
        <f>_xlfn.CONCAT(WEEKNUM(CompilDonnées[[#This Row],[PlantationDate]]), " ", YEAR(CompilDonnées[[#This Row],[PlantationDate]]))</f>
        <v>37 2025</v>
      </c>
      <c r="L4886" t="str">
        <f>CONCATENATE(MONTH(CompilDonnées[[#This Row],[PlantationDate]])," ", YEAR(CompilDonnées[[#This Row],[PlantationDate]]))</f>
        <v>9 2025</v>
      </c>
      <c r="M4886" t="str">
        <f>CONCATENATE(MONTH(CompilDonnées[[#This Row],[HarvestingDate]])," ", YEAR(CompilDonnées[[#This Row],[HarvestingDate]]))</f>
        <v>10 2025</v>
      </c>
      <c r="N4886">
        <f>_xlfn.NUMBERVALUE(CompilDonnées[[#This Row],[FarmID]]&amp;CompilDonnées[[#This Row],[ModuleNumber]]&amp;CompilDonnées[[#This Row],[PlantationDate]])</f>
        <v>137545910</v>
      </c>
      <c r="O4886" t="str">
        <f>CompilDonnées[[#This Row],[FarmID]]&amp;CompilDonnées[[#This Row],[ModuleNumber]]</f>
        <v>1375</v>
      </c>
      <c r="P4886" t="str">
        <f>CompilDonnées[[#This Row],[Ref_Module]]&amp;CompilDonnées[[#This Row],[HarvestingDate]]</f>
        <v>137545961</v>
      </c>
    </row>
    <row r="4887" spans="1:16">
      <c r="A4887" s="5">
        <v>45910</v>
      </c>
      <c r="B4887">
        <v>144</v>
      </c>
      <c r="C4887" t="s">
        <v>95</v>
      </c>
      <c r="D4887">
        <v>5</v>
      </c>
      <c r="E4887">
        <v>100</v>
      </c>
      <c r="F4887" t="s">
        <v>1</v>
      </c>
      <c r="G4887" s="6">
        <v>45961</v>
      </c>
      <c r="H4887">
        <v>51</v>
      </c>
      <c r="I4887">
        <f>ROUND(CompilDonnées[[#This Row],[CultureDuration_days]]/7,0)</f>
        <v>7</v>
      </c>
      <c r="J4887">
        <v>2190</v>
      </c>
      <c r="K4887" t="str">
        <f>_xlfn.CONCAT(WEEKNUM(CompilDonnées[[#This Row],[PlantationDate]]), " ", YEAR(CompilDonnées[[#This Row],[PlantationDate]]))</f>
        <v>37 2025</v>
      </c>
      <c r="L4887" t="str">
        <f>CONCATENATE(MONTH(CompilDonnées[[#This Row],[PlantationDate]])," ", YEAR(CompilDonnées[[#This Row],[PlantationDate]]))</f>
        <v>9 2025</v>
      </c>
      <c r="M4887" t="str">
        <f>CONCATENATE(MONTH(CompilDonnées[[#This Row],[HarvestingDate]])," ", YEAR(CompilDonnées[[#This Row],[HarvestingDate]]))</f>
        <v>10 2025</v>
      </c>
      <c r="N4887">
        <f>_xlfn.NUMBERVALUE(CompilDonnées[[#This Row],[FarmID]]&amp;CompilDonnées[[#This Row],[ModuleNumber]]&amp;CompilDonnées[[#This Row],[PlantationDate]])</f>
        <v>144545910</v>
      </c>
      <c r="O4887" t="str">
        <f>CompilDonnées[[#This Row],[FarmID]]&amp;CompilDonnées[[#This Row],[ModuleNumber]]</f>
        <v>1445</v>
      </c>
      <c r="P4887" t="str">
        <f>CompilDonnées[[#This Row],[Ref_Module]]&amp;CompilDonnées[[#This Row],[HarvestingDate]]</f>
        <v>144545961</v>
      </c>
    </row>
    <row r="4888" spans="1:16">
      <c r="A4888" s="5">
        <v>45910</v>
      </c>
      <c r="B4888">
        <v>142</v>
      </c>
      <c r="C4888" t="s">
        <v>113</v>
      </c>
      <c r="D4888">
        <v>5</v>
      </c>
      <c r="E4888">
        <v>100</v>
      </c>
      <c r="F4888" t="s">
        <v>1</v>
      </c>
      <c r="G4888" s="6">
        <v>45961</v>
      </c>
      <c r="H4888">
        <v>51</v>
      </c>
      <c r="I4888">
        <f>ROUND(CompilDonnées[[#This Row],[CultureDuration_days]]/7,0)</f>
        <v>7</v>
      </c>
      <c r="J4888">
        <v>2668</v>
      </c>
      <c r="K4888" t="str">
        <f>_xlfn.CONCAT(WEEKNUM(CompilDonnées[[#This Row],[PlantationDate]]), " ", YEAR(CompilDonnées[[#This Row],[PlantationDate]]))</f>
        <v>37 2025</v>
      </c>
      <c r="L4888" t="str">
        <f>CONCATENATE(MONTH(CompilDonnées[[#This Row],[PlantationDate]])," ", YEAR(CompilDonnées[[#This Row],[PlantationDate]]))</f>
        <v>9 2025</v>
      </c>
      <c r="M4888" t="str">
        <f>CONCATENATE(MONTH(CompilDonnées[[#This Row],[HarvestingDate]])," ", YEAR(CompilDonnées[[#This Row],[HarvestingDate]]))</f>
        <v>10 2025</v>
      </c>
      <c r="N4888">
        <f>_xlfn.NUMBERVALUE(CompilDonnées[[#This Row],[FarmID]]&amp;CompilDonnées[[#This Row],[ModuleNumber]]&amp;CompilDonnées[[#This Row],[PlantationDate]])</f>
        <v>142545910</v>
      </c>
      <c r="O4888" t="str">
        <f>CompilDonnées[[#This Row],[FarmID]]&amp;CompilDonnées[[#This Row],[ModuleNumber]]</f>
        <v>1425</v>
      </c>
      <c r="P4888" t="str">
        <f>CompilDonnées[[#This Row],[Ref_Module]]&amp;CompilDonnées[[#This Row],[HarvestingDate]]</f>
        <v>142545961</v>
      </c>
    </row>
    <row r="4889" spans="1:16">
      <c r="A4889" s="5">
        <v>45910</v>
      </c>
      <c r="B4889">
        <v>143</v>
      </c>
      <c r="C4889" t="s">
        <v>81</v>
      </c>
      <c r="D4889">
        <v>4</v>
      </c>
      <c r="E4889">
        <v>100</v>
      </c>
      <c r="F4889" t="s">
        <v>1</v>
      </c>
      <c r="G4889" s="6">
        <v>45961</v>
      </c>
      <c r="H4889">
        <v>51</v>
      </c>
      <c r="I4889">
        <f>ROUND(CompilDonnées[[#This Row],[CultureDuration_days]]/7,0)</f>
        <v>7</v>
      </c>
      <c r="J4889">
        <v>2034</v>
      </c>
      <c r="K4889" t="str">
        <f>_xlfn.CONCAT(WEEKNUM(CompilDonnées[[#This Row],[PlantationDate]]), " ", YEAR(CompilDonnées[[#This Row],[PlantationDate]]))</f>
        <v>37 2025</v>
      </c>
      <c r="L4889" t="str">
        <f>CONCATENATE(MONTH(CompilDonnées[[#This Row],[PlantationDate]])," ", YEAR(CompilDonnées[[#This Row],[PlantationDate]]))</f>
        <v>9 2025</v>
      </c>
      <c r="M4889" t="str">
        <f>CONCATENATE(MONTH(CompilDonnées[[#This Row],[HarvestingDate]])," ", YEAR(CompilDonnées[[#This Row],[HarvestingDate]]))</f>
        <v>10 2025</v>
      </c>
      <c r="N4889">
        <f>_xlfn.NUMBERVALUE(CompilDonnées[[#This Row],[FarmID]]&amp;CompilDonnées[[#This Row],[ModuleNumber]]&amp;CompilDonnées[[#This Row],[PlantationDate]])</f>
        <v>143445910</v>
      </c>
      <c r="O4889" t="str">
        <f>CompilDonnées[[#This Row],[FarmID]]&amp;CompilDonnées[[#This Row],[ModuleNumber]]</f>
        <v>1434</v>
      </c>
      <c r="P4889" t="str">
        <f>CompilDonnées[[#This Row],[Ref_Module]]&amp;CompilDonnées[[#This Row],[HarvestingDate]]</f>
        <v>143445961</v>
      </c>
    </row>
    <row r="4890" spans="1:16">
      <c r="A4890" s="5">
        <v>45910</v>
      </c>
      <c r="B4890">
        <v>209</v>
      </c>
      <c r="C4890" t="s">
        <v>118</v>
      </c>
      <c r="D4890">
        <v>1</v>
      </c>
      <c r="E4890">
        <v>100</v>
      </c>
      <c r="F4890" t="s">
        <v>1</v>
      </c>
      <c r="G4890" s="6">
        <v>45944</v>
      </c>
      <c r="H4890">
        <v>34</v>
      </c>
      <c r="I4890">
        <f>ROUND(CompilDonnées[[#This Row],[CultureDuration_days]]/7,0)</f>
        <v>5</v>
      </c>
      <c r="J4890">
        <v>3152</v>
      </c>
      <c r="K4890" t="str">
        <f>_xlfn.CONCAT(WEEKNUM(CompilDonnées[[#This Row],[PlantationDate]]), " ", YEAR(CompilDonnées[[#This Row],[PlantationDate]]))</f>
        <v>37 2025</v>
      </c>
      <c r="L4890" t="str">
        <f>CONCATENATE(MONTH(CompilDonnées[[#This Row],[PlantationDate]])," ", YEAR(CompilDonnées[[#This Row],[PlantationDate]]))</f>
        <v>9 2025</v>
      </c>
      <c r="M4890" t="str">
        <f>CONCATENATE(MONTH(CompilDonnées[[#This Row],[HarvestingDate]])," ", YEAR(CompilDonnées[[#This Row],[HarvestingDate]]))</f>
        <v>10 2025</v>
      </c>
      <c r="N4890">
        <f>_xlfn.NUMBERVALUE(CompilDonnées[[#This Row],[FarmID]]&amp;CompilDonnées[[#This Row],[ModuleNumber]]&amp;CompilDonnées[[#This Row],[PlantationDate]])</f>
        <v>209145910</v>
      </c>
      <c r="O4890" t="str">
        <f>CompilDonnées[[#This Row],[FarmID]]&amp;CompilDonnées[[#This Row],[ModuleNumber]]</f>
        <v>2091</v>
      </c>
      <c r="P4890" t="str">
        <f>CompilDonnées[[#This Row],[Ref_Module]]&amp;CompilDonnées[[#This Row],[HarvestingDate]]</f>
        <v>209145944</v>
      </c>
    </row>
    <row r="4891" spans="1:16">
      <c r="A4891" s="5">
        <v>45910</v>
      </c>
      <c r="B4891">
        <v>209</v>
      </c>
      <c r="C4891" t="s">
        <v>118</v>
      </c>
      <c r="D4891">
        <v>2</v>
      </c>
      <c r="E4891">
        <v>52</v>
      </c>
      <c r="F4891" t="s">
        <v>1</v>
      </c>
      <c r="G4891" s="6">
        <v>45945</v>
      </c>
      <c r="H4891">
        <v>35</v>
      </c>
      <c r="I4891">
        <f>ROUND(CompilDonnées[[#This Row],[CultureDuration_days]]/7,0)</f>
        <v>5</v>
      </c>
      <c r="J4891">
        <v>2156</v>
      </c>
      <c r="K4891" t="str">
        <f>_xlfn.CONCAT(WEEKNUM(CompilDonnées[[#This Row],[PlantationDate]]), " ", YEAR(CompilDonnées[[#This Row],[PlantationDate]]))</f>
        <v>37 2025</v>
      </c>
      <c r="L4891" t="str">
        <f>CONCATENATE(MONTH(CompilDonnées[[#This Row],[PlantationDate]])," ", YEAR(CompilDonnées[[#This Row],[PlantationDate]]))</f>
        <v>9 2025</v>
      </c>
      <c r="M4891" t="str">
        <f>CONCATENATE(MONTH(CompilDonnées[[#This Row],[HarvestingDate]])," ", YEAR(CompilDonnées[[#This Row],[HarvestingDate]]))</f>
        <v>10 2025</v>
      </c>
      <c r="N4891">
        <f>_xlfn.NUMBERVALUE(CompilDonnées[[#This Row],[FarmID]]&amp;CompilDonnées[[#This Row],[ModuleNumber]]&amp;CompilDonnées[[#This Row],[PlantationDate]])</f>
        <v>209245910</v>
      </c>
      <c r="O4891" t="str">
        <f>CompilDonnées[[#This Row],[FarmID]]&amp;CompilDonnées[[#This Row],[ModuleNumber]]</f>
        <v>2092</v>
      </c>
      <c r="P4891" t="str">
        <f>CompilDonnées[[#This Row],[Ref_Module]]&amp;CompilDonnées[[#This Row],[HarvestingDate]]</f>
        <v>209245945</v>
      </c>
    </row>
    <row r="4892" spans="1:16">
      <c r="A4892" s="5">
        <v>45910</v>
      </c>
      <c r="B4892">
        <v>209</v>
      </c>
      <c r="C4892" t="s">
        <v>118</v>
      </c>
      <c r="D4892">
        <v>3</v>
      </c>
      <c r="E4892">
        <v>68</v>
      </c>
      <c r="F4892" t="s">
        <v>1</v>
      </c>
      <c r="G4892" s="6">
        <v>45946</v>
      </c>
      <c r="H4892">
        <v>36</v>
      </c>
      <c r="I4892">
        <f>ROUND(CompilDonnées[[#This Row],[CultureDuration_days]]/7,0)</f>
        <v>5</v>
      </c>
      <c r="J4892">
        <v>2421</v>
      </c>
      <c r="K4892" t="str">
        <f>_xlfn.CONCAT(WEEKNUM(CompilDonnées[[#This Row],[PlantationDate]]), " ", YEAR(CompilDonnées[[#This Row],[PlantationDate]]))</f>
        <v>37 2025</v>
      </c>
      <c r="L4892" t="str">
        <f>CONCATENATE(MONTH(CompilDonnées[[#This Row],[PlantationDate]])," ", YEAR(CompilDonnées[[#This Row],[PlantationDate]]))</f>
        <v>9 2025</v>
      </c>
      <c r="M4892" t="str">
        <f>CONCATENATE(MONTH(CompilDonnées[[#This Row],[HarvestingDate]])," ", YEAR(CompilDonnées[[#This Row],[HarvestingDate]]))</f>
        <v>10 2025</v>
      </c>
      <c r="N4892">
        <f>_xlfn.NUMBERVALUE(CompilDonnées[[#This Row],[FarmID]]&amp;CompilDonnées[[#This Row],[ModuleNumber]]&amp;CompilDonnées[[#This Row],[PlantationDate]])</f>
        <v>209345910</v>
      </c>
      <c r="O4892" t="str">
        <f>CompilDonnées[[#This Row],[FarmID]]&amp;CompilDonnées[[#This Row],[ModuleNumber]]</f>
        <v>2093</v>
      </c>
      <c r="P4892" t="str">
        <f>CompilDonnées[[#This Row],[Ref_Module]]&amp;CompilDonnées[[#This Row],[HarvestingDate]]</f>
        <v>209345946</v>
      </c>
    </row>
    <row r="4893" spans="1:16">
      <c r="A4893" s="5">
        <v>45911</v>
      </c>
      <c r="B4893">
        <v>53</v>
      </c>
      <c r="C4893" t="s">
        <v>83</v>
      </c>
      <c r="D4893">
        <v>4</v>
      </c>
      <c r="E4893">
        <v>100</v>
      </c>
      <c r="F4893" t="s">
        <v>1</v>
      </c>
      <c r="G4893" s="6">
        <v>45958</v>
      </c>
      <c r="H4893">
        <v>47</v>
      </c>
      <c r="I4893">
        <f>ROUND(CompilDonnées[[#This Row],[CultureDuration_days]]/7,0)</f>
        <v>7</v>
      </c>
      <c r="J4893">
        <v>2056</v>
      </c>
      <c r="K4893" t="str">
        <f>_xlfn.CONCAT(WEEKNUM(CompilDonnées[[#This Row],[PlantationDate]]), " ", YEAR(CompilDonnées[[#This Row],[PlantationDate]]))</f>
        <v>37 2025</v>
      </c>
      <c r="L4893" t="str">
        <f>CONCATENATE(MONTH(CompilDonnées[[#This Row],[PlantationDate]])," ", YEAR(CompilDonnées[[#This Row],[PlantationDate]]))</f>
        <v>9 2025</v>
      </c>
      <c r="M4893" t="str">
        <f>CONCATENATE(MONTH(CompilDonnées[[#This Row],[HarvestingDate]])," ", YEAR(CompilDonnées[[#This Row],[HarvestingDate]]))</f>
        <v>10 2025</v>
      </c>
      <c r="N4893">
        <f>_xlfn.NUMBERVALUE(CompilDonnées[[#This Row],[FarmID]]&amp;CompilDonnées[[#This Row],[ModuleNumber]]&amp;CompilDonnées[[#This Row],[PlantationDate]])</f>
        <v>53445911</v>
      </c>
      <c r="O4893" t="str">
        <f>CompilDonnées[[#This Row],[FarmID]]&amp;CompilDonnées[[#This Row],[ModuleNumber]]</f>
        <v>534</v>
      </c>
      <c r="P4893" t="str">
        <f>CompilDonnées[[#This Row],[Ref_Module]]&amp;CompilDonnées[[#This Row],[HarvestingDate]]</f>
        <v>53445958</v>
      </c>
    </row>
    <row r="4894" spans="1:16">
      <c r="A4894" s="5">
        <v>45911</v>
      </c>
      <c r="B4894">
        <v>44</v>
      </c>
      <c r="C4894" t="s">
        <v>42</v>
      </c>
      <c r="D4894">
        <v>5</v>
      </c>
      <c r="E4894">
        <v>100</v>
      </c>
      <c r="F4894" t="s">
        <v>1</v>
      </c>
      <c r="G4894" s="6">
        <v>45957</v>
      </c>
      <c r="H4894">
        <v>46</v>
      </c>
      <c r="I4894">
        <f>ROUND(CompilDonnées[[#This Row],[CultureDuration_days]]/7,0)</f>
        <v>7</v>
      </c>
      <c r="J4894">
        <v>2239</v>
      </c>
      <c r="K4894" t="str">
        <f>_xlfn.CONCAT(WEEKNUM(CompilDonnées[[#This Row],[PlantationDate]]), " ", YEAR(CompilDonnées[[#This Row],[PlantationDate]]))</f>
        <v>37 2025</v>
      </c>
      <c r="L4894" t="str">
        <f>CONCATENATE(MONTH(CompilDonnées[[#This Row],[PlantationDate]])," ", YEAR(CompilDonnées[[#This Row],[PlantationDate]]))</f>
        <v>9 2025</v>
      </c>
      <c r="M4894" t="str">
        <f>CONCATENATE(MONTH(CompilDonnées[[#This Row],[HarvestingDate]])," ", YEAR(CompilDonnées[[#This Row],[HarvestingDate]]))</f>
        <v>10 2025</v>
      </c>
      <c r="N4894">
        <f>_xlfn.NUMBERVALUE(CompilDonnées[[#This Row],[FarmID]]&amp;CompilDonnées[[#This Row],[ModuleNumber]]&amp;CompilDonnées[[#This Row],[PlantationDate]])</f>
        <v>44545911</v>
      </c>
      <c r="O4894" t="str">
        <f>CompilDonnées[[#This Row],[FarmID]]&amp;CompilDonnées[[#This Row],[ModuleNumber]]</f>
        <v>445</v>
      </c>
      <c r="P4894" t="str">
        <f>CompilDonnées[[#This Row],[Ref_Module]]&amp;CompilDonnées[[#This Row],[HarvestingDate]]</f>
        <v>44545957</v>
      </c>
    </row>
    <row r="4895" spans="1:16">
      <c r="A4895" s="5">
        <v>45911</v>
      </c>
      <c r="B4895">
        <v>43</v>
      </c>
      <c r="C4895" t="s">
        <v>45</v>
      </c>
      <c r="D4895">
        <v>6</v>
      </c>
      <c r="E4895">
        <v>100</v>
      </c>
      <c r="F4895" t="s">
        <v>1</v>
      </c>
      <c r="G4895" s="6">
        <v>45957</v>
      </c>
      <c r="H4895">
        <v>46</v>
      </c>
      <c r="I4895">
        <f>ROUND(CompilDonnées[[#This Row],[CultureDuration_days]]/7,0)</f>
        <v>7</v>
      </c>
      <c r="J4895">
        <v>2785</v>
      </c>
      <c r="K4895" t="str">
        <f>_xlfn.CONCAT(WEEKNUM(CompilDonnées[[#This Row],[PlantationDate]]), " ", YEAR(CompilDonnées[[#This Row],[PlantationDate]]))</f>
        <v>37 2025</v>
      </c>
      <c r="L4895" t="str">
        <f>CONCATENATE(MONTH(CompilDonnées[[#This Row],[PlantationDate]])," ", YEAR(CompilDonnées[[#This Row],[PlantationDate]]))</f>
        <v>9 2025</v>
      </c>
      <c r="M4895" t="str">
        <f>CONCATENATE(MONTH(CompilDonnées[[#This Row],[HarvestingDate]])," ", YEAR(CompilDonnées[[#This Row],[HarvestingDate]]))</f>
        <v>10 2025</v>
      </c>
      <c r="N4895">
        <f>_xlfn.NUMBERVALUE(CompilDonnées[[#This Row],[FarmID]]&amp;CompilDonnées[[#This Row],[ModuleNumber]]&amp;CompilDonnées[[#This Row],[PlantationDate]])</f>
        <v>43645911</v>
      </c>
      <c r="O4895" t="str">
        <f>CompilDonnées[[#This Row],[FarmID]]&amp;CompilDonnées[[#This Row],[ModuleNumber]]</f>
        <v>436</v>
      </c>
      <c r="P4895" t="str">
        <f>CompilDonnées[[#This Row],[Ref_Module]]&amp;CompilDonnées[[#This Row],[HarvestingDate]]</f>
        <v>43645957</v>
      </c>
    </row>
    <row r="4896" spans="1:16">
      <c r="A4896" s="5">
        <v>45911</v>
      </c>
      <c r="B4896">
        <v>41</v>
      </c>
      <c r="C4896" t="s">
        <v>70</v>
      </c>
      <c r="D4896">
        <v>1</v>
      </c>
      <c r="E4896">
        <v>100</v>
      </c>
      <c r="F4896" t="s">
        <v>1</v>
      </c>
      <c r="G4896" s="6">
        <v>45957</v>
      </c>
      <c r="H4896">
        <v>46</v>
      </c>
      <c r="I4896">
        <f>ROUND(CompilDonnées[[#This Row],[CultureDuration_days]]/7,0)</f>
        <v>7</v>
      </c>
      <c r="J4896">
        <v>1309</v>
      </c>
      <c r="K4896" t="str">
        <f>_xlfn.CONCAT(WEEKNUM(CompilDonnées[[#This Row],[PlantationDate]]), " ", YEAR(CompilDonnées[[#This Row],[PlantationDate]]))</f>
        <v>37 2025</v>
      </c>
      <c r="L4896" t="str">
        <f>CONCATENATE(MONTH(CompilDonnées[[#This Row],[PlantationDate]])," ", YEAR(CompilDonnées[[#This Row],[PlantationDate]]))</f>
        <v>9 2025</v>
      </c>
      <c r="M4896" t="str">
        <f>CONCATENATE(MONTH(CompilDonnées[[#This Row],[HarvestingDate]])," ", YEAR(CompilDonnées[[#This Row],[HarvestingDate]]))</f>
        <v>10 2025</v>
      </c>
      <c r="N4896">
        <f>_xlfn.NUMBERVALUE(CompilDonnées[[#This Row],[FarmID]]&amp;CompilDonnées[[#This Row],[ModuleNumber]]&amp;CompilDonnées[[#This Row],[PlantationDate]])</f>
        <v>41145911</v>
      </c>
      <c r="O4896" t="str">
        <f>CompilDonnées[[#This Row],[FarmID]]&amp;CompilDonnées[[#This Row],[ModuleNumber]]</f>
        <v>411</v>
      </c>
      <c r="P4896" t="str">
        <f>CompilDonnées[[#This Row],[Ref_Module]]&amp;CompilDonnées[[#This Row],[HarvestingDate]]</f>
        <v>41145957</v>
      </c>
    </row>
    <row r="4897" spans="1:16">
      <c r="A4897" s="5">
        <v>45911</v>
      </c>
      <c r="B4897">
        <v>125</v>
      </c>
      <c r="C4897" t="s">
        <v>101</v>
      </c>
      <c r="D4897">
        <v>5</v>
      </c>
      <c r="E4897">
        <v>97</v>
      </c>
      <c r="F4897" t="s">
        <v>1</v>
      </c>
      <c r="G4897" s="6">
        <v>45961</v>
      </c>
      <c r="H4897">
        <v>50</v>
      </c>
      <c r="I4897">
        <f>ROUND(CompilDonnées[[#This Row],[CultureDuration_days]]/7,0)</f>
        <v>7</v>
      </c>
      <c r="J4897">
        <v>4189</v>
      </c>
      <c r="K4897" t="str">
        <f>_xlfn.CONCAT(WEEKNUM(CompilDonnées[[#This Row],[PlantationDate]]), " ", YEAR(CompilDonnées[[#This Row],[PlantationDate]]))</f>
        <v>37 2025</v>
      </c>
      <c r="L4897" t="str">
        <f>CONCATENATE(MONTH(CompilDonnées[[#This Row],[PlantationDate]])," ", YEAR(CompilDonnées[[#This Row],[PlantationDate]]))</f>
        <v>9 2025</v>
      </c>
      <c r="M4897" t="str">
        <f>CONCATENATE(MONTH(CompilDonnées[[#This Row],[HarvestingDate]])," ", YEAR(CompilDonnées[[#This Row],[HarvestingDate]]))</f>
        <v>10 2025</v>
      </c>
      <c r="N4897">
        <f>_xlfn.NUMBERVALUE(CompilDonnées[[#This Row],[FarmID]]&amp;CompilDonnées[[#This Row],[ModuleNumber]]&amp;CompilDonnées[[#This Row],[PlantationDate]])</f>
        <v>125545911</v>
      </c>
      <c r="O4897" t="str">
        <f>CompilDonnées[[#This Row],[FarmID]]&amp;CompilDonnées[[#This Row],[ModuleNumber]]</f>
        <v>1255</v>
      </c>
      <c r="P4897" t="str">
        <f>CompilDonnées[[#This Row],[Ref_Module]]&amp;CompilDonnées[[#This Row],[HarvestingDate]]</f>
        <v>125545961</v>
      </c>
    </row>
    <row r="4898" spans="1:16">
      <c r="A4898" s="5">
        <v>45911</v>
      </c>
      <c r="B4898">
        <v>138</v>
      </c>
      <c r="C4898" t="s">
        <v>124</v>
      </c>
      <c r="D4898">
        <v>5</v>
      </c>
      <c r="E4898">
        <v>100</v>
      </c>
      <c r="F4898" t="s">
        <v>1</v>
      </c>
      <c r="G4898" s="6">
        <v>45961</v>
      </c>
      <c r="H4898">
        <v>50</v>
      </c>
      <c r="I4898">
        <f>ROUND(CompilDonnées[[#This Row],[CultureDuration_days]]/7,0)</f>
        <v>7</v>
      </c>
      <c r="J4898">
        <v>2384</v>
      </c>
      <c r="K4898" t="str">
        <f>_xlfn.CONCAT(WEEKNUM(CompilDonnées[[#This Row],[PlantationDate]]), " ", YEAR(CompilDonnées[[#This Row],[PlantationDate]]))</f>
        <v>37 2025</v>
      </c>
      <c r="L4898" t="str">
        <f>CONCATENATE(MONTH(CompilDonnées[[#This Row],[PlantationDate]])," ", YEAR(CompilDonnées[[#This Row],[PlantationDate]]))</f>
        <v>9 2025</v>
      </c>
      <c r="M4898" t="str">
        <f>CONCATENATE(MONTH(CompilDonnées[[#This Row],[HarvestingDate]])," ", YEAR(CompilDonnées[[#This Row],[HarvestingDate]]))</f>
        <v>10 2025</v>
      </c>
      <c r="N4898">
        <f>_xlfn.NUMBERVALUE(CompilDonnées[[#This Row],[FarmID]]&amp;CompilDonnées[[#This Row],[ModuleNumber]]&amp;CompilDonnées[[#This Row],[PlantationDate]])</f>
        <v>138545911</v>
      </c>
      <c r="O4898" t="str">
        <f>CompilDonnées[[#This Row],[FarmID]]&amp;CompilDonnées[[#This Row],[ModuleNumber]]</f>
        <v>1385</v>
      </c>
      <c r="P4898" t="str">
        <f>CompilDonnées[[#This Row],[Ref_Module]]&amp;CompilDonnées[[#This Row],[HarvestingDate]]</f>
        <v>138545961</v>
      </c>
    </row>
    <row r="4899" spans="1:16">
      <c r="A4899" s="5">
        <v>45911</v>
      </c>
      <c r="B4899">
        <v>126</v>
      </c>
      <c r="C4899" t="s">
        <v>52</v>
      </c>
      <c r="D4899">
        <v>3</v>
      </c>
      <c r="E4899">
        <v>100</v>
      </c>
      <c r="F4899" t="s">
        <v>1</v>
      </c>
      <c r="G4899" s="6">
        <v>45961</v>
      </c>
      <c r="H4899">
        <v>50</v>
      </c>
      <c r="I4899">
        <f>ROUND(CompilDonnées[[#This Row],[CultureDuration_days]]/7,0)</f>
        <v>7</v>
      </c>
      <c r="J4899">
        <v>3650</v>
      </c>
      <c r="K4899" t="str">
        <f>_xlfn.CONCAT(WEEKNUM(CompilDonnées[[#This Row],[PlantationDate]]), " ", YEAR(CompilDonnées[[#This Row],[PlantationDate]]))</f>
        <v>37 2025</v>
      </c>
      <c r="L4899" t="str">
        <f>CONCATENATE(MONTH(CompilDonnées[[#This Row],[PlantationDate]])," ", YEAR(CompilDonnées[[#This Row],[PlantationDate]]))</f>
        <v>9 2025</v>
      </c>
      <c r="M4899" t="str">
        <f>CONCATENATE(MONTH(CompilDonnées[[#This Row],[HarvestingDate]])," ", YEAR(CompilDonnées[[#This Row],[HarvestingDate]]))</f>
        <v>10 2025</v>
      </c>
      <c r="N4899">
        <f>_xlfn.NUMBERVALUE(CompilDonnées[[#This Row],[FarmID]]&amp;CompilDonnées[[#This Row],[ModuleNumber]]&amp;CompilDonnées[[#This Row],[PlantationDate]])</f>
        <v>126345911</v>
      </c>
      <c r="O4899" t="str">
        <f>CompilDonnées[[#This Row],[FarmID]]&amp;CompilDonnées[[#This Row],[ModuleNumber]]</f>
        <v>1263</v>
      </c>
      <c r="P4899" t="str">
        <f>CompilDonnées[[#This Row],[Ref_Module]]&amp;CompilDonnées[[#This Row],[HarvestingDate]]</f>
        <v>126345961</v>
      </c>
    </row>
    <row r="4900" spans="1:16">
      <c r="A4900" s="5">
        <v>45911</v>
      </c>
      <c r="B4900">
        <v>95</v>
      </c>
      <c r="C4900" t="s">
        <v>90</v>
      </c>
      <c r="D4900">
        <v>5</v>
      </c>
      <c r="E4900">
        <v>100</v>
      </c>
      <c r="F4900" t="s">
        <v>1</v>
      </c>
      <c r="G4900" s="6">
        <v>45965</v>
      </c>
      <c r="H4900">
        <v>54</v>
      </c>
      <c r="I4900">
        <f>ROUND(CompilDonnées[[#This Row],[CultureDuration_days]]/7,0)</f>
        <v>8</v>
      </c>
      <c r="J4900">
        <v>1768</v>
      </c>
      <c r="K4900" t="str">
        <f>_xlfn.CONCAT(WEEKNUM(CompilDonnées[[#This Row],[PlantationDate]]), " ", YEAR(CompilDonnées[[#This Row],[PlantationDate]]))</f>
        <v>37 2025</v>
      </c>
      <c r="L4900" t="str">
        <f>CONCATENATE(MONTH(CompilDonnées[[#This Row],[PlantationDate]])," ", YEAR(CompilDonnées[[#This Row],[PlantationDate]]))</f>
        <v>9 2025</v>
      </c>
      <c r="M4900" t="str">
        <f>CONCATENATE(MONTH(CompilDonnées[[#This Row],[HarvestingDate]])," ", YEAR(CompilDonnées[[#This Row],[HarvestingDate]]))</f>
        <v>11 2025</v>
      </c>
      <c r="N4900">
        <f>_xlfn.NUMBERVALUE(CompilDonnées[[#This Row],[FarmID]]&amp;CompilDonnées[[#This Row],[ModuleNumber]]&amp;CompilDonnées[[#This Row],[PlantationDate]])</f>
        <v>95545911</v>
      </c>
      <c r="O4900" t="str">
        <f>CompilDonnées[[#This Row],[FarmID]]&amp;CompilDonnées[[#This Row],[ModuleNumber]]</f>
        <v>955</v>
      </c>
      <c r="P4900" t="str">
        <f>CompilDonnées[[#This Row],[Ref_Module]]&amp;CompilDonnées[[#This Row],[HarvestingDate]]</f>
        <v>95545965</v>
      </c>
    </row>
    <row r="4901" spans="1:16">
      <c r="A4901" s="5">
        <v>45911</v>
      </c>
      <c r="B4901">
        <v>100</v>
      </c>
      <c r="C4901" t="s">
        <v>84</v>
      </c>
      <c r="D4901">
        <v>4</v>
      </c>
      <c r="E4901">
        <v>100</v>
      </c>
      <c r="F4901" t="s">
        <v>1</v>
      </c>
      <c r="G4901" s="6">
        <v>45964</v>
      </c>
      <c r="H4901">
        <v>53</v>
      </c>
      <c r="I4901">
        <f>ROUND(CompilDonnées[[#This Row],[CultureDuration_days]]/7,0)</f>
        <v>8</v>
      </c>
      <c r="J4901">
        <v>2722</v>
      </c>
      <c r="K4901" t="str">
        <f>_xlfn.CONCAT(WEEKNUM(CompilDonnées[[#This Row],[PlantationDate]]), " ", YEAR(CompilDonnées[[#This Row],[PlantationDate]]))</f>
        <v>37 2025</v>
      </c>
      <c r="L4901" t="str">
        <f>CONCATENATE(MONTH(CompilDonnées[[#This Row],[PlantationDate]])," ", YEAR(CompilDonnées[[#This Row],[PlantationDate]]))</f>
        <v>9 2025</v>
      </c>
      <c r="M4901" t="str">
        <f>CONCATENATE(MONTH(CompilDonnées[[#This Row],[HarvestingDate]])," ", YEAR(CompilDonnées[[#This Row],[HarvestingDate]]))</f>
        <v>11 2025</v>
      </c>
      <c r="N4901">
        <f>_xlfn.NUMBERVALUE(CompilDonnées[[#This Row],[FarmID]]&amp;CompilDonnées[[#This Row],[ModuleNumber]]&amp;CompilDonnées[[#This Row],[PlantationDate]])</f>
        <v>100445911</v>
      </c>
      <c r="O4901" t="str">
        <f>CompilDonnées[[#This Row],[FarmID]]&amp;CompilDonnées[[#This Row],[ModuleNumber]]</f>
        <v>1004</v>
      </c>
      <c r="P4901" t="str">
        <f>CompilDonnées[[#This Row],[Ref_Module]]&amp;CompilDonnées[[#This Row],[HarvestingDate]]</f>
        <v>100445964</v>
      </c>
    </row>
    <row r="4902" spans="1:16">
      <c r="A4902" s="5">
        <v>45911</v>
      </c>
      <c r="B4902">
        <v>85</v>
      </c>
      <c r="C4902" t="s">
        <v>56</v>
      </c>
      <c r="D4902">
        <v>1</v>
      </c>
      <c r="E4902">
        <v>100</v>
      </c>
      <c r="F4902" t="s">
        <v>1</v>
      </c>
      <c r="G4902" s="6">
        <v>45965</v>
      </c>
      <c r="H4902">
        <v>54</v>
      </c>
      <c r="I4902">
        <f>ROUND(CompilDonnées[[#This Row],[CultureDuration_days]]/7,0)</f>
        <v>8</v>
      </c>
      <c r="J4902">
        <v>2156</v>
      </c>
      <c r="K4902" t="str">
        <f>_xlfn.CONCAT(WEEKNUM(CompilDonnées[[#This Row],[PlantationDate]]), " ", YEAR(CompilDonnées[[#This Row],[PlantationDate]]))</f>
        <v>37 2025</v>
      </c>
      <c r="L4902" t="str">
        <f>CONCATENATE(MONTH(CompilDonnées[[#This Row],[PlantationDate]])," ", YEAR(CompilDonnées[[#This Row],[PlantationDate]]))</f>
        <v>9 2025</v>
      </c>
      <c r="M4902" t="str">
        <f>CONCATENATE(MONTH(CompilDonnées[[#This Row],[HarvestingDate]])," ", YEAR(CompilDonnées[[#This Row],[HarvestingDate]]))</f>
        <v>11 2025</v>
      </c>
      <c r="N4902">
        <f>_xlfn.NUMBERVALUE(CompilDonnées[[#This Row],[FarmID]]&amp;CompilDonnées[[#This Row],[ModuleNumber]]&amp;CompilDonnées[[#This Row],[PlantationDate]])</f>
        <v>85145911</v>
      </c>
      <c r="O4902" t="str">
        <f>CompilDonnées[[#This Row],[FarmID]]&amp;CompilDonnées[[#This Row],[ModuleNumber]]</f>
        <v>851</v>
      </c>
      <c r="P4902" t="str">
        <f>CompilDonnées[[#This Row],[Ref_Module]]&amp;CompilDonnées[[#This Row],[HarvestingDate]]</f>
        <v>85145965</v>
      </c>
    </row>
    <row r="4903" spans="1:16">
      <c r="A4903" s="5">
        <v>45911</v>
      </c>
      <c r="B4903">
        <v>77</v>
      </c>
      <c r="C4903" t="s">
        <v>75</v>
      </c>
      <c r="D4903">
        <v>2</v>
      </c>
      <c r="E4903">
        <v>100</v>
      </c>
      <c r="F4903" t="s">
        <v>1</v>
      </c>
      <c r="G4903" s="6">
        <v>45959</v>
      </c>
      <c r="H4903">
        <v>48</v>
      </c>
      <c r="I4903">
        <f>ROUND(CompilDonnées[[#This Row],[CultureDuration_days]]/7,0)</f>
        <v>7</v>
      </c>
      <c r="J4903">
        <v>1912</v>
      </c>
      <c r="K4903" t="str">
        <f>_xlfn.CONCAT(WEEKNUM(CompilDonnées[[#This Row],[PlantationDate]]), " ", YEAR(CompilDonnées[[#This Row],[PlantationDate]]))</f>
        <v>37 2025</v>
      </c>
      <c r="L4903" t="str">
        <f>CONCATENATE(MONTH(CompilDonnées[[#This Row],[PlantationDate]])," ", YEAR(CompilDonnées[[#This Row],[PlantationDate]]))</f>
        <v>9 2025</v>
      </c>
      <c r="M4903" t="str">
        <f>CONCATENATE(MONTH(CompilDonnées[[#This Row],[HarvestingDate]])," ", YEAR(CompilDonnées[[#This Row],[HarvestingDate]]))</f>
        <v>10 2025</v>
      </c>
      <c r="N4903">
        <f>_xlfn.NUMBERVALUE(CompilDonnées[[#This Row],[FarmID]]&amp;CompilDonnées[[#This Row],[ModuleNumber]]&amp;CompilDonnées[[#This Row],[PlantationDate]])</f>
        <v>77245911</v>
      </c>
      <c r="O4903" t="str">
        <f>CompilDonnées[[#This Row],[FarmID]]&amp;CompilDonnées[[#This Row],[ModuleNumber]]</f>
        <v>772</v>
      </c>
      <c r="P4903" t="str">
        <f>CompilDonnées[[#This Row],[Ref_Module]]&amp;CompilDonnées[[#This Row],[HarvestingDate]]</f>
        <v>77245959</v>
      </c>
    </row>
    <row r="4904" spans="1:16">
      <c r="A4904" s="5">
        <v>45911</v>
      </c>
      <c r="B4904">
        <v>76</v>
      </c>
      <c r="C4904" t="s">
        <v>18</v>
      </c>
      <c r="D4904">
        <v>1</v>
      </c>
      <c r="E4904">
        <v>100</v>
      </c>
      <c r="F4904" t="s">
        <v>1</v>
      </c>
      <c r="G4904" s="6">
        <v>45958</v>
      </c>
      <c r="H4904">
        <v>47</v>
      </c>
      <c r="I4904">
        <f>ROUND(CompilDonnées[[#This Row],[CultureDuration_days]]/7,0)</f>
        <v>7</v>
      </c>
      <c r="J4904">
        <v>2042</v>
      </c>
      <c r="K4904" t="str">
        <f>_xlfn.CONCAT(WEEKNUM(CompilDonnées[[#This Row],[PlantationDate]]), " ", YEAR(CompilDonnées[[#This Row],[PlantationDate]]))</f>
        <v>37 2025</v>
      </c>
      <c r="L4904" t="str">
        <f>CONCATENATE(MONTH(CompilDonnées[[#This Row],[PlantationDate]])," ", YEAR(CompilDonnées[[#This Row],[PlantationDate]]))</f>
        <v>9 2025</v>
      </c>
      <c r="M4904" t="str">
        <f>CONCATENATE(MONTH(CompilDonnées[[#This Row],[HarvestingDate]])," ", YEAR(CompilDonnées[[#This Row],[HarvestingDate]]))</f>
        <v>10 2025</v>
      </c>
      <c r="N4904">
        <f>_xlfn.NUMBERVALUE(CompilDonnées[[#This Row],[FarmID]]&amp;CompilDonnées[[#This Row],[ModuleNumber]]&amp;CompilDonnées[[#This Row],[PlantationDate]])</f>
        <v>76145911</v>
      </c>
      <c r="O4904" t="str">
        <f>CompilDonnées[[#This Row],[FarmID]]&amp;CompilDonnées[[#This Row],[ModuleNumber]]</f>
        <v>761</v>
      </c>
      <c r="P4904" t="str">
        <f>CompilDonnées[[#This Row],[Ref_Module]]&amp;CompilDonnées[[#This Row],[HarvestingDate]]</f>
        <v>76145958</v>
      </c>
    </row>
    <row r="4905" spans="1:16">
      <c r="A4905" s="5">
        <v>45911</v>
      </c>
      <c r="B4905">
        <v>65</v>
      </c>
      <c r="C4905" t="s">
        <v>36</v>
      </c>
      <c r="D4905">
        <v>4</v>
      </c>
      <c r="E4905">
        <v>100</v>
      </c>
      <c r="F4905" t="s">
        <v>1</v>
      </c>
      <c r="G4905" s="6">
        <v>45965</v>
      </c>
      <c r="H4905">
        <v>54</v>
      </c>
      <c r="I4905">
        <f>ROUND(CompilDonnées[[#This Row],[CultureDuration_days]]/7,0)</f>
        <v>8</v>
      </c>
      <c r="J4905">
        <v>2223</v>
      </c>
      <c r="K4905" t="str">
        <f>_xlfn.CONCAT(WEEKNUM(CompilDonnées[[#This Row],[PlantationDate]]), " ", YEAR(CompilDonnées[[#This Row],[PlantationDate]]))</f>
        <v>37 2025</v>
      </c>
      <c r="L4905" t="str">
        <f>CONCATENATE(MONTH(CompilDonnées[[#This Row],[PlantationDate]])," ", YEAR(CompilDonnées[[#This Row],[PlantationDate]]))</f>
        <v>9 2025</v>
      </c>
      <c r="M4905" t="str">
        <f>CONCATENATE(MONTH(CompilDonnées[[#This Row],[HarvestingDate]])," ", YEAR(CompilDonnées[[#This Row],[HarvestingDate]]))</f>
        <v>11 2025</v>
      </c>
      <c r="N4905">
        <f>_xlfn.NUMBERVALUE(CompilDonnées[[#This Row],[FarmID]]&amp;CompilDonnées[[#This Row],[ModuleNumber]]&amp;CompilDonnées[[#This Row],[PlantationDate]])</f>
        <v>65445911</v>
      </c>
      <c r="O4905" t="str">
        <f>CompilDonnées[[#This Row],[FarmID]]&amp;CompilDonnées[[#This Row],[ModuleNumber]]</f>
        <v>654</v>
      </c>
      <c r="P4905" t="str">
        <f>CompilDonnées[[#This Row],[Ref_Module]]&amp;CompilDonnées[[#This Row],[HarvestingDate]]</f>
        <v>65445965</v>
      </c>
    </row>
    <row r="4906" spans="1:16">
      <c r="A4906" s="5">
        <v>45911</v>
      </c>
      <c r="B4906">
        <v>58</v>
      </c>
      <c r="C4906" t="s">
        <v>35</v>
      </c>
      <c r="D4906">
        <v>5</v>
      </c>
      <c r="E4906">
        <v>100</v>
      </c>
      <c r="F4906" t="s">
        <v>1</v>
      </c>
      <c r="G4906" s="6">
        <v>45958</v>
      </c>
      <c r="H4906">
        <v>47</v>
      </c>
      <c r="I4906">
        <f>ROUND(CompilDonnées[[#This Row],[CultureDuration_days]]/7,0)</f>
        <v>7</v>
      </c>
      <c r="J4906">
        <v>2973</v>
      </c>
      <c r="K4906" t="str">
        <f>_xlfn.CONCAT(WEEKNUM(CompilDonnées[[#This Row],[PlantationDate]]), " ", YEAR(CompilDonnées[[#This Row],[PlantationDate]]))</f>
        <v>37 2025</v>
      </c>
      <c r="L4906" t="str">
        <f>CONCATENATE(MONTH(CompilDonnées[[#This Row],[PlantationDate]])," ", YEAR(CompilDonnées[[#This Row],[PlantationDate]]))</f>
        <v>9 2025</v>
      </c>
      <c r="M4906" t="str">
        <f>CONCATENATE(MONTH(CompilDonnées[[#This Row],[HarvestingDate]])," ", YEAR(CompilDonnées[[#This Row],[HarvestingDate]]))</f>
        <v>10 2025</v>
      </c>
      <c r="N4906">
        <f>_xlfn.NUMBERVALUE(CompilDonnées[[#This Row],[FarmID]]&amp;CompilDonnées[[#This Row],[ModuleNumber]]&amp;CompilDonnées[[#This Row],[PlantationDate]])</f>
        <v>58545911</v>
      </c>
      <c r="O4906" t="str">
        <f>CompilDonnées[[#This Row],[FarmID]]&amp;CompilDonnées[[#This Row],[ModuleNumber]]</f>
        <v>585</v>
      </c>
      <c r="P4906" t="str">
        <f>CompilDonnées[[#This Row],[Ref_Module]]&amp;CompilDonnées[[#This Row],[HarvestingDate]]</f>
        <v>58545958</v>
      </c>
    </row>
    <row r="4907" spans="1:16">
      <c r="A4907" s="5">
        <v>45911</v>
      </c>
      <c r="B4907">
        <v>57</v>
      </c>
      <c r="C4907" t="s">
        <v>46</v>
      </c>
      <c r="D4907">
        <v>4</v>
      </c>
      <c r="E4907">
        <v>100</v>
      </c>
      <c r="F4907" t="s">
        <v>1</v>
      </c>
      <c r="G4907" s="6">
        <v>45965</v>
      </c>
      <c r="H4907">
        <v>54</v>
      </c>
      <c r="I4907">
        <f>ROUND(CompilDonnées[[#This Row],[CultureDuration_days]]/7,0)</f>
        <v>8</v>
      </c>
      <c r="J4907">
        <v>2847</v>
      </c>
      <c r="K4907" t="str">
        <f>_xlfn.CONCAT(WEEKNUM(CompilDonnées[[#This Row],[PlantationDate]]), " ", YEAR(CompilDonnées[[#This Row],[PlantationDate]]))</f>
        <v>37 2025</v>
      </c>
      <c r="L4907" t="str">
        <f>CONCATENATE(MONTH(CompilDonnées[[#This Row],[PlantationDate]])," ", YEAR(CompilDonnées[[#This Row],[PlantationDate]]))</f>
        <v>9 2025</v>
      </c>
      <c r="M4907" t="str">
        <f>CONCATENATE(MONTH(CompilDonnées[[#This Row],[HarvestingDate]])," ", YEAR(CompilDonnées[[#This Row],[HarvestingDate]]))</f>
        <v>11 2025</v>
      </c>
      <c r="N4907">
        <f>_xlfn.NUMBERVALUE(CompilDonnées[[#This Row],[FarmID]]&amp;CompilDonnées[[#This Row],[ModuleNumber]]&amp;CompilDonnées[[#This Row],[PlantationDate]])</f>
        <v>57445911</v>
      </c>
      <c r="O4907" t="str">
        <f>CompilDonnées[[#This Row],[FarmID]]&amp;CompilDonnées[[#This Row],[ModuleNumber]]</f>
        <v>574</v>
      </c>
      <c r="P4907" t="str">
        <f>CompilDonnées[[#This Row],[Ref_Module]]&amp;CompilDonnées[[#This Row],[HarvestingDate]]</f>
        <v>57445965</v>
      </c>
    </row>
    <row r="4908" spans="1:16">
      <c r="A4908" s="5">
        <v>45911</v>
      </c>
      <c r="B4908">
        <v>55</v>
      </c>
      <c r="C4908" t="s">
        <v>60</v>
      </c>
      <c r="D4908">
        <v>5</v>
      </c>
      <c r="E4908">
        <v>100</v>
      </c>
      <c r="F4908" t="s">
        <v>1</v>
      </c>
      <c r="G4908" s="6">
        <v>45965</v>
      </c>
      <c r="H4908">
        <v>54</v>
      </c>
      <c r="I4908">
        <f>ROUND(CompilDonnées[[#This Row],[CultureDuration_days]]/7,0)</f>
        <v>8</v>
      </c>
      <c r="J4908">
        <v>1689</v>
      </c>
      <c r="K4908" t="str">
        <f>_xlfn.CONCAT(WEEKNUM(CompilDonnées[[#This Row],[PlantationDate]]), " ", YEAR(CompilDonnées[[#This Row],[PlantationDate]]))</f>
        <v>37 2025</v>
      </c>
      <c r="L4908" t="str">
        <f>CONCATENATE(MONTH(CompilDonnées[[#This Row],[PlantationDate]])," ", YEAR(CompilDonnées[[#This Row],[PlantationDate]]))</f>
        <v>9 2025</v>
      </c>
      <c r="M4908" t="str">
        <f>CONCATENATE(MONTH(CompilDonnées[[#This Row],[HarvestingDate]])," ", YEAR(CompilDonnées[[#This Row],[HarvestingDate]]))</f>
        <v>11 2025</v>
      </c>
      <c r="N4908">
        <f>_xlfn.NUMBERVALUE(CompilDonnées[[#This Row],[FarmID]]&amp;CompilDonnées[[#This Row],[ModuleNumber]]&amp;CompilDonnées[[#This Row],[PlantationDate]])</f>
        <v>55545911</v>
      </c>
      <c r="O4908" t="str">
        <f>CompilDonnées[[#This Row],[FarmID]]&amp;CompilDonnées[[#This Row],[ModuleNumber]]</f>
        <v>555</v>
      </c>
      <c r="P4908" t="str">
        <f>CompilDonnées[[#This Row],[Ref_Module]]&amp;CompilDonnées[[#This Row],[HarvestingDate]]</f>
        <v>55545965</v>
      </c>
    </row>
    <row r="4909" spans="1:16">
      <c r="A4909" s="5">
        <v>45911</v>
      </c>
      <c r="B4909">
        <v>59</v>
      </c>
      <c r="C4909" t="s">
        <v>64</v>
      </c>
      <c r="D4909">
        <v>2</v>
      </c>
      <c r="E4909">
        <v>100</v>
      </c>
      <c r="F4909" t="s">
        <v>1</v>
      </c>
      <c r="G4909" s="6">
        <v>45952</v>
      </c>
      <c r="H4909">
        <v>41</v>
      </c>
      <c r="I4909">
        <f>ROUND(CompilDonnées[[#This Row],[CultureDuration_days]]/7,0)</f>
        <v>6</v>
      </c>
      <c r="J4909">
        <v>3701</v>
      </c>
      <c r="K4909" t="str">
        <f>_xlfn.CONCAT(WEEKNUM(CompilDonnées[[#This Row],[PlantationDate]]), " ", YEAR(CompilDonnées[[#This Row],[PlantationDate]]))</f>
        <v>37 2025</v>
      </c>
      <c r="L4909" t="str">
        <f>CONCATENATE(MONTH(CompilDonnées[[#This Row],[PlantationDate]])," ", YEAR(CompilDonnées[[#This Row],[PlantationDate]]))</f>
        <v>9 2025</v>
      </c>
      <c r="M4909" t="str">
        <f>CONCATENATE(MONTH(CompilDonnées[[#This Row],[HarvestingDate]])," ", YEAR(CompilDonnées[[#This Row],[HarvestingDate]]))</f>
        <v>10 2025</v>
      </c>
      <c r="N4909">
        <f>_xlfn.NUMBERVALUE(CompilDonnées[[#This Row],[FarmID]]&amp;CompilDonnées[[#This Row],[ModuleNumber]]&amp;CompilDonnées[[#This Row],[PlantationDate]])</f>
        <v>59245911</v>
      </c>
      <c r="O4909" t="str">
        <f>CompilDonnées[[#This Row],[FarmID]]&amp;CompilDonnées[[#This Row],[ModuleNumber]]</f>
        <v>592</v>
      </c>
      <c r="P4909" t="str">
        <f>CompilDonnées[[#This Row],[Ref_Module]]&amp;CompilDonnées[[#This Row],[HarvestingDate]]</f>
        <v>59245952</v>
      </c>
    </row>
    <row r="4910" spans="1:16">
      <c r="A4910" s="5">
        <v>45911</v>
      </c>
      <c r="B4910">
        <v>50</v>
      </c>
      <c r="C4910" t="s">
        <v>55</v>
      </c>
      <c r="D4910">
        <v>6</v>
      </c>
      <c r="E4910">
        <v>100</v>
      </c>
      <c r="F4910" t="s">
        <v>1</v>
      </c>
      <c r="G4910" s="6">
        <v>45958</v>
      </c>
      <c r="H4910">
        <v>47</v>
      </c>
      <c r="I4910">
        <f>ROUND(CompilDonnées[[#This Row],[CultureDuration_days]]/7,0)</f>
        <v>7</v>
      </c>
      <c r="J4910">
        <v>2619</v>
      </c>
      <c r="K4910" t="str">
        <f>_xlfn.CONCAT(WEEKNUM(CompilDonnées[[#This Row],[PlantationDate]]), " ", YEAR(CompilDonnées[[#This Row],[PlantationDate]]))</f>
        <v>37 2025</v>
      </c>
      <c r="L4910" t="str">
        <f>CONCATENATE(MONTH(CompilDonnées[[#This Row],[PlantationDate]])," ", YEAR(CompilDonnées[[#This Row],[PlantationDate]]))</f>
        <v>9 2025</v>
      </c>
      <c r="M4910" t="str">
        <f>CONCATENATE(MONTH(CompilDonnées[[#This Row],[HarvestingDate]])," ", YEAR(CompilDonnées[[#This Row],[HarvestingDate]]))</f>
        <v>10 2025</v>
      </c>
      <c r="N4910">
        <f>_xlfn.NUMBERVALUE(CompilDonnées[[#This Row],[FarmID]]&amp;CompilDonnées[[#This Row],[ModuleNumber]]&amp;CompilDonnées[[#This Row],[PlantationDate]])</f>
        <v>50645911</v>
      </c>
      <c r="O4910" t="str">
        <f>CompilDonnées[[#This Row],[FarmID]]&amp;CompilDonnées[[#This Row],[ModuleNumber]]</f>
        <v>506</v>
      </c>
      <c r="P4910" t="str">
        <f>CompilDonnées[[#This Row],[Ref_Module]]&amp;CompilDonnées[[#This Row],[HarvestingDate]]</f>
        <v>50645958</v>
      </c>
    </row>
    <row r="4911" spans="1:16">
      <c r="A4911" s="5">
        <v>45911</v>
      </c>
      <c r="B4911">
        <v>49</v>
      </c>
      <c r="C4911" t="s">
        <v>110</v>
      </c>
      <c r="D4911">
        <v>4</v>
      </c>
      <c r="E4911">
        <v>100</v>
      </c>
      <c r="F4911" t="s">
        <v>1</v>
      </c>
      <c r="G4911" s="6">
        <v>45965</v>
      </c>
      <c r="H4911">
        <v>54</v>
      </c>
      <c r="I4911">
        <f>ROUND(CompilDonnées[[#This Row],[CultureDuration_days]]/7,0)</f>
        <v>8</v>
      </c>
      <c r="J4911">
        <v>1837</v>
      </c>
      <c r="K4911" t="str">
        <f>_xlfn.CONCAT(WEEKNUM(CompilDonnées[[#This Row],[PlantationDate]]), " ", YEAR(CompilDonnées[[#This Row],[PlantationDate]]))</f>
        <v>37 2025</v>
      </c>
      <c r="L4911" t="str">
        <f>CONCATENATE(MONTH(CompilDonnées[[#This Row],[PlantationDate]])," ", YEAR(CompilDonnées[[#This Row],[PlantationDate]]))</f>
        <v>9 2025</v>
      </c>
      <c r="M4911" t="str">
        <f>CONCATENATE(MONTH(CompilDonnées[[#This Row],[HarvestingDate]])," ", YEAR(CompilDonnées[[#This Row],[HarvestingDate]]))</f>
        <v>11 2025</v>
      </c>
      <c r="N4911">
        <f>_xlfn.NUMBERVALUE(CompilDonnées[[#This Row],[FarmID]]&amp;CompilDonnées[[#This Row],[ModuleNumber]]&amp;CompilDonnées[[#This Row],[PlantationDate]])</f>
        <v>49445911</v>
      </c>
      <c r="O4911" t="str">
        <f>CompilDonnées[[#This Row],[FarmID]]&amp;CompilDonnées[[#This Row],[ModuleNumber]]</f>
        <v>494</v>
      </c>
      <c r="P4911" t="str">
        <f>CompilDonnées[[#This Row],[Ref_Module]]&amp;CompilDonnées[[#This Row],[HarvestingDate]]</f>
        <v>49445965</v>
      </c>
    </row>
    <row r="4912" spans="1:16">
      <c r="A4912" s="5">
        <v>45911</v>
      </c>
      <c r="B4912">
        <v>79</v>
      </c>
      <c r="C4912" t="s">
        <v>61</v>
      </c>
      <c r="D4912">
        <v>2</v>
      </c>
      <c r="E4912">
        <v>100</v>
      </c>
      <c r="F4912" t="s">
        <v>1</v>
      </c>
      <c r="G4912" s="6">
        <v>45959</v>
      </c>
      <c r="H4912">
        <v>48</v>
      </c>
      <c r="I4912">
        <f>ROUND(CompilDonnées[[#This Row],[CultureDuration_days]]/7,0)</f>
        <v>7</v>
      </c>
      <c r="J4912">
        <v>2487</v>
      </c>
      <c r="K4912" t="str">
        <f>_xlfn.CONCAT(WEEKNUM(CompilDonnées[[#This Row],[PlantationDate]]), " ", YEAR(CompilDonnées[[#This Row],[PlantationDate]]))</f>
        <v>37 2025</v>
      </c>
      <c r="L4912" t="str">
        <f>CONCATENATE(MONTH(CompilDonnées[[#This Row],[PlantationDate]])," ", YEAR(CompilDonnées[[#This Row],[PlantationDate]]))</f>
        <v>9 2025</v>
      </c>
      <c r="M4912" t="str">
        <f>CONCATENATE(MONTH(CompilDonnées[[#This Row],[HarvestingDate]])," ", YEAR(CompilDonnées[[#This Row],[HarvestingDate]]))</f>
        <v>10 2025</v>
      </c>
      <c r="N4912">
        <f>_xlfn.NUMBERVALUE(CompilDonnées[[#This Row],[FarmID]]&amp;CompilDonnées[[#This Row],[ModuleNumber]]&amp;CompilDonnées[[#This Row],[PlantationDate]])</f>
        <v>79245911</v>
      </c>
      <c r="O4912" t="str">
        <f>CompilDonnées[[#This Row],[FarmID]]&amp;CompilDonnées[[#This Row],[ModuleNumber]]</f>
        <v>792</v>
      </c>
      <c r="P4912" t="str">
        <f>CompilDonnées[[#This Row],[Ref_Module]]&amp;CompilDonnées[[#This Row],[HarvestingDate]]</f>
        <v>79245959</v>
      </c>
    </row>
    <row r="4913" spans="1:16">
      <c r="A4913" s="5">
        <v>45911</v>
      </c>
      <c r="B4913">
        <v>74</v>
      </c>
      <c r="C4913" t="s">
        <v>21</v>
      </c>
      <c r="D4913">
        <v>3</v>
      </c>
      <c r="E4913">
        <v>100</v>
      </c>
      <c r="F4913" t="s">
        <v>1</v>
      </c>
      <c r="G4913" s="6">
        <v>45958</v>
      </c>
      <c r="H4913">
        <v>47</v>
      </c>
      <c r="I4913">
        <f>ROUND(CompilDonnées[[#This Row],[CultureDuration_days]]/7,0)</f>
        <v>7</v>
      </c>
      <c r="J4913">
        <v>1784</v>
      </c>
      <c r="K4913" t="str">
        <f>_xlfn.CONCAT(WEEKNUM(CompilDonnées[[#This Row],[PlantationDate]]), " ", YEAR(CompilDonnées[[#This Row],[PlantationDate]]))</f>
        <v>37 2025</v>
      </c>
      <c r="L4913" t="str">
        <f>CONCATENATE(MONTH(CompilDonnées[[#This Row],[PlantationDate]])," ", YEAR(CompilDonnées[[#This Row],[PlantationDate]]))</f>
        <v>9 2025</v>
      </c>
      <c r="M4913" t="str">
        <f>CONCATENATE(MONTH(CompilDonnées[[#This Row],[HarvestingDate]])," ", YEAR(CompilDonnées[[#This Row],[HarvestingDate]]))</f>
        <v>10 2025</v>
      </c>
      <c r="N4913">
        <f>_xlfn.NUMBERVALUE(CompilDonnées[[#This Row],[FarmID]]&amp;CompilDonnées[[#This Row],[ModuleNumber]]&amp;CompilDonnées[[#This Row],[PlantationDate]])</f>
        <v>74345911</v>
      </c>
      <c r="O4913" t="str">
        <f>CompilDonnées[[#This Row],[FarmID]]&amp;CompilDonnées[[#This Row],[ModuleNumber]]</f>
        <v>743</v>
      </c>
      <c r="P4913" t="str">
        <f>CompilDonnées[[#This Row],[Ref_Module]]&amp;CompilDonnées[[#This Row],[HarvestingDate]]</f>
        <v>74345958</v>
      </c>
    </row>
    <row r="4914" spans="1:16">
      <c r="A4914" s="5">
        <v>45911</v>
      </c>
      <c r="B4914">
        <v>73</v>
      </c>
      <c r="C4914" t="s">
        <v>20</v>
      </c>
      <c r="D4914">
        <v>5</v>
      </c>
      <c r="E4914">
        <v>100</v>
      </c>
      <c r="F4914" t="s">
        <v>1</v>
      </c>
      <c r="G4914" s="6">
        <v>45958</v>
      </c>
      <c r="H4914">
        <v>47</v>
      </c>
      <c r="I4914">
        <f>ROUND(CompilDonnées[[#This Row],[CultureDuration_days]]/7,0)</f>
        <v>7</v>
      </c>
      <c r="J4914">
        <v>2259</v>
      </c>
      <c r="K4914" t="str">
        <f>_xlfn.CONCAT(WEEKNUM(CompilDonnées[[#This Row],[PlantationDate]]), " ", YEAR(CompilDonnées[[#This Row],[PlantationDate]]))</f>
        <v>37 2025</v>
      </c>
      <c r="L4914" t="str">
        <f>CONCATENATE(MONTH(CompilDonnées[[#This Row],[PlantationDate]])," ", YEAR(CompilDonnées[[#This Row],[PlantationDate]]))</f>
        <v>9 2025</v>
      </c>
      <c r="M4914" t="str">
        <f>CONCATENATE(MONTH(CompilDonnées[[#This Row],[HarvestingDate]])," ", YEAR(CompilDonnées[[#This Row],[HarvestingDate]]))</f>
        <v>10 2025</v>
      </c>
      <c r="N4914">
        <f>_xlfn.NUMBERVALUE(CompilDonnées[[#This Row],[FarmID]]&amp;CompilDonnées[[#This Row],[ModuleNumber]]&amp;CompilDonnées[[#This Row],[PlantationDate]])</f>
        <v>73545911</v>
      </c>
      <c r="O4914" t="str">
        <f>CompilDonnées[[#This Row],[FarmID]]&amp;CompilDonnées[[#This Row],[ModuleNumber]]</f>
        <v>735</v>
      </c>
      <c r="P4914" t="str">
        <f>CompilDonnées[[#This Row],[Ref_Module]]&amp;CompilDonnées[[#This Row],[HarvestingDate]]</f>
        <v>73545958</v>
      </c>
    </row>
    <row r="4915" spans="1:16">
      <c r="A4915" s="5">
        <v>45911</v>
      </c>
      <c r="B4915">
        <v>72</v>
      </c>
      <c r="C4915" t="s">
        <v>49</v>
      </c>
      <c r="D4915">
        <v>4</v>
      </c>
      <c r="E4915">
        <v>100</v>
      </c>
      <c r="F4915" t="s">
        <v>1</v>
      </c>
      <c r="G4915" s="6">
        <v>45958</v>
      </c>
      <c r="H4915">
        <v>47</v>
      </c>
      <c r="I4915">
        <f>ROUND(CompilDonnées[[#This Row],[CultureDuration_days]]/7,0)</f>
        <v>7</v>
      </c>
      <c r="J4915">
        <v>2170</v>
      </c>
      <c r="K4915" t="str">
        <f>_xlfn.CONCAT(WEEKNUM(CompilDonnées[[#This Row],[PlantationDate]]), " ", YEAR(CompilDonnées[[#This Row],[PlantationDate]]))</f>
        <v>37 2025</v>
      </c>
      <c r="L4915" t="str">
        <f>CONCATENATE(MONTH(CompilDonnées[[#This Row],[PlantationDate]])," ", YEAR(CompilDonnées[[#This Row],[PlantationDate]]))</f>
        <v>9 2025</v>
      </c>
      <c r="M4915" t="str">
        <f>CONCATENATE(MONTH(CompilDonnées[[#This Row],[HarvestingDate]])," ", YEAR(CompilDonnées[[#This Row],[HarvestingDate]]))</f>
        <v>10 2025</v>
      </c>
      <c r="N4915">
        <f>_xlfn.NUMBERVALUE(CompilDonnées[[#This Row],[FarmID]]&amp;CompilDonnées[[#This Row],[ModuleNumber]]&amp;CompilDonnées[[#This Row],[PlantationDate]])</f>
        <v>72445911</v>
      </c>
      <c r="O4915" t="str">
        <f>CompilDonnées[[#This Row],[FarmID]]&amp;CompilDonnées[[#This Row],[ModuleNumber]]</f>
        <v>724</v>
      </c>
      <c r="P4915" t="str">
        <f>CompilDonnées[[#This Row],[Ref_Module]]&amp;CompilDonnées[[#This Row],[HarvestingDate]]</f>
        <v>72445958</v>
      </c>
    </row>
    <row r="4916" spans="1:16">
      <c r="A4916" s="5">
        <v>45911</v>
      </c>
      <c r="B4916">
        <v>67</v>
      </c>
      <c r="C4916" t="s">
        <v>28</v>
      </c>
      <c r="D4916">
        <v>4</v>
      </c>
      <c r="E4916">
        <v>100</v>
      </c>
      <c r="F4916" t="s">
        <v>1</v>
      </c>
      <c r="G4916" s="6">
        <v>45958</v>
      </c>
      <c r="H4916">
        <v>47</v>
      </c>
      <c r="I4916">
        <f>ROUND(CompilDonnées[[#This Row],[CultureDuration_days]]/7,0)</f>
        <v>7</v>
      </c>
      <c r="J4916">
        <v>2707</v>
      </c>
      <c r="K4916" t="str">
        <f>_xlfn.CONCAT(WEEKNUM(CompilDonnées[[#This Row],[PlantationDate]]), " ", YEAR(CompilDonnées[[#This Row],[PlantationDate]]))</f>
        <v>37 2025</v>
      </c>
      <c r="L4916" t="str">
        <f>CONCATENATE(MONTH(CompilDonnées[[#This Row],[PlantationDate]])," ", YEAR(CompilDonnées[[#This Row],[PlantationDate]]))</f>
        <v>9 2025</v>
      </c>
      <c r="M4916" t="str">
        <f>CONCATENATE(MONTH(CompilDonnées[[#This Row],[HarvestingDate]])," ", YEAR(CompilDonnées[[#This Row],[HarvestingDate]]))</f>
        <v>10 2025</v>
      </c>
      <c r="N4916">
        <f>_xlfn.NUMBERVALUE(CompilDonnées[[#This Row],[FarmID]]&amp;CompilDonnées[[#This Row],[ModuleNumber]]&amp;CompilDonnées[[#This Row],[PlantationDate]])</f>
        <v>67445911</v>
      </c>
      <c r="O4916" t="str">
        <f>CompilDonnées[[#This Row],[FarmID]]&amp;CompilDonnées[[#This Row],[ModuleNumber]]</f>
        <v>674</v>
      </c>
      <c r="P4916" t="str">
        <f>CompilDonnées[[#This Row],[Ref_Module]]&amp;CompilDonnées[[#This Row],[HarvestingDate]]</f>
        <v>67445958</v>
      </c>
    </row>
    <row r="4917" spans="1:16">
      <c r="A4917" s="5">
        <v>45911</v>
      </c>
      <c r="B4917">
        <v>64</v>
      </c>
      <c r="C4917" t="s">
        <v>47</v>
      </c>
      <c r="D4917">
        <v>4</v>
      </c>
      <c r="E4917">
        <v>100</v>
      </c>
      <c r="F4917" t="s">
        <v>1</v>
      </c>
      <c r="G4917" s="6">
        <v>45965</v>
      </c>
      <c r="H4917">
        <v>54</v>
      </c>
      <c r="I4917">
        <f>ROUND(CompilDonnées[[#This Row],[CultureDuration_days]]/7,0)</f>
        <v>8</v>
      </c>
      <c r="J4917">
        <v>1709</v>
      </c>
      <c r="K4917" t="str">
        <f>_xlfn.CONCAT(WEEKNUM(CompilDonnées[[#This Row],[PlantationDate]]), " ", YEAR(CompilDonnées[[#This Row],[PlantationDate]]))</f>
        <v>37 2025</v>
      </c>
      <c r="L4917" t="str">
        <f>CONCATENATE(MONTH(CompilDonnées[[#This Row],[PlantationDate]])," ", YEAR(CompilDonnées[[#This Row],[PlantationDate]]))</f>
        <v>9 2025</v>
      </c>
      <c r="M4917" t="str">
        <f>CONCATENATE(MONTH(CompilDonnées[[#This Row],[HarvestingDate]])," ", YEAR(CompilDonnées[[#This Row],[HarvestingDate]]))</f>
        <v>11 2025</v>
      </c>
      <c r="N4917">
        <f>_xlfn.NUMBERVALUE(CompilDonnées[[#This Row],[FarmID]]&amp;CompilDonnées[[#This Row],[ModuleNumber]]&amp;CompilDonnées[[#This Row],[PlantationDate]])</f>
        <v>64445911</v>
      </c>
      <c r="O4917" t="str">
        <f>CompilDonnées[[#This Row],[FarmID]]&amp;CompilDonnées[[#This Row],[ModuleNumber]]</f>
        <v>644</v>
      </c>
      <c r="P4917" t="str">
        <f>CompilDonnées[[#This Row],[Ref_Module]]&amp;CompilDonnées[[#This Row],[HarvestingDate]]</f>
        <v>64445965</v>
      </c>
    </row>
    <row r="4918" spans="1:16">
      <c r="A4918" s="5">
        <v>45911</v>
      </c>
      <c r="B4918">
        <v>71</v>
      </c>
      <c r="C4918" t="s">
        <v>19</v>
      </c>
      <c r="D4918">
        <v>5</v>
      </c>
      <c r="E4918">
        <v>100</v>
      </c>
      <c r="F4918" t="s">
        <v>1</v>
      </c>
      <c r="G4918" s="6">
        <v>45965</v>
      </c>
      <c r="H4918">
        <v>54</v>
      </c>
      <c r="I4918">
        <f>ROUND(CompilDonnées[[#This Row],[CultureDuration_days]]/7,0)</f>
        <v>8</v>
      </c>
      <c r="J4918">
        <v>2268</v>
      </c>
      <c r="K4918" t="str">
        <f>_xlfn.CONCAT(WEEKNUM(CompilDonnées[[#This Row],[PlantationDate]]), " ", YEAR(CompilDonnées[[#This Row],[PlantationDate]]))</f>
        <v>37 2025</v>
      </c>
      <c r="L4918" t="str">
        <f>CONCATENATE(MONTH(CompilDonnées[[#This Row],[PlantationDate]])," ", YEAR(CompilDonnées[[#This Row],[PlantationDate]]))</f>
        <v>9 2025</v>
      </c>
      <c r="M4918" t="str">
        <f>CONCATENATE(MONTH(CompilDonnées[[#This Row],[HarvestingDate]])," ", YEAR(CompilDonnées[[#This Row],[HarvestingDate]]))</f>
        <v>11 2025</v>
      </c>
      <c r="N4918">
        <f>_xlfn.NUMBERVALUE(CompilDonnées[[#This Row],[FarmID]]&amp;CompilDonnées[[#This Row],[ModuleNumber]]&amp;CompilDonnées[[#This Row],[PlantationDate]])</f>
        <v>71545911</v>
      </c>
      <c r="O4918" t="str">
        <f>CompilDonnées[[#This Row],[FarmID]]&amp;CompilDonnées[[#This Row],[ModuleNumber]]</f>
        <v>715</v>
      </c>
      <c r="P4918" t="str">
        <f>CompilDonnées[[#This Row],[Ref_Module]]&amp;CompilDonnées[[#This Row],[HarvestingDate]]</f>
        <v>71545965</v>
      </c>
    </row>
    <row r="4919" spans="1:16">
      <c r="A4919" s="5">
        <v>45911</v>
      </c>
      <c r="B4919">
        <v>82</v>
      </c>
      <c r="C4919" t="s">
        <v>17</v>
      </c>
      <c r="D4919">
        <v>6</v>
      </c>
      <c r="E4919">
        <v>100</v>
      </c>
      <c r="F4919" t="s">
        <v>1</v>
      </c>
      <c r="G4919" s="6">
        <v>45959</v>
      </c>
      <c r="H4919">
        <v>48</v>
      </c>
      <c r="I4919">
        <f>ROUND(CompilDonnées[[#This Row],[CultureDuration_days]]/7,0)</f>
        <v>7</v>
      </c>
      <c r="J4919">
        <v>4193</v>
      </c>
      <c r="K4919" t="str">
        <f>_xlfn.CONCAT(WEEKNUM(CompilDonnées[[#This Row],[PlantationDate]]), " ", YEAR(CompilDonnées[[#This Row],[PlantationDate]]))</f>
        <v>37 2025</v>
      </c>
      <c r="L4919" t="str">
        <f>CONCATENATE(MONTH(CompilDonnées[[#This Row],[PlantationDate]])," ", YEAR(CompilDonnées[[#This Row],[PlantationDate]]))</f>
        <v>9 2025</v>
      </c>
      <c r="M4919" t="str">
        <f>CONCATENATE(MONTH(CompilDonnées[[#This Row],[HarvestingDate]])," ", YEAR(CompilDonnées[[#This Row],[HarvestingDate]]))</f>
        <v>10 2025</v>
      </c>
      <c r="N4919">
        <f>_xlfn.NUMBERVALUE(CompilDonnées[[#This Row],[FarmID]]&amp;CompilDonnées[[#This Row],[ModuleNumber]]&amp;CompilDonnées[[#This Row],[PlantationDate]])</f>
        <v>82645911</v>
      </c>
      <c r="O4919" t="str">
        <f>CompilDonnées[[#This Row],[FarmID]]&amp;CompilDonnées[[#This Row],[ModuleNumber]]</f>
        <v>826</v>
      </c>
      <c r="P4919" t="str">
        <f>CompilDonnées[[#This Row],[Ref_Module]]&amp;CompilDonnées[[#This Row],[HarvestingDate]]</f>
        <v>82645959</v>
      </c>
    </row>
    <row r="4920" spans="1:16">
      <c r="A4920" s="5">
        <v>45911</v>
      </c>
      <c r="B4920">
        <v>66</v>
      </c>
      <c r="C4920" t="s">
        <v>48</v>
      </c>
      <c r="D4920">
        <v>5</v>
      </c>
      <c r="E4920">
        <v>100</v>
      </c>
      <c r="F4920" t="s">
        <v>1</v>
      </c>
      <c r="G4920" s="6">
        <v>45959</v>
      </c>
      <c r="H4920">
        <v>48</v>
      </c>
      <c r="I4920">
        <f>ROUND(CompilDonnées[[#This Row],[CultureDuration_days]]/7,0)</f>
        <v>7</v>
      </c>
      <c r="J4920">
        <v>2318</v>
      </c>
      <c r="K4920" t="str">
        <f>_xlfn.CONCAT(WEEKNUM(CompilDonnées[[#This Row],[PlantationDate]]), " ", YEAR(CompilDonnées[[#This Row],[PlantationDate]]))</f>
        <v>37 2025</v>
      </c>
      <c r="L4920" t="str">
        <f>CONCATENATE(MONTH(CompilDonnées[[#This Row],[PlantationDate]])," ", YEAR(CompilDonnées[[#This Row],[PlantationDate]]))</f>
        <v>9 2025</v>
      </c>
      <c r="M4920" t="str">
        <f>CONCATENATE(MONTH(CompilDonnées[[#This Row],[HarvestingDate]])," ", YEAR(CompilDonnées[[#This Row],[HarvestingDate]]))</f>
        <v>10 2025</v>
      </c>
      <c r="N4920">
        <f>_xlfn.NUMBERVALUE(CompilDonnées[[#This Row],[FarmID]]&amp;CompilDonnées[[#This Row],[ModuleNumber]]&amp;CompilDonnées[[#This Row],[PlantationDate]])</f>
        <v>66545911</v>
      </c>
      <c r="O4920" t="str">
        <f>CompilDonnées[[#This Row],[FarmID]]&amp;CompilDonnées[[#This Row],[ModuleNumber]]</f>
        <v>665</v>
      </c>
      <c r="P4920" t="str">
        <f>CompilDonnées[[#This Row],[Ref_Module]]&amp;CompilDonnées[[#This Row],[HarvestingDate]]</f>
        <v>66545959</v>
      </c>
    </row>
    <row r="4921" spans="1:16">
      <c r="A4921" s="5">
        <v>45912</v>
      </c>
      <c r="B4921">
        <v>42</v>
      </c>
      <c r="C4921" t="s">
        <v>119</v>
      </c>
      <c r="D4921">
        <v>6</v>
      </c>
      <c r="E4921">
        <v>100</v>
      </c>
      <c r="F4921" t="s">
        <v>1</v>
      </c>
      <c r="G4921" s="6">
        <v>45957</v>
      </c>
      <c r="H4921">
        <v>45</v>
      </c>
      <c r="I4921">
        <f>ROUND(CompilDonnées[[#This Row],[CultureDuration_days]]/7,0)</f>
        <v>6</v>
      </c>
      <c r="J4921">
        <v>1897</v>
      </c>
      <c r="K4921" t="str">
        <f>_xlfn.CONCAT(WEEKNUM(CompilDonnées[[#This Row],[PlantationDate]]), " ", YEAR(CompilDonnées[[#This Row],[PlantationDate]]))</f>
        <v>37 2025</v>
      </c>
      <c r="L4921" t="str">
        <f>CONCATENATE(MONTH(CompilDonnées[[#This Row],[PlantationDate]])," ", YEAR(CompilDonnées[[#This Row],[PlantationDate]]))</f>
        <v>9 2025</v>
      </c>
      <c r="M4921" t="str">
        <f>CONCATENATE(MONTH(CompilDonnées[[#This Row],[HarvestingDate]])," ", YEAR(CompilDonnées[[#This Row],[HarvestingDate]]))</f>
        <v>10 2025</v>
      </c>
      <c r="N4921">
        <f>_xlfn.NUMBERVALUE(CompilDonnées[[#This Row],[FarmID]]&amp;CompilDonnées[[#This Row],[ModuleNumber]]&amp;CompilDonnées[[#This Row],[PlantationDate]])</f>
        <v>42645912</v>
      </c>
      <c r="O4921" t="str">
        <f>CompilDonnées[[#This Row],[FarmID]]&amp;CompilDonnées[[#This Row],[ModuleNumber]]</f>
        <v>426</v>
      </c>
      <c r="P4921" t="str">
        <f>CompilDonnées[[#This Row],[Ref_Module]]&amp;CompilDonnées[[#This Row],[HarvestingDate]]</f>
        <v>42645957</v>
      </c>
    </row>
    <row r="4922" spans="1:16">
      <c r="A4922" s="5">
        <v>45912</v>
      </c>
      <c r="B4922">
        <v>41</v>
      </c>
      <c r="C4922" t="s">
        <v>70</v>
      </c>
      <c r="D4922">
        <v>4</v>
      </c>
      <c r="E4922">
        <v>100</v>
      </c>
      <c r="F4922" t="s">
        <v>1</v>
      </c>
      <c r="G4922" s="6">
        <v>45957</v>
      </c>
      <c r="H4922">
        <v>45</v>
      </c>
      <c r="I4922">
        <f>ROUND(CompilDonnées[[#This Row],[CultureDuration_days]]/7,0)</f>
        <v>6</v>
      </c>
      <c r="J4922">
        <v>1486</v>
      </c>
      <c r="K4922" t="str">
        <f>_xlfn.CONCAT(WEEKNUM(CompilDonnées[[#This Row],[PlantationDate]]), " ", YEAR(CompilDonnées[[#This Row],[PlantationDate]]))</f>
        <v>37 2025</v>
      </c>
      <c r="L4922" t="str">
        <f>CONCATENATE(MONTH(CompilDonnées[[#This Row],[PlantationDate]])," ", YEAR(CompilDonnées[[#This Row],[PlantationDate]]))</f>
        <v>9 2025</v>
      </c>
      <c r="M4922" t="str">
        <f>CONCATENATE(MONTH(CompilDonnées[[#This Row],[HarvestingDate]])," ", YEAR(CompilDonnées[[#This Row],[HarvestingDate]]))</f>
        <v>10 2025</v>
      </c>
      <c r="N4922">
        <f>_xlfn.NUMBERVALUE(CompilDonnées[[#This Row],[FarmID]]&amp;CompilDonnées[[#This Row],[ModuleNumber]]&amp;CompilDonnées[[#This Row],[PlantationDate]])</f>
        <v>41445912</v>
      </c>
      <c r="O4922" t="str">
        <f>CompilDonnées[[#This Row],[FarmID]]&amp;CompilDonnées[[#This Row],[ModuleNumber]]</f>
        <v>414</v>
      </c>
      <c r="P4922" t="str">
        <f>CompilDonnées[[#This Row],[Ref_Module]]&amp;CompilDonnées[[#This Row],[HarvestingDate]]</f>
        <v>41445957</v>
      </c>
    </row>
    <row r="4923" spans="1:16">
      <c r="A4923" s="5">
        <v>45912</v>
      </c>
      <c r="B4923">
        <v>85</v>
      </c>
      <c r="C4923" t="s">
        <v>56</v>
      </c>
      <c r="D4923">
        <v>5</v>
      </c>
      <c r="E4923">
        <v>100</v>
      </c>
      <c r="F4923" t="s">
        <v>1</v>
      </c>
      <c r="G4923" s="6">
        <v>45965</v>
      </c>
      <c r="H4923">
        <v>53</v>
      </c>
      <c r="I4923">
        <f>ROUND(CompilDonnées[[#This Row],[CultureDuration_days]]/7,0)</f>
        <v>8</v>
      </c>
      <c r="J4923">
        <v>2154</v>
      </c>
      <c r="K4923" t="str">
        <f>_xlfn.CONCAT(WEEKNUM(CompilDonnées[[#This Row],[PlantationDate]]), " ", YEAR(CompilDonnées[[#This Row],[PlantationDate]]))</f>
        <v>37 2025</v>
      </c>
      <c r="L4923" t="str">
        <f>CONCATENATE(MONTH(CompilDonnées[[#This Row],[PlantationDate]])," ", YEAR(CompilDonnées[[#This Row],[PlantationDate]]))</f>
        <v>9 2025</v>
      </c>
      <c r="M4923" t="str">
        <f>CONCATENATE(MONTH(CompilDonnées[[#This Row],[HarvestingDate]])," ", YEAR(CompilDonnées[[#This Row],[HarvestingDate]]))</f>
        <v>11 2025</v>
      </c>
      <c r="N4923">
        <f>_xlfn.NUMBERVALUE(CompilDonnées[[#This Row],[FarmID]]&amp;CompilDonnées[[#This Row],[ModuleNumber]]&amp;CompilDonnées[[#This Row],[PlantationDate]])</f>
        <v>85545912</v>
      </c>
      <c r="O4923" t="str">
        <f>CompilDonnées[[#This Row],[FarmID]]&amp;CompilDonnées[[#This Row],[ModuleNumber]]</f>
        <v>855</v>
      </c>
      <c r="P4923" t="str">
        <f>CompilDonnées[[#This Row],[Ref_Module]]&amp;CompilDonnées[[#This Row],[HarvestingDate]]</f>
        <v>85545965</v>
      </c>
    </row>
    <row r="4924" spans="1:16">
      <c r="A4924" s="5">
        <v>45912</v>
      </c>
      <c r="B4924">
        <v>109</v>
      </c>
      <c r="C4924" t="s">
        <v>2</v>
      </c>
      <c r="D4924">
        <v>4</v>
      </c>
      <c r="E4924">
        <v>100</v>
      </c>
      <c r="F4924" t="s">
        <v>1</v>
      </c>
      <c r="G4924" s="6">
        <v>45960</v>
      </c>
      <c r="H4924">
        <v>48</v>
      </c>
      <c r="I4924">
        <f>ROUND(CompilDonnées[[#This Row],[CultureDuration_days]]/7,0)</f>
        <v>7</v>
      </c>
      <c r="J4924">
        <v>5022</v>
      </c>
      <c r="K4924" t="str">
        <f>_xlfn.CONCAT(WEEKNUM(CompilDonnées[[#This Row],[PlantationDate]]), " ", YEAR(CompilDonnées[[#This Row],[PlantationDate]]))</f>
        <v>37 2025</v>
      </c>
      <c r="L4924" t="str">
        <f>CONCATENATE(MONTH(CompilDonnées[[#This Row],[PlantationDate]])," ", YEAR(CompilDonnées[[#This Row],[PlantationDate]]))</f>
        <v>9 2025</v>
      </c>
      <c r="M4924" t="str">
        <f>CONCATENATE(MONTH(CompilDonnées[[#This Row],[HarvestingDate]])," ", YEAR(CompilDonnées[[#This Row],[HarvestingDate]]))</f>
        <v>10 2025</v>
      </c>
      <c r="N4924">
        <f>_xlfn.NUMBERVALUE(CompilDonnées[[#This Row],[FarmID]]&amp;CompilDonnées[[#This Row],[ModuleNumber]]&amp;CompilDonnées[[#This Row],[PlantationDate]])</f>
        <v>109445912</v>
      </c>
      <c r="O4924" t="str">
        <f>CompilDonnées[[#This Row],[FarmID]]&amp;CompilDonnées[[#This Row],[ModuleNumber]]</f>
        <v>1094</v>
      </c>
      <c r="P4924" t="str">
        <f>CompilDonnées[[#This Row],[Ref_Module]]&amp;CompilDonnées[[#This Row],[HarvestingDate]]</f>
        <v>109445960</v>
      </c>
    </row>
    <row r="4925" spans="1:16">
      <c r="A4925" s="5">
        <v>45912</v>
      </c>
      <c r="B4925">
        <v>47</v>
      </c>
      <c r="C4925" t="s">
        <v>104</v>
      </c>
      <c r="D4925">
        <v>1</v>
      </c>
      <c r="E4925">
        <v>100</v>
      </c>
      <c r="F4925" t="s">
        <v>1</v>
      </c>
      <c r="G4925" s="6">
        <v>45957</v>
      </c>
      <c r="H4925">
        <v>45</v>
      </c>
      <c r="I4925">
        <f>ROUND(CompilDonnées[[#This Row],[CultureDuration_days]]/7,0)</f>
        <v>6</v>
      </c>
      <c r="J4925">
        <v>2220</v>
      </c>
      <c r="K4925" t="str">
        <f>_xlfn.CONCAT(WEEKNUM(CompilDonnées[[#This Row],[PlantationDate]]), " ", YEAR(CompilDonnées[[#This Row],[PlantationDate]]))</f>
        <v>37 2025</v>
      </c>
      <c r="L4925" t="str">
        <f>CONCATENATE(MONTH(CompilDonnées[[#This Row],[PlantationDate]])," ", YEAR(CompilDonnées[[#This Row],[PlantationDate]]))</f>
        <v>9 2025</v>
      </c>
      <c r="M4925" t="str">
        <f>CONCATENATE(MONTH(CompilDonnées[[#This Row],[HarvestingDate]])," ", YEAR(CompilDonnées[[#This Row],[HarvestingDate]]))</f>
        <v>10 2025</v>
      </c>
      <c r="N4925">
        <f>_xlfn.NUMBERVALUE(CompilDonnées[[#This Row],[FarmID]]&amp;CompilDonnées[[#This Row],[ModuleNumber]]&amp;CompilDonnées[[#This Row],[PlantationDate]])</f>
        <v>47145912</v>
      </c>
      <c r="O4925" t="str">
        <f>CompilDonnées[[#This Row],[FarmID]]&amp;CompilDonnées[[#This Row],[ModuleNumber]]</f>
        <v>471</v>
      </c>
      <c r="P4925" t="str">
        <f>CompilDonnées[[#This Row],[Ref_Module]]&amp;CompilDonnées[[#This Row],[HarvestingDate]]</f>
        <v>47145957</v>
      </c>
    </row>
    <row r="4926" spans="1:16">
      <c r="A4926" s="5">
        <v>45912</v>
      </c>
      <c r="B4926">
        <v>7</v>
      </c>
      <c r="C4926" t="s">
        <v>50</v>
      </c>
      <c r="D4926">
        <v>1</v>
      </c>
      <c r="E4926">
        <v>100</v>
      </c>
      <c r="F4926" t="s">
        <v>1</v>
      </c>
      <c r="G4926" s="6">
        <v>45957</v>
      </c>
      <c r="H4926">
        <v>45</v>
      </c>
      <c r="I4926">
        <f>ROUND(CompilDonnées[[#This Row],[CultureDuration_days]]/7,0)</f>
        <v>6</v>
      </c>
      <c r="J4926">
        <v>1990</v>
      </c>
      <c r="K4926" t="str">
        <f>_xlfn.CONCAT(WEEKNUM(CompilDonnées[[#This Row],[PlantationDate]]), " ", YEAR(CompilDonnées[[#This Row],[PlantationDate]]))</f>
        <v>37 2025</v>
      </c>
      <c r="L4926" t="str">
        <f>CONCATENATE(MONTH(CompilDonnées[[#This Row],[PlantationDate]])," ", YEAR(CompilDonnées[[#This Row],[PlantationDate]]))</f>
        <v>9 2025</v>
      </c>
      <c r="M4926" t="str">
        <f>CONCATENATE(MONTH(CompilDonnées[[#This Row],[HarvestingDate]])," ", YEAR(CompilDonnées[[#This Row],[HarvestingDate]]))</f>
        <v>10 2025</v>
      </c>
      <c r="N4926">
        <f>_xlfn.NUMBERVALUE(CompilDonnées[[#This Row],[FarmID]]&amp;CompilDonnées[[#This Row],[ModuleNumber]]&amp;CompilDonnées[[#This Row],[PlantationDate]])</f>
        <v>7145912</v>
      </c>
      <c r="O4926" t="str">
        <f>CompilDonnées[[#This Row],[FarmID]]&amp;CompilDonnées[[#This Row],[ModuleNumber]]</f>
        <v>71</v>
      </c>
      <c r="P4926" t="str">
        <f>CompilDonnées[[#This Row],[Ref_Module]]&amp;CompilDonnées[[#This Row],[HarvestingDate]]</f>
        <v>7145957</v>
      </c>
    </row>
    <row r="4927" spans="1:16">
      <c r="A4927" s="5">
        <v>45912</v>
      </c>
      <c r="B4927">
        <v>10</v>
      </c>
      <c r="C4927" t="s">
        <v>109</v>
      </c>
      <c r="D4927">
        <v>6</v>
      </c>
      <c r="E4927">
        <v>100</v>
      </c>
      <c r="F4927" t="s">
        <v>1</v>
      </c>
      <c r="G4927" s="6">
        <v>45966</v>
      </c>
      <c r="H4927">
        <v>54</v>
      </c>
      <c r="I4927">
        <f>ROUND(CompilDonnées[[#This Row],[CultureDuration_days]]/7,0)</f>
        <v>8</v>
      </c>
      <c r="J4927">
        <v>2095</v>
      </c>
      <c r="K4927" t="str">
        <f>_xlfn.CONCAT(WEEKNUM(CompilDonnées[[#This Row],[PlantationDate]]), " ", YEAR(CompilDonnées[[#This Row],[PlantationDate]]))</f>
        <v>37 2025</v>
      </c>
      <c r="L4927" t="str">
        <f>CONCATENATE(MONTH(CompilDonnées[[#This Row],[PlantationDate]])," ", YEAR(CompilDonnées[[#This Row],[PlantationDate]]))</f>
        <v>9 2025</v>
      </c>
      <c r="M4927" t="str">
        <f>CONCATENATE(MONTH(CompilDonnées[[#This Row],[HarvestingDate]])," ", YEAR(CompilDonnées[[#This Row],[HarvestingDate]]))</f>
        <v>11 2025</v>
      </c>
      <c r="N4927">
        <f>_xlfn.NUMBERVALUE(CompilDonnées[[#This Row],[FarmID]]&amp;CompilDonnées[[#This Row],[ModuleNumber]]&amp;CompilDonnées[[#This Row],[PlantationDate]])</f>
        <v>10645912</v>
      </c>
      <c r="O4927" t="str">
        <f>CompilDonnées[[#This Row],[FarmID]]&amp;CompilDonnées[[#This Row],[ModuleNumber]]</f>
        <v>106</v>
      </c>
      <c r="P4927" t="str">
        <f>CompilDonnées[[#This Row],[Ref_Module]]&amp;CompilDonnées[[#This Row],[HarvestingDate]]</f>
        <v>10645966</v>
      </c>
    </row>
    <row r="4928" spans="1:16">
      <c r="A4928" s="5">
        <v>45912</v>
      </c>
      <c r="B4928">
        <v>1</v>
      </c>
      <c r="C4928" t="s">
        <v>111</v>
      </c>
      <c r="D4928">
        <v>2</v>
      </c>
      <c r="E4928">
        <v>100</v>
      </c>
      <c r="F4928" t="s">
        <v>1</v>
      </c>
      <c r="G4928" s="6">
        <v>45957</v>
      </c>
      <c r="H4928">
        <v>45</v>
      </c>
      <c r="I4928">
        <f>ROUND(CompilDonnées[[#This Row],[CultureDuration_days]]/7,0)</f>
        <v>6</v>
      </c>
      <c r="J4928">
        <v>2621</v>
      </c>
      <c r="K4928" t="str">
        <f>_xlfn.CONCAT(WEEKNUM(CompilDonnées[[#This Row],[PlantationDate]]), " ", YEAR(CompilDonnées[[#This Row],[PlantationDate]]))</f>
        <v>37 2025</v>
      </c>
      <c r="L4928" t="str">
        <f>CONCATENATE(MONTH(CompilDonnées[[#This Row],[PlantationDate]])," ", YEAR(CompilDonnées[[#This Row],[PlantationDate]]))</f>
        <v>9 2025</v>
      </c>
      <c r="M4928" t="str">
        <f>CONCATENATE(MONTH(CompilDonnées[[#This Row],[HarvestingDate]])," ", YEAR(CompilDonnées[[#This Row],[HarvestingDate]]))</f>
        <v>10 2025</v>
      </c>
      <c r="N4928">
        <f>_xlfn.NUMBERVALUE(CompilDonnées[[#This Row],[FarmID]]&amp;CompilDonnées[[#This Row],[ModuleNumber]]&amp;CompilDonnées[[#This Row],[PlantationDate]])</f>
        <v>1245912</v>
      </c>
      <c r="O4928" t="str">
        <f>CompilDonnées[[#This Row],[FarmID]]&amp;CompilDonnées[[#This Row],[ModuleNumber]]</f>
        <v>12</v>
      </c>
      <c r="P4928" t="str">
        <f>CompilDonnées[[#This Row],[Ref_Module]]&amp;CompilDonnées[[#This Row],[HarvestingDate]]</f>
        <v>1245957</v>
      </c>
    </row>
    <row r="4929" spans="1:16">
      <c r="A4929" s="5">
        <v>45912</v>
      </c>
      <c r="B4929">
        <v>52</v>
      </c>
      <c r="C4929" t="s">
        <v>88</v>
      </c>
      <c r="D4929">
        <v>2</v>
      </c>
      <c r="E4929">
        <v>100</v>
      </c>
      <c r="F4929" t="s">
        <v>1</v>
      </c>
      <c r="G4929" s="6">
        <v>45953</v>
      </c>
      <c r="H4929">
        <v>41</v>
      </c>
      <c r="I4929">
        <f>ROUND(CompilDonnées[[#This Row],[CultureDuration_days]]/7,0)</f>
        <v>6</v>
      </c>
      <c r="J4929">
        <v>4058</v>
      </c>
      <c r="K4929" t="str">
        <f>_xlfn.CONCAT(WEEKNUM(CompilDonnées[[#This Row],[PlantationDate]]), " ", YEAR(CompilDonnées[[#This Row],[PlantationDate]]))</f>
        <v>37 2025</v>
      </c>
      <c r="L4929" t="str">
        <f>CONCATENATE(MONTH(CompilDonnées[[#This Row],[PlantationDate]])," ", YEAR(CompilDonnées[[#This Row],[PlantationDate]]))</f>
        <v>9 2025</v>
      </c>
      <c r="M4929" t="str">
        <f>CONCATENATE(MONTH(CompilDonnées[[#This Row],[HarvestingDate]])," ", YEAR(CompilDonnées[[#This Row],[HarvestingDate]]))</f>
        <v>10 2025</v>
      </c>
      <c r="N4929">
        <f>_xlfn.NUMBERVALUE(CompilDonnées[[#This Row],[FarmID]]&amp;CompilDonnées[[#This Row],[ModuleNumber]]&amp;CompilDonnées[[#This Row],[PlantationDate]])</f>
        <v>52245912</v>
      </c>
      <c r="O4929" t="str">
        <f>CompilDonnées[[#This Row],[FarmID]]&amp;CompilDonnées[[#This Row],[ModuleNumber]]</f>
        <v>522</v>
      </c>
      <c r="P4929" t="str">
        <f>CompilDonnées[[#This Row],[Ref_Module]]&amp;CompilDonnées[[#This Row],[HarvestingDate]]</f>
        <v>52245953</v>
      </c>
    </row>
    <row r="4930" spans="1:16">
      <c r="A4930" s="5">
        <v>45912</v>
      </c>
      <c r="B4930">
        <v>68</v>
      </c>
      <c r="C4930" t="s">
        <v>89</v>
      </c>
      <c r="D4930">
        <v>1</v>
      </c>
      <c r="E4930">
        <v>100</v>
      </c>
      <c r="F4930" t="s">
        <v>1</v>
      </c>
      <c r="G4930" s="6">
        <v>45925</v>
      </c>
      <c r="H4930">
        <v>13</v>
      </c>
      <c r="I4930">
        <f>ROUND(CompilDonnées[[#This Row],[CultureDuration_days]]/7,0)</f>
        <v>2</v>
      </c>
      <c r="J4930">
        <v>923</v>
      </c>
      <c r="K4930" t="str">
        <f>_xlfn.CONCAT(WEEKNUM(CompilDonnées[[#This Row],[PlantationDate]]), " ", YEAR(CompilDonnées[[#This Row],[PlantationDate]]))</f>
        <v>37 2025</v>
      </c>
      <c r="L4930" t="str">
        <f>CONCATENATE(MONTH(CompilDonnées[[#This Row],[PlantationDate]])," ", YEAR(CompilDonnées[[#This Row],[PlantationDate]]))</f>
        <v>9 2025</v>
      </c>
      <c r="M4930" t="str">
        <f>CONCATENATE(MONTH(CompilDonnées[[#This Row],[HarvestingDate]])," ", YEAR(CompilDonnées[[#This Row],[HarvestingDate]]))</f>
        <v>9 2025</v>
      </c>
      <c r="N4930">
        <f>_xlfn.NUMBERVALUE(CompilDonnées[[#This Row],[FarmID]]&amp;CompilDonnées[[#This Row],[ModuleNumber]]&amp;CompilDonnées[[#This Row],[PlantationDate]])</f>
        <v>68145912</v>
      </c>
      <c r="O4930" t="str">
        <f>CompilDonnées[[#This Row],[FarmID]]&amp;CompilDonnées[[#This Row],[ModuleNumber]]</f>
        <v>681</v>
      </c>
      <c r="P4930" t="str">
        <f>CompilDonnées[[#This Row],[Ref_Module]]&amp;CompilDonnées[[#This Row],[HarvestingDate]]</f>
        <v>68145925</v>
      </c>
    </row>
    <row r="4931" spans="1:16">
      <c r="A4931" s="5">
        <v>45916</v>
      </c>
      <c r="B4931">
        <v>6</v>
      </c>
      <c r="C4931" t="s">
        <v>24</v>
      </c>
      <c r="D4931">
        <v>1</v>
      </c>
      <c r="E4931">
        <v>100</v>
      </c>
      <c r="F4931" t="s">
        <v>1</v>
      </c>
      <c r="G4931" s="6">
        <v>45957</v>
      </c>
      <c r="H4931">
        <v>41</v>
      </c>
      <c r="I4931">
        <f>ROUND(CompilDonnées[[#This Row],[CultureDuration_days]]/7,0)</f>
        <v>6</v>
      </c>
      <c r="J4931">
        <v>2711</v>
      </c>
      <c r="K4931" t="str">
        <f>_xlfn.CONCAT(WEEKNUM(CompilDonnées[[#This Row],[PlantationDate]]), " ", YEAR(CompilDonnées[[#This Row],[PlantationDate]]))</f>
        <v>38 2025</v>
      </c>
      <c r="L4931" t="str">
        <f>CONCATENATE(MONTH(CompilDonnées[[#This Row],[PlantationDate]])," ", YEAR(CompilDonnées[[#This Row],[PlantationDate]]))</f>
        <v>9 2025</v>
      </c>
      <c r="M4931" t="str">
        <f>CONCATENATE(MONTH(CompilDonnées[[#This Row],[HarvestingDate]])," ", YEAR(CompilDonnées[[#This Row],[HarvestingDate]]))</f>
        <v>10 2025</v>
      </c>
      <c r="N4931">
        <f>_xlfn.NUMBERVALUE(CompilDonnées[[#This Row],[FarmID]]&amp;CompilDonnées[[#This Row],[ModuleNumber]]&amp;CompilDonnées[[#This Row],[PlantationDate]])</f>
        <v>6145916</v>
      </c>
      <c r="O4931" t="str">
        <f>CompilDonnées[[#This Row],[FarmID]]&amp;CompilDonnées[[#This Row],[ModuleNumber]]</f>
        <v>61</v>
      </c>
      <c r="P4931" t="str">
        <f>CompilDonnées[[#This Row],[Ref_Module]]&amp;CompilDonnées[[#This Row],[HarvestingDate]]</f>
        <v>6145957</v>
      </c>
    </row>
    <row r="4932" spans="1:16">
      <c r="A4932" s="5">
        <v>45916</v>
      </c>
      <c r="B4932">
        <v>5</v>
      </c>
      <c r="C4932" t="s">
        <v>32</v>
      </c>
      <c r="D4932">
        <v>1</v>
      </c>
      <c r="E4932">
        <v>100</v>
      </c>
      <c r="F4932" t="s">
        <v>1</v>
      </c>
      <c r="G4932" s="6">
        <v>45957</v>
      </c>
      <c r="H4932">
        <v>41</v>
      </c>
      <c r="I4932">
        <f>ROUND(CompilDonnées[[#This Row],[CultureDuration_days]]/7,0)</f>
        <v>6</v>
      </c>
      <c r="J4932">
        <v>2365</v>
      </c>
      <c r="K4932" t="str">
        <f>_xlfn.CONCAT(WEEKNUM(CompilDonnées[[#This Row],[PlantationDate]]), " ", YEAR(CompilDonnées[[#This Row],[PlantationDate]]))</f>
        <v>38 2025</v>
      </c>
      <c r="L4932" t="str">
        <f>CONCATENATE(MONTH(CompilDonnées[[#This Row],[PlantationDate]])," ", YEAR(CompilDonnées[[#This Row],[PlantationDate]]))</f>
        <v>9 2025</v>
      </c>
      <c r="M4932" t="str">
        <f>CONCATENATE(MONTH(CompilDonnées[[#This Row],[HarvestingDate]])," ", YEAR(CompilDonnées[[#This Row],[HarvestingDate]]))</f>
        <v>10 2025</v>
      </c>
      <c r="N4932">
        <f>_xlfn.NUMBERVALUE(CompilDonnées[[#This Row],[FarmID]]&amp;CompilDonnées[[#This Row],[ModuleNumber]]&amp;CompilDonnées[[#This Row],[PlantationDate]])</f>
        <v>5145916</v>
      </c>
      <c r="O4932" t="str">
        <f>CompilDonnées[[#This Row],[FarmID]]&amp;CompilDonnées[[#This Row],[ModuleNumber]]</f>
        <v>51</v>
      </c>
      <c r="P4932" t="str">
        <f>CompilDonnées[[#This Row],[Ref_Module]]&amp;CompilDonnées[[#This Row],[HarvestingDate]]</f>
        <v>5145957</v>
      </c>
    </row>
    <row r="4933" spans="1:16">
      <c r="A4933" s="5">
        <v>45916</v>
      </c>
      <c r="B4933">
        <v>4</v>
      </c>
      <c r="C4933" t="s">
        <v>74</v>
      </c>
      <c r="D4933">
        <v>3</v>
      </c>
      <c r="E4933">
        <v>100</v>
      </c>
      <c r="F4933" t="s">
        <v>1</v>
      </c>
      <c r="G4933" s="6">
        <v>45971</v>
      </c>
      <c r="H4933">
        <v>55</v>
      </c>
      <c r="I4933">
        <f>ROUND(CompilDonnées[[#This Row],[CultureDuration_days]]/7,0)</f>
        <v>8</v>
      </c>
      <c r="J4933">
        <v>1652</v>
      </c>
      <c r="K4933" t="str">
        <f>_xlfn.CONCAT(WEEKNUM(CompilDonnées[[#This Row],[PlantationDate]]), " ", YEAR(CompilDonnées[[#This Row],[PlantationDate]]))</f>
        <v>38 2025</v>
      </c>
      <c r="L4933" t="str">
        <f>CONCATENATE(MONTH(CompilDonnées[[#This Row],[PlantationDate]])," ", YEAR(CompilDonnées[[#This Row],[PlantationDate]]))</f>
        <v>9 2025</v>
      </c>
      <c r="M4933" t="str">
        <f>CONCATENATE(MONTH(CompilDonnées[[#This Row],[HarvestingDate]])," ", YEAR(CompilDonnées[[#This Row],[HarvestingDate]]))</f>
        <v>11 2025</v>
      </c>
      <c r="N4933">
        <f>_xlfn.NUMBERVALUE(CompilDonnées[[#This Row],[FarmID]]&amp;CompilDonnées[[#This Row],[ModuleNumber]]&amp;CompilDonnées[[#This Row],[PlantationDate]])</f>
        <v>4345916</v>
      </c>
      <c r="O4933" t="str">
        <f>CompilDonnées[[#This Row],[FarmID]]&amp;CompilDonnées[[#This Row],[ModuleNumber]]</f>
        <v>43</v>
      </c>
      <c r="P4933" t="str">
        <f>CompilDonnées[[#This Row],[Ref_Module]]&amp;CompilDonnées[[#This Row],[HarvestingDate]]</f>
        <v>4345971</v>
      </c>
    </row>
    <row r="4934" spans="1:16">
      <c r="A4934" s="5">
        <v>45916</v>
      </c>
      <c r="B4934">
        <v>3</v>
      </c>
      <c r="C4934" t="s">
        <v>116</v>
      </c>
      <c r="D4934">
        <v>2</v>
      </c>
      <c r="E4934">
        <v>100</v>
      </c>
      <c r="F4934" t="s">
        <v>1</v>
      </c>
      <c r="G4934" s="6">
        <v>45957</v>
      </c>
      <c r="H4934">
        <v>41</v>
      </c>
      <c r="I4934">
        <f>ROUND(CompilDonnées[[#This Row],[CultureDuration_days]]/7,0)</f>
        <v>6</v>
      </c>
      <c r="J4934">
        <v>1358</v>
      </c>
      <c r="K4934" t="str">
        <f>_xlfn.CONCAT(WEEKNUM(CompilDonnées[[#This Row],[PlantationDate]]), " ", YEAR(CompilDonnées[[#This Row],[PlantationDate]]))</f>
        <v>38 2025</v>
      </c>
      <c r="L4934" t="str">
        <f>CONCATENATE(MONTH(CompilDonnées[[#This Row],[PlantationDate]])," ", YEAR(CompilDonnées[[#This Row],[PlantationDate]]))</f>
        <v>9 2025</v>
      </c>
      <c r="M4934" t="str">
        <f>CONCATENATE(MONTH(CompilDonnées[[#This Row],[HarvestingDate]])," ", YEAR(CompilDonnées[[#This Row],[HarvestingDate]]))</f>
        <v>10 2025</v>
      </c>
      <c r="N4934">
        <f>_xlfn.NUMBERVALUE(CompilDonnées[[#This Row],[FarmID]]&amp;CompilDonnées[[#This Row],[ModuleNumber]]&amp;CompilDonnées[[#This Row],[PlantationDate]])</f>
        <v>3245916</v>
      </c>
      <c r="O4934" t="str">
        <f>CompilDonnées[[#This Row],[FarmID]]&amp;CompilDonnées[[#This Row],[ModuleNumber]]</f>
        <v>32</v>
      </c>
      <c r="P4934" t="str">
        <f>CompilDonnées[[#This Row],[Ref_Module]]&amp;CompilDonnées[[#This Row],[HarvestingDate]]</f>
        <v>3245957</v>
      </c>
    </row>
    <row r="4935" spans="1:16">
      <c r="A4935" s="5">
        <v>45916</v>
      </c>
      <c r="B4935">
        <v>18</v>
      </c>
      <c r="C4935" t="s">
        <v>33</v>
      </c>
      <c r="D4935">
        <v>5</v>
      </c>
      <c r="E4935">
        <v>100</v>
      </c>
      <c r="F4935" t="s">
        <v>1</v>
      </c>
      <c r="G4935" s="6">
        <v>45957</v>
      </c>
      <c r="H4935">
        <v>41</v>
      </c>
      <c r="I4935">
        <f>ROUND(CompilDonnées[[#This Row],[CultureDuration_days]]/7,0)</f>
        <v>6</v>
      </c>
      <c r="J4935">
        <v>3102</v>
      </c>
      <c r="K4935" t="str">
        <f>_xlfn.CONCAT(WEEKNUM(CompilDonnées[[#This Row],[PlantationDate]]), " ", YEAR(CompilDonnées[[#This Row],[PlantationDate]]))</f>
        <v>38 2025</v>
      </c>
      <c r="L4935" t="str">
        <f>CONCATENATE(MONTH(CompilDonnées[[#This Row],[PlantationDate]])," ", YEAR(CompilDonnées[[#This Row],[PlantationDate]]))</f>
        <v>9 2025</v>
      </c>
      <c r="M4935" t="str">
        <f>CONCATENATE(MONTH(CompilDonnées[[#This Row],[HarvestingDate]])," ", YEAR(CompilDonnées[[#This Row],[HarvestingDate]]))</f>
        <v>10 2025</v>
      </c>
      <c r="N4935">
        <f>_xlfn.NUMBERVALUE(CompilDonnées[[#This Row],[FarmID]]&amp;CompilDonnées[[#This Row],[ModuleNumber]]&amp;CompilDonnées[[#This Row],[PlantationDate]])</f>
        <v>18545916</v>
      </c>
      <c r="O4935" t="str">
        <f>CompilDonnées[[#This Row],[FarmID]]&amp;CompilDonnées[[#This Row],[ModuleNumber]]</f>
        <v>185</v>
      </c>
      <c r="P4935" t="str">
        <f>CompilDonnées[[#This Row],[Ref_Module]]&amp;CompilDonnées[[#This Row],[HarvestingDate]]</f>
        <v>18545957</v>
      </c>
    </row>
    <row r="4936" spans="1:16">
      <c r="A4936" s="5">
        <v>45916</v>
      </c>
      <c r="B4936">
        <v>17</v>
      </c>
      <c r="C4936" t="s">
        <v>80</v>
      </c>
      <c r="D4936">
        <v>1</v>
      </c>
      <c r="E4936">
        <v>100</v>
      </c>
      <c r="F4936" t="s">
        <v>1</v>
      </c>
      <c r="G4936" s="6">
        <v>45966</v>
      </c>
      <c r="H4936">
        <v>50</v>
      </c>
      <c r="I4936">
        <f>ROUND(CompilDonnées[[#This Row],[CultureDuration_days]]/7,0)</f>
        <v>7</v>
      </c>
      <c r="J4936">
        <v>2447</v>
      </c>
      <c r="K4936" t="str">
        <f>_xlfn.CONCAT(WEEKNUM(CompilDonnées[[#This Row],[PlantationDate]]), " ", YEAR(CompilDonnées[[#This Row],[PlantationDate]]))</f>
        <v>38 2025</v>
      </c>
      <c r="L4936" t="str">
        <f>CONCATENATE(MONTH(CompilDonnées[[#This Row],[PlantationDate]])," ", YEAR(CompilDonnées[[#This Row],[PlantationDate]]))</f>
        <v>9 2025</v>
      </c>
      <c r="M4936" t="str">
        <f>CONCATENATE(MONTH(CompilDonnées[[#This Row],[HarvestingDate]])," ", YEAR(CompilDonnées[[#This Row],[HarvestingDate]]))</f>
        <v>11 2025</v>
      </c>
      <c r="N4936">
        <f>_xlfn.NUMBERVALUE(CompilDonnées[[#This Row],[FarmID]]&amp;CompilDonnées[[#This Row],[ModuleNumber]]&amp;CompilDonnées[[#This Row],[PlantationDate]])</f>
        <v>17145916</v>
      </c>
      <c r="O4936" t="str">
        <f>CompilDonnées[[#This Row],[FarmID]]&amp;CompilDonnées[[#This Row],[ModuleNumber]]</f>
        <v>171</v>
      </c>
      <c r="P4936" t="str">
        <f>CompilDonnées[[#This Row],[Ref_Module]]&amp;CompilDonnées[[#This Row],[HarvestingDate]]</f>
        <v>17145966</v>
      </c>
    </row>
    <row r="4937" spans="1:16">
      <c r="A4937" s="5">
        <v>45916</v>
      </c>
      <c r="B4937">
        <v>17</v>
      </c>
      <c r="C4937" t="s">
        <v>80</v>
      </c>
      <c r="D4937">
        <v>6</v>
      </c>
      <c r="E4937">
        <v>100</v>
      </c>
      <c r="F4937" t="s">
        <v>1</v>
      </c>
      <c r="G4937" s="6">
        <v>45957</v>
      </c>
      <c r="H4937">
        <v>41</v>
      </c>
      <c r="I4937">
        <f>ROUND(CompilDonnées[[#This Row],[CultureDuration_days]]/7,0)</f>
        <v>6</v>
      </c>
      <c r="J4937">
        <v>2751</v>
      </c>
      <c r="K4937" t="str">
        <f>_xlfn.CONCAT(WEEKNUM(CompilDonnées[[#This Row],[PlantationDate]]), " ", YEAR(CompilDonnées[[#This Row],[PlantationDate]]))</f>
        <v>38 2025</v>
      </c>
      <c r="L4937" t="str">
        <f>CONCATENATE(MONTH(CompilDonnées[[#This Row],[PlantationDate]])," ", YEAR(CompilDonnées[[#This Row],[PlantationDate]]))</f>
        <v>9 2025</v>
      </c>
      <c r="M4937" t="str">
        <f>CONCATENATE(MONTH(CompilDonnées[[#This Row],[HarvestingDate]])," ", YEAR(CompilDonnées[[#This Row],[HarvestingDate]]))</f>
        <v>10 2025</v>
      </c>
      <c r="N4937">
        <f>_xlfn.NUMBERVALUE(CompilDonnées[[#This Row],[FarmID]]&amp;CompilDonnées[[#This Row],[ModuleNumber]]&amp;CompilDonnées[[#This Row],[PlantationDate]])</f>
        <v>17645916</v>
      </c>
      <c r="O4937" t="str">
        <f>CompilDonnées[[#This Row],[FarmID]]&amp;CompilDonnées[[#This Row],[ModuleNumber]]</f>
        <v>176</v>
      </c>
      <c r="P4937" t="str">
        <f>CompilDonnées[[#This Row],[Ref_Module]]&amp;CompilDonnées[[#This Row],[HarvestingDate]]</f>
        <v>17645957</v>
      </c>
    </row>
    <row r="4938" spans="1:16">
      <c r="A4938" s="5">
        <v>45916</v>
      </c>
      <c r="B4938">
        <v>16</v>
      </c>
      <c r="C4938" t="s">
        <v>112</v>
      </c>
      <c r="D4938">
        <v>1</v>
      </c>
      <c r="E4938">
        <v>100</v>
      </c>
      <c r="F4938" t="s">
        <v>1</v>
      </c>
      <c r="G4938" s="6">
        <v>45971</v>
      </c>
      <c r="H4938">
        <v>55</v>
      </c>
      <c r="I4938">
        <f>ROUND(CompilDonnées[[#This Row],[CultureDuration_days]]/7,0)</f>
        <v>8</v>
      </c>
      <c r="J4938">
        <v>1604</v>
      </c>
      <c r="K4938" t="str">
        <f>_xlfn.CONCAT(WEEKNUM(CompilDonnées[[#This Row],[PlantationDate]]), " ", YEAR(CompilDonnées[[#This Row],[PlantationDate]]))</f>
        <v>38 2025</v>
      </c>
      <c r="L4938" t="str">
        <f>CONCATENATE(MONTH(CompilDonnées[[#This Row],[PlantationDate]])," ", YEAR(CompilDonnées[[#This Row],[PlantationDate]]))</f>
        <v>9 2025</v>
      </c>
      <c r="M4938" t="str">
        <f>CONCATENATE(MONTH(CompilDonnées[[#This Row],[HarvestingDate]])," ", YEAR(CompilDonnées[[#This Row],[HarvestingDate]]))</f>
        <v>11 2025</v>
      </c>
      <c r="N4938">
        <f>_xlfn.NUMBERVALUE(CompilDonnées[[#This Row],[FarmID]]&amp;CompilDonnées[[#This Row],[ModuleNumber]]&amp;CompilDonnées[[#This Row],[PlantationDate]])</f>
        <v>16145916</v>
      </c>
      <c r="O4938" t="str">
        <f>CompilDonnées[[#This Row],[FarmID]]&amp;CompilDonnées[[#This Row],[ModuleNumber]]</f>
        <v>161</v>
      </c>
      <c r="P4938" t="str">
        <f>CompilDonnées[[#This Row],[Ref_Module]]&amp;CompilDonnées[[#This Row],[HarvestingDate]]</f>
        <v>16145971</v>
      </c>
    </row>
    <row r="4939" spans="1:16">
      <c r="A4939" s="5">
        <v>45916</v>
      </c>
      <c r="B4939">
        <v>24</v>
      </c>
      <c r="C4939" t="s">
        <v>31</v>
      </c>
      <c r="D4939">
        <v>5</v>
      </c>
      <c r="E4939">
        <v>100</v>
      </c>
      <c r="F4939" t="s">
        <v>1</v>
      </c>
      <c r="G4939" s="6">
        <v>45957</v>
      </c>
      <c r="H4939">
        <v>41</v>
      </c>
      <c r="I4939">
        <f>ROUND(CompilDonnées[[#This Row],[CultureDuration_days]]/7,0)</f>
        <v>6</v>
      </c>
      <c r="J4939">
        <v>3297</v>
      </c>
      <c r="K4939" t="str">
        <f>_xlfn.CONCAT(WEEKNUM(CompilDonnées[[#This Row],[PlantationDate]]), " ", YEAR(CompilDonnées[[#This Row],[PlantationDate]]))</f>
        <v>38 2025</v>
      </c>
      <c r="L4939" t="str">
        <f>CONCATENATE(MONTH(CompilDonnées[[#This Row],[PlantationDate]])," ", YEAR(CompilDonnées[[#This Row],[PlantationDate]]))</f>
        <v>9 2025</v>
      </c>
      <c r="M4939" t="str">
        <f>CONCATENATE(MONTH(CompilDonnées[[#This Row],[HarvestingDate]])," ", YEAR(CompilDonnées[[#This Row],[HarvestingDate]]))</f>
        <v>10 2025</v>
      </c>
      <c r="N4939">
        <f>_xlfn.NUMBERVALUE(CompilDonnées[[#This Row],[FarmID]]&amp;CompilDonnées[[#This Row],[ModuleNumber]]&amp;CompilDonnées[[#This Row],[PlantationDate]])</f>
        <v>24545916</v>
      </c>
      <c r="O4939" t="str">
        <f>CompilDonnées[[#This Row],[FarmID]]&amp;CompilDonnées[[#This Row],[ModuleNumber]]</f>
        <v>245</v>
      </c>
      <c r="P4939" t="str">
        <f>CompilDonnées[[#This Row],[Ref_Module]]&amp;CompilDonnées[[#This Row],[HarvestingDate]]</f>
        <v>24545957</v>
      </c>
    </row>
    <row r="4940" spans="1:16">
      <c r="A4940" s="5">
        <v>45916</v>
      </c>
      <c r="B4940">
        <v>23</v>
      </c>
      <c r="C4940" t="s">
        <v>44</v>
      </c>
      <c r="D4940">
        <v>1</v>
      </c>
      <c r="E4940">
        <v>100</v>
      </c>
      <c r="F4940" t="s">
        <v>1</v>
      </c>
      <c r="G4940" s="6">
        <v>45957</v>
      </c>
      <c r="H4940">
        <v>41</v>
      </c>
      <c r="I4940">
        <f>ROUND(CompilDonnées[[#This Row],[CultureDuration_days]]/7,0)</f>
        <v>6</v>
      </c>
      <c r="J4940">
        <v>1492</v>
      </c>
      <c r="K4940" t="str">
        <f>_xlfn.CONCAT(WEEKNUM(CompilDonnées[[#This Row],[PlantationDate]]), " ", YEAR(CompilDonnées[[#This Row],[PlantationDate]]))</f>
        <v>38 2025</v>
      </c>
      <c r="L4940" t="str">
        <f>CONCATENATE(MONTH(CompilDonnées[[#This Row],[PlantationDate]])," ", YEAR(CompilDonnées[[#This Row],[PlantationDate]]))</f>
        <v>9 2025</v>
      </c>
      <c r="M4940" t="str">
        <f>CONCATENATE(MONTH(CompilDonnées[[#This Row],[HarvestingDate]])," ", YEAR(CompilDonnées[[#This Row],[HarvestingDate]]))</f>
        <v>10 2025</v>
      </c>
      <c r="N4940">
        <f>_xlfn.NUMBERVALUE(CompilDonnées[[#This Row],[FarmID]]&amp;CompilDonnées[[#This Row],[ModuleNumber]]&amp;CompilDonnées[[#This Row],[PlantationDate]])</f>
        <v>23145916</v>
      </c>
      <c r="O4940" t="str">
        <f>CompilDonnées[[#This Row],[FarmID]]&amp;CompilDonnées[[#This Row],[ModuleNumber]]</f>
        <v>231</v>
      </c>
      <c r="P4940" t="str">
        <f>CompilDonnées[[#This Row],[Ref_Module]]&amp;CompilDonnées[[#This Row],[HarvestingDate]]</f>
        <v>23145957</v>
      </c>
    </row>
    <row r="4941" spans="1:16">
      <c r="A4941" s="5">
        <v>45916</v>
      </c>
      <c r="B4941">
        <v>22</v>
      </c>
      <c r="C4941" t="s">
        <v>43</v>
      </c>
      <c r="D4941">
        <v>5</v>
      </c>
      <c r="E4941">
        <v>100</v>
      </c>
      <c r="F4941" t="s">
        <v>1</v>
      </c>
      <c r="G4941" s="6">
        <v>45966</v>
      </c>
      <c r="H4941">
        <v>50</v>
      </c>
      <c r="I4941">
        <f>ROUND(CompilDonnées[[#This Row],[CultureDuration_days]]/7,0)</f>
        <v>7</v>
      </c>
      <c r="J4941">
        <v>2421</v>
      </c>
      <c r="K4941" t="str">
        <f>_xlfn.CONCAT(WEEKNUM(CompilDonnées[[#This Row],[PlantationDate]]), " ", YEAR(CompilDonnées[[#This Row],[PlantationDate]]))</f>
        <v>38 2025</v>
      </c>
      <c r="L4941" t="str">
        <f>CONCATENATE(MONTH(CompilDonnées[[#This Row],[PlantationDate]])," ", YEAR(CompilDonnées[[#This Row],[PlantationDate]]))</f>
        <v>9 2025</v>
      </c>
      <c r="M4941" t="str">
        <f>CONCATENATE(MONTH(CompilDonnées[[#This Row],[HarvestingDate]])," ", YEAR(CompilDonnées[[#This Row],[HarvestingDate]]))</f>
        <v>11 2025</v>
      </c>
      <c r="N4941">
        <f>_xlfn.NUMBERVALUE(CompilDonnées[[#This Row],[FarmID]]&amp;CompilDonnées[[#This Row],[ModuleNumber]]&amp;CompilDonnées[[#This Row],[PlantationDate]])</f>
        <v>22545916</v>
      </c>
      <c r="O4941" t="str">
        <f>CompilDonnées[[#This Row],[FarmID]]&amp;CompilDonnées[[#This Row],[ModuleNumber]]</f>
        <v>225</v>
      </c>
      <c r="P4941" t="str">
        <f>CompilDonnées[[#This Row],[Ref_Module]]&amp;CompilDonnées[[#This Row],[HarvestingDate]]</f>
        <v>22545966</v>
      </c>
    </row>
    <row r="4942" spans="1:16">
      <c r="A4942" s="5">
        <v>45916</v>
      </c>
      <c r="B4942">
        <v>21</v>
      </c>
      <c r="C4942" t="s">
        <v>0</v>
      </c>
      <c r="D4942">
        <v>5</v>
      </c>
      <c r="E4942">
        <v>100</v>
      </c>
      <c r="F4942" t="s">
        <v>1</v>
      </c>
      <c r="G4942" s="6">
        <v>45957</v>
      </c>
      <c r="H4942">
        <v>41</v>
      </c>
      <c r="I4942">
        <f>ROUND(CompilDonnées[[#This Row],[CultureDuration_days]]/7,0)</f>
        <v>6</v>
      </c>
      <c r="J4942">
        <v>1656</v>
      </c>
      <c r="K4942" t="str">
        <f>_xlfn.CONCAT(WEEKNUM(CompilDonnées[[#This Row],[PlantationDate]]), " ", YEAR(CompilDonnées[[#This Row],[PlantationDate]]))</f>
        <v>38 2025</v>
      </c>
      <c r="L4942" t="str">
        <f>CONCATENATE(MONTH(CompilDonnées[[#This Row],[PlantationDate]])," ", YEAR(CompilDonnées[[#This Row],[PlantationDate]]))</f>
        <v>9 2025</v>
      </c>
      <c r="M4942" t="str">
        <f>CONCATENATE(MONTH(CompilDonnées[[#This Row],[HarvestingDate]])," ", YEAR(CompilDonnées[[#This Row],[HarvestingDate]]))</f>
        <v>10 2025</v>
      </c>
      <c r="N4942">
        <f>_xlfn.NUMBERVALUE(CompilDonnées[[#This Row],[FarmID]]&amp;CompilDonnées[[#This Row],[ModuleNumber]]&amp;CompilDonnées[[#This Row],[PlantationDate]])</f>
        <v>21545916</v>
      </c>
      <c r="O4942" t="str">
        <f>CompilDonnées[[#This Row],[FarmID]]&amp;CompilDonnées[[#This Row],[ModuleNumber]]</f>
        <v>215</v>
      </c>
      <c r="P4942" t="str">
        <f>CompilDonnées[[#This Row],[Ref_Module]]&amp;CompilDonnées[[#This Row],[HarvestingDate]]</f>
        <v>21545957</v>
      </c>
    </row>
    <row r="4943" spans="1:16">
      <c r="A4943" s="5">
        <v>45916</v>
      </c>
      <c r="B4943">
        <v>32</v>
      </c>
      <c r="C4943" t="s">
        <v>25</v>
      </c>
      <c r="D4943">
        <v>5</v>
      </c>
      <c r="E4943">
        <v>100</v>
      </c>
      <c r="F4943" t="s">
        <v>1</v>
      </c>
      <c r="G4943" s="6">
        <v>45958</v>
      </c>
      <c r="H4943">
        <v>42</v>
      </c>
      <c r="I4943">
        <f>ROUND(CompilDonnées[[#This Row],[CultureDuration_days]]/7,0)</f>
        <v>6</v>
      </c>
      <c r="J4943">
        <v>3067</v>
      </c>
      <c r="K4943" t="str">
        <f>_xlfn.CONCAT(WEEKNUM(CompilDonnées[[#This Row],[PlantationDate]]), " ", YEAR(CompilDonnées[[#This Row],[PlantationDate]]))</f>
        <v>38 2025</v>
      </c>
      <c r="L4943" t="str">
        <f>CONCATENATE(MONTH(CompilDonnées[[#This Row],[PlantationDate]])," ", YEAR(CompilDonnées[[#This Row],[PlantationDate]]))</f>
        <v>9 2025</v>
      </c>
      <c r="M4943" t="str">
        <f>CONCATENATE(MONTH(CompilDonnées[[#This Row],[HarvestingDate]])," ", YEAR(CompilDonnées[[#This Row],[HarvestingDate]]))</f>
        <v>10 2025</v>
      </c>
      <c r="N4943">
        <f>_xlfn.NUMBERVALUE(CompilDonnées[[#This Row],[FarmID]]&amp;CompilDonnées[[#This Row],[ModuleNumber]]&amp;CompilDonnées[[#This Row],[PlantationDate]])</f>
        <v>32545916</v>
      </c>
      <c r="O4943" t="str">
        <f>CompilDonnées[[#This Row],[FarmID]]&amp;CompilDonnées[[#This Row],[ModuleNumber]]</f>
        <v>325</v>
      </c>
      <c r="P4943" t="str">
        <f>CompilDonnées[[#This Row],[Ref_Module]]&amp;CompilDonnées[[#This Row],[HarvestingDate]]</f>
        <v>32545958</v>
      </c>
    </row>
    <row r="4944" spans="1:16">
      <c r="A4944" s="5">
        <v>45916</v>
      </c>
      <c r="B4944">
        <v>31</v>
      </c>
      <c r="C4944" t="s">
        <v>62</v>
      </c>
      <c r="D4944">
        <v>5</v>
      </c>
      <c r="E4944">
        <v>100</v>
      </c>
      <c r="F4944" t="s">
        <v>1</v>
      </c>
      <c r="G4944" s="6">
        <v>45966</v>
      </c>
      <c r="H4944">
        <v>50</v>
      </c>
      <c r="I4944">
        <f>ROUND(CompilDonnées[[#This Row],[CultureDuration_days]]/7,0)</f>
        <v>7</v>
      </c>
      <c r="J4944">
        <v>2528</v>
      </c>
      <c r="K4944" t="str">
        <f>_xlfn.CONCAT(WEEKNUM(CompilDonnées[[#This Row],[PlantationDate]]), " ", YEAR(CompilDonnées[[#This Row],[PlantationDate]]))</f>
        <v>38 2025</v>
      </c>
      <c r="L4944" t="str">
        <f>CONCATENATE(MONTH(CompilDonnées[[#This Row],[PlantationDate]])," ", YEAR(CompilDonnées[[#This Row],[PlantationDate]]))</f>
        <v>9 2025</v>
      </c>
      <c r="M4944" t="str">
        <f>CONCATENATE(MONTH(CompilDonnées[[#This Row],[HarvestingDate]])," ", YEAR(CompilDonnées[[#This Row],[HarvestingDate]]))</f>
        <v>11 2025</v>
      </c>
      <c r="N4944">
        <f>_xlfn.NUMBERVALUE(CompilDonnées[[#This Row],[FarmID]]&amp;CompilDonnées[[#This Row],[ModuleNumber]]&amp;CompilDonnées[[#This Row],[PlantationDate]])</f>
        <v>31545916</v>
      </c>
      <c r="O4944" t="str">
        <f>CompilDonnées[[#This Row],[FarmID]]&amp;CompilDonnées[[#This Row],[ModuleNumber]]</f>
        <v>315</v>
      </c>
      <c r="P4944" t="str">
        <f>CompilDonnées[[#This Row],[Ref_Module]]&amp;CompilDonnées[[#This Row],[HarvestingDate]]</f>
        <v>31545966</v>
      </c>
    </row>
    <row r="4945" spans="1:16">
      <c r="A4945" s="5">
        <v>45916</v>
      </c>
      <c r="B4945">
        <v>38</v>
      </c>
      <c r="C4945" t="s">
        <v>34</v>
      </c>
      <c r="D4945">
        <v>6</v>
      </c>
      <c r="E4945">
        <v>100</v>
      </c>
      <c r="F4945" t="s">
        <v>1</v>
      </c>
      <c r="G4945" s="6">
        <v>45957</v>
      </c>
      <c r="H4945">
        <v>41</v>
      </c>
      <c r="I4945">
        <f>ROUND(CompilDonnées[[#This Row],[CultureDuration_days]]/7,0)</f>
        <v>6</v>
      </c>
      <c r="J4945">
        <v>3152</v>
      </c>
      <c r="K4945" t="str">
        <f>_xlfn.CONCAT(WEEKNUM(CompilDonnées[[#This Row],[PlantationDate]]), " ", YEAR(CompilDonnées[[#This Row],[PlantationDate]]))</f>
        <v>38 2025</v>
      </c>
      <c r="L4945" t="str">
        <f>CONCATENATE(MONTH(CompilDonnées[[#This Row],[PlantationDate]])," ", YEAR(CompilDonnées[[#This Row],[PlantationDate]]))</f>
        <v>9 2025</v>
      </c>
      <c r="M4945" t="str">
        <f>CONCATENATE(MONTH(CompilDonnées[[#This Row],[HarvestingDate]])," ", YEAR(CompilDonnées[[#This Row],[HarvestingDate]]))</f>
        <v>10 2025</v>
      </c>
      <c r="N4945">
        <f>_xlfn.NUMBERVALUE(CompilDonnées[[#This Row],[FarmID]]&amp;CompilDonnées[[#This Row],[ModuleNumber]]&amp;CompilDonnées[[#This Row],[PlantationDate]])</f>
        <v>38645916</v>
      </c>
      <c r="O4945" t="str">
        <f>CompilDonnées[[#This Row],[FarmID]]&amp;CompilDonnées[[#This Row],[ModuleNumber]]</f>
        <v>386</v>
      </c>
      <c r="P4945" t="str">
        <f>CompilDonnées[[#This Row],[Ref_Module]]&amp;CompilDonnées[[#This Row],[HarvestingDate]]</f>
        <v>38645957</v>
      </c>
    </row>
    <row r="4946" spans="1:16">
      <c r="A4946" s="5">
        <v>45916</v>
      </c>
      <c r="B4946">
        <v>37</v>
      </c>
      <c r="C4946" t="s">
        <v>26</v>
      </c>
      <c r="D4946">
        <v>4</v>
      </c>
      <c r="E4946">
        <v>100</v>
      </c>
      <c r="F4946" t="s">
        <v>1</v>
      </c>
      <c r="G4946" s="6">
        <v>45957</v>
      </c>
      <c r="H4946">
        <v>41</v>
      </c>
      <c r="I4946">
        <f>ROUND(CompilDonnées[[#This Row],[CultureDuration_days]]/7,0)</f>
        <v>6</v>
      </c>
      <c r="J4946">
        <v>2230</v>
      </c>
      <c r="K4946" t="str">
        <f>_xlfn.CONCAT(WEEKNUM(CompilDonnées[[#This Row],[PlantationDate]]), " ", YEAR(CompilDonnées[[#This Row],[PlantationDate]]))</f>
        <v>38 2025</v>
      </c>
      <c r="L4946" t="str">
        <f>CONCATENATE(MONTH(CompilDonnées[[#This Row],[PlantationDate]])," ", YEAR(CompilDonnées[[#This Row],[PlantationDate]]))</f>
        <v>9 2025</v>
      </c>
      <c r="M4946" t="str">
        <f>CONCATENATE(MONTH(CompilDonnées[[#This Row],[HarvestingDate]])," ", YEAR(CompilDonnées[[#This Row],[HarvestingDate]]))</f>
        <v>10 2025</v>
      </c>
      <c r="N4946">
        <f>_xlfn.NUMBERVALUE(CompilDonnées[[#This Row],[FarmID]]&amp;CompilDonnées[[#This Row],[ModuleNumber]]&amp;CompilDonnées[[#This Row],[PlantationDate]])</f>
        <v>37445916</v>
      </c>
      <c r="O4946" t="str">
        <f>CompilDonnées[[#This Row],[FarmID]]&amp;CompilDonnées[[#This Row],[ModuleNumber]]</f>
        <v>374</v>
      </c>
      <c r="P4946" t="str">
        <f>CompilDonnées[[#This Row],[Ref_Module]]&amp;CompilDonnées[[#This Row],[HarvestingDate]]</f>
        <v>37445957</v>
      </c>
    </row>
    <row r="4947" spans="1:16">
      <c r="A4947" s="5">
        <v>45916</v>
      </c>
      <c r="B4947">
        <v>44</v>
      </c>
      <c r="C4947" t="s">
        <v>42</v>
      </c>
      <c r="D4947">
        <v>6</v>
      </c>
      <c r="E4947">
        <v>100</v>
      </c>
      <c r="F4947" t="s">
        <v>1</v>
      </c>
      <c r="G4947" s="6">
        <v>45966</v>
      </c>
      <c r="H4947">
        <v>50</v>
      </c>
      <c r="I4947">
        <f>ROUND(CompilDonnées[[#This Row],[CultureDuration_days]]/7,0)</f>
        <v>7</v>
      </c>
      <c r="J4947">
        <v>3672</v>
      </c>
      <c r="K4947" t="str">
        <f>_xlfn.CONCAT(WEEKNUM(CompilDonnées[[#This Row],[PlantationDate]]), " ", YEAR(CompilDonnées[[#This Row],[PlantationDate]]))</f>
        <v>38 2025</v>
      </c>
      <c r="L4947" t="str">
        <f>CONCATENATE(MONTH(CompilDonnées[[#This Row],[PlantationDate]])," ", YEAR(CompilDonnées[[#This Row],[PlantationDate]]))</f>
        <v>9 2025</v>
      </c>
      <c r="M4947" t="str">
        <f>CONCATENATE(MONTH(CompilDonnées[[#This Row],[HarvestingDate]])," ", YEAR(CompilDonnées[[#This Row],[HarvestingDate]]))</f>
        <v>11 2025</v>
      </c>
      <c r="N4947">
        <f>_xlfn.NUMBERVALUE(CompilDonnées[[#This Row],[FarmID]]&amp;CompilDonnées[[#This Row],[ModuleNumber]]&amp;CompilDonnées[[#This Row],[PlantationDate]])</f>
        <v>44645916</v>
      </c>
      <c r="O4947" t="str">
        <f>CompilDonnées[[#This Row],[FarmID]]&amp;CompilDonnées[[#This Row],[ModuleNumber]]</f>
        <v>446</v>
      </c>
      <c r="P4947" t="str">
        <f>CompilDonnées[[#This Row],[Ref_Module]]&amp;CompilDonnées[[#This Row],[HarvestingDate]]</f>
        <v>44645966</v>
      </c>
    </row>
    <row r="4948" spans="1:16">
      <c r="A4948" s="5">
        <v>45916</v>
      </c>
      <c r="B4948">
        <v>41</v>
      </c>
      <c r="C4948" t="s">
        <v>70</v>
      </c>
      <c r="D4948">
        <v>6</v>
      </c>
      <c r="E4948">
        <v>100</v>
      </c>
      <c r="F4948" t="s">
        <v>1</v>
      </c>
      <c r="G4948" s="6">
        <v>45966</v>
      </c>
      <c r="H4948">
        <v>50</v>
      </c>
      <c r="I4948">
        <f>ROUND(CompilDonnées[[#This Row],[CultureDuration_days]]/7,0)</f>
        <v>7</v>
      </c>
      <c r="J4948">
        <v>3835</v>
      </c>
      <c r="K4948" t="str">
        <f>_xlfn.CONCAT(WEEKNUM(CompilDonnées[[#This Row],[PlantationDate]]), " ", YEAR(CompilDonnées[[#This Row],[PlantationDate]]))</f>
        <v>38 2025</v>
      </c>
      <c r="L4948" t="str">
        <f>CONCATENATE(MONTH(CompilDonnées[[#This Row],[PlantationDate]])," ", YEAR(CompilDonnées[[#This Row],[PlantationDate]]))</f>
        <v>9 2025</v>
      </c>
      <c r="M4948" t="str">
        <f>CONCATENATE(MONTH(CompilDonnées[[#This Row],[HarvestingDate]])," ", YEAR(CompilDonnées[[#This Row],[HarvestingDate]]))</f>
        <v>11 2025</v>
      </c>
      <c r="N4948">
        <f>_xlfn.NUMBERVALUE(CompilDonnées[[#This Row],[FarmID]]&amp;CompilDonnées[[#This Row],[ModuleNumber]]&amp;CompilDonnées[[#This Row],[PlantationDate]])</f>
        <v>41645916</v>
      </c>
      <c r="O4948" t="str">
        <f>CompilDonnées[[#This Row],[FarmID]]&amp;CompilDonnées[[#This Row],[ModuleNumber]]</f>
        <v>416</v>
      </c>
      <c r="P4948" t="str">
        <f>CompilDonnées[[#This Row],[Ref_Module]]&amp;CompilDonnées[[#This Row],[HarvestingDate]]</f>
        <v>41645966</v>
      </c>
    </row>
    <row r="4949" spans="1:16">
      <c r="A4949" s="5">
        <v>45916</v>
      </c>
      <c r="B4949">
        <v>42</v>
      </c>
      <c r="C4949" t="s">
        <v>119</v>
      </c>
      <c r="D4949">
        <v>5</v>
      </c>
      <c r="E4949">
        <v>100</v>
      </c>
      <c r="F4949" t="s">
        <v>1</v>
      </c>
      <c r="G4949" s="6">
        <v>45966</v>
      </c>
      <c r="H4949">
        <v>50</v>
      </c>
      <c r="I4949">
        <f>ROUND(CompilDonnées[[#This Row],[CultureDuration_days]]/7,0)</f>
        <v>7</v>
      </c>
      <c r="J4949">
        <v>1930</v>
      </c>
      <c r="K4949" t="str">
        <f>_xlfn.CONCAT(WEEKNUM(CompilDonnées[[#This Row],[PlantationDate]]), " ", YEAR(CompilDonnées[[#This Row],[PlantationDate]]))</f>
        <v>38 2025</v>
      </c>
      <c r="L4949" t="str">
        <f>CONCATENATE(MONTH(CompilDonnées[[#This Row],[PlantationDate]])," ", YEAR(CompilDonnées[[#This Row],[PlantationDate]]))</f>
        <v>9 2025</v>
      </c>
      <c r="M4949" t="str">
        <f>CONCATENATE(MONTH(CompilDonnées[[#This Row],[HarvestingDate]])," ", YEAR(CompilDonnées[[#This Row],[HarvestingDate]]))</f>
        <v>11 2025</v>
      </c>
      <c r="N4949">
        <f>_xlfn.NUMBERVALUE(CompilDonnées[[#This Row],[FarmID]]&amp;CompilDonnées[[#This Row],[ModuleNumber]]&amp;CompilDonnées[[#This Row],[PlantationDate]])</f>
        <v>42545916</v>
      </c>
      <c r="O4949" t="str">
        <f>CompilDonnées[[#This Row],[FarmID]]&amp;CompilDonnées[[#This Row],[ModuleNumber]]</f>
        <v>425</v>
      </c>
      <c r="P4949" t="str">
        <f>CompilDonnées[[#This Row],[Ref_Module]]&amp;CompilDonnées[[#This Row],[HarvestingDate]]</f>
        <v>42545966</v>
      </c>
    </row>
    <row r="4950" spans="1:16">
      <c r="A4950" s="5">
        <v>45916</v>
      </c>
      <c r="B4950">
        <v>10</v>
      </c>
      <c r="C4950" t="s">
        <v>109</v>
      </c>
      <c r="D4950">
        <v>1</v>
      </c>
      <c r="E4950">
        <v>100</v>
      </c>
      <c r="F4950" t="s">
        <v>1</v>
      </c>
      <c r="G4950" s="6">
        <v>45957</v>
      </c>
      <c r="H4950">
        <v>41</v>
      </c>
      <c r="I4950">
        <f>ROUND(CompilDonnées[[#This Row],[CultureDuration_days]]/7,0)</f>
        <v>6</v>
      </c>
      <c r="J4950">
        <v>2507</v>
      </c>
      <c r="K4950" t="str">
        <f>_xlfn.CONCAT(WEEKNUM(CompilDonnées[[#This Row],[PlantationDate]]), " ", YEAR(CompilDonnées[[#This Row],[PlantationDate]]))</f>
        <v>38 2025</v>
      </c>
      <c r="L4950" t="str">
        <f>CONCATENATE(MONTH(CompilDonnées[[#This Row],[PlantationDate]])," ", YEAR(CompilDonnées[[#This Row],[PlantationDate]]))</f>
        <v>9 2025</v>
      </c>
      <c r="M4950" t="str">
        <f>CONCATENATE(MONTH(CompilDonnées[[#This Row],[HarvestingDate]])," ", YEAR(CompilDonnées[[#This Row],[HarvestingDate]]))</f>
        <v>10 2025</v>
      </c>
      <c r="N4950">
        <f>_xlfn.NUMBERVALUE(CompilDonnées[[#This Row],[FarmID]]&amp;CompilDonnées[[#This Row],[ModuleNumber]]&amp;CompilDonnées[[#This Row],[PlantationDate]])</f>
        <v>10145916</v>
      </c>
      <c r="O4950" t="str">
        <f>CompilDonnées[[#This Row],[FarmID]]&amp;CompilDonnées[[#This Row],[ModuleNumber]]</f>
        <v>101</v>
      </c>
      <c r="P4950" t="str">
        <f>CompilDonnées[[#This Row],[Ref_Module]]&amp;CompilDonnées[[#This Row],[HarvestingDate]]</f>
        <v>10145957</v>
      </c>
    </row>
    <row r="4951" spans="1:16">
      <c r="A4951" s="5">
        <v>45916</v>
      </c>
      <c r="B4951">
        <v>9</v>
      </c>
      <c r="C4951" t="s">
        <v>107</v>
      </c>
      <c r="D4951">
        <v>1</v>
      </c>
      <c r="E4951">
        <v>100</v>
      </c>
      <c r="F4951" t="s">
        <v>1</v>
      </c>
      <c r="G4951" s="6">
        <v>45957</v>
      </c>
      <c r="H4951">
        <v>41</v>
      </c>
      <c r="I4951">
        <f>ROUND(CompilDonnées[[#This Row],[CultureDuration_days]]/7,0)</f>
        <v>6</v>
      </c>
      <c r="J4951">
        <v>2350</v>
      </c>
      <c r="K4951" t="str">
        <f>_xlfn.CONCAT(WEEKNUM(CompilDonnées[[#This Row],[PlantationDate]]), " ", YEAR(CompilDonnées[[#This Row],[PlantationDate]]))</f>
        <v>38 2025</v>
      </c>
      <c r="L4951" t="str">
        <f>CONCATENATE(MONTH(CompilDonnées[[#This Row],[PlantationDate]])," ", YEAR(CompilDonnées[[#This Row],[PlantationDate]]))</f>
        <v>9 2025</v>
      </c>
      <c r="M4951" t="str">
        <f>CONCATENATE(MONTH(CompilDonnées[[#This Row],[HarvestingDate]])," ", YEAR(CompilDonnées[[#This Row],[HarvestingDate]]))</f>
        <v>10 2025</v>
      </c>
      <c r="N4951">
        <f>_xlfn.NUMBERVALUE(CompilDonnées[[#This Row],[FarmID]]&amp;CompilDonnées[[#This Row],[ModuleNumber]]&amp;CompilDonnées[[#This Row],[PlantationDate]])</f>
        <v>9145916</v>
      </c>
      <c r="O4951" t="str">
        <f>CompilDonnées[[#This Row],[FarmID]]&amp;CompilDonnées[[#This Row],[ModuleNumber]]</f>
        <v>91</v>
      </c>
      <c r="P4951" t="str">
        <f>CompilDonnées[[#This Row],[Ref_Module]]&amp;CompilDonnées[[#This Row],[HarvestingDate]]</f>
        <v>9145957</v>
      </c>
    </row>
    <row r="4952" spans="1:16">
      <c r="A4952" s="5">
        <v>45916</v>
      </c>
      <c r="B4952">
        <v>1</v>
      </c>
      <c r="C4952" t="s">
        <v>111</v>
      </c>
      <c r="D4952">
        <v>1</v>
      </c>
      <c r="E4952">
        <v>100</v>
      </c>
      <c r="F4952" t="s">
        <v>1</v>
      </c>
      <c r="G4952" s="6">
        <v>45966</v>
      </c>
      <c r="H4952">
        <v>50</v>
      </c>
      <c r="I4952">
        <f>ROUND(CompilDonnées[[#This Row],[CultureDuration_days]]/7,0)</f>
        <v>7</v>
      </c>
      <c r="J4952">
        <v>2763</v>
      </c>
      <c r="K4952" t="str">
        <f>_xlfn.CONCAT(WEEKNUM(CompilDonnées[[#This Row],[PlantationDate]]), " ", YEAR(CompilDonnées[[#This Row],[PlantationDate]]))</f>
        <v>38 2025</v>
      </c>
      <c r="L4952" t="str">
        <f>CONCATENATE(MONTH(CompilDonnées[[#This Row],[PlantationDate]])," ", YEAR(CompilDonnées[[#This Row],[PlantationDate]]))</f>
        <v>9 2025</v>
      </c>
      <c r="M4952" t="str">
        <f>CONCATENATE(MONTH(CompilDonnées[[#This Row],[HarvestingDate]])," ", YEAR(CompilDonnées[[#This Row],[HarvestingDate]]))</f>
        <v>11 2025</v>
      </c>
      <c r="N4952">
        <f>_xlfn.NUMBERVALUE(CompilDonnées[[#This Row],[FarmID]]&amp;CompilDonnées[[#This Row],[ModuleNumber]]&amp;CompilDonnées[[#This Row],[PlantationDate]])</f>
        <v>1145916</v>
      </c>
      <c r="O4952" t="str">
        <f>CompilDonnées[[#This Row],[FarmID]]&amp;CompilDonnées[[#This Row],[ModuleNumber]]</f>
        <v>11</v>
      </c>
      <c r="P4952" t="str">
        <f>CompilDonnées[[#This Row],[Ref_Module]]&amp;CompilDonnées[[#This Row],[HarvestingDate]]</f>
        <v>1145966</v>
      </c>
    </row>
    <row r="4953" spans="1:16">
      <c r="A4953" s="5">
        <v>45916</v>
      </c>
      <c r="B4953">
        <v>7</v>
      </c>
      <c r="C4953" t="s">
        <v>50</v>
      </c>
      <c r="D4953">
        <v>2</v>
      </c>
      <c r="E4953">
        <v>100</v>
      </c>
      <c r="F4953" t="s">
        <v>1</v>
      </c>
      <c r="G4953" s="6">
        <v>45966</v>
      </c>
      <c r="H4953">
        <v>50</v>
      </c>
      <c r="I4953">
        <f>ROUND(CompilDonnées[[#This Row],[CultureDuration_days]]/7,0)</f>
        <v>7</v>
      </c>
      <c r="J4953">
        <v>2450</v>
      </c>
      <c r="K4953" t="str">
        <f>_xlfn.CONCAT(WEEKNUM(CompilDonnées[[#This Row],[PlantationDate]]), " ", YEAR(CompilDonnées[[#This Row],[PlantationDate]]))</f>
        <v>38 2025</v>
      </c>
      <c r="L4953" t="str">
        <f>CONCATENATE(MONTH(CompilDonnées[[#This Row],[PlantationDate]])," ", YEAR(CompilDonnées[[#This Row],[PlantationDate]]))</f>
        <v>9 2025</v>
      </c>
      <c r="M4953" t="str">
        <f>CONCATENATE(MONTH(CompilDonnées[[#This Row],[HarvestingDate]])," ", YEAR(CompilDonnées[[#This Row],[HarvestingDate]]))</f>
        <v>11 2025</v>
      </c>
      <c r="N4953">
        <f>_xlfn.NUMBERVALUE(CompilDonnées[[#This Row],[FarmID]]&amp;CompilDonnées[[#This Row],[ModuleNumber]]&amp;CompilDonnées[[#This Row],[PlantationDate]])</f>
        <v>7245916</v>
      </c>
      <c r="O4953" t="str">
        <f>CompilDonnées[[#This Row],[FarmID]]&amp;CompilDonnées[[#This Row],[ModuleNumber]]</f>
        <v>72</v>
      </c>
      <c r="P4953" t="str">
        <f>CompilDonnées[[#This Row],[Ref_Module]]&amp;CompilDonnées[[#This Row],[HarvestingDate]]</f>
        <v>7245966</v>
      </c>
    </row>
    <row r="4954" spans="1:16">
      <c r="A4954" s="5">
        <v>45916</v>
      </c>
      <c r="B4954">
        <v>13</v>
      </c>
      <c r="C4954" t="s">
        <v>114</v>
      </c>
      <c r="D4954">
        <v>4</v>
      </c>
      <c r="E4954">
        <v>100</v>
      </c>
      <c r="F4954" t="s">
        <v>1</v>
      </c>
      <c r="G4954" s="6">
        <v>45954</v>
      </c>
      <c r="H4954">
        <v>38</v>
      </c>
      <c r="I4954">
        <f>ROUND(CompilDonnées[[#This Row],[CultureDuration_days]]/7,0)</f>
        <v>5</v>
      </c>
      <c r="J4954">
        <v>2928</v>
      </c>
      <c r="K4954" t="str">
        <f>_xlfn.CONCAT(WEEKNUM(CompilDonnées[[#This Row],[PlantationDate]]), " ", YEAR(CompilDonnées[[#This Row],[PlantationDate]]))</f>
        <v>38 2025</v>
      </c>
      <c r="L4954" t="str">
        <f>CONCATENATE(MONTH(CompilDonnées[[#This Row],[PlantationDate]])," ", YEAR(CompilDonnées[[#This Row],[PlantationDate]]))</f>
        <v>9 2025</v>
      </c>
      <c r="M4954" t="str">
        <f>CONCATENATE(MONTH(CompilDonnées[[#This Row],[HarvestingDate]])," ", YEAR(CompilDonnées[[#This Row],[HarvestingDate]]))</f>
        <v>10 2025</v>
      </c>
      <c r="N4954">
        <f>_xlfn.NUMBERVALUE(CompilDonnées[[#This Row],[FarmID]]&amp;CompilDonnées[[#This Row],[ModuleNumber]]&amp;CompilDonnées[[#This Row],[PlantationDate]])</f>
        <v>13445916</v>
      </c>
      <c r="O4954" t="str">
        <f>CompilDonnées[[#This Row],[FarmID]]&amp;CompilDonnées[[#This Row],[ModuleNumber]]</f>
        <v>134</v>
      </c>
      <c r="P4954" t="str">
        <f>CompilDonnées[[#This Row],[Ref_Module]]&amp;CompilDonnées[[#This Row],[HarvestingDate]]</f>
        <v>13445954</v>
      </c>
    </row>
    <row r="4955" spans="1:16">
      <c r="A4955" s="5">
        <v>45916</v>
      </c>
      <c r="B4955">
        <v>145</v>
      </c>
      <c r="C4955" t="s">
        <v>3</v>
      </c>
      <c r="D4955">
        <v>3</v>
      </c>
      <c r="E4955">
        <v>60</v>
      </c>
      <c r="F4955" t="s">
        <v>105</v>
      </c>
      <c r="G4955" s="6">
        <v>45957</v>
      </c>
      <c r="H4955">
        <v>41</v>
      </c>
      <c r="I4955">
        <f>ROUND(CompilDonnées[[#This Row],[CultureDuration_days]]/7,0)</f>
        <v>6</v>
      </c>
      <c r="J4955">
        <v>554</v>
      </c>
      <c r="K4955" t="str">
        <f>_xlfn.CONCAT(WEEKNUM(CompilDonnées[[#This Row],[PlantationDate]]), " ", YEAR(CompilDonnées[[#This Row],[PlantationDate]]))</f>
        <v>38 2025</v>
      </c>
      <c r="L4955" t="str">
        <f>CONCATENATE(MONTH(CompilDonnées[[#This Row],[PlantationDate]])," ", YEAR(CompilDonnées[[#This Row],[PlantationDate]]))</f>
        <v>9 2025</v>
      </c>
      <c r="M4955" t="str">
        <f>CONCATENATE(MONTH(CompilDonnées[[#This Row],[HarvestingDate]])," ", YEAR(CompilDonnées[[#This Row],[HarvestingDate]]))</f>
        <v>10 2025</v>
      </c>
      <c r="N4955">
        <f>_xlfn.NUMBERVALUE(CompilDonnées[[#This Row],[FarmID]]&amp;CompilDonnées[[#This Row],[ModuleNumber]]&amp;CompilDonnées[[#This Row],[PlantationDate]])</f>
        <v>145345916</v>
      </c>
      <c r="O4955" t="str">
        <f>CompilDonnées[[#This Row],[FarmID]]&amp;CompilDonnées[[#This Row],[ModuleNumber]]</f>
        <v>1453</v>
      </c>
      <c r="P4955" t="str">
        <f>CompilDonnées[[#This Row],[Ref_Module]]&amp;CompilDonnées[[#This Row],[HarvestingDate]]</f>
        <v>145345957</v>
      </c>
    </row>
    <row r="4956" spans="1:16">
      <c r="A4956" s="5">
        <v>45916</v>
      </c>
      <c r="B4956">
        <v>145</v>
      </c>
      <c r="C4956" t="s">
        <v>3</v>
      </c>
      <c r="D4956">
        <v>4</v>
      </c>
      <c r="E4956">
        <v>60</v>
      </c>
      <c r="F4956" t="s">
        <v>105</v>
      </c>
      <c r="G4956" s="6">
        <v>45957</v>
      </c>
      <c r="H4956">
        <v>41</v>
      </c>
      <c r="I4956">
        <f>ROUND(CompilDonnées[[#This Row],[CultureDuration_days]]/7,0)</f>
        <v>6</v>
      </c>
      <c r="J4956">
        <v>520</v>
      </c>
      <c r="K4956" t="str">
        <f>_xlfn.CONCAT(WEEKNUM(CompilDonnées[[#This Row],[PlantationDate]]), " ", YEAR(CompilDonnées[[#This Row],[PlantationDate]]))</f>
        <v>38 2025</v>
      </c>
      <c r="L4956" t="str">
        <f>CONCATENATE(MONTH(CompilDonnées[[#This Row],[PlantationDate]])," ", YEAR(CompilDonnées[[#This Row],[PlantationDate]]))</f>
        <v>9 2025</v>
      </c>
      <c r="M4956" t="str">
        <f>CONCATENATE(MONTH(CompilDonnées[[#This Row],[HarvestingDate]])," ", YEAR(CompilDonnées[[#This Row],[HarvestingDate]]))</f>
        <v>10 2025</v>
      </c>
      <c r="N4956">
        <f>_xlfn.NUMBERVALUE(CompilDonnées[[#This Row],[FarmID]]&amp;CompilDonnées[[#This Row],[ModuleNumber]]&amp;CompilDonnées[[#This Row],[PlantationDate]])</f>
        <v>145445916</v>
      </c>
      <c r="O4956" t="str">
        <f>CompilDonnées[[#This Row],[FarmID]]&amp;CompilDonnées[[#This Row],[ModuleNumber]]</f>
        <v>1454</v>
      </c>
      <c r="P4956" t="str">
        <f>CompilDonnées[[#This Row],[Ref_Module]]&amp;CompilDonnées[[#This Row],[HarvestingDate]]</f>
        <v>145445957</v>
      </c>
    </row>
    <row r="4957" spans="1:16">
      <c r="A4957" s="5">
        <v>45916</v>
      </c>
      <c r="B4957">
        <v>145</v>
      </c>
      <c r="C4957" t="s">
        <v>3</v>
      </c>
      <c r="D4957">
        <v>5</v>
      </c>
      <c r="E4957">
        <v>60</v>
      </c>
      <c r="F4957" t="s">
        <v>105</v>
      </c>
      <c r="G4957" s="6">
        <v>45957</v>
      </c>
      <c r="H4957">
        <v>41</v>
      </c>
      <c r="I4957">
        <f>ROUND(CompilDonnées[[#This Row],[CultureDuration_days]]/7,0)</f>
        <v>6</v>
      </c>
      <c r="J4957">
        <v>513</v>
      </c>
      <c r="K4957" t="str">
        <f>_xlfn.CONCAT(WEEKNUM(CompilDonnées[[#This Row],[PlantationDate]]), " ", YEAR(CompilDonnées[[#This Row],[PlantationDate]]))</f>
        <v>38 2025</v>
      </c>
      <c r="L4957" t="str">
        <f>CONCATENATE(MONTH(CompilDonnées[[#This Row],[PlantationDate]])," ", YEAR(CompilDonnées[[#This Row],[PlantationDate]]))</f>
        <v>9 2025</v>
      </c>
      <c r="M4957" t="str">
        <f>CONCATENATE(MONTH(CompilDonnées[[#This Row],[HarvestingDate]])," ", YEAR(CompilDonnées[[#This Row],[HarvestingDate]]))</f>
        <v>10 2025</v>
      </c>
      <c r="N4957">
        <f>_xlfn.NUMBERVALUE(CompilDonnées[[#This Row],[FarmID]]&amp;CompilDonnées[[#This Row],[ModuleNumber]]&amp;CompilDonnées[[#This Row],[PlantationDate]])</f>
        <v>145545916</v>
      </c>
      <c r="O4957" t="str">
        <f>CompilDonnées[[#This Row],[FarmID]]&amp;CompilDonnées[[#This Row],[ModuleNumber]]</f>
        <v>1455</v>
      </c>
      <c r="P4957" t="str">
        <f>CompilDonnées[[#This Row],[Ref_Module]]&amp;CompilDonnées[[#This Row],[HarvestingDate]]</f>
        <v>145545957</v>
      </c>
    </row>
    <row r="4958" spans="1:16">
      <c r="A4958" s="5">
        <v>45917</v>
      </c>
      <c r="B4958">
        <v>6</v>
      </c>
      <c r="C4958" t="s">
        <v>24</v>
      </c>
      <c r="D4958">
        <v>3</v>
      </c>
      <c r="E4958">
        <v>100</v>
      </c>
      <c r="F4958" t="s">
        <v>1</v>
      </c>
      <c r="G4958" s="6">
        <v>45966</v>
      </c>
      <c r="H4958">
        <v>49</v>
      </c>
      <c r="I4958">
        <f>ROUND(CompilDonnées[[#This Row],[CultureDuration_days]]/7,0)</f>
        <v>7</v>
      </c>
      <c r="J4958">
        <v>2742</v>
      </c>
      <c r="K4958" t="str">
        <f>_xlfn.CONCAT(WEEKNUM(CompilDonnées[[#This Row],[PlantationDate]]), " ", YEAR(CompilDonnées[[#This Row],[PlantationDate]]))</f>
        <v>38 2025</v>
      </c>
      <c r="L4958" t="str">
        <f>CONCATENATE(MONTH(CompilDonnées[[#This Row],[PlantationDate]])," ", YEAR(CompilDonnées[[#This Row],[PlantationDate]]))</f>
        <v>9 2025</v>
      </c>
      <c r="M4958" t="str">
        <f>CONCATENATE(MONTH(CompilDonnées[[#This Row],[HarvestingDate]])," ", YEAR(CompilDonnées[[#This Row],[HarvestingDate]]))</f>
        <v>11 2025</v>
      </c>
      <c r="N4958">
        <f>_xlfn.NUMBERVALUE(CompilDonnées[[#This Row],[FarmID]]&amp;CompilDonnées[[#This Row],[ModuleNumber]]&amp;CompilDonnées[[#This Row],[PlantationDate]])</f>
        <v>6345917</v>
      </c>
      <c r="O4958" t="str">
        <f>CompilDonnées[[#This Row],[FarmID]]&amp;CompilDonnées[[#This Row],[ModuleNumber]]</f>
        <v>63</v>
      </c>
      <c r="P4958" t="str">
        <f>CompilDonnées[[#This Row],[Ref_Module]]&amp;CompilDonnées[[#This Row],[HarvestingDate]]</f>
        <v>6345966</v>
      </c>
    </row>
    <row r="4959" spans="1:16">
      <c r="A4959" s="5">
        <v>45917</v>
      </c>
      <c r="B4959">
        <v>4</v>
      </c>
      <c r="C4959" t="s">
        <v>74</v>
      </c>
      <c r="D4959">
        <v>4</v>
      </c>
      <c r="E4959">
        <v>100</v>
      </c>
      <c r="F4959" t="s">
        <v>1</v>
      </c>
      <c r="G4959" s="6">
        <v>45966</v>
      </c>
      <c r="H4959">
        <v>49</v>
      </c>
      <c r="I4959">
        <f>ROUND(CompilDonnées[[#This Row],[CultureDuration_days]]/7,0)</f>
        <v>7</v>
      </c>
      <c r="J4959">
        <v>1601</v>
      </c>
      <c r="K4959" t="str">
        <f>_xlfn.CONCAT(WEEKNUM(CompilDonnées[[#This Row],[PlantationDate]]), " ", YEAR(CompilDonnées[[#This Row],[PlantationDate]]))</f>
        <v>38 2025</v>
      </c>
      <c r="L4959" t="str">
        <f>CONCATENATE(MONTH(CompilDonnées[[#This Row],[PlantationDate]])," ", YEAR(CompilDonnées[[#This Row],[PlantationDate]]))</f>
        <v>9 2025</v>
      </c>
      <c r="M4959" t="str">
        <f>CONCATENATE(MONTH(CompilDonnées[[#This Row],[HarvestingDate]])," ", YEAR(CompilDonnées[[#This Row],[HarvestingDate]]))</f>
        <v>11 2025</v>
      </c>
      <c r="N4959">
        <f>_xlfn.NUMBERVALUE(CompilDonnées[[#This Row],[FarmID]]&amp;CompilDonnées[[#This Row],[ModuleNumber]]&amp;CompilDonnées[[#This Row],[PlantationDate]])</f>
        <v>4445917</v>
      </c>
      <c r="O4959" t="str">
        <f>CompilDonnées[[#This Row],[FarmID]]&amp;CompilDonnées[[#This Row],[ModuleNumber]]</f>
        <v>44</v>
      </c>
      <c r="P4959" t="str">
        <f>CompilDonnées[[#This Row],[Ref_Module]]&amp;CompilDonnées[[#This Row],[HarvestingDate]]</f>
        <v>4445966</v>
      </c>
    </row>
    <row r="4960" spans="1:16">
      <c r="A4960" s="5">
        <v>45917</v>
      </c>
      <c r="B4960">
        <v>24</v>
      </c>
      <c r="C4960" t="s">
        <v>31</v>
      </c>
      <c r="D4960">
        <v>6</v>
      </c>
      <c r="E4960">
        <v>100</v>
      </c>
      <c r="F4960" t="s">
        <v>1</v>
      </c>
      <c r="G4960" s="6">
        <v>45957</v>
      </c>
      <c r="H4960">
        <v>40</v>
      </c>
      <c r="I4960">
        <f>ROUND(CompilDonnées[[#This Row],[CultureDuration_days]]/7,0)</f>
        <v>6</v>
      </c>
      <c r="J4960">
        <v>3127</v>
      </c>
      <c r="K4960" t="str">
        <f>_xlfn.CONCAT(WEEKNUM(CompilDonnées[[#This Row],[PlantationDate]]), " ", YEAR(CompilDonnées[[#This Row],[PlantationDate]]))</f>
        <v>38 2025</v>
      </c>
      <c r="L4960" t="str">
        <f>CONCATENATE(MONTH(CompilDonnées[[#This Row],[PlantationDate]])," ", YEAR(CompilDonnées[[#This Row],[PlantationDate]]))</f>
        <v>9 2025</v>
      </c>
      <c r="M4960" t="str">
        <f>CONCATENATE(MONTH(CompilDonnées[[#This Row],[HarvestingDate]])," ", YEAR(CompilDonnées[[#This Row],[HarvestingDate]]))</f>
        <v>10 2025</v>
      </c>
      <c r="N4960">
        <f>_xlfn.NUMBERVALUE(CompilDonnées[[#This Row],[FarmID]]&amp;CompilDonnées[[#This Row],[ModuleNumber]]&amp;CompilDonnées[[#This Row],[PlantationDate]])</f>
        <v>24645917</v>
      </c>
      <c r="O4960" t="str">
        <f>CompilDonnées[[#This Row],[FarmID]]&amp;CompilDonnées[[#This Row],[ModuleNumber]]</f>
        <v>246</v>
      </c>
      <c r="P4960" t="str">
        <f>CompilDonnées[[#This Row],[Ref_Module]]&amp;CompilDonnées[[#This Row],[HarvestingDate]]</f>
        <v>24645957</v>
      </c>
    </row>
    <row r="4961" spans="1:16">
      <c r="A4961" s="5">
        <v>45917</v>
      </c>
      <c r="B4961">
        <v>3</v>
      </c>
      <c r="C4961" t="s">
        <v>116</v>
      </c>
      <c r="D4961">
        <v>3</v>
      </c>
      <c r="E4961">
        <v>100</v>
      </c>
      <c r="F4961" t="s">
        <v>1</v>
      </c>
      <c r="G4961" s="6">
        <v>45957</v>
      </c>
      <c r="H4961">
        <v>40</v>
      </c>
      <c r="I4961">
        <f>ROUND(CompilDonnées[[#This Row],[CultureDuration_days]]/7,0)</f>
        <v>6</v>
      </c>
      <c r="J4961">
        <v>1400</v>
      </c>
      <c r="K4961" t="str">
        <f>_xlfn.CONCAT(WEEKNUM(CompilDonnées[[#This Row],[PlantationDate]]), " ", YEAR(CompilDonnées[[#This Row],[PlantationDate]]))</f>
        <v>38 2025</v>
      </c>
      <c r="L4961" t="str">
        <f>CONCATENATE(MONTH(CompilDonnées[[#This Row],[PlantationDate]])," ", YEAR(CompilDonnées[[#This Row],[PlantationDate]]))</f>
        <v>9 2025</v>
      </c>
      <c r="M4961" t="str">
        <f>CONCATENATE(MONTH(CompilDonnées[[#This Row],[HarvestingDate]])," ", YEAR(CompilDonnées[[#This Row],[HarvestingDate]]))</f>
        <v>10 2025</v>
      </c>
      <c r="N4961">
        <f>_xlfn.NUMBERVALUE(CompilDonnées[[#This Row],[FarmID]]&amp;CompilDonnées[[#This Row],[ModuleNumber]]&amp;CompilDonnées[[#This Row],[PlantationDate]])</f>
        <v>3345917</v>
      </c>
      <c r="O4961" t="str">
        <f>CompilDonnées[[#This Row],[FarmID]]&amp;CompilDonnées[[#This Row],[ModuleNumber]]</f>
        <v>33</v>
      </c>
      <c r="P4961" t="str">
        <f>CompilDonnées[[#This Row],[Ref_Module]]&amp;CompilDonnées[[#This Row],[HarvestingDate]]</f>
        <v>3345957</v>
      </c>
    </row>
    <row r="4962" spans="1:16">
      <c r="A4962" s="5">
        <v>45917</v>
      </c>
      <c r="B4962">
        <v>23</v>
      </c>
      <c r="C4962" t="s">
        <v>44</v>
      </c>
      <c r="D4962">
        <v>2</v>
      </c>
      <c r="E4962">
        <v>100</v>
      </c>
      <c r="F4962" t="s">
        <v>1</v>
      </c>
      <c r="G4962" s="6">
        <v>45966</v>
      </c>
      <c r="H4962">
        <v>49</v>
      </c>
      <c r="I4962">
        <f>ROUND(CompilDonnées[[#This Row],[CultureDuration_days]]/7,0)</f>
        <v>7</v>
      </c>
      <c r="J4962">
        <v>1817</v>
      </c>
      <c r="K4962" t="str">
        <f>_xlfn.CONCAT(WEEKNUM(CompilDonnées[[#This Row],[PlantationDate]]), " ", YEAR(CompilDonnées[[#This Row],[PlantationDate]]))</f>
        <v>38 2025</v>
      </c>
      <c r="L4962" t="str">
        <f>CONCATENATE(MONTH(CompilDonnées[[#This Row],[PlantationDate]])," ", YEAR(CompilDonnées[[#This Row],[PlantationDate]]))</f>
        <v>9 2025</v>
      </c>
      <c r="M4962" t="str">
        <f>CONCATENATE(MONTH(CompilDonnées[[#This Row],[HarvestingDate]])," ", YEAR(CompilDonnées[[#This Row],[HarvestingDate]]))</f>
        <v>11 2025</v>
      </c>
      <c r="N4962">
        <f>_xlfn.NUMBERVALUE(CompilDonnées[[#This Row],[FarmID]]&amp;CompilDonnées[[#This Row],[ModuleNumber]]&amp;CompilDonnées[[#This Row],[PlantationDate]])</f>
        <v>23245917</v>
      </c>
      <c r="O4962" t="str">
        <f>CompilDonnées[[#This Row],[FarmID]]&amp;CompilDonnées[[#This Row],[ModuleNumber]]</f>
        <v>232</v>
      </c>
      <c r="P4962" t="str">
        <f>CompilDonnées[[#This Row],[Ref_Module]]&amp;CompilDonnées[[#This Row],[HarvestingDate]]</f>
        <v>23245966</v>
      </c>
    </row>
    <row r="4963" spans="1:16">
      <c r="A4963" s="5">
        <v>45917</v>
      </c>
      <c r="B4963">
        <v>21</v>
      </c>
      <c r="C4963" t="s">
        <v>0</v>
      </c>
      <c r="D4963">
        <v>4</v>
      </c>
      <c r="E4963">
        <v>100</v>
      </c>
      <c r="F4963" t="s">
        <v>1</v>
      </c>
      <c r="G4963" s="6">
        <v>45971</v>
      </c>
      <c r="H4963">
        <v>54</v>
      </c>
      <c r="I4963">
        <f>ROUND(CompilDonnées[[#This Row],[CultureDuration_days]]/7,0)</f>
        <v>8</v>
      </c>
      <c r="J4963">
        <v>1281</v>
      </c>
      <c r="K4963" t="str">
        <f>_xlfn.CONCAT(WEEKNUM(CompilDonnées[[#This Row],[PlantationDate]]), " ", YEAR(CompilDonnées[[#This Row],[PlantationDate]]))</f>
        <v>38 2025</v>
      </c>
      <c r="L4963" t="str">
        <f>CONCATENATE(MONTH(CompilDonnées[[#This Row],[PlantationDate]])," ", YEAR(CompilDonnées[[#This Row],[PlantationDate]]))</f>
        <v>9 2025</v>
      </c>
      <c r="M4963" t="str">
        <f>CONCATENATE(MONTH(CompilDonnées[[#This Row],[HarvestingDate]])," ", YEAR(CompilDonnées[[#This Row],[HarvestingDate]]))</f>
        <v>11 2025</v>
      </c>
      <c r="N4963">
        <f>_xlfn.NUMBERVALUE(CompilDonnées[[#This Row],[FarmID]]&amp;CompilDonnées[[#This Row],[ModuleNumber]]&amp;CompilDonnées[[#This Row],[PlantationDate]])</f>
        <v>21445917</v>
      </c>
      <c r="O4963" t="str">
        <f>CompilDonnées[[#This Row],[FarmID]]&amp;CompilDonnées[[#This Row],[ModuleNumber]]</f>
        <v>214</v>
      </c>
      <c r="P4963" t="str">
        <f>CompilDonnées[[#This Row],[Ref_Module]]&amp;CompilDonnées[[#This Row],[HarvestingDate]]</f>
        <v>21445971</v>
      </c>
    </row>
    <row r="4964" spans="1:16">
      <c r="A4964" s="5">
        <v>45917</v>
      </c>
      <c r="B4964">
        <v>32</v>
      </c>
      <c r="C4964" t="s">
        <v>25</v>
      </c>
      <c r="D4964">
        <v>1</v>
      </c>
      <c r="E4964">
        <v>100</v>
      </c>
      <c r="F4964" t="s">
        <v>1</v>
      </c>
      <c r="G4964" s="6">
        <v>45958</v>
      </c>
      <c r="H4964">
        <v>41</v>
      </c>
      <c r="I4964">
        <f>ROUND(CompilDonnées[[#This Row],[CultureDuration_days]]/7,0)</f>
        <v>6</v>
      </c>
      <c r="J4964">
        <v>3103</v>
      </c>
      <c r="K4964" t="str">
        <f>_xlfn.CONCAT(WEEKNUM(CompilDonnées[[#This Row],[PlantationDate]]), " ", YEAR(CompilDonnées[[#This Row],[PlantationDate]]))</f>
        <v>38 2025</v>
      </c>
      <c r="L4964" t="str">
        <f>CONCATENATE(MONTH(CompilDonnées[[#This Row],[PlantationDate]])," ", YEAR(CompilDonnées[[#This Row],[PlantationDate]]))</f>
        <v>9 2025</v>
      </c>
      <c r="M4964" t="str">
        <f>CONCATENATE(MONTH(CompilDonnées[[#This Row],[HarvestingDate]])," ", YEAR(CompilDonnées[[#This Row],[HarvestingDate]]))</f>
        <v>10 2025</v>
      </c>
      <c r="N4964">
        <f>_xlfn.NUMBERVALUE(CompilDonnées[[#This Row],[FarmID]]&amp;CompilDonnées[[#This Row],[ModuleNumber]]&amp;CompilDonnées[[#This Row],[PlantationDate]])</f>
        <v>32145917</v>
      </c>
      <c r="O4964" t="str">
        <f>CompilDonnées[[#This Row],[FarmID]]&amp;CompilDonnées[[#This Row],[ModuleNumber]]</f>
        <v>321</v>
      </c>
      <c r="P4964" t="str">
        <f>CompilDonnées[[#This Row],[Ref_Module]]&amp;CompilDonnées[[#This Row],[HarvestingDate]]</f>
        <v>32145958</v>
      </c>
    </row>
    <row r="4965" spans="1:16">
      <c r="A4965" s="5">
        <v>45917</v>
      </c>
      <c r="B4965">
        <v>31</v>
      </c>
      <c r="C4965" t="s">
        <v>62</v>
      </c>
      <c r="D4965">
        <v>6</v>
      </c>
      <c r="E4965">
        <v>100</v>
      </c>
      <c r="F4965" t="s">
        <v>1</v>
      </c>
      <c r="G4965" s="6">
        <v>45957</v>
      </c>
      <c r="H4965">
        <v>40</v>
      </c>
      <c r="I4965">
        <f>ROUND(CompilDonnées[[#This Row],[CultureDuration_days]]/7,0)</f>
        <v>6</v>
      </c>
      <c r="J4965">
        <v>2815</v>
      </c>
      <c r="K4965" t="str">
        <f>_xlfn.CONCAT(WEEKNUM(CompilDonnées[[#This Row],[PlantationDate]]), " ", YEAR(CompilDonnées[[#This Row],[PlantationDate]]))</f>
        <v>38 2025</v>
      </c>
      <c r="L4965" t="str">
        <f>CONCATENATE(MONTH(CompilDonnées[[#This Row],[PlantationDate]])," ", YEAR(CompilDonnées[[#This Row],[PlantationDate]]))</f>
        <v>9 2025</v>
      </c>
      <c r="M4965" t="str">
        <f>CONCATENATE(MONTH(CompilDonnées[[#This Row],[HarvestingDate]])," ", YEAR(CompilDonnées[[#This Row],[HarvestingDate]]))</f>
        <v>10 2025</v>
      </c>
      <c r="N4965">
        <f>_xlfn.NUMBERVALUE(CompilDonnées[[#This Row],[FarmID]]&amp;CompilDonnées[[#This Row],[ModuleNumber]]&amp;CompilDonnées[[#This Row],[PlantationDate]])</f>
        <v>31645917</v>
      </c>
      <c r="O4965" t="str">
        <f>CompilDonnées[[#This Row],[FarmID]]&amp;CompilDonnées[[#This Row],[ModuleNumber]]</f>
        <v>316</v>
      </c>
      <c r="P4965" t="str">
        <f>CompilDonnées[[#This Row],[Ref_Module]]&amp;CompilDonnées[[#This Row],[HarvestingDate]]</f>
        <v>31645957</v>
      </c>
    </row>
    <row r="4966" spans="1:16">
      <c r="A4966" s="5">
        <v>45917</v>
      </c>
      <c r="B4966">
        <v>36</v>
      </c>
      <c r="C4966" t="s">
        <v>63</v>
      </c>
      <c r="D4966">
        <v>2</v>
      </c>
      <c r="E4966">
        <v>100</v>
      </c>
      <c r="F4966" t="s">
        <v>1</v>
      </c>
      <c r="G4966" s="6">
        <v>45966</v>
      </c>
      <c r="H4966">
        <v>49</v>
      </c>
      <c r="I4966">
        <f>ROUND(CompilDonnées[[#This Row],[CultureDuration_days]]/7,0)</f>
        <v>7</v>
      </c>
      <c r="J4966">
        <v>1738</v>
      </c>
      <c r="K4966" t="str">
        <f>_xlfn.CONCAT(WEEKNUM(CompilDonnées[[#This Row],[PlantationDate]]), " ", YEAR(CompilDonnées[[#This Row],[PlantationDate]]))</f>
        <v>38 2025</v>
      </c>
      <c r="L4966" t="str">
        <f>CONCATENATE(MONTH(CompilDonnées[[#This Row],[PlantationDate]])," ", YEAR(CompilDonnées[[#This Row],[PlantationDate]]))</f>
        <v>9 2025</v>
      </c>
      <c r="M4966" t="str">
        <f>CONCATENATE(MONTH(CompilDonnées[[#This Row],[HarvestingDate]])," ", YEAR(CompilDonnées[[#This Row],[HarvestingDate]]))</f>
        <v>11 2025</v>
      </c>
      <c r="N4966">
        <f>_xlfn.NUMBERVALUE(CompilDonnées[[#This Row],[FarmID]]&amp;CompilDonnées[[#This Row],[ModuleNumber]]&amp;CompilDonnées[[#This Row],[PlantationDate]])</f>
        <v>36245917</v>
      </c>
      <c r="O4966" t="str">
        <f>CompilDonnées[[#This Row],[FarmID]]&amp;CompilDonnées[[#This Row],[ModuleNumber]]</f>
        <v>362</v>
      </c>
      <c r="P4966" t="str">
        <f>CompilDonnées[[#This Row],[Ref_Module]]&amp;CompilDonnées[[#This Row],[HarvestingDate]]</f>
        <v>36245966</v>
      </c>
    </row>
    <row r="4967" spans="1:16">
      <c r="A4967" s="5">
        <v>45917</v>
      </c>
      <c r="B4967">
        <v>52</v>
      </c>
      <c r="C4967" t="s">
        <v>88</v>
      </c>
      <c r="D4967">
        <v>3</v>
      </c>
      <c r="E4967">
        <v>100</v>
      </c>
      <c r="F4967" t="s">
        <v>1</v>
      </c>
      <c r="G4967" s="6">
        <v>45966</v>
      </c>
      <c r="H4967">
        <v>49</v>
      </c>
      <c r="I4967">
        <f>ROUND(CompilDonnées[[#This Row],[CultureDuration_days]]/7,0)</f>
        <v>7</v>
      </c>
      <c r="J4967">
        <v>4015</v>
      </c>
      <c r="K4967" t="str">
        <f>_xlfn.CONCAT(WEEKNUM(CompilDonnées[[#This Row],[PlantationDate]]), " ", YEAR(CompilDonnées[[#This Row],[PlantationDate]]))</f>
        <v>38 2025</v>
      </c>
      <c r="L4967" t="str">
        <f>CONCATENATE(MONTH(CompilDonnées[[#This Row],[PlantationDate]])," ", YEAR(CompilDonnées[[#This Row],[PlantationDate]]))</f>
        <v>9 2025</v>
      </c>
      <c r="M4967" t="str">
        <f>CONCATENATE(MONTH(CompilDonnées[[#This Row],[HarvestingDate]])," ", YEAR(CompilDonnées[[#This Row],[HarvestingDate]]))</f>
        <v>11 2025</v>
      </c>
      <c r="N4967">
        <f>_xlfn.NUMBERVALUE(CompilDonnées[[#This Row],[FarmID]]&amp;CompilDonnées[[#This Row],[ModuleNumber]]&amp;CompilDonnées[[#This Row],[PlantationDate]])</f>
        <v>52345917</v>
      </c>
      <c r="O4967" t="str">
        <f>CompilDonnées[[#This Row],[FarmID]]&amp;CompilDonnées[[#This Row],[ModuleNumber]]</f>
        <v>523</v>
      </c>
      <c r="P4967" t="str">
        <f>CompilDonnées[[#This Row],[Ref_Module]]&amp;CompilDonnées[[#This Row],[HarvestingDate]]</f>
        <v>52345966</v>
      </c>
    </row>
    <row r="4968" spans="1:16">
      <c r="A4968" s="5">
        <v>45917</v>
      </c>
      <c r="B4968">
        <v>45</v>
      </c>
      <c r="C4968" t="s">
        <v>77</v>
      </c>
      <c r="D4968">
        <v>6</v>
      </c>
      <c r="E4968">
        <v>100</v>
      </c>
      <c r="F4968" t="s">
        <v>1</v>
      </c>
      <c r="G4968" s="6">
        <v>45957</v>
      </c>
      <c r="H4968">
        <v>40</v>
      </c>
      <c r="I4968">
        <f>ROUND(CompilDonnées[[#This Row],[CultureDuration_days]]/7,0)</f>
        <v>6</v>
      </c>
      <c r="J4968">
        <v>3351</v>
      </c>
      <c r="K4968" t="str">
        <f>_xlfn.CONCAT(WEEKNUM(CompilDonnées[[#This Row],[PlantationDate]]), " ", YEAR(CompilDonnées[[#This Row],[PlantationDate]]))</f>
        <v>38 2025</v>
      </c>
      <c r="L4968" t="str">
        <f>CONCATENATE(MONTH(CompilDonnées[[#This Row],[PlantationDate]])," ", YEAR(CompilDonnées[[#This Row],[PlantationDate]]))</f>
        <v>9 2025</v>
      </c>
      <c r="M4968" t="str">
        <f>CONCATENATE(MONTH(CompilDonnées[[#This Row],[HarvestingDate]])," ", YEAR(CompilDonnées[[#This Row],[HarvestingDate]]))</f>
        <v>10 2025</v>
      </c>
      <c r="N4968">
        <f>_xlfn.NUMBERVALUE(CompilDonnées[[#This Row],[FarmID]]&amp;CompilDonnées[[#This Row],[ModuleNumber]]&amp;CompilDonnées[[#This Row],[PlantationDate]])</f>
        <v>45645917</v>
      </c>
      <c r="O4968" t="str">
        <f>CompilDonnées[[#This Row],[FarmID]]&amp;CompilDonnées[[#This Row],[ModuleNumber]]</f>
        <v>456</v>
      </c>
      <c r="P4968" t="str">
        <f>CompilDonnées[[#This Row],[Ref_Module]]&amp;CompilDonnées[[#This Row],[HarvestingDate]]</f>
        <v>45645957</v>
      </c>
    </row>
    <row r="4969" spans="1:16">
      <c r="A4969" s="5">
        <v>45917</v>
      </c>
      <c r="B4969">
        <v>55</v>
      </c>
      <c r="C4969" t="s">
        <v>60</v>
      </c>
      <c r="D4969">
        <v>4</v>
      </c>
      <c r="E4969">
        <v>100</v>
      </c>
      <c r="F4969" t="s">
        <v>1</v>
      </c>
      <c r="G4969" s="6">
        <v>45972</v>
      </c>
      <c r="H4969">
        <v>55</v>
      </c>
      <c r="I4969">
        <f>ROUND(CompilDonnées[[#This Row],[CultureDuration_days]]/7,0)</f>
        <v>8</v>
      </c>
      <c r="J4969">
        <v>1794</v>
      </c>
      <c r="K4969" t="str">
        <f>_xlfn.CONCAT(WEEKNUM(CompilDonnées[[#This Row],[PlantationDate]]), " ", YEAR(CompilDonnées[[#This Row],[PlantationDate]]))</f>
        <v>38 2025</v>
      </c>
      <c r="L4969" t="str">
        <f>CONCATENATE(MONTH(CompilDonnées[[#This Row],[PlantationDate]])," ", YEAR(CompilDonnées[[#This Row],[PlantationDate]]))</f>
        <v>9 2025</v>
      </c>
      <c r="M4969" t="str">
        <f>CONCATENATE(MONTH(CompilDonnées[[#This Row],[HarvestingDate]])," ", YEAR(CompilDonnées[[#This Row],[HarvestingDate]]))</f>
        <v>11 2025</v>
      </c>
      <c r="N4969">
        <f>_xlfn.NUMBERVALUE(CompilDonnées[[#This Row],[FarmID]]&amp;CompilDonnées[[#This Row],[ModuleNumber]]&amp;CompilDonnées[[#This Row],[PlantationDate]])</f>
        <v>55445917</v>
      </c>
      <c r="O4969" t="str">
        <f>CompilDonnées[[#This Row],[FarmID]]&amp;CompilDonnées[[#This Row],[ModuleNumber]]</f>
        <v>554</v>
      </c>
      <c r="P4969" t="str">
        <f>CompilDonnées[[#This Row],[Ref_Module]]&amp;CompilDonnées[[#This Row],[HarvestingDate]]</f>
        <v>55445972</v>
      </c>
    </row>
    <row r="4970" spans="1:16">
      <c r="A4970" s="5">
        <v>45917</v>
      </c>
      <c r="B4970">
        <v>59</v>
      </c>
      <c r="C4970" t="s">
        <v>64</v>
      </c>
      <c r="D4970">
        <v>1</v>
      </c>
      <c r="E4970">
        <v>100</v>
      </c>
      <c r="F4970" t="s">
        <v>1</v>
      </c>
      <c r="G4970" s="6">
        <v>45958</v>
      </c>
      <c r="H4970">
        <v>41</v>
      </c>
      <c r="I4970">
        <f>ROUND(CompilDonnées[[#This Row],[CultureDuration_days]]/7,0)</f>
        <v>6</v>
      </c>
      <c r="J4970">
        <v>3559</v>
      </c>
      <c r="K4970" t="str">
        <f>_xlfn.CONCAT(WEEKNUM(CompilDonnées[[#This Row],[PlantationDate]]), " ", YEAR(CompilDonnées[[#This Row],[PlantationDate]]))</f>
        <v>38 2025</v>
      </c>
      <c r="L4970" t="str">
        <f>CONCATENATE(MONTH(CompilDonnées[[#This Row],[PlantationDate]])," ", YEAR(CompilDonnées[[#This Row],[PlantationDate]]))</f>
        <v>9 2025</v>
      </c>
      <c r="M4970" t="str">
        <f>CONCATENATE(MONTH(CompilDonnées[[#This Row],[HarvestingDate]])," ", YEAR(CompilDonnées[[#This Row],[HarvestingDate]]))</f>
        <v>10 2025</v>
      </c>
      <c r="N4970">
        <f>_xlfn.NUMBERVALUE(CompilDonnées[[#This Row],[FarmID]]&amp;CompilDonnées[[#This Row],[ModuleNumber]]&amp;CompilDonnées[[#This Row],[PlantationDate]])</f>
        <v>59145917</v>
      </c>
      <c r="O4970" t="str">
        <f>CompilDonnées[[#This Row],[FarmID]]&amp;CompilDonnées[[#This Row],[ModuleNumber]]</f>
        <v>591</v>
      </c>
      <c r="P4970" t="str">
        <f>CompilDonnées[[#This Row],[Ref_Module]]&amp;CompilDonnées[[#This Row],[HarvestingDate]]</f>
        <v>59145958</v>
      </c>
    </row>
    <row r="4971" spans="1:16">
      <c r="A4971" s="5">
        <v>45917</v>
      </c>
      <c r="B4971">
        <v>59</v>
      </c>
      <c r="C4971" t="s">
        <v>64</v>
      </c>
      <c r="D4971">
        <v>3</v>
      </c>
      <c r="E4971">
        <v>100</v>
      </c>
      <c r="F4971" t="s">
        <v>1</v>
      </c>
      <c r="G4971" s="6">
        <v>45958</v>
      </c>
      <c r="H4971">
        <v>41</v>
      </c>
      <c r="I4971">
        <f>ROUND(CompilDonnées[[#This Row],[CultureDuration_days]]/7,0)</f>
        <v>6</v>
      </c>
      <c r="J4971">
        <v>3440</v>
      </c>
      <c r="K4971" t="str">
        <f>_xlfn.CONCAT(WEEKNUM(CompilDonnées[[#This Row],[PlantationDate]]), " ", YEAR(CompilDonnées[[#This Row],[PlantationDate]]))</f>
        <v>38 2025</v>
      </c>
      <c r="L4971" t="str">
        <f>CONCATENATE(MONTH(CompilDonnées[[#This Row],[PlantationDate]])," ", YEAR(CompilDonnées[[#This Row],[PlantationDate]]))</f>
        <v>9 2025</v>
      </c>
      <c r="M4971" t="str">
        <f>CONCATENATE(MONTH(CompilDonnées[[#This Row],[HarvestingDate]])," ", YEAR(CompilDonnées[[#This Row],[HarvestingDate]]))</f>
        <v>10 2025</v>
      </c>
      <c r="N4971">
        <f>_xlfn.NUMBERVALUE(CompilDonnées[[#This Row],[FarmID]]&amp;CompilDonnées[[#This Row],[ModuleNumber]]&amp;CompilDonnées[[#This Row],[PlantationDate]])</f>
        <v>59345917</v>
      </c>
      <c r="O4971" t="str">
        <f>CompilDonnées[[#This Row],[FarmID]]&amp;CompilDonnées[[#This Row],[ModuleNumber]]</f>
        <v>593</v>
      </c>
      <c r="P4971" t="str">
        <f>CompilDonnées[[#This Row],[Ref_Module]]&amp;CompilDonnées[[#This Row],[HarvestingDate]]</f>
        <v>59345958</v>
      </c>
    </row>
    <row r="4972" spans="1:16">
      <c r="A4972" s="5">
        <v>45917</v>
      </c>
      <c r="B4972">
        <v>68</v>
      </c>
      <c r="C4972" t="s">
        <v>89</v>
      </c>
      <c r="D4972">
        <v>4</v>
      </c>
      <c r="E4972">
        <v>100</v>
      </c>
      <c r="F4972" t="s">
        <v>1</v>
      </c>
      <c r="G4972" s="6">
        <v>45959</v>
      </c>
      <c r="H4972">
        <v>42</v>
      </c>
      <c r="I4972">
        <f>ROUND(CompilDonnées[[#This Row],[CultureDuration_days]]/7,0)</f>
        <v>6</v>
      </c>
      <c r="J4972">
        <v>3499</v>
      </c>
      <c r="K4972" t="str">
        <f>_xlfn.CONCAT(WEEKNUM(CompilDonnées[[#This Row],[PlantationDate]]), " ", YEAR(CompilDonnées[[#This Row],[PlantationDate]]))</f>
        <v>38 2025</v>
      </c>
      <c r="L4972" t="str">
        <f>CONCATENATE(MONTH(CompilDonnées[[#This Row],[PlantationDate]])," ", YEAR(CompilDonnées[[#This Row],[PlantationDate]]))</f>
        <v>9 2025</v>
      </c>
      <c r="M4972" t="str">
        <f>CONCATENATE(MONTH(CompilDonnées[[#This Row],[HarvestingDate]])," ", YEAR(CompilDonnées[[#This Row],[HarvestingDate]]))</f>
        <v>10 2025</v>
      </c>
      <c r="N4972">
        <f>_xlfn.NUMBERVALUE(CompilDonnées[[#This Row],[FarmID]]&amp;CompilDonnées[[#This Row],[ModuleNumber]]&amp;CompilDonnées[[#This Row],[PlantationDate]])</f>
        <v>68445917</v>
      </c>
      <c r="O4972" t="str">
        <f>CompilDonnées[[#This Row],[FarmID]]&amp;CompilDonnées[[#This Row],[ModuleNumber]]</f>
        <v>684</v>
      </c>
      <c r="P4972" t="str">
        <f>CompilDonnées[[#This Row],[Ref_Module]]&amp;CompilDonnées[[#This Row],[HarvestingDate]]</f>
        <v>68445959</v>
      </c>
    </row>
    <row r="4973" spans="1:16">
      <c r="A4973" s="5">
        <v>45917</v>
      </c>
      <c r="B4973">
        <v>49</v>
      </c>
      <c r="C4973" t="s">
        <v>110</v>
      </c>
      <c r="D4973">
        <v>3</v>
      </c>
      <c r="E4973">
        <v>100</v>
      </c>
      <c r="F4973" t="s">
        <v>1</v>
      </c>
      <c r="G4973" s="6">
        <v>45972</v>
      </c>
      <c r="H4973">
        <v>55</v>
      </c>
      <c r="I4973">
        <f>ROUND(CompilDonnées[[#This Row],[CultureDuration_days]]/7,0)</f>
        <v>8</v>
      </c>
      <c r="J4973">
        <v>1467</v>
      </c>
      <c r="K4973" t="str">
        <f>_xlfn.CONCAT(WEEKNUM(CompilDonnées[[#This Row],[PlantationDate]]), " ", YEAR(CompilDonnées[[#This Row],[PlantationDate]]))</f>
        <v>38 2025</v>
      </c>
      <c r="L4973" t="str">
        <f>CONCATENATE(MONTH(CompilDonnées[[#This Row],[PlantationDate]])," ", YEAR(CompilDonnées[[#This Row],[PlantationDate]]))</f>
        <v>9 2025</v>
      </c>
      <c r="M4973" t="str">
        <f>CONCATENATE(MONTH(CompilDonnées[[#This Row],[HarvestingDate]])," ", YEAR(CompilDonnées[[#This Row],[HarvestingDate]]))</f>
        <v>11 2025</v>
      </c>
      <c r="N4973">
        <f>_xlfn.NUMBERVALUE(CompilDonnées[[#This Row],[FarmID]]&amp;CompilDonnées[[#This Row],[ModuleNumber]]&amp;CompilDonnées[[#This Row],[PlantationDate]])</f>
        <v>49345917</v>
      </c>
      <c r="O4973" t="str">
        <f>CompilDonnées[[#This Row],[FarmID]]&amp;CompilDonnées[[#This Row],[ModuleNumber]]</f>
        <v>493</v>
      </c>
      <c r="P4973" t="str">
        <f>CompilDonnées[[#This Row],[Ref_Module]]&amp;CompilDonnées[[#This Row],[HarvestingDate]]</f>
        <v>49345972</v>
      </c>
    </row>
    <row r="4974" spans="1:16">
      <c r="A4974" s="5">
        <v>45917</v>
      </c>
      <c r="B4974">
        <v>51</v>
      </c>
      <c r="C4974" t="s">
        <v>27</v>
      </c>
      <c r="D4974">
        <v>2</v>
      </c>
      <c r="E4974">
        <v>100</v>
      </c>
      <c r="F4974" t="s">
        <v>1</v>
      </c>
      <c r="G4974" s="6">
        <v>45965</v>
      </c>
      <c r="H4974">
        <v>48</v>
      </c>
      <c r="I4974">
        <f>ROUND(CompilDonnées[[#This Row],[CultureDuration_days]]/7,0)</f>
        <v>7</v>
      </c>
      <c r="J4974">
        <v>2364</v>
      </c>
      <c r="K4974" t="str">
        <f>_xlfn.CONCAT(WEEKNUM(CompilDonnées[[#This Row],[PlantationDate]]), " ", YEAR(CompilDonnées[[#This Row],[PlantationDate]]))</f>
        <v>38 2025</v>
      </c>
      <c r="L4974" t="str">
        <f>CONCATENATE(MONTH(CompilDonnées[[#This Row],[PlantationDate]])," ", YEAR(CompilDonnées[[#This Row],[PlantationDate]]))</f>
        <v>9 2025</v>
      </c>
      <c r="M4974" t="str">
        <f>CONCATENATE(MONTH(CompilDonnées[[#This Row],[HarvestingDate]])," ", YEAR(CompilDonnées[[#This Row],[HarvestingDate]]))</f>
        <v>11 2025</v>
      </c>
      <c r="N4974">
        <f>_xlfn.NUMBERVALUE(CompilDonnées[[#This Row],[FarmID]]&amp;CompilDonnées[[#This Row],[ModuleNumber]]&amp;CompilDonnées[[#This Row],[PlantationDate]])</f>
        <v>51245917</v>
      </c>
      <c r="O4974" t="str">
        <f>CompilDonnées[[#This Row],[FarmID]]&amp;CompilDonnées[[#This Row],[ModuleNumber]]</f>
        <v>512</v>
      </c>
      <c r="P4974" t="str">
        <f>CompilDonnées[[#This Row],[Ref_Module]]&amp;CompilDonnées[[#This Row],[HarvestingDate]]</f>
        <v>51245965</v>
      </c>
    </row>
    <row r="4975" spans="1:16">
      <c r="A4975" s="5">
        <v>45917</v>
      </c>
      <c r="B4975">
        <v>57</v>
      </c>
      <c r="C4975" t="s">
        <v>46</v>
      </c>
      <c r="D4975">
        <v>6</v>
      </c>
      <c r="E4975">
        <v>100</v>
      </c>
      <c r="F4975" t="s">
        <v>1</v>
      </c>
      <c r="G4975" s="6">
        <v>45972</v>
      </c>
      <c r="H4975">
        <v>55</v>
      </c>
      <c r="I4975">
        <f>ROUND(CompilDonnées[[#This Row],[CultureDuration_days]]/7,0)</f>
        <v>8</v>
      </c>
      <c r="J4975">
        <v>2861</v>
      </c>
      <c r="K4975" t="str">
        <f>_xlfn.CONCAT(WEEKNUM(CompilDonnées[[#This Row],[PlantationDate]]), " ", YEAR(CompilDonnées[[#This Row],[PlantationDate]]))</f>
        <v>38 2025</v>
      </c>
      <c r="L4975" t="str">
        <f>CONCATENATE(MONTH(CompilDonnées[[#This Row],[PlantationDate]])," ", YEAR(CompilDonnées[[#This Row],[PlantationDate]]))</f>
        <v>9 2025</v>
      </c>
      <c r="M4975" t="str">
        <f>CONCATENATE(MONTH(CompilDonnées[[#This Row],[HarvestingDate]])," ", YEAR(CompilDonnées[[#This Row],[HarvestingDate]]))</f>
        <v>11 2025</v>
      </c>
      <c r="N4975">
        <f>_xlfn.NUMBERVALUE(CompilDonnées[[#This Row],[FarmID]]&amp;CompilDonnées[[#This Row],[ModuleNumber]]&amp;CompilDonnées[[#This Row],[PlantationDate]])</f>
        <v>57645917</v>
      </c>
      <c r="O4975" t="str">
        <f>CompilDonnées[[#This Row],[FarmID]]&amp;CompilDonnées[[#This Row],[ModuleNumber]]</f>
        <v>576</v>
      </c>
      <c r="P4975" t="str">
        <f>CompilDonnées[[#This Row],[Ref_Module]]&amp;CompilDonnées[[#This Row],[HarvestingDate]]</f>
        <v>57645972</v>
      </c>
    </row>
    <row r="4976" spans="1:16">
      <c r="A4976" s="5">
        <v>45917</v>
      </c>
      <c r="B4976">
        <v>64</v>
      </c>
      <c r="C4976" t="s">
        <v>47</v>
      </c>
      <c r="D4976">
        <v>3</v>
      </c>
      <c r="E4976">
        <v>100</v>
      </c>
      <c r="F4976" t="s">
        <v>1</v>
      </c>
      <c r="G4976" s="6">
        <v>45972</v>
      </c>
      <c r="H4976">
        <v>55</v>
      </c>
      <c r="I4976">
        <f>ROUND(CompilDonnées[[#This Row],[CultureDuration_days]]/7,0)</f>
        <v>8</v>
      </c>
      <c r="J4976">
        <v>1747</v>
      </c>
      <c r="K4976" t="str">
        <f>_xlfn.CONCAT(WEEKNUM(CompilDonnées[[#This Row],[PlantationDate]]), " ", YEAR(CompilDonnées[[#This Row],[PlantationDate]]))</f>
        <v>38 2025</v>
      </c>
      <c r="L4976" t="str">
        <f>CONCATENATE(MONTH(CompilDonnées[[#This Row],[PlantationDate]])," ", YEAR(CompilDonnées[[#This Row],[PlantationDate]]))</f>
        <v>9 2025</v>
      </c>
      <c r="M4976" t="str">
        <f>CONCATENATE(MONTH(CompilDonnées[[#This Row],[HarvestingDate]])," ", YEAR(CompilDonnées[[#This Row],[HarvestingDate]]))</f>
        <v>11 2025</v>
      </c>
      <c r="N4976">
        <f>_xlfn.NUMBERVALUE(CompilDonnées[[#This Row],[FarmID]]&amp;CompilDonnées[[#This Row],[ModuleNumber]]&amp;CompilDonnées[[#This Row],[PlantationDate]])</f>
        <v>64345917</v>
      </c>
      <c r="O4976" t="str">
        <f>CompilDonnées[[#This Row],[FarmID]]&amp;CompilDonnées[[#This Row],[ModuleNumber]]</f>
        <v>643</v>
      </c>
      <c r="P4976" t="str">
        <f>CompilDonnées[[#This Row],[Ref_Module]]&amp;CompilDonnées[[#This Row],[HarvestingDate]]</f>
        <v>64345972</v>
      </c>
    </row>
    <row r="4977" spans="1:16">
      <c r="A4977" s="5">
        <v>45917</v>
      </c>
      <c r="B4977">
        <v>73</v>
      </c>
      <c r="C4977" t="s">
        <v>20</v>
      </c>
      <c r="D4977">
        <v>6</v>
      </c>
      <c r="E4977">
        <v>100</v>
      </c>
      <c r="F4977" t="s">
        <v>1</v>
      </c>
      <c r="G4977" s="6">
        <v>45966</v>
      </c>
      <c r="H4977">
        <v>49</v>
      </c>
      <c r="I4977">
        <f>ROUND(CompilDonnées[[#This Row],[CultureDuration_days]]/7,0)</f>
        <v>7</v>
      </c>
      <c r="J4977">
        <v>3229</v>
      </c>
      <c r="K4977" t="str">
        <f>_xlfn.CONCAT(WEEKNUM(CompilDonnées[[#This Row],[PlantationDate]]), " ", YEAR(CompilDonnées[[#This Row],[PlantationDate]]))</f>
        <v>38 2025</v>
      </c>
      <c r="L4977" t="str">
        <f>CONCATENATE(MONTH(CompilDonnées[[#This Row],[PlantationDate]])," ", YEAR(CompilDonnées[[#This Row],[PlantationDate]]))</f>
        <v>9 2025</v>
      </c>
      <c r="M4977" t="str">
        <f>CONCATENATE(MONTH(CompilDonnées[[#This Row],[HarvestingDate]])," ", YEAR(CompilDonnées[[#This Row],[HarvestingDate]]))</f>
        <v>11 2025</v>
      </c>
      <c r="N4977">
        <f>_xlfn.NUMBERVALUE(CompilDonnées[[#This Row],[FarmID]]&amp;CompilDonnées[[#This Row],[ModuleNumber]]&amp;CompilDonnées[[#This Row],[PlantationDate]])</f>
        <v>73645917</v>
      </c>
      <c r="O4977" t="str">
        <f>CompilDonnées[[#This Row],[FarmID]]&amp;CompilDonnées[[#This Row],[ModuleNumber]]</f>
        <v>736</v>
      </c>
      <c r="P4977" t="str">
        <f>CompilDonnées[[#This Row],[Ref_Module]]&amp;CompilDonnées[[#This Row],[HarvestingDate]]</f>
        <v>73645966</v>
      </c>
    </row>
    <row r="4978" spans="1:16">
      <c r="A4978" s="5">
        <v>45917</v>
      </c>
      <c r="B4978">
        <v>67</v>
      </c>
      <c r="C4978" t="s">
        <v>28</v>
      </c>
      <c r="D4978">
        <v>1</v>
      </c>
      <c r="E4978">
        <v>100</v>
      </c>
      <c r="F4978" t="s">
        <v>1</v>
      </c>
      <c r="G4978" s="6">
        <v>45965</v>
      </c>
      <c r="H4978">
        <v>48</v>
      </c>
      <c r="I4978">
        <f>ROUND(CompilDonnées[[#This Row],[CultureDuration_days]]/7,0)</f>
        <v>7</v>
      </c>
      <c r="J4978">
        <v>3347</v>
      </c>
      <c r="K4978" t="str">
        <f>_xlfn.CONCAT(WEEKNUM(CompilDonnées[[#This Row],[PlantationDate]]), " ", YEAR(CompilDonnées[[#This Row],[PlantationDate]]))</f>
        <v>38 2025</v>
      </c>
      <c r="L4978" t="str">
        <f>CONCATENATE(MONTH(CompilDonnées[[#This Row],[PlantationDate]])," ", YEAR(CompilDonnées[[#This Row],[PlantationDate]]))</f>
        <v>9 2025</v>
      </c>
      <c r="M4978" t="str">
        <f>CONCATENATE(MONTH(CompilDonnées[[#This Row],[HarvestingDate]])," ", YEAR(CompilDonnées[[#This Row],[HarvestingDate]]))</f>
        <v>11 2025</v>
      </c>
      <c r="N4978">
        <f>_xlfn.NUMBERVALUE(CompilDonnées[[#This Row],[FarmID]]&amp;CompilDonnées[[#This Row],[ModuleNumber]]&amp;CompilDonnées[[#This Row],[PlantationDate]])</f>
        <v>67145917</v>
      </c>
      <c r="O4978" t="str">
        <f>CompilDonnées[[#This Row],[FarmID]]&amp;CompilDonnées[[#This Row],[ModuleNumber]]</f>
        <v>671</v>
      </c>
      <c r="P4978" t="str">
        <f>CompilDonnées[[#This Row],[Ref_Module]]&amp;CompilDonnées[[#This Row],[HarvestingDate]]</f>
        <v>67145965</v>
      </c>
    </row>
    <row r="4979" spans="1:16">
      <c r="A4979" s="5">
        <v>45917</v>
      </c>
      <c r="B4979">
        <v>13</v>
      </c>
      <c r="C4979" t="s">
        <v>114</v>
      </c>
      <c r="D4979">
        <v>3</v>
      </c>
      <c r="E4979">
        <v>100</v>
      </c>
      <c r="F4979" t="s">
        <v>1</v>
      </c>
      <c r="G4979" s="6">
        <v>45957</v>
      </c>
      <c r="H4979">
        <v>40</v>
      </c>
      <c r="I4979">
        <f>ROUND(CompilDonnées[[#This Row],[CultureDuration_days]]/7,0)</f>
        <v>6</v>
      </c>
      <c r="J4979">
        <v>2079</v>
      </c>
      <c r="K4979" t="str">
        <f>_xlfn.CONCAT(WEEKNUM(CompilDonnées[[#This Row],[PlantationDate]]), " ", YEAR(CompilDonnées[[#This Row],[PlantationDate]]))</f>
        <v>38 2025</v>
      </c>
      <c r="L4979" t="str">
        <f>CONCATENATE(MONTH(CompilDonnées[[#This Row],[PlantationDate]])," ", YEAR(CompilDonnées[[#This Row],[PlantationDate]]))</f>
        <v>9 2025</v>
      </c>
      <c r="M4979" t="str">
        <f>CONCATENATE(MONTH(CompilDonnées[[#This Row],[HarvestingDate]])," ", YEAR(CompilDonnées[[#This Row],[HarvestingDate]]))</f>
        <v>10 2025</v>
      </c>
      <c r="N4979">
        <f>_xlfn.NUMBERVALUE(CompilDonnées[[#This Row],[FarmID]]&amp;CompilDonnées[[#This Row],[ModuleNumber]]&amp;CompilDonnées[[#This Row],[PlantationDate]])</f>
        <v>13345917</v>
      </c>
      <c r="O4979" t="str">
        <f>CompilDonnées[[#This Row],[FarmID]]&amp;CompilDonnées[[#This Row],[ModuleNumber]]</f>
        <v>133</v>
      </c>
      <c r="P4979" t="str">
        <f>CompilDonnées[[#This Row],[Ref_Module]]&amp;CompilDonnées[[#This Row],[HarvestingDate]]</f>
        <v>13345957</v>
      </c>
    </row>
    <row r="4980" spans="1:16">
      <c r="A4980" s="5">
        <v>45917</v>
      </c>
      <c r="B4980">
        <v>54</v>
      </c>
      <c r="C4980" t="s">
        <v>39</v>
      </c>
      <c r="D4980">
        <v>3</v>
      </c>
      <c r="E4980">
        <v>100</v>
      </c>
      <c r="F4980" t="s">
        <v>1</v>
      </c>
      <c r="G4980" s="6">
        <v>45959</v>
      </c>
      <c r="H4980">
        <v>42</v>
      </c>
      <c r="I4980">
        <f>ROUND(CompilDonnées[[#This Row],[CultureDuration_days]]/7,0)</f>
        <v>6</v>
      </c>
      <c r="J4980">
        <v>1368</v>
      </c>
      <c r="K4980" t="str">
        <f>_xlfn.CONCAT(WEEKNUM(CompilDonnées[[#This Row],[PlantationDate]]), " ", YEAR(CompilDonnées[[#This Row],[PlantationDate]]))</f>
        <v>38 2025</v>
      </c>
      <c r="L4980" t="str">
        <f>CONCATENATE(MONTH(CompilDonnées[[#This Row],[PlantationDate]])," ", YEAR(CompilDonnées[[#This Row],[PlantationDate]]))</f>
        <v>9 2025</v>
      </c>
      <c r="M4980" t="str">
        <f>CONCATENATE(MONTH(CompilDonnées[[#This Row],[HarvestingDate]])," ", YEAR(CompilDonnées[[#This Row],[HarvestingDate]]))</f>
        <v>10 2025</v>
      </c>
      <c r="N4980">
        <f>_xlfn.NUMBERVALUE(CompilDonnées[[#This Row],[FarmID]]&amp;CompilDonnées[[#This Row],[ModuleNumber]]&amp;CompilDonnées[[#This Row],[PlantationDate]])</f>
        <v>54345917</v>
      </c>
      <c r="O4980" t="str">
        <f>CompilDonnées[[#This Row],[FarmID]]&amp;CompilDonnées[[#This Row],[ModuleNumber]]</f>
        <v>543</v>
      </c>
      <c r="P4980" t="str">
        <f>CompilDonnées[[#This Row],[Ref_Module]]&amp;CompilDonnées[[#This Row],[HarvestingDate]]</f>
        <v>54345959</v>
      </c>
    </row>
    <row r="4981" spans="1:16">
      <c r="A4981" s="5">
        <v>45917</v>
      </c>
      <c r="B4981">
        <v>47</v>
      </c>
      <c r="C4981" t="s">
        <v>104</v>
      </c>
      <c r="D4981">
        <v>2</v>
      </c>
      <c r="E4981">
        <v>100</v>
      </c>
      <c r="F4981" t="s">
        <v>1</v>
      </c>
      <c r="G4981" s="6">
        <v>45966</v>
      </c>
      <c r="H4981">
        <v>49</v>
      </c>
      <c r="I4981">
        <f>ROUND(CompilDonnées[[#This Row],[CultureDuration_days]]/7,0)</f>
        <v>7</v>
      </c>
      <c r="J4981">
        <v>1770</v>
      </c>
      <c r="K4981" t="str">
        <f>_xlfn.CONCAT(WEEKNUM(CompilDonnées[[#This Row],[PlantationDate]]), " ", YEAR(CompilDonnées[[#This Row],[PlantationDate]]))</f>
        <v>38 2025</v>
      </c>
      <c r="L4981" t="str">
        <f>CONCATENATE(MONTH(CompilDonnées[[#This Row],[PlantationDate]])," ", YEAR(CompilDonnées[[#This Row],[PlantationDate]]))</f>
        <v>9 2025</v>
      </c>
      <c r="M4981" t="str">
        <f>CONCATENATE(MONTH(CompilDonnées[[#This Row],[HarvestingDate]])," ", YEAR(CompilDonnées[[#This Row],[HarvestingDate]]))</f>
        <v>11 2025</v>
      </c>
      <c r="N4981">
        <f>_xlfn.NUMBERVALUE(CompilDonnées[[#This Row],[FarmID]]&amp;CompilDonnées[[#This Row],[ModuleNumber]]&amp;CompilDonnées[[#This Row],[PlantationDate]])</f>
        <v>47245917</v>
      </c>
      <c r="O4981" t="str">
        <f>CompilDonnées[[#This Row],[FarmID]]&amp;CompilDonnées[[#This Row],[ModuleNumber]]</f>
        <v>472</v>
      </c>
      <c r="P4981" t="str">
        <f>CompilDonnées[[#This Row],[Ref_Module]]&amp;CompilDonnées[[#This Row],[HarvestingDate]]</f>
        <v>47245966</v>
      </c>
    </row>
    <row r="4982" spans="1:16">
      <c r="A4982" s="5">
        <v>45917</v>
      </c>
      <c r="B4982">
        <v>46</v>
      </c>
      <c r="C4982" t="s">
        <v>8</v>
      </c>
      <c r="D4982">
        <v>1</v>
      </c>
      <c r="E4982">
        <v>100</v>
      </c>
      <c r="F4982" t="s">
        <v>1</v>
      </c>
      <c r="G4982" s="6">
        <v>45966</v>
      </c>
      <c r="H4982">
        <v>49</v>
      </c>
      <c r="I4982">
        <f>ROUND(CompilDonnées[[#This Row],[CultureDuration_days]]/7,0)</f>
        <v>7</v>
      </c>
      <c r="J4982">
        <v>2217</v>
      </c>
      <c r="K4982" t="str">
        <f>_xlfn.CONCAT(WEEKNUM(CompilDonnées[[#This Row],[PlantationDate]]), " ", YEAR(CompilDonnées[[#This Row],[PlantationDate]]))</f>
        <v>38 2025</v>
      </c>
      <c r="L4982" t="str">
        <f>CONCATENATE(MONTH(CompilDonnées[[#This Row],[PlantationDate]])," ", YEAR(CompilDonnées[[#This Row],[PlantationDate]]))</f>
        <v>9 2025</v>
      </c>
      <c r="M4982" t="str">
        <f>CONCATENATE(MONTH(CompilDonnées[[#This Row],[HarvestingDate]])," ", YEAR(CompilDonnées[[#This Row],[HarvestingDate]]))</f>
        <v>11 2025</v>
      </c>
      <c r="N4982">
        <f>_xlfn.NUMBERVALUE(CompilDonnées[[#This Row],[FarmID]]&amp;CompilDonnées[[#This Row],[ModuleNumber]]&amp;CompilDonnées[[#This Row],[PlantationDate]])</f>
        <v>46145917</v>
      </c>
      <c r="O4982" t="str">
        <f>CompilDonnées[[#This Row],[FarmID]]&amp;CompilDonnées[[#This Row],[ModuleNumber]]</f>
        <v>461</v>
      </c>
      <c r="P4982" t="str">
        <f>CompilDonnées[[#This Row],[Ref_Module]]&amp;CompilDonnées[[#This Row],[HarvestingDate]]</f>
        <v>46145966</v>
      </c>
    </row>
    <row r="4983" spans="1:16">
      <c r="A4983" s="5">
        <v>45917</v>
      </c>
      <c r="B4983">
        <v>26</v>
      </c>
      <c r="C4983" t="s">
        <v>97</v>
      </c>
      <c r="D4983">
        <v>1</v>
      </c>
      <c r="E4983">
        <v>100</v>
      </c>
      <c r="F4983" t="s">
        <v>1</v>
      </c>
      <c r="G4983" s="6">
        <v>45971</v>
      </c>
      <c r="H4983">
        <v>54</v>
      </c>
      <c r="I4983">
        <f>ROUND(CompilDonnées[[#This Row],[CultureDuration_days]]/7,0)</f>
        <v>8</v>
      </c>
      <c r="J4983">
        <v>1979</v>
      </c>
      <c r="K4983" t="str">
        <f>_xlfn.CONCAT(WEEKNUM(CompilDonnées[[#This Row],[PlantationDate]]), " ", YEAR(CompilDonnées[[#This Row],[PlantationDate]]))</f>
        <v>38 2025</v>
      </c>
      <c r="L4983" t="str">
        <f>CONCATENATE(MONTH(CompilDonnées[[#This Row],[PlantationDate]])," ", YEAR(CompilDonnées[[#This Row],[PlantationDate]]))</f>
        <v>9 2025</v>
      </c>
      <c r="M4983" t="str">
        <f>CONCATENATE(MONTH(CompilDonnées[[#This Row],[HarvestingDate]])," ", YEAR(CompilDonnées[[#This Row],[HarvestingDate]]))</f>
        <v>11 2025</v>
      </c>
      <c r="N4983">
        <f>_xlfn.NUMBERVALUE(CompilDonnées[[#This Row],[FarmID]]&amp;CompilDonnées[[#This Row],[ModuleNumber]]&amp;CompilDonnées[[#This Row],[PlantationDate]])</f>
        <v>26145917</v>
      </c>
      <c r="O4983" t="str">
        <f>CompilDonnées[[#This Row],[FarmID]]&amp;CompilDonnées[[#This Row],[ModuleNumber]]</f>
        <v>261</v>
      </c>
      <c r="P4983" t="str">
        <f>CompilDonnées[[#This Row],[Ref_Module]]&amp;CompilDonnées[[#This Row],[HarvestingDate]]</f>
        <v>26145971</v>
      </c>
    </row>
    <row r="4984" spans="1:16">
      <c r="A4984" s="5">
        <v>45917</v>
      </c>
      <c r="B4984">
        <v>145</v>
      </c>
      <c r="C4984" t="s">
        <v>3</v>
      </c>
      <c r="D4984">
        <v>6</v>
      </c>
      <c r="E4984">
        <v>60</v>
      </c>
      <c r="F4984" t="s">
        <v>105</v>
      </c>
      <c r="G4984" s="6">
        <v>45957</v>
      </c>
      <c r="H4984">
        <v>40</v>
      </c>
      <c r="I4984">
        <f>ROUND(CompilDonnées[[#This Row],[CultureDuration_days]]/7,0)</f>
        <v>6</v>
      </c>
      <c r="J4984">
        <v>613</v>
      </c>
      <c r="K4984" t="str">
        <f>_xlfn.CONCAT(WEEKNUM(CompilDonnées[[#This Row],[PlantationDate]]), " ", YEAR(CompilDonnées[[#This Row],[PlantationDate]]))</f>
        <v>38 2025</v>
      </c>
      <c r="L4984" t="str">
        <f>CONCATENATE(MONTH(CompilDonnées[[#This Row],[PlantationDate]])," ", YEAR(CompilDonnées[[#This Row],[PlantationDate]]))</f>
        <v>9 2025</v>
      </c>
      <c r="M4984" t="str">
        <f>CONCATENATE(MONTH(CompilDonnées[[#This Row],[HarvestingDate]])," ", YEAR(CompilDonnées[[#This Row],[HarvestingDate]]))</f>
        <v>10 2025</v>
      </c>
      <c r="N4984">
        <f>_xlfn.NUMBERVALUE(CompilDonnées[[#This Row],[FarmID]]&amp;CompilDonnées[[#This Row],[ModuleNumber]]&amp;CompilDonnées[[#This Row],[PlantationDate]])</f>
        <v>145645917</v>
      </c>
      <c r="O4984" t="str">
        <f>CompilDonnées[[#This Row],[FarmID]]&amp;CompilDonnées[[#This Row],[ModuleNumber]]</f>
        <v>1456</v>
      </c>
      <c r="P4984" t="str">
        <f>CompilDonnées[[#This Row],[Ref_Module]]&amp;CompilDonnées[[#This Row],[HarvestingDate]]</f>
        <v>145645957</v>
      </c>
    </row>
    <row r="4985" spans="1:16">
      <c r="A4985" s="5">
        <v>45918</v>
      </c>
      <c r="B4985">
        <v>113</v>
      </c>
      <c r="C4985" t="s">
        <v>16</v>
      </c>
      <c r="D4985">
        <v>4</v>
      </c>
      <c r="E4985">
        <v>100</v>
      </c>
      <c r="F4985" t="s">
        <v>1</v>
      </c>
      <c r="G4985" s="6">
        <v>45960</v>
      </c>
      <c r="H4985">
        <v>42</v>
      </c>
      <c r="I4985">
        <f>ROUND(CompilDonnées[[#This Row],[CultureDuration_days]]/7,0)</f>
        <v>6</v>
      </c>
      <c r="J4985">
        <v>3770</v>
      </c>
      <c r="K4985" t="str">
        <f>_xlfn.CONCAT(WEEKNUM(CompilDonnées[[#This Row],[PlantationDate]]), " ", YEAR(CompilDonnées[[#This Row],[PlantationDate]]))</f>
        <v>38 2025</v>
      </c>
      <c r="L4985" t="str">
        <f>CONCATENATE(MONTH(CompilDonnées[[#This Row],[PlantationDate]])," ", YEAR(CompilDonnées[[#This Row],[PlantationDate]]))</f>
        <v>9 2025</v>
      </c>
      <c r="M4985" t="str">
        <f>CONCATENATE(MONTH(CompilDonnées[[#This Row],[HarvestingDate]])," ", YEAR(CompilDonnées[[#This Row],[HarvestingDate]]))</f>
        <v>10 2025</v>
      </c>
      <c r="N4985">
        <f>_xlfn.NUMBERVALUE(CompilDonnées[[#This Row],[FarmID]]&amp;CompilDonnées[[#This Row],[ModuleNumber]]&amp;CompilDonnées[[#This Row],[PlantationDate]])</f>
        <v>113445918</v>
      </c>
      <c r="O4985" t="str">
        <f>CompilDonnées[[#This Row],[FarmID]]&amp;CompilDonnées[[#This Row],[ModuleNumber]]</f>
        <v>1134</v>
      </c>
      <c r="P4985" t="str">
        <f>CompilDonnées[[#This Row],[Ref_Module]]&amp;CompilDonnées[[#This Row],[HarvestingDate]]</f>
        <v>113445960</v>
      </c>
    </row>
    <row r="4986" spans="1:16">
      <c r="A4986" s="5">
        <v>45918</v>
      </c>
      <c r="B4986">
        <v>112</v>
      </c>
      <c r="C4986" t="s">
        <v>15</v>
      </c>
      <c r="D4986">
        <v>4</v>
      </c>
      <c r="E4986">
        <v>100</v>
      </c>
      <c r="F4986" t="s">
        <v>1</v>
      </c>
      <c r="G4986" s="6">
        <v>45964</v>
      </c>
      <c r="H4986">
        <v>46</v>
      </c>
      <c r="I4986">
        <f>ROUND(CompilDonnées[[#This Row],[CultureDuration_days]]/7,0)</f>
        <v>7</v>
      </c>
      <c r="J4986">
        <v>3268</v>
      </c>
      <c r="K4986" t="str">
        <f>_xlfn.CONCAT(WEEKNUM(CompilDonnées[[#This Row],[PlantationDate]]), " ", YEAR(CompilDonnées[[#This Row],[PlantationDate]]))</f>
        <v>38 2025</v>
      </c>
      <c r="L4986" t="str">
        <f>CONCATENATE(MONTH(CompilDonnées[[#This Row],[PlantationDate]])," ", YEAR(CompilDonnées[[#This Row],[PlantationDate]]))</f>
        <v>9 2025</v>
      </c>
      <c r="M4986" t="str">
        <f>CONCATENATE(MONTH(CompilDonnées[[#This Row],[HarvestingDate]])," ", YEAR(CompilDonnées[[#This Row],[HarvestingDate]]))</f>
        <v>11 2025</v>
      </c>
      <c r="N4986">
        <f>_xlfn.NUMBERVALUE(CompilDonnées[[#This Row],[FarmID]]&amp;CompilDonnées[[#This Row],[ModuleNumber]]&amp;CompilDonnées[[#This Row],[PlantationDate]])</f>
        <v>112445918</v>
      </c>
      <c r="O4986" t="str">
        <f>CompilDonnées[[#This Row],[FarmID]]&amp;CompilDonnées[[#This Row],[ModuleNumber]]</f>
        <v>1124</v>
      </c>
      <c r="P4986" t="str">
        <f>CompilDonnées[[#This Row],[Ref_Module]]&amp;CompilDonnées[[#This Row],[HarvestingDate]]</f>
        <v>112445964</v>
      </c>
    </row>
    <row r="4987" spans="1:16">
      <c r="A4987" s="5">
        <v>45918</v>
      </c>
      <c r="B4987">
        <v>120</v>
      </c>
      <c r="C4987" t="s">
        <v>100</v>
      </c>
      <c r="D4987">
        <v>2</v>
      </c>
      <c r="E4987">
        <v>100</v>
      </c>
      <c r="F4987" t="s">
        <v>1</v>
      </c>
      <c r="G4987" s="6">
        <v>45961</v>
      </c>
      <c r="H4987">
        <v>43</v>
      </c>
      <c r="I4987">
        <f>ROUND(CompilDonnées[[#This Row],[CultureDuration_days]]/7,0)</f>
        <v>6</v>
      </c>
      <c r="J4987">
        <v>4900</v>
      </c>
      <c r="K4987" t="str">
        <f>_xlfn.CONCAT(WEEKNUM(CompilDonnées[[#This Row],[PlantationDate]]), " ", YEAR(CompilDonnées[[#This Row],[PlantationDate]]))</f>
        <v>38 2025</v>
      </c>
      <c r="L4987" t="str">
        <f>CONCATENATE(MONTH(CompilDonnées[[#This Row],[PlantationDate]])," ", YEAR(CompilDonnées[[#This Row],[PlantationDate]]))</f>
        <v>9 2025</v>
      </c>
      <c r="M4987" t="str">
        <f>CONCATENATE(MONTH(CompilDonnées[[#This Row],[HarvestingDate]])," ", YEAR(CompilDonnées[[#This Row],[HarvestingDate]]))</f>
        <v>10 2025</v>
      </c>
      <c r="N4987">
        <f>_xlfn.NUMBERVALUE(CompilDonnées[[#This Row],[FarmID]]&amp;CompilDonnées[[#This Row],[ModuleNumber]]&amp;CompilDonnées[[#This Row],[PlantationDate]])</f>
        <v>120245918</v>
      </c>
      <c r="O4987" t="str">
        <f>CompilDonnées[[#This Row],[FarmID]]&amp;CompilDonnées[[#This Row],[ModuleNumber]]</f>
        <v>1202</v>
      </c>
      <c r="P4987" t="str">
        <f>CompilDonnées[[#This Row],[Ref_Module]]&amp;CompilDonnées[[#This Row],[HarvestingDate]]</f>
        <v>120245961</v>
      </c>
    </row>
    <row r="4988" spans="1:16">
      <c r="A4988" s="5">
        <v>45918</v>
      </c>
      <c r="B4988">
        <v>119</v>
      </c>
      <c r="C4988" t="s">
        <v>59</v>
      </c>
      <c r="D4988">
        <v>4</v>
      </c>
      <c r="E4988">
        <v>100</v>
      </c>
      <c r="F4988" t="s">
        <v>1</v>
      </c>
      <c r="G4988" s="6">
        <v>45960</v>
      </c>
      <c r="H4988">
        <v>42</v>
      </c>
      <c r="I4988">
        <f>ROUND(CompilDonnées[[#This Row],[CultureDuration_days]]/7,0)</f>
        <v>6</v>
      </c>
      <c r="J4988">
        <v>3528</v>
      </c>
      <c r="K4988" t="str">
        <f>_xlfn.CONCAT(WEEKNUM(CompilDonnées[[#This Row],[PlantationDate]]), " ", YEAR(CompilDonnées[[#This Row],[PlantationDate]]))</f>
        <v>38 2025</v>
      </c>
      <c r="L4988" t="str">
        <f>CONCATENATE(MONTH(CompilDonnées[[#This Row],[PlantationDate]])," ", YEAR(CompilDonnées[[#This Row],[PlantationDate]]))</f>
        <v>9 2025</v>
      </c>
      <c r="M4988" t="str">
        <f>CONCATENATE(MONTH(CompilDonnées[[#This Row],[HarvestingDate]])," ", YEAR(CompilDonnées[[#This Row],[HarvestingDate]]))</f>
        <v>10 2025</v>
      </c>
      <c r="N4988">
        <f>_xlfn.NUMBERVALUE(CompilDonnées[[#This Row],[FarmID]]&amp;CompilDonnées[[#This Row],[ModuleNumber]]&amp;CompilDonnées[[#This Row],[PlantationDate]])</f>
        <v>119445918</v>
      </c>
      <c r="O4988" t="str">
        <f>CompilDonnées[[#This Row],[FarmID]]&amp;CompilDonnées[[#This Row],[ModuleNumber]]</f>
        <v>1194</v>
      </c>
      <c r="P4988" t="str">
        <f>CompilDonnées[[#This Row],[Ref_Module]]&amp;CompilDonnées[[#This Row],[HarvestingDate]]</f>
        <v>119445960</v>
      </c>
    </row>
    <row r="4989" spans="1:16">
      <c r="A4989" s="5">
        <v>45918</v>
      </c>
      <c r="B4989">
        <v>118</v>
      </c>
      <c r="C4989" t="s">
        <v>51</v>
      </c>
      <c r="D4989">
        <v>4</v>
      </c>
      <c r="E4989">
        <v>100</v>
      </c>
      <c r="F4989" t="s">
        <v>1</v>
      </c>
      <c r="G4989" s="6">
        <v>45960</v>
      </c>
      <c r="H4989">
        <v>42</v>
      </c>
      <c r="I4989">
        <f>ROUND(CompilDonnées[[#This Row],[CultureDuration_days]]/7,0)</f>
        <v>6</v>
      </c>
      <c r="J4989">
        <v>3625</v>
      </c>
      <c r="K4989" t="str">
        <f>_xlfn.CONCAT(WEEKNUM(CompilDonnées[[#This Row],[PlantationDate]]), " ", YEAR(CompilDonnées[[#This Row],[PlantationDate]]))</f>
        <v>38 2025</v>
      </c>
      <c r="L4989" t="str">
        <f>CONCATENATE(MONTH(CompilDonnées[[#This Row],[PlantationDate]])," ", YEAR(CompilDonnées[[#This Row],[PlantationDate]]))</f>
        <v>9 2025</v>
      </c>
      <c r="M4989" t="str">
        <f>CONCATENATE(MONTH(CompilDonnées[[#This Row],[HarvestingDate]])," ", YEAR(CompilDonnées[[#This Row],[HarvestingDate]]))</f>
        <v>10 2025</v>
      </c>
      <c r="N4989">
        <f>_xlfn.NUMBERVALUE(CompilDonnées[[#This Row],[FarmID]]&amp;CompilDonnées[[#This Row],[ModuleNumber]]&amp;CompilDonnées[[#This Row],[PlantationDate]])</f>
        <v>118445918</v>
      </c>
      <c r="O4989" t="str">
        <f>CompilDonnées[[#This Row],[FarmID]]&amp;CompilDonnées[[#This Row],[ModuleNumber]]</f>
        <v>1184</v>
      </c>
      <c r="P4989" t="str">
        <f>CompilDonnées[[#This Row],[Ref_Module]]&amp;CompilDonnées[[#This Row],[HarvestingDate]]</f>
        <v>118445960</v>
      </c>
    </row>
    <row r="4990" spans="1:16">
      <c r="A4990" s="5">
        <v>45918</v>
      </c>
      <c r="B4990">
        <v>126</v>
      </c>
      <c r="C4990" t="s">
        <v>52</v>
      </c>
      <c r="D4990">
        <v>1</v>
      </c>
      <c r="E4990">
        <v>100</v>
      </c>
      <c r="F4990" t="s">
        <v>1</v>
      </c>
      <c r="G4990" s="6">
        <v>45964</v>
      </c>
      <c r="H4990">
        <v>46</v>
      </c>
      <c r="I4990">
        <f>ROUND(CompilDonnées[[#This Row],[CultureDuration_days]]/7,0)</f>
        <v>7</v>
      </c>
      <c r="J4990">
        <v>3222</v>
      </c>
      <c r="K4990" t="str">
        <f>_xlfn.CONCAT(WEEKNUM(CompilDonnées[[#This Row],[PlantationDate]]), " ", YEAR(CompilDonnées[[#This Row],[PlantationDate]]))</f>
        <v>38 2025</v>
      </c>
      <c r="L4990" t="str">
        <f>CONCATENATE(MONTH(CompilDonnées[[#This Row],[PlantationDate]])," ", YEAR(CompilDonnées[[#This Row],[PlantationDate]]))</f>
        <v>9 2025</v>
      </c>
      <c r="M4990" t="str">
        <f>CONCATENATE(MONTH(CompilDonnées[[#This Row],[HarvestingDate]])," ", YEAR(CompilDonnées[[#This Row],[HarvestingDate]]))</f>
        <v>11 2025</v>
      </c>
      <c r="N4990">
        <f>_xlfn.NUMBERVALUE(CompilDonnées[[#This Row],[FarmID]]&amp;CompilDonnées[[#This Row],[ModuleNumber]]&amp;CompilDonnées[[#This Row],[PlantationDate]])</f>
        <v>126145918</v>
      </c>
      <c r="O4990" t="str">
        <f>CompilDonnées[[#This Row],[FarmID]]&amp;CompilDonnées[[#This Row],[ModuleNumber]]</f>
        <v>1261</v>
      </c>
      <c r="P4990" t="str">
        <f>CompilDonnées[[#This Row],[Ref_Module]]&amp;CompilDonnées[[#This Row],[HarvestingDate]]</f>
        <v>126145964</v>
      </c>
    </row>
    <row r="4991" spans="1:16">
      <c r="A4991" s="5">
        <v>45918</v>
      </c>
      <c r="B4991">
        <v>131</v>
      </c>
      <c r="C4991" t="s">
        <v>53</v>
      </c>
      <c r="D4991">
        <v>2</v>
      </c>
      <c r="E4991">
        <v>100</v>
      </c>
      <c r="F4991" t="s">
        <v>1</v>
      </c>
      <c r="G4991" s="6">
        <v>45964</v>
      </c>
      <c r="H4991">
        <v>46</v>
      </c>
      <c r="I4991">
        <f>ROUND(CompilDonnées[[#This Row],[CultureDuration_days]]/7,0)</f>
        <v>7</v>
      </c>
      <c r="J4991">
        <v>3091</v>
      </c>
      <c r="K4991" t="str">
        <f>_xlfn.CONCAT(WEEKNUM(CompilDonnées[[#This Row],[PlantationDate]]), " ", YEAR(CompilDonnées[[#This Row],[PlantationDate]]))</f>
        <v>38 2025</v>
      </c>
      <c r="L4991" t="str">
        <f>CONCATENATE(MONTH(CompilDonnées[[#This Row],[PlantationDate]])," ", YEAR(CompilDonnées[[#This Row],[PlantationDate]]))</f>
        <v>9 2025</v>
      </c>
      <c r="M4991" t="str">
        <f>CONCATENATE(MONTH(CompilDonnées[[#This Row],[HarvestingDate]])," ", YEAR(CompilDonnées[[#This Row],[HarvestingDate]]))</f>
        <v>11 2025</v>
      </c>
      <c r="N4991">
        <f>_xlfn.NUMBERVALUE(CompilDonnées[[#This Row],[FarmID]]&amp;CompilDonnées[[#This Row],[ModuleNumber]]&amp;CompilDonnées[[#This Row],[PlantationDate]])</f>
        <v>131245918</v>
      </c>
      <c r="O4991" t="str">
        <f>CompilDonnées[[#This Row],[FarmID]]&amp;CompilDonnées[[#This Row],[ModuleNumber]]</f>
        <v>1312</v>
      </c>
      <c r="P4991" t="str">
        <f>CompilDonnées[[#This Row],[Ref_Module]]&amp;CompilDonnées[[#This Row],[HarvestingDate]]</f>
        <v>131245964</v>
      </c>
    </row>
    <row r="4992" spans="1:16">
      <c r="A4992" s="5">
        <v>45918</v>
      </c>
      <c r="B4992">
        <v>130</v>
      </c>
      <c r="C4992" t="s">
        <v>98</v>
      </c>
      <c r="D4992">
        <v>2</v>
      </c>
      <c r="E4992">
        <v>100</v>
      </c>
      <c r="F4992" t="s">
        <v>1</v>
      </c>
      <c r="G4992" s="6">
        <v>45964</v>
      </c>
      <c r="H4992">
        <v>46</v>
      </c>
      <c r="I4992">
        <f>ROUND(CompilDonnées[[#This Row],[CultureDuration_days]]/7,0)</f>
        <v>7</v>
      </c>
      <c r="J4992">
        <v>2501</v>
      </c>
      <c r="K4992" t="str">
        <f>_xlfn.CONCAT(WEEKNUM(CompilDonnées[[#This Row],[PlantationDate]]), " ", YEAR(CompilDonnées[[#This Row],[PlantationDate]]))</f>
        <v>38 2025</v>
      </c>
      <c r="L4992" t="str">
        <f>CONCATENATE(MONTH(CompilDonnées[[#This Row],[PlantationDate]])," ", YEAR(CompilDonnées[[#This Row],[PlantationDate]]))</f>
        <v>9 2025</v>
      </c>
      <c r="M4992" t="str">
        <f>CONCATENATE(MONTH(CompilDonnées[[#This Row],[HarvestingDate]])," ", YEAR(CompilDonnées[[#This Row],[HarvestingDate]]))</f>
        <v>11 2025</v>
      </c>
      <c r="N4992">
        <f>_xlfn.NUMBERVALUE(CompilDonnées[[#This Row],[FarmID]]&amp;CompilDonnées[[#This Row],[ModuleNumber]]&amp;CompilDonnées[[#This Row],[PlantationDate]])</f>
        <v>130245918</v>
      </c>
      <c r="O4992" t="str">
        <f>CompilDonnées[[#This Row],[FarmID]]&amp;CompilDonnées[[#This Row],[ModuleNumber]]</f>
        <v>1302</v>
      </c>
      <c r="P4992" t="str">
        <f>CompilDonnées[[#This Row],[Ref_Module]]&amp;CompilDonnées[[#This Row],[HarvestingDate]]</f>
        <v>130245964</v>
      </c>
    </row>
    <row r="4993" spans="1:16">
      <c r="A4993" s="5">
        <v>45918</v>
      </c>
      <c r="B4993">
        <v>138</v>
      </c>
      <c r="C4993" t="s">
        <v>124</v>
      </c>
      <c r="D4993">
        <v>4</v>
      </c>
      <c r="E4993">
        <v>100</v>
      </c>
      <c r="F4993" t="s">
        <v>1</v>
      </c>
      <c r="G4993" s="6">
        <v>45964</v>
      </c>
      <c r="H4993">
        <v>46</v>
      </c>
      <c r="I4993">
        <f>ROUND(CompilDonnées[[#This Row],[CultureDuration_days]]/7,0)</f>
        <v>7</v>
      </c>
      <c r="J4993">
        <v>2118</v>
      </c>
      <c r="K4993" t="str">
        <f>_xlfn.CONCAT(WEEKNUM(CompilDonnées[[#This Row],[PlantationDate]]), " ", YEAR(CompilDonnées[[#This Row],[PlantationDate]]))</f>
        <v>38 2025</v>
      </c>
      <c r="L4993" t="str">
        <f>CONCATENATE(MONTH(CompilDonnées[[#This Row],[PlantationDate]])," ", YEAR(CompilDonnées[[#This Row],[PlantationDate]]))</f>
        <v>9 2025</v>
      </c>
      <c r="M4993" t="str">
        <f>CONCATENATE(MONTH(CompilDonnées[[#This Row],[HarvestingDate]])," ", YEAR(CompilDonnées[[#This Row],[HarvestingDate]]))</f>
        <v>11 2025</v>
      </c>
      <c r="N4993">
        <f>_xlfn.NUMBERVALUE(CompilDonnées[[#This Row],[FarmID]]&amp;CompilDonnées[[#This Row],[ModuleNumber]]&amp;CompilDonnées[[#This Row],[PlantationDate]])</f>
        <v>138445918</v>
      </c>
      <c r="O4993" t="str">
        <f>CompilDonnées[[#This Row],[FarmID]]&amp;CompilDonnées[[#This Row],[ModuleNumber]]</f>
        <v>1384</v>
      </c>
      <c r="P4993" t="str">
        <f>CompilDonnées[[#This Row],[Ref_Module]]&amp;CompilDonnées[[#This Row],[HarvestingDate]]</f>
        <v>138445964</v>
      </c>
    </row>
    <row r="4994" spans="1:16">
      <c r="A4994" s="5">
        <v>45918</v>
      </c>
      <c r="B4994">
        <v>137</v>
      </c>
      <c r="C4994" t="s">
        <v>108</v>
      </c>
      <c r="D4994">
        <v>3</v>
      </c>
      <c r="E4994">
        <v>100</v>
      </c>
      <c r="F4994" t="s">
        <v>1</v>
      </c>
      <c r="G4994" s="6">
        <v>45964</v>
      </c>
      <c r="H4994">
        <v>46</v>
      </c>
      <c r="I4994">
        <f>ROUND(CompilDonnées[[#This Row],[CultureDuration_days]]/7,0)</f>
        <v>7</v>
      </c>
      <c r="J4994">
        <v>2109</v>
      </c>
      <c r="K4994" t="str">
        <f>_xlfn.CONCAT(WEEKNUM(CompilDonnées[[#This Row],[PlantationDate]]), " ", YEAR(CompilDonnées[[#This Row],[PlantationDate]]))</f>
        <v>38 2025</v>
      </c>
      <c r="L4994" t="str">
        <f>CONCATENATE(MONTH(CompilDonnées[[#This Row],[PlantationDate]])," ", YEAR(CompilDonnées[[#This Row],[PlantationDate]]))</f>
        <v>9 2025</v>
      </c>
      <c r="M4994" t="str">
        <f>CONCATENATE(MONTH(CompilDonnées[[#This Row],[HarvestingDate]])," ", YEAR(CompilDonnées[[#This Row],[HarvestingDate]]))</f>
        <v>11 2025</v>
      </c>
      <c r="N4994">
        <f>_xlfn.NUMBERVALUE(CompilDonnées[[#This Row],[FarmID]]&amp;CompilDonnées[[#This Row],[ModuleNumber]]&amp;CompilDonnées[[#This Row],[PlantationDate]])</f>
        <v>137345918</v>
      </c>
      <c r="O4994" t="str">
        <f>CompilDonnées[[#This Row],[FarmID]]&amp;CompilDonnées[[#This Row],[ModuleNumber]]</f>
        <v>1373</v>
      </c>
      <c r="P4994" t="str">
        <f>CompilDonnées[[#This Row],[Ref_Module]]&amp;CompilDonnées[[#This Row],[HarvestingDate]]</f>
        <v>137345964</v>
      </c>
    </row>
    <row r="4995" spans="1:16">
      <c r="A4995" s="5">
        <v>45918</v>
      </c>
      <c r="B4995">
        <v>137</v>
      </c>
      <c r="C4995" t="s">
        <v>108</v>
      </c>
      <c r="D4995">
        <v>4</v>
      </c>
      <c r="E4995">
        <v>100</v>
      </c>
      <c r="F4995" t="s">
        <v>1</v>
      </c>
      <c r="G4995" s="6">
        <v>45964</v>
      </c>
      <c r="H4995">
        <v>46</v>
      </c>
      <c r="I4995">
        <f>ROUND(CompilDonnées[[#This Row],[CultureDuration_days]]/7,0)</f>
        <v>7</v>
      </c>
      <c r="J4995">
        <v>2026</v>
      </c>
      <c r="K4995" t="str">
        <f>_xlfn.CONCAT(WEEKNUM(CompilDonnées[[#This Row],[PlantationDate]]), " ", YEAR(CompilDonnées[[#This Row],[PlantationDate]]))</f>
        <v>38 2025</v>
      </c>
      <c r="L4995" t="str">
        <f>CONCATENATE(MONTH(CompilDonnées[[#This Row],[PlantationDate]])," ", YEAR(CompilDonnées[[#This Row],[PlantationDate]]))</f>
        <v>9 2025</v>
      </c>
      <c r="M4995" t="str">
        <f>CONCATENATE(MONTH(CompilDonnées[[#This Row],[HarvestingDate]])," ", YEAR(CompilDonnées[[#This Row],[HarvestingDate]]))</f>
        <v>11 2025</v>
      </c>
      <c r="N4995">
        <f>_xlfn.NUMBERVALUE(CompilDonnées[[#This Row],[FarmID]]&amp;CompilDonnées[[#This Row],[ModuleNumber]]&amp;CompilDonnées[[#This Row],[PlantationDate]])</f>
        <v>137445918</v>
      </c>
      <c r="O4995" t="str">
        <f>CompilDonnées[[#This Row],[FarmID]]&amp;CompilDonnées[[#This Row],[ModuleNumber]]</f>
        <v>1374</v>
      </c>
      <c r="P4995" t="str">
        <f>CompilDonnées[[#This Row],[Ref_Module]]&amp;CompilDonnées[[#This Row],[HarvestingDate]]</f>
        <v>137445964</v>
      </c>
    </row>
    <row r="4996" spans="1:16">
      <c r="A4996" s="5">
        <v>45918</v>
      </c>
      <c r="B4996">
        <v>36</v>
      </c>
      <c r="C4996" t="s">
        <v>63</v>
      </c>
      <c r="D4996">
        <v>1</v>
      </c>
      <c r="E4996">
        <v>100</v>
      </c>
      <c r="F4996" t="s">
        <v>1</v>
      </c>
      <c r="G4996" s="6">
        <v>45966</v>
      </c>
      <c r="H4996">
        <v>48</v>
      </c>
      <c r="I4996">
        <f>ROUND(CompilDonnées[[#This Row],[CultureDuration_days]]/7,0)</f>
        <v>7</v>
      </c>
      <c r="J4996">
        <v>1732</v>
      </c>
      <c r="K4996" t="str">
        <f>_xlfn.CONCAT(WEEKNUM(CompilDonnées[[#This Row],[PlantationDate]]), " ", YEAR(CompilDonnées[[#This Row],[PlantationDate]]))</f>
        <v>38 2025</v>
      </c>
      <c r="L4996" t="str">
        <f>CONCATENATE(MONTH(CompilDonnées[[#This Row],[PlantationDate]])," ", YEAR(CompilDonnées[[#This Row],[PlantationDate]]))</f>
        <v>9 2025</v>
      </c>
      <c r="M4996" t="str">
        <f>CONCATENATE(MONTH(CompilDonnées[[#This Row],[HarvestingDate]])," ", YEAR(CompilDonnées[[#This Row],[HarvestingDate]]))</f>
        <v>11 2025</v>
      </c>
      <c r="N4996">
        <f>_xlfn.NUMBERVALUE(CompilDonnées[[#This Row],[FarmID]]&amp;CompilDonnées[[#This Row],[ModuleNumber]]&amp;CompilDonnées[[#This Row],[PlantationDate]])</f>
        <v>36145918</v>
      </c>
      <c r="O4996" t="str">
        <f>CompilDonnées[[#This Row],[FarmID]]&amp;CompilDonnées[[#This Row],[ModuleNumber]]</f>
        <v>361</v>
      </c>
      <c r="P4996" t="str">
        <f>CompilDonnées[[#This Row],[Ref_Module]]&amp;CompilDonnées[[#This Row],[HarvestingDate]]</f>
        <v>36145966</v>
      </c>
    </row>
    <row r="4997" spans="1:16">
      <c r="A4997" s="5">
        <v>45918</v>
      </c>
      <c r="B4997">
        <v>45</v>
      </c>
      <c r="C4997" t="s">
        <v>77</v>
      </c>
      <c r="D4997">
        <v>1</v>
      </c>
      <c r="E4997">
        <v>100</v>
      </c>
      <c r="F4997" t="s">
        <v>1</v>
      </c>
      <c r="G4997" s="6">
        <v>45966</v>
      </c>
      <c r="H4997">
        <v>48</v>
      </c>
      <c r="I4997">
        <f>ROUND(CompilDonnées[[#This Row],[CultureDuration_days]]/7,0)</f>
        <v>7</v>
      </c>
      <c r="J4997">
        <v>3972</v>
      </c>
      <c r="K4997" t="str">
        <f>_xlfn.CONCAT(WEEKNUM(CompilDonnées[[#This Row],[PlantationDate]]), " ", YEAR(CompilDonnées[[#This Row],[PlantationDate]]))</f>
        <v>38 2025</v>
      </c>
      <c r="L4997" t="str">
        <f>CONCATENATE(MONTH(CompilDonnées[[#This Row],[PlantationDate]])," ", YEAR(CompilDonnées[[#This Row],[PlantationDate]]))</f>
        <v>9 2025</v>
      </c>
      <c r="M4997" t="str">
        <f>CONCATENATE(MONTH(CompilDonnées[[#This Row],[HarvestingDate]])," ", YEAR(CompilDonnées[[#This Row],[HarvestingDate]]))</f>
        <v>11 2025</v>
      </c>
      <c r="N4997">
        <f>_xlfn.NUMBERVALUE(CompilDonnées[[#This Row],[FarmID]]&amp;CompilDonnées[[#This Row],[ModuleNumber]]&amp;CompilDonnées[[#This Row],[PlantationDate]])</f>
        <v>45145918</v>
      </c>
      <c r="O4997" t="str">
        <f>CompilDonnées[[#This Row],[FarmID]]&amp;CompilDonnées[[#This Row],[ModuleNumber]]</f>
        <v>451</v>
      </c>
      <c r="P4997" t="str">
        <f>CompilDonnées[[#This Row],[Ref_Module]]&amp;CompilDonnées[[#This Row],[HarvestingDate]]</f>
        <v>45145966</v>
      </c>
    </row>
    <row r="4998" spans="1:16">
      <c r="A4998" s="5">
        <v>45918</v>
      </c>
      <c r="B4998">
        <v>47</v>
      </c>
      <c r="C4998" t="s">
        <v>104</v>
      </c>
      <c r="D4998">
        <v>5</v>
      </c>
      <c r="E4998">
        <v>100</v>
      </c>
      <c r="F4998" t="s">
        <v>1</v>
      </c>
      <c r="G4998" s="6">
        <v>45972</v>
      </c>
      <c r="H4998">
        <v>54</v>
      </c>
      <c r="I4998">
        <f>ROUND(CompilDonnées[[#This Row],[CultureDuration_days]]/7,0)</f>
        <v>8</v>
      </c>
      <c r="J4998">
        <v>2130</v>
      </c>
      <c r="K4998" t="str">
        <f>_xlfn.CONCAT(WEEKNUM(CompilDonnées[[#This Row],[PlantationDate]]), " ", YEAR(CompilDonnées[[#This Row],[PlantationDate]]))</f>
        <v>38 2025</v>
      </c>
      <c r="L4998" t="str">
        <f>CONCATENATE(MONTH(CompilDonnées[[#This Row],[PlantationDate]])," ", YEAR(CompilDonnées[[#This Row],[PlantationDate]]))</f>
        <v>9 2025</v>
      </c>
      <c r="M4998" t="str">
        <f>CONCATENATE(MONTH(CompilDonnées[[#This Row],[HarvestingDate]])," ", YEAR(CompilDonnées[[#This Row],[HarvestingDate]]))</f>
        <v>11 2025</v>
      </c>
      <c r="N4998">
        <f>_xlfn.NUMBERVALUE(CompilDonnées[[#This Row],[FarmID]]&amp;CompilDonnées[[#This Row],[ModuleNumber]]&amp;CompilDonnées[[#This Row],[PlantationDate]])</f>
        <v>47545918</v>
      </c>
      <c r="O4998" t="str">
        <f>CompilDonnées[[#This Row],[FarmID]]&amp;CompilDonnées[[#This Row],[ModuleNumber]]</f>
        <v>475</v>
      </c>
      <c r="P4998" t="str">
        <f>CompilDonnées[[#This Row],[Ref_Module]]&amp;CompilDonnées[[#This Row],[HarvestingDate]]</f>
        <v>47545972</v>
      </c>
    </row>
    <row r="4999" spans="1:16">
      <c r="A4999" s="5">
        <v>45918</v>
      </c>
      <c r="B4999">
        <v>26</v>
      </c>
      <c r="C4999" t="s">
        <v>97</v>
      </c>
      <c r="D4999">
        <v>2</v>
      </c>
      <c r="E4999">
        <v>100</v>
      </c>
      <c r="F4999" t="s">
        <v>1</v>
      </c>
      <c r="G4999" s="6">
        <v>45971</v>
      </c>
      <c r="H4999">
        <v>53</v>
      </c>
      <c r="I4999">
        <f>ROUND(CompilDonnées[[#This Row],[CultureDuration_days]]/7,0)</f>
        <v>8</v>
      </c>
      <c r="J4999">
        <v>1796</v>
      </c>
      <c r="K4999" t="str">
        <f>_xlfn.CONCAT(WEEKNUM(CompilDonnées[[#This Row],[PlantationDate]]), " ", YEAR(CompilDonnées[[#This Row],[PlantationDate]]))</f>
        <v>38 2025</v>
      </c>
      <c r="L4999" t="str">
        <f>CONCATENATE(MONTH(CompilDonnées[[#This Row],[PlantationDate]])," ", YEAR(CompilDonnées[[#This Row],[PlantationDate]]))</f>
        <v>9 2025</v>
      </c>
      <c r="M4999" t="str">
        <f>CONCATENATE(MONTH(CompilDonnées[[#This Row],[HarvestingDate]])," ", YEAR(CompilDonnées[[#This Row],[HarvestingDate]]))</f>
        <v>11 2025</v>
      </c>
      <c r="N4999">
        <f>_xlfn.NUMBERVALUE(CompilDonnées[[#This Row],[FarmID]]&amp;CompilDonnées[[#This Row],[ModuleNumber]]&amp;CompilDonnées[[#This Row],[PlantationDate]])</f>
        <v>26245918</v>
      </c>
      <c r="O4999" t="str">
        <f>CompilDonnées[[#This Row],[FarmID]]&amp;CompilDonnées[[#This Row],[ModuleNumber]]</f>
        <v>262</v>
      </c>
      <c r="P4999" t="str">
        <f>CompilDonnées[[#This Row],[Ref_Module]]&amp;CompilDonnées[[#This Row],[HarvestingDate]]</f>
        <v>26245971</v>
      </c>
    </row>
    <row r="5000" spans="1:16">
      <c r="A5000" s="5">
        <v>45918</v>
      </c>
      <c r="B5000">
        <v>69</v>
      </c>
      <c r="C5000" t="s">
        <v>102</v>
      </c>
      <c r="D5000">
        <v>1</v>
      </c>
      <c r="E5000">
        <v>100</v>
      </c>
      <c r="F5000" t="s">
        <v>1</v>
      </c>
      <c r="G5000" s="6">
        <v>45965</v>
      </c>
      <c r="H5000">
        <v>47</v>
      </c>
      <c r="I5000">
        <f>ROUND(CompilDonnées[[#This Row],[CultureDuration_days]]/7,0)</f>
        <v>7</v>
      </c>
      <c r="J5000">
        <v>2414</v>
      </c>
      <c r="K5000" t="str">
        <f>_xlfn.CONCAT(WEEKNUM(CompilDonnées[[#This Row],[PlantationDate]]), " ", YEAR(CompilDonnées[[#This Row],[PlantationDate]]))</f>
        <v>38 2025</v>
      </c>
      <c r="L5000" t="str">
        <f>CONCATENATE(MONTH(CompilDonnées[[#This Row],[PlantationDate]])," ", YEAR(CompilDonnées[[#This Row],[PlantationDate]]))</f>
        <v>9 2025</v>
      </c>
      <c r="M5000" t="str">
        <f>CONCATENATE(MONTH(CompilDonnées[[#This Row],[HarvestingDate]])," ", YEAR(CompilDonnées[[#This Row],[HarvestingDate]]))</f>
        <v>11 2025</v>
      </c>
      <c r="N5000">
        <f>_xlfn.NUMBERVALUE(CompilDonnées[[#This Row],[FarmID]]&amp;CompilDonnées[[#This Row],[ModuleNumber]]&amp;CompilDonnées[[#This Row],[PlantationDate]])</f>
        <v>69145918</v>
      </c>
      <c r="O5000" t="str">
        <f>CompilDonnées[[#This Row],[FarmID]]&amp;CompilDonnées[[#This Row],[ModuleNumber]]</f>
        <v>691</v>
      </c>
      <c r="P5000" t="str">
        <f>CompilDonnées[[#This Row],[Ref_Module]]&amp;CompilDonnées[[#This Row],[HarvestingDate]]</f>
        <v>69145965</v>
      </c>
    </row>
    <row r="5001" spans="1:16">
      <c r="A5001" s="5">
        <v>45918</v>
      </c>
      <c r="B5001">
        <v>52</v>
      </c>
      <c r="C5001" t="s">
        <v>88</v>
      </c>
      <c r="D5001">
        <v>4</v>
      </c>
      <c r="E5001">
        <v>100</v>
      </c>
      <c r="F5001" t="s">
        <v>1</v>
      </c>
      <c r="G5001" s="6">
        <v>45966</v>
      </c>
      <c r="H5001">
        <v>48</v>
      </c>
      <c r="I5001">
        <f>ROUND(CompilDonnées[[#This Row],[CultureDuration_days]]/7,0)</f>
        <v>7</v>
      </c>
      <c r="J5001">
        <v>4284</v>
      </c>
      <c r="K5001" t="str">
        <f>_xlfn.CONCAT(WEEKNUM(CompilDonnées[[#This Row],[PlantationDate]]), " ", YEAR(CompilDonnées[[#This Row],[PlantationDate]]))</f>
        <v>38 2025</v>
      </c>
      <c r="L5001" t="str">
        <f>CONCATENATE(MONTH(CompilDonnées[[#This Row],[PlantationDate]])," ", YEAR(CompilDonnées[[#This Row],[PlantationDate]]))</f>
        <v>9 2025</v>
      </c>
      <c r="M5001" t="str">
        <f>CONCATENATE(MONTH(CompilDonnées[[#This Row],[HarvestingDate]])," ", YEAR(CompilDonnées[[#This Row],[HarvestingDate]]))</f>
        <v>11 2025</v>
      </c>
      <c r="N5001">
        <f>_xlfn.NUMBERVALUE(CompilDonnées[[#This Row],[FarmID]]&amp;CompilDonnées[[#This Row],[ModuleNumber]]&amp;CompilDonnées[[#This Row],[PlantationDate]])</f>
        <v>52445918</v>
      </c>
      <c r="O5001" t="str">
        <f>CompilDonnées[[#This Row],[FarmID]]&amp;CompilDonnées[[#This Row],[ModuleNumber]]</f>
        <v>524</v>
      </c>
      <c r="P5001" t="str">
        <f>CompilDonnées[[#This Row],[Ref_Module]]&amp;CompilDonnées[[#This Row],[HarvestingDate]]</f>
        <v>52445966</v>
      </c>
    </row>
    <row r="5002" spans="1:16">
      <c r="A5002" s="5">
        <v>45918</v>
      </c>
      <c r="B5002">
        <v>72</v>
      </c>
      <c r="C5002" t="s">
        <v>49</v>
      </c>
      <c r="D5002">
        <v>3</v>
      </c>
      <c r="E5002">
        <v>100</v>
      </c>
      <c r="F5002" t="s">
        <v>1</v>
      </c>
      <c r="G5002" s="6">
        <v>45972</v>
      </c>
      <c r="H5002">
        <v>54</v>
      </c>
      <c r="I5002">
        <f>ROUND(CompilDonnées[[#This Row],[CultureDuration_days]]/7,0)</f>
        <v>8</v>
      </c>
      <c r="J5002">
        <v>2625</v>
      </c>
      <c r="K5002" t="str">
        <f>_xlfn.CONCAT(WEEKNUM(CompilDonnées[[#This Row],[PlantationDate]]), " ", YEAR(CompilDonnées[[#This Row],[PlantationDate]]))</f>
        <v>38 2025</v>
      </c>
      <c r="L5002" t="str">
        <f>CONCATENATE(MONTH(CompilDonnées[[#This Row],[PlantationDate]])," ", YEAR(CompilDonnées[[#This Row],[PlantationDate]]))</f>
        <v>9 2025</v>
      </c>
      <c r="M5002" t="str">
        <f>CONCATENATE(MONTH(CompilDonnées[[#This Row],[HarvestingDate]])," ", YEAR(CompilDonnées[[#This Row],[HarvestingDate]]))</f>
        <v>11 2025</v>
      </c>
      <c r="N5002">
        <f>_xlfn.NUMBERVALUE(CompilDonnées[[#This Row],[FarmID]]&amp;CompilDonnées[[#This Row],[ModuleNumber]]&amp;CompilDonnées[[#This Row],[PlantationDate]])</f>
        <v>72345918</v>
      </c>
      <c r="O5002" t="str">
        <f>CompilDonnées[[#This Row],[FarmID]]&amp;CompilDonnées[[#This Row],[ModuleNumber]]</f>
        <v>723</v>
      </c>
      <c r="P5002" t="str">
        <f>CompilDonnées[[#This Row],[Ref_Module]]&amp;CompilDonnées[[#This Row],[HarvestingDate]]</f>
        <v>72345972</v>
      </c>
    </row>
    <row r="5003" spans="1:16">
      <c r="A5003" s="5">
        <v>45918</v>
      </c>
      <c r="B5003">
        <v>74</v>
      </c>
      <c r="C5003" t="s">
        <v>21</v>
      </c>
      <c r="D5003">
        <v>4</v>
      </c>
      <c r="E5003">
        <v>100</v>
      </c>
      <c r="F5003" t="s">
        <v>1</v>
      </c>
      <c r="G5003" s="6">
        <v>45965</v>
      </c>
      <c r="H5003">
        <v>47</v>
      </c>
      <c r="I5003">
        <f>ROUND(CompilDonnées[[#This Row],[CultureDuration_days]]/7,0)</f>
        <v>7</v>
      </c>
      <c r="J5003">
        <v>2753</v>
      </c>
      <c r="K5003" t="str">
        <f>_xlfn.CONCAT(WEEKNUM(CompilDonnées[[#This Row],[PlantationDate]]), " ", YEAR(CompilDonnées[[#This Row],[PlantationDate]]))</f>
        <v>38 2025</v>
      </c>
      <c r="L5003" t="str">
        <f>CONCATENATE(MONTH(CompilDonnées[[#This Row],[PlantationDate]])," ", YEAR(CompilDonnées[[#This Row],[PlantationDate]]))</f>
        <v>9 2025</v>
      </c>
      <c r="M5003" t="str">
        <f>CONCATENATE(MONTH(CompilDonnées[[#This Row],[HarvestingDate]])," ", YEAR(CompilDonnées[[#This Row],[HarvestingDate]]))</f>
        <v>11 2025</v>
      </c>
      <c r="N5003">
        <f>_xlfn.NUMBERVALUE(CompilDonnées[[#This Row],[FarmID]]&amp;CompilDonnées[[#This Row],[ModuleNumber]]&amp;CompilDonnées[[#This Row],[PlantationDate]])</f>
        <v>74445918</v>
      </c>
      <c r="O5003" t="str">
        <f>CompilDonnées[[#This Row],[FarmID]]&amp;CompilDonnées[[#This Row],[ModuleNumber]]</f>
        <v>744</v>
      </c>
      <c r="P5003" t="str">
        <f>CompilDonnées[[#This Row],[Ref_Module]]&amp;CompilDonnées[[#This Row],[HarvestingDate]]</f>
        <v>74445965</v>
      </c>
    </row>
    <row r="5004" spans="1:16">
      <c r="A5004" s="5">
        <v>45918</v>
      </c>
      <c r="B5004">
        <v>76</v>
      </c>
      <c r="C5004" t="s">
        <v>18</v>
      </c>
      <c r="D5004">
        <v>4</v>
      </c>
      <c r="E5004">
        <v>100</v>
      </c>
      <c r="F5004" t="s">
        <v>1</v>
      </c>
      <c r="G5004" s="6">
        <v>45958</v>
      </c>
      <c r="H5004">
        <v>40</v>
      </c>
      <c r="I5004">
        <f>ROUND(CompilDonnées[[#This Row],[CultureDuration_days]]/7,0)</f>
        <v>6</v>
      </c>
      <c r="J5004">
        <v>2032</v>
      </c>
      <c r="K5004" t="str">
        <f>_xlfn.CONCAT(WEEKNUM(CompilDonnées[[#This Row],[PlantationDate]]), " ", YEAR(CompilDonnées[[#This Row],[PlantationDate]]))</f>
        <v>38 2025</v>
      </c>
      <c r="L5004" t="str">
        <f>CONCATENATE(MONTH(CompilDonnées[[#This Row],[PlantationDate]])," ", YEAR(CompilDonnées[[#This Row],[PlantationDate]]))</f>
        <v>9 2025</v>
      </c>
      <c r="M5004" t="str">
        <f>CONCATENATE(MONTH(CompilDonnées[[#This Row],[HarvestingDate]])," ", YEAR(CompilDonnées[[#This Row],[HarvestingDate]]))</f>
        <v>10 2025</v>
      </c>
      <c r="N5004">
        <f>_xlfn.NUMBERVALUE(CompilDonnées[[#This Row],[FarmID]]&amp;CompilDonnées[[#This Row],[ModuleNumber]]&amp;CompilDonnées[[#This Row],[PlantationDate]])</f>
        <v>76445918</v>
      </c>
      <c r="O5004" t="str">
        <f>CompilDonnées[[#This Row],[FarmID]]&amp;CompilDonnées[[#This Row],[ModuleNumber]]</f>
        <v>764</v>
      </c>
      <c r="P5004" t="str">
        <f>CompilDonnées[[#This Row],[Ref_Module]]&amp;CompilDonnées[[#This Row],[HarvestingDate]]</f>
        <v>76445958</v>
      </c>
    </row>
    <row r="5005" spans="1:16">
      <c r="A5005" s="5">
        <v>45918</v>
      </c>
      <c r="B5005">
        <v>77</v>
      </c>
      <c r="C5005" t="s">
        <v>75</v>
      </c>
      <c r="D5005">
        <v>4</v>
      </c>
      <c r="E5005">
        <v>100</v>
      </c>
      <c r="F5005" t="s">
        <v>1</v>
      </c>
      <c r="G5005" s="6">
        <v>45959</v>
      </c>
      <c r="H5005">
        <v>41</v>
      </c>
      <c r="I5005">
        <f>ROUND(CompilDonnées[[#This Row],[CultureDuration_days]]/7,0)</f>
        <v>6</v>
      </c>
      <c r="J5005">
        <v>1941</v>
      </c>
      <c r="K5005" t="str">
        <f>_xlfn.CONCAT(WEEKNUM(CompilDonnées[[#This Row],[PlantationDate]]), " ", YEAR(CompilDonnées[[#This Row],[PlantationDate]]))</f>
        <v>38 2025</v>
      </c>
      <c r="L5005" t="str">
        <f>CONCATENATE(MONTH(CompilDonnées[[#This Row],[PlantationDate]])," ", YEAR(CompilDonnées[[#This Row],[PlantationDate]]))</f>
        <v>9 2025</v>
      </c>
      <c r="M5005" t="str">
        <f>CONCATENATE(MONTH(CompilDonnées[[#This Row],[HarvestingDate]])," ", YEAR(CompilDonnées[[#This Row],[HarvestingDate]]))</f>
        <v>10 2025</v>
      </c>
      <c r="N5005">
        <f>_xlfn.NUMBERVALUE(CompilDonnées[[#This Row],[FarmID]]&amp;CompilDonnées[[#This Row],[ModuleNumber]]&amp;CompilDonnées[[#This Row],[PlantationDate]])</f>
        <v>77445918</v>
      </c>
      <c r="O5005" t="str">
        <f>CompilDonnées[[#This Row],[FarmID]]&amp;CompilDonnées[[#This Row],[ModuleNumber]]</f>
        <v>774</v>
      </c>
      <c r="P5005" t="str">
        <f>CompilDonnées[[#This Row],[Ref_Module]]&amp;CompilDonnées[[#This Row],[HarvestingDate]]</f>
        <v>77445959</v>
      </c>
    </row>
    <row r="5006" spans="1:16">
      <c r="A5006" s="5">
        <v>45918</v>
      </c>
      <c r="B5006">
        <v>81</v>
      </c>
      <c r="C5006" t="s">
        <v>30</v>
      </c>
      <c r="D5006">
        <v>6</v>
      </c>
      <c r="E5006">
        <v>100</v>
      </c>
      <c r="F5006" t="s">
        <v>1</v>
      </c>
      <c r="G5006" s="6">
        <v>45965</v>
      </c>
      <c r="H5006">
        <v>47</v>
      </c>
      <c r="I5006">
        <f>ROUND(CompilDonnées[[#This Row],[CultureDuration_days]]/7,0)</f>
        <v>7</v>
      </c>
      <c r="J5006">
        <v>4879</v>
      </c>
      <c r="K5006" t="str">
        <f>_xlfn.CONCAT(WEEKNUM(CompilDonnées[[#This Row],[PlantationDate]]), " ", YEAR(CompilDonnées[[#This Row],[PlantationDate]]))</f>
        <v>38 2025</v>
      </c>
      <c r="L5006" t="str">
        <f>CONCATENATE(MONTH(CompilDonnées[[#This Row],[PlantationDate]])," ", YEAR(CompilDonnées[[#This Row],[PlantationDate]]))</f>
        <v>9 2025</v>
      </c>
      <c r="M5006" t="str">
        <f>CONCATENATE(MONTH(CompilDonnées[[#This Row],[HarvestingDate]])," ", YEAR(CompilDonnées[[#This Row],[HarvestingDate]]))</f>
        <v>11 2025</v>
      </c>
      <c r="N5006">
        <f>_xlfn.NUMBERVALUE(CompilDonnées[[#This Row],[FarmID]]&amp;CompilDonnées[[#This Row],[ModuleNumber]]&amp;CompilDonnées[[#This Row],[PlantationDate]])</f>
        <v>81645918</v>
      </c>
      <c r="O5006" t="str">
        <f>CompilDonnées[[#This Row],[FarmID]]&amp;CompilDonnées[[#This Row],[ModuleNumber]]</f>
        <v>816</v>
      </c>
      <c r="P5006" t="str">
        <f>CompilDonnées[[#This Row],[Ref_Module]]&amp;CompilDonnées[[#This Row],[HarvestingDate]]</f>
        <v>81645965</v>
      </c>
    </row>
    <row r="5007" spans="1:16">
      <c r="A5007" s="5">
        <v>45918</v>
      </c>
      <c r="B5007">
        <v>84</v>
      </c>
      <c r="C5007" t="s">
        <v>65</v>
      </c>
      <c r="D5007">
        <v>3</v>
      </c>
      <c r="E5007">
        <v>100</v>
      </c>
      <c r="F5007" t="s">
        <v>1</v>
      </c>
      <c r="G5007" s="6">
        <v>45959</v>
      </c>
      <c r="H5007">
        <v>41</v>
      </c>
      <c r="I5007">
        <f>ROUND(CompilDonnées[[#This Row],[CultureDuration_days]]/7,0)</f>
        <v>6</v>
      </c>
      <c r="J5007">
        <v>1200</v>
      </c>
      <c r="K5007" t="str">
        <f>_xlfn.CONCAT(WEEKNUM(CompilDonnées[[#This Row],[PlantationDate]]), " ", YEAR(CompilDonnées[[#This Row],[PlantationDate]]))</f>
        <v>38 2025</v>
      </c>
      <c r="L5007" t="str">
        <f>CONCATENATE(MONTH(CompilDonnées[[#This Row],[PlantationDate]])," ", YEAR(CompilDonnées[[#This Row],[PlantationDate]]))</f>
        <v>9 2025</v>
      </c>
      <c r="M5007" t="str">
        <f>CONCATENATE(MONTH(CompilDonnées[[#This Row],[HarvestingDate]])," ", YEAR(CompilDonnées[[#This Row],[HarvestingDate]]))</f>
        <v>10 2025</v>
      </c>
      <c r="N5007">
        <f>_xlfn.NUMBERVALUE(CompilDonnées[[#This Row],[FarmID]]&amp;CompilDonnées[[#This Row],[ModuleNumber]]&amp;CompilDonnées[[#This Row],[PlantationDate]])</f>
        <v>84345918</v>
      </c>
      <c r="O5007" t="str">
        <f>CompilDonnées[[#This Row],[FarmID]]&amp;CompilDonnées[[#This Row],[ModuleNumber]]</f>
        <v>843</v>
      </c>
      <c r="P5007" t="str">
        <f>CompilDonnées[[#This Row],[Ref_Module]]&amp;CompilDonnées[[#This Row],[HarvestingDate]]</f>
        <v>84345959</v>
      </c>
    </row>
    <row r="5008" spans="1:16">
      <c r="A5008" s="5">
        <v>45918</v>
      </c>
      <c r="B5008">
        <v>65</v>
      </c>
      <c r="C5008" t="s">
        <v>36</v>
      </c>
      <c r="D5008">
        <v>3</v>
      </c>
      <c r="E5008">
        <v>100</v>
      </c>
      <c r="F5008" t="s">
        <v>1</v>
      </c>
      <c r="G5008" s="6">
        <v>45972</v>
      </c>
      <c r="H5008">
        <v>54</v>
      </c>
      <c r="I5008">
        <f>ROUND(CompilDonnées[[#This Row],[CultureDuration_days]]/7,0)</f>
        <v>8</v>
      </c>
      <c r="J5008">
        <v>2038</v>
      </c>
      <c r="K5008" t="str">
        <f>_xlfn.CONCAT(WEEKNUM(CompilDonnées[[#This Row],[PlantationDate]]), " ", YEAR(CompilDonnées[[#This Row],[PlantationDate]]))</f>
        <v>38 2025</v>
      </c>
      <c r="L5008" t="str">
        <f>CONCATENATE(MONTH(CompilDonnées[[#This Row],[PlantationDate]])," ", YEAR(CompilDonnées[[#This Row],[PlantationDate]]))</f>
        <v>9 2025</v>
      </c>
      <c r="M5008" t="str">
        <f>CONCATENATE(MONTH(CompilDonnées[[#This Row],[HarvestingDate]])," ", YEAR(CompilDonnées[[#This Row],[HarvestingDate]]))</f>
        <v>11 2025</v>
      </c>
      <c r="N5008">
        <f>_xlfn.NUMBERVALUE(CompilDonnées[[#This Row],[FarmID]]&amp;CompilDonnées[[#This Row],[ModuleNumber]]&amp;CompilDonnées[[#This Row],[PlantationDate]])</f>
        <v>65345918</v>
      </c>
      <c r="O5008" t="str">
        <f>CompilDonnées[[#This Row],[FarmID]]&amp;CompilDonnées[[#This Row],[ModuleNumber]]</f>
        <v>653</v>
      </c>
      <c r="P5008" t="str">
        <f>CompilDonnées[[#This Row],[Ref_Module]]&amp;CompilDonnées[[#This Row],[HarvestingDate]]</f>
        <v>65345972</v>
      </c>
    </row>
    <row r="5009" spans="1:16">
      <c r="A5009" s="5">
        <v>45918</v>
      </c>
      <c r="B5009">
        <v>88</v>
      </c>
      <c r="C5009" t="s">
        <v>94</v>
      </c>
      <c r="D5009">
        <v>6</v>
      </c>
      <c r="E5009">
        <v>100</v>
      </c>
      <c r="F5009" t="s">
        <v>1</v>
      </c>
      <c r="G5009" s="6">
        <v>45960</v>
      </c>
      <c r="H5009">
        <v>42</v>
      </c>
      <c r="I5009">
        <f>ROUND(CompilDonnées[[#This Row],[CultureDuration_days]]/7,0)</f>
        <v>6</v>
      </c>
      <c r="J5009">
        <v>3881</v>
      </c>
      <c r="K5009" t="str">
        <f>_xlfn.CONCAT(WEEKNUM(CompilDonnées[[#This Row],[PlantationDate]]), " ", YEAR(CompilDonnées[[#This Row],[PlantationDate]]))</f>
        <v>38 2025</v>
      </c>
      <c r="L5009" t="str">
        <f>CONCATENATE(MONTH(CompilDonnées[[#This Row],[PlantationDate]])," ", YEAR(CompilDonnées[[#This Row],[PlantationDate]]))</f>
        <v>9 2025</v>
      </c>
      <c r="M5009" t="str">
        <f>CONCATENATE(MONTH(CompilDonnées[[#This Row],[HarvestingDate]])," ", YEAR(CompilDonnées[[#This Row],[HarvestingDate]]))</f>
        <v>10 2025</v>
      </c>
      <c r="N5009">
        <f>_xlfn.NUMBERVALUE(CompilDonnées[[#This Row],[FarmID]]&amp;CompilDonnées[[#This Row],[ModuleNumber]]&amp;CompilDonnées[[#This Row],[PlantationDate]])</f>
        <v>88645918</v>
      </c>
      <c r="O5009" t="str">
        <f>CompilDonnées[[#This Row],[FarmID]]&amp;CompilDonnées[[#This Row],[ModuleNumber]]</f>
        <v>886</v>
      </c>
      <c r="P5009" t="str">
        <f>CompilDonnées[[#This Row],[Ref_Module]]&amp;CompilDonnées[[#This Row],[HarvestingDate]]</f>
        <v>88645960</v>
      </c>
    </row>
    <row r="5010" spans="1:16">
      <c r="A5010" s="5">
        <v>45918</v>
      </c>
      <c r="B5010">
        <v>89</v>
      </c>
      <c r="C5010" t="s">
        <v>67</v>
      </c>
      <c r="D5010">
        <v>3</v>
      </c>
      <c r="E5010">
        <v>100</v>
      </c>
      <c r="F5010" t="s">
        <v>1</v>
      </c>
      <c r="G5010" s="6">
        <v>45960</v>
      </c>
      <c r="H5010">
        <v>42</v>
      </c>
      <c r="I5010">
        <f>ROUND(CompilDonnées[[#This Row],[CultureDuration_days]]/7,0)</f>
        <v>6</v>
      </c>
      <c r="J5010">
        <v>1225</v>
      </c>
      <c r="K5010" t="str">
        <f>_xlfn.CONCAT(WEEKNUM(CompilDonnées[[#This Row],[PlantationDate]]), " ", YEAR(CompilDonnées[[#This Row],[PlantationDate]]))</f>
        <v>38 2025</v>
      </c>
      <c r="L5010" t="str">
        <f>CONCATENATE(MONTH(CompilDonnées[[#This Row],[PlantationDate]])," ", YEAR(CompilDonnées[[#This Row],[PlantationDate]]))</f>
        <v>9 2025</v>
      </c>
      <c r="M5010" t="str">
        <f>CONCATENATE(MONTH(CompilDonnées[[#This Row],[HarvestingDate]])," ", YEAR(CompilDonnées[[#This Row],[HarvestingDate]]))</f>
        <v>10 2025</v>
      </c>
      <c r="N5010">
        <f>_xlfn.NUMBERVALUE(CompilDonnées[[#This Row],[FarmID]]&amp;CompilDonnées[[#This Row],[ModuleNumber]]&amp;CompilDonnées[[#This Row],[PlantationDate]])</f>
        <v>89345918</v>
      </c>
      <c r="O5010" t="str">
        <f>CompilDonnées[[#This Row],[FarmID]]&amp;CompilDonnées[[#This Row],[ModuleNumber]]</f>
        <v>893</v>
      </c>
      <c r="P5010" t="str">
        <f>CompilDonnées[[#This Row],[Ref_Module]]&amp;CompilDonnées[[#This Row],[HarvestingDate]]</f>
        <v>89345960</v>
      </c>
    </row>
    <row r="5011" spans="1:16">
      <c r="A5011" s="5">
        <v>45918</v>
      </c>
      <c r="B5011">
        <v>109</v>
      </c>
      <c r="C5011" t="s">
        <v>2</v>
      </c>
      <c r="D5011">
        <v>3</v>
      </c>
      <c r="E5011">
        <v>100</v>
      </c>
      <c r="F5011" t="s">
        <v>1</v>
      </c>
      <c r="G5011" s="6">
        <v>45964</v>
      </c>
      <c r="H5011">
        <v>46</v>
      </c>
      <c r="I5011">
        <f>ROUND(CompilDonnées[[#This Row],[CultureDuration_days]]/7,0)</f>
        <v>7</v>
      </c>
      <c r="J5011">
        <v>4302</v>
      </c>
      <c r="K5011" t="str">
        <f>_xlfn.CONCAT(WEEKNUM(CompilDonnées[[#This Row],[PlantationDate]]), " ", YEAR(CompilDonnées[[#This Row],[PlantationDate]]))</f>
        <v>38 2025</v>
      </c>
      <c r="L5011" t="str">
        <f>CONCATENATE(MONTH(CompilDonnées[[#This Row],[PlantationDate]])," ", YEAR(CompilDonnées[[#This Row],[PlantationDate]]))</f>
        <v>9 2025</v>
      </c>
      <c r="M5011" t="str">
        <f>CONCATENATE(MONTH(CompilDonnées[[#This Row],[HarvestingDate]])," ", YEAR(CompilDonnées[[#This Row],[HarvestingDate]]))</f>
        <v>11 2025</v>
      </c>
      <c r="N5011">
        <f>_xlfn.NUMBERVALUE(CompilDonnées[[#This Row],[FarmID]]&amp;CompilDonnées[[#This Row],[ModuleNumber]]&amp;CompilDonnées[[#This Row],[PlantationDate]])</f>
        <v>109345918</v>
      </c>
      <c r="O5011" t="str">
        <f>CompilDonnées[[#This Row],[FarmID]]&amp;CompilDonnées[[#This Row],[ModuleNumber]]</f>
        <v>1093</v>
      </c>
      <c r="P5011" t="str">
        <f>CompilDonnées[[#This Row],[Ref_Module]]&amp;CompilDonnées[[#This Row],[HarvestingDate]]</f>
        <v>109345964</v>
      </c>
    </row>
    <row r="5012" spans="1:16">
      <c r="A5012" s="5">
        <v>45918</v>
      </c>
      <c r="B5012">
        <v>96</v>
      </c>
      <c r="C5012" t="s">
        <v>125</v>
      </c>
      <c r="D5012">
        <v>4</v>
      </c>
      <c r="E5012">
        <v>100</v>
      </c>
      <c r="F5012" t="s">
        <v>1</v>
      </c>
      <c r="G5012" s="6">
        <v>45965</v>
      </c>
      <c r="H5012">
        <v>47</v>
      </c>
      <c r="I5012">
        <f>ROUND(CompilDonnées[[#This Row],[CultureDuration_days]]/7,0)</f>
        <v>7</v>
      </c>
      <c r="J5012">
        <v>1668</v>
      </c>
      <c r="K5012" t="str">
        <f>_xlfn.CONCAT(WEEKNUM(CompilDonnées[[#This Row],[PlantationDate]]), " ", YEAR(CompilDonnées[[#This Row],[PlantationDate]]))</f>
        <v>38 2025</v>
      </c>
      <c r="L5012" t="str">
        <f>CONCATENATE(MONTH(CompilDonnées[[#This Row],[PlantationDate]])," ", YEAR(CompilDonnées[[#This Row],[PlantationDate]]))</f>
        <v>9 2025</v>
      </c>
      <c r="M5012" t="str">
        <f>CONCATENATE(MONTH(CompilDonnées[[#This Row],[HarvestingDate]])," ", YEAR(CompilDonnées[[#This Row],[HarvestingDate]]))</f>
        <v>11 2025</v>
      </c>
      <c r="N5012">
        <f>_xlfn.NUMBERVALUE(CompilDonnées[[#This Row],[FarmID]]&amp;CompilDonnées[[#This Row],[ModuleNumber]]&amp;CompilDonnées[[#This Row],[PlantationDate]])</f>
        <v>96445918</v>
      </c>
      <c r="O5012" t="str">
        <f>CompilDonnées[[#This Row],[FarmID]]&amp;CompilDonnées[[#This Row],[ModuleNumber]]</f>
        <v>964</v>
      </c>
      <c r="P5012" t="str">
        <f>CompilDonnées[[#This Row],[Ref_Module]]&amp;CompilDonnées[[#This Row],[HarvestingDate]]</f>
        <v>96445965</v>
      </c>
    </row>
    <row r="5013" spans="1:16">
      <c r="A5013" s="5">
        <v>45918</v>
      </c>
      <c r="B5013">
        <v>95</v>
      </c>
      <c r="C5013" t="s">
        <v>90</v>
      </c>
      <c r="D5013">
        <v>4</v>
      </c>
      <c r="E5013">
        <v>100</v>
      </c>
      <c r="F5013" t="s">
        <v>1</v>
      </c>
      <c r="G5013" s="6">
        <v>45973</v>
      </c>
      <c r="H5013">
        <v>55</v>
      </c>
      <c r="I5013">
        <f>ROUND(CompilDonnées[[#This Row],[CultureDuration_days]]/7,0)</f>
        <v>8</v>
      </c>
      <c r="J5013">
        <v>1609</v>
      </c>
      <c r="K5013" t="str">
        <f>_xlfn.CONCAT(WEEKNUM(CompilDonnées[[#This Row],[PlantationDate]]), " ", YEAR(CompilDonnées[[#This Row],[PlantationDate]]))</f>
        <v>38 2025</v>
      </c>
      <c r="L5013" t="str">
        <f>CONCATENATE(MONTH(CompilDonnées[[#This Row],[PlantationDate]])," ", YEAR(CompilDonnées[[#This Row],[PlantationDate]]))</f>
        <v>9 2025</v>
      </c>
      <c r="M5013" t="str">
        <f>CONCATENATE(MONTH(CompilDonnées[[#This Row],[HarvestingDate]])," ", YEAR(CompilDonnées[[#This Row],[HarvestingDate]]))</f>
        <v>11 2025</v>
      </c>
      <c r="N5013">
        <f>_xlfn.NUMBERVALUE(CompilDonnées[[#This Row],[FarmID]]&amp;CompilDonnées[[#This Row],[ModuleNumber]]&amp;CompilDonnées[[#This Row],[PlantationDate]])</f>
        <v>95445918</v>
      </c>
      <c r="O5013" t="str">
        <f>CompilDonnées[[#This Row],[FarmID]]&amp;CompilDonnées[[#This Row],[ModuleNumber]]</f>
        <v>954</v>
      </c>
      <c r="P5013" t="str">
        <f>CompilDonnées[[#This Row],[Ref_Module]]&amp;CompilDonnées[[#This Row],[HarvestingDate]]</f>
        <v>95445973</v>
      </c>
    </row>
    <row r="5014" spans="1:16">
      <c r="A5014" s="5">
        <v>45918</v>
      </c>
      <c r="B5014">
        <v>105</v>
      </c>
      <c r="C5014" t="s">
        <v>12</v>
      </c>
      <c r="D5014">
        <v>3</v>
      </c>
      <c r="E5014">
        <v>100</v>
      </c>
      <c r="F5014" t="s">
        <v>1</v>
      </c>
      <c r="G5014" s="6">
        <v>45973</v>
      </c>
      <c r="H5014">
        <v>55</v>
      </c>
      <c r="I5014">
        <f>ROUND(CompilDonnées[[#This Row],[CultureDuration_days]]/7,0)</f>
        <v>8</v>
      </c>
      <c r="J5014">
        <v>1681</v>
      </c>
      <c r="K5014" t="str">
        <f>_xlfn.CONCAT(WEEKNUM(CompilDonnées[[#This Row],[PlantationDate]]), " ", YEAR(CompilDonnées[[#This Row],[PlantationDate]]))</f>
        <v>38 2025</v>
      </c>
      <c r="L5014" t="str">
        <f>CONCATENATE(MONTH(CompilDonnées[[#This Row],[PlantationDate]])," ", YEAR(CompilDonnées[[#This Row],[PlantationDate]]))</f>
        <v>9 2025</v>
      </c>
      <c r="M5014" t="str">
        <f>CONCATENATE(MONTH(CompilDonnées[[#This Row],[HarvestingDate]])," ", YEAR(CompilDonnées[[#This Row],[HarvestingDate]]))</f>
        <v>11 2025</v>
      </c>
      <c r="N5014">
        <f>_xlfn.NUMBERVALUE(CompilDonnées[[#This Row],[FarmID]]&amp;CompilDonnées[[#This Row],[ModuleNumber]]&amp;CompilDonnées[[#This Row],[PlantationDate]])</f>
        <v>105345918</v>
      </c>
      <c r="O5014" t="str">
        <f>CompilDonnées[[#This Row],[FarmID]]&amp;CompilDonnées[[#This Row],[ModuleNumber]]</f>
        <v>1053</v>
      </c>
      <c r="P5014" t="str">
        <f>CompilDonnées[[#This Row],[Ref_Module]]&amp;CompilDonnées[[#This Row],[HarvestingDate]]</f>
        <v>105345973</v>
      </c>
    </row>
    <row r="5015" spans="1:16">
      <c r="A5015" s="5">
        <v>45918</v>
      </c>
      <c r="B5015">
        <v>105</v>
      </c>
      <c r="C5015" t="s">
        <v>12</v>
      </c>
      <c r="D5015">
        <v>2</v>
      </c>
      <c r="E5015">
        <v>100</v>
      </c>
      <c r="F5015" t="s">
        <v>1</v>
      </c>
      <c r="G5015" s="6">
        <v>45973</v>
      </c>
      <c r="H5015">
        <v>55</v>
      </c>
      <c r="I5015">
        <f>ROUND(CompilDonnées[[#This Row],[CultureDuration_days]]/7,0)</f>
        <v>8</v>
      </c>
      <c r="J5015">
        <v>1696</v>
      </c>
      <c r="K5015" t="str">
        <f>_xlfn.CONCAT(WEEKNUM(CompilDonnées[[#This Row],[PlantationDate]]), " ", YEAR(CompilDonnées[[#This Row],[PlantationDate]]))</f>
        <v>38 2025</v>
      </c>
      <c r="L5015" t="str">
        <f>CONCATENATE(MONTH(CompilDonnées[[#This Row],[PlantationDate]])," ", YEAR(CompilDonnées[[#This Row],[PlantationDate]]))</f>
        <v>9 2025</v>
      </c>
      <c r="M5015" t="str">
        <f>CONCATENATE(MONTH(CompilDonnées[[#This Row],[HarvestingDate]])," ", YEAR(CompilDonnées[[#This Row],[HarvestingDate]]))</f>
        <v>11 2025</v>
      </c>
      <c r="N5015">
        <f>_xlfn.NUMBERVALUE(CompilDonnées[[#This Row],[FarmID]]&amp;CompilDonnées[[#This Row],[ModuleNumber]]&amp;CompilDonnées[[#This Row],[PlantationDate]])</f>
        <v>105245918</v>
      </c>
      <c r="O5015" t="str">
        <f>CompilDonnées[[#This Row],[FarmID]]&amp;CompilDonnées[[#This Row],[ModuleNumber]]</f>
        <v>1052</v>
      </c>
      <c r="P5015" t="str">
        <f>CompilDonnées[[#This Row],[Ref_Module]]&amp;CompilDonnées[[#This Row],[HarvestingDate]]</f>
        <v>105245973</v>
      </c>
    </row>
    <row r="5016" spans="1:16">
      <c r="A5016" s="5">
        <v>45919</v>
      </c>
      <c r="B5016">
        <v>99</v>
      </c>
      <c r="C5016" t="s">
        <v>117</v>
      </c>
      <c r="D5016">
        <v>3</v>
      </c>
      <c r="E5016">
        <v>100</v>
      </c>
      <c r="F5016" t="s">
        <v>1</v>
      </c>
      <c r="G5016" s="6">
        <v>45973</v>
      </c>
      <c r="H5016">
        <v>54</v>
      </c>
      <c r="I5016">
        <f>ROUND(CompilDonnées[[#This Row],[CultureDuration_days]]/7,0)</f>
        <v>8</v>
      </c>
      <c r="J5016">
        <v>2982</v>
      </c>
      <c r="K5016" t="str">
        <f>_xlfn.CONCAT(WEEKNUM(CompilDonnées[[#This Row],[PlantationDate]]), " ", YEAR(CompilDonnées[[#This Row],[PlantationDate]]))</f>
        <v>38 2025</v>
      </c>
      <c r="L5016" t="str">
        <f>CONCATENATE(MONTH(CompilDonnées[[#This Row],[PlantationDate]])," ", YEAR(CompilDonnées[[#This Row],[PlantationDate]]))</f>
        <v>9 2025</v>
      </c>
      <c r="M5016" t="str">
        <f>CONCATENATE(MONTH(CompilDonnées[[#This Row],[HarvestingDate]])," ", YEAR(CompilDonnées[[#This Row],[HarvestingDate]]))</f>
        <v>11 2025</v>
      </c>
      <c r="N5016">
        <f>_xlfn.NUMBERVALUE(CompilDonnées[[#This Row],[FarmID]]&amp;CompilDonnées[[#This Row],[ModuleNumber]]&amp;CompilDonnées[[#This Row],[PlantationDate]])</f>
        <v>99345919</v>
      </c>
      <c r="O5016" t="str">
        <f>CompilDonnées[[#This Row],[FarmID]]&amp;CompilDonnées[[#This Row],[ModuleNumber]]</f>
        <v>993</v>
      </c>
      <c r="P5016" t="str">
        <f>CompilDonnées[[#This Row],[Ref_Module]]&amp;CompilDonnées[[#This Row],[HarvestingDate]]</f>
        <v>99345973</v>
      </c>
    </row>
    <row r="5017" spans="1:16">
      <c r="A5017" s="5">
        <v>45919</v>
      </c>
      <c r="B5017">
        <v>92</v>
      </c>
      <c r="C5017" t="s">
        <v>66</v>
      </c>
      <c r="D5017">
        <v>3</v>
      </c>
      <c r="E5017">
        <v>100</v>
      </c>
      <c r="F5017" t="s">
        <v>1</v>
      </c>
      <c r="G5017" s="6">
        <v>45973</v>
      </c>
      <c r="H5017">
        <v>54</v>
      </c>
      <c r="I5017">
        <f>ROUND(CompilDonnées[[#This Row],[CultureDuration_days]]/7,0)</f>
        <v>8</v>
      </c>
      <c r="J5017">
        <v>2811</v>
      </c>
      <c r="K5017" t="str">
        <f>_xlfn.CONCAT(WEEKNUM(CompilDonnées[[#This Row],[PlantationDate]]), " ", YEAR(CompilDonnées[[#This Row],[PlantationDate]]))</f>
        <v>38 2025</v>
      </c>
      <c r="L5017" t="str">
        <f>CONCATENATE(MONTH(CompilDonnées[[#This Row],[PlantationDate]])," ", YEAR(CompilDonnées[[#This Row],[PlantationDate]]))</f>
        <v>9 2025</v>
      </c>
      <c r="M5017" t="str">
        <f>CONCATENATE(MONTH(CompilDonnées[[#This Row],[HarvestingDate]])," ", YEAR(CompilDonnées[[#This Row],[HarvestingDate]]))</f>
        <v>11 2025</v>
      </c>
      <c r="N5017">
        <f>_xlfn.NUMBERVALUE(CompilDonnées[[#This Row],[FarmID]]&amp;CompilDonnées[[#This Row],[ModuleNumber]]&amp;CompilDonnées[[#This Row],[PlantationDate]])</f>
        <v>92345919</v>
      </c>
      <c r="O5017" t="str">
        <f>CompilDonnées[[#This Row],[FarmID]]&amp;CompilDonnées[[#This Row],[ModuleNumber]]</f>
        <v>923</v>
      </c>
      <c r="P5017" t="str">
        <f>CompilDonnées[[#This Row],[Ref_Module]]&amp;CompilDonnées[[#This Row],[HarvestingDate]]</f>
        <v>92345973</v>
      </c>
    </row>
    <row r="5018" spans="1:16">
      <c r="A5018" s="5">
        <v>45919</v>
      </c>
      <c r="B5018">
        <v>90</v>
      </c>
      <c r="C5018" t="s">
        <v>72</v>
      </c>
      <c r="D5018">
        <v>3</v>
      </c>
      <c r="E5018">
        <v>100</v>
      </c>
      <c r="F5018" t="s">
        <v>1</v>
      </c>
      <c r="G5018" s="6">
        <v>45959</v>
      </c>
      <c r="H5018">
        <v>40</v>
      </c>
      <c r="I5018">
        <f>ROUND(CompilDonnées[[#This Row],[CultureDuration_days]]/7,0)</f>
        <v>6</v>
      </c>
      <c r="J5018">
        <v>1364</v>
      </c>
      <c r="K5018" t="str">
        <f>_xlfn.CONCAT(WEEKNUM(CompilDonnées[[#This Row],[PlantationDate]]), " ", YEAR(CompilDonnées[[#This Row],[PlantationDate]]))</f>
        <v>38 2025</v>
      </c>
      <c r="L5018" t="str">
        <f>CONCATENATE(MONTH(CompilDonnées[[#This Row],[PlantationDate]])," ", YEAR(CompilDonnées[[#This Row],[PlantationDate]]))</f>
        <v>9 2025</v>
      </c>
      <c r="M5018" t="str">
        <f>CONCATENATE(MONTH(CompilDonnées[[#This Row],[HarvestingDate]])," ", YEAR(CompilDonnées[[#This Row],[HarvestingDate]]))</f>
        <v>10 2025</v>
      </c>
      <c r="N5018">
        <f>_xlfn.NUMBERVALUE(CompilDonnées[[#This Row],[FarmID]]&amp;CompilDonnées[[#This Row],[ModuleNumber]]&amp;CompilDonnées[[#This Row],[PlantationDate]])</f>
        <v>90345919</v>
      </c>
      <c r="O5018" t="str">
        <f>CompilDonnées[[#This Row],[FarmID]]&amp;CompilDonnées[[#This Row],[ModuleNumber]]</f>
        <v>903</v>
      </c>
      <c r="P5018" t="str">
        <f>CompilDonnées[[#This Row],[Ref_Module]]&amp;CompilDonnées[[#This Row],[HarvestingDate]]</f>
        <v>90345959</v>
      </c>
    </row>
    <row r="5019" spans="1:16">
      <c r="A5019" s="5">
        <v>45919</v>
      </c>
      <c r="B5019">
        <v>47</v>
      </c>
      <c r="C5019" t="s">
        <v>104</v>
      </c>
      <c r="D5019">
        <v>6</v>
      </c>
      <c r="E5019">
        <v>100</v>
      </c>
      <c r="F5019" t="s">
        <v>1</v>
      </c>
      <c r="G5019" s="6">
        <v>45972</v>
      </c>
      <c r="H5019">
        <v>53</v>
      </c>
      <c r="I5019">
        <f>ROUND(CompilDonnées[[#This Row],[CultureDuration_days]]/7,0)</f>
        <v>8</v>
      </c>
      <c r="J5019">
        <v>2011</v>
      </c>
      <c r="K5019" t="str">
        <f>_xlfn.CONCAT(WEEKNUM(CompilDonnées[[#This Row],[PlantationDate]]), " ", YEAR(CompilDonnées[[#This Row],[PlantationDate]]))</f>
        <v>38 2025</v>
      </c>
      <c r="L5019" t="str">
        <f>CONCATENATE(MONTH(CompilDonnées[[#This Row],[PlantationDate]])," ", YEAR(CompilDonnées[[#This Row],[PlantationDate]]))</f>
        <v>9 2025</v>
      </c>
      <c r="M5019" t="str">
        <f>CONCATENATE(MONTH(CompilDonnées[[#This Row],[HarvestingDate]])," ", YEAR(CompilDonnées[[#This Row],[HarvestingDate]]))</f>
        <v>11 2025</v>
      </c>
      <c r="N5019">
        <f>_xlfn.NUMBERVALUE(CompilDonnées[[#This Row],[FarmID]]&amp;CompilDonnées[[#This Row],[ModuleNumber]]&amp;CompilDonnées[[#This Row],[PlantationDate]])</f>
        <v>47645919</v>
      </c>
      <c r="O5019" t="str">
        <f>CompilDonnées[[#This Row],[FarmID]]&amp;CompilDonnées[[#This Row],[ModuleNumber]]</f>
        <v>476</v>
      </c>
      <c r="P5019" t="str">
        <f>CompilDonnées[[#This Row],[Ref_Module]]&amp;CompilDonnées[[#This Row],[HarvestingDate]]</f>
        <v>47645972</v>
      </c>
    </row>
    <row r="5020" spans="1:16">
      <c r="A5020" s="5">
        <v>45919</v>
      </c>
      <c r="B5020">
        <v>122</v>
      </c>
      <c r="C5020" t="s">
        <v>122</v>
      </c>
      <c r="D5020">
        <v>5</v>
      </c>
      <c r="E5020">
        <v>100</v>
      </c>
      <c r="F5020" t="s">
        <v>1</v>
      </c>
      <c r="G5020" s="6">
        <v>45964</v>
      </c>
      <c r="H5020">
        <v>45</v>
      </c>
      <c r="I5020">
        <f>ROUND(CompilDonnées[[#This Row],[CultureDuration_days]]/7,0)</f>
        <v>6</v>
      </c>
      <c r="J5020">
        <v>1892</v>
      </c>
      <c r="K5020" t="str">
        <f>_xlfn.CONCAT(WEEKNUM(CompilDonnées[[#This Row],[PlantationDate]]), " ", YEAR(CompilDonnées[[#This Row],[PlantationDate]]))</f>
        <v>38 2025</v>
      </c>
      <c r="L5020" t="str">
        <f>CONCATENATE(MONTH(CompilDonnées[[#This Row],[PlantationDate]])," ", YEAR(CompilDonnées[[#This Row],[PlantationDate]]))</f>
        <v>9 2025</v>
      </c>
      <c r="M5020" t="str">
        <f>CONCATENATE(MONTH(CompilDonnées[[#This Row],[HarvestingDate]])," ", YEAR(CompilDonnées[[#This Row],[HarvestingDate]]))</f>
        <v>11 2025</v>
      </c>
      <c r="N5020">
        <f>_xlfn.NUMBERVALUE(CompilDonnées[[#This Row],[FarmID]]&amp;CompilDonnées[[#This Row],[ModuleNumber]]&amp;CompilDonnées[[#This Row],[PlantationDate]])</f>
        <v>122545919</v>
      </c>
      <c r="O5020" t="str">
        <f>CompilDonnées[[#This Row],[FarmID]]&amp;CompilDonnées[[#This Row],[ModuleNumber]]</f>
        <v>1225</v>
      </c>
      <c r="P5020" t="str">
        <f>CompilDonnées[[#This Row],[Ref_Module]]&amp;CompilDonnées[[#This Row],[HarvestingDate]]</f>
        <v>122545964</v>
      </c>
    </row>
    <row r="5021" spans="1:16">
      <c r="A5021" s="5">
        <v>45919</v>
      </c>
      <c r="B5021">
        <v>122</v>
      </c>
      <c r="C5021" t="s">
        <v>122</v>
      </c>
      <c r="D5021">
        <v>6</v>
      </c>
      <c r="E5021">
        <v>100</v>
      </c>
      <c r="F5021" t="s">
        <v>1</v>
      </c>
      <c r="G5021" s="6">
        <v>45961</v>
      </c>
      <c r="H5021">
        <v>42</v>
      </c>
      <c r="I5021">
        <f>ROUND(CompilDonnées[[#This Row],[CultureDuration_days]]/7,0)</f>
        <v>6</v>
      </c>
      <c r="J5021">
        <v>2076</v>
      </c>
      <c r="K5021" t="str">
        <f>_xlfn.CONCAT(WEEKNUM(CompilDonnées[[#This Row],[PlantationDate]]), " ", YEAR(CompilDonnées[[#This Row],[PlantationDate]]))</f>
        <v>38 2025</v>
      </c>
      <c r="L5021" t="str">
        <f>CONCATENATE(MONTH(CompilDonnées[[#This Row],[PlantationDate]])," ", YEAR(CompilDonnées[[#This Row],[PlantationDate]]))</f>
        <v>9 2025</v>
      </c>
      <c r="M5021" t="str">
        <f>CONCATENATE(MONTH(CompilDonnées[[#This Row],[HarvestingDate]])," ", YEAR(CompilDonnées[[#This Row],[HarvestingDate]]))</f>
        <v>10 2025</v>
      </c>
      <c r="N5021">
        <f>_xlfn.NUMBERVALUE(CompilDonnées[[#This Row],[FarmID]]&amp;CompilDonnées[[#This Row],[ModuleNumber]]&amp;CompilDonnées[[#This Row],[PlantationDate]])</f>
        <v>122645919</v>
      </c>
      <c r="O5021" t="str">
        <f>CompilDonnées[[#This Row],[FarmID]]&amp;CompilDonnées[[#This Row],[ModuleNumber]]</f>
        <v>1226</v>
      </c>
      <c r="P5021" t="str">
        <f>CompilDonnées[[#This Row],[Ref_Module]]&amp;CompilDonnées[[#This Row],[HarvestingDate]]</f>
        <v>122645961</v>
      </c>
    </row>
    <row r="5022" spans="1:16">
      <c r="A5022" s="5">
        <v>45919</v>
      </c>
      <c r="B5022">
        <v>140</v>
      </c>
      <c r="C5022" t="s">
        <v>96</v>
      </c>
      <c r="D5022">
        <v>6</v>
      </c>
      <c r="E5022">
        <v>100</v>
      </c>
      <c r="F5022" t="s">
        <v>1</v>
      </c>
      <c r="G5022" s="6">
        <v>45961</v>
      </c>
      <c r="H5022">
        <v>42</v>
      </c>
      <c r="I5022">
        <f>ROUND(CompilDonnées[[#This Row],[CultureDuration_days]]/7,0)</f>
        <v>6</v>
      </c>
      <c r="J5022">
        <v>4450</v>
      </c>
      <c r="K5022" t="str">
        <f>_xlfn.CONCAT(WEEKNUM(CompilDonnées[[#This Row],[PlantationDate]]), " ", YEAR(CompilDonnées[[#This Row],[PlantationDate]]))</f>
        <v>38 2025</v>
      </c>
      <c r="L5022" t="str">
        <f>CONCATENATE(MONTH(CompilDonnées[[#This Row],[PlantationDate]])," ", YEAR(CompilDonnées[[#This Row],[PlantationDate]]))</f>
        <v>9 2025</v>
      </c>
      <c r="M5022" t="str">
        <f>CONCATENATE(MONTH(CompilDonnées[[#This Row],[HarvestingDate]])," ", YEAR(CompilDonnées[[#This Row],[HarvestingDate]]))</f>
        <v>10 2025</v>
      </c>
      <c r="N5022">
        <f>_xlfn.NUMBERVALUE(CompilDonnées[[#This Row],[FarmID]]&amp;CompilDonnées[[#This Row],[ModuleNumber]]&amp;CompilDonnées[[#This Row],[PlantationDate]])</f>
        <v>140645919</v>
      </c>
      <c r="O5022" t="str">
        <f>CompilDonnées[[#This Row],[FarmID]]&amp;CompilDonnées[[#This Row],[ModuleNumber]]</f>
        <v>1406</v>
      </c>
      <c r="P5022" t="str">
        <f>CompilDonnées[[#This Row],[Ref_Module]]&amp;CompilDonnées[[#This Row],[HarvestingDate]]</f>
        <v>140645961</v>
      </c>
    </row>
    <row r="5023" spans="1:16">
      <c r="A5023" s="5">
        <v>45919</v>
      </c>
      <c r="B5023">
        <v>139</v>
      </c>
      <c r="C5023" t="s">
        <v>103</v>
      </c>
      <c r="D5023">
        <v>2</v>
      </c>
      <c r="E5023">
        <v>100</v>
      </c>
      <c r="F5023" t="s">
        <v>1</v>
      </c>
      <c r="G5023" s="6">
        <v>45974</v>
      </c>
      <c r="H5023">
        <v>55</v>
      </c>
      <c r="I5023">
        <f>ROUND(CompilDonnées[[#This Row],[CultureDuration_days]]/7,0)</f>
        <v>8</v>
      </c>
      <c r="J5023">
        <v>3408</v>
      </c>
      <c r="K5023" t="str">
        <f>_xlfn.CONCAT(WEEKNUM(CompilDonnées[[#This Row],[PlantationDate]]), " ", YEAR(CompilDonnées[[#This Row],[PlantationDate]]))</f>
        <v>38 2025</v>
      </c>
      <c r="L5023" t="str">
        <f>CONCATENATE(MONTH(CompilDonnées[[#This Row],[PlantationDate]])," ", YEAR(CompilDonnées[[#This Row],[PlantationDate]]))</f>
        <v>9 2025</v>
      </c>
      <c r="M5023" t="str">
        <f>CONCATENATE(MONTH(CompilDonnées[[#This Row],[HarvestingDate]])," ", YEAR(CompilDonnées[[#This Row],[HarvestingDate]]))</f>
        <v>11 2025</v>
      </c>
      <c r="N5023">
        <f>_xlfn.NUMBERVALUE(CompilDonnées[[#This Row],[FarmID]]&amp;CompilDonnées[[#This Row],[ModuleNumber]]&amp;CompilDonnées[[#This Row],[PlantationDate]])</f>
        <v>139245919</v>
      </c>
      <c r="O5023" t="str">
        <f>CompilDonnées[[#This Row],[FarmID]]&amp;CompilDonnées[[#This Row],[ModuleNumber]]</f>
        <v>1392</v>
      </c>
      <c r="P5023" t="str">
        <f>CompilDonnées[[#This Row],[Ref_Module]]&amp;CompilDonnées[[#This Row],[HarvestingDate]]</f>
        <v>139245974</v>
      </c>
    </row>
    <row r="5024" spans="1:16">
      <c r="A5024" s="5">
        <v>45919</v>
      </c>
      <c r="B5024">
        <v>138</v>
      </c>
      <c r="C5024" t="s">
        <v>124</v>
      </c>
      <c r="D5024">
        <v>2</v>
      </c>
      <c r="E5024">
        <v>100</v>
      </c>
      <c r="F5024" t="s">
        <v>1</v>
      </c>
      <c r="G5024" s="6">
        <v>45974</v>
      </c>
      <c r="H5024">
        <v>55</v>
      </c>
      <c r="I5024">
        <f>ROUND(CompilDonnées[[#This Row],[CultureDuration_days]]/7,0)</f>
        <v>8</v>
      </c>
      <c r="J5024">
        <v>2138</v>
      </c>
      <c r="K5024" t="str">
        <f>_xlfn.CONCAT(WEEKNUM(CompilDonnées[[#This Row],[PlantationDate]]), " ", YEAR(CompilDonnées[[#This Row],[PlantationDate]]))</f>
        <v>38 2025</v>
      </c>
      <c r="L5024" t="str">
        <f>CONCATENATE(MONTH(CompilDonnées[[#This Row],[PlantationDate]])," ", YEAR(CompilDonnées[[#This Row],[PlantationDate]]))</f>
        <v>9 2025</v>
      </c>
      <c r="M5024" t="str">
        <f>CONCATENATE(MONTH(CompilDonnées[[#This Row],[HarvestingDate]])," ", YEAR(CompilDonnées[[#This Row],[HarvestingDate]]))</f>
        <v>11 2025</v>
      </c>
      <c r="N5024">
        <f>_xlfn.NUMBERVALUE(CompilDonnées[[#This Row],[FarmID]]&amp;CompilDonnées[[#This Row],[ModuleNumber]]&amp;CompilDonnées[[#This Row],[PlantationDate]])</f>
        <v>138245919</v>
      </c>
      <c r="O5024" t="str">
        <f>CompilDonnées[[#This Row],[FarmID]]&amp;CompilDonnées[[#This Row],[ModuleNumber]]</f>
        <v>1382</v>
      </c>
      <c r="P5024" t="str">
        <f>CompilDonnées[[#This Row],[Ref_Module]]&amp;CompilDonnées[[#This Row],[HarvestingDate]]</f>
        <v>138245974</v>
      </c>
    </row>
    <row r="5025" spans="1:16">
      <c r="A5025" s="5">
        <v>45919</v>
      </c>
      <c r="B5025">
        <v>133</v>
      </c>
      <c r="C5025" t="s">
        <v>99</v>
      </c>
      <c r="D5025">
        <v>1</v>
      </c>
      <c r="E5025">
        <v>100</v>
      </c>
      <c r="F5025" t="s">
        <v>1</v>
      </c>
      <c r="G5025" s="6">
        <v>45964</v>
      </c>
      <c r="H5025">
        <v>45</v>
      </c>
      <c r="I5025">
        <f>ROUND(CompilDonnées[[#This Row],[CultureDuration_days]]/7,0)</f>
        <v>6</v>
      </c>
      <c r="J5025">
        <v>3584</v>
      </c>
      <c r="K5025" t="str">
        <f>_xlfn.CONCAT(WEEKNUM(CompilDonnées[[#This Row],[PlantationDate]]), " ", YEAR(CompilDonnées[[#This Row],[PlantationDate]]))</f>
        <v>38 2025</v>
      </c>
      <c r="L5025" t="str">
        <f>CONCATENATE(MONTH(CompilDonnées[[#This Row],[PlantationDate]])," ", YEAR(CompilDonnées[[#This Row],[PlantationDate]]))</f>
        <v>9 2025</v>
      </c>
      <c r="M5025" t="str">
        <f>CONCATENATE(MONTH(CompilDonnées[[#This Row],[HarvestingDate]])," ", YEAR(CompilDonnées[[#This Row],[HarvestingDate]]))</f>
        <v>11 2025</v>
      </c>
      <c r="N5025">
        <f>_xlfn.NUMBERVALUE(CompilDonnées[[#This Row],[FarmID]]&amp;CompilDonnées[[#This Row],[ModuleNumber]]&amp;CompilDonnées[[#This Row],[PlantationDate]])</f>
        <v>133145919</v>
      </c>
      <c r="O5025" t="str">
        <f>CompilDonnées[[#This Row],[FarmID]]&amp;CompilDonnées[[#This Row],[ModuleNumber]]</f>
        <v>1331</v>
      </c>
      <c r="P5025" t="str">
        <f>CompilDonnées[[#This Row],[Ref_Module]]&amp;CompilDonnées[[#This Row],[HarvestingDate]]</f>
        <v>133145964</v>
      </c>
    </row>
    <row r="5026" spans="1:16">
      <c r="A5026" s="5">
        <v>45919</v>
      </c>
      <c r="B5026">
        <v>131</v>
      </c>
      <c r="C5026" t="s">
        <v>53</v>
      </c>
      <c r="D5026">
        <v>1</v>
      </c>
      <c r="E5026">
        <v>100</v>
      </c>
      <c r="F5026" t="s">
        <v>1</v>
      </c>
      <c r="G5026" s="6">
        <v>45974</v>
      </c>
      <c r="H5026">
        <v>55</v>
      </c>
      <c r="I5026">
        <f>ROUND(CompilDonnées[[#This Row],[CultureDuration_days]]/7,0)</f>
        <v>8</v>
      </c>
      <c r="J5026">
        <v>3081</v>
      </c>
      <c r="K5026" t="str">
        <f>_xlfn.CONCAT(WEEKNUM(CompilDonnées[[#This Row],[PlantationDate]]), " ", YEAR(CompilDonnées[[#This Row],[PlantationDate]]))</f>
        <v>38 2025</v>
      </c>
      <c r="L5026" t="str">
        <f>CONCATENATE(MONTH(CompilDonnées[[#This Row],[PlantationDate]])," ", YEAR(CompilDonnées[[#This Row],[PlantationDate]]))</f>
        <v>9 2025</v>
      </c>
      <c r="M5026" t="str">
        <f>CONCATENATE(MONTH(CompilDonnées[[#This Row],[HarvestingDate]])," ", YEAR(CompilDonnées[[#This Row],[HarvestingDate]]))</f>
        <v>11 2025</v>
      </c>
      <c r="N5026">
        <f>_xlfn.NUMBERVALUE(CompilDonnées[[#This Row],[FarmID]]&amp;CompilDonnées[[#This Row],[ModuleNumber]]&amp;CompilDonnées[[#This Row],[PlantationDate]])</f>
        <v>131145919</v>
      </c>
      <c r="O5026" t="str">
        <f>CompilDonnées[[#This Row],[FarmID]]&amp;CompilDonnées[[#This Row],[ModuleNumber]]</f>
        <v>1311</v>
      </c>
      <c r="P5026" t="str">
        <f>CompilDonnées[[#This Row],[Ref_Module]]&amp;CompilDonnées[[#This Row],[HarvestingDate]]</f>
        <v>131145974</v>
      </c>
    </row>
    <row r="5027" spans="1:16">
      <c r="A5027" s="5">
        <v>45919</v>
      </c>
      <c r="B5027">
        <v>130</v>
      </c>
      <c r="C5027" t="s">
        <v>98</v>
      </c>
      <c r="D5027">
        <v>1</v>
      </c>
      <c r="E5027">
        <v>100</v>
      </c>
      <c r="F5027" t="s">
        <v>1</v>
      </c>
      <c r="G5027" s="6">
        <v>45974</v>
      </c>
      <c r="H5027">
        <v>55</v>
      </c>
      <c r="I5027">
        <f>ROUND(CompilDonnées[[#This Row],[CultureDuration_days]]/7,0)</f>
        <v>8</v>
      </c>
      <c r="J5027">
        <v>2085</v>
      </c>
      <c r="K5027" t="str">
        <f>_xlfn.CONCAT(WEEKNUM(CompilDonnées[[#This Row],[PlantationDate]]), " ", YEAR(CompilDonnées[[#This Row],[PlantationDate]]))</f>
        <v>38 2025</v>
      </c>
      <c r="L5027" t="str">
        <f>CONCATENATE(MONTH(CompilDonnées[[#This Row],[PlantationDate]])," ", YEAR(CompilDonnées[[#This Row],[PlantationDate]]))</f>
        <v>9 2025</v>
      </c>
      <c r="M5027" t="str">
        <f>CONCATENATE(MONTH(CompilDonnées[[#This Row],[HarvestingDate]])," ", YEAR(CompilDonnées[[#This Row],[HarvestingDate]]))</f>
        <v>11 2025</v>
      </c>
      <c r="N5027">
        <f>_xlfn.NUMBERVALUE(CompilDonnées[[#This Row],[FarmID]]&amp;CompilDonnées[[#This Row],[ModuleNumber]]&amp;CompilDonnées[[#This Row],[PlantationDate]])</f>
        <v>130145919</v>
      </c>
      <c r="O5027" t="str">
        <f>CompilDonnées[[#This Row],[FarmID]]&amp;CompilDonnées[[#This Row],[ModuleNumber]]</f>
        <v>1301</v>
      </c>
      <c r="P5027" t="str">
        <f>CompilDonnées[[#This Row],[Ref_Module]]&amp;CompilDonnées[[#This Row],[HarvestingDate]]</f>
        <v>130145974</v>
      </c>
    </row>
    <row r="5028" spans="1:16">
      <c r="A5028" s="5">
        <v>45919</v>
      </c>
      <c r="B5028">
        <v>123</v>
      </c>
      <c r="C5028" t="s">
        <v>13</v>
      </c>
      <c r="D5028">
        <v>4</v>
      </c>
      <c r="E5028">
        <v>100</v>
      </c>
      <c r="F5028" t="s">
        <v>1</v>
      </c>
      <c r="G5028" s="6">
        <v>45964</v>
      </c>
      <c r="H5028">
        <v>45</v>
      </c>
      <c r="I5028">
        <f>ROUND(CompilDonnées[[#This Row],[CultureDuration_days]]/7,0)</f>
        <v>6</v>
      </c>
      <c r="J5028">
        <v>4168</v>
      </c>
      <c r="K5028" t="str">
        <f>_xlfn.CONCAT(WEEKNUM(CompilDonnées[[#This Row],[PlantationDate]]), " ", YEAR(CompilDonnées[[#This Row],[PlantationDate]]))</f>
        <v>38 2025</v>
      </c>
      <c r="L5028" t="str">
        <f>CONCATENATE(MONTH(CompilDonnées[[#This Row],[PlantationDate]])," ", YEAR(CompilDonnées[[#This Row],[PlantationDate]]))</f>
        <v>9 2025</v>
      </c>
      <c r="M5028" t="str">
        <f>CONCATENATE(MONTH(CompilDonnées[[#This Row],[HarvestingDate]])," ", YEAR(CompilDonnées[[#This Row],[HarvestingDate]]))</f>
        <v>11 2025</v>
      </c>
      <c r="N5028">
        <f>_xlfn.NUMBERVALUE(CompilDonnées[[#This Row],[FarmID]]&amp;CompilDonnées[[#This Row],[ModuleNumber]]&amp;CompilDonnées[[#This Row],[PlantationDate]])</f>
        <v>123445919</v>
      </c>
      <c r="O5028" t="str">
        <f>CompilDonnées[[#This Row],[FarmID]]&amp;CompilDonnées[[#This Row],[ModuleNumber]]</f>
        <v>1234</v>
      </c>
      <c r="P5028" t="str">
        <f>CompilDonnées[[#This Row],[Ref_Module]]&amp;CompilDonnées[[#This Row],[HarvestingDate]]</f>
        <v>123445964</v>
      </c>
    </row>
    <row r="5029" spans="1:16">
      <c r="A5029" s="5">
        <v>45919</v>
      </c>
      <c r="B5029">
        <v>124</v>
      </c>
      <c r="C5029" t="s">
        <v>115</v>
      </c>
      <c r="D5029">
        <v>2</v>
      </c>
      <c r="E5029">
        <v>100</v>
      </c>
      <c r="F5029" t="s">
        <v>1</v>
      </c>
      <c r="G5029" s="6">
        <v>45964</v>
      </c>
      <c r="H5029">
        <v>45</v>
      </c>
      <c r="I5029">
        <f>ROUND(CompilDonnées[[#This Row],[CultureDuration_days]]/7,0)</f>
        <v>6</v>
      </c>
      <c r="J5029">
        <v>3658</v>
      </c>
      <c r="K5029" t="str">
        <f>_xlfn.CONCAT(WEEKNUM(CompilDonnées[[#This Row],[PlantationDate]]), " ", YEAR(CompilDonnées[[#This Row],[PlantationDate]]))</f>
        <v>38 2025</v>
      </c>
      <c r="L5029" t="str">
        <f>CONCATENATE(MONTH(CompilDonnées[[#This Row],[PlantationDate]])," ", YEAR(CompilDonnées[[#This Row],[PlantationDate]]))</f>
        <v>9 2025</v>
      </c>
      <c r="M5029" t="str">
        <f>CONCATENATE(MONTH(CompilDonnées[[#This Row],[HarvestingDate]])," ", YEAR(CompilDonnées[[#This Row],[HarvestingDate]]))</f>
        <v>11 2025</v>
      </c>
      <c r="N5029">
        <f>_xlfn.NUMBERVALUE(CompilDonnées[[#This Row],[FarmID]]&amp;CompilDonnées[[#This Row],[ModuleNumber]]&amp;CompilDonnées[[#This Row],[PlantationDate]])</f>
        <v>124245919</v>
      </c>
      <c r="O5029" t="str">
        <f>CompilDonnées[[#This Row],[FarmID]]&amp;CompilDonnées[[#This Row],[ModuleNumber]]</f>
        <v>1242</v>
      </c>
      <c r="P5029" t="str">
        <f>CompilDonnées[[#This Row],[Ref_Module]]&amp;CompilDonnées[[#This Row],[HarvestingDate]]</f>
        <v>124245964</v>
      </c>
    </row>
    <row r="5030" spans="1:16">
      <c r="A5030" s="5">
        <v>45919</v>
      </c>
      <c r="B5030">
        <v>120</v>
      </c>
      <c r="C5030" t="s">
        <v>100</v>
      </c>
      <c r="D5030">
        <v>3</v>
      </c>
      <c r="E5030">
        <v>100</v>
      </c>
      <c r="F5030" t="s">
        <v>1</v>
      </c>
      <c r="G5030" s="6">
        <v>45961</v>
      </c>
      <c r="H5030">
        <v>42</v>
      </c>
      <c r="I5030">
        <f>ROUND(CompilDonnées[[#This Row],[CultureDuration_days]]/7,0)</f>
        <v>6</v>
      </c>
      <c r="J5030">
        <v>4908</v>
      </c>
      <c r="K5030" t="str">
        <f>_xlfn.CONCAT(WEEKNUM(CompilDonnées[[#This Row],[PlantationDate]]), " ", YEAR(CompilDonnées[[#This Row],[PlantationDate]]))</f>
        <v>38 2025</v>
      </c>
      <c r="L5030" t="str">
        <f>CONCATENATE(MONTH(CompilDonnées[[#This Row],[PlantationDate]])," ", YEAR(CompilDonnées[[#This Row],[PlantationDate]]))</f>
        <v>9 2025</v>
      </c>
      <c r="M5030" t="str">
        <f>CONCATENATE(MONTH(CompilDonnées[[#This Row],[HarvestingDate]])," ", YEAR(CompilDonnées[[#This Row],[HarvestingDate]]))</f>
        <v>10 2025</v>
      </c>
      <c r="N5030">
        <f>_xlfn.NUMBERVALUE(CompilDonnées[[#This Row],[FarmID]]&amp;CompilDonnées[[#This Row],[ModuleNumber]]&amp;CompilDonnées[[#This Row],[PlantationDate]])</f>
        <v>120345919</v>
      </c>
      <c r="O5030" t="str">
        <f>CompilDonnées[[#This Row],[FarmID]]&amp;CompilDonnées[[#This Row],[ModuleNumber]]</f>
        <v>1203</v>
      </c>
      <c r="P5030" t="str">
        <f>CompilDonnées[[#This Row],[Ref_Module]]&amp;CompilDonnées[[#This Row],[HarvestingDate]]</f>
        <v>120345961</v>
      </c>
    </row>
    <row r="5031" spans="1:16">
      <c r="A5031" s="5">
        <v>45923</v>
      </c>
      <c r="B5031">
        <v>94</v>
      </c>
      <c r="C5031" t="s">
        <v>40</v>
      </c>
      <c r="D5031">
        <v>3</v>
      </c>
      <c r="E5031">
        <v>100</v>
      </c>
      <c r="F5031" t="s">
        <v>1</v>
      </c>
      <c r="G5031" s="6">
        <v>45965</v>
      </c>
      <c r="H5031">
        <v>42</v>
      </c>
      <c r="I5031">
        <f>ROUND(CompilDonnées[[#This Row],[CultureDuration_days]]/7,0)</f>
        <v>6</v>
      </c>
      <c r="J5031">
        <v>3638</v>
      </c>
      <c r="K5031" t="str">
        <f>_xlfn.CONCAT(WEEKNUM(CompilDonnées[[#This Row],[PlantationDate]]), " ", YEAR(CompilDonnées[[#This Row],[PlantationDate]]))</f>
        <v>39 2025</v>
      </c>
      <c r="L5031" t="str">
        <f>CONCATENATE(MONTH(CompilDonnées[[#This Row],[PlantationDate]])," ", YEAR(CompilDonnées[[#This Row],[PlantationDate]]))</f>
        <v>9 2025</v>
      </c>
      <c r="M5031" t="str">
        <f>CONCATENATE(MONTH(CompilDonnées[[#This Row],[HarvestingDate]])," ", YEAR(CompilDonnées[[#This Row],[HarvestingDate]]))</f>
        <v>11 2025</v>
      </c>
      <c r="N5031">
        <f>_xlfn.NUMBERVALUE(CompilDonnées[[#This Row],[FarmID]]&amp;CompilDonnées[[#This Row],[ModuleNumber]]&amp;CompilDonnées[[#This Row],[PlantationDate]])</f>
        <v>94345923</v>
      </c>
      <c r="O5031" t="str">
        <f>CompilDonnées[[#This Row],[FarmID]]&amp;CompilDonnées[[#This Row],[ModuleNumber]]</f>
        <v>943</v>
      </c>
      <c r="P5031" t="str">
        <f>CompilDonnées[[#This Row],[Ref_Module]]&amp;CompilDonnées[[#This Row],[HarvestingDate]]</f>
        <v>94345965</v>
      </c>
    </row>
    <row r="5032" spans="1:16">
      <c r="A5032" s="5">
        <v>45923</v>
      </c>
      <c r="B5032">
        <v>100</v>
      </c>
      <c r="C5032" t="s">
        <v>84</v>
      </c>
      <c r="D5032">
        <v>6</v>
      </c>
      <c r="E5032">
        <v>100</v>
      </c>
      <c r="F5032" t="s">
        <v>1</v>
      </c>
      <c r="G5032" s="6">
        <v>45974</v>
      </c>
      <c r="H5032">
        <v>51</v>
      </c>
      <c r="I5032">
        <f>ROUND(CompilDonnées[[#This Row],[CultureDuration_days]]/7,0)</f>
        <v>7</v>
      </c>
      <c r="J5032">
        <v>3908</v>
      </c>
      <c r="K5032" t="str">
        <f>_xlfn.CONCAT(WEEKNUM(CompilDonnées[[#This Row],[PlantationDate]]), " ", YEAR(CompilDonnées[[#This Row],[PlantationDate]]))</f>
        <v>39 2025</v>
      </c>
      <c r="L5032" t="str">
        <f>CONCATENATE(MONTH(CompilDonnées[[#This Row],[PlantationDate]])," ", YEAR(CompilDonnées[[#This Row],[PlantationDate]]))</f>
        <v>9 2025</v>
      </c>
      <c r="M5032" t="str">
        <f>CONCATENATE(MONTH(CompilDonnées[[#This Row],[HarvestingDate]])," ", YEAR(CompilDonnées[[#This Row],[HarvestingDate]]))</f>
        <v>11 2025</v>
      </c>
      <c r="N5032">
        <f>_xlfn.NUMBERVALUE(CompilDonnées[[#This Row],[FarmID]]&amp;CompilDonnées[[#This Row],[ModuleNumber]]&amp;CompilDonnées[[#This Row],[PlantationDate]])</f>
        <v>100645923</v>
      </c>
      <c r="O5032" t="str">
        <f>CompilDonnées[[#This Row],[FarmID]]&amp;CompilDonnées[[#This Row],[ModuleNumber]]</f>
        <v>1006</v>
      </c>
      <c r="P5032" t="str">
        <f>CompilDonnées[[#This Row],[Ref_Module]]&amp;CompilDonnées[[#This Row],[HarvestingDate]]</f>
        <v>100645974</v>
      </c>
    </row>
    <row r="5033" spans="1:16">
      <c r="A5033" s="5">
        <v>45923</v>
      </c>
      <c r="B5033">
        <v>98</v>
      </c>
      <c r="C5033" t="s">
        <v>79</v>
      </c>
      <c r="D5033">
        <v>1</v>
      </c>
      <c r="E5033">
        <v>100</v>
      </c>
      <c r="F5033" t="s">
        <v>1</v>
      </c>
      <c r="G5033" s="6">
        <v>45973</v>
      </c>
      <c r="H5033">
        <v>50</v>
      </c>
      <c r="I5033">
        <f>ROUND(CompilDonnées[[#This Row],[CultureDuration_days]]/7,0)</f>
        <v>7</v>
      </c>
      <c r="J5033">
        <v>2383</v>
      </c>
      <c r="K5033" t="str">
        <f>_xlfn.CONCAT(WEEKNUM(CompilDonnées[[#This Row],[PlantationDate]]), " ", YEAR(CompilDonnées[[#This Row],[PlantationDate]]))</f>
        <v>39 2025</v>
      </c>
      <c r="L5033" t="str">
        <f>CONCATENATE(MONTH(CompilDonnées[[#This Row],[PlantationDate]])," ", YEAR(CompilDonnées[[#This Row],[PlantationDate]]))</f>
        <v>9 2025</v>
      </c>
      <c r="M5033" t="str">
        <f>CONCATENATE(MONTH(CompilDonnées[[#This Row],[HarvestingDate]])," ", YEAR(CompilDonnées[[#This Row],[HarvestingDate]]))</f>
        <v>11 2025</v>
      </c>
      <c r="N5033">
        <f>_xlfn.NUMBERVALUE(CompilDonnées[[#This Row],[FarmID]]&amp;CompilDonnées[[#This Row],[ModuleNumber]]&amp;CompilDonnées[[#This Row],[PlantationDate]])</f>
        <v>98145923</v>
      </c>
      <c r="O5033" t="str">
        <f>CompilDonnées[[#This Row],[FarmID]]&amp;CompilDonnées[[#This Row],[ModuleNumber]]</f>
        <v>981</v>
      </c>
      <c r="P5033" t="str">
        <f>CompilDonnées[[#This Row],[Ref_Module]]&amp;CompilDonnées[[#This Row],[HarvestingDate]]</f>
        <v>98145973</v>
      </c>
    </row>
    <row r="5034" spans="1:16">
      <c r="A5034" s="5">
        <v>45923</v>
      </c>
      <c r="B5034">
        <v>109</v>
      </c>
      <c r="C5034" t="s">
        <v>2</v>
      </c>
      <c r="D5034">
        <v>2</v>
      </c>
      <c r="E5034">
        <v>100</v>
      </c>
      <c r="F5034" t="s">
        <v>1</v>
      </c>
      <c r="G5034" s="6">
        <v>45974</v>
      </c>
      <c r="H5034">
        <v>51</v>
      </c>
      <c r="I5034">
        <f>ROUND(CompilDonnées[[#This Row],[CultureDuration_days]]/7,0)</f>
        <v>7</v>
      </c>
      <c r="J5034">
        <v>3429</v>
      </c>
      <c r="K5034" t="str">
        <f>_xlfn.CONCAT(WEEKNUM(CompilDonnées[[#This Row],[PlantationDate]]), " ", YEAR(CompilDonnées[[#This Row],[PlantationDate]]))</f>
        <v>39 2025</v>
      </c>
      <c r="L5034" t="str">
        <f>CONCATENATE(MONTH(CompilDonnées[[#This Row],[PlantationDate]])," ", YEAR(CompilDonnées[[#This Row],[PlantationDate]]))</f>
        <v>9 2025</v>
      </c>
      <c r="M5034" t="str">
        <f>CONCATENATE(MONTH(CompilDonnées[[#This Row],[HarvestingDate]])," ", YEAR(CompilDonnées[[#This Row],[HarvestingDate]]))</f>
        <v>11 2025</v>
      </c>
      <c r="N5034">
        <f>_xlfn.NUMBERVALUE(CompilDonnées[[#This Row],[FarmID]]&amp;CompilDonnées[[#This Row],[ModuleNumber]]&amp;CompilDonnées[[#This Row],[PlantationDate]])</f>
        <v>109245923</v>
      </c>
      <c r="O5034" t="str">
        <f>CompilDonnées[[#This Row],[FarmID]]&amp;CompilDonnées[[#This Row],[ModuleNumber]]</f>
        <v>1092</v>
      </c>
      <c r="P5034" t="str">
        <f>CompilDonnées[[#This Row],[Ref_Module]]&amp;CompilDonnées[[#This Row],[HarvestingDate]]</f>
        <v>109245974</v>
      </c>
    </row>
    <row r="5035" spans="1:16">
      <c r="A5035" s="5">
        <v>45923</v>
      </c>
      <c r="B5035">
        <v>108</v>
      </c>
      <c r="C5035" t="s">
        <v>58</v>
      </c>
      <c r="D5035">
        <v>3</v>
      </c>
      <c r="E5035">
        <v>100</v>
      </c>
      <c r="F5035" t="s">
        <v>1</v>
      </c>
      <c r="G5035" s="6">
        <v>45964</v>
      </c>
      <c r="H5035">
        <v>41</v>
      </c>
      <c r="I5035">
        <f>ROUND(CompilDonnées[[#This Row],[CultureDuration_days]]/7,0)</f>
        <v>6</v>
      </c>
      <c r="J5035">
        <v>2715</v>
      </c>
      <c r="K5035" t="str">
        <f>_xlfn.CONCAT(WEEKNUM(CompilDonnées[[#This Row],[PlantationDate]]), " ", YEAR(CompilDonnées[[#This Row],[PlantationDate]]))</f>
        <v>39 2025</v>
      </c>
      <c r="L5035" t="str">
        <f>CONCATENATE(MONTH(CompilDonnées[[#This Row],[PlantationDate]])," ", YEAR(CompilDonnées[[#This Row],[PlantationDate]]))</f>
        <v>9 2025</v>
      </c>
      <c r="M5035" t="str">
        <f>CONCATENATE(MONTH(CompilDonnées[[#This Row],[HarvestingDate]])," ", YEAR(CompilDonnées[[#This Row],[HarvestingDate]]))</f>
        <v>11 2025</v>
      </c>
      <c r="N5035">
        <f>_xlfn.NUMBERVALUE(CompilDonnées[[#This Row],[FarmID]]&amp;CompilDonnées[[#This Row],[ModuleNumber]]&amp;CompilDonnées[[#This Row],[PlantationDate]])</f>
        <v>108345923</v>
      </c>
      <c r="O5035" t="str">
        <f>CompilDonnées[[#This Row],[FarmID]]&amp;CompilDonnées[[#This Row],[ModuleNumber]]</f>
        <v>1083</v>
      </c>
      <c r="P5035" t="str">
        <f>CompilDonnées[[#This Row],[Ref_Module]]&amp;CompilDonnées[[#This Row],[HarvestingDate]]</f>
        <v>108345964</v>
      </c>
    </row>
    <row r="5036" spans="1:16">
      <c r="A5036" s="5">
        <v>45923</v>
      </c>
      <c r="B5036">
        <v>107</v>
      </c>
      <c r="C5036" t="s">
        <v>23</v>
      </c>
      <c r="D5036">
        <v>5</v>
      </c>
      <c r="E5036">
        <v>100</v>
      </c>
      <c r="F5036" t="s">
        <v>1</v>
      </c>
      <c r="G5036" s="6">
        <v>45973</v>
      </c>
      <c r="H5036">
        <v>50</v>
      </c>
      <c r="I5036">
        <f>ROUND(CompilDonnées[[#This Row],[CultureDuration_days]]/7,0)</f>
        <v>7</v>
      </c>
      <c r="J5036">
        <v>3190</v>
      </c>
      <c r="K5036" t="str">
        <f>_xlfn.CONCAT(WEEKNUM(CompilDonnées[[#This Row],[PlantationDate]]), " ", YEAR(CompilDonnées[[#This Row],[PlantationDate]]))</f>
        <v>39 2025</v>
      </c>
      <c r="L5036" t="str">
        <f>CONCATENATE(MONTH(CompilDonnées[[#This Row],[PlantationDate]])," ", YEAR(CompilDonnées[[#This Row],[PlantationDate]]))</f>
        <v>9 2025</v>
      </c>
      <c r="M5036" t="str">
        <f>CONCATENATE(MONTH(CompilDonnées[[#This Row],[HarvestingDate]])," ", YEAR(CompilDonnées[[#This Row],[HarvestingDate]]))</f>
        <v>11 2025</v>
      </c>
      <c r="N5036">
        <f>_xlfn.NUMBERVALUE(CompilDonnées[[#This Row],[FarmID]]&amp;CompilDonnées[[#This Row],[ModuleNumber]]&amp;CompilDonnées[[#This Row],[PlantationDate]])</f>
        <v>107545923</v>
      </c>
      <c r="O5036" t="str">
        <f>CompilDonnées[[#This Row],[FarmID]]&amp;CompilDonnées[[#This Row],[ModuleNumber]]</f>
        <v>1075</v>
      </c>
      <c r="P5036" t="str">
        <f>CompilDonnées[[#This Row],[Ref_Module]]&amp;CompilDonnées[[#This Row],[HarvestingDate]]</f>
        <v>107545973</v>
      </c>
    </row>
    <row r="5037" spans="1:16">
      <c r="A5037" s="5">
        <v>45923</v>
      </c>
      <c r="B5037">
        <v>105</v>
      </c>
      <c r="C5037" t="s">
        <v>12</v>
      </c>
      <c r="D5037">
        <v>1</v>
      </c>
      <c r="E5037">
        <v>100</v>
      </c>
      <c r="F5037" t="s">
        <v>1</v>
      </c>
      <c r="G5037" s="6">
        <v>45978</v>
      </c>
      <c r="H5037">
        <v>55</v>
      </c>
      <c r="I5037">
        <f>ROUND(CompilDonnées[[#This Row],[CultureDuration_days]]/7,0)</f>
        <v>8</v>
      </c>
      <c r="J5037">
        <v>1996</v>
      </c>
      <c r="K5037" t="str">
        <f>_xlfn.CONCAT(WEEKNUM(CompilDonnées[[#This Row],[PlantationDate]]), " ", YEAR(CompilDonnées[[#This Row],[PlantationDate]]))</f>
        <v>39 2025</v>
      </c>
      <c r="L5037" t="str">
        <f>CONCATENATE(MONTH(CompilDonnées[[#This Row],[PlantationDate]])," ", YEAR(CompilDonnées[[#This Row],[PlantationDate]]))</f>
        <v>9 2025</v>
      </c>
      <c r="M5037" t="str">
        <f>CONCATENATE(MONTH(CompilDonnées[[#This Row],[HarvestingDate]])," ", YEAR(CompilDonnées[[#This Row],[HarvestingDate]]))</f>
        <v>11 2025</v>
      </c>
      <c r="N5037">
        <f>_xlfn.NUMBERVALUE(CompilDonnées[[#This Row],[FarmID]]&amp;CompilDonnées[[#This Row],[ModuleNumber]]&amp;CompilDonnées[[#This Row],[PlantationDate]])</f>
        <v>105145923</v>
      </c>
      <c r="O5037" t="str">
        <f>CompilDonnées[[#This Row],[FarmID]]&amp;CompilDonnées[[#This Row],[ModuleNumber]]</f>
        <v>1051</v>
      </c>
      <c r="P5037" t="str">
        <f>CompilDonnées[[#This Row],[Ref_Module]]&amp;CompilDonnées[[#This Row],[HarvestingDate]]</f>
        <v>105145978</v>
      </c>
    </row>
    <row r="5038" spans="1:16">
      <c r="A5038" s="5">
        <v>45923</v>
      </c>
      <c r="B5038">
        <v>143</v>
      </c>
      <c r="C5038" t="s">
        <v>81</v>
      </c>
      <c r="D5038">
        <v>3</v>
      </c>
      <c r="E5038">
        <v>100</v>
      </c>
      <c r="F5038" t="s">
        <v>1</v>
      </c>
      <c r="G5038" s="6">
        <v>45974</v>
      </c>
      <c r="H5038">
        <v>51</v>
      </c>
      <c r="I5038">
        <f>ROUND(CompilDonnées[[#This Row],[CultureDuration_days]]/7,0)</f>
        <v>7</v>
      </c>
      <c r="J5038">
        <v>1327</v>
      </c>
      <c r="K5038" t="str">
        <f>_xlfn.CONCAT(WEEKNUM(CompilDonnées[[#This Row],[PlantationDate]]), " ", YEAR(CompilDonnées[[#This Row],[PlantationDate]]))</f>
        <v>39 2025</v>
      </c>
      <c r="L5038" t="str">
        <f>CONCATENATE(MONTH(CompilDonnées[[#This Row],[PlantationDate]])," ", YEAR(CompilDonnées[[#This Row],[PlantationDate]]))</f>
        <v>9 2025</v>
      </c>
      <c r="M5038" t="str">
        <f>CONCATENATE(MONTH(CompilDonnées[[#This Row],[HarvestingDate]])," ", YEAR(CompilDonnées[[#This Row],[HarvestingDate]]))</f>
        <v>11 2025</v>
      </c>
      <c r="N5038">
        <f>_xlfn.NUMBERVALUE(CompilDonnées[[#This Row],[FarmID]]&amp;CompilDonnées[[#This Row],[ModuleNumber]]&amp;CompilDonnées[[#This Row],[PlantationDate]])</f>
        <v>143345923</v>
      </c>
      <c r="O5038" t="str">
        <f>CompilDonnées[[#This Row],[FarmID]]&amp;CompilDonnées[[#This Row],[ModuleNumber]]</f>
        <v>1433</v>
      </c>
      <c r="P5038" t="str">
        <f>CompilDonnées[[#This Row],[Ref_Module]]&amp;CompilDonnées[[#This Row],[HarvestingDate]]</f>
        <v>143345974</v>
      </c>
    </row>
    <row r="5039" spans="1:16">
      <c r="A5039" s="5">
        <v>45923</v>
      </c>
      <c r="B5039">
        <v>137</v>
      </c>
      <c r="C5039" t="s">
        <v>108</v>
      </c>
      <c r="D5039">
        <v>2</v>
      </c>
      <c r="E5039">
        <v>100</v>
      </c>
      <c r="F5039" t="s">
        <v>1</v>
      </c>
      <c r="G5039" s="6">
        <v>45974</v>
      </c>
      <c r="H5039">
        <v>51</v>
      </c>
      <c r="I5039">
        <f>ROUND(CompilDonnées[[#This Row],[CultureDuration_days]]/7,0)</f>
        <v>7</v>
      </c>
      <c r="J5039">
        <v>1684</v>
      </c>
      <c r="K5039" t="str">
        <f>_xlfn.CONCAT(WEEKNUM(CompilDonnées[[#This Row],[PlantationDate]]), " ", YEAR(CompilDonnées[[#This Row],[PlantationDate]]))</f>
        <v>39 2025</v>
      </c>
      <c r="L5039" t="str">
        <f>CONCATENATE(MONTH(CompilDonnées[[#This Row],[PlantationDate]])," ", YEAR(CompilDonnées[[#This Row],[PlantationDate]]))</f>
        <v>9 2025</v>
      </c>
      <c r="M5039" t="str">
        <f>CONCATENATE(MONTH(CompilDonnées[[#This Row],[HarvestingDate]])," ", YEAR(CompilDonnées[[#This Row],[HarvestingDate]]))</f>
        <v>11 2025</v>
      </c>
      <c r="N5039">
        <f>_xlfn.NUMBERVALUE(CompilDonnées[[#This Row],[FarmID]]&amp;CompilDonnées[[#This Row],[ModuleNumber]]&amp;CompilDonnées[[#This Row],[PlantationDate]])</f>
        <v>137245923</v>
      </c>
      <c r="O5039" t="str">
        <f>CompilDonnées[[#This Row],[FarmID]]&amp;CompilDonnées[[#This Row],[ModuleNumber]]</f>
        <v>1372</v>
      </c>
      <c r="P5039" t="str">
        <f>CompilDonnées[[#This Row],[Ref_Module]]&amp;CompilDonnées[[#This Row],[HarvestingDate]]</f>
        <v>137245974</v>
      </c>
    </row>
    <row r="5040" spans="1:16">
      <c r="A5040" s="5">
        <v>45923</v>
      </c>
      <c r="B5040">
        <v>138</v>
      </c>
      <c r="C5040" t="s">
        <v>124</v>
      </c>
      <c r="D5040">
        <v>1</v>
      </c>
      <c r="E5040">
        <v>100</v>
      </c>
      <c r="F5040" t="s">
        <v>1</v>
      </c>
      <c r="G5040" s="6">
        <v>45974</v>
      </c>
      <c r="H5040">
        <v>51</v>
      </c>
      <c r="I5040">
        <f>ROUND(CompilDonnées[[#This Row],[CultureDuration_days]]/7,0)</f>
        <v>7</v>
      </c>
      <c r="J5040">
        <v>1980</v>
      </c>
      <c r="K5040" t="str">
        <f>_xlfn.CONCAT(WEEKNUM(CompilDonnées[[#This Row],[PlantationDate]]), " ", YEAR(CompilDonnées[[#This Row],[PlantationDate]]))</f>
        <v>39 2025</v>
      </c>
      <c r="L5040" t="str">
        <f>CONCATENATE(MONTH(CompilDonnées[[#This Row],[PlantationDate]])," ", YEAR(CompilDonnées[[#This Row],[PlantationDate]]))</f>
        <v>9 2025</v>
      </c>
      <c r="M5040" t="str">
        <f>CONCATENATE(MONTH(CompilDonnées[[#This Row],[HarvestingDate]])," ", YEAR(CompilDonnées[[#This Row],[HarvestingDate]]))</f>
        <v>11 2025</v>
      </c>
      <c r="N5040">
        <f>_xlfn.NUMBERVALUE(CompilDonnées[[#This Row],[FarmID]]&amp;CompilDonnées[[#This Row],[ModuleNumber]]&amp;CompilDonnées[[#This Row],[PlantationDate]])</f>
        <v>138145923</v>
      </c>
      <c r="O5040" t="str">
        <f>CompilDonnées[[#This Row],[FarmID]]&amp;CompilDonnées[[#This Row],[ModuleNumber]]</f>
        <v>1381</v>
      </c>
      <c r="P5040" t="str">
        <f>CompilDonnées[[#This Row],[Ref_Module]]&amp;CompilDonnées[[#This Row],[HarvestingDate]]</f>
        <v>138145974</v>
      </c>
    </row>
    <row r="5041" spans="1:16">
      <c r="A5041" s="5">
        <v>45923</v>
      </c>
      <c r="B5041">
        <v>139</v>
      </c>
      <c r="C5041" t="s">
        <v>103</v>
      </c>
      <c r="D5041">
        <v>5</v>
      </c>
      <c r="E5041">
        <v>100</v>
      </c>
      <c r="F5041" t="s">
        <v>1</v>
      </c>
      <c r="G5041" s="6">
        <v>45964</v>
      </c>
      <c r="H5041">
        <v>41</v>
      </c>
      <c r="I5041">
        <f>ROUND(CompilDonnées[[#This Row],[CultureDuration_days]]/7,0)</f>
        <v>6</v>
      </c>
      <c r="J5041">
        <v>3514</v>
      </c>
      <c r="K5041" t="str">
        <f>_xlfn.CONCAT(WEEKNUM(CompilDonnées[[#This Row],[PlantationDate]]), " ", YEAR(CompilDonnées[[#This Row],[PlantationDate]]))</f>
        <v>39 2025</v>
      </c>
      <c r="L5041" t="str">
        <f>CONCATENATE(MONTH(CompilDonnées[[#This Row],[PlantationDate]])," ", YEAR(CompilDonnées[[#This Row],[PlantationDate]]))</f>
        <v>9 2025</v>
      </c>
      <c r="M5041" t="str">
        <f>CONCATENATE(MONTH(CompilDonnées[[#This Row],[HarvestingDate]])," ", YEAR(CompilDonnées[[#This Row],[HarvestingDate]]))</f>
        <v>11 2025</v>
      </c>
      <c r="N5041">
        <f>_xlfn.NUMBERVALUE(CompilDonnées[[#This Row],[FarmID]]&amp;CompilDonnées[[#This Row],[ModuleNumber]]&amp;CompilDonnées[[#This Row],[PlantationDate]])</f>
        <v>139545923</v>
      </c>
      <c r="O5041" t="str">
        <f>CompilDonnées[[#This Row],[FarmID]]&amp;CompilDonnées[[#This Row],[ModuleNumber]]</f>
        <v>1395</v>
      </c>
      <c r="P5041" t="str">
        <f>CompilDonnées[[#This Row],[Ref_Module]]&amp;CompilDonnées[[#This Row],[HarvestingDate]]</f>
        <v>139545964</v>
      </c>
    </row>
    <row r="5042" spans="1:16">
      <c r="A5042" s="5">
        <v>45923</v>
      </c>
      <c r="B5042">
        <v>140</v>
      </c>
      <c r="C5042" t="s">
        <v>96</v>
      </c>
      <c r="D5042">
        <v>4</v>
      </c>
      <c r="E5042">
        <v>100</v>
      </c>
      <c r="F5042" t="s">
        <v>1</v>
      </c>
      <c r="G5042" s="6">
        <v>45964</v>
      </c>
      <c r="H5042">
        <v>41</v>
      </c>
      <c r="I5042">
        <f>ROUND(CompilDonnées[[#This Row],[CultureDuration_days]]/7,0)</f>
        <v>6</v>
      </c>
      <c r="J5042">
        <v>3192</v>
      </c>
      <c r="K5042" t="str">
        <f>_xlfn.CONCAT(WEEKNUM(CompilDonnées[[#This Row],[PlantationDate]]), " ", YEAR(CompilDonnées[[#This Row],[PlantationDate]]))</f>
        <v>39 2025</v>
      </c>
      <c r="L5042" t="str">
        <f>CONCATENATE(MONTH(CompilDonnées[[#This Row],[PlantationDate]])," ", YEAR(CompilDonnées[[#This Row],[PlantationDate]]))</f>
        <v>9 2025</v>
      </c>
      <c r="M5042" t="str">
        <f>CONCATENATE(MONTH(CompilDonnées[[#This Row],[HarvestingDate]])," ", YEAR(CompilDonnées[[#This Row],[HarvestingDate]]))</f>
        <v>11 2025</v>
      </c>
      <c r="N5042">
        <f>_xlfn.NUMBERVALUE(CompilDonnées[[#This Row],[FarmID]]&amp;CompilDonnées[[#This Row],[ModuleNumber]]&amp;CompilDonnées[[#This Row],[PlantationDate]])</f>
        <v>140445923</v>
      </c>
      <c r="O5042" t="str">
        <f>CompilDonnées[[#This Row],[FarmID]]&amp;CompilDonnées[[#This Row],[ModuleNumber]]</f>
        <v>1404</v>
      </c>
      <c r="P5042" t="str">
        <f>CompilDonnées[[#This Row],[Ref_Module]]&amp;CompilDonnées[[#This Row],[HarvestingDate]]</f>
        <v>140445964</v>
      </c>
    </row>
    <row r="5043" spans="1:16">
      <c r="A5043" s="5">
        <v>45923</v>
      </c>
      <c r="B5043">
        <v>132</v>
      </c>
      <c r="C5043" t="s">
        <v>120</v>
      </c>
      <c r="D5043">
        <v>3</v>
      </c>
      <c r="E5043">
        <v>100</v>
      </c>
      <c r="F5043" t="s">
        <v>1</v>
      </c>
      <c r="G5043" s="6">
        <v>45974</v>
      </c>
      <c r="H5043">
        <v>51</v>
      </c>
      <c r="I5043">
        <f>ROUND(CompilDonnées[[#This Row],[CultureDuration_days]]/7,0)</f>
        <v>7</v>
      </c>
      <c r="J5043">
        <v>3249</v>
      </c>
      <c r="K5043" t="str">
        <f>_xlfn.CONCAT(WEEKNUM(CompilDonnées[[#This Row],[PlantationDate]]), " ", YEAR(CompilDonnées[[#This Row],[PlantationDate]]))</f>
        <v>39 2025</v>
      </c>
      <c r="L5043" t="str">
        <f>CONCATENATE(MONTH(CompilDonnées[[#This Row],[PlantationDate]])," ", YEAR(CompilDonnées[[#This Row],[PlantationDate]]))</f>
        <v>9 2025</v>
      </c>
      <c r="M5043" t="str">
        <f>CONCATENATE(MONTH(CompilDonnées[[#This Row],[HarvestingDate]])," ", YEAR(CompilDonnées[[#This Row],[HarvestingDate]]))</f>
        <v>11 2025</v>
      </c>
      <c r="N5043">
        <f>_xlfn.NUMBERVALUE(CompilDonnées[[#This Row],[FarmID]]&amp;CompilDonnées[[#This Row],[ModuleNumber]]&amp;CompilDonnées[[#This Row],[PlantationDate]])</f>
        <v>132345923</v>
      </c>
      <c r="O5043" t="str">
        <f>CompilDonnées[[#This Row],[FarmID]]&amp;CompilDonnées[[#This Row],[ModuleNumber]]</f>
        <v>1323</v>
      </c>
      <c r="P5043" t="str">
        <f>CompilDonnées[[#This Row],[Ref_Module]]&amp;CompilDonnées[[#This Row],[HarvestingDate]]</f>
        <v>132345974</v>
      </c>
    </row>
    <row r="5044" spans="1:16">
      <c r="A5044" s="5">
        <v>45923</v>
      </c>
      <c r="B5044">
        <v>133</v>
      </c>
      <c r="C5044" t="s">
        <v>99</v>
      </c>
      <c r="D5044">
        <v>6</v>
      </c>
      <c r="E5044">
        <v>100</v>
      </c>
      <c r="F5044" t="s">
        <v>1</v>
      </c>
      <c r="G5044" s="6">
        <v>45964</v>
      </c>
      <c r="H5044">
        <v>41</v>
      </c>
      <c r="I5044">
        <f>ROUND(CompilDonnées[[#This Row],[CultureDuration_days]]/7,0)</f>
        <v>6</v>
      </c>
      <c r="J5044">
        <v>3967</v>
      </c>
      <c r="K5044" t="str">
        <f>_xlfn.CONCAT(WEEKNUM(CompilDonnées[[#This Row],[PlantationDate]]), " ", YEAR(CompilDonnées[[#This Row],[PlantationDate]]))</f>
        <v>39 2025</v>
      </c>
      <c r="L5044" t="str">
        <f>CONCATENATE(MONTH(CompilDonnées[[#This Row],[PlantationDate]])," ", YEAR(CompilDonnées[[#This Row],[PlantationDate]]))</f>
        <v>9 2025</v>
      </c>
      <c r="M5044" t="str">
        <f>CONCATENATE(MONTH(CompilDonnées[[#This Row],[HarvestingDate]])," ", YEAR(CompilDonnées[[#This Row],[HarvestingDate]]))</f>
        <v>11 2025</v>
      </c>
      <c r="N5044">
        <f>_xlfn.NUMBERVALUE(CompilDonnées[[#This Row],[FarmID]]&amp;CompilDonnées[[#This Row],[ModuleNumber]]&amp;CompilDonnées[[#This Row],[PlantationDate]])</f>
        <v>133645923</v>
      </c>
      <c r="O5044" t="str">
        <f>CompilDonnées[[#This Row],[FarmID]]&amp;CompilDonnées[[#This Row],[ModuleNumber]]</f>
        <v>1336</v>
      </c>
      <c r="P5044" t="str">
        <f>CompilDonnées[[#This Row],[Ref_Module]]&amp;CompilDonnées[[#This Row],[HarvestingDate]]</f>
        <v>133645964</v>
      </c>
    </row>
    <row r="5045" spans="1:16">
      <c r="A5045" s="5">
        <v>45923</v>
      </c>
      <c r="B5045">
        <v>124</v>
      </c>
      <c r="C5045" t="s">
        <v>115</v>
      </c>
      <c r="D5045">
        <v>3</v>
      </c>
      <c r="E5045">
        <v>100</v>
      </c>
      <c r="F5045" t="s">
        <v>1</v>
      </c>
      <c r="G5045" s="6">
        <v>45974</v>
      </c>
      <c r="H5045">
        <v>51</v>
      </c>
      <c r="I5045">
        <f>ROUND(CompilDonnées[[#This Row],[CultureDuration_days]]/7,0)</f>
        <v>7</v>
      </c>
      <c r="J5045">
        <v>3787</v>
      </c>
      <c r="K5045" t="str">
        <f>_xlfn.CONCAT(WEEKNUM(CompilDonnées[[#This Row],[PlantationDate]]), " ", YEAR(CompilDonnées[[#This Row],[PlantationDate]]))</f>
        <v>39 2025</v>
      </c>
      <c r="L5045" t="str">
        <f>CONCATENATE(MONTH(CompilDonnées[[#This Row],[PlantationDate]])," ", YEAR(CompilDonnées[[#This Row],[PlantationDate]]))</f>
        <v>9 2025</v>
      </c>
      <c r="M5045" t="str">
        <f>CONCATENATE(MONTH(CompilDonnées[[#This Row],[HarvestingDate]])," ", YEAR(CompilDonnées[[#This Row],[HarvestingDate]]))</f>
        <v>11 2025</v>
      </c>
      <c r="N5045">
        <f>_xlfn.NUMBERVALUE(CompilDonnées[[#This Row],[FarmID]]&amp;CompilDonnées[[#This Row],[ModuleNumber]]&amp;CompilDonnées[[#This Row],[PlantationDate]])</f>
        <v>124345923</v>
      </c>
      <c r="O5045" t="str">
        <f>CompilDonnées[[#This Row],[FarmID]]&amp;CompilDonnées[[#This Row],[ModuleNumber]]</f>
        <v>1243</v>
      </c>
      <c r="P5045" t="str">
        <f>CompilDonnées[[#This Row],[Ref_Module]]&amp;CompilDonnées[[#This Row],[HarvestingDate]]</f>
        <v>124345974</v>
      </c>
    </row>
    <row r="5046" spans="1:16">
      <c r="A5046" s="5">
        <v>45923</v>
      </c>
      <c r="B5046">
        <v>125</v>
      </c>
      <c r="C5046" t="s">
        <v>101</v>
      </c>
      <c r="D5046">
        <v>3</v>
      </c>
      <c r="E5046">
        <v>100</v>
      </c>
      <c r="F5046" t="s">
        <v>1</v>
      </c>
      <c r="G5046" s="6">
        <v>45964</v>
      </c>
      <c r="H5046">
        <v>41</v>
      </c>
      <c r="I5046">
        <f>ROUND(CompilDonnées[[#This Row],[CultureDuration_days]]/7,0)</f>
        <v>6</v>
      </c>
      <c r="J5046">
        <v>3802</v>
      </c>
      <c r="K5046" t="str">
        <f>_xlfn.CONCAT(WEEKNUM(CompilDonnées[[#This Row],[PlantationDate]]), " ", YEAR(CompilDonnées[[#This Row],[PlantationDate]]))</f>
        <v>39 2025</v>
      </c>
      <c r="L5046" t="str">
        <f>CONCATENATE(MONTH(CompilDonnées[[#This Row],[PlantationDate]])," ", YEAR(CompilDonnées[[#This Row],[PlantationDate]]))</f>
        <v>9 2025</v>
      </c>
      <c r="M5046" t="str">
        <f>CONCATENATE(MONTH(CompilDonnées[[#This Row],[HarvestingDate]])," ", YEAR(CompilDonnées[[#This Row],[HarvestingDate]]))</f>
        <v>11 2025</v>
      </c>
      <c r="N5046">
        <f>_xlfn.NUMBERVALUE(CompilDonnées[[#This Row],[FarmID]]&amp;CompilDonnées[[#This Row],[ModuleNumber]]&amp;CompilDonnées[[#This Row],[PlantationDate]])</f>
        <v>125345923</v>
      </c>
      <c r="O5046" t="str">
        <f>CompilDonnées[[#This Row],[FarmID]]&amp;CompilDonnées[[#This Row],[ModuleNumber]]</f>
        <v>1253</v>
      </c>
      <c r="P5046" t="str">
        <f>CompilDonnées[[#This Row],[Ref_Module]]&amp;CompilDonnées[[#This Row],[HarvestingDate]]</f>
        <v>125345964</v>
      </c>
    </row>
    <row r="5047" spans="1:16">
      <c r="A5047" s="5">
        <v>45923</v>
      </c>
      <c r="B5047">
        <v>126</v>
      </c>
      <c r="C5047" t="s">
        <v>52</v>
      </c>
      <c r="D5047">
        <v>5</v>
      </c>
      <c r="E5047">
        <v>100</v>
      </c>
      <c r="F5047" t="s">
        <v>1</v>
      </c>
      <c r="G5047" s="6">
        <v>45964</v>
      </c>
      <c r="H5047">
        <v>41</v>
      </c>
      <c r="I5047">
        <f>ROUND(CompilDonnées[[#This Row],[CultureDuration_days]]/7,0)</f>
        <v>6</v>
      </c>
      <c r="J5047">
        <v>3648</v>
      </c>
      <c r="K5047" t="str">
        <f>_xlfn.CONCAT(WEEKNUM(CompilDonnées[[#This Row],[PlantationDate]]), " ", YEAR(CompilDonnées[[#This Row],[PlantationDate]]))</f>
        <v>39 2025</v>
      </c>
      <c r="L5047" t="str">
        <f>CONCATENATE(MONTH(CompilDonnées[[#This Row],[PlantationDate]])," ", YEAR(CompilDonnées[[#This Row],[PlantationDate]]))</f>
        <v>9 2025</v>
      </c>
      <c r="M5047" t="str">
        <f>CONCATENATE(MONTH(CompilDonnées[[#This Row],[HarvestingDate]])," ", YEAR(CompilDonnées[[#This Row],[HarvestingDate]]))</f>
        <v>11 2025</v>
      </c>
      <c r="N5047">
        <f>_xlfn.NUMBERVALUE(CompilDonnées[[#This Row],[FarmID]]&amp;CompilDonnées[[#This Row],[ModuleNumber]]&amp;CompilDonnées[[#This Row],[PlantationDate]])</f>
        <v>126545923</v>
      </c>
      <c r="O5047" t="str">
        <f>CompilDonnées[[#This Row],[FarmID]]&amp;CompilDonnées[[#This Row],[ModuleNumber]]</f>
        <v>1265</v>
      </c>
      <c r="P5047" t="str">
        <f>CompilDonnées[[#This Row],[Ref_Module]]&amp;CompilDonnées[[#This Row],[HarvestingDate]]</f>
        <v>126545964</v>
      </c>
    </row>
    <row r="5048" spans="1:16">
      <c r="A5048" s="5">
        <v>45923</v>
      </c>
      <c r="B5048">
        <v>122</v>
      </c>
      <c r="C5048" t="s">
        <v>122</v>
      </c>
      <c r="D5048">
        <v>4</v>
      </c>
      <c r="E5048">
        <v>100</v>
      </c>
      <c r="F5048" t="s">
        <v>1</v>
      </c>
      <c r="G5048" s="6">
        <v>45964</v>
      </c>
      <c r="H5048">
        <v>41</v>
      </c>
      <c r="I5048">
        <f>ROUND(CompilDonnées[[#This Row],[CultureDuration_days]]/7,0)</f>
        <v>6</v>
      </c>
      <c r="J5048">
        <v>2218</v>
      </c>
      <c r="K5048" t="str">
        <f>_xlfn.CONCAT(WEEKNUM(CompilDonnées[[#This Row],[PlantationDate]]), " ", YEAR(CompilDonnées[[#This Row],[PlantationDate]]))</f>
        <v>39 2025</v>
      </c>
      <c r="L5048" t="str">
        <f>CONCATENATE(MONTH(CompilDonnées[[#This Row],[PlantationDate]])," ", YEAR(CompilDonnées[[#This Row],[PlantationDate]]))</f>
        <v>9 2025</v>
      </c>
      <c r="M5048" t="str">
        <f>CONCATENATE(MONTH(CompilDonnées[[#This Row],[HarvestingDate]])," ", YEAR(CompilDonnées[[#This Row],[HarvestingDate]]))</f>
        <v>11 2025</v>
      </c>
      <c r="N5048">
        <f>_xlfn.NUMBERVALUE(CompilDonnées[[#This Row],[FarmID]]&amp;CompilDonnées[[#This Row],[ModuleNumber]]&amp;CompilDonnées[[#This Row],[PlantationDate]])</f>
        <v>122445923</v>
      </c>
      <c r="O5048" t="str">
        <f>CompilDonnées[[#This Row],[FarmID]]&amp;CompilDonnées[[#This Row],[ModuleNumber]]</f>
        <v>1224</v>
      </c>
      <c r="P5048" t="str">
        <f>CompilDonnées[[#This Row],[Ref_Module]]&amp;CompilDonnées[[#This Row],[HarvestingDate]]</f>
        <v>122445964</v>
      </c>
    </row>
    <row r="5049" spans="1:16">
      <c r="A5049" s="5">
        <v>45923</v>
      </c>
      <c r="B5049">
        <v>120</v>
      </c>
      <c r="C5049" t="s">
        <v>100</v>
      </c>
      <c r="D5049">
        <v>4</v>
      </c>
      <c r="E5049">
        <v>100</v>
      </c>
      <c r="F5049" t="s">
        <v>1</v>
      </c>
      <c r="G5049" s="6">
        <v>45964</v>
      </c>
      <c r="H5049">
        <v>41</v>
      </c>
      <c r="I5049">
        <f>ROUND(CompilDonnées[[#This Row],[CultureDuration_days]]/7,0)</f>
        <v>6</v>
      </c>
      <c r="J5049">
        <v>3789</v>
      </c>
      <c r="K5049" t="str">
        <f>_xlfn.CONCAT(WEEKNUM(CompilDonnées[[#This Row],[PlantationDate]]), " ", YEAR(CompilDonnées[[#This Row],[PlantationDate]]))</f>
        <v>39 2025</v>
      </c>
      <c r="L5049" t="str">
        <f>CONCATENATE(MONTH(CompilDonnées[[#This Row],[PlantationDate]])," ", YEAR(CompilDonnées[[#This Row],[PlantationDate]]))</f>
        <v>9 2025</v>
      </c>
      <c r="M5049" t="str">
        <f>CONCATENATE(MONTH(CompilDonnées[[#This Row],[HarvestingDate]])," ", YEAR(CompilDonnées[[#This Row],[HarvestingDate]]))</f>
        <v>11 2025</v>
      </c>
      <c r="N5049">
        <f>_xlfn.NUMBERVALUE(CompilDonnées[[#This Row],[FarmID]]&amp;CompilDonnées[[#This Row],[ModuleNumber]]&amp;CompilDonnées[[#This Row],[PlantationDate]])</f>
        <v>120445923</v>
      </c>
      <c r="O5049" t="str">
        <f>CompilDonnées[[#This Row],[FarmID]]&amp;CompilDonnées[[#This Row],[ModuleNumber]]</f>
        <v>1204</v>
      </c>
      <c r="P5049" t="str">
        <f>CompilDonnées[[#This Row],[Ref_Module]]&amp;CompilDonnées[[#This Row],[HarvestingDate]]</f>
        <v>120445964</v>
      </c>
    </row>
    <row r="5050" spans="1:16">
      <c r="A5050" s="5">
        <v>45923</v>
      </c>
      <c r="B5050">
        <v>119</v>
      </c>
      <c r="C5050" t="s">
        <v>59</v>
      </c>
      <c r="D5050">
        <v>2</v>
      </c>
      <c r="E5050">
        <v>100</v>
      </c>
      <c r="F5050" t="s">
        <v>1</v>
      </c>
      <c r="G5050" s="6">
        <v>45964</v>
      </c>
      <c r="H5050">
        <v>41</v>
      </c>
      <c r="I5050">
        <f>ROUND(CompilDonnées[[#This Row],[CultureDuration_days]]/7,0)</f>
        <v>6</v>
      </c>
      <c r="J5050">
        <v>3235</v>
      </c>
      <c r="K5050" t="str">
        <f>_xlfn.CONCAT(WEEKNUM(CompilDonnées[[#This Row],[PlantationDate]]), " ", YEAR(CompilDonnées[[#This Row],[PlantationDate]]))</f>
        <v>39 2025</v>
      </c>
      <c r="L5050" t="str">
        <f>CONCATENATE(MONTH(CompilDonnées[[#This Row],[PlantationDate]])," ", YEAR(CompilDonnées[[#This Row],[PlantationDate]]))</f>
        <v>9 2025</v>
      </c>
      <c r="M5050" t="str">
        <f>CONCATENATE(MONTH(CompilDonnées[[#This Row],[HarvestingDate]])," ", YEAR(CompilDonnées[[#This Row],[HarvestingDate]]))</f>
        <v>11 2025</v>
      </c>
      <c r="N5050">
        <f>_xlfn.NUMBERVALUE(CompilDonnées[[#This Row],[FarmID]]&amp;CompilDonnées[[#This Row],[ModuleNumber]]&amp;CompilDonnées[[#This Row],[PlantationDate]])</f>
        <v>119245923</v>
      </c>
      <c r="O5050" t="str">
        <f>CompilDonnées[[#This Row],[FarmID]]&amp;CompilDonnées[[#This Row],[ModuleNumber]]</f>
        <v>1192</v>
      </c>
      <c r="P5050" t="str">
        <f>CompilDonnées[[#This Row],[Ref_Module]]&amp;CompilDonnées[[#This Row],[HarvestingDate]]</f>
        <v>119245964</v>
      </c>
    </row>
    <row r="5051" spans="1:16">
      <c r="A5051" s="5">
        <v>45923</v>
      </c>
      <c r="B5051">
        <v>118</v>
      </c>
      <c r="C5051" t="s">
        <v>51</v>
      </c>
      <c r="D5051">
        <v>2</v>
      </c>
      <c r="E5051">
        <v>100</v>
      </c>
      <c r="F5051" t="s">
        <v>1</v>
      </c>
      <c r="G5051" s="6">
        <v>45964</v>
      </c>
      <c r="H5051">
        <v>41</v>
      </c>
      <c r="I5051">
        <f>ROUND(CompilDonnées[[#This Row],[CultureDuration_days]]/7,0)</f>
        <v>6</v>
      </c>
      <c r="J5051">
        <v>3195</v>
      </c>
      <c r="K5051" t="str">
        <f>_xlfn.CONCAT(WEEKNUM(CompilDonnées[[#This Row],[PlantationDate]]), " ", YEAR(CompilDonnées[[#This Row],[PlantationDate]]))</f>
        <v>39 2025</v>
      </c>
      <c r="L5051" t="str">
        <f>CONCATENATE(MONTH(CompilDonnées[[#This Row],[PlantationDate]])," ", YEAR(CompilDonnées[[#This Row],[PlantationDate]]))</f>
        <v>9 2025</v>
      </c>
      <c r="M5051" t="str">
        <f>CONCATENATE(MONTH(CompilDonnées[[#This Row],[HarvestingDate]])," ", YEAR(CompilDonnées[[#This Row],[HarvestingDate]]))</f>
        <v>11 2025</v>
      </c>
      <c r="N5051">
        <f>_xlfn.NUMBERVALUE(CompilDonnées[[#This Row],[FarmID]]&amp;CompilDonnées[[#This Row],[ModuleNumber]]&amp;CompilDonnées[[#This Row],[PlantationDate]])</f>
        <v>118245923</v>
      </c>
      <c r="O5051" t="str">
        <f>CompilDonnées[[#This Row],[FarmID]]&amp;CompilDonnées[[#This Row],[ModuleNumber]]</f>
        <v>1182</v>
      </c>
      <c r="P5051" t="str">
        <f>CompilDonnées[[#This Row],[Ref_Module]]&amp;CompilDonnées[[#This Row],[HarvestingDate]]</f>
        <v>118245964</v>
      </c>
    </row>
    <row r="5052" spans="1:16">
      <c r="A5052" s="5">
        <v>45923</v>
      </c>
      <c r="B5052">
        <v>117</v>
      </c>
      <c r="C5052" t="s">
        <v>11</v>
      </c>
      <c r="D5052">
        <v>5</v>
      </c>
      <c r="E5052">
        <v>100</v>
      </c>
      <c r="F5052" t="s">
        <v>1</v>
      </c>
      <c r="G5052" s="6">
        <v>45974</v>
      </c>
      <c r="H5052">
        <v>51</v>
      </c>
      <c r="I5052">
        <f>ROUND(CompilDonnées[[#This Row],[CultureDuration_days]]/7,0)</f>
        <v>7</v>
      </c>
      <c r="J5052">
        <v>2849</v>
      </c>
      <c r="K5052" t="str">
        <f>_xlfn.CONCAT(WEEKNUM(CompilDonnées[[#This Row],[PlantationDate]]), " ", YEAR(CompilDonnées[[#This Row],[PlantationDate]]))</f>
        <v>39 2025</v>
      </c>
      <c r="L5052" t="str">
        <f>CONCATENATE(MONTH(CompilDonnées[[#This Row],[PlantationDate]])," ", YEAR(CompilDonnées[[#This Row],[PlantationDate]]))</f>
        <v>9 2025</v>
      </c>
      <c r="M5052" t="str">
        <f>CONCATENATE(MONTH(CompilDonnées[[#This Row],[HarvestingDate]])," ", YEAR(CompilDonnées[[#This Row],[HarvestingDate]]))</f>
        <v>11 2025</v>
      </c>
      <c r="N5052">
        <f>_xlfn.NUMBERVALUE(CompilDonnées[[#This Row],[FarmID]]&amp;CompilDonnées[[#This Row],[ModuleNumber]]&amp;CompilDonnées[[#This Row],[PlantationDate]])</f>
        <v>117545923</v>
      </c>
      <c r="O5052" t="str">
        <f>CompilDonnées[[#This Row],[FarmID]]&amp;CompilDonnées[[#This Row],[ModuleNumber]]</f>
        <v>1175</v>
      </c>
      <c r="P5052" t="str">
        <f>CompilDonnées[[#This Row],[Ref_Module]]&amp;CompilDonnées[[#This Row],[HarvestingDate]]</f>
        <v>117545974</v>
      </c>
    </row>
    <row r="5053" spans="1:16">
      <c r="A5053" s="5">
        <v>45923</v>
      </c>
      <c r="B5053">
        <v>115</v>
      </c>
      <c r="C5053" t="s">
        <v>121</v>
      </c>
      <c r="D5053">
        <v>5</v>
      </c>
      <c r="E5053">
        <v>100</v>
      </c>
      <c r="F5053" t="s">
        <v>1</v>
      </c>
      <c r="G5053" s="6">
        <v>45974</v>
      </c>
      <c r="H5053">
        <v>51</v>
      </c>
      <c r="I5053">
        <f>ROUND(CompilDonnées[[#This Row],[CultureDuration_days]]/7,0)</f>
        <v>7</v>
      </c>
      <c r="J5053">
        <v>2091</v>
      </c>
      <c r="K5053" t="str">
        <f>_xlfn.CONCAT(WEEKNUM(CompilDonnées[[#This Row],[PlantationDate]]), " ", YEAR(CompilDonnées[[#This Row],[PlantationDate]]))</f>
        <v>39 2025</v>
      </c>
      <c r="L5053" t="str">
        <f>CONCATENATE(MONTH(CompilDonnées[[#This Row],[PlantationDate]])," ", YEAR(CompilDonnées[[#This Row],[PlantationDate]]))</f>
        <v>9 2025</v>
      </c>
      <c r="M5053" t="str">
        <f>CONCATENATE(MONTH(CompilDonnées[[#This Row],[HarvestingDate]])," ", YEAR(CompilDonnées[[#This Row],[HarvestingDate]]))</f>
        <v>11 2025</v>
      </c>
      <c r="N5053">
        <f>_xlfn.NUMBERVALUE(CompilDonnées[[#This Row],[FarmID]]&amp;CompilDonnées[[#This Row],[ModuleNumber]]&amp;CompilDonnées[[#This Row],[PlantationDate]])</f>
        <v>115545923</v>
      </c>
      <c r="O5053" t="str">
        <f>CompilDonnées[[#This Row],[FarmID]]&amp;CompilDonnées[[#This Row],[ModuleNumber]]</f>
        <v>1155</v>
      </c>
      <c r="P5053" t="str">
        <f>CompilDonnées[[#This Row],[Ref_Module]]&amp;CompilDonnées[[#This Row],[HarvestingDate]]</f>
        <v>115545974</v>
      </c>
    </row>
    <row r="5054" spans="1:16">
      <c r="A5054" s="5">
        <v>45923</v>
      </c>
      <c r="B5054">
        <v>116</v>
      </c>
      <c r="C5054" t="s">
        <v>76</v>
      </c>
      <c r="D5054">
        <v>5</v>
      </c>
      <c r="E5054">
        <v>100</v>
      </c>
      <c r="F5054" t="s">
        <v>1</v>
      </c>
      <c r="G5054" s="6">
        <v>45974</v>
      </c>
      <c r="H5054">
        <v>51</v>
      </c>
      <c r="I5054">
        <f>ROUND(CompilDonnées[[#This Row],[CultureDuration_days]]/7,0)</f>
        <v>7</v>
      </c>
      <c r="J5054">
        <v>1996</v>
      </c>
      <c r="K5054" t="str">
        <f>_xlfn.CONCAT(WEEKNUM(CompilDonnées[[#This Row],[PlantationDate]]), " ", YEAR(CompilDonnées[[#This Row],[PlantationDate]]))</f>
        <v>39 2025</v>
      </c>
      <c r="L5054" t="str">
        <f>CONCATENATE(MONTH(CompilDonnées[[#This Row],[PlantationDate]])," ", YEAR(CompilDonnées[[#This Row],[PlantationDate]]))</f>
        <v>9 2025</v>
      </c>
      <c r="M5054" t="str">
        <f>CONCATENATE(MONTH(CompilDonnées[[#This Row],[HarvestingDate]])," ", YEAR(CompilDonnées[[#This Row],[HarvestingDate]]))</f>
        <v>11 2025</v>
      </c>
      <c r="N5054">
        <f>_xlfn.NUMBERVALUE(CompilDonnées[[#This Row],[FarmID]]&amp;CompilDonnées[[#This Row],[ModuleNumber]]&amp;CompilDonnées[[#This Row],[PlantationDate]])</f>
        <v>116545923</v>
      </c>
      <c r="O5054" t="str">
        <f>CompilDonnées[[#This Row],[FarmID]]&amp;CompilDonnées[[#This Row],[ModuleNumber]]</f>
        <v>1165</v>
      </c>
      <c r="P5054" t="str">
        <f>CompilDonnées[[#This Row],[Ref_Module]]&amp;CompilDonnées[[#This Row],[HarvestingDate]]</f>
        <v>116545974</v>
      </c>
    </row>
    <row r="5055" spans="1:16">
      <c r="A5055" s="5">
        <v>45923</v>
      </c>
      <c r="B5055">
        <v>110</v>
      </c>
      <c r="C5055" t="s">
        <v>14</v>
      </c>
      <c r="D5055">
        <v>2</v>
      </c>
      <c r="E5055">
        <v>100</v>
      </c>
      <c r="F5055" t="s">
        <v>1</v>
      </c>
      <c r="G5055" s="6">
        <v>45973</v>
      </c>
      <c r="H5055">
        <v>50</v>
      </c>
      <c r="I5055">
        <f>ROUND(CompilDonnées[[#This Row],[CultureDuration_days]]/7,0)</f>
        <v>7</v>
      </c>
      <c r="J5055">
        <v>2187</v>
      </c>
      <c r="K5055" t="str">
        <f>_xlfn.CONCAT(WEEKNUM(CompilDonnées[[#This Row],[PlantationDate]]), " ", YEAR(CompilDonnées[[#This Row],[PlantationDate]]))</f>
        <v>39 2025</v>
      </c>
      <c r="L5055" t="str">
        <f>CONCATENATE(MONTH(CompilDonnées[[#This Row],[PlantationDate]])," ", YEAR(CompilDonnées[[#This Row],[PlantationDate]]))</f>
        <v>9 2025</v>
      </c>
      <c r="M5055" t="str">
        <f>CONCATENATE(MONTH(CompilDonnées[[#This Row],[HarvestingDate]])," ", YEAR(CompilDonnées[[#This Row],[HarvestingDate]]))</f>
        <v>11 2025</v>
      </c>
      <c r="N5055">
        <f>_xlfn.NUMBERVALUE(CompilDonnées[[#This Row],[FarmID]]&amp;CompilDonnées[[#This Row],[ModuleNumber]]&amp;CompilDonnées[[#This Row],[PlantationDate]])</f>
        <v>110245923</v>
      </c>
      <c r="O5055" t="str">
        <f>CompilDonnées[[#This Row],[FarmID]]&amp;CompilDonnées[[#This Row],[ModuleNumber]]</f>
        <v>1102</v>
      </c>
      <c r="P5055" t="str">
        <f>CompilDonnées[[#This Row],[Ref_Module]]&amp;CompilDonnées[[#This Row],[HarvestingDate]]</f>
        <v>110245973</v>
      </c>
    </row>
    <row r="5056" spans="1:16">
      <c r="A5056" s="5">
        <v>45923</v>
      </c>
      <c r="B5056">
        <v>111</v>
      </c>
      <c r="C5056" t="s">
        <v>41</v>
      </c>
      <c r="D5056">
        <v>6</v>
      </c>
      <c r="E5056">
        <v>100</v>
      </c>
      <c r="F5056" t="s">
        <v>1</v>
      </c>
      <c r="G5056" s="6">
        <v>45973</v>
      </c>
      <c r="H5056">
        <v>50</v>
      </c>
      <c r="I5056">
        <f>ROUND(CompilDonnées[[#This Row],[CultureDuration_days]]/7,0)</f>
        <v>7</v>
      </c>
      <c r="J5056">
        <v>3383</v>
      </c>
      <c r="K5056" t="str">
        <f>_xlfn.CONCAT(WEEKNUM(CompilDonnées[[#This Row],[PlantationDate]]), " ", YEAR(CompilDonnées[[#This Row],[PlantationDate]]))</f>
        <v>39 2025</v>
      </c>
      <c r="L5056" t="str">
        <f>CONCATENATE(MONTH(CompilDonnées[[#This Row],[PlantationDate]])," ", YEAR(CompilDonnées[[#This Row],[PlantationDate]]))</f>
        <v>9 2025</v>
      </c>
      <c r="M5056" t="str">
        <f>CONCATENATE(MONTH(CompilDonnées[[#This Row],[HarvestingDate]])," ", YEAR(CompilDonnées[[#This Row],[HarvestingDate]]))</f>
        <v>11 2025</v>
      </c>
      <c r="N5056">
        <f>_xlfn.NUMBERVALUE(CompilDonnées[[#This Row],[FarmID]]&amp;CompilDonnées[[#This Row],[ModuleNumber]]&amp;CompilDonnées[[#This Row],[PlantationDate]])</f>
        <v>111645923</v>
      </c>
      <c r="O5056" t="str">
        <f>CompilDonnées[[#This Row],[FarmID]]&amp;CompilDonnées[[#This Row],[ModuleNumber]]</f>
        <v>1116</v>
      </c>
      <c r="P5056" t="str">
        <f>CompilDonnées[[#This Row],[Ref_Module]]&amp;CompilDonnées[[#This Row],[HarvestingDate]]</f>
        <v>111645973</v>
      </c>
    </row>
    <row r="5057" spans="1:16">
      <c r="A5057" s="5">
        <v>45923</v>
      </c>
      <c r="B5057">
        <v>112</v>
      </c>
      <c r="C5057" t="s">
        <v>15</v>
      </c>
      <c r="D5057">
        <v>5</v>
      </c>
      <c r="E5057">
        <v>100</v>
      </c>
      <c r="F5057" t="s">
        <v>1</v>
      </c>
      <c r="G5057" s="6">
        <v>45974</v>
      </c>
      <c r="H5057">
        <v>51</v>
      </c>
      <c r="I5057">
        <f>ROUND(CompilDonnées[[#This Row],[CultureDuration_days]]/7,0)</f>
        <v>7</v>
      </c>
      <c r="J5057">
        <v>3096</v>
      </c>
      <c r="K5057" t="str">
        <f>_xlfn.CONCAT(WEEKNUM(CompilDonnées[[#This Row],[PlantationDate]]), " ", YEAR(CompilDonnées[[#This Row],[PlantationDate]]))</f>
        <v>39 2025</v>
      </c>
      <c r="L5057" t="str">
        <f>CONCATENATE(MONTH(CompilDonnées[[#This Row],[PlantationDate]])," ", YEAR(CompilDonnées[[#This Row],[PlantationDate]]))</f>
        <v>9 2025</v>
      </c>
      <c r="M5057" t="str">
        <f>CONCATENATE(MONTH(CompilDonnées[[#This Row],[HarvestingDate]])," ", YEAR(CompilDonnées[[#This Row],[HarvestingDate]]))</f>
        <v>11 2025</v>
      </c>
      <c r="N5057">
        <f>_xlfn.NUMBERVALUE(CompilDonnées[[#This Row],[FarmID]]&amp;CompilDonnées[[#This Row],[ModuleNumber]]&amp;CompilDonnées[[#This Row],[PlantationDate]])</f>
        <v>112545923</v>
      </c>
      <c r="O5057" t="str">
        <f>CompilDonnées[[#This Row],[FarmID]]&amp;CompilDonnées[[#This Row],[ModuleNumber]]</f>
        <v>1125</v>
      </c>
      <c r="P5057" t="str">
        <f>CompilDonnées[[#This Row],[Ref_Module]]&amp;CompilDonnées[[#This Row],[HarvestingDate]]</f>
        <v>112545974</v>
      </c>
    </row>
    <row r="5058" spans="1:16">
      <c r="A5058" s="5">
        <v>45923</v>
      </c>
      <c r="B5058">
        <v>113</v>
      </c>
      <c r="C5058" t="s">
        <v>16</v>
      </c>
      <c r="D5058">
        <v>5</v>
      </c>
      <c r="E5058">
        <v>100</v>
      </c>
      <c r="F5058" t="s">
        <v>1</v>
      </c>
      <c r="G5058" s="6">
        <v>45974</v>
      </c>
      <c r="H5058">
        <v>51</v>
      </c>
      <c r="I5058">
        <f>ROUND(CompilDonnées[[#This Row],[CultureDuration_days]]/7,0)</f>
        <v>7</v>
      </c>
      <c r="J5058">
        <v>3966</v>
      </c>
      <c r="K5058" t="str">
        <f>_xlfn.CONCAT(WEEKNUM(CompilDonnées[[#This Row],[PlantationDate]]), " ", YEAR(CompilDonnées[[#This Row],[PlantationDate]]))</f>
        <v>39 2025</v>
      </c>
      <c r="L5058" t="str">
        <f>CONCATENATE(MONTH(CompilDonnées[[#This Row],[PlantationDate]])," ", YEAR(CompilDonnées[[#This Row],[PlantationDate]]))</f>
        <v>9 2025</v>
      </c>
      <c r="M5058" t="str">
        <f>CONCATENATE(MONTH(CompilDonnées[[#This Row],[HarvestingDate]])," ", YEAR(CompilDonnées[[#This Row],[HarvestingDate]]))</f>
        <v>11 2025</v>
      </c>
      <c r="N5058">
        <f>_xlfn.NUMBERVALUE(CompilDonnées[[#This Row],[FarmID]]&amp;CompilDonnées[[#This Row],[ModuleNumber]]&amp;CompilDonnées[[#This Row],[PlantationDate]])</f>
        <v>113545923</v>
      </c>
      <c r="O5058" t="str">
        <f>CompilDonnées[[#This Row],[FarmID]]&amp;CompilDonnées[[#This Row],[ModuleNumber]]</f>
        <v>1135</v>
      </c>
      <c r="P5058" t="str">
        <f>CompilDonnées[[#This Row],[Ref_Module]]&amp;CompilDonnées[[#This Row],[HarvestingDate]]</f>
        <v>113545974</v>
      </c>
    </row>
    <row r="5059" spans="1:16">
      <c r="A5059" s="5">
        <v>45923</v>
      </c>
      <c r="B5059">
        <v>146</v>
      </c>
      <c r="C5059" t="s">
        <v>3</v>
      </c>
      <c r="D5059">
        <v>3</v>
      </c>
      <c r="E5059">
        <v>60</v>
      </c>
      <c r="F5059" t="s">
        <v>105</v>
      </c>
      <c r="G5059" s="6">
        <v>45972</v>
      </c>
      <c r="H5059">
        <v>49</v>
      </c>
      <c r="I5059">
        <f>ROUND(CompilDonnées[[#This Row],[CultureDuration_days]]/7,0)</f>
        <v>7</v>
      </c>
      <c r="J5059">
        <v>1927</v>
      </c>
      <c r="K5059" t="str">
        <f>_xlfn.CONCAT(WEEKNUM(CompilDonnées[[#This Row],[PlantationDate]]), " ", YEAR(CompilDonnées[[#This Row],[PlantationDate]]))</f>
        <v>39 2025</v>
      </c>
      <c r="L5059" t="str">
        <f>CONCATENATE(MONTH(CompilDonnées[[#This Row],[PlantationDate]])," ", YEAR(CompilDonnées[[#This Row],[PlantationDate]]))</f>
        <v>9 2025</v>
      </c>
      <c r="M5059" t="str">
        <f>CONCATENATE(MONTH(CompilDonnées[[#This Row],[HarvestingDate]])," ", YEAR(CompilDonnées[[#This Row],[HarvestingDate]]))</f>
        <v>11 2025</v>
      </c>
      <c r="N5059">
        <f>_xlfn.NUMBERVALUE(CompilDonnées[[#This Row],[FarmID]]&amp;CompilDonnées[[#This Row],[ModuleNumber]]&amp;CompilDonnées[[#This Row],[PlantationDate]])</f>
        <v>146345923</v>
      </c>
      <c r="O5059" t="str">
        <f>CompilDonnées[[#This Row],[FarmID]]&amp;CompilDonnées[[#This Row],[ModuleNumber]]</f>
        <v>1463</v>
      </c>
      <c r="P5059" t="str">
        <f>CompilDonnées[[#This Row],[Ref_Module]]&amp;CompilDonnées[[#This Row],[HarvestingDate]]</f>
        <v>146345972</v>
      </c>
    </row>
    <row r="5060" spans="1:16">
      <c r="A5060" s="5">
        <v>45923</v>
      </c>
      <c r="B5060">
        <v>146</v>
      </c>
      <c r="C5060" t="s">
        <v>3</v>
      </c>
      <c r="D5060">
        <v>4</v>
      </c>
      <c r="E5060">
        <v>60</v>
      </c>
      <c r="F5060" t="s">
        <v>105</v>
      </c>
      <c r="G5060" s="6">
        <v>45972</v>
      </c>
      <c r="H5060">
        <v>49</v>
      </c>
      <c r="I5060">
        <f>ROUND(CompilDonnées[[#This Row],[CultureDuration_days]]/7,0)</f>
        <v>7</v>
      </c>
      <c r="J5060">
        <v>1910</v>
      </c>
      <c r="K5060" t="str">
        <f>_xlfn.CONCAT(WEEKNUM(CompilDonnées[[#This Row],[PlantationDate]]), " ", YEAR(CompilDonnées[[#This Row],[PlantationDate]]))</f>
        <v>39 2025</v>
      </c>
      <c r="L5060" t="str">
        <f>CONCATENATE(MONTH(CompilDonnées[[#This Row],[PlantationDate]])," ", YEAR(CompilDonnées[[#This Row],[PlantationDate]]))</f>
        <v>9 2025</v>
      </c>
      <c r="M5060" t="str">
        <f>CONCATENATE(MONTH(CompilDonnées[[#This Row],[HarvestingDate]])," ", YEAR(CompilDonnées[[#This Row],[HarvestingDate]]))</f>
        <v>11 2025</v>
      </c>
      <c r="N5060">
        <f>_xlfn.NUMBERVALUE(CompilDonnées[[#This Row],[FarmID]]&amp;CompilDonnées[[#This Row],[ModuleNumber]]&amp;CompilDonnées[[#This Row],[PlantationDate]])</f>
        <v>146445923</v>
      </c>
      <c r="O5060" t="str">
        <f>CompilDonnées[[#This Row],[FarmID]]&amp;CompilDonnées[[#This Row],[ModuleNumber]]</f>
        <v>1464</v>
      </c>
      <c r="P5060" t="str">
        <f>CompilDonnées[[#This Row],[Ref_Module]]&amp;CompilDonnées[[#This Row],[HarvestingDate]]</f>
        <v>146445972</v>
      </c>
    </row>
    <row r="5061" spans="1:16">
      <c r="A5061" s="5">
        <v>45923</v>
      </c>
      <c r="B5061">
        <v>146</v>
      </c>
      <c r="C5061" t="s">
        <v>3</v>
      </c>
      <c r="D5061">
        <v>5</v>
      </c>
      <c r="E5061">
        <v>60</v>
      </c>
      <c r="F5061" t="s">
        <v>105</v>
      </c>
      <c r="G5061" s="6">
        <v>45972</v>
      </c>
      <c r="H5061">
        <v>49</v>
      </c>
      <c r="I5061">
        <f>ROUND(CompilDonnées[[#This Row],[CultureDuration_days]]/7,0)</f>
        <v>7</v>
      </c>
      <c r="J5061">
        <v>1943</v>
      </c>
      <c r="K5061" t="str">
        <f>_xlfn.CONCAT(WEEKNUM(CompilDonnées[[#This Row],[PlantationDate]]), " ", YEAR(CompilDonnées[[#This Row],[PlantationDate]]))</f>
        <v>39 2025</v>
      </c>
      <c r="L5061" t="str">
        <f>CONCATENATE(MONTH(CompilDonnées[[#This Row],[PlantationDate]])," ", YEAR(CompilDonnées[[#This Row],[PlantationDate]]))</f>
        <v>9 2025</v>
      </c>
      <c r="M5061" t="str">
        <f>CONCATENATE(MONTH(CompilDonnées[[#This Row],[HarvestingDate]])," ", YEAR(CompilDonnées[[#This Row],[HarvestingDate]]))</f>
        <v>11 2025</v>
      </c>
      <c r="N5061">
        <f>_xlfn.NUMBERVALUE(CompilDonnées[[#This Row],[FarmID]]&amp;CompilDonnées[[#This Row],[ModuleNumber]]&amp;CompilDonnées[[#This Row],[PlantationDate]])</f>
        <v>146545923</v>
      </c>
      <c r="O5061" t="str">
        <f>CompilDonnées[[#This Row],[FarmID]]&amp;CompilDonnées[[#This Row],[ModuleNumber]]</f>
        <v>1465</v>
      </c>
      <c r="P5061" t="str">
        <f>CompilDonnées[[#This Row],[Ref_Module]]&amp;CompilDonnées[[#This Row],[HarvestingDate]]</f>
        <v>146545972</v>
      </c>
    </row>
    <row r="5062" spans="1:16">
      <c r="A5062" s="5">
        <v>45924</v>
      </c>
      <c r="B5062">
        <v>80</v>
      </c>
      <c r="C5062" t="s">
        <v>29</v>
      </c>
      <c r="D5062">
        <v>3</v>
      </c>
      <c r="E5062">
        <v>100</v>
      </c>
      <c r="F5062" t="s">
        <v>1</v>
      </c>
      <c r="G5062" s="6">
        <v>45966</v>
      </c>
      <c r="H5062">
        <v>42</v>
      </c>
      <c r="I5062">
        <f>ROUND(CompilDonnées[[#This Row],[CultureDuration_days]]/7,0)</f>
        <v>6</v>
      </c>
      <c r="J5062">
        <v>3027</v>
      </c>
      <c r="K5062" t="str">
        <f>_xlfn.CONCAT(WEEKNUM(CompilDonnées[[#This Row],[PlantationDate]]), " ", YEAR(CompilDonnées[[#This Row],[PlantationDate]]))</f>
        <v>39 2025</v>
      </c>
      <c r="L5062" t="str">
        <f>CONCATENATE(MONTH(CompilDonnées[[#This Row],[PlantationDate]])," ", YEAR(CompilDonnées[[#This Row],[PlantationDate]]))</f>
        <v>9 2025</v>
      </c>
      <c r="M5062" t="str">
        <f>CONCATENATE(MONTH(CompilDonnées[[#This Row],[HarvestingDate]])," ", YEAR(CompilDonnées[[#This Row],[HarvestingDate]]))</f>
        <v>11 2025</v>
      </c>
      <c r="N5062">
        <f>_xlfn.NUMBERVALUE(CompilDonnées[[#This Row],[FarmID]]&amp;CompilDonnées[[#This Row],[ModuleNumber]]&amp;CompilDonnées[[#This Row],[PlantationDate]])</f>
        <v>80345924</v>
      </c>
      <c r="O5062" t="str">
        <f>CompilDonnées[[#This Row],[FarmID]]&amp;CompilDonnées[[#This Row],[ModuleNumber]]</f>
        <v>803</v>
      </c>
      <c r="P5062" t="str">
        <f>CompilDonnées[[#This Row],[Ref_Module]]&amp;CompilDonnées[[#This Row],[HarvestingDate]]</f>
        <v>80345966</v>
      </c>
    </row>
    <row r="5063" spans="1:16">
      <c r="A5063" s="5">
        <v>45924</v>
      </c>
      <c r="B5063">
        <v>80</v>
      </c>
      <c r="C5063" t="s">
        <v>29</v>
      </c>
      <c r="D5063">
        <v>6</v>
      </c>
      <c r="E5063">
        <v>100</v>
      </c>
      <c r="F5063" t="s">
        <v>1</v>
      </c>
      <c r="G5063" s="6">
        <v>45959</v>
      </c>
      <c r="H5063">
        <v>35</v>
      </c>
      <c r="I5063">
        <f>ROUND(CompilDonnées[[#This Row],[CultureDuration_days]]/7,0)</f>
        <v>5</v>
      </c>
      <c r="J5063">
        <v>4435</v>
      </c>
      <c r="K5063" t="str">
        <f>_xlfn.CONCAT(WEEKNUM(CompilDonnées[[#This Row],[PlantationDate]]), " ", YEAR(CompilDonnées[[#This Row],[PlantationDate]]))</f>
        <v>39 2025</v>
      </c>
      <c r="L5063" t="str">
        <f>CONCATENATE(MONTH(CompilDonnées[[#This Row],[PlantationDate]])," ", YEAR(CompilDonnées[[#This Row],[PlantationDate]]))</f>
        <v>9 2025</v>
      </c>
      <c r="M5063" t="str">
        <f>CONCATENATE(MONTH(CompilDonnées[[#This Row],[HarvestingDate]])," ", YEAR(CompilDonnées[[#This Row],[HarvestingDate]]))</f>
        <v>10 2025</v>
      </c>
      <c r="N5063">
        <f>_xlfn.NUMBERVALUE(CompilDonnées[[#This Row],[FarmID]]&amp;CompilDonnées[[#This Row],[ModuleNumber]]&amp;CompilDonnées[[#This Row],[PlantationDate]])</f>
        <v>80645924</v>
      </c>
      <c r="O5063" t="str">
        <f>CompilDonnées[[#This Row],[FarmID]]&amp;CompilDonnées[[#This Row],[ModuleNumber]]</f>
        <v>806</v>
      </c>
      <c r="P5063" t="str">
        <f>CompilDonnées[[#This Row],[Ref_Module]]&amp;CompilDonnées[[#This Row],[HarvestingDate]]</f>
        <v>80645959</v>
      </c>
    </row>
    <row r="5064" spans="1:16">
      <c r="A5064" s="5">
        <v>45924</v>
      </c>
      <c r="B5064">
        <v>72</v>
      </c>
      <c r="C5064" t="s">
        <v>49</v>
      </c>
      <c r="D5064">
        <v>2</v>
      </c>
      <c r="E5064">
        <v>100</v>
      </c>
      <c r="F5064" t="s">
        <v>1</v>
      </c>
      <c r="G5064" s="6">
        <v>45979</v>
      </c>
      <c r="H5064">
        <v>55</v>
      </c>
      <c r="I5064">
        <f>ROUND(CompilDonnées[[#This Row],[CultureDuration_days]]/7,0)</f>
        <v>8</v>
      </c>
      <c r="J5064">
        <v>2686</v>
      </c>
      <c r="K5064" t="str">
        <f>_xlfn.CONCAT(WEEKNUM(CompilDonnées[[#This Row],[PlantationDate]]), " ", YEAR(CompilDonnées[[#This Row],[PlantationDate]]))</f>
        <v>39 2025</v>
      </c>
      <c r="L5064" t="str">
        <f>CONCATENATE(MONTH(CompilDonnées[[#This Row],[PlantationDate]])," ", YEAR(CompilDonnées[[#This Row],[PlantationDate]]))</f>
        <v>9 2025</v>
      </c>
      <c r="M5064" t="str">
        <f>CONCATENATE(MONTH(CompilDonnées[[#This Row],[HarvestingDate]])," ", YEAR(CompilDonnées[[#This Row],[HarvestingDate]]))</f>
        <v>11 2025</v>
      </c>
      <c r="N5064">
        <f>_xlfn.NUMBERVALUE(CompilDonnées[[#This Row],[FarmID]]&amp;CompilDonnées[[#This Row],[ModuleNumber]]&amp;CompilDonnées[[#This Row],[PlantationDate]])</f>
        <v>72245924</v>
      </c>
      <c r="O5064" t="str">
        <f>CompilDonnées[[#This Row],[FarmID]]&amp;CompilDonnées[[#This Row],[ModuleNumber]]</f>
        <v>722</v>
      </c>
      <c r="P5064" t="str">
        <f>CompilDonnées[[#This Row],[Ref_Module]]&amp;CompilDonnées[[#This Row],[HarvestingDate]]</f>
        <v>72245979</v>
      </c>
    </row>
    <row r="5065" spans="1:16">
      <c r="A5065" s="5">
        <v>45924</v>
      </c>
      <c r="B5065">
        <v>59</v>
      </c>
      <c r="C5065" t="s">
        <v>64</v>
      </c>
      <c r="D5065">
        <v>6</v>
      </c>
      <c r="E5065">
        <v>100</v>
      </c>
      <c r="F5065" t="s">
        <v>1</v>
      </c>
      <c r="G5065" s="6">
        <v>45973</v>
      </c>
      <c r="H5065">
        <v>49</v>
      </c>
      <c r="I5065">
        <f>ROUND(CompilDonnées[[#This Row],[CultureDuration_days]]/7,0)</f>
        <v>7</v>
      </c>
      <c r="J5065">
        <v>4636</v>
      </c>
      <c r="K5065" t="str">
        <f>_xlfn.CONCAT(WEEKNUM(CompilDonnées[[#This Row],[PlantationDate]]), " ", YEAR(CompilDonnées[[#This Row],[PlantationDate]]))</f>
        <v>39 2025</v>
      </c>
      <c r="L5065" t="str">
        <f>CONCATENATE(MONTH(CompilDonnées[[#This Row],[PlantationDate]])," ", YEAR(CompilDonnées[[#This Row],[PlantationDate]]))</f>
        <v>9 2025</v>
      </c>
      <c r="M5065" t="str">
        <f>CONCATENATE(MONTH(CompilDonnées[[#This Row],[HarvestingDate]])," ", YEAR(CompilDonnées[[#This Row],[HarvestingDate]]))</f>
        <v>11 2025</v>
      </c>
      <c r="N5065">
        <f>_xlfn.NUMBERVALUE(CompilDonnées[[#This Row],[FarmID]]&amp;CompilDonnées[[#This Row],[ModuleNumber]]&amp;CompilDonnées[[#This Row],[PlantationDate]])</f>
        <v>59645924</v>
      </c>
      <c r="O5065" t="str">
        <f>CompilDonnées[[#This Row],[FarmID]]&amp;CompilDonnées[[#This Row],[ModuleNumber]]</f>
        <v>596</v>
      </c>
      <c r="P5065" t="str">
        <f>CompilDonnées[[#This Row],[Ref_Module]]&amp;CompilDonnées[[#This Row],[HarvestingDate]]</f>
        <v>59645973</v>
      </c>
    </row>
    <row r="5066" spans="1:16">
      <c r="A5066" s="5">
        <v>45924</v>
      </c>
      <c r="B5066">
        <v>52</v>
      </c>
      <c r="C5066" t="s">
        <v>88</v>
      </c>
      <c r="D5066">
        <v>5</v>
      </c>
      <c r="E5066">
        <v>100</v>
      </c>
      <c r="F5066" t="s">
        <v>1</v>
      </c>
      <c r="G5066" s="6">
        <v>45972</v>
      </c>
      <c r="H5066">
        <v>48</v>
      </c>
      <c r="I5066">
        <f>ROUND(CompilDonnées[[#This Row],[CultureDuration_days]]/7,0)</f>
        <v>7</v>
      </c>
      <c r="J5066">
        <v>4668</v>
      </c>
      <c r="K5066" t="str">
        <f>_xlfn.CONCAT(WEEKNUM(CompilDonnées[[#This Row],[PlantationDate]]), " ", YEAR(CompilDonnées[[#This Row],[PlantationDate]]))</f>
        <v>39 2025</v>
      </c>
      <c r="L5066" t="str">
        <f>CONCATENATE(MONTH(CompilDonnées[[#This Row],[PlantationDate]])," ", YEAR(CompilDonnées[[#This Row],[PlantationDate]]))</f>
        <v>9 2025</v>
      </c>
      <c r="M5066" t="str">
        <f>CONCATENATE(MONTH(CompilDonnées[[#This Row],[HarvestingDate]])," ", YEAR(CompilDonnées[[#This Row],[HarvestingDate]]))</f>
        <v>11 2025</v>
      </c>
      <c r="N5066">
        <f>_xlfn.NUMBERVALUE(CompilDonnées[[#This Row],[FarmID]]&amp;CompilDonnées[[#This Row],[ModuleNumber]]&amp;CompilDonnées[[#This Row],[PlantationDate]])</f>
        <v>52545924</v>
      </c>
      <c r="O5066" t="str">
        <f>CompilDonnées[[#This Row],[FarmID]]&amp;CompilDonnées[[#This Row],[ModuleNumber]]</f>
        <v>525</v>
      </c>
      <c r="P5066" t="str">
        <f>CompilDonnées[[#This Row],[Ref_Module]]&amp;CompilDonnées[[#This Row],[HarvestingDate]]</f>
        <v>52545972</v>
      </c>
    </row>
    <row r="5067" spans="1:16">
      <c r="A5067" s="5">
        <v>45924</v>
      </c>
      <c r="B5067">
        <v>52</v>
      </c>
      <c r="C5067" t="s">
        <v>88</v>
      </c>
      <c r="D5067">
        <v>6</v>
      </c>
      <c r="E5067">
        <v>100</v>
      </c>
      <c r="F5067" t="s">
        <v>1</v>
      </c>
      <c r="G5067" s="6">
        <v>45972</v>
      </c>
      <c r="H5067">
        <v>48</v>
      </c>
      <c r="I5067">
        <f>ROUND(CompilDonnées[[#This Row],[CultureDuration_days]]/7,0)</f>
        <v>7</v>
      </c>
      <c r="J5067">
        <v>4570</v>
      </c>
      <c r="K5067" t="str">
        <f>_xlfn.CONCAT(WEEKNUM(CompilDonnées[[#This Row],[PlantationDate]]), " ", YEAR(CompilDonnées[[#This Row],[PlantationDate]]))</f>
        <v>39 2025</v>
      </c>
      <c r="L5067" t="str">
        <f>CONCATENATE(MONTH(CompilDonnées[[#This Row],[PlantationDate]])," ", YEAR(CompilDonnées[[#This Row],[PlantationDate]]))</f>
        <v>9 2025</v>
      </c>
      <c r="M5067" t="str">
        <f>CONCATENATE(MONTH(CompilDonnées[[#This Row],[HarvestingDate]])," ", YEAR(CompilDonnées[[#This Row],[HarvestingDate]]))</f>
        <v>11 2025</v>
      </c>
      <c r="N5067">
        <f>_xlfn.NUMBERVALUE(CompilDonnées[[#This Row],[FarmID]]&amp;CompilDonnées[[#This Row],[ModuleNumber]]&amp;CompilDonnées[[#This Row],[PlantationDate]])</f>
        <v>52645924</v>
      </c>
      <c r="O5067" t="str">
        <f>CompilDonnées[[#This Row],[FarmID]]&amp;CompilDonnées[[#This Row],[ModuleNumber]]</f>
        <v>526</v>
      </c>
      <c r="P5067" t="str">
        <f>CompilDonnées[[#This Row],[Ref_Module]]&amp;CompilDonnées[[#This Row],[HarvestingDate]]</f>
        <v>52645972</v>
      </c>
    </row>
    <row r="5068" spans="1:16">
      <c r="A5068" s="5">
        <v>45924</v>
      </c>
      <c r="B5068">
        <v>83</v>
      </c>
      <c r="C5068" t="s">
        <v>73</v>
      </c>
      <c r="D5068">
        <v>4</v>
      </c>
      <c r="E5068">
        <v>100</v>
      </c>
      <c r="F5068" t="s">
        <v>1</v>
      </c>
      <c r="G5068" s="6">
        <v>45959</v>
      </c>
      <c r="H5068">
        <v>35</v>
      </c>
      <c r="I5068">
        <f>ROUND(CompilDonnées[[#This Row],[CultureDuration_days]]/7,0)</f>
        <v>5</v>
      </c>
      <c r="J5068">
        <v>2048</v>
      </c>
      <c r="K5068" t="str">
        <f>_xlfn.CONCAT(WEEKNUM(CompilDonnées[[#This Row],[PlantationDate]]), " ", YEAR(CompilDonnées[[#This Row],[PlantationDate]]))</f>
        <v>39 2025</v>
      </c>
      <c r="L5068" t="str">
        <f>CONCATENATE(MONTH(CompilDonnées[[#This Row],[PlantationDate]])," ", YEAR(CompilDonnées[[#This Row],[PlantationDate]]))</f>
        <v>9 2025</v>
      </c>
      <c r="M5068" t="str">
        <f>CONCATENATE(MONTH(CompilDonnées[[#This Row],[HarvestingDate]])," ", YEAR(CompilDonnées[[#This Row],[HarvestingDate]]))</f>
        <v>10 2025</v>
      </c>
      <c r="N5068">
        <f>_xlfn.NUMBERVALUE(CompilDonnées[[#This Row],[FarmID]]&amp;CompilDonnées[[#This Row],[ModuleNumber]]&amp;CompilDonnées[[#This Row],[PlantationDate]])</f>
        <v>83445924</v>
      </c>
      <c r="O5068" t="str">
        <f>CompilDonnées[[#This Row],[FarmID]]&amp;CompilDonnées[[#This Row],[ModuleNumber]]</f>
        <v>834</v>
      </c>
      <c r="P5068" t="str">
        <f>CompilDonnées[[#This Row],[Ref_Module]]&amp;CompilDonnées[[#This Row],[HarvestingDate]]</f>
        <v>83445959</v>
      </c>
    </row>
    <row r="5069" spans="1:16">
      <c r="A5069" s="5">
        <v>45924</v>
      </c>
      <c r="B5069">
        <v>81</v>
      </c>
      <c r="C5069" t="s">
        <v>30</v>
      </c>
      <c r="D5069">
        <v>4</v>
      </c>
      <c r="E5069">
        <v>100</v>
      </c>
      <c r="F5069" t="s">
        <v>1</v>
      </c>
      <c r="G5069" s="6">
        <v>45972</v>
      </c>
      <c r="H5069">
        <v>48</v>
      </c>
      <c r="I5069">
        <f>ROUND(CompilDonnées[[#This Row],[CultureDuration_days]]/7,0)</f>
        <v>7</v>
      </c>
      <c r="J5069">
        <v>3931</v>
      </c>
      <c r="K5069" t="str">
        <f>_xlfn.CONCAT(WEEKNUM(CompilDonnées[[#This Row],[PlantationDate]]), " ", YEAR(CompilDonnées[[#This Row],[PlantationDate]]))</f>
        <v>39 2025</v>
      </c>
      <c r="L5069" t="str">
        <f>CONCATENATE(MONTH(CompilDonnées[[#This Row],[PlantationDate]])," ", YEAR(CompilDonnées[[#This Row],[PlantationDate]]))</f>
        <v>9 2025</v>
      </c>
      <c r="M5069" t="str">
        <f>CONCATENATE(MONTH(CompilDonnées[[#This Row],[HarvestingDate]])," ", YEAR(CompilDonnées[[#This Row],[HarvestingDate]]))</f>
        <v>11 2025</v>
      </c>
      <c r="N5069">
        <f>_xlfn.NUMBERVALUE(CompilDonnées[[#This Row],[FarmID]]&amp;CompilDonnées[[#This Row],[ModuleNumber]]&amp;CompilDonnées[[#This Row],[PlantationDate]])</f>
        <v>81445924</v>
      </c>
      <c r="O5069" t="str">
        <f>CompilDonnées[[#This Row],[FarmID]]&amp;CompilDonnées[[#This Row],[ModuleNumber]]</f>
        <v>814</v>
      </c>
      <c r="P5069" t="str">
        <f>CompilDonnées[[#This Row],[Ref_Module]]&amp;CompilDonnées[[#This Row],[HarvestingDate]]</f>
        <v>81445972</v>
      </c>
    </row>
    <row r="5070" spans="1:16">
      <c r="A5070" s="5">
        <v>45924</v>
      </c>
      <c r="B5070">
        <v>74</v>
      </c>
      <c r="C5070" t="s">
        <v>21</v>
      </c>
      <c r="D5070">
        <v>1</v>
      </c>
      <c r="E5070">
        <v>100</v>
      </c>
      <c r="F5070" t="s">
        <v>1</v>
      </c>
      <c r="G5070" s="6">
        <v>45958</v>
      </c>
      <c r="H5070">
        <v>34</v>
      </c>
      <c r="I5070">
        <f>ROUND(CompilDonnées[[#This Row],[CultureDuration_days]]/7,0)</f>
        <v>5</v>
      </c>
      <c r="J5070">
        <v>2515</v>
      </c>
      <c r="K5070" t="str">
        <f>_xlfn.CONCAT(WEEKNUM(CompilDonnées[[#This Row],[PlantationDate]]), " ", YEAR(CompilDonnées[[#This Row],[PlantationDate]]))</f>
        <v>39 2025</v>
      </c>
      <c r="L5070" t="str">
        <f>CONCATENATE(MONTH(CompilDonnées[[#This Row],[PlantationDate]])," ", YEAR(CompilDonnées[[#This Row],[PlantationDate]]))</f>
        <v>9 2025</v>
      </c>
      <c r="M5070" t="str">
        <f>CONCATENATE(MONTH(CompilDonnées[[#This Row],[HarvestingDate]])," ", YEAR(CompilDonnées[[#This Row],[HarvestingDate]]))</f>
        <v>10 2025</v>
      </c>
      <c r="N5070">
        <f>_xlfn.NUMBERVALUE(CompilDonnées[[#This Row],[FarmID]]&amp;CompilDonnées[[#This Row],[ModuleNumber]]&amp;CompilDonnées[[#This Row],[PlantationDate]])</f>
        <v>74145924</v>
      </c>
      <c r="O5070" t="str">
        <f>CompilDonnées[[#This Row],[FarmID]]&amp;CompilDonnées[[#This Row],[ModuleNumber]]</f>
        <v>741</v>
      </c>
      <c r="P5070" t="str">
        <f>CompilDonnées[[#This Row],[Ref_Module]]&amp;CompilDonnées[[#This Row],[HarvestingDate]]</f>
        <v>74145958</v>
      </c>
    </row>
    <row r="5071" spans="1:16">
      <c r="A5071" s="5">
        <v>45924</v>
      </c>
      <c r="B5071">
        <v>82</v>
      </c>
      <c r="C5071" t="s">
        <v>17</v>
      </c>
      <c r="D5071">
        <v>3</v>
      </c>
      <c r="E5071">
        <v>100</v>
      </c>
      <c r="F5071" t="s">
        <v>1</v>
      </c>
      <c r="G5071" s="6">
        <v>45965</v>
      </c>
      <c r="H5071">
        <v>41</v>
      </c>
      <c r="I5071">
        <f>ROUND(CompilDonnées[[#This Row],[CultureDuration_days]]/7,0)</f>
        <v>6</v>
      </c>
      <c r="J5071">
        <v>3685</v>
      </c>
      <c r="K5071" t="str">
        <f>_xlfn.CONCAT(WEEKNUM(CompilDonnées[[#This Row],[PlantationDate]]), " ", YEAR(CompilDonnées[[#This Row],[PlantationDate]]))</f>
        <v>39 2025</v>
      </c>
      <c r="L5071" t="str">
        <f>CONCATENATE(MONTH(CompilDonnées[[#This Row],[PlantationDate]])," ", YEAR(CompilDonnées[[#This Row],[PlantationDate]]))</f>
        <v>9 2025</v>
      </c>
      <c r="M5071" t="str">
        <f>CONCATENATE(MONTH(CompilDonnées[[#This Row],[HarvestingDate]])," ", YEAR(CompilDonnées[[#This Row],[HarvestingDate]]))</f>
        <v>11 2025</v>
      </c>
      <c r="N5071">
        <f>_xlfn.NUMBERVALUE(CompilDonnées[[#This Row],[FarmID]]&amp;CompilDonnées[[#This Row],[ModuleNumber]]&amp;CompilDonnées[[#This Row],[PlantationDate]])</f>
        <v>82345924</v>
      </c>
      <c r="O5071" t="str">
        <f>CompilDonnées[[#This Row],[FarmID]]&amp;CompilDonnées[[#This Row],[ModuleNumber]]</f>
        <v>823</v>
      </c>
      <c r="P5071" t="str">
        <f>CompilDonnées[[#This Row],[Ref_Module]]&amp;CompilDonnées[[#This Row],[HarvestingDate]]</f>
        <v>82345965</v>
      </c>
    </row>
    <row r="5072" spans="1:16">
      <c r="A5072" s="5">
        <v>45924</v>
      </c>
      <c r="B5072">
        <v>54</v>
      </c>
      <c r="C5072" t="s">
        <v>39</v>
      </c>
      <c r="D5072">
        <v>1</v>
      </c>
      <c r="E5072">
        <v>100</v>
      </c>
      <c r="F5072" t="s">
        <v>1</v>
      </c>
      <c r="G5072" s="6">
        <v>45958</v>
      </c>
      <c r="H5072">
        <v>34</v>
      </c>
      <c r="I5072">
        <f>ROUND(CompilDonnées[[#This Row],[CultureDuration_days]]/7,0)</f>
        <v>5</v>
      </c>
      <c r="J5072">
        <v>1175</v>
      </c>
      <c r="K5072" t="str">
        <f>_xlfn.CONCAT(WEEKNUM(CompilDonnées[[#This Row],[PlantationDate]]), " ", YEAR(CompilDonnées[[#This Row],[PlantationDate]]))</f>
        <v>39 2025</v>
      </c>
      <c r="L5072" t="str">
        <f>CONCATENATE(MONTH(CompilDonnées[[#This Row],[PlantationDate]])," ", YEAR(CompilDonnées[[#This Row],[PlantationDate]]))</f>
        <v>9 2025</v>
      </c>
      <c r="M5072" t="str">
        <f>CONCATENATE(MONTH(CompilDonnées[[#This Row],[HarvestingDate]])," ", YEAR(CompilDonnées[[#This Row],[HarvestingDate]]))</f>
        <v>10 2025</v>
      </c>
      <c r="N5072">
        <f>_xlfn.NUMBERVALUE(CompilDonnées[[#This Row],[FarmID]]&amp;CompilDonnées[[#This Row],[ModuleNumber]]&amp;CompilDonnées[[#This Row],[PlantationDate]])</f>
        <v>54145924</v>
      </c>
      <c r="O5072" t="str">
        <f>CompilDonnées[[#This Row],[FarmID]]&amp;CompilDonnées[[#This Row],[ModuleNumber]]</f>
        <v>541</v>
      </c>
      <c r="P5072" t="str">
        <f>CompilDonnées[[#This Row],[Ref_Module]]&amp;CompilDonnées[[#This Row],[HarvestingDate]]</f>
        <v>54145958</v>
      </c>
    </row>
    <row r="5073" spans="1:16">
      <c r="A5073" s="5">
        <v>45924</v>
      </c>
      <c r="B5073">
        <v>116</v>
      </c>
      <c r="C5073" t="s">
        <v>76</v>
      </c>
      <c r="D5073">
        <v>2</v>
      </c>
      <c r="E5073">
        <v>100</v>
      </c>
      <c r="F5073" t="s">
        <v>1</v>
      </c>
      <c r="G5073" s="6">
        <v>45974</v>
      </c>
      <c r="H5073">
        <v>50</v>
      </c>
      <c r="I5073">
        <f>ROUND(CompilDonnées[[#This Row],[CultureDuration_days]]/7,0)</f>
        <v>7</v>
      </c>
      <c r="J5073">
        <v>1915</v>
      </c>
      <c r="K5073" t="str">
        <f>_xlfn.CONCAT(WEEKNUM(CompilDonnées[[#This Row],[PlantationDate]]), " ", YEAR(CompilDonnées[[#This Row],[PlantationDate]]))</f>
        <v>39 2025</v>
      </c>
      <c r="L5073" t="str">
        <f>CONCATENATE(MONTH(CompilDonnées[[#This Row],[PlantationDate]])," ", YEAR(CompilDonnées[[#This Row],[PlantationDate]]))</f>
        <v>9 2025</v>
      </c>
      <c r="M5073" t="str">
        <f>CONCATENATE(MONTH(CompilDonnées[[#This Row],[HarvestingDate]])," ", YEAR(CompilDonnées[[#This Row],[HarvestingDate]]))</f>
        <v>11 2025</v>
      </c>
      <c r="N5073">
        <f>_xlfn.NUMBERVALUE(CompilDonnées[[#This Row],[FarmID]]&amp;CompilDonnées[[#This Row],[ModuleNumber]]&amp;CompilDonnées[[#This Row],[PlantationDate]])</f>
        <v>116245924</v>
      </c>
      <c r="O5073" t="str">
        <f>CompilDonnées[[#This Row],[FarmID]]&amp;CompilDonnées[[#This Row],[ModuleNumber]]</f>
        <v>1162</v>
      </c>
      <c r="P5073" t="str">
        <f>CompilDonnées[[#This Row],[Ref_Module]]&amp;CompilDonnées[[#This Row],[HarvestingDate]]</f>
        <v>116245974</v>
      </c>
    </row>
    <row r="5074" spans="1:16">
      <c r="A5074" s="5">
        <v>45924</v>
      </c>
      <c r="B5074">
        <v>115</v>
      </c>
      <c r="C5074" t="s">
        <v>121</v>
      </c>
      <c r="D5074">
        <v>4</v>
      </c>
      <c r="E5074">
        <v>100</v>
      </c>
      <c r="F5074" t="s">
        <v>1</v>
      </c>
      <c r="G5074" s="6">
        <v>45974</v>
      </c>
      <c r="H5074">
        <v>50</v>
      </c>
      <c r="I5074">
        <f>ROUND(CompilDonnées[[#This Row],[CultureDuration_days]]/7,0)</f>
        <v>7</v>
      </c>
      <c r="J5074">
        <v>1991</v>
      </c>
      <c r="K5074" t="str">
        <f>_xlfn.CONCAT(WEEKNUM(CompilDonnées[[#This Row],[PlantationDate]]), " ", YEAR(CompilDonnées[[#This Row],[PlantationDate]]))</f>
        <v>39 2025</v>
      </c>
      <c r="L5074" t="str">
        <f>CONCATENATE(MONTH(CompilDonnées[[#This Row],[PlantationDate]])," ", YEAR(CompilDonnées[[#This Row],[PlantationDate]]))</f>
        <v>9 2025</v>
      </c>
      <c r="M5074" t="str">
        <f>CONCATENATE(MONTH(CompilDonnées[[#This Row],[HarvestingDate]])," ", YEAR(CompilDonnées[[#This Row],[HarvestingDate]]))</f>
        <v>11 2025</v>
      </c>
      <c r="N5074">
        <f>_xlfn.NUMBERVALUE(CompilDonnées[[#This Row],[FarmID]]&amp;CompilDonnées[[#This Row],[ModuleNumber]]&amp;CompilDonnées[[#This Row],[PlantationDate]])</f>
        <v>115445924</v>
      </c>
      <c r="O5074" t="str">
        <f>CompilDonnées[[#This Row],[FarmID]]&amp;CompilDonnées[[#This Row],[ModuleNumber]]</f>
        <v>1154</v>
      </c>
      <c r="P5074" t="str">
        <f>CompilDonnées[[#This Row],[Ref_Module]]&amp;CompilDonnées[[#This Row],[HarvestingDate]]</f>
        <v>115445974</v>
      </c>
    </row>
    <row r="5075" spans="1:16">
      <c r="A5075" s="5">
        <v>45924</v>
      </c>
      <c r="B5075">
        <v>120</v>
      </c>
      <c r="C5075" t="s">
        <v>100</v>
      </c>
      <c r="D5075">
        <v>5</v>
      </c>
      <c r="E5075">
        <v>100</v>
      </c>
      <c r="F5075" t="s">
        <v>1</v>
      </c>
      <c r="G5075" s="6">
        <v>45964</v>
      </c>
      <c r="H5075">
        <v>40</v>
      </c>
      <c r="I5075">
        <f>ROUND(CompilDonnées[[#This Row],[CultureDuration_days]]/7,0)</f>
        <v>6</v>
      </c>
      <c r="J5075">
        <v>3674</v>
      </c>
      <c r="K5075" t="str">
        <f>_xlfn.CONCAT(WEEKNUM(CompilDonnées[[#This Row],[PlantationDate]]), " ", YEAR(CompilDonnées[[#This Row],[PlantationDate]]))</f>
        <v>39 2025</v>
      </c>
      <c r="L5075" t="str">
        <f>CONCATENATE(MONTH(CompilDonnées[[#This Row],[PlantationDate]])," ", YEAR(CompilDonnées[[#This Row],[PlantationDate]]))</f>
        <v>9 2025</v>
      </c>
      <c r="M5075" t="str">
        <f>CONCATENATE(MONTH(CompilDonnées[[#This Row],[HarvestingDate]])," ", YEAR(CompilDonnées[[#This Row],[HarvestingDate]]))</f>
        <v>11 2025</v>
      </c>
      <c r="N5075">
        <f>_xlfn.NUMBERVALUE(CompilDonnées[[#This Row],[FarmID]]&amp;CompilDonnées[[#This Row],[ModuleNumber]]&amp;CompilDonnées[[#This Row],[PlantationDate]])</f>
        <v>120545924</v>
      </c>
      <c r="O5075" t="str">
        <f>CompilDonnées[[#This Row],[FarmID]]&amp;CompilDonnées[[#This Row],[ModuleNumber]]</f>
        <v>1205</v>
      </c>
      <c r="P5075" t="str">
        <f>CompilDonnées[[#This Row],[Ref_Module]]&amp;CompilDonnées[[#This Row],[HarvestingDate]]</f>
        <v>120545964</v>
      </c>
    </row>
    <row r="5076" spans="1:16">
      <c r="A5076" s="5">
        <v>45924</v>
      </c>
      <c r="B5076">
        <v>122</v>
      </c>
      <c r="C5076" t="s">
        <v>122</v>
      </c>
      <c r="D5076">
        <v>3</v>
      </c>
      <c r="E5076">
        <v>100</v>
      </c>
      <c r="F5076" t="s">
        <v>1</v>
      </c>
      <c r="G5076" s="6">
        <v>45974</v>
      </c>
      <c r="H5076">
        <v>50</v>
      </c>
      <c r="I5076">
        <f>ROUND(CompilDonnées[[#This Row],[CultureDuration_days]]/7,0)</f>
        <v>7</v>
      </c>
      <c r="J5076">
        <v>1789</v>
      </c>
      <c r="K5076" t="str">
        <f>_xlfn.CONCAT(WEEKNUM(CompilDonnées[[#This Row],[PlantationDate]]), " ", YEAR(CompilDonnées[[#This Row],[PlantationDate]]))</f>
        <v>39 2025</v>
      </c>
      <c r="L5076" t="str">
        <f>CONCATENATE(MONTH(CompilDonnées[[#This Row],[PlantationDate]])," ", YEAR(CompilDonnées[[#This Row],[PlantationDate]]))</f>
        <v>9 2025</v>
      </c>
      <c r="M5076" t="str">
        <f>CONCATENATE(MONTH(CompilDonnées[[#This Row],[HarvestingDate]])," ", YEAR(CompilDonnées[[#This Row],[HarvestingDate]]))</f>
        <v>11 2025</v>
      </c>
      <c r="N5076">
        <f>_xlfn.NUMBERVALUE(CompilDonnées[[#This Row],[FarmID]]&amp;CompilDonnées[[#This Row],[ModuleNumber]]&amp;CompilDonnées[[#This Row],[PlantationDate]])</f>
        <v>122345924</v>
      </c>
      <c r="O5076" t="str">
        <f>CompilDonnées[[#This Row],[FarmID]]&amp;CompilDonnées[[#This Row],[ModuleNumber]]</f>
        <v>1223</v>
      </c>
      <c r="P5076" t="str">
        <f>CompilDonnées[[#This Row],[Ref_Module]]&amp;CompilDonnées[[#This Row],[HarvestingDate]]</f>
        <v>122345974</v>
      </c>
    </row>
    <row r="5077" spans="1:16">
      <c r="A5077" s="5">
        <v>45924</v>
      </c>
      <c r="B5077">
        <v>137</v>
      </c>
      <c r="C5077" t="s">
        <v>108</v>
      </c>
      <c r="D5077">
        <v>1</v>
      </c>
      <c r="E5077">
        <v>100</v>
      </c>
      <c r="F5077" t="s">
        <v>1</v>
      </c>
      <c r="G5077" s="6">
        <v>45974</v>
      </c>
      <c r="H5077">
        <v>50</v>
      </c>
      <c r="I5077">
        <f>ROUND(CompilDonnées[[#This Row],[CultureDuration_days]]/7,0)</f>
        <v>7</v>
      </c>
      <c r="J5077">
        <v>1562</v>
      </c>
      <c r="K5077" t="str">
        <f>_xlfn.CONCAT(WEEKNUM(CompilDonnées[[#This Row],[PlantationDate]]), " ", YEAR(CompilDonnées[[#This Row],[PlantationDate]]))</f>
        <v>39 2025</v>
      </c>
      <c r="L5077" t="str">
        <f>CONCATENATE(MONTH(CompilDonnées[[#This Row],[PlantationDate]])," ", YEAR(CompilDonnées[[#This Row],[PlantationDate]]))</f>
        <v>9 2025</v>
      </c>
      <c r="M5077" t="str">
        <f>CONCATENATE(MONTH(CompilDonnées[[#This Row],[HarvestingDate]])," ", YEAR(CompilDonnées[[#This Row],[HarvestingDate]]))</f>
        <v>11 2025</v>
      </c>
      <c r="N5077">
        <f>_xlfn.NUMBERVALUE(CompilDonnées[[#This Row],[FarmID]]&amp;CompilDonnées[[#This Row],[ModuleNumber]]&amp;CompilDonnées[[#This Row],[PlantationDate]])</f>
        <v>137145924</v>
      </c>
      <c r="O5077" t="str">
        <f>CompilDonnées[[#This Row],[FarmID]]&amp;CompilDonnées[[#This Row],[ModuleNumber]]</f>
        <v>1371</v>
      </c>
      <c r="P5077" t="str">
        <f>CompilDonnées[[#This Row],[Ref_Module]]&amp;CompilDonnées[[#This Row],[HarvestingDate]]</f>
        <v>137145974</v>
      </c>
    </row>
    <row r="5078" spans="1:16">
      <c r="A5078" s="5">
        <v>45924</v>
      </c>
      <c r="B5078">
        <v>88</v>
      </c>
      <c r="C5078" t="s">
        <v>94</v>
      </c>
      <c r="D5078">
        <v>2</v>
      </c>
      <c r="E5078">
        <v>100</v>
      </c>
      <c r="F5078" t="s">
        <v>1</v>
      </c>
      <c r="G5078" s="6">
        <v>45965</v>
      </c>
      <c r="H5078">
        <v>41</v>
      </c>
      <c r="I5078">
        <f>ROUND(CompilDonnées[[#This Row],[CultureDuration_days]]/7,0)</f>
        <v>6</v>
      </c>
      <c r="J5078">
        <v>3795</v>
      </c>
      <c r="K5078" t="str">
        <f>_xlfn.CONCAT(WEEKNUM(CompilDonnées[[#This Row],[PlantationDate]]), " ", YEAR(CompilDonnées[[#This Row],[PlantationDate]]))</f>
        <v>39 2025</v>
      </c>
      <c r="L5078" t="str">
        <f>CONCATENATE(MONTH(CompilDonnées[[#This Row],[PlantationDate]])," ", YEAR(CompilDonnées[[#This Row],[PlantationDate]]))</f>
        <v>9 2025</v>
      </c>
      <c r="M5078" t="str">
        <f>CONCATENATE(MONTH(CompilDonnées[[#This Row],[HarvestingDate]])," ", YEAR(CompilDonnées[[#This Row],[HarvestingDate]]))</f>
        <v>11 2025</v>
      </c>
      <c r="N5078">
        <f>_xlfn.NUMBERVALUE(CompilDonnées[[#This Row],[FarmID]]&amp;CompilDonnées[[#This Row],[ModuleNumber]]&amp;CompilDonnées[[#This Row],[PlantationDate]])</f>
        <v>88245924</v>
      </c>
      <c r="O5078" t="str">
        <f>CompilDonnées[[#This Row],[FarmID]]&amp;CompilDonnées[[#This Row],[ModuleNumber]]</f>
        <v>882</v>
      </c>
      <c r="P5078" t="str">
        <f>CompilDonnées[[#This Row],[Ref_Module]]&amp;CompilDonnées[[#This Row],[HarvestingDate]]</f>
        <v>88245965</v>
      </c>
    </row>
    <row r="5079" spans="1:16">
      <c r="A5079" s="5">
        <v>45924</v>
      </c>
      <c r="B5079">
        <v>86</v>
      </c>
      <c r="C5079" t="s">
        <v>37</v>
      </c>
      <c r="D5079">
        <v>2</v>
      </c>
      <c r="E5079">
        <v>100</v>
      </c>
      <c r="F5079" t="s">
        <v>1</v>
      </c>
      <c r="G5079" s="6">
        <v>45973</v>
      </c>
      <c r="H5079">
        <v>49</v>
      </c>
      <c r="I5079">
        <f>ROUND(CompilDonnées[[#This Row],[CultureDuration_days]]/7,0)</f>
        <v>7</v>
      </c>
      <c r="J5079">
        <v>2502</v>
      </c>
      <c r="K5079" t="str">
        <f>_xlfn.CONCAT(WEEKNUM(CompilDonnées[[#This Row],[PlantationDate]]), " ", YEAR(CompilDonnées[[#This Row],[PlantationDate]]))</f>
        <v>39 2025</v>
      </c>
      <c r="L5079" t="str">
        <f>CONCATENATE(MONTH(CompilDonnées[[#This Row],[PlantationDate]])," ", YEAR(CompilDonnées[[#This Row],[PlantationDate]]))</f>
        <v>9 2025</v>
      </c>
      <c r="M5079" t="str">
        <f>CONCATENATE(MONTH(CompilDonnées[[#This Row],[HarvestingDate]])," ", YEAR(CompilDonnées[[#This Row],[HarvestingDate]]))</f>
        <v>11 2025</v>
      </c>
      <c r="N5079">
        <f>_xlfn.NUMBERVALUE(CompilDonnées[[#This Row],[FarmID]]&amp;CompilDonnées[[#This Row],[ModuleNumber]]&amp;CompilDonnées[[#This Row],[PlantationDate]])</f>
        <v>86245924</v>
      </c>
      <c r="O5079" t="str">
        <f>CompilDonnées[[#This Row],[FarmID]]&amp;CompilDonnées[[#This Row],[ModuleNumber]]</f>
        <v>862</v>
      </c>
      <c r="P5079" t="str">
        <f>CompilDonnées[[#This Row],[Ref_Module]]&amp;CompilDonnées[[#This Row],[HarvestingDate]]</f>
        <v>86245973</v>
      </c>
    </row>
    <row r="5080" spans="1:16">
      <c r="A5080" s="5">
        <v>45924</v>
      </c>
      <c r="B5080">
        <v>85</v>
      </c>
      <c r="C5080" t="s">
        <v>56</v>
      </c>
      <c r="D5080">
        <v>2</v>
      </c>
      <c r="E5080">
        <v>100</v>
      </c>
      <c r="F5080" t="s">
        <v>1</v>
      </c>
      <c r="G5080" s="6">
        <v>45973</v>
      </c>
      <c r="H5080">
        <v>49</v>
      </c>
      <c r="I5080">
        <f>ROUND(CompilDonnées[[#This Row],[CultureDuration_days]]/7,0)</f>
        <v>7</v>
      </c>
      <c r="J5080">
        <v>2118</v>
      </c>
      <c r="K5080" t="str">
        <f>_xlfn.CONCAT(WEEKNUM(CompilDonnées[[#This Row],[PlantationDate]]), " ", YEAR(CompilDonnées[[#This Row],[PlantationDate]]))</f>
        <v>39 2025</v>
      </c>
      <c r="L5080" t="str">
        <f>CONCATENATE(MONTH(CompilDonnées[[#This Row],[PlantationDate]])," ", YEAR(CompilDonnées[[#This Row],[PlantationDate]]))</f>
        <v>9 2025</v>
      </c>
      <c r="M5080" t="str">
        <f>CONCATENATE(MONTH(CompilDonnées[[#This Row],[HarvestingDate]])," ", YEAR(CompilDonnées[[#This Row],[HarvestingDate]]))</f>
        <v>11 2025</v>
      </c>
      <c r="N5080">
        <f>_xlfn.NUMBERVALUE(CompilDonnées[[#This Row],[FarmID]]&amp;CompilDonnées[[#This Row],[ModuleNumber]]&amp;CompilDonnées[[#This Row],[PlantationDate]])</f>
        <v>85245924</v>
      </c>
      <c r="O5080" t="str">
        <f>CompilDonnées[[#This Row],[FarmID]]&amp;CompilDonnées[[#This Row],[ModuleNumber]]</f>
        <v>852</v>
      </c>
      <c r="P5080" t="str">
        <f>CompilDonnées[[#This Row],[Ref_Module]]&amp;CompilDonnées[[#This Row],[HarvestingDate]]</f>
        <v>85245973</v>
      </c>
    </row>
    <row r="5081" spans="1:16">
      <c r="A5081" s="5">
        <v>45924</v>
      </c>
      <c r="B5081">
        <v>92</v>
      </c>
      <c r="C5081" t="s">
        <v>66</v>
      </c>
      <c r="D5081">
        <v>2</v>
      </c>
      <c r="E5081">
        <v>100</v>
      </c>
      <c r="F5081" t="s">
        <v>1</v>
      </c>
      <c r="G5081" s="6">
        <v>45978</v>
      </c>
      <c r="H5081">
        <v>54</v>
      </c>
      <c r="I5081">
        <f>ROUND(CompilDonnées[[#This Row],[CultureDuration_days]]/7,0)</f>
        <v>8</v>
      </c>
      <c r="J5081">
        <v>2447</v>
      </c>
      <c r="K5081" t="str">
        <f>_xlfn.CONCAT(WEEKNUM(CompilDonnées[[#This Row],[PlantationDate]]), " ", YEAR(CompilDonnées[[#This Row],[PlantationDate]]))</f>
        <v>39 2025</v>
      </c>
      <c r="L5081" t="str">
        <f>CONCATENATE(MONTH(CompilDonnées[[#This Row],[PlantationDate]])," ", YEAR(CompilDonnées[[#This Row],[PlantationDate]]))</f>
        <v>9 2025</v>
      </c>
      <c r="M5081" t="str">
        <f>CONCATENATE(MONTH(CompilDonnées[[#This Row],[HarvestingDate]])," ", YEAR(CompilDonnées[[#This Row],[HarvestingDate]]))</f>
        <v>11 2025</v>
      </c>
      <c r="N5081">
        <f>_xlfn.NUMBERVALUE(CompilDonnées[[#This Row],[FarmID]]&amp;CompilDonnées[[#This Row],[ModuleNumber]]&amp;CompilDonnées[[#This Row],[PlantationDate]])</f>
        <v>92245924</v>
      </c>
      <c r="O5081" t="str">
        <f>CompilDonnées[[#This Row],[FarmID]]&amp;CompilDonnées[[#This Row],[ModuleNumber]]</f>
        <v>922</v>
      </c>
      <c r="P5081" t="str">
        <f>CompilDonnées[[#This Row],[Ref_Module]]&amp;CompilDonnées[[#This Row],[HarvestingDate]]</f>
        <v>92245978</v>
      </c>
    </row>
    <row r="5082" spans="1:16">
      <c r="A5082" s="5">
        <v>45924</v>
      </c>
      <c r="B5082">
        <v>95</v>
      </c>
      <c r="C5082" t="s">
        <v>90</v>
      </c>
      <c r="D5082">
        <v>3</v>
      </c>
      <c r="E5082">
        <v>100</v>
      </c>
      <c r="F5082" t="s">
        <v>1</v>
      </c>
      <c r="G5082" s="6">
        <v>45973</v>
      </c>
      <c r="H5082">
        <v>49</v>
      </c>
      <c r="I5082">
        <f>ROUND(CompilDonnées[[#This Row],[CultureDuration_days]]/7,0)</f>
        <v>7</v>
      </c>
      <c r="J5082">
        <v>1502</v>
      </c>
      <c r="K5082" t="str">
        <f>_xlfn.CONCAT(WEEKNUM(CompilDonnées[[#This Row],[PlantationDate]]), " ", YEAR(CompilDonnées[[#This Row],[PlantationDate]]))</f>
        <v>39 2025</v>
      </c>
      <c r="L5082" t="str">
        <f>CONCATENATE(MONTH(CompilDonnées[[#This Row],[PlantationDate]])," ", YEAR(CompilDonnées[[#This Row],[PlantationDate]]))</f>
        <v>9 2025</v>
      </c>
      <c r="M5082" t="str">
        <f>CONCATENATE(MONTH(CompilDonnées[[#This Row],[HarvestingDate]])," ", YEAR(CompilDonnées[[#This Row],[HarvestingDate]]))</f>
        <v>11 2025</v>
      </c>
      <c r="N5082">
        <f>_xlfn.NUMBERVALUE(CompilDonnées[[#This Row],[FarmID]]&amp;CompilDonnées[[#This Row],[ModuleNumber]]&amp;CompilDonnées[[#This Row],[PlantationDate]])</f>
        <v>95345924</v>
      </c>
      <c r="O5082" t="str">
        <f>CompilDonnées[[#This Row],[FarmID]]&amp;CompilDonnées[[#This Row],[ModuleNumber]]</f>
        <v>953</v>
      </c>
      <c r="P5082" t="str">
        <f>CompilDonnées[[#This Row],[Ref_Module]]&amp;CompilDonnées[[#This Row],[HarvestingDate]]</f>
        <v>95345973</v>
      </c>
    </row>
    <row r="5083" spans="1:16">
      <c r="A5083" s="5">
        <v>45924</v>
      </c>
      <c r="B5083">
        <v>87</v>
      </c>
      <c r="C5083" t="s">
        <v>38</v>
      </c>
      <c r="D5083">
        <v>3</v>
      </c>
      <c r="E5083">
        <v>100</v>
      </c>
      <c r="F5083" t="s">
        <v>1</v>
      </c>
      <c r="G5083" s="6">
        <v>45965</v>
      </c>
      <c r="H5083">
        <v>41</v>
      </c>
      <c r="I5083">
        <f>ROUND(CompilDonnées[[#This Row],[CultureDuration_days]]/7,0)</f>
        <v>6</v>
      </c>
      <c r="J5083">
        <v>3088</v>
      </c>
      <c r="K5083" t="str">
        <f>_xlfn.CONCAT(WEEKNUM(CompilDonnées[[#This Row],[PlantationDate]]), " ", YEAR(CompilDonnées[[#This Row],[PlantationDate]]))</f>
        <v>39 2025</v>
      </c>
      <c r="L5083" t="str">
        <f>CONCATENATE(MONTH(CompilDonnées[[#This Row],[PlantationDate]])," ", YEAR(CompilDonnées[[#This Row],[PlantationDate]]))</f>
        <v>9 2025</v>
      </c>
      <c r="M5083" t="str">
        <f>CONCATENATE(MONTH(CompilDonnées[[#This Row],[HarvestingDate]])," ", YEAR(CompilDonnées[[#This Row],[HarvestingDate]]))</f>
        <v>11 2025</v>
      </c>
      <c r="N5083">
        <f>_xlfn.NUMBERVALUE(CompilDonnées[[#This Row],[FarmID]]&amp;CompilDonnées[[#This Row],[ModuleNumber]]&amp;CompilDonnées[[#This Row],[PlantationDate]])</f>
        <v>87345924</v>
      </c>
      <c r="O5083" t="str">
        <f>CompilDonnées[[#This Row],[FarmID]]&amp;CompilDonnées[[#This Row],[ModuleNumber]]</f>
        <v>873</v>
      </c>
      <c r="P5083" t="str">
        <f>CompilDonnées[[#This Row],[Ref_Module]]&amp;CompilDonnées[[#This Row],[HarvestingDate]]</f>
        <v>87345965</v>
      </c>
    </row>
    <row r="5084" spans="1:16">
      <c r="A5084" s="5">
        <v>45924</v>
      </c>
      <c r="B5084">
        <v>100</v>
      </c>
      <c r="C5084" t="s">
        <v>84</v>
      </c>
      <c r="D5084">
        <v>5</v>
      </c>
      <c r="E5084">
        <v>100</v>
      </c>
      <c r="F5084" t="s">
        <v>1</v>
      </c>
      <c r="G5084" s="6">
        <v>45974</v>
      </c>
      <c r="H5084">
        <v>50</v>
      </c>
      <c r="I5084">
        <f>ROUND(CompilDonnées[[#This Row],[CultureDuration_days]]/7,0)</f>
        <v>7</v>
      </c>
      <c r="J5084">
        <v>3982</v>
      </c>
      <c r="K5084" t="str">
        <f>_xlfn.CONCAT(WEEKNUM(CompilDonnées[[#This Row],[PlantationDate]]), " ", YEAR(CompilDonnées[[#This Row],[PlantationDate]]))</f>
        <v>39 2025</v>
      </c>
      <c r="L5084" t="str">
        <f>CONCATENATE(MONTH(CompilDonnées[[#This Row],[PlantationDate]])," ", YEAR(CompilDonnées[[#This Row],[PlantationDate]]))</f>
        <v>9 2025</v>
      </c>
      <c r="M5084" t="str">
        <f>CONCATENATE(MONTH(CompilDonnées[[#This Row],[HarvestingDate]])," ", YEAR(CompilDonnées[[#This Row],[HarvestingDate]]))</f>
        <v>11 2025</v>
      </c>
      <c r="N5084">
        <f>_xlfn.NUMBERVALUE(CompilDonnées[[#This Row],[FarmID]]&amp;CompilDonnées[[#This Row],[ModuleNumber]]&amp;CompilDonnées[[#This Row],[PlantationDate]])</f>
        <v>100545924</v>
      </c>
      <c r="O5084" t="str">
        <f>CompilDonnées[[#This Row],[FarmID]]&amp;CompilDonnées[[#This Row],[ModuleNumber]]</f>
        <v>1005</v>
      </c>
      <c r="P5084" t="str">
        <f>CompilDonnées[[#This Row],[Ref_Module]]&amp;CompilDonnées[[#This Row],[HarvestingDate]]</f>
        <v>100545974</v>
      </c>
    </row>
    <row r="5085" spans="1:16">
      <c r="A5085" s="5">
        <v>45924</v>
      </c>
      <c r="B5085">
        <v>90</v>
      </c>
      <c r="C5085" t="s">
        <v>72</v>
      </c>
      <c r="D5085">
        <v>5</v>
      </c>
      <c r="E5085">
        <v>100</v>
      </c>
      <c r="F5085" t="s">
        <v>1</v>
      </c>
      <c r="G5085" s="6">
        <v>45959</v>
      </c>
      <c r="H5085">
        <v>35</v>
      </c>
      <c r="I5085">
        <f>ROUND(CompilDonnées[[#This Row],[CultureDuration_days]]/7,0)</f>
        <v>5</v>
      </c>
      <c r="J5085">
        <v>150</v>
      </c>
      <c r="K5085" t="str">
        <f>_xlfn.CONCAT(WEEKNUM(CompilDonnées[[#This Row],[PlantationDate]]), " ", YEAR(CompilDonnées[[#This Row],[PlantationDate]]))</f>
        <v>39 2025</v>
      </c>
      <c r="L5085" t="str">
        <f>CONCATENATE(MONTH(CompilDonnées[[#This Row],[PlantationDate]])," ", YEAR(CompilDonnées[[#This Row],[PlantationDate]]))</f>
        <v>9 2025</v>
      </c>
      <c r="M5085" t="str">
        <f>CONCATENATE(MONTH(CompilDonnées[[#This Row],[HarvestingDate]])," ", YEAR(CompilDonnées[[#This Row],[HarvestingDate]]))</f>
        <v>10 2025</v>
      </c>
      <c r="N5085">
        <f>_xlfn.NUMBERVALUE(CompilDonnées[[#This Row],[FarmID]]&amp;CompilDonnées[[#This Row],[ModuleNumber]]&amp;CompilDonnées[[#This Row],[PlantationDate]])</f>
        <v>90545924</v>
      </c>
      <c r="O5085" t="str">
        <f>CompilDonnées[[#This Row],[FarmID]]&amp;CompilDonnées[[#This Row],[ModuleNumber]]</f>
        <v>905</v>
      </c>
      <c r="P5085" t="str">
        <f>CompilDonnées[[#This Row],[Ref_Module]]&amp;CompilDonnées[[#This Row],[HarvestingDate]]</f>
        <v>90545959</v>
      </c>
    </row>
    <row r="5086" spans="1:16">
      <c r="A5086" s="5">
        <v>45924</v>
      </c>
      <c r="B5086">
        <v>89</v>
      </c>
      <c r="C5086" t="s">
        <v>67</v>
      </c>
      <c r="D5086">
        <v>5</v>
      </c>
      <c r="E5086">
        <v>100</v>
      </c>
      <c r="F5086" t="s">
        <v>1</v>
      </c>
      <c r="G5086" s="6">
        <v>45959</v>
      </c>
      <c r="H5086">
        <v>35</v>
      </c>
      <c r="I5086">
        <f>ROUND(CompilDonnées[[#This Row],[CultureDuration_days]]/7,0)</f>
        <v>5</v>
      </c>
      <c r="J5086">
        <v>1103</v>
      </c>
      <c r="K5086" t="str">
        <f>_xlfn.CONCAT(WEEKNUM(CompilDonnées[[#This Row],[PlantationDate]]), " ", YEAR(CompilDonnées[[#This Row],[PlantationDate]]))</f>
        <v>39 2025</v>
      </c>
      <c r="L5086" t="str">
        <f>CONCATENATE(MONTH(CompilDonnées[[#This Row],[PlantationDate]])," ", YEAR(CompilDonnées[[#This Row],[PlantationDate]]))</f>
        <v>9 2025</v>
      </c>
      <c r="M5086" t="str">
        <f>CONCATENATE(MONTH(CompilDonnées[[#This Row],[HarvestingDate]])," ", YEAR(CompilDonnées[[#This Row],[HarvestingDate]]))</f>
        <v>10 2025</v>
      </c>
      <c r="N5086">
        <f>_xlfn.NUMBERVALUE(CompilDonnées[[#This Row],[FarmID]]&amp;CompilDonnées[[#This Row],[ModuleNumber]]&amp;CompilDonnées[[#This Row],[PlantationDate]])</f>
        <v>89545924</v>
      </c>
      <c r="O5086" t="str">
        <f>CompilDonnées[[#This Row],[FarmID]]&amp;CompilDonnées[[#This Row],[ModuleNumber]]</f>
        <v>895</v>
      </c>
      <c r="P5086" t="str">
        <f>CompilDonnées[[#This Row],[Ref_Module]]&amp;CompilDonnées[[#This Row],[HarvestingDate]]</f>
        <v>89545959</v>
      </c>
    </row>
    <row r="5087" spans="1:16">
      <c r="A5087" s="5">
        <v>45924</v>
      </c>
      <c r="B5087">
        <v>91</v>
      </c>
      <c r="C5087" t="s">
        <v>9</v>
      </c>
      <c r="D5087">
        <v>5</v>
      </c>
      <c r="E5087">
        <v>100</v>
      </c>
      <c r="F5087" t="s">
        <v>1</v>
      </c>
      <c r="G5087" s="6">
        <v>45973</v>
      </c>
      <c r="H5087">
        <v>49</v>
      </c>
      <c r="I5087">
        <f>ROUND(CompilDonnées[[#This Row],[CultureDuration_days]]/7,0)</f>
        <v>7</v>
      </c>
      <c r="J5087">
        <v>2774</v>
      </c>
      <c r="K5087" t="str">
        <f>_xlfn.CONCAT(WEEKNUM(CompilDonnées[[#This Row],[PlantationDate]]), " ", YEAR(CompilDonnées[[#This Row],[PlantationDate]]))</f>
        <v>39 2025</v>
      </c>
      <c r="L5087" t="str">
        <f>CONCATENATE(MONTH(CompilDonnées[[#This Row],[PlantationDate]])," ", YEAR(CompilDonnées[[#This Row],[PlantationDate]]))</f>
        <v>9 2025</v>
      </c>
      <c r="M5087" t="str">
        <f>CONCATENATE(MONTH(CompilDonnées[[#This Row],[HarvestingDate]])," ", YEAR(CompilDonnées[[#This Row],[HarvestingDate]]))</f>
        <v>11 2025</v>
      </c>
      <c r="N5087">
        <f>_xlfn.NUMBERVALUE(CompilDonnées[[#This Row],[FarmID]]&amp;CompilDonnées[[#This Row],[ModuleNumber]]&amp;CompilDonnées[[#This Row],[PlantationDate]])</f>
        <v>91545924</v>
      </c>
      <c r="O5087" t="str">
        <f>CompilDonnées[[#This Row],[FarmID]]&amp;CompilDonnées[[#This Row],[ModuleNumber]]</f>
        <v>915</v>
      </c>
      <c r="P5087" t="str">
        <f>CompilDonnées[[#This Row],[Ref_Module]]&amp;CompilDonnées[[#This Row],[HarvestingDate]]</f>
        <v>91545973</v>
      </c>
    </row>
    <row r="5088" spans="1:16">
      <c r="A5088" s="5">
        <v>45924</v>
      </c>
      <c r="B5088">
        <v>93</v>
      </c>
      <c r="C5088" t="s">
        <v>10</v>
      </c>
      <c r="D5088">
        <v>5</v>
      </c>
      <c r="E5088">
        <v>100</v>
      </c>
      <c r="F5088" t="s">
        <v>1</v>
      </c>
      <c r="G5088" s="6">
        <v>45973</v>
      </c>
      <c r="H5088">
        <v>49</v>
      </c>
      <c r="I5088">
        <f>ROUND(CompilDonnées[[#This Row],[CultureDuration_days]]/7,0)</f>
        <v>7</v>
      </c>
      <c r="J5088">
        <v>2841</v>
      </c>
      <c r="K5088" t="str">
        <f>_xlfn.CONCAT(WEEKNUM(CompilDonnées[[#This Row],[PlantationDate]]), " ", YEAR(CompilDonnées[[#This Row],[PlantationDate]]))</f>
        <v>39 2025</v>
      </c>
      <c r="L5088" t="str">
        <f>CONCATENATE(MONTH(CompilDonnées[[#This Row],[PlantationDate]])," ", YEAR(CompilDonnées[[#This Row],[PlantationDate]]))</f>
        <v>9 2025</v>
      </c>
      <c r="M5088" t="str">
        <f>CONCATENATE(MONTH(CompilDonnées[[#This Row],[HarvestingDate]])," ", YEAR(CompilDonnées[[#This Row],[HarvestingDate]]))</f>
        <v>11 2025</v>
      </c>
      <c r="N5088">
        <f>_xlfn.NUMBERVALUE(CompilDonnées[[#This Row],[FarmID]]&amp;CompilDonnées[[#This Row],[ModuleNumber]]&amp;CompilDonnées[[#This Row],[PlantationDate]])</f>
        <v>93545924</v>
      </c>
      <c r="O5088" t="str">
        <f>CompilDonnées[[#This Row],[FarmID]]&amp;CompilDonnées[[#This Row],[ModuleNumber]]</f>
        <v>935</v>
      </c>
      <c r="P5088" t="str">
        <f>CompilDonnées[[#This Row],[Ref_Module]]&amp;CompilDonnées[[#This Row],[HarvestingDate]]</f>
        <v>93545973</v>
      </c>
    </row>
    <row r="5089" spans="1:16">
      <c r="A5089" s="5">
        <v>45924</v>
      </c>
      <c r="B5089">
        <v>146</v>
      </c>
      <c r="C5089" t="s">
        <v>3</v>
      </c>
      <c r="D5089">
        <v>6</v>
      </c>
      <c r="E5089">
        <v>60</v>
      </c>
      <c r="F5089" t="s">
        <v>105</v>
      </c>
      <c r="G5089" s="6">
        <v>45972</v>
      </c>
      <c r="H5089">
        <v>48</v>
      </c>
      <c r="I5089">
        <f>ROUND(CompilDonnées[[#This Row],[CultureDuration_days]]/7,0)</f>
        <v>7</v>
      </c>
      <c r="J5089">
        <v>1930</v>
      </c>
      <c r="K5089" t="str">
        <f>_xlfn.CONCAT(WEEKNUM(CompilDonnées[[#This Row],[PlantationDate]]), " ", YEAR(CompilDonnées[[#This Row],[PlantationDate]]))</f>
        <v>39 2025</v>
      </c>
      <c r="L5089" t="str">
        <f>CONCATENATE(MONTH(CompilDonnées[[#This Row],[PlantationDate]])," ", YEAR(CompilDonnées[[#This Row],[PlantationDate]]))</f>
        <v>9 2025</v>
      </c>
      <c r="M5089" t="str">
        <f>CONCATENATE(MONTH(CompilDonnées[[#This Row],[HarvestingDate]])," ", YEAR(CompilDonnées[[#This Row],[HarvestingDate]]))</f>
        <v>11 2025</v>
      </c>
      <c r="N5089">
        <f>_xlfn.NUMBERVALUE(CompilDonnées[[#This Row],[FarmID]]&amp;CompilDonnées[[#This Row],[ModuleNumber]]&amp;CompilDonnées[[#This Row],[PlantationDate]])</f>
        <v>146645924</v>
      </c>
      <c r="O5089" t="str">
        <f>CompilDonnées[[#This Row],[FarmID]]&amp;CompilDonnées[[#This Row],[ModuleNumber]]</f>
        <v>1466</v>
      </c>
      <c r="P5089" t="str">
        <f>CompilDonnées[[#This Row],[Ref_Module]]&amp;CompilDonnées[[#This Row],[HarvestingDate]]</f>
        <v>146645972</v>
      </c>
    </row>
    <row r="5090" spans="1:16">
      <c r="A5090" s="5">
        <v>45924</v>
      </c>
      <c r="B5090">
        <v>147</v>
      </c>
      <c r="C5090" t="s">
        <v>3</v>
      </c>
      <c r="D5090">
        <v>2</v>
      </c>
      <c r="E5090">
        <v>60</v>
      </c>
      <c r="F5090" t="s">
        <v>105</v>
      </c>
      <c r="G5090" s="6">
        <v>45973</v>
      </c>
      <c r="H5090">
        <v>49</v>
      </c>
      <c r="I5090">
        <f>ROUND(CompilDonnées[[#This Row],[CultureDuration_days]]/7,0)</f>
        <v>7</v>
      </c>
      <c r="J5090">
        <v>2001</v>
      </c>
      <c r="K5090" t="str">
        <f>_xlfn.CONCAT(WEEKNUM(CompilDonnées[[#This Row],[PlantationDate]]), " ", YEAR(CompilDonnées[[#This Row],[PlantationDate]]))</f>
        <v>39 2025</v>
      </c>
      <c r="L5090" t="str">
        <f>CONCATENATE(MONTH(CompilDonnées[[#This Row],[PlantationDate]])," ", YEAR(CompilDonnées[[#This Row],[PlantationDate]]))</f>
        <v>9 2025</v>
      </c>
      <c r="M5090" t="str">
        <f>CONCATENATE(MONTH(CompilDonnées[[#This Row],[HarvestingDate]])," ", YEAR(CompilDonnées[[#This Row],[HarvestingDate]]))</f>
        <v>11 2025</v>
      </c>
      <c r="N5090">
        <f>_xlfn.NUMBERVALUE(CompilDonnées[[#This Row],[FarmID]]&amp;CompilDonnées[[#This Row],[ModuleNumber]]&amp;CompilDonnées[[#This Row],[PlantationDate]])</f>
        <v>147245924</v>
      </c>
      <c r="O5090" t="str">
        <f>CompilDonnées[[#This Row],[FarmID]]&amp;CompilDonnées[[#This Row],[ModuleNumber]]</f>
        <v>1472</v>
      </c>
      <c r="P5090" t="str">
        <f>CompilDonnées[[#This Row],[Ref_Module]]&amp;CompilDonnées[[#This Row],[HarvestingDate]]</f>
        <v>147245973</v>
      </c>
    </row>
    <row r="5091" spans="1:16">
      <c r="A5091" s="5">
        <v>45924</v>
      </c>
      <c r="B5091">
        <v>147</v>
      </c>
      <c r="C5091" t="s">
        <v>3</v>
      </c>
      <c r="D5091">
        <v>3</v>
      </c>
      <c r="E5091">
        <v>60</v>
      </c>
      <c r="F5091" t="s">
        <v>105</v>
      </c>
      <c r="G5091" s="6">
        <v>45973</v>
      </c>
      <c r="H5091">
        <v>49</v>
      </c>
      <c r="I5091">
        <f>ROUND(CompilDonnées[[#This Row],[CultureDuration_days]]/7,0)</f>
        <v>7</v>
      </c>
      <c r="J5091">
        <v>2003</v>
      </c>
      <c r="K5091" t="str">
        <f>_xlfn.CONCAT(WEEKNUM(CompilDonnées[[#This Row],[PlantationDate]]), " ", YEAR(CompilDonnées[[#This Row],[PlantationDate]]))</f>
        <v>39 2025</v>
      </c>
      <c r="L5091" t="str">
        <f>CONCATENATE(MONTH(CompilDonnées[[#This Row],[PlantationDate]])," ", YEAR(CompilDonnées[[#This Row],[PlantationDate]]))</f>
        <v>9 2025</v>
      </c>
      <c r="M5091" t="str">
        <f>CONCATENATE(MONTH(CompilDonnées[[#This Row],[HarvestingDate]])," ", YEAR(CompilDonnées[[#This Row],[HarvestingDate]]))</f>
        <v>11 2025</v>
      </c>
      <c r="N5091">
        <f>_xlfn.NUMBERVALUE(CompilDonnées[[#This Row],[FarmID]]&amp;CompilDonnées[[#This Row],[ModuleNumber]]&amp;CompilDonnées[[#This Row],[PlantationDate]])</f>
        <v>147345924</v>
      </c>
      <c r="O5091" t="str">
        <f>CompilDonnées[[#This Row],[FarmID]]&amp;CompilDonnées[[#This Row],[ModuleNumber]]</f>
        <v>1473</v>
      </c>
      <c r="P5091" t="str">
        <f>CompilDonnées[[#This Row],[Ref_Module]]&amp;CompilDonnées[[#This Row],[HarvestingDate]]</f>
        <v>147345973</v>
      </c>
    </row>
    <row r="5092" spans="1:16">
      <c r="A5092" s="5">
        <v>45924</v>
      </c>
      <c r="B5092">
        <v>147</v>
      </c>
      <c r="C5092" t="s">
        <v>3</v>
      </c>
      <c r="D5092">
        <v>4</v>
      </c>
      <c r="E5092">
        <v>60</v>
      </c>
      <c r="F5092" t="s">
        <v>105</v>
      </c>
      <c r="G5092" s="6">
        <v>45973</v>
      </c>
      <c r="H5092">
        <v>49</v>
      </c>
      <c r="I5092">
        <f>ROUND(CompilDonnées[[#This Row],[CultureDuration_days]]/7,0)</f>
        <v>7</v>
      </c>
      <c r="J5092">
        <v>2006</v>
      </c>
      <c r="K5092" t="str">
        <f>_xlfn.CONCAT(WEEKNUM(CompilDonnées[[#This Row],[PlantationDate]]), " ", YEAR(CompilDonnées[[#This Row],[PlantationDate]]))</f>
        <v>39 2025</v>
      </c>
      <c r="L5092" t="str">
        <f>CONCATENATE(MONTH(CompilDonnées[[#This Row],[PlantationDate]])," ", YEAR(CompilDonnées[[#This Row],[PlantationDate]]))</f>
        <v>9 2025</v>
      </c>
      <c r="M5092" t="str">
        <f>CONCATENATE(MONTH(CompilDonnées[[#This Row],[HarvestingDate]])," ", YEAR(CompilDonnées[[#This Row],[HarvestingDate]]))</f>
        <v>11 2025</v>
      </c>
      <c r="N5092">
        <f>_xlfn.NUMBERVALUE(CompilDonnées[[#This Row],[FarmID]]&amp;CompilDonnées[[#This Row],[ModuleNumber]]&amp;CompilDonnées[[#This Row],[PlantationDate]])</f>
        <v>147445924</v>
      </c>
      <c r="O5092" t="str">
        <f>CompilDonnées[[#This Row],[FarmID]]&amp;CompilDonnées[[#This Row],[ModuleNumber]]</f>
        <v>1474</v>
      </c>
      <c r="P5092" t="str">
        <f>CompilDonnées[[#This Row],[Ref_Module]]&amp;CompilDonnées[[#This Row],[HarvestingDate]]</f>
        <v>147445973</v>
      </c>
    </row>
    <row r="5093" spans="1:16">
      <c r="A5093" s="5">
        <v>45924</v>
      </c>
      <c r="B5093">
        <v>71</v>
      </c>
      <c r="C5093" t="s">
        <v>19</v>
      </c>
      <c r="D5093">
        <v>6</v>
      </c>
      <c r="E5093">
        <v>100</v>
      </c>
      <c r="F5093" t="s">
        <v>1</v>
      </c>
      <c r="G5093" s="6">
        <v>45972</v>
      </c>
      <c r="H5093">
        <v>48</v>
      </c>
      <c r="I5093">
        <f>ROUND(CompilDonnées[[#This Row],[CultureDuration_days]]/7,0)</f>
        <v>7</v>
      </c>
      <c r="J5093">
        <v>3033</v>
      </c>
      <c r="K5093" t="str">
        <f>_xlfn.CONCAT(WEEKNUM(CompilDonnées[[#This Row],[PlantationDate]]), " ", YEAR(CompilDonnées[[#This Row],[PlantationDate]]))</f>
        <v>39 2025</v>
      </c>
      <c r="L5093" t="str">
        <f>CONCATENATE(MONTH(CompilDonnées[[#This Row],[PlantationDate]])," ", YEAR(CompilDonnées[[#This Row],[PlantationDate]]))</f>
        <v>9 2025</v>
      </c>
      <c r="M5093" t="str">
        <f>CONCATENATE(MONTH(CompilDonnées[[#This Row],[HarvestingDate]])," ", YEAR(CompilDonnées[[#This Row],[HarvestingDate]]))</f>
        <v>11 2025</v>
      </c>
      <c r="N5093">
        <f>_xlfn.NUMBERVALUE(CompilDonnées[[#This Row],[FarmID]]&amp;CompilDonnées[[#This Row],[ModuleNumber]]&amp;CompilDonnées[[#This Row],[PlantationDate]])</f>
        <v>71645924</v>
      </c>
      <c r="O5093" t="str">
        <f>CompilDonnées[[#This Row],[FarmID]]&amp;CompilDonnées[[#This Row],[ModuleNumber]]</f>
        <v>716</v>
      </c>
      <c r="P5093" t="str">
        <f>CompilDonnées[[#This Row],[Ref_Module]]&amp;CompilDonnées[[#This Row],[HarvestingDate]]</f>
        <v>71645972</v>
      </c>
    </row>
    <row r="5094" spans="1:16">
      <c r="A5094" s="5">
        <v>45925</v>
      </c>
      <c r="B5094">
        <v>109</v>
      </c>
      <c r="C5094" t="s">
        <v>2</v>
      </c>
      <c r="D5094">
        <v>1</v>
      </c>
      <c r="E5094">
        <v>100</v>
      </c>
      <c r="F5094" t="s">
        <v>1</v>
      </c>
      <c r="G5094" s="6">
        <v>45974</v>
      </c>
      <c r="H5094">
        <v>49</v>
      </c>
      <c r="I5094">
        <f>ROUND(CompilDonnées[[#This Row],[CultureDuration_days]]/7,0)</f>
        <v>7</v>
      </c>
      <c r="J5094">
        <v>3849</v>
      </c>
      <c r="K5094" t="str">
        <f>_xlfn.CONCAT(WEEKNUM(CompilDonnées[[#This Row],[PlantationDate]]), " ", YEAR(CompilDonnées[[#This Row],[PlantationDate]]))</f>
        <v>39 2025</v>
      </c>
      <c r="L5094" t="str">
        <f>CONCATENATE(MONTH(CompilDonnées[[#This Row],[PlantationDate]])," ", YEAR(CompilDonnées[[#This Row],[PlantationDate]]))</f>
        <v>9 2025</v>
      </c>
      <c r="M5094" t="str">
        <f>CONCATENATE(MONTH(CompilDonnées[[#This Row],[HarvestingDate]])," ", YEAR(CompilDonnées[[#This Row],[HarvestingDate]]))</f>
        <v>11 2025</v>
      </c>
      <c r="N5094">
        <f>_xlfn.NUMBERVALUE(CompilDonnées[[#This Row],[FarmID]]&amp;CompilDonnées[[#This Row],[ModuleNumber]]&amp;CompilDonnées[[#This Row],[PlantationDate]])</f>
        <v>109145925</v>
      </c>
      <c r="O5094" t="str">
        <f>CompilDonnées[[#This Row],[FarmID]]&amp;CompilDonnées[[#This Row],[ModuleNumber]]</f>
        <v>1091</v>
      </c>
      <c r="P5094" t="str">
        <f>CompilDonnées[[#This Row],[Ref_Module]]&amp;CompilDonnées[[#This Row],[HarvestingDate]]</f>
        <v>109145974</v>
      </c>
    </row>
    <row r="5095" spans="1:16">
      <c r="A5095" s="5">
        <v>45925</v>
      </c>
      <c r="B5095">
        <v>138</v>
      </c>
      <c r="C5095" t="s">
        <v>124</v>
      </c>
      <c r="D5095">
        <v>3</v>
      </c>
      <c r="E5095">
        <v>100</v>
      </c>
      <c r="F5095" t="s">
        <v>1</v>
      </c>
      <c r="G5095" s="6">
        <v>45978</v>
      </c>
      <c r="H5095">
        <v>53</v>
      </c>
      <c r="I5095">
        <f>ROUND(CompilDonnées[[#This Row],[CultureDuration_days]]/7,0)</f>
        <v>8</v>
      </c>
      <c r="J5095">
        <v>2337</v>
      </c>
      <c r="K5095" t="str">
        <f>_xlfn.CONCAT(WEEKNUM(CompilDonnées[[#This Row],[PlantationDate]]), " ", YEAR(CompilDonnées[[#This Row],[PlantationDate]]))</f>
        <v>39 2025</v>
      </c>
      <c r="L5095" t="str">
        <f>CONCATENATE(MONTH(CompilDonnées[[#This Row],[PlantationDate]])," ", YEAR(CompilDonnées[[#This Row],[PlantationDate]]))</f>
        <v>9 2025</v>
      </c>
      <c r="M5095" t="str">
        <f>CONCATENATE(MONTH(CompilDonnées[[#This Row],[HarvestingDate]])," ", YEAR(CompilDonnées[[#This Row],[HarvestingDate]]))</f>
        <v>11 2025</v>
      </c>
      <c r="N5095">
        <f>_xlfn.NUMBERVALUE(CompilDonnées[[#This Row],[FarmID]]&amp;CompilDonnées[[#This Row],[ModuleNumber]]&amp;CompilDonnées[[#This Row],[PlantationDate]])</f>
        <v>138345925</v>
      </c>
      <c r="O5095" t="str">
        <f>CompilDonnées[[#This Row],[FarmID]]&amp;CompilDonnées[[#This Row],[ModuleNumber]]</f>
        <v>1383</v>
      </c>
      <c r="P5095" t="str">
        <f>CompilDonnées[[#This Row],[Ref_Module]]&amp;CompilDonnées[[#This Row],[HarvestingDate]]</f>
        <v>138345978</v>
      </c>
    </row>
    <row r="5096" spans="1:16">
      <c r="A5096" s="5">
        <v>45925</v>
      </c>
      <c r="B5096">
        <v>144</v>
      </c>
      <c r="C5096" t="s">
        <v>95</v>
      </c>
      <c r="D5096">
        <v>1</v>
      </c>
      <c r="E5096">
        <v>100</v>
      </c>
      <c r="F5096" t="s">
        <v>1</v>
      </c>
      <c r="G5096" s="6">
        <v>45978</v>
      </c>
      <c r="H5096">
        <v>53</v>
      </c>
      <c r="I5096">
        <f>ROUND(CompilDonnées[[#This Row],[CultureDuration_days]]/7,0)</f>
        <v>8</v>
      </c>
      <c r="J5096">
        <v>2187</v>
      </c>
      <c r="K5096" t="str">
        <f>_xlfn.CONCAT(WEEKNUM(CompilDonnées[[#This Row],[PlantationDate]]), " ", YEAR(CompilDonnées[[#This Row],[PlantationDate]]))</f>
        <v>39 2025</v>
      </c>
      <c r="L5096" t="str">
        <f>CONCATENATE(MONTH(CompilDonnées[[#This Row],[PlantationDate]])," ", YEAR(CompilDonnées[[#This Row],[PlantationDate]]))</f>
        <v>9 2025</v>
      </c>
      <c r="M5096" t="str">
        <f>CONCATENATE(MONTH(CompilDonnées[[#This Row],[HarvestingDate]])," ", YEAR(CompilDonnées[[#This Row],[HarvestingDate]]))</f>
        <v>11 2025</v>
      </c>
      <c r="N5096">
        <f>_xlfn.NUMBERVALUE(CompilDonnées[[#This Row],[FarmID]]&amp;CompilDonnées[[#This Row],[ModuleNumber]]&amp;CompilDonnées[[#This Row],[PlantationDate]])</f>
        <v>144145925</v>
      </c>
      <c r="O5096" t="str">
        <f>CompilDonnées[[#This Row],[FarmID]]&amp;CompilDonnées[[#This Row],[ModuleNumber]]</f>
        <v>1441</v>
      </c>
      <c r="P5096" t="str">
        <f>CompilDonnées[[#This Row],[Ref_Module]]&amp;CompilDonnées[[#This Row],[HarvestingDate]]</f>
        <v>144145978</v>
      </c>
    </row>
    <row r="5097" spans="1:16">
      <c r="A5097" s="5">
        <v>45925</v>
      </c>
      <c r="B5097">
        <v>54</v>
      </c>
      <c r="C5097" t="s">
        <v>39</v>
      </c>
      <c r="D5097">
        <v>2</v>
      </c>
      <c r="E5097">
        <v>100</v>
      </c>
      <c r="F5097" t="s">
        <v>1</v>
      </c>
      <c r="G5097" s="6">
        <v>45958</v>
      </c>
      <c r="H5097">
        <v>33</v>
      </c>
      <c r="I5097">
        <f>ROUND(CompilDonnées[[#This Row],[CultureDuration_days]]/7,0)</f>
        <v>5</v>
      </c>
      <c r="J5097">
        <v>1397</v>
      </c>
      <c r="K5097" t="str">
        <f>_xlfn.CONCAT(WEEKNUM(CompilDonnées[[#This Row],[PlantationDate]]), " ", YEAR(CompilDonnées[[#This Row],[PlantationDate]]))</f>
        <v>39 2025</v>
      </c>
      <c r="L5097" t="str">
        <f>CONCATENATE(MONTH(CompilDonnées[[#This Row],[PlantationDate]])," ", YEAR(CompilDonnées[[#This Row],[PlantationDate]]))</f>
        <v>9 2025</v>
      </c>
      <c r="M5097" t="str">
        <f>CONCATENATE(MONTH(CompilDonnées[[#This Row],[HarvestingDate]])," ", YEAR(CompilDonnées[[#This Row],[HarvestingDate]]))</f>
        <v>10 2025</v>
      </c>
      <c r="N5097">
        <f>_xlfn.NUMBERVALUE(CompilDonnées[[#This Row],[FarmID]]&amp;CompilDonnées[[#This Row],[ModuleNumber]]&amp;CompilDonnées[[#This Row],[PlantationDate]])</f>
        <v>54245925</v>
      </c>
      <c r="O5097" t="str">
        <f>CompilDonnées[[#This Row],[FarmID]]&amp;CompilDonnées[[#This Row],[ModuleNumber]]</f>
        <v>542</v>
      </c>
      <c r="P5097" t="str">
        <f>CompilDonnées[[#This Row],[Ref_Module]]&amp;CompilDonnées[[#This Row],[HarvestingDate]]</f>
        <v>54245958</v>
      </c>
    </row>
    <row r="5098" spans="1:16">
      <c r="A5098" s="5">
        <v>45925</v>
      </c>
      <c r="B5098">
        <v>53</v>
      </c>
      <c r="C5098" t="s">
        <v>83</v>
      </c>
      <c r="D5098">
        <v>1</v>
      </c>
      <c r="E5098">
        <v>100</v>
      </c>
      <c r="F5098" t="s">
        <v>1</v>
      </c>
      <c r="G5098" s="6">
        <v>45965</v>
      </c>
      <c r="H5098">
        <v>40</v>
      </c>
      <c r="I5098">
        <f>ROUND(CompilDonnées[[#This Row],[CultureDuration_days]]/7,0)</f>
        <v>6</v>
      </c>
      <c r="J5098">
        <v>1435</v>
      </c>
      <c r="K5098" t="str">
        <f>_xlfn.CONCAT(WEEKNUM(CompilDonnées[[#This Row],[PlantationDate]]), " ", YEAR(CompilDonnées[[#This Row],[PlantationDate]]))</f>
        <v>39 2025</v>
      </c>
      <c r="L5098" t="str">
        <f>CONCATENATE(MONTH(CompilDonnées[[#This Row],[PlantationDate]])," ", YEAR(CompilDonnées[[#This Row],[PlantationDate]]))</f>
        <v>9 2025</v>
      </c>
      <c r="M5098" t="str">
        <f>CONCATENATE(MONTH(CompilDonnées[[#This Row],[HarvestingDate]])," ", YEAR(CompilDonnées[[#This Row],[HarvestingDate]]))</f>
        <v>11 2025</v>
      </c>
      <c r="N5098">
        <f>_xlfn.NUMBERVALUE(CompilDonnées[[#This Row],[FarmID]]&amp;CompilDonnées[[#This Row],[ModuleNumber]]&amp;CompilDonnées[[#This Row],[PlantationDate]])</f>
        <v>53145925</v>
      </c>
      <c r="O5098" t="str">
        <f>CompilDonnées[[#This Row],[FarmID]]&amp;CompilDonnées[[#This Row],[ModuleNumber]]</f>
        <v>531</v>
      </c>
      <c r="P5098" t="str">
        <f>CompilDonnées[[#This Row],[Ref_Module]]&amp;CompilDonnées[[#This Row],[HarvestingDate]]</f>
        <v>53145965</v>
      </c>
    </row>
    <row r="5099" spans="1:16">
      <c r="A5099" s="5">
        <v>45925</v>
      </c>
      <c r="B5099">
        <v>47</v>
      </c>
      <c r="C5099" t="s">
        <v>104</v>
      </c>
      <c r="D5099">
        <v>3</v>
      </c>
      <c r="E5099">
        <v>100</v>
      </c>
      <c r="F5099" t="s">
        <v>1</v>
      </c>
      <c r="G5099" s="6">
        <v>45979</v>
      </c>
      <c r="H5099">
        <v>54</v>
      </c>
      <c r="I5099">
        <f>ROUND(CompilDonnées[[#This Row],[CultureDuration_days]]/7,0)</f>
        <v>8</v>
      </c>
      <c r="J5099">
        <v>2176</v>
      </c>
      <c r="K5099" t="str">
        <f>_xlfn.CONCAT(WEEKNUM(CompilDonnées[[#This Row],[PlantationDate]]), " ", YEAR(CompilDonnées[[#This Row],[PlantationDate]]))</f>
        <v>39 2025</v>
      </c>
      <c r="L5099" t="str">
        <f>CONCATENATE(MONTH(CompilDonnées[[#This Row],[PlantationDate]])," ", YEAR(CompilDonnées[[#This Row],[PlantationDate]]))</f>
        <v>9 2025</v>
      </c>
      <c r="M5099" t="str">
        <f>CONCATENATE(MONTH(CompilDonnées[[#This Row],[HarvestingDate]])," ", YEAR(CompilDonnées[[#This Row],[HarvestingDate]]))</f>
        <v>11 2025</v>
      </c>
      <c r="N5099">
        <f>_xlfn.NUMBERVALUE(CompilDonnées[[#This Row],[FarmID]]&amp;CompilDonnées[[#This Row],[ModuleNumber]]&amp;CompilDonnées[[#This Row],[PlantationDate]])</f>
        <v>47345925</v>
      </c>
      <c r="O5099" t="str">
        <f>CompilDonnées[[#This Row],[FarmID]]&amp;CompilDonnées[[#This Row],[ModuleNumber]]</f>
        <v>473</v>
      </c>
      <c r="P5099" t="str">
        <f>CompilDonnées[[#This Row],[Ref_Module]]&amp;CompilDonnées[[#This Row],[HarvestingDate]]</f>
        <v>47345979</v>
      </c>
    </row>
    <row r="5100" spans="1:16">
      <c r="A5100" s="5">
        <v>45925</v>
      </c>
      <c r="B5100">
        <v>46</v>
      </c>
      <c r="C5100" t="s">
        <v>8</v>
      </c>
      <c r="D5100">
        <v>2</v>
      </c>
      <c r="E5100">
        <v>100</v>
      </c>
      <c r="F5100" t="s">
        <v>1</v>
      </c>
      <c r="G5100" s="6">
        <v>45971</v>
      </c>
      <c r="H5100">
        <v>46</v>
      </c>
      <c r="I5100">
        <f>ROUND(CompilDonnées[[#This Row],[CultureDuration_days]]/7,0)</f>
        <v>7</v>
      </c>
      <c r="J5100">
        <v>3386</v>
      </c>
      <c r="K5100" t="str">
        <f>_xlfn.CONCAT(WEEKNUM(CompilDonnées[[#This Row],[PlantationDate]]), " ", YEAR(CompilDonnées[[#This Row],[PlantationDate]]))</f>
        <v>39 2025</v>
      </c>
      <c r="L5100" t="str">
        <f>CONCATENATE(MONTH(CompilDonnées[[#This Row],[PlantationDate]])," ", YEAR(CompilDonnées[[#This Row],[PlantationDate]]))</f>
        <v>9 2025</v>
      </c>
      <c r="M5100" t="str">
        <f>CONCATENATE(MONTH(CompilDonnées[[#This Row],[HarvestingDate]])," ", YEAR(CompilDonnées[[#This Row],[HarvestingDate]]))</f>
        <v>11 2025</v>
      </c>
      <c r="N5100">
        <f>_xlfn.NUMBERVALUE(CompilDonnées[[#This Row],[FarmID]]&amp;CompilDonnées[[#This Row],[ModuleNumber]]&amp;CompilDonnées[[#This Row],[PlantationDate]])</f>
        <v>46245925</v>
      </c>
      <c r="O5100" t="str">
        <f>CompilDonnées[[#This Row],[FarmID]]&amp;CompilDonnées[[#This Row],[ModuleNumber]]</f>
        <v>462</v>
      </c>
      <c r="P5100" t="str">
        <f>CompilDonnées[[#This Row],[Ref_Module]]&amp;CompilDonnées[[#This Row],[HarvestingDate]]</f>
        <v>46245971</v>
      </c>
    </row>
    <row r="5101" spans="1:16">
      <c r="A5101" s="5">
        <v>45925</v>
      </c>
      <c r="B5101">
        <v>14</v>
      </c>
      <c r="C5101" t="s">
        <v>82</v>
      </c>
      <c r="D5101">
        <v>1</v>
      </c>
      <c r="E5101">
        <v>100</v>
      </c>
      <c r="F5101" t="s">
        <v>1</v>
      </c>
      <c r="G5101" s="6">
        <v>45971</v>
      </c>
      <c r="H5101">
        <v>46</v>
      </c>
      <c r="I5101">
        <f>ROUND(CompilDonnées[[#This Row],[CultureDuration_days]]/7,0)</f>
        <v>7</v>
      </c>
      <c r="J5101">
        <v>2541</v>
      </c>
      <c r="K5101" t="str">
        <f>_xlfn.CONCAT(WEEKNUM(CompilDonnées[[#This Row],[PlantationDate]]), " ", YEAR(CompilDonnées[[#This Row],[PlantationDate]]))</f>
        <v>39 2025</v>
      </c>
      <c r="L5101" t="str">
        <f>CONCATENATE(MONTH(CompilDonnées[[#This Row],[PlantationDate]])," ", YEAR(CompilDonnées[[#This Row],[PlantationDate]]))</f>
        <v>9 2025</v>
      </c>
      <c r="M5101" t="str">
        <f>CONCATENATE(MONTH(CompilDonnées[[#This Row],[HarvestingDate]])," ", YEAR(CompilDonnées[[#This Row],[HarvestingDate]]))</f>
        <v>11 2025</v>
      </c>
      <c r="N5101">
        <f>_xlfn.NUMBERVALUE(CompilDonnées[[#This Row],[FarmID]]&amp;CompilDonnées[[#This Row],[ModuleNumber]]&amp;CompilDonnées[[#This Row],[PlantationDate]])</f>
        <v>14145925</v>
      </c>
      <c r="O5101" t="str">
        <f>CompilDonnées[[#This Row],[FarmID]]&amp;CompilDonnées[[#This Row],[ModuleNumber]]</f>
        <v>141</v>
      </c>
      <c r="P5101" t="str">
        <f>CompilDonnées[[#This Row],[Ref_Module]]&amp;CompilDonnées[[#This Row],[HarvestingDate]]</f>
        <v>14145971</v>
      </c>
    </row>
    <row r="5102" spans="1:16">
      <c r="A5102" s="5">
        <v>45925</v>
      </c>
      <c r="B5102">
        <v>56</v>
      </c>
      <c r="C5102" t="s">
        <v>6</v>
      </c>
      <c r="D5102">
        <v>5</v>
      </c>
      <c r="E5102">
        <v>100</v>
      </c>
      <c r="F5102" t="s">
        <v>1</v>
      </c>
      <c r="G5102" s="6">
        <v>45972</v>
      </c>
      <c r="H5102">
        <v>47</v>
      </c>
      <c r="I5102">
        <f>ROUND(CompilDonnées[[#This Row],[CultureDuration_days]]/7,0)</f>
        <v>7</v>
      </c>
      <c r="J5102">
        <v>2518</v>
      </c>
      <c r="K5102" t="str">
        <f>_xlfn.CONCAT(WEEKNUM(CompilDonnées[[#This Row],[PlantationDate]]), " ", YEAR(CompilDonnées[[#This Row],[PlantationDate]]))</f>
        <v>39 2025</v>
      </c>
      <c r="L5102" t="str">
        <f>CONCATENATE(MONTH(CompilDonnées[[#This Row],[PlantationDate]])," ", YEAR(CompilDonnées[[#This Row],[PlantationDate]]))</f>
        <v>9 2025</v>
      </c>
      <c r="M5102" t="str">
        <f>CONCATENATE(MONTH(CompilDonnées[[#This Row],[HarvestingDate]])," ", YEAR(CompilDonnées[[#This Row],[HarvestingDate]]))</f>
        <v>11 2025</v>
      </c>
      <c r="N5102">
        <f>_xlfn.NUMBERVALUE(CompilDonnées[[#This Row],[FarmID]]&amp;CompilDonnées[[#This Row],[ModuleNumber]]&amp;CompilDonnées[[#This Row],[PlantationDate]])</f>
        <v>56545925</v>
      </c>
      <c r="O5102" t="str">
        <f>CompilDonnées[[#This Row],[FarmID]]&amp;CompilDonnées[[#This Row],[ModuleNumber]]</f>
        <v>565</v>
      </c>
      <c r="P5102" t="str">
        <f>CompilDonnées[[#This Row],[Ref_Module]]&amp;CompilDonnées[[#This Row],[HarvestingDate]]</f>
        <v>56545972</v>
      </c>
    </row>
    <row r="5103" spans="1:16">
      <c r="A5103" s="5">
        <v>45925</v>
      </c>
      <c r="B5103">
        <v>56</v>
      </c>
      <c r="C5103" t="s">
        <v>6</v>
      </c>
      <c r="D5103">
        <v>6</v>
      </c>
      <c r="E5103">
        <v>100</v>
      </c>
      <c r="F5103" t="s">
        <v>1</v>
      </c>
      <c r="G5103" s="6">
        <v>45972</v>
      </c>
      <c r="H5103">
        <v>47</v>
      </c>
      <c r="I5103">
        <f>ROUND(CompilDonnées[[#This Row],[CultureDuration_days]]/7,0)</f>
        <v>7</v>
      </c>
      <c r="J5103">
        <v>2672</v>
      </c>
      <c r="K5103" t="str">
        <f>_xlfn.CONCAT(WEEKNUM(CompilDonnées[[#This Row],[PlantationDate]]), " ", YEAR(CompilDonnées[[#This Row],[PlantationDate]]))</f>
        <v>39 2025</v>
      </c>
      <c r="L5103" t="str">
        <f>CONCATENATE(MONTH(CompilDonnées[[#This Row],[PlantationDate]])," ", YEAR(CompilDonnées[[#This Row],[PlantationDate]]))</f>
        <v>9 2025</v>
      </c>
      <c r="M5103" t="str">
        <f>CONCATENATE(MONTH(CompilDonnées[[#This Row],[HarvestingDate]])," ", YEAR(CompilDonnées[[#This Row],[HarvestingDate]]))</f>
        <v>11 2025</v>
      </c>
      <c r="N5103">
        <f>_xlfn.NUMBERVALUE(CompilDonnées[[#This Row],[FarmID]]&amp;CompilDonnées[[#This Row],[ModuleNumber]]&amp;CompilDonnées[[#This Row],[PlantationDate]])</f>
        <v>56645925</v>
      </c>
      <c r="O5103" t="str">
        <f>CompilDonnées[[#This Row],[FarmID]]&amp;CompilDonnées[[#This Row],[ModuleNumber]]</f>
        <v>566</v>
      </c>
      <c r="P5103" t="str">
        <f>CompilDonnées[[#This Row],[Ref_Module]]&amp;CompilDonnées[[#This Row],[HarvestingDate]]</f>
        <v>56645972</v>
      </c>
    </row>
    <row r="5104" spans="1:16">
      <c r="A5104" s="5">
        <v>45925</v>
      </c>
      <c r="B5104">
        <v>58</v>
      </c>
      <c r="C5104" t="s">
        <v>35</v>
      </c>
      <c r="D5104">
        <v>2</v>
      </c>
      <c r="E5104">
        <v>100</v>
      </c>
      <c r="F5104" t="s">
        <v>1</v>
      </c>
      <c r="G5104" s="6">
        <v>45973</v>
      </c>
      <c r="H5104">
        <v>48</v>
      </c>
      <c r="I5104">
        <f>ROUND(CompilDonnées[[#This Row],[CultureDuration_days]]/7,0)</f>
        <v>7</v>
      </c>
      <c r="J5104">
        <v>2960</v>
      </c>
      <c r="K5104" t="str">
        <f>_xlfn.CONCAT(WEEKNUM(CompilDonnées[[#This Row],[PlantationDate]]), " ", YEAR(CompilDonnées[[#This Row],[PlantationDate]]))</f>
        <v>39 2025</v>
      </c>
      <c r="L5104" t="str">
        <f>CONCATENATE(MONTH(CompilDonnées[[#This Row],[PlantationDate]])," ", YEAR(CompilDonnées[[#This Row],[PlantationDate]]))</f>
        <v>9 2025</v>
      </c>
      <c r="M5104" t="str">
        <f>CONCATENATE(MONTH(CompilDonnées[[#This Row],[HarvestingDate]])," ", YEAR(CompilDonnées[[#This Row],[HarvestingDate]]))</f>
        <v>11 2025</v>
      </c>
      <c r="N5104">
        <f>_xlfn.NUMBERVALUE(CompilDonnées[[#This Row],[FarmID]]&amp;CompilDonnées[[#This Row],[ModuleNumber]]&amp;CompilDonnées[[#This Row],[PlantationDate]])</f>
        <v>58245925</v>
      </c>
      <c r="O5104" t="str">
        <f>CompilDonnées[[#This Row],[FarmID]]&amp;CompilDonnées[[#This Row],[ModuleNumber]]</f>
        <v>582</v>
      </c>
      <c r="P5104" t="str">
        <f>CompilDonnées[[#This Row],[Ref_Module]]&amp;CompilDonnées[[#This Row],[HarvestingDate]]</f>
        <v>58245973</v>
      </c>
    </row>
    <row r="5105" spans="1:16">
      <c r="A5105" s="5">
        <v>45925</v>
      </c>
      <c r="B5105">
        <v>48</v>
      </c>
      <c r="C5105" t="s">
        <v>71</v>
      </c>
      <c r="D5105">
        <v>5</v>
      </c>
      <c r="E5105">
        <v>100</v>
      </c>
      <c r="F5105" t="s">
        <v>1</v>
      </c>
      <c r="G5105" s="6">
        <v>45972</v>
      </c>
      <c r="H5105">
        <v>47</v>
      </c>
      <c r="I5105">
        <f>ROUND(CompilDonnées[[#This Row],[CultureDuration_days]]/7,0)</f>
        <v>7</v>
      </c>
      <c r="J5105">
        <v>1774</v>
      </c>
      <c r="K5105" t="str">
        <f>_xlfn.CONCAT(WEEKNUM(CompilDonnées[[#This Row],[PlantationDate]]), " ", YEAR(CompilDonnées[[#This Row],[PlantationDate]]))</f>
        <v>39 2025</v>
      </c>
      <c r="L5105" t="str">
        <f>CONCATENATE(MONTH(CompilDonnées[[#This Row],[PlantationDate]])," ", YEAR(CompilDonnées[[#This Row],[PlantationDate]]))</f>
        <v>9 2025</v>
      </c>
      <c r="M5105" t="str">
        <f>CONCATENATE(MONTH(CompilDonnées[[#This Row],[HarvestingDate]])," ", YEAR(CompilDonnées[[#This Row],[HarvestingDate]]))</f>
        <v>11 2025</v>
      </c>
      <c r="N5105">
        <f>_xlfn.NUMBERVALUE(CompilDonnées[[#This Row],[FarmID]]&amp;CompilDonnées[[#This Row],[ModuleNumber]]&amp;CompilDonnées[[#This Row],[PlantationDate]])</f>
        <v>48545925</v>
      </c>
      <c r="O5105" t="str">
        <f>CompilDonnées[[#This Row],[FarmID]]&amp;CompilDonnées[[#This Row],[ModuleNumber]]</f>
        <v>485</v>
      </c>
      <c r="P5105" t="str">
        <f>CompilDonnées[[#This Row],[Ref_Module]]&amp;CompilDonnées[[#This Row],[HarvestingDate]]</f>
        <v>48545972</v>
      </c>
    </row>
    <row r="5106" spans="1:16">
      <c r="A5106" s="5">
        <v>45925</v>
      </c>
      <c r="B5106">
        <v>66</v>
      </c>
      <c r="C5106" t="s">
        <v>48</v>
      </c>
      <c r="D5106">
        <v>1</v>
      </c>
      <c r="E5106">
        <v>100</v>
      </c>
      <c r="F5106" t="s">
        <v>1</v>
      </c>
      <c r="G5106" s="6">
        <v>45965</v>
      </c>
      <c r="H5106">
        <v>40</v>
      </c>
      <c r="I5106">
        <f>ROUND(CompilDonnées[[#This Row],[CultureDuration_days]]/7,0)</f>
        <v>6</v>
      </c>
      <c r="J5106">
        <v>2172</v>
      </c>
      <c r="K5106" t="str">
        <f>_xlfn.CONCAT(WEEKNUM(CompilDonnées[[#This Row],[PlantationDate]]), " ", YEAR(CompilDonnées[[#This Row],[PlantationDate]]))</f>
        <v>39 2025</v>
      </c>
      <c r="L5106" t="str">
        <f>CONCATENATE(MONTH(CompilDonnées[[#This Row],[PlantationDate]])," ", YEAR(CompilDonnées[[#This Row],[PlantationDate]]))</f>
        <v>9 2025</v>
      </c>
      <c r="M5106" t="str">
        <f>CONCATENATE(MONTH(CompilDonnées[[#This Row],[HarvestingDate]])," ", YEAR(CompilDonnées[[#This Row],[HarvestingDate]]))</f>
        <v>11 2025</v>
      </c>
      <c r="N5106">
        <f>_xlfn.NUMBERVALUE(CompilDonnées[[#This Row],[FarmID]]&amp;CompilDonnées[[#This Row],[ModuleNumber]]&amp;CompilDonnées[[#This Row],[PlantationDate]])</f>
        <v>66145925</v>
      </c>
      <c r="O5106" t="str">
        <f>CompilDonnées[[#This Row],[FarmID]]&amp;CompilDonnées[[#This Row],[ModuleNumber]]</f>
        <v>661</v>
      </c>
      <c r="P5106" t="str">
        <f>CompilDonnées[[#This Row],[Ref_Module]]&amp;CompilDonnées[[#This Row],[HarvestingDate]]</f>
        <v>66145965</v>
      </c>
    </row>
    <row r="5107" spans="1:16">
      <c r="A5107" s="5">
        <v>45925</v>
      </c>
      <c r="B5107">
        <v>45</v>
      </c>
      <c r="C5107" t="s">
        <v>77</v>
      </c>
      <c r="D5107">
        <v>5</v>
      </c>
      <c r="E5107">
        <v>100</v>
      </c>
      <c r="F5107" t="s">
        <v>1</v>
      </c>
      <c r="G5107" s="6">
        <v>45972</v>
      </c>
      <c r="H5107">
        <v>47</v>
      </c>
      <c r="I5107">
        <f>ROUND(CompilDonnées[[#This Row],[CultureDuration_days]]/7,0)</f>
        <v>7</v>
      </c>
      <c r="J5107">
        <v>4137</v>
      </c>
      <c r="K5107" t="str">
        <f>_xlfn.CONCAT(WEEKNUM(CompilDonnées[[#This Row],[PlantationDate]]), " ", YEAR(CompilDonnées[[#This Row],[PlantationDate]]))</f>
        <v>39 2025</v>
      </c>
      <c r="L5107" t="str">
        <f>CONCATENATE(MONTH(CompilDonnées[[#This Row],[PlantationDate]])," ", YEAR(CompilDonnées[[#This Row],[PlantationDate]]))</f>
        <v>9 2025</v>
      </c>
      <c r="M5107" t="str">
        <f>CONCATENATE(MONTH(CompilDonnées[[#This Row],[HarvestingDate]])," ", YEAR(CompilDonnées[[#This Row],[HarvestingDate]]))</f>
        <v>11 2025</v>
      </c>
      <c r="N5107">
        <f>_xlfn.NUMBERVALUE(CompilDonnées[[#This Row],[FarmID]]&amp;CompilDonnées[[#This Row],[ModuleNumber]]&amp;CompilDonnées[[#This Row],[PlantationDate]])</f>
        <v>45545925</v>
      </c>
      <c r="O5107" t="str">
        <f>CompilDonnées[[#This Row],[FarmID]]&amp;CompilDonnées[[#This Row],[ModuleNumber]]</f>
        <v>455</v>
      </c>
      <c r="P5107" t="str">
        <f>CompilDonnées[[#This Row],[Ref_Module]]&amp;CompilDonnées[[#This Row],[HarvestingDate]]</f>
        <v>45545972</v>
      </c>
    </row>
    <row r="5108" spans="1:16">
      <c r="A5108" s="5">
        <v>45925</v>
      </c>
      <c r="B5108">
        <v>44</v>
      </c>
      <c r="C5108" t="s">
        <v>42</v>
      </c>
      <c r="D5108">
        <v>3</v>
      </c>
      <c r="E5108">
        <v>100</v>
      </c>
      <c r="F5108" t="s">
        <v>1</v>
      </c>
      <c r="G5108" s="6">
        <v>45971</v>
      </c>
      <c r="H5108">
        <v>46</v>
      </c>
      <c r="I5108">
        <f>ROUND(CompilDonnées[[#This Row],[CultureDuration_days]]/7,0)</f>
        <v>7</v>
      </c>
      <c r="J5108">
        <v>2489</v>
      </c>
      <c r="K5108" t="str">
        <f>_xlfn.CONCAT(WEEKNUM(CompilDonnées[[#This Row],[PlantationDate]]), " ", YEAR(CompilDonnées[[#This Row],[PlantationDate]]))</f>
        <v>39 2025</v>
      </c>
      <c r="L5108" t="str">
        <f>CONCATENATE(MONTH(CompilDonnées[[#This Row],[PlantationDate]])," ", YEAR(CompilDonnées[[#This Row],[PlantationDate]]))</f>
        <v>9 2025</v>
      </c>
      <c r="M5108" t="str">
        <f>CONCATENATE(MONTH(CompilDonnées[[#This Row],[HarvestingDate]])," ", YEAR(CompilDonnées[[#This Row],[HarvestingDate]]))</f>
        <v>11 2025</v>
      </c>
      <c r="N5108">
        <f>_xlfn.NUMBERVALUE(CompilDonnées[[#This Row],[FarmID]]&amp;CompilDonnées[[#This Row],[ModuleNumber]]&amp;CompilDonnées[[#This Row],[PlantationDate]])</f>
        <v>44345925</v>
      </c>
      <c r="O5108" t="str">
        <f>CompilDonnées[[#This Row],[FarmID]]&amp;CompilDonnées[[#This Row],[ModuleNumber]]</f>
        <v>443</v>
      </c>
      <c r="P5108" t="str">
        <f>CompilDonnées[[#This Row],[Ref_Module]]&amp;CompilDonnées[[#This Row],[HarvestingDate]]</f>
        <v>44345971</v>
      </c>
    </row>
    <row r="5109" spans="1:16">
      <c r="A5109" s="5">
        <v>45925</v>
      </c>
      <c r="B5109">
        <v>42</v>
      </c>
      <c r="C5109" t="s">
        <v>119</v>
      </c>
      <c r="D5109">
        <v>4</v>
      </c>
      <c r="E5109">
        <v>100</v>
      </c>
      <c r="F5109" t="s">
        <v>1</v>
      </c>
      <c r="G5109" s="6">
        <v>45966</v>
      </c>
      <c r="H5109">
        <v>41</v>
      </c>
      <c r="I5109">
        <f>ROUND(CompilDonnées[[#This Row],[CultureDuration_days]]/7,0)</f>
        <v>6</v>
      </c>
      <c r="J5109">
        <v>2485</v>
      </c>
      <c r="K5109" t="str">
        <f>_xlfn.CONCAT(WEEKNUM(CompilDonnées[[#This Row],[PlantationDate]]), " ", YEAR(CompilDonnées[[#This Row],[PlantationDate]]))</f>
        <v>39 2025</v>
      </c>
      <c r="L5109" t="str">
        <f>CONCATENATE(MONTH(CompilDonnées[[#This Row],[PlantationDate]])," ", YEAR(CompilDonnées[[#This Row],[PlantationDate]]))</f>
        <v>9 2025</v>
      </c>
      <c r="M5109" t="str">
        <f>CONCATENATE(MONTH(CompilDonnées[[#This Row],[HarvestingDate]])," ", YEAR(CompilDonnées[[#This Row],[HarvestingDate]]))</f>
        <v>11 2025</v>
      </c>
      <c r="N5109">
        <f>_xlfn.NUMBERVALUE(CompilDonnées[[#This Row],[FarmID]]&amp;CompilDonnées[[#This Row],[ModuleNumber]]&amp;CompilDonnées[[#This Row],[PlantationDate]])</f>
        <v>42445925</v>
      </c>
      <c r="O5109" t="str">
        <f>CompilDonnées[[#This Row],[FarmID]]&amp;CompilDonnées[[#This Row],[ModuleNumber]]</f>
        <v>424</v>
      </c>
      <c r="P5109" t="str">
        <f>CompilDonnées[[#This Row],[Ref_Module]]&amp;CompilDonnées[[#This Row],[HarvestingDate]]</f>
        <v>42445966</v>
      </c>
    </row>
    <row r="5110" spans="1:16">
      <c r="A5110" s="5">
        <v>45925</v>
      </c>
      <c r="B5110">
        <v>38</v>
      </c>
      <c r="C5110" t="s">
        <v>34</v>
      </c>
      <c r="D5110">
        <v>1</v>
      </c>
      <c r="E5110">
        <v>100</v>
      </c>
      <c r="F5110" t="s">
        <v>1</v>
      </c>
      <c r="G5110" s="6">
        <v>45971</v>
      </c>
      <c r="H5110">
        <v>46</v>
      </c>
      <c r="I5110">
        <f>ROUND(CompilDonnées[[#This Row],[CultureDuration_days]]/7,0)</f>
        <v>7</v>
      </c>
      <c r="J5110">
        <v>3737</v>
      </c>
      <c r="K5110" t="str">
        <f>_xlfn.CONCAT(WEEKNUM(CompilDonnées[[#This Row],[PlantationDate]]), " ", YEAR(CompilDonnées[[#This Row],[PlantationDate]]))</f>
        <v>39 2025</v>
      </c>
      <c r="L5110" t="str">
        <f>CONCATENATE(MONTH(CompilDonnées[[#This Row],[PlantationDate]])," ", YEAR(CompilDonnées[[#This Row],[PlantationDate]]))</f>
        <v>9 2025</v>
      </c>
      <c r="M5110" t="str">
        <f>CONCATENATE(MONTH(CompilDonnées[[#This Row],[HarvestingDate]])," ", YEAR(CompilDonnées[[#This Row],[HarvestingDate]]))</f>
        <v>11 2025</v>
      </c>
      <c r="N5110">
        <f>_xlfn.NUMBERVALUE(CompilDonnées[[#This Row],[FarmID]]&amp;CompilDonnées[[#This Row],[ModuleNumber]]&amp;CompilDonnées[[#This Row],[PlantationDate]])</f>
        <v>38145925</v>
      </c>
      <c r="O5110" t="str">
        <f>CompilDonnées[[#This Row],[FarmID]]&amp;CompilDonnées[[#This Row],[ModuleNumber]]</f>
        <v>381</v>
      </c>
      <c r="P5110" t="str">
        <f>CompilDonnées[[#This Row],[Ref_Module]]&amp;CompilDonnées[[#This Row],[HarvestingDate]]</f>
        <v>38145971</v>
      </c>
    </row>
    <row r="5111" spans="1:16">
      <c r="A5111" s="5">
        <v>45925</v>
      </c>
      <c r="B5111">
        <v>37</v>
      </c>
      <c r="C5111" t="s">
        <v>26</v>
      </c>
      <c r="D5111">
        <v>6</v>
      </c>
      <c r="E5111">
        <v>100</v>
      </c>
      <c r="F5111" t="s">
        <v>1</v>
      </c>
      <c r="G5111" s="6">
        <v>45971</v>
      </c>
      <c r="H5111">
        <v>46</v>
      </c>
      <c r="I5111">
        <f>ROUND(CompilDonnées[[#This Row],[CultureDuration_days]]/7,0)</f>
        <v>7</v>
      </c>
      <c r="J5111">
        <v>3069</v>
      </c>
      <c r="K5111" t="str">
        <f>_xlfn.CONCAT(WEEKNUM(CompilDonnées[[#This Row],[PlantationDate]]), " ", YEAR(CompilDonnées[[#This Row],[PlantationDate]]))</f>
        <v>39 2025</v>
      </c>
      <c r="L5111" t="str">
        <f>CONCATENATE(MONTH(CompilDonnées[[#This Row],[PlantationDate]])," ", YEAR(CompilDonnées[[#This Row],[PlantationDate]]))</f>
        <v>9 2025</v>
      </c>
      <c r="M5111" t="str">
        <f>CONCATENATE(MONTH(CompilDonnées[[#This Row],[HarvestingDate]])," ", YEAR(CompilDonnées[[#This Row],[HarvestingDate]]))</f>
        <v>11 2025</v>
      </c>
      <c r="N5111">
        <f>_xlfn.NUMBERVALUE(CompilDonnées[[#This Row],[FarmID]]&amp;CompilDonnées[[#This Row],[ModuleNumber]]&amp;CompilDonnées[[#This Row],[PlantationDate]])</f>
        <v>37645925</v>
      </c>
      <c r="O5111" t="str">
        <f>CompilDonnées[[#This Row],[FarmID]]&amp;CompilDonnées[[#This Row],[ModuleNumber]]</f>
        <v>376</v>
      </c>
      <c r="P5111" t="str">
        <f>CompilDonnées[[#This Row],[Ref_Module]]&amp;CompilDonnées[[#This Row],[HarvestingDate]]</f>
        <v>37645971</v>
      </c>
    </row>
    <row r="5112" spans="1:16">
      <c r="A5112" s="5">
        <v>45925</v>
      </c>
      <c r="B5112">
        <v>35</v>
      </c>
      <c r="C5112" t="s">
        <v>69</v>
      </c>
      <c r="D5112">
        <v>1</v>
      </c>
      <c r="E5112">
        <v>100</v>
      </c>
      <c r="F5112" t="s">
        <v>1</v>
      </c>
      <c r="G5112" s="6">
        <v>45971</v>
      </c>
      <c r="H5112">
        <v>46</v>
      </c>
      <c r="I5112">
        <f>ROUND(CompilDonnées[[#This Row],[CultureDuration_days]]/7,0)</f>
        <v>7</v>
      </c>
      <c r="J5112">
        <v>1327</v>
      </c>
      <c r="K5112" t="str">
        <f>_xlfn.CONCAT(WEEKNUM(CompilDonnées[[#This Row],[PlantationDate]]), " ", YEAR(CompilDonnées[[#This Row],[PlantationDate]]))</f>
        <v>39 2025</v>
      </c>
      <c r="L5112" t="str">
        <f>CONCATENATE(MONTH(CompilDonnées[[#This Row],[PlantationDate]])," ", YEAR(CompilDonnées[[#This Row],[PlantationDate]]))</f>
        <v>9 2025</v>
      </c>
      <c r="M5112" t="str">
        <f>CONCATENATE(MONTH(CompilDonnées[[#This Row],[HarvestingDate]])," ", YEAR(CompilDonnées[[#This Row],[HarvestingDate]]))</f>
        <v>11 2025</v>
      </c>
      <c r="N5112">
        <f>_xlfn.NUMBERVALUE(CompilDonnées[[#This Row],[FarmID]]&amp;CompilDonnées[[#This Row],[ModuleNumber]]&amp;CompilDonnées[[#This Row],[PlantationDate]])</f>
        <v>35145925</v>
      </c>
      <c r="O5112" t="str">
        <f>CompilDonnées[[#This Row],[FarmID]]&amp;CompilDonnées[[#This Row],[ModuleNumber]]</f>
        <v>351</v>
      </c>
      <c r="P5112" t="str">
        <f>CompilDonnées[[#This Row],[Ref_Module]]&amp;CompilDonnées[[#This Row],[HarvestingDate]]</f>
        <v>35145971</v>
      </c>
    </row>
    <row r="5113" spans="1:16">
      <c r="A5113" s="5">
        <v>45925</v>
      </c>
      <c r="B5113">
        <v>24</v>
      </c>
      <c r="C5113" t="s">
        <v>31</v>
      </c>
      <c r="D5113">
        <v>4</v>
      </c>
      <c r="E5113">
        <v>100</v>
      </c>
      <c r="F5113" t="s">
        <v>1</v>
      </c>
      <c r="G5113" s="6">
        <v>45971</v>
      </c>
      <c r="H5113">
        <v>46</v>
      </c>
      <c r="I5113">
        <f>ROUND(CompilDonnées[[#This Row],[CultureDuration_days]]/7,0)</f>
        <v>7</v>
      </c>
      <c r="J5113">
        <v>3480</v>
      </c>
      <c r="K5113" t="str">
        <f>_xlfn.CONCAT(WEEKNUM(CompilDonnées[[#This Row],[PlantationDate]]), " ", YEAR(CompilDonnées[[#This Row],[PlantationDate]]))</f>
        <v>39 2025</v>
      </c>
      <c r="L5113" t="str">
        <f>CONCATENATE(MONTH(CompilDonnées[[#This Row],[PlantationDate]])," ", YEAR(CompilDonnées[[#This Row],[PlantationDate]]))</f>
        <v>9 2025</v>
      </c>
      <c r="M5113" t="str">
        <f>CONCATENATE(MONTH(CompilDonnées[[#This Row],[HarvestingDate]])," ", YEAR(CompilDonnées[[#This Row],[HarvestingDate]]))</f>
        <v>11 2025</v>
      </c>
      <c r="N5113">
        <f>_xlfn.NUMBERVALUE(CompilDonnées[[#This Row],[FarmID]]&amp;CompilDonnées[[#This Row],[ModuleNumber]]&amp;CompilDonnées[[#This Row],[PlantationDate]])</f>
        <v>24445925</v>
      </c>
      <c r="O5113" t="str">
        <f>CompilDonnées[[#This Row],[FarmID]]&amp;CompilDonnées[[#This Row],[ModuleNumber]]</f>
        <v>244</v>
      </c>
      <c r="P5113" t="str">
        <f>CompilDonnées[[#This Row],[Ref_Module]]&amp;CompilDonnées[[#This Row],[HarvestingDate]]</f>
        <v>24445971</v>
      </c>
    </row>
    <row r="5114" spans="1:16">
      <c r="A5114" s="5">
        <v>45925</v>
      </c>
      <c r="B5114">
        <v>23</v>
      </c>
      <c r="C5114" t="s">
        <v>44</v>
      </c>
      <c r="D5114">
        <v>3</v>
      </c>
      <c r="E5114">
        <v>100</v>
      </c>
      <c r="F5114" t="s">
        <v>1</v>
      </c>
      <c r="G5114" s="6">
        <v>45971</v>
      </c>
      <c r="H5114">
        <v>46</v>
      </c>
      <c r="I5114">
        <f>ROUND(CompilDonnées[[#This Row],[CultureDuration_days]]/7,0)</f>
        <v>7</v>
      </c>
      <c r="J5114">
        <v>2196</v>
      </c>
      <c r="K5114" t="str">
        <f>_xlfn.CONCAT(WEEKNUM(CompilDonnées[[#This Row],[PlantationDate]]), " ", YEAR(CompilDonnées[[#This Row],[PlantationDate]]))</f>
        <v>39 2025</v>
      </c>
      <c r="L5114" t="str">
        <f>CONCATENATE(MONTH(CompilDonnées[[#This Row],[PlantationDate]])," ", YEAR(CompilDonnées[[#This Row],[PlantationDate]]))</f>
        <v>9 2025</v>
      </c>
      <c r="M5114" t="str">
        <f>CONCATENATE(MONTH(CompilDonnées[[#This Row],[HarvestingDate]])," ", YEAR(CompilDonnées[[#This Row],[HarvestingDate]]))</f>
        <v>11 2025</v>
      </c>
      <c r="N5114">
        <f>_xlfn.NUMBERVALUE(CompilDonnées[[#This Row],[FarmID]]&amp;CompilDonnées[[#This Row],[ModuleNumber]]&amp;CompilDonnées[[#This Row],[PlantationDate]])</f>
        <v>23345925</v>
      </c>
      <c r="O5114" t="str">
        <f>CompilDonnées[[#This Row],[FarmID]]&amp;CompilDonnées[[#This Row],[ModuleNumber]]</f>
        <v>233</v>
      </c>
      <c r="P5114" t="str">
        <f>CompilDonnées[[#This Row],[Ref_Module]]&amp;CompilDonnées[[#This Row],[HarvestingDate]]</f>
        <v>23345971</v>
      </c>
    </row>
    <row r="5115" spans="1:16">
      <c r="A5115" s="5">
        <v>45925</v>
      </c>
      <c r="B5115">
        <v>18</v>
      </c>
      <c r="C5115" t="s">
        <v>33</v>
      </c>
      <c r="D5115">
        <v>6</v>
      </c>
      <c r="E5115">
        <v>100</v>
      </c>
      <c r="F5115" t="s">
        <v>1</v>
      </c>
      <c r="G5115" s="6">
        <v>45971</v>
      </c>
      <c r="H5115">
        <v>46</v>
      </c>
      <c r="I5115">
        <f>ROUND(CompilDonnées[[#This Row],[CultureDuration_days]]/7,0)</f>
        <v>7</v>
      </c>
      <c r="J5115">
        <v>3900</v>
      </c>
      <c r="K5115" t="str">
        <f>_xlfn.CONCAT(WEEKNUM(CompilDonnées[[#This Row],[PlantationDate]]), " ", YEAR(CompilDonnées[[#This Row],[PlantationDate]]))</f>
        <v>39 2025</v>
      </c>
      <c r="L5115" t="str">
        <f>CONCATENATE(MONTH(CompilDonnées[[#This Row],[PlantationDate]])," ", YEAR(CompilDonnées[[#This Row],[PlantationDate]]))</f>
        <v>9 2025</v>
      </c>
      <c r="M5115" t="str">
        <f>CONCATENATE(MONTH(CompilDonnées[[#This Row],[HarvestingDate]])," ", YEAR(CompilDonnées[[#This Row],[HarvestingDate]]))</f>
        <v>11 2025</v>
      </c>
      <c r="N5115">
        <f>_xlfn.NUMBERVALUE(CompilDonnées[[#This Row],[FarmID]]&amp;CompilDonnées[[#This Row],[ModuleNumber]]&amp;CompilDonnées[[#This Row],[PlantationDate]])</f>
        <v>18645925</v>
      </c>
      <c r="O5115" t="str">
        <f>CompilDonnées[[#This Row],[FarmID]]&amp;CompilDonnées[[#This Row],[ModuleNumber]]</f>
        <v>186</v>
      </c>
      <c r="P5115" t="str">
        <f>CompilDonnées[[#This Row],[Ref_Module]]&amp;CompilDonnées[[#This Row],[HarvestingDate]]</f>
        <v>18645971</v>
      </c>
    </row>
    <row r="5116" spans="1:16">
      <c r="A5116" s="5">
        <v>45925</v>
      </c>
      <c r="B5116">
        <v>16</v>
      </c>
      <c r="C5116" t="s">
        <v>112</v>
      </c>
      <c r="D5116">
        <v>2</v>
      </c>
      <c r="E5116">
        <v>100</v>
      </c>
      <c r="F5116" t="s">
        <v>1</v>
      </c>
      <c r="G5116" s="6">
        <v>45979</v>
      </c>
      <c r="H5116">
        <v>54</v>
      </c>
      <c r="I5116">
        <f>ROUND(CompilDonnées[[#This Row],[CultureDuration_days]]/7,0)</f>
        <v>8</v>
      </c>
      <c r="J5116">
        <v>1751</v>
      </c>
      <c r="K5116" t="str">
        <f>_xlfn.CONCAT(WEEKNUM(CompilDonnées[[#This Row],[PlantationDate]]), " ", YEAR(CompilDonnées[[#This Row],[PlantationDate]]))</f>
        <v>39 2025</v>
      </c>
      <c r="L5116" t="str">
        <f>CONCATENATE(MONTH(CompilDonnées[[#This Row],[PlantationDate]])," ", YEAR(CompilDonnées[[#This Row],[PlantationDate]]))</f>
        <v>9 2025</v>
      </c>
      <c r="M5116" t="str">
        <f>CONCATENATE(MONTH(CompilDonnées[[#This Row],[HarvestingDate]])," ", YEAR(CompilDonnées[[#This Row],[HarvestingDate]]))</f>
        <v>11 2025</v>
      </c>
      <c r="N5116">
        <f>_xlfn.NUMBERVALUE(CompilDonnées[[#This Row],[FarmID]]&amp;CompilDonnées[[#This Row],[ModuleNumber]]&amp;CompilDonnées[[#This Row],[PlantationDate]])</f>
        <v>16245925</v>
      </c>
      <c r="O5116" t="str">
        <f>CompilDonnées[[#This Row],[FarmID]]&amp;CompilDonnées[[#This Row],[ModuleNumber]]</f>
        <v>162</v>
      </c>
      <c r="P5116" t="str">
        <f>CompilDonnées[[#This Row],[Ref_Module]]&amp;CompilDonnées[[#This Row],[HarvestingDate]]</f>
        <v>16245979</v>
      </c>
    </row>
    <row r="5117" spans="1:16">
      <c r="A5117" s="5">
        <v>45925</v>
      </c>
      <c r="B5117">
        <v>15</v>
      </c>
      <c r="C5117" t="s">
        <v>5</v>
      </c>
      <c r="D5117">
        <v>3</v>
      </c>
      <c r="E5117">
        <v>100</v>
      </c>
      <c r="F5117" t="s">
        <v>1</v>
      </c>
      <c r="G5117" s="6">
        <v>45971</v>
      </c>
      <c r="H5117">
        <v>46</v>
      </c>
      <c r="I5117">
        <f>ROUND(CompilDonnées[[#This Row],[CultureDuration_days]]/7,0)</f>
        <v>7</v>
      </c>
      <c r="J5117">
        <v>1415</v>
      </c>
      <c r="K5117" t="str">
        <f>_xlfn.CONCAT(WEEKNUM(CompilDonnées[[#This Row],[PlantationDate]]), " ", YEAR(CompilDonnées[[#This Row],[PlantationDate]]))</f>
        <v>39 2025</v>
      </c>
      <c r="L5117" t="str">
        <f>CONCATENATE(MONTH(CompilDonnées[[#This Row],[PlantationDate]])," ", YEAR(CompilDonnées[[#This Row],[PlantationDate]]))</f>
        <v>9 2025</v>
      </c>
      <c r="M5117" t="str">
        <f>CONCATENATE(MONTH(CompilDonnées[[#This Row],[HarvestingDate]])," ", YEAR(CompilDonnées[[#This Row],[HarvestingDate]]))</f>
        <v>11 2025</v>
      </c>
      <c r="N5117">
        <f>_xlfn.NUMBERVALUE(CompilDonnées[[#This Row],[FarmID]]&amp;CompilDonnées[[#This Row],[ModuleNumber]]&amp;CompilDonnées[[#This Row],[PlantationDate]])</f>
        <v>15345925</v>
      </c>
      <c r="O5117" t="str">
        <f>CompilDonnées[[#This Row],[FarmID]]&amp;CompilDonnées[[#This Row],[ModuleNumber]]</f>
        <v>153</v>
      </c>
      <c r="P5117" t="str">
        <f>CompilDonnées[[#This Row],[Ref_Module]]&amp;CompilDonnées[[#This Row],[HarvestingDate]]</f>
        <v>15345971</v>
      </c>
    </row>
    <row r="5118" spans="1:16">
      <c r="A5118" s="5">
        <v>45925</v>
      </c>
      <c r="B5118">
        <v>75</v>
      </c>
      <c r="C5118" t="s">
        <v>3</v>
      </c>
      <c r="D5118">
        <v>6</v>
      </c>
      <c r="E5118">
        <v>60</v>
      </c>
      <c r="F5118" t="s">
        <v>105</v>
      </c>
      <c r="G5118" s="6">
        <v>45971</v>
      </c>
      <c r="H5118">
        <v>46</v>
      </c>
      <c r="I5118">
        <f>ROUND(CompilDonnées[[#This Row],[CultureDuration_days]]/7,0)</f>
        <v>7</v>
      </c>
      <c r="J5118">
        <v>1860</v>
      </c>
      <c r="K5118" t="str">
        <f>_xlfn.CONCAT(WEEKNUM(CompilDonnées[[#This Row],[PlantationDate]]), " ", YEAR(CompilDonnées[[#This Row],[PlantationDate]]))</f>
        <v>39 2025</v>
      </c>
      <c r="L5118" t="str">
        <f>CONCATENATE(MONTH(CompilDonnées[[#This Row],[PlantationDate]])," ", YEAR(CompilDonnées[[#This Row],[PlantationDate]]))</f>
        <v>9 2025</v>
      </c>
      <c r="M5118" t="str">
        <f>CONCATENATE(MONTH(CompilDonnées[[#This Row],[HarvestingDate]])," ", YEAR(CompilDonnées[[#This Row],[HarvestingDate]]))</f>
        <v>11 2025</v>
      </c>
      <c r="N5118">
        <f>_xlfn.NUMBERVALUE(CompilDonnées[[#This Row],[FarmID]]&amp;CompilDonnées[[#This Row],[ModuleNumber]]&amp;CompilDonnées[[#This Row],[PlantationDate]])</f>
        <v>75645925</v>
      </c>
      <c r="O5118" t="str">
        <f>CompilDonnées[[#This Row],[FarmID]]&amp;CompilDonnées[[#This Row],[ModuleNumber]]</f>
        <v>756</v>
      </c>
      <c r="P5118" t="str">
        <f>CompilDonnées[[#This Row],[Ref_Module]]&amp;CompilDonnées[[#This Row],[HarvestingDate]]</f>
        <v>75645971</v>
      </c>
    </row>
    <row r="5119" spans="1:16">
      <c r="A5119" s="5">
        <v>45925</v>
      </c>
      <c r="B5119">
        <v>147</v>
      </c>
      <c r="C5119" t="s">
        <v>3</v>
      </c>
      <c r="D5119">
        <v>1</v>
      </c>
      <c r="E5119">
        <v>60</v>
      </c>
      <c r="F5119" t="s">
        <v>105</v>
      </c>
      <c r="G5119" s="6">
        <v>45973</v>
      </c>
      <c r="H5119">
        <v>48</v>
      </c>
      <c r="I5119">
        <f>ROUND(CompilDonnées[[#This Row],[CultureDuration_days]]/7,0)</f>
        <v>7</v>
      </c>
      <c r="J5119">
        <v>2000</v>
      </c>
      <c r="K5119" t="str">
        <f>_xlfn.CONCAT(WEEKNUM(CompilDonnées[[#This Row],[PlantationDate]]), " ", YEAR(CompilDonnées[[#This Row],[PlantationDate]]))</f>
        <v>39 2025</v>
      </c>
      <c r="L5119" t="str">
        <f>CONCATENATE(MONTH(CompilDonnées[[#This Row],[PlantationDate]])," ", YEAR(CompilDonnées[[#This Row],[PlantationDate]]))</f>
        <v>9 2025</v>
      </c>
      <c r="M5119" t="str">
        <f>CONCATENATE(MONTH(CompilDonnées[[#This Row],[HarvestingDate]])," ", YEAR(CompilDonnées[[#This Row],[HarvestingDate]]))</f>
        <v>11 2025</v>
      </c>
      <c r="N5119">
        <f>_xlfn.NUMBERVALUE(CompilDonnées[[#This Row],[FarmID]]&amp;CompilDonnées[[#This Row],[ModuleNumber]]&amp;CompilDonnées[[#This Row],[PlantationDate]])</f>
        <v>147145925</v>
      </c>
      <c r="O5119" t="str">
        <f>CompilDonnées[[#This Row],[FarmID]]&amp;CompilDonnées[[#This Row],[ModuleNumber]]</f>
        <v>1471</v>
      </c>
      <c r="P5119" t="str">
        <f>CompilDonnées[[#This Row],[Ref_Module]]&amp;CompilDonnées[[#This Row],[HarvestingDate]]</f>
        <v>147145973</v>
      </c>
    </row>
    <row r="5120" spans="1:16">
      <c r="A5120" s="5">
        <v>45926</v>
      </c>
      <c r="B5120">
        <v>6</v>
      </c>
      <c r="C5120" t="s">
        <v>24</v>
      </c>
      <c r="D5120">
        <v>6</v>
      </c>
      <c r="E5120">
        <v>100</v>
      </c>
      <c r="F5120" t="s">
        <v>1</v>
      </c>
      <c r="G5120" s="6">
        <v>45971</v>
      </c>
      <c r="H5120">
        <v>45</v>
      </c>
      <c r="I5120">
        <f>ROUND(CompilDonnées[[#This Row],[CultureDuration_days]]/7,0)</f>
        <v>6</v>
      </c>
      <c r="J5120">
        <v>3513</v>
      </c>
      <c r="K5120" t="str">
        <f>_xlfn.CONCAT(WEEKNUM(CompilDonnées[[#This Row],[PlantationDate]]), " ", YEAR(CompilDonnées[[#This Row],[PlantationDate]]))</f>
        <v>39 2025</v>
      </c>
      <c r="L5120" t="str">
        <f>CONCATENATE(MONTH(CompilDonnées[[#This Row],[PlantationDate]])," ", YEAR(CompilDonnées[[#This Row],[PlantationDate]]))</f>
        <v>9 2025</v>
      </c>
      <c r="M5120" t="str">
        <f>CONCATENATE(MONTH(CompilDonnées[[#This Row],[HarvestingDate]])," ", YEAR(CompilDonnées[[#This Row],[HarvestingDate]]))</f>
        <v>11 2025</v>
      </c>
      <c r="N5120">
        <f>_xlfn.NUMBERVALUE(CompilDonnées[[#This Row],[FarmID]]&amp;CompilDonnées[[#This Row],[ModuleNumber]]&amp;CompilDonnées[[#This Row],[PlantationDate]])</f>
        <v>6645926</v>
      </c>
      <c r="O5120" t="str">
        <f>CompilDonnées[[#This Row],[FarmID]]&amp;CompilDonnées[[#This Row],[ModuleNumber]]</f>
        <v>66</v>
      </c>
      <c r="P5120" t="str">
        <f>CompilDonnées[[#This Row],[Ref_Module]]&amp;CompilDonnées[[#This Row],[HarvestingDate]]</f>
        <v>6645971</v>
      </c>
    </row>
    <row r="5121" spans="1:16">
      <c r="A5121" s="5">
        <v>45926</v>
      </c>
      <c r="B5121">
        <v>5</v>
      </c>
      <c r="C5121" t="s">
        <v>32</v>
      </c>
      <c r="D5121">
        <v>2</v>
      </c>
      <c r="E5121">
        <v>100</v>
      </c>
      <c r="F5121" t="s">
        <v>1</v>
      </c>
      <c r="G5121" s="6">
        <v>45971</v>
      </c>
      <c r="H5121">
        <v>45</v>
      </c>
      <c r="I5121">
        <f>ROUND(CompilDonnées[[#This Row],[CultureDuration_days]]/7,0)</f>
        <v>6</v>
      </c>
      <c r="J5121">
        <v>2441</v>
      </c>
      <c r="K5121" t="str">
        <f>_xlfn.CONCAT(WEEKNUM(CompilDonnées[[#This Row],[PlantationDate]]), " ", YEAR(CompilDonnées[[#This Row],[PlantationDate]]))</f>
        <v>39 2025</v>
      </c>
      <c r="L5121" t="str">
        <f>CONCATENATE(MONTH(CompilDonnées[[#This Row],[PlantationDate]])," ", YEAR(CompilDonnées[[#This Row],[PlantationDate]]))</f>
        <v>9 2025</v>
      </c>
      <c r="M5121" t="str">
        <f>CONCATENATE(MONTH(CompilDonnées[[#This Row],[HarvestingDate]])," ", YEAR(CompilDonnées[[#This Row],[HarvestingDate]]))</f>
        <v>11 2025</v>
      </c>
      <c r="N5121">
        <f>_xlfn.NUMBERVALUE(CompilDonnées[[#This Row],[FarmID]]&amp;CompilDonnées[[#This Row],[ModuleNumber]]&amp;CompilDonnées[[#This Row],[PlantationDate]])</f>
        <v>5245926</v>
      </c>
      <c r="O5121" t="str">
        <f>CompilDonnées[[#This Row],[FarmID]]&amp;CompilDonnées[[#This Row],[ModuleNumber]]</f>
        <v>52</v>
      </c>
      <c r="P5121" t="str">
        <f>CompilDonnées[[#This Row],[Ref_Module]]&amp;CompilDonnées[[#This Row],[HarvestingDate]]</f>
        <v>5245971</v>
      </c>
    </row>
    <row r="5122" spans="1:16">
      <c r="A5122" s="5">
        <v>45926</v>
      </c>
      <c r="B5122">
        <v>16</v>
      </c>
      <c r="C5122" t="s">
        <v>112</v>
      </c>
      <c r="D5122">
        <v>3</v>
      </c>
      <c r="E5122">
        <v>100</v>
      </c>
      <c r="F5122" t="s">
        <v>1</v>
      </c>
      <c r="G5122" s="6">
        <v>45979</v>
      </c>
      <c r="H5122">
        <v>53</v>
      </c>
      <c r="I5122">
        <f>ROUND(CompilDonnées[[#This Row],[CultureDuration_days]]/7,0)</f>
        <v>8</v>
      </c>
      <c r="J5122">
        <v>1524</v>
      </c>
      <c r="K5122" t="str">
        <f>_xlfn.CONCAT(WEEKNUM(CompilDonnées[[#This Row],[PlantationDate]]), " ", YEAR(CompilDonnées[[#This Row],[PlantationDate]]))</f>
        <v>39 2025</v>
      </c>
      <c r="L5122" t="str">
        <f>CONCATENATE(MONTH(CompilDonnées[[#This Row],[PlantationDate]])," ", YEAR(CompilDonnées[[#This Row],[PlantationDate]]))</f>
        <v>9 2025</v>
      </c>
      <c r="M5122" t="str">
        <f>CONCATENATE(MONTH(CompilDonnées[[#This Row],[HarvestingDate]])," ", YEAR(CompilDonnées[[#This Row],[HarvestingDate]]))</f>
        <v>11 2025</v>
      </c>
      <c r="N5122">
        <f>_xlfn.NUMBERVALUE(CompilDonnées[[#This Row],[FarmID]]&amp;CompilDonnées[[#This Row],[ModuleNumber]]&amp;CompilDonnées[[#This Row],[PlantationDate]])</f>
        <v>16345926</v>
      </c>
      <c r="O5122" t="str">
        <f>CompilDonnées[[#This Row],[FarmID]]&amp;CompilDonnées[[#This Row],[ModuleNumber]]</f>
        <v>163</v>
      </c>
      <c r="P5122" t="str">
        <f>CompilDonnées[[#This Row],[Ref_Module]]&amp;CompilDonnées[[#This Row],[HarvestingDate]]</f>
        <v>16345979</v>
      </c>
    </row>
    <row r="5123" spans="1:16">
      <c r="A5123" s="5">
        <v>45926</v>
      </c>
      <c r="B5123">
        <v>36</v>
      </c>
      <c r="C5123" t="s">
        <v>63</v>
      </c>
      <c r="D5123">
        <v>5</v>
      </c>
      <c r="E5123">
        <v>100</v>
      </c>
      <c r="F5123" t="s">
        <v>1</v>
      </c>
      <c r="G5123" s="6">
        <v>45972</v>
      </c>
      <c r="H5123">
        <v>46</v>
      </c>
      <c r="I5123">
        <f>ROUND(CompilDonnées[[#This Row],[CultureDuration_days]]/7,0)</f>
        <v>7</v>
      </c>
      <c r="J5123">
        <v>2245</v>
      </c>
      <c r="K5123" t="str">
        <f>_xlfn.CONCAT(WEEKNUM(CompilDonnées[[#This Row],[PlantationDate]]), " ", YEAR(CompilDonnées[[#This Row],[PlantationDate]]))</f>
        <v>39 2025</v>
      </c>
      <c r="L5123" t="str">
        <f>CONCATENATE(MONTH(CompilDonnées[[#This Row],[PlantationDate]])," ", YEAR(CompilDonnées[[#This Row],[PlantationDate]]))</f>
        <v>9 2025</v>
      </c>
      <c r="M5123" t="str">
        <f>CONCATENATE(MONTH(CompilDonnées[[#This Row],[HarvestingDate]])," ", YEAR(CompilDonnées[[#This Row],[HarvestingDate]]))</f>
        <v>11 2025</v>
      </c>
      <c r="N5123">
        <f>_xlfn.NUMBERVALUE(CompilDonnées[[#This Row],[FarmID]]&amp;CompilDonnées[[#This Row],[ModuleNumber]]&amp;CompilDonnées[[#This Row],[PlantationDate]])</f>
        <v>36545926</v>
      </c>
      <c r="O5123" t="str">
        <f>CompilDonnées[[#This Row],[FarmID]]&amp;CompilDonnées[[#This Row],[ModuleNumber]]</f>
        <v>365</v>
      </c>
      <c r="P5123" t="str">
        <f>CompilDonnées[[#This Row],[Ref_Module]]&amp;CompilDonnées[[#This Row],[HarvestingDate]]</f>
        <v>36545972</v>
      </c>
    </row>
    <row r="5124" spans="1:16">
      <c r="A5124" s="5">
        <v>45926</v>
      </c>
      <c r="B5124">
        <v>35</v>
      </c>
      <c r="C5124" t="s">
        <v>69</v>
      </c>
      <c r="D5124">
        <v>2</v>
      </c>
      <c r="E5124">
        <v>100</v>
      </c>
      <c r="F5124" t="s">
        <v>1</v>
      </c>
      <c r="G5124" s="6">
        <v>45971</v>
      </c>
      <c r="H5124">
        <v>45</v>
      </c>
      <c r="I5124">
        <f>ROUND(CompilDonnées[[#This Row],[CultureDuration_days]]/7,0)</f>
        <v>6</v>
      </c>
      <c r="J5124">
        <v>1472</v>
      </c>
      <c r="K5124" t="str">
        <f>_xlfn.CONCAT(WEEKNUM(CompilDonnées[[#This Row],[PlantationDate]]), " ", YEAR(CompilDonnées[[#This Row],[PlantationDate]]))</f>
        <v>39 2025</v>
      </c>
      <c r="L5124" t="str">
        <f>CONCATENATE(MONTH(CompilDonnées[[#This Row],[PlantationDate]])," ", YEAR(CompilDonnées[[#This Row],[PlantationDate]]))</f>
        <v>9 2025</v>
      </c>
      <c r="M5124" t="str">
        <f>CONCATENATE(MONTH(CompilDonnées[[#This Row],[HarvestingDate]])," ", YEAR(CompilDonnées[[#This Row],[HarvestingDate]]))</f>
        <v>11 2025</v>
      </c>
      <c r="N5124">
        <f>_xlfn.NUMBERVALUE(CompilDonnées[[#This Row],[FarmID]]&amp;CompilDonnées[[#This Row],[ModuleNumber]]&amp;CompilDonnées[[#This Row],[PlantationDate]])</f>
        <v>35245926</v>
      </c>
      <c r="O5124" t="str">
        <f>CompilDonnées[[#This Row],[FarmID]]&amp;CompilDonnées[[#This Row],[ModuleNumber]]</f>
        <v>352</v>
      </c>
      <c r="P5124" t="str">
        <f>CompilDonnées[[#This Row],[Ref_Module]]&amp;CompilDonnées[[#This Row],[HarvestingDate]]</f>
        <v>35245971</v>
      </c>
    </row>
    <row r="5125" spans="1:16">
      <c r="A5125" s="5">
        <v>45926</v>
      </c>
      <c r="B5125">
        <v>42</v>
      </c>
      <c r="C5125" t="s">
        <v>119</v>
      </c>
      <c r="D5125">
        <v>1</v>
      </c>
      <c r="E5125">
        <v>100</v>
      </c>
      <c r="F5125" t="s">
        <v>1</v>
      </c>
      <c r="G5125" s="6">
        <v>45957</v>
      </c>
      <c r="H5125">
        <v>31</v>
      </c>
      <c r="I5125">
        <f>ROUND(CompilDonnées[[#This Row],[CultureDuration_days]]/7,0)</f>
        <v>4</v>
      </c>
      <c r="J5125">
        <v>1858</v>
      </c>
      <c r="K5125" t="str">
        <f>_xlfn.CONCAT(WEEKNUM(CompilDonnées[[#This Row],[PlantationDate]]), " ", YEAR(CompilDonnées[[#This Row],[PlantationDate]]))</f>
        <v>39 2025</v>
      </c>
      <c r="L5125" t="str">
        <f>CONCATENATE(MONTH(CompilDonnées[[#This Row],[PlantationDate]])," ", YEAR(CompilDonnées[[#This Row],[PlantationDate]]))</f>
        <v>9 2025</v>
      </c>
      <c r="M5125" t="str">
        <f>CONCATENATE(MONTH(CompilDonnées[[#This Row],[HarvestingDate]])," ", YEAR(CompilDonnées[[#This Row],[HarvestingDate]]))</f>
        <v>10 2025</v>
      </c>
      <c r="N5125">
        <f>_xlfn.NUMBERVALUE(CompilDonnées[[#This Row],[FarmID]]&amp;CompilDonnées[[#This Row],[ModuleNumber]]&amp;CompilDonnées[[#This Row],[PlantationDate]])</f>
        <v>42145926</v>
      </c>
      <c r="O5125" t="str">
        <f>CompilDonnées[[#This Row],[FarmID]]&amp;CompilDonnées[[#This Row],[ModuleNumber]]</f>
        <v>421</v>
      </c>
      <c r="P5125" t="str">
        <f>CompilDonnées[[#This Row],[Ref_Module]]&amp;CompilDonnées[[#This Row],[HarvestingDate]]</f>
        <v>42145957</v>
      </c>
    </row>
    <row r="5126" spans="1:16">
      <c r="A5126" s="5">
        <v>45926</v>
      </c>
      <c r="B5126">
        <v>59</v>
      </c>
      <c r="C5126" t="s">
        <v>64</v>
      </c>
      <c r="D5126">
        <v>4</v>
      </c>
      <c r="E5126">
        <v>100</v>
      </c>
      <c r="F5126" t="s">
        <v>1</v>
      </c>
      <c r="G5126" s="6">
        <v>45965</v>
      </c>
      <c r="H5126">
        <v>39</v>
      </c>
      <c r="I5126">
        <f>ROUND(CompilDonnées[[#This Row],[CultureDuration_days]]/7,0)</f>
        <v>6</v>
      </c>
      <c r="J5126">
        <v>3189</v>
      </c>
      <c r="K5126" t="str">
        <f>_xlfn.CONCAT(WEEKNUM(CompilDonnées[[#This Row],[PlantationDate]]), " ", YEAR(CompilDonnées[[#This Row],[PlantationDate]]))</f>
        <v>39 2025</v>
      </c>
      <c r="L5126" t="str">
        <f>CONCATENATE(MONTH(CompilDonnées[[#This Row],[PlantationDate]])," ", YEAR(CompilDonnées[[#This Row],[PlantationDate]]))</f>
        <v>9 2025</v>
      </c>
      <c r="M5126" t="str">
        <f>CONCATENATE(MONTH(CompilDonnées[[#This Row],[HarvestingDate]])," ", YEAR(CompilDonnées[[#This Row],[HarvestingDate]]))</f>
        <v>11 2025</v>
      </c>
      <c r="N5126">
        <f>_xlfn.NUMBERVALUE(CompilDonnées[[#This Row],[FarmID]]&amp;CompilDonnées[[#This Row],[ModuleNumber]]&amp;CompilDonnées[[#This Row],[PlantationDate]])</f>
        <v>59445926</v>
      </c>
      <c r="O5126" t="str">
        <f>CompilDonnées[[#This Row],[FarmID]]&amp;CompilDonnées[[#This Row],[ModuleNumber]]</f>
        <v>594</v>
      </c>
      <c r="P5126" t="str">
        <f>CompilDonnées[[#This Row],[Ref_Module]]&amp;CompilDonnées[[#This Row],[HarvestingDate]]</f>
        <v>59445965</v>
      </c>
    </row>
    <row r="5127" spans="1:16">
      <c r="A5127" s="5">
        <v>45926</v>
      </c>
      <c r="B5127">
        <v>68</v>
      </c>
      <c r="C5127" t="s">
        <v>89</v>
      </c>
      <c r="D5127">
        <v>1</v>
      </c>
      <c r="E5127">
        <v>100</v>
      </c>
      <c r="F5127" t="s">
        <v>1</v>
      </c>
      <c r="G5127" s="6">
        <v>45972</v>
      </c>
      <c r="H5127">
        <v>46</v>
      </c>
      <c r="I5127">
        <f>ROUND(CompilDonnées[[#This Row],[CultureDuration_days]]/7,0)</f>
        <v>7</v>
      </c>
      <c r="J5127">
        <v>3791</v>
      </c>
      <c r="K5127" t="str">
        <f>_xlfn.CONCAT(WEEKNUM(CompilDonnées[[#This Row],[PlantationDate]]), " ", YEAR(CompilDonnées[[#This Row],[PlantationDate]]))</f>
        <v>39 2025</v>
      </c>
      <c r="L5127" t="str">
        <f>CONCATENATE(MONTH(CompilDonnées[[#This Row],[PlantationDate]])," ", YEAR(CompilDonnées[[#This Row],[PlantationDate]]))</f>
        <v>9 2025</v>
      </c>
      <c r="M5127" t="str">
        <f>CONCATENATE(MONTH(CompilDonnées[[#This Row],[HarvestingDate]])," ", YEAR(CompilDonnées[[#This Row],[HarvestingDate]]))</f>
        <v>11 2025</v>
      </c>
      <c r="N5127">
        <f>_xlfn.NUMBERVALUE(CompilDonnées[[#This Row],[FarmID]]&amp;CompilDonnées[[#This Row],[ModuleNumber]]&amp;CompilDonnées[[#This Row],[PlantationDate]])</f>
        <v>68145926</v>
      </c>
      <c r="O5127" t="str">
        <f>CompilDonnées[[#This Row],[FarmID]]&amp;CompilDonnées[[#This Row],[ModuleNumber]]</f>
        <v>681</v>
      </c>
      <c r="P5127" t="str">
        <f>CompilDonnées[[#This Row],[Ref_Module]]&amp;CompilDonnées[[#This Row],[HarvestingDate]]</f>
        <v>68145972</v>
      </c>
    </row>
    <row r="5128" spans="1:16">
      <c r="A5128" s="5">
        <v>45926</v>
      </c>
      <c r="B5128">
        <v>46</v>
      </c>
      <c r="C5128" t="s">
        <v>8</v>
      </c>
      <c r="D5128">
        <v>4</v>
      </c>
      <c r="E5128">
        <v>100</v>
      </c>
      <c r="F5128" t="s">
        <v>1</v>
      </c>
      <c r="G5128" s="6">
        <v>45971</v>
      </c>
      <c r="H5128">
        <v>45</v>
      </c>
      <c r="I5128">
        <f>ROUND(CompilDonnées[[#This Row],[CultureDuration_days]]/7,0)</f>
        <v>6</v>
      </c>
      <c r="J5128">
        <v>3388</v>
      </c>
      <c r="K5128" t="str">
        <f>_xlfn.CONCAT(WEEKNUM(CompilDonnées[[#This Row],[PlantationDate]]), " ", YEAR(CompilDonnées[[#This Row],[PlantationDate]]))</f>
        <v>39 2025</v>
      </c>
      <c r="L5128" t="str">
        <f>CONCATENATE(MONTH(CompilDonnées[[#This Row],[PlantationDate]])," ", YEAR(CompilDonnées[[#This Row],[PlantationDate]]))</f>
        <v>9 2025</v>
      </c>
      <c r="M5128" t="str">
        <f>CONCATENATE(MONTH(CompilDonnées[[#This Row],[HarvestingDate]])," ", YEAR(CompilDonnées[[#This Row],[HarvestingDate]]))</f>
        <v>11 2025</v>
      </c>
      <c r="N5128">
        <f>_xlfn.NUMBERVALUE(CompilDonnées[[#This Row],[FarmID]]&amp;CompilDonnées[[#This Row],[ModuleNumber]]&amp;CompilDonnées[[#This Row],[PlantationDate]])</f>
        <v>46445926</v>
      </c>
      <c r="O5128" t="str">
        <f>CompilDonnées[[#This Row],[FarmID]]&amp;CompilDonnées[[#This Row],[ModuleNumber]]</f>
        <v>464</v>
      </c>
      <c r="P5128" t="str">
        <f>CompilDonnées[[#This Row],[Ref_Module]]&amp;CompilDonnées[[#This Row],[HarvestingDate]]</f>
        <v>46445971</v>
      </c>
    </row>
    <row r="5129" spans="1:16">
      <c r="A5129" s="5">
        <v>45926</v>
      </c>
      <c r="B5129">
        <v>10</v>
      </c>
      <c r="C5129" t="s">
        <v>109</v>
      </c>
      <c r="D5129">
        <v>2</v>
      </c>
      <c r="E5129">
        <v>100</v>
      </c>
      <c r="F5129" t="s">
        <v>1</v>
      </c>
      <c r="G5129" s="6">
        <v>45966</v>
      </c>
      <c r="H5129">
        <v>40</v>
      </c>
      <c r="I5129">
        <f>ROUND(CompilDonnées[[#This Row],[CultureDuration_days]]/7,0)</f>
        <v>6</v>
      </c>
      <c r="J5129">
        <v>2133</v>
      </c>
      <c r="K5129" t="str">
        <f>_xlfn.CONCAT(WEEKNUM(CompilDonnées[[#This Row],[PlantationDate]]), " ", YEAR(CompilDonnées[[#This Row],[PlantationDate]]))</f>
        <v>39 2025</v>
      </c>
      <c r="L5129" t="str">
        <f>CONCATENATE(MONTH(CompilDonnées[[#This Row],[PlantationDate]])," ", YEAR(CompilDonnées[[#This Row],[PlantationDate]]))</f>
        <v>9 2025</v>
      </c>
      <c r="M5129" t="str">
        <f>CONCATENATE(MONTH(CompilDonnées[[#This Row],[HarvestingDate]])," ", YEAR(CompilDonnées[[#This Row],[HarvestingDate]]))</f>
        <v>11 2025</v>
      </c>
      <c r="N5129">
        <f>_xlfn.NUMBERVALUE(CompilDonnées[[#This Row],[FarmID]]&amp;CompilDonnées[[#This Row],[ModuleNumber]]&amp;CompilDonnées[[#This Row],[PlantationDate]])</f>
        <v>10245926</v>
      </c>
      <c r="O5129" t="str">
        <f>CompilDonnées[[#This Row],[FarmID]]&amp;CompilDonnées[[#This Row],[ModuleNumber]]</f>
        <v>102</v>
      </c>
      <c r="P5129" t="str">
        <f>CompilDonnées[[#This Row],[Ref_Module]]&amp;CompilDonnées[[#This Row],[HarvestingDate]]</f>
        <v>10245966</v>
      </c>
    </row>
    <row r="5130" spans="1:16">
      <c r="A5130" s="5">
        <v>45926</v>
      </c>
      <c r="B5130">
        <v>11</v>
      </c>
      <c r="C5130" t="s">
        <v>106</v>
      </c>
      <c r="D5130">
        <v>1</v>
      </c>
      <c r="E5130">
        <v>100</v>
      </c>
      <c r="F5130" t="s">
        <v>1</v>
      </c>
      <c r="G5130" s="6">
        <v>45971</v>
      </c>
      <c r="H5130">
        <v>45</v>
      </c>
      <c r="I5130">
        <f>ROUND(CompilDonnées[[#This Row],[CultureDuration_days]]/7,0)</f>
        <v>6</v>
      </c>
      <c r="J5130">
        <v>1328</v>
      </c>
      <c r="K5130" t="str">
        <f>_xlfn.CONCAT(WEEKNUM(CompilDonnées[[#This Row],[PlantationDate]]), " ", YEAR(CompilDonnées[[#This Row],[PlantationDate]]))</f>
        <v>39 2025</v>
      </c>
      <c r="L5130" t="str">
        <f>CONCATENATE(MONTH(CompilDonnées[[#This Row],[PlantationDate]])," ", YEAR(CompilDonnées[[#This Row],[PlantationDate]]))</f>
        <v>9 2025</v>
      </c>
      <c r="M5130" t="str">
        <f>CONCATENATE(MONTH(CompilDonnées[[#This Row],[HarvestingDate]])," ", YEAR(CompilDonnées[[#This Row],[HarvestingDate]]))</f>
        <v>11 2025</v>
      </c>
      <c r="N5130">
        <f>_xlfn.NUMBERVALUE(CompilDonnées[[#This Row],[FarmID]]&amp;CompilDonnées[[#This Row],[ModuleNumber]]&amp;CompilDonnées[[#This Row],[PlantationDate]])</f>
        <v>11145926</v>
      </c>
      <c r="O5130" t="str">
        <f>CompilDonnées[[#This Row],[FarmID]]&amp;CompilDonnées[[#This Row],[ModuleNumber]]</f>
        <v>111</v>
      </c>
      <c r="P5130" t="str">
        <f>CompilDonnées[[#This Row],[Ref_Module]]&amp;CompilDonnées[[#This Row],[HarvestingDate]]</f>
        <v>11145971</v>
      </c>
    </row>
    <row r="5131" spans="1:16">
      <c r="A5131" s="5">
        <v>45926</v>
      </c>
      <c r="B5131">
        <v>13</v>
      </c>
      <c r="C5131" t="s">
        <v>114</v>
      </c>
      <c r="D5131">
        <v>5</v>
      </c>
      <c r="E5131">
        <v>100</v>
      </c>
      <c r="F5131" t="s">
        <v>1</v>
      </c>
      <c r="G5131" s="6">
        <v>45971</v>
      </c>
      <c r="H5131">
        <v>45</v>
      </c>
      <c r="I5131">
        <f>ROUND(CompilDonnées[[#This Row],[CultureDuration_days]]/7,0)</f>
        <v>6</v>
      </c>
      <c r="J5131">
        <v>2288</v>
      </c>
      <c r="K5131" t="str">
        <f>_xlfn.CONCAT(WEEKNUM(CompilDonnées[[#This Row],[PlantationDate]]), " ", YEAR(CompilDonnées[[#This Row],[PlantationDate]]))</f>
        <v>39 2025</v>
      </c>
      <c r="L5131" t="str">
        <f>CONCATENATE(MONTH(CompilDonnées[[#This Row],[PlantationDate]])," ", YEAR(CompilDonnées[[#This Row],[PlantationDate]]))</f>
        <v>9 2025</v>
      </c>
      <c r="M5131" t="str">
        <f>CONCATENATE(MONTH(CompilDonnées[[#This Row],[HarvestingDate]])," ", YEAR(CompilDonnées[[#This Row],[HarvestingDate]]))</f>
        <v>11 2025</v>
      </c>
      <c r="N5131">
        <f>_xlfn.NUMBERVALUE(CompilDonnées[[#This Row],[FarmID]]&amp;CompilDonnées[[#This Row],[ModuleNumber]]&amp;CompilDonnées[[#This Row],[PlantationDate]])</f>
        <v>13545926</v>
      </c>
      <c r="O5131" t="str">
        <f>CompilDonnées[[#This Row],[FarmID]]&amp;CompilDonnées[[#This Row],[ModuleNumber]]</f>
        <v>135</v>
      </c>
      <c r="P5131" t="str">
        <f>CompilDonnées[[#This Row],[Ref_Module]]&amp;CompilDonnées[[#This Row],[HarvestingDate]]</f>
        <v>13545971</v>
      </c>
    </row>
    <row r="5132" spans="1:16">
      <c r="A5132" s="5">
        <v>45926</v>
      </c>
      <c r="B5132">
        <v>13</v>
      </c>
      <c r="C5132" t="s">
        <v>114</v>
      </c>
      <c r="D5132">
        <v>6</v>
      </c>
      <c r="E5132">
        <v>100</v>
      </c>
      <c r="F5132" t="s">
        <v>1</v>
      </c>
      <c r="G5132" s="6">
        <v>45971</v>
      </c>
      <c r="H5132">
        <v>45</v>
      </c>
      <c r="I5132">
        <f>ROUND(CompilDonnées[[#This Row],[CultureDuration_days]]/7,0)</f>
        <v>6</v>
      </c>
      <c r="J5132">
        <v>2630</v>
      </c>
      <c r="K5132" t="str">
        <f>_xlfn.CONCAT(WEEKNUM(CompilDonnées[[#This Row],[PlantationDate]]), " ", YEAR(CompilDonnées[[#This Row],[PlantationDate]]))</f>
        <v>39 2025</v>
      </c>
      <c r="L5132" t="str">
        <f>CONCATENATE(MONTH(CompilDonnées[[#This Row],[PlantationDate]])," ", YEAR(CompilDonnées[[#This Row],[PlantationDate]]))</f>
        <v>9 2025</v>
      </c>
      <c r="M5132" t="str">
        <f>CONCATENATE(MONTH(CompilDonnées[[#This Row],[HarvestingDate]])," ", YEAR(CompilDonnées[[#This Row],[HarvestingDate]]))</f>
        <v>11 2025</v>
      </c>
      <c r="N5132">
        <f>_xlfn.NUMBERVALUE(CompilDonnées[[#This Row],[FarmID]]&amp;CompilDonnées[[#This Row],[ModuleNumber]]&amp;CompilDonnées[[#This Row],[PlantationDate]])</f>
        <v>13645926</v>
      </c>
      <c r="O5132" t="str">
        <f>CompilDonnées[[#This Row],[FarmID]]&amp;CompilDonnées[[#This Row],[ModuleNumber]]</f>
        <v>136</v>
      </c>
      <c r="P5132" t="str">
        <f>CompilDonnées[[#This Row],[Ref_Module]]&amp;CompilDonnées[[#This Row],[HarvestingDate]]</f>
        <v>13645971</v>
      </c>
    </row>
    <row r="5133" spans="1:16">
      <c r="A5133" s="5">
        <v>45926</v>
      </c>
      <c r="B5133">
        <v>9</v>
      </c>
      <c r="C5133" t="s">
        <v>107</v>
      </c>
      <c r="D5133">
        <v>2</v>
      </c>
      <c r="E5133">
        <v>100</v>
      </c>
      <c r="F5133" t="s">
        <v>1</v>
      </c>
      <c r="G5133" s="6">
        <v>45966</v>
      </c>
      <c r="H5133">
        <v>40</v>
      </c>
      <c r="I5133">
        <f>ROUND(CompilDonnées[[#This Row],[CultureDuration_days]]/7,0)</f>
        <v>6</v>
      </c>
      <c r="J5133">
        <v>2788</v>
      </c>
      <c r="K5133" t="str">
        <f>_xlfn.CONCAT(WEEKNUM(CompilDonnées[[#This Row],[PlantationDate]]), " ", YEAR(CompilDonnées[[#This Row],[PlantationDate]]))</f>
        <v>39 2025</v>
      </c>
      <c r="L5133" t="str">
        <f>CONCATENATE(MONTH(CompilDonnées[[#This Row],[PlantationDate]])," ", YEAR(CompilDonnées[[#This Row],[PlantationDate]]))</f>
        <v>9 2025</v>
      </c>
      <c r="M5133" t="str">
        <f>CONCATENATE(MONTH(CompilDonnées[[#This Row],[HarvestingDate]])," ", YEAR(CompilDonnées[[#This Row],[HarvestingDate]]))</f>
        <v>11 2025</v>
      </c>
      <c r="N5133">
        <f>_xlfn.NUMBERVALUE(CompilDonnées[[#This Row],[FarmID]]&amp;CompilDonnées[[#This Row],[ModuleNumber]]&amp;CompilDonnées[[#This Row],[PlantationDate]])</f>
        <v>9245926</v>
      </c>
      <c r="O5133" t="str">
        <f>CompilDonnées[[#This Row],[FarmID]]&amp;CompilDonnées[[#This Row],[ModuleNumber]]</f>
        <v>92</v>
      </c>
      <c r="P5133" t="str">
        <f>CompilDonnées[[#This Row],[Ref_Module]]&amp;CompilDonnées[[#This Row],[HarvestingDate]]</f>
        <v>9245966</v>
      </c>
    </row>
    <row r="5134" spans="1:16">
      <c r="A5134" s="5">
        <v>45926</v>
      </c>
      <c r="B5134">
        <v>9</v>
      </c>
      <c r="C5134" t="s">
        <v>107</v>
      </c>
      <c r="D5134">
        <v>3</v>
      </c>
      <c r="E5134">
        <v>100</v>
      </c>
      <c r="F5134" t="s">
        <v>1</v>
      </c>
      <c r="G5134" s="6">
        <v>45980</v>
      </c>
      <c r="H5134">
        <v>54</v>
      </c>
      <c r="I5134">
        <f>ROUND(CompilDonnées[[#This Row],[CultureDuration_days]]/7,0)</f>
        <v>8</v>
      </c>
      <c r="J5134">
        <v>1937</v>
      </c>
      <c r="K5134" t="str">
        <f>_xlfn.CONCAT(WEEKNUM(CompilDonnées[[#This Row],[PlantationDate]]), " ", YEAR(CompilDonnées[[#This Row],[PlantationDate]]))</f>
        <v>39 2025</v>
      </c>
      <c r="L5134" t="str">
        <f>CONCATENATE(MONTH(CompilDonnées[[#This Row],[PlantationDate]])," ", YEAR(CompilDonnées[[#This Row],[PlantationDate]]))</f>
        <v>9 2025</v>
      </c>
      <c r="M5134" t="str">
        <f>CONCATENATE(MONTH(CompilDonnées[[#This Row],[HarvestingDate]])," ", YEAR(CompilDonnées[[#This Row],[HarvestingDate]]))</f>
        <v>11 2025</v>
      </c>
      <c r="N5134">
        <f>_xlfn.NUMBERVALUE(CompilDonnées[[#This Row],[FarmID]]&amp;CompilDonnées[[#This Row],[ModuleNumber]]&amp;CompilDonnées[[#This Row],[PlantationDate]])</f>
        <v>9345926</v>
      </c>
      <c r="O5134" t="str">
        <f>CompilDonnées[[#This Row],[FarmID]]&amp;CompilDonnées[[#This Row],[ModuleNumber]]</f>
        <v>93</v>
      </c>
      <c r="P5134" t="str">
        <f>CompilDonnées[[#This Row],[Ref_Module]]&amp;CompilDonnées[[#This Row],[HarvestingDate]]</f>
        <v>9345980</v>
      </c>
    </row>
    <row r="5135" spans="1:16">
      <c r="A5135" s="5">
        <v>45926</v>
      </c>
      <c r="B5135">
        <v>1</v>
      </c>
      <c r="C5135" t="s">
        <v>111</v>
      </c>
      <c r="D5135">
        <v>3</v>
      </c>
      <c r="E5135">
        <v>100</v>
      </c>
      <c r="F5135" t="s">
        <v>1</v>
      </c>
      <c r="G5135" s="6">
        <v>45971</v>
      </c>
      <c r="H5135">
        <v>45</v>
      </c>
      <c r="I5135">
        <f>ROUND(CompilDonnées[[#This Row],[CultureDuration_days]]/7,0)</f>
        <v>6</v>
      </c>
      <c r="J5135">
        <v>2177</v>
      </c>
      <c r="K5135" t="str">
        <f>_xlfn.CONCAT(WEEKNUM(CompilDonnées[[#This Row],[PlantationDate]]), " ", YEAR(CompilDonnées[[#This Row],[PlantationDate]]))</f>
        <v>39 2025</v>
      </c>
      <c r="L5135" t="str">
        <f>CONCATENATE(MONTH(CompilDonnées[[#This Row],[PlantationDate]])," ", YEAR(CompilDonnées[[#This Row],[PlantationDate]]))</f>
        <v>9 2025</v>
      </c>
      <c r="M5135" t="str">
        <f>CONCATENATE(MONTH(CompilDonnées[[#This Row],[HarvestingDate]])," ", YEAR(CompilDonnées[[#This Row],[HarvestingDate]]))</f>
        <v>11 2025</v>
      </c>
      <c r="N5135">
        <f>_xlfn.NUMBERVALUE(CompilDonnées[[#This Row],[FarmID]]&amp;CompilDonnées[[#This Row],[ModuleNumber]]&amp;CompilDonnées[[#This Row],[PlantationDate]])</f>
        <v>1345926</v>
      </c>
      <c r="O5135" t="str">
        <f>CompilDonnées[[#This Row],[FarmID]]&amp;CompilDonnées[[#This Row],[ModuleNumber]]</f>
        <v>13</v>
      </c>
      <c r="P5135" t="str">
        <f>CompilDonnées[[#This Row],[Ref_Module]]&amp;CompilDonnées[[#This Row],[HarvestingDate]]</f>
        <v>1345971</v>
      </c>
    </row>
    <row r="5136" spans="1:16">
      <c r="A5136" s="5">
        <v>45926</v>
      </c>
      <c r="B5136">
        <v>8</v>
      </c>
      <c r="C5136" t="s">
        <v>57</v>
      </c>
      <c r="D5136">
        <v>3</v>
      </c>
      <c r="E5136">
        <v>98</v>
      </c>
      <c r="F5136" t="s">
        <v>1</v>
      </c>
      <c r="G5136" s="6">
        <v>45971</v>
      </c>
      <c r="H5136">
        <v>45</v>
      </c>
      <c r="I5136">
        <f>ROUND(CompilDonnées[[#This Row],[CultureDuration_days]]/7,0)</f>
        <v>6</v>
      </c>
      <c r="J5136">
        <v>1367</v>
      </c>
      <c r="K5136" t="str">
        <f>_xlfn.CONCAT(WEEKNUM(CompilDonnées[[#This Row],[PlantationDate]]), " ", YEAR(CompilDonnées[[#This Row],[PlantationDate]]))</f>
        <v>39 2025</v>
      </c>
      <c r="L5136" t="str">
        <f>CONCATENATE(MONTH(CompilDonnées[[#This Row],[PlantationDate]])," ", YEAR(CompilDonnées[[#This Row],[PlantationDate]]))</f>
        <v>9 2025</v>
      </c>
      <c r="M5136" t="str">
        <f>CONCATENATE(MONTH(CompilDonnées[[#This Row],[HarvestingDate]])," ", YEAR(CompilDonnées[[#This Row],[HarvestingDate]]))</f>
        <v>11 2025</v>
      </c>
      <c r="N5136">
        <f>_xlfn.NUMBERVALUE(CompilDonnées[[#This Row],[FarmID]]&amp;CompilDonnées[[#This Row],[ModuleNumber]]&amp;CompilDonnées[[#This Row],[PlantationDate]])</f>
        <v>8345926</v>
      </c>
      <c r="O5136" t="str">
        <f>CompilDonnées[[#This Row],[FarmID]]&amp;CompilDonnées[[#This Row],[ModuleNumber]]</f>
        <v>83</v>
      </c>
      <c r="P5136" t="str">
        <f>CompilDonnées[[#This Row],[Ref_Module]]&amp;CompilDonnées[[#This Row],[HarvestingDate]]</f>
        <v>8345971</v>
      </c>
    </row>
    <row r="5137" spans="1:16">
      <c r="A5137" s="5">
        <v>45926</v>
      </c>
      <c r="B5137">
        <v>75</v>
      </c>
      <c r="C5137" t="s">
        <v>3</v>
      </c>
      <c r="D5137">
        <v>5</v>
      </c>
      <c r="E5137">
        <v>60</v>
      </c>
      <c r="F5137" t="s">
        <v>105</v>
      </c>
      <c r="G5137" s="6">
        <v>45971</v>
      </c>
      <c r="H5137">
        <v>45</v>
      </c>
      <c r="I5137">
        <f>ROUND(CompilDonnées[[#This Row],[CultureDuration_days]]/7,0)</f>
        <v>6</v>
      </c>
      <c r="J5137">
        <v>1900</v>
      </c>
      <c r="K5137" t="str">
        <f>_xlfn.CONCAT(WEEKNUM(CompilDonnées[[#This Row],[PlantationDate]]), " ", YEAR(CompilDonnées[[#This Row],[PlantationDate]]))</f>
        <v>39 2025</v>
      </c>
      <c r="L5137" t="str">
        <f>CONCATENATE(MONTH(CompilDonnées[[#This Row],[PlantationDate]])," ", YEAR(CompilDonnées[[#This Row],[PlantationDate]]))</f>
        <v>9 2025</v>
      </c>
      <c r="M5137" t="str">
        <f>CONCATENATE(MONTH(CompilDonnées[[#This Row],[HarvestingDate]])," ", YEAR(CompilDonnées[[#This Row],[HarvestingDate]]))</f>
        <v>11 2025</v>
      </c>
      <c r="N5137">
        <f>_xlfn.NUMBERVALUE(CompilDonnées[[#This Row],[FarmID]]&amp;CompilDonnées[[#This Row],[ModuleNumber]]&amp;CompilDonnées[[#This Row],[PlantationDate]])</f>
        <v>75545926</v>
      </c>
      <c r="O5137" t="str">
        <f>CompilDonnées[[#This Row],[FarmID]]&amp;CompilDonnées[[#This Row],[ModuleNumber]]</f>
        <v>755</v>
      </c>
      <c r="P5137" t="str">
        <f>CompilDonnées[[#This Row],[Ref_Module]]&amp;CompilDonnées[[#This Row],[HarvestingDate]]</f>
        <v>75545971</v>
      </c>
    </row>
    <row r="5138" spans="1:16">
      <c r="A5138" s="5">
        <v>45926</v>
      </c>
      <c r="B5138">
        <v>75</v>
      </c>
      <c r="C5138" t="s">
        <v>3</v>
      </c>
      <c r="D5138">
        <v>4</v>
      </c>
      <c r="E5138">
        <v>60</v>
      </c>
      <c r="F5138" t="s">
        <v>105</v>
      </c>
      <c r="G5138" s="6">
        <v>45971</v>
      </c>
      <c r="H5138">
        <v>45</v>
      </c>
      <c r="I5138">
        <f>ROUND(CompilDonnées[[#This Row],[CultureDuration_days]]/7,0)</f>
        <v>6</v>
      </c>
      <c r="J5138">
        <v>1880</v>
      </c>
      <c r="K5138" t="str">
        <f>_xlfn.CONCAT(WEEKNUM(CompilDonnées[[#This Row],[PlantationDate]]), " ", YEAR(CompilDonnées[[#This Row],[PlantationDate]]))</f>
        <v>39 2025</v>
      </c>
      <c r="L5138" t="str">
        <f>CONCATENATE(MONTH(CompilDonnées[[#This Row],[PlantationDate]])," ", YEAR(CompilDonnées[[#This Row],[PlantationDate]]))</f>
        <v>9 2025</v>
      </c>
      <c r="M5138" t="str">
        <f>CONCATENATE(MONTH(CompilDonnées[[#This Row],[HarvestingDate]])," ", YEAR(CompilDonnées[[#This Row],[HarvestingDate]]))</f>
        <v>11 2025</v>
      </c>
      <c r="N5138">
        <f>_xlfn.NUMBERVALUE(CompilDonnées[[#This Row],[FarmID]]&amp;CompilDonnées[[#This Row],[ModuleNumber]]&amp;CompilDonnées[[#This Row],[PlantationDate]])</f>
        <v>75445926</v>
      </c>
      <c r="O5138" t="str">
        <f>CompilDonnées[[#This Row],[FarmID]]&amp;CompilDonnées[[#This Row],[ModuleNumber]]</f>
        <v>754</v>
      </c>
      <c r="P5138" t="str">
        <f>CompilDonnées[[#This Row],[Ref_Module]]&amp;CompilDonnées[[#This Row],[HarvestingDate]]</f>
        <v>75445971</v>
      </c>
    </row>
    <row r="5139" spans="1:16">
      <c r="A5139" s="5">
        <v>45930</v>
      </c>
      <c r="B5139">
        <v>54</v>
      </c>
      <c r="C5139" t="s">
        <v>39</v>
      </c>
      <c r="D5139">
        <v>4</v>
      </c>
      <c r="E5139">
        <v>100</v>
      </c>
      <c r="F5139" t="s">
        <v>1</v>
      </c>
      <c r="G5139" s="6">
        <v>45959</v>
      </c>
      <c r="H5139">
        <v>29</v>
      </c>
      <c r="I5139">
        <f>ROUND(CompilDonnées[[#This Row],[CultureDuration_days]]/7,0)</f>
        <v>4</v>
      </c>
      <c r="J5139">
        <v>1096</v>
      </c>
      <c r="K5139" t="str">
        <f>_xlfn.CONCAT(WEEKNUM(CompilDonnées[[#This Row],[PlantationDate]]), " ", YEAR(CompilDonnées[[#This Row],[PlantationDate]]))</f>
        <v>40 2025</v>
      </c>
      <c r="L5139" t="str">
        <f>CONCATENATE(MONTH(CompilDonnées[[#This Row],[PlantationDate]])," ", YEAR(CompilDonnées[[#This Row],[PlantationDate]]))</f>
        <v>9 2025</v>
      </c>
      <c r="M5139" t="str">
        <f>CONCATENATE(MONTH(CompilDonnées[[#This Row],[HarvestingDate]])," ", YEAR(CompilDonnées[[#This Row],[HarvestingDate]]))</f>
        <v>10 2025</v>
      </c>
      <c r="N5139">
        <f>_xlfn.NUMBERVALUE(CompilDonnées[[#This Row],[FarmID]]&amp;CompilDonnées[[#This Row],[ModuleNumber]]&amp;CompilDonnées[[#This Row],[PlantationDate]])</f>
        <v>54445930</v>
      </c>
      <c r="O5139" t="str">
        <f>CompilDonnées[[#This Row],[FarmID]]&amp;CompilDonnées[[#This Row],[ModuleNumber]]</f>
        <v>544</v>
      </c>
      <c r="P5139" t="str">
        <f>CompilDonnées[[#This Row],[Ref_Module]]&amp;CompilDonnées[[#This Row],[HarvestingDate]]</f>
        <v>54445959</v>
      </c>
    </row>
    <row r="5140" spans="1:16">
      <c r="A5140" s="5">
        <v>45930</v>
      </c>
      <c r="B5140">
        <v>47</v>
      </c>
      <c r="C5140" t="s">
        <v>104</v>
      </c>
      <c r="D5140">
        <v>4</v>
      </c>
      <c r="E5140">
        <v>100</v>
      </c>
      <c r="F5140" t="s">
        <v>1</v>
      </c>
      <c r="G5140" s="6">
        <v>45985</v>
      </c>
      <c r="H5140">
        <v>55</v>
      </c>
      <c r="I5140">
        <f>ROUND(CompilDonnées[[#This Row],[CultureDuration_days]]/7,0)</f>
        <v>8</v>
      </c>
      <c r="J5140">
        <v>2233</v>
      </c>
      <c r="K5140" t="str">
        <f>_xlfn.CONCAT(WEEKNUM(CompilDonnées[[#This Row],[PlantationDate]]), " ", YEAR(CompilDonnées[[#This Row],[PlantationDate]]))</f>
        <v>40 2025</v>
      </c>
      <c r="L5140" t="str">
        <f>CONCATENATE(MONTH(CompilDonnées[[#This Row],[PlantationDate]])," ", YEAR(CompilDonnées[[#This Row],[PlantationDate]]))</f>
        <v>9 2025</v>
      </c>
      <c r="M5140" t="str">
        <f>CONCATENATE(MONTH(CompilDonnées[[#This Row],[HarvestingDate]])," ", YEAR(CompilDonnées[[#This Row],[HarvestingDate]]))</f>
        <v>11 2025</v>
      </c>
      <c r="N5140">
        <f>_xlfn.NUMBERVALUE(CompilDonnées[[#This Row],[FarmID]]&amp;CompilDonnées[[#This Row],[ModuleNumber]]&amp;CompilDonnées[[#This Row],[PlantationDate]])</f>
        <v>47445930</v>
      </c>
      <c r="O5140" t="str">
        <f>CompilDonnées[[#This Row],[FarmID]]&amp;CompilDonnées[[#This Row],[ModuleNumber]]</f>
        <v>474</v>
      </c>
      <c r="P5140" t="str">
        <f>CompilDonnées[[#This Row],[Ref_Module]]&amp;CompilDonnées[[#This Row],[HarvestingDate]]</f>
        <v>47445985</v>
      </c>
    </row>
    <row r="5141" spans="1:16">
      <c r="A5141" s="5">
        <v>45930</v>
      </c>
      <c r="B5141">
        <v>14</v>
      </c>
      <c r="C5141" t="s">
        <v>82</v>
      </c>
      <c r="D5141">
        <v>2</v>
      </c>
      <c r="E5141">
        <v>100</v>
      </c>
      <c r="F5141" t="s">
        <v>1</v>
      </c>
      <c r="G5141" s="6">
        <v>45980</v>
      </c>
      <c r="H5141">
        <v>50</v>
      </c>
      <c r="I5141">
        <f>ROUND(CompilDonnées[[#This Row],[CultureDuration_days]]/7,0)</f>
        <v>7</v>
      </c>
      <c r="J5141">
        <v>2361</v>
      </c>
      <c r="K5141" t="str">
        <f>_xlfn.CONCAT(WEEKNUM(CompilDonnées[[#This Row],[PlantationDate]]), " ", YEAR(CompilDonnées[[#This Row],[PlantationDate]]))</f>
        <v>40 2025</v>
      </c>
      <c r="L5141" t="str">
        <f>CONCATENATE(MONTH(CompilDonnées[[#This Row],[PlantationDate]])," ", YEAR(CompilDonnées[[#This Row],[PlantationDate]]))</f>
        <v>9 2025</v>
      </c>
      <c r="M5141" t="str">
        <f>CONCATENATE(MONTH(CompilDonnées[[#This Row],[HarvestingDate]])," ", YEAR(CompilDonnées[[#This Row],[HarvestingDate]]))</f>
        <v>11 2025</v>
      </c>
      <c r="N5141">
        <f>_xlfn.NUMBERVALUE(CompilDonnées[[#This Row],[FarmID]]&amp;CompilDonnées[[#This Row],[ModuleNumber]]&amp;CompilDonnées[[#This Row],[PlantationDate]])</f>
        <v>14245930</v>
      </c>
      <c r="O5141" t="str">
        <f>CompilDonnées[[#This Row],[FarmID]]&amp;CompilDonnées[[#This Row],[ModuleNumber]]</f>
        <v>142</v>
      </c>
      <c r="P5141" t="str">
        <f>CompilDonnées[[#This Row],[Ref_Module]]&amp;CompilDonnées[[#This Row],[HarvestingDate]]</f>
        <v>14245980</v>
      </c>
    </row>
    <row r="5142" spans="1:16">
      <c r="A5142" s="5">
        <v>45930</v>
      </c>
      <c r="B5142">
        <v>2</v>
      </c>
      <c r="C5142" t="s">
        <v>126</v>
      </c>
      <c r="D5142">
        <v>1</v>
      </c>
      <c r="E5142">
        <v>100</v>
      </c>
      <c r="F5142" t="s">
        <v>1</v>
      </c>
      <c r="G5142" s="6">
        <v>45971</v>
      </c>
      <c r="H5142">
        <v>41</v>
      </c>
      <c r="I5142">
        <f>ROUND(CompilDonnées[[#This Row],[CultureDuration_days]]/7,0)</f>
        <v>6</v>
      </c>
      <c r="J5142">
        <v>2513</v>
      </c>
      <c r="K5142" t="str">
        <f>_xlfn.CONCAT(WEEKNUM(CompilDonnées[[#This Row],[PlantationDate]]), " ", YEAR(CompilDonnées[[#This Row],[PlantationDate]]))</f>
        <v>40 2025</v>
      </c>
      <c r="L5142" t="str">
        <f>CONCATENATE(MONTH(CompilDonnées[[#This Row],[PlantationDate]])," ", YEAR(CompilDonnées[[#This Row],[PlantationDate]]))</f>
        <v>9 2025</v>
      </c>
      <c r="M5142" t="str">
        <f>CONCATENATE(MONTH(CompilDonnées[[#This Row],[HarvestingDate]])," ", YEAR(CompilDonnées[[#This Row],[HarvestingDate]]))</f>
        <v>11 2025</v>
      </c>
      <c r="N5142">
        <f>_xlfn.NUMBERVALUE(CompilDonnées[[#This Row],[FarmID]]&amp;CompilDonnées[[#This Row],[ModuleNumber]]&amp;CompilDonnées[[#This Row],[PlantationDate]])</f>
        <v>2145930</v>
      </c>
      <c r="O5142" t="str">
        <f>CompilDonnées[[#This Row],[FarmID]]&amp;CompilDonnées[[#This Row],[ModuleNumber]]</f>
        <v>21</v>
      </c>
      <c r="P5142" t="str">
        <f>CompilDonnées[[#This Row],[Ref_Module]]&amp;CompilDonnées[[#This Row],[HarvestingDate]]</f>
        <v>2145971</v>
      </c>
    </row>
    <row r="5143" spans="1:16">
      <c r="A5143" s="5">
        <v>45930</v>
      </c>
      <c r="B5143">
        <v>1</v>
      </c>
      <c r="C5143" t="s">
        <v>111</v>
      </c>
      <c r="D5143">
        <v>5</v>
      </c>
      <c r="E5143">
        <v>100</v>
      </c>
      <c r="F5143" t="s">
        <v>1</v>
      </c>
      <c r="G5143" s="6">
        <v>45980</v>
      </c>
      <c r="H5143">
        <v>50</v>
      </c>
      <c r="I5143">
        <f>ROUND(CompilDonnées[[#This Row],[CultureDuration_days]]/7,0)</f>
        <v>7</v>
      </c>
      <c r="J5143">
        <v>2288</v>
      </c>
      <c r="K5143" t="str">
        <f>_xlfn.CONCAT(WEEKNUM(CompilDonnées[[#This Row],[PlantationDate]]), " ", YEAR(CompilDonnées[[#This Row],[PlantationDate]]))</f>
        <v>40 2025</v>
      </c>
      <c r="L5143" t="str">
        <f>CONCATENATE(MONTH(CompilDonnées[[#This Row],[PlantationDate]])," ", YEAR(CompilDonnées[[#This Row],[PlantationDate]]))</f>
        <v>9 2025</v>
      </c>
      <c r="M5143" t="str">
        <f>CONCATENATE(MONTH(CompilDonnées[[#This Row],[HarvestingDate]])," ", YEAR(CompilDonnées[[#This Row],[HarvestingDate]]))</f>
        <v>11 2025</v>
      </c>
      <c r="N5143">
        <f>_xlfn.NUMBERVALUE(CompilDonnées[[#This Row],[FarmID]]&amp;CompilDonnées[[#This Row],[ModuleNumber]]&amp;CompilDonnées[[#This Row],[PlantationDate]])</f>
        <v>1545930</v>
      </c>
      <c r="O5143" t="str">
        <f>CompilDonnées[[#This Row],[FarmID]]&amp;CompilDonnées[[#This Row],[ModuleNumber]]</f>
        <v>15</v>
      </c>
      <c r="P5143" t="str">
        <f>CompilDonnées[[#This Row],[Ref_Module]]&amp;CompilDonnées[[#This Row],[HarvestingDate]]</f>
        <v>1545980</v>
      </c>
    </row>
    <row r="5144" spans="1:16">
      <c r="A5144" s="5">
        <v>45930</v>
      </c>
      <c r="B5144">
        <v>4</v>
      </c>
      <c r="C5144" t="s">
        <v>74</v>
      </c>
      <c r="D5144">
        <v>1</v>
      </c>
      <c r="E5144">
        <v>100</v>
      </c>
      <c r="F5144" t="s">
        <v>1</v>
      </c>
      <c r="G5144" s="6">
        <v>45980</v>
      </c>
      <c r="H5144">
        <v>50</v>
      </c>
      <c r="I5144">
        <f>ROUND(CompilDonnées[[#This Row],[CultureDuration_days]]/7,0)</f>
        <v>7</v>
      </c>
      <c r="J5144">
        <v>2361</v>
      </c>
      <c r="K5144" t="str">
        <f>_xlfn.CONCAT(WEEKNUM(CompilDonnées[[#This Row],[PlantationDate]]), " ", YEAR(CompilDonnées[[#This Row],[PlantationDate]]))</f>
        <v>40 2025</v>
      </c>
      <c r="L5144" t="str">
        <f>CONCATENATE(MONTH(CompilDonnées[[#This Row],[PlantationDate]])," ", YEAR(CompilDonnées[[#This Row],[PlantationDate]]))</f>
        <v>9 2025</v>
      </c>
      <c r="M5144" t="str">
        <f>CONCATENATE(MONTH(CompilDonnées[[#This Row],[HarvestingDate]])," ", YEAR(CompilDonnées[[#This Row],[HarvestingDate]]))</f>
        <v>11 2025</v>
      </c>
      <c r="N5144">
        <f>_xlfn.NUMBERVALUE(CompilDonnées[[#This Row],[FarmID]]&amp;CompilDonnées[[#This Row],[ModuleNumber]]&amp;CompilDonnées[[#This Row],[PlantationDate]])</f>
        <v>4145930</v>
      </c>
      <c r="O5144" t="str">
        <f>CompilDonnées[[#This Row],[FarmID]]&amp;CompilDonnées[[#This Row],[ModuleNumber]]</f>
        <v>41</v>
      </c>
      <c r="P5144" t="str">
        <f>CompilDonnées[[#This Row],[Ref_Module]]&amp;CompilDonnées[[#This Row],[HarvestingDate]]</f>
        <v>4145980</v>
      </c>
    </row>
    <row r="5145" spans="1:16">
      <c r="A5145" s="5">
        <v>45930</v>
      </c>
      <c r="B5145">
        <v>4</v>
      </c>
      <c r="C5145" t="s">
        <v>74</v>
      </c>
      <c r="D5145">
        <v>5</v>
      </c>
      <c r="E5145">
        <v>100</v>
      </c>
      <c r="F5145" t="s">
        <v>1</v>
      </c>
      <c r="G5145" s="6">
        <v>45985</v>
      </c>
      <c r="H5145">
        <v>55</v>
      </c>
      <c r="I5145">
        <f>ROUND(CompilDonnées[[#This Row],[CultureDuration_days]]/7,0)</f>
        <v>8</v>
      </c>
      <c r="J5145">
        <v>1886</v>
      </c>
      <c r="K5145" t="str">
        <f>_xlfn.CONCAT(WEEKNUM(CompilDonnées[[#This Row],[PlantationDate]]), " ", YEAR(CompilDonnées[[#This Row],[PlantationDate]]))</f>
        <v>40 2025</v>
      </c>
      <c r="L5145" t="str">
        <f>CONCATENATE(MONTH(CompilDonnées[[#This Row],[PlantationDate]])," ", YEAR(CompilDonnées[[#This Row],[PlantationDate]]))</f>
        <v>9 2025</v>
      </c>
      <c r="M5145" t="str">
        <f>CONCATENATE(MONTH(CompilDonnées[[#This Row],[HarvestingDate]])," ", YEAR(CompilDonnées[[#This Row],[HarvestingDate]]))</f>
        <v>11 2025</v>
      </c>
      <c r="N5145">
        <f>_xlfn.NUMBERVALUE(CompilDonnées[[#This Row],[FarmID]]&amp;CompilDonnées[[#This Row],[ModuleNumber]]&amp;CompilDonnées[[#This Row],[PlantationDate]])</f>
        <v>4545930</v>
      </c>
      <c r="O5145" t="str">
        <f>CompilDonnées[[#This Row],[FarmID]]&amp;CompilDonnées[[#This Row],[ModuleNumber]]</f>
        <v>45</v>
      </c>
      <c r="P5145" t="str">
        <f>CompilDonnées[[#This Row],[Ref_Module]]&amp;CompilDonnées[[#This Row],[HarvestingDate]]</f>
        <v>4545985</v>
      </c>
    </row>
    <row r="5146" spans="1:16">
      <c r="A5146" s="5">
        <v>45930</v>
      </c>
      <c r="B5146">
        <v>37</v>
      </c>
      <c r="C5146" t="s">
        <v>26</v>
      </c>
      <c r="D5146">
        <v>1</v>
      </c>
      <c r="E5146">
        <v>100</v>
      </c>
      <c r="F5146" t="s">
        <v>1</v>
      </c>
      <c r="G5146" s="6">
        <v>45979</v>
      </c>
      <c r="H5146">
        <v>49</v>
      </c>
      <c r="I5146">
        <f>ROUND(CompilDonnées[[#This Row],[CultureDuration_days]]/7,0)</f>
        <v>7</v>
      </c>
      <c r="J5146">
        <v>2405</v>
      </c>
      <c r="K5146" t="str">
        <f>_xlfn.CONCAT(WEEKNUM(CompilDonnées[[#This Row],[PlantationDate]]), " ", YEAR(CompilDonnées[[#This Row],[PlantationDate]]))</f>
        <v>40 2025</v>
      </c>
      <c r="L5146" t="str">
        <f>CONCATENATE(MONTH(CompilDonnées[[#This Row],[PlantationDate]])," ", YEAR(CompilDonnées[[#This Row],[PlantationDate]]))</f>
        <v>9 2025</v>
      </c>
      <c r="M5146" t="str">
        <f>CONCATENATE(MONTH(CompilDonnées[[#This Row],[HarvestingDate]])," ", YEAR(CompilDonnées[[#This Row],[HarvestingDate]]))</f>
        <v>11 2025</v>
      </c>
      <c r="N5146">
        <f>_xlfn.NUMBERVALUE(CompilDonnées[[#This Row],[FarmID]]&amp;CompilDonnées[[#This Row],[ModuleNumber]]&amp;CompilDonnées[[#This Row],[PlantationDate]])</f>
        <v>37145930</v>
      </c>
      <c r="O5146" t="str">
        <f>CompilDonnées[[#This Row],[FarmID]]&amp;CompilDonnées[[#This Row],[ModuleNumber]]</f>
        <v>371</v>
      </c>
      <c r="P5146" t="str">
        <f>CompilDonnées[[#This Row],[Ref_Module]]&amp;CompilDonnées[[#This Row],[HarvestingDate]]</f>
        <v>37145979</v>
      </c>
    </row>
    <row r="5147" spans="1:16">
      <c r="A5147" s="5">
        <v>45930</v>
      </c>
      <c r="B5147">
        <v>41</v>
      </c>
      <c r="C5147" t="s">
        <v>70</v>
      </c>
      <c r="D5147">
        <v>5</v>
      </c>
      <c r="E5147">
        <v>100</v>
      </c>
      <c r="F5147" t="s">
        <v>1</v>
      </c>
      <c r="G5147" s="6">
        <v>45985</v>
      </c>
      <c r="H5147">
        <v>55</v>
      </c>
      <c r="I5147">
        <f>ROUND(CompilDonnées[[#This Row],[CultureDuration_days]]/7,0)</f>
        <v>8</v>
      </c>
      <c r="J5147">
        <v>2292</v>
      </c>
      <c r="K5147" t="str">
        <f>_xlfn.CONCAT(WEEKNUM(CompilDonnées[[#This Row],[PlantationDate]]), " ", YEAR(CompilDonnées[[#This Row],[PlantationDate]]))</f>
        <v>40 2025</v>
      </c>
      <c r="L5147" t="str">
        <f>CONCATENATE(MONTH(CompilDonnées[[#This Row],[PlantationDate]])," ", YEAR(CompilDonnées[[#This Row],[PlantationDate]]))</f>
        <v>9 2025</v>
      </c>
      <c r="M5147" t="str">
        <f>CONCATENATE(MONTH(CompilDonnées[[#This Row],[HarvestingDate]])," ", YEAR(CompilDonnées[[#This Row],[HarvestingDate]]))</f>
        <v>11 2025</v>
      </c>
      <c r="N5147">
        <f>_xlfn.NUMBERVALUE(CompilDonnées[[#This Row],[FarmID]]&amp;CompilDonnées[[#This Row],[ModuleNumber]]&amp;CompilDonnées[[#This Row],[PlantationDate]])</f>
        <v>41545930</v>
      </c>
      <c r="O5147" t="str">
        <f>CompilDonnées[[#This Row],[FarmID]]&amp;CompilDonnées[[#This Row],[ModuleNumber]]</f>
        <v>415</v>
      </c>
      <c r="P5147" t="str">
        <f>CompilDonnées[[#This Row],[Ref_Module]]&amp;CompilDonnées[[#This Row],[HarvestingDate]]</f>
        <v>41545985</v>
      </c>
    </row>
    <row r="5148" spans="1:16">
      <c r="A5148" s="5">
        <v>45930</v>
      </c>
      <c r="B5148">
        <v>18</v>
      </c>
      <c r="C5148" t="s">
        <v>33</v>
      </c>
      <c r="D5148">
        <v>2</v>
      </c>
      <c r="E5148">
        <v>100</v>
      </c>
      <c r="F5148" t="s">
        <v>1</v>
      </c>
      <c r="G5148" s="6">
        <v>45980</v>
      </c>
      <c r="H5148">
        <v>50</v>
      </c>
      <c r="I5148">
        <f>ROUND(CompilDonnées[[#This Row],[CultureDuration_days]]/7,0)</f>
        <v>7</v>
      </c>
      <c r="J5148">
        <v>3408</v>
      </c>
      <c r="K5148" t="str">
        <f>_xlfn.CONCAT(WEEKNUM(CompilDonnées[[#This Row],[PlantationDate]]), " ", YEAR(CompilDonnées[[#This Row],[PlantationDate]]))</f>
        <v>40 2025</v>
      </c>
      <c r="L5148" t="str">
        <f>CONCATENATE(MONTH(CompilDonnées[[#This Row],[PlantationDate]])," ", YEAR(CompilDonnées[[#This Row],[PlantationDate]]))</f>
        <v>9 2025</v>
      </c>
      <c r="M5148" t="str">
        <f>CONCATENATE(MONTH(CompilDonnées[[#This Row],[HarvestingDate]])," ", YEAR(CompilDonnées[[#This Row],[HarvestingDate]]))</f>
        <v>11 2025</v>
      </c>
      <c r="N5148">
        <f>_xlfn.NUMBERVALUE(CompilDonnées[[#This Row],[FarmID]]&amp;CompilDonnées[[#This Row],[ModuleNumber]]&amp;CompilDonnées[[#This Row],[PlantationDate]])</f>
        <v>18245930</v>
      </c>
      <c r="O5148" t="str">
        <f>CompilDonnées[[#This Row],[FarmID]]&amp;CompilDonnées[[#This Row],[ModuleNumber]]</f>
        <v>182</v>
      </c>
      <c r="P5148" t="str">
        <f>CompilDonnées[[#This Row],[Ref_Module]]&amp;CompilDonnées[[#This Row],[HarvestingDate]]</f>
        <v>18245980</v>
      </c>
    </row>
    <row r="5149" spans="1:16">
      <c r="A5149" s="5">
        <v>45930</v>
      </c>
      <c r="B5149">
        <v>44</v>
      </c>
      <c r="C5149" t="s">
        <v>42</v>
      </c>
      <c r="D5149">
        <v>2</v>
      </c>
      <c r="E5149">
        <v>100</v>
      </c>
      <c r="F5149" t="s">
        <v>1</v>
      </c>
      <c r="G5149" s="6">
        <v>45979</v>
      </c>
      <c r="H5149">
        <v>49</v>
      </c>
      <c r="I5149">
        <f>ROUND(CompilDonnées[[#This Row],[CultureDuration_days]]/7,0)</f>
        <v>7</v>
      </c>
      <c r="J5149">
        <v>2088</v>
      </c>
      <c r="K5149" t="str">
        <f>_xlfn.CONCAT(WEEKNUM(CompilDonnées[[#This Row],[PlantationDate]]), " ", YEAR(CompilDonnées[[#This Row],[PlantationDate]]))</f>
        <v>40 2025</v>
      </c>
      <c r="L5149" t="str">
        <f>CONCATENATE(MONTH(CompilDonnées[[#This Row],[PlantationDate]])," ", YEAR(CompilDonnées[[#This Row],[PlantationDate]]))</f>
        <v>9 2025</v>
      </c>
      <c r="M5149" t="str">
        <f>CONCATENATE(MONTH(CompilDonnées[[#This Row],[HarvestingDate]])," ", YEAR(CompilDonnées[[#This Row],[HarvestingDate]]))</f>
        <v>11 2025</v>
      </c>
      <c r="N5149">
        <f>_xlfn.NUMBERVALUE(CompilDonnées[[#This Row],[FarmID]]&amp;CompilDonnées[[#This Row],[ModuleNumber]]&amp;CompilDonnées[[#This Row],[PlantationDate]])</f>
        <v>44245930</v>
      </c>
      <c r="O5149" t="str">
        <f>CompilDonnées[[#This Row],[FarmID]]&amp;CompilDonnées[[#This Row],[ModuleNumber]]</f>
        <v>442</v>
      </c>
      <c r="P5149" t="str">
        <f>CompilDonnées[[#This Row],[Ref_Module]]&amp;CompilDonnées[[#This Row],[HarvestingDate]]</f>
        <v>44245979</v>
      </c>
    </row>
    <row r="5150" spans="1:16">
      <c r="A5150" s="5">
        <v>45930</v>
      </c>
      <c r="B5150">
        <v>17</v>
      </c>
      <c r="C5150" t="s">
        <v>80</v>
      </c>
      <c r="D5150">
        <v>3</v>
      </c>
      <c r="E5150">
        <v>100</v>
      </c>
      <c r="F5150" t="s">
        <v>1</v>
      </c>
      <c r="G5150" s="6">
        <v>45980</v>
      </c>
      <c r="H5150">
        <v>50</v>
      </c>
      <c r="I5150">
        <f>ROUND(CompilDonnées[[#This Row],[CultureDuration_days]]/7,0)</f>
        <v>7</v>
      </c>
      <c r="J5150">
        <v>1950</v>
      </c>
      <c r="K5150" t="str">
        <f>_xlfn.CONCAT(WEEKNUM(CompilDonnées[[#This Row],[PlantationDate]]), " ", YEAR(CompilDonnées[[#This Row],[PlantationDate]]))</f>
        <v>40 2025</v>
      </c>
      <c r="L5150" t="str">
        <f>CONCATENATE(MONTH(CompilDonnées[[#This Row],[PlantationDate]])," ", YEAR(CompilDonnées[[#This Row],[PlantationDate]]))</f>
        <v>9 2025</v>
      </c>
      <c r="M5150" t="str">
        <f>CONCATENATE(MONTH(CompilDonnées[[#This Row],[HarvestingDate]])," ", YEAR(CompilDonnées[[#This Row],[HarvestingDate]]))</f>
        <v>11 2025</v>
      </c>
      <c r="N5150">
        <f>_xlfn.NUMBERVALUE(CompilDonnées[[#This Row],[FarmID]]&amp;CompilDonnées[[#This Row],[ModuleNumber]]&amp;CompilDonnées[[#This Row],[PlantationDate]])</f>
        <v>17345930</v>
      </c>
      <c r="O5150" t="str">
        <f>CompilDonnées[[#This Row],[FarmID]]&amp;CompilDonnées[[#This Row],[ModuleNumber]]</f>
        <v>173</v>
      </c>
      <c r="P5150" t="str">
        <f>CompilDonnées[[#This Row],[Ref_Module]]&amp;CompilDonnées[[#This Row],[HarvestingDate]]</f>
        <v>17345980</v>
      </c>
    </row>
    <row r="5151" spans="1:16">
      <c r="A5151" s="5">
        <v>45930</v>
      </c>
      <c r="B5151">
        <v>32</v>
      </c>
      <c r="C5151" t="s">
        <v>25</v>
      </c>
      <c r="D5151">
        <v>3</v>
      </c>
      <c r="E5151">
        <v>100</v>
      </c>
      <c r="F5151" t="s">
        <v>1</v>
      </c>
      <c r="G5151" s="6">
        <v>45971</v>
      </c>
      <c r="H5151">
        <v>41</v>
      </c>
      <c r="I5151">
        <f>ROUND(CompilDonnées[[#This Row],[CultureDuration_days]]/7,0)</f>
        <v>6</v>
      </c>
      <c r="J5151">
        <v>3108</v>
      </c>
      <c r="K5151" t="str">
        <f>_xlfn.CONCAT(WEEKNUM(CompilDonnées[[#This Row],[PlantationDate]]), " ", YEAR(CompilDonnées[[#This Row],[PlantationDate]]))</f>
        <v>40 2025</v>
      </c>
      <c r="L5151" t="str">
        <f>CONCATENATE(MONTH(CompilDonnées[[#This Row],[PlantationDate]])," ", YEAR(CompilDonnées[[#This Row],[PlantationDate]]))</f>
        <v>9 2025</v>
      </c>
      <c r="M5151" t="str">
        <f>CONCATENATE(MONTH(CompilDonnées[[#This Row],[HarvestingDate]])," ", YEAR(CompilDonnées[[#This Row],[HarvestingDate]]))</f>
        <v>11 2025</v>
      </c>
      <c r="N5151">
        <f>_xlfn.NUMBERVALUE(CompilDonnées[[#This Row],[FarmID]]&amp;CompilDonnées[[#This Row],[ModuleNumber]]&amp;CompilDonnées[[#This Row],[PlantationDate]])</f>
        <v>32345930</v>
      </c>
      <c r="O5151" t="str">
        <f>CompilDonnées[[#This Row],[FarmID]]&amp;CompilDonnées[[#This Row],[ModuleNumber]]</f>
        <v>323</v>
      </c>
      <c r="P5151" t="str">
        <f>CompilDonnées[[#This Row],[Ref_Module]]&amp;CompilDonnées[[#This Row],[HarvestingDate]]</f>
        <v>32345971</v>
      </c>
    </row>
    <row r="5152" spans="1:16">
      <c r="A5152" s="5">
        <v>45930</v>
      </c>
      <c r="B5152">
        <v>31</v>
      </c>
      <c r="C5152" t="s">
        <v>62</v>
      </c>
      <c r="D5152">
        <v>3</v>
      </c>
      <c r="E5152">
        <v>100</v>
      </c>
      <c r="F5152" t="s">
        <v>1</v>
      </c>
      <c r="G5152" s="6">
        <v>45971</v>
      </c>
      <c r="H5152">
        <v>41</v>
      </c>
      <c r="I5152">
        <f>ROUND(CompilDonnées[[#This Row],[CultureDuration_days]]/7,0)</f>
        <v>6</v>
      </c>
      <c r="J5152">
        <v>2276</v>
      </c>
      <c r="K5152" t="str">
        <f>_xlfn.CONCAT(WEEKNUM(CompilDonnées[[#This Row],[PlantationDate]]), " ", YEAR(CompilDonnées[[#This Row],[PlantationDate]]))</f>
        <v>40 2025</v>
      </c>
      <c r="L5152" t="str">
        <f>CONCATENATE(MONTH(CompilDonnées[[#This Row],[PlantationDate]])," ", YEAR(CompilDonnées[[#This Row],[PlantationDate]]))</f>
        <v>9 2025</v>
      </c>
      <c r="M5152" t="str">
        <f>CONCATENATE(MONTH(CompilDonnées[[#This Row],[HarvestingDate]])," ", YEAR(CompilDonnées[[#This Row],[HarvestingDate]]))</f>
        <v>11 2025</v>
      </c>
      <c r="N5152">
        <f>_xlfn.NUMBERVALUE(CompilDonnées[[#This Row],[FarmID]]&amp;CompilDonnées[[#This Row],[ModuleNumber]]&amp;CompilDonnées[[#This Row],[PlantationDate]])</f>
        <v>31345930</v>
      </c>
      <c r="O5152" t="str">
        <f>CompilDonnées[[#This Row],[FarmID]]&amp;CompilDonnées[[#This Row],[ModuleNumber]]</f>
        <v>313</v>
      </c>
      <c r="P5152" t="str">
        <f>CompilDonnées[[#This Row],[Ref_Module]]&amp;CompilDonnées[[#This Row],[HarvestingDate]]</f>
        <v>31345971</v>
      </c>
    </row>
    <row r="5153" spans="1:16">
      <c r="A5153" s="5">
        <v>45930</v>
      </c>
      <c r="B5153">
        <v>35</v>
      </c>
      <c r="C5153" t="s">
        <v>69</v>
      </c>
      <c r="D5153">
        <v>3</v>
      </c>
      <c r="E5153">
        <v>100</v>
      </c>
      <c r="F5153" t="s">
        <v>1</v>
      </c>
      <c r="G5153" s="6">
        <v>45985</v>
      </c>
      <c r="H5153">
        <v>55</v>
      </c>
      <c r="I5153">
        <f>ROUND(CompilDonnées[[#This Row],[CultureDuration_days]]/7,0)</f>
        <v>8</v>
      </c>
      <c r="J5153">
        <v>1467</v>
      </c>
      <c r="K5153" t="str">
        <f>_xlfn.CONCAT(WEEKNUM(CompilDonnées[[#This Row],[PlantationDate]]), " ", YEAR(CompilDonnées[[#This Row],[PlantationDate]]))</f>
        <v>40 2025</v>
      </c>
      <c r="L5153" t="str">
        <f>CONCATENATE(MONTH(CompilDonnées[[#This Row],[PlantationDate]])," ", YEAR(CompilDonnées[[#This Row],[PlantationDate]]))</f>
        <v>9 2025</v>
      </c>
      <c r="M5153" t="str">
        <f>CONCATENATE(MONTH(CompilDonnées[[#This Row],[HarvestingDate]])," ", YEAR(CompilDonnées[[#This Row],[HarvestingDate]]))</f>
        <v>11 2025</v>
      </c>
      <c r="N5153">
        <f>_xlfn.NUMBERVALUE(CompilDonnées[[#This Row],[FarmID]]&amp;CompilDonnées[[#This Row],[ModuleNumber]]&amp;CompilDonnées[[#This Row],[PlantationDate]])</f>
        <v>35345930</v>
      </c>
      <c r="O5153" t="str">
        <f>CompilDonnées[[#This Row],[FarmID]]&amp;CompilDonnées[[#This Row],[ModuleNumber]]</f>
        <v>353</v>
      </c>
      <c r="P5153" t="str">
        <f>CompilDonnées[[#This Row],[Ref_Module]]&amp;CompilDonnées[[#This Row],[HarvestingDate]]</f>
        <v>35345985</v>
      </c>
    </row>
    <row r="5154" spans="1:16">
      <c r="A5154" s="5">
        <v>45930</v>
      </c>
      <c r="B5154">
        <v>24</v>
      </c>
      <c r="C5154" t="s">
        <v>31</v>
      </c>
      <c r="D5154">
        <v>3</v>
      </c>
      <c r="E5154">
        <v>100</v>
      </c>
      <c r="F5154" t="s">
        <v>1</v>
      </c>
      <c r="G5154" s="6">
        <v>45971</v>
      </c>
      <c r="H5154">
        <v>41</v>
      </c>
      <c r="I5154">
        <f>ROUND(CompilDonnées[[#This Row],[CultureDuration_days]]/7,0)</f>
        <v>6</v>
      </c>
      <c r="J5154">
        <v>3401</v>
      </c>
      <c r="K5154" t="str">
        <f>_xlfn.CONCAT(WEEKNUM(CompilDonnées[[#This Row],[PlantationDate]]), " ", YEAR(CompilDonnées[[#This Row],[PlantationDate]]))</f>
        <v>40 2025</v>
      </c>
      <c r="L5154" t="str">
        <f>CONCATENATE(MONTH(CompilDonnées[[#This Row],[PlantationDate]])," ", YEAR(CompilDonnées[[#This Row],[PlantationDate]]))</f>
        <v>9 2025</v>
      </c>
      <c r="M5154" t="str">
        <f>CONCATENATE(MONTH(CompilDonnées[[#This Row],[HarvestingDate]])," ", YEAR(CompilDonnées[[#This Row],[HarvestingDate]]))</f>
        <v>11 2025</v>
      </c>
      <c r="N5154">
        <f>_xlfn.NUMBERVALUE(CompilDonnées[[#This Row],[FarmID]]&amp;CompilDonnées[[#This Row],[ModuleNumber]]&amp;CompilDonnées[[#This Row],[PlantationDate]])</f>
        <v>24345930</v>
      </c>
      <c r="O5154" t="str">
        <f>CompilDonnées[[#This Row],[FarmID]]&amp;CompilDonnées[[#This Row],[ModuleNumber]]</f>
        <v>243</v>
      </c>
      <c r="P5154" t="str">
        <f>CompilDonnées[[#This Row],[Ref_Module]]&amp;CompilDonnées[[#This Row],[HarvestingDate]]</f>
        <v>24345971</v>
      </c>
    </row>
    <row r="5155" spans="1:16">
      <c r="A5155" s="5">
        <v>45930</v>
      </c>
      <c r="B5155">
        <v>23</v>
      </c>
      <c r="C5155" t="s">
        <v>44</v>
      </c>
      <c r="D5155">
        <v>4</v>
      </c>
      <c r="E5155">
        <v>100</v>
      </c>
      <c r="F5155" t="s">
        <v>1</v>
      </c>
      <c r="G5155" s="6">
        <v>45980</v>
      </c>
      <c r="H5155">
        <v>50</v>
      </c>
      <c r="I5155">
        <f>ROUND(CompilDonnées[[#This Row],[CultureDuration_days]]/7,0)</f>
        <v>7</v>
      </c>
      <c r="J5155">
        <v>2506</v>
      </c>
      <c r="K5155" t="str">
        <f>_xlfn.CONCAT(WEEKNUM(CompilDonnées[[#This Row],[PlantationDate]]), " ", YEAR(CompilDonnées[[#This Row],[PlantationDate]]))</f>
        <v>40 2025</v>
      </c>
      <c r="L5155" t="str">
        <f>CONCATENATE(MONTH(CompilDonnées[[#This Row],[PlantationDate]])," ", YEAR(CompilDonnées[[#This Row],[PlantationDate]]))</f>
        <v>9 2025</v>
      </c>
      <c r="M5155" t="str">
        <f>CONCATENATE(MONTH(CompilDonnées[[#This Row],[HarvestingDate]])," ", YEAR(CompilDonnées[[#This Row],[HarvestingDate]]))</f>
        <v>11 2025</v>
      </c>
      <c r="N5155">
        <f>_xlfn.NUMBERVALUE(CompilDonnées[[#This Row],[FarmID]]&amp;CompilDonnées[[#This Row],[ModuleNumber]]&amp;CompilDonnées[[#This Row],[PlantationDate]])</f>
        <v>23445930</v>
      </c>
      <c r="O5155" t="str">
        <f>CompilDonnées[[#This Row],[FarmID]]&amp;CompilDonnées[[#This Row],[ModuleNumber]]</f>
        <v>234</v>
      </c>
      <c r="P5155" t="str">
        <f>CompilDonnées[[#This Row],[Ref_Module]]&amp;CompilDonnées[[#This Row],[HarvestingDate]]</f>
        <v>23445980</v>
      </c>
    </row>
    <row r="5156" spans="1:16">
      <c r="A5156" s="5">
        <v>45930</v>
      </c>
      <c r="B5156">
        <v>43</v>
      </c>
      <c r="C5156" t="s">
        <v>45</v>
      </c>
      <c r="D5156">
        <v>4</v>
      </c>
      <c r="E5156">
        <v>100</v>
      </c>
      <c r="F5156" t="s">
        <v>1</v>
      </c>
      <c r="G5156" s="6">
        <v>45972</v>
      </c>
      <c r="H5156">
        <v>42</v>
      </c>
      <c r="I5156">
        <f>ROUND(CompilDonnées[[#This Row],[CultureDuration_days]]/7,0)</f>
        <v>6</v>
      </c>
      <c r="J5156">
        <v>2311</v>
      </c>
      <c r="K5156" t="str">
        <f>_xlfn.CONCAT(WEEKNUM(CompilDonnées[[#This Row],[PlantationDate]]), " ", YEAR(CompilDonnées[[#This Row],[PlantationDate]]))</f>
        <v>40 2025</v>
      </c>
      <c r="L5156" t="str">
        <f>CONCATENATE(MONTH(CompilDonnées[[#This Row],[PlantationDate]])," ", YEAR(CompilDonnées[[#This Row],[PlantationDate]]))</f>
        <v>9 2025</v>
      </c>
      <c r="M5156" t="str">
        <f>CONCATENATE(MONTH(CompilDonnées[[#This Row],[HarvestingDate]])," ", YEAR(CompilDonnées[[#This Row],[HarvestingDate]]))</f>
        <v>11 2025</v>
      </c>
      <c r="N5156">
        <f>_xlfn.NUMBERVALUE(CompilDonnées[[#This Row],[FarmID]]&amp;CompilDonnées[[#This Row],[ModuleNumber]]&amp;CompilDonnées[[#This Row],[PlantationDate]])</f>
        <v>43445930</v>
      </c>
      <c r="O5156" t="str">
        <f>CompilDonnées[[#This Row],[FarmID]]&amp;CompilDonnées[[#This Row],[ModuleNumber]]</f>
        <v>434</v>
      </c>
      <c r="P5156" t="str">
        <f>CompilDonnées[[#This Row],[Ref_Module]]&amp;CompilDonnées[[#This Row],[HarvestingDate]]</f>
        <v>43445972</v>
      </c>
    </row>
    <row r="5157" spans="1:16">
      <c r="A5157" s="5">
        <v>45930</v>
      </c>
      <c r="B5157">
        <v>36</v>
      </c>
      <c r="C5157" t="s">
        <v>63</v>
      </c>
      <c r="D5157">
        <v>4</v>
      </c>
      <c r="E5157">
        <v>100</v>
      </c>
      <c r="F5157" t="s">
        <v>1</v>
      </c>
      <c r="G5157" s="6">
        <v>45979</v>
      </c>
      <c r="H5157">
        <v>49</v>
      </c>
      <c r="I5157">
        <f>ROUND(CompilDonnées[[#This Row],[CultureDuration_days]]/7,0)</f>
        <v>7</v>
      </c>
      <c r="J5157">
        <v>1905</v>
      </c>
      <c r="K5157" t="str">
        <f>_xlfn.CONCAT(WEEKNUM(CompilDonnées[[#This Row],[PlantationDate]]), " ", YEAR(CompilDonnées[[#This Row],[PlantationDate]]))</f>
        <v>40 2025</v>
      </c>
      <c r="L5157" t="str">
        <f>CONCATENATE(MONTH(CompilDonnées[[#This Row],[PlantationDate]])," ", YEAR(CompilDonnées[[#This Row],[PlantationDate]]))</f>
        <v>9 2025</v>
      </c>
      <c r="M5157" t="str">
        <f>CONCATENATE(MONTH(CompilDonnées[[#This Row],[HarvestingDate]])," ", YEAR(CompilDonnées[[#This Row],[HarvestingDate]]))</f>
        <v>11 2025</v>
      </c>
      <c r="N5157">
        <f>_xlfn.NUMBERVALUE(CompilDonnées[[#This Row],[FarmID]]&amp;CompilDonnées[[#This Row],[ModuleNumber]]&amp;CompilDonnées[[#This Row],[PlantationDate]])</f>
        <v>36445930</v>
      </c>
      <c r="O5157" t="str">
        <f>CompilDonnées[[#This Row],[FarmID]]&amp;CompilDonnées[[#This Row],[ModuleNumber]]</f>
        <v>364</v>
      </c>
      <c r="P5157" t="str">
        <f>CompilDonnées[[#This Row],[Ref_Module]]&amp;CompilDonnées[[#This Row],[HarvestingDate]]</f>
        <v>36445979</v>
      </c>
    </row>
    <row r="5158" spans="1:16">
      <c r="A5158" s="5">
        <v>45930</v>
      </c>
      <c r="B5158">
        <v>38</v>
      </c>
      <c r="C5158" t="s">
        <v>34</v>
      </c>
      <c r="D5158">
        <v>2</v>
      </c>
      <c r="E5158">
        <v>100</v>
      </c>
      <c r="F5158" t="s">
        <v>1</v>
      </c>
      <c r="G5158" s="6">
        <v>45980</v>
      </c>
      <c r="H5158">
        <v>50</v>
      </c>
      <c r="I5158">
        <f>ROUND(CompilDonnées[[#This Row],[CultureDuration_days]]/7,0)</f>
        <v>7</v>
      </c>
      <c r="J5158">
        <v>3029</v>
      </c>
      <c r="K5158" t="str">
        <f>_xlfn.CONCAT(WEEKNUM(CompilDonnées[[#This Row],[PlantationDate]]), " ", YEAR(CompilDonnées[[#This Row],[PlantationDate]]))</f>
        <v>40 2025</v>
      </c>
      <c r="L5158" t="str">
        <f>CONCATENATE(MONTH(CompilDonnées[[#This Row],[PlantationDate]])," ", YEAR(CompilDonnées[[#This Row],[PlantationDate]]))</f>
        <v>9 2025</v>
      </c>
      <c r="M5158" t="str">
        <f>CONCATENATE(MONTH(CompilDonnées[[#This Row],[HarvestingDate]])," ", YEAR(CompilDonnées[[#This Row],[HarvestingDate]]))</f>
        <v>11 2025</v>
      </c>
      <c r="N5158">
        <f>_xlfn.NUMBERVALUE(CompilDonnées[[#This Row],[FarmID]]&amp;CompilDonnées[[#This Row],[ModuleNumber]]&amp;CompilDonnées[[#This Row],[PlantationDate]])</f>
        <v>38245930</v>
      </c>
      <c r="O5158" t="str">
        <f>CompilDonnées[[#This Row],[FarmID]]&amp;CompilDonnées[[#This Row],[ModuleNumber]]</f>
        <v>382</v>
      </c>
      <c r="P5158" t="str">
        <f>CompilDonnées[[#This Row],[Ref_Module]]&amp;CompilDonnées[[#This Row],[HarvestingDate]]</f>
        <v>38245980</v>
      </c>
    </row>
    <row r="5159" spans="1:16">
      <c r="A5159" s="5">
        <v>45930</v>
      </c>
      <c r="B5159">
        <v>15</v>
      </c>
      <c r="C5159" t="s">
        <v>5</v>
      </c>
      <c r="D5159">
        <v>6</v>
      </c>
      <c r="E5159">
        <v>100</v>
      </c>
      <c r="F5159" t="s">
        <v>1</v>
      </c>
      <c r="G5159" s="6">
        <v>45980</v>
      </c>
      <c r="H5159">
        <v>50</v>
      </c>
      <c r="I5159">
        <f>ROUND(CompilDonnées[[#This Row],[CultureDuration_days]]/7,0)</f>
        <v>7</v>
      </c>
      <c r="J5159">
        <v>2845</v>
      </c>
      <c r="K5159" t="str">
        <f>_xlfn.CONCAT(WEEKNUM(CompilDonnées[[#This Row],[PlantationDate]]), " ", YEAR(CompilDonnées[[#This Row],[PlantationDate]]))</f>
        <v>40 2025</v>
      </c>
      <c r="L5159" t="str">
        <f>CONCATENATE(MONTH(CompilDonnées[[#This Row],[PlantationDate]])," ", YEAR(CompilDonnées[[#This Row],[PlantationDate]]))</f>
        <v>9 2025</v>
      </c>
      <c r="M5159" t="str">
        <f>CONCATENATE(MONTH(CompilDonnées[[#This Row],[HarvestingDate]])," ", YEAR(CompilDonnées[[#This Row],[HarvestingDate]]))</f>
        <v>11 2025</v>
      </c>
      <c r="N5159">
        <f>_xlfn.NUMBERVALUE(CompilDonnées[[#This Row],[FarmID]]&amp;CompilDonnées[[#This Row],[ModuleNumber]]&amp;CompilDonnées[[#This Row],[PlantationDate]])</f>
        <v>15645930</v>
      </c>
      <c r="O5159" t="str">
        <f>CompilDonnées[[#This Row],[FarmID]]&amp;CompilDonnées[[#This Row],[ModuleNumber]]</f>
        <v>156</v>
      </c>
      <c r="P5159" t="str">
        <f>CompilDonnées[[#This Row],[Ref_Module]]&amp;CompilDonnées[[#This Row],[HarvestingDate]]</f>
        <v>15645980</v>
      </c>
    </row>
    <row r="5160" spans="1:16">
      <c r="A5160" s="5">
        <v>45930</v>
      </c>
      <c r="B5160">
        <v>55</v>
      </c>
      <c r="C5160" t="s">
        <v>60</v>
      </c>
      <c r="D5160">
        <v>3</v>
      </c>
      <c r="E5160">
        <v>100</v>
      </c>
      <c r="F5160" t="s">
        <v>1</v>
      </c>
      <c r="G5160" s="6">
        <v>45979</v>
      </c>
      <c r="H5160">
        <v>49</v>
      </c>
      <c r="I5160">
        <f>ROUND(CompilDonnées[[#This Row],[CultureDuration_days]]/7,0)</f>
        <v>7</v>
      </c>
      <c r="J5160">
        <v>1724</v>
      </c>
      <c r="K5160" t="str">
        <f>_xlfn.CONCAT(WEEKNUM(CompilDonnées[[#This Row],[PlantationDate]]), " ", YEAR(CompilDonnées[[#This Row],[PlantationDate]]))</f>
        <v>40 2025</v>
      </c>
      <c r="L5160" t="str">
        <f>CONCATENATE(MONTH(CompilDonnées[[#This Row],[PlantationDate]])," ", YEAR(CompilDonnées[[#This Row],[PlantationDate]]))</f>
        <v>9 2025</v>
      </c>
      <c r="M5160" t="str">
        <f>CONCATENATE(MONTH(CompilDonnées[[#This Row],[HarvestingDate]])," ", YEAR(CompilDonnées[[#This Row],[HarvestingDate]]))</f>
        <v>11 2025</v>
      </c>
      <c r="N5160">
        <f>_xlfn.NUMBERVALUE(CompilDonnées[[#This Row],[FarmID]]&amp;CompilDonnées[[#This Row],[ModuleNumber]]&amp;CompilDonnées[[#This Row],[PlantationDate]])</f>
        <v>55345930</v>
      </c>
      <c r="O5160" t="str">
        <f>CompilDonnées[[#This Row],[FarmID]]&amp;CompilDonnées[[#This Row],[ModuleNumber]]</f>
        <v>553</v>
      </c>
      <c r="P5160" t="str">
        <f>CompilDonnées[[#This Row],[Ref_Module]]&amp;CompilDonnées[[#This Row],[HarvestingDate]]</f>
        <v>55345979</v>
      </c>
    </row>
    <row r="5161" spans="1:16">
      <c r="A5161" s="5">
        <v>45930</v>
      </c>
      <c r="B5161">
        <v>68</v>
      </c>
      <c r="C5161" t="s">
        <v>89</v>
      </c>
      <c r="D5161">
        <v>2</v>
      </c>
      <c r="E5161">
        <v>100</v>
      </c>
      <c r="F5161" t="s">
        <v>1</v>
      </c>
      <c r="G5161" s="6">
        <v>45972</v>
      </c>
      <c r="H5161">
        <v>42</v>
      </c>
      <c r="I5161">
        <f>ROUND(CompilDonnées[[#This Row],[CultureDuration_days]]/7,0)</f>
        <v>6</v>
      </c>
      <c r="J5161">
        <v>3781</v>
      </c>
      <c r="K5161" t="str">
        <f>_xlfn.CONCAT(WEEKNUM(CompilDonnées[[#This Row],[PlantationDate]]), " ", YEAR(CompilDonnées[[#This Row],[PlantationDate]]))</f>
        <v>40 2025</v>
      </c>
      <c r="L5161" t="str">
        <f>CONCATENATE(MONTH(CompilDonnées[[#This Row],[PlantationDate]])," ", YEAR(CompilDonnées[[#This Row],[PlantationDate]]))</f>
        <v>9 2025</v>
      </c>
      <c r="M5161" t="str">
        <f>CONCATENATE(MONTH(CompilDonnées[[#This Row],[HarvestingDate]])," ", YEAR(CompilDonnées[[#This Row],[HarvestingDate]]))</f>
        <v>11 2025</v>
      </c>
      <c r="N5161">
        <f>_xlfn.NUMBERVALUE(CompilDonnées[[#This Row],[FarmID]]&amp;CompilDonnées[[#This Row],[ModuleNumber]]&amp;CompilDonnées[[#This Row],[PlantationDate]])</f>
        <v>68245930</v>
      </c>
      <c r="O5161" t="str">
        <f>CompilDonnées[[#This Row],[FarmID]]&amp;CompilDonnées[[#This Row],[ModuleNumber]]</f>
        <v>682</v>
      </c>
      <c r="P5161" t="str">
        <f>CompilDonnées[[#This Row],[Ref_Module]]&amp;CompilDonnées[[#This Row],[HarvestingDate]]</f>
        <v>68245972</v>
      </c>
    </row>
    <row r="5162" spans="1:16">
      <c r="A5162" s="5">
        <v>45930</v>
      </c>
      <c r="B5162">
        <v>48</v>
      </c>
      <c r="C5162" t="s">
        <v>71</v>
      </c>
      <c r="D5162">
        <v>6</v>
      </c>
      <c r="E5162">
        <v>100</v>
      </c>
      <c r="F5162" t="s">
        <v>1</v>
      </c>
      <c r="G5162" s="6">
        <v>45972</v>
      </c>
      <c r="H5162">
        <v>42</v>
      </c>
      <c r="I5162">
        <f>ROUND(CompilDonnées[[#This Row],[CultureDuration_days]]/7,0)</f>
        <v>6</v>
      </c>
      <c r="J5162">
        <v>2214</v>
      </c>
      <c r="K5162" t="str">
        <f>_xlfn.CONCAT(WEEKNUM(CompilDonnées[[#This Row],[PlantationDate]]), " ", YEAR(CompilDonnées[[#This Row],[PlantationDate]]))</f>
        <v>40 2025</v>
      </c>
      <c r="L5162" t="str">
        <f>CONCATENATE(MONTH(CompilDonnées[[#This Row],[PlantationDate]])," ", YEAR(CompilDonnées[[#This Row],[PlantationDate]]))</f>
        <v>9 2025</v>
      </c>
      <c r="M5162" t="str">
        <f>CONCATENATE(MONTH(CompilDonnées[[#This Row],[HarvestingDate]])," ", YEAR(CompilDonnées[[#This Row],[HarvestingDate]]))</f>
        <v>11 2025</v>
      </c>
      <c r="N5162">
        <f>_xlfn.NUMBERVALUE(CompilDonnées[[#This Row],[FarmID]]&amp;CompilDonnées[[#This Row],[ModuleNumber]]&amp;CompilDonnées[[#This Row],[PlantationDate]])</f>
        <v>48645930</v>
      </c>
      <c r="O5162" t="str">
        <f>CompilDonnées[[#This Row],[FarmID]]&amp;CompilDonnées[[#This Row],[ModuleNumber]]</f>
        <v>486</v>
      </c>
      <c r="P5162" t="str">
        <f>CompilDonnées[[#This Row],[Ref_Module]]&amp;CompilDonnées[[#This Row],[HarvestingDate]]</f>
        <v>48645972</v>
      </c>
    </row>
    <row r="5163" spans="1:16">
      <c r="A5163" s="5">
        <v>45930</v>
      </c>
      <c r="B5163">
        <v>50</v>
      </c>
      <c r="C5163" t="s">
        <v>55</v>
      </c>
      <c r="D5163">
        <v>1</v>
      </c>
      <c r="E5163">
        <v>100</v>
      </c>
      <c r="F5163" t="s">
        <v>1</v>
      </c>
      <c r="G5163" s="6">
        <v>45979</v>
      </c>
      <c r="H5163">
        <v>49</v>
      </c>
      <c r="I5163">
        <f>ROUND(CompilDonnées[[#This Row],[CultureDuration_days]]/7,0)</f>
        <v>7</v>
      </c>
      <c r="J5163">
        <v>2059</v>
      </c>
      <c r="K5163" t="str">
        <f>_xlfn.CONCAT(WEEKNUM(CompilDonnées[[#This Row],[PlantationDate]]), " ", YEAR(CompilDonnées[[#This Row],[PlantationDate]]))</f>
        <v>40 2025</v>
      </c>
      <c r="L5163" t="str">
        <f>CONCATENATE(MONTH(CompilDonnées[[#This Row],[PlantationDate]])," ", YEAR(CompilDonnées[[#This Row],[PlantationDate]]))</f>
        <v>9 2025</v>
      </c>
      <c r="M5163" t="str">
        <f>CONCATENATE(MONTH(CompilDonnées[[#This Row],[HarvestingDate]])," ", YEAR(CompilDonnées[[#This Row],[HarvestingDate]]))</f>
        <v>11 2025</v>
      </c>
      <c r="N5163">
        <f>_xlfn.NUMBERVALUE(CompilDonnées[[#This Row],[FarmID]]&amp;CompilDonnées[[#This Row],[ModuleNumber]]&amp;CompilDonnées[[#This Row],[PlantationDate]])</f>
        <v>50145930</v>
      </c>
      <c r="O5163" t="str">
        <f>CompilDonnées[[#This Row],[FarmID]]&amp;CompilDonnées[[#This Row],[ModuleNumber]]</f>
        <v>501</v>
      </c>
      <c r="P5163" t="str">
        <f>CompilDonnées[[#This Row],[Ref_Module]]&amp;CompilDonnées[[#This Row],[HarvestingDate]]</f>
        <v>50145979</v>
      </c>
    </row>
    <row r="5164" spans="1:16">
      <c r="A5164" s="5">
        <v>45930</v>
      </c>
      <c r="B5164">
        <v>57</v>
      </c>
      <c r="C5164" t="s">
        <v>46</v>
      </c>
      <c r="D5164">
        <v>1</v>
      </c>
      <c r="E5164">
        <v>100</v>
      </c>
      <c r="F5164" t="s">
        <v>1</v>
      </c>
      <c r="G5164" s="6">
        <v>45979</v>
      </c>
      <c r="H5164">
        <v>49</v>
      </c>
      <c r="I5164">
        <f>ROUND(CompilDonnées[[#This Row],[CultureDuration_days]]/7,0)</f>
        <v>7</v>
      </c>
      <c r="J5164">
        <v>2352</v>
      </c>
      <c r="K5164" t="str">
        <f>_xlfn.CONCAT(WEEKNUM(CompilDonnées[[#This Row],[PlantationDate]]), " ", YEAR(CompilDonnées[[#This Row],[PlantationDate]]))</f>
        <v>40 2025</v>
      </c>
      <c r="L5164" t="str">
        <f>CONCATENATE(MONTH(CompilDonnées[[#This Row],[PlantationDate]])," ", YEAR(CompilDonnées[[#This Row],[PlantationDate]]))</f>
        <v>9 2025</v>
      </c>
      <c r="M5164" t="str">
        <f>CONCATENATE(MONTH(CompilDonnées[[#This Row],[HarvestingDate]])," ", YEAR(CompilDonnées[[#This Row],[HarvestingDate]]))</f>
        <v>11 2025</v>
      </c>
      <c r="N5164">
        <f>_xlfn.NUMBERVALUE(CompilDonnées[[#This Row],[FarmID]]&amp;CompilDonnées[[#This Row],[ModuleNumber]]&amp;CompilDonnées[[#This Row],[PlantationDate]])</f>
        <v>57145930</v>
      </c>
      <c r="O5164" t="str">
        <f>CompilDonnées[[#This Row],[FarmID]]&amp;CompilDonnées[[#This Row],[ModuleNumber]]</f>
        <v>571</v>
      </c>
      <c r="P5164" t="str">
        <f>CompilDonnées[[#This Row],[Ref_Module]]&amp;CompilDonnées[[#This Row],[HarvestingDate]]</f>
        <v>57145979</v>
      </c>
    </row>
    <row r="5165" spans="1:16">
      <c r="A5165" s="5">
        <v>45931</v>
      </c>
      <c r="B5165">
        <v>35</v>
      </c>
      <c r="C5165" t="s">
        <v>69</v>
      </c>
      <c r="D5165">
        <v>4</v>
      </c>
      <c r="E5165">
        <v>100</v>
      </c>
      <c r="F5165" t="s">
        <v>1</v>
      </c>
      <c r="G5165" s="6">
        <v>45985</v>
      </c>
      <c r="H5165">
        <v>54</v>
      </c>
      <c r="I5165">
        <f>ROUND(CompilDonnées[[#This Row],[CultureDuration_days]]/7,0)</f>
        <v>8</v>
      </c>
      <c r="J5165">
        <v>1426</v>
      </c>
      <c r="K5165" t="str">
        <f>_xlfn.CONCAT(WEEKNUM(CompilDonnées[[#This Row],[PlantationDate]]), " ", YEAR(CompilDonnées[[#This Row],[PlantationDate]]))</f>
        <v>40 2025</v>
      </c>
      <c r="L5165" t="str">
        <f>CONCATENATE(MONTH(CompilDonnées[[#This Row],[PlantationDate]])," ", YEAR(CompilDonnées[[#This Row],[PlantationDate]]))</f>
        <v>10 2025</v>
      </c>
      <c r="M5165" t="str">
        <f>CONCATENATE(MONTH(CompilDonnées[[#This Row],[HarvestingDate]])," ", YEAR(CompilDonnées[[#This Row],[HarvestingDate]]))</f>
        <v>11 2025</v>
      </c>
      <c r="N5165">
        <f>_xlfn.NUMBERVALUE(CompilDonnées[[#This Row],[FarmID]]&amp;CompilDonnées[[#This Row],[ModuleNumber]]&amp;CompilDonnées[[#This Row],[PlantationDate]])</f>
        <v>35445931</v>
      </c>
      <c r="O5165" t="str">
        <f>CompilDonnées[[#This Row],[FarmID]]&amp;CompilDonnées[[#This Row],[ModuleNumber]]</f>
        <v>354</v>
      </c>
      <c r="P5165" t="str">
        <f>CompilDonnées[[#This Row],[Ref_Module]]&amp;CompilDonnées[[#This Row],[HarvestingDate]]</f>
        <v>35445985</v>
      </c>
    </row>
    <row r="5166" spans="1:16">
      <c r="A5166" s="5">
        <v>45931</v>
      </c>
      <c r="B5166">
        <v>26</v>
      </c>
      <c r="C5166" t="s">
        <v>97</v>
      </c>
      <c r="D5166">
        <v>3</v>
      </c>
      <c r="E5166">
        <v>99</v>
      </c>
      <c r="F5166" t="s">
        <v>1</v>
      </c>
      <c r="G5166" s="6">
        <v>45979</v>
      </c>
      <c r="H5166">
        <v>48</v>
      </c>
      <c r="I5166">
        <f>ROUND(CompilDonnées[[#This Row],[CultureDuration_days]]/7,0)</f>
        <v>7</v>
      </c>
      <c r="J5166">
        <v>1288</v>
      </c>
      <c r="K5166" t="str">
        <f>_xlfn.CONCAT(WEEKNUM(CompilDonnées[[#This Row],[PlantationDate]]), " ", YEAR(CompilDonnées[[#This Row],[PlantationDate]]))</f>
        <v>40 2025</v>
      </c>
      <c r="L5166" t="str">
        <f>CONCATENATE(MONTH(CompilDonnées[[#This Row],[PlantationDate]])," ", YEAR(CompilDonnées[[#This Row],[PlantationDate]]))</f>
        <v>10 2025</v>
      </c>
      <c r="M5166" t="str">
        <f>CONCATENATE(MONTH(CompilDonnées[[#This Row],[HarvestingDate]])," ", YEAR(CompilDonnées[[#This Row],[HarvestingDate]]))</f>
        <v>11 2025</v>
      </c>
      <c r="N5166">
        <f>_xlfn.NUMBERVALUE(CompilDonnées[[#This Row],[FarmID]]&amp;CompilDonnées[[#This Row],[ModuleNumber]]&amp;CompilDonnées[[#This Row],[PlantationDate]])</f>
        <v>26345931</v>
      </c>
      <c r="O5166" t="str">
        <f>CompilDonnées[[#This Row],[FarmID]]&amp;CompilDonnées[[#This Row],[ModuleNumber]]</f>
        <v>263</v>
      </c>
      <c r="P5166" t="str">
        <f>CompilDonnées[[#This Row],[Ref_Module]]&amp;CompilDonnées[[#This Row],[HarvestingDate]]</f>
        <v>26345979</v>
      </c>
    </row>
    <row r="5167" spans="1:16">
      <c r="A5167" s="5">
        <v>45931</v>
      </c>
      <c r="B5167">
        <v>2</v>
      </c>
      <c r="C5167" t="s">
        <v>126</v>
      </c>
      <c r="D5167">
        <v>2</v>
      </c>
      <c r="E5167">
        <v>100</v>
      </c>
      <c r="F5167" t="s">
        <v>1</v>
      </c>
      <c r="G5167" s="6">
        <v>45980</v>
      </c>
      <c r="H5167">
        <v>49</v>
      </c>
      <c r="I5167">
        <f>ROUND(CompilDonnées[[#This Row],[CultureDuration_days]]/7,0)</f>
        <v>7</v>
      </c>
      <c r="J5167">
        <v>1753</v>
      </c>
      <c r="K5167" t="str">
        <f>_xlfn.CONCAT(WEEKNUM(CompilDonnées[[#This Row],[PlantationDate]]), " ", YEAR(CompilDonnées[[#This Row],[PlantationDate]]))</f>
        <v>40 2025</v>
      </c>
      <c r="L5167" t="str">
        <f>CONCATENATE(MONTH(CompilDonnées[[#This Row],[PlantationDate]])," ", YEAR(CompilDonnées[[#This Row],[PlantationDate]]))</f>
        <v>10 2025</v>
      </c>
      <c r="M5167" t="str">
        <f>CONCATENATE(MONTH(CompilDonnées[[#This Row],[HarvestingDate]])," ", YEAR(CompilDonnées[[#This Row],[HarvestingDate]]))</f>
        <v>11 2025</v>
      </c>
      <c r="N5167">
        <f>_xlfn.NUMBERVALUE(CompilDonnées[[#This Row],[FarmID]]&amp;CompilDonnées[[#This Row],[ModuleNumber]]&amp;CompilDonnées[[#This Row],[PlantationDate]])</f>
        <v>2245931</v>
      </c>
      <c r="O5167" t="str">
        <f>CompilDonnées[[#This Row],[FarmID]]&amp;CompilDonnées[[#This Row],[ModuleNumber]]</f>
        <v>22</v>
      </c>
      <c r="P5167" t="str">
        <f>CompilDonnées[[#This Row],[Ref_Module]]&amp;CompilDonnées[[#This Row],[HarvestingDate]]</f>
        <v>2245980</v>
      </c>
    </row>
    <row r="5168" spans="1:16">
      <c r="A5168" s="5">
        <v>45931</v>
      </c>
      <c r="B5168">
        <v>70</v>
      </c>
      <c r="C5168" t="s">
        <v>7</v>
      </c>
      <c r="D5168">
        <v>1</v>
      </c>
      <c r="E5168">
        <v>100</v>
      </c>
      <c r="F5168" t="s">
        <v>1</v>
      </c>
      <c r="G5168" s="6">
        <v>45979</v>
      </c>
      <c r="H5168">
        <v>48</v>
      </c>
      <c r="I5168">
        <f>ROUND(CompilDonnées[[#This Row],[CultureDuration_days]]/7,0)</f>
        <v>7</v>
      </c>
      <c r="J5168">
        <v>2068</v>
      </c>
      <c r="K5168" t="str">
        <f>_xlfn.CONCAT(WEEKNUM(CompilDonnées[[#This Row],[PlantationDate]]), " ", YEAR(CompilDonnées[[#This Row],[PlantationDate]]))</f>
        <v>40 2025</v>
      </c>
      <c r="L5168" t="str">
        <f>CONCATENATE(MONTH(CompilDonnées[[#This Row],[PlantationDate]])," ", YEAR(CompilDonnées[[#This Row],[PlantationDate]]))</f>
        <v>10 2025</v>
      </c>
      <c r="M5168" t="str">
        <f>CONCATENATE(MONTH(CompilDonnées[[#This Row],[HarvestingDate]])," ", YEAR(CompilDonnées[[#This Row],[HarvestingDate]]))</f>
        <v>11 2025</v>
      </c>
      <c r="N5168">
        <f>_xlfn.NUMBERVALUE(CompilDonnées[[#This Row],[FarmID]]&amp;CompilDonnées[[#This Row],[ModuleNumber]]&amp;CompilDonnées[[#This Row],[PlantationDate]])</f>
        <v>70145931</v>
      </c>
      <c r="O5168" t="str">
        <f>CompilDonnées[[#This Row],[FarmID]]&amp;CompilDonnées[[#This Row],[ModuleNumber]]</f>
        <v>701</v>
      </c>
      <c r="P5168" t="str">
        <f>CompilDonnées[[#This Row],[Ref_Module]]&amp;CompilDonnées[[#This Row],[HarvestingDate]]</f>
        <v>70145979</v>
      </c>
    </row>
    <row r="5169" spans="1:16">
      <c r="A5169" s="5">
        <v>45931</v>
      </c>
      <c r="B5169">
        <v>88</v>
      </c>
      <c r="C5169" t="s">
        <v>94</v>
      </c>
      <c r="D5169">
        <v>4</v>
      </c>
      <c r="E5169">
        <v>100</v>
      </c>
      <c r="F5169" t="s">
        <v>1</v>
      </c>
      <c r="G5169" s="6">
        <v>45973</v>
      </c>
      <c r="H5169">
        <v>42</v>
      </c>
      <c r="I5169">
        <f>ROUND(CompilDonnées[[#This Row],[CultureDuration_days]]/7,0)</f>
        <v>6</v>
      </c>
      <c r="J5169">
        <v>3734</v>
      </c>
      <c r="K5169" t="str">
        <f>_xlfn.CONCAT(WEEKNUM(CompilDonnées[[#This Row],[PlantationDate]]), " ", YEAR(CompilDonnées[[#This Row],[PlantationDate]]))</f>
        <v>40 2025</v>
      </c>
      <c r="L5169" t="str">
        <f>CONCATENATE(MONTH(CompilDonnées[[#This Row],[PlantationDate]])," ", YEAR(CompilDonnées[[#This Row],[PlantationDate]]))</f>
        <v>10 2025</v>
      </c>
      <c r="M5169" t="str">
        <f>CONCATENATE(MONTH(CompilDonnées[[#This Row],[HarvestingDate]])," ", YEAR(CompilDonnées[[#This Row],[HarvestingDate]]))</f>
        <v>11 2025</v>
      </c>
      <c r="N5169">
        <f>_xlfn.NUMBERVALUE(CompilDonnées[[#This Row],[FarmID]]&amp;CompilDonnées[[#This Row],[ModuleNumber]]&amp;CompilDonnées[[#This Row],[PlantationDate]])</f>
        <v>88445931</v>
      </c>
      <c r="O5169" t="str">
        <f>CompilDonnées[[#This Row],[FarmID]]&amp;CompilDonnées[[#This Row],[ModuleNumber]]</f>
        <v>884</v>
      </c>
      <c r="P5169" t="str">
        <f>CompilDonnées[[#This Row],[Ref_Module]]&amp;CompilDonnées[[#This Row],[HarvestingDate]]</f>
        <v>88445973</v>
      </c>
    </row>
    <row r="5170" spans="1:16">
      <c r="A5170" s="5">
        <v>45931</v>
      </c>
      <c r="B5170">
        <v>87</v>
      </c>
      <c r="C5170" t="s">
        <v>38</v>
      </c>
      <c r="D5170">
        <v>4</v>
      </c>
      <c r="E5170">
        <v>100</v>
      </c>
      <c r="F5170" t="s">
        <v>1</v>
      </c>
      <c r="G5170" s="6">
        <v>45973</v>
      </c>
      <c r="H5170">
        <v>42</v>
      </c>
      <c r="I5170">
        <f>ROUND(CompilDonnées[[#This Row],[CultureDuration_days]]/7,0)</f>
        <v>6</v>
      </c>
      <c r="J5170">
        <v>2865</v>
      </c>
      <c r="K5170" t="str">
        <f>_xlfn.CONCAT(WEEKNUM(CompilDonnées[[#This Row],[PlantationDate]]), " ", YEAR(CompilDonnées[[#This Row],[PlantationDate]]))</f>
        <v>40 2025</v>
      </c>
      <c r="L5170" t="str">
        <f>CONCATENATE(MONTH(CompilDonnées[[#This Row],[PlantationDate]])," ", YEAR(CompilDonnées[[#This Row],[PlantationDate]]))</f>
        <v>10 2025</v>
      </c>
      <c r="M5170" t="str">
        <f>CONCATENATE(MONTH(CompilDonnées[[#This Row],[HarvestingDate]])," ", YEAR(CompilDonnées[[#This Row],[HarvestingDate]]))</f>
        <v>11 2025</v>
      </c>
      <c r="N5170">
        <f>_xlfn.NUMBERVALUE(CompilDonnées[[#This Row],[FarmID]]&amp;CompilDonnées[[#This Row],[ModuleNumber]]&amp;CompilDonnées[[#This Row],[PlantationDate]])</f>
        <v>87445931</v>
      </c>
      <c r="O5170" t="str">
        <f>CompilDonnées[[#This Row],[FarmID]]&amp;CompilDonnées[[#This Row],[ModuleNumber]]</f>
        <v>874</v>
      </c>
      <c r="P5170" t="str">
        <f>CompilDonnées[[#This Row],[Ref_Module]]&amp;CompilDonnées[[#This Row],[HarvestingDate]]</f>
        <v>87445973</v>
      </c>
    </row>
    <row r="5171" spans="1:16">
      <c r="A5171" s="5">
        <v>45931</v>
      </c>
      <c r="B5171">
        <v>86</v>
      </c>
      <c r="C5171" t="s">
        <v>37</v>
      </c>
      <c r="D5171">
        <v>3</v>
      </c>
      <c r="E5171">
        <v>100</v>
      </c>
      <c r="F5171" t="s">
        <v>1</v>
      </c>
      <c r="G5171" s="6">
        <v>45978</v>
      </c>
      <c r="H5171">
        <v>47</v>
      </c>
      <c r="I5171">
        <f>ROUND(CompilDonnées[[#This Row],[CultureDuration_days]]/7,0)</f>
        <v>7</v>
      </c>
      <c r="J5171">
        <v>1915</v>
      </c>
      <c r="K5171" t="str">
        <f>_xlfn.CONCAT(WEEKNUM(CompilDonnées[[#This Row],[PlantationDate]]), " ", YEAR(CompilDonnées[[#This Row],[PlantationDate]]))</f>
        <v>40 2025</v>
      </c>
      <c r="L5171" t="str">
        <f>CONCATENATE(MONTH(CompilDonnées[[#This Row],[PlantationDate]])," ", YEAR(CompilDonnées[[#This Row],[PlantationDate]]))</f>
        <v>10 2025</v>
      </c>
      <c r="M5171" t="str">
        <f>CONCATENATE(MONTH(CompilDonnées[[#This Row],[HarvestingDate]])," ", YEAR(CompilDonnées[[#This Row],[HarvestingDate]]))</f>
        <v>11 2025</v>
      </c>
      <c r="N5171">
        <f>_xlfn.NUMBERVALUE(CompilDonnées[[#This Row],[FarmID]]&amp;CompilDonnées[[#This Row],[ModuleNumber]]&amp;CompilDonnées[[#This Row],[PlantationDate]])</f>
        <v>86345931</v>
      </c>
      <c r="O5171" t="str">
        <f>CompilDonnées[[#This Row],[FarmID]]&amp;CompilDonnées[[#This Row],[ModuleNumber]]</f>
        <v>863</v>
      </c>
      <c r="P5171" t="str">
        <f>CompilDonnées[[#This Row],[Ref_Module]]&amp;CompilDonnées[[#This Row],[HarvestingDate]]</f>
        <v>86345978</v>
      </c>
    </row>
    <row r="5172" spans="1:16">
      <c r="A5172" s="5">
        <v>45931</v>
      </c>
      <c r="B5172">
        <v>85</v>
      </c>
      <c r="C5172" t="s">
        <v>56</v>
      </c>
      <c r="D5172">
        <v>3</v>
      </c>
      <c r="E5172">
        <v>100</v>
      </c>
      <c r="F5172" t="s">
        <v>1</v>
      </c>
      <c r="G5172" s="6">
        <v>45978</v>
      </c>
      <c r="H5172">
        <v>47</v>
      </c>
      <c r="I5172">
        <f>ROUND(CompilDonnées[[#This Row],[CultureDuration_days]]/7,0)</f>
        <v>7</v>
      </c>
      <c r="J5172">
        <v>1811</v>
      </c>
      <c r="K5172" t="str">
        <f>_xlfn.CONCAT(WEEKNUM(CompilDonnées[[#This Row],[PlantationDate]]), " ", YEAR(CompilDonnées[[#This Row],[PlantationDate]]))</f>
        <v>40 2025</v>
      </c>
      <c r="L5172" t="str">
        <f>CONCATENATE(MONTH(CompilDonnées[[#This Row],[PlantationDate]])," ", YEAR(CompilDonnées[[#This Row],[PlantationDate]]))</f>
        <v>10 2025</v>
      </c>
      <c r="M5172" t="str">
        <f>CONCATENATE(MONTH(CompilDonnées[[#This Row],[HarvestingDate]])," ", YEAR(CompilDonnées[[#This Row],[HarvestingDate]]))</f>
        <v>11 2025</v>
      </c>
      <c r="N5172">
        <f>_xlfn.NUMBERVALUE(CompilDonnées[[#This Row],[FarmID]]&amp;CompilDonnées[[#This Row],[ModuleNumber]]&amp;CompilDonnées[[#This Row],[PlantationDate]])</f>
        <v>85345931</v>
      </c>
      <c r="O5172" t="str">
        <f>CompilDonnées[[#This Row],[FarmID]]&amp;CompilDonnées[[#This Row],[ModuleNumber]]</f>
        <v>853</v>
      </c>
      <c r="P5172" t="str">
        <f>CompilDonnées[[#This Row],[Ref_Module]]&amp;CompilDonnées[[#This Row],[HarvestingDate]]</f>
        <v>85345978</v>
      </c>
    </row>
    <row r="5173" spans="1:16">
      <c r="A5173" s="5">
        <v>45931</v>
      </c>
      <c r="B5173">
        <v>94</v>
      </c>
      <c r="C5173" t="s">
        <v>40</v>
      </c>
      <c r="D5173">
        <v>5</v>
      </c>
      <c r="E5173">
        <v>100</v>
      </c>
      <c r="F5173" t="s">
        <v>1</v>
      </c>
      <c r="G5173" s="6">
        <v>45973</v>
      </c>
      <c r="H5173">
        <v>42</v>
      </c>
      <c r="I5173">
        <f>ROUND(CompilDonnées[[#This Row],[CultureDuration_days]]/7,0)</f>
        <v>6</v>
      </c>
      <c r="J5173">
        <v>3090</v>
      </c>
      <c r="K5173" t="str">
        <f>_xlfn.CONCAT(WEEKNUM(CompilDonnées[[#This Row],[PlantationDate]]), " ", YEAR(CompilDonnées[[#This Row],[PlantationDate]]))</f>
        <v>40 2025</v>
      </c>
      <c r="L5173" t="str">
        <f>CONCATENATE(MONTH(CompilDonnées[[#This Row],[PlantationDate]])," ", YEAR(CompilDonnées[[#This Row],[PlantationDate]]))</f>
        <v>10 2025</v>
      </c>
      <c r="M5173" t="str">
        <f>CONCATENATE(MONTH(CompilDonnées[[#This Row],[HarvestingDate]])," ", YEAR(CompilDonnées[[#This Row],[HarvestingDate]]))</f>
        <v>11 2025</v>
      </c>
      <c r="N5173">
        <f>_xlfn.NUMBERVALUE(CompilDonnées[[#This Row],[FarmID]]&amp;CompilDonnées[[#This Row],[ModuleNumber]]&amp;CompilDonnées[[#This Row],[PlantationDate]])</f>
        <v>94545931</v>
      </c>
      <c r="O5173" t="str">
        <f>CompilDonnées[[#This Row],[FarmID]]&amp;CompilDonnées[[#This Row],[ModuleNumber]]</f>
        <v>945</v>
      </c>
      <c r="P5173" t="str">
        <f>CompilDonnées[[#This Row],[Ref_Module]]&amp;CompilDonnées[[#This Row],[HarvestingDate]]</f>
        <v>94545973</v>
      </c>
    </row>
    <row r="5174" spans="1:16">
      <c r="A5174" s="5">
        <v>45931</v>
      </c>
      <c r="B5174">
        <v>92</v>
      </c>
      <c r="C5174" t="s">
        <v>66</v>
      </c>
      <c r="D5174">
        <v>5</v>
      </c>
      <c r="E5174">
        <v>100</v>
      </c>
      <c r="F5174" t="s">
        <v>1</v>
      </c>
      <c r="G5174" s="6">
        <v>45986</v>
      </c>
      <c r="H5174">
        <v>55</v>
      </c>
      <c r="I5174">
        <f>ROUND(CompilDonnées[[#This Row],[CultureDuration_days]]/7,0)</f>
        <v>8</v>
      </c>
      <c r="J5174">
        <v>2992</v>
      </c>
      <c r="K5174" t="str">
        <f>_xlfn.CONCAT(WEEKNUM(CompilDonnées[[#This Row],[PlantationDate]]), " ", YEAR(CompilDonnées[[#This Row],[PlantationDate]]))</f>
        <v>40 2025</v>
      </c>
      <c r="L5174" t="str">
        <f>CONCATENATE(MONTH(CompilDonnées[[#This Row],[PlantationDate]])," ", YEAR(CompilDonnées[[#This Row],[PlantationDate]]))</f>
        <v>10 2025</v>
      </c>
      <c r="M5174" t="str">
        <f>CONCATENATE(MONTH(CompilDonnées[[#This Row],[HarvestingDate]])," ", YEAR(CompilDonnées[[#This Row],[HarvestingDate]]))</f>
        <v>11 2025</v>
      </c>
      <c r="N5174">
        <f>_xlfn.NUMBERVALUE(CompilDonnées[[#This Row],[FarmID]]&amp;CompilDonnées[[#This Row],[ModuleNumber]]&amp;CompilDonnées[[#This Row],[PlantationDate]])</f>
        <v>92545931</v>
      </c>
      <c r="O5174" t="str">
        <f>CompilDonnées[[#This Row],[FarmID]]&amp;CompilDonnées[[#This Row],[ModuleNumber]]</f>
        <v>925</v>
      </c>
      <c r="P5174" t="str">
        <f>CompilDonnées[[#This Row],[Ref_Module]]&amp;CompilDonnées[[#This Row],[HarvestingDate]]</f>
        <v>92545986</v>
      </c>
    </row>
    <row r="5175" spans="1:16">
      <c r="A5175" s="5">
        <v>45931</v>
      </c>
      <c r="B5175">
        <v>103</v>
      </c>
      <c r="C5175" t="s">
        <v>86</v>
      </c>
      <c r="D5175">
        <v>5</v>
      </c>
      <c r="E5175">
        <v>100</v>
      </c>
      <c r="F5175" t="s">
        <v>1</v>
      </c>
      <c r="G5175" s="6">
        <v>45978</v>
      </c>
      <c r="H5175">
        <v>47</v>
      </c>
      <c r="I5175">
        <f>ROUND(CompilDonnées[[#This Row],[CultureDuration_days]]/7,0)</f>
        <v>7</v>
      </c>
      <c r="J5175">
        <v>1506</v>
      </c>
      <c r="K5175" t="str">
        <f>_xlfn.CONCAT(WEEKNUM(CompilDonnées[[#This Row],[PlantationDate]]), " ", YEAR(CompilDonnées[[#This Row],[PlantationDate]]))</f>
        <v>40 2025</v>
      </c>
      <c r="L5175" t="str">
        <f>CONCATENATE(MONTH(CompilDonnées[[#This Row],[PlantationDate]])," ", YEAR(CompilDonnées[[#This Row],[PlantationDate]]))</f>
        <v>10 2025</v>
      </c>
      <c r="M5175" t="str">
        <f>CONCATENATE(MONTH(CompilDonnées[[#This Row],[HarvestingDate]])," ", YEAR(CompilDonnées[[#This Row],[HarvestingDate]]))</f>
        <v>11 2025</v>
      </c>
      <c r="N5175">
        <f>_xlfn.NUMBERVALUE(CompilDonnées[[#This Row],[FarmID]]&amp;CompilDonnées[[#This Row],[ModuleNumber]]&amp;CompilDonnées[[#This Row],[PlantationDate]])</f>
        <v>103545931</v>
      </c>
      <c r="O5175" t="str">
        <f>CompilDonnées[[#This Row],[FarmID]]&amp;CompilDonnées[[#This Row],[ModuleNumber]]</f>
        <v>1035</v>
      </c>
      <c r="P5175" t="str">
        <f>CompilDonnées[[#This Row],[Ref_Module]]&amp;CompilDonnées[[#This Row],[HarvestingDate]]</f>
        <v>103545978</v>
      </c>
    </row>
    <row r="5176" spans="1:16">
      <c r="A5176" s="5">
        <v>45931</v>
      </c>
      <c r="B5176">
        <v>89</v>
      </c>
      <c r="C5176" t="s">
        <v>67</v>
      </c>
      <c r="D5176">
        <v>6</v>
      </c>
      <c r="E5176">
        <v>100</v>
      </c>
      <c r="F5176" t="s">
        <v>1</v>
      </c>
      <c r="G5176" s="6">
        <v>45959</v>
      </c>
      <c r="H5176">
        <v>28</v>
      </c>
      <c r="I5176">
        <f>ROUND(CompilDonnées[[#This Row],[CultureDuration_days]]/7,0)</f>
        <v>4</v>
      </c>
      <c r="J5176">
        <v>1159</v>
      </c>
      <c r="K5176" t="str">
        <f>_xlfn.CONCAT(WEEKNUM(CompilDonnées[[#This Row],[PlantationDate]]), " ", YEAR(CompilDonnées[[#This Row],[PlantationDate]]))</f>
        <v>40 2025</v>
      </c>
      <c r="L5176" t="str">
        <f>CONCATENATE(MONTH(CompilDonnées[[#This Row],[PlantationDate]])," ", YEAR(CompilDonnées[[#This Row],[PlantationDate]]))</f>
        <v>10 2025</v>
      </c>
      <c r="M5176" t="str">
        <f>CONCATENATE(MONTH(CompilDonnées[[#This Row],[HarvestingDate]])," ", YEAR(CompilDonnées[[#This Row],[HarvestingDate]]))</f>
        <v>10 2025</v>
      </c>
      <c r="N5176">
        <f>_xlfn.NUMBERVALUE(CompilDonnées[[#This Row],[FarmID]]&amp;CompilDonnées[[#This Row],[ModuleNumber]]&amp;CompilDonnées[[#This Row],[PlantationDate]])</f>
        <v>89645931</v>
      </c>
      <c r="O5176" t="str">
        <f>CompilDonnées[[#This Row],[FarmID]]&amp;CompilDonnées[[#This Row],[ModuleNumber]]</f>
        <v>896</v>
      </c>
      <c r="P5176" t="str">
        <f>CompilDonnées[[#This Row],[Ref_Module]]&amp;CompilDonnées[[#This Row],[HarvestingDate]]</f>
        <v>89645959</v>
      </c>
    </row>
    <row r="5177" spans="1:16">
      <c r="A5177" s="5">
        <v>45931</v>
      </c>
      <c r="B5177">
        <v>90</v>
      </c>
      <c r="C5177" t="s">
        <v>72</v>
      </c>
      <c r="D5177">
        <v>6</v>
      </c>
      <c r="E5177">
        <v>100</v>
      </c>
      <c r="F5177" t="s">
        <v>1</v>
      </c>
      <c r="G5177" s="6">
        <v>45959</v>
      </c>
      <c r="H5177">
        <v>28</v>
      </c>
      <c r="I5177">
        <f>ROUND(CompilDonnées[[#This Row],[CultureDuration_days]]/7,0)</f>
        <v>4</v>
      </c>
      <c r="J5177">
        <v>150</v>
      </c>
      <c r="K5177" t="str">
        <f>_xlfn.CONCAT(WEEKNUM(CompilDonnées[[#This Row],[PlantationDate]]), " ", YEAR(CompilDonnées[[#This Row],[PlantationDate]]))</f>
        <v>40 2025</v>
      </c>
      <c r="L5177" t="str">
        <f>CONCATENATE(MONTH(CompilDonnées[[#This Row],[PlantationDate]])," ", YEAR(CompilDonnées[[#This Row],[PlantationDate]]))</f>
        <v>10 2025</v>
      </c>
      <c r="M5177" t="str">
        <f>CONCATENATE(MONTH(CompilDonnées[[#This Row],[HarvestingDate]])," ", YEAR(CompilDonnées[[#This Row],[HarvestingDate]]))</f>
        <v>10 2025</v>
      </c>
      <c r="N5177">
        <f>_xlfn.NUMBERVALUE(CompilDonnées[[#This Row],[FarmID]]&amp;CompilDonnées[[#This Row],[ModuleNumber]]&amp;CompilDonnées[[#This Row],[PlantationDate]])</f>
        <v>90645931</v>
      </c>
      <c r="O5177" t="str">
        <f>CompilDonnées[[#This Row],[FarmID]]&amp;CompilDonnées[[#This Row],[ModuleNumber]]</f>
        <v>906</v>
      </c>
      <c r="P5177" t="str">
        <f>CompilDonnées[[#This Row],[Ref_Module]]&amp;CompilDonnées[[#This Row],[HarvestingDate]]</f>
        <v>90645959</v>
      </c>
    </row>
    <row r="5178" spans="1:16">
      <c r="A5178" s="5">
        <v>45931</v>
      </c>
      <c r="B5178">
        <v>104</v>
      </c>
      <c r="C5178" t="s">
        <v>91</v>
      </c>
      <c r="D5178">
        <v>6</v>
      </c>
      <c r="E5178">
        <v>100</v>
      </c>
      <c r="F5178" t="s">
        <v>1</v>
      </c>
      <c r="G5178" s="6">
        <v>45978</v>
      </c>
      <c r="H5178">
        <v>47</v>
      </c>
      <c r="I5178">
        <f>ROUND(CompilDonnées[[#This Row],[CultureDuration_days]]/7,0)</f>
        <v>7</v>
      </c>
      <c r="J5178">
        <v>1587</v>
      </c>
      <c r="K5178" t="str">
        <f>_xlfn.CONCAT(WEEKNUM(CompilDonnées[[#This Row],[PlantationDate]]), " ", YEAR(CompilDonnées[[#This Row],[PlantationDate]]))</f>
        <v>40 2025</v>
      </c>
      <c r="L5178" t="str">
        <f>CONCATENATE(MONTH(CompilDonnées[[#This Row],[PlantationDate]])," ", YEAR(CompilDonnées[[#This Row],[PlantationDate]]))</f>
        <v>10 2025</v>
      </c>
      <c r="M5178" t="str">
        <f>CONCATENATE(MONTH(CompilDonnées[[#This Row],[HarvestingDate]])," ", YEAR(CompilDonnées[[#This Row],[HarvestingDate]]))</f>
        <v>11 2025</v>
      </c>
      <c r="N5178">
        <f>_xlfn.NUMBERVALUE(CompilDonnées[[#This Row],[FarmID]]&amp;CompilDonnées[[#This Row],[ModuleNumber]]&amp;CompilDonnées[[#This Row],[PlantationDate]])</f>
        <v>104645931</v>
      </c>
      <c r="O5178" t="str">
        <f>CompilDonnées[[#This Row],[FarmID]]&amp;CompilDonnées[[#This Row],[ModuleNumber]]</f>
        <v>1046</v>
      </c>
      <c r="P5178" t="str">
        <f>CompilDonnées[[#This Row],[Ref_Module]]&amp;CompilDonnées[[#This Row],[HarvestingDate]]</f>
        <v>104645978</v>
      </c>
    </row>
    <row r="5179" spans="1:16">
      <c r="A5179" s="5">
        <v>45931</v>
      </c>
      <c r="B5179">
        <v>68</v>
      </c>
      <c r="C5179" t="s">
        <v>89</v>
      </c>
      <c r="D5179">
        <v>5</v>
      </c>
      <c r="E5179">
        <v>100</v>
      </c>
      <c r="F5179" t="s">
        <v>1</v>
      </c>
      <c r="G5179" s="6">
        <v>45979</v>
      </c>
      <c r="H5179">
        <v>48</v>
      </c>
      <c r="I5179">
        <f>ROUND(CompilDonnées[[#This Row],[CultureDuration_days]]/7,0)</f>
        <v>7</v>
      </c>
      <c r="J5179">
        <v>3425</v>
      </c>
      <c r="K5179" t="str">
        <f>_xlfn.CONCAT(WEEKNUM(CompilDonnées[[#This Row],[PlantationDate]]), " ", YEAR(CompilDonnées[[#This Row],[PlantationDate]]))</f>
        <v>40 2025</v>
      </c>
      <c r="L5179" t="str">
        <f>CONCATENATE(MONTH(CompilDonnées[[#This Row],[PlantationDate]])," ", YEAR(CompilDonnées[[#This Row],[PlantationDate]]))</f>
        <v>10 2025</v>
      </c>
      <c r="M5179" t="str">
        <f>CONCATENATE(MONTH(CompilDonnées[[#This Row],[HarvestingDate]])," ", YEAR(CompilDonnées[[#This Row],[HarvestingDate]]))</f>
        <v>11 2025</v>
      </c>
      <c r="N5179">
        <f>_xlfn.NUMBERVALUE(CompilDonnées[[#This Row],[FarmID]]&amp;CompilDonnées[[#This Row],[ModuleNumber]]&amp;CompilDonnées[[#This Row],[PlantationDate]])</f>
        <v>68545931</v>
      </c>
      <c r="O5179" t="str">
        <f>CompilDonnées[[#This Row],[FarmID]]&amp;CompilDonnées[[#This Row],[ModuleNumber]]</f>
        <v>685</v>
      </c>
      <c r="P5179" t="str">
        <f>CompilDonnées[[#This Row],[Ref_Module]]&amp;CompilDonnées[[#This Row],[HarvestingDate]]</f>
        <v>68545979</v>
      </c>
    </row>
    <row r="5180" spans="1:16">
      <c r="A5180" s="5">
        <v>45931</v>
      </c>
      <c r="B5180">
        <v>49</v>
      </c>
      <c r="C5180" t="s">
        <v>110</v>
      </c>
      <c r="D5180">
        <v>2</v>
      </c>
      <c r="E5180">
        <v>100</v>
      </c>
      <c r="F5180" t="s">
        <v>1</v>
      </c>
      <c r="G5180" s="6">
        <v>45979</v>
      </c>
      <c r="H5180">
        <v>48</v>
      </c>
      <c r="I5180">
        <f>ROUND(CompilDonnées[[#This Row],[CultureDuration_days]]/7,0)</f>
        <v>7</v>
      </c>
      <c r="J5180">
        <v>1384</v>
      </c>
      <c r="K5180" t="str">
        <f>_xlfn.CONCAT(WEEKNUM(CompilDonnées[[#This Row],[PlantationDate]]), " ", YEAR(CompilDonnées[[#This Row],[PlantationDate]]))</f>
        <v>40 2025</v>
      </c>
      <c r="L5180" t="str">
        <f>CONCATENATE(MONTH(CompilDonnées[[#This Row],[PlantationDate]])," ", YEAR(CompilDonnées[[#This Row],[PlantationDate]]))</f>
        <v>10 2025</v>
      </c>
      <c r="M5180" t="str">
        <f>CONCATENATE(MONTH(CompilDonnées[[#This Row],[HarvestingDate]])," ", YEAR(CompilDonnées[[#This Row],[HarvestingDate]]))</f>
        <v>11 2025</v>
      </c>
      <c r="N5180">
        <f>_xlfn.NUMBERVALUE(CompilDonnées[[#This Row],[FarmID]]&amp;CompilDonnées[[#This Row],[ModuleNumber]]&amp;CompilDonnées[[#This Row],[PlantationDate]])</f>
        <v>49245931</v>
      </c>
      <c r="O5180" t="str">
        <f>CompilDonnées[[#This Row],[FarmID]]&amp;CompilDonnées[[#This Row],[ModuleNumber]]</f>
        <v>492</v>
      </c>
      <c r="P5180" t="str">
        <f>CompilDonnées[[#This Row],[Ref_Module]]&amp;CompilDonnées[[#This Row],[HarvestingDate]]</f>
        <v>49245979</v>
      </c>
    </row>
    <row r="5181" spans="1:16">
      <c r="A5181" s="5">
        <v>45931</v>
      </c>
      <c r="B5181">
        <v>67</v>
      </c>
      <c r="C5181" t="s">
        <v>28</v>
      </c>
      <c r="D5181">
        <v>3</v>
      </c>
      <c r="E5181">
        <v>100</v>
      </c>
      <c r="F5181" t="s">
        <v>1</v>
      </c>
      <c r="G5181" s="6">
        <v>45979</v>
      </c>
      <c r="H5181">
        <v>48</v>
      </c>
      <c r="I5181">
        <f>ROUND(CompilDonnées[[#This Row],[CultureDuration_days]]/7,0)</f>
        <v>7</v>
      </c>
      <c r="J5181">
        <v>2408</v>
      </c>
      <c r="K5181" t="str">
        <f>_xlfn.CONCAT(WEEKNUM(CompilDonnées[[#This Row],[PlantationDate]]), " ", YEAR(CompilDonnées[[#This Row],[PlantationDate]]))</f>
        <v>40 2025</v>
      </c>
      <c r="L5181" t="str">
        <f>CONCATENATE(MONTH(CompilDonnées[[#This Row],[PlantationDate]])," ", YEAR(CompilDonnées[[#This Row],[PlantationDate]]))</f>
        <v>10 2025</v>
      </c>
      <c r="M5181" t="str">
        <f>CONCATENATE(MONTH(CompilDonnées[[#This Row],[HarvestingDate]])," ", YEAR(CompilDonnées[[#This Row],[HarvestingDate]]))</f>
        <v>11 2025</v>
      </c>
      <c r="N5181">
        <f>_xlfn.NUMBERVALUE(CompilDonnées[[#This Row],[FarmID]]&amp;CompilDonnées[[#This Row],[ModuleNumber]]&amp;CompilDonnées[[#This Row],[PlantationDate]])</f>
        <v>67345931</v>
      </c>
      <c r="O5181" t="str">
        <f>CompilDonnées[[#This Row],[FarmID]]&amp;CompilDonnées[[#This Row],[ModuleNumber]]</f>
        <v>673</v>
      </c>
      <c r="P5181" t="str">
        <f>CompilDonnées[[#This Row],[Ref_Module]]&amp;CompilDonnées[[#This Row],[HarvestingDate]]</f>
        <v>67345979</v>
      </c>
    </row>
    <row r="5182" spans="1:16">
      <c r="A5182" s="5">
        <v>45931</v>
      </c>
      <c r="B5182">
        <v>82</v>
      </c>
      <c r="C5182" t="s">
        <v>17</v>
      </c>
      <c r="D5182">
        <v>1</v>
      </c>
      <c r="E5182">
        <v>100</v>
      </c>
      <c r="F5182" t="s">
        <v>1</v>
      </c>
      <c r="G5182" s="6">
        <v>45972</v>
      </c>
      <c r="H5182">
        <v>41</v>
      </c>
      <c r="I5182">
        <f>ROUND(CompilDonnées[[#This Row],[CultureDuration_days]]/7,0)</f>
        <v>6</v>
      </c>
      <c r="J5182">
        <v>4053</v>
      </c>
      <c r="K5182" t="str">
        <f>_xlfn.CONCAT(WEEKNUM(CompilDonnées[[#This Row],[PlantationDate]]), " ", YEAR(CompilDonnées[[#This Row],[PlantationDate]]))</f>
        <v>40 2025</v>
      </c>
      <c r="L5182" t="str">
        <f>CONCATENATE(MONTH(CompilDonnées[[#This Row],[PlantationDate]])," ", YEAR(CompilDonnées[[#This Row],[PlantationDate]]))</f>
        <v>10 2025</v>
      </c>
      <c r="M5182" t="str">
        <f>CONCATENATE(MONTH(CompilDonnées[[#This Row],[HarvestingDate]])," ", YEAR(CompilDonnées[[#This Row],[HarvestingDate]]))</f>
        <v>11 2025</v>
      </c>
      <c r="N5182">
        <f>_xlfn.NUMBERVALUE(CompilDonnées[[#This Row],[FarmID]]&amp;CompilDonnées[[#This Row],[ModuleNumber]]&amp;CompilDonnées[[#This Row],[PlantationDate]])</f>
        <v>82145931</v>
      </c>
      <c r="O5182" t="str">
        <f>CompilDonnées[[#This Row],[FarmID]]&amp;CompilDonnées[[#This Row],[ModuleNumber]]</f>
        <v>821</v>
      </c>
      <c r="P5182" t="str">
        <f>CompilDonnées[[#This Row],[Ref_Module]]&amp;CompilDonnées[[#This Row],[HarvestingDate]]</f>
        <v>82145972</v>
      </c>
    </row>
    <row r="5183" spans="1:16">
      <c r="A5183" s="5">
        <v>45931</v>
      </c>
      <c r="B5183">
        <v>80</v>
      </c>
      <c r="C5183" t="s">
        <v>29</v>
      </c>
      <c r="D5183">
        <v>2</v>
      </c>
      <c r="E5183">
        <v>100</v>
      </c>
      <c r="F5183" t="s">
        <v>1</v>
      </c>
      <c r="G5183" s="6">
        <v>45979</v>
      </c>
      <c r="H5183">
        <v>48</v>
      </c>
      <c r="I5183">
        <f>ROUND(CompilDonnées[[#This Row],[CultureDuration_days]]/7,0)</f>
        <v>7</v>
      </c>
      <c r="J5183">
        <v>3026</v>
      </c>
      <c r="K5183" t="str">
        <f>_xlfn.CONCAT(WEEKNUM(CompilDonnées[[#This Row],[PlantationDate]]), " ", YEAR(CompilDonnées[[#This Row],[PlantationDate]]))</f>
        <v>40 2025</v>
      </c>
      <c r="L5183" t="str">
        <f>CONCATENATE(MONTH(CompilDonnées[[#This Row],[PlantationDate]])," ", YEAR(CompilDonnées[[#This Row],[PlantationDate]]))</f>
        <v>10 2025</v>
      </c>
      <c r="M5183" t="str">
        <f>CONCATENATE(MONTH(CompilDonnées[[#This Row],[HarvestingDate]])," ", YEAR(CompilDonnées[[#This Row],[HarvestingDate]]))</f>
        <v>11 2025</v>
      </c>
      <c r="N5183">
        <f>_xlfn.NUMBERVALUE(CompilDonnées[[#This Row],[FarmID]]&amp;CompilDonnées[[#This Row],[ModuleNumber]]&amp;CompilDonnées[[#This Row],[PlantationDate]])</f>
        <v>80245931</v>
      </c>
      <c r="O5183" t="str">
        <f>CompilDonnées[[#This Row],[FarmID]]&amp;CompilDonnées[[#This Row],[ModuleNumber]]</f>
        <v>802</v>
      </c>
      <c r="P5183" t="str">
        <f>CompilDonnées[[#This Row],[Ref_Module]]&amp;CompilDonnées[[#This Row],[HarvestingDate]]</f>
        <v>80245979</v>
      </c>
    </row>
    <row r="5184" spans="1:16">
      <c r="A5184" s="5">
        <v>45931</v>
      </c>
      <c r="B5184">
        <v>84</v>
      </c>
      <c r="C5184" t="s">
        <v>65</v>
      </c>
      <c r="D5184">
        <v>4</v>
      </c>
      <c r="E5184">
        <v>100</v>
      </c>
      <c r="F5184" t="s">
        <v>1</v>
      </c>
      <c r="G5184" s="6">
        <v>45960</v>
      </c>
      <c r="H5184">
        <v>29</v>
      </c>
      <c r="I5184">
        <f>ROUND(CompilDonnées[[#This Row],[CultureDuration_days]]/7,0)</f>
        <v>4</v>
      </c>
      <c r="J5184">
        <v>1000</v>
      </c>
      <c r="K5184" t="str">
        <f>_xlfn.CONCAT(WEEKNUM(CompilDonnées[[#This Row],[PlantationDate]]), " ", YEAR(CompilDonnées[[#This Row],[PlantationDate]]))</f>
        <v>40 2025</v>
      </c>
      <c r="L5184" t="str">
        <f>CONCATENATE(MONTH(CompilDonnées[[#This Row],[PlantationDate]])," ", YEAR(CompilDonnées[[#This Row],[PlantationDate]]))</f>
        <v>10 2025</v>
      </c>
      <c r="M5184" t="str">
        <f>CONCATENATE(MONTH(CompilDonnées[[#This Row],[HarvestingDate]])," ", YEAR(CompilDonnées[[#This Row],[HarvestingDate]]))</f>
        <v>10 2025</v>
      </c>
      <c r="N5184">
        <f>_xlfn.NUMBERVALUE(CompilDonnées[[#This Row],[FarmID]]&amp;CompilDonnées[[#This Row],[ModuleNumber]]&amp;CompilDonnées[[#This Row],[PlantationDate]])</f>
        <v>84445931</v>
      </c>
      <c r="O5184" t="str">
        <f>CompilDonnées[[#This Row],[FarmID]]&amp;CompilDonnées[[#This Row],[ModuleNumber]]</f>
        <v>844</v>
      </c>
      <c r="P5184" t="str">
        <f>CompilDonnées[[#This Row],[Ref_Module]]&amp;CompilDonnées[[#This Row],[HarvestingDate]]</f>
        <v>84445960</v>
      </c>
    </row>
    <row r="5185" spans="1:16">
      <c r="A5185" s="5">
        <v>45931</v>
      </c>
      <c r="B5185">
        <v>83</v>
      </c>
      <c r="C5185" t="s">
        <v>73</v>
      </c>
      <c r="D5185">
        <v>6</v>
      </c>
      <c r="E5185">
        <v>100</v>
      </c>
      <c r="F5185" t="s">
        <v>1</v>
      </c>
      <c r="G5185" s="6">
        <v>45960</v>
      </c>
      <c r="H5185">
        <v>29</v>
      </c>
      <c r="I5185">
        <f>ROUND(CompilDonnées[[#This Row],[CultureDuration_days]]/7,0)</f>
        <v>4</v>
      </c>
      <c r="J5185">
        <v>1437</v>
      </c>
      <c r="K5185" t="str">
        <f>_xlfn.CONCAT(WEEKNUM(CompilDonnées[[#This Row],[PlantationDate]]), " ", YEAR(CompilDonnées[[#This Row],[PlantationDate]]))</f>
        <v>40 2025</v>
      </c>
      <c r="L5185" t="str">
        <f>CONCATENATE(MONTH(CompilDonnées[[#This Row],[PlantationDate]])," ", YEAR(CompilDonnées[[#This Row],[PlantationDate]]))</f>
        <v>10 2025</v>
      </c>
      <c r="M5185" t="str">
        <f>CONCATENATE(MONTH(CompilDonnées[[#This Row],[HarvestingDate]])," ", YEAR(CompilDonnées[[#This Row],[HarvestingDate]]))</f>
        <v>10 2025</v>
      </c>
      <c r="N5185">
        <f>_xlfn.NUMBERVALUE(CompilDonnées[[#This Row],[FarmID]]&amp;CompilDonnées[[#This Row],[ModuleNumber]]&amp;CompilDonnées[[#This Row],[PlantationDate]])</f>
        <v>83645931</v>
      </c>
      <c r="O5185" t="str">
        <f>CompilDonnées[[#This Row],[FarmID]]&amp;CompilDonnées[[#This Row],[ModuleNumber]]</f>
        <v>836</v>
      </c>
      <c r="P5185" t="str">
        <f>CompilDonnées[[#This Row],[Ref_Module]]&amp;CompilDonnées[[#This Row],[HarvestingDate]]</f>
        <v>83645960</v>
      </c>
    </row>
    <row r="5186" spans="1:16">
      <c r="A5186" s="5">
        <v>45931</v>
      </c>
      <c r="B5186">
        <v>66</v>
      </c>
      <c r="C5186" t="s">
        <v>48</v>
      </c>
      <c r="D5186">
        <v>3</v>
      </c>
      <c r="E5186">
        <v>100</v>
      </c>
      <c r="F5186" t="s">
        <v>1</v>
      </c>
      <c r="G5186" s="6">
        <v>45979</v>
      </c>
      <c r="H5186">
        <v>48</v>
      </c>
      <c r="I5186">
        <f>ROUND(CompilDonnées[[#This Row],[CultureDuration_days]]/7,0)</f>
        <v>7</v>
      </c>
      <c r="J5186">
        <v>2129</v>
      </c>
      <c r="K5186" t="str">
        <f>_xlfn.CONCAT(WEEKNUM(CompilDonnées[[#This Row],[PlantationDate]]), " ", YEAR(CompilDonnées[[#This Row],[PlantationDate]]))</f>
        <v>40 2025</v>
      </c>
      <c r="L5186" t="str">
        <f>CONCATENATE(MONTH(CompilDonnées[[#This Row],[PlantationDate]])," ", YEAR(CompilDonnées[[#This Row],[PlantationDate]]))</f>
        <v>10 2025</v>
      </c>
      <c r="M5186" t="str">
        <f>CONCATENATE(MONTH(CompilDonnées[[#This Row],[HarvestingDate]])," ", YEAR(CompilDonnées[[#This Row],[HarvestingDate]]))</f>
        <v>11 2025</v>
      </c>
      <c r="N5186">
        <f>_xlfn.NUMBERVALUE(CompilDonnées[[#This Row],[FarmID]]&amp;CompilDonnées[[#This Row],[ModuleNumber]]&amp;CompilDonnées[[#This Row],[PlantationDate]])</f>
        <v>66345931</v>
      </c>
      <c r="O5186" t="str">
        <f>CompilDonnées[[#This Row],[FarmID]]&amp;CompilDonnées[[#This Row],[ModuleNumber]]</f>
        <v>663</v>
      </c>
      <c r="P5186" t="str">
        <f>CompilDonnées[[#This Row],[Ref_Module]]&amp;CompilDonnées[[#This Row],[HarvestingDate]]</f>
        <v>66345979</v>
      </c>
    </row>
    <row r="5187" spans="1:16">
      <c r="A5187" s="5">
        <v>45931</v>
      </c>
      <c r="B5187">
        <v>73</v>
      </c>
      <c r="C5187" t="s">
        <v>20</v>
      </c>
      <c r="D5187">
        <v>1</v>
      </c>
      <c r="E5187">
        <v>100</v>
      </c>
      <c r="F5187" t="s">
        <v>1</v>
      </c>
      <c r="G5187" s="6">
        <v>45973</v>
      </c>
      <c r="H5187">
        <v>42</v>
      </c>
      <c r="I5187">
        <f>ROUND(CompilDonnées[[#This Row],[CultureDuration_days]]/7,0)</f>
        <v>6</v>
      </c>
      <c r="J5187">
        <v>2292</v>
      </c>
      <c r="K5187" t="str">
        <f>_xlfn.CONCAT(WEEKNUM(CompilDonnées[[#This Row],[PlantationDate]]), " ", YEAR(CompilDonnées[[#This Row],[PlantationDate]]))</f>
        <v>40 2025</v>
      </c>
      <c r="L5187" t="str">
        <f>CONCATENATE(MONTH(CompilDonnées[[#This Row],[PlantationDate]])," ", YEAR(CompilDonnées[[#This Row],[PlantationDate]]))</f>
        <v>10 2025</v>
      </c>
      <c r="M5187" t="str">
        <f>CONCATENATE(MONTH(CompilDonnées[[#This Row],[HarvestingDate]])," ", YEAR(CompilDonnées[[#This Row],[HarvestingDate]]))</f>
        <v>11 2025</v>
      </c>
      <c r="N5187">
        <f>_xlfn.NUMBERVALUE(CompilDonnées[[#This Row],[FarmID]]&amp;CompilDonnées[[#This Row],[ModuleNumber]]&amp;CompilDonnées[[#This Row],[PlantationDate]])</f>
        <v>73145931</v>
      </c>
      <c r="O5187" t="str">
        <f>CompilDonnées[[#This Row],[FarmID]]&amp;CompilDonnées[[#This Row],[ModuleNumber]]</f>
        <v>731</v>
      </c>
      <c r="P5187" t="str">
        <f>CompilDonnées[[#This Row],[Ref_Module]]&amp;CompilDonnées[[#This Row],[HarvestingDate]]</f>
        <v>73145973</v>
      </c>
    </row>
    <row r="5188" spans="1:16">
      <c r="A5188" s="5">
        <v>45931</v>
      </c>
      <c r="B5188">
        <v>27</v>
      </c>
      <c r="C5188" t="s">
        <v>3</v>
      </c>
      <c r="D5188">
        <v>1</v>
      </c>
      <c r="E5188">
        <v>52</v>
      </c>
      <c r="F5188" t="s">
        <v>1</v>
      </c>
      <c r="G5188" s="6">
        <v>45964</v>
      </c>
      <c r="H5188">
        <v>33</v>
      </c>
      <c r="I5188">
        <f>ROUND(CompilDonnées[[#This Row],[CultureDuration_days]]/7,0)</f>
        <v>5</v>
      </c>
      <c r="J5188">
        <v>564</v>
      </c>
      <c r="K5188" t="str">
        <f>_xlfn.CONCAT(WEEKNUM(CompilDonnées[[#This Row],[PlantationDate]]), " ", YEAR(CompilDonnées[[#This Row],[PlantationDate]]))</f>
        <v>40 2025</v>
      </c>
      <c r="L5188" t="str">
        <f>CONCATENATE(MONTH(CompilDonnées[[#This Row],[PlantationDate]])," ", YEAR(CompilDonnées[[#This Row],[PlantationDate]]))</f>
        <v>10 2025</v>
      </c>
      <c r="M5188" t="str">
        <f>CONCATENATE(MONTH(CompilDonnées[[#This Row],[HarvestingDate]])," ", YEAR(CompilDonnées[[#This Row],[HarvestingDate]]))</f>
        <v>11 2025</v>
      </c>
      <c r="N5188">
        <f>_xlfn.NUMBERVALUE(CompilDonnées[[#This Row],[FarmID]]&amp;CompilDonnées[[#This Row],[ModuleNumber]]&amp;CompilDonnées[[#This Row],[PlantationDate]])</f>
        <v>27145931</v>
      </c>
      <c r="O5188" t="str">
        <f>CompilDonnées[[#This Row],[FarmID]]&amp;CompilDonnées[[#This Row],[ModuleNumber]]</f>
        <v>271</v>
      </c>
      <c r="P5188" t="str">
        <f>CompilDonnées[[#This Row],[Ref_Module]]&amp;CompilDonnées[[#This Row],[HarvestingDate]]</f>
        <v>27145964</v>
      </c>
    </row>
    <row r="5189" spans="1:16">
      <c r="A5189" s="5">
        <v>45931</v>
      </c>
      <c r="B5189">
        <v>27</v>
      </c>
      <c r="C5189" t="s">
        <v>3</v>
      </c>
      <c r="D5189">
        <v>4</v>
      </c>
      <c r="E5189">
        <v>68</v>
      </c>
      <c r="F5189" t="s">
        <v>1</v>
      </c>
      <c r="G5189" s="6">
        <v>45964</v>
      </c>
      <c r="H5189">
        <v>33</v>
      </c>
      <c r="I5189">
        <f>ROUND(CompilDonnées[[#This Row],[CultureDuration_days]]/7,0)</f>
        <v>5</v>
      </c>
      <c r="J5189">
        <v>570</v>
      </c>
      <c r="K5189" t="str">
        <f>_xlfn.CONCAT(WEEKNUM(CompilDonnées[[#This Row],[PlantationDate]]), " ", YEAR(CompilDonnées[[#This Row],[PlantationDate]]))</f>
        <v>40 2025</v>
      </c>
      <c r="L5189" t="str">
        <f>CONCATENATE(MONTH(CompilDonnées[[#This Row],[PlantationDate]])," ", YEAR(CompilDonnées[[#This Row],[PlantationDate]]))</f>
        <v>10 2025</v>
      </c>
      <c r="M5189" t="str">
        <f>CONCATENATE(MONTH(CompilDonnées[[#This Row],[HarvestingDate]])," ", YEAR(CompilDonnées[[#This Row],[HarvestingDate]]))</f>
        <v>11 2025</v>
      </c>
      <c r="N5189">
        <f>_xlfn.NUMBERVALUE(CompilDonnées[[#This Row],[FarmID]]&amp;CompilDonnées[[#This Row],[ModuleNumber]]&amp;CompilDonnées[[#This Row],[PlantationDate]])</f>
        <v>27445931</v>
      </c>
      <c r="O5189" t="str">
        <f>CompilDonnées[[#This Row],[FarmID]]&amp;CompilDonnées[[#This Row],[ModuleNumber]]</f>
        <v>274</v>
      </c>
      <c r="P5189" t="str">
        <f>CompilDonnées[[#This Row],[Ref_Module]]&amp;CompilDonnées[[#This Row],[HarvestingDate]]</f>
        <v>27445964</v>
      </c>
    </row>
    <row r="5190" spans="1:16">
      <c r="A5190" s="5">
        <v>45931</v>
      </c>
      <c r="B5190">
        <v>27</v>
      </c>
      <c r="C5190" t="s">
        <v>3</v>
      </c>
      <c r="D5190">
        <v>5</v>
      </c>
      <c r="E5190">
        <v>100</v>
      </c>
      <c r="F5190" t="s">
        <v>1</v>
      </c>
      <c r="G5190" s="6">
        <v>45964</v>
      </c>
      <c r="H5190">
        <v>33</v>
      </c>
      <c r="I5190">
        <f>ROUND(CompilDonnées[[#This Row],[CultureDuration_days]]/7,0)</f>
        <v>5</v>
      </c>
      <c r="J5190">
        <v>566</v>
      </c>
      <c r="K5190" t="str">
        <f>_xlfn.CONCAT(WEEKNUM(CompilDonnées[[#This Row],[PlantationDate]]), " ", YEAR(CompilDonnées[[#This Row],[PlantationDate]]))</f>
        <v>40 2025</v>
      </c>
      <c r="L5190" t="str">
        <f>CONCATENATE(MONTH(CompilDonnées[[#This Row],[PlantationDate]])," ", YEAR(CompilDonnées[[#This Row],[PlantationDate]]))</f>
        <v>10 2025</v>
      </c>
      <c r="M5190" t="str">
        <f>CONCATENATE(MONTH(CompilDonnées[[#This Row],[HarvestingDate]])," ", YEAR(CompilDonnées[[#This Row],[HarvestingDate]]))</f>
        <v>11 2025</v>
      </c>
      <c r="N5190">
        <f>_xlfn.NUMBERVALUE(CompilDonnées[[#This Row],[FarmID]]&amp;CompilDonnées[[#This Row],[ModuleNumber]]&amp;CompilDonnées[[#This Row],[PlantationDate]])</f>
        <v>27545931</v>
      </c>
      <c r="O5190" t="str">
        <f>CompilDonnées[[#This Row],[FarmID]]&amp;CompilDonnées[[#This Row],[ModuleNumber]]</f>
        <v>275</v>
      </c>
      <c r="P5190" t="str">
        <f>CompilDonnées[[#This Row],[Ref_Module]]&amp;CompilDonnées[[#This Row],[HarvestingDate]]</f>
        <v>27545964</v>
      </c>
    </row>
    <row r="5191" spans="1:16">
      <c r="A5191" s="5">
        <v>45931</v>
      </c>
      <c r="B5191">
        <v>75</v>
      </c>
      <c r="C5191" t="s">
        <v>3</v>
      </c>
      <c r="D5191">
        <v>1</v>
      </c>
      <c r="E5191">
        <v>60</v>
      </c>
      <c r="F5191" t="s">
        <v>105</v>
      </c>
      <c r="G5191" s="6">
        <v>45979</v>
      </c>
      <c r="H5191">
        <v>48</v>
      </c>
      <c r="I5191">
        <f>ROUND(CompilDonnées[[#This Row],[CultureDuration_days]]/7,0)</f>
        <v>7</v>
      </c>
      <c r="J5191">
        <v>1000</v>
      </c>
      <c r="K5191" t="str">
        <f>_xlfn.CONCAT(WEEKNUM(CompilDonnées[[#This Row],[PlantationDate]]), " ", YEAR(CompilDonnées[[#This Row],[PlantationDate]]))</f>
        <v>40 2025</v>
      </c>
      <c r="L5191" t="str">
        <f>CONCATENATE(MONTH(CompilDonnées[[#This Row],[PlantationDate]])," ", YEAR(CompilDonnées[[#This Row],[PlantationDate]]))</f>
        <v>10 2025</v>
      </c>
      <c r="M5191" t="str">
        <f>CONCATENATE(MONTH(CompilDonnées[[#This Row],[HarvestingDate]])," ", YEAR(CompilDonnées[[#This Row],[HarvestingDate]]))</f>
        <v>11 2025</v>
      </c>
      <c r="N5191">
        <f>_xlfn.NUMBERVALUE(CompilDonnées[[#This Row],[FarmID]]&amp;CompilDonnées[[#This Row],[ModuleNumber]]&amp;CompilDonnées[[#This Row],[PlantationDate]])</f>
        <v>75145931</v>
      </c>
      <c r="O5191" t="str">
        <f>CompilDonnées[[#This Row],[FarmID]]&amp;CompilDonnées[[#This Row],[ModuleNumber]]</f>
        <v>751</v>
      </c>
      <c r="P5191" t="str">
        <f>CompilDonnées[[#This Row],[Ref_Module]]&amp;CompilDonnées[[#This Row],[HarvestingDate]]</f>
        <v>75145979</v>
      </c>
    </row>
    <row r="5192" spans="1:16">
      <c r="A5192" s="5">
        <v>45931</v>
      </c>
      <c r="B5192">
        <v>78</v>
      </c>
      <c r="C5192" t="s">
        <v>3</v>
      </c>
      <c r="D5192">
        <v>5</v>
      </c>
      <c r="E5192">
        <v>60</v>
      </c>
      <c r="F5192" t="s">
        <v>105</v>
      </c>
      <c r="G5192" s="6">
        <v>45958</v>
      </c>
      <c r="H5192">
        <v>27</v>
      </c>
      <c r="I5192">
        <f>ROUND(CompilDonnées[[#This Row],[CultureDuration_days]]/7,0)</f>
        <v>4</v>
      </c>
      <c r="J5192">
        <v>502</v>
      </c>
      <c r="K5192" t="str">
        <f>_xlfn.CONCAT(WEEKNUM(CompilDonnées[[#This Row],[PlantationDate]]), " ", YEAR(CompilDonnées[[#This Row],[PlantationDate]]))</f>
        <v>40 2025</v>
      </c>
      <c r="L5192" t="str">
        <f>CONCATENATE(MONTH(CompilDonnées[[#This Row],[PlantationDate]])," ", YEAR(CompilDonnées[[#This Row],[PlantationDate]]))</f>
        <v>10 2025</v>
      </c>
      <c r="M5192" t="str">
        <f>CONCATENATE(MONTH(CompilDonnées[[#This Row],[HarvestingDate]])," ", YEAR(CompilDonnées[[#This Row],[HarvestingDate]]))</f>
        <v>10 2025</v>
      </c>
      <c r="N5192">
        <f>_xlfn.NUMBERVALUE(CompilDonnées[[#This Row],[FarmID]]&amp;CompilDonnées[[#This Row],[ModuleNumber]]&amp;CompilDonnées[[#This Row],[PlantationDate]])</f>
        <v>78545931</v>
      </c>
      <c r="O5192" t="str">
        <f>CompilDonnées[[#This Row],[FarmID]]&amp;CompilDonnées[[#This Row],[ModuleNumber]]</f>
        <v>785</v>
      </c>
      <c r="P5192" t="str">
        <f>CompilDonnées[[#This Row],[Ref_Module]]&amp;CompilDonnées[[#This Row],[HarvestingDate]]</f>
        <v>78545958</v>
      </c>
    </row>
    <row r="5193" spans="1:16">
      <c r="A5193" s="5">
        <v>45931</v>
      </c>
      <c r="B5193">
        <v>78</v>
      </c>
      <c r="C5193" t="s">
        <v>3</v>
      </c>
      <c r="D5193">
        <v>6</v>
      </c>
      <c r="E5193">
        <v>60</v>
      </c>
      <c r="F5193" t="s">
        <v>105</v>
      </c>
      <c r="G5193" s="6">
        <v>45958</v>
      </c>
      <c r="H5193">
        <v>27</v>
      </c>
      <c r="I5193">
        <f>ROUND(CompilDonnées[[#This Row],[CultureDuration_days]]/7,0)</f>
        <v>4</v>
      </c>
      <c r="J5193">
        <v>498</v>
      </c>
      <c r="K5193" t="str">
        <f>_xlfn.CONCAT(WEEKNUM(CompilDonnées[[#This Row],[PlantationDate]]), " ", YEAR(CompilDonnées[[#This Row],[PlantationDate]]))</f>
        <v>40 2025</v>
      </c>
      <c r="L5193" t="str">
        <f>CONCATENATE(MONTH(CompilDonnées[[#This Row],[PlantationDate]])," ", YEAR(CompilDonnées[[#This Row],[PlantationDate]]))</f>
        <v>10 2025</v>
      </c>
      <c r="M5193" t="str">
        <f>CONCATENATE(MONTH(CompilDonnées[[#This Row],[HarvestingDate]])," ", YEAR(CompilDonnées[[#This Row],[HarvestingDate]]))</f>
        <v>10 2025</v>
      </c>
      <c r="N5193">
        <f>_xlfn.NUMBERVALUE(CompilDonnées[[#This Row],[FarmID]]&amp;CompilDonnées[[#This Row],[ModuleNumber]]&amp;CompilDonnées[[#This Row],[PlantationDate]])</f>
        <v>78645931</v>
      </c>
      <c r="O5193" t="str">
        <f>CompilDonnées[[#This Row],[FarmID]]&amp;CompilDonnées[[#This Row],[ModuleNumber]]</f>
        <v>786</v>
      </c>
      <c r="P5193" t="str">
        <f>CompilDonnées[[#This Row],[Ref_Module]]&amp;CompilDonnées[[#This Row],[HarvestingDate]]</f>
        <v>78645958</v>
      </c>
    </row>
    <row r="5194" spans="1:16">
      <c r="A5194" s="5">
        <v>45932</v>
      </c>
      <c r="B5194">
        <v>122</v>
      </c>
      <c r="C5194" t="s">
        <v>122</v>
      </c>
      <c r="D5194">
        <v>1</v>
      </c>
      <c r="E5194">
        <v>100</v>
      </c>
      <c r="F5194" t="s">
        <v>1</v>
      </c>
      <c r="G5194" s="6">
        <v>45987</v>
      </c>
      <c r="H5194">
        <v>55</v>
      </c>
      <c r="I5194">
        <f>ROUND(CompilDonnées[[#This Row],[CultureDuration_days]]/7,0)</f>
        <v>8</v>
      </c>
      <c r="J5194">
        <v>1367</v>
      </c>
      <c r="K5194" t="str">
        <f>_xlfn.CONCAT(WEEKNUM(CompilDonnées[[#This Row],[PlantationDate]]), " ", YEAR(CompilDonnées[[#This Row],[PlantationDate]]))</f>
        <v>40 2025</v>
      </c>
      <c r="L5194" t="str">
        <f>CONCATENATE(MONTH(CompilDonnées[[#This Row],[PlantationDate]])," ", YEAR(CompilDonnées[[#This Row],[PlantationDate]]))</f>
        <v>10 2025</v>
      </c>
      <c r="M5194" t="str">
        <f>CONCATENATE(MONTH(CompilDonnées[[#This Row],[HarvestingDate]])," ", YEAR(CompilDonnées[[#This Row],[HarvestingDate]]))</f>
        <v>11 2025</v>
      </c>
      <c r="N5194">
        <f>_xlfn.NUMBERVALUE(CompilDonnées[[#This Row],[FarmID]]&amp;CompilDonnées[[#This Row],[ModuleNumber]]&amp;CompilDonnées[[#This Row],[PlantationDate]])</f>
        <v>122145932</v>
      </c>
      <c r="O5194" t="str">
        <f>CompilDonnées[[#This Row],[FarmID]]&amp;CompilDonnées[[#This Row],[ModuleNumber]]</f>
        <v>1221</v>
      </c>
      <c r="P5194" t="str">
        <f>CompilDonnées[[#This Row],[Ref_Module]]&amp;CompilDonnées[[#This Row],[HarvestingDate]]</f>
        <v>122145987</v>
      </c>
    </row>
    <row r="5195" spans="1:16">
      <c r="A5195" s="5">
        <v>45932</v>
      </c>
      <c r="B5195">
        <v>122</v>
      </c>
      <c r="C5195" t="s">
        <v>122</v>
      </c>
      <c r="D5195">
        <v>2</v>
      </c>
      <c r="E5195">
        <v>100</v>
      </c>
      <c r="F5195" t="s">
        <v>1</v>
      </c>
      <c r="G5195" s="6">
        <v>45978</v>
      </c>
      <c r="H5195">
        <v>46</v>
      </c>
      <c r="I5195">
        <f>ROUND(CompilDonnées[[#This Row],[CultureDuration_days]]/7,0)</f>
        <v>7</v>
      </c>
      <c r="J5195">
        <v>1354</v>
      </c>
      <c r="K5195" t="str">
        <f>_xlfn.CONCAT(WEEKNUM(CompilDonnées[[#This Row],[PlantationDate]]), " ", YEAR(CompilDonnées[[#This Row],[PlantationDate]]))</f>
        <v>40 2025</v>
      </c>
      <c r="L5195" t="str">
        <f>CONCATENATE(MONTH(CompilDonnées[[#This Row],[PlantationDate]])," ", YEAR(CompilDonnées[[#This Row],[PlantationDate]]))</f>
        <v>10 2025</v>
      </c>
      <c r="M5195" t="str">
        <f>CONCATENATE(MONTH(CompilDonnées[[#This Row],[HarvestingDate]])," ", YEAR(CompilDonnées[[#This Row],[HarvestingDate]]))</f>
        <v>11 2025</v>
      </c>
      <c r="N5195">
        <f>_xlfn.NUMBERVALUE(CompilDonnées[[#This Row],[FarmID]]&amp;CompilDonnées[[#This Row],[ModuleNumber]]&amp;CompilDonnées[[#This Row],[PlantationDate]])</f>
        <v>122245932</v>
      </c>
      <c r="O5195" t="str">
        <f>CompilDonnées[[#This Row],[FarmID]]&amp;CompilDonnées[[#This Row],[ModuleNumber]]</f>
        <v>1222</v>
      </c>
      <c r="P5195" t="str">
        <f>CompilDonnées[[#This Row],[Ref_Module]]&amp;CompilDonnées[[#This Row],[HarvestingDate]]</f>
        <v>122245978</v>
      </c>
    </row>
    <row r="5196" spans="1:16">
      <c r="A5196" s="5">
        <v>45932</v>
      </c>
      <c r="B5196">
        <v>144</v>
      </c>
      <c r="C5196" t="s">
        <v>95</v>
      </c>
      <c r="D5196">
        <v>2</v>
      </c>
      <c r="E5196">
        <v>100</v>
      </c>
      <c r="F5196" t="s">
        <v>1</v>
      </c>
      <c r="G5196" s="6">
        <v>45987</v>
      </c>
      <c r="H5196">
        <v>55</v>
      </c>
      <c r="I5196">
        <f>ROUND(CompilDonnées[[#This Row],[CultureDuration_days]]/7,0)</f>
        <v>8</v>
      </c>
      <c r="J5196">
        <v>1440</v>
      </c>
      <c r="K5196" t="str">
        <f>_xlfn.CONCAT(WEEKNUM(CompilDonnées[[#This Row],[PlantationDate]]), " ", YEAR(CompilDonnées[[#This Row],[PlantationDate]]))</f>
        <v>40 2025</v>
      </c>
      <c r="L5196" t="str">
        <f>CONCATENATE(MONTH(CompilDonnées[[#This Row],[PlantationDate]])," ", YEAR(CompilDonnées[[#This Row],[PlantationDate]]))</f>
        <v>10 2025</v>
      </c>
      <c r="M5196" t="str">
        <f>CONCATENATE(MONTH(CompilDonnées[[#This Row],[HarvestingDate]])," ", YEAR(CompilDonnées[[#This Row],[HarvestingDate]]))</f>
        <v>11 2025</v>
      </c>
      <c r="N5196">
        <f>_xlfn.NUMBERVALUE(CompilDonnées[[#This Row],[FarmID]]&amp;CompilDonnées[[#This Row],[ModuleNumber]]&amp;CompilDonnées[[#This Row],[PlantationDate]])</f>
        <v>144245932</v>
      </c>
      <c r="O5196" t="str">
        <f>CompilDonnées[[#This Row],[FarmID]]&amp;CompilDonnées[[#This Row],[ModuleNumber]]</f>
        <v>1442</v>
      </c>
      <c r="P5196" t="str">
        <f>CompilDonnées[[#This Row],[Ref_Module]]&amp;CompilDonnées[[#This Row],[HarvestingDate]]</f>
        <v>144245987</v>
      </c>
    </row>
    <row r="5197" spans="1:16">
      <c r="A5197" s="5">
        <v>45932</v>
      </c>
      <c r="B5197">
        <v>144</v>
      </c>
      <c r="C5197" t="s">
        <v>95</v>
      </c>
      <c r="D5197">
        <v>3</v>
      </c>
      <c r="E5197">
        <v>100</v>
      </c>
      <c r="F5197" t="s">
        <v>1</v>
      </c>
      <c r="G5197" s="6">
        <v>45987</v>
      </c>
      <c r="H5197">
        <v>55</v>
      </c>
      <c r="I5197">
        <f>ROUND(CompilDonnées[[#This Row],[CultureDuration_days]]/7,0)</f>
        <v>8</v>
      </c>
      <c r="J5197">
        <v>1541</v>
      </c>
      <c r="K5197" t="str">
        <f>_xlfn.CONCAT(WEEKNUM(CompilDonnées[[#This Row],[PlantationDate]]), " ", YEAR(CompilDonnées[[#This Row],[PlantationDate]]))</f>
        <v>40 2025</v>
      </c>
      <c r="L5197" t="str">
        <f>CONCATENATE(MONTH(CompilDonnées[[#This Row],[PlantationDate]])," ", YEAR(CompilDonnées[[#This Row],[PlantationDate]]))</f>
        <v>10 2025</v>
      </c>
      <c r="M5197" t="str">
        <f>CONCATENATE(MONTH(CompilDonnées[[#This Row],[HarvestingDate]])," ", YEAR(CompilDonnées[[#This Row],[HarvestingDate]]))</f>
        <v>11 2025</v>
      </c>
      <c r="N5197">
        <f>_xlfn.NUMBERVALUE(CompilDonnées[[#This Row],[FarmID]]&amp;CompilDonnées[[#This Row],[ModuleNumber]]&amp;CompilDonnées[[#This Row],[PlantationDate]])</f>
        <v>144345932</v>
      </c>
      <c r="O5197" t="str">
        <f>CompilDonnées[[#This Row],[FarmID]]&amp;CompilDonnées[[#This Row],[ModuleNumber]]</f>
        <v>1443</v>
      </c>
      <c r="P5197" t="str">
        <f>CompilDonnées[[#This Row],[Ref_Module]]&amp;CompilDonnées[[#This Row],[HarvestingDate]]</f>
        <v>144345987</v>
      </c>
    </row>
    <row r="5198" spans="1:16">
      <c r="A5198" s="5">
        <v>45932</v>
      </c>
      <c r="B5198">
        <v>143</v>
      </c>
      <c r="C5198" t="s">
        <v>81</v>
      </c>
      <c r="D5198">
        <v>2</v>
      </c>
      <c r="E5198">
        <v>100</v>
      </c>
      <c r="F5198" t="s">
        <v>1</v>
      </c>
      <c r="G5198" s="6">
        <v>45987</v>
      </c>
      <c r="H5198">
        <v>55</v>
      </c>
      <c r="I5198">
        <f>ROUND(CompilDonnées[[#This Row],[CultureDuration_days]]/7,0)</f>
        <v>8</v>
      </c>
      <c r="J5198">
        <v>1923</v>
      </c>
      <c r="K5198" t="str">
        <f>_xlfn.CONCAT(WEEKNUM(CompilDonnées[[#This Row],[PlantationDate]]), " ", YEAR(CompilDonnées[[#This Row],[PlantationDate]]))</f>
        <v>40 2025</v>
      </c>
      <c r="L5198" t="str">
        <f>CONCATENATE(MONTH(CompilDonnées[[#This Row],[PlantationDate]])," ", YEAR(CompilDonnées[[#This Row],[PlantationDate]]))</f>
        <v>10 2025</v>
      </c>
      <c r="M5198" t="str">
        <f>CONCATENATE(MONTH(CompilDonnées[[#This Row],[HarvestingDate]])," ", YEAR(CompilDonnées[[#This Row],[HarvestingDate]]))</f>
        <v>11 2025</v>
      </c>
      <c r="N5198">
        <f>_xlfn.NUMBERVALUE(CompilDonnées[[#This Row],[FarmID]]&amp;CompilDonnées[[#This Row],[ModuleNumber]]&amp;CompilDonnées[[#This Row],[PlantationDate]])</f>
        <v>143245932</v>
      </c>
      <c r="O5198" t="str">
        <f>CompilDonnées[[#This Row],[FarmID]]&amp;CompilDonnées[[#This Row],[ModuleNumber]]</f>
        <v>1432</v>
      </c>
      <c r="P5198" t="str">
        <f>CompilDonnées[[#This Row],[Ref_Module]]&amp;CompilDonnées[[#This Row],[HarvestingDate]]</f>
        <v>143245987</v>
      </c>
    </row>
    <row r="5199" spans="1:16">
      <c r="A5199" s="5">
        <v>45932</v>
      </c>
      <c r="B5199">
        <v>142</v>
      </c>
      <c r="C5199" t="s">
        <v>113</v>
      </c>
      <c r="D5199">
        <v>4</v>
      </c>
      <c r="E5199">
        <v>100</v>
      </c>
      <c r="F5199" t="s">
        <v>1</v>
      </c>
      <c r="G5199" s="6">
        <v>45987</v>
      </c>
      <c r="H5199">
        <v>55</v>
      </c>
      <c r="I5199">
        <f>ROUND(CompilDonnées[[#This Row],[CultureDuration_days]]/7,0)</f>
        <v>8</v>
      </c>
      <c r="J5199">
        <v>1612</v>
      </c>
      <c r="K5199" t="str">
        <f>_xlfn.CONCAT(WEEKNUM(CompilDonnées[[#This Row],[PlantationDate]]), " ", YEAR(CompilDonnées[[#This Row],[PlantationDate]]))</f>
        <v>40 2025</v>
      </c>
      <c r="L5199" t="str">
        <f>CONCATENATE(MONTH(CompilDonnées[[#This Row],[PlantationDate]])," ", YEAR(CompilDonnées[[#This Row],[PlantationDate]]))</f>
        <v>10 2025</v>
      </c>
      <c r="M5199" t="str">
        <f>CONCATENATE(MONTH(CompilDonnées[[#This Row],[HarvestingDate]])," ", YEAR(CompilDonnées[[#This Row],[HarvestingDate]]))</f>
        <v>11 2025</v>
      </c>
      <c r="N5199">
        <f>_xlfn.NUMBERVALUE(CompilDonnées[[#This Row],[FarmID]]&amp;CompilDonnées[[#This Row],[ModuleNumber]]&amp;CompilDonnées[[#This Row],[PlantationDate]])</f>
        <v>142445932</v>
      </c>
      <c r="O5199" t="str">
        <f>CompilDonnées[[#This Row],[FarmID]]&amp;CompilDonnées[[#This Row],[ModuleNumber]]</f>
        <v>1424</v>
      </c>
      <c r="P5199" t="str">
        <f>CompilDonnées[[#This Row],[Ref_Module]]&amp;CompilDonnées[[#This Row],[HarvestingDate]]</f>
        <v>142445987</v>
      </c>
    </row>
    <row r="5200" spans="1:16">
      <c r="A5200" s="5">
        <v>45932</v>
      </c>
      <c r="B5200">
        <v>126</v>
      </c>
      <c r="C5200" t="s">
        <v>52</v>
      </c>
      <c r="D5200">
        <v>2</v>
      </c>
      <c r="E5200">
        <v>100</v>
      </c>
      <c r="F5200" t="s">
        <v>1</v>
      </c>
      <c r="G5200" s="6">
        <v>45978</v>
      </c>
      <c r="H5200">
        <v>46</v>
      </c>
      <c r="I5200">
        <f>ROUND(CompilDonnées[[#This Row],[CultureDuration_days]]/7,0)</f>
        <v>7</v>
      </c>
      <c r="J5200">
        <v>3185</v>
      </c>
      <c r="K5200" t="str">
        <f>_xlfn.CONCAT(WEEKNUM(CompilDonnées[[#This Row],[PlantationDate]]), " ", YEAR(CompilDonnées[[#This Row],[PlantationDate]]))</f>
        <v>40 2025</v>
      </c>
      <c r="L5200" t="str">
        <f>CONCATENATE(MONTH(CompilDonnées[[#This Row],[PlantationDate]])," ", YEAR(CompilDonnées[[#This Row],[PlantationDate]]))</f>
        <v>10 2025</v>
      </c>
      <c r="M5200" t="str">
        <f>CONCATENATE(MONTH(CompilDonnées[[#This Row],[HarvestingDate]])," ", YEAR(CompilDonnées[[#This Row],[HarvestingDate]]))</f>
        <v>11 2025</v>
      </c>
      <c r="N5200">
        <f>_xlfn.NUMBERVALUE(CompilDonnées[[#This Row],[FarmID]]&amp;CompilDonnées[[#This Row],[ModuleNumber]]&amp;CompilDonnées[[#This Row],[PlantationDate]])</f>
        <v>126245932</v>
      </c>
      <c r="O5200" t="str">
        <f>CompilDonnées[[#This Row],[FarmID]]&amp;CompilDonnées[[#This Row],[ModuleNumber]]</f>
        <v>1262</v>
      </c>
      <c r="P5200" t="str">
        <f>CompilDonnées[[#This Row],[Ref_Module]]&amp;CompilDonnées[[#This Row],[HarvestingDate]]</f>
        <v>126245978</v>
      </c>
    </row>
    <row r="5201" spans="1:16">
      <c r="A5201" s="5">
        <v>45932</v>
      </c>
      <c r="B5201">
        <v>123</v>
      </c>
      <c r="C5201" t="s">
        <v>13</v>
      </c>
      <c r="D5201">
        <v>3</v>
      </c>
      <c r="E5201">
        <v>100</v>
      </c>
      <c r="F5201" t="s">
        <v>1</v>
      </c>
      <c r="G5201" s="6">
        <v>45978</v>
      </c>
      <c r="H5201">
        <v>46</v>
      </c>
      <c r="I5201">
        <f>ROUND(CompilDonnées[[#This Row],[CultureDuration_days]]/7,0)</f>
        <v>7</v>
      </c>
      <c r="J5201">
        <v>3311</v>
      </c>
      <c r="K5201" t="str">
        <f>_xlfn.CONCAT(WEEKNUM(CompilDonnées[[#This Row],[PlantationDate]]), " ", YEAR(CompilDonnées[[#This Row],[PlantationDate]]))</f>
        <v>40 2025</v>
      </c>
      <c r="L5201" t="str">
        <f>CONCATENATE(MONTH(CompilDonnées[[#This Row],[PlantationDate]])," ", YEAR(CompilDonnées[[#This Row],[PlantationDate]]))</f>
        <v>10 2025</v>
      </c>
      <c r="M5201" t="str">
        <f>CONCATENATE(MONTH(CompilDonnées[[#This Row],[HarvestingDate]])," ", YEAR(CompilDonnées[[#This Row],[HarvestingDate]]))</f>
        <v>11 2025</v>
      </c>
      <c r="N5201">
        <f>_xlfn.NUMBERVALUE(CompilDonnées[[#This Row],[FarmID]]&amp;CompilDonnées[[#This Row],[ModuleNumber]]&amp;CompilDonnées[[#This Row],[PlantationDate]])</f>
        <v>123345932</v>
      </c>
      <c r="O5201" t="str">
        <f>CompilDonnées[[#This Row],[FarmID]]&amp;CompilDonnées[[#This Row],[ModuleNumber]]</f>
        <v>1233</v>
      </c>
      <c r="P5201" t="str">
        <f>CompilDonnées[[#This Row],[Ref_Module]]&amp;CompilDonnées[[#This Row],[HarvestingDate]]</f>
        <v>123345978</v>
      </c>
    </row>
    <row r="5202" spans="1:16">
      <c r="A5202" s="5">
        <v>45932</v>
      </c>
      <c r="B5202">
        <v>118</v>
      </c>
      <c r="C5202" t="s">
        <v>51</v>
      </c>
      <c r="D5202">
        <v>3</v>
      </c>
      <c r="E5202">
        <v>100</v>
      </c>
      <c r="F5202" t="s">
        <v>1</v>
      </c>
      <c r="G5202" s="6">
        <v>45978</v>
      </c>
      <c r="H5202">
        <v>46</v>
      </c>
      <c r="I5202">
        <f>ROUND(CompilDonnées[[#This Row],[CultureDuration_days]]/7,0)</f>
        <v>7</v>
      </c>
      <c r="J5202">
        <v>3355</v>
      </c>
      <c r="K5202" t="str">
        <f>_xlfn.CONCAT(WEEKNUM(CompilDonnées[[#This Row],[PlantationDate]]), " ", YEAR(CompilDonnées[[#This Row],[PlantationDate]]))</f>
        <v>40 2025</v>
      </c>
      <c r="L5202" t="str">
        <f>CONCATENATE(MONTH(CompilDonnées[[#This Row],[PlantationDate]])," ", YEAR(CompilDonnées[[#This Row],[PlantationDate]]))</f>
        <v>10 2025</v>
      </c>
      <c r="M5202" t="str">
        <f>CONCATENATE(MONTH(CompilDonnées[[#This Row],[HarvestingDate]])," ", YEAR(CompilDonnées[[#This Row],[HarvestingDate]]))</f>
        <v>11 2025</v>
      </c>
      <c r="N5202">
        <f>_xlfn.NUMBERVALUE(CompilDonnées[[#This Row],[FarmID]]&amp;CompilDonnées[[#This Row],[ModuleNumber]]&amp;CompilDonnées[[#This Row],[PlantationDate]])</f>
        <v>118345932</v>
      </c>
      <c r="O5202" t="str">
        <f>CompilDonnées[[#This Row],[FarmID]]&amp;CompilDonnées[[#This Row],[ModuleNumber]]</f>
        <v>1183</v>
      </c>
      <c r="P5202" t="str">
        <f>CompilDonnées[[#This Row],[Ref_Module]]&amp;CompilDonnées[[#This Row],[HarvestingDate]]</f>
        <v>118345978</v>
      </c>
    </row>
    <row r="5203" spans="1:16">
      <c r="A5203" s="5">
        <v>45932</v>
      </c>
      <c r="B5203">
        <v>117</v>
      </c>
      <c r="C5203" t="s">
        <v>11</v>
      </c>
      <c r="D5203">
        <v>3</v>
      </c>
      <c r="E5203">
        <v>100</v>
      </c>
      <c r="F5203" t="s">
        <v>1</v>
      </c>
      <c r="G5203" s="6">
        <v>45978</v>
      </c>
      <c r="H5203">
        <v>46</v>
      </c>
      <c r="I5203">
        <f>ROUND(CompilDonnées[[#This Row],[CultureDuration_days]]/7,0)</f>
        <v>7</v>
      </c>
      <c r="J5203">
        <v>2239</v>
      </c>
      <c r="K5203" t="str">
        <f>_xlfn.CONCAT(WEEKNUM(CompilDonnées[[#This Row],[PlantationDate]]), " ", YEAR(CompilDonnées[[#This Row],[PlantationDate]]))</f>
        <v>40 2025</v>
      </c>
      <c r="L5203" t="str">
        <f>CONCATENATE(MONTH(CompilDonnées[[#This Row],[PlantationDate]])," ", YEAR(CompilDonnées[[#This Row],[PlantationDate]]))</f>
        <v>10 2025</v>
      </c>
      <c r="M5203" t="str">
        <f>CONCATENATE(MONTH(CompilDonnées[[#This Row],[HarvestingDate]])," ", YEAR(CompilDonnées[[#This Row],[HarvestingDate]]))</f>
        <v>11 2025</v>
      </c>
      <c r="N5203">
        <f>_xlfn.NUMBERVALUE(CompilDonnées[[#This Row],[FarmID]]&amp;CompilDonnées[[#This Row],[ModuleNumber]]&amp;CompilDonnées[[#This Row],[PlantationDate]])</f>
        <v>117345932</v>
      </c>
      <c r="O5203" t="str">
        <f>CompilDonnées[[#This Row],[FarmID]]&amp;CompilDonnées[[#This Row],[ModuleNumber]]</f>
        <v>1173</v>
      </c>
      <c r="P5203" t="str">
        <f>CompilDonnées[[#This Row],[Ref_Module]]&amp;CompilDonnées[[#This Row],[HarvestingDate]]</f>
        <v>117345978</v>
      </c>
    </row>
    <row r="5204" spans="1:16">
      <c r="A5204" s="5">
        <v>45932</v>
      </c>
      <c r="B5204">
        <v>110</v>
      </c>
      <c r="C5204" t="s">
        <v>14</v>
      </c>
      <c r="D5204">
        <v>3</v>
      </c>
      <c r="E5204">
        <v>100</v>
      </c>
      <c r="F5204" t="s">
        <v>1</v>
      </c>
      <c r="G5204" s="6">
        <v>45986</v>
      </c>
      <c r="H5204">
        <v>54</v>
      </c>
      <c r="I5204">
        <f>ROUND(CompilDonnées[[#This Row],[CultureDuration_days]]/7,0)</f>
        <v>8</v>
      </c>
      <c r="J5204">
        <v>2215</v>
      </c>
      <c r="K5204" t="str">
        <f>_xlfn.CONCAT(WEEKNUM(CompilDonnées[[#This Row],[PlantationDate]]), " ", YEAR(CompilDonnées[[#This Row],[PlantationDate]]))</f>
        <v>40 2025</v>
      </c>
      <c r="L5204" t="str">
        <f>CONCATENATE(MONTH(CompilDonnées[[#This Row],[PlantationDate]])," ", YEAR(CompilDonnées[[#This Row],[PlantationDate]]))</f>
        <v>10 2025</v>
      </c>
      <c r="M5204" t="str">
        <f>CONCATENATE(MONTH(CompilDonnées[[#This Row],[HarvestingDate]])," ", YEAR(CompilDonnées[[#This Row],[HarvestingDate]]))</f>
        <v>11 2025</v>
      </c>
      <c r="N5204">
        <f>_xlfn.NUMBERVALUE(CompilDonnées[[#This Row],[FarmID]]&amp;CompilDonnées[[#This Row],[ModuleNumber]]&amp;CompilDonnées[[#This Row],[PlantationDate]])</f>
        <v>110345932</v>
      </c>
      <c r="O5204" t="str">
        <f>CompilDonnées[[#This Row],[FarmID]]&amp;CompilDonnées[[#This Row],[ModuleNumber]]</f>
        <v>1103</v>
      </c>
      <c r="P5204" t="str">
        <f>CompilDonnées[[#This Row],[Ref_Module]]&amp;CompilDonnées[[#This Row],[HarvestingDate]]</f>
        <v>110345986</v>
      </c>
    </row>
    <row r="5205" spans="1:16">
      <c r="A5205" s="5">
        <v>45932</v>
      </c>
      <c r="B5205">
        <v>111</v>
      </c>
      <c r="C5205" t="s">
        <v>41</v>
      </c>
      <c r="D5205">
        <v>1</v>
      </c>
      <c r="E5205">
        <v>100</v>
      </c>
      <c r="F5205" t="s">
        <v>1</v>
      </c>
      <c r="G5205" s="6">
        <v>45978</v>
      </c>
      <c r="H5205">
        <v>46</v>
      </c>
      <c r="I5205">
        <f>ROUND(CompilDonnées[[#This Row],[CultureDuration_days]]/7,0)</f>
        <v>7</v>
      </c>
      <c r="J5205">
        <v>2228</v>
      </c>
      <c r="K5205" t="str">
        <f>_xlfn.CONCAT(WEEKNUM(CompilDonnées[[#This Row],[PlantationDate]]), " ", YEAR(CompilDonnées[[#This Row],[PlantationDate]]))</f>
        <v>40 2025</v>
      </c>
      <c r="L5205" t="str">
        <f>CONCATENATE(MONTH(CompilDonnées[[#This Row],[PlantationDate]])," ", YEAR(CompilDonnées[[#This Row],[PlantationDate]]))</f>
        <v>10 2025</v>
      </c>
      <c r="M5205" t="str">
        <f>CONCATENATE(MONTH(CompilDonnées[[#This Row],[HarvestingDate]])," ", YEAR(CompilDonnées[[#This Row],[HarvestingDate]]))</f>
        <v>11 2025</v>
      </c>
      <c r="N5205">
        <f>_xlfn.NUMBERVALUE(CompilDonnées[[#This Row],[FarmID]]&amp;CompilDonnées[[#This Row],[ModuleNumber]]&amp;CompilDonnées[[#This Row],[PlantationDate]])</f>
        <v>111145932</v>
      </c>
      <c r="O5205" t="str">
        <f>CompilDonnées[[#This Row],[FarmID]]&amp;CompilDonnées[[#This Row],[ModuleNumber]]</f>
        <v>1111</v>
      </c>
      <c r="P5205" t="str">
        <f>CompilDonnées[[#This Row],[Ref_Module]]&amp;CompilDonnées[[#This Row],[HarvestingDate]]</f>
        <v>111145978</v>
      </c>
    </row>
    <row r="5206" spans="1:16">
      <c r="A5206" s="5">
        <v>45932</v>
      </c>
      <c r="B5206">
        <v>91</v>
      </c>
      <c r="C5206" t="s">
        <v>9</v>
      </c>
      <c r="D5206">
        <v>4</v>
      </c>
      <c r="E5206">
        <v>100</v>
      </c>
      <c r="F5206" t="s">
        <v>1</v>
      </c>
      <c r="G5206" s="6">
        <v>45978</v>
      </c>
      <c r="H5206">
        <v>46</v>
      </c>
      <c r="I5206">
        <f>ROUND(CompilDonnées[[#This Row],[CultureDuration_days]]/7,0)</f>
        <v>7</v>
      </c>
      <c r="J5206">
        <v>1682</v>
      </c>
      <c r="K5206" t="str">
        <f>_xlfn.CONCAT(WEEKNUM(CompilDonnées[[#This Row],[PlantationDate]]), " ", YEAR(CompilDonnées[[#This Row],[PlantationDate]]))</f>
        <v>40 2025</v>
      </c>
      <c r="L5206" t="str">
        <f>CONCATENATE(MONTH(CompilDonnées[[#This Row],[PlantationDate]])," ", YEAR(CompilDonnées[[#This Row],[PlantationDate]]))</f>
        <v>10 2025</v>
      </c>
      <c r="M5206" t="str">
        <f>CONCATENATE(MONTH(CompilDonnées[[#This Row],[HarvestingDate]])," ", YEAR(CompilDonnées[[#This Row],[HarvestingDate]]))</f>
        <v>11 2025</v>
      </c>
      <c r="N5206">
        <f>_xlfn.NUMBERVALUE(CompilDonnées[[#This Row],[FarmID]]&amp;CompilDonnées[[#This Row],[ModuleNumber]]&amp;CompilDonnées[[#This Row],[PlantationDate]])</f>
        <v>91445932</v>
      </c>
      <c r="O5206" t="str">
        <f>CompilDonnées[[#This Row],[FarmID]]&amp;CompilDonnées[[#This Row],[ModuleNumber]]</f>
        <v>914</v>
      </c>
      <c r="P5206" t="str">
        <f>CompilDonnées[[#This Row],[Ref_Module]]&amp;CompilDonnées[[#This Row],[HarvestingDate]]</f>
        <v>91445978</v>
      </c>
    </row>
    <row r="5207" spans="1:16">
      <c r="A5207" s="5">
        <v>45932</v>
      </c>
      <c r="B5207">
        <v>100</v>
      </c>
      <c r="C5207" t="s">
        <v>84</v>
      </c>
      <c r="D5207">
        <v>1</v>
      </c>
      <c r="E5207">
        <v>100</v>
      </c>
      <c r="F5207" t="s">
        <v>1</v>
      </c>
      <c r="G5207" s="6">
        <v>45978</v>
      </c>
      <c r="H5207">
        <v>46</v>
      </c>
      <c r="I5207">
        <f>ROUND(CompilDonnées[[#This Row],[CultureDuration_days]]/7,0)</f>
        <v>7</v>
      </c>
      <c r="J5207">
        <v>1900</v>
      </c>
      <c r="K5207" t="str">
        <f>_xlfn.CONCAT(WEEKNUM(CompilDonnées[[#This Row],[PlantationDate]]), " ", YEAR(CompilDonnées[[#This Row],[PlantationDate]]))</f>
        <v>40 2025</v>
      </c>
      <c r="L5207" t="str">
        <f>CONCATENATE(MONTH(CompilDonnées[[#This Row],[PlantationDate]])," ", YEAR(CompilDonnées[[#This Row],[PlantationDate]]))</f>
        <v>10 2025</v>
      </c>
      <c r="M5207" t="str">
        <f>CONCATENATE(MONTH(CompilDonnées[[#This Row],[HarvestingDate]])," ", YEAR(CompilDonnées[[#This Row],[HarvestingDate]]))</f>
        <v>11 2025</v>
      </c>
      <c r="N5207">
        <f>_xlfn.NUMBERVALUE(CompilDonnées[[#This Row],[FarmID]]&amp;CompilDonnées[[#This Row],[ModuleNumber]]&amp;CompilDonnées[[#This Row],[PlantationDate]])</f>
        <v>100145932</v>
      </c>
      <c r="O5207" t="str">
        <f>CompilDonnées[[#This Row],[FarmID]]&amp;CompilDonnées[[#This Row],[ModuleNumber]]</f>
        <v>1001</v>
      </c>
      <c r="P5207" t="str">
        <f>CompilDonnées[[#This Row],[Ref_Module]]&amp;CompilDonnées[[#This Row],[HarvestingDate]]</f>
        <v>100145978</v>
      </c>
    </row>
    <row r="5208" spans="1:16">
      <c r="A5208" s="5">
        <v>45932</v>
      </c>
      <c r="B5208">
        <v>107</v>
      </c>
      <c r="C5208" t="s">
        <v>23</v>
      </c>
      <c r="D5208">
        <v>4</v>
      </c>
      <c r="E5208">
        <v>100</v>
      </c>
      <c r="F5208" t="s">
        <v>1</v>
      </c>
      <c r="G5208" s="6">
        <v>45978</v>
      </c>
      <c r="H5208">
        <v>46</v>
      </c>
      <c r="I5208">
        <f>ROUND(CompilDonnées[[#This Row],[CultureDuration_days]]/7,0)</f>
        <v>7</v>
      </c>
      <c r="J5208">
        <v>2299</v>
      </c>
      <c r="K5208" t="str">
        <f>_xlfn.CONCAT(WEEKNUM(CompilDonnées[[#This Row],[PlantationDate]]), " ", YEAR(CompilDonnées[[#This Row],[PlantationDate]]))</f>
        <v>40 2025</v>
      </c>
      <c r="L5208" t="str">
        <f>CONCATENATE(MONTH(CompilDonnées[[#This Row],[PlantationDate]])," ", YEAR(CompilDonnées[[#This Row],[PlantationDate]]))</f>
        <v>10 2025</v>
      </c>
      <c r="M5208" t="str">
        <f>CONCATENATE(MONTH(CompilDonnées[[#This Row],[HarvestingDate]])," ", YEAR(CompilDonnées[[#This Row],[HarvestingDate]]))</f>
        <v>11 2025</v>
      </c>
      <c r="N5208">
        <f>_xlfn.NUMBERVALUE(CompilDonnées[[#This Row],[FarmID]]&amp;CompilDonnées[[#This Row],[ModuleNumber]]&amp;CompilDonnées[[#This Row],[PlantationDate]])</f>
        <v>107445932</v>
      </c>
      <c r="O5208" t="str">
        <f>CompilDonnées[[#This Row],[FarmID]]&amp;CompilDonnées[[#This Row],[ModuleNumber]]</f>
        <v>1074</v>
      </c>
      <c r="P5208" t="str">
        <f>CompilDonnées[[#This Row],[Ref_Module]]&amp;CompilDonnées[[#This Row],[HarvestingDate]]</f>
        <v>107445978</v>
      </c>
    </row>
    <row r="5209" spans="1:16">
      <c r="A5209" s="5">
        <v>45932</v>
      </c>
      <c r="B5209">
        <v>98</v>
      </c>
      <c r="C5209" t="s">
        <v>79</v>
      </c>
      <c r="D5209">
        <v>3</v>
      </c>
      <c r="E5209">
        <v>100</v>
      </c>
      <c r="F5209" t="s">
        <v>1</v>
      </c>
      <c r="G5209" s="6">
        <v>45978</v>
      </c>
      <c r="H5209">
        <v>46</v>
      </c>
      <c r="I5209">
        <f>ROUND(CompilDonnées[[#This Row],[CultureDuration_days]]/7,0)</f>
        <v>7</v>
      </c>
      <c r="J5209">
        <v>2161</v>
      </c>
      <c r="K5209" t="str">
        <f>_xlfn.CONCAT(WEEKNUM(CompilDonnées[[#This Row],[PlantationDate]]), " ", YEAR(CompilDonnées[[#This Row],[PlantationDate]]))</f>
        <v>40 2025</v>
      </c>
      <c r="L5209" t="str">
        <f>CONCATENATE(MONTH(CompilDonnées[[#This Row],[PlantationDate]])," ", YEAR(CompilDonnées[[#This Row],[PlantationDate]]))</f>
        <v>10 2025</v>
      </c>
      <c r="M5209" t="str">
        <f>CONCATENATE(MONTH(CompilDonnées[[#This Row],[HarvestingDate]])," ", YEAR(CompilDonnées[[#This Row],[HarvestingDate]]))</f>
        <v>11 2025</v>
      </c>
      <c r="N5209">
        <f>_xlfn.NUMBERVALUE(CompilDonnées[[#This Row],[FarmID]]&amp;CompilDonnées[[#This Row],[ModuleNumber]]&amp;CompilDonnées[[#This Row],[PlantationDate]])</f>
        <v>98345932</v>
      </c>
      <c r="O5209" t="str">
        <f>CompilDonnées[[#This Row],[FarmID]]&amp;CompilDonnées[[#This Row],[ModuleNumber]]</f>
        <v>983</v>
      </c>
      <c r="P5209" t="str">
        <f>CompilDonnées[[#This Row],[Ref_Module]]&amp;CompilDonnées[[#This Row],[HarvestingDate]]</f>
        <v>98345978</v>
      </c>
    </row>
    <row r="5210" spans="1:16">
      <c r="A5210" s="5">
        <v>45932</v>
      </c>
      <c r="B5210">
        <v>96</v>
      </c>
      <c r="C5210" t="s">
        <v>125</v>
      </c>
      <c r="D5210">
        <v>5</v>
      </c>
      <c r="E5210">
        <v>100</v>
      </c>
      <c r="F5210" t="s">
        <v>1</v>
      </c>
      <c r="G5210" s="6">
        <v>45973</v>
      </c>
      <c r="H5210">
        <v>41</v>
      </c>
      <c r="I5210">
        <f>ROUND(CompilDonnées[[#This Row],[CultureDuration_days]]/7,0)</f>
        <v>6</v>
      </c>
      <c r="J5210">
        <v>1900</v>
      </c>
      <c r="K5210" t="str">
        <f>_xlfn.CONCAT(WEEKNUM(CompilDonnées[[#This Row],[PlantationDate]]), " ", YEAR(CompilDonnées[[#This Row],[PlantationDate]]))</f>
        <v>40 2025</v>
      </c>
      <c r="L5210" t="str">
        <f>CONCATENATE(MONTH(CompilDonnées[[#This Row],[PlantationDate]])," ", YEAR(CompilDonnées[[#This Row],[PlantationDate]]))</f>
        <v>10 2025</v>
      </c>
      <c r="M5210" t="str">
        <f>CONCATENATE(MONTH(CompilDonnées[[#This Row],[HarvestingDate]])," ", YEAR(CompilDonnées[[#This Row],[HarvestingDate]]))</f>
        <v>11 2025</v>
      </c>
      <c r="N5210">
        <f>_xlfn.NUMBERVALUE(CompilDonnées[[#This Row],[FarmID]]&amp;CompilDonnées[[#This Row],[ModuleNumber]]&amp;CompilDonnées[[#This Row],[PlantationDate]])</f>
        <v>96545932</v>
      </c>
      <c r="O5210" t="str">
        <f>CompilDonnées[[#This Row],[FarmID]]&amp;CompilDonnées[[#This Row],[ModuleNumber]]</f>
        <v>965</v>
      </c>
      <c r="P5210" t="str">
        <f>CompilDonnées[[#This Row],[Ref_Module]]&amp;CompilDonnées[[#This Row],[HarvestingDate]]</f>
        <v>96545973</v>
      </c>
    </row>
    <row r="5211" spans="1:16">
      <c r="A5211" s="5">
        <v>45932</v>
      </c>
      <c r="B5211">
        <v>97</v>
      </c>
      <c r="C5211" t="s">
        <v>78</v>
      </c>
      <c r="D5211">
        <v>4</v>
      </c>
      <c r="E5211">
        <v>100</v>
      </c>
      <c r="F5211" t="s">
        <v>1</v>
      </c>
      <c r="G5211" s="6">
        <v>45978</v>
      </c>
      <c r="H5211">
        <v>46</v>
      </c>
      <c r="I5211">
        <f>ROUND(CompilDonnées[[#This Row],[CultureDuration_days]]/7,0)</f>
        <v>7</v>
      </c>
      <c r="J5211">
        <v>1549</v>
      </c>
      <c r="K5211" t="str">
        <f>_xlfn.CONCAT(WEEKNUM(CompilDonnées[[#This Row],[PlantationDate]]), " ", YEAR(CompilDonnées[[#This Row],[PlantationDate]]))</f>
        <v>40 2025</v>
      </c>
      <c r="L5211" t="str">
        <f>CONCATENATE(MONTH(CompilDonnées[[#This Row],[PlantationDate]])," ", YEAR(CompilDonnées[[#This Row],[PlantationDate]]))</f>
        <v>10 2025</v>
      </c>
      <c r="M5211" t="str">
        <f>CONCATENATE(MONTH(CompilDonnées[[#This Row],[HarvestingDate]])," ", YEAR(CompilDonnées[[#This Row],[HarvestingDate]]))</f>
        <v>11 2025</v>
      </c>
      <c r="N5211">
        <f>_xlfn.NUMBERVALUE(CompilDonnées[[#This Row],[FarmID]]&amp;CompilDonnées[[#This Row],[ModuleNumber]]&amp;CompilDonnées[[#This Row],[PlantationDate]])</f>
        <v>97445932</v>
      </c>
      <c r="O5211" t="str">
        <f>CompilDonnées[[#This Row],[FarmID]]&amp;CompilDonnées[[#This Row],[ModuleNumber]]</f>
        <v>974</v>
      </c>
      <c r="P5211" t="str">
        <f>CompilDonnées[[#This Row],[Ref_Module]]&amp;CompilDonnées[[#This Row],[HarvestingDate]]</f>
        <v>97445978</v>
      </c>
    </row>
    <row r="5212" spans="1:16">
      <c r="A5212" s="5">
        <v>45938</v>
      </c>
      <c r="B5212">
        <v>79</v>
      </c>
      <c r="C5212" t="s">
        <v>61</v>
      </c>
      <c r="D5212">
        <v>4</v>
      </c>
      <c r="E5212">
        <v>100</v>
      </c>
      <c r="F5212" t="s">
        <v>1</v>
      </c>
      <c r="G5212" s="6">
        <v>45979</v>
      </c>
      <c r="H5212">
        <v>41</v>
      </c>
      <c r="I5212">
        <f>ROUND(CompilDonnées[[#This Row],[CultureDuration_days]]/7,0)</f>
        <v>6</v>
      </c>
      <c r="J5212">
        <v>2576</v>
      </c>
      <c r="K5212" t="str">
        <f>_xlfn.CONCAT(WEEKNUM(CompilDonnées[[#This Row],[PlantationDate]]), " ", YEAR(CompilDonnées[[#This Row],[PlantationDate]]))</f>
        <v>41 2025</v>
      </c>
      <c r="L5212" t="str">
        <f>CONCATENATE(MONTH(CompilDonnées[[#This Row],[PlantationDate]])," ", YEAR(CompilDonnées[[#This Row],[PlantationDate]]))</f>
        <v>10 2025</v>
      </c>
      <c r="M5212" t="str">
        <f>CONCATENATE(MONTH(CompilDonnées[[#This Row],[HarvestingDate]])," ", YEAR(CompilDonnées[[#This Row],[HarvestingDate]]))</f>
        <v>11 2025</v>
      </c>
      <c r="N5212">
        <f>_xlfn.NUMBERVALUE(CompilDonnées[[#This Row],[FarmID]]&amp;CompilDonnées[[#This Row],[ModuleNumber]]&amp;CompilDonnées[[#This Row],[PlantationDate]])</f>
        <v>79445938</v>
      </c>
      <c r="O5212" t="str">
        <f>CompilDonnées[[#This Row],[FarmID]]&amp;CompilDonnées[[#This Row],[ModuleNumber]]</f>
        <v>794</v>
      </c>
      <c r="P5212" t="str">
        <f>CompilDonnées[[#This Row],[Ref_Module]]&amp;CompilDonnées[[#This Row],[HarvestingDate]]</f>
        <v>79445979</v>
      </c>
    </row>
    <row r="5213" spans="1:16">
      <c r="A5213" s="5">
        <v>45938</v>
      </c>
      <c r="B5213">
        <v>110</v>
      </c>
      <c r="C5213" t="s">
        <v>14</v>
      </c>
      <c r="D5213">
        <v>4</v>
      </c>
      <c r="E5213">
        <v>100</v>
      </c>
      <c r="F5213" t="s">
        <v>1</v>
      </c>
      <c r="G5213" s="6">
        <v>45992</v>
      </c>
      <c r="H5213">
        <v>54</v>
      </c>
      <c r="I5213">
        <f>ROUND(CompilDonnées[[#This Row],[CultureDuration_days]]/7,0)</f>
        <v>8</v>
      </c>
      <c r="J5213">
        <v>2824</v>
      </c>
      <c r="K5213" t="str">
        <f>_xlfn.CONCAT(WEEKNUM(CompilDonnées[[#This Row],[PlantationDate]]), " ", YEAR(CompilDonnées[[#This Row],[PlantationDate]]))</f>
        <v>41 2025</v>
      </c>
      <c r="L5213" t="str">
        <f>CONCATENATE(MONTH(CompilDonnées[[#This Row],[PlantationDate]])," ", YEAR(CompilDonnées[[#This Row],[PlantationDate]]))</f>
        <v>10 2025</v>
      </c>
      <c r="M5213" t="str">
        <f>CONCATENATE(MONTH(CompilDonnées[[#This Row],[HarvestingDate]])," ", YEAR(CompilDonnées[[#This Row],[HarvestingDate]]))</f>
        <v>12 2025</v>
      </c>
      <c r="N5213">
        <f>_xlfn.NUMBERVALUE(CompilDonnées[[#This Row],[FarmID]]&amp;CompilDonnées[[#This Row],[ModuleNumber]]&amp;CompilDonnées[[#This Row],[PlantationDate]])</f>
        <v>110445938</v>
      </c>
      <c r="O5213" t="str">
        <f>CompilDonnées[[#This Row],[FarmID]]&amp;CompilDonnées[[#This Row],[ModuleNumber]]</f>
        <v>1104</v>
      </c>
      <c r="P5213" t="str">
        <f>CompilDonnées[[#This Row],[Ref_Module]]&amp;CompilDonnées[[#This Row],[HarvestingDate]]</f>
        <v>110445992</v>
      </c>
    </row>
    <row r="5214" spans="1:16">
      <c r="A5214" s="5">
        <v>45938</v>
      </c>
      <c r="B5214">
        <v>111</v>
      </c>
      <c r="C5214" t="s">
        <v>41</v>
      </c>
      <c r="D5214">
        <v>4</v>
      </c>
      <c r="E5214">
        <v>100</v>
      </c>
      <c r="F5214" t="s">
        <v>1</v>
      </c>
      <c r="G5214" s="6">
        <v>45987</v>
      </c>
      <c r="H5214">
        <v>49</v>
      </c>
      <c r="I5214">
        <f>ROUND(CompilDonnées[[#This Row],[CultureDuration_days]]/7,0)</f>
        <v>7</v>
      </c>
      <c r="J5214">
        <v>2450</v>
      </c>
      <c r="K5214" t="str">
        <f>_xlfn.CONCAT(WEEKNUM(CompilDonnées[[#This Row],[PlantationDate]]), " ", YEAR(CompilDonnées[[#This Row],[PlantationDate]]))</f>
        <v>41 2025</v>
      </c>
      <c r="L5214" t="str">
        <f>CONCATENATE(MONTH(CompilDonnées[[#This Row],[PlantationDate]])," ", YEAR(CompilDonnées[[#This Row],[PlantationDate]]))</f>
        <v>10 2025</v>
      </c>
      <c r="M5214" t="str">
        <f>CONCATENATE(MONTH(CompilDonnées[[#This Row],[HarvestingDate]])," ", YEAR(CompilDonnées[[#This Row],[HarvestingDate]]))</f>
        <v>11 2025</v>
      </c>
      <c r="N5214">
        <f>_xlfn.NUMBERVALUE(CompilDonnées[[#This Row],[FarmID]]&amp;CompilDonnées[[#This Row],[ModuleNumber]]&amp;CompilDonnées[[#This Row],[PlantationDate]])</f>
        <v>111445938</v>
      </c>
      <c r="O5214" t="str">
        <f>CompilDonnées[[#This Row],[FarmID]]&amp;CompilDonnées[[#This Row],[ModuleNumber]]</f>
        <v>1114</v>
      </c>
      <c r="P5214" t="str">
        <f>CompilDonnées[[#This Row],[Ref_Module]]&amp;CompilDonnées[[#This Row],[HarvestingDate]]</f>
        <v>111445987</v>
      </c>
    </row>
    <row r="5215" spans="1:16">
      <c r="A5215" s="5">
        <v>45938</v>
      </c>
      <c r="B5215">
        <v>112</v>
      </c>
      <c r="C5215" t="s">
        <v>15</v>
      </c>
      <c r="D5215">
        <v>1</v>
      </c>
      <c r="E5215">
        <v>100</v>
      </c>
      <c r="F5215" t="s">
        <v>1</v>
      </c>
      <c r="G5215" s="6">
        <v>45987</v>
      </c>
      <c r="H5215">
        <v>49</v>
      </c>
      <c r="I5215">
        <f>ROUND(CompilDonnées[[#This Row],[CultureDuration_days]]/7,0)</f>
        <v>7</v>
      </c>
      <c r="J5215">
        <v>3073</v>
      </c>
      <c r="K5215" t="str">
        <f>_xlfn.CONCAT(WEEKNUM(CompilDonnées[[#This Row],[PlantationDate]]), " ", YEAR(CompilDonnées[[#This Row],[PlantationDate]]))</f>
        <v>41 2025</v>
      </c>
      <c r="L5215" t="str">
        <f>CONCATENATE(MONTH(CompilDonnées[[#This Row],[PlantationDate]])," ", YEAR(CompilDonnées[[#This Row],[PlantationDate]]))</f>
        <v>10 2025</v>
      </c>
      <c r="M5215" t="str">
        <f>CONCATENATE(MONTH(CompilDonnées[[#This Row],[HarvestingDate]])," ", YEAR(CompilDonnées[[#This Row],[HarvestingDate]]))</f>
        <v>11 2025</v>
      </c>
      <c r="N5215">
        <f>_xlfn.NUMBERVALUE(CompilDonnées[[#This Row],[FarmID]]&amp;CompilDonnées[[#This Row],[ModuleNumber]]&amp;CompilDonnées[[#This Row],[PlantationDate]])</f>
        <v>112145938</v>
      </c>
      <c r="O5215" t="str">
        <f>CompilDonnées[[#This Row],[FarmID]]&amp;CompilDonnées[[#This Row],[ModuleNumber]]</f>
        <v>1121</v>
      </c>
      <c r="P5215" t="str">
        <f>CompilDonnées[[#This Row],[Ref_Module]]&amp;CompilDonnées[[#This Row],[HarvestingDate]]</f>
        <v>112145987</v>
      </c>
    </row>
    <row r="5216" spans="1:16">
      <c r="A5216" s="5">
        <v>45938</v>
      </c>
      <c r="B5216">
        <v>113</v>
      </c>
      <c r="C5216" t="s">
        <v>16</v>
      </c>
      <c r="D5216">
        <v>2</v>
      </c>
      <c r="E5216">
        <v>100</v>
      </c>
      <c r="F5216" t="s">
        <v>1</v>
      </c>
      <c r="G5216" s="6">
        <v>45987</v>
      </c>
      <c r="H5216">
        <v>49</v>
      </c>
      <c r="I5216">
        <f>ROUND(CompilDonnées[[#This Row],[CultureDuration_days]]/7,0)</f>
        <v>7</v>
      </c>
      <c r="J5216">
        <v>4020</v>
      </c>
      <c r="K5216" t="str">
        <f>_xlfn.CONCAT(WEEKNUM(CompilDonnées[[#This Row],[PlantationDate]]), " ", YEAR(CompilDonnées[[#This Row],[PlantationDate]]))</f>
        <v>41 2025</v>
      </c>
      <c r="L5216" t="str">
        <f>CONCATENATE(MONTH(CompilDonnées[[#This Row],[PlantationDate]])," ", YEAR(CompilDonnées[[#This Row],[PlantationDate]]))</f>
        <v>10 2025</v>
      </c>
      <c r="M5216" t="str">
        <f>CONCATENATE(MONTH(CompilDonnées[[#This Row],[HarvestingDate]])," ", YEAR(CompilDonnées[[#This Row],[HarvestingDate]]))</f>
        <v>11 2025</v>
      </c>
      <c r="N5216">
        <f>_xlfn.NUMBERVALUE(CompilDonnées[[#This Row],[FarmID]]&amp;CompilDonnées[[#This Row],[ModuleNumber]]&amp;CompilDonnées[[#This Row],[PlantationDate]])</f>
        <v>113245938</v>
      </c>
      <c r="O5216" t="str">
        <f>CompilDonnées[[#This Row],[FarmID]]&amp;CompilDonnées[[#This Row],[ModuleNumber]]</f>
        <v>1132</v>
      </c>
      <c r="P5216" t="str">
        <f>CompilDonnées[[#This Row],[Ref_Module]]&amp;CompilDonnées[[#This Row],[HarvestingDate]]</f>
        <v>113245987</v>
      </c>
    </row>
    <row r="5217" spans="1:16">
      <c r="A5217" s="5">
        <v>45938</v>
      </c>
      <c r="B5217">
        <v>117</v>
      </c>
      <c r="C5217" t="s">
        <v>11</v>
      </c>
      <c r="D5217">
        <v>6</v>
      </c>
      <c r="E5217">
        <v>100</v>
      </c>
      <c r="F5217" t="s">
        <v>1</v>
      </c>
      <c r="G5217" s="6">
        <v>45987</v>
      </c>
      <c r="H5217">
        <v>49</v>
      </c>
      <c r="I5217">
        <f>ROUND(CompilDonnées[[#This Row],[CultureDuration_days]]/7,0)</f>
        <v>7</v>
      </c>
      <c r="J5217">
        <v>3182</v>
      </c>
      <c r="K5217" t="str">
        <f>_xlfn.CONCAT(WEEKNUM(CompilDonnées[[#This Row],[PlantationDate]]), " ", YEAR(CompilDonnées[[#This Row],[PlantationDate]]))</f>
        <v>41 2025</v>
      </c>
      <c r="L5217" t="str">
        <f>CONCATENATE(MONTH(CompilDonnées[[#This Row],[PlantationDate]])," ", YEAR(CompilDonnées[[#This Row],[PlantationDate]]))</f>
        <v>10 2025</v>
      </c>
      <c r="M5217" t="str">
        <f>CONCATENATE(MONTH(CompilDonnées[[#This Row],[HarvestingDate]])," ", YEAR(CompilDonnées[[#This Row],[HarvestingDate]]))</f>
        <v>11 2025</v>
      </c>
      <c r="N5217">
        <f>_xlfn.NUMBERVALUE(CompilDonnées[[#This Row],[FarmID]]&amp;CompilDonnées[[#This Row],[ModuleNumber]]&amp;CompilDonnées[[#This Row],[PlantationDate]])</f>
        <v>117645938</v>
      </c>
      <c r="O5217" t="str">
        <f>CompilDonnées[[#This Row],[FarmID]]&amp;CompilDonnées[[#This Row],[ModuleNumber]]</f>
        <v>1176</v>
      </c>
      <c r="P5217" t="str">
        <f>CompilDonnées[[#This Row],[Ref_Module]]&amp;CompilDonnées[[#This Row],[HarvestingDate]]</f>
        <v>117645987</v>
      </c>
    </row>
    <row r="5218" spans="1:16">
      <c r="A5218" s="5">
        <v>45938</v>
      </c>
      <c r="B5218">
        <v>119</v>
      </c>
      <c r="C5218" t="s">
        <v>59</v>
      </c>
      <c r="D5218">
        <v>1</v>
      </c>
      <c r="E5218">
        <v>100</v>
      </c>
      <c r="F5218" t="s">
        <v>1</v>
      </c>
      <c r="G5218" s="6">
        <v>45987</v>
      </c>
      <c r="H5218">
        <v>49</v>
      </c>
      <c r="I5218">
        <f>ROUND(CompilDonnées[[#This Row],[CultureDuration_days]]/7,0)</f>
        <v>7</v>
      </c>
      <c r="J5218">
        <v>3496</v>
      </c>
      <c r="K5218" t="str">
        <f>_xlfn.CONCAT(WEEKNUM(CompilDonnées[[#This Row],[PlantationDate]]), " ", YEAR(CompilDonnées[[#This Row],[PlantationDate]]))</f>
        <v>41 2025</v>
      </c>
      <c r="L5218" t="str">
        <f>CONCATENATE(MONTH(CompilDonnées[[#This Row],[PlantationDate]])," ", YEAR(CompilDonnées[[#This Row],[PlantationDate]]))</f>
        <v>10 2025</v>
      </c>
      <c r="M5218" t="str">
        <f>CONCATENATE(MONTH(CompilDonnées[[#This Row],[HarvestingDate]])," ", YEAR(CompilDonnées[[#This Row],[HarvestingDate]]))</f>
        <v>11 2025</v>
      </c>
      <c r="N5218">
        <f>_xlfn.NUMBERVALUE(CompilDonnées[[#This Row],[FarmID]]&amp;CompilDonnées[[#This Row],[ModuleNumber]]&amp;CompilDonnées[[#This Row],[PlantationDate]])</f>
        <v>119145938</v>
      </c>
      <c r="O5218" t="str">
        <f>CompilDonnées[[#This Row],[FarmID]]&amp;CompilDonnées[[#This Row],[ModuleNumber]]</f>
        <v>1191</v>
      </c>
      <c r="P5218" t="str">
        <f>CompilDonnées[[#This Row],[Ref_Module]]&amp;CompilDonnées[[#This Row],[HarvestingDate]]</f>
        <v>119145987</v>
      </c>
    </row>
    <row r="5219" spans="1:16">
      <c r="A5219" s="5">
        <v>45938</v>
      </c>
      <c r="B5219">
        <v>124</v>
      </c>
      <c r="C5219" t="s">
        <v>115</v>
      </c>
      <c r="D5219">
        <v>6</v>
      </c>
      <c r="E5219">
        <v>100</v>
      </c>
      <c r="F5219" t="s">
        <v>1</v>
      </c>
      <c r="G5219" s="6">
        <v>45978</v>
      </c>
      <c r="H5219">
        <v>40</v>
      </c>
      <c r="I5219">
        <f>ROUND(CompilDonnées[[#This Row],[CultureDuration_days]]/7,0)</f>
        <v>6</v>
      </c>
      <c r="J5219">
        <v>4228</v>
      </c>
      <c r="K5219" t="str">
        <f>_xlfn.CONCAT(WEEKNUM(CompilDonnées[[#This Row],[PlantationDate]]), " ", YEAR(CompilDonnées[[#This Row],[PlantationDate]]))</f>
        <v>41 2025</v>
      </c>
      <c r="L5219" t="str">
        <f>CONCATENATE(MONTH(CompilDonnées[[#This Row],[PlantationDate]])," ", YEAR(CompilDonnées[[#This Row],[PlantationDate]]))</f>
        <v>10 2025</v>
      </c>
      <c r="M5219" t="str">
        <f>CONCATENATE(MONTH(CompilDonnées[[#This Row],[HarvestingDate]])," ", YEAR(CompilDonnées[[#This Row],[HarvestingDate]]))</f>
        <v>11 2025</v>
      </c>
      <c r="N5219">
        <f>_xlfn.NUMBERVALUE(CompilDonnées[[#This Row],[FarmID]]&amp;CompilDonnées[[#This Row],[ModuleNumber]]&amp;CompilDonnées[[#This Row],[PlantationDate]])</f>
        <v>124645938</v>
      </c>
      <c r="O5219" t="str">
        <f>CompilDonnées[[#This Row],[FarmID]]&amp;CompilDonnées[[#This Row],[ModuleNumber]]</f>
        <v>1246</v>
      </c>
      <c r="P5219" t="str">
        <f>CompilDonnées[[#This Row],[Ref_Module]]&amp;CompilDonnées[[#This Row],[HarvestingDate]]</f>
        <v>124645978</v>
      </c>
    </row>
    <row r="5220" spans="1:16">
      <c r="A5220" s="5">
        <v>45938</v>
      </c>
      <c r="B5220">
        <v>123</v>
      </c>
      <c r="C5220" t="s">
        <v>13</v>
      </c>
      <c r="D5220">
        <v>5</v>
      </c>
      <c r="E5220">
        <v>100</v>
      </c>
      <c r="F5220" t="s">
        <v>1</v>
      </c>
      <c r="G5220" s="6">
        <v>45987</v>
      </c>
      <c r="H5220">
        <v>49</v>
      </c>
      <c r="I5220">
        <f>ROUND(CompilDonnées[[#This Row],[CultureDuration_days]]/7,0)</f>
        <v>7</v>
      </c>
      <c r="J5220">
        <v>3723</v>
      </c>
      <c r="K5220" t="str">
        <f>_xlfn.CONCAT(WEEKNUM(CompilDonnées[[#This Row],[PlantationDate]]), " ", YEAR(CompilDonnées[[#This Row],[PlantationDate]]))</f>
        <v>41 2025</v>
      </c>
      <c r="L5220" t="str">
        <f>CONCATENATE(MONTH(CompilDonnées[[#This Row],[PlantationDate]])," ", YEAR(CompilDonnées[[#This Row],[PlantationDate]]))</f>
        <v>10 2025</v>
      </c>
      <c r="M5220" t="str">
        <f>CONCATENATE(MONTH(CompilDonnées[[#This Row],[HarvestingDate]])," ", YEAR(CompilDonnées[[#This Row],[HarvestingDate]]))</f>
        <v>11 2025</v>
      </c>
      <c r="N5220">
        <f>_xlfn.NUMBERVALUE(CompilDonnées[[#This Row],[FarmID]]&amp;CompilDonnées[[#This Row],[ModuleNumber]]&amp;CompilDonnées[[#This Row],[PlantationDate]])</f>
        <v>123545938</v>
      </c>
      <c r="O5220" t="str">
        <f>CompilDonnées[[#This Row],[FarmID]]&amp;CompilDonnées[[#This Row],[ModuleNumber]]</f>
        <v>1235</v>
      </c>
      <c r="P5220" t="str">
        <f>CompilDonnées[[#This Row],[Ref_Module]]&amp;CompilDonnées[[#This Row],[HarvestingDate]]</f>
        <v>123545987</v>
      </c>
    </row>
    <row r="5221" spans="1:16">
      <c r="A5221" s="5">
        <v>45938</v>
      </c>
      <c r="B5221">
        <v>133</v>
      </c>
      <c r="C5221" t="s">
        <v>99</v>
      </c>
      <c r="D5221">
        <v>4</v>
      </c>
      <c r="E5221">
        <v>100</v>
      </c>
      <c r="F5221" t="s">
        <v>1</v>
      </c>
      <c r="G5221" s="6">
        <v>45978</v>
      </c>
      <c r="H5221">
        <v>40</v>
      </c>
      <c r="I5221">
        <f>ROUND(CompilDonnées[[#This Row],[CultureDuration_days]]/7,0)</f>
        <v>6</v>
      </c>
      <c r="J5221">
        <v>3400</v>
      </c>
      <c r="K5221" t="str">
        <f>_xlfn.CONCAT(WEEKNUM(CompilDonnées[[#This Row],[PlantationDate]]), " ", YEAR(CompilDonnées[[#This Row],[PlantationDate]]))</f>
        <v>41 2025</v>
      </c>
      <c r="L5221" t="str">
        <f>CONCATENATE(MONTH(CompilDonnées[[#This Row],[PlantationDate]])," ", YEAR(CompilDonnées[[#This Row],[PlantationDate]]))</f>
        <v>10 2025</v>
      </c>
      <c r="M5221" t="str">
        <f>CONCATENATE(MONTH(CompilDonnées[[#This Row],[HarvestingDate]])," ", YEAR(CompilDonnées[[#This Row],[HarvestingDate]]))</f>
        <v>11 2025</v>
      </c>
      <c r="N5221">
        <f>_xlfn.NUMBERVALUE(CompilDonnées[[#This Row],[FarmID]]&amp;CompilDonnées[[#This Row],[ModuleNumber]]&amp;CompilDonnées[[#This Row],[PlantationDate]])</f>
        <v>133445938</v>
      </c>
      <c r="O5221" t="str">
        <f>CompilDonnées[[#This Row],[FarmID]]&amp;CompilDonnées[[#This Row],[ModuleNumber]]</f>
        <v>1334</v>
      </c>
      <c r="P5221" t="str">
        <f>CompilDonnées[[#This Row],[Ref_Module]]&amp;CompilDonnées[[#This Row],[HarvestingDate]]</f>
        <v>133445978</v>
      </c>
    </row>
    <row r="5222" spans="1:16">
      <c r="A5222" s="5">
        <v>45938</v>
      </c>
      <c r="B5222">
        <v>132</v>
      </c>
      <c r="C5222" t="s">
        <v>120</v>
      </c>
      <c r="D5222">
        <v>5</v>
      </c>
      <c r="E5222">
        <v>100</v>
      </c>
      <c r="F5222" t="s">
        <v>1</v>
      </c>
      <c r="G5222" s="6">
        <v>45987</v>
      </c>
      <c r="H5222">
        <v>49</v>
      </c>
      <c r="I5222">
        <f>ROUND(CompilDonnées[[#This Row],[CultureDuration_days]]/7,0)</f>
        <v>7</v>
      </c>
      <c r="J5222">
        <v>3599</v>
      </c>
      <c r="K5222" t="str">
        <f>_xlfn.CONCAT(WEEKNUM(CompilDonnées[[#This Row],[PlantationDate]]), " ", YEAR(CompilDonnées[[#This Row],[PlantationDate]]))</f>
        <v>41 2025</v>
      </c>
      <c r="L5222" t="str">
        <f>CONCATENATE(MONTH(CompilDonnées[[#This Row],[PlantationDate]])," ", YEAR(CompilDonnées[[#This Row],[PlantationDate]]))</f>
        <v>10 2025</v>
      </c>
      <c r="M5222" t="str">
        <f>CONCATENATE(MONTH(CompilDonnées[[#This Row],[HarvestingDate]])," ", YEAR(CompilDonnées[[#This Row],[HarvestingDate]]))</f>
        <v>11 2025</v>
      </c>
      <c r="N5222">
        <f>_xlfn.NUMBERVALUE(CompilDonnées[[#This Row],[FarmID]]&amp;CompilDonnées[[#This Row],[ModuleNumber]]&amp;CompilDonnées[[#This Row],[PlantationDate]])</f>
        <v>132545938</v>
      </c>
      <c r="O5222" t="str">
        <f>CompilDonnées[[#This Row],[FarmID]]&amp;CompilDonnées[[#This Row],[ModuleNumber]]</f>
        <v>1325</v>
      </c>
      <c r="P5222" t="str">
        <f>CompilDonnées[[#This Row],[Ref_Module]]&amp;CompilDonnées[[#This Row],[HarvestingDate]]</f>
        <v>132545987</v>
      </c>
    </row>
    <row r="5223" spans="1:16">
      <c r="A5223" s="5">
        <v>45938</v>
      </c>
      <c r="B5223">
        <v>140</v>
      </c>
      <c r="C5223" t="s">
        <v>96</v>
      </c>
      <c r="D5223">
        <v>2</v>
      </c>
      <c r="E5223">
        <v>100</v>
      </c>
      <c r="F5223" t="s">
        <v>1</v>
      </c>
      <c r="G5223" s="6">
        <v>45987</v>
      </c>
      <c r="H5223">
        <v>49</v>
      </c>
      <c r="I5223">
        <f>ROUND(CompilDonnées[[#This Row],[CultureDuration_days]]/7,0)</f>
        <v>7</v>
      </c>
      <c r="J5223">
        <v>3242</v>
      </c>
      <c r="K5223" t="str">
        <f>_xlfn.CONCAT(WEEKNUM(CompilDonnées[[#This Row],[PlantationDate]]), " ", YEAR(CompilDonnées[[#This Row],[PlantationDate]]))</f>
        <v>41 2025</v>
      </c>
      <c r="L5223" t="str">
        <f>CONCATENATE(MONTH(CompilDonnées[[#This Row],[PlantationDate]])," ", YEAR(CompilDonnées[[#This Row],[PlantationDate]]))</f>
        <v>10 2025</v>
      </c>
      <c r="M5223" t="str">
        <f>CONCATENATE(MONTH(CompilDonnées[[#This Row],[HarvestingDate]])," ", YEAR(CompilDonnées[[#This Row],[HarvestingDate]]))</f>
        <v>11 2025</v>
      </c>
      <c r="N5223">
        <f>_xlfn.NUMBERVALUE(CompilDonnées[[#This Row],[FarmID]]&amp;CompilDonnées[[#This Row],[ModuleNumber]]&amp;CompilDonnées[[#This Row],[PlantationDate]])</f>
        <v>140245938</v>
      </c>
      <c r="O5223" t="str">
        <f>CompilDonnées[[#This Row],[FarmID]]&amp;CompilDonnées[[#This Row],[ModuleNumber]]</f>
        <v>1402</v>
      </c>
      <c r="P5223" t="str">
        <f>CompilDonnées[[#This Row],[Ref_Module]]&amp;CompilDonnées[[#This Row],[HarvestingDate]]</f>
        <v>140245987</v>
      </c>
    </row>
    <row r="5224" spans="1:16">
      <c r="A5224" s="5">
        <v>45938</v>
      </c>
      <c r="B5224">
        <v>139</v>
      </c>
      <c r="C5224" t="s">
        <v>103</v>
      </c>
      <c r="D5224">
        <v>1</v>
      </c>
      <c r="E5224">
        <v>100</v>
      </c>
      <c r="F5224" t="s">
        <v>1</v>
      </c>
      <c r="G5224" s="6">
        <v>45987</v>
      </c>
      <c r="H5224">
        <v>49</v>
      </c>
      <c r="I5224">
        <f>ROUND(CompilDonnées[[#This Row],[CultureDuration_days]]/7,0)</f>
        <v>7</v>
      </c>
      <c r="J5224">
        <v>2748</v>
      </c>
      <c r="K5224" t="str">
        <f>_xlfn.CONCAT(WEEKNUM(CompilDonnées[[#This Row],[PlantationDate]]), " ", YEAR(CompilDonnées[[#This Row],[PlantationDate]]))</f>
        <v>41 2025</v>
      </c>
      <c r="L5224" t="str">
        <f>CONCATENATE(MONTH(CompilDonnées[[#This Row],[PlantationDate]])," ", YEAR(CompilDonnées[[#This Row],[PlantationDate]]))</f>
        <v>10 2025</v>
      </c>
      <c r="M5224" t="str">
        <f>CONCATENATE(MONTH(CompilDonnées[[#This Row],[HarvestingDate]])," ", YEAR(CompilDonnées[[#This Row],[HarvestingDate]]))</f>
        <v>11 2025</v>
      </c>
      <c r="N5224">
        <f>_xlfn.NUMBERVALUE(CompilDonnées[[#This Row],[FarmID]]&amp;CompilDonnées[[#This Row],[ModuleNumber]]&amp;CompilDonnées[[#This Row],[PlantationDate]])</f>
        <v>139145938</v>
      </c>
      <c r="O5224" t="str">
        <f>CompilDonnées[[#This Row],[FarmID]]&amp;CompilDonnées[[#This Row],[ModuleNumber]]</f>
        <v>1391</v>
      </c>
      <c r="P5224" t="str">
        <f>CompilDonnées[[#This Row],[Ref_Module]]&amp;CompilDonnées[[#This Row],[HarvestingDate]]</f>
        <v>139145987</v>
      </c>
    </row>
    <row r="5225" spans="1:16">
      <c r="A5225" s="5">
        <v>45938</v>
      </c>
      <c r="B5225">
        <v>143</v>
      </c>
      <c r="C5225" t="s">
        <v>81</v>
      </c>
      <c r="D5225">
        <v>1</v>
      </c>
      <c r="E5225">
        <v>100</v>
      </c>
      <c r="F5225" t="s">
        <v>1</v>
      </c>
      <c r="G5225" s="6">
        <v>45987</v>
      </c>
      <c r="H5225">
        <v>49</v>
      </c>
      <c r="I5225">
        <f>ROUND(CompilDonnées[[#This Row],[CultureDuration_days]]/7,0)</f>
        <v>7</v>
      </c>
      <c r="J5225">
        <v>1877</v>
      </c>
      <c r="K5225" t="str">
        <f>_xlfn.CONCAT(WEEKNUM(CompilDonnées[[#This Row],[PlantationDate]]), " ", YEAR(CompilDonnées[[#This Row],[PlantationDate]]))</f>
        <v>41 2025</v>
      </c>
      <c r="L5225" t="str">
        <f>CONCATENATE(MONTH(CompilDonnées[[#This Row],[PlantationDate]])," ", YEAR(CompilDonnées[[#This Row],[PlantationDate]]))</f>
        <v>10 2025</v>
      </c>
      <c r="M5225" t="str">
        <f>CONCATENATE(MONTH(CompilDonnées[[#This Row],[HarvestingDate]])," ", YEAR(CompilDonnées[[#This Row],[HarvestingDate]]))</f>
        <v>11 2025</v>
      </c>
      <c r="N5225">
        <f>_xlfn.NUMBERVALUE(CompilDonnées[[#This Row],[FarmID]]&amp;CompilDonnées[[#This Row],[ModuleNumber]]&amp;CompilDonnées[[#This Row],[PlantationDate]])</f>
        <v>143145938</v>
      </c>
      <c r="O5225" t="str">
        <f>CompilDonnées[[#This Row],[FarmID]]&amp;CompilDonnées[[#This Row],[ModuleNumber]]</f>
        <v>1431</v>
      </c>
      <c r="P5225" t="str">
        <f>CompilDonnées[[#This Row],[Ref_Module]]&amp;CompilDonnées[[#This Row],[HarvestingDate]]</f>
        <v>143145987</v>
      </c>
    </row>
    <row r="5226" spans="1:16">
      <c r="A5226" s="5">
        <v>45938</v>
      </c>
      <c r="B5226">
        <v>142</v>
      </c>
      <c r="C5226" t="s">
        <v>113</v>
      </c>
      <c r="D5226">
        <v>1</v>
      </c>
      <c r="E5226">
        <v>100</v>
      </c>
      <c r="F5226" t="s">
        <v>1</v>
      </c>
      <c r="G5226" s="6">
        <v>45987</v>
      </c>
      <c r="H5226">
        <v>49</v>
      </c>
      <c r="I5226">
        <f>ROUND(CompilDonnées[[#This Row],[CultureDuration_days]]/7,0)</f>
        <v>7</v>
      </c>
      <c r="J5226">
        <v>2162</v>
      </c>
      <c r="K5226" t="str">
        <f>_xlfn.CONCAT(WEEKNUM(CompilDonnées[[#This Row],[PlantationDate]]), " ", YEAR(CompilDonnées[[#This Row],[PlantationDate]]))</f>
        <v>41 2025</v>
      </c>
      <c r="L5226" t="str">
        <f>CONCATENATE(MONTH(CompilDonnées[[#This Row],[PlantationDate]])," ", YEAR(CompilDonnées[[#This Row],[PlantationDate]]))</f>
        <v>10 2025</v>
      </c>
      <c r="M5226" t="str">
        <f>CONCATENATE(MONTH(CompilDonnées[[#This Row],[HarvestingDate]])," ", YEAR(CompilDonnées[[#This Row],[HarvestingDate]]))</f>
        <v>11 2025</v>
      </c>
      <c r="N5226">
        <f>_xlfn.NUMBERVALUE(CompilDonnées[[#This Row],[FarmID]]&amp;CompilDonnées[[#This Row],[ModuleNumber]]&amp;CompilDonnées[[#This Row],[PlantationDate]])</f>
        <v>142145938</v>
      </c>
      <c r="O5226" t="str">
        <f>CompilDonnées[[#This Row],[FarmID]]&amp;CompilDonnées[[#This Row],[ModuleNumber]]</f>
        <v>1421</v>
      </c>
      <c r="P5226" t="str">
        <f>CompilDonnées[[#This Row],[Ref_Module]]&amp;CompilDonnées[[#This Row],[HarvestingDate]]</f>
        <v>142145987</v>
      </c>
    </row>
    <row r="5227" spans="1:16">
      <c r="A5227" s="5">
        <v>45938</v>
      </c>
      <c r="B5227">
        <v>123</v>
      </c>
      <c r="C5227" t="s">
        <v>13</v>
      </c>
      <c r="D5227">
        <v>6</v>
      </c>
      <c r="E5227">
        <v>100</v>
      </c>
      <c r="F5227" t="s">
        <v>1</v>
      </c>
      <c r="G5227" s="6">
        <v>45987</v>
      </c>
      <c r="H5227">
        <v>49</v>
      </c>
      <c r="I5227">
        <f>ROUND(CompilDonnées[[#This Row],[CultureDuration_days]]/7,0)</f>
        <v>7</v>
      </c>
      <c r="J5227">
        <v>6375</v>
      </c>
      <c r="K5227" t="str">
        <f>_xlfn.CONCAT(WEEKNUM(CompilDonnées[[#This Row],[PlantationDate]]), " ", YEAR(CompilDonnées[[#This Row],[PlantationDate]]))</f>
        <v>41 2025</v>
      </c>
      <c r="L5227" t="str">
        <f>CONCATENATE(MONTH(CompilDonnées[[#This Row],[PlantationDate]])," ", YEAR(CompilDonnées[[#This Row],[PlantationDate]]))</f>
        <v>10 2025</v>
      </c>
      <c r="M5227" t="str">
        <f>CONCATENATE(MONTH(CompilDonnées[[#This Row],[HarvestingDate]])," ", YEAR(CompilDonnées[[#This Row],[HarvestingDate]]))</f>
        <v>11 2025</v>
      </c>
      <c r="N5227">
        <f>_xlfn.NUMBERVALUE(CompilDonnées[[#This Row],[FarmID]]&amp;CompilDonnées[[#This Row],[ModuleNumber]]&amp;CompilDonnées[[#This Row],[PlantationDate]])</f>
        <v>123645938</v>
      </c>
      <c r="O5227" t="str">
        <f>CompilDonnées[[#This Row],[FarmID]]&amp;CompilDonnées[[#This Row],[ModuleNumber]]</f>
        <v>1236</v>
      </c>
      <c r="P5227" t="str">
        <f>CompilDonnées[[#This Row],[Ref_Module]]&amp;CompilDonnées[[#This Row],[HarvestingDate]]</f>
        <v>123645987</v>
      </c>
    </row>
    <row r="5228" spans="1:16">
      <c r="A5228" s="5">
        <v>45938</v>
      </c>
      <c r="B5228">
        <v>115</v>
      </c>
      <c r="C5228" t="s">
        <v>121</v>
      </c>
      <c r="D5228">
        <v>6</v>
      </c>
      <c r="E5228">
        <v>100</v>
      </c>
      <c r="F5228" t="s">
        <v>1</v>
      </c>
      <c r="G5228" s="6">
        <v>45987</v>
      </c>
      <c r="H5228">
        <v>49</v>
      </c>
      <c r="I5228">
        <f>ROUND(CompilDonnées[[#This Row],[CultureDuration_days]]/7,0)</f>
        <v>7</v>
      </c>
      <c r="J5228">
        <v>2424</v>
      </c>
      <c r="K5228" t="str">
        <f>_xlfn.CONCAT(WEEKNUM(CompilDonnées[[#This Row],[PlantationDate]]), " ", YEAR(CompilDonnées[[#This Row],[PlantationDate]]))</f>
        <v>41 2025</v>
      </c>
      <c r="L5228" t="str">
        <f>CONCATENATE(MONTH(CompilDonnées[[#This Row],[PlantationDate]])," ", YEAR(CompilDonnées[[#This Row],[PlantationDate]]))</f>
        <v>10 2025</v>
      </c>
      <c r="M5228" t="str">
        <f>CONCATENATE(MONTH(CompilDonnées[[#This Row],[HarvestingDate]])," ", YEAR(CompilDonnées[[#This Row],[HarvestingDate]]))</f>
        <v>11 2025</v>
      </c>
      <c r="N5228">
        <f>_xlfn.NUMBERVALUE(CompilDonnées[[#This Row],[FarmID]]&amp;CompilDonnées[[#This Row],[ModuleNumber]]&amp;CompilDonnées[[#This Row],[PlantationDate]])</f>
        <v>115645938</v>
      </c>
      <c r="O5228" t="str">
        <f>CompilDonnées[[#This Row],[FarmID]]&amp;CompilDonnées[[#This Row],[ModuleNumber]]</f>
        <v>1156</v>
      </c>
      <c r="P5228" t="str">
        <f>CompilDonnées[[#This Row],[Ref_Module]]&amp;CompilDonnées[[#This Row],[HarvestingDate]]</f>
        <v>115645987</v>
      </c>
    </row>
    <row r="5229" spans="1:16">
      <c r="A5229" s="5">
        <v>45938</v>
      </c>
      <c r="B5229">
        <v>100</v>
      </c>
      <c r="C5229" t="s">
        <v>84</v>
      </c>
      <c r="D5229">
        <v>2</v>
      </c>
      <c r="E5229">
        <v>100</v>
      </c>
      <c r="F5229" t="s">
        <v>1</v>
      </c>
      <c r="G5229" s="6">
        <v>45986</v>
      </c>
      <c r="H5229">
        <v>48</v>
      </c>
      <c r="I5229">
        <f>ROUND(CompilDonnées[[#This Row],[CultureDuration_days]]/7,0)</f>
        <v>7</v>
      </c>
      <c r="J5229">
        <v>2354</v>
      </c>
      <c r="K5229" t="str">
        <f>_xlfn.CONCAT(WEEKNUM(CompilDonnées[[#This Row],[PlantationDate]]), " ", YEAR(CompilDonnées[[#This Row],[PlantationDate]]))</f>
        <v>41 2025</v>
      </c>
      <c r="L5229" t="str">
        <f>CONCATENATE(MONTH(CompilDonnées[[#This Row],[PlantationDate]])," ", YEAR(CompilDonnées[[#This Row],[PlantationDate]]))</f>
        <v>10 2025</v>
      </c>
      <c r="M5229" t="str">
        <f>CONCATENATE(MONTH(CompilDonnées[[#This Row],[HarvestingDate]])," ", YEAR(CompilDonnées[[#This Row],[HarvestingDate]]))</f>
        <v>11 2025</v>
      </c>
      <c r="N5229">
        <f>_xlfn.NUMBERVALUE(CompilDonnées[[#This Row],[FarmID]]&amp;CompilDonnées[[#This Row],[ModuleNumber]]&amp;CompilDonnées[[#This Row],[PlantationDate]])</f>
        <v>100245938</v>
      </c>
      <c r="O5229" t="str">
        <f>CompilDonnées[[#This Row],[FarmID]]&amp;CompilDonnées[[#This Row],[ModuleNumber]]</f>
        <v>1002</v>
      </c>
      <c r="P5229" t="str">
        <f>CompilDonnées[[#This Row],[Ref_Module]]&amp;CompilDonnées[[#This Row],[HarvestingDate]]</f>
        <v>100245986</v>
      </c>
    </row>
    <row r="5230" spans="1:16">
      <c r="A5230" s="5">
        <v>45938</v>
      </c>
      <c r="B5230">
        <v>107</v>
      </c>
      <c r="C5230" t="s">
        <v>23</v>
      </c>
      <c r="D5230">
        <v>3</v>
      </c>
      <c r="E5230">
        <v>100</v>
      </c>
      <c r="F5230" t="s">
        <v>1</v>
      </c>
      <c r="G5230" s="6">
        <v>45986</v>
      </c>
      <c r="H5230">
        <v>48</v>
      </c>
      <c r="I5230">
        <f>ROUND(CompilDonnées[[#This Row],[CultureDuration_days]]/7,0)</f>
        <v>7</v>
      </c>
      <c r="J5230">
        <v>2291</v>
      </c>
      <c r="K5230" t="str">
        <f>_xlfn.CONCAT(WEEKNUM(CompilDonnées[[#This Row],[PlantationDate]]), " ", YEAR(CompilDonnées[[#This Row],[PlantationDate]]))</f>
        <v>41 2025</v>
      </c>
      <c r="L5230" t="str">
        <f>CONCATENATE(MONTH(CompilDonnées[[#This Row],[PlantationDate]])," ", YEAR(CompilDonnées[[#This Row],[PlantationDate]]))</f>
        <v>10 2025</v>
      </c>
      <c r="M5230" t="str">
        <f>CONCATENATE(MONTH(CompilDonnées[[#This Row],[HarvestingDate]])," ", YEAR(CompilDonnées[[#This Row],[HarvestingDate]]))</f>
        <v>11 2025</v>
      </c>
      <c r="N5230">
        <f>_xlfn.NUMBERVALUE(CompilDonnées[[#This Row],[FarmID]]&amp;CompilDonnées[[#This Row],[ModuleNumber]]&amp;CompilDonnées[[#This Row],[PlantationDate]])</f>
        <v>107345938</v>
      </c>
      <c r="O5230" t="str">
        <f>CompilDonnées[[#This Row],[FarmID]]&amp;CompilDonnées[[#This Row],[ModuleNumber]]</f>
        <v>1073</v>
      </c>
      <c r="P5230" t="str">
        <f>CompilDonnées[[#This Row],[Ref_Module]]&amp;CompilDonnées[[#This Row],[HarvestingDate]]</f>
        <v>107345986</v>
      </c>
    </row>
    <row r="5231" spans="1:16">
      <c r="A5231" s="5">
        <v>45938</v>
      </c>
      <c r="B5231">
        <v>103</v>
      </c>
      <c r="C5231" t="s">
        <v>86</v>
      </c>
      <c r="D5231">
        <v>4</v>
      </c>
      <c r="E5231">
        <v>100</v>
      </c>
      <c r="F5231" t="s">
        <v>1</v>
      </c>
      <c r="G5231" s="6">
        <v>45986</v>
      </c>
      <c r="H5231">
        <v>48</v>
      </c>
      <c r="I5231">
        <f>ROUND(CompilDonnées[[#This Row],[CultureDuration_days]]/7,0)</f>
        <v>7</v>
      </c>
      <c r="J5231">
        <v>1798</v>
      </c>
      <c r="K5231" t="str">
        <f>_xlfn.CONCAT(WEEKNUM(CompilDonnées[[#This Row],[PlantationDate]]), " ", YEAR(CompilDonnées[[#This Row],[PlantationDate]]))</f>
        <v>41 2025</v>
      </c>
      <c r="L5231" t="str">
        <f>CONCATENATE(MONTH(CompilDonnées[[#This Row],[PlantationDate]])," ", YEAR(CompilDonnées[[#This Row],[PlantationDate]]))</f>
        <v>10 2025</v>
      </c>
      <c r="M5231" t="str">
        <f>CONCATENATE(MONTH(CompilDonnées[[#This Row],[HarvestingDate]])," ", YEAR(CompilDonnées[[#This Row],[HarvestingDate]]))</f>
        <v>11 2025</v>
      </c>
      <c r="N5231">
        <f>_xlfn.NUMBERVALUE(CompilDonnées[[#This Row],[FarmID]]&amp;CompilDonnées[[#This Row],[ModuleNumber]]&amp;CompilDonnées[[#This Row],[PlantationDate]])</f>
        <v>103445938</v>
      </c>
      <c r="O5231" t="str">
        <f>CompilDonnées[[#This Row],[FarmID]]&amp;CompilDonnées[[#This Row],[ModuleNumber]]</f>
        <v>1034</v>
      </c>
      <c r="P5231" t="str">
        <f>CompilDonnées[[#This Row],[Ref_Module]]&amp;CompilDonnées[[#This Row],[HarvestingDate]]</f>
        <v>103445986</v>
      </c>
    </row>
    <row r="5232" spans="1:16">
      <c r="A5232" s="5">
        <v>45938</v>
      </c>
      <c r="B5232">
        <v>108</v>
      </c>
      <c r="C5232" t="s">
        <v>58</v>
      </c>
      <c r="D5232">
        <v>5</v>
      </c>
      <c r="E5232">
        <v>100</v>
      </c>
      <c r="F5232" t="s">
        <v>1</v>
      </c>
      <c r="G5232" s="6">
        <v>45978</v>
      </c>
      <c r="H5232">
        <v>40</v>
      </c>
      <c r="I5232">
        <f>ROUND(CompilDonnées[[#This Row],[CultureDuration_days]]/7,0)</f>
        <v>6</v>
      </c>
      <c r="J5232">
        <v>3127</v>
      </c>
      <c r="K5232" t="str">
        <f>_xlfn.CONCAT(WEEKNUM(CompilDonnées[[#This Row],[PlantationDate]]), " ", YEAR(CompilDonnées[[#This Row],[PlantationDate]]))</f>
        <v>41 2025</v>
      </c>
      <c r="L5232" t="str">
        <f>CONCATENATE(MONTH(CompilDonnées[[#This Row],[PlantationDate]])," ", YEAR(CompilDonnées[[#This Row],[PlantationDate]]))</f>
        <v>10 2025</v>
      </c>
      <c r="M5232" t="str">
        <f>CONCATENATE(MONTH(CompilDonnées[[#This Row],[HarvestingDate]])," ", YEAR(CompilDonnées[[#This Row],[HarvestingDate]]))</f>
        <v>11 2025</v>
      </c>
      <c r="N5232">
        <f>_xlfn.NUMBERVALUE(CompilDonnées[[#This Row],[FarmID]]&amp;CompilDonnées[[#This Row],[ModuleNumber]]&amp;CompilDonnées[[#This Row],[PlantationDate]])</f>
        <v>108545938</v>
      </c>
      <c r="O5232" t="str">
        <f>CompilDonnées[[#This Row],[FarmID]]&amp;CompilDonnées[[#This Row],[ModuleNumber]]</f>
        <v>1085</v>
      </c>
      <c r="P5232" t="str">
        <f>CompilDonnées[[#This Row],[Ref_Module]]&amp;CompilDonnées[[#This Row],[HarvestingDate]]</f>
        <v>108545978</v>
      </c>
    </row>
    <row r="5233" spans="1:16">
      <c r="A5233" s="5">
        <v>45938</v>
      </c>
      <c r="B5233">
        <v>99</v>
      </c>
      <c r="C5233" t="s">
        <v>117</v>
      </c>
      <c r="D5233">
        <v>5</v>
      </c>
      <c r="E5233">
        <v>100</v>
      </c>
      <c r="F5233" t="s">
        <v>1</v>
      </c>
      <c r="G5233" s="6">
        <v>45986</v>
      </c>
      <c r="H5233">
        <v>48</v>
      </c>
      <c r="I5233">
        <f>ROUND(CompilDonnées[[#This Row],[CultureDuration_days]]/7,0)</f>
        <v>7</v>
      </c>
      <c r="J5233">
        <v>3071</v>
      </c>
      <c r="K5233" t="str">
        <f>_xlfn.CONCAT(WEEKNUM(CompilDonnées[[#This Row],[PlantationDate]]), " ", YEAR(CompilDonnées[[#This Row],[PlantationDate]]))</f>
        <v>41 2025</v>
      </c>
      <c r="L5233" t="str">
        <f>CONCATENATE(MONTH(CompilDonnées[[#This Row],[PlantationDate]])," ", YEAR(CompilDonnées[[#This Row],[PlantationDate]]))</f>
        <v>10 2025</v>
      </c>
      <c r="M5233" t="str">
        <f>CONCATENATE(MONTH(CompilDonnées[[#This Row],[HarvestingDate]])," ", YEAR(CompilDonnées[[#This Row],[HarvestingDate]]))</f>
        <v>11 2025</v>
      </c>
      <c r="N5233">
        <f>_xlfn.NUMBERVALUE(CompilDonnées[[#This Row],[FarmID]]&amp;CompilDonnées[[#This Row],[ModuleNumber]]&amp;CompilDonnées[[#This Row],[PlantationDate]])</f>
        <v>99545938</v>
      </c>
      <c r="O5233" t="str">
        <f>CompilDonnées[[#This Row],[FarmID]]&amp;CompilDonnées[[#This Row],[ModuleNumber]]</f>
        <v>995</v>
      </c>
      <c r="P5233" t="str">
        <f>CompilDonnées[[#This Row],[Ref_Module]]&amp;CompilDonnées[[#This Row],[HarvestingDate]]</f>
        <v>99545986</v>
      </c>
    </row>
    <row r="5234" spans="1:16">
      <c r="A5234" s="5">
        <v>45938</v>
      </c>
      <c r="B5234">
        <v>98</v>
      </c>
      <c r="C5234" t="s">
        <v>79</v>
      </c>
      <c r="D5234">
        <v>4</v>
      </c>
      <c r="E5234">
        <v>100</v>
      </c>
      <c r="F5234" t="s">
        <v>1</v>
      </c>
      <c r="G5234" s="6">
        <v>45986</v>
      </c>
      <c r="H5234">
        <v>48</v>
      </c>
      <c r="I5234">
        <f>ROUND(CompilDonnées[[#This Row],[CultureDuration_days]]/7,0)</f>
        <v>7</v>
      </c>
      <c r="J5234">
        <v>2816</v>
      </c>
      <c r="K5234" t="str">
        <f>_xlfn.CONCAT(WEEKNUM(CompilDonnées[[#This Row],[PlantationDate]]), " ", YEAR(CompilDonnées[[#This Row],[PlantationDate]]))</f>
        <v>41 2025</v>
      </c>
      <c r="L5234" t="str">
        <f>CONCATENATE(MONTH(CompilDonnées[[#This Row],[PlantationDate]])," ", YEAR(CompilDonnées[[#This Row],[PlantationDate]]))</f>
        <v>10 2025</v>
      </c>
      <c r="M5234" t="str">
        <f>CONCATENATE(MONTH(CompilDonnées[[#This Row],[HarvestingDate]])," ", YEAR(CompilDonnées[[#This Row],[HarvestingDate]]))</f>
        <v>11 2025</v>
      </c>
      <c r="N5234">
        <f>_xlfn.NUMBERVALUE(CompilDonnées[[#This Row],[FarmID]]&amp;CompilDonnées[[#This Row],[ModuleNumber]]&amp;CompilDonnées[[#This Row],[PlantationDate]])</f>
        <v>98445938</v>
      </c>
      <c r="O5234" t="str">
        <f>CompilDonnées[[#This Row],[FarmID]]&amp;CompilDonnées[[#This Row],[ModuleNumber]]</f>
        <v>984</v>
      </c>
      <c r="P5234" t="str">
        <f>CompilDonnées[[#This Row],[Ref_Module]]&amp;CompilDonnées[[#This Row],[HarvestingDate]]</f>
        <v>98445986</v>
      </c>
    </row>
    <row r="5235" spans="1:16">
      <c r="A5235" s="5">
        <v>45938</v>
      </c>
      <c r="B5235">
        <v>106</v>
      </c>
      <c r="C5235" t="s">
        <v>22</v>
      </c>
      <c r="D5235">
        <v>5</v>
      </c>
      <c r="E5235">
        <v>100</v>
      </c>
      <c r="F5235" t="s">
        <v>1</v>
      </c>
      <c r="G5235" s="6">
        <v>45987</v>
      </c>
      <c r="H5235">
        <v>49</v>
      </c>
      <c r="I5235">
        <f>ROUND(CompilDonnées[[#This Row],[CultureDuration_days]]/7,0)</f>
        <v>7</v>
      </c>
      <c r="J5235">
        <v>3025</v>
      </c>
      <c r="K5235" t="str">
        <f>_xlfn.CONCAT(WEEKNUM(CompilDonnées[[#This Row],[PlantationDate]]), " ", YEAR(CompilDonnées[[#This Row],[PlantationDate]]))</f>
        <v>41 2025</v>
      </c>
      <c r="L5235" t="str">
        <f>CONCATENATE(MONTH(CompilDonnées[[#This Row],[PlantationDate]])," ", YEAR(CompilDonnées[[#This Row],[PlantationDate]]))</f>
        <v>10 2025</v>
      </c>
      <c r="M5235" t="str">
        <f>CONCATENATE(MONTH(CompilDonnées[[#This Row],[HarvestingDate]])," ", YEAR(CompilDonnées[[#This Row],[HarvestingDate]]))</f>
        <v>11 2025</v>
      </c>
      <c r="N5235">
        <f>_xlfn.NUMBERVALUE(CompilDonnées[[#This Row],[FarmID]]&amp;CompilDonnées[[#This Row],[ModuleNumber]]&amp;CompilDonnées[[#This Row],[PlantationDate]])</f>
        <v>106545938</v>
      </c>
      <c r="O5235" t="str">
        <f>CompilDonnées[[#This Row],[FarmID]]&amp;CompilDonnées[[#This Row],[ModuleNumber]]</f>
        <v>1065</v>
      </c>
      <c r="P5235" t="str">
        <f>CompilDonnées[[#This Row],[Ref_Module]]&amp;CompilDonnées[[#This Row],[HarvestingDate]]</f>
        <v>106545987</v>
      </c>
    </row>
    <row r="5236" spans="1:16">
      <c r="A5236" s="5">
        <v>45938</v>
      </c>
      <c r="B5236">
        <v>106</v>
      </c>
      <c r="C5236" t="s">
        <v>22</v>
      </c>
      <c r="D5236">
        <v>6</v>
      </c>
      <c r="E5236">
        <v>100</v>
      </c>
      <c r="F5236" t="s">
        <v>1</v>
      </c>
      <c r="G5236" s="6">
        <v>45987</v>
      </c>
      <c r="H5236">
        <v>49</v>
      </c>
      <c r="I5236">
        <f>ROUND(CompilDonnées[[#This Row],[CultureDuration_days]]/7,0)</f>
        <v>7</v>
      </c>
      <c r="J5236">
        <v>3058</v>
      </c>
      <c r="K5236" t="str">
        <f>_xlfn.CONCAT(WEEKNUM(CompilDonnées[[#This Row],[PlantationDate]]), " ", YEAR(CompilDonnées[[#This Row],[PlantationDate]]))</f>
        <v>41 2025</v>
      </c>
      <c r="L5236" t="str">
        <f>CONCATENATE(MONTH(CompilDonnées[[#This Row],[PlantationDate]])," ", YEAR(CompilDonnées[[#This Row],[PlantationDate]]))</f>
        <v>10 2025</v>
      </c>
      <c r="M5236" t="str">
        <f>CONCATENATE(MONTH(CompilDonnées[[#This Row],[HarvestingDate]])," ", YEAR(CompilDonnées[[#This Row],[HarvestingDate]]))</f>
        <v>11 2025</v>
      </c>
      <c r="N5236">
        <f>_xlfn.NUMBERVALUE(CompilDonnées[[#This Row],[FarmID]]&amp;CompilDonnées[[#This Row],[ModuleNumber]]&amp;CompilDonnées[[#This Row],[PlantationDate]])</f>
        <v>106645938</v>
      </c>
      <c r="O5236" t="str">
        <f>CompilDonnées[[#This Row],[FarmID]]&amp;CompilDonnées[[#This Row],[ModuleNumber]]</f>
        <v>1066</v>
      </c>
      <c r="P5236" t="str">
        <f>CompilDonnées[[#This Row],[Ref_Module]]&amp;CompilDonnées[[#This Row],[HarvestingDate]]</f>
        <v>106645987</v>
      </c>
    </row>
    <row r="5237" spans="1:16">
      <c r="A5237" s="5">
        <v>45938</v>
      </c>
      <c r="B5237">
        <v>96</v>
      </c>
      <c r="C5237" t="s">
        <v>125</v>
      </c>
      <c r="D5237">
        <v>6</v>
      </c>
      <c r="E5237">
        <v>100</v>
      </c>
      <c r="F5237" t="s">
        <v>1</v>
      </c>
      <c r="G5237" s="6">
        <v>45973</v>
      </c>
      <c r="H5237">
        <v>35</v>
      </c>
      <c r="I5237">
        <f>ROUND(CompilDonnées[[#This Row],[CultureDuration_days]]/7,0)</f>
        <v>5</v>
      </c>
      <c r="J5237">
        <v>1911</v>
      </c>
      <c r="K5237" t="str">
        <f>_xlfn.CONCAT(WEEKNUM(CompilDonnées[[#This Row],[PlantationDate]]), " ", YEAR(CompilDonnées[[#This Row],[PlantationDate]]))</f>
        <v>41 2025</v>
      </c>
      <c r="L5237" t="str">
        <f>CONCATENATE(MONTH(CompilDonnées[[#This Row],[PlantationDate]])," ", YEAR(CompilDonnées[[#This Row],[PlantationDate]]))</f>
        <v>10 2025</v>
      </c>
      <c r="M5237" t="str">
        <f>CONCATENATE(MONTH(CompilDonnées[[#This Row],[HarvestingDate]])," ", YEAR(CompilDonnées[[#This Row],[HarvestingDate]]))</f>
        <v>11 2025</v>
      </c>
      <c r="N5237">
        <f>_xlfn.NUMBERVALUE(CompilDonnées[[#This Row],[FarmID]]&amp;CompilDonnées[[#This Row],[ModuleNumber]]&amp;CompilDonnées[[#This Row],[PlantationDate]])</f>
        <v>96645938</v>
      </c>
      <c r="O5237" t="str">
        <f>CompilDonnées[[#This Row],[FarmID]]&amp;CompilDonnées[[#This Row],[ModuleNumber]]</f>
        <v>966</v>
      </c>
      <c r="P5237" t="str">
        <f>CompilDonnées[[#This Row],[Ref_Module]]&amp;CompilDonnées[[#This Row],[HarvestingDate]]</f>
        <v>96645973</v>
      </c>
    </row>
    <row r="5238" spans="1:16">
      <c r="A5238" s="5">
        <v>45938</v>
      </c>
      <c r="B5238">
        <v>147</v>
      </c>
      <c r="C5238" t="s">
        <v>3</v>
      </c>
      <c r="D5238">
        <v>5</v>
      </c>
      <c r="E5238">
        <v>68</v>
      </c>
      <c r="F5238" t="s">
        <v>1</v>
      </c>
      <c r="G5238" s="6">
        <v>45978</v>
      </c>
      <c r="H5238">
        <v>40</v>
      </c>
      <c r="I5238">
        <f>ROUND(CompilDonnées[[#This Row],[CultureDuration_days]]/7,0)</f>
        <v>6</v>
      </c>
      <c r="J5238">
        <v>2772</v>
      </c>
      <c r="K5238" t="str">
        <f>_xlfn.CONCAT(WEEKNUM(CompilDonnées[[#This Row],[PlantationDate]]), " ", YEAR(CompilDonnées[[#This Row],[PlantationDate]]))</f>
        <v>41 2025</v>
      </c>
      <c r="L5238" t="str">
        <f>CONCATENATE(MONTH(CompilDonnées[[#This Row],[PlantationDate]])," ", YEAR(CompilDonnées[[#This Row],[PlantationDate]]))</f>
        <v>10 2025</v>
      </c>
      <c r="M5238" t="str">
        <f>CONCATENATE(MONTH(CompilDonnées[[#This Row],[HarvestingDate]])," ", YEAR(CompilDonnées[[#This Row],[HarvestingDate]]))</f>
        <v>11 2025</v>
      </c>
      <c r="N5238">
        <f>_xlfn.NUMBERVALUE(CompilDonnées[[#This Row],[FarmID]]&amp;CompilDonnées[[#This Row],[ModuleNumber]]&amp;CompilDonnées[[#This Row],[PlantationDate]])</f>
        <v>147545938</v>
      </c>
      <c r="O5238" t="str">
        <f>CompilDonnées[[#This Row],[FarmID]]&amp;CompilDonnées[[#This Row],[ModuleNumber]]</f>
        <v>1475</v>
      </c>
      <c r="P5238" t="str">
        <f>CompilDonnées[[#This Row],[Ref_Module]]&amp;CompilDonnées[[#This Row],[HarvestingDate]]</f>
        <v>147545978</v>
      </c>
    </row>
    <row r="5239" spans="1:16">
      <c r="A5239" s="5">
        <v>45938</v>
      </c>
      <c r="B5239">
        <v>147</v>
      </c>
      <c r="C5239" t="s">
        <v>3</v>
      </c>
      <c r="D5239">
        <v>6</v>
      </c>
      <c r="E5239">
        <v>68</v>
      </c>
      <c r="F5239" t="s">
        <v>1</v>
      </c>
      <c r="G5239" s="6">
        <v>45978</v>
      </c>
      <c r="H5239">
        <v>40</v>
      </c>
      <c r="I5239">
        <f>ROUND(CompilDonnées[[#This Row],[CultureDuration_days]]/7,0)</f>
        <v>6</v>
      </c>
      <c r="J5239">
        <v>2773</v>
      </c>
      <c r="K5239" t="str">
        <f>_xlfn.CONCAT(WEEKNUM(CompilDonnées[[#This Row],[PlantationDate]]), " ", YEAR(CompilDonnées[[#This Row],[PlantationDate]]))</f>
        <v>41 2025</v>
      </c>
      <c r="L5239" t="str">
        <f>CONCATENATE(MONTH(CompilDonnées[[#This Row],[PlantationDate]])," ", YEAR(CompilDonnées[[#This Row],[PlantationDate]]))</f>
        <v>10 2025</v>
      </c>
      <c r="M5239" t="str">
        <f>CONCATENATE(MONTH(CompilDonnées[[#This Row],[HarvestingDate]])," ", YEAR(CompilDonnées[[#This Row],[HarvestingDate]]))</f>
        <v>11 2025</v>
      </c>
      <c r="N5239">
        <f>_xlfn.NUMBERVALUE(CompilDonnées[[#This Row],[FarmID]]&amp;CompilDonnées[[#This Row],[ModuleNumber]]&amp;CompilDonnées[[#This Row],[PlantationDate]])</f>
        <v>147645938</v>
      </c>
      <c r="O5239" t="str">
        <f>CompilDonnées[[#This Row],[FarmID]]&amp;CompilDonnées[[#This Row],[ModuleNumber]]</f>
        <v>1476</v>
      </c>
      <c r="P5239" t="str">
        <f>CompilDonnées[[#This Row],[Ref_Module]]&amp;CompilDonnées[[#This Row],[HarvestingDate]]</f>
        <v>147645978</v>
      </c>
    </row>
    <row r="5240" spans="1:16">
      <c r="A5240" s="5">
        <v>45938</v>
      </c>
      <c r="B5240">
        <v>114</v>
      </c>
      <c r="C5240" t="s">
        <v>3</v>
      </c>
      <c r="D5240">
        <v>6</v>
      </c>
      <c r="E5240">
        <v>68</v>
      </c>
      <c r="F5240" t="s">
        <v>1</v>
      </c>
      <c r="G5240" s="6">
        <v>45985</v>
      </c>
      <c r="H5240">
        <v>47</v>
      </c>
      <c r="I5240">
        <f>ROUND(CompilDonnées[[#This Row],[CultureDuration_days]]/7,0)</f>
        <v>7</v>
      </c>
      <c r="J5240">
        <v>1122</v>
      </c>
      <c r="K5240" t="str">
        <f>_xlfn.CONCAT(WEEKNUM(CompilDonnées[[#This Row],[PlantationDate]]), " ", YEAR(CompilDonnées[[#This Row],[PlantationDate]]))</f>
        <v>41 2025</v>
      </c>
      <c r="L5240" t="str">
        <f>CONCATENATE(MONTH(CompilDonnées[[#This Row],[PlantationDate]])," ", YEAR(CompilDonnées[[#This Row],[PlantationDate]]))</f>
        <v>10 2025</v>
      </c>
      <c r="M5240" t="str">
        <f>CONCATENATE(MONTH(CompilDonnées[[#This Row],[HarvestingDate]])," ", YEAR(CompilDonnées[[#This Row],[HarvestingDate]]))</f>
        <v>11 2025</v>
      </c>
      <c r="N5240">
        <f>_xlfn.NUMBERVALUE(CompilDonnées[[#This Row],[FarmID]]&amp;CompilDonnées[[#This Row],[ModuleNumber]]&amp;CompilDonnées[[#This Row],[PlantationDate]])</f>
        <v>114645938</v>
      </c>
      <c r="O5240" t="str">
        <f>CompilDonnées[[#This Row],[FarmID]]&amp;CompilDonnées[[#This Row],[ModuleNumber]]</f>
        <v>1146</v>
      </c>
      <c r="P5240" t="str">
        <f>CompilDonnées[[#This Row],[Ref_Module]]&amp;CompilDonnées[[#This Row],[HarvestingDate]]</f>
        <v>114645985</v>
      </c>
    </row>
    <row r="5241" spans="1:16">
      <c r="A5241" s="5">
        <v>45938</v>
      </c>
      <c r="B5241">
        <v>114</v>
      </c>
      <c r="C5241" t="s">
        <v>3</v>
      </c>
      <c r="D5241">
        <v>5</v>
      </c>
      <c r="E5241">
        <v>68</v>
      </c>
      <c r="F5241" t="s">
        <v>1</v>
      </c>
      <c r="G5241" s="6">
        <v>45985</v>
      </c>
      <c r="H5241">
        <v>47</v>
      </c>
      <c r="I5241">
        <f>ROUND(CompilDonnées[[#This Row],[CultureDuration_days]]/7,0)</f>
        <v>7</v>
      </c>
      <c r="J5241">
        <v>1060</v>
      </c>
      <c r="K5241" t="str">
        <f>_xlfn.CONCAT(WEEKNUM(CompilDonnées[[#This Row],[PlantationDate]]), " ", YEAR(CompilDonnées[[#This Row],[PlantationDate]]))</f>
        <v>41 2025</v>
      </c>
      <c r="L5241" t="str">
        <f>CONCATENATE(MONTH(CompilDonnées[[#This Row],[PlantationDate]])," ", YEAR(CompilDonnées[[#This Row],[PlantationDate]]))</f>
        <v>10 2025</v>
      </c>
      <c r="M5241" t="str">
        <f>CONCATENATE(MONTH(CompilDonnées[[#This Row],[HarvestingDate]])," ", YEAR(CompilDonnées[[#This Row],[HarvestingDate]]))</f>
        <v>11 2025</v>
      </c>
      <c r="N5241">
        <f>_xlfn.NUMBERVALUE(CompilDonnées[[#This Row],[FarmID]]&amp;CompilDonnées[[#This Row],[ModuleNumber]]&amp;CompilDonnées[[#This Row],[PlantationDate]])</f>
        <v>114545938</v>
      </c>
      <c r="O5241" t="str">
        <f>CompilDonnées[[#This Row],[FarmID]]&amp;CompilDonnées[[#This Row],[ModuleNumber]]</f>
        <v>1145</v>
      </c>
      <c r="P5241" t="str">
        <f>CompilDonnées[[#This Row],[Ref_Module]]&amp;CompilDonnées[[#This Row],[HarvestingDate]]</f>
        <v>114545985</v>
      </c>
    </row>
    <row r="5242" spans="1:16">
      <c r="A5242" s="5">
        <v>45938</v>
      </c>
      <c r="B5242">
        <v>114</v>
      </c>
      <c r="C5242" t="s">
        <v>3</v>
      </c>
      <c r="D5242">
        <v>4</v>
      </c>
      <c r="E5242">
        <v>68</v>
      </c>
      <c r="F5242" t="s">
        <v>1</v>
      </c>
      <c r="G5242" s="6">
        <v>45985</v>
      </c>
      <c r="H5242">
        <v>47</v>
      </c>
      <c r="I5242">
        <f>ROUND(CompilDonnées[[#This Row],[CultureDuration_days]]/7,0)</f>
        <v>7</v>
      </c>
      <c r="J5242">
        <v>1088</v>
      </c>
      <c r="K5242" t="str">
        <f>_xlfn.CONCAT(WEEKNUM(CompilDonnées[[#This Row],[PlantationDate]]), " ", YEAR(CompilDonnées[[#This Row],[PlantationDate]]))</f>
        <v>41 2025</v>
      </c>
      <c r="L5242" t="str">
        <f>CONCATENATE(MONTH(CompilDonnées[[#This Row],[PlantationDate]])," ", YEAR(CompilDonnées[[#This Row],[PlantationDate]]))</f>
        <v>10 2025</v>
      </c>
      <c r="M5242" t="str">
        <f>CONCATENATE(MONTH(CompilDonnées[[#This Row],[HarvestingDate]])," ", YEAR(CompilDonnées[[#This Row],[HarvestingDate]]))</f>
        <v>11 2025</v>
      </c>
      <c r="N5242">
        <f>_xlfn.NUMBERVALUE(CompilDonnées[[#This Row],[FarmID]]&amp;CompilDonnées[[#This Row],[ModuleNumber]]&amp;CompilDonnées[[#This Row],[PlantationDate]])</f>
        <v>114445938</v>
      </c>
      <c r="O5242" t="str">
        <f>CompilDonnées[[#This Row],[FarmID]]&amp;CompilDonnées[[#This Row],[ModuleNumber]]</f>
        <v>1144</v>
      </c>
      <c r="P5242" t="str">
        <f>CompilDonnées[[#This Row],[Ref_Module]]&amp;CompilDonnées[[#This Row],[HarvestingDate]]</f>
        <v>114445985</v>
      </c>
    </row>
    <row r="5243" spans="1:16">
      <c r="A5243" s="5">
        <v>45938</v>
      </c>
      <c r="B5243">
        <v>114</v>
      </c>
      <c r="C5243" t="s">
        <v>3</v>
      </c>
      <c r="D5243">
        <v>3</v>
      </c>
      <c r="E5243">
        <v>68</v>
      </c>
      <c r="F5243" t="s">
        <v>1</v>
      </c>
      <c r="G5243" s="6">
        <v>45993</v>
      </c>
      <c r="H5243">
        <v>55</v>
      </c>
      <c r="I5243">
        <f>ROUND(CompilDonnées[[#This Row],[CultureDuration_days]]/7,0)</f>
        <v>8</v>
      </c>
      <c r="J5243">
        <v>700</v>
      </c>
      <c r="K5243" t="str">
        <f>_xlfn.CONCAT(WEEKNUM(CompilDonnées[[#This Row],[PlantationDate]]), " ", YEAR(CompilDonnées[[#This Row],[PlantationDate]]))</f>
        <v>41 2025</v>
      </c>
      <c r="L5243" t="str">
        <f>CONCATENATE(MONTH(CompilDonnées[[#This Row],[PlantationDate]])," ", YEAR(CompilDonnées[[#This Row],[PlantationDate]]))</f>
        <v>10 2025</v>
      </c>
      <c r="M5243" t="str">
        <f>CONCATENATE(MONTH(CompilDonnées[[#This Row],[HarvestingDate]])," ", YEAR(CompilDonnées[[#This Row],[HarvestingDate]]))</f>
        <v>12 2025</v>
      </c>
      <c r="N5243">
        <f>_xlfn.NUMBERVALUE(CompilDonnées[[#This Row],[FarmID]]&amp;CompilDonnées[[#This Row],[ModuleNumber]]&amp;CompilDonnées[[#This Row],[PlantationDate]])</f>
        <v>114345938</v>
      </c>
      <c r="O5243" t="str">
        <f>CompilDonnées[[#This Row],[FarmID]]&amp;CompilDonnées[[#This Row],[ModuleNumber]]</f>
        <v>1143</v>
      </c>
      <c r="P5243" t="str">
        <f>CompilDonnées[[#This Row],[Ref_Module]]&amp;CompilDonnées[[#This Row],[HarvestingDate]]</f>
        <v>114345993</v>
      </c>
    </row>
    <row r="5244" spans="1:16">
      <c r="A5244" s="5">
        <v>45939</v>
      </c>
      <c r="B5244">
        <v>88</v>
      </c>
      <c r="C5244" t="s">
        <v>94</v>
      </c>
      <c r="D5244">
        <v>3</v>
      </c>
      <c r="E5244">
        <v>100</v>
      </c>
      <c r="F5244" t="s">
        <v>1</v>
      </c>
      <c r="G5244" s="6">
        <v>45978</v>
      </c>
      <c r="H5244">
        <v>39</v>
      </c>
      <c r="I5244">
        <f>ROUND(CompilDonnées[[#This Row],[CultureDuration_days]]/7,0)</f>
        <v>6</v>
      </c>
      <c r="J5244">
        <v>3575</v>
      </c>
      <c r="K5244" t="str">
        <f>_xlfn.CONCAT(WEEKNUM(CompilDonnées[[#This Row],[PlantationDate]]), " ", YEAR(CompilDonnées[[#This Row],[PlantationDate]]))</f>
        <v>41 2025</v>
      </c>
      <c r="L5244" t="str">
        <f>CONCATENATE(MONTH(CompilDonnées[[#This Row],[PlantationDate]])," ", YEAR(CompilDonnées[[#This Row],[PlantationDate]]))</f>
        <v>10 2025</v>
      </c>
      <c r="M5244" t="str">
        <f>CONCATENATE(MONTH(CompilDonnées[[#This Row],[HarvestingDate]])," ", YEAR(CompilDonnées[[#This Row],[HarvestingDate]]))</f>
        <v>11 2025</v>
      </c>
      <c r="N5244">
        <f>_xlfn.NUMBERVALUE(CompilDonnées[[#This Row],[FarmID]]&amp;CompilDonnées[[#This Row],[ModuleNumber]]&amp;CompilDonnées[[#This Row],[PlantationDate]])</f>
        <v>88345939</v>
      </c>
      <c r="O5244" t="str">
        <f>CompilDonnées[[#This Row],[FarmID]]&amp;CompilDonnées[[#This Row],[ModuleNumber]]</f>
        <v>883</v>
      </c>
      <c r="P5244" t="str">
        <f>CompilDonnées[[#This Row],[Ref_Module]]&amp;CompilDonnées[[#This Row],[HarvestingDate]]</f>
        <v>88345978</v>
      </c>
    </row>
    <row r="5245" spans="1:16">
      <c r="A5245" s="5">
        <v>45939</v>
      </c>
      <c r="B5245">
        <v>87</v>
      </c>
      <c r="C5245" t="s">
        <v>38</v>
      </c>
      <c r="D5245">
        <v>6</v>
      </c>
      <c r="E5245">
        <v>100</v>
      </c>
      <c r="F5245" t="s">
        <v>1</v>
      </c>
      <c r="G5245" s="6">
        <v>45978</v>
      </c>
      <c r="H5245">
        <v>39</v>
      </c>
      <c r="I5245">
        <f>ROUND(CompilDonnées[[#This Row],[CultureDuration_days]]/7,0)</f>
        <v>6</v>
      </c>
      <c r="J5245">
        <v>2494</v>
      </c>
      <c r="K5245" t="str">
        <f>_xlfn.CONCAT(WEEKNUM(CompilDonnées[[#This Row],[PlantationDate]]), " ", YEAR(CompilDonnées[[#This Row],[PlantationDate]]))</f>
        <v>41 2025</v>
      </c>
      <c r="L5245" t="str">
        <f>CONCATENATE(MONTH(CompilDonnées[[#This Row],[PlantationDate]])," ", YEAR(CompilDonnées[[#This Row],[PlantationDate]]))</f>
        <v>10 2025</v>
      </c>
      <c r="M5245" t="str">
        <f>CONCATENATE(MONTH(CompilDonnées[[#This Row],[HarvestingDate]])," ", YEAR(CompilDonnées[[#This Row],[HarvestingDate]]))</f>
        <v>11 2025</v>
      </c>
      <c r="N5245">
        <f>_xlfn.NUMBERVALUE(CompilDonnées[[#This Row],[FarmID]]&amp;CompilDonnées[[#This Row],[ModuleNumber]]&amp;CompilDonnées[[#This Row],[PlantationDate]])</f>
        <v>87645939</v>
      </c>
      <c r="O5245" t="str">
        <f>CompilDonnées[[#This Row],[FarmID]]&amp;CompilDonnées[[#This Row],[ModuleNumber]]</f>
        <v>876</v>
      </c>
      <c r="P5245" t="str">
        <f>CompilDonnées[[#This Row],[Ref_Module]]&amp;CompilDonnées[[#This Row],[HarvestingDate]]</f>
        <v>87645978</v>
      </c>
    </row>
    <row r="5246" spans="1:16">
      <c r="A5246" s="5">
        <v>45939</v>
      </c>
      <c r="B5246">
        <v>86</v>
      </c>
      <c r="C5246" t="s">
        <v>37</v>
      </c>
      <c r="D5246">
        <v>4</v>
      </c>
      <c r="E5246">
        <v>100</v>
      </c>
      <c r="F5246" t="s">
        <v>1</v>
      </c>
      <c r="G5246" s="6">
        <v>45986</v>
      </c>
      <c r="H5246">
        <v>47</v>
      </c>
      <c r="I5246">
        <f>ROUND(CompilDonnées[[#This Row],[CultureDuration_days]]/7,0)</f>
        <v>7</v>
      </c>
      <c r="J5246">
        <v>2827</v>
      </c>
      <c r="K5246" t="str">
        <f>_xlfn.CONCAT(WEEKNUM(CompilDonnées[[#This Row],[PlantationDate]]), " ", YEAR(CompilDonnées[[#This Row],[PlantationDate]]))</f>
        <v>41 2025</v>
      </c>
      <c r="L5246" t="str">
        <f>CONCATENATE(MONTH(CompilDonnées[[#This Row],[PlantationDate]])," ", YEAR(CompilDonnées[[#This Row],[PlantationDate]]))</f>
        <v>10 2025</v>
      </c>
      <c r="M5246" t="str">
        <f>CONCATENATE(MONTH(CompilDonnées[[#This Row],[HarvestingDate]])," ", YEAR(CompilDonnées[[#This Row],[HarvestingDate]]))</f>
        <v>11 2025</v>
      </c>
      <c r="N5246">
        <f>_xlfn.NUMBERVALUE(CompilDonnées[[#This Row],[FarmID]]&amp;CompilDonnées[[#This Row],[ModuleNumber]]&amp;CompilDonnées[[#This Row],[PlantationDate]])</f>
        <v>86445939</v>
      </c>
      <c r="O5246" t="str">
        <f>CompilDonnées[[#This Row],[FarmID]]&amp;CompilDonnées[[#This Row],[ModuleNumber]]</f>
        <v>864</v>
      </c>
      <c r="P5246" t="str">
        <f>CompilDonnées[[#This Row],[Ref_Module]]&amp;CompilDonnées[[#This Row],[HarvestingDate]]</f>
        <v>86445986</v>
      </c>
    </row>
    <row r="5247" spans="1:16">
      <c r="A5247" s="5">
        <v>45939</v>
      </c>
      <c r="B5247">
        <v>85</v>
      </c>
      <c r="C5247" t="s">
        <v>56</v>
      </c>
      <c r="D5247">
        <v>4</v>
      </c>
      <c r="E5247">
        <v>100</v>
      </c>
      <c r="F5247" t="s">
        <v>1</v>
      </c>
      <c r="G5247" s="6">
        <v>45986</v>
      </c>
      <c r="H5247">
        <v>47</v>
      </c>
      <c r="I5247">
        <f>ROUND(CompilDonnées[[#This Row],[CultureDuration_days]]/7,0)</f>
        <v>7</v>
      </c>
      <c r="J5247">
        <v>2260</v>
      </c>
      <c r="K5247" t="str">
        <f>_xlfn.CONCAT(WEEKNUM(CompilDonnées[[#This Row],[PlantationDate]]), " ", YEAR(CompilDonnées[[#This Row],[PlantationDate]]))</f>
        <v>41 2025</v>
      </c>
      <c r="L5247" t="str">
        <f>CONCATENATE(MONTH(CompilDonnées[[#This Row],[PlantationDate]])," ", YEAR(CompilDonnées[[#This Row],[PlantationDate]]))</f>
        <v>10 2025</v>
      </c>
      <c r="M5247" t="str">
        <f>CONCATENATE(MONTH(CompilDonnées[[#This Row],[HarvestingDate]])," ", YEAR(CompilDonnées[[#This Row],[HarvestingDate]]))</f>
        <v>11 2025</v>
      </c>
      <c r="N5247">
        <f>_xlfn.NUMBERVALUE(CompilDonnées[[#This Row],[FarmID]]&amp;CompilDonnées[[#This Row],[ModuleNumber]]&amp;CompilDonnées[[#This Row],[PlantationDate]])</f>
        <v>85445939</v>
      </c>
      <c r="O5247" t="str">
        <f>CompilDonnées[[#This Row],[FarmID]]&amp;CompilDonnées[[#This Row],[ModuleNumber]]</f>
        <v>854</v>
      </c>
      <c r="P5247" t="str">
        <f>CompilDonnées[[#This Row],[Ref_Module]]&amp;CompilDonnées[[#This Row],[HarvestingDate]]</f>
        <v>85445986</v>
      </c>
    </row>
    <row r="5248" spans="1:16">
      <c r="A5248" s="5">
        <v>45939</v>
      </c>
      <c r="B5248">
        <v>94</v>
      </c>
      <c r="C5248" t="s">
        <v>40</v>
      </c>
      <c r="D5248">
        <v>4</v>
      </c>
      <c r="E5248">
        <v>100</v>
      </c>
      <c r="F5248" t="s">
        <v>1</v>
      </c>
      <c r="G5248" s="6">
        <v>45978</v>
      </c>
      <c r="H5248">
        <v>39</v>
      </c>
      <c r="I5248">
        <f>ROUND(CompilDonnées[[#This Row],[CultureDuration_days]]/7,0)</f>
        <v>6</v>
      </c>
      <c r="J5248">
        <v>3292</v>
      </c>
      <c r="K5248" t="str">
        <f>_xlfn.CONCAT(WEEKNUM(CompilDonnées[[#This Row],[PlantationDate]]), " ", YEAR(CompilDonnées[[#This Row],[PlantationDate]]))</f>
        <v>41 2025</v>
      </c>
      <c r="L5248" t="str">
        <f>CONCATENATE(MONTH(CompilDonnées[[#This Row],[PlantationDate]])," ", YEAR(CompilDonnées[[#This Row],[PlantationDate]]))</f>
        <v>10 2025</v>
      </c>
      <c r="M5248" t="str">
        <f>CONCATENATE(MONTH(CompilDonnées[[#This Row],[HarvestingDate]])," ", YEAR(CompilDonnées[[#This Row],[HarvestingDate]]))</f>
        <v>11 2025</v>
      </c>
      <c r="N5248">
        <f>_xlfn.NUMBERVALUE(CompilDonnées[[#This Row],[FarmID]]&amp;CompilDonnées[[#This Row],[ModuleNumber]]&amp;CompilDonnées[[#This Row],[PlantationDate]])</f>
        <v>94445939</v>
      </c>
      <c r="O5248" t="str">
        <f>CompilDonnées[[#This Row],[FarmID]]&amp;CompilDonnées[[#This Row],[ModuleNumber]]</f>
        <v>944</v>
      </c>
      <c r="P5248" t="str">
        <f>CompilDonnées[[#This Row],[Ref_Module]]&amp;CompilDonnées[[#This Row],[HarvestingDate]]</f>
        <v>94445978</v>
      </c>
    </row>
    <row r="5249" spans="1:16">
      <c r="A5249" s="5">
        <v>45939</v>
      </c>
      <c r="B5249">
        <v>92</v>
      </c>
      <c r="C5249" t="s">
        <v>66</v>
      </c>
      <c r="D5249">
        <v>6</v>
      </c>
      <c r="E5249">
        <v>100</v>
      </c>
      <c r="F5249" t="s">
        <v>1</v>
      </c>
      <c r="G5249" s="6">
        <v>45986</v>
      </c>
      <c r="H5249">
        <v>47</v>
      </c>
      <c r="I5249">
        <f>ROUND(CompilDonnées[[#This Row],[CultureDuration_days]]/7,0)</f>
        <v>7</v>
      </c>
      <c r="J5249">
        <v>2879</v>
      </c>
      <c r="K5249" t="str">
        <f>_xlfn.CONCAT(WEEKNUM(CompilDonnées[[#This Row],[PlantationDate]]), " ", YEAR(CompilDonnées[[#This Row],[PlantationDate]]))</f>
        <v>41 2025</v>
      </c>
      <c r="L5249" t="str">
        <f>CONCATENATE(MONTH(CompilDonnées[[#This Row],[PlantationDate]])," ", YEAR(CompilDonnées[[#This Row],[PlantationDate]]))</f>
        <v>10 2025</v>
      </c>
      <c r="M5249" t="str">
        <f>CONCATENATE(MONTH(CompilDonnées[[#This Row],[HarvestingDate]])," ", YEAR(CompilDonnées[[#This Row],[HarvestingDate]]))</f>
        <v>11 2025</v>
      </c>
      <c r="N5249">
        <f>_xlfn.NUMBERVALUE(CompilDonnées[[#This Row],[FarmID]]&amp;CompilDonnées[[#This Row],[ModuleNumber]]&amp;CompilDonnées[[#This Row],[PlantationDate]])</f>
        <v>92645939</v>
      </c>
      <c r="O5249" t="str">
        <f>CompilDonnées[[#This Row],[FarmID]]&amp;CompilDonnées[[#This Row],[ModuleNumber]]</f>
        <v>926</v>
      </c>
      <c r="P5249" t="str">
        <f>CompilDonnées[[#This Row],[Ref_Module]]&amp;CompilDonnées[[#This Row],[HarvestingDate]]</f>
        <v>92645986</v>
      </c>
    </row>
    <row r="5250" spans="1:16">
      <c r="A5250" s="5">
        <v>45939</v>
      </c>
      <c r="B5250">
        <v>91</v>
      </c>
      <c r="C5250" t="s">
        <v>9</v>
      </c>
      <c r="D5250">
        <v>3</v>
      </c>
      <c r="E5250">
        <v>100</v>
      </c>
      <c r="F5250" t="s">
        <v>1</v>
      </c>
      <c r="G5250" s="6">
        <v>45993</v>
      </c>
      <c r="H5250">
        <v>54</v>
      </c>
      <c r="I5250">
        <f>ROUND(CompilDonnées[[#This Row],[CultureDuration_days]]/7,0)</f>
        <v>8</v>
      </c>
      <c r="J5250">
        <v>2029</v>
      </c>
      <c r="K5250" t="str">
        <f>_xlfn.CONCAT(WEEKNUM(CompilDonnées[[#This Row],[PlantationDate]]), " ", YEAR(CompilDonnées[[#This Row],[PlantationDate]]))</f>
        <v>41 2025</v>
      </c>
      <c r="L5250" t="str">
        <f>CONCATENATE(MONTH(CompilDonnées[[#This Row],[PlantationDate]])," ", YEAR(CompilDonnées[[#This Row],[PlantationDate]]))</f>
        <v>10 2025</v>
      </c>
      <c r="M5250" t="str">
        <f>CONCATENATE(MONTH(CompilDonnées[[#This Row],[HarvestingDate]])," ", YEAR(CompilDonnées[[#This Row],[HarvestingDate]]))</f>
        <v>12 2025</v>
      </c>
      <c r="N5250">
        <f>_xlfn.NUMBERVALUE(CompilDonnées[[#This Row],[FarmID]]&amp;CompilDonnées[[#This Row],[ModuleNumber]]&amp;CompilDonnées[[#This Row],[PlantationDate]])</f>
        <v>91345939</v>
      </c>
      <c r="O5250" t="str">
        <f>CompilDonnées[[#This Row],[FarmID]]&amp;CompilDonnées[[#This Row],[ModuleNumber]]</f>
        <v>913</v>
      </c>
      <c r="P5250" t="str">
        <f>CompilDonnées[[#This Row],[Ref_Module]]&amp;CompilDonnées[[#This Row],[HarvestingDate]]</f>
        <v>91345993</v>
      </c>
    </row>
    <row r="5251" spans="1:16">
      <c r="A5251" s="5">
        <v>45939</v>
      </c>
      <c r="B5251">
        <v>101</v>
      </c>
      <c r="C5251" t="s">
        <v>54</v>
      </c>
      <c r="D5251">
        <v>6</v>
      </c>
      <c r="E5251">
        <v>100</v>
      </c>
      <c r="F5251" t="s">
        <v>1</v>
      </c>
      <c r="G5251" s="6">
        <v>45986</v>
      </c>
      <c r="H5251">
        <v>47</v>
      </c>
      <c r="I5251">
        <f>ROUND(CompilDonnées[[#This Row],[CultureDuration_days]]/7,0)</f>
        <v>7</v>
      </c>
      <c r="J5251">
        <v>5061</v>
      </c>
      <c r="K5251" t="str">
        <f>_xlfn.CONCAT(WEEKNUM(CompilDonnées[[#This Row],[PlantationDate]]), " ", YEAR(CompilDonnées[[#This Row],[PlantationDate]]))</f>
        <v>41 2025</v>
      </c>
      <c r="L5251" t="str">
        <f>CONCATENATE(MONTH(CompilDonnées[[#This Row],[PlantationDate]])," ", YEAR(CompilDonnées[[#This Row],[PlantationDate]]))</f>
        <v>10 2025</v>
      </c>
      <c r="M5251" t="str">
        <f>CONCATENATE(MONTH(CompilDonnées[[#This Row],[HarvestingDate]])," ", YEAR(CompilDonnées[[#This Row],[HarvestingDate]]))</f>
        <v>11 2025</v>
      </c>
      <c r="N5251">
        <f>_xlfn.NUMBERVALUE(CompilDonnées[[#This Row],[FarmID]]&amp;CompilDonnées[[#This Row],[ModuleNumber]]&amp;CompilDonnées[[#This Row],[PlantationDate]])</f>
        <v>101645939</v>
      </c>
      <c r="O5251" t="str">
        <f>CompilDonnées[[#This Row],[FarmID]]&amp;CompilDonnées[[#This Row],[ModuleNumber]]</f>
        <v>1016</v>
      </c>
      <c r="P5251" t="str">
        <f>CompilDonnées[[#This Row],[Ref_Module]]&amp;CompilDonnées[[#This Row],[HarvestingDate]]</f>
        <v>101645986</v>
      </c>
    </row>
    <row r="5252" spans="1:16">
      <c r="A5252" s="5">
        <v>45939</v>
      </c>
      <c r="B5252">
        <v>108</v>
      </c>
      <c r="C5252" t="s">
        <v>58</v>
      </c>
      <c r="D5252">
        <v>6</v>
      </c>
      <c r="E5252">
        <v>100</v>
      </c>
      <c r="F5252" t="s">
        <v>1</v>
      </c>
      <c r="G5252" s="6">
        <v>45986</v>
      </c>
      <c r="H5252">
        <v>47</v>
      </c>
      <c r="I5252">
        <f>ROUND(CompilDonnées[[#This Row],[CultureDuration_days]]/7,0)</f>
        <v>7</v>
      </c>
      <c r="J5252">
        <v>4043</v>
      </c>
      <c r="K5252" t="str">
        <f>_xlfn.CONCAT(WEEKNUM(CompilDonnées[[#This Row],[PlantationDate]]), " ", YEAR(CompilDonnées[[#This Row],[PlantationDate]]))</f>
        <v>41 2025</v>
      </c>
      <c r="L5252" t="str">
        <f>CONCATENATE(MONTH(CompilDonnées[[#This Row],[PlantationDate]])," ", YEAR(CompilDonnées[[#This Row],[PlantationDate]]))</f>
        <v>10 2025</v>
      </c>
      <c r="M5252" t="str">
        <f>CONCATENATE(MONTH(CompilDonnées[[#This Row],[HarvestingDate]])," ", YEAR(CompilDonnées[[#This Row],[HarvestingDate]]))</f>
        <v>11 2025</v>
      </c>
      <c r="N5252">
        <f>_xlfn.NUMBERVALUE(CompilDonnées[[#This Row],[FarmID]]&amp;CompilDonnées[[#This Row],[ModuleNumber]]&amp;CompilDonnées[[#This Row],[PlantationDate]])</f>
        <v>108645939</v>
      </c>
      <c r="O5252" t="str">
        <f>CompilDonnées[[#This Row],[FarmID]]&amp;CompilDonnées[[#This Row],[ModuleNumber]]</f>
        <v>1086</v>
      </c>
      <c r="P5252" t="str">
        <f>CompilDonnées[[#This Row],[Ref_Module]]&amp;CompilDonnées[[#This Row],[HarvestingDate]]</f>
        <v>108645986</v>
      </c>
    </row>
    <row r="5253" spans="1:16">
      <c r="A5253" s="5">
        <v>45939</v>
      </c>
      <c r="B5253">
        <v>97</v>
      </c>
      <c r="C5253" t="s">
        <v>78</v>
      </c>
      <c r="D5253">
        <v>2</v>
      </c>
      <c r="E5253">
        <v>100</v>
      </c>
      <c r="F5253" t="s">
        <v>1</v>
      </c>
      <c r="G5253" s="6">
        <v>45993</v>
      </c>
      <c r="H5253">
        <v>54</v>
      </c>
      <c r="I5253">
        <f>ROUND(CompilDonnées[[#This Row],[CultureDuration_days]]/7,0)</f>
        <v>8</v>
      </c>
      <c r="J5253">
        <v>2050</v>
      </c>
      <c r="K5253" t="str">
        <f>_xlfn.CONCAT(WEEKNUM(CompilDonnées[[#This Row],[PlantationDate]]), " ", YEAR(CompilDonnées[[#This Row],[PlantationDate]]))</f>
        <v>41 2025</v>
      </c>
      <c r="L5253" t="str">
        <f>CONCATENATE(MONTH(CompilDonnées[[#This Row],[PlantationDate]])," ", YEAR(CompilDonnées[[#This Row],[PlantationDate]]))</f>
        <v>10 2025</v>
      </c>
      <c r="M5253" t="str">
        <f>CONCATENATE(MONTH(CompilDonnées[[#This Row],[HarvestingDate]])," ", YEAR(CompilDonnées[[#This Row],[HarvestingDate]]))</f>
        <v>12 2025</v>
      </c>
      <c r="N5253">
        <f>_xlfn.NUMBERVALUE(CompilDonnées[[#This Row],[FarmID]]&amp;CompilDonnées[[#This Row],[ModuleNumber]]&amp;CompilDonnées[[#This Row],[PlantationDate]])</f>
        <v>97245939</v>
      </c>
      <c r="O5253" t="str">
        <f>CompilDonnées[[#This Row],[FarmID]]&amp;CompilDonnées[[#This Row],[ModuleNumber]]</f>
        <v>972</v>
      </c>
      <c r="P5253" t="str">
        <f>CompilDonnées[[#This Row],[Ref_Module]]&amp;CompilDonnées[[#This Row],[HarvestingDate]]</f>
        <v>97245993</v>
      </c>
    </row>
    <row r="5254" spans="1:16">
      <c r="A5254" s="5">
        <v>45939</v>
      </c>
      <c r="B5254">
        <v>93</v>
      </c>
      <c r="C5254" t="s">
        <v>10</v>
      </c>
      <c r="D5254">
        <v>4</v>
      </c>
      <c r="E5254">
        <v>100</v>
      </c>
      <c r="F5254" t="s">
        <v>1</v>
      </c>
      <c r="G5254" s="6">
        <v>45986</v>
      </c>
      <c r="H5254">
        <v>47</v>
      </c>
      <c r="I5254">
        <f>ROUND(CompilDonnées[[#This Row],[CultureDuration_days]]/7,0)</f>
        <v>7</v>
      </c>
      <c r="J5254">
        <v>3454</v>
      </c>
      <c r="K5254" t="str">
        <f>_xlfn.CONCAT(WEEKNUM(CompilDonnées[[#This Row],[PlantationDate]]), " ", YEAR(CompilDonnées[[#This Row],[PlantationDate]]))</f>
        <v>41 2025</v>
      </c>
      <c r="L5254" t="str">
        <f>CONCATENATE(MONTH(CompilDonnées[[#This Row],[PlantationDate]])," ", YEAR(CompilDonnées[[#This Row],[PlantationDate]]))</f>
        <v>10 2025</v>
      </c>
      <c r="M5254" t="str">
        <f>CONCATENATE(MONTH(CompilDonnées[[#This Row],[HarvestingDate]])," ", YEAR(CompilDonnées[[#This Row],[HarvestingDate]]))</f>
        <v>11 2025</v>
      </c>
      <c r="N5254">
        <f>_xlfn.NUMBERVALUE(CompilDonnées[[#This Row],[FarmID]]&amp;CompilDonnées[[#This Row],[ModuleNumber]]&amp;CompilDonnées[[#This Row],[PlantationDate]])</f>
        <v>93445939</v>
      </c>
      <c r="O5254" t="str">
        <f>CompilDonnées[[#This Row],[FarmID]]&amp;CompilDonnées[[#This Row],[ModuleNumber]]</f>
        <v>934</v>
      </c>
      <c r="P5254" t="str">
        <f>CompilDonnées[[#This Row],[Ref_Module]]&amp;CompilDonnées[[#This Row],[HarvestingDate]]</f>
        <v>93445986</v>
      </c>
    </row>
    <row r="5255" spans="1:16">
      <c r="A5255" s="5">
        <v>45939</v>
      </c>
      <c r="B5255">
        <v>125</v>
      </c>
      <c r="C5255" t="s">
        <v>101</v>
      </c>
      <c r="D5255">
        <v>6</v>
      </c>
      <c r="E5255">
        <v>100</v>
      </c>
      <c r="F5255" t="s">
        <v>1</v>
      </c>
      <c r="G5255" s="6">
        <v>45978</v>
      </c>
      <c r="H5255">
        <v>39</v>
      </c>
      <c r="I5255">
        <f>ROUND(CompilDonnées[[#This Row],[CultureDuration_days]]/7,0)</f>
        <v>6</v>
      </c>
      <c r="J5255">
        <v>3909</v>
      </c>
      <c r="K5255" t="str">
        <f>_xlfn.CONCAT(WEEKNUM(CompilDonnées[[#This Row],[PlantationDate]]), " ", YEAR(CompilDonnées[[#This Row],[PlantationDate]]))</f>
        <v>41 2025</v>
      </c>
      <c r="L5255" t="str">
        <f>CONCATENATE(MONTH(CompilDonnées[[#This Row],[PlantationDate]])," ", YEAR(CompilDonnées[[#This Row],[PlantationDate]]))</f>
        <v>10 2025</v>
      </c>
      <c r="M5255" t="str">
        <f>CONCATENATE(MONTH(CompilDonnées[[#This Row],[HarvestingDate]])," ", YEAR(CompilDonnées[[#This Row],[HarvestingDate]]))</f>
        <v>11 2025</v>
      </c>
      <c r="N5255">
        <f>_xlfn.NUMBERVALUE(CompilDonnées[[#This Row],[FarmID]]&amp;CompilDonnées[[#This Row],[ModuleNumber]]&amp;CompilDonnées[[#This Row],[PlantationDate]])</f>
        <v>125645939</v>
      </c>
      <c r="O5255" t="str">
        <f>CompilDonnées[[#This Row],[FarmID]]&amp;CompilDonnées[[#This Row],[ModuleNumber]]</f>
        <v>1256</v>
      </c>
      <c r="P5255" t="str">
        <f>CompilDonnées[[#This Row],[Ref_Module]]&amp;CompilDonnées[[#This Row],[HarvestingDate]]</f>
        <v>125645978</v>
      </c>
    </row>
    <row r="5256" spans="1:16">
      <c r="A5256" s="5">
        <v>45939</v>
      </c>
      <c r="B5256">
        <v>81</v>
      </c>
      <c r="C5256" t="s">
        <v>30</v>
      </c>
      <c r="D5256">
        <v>1</v>
      </c>
      <c r="E5256">
        <v>100</v>
      </c>
      <c r="F5256" t="s">
        <v>1</v>
      </c>
      <c r="G5256" s="6">
        <v>45978</v>
      </c>
      <c r="H5256">
        <v>39</v>
      </c>
      <c r="I5256">
        <f>ROUND(CompilDonnées[[#This Row],[CultureDuration_days]]/7,0)</f>
        <v>6</v>
      </c>
      <c r="J5256">
        <v>3258</v>
      </c>
      <c r="K5256" t="str">
        <f>_xlfn.CONCAT(WEEKNUM(CompilDonnées[[#This Row],[PlantationDate]]), " ", YEAR(CompilDonnées[[#This Row],[PlantationDate]]))</f>
        <v>41 2025</v>
      </c>
      <c r="L5256" t="str">
        <f>CONCATENATE(MONTH(CompilDonnées[[#This Row],[PlantationDate]])," ", YEAR(CompilDonnées[[#This Row],[PlantationDate]]))</f>
        <v>10 2025</v>
      </c>
      <c r="M5256" t="str">
        <f>CONCATENATE(MONTH(CompilDonnées[[#This Row],[HarvestingDate]])," ", YEAR(CompilDonnées[[#This Row],[HarvestingDate]]))</f>
        <v>11 2025</v>
      </c>
      <c r="N5256">
        <f>_xlfn.NUMBERVALUE(CompilDonnées[[#This Row],[FarmID]]&amp;CompilDonnées[[#This Row],[ModuleNumber]]&amp;CompilDonnées[[#This Row],[PlantationDate]])</f>
        <v>81145939</v>
      </c>
      <c r="O5256" t="str">
        <f>CompilDonnées[[#This Row],[FarmID]]&amp;CompilDonnées[[#This Row],[ModuleNumber]]</f>
        <v>811</v>
      </c>
      <c r="P5256" t="str">
        <f>CompilDonnées[[#This Row],[Ref_Module]]&amp;CompilDonnées[[#This Row],[HarvestingDate]]</f>
        <v>81145978</v>
      </c>
    </row>
    <row r="5257" spans="1:16">
      <c r="A5257" s="5">
        <v>45939</v>
      </c>
      <c r="B5257">
        <v>81</v>
      </c>
      <c r="C5257" t="s">
        <v>30</v>
      </c>
      <c r="D5257">
        <v>5</v>
      </c>
      <c r="E5257">
        <v>100</v>
      </c>
      <c r="F5257" t="s">
        <v>1</v>
      </c>
      <c r="G5257" s="6">
        <v>45986</v>
      </c>
      <c r="H5257">
        <v>47</v>
      </c>
      <c r="I5257">
        <f>ROUND(CompilDonnées[[#This Row],[CultureDuration_days]]/7,0)</f>
        <v>7</v>
      </c>
      <c r="J5257">
        <v>4000</v>
      </c>
      <c r="K5257" t="str">
        <f>_xlfn.CONCAT(WEEKNUM(CompilDonnées[[#This Row],[PlantationDate]]), " ", YEAR(CompilDonnées[[#This Row],[PlantationDate]]))</f>
        <v>41 2025</v>
      </c>
      <c r="L5257" t="str">
        <f>CONCATENATE(MONTH(CompilDonnées[[#This Row],[PlantationDate]])," ", YEAR(CompilDonnées[[#This Row],[PlantationDate]]))</f>
        <v>10 2025</v>
      </c>
      <c r="M5257" t="str">
        <f>CONCATENATE(MONTH(CompilDonnées[[#This Row],[HarvestingDate]])," ", YEAR(CompilDonnées[[#This Row],[HarvestingDate]]))</f>
        <v>11 2025</v>
      </c>
      <c r="N5257">
        <f>_xlfn.NUMBERVALUE(CompilDonnées[[#This Row],[FarmID]]&amp;CompilDonnées[[#This Row],[ModuleNumber]]&amp;CompilDonnées[[#This Row],[PlantationDate]])</f>
        <v>81545939</v>
      </c>
      <c r="O5257" t="str">
        <f>CompilDonnées[[#This Row],[FarmID]]&amp;CompilDonnées[[#This Row],[ModuleNumber]]</f>
        <v>815</v>
      </c>
      <c r="P5257" t="str">
        <f>CompilDonnées[[#This Row],[Ref_Module]]&amp;CompilDonnées[[#This Row],[HarvestingDate]]</f>
        <v>81545986</v>
      </c>
    </row>
    <row r="5258" spans="1:16">
      <c r="A5258" s="5">
        <v>45939</v>
      </c>
      <c r="B5258">
        <v>82</v>
      </c>
      <c r="C5258" t="s">
        <v>17</v>
      </c>
      <c r="D5258">
        <v>2</v>
      </c>
      <c r="E5258">
        <v>100</v>
      </c>
      <c r="F5258" t="s">
        <v>1</v>
      </c>
      <c r="G5258" s="6">
        <v>45978</v>
      </c>
      <c r="H5258">
        <v>39</v>
      </c>
      <c r="I5258">
        <f>ROUND(CompilDonnées[[#This Row],[CultureDuration_days]]/7,0)</f>
        <v>6</v>
      </c>
      <c r="J5258">
        <v>3243</v>
      </c>
      <c r="K5258" t="str">
        <f>_xlfn.CONCAT(WEEKNUM(CompilDonnées[[#This Row],[PlantationDate]]), " ", YEAR(CompilDonnées[[#This Row],[PlantationDate]]))</f>
        <v>41 2025</v>
      </c>
      <c r="L5258" t="str">
        <f>CONCATENATE(MONTH(CompilDonnées[[#This Row],[PlantationDate]])," ", YEAR(CompilDonnées[[#This Row],[PlantationDate]]))</f>
        <v>10 2025</v>
      </c>
      <c r="M5258" t="str">
        <f>CONCATENATE(MONTH(CompilDonnées[[#This Row],[HarvestingDate]])," ", YEAR(CompilDonnées[[#This Row],[HarvestingDate]]))</f>
        <v>11 2025</v>
      </c>
      <c r="N5258">
        <f>_xlfn.NUMBERVALUE(CompilDonnées[[#This Row],[FarmID]]&amp;CompilDonnées[[#This Row],[ModuleNumber]]&amp;CompilDonnées[[#This Row],[PlantationDate]])</f>
        <v>82245939</v>
      </c>
      <c r="O5258" t="str">
        <f>CompilDonnées[[#This Row],[FarmID]]&amp;CompilDonnées[[#This Row],[ModuleNumber]]</f>
        <v>822</v>
      </c>
      <c r="P5258" t="str">
        <f>CompilDonnées[[#This Row],[Ref_Module]]&amp;CompilDonnées[[#This Row],[HarvestingDate]]</f>
        <v>82245978</v>
      </c>
    </row>
    <row r="5259" spans="1:16">
      <c r="A5259" s="5">
        <v>45939</v>
      </c>
      <c r="B5259">
        <v>79</v>
      </c>
      <c r="C5259" t="s">
        <v>61</v>
      </c>
      <c r="D5259">
        <v>3</v>
      </c>
      <c r="E5259">
        <v>100</v>
      </c>
      <c r="F5259" t="s">
        <v>1</v>
      </c>
      <c r="G5259" s="6">
        <v>45985</v>
      </c>
      <c r="H5259">
        <v>46</v>
      </c>
      <c r="I5259">
        <f>ROUND(CompilDonnées[[#This Row],[CultureDuration_days]]/7,0)</f>
        <v>7</v>
      </c>
      <c r="J5259">
        <v>2855</v>
      </c>
      <c r="K5259" t="str">
        <f>_xlfn.CONCAT(WEEKNUM(CompilDonnées[[#This Row],[PlantationDate]]), " ", YEAR(CompilDonnées[[#This Row],[PlantationDate]]))</f>
        <v>41 2025</v>
      </c>
      <c r="L5259" t="str">
        <f>CONCATENATE(MONTH(CompilDonnées[[#This Row],[PlantationDate]])," ", YEAR(CompilDonnées[[#This Row],[PlantationDate]]))</f>
        <v>10 2025</v>
      </c>
      <c r="M5259" t="str">
        <f>CONCATENATE(MONTH(CompilDonnées[[#This Row],[HarvestingDate]])," ", YEAR(CompilDonnées[[#This Row],[HarvestingDate]]))</f>
        <v>11 2025</v>
      </c>
      <c r="N5259">
        <f>_xlfn.NUMBERVALUE(CompilDonnées[[#This Row],[FarmID]]&amp;CompilDonnées[[#This Row],[ModuleNumber]]&amp;CompilDonnées[[#This Row],[PlantationDate]])</f>
        <v>79345939</v>
      </c>
      <c r="O5259" t="str">
        <f>CompilDonnées[[#This Row],[FarmID]]&amp;CompilDonnées[[#This Row],[ModuleNumber]]</f>
        <v>793</v>
      </c>
      <c r="P5259" t="str">
        <f>CompilDonnées[[#This Row],[Ref_Module]]&amp;CompilDonnées[[#This Row],[HarvestingDate]]</f>
        <v>79345985</v>
      </c>
    </row>
    <row r="5260" spans="1:16">
      <c r="A5260" s="5">
        <v>45939</v>
      </c>
      <c r="B5260">
        <v>73</v>
      </c>
      <c r="C5260" t="s">
        <v>20</v>
      </c>
      <c r="D5260">
        <v>2</v>
      </c>
      <c r="E5260">
        <v>100</v>
      </c>
      <c r="F5260" t="s">
        <v>1</v>
      </c>
      <c r="G5260" s="6">
        <v>45985</v>
      </c>
      <c r="H5260">
        <v>46</v>
      </c>
      <c r="I5260">
        <f>ROUND(CompilDonnées[[#This Row],[CultureDuration_days]]/7,0)</f>
        <v>7</v>
      </c>
      <c r="J5260">
        <v>2790</v>
      </c>
      <c r="K5260" t="str">
        <f>_xlfn.CONCAT(WEEKNUM(CompilDonnées[[#This Row],[PlantationDate]]), " ", YEAR(CompilDonnées[[#This Row],[PlantationDate]]))</f>
        <v>41 2025</v>
      </c>
      <c r="L5260" t="str">
        <f>CONCATENATE(MONTH(CompilDonnées[[#This Row],[PlantationDate]])," ", YEAR(CompilDonnées[[#This Row],[PlantationDate]]))</f>
        <v>10 2025</v>
      </c>
      <c r="M5260" t="str">
        <f>CONCATENATE(MONTH(CompilDonnées[[#This Row],[HarvestingDate]])," ", YEAR(CompilDonnées[[#This Row],[HarvestingDate]]))</f>
        <v>11 2025</v>
      </c>
      <c r="N5260">
        <f>_xlfn.NUMBERVALUE(CompilDonnées[[#This Row],[FarmID]]&amp;CompilDonnées[[#This Row],[ModuleNumber]]&amp;CompilDonnées[[#This Row],[PlantationDate]])</f>
        <v>73245939</v>
      </c>
      <c r="O5260" t="str">
        <f>CompilDonnées[[#This Row],[FarmID]]&amp;CompilDonnées[[#This Row],[ModuleNumber]]</f>
        <v>732</v>
      </c>
      <c r="P5260" t="str">
        <f>CompilDonnées[[#This Row],[Ref_Module]]&amp;CompilDonnées[[#This Row],[HarvestingDate]]</f>
        <v>73245985</v>
      </c>
    </row>
    <row r="5261" spans="1:16">
      <c r="A5261" s="5">
        <v>45939</v>
      </c>
      <c r="B5261">
        <v>72</v>
      </c>
      <c r="C5261" t="s">
        <v>49</v>
      </c>
      <c r="D5261">
        <v>1</v>
      </c>
      <c r="E5261">
        <v>100</v>
      </c>
      <c r="F5261" t="s">
        <v>1</v>
      </c>
      <c r="G5261" s="6">
        <v>45985</v>
      </c>
      <c r="H5261">
        <v>46</v>
      </c>
      <c r="I5261">
        <f>ROUND(CompilDonnées[[#This Row],[CultureDuration_days]]/7,0)</f>
        <v>7</v>
      </c>
      <c r="J5261">
        <v>2550</v>
      </c>
      <c r="K5261" t="str">
        <f>_xlfn.CONCAT(WEEKNUM(CompilDonnées[[#This Row],[PlantationDate]]), " ", YEAR(CompilDonnées[[#This Row],[PlantationDate]]))</f>
        <v>41 2025</v>
      </c>
      <c r="L5261" t="str">
        <f>CONCATENATE(MONTH(CompilDonnées[[#This Row],[PlantationDate]])," ", YEAR(CompilDonnées[[#This Row],[PlantationDate]]))</f>
        <v>10 2025</v>
      </c>
      <c r="M5261" t="str">
        <f>CONCATENATE(MONTH(CompilDonnées[[#This Row],[HarvestingDate]])," ", YEAR(CompilDonnées[[#This Row],[HarvestingDate]]))</f>
        <v>11 2025</v>
      </c>
      <c r="N5261">
        <f>_xlfn.NUMBERVALUE(CompilDonnées[[#This Row],[FarmID]]&amp;CompilDonnées[[#This Row],[ModuleNumber]]&amp;CompilDonnées[[#This Row],[PlantationDate]])</f>
        <v>72145939</v>
      </c>
      <c r="O5261" t="str">
        <f>CompilDonnées[[#This Row],[FarmID]]&amp;CompilDonnées[[#This Row],[ModuleNumber]]</f>
        <v>721</v>
      </c>
      <c r="P5261" t="str">
        <f>CompilDonnées[[#This Row],[Ref_Module]]&amp;CompilDonnées[[#This Row],[HarvestingDate]]</f>
        <v>72145985</v>
      </c>
    </row>
    <row r="5262" spans="1:16">
      <c r="A5262" s="5">
        <v>45939</v>
      </c>
      <c r="B5262">
        <v>67</v>
      </c>
      <c r="C5262" t="s">
        <v>28</v>
      </c>
      <c r="D5262">
        <v>6</v>
      </c>
      <c r="E5262">
        <v>100</v>
      </c>
      <c r="F5262" t="s">
        <v>1</v>
      </c>
      <c r="G5262" s="6">
        <v>45985</v>
      </c>
      <c r="H5262">
        <v>46</v>
      </c>
      <c r="I5262">
        <f>ROUND(CompilDonnées[[#This Row],[CultureDuration_days]]/7,0)</f>
        <v>7</v>
      </c>
      <c r="J5262">
        <v>3483</v>
      </c>
      <c r="K5262" t="str">
        <f>_xlfn.CONCAT(WEEKNUM(CompilDonnées[[#This Row],[PlantationDate]]), " ", YEAR(CompilDonnées[[#This Row],[PlantationDate]]))</f>
        <v>41 2025</v>
      </c>
      <c r="L5262" t="str">
        <f>CONCATENATE(MONTH(CompilDonnées[[#This Row],[PlantationDate]])," ", YEAR(CompilDonnées[[#This Row],[PlantationDate]]))</f>
        <v>10 2025</v>
      </c>
      <c r="M5262" t="str">
        <f>CONCATENATE(MONTH(CompilDonnées[[#This Row],[HarvestingDate]])," ", YEAR(CompilDonnées[[#This Row],[HarvestingDate]]))</f>
        <v>11 2025</v>
      </c>
      <c r="N5262">
        <f>_xlfn.NUMBERVALUE(CompilDonnées[[#This Row],[FarmID]]&amp;CompilDonnées[[#This Row],[ModuleNumber]]&amp;CompilDonnées[[#This Row],[PlantationDate]])</f>
        <v>67645939</v>
      </c>
      <c r="O5262" t="str">
        <f>CompilDonnées[[#This Row],[FarmID]]&amp;CompilDonnées[[#This Row],[ModuleNumber]]</f>
        <v>676</v>
      </c>
      <c r="P5262" t="str">
        <f>CompilDonnées[[#This Row],[Ref_Module]]&amp;CompilDonnées[[#This Row],[HarvestingDate]]</f>
        <v>67645985</v>
      </c>
    </row>
    <row r="5263" spans="1:16">
      <c r="A5263" s="5">
        <v>45939</v>
      </c>
      <c r="B5263">
        <v>56</v>
      </c>
      <c r="C5263" t="s">
        <v>6</v>
      </c>
      <c r="D5263">
        <v>1</v>
      </c>
      <c r="E5263">
        <v>100</v>
      </c>
      <c r="F5263" t="s">
        <v>1</v>
      </c>
      <c r="G5263" s="6">
        <v>45994</v>
      </c>
      <c r="H5263">
        <v>55</v>
      </c>
      <c r="I5263">
        <f>ROUND(CompilDonnées[[#This Row],[CultureDuration_days]]/7,0)</f>
        <v>8</v>
      </c>
      <c r="J5263">
        <v>1870</v>
      </c>
      <c r="K5263" t="str">
        <f>_xlfn.CONCAT(WEEKNUM(CompilDonnées[[#This Row],[PlantationDate]]), " ", YEAR(CompilDonnées[[#This Row],[PlantationDate]]))</f>
        <v>41 2025</v>
      </c>
      <c r="L5263" t="str">
        <f>CONCATENATE(MONTH(CompilDonnées[[#This Row],[PlantationDate]])," ", YEAR(CompilDonnées[[#This Row],[PlantationDate]]))</f>
        <v>10 2025</v>
      </c>
      <c r="M5263" t="str">
        <f>CONCATENATE(MONTH(CompilDonnées[[#This Row],[HarvestingDate]])," ", YEAR(CompilDonnées[[#This Row],[HarvestingDate]]))</f>
        <v>12 2025</v>
      </c>
      <c r="N5263">
        <f>_xlfn.NUMBERVALUE(CompilDonnées[[#This Row],[FarmID]]&amp;CompilDonnées[[#This Row],[ModuleNumber]]&amp;CompilDonnées[[#This Row],[PlantationDate]])</f>
        <v>56145939</v>
      </c>
      <c r="O5263" t="str">
        <f>CompilDonnées[[#This Row],[FarmID]]&amp;CompilDonnées[[#This Row],[ModuleNumber]]</f>
        <v>561</v>
      </c>
      <c r="P5263" t="str">
        <f>CompilDonnées[[#This Row],[Ref_Module]]&amp;CompilDonnées[[#This Row],[HarvestingDate]]</f>
        <v>56145994</v>
      </c>
    </row>
    <row r="5264" spans="1:16">
      <c r="A5264" s="5">
        <v>45939</v>
      </c>
      <c r="B5264">
        <v>83</v>
      </c>
      <c r="C5264" t="s">
        <v>73</v>
      </c>
      <c r="D5264">
        <v>5</v>
      </c>
      <c r="E5264">
        <v>100</v>
      </c>
      <c r="F5264" t="s">
        <v>1</v>
      </c>
      <c r="G5264" s="6">
        <v>45959</v>
      </c>
      <c r="H5264">
        <v>20</v>
      </c>
      <c r="I5264">
        <f>ROUND(CompilDonnées[[#This Row],[CultureDuration_days]]/7,0)</f>
        <v>3</v>
      </c>
      <c r="J5264">
        <v>864</v>
      </c>
      <c r="K5264" t="str">
        <f>_xlfn.CONCAT(WEEKNUM(CompilDonnées[[#This Row],[PlantationDate]]), " ", YEAR(CompilDonnées[[#This Row],[PlantationDate]]))</f>
        <v>41 2025</v>
      </c>
      <c r="L5264" t="str">
        <f>CONCATENATE(MONTH(CompilDonnées[[#This Row],[PlantationDate]])," ", YEAR(CompilDonnées[[#This Row],[PlantationDate]]))</f>
        <v>10 2025</v>
      </c>
      <c r="M5264" t="str">
        <f>CONCATENATE(MONTH(CompilDonnées[[#This Row],[HarvestingDate]])," ", YEAR(CompilDonnées[[#This Row],[HarvestingDate]]))</f>
        <v>10 2025</v>
      </c>
      <c r="N5264">
        <f>_xlfn.NUMBERVALUE(CompilDonnées[[#This Row],[FarmID]]&amp;CompilDonnées[[#This Row],[ModuleNumber]]&amp;CompilDonnées[[#This Row],[PlantationDate]])</f>
        <v>83545939</v>
      </c>
      <c r="O5264" t="str">
        <f>CompilDonnées[[#This Row],[FarmID]]&amp;CompilDonnées[[#This Row],[ModuleNumber]]</f>
        <v>835</v>
      </c>
      <c r="P5264" t="str">
        <f>CompilDonnées[[#This Row],[Ref_Module]]&amp;CompilDonnées[[#This Row],[HarvestingDate]]</f>
        <v>83545959</v>
      </c>
    </row>
    <row r="5265" spans="1:16">
      <c r="A5265" s="5">
        <v>45939</v>
      </c>
      <c r="B5265">
        <v>78</v>
      </c>
      <c r="C5265" t="s">
        <v>3</v>
      </c>
      <c r="D5265">
        <v>3</v>
      </c>
      <c r="E5265">
        <v>68</v>
      </c>
      <c r="F5265" t="s">
        <v>1</v>
      </c>
      <c r="G5265" s="6">
        <v>45986</v>
      </c>
      <c r="H5265">
        <v>47</v>
      </c>
      <c r="I5265">
        <f>ROUND(CompilDonnées[[#This Row],[CultureDuration_days]]/7,0)</f>
        <v>7</v>
      </c>
      <c r="J5265">
        <v>1777</v>
      </c>
      <c r="K5265" t="str">
        <f>_xlfn.CONCAT(WEEKNUM(CompilDonnées[[#This Row],[PlantationDate]]), " ", YEAR(CompilDonnées[[#This Row],[PlantationDate]]))</f>
        <v>41 2025</v>
      </c>
      <c r="L5265" t="str">
        <f>CONCATENATE(MONTH(CompilDonnées[[#This Row],[PlantationDate]])," ", YEAR(CompilDonnées[[#This Row],[PlantationDate]]))</f>
        <v>10 2025</v>
      </c>
      <c r="M5265" t="str">
        <f>CONCATENATE(MONTH(CompilDonnées[[#This Row],[HarvestingDate]])," ", YEAR(CompilDonnées[[#This Row],[HarvestingDate]]))</f>
        <v>11 2025</v>
      </c>
      <c r="N5265">
        <f>_xlfn.NUMBERVALUE(CompilDonnées[[#This Row],[FarmID]]&amp;CompilDonnées[[#This Row],[ModuleNumber]]&amp;CompilDonnées[[#This Row],[PlantationDate]])</f>
        <v>78345939</v>
      </c>
      <c r="O5265" t="str">
        <f>CompilDonnées[[#This Row],[FarmID]]&amp;CompilDonnées[[#This Row],[ModuleNumber]]</f>
        <v>783</v>
      </c>
      <c r="P5265" t="str">
        <f>CompilDonnées[[#This Row],[Ref_Module]]&amp;CompilDonnées[[#This Row],[HarvestingDate]]</f>
        <v>78345986</v>
      </c>
    </row>
    <row r="5266" spans="1:16">
      <c r="A5266" s="5">
        <v>45939</v>
      </c>
      <c r="B5266">
        <v>78</v>
      </c>
      <c r="C5266" t="s">
        <v>3</v>
      </c>
      <c r="D5266">
        <v>4</v>
      </c>
      <c r="E5266">
        <v>68</v>
      </c>
      <c r="F5266" t="s">
        <v>1</v>
      </c>
      <c r="G5266" s="6">
        <v>45986</v>
      </c>
      <c r="H5266">
        <v>47</v>
      </c>
      <c r="I5266">
        <f>ROUND(CompilDonnées[[#This Row],[CultureDuration_days]]/7,0)</f>
        <v>7</v>
      </c>
      <c r="J5266">
        <v>1623</v>
      </c>
      <c r="K5266" t="str">
        <f>_xlfn.CONCAT(WEEKNUM(CompilDonnées[[#This Row],[PlantationDate]]), " ", YEAR(CompilDonnées[[#This Row],[PlantationDate]]))</f>
        <v>41 2025</v>
      </c>
      <c r="L5266" t="str">
        <f>CONCATENATE(MONTH(CompilDonnées[[#This Row],[PlantationDate]])," ", YEAR(CompilDonnées[[#This Row],[PlantationDate]]))</f>
        <v>10 2025</v>
      </c>
      <c r="M5266" t="str">
        <f>CONCATENATE(MONTH(CompilDonnées[[#This Row],[HarvestingDate]])," ", YEAR(CompilDonnées[[#This Row],[HarvestingDate]]))</f>
        <v>11 2025</v>
      </c>
      <c r="N5266">
        <f>_xlfn.NUMBERVALUE(CompilDonnées[[#This Row],[FarmID]]&amp;CompilDonnées[[#This Row],[ModuleNumber]]&amp;CompilDonnées[[#This Row],[PlantationDate]])</f>
        <v>78445939</v>
      </c>
      <c r="O5266" t="str">
        <f>CompilDonnées[[#This Row],[FarmID]]&amp;CompilDonnées[[#This Row],[ModuleNumber]]</f>
        <v>784</v>
      </c>
      <c r="P5266" t="str">
        <f>CompilDonnées[[#This Row],[Ref_Module]]&amp;CompilDonnées[[#This Row],[HarvestingDate]]</f>
        <v>78445986</v>
      </c>
    </row>
    <row r="5267" spans="1:16">
      <c r="A5267" s="5">
        <v>45939</v>
      </c>
      <c r="B5267">
        <v>114</v>
      </c>
      <c r="C5267" t="s">
        <v>3</v>
      </c>
      <c r="D5267">
        <v>1</v>
      </c>
      <c r="E5267">
        <v>68</v>
      </c>
      <c r="F5267" t="s">
        <v>1</v>
      </c>
      <c r="G5267" s="6">
        <v>45993</v>
      </c>
      <c r="H5267">
        <v>54</v>
      </c>
      <c r="I5267">
        <f>ROUND(CompilDonnées[[#This Row],[CultureDuration_days]]/7,0)</f>
        <v>8</v>
      </c>
      <c r="J5267">
        <v>700</v>
      </c>
      <c r="K5267" t="str">
        <f>_xlfn.CONCAT(WEEKNUM(CompilDonnées[[#This Row],[PlantationDate]]), " ", YEAR(CompilDonnées[[#This Row],[PlantationDate]]))</f>
        <v>41 2025</v>
      </c>
      <c r="L5267" t="str">
        <f>CONCATENATE(MONTH(CompilDonnées[[#This Row],[PlantationDate]])," ", YEAR(CompilDonnées[[#This Row],[PlantationDate]]))</f>
        <v>10 2025</v>
      </c>
      <c r="M5267" t="str">
        <f>CONCATENATE(MONTH(CompilDonnées[[#This Row],[HarvestingDate]])," ", YEAR(CompilDonnées[[#This Row],[HarvestingDate]]))</f>
        <v>12 2025</v>
      </c>
      <c r="N5267">
        <f>_xlfn.NUMBERVALUE(CompilDonnées[[#This Row],[FarmID]]&amp;CompilDonnées[[#This Row],[ModuleNumber]]&amp;CompilDonnées[[#This Row],[PlantationDate]])</f>
        <v>114145939</v>
      </c>
      <c r="O5267" t="str">
        <f>CompilDonnées[[#This Row],[FarmID]]&amp;CompilDonnées[[#This Row],[ModuleNumber]]</f>
        <v>1141</v>
      </c>
      <c r="P5267" t="str">
        <f>CompilDonnées[[#This Row],[Ref_Module]]&amp;CompilDonnées[[#This Row],[HarvestingDate]]</f>
        <v>114145993</v>
      </c>
    </row>
    <row r="5268" spans="1:16">
      <c r="A5268" s="5">
        <v>45939</v>
      </c>
      <c r="B5268">
        <v>114</v>
      </c>
      <c r="C5268" t="s">
        <v>3</v>
      </c>
      <c r="D5268">
        <v>2</v>
      </c>
      <c r="E5268">
        <v>68</v>
      </c>
      <c r="F5268" t="s">
        <v>1</v>
      </c>
      <c r="G5268" s="6">
        <v>45993</v>
      </c>
      <c r="H5268">
        <v>54</v>
      </c>
      <c r="I5268">
        <f>ROUND(CompilDonnées[[#This Row],[CultureDuration_days]]/7,0)</f>
        <v>8</v>
      </c>
      <c r="J5268">
        <v>700</v>
      </c>
      <c r="K5268" t="str">
        <f>_xlfn.CONCAT(WEEKNUM(CompilDonnées[[#This Row],[PlantationDate]]), " ", YEAR(CompilDonnées[[#This Row],[PlantationDate]]))</f>
        <v>41 2025</v>
      </c>
      <c r="L5268" t="str">
        <f>CONCATENATE(MONTH(CompilDonnées[[#This Row],[PlantationDate]])," ", YEAR(CompilDonnées[[#This Row],[PlantationDate]]))</f>
        <v>10 2025</v>
      </c>
      <c r="M5268" t="str">
        <f>CONCATENATE(MONTH(CompilDonnées[[#This Row],[HarvestingDate]])," ", YEAR(CompilDonnées[[#This Row],[HarvestingDate]]))</f>
        <v>12 2025</v>
      </c>
      <c r="N5268">
        <f>_xlfn.NUMBERVALUE(CompilDonnées[[#This Row],[FarmID]]&amp;CompilDonnées[[#This Row],[ModuleNumber]]&amp;CompilDonnées[[#This Row],[PlantationDate]])</f>
        <v>114245939</v>
      </c>
      <c r="O5268" t="str">
        <f>CompilDonnées[[#This Row],[FarmID]]&amp;CompilDonnées[[#This Row],[ModuleNumber]]</f>
        <v>1142</v>
      </c>
      <c r="P5268" t="str">
        <f>CompilDonnées[[#This Row],[Ref_Module]]&amp;CompilDonnées[[#This Row],[HarvestingDate]]</f>
        <v>114245993</v>
      </c>
    </row>
    <row r="5269" spans="1:16">
      <c r="A5269" s="5">
        <v>45940</v>
      </c>
      <c r="B5269">
        <v>101</v>
      </c>
      <c r="C5269" t="s">
        <v>54</v>
      </c>
      <c r="D5269">
        <v>5</v>
      </c>
      <c r="E5269">
        <v>100</v>
      </c>
      <c r="F5269" t="s">
        <v>1</v>
      </c>
      <c r="G5269" s="6">
        <v>45986</v>
      </c>
      <c r="H5269">
        <v>46</v>
      </c>
      <c r="I5269">
        <f>ROUND(CompilDonnées[[#This Row],[CultureDuration_days]]/7,0)</f>
        <v>7</v>
      </c>
      <c r="J5269">
        <v>4962</v>
      </c>
      <c r="K5269" t="str">
        <f>_xlfn.CONCAT(WEEKNUM(CompilDonnées[[#This Row],[PlantationDate]]), " ", YEAR(CompilDonnées[[#This Row],[PlantationDate]]))</f>
        <v>41 2025</v>
      </c>
      <c r="L5269" t="str">
        <f>CONCATENATE(MONTH(CompilDonnées[[#This Row],[PlantationDate]])," ", YEAR(CompilDonnées[[#This Row],[PlantationDate]]))</f>
        <v>10 2025</v>
      </c>
      <c r="M5269" t="str">
        <f>CONCATENATE(MONTH(CompilDonnées[[#This Row],[HarvestingDate]])," ", YEAR(CompilDonnées[[#This Row],[HarvestingDate]]))</f>
        <v>11 2025</v>
      </c>
      <c r="N5269">
        <f>_xlfn.NUMBERVALUE(CompilDonnées[[#This Row],[FarmID]]&amp;CompilDonnées[[#This Row],[ModuleNumber]]&amp;CompilDonnées[[#This Row],[PlantationDate]])</f>
        <v>101545940</v>
      </c>
      <c r="O5269" t="str">
        <f>CompilDonnées[[#This Row],[FarmID]]&amp;CompilDonnées[[#This Row],[ModuleNumber]]</f>
        <v>1015</v>
      </c>
      <c r="P5269" t="str">
        <f>CompilDonnées[[#This Row],[Ref_Module]]&amp;CompilDonnées[[#This Row],[HarvestingDate]]</f>
        <v>101545986</v>
      </c>
    </row>
    <row r="5270" spans="1:16">
      <c r="A5270" s="5">
        <v>45940</v>
      </c>
      <c r="B5270">
        <v>97</v>
      </c>
      <c r="C5270" t="s">
        <v>78</v>
      </c>
      <c r="D5270">
        <v>5</v>
      </c>
      <c r="E5270">
        <v>100</v>
      </c>
      <c r="F5270" t="s">
        <v>1</v>
      </c>
      <c r="G5270" s="6">
        <v>45986</v>
      </c>
      <c r="H5270">
        <v>46</v>
      </c>
      <c r="I5270">
        <f>ROUND(CompilDonnées[[#This Row],[CultureDuration_days]]/7,0)</f>
        <v>7</v>
      </c>
      <c r="J5270">
        <v>1968</v>
      </c>
      <c r="K5270" t="str">
        <f>_xlfn.CONCAT(WEEKNUM(CompilDonnées[[#This Row],[PlantationDate]]), " ", YEAR(CompilDonnées[[#This Row],[PlantationDate]]))</f>
        <v>41 2025</v>
      </c>
      <c r="L5270" t="str">
        <f>CONCATENATE(MONTH(CompilDonnées[[#This Row],[PlantationDate]])," ", YEAR(CompilDonnées[[#This Row],[PlantationDate]]))</f>
        <v>10 2025</v>
      </c>
      <c r="M5270" t="str">
        <f>CONCATENATE(MONTH(CompilDonnées[[#This Row],[HarvestingDate]])," ", YEAR(CompilDonnées[[#This Row],[HarvestingDate]]))</f>
        <v>11 2025</v>
      </c>
      <c r="N5270">
        <f>_xlfn.NUMBERVALUE(CompilDonnées[[#This Row],[FarmID]]&amp;CompilDonnées[[#This Row],[ModuleNumber]]&amp;CompilDonnées[[#This Row],[PlantationDate]])</f>
        <v>97545940</v>
      </c>
      <c r="O5270" t="str">
        <f>CompilDonnées[[#This Row],[FarmID]]&amp;CompilDonnées[[#This Row],[ModuleNumber]]</f>
        <v>975</v>
      </c>
      <c r="P5270" t="str">
        <f>CompilDonnées[[#This Row],[Ref_Module]]&amp;CompilDonnées[[#This Row],[HarvestingDate]]</f>
        <v>97545986</v>
      </c>
    </row>
    <row r="5271" spans="1:16">
      <c r="A5271" s="5">
        <v>45940</v>
      </c>
      <c r="B5271">
        <v>6</v>
      </c>
      <c r="C5271" t="s">
        <v>24</v>
      </c>
      <c r="D5271">
        <v>4</v>
      </c>
      <c r="E5271">
        <v>100</v>
      </c>
      <c r="F5271" t="s">
        <v>1</v>
      </c>
      <c r="G5271" s="6">
        <v>45985</v>
      </c>
      <c r="H5271">
        <v>45</v>
      </c>
      <c r="I5271">
        <f>ROUND(CompilDonnées[[#This Row],[CultureDuration_days]]/7,0)</f>
        <v>6</v>
      </c>
      <c r="J5271">
        <v>3021</v>
      </c>
      <c r="K5271" t="str">
        <f>_xlfn.CONCAT(WEEKNUM(CompilDonnées[[#This Row],[PlantationDate]]), " ", YEAR(CompilDonnées[[#This Row],[PlantationDate]]))</f>
        <v>41 2025</v>
      </c>
      <c r="L5271" t="str">
        <f>CONCATENATE(MONTH(CompilDonnées[[#This Row],[PlantationDate]])," ", YEAR(CompilDonnées[[#This Row],[PlantationDate]]))</f>
        <v>10 2025</v>
      </c>
      <c r="M5271" t="str">
        <f>CONCATENATE(MONTH(CompilDonnées[[#This Row],[HarvestingDate]])," ", YEAR(CompilDonnées[[#This Row],[HarvestingDate]]))</f>
        <v>11 2025</v>
      </c>
      <c r="N5271">
        <f>_xlfn.NUMBERVALUE(CompilDonnées[[#This Row],[FarmID]]&amp;CompilDonnées[[#This Row],[ModuleNumber]]&amp;CompilDonnées[[#This Row],[PlantationDate]])</f>
        <v>6445940</v>
      </c>
      <c r="O5271" t="str">
        <f>CompilDonnées[[#This Row],[FarmID]]&amp;CompilDonnées[[#This Row],[ModuleNumber]]</f>
        <v>64</v>
      </c>
      <c r="P5271" t="str">
        <f>CompilDonnées[[#This Row],[Ref_Module]]&amp;CompilDonnées[[#This Row],[HarvestingDate]]</f>
        <v>6445985</v>
      </c>
    </row>
    <row r="5272" spans="1:16">
      <c r="A5272" s="5">
        <v>45940</v>
      </c>
      <c r="B5272">
        <v>5</v>
      </c>
      <c r="C5272" t="s">
        <v>32</v>
      </c>
      <c r="D5272">
        <v>3</v>
      </c>
      <c r="E5272">
        <v>100</v>
      </c>
      <c r="F5272" t="s">
        <v>1</v>
      </c>
      <c r="G5272" s="6">
        <v>45996</v>
      </c>
      <c r="H5272">
        <v>56</v>
      </c>
      <c r="I5272">
        <f>ROUND(CompilDonnées[[#This Row],[CultureDuration_days]]/7,0)</f>
        <v>8</v>
      </c>
      <c r="J5272">
        <v>3410</v>
      </c>
      <c r="K5272" t="str">
        <f>_xlfn.CONCAT(WEEKNUM(CompilDonnées[[#This Row],[PlantationDate]]), " ", YEAR(CompilDonnées[[#This Row],[PlantationDate]]))</f>
        <v>41 2025</v>
      </c>
      <c r="L5272" t="str">
        <f>CONCATENATE(MONTH(CompilDonnées[[#This Row],[PlantationDate]])," ", YEAR(CompilDonnées[[#This Row],[PlantationDate]]))</f>
        <v>10 2025</v>
      </c>
      <c r="M5272" t="str">
        <f>CONCATENATE(MONTH(CompilDonnées[[#This Row],[HarvestingDate]])," ", YEAR(CompilDonnées[[#This Row],[HarvestingDate]]))</f>
        <v>12 2025</v>
      </c>
      <c r="N5272">
        <f>_xlfn.NUMBERVALUE(CompilDonnées[[#This Row],[FarmID]]&amp;CompilDonnées[[#This Row],[ModuleNumber]]&amp;CompilDonnées[[#This Row],[PlantationDate]])</f>
        <v>5345940</v>
      </c>
      <c r="O5272" t="str">
        <f>CompilDonnées[[#This Row],[FarmID]]&amp;CompilDonnées[[#This Row],[ModuleNumber]]</f>
        <v>53</v>
      </c>
      <c r="P5272" t="str">
        <f>CompilDonnées[[#This Row],[Ref_Module]]&amp;CompilDonnées[[#This Row],[HarvestingDate]]</f>
        <v>5345996</v>
      </c>
    </row>
    <row r="5273" spans="1:16">
      <c r="A5273" s="5">
        <v>45940</v>
      </c>
      <c r="B5273">
        <v>18</v>
      </c>
      <c r="C5273" t="s">
        <v>33</v>
      </c>
      <c r="D5273">
        <v>3</v>
      </c>
      <c r="E5273">
        <v>100</v>
      </c>
      <c r="F5273" t="s">
        <v>1</v>
      </c>
      <c r="G5273" s="6">
        <v>45985</v>
      </c>
      <c r="H5273">
        <v>45</v>
      </c>
      <c r="I5273">
        <f>ROUND(CompilDonnées[[#This Row],[CultureDuration_days]]/7,0)</f>
        <v>6</v>
      </c>
      <c r="J5273">
        <v>3475</v>
      </c>
      <c r="K5273" t="str">
        <f>_xlfn.CONCAT(WEEKNUM(CompilDonnées[[#This Row],[PlantationDate]]), " ", YEAR(CompilDonnées[[#This Row],[PlantationDate]]))</f>
        <v>41 2025</v>
      </c>
      <c r="L5273" t="str">
        <f>CONCATENATE(MONTH(CompilDonnées[[#This Row],[PlantationDate]])," ", YEAR(CompilDonnées[[#This Row],[PlantationDate]]))</f>
        <v>10 2025</v>
      </c>
      <c r="M5273" t="str">
        <f>CONCATENATE(MONTH(CompilDonnées[[#This Row],[HarvestingDate]])," ", YEAR(CompilDonnées[[#This Row],[HarvestingDate]]))</f>
        <v>11 2025</v>
      </c>
      <c r="N5273">
        <f>_xlfn.NUMBERVALUE(CompilDonnées[[#This Row],[FarmID]]&amp;CompilDonnées[[#This Row],[ModuleNumber]]&amp;CompilDonnées[[#This Row],[PlantationDate]])</f>
        <v>18345940</v>
      </c>
      <c r="O5273" t="str">
        <f>CompilDonnées[[#This Row],[FarmID]]&amp;CompilDonnées[[#This Row],[ModuleNumber]]</f>
        <v>183</v>
      </c>
      <c r="P5273" t="str">
        <f>CompilDonnées[[#This Row],[Ref_Module]]&amp;CompilDonnées[[#This Row],[HarvestingDate]]</f>
        <v>18345985</v>
      </c>
    </row>
    <row r="5274" spans="1:16">
      <c r="A5274" s="5">
        <v>45940</v>
      </c>
      <c r="B5274">
        <v>16</v>
      </c>
      <c r="C5274" t="s">
        <v>112</v>
      </c>
      <c r="D5274">
        <v>5</v>
      </c>
      <c r="E5274">
        <v>100</v>
      </c>
      <c r="F5274" t="s">
        <v>1</v>
      </c>
      <c r="G5274" s="6">
        <v>45995</v>
      </c>
      <c r="H5274">
        <v>55</v>
      </c>
      <c r="I5274">
        <f>ROUND(CompilDonnées[[#This Row],[CultureDuration_days]]/7,0)</f>
        <v>8</v>
      </c>
      <c r="J5274">
        <v>2520</v>
      </c>
      <c r="K5274" t="str">
        <f>_xlfn.CONCAT(WEEKNUM(CompilDonnées[[#This Row],[PlantationDate]]), " ", YEAR(CompilDonnées[[#This Row],[PlantationDate]]))</f>
        <v>41 2025</v>
      </c>
      <c r="L5274" t="str">
        <f>CONCATENATE(MONTH(CompilDonnées[[#This Row],[PlantationDate]])," ", YEAR(CompilDonnées[[#This Row],[PlantationDate]]))</f>
        <v>10 2025</v>
      </c>
      <c r="M5274" t="str">
        <f>CONCATENATE(MONTH(CompilDonnées[[#This Row],[HarvestingDate]])," ", YEAR(CompilDonnées[[#This Row],[HarvestingDate]]))</f>
        <v>12 2025</v>
      </c>
      <c r="N5274">
        <f>_xlfn.NUMBERVALUE(CompilDonnées[[#This Row],[FarmID]]&amp;CompilDonnées[[#This Row],[ModuleNumber]]&amp;CompilDonnées[[#This Row],[PlantationDate]])</f>
        <v>16545940</v>
      </c>
      <c r="O5274" t="str">
        <f>CompilDonnées[[#This Row],[FarmID]]&amp;CompilDonnées[[#This Row],[ModuleNumber]]</f>
        <v>165</v>
      </c>
      <c r="P5274" t="str">
        <f>CompilDonnées[[#This Row],[Ref_Module]]&amp;CompilDonnées[[#This Row],[HarvestingDate]]</f>
        <v>16545995</v>
      </c>
    </row>
    <row r="5275" spans="1:16">
      <c r="A5275" s="5">
        <v>45940</v>
      </c>
      <c r="B5275">
        <v>22</v>
      </c>
      <c r="C5275" t="s">
        <v>43</v>
      </c>
      <c r="D5275">
        <v>4</v>
      </c>
      <c r="E5275">
        <v>100</v>
      </c>
      <c r="F5275" t="s">
        <v>1</v>
      </c>
      <c r="G5275" s="6">
        <v>45995</v>
      </c>
      <c r="H5275">
        <v>55</v>
      </c>
      <c r="I5275">
        <f>ROUND(CompilDonnées[[#This Row],[CultureDuration_days]]/7,0)</f>
        <v>8</v>
      </c>
      <c r="J5275">
        <v>3459</v>
      </c>
      <c r="K5275" t="str">
        <f>_xlfn.CONCAT(WEEKNUM(CompilDonnées[[#This Row],[PlantationDate]]), " ", YEAR(CompilDonnées[[#This Row],[PlantationDate]]))</f>
        <v>41 2025</v>
      </c>
      <c r="L5275" t="str">
        <f>CONCATENATE(MONTH(CompilDonnées[[#This Row],[PlantationDate]])," ", YEAR(CompilDonnées[[#This Row],[PlantationDate]]))</f>
        <v>10 2025</v>
      </c>
      <c r="M5275" t="str">
        <f>CONCATENATE(MONTH(CompilDonnées[[#This Row],[HarvestingDate]])," ", YEAR(CompilDonnées[[#This Row],[HarvestingDate]]))</f>
        <v>12 2025</v>
      </c>
      <c r="N5275">
        <f>_xlfn.NUMBERVALUE(CompilDonnées[[#This Row],[FarmID]]&amp;CompilDonnées[[#This Row],[ModuleNumber]]&amp;CompilDonnées[[#This Row],[PlantationDate]])</f>
        <v>22445940</v>
      </c>
      <c r="O5275" t="str">
        <f>CompilDonnées[[#This Row],[FarmID]]&amp;CompilDonnées[[#This Row],[ModuleNumber]]</f>
        <v>224</v>
      </c>
      <c r="P5275" t="str">
        <f>CompilDonnées[[#This Row],[Ref_Module]]&amp;CompilDonnées[[#This Row],[HarvestingDate]]</f>
        <v>22445995</v>
      </c>
    </row>
    <row r="5276" spans="1:16">
      <c r="A5276" s="5">
        <v>45940</v>
      </c>
      <c r="B5276">
        <v>22</v>
      </c>
      <c r="C5276" t="s">
        <v>43</v>
      </c>
      <c r="D5276">
        <v>3</v>
      </c>
      <c r="E5276">
        <v>100</v>
      </c>
      <c r="F5276" t="s">
        <v>1</v>
      </c>
      <c r="G5276" s="6">
        <v>45985</v>
      </c>
      <c r="H5276">
        <v>45</v>
      </c>
      <c r="I5276">
        <f>ROUND(CompilDonnées[[#This Row],[CultureDuration_days]]/7,0)</f>
        <v>6</v>
      </c>
      <c r="J5276">
        <v>1801</v>
      </c>
      <c r="K5276" t="str">
        <f>_xlfn.CONCAT(WEEKNUM(CompilDonnées[[#This Row],[PlantationDate]]), " ", YEAR(CompilDonnées[[#This Row],[PlantationDate]]))</f>
        <v>41 2025</v>
      </c>
      <c r="L5276" t="str">
        <f>CONCATENATE(MONTH(CompilDonnées[[#This Row],[PlantationDate]])," ", YEAR(CompilDonnées[[#This Row],[PlantationDate]]))</f>
        <v>10 2025</v>
      </c>
      <c r="M5276" t="str">
        <f>CONCATENATE(MONTH(CompilDonnées[[#This Row],[HarvestingDate]])," ", YEAR(CompilDonnées[[#This Row],[HarvestingDate]]))</f>
        <v>11 2025</v>
      </c>
      <c r="N5276">
        <f>_xlfn.NUMBERVALUE(CompilDonnées[[#This Row],[FarmID]]&amp;CompilDonnées[[#This Row],[ModuleNumber]]&amp;CompilDonnées[[#This Row],[PlantationDate]])</f>
        <v>22345940</v>
      </c>
      <c r="O5276" t="str">
        <f>CompilDonnées[[#This Row],[FarmID]]&amp;CompilDonnées[[#This Row],[ModuleNumber]]</f>
        <v>223</v>
      </c>
      <c r="P5276" t="str">
        <f>CompilDonnées[[#This Row],[Ref_Module]]&amp;CompilDonnées[[#This Row],[HarvestingDate]]</f>
        <v>22345985</v>
      </c>
    </row>
    <row r="5277" spans="1:16">
      <c r="A5277" s="5">
        <v>45940</v>
      </c>
      <c r="B5277">
        <v>21</v>
      </c>
      <c r="C5277" t="s">
        <v>0</v>
      </c>
      <c r="D5277">
        <v>3</v>
      </c>
      <c r="E5277">
        <v>100</v>
      </c>
      <c r="F5277" t="s">
        <v>1</v>
      </c>
      <c r="G5277" s="6">
        <v>45995</v>
      </c>
      <c r="H5277">
        <v>55</v>
      </c>
      <c r="I5277">
        <f>ROUND(CompilDonnées[[#This Row],[CultureDuration_days]]/7,0)</f>
        <v>8</v>
      </c>
      <c r="J5277">
        <v>3215</v>
      </c>
      <c r="K5277" t="str">
        <f>_xlfn.CONCAT(WEEKNUM(CompilDonnées[[#This Row],[PlantationDate]]), " ", YEAR(CompilDonnées[[#This Row],[PlantationDate]]))</f>
        <v>41 2025</v>
      </c>
      <c r="L5277" t="str">
        <f>CONCATENATE(MONTH(CompilDonnées[[#This Row],[PlantationDate]])," ", YEAR(CompilDonnées[[#This Row],[PlantationDate]]))</f>
        <v>10 2025</v>
      </c>
      <c r="M5277" t="str">
        <f>CONCATENATE(MONTH(CompilDonnées[[#This Row],[HarvestingDate]])," ", YEAR(CompilDonnées[[#This Row],[HarvestingDate]]))</f>
        <v>12 2025</v>
      </c>
      <c r="N5277">
        <f>_xlfn.NUMBERVALUE(CompilDonnées[[#This Row],[FarmID]]&amp;CompilDonnées[[#This Row],[ModuleNumber]]&amp;CompilDonnées[[#This Row],[PlantationDate]])</f>
        <v>21345940</v>
      </c>
      <c r="O5277" t="str">
        <f>CompilDonnées[[#This Row],[FarmID]]&amp;CompilDonnées[[#This Row],[ModuleNumber]]</f>
        <v>213</v>
      </c>
      <c r="P5277" t="str">
        <f>CompilDonnées[[#This Row],[Ref_Module]]&amp;CompilDonnées[[#This Row],[HarvestingDate]]</f>
        <v>21345995</v>
      </c>
    </row>
    <row r="5278" spans="1:16">
      <c r="A5278" s="5">
        <v>45940</v>
      </c>
      <c r="B5278">
        <v>32</v>
      </c>
      <c r="C5278" t="s">
        <v>25</v>
      </c>
      <c r="D5278">
        <v>2</v>
      </c>
      <c r="E5278">
        <v>100</v>
      </c>
      <c r="F5278" t="s">
        <v>1</v>
      </c>
      <c r="G5278" s="6">
        <v>45985</v>
      </c>
      <c r="H5278">
        <v>45</v>
      </c>
      <c r="I5278">
        <f>ROUND(CompilDonnées[[#This Row],[CultureDuration_days]]/7,0)</f>
        <v>6</v>
      </c>
      <c r="J5278">
        <v>2947</v>
      </c>
      <c r="K5278" t="str">
        <f>_xlfn.CONCAT(WEEKNUM(CompilDonnées[[#This Row],[PlantationDate]]), " ", YEAR(CompilDonnées[[#This Row],[PlantationDate]]))</f>
        <v>41 2025</v>
      </c>
      <c r="L5278" t="str">
        <f>CONCATENATE(MONTH(CompilDonnées[[#This Row],[PlantationDate]])," ", YEAR(CompilDonnées[[#This Row],[PlantationDate]]))</f>
        <v>10 2025</v>
      </c>
      <c r="M5278" t="str">
        <f>CONCATENATE(MONTH(CompilDonnées[[#This Row],[HarvestingDate]])," ", YEAR(CompilDonnées[[#This Row],[HarvestingDate]]))</f>
        <v>11 2025</v>
      </c>
      <c r="N5278">
        <f>_xlfn.NUMBERVALUE(CompilDonnées[[#This Row],[FarmID]]&amp;CompilDonnées[[#This Row],[ModuleNumber]]&amp;CompilDonnées[[#This Row],[PlantationDate]])</f>
        <v>32245940</v>
      </c>
      <c r="O5278" t="str">
        <f>CompilDonnées[[#This Row],[FarmID]]&amp;CompilDonnées[[#This Row],[ModuleNumber]]</f>
        <v>322</v>
      </c>
      <c r="P5278" t="str">
        <f>CompilDonnées[[#This Row],[Ref_Module]]&amp;CompilDonnées[[#This Row],[HarvestingDate]]</f>
        <v>32245985</v>
      </c>
    </row>
    <row r="5279" spans="1:16">
      <c r="A5279" s="5">
        <v>45940</v>
      </c>
      <c r="B5279">
        <v>38</v>
      </c>
      <c r="C5279" t="s">
        <v>34</v>
      </c>
      <c r="D5279">
        <v>3</v>
      </c>
      <c r="E5279">
        <v>100</v>
      </c>
      <c r="F5279" t="s">
        <v>1</v>
      </c>
      <c r="G5279" s="6">
        <v>45985</v>
      </c>
      <c r="H5279">
        <v>45</v>
      </c>
      <c r="I5279">
        <f>ROUND(CompilDonnées[[#This Row],[CultureDuration_days]]/7,0)</f>
        <v>6</v>
      </c>
      <c r="J5279">
        <v>3003</v>
      </c>
      <c r="K5279" t="str">
        <f>_xlfn.CONCAT(WEEKNUM(CompilDonnées[[#This Row],[PlantationDate]]), " ", YEAR(CompilDonnées[[#This Row],[PlantationDate]]))</f>
        <v>41 2025</v>
      </c>
      <c r="L5279" t="str">
        <f>CONCATENATE(MONTH(CompilDonnées[[#This Row],[PlantationDate]])," ", YEAR(CompilDonnées[[#This Row],[PlantationDate]]))</f>
        <v>10 2025</v>
      </c>
      <c r="M5279" t="str">
        <f>CONCATENATE(MONTH(CompilDonnées[[#This Row],[HarvestingDate]])," ", YEAR(CompilDonnées[[#This Row],[HarvestingDate]]))</f>
        <v>11 2025</v>
      </c>
      <c r="N5279">
        <f>_xlfn.NUMBERVALUE(CompilDonnées[[#This Row],[FarmID]]&amp;CompilDonnées[[#This Row],[ModuleNumber]]&amp;CompilDonnées[[#This Row],[PlantationDate]])</f>
        <v>38345940</v>
      </c>
      <c r="O5279" t="str">
        <f>CompilDonnées[[#This Row],[FarmID]]&amp;CompilDonnées[[#This Row],[ModuleNumber]]</f>
        <v>383</v>
      </c>
      <c r="P5279" t="str">
        <f>CompilDonnées[[#This Row],[Ref_Module]]&amp;CompilDonnées[[#This Row],[HarvestingDate]]</f>
        <v>38345985</v>
      </c>
    </row>
    <row r="5280" spans="1:16">
      <c r="A5280" s="5">
        <v>45940</v>
      </c>
      <c r="B5280">
        <v>37</v>
      </c>
      <c r="C5280" t="s">
        <v>26</v>
      </c>
      <c r="D5280">
        <v>5</v>
      </c>
      <c r="E5280">
        <v>100</v>
      </c>
      <c r="F5280" t="s">
        <v>1</v>
      </c>
      <c r="G5280" s="6">
        <v>45995</v>
      </c>
      <c r="H5280">
        <v>55</v>
      </c>
      <c r="I5280">
        <f>ROUND(CompilDonnées[[#This Row],[CultureDuration_days]]/7,0)</f>
        <v>8</v>
      </c>
      <c r="J5280">
        <v>2445</v>
      </c>
      <c r="K5280" t="str">
        <f>_xlfn.CONCAT(WEEKNUM(CompilDonnées[[#This Row],[PlantationDate]]), " ", YEAR(CompilDonnées[[#This Row],[PlantationDate]]))</f>
        <v>41 2025</v>
      </c>
      <c r="L5280" t="str">
        <f>CONCATENATE(MONTH(CompilDonnées[[#This Row],[PlantationDate]])," ", YEAR(CompilDonnées[[#This Row],[PlantationDate]]))</f>
        <v>10 2025</v>
      </c>
      <c r="M5280" t="str">
        <f>CONCATENATE(MONTH(CompilDonnées[[#This Row],[HarvestingDate]])," ", YEAR(CompilDonnées[[#This Row],[HarvestingDate]]))</f>
        <v>12 2025</v>
      </c>
      <c r="N5280">
        <f>_xlfn.NUMBERVALUE(CompilDonnées[[#This Row],[FarmID]]&amp;CompilDonnées[[#This Row],[ModuleNumber]]&amp;CompilDonnées[[#This Row],[PlantationDate]])</f>
        <v>37545940</v>
      </c>
      <c r="O5280" t="str">
        <f>CompilDonnées[[#This Row],[FarmID]]&amp;CompilDonnées[[#This Row],[ModuleNumber]]</f>
        <v>375</v>
      </c>
      <c r="P5280" t="str">
        <f>CompilDonnées[[#This Row],[Ref_Module]]&amp;CompilDonnées[[#This Row],[HarvestingDate]]</f>
        <v>37545995</v>
      </c>
    </row>
    <row r="5281" spans="1:16">
      <c r="A5281" s="5">
        <v>45940</v>
      </c>
      <c r="B5281">
        <v>44</v>
      </c>
      <c r="C5281" t="s">
        <v>42</v>
      </c>
      <c r="D5281">
        <v>4</v>
      </c>
      <c r="E5281">
        <v>100</v>
      </c>
      <c r="F5281" t="s">
        <v>1</v>
      </c>
      <c r="G5281" s="6">
        <v>45985</v>
      </c>
      <c r="H5281">
        <v>45</v>
      </c>
      <c r="I5281">
        <f>ROUND(CompilDonnées[[#This Row],[CultureDuration_days]]/7,0)</f>
        <v>6</v>
      </c>
      <c r="J5281">
        <v>2285</v>
      </c>
      <c r="K5281" t="str">
        <f>_xlfn.CONCAT(WEEKNUM(CompilDonnées[[#This Row],[PlantationDate]]), " ", YEAR(CompilDonnées[[#This Row],[PlantationDate]]))</f>
        <v>41 2025</v>
      </c>
      <c r="L5281" t="str">
        <f>CONCATENATE(MONTH(CompilDonnées[[#This Row],[PlantationDate]])," ", YEAR(CompilDonnées[[#This Row],[PlantationDate]]))</f>
        <v>10 2025</v>
      </c>
      <c r="M5281" t="str">
        <f>CONCATENATE(MONTH(CompilDonnées[[#This Row],[HarvestingDate]])," ", YEAR(CompilDonnées[[#This Row],[HarvestingDate]]))</f>
        <v>11 2025</v>
      </c>
      <c r="N5281">
        <f>_xlfn.NUMBERVALUE(CompilDonnées[[#This Row],[FarmID]]&amp;CompilDonnées[[#This Row],[ModuleNumber]]&amp;CompilDonnées[[#This Row],[PlantationDate]])</f>
        <v>44445940</v>
      </c>
      <c r="O5281" t="str">
        <f>CompilDonnées[[#This Row],[FarmID]]&amp;CompilDonnées[[#This Row],[ModuleNumber]]</f>
        <v>444</v>
      </c>
      <c r="P5281" t="str">
        <f>CompilDonnées[[#This Row],[Ref_Module]]&amp;CompilDonnées[[#This Row],[HarvestingDate]]</f>
        <v>44445985</v>
      </c>
    </row>
    <row r="5282" spans="1:16">
      <c r="A5282" s="5">
        <v>45940</v>
      </c>
      <c r="B5282">
        <v>45</v>
      </c>
      <c r="C5282" t="s">
        <v>77</v>
      </c>
      <c r="D5282">
        <v>2</v>
      </c>
      <c r="E5282">
        <v>100</v>
      </c>
      <c r="F5282" t="s">
        <v>1</v>
      </c>
      <c r="G5282" s="6">
        <v>45985</v>
      </c>
      <c r="H5282">
        <v>45</v>
      </c>
      <c r="I5282">
        <f>ROUND(CompilDonnées[[#This Row],[CultureDuration_days]]/7,0)</f>
        <v>6</v>
      </c>
      <c r="J5282">
        <v>3384</v>
      </c>
      <c r="K5282" t="str">
        <f>_xlfn.CONCAT(WEEKNUM(CompilDonnées[[#This Row],[PlantationDate]]), " ", YEAR(CompilDonnées[[#This Row],[PlantationDate]]))</f>
        <v>41 2025</v>
      </c>
      <c r="L5282" t="str">
        <f>CONCATENATE(MONTH(CompilDonnées[[#This Row],[PlantationDate]])," ", YEAR(CompilDonnées[[#This Row],[PlantationDate]]))</f>
        <v>10 2025</v>
      </c>
      <c r="M5282" t="str">
        <f>CONCATENATE(MONTH(CompilDonnées[[#This Row],[HarvestingDate]])," ", YEAR(CompilDonnées[[#This Row],[HarvestingDate]]))</f>
        <v>11 2025</v>
      </c>
      <c r="N5282">
        <f>_xlfn.NUMBERVALUE(CompilDonnées[[#This Row],[FarmID]]&amp;CompilDonnées[[#This Row],[ModuleNumber]]&amp;CompilDonnées[[#This Row],[PlantationDate]])</f>
        <v>45245940</v>
      </c>
      <c r="O5282" t="str">
        <f>CompilDonnées[[#This Row],[FarmID]]&amp;CompilDonnées[[#This Row],[ModuleNumber]]</f>
        <v>452</v>
      </c>
      <c r="P5282" t="str">
        <f>CompilDonnées[[#This Row],[Ref_Module]]&amp;CompilDonnées[[#This Row],[HarvestingDate]]</f>
        <v>45245985</v>
      </c>
    </row>
    <row r="5283" spans="1:16">
      <c r="A5283" s="5">
        <v>45940</v>
      </c>
      <c r="B5283">
        <v>13</v>
      </c>
      <c r="C5283" t="s">
        <v>114</v>
      </c>
      <c r="D5283">
        <v>1</v>
      </c>
      <c r="E5283">
        <v>100</v>
      </c>
      <c r="F5283" t="s">
        <v>1</v>
      </c>
      <c r="G5283" s="6">
        <v>45985</v>
      </c>
      <c r="H5283">
        <v>45</v>
      </c>
      <c r="I5283">
        <f>ROUND(CompilDonnées[[#This Row],[CultureDuration_days]]/7,0)</f>
        <v>6</v>
      </c>
      <c r="J5283">
        <v>2855</v>
      </c>
      <c r="K5283" t="str">
        <f>_xlfn.CONCAT(WEEKNUM(CompilDonnées[[#This Row],[PlantationDate]]), " ", YEAR(CompilDonnées[[#This Row],[PlantationDate]]))</f>
        <v>41 2025</v>
      </c>
      <c r="L5283" t="str">
        <f>CONCATENATE(MONTH(CompilDonnées[[#This Row],[PlantationDate]])," ", YEAR(CompilDonnées[[#This Row],[PlantationDate]]))</f>
        <v>10 2025</v>
      </c>
      <c r="M5283" t="str">
        <f>CONCATENATE(MONTH(CompilDonnées[[#This Row],[HarvestingDate]])," ", YEAR(CompilDonnées[[#This Row],[HarvestingDate]]))</f>
        <v>11 2025</v>
      </c>
      <c r="N5283">
        <f>_xlfn.NUMBERVALUE(CompilDonnées[[#This Row],[FarmID]]&amp;CompilDonnées[[#This Row],[ModuleNumber]]&amp;CompilDonnées[[#This Row],[PlantationDate]])</f>
        <v>13145940</v>
      </c>
      <c r="O5283" t="str">
        <f>CompilDonnées[[#This Row],[FarmID]]&amp;CompilDonnées[[#This Row],[ModuleNumber]]</f>
        <v>131</v>
      </c>
      <c r="P5283" t="str">
        <f>CompilDonnées[[#This Row],[Ref_Module]]&amp;CompilDonnées[[#This Row],[HarvestingDate]]</f>
        <v>13145985</v>
      </c>
    </row>
    <row r="5284" spans="1:16">
      <c r="A5284" s="5">
        <v>45940</v>
      </c>
      <c r="B5284">
        <v>13</v>
      </c>
      <c r="C5284" t="s">
        <v>114</v>
      </c>
      <c r="D5284">
        <v>2</v>
      </c>
      <c r="E5284">
        <v>100</v>
      </c>
      <c r="F5284" t="s">
        <v>1</v>
      </c>
      <c r="G5284" s="6">
        <v>45985</v>
      </c>
      <c r="H5284">
        <v>45</v>
      </c>
      <c r="I5284">
        <f>ROUND(CompilDonnées[[#This Row],[CultureDuration_days]]/7,0)</f>
        <v>6</v>
      </c>
      <c r="J5284">
        <v>2507</v>
      </c>
      <c r="K5284" t="str">
        <f>_xlfn.CONCAT(WEEKNUM(CompilDonnées[[#This Row],[PlantationDate]]), " ", YEAR(CompilDonnées[[#This Row],[PlantationDate]]))</f>
        <v>41 2025</v>
      </c>
      <c r="L5284" t="str">
        <f>CONCATENATE(MONTH(CompilDonnées[[#This Row],[PlantationDate]])," ", YEAR(CompilDonnées[[#This Row],[PlantationDate]]))</f>
        <v>10 2025</v>
      </c>
      <c r="M5284" t="str">
        <f>CONCATENATE(MONTH(CompilDonnées[[#This Row],[HarvestingDate]])," ", YEAR(CompilDonnées[[#This Row],[HarvestingDate]]))</f>
        <v>11 2025</v>
      </c>
      <c r="N5284">
        <f>_xlfn.NUMBERVALUE(CompilDonnées[[#This Row],[FarmID]]&amp;CompilDonnées[[#This Row],[ModuleNumber]]&amp;CompilDonnées[[#This Row],[PlantationDate]])</f>
        <v>13245940</v>
      </c>
      <c r="O5284" t="str">
        <f>CompilDonnées[[#This Row],[FarmID]]&amp;CompilDonnées[[#This Row],[ModuleNumber]]</f>
        <v>132</v>
      </c>
      <c r="P5284" t="str">
        <f>CompilDonnées[[#This Row],[Ref_Module]]&amp;CompilDonnées[[#This Row],[HarvestingDate]]</f>
        <v>13245985</v>
      </c>
    </row>
    <row r="5285" spans="1:16">
      <c r="A5285" s="5">
        <v>45940</v>
      </c>
      <c r="B5285">
        <v>46</v>
      </c>
      <c r="C5285" t="s">
        <v>8</v>
      </c>
      <c r="D5285">
        <v>3</v>
      </c>
      <c r="E5285">
        <v>100</v>
      </c>
      <c r="F5285" t="s">
        <v>1</v>
      </c>
      <c r="G5285" s="6">
        <v>45985</v>
      </c>
      <c r="H5285">
        <v>45</v>
      </c>
      <c r="I5285">
        <f>ROUND(CompilDonnées[[#This Row],[CultureDuration_days]]/7,0)</f>
        <v>6</v>
      </c>
      <c r="J5285">
        <v>2417</v>
      </c>
      <c r="K5285" t="str">
        <f>_xlfn.CONCAT(WEEKNUM(CompilDonnées[[#This Row],[PlantationDate]]), " ", YEAR(CompilDonnées[[#This Row],[PlantationDate]]))</f>
        <v>41 2025</v>
      </c>
      <c r="L5285" t="str">
        <f>CONCATENATE(MONTH(CompilDonnées[[#This Row],[PlantationDate]])," ", YEAR(CompilDonnées[[#This Row],[PlantationDate]]))</f>
        <v>10 2025</v>
      </c>
      <c r="M5285" t="str">
        <f>CONCATENATE(MONTH(CompilDonnées[[#This Row],[HarvestingDate]])," ", YEAR(CompilDonnées[[#This Row],[HarvestingDate]]))</f>
        <v>11 2025</v>
      </c>
      <c r="N5285">
        <f>_xlfn.NUMBERVALUE(CompilDonnées[[#This Row],[FarmID]]&amp;CompilDonnées[[#This Row],[ModuleNumber]]&amp;CompilDonnées[[#This Row],[PlantationDate]])</f>
        <v>46345940</v>
      </c>
      <c r="O5285" t="str">
        <f>CompilDonnées[[#This Row],[FarmID]]&amp;CompilDonnées[[#This Row],[ModuleNumber]]</f>
        <v>463</v>
      </c>
      <c r="P5285" t="str">
        <f>CompilDonnées[[#This Row],[Ref_Module]]&amp;CompilDonnées[[#This Row],[HarvestingDate]]</f>
        <v>46345985</v>
      </c>
    </row>
    <row r="5286" spans="1:16">
      <c r="A5286" s="5">
        <v>45940</v>
      </c>
      <c r="B5286">
        <v>26</v>
      </c>
      <c r="C5286" t="s">
        <v>97</v>
      </c>
      <c r="D5286">
        <v>4</v>
      </c>
      <c r="E5286">
        <v>100</v>
      </c>
      <c r="F5286" t="s">
        <v>1</v>
      </c>
      <c r="G5286" s="6">
        <v>45995</v>
      </c>
      <c r="H5286">
        <v>55</v>
      </c>
      <c r="I5286">
        <f>ROUND(CompilDonnées[[#This Row],[CultureDuration_days]]/7,0)</f>
        <v>8</v>
      </c>
      <c r="J5286">
        <v>2627</v>
      </c>
      <c r="K5286" t="str">
        <f>_xlfn.CONCAT(WEEKNUM(CompilDonnées[[#This Row],[PlantationDate]]), " ", YEAR(CompilDonnées[[#This Row],[PlantationDate]]))</f>
        <v>41 2025</v>
      </c>
      <c r="L5286" t="str">
        <f>CONCATENATE(MONTH(CompilDonnées[[#This Row],[PlantationDate]])," ", YEAR(CompilDonnées[[#This Row],[PlantationDate]]))</f>
        <v>10 2025</v>
      </c>
      <c r="M5286" t="str">
        <f>CONCATENATE(MONTH(CompilDonnées[[#This Row],[HarvestingDate]])," ", YEAR(CompilDonnées[[#This Row],[HarvestingDate]]))</f>
        <v>12 2025</v>
      </c>
      <c r="N5286">
        <f>_xlfn.NUMBERVALUE(CompilDonnées[[#This Row],[FarmID]]&amp;CompilDonnées[[#This Row],[ModuleNumber]]&amp;CompilDonnées[[#This Row],[PlantationDate]])</f>
        <v>26445940</v>
      </c>
      <c r="O5286" t="str">
        <f>CompilDonnées[[#This Row],[FarmID]]&amp;CompilDonnées[[#This Row],[ModuleNumber]]</f>
        <v>264</v>
      </c>
      <c r="P5286" t="str">
        <f>CompilDonnées[[#This Row],[Ref_Module]]&amp;CompilDonnées[[#This Row],[HarvestingDate]]</f>
        <v>26445995</v>
      </c>
    </row>
    <row r="5287" spans="1:16">
      <c r="A5287" s="5">
        <v>45940</v>
      </c>
      <c r="B5287">
        <v>9</v>
      </c>
      <c r="C5287" t="s">
        <v>107</v>
      </c>
      <c r="D5287">
        <v>4</v>
      </c>
      <c r="E5287">
        <v>100</v>
      </c>
      <c r="F5287" t="s">
        <v>1</v>
      </c>
      <c r="G5287" s="6">
        <v>45985</v>
      </c>
      <c r="H5287">
        <v>45</v>
      </c>
      <c r="I5287">
        <f>ROUND(CompilDonnées[[#This Row],[CultureDuration_days]]/7,0)</f>
        <v>6</v>
      </c>
      <c r="J5287">
        <v>1867</v>
      </c>
      <c r="K5287" t="str">
        <f>_xlfn.CONCAT(WEEKNUM(CompilDonnées[[#This Row],[PlantationDate]]), " ", YEAR(CompilDonnées[[#This Row],[PlantationDate]]))</f>
        <v>41 2025</v>
      </c>
      <c r="L5287" t="str">
        <f>CONCATENATE(MONTH(CompilDonnées[[#This Row],[PlantationDate]])," ", YEAR(CompilDonnées[[#This Row],[PlantationDate]]))</f>
        <v>10 2025</v>
      </c>
      <c r="M5287" t="str">
        <f>CONCATENATE(MONTH(CompilDonnées[[#This Row],[HarvestingDate]])," ", YEAR(CompilDonnées[[#This Row],[HarvestingDate]]))</f>
        <v>11 2025</v>
      </c>
      <c r="N5287">
        <f>_xlfn.NUMBERVALUE(CompilDonnées[[#This Row],[FarmID]]&amp;CompilDonnées[[#This Row],[ModuleNumber]]&amp;CompilDonnées[[#This Row],[PlantationDate]])</f>
        <v>9445940</v>
      </c>
      <c r="O5287" t="str">
        <f>CompilDonnées[[#This Row],[FarmID]]&amp;CompilDonnées[[#This Row],[ModuleNumber]]</f>
        <v>94</v>
      </c>
      <c r="P5287" t="str">
        <f>CompilDonnées[[#This Row],[Ref_Module]]&amp;CompilDonnées[[#This Row],[HarvestingDate]]</f>
        <v>9445985</v>
      </c>
    </row>
    <row r="5288" spans="1:16">
      <c r="A5288" s="5">
        <v>45940</v>
      </c>
      <c r="B5288">
        <v>1</v>
      </c>
      <c r="C5288" t="s">
        <v>111</v>
      </c>
      <c r="D5288">
        <v>6</v>
      </c>
      <c r="E5288">
        <v>100</v>
      </c>
      <c r="F5288" t="s">
        <v>1</v>
      </c>
      <c r="G5288" s="6">
        <v>45985</v>
      </c>
      <c r="H5288">
        <v>45</v>
      </c>
      <c r="I5288">
        <f>ROUND(CompilDonnées[[#This Row],[CultureDuration_days]]/7,0)</f>
        <v>6</v>
      </c>
      <c r="J5288">
        <v>3154</v>
      </c>
      <c r="K5288" t="str">
        <f>_xlfn.CONCAT(WEEKNUM(CompilDonnées[[#This Row],[PlantationDate]]), " ", YEAR(CompilDonnées[[#This Row],[PlantationDate]]))</f>
        <v>41 2025</v>
      </c>
      <c r="L5288" t="str">
        <f>CONCATENATE(MONTH(CompilDonnées[[#This Row],[PlantationDate]])," ", YEAR(CompilDonnées[[#This Row],[PlantationDate]]))</f>
        <v>10 2025</v>
      </c>
      <c r="M5288" t="str">
        <f>CONCATENATE(MONTH(CompilDonnées[[#This Row],[HarvestingDate]])," ", YEAR(CompilDonnées[[#This Row],[HarvestingDate]]))</f>
        <v>11 2025</v>
      </c>
      <c r="N5288">
        <f>_xlfn.NUMBERVALUE(CompilDonnées[[#This Row],[FarmID]]&amp;CompilDonnées[[#This Row],[ModuleNumber]]&amp;CompilDonnées[[#This Row],[PlantationDate]])</f>
        <v>1645940</v>
      </c>
      <c r="O5288" t="str">
        <f>CompilDonnées[[#This Row],[FarmID]]&amp;CompilDonnées[[#This Row],[ModuleNumber]]</f>
        <v>16</v>
      </c>
      <c r="P5288" t="str">
        <f>CompilDonnées[[#This Row],[Ref_Module]]&amp;CompilDonnées[[#This Row],[HarvestingDate]]</f>
        <v>1645985</v>
      </c>
    </row>
    <row r="5289" spans="1:16">
      <c r="A5289" s="5">
        <v>45940</v>
      </c>
      <c r="B5289">
        <v>7</v>
      </c>
      <c r="C5289" t="s">
        <v>50</v>
      </c>
      <c r="D5289">
        <v>6</v>
      </c>
      <c r="E5289">
        <v>100</v>
      </c>
      <c r="F5289" t="s">
        <v>1</v>
      </c>
      <c r="G5289" s="6">
        <v>45985</v>
      </c>
      <c r="H5289">
        <v>45</v>
      </c>
      <c r="I5289">
        <f>ROUND(CompilDonnées[[#This Row],[CultureDuration_days]]/7,0)</f>
        <v>6</v>
      </c>
      <c r="J5289">
        <v>2946</v>
      </c>
      <c r="K5289" t="str">
        <f>_xlfn.CONCAT(WEEKNUM(CompilDonnées[[#This Row],[PlantationDate]]), " ", YEAR(CompilDonnées[[#This Row],[PlantationDate]]))</f>
        <v>41 2025</v>
      </c>
      <c r="L5289" t="str">
        <f>CONCATENATE(MONTH(CompilDonnées[[#This Row],[PlantationDate]])," ", YEAR(CompilDonnées[[#This Row],[PlantationDate]]))</f>
        <v>10 2025</v>
      </c>
      <c r="M5289" t="str">
        <f>CONCATENATE(MONTH(CompilDonnées[[#This Row],[HarvestingDate]])," ", YEAR(CompilDonnées[[#This Row],[HarvestingDate]]))</f>
        <v>11 2025</v>
      </c>
      <c r="N5289">
        <f>_xlfn.NUMBERVALUE(CompilDonnées[[#This Row],[FarmID]]&amp;CompilDonnées[[#This Row],[ModuleNumber]]&amp;CompilDonnées[[#This Row],[PlantationDate]])</f>
        <v>7645940</v>
      </c>
      <c r="O5289" t="str">
        <f>CompilDonnées[[#This Row],[FarmID]]&amp;CompilDonnées[[#This Row],[ModuleNumber]]</f>
        <v>76</v>
      </c>
      <c r="P5289" t="str">
        <f>CompilDonnées[[#This Row],[Ref_Module]]&amp;CompilDonnées[[#This Row],[HarvestingDate]]</f>
        <v>7645985</v>
      </c>
    </row>
    <row r="5290" spans="1:16">
      <c r="A5290" s="5">
        <v>45940</v>
      </c>
      <c r="B5290">
        <v>58</v>
      </c>
      <c r="C5290" t="s">
        <v>35</v>
      </c>
      <c r="D5290">
        <v>1</v>
      </c>
      <c r="E5290">
        <v>100</v>
      </c>
      <c r="F5290" t="s">
        <v>1</v>
      </c>
      <c r="G5290" s="6">
        <v>45994</v>
      </c>
      <c r="H5290">
        <v>54</v>
      </c>
      <c r="I5290">
        <f>ROUND(CompilDonnées[[#This Row],[CultureDuration_days]]/7,0)</f>
        <v>8</v>
      </c>
      <c r="J5290">
        <v>3226</v>
      </c>
      <c r="K5290" t="str">
        <f>_xlfn.CONCAT(WEEKNUM(CompilDonnées[[#This Row],[PlantationDate]]), " ", YEAR(CompilDonnées[[#This Row],[PlantationDate]]))</f>
        <v>41 2025</v>
      </c>
      <c r="L5290" t="str">
        <f>CONCATENATE(MONTH(CompilDonnées[[#This Row],[PlantationDate]])," ", YEAR(CompilDonnées[[#This Row],[PlantationDate]]))</f>
        <v>10 2025</v>
      </c>
      <c r="M5290" t="str">
        <f>CONCATENATE(MONTH(CompilDonnées[[#This Row],[HarvestingDate]])," ", YEAR(CompilDonnées[[#This Row],[HarvestingDate]]))</f>
        <v>12 2025</v>
      </c>
      <c r="N5290">
        <f>_xlfn.NUMBERVALUE(CompilDonnées[[#This Row],[FarmID]]&amp;CompilDonnées[[#This Row],[ModuleNumber]]&amp;CompilDonnées[[#This Row],[PlantationDate]])</f>
        <v>58145940</v>
      </c>
      <c r="O5290" t="str">
        <f>CompilDonnées[[#This Row],[FarmID]]&amp;CompilDonnées[[#This Row],[ModuleNumber]]</f>
        <v>581</v>
      </c>
      <c r="P5290" t="str">
        <f>CompilDonnées[[#This Row],[Ref_Module]]&amp;CompilDonnées[[#This Row],[HarvestingDate]]</f>
        <v>58145994</v>
      </c>
    </row>
    <row r="5291" spans="1:16">
      <c r="A5291" s="5">
        <v>45940</v>
      </c>
      <c r="B5291">
        <v>57</v>
      </c>
      <c r="C5291" t="s">
        <v>46</v>
      </c>
      <c r="D5291">
        <v>5</v>
      </c>
      <c r="E5291">
        <v>100</v>
      </c>
      <c r="F5291" t="s">
        <v>1</v>
      </c>
      <c r="G5291" s="6">
        <v>45985</v>
      </c>
      <c r="H5291">
        <v>45</v>
      </c>
      <c r="I5291">
        <f>ROUND(CompilDonnées[[#This Row],[CultureDuration_days]]/7,0)</f>
        <v>6</v>
      </c>
      <c r="J5291">
        <v>2967</v>
      </c>
      <c r="K5291" t="str">
        <f>_xlfn.CONCAT(WEEKNUM(CompilDonnées[[#This Row],[PlantationDate]]), " ", YEAR(CompilDonnées[[#This Row],[PlantationDate]]))</f>
        <v>41 2025</v>
      </c>
      <c r="L5291" t="str">
        <f>CONCATENATE(MONTH(CompilDonnées[[#This Row],[PlantationDate]])," ", YEAR(CompilDonnées[[#This Row],[PlantationDate]]))</f>
        <v>10 2025</v>
      </c>
      <c r="M5291" t="str">
        <f>CONCATENATE(MONTH(CompilDonnées[[#This Row],[HarvestingDate]])," ", YEAR(CompilDonnées[[#This Row],[HarvestingDate]]))</f>
        <v>11 2025</v>
      </c>
      <c r="N5291">
        <f>_xlfn.NUMBERVALUE(CompilDonnées[[#This Row],[FarmID]]&amp;CompilDonnées[[#This Row],[ModuleNumber]]&amp;CompilDonnées[[#This Row],[PlantationDate]])</f>
        <v>57545940</v>
      </c>
      <c r="O5291" t="str">
        <f>CompilDonnées[[#This Row],[FarmID]]&amp;CompilDonnées[[#This Row],[ModuleNumber]]</f>
        <v>575</v>
      </c>
      <c r="P5291" t="str">
        <f>CompilDonnées[[#This Row],[Ref_Module]]&amp;CompilDonnées[[#This Row],[HarvestingDate]]</f>
        <v>57545985</v>
      </c>
    </row>
    <row r="5292" spans="1:16">
      <c r="A5292" s="5">
        <v>45940</v>
      </c>
      <c r="B5292">
        <v>65</v>
      </c>
      <c r="C5292" t="s">
        <v>36</v>
      </c>
      <c r="D5292">
        <v>2</v>
      </c>
      <c r="E5292">
        <v>100</v>
      </c>
      <c r="F5292" t="s">
        <v>1</v>
      </c>
      <c r="G5292" s="6">
        <v>45994</v>
      </c>
      <c r="H5292">
        <v>54</v>
      </c>
      <c r="I5292">
        <f>ROUND(CompilDonnées[[#This Row],[CultureDuration_days]]/7,0)</f>
        <v>8</v>
      </c>
      <c r="J5292">
        <v>2734</v>
      </c>
      <c r="K5292" t="str">
        <f>_xlfn.CONCAT(WEEKNUM(CompilDonnées[[#This Row],[PlantationDate]]), " ", YEAR(CompilDonnées[[#This Row],[PlantationDate]]))</f>
        <v>41 2025</v>
      </c>
      <c r="L5292" t="str">
        <f>CONCATENATE(MONTH(CompilDonnées[[#This Row],[PlantationDate]])," ", YEAR(CompilDonnées[[#This Row],[PlantationDate]]))</f>
        <v>10 2025</v>
      </c>
      <c r="M5292" t="str">
        <f>CONCATENATE(MONTH(CompilDonnées[[#This Row],[HarvestingDate]])," ", YEAR(CompilDonnées[[#This Row],[HarvestingDate]]))</f>
        <v>12 2025</v>
      </c>
      <c r="N5292">
        <f>_xlfn.NUMBERVALUE(CompilDonnées[[#This Row],[FarmID]]&amp;CompilDonnées[[#This Row],[ModuleNumber]]&amp;CompilDonnées[[#This Row],[PlantationDate]])</f>
        <v>65245940</v>
      </c>
      <c r="O5292" t="str">
        <f>CompilDonnées[[#This Row],[FarmID]]&amp;CompilDonnées[[#This Row],[ModuleNumber]]</f>
        <v>652</v>
      </c>
      <c r="P5292" t="str">
        <f>CompilDonnées[[#This Row],[Ref_Module]]&amp;CompilDonnées[[#This Row],[HarvestingDate]]</f>
        <v>65245994</v>
      </c>
    </row>
    <row r="5293" spans="1:16">
      <c r="A5293" s="5">
        <v>45940</v>
      </c>
      <c r="B5293">
        <v>75</v>
      </c>
      <c r="C5293" t="s">
        <v>3</v>
      </c>
      <c r="D5293">
        <v>2</v>
      </c>
      <c r="E5293">
        <v>68</v>
      </c>
      <c r="F5293" t="s">
        <v>1</v>
      </c>
      <c r="G5293" s="6">
        <v>45987</v>
      </c>
      <c r="H5293">
        <v>47</v>
      </c>
      <c r="I5293">
        <f>ROUND(CompilDonnées[[#This Row],[CultureDuration_days]]/7,0)</f>
        <v>7</v>
      </c>
      <c r="J5293">
        <v>2735</v>
      </c>
      <c r="K5293" t="str">
        <f>_xlfn.CONCAT(WEEKNUM(CompilDonnées[[#This Row],[PlantationDate]]), " ", YEAR(CompilDonnées[[#This Row],[PlantationDate]]))</f>
        <v>41 2025</v>
      </c>
      <c r="L5293" t="str">
        <f>CONCATENATE(MONTH(CompilDonnées[[#This Row],[PlantationDate]])," ", YEAR(CompilDonnées[[#This Row],[PlantationDate]]))</f>
        <v>10 2025</v>
      </c>
      <c r="M5293" t="str">
        <f>CONCATENATE(MONTH(CompilDonnées[[#This Row],[HarvestingDate]])," ", YEAR(CompilDonnées[[#This Row],[HarvestingDate]]))</f>
        <v>11 2025</v>
      </c>
      <c r="N5293">
        <f>_xlfn.NUMBERVALUE(CompilDonnées[[#This Row],[FarmID]]&amp;CompilDonnées[[#This Row],[ModuleNumber]]&amp;CompilDonnées[[#This Row],[PlantationDate]])</f>
        <v>75245940</v>
      </c>
      <c r="O5293" t="str">
        <f>CompilDonnées[[#This Row],[FarmID]]&amp;CompilDonnées[[#This Row],[ModuleNumber]]</f>
        <v>752</v>
      </c>
      <c r="P5293" t="str">
        <f>CompilDonnées[[#This Row],[Ref_Module]]&amp;CompilDonnées[[#This Row],[HarvestingDate]]</f>
        <v>75245987</v>
      </c>
    </row>
    <row r="5294" spans="1:16">
      <c r="A5294" s="5">
        <v>45944</v>
      </c>
      <c r="B5294">
        <v>5</v>
      </c>
      <c r="C5294" t="s">
        <v>32</v>
      </c>
      <c r="D5294">
        <v>6</v>
      </c>
      <c r="E5294">
        <v>100</v>
      </c>
      <c r="F5294" t="s">
        <v>1</v>
      </c>
      <c r="G5294" s="6">
        <v>45996</v>
      </c>
      <c r="H5294">
        <v>52</v>
      </c>
      <c r="I5294">
        <f>ROUND(CompilDonnées[[#This Row],[CultureDuration_days]]/7,0)</f>
        <v>7</v>
      </c>
      <c r="J5294">
        <v>2726</v>
      </c>
      <c r="K5294" t="str">
        <f>_xlfn.CONCAT(WEEKNUM(CompilDonnées[[#This Row],[PlantationDate]]), " ", YEAR(CompilDonnées[[#This Row],[PlantationDate]]))</f>
        <v>42 2025</v>
      </c>
      <c r="L5294" t="str">
        <f>CONCATENATE(MONTH(CompilDonnées[[#This Row],[PlantationDate]])," ", YEAR(CompilDonnées[[#This Row],[PlantationDate]]))</f>
        <v>10 2025</v>
      </c>
      <c r="M5294" t="str">
        <f>CONCATENATE(MONTH(CompilDonnées[[#This Row],[HarvestingDate]])," ", YEAR(CompilDonnées[[#This Row],[HarvestingDate]]))</f>
        <v>12 2025</v>
      </c>
      <c r="N5294">
        <f>_xlfn.NUMBERVALUE(CompilDonnées[[#This Row],[FarmID]]&amp;CompilDonnées[[#This Row],[ModuleNumber]]&amp;CompilDonnées[[#This Row],[PlantationDate]])</f>
        <v>5645944</v>
      </c>
      <c r="O5294" t="str">
        <f>CompilDonnées[[#This Row],[FarmID]]&amp;CompilDonnées[[#This Row],[ModuleNumber]]</f>
        <v>56</v>
      </c>
      <c r="P5294" t="str">
        <f>CompilDonnées[[#This Row],[Ref_Module]]&amp;CompilDonnées[[#This Row],[HarvestingDate]]</f>
        <v>5645996</v>
      </c>
    </row>
    <row r="5295" spans="1:16">
      <c r="A5295" s="5">
        <v>45944</v>
      </c>
      <c r="B5295">
        <v>4</v>
      </c>
      <c r="C5295" t="s">
        <v>74</v>
      </c>
      <c r="D5295">
        <v>6</v>
      </c>
      <c r="E5295">
        <v>100</v>
      </c>
      <c r="F5295" t="s">
        <v>1</v>
      </c>
      <c r="G5295" s="6">
        <v>45996</v>
      </c>
      <c r="H5295">
        <v>52</v>
      </c>
      <c r="I5295">
        <f>ROUND(CompilDonnées[[#This Row],[CultureDuration_days]]/7,0)</f>
        <v>7</v>
      </c>
      <c r="J5295">
        <v>2400</v>
      </c>
      <c r="K5295" t="str">
        <f>_xlfn.CONCAT(WEEKNUM(CompilDonnées[[#This Row],[PlantationDate]]), " ", YEAR(CompilDonnées[[#This Row],[PlantationDate]]))</f>
        <v>42 2025</v>
      </c>
      <c r="L5295" t="str">
        <f>CONCATENATE(MONTH(CompilDonnées[[#This Row],[PlantationDate]])," ", YEAR(CompilDonnées[[#This Row],[PlantationDate]]))</f>
        <v>10 2025</v>
      </c>
      <c r="M5295" t="str">
        <f>CONCATENATE(MONTH(CompilDonnées[[#This Row],[HarvestingDate]])," ", YEAR(CompilDonnées[[#This Row],[HarvestingDate]]))</f>
        <v>12 2025</v>
      </c>
      <c r="N5295">
        <f>_xlfn.NUMBERVALUE(CompilDonnées[[#This Row],[FarmID]]&amp;CompilDonnées[[#This Row],[ModuleNumber]]&amp;CompilDonnées[[#This Row],[PlantationDate]])</f>
        <v>4645944</v>
      </c>
      <c r="O5295" t="str">
        <f>CompilDonnées[[#This Row],[FarmID]]&amp;CompilDonnées[[#This Row],[ModuleNumber]]</f>
        <v>46</v>
      </c>
      <c r="P5295" t="str">
        <f>CompilDonnées[[#This Row],[Ref_Module]]&amp;CompilDonnées[[#This Row],[HarvestingDate]]</f>
        <v>4645996</v>
      </c>
    </row>
    <row r="5296" spans="1:16">
      <c r="A5296" s="5">
        <v>45944</v>
      </c>
      <c r="B5296">
        <v>18</v>
      </c>
      <c r="C5296" t="s">
        <v>33</v>
      </c>
      <c r="D5296">
        <v>4</v>
      </c>
      <c r="E5296">
        <v>100</v>
      </c>
      <c r="F5296" t="s">
        <v>1</v>
      </c>
      <c r="G5296" s="6">
        <v>45995</v>
      </c>
      <c r="H5296">
        <v>51</v>
      </c>
      <c r="I5296">
        <f>ROUND(CompilDonnées[[#This Row],[CultureDuration_days]]/7,0)</f>
        <v>7</v>
      </c>
      <c r="J5296">
        <v>3681</v>
      </c>
      <c r="K5296" t="str">
        <f>_xlfn.CONCAT(WEEKNUM(CompilDonnées[[#This Row],[PlantationDate]]), " ", YEAR(CompilDonnées[[#This Row],[PlantationDate]]))</f>
        <v>42 2025</v>
      </c>
      <c r="L5296" t="str">
        <f>CONCATENATE(MONTH(CompilDonnées[[#This Row],[PlantationDate]])," ", YEAR(CompilDonnées[[#This Row],[PlantationDate]]))</f>
        <v>10 2025</v>
      </c>
      <c r="M5296" t="str">
        <f>CONCATENATE(MONTH(CompilDonnées[[#This Row],[HarvestingDate]])," ", YEAR(CompilDonnées[[#This Row],[HarvestingDate]]))</f>
        <v>12 2025</v>
      </c>
      <c r="N5296">
        <f>_xlfn.NUMBERVALUE(CompilDonnées[[#This Row],[FarmID]]&amp;CompilDonnées[[#This Row],[ModuleNumber]]&amp;CompilDonnées[[#This Row],[PlantationDate]])</f>
        <v>18445944</v>
      </c>
      <c r="O5296" t="str">
        <f>CompilDonnées[[#This Row],[FarmID]]&amp;CompilDonnées[[#This Row],[ModuleNumber]]</f>
        <v>184</v>
      </c>
      <c r="P5296" t="str">
        <f>CompilDonnées[[#This Row],[Ref_Module]]&amp;CompilDonnées[[#This Row],[HarvestingDate]]</f>
        <v>18445995</v>
      </c>
    </row>
    <row r="5297" spans="1:16">
      <c r="A5297" s="5">
        <v>45944</v>
      </c>
      <c r="B5297">
        <v>17</v>
      </c>
      <c r="C5297" t="s">
        <v>80</v>
      </c>
      <c r="D5297">
        <v>4</v>
      </c>
      <c r="E5297">
        <v>100</v>
      </c>
      <c r="F5297" t="s">
        <v>1</v>
      </c>
      <c r="G5297" s="6">
        <v>45995</v>
      </c>
      <c r="H5297">
        <v>51</v>
      </c>
      <c r="I5297">
        <f>ROUND(CompilDonnées[[#This Row],[CultureDuration_days]]/7,0)</f>
        <v>7</v>
      </c>
      <c r="J5297">
        <v>2787</v>
      </c>
      <c r="K5297" t="str">
        <f>_xlfn.CONCAT(WEEKNUM(CompilDonnées[[#This Row],[PlantationDate]]), " ", YEAR(CompilDonnées[[#This Row],[PlantationDate]]))</f>
        <v>42 2025</v>
      </c>
      <c r="L5297" t="str">
        <f>CONCATENATE(MONTH(CompilDonnées[[#This Row],[PlantationDate]])," ", YEAR(CompilDonnées[[#This Row],[PlantationDate]]))</f>
        <v>10 2025</v>
      </c>
      <c r="M5297" t="str">
        <f>CONCATENATE(MONTH(CompilDonnées[[#This Row],[HarvestingDate]])," ", YEAR(CompilDonnées[[#This Row],[HarvestingDate]]))</f>
        <v>12 2025</v>
      </c>
      <c r="N5297">
        <f>_xlfn.NUMBERVALUE(CompilDonnées[[#This Row],[FarmID]]&amp;CompilDonnées[[#This Row],[ModuleNumber]]&amp;CompilDonnées[[#This Row],[PlantationDate]])</f>
        <v>17445944</v>
      </c>
      <c r="O5297" t="str">
        <f>CompilDonnées[[#This Row],[FarmID]]&amp;CompilDonnées[[#This Row],[ModuleNumber]]</f>
        <v>174</v>
      </c>
      <c r="P5297" t="str">
        <f>CompilDonnées[[#This Row],[Ref_Module]]&amp;CompilDonnées[[#This Row],[HarvestingDate]]</f>
        <v>17445995</v>
      </c>
    </row>
    <row r="5298" spans="1:16">
      <c r="A5298" s="5">
        <v>45944</v>
      </c>
      <c r="B5298">
        <v>16</v>
      </c>
      <c r="C5298" t="s">
        <v>112</v>
      </c>
      <c r="D5298">
        <v>6</v>
      </c>
      <c r="E5298">
        <v>100</v>
      </c>
      <c r="F5298" t="s">
        <v>1</v>
      </c>
      <c r="G5298" s="6">
        <v>45995</v>
      </c>
      <c r="H5298">
        <v>51</v>
      </c>
      <c r="I5298">
        <f>ROUND(CompilDonnées[[#This Row],[CultureDuration_days]]/7,0)</f>
        <v>7</v>
      </c>
      <c r="J5298">
        <v>2531</v>
      </c>
      <c r="K5298" t="str">
        <f>_xlfn.CONCAT(WEEKNUM(CompilDonnées[[#This Row],[PlantationDate]]), " ", YEAR(CompilDonnées[[#This Row],[PlantationDate]]))</f>
        <v>42 2025</v>
      </c>
      <c r="L5298" t="str">
        <f>CONCATENATE(MONTH(CompilDonnées[[#This Row],[PlantationDate]])," ", YEAR(CompilDonnées[[#This Row],[PlantationDate]]))</f>
        <v>10 2025</v>
      </c>
      <c r="M5298" t="str">
        <f>CONCATENATE(MONTH(CompilDonnées[[#This Row],[HarvestingDate]])," ", YEAR(CompilDonnées[[#This Row],[HarvestingDate]]))</f>
        <v>12 2025</v>
      </c>
      <c r="N5298">
        <f>_xlfn.NUMBERVALUE(CompilDonnées[[#This Row],[FarmID]]&amp;CompilDonnées[[#This Row],[ModuleNumber]]&amp;CompilDonnées[[#This Row],[PlantationDate]])</f>
        <v>16645944</v>
      </c>
      <c r="O5298" t="str">
        <f>CompilDonnées[[#This Row],[FarmID]]&amp;CompilDonnées[[#This Row],[ModuleNumber]]</f>
        <v>166</v>
      </c>
      <c r="P5298" t="str">
        <f>CompilDonnées[[#This Row],[Ref_Module]]&amp;CompilDonnées[[#This Row],[HarvestingDate]]</f>
        <v>16645995</v>
      </c>
    </row>
    <row r="5299" spans="1:16">
      <c r="A5299" s="5">
        <v>45944</v>
      </c>
      <c r="B5299">
        <v>15</v>
      </c>
      <c r="C5299" t="s">
        <v>5</v>
      </c>
      <c r="D5299">
        <v>5</v>
      </c>
      <c r="E5299">
        <v>100</v>
      </c>
      <c r="F5299" t="s">
        <v>1</v>
      </c>
      <c r="G5299" s="6">
        <v>45995</v>
      </c>
      <c r="H5299">
        <v>51</v>
      </c>
      <c r="I5299">
        <f>ROUND(CompilDonnées[[#This Row],[CultureDuration_days]]/7,0)</f>
        <v>7</v>
      </c>
      <c r="J5299">
        <v>2667</v>
      </c>
      <c r="K5299" t="str">
        <f>_xlfn.CONCAT(WEEKNUM(CompilDonnées[[#This Row],[PlantationDate]]), " ", YEAR(CompilDonnées[[#This Row],[PlantationDate]]))</f>
        <v>42 2025</v>
      </c>
      <c r="L5299" t="str">
        <f>CONCATENATE(MONTH(CompilDonnées[[#This Row],[PlantationDate]])," ", YEAR(CompilDonnées[[#This Row],[PlantationDate]]))</f>
        <v>10 2025</v>
      </c>
      <c r="M5299" t="str">
        <f>CONCATENATE(MONTH(CompilDonnées[[#This Row],[HarvestingDate]])," ", YEAR(CompilDonnées[[#This Row],[HarvestingDate]]))</f>
        <v>12 2025</v>
      </c>
      <c r="N5299">
        <f>_xlfn.NUMBERVALUE(CompilDonnées[[#This Row],[FarmID]]&amp;CompilDonnées[[#This Row],[ModuleNumber]]&amp;CompilDonnées[[#This Row],[PlantationDate]])</f>
        <v>15545944</v>
      </c>
      <c r="O5299" t="str">
        <f>CompilDonnées[[#This Row],[FarmID]]&amp;CompilDonnées[[#This Row],[ModuleNumber]]</f>
        <v>155</v>
      </c>
      <c r="P5299" t="str">
        <f>CompilDonnées[[#This Row],[Ref_Module]]&amp;CompilDonnées[[#This Row],[HarvestingDate]]</f>
        <v>15545995</v>
      </c>
    </row>
    <row r="5300" spans="1:16">
      <c r="A5300" s="5">
        <v>45944</v>
      </c>
      <c r="B5300">
        <v>24</v>
      </c>
      <c r="C5300" t="s">
        <v>31</v>
      </c>
      <c r="D5300">
        <v>2</v>
      </c>
      <c r="E5300">
        <v>100</v>
      </c>
      <c r="F5300" t="s">
        <v>1</v>
      </c>
      <c r="G5300" s="6">
        <v>45985</v>
      </c>
      <c r="H5300">
        <v>41</v>
      </c>
      <c r="I5300">
        <f>ROUND(CompilDonnées[[#This Row],[CultureDuration_days]]/7,0)</f>
        <v>6</v>
      </c>
      <c r="J5300">
        <v>3209</v>
      </c>
      <c r="K5300" t="str">
        <f>_xlfn.CONCAT(WEEKNUM(CompilDonnées[[#This Row],[PlantationDate]]), " ", YEAR(CompilDonnées[[#This Row],[PlantationDate]]))</f>
        <v>42 2025</v>
      </c>
      <c r="L5300" t="str">
        <f>CONCATENATE(MONTH(CompilDonnées[[#This Row],[PlantationDate]])," ", YEAR(CompilDonnées[[#This Row],[PlantationDate]]))</f>
        <v>10 2025</v>
      </c>
      <c r="M5300" t="str">
        <f>CONCATENATE(MONTH(CompilDonnées[[#This Row],[HarvestingDate]])," ", YEAR(CompilDonnées[[#This Row],[HarvestingDate]]))</f>
        <v>11 2025</v>
      </c>
      <c r="N5300">
        <f>_xlfn.NUMBERVALUE(CompilDonnées[[#This Row],[FarmID]]&amp;CompilDonnées[[#This Row],[ModuleNumber]]&amp;CompilDonnées[[#This Row],[PlantationDate]])</f>
        <v>24245944</v>
      </c>
      <c r="O5300" t="str">
        <f>CompilDonnées[[#This Row],[FarmID]]&amp;CompilDonnées[[#This Row],[ModuleNumber]]</f>
        <v>242</v>
      </c>
      <c r="P5300" t="str">
        <f>CompilDonnées[[#This Row],[Ref_Module]]&amp;CompilDonnées[[#This Row],[HarvestingDate]]</f>
        <v>24245985</v>
      </c>
    </row>
    <row r="5301" spans="1:16">
      <c r="A5301" s="5">
        <v>45944</v>
      </c>
      <c r="B5301">
        <v>22</v>
      </c>
      <c r="C5301" t="s">
        <v>43</v>
      </c>
      <c r="D5301">
        <v>6</v>
      </c>
      <c r="E5301">
        <v>100</v>
      </c>
      <c r="F5301" t="s">
        <v>1</v>
      </c>
      <c r="G5301" s="6">
        <v>45995</v>
      </c>
      <c r="H5301">
        <v>51</v>
      </c>
      <c r="I5301">
        <f>ROUND(CompilDonnées[[#This Row],[CultureDuration_days]]/7,0)</f>
        <v>7</v>
      </c>
      <c r="J5301">
        <v>3460</v>
      </c>
      <c r="K5301" t="str">
        <f>_xlfn.CONCAT(WEEKNUM(CompilDonnées[[#This Row],[PlantationDate]]), " ", YEAR(CompilDonnées[[#This Row],[PlantationDate]]))</f>
        <v>42 2025</v>
      </c>
      <c r="L5301" t="str">
        <f>CONCATENATE(MONTH(CompilDonnées[[#This Row],[PlantationDate]])," ", YEAR(CompilDonnées[[#This Row],[PlantationDate]]))</f>
        <v>10 2025</v>
      </c>
      <c r="M5301" t="str">
        <f>CONCATENATE(MONTH(CompilDonnées[[#This Row],[HarvestingDate]])," ", YEAR(CompilDonnées[[#This Row],[HarvestingDate]]))</f>
        <v>12 2025</v>
      </c>
      <c r="N5301">
        <f>_xlfn.NUMBERVALUE(CompilDonnées[[#This Row],[FarmID]]&amp;CompilDonnées[[#This Row],[ModuleNumber]]&amp;CompilDonnées[[#This Row],[PlantationDate]])</f>
        <v>22645944</v>
      </c>
      <c r="O5301" t="str">
        <f>CompilDonnées[[#This Row],[FarmID]]&amp;CompilDonnées[[#This Row],[ModuleNumber]]</f>
        <v>226</v>
      </c>
      <c r="P5301" t="str">
        <f>CompilDonnées[[#This Row],[Ref_Module]]&amp;CompilDonnées[[#This Row],[HarvestingDate]]</f>
        <v>22645995</v>
      </c>
    </row>
    <row r="5302" spans="1:16">
      <c r="A5302" s="5">
        <v>45944</v>
      </c>
      <c r="B5302">
        <v>23</v>
      </c>
      <c r="C5302" t="s">
        <v>44</v>
      </c>
      <c r="D5302">
        <v>5</v>
      </c>
      <c r="E5302">
        <v>100</v>
      </c>
      <c r="F5302" t="s">
        <v>1</v>
      </c>
      <c r="G5302" s="6">
        <v>45985</v>
      </c>
      <c r="H5302">
        <v>41</v>
      </c>
      <c r="I5302">
        <f>ROUND(CompilDonnées[[#This Row],[CultureDuration_days]]/7,0)</f>
        <v>6</v>
      </c>
      <c r="J5302">
        <v>2636</v>
      </c>
      <c r="K5302" t="str">
        <f>_xlfn.CONCAT(WEEKNUM(CompilDonnées[[#This Row],[PlantationDate]]), " ", YEAR(CompilDonnées[[#This Row],[PlantationDate]]))</f>
        <v>42 2025</v>
      </c>
      <c r="L5302" t="str">
        <f>CONCATENATE(MONTH(CompilDonnées[[#This Row],[PlantationDate]])," ", YEAR(CompilDonnées[[#This Row],[PlantationDate]]))</f>
        <v>10 2025</v>
      </c>
      <c r="M5302" t="str">
        <f>CONCATENATE(MONTH(CompilDonnées[[#This Row],[HarvestingDate]])," ", YEAR(CompilDonnées[[#This Row],[HarvestingDate]]))</f>
        <v>11 2025</v>
      </c>
      <c r="N5302">
        <f>_xlfn.NUMBERVALUE(CompilDonnées[[#This Row],[FarmID]]&amp;CompilDonnées[[#This Row],[ModuleNumber]]&amp;CompilDonnées[[#This Row],[PlantationDate]])</f>
        <v>23545944</v>
      </c>
      <c r="O5302" t="str">
        <f>CompilDonnées[[#This Row],[FarmID]]&amp;CompilDonnées[[#This Row],[ModuleNumber]]</f>
        <v>235</v>
      </c>
      <c r="P5302" t="str">
        <f>CompilDonnées[[#This Row],[Ref_Module]]&amp;CompilDonnées[[#This Row],[HarvestingDate]]</f>
        <v>23545985</v>
      </c>
    </row>
    <row r="5303" spans="1:16">
      <c r="A5303" s="5">
        <v>45944</v>
      </c>
      <c r="B5303">
        <v>21</v>
      </c>
      <c r="C5303" t="s">
        <v>0</v>
      </c>
      <c r="D5303">
        <v>6</v>
      </c>
      <c r="E5303">
        <v>100</v>
      </c>
      <c r="F5303" t="s">
        <v>1</v>
      </c>
      <c r="G5303" s="6">
        <v>45995</v>
      </c>
      <c r="H5303">
        <v>51</v>
      </c>
      <c r="I5303">
        <f>ROUND(CompilDonnées[[#This Row],[CultureDuration_days]]/7,0)</f>
        <v>7</v>
      </c>
      <c r="J5303">
        <v>2504</v>
      </c>
      <c r="K5303" t="str">
        <f>_xlfn.CONCAT(WEEKNUM(CompilDonnées[[#This Row],[PlantationDate]]), " ", YEAR(CompilDonnées[[#This Row],[PlantationDate]]))</f>
        <v>42 2025</v>
      </c>
      <c r="L5303" t="str">
        <f>CONCATENATE(MONTH(CompilDonnées[[#This Row],[PlantationDate]])," ", YEAR(CompilDonnées[[#This Row],[PlantationDate]]))</f>
        <v>10 2025</v>
      </c>
      <c r="M5303" t="str">
        <f>CONCATENATE(MONTH(CompilDonnées[[#This Row],[HarvestingDate]])," ", YEAR(CompilDonnées[[#This Row],[HarvestingDate]]))</f>
        <v>12 2025</v>
      </c>
      <c r="N5303">
        <f>_xlfn.NUMBERVALUE(CompilDonnées[[#This Row],[FarmID]]&amp;CompilDonnées[[#This Row],[ModuleNumber]]&amp;CompilDonnées[[#This Row],[PlantationDate]])</f>
        <v>21645944</v>
      </c>
      <c r="O5303" t="str">
        <f>CompilDonnées[[#This Row],[FarmID]]&amp;CompilDonnées[[#This Row],[ModuleNumber]]</f>
        <v>216</v>
      </c>
      <c r="P5303" t="str">
        <f>CompilDonnées[[#This Row],[Ref_Module]]&amp;CompilDonnées[[#This Row],[HarvestingDate]]</f>
        <v>21645995</v>
      </c>
    </row>
    <row r="5304" spans="1:16">
      <c r="A5304" s="5">
        <v>45944</v>
      </c>
      <c r="B5304">
        <v>32</v>
      </c>
      <c r="C5304" t="s">
        <v>25</v>
      </c>
      <c r="D5304">
        <v>4</v>
      </c>
      <c r="E5304">
        <v>100</v>
      </c>
      <c r="F5304" t="s">
        <v>1</v>
      </c>
      <c r="G5304" s="6">
        <v>45995</v>
      </c>
      <c r="H5304">
        <v>51</v>
      </c>
      <c r="I5304">
        <f>ROUND(CompilDonnées[[#This Row],[CultureDuration_days]]/7,0)</f>
        <v>7</v>
      </c>
      <c r="J5304">
        <v>3761</v>
      </c>
      <c r="K5304" t="str">
        <f>_xlfn.CONCAT(WEEKNUM(CompilDonnées[[#This Row],[PlantationDate]]), " ", YEAR(CompilDonnées[[#This Row],[PlantationDate]]))</f>
        <v>42 2025</v>
      </c>
      <c r="L5304" t="str">
        <f>CONCATENATE(MONTH(CompilDonnées[[#This Row],[PlantationDate]])," ", YEAR(CompilDonnées[[#This Row],[PlantationDate]]))</f>
        <v>10 2025</v>
      </c>
      <c r="M5304" t="str">
        <f>CONCATENATE(MONTH(CompilDonnées[[#This Row],[HarvestingDate]])," ", YEAR(CompilDonnées[[#This Row],[HarvestingDate]]))</f>
        <v>12 2025</v>
      </c>
      <c r="N5304">
        <f>_xlfn.NUMBERVALUE(CompilDonnées[[#This Row],[FarmID]]&amp;CompilDonnées[[#This Row],[ModuleNumber]]&amp;CompilDonnées[[#This Row],[PlantationDate]])</f>
        <v>32445944</v>
      </c>
      <c r="O5304" t="str">
        <f>CompilDonnées[[#This Row],[FarmID]]&amp;CompilDonnées[[#This Row],[ModuleNumber]]</f>
        <v>324</v>
      </c>
      <c r="P5304" t="str">
        <f>CompilDonnées[[#This Row],[Ref_Module]]&amp;CompilDonnées[[#This Row],[HarvestingDate]]</f>
        <v>32445995</v>
      </c>
    </row>
    <row r="5305" spans="1:16">
      <c r="A5305" s="5">
        <v>45944</v>
      </c>
      <c r="B5305">
        <v>38</v>
      </c>
      <c r="C5305" t="s">
        <v>34</v>
      </c>
      <c r="D5305">
        <v>4</v>
      </c>
      <c r="E5305">
        <v>100</v>
      </c>
      <c r="F5305" t="s">
        <v>1</v>
      </c>
      <c r="G5305" s="6">
        <v>45995</v>
      </c>
      <c r="H5305">
        <v>51</v>
      </c>
      <c r="I5305">
        <f>ROUND(CompilDonnées[[#This Row],[CultureDuration_days]]/7,0)</f>
        <v>7</v>
      </c>
      <c r="J5305">
        <v>3848</v>
      </c>
      <c r="K5305" t="str">
        <f>_xlfn.CONCAT(WEEKNUM(CompilDonnées[[#This Row],[PlantationDate]]), " ", YEAR(CompilDonnées[[#This Row],[PlantationDate]]))</f>
        <v>42 2025</v>
      </c>
      <c r="L5305" t="str">
        <f>CONCATENATE(MONTH(CompilDonnées[[#This Row],[PlantationDate]])," ", YEAR(CompilDonnées[[#This Row],[PlantationDate]]))</f>
        <v>10 2025</v>
      </c>
      <c r="M5305" t="str">
        <f>CONCATENATE(MONTH(CompilDonnées[[#This Row],[HarvestingDate]])," ", YEAR(CompilDonnées[[#This Row],[HarvestingDate]]))</f>
        <v>12 2025</v>
      </c>
      <c r="N5305">
        <f>_xlfn.NUMBERVALUE(CompilDonnées[[#This Row],[FarmID]]&amp;CompilDonnées[[#This Row],[ModuleNumber]]&amp;CompilDonnées[[#This Row],[PlantationDate]])</f>
        <v>38445944</v>
      </c>
      <c r="O5305" t="str">
        <f>CompilDonnées[[#This Row],[FarmID]]&amp;CompilDonnées[[#This Row],[ModuleNumber]]</f>
        <v>384</v>
      </c>
      <c r="P5305" t="str">
        <f>CompilDonnées[[#This Row],[Ref_Module]]&amp;CompilDonnées[[#This Row],[HarvestingDate]]</f>
        <v>38445995</v>
      </c>
    </row>
    <row r="5306" spans="1:16">
      <c r="A5306" s="5">
        <v>45944</v>
      </c>
      <c r="B5306">
        <v>36</v>
      </c>
      <c r="C5306" t="s">
        <v>63</v>
      </c>
      <c r="D5306">
        <v>6</v>
      </c>
      <c r="E5306">
        <v>100</v>
      </c>
      <c r="F5306" t="s">
        <v>1</v>
      </c>
      <c r="G5306" s="6">
        <v>45995</v>
      </c>
      <c r="H5306">
        <v>51</v>
      </c>
      <c r="I5306">
        <f>ROUND(CompilDonnées[[#This Row],[CultureDuration_days]]/7,0)</f>
        <v>7</v>
      </c>
      <c r="J5306">
        <v>3654</v>
      </c>
      <c r="K5306" t="str">
        <f>_xlfn.CONCAT(WEEKNUM(CompilDonnées[[#This Row],[PlantationDate]]), " ", YEAR(CompilDonnées[[#This Row],[PlantationDate]]))</f>
        <v>42 2025</v>
      </c>
      <c r="L5306" t="str">
        <f>CONCATENATE(MONTH(CompilDonnées[[#This Row],[PlantationDate]])," ", YEAR(CompilDonnées[[#This Row],[PlantationDate]]))</f>
        <v>10 2025</v>
      </c>
      <c r="M5306" t="str">
        <f>CONCATENATE(MONTH(CompilDonnées[[#This Row],[HarvestingDate]])," ", YEAR(CompilDonnées[[#This Row],[HarvestingDate]]))</f>
        <v>12 2025</v>
      </c>
      <c r="N5306">
        <f>_xlfn.NUMBERVALUE(CompilDonnées[[#This Row],[FarmID]]&amp;CompilDonnées[[#This Row],[ModuleNumber]]&amp;CompilDonnées[[#This Row],[PlantationDate]])</f>
        <v>36645944</v>
      </c>
      <c r="O5306" t="str">
        <f>CompilDonnées[[#This Row],[FarmID]]&amp;CompilDonnées[[#This Row],[ModuleNumber]]</f>
        <v>366</v>
      </c>
      <c r="P5306" t="str">
        <f>CompilDonnées[[#This Row],[Ref_Module]]&amp;CompilDonnées[[#This Row],[HarvestingDate]]</f>
        <v>36645995</v>
      </c>
    </row>
    <row r="5307" spans="1:16">
      <c r="A5307" s="5">
        <v>45944</v>
      </c>
      <c r="B5307">
        <v>35</v>
      </c>
      <c r="C5307" t="s">
        <v>69</v>
      </c>
      <c r="D5307">
        <v>5</v>
      </c>
      <c r="E5307">
        <v>100</v>
      </c>
      <c r="F5307" t="s">
        <v>1</v>
      </c>
      <c r="G5307" s="6">
        <v>45995</v>
      </c>
      <c r="H5307">
        <v>51</v>
      </c>
      <c r="I5307">
        <f>ROUND(CompilDonnées[[#This Row],[CultureDuration_days]]/7,0)</f>
        <v>7</v>
      </c>
      <c r="J5307">
        <v>3025</v>
      </c>
      <c r="K5307" t="str">
        <f>_xlfn.CONCAT(WEEKNUM(CompilDonnées[[#This Row],[PlantationDate]]), " ", YEAR(CompilDonnées[[#This Row],[PlantationDate]]))</f>
        <v>42 2025</v>
      </c>
      <c r="L5307" t="str">
        <f>CONCATENATE(MONTH(CompilDonnées[[#This Row],[PlantationDate]])," ", YEAR(CompilDonnées[[#This Row],[PlantationDate]]))</f>
        <v>10 2025</v>
      </c>
      <c r="M5307" t="str">
        <f>CONCATENATE(MONTH(CompilDonnées[[#This Row],[HarvestingDate]])," ", YEAR(CompilDonnées[[#This Row],[HarvestingDate]]))</f>
        <v>12 2025</v>
      </c>
      <c r="N5307">
        <f>_xlfn.NUMBERVALUE(CompilDonnées[[#This Row],[FarmID]]&amp;CompilDonnées[[#This Row],[ModuleNumber]]&amp;CompilDonnées[[#This Row],[PlantationDate]])</f>
        <v>35545944</v>
      </c>
      <c r="O5307" t="str">
        <f>CompilDonnées[[#This Row],[FarmID]]&amp;CompilDonnées[[#This Row],[ModuleNumber]]</f>
        <v>355</v>
      </c>
      <c r="P5307" t="str">
        <f>CompilDonnées[[#This Row],[Ref_Module]]&amp;CompilDonnées[[#This Row],[HarvestingDate]]</f>
        <v>35545995</v>
      </c>
    </row>
    <row r="5308" spans="1:16">
      <c r="A5308" s="5">
        <v>45944</v>
      </c>
      <c r="B5308">
        <v>45</v>
      </c>
      <c r="C5308" t="s">
        <v>77</v>
      </c>
      <c r="D5308">
        <v>3</v>
      </c>
      <c r="E5308">
        <v>100</v>
      </c>
      <c r="F5308" t="s">
        <v>1</v>
      </c>
      <c r="G5308" s="6">
        <v>45985</v>
      </c>
      <c r="H5308">
        <v>41</v>
      </c>
      <c r="I5308">
        <f>ROUND(CompilDonnées[[#This Row],[CultureDuration_days]]/7,0)</f>
        <v>6</v>
      </c>
      <c r="J5308">
        <v>3334</v>
      </c>
      <c r="K5308" t="str">
        <f>_xlfn.CONCAT(WEEKNUM(CompilDonnées[[#This Row],[PlantationDate]]), " ", YEAR(CompilDonnées[[#This Row],[PlantationDate]]))</f>
        <v>42 2025</v>
      </c>
      <c r="L5308" t="str">
        <f>CONCATENATE(MONTH(CompilDonnées[[#This Row],[PlantationDate]])," ", YEAR(CompilDonnées[[#This Row],[PlantationDate]]))</f>
        <v>10 2025</v>
      </c>
      <c r="M5308" t="str">
        <f>CONCATENATE(MONTH(CompilDonnées[[#This Row],[HarvestingDate]])," ", YEAR(CompilDonnées[[#This Row],[HarvestingDate]]))</f>
        <v>11 2025</v>
      </c>
      <c r="N5308">
        <f>_xlfn.NUMBERVALUE(CompilDonnées[[#This Row],[FarmID]]&amp;CompilDonnées[[#This Row],[ModuleNumber]]&amp;CompilDonnées[[#This Row],[PlantationDate]])</f>
        <v>45345944</v>
      </c>
      <c r="O5308" t="str">
        <f>CompilDonnées[[#This Row],[FarmID]]&amp;CompilDonnées[[#This Row],[ModuleNumber]]</f>
        <v>453</v>
      </c>
      <c r="P5308" t="str">
        <f>CompilDonnées[[#This Row],[Ref_Module]]&amp;CompilDonnées[[#This Row],[HarvestingDate]]</f>
        <v>45345985</v>
      </c>
    </row>
    <row r="5309" spans="1:16">
      <c r="A5309" s="5">
        <v>45944</v>
      </c>
      <c r="B5309">
        <v>42</v>
      </c>
      <c r="C5309" t="s">
        <v>119</v>
      </c>
      <c r="D5309">
        <v>3</v>
      </c>
      <c r="E5309">
        <v>100</v>
      </c>
      <c r="F5309" t="s">
        <v>1</v>
      </c>
      <c r="G5309" s="6">
        <v>45979</v>
      </c>
      <c r="H5309">
        <v>35</v>
      </c>
      <c r="I5309">
        <f>ROUND(CompilDonnées[[#This Row],[CultureDuration_days]]/7,0)</f>
        <v>5</v>
      </c>
      <c r="J5309">
        <v>1630</v>
      </c>
      <c r="K5309" t="str">
        <f>_xlfn.CONCAT(WEEKNUM(CompilDonnées[[#This Row],[PlantationDate]]), " ", YEAR(CompilDonnées[[#This Row],[PlantationDate]]))</f>
        <v>42 2025</v>
      </c>
      <c r="L5309" t="str">
        <f>CONCATENATE(MONTH(CompilDonnées[[#This Row],[PlantationDate]])," ", YEAR(CompilDonnées[[#This Row],[PlantationDate]]))</f>
        <v>10 2025</v>
      </c>
      <c r="M5309" t="str">
        <f>CONCATENATE(MONTH(CompilDonnées[[#This Row],[HarvestingDate]])," ", YEAR(CompilDonnées[[#This Row],[HarvestingDate]]))</f>
        <v>11 2025</v>
      </c>
      <c r="N5309">
        <f>_xlfn.NUMBERVALUE(CompilDonnées[[#This Row],[FarmID]]&amp;CompilDonnées[[#This Row],[ModuleNumber]]&amp;CompilDonnées[[#This Row],[PlantationDate]])</f>
        <v>42345944</v>
      </c>
      <c r="O5309" t="str">
        <f>CompilDonnées[[#This Row],[FarmID]]&amp;CompilDonnées[[#This Row],[ModuleNumber]]</f>
        <v>423</v>
      </c>
      <c r="P5309" t="str">
        <f>CompilDonnées[[#This Row],[Ref_Module]]&amp;CompilDonnées[[#This Row],[HarvestingDate]]</f>
        <v>42345979</v>
      </c>
    </row>
    <row r="5310" spans="1:16">
      <c r="A5310" s="5">
        <v>45944</v>
      </c>
      <c r="B5310">
        <v>2</v>
      </c>
      <c r="C5310" t="s">
        <v>126</v>
      </c>
      <c r="D5310">
        <v>3</v>
      </c>
      <c r="E5310">
        <v>100</v>
      </c>
      <c r="F5310" t="s">
        <v>1</v>
      </c>
      <c r="G5310" s="6">
        <v>46003</v>
      </c>
      <c r="H5310">
        <v>59</v>
      </c>
      <c r="I5310">
        <f>ROUND(CompilDonnées[[#This Row],[CultureDuration_days]]/7,0)</f>
        <v>8</v>
      </c>
      <c r="J5310">
        <v>1887</v>
      </c>
      <c r="K5310" t="str">
        <f>_xlfn.CONCAT(WEEKNUM(CompilDonnées[[#This Row],[PlantationDate]]), " ", YEAR(CompilDonnées[[#This Row],[PlantationDate]]))</f>
        <v>42 2025</v>
      </c>
      <c r="L5310" t="str">
        <f>CONCATENATE(MONTH(CompilDonnées[[#This Row],[PlantationDate]])," ", YEAR(CompilDonnées[[#This Row],[PlantationDate]]))</f>
        <v>10 2025</v>
      </c>
      <c r="M5310" t="str">
        <f>CONCATENATE(MONTH(CompilDonnées[[#This Row],[HarvestingDate]])," ", YEAR(CompilDonnées[[#This Row],[HarvestingDate]]))</f>
        <v>12 2025</v>
      </c>
      <c r="N5310">
        <f>_xlfn.NUMBERVALUE(CompilDonnées[[#This Row],[FarmID]]&amp;CompilDonnées[[#This Row],[ModuleNumber]]&amp;CompilDonnées[[#This Row],[PlantationDate]])</f>
        <v>2345944</v>
      </c>
      <c r="O5310" t="str">
        <f>CompilDonnées[[#This Row],[FarmID]]&amp;CompilDonnées[[#This Row],[ModuleNumber]]</f>
        <v>23</v>
      </c>
      <c r="P5310" t="str">
        <f>CompilDonnées[[#This Row],[Ref_Module]]&amp;CompilDonnées[[#This Row],[HarvestingDate]]</f>
        <v>2346003</v>
      </c>
    </row>
    <row r="5311" spans="1:16">
      <c r="A5311" s="5">
        <v>45944</v>
      </c>
      <c r="B5311">
        <v>10</v>
      </c>
      <c r="C5311" t="s">
        <v>109</v>
      </c>
      <c r="D5311">
        <v>3</v>
      </c>
      <c r="E5311">
        <v>100</v>
      </c>
      <c r="F5311" t="s">
        <v>1</v>
      </c>
      <c r="G5311" s="6">
        <v>45996</v>
      </c>
      <c r="H5311">
        <v>52</v>
      </c>
      <c r="I5311">
        <f>ROUND(CompilDonnées[[#This Row],[CultureDuration_days]]/7,0)</f>
        <v>7</v>
      </c>
      <c r="J5311">
        <v>1918</v>
      </c>
      <c r="K5311" t="str">
        <f>_xlfn.CONCAT(WEEKNUM(CompilDonnées[[#This Row],[PlantationDate]]), " ", YEAR(CompilDonnées[[#This Row],[PlantationDate]]))</f>
        <v>42 2025</v>
      </c>
      <c r="L5311" t="str">
        <f>CONCATENATE(MONTH(CompilDonnées[[#This Row],[PlantationDate]])," ", YEAR(CompilDonnées[[#This Row],[PlantationDate]]))</f>
        <v>10 2025</v>
      </c>
      <c r="M5311" t="str">
        <f>CONCATENATE(MONTH(CompilDonnées[[#This Row],[HarvestingDate]])," ", YEAR(CompilDonnées[[#This Row],[HarvestingDate]]))</f>
        <v>12 2025</v>
      </c>
      <c r="N5311">
        <f>_xlfn.NUMBERVALUE(CompilDonnées[[#This Row],[FarmID]]&amp;CompilDonnées[[#This Row],[ModuleNumber]]&amp;CompilDonnées[[#This Row],[PlantationDate]])</f>
        <v>10345944</v>
      </c>
      <c r="O5311" t="str">
        <f>CompilDonnées[[#This Row],[FarmID]]&amp;CompilDonnées[[#This Row],[ModuleNumber]]</f>
        <v>103</v>
      </c>
      <c r="P5311" t="str">
        <f>CompilDonnées[[#This Row],[Ref_Module]]&amp;CompilDonnées[[#This Row],[HarvestingDate]]</f>
        <v>10345996</v>
      </c>
    </row>
    <row r="5312" spans="1:16">
      <c r="A5312" s="5">
        <v>45944</v>
      </c>
      <c r="B5312">
        <v>14</v>
      </c>
      <c r="C5312" t="s">
        <v>82</v>
      </c>
      <c r="D5312">
        <v>3</v>
      </c>
      <c r="E5312">
        <v>100</v>
      </c>
      <c r="F5312" t="s">
        <v>1</v>
      </c>
      <c r="G5312" s="6">
        <v>45996</v>
      </c>
      <c r="H5312">
        <v>52</v>
      </c>
      <c r="I5312">
        <f>ROUND(CompilDonnées[[#This Row],[CultureDuration_days]]/7,0)</f>
        <v>7</v>
      </c>
      <c r="J5312">
        <v>2283</v>
      </c>
      <c r="K5312" t="str">
        <f>_xlfn.CONCAT(WEEKNUM(CompilDonnées[[#This Row],[PlantationDate]]), " ", YEAR(CompilDonnées[[#This Row],[PlantationDate]]))</f>
        <v>42 2025</v>
      </c>
      <c r="L5312" t="str">
        <f>CONCATENATE(MONTH(CompilDonnées[[#This Row],[PlantationDate]])," ", YEAR(CompilDonnées[[#This Row],[PlantationDate]]))</f>
        <v>10 2025</v>
      </c>
      <c r="M5312" t="str">
        <f>CONCATENATE(MONTH(CompilDonnées[[#This Row],[HarvestingDate]])," ", YEAR(CompilDonnées[[#This Row],[HarvestingDate]]))</f>
        <v>12 2025</v>
      </c>
      <c r="N5312">
        <f>_xlfn.NUMBERVALUE(CompilDonnées[[#This Row],[FarmID]]&amp;CompilDonnées[[#This Row],[ModuleNumber]]&amp;CompilDonnées[[#This Row],[PlantationDate]])</f>
        <v>14345944</v>
      </c>
      <c r="O5312" t="str">
        <f>CompilDonnées[[#This Row],[FarmID]]&amp;CompilDonnées[[#This Row],[ModuleNumber]]</f>
        <v>143</v>
      </c>
      <c r="P5312" t="str">
        <f>CompilDonnées[[#This Row],[Ref_Module]]&amp;CompilDonnées[[#This Row],[HarvestingDate]]</f>
        <v>14345996</v>
      </c>
    </row>
    <row r="5313" spans="1:16">
      <c r="A5313" s="5">
        <v>45944</v>
      </c>
      <c r="B5313">
        <v>14</v>
      </c>
      <c r="C5313" t="s">
        <v>82</v>
      </c>
      <c r="D5313">
        <v>4</v>
      </c>
      <c r="E5313">
        <v>100</v>
      </c>
      <c r="F5313" t="s">
        <v>1</v>
      </c>
      <c r="G5313" s="6">
        <v>45996</v>
      </c>
      <c r="H5313">
        <v>52</v>
      </c>
      <c r="I5313">
        <f>ROUND(CompilDonnées[[#This Row],[CultureDuration_days]]/7,0)</f>
        <v>7</v>
      </c>
      <c r="J5313">
        <v>2341</v>
      </c>
      <c r="K5313" t="str">
        <f>_xlfn.CONCAT(WEEKNUM(CompilDonnées[[#This Row],[PlantationDate]]), " ", YEAR(CompilDonnées[[#This Row],[PlantationDate]]))</f>
        <v>42 2025</v>
      </c>
      <c r="L5313" t="str">
        <f>CONCATENATE(MONTH(CompilDonnées[[#This Row],[PlantationDate]])," ", YEAR(CompilDonnées[[#This Row],[PlantationDate]]))</f>
        <v>10 2025</v>
      </c>
      <c r="M5313" t="str">
        <f>CONCATENATE(MONTH(CompilDonnées[[#This Row],[HarvestingDate]])," ", YEAR(CompilDonnées[[#This Row],[HarvestingDate]]))</f>
        <v>12 2025</v>
      </c>
      <c r="N5313">
        <f>_xlfn.NUMBERVALUE(CompilDonnées[[#This Row],[FarmID]]&amp;CompilDonnées[[#This Row],[ModuleNumber]]&amp;CompilDonnées[[#This Row],[PlantationDate]])</f>
        <v>14445944</v>
      </c>
      <c r="O5313" t="str">
        <f>CompilDonnées[[#This Row],[FarmID]]&amp;CompilDonnées[[#This Row],[ModuleNumber]]</f>
        <v>144</v>
      </c>
      <c r="P5313" t="str">
        <f>CompilDonnées[[#This Row],[Ref_Module]]&amp;CompilDonnées[[#This Row],[HarvestingDate]]</f>
        <v>14445996</v>
      </c>
    </row>
    <row r="5314" spans="1:16">
      <c r="A5314" s="5">
        <v>45944</v>
      </c>
      <c r="B5314">
        <v>7</v>
      </c>
      <c r="C5314" t="s">
        <v>50</v>
      </c>
      <c r="D5314">
        <v>4</v>
      </c>
      <c r="E5314">
        <v>100</v>
      </c>
      <c r="F5314" t="s">
        <v>1</v>
      </c>
      <c r="G5314" s="6">
        <v>45996</v>
      </c>
      <c r="H5314">
        <v>52</v>
      </c>
      <c r="I5314">
        <f>ROUND(CompilDonnées[[#This Row],[CultureDuration_days]]/7,0)</f>
        <v>7</v>
      </c>
      <c r="J5314">
        <v>2848</v>
      </c>
      <c r="K5314" t="str">
        <f>_xlfn.CONCAT(WEEKNUM(CompilDonnées[[#This Row],[PlantationDate]]), " ", YEAR(CompilDonnées[[#This Row],[PlantationDate]]))</f>
        <v>42 2025</v>
      </c>
      <c r="L5314" t="str">
        <f>CONCATENATE(MONTH(CompilDonnées[[#This Row],[PlantationDate]])," ", YEAR(CompilDonnées[[#This Row],[PlantationDate]]))</f>
        <v>10 2025</v>
      </c>
      <c r="M5314" t="str">
        <f>CONCATENATE(MONTH(CompilDonnées[[#This Row],[HarvestingDate]])," ", YEAR(CompilDonnées[[#This Row],[HarvestingDate]]))</f>
        <v>12 2025</v>
      </c>
      <c r="N5314">
        <f>_xlfn.NUMBERVALUE(CompilDonnées[[#This Row],[FarmID]]&amp;CompilDonnées[[#This Row],[ModuleNumber]]&amp;CompilDonnées[[#This Row],[PlantationDate]])</f>
        <v>7445944</v>
      </c>
      <c r="O5314" t="str">
        <f>CompilDonnées[[#This Row],[FarmID]]&amp;CompilDonnées[[#This Row],[ModuleNumber]]</f>
        <v>74</v>
      </c>
      <c r="P5314" t="str">
        <f>CompilDonnées[[#This Row],[Ref_Module]]&amp;CompilDonnées[[#This Row],[HarvestingDate]]</f>
        <v>7445996</v>
      </c>
    </row>
    <row r="5315" spans="1:16">
      <c r="A5315" s="5">
        <v>45944</v>
      </c>
      <c r="B5315">
        <v>9</v>
      </c>
      <c r="C5315" t="s">
        <v>107</v>
      </c>
      <c r="D5315">
        <v>5</v>
      </c>
      <c r="E5315">
        <v>100</v>
      </c>
      <c r="F5315" t="s">
        <v>1</v>
      </c>
      <c r="G5315" s="6">
        <v>45996</v>
      </c>
      <c r="H5315">
        <v>52</v>
      </c>
      <c r="I5315">
        <f>ROUND(CompilDonnées[[#This Row],[CultureDuration_days]]/7,0)</f>
        <v>7</v>
      </c>
      <c r="J5315">
        <v>2588</v>
      </c>
      <c r="K5315" t="str">
        <f>_xlfn.CONCAT(WEEKNUM(CompilDonnées[[#This Row],[PlantationDate]]), " ", YEAR(CompilDonnées[[#This Row],[PlantationDate]]))</f>
        <v>42 2025</v>
      </c>
      <c r="L5315" t="str">
        <f>CONCATENATE(MONTH(CompilDonnées[[#This Row],[PlantationDate]])," ", YEAR(CompilDonnées[[#This Row],[PlantationDate]]))</f>
        <v>10 2025</v>
      </c>
      <c r="M5315" t="str">
        <f>CONCATENATE(MONTH(CompilDonnées[[#This Row],[HarvestingDate]])," ", YEAR(CompilDonnées[[#This Row],[HarvestingDate]]))</f>
        <v>12 2025</v>
      </c>
      <c r="N5315">
        <f>_xlfn.NUMBERVALUE(CompilDonnées[[#This Row],[FarmID]]&amp;CompilDonnées[[#This Row],[ModuleNumber]]&amp;CompilDonnées[[#This Row],[PlantationDate]])</f>
        <v>9545944</v>
      </c>
      <c r="O5315" t="str">
        <f>CompilDonnées[[#This Row],[FarmID]]&amp;CompilDonnées[[#This Row],[ModuleNumber]]</f>
        <v>95</v>
      </c>
      <c r="P5315" t="str">
        <f>CompilDonnées[[#This Row],[Ref_Module]]&amp;CompilDonnées[[#This Row],[HarvestingDate]]</f>
        <v>9545996</v>
      </c>
    </row>
    <row r="5316" spans="1:16">
      <c r="A5316" s="5">
        <v>45944</v>
      </c>
      <c r="B5316">
        <v>19</v>
      </c>
      <c r="C5316" t="s">
        <v>3</v>
      </c>
      <c r="D5316">
        <v>1</v>
      </c>
      <c r="E5316">
        <v>68</v>
      </c>
      <c r="F5316" t="s">
        <v>1</v>
      </c>
      <c r="G5316" s="6">
        <v>45987</v>
      </c>
      <c r="H5316">
        <v>43</v>
      </c>
      <c r="I5316">
        <f>ROUND(CompilDonnées[[#This Row],[CultureDuration_days]]/7,0)</f>
        <v>6</v>
      </c>
      <c r="J5316">
        <v>842</v>
      </c>
      <c r="K5316" t="str">
        <f>_xlfn.CONCAT(WEEKNUM(CompilDonnées[[#This Row],[PlantationDate]]), " ", YEAR(CompilDonnées[[#This Row],[PlantationDate]]))</f>
        <v>42 2025</v>
      </c>
      <c r="L5316" t="str">
        <f>CONCATENATE(MONTH(CompilDonnées[[#This Row],[PlantationDate]])," ", YEAR(CompilDonnées[[#This Row],[PlantationDate]]))</f>
        <v>10 2025</v>
      </c>
      <c r="M5316" t="str">
        <f>CONCATENATE(MONTH(CompilDonnées[[#This Row],[HarvestingDate]])," ", YEAR(CompilDonnées[[#This Row],[HarvestingDate]]))</f>
        <v>11 2025</v>
      </c>
      <c r="N5316">
        <f>_xlfn.NUMBERVALUE(CompilDonnées[[#This Row],[FarmID]]&amp;CompilDonnées[[#This Row],[ModuleNumber]]&amp;CompilDonnées[[#This Row],[PlantationDate]])</f>
        <v>19145944</v>
      </c>
      <c r="O5316" t="str">
        <f>CompilDonnées[[#This Row],[FarmID]]&amp;CompilDonnées[[#This Row],[ModuleNumber]]</f>
        <v>191</v>
      </c>
      <c r="P5316" t="str">
        <f>CompilDonnées[[#This Row],[Ref_Module]]&amp;CompilDonnées[[#This Row],[HarvestingDate]]</f>
        <v>19145987</v>
      </c>
    </row>
    <row r="5317" spans="1:16">
      <c r="A5317" s="5">
        <v>45944</v>
      </c>
      <c r="B5317">
        <v>19</v>
      </c>
      <c r="C5317" t="s">
        <v>3</v>
      </c>
      <c r="D5317">
        <v>2</v>
      </c>
      <c r="E5317">
        <v>68</v>
      </c>
      <c r="F5317" t="s">
        <v>1</v>
      </c>
      <c r="G5317" s="6">
        <v>45987</v>
      </c>
      <c r="H5317">
        <v>43</v>
      </c>
      <c r="I5317">
        <f>ROUND(CompilDonnées[[#This Row],[CultureDuration_days]]/7,0)</f>
        <v>6</v>
      </c>
      <c r="J5317">
        <v>849</v>
      </c>
      <c r="K5317" t="str">
        <f>_xlfn.CONCAT(WEEKNUM(CompilDonnées[[#This Row],[PlantationDate]]), " ", YEAR(CompilDonnées[[#This Row],[PlantationDate]]))</f>
        <v>42 2025</v>
      </c>
      <c r="L5317" t="str">
        <f>CONCATENATE(MONTH(CompilDonnées[[#This Row],[PlantationDate]])," ", YEAR(CompilDonnées[[#This Row],[PlantationDate]]))</f>
        <v>10 2025</v>
      </c>
      <c r="M5317" t="str">
        <f>CONCATENATE(MONTH(CompilDonnées[[#This Row],[HarvestingDate]])," ", YEAR(CompilDonnées[[#This Row],[HarvestingDate]]))</f>
        <v>11 2025</v>
      </c>
      <c r="N5317">
        <f>_xlfn.NUMBERVALUE(CompilDonnées[[#This Row],[FarmID]]&amp;CompilDonnées[[#This Row],[ModuleNumber]]&amp;CompilDonnées[[#This Row],[PlantationDate]])</f>
        <v>19245944</v>
      </c>
      <c r="O5317" t="str">
        <f>CompilDonnées[[#This Row],[FarmID]]&amp;CompilDonnées[[#This Row],[ModuleNumber]]</f>
        <v>192</v>
      </c>
      <c r="P5317" t="str">
        <f>CompilDonnées[[#This Row],[Ref_Module]]&amp;CompilDonnées[[#This Row],[HarvestingDate]]</f>
        <v>19245987</v>
      </c>
    </row>
    <row r="5318" spans="1:16">
      <c r="A5318" s="5">
        <v>45944</v>
      </c>
      <c r="B5318">
        <v>19</v>
      </c>
      <c r="C5318" t="s">
        <v>3</v>
      </c>
      <c r="D5318">
        <v>3</v>
      </c>
      <c r="E5318">
        <v>68</v>
      </c>
      <c r="F5318" t="s">
        <v>1</v>
      </c>
      <c r="G5318" s="6">
        <v>45987</v>
      </c>
      <c r="H5318">
        <v>43</v>
      </c>
      <c r="I5318">
        <f>ROUND(CompilDonnées[[#This Row],[CultureDuration_days]]/7,0)</f>
        <v>6</v>
      </c>
      <c r="J5318">
        <v>839</v>
      </c>
      <c r="K5318" t="str">
        <f>_xlfn.CONCAT(WEEKNUM(CompilDonnées[[#This Row],[PlantationDate]]), " ", YEAR(CompilDonnées[[#This Row],[PlantationDate]]))</f>
        <v>42 2025</v>
      </c>
      <c r="L5318" t="str">
        <f>CONCATENATE(MONTH(CompilDonnées[[#This Row],[PlantationDate]])," ", YEAR(CompilDonnées[[#This Row],[PlantationDate]]))</f>
        <v>10 2025</v>
      </c>
      <c r="M5318" t="str">
        <f>CONCATENATE(MONTH(CompilDonnées[[#This Row],[HarvestingDate]])," ", YEAR(CompilDonnées[[#This Row],[HarvestingDate]]))</f>
        <v>11 2025</v>
      </c>
      <c r="N5318">
        <f>_xlfn.NUMBERVALUE(CompilDonnées[[#This Row],[FarmID]]&amp;CompilDonnées[[#This Row],[ModuleNumber]]&amp;CompilDonnées[[#This Row],[PlantationDate]])</f>
        <v>19345944</v>
      </c>
      <c r="O5318" t="str">
        <f>CompilDonnées[[#This Row],[FarmID]]&amp;CompilDonnées[[#This Row],[ModuleNumber]]</f>
        <v>193</v>
      </c>
      <c r="P5318" t="str">
        <f>CompilDonnées[[#This Row],[Ref_Module]]&amp;CompilDonnées[[#This Row],[HarvestingDate]]</f>
        <v>19345987</v>
      </c>
    </row>
    <row r="5319" spans="1:16">
      <c r="A5319" s="5">
        <v>45945</v>
      </c>
      <c r="B5319">
        <v>53</v>
      </c>
      <c r="C5319" t="s">
        <v>83</v>
      </c>
      <c r="D5319">
        <v>2</v>
      </c>
      <c r="E5319">
        <v>100</v>
      </c>
      <c r="F5319" t="s">
        <v>1</v>
      </c>
      <c r="G5319" s="6">
        <v>45972</v>
      </c>
      <c r="H5319">
        <v>27</v>
      </c>
      <c r="I5319">
        <f>ROUND(CompilDonnées[[#This Row],[CultureDuration_days]]/7,0)</f>
        <v>4</v>
      </c>
      <c r="J5319">
        <v>1207</v>
      </c>
      <c r="K5319" t="str">
        <f>_xlfn.CONCAT(WEEKNUM(CompilDonnées[[#This Row],[PlantationDate]]), " ", YEAR(CompilDonnées[[#This Row],[PlantationDate]]))</f>
        <v>42 2025</v>
      </c>
      <c r="L5319" t="str">
        <f>CONCATENATE(MONTH(CompilDonnées[[#This Row],[PlantationDate]])," ", YEAR(CompilDonnées[[#This Row],[PlantationDate]]))</f>
        <v>10 2025</v>
      </c>
      <c r="M5319" t="str">
        <f>CONCATENATE(MONTH(CompilDonnées[[#This Row],[HarvestingDate]])," ", YEAR(CompilDonnées[[#This Row],[HarvestingDate]]))</f>
        <v>11 2025</v>
      </c>
      <c r="N5319">
        <f>_xlfn.NUMBERVALUE(CompilDonnées[[#This Row],[FarmID]]&amp;CompilDonnées[[#This Row],[ModuleNumber]]&amp;CompilDonnées[[#This Row],[PlantationDate]])</f>
        <v>53245945</v>
      </c>
      <c r="O5319" t="str">
        <f>CompilDonnées[[#This Row],[FarmID]]&amp;CompilDonnées[[#This Row],[ModuleNumber]]</f>
        <v>532</v>
      </c>
      <c r="P5319" t="str">
        <f>CompilDonnées[[#This Row],[Ref_Module]]&amp;CompilDonnées[[#This Row],[HarvestingDate]]</f>
        <v>53245972</v>
      </c>
    </row>
    <row r="5320" spans="1:16">
      <c r="A5320" s="5">
        <v>45945</v>
      </c>
      <c r="B5320">
        <v>70</v>
      </c>
      <c r="C5320" t="s">
        <v>7</v>
      </c>
      <c r="D5320">
        <v>2</v>
      </c>
      <c r="E5320">
        <v>100</v>
      </c>
      <c r="F5320" t="s">
        <v>1</v>
      </c>
      <c r="G5320" s="6">
        <v>45986</v>
      </c>
      <c r="H5320">
        <v>41</v>
      </c>
      <c r="I5320">
        <f>ROUND(CompilDonnées[[#This Row],[CultureDuration_days]]/7,0)</f>
        <v>6</v>
      </c>
      <c r="J5320">
        <v>2387</v>
      </c>
      <c r="K5320" t="str">
        <f>_xlfn.CONCAT(WEEKNUM(CompilDonnées[[#This Row],[PlantationDate]]), " ", YEAR(CompilDonnées[[#This Row],[PlantationDate]]))</f>
        <v>42 2025</v>
      </c>
      <c r="L5320" t="str">
        <f>CONCATENATE(MONTH(CompilDonnées[[#This Row],[PlantationDate]])," ", YEAR(CompilDonnées[[#This Row],[PlantationDate]]))</f>
        <v>10 2025</v>
      </c>
      <c r="M5320" t="str">
        <f>CONCATENATE(MONTH(CompilDonnées[[#This Row],[HarvestingDate]])," ", YEAR(CompilDonnées[[#This Row],[HarvestingDate]]))</f>
        <v>11 2025</v>
      </c>
      <c r="N5320">
        <f>_xlfn.NUMBERVALUE(CompilDonnées[[#This Row],[FarmID]]&amp;CompilDonnées[[#This Row],[ModuleNumber]]&amp;CompilDonnées[[#This Row],[PlantationDate]])</f>
        <v>70245945</v>
      </c>
      <c r="O5320" t="str">
        <f>CompilDonnées[[#This Row],[FarmID]]&amp;CompilDonnées[[#This Row],[ModuleNumber]]</f>
        <v>702</v>
      </c>
      <c r="P5320" t="str">
        <f>CompilDonnées[[#This Row],[Ref_Module]]&amp;CompilDonnées[[#This Row],[HarvestingDate]]</f>
        <v>70245986</v>
      </c>
    </row>
    <row r="5321" spans="1:16">
      <c r="A5321" s="5">
        <v>45945</v>
      </c>
      <c r="B5321">
        <v>2</v>
      </c>
      <c r="C5321" t="s">
        <v>126</v>
      </c>
      <c r="D5321">
        <v>4</v>
      </c>
      <c r="E5321">
        <v>100</v>
      </c>
      <c r="F5321" t="s">
        <v>1</v>
      </c>
      <c r="G5321" s="6">
        <v>46003</v>
      </c>
      <c r="H5321">
        <v>58</v>
      </c>
      <c r="I5321">
        <f>ROUND(CompilDonnées[[#This Row],[CultureDuration_days]]/7,0)</f>
        <v>8</v>
      </c>
      <c r="J5321">
        <v>2136</v>
      </c>
      <c r="K5321" t="str">
        <f>_xlfn.CONCAT(WEEKNUM(CompilDonnées[[#This Row],[PlantationDate]]), " ", YEAR(CompilDonnées[[#This Row],[PlantationDate]]))</f>
        <v>42 2025</v>
      </c>
      <c r="L5321" t="str">
        <f>CONCATENATE(MONTH(CompilDonnées[[#This Row],[PlantationDate]])," ", YEAR(CompilDonnées[[#This Row],[PlantationDate]]))</f>
        <v>10 2025</v>
      </c>
      <c r="M5321" t="str">
        <f>CONCATENATE(MONTH(CompilDonnées[[#This Row],[HarvestingDate]])," ", YEAR(CompilDonnées[[#This Row],[HarvestingDate]]))</f>
        <v>12 2025</v>
      </c>
      <c r="N5321">
        <f>_xlfn.NUMBERVALUE(CompilDonnées[[#This Row],[FarmID]]&amp;CompilDonnées[[#This Row],[ModuleNumber]]&amp;CompilDonnées[[#This Row],[PlantationDate]])</f>
        <v>2445945</v>
      </c>
      <c r="O5321" t="str">
        <f>CompilDonnées[[#This Row],[FarmID]]&amp;CompilDonnées[[#This Row],[ModuleNumber]]</f>
        <v>24</v>
      </c>
      <c r="P5321" t="str">
        <f>CompilDonnées[[#This Row],[Ref_Module]]&amp;CompilDonnées[[#This Row],[HarvestingDate]]</f>
        <v>2446003</v>
      </c>
    </row>
    <row r="5322" spans="1:16">
      <c r="A5322" s="5">
        <v>45945</v>
      </c>
      <c r="B5322">
        <v>7</v>
      </c>
      <c r="C5322" t="s">
        <v>50</v>
      </c>
      <c r="D5322">
        <v>5</v>
      </c>
      <c r="E5322">
        <v>100</v>
      </c>
      <c r="F5322" t="s">
        <v>1</v>
      </c>
      <c r="G5322" s="6">
        <v>45996</v>
      </c>
      <c r="H5322">
        <v>51</v>
      </c>
      <c r="I5322">
        <f>ROUND(CompilDonnées[[#This Row],[CultureDuration_days]]/7,0)</f>
        <v>7</v>
      </c>
      <c r="J5322">
        <v>2211</v>
      </c>
      <c r="K5322" t="str">
        <f>_xlfn.CONCAT(WEEKNUM(CompilDonnées[[#This Row],[PlantationDate]]), " ", YEAR(CompilDonnées[[#This Row],[PlantationDate]]))</f>
        <v>42 2025</v>
      </c>
      <c r="L5322" t="str">
        <f>CONCATENATE(MONTH(CompilDonnées[[#This Row],[PlantationDate]])," ", YEAR(CompilDonnées[[#This Row],[PlantationDate]]))</f>
        <v>10 2025</v>
      </c>
      <c r="M5322" t="str">
        <f>CONCATENATE(MONTH(CompilDonnées[[#This Row],[HarvestingDate]])," ", YEAR(CompilDonnées[[#This Row],[HarvestingDate]]))</f>
        <v>12 2025</v>
      </c>
      <c r="N5322">
        <f>_xlfn.NUMBERVALUE(CompilDonnées[[#This Row],[FarmID]]&amp;CompilDonnées[[#This Row],[ModuleNumber]]&amp;CompilDonnées[[#This Row],[PlantationDate]])</f>
        <v>7545945</v>
      </c>
      <c r="O5322" t="str">
        <f>CompilDonnées[[#This Row],[FarmID]]&amp;CompilDonnées[[#This Row],[ModuleNumber]]</f>
        <v>75</v>
      </c>
      <c r="P5322" t="str">
        <f>CompilDonnées[[#This Row],[Ref_Module]]&amp;CompilDonnées[[#This Row],[HarvestingDate]]</f>
        <v>7545996</v>
      </c>
    </row>
    <row r="5323" spans="1:16">
      <c r="A5323" s="5">
        <v>45945</v>
      </c>
      <c r="B5323">
        <v>24</v>
      </c>
      <c r="C5323" t="s">
        <v>31</v>
      </c>
      <c r="D5323">
        <v>1</v>
      </c>
      <c r="E5323">
        <v>100</v>
      </c>
      <c r="F5323" t="s">
        <v>1</v>
      </c>
      <c r="G5323" s="6">
        <v>45995</v>
      </c>
      <c r="H5323">
        <v>50</v>
      </c>
      <c r="I5323">
        <f>ROUND(CompilDonnées[[#This Row],[CultureDuration_days]]/7,0)</f>
        <v>7</v>
      </c>
      <c r="J5323">
        <v>2803</v>
      </c>
      <c r="K5323" t="str">
        <f>_xlfn.CONCAT(WEEKNUM(CompilDonnées[[#This Row],[PlantationDate]]), " ", YEAR(CompilDonnées[[#This Row],[PlantationDate]]))</f>
        <v>42 2025</v>
      </c>
      <c r="L5323" t="str">
        <f>CONCATENATE(MONTH(CompilDonnées[[#This Row],[PlantationDate]])," ", YEAR(CompilDonnées[[#This Row],[PlantationDate]]))</f>
        <v>10 2025</v>
      </c>
      <c r="M5323" t="str">
        <f>CONCATENATE(MONTH(CompilDonnées[[#This Row],[HarvestingDate]])," ", YEAR(CompilDonnées[[#This Row],[HarvestingDate]]))</f>
        <v>12 2025</v>
      </c>
      <c r="N5323">
        <f>_xlfn.NUMBERVALUE(CompilDonnées[[#This Row],[FarmID]]&amp;CompilDonnées[[#This Row],[ModuleNumber]]&amp;CompilDonnées[[#This Row],[PlantationDate]])</f>
        <v>24145945</v>
      </c>
      <c r="O5323" t="str">
        <f>CompilDonnées[[#This Row],[FarmID]]&amp;CompilDonnées[[#This Row],[ModuleNumber]]</f>
        <v>241</v>
      </c>
      <c r="P5323" t="str">
        <f>CompilDonnées[[#This Row],[Ref_Module]]&amp;CompilDonnées[[#This Row],[HarvestingDate]]</f>
        <v>24145995</v>
      </c>
    </row>
    <row r="5324" spans="1:16">
      <c r="A5324" s="5">
        <v>45945</v>
      </c>
      <c r="B5324">
        <v>23</v>
      </c>
      <c r="C5324" t="s">
        <v>44</v>
      </c>
      <c r="D5324">
        <v>6</v>
      </c>
      <c r="E5324">
        <v>100</v>
      </c>
      <c r="F5324" t="s">
        <v>1</v>
      </c>
      <c r="G5324" s="6">
        <v>45995</v>
      </c>
      <c r="H5324">
        <v>50</v>
      </c>
      <c r="I5324">
        <f>ROUND(CompilDonnées[[#This Row],[CultureDuration_days]]/7,0)</f>
        <v>7</v>
      </c>
      <c r="J5324">
        <v>4227</v>
      </c>
      <c r="K5324" t="str">
        <f>_xlfn.CONCAT(WEEKNUM(CompilDonnées[[#This Row],[PlantationDate]]), " ", YEAR(CompilDonnées[[#This Row],[PlantationDate]]))</f>
        <v>42 2025</v>
      </c>
      <c r="L5324" t="str">
        <f>CONCATENATE(MONTH(CompilDonnées[[#This Row],[PlantationDate]])," ", YEAR(CompilDonnées[[#This Row],[PlantationDate]]))</f>
        <v>10 2025</v>
      </c>
      <c r="M5324" t="str">
        <f>CONCATENATE(MONTH(CompilDonnées[[#This Row],[HarvestingDate]])," ", YEAR(CompilDonnées[[#This Row],[HarvestingDate]]))</f>
        <v>12 2025</v>
      </c>
      <c r="N5324">
        <f>_xlfn.NUMBERVALUE(CompilDonnées[[#This Row],[FarmID]]&amp;CompilDonnées[[#This Row],[ModuleNumber]]&amp;CompilDonnées[[#This Row],[PlantationDate]])</f>
        <v>23645945</v>
      </c>
      <c r="O5324" t="str">
        <f>CompilDonnées[[#This Row],[FarmID]]&amp;CompilDonnées[[#This Row],[ModuleNumber]]</f>
        <v>236</v>
      </c>
      <c r="P5324" t="str">
        <f>CompilDonnées[[#This Row],[Ref_Module]]&amp;CompilDonnées[[#This Row],[HarvestingDate]]</f>
        <v>23645995</v>
      </c>
    </row>
    <row r="5325" spans="1:16">
      <c r="A5325" s="5">
        <v>45945</v>
      </c>
      <c r="B5325">
        <v>32</v>
      </c>
      <c r="C5325" t="s">
        <v>25</v>
      </c>
      <c r="D5325">
        <v>6</v>
      </c>
      <c r="E5325">
        <v>100</v>
      </c>
      <c r="F5325" t="s">
        <v>1</v>
      </c>
      <c r="G5325" s="6">
        <v>45995</v>
      </c>
      <c r="H5325">
        <v>50</v>
      </c>
      <c r="I5325">
        <f>ROUND(CompilDonnées[[#This Row],[CultureDuration_days]]/7,0)</f>
        <v>7</v>
      </c>
      <c r="J5325">
        <v>3763</v>
      </c>
      <c r="K5325" t="str">
        <f>_xlfn.CONCAT(WEEKNUM(CompilDonnées[[#This Row],[PlantationDate]]), " ", YEAR(CompilDonnées[[#This Row],[PlantationDate]]))</f>
        <v>42 2025</v>
      </c>
      <c r="L5325" t="str">
        <f>CONCATENATE(MONTH(CompilDonnées[[#This Row],[PlantationDate]])," ", YEAR(CompilDonnées[[#This Row],[PlantationDate]]))</f>
        <v>10 2025</v>
      </c>
      <c r="M5325" t="str">
        <f>CONCATENATE(MONTH(CompilDonnées[[#This Row],[HarvestingDate]])," ", YEAR(CompilDonnées[[#This Row],[HarvestingDate]]))</f>
        <v>12 2025</v>
      </c>
      <c r="N5325">
        <f>_xlfn.NUMBERVALUE(CompilDonnées[[#This Row],[FarmID]]&amp;CompilDonnées[[#This Row],[ModuleNumber]]&amp;CompilDonnées[[#This Row],[PlantationDate]])</f>
        <v>32645945</v>
      </c>
      <c r="O5325" t="str">
        <f>CompilDonnées[[#This Row],[FarmID]]&amp;CompilDonnées[[#This Row],[ModuleNumber]]</f>
        <v>326</v>
      </c>
      <c r="P5325" t="str">
        <f>CompilDonnées[[#This Row],[Ref_Module]]&amp;CompilDonnées[[#This Row],[HarvestingDate]]</f>
        <v>32645995</v>
      </c>
    </row>
    <row r="5326" spans="1:16">
      <c r="A5326" s="5">
        <v>45945</v>
      </c>
      <c r="B5326">
        <v>31</v>
      </c>
      <c r="C5326" t="s">
        <v>62</v>
      </c>
      <c r="D5326">
        <v>1</v>
      </c>
      <c r="E5326">
        <v>100</v>
      </c>
      <c r="F5326" t="s">
        <v>1</v>
      </c>
      <c r="G5326" s="6">
        <v>45995</v>
      </c>
      <c r="H5326">
        <v>50</v>
      </c>
      <c r="I5326">
        <f>ROUND(CompilDonnées[[#This Row],[CultureDuration_days]]/7,0)</f>
        <v>7</v>
      </c>
      <c r="J5326">
        <v>2300</v>
      </c>
      <c r="K5326" t="str">
        <f>_xlfn.CONCAT(WEEKNUM(CompilDonnées[[#This Row],[PlantationDate]]), " ", YEAR(CompilDonnées[[#This Row],[PlantationDate]]))</f>
        <v>42 2025</v>
      </c>
      <c r="L5326" t="str">
        <f>CONCATENATE(MONTH(CompilDonnées[[#This Row],[PlantationDate]])," ", YEAR(CompilDonnées[[#This Row],[PlantationDate]]))</f>
        <v>10 2025</v>
      </c>
      <c r="M5326" t="str">
        <f>CONCATENATE(MONTH(CompilDonnées[[#This Row],[HarvestingDate]])," ", YEAR(CompilDonnées[[#This Row],[HarvestingDate]]))</f>
        <v>12 2025</v>
      </c>
      <c r="N5326">
        <f>_xlfn.NUMBERVALUE(CompilDonnées[[#This Row],[FarmID]]&amp;CompilDonnées[[#This Row],[ModuleNumber]]&amp;CompilDonnées[[#This Row],[PlantationDate]])</f>
        <v>31145945</v>
      </c>
      <c r="O5326" t="str">
        <f>CompilDonnées[[#This Row],[FarmID]]&amp;CompilDonnées[[#This Row],[ModuleNumber]]</f>
        <v>311</v>
      </c>
      <c r="P5326" t="str">
        <f>CompilDonnées[[#This Row],[Ref_Module]]&amp;CompilDonnées[[#This Row],[HarvestingDate]]</f>
        <v>31145995</v>
      </c>
    </row>
    <row r="5327" spans="1:16">
      <c r="A5327" s="5">
        <v>45945</v>
      </c>
      <c r="B5327">
        <v>38</v>
      </c>
      <c r="C5327" t="s">
        <v>34</v>
      </c>
      <c r="D5327">
        <v>5</v>
      </c>
      <c r="E5327">
        <v>100</v>
      </c>
      <c r="F5327" t="s">
        <v>1</v>
      </c>
      <c r="G5327" s="6">
        <v>45995</v>
      </c>
      <c r="H5327">
        <v>50</v>
      </c>
      <c r="I5327">
        <f>ROUND(CompilDonnées[[#This Row],[CultureDuration_days]]/7,0)</f>
        <v>7</v>
      </c>
      <c r="J5327">
        <v>3162</v>
      </c>
      <c r="K5327" t="str">
        <f>_xlfn.CONCAT(WEEKNUM(CompilDonnées[[#This Row],[PlantationDate]]), " ", YEAR(CompilDonnées[[#This Row],[PlantationDate]]))</f>
        <v>42 2025</v>
      </c>
      <c r="L5327" t="str">
        <f>CONCATENATE(MONTH(CompilDonnées[[#This Row],[PlantationDate]])," ", YEAR(CompilDonnées[[#This Row],[PlantationDate]]))</f>
        <v>10 2025</v>
      </c>
      <c r="M5327" t="str">
        <f>CONCATENATE(MONTH(CompilDonnées[[#This Row],[HarvestingDate]])," ", YEAR(CompilDonnées[[#This Row],[HarvestingDate]]))</f>
        <v>12 2025</v>
      </c>
      <c r="N5327">
        <f>_xlfn.NUMBERVALUE(CompilDonnées[[#This Row],[FarmID]]&amp;CompilDonnées[[#This Row],[ModuleNumber]]&amp;CompilDonnées[[#This Row],[PlantationDate]])</f>
        <v>38545945</v>
      </c>
      <c r="O5327" t="str">
        <f>CompilDonnées[[#This Row],[FarmID]]&amp;CompilDonnées[[#This Row],[ModuleNumber]]</f>
        <v>385</v>
      </c>
      <c r="P5327" t="str">
        <f>CompilDonnées[[#This Row],[Ref_Module]]&amp;CompilDonnées[[#This Row],[HarvestingDate]]</f>
        <v>38545995</v>
      </c>
    </row>
    <row r="5328" spans="1:16">
      <c r="A5328" s="5">
        <v>45945</v>
      </c>
      <c r="B5328">
        <v>35</v>
      </c>
      <c r="C5328" t="s">
        <v>69</v>
      </c>
      <c r="D5328">
        <v>6</v>
      </c>
      <c r="E5328">
        <v>100</v>
      </c>
      <c r="F5328" t="s">
        <v>1</v>
      </c>
      <c r="G5328" s="6">
        <v>45995</v>
      </c>
      <c r="H5328">
        <v>50</v>
      </c>
      <c r="I5328">
        <f>ROUND(CompilDonnées[[#This Row],[CultureDuration_days]]/7,0)</f>
        <v>7</v>
      </c>
      <c r="J5328">
        <v>3255</v>
      </c>
      <c r="K5328" t="str">
        <f>_xlfn.CONCAT(WEEKNUM(CompilDonnées[[#This Row],[PlantationDate]]), " ", YEAR(CompilDonnées[[#This Row],[PlantationDate]]))</f>
        <v>42 2025</v>
      </c>
      <c r="L5328" t="str">
        <f>CONCATENATE(MONTH(CompilDonnées[[#This Row],[PlantationDate]])," ", YEAR(CompilDonnées[[#This Row],[PlantationDate]]))</f>
        <v>10 2025</v>
      </c>
      <c r="M5328" t="str">
        <f>CONCATENATE(MONTH(CompilDonnées[[#This Row],[HarvestingDate]])," ", YEAR(CompilDonnées[[#This Row],[HarvestingDate]]))</f>
        <v>12 2025</v>
      </c>
      <c r="N5328">
        <f>_xlfn.NUMBERVALUE(CompilDonnées[[#This Row],[FarmID]]&amp;CompilDonnées[[#This Row],[ModuleNumber]]&amp;CompilDonnées[[#This Row],[PlantationDate]])</f>
        <v>35645945</v>
      </c>
      <c r="O5328" t="str">
        <f>CompilDonnées[[#This Row],[FarmID]]&amp;CompilDonnées[[#This Row],[ModuleNumber]]</f>
        <v>356</v>
      </c>
      <c r="P5328" t="str">
        <f>CompilDonnées[[#This Row],[Ref_Module]]&amp;CompilDonnées[[#This Row],[HarvestingDate]]</f>
        <v>35645995</v>
      </c>
    </row>
    <row r="5329" spans="1:16">
      <c r="A5329" s="5">
        <v>45945</v>
      </c>
      <c r="B5329">
        <v>43</v>
      </c>
      <c r="C5329" t="s">
        <v>45</v>
      </c>
      <c r="D5329">
        <v>5</v>
      </c>
      <c r="E5329">
        <v>100</v>
      </c>
      <c r="F5329" t="s">
        <v>1</v>
      </c>
      <c r="G5329" s="6">
        <v>45995</v>
      </c>
      <c r="H5329">
        <v>50</v>
      </c>
      <c r="I5329">
        <f>ROUND(CompilDonnées[[#This Row],[CultureDuration_days]]/7,0)</f>
        <v>7</v>
      </c>
      <c r="J5329">
        <v>3090</v>
      </c>
      <c r="K5329" t="str">
        <f>_xlfn.CONCAT(WEEKNUM(CompilDonnées[[#This Row],[PlantationDate]]), " ", YEAR(CompilDonnées[[#This Row],[PlantationDate]]))</f>
        <v>42 2025</v>
      </c>
      <c r="L5329" t="str">
        <f>CONCATENATE(MONTH(CompilDonnées[[#This Row],[PlantationDate]])," ", YEAR(CompilDonnées[[#This Row],[PlantationDate]]))</f>
        <v>10 2025</v>
      </c>
      <c r="M5329" t="str">
        <f>CONCATENATE(MONTH(CompilDonnées[[#This Row],[HarvestingDate]])," ", YEAR(CompilDonnées[[#This Row],[HarvestingDate]]))</f>
        <v>12 2025</v>
      </c>
      <c r="N5329">
        <f>_xlfn.NUMBERVALUE(CompilDonnées[[#This Row],[FarmID]]&amp;CompilDonnées[[#This Row],[ModuleNumber]]&amp;CompilDonnées[[#This Row],[PlantationDate]])</f>
        <v>43545945</v>
      </c>
      <c r="O5329" t="str">
        <f>CompilDonnées[[#This Row],[FarmID]]&amp;CompilDonnées[[#This Row],[ModuleNumber]]</f>
        <v>435</v>
      </c>
      <c r="P5329" t="str">
        <f>CompilDonnées[[#This Row],[Ref_Module]]&amp;CompilDonnées[[#This Row],[HarvestingDate]]</f>
        <v>43545995</v>
      </c>
    </row>
    <row r="5330" spans="1:16">
      <c r="A5330" s="5">
        <v>45945</v>
      </c>
      <c r="B5330">
        <v>42</v>
      </c>
      <c r="C5330" t="s">
        <v>119</v>
      </c>
      <c r="D5330">
        <v>2</v>
      </c>
      <c r="E5330">
        <v>100</v>
      </c>
      <c r="F5330" t="s">
        <v>1</v>
      </c>
      <c r="G5330" s="6">
        <v>45994</v>
      </c>
      <c r="H5330">
        <v>49</v>
      </c>
      <c r="I5330">
        <f>ROUND(CompilDonnées[[#This Row],[CultureDuration_days]]/7,0)</f>
        <v>7</v>
      </c>
      <c r="J5330">
        <v>2447</v>
      </c>
      <c r="K5330" t="str">
        <f>_xlfn.CONCAT(WEEKNUM(CompilDonnées[[#This Row],[PlantationDate]]), " ", YEAR(CompilDonnées[[#This Row],[PlantationDate]]))</f>
        <v>42 2025</v>
      </c>
      <c r="L5330" t="str">
        <f>CONCATENATE(MONTH(CompilDonnées[[#This Row],[PlantationDate]])," ", YEAR(CompilDonnées[[#This Row],[PlantationDate]]))</f>
        <v>10 2025</v>
      </c>
      <c r="M5330" t="str">
        <f>CONCATENATE(MONTH(CompilDonnées[[#This Row],[HarvestingDate]])," ", YEAR(CompilDonnées[[#This Row],[HarvestingDate]]))</f>
        <v>12 2025</v>
      </c>
      <c r="N5330">
        <f>_xlfn.NUMBERVALUE(CompilDonnées[[#This Row],[FarmID]]&amp;CompilDonnées[[#This Row],[ModuleNumber]]&amp;CompilDonnées[[#This Row],[PlantationDate]])</f>
        <v>42245945</v>
      </c>
      <c r="O5330" t="str">
        <f>CompilDonnées[[#This Row],[FarmID]]&amp;CompilDonnées[[#This Row],[ModuleNumber]]</f>
        <v>422</v>
      </c>
      <c r="P5330" t="str">
        <f>CompilDonnées[[#This Row],[Ref_Module]]&amp;CompilDonnées[[#This Row],[HarvestingDate]]</f>
        <v>42245994</v>
      </c>
    </row>
    <row r="5331" spans="1:16">
      <c r="A5331" s="5">
        <v>45945</v>
      </c>
      <c r="B5331">
        <v>51</v>
      </c>
      <c r="C5331" t="s">
        <v>27</v>
      </c>
      <c r="D5331">
        <v>4</v>
      </c>
      <c r="E5331">
        <v>100</v>
      </c>
      <c r="F5331" t="s">
        <v>1</v>
      </c>
      <c r="G5331" s="6">
        <v>45994</v>
      </c>
      <c r="H5331">
        <v>49</v>
      </c>
      <c r="I5331">
        <f>ROUND(CompilDonnées[[#This Row],[CultureDuration_days]]/7,0)</f>
        <v>7</v>
      </c>
      <c r="J5331">
        <v>1473</v>
      </c>
      <c r="K5331" t="str">
        <f>_xlfn.CONCAT(WEEKNUM(CompilDonnées[[#This Row],[PlantationDate]]), " ", YEAR(CompilDonnées[[#This Row],[PlantationDate]]))</f>
        <v>42 2025</v>
      </c>
      <c r="L5331" t="str">
        <f>CONCATENATE(MONTH(CompilDonnées[[#This Row],[PlantationDate]])," ", YEAR(CompilDonnées[[#This Row],[PlantationDate]]))</f>
        <v>10 2025</v>
      </c>
      <c r="M5331" t="str">
        <f>CONCATENATE(MONTH(CompilDonnées[[#This Row],[HarvestingDate]])," ", YEAR(CompilDonnées[[#This Row],[HarvestingDate]]))</f>
        <v>12 2025</v>
      </c>
      <c r="N5331">
        <f>_xlfn.NUMBERVALUE(CompilDonnées[[#This Row],[FarmID]]&amp;CompilDonnées[[#This Row],[ModuleNumber]]&amp;CompilDonnées[[#This Row],[PlantationDate]])</f>
        <v>51445945</v>
      </c>
      <c r="O5331" t="str">
        <f>CompilDonnées[[#This Row],[FarmID]]&amp;CompilDonnées[[#This Row],[ModuleNumber]]</f>
        <v>514</v>
      </c>
      <c r="P5331" t="str">
        <f>CompilDonnées[[#This Row],[Ref_Module]]&amp;CompilDonnées[[#This Row],[HarvestingDate]]</f>
        <v>51445994</v>
      </c>
    </row>
    <row r="5332" spans="1:16">
      <c r="A5332" s="5">
        <v>45945</v>
      </c>
      <c r="B5332">
        <v>49</v>
      </c>
      <c r="C5332" t="s">
        <v>110</v>
      </c>
      <c r="D5332">
        <v>1</v>
      </c>
      <c r="E5332">
        <v>100</v>
      </c>
      <c r="F5332" t="s">
        <v>1</v>
      </c>
      <c r="G5332" s="6">
        <v>45995</v>
      </c>
      <c r="H5332">
        <v>50</v>
      </c>
      <c r="I5332">
        <f>ROUND(CompilDonnées[[#This Row],[CultureDuration_days]]/7,0)</f>
        <v>7</v>
      </c>
      <c r="J5332">
        <v>1935</v>
      </c>
      <c r="K5332" t="str">
        <f>_xlfn.CONCAT(WEEKNUM(CompilDonnées[[#This Row],[PlantationDate]]), " ", YEAR(CompilDonnées[[#This Row],[PlantationDate]]))</f>
        <v>42 2025</v>
      </c>
      <c r="L5332" t="str">
        <f>CONCATENATE(MONTH(CompilDonnées[[#This Row],[PlantationDate]])," ", YEAR(CompilDonnées[[#This Row],[PlantationDate]]))</f>
        <v>10 2025</v>
      </c>
      <c r="M5332" t="str">
        <f>CONCATENATE(MONTH(CompilDonnées[[#This Row],[HarvestingDate]])," ", YEAR(CompilDonnées[[#This Row],[HarvestingDate]]))</f>
        <v>12 2025</v>
      </c>
      <c r="N5332">
        <f>_xlfn.NUMBERVALUE(CompilDonnées[[#This Row],[FarmID]]&amp;CompilDonnées[[#This Row],[ModuleNumber]]&amp;CompilDonnées[[#This Row],[PlantationDate]])</f>
        <v>49145945</v>
      </c>
      <c r="O5332" t="str">
        <f>CompilDonnées[[#This Row],[FarmID]]&amp;CompilDonnées[[#This Row],[ModuleNumber]]</f>
        <v>491</v>
      </c>
      <c r="P5332" t="str">
        <f>CompilDonnées[[#This Row],[Ref_Module]]&amp;CompilDonnées[[#This Row],[HarvestingDate]]</f>
        <v>49145995</v>
      </c>
    </row>
    <row r="5333" spans="1:16">
      <c r="A5333" s="5">
        <v>45945</v>
      </c>
      <c r="B5333">
        <v>50</v>
      </c>
      <c r="C5333" t="s">
        <v>55</v>
      </c>
      <c r="D5333">
        <v>2</v>
      </c>
      <c r="E5333">
        <v>100</v>
      </c>
      <c r="F5333" t="s">
        <v>1</v>
      </c>
      <c r="G5333" s="6">
        <v>45986</v>
      </c>
      <c r="H5333">
        <v>41</v>
      </c>
      <c r="I5333">
        <f>ROUND(CompilDonnées[[#This Row],[CultureDuration_days]]/7,0)</f>
        <v>6</v>
      </c>
      <c r="J5333">
        <v>2340</v>
      </c>
      <c r="K5333" t="str">
        <f>_xlfn.CONCAT(WEEKNUM(CompilDonnées[[#This Row],[PlantationDate]]), " ", YEAR(CompilDonnées[[#This Row],[PlantationDate]]))</f>
        <v>42 2025</v>
      </c>
      <c r="L5333" t="str">
        <f>CONCATENATE(MONTH(CompilDonnées[[#This Row],[PlantationDate]])," ", YEAR(CompilDonnées[[#This Row],[PlantationDate]]))</f>
        <v>10 2025</v>
      </c>
      <c r="M5333" t="str">
        <f>CONCATENATE(MONTH(CompilDonnées[[#This Row],[HarvestingDate]])," ", YEAR(CompilDonnées[[#This Row],[HarvestingDate]]))</f>
        <v>11 2025</v>
      </c>
      <c r="N5333">
        <f>_xlfn.NUMBERVALUE(CompilDonnées[[#This Row],[FarmID]]&amp;CompilDonnées[[#This Row],[ModuleNumber]]&amp;CompilDonnées[[#This Row],[PlantationDate]])</f>
        <v>50245945</v>
      </c>
      <c r="O5333" t="str">
        <f>CompilDonnées[[#This Row],[FarmID]]&amp;CompilDonnées[[#This Row],[ModuleNumber]]</f>
        <v>502</v>
      </c>
      <c r="P5333" t="str">
        <f>CompilDonnées[[#This Row],[Ref_Module]]&amp;CompilDonnées[[#This Row],[HarvestingDate]]</f>
        <v>50245986</v>
      </c>
    </row>
    <row r="5334" spans="1:16">
      <c r="A5334" s="5">
        <v>45945</v>
      </c>
      <c r="B5334">
        <v>58</v>
      </c>
      <c r="C5334" t="s">
        <v>35</v>
      </c>
      <c r="D5334">
        <v>6</v>
      </c>
      <c r="E5334">
        <v>100</v>
      </c>
      <c r="F5334" t="s">
        <v>1</v>
      </c>
      <c r="G5334" s="6">
        <v>45985</v>
      </c>
      <c r="H5334">
        <v>40</v>
      </c>
      <c r="I5334">
        <f>ROUND(CompilDonnées[[#This Row],[CultureDuration_days]]/7,0)</f>
        <v>6</v>
      </c>
      <c r="J5334">
        <v>3264</v>
      </c>
      <c r="K5334" t="str">
        <f>_xlfn.CONCAT(WEEKNUM(CompilDonnées[[#This Row],[PlantationDate]]), " ", YEAR(CompilDonnées[[#This Row],[PlantationDate]]))</f>
        <v>42 2025</v>
      </c>
      <c r="L5334" t="str">
        <f>CONCATENATE(MONTH(CompilDonnées[[#This Row],[PlantationDate]])," ", YEAR(CompilDonnées[[#This Row],[PlantationDate]]))</f>
        <v>10 2025</v>
      </c>
      <c r="M5334" t="str">
        <f>CONCATENATE(MONTH(CompilDonnées[[#This Row],[HarvestingDate]])," ", YEAR(CompilDonnées[[#This Row],[HarvestingDate]]))</f>
        <v>11 2025</v>
      </c>
      <c r="N5334">
        <f>_xlfn.NUMBERVALUE(CompilDonnées[[#This Row],[FarmID]]&amp;CompilDonnées[[#This Row],[ModuleNumber]]&amp;CompilDonnées[[#This Row],[PlantationDate]])</f>
        <v>58645945</v>
      </c>
      <c r="O5334" t="str">
        <f>CompilDonnées[[#This Row],[FarmID]]&amp;CompilDonnées[[#This Row],[ModuleNumber]]</f>
        <v>586</v>
      </c>
      <c r="P5334" t="str">
        <f>CompilDonnées[[#This Row],[Ref_Module]]&amp;CompilDonnées[[#This Row],[HarvestingDate]]</f>
        <v>58645985</v>
      </c>
    </row>
    <row r="5335" spans="1:16">
      <c r="A5335" s="5">
        <v>45945</v>
      </c>
      <c r="B5335">
        <v>56</v>
      </c>
      <c r="C5335" t="s">
        <v>6</v>
      </c>
      <c r="D5335">
        <v>3</v>
      </c>
      <c r="E5335">
        <v>100</v>
      </c>
      <c r="F5335" t="s">
        <v>1</v>
      </c>
      <c r="G5335" s="6">
        <v>45994</v>
      </c>
      <c r="H5335">
        <v>49</v>
      </c>
      <c r="I5335">
        <f>ROUND(CompilDonnées[[#This Row],[CultureDuration_days]]/7,0)</f>
        <v>7</v>
      </c>
      <c r="J5335">
        <v>2058</v>
      </c>
      <c r="K5335" t="str">
        <f>_xlfn.CONCAT(WEEKNUM(CompilDonnées[[#This Row],[PlantationDate]]), " ", YEAR(CompilDonnées[[#This Row],[PlantationDate]]))</f>
        <v>42 2025</v>
      </c>
      <c r="L5335" t="str">
        <f>CONCATENATE(MONTH(CompilDonnées[[#This Row],[PlantationDate]])," ", YEAR(CompilDonnées[[#This Row],[PlantationDate]]))</f>
        <v>10 2025</v>
      </c>
      <c r="M5335" t="str">
        <f>CONCATENATE(MONTH(CompilDonnées[[#This Row],[HarvestingDate]])," ", YEAR(CompilDonnées[[#This Row],[HarvestingDate]]))</f>
        <v>12 2025</v>
      </c>
      <c r="N5335">
        <f>_xlfn.NUMBERVALUE(CompilDonnées[[#This Row],[FarmID]]&amp;CompilDonnées[[#This Row],[ModuleNumber]]&amp;CompilDonnées[[#This Row],[PlantationDate]])</f>
        <v>56345945</v>
      </c>
      <c r="O5335" t="str">
        <f>CompilDonnées[[#This Row],[FarmID]]&amp;CompilDonnées[[#This Row],[ModuleNumber]]</f>
        <v>563</v>
      </c>
      <c r="P5335" t="str">
        <f>CompilDonnées[[#This Row],[Ref_Module]]&amp;CompilDonnées[[#This Row],[HarvestingDate]]</f>
        <v>56345994</v>
      </c>
    </row>
    <row r="5336" spans="1:16">
      <c r="A5336" s="5">
        <v>45945</v>
      </c>
      <c r="B5336">
        <v>68</v>
      </c>
      <c r="C5336" t="s">
        <v>89</v>
      </c>
      <c r="D5336">
        <v>3</v>
      </c>
      <c r="E5336">
        <v>100</v>
      </c>
      <c r="F5336" t="s">
        <v>1</v>
      </c>
      <c r="G5336" s="6">
        <v>45994</v>
      </c>
      <c r="H5336">
        <v>49</v>
      </c>
      <c r="I5336">
        <f>ROUND(CompilDonnées[[#This Row],[CultureDuration_days]]/7,0)</f>
        <v>7</v>
      </c>
      <c r="J5336">
        <v>2785</v>
      </c>
      <c r="K5336" t="str">
        <f>_xlfn.CONCAT(WEEKNUM(CompilDonnées[[#This Row],[PlantationDate]]), " ", YEAR(CompilDonnées[[#This Row],[PlantationDate]]))</f>
        <v>42 2025</v>
      </c>
      <c r="L5336" t="str">
        <f>CONCATENATE(MONTH(CompilDonnées[[#This Row],[PlantationDate]])," ", YEAR(CompilDonnées[[#This Row],[PlantationDate]]))</f>
        <v>10 2025</v>
      </c>
      <c r="M5336" t="str">
        <f>CONCATENATE(MONTH(CompilDonnées[[#This Row],[HarvestingDate]])," ", YEAR(CompilDonnées[[#This Row],[HarvestingDate]]))</f>
        <v>12 2025</v>
      </c>
      <c r="N5336">
        <f>_xlfn.NUMBERVALUE(CompilDonnées[[#This Row],[FarmID]]&amp;CompilDonnées[[#This Row],[ModuleNumber]]&amp;CompilDonnées[[#This Row],[PlantationDate]])</f>
        <v>68345945</v>
      </c>
      <c r="O5336" t="str">
        <f>CompilDonnées[[#This Row],[FarmID]]&amp;CompilDonnées[[#This Row],[ModuleNumber]]</f>
        <v>683</v>
      </c>
      <c r="P5336" t="str">
        <f>CompilDonnées[[#This Row],[Ref_Module]]&amp;CompilDonnées[[#This Row],[HarvestingDate]]</f>
        <v>68345994</v>
      </c>
    </row>
    <row r="5337" spans="1:16">
      <c r="A5337" s="5">
        <v>45945</v>
      </c>
      <c r="B5337">
        <v>67</v>
      </c>
      <c r="C5337" t="s">
        <v>28</v>
      </c>
      <c r="D5337">
        <v>2</v>
      </c>
      <c r="E5337">
        <v>100</v>
      </c>
      <c r="F5337" t="s">
        <v>1</v>
      </c>
      <c r="G5337" s="6">
        <v>45994</v>
      </c>
      <c r="H5337">
        <v>49</v>
      </c>
      <c r="I5337">
        <f>ROUND(CompilDonnées[[#This Row],[CultureDuration_days]]/7,0)</f>
        <v>7</v>
      </c>
      <c r="J5337">
        <v>3320</v>
      </c>
      <c r="K5337" t="str">
        <f>_xlfn.CONCAT(WEEKNUM(CompilDonnées[[#This Row],[PlantationDate]]), " ", YEAR(CompilDonnées[[#This Row],[PlantationDate]]))</f>
        <v>42 2025</v>
      </c>
      <c r="L5337" t="str">
        <f>CONCATENATE(MONTH(CompilDonnées[[#This Row],[PlantationDate]])," ", YEAR(CompilDonnées[[#This Row],[PlantationDate]]))</f>
        <v>10 2025</v>
      </c>
      <c r="M5337" t="str">
        <f>CONCATENATE(MONTH(CompilDonnées[[#This Row],[HarvestingDate]])," ", YEAR(CompilDonnées[[#This Row],[HarvestingDate]]))</f>
        <v>12 2025</v>
      </c>
      <c r="N5337">
        <f>_xlfn.NUMBERVALUE(CompilDonnées[[#This Row],[FarmID]]&amp;CompilDonnées[[#This Row],[ModuleNumber]]&amp;CompilDonnées[[#This Row],[PlantationDate]])</f>
        <v>67245945</v>
      </c>
      <c r="O5337" t="str">
        <f>CompilDonnées[[#This Row],[FarmID]]&amp;CompilDonnées[[#This Row],[ModuleNumber]]</f>
        <v>672</v>
      </c>
      <c r="P5337" t="str">
        <f>CompilDonnées[[#This Row],[Ref_Module]]&amp;CompilDonnées[[#This Row],[HarvestingDate]]</f>
        <v>67245994</v>
      </c>
    </row>
    <row r="5338" spans="1:16">
      <c r="A5338" s="5">
        <v>45945</v>
      </c>
      <c r="B5338">
        <v>65</v>
      </c>
      <c r="C5338" t="s">
        <v>36</v>
      </c>
      <c r="D5338">
        <v>5</v>
      </c>
      <c r="E5338">
        <v>100</v>
      </c>
      <c r="F5338" t="s">
        <v>1</v>
      </c>
      <c r="G5338" s="6">
        <v>45994</v>
      </c>
      <c r="H5338">
        <v>49</v>
      </c>
      <c r="I5338">
        <f>ROUND(CompilDonnées[[#This Row],[CultureDuration_days]]/7,0)</f>
        <v>7</v>
      </c>
      <c r="J5338">
        <v>2807</v>
      </c>
      <c r="K5338" t="str">
        <f>_xlfn.CONCAT(WEEKNUM(CompilDonnées[[#This Row],[PlantationDate]]), " ", YEAR(CompilDonnées[[#This Row],[PlantationDate]]))</f>
        <v>42 2025</v>
      </c>
      <c r="L5338" t="str">
        <f>CONCATENATE(MONTH(CompilDonnées[[#This Row],[PlantationDate]])," ", YEAR(CompilDonnées[[#This Row],[PlantationDate]]))</f>
        <v>10 2025</v>
      </c>
      <c r="M5338" t="str">
        <f>CONCATENATE(MONTH(CompilDonnées[[#This Row],[HarvestingDate]])," ", YEAR(CompilDonnées[[#This Row],[HarvestingDate]]))</f>
        <v>12 2025</v>
      </c>
      <c r="N5338">
        <f>_xlfn.NUMBERVALUE(CompilDonnées[[#This Row],[FarmID]]&amp;CompilDonnées[[#This Row],[ModuleNumber]]&amp;CompilDonnées[[#This Row],[PlantationDate]])</f>
        <v>65545945</v>
      </c>
      <c r="O5338" t="str">
        <f>CompilDonnées[[#This Row],[FarmID]]&amp;CompilDonnées[[#This Row],[ModuleNumber]]</f>
        <v>655</v>
      </c>
      <c r="P5338" t="str">
        <f>CompilDonnées[[#This Row],[Ref_Module]]&amp;CompilDonnées[[#This Row],[HarvestingDate]]</f>
        <v>65545994</v>
      </c>
    </row>
    <row r="5339" spans="1:16">
      <c r="A5339" s="5">
        <v>45945</v>
      </c>
      <c r="B5339">
        <v>66</v>
      </c>
      <c r="C5339" t="s">
        <v>48</v>
      </c>
      <c r="D5339">
        <v>2</v>
      </c>
      <c r="E5339">
        <v>100</v>
      </c>
      <c r="F5339" t="s">
        <v>1</v>
      </c>
      <c r="G5339" s="6">
        <v>45994</v>
      </c>
      <c r="H5339">
        <v>49</v>
      </c>
      <c r="I5339">
        <f>ROUND(CompilDonnées[[#This Row],[CultureDuration_days]]/7,0)</f>
        <v>7</v>
      </c>
      <c r="J5339">
        <v>2830</v>
      </c>
      <c r="K5339" t="str">
        <f>_xlfn.CONCAT(WEEKNUM(CompilDonnées[[#This Row],[PlantationDate]]), " ", YEAR(CompilDonnées[[#This Row],[PlantationDate]]))</f>
        <v>42 2025</v>
      </c>
      <c r="L5339" t="str">
        <f>CONCATENATE(MONTH(CompilDonnées[[#This Row],[PlantationDate]])," ", YEAR(CompilDonnées[[#This Row],[PlantationDate]]))</f>
        <v>10 2025</v>
      </c>
      <c r="M5339" t="str">
        <f>CONCATENATE(MONTH(CompilDonnées[[#This Row],[HarvestingDate]])," ", YEAR(CompilDonnées[[#This Row],[HarvestingDate]]))</f>
        <v>12 2025</v>
      </c>
      <c r="N5339">
        <f>_xlfn.NUMBERVALUE(CompilDonnées[[#This Row],[FarmID]]&amp;CompilDonnées[[#This Row],[ModuleNumber]]&amp;CompilDonnées[[#This Row],[PlantationDate]])</f>
        <v>66245945</v>
      </c>
      <c r="O5339" t="str">
        <f>CompilDonnées[[#This Row],[FarmID]]&amp;CompilDonnées[[#This Row],[ModuleNumber]]</f>
        <v>662</v>
      </c>
      <c r="P5339" t="str">
        <f>CompilDonnées[[#This Row],[Ref_Module]]&amp;CompilDonnées[[#This Row],[HarvestingDate]]</f>
        <v>66245994</v>
      </c>
    </row>
    <row r="5340" spans="1:16">
      <c r="A5340" s="5">
        <v>45945</v>
      </c>
      <c r="B5340">
        <v>79</v>
      </c>
      <c r="C5340" t="s">
        <v>61</v>
      </c>
      <c r="D5340">
        <v>6</v>
      </c>
      <c r="E5340">
        <v>100</v>
      </c>
      <c r="F5340" t="s">
        <v>1</v>
      </c>
      <c r="G5340" s="6">
        <v>45985</v>
      </c>
      <c r="H5340">
        <v>40</v>
      </c>
      <c r="I5340">
        <f>ROUND(CompilDonnées[[#This Row],[CultureDuration_days]]/7,0)</f>
        <v>6</v>
      </c>
      <c r="J5340">
        <v>3073</v>
      </c>
      <c r="K5340" t="str">
        <f>_xlfn.CONCAT(WEEKNUM(CompilDonnées[[#This Row],[PlantationDate]]), " ", YEAR(CompilDonnées[[#This Row],[PlantationDate]]))</f>
        <v>42 2025</v>
      </c>
      <c r="L5340" t="str">
        <f>CONCATENATE(MONTH(CompilDonnées[[#This Row],[PlantationDate]])," ", YEAR(CompilDonnées[[#This Row],[PlantationDate]]))</f>
        <v>10 2025</v>
      </c>
      <c r="M5340" t="str">
        <f>CONCATENATE(MONTH(CompilDonnées[[#This Row],[HarvestingDate]])," ", YEAR(CompilDonnées[[#This Row],[HarvestingDate]]))</f>
        <v>11 2025</v>
      </c>
      <c r="N5340">
        <f>_xlfn.NUMBERVALUE(CompilDonnées[[#This Row],[FarmID]]&amp;CompilDonnées[[#This Row],[ModuleNumber]]&amp;CompilDonnées[[#This Row],[PlantationDate]])</f>
        <v>79645945</v>
      </c>
      <c r="O5340" t="str">
        <f>CompilDonnées[[#This Row],[FarmID]]&amp;CompilDonnées[[#This Row],[ModuleNumber]]</f>
        <v>796</v>
      </c>
      <c r="P5340" t="str">
        <f>CompilDonnées[[#This Row],[Ref_Module]]&amp;CompilDonnées[[#This Row],[HarvestingDate]]</f>
        <v>79645985</v>
      </c>
    </row>
    <row r="5341" spans="1:16">
      <c r="A5341" s="5">
        <v>45945</v>
      </c>
      <c r="B5341">
        <v>73</v>
      </c>
      <c r="C5341" t="s">
        <v>20</v>
      </c>
      <c r="D5341">
        <v>3</v>
      </c>
      <c r="E5341">
        <v>100</v>
      </c>
      <c r="F5341" t="s">
        <v>1</v>
      </c>
      <c r="G5341" s="6">
        <v>45994</v>
      </c>
      <c r="H5341">
        <v>49</v>
      </c>
      <c r="I5341">
        <f>ROUND(CompilDonnées[[#This Row],[CultureDuration_days]]/7,0)</f>
        <v>7</v>
      </c>
      <c r="J5341">
        <v>3044</v>
      </c>
      <c r="K5341" t="str">
        <f>_xlfn.CONCAT(WEEKNUM(CompilDonnées[[#This Row],[PlantationDate]]), " ", YEAR(CompilDonnées[[#This Row],[PlantationDate]]))</f>
        <v>42 2025</v>
      </c>
      <c r="L5341" t="str">
        <f>CONCATENATE(MONTH(CompilDonnées[[#This Row],[PlantationDate]])," ", YEAR(CompilDonnées[[#This Row],[PlantationDate]]))</f>
        <v>10 2025</v>
      </c>
      <c r="M5341" t="str">
        <f>CONCATENATE(MONTH(CompilDonnées[[#This Row],[HarvestingDate]])," ", YEAR(CompilDonnées[[#This Row],[HarvestingDate]]))</f>
        <v>12 2025</v>
      </c>
      <c r="N5341">
        <f>_xlfn.NUMBERVALUE(CompilDonnées[[#This Row],[FarmID]]&amp;CompilDonnées[[#This Row],[ModuleNumber]]&amp;CompilDonnées[[#This Row],[PlantationDate]])</f>
        <v>73345945</v>
      </c>
      <c r="O5341" t="str">
        <f>CompilDonnées[[#This Row],[FarmID]]&amp;CompilDonnées[[#This Row],[ModuleNumber]]</f>
        <v>733</v>
      </c>
      <c r="P5341" t="str">
        <f>CompilDonnées[[#This Row],[Ref_Module]]&amp;CompilDonnées[[#This Row],[HarvestingDate]]</f>
        <v>73345994</v>
      </c>
    </row>
    <row r="5342" spans="1:16">
      <c r="A5342" s="5">
        <v>45945</v>
      </c>
      <c r="B5342">
        <v>72</v>
      </c>
      <c r="C5342" t="s">
        <v>49</v>
      </c>
      <c r="D5342">
        <v>6</v>
      </c>
      <c r="E5342">
        <v>100</v>
      </c>
      <c r="F5342" t="s">
        <v>1</v>
      </c>
      <c r="G5342" s="6">
        <v>45994</v>
      </c>
      <c r="H5342">
        <v>49</v>
      </c>
      <c r="I5342">
        <f>ROUND(CompilDonnées[[#This Row],[CultureDuration_days]]/7,0)</f>
        <v>7</v>
      </c>
      <c r="J5342">
        <v>3224</v>
      </c>
      <c r="K5342" t="str">
        <f>_xlfn.CONCAT(WEEKNUM(CompilDonnées[[#This Row],[PlantationDate]]), " ", YEAR(CompilDonnées[[#This Row],[PlantationDate]]))</f>
        <v>42 2025</v>
      </c>
      <c r="L5342" t="str">
        <f>CONCATENATE(MONTH(CompilDonnées[[#This Row],[PlantationDate]])," ", YEAR(CompilDonnées[[#This Row],[PlantationDate]]))</f>
        <v>10 2025</v>
      </c>
      <c r="M5342" t="str">
        <f>CONCATENATE(MONTH(CompilDonnées[[#This Row],[HarvestingDate]])," ", YEAR(CompilDonnées[[#This Row],[HarvestingDate]]))</f>
        <v>12 2025</v>
      </c>
      <c r="N5342">
        <f>_xlfn.NUMBERVALUE(CompilDonnées[[#This Row],[FarmID]]&amp;CompilDonnées[[#This Row],[ModuleNumber]]&amp;CompilDonnées[[#This Row],[PlantationDate]])</f>
        <v>72645945</v>
      </c>
      <c r="O5342" t="str">
        <f>CompilDonnées[[#This Row],[FarmID]]&amp;CompilDonnées[[#This Row],[ModuleNumber]]</f>
        <v>726</v>
      </c>
      <c r="P5342" t="str">
        <f>CompilDonnées[[#This Row],[Ref_Module]]&amp;CompilDonnées[[#This Row],[HarvestingDate]]</f>
        <v>72645994</v>
      </c>
    </row>
    <row r="5343" spans="1:16">
      <c r="A5343" s="5">
        <v>45945</v>
      </c>
      <c r="B5343">
        <v>75</v>
      </c>
      <c r="C5343" t="s">
        <v>3</v>
      </c>
      <c r="D5343">
        <v>3</v>
      </c>
      <c r="E5343">
        <v>68</v>
      </c>
      <c r="F5343" t="s">
        <v>1</v>
      </c>
      <c r="G5343" s="6">
        <v>45987</v>
      </c>
      <c r="H5343">
        <v>42</v>
      </c>
      <c r="I5343">
        <f>ROUND(CompilDonnées[[#This Row],[CultureDuration_days]]/7,0)</f>
        <v>6</v>
      </c>
      <c r="J5343">
        <v>2715</v>
      </c>
      <c r="K5343" t="str">
        <f>_xlfn.CONCAT(WEEKNUM(CompilDonnées[[#This Row],[PlantationDate]]), " ", YEAR(CompilDonnées[[#This Row],[PlantationDate]]))</f>
        <v>42 2025</v>
      </c>
      <c r="L5343" t="str">
        <f>CONCATENATE(MONTH(CompilDonnées[[#This Row],[PlantationDate]])," ", YEAR(CompilDonnées[[#This Row],[PlantationDate]]))</f>
        <v>10 2025</v>
      </c>
      <c r="M5343" t="str">
        <f>CONCATENATE(MONTH(CompilDonnées[[#This Row],[HarvestingDate]])," ", YEAR(CompilDonnées[[#This Row],[HarvestingDate]]))</f>
        <v>11 2025</v>
      </c>
      <c r="N5343">
        <f>_xlfn.NUMBERVALUE(CompilDonnées[[#This Row],[FarmID]]&amp;CompilDonnées[[#This Row],[ModuleNumber]]&amp;CompilDonnées[[#This Row],[PlantationDate]])</f>
        <v>75345945</v>
      </c>
      <c r="O5343" t="str">
        <f>CompilDonnées[[#This Row],[FarmID]]&amp;CompilDonnées[[#This Row],[ModuleNumber]]</f>
        <v>753</v>
      </c>
      <c r="P5343" t="str">
        <f>CompilDonnées[[#This Row],[Ref_Module]]&amp;CompilDonnées[[#This Row],[HarvestingDate]]</f>
        <v>75345987</v>
      </c>
    </row>
    <row r="5344" spans="1:16">
      <c r="A5344" s="5">
        <v>45945</v>
      </c>
      <c r="B5344">
        <v>78</v>
      </c>
      <c r="C5344" t="s">
        <v>3</v>
      </c>
      <c r="D5344">
        <v>1</v>
      </c>
      <c r="E5344">
        <v>68</v>
      </c>
      <c r="F5344" t="s">
        <v>1</v>
      </c>
      <c r="G5344" s="6">
        <v>45986</v>
      </c>
      <c r="H5344">
        <v>41</v>
      </c>
      <c r="I5344">
        <f>ROUND(CompilDonnées[[#This Row],[CultureDuration_days]]/7,0)</f>
        <v>6</v>
      </c>
      <c r="J5344">
        <v>1649</v>
      </c>
      <c r="K5344" t="str">
        <f>_xlfn.CONCAT(WEEKNUM(CompilDonnées[[#This Row],[PlantationDate]]), " ", YEAR(CompilDonnées[[#This Row],[PlantationDate]]))</f>
        <v>42 2025</v>
      </c>
      <c r="L5344" t="str">
        <f>CONCATENATE(MONTH(CompilDonnées[[#This Row],[PlantationDate]])," ", YEAR(CompilDonnées[[#This Row],[PlantationDate]]))</f>
        <v>10 2025</v>
      </c>
      <c r="M5344" t="str">
        <f>CONCATENATE(MONTH(CompilDonnées[[#This Row],[HarvestingDate]])," ", YEAR(CompilDonnées[[#This Row],[HarvestingDate]]))</f>
        <v>11 2025</v>
      </c>
      <c r="N5344">
        <f>_xlfn.NUMBERVALUE(CompilDonnées[[#This Row],[FarmID]]&amp;CompilDonnées[[#This Row],[ModuleNumber]]&amp;CompilDonnées[[#This Row],[PlantationDate]])</f>
        <v>78145945</v>
      </c>
      <c r="O5344" t="str">
        <f>CompilDonnées[[#This Row],[FarmID]]&amp;CompilDonnées[[#This Row],[ModuleNumber]]</f>
        <v>781</v>
      </c>
      <c r="P5344" t="str">
        <f>CompilDonnées[[#This Row],[Ref_Module]]&amp;CompilDonnées[[#This Row],[HarvestingDate]]</f>
        <v>78145986</v>
      </c>
    </row>
    <row r="5345" spans="1:16">
      <c r="A5345" s="5">
        <v>45945</v>
      </c>
      <c r="B5345">
        <v>78</v>
      </c>
      <c r="C5345" t="s">
        <v>3</v>
      </c>
      <c r="D5345">
        <v>2</v>
      </c>
      <c r="E5345">
        <v>68</v>
      </c>
      <c r="F5345" t="s">
        <v>1</v>
      </c>
      <c r="G5345" s="6">
        <v>45986</v>
      </c>
      <c r="H5345">
        <v>41</v>
      </c>
      <c r="I5345">
        <f>ROUND(CompilDonnées[[#This Row],[CultureDuration_days]]/7,0)</f>
        <v>6</v>
      </c>
      <c r="J5345">
        <v>1650</v>
      </c>
      <c r="K5345" t="str">
        <f>_xlfn.CONCAT(WEEKNUM(CompilDonnées[[#This Row],[PlantationDate]]), " ", YEAR(CompilDonnées[[#This Row],[PlantationDate]]))</f>
        <v>42 2025</v>
      </c>
      <c r="L5345" t="str">
        <f>CONCATENATE(MONTH(CompilDonnées[[#This Row],[PlantationDate]])," ", YEAR(CompilDonnées[[#This Row],[PlantationDate]]))</f>
        <v>10 2025</v>
      </c>
      <c r="M5345" t="str">
        <f>CONCATENATE(MONTH(CompilDonnées[[#This Row],[HarvestingDate]])," ", YEAR(CompilDonnées[[#This Row],[HarvestingDate]]))</f>
        <v>11 2025</v>
      </c>
      <c r="N5345">
        <f>_xlfn.NUMBERVALUE(CompilDonnées[[#This Row],[FarmID]]&amp;CompilDonnées[[#This Row],[ModuleNumber]]&amp;CompilDonnées[[#This Row],[PlantationDate]])</f>
        <v>78245945</v>
      </c>
      <c r="O5345" t="str">
        <f>CompilDonnées[[#This Row],[FarmID]]&amp;CompilDonnées[[#This Row],[ModuleNumber]]</f>
        <v>782</v>
      </c>
      <c r="P5345" t="str">
        <f>CompilDonnées[[#This Row],[Ref_Module]]&amp;CompilDonnées[[#This Row],[HarvestingDate]]</f>
        <v>78245986</v>
      </c>
    </row>
    <row r="5346" spans="1:16">
      <c r="A5346" s="5">
        <v>45946</v>
      </c>
      <c r="B5346">
        <v>94</v>
      </c>
      <c r="C5346" t="s">
        <v>40</v>
      </c>
      <c r="D5346">
        <v>1</v>
      </c>
      <c r="E5346">
        <v>100</v>
      </c>
      <c r="F5346" t="s">
        <v>1</v>
      </c>
      <c r="G5346" s="6">
        <v>45986</v>
      </c>
      <c r="H5346">
        <v>40</v>
      </c>
      <c r="I5346">
        <f>ROUND(CompilDonnées[[#This Row],[CultureDuration_days]]/7,0)</f>
        <v>6</v>
      </c>
      <c r="J5346">
        <v>3678</v>
      </c>
      <c r="K5346" t="str">
        <f>_xlfn.CONCAT(WEEKNUM(CompilDonnées[[#This Row],[PlantationDate]]), " ", YEAR(CompilDonnées[[#This Row],[PlantationDate]]))</f>
        <v>42 2025</v>
      </c>
      <c r="L5346" t="str">
        <f>CONCATENATE(MONTH(CompilDonnées[[#This Row],[PlantationDate]])," ", YEAR(CompilDonnées[[#This Row],[PlantationDate]]))</f>
        <v>10 2025</v>
      </c>
      <c r="M5346" t="str">
        <f>CONCATENATE(MONTH(CompilDonnées[[#This Row],[HarvestingDate]])," ", YEAR(CompilDonnées[[#This Row],[HarvestingDate]]))</f>
        <v>11 2025</v>
      </c>
      <c r="N5346">
        <f>_xlfn.NUMBERVALUE(CompilDonnées[[#This Row],[FarmID]]&amp;CompilDonnées[[#This Row],[ModuleNumber]]&amp;CompilDonnées[[#This Row],[PlantationDate]])</f>
        <v>94145946</v>
      </c>
      <c r="O5346" t="str">
        <f>CompilDonnées[[#This Row],[FarmID]]&amp;CompilDonnées[[#This Row],[ModuleNumber]]</f>
        <v>941</v>
      </c>
      <c r="P5346" t="str">
        <f>CompilDonnées[[#This Row],[Ref_Module]]&amp;CompilDonnées[[#This Row],[HarvestingDate]]</f>
        <v>94145986</v>
      </c>
    </row>
    <row r="5347" spans="1:16">
      <c r="A5347" s="5">
        <v>45946</v>
      </c>
      <c r="B5347">
        <v>93</v>
      </c>
      <c r="C5347" t="s">
        <v>10</v>
      </c>
      <c r="D5347">
        <v>2</v>
      </c>
      <c r="E5347">
        <v>100</v>
      </c>
      <c r="F5347" t="s">
        <v>1</v>
      </c>
      <c r="G5347" s="6">
        <v>45993</v>
      </c>
      <c r="H5347">
        <v>47</v>
      </c>
      <c r="I5347">
        <f>ROUND(CompilDonnées[[#This Row],[CultureDuration_days]]/7,0)</f>
        <v>7</v>
      </c>
      <c r="J5347">
        <v>3469</v>
      </c>
      <c r="K5347" t="str">
        <f>_xlfn.CONCAT(WEEKNUM(CompilDonnées[[#This Row],[PlantationDate]]), " ", YEAR(CompilDonnées[[#This Row],[PlantationDate]]))</f>
        <v>42 2025</v>
      </c>
      <c r="L5347" t="str">
        <f>CONCATENATE(MONTH(CompilDonnées[[#This Row],[PlantationDate]])," ", YEAR(CompilDonnées[[#This Row],[PlantationDate]]))</f>
        <v>10 2025</v>
      </c>
      <c r="M5347" t="str">
        <f>CONCATENATE(MONTH(CompilDonnées[[#This Row],[HarvestingDate]])," ", YEAR(CompilDonnées[[#This Row],[HarvestingDate]]))</f>
        <v>12 2025</v>
      </c>
      <c r="N5347">
        <f>_xlfn.NUMBERVALUE(CompilDonnées[[#This Row],[FarmID]]&amp;CompilDonnées[[#This Row],[ModuleNumber]]&amp;CompilDonnées[[#This Row],[PlantationDate]])</f>
        <v>93245946</v>
      </c>
      <c r="O5347" t="str">
        <f>CompilDonnées[[#This Row],[FarmID]]&amp;CompilDonnées[[#This Row],[ModuleNumber]]</f>
        <v>932</v>
      </c>
      <c r="P5347" t="str">
        <f>CompilDonnées[[#This Row],[Ref_Module]]&amp;CompilDonnées[[#This Row],[HarvestingDate]]</f>
        <v>93245993</v>
      </c>
    </row>
    <row r="5348" spans="1:16">
      <c r="A5348" s="5">
        <v>45946</v>
      </c>
      <c r="B5348">
        <v>93</v>
      </c>
      <c r="C5348" t="s">
        <v>10</v>
      </c>
      <c r="D5348">
        <v>3</v>
      </c>
      <c r="E5348">
        <v>100</v>
      </c>
      <c r="F5348" t="s">
        <v>1</v>
      </c>
      <c r="G5348" s="6">
        <v>45993</v>
      </c>
      <c r="H5348">
        <v>47</v>
      </c>
      <c r="I5348">
        <f>ROUND(CompilDonnées[[#This Row],[CultureDuration_days]]/7,0)</f>
        <v>7</v>
      </c>
      <c r="J5348">
        <v>2904</v>
      </c>
      <c r="K5348" t="str">
        <f>_xlfn.CONCAT(WEEKNUM(CompilDonnées[[#This Row],[PlantationDate]]), " ", YEAR(CompilDonnées[[#This Row],[PlantationDate]]))</f>
        <v>42 2025</v>
      </c>
      <c r="L5348" t="str">
        <f>CONCATENATE(MONTH(CompilDonnées[[#This Row],[PlantationDate]])," ", YEAR(CompilDonnées[[#This Row],[PlantationDate]]))</f>
        <v>10 2025</v>
      </c>
      <c r="M5348" t="str">
        <f>CONCATENATE(MONTH(CompilDonnées[[#This Row],[HarvestingDate]])," ", YEAR(CompilDonnées[[#This Row],[HarvestingDate]]))</f>
        <v>12 2025</v>
      </c>
      <c r="N5348">
        <f>_xlfn.NUMBERVALUE(CompilDonnées[[#This Row],[FarmID]]&amp;CompilDonnées[[#This Row],[ModuleNumber]]&amp;CompilDonnées[[#This Row],[PlantationDate]])</f>
        <v>93345946</v>
      </c>
      <c r="O5348" t="str">
        <f>CompilDonnées[[#This Row],[FarmID]]&amp;CompilDonnées[[#This Row],[ModuleNumber]]</f>
        <v>933</v>
      </c>
      <c r="P5348" t="str">
        <f>CompilDonnées[[#This Row],[Ref_Module]]&amp;CompilDonnées[[#This Row],[HarvestingDate]]</f>
        <v>93345993</v>
      </c>
    </row>
    <row r="5349" spans="1:16">
      <c r="A5349" s="5">
        <v>45946</v>
      </c>
      <c r="B5349">
        <v>91</v>
      </c>
      <c r="C5349" t="s">
        <v>9</v>
      </c>
      <c r="D5349">
        <v>2</v>
      </c>
      <c r="E5349">
        <v>100</v>
      </c>
      <c r="F5349" t="s">
        <v>1</v>
      </c>
      <c r="G5349" s="6">
        <v>45993</v>
      </c>
      <c r="H5349">
        <v>47</v>
      </c>
      <c r="I5349">
        <f>ROUND(CompilDonnées[[#This Row],[CultureDuration_days]]/7,0)</f>
        <v>7</v>
      </c>
      <c r="J5349">
        <v>1962</v>
      </c>
      <c r="K5349" t="str">
        <f>_xlfn.CONCAT(WEEKNUM(CompilDonnées[[#This Row],[PlantationDate]]), " ", YEAR(CompilDonnées[[#This Row],[PlantationDate]]))</f>
        <v>42 2025</v>
      </c>
      <c r="L5349" t="str">
        <f>CONCATENATE(MONTH(CompilDonnées[[#This Row],[PlantationDate]])," ", YEAR(CompilDonnées[[#This Row],[PlantationDate]]))</f>
        <v>10 2025</v>
      </c>
      <c r="M5349" t="str">
        <f>CONCATENATE(MONTH(CompilDonnées[[#This Row],[HarvestingDate]])," ", YEAR(CompilDonnées[[#This Row],[HarvestingDate]]))</f>
        <v>12 2025</v>
      </c>
      <c r="N5349">
        <f>_xlfn.NUMBERVALUE(CompilDonnées[[#This Row],[FarmID]]&amp;CompilDonnées[[#This Row],[ModuleNumber]]&amp;CompilDonnées[[#This Row],[PlantationDate]])</f>
        <v>91245946</v>
      </c>
      <c r="O5349" t="str">
        <f>CompilDonnées[[#This Row],[FarmID]]&amp;CompilDonnées[[#This Row],[ModuleNumber]]</f>
        <v>912</v>
      </c>
      <c r="P5349" t="str">
        <f>CompilDonnées[[#This Row],[Ref_Module]]&amp;CompilDonnées[[#This Row],[HarvestingDate]]</f>
        <v>91245993</v>
      </c>
    </row>
    <row r="5350" spans="1:16">
      <c r="A5350" s="5">
        <v>45946</v>
      </c>
      <c r="B5350">
        <v>87</v>
      </c>
      <c r="C5350" t="s">
        <v>38</v>
      </c>
      <c r="D5350">
        <v>1</v>
      </c>
      <c r="E5350">
        <v>100</v>
      </c>
      <c r="F5350" t="s">
        <v>1</v>
      </c>
      <c r="G5350" s="6">
        <v>45993</v>
      </c>
      <c r="H5350">
        <v>47</v>
      </c>
      <c r="I5350">
        <f>ROUND(CompilDonnées[[#This Row],[CultureDuration_days]]/7,0)</f>
        <v>7</v>
      </c>
      <c r="J5350">
        <v>2736</v>
      </c>
      <c r="K5350" t="str">
        <f>_xlfn.CONCAT(WEEKNUM(CompilDonnées[[#This Row],[PlantationDate]]), " ", YEAR(CompilDonnées[[#This Row],[PlantationDate]]))</f>
        <v>42 2025</v>
      </c>
      <c r="L5350" t="str">
        <f>CONCATENATE(MONTH(CompilDonnées[[#This Row],[PlantationDate]])," ", YEAR(CompilDonnées[[#This Row],[PlantationDate]]))</f>
        <v>10 2025</v>
      </c>
      <c r="M5350" t="str">
        <f>CONCATENATE(MONTH(CompilDonnées[[#This Row],[HarvestingDate]])," ", YEAR(CompilDonnées[[#This Row],[HarvestingDate]]))</f>
        <v>12 2025</v>
      </c>
      <c r="N5350">
        <f>_xlfn.NUMBERVALUE(CompilDonnées[[#This Row],[FarmID]]&amp;CompilDonnées[[#This Row],[ModuleNumber]]&amp;CompilDonnées[[#This Row],[PlantationDate]])</f>
        <v>87145946</v>
      </c>
      <c r="O5350" t="str">
        <f>CompilDonnées[[#This Row],[FarmID]]&amp;CompilDonnées[[#This Row],[ModuleNumber]]</f>
        <v>871</v>
      </c>
      <c r="P5350" t="str">
        <f>CompilDonnées[[#This Row],[Ref_Module]]&amp;CompilDonnées[[#This Row],[HarvestingDate]]</f>
        <v>87145993</v>
      </c>
    </row>
    <row r="5351" spans="1:16">
      <c r="A5351" s="5">
        <v>45946</v>
      </c>
      <c r="B5351">
        <v>86</v>
      </c>
      <c r="C5351" t="s">
        <v>37</v>
      </c>
      <c r="D5351">
        <v>6</v>
      </c>
      <c r="E5351">
        <v>100</v>
      </c>
      <c r="F5351" t="s">
        <v>1</v>
      </c>
      <c r="G5351" s="6">
        <v>45993</v>
      </c>
      <c r="H5351">
        <v>47</v>
      </c>
      <c r="I5351">
        <f>ROUND(CompilDonnées[[#This Row],[CultureDuration_days]]/7,0)</f>
        <v>7</v>
      </c>
      <c r="J5351">
        <v>3004</v>
      </c>
      <c r="K5351" t="str">
        <f>_xlfn.CONCAT(WEEKNUM(CompilDonnées[[#This Row],[PlantationDate]]), " ", YEAR(CompilDonnées[[#This Row],[PlantationDate]]))</f>
        <v>42 2025</v>
      </c>
      <c r="L5351" t="str">
        <f>CONCATENATE(MONTH(CompilDonnées[[#This Row],[PlantationDate]])," ", YEAR(CompilDonnées[[#This Row],[PlantationDate]]))</f>
        <v>10 2025</v>
      </c>
      <c r="M5351" t="str">
        <f>CONCATENATE(MONTH(CompilDonnées[[#This Row],[HarvestingDate]])," ", YEAR(CompilDonnées[[#This Row],[HarvestingDate]]))</f>
        <v>12 2025</v>
      </c>
      <c r="N5351">
        <f>_xlfn.NUMBERVALUE(CompilDonnées[[#This Row],[FarmID]]&amp;CompilDonnées[[#This Row],[ModuleNumber]]&amp;CompilDonnées[[#This Row],[PlantationDate]])</f>
        <v>86645946</v>
      </c>
      <c r="O5351" t="str">
        <f>CompilDonnées[[#This Row],[FarmID]]&amp;CompilDonnées[[#This Row],[ModuleNumber]]</f>
        <v>866</v>
      </c>
      <c r="P5351" t="str">
        <f>CompilDonnées[[#This Row],[Ref_Module]]&amp;CompilDonnées[[#This Row],[HarvestingDate]]</f>
        <v>86645993</v>
      </c>
    </row>
    <row r="5352" spans="1:16">
      <c r="A5352" s="5">
        <v>45946</v>
      </c>
      <c r="B5352">
        <v>81</v>
      </c>
      <c r="C5352" t="s">
        <v>30</v>
      </c>
      <c r="D5352">
        <v>3</v>
      </c>
      <c r="E5352">
        <v>100</v>
      </c>
      <c r="F5352" t="s">
        <v>1</v>
      </c>
      <c r="G5352" s="6">
        <v>45993</v>
      </c>
      <c r="H5352">
        <v>47</v>
      </c>
      <c r="I5352">
        <f>ROUND(CompilDonnées[[#This Row],[CultureDuration_days]]/7,0)</f>
        <v>7</v>
      </c>
      <c r="J5352">
        <v>3713</v>
      </c>
      <c r="K5352" t="str">
        <f>_xlfn.CONCAT(WEEKNUM(CompilDonnées[[#This Row],[PlantationDate]]), " ", YEAR(CompilDonnées[[#This Row],[PlantationDate]]))</f>
        <v>42 2025</v>
      </c>
      <c r="L5352" t="str">
        <f>CONCATENATE(MONTH(CompilDonnées[[#This Row],[PlantationDate]])," ", YEAR(CompilDonnées[[#This Row],[PlantationDate]]))</f>
        <v>10 2025</v>
      </c>
      <c r="M5352" t="str">
        <f>CONCATENATE(MONTH(CompilDonnées[[#This Row],[HarvestingDate]])," ", YEAR(CompilDonnées[[#This Row],[HarvestingDate]]))</f>
        <v>12 2025</v>
      </c>
      <c r="N5352">
        <f>_xlfn.NUMBERVALUE(CompilDonnées[[#This Row],[FarmID]]&amp;CompilDonnées[[#This Row],[ModuleNumber]]&amp;CompilDonnées[[#This Row],[PlantationDate]])</f>
        <v>81345946</v>
      </c>
      <c r="O5352" t="str">
        <f>CompilDonnées[[#This Row],[FarmID]]&amp;CompilDonnées[[#This Row],[ModuleNumber]]</f>
        <v>813</v>
      </c>
      <c r="P5352" t="str">
        <f>CompilDonnées[[#This Row],[Ref_Module]]&amp;CompilDonnées[[#This Row],[HarvestingDate]]</f>
        <v>81345993</v>
      </c>
    </row>
    <row r="5353" spans="1:16">
      <c r="A5353" s="5">
        <v>45946</v>
      </c>
      <c r="B5353">
        <v>80</v>
      </c>
      <c r="C5353" t="s">
        <v>29</v>
      </c>
      <c r="D5353">
        <v>1</v>
      </c>
      <c r="E5353">
        <v>100</v>
      </c>
      <c r="F5353" t="s">
        <v>1</v>
      </c>
      <c r="G5353" s="6">
        <v>45994</v>
      </c>
      <c r="H5353">
        <v>48</v>
      </c>
      <c r="I5353">
        <f>ROUND(CompilDonnées[[#This Row],[CultureDuration_days]]/7,0)</f>
        <v>7</v>
      </c>
      <c r="J5353">
        <v>3788</v>
      </c>
      <c r="K5353" t="str">
        <f>_xlfn.CONCAT(WEEKNUM(CompilDonnées[[#This Row],[PlantationDate]]), " ", YEAR(CompilDonnées[[#This Row],[PlantationDate]]))</f>
        <v>42 2025</v>
      </c>
      <c r="L5353" t="str">
        <f>CONCATENATE(MONTH(CompilDonnées[[#This Row],[PlantationDate]])," ", YEAR(CompilDonnées[[#This Row],[PlantationDate]]))</f>
        <v>10 2025</v>
      </c>
      <c r="M5353" t="str">
        <f>CONCATENATE(MONTH(CompilDonnées[[#This Row],[HarvestingDate]])," ", YEAR(CompilDonnées[[#This Row],[HarvestingDate]]))</f>
        <v>12 2025</v>
      </c>
      <c r="N5353">
        <f>_xlfn.NUMBERVALUE(CompilDonnées[[#This Row],[FarmID]]&amp;CompilDonnées[[#This Row],[ModuleNumber]]&amp;CompilDonnées[[#This Row],[PlantationDate]])</f>
        <v>80145946</v>
      </c>
      <c r="O5353" t="str">
        <f>CompilDonnées[[#This Row],[FarmID]]&amp;CompilDonnées[[#This Row],[ModuleNumber]]</f>
        <v>801</v>
      </c>
      <c r="P5353" t="str">
        <f>CompilDonnées[[#This Row],[Ref_Module]]&amp;CompilDonnées[[#This Row],[HarvestingDate]]</f>
        <v>80145994</v>
      </c>
    </row>
    <row r="5354" spans="1:16">
      <c r="A5354" s="5">
        <v>45946</v>
      </c>
      <c r="B5354">
        <v>79</v>
      </c>
      <c r="C5354" t="s">
        <v>61</v>
      </c>
      <c r="D5354">
        <v>5</v>
      </c>
      <c r="E5354">
        <v>100</v>
      </c>
      <c r="F5354" t="s">
        <v>1</v>
      </c>
      <c r="G5354" s="6">
        <v>45994</v>
      </c>
      <c r="H5354">
        <v>48</v>
      </c>
      <c r="I5354">
        <f>ROUND(CompilDonnées[[#This Row],[CultureDuration_days]]/7,0)</f>
        <v>7</v>
      </c>
      <c r="J5354">
        <v>3788</v>
      </c>
      <c r="K5354" t="str">
        <f>_xlfn.CONCAT(WEEKNUM(CompilDonnées[[#This Row],[PlantationDate]]), " ", YEAR(CompilDonnées[[#This Row],[PlantationDate]]))</f>
        <v>42 2025</v>
      </c>
      <c r="L5354" t="str">
        <f>CONCATENATE(MONTH(CompilDonnées[[#This Row],[PlantationDate]])," ", YEAR(CompilDonnées[[#This Row],[PlantationDate]]))</f>
        <v>10 2025</v>
      </c>
      <c r="M5354" t="str">
        <f>CONCATENATE(MONTH(CompilDonnées[[#This Row],[HarvestingDate]])," ", YEAR(CompilDonnées[[#This Row],[HarvestingDate]]))</f>
        <v>12 2025</v>
      </c>
      <c r="N5354">
        <f>_xlfn.NUMBERVALUE(CompilDonnées[[#This Row],[FarmID]]&amp;CompilDonnées[[#This Row],[ModuleNumber]]&amp;CompilDonnées[[#This Row],[PlantationDate]])</f>
        <v>79545946</v>
      </c>
      <c r="O5354" t="str">
        <f>CompilDonnées[[#This Row],[FarmID]]&amp;CompilDonnées[[#This Row],[ModuleNumber]]</f>
        <v>795</v>
      </c>
      <c r="P5354" t="str">
        <f>CompilDonnées[[#This Row],[Ref_Module]]&amp;CompilDonnées[[#This Row],[HarvestingDate]]</f>
        <v>79545994</v>
      </c>
    </row>
    <row r="5355" spans="1:16">
      <c r="A5355" s="5">
        <v>45946</v>
      </c>
      <c r="B5355">
        <v>74</v>
      </c>
      <c r="C5355" t="s">
        <v>21</v>
      </c>
      <c r="D5355">
        <v>2</v>
      </c>
      <c r="E5355">
        <v>100</v>
      </c>
      <c r="F5355" t="s">
        <v>1</v>
      </c>
      <c r="G5355" s="6">
        <v>45994</v>
      </c>
      <c r="H5355">
        <v>48</v>
      </c>
      <c r="I5355">
        <f>ROUND(CompilDonnées[[#This Row],[CultureDuration_days]]/7,0)</f>
        <v>7</v>
      </c>
      <c r="J5355">
        <v>3010</v>
      </c>
      <c r="K5355" t="str">
        <f>_xlfn.CONCAT(WEEKNUM(CompilDonnées[[#This Row],[PlantationDate]]), " ", YEAR(CompilDonnées[[#This Row],[PlantationDate]]))</f>
        <v>42 2025</v>
      </c>
      <c r="L5355" t="str">
        <f>CONCATENATE(MONTH(CompilDonnées[[#This Row],[PlantationDate]])," ", YEAR(CompilDonnées[[#This Row],[PlantationDate]]))</f>
        <v>10 2025</v>
      </c>
      <c r="M5355" t="str">
        <f>CONCATENATE(MONTH(CompilDonnées[[#This Row],[HarvestingDate]])," ", YEAR(CompilDonnées[[#This Row],[HarvestingDate]]))</f>
        <v>12 2025</v>
      </c>
      <c r="N5355">
        <f>_xlfn.NUMBERVALUE(CompilDonnées[[#This Row],[FarmID]]&amp;CompilDonnées[[#This Row],[ModuleNumber]]&amp;CompilDonnées[[#This Row],[PlantationDate]])</f>
        <v>74245946</v>
      </c>
      <c r="O5355" t="str">
        <f>CompilDonnées[[#This Row],[FarmID]]&amp;CompilDonnées[[#This Row],[ModuleNumber]]</f>
        <v>742</v>
      </c>
      <c r="P5355" t="str">
        <f>CompilDonnées[[#This Row],[Ref_Module]]&amp;CompilDonnées[[#This Row],[HarvestingDate]]</f>
        <v>74245994</v>
      </c>
    </row>
    <row r="5356" spans="1:16">
      <c r="A5356" s="5">
        <v>45946</v>
      </c>
      <c r="B5356">
        <v>71</v>
      </c>
      <c r="C5356" t="s">
        <v>19</v>
      </c>
      <c r="D5356">
        <v>3</v>
      </c>
      <c r="E5356">
        <v>100</v>
      </c>
      <c r="F5356" t="s">
        <v>1</v>
      </c>
      <c r="G5356" s="6">
        <v>45994</v>
      </c>
      <c r="H5356">
        <v>48</v>
      </c>
      <c r="I5356">
        <f>ROUND(CompilDonnées[[#This Row],[CultureDuration_days]]/7,0)</f>
        <v>7</v>
      </c>
      <c r="J5356">
        <v>2461</v>
      </c>
      <c r="K5356" t="str">
        <f>_xlfn.CONCAT(WEEKNUM(CompilDonnées[[#This Row],[PlantationDate]]), " ", YEAR(CompilDonnées[[#This Row],[PlantationDate]]))</f>
        <v>42 2025</v>
      </c>
      <c r="L5356" t="str">
        <f>CONCATENATE(MONTH(CompilDonnées[[#This Row],[PlantationDate]])," ", YEAR(CompilDonnées[[#This Row],[PlantationDate]]))</f>
        <v>10 2025</v>
      </c>
      <c r="M5356" t="str">
        <f>CONCATENATE(MONTH(CompilDonnées[[#This Row],[HarvestingDate]])," ", YEAR(CompilDonnées[[#This Row],[HarvestingDate]]))</f>
        <v>12 2025</v>
      </c>
      <c r="N5356">
        <f>_xlfn.NUMBERVALUE(CompilDonnées[[#This Row],[FarmID]]&amp;CompilDonnées[[#This Row],[ModuleNumber]]&amp;CompilDonnées[[#This Row],[PlantationDate]])</f>
        <v>71345946</v>
      </c>
      <c r="O5356" t="str">
        <f>CompilDonnées[[#This Row],[FarmID]]&amp;CompilDonnées[[#This Row],[ModuleNumber]]</f>
        <v>713</v>
      </c>
      <c r="P5356" t="str">
        <f>CompilDonnées[[#This Row],[Ref_Module]]&amp;CompilDonnées[[#This Row],[HarvestingDate]]</f>
        <v>71345994</v>
      </c>
    </row>
    <row r="5357" spans="1:16">
      <c r="A5357" s="5">
        <v>45946</v>
      </c>
      <c r="B5357">
        <v>64</v>
      </c>
      <c r="C5357" t="s">
        <v>47</v>
      </c>
      <c r="D5357">
        <v>1</v>
      </c>
      <c r="E5357">
        <v>100</v>
      </c>
      <c r="F5357" t="s">
        <v>1</v>
      </c>
      <c r="G5357" s="6">
        <v>46001</v>
      </c>
      <c r="H5357">
        <v>55</v>
      </c>
      <c r="I5357">
        <f>ROUND(CompilDonnées[[#This Row],[CultureDuration_days]]/7,0)</f>
        <v>8</v>
      </c>
      <c r="J5357">
        <v>2006</v>
      </c>
      <c r="K5357" t="str">
        <f>_xlfn.CONCAT(WEEKNUM(CompilDonnées[[#This Row],[PlantationDate]]), " ", YEAR(CompilDonnées[[#This Row],[PlantationDate]]))</f>
        <v>42 2025</v>
      </c>
      <c r="L5357" t="str">
        <f>CONCATENATE(MONTH(CompilDonnées[[#This Row],[PlantationDate]])," ", YEAR(CompilDonnées[[#This Row],[PlantationDate]]))</f>
        <v>10 2025</v>
      </c>
      <c r="M5357" t="str">
        <f>CONCATENATE(MONTH(CompilDonnées[[#This Row],[HarvestingDate]])," ", YEAR(CompilDonnées[[#This Row],[HarvestingDate]]))</f>
        <v>12 2025</v>
      </c>
      <c r="N5357">
        <f>_xlfn.NUMBERVALUE(CompilDonnées[[#This Row],[FarmID]]&amp;CompilDonnées[[#This Row],[ModuleNumber]]&amp;CompilDonnées[[#This Row],[PlantationDate]])</f>
        <v>64145946</v>
      </c>
      <c r="O5357" t="str">
        <f>CompilDonnées[[#This Row],[FarmID]]&amp;CompilDonnées[[#This Row],[ModuleNumber]]</f>
        <v>641</v>
      </c>
      <c r="P5357" t="str">
        <f>CompilDonnées[[#This Row],[Ref_Module]]&amp;CompilDonnées[[#This Row],[HarvestingDate]]</f>
        <v>64146001</v>
      </c>
    </row>
    <row r="5358" spans="1:16">
      <c r="A5358" s="5">
        <v>45946</v>
      </c>
      <c r="B5358">
        <v>56</v>
      </c>
      <c r="C5358" t="s">
        <v>6</v>
      </c>
      <c r="D5358">
        <v>4</v>
      </c>
      <c r="E5358">
        <v>100</v>
      </c>
      <c r="F5358" t="s">
        <v>1</v>
      </c>
      <c r="G5358" s="6">
        <v>46002</v>
      </c>
      <c r="H5358">
        <v>56</v>
      </c>
      <c r="I5358">
        <f>ROUND(CompilDonnées[[#This Row],[CultureDuration_days]]/7,0)</f>
        <v>8</v>
      </c>
      <c r="J5358">
        <v>2107</v>
      </c>
      <c r="K5358" t="str">
        <f>_xlfn.CONCAT(WEEKNUM(CompilDonnées[[#This Row],[PlantationDate]]), " ", YEAR(CompilDonnées[[#This Row],[PlantationDate]]))</f>
        <v>42 2025</v>
      </c>
      <c r="L5358" t="str">
        <f>CONCATENATE(MONTH(CompilDonnées[[#This Row],[PlantationDate]])," ", YEAR(CompilDonnées[[#This Row],[PlantationDate]]))</f>
        <v>10 2025</v>
      </c>
      <c r="M5358" t="str">
        <f>CONCATENATE(MONTH(CompilDonnées[[#This Row],[HarvestingDate]])," ", YEAR(CompilDonnées[[#This Row],[HarvestingDate]]))</f>
        <v>12 2025</v>
      </c>
      <c r="N5358">
        <f>_xlfn.NUMBERVALUE(CompilDonnées[[#This Row],[FarmID]]&amp;CompilDonnées[[#This Row],[ModuleNumber]]&amp;CompilDonnées[[#This Row],[PlantationDate]])</f>
        <v>56445946</v>
      </c>
      <c r="O5358" t="str">
        <f>CompilDonnées[[#This Row],[FarmID]]&amp;CompilDonnées[[#This Row],[ModuleNumber]]</f>
        <v>564</v>
      </c>
      <c r="P5358" t="str">
        <f>CompilDonnées[[#This Row],[Ref_Module]]&amp;CompilDonnées[[#This Row],[HarvestingDate]]</f>
        <v>56446002</v>
      </c>
    </row>
    <row r="5359" spans="1:16">
      <c r="A5359" s="5">
        <v>45946</v>
      </c>
      <c r="B5359">
        <v>50</v>
      </c>
      <c r="C5359" t="s">
        <v>55</v>
      </c>
      <c r="D5359">
        <v>5</v>
      </c>
      <c r="E5359">
        <v>100</v>
      </c>
      <c r="F5359" t="s">
        <v>1</v>
      </c>
      <c r="G5359" s="6">
        <v>45994</v>
      </c>
      <c r="H5359">
        <v>48</v>
      </c>
      <c r="I5359">
        <f>ROUND(CompilDonnées[[#This Row],[CultureDuration_days]]/7,0)</f>
        <v>7</v>
      </c>
      <c r="J5359">
        <v>2241</v>
      </c>
      <c r="K5359" t="str">
        <f>_xlfn.CONCAT(WEEKNUM(CompilDonnées[[#This Row],[PlantationDate]]), " ", YEAR(CompilDonnées[[#This Row],[PlantationDate]]))</f>
        <v>42 2025</v>
      </c>
      <c r="L5359" t="str">
        <f>CONCATENATE(MONTH(CompilDonnées[[#This Row],[PlantationDate]])," ", YEAR(CompilDonnées[[#This Row],[PlantationDate]]))</f>
        <v>10 2025</v>
      </c>
      <c r="M5359" t="str">
        <f>CONCATENATE(MONTH(CompilDonnées[[#This Row],[HarvestingDate]])," ", YEAR(CompilDonnées[[#This Row],[HarvestingDate]]))</f>
        <v>12 2025</v>
      </c>
      <c r="N5359">
        <f>_xlfn.NUMBERVALUE(CompilDonnées[[#This Row],[FarmID]]&amp;CompilDonnées[[#This Row],[ModuleNumber]]&amp;CompilDonnées[[#This Row],[PlantationDate]])</f>
        <v>50545946</v>
      </c>
      <c r="O5359" t="str">
        <f>CompilDonnées[[#This Row],[FarmID]]&amp;CompilDonnées[[#This Row],[ModuleNumber]]</f>
        <v>505</v>
      </c>
      <c r="P5359" t="str">
        <f>CompilDonnées[[#This Row],[Ref_Module]]&amp;CompilDonnées[[#This Row],[HarvestingDate]]</f>
        <v>50545994</v>
      </c>
    </row>
    <row r="5360" spans="1:16">
      <c r="A5360" s="5">
        <v>45946</v>
      </c>
      <c r="B5360">
        <v>51</v>
      </c>
      <c r="C5360" t="s">
        <v>27</v>
      </c>
      <c r="D5360">
        <v>3</v>
      </c>
      <c r="E5360">
        <v>100</v>
      </c>
      <c r="F5360" t="s">
        <v>1</v>
      </c>
      <c r="G5360" s="6">
        <v>45994</v>
      </c>
      <c r="H5360">
        <v>48</v>
      </c>
      <c r="I5360">
        <f>ROUND(CompilDonnées[[#This Row],[CultureDuration_days]]/7,0)</f>
        <v>7</v>
      </c>
      <c r="J5360">
        <v>2390</v>
      </c>
      <c r="K5360" t="str">
        <f>_xlfn.CONCAT(WEEKNUM(CompilDonnées[[#This Row],[PlantationDate]]), " ", YEAR(CompilDonnées[[#This Row],[PlantationDate]]))</f>
        <v>42 2025</v>
      </c>
      <c r="L5360" t="str">
        <f>CONCATENATE(MONTH(CompilDonnées[[#This Row],[PlantationDate]])," ", YEAR(CompilDonnées[[#This Row],[PlantationDate]]))</f>
        <v>10 2025</v>
      </c>
      <c r="M5360" t="str">
        <f>CONCATENATE(MONTH(CompilDonnées[[#This Row],[HarvestingDate]])," ", YEAR(CompilDonnées[[#This Row],[HarvestingDate]]))</f>
        <v>12 2025</v>
      </c>
      <c r="N5360">
        <f>_xlfn.NUMBERVALUE(CompilDonnées[[#This Row],[FarmID]]&amp;CompilDonnées[[#This Row],[ModuleNumber]]&amp;CompilDonnées[[#This Row],[PlantationDate]])</f>
        <v>51345946</v>
      </c>
      <c r="O5360" t="str">
        <f>CompilDonnées[[#This Row],[FarmID]]&amp;CompilDonnées[[#This Row],[ModuleNumber]]</f>
        <v>513</v>
      </c>
      <c r="P5360" t="str">
        <f>CompilDonnées[[#This Row],[Ref_Module]]&amp;CompilDonnées[[#This Row],[HarvestingDate]]</f>
        <v>51345994</v>
      </c>
    </row>
    <row r="5361" spans="1:16">
      <c r="A5361" s="5">
        <v>45946</v>
      </c>
      <c r="B5361">
        <v>49</v>
      </c>
      <c r="C5361" t="s">
        <v>110</v>
      </c>
      <c r="D5361">
        <v>6</v>
      </c>
      <c r="E5361">
        <v>100</v>
      </c>
      <c r="F5361" t="s">
        <v>1</v>
      </c>
      <c r="G5361" s="6">
        <v>46001</v>
      </c>
      <c r="H5361">
        <v>55</v>
      </c>
      <c r="I5361">
        <f>ROUND(CompilDonnées[[#This Row],[CultureDuration_days]]/7,0)</f>
        <v>8</v>
      </c>
      <c r="J5361">
        <v>2652</v>
      </c>
      <c r="K5361" t="str">
        <f>_xlfn.CONCAT(WEEKNUM(CompilDonnées[[#This Row],[PlantationDate]]), " ", YEAR(CompilDonnées[[#This Row],[PlantationDate]]))</f>
        <v>42 2025</v>
      </c>
      <c r="L5361" t="str">
        <f>CONCATENATE(MONTH(CompilDonnées[[#This Row],[PlantationDate]])," ", YEAR(CompilDonnées[[#This Row],[PlantationDate]]))</f>
        <v>10 2025</v>
      </c>
      <c r="M5361" t="str">
        <f>CONCATENATE(MONTH(CompilDonnées[[#This Row],[HarvestingDate]])," ", YEAR(CompilDonnées[[#This Row],[HarvestingDate]]))</f>
        <v>12 2025</v>
      </c>
      <c r="N5361">
        <f>_xlfn.NUMBERVALUE(CompilDonnées[[#This Row],[FarmID]]&amp;CompilDonnées[[#This Row],[ModuleNumber]]&amp;CompilDonnées[[#This Row],[PlantationDate]])</f>
        <v>49645946</v>
      </c>
      <c r="O5361" t="str">
        <f>CompilDonnées[[#This Row],[FarmID]]&amp;CompilDonnées[[#This Row],[ModuleNumber]]</f>
        <v>496</v>
      </c>
      <c r="P5361" t="str">
        <f>CompilDonnées[[#This Row],[Ref_Module]]&amp;CompilDonnées[[#This Row],[HarvestingDate]]</f>
        <v>49646001</v>
      </c>
    </row>
    <row r="5362" spans="1:16">
      <c r="A5362" s="5">
        <v>45946</v>
      </c>
      <c r="B5362">
        <v>84</v>
      </c>
      <c r="C5362" t="s">
        <v>65</v>
      </c>
      <c r="D5362">
        <v>5</v>
      </c>
      <c r="E5362">
        <v>100</v>
      </c>
      <c r="F5362" t="s">
        <v>1</v>
      </c>
      <c r="G5362" s="6">
        <v>45960</v>
      </c>
      <c r="H5362">
        <v>14</v>
      </c>
      <c r="I5362">
        <f>ROUND(CompilDonnées[[#This Row],[CultureDuration_days]]/7,0)</f>
        <v>2</v>
      </c>
      <c r="J5362">
        <v>964</v>
      </c>
      <c r="K5362" t="str">
        <f>_xlfn.CONCAT(WEEKNUM(CompilDonnées[[#This Row],[PlantationDate]]), " ", YEAR(CompilDonnées[[#This Row],[PlantationDate]]))</f>
        <v>42 2025</v>
      </c>
      <c r="L5362" t="str">
        <f>CONCATENATE(MONTH(CompilDonnées[[#This Row],[PlantationDate]])," ", YEAR(CompilDonnées[[#This Row],[PlantationDate]]))</f>
        <v>10 2025</v>
      </c>
      <c r="M5362" t="str">
        <f>CONCATENATE(MONTH(CompilDonnées[[#This Row],[HarvestingDate]])," ", YEAR(CompilDonnées[[#This Row],[HarvestingDate]]))</f>
        <v>10 2025</v>
      </c>
      <c r="N5362">
        <f>_xlfn.NUMBERVALUE(CompilDonnées[[#This Row],[FarmID]]&amp;CompilDonnées[[#This Row],[ModuleNumber]]&amp;CompilDonnées[[#This Row],[PlantationDate]])</f>
        <v>84545946</v>
      </c>
      <c r="O5362" t="str">
        <f>CompilDonnées[[#This Row],[FarmID]]&amp;CompilDonnées[[#This Row],[ModuleNumber]]</f>
        <v>845</v>
      </c>
      <c r="P5362" t="str">
        <f>CompilDonnées[[#This Row],[Ref_Module]]&amp;CompilDonnées[[#This Row],[HarvestingDate]]</f>
        <v>84545960</v>
      </c>
    </row>
    <row r="5363" spans="1:16">
      <c r="A5363" s="5">
        <v>45946</v>
      </c>
      <c r="B5363">
        <v>83</v>
      </c>
      <c r="C5363" t="s">
        <v>73</v>
      </c>
      <c r="D5363">
        <v>1</v>
      </c>
      <c r="E5363">
        <v>100</v>
      </c>
      <c r="F5363" t="s">
        <v>1</v>
      </c>
      <c r="G5363" s="6">
        <v>45965</v>
      </c>
      <c r="H5363">
        <v>19</v>
      </c>
      <c r="I5363">
        <f>ROUND(CompilDonnées[[#This Row],[CultureDuration_days]]/7,0)</f>
        <v>3</v>
      </c>
      <c r="J5363">
        <v>990</v>
      </c>
      <c r="K5363" t="str">
        <f>_xlfn.CONCAT(WEEKNUM(CompilDonnées[[#This Row],[PlantationDate]]), " ", YEAR(CompilDonnées[[#This Row],[PlantationDate]]))</f>
        <v>42 2025</v>
      </c>
      <c r="L5363" t="str">
        <f>CONCATENATE(MONTH(CompilDonnées[[#This Row],[PlantationDate]])," ", YEAR(CompilDonnées[[#This Row],[PlantationDate]]))</f>
        <v>10 2025</v>
      </c>
      <c r="M5363" t="str">
        <f>CONCATENATE(MONTH(CompilDonnées[[#This Row],[HarvestingDate]])," ", YEAR(CompilDonnées[[#This Row],[HarvestingDate]]))</f>
        <v>11 2025</v>
      </c>
      <c r="N5363">
        <f>_xlfn.NUMBERVALUE(CompilDonnées[[#This Row],[FarmID]]&amp;CompilDonnées[[#This Row],[ModuleNumber]]&amp;CompilDonnées[[#This Row],[PlantationDate]])</f>
        <v>83145946</v>
      </c>
      <c r="O5363" t="str">
        <f>CompilDonnées[[#This Row],[FarmID]]&amp;CompilDonnées[[#This Row],[ModuleNumber]]</f>
        <v>831</v>
      </c>
      <c r="P5363" t="str">
        <f>CompilDonnées[[#This Row],[Ref_Module]]&amp;CompilDonnées[[#This Row],[HarvestingDate]]</f>
        <v>83145965</v>
      </c>
    </row>
    <row r="5364" spans="1:16">
      <c r="A5364" s="5">
        <v>45946</v>
      </c>
      <c r="B5364">
        <v>141</v>
      </c>
      <c r="C5364" t="s">
        <v>3</v>
      </c>
      <c r="D5364">
        <v>1</v>
      </c>
      <c r="E5364">
        <v>68</v>
      </c>
      <c r="F5364" t="s">
        <v>1</v>
      </c>
      <c r="G5364" s="6">
        <v>45985</v>
      </c>
      <c r="H5364">
        <v>39</v>
      </c>
      <c r="I5364">
        <f>ROUND(CompilDonnées[[#This Row],[CultureDuration_days]]/7,0)</f>
        <v>6</v>
      </c>
      <c r="J5364">
        <v>773</v>
      </c>
      <c r="K5364" t="str">
        <f>_xlfn.CONCAT(WEEKNUM(CompilDonnées[[#This Row],[PlantationDate]]), " ", YEAR(CompilDonnées[[#This Row],[PlantationDate]]))</f>
        <v>42 2025</v>
      </c>
      <c r="L5364" t="str">
        <f>CONCATENATE(MONTH(CompilDonnées[[#This Row],[PlantationDate]])," ", YEAR(CompilDonnées[[#This Row],[PlantationDate]]))</f>
        <v>10 2025</v>
      </c>
      <c r="M5364" t="str">
        <f>CONCATENATE(MONTH(CompilDonnées[[#This Row],[HarvestingDate]])," ", YEAR(CompilDonnées[[#This Row],[HarvestingDate]]))</f>
        <v>11 2025</v>
      </c>
      <c r="N5364">
        <f>_xlfn.NUMBERVALUE(CompilDonnées[[#This Row],[FarmID]]&amp;CompilDonnées[[#This Row],[ModuleNumber]]&amp;CompilDonnées[[#This Row],[PlantationDate]])</f>
        <v>141145946</v>
      </c>
      <c r="O5364" t="str">
        <f>CompilDonnées[[#This Row],[FarmID]]&amp;CompilDonnées[[#This Row],[ModuleNumber]]</f>
        <v>1411</v>
      </c>
      <c r="P5364" t="str">
        <f>CompilDonnées[[#This Row],[Ref_Module]]&amp;CompilDonnées[[#This Row],[HarvestingDate]]</f>
        <v>141145985</v>
      </c>
    </row>
    <row r="5365" spans="1:16">
      <c r="A5365" s="5">
        <v>45946</v>
      </c>
      <c r="B5365">
        <v>141</v>
      </c>
      <c r="C5365" t="s">
        <v>3</v>
      </c>
      <c r="D5365">
        <v>2</v>
      </c>
      <c r="E5365">
        <v>68</v>
      </c>
      <c r="F5365" t="s">
        <v>1</v>
      </c>
      <c r="G5365" s="6">
        <v>45985</v>
      </c>
      <c r="H5365">
        <v>39</v>
      </c>
      <c r="I5365">
        <f>ROUND(CompilDonnées[[#This Row],[CultureDuration_days]]/7,0)</f>
        <v>6</v>
      </c>
      <c r="J5365">
        <v>772</v>
      </c>
      <c r="K5365" t="str">
        <f>_xlfn.CONCAT(WEEKNUM(CompilDonnées[[#This Row],[PlantationDate]]), " ", YEAR(CompilDonnées[[#This Row],[PlantationDate]]))</f>
        <v>42 2025</v>
      </c>
      <c r="L5365" t="str">
        <f>CONCATENATE(MONTH(CompilDonnées[[#This Row],[PlantationDate]])," ", YEAR(CompilDonnées[[#This Row],[PlantationDate]]))</f>
        <v>10 2025</v>
      </c>
      <c r="M5365" t="str">
        <f>CONCATENATE(MONTH(CompilDonnées[[#This Row],[HarvestingDate]])," ", YEAR(CompilDonnées[[#This Row],[HarvestingDate]]))</f>
        <v>11 2025</v>
      </c>
      <c r="N5365">
        <f>_xlfn.NUMBERVALUE(CompilDonnées[[#This Row],[FarmID]]&amp;CompilDonnées[[#This Row],[ModuleNumber]]&amp;CompilDonnées[[#This Row],[PlantationDate]])</f>
        <v>141245946</v>
      </c>
      <c r="O5365" t="str">
        <f>CompilDonnées[[#This Row],[FarmID]]&amp;CompilDonnées[[#This Row],[ModuleNumber]]</f>
        <v>1412</v>
      </c>
      <c r="P5365" t="str">
        <f>CompilDonnées[[#This Row],[Ref_Module]]&amp;CompilDonnées[[#This Row],[HarvestingDate]]</f>
        <v>141245985</v>
      </c>
    </row>
    <row r="5366" spans="1:16">
      <c r="A5366" s="5">
        <v>45946</v>
      </c>
      <c r="B5366">
        <v>141</v>
      </c>
      <c r="C5366" t="s">
        <v>3</v>
      </c>
      <c r="D5366">
        <v>3</v>
      </c>
      <c r="E5366">
        <v>68</v>
      </c>
      <c r="F5366" t="s">
        <v>1</v>
      </c>
      <c r="G5366" s="6">
        <v>45985</v>
      </c>
      <c r="H5366">
        <v>39</v>
      </c>
      <c r="I5366">
        <f>ROUND(CompilDonnées[[#This Row],[CultureDuration_days]]/7,0)</f>
        <v>6</v>
      </c>
      <c r="J5366">
        <v>775</v>
      </c>
      <c r="K5366" t="str">
        <f>_xlfn.CONCAT(WEEKNUM(CompilDonnées[[#This Row],[PlantationDate]]), " ", YEAR(CompilDonnées[[#This Row],[PlantationDate]]))</f>
        <v>42 2025</v>
      </c>
      <c r="L5366" t="str">
        <f>CONCATENATE(MONTH(CompilDonnées[[#This Row],[PlantationDate]])," ", YEAR(CompilDonnées[[#This Row],[PlantationDate]]))</f>
        <v>10 2025</v>
      </c>
      <c r="M5366" t="str">
        <f>CONCATENATE(MONTH(CompilDonnées[[#This Row],[HarvestingDate]])," ", YEAR(CompilDonnées[[#This Row],[HarvestingDate]]))</f>
        <v>11 2025</v>
      </c>
      <c r="N5366">
        <f>_xlfn.NUMBERVALUE(CompilDonnées[[#This Row],[FarmID]]&amp;CompilDonnées[[#This Row],[ModuleNumber]]&amp;CompilDonnées[[#This Row],[PlantationDate]])</f>
        <v>141345946</v>
      </c>
      <c r="O5366" t="str">
        <f>CompilDonnées[[#This Row],[FarmID]]&amp;CompilDonnées[[#This Row],[ModuleNumber]]</f>
        <v>1413</v>
      </c>
      <c r="P5366" t="str">
        <f>CompilDonnées[[#This Row],[Ref_Module]]&amp;CompilDonnées[[#This Row],[HarvestingDate]]</f>
        <v>141345985</v>
      </c>
    </row>
    <row r="5367" spans="1:16">
      <c r="A5367" s="5">
        <v>45947</v>
      </c>
      <c r="B5367">
        <v>144</v>
      </c>
      <c r="C5367" t="s">
        <v>95</v>
      </c>
      <c r="D5367">
        <v>4</v>
      </c>
      <c r="E5367">
        <v>100</v>
      </c>
      <c r="F5367" t="s">
        <v>1</v>
      </c>
      <c r="G5367" s="6">
        <v>45992</v>
      </c>
      <c r="H5367">
        <v>45</v>
      </c>
      <c r="I5367">
        <f>ROUND(CompilDonnées[[#This Row],[CultureDuration_days]]/7,0)</f>
        <v>6</v>
      </c>
      <c r="J5367">
        <v>1870</v>
      </c>
      <c r="K5367" t="str">
        <f>_xlfn.CONCAT(WEEKNUM(CompilDonnées[[#This Row],[PlantationDate]]), " ", YEAR(CompilDonnées[[#This Row],[PlantationDate]]))</f>
        <v>42 2025</v>
      </c>
      <c r="L5367" t="str">
        <f>CONCATENATE(MONTH(CompilDonnées[[#This Row],[PlantationDate]])," ", YEAR(CompilDonnées[[#This Row],[PlantationDate]]))</f>
        <v>10 2025</v>
      </c>
      <c r="M5367" t="str">
        <f>CONCATENATE(MONTH(CompilDonnées[[#This Row],[HarvestingDate]])," ", YEAR(CompilDonnées[[#This Row],[HarvestingDate]]))</f>
        <v>12 2025</v>
      </c>
      <c r="N5367">
        <f>_xlfn.NUMBERVALUE(CompilDonnées[[#This Row],[FarmID]]&amp;CompilDonnées[[#This Row],[ModuleNumber]]&amp;CompilDonnées[[#This Row],[PlantationDate]])</f>
        <v>144445947</v>
      </c>
      <c r="O5367" t="str">
        <f>CompilDonnées[[#This Row],[FarmID]]&amp;CompilDonnées[[#This Row],[ModuleNumber]]</f>
        <v>1444</v>
      </c>
      <c r="P5367" t="str">
        <f>CompilDonnées[[#This Row],[Ref_Module]]&amp;CompilDonnées[[#This Row],[HarvestingDate]]</f>
        <v>144445992</v>
      </c>
    </row>
    <row r="5368" spans="1:16">
      <c r="A5368" s="5">
        <v>45947</v>
      </c>
      <c r="B5368">
        <v>142</v>
      </c>
      <c r="C5368" t="s">
        <v>113</v>
      </c>
      <c r="D5368">
        <v>2</v>
      </c>
      <c r="E5368">
        <v>100</v>
      </c>
      <c r="F5368" t="s">
        <v>1</v>
      </c>
      <c r="G5368" s="6">
        <v>45992</v>
      </c>
      <c r="H5368">
        <v>45</v>
      </c>
      <c r="I5368">
        <f>ROUND(CompilDonnées[[#This Row],[CultureDuration_days]]/7,0)</f>
        <v>6</v>
      </c>
      <c r="J5368">
        <v>2020</v>
      </c>
      <c r="K5368" t="str">
        <f>_xlfn.CONCAT(WEEKNUM(CompilDonnées[[#This Row],[PlantationDate]]), " ", YEAR(CompilDonnées[[#This Row],[PlantationDate]]))</f>
        <v>42 2025</v>
      </c>
      <c r="L5368" t="str">
        <f>CONCATENATE(MONTH(CompilDonnées[[#This Row],[PlantationDate]])," ", YEAR(CompilDonnées[[#This Row],[PlantationDate]]))</f>
        <v>10 2025</v>
      </c>
      <c r="M5368" t="str">
        <f>CONCATENATE(MONTH(CompilDonnées[[#This Row],[HarvestingDate]])," ", YEAR(CompilDonnées[[#This Row],[HarvestingDate]]))</f>
        <v>12 2025</v>
      </c>
      <c r="N5368">
        <f>_xlfn.NUMBERVALUE(CompilDonnées[[#This Row],[FarmID]]&amp;CompilDonnées[[#This Row],[ModuleNumber]]&amp;CompilDonnées[[#This Row],[PlantationDate]])</f>
        <v>142245947</v>
      </c>
      <c r="O5368" t="str">
        <f>CompilDonnées[[#This Row],[FarmID]]&amp;CompilDonnées[[#This Row],[ModuleNumber]]</f>
        <v>1422</v>
      </c>
      <c r="P5368" t="str">
        <f>CompilDonnées[[#This Row],[Ref_Module]]&amp;CompilDonnées[[#This Row],[HarvestingDate]]</f>
        <v>142245992</v>
      </c>
    </row>
    <row r="5369" spans="1:16">
      <c r="A5369" s="5">
        <v>45947</v>
      </c>
      <c r="B5369">
        <v>125</v>
      </c>
      <c r="C5369" t="s">
        <v>101</v>
      </c>
      <c r="D5369">
        <v>4</v>
      </c>
      <c r="E5369">
        <v>100</v>
      </c>
      <c r="F5369" t="s">
        <v>1</v>
      </c>
      <c r="G5369" s="6">
        <v>45992</v>
      </c>
      <c r="H5369">
        <v>45</v>
      </c>
      <c r="I5369">
        <f>ROUND(CompilDonnées[[#This Row],[CultureDuration_days]]/7,0)</f>
        <v>6</v>
      </c>
      <c r="J5369">
        <v>2509</v>
      </c>
      <c r="K5369" t="str">
        <f>_xlfn.CONCAT(WEEKNUM(CompilDonnées[[#This Row],[PlantationDate]]), " ", YEAR(CompilDonnées[[#This Row],[PlantationDate]]))</f>
        <v>42 2025</v>
      </c>
      <c r="L5369" t="str">
        <f>CONCATENATE(MONTH(CompilDonnées[[#This Row],[PlantationDate]])," ", YEAR(CompilDonnées[[#This Row],[PlantationDate]]))</f>
        <v>10 2025</v>
      </c>
      <c r="M5369" t="str">
        <f>CONCATENATE(MONTH(CompilDonnées[[#This Row],[HarvestingDate]])," ", YEAR(CompilDonnées[[#This Row],[HarvestingDate]]))</f>
        <v>12 2025</v>
      </c>
      <c r="N5369">
        <f>_xlfn.NUMBERVALUE(CompilDonnées[[#This Row],[FarmID]]&amp;CompilDonnées[[#This Row],[ModuleNumber]]&amp;CompilDonnées[[#This Row],[PlantationDate]])</f>
        <v>125445947</v>
      </c>
      <c r="O5369" t="str">
        <f>CompilDonnées[[#This Row],[FarmID]]&amp;CompilDonnées[[#This Row],[ModuleNumber]]</f>
        <v>1254</v>
      </c>
      <c r="P5369" t="str">
        <f>CompilDonnées[[#This Row],[Ref_Module]]&amp;CompilDonnées[[#This Row],[HarvestingDate]]</f>
        <v>125445992</v>
      </c>
    </row>
    <row r="5370" spans="1:16">
      <c r="A5370" s="5">
        <v>45947</v>
      </c>
      <c r="B5370">
        <v>118</v>
      </c>
      <c r="C5370" t="s">
        <v>51</v>
      </c>
      <c r="D5370">
        <v>6</v>
      </c>
      <c r="E5370">
        <v>100</v>
      </c>
      <c r="F5370" t="s">
        <v>1</v>
      </c>
      <c r="G5370" s="6">
        <v>45987</v>
      </c>
      <c r="H5370">
        <v>40</v>
      </c>
      <c r="I5370">
        <f>ROUND(CompilDonnées[[#This Row],[CultureDuration_days]]/7,0)</f>
        <v>6</v>
      </c>
      <c r="J5370">
        <v>2893</v>
      </c>
      <c r="K5370" t="str">
        <f>_xlfn.CONCAT(WEEKNUM(CompilDonnées[[#This Row],[PlantationDate]]), " ", YEAR(CompilDonnées[[#This Row],[PlantationDate]]))</f>
        <v>42 2025</v>
      </c>
      <c r="L5370" t="str">
        <f>CONCATENATE(MONTH(CompilDonnées[[#This Row],[PlantationDate]])," ", YEAR(CompilDonnées[[#This Row],[PlantationDate]]))</f>
        <v>10 2025</v>
      </c>
      <c r="M5370" t="str">
        <f>CONCATENATE(MONTH(CompilDonnées[[#This Row],[HarvestingDate]])," ", YEAR(CompilDonnées[[#This Row],[HarvestingDate]]))</f>
        <v>11 2025</v>
      </c>
      <c r="N5370">
        <f>_xlfn.NUMBERVALUE(CompilDonnées[[#This Row],[FarmID]]&amp;CompilDonnées[[#This Row],[ModuleNumber]]&amp;CompilDonnées[[#This Row],[PlantationDate]])</f>
        <v>118645947</v>
      </c>
      <c r="O5370" t="str">
        <f>CompilDonnées[[#This Row],[FarmID]]&amp;CompilDonnées[[#This Row],[ModuleNumber]]</f>
        <v>1186</v>
      </c>
      <c r="P5370" t="str">
        <f>CompilDonnées[[#This Row],[Ref_Module]]&amp;CompilDonnées[[#This Row],[HarvestingDate]]</f>
        <v>118645987</v>
      </c>
    </row>
    <row r="5371" spans="1:16">
      <c r="A5371" s="5">
        <v>45947</v>
      </c>
      <c r="B5371">
        <v>117</v>
      </c>
      <c r="C5371" t="s">
        <v>11</v>
      </c>
      <c r="D5371">
        <v>2</v>
      </c>
      <c r="E5371">
        <v>100</v>
      </c>
      <c r="F5371" t="s">
        <v>1</v>
      </c>
      <c r="G5371" s="6">
        <v>45992</v>
      </c>
      <c r="H5371">
        <v>45</v>
      </c>
      <c r="I5371">
        <f>ROUND(CompilDonnées[[#This Row],[CultureDuration_days]]/7,0)</f>
        <v>6</v>
      </c>
      <c r="J5371">
        <v>2679</v>
      </c>
      <c r="K5371" t="str">
        <f>_xlfn.CONCAT(WEEKNUM(CompilDonnées[[#This Row],[PlantationDate]]), " ", YEAR(CompilDonnées[[#This Row],[PlantationDate]]))</f>
        <v>42 2025</v>
      </c>
      <c r="L5371" t="str">
        <f>CONCATENATE(MONTH(CompilDonnées[[#This Row],[PlantationDate]])," ", YEAR(CompilDonnées[[#This Row],[PlantationDate]]))</f>
        <v>10 2025</v>
      </c>
      <c r="M5371" t="str">
        <f>CONCATENATE(MONTH(CompilDonnées[[#This Row],[HarvestingDate]])," ", YEAR(CompilDonnées[[#This Row],[HarvestingDate]]))</f>
        <v>12 2025</v>
      </c>
      <c r="N5371">
        <f>_xlfn.NUMBERVALUE(CompilDonnées[[#This Row],[FarmID]]&amp;CompilDonnées[[#This Row],[ModuleNumber]]&amp;CompilDonnées[[#This Row],[PlantationDate]])</f>
        <v>117245947</v>
      </c>
      <c r="O5371" t="str">
        <f>CompilDonnées[[#This Row],[FarmID]]&amp;CompilDonnées[[#This Row],[ModuleNumber]]</f>
        <v>1172</v>
      </c>
      <c r="P5371" t="str">
        <f>CompilDonnées[[#This Row],[Ref_Module]]&amp;CompilDonnées[[#This Row],[HarvestingDate]]</f>
        <v>117245992</v>
      </c>
    </row>
    <row r="5372" spans="1:16">
      <c r="A5372" s="5">
        <v>45947</v>
      </c>
      <c r="B5372">
        <v>113</v>
      </c>
      <c r="C5372" t="s">
        <v>16</v>
      </c>
      <c r="D5372">
        <v>1</v>
      </c>
      <c r="E5372">
        <v>100</v>
      </c>
      <c r="F5372" t="s">
        <v>1</v>
      </c>
      <c r="G5372" s="6">
        <v>45992</v>
      </c>
      <c r="H5372">
        <v>45</v>
      </c>
      <c r="I5372">
        <f>ROUND(CompilDonnées[[#This Row],[CultureDuration_days]]/7,0)</f>
        <v>6</v>
      </c>
      <c r="J5372">
        <v>3304</v>
      </c>
      <c r="K5372" t="str">
        <f>_xlfn.CONCAT(WEEKNUM(CompilDonnées[[#This Row],[PlantationDate]]), " ", YEAR(CompilDonnées[[#This Row],[PlantationDate]]))</f>
        <v>42 2025</v>
      </c>
      <c r="L5372" t="str">
        <f>CONCATENATE(MONTH(CompilDonnées[[#This Row],[PlantationDate]])," ", YEAR(CompilDonnées[[#This Row],[PlantationDate]]))</f>
        <v>10 2025</v>
      </c>
      <c r="M5372" t="str">
        <f>CONCATENATE(MONTH(CompilDonnées[[#This Row],[HarvestingDate]])," ", YEAR(CompilDonnées[[#This Row],[HarvestingDate]]))</f>
        <v>12 2025</v>
      </c>
      <c r="N5372">
        <f>_xlfn.NUMBERVALUE(CompilDonnées[[#This Row],[FarmID]]&amp;CompilDonnées[[#This Row],[ModuleNumber]]&amp;CompilDonnées[[#This Row],[PlantationDate]])</f>
        <v>113145947</v>
      </c>
      <c r="O5372" t="str">
        <f>CompilDonnées[[#This Row],[FarmID]]&amp;CompilDonnées[[#This Row],[ModuleNumber]]</f>
        <v>1131</v>
      </c>
      <c r="P5372" t="str">
        <f>CompilDonnées[[#This Row],[Ref_Module]]&amp;CompilDonnées[[#This Row],[HarvestingDate]]</f>
        <v>113145992</v>
      </c>
    </row>
    <row r="5373" spans="1:16">
      <c r="A5373" s="5">
        <v>45947</v>
      </c>
      <c r="B5373">
        <v>112</v>
      </c>
      <c r="C5373" t="s">
        <v>15</v>
      </c>
      <c r="D5373">
        <v>6</v>
      </c>
      <c r="E5373">
        <v>100</v>
      </c>
      <c r="F5373" t="s">
        <v>1</v>
      </c>
      <c r="G5373" s="6">
        <v>45992</v>
      </c>
      <c r="H5373">
        <v>45</v>
      </c>
      <c r="I5373">
        <f>ROUND(CompilDonnées[[#This Row],[CultureDuration_days]]/7,0)</f>
        <v>6</v>
      </c>
      <c r="J5373">
        <v>2237</v>
      </c>
      <c r="K5373" t="str">
        <f>_xlfn.CONCAT(WEEKNUM(CompilDonnées[[#This Row],[PlantationDate]]), " ", YEAR(CompilDonnées[[#This Row],[PlantationDate]]))</f>
        <v>42 2025</v>
      </c>
      <c r="L5373" t="str">
        <f>CONCATENATE(MONTH(CompilDonnées[[#This Row],[PlantationDate]])," ", YEAR(CompilDonnées[[#This Row],[PlantationDate]]))</f>
        <v>10 2025</v>
      </c>
      <c r="M5373" t="str">
        <f>CONCATENATE(MONTH(CompilDonnées[[#This Row],[HarvestingDate]])," ", YEAR(CompilDonnées[[#This Row],[HarvestingDate]]))</f>
        <v>12 2025</v>
      </c>
      <c r="N5373">
        <f>_xlfn.NUMBERVALUE(CompilDonnées[[#This Row],[FarmID]]&amp;CompilDonnées[[#This Row],[ModuleNumber]]&amp;CompilDonnées[[#This Row],[PlantationDate]])</f>
        <v>112645947</v>
      </c>
      <c r="O5373" t="str">
        <f>CompilDonnées[[#This Row],[FarmID]]&amp;CompilDonnées[[#This Row],[ModuleNumber]]</f>
        <v>1126</v>
      </c>
      <c r="P5373" t="str">
        <f>CompilDonnées[[#This Row],[Ref_Module]]&amp;CompilDonnées[[#This Row],[HarvestingDate]]</f>
        <v>112645992</v>
      </c>
    </row>
    <row r="5374" spans="1:16">
      <c r="A5374" s="5">
        <v>45947</v>
      </c>
      <c r="B5374">
        <v>130</v>
      </c>
      <c r="C5374" t="s">
        <v>98</v>
      </c>
      <c r="D5374">
        <v>5</v>
      </c>
      <c r="E5374">
        <v>100</v>
      </c>
      <c r="F5374" t="s">
        <v>1</v>
      </c>
      <c r="G5374" s="6">
        <v>45992</v>
      </c>
      <c r="H5374">
        <v>45</v>
      </c>
      <c r="I5374">
        <f>ROUND(CompilDonnées[[#This Row],[CultureDuration_days]]/7,0)</f>
        <v>6</v>
      </c>
      <c r="J5374">
        <v>2246</v>
      </c>
      <c r="K5374" t="str">
        <f>_xlfn.CONCAT(WEEKNUM(CompilDonnées[[#This Row],[PlantationDate]]), " ", YEAR(CompilDonnées[[#This Row],[PlantationDate]]))</f>
        <v>42 2025</v>
      </c>
      <c r="L5374" t="str">
        <f>CONCATENATE(MONTH(CompilDonnées[[#This Row],[PlantationDate]])," ", YEAR(CompilDonnées[[#This Row],[PlantationDate]]))</f>
        <v>10 2025</v>
      </c>
      <c r="M5374" t="str">
        <f>CONCATENATE(MONTH(CompilDonnées[[#This Row],[HarvestingDate]])," ", YEAR(CompilDonnées[[#This Row],[HarvestingDate]]))</f>
        <v>12 2025</v>
      </c>
      <c r="N5374">
        <f>_xlfn.NUMBERVALUE(CompilDonnées[[#This Row],[FarmID]]&amp;CompilDonnées[[#This Row],[ModuleNumber]]&amp;CompilDonnées[[#This Row],[PlantationDate]])</f>
        <v>130545947</v>
      </c>
      <c r="O5374" t="str">
        <f>CompilDonnées[[#This Row],[FarmID]]&amp;CompilDonnées[[#This Row],[ModuleNumber]]</f>
        <v>1305</v>
      </c>
      <c r="P5374" t="str">
        <f>CompilDonnées[[#This Row],[Ref_Module]]&amp;CompilDonnées[[#This Row],[HarvestingDate]]</f>
        <v>130545992</v>
      </c>
    </row>
    <row r="5375" spans="1:16">
      <c r="A5375" s="5">
        <v>45947</v>
      </c>
      <c r="B5375">
        <v>131</v>
      </c>
      <c r="C5375" t="s">
        <v>53</v>
      </c>
      <c r="D5375">
        <v>4</v>
      </c>
      <c r="E5375">
        <v>100</v>
      </c>
      <c r="F5375" t="s">
        <v>1</v>
      </c>
      <c r="G5375" s="6">
        <v>45992</v>
      </c>
      <c r="H5375">
        <v>45</v>
      </c>
      <c r="I5375">
        <f>ROUND(CompilDonnées[[#This Row],[CultureDuration_days]]/7,0)</f>
        <v>6</v>
      </c>
      <c r="J5375">
        <v>3218</v>
      </c>
      <c r="K5375" t="str">
        <f>_xlfn.CONCAT(WEEKNUM(CompilDonnées[[#This Row],[PlantationDate]]), " ", YEAR(CompilDonnées[[#This Row],[PlantationDate]]))</f>
        <v>42 2025</v>
      </c>
      <c r="L5375" t="str">
        <f>CONCATENATE(MONTH(CompilDonnées[[#This Row],[PlantationDate]])," ", YEAR(CompilDonnées[[#This Row],[PlantationDate]]))</f>
        <v>10 2025</v>
      </c>
      <c r="M5375" t="str">
        <f>CONCATENATE(MONTH(CompilDonnées[[#This Row],[HarvestingDate]])," ", YEAR(CompilDonnées[[#This Row],[HarvestingDate]]))</f>
        <v>12 2025</v>
      </c>
      <c r="N5375">
        <f>_xlfn.NUMBERVALUE(CompilDonnées[[#This Row],[FarmID]]&amp;CompilDonnées[[#This Row],[ModuleNumber]]&amp;CompilDonnées[[#This Row],[PlantationDate]])</f>
        <v>131445947</v>
      </c>
      <c r="O5375" t="str">
        <f>CompilDonnées[[#This Row],[FarmID]]&amp;CompilDonnées[[#This Row],[ModuleNumber]]</f>
        <v>1314</v>
      </c>
      <c r="P5375" t="str">
        <f>CompilDonnées[[#This Row],[Ref_Module]]&amp;CompilDonnées[[#This Row],[HarvestingDate]]</f>
        <v>131445992</v>
      </c>
    </row>
    <row r="5376" spans="1:16">
      <c r="A5376" s="5">
        <v>45947</v>
      </c>
      <c r="B5376">
        <v>111</v>
      </c>
      <c r="C5376" t="s">
        <v>41</v>
      </c>
      <c r="D5376">
        <v>3</v>
      </c>
      <c r="E5376">
        <v>100</v>
      </c>
      <c r="F5376" t="s">
        <v>1</v>
      </c>
      <c r="G5376" s="6">
        <v>45992</v>
      </c>
      <c r="H5376">
        <v>45</v>
      </c>
      <c r="I5376">
        <f>ROUND(CompilDonnées[[#This Row],[CultureDuration_days]]/7,0)</f>
        <v>6</v>
      </c>
      <c r="J5376">
        <v>2696</v>
      </c>
      <c r="K5376" t="str">
        <f>_xlfn.CONCAT(WEEKNUM(CompilDonnées[[#This Row],[PlantationDate]]), " ", YEAR(CompilDonnées[[#This Row],[PlantationDate]]))</f>
        <v>42 2025</v>
      </c>
      <c r="L5376" t="str">
        <f>CONCATENATE(MONTH(CompilDonnées[[#This Row],[PlantationDate]])," ", YEAR(CompilDonnées[[#This Row],[PlantationDate]]))</f>
        <v>10 2025</v>
      </c>
      <c r="M5376" t="str">
        <f>CONCATENATE(MONTH(CompilDonnées[[#This Row],[HarvestingDate]])," ", YEAR(CompilDonnées[[#This Row],[HarvestingDate]]))</f>
        <v>12 2025</v>
      </c>
      <c r="N5376">
        <f>_xlfn.NUMBERVALUE(CompilDonnées[[#This Row],[FarmID]]&amp;CompilDonnées[[#This Row],[ModuleNumber]]&amp;CompilDonnées[[#This Row],[PlantationDate]])</f>
        <v>111345947</v>
      </c>
      <c r="O5376" t="str">
        <f>CompilDonnées[[#This Row],[FarmID]]&amp;CompilDonnées[[#This Row],[ModuleNumber]]</f>
        <v>1113</v>
      </c>
      <c r="P5376" t="str">
        <f>CompilDonnées[[#This Row],[Ref_Module]]&amp;CompilDonnées[[#This Row],[HarvestingDate]]</f>
        <v>111345992</v>
      </c>
    </row>
    <row r="5377" spans="1:16">
      <c r="A5377" s="5">
        <v>45947</v>
      </c>
      <c r="B5377">
        <v>110</v>
      </c>
      <c r="C5377" t="s">
        <v>14</v>
      </c>
      <c r="D5377">
        <v>5</v>
      </c>
      <c r="E5377">
        <v>100</v>
      </c>
      <c r="F5377" t="s">
        <v>1</v>
      </c>
      <c r="G5377" s="6">
        <v>45999</v>
      </c>
      <c r="H5377">
        <v>52</v>
      </c>
      <c r="I5377">
        <f>ROUND(CompilDonnées[[#This Row],[CultureDuration_days]]/7,0)</f>
        <v>7</v>
      </c>
      <c r="J5377">
        <v>3063</v>
      </c>
      <c r="K5377" t="str">
        <f>_xlfn.CONCAT(WEEKNUM(CompilDonnées[[#This Row],[PlantationDate]]), " ", YEAR(CompilDonnées[[#This Row],[PlantationDate]]))</f>
        <v>42 2025</v>
      </c>
      <c r="L5377" t="str">
        <f>CONCATENATE(MONTH(CompilDonnées[[#This Row],[PlantationDate]])," ", YEAR(CompilDonnées[[#This Row],[PlantationDate]]))</f>
        <v>10 2025</v>
      </c>
      <c r="M5377" t="str">
        <f>CONCATENATE(MONTH(CompilDonnées[[#This Row],[HarvestingDate]])," ", YEAR(CompilDonnées[[#This Row],[HarvestingDate]]))</f>
        <v>12 2025</v>
      </c>
      <c r="N5377">
        <f>_xlfn.NUMBERVALUE(CompilDonnées[[#This Row],[FarmID]]&amp;CompilDonnées[[#This Row],[ModuleNumber]]&amp;CompilDonnées[[#This Row],[PlantationDate]])</f>
        <v>110545947</v>
      </c>
      <c r="O5377" t="str">
        <f>CompilDonnées[[#This Row],[FarmID]]&amp;CompilDonnées[[#This Row],[ModuleNumber]]</f>
        <v>1105</v>
      </c>
      <c r="P5377" t="str">
        <f>CompilDonnées[[#This Row],[Ref_Module]]&amp;CompilDonnées[[#This Row],[HarvestingDate]]</f>
        <v>110545999</v>
      </c>
    </row>
    <row r="5378" spans="1:16">
      <c r="A5378" s="5">
        <v>45947</v>
      </c>
      <c r="B5378">
        <v>126</v>
      </c>
      <c r="C5378" t="s">
        <v>52</v>
      </c>
      <c r="D5378">
        <v>6</v>
      </c>
      <c r="E5378">
        <v>100</v>
      </c>
      <c r="F5378" t="s">
        <v>1</v>
      </c>
      <c r="G5378" s="6">
        <v>45992</v>
      </c>
      <c r="H5378">
        <v>45</v>
      </c>
      <c r="I5378">
        <f>ROUND(CompilDonnées[[#This Row],[CultureDuration_days]]/7,0)</f>
        <v>6</v>
      </c>
      <c r="J5378">
        <v>2638</v>
      </c>
      <c r="K5378" t="str">
        <f>_xlfn.CONCAT(WEEKNUM(CompilDonnées[[#This Row],[PlantationDate]]), " ", YEAR(CompilDonnées[[#This Row],[PlantationDate]]))</f>
        <v>42 2025</v>
      </c>
      <c r="L5378" t="str">
        <f>CONCATENATE(MONTH(CompilDonnées[[#This Row],[PlantationDate]])," ", YEAR(CompilDonnées[[#This Row],[PlantationDate]]))</f>
        <v>10 2025</v>
      </c>
      <c r="M5378" t="str">
        <f>CONCATENATE(MONTH(CompilDonnées[[#This Row],[HarvestingDate]])," ", YEAR(CompilDonnées[[#This Row],[HarvestingDate]]))</f>
        <v>12 2025</v>
      </c>
      <c r="N5378">
        <f>_xlfn.NUMBERVALUE(CompilDonnées[[#This Row],[FarmID]]&amp;CompilDonnées[[#This Row],[ModuleNumber]]&amp;CompilDonnées[[#This Row],[PlantationDate]])</f>
        <v>126645947</v>
      </c>
      <c r="O5378" t="str">
        <f>CompilDonnées[[#This Row],[FarmID]]&amp;CompilDonnées[[#This Row],[ModuleNumber]]</f>
        <v>1266</v>
      </c>
      <c r="P5378" t="str">
        <f>CompilDonnées[[#This Row],[Ref_Module]]&amp;CompilDonnées[[#This Row],[HarvestingDate]]</f>
        <v>126645992</v>
      </c>
    </row>
    <row r="5379" spans="1:16">
      <c r="A5379" s="5">
        <v>45947</v>
      </c>
      <c r="B5379">
        <v>64</v>
      </c>
      <c r="C5379" t="s">
        <v>47</v>
      </c>
      <c r="D5379">
        <v>2</v>
      </c>
      <c r="E5379">
        <v>100</v>
      </c>
      <c r="F5379" t="s">
        <v>1</v>
      </c>
      <c r="G5379" s="6">
        <v>45994</v>
      </c>
      <c r="H5379">
        <v>47</v>
      </c>
      <c r="I5379">
        <f>ROUND(CompilDonnées[[#This Row],[CultureDuration_days]]/7,0)</f>
        <v>7</v>
      </c>
      <c r="J5379">
        <v>1810</v>
      </c>
      <c r="K5379" t="str">
        <f>_xlfn.CONCAT(WEEKNUM(CompilDonnées[[#This Row],[PlantationDate]]), " ", YEAR(CompilDonnées[[#This Row],[PlantationDate]]))</f>
        <v>42 2025</v>
      </c>
      <c r="L5379" t="str">
        <f>CONCATENATE(MONTH(CompilDonnées[[#This Row],[PlantationDate]])," ", YEAR(CompilDonnées[[#This Row],[PlantationDate]]))</f>
        <v>10 2025</v>
      </c>
      <c r="M5379" t="str">
        <f>CONCATENATE(MONTH(CompilDonnées[[#This Row],[HarvestingDate]])," ", YEAR(CompilDonnées[[#This Row],[HarvestingDate]]))</f>
        <v>12 2025</v>
      </c>
      <c r="N5379">
        <f>_xlfn.NUMBERVALUE(CompilDonnées[[#This Row],[FarmID]]&amp;CompilDonnées[[#This Row],[ModuleNumber]]&amp;CompilDonnées[[#This Row],[PlantationDate]])</f>
        <v>64245947</v>
      </c>
      <c r="O5379" t="str">
        <f>CompilDonnées[[#This Row],[FarmID]]&amp;CompilDonnées[[#This Row],[ModuleNumber]]</f>
        <v>642</v>
      </c>
      <c r="P5379" t="str">
        <f>CompilDonnées[[#This Row],[Ref_Module]]&amp;CompilDonnées[[#This Row],[HarvestingDate]]</f>
        <v>64245994</v>
      </c>
    </row>
    <row r="5380" spans="1:16">
      <c r="A5380" s="5">
        <v>45947</v>
      </c>
      <c r="B5380">
        <v>74</v>
      </c>
      <c r="C5380" t="s">
        <v>21</v>
      </c>
      <c r="D5380">
        <v>5</v>
      </c>
      <c r="E5380">
        <v>100</v>
      </c>
      <c r="F5380" t="s">
        <v>1</v>
      </c>
      <c r="G5380" s="6">
        <v>46000</v>
      </c>
      <c r="H5380">
        <v>53</v>
      </c>
      <c r="I5380">
        <f>ROUND(CompilDonnées[[#This Row],[CultureDuration_days]]/7,0)</f>
        <v>8</v>
      </c>
      <c r="J5380">
        <v>2591</v>
      </c>
      <c r="K5380" t="str">
        <f>_xlfn.CONCAT(WEEKNUM(CompilDonnées[[#This Row],[PlantationDate]]), " ", YEAR(CompilDonnées[[#This Row],[PlantationDate]]))</f>
        <v>42 2025</v>
      </c>
      <c r="L5380" t="str">
        <f>CONCATENATE(MONTH(CompilDonnées[[#This Row],[PlantationDate]])," ", YEAR(CompilDonnées[[#This Row],[PlantationDate]]))</f>
        <v>10 2025</v>
      </c>
      <c r="M5380" t="str">
        <f>CONCATENATE(MONTH(CompilDonnées[[#This Row],[HarvestingDate]])," ", YEAR(CompilDonnées[[#This Row],[HarvestingDate]]))</f>
        <v>12 2025</v>
      </c>
      <c r="N5380">
        <f>_xlfn.NUMBERVALUE(CompilDonnées[[#This Row],[FarmID]]&amp;CompilDonnées[[#This Row],[ModuleNumber]]&amp;CompilDonnées[[#This Row],[PlantationDate]])</f>
        <v>74545947</v>
      </c>
      <c r="O5380" t="str">
        <f>CompilDonnées[[#This Row],[FarmID]]&amp;CompilDonnées[[#This Row],[ModuleNumber]]</f>
        <v>745</v>
      </c>
      <c r="P5380" t="str">
        <f>CompilDonnées[[#This Row],[Ref_Module]]&amp;CompilDonnées[[#This Row],[HarvestingDate]]</f>
        <v>74546000</v>
      </c>
    </row>
    <row r="5381" spans="1:16">
      <c r="A5381" s="5">
        <v>45947</v>
      </c>
      <c r="B5381">
        <v>74</v>
      </c>
      <c r="C5381" t="s">
        <v>21</v>
      </c>
      <c r="D5381">
        <v>6</v>
      </c>
      <c r="E5381">
        <v>100</v>
      </c>
      <c r="F5381" t="s">
        <v>1</v>
      </c>
      <c r="G5381" s="6">
        <v>45994</v>
      </c>
      <c r="H5381">
        <v>47</v>
      </c>
      <c r="I5381">
        <f>ROUND(CompilDonnées[[#This Row],[CultureDuration_days]]/7,0)</f>
        <v>7</v>
      </c>
      <c r="J5381">
        <v>2998</v>
      </c>
      <c r="K5381" t="str">
        <f>_xlfn.CONCAT(WEEKNUM(CompilDonnées[[#This Row],[PlantationDate]]), " ", YEAR(CompilDonnées[[#This Row],[PlantationDate]]))</f>
        <v>42 2025</v>
      </c>
      <c r="L5381" t="str">
        <f>CONCATENATE(MONTH(CompilDonnées[[#This Row],[PlantationDate]])," ", YEAR(CompilDonnées[[#This Row],[PlantationDate]]))</f>
        <v>10 2025</v>
      </c>
      <c r="M5381" t="str">
        <f>CONCATENATE(MONTH(CompilDonnées[[#This Row],[HarvestingDate]])," ", YEAR(CompilDonnées[[#This Row],[HarvestingDate]]))</f>
        <v>12 2025</v>
      </c>
      <c r="N5381">
        <f>_xlfn.NUMBERVALUE(CompilDonnées[[#This Row],[FarmID]]&amp;CompilDonnées[[#This Row],[ModuleNumber]]&amp;CompilDonnées[[#This Row],[PlantationDate]])</f>
        <v>74645947</v>
      </c>
      <c r="O5381" t="str">
        <f>CompilDonnées[[#This Row],[FarmID]]&amp;CompilDonnées[[#This Row],[ModuleNumber]]</f>
        <v>746</v>
      </c>
      <c r="P5381" t="str">
        <f>CompilDonnées[[#This Row],[Ref_Module]]&amp;CompilDonnées[[#This Row],[HarvestingDate]]</f>
        <v>74645994</v>
      </c>
    </row>
    <row r="5382" spans="1:16">
      <c r="A5382" s="5">
        <v>45947</v>
      </c>
      <c r="B5382">
        <v>82</v>
      </c>
      <c r="C5382" t="s">
        <v>17</v>
      </c>
      <c r="D5382">
        <v>5</v>
      </c>
      <c r="E5382">
        <v>100</v>
      </c>
      <c r="F5382" t="s">
        <v>1</v>
      </c>
      <c r="G5382" s="6">
        <v>45994</v>
      </c>
      <c r="H5382">
        <v>47</v>
      </c>
      <c r="I5382">
        <f>ROUND(CompilDonnées[[#This Row],[CultureDuration_days]]/7,0)</f>
        <v>7</v>
      </c>
      <c r="J5382">
        <v>2965</v>
      </c>
      <c r="K5382" t="str">
        <f>_xlfn.CONCAT(WEEKNUM(CompilDonnées[[#This Row],[PlantationDate]]), " ", YEAR(CompilDonnées[[#This Row],[PlantationDate]]))</f>
        <v>42 2025</v>
      </c>
      <c r="L5382" t="str">
        <f>CONCATENATE(MONTH(CompilDonnées[[#This Row],[PlantationDate]])," ", YEAR(CompilDonnées[[#This Row],[PlantationDate]]))</f>
        <v>10 2025</v>
      </c>
      <c r="M5382" t="str">
        <f>CONCATENATE(MONTH(CompilDonnées[[#This Row],[HarvestingDate]])," ", YEAR(CompilDonnées[[#This Row],[HarvestingDate]]))</f>
        <v>12 2025</v>
      </c>
      <c r="N5382">
        <f>_xlfn.NUMBERVALUE(CompilDonnées[[#This Row],[FarmID]]&amp;CompilDonnées[[#This Row],[ModuleNumber]]&amp;CompilDonnées[[#This Row],[PlantationDate]])</f>
        <v>82545947</v>
      </c>
      <c r="O5382" t="str">
        <f>CompilDonnées[[#This Row],[FarmID]]&amp;CompilDonnées[[#This Row],[ModuleNumber]]</f>
        <v>825</v>
      </c>
      <c r="P5382" t="str">
        <f>CompilDonnées[[#This Row],[Ref_Module]]&amp;CompilDonnées[[#This Row],[HarvestingDate]]</f>
        <v>82545994</v>
      </c>
    </row>
    <row r="5383" spans="1:16">
      <c r="A5383" s="5">
        <v>45947</v>
      </c>
      <c r="B5383">
        <v>83</v>
      </c>
      <c r="C5383" t="s">
        <v>73</v>
      </c>
      <c r="D5383">
        <v>2</v>
      </c>
      <c r="E5383">
        <v>100</v>
      </c>
      <c r="F5383" t="s">
        <v>1</v>
      </c>
      <c r="G5383" s="6">
        <v>45965</v>
      </c>
      <c r="H5383">
        <v>18</v>
      </c>
      <c r="I5383">
        <f>ROUND(CompilDonnées[[#This Row],[CultureDuration_days]]/7,0)</f>
        <v>3</v>
      </c>
      <c r="J5383">
        <v>1002</v>
      </c>
      <c r="K5383" t="str">
        <f>_xlfn.CONCAT(WEEKNUM(CompilDonnées[[#This Row],[PlantationDate]]), " ", YEAR(CompilDonnées[[#This Row],[PlantationDate]]))</f>
        <v>42 2025</v>
      </c>
      <c r="L5383" t="str">
        <f>CONCATENATE(MONTH(CompilDonnées[[#This Row],[PlantationDate]])," ", YEAR(CompilDonnées[[#This Row],[PlantationDate]]))</f>
        <v>10 2025</v>
      </c>
      <c r="M5383" t="str">
        <f>CONCATENATE(MONTH(CompilDonnées[[#This Row],[HarvestingDate]])," ", YEAR(CompilDonnées[[#This Row],[HarvestingDate]]))</f>
        <v>11 2025</v>
      </c>
      <c r="N5383">
        <f>_xlfn.NUMBERVALUE(CompilDonnées[[#This Row],[FarmID]]&amp;CompilDonnées[[#This Row],[ModuleNumber]]&amp;CompilDonnées[[#This Row],[PlantationDate]])</f>
        <v>83245947</v>
      </c>
      <c r="O5383" t="str">
        <f>CompilDonnées[[#This Row],[FarmID]]&amp;CompilDonnées[[#This Row],[ModuleNumber]]</f>
        <v>832</v>
      </c>
      <c r="P5383" t="str">
        <f>CompilDonnées[[#This Row],[Ref_Module]]&amp;CompilDonnées[[#This Row],[HarvestingDate]]</f>
        <v>83245965</v>
      </c>
    </row>
    <row r="5384" spans="1:16">
      <c r="A5384" s="5">
        <v>45947</v>
      </c>
      <c r="B5384">
        <v>88</v>
      </c>
      <c r="C5384" t="s">
        <v>94</v>
      </c>
      <c r="D5384">
        <v>1</v>
      </c>
      <c r="E5384">
        <v>100</v>
      </c>
      <c r="F5384" t="s">
        <v>1</v>
      </c>
      <c r="G5384" s="6">
        <v>45993</v>
      </c>
      <c r="H5384">
        <v>46</v>
      </c>
      <c r="I5384">
        <f>ROUND(CompilDonnées[[#This Row],[CultureDuration_days]]/7,0)</f>
        <v>7</v>
      </c>
      <c r="J5384">
        <v>3608</v>
      </c>
      <c r="K5384" t="str">
        <f>_xlfn.CONCAT(WEEKNUM(CompilDonnées[[#This Row],[PlantationDate]]), " ", YEAR(CompilDonnées[[#This Row],[PlantationDate]]))</f>
        <v>42 2025</v>
      </c>
      <c r="L5384" t="str">
        <f>CONCATENATE(MONTH(CompilDonnées[[#This Row],[PlantationDate]])," ", YEAR(CompilDonnées[[#This Row],[PlantationDate]]))</f>
        <v>10 2025</v>
      </c>
      <c r="M5384" t="str">
        <f>CONCATENATE(MONTH(CompilDonnées[[#This Row],[HarvestingDate]])," ", YEAR(CompilDonnées[[#This Row],[HarvestingDate]]))</f>
        <v>12 2025</v>
      </c>
      <c r="N5384">
        <f>_xlfn.NUMBERVALUE(CompilDonnées[[#This Row],[FarmID]]&amp;CompilDonnées[[#This Row],[ModuleNumber]]&amp;CompilDonnées[[#This Row],[PlantationDate]])</f>
        <v>88145947</v>
      </c>
      <c r="O5384" t="str">
        <f>CompilDonnées[[#This Row],[FarmID]]&amp;CompilDonnées[[#This Row],[ModuleNumber]]</f>
        <v>881</v>
      </c>
      <c r="P5384" t="str">
        <f>CompilDonnées[[#This Row],[Ref_Module]]&amp;CompilDonnées[[#This Row],[HarvestingDate]]</f>
        <v>88145993</v>
      </c>
    </row>
    <row r="5385" spans="1:16">
      <c r="A5385" s="5">
        <v>45947</v>
      </c>
      <c r="B5385">
        <v>87</v>
      </c>
      <c r="C5385" t="s">
        <v>38</v>
      </c>
      <c r="D5385">
        <v>5</v>
      </c>
      <c r="E5385">
        <v>100</v>
      </c>
      <c r="F5385" t="s">
        <v>1</v>
      </c>
      <c r="G5385" s="6">
        <v>45993</v>
      </c>
      <c r="H5385">
        <v>46</v>
      </c>
      <c r="I5385">
        <f>ROUND(CompilDonnées[[#This Row],[CultureDuration_days]]/7,0)</f>
        <v>7</v>
      </c>
      <c r="J5385">
        <v>2738</v>
      </c>
      <c r="K5385" t="str">
        <f>_xlfn.CONCAT(WEEKNUM(CompilDonnées[[#This Row],[PlantationDate]]), " ", YEAR(CompilDonnées[[#This Row],[PlantationDate]]))</f>
        <v>42 2025</v>
      </c>
      <c r="L5385" t="str">
        <f>CONCATENATE(MONTH(CompilDonnées[[#This Row],[PlantationDate]])," ", YEAR(CompilDonnées[[#This Row],[PlantationDate]]))</f>
        <v>10 2025</v>
      </c>
      <c r="M5385" t="str">
        <f>CONCATENATE(MONTH(CompilDonnées[[#This Row],[HarvestingDate]])," ", YEAR(CompilDonnées[[#This Row],[HarvestingDate]]))</f>
        <v>12 2025</v>
      </c>
      <c r="N5385">
        <f>_xlfn.NUMBERVALUE(CompilDonnées[[#This Row],[FarmID]]&amp;CompilDonnées[[#This Row],[ModuleNumber]]&amp;CompilDonnées[[#This Row],[PlantationDate]])</f>
        <v>87545947</v>
      </c>
      <c r="O5385" t="str">
        <f>CompilDonnées[[#This Row],[FarmID]]&amp;CompilDonnées[[#This Row],[ModuleNumber]]</f>
        <v>875</v>
      </c>
      <c r="P5385" t="str">
        <f>CompilDonnées[[#This Row],[Ref_Module]]&amp;CompilDonnées[[#This Row],[HarvestingDate]]</f>
        <v>87545993</v>
      </c>
    </row>
    <row r="5386" spans="1:16">
      <c r="A5386" s="5">
        <v>45947</v>
      </c>
      <c r="B5386">
        <v>94</v>
      </c>
      <c r="C5386" t="s">
        <v>40</v>
      </c>
      <c r="D5386">
        <v>6</v>
      </c>
      <c r="E5386">
        <v>100</v>
      </c>
      <c r="F5386" t="s">
        <v>1</v>
      </c>
      <c r="G5386" s="6">
        <v>45993</v>
      </c>
      <c r="H5386">
        <v>46</v>
      </c>
      <c r="I5386">
        <f>ROUND(CompilDonnées[[#This Row],[CultureDuration_days]]/7,0)</f>
        <v>7</v>
      </c>
      <c r="J5386">
        <v>2362</v>
      </c>
      <c r="K5386" t="str">
        <f>_xlfn.CONCAT(WEEKNUM(CompilDonnées[[#This Row],[PlantationDate]]), " ", YEAR(CompilDonnées[[#This Row],[PlantationDate]]))</f>
        <v>42 2025</v>
      </c>
      <c r="L5386" t="str">
        <f>CONCATENATE(MONTH(CompilDonnées[[#This Row],[PlantationDate]])," ", YEAR(CompilDonnées[[#This Row],[PlantationDate]]))</f>
        <v>10 2025</v>
      </c>
      <c r="M5386" t="str">
        <f>CONCATENATE(MONTH(CompilDonnées[[#This Row],[HarvestingDate]])," ", YEAR(CompilDonnées[[#This Row],[HarvestingDate]]))</f>
        <v>12 2025</v>
      </c>
      <c r="N5386">
        <f>_xlfn.NUMBERVALUE(CompilDonnées[[#This Row],[FarmID]]&amp;CompilDonnées[[#This Row],[ModuleNumber]]&amp;CompilDonnées[[#This Row],[PlantationDate]])</f>
        <v>94645947</v>
      </c>
      <c r="O5386" t="str">
        <f>CompilDonnées[[#This Row],[FarmID]]&amp;CompilDonnées[[#This Row],[ModuleNumber]]</f>
        <v>946</v>
      </c>
      <c r="P5386" t="str">
        <f>CompilDonnées[[#This Row],[Ref_Module]]&amp;CompilDonnées[[#This Row],[HarvestingDate]]</f>
        <v>94645993</v>
      </c>
    </row>
    <row r="5387" spans="1:16">
      <c r="A5387" s="5">
        <v>45947</v>
      </c>
      <c r="B5387">
        <v>91</v>
      </c>
      <c r="C5387" t="s">
        <v>9</v>
      </c>
      <c r="D5387">
        <v>1</v>
      </c>
      <c r="E5387">
        <v>100</v>
      </c>
      <c r="F5387" t="s">
        <v>1</v>
      </c>
      <c r="G5387" s="6">
        <v>46000</v>
      </c>
      <c r="H5387">
        <v>53</v>
      </c>
      <c r="I5387">
        <f>ROUND(CompilDonnées[[#This Row],[CultureDuration_days]]/7,0)</f>
        <v>8</v>
      </c>
      <c r="J5387">
        <v>2190</v>
      </c>
      <c r="K5387" t="str">
        <f>_xlfn.CONCAT(WEEKNUM(CompilDonnées[[#This Row],[PlantationDate]]), " ", YEAR(CompilDonnées[[#This Row],[PlantationDate]]))</f>
        <v>42 2025</v>
      </c>
      <c r="L5387" t="str">
        <f>CONCATENATE(MONTH(CompilDonnées[[#This Row],[PlantationDate]])," ", YEAR(CompilDonnées[[#This Row],[PlantationDate]]))</f>
        <v>10 2025</v>
      </c>
      <c r="M5387" t="str">
        <f>CONCATENATE(MONTH(CompilDonnées[[#This Row],[HarvestingDate]])," ", YEAR(CompilDonnées[[#This Row],[HarvestingDate]]))</f>
        <v>12 2025</v>
      </c>
      <c r="N5387">
        <f>_xlfn.NUMBERVALUE(CompilDonnées[[#This Row],[FarmID]]&amp;CompilDonnées[[#This Row],[ModuleNumber]]&amp;CompilDonnées[[#This Row],[PlantationDate]])</f>
        <v>91145947</v>
      </c>
      <c r="O5387" t="str">
        <f>CompilDonnées[[#This Row],[FarmID]]&amp;CompilDonnées[[#This Row],[ModuleNumber]]</f>
        <v>911</v>
      </c>
      <c r="P5387" t="str">
        <f>CompilDonnées[[#This Row],[Ref_Module]]&amp;CompilDonnées[[#This Row],[HarvestingDate]]</f>
        <v>91146000</v>
      </c>
    </row>
    <row r="5388" spans="1:16">
      <c r="A5388" s="5">
        <v>45947</v>
      </c>
      <c r="B5388">
        <v>101</v>
      </c>
      <c r="C5388" t="s">
        <v>54</v>
      </c>
      <c r="D5388">
        <v>3</v>
      </c>
      <c r="E5388">
        <v>100</v>
      </c>
      <c r="F5388" t="s">
        <v>1</v>
      </c>
      <c r="G5388" s="6">
        <v>45993</v>
      </c>
      <c r="H5388">
        <v>46</v>
      </c>
      <c r="I5388">
        <f>ROUND(CompilDonnées[[#This Row],[CultureDuration_days]]/7,0)</f>
        <v>7</v>
      </c>
      <c r="J5388">
        <v>2814</v>
      </c>
      <c r="K5388" t="str">
        <f>_xlfn.CONCAT(WEEKNUM(CompilDonnées[[#This Row],[PlantationDate]]), " ", YEAR(CompilDonnées[[#This Row],[PlantationDate]]))</f>
        <v>42 2025</v>
      </c>
      <c r="L5388" t="str">
        <f>CONCATENATE(MONTH(CompilDonnées[[#This Row],[PlantationDate]])," ", YEAR(CompilDonnées[[#This Row],[PlantationDate]]))</f>
        <v>10 2025</v>
      </c>
      <c r="M5388" t="str">
        <f>CONCATENATE(MONTH(CompilDonnées[[#This Row],[HarvestingDate]])," ", YEAR(CompilDonnées[[#This Row],[HarvestingDate]]))</f>
        <v>12 2025</v>
      </c>
      <c r="N5388">
        <f>_xlfn.NUMBERVALUE(CompilDonnées[[#This Row],[FarmID]]&amp;CompilDonnées[[#This Row],[ModuleNumber]]&amp;CompilDonnées[[#This Row],[PlantationDate]])</f>
        <v>101345947</v>
      </c>
      <c r="O5388" t="str">
        <f>CompilDonnées[[#This Row],[FarmID]]&amp;CompilDonnées[[#This Row],[ModuleNumber]]</f>
        <v>1013</v>
      </c>
      <c r="P5388" t="str">
        <f>CompilDonnées[[#This Row],[Ref_Module]]&amp;CompilDonnées[[#This Row],[HarvestingDate]]</f>
        <v>101345993</v>
      </c>
    </row>
    <row r="5389" spans="1:16">
      <c r="A5389" s="5">
        <v>45947</v>
      </c>
      <c r="B5389">
        <v>99</v>
      </c>
      <c r="C5389" t="s">
        <v>117</v>
      </c>
      <c r="D5389">
        <v>6</v>
      </c>
      <c r="E5389">
        <v>100</v>
      </c>
      <c r="F5389" t="s">
        <v>1</v>
      </c>
      <c r="G5389" s="6">
        <v>45993</v>
      </c>
      <c r="H5389">
        <v>46</v>
      </c>
      <c r="I5389">
        <f>ROUND(CompilDonnées[[#This Row],[CultureDuration_days]]/7,0)</f>
        <v>7</v>
      </c>
      <c r="J5389">
        <v>3919</v>
      </c>
      <c r="K5389" t="str">
        <f>_xlfn.CONCAT(WEEKNUM(CompilDonnées[[#This Row],[PlantationDate]]), " ", YEAR(CompilDonnées[[#This Row],[PlantationDate]]))</f>
        <v>42 2025</v>
      </c>
      <c r="L5389" t="str">
        <f>CONCATENATE(MONTH(CompilDonnées[[#This Row],[PlantationDate]])," ", YEAR(CompilDonnées[[#This Row],[PlantationDate]]))</f>
        <v>10 2025</v>
      </c>
      <c r="M5389" t="str">
        <f>CONCATENATE(MONTH(CompilDonnées[[#This Row],[HarvestingDate]])," ", YEAR(CompilDonnées[[#This Row],[HarvestingDate]]))</f>
        <v>12 2025</v>
      </c>
      <c r="N5389">
        <f>_xlfn.NUMBERVALUE(CompilDonnées[[#This Row],[FarmID]]&amp;CompilDonnées[[#This Row],[ModuleNumber]]&amp;CompilDonnées[[#This Row],[PlantationDate]])</f>
        <v>99645947</v>
      </c>
      <c r="O5389" t="str">
        <f>CompilDonnées[[#This Row],[FarmID]]&amp;CompilDonnées[[#This Row],[ModuleNumber]]</f>
        <v>996</v>
      </c>
      <c r="P5389" t="str">
        <f>CompilDonnées[[#This Row],[Ref_Module]]&amp;CompilDonnées[[#This Row],[HarvestingDate]]</f>
        <v>99645993</v>
      </c>
    </row>
    <row r="5390" spans="1:16">
      <c r="A5390" s="5">
        <v>45947</v>
      </c>
      <c r="B5390">
        <v>98</v>
      </c>
      <c r="C5390" t="s">
        <v>79</v>
      </c>
      <c r="D5390">
        <v>5</v>
      </c>
      <c r="E5390">
        <v>100</v>
      </c>
      <c r="F5390" t="s">
        <v>1</v>
      </c>
      <c r="G5390" s="6">
        <v>45993</v>
      </c>
      <c r="H5390">
        <v>46</v>
      </c>
      <c r="I5390">
        <f>ROUND(CompilDonnées[[#This Row],[CultureDuration_days]]/7,0)</f>
        <v>7</v>
      </c>
      <c r="J5390">
        <v>2752</v>
      </c>
      <c r="K5390" t="str">
        <f>_xlfn.CONCAT(WEEKNUM(CompilDonnées[[#This Row],[PlantationDate]]), " ", YEAR(CompilDonnées[[#This Row],[PlantationDate]]))</f>
        <v>42 2025</v>
      </c>
      <c r="L5390" t="str">
        <f>CONCATENATE(MONTH(CompilDonnées[[#This Row],[PlantationDate]])," ", YEAR(CompilDonnées[[#This Row],[PlantationDate]]))</f>
        <v>10 2025</v>
      </c>
      <c r="M5390" t="str">
        <f>CONCATENATE(MONTH(CompilDonnées[[#This Row],[HarvestingDate]])," ", YEAR(CompilDonnées[[#This Row],[HarvestingDate]]))</f>
        <v>12 2025</v>
      </c>
      <c r="N5390">
        <f>_xlfn.NUMBERVALUE(CompilDonnées[[#This Row],[FarmID]]&amp;CompilDonnées[[#This Row],[ModuleNumber]]&amp;CompilDonnées[[#This Row],[PlantationDate]])</f>
        <v>98545947</v>
      </c>
      <c r="O5390" t="str">
        <f>CompilDonnées[[#This Row],[FarmID]]&amp;CompilDonnées[[#This Row],[ModuleNumber]]</f>
        <v>985</v>
      </c>
      <c r="P5390" t="str">
        <f>CompilDonnées[[#This Row],[Ref_Module]]&amp;CompilDonnées[[#This Row],[HarvestingDate]]</f>
        <v>98545993</v>
      </c>
    </row>
    <row r="5391" spans="1:16">
      <c r="A5391" s="5">
        <v>45947</v>
      </c>
      <c r="B5391">
        <v>109</v>
      </c>
      <c r="C5391" t="s">
        <v>2</v>
      </c>
      <c r="D5391">
        <v>6</v>
      </c>
      <c r="E5391">
        <v>100</v>
      </c>
      <c r="F5391" t="s">
        <v>1</v>
      </c>
      <c r="G5391" s="6">
        <v>45993</v>
      </c>
      <c r="H5391">
        <v>46</v>
      </c>
      <c r="I5391">
        <f>ROUND(CompilDonnées[[#This Row],[CultureDuration_days]]/7,0)</f>
        <v>7</v>
      </c>
      <c r="J5391">
        <v>3075</v>
      </c>
      <c r="K5391" t="str">
        <f>_xlfn.CONCAT(WEEKNUM(CompilDonnées[[#This Row],[PlantationDate]]), " ", YEAR(CompilDonnées[[#This Row],[PlantationDate]]))</f>
        <v>42 2025</v>
      </c>
      <c r="L5391" t="str">
        <f>CONCATENATE(MONTH(CompilDonnées[[#This Row],[PlantationDate]])," ", YEAR(CompilDonnées[[#This Row],[PlantationDate]]))</f>
        <v>10 2025</v>
      </c>
      <c r="M5391" t="str">
        <f>CONCATENATE(MONTH(CompilDonnées[[#This Row],[HarvestingDate]])," ", YEAR(CompilDonnées[[#This Row],[HarvestingDate]]))</f>
        <v>12 2025</v>
      </c>
      <c r="N5391">
        <f>_xlfn.NUMBERVALUE(CompilDonnées[[#This Row],[FarmID]]&amp;CompilDonnées[[#This Row],[ModuleNumber]]&amp;CompilDonnées[[#This Row],[PlantationDate]])</f>
        <v>109645947</v>
      </c>
      <c r="O5391" t="str">
        <f>CompilDonnées[[#This Row],[FarmID]]&amp;CompilDonnées[[#This Row],[ModuleNumber]]</f>
        <v>1096</v>
      </c>
      <c r="P5391" t="str">
        <f>CompilDonnées[[#This Row],[Ref_Module]]&amp;CompilDonnées[[#This Row],[HarvestingDate]]</f>
        <v>109645993</v>
      </c>
    </row>
    <row r="5392" spans="1:16">
      <c r="A5392" s="5">
        <v>45947</v>
      </c>
      <c r="B5392">
        <v>107</v>
      </c>
      <c r="C5392" t="s">
        <v>23</v>
      </c>
      <c r="D5392">
        <v>2</v>
      </c>
      <c r="E5392">
        <v>100</v>
      </c>
      <c r="F5392" t="s">
        <v>1</v>
      </c>
      <c r="G5392" s="6">
        <v>45993</v>
      </c>
      <c r="H5392">
        <v>46</v>
      </c>
      <c r="I5392">
        <f>ROUND(CompilDonnées[[#This Row],[CultureDuration_days]]/7,0)</f>
        <v>7</v>
      </c>
      <c r="J5392">
        <v>2444</v>
      </c>
      <c r="K5392" t="str">
        <f>_xlfn.CONCAT(WEEKNUM(CompilDonnées[[#This Row],[PlantationDate]]), " ", YEAR(CompilDonnées[[#This Row],[PlantationDate]]))</f>
        <v>42 2025</v>
      </c>
      <c r="L5392" t="str">
        <f>CONCATENATE(MONTH(CompilDonnées[[#This Row],[PlantationDate]])," ", YEAR(CompilDonnées[[#This Row],[PlantationDate]]))</f>
        <v>10 2025</v>
      </c>
      <c r="M5392" t="str">
        <f>CONCATENATE(MONTH(CompilDonnées[[#This Row],[HarvestingDate]])," ", YEAR(CompilDonnées[[#This Row],[HarvestingDate]]))</f>
        <v>12 2025</v>
      </c>
      <c r="N5392">
        <f>_xlfn.NUMBERVALUE(CompilDonnées[[#This Row],[FarmID]]&amp;CompilDonnées[[#This Row],[ModuleNumber]]&amp;CompilDonnées[[#This Row],[PlantationDate]])</f>
        <v>107245947</v>
      </c>
      <c r="O5392" t="str">
        <f>CompilDonnées[[#This Row],[FarmID]]&amp;CompilDonnées[[#This Row],[ModuleNumber]]</f>
        <v>1072</v>
      </c>
      <c r="P5392" t="str">
        <f>CompilDonnées[[#This Row],[Ref_Module]]&amp;CompilDonnées[[#This Row],[HarvestingDate]]</f>
        <v>107245993</v>
      </c>
    </row>
    <row r="5393" spans="1:16">
      <c r="A5393" s="5">
        <v>45947</v>
      </c>
      <c r="B5393">
        <v>106</v>
      </c>
      <c r="C5393" t="s">
        <v>22</v>
      </c>
      <c r="D5393">
        <v>4</v>
      </c>
      <c r="E5393">
        <v>100</v>
      </c>
      <c r="F5393" t="s">
        <v>1</v>
      </c>
      <c r="G5393" s="6">
        <v>45993</v>
      </c>
      <c r="H5393">
        <v>46</v>
      </c>
      <c r="I5393">
        <f>ROUND(CompilDonnées[[#This Row],[CultureDuration_days]]/7,0)</f>
        <v>7</v>
      </c>
      <c r="J5393">
        <v>2090</v>
      </c>
      <c r="K5393" t="str">
        <f>_xlfn.CONCAT(WEEKNUM(CompilDonnées[[#This Row],[PlantationDate]]), " ", YEAR(CompilDonnées[[#This Row],[PlantationDate]]))</f>
        <v>42 2025</v>
      </c>
      <c r="L5393" t="str">
        <f>CONCATENATE(MONTH(CompilDonnées[[#This Row],[PlantationDate]])," ", YEAR(CompilDonnées[[#This Row],[PlantationDate]]))</f>
        <v>10 2025</v>
      </c>
      <c r="M5393" t="str">
        <f>CONCATENATE(MONTH(CompilDonnées[[#This Row],[HarvestingDate]])," ", YEAR(CompilDonnées[[#This Row],[HarvestingDate]]))</f>
        <v>12 2025</v>
      </c>
      <c r="N5393">
        <f>_xlfn.NUMBERVALUE(CompilDonnées[[#This Row],[FarmID]]&amp;CompilDonnées[[#This Row],[ModuleNumber]]&amp;CompilDonnées[[#This Row],[PlantationDate]])</f>
        <v>106445947</v>
      </c>
      <c r="O5393" t="str">
        <f>CompilDonnées[[#This Row],[FarmID]]&amp;CompilDonnées[[#This Row],[ModuleNumber]]</f>
        <v>1064</v>
      </c>
      <c r="P5393" t="str">
        <f>CompilDonnées[[#This Row],[Ref_Module]]&amp;CompilDonnées[[#This Row],[HarvestingDate]]</f>
        <v>106445993</v>
      </c>
    </row>
    <row r="5394" spans="1:16">
      <c r="A5394" s="5">
        <v>45947</v>
      </c>
      <c r="B5394">
        <v>105</v>
      </c>
      <c r="C5394" t="s">
        <v>12</v>
      </c>
      <c r="D5394">
        <v>4</v>
      </c>
      <c r="E5394">
        <v>100</v>
      </c>
      <c r="F5394" t="s">
        <v>1</v>
      </c>
      <c r="G5394" s="6">
        <v>45993</v>
      </c>
      <c r="H5394">
        <v>46</v>
      </c>
      <c r="I5394">
        <f>ROUND(CompilDonnées[[#This Row],[CultureDuration_days]]/7,0)</f>
        <v>7</v>
      </c>
      <c r="J5394">
        <v>2454</v>
      </c>
      <c r="K5394" t="str">
        <f>_xlfn.CONCAT(WEEKNUM(CompilDonnées[[#This Row],[PlantationDate]]), " ", YEAR(CompilDonnées[[#This Row],[PlantationDate]]))</f>
        <v>42 2025</v>
      </c>
      <c r="L5394" t="str">
        <f>CONCATENATE(MONTH(CompilDonnées[[#This Row],[PlantationDate]])," ", YEAR(CompilDonnées[[#This Row],[PlantationDate]]))</f>
        <v>10 2025</v>
      </c>
      <c r="M5394" t="str">
        <f>CONCATENATE(MONTH(CompilDonnées[[#This Row],[HarvestingDate]])," ", YEAR(CompilDonnées[[#This Row],[HarvestingDate]]))</f>
        <v>12 2025</v>
      </c>
      <c r="N5394">
        <f>_xlfn.NUMBERVALUE(CompilDonnées[[#This Row],[FarmID]]&amp;CompilDonnées[[#This Row],[ModuleNumber]]&amp;CompilDonnées[[#This Row],[PlantationDate]])</f>
        <v>105445947</v>
      </c>
      <c r="O5394" t="str">
        <f>CompilDonnées[[#This Row],[FarmID]]&amp;CompilDonnées[[#This Row],[ModuleNumber]]</f>
        <v>1054</v>
      </c>
      <c r="P5394" t="str">
        <f>CompilDonnées[[#This Row],[Ref_Module]]&amp;CompilDonnées[[#This Row],[HarvestingDate]]</f>
        <v>105445993</v>
      </c>
    </row>
    <row r="5395" spans="1:16">
      <c r="A5395" s="5">
        <v>45947</v>
      </c>
      <c r="B5395">
        <v>104</v>
      </c>
      <c r="C5395" t="s">
        <v>91</v>
      </c>
      <c r="D5395">
        <v>4</v>
      </c>
      <c r="E5395">
        <v>100</v>
      </c>
      <c r="F5395" t="s">
        <v>1</v>
      </c>
      <c r="G5395" s="6">
        <v>45993</v>
      </c>
      <c r="H5395">
        <v>46</v>
      </c>
      <c r="I5395">
        <f>ROUND(CompilDonnées[[#This Row],[CultureDuration_days]]/7,0)</f>
        <v>7</v>
      </c>
      <c r="J5395">
        <v>1955</v>
      </c>
      <c r="K5395" t="str">
        <f>_xlfn.CONCAT(WEEKNUM(CompilDonnées[[#This Row],[PlantationDate]]), " ", YEAR(CompilDonnées[[#This Row],[PlantationDate]]))</f>
        <v>42 2025</v>
      </c>
      <c r="L5395" t="str">
        <f>CONCATENATE(MONTH(CompilDonnées[[#This Row],[PlantationDate]])," ", YEAR(CompilDonnées[[#This Row],[PlantationDate]]))</f>
        <v>10 2025</v>
      </c>
      <c r="M5395" t="str">
        <f>CONCATENATE(MONTH(CompilDonnées[[#This Row],[HarvestingDate]])," ", YEAR(CompilDonnées[[#This Row],[HarvestingDate]]))</f>
        <v>12 2025</v>
      </c>
      <c r="N5395">
        <f>_xlfn.NUMBERVALUE(CompilDonnées[[#This Row],[FarmID]]&amp;CompilDonnées[[#This Row],[ModuleNumber]]&amp;CompilDonnées[[#This Row],[PlantationDate]])</f>
        <v>104445947</v>
      </c>
      <c r="O5395" t="str">
        <f>CompilDonnées[[#This Row],[FarmID]]&amp;CompilDonnées[[#This Row],[ModuleNumber]]</f>
        <v>1044</v>
      </c>
      <c r="P5395" t="str">
        <f>CompilDonnées[[#This Row],[Ref_Module]]&amp;CompilDonnées[[#This Row],[HarvestingDate]]</f>
        <v>104445993</v>
      </c>
    </row>
    <row r="5396" spans="1:16">
      <c r="A5396" s="5">
        <v>45947</v>
      </c>
      <c r="B5396">
        <v>97</v>
      </c>
      <c r="C5396" t="s">
        <v>78</v>
      </c>
      <c r="D5396">
        <v>3</v>
      </c>
      <c r="E5396">
        <v>100</v>
      </c>
      <c r="F5396" t="s">
        <v>1</v>
      </c>
      <c r="G5396" s="6">
        <v>45993</v>
      </c>
      <c r="H5396">
        <v>46</v>
      </c>
      <c r="I5396">
        <f>ROUND(CompilDonnées[[#This Row],[CultureDuration_days]]/7,0)</f>
        <v>7</v>
      </c>
      <c r="J5396">
        <v>2275</v>
      </c>
      <c r="K5396" t="str">
        <f>_xlfn.CONCAT(WEEKNUM(CompilDonnées[[#This Row],[PlantationDate]]), " ", YEAR(CompilDonnées[[#This Row],[PlantationDate]]))</f>
        <v>42 2025</v>
      </c>
      <c r="L5396" t="str">
        <f>CONCATENATE(MONTH(CompilDonnées[[#This Row],[PlantationDate]])," ", YEAR(CompilDonnées[[#This Row],[PlantationDate]]))</f>
        <v>10 2025</v>
      </c>
      <c r="M5396" t="str">
        <f>CONCATENATE(MONTH(CompilDonnées[[#This Row],[HarvestingDate]])," ", YEAR(CompilDonnées[[#This Row],[HarvestingDate]]))</f>
        <v>12 2025</v>
      </c>
      <c r="N5396">
        <f>_xlfn.NUMBERVALUE(CompilDonnées[[#This Row],[FarmID]]&amp;CompilDonnées[[#This Row],[ModuleNumber]]&amp;CompilDonnées[[#This Row],[PlantationDate]])</f>
        <v>97345947</v>
      </c>
      <c r="O5396" t="str">
        <f>CompilDonnées[[#This Row],[FarmID]]&amp;CompilDonnées[[#This Row],[ModuleNumber]]</f>
        <v>973</v>
      </c>
      <c r="P5396" t="str">
        <f>CompilDonnées[[#This Row],[Ref_Module]]&amp;CompilDonnées[[#This Row],[HarvestingDate]]</f>
        <v>97345993</v>
      </c>
    </row>
    <row r="5397" spans="1:16">
      <c r="A5397" s="5">
        <v>45947</v>
      </c>
      <c r="B5397">
        <v>95</v>
      </c>
      <c r="C5397" t="s">
        <v>90</v>
      </c>
      <c r="D5397">
        <v>2</v>
      </c>
      <c r="E5397">
        <v>100</v>
      </c>
      <c r="F5397" t="s">
        <v>1</v>
      </c>
      <c r="G5397" s="6">
        <v>45993</v>
      </c>
      <c r="H5397">
        <v>46</v>
      </c>
      <c r="I5397">
        <f>ROUND(CompilDonnées[[#This Row],[CultureDuration_days]]/7,0)</f>
        <v>7</v>
      </c>
      <c r="J5397">
        <v>1868</v>
      </c>
      <c r="K5397" t="str">
        <f>_xlfn.CONCAT(WEEKNUM(CompilDonnées[[#This Row],[PlantationDate]]), " ", YEAR(CompilDonnées[[#This Row],[PlantationDate]]))</f>
        <v>42 2025</v>
      </c>
      <c r="L5397" t="str">
        <f>CONCATENATE(MONTH(CompilDonnées[[#This Row],[PlantationDate]])," ", YEAR(CompilDonnées[[#This Row],[PlantationDate]]))</f>
        <v>10 2025</v>
      </c>
      <c r="M5397" t="str">
        <f>CONCATENATE(MONTH(CompilDonnées[[#This Row],[HarvestingDate]])," ", YEAR(CompilDonnées[[#This Row],[HarvestingDate]]))</f>
        <v>12 2025</v>
      </c>
      <c r="N5397">
        <f>_xlfn.NUMBERVALUE(CompilDonnées[[#This Row],[FarmID]]&amp;CompilDonnées[[#This Row],[ModuleNumber]]&amp;CompilDonnées[[#This Row],[PlantationDate]])</f>
        <v>95245947</v>
      </c>
      <c r="O5397" t="str">
        <f>CompilDonnées[[#This Row],[FarmID]]&amp;CompilDonnées[[#This Row],[ModuleNumber]]</f>
        <v>952</v>
      </c>
      <c r="P5397" t="str">
        <f>CompilDonnées[[#This Row],[Ref_Module]]&amp;CompilDonnées[[#This Row],[HarvestingDate]]</f>
        <v>95245993</v>
      </c>
    </row>
    <row r="5398" spans="1:16">
      <c r="A5398" s="5">
        <v>45947</v>
      </c>
      <c r="B5398">
        <v>103</v>
      </c>
      <c r="C5398" t="s">
        <v>86</v>
      </c>
      <c r="D5398">
        <v>6</v>
      </c>
      <c r="E5398">
        <v>100</v>
      </c>
      <c r="F5398" t="s">
        <v>1</v>
      </c>
      <c r="G5398" s="6">
        <v>45993</v>
      </c>
      <c r="H5398">
        <v>46</v>
      </c>
      <c r="I5398">
        <f>ROUND(CompilDonnées[[#This Row],[CultureDuration_days]]/7,0)</f>
        <v>7</v>
      </c>
      <c r="J5398">
        <v>2117</v>
      </c>
      <c r="K5398" t="str">
        <f>_xlfn.CONCAT(WEEKNUM(CompilDonnées[[#This Row],[PlantationDate]]), " ", YEAR(CompilDonnées[[#This Row],[PlantationDate]]))</f>
        <v>42 2025</v>
      </c>
      <c r="L5398" t="str">
        <f>CONCATENATE(MONTH(CompilDonnées[[#This Row],[PlantationDate]])," ", YEAR(CompilDonnées[[#This Row],[PlantationDate]]))</f>
        <v>10 2025</v>
      </c>
      <c r="M5398" t="str">
        <f>CONCATENATE(MONTH(CompilDonnées[[#This Row],[HarvestingDate]])," ", YEAR(CompilDonnées[[#This Row],[HarvestingDate]]))</f>
        <v>12 2025</v>
      </c>
      <c r="N5398">
        <f>_xlfn.NUMBERVALUE(CompilDonnées[[#This Row],[FarmID]]&amp;CompilDonnées[[#This Row],[ModuleNumber]]&amp;CompilDonnées[[#This Row],[PlantationDate]])</f>
        <v>103645947</v>
      </c>
      <c r="O5398" t="str">
        <f>CompilDonnées[[#This Row],[FarmID]]&amp;CompilDonnées[[#This Row],[ModuleNumber]]</f>
        <v>1036</v>
      </c>
      <c r="P5398" t="str">
        <f>CompilDonnées[[#This Row],[Ref_Module]]&amp;CompilDonnées[[#This Row],[HarvestingDate]]</f>
        <v>103645993</v>
      </c>
    </row>
    <row r="5399" spans="1:16">
      <c r="A5399" s="5">
        <v>45948</v>
      </c>
      <c r="B5399">
        <v>109</v>
      </c>
      <c r="C5399" t="s">
        <v>2</v>
      </c>
      <c r="D5399">
        <v>5</v>
      </c>
      <c r="E5399">
        <v>100</v>
      </c>
      <c r="F5399" t="s">
        <v>1</v>
      </c>
      <c r="G5399" s="6">
        <v>45993</v>
      </c>
      <c r="H5399">
        <v>45</v>
      </c>
      <c r="I5399">
        <f>ROUND(CompilDonnées[[#This Row],[CultureDuration_days]]/7,0)</f>
        <v>6</v>
      </c>
      <c r="J5399">
        <v>3300</v>
      </c>
      <c r="K5399" t="str">
        <f>_xlfn.CONCAT(WEEKNUM(CompilDonnées[[#This Row],[PlantationDate]]), " ", YEAR(CompilDonnées[[#This Row],[PlantationDate]]))</f>
        <v>42 2025</v>
      </c>
      <c r="L5399" t="str">
        <f>CONCATENATE(MONTH(CompilDonnées[[#This Row],[PlantationDate]])," ", YEAR(CompilDonnées[[#This Row],[PlantationDate]]))</f>
        <v>10 2025</v>
      </c>
      <c r="M5399" t="str">
        <f>CONCATENATE(MONTH(CompilDonnées[[#This Row],[HarvestingDate]])," ", YEAR(CompilDonnées[[#This Row],[HarvestingDate]]))</f>
        <v>12 2025</v>
      </c>
      <c r="N5399">
        <f>_xlfn.NUMBERVALUE(CompilDonnées[[#This Row],[FarmID]]&amp;CompilDonnées[[#This Row],[ModuleNumber]]&amp;CompilDonnées[[#This Row],[PlantationDate]])</f>
        <v>109545948</v>
      </c>
      <c r="O5399" t="str">
        <f>CompilDonnées[[#This Row],[FarmID]]&amp;CompilDonnées[[#This Row],[ModuleNumber]]</f>
        <v>1095</v>
      </c>
      <c r="P5399" t="str">
        <f>CompilDonnées[[#This Row],[Ref_Module]]&amp;CompilDonnées[[#This Row],[HarvestingDate]]</f>
        <v>109545993</v>
      </c>
    </row>
    <row r="5400" spans="1:16">
      <c r="A5400" s="5">
        <v>45948</v>
      </c>
      <c r="B5400">
        <v>108</v>
      </c>
      <c r="C5400" t="s">
        <v>58</v>
      </c>
      <c r="D5400">
        <v>2</v>
      </c>
      <c r="E5400">
        <v>100</v>
      </c>
      <c r="F5400" t="s">
        <v>1</v>
      </c>
      <c r="G5400" s="6">
        <v>45992</v>
      </c>
      <c r="H5400">
        <v>44</v>
      </c>
      <c r="I5400">
        <f>ROUND(CompilDonnées[[#This Row],[CultureDuration_days]]/7,0)</f>
        <v>6</v>
      </c>
      <c r="J5400">
        <v>2663</v>
      </c>
      <c r="K5400" t="str">
        <f>_xlfn.CONCAT(WEEKNUM(CompilDonnées[[#This Row],[PlantationDate]]), " ", YEAR(CompilDonnées[[#This Row],[PlantationDate]]))</f>
        <v>42 2025</v>
      </c>
      <c r="L5400" t="str">
        <f>CONCATENATE(MONTH(CompilDonnées[[#This Row],[PlantationDate]])," ", YEAR(CompilDonnées[[#This Row],[PlantationDate]]))</f>
        <v>10 2025</v>
      </c>
      <c r="M5400" t="str">
        <f>CONCATENATE(MONTH(CompilDonnées[[#This Row],[HarvestingDate]])," ", YEAR(CompilDonnées[[#This Row],[HarvestingDate]]))</f>
        <v>12 2025</v>
      </c>
      <c r="N5400">
        <f>_xlfn.NUMBERVALUE(CompilDonnées[[#This Row],[FarmID]]&amp;CompilDonnées[[#This Row],[ModuleNumber]]&amp;CompilDonnées[[#This Row],[PlantationDate]])</f>
        <v>108245948</v>
      </c>
      <c r="O5400" t="str">
        <f>CompilDonnées[[#This Row],[FarmID]]&amp;CompilDonnées[[#This Row],[ModuleNumber]]</f>
        <v>1082</v>
      </c>
      <c r="P5400" t="str">
        <f>CompilDonnées[[#This Row],[Ref_Module]]&amp;CompilDonnées[[#This Row],[HarvestingDate]]</f>
        <v>108245992</v>
      </c>
    </row>
    <row r="5401" spans="1:16">
      <c r="A5401" s="5">
        <v>45948</v>
      </c>
      <c r="B5401">
        <v>97</v>
      </c>
      <c r="C5401" t="s">
        <v>78</v>
      </c>
      <c r="D5401">
        <v>1</v>
      </c>
      <c r="E5401">
        <v>100</v>
      </c>
      <c r="F5401" t="s">
        <v>1</v>
      </c>
      <c r="G5401" s="6">
        <v>46000</v>
      </c>
      <c r="H5401">
        <v>52</v>
      </c>
      <c r="I5401">
        <f>ROUND(CompilDonnées[[#This Row],[CultureDuration_days]]/7,0)</f>
        <v>7</v>
      </c>
      <c r="J5401">
        <v>1622</v>
      </c>
      <c r="K5401" t="str">
        <f>_xlfn.CONCAT(WEEKNUM(CompilDonnées[[#This Row],[PlantationDate]]), " ", YEAR(CompilDonnées[[#This Row],[PlantationDate]]))</f>
        <v>42 2025</v>
      </c>
      <c r="L5401" t="str">
        <f>CONCATENATE(MONTH(CompilDonnées[[#This Row],[PlantationDate]])," ", YEAR(CompilDonnées[[#This Row],[PlantationDate]]))</f>
        <v>10 2025</v>
      </c>
      <c r="M5401" t="str">
        <f>CONCATENATE(MONTH(CompilDonnées[[#This Row],[HarvestingDate]])," ", YEAR(CompilDonnées[[#This Row],[HarvestingDate]]))</f>
        <v>12 2025</v>
      </c>
      <c r="N5401">
        <f>_xlfn.NUMBERVALUE(CompilDonnées[[#This Row],[FarmID]]&amp;CompilDonnées[[#This Row],[ModuleNumber]]&amp;CompilDonnées[[#This Row],[PlantationDate]])</f>
        <v>97145948</v>
      </c>
      <c r="O5401" t="str">
        <f>CompilDonnées[[#This Row],[FarmID]]&amp;CompilDonnées[[#This Row],[ModuleNumber]]</f>
        <v>971</v>
      </c>
      <c r="P5401" t="str">
        <f>CompilDonnées[[#This Row],[Ref_Module]]&amp;CompilDonnées[[#This Row],[HarvestingDate]]</f>
        <v>97146000</v>
      </c>
    </row>
    <row r="5402" spans="1:16">
      <c r="A5402" s="5">
        <v>45948</v>
      </c>
      <c r="B5402">
        <v>95</v>
      </c>
      <c r="C5402" t="s">
        <v>90</v>
      </c>
      <c r="D5402">
        <v>1</v>
      </c>
      <c r="E5402">
        <v>100</v>
      </c>
      <c r="F5402" t="s">
        <v>1</v>
      </c>
      <c r="G5402" s="6">
        <v>45993</v>
      </c>
      <c r="H5402">
        <v>45</v>
      </c>
      <c r="I5402">
        <f>ROUND(CompilDonnées[[#This Row],[CultureDuration_days]]/7,0)</f>
        <v>6</v>
      </c>
      <c r="J5402">
        <v>1823</v>
      </c>
      <c r="K5402" t="str">
        <f>_xlfn.CONCAT(WEEKNUM(CompilDonnées[[#This Row],[PlantationDate]]), " ", YEAR(CompilDonnées[[#This Row],[PlantationDate]]))</f>
        <v>42 2025</v>
      </c>
      <c r="L5402" t="str">
        <f>CONCATENATE(MONTH(CompilDonnées[[#This Row],[PlantationDate]])," ", YEAR(CompilDonnées[[#This Row],[PlantationDate]]))</f>
        <v>10 2025</v>
      </c>
      <c r="M5402" t="str">
        <f>CONCATENATE(MONTH(CompilDonnées[[#This Row],[HarvestingDate]])," ", YEAR(CompilDonnées[[#This Row],[HarvestingDate]]))</f>
        <v>12 2025</v>
      </c>
      <c r="N5402">
        <f>_xlfn.NUMBERVALUE(CompilDonnées[[#This Row],[FarmID]]&amp;CompilDonnées[[#This Row],[ModuleNumber]]&amp;CompilDonnées[[#This Row],[PlantationDate]])</f>
        <v>95145948</v>
      </c>
      <c r="O5402" t="str">
        <f>CompilDonnées[[#This Row],[FarmID]]&amp;CompilDonnées[[#This Row],[ModuleNumber]]</f>
        <v>951</v>
      </c>
      <c r="P5402" t="str">
        <f>CompilDonnées[[#This Row],[Ref_Module]]&amp;CompilDonnées[[#This Row],[HarvestingDate]]</f>
        <v>95145993</v>
      </c>
    </row>
    <row r="5403" spans="1:16">
      <c r="A5403" s="5">
        <v>45948</v>
      </c>
      <c r="B5403">
        <v>116</v>
      </c>
      <c r="C5403" t="s">
        <v>76</v>
      </c>
      <c r="D5403">
        <v>4</v>
      </c>
      <c r="E5403">
        <v>100</v>
      </c>
      <c r="F5403" t="s">
        <v>1</v>
      </c>
      <c r="G5403" s="6">
        <v>45992</v>
      </c>
      <c r="H5403">
        <v>44</v>
      </c>
      <c r="I5403">
        <f>ROUND(CompilDonnées[[#This Row],[CultureDuration_days]]/7,0)</f>
        <v>6</v>
      </c>
      <c r="J5403">
        <v>2547</v>
      </c>
      <c r="K5403" t="str">
        <f>_xlfn.CONCAT(WEEKNUM(CompilDonnées[[#This Row],[PlantationDate]]), " ", YEAR(CompilDonnées[[#This Row],[PlantationDate]]))</f>
        <v>42 2025</v>
      </c>
      <c r="L5403" t="str">
        <f>CONCATENATE(MONTH(CompilDonnées[[#This Row],[PlantationDate]])," ", YEAR(CompilDonnées[[#This Row],[PlantationDate]]))</f>
        <v>10 2025</v>
      </c>
      <c r="M5403" t="str">
        <f>CONCATENATE(MONTH(CompilDonnées[[#This Row],[HarvestingDate]])," ", YEAR(CompilDonnées[[#This Row],[HarvestingDate]]))</f>
        <v>12 2025</v>
      </c>
      <c r="N5403">
        <f>_xlfn.NUMBERVALUE(CompilDonnées[[#This Row],[FarmID]]&amp;CompilDonnées[[#This Row],[ModuleNumber]]&amp;CompilDonnées[[#This Row],[PlantationDate]])</f>
        <v>116445948</v>
      </c>
      <c r="O5403" t="str">
        <f>CompilDonnées[[#This Row],[FarmID]]&amp;CompilDonnées[[#This Row],[ModuleNumber]]</f>
        <v>1164</v>
      </c>
      <c r="P5403" t="str">
        <f>CompilDonnées[[#This Row],[Ref_Module]]&amp;CompilDonnées[[#This Row],[HarvestingDate]]</f>
        <v>116445992</v>
      </c>
    </row>
    <row r="5404" spans="1:16">
      <c r="A5404" s="5">
        <v>45948</v>
      </c>
      <c r="B5404">
        <v>116</v>
      </c>
      <c r="C5404" t="s">
        <v>76</v>
      </c>
      <c r="D5404">
        <v>6</v>
      </c>
      <c r="E5404">
        <v>100</v>
      </c>
      <c r="F5404" t="s">
        <v>1</v>
      </c>
      <c r="G5404" s="6">
        <v>45992</v>
      </c>
      <c r="H5404">
        <v>44</v>
      </c>
      <c r="I5404">
        <f>ROUND(CompilDonnées[[#This Row],[CultureDuration_days]]/7,0)</f>
        <v>6</v>
      </c>
      <c r="J5404">
        <v>2524</v>
      </c>
      <c r="K5404" t="str">
        <f>_xlfn.CONCAT(WEEKNUM(CompilDonnées[[#This Row],[PlantationDate]]), " ", YEAR(CompilDonnées[[#This Row],[PlantationDate]]))</f>
        <v>42 2025</v>
      </c>
      <c r="L5404" t="str">
        <f>CONCATENATE(MONTH(CompilDonnées[[#This Row],[PlantationDate]])," ", YEAR(CompilDonnées[[#This Row],[PlantationDate]]))</f>
        <v>10 2025</v>
      </c>
      <c r="M5404" t="str">
        <f>CONCATENATE(MONTH(CompilDonnées[[#This Row],[HarvestingDate]])," ", YEAR(CompilDonnées[[#This Row],[HarvestingDate]]))</f>
        <v>12 2025</v>
      </c>
      <c r="N5404">
        <f>_xlfn.NUMBERVALUE(CompilDonnées[[#This Row],[FarmID]]&amp;CompilDonnées[[#This Row],[ModuleNumber]]&amp;CompilDonnées[[#This Row],[PlantationDate]])</f>
        <v>116645948</v>
      </c>
      <c r="O5404" t="str">
        <f>CompilDonnées[[#This Row],[FarmID]]&amp;CompilDonnées[[#This Row],[ModuleNumber]]</f>
        <v>1166</v>
      </c>
      <c r="P5404" t="str">
        <f>CompilDonnées[[#This Row],[Ref_Module]]&amp;CompilDonnées[[#This Row],[HarvestingDate]]</f>
        <v>116645992</v>
      </c>
    </row>
    <row r="5405" spans="1:16">
      <c r="A5405" s="5">
        <v>45948</v>
      </c>
      <c r="B5405">
        <v>119</v>
      </c>
      <c r="C5405" t="s">
        <v>59</v>
      </c>
      <c r="D5405">
        <v>3</v>
      </c>
      <c r="E5405">
        <v>100</v>
      </c>
      <c r="F5405" t="s">
        <v>1</v>
      </c>
      <c r="G5405" s="6">
        <v>45992</v>
      </c>
      <c r="H5405">
        <v>44</v>
      </c>
      <c r="I5405">
        <f>ROUND(CompilDonnées[[#This Row],[CultureDuration_days]]/7,0)</f>
        <v>6</v>
      </c>
      <c r="J5405">
        <v>2907</v>
      </c>
      <c r="K5405" t="str">
        <f>_xlfn.CONCAT(WEEKNUM(CompilDonnées[[#This Row],[PlantationDate]]), " ", YEAR(CompilDonnées[[#This Row],[PlantationDate]]))</f>
        <v>42 2025</v>
      </c>
      <c r="L5405" t="str">
        <f>CONCATENATE(MONTH(CompilDonnées[[#This Row],[PlantationDate]])," ", YEAR(CompilDonnées[[#This Row],[PlantationDate]]))</f>
        <v>10 2025</v>
      </c>
      <c r="M5405" t="str">
        <f>CONCATENATE(MONTH(CompilDonnées[[#This Row],[HarvestingDate]])," ", YEAR(CompilDonnées[[#This Row],[HarvestingDate]]))</f>
        <v>12 2025</v>
      </c>
      <c r="N5405">
        <f>_xlfn.NUMBERVALUE(CompilDonnées[[#This Row],[FarmID]]&amp;CompilDonnées[[#This Row],[ModuleNumber]]&amp;CompilDonnées[[#This Row],[PlantationDate]])</f>
        <v>119345948</v>
      </c>
      <c r="O5405" t="str">
        <f>CompilDonnées[[#This Row],[FarmID]]&amp;CompilDonnées[[#This Row],[ModuleNumber]]</f>
        <v>1193</v>
      </c>
      <c r="P5405" t="str">
        <f>CompilDonnées[[#This Row],[Ref_Module]]&amp;CompilDonnées[[#This Row],[HarvestingDate]]</f>
        <v>119345992</v>
      </c>
    </row>
    <row r="5406" spans="1:16">
      <c r="A5406" s="5">
        <v>45948</v>
      </c>
      <c r="B5406">
        <v>131</v>
      </c>
      <c r="C5406" t="s">
        <v>53</v>
      </c>
      <c r="D5406">
        <v>3</v>
      </c>
      <c r="E5406">
        <v>100</v>
      </c>
      <c r="F5406" t="s">
        <v>1</v>
      </c>
      <c r="G5406" s="6">
        <v>45992</v>
      </c>
      <c r="H5406">
        <v>44</v>
      </c>
      <c r="I5406">
        <f>ROUND(CompilDonnées[[#This Row],[CultureDuration_days]]/7,0)</f>
        <v>6</v>
      </c>
      <c r="J5406">
        <v>3246</v>
      </c>
      <c r="K5406" t="str">
        <f>_xlfn.CONCAT(WEEKNUM(CompilDonnées[[#This Row],[PlantationDate]]), " ", YEAR(CompilDonnées[[#This Row],[PlantationDate]]))</f>
        <v>42 2025</v>
      </c>
      <c r="L5406" t="str">
        <f>CONCATENATE(MONTH(CompilDonnées[[#This Row],[PlantationDate]])," ", YEAR(CompilDonnées[[#This Row],[PlantationDate]]))</f>
        <v>10 2025</v>
      </c>
      <c r="M5406" t="str">
        <f>CONCATENATE(MONTH(CompilDonnées[[#This Row],[HarvestingDate]])," ", YEAR(CompilDonnées[[#This Row],[HarvestingDate]]))</f>
        <v>12 2025</v>
      </c>
      <c r="N5406">
        <f>_xlfn.NUMBERVALUE(CompilDonnées[[#This Row],[FarmID]]&amp;CompilDonnées[[#This Row],[ModuleNumber]]&amp;CompilDonnées[[#This Row],[PlantationDate]])</f>
        <v>131345948</v>
      </c>
      <c r="O5406" t="str">
        <f>CompilDonnées[[#This Row],[FarmID]]&amp;CompilDonnées[[#This Row],[ModuleNumber]]</f>
        <v>1313</v>
      </c>
      <c r="P5406" t="str">
        <f>CompilDonnées[[#This Row],[Ref_Module]]&amp;CompilDonnées[[#This Row],[HarvestingDate]]</f>
        <v>131345992</v>
      </c>
    </row>
    <row r="5407" spans="1:16">
      <c r="A5407" s="5">
        <v>45948</v>
      </c>
      <c r="B5407">
        <v>130</v>
      </c>
      <c r="C5407" t="s">
        <v>98</v>
      </c>
      <c r="D5407">
        <v>4</v>
      </c>
      <c r="E5407">
        <v>100</v>
      </c>
      <c r="F5407" t="s">
        <v>1</v>
      </c>
      <c r="G5407" s="6">
        <v>45992</v>
      </c>
      <c r="H5407">
        <v>44</v>
      </c>
      <c r="I5407">
        <f>ROUND(CompilDonnées[[#This Row],[CultureDuration_days]]/7,0)</f>
        <v>6</v>
      </c>
      <c r="J5407">
        <v>2407</v>
      </c>
      <c r="K5407" t="str">
        <f>_xlfn.CONCAT(WEEKNUM(CompilDonnées[[#This Row],[PlantationDate]]), " ", YEAR(CompilDonnées[[#This Row],[PlantationDate]]))</f>
        <v>42 2025</v>
      </c>
      <c r="L5407" t="str">
        <f>CONCATENATE(MONTH(CompilDonnées[[#This Row],[PlantationDate]])," ", YEAR(CompilDonnées[[#This Row],[PlantationDate]]))</f>
        <v>10 2025</v>
      </c>
      <c r="M5407" t="str">
        <f>CONCATENATE(MONTH(CompilDonnées[[#This Row],[HarvestingDate]])," ", YEAR(CompilDonnées[[#This Row],[HarvestingDate]]))</f>
        <v>12 2025</v>
      </c>
      <c r="N5407">
        <f>_xlfn.NUMBERVALUE(CompilDonnées[[#This Row],[FarmID]]&amp;CompilDonnées[[#This Row],[ModuleNumber]]&amp;CompilDonnées[[#This Row],[PlantationDate]])</f>
        <v>130445948</v>
      </c>
      <c r="O5407" t="str">
        <f>CompilDonnées[[#This Row],[FarmID]]&amp;CompilDonnées[[#This Row],[ModuleNumber]]</f>
        <v>1304</v>
      </c>
      <c r="P5407" t="str">
        <f>CompilDonnées[[#This Row],[Ref_Module]]&amp;CompilDonnées[[#This Row],[HarvestingDate]]</f>
        <v>130445992</v>
      </c>
    </row>
    <row r="5408" spans="1:16">
      <c r="A5408" s="5">
        <v>45948</v>
      </c>
      <c r="B5408">
        <v>124</v>
      </c>
      <c r="C5408" t="s">
        <v>115</v>
      </c>
      <c r="D5408">
        <v>1</v>
      </c>
      <c r="E5408">
        <v>100</v>
      </c>
      <c r="F5408" t="s">
        <v>1</v>
      </c>
      <c r="G5408" s="6">
        <v>45996</v>
      </c>
      <c r="H5408">
        <v>48</v>
      </c>
      <c r="I5408">
        <f>ROUND(CompilDonnées[[#This Row],[CultureDuration_days]]/7,0)</f>
        <v>7</v>
      </c>
      <c r="J5408">
        <v>3646</v>
      </c>
      <c r="K5408" t="str">
        <f>_xlfn.CONCAT(WEEKNUM(CompilDonnées[[#This Row],[PlantationDate]]), " ", YEAR(CompilDonnées[[#This Row],[PlantationDate]]))</f>
        <v>42 2025</v>
      </c>
      <c r="L5408" t="str">
        <f>CONCATENATE(MONTH(CompilDonnées[[#This Row],[PlantationDate]])," ", YEAR(CompilDonnées[[#This Row],[PlantationDate]]))</f>
        <v>10 2025</v>
      </c>
      <c r="M5408" t="str">
        <f>CONCATENATE(MONTH(CompilDonnées[[#This Row],[HarvestingDate]])," ", YEAR(CompilDonnées[[#This Row],[HarvestingDate]]))</f>
        <v>12 2025</v>
      </c>
      <c r="N5408">
        <f>_xlfn.NUMBERVALUE(CompilDonnées[[#This Row],[FarmID]]&amp;CompilDonnées[[#This Row],[ModuleNumber]]&amp;CompilDonnées[[#This Row],[PlantationDate]])</f>
        <v>124145948</v>
      </c>
      <c r="O5408" t="str">
        <f>CompilDonnées[[#This Row],[FarmID]]&amp;CompilDonnées[[#This Row],[ModuleNumber]]</f>
        <v>1241</v>
      </c>
      <c r="P5408" t="str">
        <f>CompilDonnées[[#This Row],[Ref_Module]]&amp;CompilDonnées[[#This Row],[HarvestingDate]]</f>
        <v>124145996</v>
      </c>
    </row>
    <row r="5409" spans="1:16">
      <c r="A5409" s="5">
        <v>45948</v>
      </c>
      <c r="B5409">
        <v>133</v>
      </c>
      <c r="C5409" t="s">
        <v>99</v>
      </c>
      <c r="D5409">
        <v>5</v>
      </c>
      <c r="E5409">
        <v>100</v>
      </c>
      <c r="F5409" t="s">
        <v>1</v>
      </c>
      <c r="G5409" s="6">
        <v>45992</v>
      </c>
      <c r="H5409">
        <v>44</v>
      </c>
      <c r="I5409">
        <f>ROUND(CompilDonnées[[#This Row],[CultureDuration_days]]/7,0)</f>
        <v>6</v>
      </c>
      <c r="J5409">
        <v>2546</v>
      </c>
      <c r="K5409" t="str">
        <f>_xlfn.CONCAT(WEEKNUM(CompilDonnées[[#This Row],[PlantationDate]]), " ", YEAR(CompilDonnées[[#This Row],[PlantationDate]]))</f>
        <v>42 2025</v>
      </c>
      <c r="L5409" t="str">
        <f>CONCATENATE(MONTH(CompilDonnées[[#This Row],[PlantationDate]])," ", YEAR(CompilDonnées[[#This Row],[PlantationDate]]))</f>
        <v>10 2025</v>
      </c>
      <c r="M5409" t="str">
        <f>CONCATENATE(MONTH(CompilDonnées[[#This Row],[HarvestingDate]])," ", YEAR(CompilDonnées[[#This Row],[HarvestingDate]]))</f>
        <v>12 2025</v>
      </c>
      <c r="N5409">
        <f>_xlfn.NUMBERVALUE(CompilDonnées[[#This Row],[FarmID]]&amp;CompilDonnées[[#This Row],[ModuleNumber]]&amp;CompilDonnées[[#This Row],[PlantationDate]])</f>
        <v>133545948</v>
      </c>
      <c r="O5409" t="str">
        <f>CompilDonnées[[#This Row],[FarmID]]&amp;CompilDonnées[[#This Row],[ModuleNumber]]</f>
        <v>1335</v>
      </c>
      <c r="P5409" t="str">
        <f>CompilDonnées[[#This Row],[Ref_Module]]&amp;CompilDonnées[[#This Row],[HarvestingDate]]</f>
        <v>133545992</v>
      </c>
    </row>
    <row r="5410" spans="1:16">
      <c r="A5410" s="5">
        <v>45948</v>
      </c>
      <c r="B5410">
        <v>133</v>
      </c>
      <c r="C5410" t="s">
        <v>99</v>
      </c>
      <c r="D5410">
        <v>2</v>
      </c>
      <c r="E5410">
        <v>100</v>
      </c>
      <c r="F5410" t="s">
        <v>1</v>
      </c>
      <c r="G5410" s="6">
        <v>45992</v>
      </c>
      <c r="H5410">
        <v>44</v>
      </c>
      <c r="I5410">
        <f>ROUND(CompilDonnées[[#This Row],[CultureDuration_days]]/7,0)</f>
        <v>6</v>
      </c>
      <c r="J5410">
        <v>2469</v>
      </c>
      <c r="K5410" t="str">
        <f>_xlfn.CONCAT(WEEKNUM(CompilDonnées[[#This Row],[PlantationDate]]), " ", YEAR(CompilDonnées[[#This Row],[PlantationDate]]))</f>
        <v>42 2025</v>
      </c>
      <c r="L5410" t="str">
        <f>CONCATENATE(MONTH(CompilDonnées[[#This Row],[PlantationDate]])," ", YEAR(CompilDonnées[[#This Row],[PlantationDate]]))</f>
        <v>10 2025</v>
      </c>
      <c r="M5410" t="str">
        <f>CONCATENATE(MONTH(CompilDonnées[[#This Row],[HarvestingDate]])," ", YEAR(CompilDonnées[[#This Row],[HarvestingDate]]))</f>
        <v>12 2025</v>
      </c>
      <c r="N5410">
        <f>_xlfn.NUMBERVALUE(CompilDonnées[[#This Row],[FarmID]]&amp;CompilDonnées[[#This Row],[ModuleNumber]]&amp;CompilDonnées[[#This Row],[PlantationDate]])</f>
        <v>133245948</v>
      </c>
      <c r="O5410" t="str">
        <f>CompilDonnées[[#This Row],[FarmID]]&amp;CompilDonnées[[#This Row],[ModuleNumber]]</f>
        <v>1332</v>
      </c>
      <c r="P5410" t="str">
        <f>CompilDonnées[[#This Row],[Ref_Module]]&amp;CompilDonnées[[#This Row],[HarvestingDate]]</f>
        <v>133245992</v>
      </c>
    </row>
    <row r="5411" spans="1:16">
      <c r="A5411" s="5">
        <v>45948</v>
      </c>
      <c r="B5411">
        <v>139</v>
      </c>
      <c r="C5411" t="s">
        <v>103</v>
      </c>
      <c r="D5411">
        <v>4</v>
      </c>
      <c r="E5411">
        <v>100</v>
      </c>
      <c r="F5411" t="s">
        <v>1</v>
      </c>
      <c r="G5411" s="6">
        <v>45992</v>
      </c>
      <c r="H5411">
        <v>44</v>
      </c>
      <c r="I5411">
        <f>ROUND(CompilDonnées[[#This Row],[CultureDuration_days]]/7,0)</f>
        <v>6</v>
      </c>
      <c r="J5411">
        <v>3193</v>
      </c>
      <c r="K5411" t="str">
        <f>_xlfn.CONCAT(WEEKNUM(CompilDonnées[[#This Row],[PlantationDate]]), " ", YEAR(CompilDonnées[[#This Row],[PlantationDate]]))</f>
        <v>42 2025</v>
      </c>
      <c r="L5411" t="str">
        <f>CONCATENATE(MONTH(CompilDonnées[[#This Row],[PlantationDate]])," ", YEAR(CompilDonnées[[#This Row],[PlantationDate]]))</f>
        <v>10 2025</v>
      </c>
      <c r="M5411" t="str">
        <f>CONCATENATE(MONTH(CompilDonnées[[#This Row],[HarvestingDate]])," ", YEAR(CompilDonnées[[#This Row],[HarvestingDate]]))</f>
        <v>12 2025</v>
      </c>
      <c r="N5411">
        <f>_xlfn.NUMBERVALUE(CompilDonnées[[#This Row],[FarmID]]&amp;CompilDonnées[[#This Row],[ModuleNumber]]&amp;CompilDonnées[[#This Row],[PlantationDate]])</f>
        <v>139445948</v>
      </c>
      <c r="O5411" t="str">
        <f>CompilDonnées[[#This Row],[FarmID]]&amp;CompilDonnées[[#This Row],[ModuleNumber]]</f>
        <v>1394</v>
      </c>
      <c r="P5411" t="str">
        <f>CompilDonnées[[#This Row],[Ref_Module]]&amp;CompilDonnées[[#This Row],[HarvestingDate]]</f>
        <v>139445992</v>
      </c>
    </row>
    <row r="5412" spans="1:16">
      <c r="A5412" s="5">
        <v>45948</v>
      </c>
      <c r="B5412">
        <v>140</v>
      </c>
      <c r="C5412" t="s">
        <v>96</v>
      </c>
      <c r="D5412">
        <v>1</v>
      </c>
      <c r="E5412">
        <v>100</v>
      </c>
      <c r="F5412" t="s">
        <v>1</v>
      </c>
      <c r="G5412" s="6">
        <v>45992</v>
      </c>
      <c r="H5412">
        <v>44</v>
      </c>
      <c r="I5412">
        <f>ROUND(CompilDonnées[[#This Row],[CultureDuration_days]]/7,0)</f>
        <v>6</v>
      </c>
      <c r="J5412">
        <v>2933</v>
      </c>
      <c r="K5412" t="str">
        <f>_xlfn.CONCAT(WEEKNUM(CompilDonnées[[#This Row],[PlantationDate]]), " ", YEAR(CompilDonnées[[#This Row],[PlantationDate]]))</f>
        <v>42 2025</v>
      </c>
      <c r="L5412" t="str">
        <f>CONCATENATE(MONTH(CompilDonnées[[#This Row],[PlantationDate]])," ", YEAR(CompilDonnées[[#This Row],[PlantationDate]]))</f>
        <v>10 2025</v>
      </c>
      <c r="M5412" t="str">
        <f>CONCATENATE(MONTH(CompilDonnées[[#This Row],[HarvestingDate]])," ", YEAR(CompilDonnées[[#This Row],[HarvestingDate]]))</f>
        <v>12 2025</v>
      </c>
      <c r="N5412">
        <f>_xlfn.NUMBERVALUE(CompilDonnées[[#This Row],[FarmID]]&amp;CompilDonnées[[#This Row],[ModuleNumber]]&amp;CompilDonnées[[#This Row],[PlantationDate]])</f>
        <v>140145948</v>
      </c>
      <c r="O5412" t="str">
        <f>CompilDonnées[[#This Row],[FarmID]]&amp;CompilDonnées[[#This Row],[ModuleNumber]]</f>
        <v>1401</v>
      </c>
      <c r="P5412" t="str">
        <f>CompilDonnées[[#This Row],[Ref_Module]]&amp;CompilDonnées[[#This Row],[HarvestingDate]]</f>
        <v>140145992</v>
      </c>
    </row>
    <row r="5413" spans="1:16">
      <c r="A5413" s="5">
        <v>45948</v>
      </c>
      <c r="B5413">
        <v>142</v>
      </c>
      <c r="C5413" t="s">
        <v>113</v>
      </c>
      <c r="D5413">
        <v>3</v>
      </c>
      <c r="E5413">
        <v>100</v>
      </c>
      <c r="F5413" t="s">
        <v>1</v>
      </c>
      <c r="G5413" s="6">
        <v>45992</v>
      </c>
      <c r="H5413">
        <v>44</v>
      </c>
      <c r="I5413">
        <f>ROUND(CompilDonnées[[#This Row],[CultureDuration_days]]/7,0)</f>
        <v>6</v>
      </c>
      <c r="J5413">
        <v>2024</v>
      </c>
      <c r="K5413" t="str">
        <f>_xlfn.CONCAT(WEEKNUM(CompilDonnées[[#This Row],[PlantationDate]]), " ", YEAR(CompilDonnées[[#This Row],[PlantationDate]]))</f>
        <v>42 2025</v>
      </c>
      <c r="L5413" t="str">
        <f>CONCATENATE(MONTH(CompilDonnées[[#This Row],[PlantationDate]])," ", YEAR(CompilDonnées[[#This Row],[PlantationDate]]))</f>
        <v>10 2025</v>
      </c>
      <c r="M5413" t="str">
        <f>CONCATENATE(MONTH(CompilDonnées[[#This Row],[HarvestingDate]])," ", YEAR(CompilDonnées[[#This Row],[HarvestingDate]]))</f>
        <v>12 2025</v>
      </c>
      <c r="N5413">
        <f>_xlfn.NUMBERVALUE(CompilDonnées[[#This Row],[FarmID]]&amp;CompilDonnées[[#This Row],[ModuleNumber]]&amp;CompilDonnées[[#This Row],[PlantationDate]])</f>
        <v>142345948</v>
      </c>
      <c r="O5413" t="str">
        <f>CompilDonnées[[#This Row],[FarmID]]&amp;CompilDonnées[[#This Row],[ModuleNumber]]</f>
        <v>1423</v>
      </c>
      <c r="P5413" t="str">
        <f>CompilDonnées[[#This Row],[Ref_Module]]&amp;CompilDonnées[[#This Row],[HarvestingDate]]</f>
        <v>142345992</v>
      </c>
    </row>
    <row r="5414" spans="1:16">
      <c r="A5414" s="5">
        <v>45948</v>
      </c>
      <c r="B5414">
        <v>132</v>
      </c>
      <c r="C5414" t="s">
        <v>120</v>
      </c>
      <c r="D5414">
        <v>6</v>
      </c>
      <c r="E5414">
        <v>100</v>
      </c>
      <c r="F5414" t="s">
        <v>1</v>
      </c>
      <c r="G5414" s="6">
        <v>45992</v>
      </c>
      <c r="H5414">
        <v>44</v>
      </c>
      <c r="I5414">
        <f>ROUND(CompilDonnées[[#This Row],[CultureDuration_days]]/7,0)</f>
        <v>6</v>
      </c>
      <c r="J5414">
        <v>2379</v>
      </c>
      <c r="K5414" t="str">
        <f>_xlfn.CONCAT(WEEKNUM(CompilDonnées[[#This Row],[PlantationDate]]), " ", YEAR(CompilDonnées[[#This Row],[PlantationDate]]))</f>
        <v>42 2025</v>
      </c>
      <c r="L5414" t="str">
        <f>CONCATENATE(MONTH(CompilDonnées[[#This Row],[PlantationDate]])," ", YEAR(CompilDonnées[[#This Row],[PlantationDate]]))</f>
        <v>10 2025</v>
      </c>
      <c r="M5414" t="str">
        <f>CONCATENATE(MONTH(CompilDonnées[[#This Row],[HarvestingDate]])," ", YEAR(CompilDonnées[[#This Row],[HarvestingDate]]))</f>
        <v>12 2025</v>
      </c>
      <c r="N5414">
        <f>_xlfn.NUMBERVALUE(CompilDonnées[[#This Row],[FarmID]]&amp;CompilDonnées[[#This Row],[ModuleNumber]]&amp;CompilDonnées[[#This Row],[PlantationDate]])</f>
        <v>132645948</v>
      </c>
      <c r="O5414" t="str">
        <f>CompilDonnées[[#This Row],[FarmID]]&amp;CompilDonnées[[#This Row],[ModuleNumber]]</f>
        <v>1326</v>
      </c>
      <c r="P5414" t="str">
        <f>CompilDonnées[[#This Row],[Ref_Module]]&amp;CompilDonnées[[#This Row],[HarvestingDate]]</f>
        <v>132645992</v>
      </c>
    </row>
    <row r="5415" spans="1:16">
      <c r="A5415" s="5">
        <v>45948</v>
      </c>
      <c r="B5415">
        <v>106</v>
      </c>
      <c r="C5415" t="s">
        <v>22</v>
      </c>
      <c r="D5415">
        <v>3</v>
      </c>
      <c r="E5415">
        <v>100</v>
      </c>
      <c r="F5415" t="s">
        <v>1</v>
      </c>
      <c r="G5415" s="6">
        <v>45993</v>
      </c>
      <c r="H5415">
        <v>45</v>
      </c>
      <c r="I5415">
        <f>ROUND(CompilDonnées[[#This Row],[CultureDuration_days]]/7,0)</f>
        <v>6</v>
      </c>
      <c r="J5415">
        <v>2938</v>
      </c>
      <c r="K5415" t="str">
        <f>_xlfn.CONCAT(WEEKNUM(CompilDonnées[[#This Row],[PlantationDate]]), " ", YEAR(CompilDonnées[[#This Row],[PlantationDate]]))</f>
        <v>42 2025</v>
      </c>
      <c r="L5415" t="str">
        <f>CONCATENATE(MONTH(CompilDonnées[[#This Row],[PlantationDate]])," ", YEAR(CompilDonnées[[#This Row],[PlantationDate]]))</f>
        <v>10 2025</v>
      </c>
      <c r="M5415" t="str">
        <f>CONCATENATE(MONTH(CompilDonnées[[#This Row],[HarvestingDate]])," ", YEAR(CompilDonnées[[#This Row],[HarvestingDate]]))</f>
        <v>12 2025</v>
      </c>
      <c r="N5415">
        <f>_xlfn.NUMBERVALUE(CompilDonnées[[#This Row],[FarmID]]&amp;CompilDonnées[[#This Row],[ModuleNumber]]&amp;CompilDonnées[[#This Row],[PlantationDate]])</f>
        <v>106345948</v>
      </c>
      <c r="O5415" t="str">
        <f>CompilDonnées[[#This Row],[FarmID]]&amp;CompilDonnées[[#This Row],[ModuleNumber]]</f>
        <v>1063</v>
      </c>
      <c r="P5415" t="str">
        <f>CompilDonnées[[#This Row],[Ref_Module]]&amp;CompilDonnées[[#This Row],[HarvestingDate]]</f>
        <v>106345993</v>
      </c>
    </row>
    <row r="5416" spans="1:16">
      <c r="A5416" s="5">
        <v>45948</v>
      </c>
      <c r="B5416">
        <v>146</v>
      </c>
      <c r="C5416" t="s">
        <v>3</v>
      </c>
      <c r="D5416">
        <v>1</v>
      </c>
      <c r="E5416">
        <v>100</v>
      </c>
      <c r="F5416" t="s">
        <v>1</v>
      </c>
      <c r="G5416" s="6">
        <v>45992</v>
      </c>
      <c r="H5416">
        <v>44</v>
      </c>
      <c r="I5416">
        <f>ROUND(CompilDonnées[[#This Row],[CultureDuration_days]]/7,0)</f>
        <v>6</v>
      </c>
      <c r="J5416">
        <v>2870</v>
      </c>
      <c r="K5416" t="str">
        <f>_xlfn.CONCAT(WEEKNUM(CompilDonnées[[#This Row],[PlantationDate]]), " ", YEAR(CompilDonnées[[#This Row],[PlantationDate]]))</f>
        <v>42 2025</v>
      </c>
      <c r="L5416" t="str">
        <f>CONCATENATE(MONTH(CompilDonnées[[#This Row],[PlantationDate]])," ", YEAR(CompilDonnées[[#This Row],[PlantationDate]]))</f>
        <v>10 2025</v>
      </c>
      <c r="M5416" t="str">
        <f>CONCATENATE(MONTH(CompilDonnées[[#This Row],[HarvestingDate]])," ", YEAR(CompilDonnées[[#This Row],[HarvestingDate]]))</f>
        <v>12 2025</v>
      </c>
      <c r="N5416">
        <f>_xlfn.NUMBERVALUE(CompilDonnées[[#This Row],[FarmID]]&amp;CompilDonnées[[#This Row],[ModuleNumber]]&amp;CompilDonnées[[#This Row],[PlantationDate]])</f>
        <v>146145948</v>
      </c>
      <c r="O5416" t="str">
        <f>CompilDonnées[[#This Row],[FarmID]]&amp;CompilDonnées[[#This Row],[ModuleNumber]]</f>
        <v>1461</v>
      </c>
      <c r="P5416" t="str">
        <f>CompilDonnées[[#This Row],[Ref_Module]]&amp;CompilDonnées[[#This Row],[HarvestingDate]]</f>
        <v>146145992</v>
      </c>
    </row>
    <row r="5417" spans="1:16">
      <c r="A5417" s="5">
        <v>45948</v>
      </c>
      <c r="B5417">
        <v>146</v>
      </c>
      <c r="C5417" t="s">
        <v>3</v>
      </c>
      <c r="D5417">
        <v>2</v>
      </c>
      <c r="E5417">
        <v>100</v>
      </c>
      <c r="F5417" t="s">
        <v>1</v>
      </c>
      <c r="G5417" s="6">
        <v>45992</v>
      </c>
      <c r="H5417">
        <v>44</v>
      </c>
      <c r="I5417">
        <f>ROUND(CompilDonnées[[#This Row],[CultureDuration_days]]/7,0)</f>
        <v>6</v>
      </c>
      <c r="J5417">
        <v>2900</v>
      </c>
      <c r="K5417" t="str">
        <f>_xlfn.CONCAT(WEEKNUM(CompilDonnées[[#This Row],[PlantationDate]]), " ", YEAR(CompilDonnées[[#This Row],[PlantationDate]]))</f>
        <v>42 2025</v>
      </c>
      <c r="L5417" t="str">
        <f>CONCATENATE(MONTH(CompilDonnées[[#This Row],[PlantationDate]])," ", YEAR(CompilDonnées[[#This Row],[PlantationDate]]))</f>
        <v>10 2025</v>
      </c>
      <c r="M5417" t="str">
        <f>CONCATENATE(MONTH(CompilDonnées[[#This Row],[HarvestingDate]])," ", YEAR(CompilDonnées[[#This Row],[HarvestingDate]]))</f>
        <v>12 2025</v>
      </c>
      <c r="N5417">
        <f>_xlfn.NUMBERVALUE(CompilDonnées[[#This Row],[FarmID]]&amp;CompilDonnées[[#This Row],[ModuleNumber]]&amp;CompilDonnées[[#This Row],[PlantationDate]])</f>
        <v>146245948</v>
      </c>
      <c r="O5417" t="str">
        <f>CompilDonnées[[#This Row],[FarmID]]&amp;CompilDonnées[[#This Row],[ModuleNumber]]</f>
        <v>1462</v>
      </c>
      <c r="P5417" t="str">
        <f>CompilDonnées[[#This Row],[Ref_Module]]&amp;CompilDonnées[[#This Row],[HarvestingDate]]</f>
        <v>146245992</v>
      </c>
    </row>
    <row r="5418" spans="1:16">
      <c r="A5418" s="5">
        <v>45951</v>
      </c>
      <c r="B5418">
        <v>143</v>
      </c>
      <c r="C5418" t="s">
        <v>81</v>
      </c>
      <c r="D5418">
        <v>5</v>
      </c>
      <c r="E5418">
        <v>100</v>
      </c>
      <c r="F5418" t="s">
        <v>1</v>
      </c>
      <c r="G5418" s="6">
        <v>45999</v>
      </c>
      <c r="H5418">
        <v>48</v>
      </c>
      <c r="I5418">
        <f>ROUND(CompilDonnées[[#This Row],[CultureDuration_days]]/7,0)</f>
        <v>7</v>
      </c>
      <c r="J5418">
        <v>1705</v>
      </c>
      <c r="K5418" t="str">
        <f>_xlfn.CONCAT(WEEKNUM(CompilDonnées[[#This Row],[PlantationDate]]), " ", YEAR(CompilDonnées[[#This Row],[PlantationDate]]))</f>
        <v>43 2025</v>
      </c>
      <c r="L5418" t="str">
        <f>CONCATENATE(MONTH(CompilDonnées[[#This Row],[PlantationDate]])," ", YEAR(CompilDonnées[[#This Row],[PlantationDate]]))</f>
        <v>10 2025</v>
      </c>
      <c r="M5418" t="str">
        <f>CONCATENATE(MONTH(CompilDonnées[[#This Row],[HarvestingDate]])," ", YEAR(CompilDonnées[[#This Row],[HarvestingDate]]))</f>
        <v>12 2025</v>
      </c>
      <c r="N5418">
        <f>_xlfn.NUMBERVALUE(CompilDonnées[[#This Row],[FarmID]]&amp;CompilDonnées[[#This Row],[ModuleNumber]]&amp;CompilDonnées[[#This Row],[PlantationDate]])</f>
        <v>143545951</v>
      </c>
      <c r="O5418" t="str">
        <f>CompilDonnées[[#This Row],[FarmID]]&amp;CompilDonnées[[#This Row],[ModuleNumber]]</f>
        <v>1435</v>
      </c>
      <c r="P5418" t="str">
        <f>CompilDonnées[[#This Row],[Ref_Module]]&amp;CompilDonnées[[#This Row],[HarvestingDate]]</f>
        <v>143545999</v>
      </c>
    </row>
    <row r="5419" spans="1:16">
      <c r="A5419" s="5">
        <v>45951</v>
      </c>
      <c r="B5419">
        <v>108</v>
      </c>
      <c r="C5419" t="s">
        <v>58</v>
      </c>
      <c r="D5419">
        <v>1</v>
      </c>
      <c r="E5419">
        <v>100</v>
      </c>
      <c r="F5419" t="s">
        <v>1</v>
      </c>
      <c r="G5419" s="6">
        <v>45999</v>
      </c>
      <c r="H5419">
        <v>48</v>
      </c>
      <c r="I5419">
        <f>ROUND(CompilDonnées[[#This Row],[CultureDuration_days]]/7,0)</f>
        <v>7</v>
      </c>
      <c r="J5419">
        <v>2517</v>
      </c>
      <c r="K5419" t="str">
        <f>_xlfn.CONCAT(WEEKNUM(CompilDonnées[[#This Row],[PlantationDate]]), " ", YEAR(CompilDonnées[[#This Row],[PlantationDate]]))</f>
        <v>43 2025</v>
      </c>
      <c r="L5419" t="str">
        <f>CONCATENATE(MONTH(CompilDonnées[[#This Row],[PlantationDate]])," ", YEAR(CompilDonnées[[#This Row],[PlantationDate]]))</f>
        <v>10 2025</v>
      </c>
      <c r="M5419" t="str">
        <f>CONCATENATE(MONTH(CompilDonnées[[#This Row],[HarvestingDate]])," ", YEAR(CompilDonnées[[#This Row],[HarvestingDate]]))</f>
        <v>12 2025</v>
      </c>
      <c r="N5419">
        <f>_xlfn.NUMBERVALUE(CompilDonnées[[#This Row],[FarmID]]&amp;CompilDonnées[[#This Row],[ModuleNumber]]&amp;CompilDonnées[[#This Row],[PlantationDate]])</f>
        <v>108145951</v>
      </c>
      <c r="O5419" t="str">
        <f>CompilDonnées[[#This Row],[FarmID]]&amp;CompilDonnées[[#This Row],[ModuleNumber]]</f>
        <v>1081</v>
      </c>
      <c r="P5419" t="str">
        <f>CompilDonnées[[#This Row],[Ref_Module]]&amp;CompilDonnées[[#This Row],[HarvestingDate]]</f>
        <v>108145999</v>
      </c>
    </row>
    <row r="5420" spans="1:16">
      <c r="A5420" s="5">
        <v>45951</v>
      </c>
      <c r="B5420">
        <v>107</v>
      </c>
      <c r="C5420" t="s">
        <v>23</v>
      </c>
      <c r="D5420">
        <v>1</v>
      </c>
      <c r="E5420">
        <v>100</v>
      </c>
      <c r="F5420" t="s">
        <v>1</v>
      </c>
      <c r="G5420" s="6">
        <v>45999</v>
      </c>
      <c r="H5420">
        <v>48</v>
      </c>
      <c r="I5420">
        <f>ROUND(CompilDonnées[[#This Row],[CultureDuration_days]]/7,0)</f>
        <v>7</v>
      </c>
      <c r="J5420">
        <v>2119</v>
      </c>
      <c r="K5420" t="str">
        <f>_xlfn.CONCAT(WEEKNUM(CompilDonnées[[#This Row],[PlantationDate]]), " ", YEAR(CompilDonnées[[#This Row],[PlantationDate]]))</f>
        <v>43 2025</v>
      </c>
      <c r="L5420" t="str">
        <f>CONCATENATE(MONTH(CompilDonnées[[#This Row],[PlantationDate]])," ", YEAR(CompilDonnées[[#This Row],[PlantationDate]]))</f>
        <v>10 2025</v>
      </c>
      <c r="M5420" t="str">
        <f>CONCATENATE(MONTH(CompilDonnées[[#This Row],[HarvestingDate]])," ", YEAR(CompilDonnées[[#This Row],[HarvestingDate]]))</f>
        <v>12 2025</v>
      </c>
      <c r="N5420">
        <f>_xlfn.NUMBERVALUE(CompilDonnées[[#This Row],[FarmID]]&amp;CompilDonnées[[#This Row],[ModuleNumber]]&amp;CompilDonnées[[#This Row],[PlantationDate]])</f>
        <v>107145951</v>
      </c>
      <c r="O5420" t="str">
        <f>CompilDonnées[[#This Row],[FarmID]]&amp;CompilDonnées[[#This Row],[ModuleNumber]]</f>
        <v>1071</v>
      </c>
      <c r="P5420" t="str">
        <f>CompilDonnées[[#This Row],[Ref_Module]]&amp;CompilDonnées[[#This Row],[HarvestingDate]]</f>
        <v>107145999</v>
      </c>
    </row>
    <row r="5421" spans="1:16">
      <c r="A5421" s="5">
        <v>45951</v>
      </c>
      <c r="B5421">
        <v>101</v>
      </c>
      <c r="C5421" t="s">
        <v>54</v>
      </c>
      <c r="D5421">
        <v>1</v>
      </c>
      <c r="E5421">
        <v>100</v>
      </c>
      <c r="F5421" t="s">
        <v>1</v>
      </c>
      <c r="G5421" s="6">
        <v>46000</v>
      </c>
      <c r="H5421">
        <v>49</v>
      </c>
      <c r="I5421">
        <f>ROUND(CompilDonnées[[#This Row],[CultureDuration_days]]/7,0)</f>
        <v>7</v>
      </c>
      <c r="J5421">
        <v>3501</v>
      </c>
      <c r="K5421" t="str">
        <f>_xlfn.CONCAT(WEEKNUM(CompilDonnées[[#This Row],[PlantationDate]]), " ", YEAR(CompilDonnées[[#This Row],[PlantationDate]]))</f>
        <v>43 2025</v>
      </c>
      <c r="L5421" t="str">
        <f>CONCATENATE(MONTH(CompilDonnées[[#This Row],[PlantationDate]])," ", YEAR(CompilDonnées[[#This Row],[PlantationDate]]))</f>
        <v>10 2025</v>
      </c>
      <c r="M5421" t="str">
        <f>CONCATENATE(MONTH(CompilDonnées[[#This Row],[HarvestingDate]])," ", YEAR(CompilDonnées[[#This Row],[HarvestingDate]]))</f>
        <v>12 2025</v>
      </c>
      <c r="N5421">
        <f>_xlfn.NUMBERVALUE(CompilDonnées[[#This Row],[FarmID]]&amp;CompilDonnées[[#This Row],[ModuleNumber]]&amp;CompilDonnées[[#This Row],[PlantationDate]])</f>
        <v>101145951</v>
      </c>
      <c r="O5421" t="str">
        <f>CompilDonnées[[#This Row],[FarmID]]&amp;CompilDonnées[[#This Row],[ModuleNumber]]</f>
        <v>1011</v>
      </c>
      <c r="P5421" t="str">
        <f>CompilDonnées[[#This Row],[Ref_Module]]&amp;CompilDonnées[[#This Row],[HarvestingDate]]</f>
        <v>101146000</v>
      </c>
    </row>
    <row r="5422" spans="1:16">
      <c r="A5422" s="5">
        <v>45951</v>
      </c>
      <c r="B5422">
        <v>99</v>
      </c>
      <c r="C5422" t="s">
        <v>117</v>
      </c>
      <c r="D5422">
        <v>2</v>
      </c>
      <c r="E5422">
        <v>100</v>
      </c>
      <c r="F5422" t="s">
        <v>1</v>
      </c>
      <c r="G5422" s="6">
        <v>46000</v>
      </c>
      <c r="H5422">
        <v>49</v>
      </c>
      <c r="I5422">
        <f>ROUND(CompilDonnées[[#This Row],[CultureDuration_days]]/7,0)</f>
        <v>7</v>
      </c>
      <c r="J5422">
        <v>2399</v>
      </c>
      <c r="K5422" t="str">
        <f>_xlfn.CONCAT(WEEKNUM(CompilDonnées[[#This Row],[PlantationDate]]), " ", YEAR(CompilDonnées[[#This Row],[PlantationDate]]))</f>
        <v>43 2025</v>
      </c>
      <c r="L5422" t="str">
        <f>CONCATENATE(MONTH(CompilDonnées[[#This Row],[PlantationDate]])," ", YEAR(CompilDonnées[[#This Row],[PlantationDate]]))</f>
        <v>10 2025</v>
      </c>
      <c r="M5422" t="str">
        <f>CONCATENATE(MONTH(CompilDonnées[[#This Row],[HarvestingDate]])," ", YEAR(CompilDonnées[[#This Row],[HarvestingDate]]))</f>
        <v>12 2025</v>
      </c>
      <c r="N5422">
        <f>_xlfn.NUMBERVALUE(CompilDonnées[[#This Row],[FarmID]]&amp;CompilDonnées[[#This Row],[ModuleNumber]]&amp;CompilDonnées[[#This Row],[PlantationDate]])</f>
        <v>99245951</v>
      </c>
      <c r="O5422" t="str">
        <f>CompilDonnées[[#This Row],[FarmID]]&amp;CompilDonnées[[#This Row],[ModuleNumber]]</f>
        <v>992</v>
      </c>
      <c r="P5422" t="str">
        <f>CompilDonnées[[#This Row],[Ref_Module]]&amp;CompilDonnées[[#This Row],[HarvestingDate]]</f>
        <v>99246000</v>
      </c>
    </row>
    <row r="5423" spans="1:16">
      <c r="A5423" s="5">
        <v>45951</v>
      </c>
      <c r="B5423">
        <v>94</v>
      </c>
      <c r="C5423" t="s">
        <v>40</v>
      </c>
      <c r="D5423">
        <v>2</v>
      </c>
      <c r="E5423">
        <v>100</v>
      </c>
      <c r="F5423" t="s">
        <v>1</v>
      </c>
      <c r="G5423" s="6">
        <v>45993</v>
      </c>
      <c r="H5423">
        <v>42</v>
      </c>
      <c r="I5423">
        <f>ROUND(CompilDonnées[[#This Row],[CultureDuration_days]]/7,0)</f>
        <v>6</v>
      </c>
      <c r="J5423">
        <v>4551</v>
      </c>
      <c r="K5423" t="str">
        <f>_xlfn.CONCAT(WEEKNUM(CompilDonnées[[#This Row],[PlantationDate]]), " ", YEAR(CompilDonnées[[#This Row],[PlantationDate]]))</f>
        <v>43 2025</v>
      </c>
      <c r="L5423" t="str">
        <f>CONCATENATE(MONTH(CompilDonnées[[#This Row],[PlantationDate]])," ", YEAR(CompilDonnées[[#This Row],[PlantationDate]]))</f>
        <v>10 2025</v>
      </c>
      <c r="M5423" t="str">
        <f>CONCATENATE(MONTH(CompilDonnées[[#This Row],[HarvestingDate]])," ", YEAR(CompilDonnées[[#This Row],[HarvestingDate]]))</f>
        <v>12 2025</v>
      </c>
      <c r="N5423">
        <f>_xlfn.NUMBERVALUE(CompilDonnées[[#This Row],[FarmID]]&amp;CompilDonnées[[#This Row],[ModuleNumber]]&amp;CompilDonnées[[#This Row],[PlantationDate]])</f>
        <v>94245951</v>
      </c>
      <c r="O5423" t="str">
        <f>CompilDonnées[[#This Row],[FarmID]]&amp;CompilDonnées[[#This Row],[ModuleNumber]]</f>
        <v>942</v>
      </c>
      <c r="P5423" t="str">
        <f>CompilDonnées[[#This Row],[Ref_Module]]&amp;CompilDonnées[[#This Row],[HarvestingDate]]</f>
        <v>94245993</v>
      </c>
    </row>
    <row r="5424" spans="1:16">
      <c r="A5424" s="5">
        <v>45951</v>
      </c>
      <c r="B5424">
        <v>98</v>
      </c>
      <c r="C5424" t="s">
        <v>79</v>
      </c>
      <c r="D5424">
        <v>6</v>
      </c>
      <c r="E5424">
        <v>100</v>
      </c>
      <c r="F5424" t="s">
        <v>1</v>
      </c>
      <c r="G5424" s="6">
        <v>46000</v>
      </c>
      <c r="H5424">
        <v>49</v>
      </c>
      <c r="I5424">
        <f>ROUND(CompilDonnées[[#This Row],[CultureDuration_days]]/7,0)</f>
        <v>7</v>
      </c>
      <c r="J5424">
        <v>2940</v>
      </c>
      <c r="K5424" t="str">
        <f>_xlfn.CONCAT(WEEKNUM(CompilDonnées[[#This Row],[PlantationDate]]), " ", YEAR(CompilDonnées[[#This Row],[PlantationDate]]))</f>
        <v>43 2025</v>
      </c>
      <c r="L5424" t="str">
        <f>CONCATENATE(MONTH(CompilDonnées[[#This Row],[PlantationDate]])," ", YEAR(CompilDonnées[[#This Row],[PlantationDate]]))</f>
        <v>10 2025</v>
      </c>
      <c r="M5424" t="str">
        <f>CONCATENATE(MONTH(CompilDonnées[[#This Row],[HarvestingDate]])," ", YEAR(CompilDonnées[[#This Row],[HarvestingDate]]))</f>
        <v>12 2025</v>
      </c>
      <c r="N5424">
        <f>_xlfn.NUMBERVALUE(CompilDonnées[[#This Row],[FarmID]]&amp;CompilDonnées[[#This Row],[ModuleNumber]]&amp;CompilDonnées[[#This Row],[PlantationDate]])</f>
        <v>98645951</v>
      </c>
      <c r="O5424" t="str">
        <f>CompilDonnées[[#This Row],[FarmID]]&amp;CompilDonnées[[#This Row],[ModuleNumber]]</f>
        <v>986</v>
      </c>
      <c r="P5424" t="str">
        <f>CompilDonnées[[#This Row],[Ref_Module]]&amp;CompilDonnées[[#This Row],[HarvestingDate]]</f>
        <v>98646000</v>
      </c>
    </row>
    <row r="5425" spans="1:16">
      <c r="A5425" s="5">
        <v>45951</v>
      </c>
      <c r="B5425">
        <v>144</v>
      </c>
      <c r="C5425" t="s">
        <v>95</v>
      </c>
      <c r="D5425">
        <v>6</v>
      </c>
      <c r="E5425">
        <v>100</v>
      </c>
      <c r="F5425" t="s">
        <v>1</v>
      </c>
      <c r="G5425" s="6">
        <v>45992</v>
      </c>
      <c r="H5425">
        <v>41</v>
      </c>
      <c r="I5425">
        <f>ROUND(CompilDonnées[[#This Row],[CultureDuration_days]]/7,0)</f>
        <v>6</v>
      </c>
      <c r="J5425">
        <v>2088</v>
      </c>
      <c r="K5425" t="str">
        <f>_xlfn.CONCAT(WEEKNUM(CompilDonnées[[#This Row],[PlantationDate]]), " ", YEAR(CompilDonnées[[#This Row],[PlantationDate]]))</f>
        <v>43 2025</v>
      </c>
      <c r="L5425" t="str">
        <f>CONCATENATE(MONTH(CompilDonnées[[#This Row],[PlantationDate]])," ", YEAR(CompilDonnées[[#This Row],[PlantationDate]]))</f>
        <v>10 2025</v>
      </c>
      <c r="M5425" t="str">
        <f>CONCATENATE(MONTH(CompilDonnées[[#This Row],[HarvestingDate]])," ", YEAR(CompilDonnées[[#This Row],[HarvestingDate]]))</f>
        <v>12 2025</v>
      </c>
      <c r="N5425">
        <f>_xlfn.NUMBERVALUE(CompilDonnées[[#This Row],[FarmID]]&amp;CompilDonnées[[#This Row],[ModuleNumber]]&amp;CompilDonnées[[#This Row],[PlantationDate]])</f>
        <v>144645951</v>
      </c>
      <c r="O5425" t="str">
        <f>CompilDonnées[[#This Row],[FarmID]]&amp;CompilDonnées[[#This Row],[ModuleNumber]]</f>
        <v>1446</v>
      </c>
      <c r="P5425" t="str">
        <f>CompilDonnées[[#This Row],[Ref_Module]]&amp;CompilDonnées[[#This Row],[HarvestingDate]]</f>
        <v>144645992</v>
      </c>
    </row>
    <row r="5426" spans="1:16">
      <c r="A5426" s="5">
        <v>45951</v>
      </c>
      <c r="B5426">
        <v>140</v>
      </c>
      <c r="C5426" t="s">
        <v>96</v>
      </c>
      <c r="D5426">
        <v>5</v>
      </c>
      <c r="E5426">
        <v>100</v>
      </c>
      <c r="F5426" t="s">
        <v>1</v>
      </c>
      <c r="G5426" s="6">
        <v>45992</v>
      </c>
      <c r="H5426">
        <v>41</v>
      </c>
      <c r="I5426">
        <f>ROUND(CompilDonnées[[#This Row],[CultureDuration_days]]/7,0)</f>
        <v>6</v>
      </c>
      <c r="J5426">
        <v>3128</v>
      </c>
      <c r="K5426" t="str">
        <f>_xlfn.CONCAT(WEEKNUM(CompilDonnées[[#This Row],[PlantationDate]]), " ", YEAR(CompilDonnées[[#This Row],[PlantationDate]]))</f>
        <v>43 2025</v>
      </c>
      <c r="L5426" t="str">
        <f>CONCATENATE(MONTH(CompilDonnées[[#This Row],[PlantationDate]])," ", YEAR(CompilDonnées[[#This Row],[PlantationDate]]))</f>
        <v>10 2025</v>
      </c>
      <c r="M5426" t="str">
        <f>CONCATENATE(MONTH(CompilDonnées[[#This Row],[HarvestingDate]])," ", YEAR(CompilDonnées[[#This Row],[HarvestingDate]]))</f>
        <v>12 2025</v>
      </c>
      <c r="N5426">
        <f>_xlfn.NUMBERVALUE(CompilDonnées[[#This Row],[FarmID]]&amp;CompilDonnées[[#This Row],[ModuleNumber]]&amp;CompilDonnées[[#This Row],[PlantationDate]])</f>
        <v>140545951</v>
      </c>
      <c r="O5426" t="str">
        <f>CompilDonnées[[#This Row],[FarmID]]&amp;CompilDonnées[[#This Row],[ModuleNumber]]</f>
        <v>1405</v>
      </c>
      <c r="P5426" t="str">
        <f>CompilDonnées[[#This Row],[Ref_Module]]&amp;CompilDonnées[[#This Row],[HarvestingDate]]</f>
        <v>140545992</v>
      </c>
    </row>
    <row r="5427" spans="1:16">
      <c r="A5427" s="5">
        <v>45951</v>
      </c>
      <c r="B5427">
        <v>139</v>
      </c>
      <c r="C5427" t="s">
        <v>103</v>
      </c>
      <c r="D5427">
        <v>3</v>
      </c>
      <c r="E5427">
        <v>100</v>
      </c>
      <c r="F5427" t="s">
        <v>1</v>
      </c>
      <c r="G5427" s="6">
        <v>45999</v>
      </c>
      <c r="H5427">
        <v>48</v>
      </c>
      <c r="I5427">
        <f>ROUND(CompilDonnées[[#This Row],[CultureDuration_days]]/7,0)</f>
        <v>7</v>
      </c>
      <c r="J5427">
        <v>2939</v>
      </c>
      <c r="K5427" t="str">
        <f>_xlfn.CONCAT(WEEKNUM(CompilDonnées[[#This Row],[PlantationDate]]), " ", YEAR(CompilDonnées[[#This Row],[PlantationDate]]))</f>
        <v>43 2025</v>
      </c>
      <c r="L5427" t="str">
        <f>CONCATENATE(MONTH(CompilDonnées[[#This Row],[PlantationDate]])," ", YEAR(CompilDonnées[[#This Row],[PlantationDate]]))</f>
        <v>10 2025</v>
      </c>
      <c r="M5427" t="str">
        <f>CONCATENATE(MONTH(CompilDonnées[[#This Row],[HarvestingDate]])," ", YEAR(CompilDonnées[[#This Row],[HarvestingDate]]))</f>
        <v>12 2025</v>
      </c>
      <c r="N5427">
        <f>_xlfn.NUMBERVALUE(CompilDonnées[[#This Row],[FarmID]]&amp;CompilDonnées[[#This Row],[ModuleNumber]]&amp;CompilDonnées[[#This Row],[PlantationDate]])</f>
        <v>139345951</v>
      </c>
      <c r="O5427" t="str">
        <f>CompilDonnées[[#This Row],[FarmID]]&amp;CompilDonnées[[#This Row],[ModuleNumber]]</f>
        <v>1393</v>
      </c>
      <c r="P5427" t="str">
        <f>CompilDonnées[[#This Row],[Ref_Module]]&amp;CompilDonnées[[#This Row],[HarvestingDate]]</f>
        <v>139345999</v>
      </c>
    </row>
    <row r="5428" spans="1:16">
      <c r="A5428" s="5">
        <v>45951</v>
      </c>
      <c r="B5428">
        <v>137</v>
      </c>
      <c r="C5428" t="s">
        <v>108</v>
      </c>
      <c r="D5428">
        <v>6</v>
      </c>
      <c r="E5428">
        <v>100</v>
      </c>
      <c r="F5428" t="s">
        <v>1</v>
      </c>
      <c r="G5428" s="6">
        <v>45999</v>
      </c>
      <c r="H5428">
        <v>48</v>
      </c>
      <c r="I5428">
        <f>ROUND(CompilDonnées[[#This Row],[CultureDuration_days]]/7,0)</f>
        <v>7</v>
      </c>
      <c r="J5428">
        <v>1825</v>
      </c>
      <c r="K5428" t="str">
        <f>_xlfn.CONCAT(WEEKNUM(CompilDonnées[[#This Row],[PlantationDate]]), " ", YEAR(CompilDonnées[[#This Row],[PlantationDate]]))</f>
        <v>43 2025</v>
      </c>
      <c r="L5428" t="str">
        <f>CONCATENATE(MONTH(CompilDonnées[[#This Row],[PlantationDate]])," ", YEAR(CompilDonnées[[#This Row],[PlantationDate]]))</f>
        <v>10 2025</v>
      </c>
      <c r="M5428" t="str">
        <f>CONCATENATE(MONTH(CompilDonnées[[#This Row],[HarvestingDate]])," ", YEAR(CompilDonnées[[#This Row],[HarvestingDate]]))</f>
        <v>12 2025</v>
      </c>
      <c r="N5428">
        <f>_xlfn.NUMBERVALUE(CompilDonnées[[#This Row],[FarmID]]&amp;CompilDonnées[[#This Row],[ModuleNumber]]&amp;CompilDonnées[[#This Row],[PlantationDate]])</f>
        <v>137645951</v>
      </c>
      <c r="O5428" t="str">
        <f>CompilDonnées[[#This Row],[FarmID]]&amp;CompilDonnées[[#This Row],[ModuleNumber]]</f>
        <v>1376</v>
      </c>
      <c r="P5428" t="str">
        <f>CompilDonnées[[#This Row],[Ref_Module]]&amp;CompilDonnées[[#This Row],[HarvestingDate]]</f>
        <v>137645999</v>
      </c>
    </row>
    <row r="5429" spans="1:16">
      <c r="A5429" s="5">
        <v>45951</v>
      </c>
      <c r="B5429">
        <v>133</v>
      </c>
      <c r="C5429" t="s">
        <v>99</v>
      </c>
      <c r="D5429">
        <v>3</v>
      </c>
      <c r="E5429">
        <v>100</v>
      </c>
      <c r="F5429" t="s">
        <v>1</v>
      </c>
      <c r="G5429" s="6">
        <v>45999</v>
      </c>
      <c r="H5429">
        <v>48</v>
      </c>
      <c r="I5429">
        <f>ROUND(CompilDonnées[[#This Row],[CultureDuration_days]]/7,0)</f>
        <v>7</v>
      </c>
      <c r="J5429">
        <v>3687</v>
      </c>
      <c r="K5429" t="str">
        <f>_xlfn.CONCAT(WEEKNUM(CompilDonnées[[#This Row],[PlantationDate]]), " ", YEAR(CompilDonnées[[#This Row],[PlantationDate]]))</f>
        <v>43 2025</v>
      </c>
      <c r="L5429" t="str">
        <f>CONCATENATE(MONTH(CompilDonnées[[#This Row],[PlantationDate]])," ", YEAR(CompilDonnées[[#This Row],[PlantationDate]]))</f>
        <v>10 2025</v>
      </c>
      <c r="M5429" t="str">
        <f>CONCATENATE(MONTH(CompilDonnées[[#This Row],[HarvestingDate]])," ", YEAR(CompilDonnées[[#This Row],[HarvestingDate]]))</f>
        <v>12 2025</v>
      </c>
      <c r="N5429">
        <f>_xlfn.NUMBERVALUE(CompilDonnées[[#This Row],[FarmID]]&amp;CompilDonnées[[#This Row],[ModuleNumber]]&amp;CompilDonnées[[#This Row],[PlantationDate]])</f>
        <v>133345951</v>
      </c>
      <c r="O5429" t="str">
        <f>CompilDonnées[[#This Row],[FarmID]]&amp;CompilDonnées[[#This Row],[ModuleNumber]]</f>
        <v>1333</v>
      </c>
      <c r="P5429" t="str">
        <f>CompilDonnées[[#This Row],[Ref_Module]]&amp;CompilDonnées[[#This Row],[HarvestingDate]]</f>
        <v>133345999</v>
      </c>
    </row>
    <row r="5430" spans="1:16">
      <c r="A5430" s="5">
        <v>45951</v>
      </c>
      <c r="B5430">
        <v>132</v>
      </c>
      <c r="C5430" t="s">
        <v>120</v>
      </c>
      <c r="D5430">
        <v>2</v>
      </c>
      <c r="E5430">
        <v>100</v>
      </c>
      <c r="F5430" t="s">
        <v>1</v>
      </c>
      <c r="G5430" s="6">
        <v>45999</v>
      </c>
      <c r="H5430">
        <v>48</v>
      </c>
      <c r="I5430">
        <f>ROUND(CompilDonnées[[#This Row],[CultureDuration_days]]/7,0)</f>
        <v>7</v>
      </c>
      <c r="J5430">
        <v>2426</v>
      </c>
      <c r="K5430" t="str">
        <f>_xlfn.CONCAT(WEEKNUM(CompilDonnées[[#This Row],[PlantationDate]]), " ", YEAR(CompilDonnées[[#This Row],[PlantationDate]]))</f>
        <v>43 2025</v>
      </c>
      <c r="L5430" t="str">
        <f>CONCATENATE(MONTH(CompilDonnées[[#This Row],[PlantationDate]])," ", YEAR(CompilDonnées[[#This Row],[PlantationDate]]))</f>
        <v>10 2025</v>
      </c>
      <c r="M5430" t="str">
        <f>CONCATENATE(MONTH(CompilDonnées[[#This Row],[HarvestingDate]])," ", YEAR(CompilDonnées[[#This Row],[HarvestingDate]]))</f>
        <v>12 2025</v>
      </c>
      <c r="N5430">
        <f>_xlfn.NUMBERVALUE(CompilDonnées[[#This Row],[FarmID]]&amp;CompilDonnées[[#This Row],[ModuleNumber]]&amp;CompilDonnées[[#This Row],[PlantationDate]])</f>
        <v>132245951</v>
      </c>
      <c r="O5430" t="str">
        <f>CompilDonnées[[#This Row],[FarmID]]&amp;CompilDonnées[[#This Row],[ModuleNumber]]</f>
        <v>1322</v>
      </c>
      <c r="P5430" t="str">
        <f>CompilDonnées[[#This Row],[Ref_Module]]&amp;CompilDonnées[[#This Row],[HarvestingDate]]</f>
        <v>132245999</v>
      </c>
    </row>
    <row r="5431" spans="1:16">
      <c r="A5431" s="5">
        <v>45951</v>
      </c>
      <c r="B5431">
        <v>130</v>
      </c>
      <c r="C5431" t="s">
        <v>98</v>
      </c>
      <c r="D5431">
        <v>6</v>
      </c>
      <c r="E5431">
        <v>100</v>
      </c>
      <c r="F5431" t="s">
        <v>1</v>
      </c>
      <c r="G5431" s="6">
        <v>45999</v>
      </c>
      <c r="H5431">
        <v>48</v>
      </c>
      <c r="I5431">
        <f>ROUND(CompilDonnées[[#This Row],[CultureDuration_days]]/7,0)</f>
        <v>7</v>
      </c>
      <c r="J5431">
        <v>1805</v>
      </c>
      <c r="K5431" t="str">
        <f>_xlfn.CONCAT(WEEKNUM(CompilDonnées[[#This Row],[PlantationDate]]), " ", YEAR(CompilDonnées[[#This Row],[PlantationDate]]))</f>
        <v>43 2025</v>
      </c>
      <c r="L5431" t="str">
        <f>CONCATENATE(MONTH(CompilDonnées[[#This Row],[PlantationDate]])," ", YEAR(CompilDonnées[[#This Row],[PlantationDate]]))</f>
        <v>10 2025</v>
      </c>
      <c r="M5431" t="str">
        <f>CONCATENATE(MONTH(CompilDonnées[[#This Row],[HarvestingDate]])," ", YEAR(CompilDonnées[[#This Row],[HarvestingDate]]))</f>
        <v>12 2025</v>
      </c>
      <c r="N5431">
        <f>_xlfn.NUMBERVALUE(CompilDonnées[[#This Row],[FarmID]]&amp;CompilDonnées[[#This Row],[ModuleNumber]]&amp;CompilDonnées[[#This Row],[PlantationDate]])</f>
        <v>130645951</v>
      </c>
      <c r="O5431" t="str">
        <f>CompilDonnées[[#This Row],[FarmID]]&amp;CompilDonnées[[#This Row],[ModuleNumber]]</f>
        <v>1306</v>
      </c>
      <c r="P5431" t="str">
        <f>CompilDonnées[[#This Row],[Ref_Module]]&amp;CompilDonnées[[#This Row],[HarvestingDate]]</f>
        <v>130645999</v>
      </c>
    </row>
    <row r="5432" spans="1:16">
      <c r="A5432" s="5">
        <v>45951</v>
      </c>
      <c r="B5432">
        <v>125</v>
      </c>
      <c r="C5432" t="s">
        <v>101</v>
      </c>
      <c r="D5432">
        <v>1</v>
      </c>
      <c r="E5432">
        <v>100</v>
      </c>
      <c r="F5432" t="s">
        <v>1</v>
      </c>
      <c r="G5432" s="6">
        <v>45999</v>
      </c>
      <c r="H5432">
        <v>48</v>
      </c>
      <c r="I5432">
        <f>ROUND(CompilDonnées[[#This Row],[CultureDuration_days]]/7,0)</f>
        <v>7</v>
      </c>
      <c r="J5432">
        <v>3088</v>
      </c>
      <c r="K5432" t="str">
        <f>_xlfn.CONCAT(WEEKNUM(CompilDonnées[[#This Row],[PlantationDate]]), " ", YEAR(CompilDonnées[[#This Row],[PlantationDate]]))</f>
        <v>43 2025</v>
      </c>
      <c r="L5432" t="str">
        <f>CONCATENATE(MONTH(CompilDonnées[[#This Row],[PlantationDate]])," ", YEAR(CompilDonnées[[#This Row],[PlantationDate]]))</f>
        <v>10 2025</v>
      </c>
      <c r="M5432" t="str">
        <f>CONCATENATE(MONTH(CompilDonnées[[#This Row],[HarvestingDate]])," ", YEAR(CompilDonnées[[#This Row],[HarvestingDate]]))</f>
        <v>12 2025</v>
      </c>
      <c r="N5432">
        <f>_xlfn.NUMBERVALUE(CompilDonnées[[#This Row],[FarmID]]&amp;CompilDonnées[[#This Row],[ModuleNumber]]&amp;CompilDonnées[[#This Row],[PlantationDate]])</f>
        <v>125145951</v>
      </c>
      <c r="O5432" t="str">
        <f>CompilDonnées[[#This Row],[FarmID]]&amp;CompilDonnées[[#This Row],[ModuleNumber]]</f>
        <v>1251</v>
      </c>
      <c r="P5432" t="str">
        <f>CompilDonnées[[#This Row],[Ref_Module]]&amp;CompilDonnées[[#This Row],[HarvestingDate]]</f>
        <v>125145999</v>
      </c>
    </row>
    <row r="5433" spans="1:16">
      <c r="A5433" s="5">
        <v>45951</v>
      </c>
      <c r="B5433">
        <v>118</v>
      </c>
      <c r="C5433" t="s">
        <v>51</v>
      </c>
      <c r="D5433">
        <v>5</v>
      </c>
      <c r="E5433">
        <v>100</v>
      </c>
      <c r="F5433" t="s">
        <v>1</v>
      </c>
      <c r="G5433" s="6">
        <v>45992</v>
      </c>
      <c r="H5433">
        <v>41</v>
      </c>
      <c r="I5433">
        <f>ROUND(CompilDonnées[[#This Row],[CultureDuration_days]]/7,0)</f>
        <v>6</v>
      </c>
      <c r="J5433">
        <v>3740</v>
      </c>
      <c r="K5433" t="str">
        <f>_xlfn.CONCAT(WEEKNUM(CompilDonnées[[#This Row],[PlantationDate]]), " ", YEAR(CompilDonnées[[#This Row],[PlantationDate]]))</f>
        <v>43 2025</v>
      </c>
      <c r="L5433" t="str">
        <f>CONCATENATE(MONTH(CompilDonnées[[#This Row],[PlantationDate]])," ", YEAR(CompilDonnées[[#This Row],[PlantationDate]]))</f>
        <v>10 2025</v>
      </c>
      <c r="M5433" t="str">
        <f>CONCATENATE(MONTH(CompilDonnées[[#This Row],[HarvestingDate]])," ", YEAR(CompilDonnées[[#This Row],[HarvestingDate]]))</f>
        <v>12 2025</v>
      </c>
      <c r="N5433">
        <f>_xlfn.NUMBERVALUE(CompilDonnées[[#This Row],[FarmID]]&amp;CompilDonnées[[#This Row],[ModuleNumber]]&amp;CompilDonnées[[#This Row],[PlantationDate]])</f>
        <v>118545951</v>
      </c>
      <c r="O5433" t="str">
        <f>CompilDonnées[[#This Row],[FarmID]]&amp;CompilDonnées[[#This Row],[ModuleNumber]]</f>
        <v>1185</v>
      </c>
      <c r="P5433" t="str">
        <f>CompilDonnées[[#This Row],[Ref_Module]]&amp;CompilDonnées[[#This Row],[HarvestingDate]]</f>
        <v>118545992</v>
      </c>
    </row>
    <row r="5434" spans="1:16">
      <c r="A5434" s="5">
        <v>45951</v>
      </c>
      <c r="B5434">
        <v>117</v>
      </c>
      <c r="C5434" t="s">
        <v>11</v>
      </c>
      <c r="D5434">
        <v>1</v>
      </c>
      <c r="E5434">
        <v>100</v>
      </c>
      <c r="F5434" t="s">
        <v>1</v>
      </c>
      <c r="G5434" s="6">
        <v>45999</v>
      </c>
      <c r="H5434">
        <v>48</v>
      </c>
      <c r="I5434">
        <f>ROUND(CompilDonnées[[#This Row],[CultureDuration_days]]/7,0)</f>
        <v>7</v>
      </c>
      <c r="J5434">
        <v>2377</v>
      </c>
      <c r="K5434" t="str">
        <f>_xlfn.CONCAT(WEEKNUM(CompilDonnées[[#This Row],[PlantationDate]]), " ", YEAR(CompilDonnées[[#This Row],[PlantationDate]]))</f>
        <v>43 2025</v>
      </c>
      <c r="L5434" t="str">
        <f>CONCATENATE(MONTH(CompilDonnées[[#This Row],[PlantationDate]])," ", YEAR(CompilDonnées[[#This Row],[PlantationDate]]))</f>
        <v>10 2025</v>
      </c>
      <c r="M5434" t="str">
        <f>CONCATENATE(MONTH(CompilDonnées[[#This Row],[HarvestingDate]])," ", YEAR(CompilDonnées[[#This Row],[HarvestingDate]]))</f>
        <v>12 2025</v>
      </c>
      <c r="N5434">
        <f>_xlfn.NUMBERVALUE(CompilDonnées[[#This Row],[FarmID]]&amp;CompilDonnées[[#This Row],[ModuleNumber]]&amp;CompilDonnées[[#This Row],[PlantationDate]])</f>
        <v>117145951</v>
      </c>
      <c r="O5434" t="str">
        <f>CompilDonnées[[#This Row],[FarmID]]&amp;CompilDonnées[[#This Row],[ModuleNumber]]</f>
        <v>1171</v>
      </c>
      <c r="P5434" t="str">
        <f>CompilDonnées[[#This Row],[Ref_Module]]&amp;CompilDonnées[[#This Row],[HarvestingDate]]</f>
        <v>117145999</v>
      </c>
    </row>
    <row r="5435" spans="1:16">
      <c r="A5435" s="5">
        <v>45951</v>
      </c>
      <c r="B5435">
        <v>112</v>
      </c>
      <c r="C5435" t="s">
        <v>15</v>
      </c>
      <c r="D5435">
        <v>3</v>
      </c>
      <c r="E5435">
        <v>100</v>
      </c>
      <c r="F5435" t="s">
        <v>1</v>
      </c>
      <c r="G5435" s="6">
        <v>45999</v>
      </c>
      <c r="H5435">
        <v>48</v>
      </c>
      <c r="I5435">
        <f>ROUND(CompilDonnées[[#This Row],[CultureDuration_days]]/7,0)</f>
        <v>7</v>
      </c>
      <c r="J5435">
        <v>2342</v>
      </c>
      <c r="K5435" t="str">
        <f>_xlfn.CONCAT(WEEKNUM(CompilDonnées[[#This Row],[PlantationDate]]), " ", YEAR(CompilDonnées[[#This Row],[PlantationDate]]))</f>
        <v>43 2025</v>
      </c>
      <c r="L5435" t="str">
        <f>CONCATENATE(MONTH(CompilDonnées[[#This Row],[PlantationDate]])," ", YEAR(CompilDonnées[[#This Row],[PlantationDate]]))</f>
        <v>10 2025</v>
      </c>
      <c r="M5435" t="str">
        <f>CONCATENATE(MONTH(CompilDonnées[[#This Row],[HarvestingDate]])," ", YEAR(CompilDonnées[[#This Row],[HarvestingDate]]))</f>
        <v>12 2025</v>
      </c>
      <c r="N5435">
        <f>_xlfn.NUMBERVALUE(CompilDonnées[[#This Row],[FarmID]]&amp;CompilDonnées[[#This Row],[ModuleNumber]]&amp;CompilDonnées[[#This Row],[PlantationDate]])</f>
        <v>112345951</v>
      </c>
      <c r="O5435" t="str">
        <f>CompilDonnées[[#This Row],[FarmID]]&amp;CompilDonnées[[#This Row],[ModuleNumber]]</f>
        <v>1123</v>
      </c>
      <c r="P5435" t="str">
        <f>CompilDonnées[[#This Row],[Ref_Module]]&amp;CompilDonnées[[#This Row],[HarvestingDate]]</f>
        <v>112345999</v>
      </c>
    </row>
    <row r="5436" spans="1:16">
      <c r="A5436" s="5">
        <v>45951</v>
      </c>
      <c r="B5436">
        <v>111</v>
      </c>
      <c r="C5436" t="s">
        <v>41</v>
      </c>
      <c r="D5436">
        <v>5</v>
      </c>
      <c r="E5436">
        <v>100</v>
      </c>
      <c r="F5436" t="s">
        <v>1</v>
      </c>
      <c r="G5436" s="6">
        <v>45999</v>
      </c>
      <c r="H5436">
        <v>48</v>
      </c>
      <c r="I5436">
        <f>ROUND(CompilDonnées[[#This Row],[CultureDuration_days]]/7,0)</f>
        <v>7</v>
      </c>
      <c r="J5436">
        <v>2434</v>
      </c>
      <c r="K5436" t="str">
        <f>_xlfn.CONCAT(WEEKNUM(CompilDonnées[[#This Row],[PlantationDate]]), " ", YEAR(CompilDonnées[[#This Row],[PlantationDate]]))</f>
        <v>43 2025</v>
      </c>
      <c r="L5436" t="str">
        <f>CONCATENATE(MONTH(CompilDonnées[[#This Row],[PlantationDate]])," ", YEAR(CompilDonnées[[#This Row],[PlantationDate]]))</f>
        <v>10 2025</v>
      </c>
      <c r="M5436" t="str">
        <f>CONCATENATE(MONTH(CompilDonnées[[#This Row],[HarvestingDate]])," ", YEAR(CompilDonnées[[#This Row],[HarvestingDate]]))</f>
        <v>12 2025</v>
      </c>
      <c r="N5436">
        <f>_xlfn.NUMBERVALUE(CompilDonnées[[#This Row],[FarmID]]&amp;CompilDonnées[[#This Row],[ModuleNumber]]&amp;CompilDonnées[[#This Row],[PlantationDate]])</f>
        <v>111545951</v>
      </c>
      <c r="O5436" t="str">
        <f>CompilDonnées[[#This Row],[FarmID]]&amp;CompilDonnées[[#This Row],[ModuleNumber]]</f>
        <v>1115</v>
      </c>
      <c r="P5436" t="str">
        <f>CompilDonnées[[#This Row],[Ref_Module]]&amp;CompilDonnées[[#This Row],[HarvestingDate]]</f>
        <v>111545999</v>
      </c>
    </row>
    <row r="5437" spans="1:16">
      <c r="A5437" s="5">
        <v>45951</v>
      </c>
      <c r="B5437">
        <v>110</v>
      </c>
      <c r="C5437" t="s">
        <v>14</v>
      </c>
      <c r="D5437">
        <v>6</v>
      </c>
      <c r="E5437">
        <v>100</v>
      </c>
      <c r="F5437" t="s">
        <v>1</v>
      </c>
      <c r="G5437" s="6">
        <v>45999</v>
      </c>
      <c r="H5437">
        <v>48</v>
      </c>
      <c r="I5437">
        <f>ROUND(CompilDonnées[[#This Row],[CultureDuration_days]]/7,0)</f>
        <v>7</v>
      </c>
      <c r="J5437">
        <v>2765</v>
      </c>
      <c r="K5437" t="str">
        <f>_xlfn.CONCAT(WEEKNUM(CompilDonnées[[#This Row],[PlantationDate]]), " ", YEAR(CompilDonnées[[#This Row],[PlantationDate]]))</f>
        <v>43 2025</v>
      </c>
      <c r="L5437" t="str">
        <f>CONCATENATE(MONTH(CompilDonnées[[#This Row],[PlantationDate]])," ", YEAR(CompilDonnées[[#This Row],[PlantationDate]]))</f>
        <v>10 2025</v>
      </c>
      <c r="M5437" t="str">
        <f>CONCATENATE(MONTH(CompilDonnées[[#This Row],[HarvestingDate]])," ", YEAR(CompilDonnées[[#This Row],[HarvestingDate]]))</f>
        <v>12 2025</v>
      </c>
      <c r="N5437">
        <f>_xlfn.NUMBERVALUE(CompilDonnées[[#This Row],[FarmID]]&amp;CompilDonnées[[#This Row],[ModuleNumber]]&amp;CompilDonnées[[#This Row],[PlantationDate]])</f>
        <v>110645951</v>
      </c>
      <c r="O5437" t="str">
        <f>CompilDonnées[[#This Row],[FarmID]]&amp;CompilDonnées[[#This Row],[ModuleNumber]]</f>
        <v>1106</v>
      </c>
      <c r="P5437" t="str">
        <f>CompilDonnées[[#This Row],[Ref_Module]]&amp;CompilDonnées[[#This Row],[HarvestingDate]]</f>
        <v>110645999</v>
      </c>
    </row>
    <row r="5438" spans="1:16">
      <c r="A5438" s="5">
        <v>45951</v>
      </c>
      <c r="B5438">
        <v>116</v>
      </c>
      <c r="C5438" t="s">
        <v>76</v>
      </c>
      <c r="D5438">
        <v>1</v>
      </c>
      <c r="E5438">
        <v>100</v>
      </c>
      <c r="F5438" t="s">
        <v>1</v>
      </c>
      <c r="G5438" s="6">
        <v>45999</v>
      </c>
      <c r="H5438">
        <v>48</v>
      </c>
      <c r="I5438">
        <f>ROUND(CompilDonnées[[#This Row],[CultureDuration_days]]/7,0)</f>
        <v>7</v>
      </c>
      <c r="J5438">
        <v>2081</v>
      </c>
      <c r="K5438" t="str">
        <f>_xlfn.CONCAT(WEEKNUM(CompilDonnées[[#This Row],[PlantationDate]]), " ", YEAR(CompilDonnées[[#This Row],[PlantationDate]]))</f>
        <v>43 2025</v>
      </c>
      <c r="L5438" t="str">
        <f>CONCATENATE(MONTH(CompilDonnées[[#This Row],[PlantationDate]])," ", YEAR(CompilDonnées[[#This Row],[PlantationDate]]))</f>
        <v>10 2025</v>
      </c>
      <c r="M5438" t="str">
        <f>CONCATENATE(MONTH(CompilDonnées[[#This Row],[HarvestingDate]])," ", YEAR(CompilDonnées[[#This Row],[HarvestingDate]]))</f>
        <v>12 2025</v>
      </c>
      <c r="N5438">
        <f>_xlfn.NUMBERVALUE(CompilDonnées[[#This Row],[FarmID]]&amp;CompilDonnées[[#This Row],[ModuleNumber]]&amp;CompilDonnées[[#This Row],[PlantationDate]])</f>
        <v>116145951</v>
      </c>
      <c r="O5438" t="str">
        <f>CompilDonnées[[#This Row],[FarmID]]&amp;CompilDonnées[[#This Row],[ModuleNumber]]</f>
        <v>1161</v>
      </c>
      <c r="P5438" t="str">
        <f>CompilDonnées[[#This Row],[Ref_Module]]&amp;CompilDonnées[[#This Row],[HarvestingDate]]</f>
        <v>116145999</v>
      </c>
    </row>
    <row r="5439" spans="1:16">
      <c r="A5439" s="5">
        <v>45951</v>
      </c>
      <c r="B5439">
        <v>141</v>
      </c>
      <c r="C5439" t="s">
        <v>3</v>
      </c>
      <c r="D5439">
        <v>4</v>
      </c>
      <c r="E5439">
        <v>68</v>
      </c>
      <c r="F5439" t="s">
        <v>1</v>
      </c>
      <c r="G5439" s="6">
        <v>45992</v>
      </c>
      <c r="H5439">
        <v>41</v>
      </c>
      <c r="I5439">
        <f>ROUND(CompilDonnées[[#This Row],[CultureDuration_days]]/7,0)</f>
        <v>6</v>
      </c>
      <c r="J5439">
        <v>1452</v>
      </c>
      <c r="K5439" t="str">
        <f>_xlfn.CONCAT(WEEKNUM(CompilDonnées[[#This Row],[PlantationDate]]), " ", YEAR(CompilDonnées[[#This Row],[PlantationDate]]))</f>
        <v>43 2025</v>
      </c>
      <c r="L5439" t="str">
        <f>CONCATENATE(MONTH(CompilDonnées[[#This Row],[PlantationDate]])," ", YEAR(CompilDonnées[[#This Row],[PlantationDate]]))</f>
        <v>10 2025</v>
      </c>
      <c r="M5439" t="str">
        <f>CONCATENATE(MONTH(CompilDonnées[[#This Row],[HarvestingDate]])," ", YEAR(CompilDonnées[[#This Row],[HarvestingDate]]))</f>
        <v>12 2025</v>
      </c>
      <c r="N5439">
        <f>_xlfn.NUMBERVALUE(CompilDonnées[[#This Row],[FarmID]]&amp;CompilDonnées[[#This Row],[ModuleNumber]]&amp;CompilDonnées[[#This Row],[PlantationDate]])</f>
        <v>141445951</v>
      </c>
      <c r="O5439" t="str">
        <f>CompilDonnées[[#This Row],[FarmID]]&amp;CompilDonnées[[#This Row],[ModuleNumber]]</f>
        <v>1414</v>
      </c>
      <c r="P5439" t="str">
        <f>CompilDonnées[[#This Row],[Ref_Module]]&amp;CompilDonnées[[#This Row],[HarvestingDate]]</f>
        <v>141445992</v>
      </c>
    </row>
    <row r="5440" spans="1:16">
      <c r="A5440" s="5">
        <v>45951</v>
      </c>
      <c r="B5440">
        <v>141</v>
      </c>
      <c r="C5440" t="s">
        <v>3</v>
      </c>
      <c r="D5440">
        <v>5</v>
      </c>
      <c r="E5440">
        <v>68</v>
      </c>
      <c r="F5440" t="s">
        <v>1</v>
      </c>
      <c r="G5440" s="6">
        <v>45992</v>
      </c>
      <c r="H5440">
        <v>41</v>
      </c>
      <c r="I5440">
        <f>ROUND(CompilDonnées[[#This Row],[CultureDuration_days]]/7,0)</f>
        <v>6</v>
      </c>
      <c r="J5440">
        <v>1347</v>
      </c>
      <c r="K5440" t="str">
        <f>_xlfn.CONCAT(WEEKNUM(CompilDonnées[[#This Row],[PlantationDate]]), " ", YEAR(CompilDonnées[[#This Row],[PlantationDate]]))</f>
        <v>43 2025</v>
      </c>
      <c r="L5440" t="str">
        <f>CONCATENATE(MONTH(CompilDonnées[[#This Row],[PlantationDate]])," ", YEAR(CompilDonnées[[#This Row],[PlantationDate]]))</f>
        <v>10 2025</v>
      </c>
      <c r="M5440" t="str">
        <f>CONCATENATE(MONTH(CompilDonnées[[#This Row],[HarvestingDate]])," ", YEAR(CompilDonnées[[#This Row],[HarvestingDate]]))</f>
        <v>12 2025</v>
      </c>
      <c r="N5440">
        <f>_xlfn.NUMBERVALUE(CompilDonnées[[#This Row],[FarmID]]&amp;CompilDonnées[[#This Row],[ModuleNumber]]&amp;CompilDonnées[[#This Row],[PlantationDate]])</f>
        <v>141545951</v>
      </c>
      <c r="O5440" t="str">
        <f>CompilDonnées[[#This Row],[FarmID]]&amp;CompilDonnées[[#This Row],[ModuleNumber]]</f>
        <v>1415</v>
      </c>
      <c r="P5440" t="str">
        <f>CompilDonnées[[#This Row],[Ref_Module]]&amp;CompilDonnées[[#This Row],[HarvestingDate]]</f>
        <v>141545992</v>
      </c>
    </row>
    <row r="5441" spans="1:16">
      <c r="A5441" s="5">
        <v>45951</v>
      </c>
      <c r="B5441">
        <v>141</v>
      </c>
      <c r="C5441" t="s">
        <v>3</v>
      </c>
      <c r="D5441">
        <v>6</v>
      </c>
      <c r="E5441">
        <v>68</v>
      </c>
      <c r="F5441" t="s">
        <v>1</v>
      </c>
      <c r="G5441" s="6">
        <v>45992</v>
      </c>
      <c r="H5441">
        <v>41</v>
      </c>
      <c r="I5441">
        <f>ROUND(CompilDonnées[[#This Row],[CultureDuration_days]]/7,0)</f>
        <v>6</v>
      </c>
      <c r="J5441">
        <v>1441</v>
      </c>
      <c r="K5441" t="str">
        <f>_xlfn.CONCAT(WEEKNUM(CompilDonnées[[#This Row],[PlantationDate]]), " ", YEAR(CompilDonnées[[#This Row],[PlantationDate]]))</f>
        <v>43 2025</v>
      </c>
      <c r="L5441" t="str">
        <f>CONCATENATE(MONTH(CompilDonnées[[#This Row],[PlantationDate]])," ", YEAR(CompilDonnées[[#This Row],[PlantationDate]]))</f>
        <v>10 2025</v>
      </c>
      <c r="M5441" t="str">
        <f>CONCATENATE(MONTH(CompilDonnées[[#This Row],[HarvestingDate]])," ", YEAR(CompilDonnées[[#This Row],[HarvestingDate]]))</f>
        <v>12 2025</v>
      </c>
      <c r="N5441">
        <f>_xlfn.NUMBERVALUE(CompilDonnées[[#This Row],[FarmID]]&amp;CompilDonnées[[#This Row],[ModuleNumber]]&amp;CompilDonnées[[#This Row],[PlantationDate]])</f>
        <v>141645951</v>
      </c>
      <c r="O5441" t="str">
        <f>CompilDonnées[[#This Row],[FarmID]]&amp;CompilDonnées[[#This Row],[ModuleNumber]]</f>
        <v>1416</v>
      </c>
      <c r="P5441" t="str">
        <f>CompilDonnées[[#This Row],[Ref_Module]]&amp;CompilDonnées[[#This Row],[HarvestingDate]]</f>
        <v>141645992</v>
      </c>
    </row>
    <row r="5442" spans="1:16">
      <c r="A5442" s="5">
        <v>45952</v>
      </c>
      <c r="B5442">
        <v>140</v>
      </c>
      <c r="C5442" t="s">
        <v>96</v>
      </c>
      <c r="D5442">
        <v>3</v>
      </c>
      <c r="E5442">
        <v>100</v>
      </c>
      <c r="F5442" t="s">
        <v>1</v>
      </c>
      <c r="G5442" s="6">
        <v>45999</v>
      </c>
      <c r="H5442">
        <v>47</v>
      </c>
      <c r="I5442">
        <f>ROUND(CompilDonnées[[#This Row],[CultureDuration_days]]/7,0)</f>
        <v>7</v>
      </c>
      <c r="J5442">
        <v>3000</v>
      </c>
      <c r="K5442" t="str">
        <f>_xlfn.CONCAT(WEEKNUM(CompilDonnées[[#This Row],[PlantationDate]]), " ", YEAR(CompilDonnées[[#This Row],[PlantationDate]]))</f>
        <v>43 2025</v>
      </c>
      <c r="L5442" t="str">
        <f>CONCATENATE(MONTH(CompilDonnées[[#This Row],[PlantationDate]])," ", YEAR(CompilDonnées[[#This Row],[PlantationDate]]))</f>
        <v>10 2025</v>
      </c>
      <c r="M5442" t="str">
        <f>CONCATENATE(MONTH(CompilDonnées[[#This Row],[HarvestingDate]])," ", YEAR(CompilDonnées[[#This Row],[HarvestingDate]]))</f>
        <v>12 2025</v>
      </c>
      <c r="N5442">
        <f>_xlfn.NUMBERVALUE(CompilDonnées[[#This Row],[FarmID]]&amp;CompilDonnées[[#This Row],[ModuleNumber]]&amp;CompilDonnées[[#This Row],[PlantationDate]])</f>
        <v>140345952</v>
      </c>
      <c r="O5442" t="str">
        <f>CompilDonnées[[#This Row],[FarmID]]&amp;CompilDonnées[[#This Row],[ModuleNumber]]</f>
        <v>1403</v>
      </c>
      <c r="P5442" t="str">
        <f>CompilDonnées[[#This Row],[Ref_Module]]&amp;CompilDonnées[[#This Row],[HarvestingDate]]</f>
        <v>140345999</v>
      </c>
    </row>
    <row r="5443" spans="1:16">
      <c r="A5443" s="5">
        <v>45952</v>
      </c>
      <c r="B5443">
        <v>139</v>
      </c>
      <c r="C5443" t="s">
        <v>103</v>
      </c>
      <c r="D5443">
        <v>6</v>
      </c>
      <c r="E5443">
        <v>100</v>
      </c>
      <c r="F5443" t="s">
        <v>1</v>
      </c>
      <c r="G5443" s="6">
        <v>45999</v>
      </c>
      <c r="H5443">
        <v>47</v>
      </c>
      <c r="I5443">
        <f>ROUND(CompilDonnées[[#This Row],[CultureDuration_days]]/7,0)</f>
        <v>7</v>
      </c>
      <c r="J5443">
        <v>2912</v>
      </c>
      <c r="K5443" t="str">
        <f>_xlfn.CONCAT(WEEKNUM(CompilDonnées[[#This Row],[PlantationDate]]), " ", YEAR(CompilDonnées[[#This Row],[PlantationDate]]))</f>
        <v>43 2025</v>
      </c>
      <c r="L5443" t="str">
        <f>CONCATENATE(MONTH(CompilDonnées[[#This Row],[PlantationDate]])," ", YEAR(CompilDonnées[[#This Row],[PlantationDate]]))</f>
        <v>10 2025</v>
      </c>
      <c r="M5443" t="str">
        <f>CONCATENATE(MONTH(CompilDonnées[[#This Row],[HarvestingDate]])," ", YEAR(CompilDonnées[[#This Row],[HarvestingDate]]))</f>
        <v>12 2025</v>
      </c>
      <c r="N5443">
        <f>_xlfn.NUMBERVALUE(CompilDonnées[[#This Row],[FarmID]]&amp;CompilDonnées[[#This Row],[ModuleNumber]]&amp;CompilDonnées[[#This Row],[PlantationDate]])</f>
        <v>139645952</v>
      </c>
      <c r="O5443" t="str">
        <f>CompilDonnées[[#This Row],[FarmID]]&amp;CompilDonnées[[#This Row],[ModuleNumber]]</f>
        <v>1396</v>
      </c>
      <c r="P5443" t="str">
        <f>CompilDonnées[[#This Row],[Ref_Module]]&amp;CompilDonnées[[#This Row],[HarvestingDate]]</f>
        <v>139645999</v>
      </c>
    </row>
    <row r="5444" spans="1:16">
      <c r="A5444" s="5">
        <v>45952</v>
      </c>
      <c r="B5444">
        <v>130</v>
      </c>
      <c r="C5444" t="s">
        <v>98</v>
      </c>
      <c r="D5444">
        <v>3</v>
      </c>
      <c r="E5444">
        <v>100</v>
      </c>
      <c r="F5444" t="s">
        <v>1</v>
      </c>
      <c r="G5444" s="6">
        <v>45999</v>
      </c>
      <c r="H5444">
        <v>47</v>
      </c>
      <c r="I5444">
        <f>ROUND(CompilDonnées[[#This Row],[CultureDuration_days]]/7,0)</f>
        <v>7</v>
      </c>
      <c r="J5444">
        <v>2723</v>
      </c>
      <c r="K5444" t="str">
        <f>_xlfn.CONCAT(WEEKNUM(CompilDonnées[[#This Row],[PlantationDate]]), " ", YEAR(CompilDonnées[[#This Row],[PlantationDate]]))</f>
        <v>43 2025</v>
      </c>
      <c r="L5444" t="str">
        <f>CONCATENATE(MONTH(CompilDonnées[[#This Row],[PlantationDate]])," ", YEAR(CompilDonnées[[#This Row],[PlantationDate]]))</f>
        <v>10 2025</v>
      </c>
      <c r="M5444" t="str">
        <f>CONCATENATE(MONTH(CompilDonnées[[#This Row],[HarvestingDate]])," ", YEAR(CompilDonnées[[#This Row],[HarvestingDate]]))</f>
        <v>12 2025</v>
      </c>
      <c r="N5444">
        <f>_xlfn.NUMBERVALUE(CompilDonnées[[#This Row],[FarmID]]&amp;CompilDonnées[[#This Row],[ModuleNumber]]&amp;CompilDonnées[[#This Row],[PlantationDate]])</f>
        <v>130345952</v>
      </c>
      <c r="O5444" t="str">
        <f>CompilDonnées[[#This Row],[FarmID]]&amp;CompilDonnées[[#This Row],[ModuleNumber]]</f>
        <v>1303</v>
      </c>
      <c r="P5444" t="str">
        <f>CompilDonnées[[#This Row],[Ref_Module]]&amp;CompilDonnées[[#This Row],[HarvestingDate]]</f>
        <v>130345999</v>
      </c>
    </row>
    <row r="5445" spans="1:16">
      <c r="A5445" s="5">
        <v>45952</v>
      </c>
      <c r="B5445">
        <v>132</v>
      </c>
      <c r="C5445" t="s">
        <v>120</v>
      </c>
      <c r="D5445">
        <v>1</v>
      </c>
      <c r="E5445">
        <v>100</v>
      </c>
      <c r="F5445" t="s">
        <v>1</v>
      </c>
      <c r="G5445" s="6">
        <v>45999</v>
      </c>
      <c r="H5445">
        <v>47</v>
      </c>
      <c r="I5445">
        <f>ROUND(CompilDonnées[[#This Row],[CultureDuration_days]]/7,0)</f>
        <v>7</v>
      </c>
      <c r="J5445">
        <v>2644</v>
      </c>
      <c r="K5445" t="str">
        <f>_xlfn.CONCAT(WEEKNUM(CompilDonnées[[#This Row],[PlantationDate]]), " ", YEAR(CompilDonnées[[#This Row],[PlantationDate]]))</f>
        <v>43 2025</v>
      </c>
      <c r="L5445" t="str">
        <f>CONCATENATE(MONTH(CompilDonnées[[#This Row],[PlantationDate]])," ", YEAR(CompilDonnées[[#This Row],[PlantationDate]]))</f>
        <v>10 2025</v>
      </c>
      <c r="M5445" t="str">
        <f>CONCATENATE(MONTH(CompilDonnées[[#This Row],[HarvestingDate]])," ", YEAR(CompilDonnées[[#This Row],[HarvestingDate]]))</f>
        <v>12 2025</v>
      </c>
      <c r="N5445">
        <f>_xlfn.NUMBERVALUE(CompilDonnées[[#This Row],[FarmID]]&amp;CompilDonnées[[#This Row],[ModuleNumber]]&amp;CompilDonnées[[#This Row],[PlantationDate]])</f>
        <v>132145952</v>
      </c>
      <c r="O5445" t="str">
        <f>CompilDonnées[[#This Row],[FarmID]]&amp;CompilDonnées[[#This Row],[ModuleNumber]]</f>
        <v>1321</v>
      </c>
      <c r="P5445" t="str">
        <f>CompilDonnées[[#This Row],[Ref_Module]]&amp;CompilDonnées[[#This Row],[HarvestingDate]]</f>
        <v>132145999</v>
      </c>
    </row>
    <row r="5446" spans="1:16">
      <c r="A5446" s="5">
        <v>45952</v>
      </c>
      <c r="B5446">
        <v>131</v>
      </c>
      <c r="C5446" t="s">
        <v>53</v>
      </c>
      <c r="D5446">
        <v>6</v>
      </c>
      <c r="E5446">
        <v>100</v>
      </c>
      <c r="F5446" t="s">
        <v>1</v>
      </c>
      <c r="G5446" s="6">
        <v>45999</v>
      </c>
      <c r="H5446">
        <v>47</v>
      </c>
      <c r="I5446">
        <f>ROUND(CompilDonnées[[#This Row],[CultureDuration_days]]/7,0)</f>
        <v>7</v>
      </c>
      <c r="J5446">
        <v>3207</v>
      </c>
      <c r="K5446" t="str">
        <f>_xlfn.CONCAT(WEEKNUM(CompilDonnées[[#This Row],[PlantationDate]]), " ", YEAR(CompilDonnées[[#This Row],[PlantationDate]]))</f>
        <v>43 2025</v>
      </c>
      <c r="L5446" t="str">
        <f>CONCATENATE(MONTH(CompilDonnées[[#This Row],[PlantationDate]])," ", YEAR(CompilDonnées[[#This Row],[PlantationDate]]))</f>
        <v>10 2025</v>
      </c>
      <c r="M5446" t="str">
        <f>CONCATENATE(MONTH(CompilDonnées[[#This Row],[HarvestingDate]])," ", YEAR(CompilDonnées[[#This Row],[HarvestingDate]]))</f>
        <v>12 2025</v>
      </c>
      <c r="N5446">
        <f>_xlfn.NUMBERVALUE(CompilDonnées[[#This Row],[FarmID]]&amp;CompilDonnées[[#This Row],[ModuleNumber]]&amp;CompilDonnées[[#This Row],[PlantationDate]])</f>
        <v>131645952</v>
      </c>
      <c r="O5446" t="str">
        <f>CompilDonnées[[#This Row],[FarmID]]&amp;CompilDonnées[[#This Row],[ModuleNumber]]</f>
        <v>1316</v>
      </c>
      <c r="P5446" t="str">
        <f>CompilDonnées[[#This Row],[Ref_Module]]&amp;CompilDonnées[[#This Row],[HarvestingDate]]</f>
        <v>131645999</v>
      </c>
    </row>
    <row r="5447" spans="1:16">
      <c r="A5447" s="5">
        <v>45952</v>
      </c>
      <c r="B5447">
        <v>124</v>
      </c>
      <c r="C5447" t="s">
        <v>115</v>
      </c>
      <c r="D5447">
        <v>5</v>
      </c>
      <c r="E5447">
        <v>100</v>
      </c>
      <c r="F5447" t="s">
        <v>1</v>
      </c>
      <c r="G5447" s="6">
        <v>45996</v>
      </c>
      <c r="H5447">
        <v>44</v>
      </c>
      <c r="I5447">
        <f>ROUND(CompilDonnées[[#This Row],[CultureDuration_days]]/7,0)</f>
        <v>6</v>
      </c>
      <c r="J5447">
        <v>3700</v>
      </c>
      <c r="K5447" t="str">
        <f>_xlfn.CONCAT(WEEKNUM(CompilDonnées[[#This Row],[PlantationDate]]), " ", YEAR(CompilDonnées[[#This Row],[PlantationDate]]))</f>
        <v>43 2025</v>
      </c>
      <c r="L5447" t="str">
        <f>CONCATENATE(MONTH(CompilDonnées[[#This Row],[PlantationDate]])," ", YEAR(CompilDonnées[[#This Row],[PlantationDate]]))</f>
        <v>10 2025</v>
      </c>
      <c r="M5447" t="str">
        <f>CONCATENATE(MONTH(CompilDonnées[[#This Row],[HarvestingDate]])," ", YEAR(CompilDonnées[[#This Row],[HarvestingDate]]))</f>
        <v>12 2025</v>
      </c>
      <c r="N5447">
        <f>_xlfn.NUMBERVALUE(CompilDonnées[[#This Row],[FarmID]]&amp;CompilDonnées[[#This Row],[ModuleNumber]]&amp;CompilDonnées[[#This Row],[PlantationDate]])</f>
        <v>124545952</v>
      </c>
      <c r="O5447" t="str">
        <f>CompilDonnées[[#This Row],[FarmID]]&amp;CompilDonnées[[#This Row],[ModuleNumber]]</f>
        <v>1245</v>
      </c>
      <c r="P5447" t="str">
        <f>CompilDonnées[[#This Row],[Ref_Module]]&amp;CompilDonnées[[#This Row],[HarvestingDate]]</f>
        <v>124545996</v>
      </c>
    </row>
    <row r="5448" spans="1:16">
      <c r="A5448" s="5">
        <v>45952</v>
      </c>
      <c r="B5448">
        <v>123</v>
      </c>
      <c r="C5448" t="s">
        <v>13</v>
      </c>
      <c r="D5448">
        <v>2</v>
      </c>
      <c r="E5448">
        <v>100</v>
      </c>
      <c r="F5448" t="s">
        <v>1</v>
      </c>
      <c r="G5448" s="6">
        <v>45992</v>
      </c>
      <c r="H5448">
        <v>40</v>
      </c>
      <c r="I5448">
        <f>ROUND(CompilDonnées[[#This Row],[CultureDuration_days]]/7,0)</f>
        <v>6</v>
      </c>
      <c r="J5448">
        <v>3001</v>
      </c>
      <c r="K5448" t="str">
        <f>_xlfn.CONCAT(WEEKNUM(CompilDonnées[[#This Row],[PlantationDate]]), " ", YEAR(CompilDonnées[[#This Row],[PlantationDate]]))</f>
        <v>43 2025</v>
      </c>
      <c r="L5448" t="str">
        <f>CONCATENATE(MONTH(CompilDonnées[[#This Row],[PlantationDate]])," ", YEAR(CompilDonnées[[#This Row],[PlantationDate]]))</f>
        <v>10 2025</v>
      </c>
      <c r="M5448" t="str">
        <f>CONCATENATE(MONTH(CompilDonnées[[#This Row],[HarvestingDate]])," ", YEAR(CompilDonnées[[#This Row],[HarvestingDate]]))</f>
        <v>12 2025</v>
      </c>
      <c r="N5448">
        <f>_xlfn.NUMBERVALUE(CompilDonnées[[#This Row],[FarmID]]&amp;CompilDonnées[[#This Row],[ModuleNumber]]&amp;CompilDonnées[[#This Row],[PlantationDate]])</f>
        <v>123245952</v>
      </c>
      <c r="O5448" t="str">
        <f>CompilDonnées[[#This Row],[FarmID]]&amp;CompilDonnées[[#This Row],[ModuleNumber]]</f>
        <v>1232</v>
      </c>
      <c r="P5448" t="str">
        <f>CompilDonnées[[#This Row],[Ref_Module]]&amp;CompilDonnées[[#This Row],[HarvestingDate]]</f>
        <v>123245992</v>
      </c>
    </row>
    <row r="5449" spans="1:16">
      <c r="A5449" s="5">
        <v>45952</v>
      </c>
      <c r="B5449">
        <v>123</v>
      </c>
      <c r="C5449" t="s">
        <v>13</v>
      </c>
      <c r="D5449">
        <v>1</v>
      </c>
      <c r="E5449">
        <v>100</v>
      </c>
      <c r="F5449" t="s">
        <v>1</v>
      </c>
      <c r="G5449" s="6">
        <v>45992</v>
      </c>
      <c r="H5449">
        <v>40</v>
      </c>
      <c r="I5449">
        <f>ROUND(CompilDonnées[[#This Row],[CultureDuration_days]]/7,0)</f>
        <v>6</v>
      </c>
      <c r="J5449">
        <v>2577</v>
      </c>
      <c r="K5449" t="str">
        <f>_xlfn.CONCAT(WEEKNUM(CompilDonnées[[#This Row],[PlantationDate]]), " ", YEAR(CompilDonnées[[#This Row],[PlantationDate]]))</f>
        <v>43 2025</v>
      </c>
      <c r="L5449" t="str">
        <f>CONCATENATE(MONTH(CompilDonnées[[#This Row],[PlantationDate]])," ", YEAR(CompilDonnées[[#This Row],[PlantationDate]]))</f>
        <v>10 2025</v>
      </c>
      <c r="M5449" t="str">
        <f>CONCATENATE(MONTH(CompilDonnées[[#This Row],[HarvestingDate]])," ", YEAR(CompilDonnées[[#This Row],[HarvestingDate]]))</f>
        <v>12 2025</v>
      </c>
      <c r="N5449">
        <f>_xlfn.NUMBERVALUE(CompilDonnées[[#This Row],[FarmID]]&amp;CompilDonnées[[#This Row],[ModuleNumber]]&amp;CompilDonnées[[#This Row],[PlantationDate]])</f>
        <v>123145952</v>
      </c>
      <c r="O5449" t="str">
        <f>CompilDonnées[[#This Row],[FarmID]]&amp;CompilDonnées[[#This Row],[ModuleNumber]]</f>
        <v>1231</v>
      </c>
      <c r="P5449" t="str">
        <f>CompilDonnées[[#This Row],[Ref_Module]]&amp;CompilDonnées[[#This Row],[HarvestingDate]]</f>
        <v>123145992</v>
      </c>
    </row>
    <row r="5450" spans="1:16">
      <c r="A5450" s="5">
        <v>45952</v>
      </c>
      <c r="B5450">
        <v>120</v>
      </c>
      <c r="C5450" t="s">
        <v>100</v>
      </c>
      <c r="D5450">
        <v>6</v>
      </c>
      <c r="E5450">
        <v>100</v>
      </c>
      <c r="F5450" t="s">
        <v>1</v>
      </c>
      <c r="G5450" s="6">
        <v>45992</v>
      </c>
      <c r="H5450">
        <v>40</v>
      </c>
      <c r="I5450">
        <f>ROUND(CompilDonnées[[#This Row],[CultureDuration_days]]/7,0)</f>
        <v>6</v>
      </c>
      <c r="J5450">
        <v>4125</v>
      </c>
      <c r="K5450" t="str">
        <f>_xlfn.CONCAT(WEEKNUM(CompilDonnées[[#This Row],[PlantationDate]]), " ", YEAR(CompilDonnées[[#This Row],[PlantationDate]]))</f>
        <v>43 2025</v>
      </c>
      <c r="L5450" t="str">
        <f>CONCATENATE(MONTH(CompilDonnées[[#This Row],[PlantationDate]])," ", YEAR(CompilDonnées[[#This Row],[PlantationDate]]))</f>
        <v>10 2025</v>
      </c>
      <c r="M5450" t="str">
        <f>CONCATENATE(MONTH(CompilDonnées[[#This Row],[HarvestingDate]])," ", YEAR(CompilDonnées[[#This Row],[HarvestingDate]]))</f>
        <v>12 2025</v>
      </c>
      <c r="N5450">
        <f>_xlfn.NUMBERVALUE(CompilDonnées[[#This Row],[FarmID]]&amp;CompilDonnées[[#This Row],[ModuleNumber]]&amp;CompilDonnées[[#This Row],[PlantationDate]])</f>
        <v>120645952</v>
      </c>
      <c r="O5450" t="str">
        <f>CompilDonnées[[#This Row],[FarmID]]&amp;CompilDonnées[[#This Row],[ModuleNumber]]</f>
        <v>1206</v>
      </c>
      <c r="P5450" t="str">
        <f>CompilDonnées[[#This Row],[Ref_Module]]&amp;CompilDonnées[[#This Row],[HarvestingDate]]</f>
        <v>120645992</v>
      </c>
    </row>
    <row r="5451" spans="1:16">
      <c r="A5451" s="5">
        <v>45952</v>
      </c>
      <c r="B5451">
        <v>119</v>
      </c>
      <c r="C5451" t="s">
        <v>59</v>
      </c>
      <c r="D5451">
        <v>6</v>
      </c>
      <c r="E5451">
        <v>100</v>
      </c>
      <c r="F5451" t="s">
        <v>1</v>
      </c>
      <c r="G5451" s="6">
        <v>45992</v>
      </c>
      <c r="H5451">
        <v>40</v>
      </c>
      <c r="I5451">
        <f>ROUND(CompilDonnées[[#This Row],[CultureDuration_days]]/7,0)</f>
        <v>6</v>
      </c>
      <c r="J5451">
        <v>3311</v>
      </c>
      <c r="K5451" t="str">
        <f>_xlfn.CONCAT(WEEKNUM(CompilDonnées[[#This Row],[PlantationDate]]), " ", YEAR(CompilDonnées[[#This Row],[PlantationDate]]))</f>
        <v>43 2025</v>
      </c>
      <c r="L5451" t="str">
        <f>CONCATENATE(MONTH(CompilDonnées[[#This Row],[PlantationDate]])," ", YEAR(CompilDonnées[[#This Row],[PlantationDate]]))</f>
        <v>10 2025</v>
      </c>
      <c r="M5451" t="str">
        <f>CONCATENATE(MONTH(CompilDonnées[[#This Row],[HarvestingDate]])," ", YEAR(CompilDonnées[[#This Row],[HarvestingDate]]))</f>
        <v>12 2025</v>
      </c>
      <c r="N5451">
        <f>_xlfn.NUMBERVALUE(CompilDonnées[[#This Row],[FarmID]]&amp;CompilDonnées[[#This Row],[ModuleNumber]]&amp;CompilDonnées[[#This Row],[PlantationDate]])</f>
        <v>119645952</v>
      </c>
      <c r="O5451" t="str">
        <f>CompilDonnées[[#This Row],[FarmID]]&amp;CompilDonnées[[#This Row],[ModuleNumber]]</f>
        <v>1196</v>
      </c>
      <c r="P5451" t="str">
        <f>CompilDonnées[[#This Row],[Ref_Module]]&amp;CompilDonnées[[#This Row],[HarvestingDate]]</f>
        <v>119645992</v>
      </c>
    </row>
    <row r="5452" spans="1:16">
      <c r="A5452" s="5">
        <v>45952</v>
      </c>
      <c r="B5452">
        <v>113</v>
      </c>
      <c r="C5452" t="s">
        <v>16</v>
      </c>
      <c r="D5452">
        <v>3</v>
      </c>
      <c r="E5452">
        <v>100</v>
      </c>
      <c r="F5452" t="s">
        <v>1</v>
      </c>
      <c r="G5452" s="6">
        <v>45992</v>
      </c>
      <c r="H5452">
        <v>40</v>
      </c>
      <c r="I5452">
        <f>ROUND(CompilDonnées[[#This Row],[CultureDuration_days]]/7,0)</f>
        <v>6</v>
      </c>
      <c r="J5452">
        <v>3290</v>
      </c>
      <c r="K5452" t="str">
        <f>_xlfn.CONCAT(WEEKNUM(CompilDonnées[[#This Row],[PlantationDate]]), " ", YEAR(CompilDonnées[[#This Row],[PlantationDate]]))</f>
        <v>43 2025</v>
      </c>
      <c r="L5452" t="str">
        <f>CONCATENATE(MONTH(CompilDonnées[[#This Row],[PlantationDate]])," ", YEAR(CompilDonnées[[#This Row],[PlantationDate]]))</f>
        <v>10 2025</v>
      </c>
      <c r="M5452" t="str">
        <f>CONCATENATE(MONTH(CompilDonnées[[#This Row],[HarvestingDate]])," ", YEAR(CompilDonnées[[#This Row],[HarvestingDate]]))</f>
        <v>12 2025</v>
      </c>
      <c r="N5452">
        <f>_xlfn.NUMBERVALUE(CompilDonnées[[#This Row],[FarmID]]&amp;CompilDonnées[[#This Row],[ModuleNumber]]&amp;CompilDonnées[[#This Row],[PlantationDate]])</f>
        <v>113345952</v>
      </c>
      <c r="O5452" t="str">
        <f>CompilDonnées[[#This Row],[FarmID]]&amp;CompilDonnées[[#This Row],[ModuleNumber]]</f>
        <v>1133</v>
      </c>
      <c r="P5452" t="str">
        <f>CompilDonnées[[#This Row],[Ref_Module]]&amp;CompilDonnées[[#This Row],[HarvestingDate]]</f>
        <v>113345992</v>
      </c>
    </row>
    <row r="5453" spans="1:16">
      <c r="A5453" s="5">
        <v>45952</v>
      </c>
      <c r="B5453">
        <v>82</v>
      </c>
      <c r="C5453" t="s">
        <v>17</v>
      </c>
      <c r="D5453">
        <v>4</v>
      </c>
      <c r="E5453">
        <v>100</v>
      </c>
      <c r="F5453" t="s">
        <v>1</v>
      </c>
      <c r="G5453" s="6">
        <v>45994</v>
      </c>
      <c r="H5453">
        <v>42</v>
      </c>
      <c r="I5453">
        <f>ROUND(CompilDonnées[[#This Row],[CultureDuration_days]]/7,0)</f>
        <v>6</v>
      </c>
      <c r="J5453">
        <v>4707</v>
      </c>
      <c r="K5453" t="str">
        <f>_xlfn.CONCAT(WEEKNUM(CompilDonnées[[#This Row],[PlantationDate]]), " ", YEAR(CompilDonnées[[#This Row],[PlantationDate]]))</f>
        <v>43 2025</v>
      </c>
      <c r="L5453" t="str">
        <f>CONCATENATE(MONTH(CompilDonnées[[#This Row],[PlantationDate]])," ", YEAR(CompilDonnées[[#This Row],[PlantationDate]]))</f>
        <v>10 2025</v>
      </c>
      <c r="M5453" t="str">
        <f>CONCATENATE(MONTH(CompilDonnées[[#This Row],[HarvestingDate]])," ", YEAR(CompilDonnées[[#This Row],[HarvestingDate]]))</f>
        <v>12 2025</v>
      </c>
      <c r="N5453">
        <f>_xlfn.NUMBERVALUE(CompilDonnées[[#This Row],[FarmID]]&amp;CompilDonnées[[#This Row],[ModuleNumber]]&amp;CompilDonnées[[#This Row],[PlantationDate]])</f>
        <v>82445952</v>
      </c>
      <c r="O5453" t="str">
        <f>CompilDonnées[[#This Row],[FarmID]]&amp;CompilDonnées[[#This Row],[ModuleNumber]]</f>
        <v>824</v>
      </c>
      <c r="P5453" t="str">
        <f>CompilDonnées[[#This Row],[Ref_Module]]&amp;CompilDonnées[[#This Row],[HarvestingDate]]</f>
        <v>82445994</v>
      </c>
    </row>
    <row r="5454" spans="1:16">
      <c r="A5454" s="5">
        <v>45952</v>
      </c>
      <c r="B5454">
        <v>81</v>
      </c>
      <c r="C5454" t="s">
        <v>30</v>
      </c>
      <c r="D5454">
        <v>2</v>
      </c>
      <c r="E5454">
        <v>100</v>
      </c>
      <c r="F5454" t="s">
        <v>1</v>
      </c>
      <c r="G5454" s="6">
        <v>46000</v>
      </c>
      <c r="H5454">
        <v>48</v>
      </c>
      <c r="I5454">
        <f>ROUND(CompilDonnées[[#This Row],[CultureDuration_days]]/7,0)</f>
        <v>7</v>
      </c>
      <c r="J5454">
        <v>3210</v>
      </c>
      <c r="K5454" t="str">
        <f>_xlfn.CONCAT(WEEKNUM(CompilDonnées[[#This Row],[PlantationDate]]), " ", YEAR(CompilDonnées[[#This Row],[PlantationDate]]))</f>
        <v>43 2025</v>
      </c>
      <c r="L5454" t="str">
        <f>CONCATENATE(MONTH(CompilDonnées[[#This Row],[PlantationDate]])," ", YEAR(CompilDonnées[[#This Row],[PlantationDate]]))</f>
        <v>10 2025</v>
      </c>
      <c r="M5454" t="str">
        <f>CONCATENATE(MONTH(CompilDonnées[[#This Row],[HarvestingDate]])," ", YEAR(CompilDonnées[[#This Row],[HarvestingDate]]))</f>
        <v>12 2025</v>
      </c>
      <c r="N5454">
        <f>_xlfn.NUMBERVALUE(CompilDonnées[[#This Row],[FarmID]]&amp;CompilDonnées[[#This Row],[ModuleNumber]]&amp;CompilDonnées[[#This Row],[PlantationDate]])</f>
        <v>81245952</v>
      </c>
      <c r="O5454" t="str">
        <f>CompilDonnées[[#This Row],[FarmID]]&amp;CompilDonnées[[#This Row],[ModuleNumber]]</f>
        <v>812</v>
      </c>
      <c r="P5454" t="str">
        <f>CompilDonnées[[#This Row],[Ref_Module]]&amp;CompilDonnées[[#This Row],[HarvestingDate]]</f>
        <v>81246000</v>
      </c>
    </row>
    <row r="5455" spans="1:16">
      <c r="A5455" s="5">
        <v>45952</v>
      </c>
      <c r="B5455">
        <v>93</v>
      </c>
      <c r="C5455" t="s">
        <v>10</v>
      </c>
      <c r="D5455">
        <v>1</v>
      </c>
      <c r="E5455">
        <v>100</v>
      </c>
      <c r="F5455" t="s">
        <v>1</v>
      </c>
      <c r="G5455" s="6">
        <v>46000</v>
      </c>
      <c r="H5455">
        <v>48</v>
      </c>
      <c r="I5455">
        <f>ROUND(CompilDonnées[[#This Row],[CultureDuration_days]]/7,0)</f>
        <v>7</v>
      </c>
      <c r="J5455">
        <v>2847</v>
      </c>
      <c r="K5455" t="str">
        <f>_xlfn.CONCAT(WEEKNUM(CompilDonnées[[#This Row],[PlantationDate]]), " ", YEAR(CompilDonnées[[#This Row],[PlantationDate]]))</f>
        <v>43 2025</v>
      </c>
      <c r="L5455" t="str">
        <f>CONCATENATE(MONTH(CompilDonnées[[#This Row],[PlantationDate]])," ", YEAR(CompilDonnées[[#This Row],[PlantationDate]]))</f>
        <v>10 2025</v>
      </c>
      <c r="M5455" t="str">
        <f>CONCATENATE(MONTH(CompilDonnées[[#This Row],[HarvestingDate]])," ", YEAR(CompilDonnées[[#This Row],[HarvestingDate]]))</f>
        <v>12 2025</v>
      </c>
      <c r="N5455">
        <f>_xlfn.NUMBERVALUE(CompilDonnées[[#This Row],[FarmID]]&amp;CompilDonnées[[#This Row],[ModuleNumber]]&amp;CompilDonnées[[#This Row],[PlantationDate]])</f>
        <v>93145952</v>
      </c>
      <c r="O5455" t="str">
        <f>CompilDonnées[[#This Row],[FarmID]]&amp;CompilDonnées[[#This Row],[ModuleNumber]]</f>
        <v>931</v>
      </c>
      <c r="P5455" t="str">
        <f>CompilDonnées[[#This Row],[Ref_Module]]&amp;CompilDonnées[[#This Row],[HarvestingDate]]</f>
        <v>93146000</v>
      </c>
    </row>
    <row r="5456" spans="1:16">
      <c r="A5456" s="5">
        <v>45952</v>
      </c>
      <c r="B5456">
        <v>92</v>
      </c>
      <c r="C5456" t="s">
        <v>66</v>
      </c>
      <c r="D5456">
        <v>1</v>
      </c>
      <c r="E5456">
        <v>100</v>
      </c>
      <c r="F5456" t="s">
        <v>1</v>
      </c>
      <c r="G5456" s="6">
        <v>46000</v>
      </c>
      <c r="H5456">
        <v>48</v>
      </c>
      <c r="I5456">
        <f>ROUND(CompilDonnées[[#This Row],[CultureDuration_days]]/7,0)</f>
        <v>7</v>
      </c>
      <c r="J5456">
        <v>2230</v>
      </c>
      <c r="K5456" t="str">
        <f>_xlfn.CONCAT(WEEKNUM(CompilDonnées[[#This Row],[PlantationDate]]), " ", YEAR(CompilDonnées[[#This Row],[PlantationDate]]))</f>
        <v>43 2025</v>
      </c>
      <c r="L5456" t="str">
        <f>CONCATENATE(MONTH(CompilDonnées[[#This Row],[PlantationDate]])," ", YEAR(CompilDonnées[[#This Row],[PlantationDate]]))</f>
        <v>10 2025</v>
      </c>
      <c r="M5456" t="str">
        <f>CONCATENATE(MONTH(CompilDonnées[[#This Row],[HarvestingDate]])," ", YEAR(CompilDonnées[[#This Row],[HarvestingDate]]))</f>
        <v>12 2025</v>
      </c>
      <c r="N5456">
        <f>_xlfn.NUMBERVALUE(CompilDonnées[[#This Row],[FarmID]]&amp;CompilDonnées[[#This Row],[ModuleNumber]]&amp;CompilDonnées[[#This Row],[PlantationDate]])</f>
        <v>92145952</v>
      </c>
      <c r="O5456" t="str">
        <f>CompilDonnées[[#This Row],[FarmID]]&amp;CompilDonnées[[#This Row],[ModuleNumber]]</f>
        <v>921</v>
      </c>
      <c r="P5456" t="str">
        <f>CompilDonnées[[#This Row],[Ref_Module]]&amp;CompilDonnées[[#This Row],[HarvestingDate]]</f>
        <v>92146000</v>
      </c>
    </row>
    <row r="5457" spans="1:16">
      <c r="A5457" s="5">
        <v>45952</v>
      </c>
      <c r="B5457">
        <v>86</v>
      </c>
      <c r="C5457" t="s">
        <v>37</v>
      </c>
      <c r="D5457">
        <v>1</v>
      </c>
      <c r="E5457">
        <v>100</v>
      </c>
      <c r="F5457" t="s">
        <v>1</v>
      </c>
      <c r="G5457" s="6">
        <v>46000</v>
      </c>
      <c r="H5457">
        <v>48</v>
      </c>
      <c r="I5457">
        <f>ROUND(CompilDonnées[[#This Row],[CultureDuration_days]]/7,0)</f>
        <v>7</v>
      </c>
      <c r="J5457">
        <v>1976</v>
      </c>
      <c r="K5457" t="str">
        <f>_xlfn.CONCAT(WEEKNUM(CompilDonnées[[#This Row],[PlantationDate]]), " ", YEAR(CompilDonnées[[#This Row],[PlantationDate]]))</f>
        <v>43 2025</v>
      </c>
      <c r="L5457" t="str">
        <f>CONCATENATE(MONTH(CompilDonnées[[#This Row],[PlantationDate]])," ", YEAR(CompilDonnées[[#This Row],[PlantationDate]]))</f>
        <v>10 2025</v>
      </c>
      <c r="M5457" t="str">
        <f>CONCATENATE(MONTH(CompilDonnées[[#This Row],[HarvestingDate]])," ", YEAR(CompilDonnées[[#This Row],[HarvestingDate]]))</f>
        <v>12 2025</v>
      </c>
      <c r="N5457">
        <f>_xlfn.NUMBERVALUE(CompilDonnées[[#This Row],[FarmID]]&amp;CompilDonnées[[#This Row],[ModuleNumber]]&amp;CompilDonnées[[#This Row],[PlantationDate]])</f>
        <v>86145952</v>
      </c>
      <c r="O5457" t="str">
        <f>CompilDonnées[[#This Row],[FarmID]]&amp;CompilDonnées[[#This Row],[ModuleNumber]]</f>
        <v>861</v>
      </c>
      <c r="P5457" t="str">
        <f>CompilDonnées[[#This Row],[Ref_Module]]&amp;CompilDonnées[[#This Row],[HarvestingDate]]</f>
        <v>86146000</v>
      </c>
    </row>
    <row r="5458" spans="1:16">
      <c r="A5458" s="5">
        <v>45952</v>
      </c>
      <c r="B5458">
        <v>106</v>
      </c>
      <c r="C5458" t="s">
        <v>22</v>
      </c>
      <c r="D5458">
        <v>2</v>
      </c>
      <c r="E5458">
        <v>100</v>
      </c>
      <c r="F5458" t="s">
        <v>1</v>
      </c>
      <c r="G5458" s="6">
        <v>46000</v>
      </c>
      <c r="H5458">
        <v>48</v>
      </c>
      <c r="I5458">
        <f>ROUND(CompilDonnées[[#This Row],[CultureDuration_days]]/7,0)</f>
        <v>7</v>
      </c>
      <c r="J5458">
        <v>1469</v>
      </c>
      <c r="K5458" t="str">
        <f>_xlfn.CONCAT(WEEKNUM(CompilDonnées[[#This Row],[PlantationDate]]), " ", YEAR(CompilDonnées[[#This Row],[PlantationDate]]))</f>
        <v>43 2025</v>
      </c>
      <c r="L5458" t="str">
        <f>CONCATENATE(MONTH(CompilDonnées[[#This Row],[PlantationDate]])," ", YEAR(CompilDonnées[[#This Row],[PlantationDate]]))</f>
        <v>10 2025</v>
      </c>
      <c r="M5458" t="str">
        <f>CONCATENATE(MONTH(CompilDonnées[[#This Row],[HarvestingDate]])," ", YEAR(CompilDonnées[[#This Row],[HarvestingDate]]))</f>
        <v>12 2025</v>
      </c>
      <c r="N5458">
        <f>_xlfn.NUMBERVALUE(CompilDonnées[[#This Row],[FarmID]]&amp;CompilDonnées[[#This Row],[ModuleNumber]]&amp;CompilDonnées[[#This Row],[PlantationDate]])</f>
        <v>106245952</v>
      </c>
      <c r="O5458" t="str">
        <f>CompilDonnées[[#This Row],[FarmID]]&amp;CompilDonnées[[#This Row],[ModuleNumber]]</f>
        <v>1062</v>
      </c>
      <c r="P5458" t="str">
        <f>CompilDonnées[[#This Row],[Ref_Module]]&amp;CompilDonnées[[#This Row],[HarvestingDate]]</f>
        <v>106246000</v>
      </c>
    </row>
    <row r="5459" spans="1:16">
      <c r="A5459" s="5">
        <v>45952</v>
      </c>
      <c r="B5459">
        <v>87</v>
      </c>
      <c r="C5459" t="s">
        <v>38</v>
      </c>
      <c r="D5459">
        <v>2</v>
      </c>
      <c r="E5459">
        <v>100</v>
      </c>
      <c r="F5459" t="s">
        <v>1</v>
      </c>
      <c r="G5459" s="6">
        <v>46000</v>
      </c>
      <c r="H5459">
        <v>48</v>
      </c>
      <c r="I5459">
        <f>ROUND(CompilDonnées[[#This Row],[CultureDuration_days]]/7,0)</f>
        <v>7</v>
      </c>
      <c r="J5459">
        <v>2712</v>
      </c>
      <c r="K5459" t="str">
        <f>_xlfn.CONCAT(WEEKNUM(CompilDonnées[[#This Row],[PlantationDate]]), " ", YEAR(CompilDonnées[[#This Row],[PlantationDate]]))</f>
        <v>43 2025</v>
      </c>
      <c r="L5459" t="str">
        <f>CONCATENATE(MONTH(CompilDonnées[[#This Row],[PlantationDate]])," ", YEAR(CompilDonnées[[#This Row],[PlantationDate]]))</f>
        <v>10 2025</v>
      </c>
      <c r="M5459" t="str">
        <f>CONCATENATE(MONTH(CompilDonnées[[#This Row],[HarvestingDate]])," ", YEAR(CompilDonnées[[#This Row],[HarvestingDate]]))</f>
        <v>12 2025</v>
      </c>
      <c r="N5459">
        <f>_xlfn.NUMBERVALUE(CompilDonnées[[#This Row],[FarmID]]&amp;CompilDonnées[[#This Row],[ModuleNumber]]&amp;CompilDonnées[[#This Row],[PlantationDate]])</f>
        <v>87245952</v>
      </c>
      <c r="O5459" t="str">
        <f>CompilDonnées[[#This Row],[FarmID]]&amp;CompilDonnées[[#This Row],[ModuleNumber]]</f>
        <v>872</v>
      </c>
      <c r="P5459" t="str">
        <f>CompilDonnées[[#This Row],[Ref_Module]]&amp;CompilDonnées[[#This Row],[HarvestingDate]]</f>
        <v>87246000</v>
      </c>
    </row>
    <row r="5460" spans="1:16">
      <c r="A5460" s="5">
        <v>45952</v>
      </c>
      <c r="B5460">
        <v>85</v>
      </c>
      <c r="C5460" t="s">
        <v>56</v>
      </c>
      <c r="D5460">
        <v>6</v>
      </c>
      <c r="E5460">
        <v>100</v>
      </c>
      <c r="F5460" t="s">
        <v>1</v>
      </c>
      <c r="G5460" s="6">
        <v>45993</v>
      </c>
      <c r="H5460">
        <v>41</v>
      </c>
      <c r="I5460">
        <f>ROUND(CompilDonnées[[#This Row],[CultureDuration_days]]/7,0)</f>
        <v>6</v>
      </c>
      <c r="J5460">
        <v>3226</v>
      </c>
      <c r="K5460" t="str">
        <f>_xlfn.CONCAT(WEEKNUM(CompilDonnées[[#This Row],[PlantationDate]]), " ", YEAR(CompilDonnées[[#This Row],[PlantationDate]]))</f>
        <v>43 2025</v>
      </c>
      <c r="L5460" t="str">
        <f>CONCATENATE(MONTH(CompilDonnées[[#This Row],[PlantationDate]])," ", YEAR(CompilDonnées[[#This Row],[PlantationDate]]))</f>
        <v>10 2025</v>
      </c>
      <c r="M5460" t="str">
        <f>CONCATENATE(MONTH(CompilDonnées[[#This Row],[HarvestingDate]])," ", YEAR(CompilDonnées[[#This Row],[HarvestingDate]]))</f>
        <v>12 2025</v>
      </c>
      <c r="N5460">
        <f>_xlfn.NUMBERVALUE(CompilDonnées[[#This Row],[FarmID]]&amp;CompilDonnées[[#This Row],[ModuleNumber]]&amp;CompilDonnées[[#This Row],[PlantationDate]])</f>
        <v>85645952</v>
      </c>
      <c r="O5460" t="str">
        <f>CompilDonnées[[#This Row],[FarmID]]&amp;CompilDonnées[[#This Row],[ModuleNumber]]</f>
        <v>856</v>
      </c>
      <c r="P5460" t="str">
        <f>CompilDonnées[[#This Row],[Ref_Module]]&amp;CompilDonnées[[#This Row],[HarvestingDate]]</f>
        <v>85645993</v>
      </c>
    </row>
    <row r="5461" spans="1:16">
      <c r="A5461" s="5">
        <v>45952</v>
      </c>
      <c r="B5461">
        <v>145</v>
      </c>
      <c r="C5461" t="s">
        <v>3</v>
      </c>
      <c r="D5461">
        <v>1</v>
      </c>
      <c r="E5461">
        <v>68</v>
      </c>
      <c r="F5461" t="s">
        <v>1</v>
      </c>
      <c r="G5461" s="6">
        <v>45999</v>
      </c>
      <c r="H5461">
        <v>47</v>
      </c>
      <c r="I5461">
        <f>ROUND(CompilDonnées[[#This Row],[CultureDuration_days]]/7,0)</f>
        <v>7</v>
      </c>
      <c r="J5461">
        <v>1009</v>
      </c>
      <c r="K5461" t="str">
        <f>_xlfn.CONCAT(WEEKNUM(CompilDonnées[[#This Row],[PlantationDate]]), " ", YEAR(CompilDonnées[[#This Row],[PlantationDate]]))</f>
        <v>43 2025</v>
      </c>
      <c r="L5461" t="str">
        <f>CONCATENATE(MONTH(CompilDonnées[[#This Row],[PlantationDate]])," ", YEAR(CompilDonnées[[#This Row],[PlantationDate]]))</f>
        <v>10 2025</v>
      </c>
      <c r="M5461" t="str">
        <f>CONCATENATE(MONTH(CompilDonnées[[#This Row],[HarvestingDate]])," ", YEAR(CompilDonnées[[#This Row],[HarvestingDate]]))</f>
        <v>12 2025</v>
      </c>
      <c r="N5461">
        <f>_xlfn.NUMBERVALUE(CompilDonnées[[#This Row],[FarmID]]&amp;CompilDonnées[[#This Row],[ModuleNumber]]&amp;CompilDonnées[[#This Row],[PlantationDate]])</f>
        <v>145145952</v>
      </c>
      <c r="O5461" t="str">
        <f>CompilDonnées[[#This Row],[FarmID]]&amp;CompilDonnées[[#This Row],[ModuleNumber]]</f>
        <v>1451</v>
      </c>
      <c r="P5461" t="str">
        <f>CompilDonnées[[#This Row],[Ref_Module]]&amp;CompilDonnées[[#This Row],[HarvestingDate]]</f>
        <v>145145999</v>
      </c>
    </row>
    <row r="5462" spans="1:16">
      <c r="A5462" s="5">
        <v>45952</v>
      </c>
      <c r="B5462">
        <v>145</v>
      </c>
      <c r="C5462" t="s">
        <v>3</v>
      </c>
      <c r="D5462">
        <v>2</v>
      </c>
      <c r="E5462">
        <v>68</v>
      </c>
      <c r="F5462" t="s">
        <v>1</v>
      </c>
      <c r="G5462" s="6">
        <v>45999</v>
      </c>
      <c r="H5462">
        <v>47</v>
      </c>
      <c r="I5462">
        <f>ROUND(CompilDonnées[[#This Row],[CultureDuration_days]]/7,0)</f>
        <v>7</v>
      </c>
      <c r="J5462">
        <v>1201</v>
      </c>
      <c r="K5462" t="str">
        <f>_xlfn.CONCAT(WEEKNUM(CompilDonnées[[#This Row],[PlantationDate]]), " ", YEAR(CompilDonnées[[#This Row],[PlantationDate]]))</f>
        <v>43 2025</v>
      </c>
      <c r="L5462" t="str">
        <f>CONCATENATE(MONTH(CompilDonnées[[#This Row],[PlantationDate]])," ", YEAR(CompilDonnées[[#This Row],[PlantationDate]]))</f>
        <v>10 2025</v>
      </c>
      <c r="M5462" t="str">
        <f>CONCATENATE(MONTH(CompilDonnées[[#This Row],[HarvestingDate]])," ", YEAR(CompilDonnées[[#This Row],[HarvestingDate]]))</f>
        <v>12 2025</v>
      </c>
      <c r="N5462">
        <f>_xlfn.NUMBERVALUE(CompilDonnées[[#This Row],[FarmID]]&amp;CompilDonnées[[#This Row],[ModuleNumber]]&amp;CompilDonnées[[#This Row],[PlantationDate]])</f>
        <v>145245952</v>
      </c>
      <c r="O5462" t="str">
        <f>CompilDonnées[[#This Row],[FarmID]]&amp;CompilDonnées[[#This Row],[ModuleNumber]]</f>
        <v>1452</v>
      </c>
      <c r="P5462" t="str">
        <f>CompilDonnées[[#This Row],[Ref_Module]]&amp;CompilDonnées[[#This Row],[HarvestingDate]]</f>
        <v>145245999</v>
      </c>
    </row>
    <row r="5463" spans="1:16">
      <c r="A5463" s="5">
        <v>45952</v>
      </c>
      <c r="B5463">
        <v>209</v>
      </c>
      <c r="C5463" t="s">
        <v>118</v>
      </c>
      <c r="D5463">
        <v>1</v>
      </c>
      <c r="E5463">
        <v>100</v>
      </c>
      <c r="F5463" t="s">
        <v>1</v>
      </c>
      <c r="G5463" s="6">
        <v>46002</v>
      </c>
      <c r="H5463">
        <v>50</v>
      </c>
      <c r="I5463">
        <f>ROUND(CompilDonnées[[#This Row],[CultureDuration_days]]/7,0)</f>
        <v>7</v>
      </c>
      <c r="J5463">
        <v>4618</v>
      </c>
      <c r="K5463" t="str">
        <f>_xlfn.CONCAT(WEEKNUM(CompilDonnées[[#This Row],[PlantationDate]]), " ", YEAR(CompilDonnées[[#This Row],[PlantationDate]]))</f>
        <v>43 2025</v>
      </c>
      <c r="L5463" t="str">
        <f>CONCATENATE(MONTH(CompilDonnées[[#This Row],[PlantationDate]])," ", YEAR(CompilDonnées[[#This Row],[PlantationDate]]))</f>
        <v>10 2025</v>
      </c>
      <c r="M5463" t="str">
        <f>CONCATENATE(MONTH(CompilDonnées[[#This Row],[HarvestingDate]])," ", YEAR(CompilDonnées[[#This Row],[HarvestingDate]]))</f>
        <v>12 2025</v>
      </c>
      <c r="N5463">
        <f>_xlfn.NUMBERVALUE(CompilDonnées[[#This Row],[FarmID]]&amp;CompilDonnées[[#This Row],[ModuleNumber]]&amp;CompilDonnées[[#This Row],[PlantationDate]])</f>
        <v>209145952</v>
      </c>
      <c r="O5463" t="str">
        <f>CompilDonnées[[#This Row],[FarmID]]&amp;CompilDonnées[[#This Row],[ModuleNumber]]</f>
        <v>2091</v>
      </c>
      <c r="P5463" t="str">
        <f>CompilDonnées[[#This Row],[Ref_Module]]&amp;CompilDonnées[[#This Row],[HarvestingDate]]</f>
        <v>209146002</v>
      </c>
    </row>
    <row r="5464" spans="1:16">
      <c r="A5464" s="5">
        <v>45952</v>
      </c>
      <c r="B5464">
        <v>209</v>
      </c>
      <c r="C5464" t="s">
        <v>118</v>
      </c>
      <c r="D5464">
        <v>2</v>
      </c>
      <c r="E5464">
        <v>100</v>
      </c>
      <c r="F5464" t="s">
        <v>1</v>
      </c>
      <c r="G5464" s="6">
        <v>46001</v>
      </c>
      <c r="H5464">
        <v>49</v>
      </c>
      <c r="I5464">
        <f>ROUND(CompilDonnées[[#This Row],[CultureDuration_days]]/7,0)</f>
        <v>7</v>
      </c>
      <c r="J5464">
        <v>3428</v>
      </c>
      <c r="K5464" t="str">
        <f>_xlfn.CONCAT(WEEKNUM(CompilDonnées[[#This Row],[PlantationDate]]), " ", YEAR(CompilDonnées[[#This Row],[PlantationDate]]))</f>
        <v>43 2025</v>
      </c>
      <c r="L5464" t="str">
        <f>CONCATENATE(MONTH(CompilDonnées[[#This Row],[PlantationDate]])," ", YEAR(CompilDonnées[[#This Row],[PlantationDate]]))</f>
        <v>10 2025</v>
      </c>
      <c r="M5464" t="str">
        <f>CONCATENATE(MONTH(CompilDonnées[[#This Row],[HarvestingDate]])," ", YEAR(CompilDonnées[[#This Row],[HarvestingDate]]))</f>
        <v>12 2025</v>
      </c>
      <c r="N5464">
        <f>_xlfn.NUMBERVALUE(CompilDonnées[[#This Row],[FarmID]]&amp;CompilDonnées[[#This Row],[ModuleNumber]]&amp;CompilDonnées[[#This Row],[PlantationDate]])</f>
        <v>209245952</v>
      </c>
      <c r="O5464" t="str">
        <f>CompilDonnées[[#This Row],[FarmID]]&amp;CompilDonnées[[#This Row],[ModuleNumber]]</f>
        <v>2092</v>
      </c>
      <c r="P5464" t="str">
        <f>CompilDonnées[[#This Row],[Ref_Module]]&amp;CompilDonnées[[#This Row],[HarvestingDate]]</f>
        <v>209246001</v>
      </c>
    </row>
    <row r="5465" spans="1:16">
      <c r="A5465" s="5">
        <v>45952</v>
      </c>
      <c r="B5465">
        <v>209</v>
      </c>
      <c r="C5465" t="s">
        <v>118</v>
      </c>
      <c r="D5465">
        <v>3</v>
      </c>
      <c r="E5465">
        <v>100</v>
      </c>
      <c r="F5465" t="s">
        <v>1</v>
      </c>
      <c r="G5465" s="6">
        <v>46003</v>
      </c>
      <c r="H5465">
        <v>51</v>
      </c>
      <c r="I5465">
        <f>ROUND(CompilDonnées[[#This Row],[CultureDuration_days]]/7,0)</f>
        <v>7</v>
      </c>
      <c r="J5465">
        <v>3293</v>
      </c>
      <c r="K5465" t="str">
        <f>_xlfn.CONCAT(WEEKNUM(CompilDonnées[[#This Row],[PlantationDate]]), " ", YEAR(CompilDonnées[[#This Row],[PlantationDate]]))</f>
        <v>43 2025</v>
      </c>
      <c r="L5465" t="str">
        <f>CONCATENATE(MONTH(CompilDonnées[[#This Row],[PlantationDate]])," ", YEAR(CompilDonnées[[#This Row],[PlantationDate]]))</f>
        <v>10 2025</v>
      </c>
      <c r="M5465" t="str">
        <f>CONCATENATE(MONTH(CompilDonnées[[#This Row],[HarvestingDate]])," ", YEAR(CompilDonnées[[#This Row],[HarvestingDate]]))</f>
        <v>12 2025</v>
      </c>
      <c r="N5465">
        <f>_xlfn.NUMBERVALUE(CompilDonnées[[#This Row],[FarmID]]&amp;CompilDonnées[[#This Row],[ModuleNumber]]&amp;CompilDonnées[[#This Row],[PlantationDate]])</f>
        <v>209345952</v>
      </c>
      <c r="O5465" t="str">
        <f>CompilDonnées[[#This Row],[FarmID]]&amp;CompilDonnées[[#This Row],[ModuleNumber]]</f>
        <v>2093</v>
      </c>
      <c r="P5465" t="str">
        <f>CompilDonnées[[#This Row],[Ref_Module]]&amp;CompilDonnées[[#This Row],[HarvestingDate]]</f>
        <v>209346003</v>
      </c>
    </row>
    <row r="5466" spans="1:16">
      <c r="A5466" s="5">
        <v>45953</v>
      </c>
      <c r="B5466">
        <v>131</v>
      </c>
      <c r="C5466" t="s">
        <v>53</v>
      </c>
      <c r="D5466">
        <v>5</v>
      </c>
      <c r="E5466">
        <v>100</v>
      </c>
      <c r="F5466" t="s">
        <v>1</v>
      </c>
      <c r="G5466" s="6">
        <v>45999</v>
      </c>
      <c r="H5466">
        <v>46</v>
      </c>
      <c r="I5466">
        <f>ROUND(CompilDonnées[[#This Row],[CultureDuration_days]]/7,0)</f>
        <v>7</v>
      </c>
      <c r="J5466">
        <v>3149</v>
      </c>
      <c r="K5466" t="str">
        <f>_xlfn.CONCAT(WEEKNUM(CompilDonnées[[#This Row],[PlantationDate]]), " ", YEAR(CompilDonnées[[#This Row],[PlantationDate]]))</f>
        <v>43 2025</v>
      </c>
      <c r="L5466" t="str">
        <f>CONCATENATE(MONTH(CompilDonnées[[#This Row],[PlantationDate]])," ", YEAR(CompilDonnées[[#This Row],[PlantationDate]]))</f>
        <v>10 2025</v>
      </c>
      <c r="M5466" t="str">
        <f>CONCATENATE(MONTH(CompilDonnées[[#This Row],[HarvestingDate]])," ", YEAR(CompilDonnées[[#This Row],[HarvestingDate]]))</f>
        <v>12 2025</v>
      </c>
      <c r="N5466">
        <f>_xlfn.NUMBERVALUE(CompilDonnées[[#This Row],[FarmID]]&amp;CompilDonnées[[#This Row],[ModuleNumber]]&amp;CompilDonnées[[#This Row],[PlantationDate]])</f>
        <v>131545953</v>
      </c>
      <c r="O5466" t="str">
        <f>CompilDonnées[[#This Row],[FarmID]]&amp;CompilDonnées[[#This Row],[ModuleNumber]]</f>
        <v>1315</v>
      </c>
      <c r="P5466" t="str">
        <f>CompilDonnées[[#This Row],[Ref_Module]]&amp;CompilDonnées[[#This Row],[HarvestingDate]]</f>
        <v>131545999</v>
      </c>
    </row>
    <row r="5467" spans="1:16">
      <c r="A5467" s="5">
        <v>45953</v>
      </c>
      <c r="B5467">
        <v>125</v>
      </c>
      <c r="C5467" t="s">
        <v>101</v>
      </c>
      <c r="D5467">
        <v>2</v>
      </c>
      <c r="E5467">
        <v>100</v>
      </c>
      <c r="F5467" t="s">
        <v>1</v>
      </c>
      <c r="G5467" s="6">
        <v>45999</v>
      </c>
      <c r="H5467">
        <v>46</v>
      </c>
      <c r="I5467">
        <f>ROUND(CompilDonnées[[#This Row],[CultureDuration_days]]/7,0)</f>
        <v>7</v>
      </c>
      <c r="J5467">
        <v>3220</v>
      </c>
      <c r="K5467" t="str">
        <f>_xlfn.CONCAT(WEEKNUM(CompilDonnées[[#This Row],[PlantationDate]]), " ", YEAR(CompilDonnées[[#This Row],[PlantationDate]]))</f>
        <v>43 2025</v>
      </c>
      <c r="L5467" t="str">
        <f>CONCATENATE(MONTH(CompilDonnées[[#This Row],[PlantationDate]])," ", YEAR(CompilDonnées[[#This Row],[PlantationDate]]))</f>
        <v>10 2025</v>
      </c>
      <c r="M5467" t="str">
        <f>CONCATENATE(MONTH(CompilDonnées[[#This Row],[HarvestingDate]])," ", YEAR(CompilDonnées[[#This Row],[HarvestingDate]]))</f>
        <v>12 2025</v>
      </c>
      <c r="N5467">
        <f>_xlfn.NUMBERVALUE(CompilDonnées[[#This Row],[FarmID]]&amp;CompilDonnées[[#This Row],[ModuleNumber]]&amp;CompilDonnées[[#This Row],[PlantationDate]])</f>
        <v>125245953</v>
      </c>
      <c r="O5467" t="str">
        <f>CompilDonnées[[#This Row],[FarmID]]&amp;CompilDonnées[[#This Row],[ModuleNumber]]</f>
        <v>1252</v>
      </c>
      <c r="P5467" t="str">
        <f>CompilDonnées[[#This Row],[Ref_Module]]&amp;CompilDonnées[[#This Row],[HarvestingDate]]</f>
        <v>125245999</v>
      </c>
    </row>
    <row r="5468" spans="1:16">
      <c r="A5468" s="5">
        <v>45953</v>
      </c>
      <c r="B5468">
        <v>124</v>
      </c>
      <c r="C5468" t="s">
        <v>115</v>
      </c>
      <c r="D5468">
        <v>4</v>
      </c>
      <c r="E5468">
        <v>100</v>
      </c>
      <c r="F5468" t="s">
        <v>1</v>
      </c>
      <c r="G5468" s="6">
        <v>45999</v>
      </c>
      <c r="H5468">
        <v>46</v>
      </c>
      <c r="I5468">
        <f>ROUND(CompilDonnées[[#This Row],[CultureDuration_days]]/7,0)</f>
        <v>7</v>
      </c>
      <c r="J5468">
        <v>3552</v>
      </c>
      <c r="K5468" t="str">
        <f>_xlfn.CONCAT(WEEKNUM(CompilDonnées[[#This Row],[PlantationDate]]), " ", YEAR(CompilDonnées[[#This Row],[PlantationDate]]))</f>
        <v>43 2025</v>
      </c>
      <c r="L5468" t="str">
        <f>CONCATENATE(MONTH(CompilDonnées[[#This Row],[PlantationDate]])," ", YEAR(CompilDonnées[[#This Row],[PlantationDate]]))</f>
        <v>10 2025</v>
      </c>
      <c r="M5468" t="str">
        <f>CONCATENATE(MONTH(CompilDonnées[[#This Row],[HarvestingDate]])," ", YEAR(CompilDonnées[[#This Row],[HarvestingDate]]))</f>
        <v>12 2025</v>
      </c>
      <c r="N5468">
        <f>_xlfn.NUMBERVALUE(CompilDonnées[[#This Row],[FarmID]]&amp;CompilDonnées[[#This Row],[ModuleNumber]]&amp;CompilDonnées[[#This Row],[PlantationDate]])</f>
        <v>124445953</v>
      </c>
      <c r="O5468" t="str">
        <f>CompilDonnées[[#This Row],[FarmID]]&amp;CompilDonnées[[#This Row],[ModuleNumber]]</f>
        <v>1244</v>
      </c>
      <c r="P5468" t="str">
        <f>CompilDonnées[[#This Row],[Ref_Module]]&amp;CompilDonnées[[#This Row],[HarvestingDate]]</f>
        <v>124445999</v>
      </c>
    </row>
    <row r="5469" spans="1:16">
      <c r="A5469" s="5">
        <v>45953</v>
      </c>
      <c r="B5469">
        <v>119</v>
      </c>
      <c r="C5469" t="s">
        <v>59</v>
      </c>
      <c r="D5469">
        <v>5</v>
      </c>
      <c r="E5469">
        <v>100</v>
      </c>
      <c r="F5469" t="s">
        <v>1</v>
      </c>
      <c r="G5469" s="6">
        <v>45999</v>
      </c>
      <c r="H5469">
        <v>46</v>
      </c>
      <c r="I5469">
        <f>ROUND(CompilDonnées[[#This Row],[CultureDuration_days]]/7,0)</f>
        <v>7</v>
      </c>
      <c r="J5469">
        <v>2682</v>
      </c>
      <c r="K5469" t="str">
        <f>_xlfn.CONCAT(WEEKNUM(CompilDonnées[[#This Row],[PlantationDate]]), " ", YEAR(CompilDonnées[[#This Row],[PlantationDate]]))</f>
        <v>43 2025</v>
      </c>
      <c r="L5469" t="str">
        <f>CONCATENATE(MONTH(CompilDonnées[[#This Row],[PlantationDate]])," ", YEAR(CompilDonnées[[#This Row],[PlantationDate]]))</f>
        <v>10 2025</v>
      </c>
      <c r="M5469" t="str">
        <f>CONCATENATE(MONTH(CompilDonnées[[#This Row],[HarvestingDate]])," ", YEAR(CompilDonnées[[#This Row],[HarvestingDate]]))</f>
        <v>12 2025</v>
      </c>
      <c r="N5469">
        <f>_xlfn.NUMBERVALUE(CompilDonnées[[#This Row],[FarmID]]&amp;CompilDonnées[[#This Row],[ModuleNumber]]&amp;CompilDonnées[[#This Row],[PlantationDate]])</f>
        <v>119545953</v>
      </c>
      <c r="O5469" t="str">
        <f>CompilDonnées[[#This Row],[FarmID]]&amp;CompilDonnées[[#This Row],[ModuleNumber]]</f>
        <v>1195</v>
      </c>
      <c r="P5469" t="str">
        <f>CompilDonnées[[#This Row],[Ref_Module]]&amp;CompilDonnées[[#This Row],[HarvestingDate]]</f>
        <v>119545999</v>
      </c>
    </row>
    <row r="5470" spans="1:16">
      <c r="A5470" s="5">
        <v>45953</v>
      </c>
      <c r="B5470">
        <v>120</v>
      </c>
      <c r="C5470" t="s">
        <v>100</v>
      </c>
      <c r="D5470">
        <v>1</v>
      </c>
      <c r="E5470">
        <v>100</v>
      </c>
      <c r="F5470" t="s">
        <v>1</v>
      </c>
      <c r="G5470" s="6">
        <v>45992</v>
      </c>
      <c r="H5470">
        <v>39</v>
      </c>
      <c r="I5470">
        <f>ROUND(CompilDonnées[[#This Row],[CultureDuration_days]]/7,0)</f>
        <v>6</v>
      </c>
      <c r="J5470">
        <v>4044</v>
      </c>
      <c r="K5470" t="str">
        <f>_xlfn.CONCAT(WEEKNUM(CompilDonnées[[#This Row],[PlantationDate]]), " ", YEAR(CompilDonnées[[#This Row],[PlantationDate]]))</f>
        <v>43 2025</v>
      </c>
      <c r="L5470" t="str">
        <f>CONCATENATE(MONTH(CompilDonnées[[#This Row],[PlantationDate]])," ", YEAR(CompilDonnées[[#This Row],[PlantationDate]]))</f>
        <v>10 2025</v>
      </c>
      <c r="M5470" t="str">
        <f>CONCATENATE(MONTH(CompilDonnées[[#This Row],[HarvestingDate]])," ", YEAR(CompilDonnées[[#This Row],[HarvestingDate]]))</f>
        <v>12 2025</v>
      </c>
      <c r="N5470">
        <f>_xlfn.NUMBERVALUE(CompilDonnées[[#This Row],[FarmID]]&amp;CompilDonnées[[#This Row],[ModuleNumber]]&amp;CompilDonnées[[#This Row],[PlantationDate]])</f>
        <v>120145953</v>
      </c>
      <c r="O5470" t="str">
        <f>CompilDonnées[[#This Row],[FarmID]]&amp;CompilDonnées[[#This Row],[ModuleNumber]]</f>
        <v>1201</v>
      </c>
      <c r="P5470" t="str">
        <f>CompilDonnées[[#This Row],[Ref_Module]]&amp;CompilDonnées[[#This Row],[HarvestingDate]]</f>
        <v>120145992</v>
      </c>
    </row>
    <row r="5471" spans="1:16">
      <c r="A5471" s="5">
        <v>45953</v>
      </c>
      <c r="B5471">
        <v>113</v>
      </c>
      <c r="C5471" t="s">
        <v>16</v>
      </c>
      <c r="D5471">
        <v>6</v>
      </c>
      <c r="E5471">
        <v>100</v>
      </c>
      <c r="F5471" t="s">
        <v>1</v>
      </c>
      <c r="G5471" s="6">
        <v>45999</v>
      </c>
      <c r="H5471">
        <v>46</v>
      </c>
      <c r="I5471">
        <f>ROUND(CompilDonnées[[#This Row],[CultureDuration_days]]/7,0)</f>
        <v>7</v>
      </c>
      <c r="J5471">
        <v>3710</v>
      </c>
      <c r="K5471" t="str">
        <f>_xlfn.CONCAT(WEEKNUM(CompilDonnées[[#This Row],[PlantationDate]]), " ", YEAR(CompilDonnées[[#This Row],[PlantationDate]]))</f>
        <v>43 2025</v>
      </c>
      <c r="L5471" t="str">
        <f>CONCATENATE(MONTH(CompilDonnées[[#This Row],[PlantationDate]])," ", YEAR(CompilDonnées[[#This Row],[PlantationDate]]))</f>
        <v>10 2025</v>
      </c>
      <c r="M5471" t="str">
        <f>CONCATENATE(MONTH(CompilDonnées[[#This Row],[HarvestingDate]])," ", YEAR(CompilDonnées[[#This Row],[HarvestingDate]]))</f>
        <v>12 2025</v>
      </c>
      <c r="N5471">
        <f>_xlfn.NUMBERVALUE(CompilDonnées[[#This Row],[FarmID]]&amp;CompilDonnées[[#This Row],[ModuleNumber]]&amp;CompilDonnées[[#This Row],[PlantationDate]])</f>
        <v>113645953</v>
      </c>
      <c r="O5471" t="str">
        <f>CompilDonnées[[#This Row],[FarmID]]&amp;CompilDonnées[[#This Row],[ModuleNumber]]</f>
        <v>1136</v>
      </c>
      <c r="P5471" t="str">
        <f>CompilDonnées[[#This Row],[Ref_Module]]&amp;CompilDonnées[[#This Row],[HarvestingDate]]</f>
        <v>113645999</v>
      </c>
    </row>
    <row r="5472" spans="1:16">
      <c r="A5472" s="5">
        <v>45953</v>
      </c>
      <c r="B5472">
        <v>104</v>
      </c>
      <c r="C5472" t="s">
        <v>91</v>
      </c>
      <c r="D5472">
        <v>5</v>
      </c>
      <c r="E5472">
        <v>100</v>
      </c>
      <c r="F5472" t="s">
        <v>1</v>
      </c>
      <c r="G5472" s="6">
        <v>45999</v>
      </c>
      <c r="H5472">
        <v>46</v>
      </c>
      <c r="I5472">
        <f>ROUND(CompilDonnées[[#This Row],[CultureDuration_days]]/7,0)</f>
        <v>7</v>
      </c>
      <c r="J5472">
        <v>1687</v>
      </c>
      <c r="K5472" t="str">
        <f>_xlfn.CONCAT(WEEKNUM(CompilDonnées[[#This Row],[PlantationDate]]), " ", YEAR(CompilDonnées[[#This Row],[PlantationDate]]))</f>
        <v>43 2025</v>
      </c>
      <c r="L5472" t="str">
        <f>CONCATENATE(MONTH(CompilDonnées[[#This Row],[PlantationDate]])," ", YEAR(CompilDonnées[[#This Row],[PlantationDate]]))</f>
        <v>10 2025</v>
      </c>
      <c r="M5472" t="str">
        <f>CONCATENATE(MONTH(CompilDonnées[[#This Row],[HarvestingDate]])," ", YEAR(CompilDonnées[[#This Row],[HarvestingDate]]))</f>
        <v>12 2025</v>
      </c>
      <c r="N5472">
        <f>_xlfn.NUMBERVALUE(CompilDonnées[[#This Row],[FarmID]]&amp;CompilDonnées[[#This Row],[ModuleNumber]]&amp;CompilDonnées[[#This Row],[PlantationDate]])</f>
        <v>104545953</v>
      </c>
      <c r="O5472" t="str">
        <f>CompilDonnées[[#This Row],[FarmID]]&amp;CompilDonnées[[#This Row],[ModuleNumber]]</f>
        <v>1045</v>
      </c>
      <c r="P5472" t="str">
        <f>CompilDonnées[[#This Row],[Ref_Module]]&amp;CompilDonnées[[#This Row],[HarvestingDate]]</f>
        <v>104545999</v>
      </c>
    </row>
    <row r="5473" spans="1:16">
      <c r="A5473" s="5">
        <v>45953</v>
      </c>
      <c r="B5473">
        <v>88</v>
      </c>
      <c r="C5473" t="s">
        <v>94</v>
      </c>
      <c r="D5473">
        <v>5</v>
      </c>
      <c r="E5473">
        <v>100</v>
      </c>
      <c r="F5473" t="s">
        <v>1</v>
      </c>
      <c r="G5473" s="6">
        <v>45993</v>
      </c>
      <c r="H5473">
        <v>40</v>
      </c>
      <c r="I5473">
        <f>ROUND(CompilDonnées[[#This Row],[CultureDuration_days]]/7,0)</f>
        <v>6</v>
      </c>
      <c r="J5473">
        <v>4125</v>
      </c>
      <c r="K5473" t="str">
        <f>_xlfn.CONCAT(WEEKNUM(CompilDonnées[[#This Row],[PlantationDate]]), " ", YEAR(CompilDonnées[[#This Row],[PlantationDate]]))</f>
        <v>43 2025</v>
      </c>
      <c r="L5473" t="str">
        <f>CONCATENATE(MONTH(CompilDonnées[[#This Row],[PlantationDate]])," ", YEAR(CompilDonnées[[#This Row],[PlantationDate]]))</f>
        <v>10 2025</v>
      </c>
      <c r="M5473" t="str">
        <f>CONCATENATE(MONTH(CompilDonnées[[#This Row],[HarvestingDate]])," ", YEAR(CompilDonnées[[#This Row],[HarvestingDate]]))</f>
        <v>12 2025</v>
      </c>
      <c r="N5473">
        <f>_xlfn.NUMBERVALUE(CompilDonnées[[#This Row],[FarmID]]&amp;CompilDonnées[[#This Row],[ModuleNumber]]&amp;CompilDonnées[[#This Row],[PlantationDate]])</f>
        <v>88545953</v>
      </c>
      <c r="O5473" t="str">
        <f>CompilDonnées[[#This Row],[FarmID]]&amp;CompilDonnées[[#This Row],[ModuleNumber]]</f>
        <v>885</v>
      </c>
      <c r="P5473" t="str">
        <f>CompilDonnées[[#This Row],[Ref_Module]]&amp;CompilDonnées[[#This Row],[HarvestingDate]]</f>
        <v>88545993</v>
      </c>
    </row>
    <row r="5474" spans="1:16">
      <c r="A5474" s="5">
        <v>45953</v>
      </c>
      <c r="B5474">
        <v>69</v>
      </c>
      <c r="C5474" t="s">
        <v>102</v>
      </c>
      <c r="D5474">
        <v>2</v>
      </c>
      <c r="E5474">
        <v>100</v>
      </c>
      <c r="F5474" t="s">
        <v>1</v>
      </c>
      <c r="G5474" s="6">
        <v>46001</v>
      </c>
      <c r="H5474">
        <v>48</v>
      </c>
      <c r="I5474">
        <f>ROUND(CompilDonnées[[#This Row],[CultureDuration_days]]/7,0)</f>
        <v>7</v>
      </c>
      <c r="J5474">
        <v>2653</v>
      </c>
      <c r="K5474" t="str">
        <f>_xlfn.CONCAT(WEEKNUM(CompilDonnées[[#This Row],[PlantationDate]]), " ", YEAR(CompilDonnées[[#This Row],[PlantationDate]]))</f>
        <v>43 2025</v>
      </c>
      <c r="L5474" t="str">
        <f>CONCATENATE(MONTH(CompilDonnées[[#This Row],[PlantationDate]])," ", YEAR(CompilDonnées[[#This Row],[PlantationDate]]))</f>
        <v>10 2025</v>
      </c>
      <c r="M5474" t="str">
        <f>CONCATENATE(MONTH(CompilDonnées[[#This Row],[HarvestingDate]])," ", YEAR(CompilDonnées[[#This Row],[HarvestingDate]]))</f>
        <v>12 2025</v>
      </c>
      <c r="N5474">
        <f>_xlfn.NUMBERVALUE(CompilDonnées[[#This Row],[FarmID]]&amp;CompilDonnées[[#This Row],[ModuleNumber]]&amp;CompilDonnées[[#This Row],[PlantationDate]])</f>
        <v>69245953</v>
      </c>
      <c r="O5474" t="str">
        <f>CompilDonnées[[#This Row],[FarmID]]&amp;CompilDonnées[[#This Row],[ModuleNumber]]</f>
        <v>692</v>
      </c>
      <c r="P5474" t="str">
        <f>CompilDonnées[[#This Row],[Ref_Module]]&amp;CompilDonnées[[#This Row],[HarvestingDate]]</f>
        <v>69246001</v>
      </c>
    </row>
    <row r="5475" spans="1:16">
      <c r="A5475" s="5">
        <v>45953</v>
      </c>
      <c r="B5475">
        <v>70</v>
      </c>
      <c r="C5475" t="s">
        <v>7</v>
      </c>
      <c r="D5475">
        <v>3</v>
      </c>
      <c r="E5475">
        <v>100</v>
      </c>
      <c r="F5475" t="s">
        <v>1</v>
      </c>
      <c r="G5475" s="6">
        <v>46000</v>
      </c>
      <c r="H5475">
        <v>47</v>
      </c>
      <c r="I5475">
        <f>ROUND(CompilDonnées[[#This Row],[CultureDuration_days]]/7,0)</f>
        <v>7</v>
      </c>
      <c r="J5475">
        <v>2250</v>
      </c>
      <c r="K5475" t="str">
        <f>_xlfn.CONCAT(WEEKNUM(CompilDonnées[[#This Row],[PlantationDate]]), " ", YEAR(CompilDonnées[[#This Row],[PlantationDate]]))</f>
        <v>43 2025</v>
      </c>
      <c r="L5475" t="str">
        <f>CONCATENATE(MONTH(CompilDonnées[[#This Row],[PlantationDate]])," ", YEAR(CompilDonnées[[#This Row],[PlantationDate]]))</f>
        <v>10 2025</v>
      </c>
      <c r="M5475" t="str">
        <f>CONCATENATE(MONTH(CompilDonnées[[#This Row],[HarvestingDate]])," ", YEAR(CompilDonnées[[#This Row],[HarvestingDate]]))</f>
        <v>12 2025</v>
      </c>
      <c r="N5475">
        <f>_xlfn.NUMBERVALUE(CompilDonnées[[#This Row],[FarmID]]&amp;CompilDonnées[[#This Row],[ModuleNumber]]&amp;CompilDonnées[[#This Row],[PlantationDate]])</f>
        <v>70345953</v>
      </c>
      <c r="O5475" t="str">
        <f>CompilDonnées[[#This Row],[FarmID]]&amp;CompilDonnées[[#This Row],[ModuleNumber]]</f>
        <v>703</v>
      </c>
      <c r="P5475" t="str">
        <f>CompilDonnées[[#This Row],[Ref_Module]]&amp;CompilDonnées[[#This Row],[HarvestingDate]]</f>
        <v>70346000</v>
      </c>
    </row>
    <row r="5476" spans="1:16">
      <c r="A5476" s="5">
        <v>45953</v>
      </c>
      <c r="B5476">
        <v>80</v>
      </c>
      <c r="C5476" t="s">
        <v>29</v>
      </c>
      <c r="D5476">
        <v>4</v>
      </c>
      <c r="E5476">
        <v>100</v>
      </c>
      <c r="F5476" t="s">
        <v>1</v>
      </c>
      <c r="G5476" s="6">
        <v>46000</v>
      </c>
      <c r="H5476">
        <v>47</v>
      </c>
      <c r="I5476">
        <f>ROUND(CompilDonnées[[#This Row],[CultureDuration_days]]/7,0)</f>
        <v>7</v>
      </c>
      <c r="J5476">
        <v>3902</v>
      </c>
      <c r="K5476" t="str">
        <f>_xlfn.CONCAT(WEEKNUM(CompilDonnées[[#This Row],[PlantationDate]]), " ", YEAR(CompilDonnées[[#This Row],[PlantationDate]]))</f>
        <v>43 2025</v>
      </c>
      <c r="L5476" t="str">
        <f>CONCATENATE(MONTH(CompilDonnées[[#This Row],[PlantationDate]])," ", YEAR(CompilDonnées[[#This Row],[PlantationDate]]))</f>
        <v>10 2025</v>
      </c>
      <c r="M5476" t="str">
        <f>CONCATENATE(MONTH(CompilDonnées[[#This Row],[HarvestingDate]])," ", YEAR(CompilDonnées[[#This Row],[HarvestingDate]]))</f>
        <v>12 2025</v>
      </c>
      <c r="N5476">
        <f>_xlfn.NUMBERVALUE(CompilDonnées[[#This Row],[FarmID]]&amp;CompilDonnées[[#This Row],[ModuleNumber]]&amp;CompilDonnées[[#This Row],[PlantationDate]])</f>
        <v>80445953</v>
      </c>
      <c r="O5476" t="str">
        <f>CompilDonnées[[#This Row],[FarmID]]&amp;CompilDonnées[[#This Row],[ModuleNumber]]</f>
        <v>804</v>
      </c>
      <c r="P5476" t="str">
        <f>CompilDonnées[[#This Row],[Ref_Module]]&amp;CompilDonnées[[#This Row],[HarvestingDate]]</f>
        <v>80446000</v>
      </c>
    </row>
    <row r="5477" spans="1:16">
      <c r="A5477" s="5">
        <v>45953</v>
      </c>
      <c r="B5477">
        <v>80</v>
      </c>
      <c r="C5477" t="s">
        <v>29</v>
      </c>
      <c r="D5477">
        <v>5</v>
      </c>
      <c r="E5477">
        <v>100</v>
      </c>
      <c r="F5477" t="s">
        <v>1</v>
      </c>
      <c r="G5477" s="6">
        <v>46000</v>
      </c>
      <c r="H5477">
        <v>47</v>
      </c>
      <c r="I5477">
        <f>ROUND(CompilDonnées[[#This Row],[CultureDuration_days]]/7,0)</f>
        <v>7</v>
      </c>
      <c r="J5477">
        <v>3997</v>
      </c>
      <c r="K5477" t="str">
        <f>_xlfn.CONCAT(WEEKNUM(CompilDonnées[[#This Row],[PlantationDate]]), " ", YEAR(CompilDonnées[[#This Row],[PlantationDate]]))</f>
        <v>43 2025</v>
      </c>
      <c r="L5477" t="str">
        <f>CONCATENATE(MONTH(CompilDonnées[[#This Row],[PlantationDate]])," ", YEAR(CompilDonnées[[#This Row],[PlantationDate]]))</f>
        <v>10 2025</v>
      </c>
      <c r="M5477" t="str">
        <f>CONCATENATE(MONTH(CompilDonnées[[#This Row],[HarvestingDate]])," ", YEAR(CompilDonnées[[#This Row],[HarvestingDate]]))</f>
        <v>12 2025</v>
      </c>
      <c r="N5477">
        <f>_xlfn.NUMBERVALUE(CompilDonnées[[#This Row],[FarmID]]&amp;CompilDonnées[[#This Row],[ModuleNumber]]&amp;CompilDonnées[[#This Row],[PlantationDate]])</f>
        <v>80545953</v>
      </c>
      <c r="O5477" t="str">
        <f>CompilDonnées[[#This Row],[FarmID]]&amp;CompilDonnées[[#This Row],[ModuleNumber]]</f>
        <v>805</v>
      </c>
      <c r="P5477" t="str">
        <f>CompilDonnées[[#This Row],[Ref_Module]]&amp;CompilDonnées[[#This Row],[HarvestingDate]]</f>
        <v>80546000</v>
      </c>
    </row>
    <row r="5478" spans="1:16">
      <c r="A5478" s="5">
        <v>45953</v>
      </c>
      <c r="B5478">
        <v>79</v>
      </c>
      <c r="C5478" t="s">
        <v>61</v>
      </c>
      <c r="D5478">
        <v>1</v>
      </c>
      <c r="E5478">
        <v>100</v>
      </c>
      <c r="F5478" t="s">
        <v>1</v>
      </c>
      <c r="G5478" s="6">
        <v>46001</v>
      </c>
      <c r="H5478">
        <v>48</v>
      </c>
      <c r="I5478">
        <f>ROUND(CompilDonnées[[#This Row],[CultureDuration_days]]/7,0)</f>
        <v>7</v>
      </c>
      <c r="J5478">
        <v>2695</v>
      </c>
      <c r="K5478" t="str">
        <f>_xlfn.CONCAT(WEEKNUM(CompilDonnées[[#This Row],[PlantationDate]]), " ", YEAR(CompilDonnées[[#This Row],[PlantationDate]]))</f>
        <v>43 2025</v>
      </c>
      <c r="L5478" t="str">
        <f>CONCATENATE(MONTH(CompilDonnées[[#This Row],[PlantationDate]])," ", YEAR(CompilDonnées[[#This Row],[PlantationDate]]))</f>
        <v>10 2025</v>
      </c>
      <c r="M5478" t="str">
        <f>CONCATENATE(MONTH(CompilDonnées[[#This Row],[HarvestingDate]])," ", YEAR(CompilDonnées[[#This Row],[HarvestingDate]]))</f>
        <v>12 2025</v>
      </c>
      <c r="N5478">
        <f>_xlfn.NUMBERVALUE(CompilDonnées[[#This Row],[FarmID]]&amp;CompilDonnées[[#This Row],[ModuleNumber]]&amp;CompilDonnées[[#This Row],[PlantationDate]])</f>
        <v>79145953</v>
      </c>
      <c r="O5478" t="str">
        <f>CompilDonnées[[#This Row],[FarmID]]&amp;CompilDonnées[[#This Row],[ModuleNumber]]</f>
        <v>791</v>
      </c>
      <c r="P5478" t="str">
        <f>CompilDonnées[[#This Row],[Ref_Module]]&amp;CompilDonnées[[#This Row],[HarvestingDate]]</f>
        <v>79146001</v>
      </c>
    </row>
    <row r="5479" spans="1:16">
      <c r="A5479" s="5">
        <v>45953</v>
      </c>
      <c r="B5479">
        <v>73</v>
      </c>
      <c r="C5479" t="s">
        <v>20</v>
      </c>
      <c r="D5479">
        <v>4</v>
      </c>
      <c r="E5479">
        <v>100</v>
      </c>
      <c r="F5479" t="s">
        <v>1</v>
      </c>
      <c r="G5479" s="6">
        <v>46000</v>
      </c>
      <c r="H5479">
        <v>47</v>
      </c>
      <c r="I5479">
        <f>ROUND(CompilDonnées[[#This Row],[CultureDuration_days]]/7,0)</f>
        <v>7</v>
      </c>
      <c r="J5479">
        <v>2887</v>
      </c>
      <c r="K5479" t="str">
        <f>_xlfn.CONCAT(WEEKNUM(CompilDonnées[[#This Row],[PlantationDate]]), " ", YEAR(CompilDonnées[[#This Row],[PlantationDate]]))</f>
        <v>43 2025</v>
      </c>
      <c r="L5479" t="str">
        <f>CONCATENATE(MONTH(CompilDonnées[[#This Row],[PlantationDate]])," ", YEAR(CompilDonnées[[#This Row],[PlantationDate]]))</f>
        <v>10 2025</v>
      </c>
      <c r="M5479" t="str">
        <f>CONCATENATE(MONTH(CompilDonnées[[#This Row],[HarvestingDate]])," ", YEAR(CompilDonnées[[#This Row],[HarvestingDate]]))</f>
        <v>12 2025</v>
      </c>
      <c r="N5479">
        <f>_xlfn.NUMBERVALUE(CompilDonnées[[#This Row],[FarmID]]&amp;CompilDonnées[[#This Row],[ModuleNumber]]&amp;CompilDonnées[[#This Row],[PlantationDate]])</f>
        <v>73445953</v>
      </c>
      <c r="O5479" t="str">
        <f>CompilDonnées[[#This Row],[FarmID]]&amp;CompilDonnées[[#This Row],[ModuleNumber]]</f>
        <v>734</v>
      </c>
      <c r="P5479" t="str">
        <f>CompilDonnées[[#This Row],[Ref_Module]]&amp;CompilDonnées[[#This Row],[HarvestingDate]]</f>
        <v>73446000</v>
      </c>
    </row>
    <row r="5480" spans="1:16">
      <c r="A5480" s="5">
        <v>45953</v>
      </c>
      <c r="B5480">
        <v>72</v>
      </c>
      <c r="C5480" t="s">
        <v>49</v>
      </c>
      <c r="D5480">
        <v>5</v>
      </c>
      <c r="E5480">
        <v>100</v>
      </c>
      <c r="F5480" t="s">
        <v>1</v>
      </c>
      <c r="G5480" s="6">
        <v>46000</v>
      </c>
      <c r="H5480">
        <v>47</v>
      </c>
      <c r="I5480">
        <f>ROUND(CompilDonnées[[#This Row],[CultureDuration_days]]/7,0)</f>
        <v>7</v>
      </c>
      <c r="J5480">
        <v>2376</v>
      </c>
      <c r="K5480" t="str">
        <f>_xlfn.CONCAT(WEEKNUM(CompilDonnées[[#This Row],[PlantationDate]]), " ", YEAR(CompilDonnées[[#This Row],[PlantationDate]]))</f>
        <v>43 2025</v>
      </c>
      <c r="L5480" t="str">
        <f>CONCATENATE(MONTH(CompilDonnées[[#This Row],[PlantationDate]])," ", YEAR(CompilDonnées[[#This Row],[PlantationDate]]))</f>
        <v>10 2025</v>
      </c>
      <c r="M5480" t="str">
        <f>CONCATENATE(MONTH(CompilDonnées[[#This Row],[HarvestingDate]])," ", YEAR(CompilDonnées[[#This Row],[HarvestingDate]]))</f>
        <v>12 2025</v>
      </c>
      <c r="N5480">
        <f>_xlfn.NUMBERVALUE(CompilDonnées[[#This Row],[FarmID]]&amp;CompilDonnées[[#This Row],[ModuleNumber]]&amp;CompilDonnées[[#This Row],[PlantationDate]])</f>
        <v>72545953</v>
      </c>
      <c r="O5480" t="str">
        <f>CompilDonnées[[#This Row],[FarmID]]&amp;CompilDonnées[[#This Row],[ModuleNumber]]</f>
        <v>725</v>
      </c>
      <c r="P5480" t="str">
        <f>CompilDonnées[[#This Row],[Ref_Module]]&amp;CompilDonnées[[#This Row],[HarvestingDate]]</f>
        <v>72546000</v>
      </c>
    </row>
    <row r="5481" spans="1:16">
      <c r="A5481" s="5">
        <v>45953</v>
      </c>
      <c r="B5481">
        <v>71</v>
      </c>
      <c r="C5481" t="s">
        <v>19</v>
      </c>
      <c r="D5481">
        <v>4</v>
      </c>
      <c r="E5481">
        <v>100</v>
      </c>
      <c r="F5481" t="s">
        <v>1</v>
      </c>
      <c r="G5481" s="6">
        <v>46000</v>
      </c>
      <c r="H5481">
        <v>47</v>
      </c>
      <c r="I5481">
        <f>ROUND(CompilDonnées[[#This Row],[CultureDuration_days]]/7,0)</f>
        <v>7</v>
      </c>
      <c r="J5481">
        <v>2308</v>
      </c>
      <c r="K5481" t="str">
        <f>_xlfn.CONCAT(WEEKNUM(CompilDonnées[[#This Row],[PlantationDate]]), " ", YEAR(CompilDonnées[[#This Row],[PlantationDate]]))</f>
        <v>43 2025</v>
      </c>
      <c r="L5481" t="str">
        <f>CONCATENATE(MONTH(CompilDonnées[[#This Row],[PlantationDate]])," ", YEAR(CompilDonnées[[#This Row],[PlantationDate]]))</f>
        <v>10 2025</v>
      </c>
      <c r="M5481" t="str">
        <f>CONCATENATE(MONTH(CompilDonnées[[#This Row],[HarvestingDate]])," ", YEAR(CompilDonnées[[#This Row],[HarvestingDate]]))</f>
        <v>12 2025</v>
      </c>
      <c r="N5481">
        <f>_xlfn.NUMBERVALUE(CompilDonnées[[#This Row],[FarmID]]&amp;CompilDonnées[[#This Row],[ModuleNumber]]&amp;CompilDonnées[[#This Row],[PlantationDate]])</f>
        <v>71445953</v>
      </c>
      <c r="O5481" t="str">
        <f>CompilDonnées[[#This Row],[FarmID]]&amp;CompilDonnées[[#This Row],[ModuleNumber]]</f>
        <v>714</v>
      </c>
      <c r="P5481" t="str">
        <f>CompilDonnées[[#This Row],[Ref_Module]]&amp;CompilDonnées[[#This Row],[HarvestingDate]]</f>
        <v>71446000</v>
      </c>
    </row>
    <row r="5482" spans="1:16">
      <c r="A5482" s="5">
        <v>45953</v>
      </c>
      <c r="B5482">
        <v>77</v>
      </c>
      <c r="C5482" t="s">
        <v>75</v>
      </c>
      <c r="D5482">
        <v>1</v>
      </c>
      <c r="E5482">
        <v>100</v>
      </c>
      <c r="F5482" t="s">
        <v>1</v>
      </c>
      <c r="G5482" s="6">
        <v>46000</v>
      </c>
      <c r="H5482">
        <v>47</v>
      </c>
      <c r="I5482">
        <f>ROUND(CompilDonnées[[#This Row],[CultureDuration_days]]/7,0)</f>
        <v>7</v>
      </c>
      <c r="J5482">
        <v>2768</v>
      </c>
      <c r="K5482" t="str">
        <f>_xlfn.CONCAT(WEEKNUM(CompilDonnées[[#This Row],[PlantationDate]]), " ", YEAR(CompilDonnées[[#This Row],[PlantationDate]]))</f>
        <v>43 2025</v>
      </c>
      <c r="L5482" t="str">
        <f>CONCATENATE(MONTH(CompilDonnées[[#This Row],[PlantationDate]])," ", YEAR(CompilDonnées[[#This Row],[PlantationDate]]))</f>
        <v>10 2025</v>
      </c>
      <c r="M5482" t="str">
        <f>CONCATENATE(MONTH(CompilDonnées[[#This Row],[HarvestingDate]])," ", YEAR(CompilDonnées[[#This Row],[HarvestingDate]]))</f>
        <v>12 2025</v>
      </c>
      <c r="N5482">
        <f>_xlfn.NUMBERVALUE(CompilDonnées[[#This Row],[FarmID]]&amp;CompilDonnées[[#This Row],[ModuleNumber]]&amp;CompilDonnées[[#This Row],[PlantationDate]])</f>
        <v>77145953</v>
      </c>
      <c r="O5482" t="str">
        <f>CompilDonnées[[#This Row],[FarmID]]&amp;CompilDonnées[[#This Row],[ModuleNumber]]</f>
        <v>771</v>
      </c>
      <c r="P5482" t="str">
        <f>CompilDonnées[[#This Row],[Ref_Module]]&amp;CompilDonnées[[#This Row],[HarvestingDate]]</f>
        <v>77146000</v>
      </c>
    </row>
    <row r="5483" spans="1:16">
      <c r="A5483" s="5">
        <v>45953</v>
      </c>
      <c r="B5483">
        <v>76</v>
      </c>
      <c r="C5483" t="s">
        <v>18</v>
      </c>
      <c r="D5483">
        <v>2</v>
      </c>
      <c r="E5483">
        <v>100</v>
      </c>
      <c r="F5483" t="s">
        <v>1</v>
      </c>
      <c r="G5483" s="6">
        <v>46003</v>
      </c>
      <c r="H5483">
        <v>50</v>
      </c>
      <c r="I5483">
        <f>ROUND(CompilDonnées[[#This Row],[CultureDuration_days]]/7,0)</f>
        <v>7</v>
      </c>
      <c r="J5483">
        <v>3611</v>
      </c>
      <c r="K5483" t="str">
        <f>_xlfn.CONCAT(WEEKNUM(CompilDonnées[[#This Row],[PlantationDate]]), " ", YEAR(CompilDonnées[[#This Row],[PlantationDate]]))</f>
        <v>43 2025</v>
      </c>
      <c r="L5483" t="str">
        <f>CONCATENATE(MONTH(CompilDonnées[[#This Row],[PlantationDate]])," ", YEAR(CompilDonnées[[#This Row],[PlantationDate]]))</f>
        <v>10 2025</v>
      </c>
      <c r="M5483" t="str">
        <f>CONCATENATE(MONTH(CompilDonnées[[#This Row],[HarvestingDate]])," ", YEAR(CompilDonnées[[#This Row],[HarvestingDate]]))</f>
        <v>12 2025</v>
      </c>
      <c r="N5483">
        <f>_xlfn.NUMBERVALUE(CompilDonnées[[#This Row],[FarmID]]&amp;CompilDonnées[[#This Row],[ModuleNumber]]&amp;CompilDonnées[[#This Row],[PlantationDate]])</f>
        <v>76245953</v>
      </c>
      <c r="O5483" t="str">
        <f>CompilDonnées[[#This Row],[FarmID]]&amp;CompilDonnées[[#This Row],[ModuleNumber]]</f>
        <v>762</v>
      </c>
      <c r="P5483" t="str">
        <f>CompilDonnées[[#This Row],[Ref_Module]]&amp;CompilDonnées[[#This Row],[HarvestingDate]]</f>
        <v>76246003</v>
      </c>
    </row>
    <row r="5484" spans="1:16">
      <c r="A5484" s="5">
        <v>45953</v>
      </c>
      <c r="B5484">
        <v>68</v>
      </c>
      <c r="C5484" t="s">
        <v>89</v>
      </c>
      <c r="D5484">
        <v>6</v>
      </c>
      <c r="E5484">
        <v>100</v>
      </c>
      <c r="F5484" t="s">
        <v>1</v>
      </c>
      <c r="G5484" s="6">
        <v>46001</v>
      </c>
      <c r="H5484">
        <v>48</v>
      </c>
      <c r="I5484">
        <f>ROUND(CompilDonnées[[#This Row],[CultureDuration_days]]/7,0)</f>
        <v>7</v>
      </c>
      <c r="J5484">
        <v>4019</v>
      </c>
      <c r="K5484" t="str">
        <f>_xlfn.CONCAT(WEEKNUM(CompilDonnées[[#This Row],[PlantationDate]]), " ", YEAR(CompilDonnées[[#This Row],[PlantationDate]]))</f>
        <v>43 2025</v>
      </c>
      <c r="L5484" t="str">
        <f>CONCATENATE(MONTH(CompilDonnées[[#This Row],[PlantationDate]])," ", YEAR(CompilDonnées[[#This Row],[PlantationDate]]))</f>
        <v>10 2025</v>
      </c>
      <c r="M5484" t="str">
        <f>CONCATENATE(MONTH(CompilDonnées[[#This Row],[HarvestingDate]])," ", YEAR(CompilDonnées[[#This Row],[HarvestingDate]]))</f>
        <v>12 2025</v>
      </c>
      <c r="N5484">
        <f>_xlfn.NUMBERVALUE(CompilDonnées[[#This Row],[FarmID]]&amp;CompilDonnées[[#This Row],[ModuleNumber]]&amp;CompilDonnées[[#This Row],[PlantationDate]])</f>
        <v>68645953</v>
      </c>
      <c r="O5484" t="str">
        <f>CompilDonnées[[#This Row],[FarmID]]&amp;CompilDonnées[[#This Row],[ModuleNumber]]</f>
        <v>686</v>
      </c>
      <c r="P5484" t="str">
        <f>CompilDonnées[[#This Row],[Ref_Module]]&amp;CompilDonnées[[#This Row],[HarvestingDate]]</f>
        <v>68646001</v>
      </c>
    </row>
    <row r="5485" spans="1:16">
      <c r="A5485" s="5">
        <v>45953</v>
      </c>
      <c r="B5485">
        <v>67</v>
      </c>
      <c r="C5485" t="s">
        <v>28</v>
      </c>
      <c r="D5485">
        <v>5</v>
      </c>
      <c r="E5485">
        <v>100</v>
      </c>
      <c r="F5485" t="s">
        <v>1</v>
      </c>
      <c r="G5485" s="6">
        <v>46001</v>
      </c>
      <c r="H5485">
        <v>48</v>
      </c>
      <c r="I5485">
        <f>ROUND(CompilDonnées[[#This Row],[CultureDuration_days]]/7,0)</f>
        <v>7</v>
      </c>
      <c r="J5485">
        <v>3217</v>
      </c>
      <c r="K5485" t="str">
        <f>_xlfn.CONCAT(WEEKNUM(CompilDonnées[[#This Row],[PlantationDate]]), " ", YEAR(CompilDonnées[[#This Row],[PlantationDate]]))</f>
        <v>43 2025</v>
      </c>
      <c r="L5485" t="str">
        <f>CONCATENATE(MONTH(CompilDonnées[[#This Row],[PlantationDate]])," ", YEAR(CompilDonnées[[#This Row],[PlantationDate]]))</f>
        <v>10 2025</v>
      </c>
      <c r="M5485" t="str">
        <f>CONCATENATE(MONTH(CompilDonnées[[#This Row],[HarvestingDate]])," ", YEAR(CompilDonnées[[#This Row],[HarvestingDate]]))</f>
        <v>12 2025</v>
      </c>
      <c r="N5485">
        <f>_xlfn.NUMBERVALUE(CompilDonnées[[#This Row],[FarmID]]&amp;CompilDonnées[[#This Row],[ModuleNumber]]&amp;CompilDonnées[[#This Row],[PlantationDate]])</f>
        <v>67545953</v>
      </c>
      <c r="O5485" t="str">
        <f>CompilDonnées[[#This Row],[FarmID]]&amp;CompilDonnées[[#This Row],[ModuleNumber]]</f>
        <v>675</v>
      </c>
      <c r="P5485" t="str">
        <f>CompilDonnées[[#This Row],[Ref_Module]]&amp;CompilDonnées[[#This Row],[HarvestingDate]]</f>
        <v>67546001</v>
      </c>
    </row>
    <row r="5486" spans="1:16">
      <c r="A5486" s="5">
        <v>45953</v>
      </c>
      <c r="B5486">
        <v>66</v>
      </c>
      <c r="C5486" t="s">
        <v>48</v>
      </c>
      <c r="D5486">
        <v>6</v>
      </c>
      <c r="E5486">
        <v>100</v>
      </c>
      <c r="F5486" t="s">
        <v>1</v>
      </c>
      <c r="G5486" s="6">
        <v>46001</v>
      </c>
      <c r="H5486">
        <v>48</v>
      </c>
      <c r="I5486">
        <f>ROUND(CompilDonnées[[#This Row],[CultureDuration_days]]/7,0)</f>
        <v>7</v>
      </c>
      <c r="J5486">
        <v>3048</v>
      </c>
      <c r="K5486" t="str">
        <f>_xlfn.CONCAT(WEEKNUM(CompilDonnées[[#This Row],[PlantationDate]]), " ", YEAR(CompilDonnées[[#This Row],[PlantationDate]]))</f>
        <v>43 2025</v>
      </c>
      <c r="L5486" t="str">
        <f>CONCATENATE(MONTH(CompilDonnées[[#This Row],[PlantationDate]])," ", YEAR(CompilDonnées[[#This Row],[PlantationDate]]))</f>
        <v>10 2025</v>
      </c>
      <c r="M5486" t="str">
        <f>CONCATENATE(MONTH(CompilDonnées[[#This Row],[HarvestingDate]])," ", YEAR(CompilDonnées[[#This Row],[HarvestingDate]]))</f>
        <v>12 2025</v>
      </c>
      <c r="N5486">
        <f>_xlfn.NUMBERVALUE(CompilDonnées[[#This Row],[FarmID]]&amp;CompilDonnées[[#This Row],[ModuleNumber]]&amp;CompilDonnées[[#This Row],[PlantationDate]])</f>
        <v>66645953</v>
      </c>
      <c r="O5486" t="str">
        <f>CompilDonnées[[#This Row],[FarmID]]&amp;CompilDonnées[[#This Row],[ModuleNumber]]</f>
        <v>666</v>
      </c>
      <c r="P5486" t="str">
        <f>CompilDonnées[[#This Row],[Ref_Module]]&amp;CompilDonnées[[#This Row],[HarvestingDate]]</f>
        <v>66646001</v>
      </c>
    </row>
    <row r="5487" spans="1:16">
      <c r="A5487" s="5">
        <v>45953</v>
      </c>
      <c r="B5487">
        <v>65</v>
      </c>
      <c r="C5487" t="s">
        <v>36</v>
      </c>
      <c r="D5487">
        <v>6</v>
      </c>
      <c r="E5487">
        <v>100</v>
      </c>
      <c r="F5487" t="s">
        <v>1</v>
      </c>
      <c r="G5487" s="6">
        <v>46001</v>
      </c>
      <c r="H5487">
        <v>48</v>
      </c>
      <c r="I5487">
        <f>ROUND(CompilDonnées[[#This Row],[CultureDuration_days]]/7,0)</f>
        <v>7</v>
      </c>
      <c r="J5487">
        <v>2860</v>
      </c>
      <c r="K5487" t="str">
        <f>_xlfn.CONCAT(WEEKNUM(CompilDonnées[[#This Row],[PlantationDate]]), " ", YEAR(CompilDonnées[[#This Row],[PlantationDate]]))</f>
        <v>43 2025</v>
      </c>
      <c r="L5487" t="str">
        <f>CONCATENATE(MONTH(CompilDonnées[[#This Row],[PlantationDate]])," ", YEAR(CompilDonnées[[#This Row],[PlantationDate]]))</f>
        <v>10 2025</v>
      </c>
      <c r="M5487" t="str">
        <f>CONCATENATE(MONTH(CompilDonnées[[#This Row],[HarvestingDate]])," ", YEAR(CompilDonnées[[#This Row],[HarvestingDate]]))</f>
        <v>12 2025</v>
      </c>
      <c r="N5487">
        <f>_xlfn.NUMBERVALUE(CompilDonnées[[#This Row],[FarmID]]&amp;CompilDonnées[[#This Row],[ModuleNumber]]&amp;CompilDonnées[[#This Row],[PlantationDate]])</f>
        <v>65645953</v>
      </c>
      <c r="O5487" t="str">
        <f>CompilDonnées[[#This Row],[FarmID]]&amp;CompilDonnées[[#This Row],[ModuleNumber]]</f>
        <v>656</v>
      </c>
      <c r="P5487" t="str">
        <f>CompilDonnées[[#This Row],[Ref_Module]]&amp;CompilDonnées[[#This Row],[HarvestingDate]]</f>
        <v>65646001</v>
      </c>
    </row>
    <row r="5488" spans="1:16">
      <c r="A5488" s="5">
        <v>45953</v>
      </c>
      <c r="B5488">
        <v>64</v>
      </c>
      <c r="C5488" t="s">
        <v>47</v>
      </c>
      <c r="D5488">
        <v>6</v>
      </c>
      <c r="E5488">
        <v>100</v>
      </c>
      <c r="F5488" t="s">
        <v>1</v>
      </c>
      <c r="G5488" s="6">
        <v>46001</v>
      </c>
      <c r="H5488">
        <v>48</v>
      </c>
      <c r="I5488">
        <f>ROUND(CompilDonnées[[#This Row],[CultureDuration_days]]/7,0)</f>
        <v>7</v>
      </c>
      <c r="J5488">
        <v>2490</v>
      </c>
      <c r="K5488" t="str">
        <f>_xlfn.CONCAT(WEEKNUM(CompilDonnées[[#This Row],[PlantationDate]]), " ", YEAR(CompilDonnées[[#This Row],[PlantationDate]]))</f>
        <v>43 2025</v>
      </c>
      <c r="L5488" t="str">
        <f>CONCATENATE(MONTH(CompilDonnées[[#This Row],[PlantationDate]])," ", YEAR(CompilDonnées[[#This Row],[PlantationDate]]))</f>
        <v>10 2025</v>
      </c>
      <c r="M5488" t="str">
        <f>CONCATENATE(MONTH(CompilDonnées[[#This Row],[HarvestingDate]])," ", YEAR(CompilDonnées[[#This Row],[HarvestingDate]]))</f>
        <v>12 2025</v>
      </c>
      <c r="N5488">
        <f>_xlfn.NUMBERVALUE(CompilDonnées[[#This Row],[FarmID]]&amp;CompilDonnées[[#This Row],[ModuleNumber]]&amp;CompilDonnées[[#This Row],[PlantationDate]])</f>
        <v>64645953</v>
      </c>
      <c r="O5488" t="str">
        <f>CompilDonnées[[#This Row],[FarmID]]&amp;CompilDonnées[[#This Row],[ModuleNumber]]</f>
        <v>646</v>
      </c>
      <c r="P5488" t="str">
        <f>CompilDonnées[[#This Row],[Ref_Module]]&amp;CompilDonnées[[#This Row],[HarvestingDate]]</f>
        <v>64646001</v>
      </c>
    </row>
    <row r="5489" spans="1:16">
      <c r="A5489" s="5">
        <v>45953</v>
      </c>
      <c r="B5489">
        <v>59</v>
      </c>
      <c r="C5489" t="s">
        <v>64</v>
      </c>
      <c r="D5489">
        <v>2</v>
      </c>
      <c r="E5489">
        <v>100</v>
      </c>
      <c r="F5489" t="s">
        <v>1</v>
      </c>
      <c r="G5489" s="6">
        <v>46001</v>
      </c>
      <c r="H5489">
        <v>48</v>
      </c>
      <c r="I5489">
        <f>ROUND(CompilDonnées[[#This Row],[CultureDuration_days]]/7,0)</f>
        <v>7</v>
      </c>
      <c r="J5489">
        <v>3740</v>
      </c>
      <c r="K5489" t="str">
        <f>_xlfn.CONCAT(WEEKNUM(CompilDonnées[[#This Row],[PlantationDate]]), " ", YEAR(CompilDonnées[[#This Row],[PlantationDate]]))</f>
        <v>43 2025</v>
      </c>
      <c r="L5489" t="str">
        <f>CONCATENATE(MONTH(CompilDonnées[[#This Row],[PlantationDate]])," ", YEAR(CompilDonnées[[#This Row],[PlantationDate]]))</f>
        <v>10 2025</v>
      </c>
      <c r="M5489" t="str">
        <f>CONCATENATE(MONTH(CompilDonnées[[#This Row],[HarvestingDate]])," ", YEAR(CompilDonnées[[#This Row],[HarvestingDate]]))</f>
        <v>12 2025</v>
      </c>
      <c r="N5489">
        <f>_xlfn.NUMBERVALUE(CompilDonnées[[#This Row],[FarmID]]&amp;CompilDonnées[[#This Row],[ModuleNumber]]&amp;CompilDonnées[[#This Row],[PlantationDate]])</f>
        <v>59245953</v>
      </c>
      <c r="O5489" t="str">
        <f>CompilDonnées[[#This Row],[FarmID]]&amp;CompilDonnées[[#This Row],[ModuleNumber]]</f>
        <v>592</v>
      </c>
      <c r="P5489" t="str">
        <f>CompilDonnées[[#This Row],[Ref_Module]]&amp;CompilDonnées[[#This Row],[HarvestingDate]]</f>
        <v>59246001</v>
      </c>
    </row>
    <row r="5490" spans="1:16">
      <c r="A5490" s="5">
        <v>45953</v>
      </c>
      <c r="B5490">
        <v>57</v>
      </c>
      <c r="C5490" t="s">
        <v>46</v>
      </c>
      <c r="D5490">
        <v>2</v>
      </c>
      <c r="E5490">
        <v>100</v>
      </c>
      <c r="F5490" t="s">
        <v>1</v>
      </c>
      <c r="G5490" s="6">
        <v>46001</v>
      </c>
      <c r="H5490">
        <v>48</v>
      </c>
      <c r="I5490">
        <f>ROUND(CompilDonnées[[#This Row],[CultureDuration_days]]/7,0)</f>
        <v>7</v>
      </c>
      <c r="J5490">
        <v>2455</v>
      </c>
      <c r="K5490" t="str">
        <f>_xlfn.CONCAT(WEEKNUM(CompilDonnées[[#This Row],[PlantationDate]]), " ", YEAR(CompilDonnées[[#This Row],[PlantationDate]]))</f>
        <v>43 2025</v>
      </c>
      <c r="L5490" t="str">
        <f>CONCATENATE(MONTH(CompilDonnées[[#This Row],[PlantationDate]])," ", YEAR(CompilDonnées[[#This Row],[PlantationDate]]))</f>
        <v>10 2025</v>
      </c>
      <c r="M5490" t="str">
        <f>CONCATENATE(MONTH(CompilDonnées[[#This Row],[HarvestingDate]])," ", YEAR(CompilDonnées[[#This Row],[HarvestingDate]]))</f>
        <v>12 2025</v>
      </c>
      <c r="N5490">
        <f>_xlfn.NUMBERVALUE(CompilDonnées[[#This Row],[FarmID]]&amp;CompilDonnées[[#This Row],[ModuleNumber]]&amp;CompilDonnées[[#This Row],[PlantationDate]])</f>
        <v>57245953</v>
      </c>
      <c r="O5490" t="str">
        <f>CompilDonnées[[#This Row],[FarmID]]&amp;CompilDonnées[[#This Row],[ModuleNumber]]</f>
        <v>572</v>
      </c>
      <c r="P5490" t="str">
        <f>CompilDonnées[[#This Row],[Ref_Module]]&amp;CompilDonnées[[#This Row],[HarvestingDate]]</f>
        <v>57246001</v>
      </c>
    </row>
    <row r="5491" spans="1:16">
      <c r="A5491" s="5">
        <v>45954</v>
      </c>
      <c r="B5491">
        <v>17</v>
      </c>
      <c r="C5491" t="s">
        <v>80</v>
      </c>
      <c r="D5491">
        <v>2</v>
      </c>
      <c r="E5491">
        <v>100</v>
      </c>
      <c r="F5491" t="s">
        <v>1</v>
      </c>
      <c r="G5491" s="6">
        <v>46002</v>
      </c>
      <c r="H5491">
        <v>48</v>
      </c>
      <c r="I5491">
        <f>ROUND(CompilDonnées[[#This Row],[CultureDuration_days]]/7,0)</f>
        <v>7</v>
      </c>
      <c r="J5491">
        <v>2470</v>
      </c>
      <c r="K5491" t="str">
        <f>_xlfn.CONCAT(WEEKNUM(CompilDonnées[[#This Row],[PlantationDate]]), " ", YEAR(CompilDonnées[[#This Row],[PlantationDate]]))</f>
        <v>43 2025</v>
      </c>
      <c r="L5491" t="str">
        <f>CONCATENATE(MONTH(CompilDonnées[[#This Row],[PlantationDate]])," ", YEAR(CompilDonnées[[#This Row],[PlantationDate]]))</f>
        <v>10 2025</v>
      </c>
      <c r="M5491" t="str">
        <f>CONCATENATE(MONTH(CompilDonnées[[#This Row],[HarvestingDate]])," ", YEAR(CompilDonnées[[#This Row],[HarvestingDate]]))</f>
        <v>12 2025</v>
      </c>
      <c r="N5491">
        <f>_xlfn.NUMBERVALUE(CompilDonnées[[#This Row],[FarmID]]&amp;CompilDonnées[[#This Row],[ModuleNumber]]&amp;CompilDonnées[[#This Row],[PlantationDate]])</f>
        <v>17245954</v>
      </c>
      <c r="O5491" t="str">
        <f>CompilDonnées[[#This Row],[FarmID]]&amp;CompilDonnées[[#This Row],[ModuleNumber]]</f>
        <v>172</v>
      </c>
      <c r="P5491" t="str">
        <f>CompilDonnées[[#This Row],[Ref_Module]]&amp;CompilDonnées[[#This Row],[HarvestingDate]]</f>
        <v>17246002</v>
      </c>
    </row>
    <row r="5492" spans="1:16">
      <c r="A5492" s="5">
        <v>45954</v>
      </c>
      <c r="B5492">
        <v>17</v>
      </c>
      <c r="C5492" t="s">
        <v>80</v>
      </c>
      <c r="D5492">
        <v>5</v>
      </c>
      <c r="E5492">
        <v>100</v>
      </c>
      <c r="F5492" t="s">
        <v>1</v>
      </c>
      <c r="G5492" s="6">
        <v>46002</v>
      </c>
      <c r="H5492">
        <v>48</v>
      </c>
      <c r="I5492">
        <f>ROUND(CompilDonnées[[#This Row],[CultureDuration_days]]/7,0)</f>
        <v>7</v>
      </c>
      <c r="J5492">
        <v>2709</v>
      </c>
      <c r="K5492" t="str">
        <f>_xlfn.CONCAT(WEEKNUM(CompilDonnées[[#This Row],[PlantationDate]]), " ", YEAR(CompilDonnées[[#This Row],[PlantationDate]]))</f>
        <v>43 2025</v>
      </c>
      <c r="L5492" t="str">
        <f>CONCATENATE(MONTH(CompilDonnées[[#This Row],[PlantationDate]])," ", YEAR(CompilDonnées[[#This Row],[PlantationDate]]))</f>
        <v>10 2025</v>
      </c>
      <c r="M5492" t="str">
        <f>CONCATENATE(MONTH(CompilDonnées[[#This Row],[HarvestingDate]])," ", YEAR(CompilDonnées[[#This Row],[HarvestingDate]]))</f>
        <v>12 2025</v>
      </c>
      <c r="N5492">
        <f>_xlfn.NUMBERVALUE(CompilDonnées[[#This Row],[FarmID]]&amp;CompilDonnées[[#This Row],[ModuleNumber]]&amp;CompilDonnées[[#This Row],[PlantationDate]])</f>
        <v>17545954</v>
      </c>
      <c r="O5492" t="str">
        <f>CompilDonnées[[#This Row],[FarmID]]&amp;CompilDonnées[[#This Row],[ModuleNumber]]</f>
        <v>175</v>
      </c>
      <c r="P5492" t="str">
        <f>CompilDonnées[[#This Row],[Ref_Module]]&amp;CompilDonnées[[#This Row],[HarvestingDate]]</f>
        <v>17546002</v>
      </c>
    </row>
    <row r="5493" spans="1:16">
      <c r="A5493" s="5">
        <v>45954</v>
      </c>
      <c r="B5493">
        <v>16</v>
      </c>
      <c r="C5493" t="s">
        <v>112</v>
      </c>
      <c r="D5493">
        <v>4</v>
      </c>
      <c r="E5493">
        <v>100</v>
      </c>
      <c r="F5493" t="s">
        <v>1</v>
      </c>
      <c r="G5493" s="6">
        <v>46002</v>
      </c>
      <c r="H5493">
        <v>48</v>
      </c>
      <c r="I5493">
        <f>ROUND(CompilDonnées[[#This Row],[CultureDuration_days]]/7,0)</f>
        <v>7</v>
      </c>
      <c r="J5493">
        <v>2015</v>
      </c>
      <c r="K5493" t="str">
        <f>_xlfn.CONCAT(WEEKNUM(CompilDonnées[[#This Row],[PlantationDate]]), " ", YEAR(CompilDonnées[[#This Row],[PlantationDate]]))</f>
        <v>43 2025</v>
      </c>
      <c r="L5493" t="str">
        <f>CONCATENATE(MONTH(CompilDonnées[[#This Row],[PlantationDate]])," ", YEAR(CompilDonnées[[#This Row],[PlantationDate]]))</f>
        <v>10 2025</v>
      </c>
      <c r="M5493" t="str">
        <f>CONCATENATE(MONTH(CompilDonnées[[#This Row],[HarvestingDate]])," ", YEAR(CompilDonnées[[#This Row],[HarvestingDate]]))</f>
        <v>12 2025</v>
      </c>
      <c r="N5493">
        <f>_xlfn.NUMBERVALUE(CompilDonnées[[#This Row],[FarmID]]&amp;CompilDonnées[[#This Row],[ModuleNumber]]&amp;CompilDonnées[[#This Row],[PlantationDate]])</f>
        <v>16445954</v>
      </c>
      <c r="O5493" t="str">
        <f>CompilDonnées[[#This Row],[FarmID]]&amp;CompilDonnées[[#This Row],[ModuleNumber]]</f>
        <v>164</v>
      </c>
      <c r="P5493" t="str">
        <f>CompilDonnées[[#This Row],[Ref_Module]]&amp;CompilDonnées[[#This Row],[HarvestingDate]]</f>
        <v>16446002</v>
      </c>
    </row>
    <row r="5494" spans="1:16">
      <c r="A5494" s="5">
        <v>45954</v>
      </c>
      <c r="B5494">
        <v>31</v>
      </c>
      <c r="C5494" t="s">
        <v>62</v>
      </c>
      <c r="D5494">
        <v>2</v>
      </c>
      <c r="E5494">
        <v>100</v>
      </c>
      <c r="F5494" t="s">
        <v>1</v>
      </c>
      <c r="G5494" s="6">
        <v>46002</v>
      </c>
      <c r="H5494">
        <v>48</v>
      </c>
      <c r="I5494">
        <f>ROUND(CompilDonnées[[#This Row],[CultureDuration_days]]/7,0)</f>
        <v>7</v>
      </c>
      <c r="J5494">
        <v>2566</v>
      </c>
      <c r="K5494" t="str">
        <f>_xlfn.CONCAT(WEEKNUM(CompilDonnées[[#This Row],[PlantationDate]]), " ", YEAR(CompilDonnées[[#This Row],[PlantationDate]]))</f>
        <v>43 2025</v>
      </c>
      <c r="L5494" t="str">
        <f>CONCATENATE(MONTH(CompilDonnées[[#This Row],[PlantationDate]])," ", YEAR(CompilDonnées[[#This Row],[PlantationDate]]))</f>
        <v>10 2025</v>
      </c>
      <c r="M5494" t="str">
        <f>CONCATENATE(MONTH(CompilDonnées[[#This Row],[HarvestingDate]])," ", YEAR(CompilDonnées[[#This Row],[HarvestingDate]]))</f>
        <v>12 2025</v>
      </c>
      <c r="N5494">
        <f>_xlfn.NUMBERVALUE(CompilDonnées[[#This Row],[FarmID]]&amp;CompilDonnées[[#This Row],[ModuleNumber]]&amp;CompilDonnées[[#This Row],[PlantationDate]])</f>
        <v>31245954</v>
      </c>
      <c r="O5494" t="str">
        <f>CompilDonnées[[#This Row],[FarmID]]&amp;CompilDonnées[[#This Row],[ModuleNumber]]</f>
        <v>312</v>
      </c>
      <c r="P5494" t="str">
        <f>CompilDonnées[[#This Row],[Ref_Module]]&amp;CompilDonnées[[#This Row],[HarvestingDate]]</f>
        <v>31246002</v>
      </c>
    </row>
    <row r="5495" spans="1:16">
      <c r="A5495" s="5">
        <v>45954</v>
      </c>
      <c r="B5495">
        <v>37</v>
      </c>
      <c r="C5495" t="s">
        <v>26</v>
      </c>
      <c r="D5495">
        <v>3</v>
      </c>
      <c r="E5495">
        <v>100</v>
      </c>
      <c r="F5495" t="s">
        <v>1</v>
      </c>
      <c r="G5495" s="6">
        <v>46002</v>
      </c>
      <c r="H5495">
        <v>48</v>
      </c>
      <c r="I5495">
        <f>ROUND(CompilDonnées[[#This Row],[CultureDuration_days]]/7,0)</f>
        <v>7</v>
      </c>
      <c r="J5495">
        <v>2668</v>
      </c>
      <c r="K5495" t="str">
        <f>_xlfn.CONCAT(WEEKNUM(CompilDonnées[[#This Row],[PlantationDate]]), " ", YEAR(CompilDonnées[[#This Row],[PlantationDate]]))</f>
        <v>43 2025</v>
      </c>
      <c r="L5495" t="str">
        <f>CONCATENATE(MONTH(CompilDonnées[[#This Row],[PlantationDate]])," ", YEAR(CompilDonnées[[#This Row],[PlantationDate]]))</f>
        <v>10 2025</v>
      </c>
      <c r="M5495" t="str">
        <f>CONCATENATE(MONTH(CompilDonnées[[#This Row],[HarvestingDate]])," ", YEAR(CompilDonnées[[#This Row],[HarvestingDate]]))</f>
        <v>12 2025</v>
      </c>
      <c r="N5495">
        <f>_xlfn.NUMBERVALUE(CompilDonnées[[#This Row],[FarmID]]&amp;CompilDonnées[[#This Row],[ModuleNumber]]&amp;CompilDonnées[[#This Row],[PlantationDate]])</f>
        <v>37345954</v>
      </c>
      <c r="O5495" t="str">
        <f>CompilDonnées[[#This Row],[FarmID]]&amp;CompilDonnées[[#This Row],[ModuleNumber]]</f>
        <v>373</v>
      </c>
      <c r="P5495" t="str">
        <f>CompilDonnées[[#This Row],[Ref_Module]]&amp;CompilDonnées[[#This Row],[HarvestingDate]]</f>
        <v>37346002</v>
      </c>
    </row>
    <row r="5496" spans="1:16">
      <c r="A5496" s="5">
        <v>45954</v>
      </c>
      <c r="B5496">
        <v>36</v>
      </c>
      <c r="C5496" t="s">
        <v>63</v>
      </c>
      <c r="D5496">
        <v>3</v>
      </c>
      <c r="E5496">
        <v>100</v>
      </c>
      <c r="F5496" t="s">
        <v>1</v>
      </c>
      <c r="G5496" s="6">
        <v>46002</v>
      </c>
      <c r="H5496">
        <v>48</v>
      </c>
      <c r="I5496">
        <f>ROUND(CompilDonnées[[#This Row],[CultureDuration_days]]/7,0)</f>
        <v>7</v>
      </c>
      <c r="J5496">
        <v>2073</v>
      </c>
      <c r="K5496" t="str">
        <f>_xlfn.CONCAT(WEEKNUM(CompilDonnées[[#This Row],[PlantationDate]]), " ", YEAR(CompilDonnées[[#This Row],[PlantationDate]]))</f>
        <v>43 2025</v>
      </c>
      <c r="L5496" t="str">
        <f>CONCATENATE(MONTH(CompilDonnées[[#This Row],[PlantationDate]])," ", YEAR(CompilDonnées[[#This Row],[PlantationDate]]))</f>
        <v>10 2025</v>
      </c>
      <c r="M5496" t="str">
        <f>CONCATENATE(MONTH(CompilDonnées[[#This Row],[HarvestingDate]])," ", YEAR(CompilDonnées[[#This Row],[HarvestingDate]]))</f>
        <v>12 2025</v>
      </c>
      <c r="N5496">
        <f>_xlfn.NUMBERVALUE(CompilDonnées[[#This Row],[FarmID]]&amp;CompilDonnées[[#This Row],[ModuleNumber]]&amp;CompilDonnées[[#This Row],[PlantationDate]])</f>
        <v>36345954</v>
      </c>
      <c r="O5496" t="str">
        <f>CompilDonnées[[#This Row],[FarmID]]&amp;CompilDonnées[[#This Row],[ModuleNumber]]</f>
        <v>363</v>
      </c>
      <c r="P5496" t="str">
        <f>CompilDonnées[[#This Row],[Ref_Module]]&amp;CompilDonnées[[#This Row],[HarvestingDate]]</f>
        <v>36346002</v>
      </c>
    </row>
    <row r="5497" spans="1:16">
      <c r="A5497" s="5">
        <v>45954</v>
      </c>
      <c r="B5497">
        <v>45</v>
      </c>
      <c r="C5497" t="s">
        <v>77</v>
      </c>
      <c r="D5497">
        <v>4</v>
      </c>
      <c r="E5497">
        <v>100</v>
      </c>
      <c r="F5497" t="s">
        <v>1</v>
      </c>
      <c r="G5497" s="6">
        <v>46002</v>
      </c>
      <c r="H5497">
        <v>48</v>
      </c>
      <c r="I5497">
        <f>ROUND(CompilDonnées[[#This Row],[CultureDuration_days]]/7,0)</f>
        <v>7</v>
      </c>
      <c r="J5497">
        <v>4140</v>
      </c>
      <c r="K5497" t="str">
        <f>_xlfn.CONCAT(WEEKNUM(CompilDonnées[[#This Row],[PlantationDate]]), " ", YEAR(CompilDonnées[[#This Row],[PlantationDate]]))</f>
        <v>43 2025</v>
      </c>
      <c r="L5497" t="str">
        <f>CONCATENATE(MONTH(CompilDonnées[[#This Row],[PlantationDate]])," ", YEAR(CompilDonnées[[#This Row],[PlantationDate]]))</f>
        <v>10 2025</v>
      </c>
      <c r="M5497" t="str">
        <f>CONCATENATE(MONTH(CompilDonnées[[#This Row],[HarvestingDate]])," ", YEAR(CompilDonnées[[#This Row],[HarvestingDate]]))</f>
        <v>12 2025</v>
      </c>
      <c r="N5497">
        <f>_xlfn.NUMBERVALUE(CompilDonnées[[#This Row],[FarmID]]&amp;CompilDonnées[[#This Row],[ModuleNumber]]&amp;CompilDonnées[[#This Row],[PlantationDate]])</f>
        <v>45445954</v>
      </c>
      <c r="O5497" t="str">
        <f>CompilDonnées[[#This Row],[FarmID]]&amp;CompilDonnées[[#This Row],[ModuleNumber]]</f>
        <v>454</v>
      </c>
      <c r="P5497" t="str">
        <f>CompilDonnées[[#This Row],[Ref_Module]]&amp;CompilDonnées[[#This Row],[HarvestingDate]]</f>
        <v>45446002</v>
      </c>
    </row>
    <row r="5498" spans="1:16">
      <c r="A5498" s="5">
        <v>45954</v>
      </c>
      <c r="B5498">
        <v>44</v>
      </c>
      <c r="C5498" t="s">
        <v>42</v>
      </c>
      <c r="D5498">
        <v>1</v>
      </c>
      <c r="E5498">
        <v>100</v>
      </c>
      <c r="F5498" t="s">
        <v>1</v>
      </c>
      <c r="G5498" s="6">
        <v>46001</v>
      </c>
      <c r="H5498">
        <v>47</v>
      </c>
      <c r="I5498">
        <f>ROUND(CompilDonnées[[#This Row],[CultureDuration_days]]/7,0)</f>
        <v>7</v>
      </c>
      <c r="J5498">
        <v>2579</v>
      </c>
      <c r="K5498" t="str">
        <f>_xlfn.CONCAT(WEEKNUM(CompilDonnées[[#This Row],[PlantationDate]]), " ", YEAR(CompilDonnées[[#This Row],[PlantationDate]]))</f>
        <v>43 2025</v>
      </c>
      <c r="L5498" t="str">
        <f>CONCATENATE(MONTH(CompilDonnées[[#This Row],[PlantationDate]])," ", YEAR(CompilDonnées[[#This Row],[PlantationDate]]))</f>
        <v>10 2025</v>
      </c>
      <c r="M5498" t="str">
        <f>CONCATENATE(MONTH(CompilDonnées[[#This Row],[HarvestingDate]])," ", YEAR(CompilDonnées[[#This Row],[HarvestingDate]]))</f>
        <v>12 2025</v>
      </c>
      <c r="N5498">
        <f>_xlfn.NUMBERVALUE(CompilDonnées[[#This Row],[FarmID]]&amp;CompilDonnées[[#This Row],[ModuleNumber]]&amp;CompilDonnées[[#This Row],[PlantationDate]])</f>
        <v>44145954</v>
      </c>
      <c r="O5498" t="str">
        <f>CompilDonnées[[#This Row],[FarmID]]&amp;CompilDonnées[[#This Row],[ModuleNumber]]</f>
        <v>441</v>
      </c>
      <c r="P5498" t="str">
        <f>CompilDonnées[[#This Row],[Ref_Module]]&amp;CompilDonnées[[#This Row],[HarvestingDate]]</f>
        <v>44146001</v>
      </c>
    </row>
    <row r="5499" spans="1:16">
      <c r="A5499" s="5">
        <v>45954</v>
      </c>
      <c r="B5499">
        <v>69</v>
      </c>
      <c r="C5499" t="s">
        <v>102</v>
      </c>
      <c r="D5499">
        <v>3</v>
      </c>
      <c r="E5499">
        <v>100</v>
      </c>
      <c r="F5499" t="s">
        <v>1</v>
      </c>
      <c r="G5499" s="6">
        <v>46001</v>
      </c>
      <c r="H5499">
        <v>47</v>
      </c>
      <c r="I5499">
        <f>ROUND(CompilDonnées[[#This Row],[CultureDuration_days]]/7,0)</f>
        <v>7</v>
      </c>
      <c r="J5499">
        <v>3205</v>
      </c>
      <c r="K5499" t="str">
        <f>_xlfn.CONCAT(WEEKNUM(CompilDonnées[[#This Row],[PlantationDate]]), " ", YEAR(CompilDonnées[[#This Row],[PlantationDate]]))</f>
        <v>43 2025</v>
      </c>
      <c r="L5499" t="str">
        <f>CONCATENATE(MONTH(CompilDonnées[[#This Row],[PlantationDate]])," ", YEAR(CompilDonnées[[#This Row],[PlantationDate]]))</f>
        <v>10 2025</v>
      </c>
      <c r="M5499" t="str">
        <f>CONCATENATE(MONTH(CompilDonnées[[#This Row],[HarvestingDate]])," ", YEAR(CompilDonnées[[#This Row],[HarvestingDate]]))</f>
        <v>12 2025</v>
      </c>
      <c r="N5499">
        <f>_xlfn.NUMBERVALUE(CompilDonnées[[#This Row],[FarmID]]&amp;CompilDonnées[[#This Row],[ModuleNumber]]&amp;CompilDonnées[[#This Row],[PlantationDate]])</f>
        <v>69345954</v>
      </c>
      <c r="O5499" t="str">
        <f>CompilDonnées[[#This Row],[FarmID]]&amp;CompilDonnées[[#This Row],[ModuleNumber]]</f>
        <v>693</v>
      </c>
      <c r="P5499" t="str">
        <f>CompilDonnées[[#This Row],[Ref_Module]]&amp;CompilDonnées[[#This Row],[HarvestingDate]]</f>
        <v>69346001</v>
      </c>
    </row>
    <row r="5500" spans="1:16">
      <c r="A5500" s="5">
        <v>45954</v>
      </c>
      <c r="B5500">
        <v>70</v>
      </c>
      <c r="C5500" t="s">
        <v>7</v>
      </c>
      <c r="D5500">
        <v>4</v>
      </c>
      <c r="E5500">
        <v>100</v>
      </c>
      <c r="F5500" t="s">
        <v>1</v>
      </c>
      <c r="G5500" s="6">
        <v>46007</v>
      </c>
      <c r="H5500">
        <v>53</v>
      </c>
      <c r="I5500">
        <f>ROUND(CompilDonnées[[#This Row],[CultureDuration_days]]/7,0)</f>
        <v>8</v>
      </c>
      <c r="J5500">
        <v>2341</v>
      </c>
      <c r="K5500" t="str">
        <f>_xlfn.CONCAT(WEEKNUM(CompilDonnées[[#This Row],[PlantationDate]]), " ", YEAR(CompilDonnées[[#This Row],[PlantationDate]]))</f>
        <v>43 2025</v>
      </c>
      <c r="L5500" t="str">
        <f>CONCATENATE(MONTH(CompilDonnées[[#This Row],[PlantationDate]])," ", YEAR(CompilDonnées[[#This Row],[PlantationDate]]))</f>
        <v>10 2025</v>
      </c>
      <c r="M5500" t="str">
        <f>CONCATENATE(MONTH(CompilDonnées[[#This Row],[HarvestingDate]])," ", YEAR(CompilDonnées[[#This Row],[HarvestingDate]]))</f>
        <v>12 2025</v>
      </c>
      <c r="N5500">
        <f>_xlfn.NUMBERVALUE(CompilDonnées[[#This Row],[FarmID]]&amp;CompilDonnées[[#This Row],[ModuleNumber]]&amp;CompilDonnées[[#This Row],[PlantationDate]])</f>
        <v>70445954</v>
      </c>
      <c r="O5500" t="str">
        <f>CompilDonnées[[#This Row],[FarmID]]&amp;CompilDonnées[[#This Row],[ModuleNumber]]</f>
        <v>704</v>
      </c>
      <c r="P5500" t="str">
        <f>CompilDonnées[[#This Row],[Ref_Module]]&amp;CompilDonnées[[#This Row],[HarvestingDate]]</f>
        <v>70446007</v>
      </c>
    </row>
    <row r="5501" spans="1:16">
      <c r="A5501" s="5">
        <v>45954</v>
      </c>
      <c r="B5501">
        <v>59</v>
      </c>
      <c r="C5501" t="s">
        <v>64</v>
      </c>
      <c r="D5501">
        <v>5</v>
      </c>
      <c r="E5501">
        <v>100</v>
      </c>
      <c r="F5501" t="s">
        <v>1</v>
      </c>
      <c r="G5501" s="6">
        <v>46001</v>
      </c>
      <c r="H5501">
        <v>47</v>
      </c>
      <c r="I5501">
        <f>ROUND(CompilDonnées[[#This Row],[CultureDuration_days]]/7,0)</f>
        <v>7</v>
      </c>
      <c r="J5501">
        <v>3765</v>
      </c>
      <c r="K5501" t="str">
        <f>_xlfn.CONCAT(WEEKNUM(CompilDonnées[[#This Row],[PlantationDate]]), " ", YEAR(CompilDonnées[[#This Row],[PlantationDate]]))</f>
        <v>43 2025</v>
      </c>
      <c r="L5501" t="str">
        <f>CONCATENATE(MONTH(CompilDonnées[[#This Row],[PlantationDate]])," ", YEAR(CompilDonnées[[#This Row],[PlantationDate]]))</f>
        <v>10 2025</v>
      </c>
      <c r="M5501" t="str">
        <f>CONCATENATE(MONTH(CompilDonnées[[#This Row],[HarvestingDate]])," ", YEAR(CompilDonnées[[#This Row],[HarvestingDate]]))</f>
        <v>12 2025</v>
      </c>
      <c r="N5501">
        <f>_xlfn.NUMBERVALUE(CompilDonnées[[#This Row],[FarmID]]&amp;CompilDonnées[[#This Row],[ModuleNumber]]&amp;CompilDonnées[[#This Row],[PlantationDate]])</f>
        <v>59545954</v>
      </c>
      <c r="O5501" t="str">
        <f>CompilDonnées[[#This Row],[FarmID]]&amp;CompilDonnées[[#This Row],[ModuleNumber]]</f>
        <v>595</v>
      </c>
      <c r="P5501" t="str">
        <f>CompilDonnées[[#This Row],[Ref_Module]]&amp;CompilDonnées[[#This Row],[HarvestingDate]]</f>
        <v>59546001</v>
      </c>
    </row>
    <row r="5502" spans="1:16">
      <c r="A5502" s="5">
        <v>45954</v>
      </c>
      <c r="B5502">
        <v>66</v>
      </c>
      <c r="C5502" t="s">
        <v>48</v>
      </c>
      <c r="D5502">
        <v>4</v>
      </c>
      <c r="E5502">
        <v>100</v>
      </c>
      <c r="F5502" t="s">
        <v>1</v>
      </c>
      <c r="G5502" s="6">
        <v>46001</v>
      </c>
      <c r="H5502">
        <v>47</v>
      </c>
      <c r="I5502">
        <f>ROUND(CompilDonnées[[#This Row],[CultureDuration_days]]/7,0)</f>
        <v>7</v>
      </c>
      <c r="J5502">
        <v>2953</v>
      </c>
      <c r="K5502" t="str">
        <f>_xlfn.CONCAT(WEEKNUM(CompilDonnées[[#This Row],[PlantationDate]]), " ", YEAR(CompilDonnées[[#This Row],[PlantationDate]]))</f>
        <v>43 2025</v>
      </c>
      <c r="L5502" t="str">
        <f>CONCATENATE(MONTH(CompilDonnées[[#This Row],[PlantationDate]])," ", YEAR(CompilDonnées[[#This Row],[PlantationDate]]))</f>
        <v>10 2025</v>
      </c>
      <c r="M5502" t="str">
        <f>CONCATENATE(MONTH(CompilDonnées[[#This Row],[HarvestingDate]])," ", YEAR(CompilDonnées[[#This Row],[HarvestingDate]]))</f>
        <v>12 2025</v>
      </c>
      <c r="N5502">
        <f>_xlfn.NUMBERVALUE(CompilDonnées[[#This Row],[FarmID]]&amp;CompilDonnées[[#This Row],[ModuleNumber]]&amp;CompilDonnées[[#This Row],[PlantationDate]])</f>
        <v>66445954</v>
      </c>
      <c r="O5502" t="str">
        <f>CompilDonnées[[#This Row],[FarmID]]&amp;CompilDonnées[[#This Row],[ModuleNumber]]</f>
        <v>664</v>
      </c>
      <c r="P5502" t="str">
        <f>CompilDonnées[[#This Row],[Ref_Module]]&amp;CompilDonnées[[#This Row],[HarvestingDate]]</f>
        <v>66446001</v>
      </c>
    </row>
    <row r="5503" spans="1:16">
      <c r="A5503" s="5">
        <v>45954</v>
      </c>
      <c r="B5503">
        <v>58</v>
      </c>
      <c r="C5503" t="s">
        <v>35</v>
      </c>
      <c r="D5503">
        <v>3</v>
      </c>
      <c r="E5503">
        <v>100</v>
      </c>
      <c r="F5503" t="s">
        <v>1</v>
      </c>
      <c r="G5503" s="6">
        <v>46001</v>
      </c>
      <c r="H5503">
        <v>47</v>
      </c>
      <c r="I5503">
        <f>ROUND(CompilDonnées[[#This Row],[CultureDuration_days]]/7,0)</f>
        <v>7</v>
      </c>
      <c r="J5503">
        <v>3031</v>
      </c>
      <c r="K5503" t="str">
        <f>_xlfn.CONCAT(WEEKNUM(CompilDonnées[[#This Row],[PlantationDate]]), " ", YEAR(CompilDonnées[[#This Row],[PlantationDate]]))</f>
        <v>43 2025</v>
      </c>
      <c r="L5503" t="str">
        <f>CONCATENATE(MONTH(CompilDonnées[[#This Row],[PlantationDate]])," ", YEAR(CompilDonnées[[#This Row],[PlantationDate]]))</f>
        <v>10 2025</v>
      </c>
      <c r="M5503" t="str">
        <f>CONCATENATE(MONTH(CompilDonnées[[#This Row],[HarvestingDate]])," ", YEAR(CompilDonnées[[#This Row],[HarvestingDate]]))</f>
        <v>12 2025</v>
      </c>
      <c r="N5503">
        <f>_xlfn.NUMBERVALUE(CompilDonnées[[#This Row],[FarmID]]&amp;CompilDonnées[[#This Row],[ModuleNumber]]&amp;CompilDonnées[[#This Row],[PlantationDate]])</f>
        <v>58345954</v>
      </c>
      <c r="O5503" t="str">
        <f>CompilDonnées[[#This Row],[FarmID]]&amp;CompilDonnées[[#This Row],[ModuleNumber]]</f>
        <v>583</v>
      </c>
      <c r="P5503" t="str">
        <f>CompilDonnées[[#This Row],[Ref_Module]]&amp;CompilDonnées[[#This Row],[HarvestingDate]]</f>
        <v>58346001</v>
      </c>
    </row>
    <row r="5504" spans="1:16">
      <c r="A5504" s="5">
        <v>45954</v>
      </c>
      <c r="B5504">
        <v>52</v>
      </c>
      <c r="C5504" t="s">
        <v>88</v>
      </c>
      <c r="D5504">
        <v>1</v>
      </c>
      <c r="E5504">
        <v>100</v>
      </c>
      <c r="F5504" t="s">
        <v>1</v>
      </c>
      <c r="G5504" s="6">
        <v>46001</v>
      </c>
      <c r="H5504">
        <v>47</v>
      </c>
      <c r="I5504">
        <f>ROUND(CompilDonnées[[#This Row],[CultureDuration_days]]/7,0)</f>
        <v>7</v>
      </c>
      <c r="J5504">
        <v>4319</v>
      </c>
      <c r="K5504" t="str">
        <f>_xlfn.CONCAT(WEEKNUM(CompilDonnées[[#This Row],[PlantationDate]]), " ", YEAR(CompilDonnées[[#This Row],[PlantationDate]]))</f>
        <v>43 2025</v>
      </c>
      <c r="L5504" t="str">
        <f>CONCATENATE(MONTH(CompilDonnées[[#This Row],[PlantationDate]])," ", YEAR(CompilDonnées[[#This Row],[PlantationDate]]))</f>
        <v>10 2025</v>
      </c>
      <c r="M5504" t="str">
        <f>CONCATENATE(MONTH(CompilDonnées[[#This Row],[HarvestingDate]])," ", YEAR(CompilDonnées[[#This Row],[HarvestingDate]]))</f>
        <v>12 2025</v>
      </c>
      <c r="N5504">
        <f>_xlfn.NUMBERVALUE(CompilDonnées[[#This Row],[FarmID]]&amp;CompilDonnées[[#This Row],[ModuleNumber]]&amp;CompilDonnées[[#This Row],[PlantationDate]])</f>
        <v>52145954</v>
      </c>
      <c r="O5504" t="str">
        <f>CompilDonnées[[#This Row],[FarmID]]&amp;CompilDonnées[[#This Row],[ModuleNumber]]</f>
        <v>521</v>
      </c>
      <c r="P5504" t="str">
        <f>CompilDonnées[[#This Row],[Ref_Module]]&amp;CompilDonnées[[#This Row],[HarvestingDate]]</f>
        <v>52146001</v>
      </c>
    </row>
    <row r="5505" spans="1:16">
      <c r="A5505" s="5">
        <v>45954</v>
      </c>
      <c r="B5505">
        <v>52</v>
      </c>
      <c r="C5505" t="s">
        <v>88</v>
      </c>
      <c r="D5505">
        <v>2</v>
      </c>
      <c r="E5505">
        <v>100</v>
      </c>
      <c r="F5505" t="s">
        <v>1</v>
      </c>
      <c r="G5505" s="6">
        <v>46001</v>
      </c>
      <c r="H5505">
        <v>47</v>
      </c>
      <c r="I5505">
        <f>ROUND(CompilDonnées[[#This Row],[CultureDuration_days]]/7,0)</f>
        <v>7</v>
      </c>
      <c r="J5505">
        <v>4394</v>
      </c>
      <c r="K5505" t="str">
        <f>_xlfn.CONCAT(WEEKNUM(CompilDonnées[[#This Row],[PlantationDate]]), " ", YEAR(CompilDonnées[[#This Row],[PlantationDate]]))</f>
        <v>43 2025</v>
      </c>
      <c r="L5505" t="str">
        <f>CONCATENATE(MONTH(CompilDonnées[[#This Row],[PlantationDate]])," ", YEAR(CompilDonnées[[#This Row],[PlantationDate]]))</f>
        <v>10 2025</v>
      </c>
      <c r="M5505" t="str">
        <f>CONCATENATE(MONTH(CompilDonnées[[#This Row],[HarvestingDate]])," ", YEAR(CompilDonnées[[#This Row],[HarvestingDate]]))</f>
        <v>12 2025</v>
      </c>
      <c r="N5505">
        <f>_xlfn.NUMBERVALUE(CompilDonnées[[#This Row],[FarmID]]&amp;CompilDonnées[[#This Row],[ModuleNumber]]&amp;CompilDonnées[[#This Row],[PlantationDate]])</f>
        <v>52245954</v>
      </c>
      <c r="O5505" t="str">
        <f>CompilDonnées[[#This Row],[FarmID]]&amp;CompilDonnées[[#This Row],[ModuleNumber]]</f>
        <v>522</v>
      </c>
      <c r="P5505" t="str">
        <f>CompilDonnées[[#This Row],[Ref_Module]]&amp;CompilDonnées[[#This Row],[HarvestingDate]]</f>
        <v>52246001</v>
      </c>
    </row>
    <row r="5506" spans="1:16">
      <c r="A5506" s="5">
        <v>45954</v>
      </c>
      <c r="B5506">
        <v>51</v>
      </c>
      <c r="C5506" t="s">
        <v>27</v>
      </c>
      <c r="D5506">
        <v>1</v>
      </c>
      <c r="E5506">
        <v>100</v>
      </c>
      <c r="F5506" t="s">
        <v>1</v>
      </c>
      <c r="G5506" s="6">
        <v>46006</v>
      </c>
      <c r="H5506">
        <v>52</v>
      </c>
      <c r="I5506">
        <f>ROUND(CompilDonnées[[#This Row],[CultureDuration_days]]/7,0)</f>
        <v>7</v>
      </c>
      <c r="J5506">
        <v>2720</v>
      </c>
      <c r="K5506" t="str">
        <f>_xlfn.CONCAT(WEEKNUM(CompilDonnées[[#This Row],[PlantationDate]]), " ", YEAR(CompilDonnées[[#This Row],[PlantationDate]]))</f>
        <v>43 2025</v>
      </c>
      <c r="L5506" t="str">
        <f>CONCATENATE(MONTH(CompilDonnées[[#This Row],[PlantationDate]])," ", YEAR(CompilDonnées[[#This Row],[PlantationDate]]))</f>
        <v>10 2025</v>
      </c>
      <c r="M5506" t="str">
        <f>CONCATENATE(MONTH(CompilDonnées[[#This Row],[HarvestingDate]])," ", YEAR(CompilDonnées[[#This Row],[HarvestingDate]]))</f>
        <v>12 2025</v>
      </c>
      <c r="N5506">
        <f>_xlfn.NUMBERVALUE(CompilDonnées[[#This Row],[FarmID]]&amp;CompilDonnées[[#This Row],[ModuleNumber]]&amp;CompilDonnées[[#This Row],[PlantationDate]])</f>
        <v>51145954</v>
      </c>
      <c r="O5506" t="str">
        <f>CompilDonnées[[#This Row],[FarmID]]&amp;CompilDonnées[[#This Row],[ModuleNumber]]</f>
        <v>511</v>
      </c>
      <c r="P5506" t="str">
        <f>CompilDonnées[[#This Row],[Ref_Module]]&amp;CompilDonnées[[#This Row],[HarvestingDate]]</f>
        <v>51146006</v>
      </c>
    </row>
    <row r="5507" spans="1:16">
      <c r="A5507" s="5">
        <v>45954</v>
      </c>
      <c r="B5507">
        <v>50</v>
      </c>
      <c r="C5507" t="s">
        <v>55</v>
      </c>
      <c r="D5507">
        <v>3</v>
      </c>
      <c r="E5507">
        <v>100</v>
      </c>
      <c r="F5507" t="s">
        <v>1</v>
      </c>
      <c r="G5507" s="6">
        <v>46001</v>
      </c>
      <c r="H5507">
        <v>47</v>
      </c>
      <c r="I5507">
        <f>ROUND(CompilDonnées[[#This Row],[CultureDuration_days]]/7,0)</f>
        <v>7</v>
      </c>
      <c r="J5507">
        <v>2559</v>
      </c>
      <c r="K5507" t="str">
        <f>_xlfn.CONCAT(WEEKNUM(CompilDonnées[[#This Row],[PlantationDate]]), " ", YEAR(CompilDonnées[[#This Row],[PlantationDate]]))</f>
        <v>43 2025</v>
      </c>
      <c r="L5507" t="str">
        <f>CONCATENATE(MONTH(CompilDonnées[[#This Row],[PlantationDate]])," ", YEAR(CompilDonnées[[#This Row],[PlantationDate]]))</f>
        <v>10 2025</v>
      </c>
      <c r="M5507" t="str">
        <f>CONCATENATE(MONTH(CompilDonnées[[#This Row],[HarvestingDate]])," ", YEAR(CompilDonnées[[#This Row],[HarvestingDate]]))</f>
        <v>12 2025</v>
      </c>
      <c r="N5507">
        <f>_xlfn.NUMBERVALUE(CompilDonnées[[#This Row],[FarmID]]&amp;CompilDonnées[[#This Row],[ModuleNumber]]&amp;CompilDonnées[[#This Row],[PlantationDate]])</f>
        <v>50345954</v>
      </c>
      <c r="O5507" t="str">
        <f>CompilDonnées[[#This Row],[FarmID]]&amp;CompilDonnées[[#This Row],[ModuleNumber]]</f>
        <v>503</v>
      </c>
      <c r="P5507" t="str">
        <f>CompilDonnées[[#This Row],[Ref_Module]]&amp;CompilDonnées[[#This Row],[HarvestingDate]]</f>
        <v>50346001</v>
      </c>
    </row>
    <row r="5508" spans="1:16">
      <c r="A5508" s="5">
        <v>45954</v>
      </c>
      <c r="B5508">
        <v>49</v>
      </c>
      <c r="C5508" t="s">
        <v>110</v>
      </c>
      <c r="D5508">
        <v>5</v>
      </c>
      <c r="E5508">
        <v>100</v>
      </c>
      <c r="F5508" t="s">
        <v>1</v>
      </c>
      <c r="G5508" s="6">
        <v>46006</v>
      </c>
      <c r="H5508">
        <v>52</v>
      </c>
      <c r="I5508">
        <f>ROUND(CompilDonnées[[#This Row],[CultureDuration_days]]/7,0)</f>
        <v>7</v>
      </c>
      <c r="J5508">
        <v>2012</v>
      </c>
      <c r="K5508" t="str">
        <f>_xlfn.CONCAT(WEEKNUM(CompilDonnées[[#This Row],[PlantationDate]]), " ", YEAR(CompilDonnées[[#This Row],[PlantationDate]]))</f>
        <v>43 2025</v>
      </c>
      <c r="L5508" t="str">
        <f>CONCATENATE(MONTH(CompilDonnées[[#This Row],[PlantationDate]])," ", YEAR(CompilDonnées[[#This Row],[PlantationDate]]))</f>
        <v>10 2025</v>
      </c>
      <c r="M5508" t="str">
        <f>CONCATENATE(MONTH(CompilDonnées[[#This Row],[HarvestingDate]])," ", YEAR(CompilDonnées[[#This Row],[HarvestingDate]]))</f>
        <v>12 2025</v>
      </c>
      <c r="N5508">
        <f>_xlfn.NUMBERVALUE(CompilDonnées[[#This Row],[FarmID]]&amp;CompilDonnées[[#This Row],[ModuleNumber]]&amp;CompilDonnées[[#This Row],[PlantationDate]])</f>
        <v>49545954</v>
      </c>
      <c r="O5508" t="str">
        <f>CompilDonnées[[#This Row],[FarmID]]&amp;CompilDonnées[[#This Row],[ModuleNumber]]</f>
        <v>495</v>
      </c>
      <c r="P5508" t="str">
        <f>CompilDonnées[[#This Row],[Ref_Module]]&amp;CompilDonnées[[#This Row],[HarvestingDate]]</f>
        <v>49546006</v>
      </c>
    </row>
    <row r="5509" spans="1:16">
      <c r="A5509" s="5">
        <v>45954</v>
      </c>
      <c r="B5509">
        <v>46</v>
      </c>
      <c r="C5509" t="s">
        <v>8</v>
      </c>
      <c r="D5509">
        <v>6</v>
      </c>
      <c r="E5509">
        <v>100</v>
      </c>
      <c r="F5509" t="s">
        <v>1</v>
      </c>
      <c r="G5509" s="6">
        <v>45980</v>
      </c>
      <c r="H5509">
        <v>26</v>
      </c>
      <c r="I5509">
        <f>ROUND(CompilDonnées[[#This Row],[CultureDuration_days]]/7,0)</f>
        <v>4</v>
      </c>
      <c r="J5509">
        <v>1000</v>
      </c>
      <c r="K5509" t="str">
        <f>_xlfn.CONCAT(WEEKNUM(CompilDonnées[[#This Row],[PlantationDate]]), " ", YEAR(CompilDonnées[[#This Row],[PlantationDate]]))</f>
        <v>43 2025</v>
      </c>
      <c r="L5509" t="str">
        <f>CONCATENATE(MONTH(CompilDonnées[[#This Row],[PlantationDate]])," ", YEAR(CompilDonnées[[#This Row],[PlantationDate]]))</f>
        <v>10 2025</v>
      </c>
      <c r="M5509" t="str">
        <f>CONCATENATE(MONTH(CompilDonnées[[#This Row],[HarvestingDate]])," ", YEAR(CompilDonnées[[#This Row],[HarvestingDate]]))</f>
        <v>11 2025</v>
      </c>
      <c r="N5509">
        <f>_xlfn.NUMBERVALUE(CompilDonnées[[#This Row],[FarmID]]&amp;CompilDonnées[[#This Row],[ModuleNumber]]&amp;CompilDonnées[[#This Row],[PlantationDate]])</f>
        <v>46645954</v>
      </c>
      <c r="O5509" t="str">
        <f>CompilDonnées[[#This Row],[FarmID]]&amp;CompilDonnées[[#This Row],[ModuleNumber]]</f>
        <v>466</v>
      </c>
      <c r="P5509" t="str">
        <f>CompilDonnées[[#This Row],[Ref_Module]]&amp;CompilDonnées[[#This Row],[HarvestingDate]]</f>
        <v>46645980</v>
      </c>
    </row>
    <row r="5510" spans="1:16">
      <c r="A5510" s="5">
        <v>45955</v>
      </c>
      <c r="B5510">
        <v>11</v>
      </c>
      <c r="C5510" t="s">
        <v>106</v>
      </c>
      <c r="D5510">
        <v>2</v>
      </c>
      <c r="E5510">
        <v>100</v>
      </c>
      <c r="F5510" t="s">
        <v>1</v>
      </c>
      <c r="G5510" s="6">
        <v>46002</v>
      </c>
      <c r="H5510">
        <v>47</v>
      </c>
      <c r="I5510">
        <f>ROUND(CompilDonnées[[#This Row],[CultureDuration_days]]/7,0)</f>
        <v>7</v>
      </c>
      <c r="J5510">
        <v>1654</v>
      </c>
      <c r="K5510" t="str">
        <f>_xlfn.CONCAT(WEEKNUM(CompilDonnées[[#This Row],[PlantationDate]]), " ", YEAR(CompilDonnées[[#This Row],[PlantationDate]]))</f>
        <v>43 2025</v>
      </c>
      <c r="L5510" t="str">
        <f>CONCATENATE(MONTH(CompilDonnées[[#This Row],[PlantationDate]])," ", YEAR(CompilDonnées[[#This Row],[PlantationDate]]))</f>
        <v>10 2025</v>
      </c>
      <c r="M5510" t="str">
        <f>CONCATENATE(MONTH(CompilDonnées[[#This Row],[HarvestingDate]])," ", YEAR(CompilDonnées[[#This Row],[HarvestingDate]]))</f>
        <v>12 2025</v>
      </c>
      <c r="N5510">
        <f>_xlfn.NUMBERVALUE(CompilDonnées[[#This Row],[FarmID]]&amp;CompilDonnées[[#This Row],[ModuleNumber]]&amp;CompilDonnées[[#This Row],[PlantationDate]])</f>
        <v>11245955</v>
      </c>
      <c r="O5510" t="str">
        <f>CompilDonnées[[#This Row],[FarmID]]&amp;CompilDonnées[[#This Row],[ModuleNumber]]</f>
        <v>112</v>
      </c>
      <c r="P5510" t="str">
        <f>CompilDonnées[[#This Row],[Ref_Module]]&amp;CompilDonnées[[#This Row],[HarvestingDate]]</f>
        <v>11246002</v>
      </c>
    </row>
    <row r="5511" spans="1:16">
      <c r="A5511" s="5">
        <v>45955</v>
      </c>
      <c r="B5511">
        <v>7</v>
      </c>
      <c r="C5511" t="s">
        <v>50</v>
      </c>
      <c r="D5511">
        <v>3</v>
      </c>
      <c r="E5511">
        <v>100</v>
      </c>
      <c r="F5511" t="s">
        <v>1</v>
      </c>
      <c r="G5511" s="6">
        <v>46003</v>
      </c>
      <c r="H5511">
        <v>48</v>
      </c>
      <c r="I5511">
        <f>ROUND(CompilDonnées[[#This Row],[CultureDuration_days]]/7,0)</f>
        <v>7</v>
      </c>
      <c r="J5511">
        <v>2583</v>
      </c>
      <c r="K5511" t="str">
        <f>_xlfn.CONCAT(WEEKNUM(CompilDonnées[[#This Row],[PlantationDate]]), " ", YEAR(CompilDonnées[[#This Row],[PlantationDate]]))</f>
        <v>43 2025</v>
      </c>
      <c r="L5511" t="str">
        <f>CONCATENATE(MONTH(CompilDonnées[[#This Row],[PlantationDate]])," ", YEAR(CompilDonnées[[#This Row],[PlantationDate]]))</f>
        <v>10 2025</v>
      </c>
      <c r="M5511" t="str">
        <f>CONCATENATE(MONTH(CompilDonnées[[#This Row],[HarvestingDate]])," ", YEAR(CompilDonnées[[#This Row],[HarvestingDate]]))</f>
        <v>12 2025</v>
      </c>
      <c r="N5511">
        <f>_xlfn.NUMBERVALUE(CompilDonnées[[#This Row],[FarmID]]&amp;CompilDonnées[[#This Row],[ModuleNumber]]&amp;CompilDonnées[[#This Row],[PlantationDate]])</f>
        <v>7345955</v>
      </c>
      <c r="O5511" t="str">
        <f>CompilDonnées[[#This Row],[FarmID]]&amp;CompilDonnées[[#This Row],[ModuleNumber]]</f>
        <v>73</v>
      </c>
      <c r="P5511" t="str">
        <f>CompilDonnées[[#This Row],[Ref_Module]]&amp;CompilDonnées[[#This Row],[HarvestingDate]]</f>
        <v>7346003</v>
      </c>
    </row>
    <row r="5512" spans="1:16">
      <c r="A5512" s="5">
        <v>45955</v>
      </c>
      <c r="B5512">
        <v>1</v>
      </c>
      <c r="C5512" t="s">
        <v>111</v>
      </c>
      <c r="D5512">
        <v>4</v>
      </c>
      <c r="E5512">
        <v>100</v>
      </c>
      <c r="F5512" t="s">
        <v>1</v>
      </c>
      <c r="G5512" s="6">
        <v>46003</v>
      </c>
      <c r="H5512">
        <v>48</v>
      </c>
      <c r="I5512">
        <f>ROUND(CompilDonnées[[#This Row],[CultureDuration_days]]/7,0)</f>
        <v>7</v>
      </c>
      <c r="J5512">
        <v>3386</v>
      </c>
      <c r="K5512" t="str">
        <f>_xlfn.CONCAT(WEEKNUM(CompilDonnées[[#This Row],[PlantationDate]]), " ", YEAR(CompilDonnées[[#This Row],[PlantationDate]]))</f>
        <v>43 2025</v>
      </c>
      <c r="L5512" t="str">
        <f>CONCATENATE(MONTH(CompilDonnées[[#This Row],[PlantationDate]])," ", YEAR(CompilDonnées[[#This Row],[PlantationDate]]))</f>
        <v>10 2025</v>
      </c>
      <c r="M5512" t="str">
        <f>CONCATENATE(MONTH(CompilDonnées[[#This Row],[HarvestingDate]])," ", YEAR(CompilDonnées[[#This Row],[HarvestingDate]]))</f>
        <v>12 2025</v>
      </c>
      <c r="N5512">
        <f>_xlfn.NUMBERVALUE(CompilDonnées[[#This Row],[FarmID]]&amp;CompilDonnées[[#This Row],[ModuleNumber]]&amp;CompilDonnées[[#This Row],[PlantationDate]])</f>
        <v>1445955</v>
      </c>
      <c r="O5512" t="str">
        <f>CompilDonnées[[#This Row],[FarmID]]&amp;CompilDonnées[[#This Row],[ModuleNumber]]</f>
        <v>14</v>
      </c>
      <c r="P5512" t="str">
        <f>CompilDonnées[[#This Row],[Ref_Module]]&amp;CompilDonnées[[#This Row],[HarvestingDate]]</f>
        <v>1446003</v>
      </c>
    </row>
    <row r="5513" spans="1:16">
      <c r="A5513" s="5">
        <v>45955</v>
      </c>
      <c r="B5513">
        <v>10</v>
      </c>
      <c r="C5513" t="s">
        <v>109</v>
      </c>
      <c r="D5513">
        <v>4</v>
      </c>
      <c r="E5513">
        <v>100</v>
      </c>
      <c r="F5513" t="s">
        <v>1</v>
      </c>
      <c r="G5513" s="6">
        <v>46002</v>
      </c>
      <c r="H5513">
        <v>47</v>
      </c>
      <c r="I5513">
        <f>ROUND(CompilDonnées[[#This Row],[CultureDuration_days]]/7,0)</f>
        <v>7</v>
      </c>
      <c r="J5513">
        <v>1972</v>
      </c>
      <c r="K5513" t="str">
        <f>_xlfn.CONCAT(WEEKNUM(CompilDonnées[[#This Row],[PlantationDate]]), " ", YEAR(CompilDonnées[[#This Row],[PlantationDate]]))</f>
        <v>43 2025</v>
      </c>
      <c r="L5513" t="str">
        <f>CONCATENATE(MONTH(CompilDonnées[[#This Row],[PlantationDate]])," ", YEAR(CompilDonnées[[#This Row],[PlantationDate]]))</f>
        <v>10 2025</v>
      </c>
      <c r="M5513" t="str">
        <f>CONCATENATE(MONTH(CompilDonnées[[#This Row],[HarvestingDate]])," ", YEAR(CompilDonnées[[#This Row],[HarvestingDate]]))</f>
        <v>12 2025</v>
      </c>
      <c r="N5513">
        <f>_xlfn.NUMBERVALUE(CompilDonnées[[#This Row],[FarmID]]&amp;CompilDonnées[[#This Row],[ModuleNumber]]&amp;CompilDonnées[[#This Row],[PlantationDate]])</f>
        <v>10445955</v>
      </c>
      <c r="O5513" t="str">
        <f>CompilDonnées[[#This Row],[FarmID]]&amp;CompilDonnées[[#This Row],[ModuleNumber]]</f>
        <v>104</v>
      </c>
      <c r="P5513" t="str">
        <f>CompilDonnées[[#This Row],[Ref_Module]]&amp;CompilDonnées[[#This Row],[HarvestingDate]]</f>
        <v>10446002</v>
      </c>
    </row>
    <row r="5514" spans="1:16">
      <c r="A5514" s="5">
        <v>45955</v>
      </c>
      <c r="B5514">
        <v>13</v>
      </c>
      <c r="C5514" t="s">
        <v>114</v>
      </c>
      <c r="D5514">
        <v>4</v>
      </c>
      <c r="E5514">
        <v>100</v>
      </c>
      <c r="F5514" t="s">
        <v>1</v>
      </c>
      <c r="G5514" s="6">
        <v>46002</v>
      </c>
      <c r="H5514">
        <v>47</v>
      </c>
      <c r="I5514">
        <f>ROUND(CompilDonnées[[#This Row],[CultureDuration_days]]/7,0)</f>
        <v>7</v>
      </c>
      <c r="J5514">
        <v>3011</v>
      </c>
      <c r="K5514" t="str">
        <f>_xlfn.CONCAT(WEEKNUM(CompilDonnées[[#This Row],[PlantationDate]]), " ", YEAR(CompilDonnées[[#This Row],[PlantationDate]]))</f>
        <v>43 2025</v>
      </c>
      <c r="L5514" t="str">
        <f>CONCATENATE(MONTH(CompilDonnées[[#This Row],[PlantationDate]])," ", YEAR(CompilDonnées[[#This Row],[PlantationDate]]))</f>
        <v>10 2025</v>
      </c>
      <c r="M5514" t="str">
        <f>CONCATENATE(MONTH(CompilDonnées[[#This Row],[HarvestingDate]])," ", YEAR(CompilDonnées[[#This Row],[HarvestingDate]]))</f>
        <v>12 2025</v>
      </c>
      <c r="N5514">
        <f>_xlfn.NUMBERVALUE(CompilDonnées[[#This Row],[FarmID]]&amp;CompilDonnées[[#This Row],[ModuleNumber]]&amp;CompilDonnées[[#This Row],[PlantationDate]])</f>
        <v>13445955</v>
      </c>
      <c r="O5514" t="str">
        <f>CompilDonnées[[#This Row],[FarmID]]&amp;CompilDonnées[[#This Row],[ModuleNumber]]</f>
        <v>134</v>
      </c>
      <c r="P5514" t="str">
        <f>CompilDonnées[[#This Row],[Ref_Module]]&amp;CompilDonnées[[#This Row],[HarvestingDate]]</f>
        <v>13446002</v>
      </c>
    </row>
    <row r="5515" spans="1:16">
      <c r="A5515" s="5">
        <v>45955</v>
      </c>
      <c r="B5515">
        <v>46</v>
      </c>
      <c r="C5515" t="s">
        <v>8</v>
      </c>
      <c r="D5515">
        <v>5</v>
      </c>
      <c r="E5515">
        <v>100</v>
      </c>
      <c r="F5515" t="s">
        <v>1</v>
      </c>
      <c r="G5515" s="6">
        <v>45980</v>
      </c>
      <c r="H5515">
        <v>25</v>
      </c>
      <c r="I5515">
        <f>ROUND(CompilDonnées[[#This Row],[CultureDuration_days]]/7,0)</f>
        <v>4</v>
      </c>
      <c r="J5515">
        <v>1000</v>
      </c>
      <c r="K5515" t="str">
        <f>_xlfn.CONCAT(WEEKNUM(CompilDonnées[[#This Row],[PlantationDate]]), " ", YEAR(CompilDonnées[[#This Row],[PlantationDate]]))</f>
        <v>43 2025</v>
      </c>
      <c r="L5515" t="str">
        <f>CONCATENATE(MONTH(CompilDonnées[[#This Row],[PlantationDate]])," ", YEAR(CompilDonnées[[#This Row],[PlantationDate]]))</f>
        <v>10 2025</v>
      </c>
      <c r="M5515" t="str">
        <f>CONCATENATE(MONTH(CompilDonnées[[#This Row],[HarvestingDate]])," ", YEAR(CompilDonnées[[#This Row],[HarvestingDate]]))</f>
        <v>11 2025</v>
      </c>
      <c r="N5515">
        <f>_xlfn.NUMBERVALUE(CompilDonnées[[#This Row],[FarmID]]&amp;CompilDonnées[[#This Row],[ModuleNumber]]&amp;CompilDonnées[[#This Row],[PlantationDate]])</f>
        <v>46545955</v>
      </c>
      <c r="O5515" t="str">
        <f>CompilDonnées[[#This Row],[FarmID]]&amp;CompilDonnées[[#This Row],[ModuleNumber]]</f>
        <v>465</v>
      </c>
      <c r="P5515" t="str">
        <f>CompilDonnées[[#This Row],[Ref_Module]]&amp;CompilDonnées[[#This Row],[HarvestingDate]]</f>
        <v>46545980</v>
      </c>
    </row>
    <row r="5516" spans="1:16">
      <c r="A5516" s="5">
        <v>45955</v>
      </c>
      <c r="B5516">
        <v>14</v>
      </c>
      <c r="C5516" t="s">
        <v>82</v>
      </c>
      <c r="D5516">
        <v>6</v>
      </c>
      <c r="E5516">
        <v>100</v>
      </c>
      <c r="F5516" t="s">
        <v>1</v>
      </c>
      <c r="G5516" s="6">
        <v>46003</v>
      </c>
      <c r="H5516">
        <v>48</v>
      </c>
      <c r="I5516">
        <f>ROUND(CompilDonnées[[#This Row],[CultureDuration_days]]/7,0)</f>
        <v>7</v>
      </c>
      <c r="J5516">
        <v>1727</v>
      </c>
      <c r="K5516" t="str">
        <f>_xlfn.CONCAT(WEEKNUM(CompilDonnées[[#This Row],[PlantationDate]]), " ", YEAR(CompilDonnées[[#This Row],[PlantationDate]]))</f>
        <v>43 2025</v>
      </c>
      <c r="L5516" t="str">
        <f>CONCATENATE(MONTH(CompilDonnées[[#This Row],[PlantationDate]])," ", YEAR(CompilDonnées[[#This Row],[PlantationDate]]))</f>
        <v>10 2025</v>
      </c>
      <c r="M5516" t="str">
        <f>CONCATENATE(MONTH(CompilDonnées[[#This Row],[HarvestingDate]])," ", YEAR(CompilDonnées[[#This Row],[HarvestingDate]]))</f>
        <v>12 2025</v>
      </c>
      <c r="N5516">
        <f>_xlfn.NUMBERVALUE(CompilDonnées[[#This Row],[FarmID]]&amp;CompilDonnées[[#This Row],[ModuleNumber]]&amp;CompilDonnées[[#This Row],[PlantationDate]])</f>
        <v>14645955</v>
      </c>
      <c r="O5516" t="str">
        <f>CompilDonnées[[#This Row],[FarmID]]&amp;CompilDonnées[[#This Row],[ModuleNumber]]</f>
        <v>146</v>
      </c>
      <c r="P5516" t="str">
        <f>CompilDonnées[[#This Row],[Ref_Module]]&amp;CompilDonnées[[#This Row],[HarvestingDate]]</f>
        <v>14646003</v>
      </c>
    </row>
    <row r="5517" spans="1:16">
      <c r="A5517" s="5">
        <v>45955</v>
      </c>
      <c r="B5517">
        <v>9</v>
      </c>
      <c r="C5517" t="s">
        <v>107</v>
      </c>
      <c r="D5517">
        <v>6</v>
      </c>
      <c r="E5517">
        <v>100</v>
      </c>
      <c r="F5517" t="s">
        <v>1</v>
      </c>
      <c r="G5517" s="6">
        <v>46003</v>
      </c>
      <c r="H5517">
        <v>48</v>
      </c>
      <c r="I5517">
        <f>ROUND(CompilDonnées[[#This Row],[CultureDuration_days]]/7,0)</f>
        <v>7</v>
      </c>
      <c r="J5517">
        <v>3450</v>
      </c>
      <c r="K5517" t="str">
        <f>_xlfn.CONCAT(WEEKNUM(CompilDonnées[[#This Row],[PlantationDate]]), " ", YEAR(CompilDonnées[[#This Row],[PlantationDate]]))</f>
        <v>43 2025</v>
      </c>
      <c r="L5517" t="str">
        <f>CONCATENATE(MONTH(CompilDonnées[[#This Row],[PlantationDate]])," ", YEAR(CompilDonnées[[#This Row],[PlantationDate]]))</f>
        <v>10 2025</v>
      </c>
      <c r="M5517" t="str">
        <f>CONCATENATE(MONTH(CompilDonnées[[#This Row],[HarvestingDate]])," ", YEAR(CompilDonnées[[#This Row],[HarvestingDate]]))</f>
        <v>12 2025</v>
      </c>
      <c r="N5517">
        <f>_xlfn.NUMBERVALUE(CompilDonnées[[#This Row],[FarmID]]&amp;CompilDonnées[[#This Row],[ModuleNumber]]&amp;CompilDonnées[[#This Row],[PlantationDate]])</f>
        <v>9645955</v>
      </c>
      <c r="O5517" t="str">
        <f>CompilDonnées[[#This Row],[FarmID]]&amp;CompilDonnées[[#This Row],[ModuleNumber]]</f>
        <v>96</v>
      </c>
      <c r="P5517" t="str">
        <f>CompilDonnées[[#This Row],[Ref_Module]]&amp;CompilDonnées[[#This Row],[HarvestingDate]]</f>
        <v>9646003</v>
      </c>
    </row>
    <row r="5518" spans="1:16">
      <c r="A5518" s="5">
        <v>45955</v>
      </c>
      <c r="B5518">
        <v>56</v>
      </c>
      <c r="C5518" t="s">
        <v>6</v>
      </c>
      <c r="D5518">
        <v>2</v>
      </c>
      <c r="E5518">
        <v>100</v>
      </c>
      <c r="F5518" t="s">
        <v>1</v>
      </c>
      <c r="G5518" s="6">
        <v>46002</v>
      </c>
      <c r="H5518">
        <v>47</v>
      </c>
      <c r="I5518">
        <f>ROUND(CompilDonnées[[#This Row],[CultureDuration_days]]/7,0)</f>
        <v>7</v>
      </c>
      <c r="J5518">
        <v>2104</v>
      </c>
      <c r="K5518" t="str">
        <f>_xlfn.CONCAT(WEEKNUM(CompilDonnées[[#This Row],[PlantationDate]]), " ", YEAR(CompilDonnées[[#This Row],[PlantationDate]]))</f>
        <v>43 2025</v>
      </c>
      <c r="L5518" t="str">
        <f>CONCATENATE(MONTH(CompilDonnées[[#This Row],[PlantationDate]])," ", YEAR(CompilDonnées[[#This Row],[PlantationDate]]))</f>
        <v>10 2025</v>
      </c>
      <c r="M5518" t="str">
        <f>CONCATENATE(MONTH(CompilDonnées[[#This Row],[HarvestingDate]])," ", YEAR(CompilDonnées[[#This Row],[HarvestingDate]]))</f>
        <v>12 2025</v>
      </c>
      <c r="N5518">
        <f>_xlfn.NUMBERVALUE(CompilDonnées[[#This Row],[FarmID]]&amp;CompilDonnées[[#This Row],[ModuleNumber]]&amp;CompilDonnées[[#This Row],[PlantationDate]])</f>
        <v>56245955</v>
      </c>
      <c r="O5518" t="str">
        <f>CompilDonnées[[#This Row],[FarmID]]&amp;CompilDonnées[[#This Row],[ModuleNumber]]</f>
        <v>562</v>
      </c>
      <c r="P5518" t="str">
        <f>CompilDonnées[[#This Row],[Ref_Module]]&amp;CompilDonnées[[#This Row],[HarvestingDate]]</f>
        <v>56246002</v>
      </c>
    </row>
    <row r="5519" spans="1:16">
      <c r="A5519" s="5">
        <v>45955</v>
      </c>
      <c r="B5519">
        <v>58</v>
      </c>
      <c r="C5519" t="s">
        <v>35</v>
      </c>
      <c r="D5519">
        <v>4</v>
      </c>
      <c r="E5519">
        <v>100</v>
      </c>
      <c r="F5519" t="s">
        <v>1</v>
      </c>
      <c r="G5519" s="6">
        <v>46001</v>
      </c>
      <c r="H5519">
        <v>46</v>
      </c>
      <c r="I5519">
        <f>ROUND(CompilDonnées[[#This Row],[CultureDuration_days]]/7,0)</f>
        <v>7</v>
      </c>
      <c r="J5519">
        <v>3485</v>
      </c>
      <c r="K5519" t="str">
        <f>_xlfn.CONCAT(WEEKNUM(CompilDonnées[[#This Row],[PlantationDate]]), " ", YEAR(CompilDonnées[[#This Row],[PlantationDate]]))</f>
        <v>43 2025</v>
      </c>
      <c r="L5519" t="str">
        <f>CONCATENATE(MONTH(CompilDonnées[[#This Row],[PlantationDate]])," ", YEAR(CompilDonnées[[#This Row],[PlantationDate]]))</f>
        <v>10 2025</v>
      </c>
      <c r="M5519" t="str">
        <f>CONCATENATE(MONTH(CompilDonnées[[#This Row],[HarvestingDate]])," ", YEAR(CompilDonnées[[#This Row],[HarvestingDate]]))</f>
        <v>12 2025</v>
      </c>
      <c r="N5519">
        <f>_xlfn.NUMBERVALUE(CompilDonnées[[#This Row],[FarmID]]&amp;CompilDonnées[[#This Row],[ModuleNumber]]&amp;CompilDonnées[[#This Row],[PlantationDate]])</f>
        <v>58445955</v>
      </c>
      <c r="O5519" t="str">
        <f>CompilDonnées[[#This Row],[FarmID]]&amp;CompilDonnées[[#This Row],[ModuleNumber]]</f>
        <v>584</v>
      </c>
      <c r="P5519" t="str">
        <f>CompilDonnées[[#This Row],[Ref_Module]]&amp;CompilDonnées[[#This Row],[HarvestingDate]]</f>
        <v>58446001</v>
      </c>
    </row>
    <row r="5520" spans="1:16">
      <c r="A5520" s="5">
        <v>45955</v>
      </c>
      <c r="B5520">
        <v>51</v>
      </c>
      <c r="C5520" t="s">
        <v>27</v>
      </c>
      <c r="D5520">
        <v>5</v>
      </c>
      <c r="E5520">
        <v>100</v>
      </c>
      <c r="F5520" t="s">
        <v>1</v>
      </c>
      <c r="G5520" s="6">
        <v>46001</v>
      </c>
      <c r="H5520">
        <v>46</v>
      </c>
      <c r="I5520">
        <f>ROUND(CompilDonnées[[#This Row],[CultureDuration_days]]/7,0)</f>
        <v>7</v>
      </c>
      <c r="J5520">
        <v>3214</v>
      </c>
      <c r="K5520" t="str">
        <f>_xlfn.CONCAT(WEEKNUM(CompilDonnées[[#This Row],[PlantationDate]]), " ", YEAR(CompilDonnées[[#This Row],[PlantationDate]]))</f>
        <v>43 2025</v>
      </c>
      <c r="L5520" t="str">
        <f>CONCATENATE(MONTH(CompilDonnées[[#This Row],[PlantationDate]])," ", YEAR(CompilDonnées[[#This Row],[PlantationDate]]))</f>
        <v>10 2025</v>
      </c>
      <c r="M5520" t="str">
        <f>CONCATENATE(MONTH(CompilDonnées[[#This Row],[HarvestingDate]])," ", YEAR(CompilDonnées[[#This Row],[HarvestingDate]]))</f>
        <v>12 2025</v>
      </c>
      <c r="N5520">
        <f>_xlfn.NUMBERVALUE(CompilDonnées[[#This Row],[FarmID]]&amp;CompilDonnées[[#This Row],[ModuleNumber]]&amp;CompilDonnées[[#This Row],[PlantationDate]])</f>
        <v>51545955</v>
      </c>
      <c r="O5520" t="str">
        <f>CompilDonnées[[#This Row],[FarmID]]&amp;CompilDonnées[[#This Row],[ModuleNumber]]</f>
        <v>515</v>
      </c>
      <c r="P5520" t="str">
        <f>CompilDonnées[[#This Row],[Ref_Module]]&amp;CompilDonnées[[#This Row],[HarvestingDate]]</f>
        <v>51546001</v>
      </c>
    </row>
    <row r="5521" spans="1:16">
      <c r="A5521" s="5">
        <v>45955</v>
      </c>
      <c r="B5521">
        <v>6</v>
      </c>
      <c r="C5521" t="s">
        <v>24</v>
      </c>
      <c r="D5521">
        <v>5</v>
      </c>
      <c r="E5521">
        <v>100</v>
      </c>
      <c r="F5521" t="s">
        <v>1</v>
      </c>
      <c r="G5521" s="6">
        <v>46002</v>
      </c>
      <c r="H5521">
        <v>47</v>
      </c>
      <c r="I5521">
        <f>ROUND(CompilDonnées[[#This Row],[CultureDuration_days]]/7,0)</f>
        <v>7</v>
      </c>
      <c r="J5521">
        <v>4209</v>
      </c>
      <c r="K5521" t="str">
        <f>_xlfn.CONCAT(WEEKNUM(CompilDonnées[[#This Row],[PlantationDate]]), " ", YEAR(CompilDonnées[[#This Row],[PlantationDate]]))</f>
        <v>43 2025</v>
      </c>
      <c r="L5521" t="str">
        <f>CONCATENATE(MONTH(CompilDonnées[[#This Row],[PlantationDate]])," ", YEAR(CompilDonnées[[#This Row],[PlantationDate]]))</f>
        <v>10 2025</v>
      </c>
      <c r="M5521" t="str">
        <f>CONCATENATE(MONTH(CompilDonnées[[#This Row],[HarvestingDate]])," ", YEAR(CompilDonnées[[#This Row],[HarvestingDate]]))</f>
        <v>12 2025</v>
      </c>
      <c r="N5521">
        <f>_xlfn.NUMBERVALUE(CompilDonnées[[#This Row],[FarmID]]&amp;CompilDonnées[[#This Row],[ModuleNumber]]&amp;CompilDonnées[[#This Row],[PlantationDate]])</f>
        <v>6545955</v>
      </c>
      <c r="O5521" t="str">
        <f>CompilDonnées[[#This Row],[FarmID]]&amp;CompilDonnées[[#This Row],[ModuleNumber]]</f>
        <v>65</v>
      </c>
      <c r="P5521" t="str">
        <f>CompilDonnées[[#This Row],[Ref_Module]]&amp;CompilDonnées[[#This Row],[HarvestingDate]]</f>
        <v>6546002</v>
      </c>
    </row>
    <row r="5522" spans="1:16">
      <c r="A5522" s="5">
        <v>45955</v>
      </c>
      <c r="B5522">
        <v>5</v>
      </c>
      <c r="C5522" t="s">
        <v>32</v>
      </c>
      <c r="D5522">
        <v>5</v>
      </c>
      <c r="E5522">
        <v>100</v>
      </c>
      <c r="F5522" t="s">
        <v>1</v>
      </c>
      <c r="G5522" s="6">
        <v>46002</v>
      </c>
      <c r="H5522">
        <v>47</v>
      </c>
      <c r="I5522">
        <f>ROUND(CompilDonnées[[#This Row],[CultureDuration_days]]/7,0)</f>
        <v>7</v>
      </c>
      <c r="J5522">
        <v>2803</v>
      </c>
      <c r="K5522" t="str">
        <f>_xlfn.CONCAT(WEEKNUM(CompilDonnées[[#This Row],[PlantationDate]]), " ", YEAR(CompilDonnées[[#This Row],[PlantationDate]]))</f>
        <v>43 2025</v>
      </c>
      <c r="L5522" t="str">
        <f>CONCATENATE(MONTH(CompilDonnées[[#This Row],[PlantationDate]])," ", YEAR(CompilDonnées[[#This Row],[PlantationDate]]))</f>
        <v>10 2025</v>
      </c>
      <c r="M5522" t="str">
        <f>CONCATENATE(MONTH(CompilDonnées[[#This Row],[HarvestingDate]])," ", YEAR(CompilDonnées[[#This Row],[HarvestingDate]]))</f>
        <v>12 2025</v>
      </c>
      <c r="N5522">
        <f>_xlfn.NUMBERVALUE(CompilDonnées[[#This Row],[FarmID]]&amp;CompilDonnées[[#This Row],[ModuleNumber]]&amp;CompilDonnées[[#This Row],[PlantationDate]])</f>
        <v>5545955</v>
      </c>
      <c r="O5522" t="str">
        <f>CompilDonnées[[#This Row],[FarmID]]&amp;CompilDonnées[[#This Row],[ModuleNumber]]</f>
        <v>55</v>
      </c>
      <c r="P5522" t="str">
        <f>CompilDonnées[[#This Row],[Ref_Module]]&amp;CompilDonnées[[#This Row],[HarvestingDate]]</f>
        <v>5546002</v>
      </c>
    </row>
    <row r="5523" spans="1:16">
      <c r="A5523" s="5">
        <v>45955</v>
      </c>
      <c r="B5523">
        <v>4</v>
      </c>
      <c r="C5523" t="s">
        <v>74</v>
      </c>
      <c r="D5523">
        <v>2</v>
      </c>
      <c r="E5523">
        <v>100</v>
      </c>
      <c r="F5523" t="s">
        <v>1</v>
      </c>
      <c r="G5523" s="6">
        <v>46002</v>
      </c>
      <c r="H5523">
        <v>47</v>
      </c>
      <c r="I5523">
        <f>ROUND(CompilDonnées[[#This Row],[CultureDuration_days]]/7,0)</f>
        <v>7</v>
      </c>
      <c r="J5523">
        <v>2171</v>
      </c>
      <c r="K5523" t="str">
        <f>_xlfn.CONCAT(WEEKNUM(CompilDonnées[[#This Row],[PlantationDate]]), " ", YEAR(CompilDonnées[[#This Row],[PlantationDate]]))</f>
        <v>43 2025</v>
      </c>
      <c r="L5523" t="str">
        <f>CONCATENATE(MONTH(CompilDonnées[[#This Row],[PlantationDate]])," ", YEAR(CompilDonnées[[#This Row],[PlantationDate]]))</f>
        <v>10 2025</v>
      </c>
      <c r="M5523" t="str">
        <f>CONCATENATE(MONTH(CompilDonnées[[#This Row],[HarvestingDate]])," ", YEAR(CompilDonnées[[#This Row],[HarvestingDate]]))</f>
        <v>12 2025</v>
      </c>
      <c r="N5523">
        <f>_xlfn.NUMBERVALUE(CompilDonnées[[#This Row],[FarmID]]&amp;CompilDonnées[[#This Row],[ModuleNumber]]&amp;CompilDonnées[[#This Row],[PlantationDate]])</f>
        <v>4245955</v>
      </c>
      <c r="O5523" t="str">
        <f>CompilDonnées[[#This Row],[FarmID]]&amp;CompilDonnées[[#This Row],[ModuleNumber]]</f>
        <v>42</v>
      </c>
      <c r="P5523" t="str">
        <f>CompilDonnées[[#This Row],[Ref_Module]]&amp;CompilDonnées[[#This Row],[HarvestingDate]]</f>
        <v>4246002</v>
      </c>
    </row>
    <row r="5524" spans="1:16">
      <c r="A5524" s="5">
        <v>45955</v>
      </c>
      <c r="B5524">
        <v>3</v>
      </c>
      <c r="C5524" t="s">
        <v>116</v>
      </c>
      <c r="D5524">
        <v>6</v>
      </c>
      <c r="E5524">
        <v>100</v>
      </c>
      <c r="F5524" t="s">
        <v>1</v>
      </c>
      <c r="G5524" s="6">
        <v>46003</v>
      </c>
      <c r="H5524">
        <v>48</v>
      </c>
      <c r="I5524">
        <f>ROUND(CompilDonnées[[#This Row],[CultureDuration_days]]/7,0)</f>
        <v>7</v>
      </c>
      <c r="J5524">
        <v>2149</v>
      </c>
      <c r="K5524" t="str">
        <f>_xlfn.CONCAT(WEEKNUM(CompilDonnées[[#This Row],[PlantationDate]]), " ", YEAR(CompilDonnées[[#This Row],[PlantationDate]]))</f>
        <v>43 2025</v>
      </c>
      <c r="L5524" t="str">
        <f>CONCATENATE(MONTH(CompilDonnées[[#This Row],[PlantationDate]])," ", YEAR(CompilDonnées[[#This Row],[PlantationDate]]))</f>
        <v>10 2025</v>
      </c>
      <c r="M5524" t="str">
        <f>CONCATENATE(MONTH(CompilDonnées[[#This Row],[HarvestingDate]])," ", YEAR(CompilDonnées[[#This Row],[HarvestingDate]]))</f>
        <v>12 2025</v>
      </c>
      <c r="N5524">
        <f>_xlfn.NUMBERVALUE(CompilDonnées[[#This Row],[FarmID]]&amp;CompilDonnées[[#This Row],[ModuleNumber]]&amp;CompilDonnées[[#This Row],[PlantationDate]])</f>
        <v>3645955</v>
      </c>
      <c r="O5524" t="str">
        <f>CompilDonnées[[#This Row],[FarmID]]&amp;CompilDonnées[[#This Row],[ModuleNumber]]</f>
        <v>36</v>
      </c>
      <c r="P5524" t="str">
        <f>CompilDonnées[[#This Row],[Ref_Module]]&amp;CompilDonnées[[#This Row],[HarvestingDate]]</f>
        <v>3646003</v>
      </c>
    </row>
    <row r="5525" spans="1:16">
      <c r="A5525" s="5">
        <v>45955</v>
      </c>
      <c r="B5525">
        <v>18</v>
      </c>
      <c r="C5525" t="s">
        <v>33</v>
      </c>
      <c r="D5525">
        <v>1</v>
      </c>
      <c r="E5525">
        <v>100</v>
      </c>
      <c r="F5525" t="s">
        <v>1</v>
      </c>
      <c r="G5525" s="6">
        <v>46002</v>
      </c>
      <c r="H5525">
        <v>47</v>
      </c>
      <c r="I5525">
        <f>ROUND(CompilDonnées[[#This Row],[CultureDuration_days]]/7,0)</f>
        <v>7</v>
      </c>
      <c r="J5525">
        <v>4108</v>
      </c>
      <c r="K5525" t="str">
        <f>_xlfn.CONCAT(WEEKNUM(CompilDonnées[[#This Row],[PlantationDate]]), " ", YEAR(CompilDonnées[[#This Row],[PlantationDate]]))</f>
        <v>43 2025</v>
      </c>
      <c r="L5525" t="str">
        <f>CONCATENATE(MONTH(CompilDonnées[[#This Row],[PlantationDate]])," ", YEAR(CompilDonnées[[#This Row],[PlantationDate]]))</f>
        <v>10 2025</v>
      </c>
      <c r="M5525" t="str">
        <f>CONCATENATE(MONTH(CompilDonnées[[#This Row],[HarvestingDate]])," ", YEAR(CompilDonnées[[#This Row],[HarvestingDate]]))</f>
        <v>12 2025</v>
      </c>
      <c r="N5525">
        <f>_xlfn.NUMBERVALUE(CompilDonnées[[#This Row],[FarmID]]&amp;CompilDonnées[[#This Row],[ModuleNumber]]&amp;CompilDonnées[[#This Row],[PlantationDate]])</f>
        <v>18145955</v>
      </c>
      <c r="O5525" t="str">
        <f>CompilDonnées[[#This Row],[FarmID]]&amp;CompilDonnées[[#This Row],[ModuleNumber]]</f>
        <v>181</v>
      </c>
      <c r="P5525" t="str">
        <f>CompilDonnées[[#This Row],[Ref_Module]]&amp;CompilDonnées[[#This Row],[HarvestingDate]]</f>
        <v>18146002</v>
      </c>
    </row>
    <row r="5526" spans="1:16">
      <c r="A5526" s="5">
        <v>45955</v>
      </c>
      <c r="B5526">
        <v>15</v>
      </c>
      <c r="C5526" t="s">
        <v>5</v>
      </c>
      <c r="D5526">
        <v>4</v>
      </c>
      <c r="E5526">
        <v>100</v>
      </c>
      <c r="F5526" t="s">
        <v>1</v>
      </c>
      <c r="G5526" s="6">
        <v>46002</v>
      </c>
      <c r="H5526">
        <v>47</v>
      </c>
      <c r="I5526">
        <f>ROUND(CompilDonnées[[#This Row],[CultureDuration_days]]/7,0)</f>
        <v>7</v>
      </c>
      <c r="J5526">
        <v>1725</v>
      </c>
      <c r="K5526" t="str">
        <f>_xlfn.CONCAT(WEEKNUM(CompilDonnées[[#This Row],[PlantationDate]]), " ", YEAR(CompilDonnées[[#This Row],[PlantationDate]]))</f>
        <v>43 2025</v>
      </c>
      <c r="L5526" t="str">
        <f>CONCATENATE(MONTH(CompilDonnées[[#This Row],[PlantationDate]])," ", YEAR(CompilDonnées[[#This Row],[PlantationDate]]))</f>
        <v>10 2025</v>
      </c>
      <c r="M5526" t="str">
        <f>CONCATENATE(MONTH(CompilDonnées[[#This Row],[HarvestingDate]])," ", YEAR(CompilDonnées[[#This Row],[HarvestingDate]]))</f>
        <v>12 2025</v>
      </c>
      <c r="N5526">
        <f>_xlfn.NUMBERVALUE(CompilDonnées[[#This Row],[FarmID]]&amp;CompilDonnées[[#This Row],[ModuleNumber]]&amp;CompilDonnées[[#This Row],[PlantationDate]])</f>
        <v>15445955</v>
      </c>
      <c r="O5526" t="str">
        <f>CompilDonnées[[#This Row],[FarmID]]&amp;CompilDonnées[[#This Row],[ModuleNumber]]</f>
        <v>154</v>
      </c>
      <c r="P5526" t="str">
        <f>CompilDonnées[[#This Row],[Ref_Module]]&amp;CompilDonnées[[#This Row],[HarvestingDate]]</f>
        <v>15446002</v>
      </c>
    </row>
    <row r="5527" spans="1:16">
      <c r="A5527" s="5">
        <v>45955</v>
      </c>
      <c r="B5527">
        <v>22</v>
      </c>
      <c r="C5527" t="s">
        <v>43</v>
      </c>
      <c r="D5527">
        <v>2</v>
      </c>
      <c r="E5527">
        <v>100</v>
      </c>
      <c r="F5527" t="s">
        <v>1</v>
      </c>
      <c r="G5527" s="6">
        <v>46002</v>
      </c>
      <c r="H5527">
        <v>47</v>
      </c>
      <c r="I5527">
        <f>ROUND(CompilDonnées[[#This Row],[CultureDuration_days]]/7,0)</f>
        <v>7</v>
      </c>
      <c r="J5527">
        <v>2067</v>
      </c>
      <c r="K5527" t="str">
        <f>_xlfn.CONCAT(WEEKNUM(CompilDonnées[[#This Row],[PlantationDate]]), " ", YEAR(CompilDonnées[[#This Row],[PlantationDate]]))</f>
        <v>43 2025</v>
      </c>
      <c r="L5527" t="str">
        <f>CONCATENATE(MONTH(CompilDonnées[[#This Row],[PlantationDate]])," ", YEAR(CompilDonnées[[#This Row],[PlantationDate]]))</f>
        <v>10 2025</v>
      </c>
      <c r="M5527" t="str">
        <f>CONCATENATE(MONTH(CompilDonnées[[#This Row],[HarvestingDate]])," ", YEAR(CompilDonnées[[#This Row],[HarvestingDate]]))</f>
        <v>12 2025</v>
      </c>
      <c r="N5527">
        <f>_xlfn.NUMBERVALUE(CompilDonnées[[#This Row],[FarmID]]&amp;CompilDonnées[[#This Row],[ModuleNumber]]&amp;CompilDonnées[[#This Row],[PlantationDate]])</f>
        <v>22245955</v>
      </c>
      <c r="O5527" t="str">
        <f>CompilDonnées[[#This Row],[FarmID]]&amp;CompilDonnées[[#This Row],[ModuleNumber]]</f>
        <v>222</v>
      </c>
      <c r="P5527" t="str">
        <f>CompilDonnées[[#This Row],[Ref_Module]]&amp;CompilDonnées[[#This Row],[HarvestingDate]]</f>
        <v>22246002</v>
      </c>
    </row>
    <row r="5528" spans="1:16">
      <c r="A5528" s="5">
        <v>45955</v>
      </c>
      <c r="B5528">
        <v>31</v>
      </c>
      <c r="C5528" t="s">
        <v>62</v>
      </c>
      <c r="D5528">
        <v>4</v>
      </c>
      <c r="E5528">
        <v>100</v>
      </c>
      <c r="F5528" t="s">
        <v>1</v>
      </c>
      <c r="G5528" s="6">
        <v>46002</v>
      </c>
      <c r="H5528">
        <v>47</v>
      </c>
      <c r="I5528">
        <f>ROUND(CompilDonnées[[#This Row],[CultureDuration_days]]/7,0)</f>
        <v>7</v>
      </c>
      <c r="J5528">
        <v>2236</v>
      </c>
      <c r="K5528" t="str">
        <f>_xlfn.CONCAT(WEEKNUM(CompilDonnées[[#This Row],[PlantationDate]]), " ", YEAR(CompilDonnées[[#This Row],[PlantationDate]]))</f>
        <v>43 2025</v>
      </c>
      <c r="L5528" t="str">
        <f>CONCATENATE(MONTH(CompilDonnées[[#This Row],[PlantationDate]])," ", YEAR(CompilDonnées[[#This Row],[PlantationDate]]))</f>
        <v>10 2025</v>
      </c>
      <c r="M5528" t="str">
        <f>CONCATENATE(MONTH(CompilDonnées[[#This Row],[HarvestingDate]])," ", YEAR(CompilDonnées[[#This Row],[HarvestingDate]]))</f>
        <v>12 2025</v>
      </c>
      <c r="N5528">
        <f>_xlfn.NUMBERVALUE(CompilDonnées[[#This Row],[FarmID]]&amp;CompilDonnées[[#This Row],[ModuleNumber]]&amp;CompilDonnées[[#This Row],[PlantationDate]])</f>
        <v>31445955</v>
      </c>
      <c r="O5528" t="str">
        <f>CompilDonnées[[#This Row],[FarmID]]&amp;CompilDonnées[[#This Row],[ModuleNumber]]</f>
        <v>314</v>
      </c>
      <c r="P5528" t="str">
        <f>CompilDonnées[[#This Row],[Ref_Module]]&amp;CompilDonnées[[#This Row],[HarvestingDate]]</f>
        <v>31446002</v>
      </c>
    </row>
    <row r="5529" spans="1:16">
      <c r="A5529" s="5">
        <v>45955</v>
      </c>
      <c r="B5529">
        <v>37</v>
      </c>
      <c r="C5529" t="s">
        <v>26</v>
      </c>
      <c r="D5529">
        <v>2</v>
      </c>
      <c r="E5529">
        <v>100</v>
      </c>
      <c r="F5529" t="s">
        <v>1</v>
      </c>
      <c r="G5529" s="6">
        <v>46002</v>
      </c>
      <c r="H5529">
        <v>47</v>
      </c>
      <c r="I5529">
        <f>ROUND(CompilDonnées[[#This Row],[CultureDuration_days]]/7,0)</f>
        <v>7</v>
      </c>
      <c r="J5529">
        <v>2600</v>
      </c>
      <c r="K5529" t="str">
        <f>_xlfn.CONCAT(WEEKNUM(CompilDonnées[[#This Row],[PlantationDate]]), " ", YEAR(CompilDonnées[[#This Row],[PlantationDate]]))</f>
        <v>43 2025</v>
      </c>
      <c r="L5529" t="str">
        <f>CONCATENATE(MONTH(CompilDonnées[[#This Row],[PlantationDate]])," ", YEAR(CompilDonnées[[#This Row],[PlantationDate]]))</f>
        <v>10 2025</v>
      </c>
      <c r="M5529" t="str">
        <f>CONCATENATE(MONTH(CompilDonnées[[#This Row],[HarvestingDate]])," ", YEAR(CompilDonnées[[#This Row],[HarvestingDate]]))</f>
        <v>12 2025</v>
      </c>
      <c r="N5529">
        <f>_xlfn.NUMBERVALUE(CompilDonnées[[#This Row],[FarmID]]&amp;CompilDonnées[[#This Row],[ModuleNumber]]&amp;CompilDonnées[[#This Row],[PlantationDate]])</f>
        <v>37245955</v>
      </c>
      <c r="O5529" t="str">
        <f>CompilDonnées[[#This Row],[FarmID]]&amp;CompilDonnées[[#This Row],[ModuleNumber]]</f>
        <v>372</v>
      </c>
      <c r="P5529" t="str">
        <f>CompilDonnées[[#This Row],[Ref_Module]]&amp;CompilDonnées[[#This Row],[HarvestingDate]]</f>
        <v>37246002</v>
      </c>
    </row>
    <row r="5530" spans="1:16">
      <c r="A5530" s="5">
        <v>45955</v>
      </c>
      <c r="B5530">
        <v>43</v>
      </c>
      <c r="C5530" t="s">
        <v>45</v>
      </c>
      <c r="D5530">
        <v>3</v>
      </c>
      <c r="E5530">
        <v>100</v>
      </c>
      <c r="F5530" t="s">
        <v>1</v>
      </c>
      <c r="G5530" s="6">
        <v>46001</v>
      </c>
      <c r="H5530">
        <v>46</v>
      </c>
      <c r="I5530">
        <f>ROUND(CompilDonnées[[#This Row],[CultureDuration_days]]/7,0)</f>
        <v>7</v>
      </c>
      <c r="J5530">
        <v>2470</v>
      </c>
      <c r="K5530" t="str">
        <f>_xlfn.CONCAT(WEEKNUM(CompilDonnées[[#This Row],[PlantationDate]]), " ", YEAR(CompilDonnées[[#This Row],[PlantationDate]]))</f>
        <v>43 2025</v>
      </c>
      <c r="L5530" t="str">
        <f>CONCATENATE(MONTH(CompilDonnées[[#This Row],[PlantationDate]])," ", YEAR(CompilDonnées[[#This Row],[PlantationDate]]))</f>
        <v>10 2025</v>
      </c>
      <c r="M5530" t="str">
        <f>CONCATENATE(MONTH(CompilDonnées[[#This Row],[HarvestingDate]])," ", YEAR(CompilDonnées[[#This Row],[HarvestingDate]]))</f>
        <v>12 2025</v>
      </c>
      <c r="N5530">
        <f>_xlfn.NUMBERVALUE(CompilDonnées[[#This Row],[FarmID]]&amp;CompilDonnées[[#This Row],[ModuleNumber]]&amp;CompilDonnées[[#This Row],[PlantationDate]])</f>
        <v>43345955</v>
      </c>
      <c r="O5530" t="str">
        <f>CompilDonnées[[#This Row],[FarmID]]&amp;CompilDonnées[[#This Row],[ModuleNumber]]</f>
        <v>433</v>
      </c>
      <c r="P5530" t="str">
        <f>CompilDonnées[[#This Row],[Ref_Module]]&amp;CompilDonnées[[#This Row],[HarvestingDate]]</f>
        <v>43346001</v>
      </c>
    </row>
    <row r="5531" spans="1:16">
      <c r="A5531" s="5">
        <v>45958</v>
      </c>
      <c r="B5531">
        <v>47</v>
      </c>
      <c r="C5531" t="s">
        <v>104</v>
      </c>
      <c r="D5531">
        <v>1</v>
      </c>
      <c r="E5531">
        <v>100</v>
      </c>
      <c r="F5531" t="s">
        <v>1</v>
      </c>
      <c r="G5531" s="6">
        <v>45994</v>
      </c>
      <c r="H5531">
        <v>36</v>
      </c>
      <c r="I5531">
        <f>ROUND(CompilDonnées[[#This Row],[CultureDuration_days]]/7,0)</f>
        <v>5</v>
      </c>
      <c r="J5531">
        <v>1671</v>
      </c>
      <c r="K5531" t="str">
        <f>_xlfn.CONCAT(WEEKNUM(CompilDonnées[[#This Row],[PlantationDate]]), " ", YEAR(CompilDonnées[[#This Row],[PlantationDate]]))</f>
        <v>44 2025</v>
      </c>
      <c r="L5531" t="str">
        <f>CONCATENATE(MONTH(CompilDonnées[[#This Row],[PlantationDate]])," ", YEAR(CompilDonnées[[#This Row],[PlantationDate]]))</f>
        <v>10 2025</v>
      </c>
      <c r="M5531" t="str">
        <f>CONCATENATE(MONTH(CompilDonnées[[#This Row],[HarvestingDate]])," ", YEAR(CompilDonnées[[#This Row],[HarvestingDate]]))</f>
        <v>12 2025</v>
      </c>
      <c r="N5531">
        <f>_xlfn.NUMBERVALUE(CompilDonnées[[#This Row],[FarmID]]&amp;CompilDonnées[[#This Row],[ModuleNumber]]&amp;CompilDonnées[[#This Row],[PlantationDate]])</f>
        <v>47145958</v>
      </c>
      <c r="O5531" t="str">
        <f>CompilDonnées[[#This Row],[FarmID]]&amp;CompilDonnées[[#This Row],[ModuleNumber]]</f>
        <v>471</v>
      </c>
      <c r="P5531" t="str">
        <f>CompilDonnées[[#This Row],[Ref_Module]]&amp;CompilDonnées[[#This Row],[HarvestingDate]]</f>
        <v>47145994</v>
      </c>
    </row>
    <row r="5532" spans="1:16">
      <c r="A5532" s="5">
        <v>45958</v>
      </c>
      <c r="B5532">
        <v>14</v>
      </c>
      <c r="C5532" t="s">
        <v>82</v>
      </c>
      <c r="D5532">
        <v>5</v>
      </c>
      <c r="E5532">
        <v>100</v>
      </c>
      <c r="F5532" t="s">
        <v>1</v>
      </c>
      <c r="G5532" s="6">
        <v>46006</v>
      </c>
      <c r="H5532">
        <v>48</v>
      </c>
      <c r="I5532">
        <f>ROUND(CompilDonnées[[#This Row],[CultureDuration_days]]/7,0)</f>
        <v>7</v>
      </c>
      <c r="J5532">
        <v>1492</v>
      </c>
      <c r="K5532" t="str">
        <f>_xlfn.CONCAT(WEEKNUM(CompilDonnées[[#This Row],[PlantationDate]]), " ", YEAR(CompilDonnées[[#This Row],[PlantationDate]]))</f>
        <v>44 2025</v>
      </c>
      <c r="L5532" t="str">
        <f>CONCATENATE(MONTH(CompilDonnées[[#This Row],[PlantationDate]])," ", YEAR(CompilDonnées[[#This Row],[PlantationDate]]))</f>
        <v>10 2025</v>
      </c>
      <c r="M5532" t="str">
        <f>CONCATENATE(MONTH(CompilDonnées[[#This Row],[HarvestingDate]])," ", YEAR(CompilDonnées[[#This Row],[HarvestingDate]]))</f>
        <v>12 2025</v>
      </c>
      <c r="N5532">
        <f>_xlfn.NUMBERVALUE(CompilDonnées[[#This Row],[FarmID]]&amp;CompilDonnées[[#This Row],[ModuleNumber]]&amp;CompilDonnées[[#This Row],[PlantationDate]])</f>
        <v>14545958</v>
      </c>
      <c r="O5532" t="str">
        <f>CompilDonnées[[#This Row],[FarmID]]&amp;CompilDonnées[[#This Row],[ModuleNumber]]</f>
        <v>145</v>
      </c>
      <c r="P5532" t="str">
        <f>CompilDonnées[[#This Row],[Ref_Module]]&amp;CompilDonnées[[#This Row],[HarvestingDate]]</f>
        <v>14546006</v>
      </c>
    </row>
    <row r="5533" spans="1:16">
      <c r="A5533" s="5">
        <v>45958</v>
      </c>
      <c r="B5533">
        <v>13</v>
      </c>
      <c r="C5533" t="s">
        <v>114</v>
      </c>
      <c r="D5533">
        <v>3</v>
      </c>
      <c r="E5533">
        <v>100</v>
      </c>
      <c r="F5533" t="s">
        <v>1</v>
      </c>
      <c r="G5533" s="6">
        <v>46002</v>
      </c>
      <c r="H5533">
        <v>44</v>
      </c>
      <c r="I5533">
        <f>ROUND(CompilDonnées[[#This Row],[CultureDuration_days]]/7,0)</f>
        <v>6</v>
      </c>
      <c r="J5533">
        <v>2780</v>
      </c>
      <c r="K5533" t="str">
        <f>_xlfn.CONCAT(WEEKNUM(CompilDonnées[[#This Row],[PlantationDate]]), " ", YEAR(CompilDonnées[[#This Row],[PlantationDate]]))</f>
        <v>44 2025</v>
      </c>
      <c r="L5533" t="str">
        <f>CONCATENATE(MONTH(CompilDonnées[[#This Row],[PlantationDate]])," ", YEAR(CompilDonnées[[#This Row],[PlantationDate]]))</f>
        <v>10 2025</v>
      </c>
      <c r="M5533" t="str">
        <f>CONCATENATE(MONTH(CompilDonnées[[#This Row],[HarvestingDate]])," ", YEAR(CompilDonnées[[#This Row],[HarvestingDate]]))</f>
        <v>12 2025</v>
      </c>
      <c r="N5533">
        <f>_xlfn.NUMBERVALUE(CompilDonnées[[#This Row],[FarmID]]&amp;CompilDonnées[[#This Row],[ModuleNumber]]&amp;CompilDonnées[[#This Row],[PlantationDate]])</f>
        <v>13345958</v>
      </c>
      <c r="O5533" t="str">
        <f>CompilDonnées[[#This Row],[FarmID]]&amp;CompilDonnées[[#This Row],[ModuleNumber]]</f>
        <v>133</v>
      </c>
      <c r="P5533" t="str">
        <f>CompilDonnées[[#This Row],[Ref_Module]]&amp;CompilDonnées[[#This Row],[HarvestingDate]]</f>
        <v>13346002</v>
      </c>
    </row>
    <row r="5534" spans="1:16">
      <c r="A5534" s="5">
        <v>45958</v>
      </c>
      <c r="B5534">
        <v>10</v>
      </c>
      <c r="C5534" t="s">
        <v>109</v>
      </c>
      <c r="D5534">
        <v>1</v>
      </c>
      <c r="E5534">
        <v>100</v>
      </c>
      <c r="F5534" t="s">
        <v>1</v>
      </c>
      <c r="G5534" s="6">
        <v>46006</v>
      </c>
      <c r="H5534">
        <v>48</v>
      </c>
      <c r="I5534">
        <f>ROUND(CompilDonnées[[#This Row],[CultureDuration_days]]/7,0)</f>
        <v>7</v>
      </c>
      <c r="J5534">
        <v>2842</v>
      </c>
      <c r="K5534" t="str">
        <f>_xlfn.CONCAT(WEEKNUM(CompilDonnées[[#This Row],[PlantationDate]]), " ", YEAR(CompilDonnées[[#This Row],[PlantationDate]]))</f>
        <v>44 2025</v>
      </c>
      <c r="L5534" t="str">
        <f>CONCATENATE(MONTH(CompilDonnées[[#This Row],[PlantationDate]])," ", YEAR(CompilDonnées[[#This Row],[PlantationDate]]))</f>
        <v>10 2025</v>
      </c>
      <c r="M5534" t="str">
        <f>CONCATENATE(MONTH(CompilDonnées[[#This Row],[HarvestingDate]])," ", YEAR(CompilDonnées[[#This Row],[HarvestingDate]]))</f>
        <v>12 2025</v>
      </c>
      <c r="N5534">
        <f>_xlfn.NUMBERVALUE(CompilDonnées[[#This Row],[FarmID]]&amp;CompilDonnées[[#This Row],[ModuleNumber]]&amp;CompilDonnées[[#This Row],[PlantationDate]])</f>
        <v>10145958</v>
      </c>
      <c r="O5534" t="str">
        <f>CompilDonnées[[#This Row],[FarmID]]&amp;CompilDonnées[[#This Row],[ModuleNumber]]</f>
        <v>101</v>
      </c>
      <c r="P5534" t="str">
        <f>CompilDonnées[[#This Row],[Ref_Module]]&amp;CompilDonnées[[#This Row],[HarvestingDate]]</f>
        <v>10146006</v>
      </c>
    </row>
    <row r="5535" spans="1:16">
      <c r="A5535" s="5">
        <v>45958</v>
      </c>
      <c r="B5535">
        <v>10</v>
      </c>
      <c r="C5535" t="s">
        <v>109</v>
      </c>
      <c r="D5535">
        <v>5</v>
      </c>
      <c r="E5535">
        <v>100</v>
      </c>
      <c r="F5535" t="s">
        <v>1</v>
      </c>
      <c r="G5535" s="6">
        <v>46002</v>
      </c>
      <c r="H5535">
        <v>44</v>
      </c>
      <c r="I5535">
        <f>ROUND(CompilDonnées[[#This Row],[CultureDuration_days]]/7,0)</f>
        <v>6</v>
      </c>
      <c r="J5535">
        <v>2242</v>
      </c>
      <c r="K5535" t="str">
        <f>_xlfn.CONCAT(WEEKNUM(CompilDonnées[[#This Row],[PlantationDate]]), " ", YEAR(CompilDonnées[[#This Row],[PlantationDate]]))</f>
        <v>44 2025</v>
      </c>
      <c r="L5535" t="str">
        <f>CONCATENATE(MONTH(CompilDonnées[[#This Row],[PlantationDate]])," ", YEAR(CompilDonnées[[#This Row],[PlantationDate]]))</f>
        <v>10 2025</v>
      </c>
      <c r="M5535" t="str">
        <f>CONCATENATE(MONTH(CompilDonnées[[#This Row],[HarvestingDate]])," ", YEAR(CompilDonnées[[#This Row],[HarvestingDate]]))</f>
        <v>12 2025</v>
      </c>
      <c r="N5535">
        <f>_xlfn.NUMBERVALUE(CompilDonnées[[#This Row],[FarmID]]&amp;CompilDonnées[[#This Row],[ModuleNumber]]&amp;CompilDonnées[[#This Row],[PlantationDate]])</f>
        <v>10545958</v>
      </c>
      <c r="O5535" t="str">
        <f>CompilDonnées[[#This Row],[FarmID]]&amp;CompilDonnées[[#This Row],[ModuleNumber]]</f>
        <v>105</v>
      </c>
      <c r="P5535" t="str">
        <f>CompilDonnées[[#This Row],[Ref_Module]]&amp;CompilDonnées[[#This Row],[HarvestingDate]]</f>
        <v>10546002</v>
      </c>
    </row>
    <row r="5536" spans="1:16">
      <c r="A5536" s="5">
        <v>45958</v>
      </c>
      <c r="B5536">
        <v>11</v>
      </c>
      <c r="C5536" t="s">
        <v>106</v>
      </c>
      <c r="D5536">
        <v>3</v>
      </c>
      <c r="E5536">
        <v>100</v>
      </c>
      <c r="F5536" t="s">
        <v>1</v>
      </c>
      <c r="G5536" s="6">
        <v>46002</v>
      </c>
      <c r="H5536">
        <v>44</v>
      </c>
      <c r="I5536">
        <f>ROUND(CompilDonnées[[#This Row],[CultureDuration_days]]/7,0)</f>
        <v>6</v>
      </c>
      <c r="J5536">
        <v>1908</v>
      </c>
      <c r="K5536" t="str">
        <f>_xlfn.CONCAT(WEEKNUM(CompilDonnées[[#This Row],[PlantationDate]]), " ", YEAR(CompilDonnées[[#This Row],[PlantationDate]]))</f>
        <v>44 2025</v>
      </c>
      <c r="L5536" t="str">
        <f>CONCATENATE(MONTH(CompilDonnées[[#This Row],[PlantationDate]])," ", YEAR(CompilDonnées[[#This Row],[PlantationDate]]))</f>
        <v>10 2025</v>
      </c>
      <c r="M5536" t="str">
        <f>CONCATENATE(MONTH(CompilDonnées[[#This Row],[HarvestingDate]])," ", YEAR(CompilDonnées[[#This Row],[HarvestingDate]]))</f>
        <v>12 2025</v>
      </c>
      <c r="N5536">
        <f>_xlfn.NUMBERVALUE(CompilDonnées[[#This Row],[FarmID]]&amp;CompilDonnées[[#This Row],[ModuleNumber]]&amp;CompilDonnées[[#This Row],[PlantationDate]])</f>
        <v>11345958</v>
      </c>
      <c r="O5536" t="str">
        <f>CompilDonnées[[#This Row],[FarmID]]&amp;CompilDonnées[[#This Row],[ModuleNumber]]</f>
        <v>113</v>
      </c>
      <c r="P5536" t="str">
        <f>CompilDonnées[[#This Row],[Ref_Module]]&amp;CompilDonnées[[#This Row],[HarvestingDate]]</f>
        <v>11346002</v>
      </c>
    </row>
    <row r="5537" spans="1:16">
      <c r="A5537" s="5">
        <v>45958</v>
      </c>
      <c r="B5537">
        <v>9</v>
      </c>
      <c r="C5537" t="s">
        <v>107</v>
      </c>
      <c r="D5537">
        <v>1</v>
      </c>
      <c r="E5537">
        <v>100</v>
      </c>
      <c r="F5537" t="s">
        <v>1</v>
      </c>
      <c r="G5537" s="6">
        <v>46006</v>
      </c>
      <c r="H5537">
        <v>48</v>
      </c>
      <c r="I5537">
        <f>ROUND(CompilDonnées[[#This Row],[CultureDuration_days]]/7,0)</f>
        <v>7</v>
      </c>
      <c r="J5537">
        <v>2628</v>
      </c>
      <c r="K5537" t="str">
        <f>_xlfn.CONCAT(WEEKNUM(CompilDonnées[[#This Row],[PlantationDate]]), " ", YEAR(CompilDonnées[[#This Row],[PlantationDate]]))</f>
        <v>44 2025</v>
      </c>
      <c r="L5537" t="str">
        <f>CONCATENATE(MONTH(CompilDonnées[[#This Row],[PlantationDate]])," ", YEAR(CompilDonnées[[#This Row],[PlantationDate]]))</f>
        <v>10 2025</v>
      </c>
      <c r="M5537" t="str">
        <f>CONCATENATE(MONTH(CompilDonnées[[#This Row],[HarvestingDate]])," ", YEAR(CompilDonnées[[#This Row],[HarvestingDate]]))</f>
        <v>12 2025</v>
      </c>
      <c r="N5537">
        <f>_xlfn.NUMBERVALUE(CompilDonnées[[#This Row],[FarmID]]&amp;CompilDonnées[[#This Row],[ModuleNumber]]&amp;CompilDonnées[[#This Row],[PlantationDate]])</f>
        <v>9145958</v>
      </c>
      <c r="O5537" t="str">
        <f>CompilDonnées[[#This Row],[FarmID]]&amp;CompilDonnées[[#This Row],[ModuleNumber]]</f>
        <v>91</v>
      </c>
      <c r="P5537" t="str">
        <f>CompilDonnées[[#This Row],[Ref_Module]]&amp;CompilDonnées[[#This Row],[HarvestingDate]]</f>
        <v>9146006</v>
      </c>
    </row>
    <row r="5538" spans="1:16">
      <c r="A5538" s="5">
        <v>45958</v>
      </c>
      <c r="B5538">
        <v>1</v>
      </c>
      <c r="C5538" t="s">
        <v>111</v>
      </c>
      <c r="D5538">
        <v>2</v>
      </c>
      <c r="E5538">
        <v>100</v>
      </c>
      <c r="F5538" t="s">
        <v>1</v>
      </c>
      <c r="G5538" s="6">
        <v>46006</v>
      </c>
      <c r="H5538">
        <v>48</v>
      </c>
      <c r="I5538">
        <f>ROUND(CompilDonnées[[#This Row],[CultureDuration_days]]/7,0)</f>
        <v>7</v>
      </c>
      <c r="J5538">
        <v>2229</v>
      </c>
      <c r="K5538" t="str">
        <f>_xlfn.CONCAT(WEEKNUM(CompilDonnées[[#This Row],[PlantationDate]]), " ", YEAR(CompilDonnées[[#This Row],[PlantationDate]]))</f>
        <v>44 2025</v>
      </c>
      <c r="L5538" t="str">
        <f>CONCATENATE(MONTH(CompilDonnées[[#This Row],[PlantationDate]])," ", YEAR(CompilDonnées[[#This Row],[PlantationDate]]))</f>
        <v>10 2025</v>
      </c>
      <c r="M5538" t="str">
        <f>CONCATENATE(MONTH(CompilDonnées[[#This Row],[HarvestingDate]])," ", YEAR(CompilDonnées[[#This Row],[HarvestingDate]]))</f>
        <v>12 2025</v>
      </c>
      <c r="N5538">
        <f>_xlfn.NUMBERVALUE(CompilDonnées[[#This Row],[FarmID]]&amp;CompilDonnées[[#This Row],[ModuleNumber]]&amp;CompilDonnées[[#This Row],[PlantationDate]])</f>
        <v>1245958</v>
      </c>
      <c r="O5538" t="str">
        <f>CompilDonnées[[#This Row],[FarmID]]&amp;CompilDonnées[[#This Row],[ModuleNumber]]</f>
        <v>12</v>
      </c>
      <c r="P5538" t="str">
        <f>CompilDonnées[[#This Row],[Ref_Module]]&amp;CompilDonnées[[#This Row],[HarvestingDate]]</f>
        <v>1246006</v>
      </c>
    </row>
    <row r="5539" spans="1:16">
      <c r="A5539" s="5">
        <v>45958</v>
      </c>
      <c r="B5539">
        <v>2</v>
      </c>
      <c r="C5539" t="s">
        <v>126</v>
      </c>
      <c r="D5539">
        <v>5</v>
      </c>
      <c r="E5539">
        <v>100</v>
      </c>
      <c r="F5539" t="s">
        <v>1</v>
      </c>
      <c r="G5539" s="6">
        <v>46006</v>
      </c>
      <c r="H5539">
        <v>48</v>
      </c>
      <c r="I5539">
        <f>ROUND(CompilDonnées[[#This Row],[CultureDuration_days]]/7,0)</f>
        <v>7</v>
      </c>
      <c r="J5539">
        <v>1761</v>
      </c>
      <c r="K5539" t="str">
        <f>_xlfn.CONCAT(WEEKNUM(CompilDonnées[[#This Row],[PlantationDate]]), " ", YEAR(CompilDonnées[[#This Row],[PlantationDate]]))</f>
        <v>44 2025</v>
      </c>
      <c r="L5539" t="str">
        <f>CONCATENATE(MONTH(CompilDonnées[[#This Row],[PlantationDate]])," ", YEAR(CompilDonnées[[#This Row],[PlantationDate]]))</f>
        <v>10 2025</v>
      </c>
      <c r="M5539" t="str">
        <f>CONCATENATE(MONTH(CompilDonnées[[#This Row],[HarvestingDate]])," ", YEAR(CompilDonnées[[#This Row],[HarvestingDate]]))</f>
        <v>12 2025</v>
      </c>
      <c r="N5539">
        <f>_xlfn.NUMBERVALUE(CompilDonnées[[#This Row],[FarmID]]&amp;CompilDonnées[[#This Row],[ModuleNumber]]&amp;CompilDonnées[[#This Row],[PlantationDate]])</f>
        <v>2545958</v>
      </c>
      <c r="O5539" t="str">
        <f>CompilDonnées[[#This Row],[FarmID]]&amp;CompilDonnées[[#This Row],[ModuleNumber]]</f>
        <v>25</v>
      </c>
      <c r="P5539" t="str">
        <f>CompilDonnées[[#This Row],[Ref_Module]]&amp;CompilDonnées[[#This Row],[HarvestingDate]]</f>
        <v>2546006</v>
      </c>
    </row>
    <row r="5540" spans="1:16">
      <c r="A5540" s="5">
        <v>45958</v>
      </c>
      <c r="B5540">
        <v>7</v>
      </c>
      <c r="C5540" t="s">
        <v>50</v>
      </c>
      <c r="D5540">
        <v>1</v>
      </c>
      <c r="E5540">
        <v>100</v>
      </c>
      <c r="F5540" t="s">
        <v>1</v>
      </c>
      <c r="G5540" s="6">
        <v>46006</v>
      </c>
      <c r="H5540">
        <v>48</v>
      </c>
      <c r="I5540">
        <f>ROUND(CompilDonnées[[#This Row],[CultureDuration_days]]/7,0)</f>
        <v>7</v>
      </c>
      <c r="J5540">
        <v>1897</v>
      </c>
      <c r="K5540" t="str">
        <f>_xlfn.CONCAT(WEEKNUM(CompilDonnées[[#This Row],[PlantationDate]]), " ", YEAR(CompilDonnées[[#This Row],[PlantationDate]]))</f>
        <v>44 2025</v>
      </c>
      <c r="L5540" t="str">
        <f>CONCATENATE(MONTH(CompilDonnées[[#This Row],[PlantationDate]])," ", YEAR(CompilDonnées[[#This Row],[PlantationDate]]))</f>
        <v>10 2025</v>
      </c>
      <c r="M5540" t="str">
        <f>CONCATENATE(MONTH(CompilDonnées[[#This Row],[HarvestingDate]])," ", YEAR(CompilDonnées[[#This Row],[HarvestingDate]]))</f>
        <v>12 2025</v>
      </c>
      <c r="N5540">
        <f>_xlfn.NUMBERVALUE(CompilDonnées[[#This Row],[FarmID]]&amp;CompilDonnées[[#This Row],[ModuleNumber]]&amp;CompilDonnées[[#This Row],[PlantationDate]])</f>
        <v>7145958</v>
      </c>
      <c r="O5540" t="str">
        <f>CompilDonnées[[#This Row],[FarmID]]&amp;CompilDonnées[[#This Row],[ModuleNumber]]</f>
        <v>71</v>
      </c>
      <c r="P5540" t="str">
        <f>CompilDonnées[[#This Row],[Ref_Module]]&amp;CompilDonnées[[#This Row],[HarvestingDate]]</f>
        <v>7146006</v>
      </c>
    </row>
    <row r="5541" spans="1:16">
      <c r="A5541" s="5">
        <v>45958</v>
      </c>
      <c r="B5541">
        <v>6</v>
      </c>
      <c r="C5541" t="s">
        <v>24</v>
      </c>
      <c r="D5541">
        <v>1</v>
      </c>
      <c r="E5541">
        <v>100</v>
      </c>
      <c r="F5541" t="s">
        <v>1</v>
      </c>
      <c r="G5541" s="6">
        <v>46002</v>
      </c>
      <c r="H5541">
        <v>44</v>
      </c>
      <c r="I5541">
        <f>ROUND(CompilDonnées[[#This Row],[CultureDuration_days]]/7,0)</f>
        <v>6</v>
      </c>
      <c r="J5541">
        <v>4407</v>
      </c>
      <c r="K5541" t="str">
        <f>_xlfn.CONCAT(WEEKNUM(CompilDonnées[[#This Row],[PlantationDate]]), " ", YEAR(CompilDonnées[[#This Row],[PlantationDate]]))</f>
        <v>44 2025</v>
      </c>
      <c r="L5541" t="str">
        <f>CONCATENATE(MONTH(CompilDonnées[[#This Row],[PlantationDate]])," ", YEAR(CompilDonnées[[#This Row],[PlantationDate]]))</f>
        <v>10 2025</v>
      </c>
      <c r="M5541" t="str">
        <f>CONCATENATE(MONTH(CompilDonnées[[#This Row],[HarvestingDate]])," ", YEAR(CompilDonnées[[#This Row],[HarvestingDate]]))</f>
        <v>12 2025</v>
      </c>
      <c r="N5541">
        <f>_xlfn.NUMBERVALUE(CompilDonnées[[#This Row],[FarmID]]&amp;CompilDonnées[[#This Row],[ModuleNumber]]&amp;CompilDonnées[[#This Row],[PlantationDate]])</f>
        <v>6145958</v>
      </c>
      <c r="O5541" t="str">
        <f>CompilDonnées[[#This Row],[FarmID]]&amp;CompilDonnées[[#This Row],[ModuleNumber]]</f>
        <v>61</v>
      </c>
      <c r="P5541" t="str">
        <f>CompilDonnées[[#This Row],[Ref_Module]]&amp;CompilDonnées[[#This Row],[HarvestingDate]]</f>
        <v>6146002</v>
      </c>
    </row>
    <row r="5542" spans="1:16">
      <c r="A5542" s="5">
        <v>45958</v>
      </c>
      <c r="B5542">
        <v>6</v>
      </c>
      <c r="C5542" t="s">
        <v>24</v>
      </c>
      <c r="D5542">
        <v>2</v>
      </c>
      <c r="E5542">
        <v>100</v>
      </c>
      <c r="F5542" t="s">
        <v>1</v>
      </c>
      <c r="G5542" s="6">
        <v>46006</v>
      </c>
      <c r="H5542">
        <v>48</v>
      </c>
      <c r="I5542">
        <f>ROUND(CompilDonnées[[#This Row],[CultureDuration_days]]/7,0)</f>
        <v>7</v>
      </c>
      <c r="J5542">
        <v>3389</v>
      </c>
      <c r="K5542" t="str">
        <f>_xlfn.CONCAT(WEEKNUM(CompilDonnées[[#This Row],[PlantationDate]]), " ", YEAR(CompilDonnées[[#This Row],[PlantationDate]]))</f>
        <v>44 2025</v>
      </c>
      <c r="L5542" t="str">
        <f>CONCATENATE(MONTH(CompilDonnées[[#This Row],[PlantationDate]])," ", YEAR(CompilDonnées[[#This Row],[PlantationDate]]))</f>
        <v>10 2025</v>
      </c>
      <c r="M5542" t="str">
        <f>CONCATENATE(MONTH(CompilDonnées[[#This Row],[HarvestingDate]])," ", YEAR(CompilDonnées[[#This Row],[HarvestingDate]]))</f>
        <v>12 2025</v>
      </c>
      <c r="N5542">
        <f>_xlfn.NUMBERVALUE(CompilDonnées[[#This Row],[FarmID]]&amp;CompilDonnées[[#This Row],[ModuleNumber]]&amp;CompilDonnées[[#This Row],[PlantationDate]])</f>
        <v>6245958</v>
      </c>
      <c r="O5542" t="str">
        <f>CompilDonnées[[#This Row],[FarmID]]&amp;CompilDonnées[[#This Row],[ModuleNumber]]</f>
        <v>62</v>
      </c>
      <c r="P5542" t="str">
        <f>CompilDonnées[[#This Row],[Ref_Module]]&amp;CompilDonnées[[#This Row],[HarvestingDate]]</f>
        <v>6246006</v>
      </c>
    </row>
    <row r="5543" spans="1:16">
      <c r="A5543" s="5">
        <v>45958</v>
      </c>
      <c r="B5543">
        <v>5</v>
      </c>
      <c r="C5543" t="s">
        <v>32</v>
      </c>
      <c r="D5543">
        <v>1</v>
      </c>
      <c r="E5543">
        <v>100</v>
      </c>
      <c r="F5543" t="s">
        <v>1</v>
      </c>
      <c r="G5543" s="6">
        <v>46006</v>
      </c>
      <c r="H5543">
        <v>48</v>
      </c>
      <c r="I5543">
        <f>ROUND(CompilDonnées[[#This Row],[CultureDuration_days]]/7,0)</f>
        <v>7</v>
      </c>
      <c r="J5543">
        <v>2733</v>
      </c>
      <c r="K5543" t="str">
        <f>_xlfn.CONCAT(WEEKNUM(CompilDonnées[[#This Row],[PlantationDate]]), " ", YEAR(CompilDonnées[[#This Row],[PlantationDate]]))</f>
        <v>44 2025</v>
      </c>
      <c r="L5543" t="str">
        <f>CONCATENATE(MONTH(CompilDonnées[[#This Row],[PlantationDate]])," ", YEAR(CompilDonnées[[#This Row],[PlantationDate]]))</f>
        <v>10 2025</v>
      </c>
      <c r="M5543" t="str">
        <f>CONCATENATE(MONTH(CompilDonnées[[#This Row],[HarvestingDate]])," ", YEAR(CompilDonnées[[#This Row],[HarvestingDate]]))</f>
        <v>12 2025</v>
      </c>
      <c r="N5543">
        <f>_xlfn.NUMBERVALUE(CompilDonnées[[#This Row],[FarmID]]&amp;CompilDonnées[[#This Row],[ModuleNumber]]&amp;CompilDonnées[[#This Row],[PlantationDate]])</f>
        <v>5145958</v>
      </c>
      <c r="O5543" t="str">
        <f>CompilDonnées[[#This Row],[FarmID]]&amp;CompilDonnées[[#This Row],[ModuleNumber]]</f>
        <v>51</v>
      </c>
      <c r="P5543" t="str">
        <f>CompilDonnées[[#This Row],[Ref_Module]]&amp;CompilDonnées[[#This Row],[HarvestingDate]]</f>
        <v>5146006</v>
      </c>
    </row>
    <row r="5544" spans="1:16">
      <c r="A5544" s="5">
        <v>45958</v>
      </c>
      <c r="B5544">
        <v>5</v>
      </c>
      <c r="C5544" t="s">
        <v>32</v>
      </c>
      <c r="D5544">
        <v>4</v>
      </c>
      <c r="E5544">
        <v>100</v>
      </c>
      <c r="F5544" t="s">
        <v>1</v>
      </c>
      <c r="G5544" s="6">
        <v>46006</v>
      </c>
      <c r="H5544">
        <v>48</v>
      </c>
      <c r="I5544">
        <f>ROUND(CompilDonnées[[#This Row],[CultureDuration_days]]/7,0)</f>
        <v>7</v>
      </c>
      <c r="J5544">
        <v>2733</v>
      </c>
      <c r="K5544" t="str">
        <f>_xlfn.CONCAT(WEEKNUM(CompilDonnées[[#This Row],[PlantationDate]]), " ", YEAR(CompilDonnées[[#This Row],[PlantationDate]]))</f>
        <v>44 2025</v>
      </c>
      <c r="L5544" t="str">
        <f>CONCATENATE(MONTH(CompilDonnées[[#This Row],[PlantationDate]])," ", YEAR(CompilDonnées[[#This Row],[PlantationDate]]))</f>
        <v>10 2025</v>
      </c>
      <c r="M5544" t="str">
        <f>CONCATENATE(MONTH(CompilDonnées[[#This Row],[HarvestingDate]])," ", YEAR(CompilDonnées[[#This Row],[HarvestingDate]]))</f>
        <v>12 2025</v>
      </c>
      <c r="N5544">
        <f>_xlfn.NUMBERVALUE(CompilDonnées[[#This Row],[FarmID]]&amp;CompilDonnées[[#This Row],[ModuleNumber]]&amp;CompilDonnées[[#This Row],[PlantationDate]])</f>
        <v>5445958</v>
      </c>
      <c r="O5544" t="str">
        <f>CompilDonnées[[#This Row],[FarmID]]&amp;CompilDonnées[[#This Row],[ModuleNumber]]</f>
        <v>54</v>
      </c>
      <c r="P5544" t="str">
        <f>CompilDonnées[[#This Row],[Ref_Module]]&amp;CompilDonnées[[#This Row],[HarvestingDate]]</f>
        <v>5446006</v>
      </c>
    </row>
    <row r="5545" spans="1:16">
      <c r="A5545" s="5">
        <v>45958</v>
      </c>
      <c r="B5545">
        <v>3</v>
      </c>
      <c r="C5545" t="s">
        <v>116</v>
      </c>
      <c r="D5545">
        <v>5</v>
      </c>
      <c r="E5545">
        <v>100</v>
      </c>
      <c r="F5545" t="s">
        <v>1</v>
      </c>
      <c r="G5545" s="6">
        <v>46006</v>
      </c>
      <c r="H5545">
        <v>48</v>
      </c>
      <c r="I5545">
        <f>ROUND(CompilDonnées[[#This Row],[CultureDuration_days]]/7,0)</f>
        <v>7</v>
      </c>
      <c r="J5545">
        <v>1380</v>
      </c>
      <c r="K5545" t="str">
        <f>_xlfn.CONCAT(WEEKNUM(CompilDonnées[[#This Row],[PlantationDate]]), " ", YEAR(CompilDonnées[[#This Row],[PlantationDate]]))</f>
        <v>44 2025</v>
      </c>
      <c r="L5545" t="str">
        <f>CONCATENATE(MONTH(CompilDonnées[[#This Row],[PlantationDate]])," ", YEAR(CompilDonnées[[#This Row],[PlantationDate]]))</f>
        <v>10 2025</v>
      </c>
      <c r="M5545" t="str">
        <f>CONCATENATE(MONTH(CompilDonnées[[#This Row],[HarvestingDate]])," ", YEAR(CompilDonnées[[#This Row],[HarvestingDate]]))</f>
        <v>12 2025</v>
      </c>
      <c r="N5545">
        <f>_xlfn.NUMBERVALUE(CompilDonnées[[#This Row],[FarmID]]&amp;CompilDonnées[[#This Row],[ModuleNumber]]&amp;CompilDonnées[[#This Row],[PlantationDate]])</f>
        <v>3545958</v>
      </c>
      <c r="O5545" t="str">
        <f>CompilDonnées[[#This Row],[FarmID]]&amp;CompilDonnées[[#This Row],[ModuleNumber]]</f>
        <v>35</v>
      </c>
      <c r="P5545" t="str">
        <f>CompilDonnées[[#This Row],[Ref_Module]]&amp;CompilDonnées[[#This Row],[HarvestingDate]]</f>
        <v>3546006</v>
      </c>
    </row>
    <row r="5546" spans="1:16">
      <c r="A5546" s="5">
        <v>45958</v>
      </c>
      <c r="B5546">
        <v>18</v>
      </c>
      <c r="C5546" t="s">
        <v>33</v>
      </c>
      <c r="D5546">
        <v>5</v>
      </c>
      <c r="E5546">
        <v>100</v>
      </c>
      <c r="F5546" t="s">
        <v>1</v>
      </c>
      <c r="G5546" s="6">
        <v>46002</v>
      </c>
      <c r="H5546">
        <v>44</v>
      </c>
      <c r="I5546">
        <f>ROUND(CompilDonnées[[#This Row],[CultureDuration_days]]/7,0)</f>
        <v>6</v>
      </c>
      <c r="J5546">
        <v>4296</v>
      </c>
      <c r="K5546" t="str">
        <f>_xlfn.CONCAT(WEEKNUM(CompilDonnées[[#This Row],[PlantationDate]]), " ", YEAR(CompilDonnées[[#This Row],[PlantationDate]]))</f>
        <v>44 2025</v>
      </c>
      <c r="L5546" t="str">
        <f>CONCATENATE(MONTH(CompilDonnées[[#This Row],[PlantationDate]])," ", YEAR(CompilDonnées[[#This Row],[PlantationDate]]))</f>
        <v>10 2025</v>
      </c>
      <c r="M5546" t="str">
        <f>CONCATENATE(MONTH(CompilDonnées[[#This Row],[HarvestingDate]])," ", YEAR(CompilDonnées[[#This Row],[HarvestingDate]]))</f>
        <v>12 2025</v>
      </c>
      <c r="N5546">
        <f>_xlfn.NUMBERVALUE(CompilDonnées[[#This Row],[FarmID]]&amp;CompilDonnées[[#This Row],[ModuleNumber]]&amp;CompilDonnées[[#This Row],[PlantationDate]])</f>
        <v>18545958</v>
      </c>
      <c r="O5546" t="str">
        <f>CompilDonnées[[#This Row],[FarmID]]&amp;CompilDonnées[[#This Row],[ModuleNumber]]</f>
        <v>185</v>
      </c>
      <c r="P5546" t="str">
        <f>CompilDonnées[[#This Row],[Ref_Module]]&amp;CompilDonnées[[#This Row],[HarvestingDate]]</f>
        <v>18546002</v>
      </c>
    </row>
    <row r="5547" spans="1:16">
      <c r="A5547" s="5">
        <v>45958</v>
      </c>
      <c r="B5547">
        <v>17</v>
      </c>
      <c r="C5547" t="s">
        <v>80</v>
      </c>
      <c r="D5547">
        <v>6</v>
      </c>
      <c r="E5547">
        <v>100</v>
      </c>
      <c r="F5547" t="s">
        <v>1</v>
      </c>
      <c r="G5547" s="6">
        <v>46006</v>
      </c>
      <c r="H5547">
        <v>48</v>
      </c>
      <c r="I5547">
        <f>ROUND(CompilDonnées[[#This Row],[CultureDuration_days]]/7,0)</f>
        <v>7</v>
      </c>
      <c r="J5547">
        <v>2739</v>
      </c>
      <c r="K5547" t="str">
        <f>_xlfn.CONCAT(WEEKNUM(CompilDonnées[[#This Row],[PlantationDate]]), " ", YEAR(CompilDonnées[[#This Row],[PlantationDate]]))</f>
        <v>44 2025</v>
      </c>
      <c r="L5547" t="str">
        <f>CONCATENATE(MONTH(CompilDonnées[[#This Row],[PlantationDate]])," ", YEAR(CompilDonnées[[#This Row],[PlantationDate]]))</f>
        <v>10 2025</v>
      </c>
      <c r="M5547" t="str">
        <f>CONCATENATE(MONTH(CompilDonnées[[#This Row],[HarvestingDate]])," ", YEAR(CompilDonnées[[#This Row],[HarvestingDate]]))</f>
        <v>12 2025</v>
      </c>
      <c r="N5547">
        <f>_xlfn.NUMBERVALUE(CompilDonnées[[#This Row],[FarmID]]&amp;CompilDonnées[[#This Row],[ModuleNumber]]&amp;CompilDonnées[[#This Row],[PlantationDate]])</f>
        <v>17645958</v>
      </c>
      <c r="O5547" t="str">
        <f>CompilDonnées[[#This Row],[FarmID]]&amp;CompilDonnées[[#This Row],[ModuleNumber]]</f>
        <v>176</v>
      </c>
      <c r="P5547" t="str">
        <f>CompilDonnées[[#This Row],[Ref_Module]]&amp;CompilDonnées[[#This Row],[HarvestingDate]]</f>
        <v>17646006</v>
      </c>
    </row>
    <row r="5548" spans="1:16">
      <c r="A5548" s="5">
        <v>45958</v>
      </c>
      <c r="B5548">
        <v>24</v>
      </c>
      <c r="C5548" t="s">
        <v>31</v>
      </c>
      <c r="D5548">
        <v>6</v>
      </c>
      <c r="E5548">
        <v>100</v>
      </c>
      <c r="F5548" t="s">
        <v>1</v>
      </c>
      <c r="G5548" s="6">
        <v>46002</v>
      </c>
      <c r="H5548">
        <v>44</v>
      </c>
      <c r="I5548">
        <f>ROUND(CompilDonnées[[#This Row],[CultureDuration_days]]/7,0)</f>
        <v>6</v>
      </c>
      <c r="J5548">
        <v>4132</v>
      </c>
      <c r="K5548" t="str">
        <f>_xlfn.CONCAT(WEEKNUM(CompilDonnées[[#This Row],[PlantationDate]]), " ", YEAR(CompilDonnées[[#This Row],[PlantationDate]]))</f>
        <v>44 2025</v>
      </c>
      <c r="L5548" t="str">
        <f>CONCATENATE(MONTH(CompilDonnées[[#This Row],[PlantationDate]])," ", YEAR(CompilDonnées[[#This Row],[PlantationDate]]))</f>
        <v>10 2025</v>
      </c>
      <c r="M5548" t="str">
        <f>CONCATENATE(MONTH(CompilDonnées[[#This Row],[HarvestingDate]])," ", YEAR(CompilDonnées[[#This Row],[HarvestingDate]]))</f>
        <v>12 2025</v>
      </c>
      <c r="N5548">
        <f>_xlfn.NUMBERVALUE(CompilDonnées[[#This Row],[FarmID]]&amp;CompilDonnées[[#This Row],[ModuleNumber]]&amp;CompilDonnées[[#This Row],[PlantationDate]])</f>
        <v>24645958</v>
      </c>
      <c r="O5548" t="str">
        <f>CompilDonnées[[#This Row],[FarmID]]&amp;CompilDonnées[[#This Row],[ModuleNumber]]</f>
        <v>246</v>
      </c>
      <c r="P5548" t="str">
        <f>CompilDonnées[[#This Row],[Ref_Module]]&amp;CompilDonnées[[#This Row],[HarvestingDate]]</f>
        <v>24646002</v>
      </c>
    </row>
    <row r="5549" spans="1:16">
      <c r="A5549" s="5">
        <v>45958</v>
      </c>
      <c r="B5549">
        <v>23</v>
      </c>
      <c r="C5549" t="s">
        <v>44</v>
      </c>
      <c r="D5549">
        <v>1</v>
      </c>
      <c r="E5549">
        <v>100</v>
      </c>
      <c r="F5549" t="s">
        <v>1</v>
      </c>
      <c r="G5549" s="6">
        <v>46003</v>
      </c>
      <c r="H5549">
        <v>45</v>
      </c>
      <c r="I5549">
        <f>ROUND(CompilDonnées[[#This Row],[CultureDuration_days]]/7,0)</f>
        <v>6</v>
      </c>
      <c r="J5549">
        <v>2670</v>
      </c>
      <c r="K5549" t="str">
        <f>_xlfn.CONCAT(WEEKNUM(CompilDonnées[[#This Row],[PlantationDate]]), " ", YEAR(CompilDonnées[[#This Row],[PlantationDate]]))</f>
        <v>44 2025</v>
      </c>
      <c r="L5549" t="str">
        <f>CONCATENATE(MONTH(CompilDonnées[[#This Row],[PlantationDate]])," ", YEAR(CompilDonnées[[#This Row],[PlantationDate]]))</f>
        <v>10 2025</v>
      </c>
      <c r="M5549" t="str">
        <f>CONCATENATE(MONTH(CompilDonnées[[#This Row],[HarvestingDate]])," ", YEAR(CompilDonnées[[#This Row],[HarvestingDate]]))</f>
        <v>12 2025</v>
      </c>
      <c r="N5549">
        <f>_xlfn.NUMBERVALUE(CompilDonnées[[#This Row],[FarmID]]&amp;CompilDonnées[[#This Row],[ModuleNumber]]&amp;CompilDonnées[[#This Row],[PlantationDate]])</f>
        <v>23145958</v>
      </c>
      <c r="O5549" t="str">
        <f>CompilDonnées[[#This Row],[FarmID]]&amp;CompilDonnées[[#This Row],[ModuleNumber]]</f>
        <v>231</v>
      </c>
      <c r="P5549" t="str">
        <f>CompilDonnées[[#This Row],[Ref_Module]]&amp;CompilDonnées[[#This Row],[HarvestingDate]]</f>
        <v>23146003</v>
      </c>
    </row>
    <row r="5550" spans="1:16">
      <c r="A5550" s="5">
        <v>45958</v>
      </c>
      <c r="B5550">
        <v>22</v>
      </c>
      <c r="C5550" t="s">
        <v>43</v>
      </c>
      <c r="D5550">
        <v>1</v>
      </c>
      <c r="E5550">
        <v>100</v>
      </c>
      <c r="F5550" t="s">
        <v>1</v>
      </c>
      <c r="G5550" s="6">
        <v>46006</v>
      </c>
      <c r="H5550">
        <v>48</v>
      </c>
      <c r="I5550">
        <f>ROUND(CompilDonnées[[#This Row],[CultureDuration_days]]/7,0)</f>
        <v>7</v>
      </c>
      <c r="J5550">
        <v>2106</v>
      </c>
      <c r="K5550" t="str">
        <f>_xlfn.CONCAT(WEEKNUM(CompilDonnées[[#This Row],[PlantationDate]]), " ", YEAR(CompilDonnées[[#This Row],[PlantationDate]]))</f>
        <v>44 2025</v>
      </c>
      <c r="L5550" t="str">
        <f>CONCATENATE(MONTH(CompilDonnées[[#This Row],[PlantationDate]])," ", YEAR(CompilDonnées[[#This Row],[PlantationDate]]))</f>
        <v>10 2025</v>
      </c>
      <c r="M5550" t="str">
        <f>CONCATENATE(MONTH(CompilDonnées[[#This Row],[HarvestingDate]])," ", YEAR(CompilDonnées[[#This Row],[HarvestingDate]]))</f>
        <v>12 2025</v>
      </c>
      <c r="N5550">
        <f>_xlfn.NUMBERVALUE(CompilDonnées[[#This Row],[FarmID]]&amp;CompilDonnées[[#This Row],[ModuleNumber]]&amp;CompilDonnées[[#This Row],[PlantationDate]])</f>
        <v>22145958</v>
      </c>
      <c r="O5550" t="str">
        <f>CompilDonnées[[#This Row],[FarmID]]&amp;CompilDonnées[[#This Row],[ModuleNumber]]</f>
        <v>221</v>
      </c>
      <c r="P5550" t="str">
        <f>CompilDonnées[[#This Row],[Ref_Module]]&amp;CompilDonnées[[#This Row],[HarvestingDate]]</f>
        <v>22146006</v>
      </c>
    </row>
    <row r="5551" spans="1:16">
      <c r="A5551" s="5">
        <v>45958</v>
      </c>
      <c r="B5551">
        <v>21</v>
      </c>
      <c r="C5551" t="s">
        <v>0</v>
      </c>
      <c r="D5551">
        <v>5</v>
      </c>
      <c r="E5551">
        <v>100</v>
      </c>
      <c r="F5551" t="s">
        <v>1</v>
      </c>
      <c r="G5551" s="6">
        <v>46003</v>
      </c>
      <c r="H5551">
        <v>45</v>
      </c>
      <c r="I5551">
        <f>ROUND(CompilDonnées[[#This Row],[CultureDuration_days]]/7,0)</f>
        <v>6</v>
      </c>
      <c r="J5551">
        <v>2345</v>
      </c>
      <c r="K5551" t="str">
        <f>_xlfn.CONCAT(WEEKNUM(CompilDonnées[[#This Row],[PlantationDate]]), " ", YEAR(CompilDonnées[[#This Row],[PlantationDate]]))</f>
        <v>44 2025</v>
      </c>
      <c r="L5551" t="str">
        <f>CONCATENATE(MONTH(CompilDonnées[[#This Row],[PlantationDate]])," ", YEAR(CompilDonnées[[#This Row],[PlantationDate]]))</f>
        <v>10 2025</v>
      </c>
      <c r="M5551" t="str">
        <f>CONCATENATE(MONTH(CompilDonnées[[#This Row],[HarvestingDate]])," ", YEAR(CompilDonnées[[#This Row],[HarvestingDate]]))</f>
        <v>12 2025</v>
      </c>
      <c r="N5551">
        <f>_xlfn.NUMBERVALUE(CompilDonnées[[#This Row],[FarmID]]&amp;CompilDonnées[[#This Row],[ModuleNumber]]&amp;CompilDonnées[[#This Row],[PlantationDate]])</f>
        <v>21545958</v>
      </c>
      <c r="O5551" t="str">
        <f>CompilDonnées[[#This Row],[FarmID]]&amp;CompilDonnées[[#This Row],[ModuleNumber]]</f>
        <v>215</v>
      </c>
      <c r="P5551" t="str">
        <f>CompilDonnées[[#This Row],[Ref_Module]]&amp;CompilDonnées[[#This Row],[HarvestingDate]]</f>
        <v>21546003</v>
      </c>
    </row>
    <row r="5552" spans="1:16">
      <c r="A5552" s="5">
        <v>45958</v>
      </c>
      <c r="B5552">
        <v>31</v>
      </c>
      <c r="C5552" t="s">
        <v>62</v>
      </c>
      <c r="D5552">
        <v>6</v>
      </c>
      <c r="E5552">
        <v>100</v>
      </c>
      <c r="F5552" t="s">
        <v>1</v>
      </c>
      <c r="G5552" s="6">
        <v>46006</v>
      </c>
      <c r="H5552">
        <v>48</v>
      </c>
      <c r="I5552">
        <f>ROUND(CompilDonnées[[#This Row],[CultureDuration_days]]/7,0)</f>
        <v>7</v>
      </c>
      <c r="J5552">
        <v>2864</v>
      </c>
      <c r="K5552" t="str">
        <f>_xlfn.CONCAT(WEEKNUM(CompilDonnées[[#This Row],[PlantationDate]]), " ", YEAR(CompilDonnées[[#This Row],[PlantationDate]]))</f>
        <v>44 2025</v>
      </c>
      <c r="L5552" t="str">
        <f>CONCATENATE(MONTH(CompilDonnées[[#This Row],[PlantationDate]])," ", YEAR(CompilDonnées[[#This Row],[PlantationDate]]))</f>
        <v>10 2025</v>
      </c>
      <c r="M5552" t="str">
        <f>CONCATENATE(MONTH(CompilDonnées[[#This Row],[HarvestingDate]])," ", YEAR(CompilDonnées[[#This Row],[HarvestingDate]]))</f>
        <v>12 2025</v>
      </c>
      <c r="N5552">
        <f>_xlfn.NUMBERVALUE(CompilDonnées[[#This Row],[FarmID]]&amp;CompilDonnées[[#This Row],[ModuleNumber]]&amp;CompilDonnées[[#This Row],[PlantationDate]])</f>
        <v>31645958</v>
      </c>
      <c r="O5552" t="str">
        <f>CompilDonnées[[#This Row],[FarmID]]&amp;CompilDonnées[[#This Row],[ModuleNumber]]</f>
        <v>316</v>
      </c>
      <c r="P5552" t="str">
        <f>CompilDonnées[[#This Row],[Ref_Module]]&amp;CompilDonnées[[#This Row],[HarvestingDate]]</f>
        <v>31646006</v>
      </c>
    </row>
    <row r="5553" spans="1:16">
      <c r="A5553" s="5">
        <v>45958</v>
      </c>
      <c r="B5553">
        <v>38</v>
      </c>
      <c r="C5553" t="s">
        <v>34</v>
      </c>
      <c r="D5553">
        <v>6</v>
      </c>
      <c r="E5553">
        <v>100</v>
      </c>
      <c r="F5553" t="s">
        <v>1</v>
      </c>
      <c r="G5553" s="6">
        <v>46002</v>
      </c>
      <c r="H5553">
        <v>44</v>
      </c>
      <c r="I5553">
        <f>ROUND(CompilDonnées[[#This Row],[CultureDuration_days]]/7,0)</f>
        <v>6</v>
      </c>
      <c r="J5553">
        <v>4577</v>
      </c>
      <c r="K5553" t="str">
        <f>_xlfn.CONCAT(WEEKNUM(CompilDonnées[[#This Row],[PlantationDate]]), " ", YEAR(CompilDonnées[[#This Row],[PlantationDate]]))</f>
        <v>44 2025</v>
      </c>
      <c r="L5553" t="str">
        <f>CONCATENATE(MONTH(CompilDonnées[[#This Row],[PlantationDate]])," ", YEAR(CompilDonnées[[#This Row],[PlantationDate]]))</f>
        <v>10 2025</v>
      </c>
      <c r="M5553" t="str">
        <f>CONCATENATE(MONTH(CompilDonnées[[#This Row],[HarvestingDate]])," ", YEAR(CompilDonnées[[#This Row],[HarvestingDate]]))</f>
        <v>12 2025</v>
      </c>
      <c r="N5553">
        <f>_xlfn.NUMBERVALUE(CompilDonnées[[#This Row],[FarmID]]&amp;CompilDonnées[[#This Row],[ModuleNumber]]&amp;CompilDonnées[[#This Row],[PlantationDate]])</f>
        <v>38645958</v>
      </c>
      <c r="O5553" t="str">
        <f>CompilDonnées[[#This Row],[FarmID]]&amp;CompilDonnées[[#This Row],[ModuleNumber]]</f>
        <v>386</v>
      </c>
      <c r="P5553" t="str">
        <f>CompilDonnées[[#This Row],[Ref_Module]]&amp;CompilDonnées[[#This Row],[HarvestingDate]]</f>
        <v>38646002</v>
      </c>
    </row>
    <row r="5554" spans="1:16">
      <c r="A5554" s="5">
        <v>45958</v>
      </c>
      <c r="B5554">
        <v>37</v>
      </c>
      <c r="C5554" t="s">
        <v>26</v>
      </c>
      <c r="D5554">
        <v>4</v>
      </c>
      <c r="E5554">
        <v>100</v>
      </c>
      <c r="F5554" t="s">
        <v>1</v>
      </c>
      <c r="G5554" s="6">
        <v>46006</v>
      </c>
      <c r="H5554">
        <v>48</v>
      </c>
      <c r="I5554">
        <f>ROUND(CompilDonnées[[#This Row],[CultureDuration_days]]/7,0)</f>
        <v>7</v>
      </c>
      <c r="J5554">
        <v>2393</v>
      </c>
      <c r="K5554" t="str">
        <f>_xlfn.CONCAT(WEEKNUM(CompilDonnées[[#This Row],[PlantationDate]]), " ", YEAR(CompilDonnées[[#This Row],[PlantationDate]]))</f>
        <v>44 2025</v>
      </c>
      <c r="L5554" t="str">
        <f>CONCATENATE(MONTH(CompilDonnées[[#This Row],[PlantationDate]])," ", YEAR(CompilDonnées[[#This Row],[PlantationDate]]))</f>
        <v>10 2025</v>
      </c>
      <c r="M5554" t="str">
        <f>CONCATENATE(MONTH(CompilDonnées[[#This Row],[HarvestingDate]])," ", YEAR(CompilDonnées[[#This Row],[HarvestingDate]]))</f>
        <v>12 2025</v>
      </c>
      <c r="N5554">
        <f>_xlfn.NUMBERVALUE(CompilDonnées[[#This Row],[FarmID]]&amp;CompilDonnées[[#This Row],[ModuleNumber]]&amp;CompilDonnées[[#This Row],[PlantationDate]])</f>
        <v>37445958</v>
      </c>
      <c r="O5554" t="str">
        <f>CompilDonnées[[#This Row],[FarmID]]&amp;CompilDonnées[[#This Row],[ModuleNumber]]</f>
        <v>374</v>
      </c>
      <c r="P5554" t="str">
        <f>CompilDonnées[[#This Row],[Ref_Module]]&amp;CompilDonnées[[#This Row],[HarvestingDate]]</f>
        <v>37446006</v>
      </c>
    </row>
    <row r="5555" spans="1:16">
      <c r="A5555" s="5">
        <v>45958</v>
      </c>
      <c r="B5555">
        <v>45</v>
      </c>
      <c r="C5555" t="s">
        <v>77</v>
      </c>
      <c r="D5555">
        <v>6</v>
      </c>
      <c r="E5555">
        <v>100</v>
      </c>
      <c r="F5555" t="s">
        <v>1</v>
      </c>
      <c r="G5555" s="6">
        <v>46002</v>
      </c>
      <c r="H5555">
        <v>44</v>
      </c>
      <c r="I5555">
        <f>ROUND(CompilDonnées[[#This Row],[CultureDuration_days]]/7,0)</f>
        <v>6</v>
      </c>
      <c r="J5555">
        <v>3960</v>
      </c>
      <c r="K5555" t="str">
        <f>_xlfn.CONCAT(WEEKNUM(CompilDonnées[[#This Row],[PlantationDate]]), " ", YEAR(CompilDonnées[[#This Row],[PlantationDate]]))</f>
        <v>44 2025</v>
      </c>
      <c r="L5555" t="str">
        <f>CONCATENATE(MONTH(CompilDonnées[[#This Row],[PlantationDate]])," ", YEAR(CompilDonnées[[#This Row],[PlantationDate]]))</f>
        <v>10 2025</v>
      </c>
      <c r="M5555" t="str">
        <f>CONCATENATE(MONTH(CompilDonnées[[#This Row],[HarvestingDate]])," ", YEAR(CompilDonnées[[#This Row],[HarvestingDate]]))</f>
        <v>12 2025</v>
      </c>
      <c r="N5555">
        <f>_xlfn.NUMBERVALUE(CompilDonnées[[#This Row],[FarmID]]&amp;CompilDonnées[[#This Row],[ModuleNumber]]&amp;CompilDonnées[[#This Row],[PlantationDate]])</f>
        <v>45645958</v>
      </c>
      <c r="O5555" t="str">
        <f>CompilDonnées[[#This Row],[FarmID]]&amp;CompilDonnées[[#This Row],[ModuleNumber]]</f>
        <v>456</v>
      </c>
      <c r="P5555" t="str">
        <f>CompilDonnées[[#This Row],[Ref_Module]]&amp;CompilDonnées[[#This Row],[HarvestingDate]]</f>
        <v>45646002</v>
      </c>
    </row>
    <row r="5556" spans="1:16">
      <c r="A5556" s="5">
        <v>45958</v>
      </c>
      <c r="B5556">
        <v>44</v>
      </c>
      <c r="C5556" t="s">
        <v>42</v>
      </c>
      <c r="D5556">
        <v>5</v>
      </c>
      <c r="E5556">
        <v>100</v>
      </c>
      <c r="F5556" t="s">
        <v>1</v>
      </c>
      <c r="G5556" s="6">
        <v>46006</v>
      </c>
      <c r="H5556">
        <v>48</v>
      </c>
      <c r="I5556">
        <f>ROUND(CompilDonnées[[#This Row],[CultureDuration_days]]/7,0)</f>
        <v>7</v>
      </c>
      <c r="J5556">
        <v>2354</v>
      </c>
      <c r="K5556" t="str">
        <f>_xlfn.CONCAT(WEEKNUM(CompilDonnées[[#This Row],[PlantationDate]]), " ", YEAR(CompilDonnées[[#This Row],[PlantationDate]]))</f>
        <v>44 2025</v>
      </c>
      <c r="L5556" t="str">
        <f>CONCATENATE(MONTH(CompilDonnées[[#This Row],[PlantationDate]])," ", YEAR(CompilDonnées[[#This Row],[PlantationDate]]))</f>
        <v>10 2025</v>
      </c>
      <c r="M5556" t="str">
        <f>CONCATENATE(MONTH(CompilDonnées[[#This Row],[HarvestingDate]])," ", YEAR(CompilDonnées[[#This Row],[HarvestingDate]]))</f>
        <v>12 2025</v>
      </c>
      <c r="N5556">
        <f>_xlfn.NUMBERVALUE(CompilDonnées[[#This Row],[FarmID]]&amp;CompilDonnées[[#This Row],[ModuleNumber]]&amp;CompilDonnées[[#This Row],[PlantationDate]])</f>
        <v>44545958</v>
      </c>
      <c r="O5556" t="str">
        <f>CompilDonnées[[#This Row],[FarmID]]&amp;CompilDonnées[[#This Row],[ModuleNumber]]</f>
        <v>445</v>
      </c>
      <c r="P5556" t="str">
        <f>CompilDonnées[[#This Row],[Ref_Module]]&amp;CompilDonnées[[#This Row],[HarvestingDate]]</f>
        <v>44546006</v>
      </c>
    </row>
    <row r="5557" spans="1:16">
      <c r="A5557" s="5">
        <v>45958</v>
      </c>
      <c r="B5557">
        <v>43</v>
      </c>
      <c r="C5557" t="s">
        <v>45</v>
      </c>
      <c r="D5557">
        <v>6</v>
      </c>
      <c r="E5557">
        <v>100</v>
      </c>
      <c r="F5557" t="s">
        <v>1</v>
      </c>
      <c r="G5557" s="6">
        <v>45995</v>
      </c>
      <c r="H5557">
        <v>37</v>
      </c>
      <c r="I5557">
        <f>ROUND(CompilDonnées[[#This Row],[CultureDuration_days]]/7,0)</f>
        <v>5</v>
      </c>
      <c r="J5557">
        <v>2812</v>
      </c>
      <c r="K5557" t="str">
        <f>_xlfn.CONCAT(WEEKNUM(CompilDonnées[[#This Row],[PlantationDate]]), " ", YEAR(CompilDonnées[[#This Row],[PlantationDate]]))</f>
        <v>44 2025</v>
      </c>
      <c r="L5557" t="str">
        <f>CONCATENATE(MONTH(CompilDonnées[[#This Row],[PlantationDate]])," ", YEAR(CompilDonnées[[#This Row],[PlantationDate]]))</f>
        <v>10 2025</v>
      </c>
      <c r="M5557" t="str">
        <f>CONCATENATE(MONTH(CompilDonnées[[#This Row],[HarvestingDate]])," ", YEAR(CompilDonnées[[#This Row],[HarvestingDate]]))</f>
        <v>12 2025</v>
      </c>
      <c r="N5557">
        <f>_xlfn.NUMBERVALUE(CompilDonnées[[#This Row],[FarmID]]&amp;CompilDonnées[[#This Row],[ModuleNumber]]&amp;CompilDonnées[[#This Row],[PlantationDate]])</f>
        <v>43645958</v>
      </c>
      <c r="O5557" t="str">
        <f>CompilDonnées[[#This Row],[FarmID]]&amp;CompilDonnées[[#This Row],[ModuleNumber]]</f>
        <v>436</v>
      </c>
      <c r="P5557" t="str">
        <f>CompilDonnées[[#This Row],[Ref_Module]]&amp;CompilDonnées[[#This Row],[HarvestingDate]]</f>
        <v>43645995</v>
      </c>
    </row>
    <row r="5558" spans="1:16">
      <c r="A5558" s="5">
        <v>45958</v>
      </c>
      <c r="B5558">
        <v>42</v>
      </c>
      <c r="C5558" t="s">
        <v>119</v>
      </c>
      <c r="D5558">
        <v>6</v>
      </c>
      <c r="E5558">
        <v>100</v>
      </c>
      <c r="F5558" t="s">
        <v>1</v>
      </c>
      <c r="G5558" s="6">
        <v>45994</v>
      </c>
      <c r="H5558">
        <v>36</v>
      </c>
      <c r="I5558">
        <f>ROUND(CompilDonnées[[#This Row],[CultureDuration_days]]/7,0)</f>
        <v>5</v>
      </c>
      <c r="J5558">
        <v>2105</v>
      </c>
      <c r="K5558" t="str">
        <f>_xlfn.CONCAT(WEEKNUM(CompilDonnées[[#This Row],[PlantationDate]]), " ", YEAR(CompilDonnées[[#This Row],[PlantationDate]]))</f>
        <v>44 2025</v>
      </c>
      <c r="L5558" t="str">
        <f>CONCATENATE(MONTH(CompilDonnées[[#This Row],[PlantationDate]])," ", YEAR(CompilDonnées[[#This Row],[PlantationDate]]))</f>
        <v>10 2025</v>
      </c>
      <c r="M5558" t="str">
        <f>CONCATENATE(MONTH(CompilDonnées[[#This Row],[HarvestingDate]])," ", YEAR(CompilDonnées[[#This Row],[HarvestingDate]]))</f>
        <v>12 2025</v>
      </c>
      <c r="N5558">
        <f>_xlfn.NUMBERVALUE(CompilDonnées[[#This Row],[FarmID]]&amp;CompilDonnées[[#This Row],[ModuleNumber]]&amp;CompilDonnées[[#This Row],[PlantationDate]])</f>
        <v>42645958</v>
      </c>
      <c r="O5558" t="str">
        <f>CompilDonnées[[#This Row],[FarmID]]&amp;CompilDonnées[[#This Row],[ModuleNumber]]</f>
        <v>426</v>
      </c>
      <c r="P5558" t="str">
        <f>CompilDonnées[[#This Row],[Ref_Module]]&amp;CompilDonnées[[#This Row],[HarvestingDate]]</f>
        <v>42645994</v>
      </c>
    </row>
    <row r="5559" spans="1:16">
      <c r="A5559" s="5">
        <v>45958</v>
      </c>
      <c r="B5559">
        <v>41</v>
      </c>
      <c r="C5559" t="s">
        <v>70</v>
      </c>
      <c r="D5559">
        <v>4</v>
      </c>
      <c r="E5559">
        <v>100</v>
      </c>
      <c r="F5559" t="s">
        <v>1</v>
      </c>
      <c r="G5559" s="6">
        <v>46006</v>
      </c>
      <c r="H5559">
        <v>48</v>
      </c>
      <c r="I5559">
        <f>ROUND(CompilDonnées[[#This Row],[CultureDuration_days]]/7,0)</f>
        <v>7</v>
      </c>
      <c r="J5559">
        <v>1746</v>
      </c>
      <c r="K5559" t="str">
        <f>_xlfn.CONCAT(WEEKNUM(CompilDonnées[[#This Row],[PlantationDate]]), " ", YEAR(CompilDonnées[[#This Row],[PlantationDate]]))</f>
        <v>44 2025</v>
      </c>
      <c r="L5559" t="str">
        <f>CONCATENATE(MONTH(CompilDonnées[[#This Row],[PlantationDate]])," ", YEAR(CompilDonnées[[#This Row],[PlantationDate]]))</f>
        <v>10 2025</v>
      </c>
      <c r="M5559" t="str">
        <f>CONCATENATE(MONTH(CompilDonnées[[#This Row],[HarvestingDate]])," ", YEAR(CompilDonnées[[#This Row],[HarvestingDate]]))</f>
        <v>12 2025</v>
      </c>
      <c r="N5559">
        <f>_xlfn.NUMBERVALUE(CompilDonnées[[#This Row],[FarmID]]&amp;CompilDonnées[[#This Row],[ModuleNumber]]&amp;CompilDonnées[[#This Row],[PlantationDate]])</f>
        <v>41445958</v>
      </c>
      <c r="O5559" t="str">
        <f>CompilDonnées[[#This Row],[FarmID]]&amp;CompilDonnées[[#This Row],[ModuleNumber]]</f>
        <v>414</v>
      </c>
      <c r="P5559" t="str">
        <f>CompilDonnées[[#This Row],[Ref_Module]]&amp;CompilDonnées[[#This Row],[HarvestingDate]]</f>
        <v>41446006</v>
      </c>
    </row>
    <row r="5560" spans="1:16">
      <c r="A5560" s="5">
        <v>45958</v>
      </c>
      <c r="B5560">
        <v>145</v>
      </c>
      <c r="C5560" t="s">
        <v>3</v>
      </c>
      <c r="D5560">
        <v>3</v>
      </c>
      <c r="E5560">
        <v>68</v>
      </c>
      <c r="F5560" t="s">
        <v>1</v>
      </c>
      <c r="G5560" s="6">
        <v>45999</v>
      </c>
      <c r="H5560">
        <v>41</v>
      </c>
      <c r="I5560">
        <f>ROUND(CompilDonnées[[#This Row],[CultureDuration_days]]/7,0)</f>
        <v>6</v>
      </c>
      <c r="J5560">
        <v>1491</v>
      </c>
      <c r="K5560" t="str">
        <f>_xlfn.CONCAT(WEEKNUM(CompilDonnées[[#This Row],[PlantationDate]]), " ", YEAR(CompilDonnées[[#This Row],[PlantationDate]]))</f>
        <v>44 2025</v>
      </c>
      <c r="L5560" t="str">
        <f>CONCATENATE(MONTH(CompilDonnées[[#This Row],[PlantationDate]])," ", YEAR(CompilDonnées[[#This Row],[PlantationDate]]))</f>
        <v>10 2025</v>
      </c>
      <c r="M5560" t="str">
        <f>CONCATENATE(MONTH(CompilDonnées[[#This Row],[HarvestingDate]])," ", YEAR(CompilDonnées[[#This Row],[HarvestingDate]]))</f>
        <v>12 2025</v>
      </c>
      <c r="N5560">
        <f>_xlfn.NUMBERVALUE(CompilDonnées[[#This Row],[FarmID]]&amp;CompilDonnées[[#This Row],[ModuleNumber]]&amp;CompilDonnées[[#This Row],[PlantationDate]])</f>
        <v>145345958</v>
      </c>
      <c r="O5560" t="str">
        <f>CompilDonnées[[#This Row],[FarmID]]&amp;CompilDonnées[[#This Row],[ModuleNumber]]</f>
        <v>1453</v>
      </c>
      <c r="P5560" t="str">
        <f>CompilDonnées[[#This Row],[Ref_Module]]&amp;CompilDonnées[[#This Row],[HarvestingDate]]</f>
        <v>145345999</v>
      </c>
    </row>
    <row r="5561" spans="1:16">
      <c r="A5561" s="5">
        <v>45958</v>
      </c>
      <c r="B5561">
        <v>145</v>
      </c>
      <c r="C5561" t="s">
        <v>3</v>
      </c>
      <c r="D5561">
        <v>4</v>
      </c>
      <c r="E5561">
        <v>68</v>
      </c>
      <c r="F5561" t="s">
        <v>1</v>
      </c>
      <c r="G5561" s="6">
        <v>45999</v>
      </c>
      <c r="H5561">
        <v>41</v>
      </c>
      <c r="I5561">
        <f>ROUND(CompilDonnées[[#This Row],[CultureDuration_days]]/7,0)</f>
        <v>6</v>
      </c>
      <c r="J5561">
        <v>1102</v>
      </c>
      <c r="K5561" t="str">
        <f>_xlfn.CONCAT(WEEKNUM(CompilDonnées[[#This Row],[PlantationDate]]), " ", YEAR(CompilDonnées[[#This Row],[PlantationDate]]))</f>
        <v>44 2025</v>
      </c>
      <c r="L5561" t="str">
        <f>CONCATENATE(MONTH(CompilDonnées[[#This Row],[PlantationDate]])," ", YEAR(CompilDonnées[[#This Row],[PlantationDate]]))</f>
        <v>10 2025</v>
      </c>
      <c r="M5561" t="str">
        <f>CONCATENATE(MONTH(CompilDonnées[[#This Row],[HarvestingDate]])," ", YEAR(CompilDonnées[[#This Row],[HarvestingDate]]))</f>
        <v>12 2025</v>
      </c>
      <c r="N5561">
        <f>_xlfn.NUMBERVALUE(CompilDonnées[[#This Row],[FarmID]]&amp;CompilDonnées[[#This Row],[ModuleNumber]]&amp;CompilDonnées[[#This Row],[PlantationDate]])</f>
        <v>145445958</v>
      </c>
      <c r="O5561" t="str">
        <f>CompilDonnées[[#This Row],[FarmID]]&amp;CompilDonnées[[#This Row],[ModuleNumber]]</f>
        <v>1454</v>
      </c>
      <c r="P5561" t="str">
        <f>CompilDonnées[[#This Row],[Ref_Module]]&amp;CompilDonnées[[#This Row],[HarvestingDate]]</f>
        <v>145445999</v>
      </c>
    </row>
    <row r="5562" spans="1:16">
      <c r="A5562" s="5">
        <v>45958</v>
      </c>
      <c r="B5562">
        <v>145</v>
      </c>
      <c r="C5562" t="s">
        <v>3</v>
      </c>
      <c r="D5562">
        <v>5</v>
      </c>
      <c r="E5562">
        <v>68</v>
      </c>
      <c r="F5562" t="s">
        <v>1</v>
      </c>
      <c r="G5562" s="6">
        <v>45999</v>
      </c>
      <c r="H5562">
        <v>41</v>
      </c>
      <c r="I5562">
        <f>ROUND(CompilDonnées[[#This Row],[CultureDuration_days]]/7,0)</f>
        <v>6</v>
      </c>
      <c r="J5562">
        <v>1182</v>
      </c>
      <c r="K5562" t="str">
        <f>_xlfn.CONCAT(WEEKNUM(CompilDonnées[[#This Row],[PlantationDate]]), " ", YEAR(CompilDonnées[[#This Row],[PlantationDate]]))</f>
        <v>44 2025</v>
      </c>
      <c r="L5562" t="str">
        <f>CONCATENATE(MONTH(CompilDonnées[[#This Row],[PlantationDate]])," ", YEAR(CompilDonnées[[#This Row],[PlantationDate]]))</f>
        <v>10 2025</v>
      </c>
      <c r="M5562" t="str">
        <f>CONCATENATE(MONTH(CompilDonnées[[#This Row],[HarvestingDate]])," ", YEAR(CompilDonnées[[#This Row],[HarvestingDate]]))</f>
        <v>12 2025</v>
      </c>
      <c r="N5562">
        <f>_xlfn.NUMBERVALUE(CompilDonnées[[#This Row],[FarmID]]&amp;CompilDonnées[[#This Row],[ModuleNumber]]&amp;CompilDonnées[[#This Row],[PlantationDate]])</f>
        <v>145545958</v>
      </c>
      <c r="O5562" t="str">
        <f>CompilDonnées[[#This Row],[FarmID]]&amp;CompilDonnées[[#This Row],[ModuleNumber]]</f>
        <v>1455</v>
      </c>
      <c r="P5562" t="str">
        <f>CompilDonnées[[#This Row],[Ref_Module]]&amp;CompilDonnées[[#This Row],[HarvestingDate]]</f>
        <v>145545999</v>
      </c>
    </row>
    <row r="5563" spans="1:16">
      <c r="A5563" s="5">
        <v>45958</v>
      </c>
      <c r="B5563">
        <v>145</v>
      </c>
      <c r="C5563" t="s">
        <v>3</v>
      </c>
      <c r="D5563">
        <v>6</v>
      </c>
      <c r="E5563">
        <v>68</v>
      </c>
      <c r="F5563" t="s">
        <v>1</v>
      </c>
      <c r="G5563" s="6">
        <v>45999</v>
      </c>
      <c r="H5563">
        <v>41</v>
      </c>
      <c r="I5563">
        <f>ROUND(CompilDonnées[[#This Row],[CultureDuration_days]]/7,0)</f>
        <v>6</v>
      </c>
      <c r="J5563">
        <v>1115</v>
      </c>
      <c r="K5563" t="str">
        <f>_xlfn.CONCAT(WEEKNUM(CompilDonnées[[#This Row],[PlantationDate]]), " ", YEAR(CompilDonnées[[#This Row],[PlantationDate]]))</f>
        <v>44 2025</v>
      </c>
      <c r="L5563" t="str">
        <f>CONCATENATE(MONTH(CompilDonnées[[#This Row],[PlantationDate]])," ", YEAR(CompilDonnées[[#This Row],[PlantationDate]]))</f>
        <v>10 2025</v>
      </c>
      <c r="M5563" t="str">
        <f>CONCATENATE(MONTH(CompilDonnées[[#This Row],[HarvestingDate]])," ", YEAR(CompilDonnées[[#This Row],[HarvestingDate]]))</f>
        <v>12 2025</v>
      </c>
      <c r="N5563">
        <f>_xlfn.NUMBERVALUE(CompilDonnées[[#This Row],[FarmID]]&amp;CompilDonnées[[#This Row],[ModuleNumber]]&amp;CompilDonnées[[#This Row],[PlantationDate]])</f>
        <v>145645958</v>
      </c>
      <c r="O5563" t="str">
        <f>CompilDonnées[[#This Row],[FarmID]]&amp;CompilDonnées[[#This Row],[ModuleNumber]]</f>
        <v>1456</v>
      </c>
      <c r="P5563" t="str">
        <f>CompilDonnées[[#This Row],[Ref_Module]]&amp;CompilDonnées[[#This Row],[HarvestingDate]]</f>
        <v>145645999</v>
      </c>
    </row>
    <row r="5564" spans="1:16">
      <c r="A5564" s="5">
        <v>45959</v>
      </c>
      <c r="B5564">
        <v>3</v>
      </c>
      <c r="C5564" t="s">
        <v>116</v>
      </c>
      <c r="D5564">
        <v>4</v>
      </c>
      <c r="E5564">
        <v>100</v>
      </c>
      <c r="F5564" t="s">
        <v>1</v>
      </c>
      <c r="G5564" s="6">
        <v>46006</v>
      </c>
      <c r="H5564">
        <v>47</v>
      </c>
      <c r="I5564">
        <f>ROUND(CompilDonnées[[#This Row],[CultureDuration_days]]/7,0)</f>
        <v>7</v>
      </c>
      <c r="J5564">
        <v>1307</v>
      </c>
      <c r="K5564" t="str">
        <f>_xlfn.CONCAT(WEEKNUM(CompilDonnées[[#This Row],[PlantationDate]]), " ", YEAR(CompilDonnées[[#This Row],[PlantationDate]]))</f>
        <v>44 2025</v>
      </c>
      <c r="L5564" t="str">
        <f>CONCATENATE(MONTH(CompilDonnées[[#This Row],[PlantationDate]])," ", YEAR(CompilDonnées[[#This Row],[PlantationDate]]))</f>
        <v>10 2025</v>
      </c>
      <c r="M5564" t="str">
        <f>CONCATENATE(MONTH(CompilDonnées[[#This Row],[HarvestingDate]])," ", YEAR(CompilDonnées[[#This Row],[HarvestingDate]]))</f>
        <v>12 2025</v>
      </c>
      <c r="N5564">
        <f>_xlfn.NUMBERVALUE(CompilDonnées[[#This Row],[FarmID]]&amp;CompilDonnées[[#This Row],[ModuleNumber]]&amp;CompilDonnées[[#This Row],[PlantationDate]])</f>
        <v>3445959</v>
      </c>
      <c r="O5564" t="str">
        <f>CompilDonnées[[#This Row],[FarmID]]&amp;CompilDonnées[[#This Row],[ModuleNumber]]</f>
        <v>34</v>
      </c>
      <c r="P5564" t="str">
        <f>CompilDonnées[[#This Row],[Ref_Module]]&amp;CompilDonnées[[#This Row],[HarvestingDate]]</f>
        <v>3446006</v>
      </c>
    </row>
    <row r="5565" spans="1:16">
      <c r="A5565" s="5">
        <v>45959</v>
      </c>
      <c r="B5565">
        <v>24</v>
      </c>
      <c r="C5565" t="s">
        <v>31</v>
      </c>
      <c r="D5565">
        <v>5</v>
      </c>
      <c r="E5565">
        <v>100</v>
      </c>
      <c r="F5565" t="s">
        <v>1</v>
      </c>
      <c r="G5565" s="6">
        <v>46002</v>
      </c>
      <c r="H5565">
        <v>43</v>
      </c>
      <c r="I5565">
        <f>ROUND(CompilDonnées[[#This Row],[CultureDuration_days]]/7,0)</f>
        <v>6</v>
      </c>
      <c r="J5565">
        <v>3876</v>
      </c>
      <c r="K5565" t="str">
        <f>_xlfn.CONCAT(WEEKNUM(CompilDonnées[[#This Row],[PlantationDate]]), " ", YEAR(CompilDonnées[[#This Row],[PlantationDate]]))</f>
        <v>44 2025</v>
      </c>
      <c r="L5565" t="str">
        <f>CONCATENATE(MONTH(CompilDonnées[[#This Row],[PlantationDate]])," ", YEAR(CompilDonnées[[#This Row],[PlantationDate]]))</f>
        <v>10 2025</v>
      </c>
      <c r="M5565" t="str">
        <f>CONCATENATE(MONTH(CompilDonnées[[#This Row],[HarvestingDate]])," ", YEAR(CompilDonnées[[#This Row],[HarvestingDate]]))</f>
        <v>12 2025</v>
      </c>
      <c r="N5565">
        <f>_xlfn.NUMBERVALUE(CompilDonnées[[#This Row],[FarmID]]&amp;CompilDonnées[[#This Row],[ModuleNumber]]&amp;CompilDonnées[[#This Row],[PlantationDate]])</f>
        <v>24545959</v>
      </c>
      <c r="O5565" t="str">
        <f>CompilDonnées[[#This Row],[FarmID]]&amp;CompilDonnées[[#This Row],[ModuleNumber]]</f>
        <v>245</v>
      </c>
      <c r="P5565" t="str">
        <f>CompilDonnées[[#This Row],[Ref_Module]]&amp;CompilDonnées[[#This Row],[HarvestingDate]]</f>
        <v>24546002</v>
      </c>
    </row>
    <row r="5566" spans="1:16">
      <c r="A5566" s="5">
        <v>45959</v>
      </c>
      <c r="B5566">
        <v>32</v>
      </c>
      <c r="C5566" t="s">
        <v>25</v>
      </c>
      <c r="D5566">
        <v>5</v>
      </c>
      <c r="E5566">
        <v>100</v>
      </c>
      <c r="F5566" t="s">
        <v>1</v>
      </c>
      <c r="G5566" s="6">
        <v>46002</v>
      </c>
      <c r="H5566">
        <v>43</v>
      </c>
      <c r="I5566">
        <f>ROUND(CompilDonnées[[#This Row],[CultureDuration_days]]/7,0)</f>
        <v>6</v>
      </c>
      <c r="J5566">
        <v>3331</v>
      </c>
      <c r="K5566" t="str">
        <f>_xlfn.CONCAT(WEEKNUM(CompilDonnées[[#This Row],[PlantationDate]]), " ", YEAR(CompilDonnées[[#This Row],[PlantationDate]]))</f>
        <v>44 2025</v>
      </c>
      <c r="L5566" t="str">
        <f>CONCATENATE(MONTH(CompilDonnées[[#This Row],[PlantationDate]])," ", YEAR(CompilDonnées[[#This Row],[PlantationDate]]))</f>
        <v>10 2025</v>
      </c>
      <c r="M5566" t="str">
        <f>CONCATENATE(MONTH(CompilDonnées[[#This Row],[HarvestingDate]])," ", YEAR(CompilDonnées[[#This Row],[HarvestingDate]]))</f>
        <v>12 2025</v>
      </c>
      <c r="N5566">
        <f>_xlfn.NUMBERVALUE(CompilDonnées[[#This Row],[FarmID]]&amp;CompilDonnées[[#This Row],[ModuleNumber]]&amp;CompilDonnées[[#This Row],[PlantationDate]])</f>
        <v>32545959</v>
      </c>
      <c r="O5566" t="str">
        <f>CompilDonnées[[#This Row],[FarmID]]&amp;CompilDonnées[[#This Row],[ModuleNumber]]</f>
        <v>325</v>
      </c>
      <c r="P5566" t="str">
        <f>CompilDonnées[[#This Row],[Ref_Module]]&amp;CompilDonnées[[#This Row],[HarvestingDate]]</f>
        <v>32546002</v>
      </c>
    </row>
    <row r="5567" spans="1:16">
      <c r="A5567" s="5">
        <v>45959</v>
      </c>
      <c r="B5567">
        <v>43</v>
      </c>
      <c r="C5567" t="s">
        <v>45</v>
      </c>
      <c r="D5567">
        <v>2</v>
      </c>
      <c r="E5567">
        <v>100</v>
      </c>
      <c r="F5567" t="s">
        <v>1</v>
      </c>
      <c r="G5567" s="6">
        <v>46006</v>
      </c>
      <c r="H5567">
        <v>47</v>
      </c>
      <c r="I5567">
        <f>ROUND(CompilDonnées[[#This Row],[CultureDuration_days]]/7,0)</f>
        <v>7</v>
      </c>
      <c r="J5567">
        <v>1782</v>
      </c>
      <c r="K5567" t="str">
        <f>_xlfn.CONCAT(WEEKNUM(CompilDonnées[[#This Row],[PlantationDate]]), " ", YEAR(CompilDonnées[[#This Row],[PlantationDate]]))</f>
        <v>44 2025</v>
      </c>
      <c r="L5567" t="str">
        <f>CONCATENATE(MONTH(CompilDonnées[[#This Row],[PlantationDate]])," ", YEAR(CompilDonnées[[#This Row],[PlantationDate]]))</f>
        <v>10 2025</v>
      </c>
      <c r="M5567" t="str">
        <f>CONCATENATE(MONTH(CompilDonnées[[#This Row],[HarvestingDate]])," ", YEAR(CompilDonnées[[#This Row],[HarvestingDate]]))</f>
        <v>12 2025</v>
      </c>
      <c r="N5567">
        <f>_xlfn.NUMBERVALUE(CompilDonnées[[#This Row],[FarmID]]&amp;CompilDonnées[[#This Row],[ModuleNumber]]&amp;CompilDonnées[[#This Row],[PlantationDate]])</f>
        <v>43245959</v>
      </c>
      <c r="O5567" t="str">
        <f>CompilDonnées[[#This Row],[FarmID]]&amp;CompilDonnées[[#This Row],[ModuleNumber]]</f>
        <v>432</v>
      </c>
      <c r="P5567" t="str">
        <f>CompilDonnées[[#This Row],[Ref_Module]]&amp;CompilDonnées[[#This Row],[HarvestingDate]]</f>
        <v>43246006</v>
      </c>
    </row>
    <row r="5568" spans="1:16">
      <c r="A5568" s="5">
        <v>45959</v>
      </c>
      <c r="B5568">
        <v>42</v>
      </c>
      <c r="C5568" t="s">
        <v>119</v>
      </c>
      <c r="D5568">
        <v>1</v>
      </c>
      <c r="E5568">
        <v>100</v>
      </c>
      <c r="F5568" t="s">
        <v>1</v>
      </c>
      <c r="G5568" s="6">
        <v>46001</v>
      </c>
      <c r="H5568">
        <v>42</v>
      </c>
      <c r="I5568">
        <f>ROUND(CompilDonnées[[#This Row],[CultureDuration_days]]/7,0)</f>
        <v>6</v>
      </c>
      <c r="J5568">
        <v>1926</v>
      </c>
      <c r="K5568" t="str">
        <f>_xlfn.CONCAT(WEEKNUM(CompilDonnées[[#This Row],[PlantationDate]]), " ", YEAR(CompilDonnées[[#This Row],[PlantationDate]]))</f>
        <v>44 2025</v>
      </c>
      <c r="L5568" t="str">
        <f>CONCATENATE(MONTH(CompilDonnées[[#This Row],[PlantationDate]])," ", YEAR(CompilDonnées[[#This Row],[PlantationDate]]))</f>
        <v>10 2025</v>
      </c>
      <c r="M5568" t="str">
        <f>CONCATENATE(MONTH(CompilDonnées[[#This Row],[HarvestingDate]])," ", YEAR(CompilDonnées[[#This Row],[HarvestingDate]]))</f>
        <v>12 2025</v>
      </c>
      <c r="N5568">
        <f>_xlfn.NUMBERVALUE(CompilDonnées[[#This Row],[FarmID]]&amp;CompilDonnées[[#This Row],[ModuleNumber]]&amp;CompilDonnées[[#This Row],[PlantationDate]])</f>
        <v>42145959</v>
      </c>
      <c r="O5568" t="str">
        <f>CompilDonnées[[#This Row],[FarmID]]&amp;CompilDonnées[[#This Row],[ModuleNumber]]</f>
        <v>421</v>
      </c>
      <c r="P5568" t="str">
        <f>CompilDonnées[[#This Row],[Ref_Module]]&amp;CompilDonnées[[#This Row],[HarvestingDate]]</f>
        <v>42146001</v>
      </c>
    </row>
    <row r="5569" spans="1:16">
      <c r="A5569" s="5">
        <v>45959</v>
      </c>
      <c r="B5569">
        <v>69</v>
      </c>
      <c r="C5569" t="s">
        <v>102</v>
      </c>
      <c r="D5569">
        <v>4</v>
      </c>
      <c r="E5569">
        <v>100</v>
      </c>
      <c r="F5569" t="s">
        <v>1</v>
      </c>
      <c r="G5569" s="6">
        <v>46007</v>
      </c>
      <c r="H5569">
        <v>48</v>
      </c>
      <c r="I5569">
        <f>ROUND(CompilDonnées[[#This Row],[CultureDuration_days]]/7,0)</f>
        <v>7</v>
      </c>
      <c r="J5569">
        <v>2325</v>
      </c>
      <c r="K5569" t="str">
        <f>_xlfn.CONCAT(WEEKNUM(CompilDonnées[[#This Row],[PlantationDate]]), " ", YEAR(CompilDonnées[[#This Row],[PlantationDate]]))</f>
        <v>44 2025</v>
      </c>
      <c r="L5569" t="str">
        <f>CONCATENATE(MONTH(CompilDonnées[[#This Row],[PlantationDate]])," ", YEAR(CompilDonnées[[#This Row],[PlantationDate]]))</f>
        <v>10 2025</v>
      </c>
      <c r="M5569" t="str">
        <f>CONCATENATE(MONTH(CompilDonnées[[#This Row],[HarvestingDate]])," ", YEAR(CompilDonnées[[#This Row],[HarvestingDate]]))</f>
        <v>12 2025</v>
      </c>
      <c r="N5569">
        <f>_xlfn.NUMBERVALUE(CompilDonnées[[#This Row],[FarmID]]&amp;CompilDonnées[[#This Row],[ModuleNumber]]&amp;CompilDonnées[[#This Row],[PlantationDate]])</f>
        <v>69445959</v>
      </c>
      <c r="O5569" t="str">
        <f>CompilDonnées[[#This Row],[FarmID]]&amp;CompilDonnées[[#This Row],[ModuleNumber]]</f>
        <v>694</v>
      </c>
      <c r="P5569" t="str">
        <f>CompilDonnées[[#This Row],[Ref_Module]]&amp;CompilDonnées[[#This Row],[HarvestingDate]]</f>
        <v>69446007</v>
      </c>
    </row>
    <row r="5570" spans="1:16">
      <c r="A5570" s="5">
        <v>45959</v>
      </c>
      <c r="B5570">
        <v>8</v>
      </c>
      <c r="C5570" t="s">
        <v>57</v>
      </c>
      <c r="D5570">
        <v>2</v>
      </c>
      <c r="E5570">
        <v>100</v>
      </c>
      <c r="F5570" t="s">
        <v>1</v>
      </c>
      <c r="G5570" s="6">
        <v>46006</v>
      </c>
      <c r="H5570">
        <v>47</v>
      </c>
      <c r="I5570">
        <f>ROUND(CompilDonnées[[#This Row],[CultureDuration_days]]/7,0)</f>
        <v>7</v>
      </c>
      <c r="J5570">
        <v>1884</v>
      </c>
      <c r="K5570" t="str">
        <f>_xlfn.CONCAT(WEEKNUM(CompilDonnées[[#This Row],[PlantationDate]]), " ", YEAR(CompilDonnées[[#This Row],[PlantationDate]]))</f>
        <v>44 2025</v>
      </c>
      <c r="L5570" t="str">
        <f>CONCATENATE(MONTH(CompilDonnées[[#This Row],[PlantationDate]])," ", YEAR(CompilDonnées[[#This Row],[PlantationDate]]))</f>
        <v>10 2025</v>
      </c>
      <c r="M5570" t="str">
        <f>CONCATENATE(MONTH(CompilDonnées[[#This Row],[HarvestingDate]])," ", YEAR(CompilDonnées[[#This Row],[HarvestingDate]]))</f>
        <v>12 2025</v>
      </c>
      <c r="N5570">
        <f>_xlfn.NUMBERVALUE(CompilDonnées[[#This Row],[FarmID]]&amp;CompilDonnées[[#This Row],[ModuleNumber]]&amp;CompilDonnées[[#This Row],[PlantationDate]])</f>
        <v>8245959</v>
      </c>
      <c r="O5570" t="str">
        <f>CompilDonnées[[#This Row],[FarmID]]&amp;CompilDonnées[[#This Row],[ModuleNumber]]</f>
        <v>82</v>
      </c>
      <c r="P5570" t="str">
        <f>CompilDonnées[[#This Row],[Ref_Module]]&amp;CompilDonnées[[#This Row],[HarvestingDate]]</f>
        <v>8246006</v>
      </c>
    </row>
    <row r="5571" spans="1:16">
      <c r="A5571" s="5">
        <v>45959</v>
      </c>
      <c r="B5571">
        <v>2</v>
      </c>
      <c r="C5571" t="s">
        <v>126</v>
      </c>
      <c r="D5571">
        <v>6</v>
      </c>
      <c r="E5571">
        <v>100</v>
      </c>
      <c r="F5571" t="s">
        <v>1</v>
      </c>
      <c r="G5571" s="6">
        <v>46006</v>
      </c>
      <c r="H5571">
        <v>47</v>
      </c>
      <c r="I5571">
        <f>ROUND(CompilDonnées[[#This Row],[CultureDuration_days]]/7,0)</f>
        <v>7</v>
      </c>
      <c r="J5571">
        <v>1815</v>
      </c>
      <c r="K5571" t="str">
        <f>_xlfn.CONCAT(WEEKNUM(CompilDonnées[[#This Row],[PlantationDate]]), " ", YEAR(CompilDonnées[[#This Row],[PlantationDate]]))</f>
        <v>44 2025</v>
      </c>
      <c r="L5571" t="str">
        <f>CONCATENATE(MONTH(CompilDonnées[[#This Row],[PlantationDate]])," ", YEAR(CompilDonnées[[#This Row],[PlantationDate]]))</f>
        <v>10 2025</v>
      </c>
      <c r="M5571" t="str">
        <f>CONCATENATE(MONTH(CompilDonnées[[#This Row],[HarvestingDate]])," ", YEAR(CompilDonnées[[#This Row],[HarvestingDate]]))</f>
        <v>12 2025</v>
      </c>
      <c r="N5571">
        <f>_xlfn.NUMBERVALUE(CompilDonnées[[#This Row],[FarmID]]&amp;CompilDonnées[[#This Row],[ModuleNumber]]&amp;CompilDonnées[[#This Row],[PlantationDate]])</f>
        <v>2645959</v>
      </c>
      <c r="O5571" t="str">
        <f>CompilDonnées[[#This Row],[FarmID]]&amp;CompilDonnées[[#This Row],[ModuleNumber]]</f>
        <v>26</v>
      </c>
      <c r="P5571" t="str">
        <f>CompilDonnées[[#This Row],[Ref_Module]]&amp;CompilDonnées[[#This Row],[HarvestingDate]]</f>
        <v>2646006</v>
      </c>
    </row>
    <row r="5572" spans="1:16">
      <c r="A5572" s="5">
        <v>45959</v>
      </c>
      <c r="B5572">
        <v>50</v>
      </c>
      <c r="C5572" t="s">
        <v>55</v>
      </c>
      <c r="D5572">
        <v>4</v>
      </c>
      <c r="E5572">
        <v>100</v>
      </c>
      <c r="F5572" t="s">
        <v>1</v>
      </c>
      <c r="G5572" s="6">
        <v>46006</v>
      </c>
      <c r="H5572">
        <v>47</v>
      </c>
      <c r="I5572">
        <f>ROUND(CompilDonnées[[#This Row],[CultureDuration_days]]/7,0)</f>
        <v>7</v>
      </c>
      <c r="J5572">
        <v>2818</v>
      </c>
      <c r="K5572" t="str">
        <f>_xlfn.CONCAT(WEEKNUM(CompilDonnées[[#This Row],[PlantationDate]]), " ", YEAR(CompilDonnées[[#This Row],[PlantationDate]]))</f>
        <v>44 2025</v>
      </c>
      <c r="L5572" t="str">
        <f>CONCATENATE(MONTH(CompilDonnées[[#This Row],[PlantationDate]])," ", YEAR(CompilDonnées[[#This Row],[PlantationDate]]))</f>
        <v>10 2025</v>
      </c>
      <c r="M5572" t="str">
        <f>CONCATENATE(MONTH(CompilDonnées[[#This Row],[HarvestingDate]])," ", YEAR(CompilDonnées[[#This Row],[HarvestingDate]]))</f>
        <v>12 2025</v>
      </c>
      <c r="N5572">
        <f>_xlfn.NUMBERVALUE(CompilDonnées[[#This Row],[FarmID]]&amp;CompilDonnées[[#This Row],[ModuleNumber]]&amp;CompilDonnées[[#This Row],[PlantationDate]])</f>
        <v>50445959</v>
      </c>
      <c r="O5572" t="str">
        <f>CompilDonnées[[#This Row],[FarmID]]&amp;CompilDonnées[[#This Row],[ModuleNumber]]</f>
        <v>504</v>
      </c>
      <c r="P5572" t="str">
        <f>CompilDonnées[[#This Row],[Ref_Module]]&amp;CompilDonnées[[#This Row],[HarvestingDate]]</f>
        <v>50446006</v>
      </c>
    </row>
    <row r="5573" spans="1:16">
      <c r="A5573" s="5">
        <v>45959</v>
      </c>
      <c r="B5573">
        <v>50</v>
      </c>
      <c r="C5573" t="s">
        <v>55</v>
      </c>
      <c r="D5573">
        <v>6</v>
      </c>
      <c r="E5573">
        <v>100</v>
      </c>
      <c r="F5573" t="s">
        <v>1</v>
      </c>
      <c r="G5573" s="6">
        <v>46006</v>
      </c>
      <c r="H5573">
        <v>47</v>
      </c>
      <c r="I5573">
        <f>ROUND(CompilDonnées[[#This Row],[CultureDuration_days]]/7,0)</f>
        <v>7</v>
      </c>
      <c r="J5573">
        <v>2729</v>
      </c>
      <c r="K5573" t="str">
        <f>_xlfn.CONCAT(WEEKNUM(CompilDonnées[[#This Row],[PlantationDate]]), " ", YEAR(CompilDonnées[[#This Row],[PlantationDate]]))</f>
        <v>44 2025</v>
      </c>
      <c r="L5573" t="str">
        <f>CONCATENATE(MONTH(CompilDonnées[[#This Row],[PlantationDate]])," ", YEAR(CompilDonnées[[#This Row],[PlantationDate]]))</f>
        <v>10 2025</v>
      </c>
      <c r="M5573" t="str">
        <f>CONCATENATE(MONTH(CompilDonnées[[#This Row],[HarvestingDate]])," ", YEAR(CompilDonnées[[#This Row],[HarvestingDate]]))</f>
        <v>12 2025</v>
      </c>
      <c r="N5573">
        <f>_xlfn.NUMBERVALUE(CompilDonnées[[#This Row],[FarmID]]&amp;CompilDonnées[[#This Row],[ModuleNumber]]&amp;CompilDonnées[[#This Row],[PlantationDate]])</f>
        <v>50645959</v>
      </c>
      <c r="O5573" t="str">
        <f>CompilDonnées[[#This Row],[FarmID]]&amp;CompilDonnées[[#This Row],[ModuleNumber]]</f>
        <v>506</v>
      </c>
      <c r="P5573" t="str">
        <f>CompilDonnées[[#This Row],[Ref_Module]]&amp;CompilDonnées[[#This Row],[HarvestingDate]]</f>
        <v>50646006</v>
      </c>
    </row>
    <row r="5574" spans="1:16">
      <c r="A5574" s="5">
        <v>45959</v>
      </c>
      <c r="B5574">
        <v>51</v>
      </c>
      <c r="C5574" t="s">
        <v>27</v>
      </c>
      <c r="D5574">
        <v>6</v>
      </c>
      <c r="E5574">
        <v>100</v>
      </c>
      <c r="F5574" t="s">
        <v>1</v>
      </c>
      <c r="G5574" s="6">
        <v>46001</v>
      </c>
      <c r="H5574">
        <v>42</v>
      </c>
      <c r="I5574">
        <f>ROUND(CompilDonnées[[#This Row],[CultureDuration_days]]/7,0)</f>
        <v>6</v>
      </c>
      <c r="J5574">
        <v>3363</v>
      </c>
      <c r="K5574" t="str">
        <f>_xlfn.CONCAT(WEEKNUM(CompilDonnées[[#This Row],[PlantationDate]]), " ", YEAR(CompilDonnées[[#This Row],[PlantationDate]]))</f>
        <v>44 2025</v>
      </c>
      <c r="L5574" t="str">
        <f>CONCATENATE(MONTH(CompilDonnées[[#This Row],[PlantationDate]])," ", YEAR(CompilDonnées[[#This Row],[PlantationDate]]))</f>
        <v>10 2025</v>
      </c>
      <c r="M5574" t="str">
        <f>CONCATENATE(MONTH(CompilDonnées[[#This Row],[HarvestingDate]])," ", YEAR(CompilDonnées[[#This Row],[HarvestingDate]]))</f>
        <v>12 2025</v>
      </c>
      <c r="N5574">
        <f>_xlfn.NUMBERVALUE(CompilDonnées[[#This Row],[FarmID]]&amp;CompilDonnées[[#This Row],[ModuleNumber]]&amp;CompilDonnées[[#This Row],[PlantationDate]])</f>
        <v>51645959</v>
      </c>
      <c r="O5574" t="str">
        <f>CompilDonnées[[#This Row],[FarmID]]&amp;CompilDonnées[[#This Row],[ModuleNumber]]</f>
        <v>516</v>
      </c>
      <c r="P5574" t="str">
        <f>CompilDonnées[[#This Row],[Ref_Module]]&amp;CompilDonnées[[#This Row],[HarvestingDate]]</f>
        <v>51646001</v>
      </c>
    </row>
    <row r="5575" spans="1:16">
      <c r="A5575" s="5">
        <v>45959</v>
      </c>
      <c r="B5575">
        <v>55</v>
      </c>
      <c r="C5575" t="s">
        <v>60</v>
      </c>
      <c r="D5575">
        <v>6</v>
      </c>
      <c r="E5575">
        <v>100</v>
      </c>
      <c r="F5575" t="s">
        <v>1</v>
      </c>
      <c r="G5575" s="6">
        <v>46001</v>
      </c>
      <c r="H5575">
        <v>42</v>
      </c>
      <c r="I5575">
        <f>ROUND(CompilDonnées[[#This Row],[CultureDuration_days]]/7,0)</f>
        <v>6</v>
      </c>
      <c r="J5575">
        <v>2777</v>
      </c>
      <c r="K5575" t="str">
        <f>_xlfn.CONCAT(WEEKNUM(CompilDonnées[[#This Row],[PlantationDate]]), " ", YEAR(CompilDonnées[[#This Row],[PlantationDate]]))</f>
        <v>44 2025</v>
      </c>
      <c r="L5575" t="str">
        <f>CONCATENATE(MONTH(CompilDonnées[[#This Row],[PlantationDate]])," ", YEAR(CompilDonnées[[#This Row],[PlantationDate]]))</f>
        <v>10 2025</v>
      </c>
      <c r="M5575" t="str">
        <f>CONCATENATE(MONTH(CompilDonnées[[#This Row],[HarvestingDate]])," ", YEAR(CompilDonnées[[#This Row],[HarvestingDate]]))</f>
        <v>12 2025</v>
      </c>
      <c r="N5575">
        <f>_xlfn.NUMBERVALUE(CompilDonnées[[#This Row],[FarmID]]&amp;CompilDonnées[[#This Row],[ModuleNumber]]&amp;CompilDonnées[[#This Row],[PlantationDate]])</f>
        <v>55645959</v>
      </c>
      <c r="O5575" t="str">
        <f>CompilDonnées[[#This Row],[FarmID]]&amp;CompilDonnées[[#This Row],[ModuleNumber]]</f>
        <v>556</v>
      </c>
      <c r="P5575" t="str">
        <f>CompilDonnées[[#This Row],[Ref_Module]]&amp;CompilDonnées[[#This Row],[HarvestingDate]]</f>
        <v>55646001</v>
      </c>
    </row>
    <row r="5576" spans="1:16">
      <c r="A5576" s="5">
        <v>45959</v>
      </c>
      <c r="B5576">
        <v>57</v>
      </c>
      <c r="C5576" t="s">
        <v>46</v>
      </c>
      <c r="D5576">
        <v>3</v>
      </c>
      <c r="E5576">
        <v>100</v>
      </c>
      <c r="F5576" t="s">
        <v>1</v>
      </c>
      <c r="G5576" s="6">
        <v>46001</v>
      </c>
      <c r="H5576">
        <v>42</v>
      </c>
      <c r="I5576">
        <f>ROUND(CompilDonnées[[#This Row],[CultureDuration_days]]/7,0)</f>
        <v>6</v>
      </c>
      <c r="J5576">
        <v>2744</v>
      </c>
      <c r="K5576" t="str">
        <f>_xlfn.CONCAT(WEEKNUM(CompilDonnées[[#This Row],[PlantationDate]]), " ", YEAR(CompilDonnées[[#This Row],[PlantationDate]]))</f>
        <v>44 2025</v>
      </c>
      <c r="L5576" t="str">
        <f>CONCATENATE(MONTH(CompilDonnées[[#This Row],[PlantationDate]])," ", YEAR(CompilDonnées[[#This Row],[PlantationDate]]))</f>
        <v>10 2025</v>
      </c>
      <c r="M5576" t="str">
        <f>CONCATENATE(MONTH(CompilDonnées[[#This Row],[HarvestingDate]])," ", YEAR(CompilDonnées[[#This Row],[HarvestingDate]]))</f>
        <v>12 2025</v>
      </c>
      <c r="N5576">
        <f>_xlfn.NUMBERVALUE(CompilDonnées[[#This Row],[FarmID]]&amp;CompilDonnées[[#This Row],[ModuleNumber]]&amp;CompilDonnées[[#This Row],[PlantationDate]])</f>
        <v>57345959</v>
      </c>
      <c r="O5576" t="str">
        <f>CompilDonnées[[#This Row],[FarmID]]&amp;CompilDonnées[[#This Row],[ModuleNumber]]</f>
        <v>573</v>
      </c>
      <c r="P5576" t="str">
        <f>CompilDonnées[[#This Row],[Ref_Module]]&amp;CompilDonnées[[#This Row],[HarvestingDate]]</f>
        <v>57346001</v>
      </c>
    </row>
    <row r="5577" spans="1:16">
      <c r="A5577" s="5">
        <v>45959</v>
      </c>
      <c r="B5577">
        <v>58</v>
      </c>
      <c r="C5577" t="s">
        <v>35</v>
      </c>
      <c r="D5577">
        <v>5</v>
      </c>
      <c r="E5577">
        <v>100</v>
      </c>
      <c r="F5577" t="s">
        <v>1</v>
      </c>
      <c r="G5577" s="6">
        <v>46006</v>
      </c>
      <c r="H5577">
        <v>47</v>
      </c>
      <c r="I5577">
        <f>ROUND(CompilDonnées[[#This Row],[CultureDuration_days]]/7,0)</f>
        <v>7</v>
      </c>
      <c r="J5577">
        <v>2904</v>
      </c>
      <c r="K5577" t="str">
        <f>_xlfn.CONCAT(WEEKNUM(CompilDonnées[[#This Row],[PlantationDate]]), " ", YEAR(CompilDonnées[[#This Row],[PlantationDate]]))</f>
        <v>44 2025</v>
      </c>
      <c r="L5577" t="str">
        <f>CONCATENATE(MONTH(CompilDonnées[[#This Row],[PlantationDate]])," ", YEAR(CompilDonnées[[#This Row],[PlantationDate]]))</f>
        <v>10 2025</v>
      </c>
      <c r="M5577" t="str">
        <f>CONCATENATE(MONTH(CompilDonnées[[#This Row],[HarvestingDate]])," ", YEAR(CompilDonnées[[#This Row],[HarvestingDate]]))</f>
        <v>12 2025</v>
      </c>
      <c r="N5577">
        <f>_xlfn.NUMBERVALUE(CompilDonnées[[#This Row],[FarmID]]&amp;CompilDonnées[[#This Row],[ModuleNumber]]&amp;CompilDonnées[[#This Row],[PlantationDate]])</f>
        <v>58545959</v>
      </c>
      <c r="O5577" t="str">
        <f>CompilDonnées[[#This Row],[FarmID]]&amp;CompilDonnées[[#This Row],[ModuleNumber]]</f>
        <v>585</v>
      </c>
      <c r="P5577" t="str">
        <f>CompilDonnées[[#This Row],[Ref_Module]]&amp;CompilDonnées[[#This Row],[HarvestingDate]]</f>
        <v>58546006</v>
      </c>
    </row>
    <row r="5578" spans="1:16">
      <c r="A5578" s="5">
        <v>45959</v>
      </c>
      <c r="B5578">
        <v>59</v>
      </c>
      <c r="C5578" t="s">
        <v>64</v>
      </c>
      <c r="D5578">
        <v>3</v>
      </c>
      <c r="E5578">
        <v>100</v>
      </c>
      <c r="F5578" t="s">
        <v>1</v>
      </c>
      <c r="G5578" s="6">
        <v>46006</v>
      </c>
      <c r="H5578">
        <v>47</v>
      </c>
      <c r="I5578">
        <f>ROUND(CompilDonnées[[#This Row],[CultureDuration_days]]/7,0)</f>
        <v>7</v>
      </c>
      <c r="J5578">
        <v>3495</v>
      </c>
      <c r="K5578" t="str">
        <f>_xlfn.CONCAT(WEEKNUM(CompilDonnées[[#This Row],[PlantationDate]]), " ", YEAR(CompilDonnées[[#This Row],[PlantationDate]]))</f>
        <v>44 2025</v>
      </c>
      <c r="L5578" t="str">
        <f>CONCATENATE(MONTH(CompilDonnées[[#This Row],[PlantationDate]])," ", YEAR(CompilDonnées[[#This Row],[PlantationDate]]))</f>
        <v>10 2025</v>
      </c>
      <c r="M5578" t="str">
        <f>CONCATENATE(MONTH(CompilDonnées[[#This Row],[HarvestingDate]])," ", YEAR(CompilDonnées[[#This Row],[HarvestingDate]]))</f>
        <v>12 2025</v>
      </c>
      <c r="N5578">
        <f>_xlfn.NUMBERVALUE(CompilDonnées[[#This Row],[FarmID]]&amp;CompilDonnées[[#This Row],[ModuleNumber]]&amp;CompilDonnées[[#This Row],[PlantationDate]])</f>
        <v>59345959</v>
      </c>
      <c r="O5578" t="str">
        <f>CompilDonnées[[#This Row],[FarmID]]&amp;CompilDonnées[[#This Row],[ModuleNumber]]</f>
        <v>593</v>
      </c>
      <c r="P5578" t="str">
        <f>CompilDonnées[[#This Row],[Ref_Module]]&amp;CompilDonnées[[#This Row],[HarvestingDate]]</f>
        <v>59346006</v>
      </c>
    </row>
    <row r="5579" spans="1:16">
      <c r="A5579" s="5">
        <v>45959</v>
      </c>
      <c r="B5579">
        <v>67</v>
      </c>
      <c r="C5579" t="s">
        <v>28</v>
      </c>
      <c r="D5579">
        <v>4</v>
      </c>
      <c r="E5579">
        <v>100</v>
      </c>
      <c r="F5579" t="s">
        <v>1</v>
      </c>
      <c r="G5579" s="6">
        <v>46001</v>
      </c>
      <c r="H5579">
        <v>42</v>
      </c>
      <c r="I5579">
        <f>ROUND(CompilDonnées[[#This Row],[CultureDuration_days]]/7,0)</f>
        <v>6</v>
      </c>
      <c r="J5579">
        <v>3370</v>
      </c>
      <c r="K5579" t="str">
        <f>_xlfn.CONCAT(WEEKNUM(CompilDonnées[[#This Row],[PlantationDate]]), " ", YEAR(CompilDonnées[[#This Row],[PlantationDate]]))</f>
        <v>44 2025</v>
      </c>
      <c r="L5579" t="str">
        <f>CONCATENATE(MONTH(CompilDonnées[[#This Row],[PlantationDate]])," ", YEAR(CompilDonnées[[#This Row],[PlantationDate]]))</f>
        <v>10 2025</v>
      </c>
      <c r="M5579" t="str">
        <f>CONCATENATE(MONTH(CompilDonnées[[#This Row],[HarvestingDate]])," ", YEAR(CompilDonnées[[#This Row],[HarvestingDate]]))</f>
        <v>12 2025</v>
      </c>
      <c r="N5579">
        <f>_xlfn.NUMBERVALUE(CompilDonnées[[#This Row],[FarmID]]&amp;CompilDonnées[[#This Row],[ModuleNumber]]&amp;CompilDonnées[[#This Row],[PlantationDate]])</f>
        <v>67445959</v>
      </c>
      <c r="O5579" t="str">
        <f>CompilDonnées[[#This Row],[FarmID]]&amp;CompilDonnées[[#This Row],[ModuleNumber]]</f>
        <v>674</v>
      </c>
      <c r="P5579" t="str">
        <f>CompilDonnées[[#This Row],[Ref_Module]]&amp;CompilDonnées[[#This Row],[HarvestingDate]]</f>
        <v>67446001</v>
      </c>
    </row>
    <row r="5580" spans="1:16">
      <c r="A5580" s="5">
        <v>45959</v>
      </c>
      <c r="B5580">
        <v>65</v>
      </c>
      <c r="C5580" t="s">
        <v>36</v>
      </c>
      <c r="D5580">
        <v>1</v>
      </c>
      <c r="E5580">
        <v>100</v>
      </c>
      <c r="F5580" t="s">
        <v>1</v>
      </c>
      <c r="G5580" s="6">
        <v>46007</v>
      </c>
      <c r="H5580">
        <v>48</v>
      </c>
      <c r="I5580">
        <f>ROUND(CompilDonnées[[#This Row],[CultureDuration_days]]/7,0)</f>
        <v>7</v>
      </c>
      <c r="J5580">
        <v>2031</v>
      </c>
      <c r="K5580" t="str">
        <f>_xlfn.CONCAT(WEEKNUM(CompilDonnées[[#This Row],[PlantationDate]]), " ", YEAR(CompilDonnées[[#This Row],[PlantationDate]]))</f>
        <v>44 2025</v>
      </c>
      <c r="L5580" t="str">
        <f>CONCATENATE(MONTH(CompilDonnées[[#This Row],[PlantationDate]])," ", YEAR(CompilDonnées[[#This Row],[PlantationDate]]))</f>
        <v>10 2025</v>
      </c>
      <c r="M5580" t="str">
        <f>CONCATENATE(MONTH(CompilDonnées[[#This Row],[HarvestingDate]])," ", YEAR(CompilDonnées[[#This Row],[HarvestingDate]]))</f>
        <v>12 2025</v>
      </c>
      <c r="N5580">
        <f>_xlfn.NUMBERVALUE(CompilDonnées[[#This Row],[FarmID]]&amp;CompilDonnées[[#This Row],[ModuleNumber]]&amp;CompilDonnées[[#This Row],[PlantationDate]])</f>
        <v>65145959</v>
      </c>
      <c r="O5580" t="str">
        <f>CompilDonnées[[#This Row],[FarmID]]&amp;CompilDonnées[[#This Row],[ModuleNumber]]</f>
        <v>651</v>
      </c>
      <c r="P5580" t="str">
        <f>CompilDonnées[[#This Row],[Ref_Module]]&amp;CompilDonnées[[#This Row],[HarvestingDate]]</f>
        <v>65146007</v>
      </c>
    </row>
    <row r="5581" spans="1:16">
      <c r="A5581" s="5">
        <v>45959</v>
      </c>
      <c r="B5581">
        <v>64</v>
      </c>
      <c r="C5581" t="s">
        <v>47</v>
      </c>
      <c r="D5581">
        <v>5</v>
      </c>
      <c r="E5581">
        <v>100</v>
      </c>
      <c r="F5581" t="s">
        <v>1</v>
      </c>
      <c r="G5581" s="6">
        <v>46006</v>
      </c>
      <c r="H5581">
        <v>47</v>
      </c>
      <c r="I5581">
        <f>ROUND(CompilDonnées[[#This Row],[CultureDuration_days]]/7,0)</f>
        <v>7</v>
      </c>
      <c r="J5581">
        <v>1906</v>
      </c>
      <c r="K5581" t="str">
        <f>_xlfn.CONCAT(WEEKNUM(CompilDonnées[[#This Row],[PlantationDate]]), " ", YEAR(CompilDonnées[[#This Row],[PlantationDate]]))</f>
        <v>44 2025</v>
      </c>
      <c r="L5581" t="str">
        <f>CONCATENATE(MONTH(CompilDonnées[[#This Row],[PlantationDate]])," ", YEAR(CompilDonnées[[#This Row],[PlantationDate]]))</f>
        <v>10 2025</v>
      </c>
      <c r="M5581" t="str">
        <f>CONCATENATE(MONTH(CompilDonnées[[#This Row],[HarvestingDate]])," ", YEAR(CompilDonnées[[#This Row],[HarvestingDate]]))</f>
        <v>12 2025</v>
      </c>
      <c r="N5581">
        <f>_xlfn.NUMBERVALUE(CompilDonnées[[#This Row],[FarmID]]&amp;CompilDonnées[[#This Row],[ModuleNumber]]&amp;CompilDonnées[[#This Row],[PlantationDate]])</f>
        <v>64545959</v>
      </c>
      <c r="O5581" t="str">
        <f>CompilDonnées[[#This Row],[FarmID]]&amp;CompilDonnées[[#This Row],[ModuleNumber]]</f>
        <v>645</v>
      </c>
      <c r="P5581" t="str">
        <f>CompilDonnées[[#This Row],[Ref_Module]]&amp;CompilDonnées[[#This Row],[HarvestingDate]]</f>
        <v>64546006</v>
      </c>
    </row>
    <row r="5582" spans="1:16">
      <c r="A5582" s="5">
        <v>45959</v>
      </c>
      <c r="B5582">
        <v>71</v>
      </c>
      <c r="C5582" t="s">
        <v>19</v>
      </c>
      <c r="D5582">
        <v>1</v>
      </c>
      <c r="E5582">
        <v>100</v>
      </c>
      <c r="F5582" t="s">
        <v>1</v>
      </c>
      <c r="G5582" s="6">
        <v>46007</v>
      </c>
      <c r="H5582">
        <v>48</v>
      </c>
      <c r="I5582">
        <f>ROUND(CompilDonnées[[#This Row],[CultureDuration_days]]/7,0)</f>
        <v>7</v>
      </c>
      <c r="J5582">
        <v>1862</v>
      </c>
      <c r="K5582" t="str">
        <f>_xlfn.CONCAT(WEEKNUM(CompilDonnées[[#This Row],[PlantationDate]]), " ", YEAR(CompilDonnées[[#This Row],[PlantationDate]]))</f>
        <v>44 2025</v>
      </c>
      <c r="L5582" t="str">
        <f>CONCATENATE(MONTH(CompilDonnées[[#This Row],[PlantationDate]])," ", YEAR(CompilDonnées[[#This Row],[PlantationDate]]))</f>
        <v>10 2025</v>
      </c>
      <c r="M5582" t="str">
        <f>CONCATENATE(MONTH(CompilDonnées[[#This Row],[HarvestingDate]])," ", YEAR(CompilDonnées[[#This Row],[HarvestingDate]]))</f>
        <v>12 2025</v>
      </c>
      <c r="N5582">
        <f>_xlfn.NUMBERVALUE(CompilDonnées[[#This Row],[FarmID]]&amp;CompilDonnées[[#This Row],[ModuleNumber]]&amp;CompilDonnées[[#This Row],[PlantationDate]])</f>
        <v>71145959</v>
      </c>
      <c r="O5582" t="str">
        <f>CompilDonnées[[#This Row],[FarmID]]&amp;CompilDonnées[[#This Row],[ModuleNumber]]</f>
        <v>711</v>
      </c>
      <c r="P5582" t="str">
        <f>CompilDonnées[[#This Row],[Ref_Module]]&amp;CompilDonnées[[#This Row],[HarvestingDate]]</f>
        <v>71146007</v>
      </c>
    </row>
    <row r="5583" spans="1:16">
      <c r="A5583" s="5">
        <v>45959</v>
      </c>
      <c r="B5583">
        <v>72</v>
      </c>
      <c r="C5583" t="s">
        <v>49</v>
      </c>
      <c r="D5583">
        <v>4</v>
      </c>
      <c r="E5583">
        <v>100</v>
      </c>
      <c r="F5583" t="s">
        <v>1</v>
      </c>
      <c r="G5583" s="6">
        <v>46007</v>
      </c>
      <c r="H5583">
        <v>48</v>
      </c>
      <c r="I5583">
        <f>ROUND(CompilDonnées[[#This Row],[CultureDuration_days]]/7,0)</f>
        <v>7</v>
      </c>
      <c r="J5583">
        <v>2308</v>
      </c>
      <c r="K5583" t="str">
        <f>_xlfn.CONCAT(WEEKNUM(CompilDonnées[[#This Row],[PlantationDate]]), " ", YEAR(CompilDonnées[[#This Row],[PlantationDate]]))</f>
        <v>44 2025</v>
      </c>
      <c r="L5583" t="str">
        <f>CONCATENATE(MONTH(CompilDonnées[[#This Row],[PlantationDate]])," ", YEAR(CompilDonnées[[#This Row],[PlantationDate]]))</f>
        <v>10 2025</v>
      </c>
      <c r="M5583" t="str">
        <f>CONCATENATE(MONTH(CompilDonnées[[#This Row],[HarvestingDate]])," ", YEAR(CompilDonnées[[#This Row],[HarvestingDate]]))</f>
        <v>12 2025</v>
      </c>
      <c r="N5583">
        <f>_xlfn.NUMBERVALUE(CompilDonnées[[#This Row],[FarmID]]&amp;CompilDonnées[[#This Row],[ModuleNumber]]&amp;CompilDonnées[[#This Row],[PlantationDate]])</f>
        <v>72445959</v>
      </c>
      <c r="O5583" t="str">
        <f>CompilDonnées[[#This Row],[FarmID]]&amp;CompilDonnées[[#This Row],[ModuleNumber]]</f>
        <v>724</v>
      </c>
      <c r="P5583" t="str">
        <f>CompilDonnées[[#This Row],[Ref_Module]]&amp;CompilDonnées[[#This Row],[HarvestingDate]]</f>
        <v>72446007</v>
      </c>
    </row>
    <row r="5584" spans="1:16">
      <c r="A5584" s="5">
        <v>45959</v>
      </c>
      <c r="B5584">
        <v>73</v>
      </c>
      <c r="C5584" t="s">
        <v>20</v>
      </c>
      <c r="D5584">
        <v>5</v>
      </c>
      <c r="E5584">
        <v>100</v>
      </c>
      <c r="F5584" t="s">
        <v>1</v>
      </c>
      <c r="G5584" s="6">
        <v>46007</v>
      </c>
      <c r="H5584">
        <v>48</v>
      </c>
      <c r="I5584">
        <f>ROUND(CompilDonnées[[#This Row],[CultureDuration_days]]/7,0)</f>
        <v>7</v>
      </c>
      <c r="J5584">
        <v>2458</v>
      </c>
      <c r="K5584" t="str">
        <f>_xlfn.CONCAT(WEEKNUM(CompilDonnées[[#This Row],[PlantationDate]]), " ", YEAR(CompilDonnées[[#This Row],[PlantationDate]]))</f>
        <v>44 2025</v>
      </c>
      <c r="L5584" t="str">
        <f>CONCATENATE(MONTH(CompilDonnées[[#This Row],[PlantationDate]])," ", YEAR(CompilDonnées[[#This Row],[PlantationDate]]))</f>
        <v>10 2025</v>
      </c>
      <c r="M5584" t="str">
        <f>CONCATENATE(MONTH(CompilDonnées[[#This Row],[HarvestingDate]])," ", YEAR(CompilDonnées[[#This Row],[HarvestingDate]]))</f>
        <v>12 2025</v>
      </c>
      <c r="N5584">
        <f>_xlfn.NUMBERVALUE(CompilDonnées[[#This Row],[FarmID]]&amp;CompilDonnées[[#This Row],[ModuleNumber]]&amp;CompilDonnées[[#This Row],[PlantationDate]])</f>
        <v>73545959</v>
      </c>
      <c r="O5584" t="str">
        <f>CompilDonnées[[#This Row],[FarmID]]&amp;CompilDonnées[[#This Row],[ModuleNumber]]</f>
        <v>735</v>
      </c>
      <c r="P5584" t="str">
        <f>CompilDonnées[[#This Row],[Ref_Module]]&amp;CompilDonnées[[#This Row],[HarvestingDate]]</f>
        <v>73546007</v>
      </c>
    </row>
    <row r="5585" spans="1:16">
      <c r="A5585" s="5">
        <v>45959</v>
      </c>
      <c r="B5585">
        <v>74</v>
      </c>
      <c r="C5585" t="s">
        <v>21</v>
      </c>
      <c r="D5585">
        <v>3</v>
      </c>
      <c r="E5585">
        <v>100</v>
      </c>
      <c r="F5585" t="s">
        <v>1</v>
      </c>
      <c r="G5585" s="6">
        <v>46000</v>
      </c>
      <c r="H5585">
        <v>41</v>
      </c>
      <c r="I5585">
        <f>ROUND(CompilDonnées[[#This Row],[CultureDuration_days]]/7,0)</f>
        <v>6</v>
      </c>
      <c r="J5585">
        <v>2511</v>
      </c>
      <c r="K5585" t="str">
        <f>_xlfn.CONCAT(WEEKNUM(CompilDonnées[[#This Row],[PlantationDate]]), " ", YEAR(CompilDonnées[[#This Row],[PlantationDate]]))</f>
        <v>44 2025</v>
      </c>
      <c r="L5585" t="str">
        <f>CONCATENATE(MONTH(CompilDonnées[[#This Row],[PlantationDate]])," ", YEAR(CompilDonnées[[#This Row],[PlantationDate]]))</f>
        <v>10 2025</v>
      </c>
      <c r="M5585" t="str">
        <f>CONCATENATE(MONTH(CompilDonnées[[#This Row],[HarvestingDate]])," ", YEAR(CompilDonnées[[#This Row],[HarvestingDate]]))</f>
        <v>12 2025</v>
      </c>
      <c r="N5585">
        <f>_xlfn.NUMBERVALUE(CompilDonnées[[#This Row],[FarmID]]&amp;CompilDonnées[[#This Row],[ModuleNumber]]&amp;CompilDonnées[[#This Row],[PlantationDate]])</f>
        <v>74345959</v>
      </c>
      <c r="O5585" t="str">
        <f>CompilDonnées[[#This Row],[FarmID]]&amp;CompilDonnées[[#This Row],[ModuleNumber]]</f>
        <v>743</v>
      </c>
      <c r="P5585" t="str">
        <f>CompilDonnées[[#This Row],[Ref_Module]]&amp;CompilDonnées[[#This Row],[HarvestingDate]]</f>
        <v>74346000</v>
      </c>
    </row>
    <row r="5586" spans="1:16">
      <c r="A5586" s="5">
        <v>45959</v>
      </c>
      <c r="B5586">
        <v>76</v>
      </c>
      <c r="C5586" t="s">
        <v>18</v>
      </c>
      <c r="D5586">
        <v>1</v>
      </c>
      <c r="E5586">
        <v>100</v>
      </c>
      <c r="F5586" t="s">
        <v>1</v>
      </c>
      <c r="G5586" s="6">
        <v>46007</v>
      </c>
      <c r="H5586">
        <v>48</v>
      </c>
      <c r="I5586">
        <f>ROUND(CompilDonnées[[#This Row],[CultureDuration_days]]/7,0)</f>
        <v>7</v>
      </c>
      <c r="J5586">
        <v>2228</v>
      </c>
      <c r="K5586" t="str">
        <f>_xlfn.CONCAT(WEEKNUM(CompilDonnées[[#This Row],[PlantationDate]]), " ", YEAR(CompilDonnées[[#This Row],[PlantationDate]]))</f>
        <v>44 2025</v>
      </c>
      <c r="L5586" t="str">
        <f>CONCATENATE(MONTH(CompilDonnées[[#This Row],[PlantationDate]])," ", YEAR(CompilDonnées[[#This Row],[PlantationDate]]))</f>
        <v>10 2025</v>
      </c>
      <c r="M5586" t="str">
        <f>CONCATENATE(MONTH(CompilDonnées[[#This Row],[HarvestingDate]])," ", YEAR(CompilDonnées[[#This Row],[HarvestingDate]]))</f>
        <v>12 2025</v>
      </c>
      <c r="N5586">
        <f>_xlfn.NUMBERVALUE(CompilDonnées[[#This Row],[FarmID]]&amp;CompilDonnées[[#This Row],[ModuleNumber]]&amp;CompilDonnées[[#This Row],[PlantationDate]])</f>
        <v>76145959</v>
      </c>
      <c r="O5586" t="str">
        <f>CompilDonnées[[#This Row],[FarmID]]&amp;CompilDonnées[[#This Row],[ModuleNumber]]</f>
        <v>761</v>
      </c>
      <c r="P5586" t="str">
        <f>CompilDonnées[[#This Row],[Ref_Module]]&amp;CompilDonnées[[#This Row],[HarvestingDate]]</f>
        <v>76146007</v>
      </c>
    </row>
    <row r="5587" spans="1:16">
      <c r="A5587" s="5">
        <v>45959</v>
      </c>
      <c r="B5587">
        <v>78</v>
      </c>
      <c r="C5587" t="s">
        <v>3</v>
      </c>
      <c r="D5587">
        <v>5</v>
      </c>
      <c r="E5587">
        <v>68</v>
      </c>
      <c r="F5587" t="s">
        <v>1</v>
      </c>
      <c r="G5587" s="6">
        <v>46000</v>
      </c>
      <c r="H5587">
        <v>41</v>
      </c>
      <c r="I5587">
        <f>ROUND(CompilDonnées[[#This Row],[CultureDuration_days]]/7,0)</f>
        <v>6</v>
      </c>
      <c r="J5587">
        <v>3000</v>
      </c>
      <c r="K5587" t="str">
        <f>_xlfn.CONCAT(WEEKNUM(CompilDonnées[[#This Row],[PlantationDate]]), " ", YEAR(CompilDonnées[[#This Row],[PlantationDate]]))</f>
        <v>44 2025</v>
      </c>
      <c r="L5587" t="str">
        <f>CONCATENATE(MONTH(CompilDonnées[[#This Row],[PlantationDate]])," ", YEAR(CompilDonnées[[#This Row],[PlantationDate]]))</f>
        <v>10 2025</v>
      </c>
      <c r="M5587" t="str">
        <f>CONCATENATE(MONTH(CompilDonnées[[#This Row],[HarvestingDate]])," ", YEAR(CompilDonnées[[#This Row],[HarvestingDate]]))</f>
        <v>12 2025</v>
      </c>
      <c r="N5587">
        <f>_xlfn.NUMBERVALUE(CompilDonnées[[#This Row],[FarmID]]&amp;CompilDonnées[[#This Row],[ModuleNumber]]&amp;CompilDonnées[[#This Row],[PlantationDate]])</f>
        <v>78545959</v>
      </c>
      <c r="O5587" t="str">
        <f>CompilDonnées[[#This Row],[FarmID]]&amp;CompilDonnées[[#This Row],[ModuleNumber]]</f>
        <v>785</v>
      </c>
      <c r="P5587" t="str">
        <f>CompilDonnées[[#This Row],[Ref_Module]]&amp;CompilDonnées[[#This Row],[HarvestingDate]]</f>
        <v>78546000</v>
      </c>
    </row>
    <row r="5588" spans="1:16">
      <c r="A5588" s="5">
        <v>45959</v>
      </c>
      <c r="B5588">
        <v>78</v>
      </c>
      <c r="C5588" t="s">
        <v>3</v>
      </c>
      <c r="D5588">
        <v>6</v>
      </c>
      <c r="E5588">
        <v>68</v>
      </c>
      <c r="F5588" t="s">
        <v>1</v>
      </c>
      <c r="G5588" s="6">
        <v>46000</v>
      </c>
      <c r="H5588">
        <v>41</v>
      </c>
      <c r="I5588">
        <f>ROUND(CompilDonnées[[#This Row],[CultureDuration_days]]/7,0)</f>
        <v>6</v>
      </c>
      <c r="J5588">
        <v>2900</v>
      </c>
      <c r="K5588" t="str">
        <f>_xlfn.CONCAT(WEEKNUM(CompilDonnées[[#This Row],[PlantationDate]]), " ", YEAR(CompilDonnées[[#This Row],[PlantationDate]]))</f>
        <v>44 2025</v>
      </c>
      <c r="L5588" t="str">
        <f>CONCATENATE(MONTH(CompilDonnées[[#This Row],[PlantationDate]])," ", YEAR(CompilDonnées[[#This Row],[PlantationDate]]))</f>
        <v>10 2025</v>
      </c>
      <c r="M5588" t="str">
        <f>CONCATENATE(MONTH(CompilDonnées[[#This Row],[HarvestingDate]])," ", YEAR(CompilDonnées[[#This Row],[HarvestingDate]]))</f>
        <v>12 2025</v>
      </c>
      <c r="N5588">
        <f>_xlfn.NUMBERVALUE(CompilDonnées[[#This Row],[FarmID]]&amp;CompilDonnées[[#This Row],[ModuleNumber]]&amp;CompilDonnées[[#This Row],[PlantationDate]])</f>
        <v>78645959</v>
      </c>
      <c r="O5588" t="str">
        <f>CompilDonnées[[#This Row],[FarmID]]&amp;CompilDonnées[[#This Row],[ModuleNumber]]</f>
        <v>786</v>
      </c>
      <c r="P5588" t="str">
        <f>CompilDonnées[[#This Row],[Ref_Module]]&amp;CompilDonnées[[#This Row],[HarvestingDate]]</f>
        <v>78646000</v>
      </c>
    </row>
    <row r="5589" spans="1:16">
      <c r="A5589" s="5">
        <v>45960</v>
      </c>
      <c r="B5589">
        <v>101</v>
      </c>
      <c r="C5589" t="s">
        <v>54</v>
      </c>
      <c r="D5589">
        <v>2</v>
      </c>
      <c r="E5589">
        <v>100</v>
      </c>
      <c r="F5589" t="s">
        <v>1</v>
      </c>
      <c r="G5589" s="6">
        <v>46008</v>
      </c>
      <c r="H5589">
        <v>48</v>
      </c>
      <c r="I5589">
        <f>ROUND(CompilDonnées[[#This Row],[CultureDuration_days]]/7,0)</f>
        <v>7</v>
      </c>
      <c r="J5589">
        <v>3500</v>
      </c>
      <c r="K5589" t="str">
        <f>_xlfn.CONCAT(WEEKNUM(CompilDonnées[[#This Row],[PlantationDate]]), " ", YEAR(CompilDonnées[[#This Row],[PlantationDate]]))</f>
        <v>44 2025</v>
      </c>
      <c r="L5589" t="str">
        <f>CONCATENATE(MONTH(CompilDonnées[[#This Row],[PlantationDate]])," ", YEAR(CompilDonnées[[#This Row],[PlantationDate]]))</f>
        <v>10 2025</v>
      </c>
      <c r="M5589" t="str">
        <f>CONCATENATE(MONTH(CompilDonnées[[#This Row],[HarvestingDate]])," ", YEAR(CompilDonnées[[#This Row],[HarvestingDate]]))</f>
        <v>12 2025</v>
      </c>
      <c r="N5589">
        <f>_xlfn.NUMBERVALUE(CompilDonnées[[#This Row],[FarmID]]&amp;CompilDonnées[[#This Row],[ModuleNumber]]&amp;CompilDonnées[[#This Row],[PlantationDate]])</f>
        <v>101245960</v>
      </c>
      <c r="O5589" t="str">
        <f>CompilDonnées[[#This Row],[FarmID]]&amp;CompilDonnées[[#This Row],[ModuleNumber]]</f>
        <v>1012</v>
      </c>
      <c r="P5589" t="str">
        <f>CompilDonnées[[#This Row],[Ref_Module]]&amp;CompilDonnées[[#This Row],[HarvestingDate]]</f>
        <v>101246008</v>
      </c>
    </row>
    <row r="5590" spans="1:16">
      <c r="A5590" s="5">
        <v>45960</v>
      </c>
      <c r="B5590">
        <v>99</v>
      </c>
      <c r="C5590" t="s">
        <v>117</v>
      </c>
      <c r="D5590">
        <v>4</v>
      </c>
      <c r="E5590">
        <v>100</v>
      </c>
      <c r="F5590" t="s">
        <v>1</v>
      </c>
      <c r="G5590" s="6">
        <v>46008</v>
      </c>
      <c r="H5590">
        <v>48</v>
      </c>
      <c r="I5590">
        <f>ROUND(CompilDonnées[[#This Row],[CultureDuration_days]]/7,0)</f>
        <v>7</v>
      </c>
      <c r="J5590">
        <v>2271</v>
      </c>
      <c r="K5590" t="str">
        <f>_xlfn.CONCAT(WEEKNUM(CompilDonnées[[#This Row],[PlantationDate]]), " ", YEAR(CompilDonnées[[#This Row],[PlantationDate]]))</f>
        <v>44 2025</v>
      </c>
      <c r="L5590" t="str">
        <f>CONCATENATE(MONTH(CompilDonnées[[#This Row],[PlantationDate]])," ", YEAR(CompilDonnées[[#This Row],[PlantationDate]]))</f>
        <v>10 2025</v>
      </c>
      <c r="M5590" t="str">
        <f>CONCATENATE(MONTH(CompilDonnées[[#This Row],[HarvestingDate]])," ", YEAR(CompilDonnées[[#This Row],[HarvestingDate]]))</f>
        <v>12 2025</v>
      </c>
      <c r="N5590">
        <f>_xlfn.NUMBERVALUE(CompilDonnées[[#This Row],[FarmID]]&amp;CompilDonnées[[#This Row],[ModuleNumber]]&amp;CompilDonnées[[#This Row],[PlantationDate]])</f>
        <v>99445960</v>
      </c>
      <c r="O5590" t="str">
        <f>CompilDonnées[[#This Row],[FarmID]]&amp;CompilDonnées[[#This Row],[ModuleNumber]]</f>
        <v>994</v>
      </c>
      <c r="P5590" t="str">
        <f>CompilDonnées[[#This Row],[Ref_Module]]&amp;CompilDonnées[[#This Row],[HarvestingDate]]</f>
        <v>99446008</v>
      </c>
    </row>
    <row r="5591" spans="1:16">
      <c r="A5591" s="5">
        <v>45960</v>
      </c>
      <c r="B5591">
        <v>96</v>
      </c>
      <c r="C5591" t="s">
        <v>125</v>
      </c>
      <c r="D5591">
        <v>2</v>
      </c>
      <c r="E5591">
        <v>100</v>
      </c>
      <c r="F5591" t="s">
        <v>1</v>
      </c>
      <c r="G5591" s="6">
        <v>46007</v>
      </c>
      <c r="H5591">
        <v>47</v>
      </c>
      <c r="I5591">
        <f>ROUND(CompilDonnées[[#This Row],[CultureDuration_days]]/7,0)</f>
        <v>7</v>
      </c>
      <c r="J5591">
        <v>1780</v>
      </c>
      <c r="K5591" t="str">
        <f>_xlfn.CONCAT(WEEKNUM(CompilDonnées[[#This Row],[PlantationDate]]), " ", YEAR(CompilDonnées[[#This Row],[PlantationDate]]))</f>
        <v>44 2025</v>
      </c>
      <c r="L5591" t="str">
        <f>CONCATENATE(MONTH(CompilDonnées[[#This Row],[PlantationDate]])," ", YEAR(CompilDonnées[[#This Row],[PlantationDate]]))</f>
        <v>10 2025</v>
      </c>
      <c r="M5591" t="str">
        <f>CONCATENATE(MONTH(CompilDonnées[[#This Row],[HarvestingDate]])," ", YEAR(CompilDonnées[[#This Row],[HarvestingDate]]))</f>
        <v>12 2025</v>
      </c>
      <c r="N5591">
        <f>_xlfn.NUMBERVALUE(CompilDonnées[[#This Row],[FarmID]]&amp;CompilDonnées[[#This Row],[ModuleNumber]]&amp;CompilDonnées[[#This Row],[PlantationDate]])</f>
        <v>96245960</v>
      </c>
      <c r="O5591" t="str">
        <f>CompilDonnées[[#This Row],[FarmID]]&amp;CompilDonnées[[#This Row],[ModuleNumber]]</f>
        <v>962</v>
      </c>
      <c r="P5591" t="str">
        <f>CompilDonnées[[#This Row],[Ref_Module]]&amp;CompilDonnées[[#This Row],[HarvestingDate]]</f>
        <v>96246007</v>
      </c>
    </row>
    <row r="5592" spans="1:16">
      <c r="A5592" s="5">
        <v>45960</v>
      </c>
      <c r="B5592">
        <v>92</v>
      </c>
      <c r="C5592" t="s">
        <v>66</v>
      </c>
      <c r="D5592">
        <v>4</v>
      </c>
      <c r="E5592">
        <v>100</v>
      </c>
      <c r="F5592" t="s">
        <v>1</v>
      </c>
      <c r="G5592" s="6">
        <v>46007</v>
      </c>
      <c r="H5592">
        <v>47</v>
      </c>
      <c r="I5592">
        <f>ROUND(CompilDonnées[[#This Row],[CultureDuration_days]]/7,0)</f>
        <v>7</v>
      </c>
      <c r="J5592">
        <v>2824</v>
      </c>
      <c r="K5592" t="str">
        <f>_xlfn.CONCAT(WEEKNUM(CompilDonnées[[#This Row],[PlantationDate]]), " ", YEAR(CompilDonnées[[#This Row],[PlantationDate]]))</f>
        <v>44 2025</v>
      </c>
      <c r="L5592" t="str">
        <f>CONCATENATE(MONTH(CompilDonnées[[#This Row],[PlantationDate]])," ", YEAR(CompilDonnées[[#This Row],[PlantationDate]]))</f>
        <v>10 2025</v>
      </c>
      <c r="M5592" t="str">
        <f>CONCATENATE(MONTH(CompilDonnées[[#This Row],[HarvestingDate]])," ", YEAR(CompilDonnées[[#This Row],[HarvestingDate]]))</f>
        <v>12 2025</v>
      </c>
      <c r="N5592">
        <f>_xlfn.NUMBERVALUE(CompilDonnées[[#This Row],[FarmID]]&amp;CompilDonnées[[#This Row],[ModuleNumber]]&amp;CompilDonnées[[#This Row],[PlantationDate]])</f>
        <v>92445960</v>
      </c>
      <c r="O5592" t="str">
        <f>CompilDonnées[[#This Row],[FarmID]]&amp;CompilDonnées[[#This Row],[ModuleNumber]]</f>
        <v>924</v>
      </c>
      <c r="P5592" t="str">
        <f>CompilDonnées[[#This Row],[Ref_Module]]&amp;CompilDonnées[[#This Row],[HarvestingDate]]</f>
        <v>92446007</v>
      </c>
    </row>
    <row r="5593" spans="1:16">
      <c r="A5593" s="5">
        <v>45960</v>
      </c>
      <c r="B5593">
        <v>91</v>
      </c>
      <c r="C5593" t="s">
        <v>9</v>
      </c>
      <c r="D5593">
        <v>6</v>
      </c>
      <c r="E5593">
        <v>100</v>
      </c>
      <c r="F5593" t="s">
        <v>1</v>
      </c>
      <c r="G5593" s="6">
        <v>46007</v>
      </c>
      <c r="H5593">
        <v>47</v>
      </c>
      <c r="I5593">
        <f>ROUND(CompilDonnées[[#This Row],[CultureDuration_days]]/7,0)</f>
        <v>7</v>
      </c>
      <c r="J5593">
        <v>2979</v>
      </c>
      <c r="K5593" t="str">
        <f>_xlfn.CONCAT(WEEKNUM(CompilDonnées[[#This Row],[PlantationDate]]), " ", YEAR(CompilDonnées[[#This Row],[PlantationDate]]))</f>
        <v>44 2025</v>
      </c>
      <c r="L5593" t="str">
        <f>CONCATENATE(MONTH(CompilDonnées[[#This Row],[PlantationDate]])," ", YEAR(CompilDonnées[[#This Row],[PlantationDate]]))</f>
        <v>10 2025</v>
      </c>
      <c r="M5593" t="str">
        <f>CONCATENATE(MONTH(CompilDonnées[[#This Row],[HarvestingDate]])," ", YEAR(CompilDonnées[[#This Row],[HarvestingDate]]))</f>
        <v>12 2025</v>
      </c>
      <c r="N5593">
        <f>_xlfn.NUMBERVALUE(CompilDonnées[[#This Row],[FarmID]]&amp;CompilDonnées[[#This Row],[ModuleNumber]]&amp;CompilDonnées[[#This Row],[PlantationDate]])</f>
        <v>91645960</v>
      </c>
      <c r="O5593" t="str">
        <f>CompilDonnées[[#This Row],[FarmID]]&amp;CompilDonnées[[#This Row],[ModuleNumber]]</f>
        <v>916</v>
      </c>
      <c r="P5593" t="str">
        <f>CompilDonnées[[#This Row],[Ref_Module]]&amp;CompilDonnées[[#This Row],[HarvestingDate]]</f>
        <v>91646007</v>
      </c>
    </row>
    <row r="5594" spans="1:16">
      <c r="A5594" s="5">
        <v>45960</v>
      </c>
      <c r="B5594">
        <v>86</v>
      </c>
      <c r="C5594" t="s">
        <v>37</v>
      </c>
      <c r="D5594">
        <v>5</v>
      </c>
      <c r="E5594">
        <v>100</v>
      </c>
      <c r="F5594" t="s">
        <v>1</v>
      </c>
      <c r="G5594" s="6">
        <v>46007</v>
      </c>
      <c r="H5594">
        <v>47</v>
      </c>
      <c r="I5594">
        <f>ROUND(CompilDonnées[[#This Row],[CultureDuration_days]]/7,0)</f>
        <v>7</v>
      </c>
      <c r="J5594">
        <v>2585</v>
      </c>
      <c r="K5594" t="str">
        <f>_xlfn.CONCAT(WEEKNUM(CompilDonnées[[#This Row],[PlantationDate]]), " ", YEAR(CompilDonnées[[#This Row],[PlantationDate]]))</f>
        <v>44 2025</v>
      </c>
      <c r="L5594" t="str">
        <f>CONCATENATE(MONTH(CompilDonnées[[#This Row],[PlantationDate]])," ", YEAR(CompilDonnées[[#This Row],[PlantationDate]]))</f>
        <v>10 2025</v>
      </c>
      <c r="M5594" t="str">
        <f>CONCATENATE(MONTH(CompilDonnées[[#This Row],[HarvestingDate]])," ", YEAR(CompilDonnées[[#This Row],[HarvestingDate]]))</f>
        <v>12 2025</v>
      </c>
      <c r="N5594">
        <f>_xlfn.NUMBERVALUE(CompilDonnées[[#This Row],[FarmID]]&amp;CompilDonnées[[#This Row],[ModuleNumber]]&amp;CompilDonnées[[#This Row],[PlantationDate]])</f>
        <v>86545960</v>
      </c>
      <c r="O5594" t="str">
        <f>CompilDonnées[[#This Row],[FarmID]]&amp;CompilDonnées[[#This Row],[ModuleNumber]]</f>
        <v>865</v>
      </c>
      <c r="P5594" t="str">
        <f>CompilDonnées[[#This Row],[Ref_Module]]&amp;CompilDonnées[[#This Row],[HarvestingDate]]</f>
        <v>86546007</v>
      </c>
    </row>
    <row r="5595" spans="1:16">
      <c r="A5595" s="5">
        <v>45960</v>
      </c>
      <c r="B5595">
        <v>32</v>
      </c>
      <c r="C5595" t="s">
        <v>25</v>
      </c>
      <c r="D5595">
        <v>1</v>
      </c>
      <c r="E5595">
        <v>100</v>
      </c>
      <c r="F5595" t="s">
        <v>1</v>
      </c>
      <c r="G5595" s="6">
        <v>46006</v>
      </c>
      <c r="H5595">
        <v>46</v>
      </c>
      <c r="I5595">
        <f>ROUND(CompilDonnées[[#This Row],[CultureDuration_days]]/7,0)</f>
        <v>7</v>
      </c>
      <c r="J5595">
        <v>3412</v>
      </c>
      <c r="K5595" t="str">
        <f>_xlfn.CONCAT(WEEKNUM(CompilDonnées[[#This Row],[PlantationDate]]), " ", YEAR(CompilDonnées[[#This Row],[PlantationDate]]))</f>
        <v>44 2025</v>
      </c>
      <c r="L5595" t="str">
        <f>CONCATENATE(MONTH(CompilDonnées[[#This Row],[PlantationDate]])," ", YEAR(CompilDonnées[[#This Row],[PlantationDate]]))</f>
        <v>10 2025</v>
      </c>
      <c r="M5595" t="str">
        <f>CONCATENATE(MONTH(CompilDonnées[[#This Row],[HarvestingDate]])," ", YEAR(CompilDonnées[[#This Row],[HarvestingDate]]))</f>
        <v>12 2025</v>
      </c>
      <c r="N5595">
        <f>_xlfn.NUMBERVALUE(CompilDonnées[[#This Row],[FarmID]]&amp;CompilDonnées[[#This Row],[ModuleNumber]]&amp;CompilDonnées[[#This Row],[PlantationDate]])</f>
        <v>32145960</v>
      </c>
      <c r="O5595" t="str">
        <f>CompilDonnées[[#This Row],[FarmID]]&amp;CompilDonnées[[#This Row],[ModuleNumber]]</f>
        <v>321</v>
      </c>
      <c r="P5595" t="str">
        <f>CompilDonnées[[#This Row],[Ref_Module]]&amp;CompilDonnées[[#This Row],[HarvestingDate]]</f>
        <v>32146006</v>
      </c>
    </row>
    <row r="5596" spans="1:16">
      <c r="A5596" s="5">
        <v>45960</v>
      </c>
      <c r="B5596">
        <v>59</v>
      </c>
      <c r="C5596" t="s">
        <v>64</v>
      </c>
      <c r="D5596">
        <v>1</v>
      </c>
      <c r="E5596">
        <v>100</v>
      </c>
      <c r="F5596" t="s">
        <v>1</v>
      </c>
      <c r="G5596" s="6">
        <v>46006</v>
      </c>
      <c r="H5596">
        <v>46</v>
      </c>
      <c r="I5596">
        <f>ROUND(CompilDonnées[[#This Row],[CultureDuration_days]]/7,0)</f>
        <v>7</v>
      </c>
      <c r="J5596">
        <v>3494</v>
      </c>
      <c r="K5596" t="str">
        <f>_xlfn.CONCAT(WEEKNUM(CompilDonnées[[#This Row],[PlantationDate]]), " ", YEAR(CompilDonnées[[#This Row],[PlantationDate]]))</f>
        <v>44 2025</v>
      </c>
      <c r="L5596" t="str">
        <f>CONCATENATE(MONTH(CompilDonnées[[#This Row],[PlantationDate]])," ", YEAR(CompilDonnées[[#This Row],[PlantationDate]]))</f>
        <v>10 2025</v>
      </c>
      <c r="M5596" t="str">
        <f>CONCATENATE(MONTH(CompilDonnées[[#This Row],[HarvestingDate]])," ", YEAR(CompilDonnées[[#This Row],[HarvestingDate]]))</f>
        <v>12 2025</v>
      </c>
      <c r="N5596">
        <f>_xlfn.NUMBERVALUE(CompilDonnées[[#This Row],[FarmID]]&amp;CompilDonnées[[#This Row],[ModuleNumber]]&amp;CompilDonnées[[#This Row],[PlantationDate]])</f>
        <v>59145960</v>
      </c>
      <c r="O5596" t="str">
        <f>CompilDonnées[[#This Row],[FarmID]]&amp;CompilDonnées[[#This Row],[ModuleNumber]]</f>
        <v>591</v>
      </c>
      <c r="P5596" t="str">
        <f>CompilDonnées[[#This Row],[Ref_Module]]&amp;CompilDonnées[[#This Row],[HarvestingDate]]</f>
        <v>59146006</v>
      </c>
    </row>
    <row r="5597" spans="1:16">
      <c r="A5597" s="5">
        <v>45960</v>
      </c>
      <c r="B5597">
        <v>74</v>
      </c>
      <c r="C5597" t="s">
        <v>21</v>
      </c>
      <c r="D5597">
        <v>1</v>
      </c>
      <c r="E5597">
        <v>100</v>
      </c>
      <c r="F5597" t="s">
        <v>1</v>
      </c>
      <c r="G5597" s="6">
        <v>46007</v>
      </c>
      <c r="H5597">
        <v>47</v>
      </c>
      <c r="I5597">
        <f>ROUND(CompilDonnées[[#This Row],[CultureDuration_days]]/7,0)</f>
        <v>7</v>
      </c>
      <c r="J5597">
        <v>2020</v>
      </c>
      <c r="K5597" t="str">
        <f>_xlfn.CONCAT(WEEKNUM(CompilDonnées[[#This Row],[PlantationDate]]), " ", YEAR(CompilDonnées[[#This Row],[PlantationDate]]))</f>
        <v>44 2025</v>
      </c>
      <c r="L5597" t="str">
        <f>CONCATENATE(MONTH(CompilDonnées[[#This Row],[PlantationDate]])," ", YEAR(CompilDonnées[[#This Row],[PlantationDate]]))</f>
        <v>10 2025</v>
      </c>
      <c r="M5597" t="str">
        <f>CONCATENATE(MONTH(CompilDonnées[[#This Row],[HarvestingDate]])," ", YEAR(CompilDonnées[[#This Row],[HarvestingDate]]))</f>
        <v>12 2025</v>
      </c>
      <c r="N5597">
        <f>_xlfn.NUMBERVALUE(CompilDonnées[[#This Row],[FarmID]]&amp;CompilDonnées[[#This Row],[ModuleNumber]]&amp;CompilDonnées[[#This Row],[PlantationDate]])</f>
        <v>74145960</v>
      </c>
      <c r="O5597" t="str">
        <f>CompilDonnées[[#This Row],[FarmID]]&amp;CompilDonnées[[#This Row],[ModuleNumber]]</f>
        <v>741</v>
      </c>
      <c r="P5597" t="str">
        <f>CompilDonnées[[#This Row],[Ref_Module]]&amp;CompilDonnées[[#This Row],[HarvestingDate]]</f>
        <v>74146007</v>
      </c>
    </row>
    <row r="5598" spans="1:16">
      <c r="A5598" s="5">
        <v>45960</v>
      </c>
      <c r="B5598">
        <v>71</v>
      </c>
      <c r="C5598" t="s">
        <v>19</v>
      </c>
      <c r="D5598">
        <v>2</v>
      </c>
      <c r="E5598">
        <v>100</v>
      </c>
      <c r="F5598" t="s">
        <v>1</v>
      </c>
      <c r="G5598" s="6">
        <v>46007</v>
      </c>
      <c r="H5598">
        <v>47</v>
      </c>
      <c r="I5598">
        <f>ROUND(CompilDonnées[[#This Row],[CultureDuration_days]]/7,0)</f>
        <v>7</v>
      </c>
      <c r="J5598">
        <v>1780</v>
      </c>
      <c r="K5598" t="str">
        <f>_xlfn.CONCAT(WEEKNUM(CompilDonnées[[#This Row],[PlantationDate]]), " ", YEAR(CompilDonnées[[#This Row],[PlantationDate]]))</f>
        <v>44 2025</v>
      </c>
      <c r="L5598" t="str">
        <f>CONCATENATE(MONTH(CompilDonnées[[#This Row],[PlantationDate]])," ", YEAR(CompilDonnées[[#This Row],[PlantationDate]]))</f>
        <v>10 2025</v>
      </c>
      <c r="M5598" t="str">
        <f>CONCATENATE(MONTH(CompilDonnées[[#This Row],[HarvestingDate]])," ", YEAR(CompilDonnées[[#This Row],[HarvestingDate]]))</f>
        <v>12 2025</v>
      </c>
      <c r="N5598">
        <f>_xlfn.NUMBERVALUE(CompilDonnées[[#This Row],[FarmID]]&amp;CompilDonnées[[#This Row],[ModuleNumber]]&amp;CompilDonnées[[#This Row],[PlantationDate]])</f>
        <v>71245960</v>
      </c>
      <c r="O5598" t="str">
        <f>CompilDonnées[[#This Row],[FarmID]]&amp;CompilDonnées[[#This Row],[ModuleNumber]]</f>
        <v>712</v>
      </c>
      <c r="P5598" t="str">
        <f>CompilDonnées[[#This Row],[Ref_Module]]&amp;CompilDonnées[[#This Row],[HarvestingDate]]</f>
        <v>71246007</v>
      </c>
    </row>
    <row r="5599" spans="1:16">
      <c r="A5599" s="5">
        <v>45960</v>
      </c>
      <c r="B5599">
        <v>77</v>
      </c>
      <c r="C5599" t="s">
        <v>75</v>
      </c>
      <c r="D5599">
        <v>2</v>
      </c>
      <c r="E5599">
        <v>100</v>
      </c>
      <c r="F5599" t="s">
        <v>1</v>
      </c>
      <c r="G5599" s="6">
        <v>46008</v>
      </c>
      <c r="H5599">
        <v>48</v>
      </c>
      <c r="I5599">
        <f>ROUND(CompilDonnées[[#This Row],[CultureDuration_days]]/7,0)</f>
        <v>7</v>
      </c>
      <c r="J5599">
        <v>2369</v>
      </c>
      <c r="K5599" t="str">
        <f>_xlfn.CONCAT(WEEKNUM(CompilDonnées[[#This Row],[PlantationDate]]), " ", YEAR(CompilDonnées[[#This Row],[PlantationDate]]))</f>
        <v>44 2025</v>
      </c>
      <c r="L5599" t="str">
        <f>CONCATENATE(MONTH(CompilDonnées[[#This Row],[PlantationDate]])," ", YEAR(CompilDonnées[[#This Row],[PlantationDate]]))</f>
        <v>10 2025</v>
      </c>
      <c r="M5599" t="str">
        <f>CONCATENATE(MONTH(CompilDonnées[[#This Row],[HarvestingDate]])," ", YEAR(CompilDonnées[[#This Row],[HarvestingDate]]))</f>
        <v>12 2025</v>
      </c>
      <c r="N5599">
        <f>_xlfn.NUMBERVALUE(CompilDonnées[[#This Row],[FarmID]]&amp;CompilDonnées[[#This Row],[ModuleNumber]]&amp;CompilDonnées[[#This Row],[PlantationDate]])</f>
        <v>77245960</v>
      </c>
      <c r="O5599" t="str">
        <f>CompilDonnées[[#This Row],[FarmID]]&amp;CompilDonnées[[#This Row],[ModuleNumber]]</f>
        <v>772</v>
      </c>
      <c r="P5599" t="str">
        <f>CompilDonnées[[#This Row],[Ref_Module]]&amp;CompilDonnées[[#This Row],[HarvestingDate]]</f>
        <v>77246008</v>
      </c>
    </row>
    <row r="5600" spans="1:16">
      <c r="A5600" s="5">
        <v>45960</v>
      </c>
      <c r="B5600">
        <v>76</v>
      </c>
      <c r="C5600" t="s">
        <v>18</v>
      </c>
      <c r="D5600">
        <v>3</v>
      </c>
      <c r="E5600">
        <v>100</v>
      </c>
      <c r="F5600" t="s">
        <v>1</v>
      </c>
      <c r="G5600" s="6">
        <v>46007</v>
      </c>
      <c r="H5600">
        <v>47</v>
      </c>
      <c r="I5600">
        <f>ROUND(CompilDonnées[[#This Row],[CultureDuration_days]]/7,0)</f>
        <v>7</v>
      </c>
      <c r="J5600">
        <v>2348</v>
      </c>
      <c r="K5600" t="str">
        <f>_xlfn.CONCAT(WEEKNUM(CompilDonnées[[#This Row],[PlantationDate]]), " ", YEAR(CompilDonnées[[#This Row],[PlantationDate]]))</f>
        <v>44 2025</v>
      </c>
      <c r="L5600" t="str">
        <f>CONCATENATE(MONTH(CompilDonnées[[#This Row],[PlantationDate]])," ", YEAR(CompilDonnées[[#This Row],[PlantationDate]]))</f>
        <v>10 2025</v>
      </c>
      <c r="M5600" t="str">
        <f>CONCATENATE(MONTH(CompilDonnées[[#This Row],[HarvestingDate]])," ", YEAR(CompilDonnées[[#This Row],[HarvestingDate]]))</f>
        <v>12 2025</v>
      </c>
      <c r="N5600">
        <f>_xlfn.NUMBERVALUE(CompilDonnées[[#This Row],[FarmID]]&amp;CompilDonnées[[#This Row],[ModuleNumber]]&amp;CompilDonnées[[#This Row],[PlantationDate]])</f>
        <v>76345960</v>
      </c>
      <c r="O5600" t="str">
        <f>CompilDonnées[[#This Row],[FarmID]]&amp;CompilDonnées[[#This Row],[ModuleNumber]]</f>
        <v>763</v>
      </c>
      <c r="P5600" t="str">
        <f>CompilDonnées[[#This Row],[Ref_Module]]&amp;CompilDonnées[[#This Row],[HarvestingDate]]</f>
        <v>76346007</v>
      </c>
    </row>
    <row r="5601" spans="1:16">
      <c r="A5601" s="5">
        <v>45960</v>
      </c>
      <c r="B5601">
        <v>80</v>
      </c>
      <c r="C5601" t="s">
        <v>29</v>
      </c>
      <c r="D5601">
        <v>6</v>
      </c>
      <c r="E5601">
        <v>100</v>
      </c>
      <c r="F5601" t="s">
        <v>1</v>
      </c>
      <c r="G5601" s="6">
        <v>46008</v>
      </c>
      <c r="H5601">
        <v>48</v>
      </c>
      <c r="I5601">
        <f>ROUND(CompilDonnées[[#This Row],[CultureDuration_days]]/7,0)</f>
        <v>7</v>
      </c>
      <c r="J5601">
        <v>4109</v>
      </c>
      <c r="K5601" t="str">
        <f>_xlfn.CONCAT(WEEKNUM(CompilDonnées[[#This Row],[PlantationDate]]), " ", YEAR(CompilDonnées[[#This Row],[PlantationDate]]))</f>
        <v>44 2025</v>
      </c>
      <c r="L5601" t="str">
        <f>CONCATENATE(MONTH(CompilDonnées[[#This Row],[PlantationDate]])," ", YEAR(CompilDonnées[[#This Row],[PlantationDate]]))</f>
        <v>10 2025</v>
      </c>
      <c r="M5601" t="str">
        <f>CONCATENATE(MONTH(CompilDonnées[[#This Row],[HarvestingDate]])," ", YEAR(CompilDonnées[[#This Row],[HarvestingDate]]))</f>
        <v>12 2025</v>
      </c>
      <c r="N5601">
        <f>_xlfn.NUMBERVALUE(CompilDonnées[[#This Row],[FarmID]]&amp;CompilDonnées[[#This Row],[ModuleNumber]]&amp;CompilDonnées[[#This Row],[PlantationDate]])</f>
        <v>80645960</v>
      </c>
      <c r="O5601" t="str">
        <f>CompilDonnées[[#This Row],[FarmID]]&amp;CompilDonnées[[#This Row],[ModuleNumber]]</f>
        <v>806</v>
      </c>
      <c r="P5601" t="str">
        <f>CompilDonnées[[#This Row],[Ref_Module]]&amp;CompilDonnées[[#This Row],[HarvestingDate]]</f>
        <v>80646008</v>
      </c>
    </row>
    <row r="5602" spans="1:16">
      <c r="A5602" s="5">
        <v>45960</v>
      </c>
      <c r="B5602">
        <v>82</v>
      </c>
      <c r="C5602" t="s">
        <v>17</v>
      </c>
      <c r="D5602">
        <v>6</v>
      </c>
      <c r="E5602">
        <v>100</v>
      </c>
      <c r="F5602" t="s">
        <v>1</v>
      </c>
      <c r="G5602" s="6">
        <v>46000</v>
      </c>
      <c r="H5602">
        <v>40</v>
      </c>
      <c r="I5602">
        <f>ROUND(CompilDonnées[[#This Row],[CultureDuration_days]]/7,0)</f>
        <v>6</v>
      </c>
      <c r="J5602">
        <v>4610</v>
      </c>
      <c r="K5602" t="str">
        <f>_xlfn.CONCAT(WEEKNUM(CompilDonnées[[#This Row],[PlantationDate]]), " ", YEAR(CompilDonnées[[#This Row],[PlantationDate]]))</f>
        <v>44 2025</v>
      </c>
      <c r="L5602" t="str">
        <f>CONCATENATE(MONTH(CompilDonnées[[#This Row],[PlantationDate]])," ", YEAR(CompilDonnées[[#This Row],[PlantationDate]]))</f>
        <v>10 2025</v>
      </c>
      <c r="M5602" t="str">
        <f>CONCATENATE(MONTH(CompilDonnées[[#This Row],[HarvestingDate]])," ", YEAR(CompilDonnées[[#This Row],[HarvestingDate]]))</f>
        <v>12 2025</v>
      </c>
      <c r="N5602">
        <f>_xlfn.NUMBERVALUE(CompilDonnées[[#This Row],[FarmID]]&amp;CompilDonnées[[#This Row],[ModuleNumber]]&amp;CompilDonnées[[#This Row],[PlantationDate]])</f>
        <v>82645960</v>
      </c>
      <c r="O5602" t="str">
        <f>CompilDonnées[[#This Row],[FarmID]]&amp;CompilDonnées[[#This Row],[ModuleNumber]]</f>
        <v>826</v>
      </c>
      <c r="P5602" t="str">
        <f>CompilDonnées[[#This Row],[Ref_Module]]&amp;CompilDonnées[[#This Row],[HarvestingDate]]</f>
        <v>82646000</v>
      </c>
    </row>
    <row r="5603" spans="1:16">
      <c r="A5603" s="5">
        <v>45960</v>
      </c>
      <c r="B5603">
        <v>79</v>
      </c>
      <c r="C5603" t="s">
        <v>61</v>
      </c>
      <c r="D5603">
        <v>2</v>
      </c>
      <c r="E5603">
        <v>100</v>
      </c>
      <c r="F5603" t="s">
        <v>1</v>
      </c>
      <c r="G5603" s="6">
        <v>46007</v>
      </c>
      <c r="H5603">
        <v>47</v>
      </c>
      <c r="I5603">
        <f>ROUND(CompilDonnées[[#This Row],[CultureDuration_days]]/7,0)</f>
        <v>7</v>
      </c>
      <c r="J5603">
        <v>2313</v>
      </c>
      <c r="K5603" t="str">
        <f>_xlfn.CONCAT(WEEKNUM(CompilDonnées[[#This Row],[PlantationDate]]), " ", YEAR(CompilDonnées[[#This Row],[PlantationDate]]))</f>
        <v>44 2025</v>
      </c>
      <c r="L5603" t="str">
        <f>CONCATENATE(MONTH(CompilDonnées[[#This Row],[PlantationDate]])," ", YEAR(CompilDonnées[[#This Row],[PlantationDate]]))</f>
        <v>10 2025</v>
      </c>
      <c r="M5603" t="str">
        <f>CONCATENATE(MONTH(CompilDonnées[[#This Row],[HarvestingDate]])," ", YEAR(CompilDonnées[[#This Row],[HarvestingDate]]))</f>
        <v>12 2025</v>
      </c>
      <c r="N5603">
        <f>_xlfn.NUMBERVALUE(CompilDonnées[[#This Row],[FarmID]]&amp;CompilDonnées[[#This Row],[ModuleNumber]]&amp;CompilDonnées[[#This Row],[PlantationDate]])</f>
        <v>79245960</v>
      </c>
      <c r="O5603" t="str">
        <f>CompilDonnées[[#This Row],[FarmID]]&amp;CompilDonnées[[#This Row],[ModuleNumber]]</f>
        <v>792</v>
      </c>
      <c r="P5603" t="str">
        <f>CompilDonnées[[#This Row],[Ref_Module]]&amp;CompilDonnées[[#This Row],[HarvestingDate]]</f>
        <v>79246007</v>
      </c>
    </row>
    <row r="5604" spans="1:16">
      <c r="A5604" s="5">
        <v>45960</v>
      </c>
      <c r="B5604">
        <v>68</v>
      </c>
      <c r="C5604" t="s">
        <v>89</v>
      </c>
      <c r="D5604">
        <v>4</v>
      </c>
      <c r="E5604">
        <v>100</v>
      </c>
      <c r="F5604" t="s">
        <v>1</v>
      </c>
      <c r="G5604" s="6">
        <v>46001</v>
      </c>
      <c r="H5604">
        <v>41</v>
      </c>
      <c r="I5604">
        <f>ROUND(CompilDonnées[[#This Row],[CultureDuration_days]]/7,0)</f>
        <v>6</v>
      </c>
      <c r="J5604">
        <v>4119</v>
      </c>
      <c r="K5604" t="str">
        <f>_xlfn.CONCAT(WEEKNUM(CompilDonnées[[#This Row],[PlantationDate]]), " ", YEAR(CompilDonnées[[#This Row],[PlantationDate]]))</f>
        <v>44 2025</v>
      </c>
      <c r="L5604" t="str">
        <f>CONCATENATE(MONTH(CompilDonnées[[#This Row],[PlantationDate]])," ", YEAR(CompilDonnées[[#This Row],[PlantationDate]]))</f>
        <v>10 2025</v>
      </c>
      <c r="M5604" t="str">
        <f>CONCATENATE(MONTH(CompilDonnées[[#This Row],[HarvestingDate]])," ", YEAR(CompilDonnées[[#This Row],[HarvestingDate]]))</f>
        <v>12 2025</v>
      </c>
      <c r="N5604">
        <f>_xlfn.NUMBERVALUE(CompilDonnées[[#This Row],[FarmID]]&amp;CompilDonnées[[#This Row],[ModuleNumber]]&amp;CompilDonnées[[#This Row],[PlantationDate]])</f>
        <v>68445960</v>
      </c>
      <c r="O5604" t="str">
        <f>CompilDonnées[[#This Row],[FarmID]]&amp;CompilDonnées[[#This Row],[ModuleNumber]]</f>
        <v>684</v>
      </c>
      <c r="P5604" t="str">
        <f>CompilDonnées[[#This Row],[Ref_Module]]&amp;CompilDonnées[[#This Row],[HarvestingDate]]</f>
        <v>68446001</v>
      </c>
    </row>
    <row r="5605" spans="1:16">
      <c r="A5605" s="5">
        <v>45960</v>
      </c>
      <c r="B5605">
        <v>66</v>
      </c>
      <c r="C5605" t="s">
        <v>48</v>
      </c>
      <c r="D5605">
        <v>5</v>
      </c>
      <c r="E5605">
        <v>100</v>
      </c>
      <c r="F5605" t="s">
        <v>1</v>
      </c>
      <c r="G5605" s="6">
        <v>46007</v>
      </c>
      <c r="H5605">
        <v>47</v>
      </c>
      <c r="I5605">
        <f>ROUND(CompilDonnées[[#This Row],[CultureDuration_days]]/7,0)</f>
        <v>7</v>
      </c>
      <c r="J5605">
        <v>2095</v>
      </c>
      <c r="K5605" t="str">
        <f>_xlfn.CONCAT(WEEKNUM(CompilDonnées[[#This Row],[PlantationDate]]), " ", YEAR(CompilDonnées[[#This Row],[PlantationDate]]))</f>
        <v>44 2025</v>
      </c>
      <c r="L5605" t="str">
        <f>CONCATENATE(MONTH(CompilDonnées[[#This Row],[PlantationDate]])," ", YEAR(CompilDonnées[[#This Row],[PlantationDate]]))</f>
        <v>10 2025</v>
      </c>
      <c r="M5605" t="str">
        <f>CONCATENATE(MONTH(CompilDonnées[[#This Row],[HarvestingDate]])," ", YEAR(CompilDonnées[[#This Row],[HarvestingDate]]))</f>
        <v>12 2025</v>
      </c>
      <c r="N5605">
        <f>_xlfn.NUMBERVALUE(CompilDonnées[[#This Row],[FarmID]]&amp;CompilDonnées[[#This Row],[ModuleNumber]]&amp;CompilDonnées[[#This Row],[PlantationDate]])</f>
        <v>66545960</v>
      </c>
      <c r="O5605" t="str">
        <f>CompilDonnées[[#This Row],[FarmID]]&amp;CompilDonnées[[#This Row],[ModuleNumber]]</f>
        <v>665</v>
      </c>
      <c r="P5605" t="str">
        <f>CompilDonnées[[#This Row],[Ref_Module]]&amp;CompilDonnées[[#This Row],[HarvestingDate]]</f>
        <v>66546007</v>
      </c>
    </row>
    <row r="5606" spans="1:16">
      <c r="A5606" s="5">
        <v>45961</v>
      </c>
      <c r="B5606">
        <v>140</v>
      </c>
      <c r="C5606" t="s">
        <v>96</v>
      </c>
      <c r="D5606">
        <v>6</v>
      </c>
      <c r="E5606">
        <v>100</v>
      </c>
      <c r="F5606" t="s">
        <v>1</v>
      </c>
      <c r="G5606" s="6">
        <v>45999</v>
      </c>
      <c r="H5606">
        <v>38</v>
      </c>
      <c r="I5606">
        <f>ROUND(CompilDonnées[[#This Row],[CultureDuration_days]]/7,0)</f>
        <v>5</v>
      </c>
      <c r="J5606">
        <v>3424</v>
      </c>
      <c r="K5606" t="str">
        <f>_xlfn.CONCAT(WEEKNUM(CompilDonnées[[#This Row],[PlantationDate]]), " ", YEAR(CompilDonnées[[#This Row],[PlantationDate]]))</f>
        <v>44 2025</v>
      </c>
      <c r="L5606" t="str">
        <f>CONCATENATE(MONTH(CompilDonnées[[#This Row],[PlantationDate]])," ", YEAR(CompilDonnées[[#This Row],[PlantationDate]]))</f>
        <v>10 2025</v>
      </c>
      <c r="M5606" t="str">
        <f>CONCATENATE(MONTH(CompilDonnées[[#This Row],[HarvestingDate]])," ", YEAR(CompilDonnées[[#This Row],[HarvestingDate]]))</f>
        <v>12 2025</v>
      </c>
      <c r="N5606">
        <f>_xlfn.NUMBERVALUE(CompilDonnées[[#This Row],[FarmID]]&amp;CompilDonnées[[#This Row],[ModuleNumber]]&amp;CompilDonnées[[#This Row],[PlantationDate]])</f>
        <v>140645961</v>
      </c>
      <c r="O5606" t="str">
        <f>CompilDonnées[[#This Row],[FarmID]]&amp;CompilDonnées[[#This Row],[ModuleNumber]]</f>
        <v>1406</v>
      </c>
      <c r="P5606" t="str">
        <f>CompilDonnées[[#This Row],[Ref_Module]]&amp;CompilDonnées[[#This Row],[HarvestingDate]]</f>
        <v>140645999</v>
      </c>
    </row>
    <row r="5607" spans="1:16">
      <c r="A5607" s="5">
        <v>45961</v>
      </c>
      <c r="B5607">
        <v>118</v>
      </c>
      <c r="C5607" t="s">
        <v>51</v>
      </c>
      <c r="D5607">
        <v>4</v>
      </c>
      <c r="E5607">
        <v>100</v>
      </c>
      <c r="F5607" t="s">
        <v>1</v>
      </c>
      <c r="G5607" s="6">
        <v>45999</v>
      </c>
      <c r="H5607">
        <v>38</v>
      </c>
      <c r="I5607">
        <f>ROUND(CompilDonnées[[#This Row],[CultureDuration_days]]/7,0)</f>
        <v>5</v>
      </c>
      <c r="J5607">
        <v>2735</v>
      </c>
      <c r="K5607" t="str">
        <f>_xlfn.CONCAT(WEEKNUM(CompilDonnées[[#This Row],[PlantationDate]]), " ", YEAR(CompilDonnées[[#This Row],[PlantationDate]]))</f>
        <v>44 2025</v>
      </c>
      <c r="L5607" t="str">
        <f>CONCATENATE(MONTH(CompilDonnées[[#This Row],[PlantationDate]])," ", YEAR(CompilDonnées[[#This Row],[PlantationDate]]))</f>
        <v>10 2025</v>
      </c>
      <c r="M5607" t="str">
        <f>CONCATENATE(MONTH(CompilDonnées[[#This Row],[HarvestingDate]])," ", YEAR(CompilDonnées[[#This Row],[HarvestingDate]]))</f>
        <v>12 2025</v>
      </c>
      <c r="N5607">
        <f>_xlfn.NUMBERVALUE(CompilDonnées[[#This Row],[FarmID]]&amp;CompilDonnées[[#This Row],[ModuleNumber]]&amp;CompilDonnées[[#This Row],[PlantationDate]])</f>
        <v>118445961</v>
      </c>
      <c r="O5607" t="str">
        <f>CompilDonnées[[#This Row],[FarmID]]&amp;CompilDonnées[[#This Row],[ModuleNumber]]</f>
        <v>1184</v>
      </c>
      <c r="P5607" t="str">
        <f>CompilDonnées[[#This Row],[Ref_Module]]&amp;CompilDonnées[[#This Row],[HarvestingDate]]</f>
        <v>118445999</v>
      </c>
    </row>
    <row r="5608" spans="1:16">
      <c r="A5608" s="5">
        <v>45961</v>
      </c>
      <c r="B5608">
        <v>113</v>
      </c>
      <c r="C5608" t="s">
        <v>16</v>
      </c>
      <c r="D5608">
        <v>4</v>
      </c>
      <c r="E5608">
        <v>100</v>
      </c>
      <c r="F5608" t="s">
        <v>1</v>
      </c>
      <c r="G5608" s="6">
        <v>46008</v>
      </c>
      <c r="H5608">
        <v>47</v>
      </c>
      <c r="I5608">
        <f>ROUND(CompilDonnées[[#This Row],[CultureDuration_days]]/7,0)</f>
        <v>7</v>
      </c>
      <c r="J5608">
        <v>3340</v>
      </c>
      <c r="K5608" t="str">
        <f>_xlfn.CONCAT(WEEKNUM(CompilDonnées[[#This Row],[PlantationDate]]), " ", YEAR(CompilDonnées[[#This Row],[PlantationDate]]))</f>
        <v>44 2025</v>
      </c>
      <c r="L5608" t="str">
        <f>CONCATENATE(MONTH(CompilDonnées[[#This Row],[PlantationDate]])," ", YEAR(CompilDonnées[[#This Row],[PlantationDate]]))</f>
        <v>10 2025</v>
      </c>
      <c r="M5608" t="str">
        <f>CONCATENATE(MONTH(CompilDonnées[[#This Row],[HarvestingDate]])," ", YEAR(CompilDonnées[[#This Row],[HarvestingDate]]))</f>
        <v>12 2025</v>
      </c>
      <c r="N5608">
        <f>_xlfn.NUMBERVALUE(CompilDonnées[[#This Row],[FarmID]]&amp;CompilDonnées[[#This Row],[ModuleNumber]]&amp;CompilDonnées[[#This Row],[PlantationDate]])</f>
        <v>113445961</v>
      </c>
      <c r="O5608" t="str">
        <f>CompilDonnées[[#This Row],[FarmID]]&amp;CompilDonnées[[#This Row],[ModuleNumber]]</f>
        <v>1134</v>
      </c>
      <c r="P5608" t="str">
        <f>CompilDonnées[[#This Row],[Ref_Module]]&amp;CompilDonnées[[#This Row],[HarvestingDate]]</f>
        <v>113446008</v>
      </c>
    </row>
    <row r="5609" spans="1:16">
      <c r="A5609" s="5">
        <v>45961</v>
      </c>
      <c r="B5609">
        <v>126</v>
      </c>
      <c r="C5609" t="s">
        <v>52</v>
      </c>
      <c r="D5609">
        <v>4</v>
      </c>
      <c r="E5609">
        <v>100</v>
      </c>
      <c r="F5609" t="s">
        <v>1</v>
      </c>
      <c r="G5609" s="6">
        <v>46003</v>
      </c>
      <c r="H5609">
        <v>42</v>
      </c>
      <c r="I5609">
        <f>ROUND(CompilDonnées[[#This Row],[CultureDuration_days]]/7,0)</f>
        <v>6</v>
      </c>
      <c r="J5609">
        <v>3253</v>
      </c>
      <c r="K5609" t="str">
        <f>_xlfn.CONCAT(WEEKNUM(CompilDonnées[[#This Row],[PlantationDate]]), " ", YEAR(CompilDonnées[[#This Row],[PlantationDate]]))</f>
        <v>44 2025</v>
      </c>
      <c r="L5609" t="str">
        <f>CONCATENATE(MONTH(CompilDonnées[[#This Row],[PlantationDate]])," ", YEAR(CompilDonnées[[#This Row],[PlantationDate]]))</f>
        <v>10 2025</v>
      </c>
      <c r="M5609" t="str">
        <f>CONCATENATE(MONTH(CompilDonnées[[#This Row],[HarvestingDate]])," ", YEAR(CompilDonnées[[#This Row],[HarvestingDate]]))</f>
        <v>12 2025</v>
      </c>
      <c r="N5609">
        <f>_xlfn.NUMBERVALUE(CompilDonnées[[#This Row],[FarmID]]&amp;CompilDonnées[[#This Row],[ModuleNumber]]&amp;CompilDonnées[[#This Row],[PlantationDate]])</f>
        <v>126445961</v>
      </c>
      <c r="O5609" t="str">
        <f>CompilDonnées[[#This Row],[FarmID]]&amp;CompilDonnées[[#This Row],[ModuleNumber]]</f>
        <v>1264</v>
      </c>
      <c r="P5609" t="str">
        <f>CompilDonnées[[#This Row],[Ref_Module]]&amp;CompilDonnées[[#This Row],[HarvestingDate]]</f>
        <v>126446003</v>
      </c>
    </row>
    <row r="5610" spans="1:16">
      <c r="A5610" s="5">
        <v>45961</v>
      </c>
      <c r="B5610">
        <v>112</v>
      </c>
      <c r="C5610" t="s">
        <v>15</v>
      </c>
      <c r="D5610">
        <v>2</v>
      </c>
      <c r="E5610">
        <v>100</v>
      </c>
      <c r="F5610" t="s">
        <v>1</v>
      </c>
      <c r="G5610" s="6">
        <v>46008</v>
      </c>
      <c r="H5610">
        <v>47</v>
      </c>
      <c r="I5610">
        <f>ROUND(CompilDonnées[[#This Row],[CultureDuration_days]]/7,0)</f>
        <v>7</v>
      </c>
      <c r="J5610">
        <v>2448</v>
      </c>
      <c r="K5610" t="str">
        <f>_xlfn.CONCAT(WEEKNUM(CompilDonnées[[#This Row],[PlantationDate]]), " ", YEAR(CompilDonnées[[#This Row],[PlantationDate]]))</f>
        <v>44 2025</v>
      </c>
      <c r="L5610" t="str">
        <f>CONCATENATE(MONTH(CompilDonnées[[#This Row],[PlantationDate]])," ", YEAR(CompilDonnées[[#This Row],[PlantationDate]]))</f>
        <v>10 2025</v>
      </c>
      <c r="M5610" t="str">
        <f>CONCATENATE(MONTH(CompilDonnées[[#This Row],[HarvestingDate]])," ", YEAR(CompilDonnées[[#This Row],[HarvestingDate]]))</f>
        <v>12 2025</v>
      </c>
      <c r="N5610">
        <f>_xlfn.NUMBERVALUE(CompilDonnées[[#This Row],[FarmID]]&amp;CompilDonnées[[#This Row],[ModuleNumber]]&amp;CompilDonnées[[#This Row],[PlantationDate]])</f>
        <v>112245961</v>
      </c>
      <c r="O5610" t="str">
        <f>CompilDonnées[[#This Row],[FarmID]]&amp;CompilDonnées[[#This Row],[ModuleNumber]]</f>
        <v>1122</v>
      </c>
      <c r="P5610" t="str">
        <f>CompilDonnées[[#This Row],[Ref_Module]]&amp;CompilDonnées[[#This Row],[HarvestingDate]]</f>
        <v>112246008</v>
      </c>
    </row>
    <row r="5611" spans="1:16">
      <c r="A5611" s="5">
        <v>45961</v>
      </c>
      <c r="B5611">
        <v>111</v>
      </c>
      <c r="C5611" t="s">
        <v>41</v>
      </c>
      <c r="D5611">
        <v>2</v>
      </c>
      <c r="E5611">
        <v>100</v>
      </c>
      <c r="F5611" t="s">
        <v>1</v>
      </c>
      <c r="G5611" s="6">
        <v>46008</v>
      </c>
      <c r="H5611">
        <v>47</v>
      </c>
      <c r="I5611">
        <f>ROUND(CompilDonnées[[#This Row],[CultureDuration_days]]/7,0)</f>
        <v>7</v>
      </c>
      <c r="J5611">
        <v>2270</v>
      </c>
      <c r="K5611" t="str">
        <f>_xlfn.CONCAT(WEEKNUM(CompilDonnées[[#This Row],[PlantationDate]]), " ", YEAR(CompilDonnées[[#This Row],[PlantationDate]]))</f>
        <v>44 2025</v>
      </c>
      <c r="L5611" t="str">
        <f>CONCATENATE(MONTH(CompilDonnées[[#This Row],[PlantationDate]])," ", YEAR(CompilDonnées[[#This Row],[PlantationDate]]))</f>
        <v>10 2025</v>
      </c>
      <c r="M5611" t="str">
        <f>CONCATENATE(MONTH(CompilDonnées[[#This Row],[HarvestingDate]])," ", YEAR(CompilDonnées[[#This Row],[HarvestingDate]]))</f>
        <v>12 2025</v>
      </c>
      <c r="N5611">
        <f>_xlfn.NUMBERVALUE(CompilDonnées[[#This Row],[FarmID]]&amp;CompilDonnées[[#This Row],[ModuleNumber]]&amp;CompilDonnées[[#This Row],[PlantationDate]])</f>
        <v>111245961</v>
      </c>
      <c r="O5611" t="str">
        <f>CompilDonnées[[#This Row],[FarmID]]&amp;CompilDonnées[[#This Row],[ModuleNumber]]</f>
        <v>1112</v>
      </c>
      <c r="P5611" t="str">
        <f>CompilDonnées[[#This Row],[Ref_Module]]&amp;CompilDonnées[[#This Row],[HarvestingDate]]</f>
        <v>111246008</v>
      </c>
    </row>
    <row r="5612" spans="1:16">
      <c r="A5612" s="5">
        <v>45961</v>
      </c>
      <c r="B5612">
        <v>110</v>
      </c>
      <c r="C5612" t="s">
        <v>14</v>
      </c>
      <c r="D5612">
        <v>1</v>
      </c>
      <c r="E5612">
        <v>100</v>
      </c>
      <c r="F5612" t="s">
        <v>1</v>
      </c>
      <c r="G5612" s="6">
        <v>46008</v>
      </c>
      <c r="H5612">
        <v>47</v>
      </c>
      <c r="I5612">
        <f>ROUND(CompilDonnées[[#This Row],[CultureDuration_days]]/7,0)</f>
        <v>7</v>
      </c>
      <c r="J5612">
        <v>1959</v>
      </c>
      <c r="K5612" t="str">
        <f>_xlfn.CONCAT(WEEKNUM(CompilDonnées[[#This Row],[PlantationDate]]), " ", YEAR(CompilDonnées[[#This Row],[PlantationDate]]))</f>
        <v>44 2025</v>
      </c>
      <c r="L5612" t="str">
        <f>CONCATENATE(MONTH(CompilDonnées[[#This Row],[PlantationDate]])," ", YEAR(CompilDonnées[[#This Row],[PlantationDate]]))</f>
        <v>10 2025</v>
      </c>
      <c r="M5612" t="str">
        <f>CONCATENATE(MONTH(CompilDonnées[[#This Row],[HarvestingDate]])," ", YEAR(CompilDonnées[[#This Row],[HarvestingDate]]))</f>
        <v>12 2025</v>
      </c>
      <c r="N5612">
        <f>_xlfn.NUMBERVALUE(CompilDonnées[[#This Row],[FarmID]]&amp;CompilDonnées[[#This Row],[ModuleNumber]]&amp;CompilDonnées[[#This Row],[PlantationDate]])</f>
        <v>110145961</v>
      </c>
      <c r="O5612" t="str">
        <f>CompilDonnées[[#This Row],[FarmID]]&amp;CompilDonnées[[#This Row],[ModuleNumber]]</f>
        <v>1101</v>
      </c>
      <c r="P5612" t="str">
        <f>CompilDonnées[[#This Row],[Ref_Module]]&amp;CompilDonnées[[#This Row],[HarvestingDate]]</f>
        <v>110146008</v>
      </c>
    </row>
    <row r="5613" spans="1:16">
      <c r="A5613" s="5">
        <v>45961</v>
      </c>
      <c r="B5613">
        <v>88</v>
      </c>
      <c r="C5613" t="s">
        <v>94</v>
      </c>
      <c r="D5613">
        <v>6</v>
      </c>
      <c r="E5613">
        <v>100</v>
      </c>
      <c r="F5613" t="s">
        <v>1</v>
      </c>
      <c r="G5613" s="6">
        <v>46000</v>
      </c>
      <c r="H5613">
        <v>39</v>
      </c>
      <c r="I5613">
        <f>ROUND(CompilDonnées[[#This Row],[CultureDuration_days]]/7,0)</f>
        <v>6</v>
      </c>
      <c r="J5613">
        <v>3815</v>
      </c>
      <c r="K5613" t="str">
        <f>_xlfn.CONCAT(WEEKNUM(CompilDonnées[[#This Row],[PlantationDate]]), " ", YEAR(CompilDonnées[[#This Row],[PlantationDate]]))</f>
        <v>44 2025</v>
      </c>
      <c r="L5613" t="str">
        <f>CONCATENATE(MONTH(CompilDonnées[[#This Row],[PlantationDate]])," ", YEAR(CompilDonnées[[#This Row],[PlantationDate]]))</f>
        <v>10 2025</v>
      </c>
      <c r="M5613" t="str">
        <f>CONCATENATE(MONTH(CompilDonnées[[#This Row],[HarvestingDate]])," ", YEAR(CompilDonnées[[#This Row],[HarvestingDate]]))</f>
        <v>12 2025</v>
      </c>
      <c r="N5613">
        <f>_xlfn.NUMBERVALUE(CompilDonnées[[#This Row],[FarmID]]&amp;CompilDonnées[[#This Row],[ModuleNumber]]&amp;CompilDonnées[[#This Row],[PlantationDate]])</f>
        <v>88645961</v>
      </c>
      <c r="O5613" t="str">
        <f>CompilDonnées[[#This Row],[FarmID]]&amp;CompilDonnées[[#This Row],[ModuleNumber]]</f>
        <v>886</v>
      </c>
      <c r="P5613" t="str">
        <f>CompilDonnées[[#This Row],[Ref_Module]]&amp;CompilDonnées[[#This Row],[HarvestingDate]]</f>
        <v>88646000</v>
      </c>
    </row>
    <row r="5614" spans="1:16">
      <c r="A5614" s="5">
        <v>45961</v>
      </c>
      <c r="B5614">
        <v>93</v>
      </c>
      <c r="C5614" t="s">
        <v>10</v>
      </c>
      <c r="D5614">
        <v>6</v>
      </c>
      <c r="E5614">
        <v>100</v>
      </c>
      <c r="F5614" t="s">
        <v>1</v>
      </c>
      <c r="G5614" s="6">
        <v>46007</v>
      </c>
      <c r="H5614">
        <v>46</v>
      </c>
      <c r="I5614">
        <f>ROUND(CompilDonnées[[#This Row],[CultureDuration_days]]/7,0)</f>
        <v>7</v>
      </c>
      <c r="J5614">
        <v>3862</v>
      </c>
      <c r="K5614" t="str">
        <f>_xlfn.CONCAT(WEEKNUM(CompilDonnées[[#This Row],[PlantationDate]]), " ", YEAR(CompilDonnées[[#This Row],[PlantationDate]]))</f>
        <v>44 2025</v>
      </c>
      <c r="L5614" t="str">
        <f>CONCATENATE(MONTH(CompilDonnées[[#This Row],[PlantationDate]])," ", YEAR(CompilDonnées[[#This Row],[PlantationDate]]))</f>
        <v>10 2025</v>
      </c>
      <c r="M5614" t="str">
        <f>CONCATENATE(MONTH(CompilDonnées[[#This Row],[HarvestingDate]])," ", YEAR(CompilDonnées[[#This Row],[HarvestingDate]]))</f>
        <v>12 2025</v>
      </c>
      <c r="N5614">
        <f>_xlfn.NUMBERVALUE(CompilDonnées[[#This Row],[FarmID]]&amp;CompilDonnées[[#This Row],[ModuleNumber]]&amp;CompilDonnées[[#This Row],[PlantationDate]])</f>
        <v>93645961</v>
      </c>
      <c r="O5614" t="str">
        <f>CompilDonnées[[#This Row],[FarmID]]&amp;CompilDonnées[[#This Row],[ModuleNumber]]</f>
        <v>936</v>
      </c>
      <c r="P5614" t="str">
        <f>CompilDonnées[[#This Row],[Ref_Module]]&amp;CompilDonnées[[#This Row],[HarvestingDate]]</f>
        <v>93646007</v>
      </c>
    </row>
    <row r="5615" spans="1:16">
      <c r="A5615" s="5">
        <v>45961</v>
      </c>
      <c r="B5615">
        <v>101</v>
      </c>
      <c r="C5615" t="s">
        <v>54</v>
      </c>
      <c r="D5615">
        <v>4</v>
      </c>
      <c r="E5615">
        <v>100</v>
      </c>
      <c r="F5615" t="s">
        <v>1</v>
      </c>
      <c r="G5615" s="6">
        <v>46008</v>
      </c>
      <c r="H5615">
        <v>47</v>
      </c>
      <c r="I5615">
        <f>ROUND(CompilDonnées[[#This Row],[CultureDuration_days]]/7,0)</f>
        <v>7</v>
      </c>
      <c r="J5615">
        <v>3603</v>
      </c>
      <c r="K5615" t="str">
        <f>_xlfn.CONCAT(WEEKNUM(CompilDonnées[[#This Row],[PlantationDate]]), " ", YEAR(CompilDonnées[[#This Row],[PlantationDate]]))</f>
        <v>44 2025</v>
      </c>
      <c r="L5615" t="str">
        <f>CONCATENATE(MONTH(CompilDonnées[[#This Row],[PlantationDate]])," ", YEAR(CompilDonnées[[#This Row],[PlantationDate]]))</f>
        <v>10 2025</v>
      </c>
      <c r="M5615" t="str">
        <f>CONCATENATE(MONTH(CompilDonnées[[#This Row],[HarvestingDate]])," ", YEAR(CompilDonnées[[#This Row],[HarvestingDate]]))</f>
        <v>12 2025</v>
      </c>
      <c r="N5615">
        <f>_xlfn.NUMBERVALUE(CompilDonnées[[#This Row],[FarmID]]&amp;CompilDonnées[[#This Row],[ModuleNumber]]&amp;CompilDonnées[[#This Row],[PlantationDate]])</f>
        <v>101445961</v>
      </c>
      <c r="O5615" t="str">
        <f>CompilDonnées[[#This Row],[FarmID]]&amp;CompilDonnées[[#This Row],[ModuleNumber]]</f>
        <v>1014</v>
      </c>
      <c r="P5615" t="str">
        <f>CompilDonnées[[#This Row],[Ref_Module]]&amp;CompilDonnées[[#This Row],[HarvestingDate]]</f>
        <v>101446008</v>
      </c>
    </row>
    <row r="5616" spans="1:16">
      <c r="A5616" s="5">
        <v>45961</v>
      </c>
      <c r="B5616">
        <v>108</v>
      </c>
      <c r="C5616" t="s">
        <v>58</v>
      </c>
      <c r="D5616">
        <v>4</v>
      </c>
      <c r="E5616">
        <v>100</v>
      </c>
      <c r="F5616" t="s">
        <v>1</v>
      </c>
      <c r="G5616" s="6">
        <v>46008</v>
      </c>
      <c r="H5616">
        <v>47</v>
      </c>
      <c r="I5616">
        <f>ROUND(CompilDonnées[[#This Row],[CultureDuration_days]]/7,0)</f>
        <v>7</v>
      </c>
      <c r="J5616">
        <v>2788</v>
      </c>
      <c r="K5616" t="str">
        <f>_xlfn.CONCAT(WEEKNUM(CompilDonnées[[#This Row],[PlantationDate]]), " ", YEAR(CompilDonnées[[#This Row],[PlantationDate]]))</f>
        <v>44 2025</v>
      </c>
      <c r="L5616" t="str">
        <f>CONCATENATE(MONTH(CompilDonnées[[#This Row],[PlantationDate]])," ", YEAR(CompilDonnées[[#This Row],[PlantationDate]]))</f>
        <v>10 2025</v>
      </c>
      <c r="M5616" t="str">
        <f>CONCATENATE(MONTH(CompilDonnées[[#This Row],[HarvestingDate]])," ", YEAR(CompilDonnées[[#This Row],[HarvestingDate]]))</f>
        <v>12 2025</v>
      </c>
      <c r="N5616">
        <f>_xlfn.NUMBERVALUE(CompilDonnées[[#This Row],[FarmID]]&amp;CompilDonnées[[#This Row],[ModuleNumber]]&amp;CompilDonnées[[#This Row],[PlantationDate]])</f>
        <v>108445961</v>
      </c>
      <c r="O5616" t="str">
        <f>CompilDonnées[[#This Row],[FarmID]]&amp;CompilDonnées[[#This Row],[ModuleNumber]]</f>
        <v>1084</v>
      </c>
      <c r="P5616" t="str">
        <f>CompilDonnées[[#This Row],[Ref_Module]]&amp;CompilDonnées[[#This Row],[HarvestingDate]]</f>
        <v>108446008</v>
      </c>
    </row>
    <row r="5617" spans="1:16">
      <c r="A5617" s="5">
        <v>45961</v>
      </c>
      <c r="B5617">
        <v>109</v>
      </c>
      <c r="C5617" t="s">
        <v>2</v>
      </c>
      <c r="D5617">
        <v>4</v>
      </c>
      <c r="E5617">
        <v>100</v>
      </c>
      <c r="F5617" t="s">
        <v>1</v>
      </c>
      <c r="G5617" s="6">
        <v>46008</v>
      </c>
      <c r="H5617">
        <v>47</v>
      </c>
      <c r="I5617">
        <f>ROUND(CompilDonnées[[#This Row],[CultureDuration_days]]/7,0)</f>
        <v>7</v>
      </c>
      <c r="J5617">
        <v>3706</v>
      </c>
      <c r="K5617" t="str">
        <f>_xlfn.CONCAT(WEEKNUM(CompilDonnées[[#This Row],[PlantationDate]]), " ", YEAR(CompilDonnées[[#This Row],[PlantationDate]]))</f>
        <v>44 2025</v>
      </c>
      <c r="L5617" t="str">
        <f>CONCATENATE(MONTH(CompilDonnées[[#This Row],[PlantationDate]])," ", YEAR(CompilDonnées[[#This Row],[PlantationDate]]))</f>
        <v>10 2025</v>
      </c>
      <c r="M5617" t="str">
        <f>CONCATENATE(MONTH(CompilDonnées[[#This Row],[HarvestingDate]])," ", YEAR(CompilDonnées[[#This Row],[HarvestingDate]]))</f>
        <v>12 2025</v>
      </c>
      <c r="N5617">
        <f>_xlfn.NUMBERVALUE(CompilDonnées[[#This Row],[FarmID]]&amp;CompilDonnées[[#This Row],[ModuleNumber]]&amp;CompilDonnées[[#This Row],[PlantationDate]])</f>
        <v>109445961</v>
      </c>
      <c r="O5617" t="str">
        <f>CompilDonnées[[#This Row],[FarmID]]&amp;CompilDonnées[[#This Row],[ModuleNumber]]</f>
        <v>1094</v>
      </c>
      <c r="P5617" t="str">
        <f>CompilDonnées[[#This Row],[Ref_Module]]&amp;CompilDonnées[[#This Row],[HarvestingDate]]</f>
        <v>109446008</v>
      </c>
    </row>
    <row r="5618" spans="1:16">
      <c r="A5618" s="5">
        <v>45961</v>
      </c>
      <c r="B5618">
        <v>107</v>
      </c>
      <c r="C5618" t="s">
        <v>23</v>
      </c>
      <c r="D5618">
        <v>6</v>
      </c>
      <c r="E5618">
        <v>100</v>
      </c>
      <c r="F5618" t="s">
        <v>1</v>
      </c>
      <c r="G5618" s="6">
        <v>46008</v>
      </c>
      <c r="H5618">
        <v>47</v>
      </c>
      <c r="I5618">
        <f>ROUND(CompilDonnées[[#This Row],[CultureDuration_days]]/7,0)</f>
        <v>7</v>
      </c>
      <c r="J5618">
        <v>2853</v>
      </c>
      <c r="K5618" t="str">
        <f>_xlfn.CONCAT(WEEKNUM(CompilDonnées[[#This Row],[PlantationDate]]), " ", YEAR(CompilDonnées[[#This Row],[PlantationDate]]))</f>
        <v>44 2025</v>
      </c>
      <c r="L5618" t="str">
        <f>CONCATENATE(MONTH(CompilDonnées[[#This Row],[PlantationDate]])," ", YEAR(CompilDonnées[[#This Row],[PlantationDate]]))</f>
        <v>10 2025</v>
      </c>
      <c r="M5618" t="str">
        <f>CONCATENATE(MONTH(CompilDonnées[[#This Row],[HarvestingDate]])," ", YEAR(CompilDonnées[[#This Row],[HarvestingDate]]))</f>
        <v>12 2025</v>
      </c>
      <c r="N5618">
        <f>_xlfn.NUMBERVALUE(CompilDonnées[[#This Row],[FarmID]]&amp;CompilDonnées[[#This Row],[ModuleNumber]]&amp;CompilDonnées[[#This Row],[PlantationDate]])</f>
        <v>107645961</v>
      </c>
      <c r="O5618" t="str">
        <f>CompilDonnées[[#This Row],[FarmID]]&amp;CompilDonnées[[#This Row],[ModuleNumber]]</f>
        <v>1076</v>
      </c>
      <c r="P5618" t="str">
        <f>CompilDonnées[[#This Row],[Ref_Module]]&amp;CompilDonnées[[#This Row],[HarvestingDate]]</f>
        <v>107646008</v>
      </c>
    </row>
    <row r="5619" spans="1:16">
      <c r="A5619" s="5">
        <v>45961</v>
      </c>
      <c r="B5619">
        <v>106</v>
      </c>
      <c r="C5619" t="s">
        <v>22</v>
      </c>
      <c r="D5619">
        <v>1</v>
      </c>
      <c r="E5619">
        <v>100</v>
      </c>
      <c r="F5619" t="s">
        <v>1</v>
      </c>
      <c r="G5619" s="6">
        <v>46008</v>
      </c>
      <c r="H5619">
        <v>47</v>
      </c>
      <c r="I5619">
        <f>ROUND(CompilDonnées[[#This Row],[CultureDuration_days]]/7,0)</f>
        <v>7</v>
      </c>
      <c r="J5619">
        <v>1976</v>
      </c>
      <c r="K5619" t="str">
        <f>_xlfn.CONCAT(WEEKNUM(CompilDonnées[[#This Row],[PlantationDate]]), " ", YEAR(CompilDonnées[[#This Row],[PlantationDate]]))</f>
        <v>44 2025</v>
      </c>
      <c r="L5619" t="str">
        <f>CONCATENATE(MONTH(CompilDonnées[[#This Row],[PlantationDate]])," ", YEAR(CompilDonnées[[#This Row],[PlantationDate]]))</f>
        <v>10 2025</v>
      </c>
      <c r="M5619" t="str">
        <f>CONCATENATE(MONTH(CompilDonnées[[#This Row],[HarvestingDate]])," ", YEAR(CompilDonnées[[#This Row],[HarvestingDate]]))</f>
        <v>12 2025</v>
      </c>
      <c r="N5619">
        <f>_xlfn.NUMBERVALUE(CompilDonnées[[#This Row],[FarmID]]&amp;CompilDonnées[[#This Row],[ModuleNumber]]&amp;CompilDonnées[[#This Row],[PlantationDate]])</f>
        <v>106145961</v>
      </c>
      <c r="O5619" t="str">
        <f>CompilDonnées[[#This Row],[FarmID]]&amp;CompilDonnées[[#This Row],[ModuleNumber]]</f>
        <v>1061</v>
      </c>
      <c r="P5619" t="str">
        <f>CompilDonnées[[#This Row],[Ref_Module]]&amp;CompilDonnées[[#This Row],[HarvestingDate]]</f>
        <v>106146008</v>
      </c>
    </row>
    <row r="5620" spans="1:16">
      <c r="A5620" s="5">
        <v>45961</v>
      </c>
      <c r="B5620">
        <v>99</v>
      </c>
      <c r="C5620" t="s">
        <v>117</v>
      </c>
      <c r="D5620">
        <v>1</v>
      </c>
      <c r="E5620">
        <v>100</v>
      </c>
      <c r="F5620" t="s">
        <v>1</v>
      </c>
      <c r="G5620" s="6">
        <v>46008</v>
      </c>
      <c r="H5620">
        <v>47</v>
      </c>
      <c r="I5620">
        <f>ROUND(CompilDonnées[[#This Row],[CultureDuration_days]]/7,0)</f>
        <v>7</v>
      </c>
      <c r="J5620">
        <v>2228</v>
      </c>
      <c r="K5620" t="str">
        <f>_xlfn.CONCAT(WEEKNUM(CompilDonnées[[#This Row],[PlantationDate]]), " ", YEAR(CompilDonnées[[#This Row],[PlantationDate]]))</f>
        <v>44 2025</v>
      </c>
      <c r="L5620" t="str">
        <f>CONCATENATE(MONTH(CompilDonnées[[#This Row],[PlantationDate]])," ", YEAR(CompilDonnées[[#This Row],[PlantationDate]]))</f>
        <v>10 2025</v>
      </c>
      <c r="M5620" t="str">
        <f>CONCATENATE(MONTH(CompilDonnées[[#This Row],[HarvestingDate]])," ", YEAR(CompilDonnées[[#This Row],[HarvestingDate]]))</f>
        <v>12 2025</v>
      </c>
      <c r="N5620">
        <f>_xlfn.NUMBERVALUE(CompilDonnées[[#This Row],[FarmID]]&amp;CompilDonnées[[#This Row],[ModuleNumber]]&amp;CompilDonnées[[#This Row],[PlantationDate]])</f>
        <v>99145961</v>
      </c>
      <c r="O5620" t="str">
        <f>CompilDonnées[[#This Row],[FarmID]]&amp;CompilDonnées[[#This Row],[ModuleNumber]]</f>
        <v>991</v>
      </c>
      <c r="P5620" t="str">
        <f>CompilDonnées[[#This Row],[Ref_Module]]&amp;CompilDonnées[[#This Row],[HarvestingDate]]</f>
        <v>99146008</v>
      </c>
    </row>
    <row r="5621" spans="1:16">
      <c r="A5621" s="5">
        <v>45961</v>
      </c>
      <c r="B5621">
        <v>97</v>
      </c>
      <c r="C5621" t="s">
        <v>78</v>
      </c>
      <c r="D5621">
        <v>6</v>
      </c>
      <c r="E5621">
        <v>100</v>
      </c>
      <c r="F5621" t="s">
        <v>1</v>
      </c>
      <c r="G5621" s="6">
        <v>46008</v>
      </c>
      <c r="H5621">
        <v>47</v>
      </c>
      <c r="I5621">
        <f>ROUND(CompilDonnées[[#This Row],[CultureDuration_days]]/7,0)</f>
        <v>7</v>
      </c>
      <c r="J5621">
        <v>1801</v>
      </c>
      <c r="K5621" t="str">
        <f>_xlfn.CONCAT(WEEKNUM(CompilDonnées[[#This Row],[PlantationDate]]), " ", YEAR(CompilDonnées[[#This Row],[PlantationDate]]))</f>
        <v>44 2025</v>
      </c>
      <c r="L5621" t="str">
        <f>CONCATENATE(MONTH(CompilDonnées[[#This Row],[PlantationDate]])," ", YEAR(CompilDonnées[[#This Row],[PlantationDate]]))</f>
        <v>10 2025</v>
      </c>
      <c r="M5621" t="str">
        <f>CONCATENATE(MONTH(CompilDonnées[[#This Row],[HarvestingDate]])," ", YEAR(CompilDonnées[[#This Row],[HarvestingDate]]))</f>
        <v>12 2025</v>
      </c>
      <c r="N5621">
        <f>_xlfn.NUMBERVALUE(CompilDonnées[[#This Row],[FarmID]]&amp;CompilDonnées[[#This Row],[ModuleNumber]]&amp;CompilDonnées[[#This Row],[PlantationDate]])</f>
        <v>97645961</v>
      </c>
      <c r="O5621" t="str">
        <f>CompilDonnées[[#This Row],[FarmID]]&amp;CompilDonnées[[#This Row],[ModuleNumber]]</f>
        <v>976</v>
      </c>
      <c r="P5621" t="str">
        <f>CompilDonnées[[#This Row],[Ref_Module]]&amp;CompilDonnées[[#This Row],[HarvestingDate]]</f>
        <v>97646008</v>
      </c>
    </row>
    <row r="5622" spans="1:16">
      <c r="A5622" s="5">
        <v>45961</v>
      </c>
      <c r="B5622">
        <v>105</v>
      </c>
      <c r="C5622" t="s">
        <v>12</v>
      </c>
      <c r="D5622">
        <v>5</v>
      </c>
      <c r="E5622">
        <v>100</v>
      </c>
      <c r="F5622" t="s">
        <v>1</v>
      </c>
      <c r="G5622" s="6">
        <v>45999</v>
      </c>
      <c r="H5622">
        <v>38</v>
      </c>
      <c r="I5622">
        <f>ROUND(CompilDonnées[[#This Row],[CultureDuration_days]]/7,0)</f>
        <v>5</v>
      </c>
      <c r="J5622">
        <v>1959</v>
      </c>
      <c r="K5622" t="str">
        <f>_xlfn.CONCAT(WEEKNUM(CompilDonnées[[#This Row],[PlantationDate]]), " ", YEAR(CompilDonnées[[#This Row],[PlantationDate]]))</f>
        <v>44 2025</v>
      </c>
      <c r="L5622" t="str">
        <f>CONCATENATE(MONTH(CompilDonnées[[#This Row],[PlantationDate]])," ", YEAR(CompilDonnées[[#This Row],[PlantationDate]]))</f>
        <v>10 2025</v>
      </c>
      <c r="M5622" t="str">
        <f>CONCATENATE(MONTH(CompilDonnées[[#This Row],[HarvestingDate]])," ", YEAR(CompilDonnées[[#This Row],[HarvestingDate]]))</f>
        <v>12 2025</v>
      </c>
      <c r="N5622">
        <f>_xlfn.NUMBERVALUE(CompilDonnées[[#This Row],[FarmID]]&amp;CompilDonnées[[#This Row],[ModuleNumber]]&amp;CompilDonnées[[#This Row],[PlantationDate]])</f>
        <v>105545961</v>
      </c>
      <c r="O5622" t="str">
        <f>CompilDonnées[[#This Row],[FarmID]]&amp;CompilDonnées[[#This Row],[ModuleNumber]]</f>
        <v>1055</v>
      </c>
      <c r="P5622" t="str">
        <f>CompilDonnées[[#This Row],[Ref_Module]]&amp;CompilDonnées[[#This Row],[HarvestingDate]]</f>
        <v>105545999</v>
      </c>
    </row>
    <row r="5623" spans="1:16">
      <c r="A5623" s="5">
        <v>45965</v>
      </c>
      <c r="B5623">
        <v>100</v>
      </c>
      <c r="C5623" t="s">
        <v>84</v>
      </c>
      <c r="D5623">
        <v>3</v>
      </c>
      <c r="E5623">
        <v>100</v>
      </c>
      <c r="F5623" t="s">
        <v>1</v>
      </c>
      <c r="G5623" s="6">
        <v>46008</v>
      </c>
      <c r="H5623">
        <v>43</v>
      </c>
      <c r="I5623">
        <f>ROUND(CompilDonnées[[#This Row],[CultureDuration_days]]/7,0)</f>
        <v>6</v>
      </c>
      <c r="J5623">
        <v>2095</v>
      </c>
      <c r="K5623" t="str">
        <f>_xlfn.CONCAT(WEEKNUM(CompilDonnées[[#This Row],[PlantationDate]]), " ", YEAR(CompilDonnées[[#This Row],[PlantationDate]]))</f>
        <v>45 2025</v>
      </c>
      <c r="L5623" t="str">
        <f>CONCATENATE(MONTH(CompilDonnées[[#This Row],[PlantationDate]])," ", YEAR(CompilDonnées[[#This Row],[PlantationDate]]))</f>
        <v>11 2025</v>
      </c>
      <c r="M5623" t="str">
        <f>CONCATENATE(MONTH(CompilDonnées[[#This Row],[HarvestingDate]])," ", YEAR(CompilDonnées[[#This Row],[HarvestingDate]]))</f>
        <v>12 2025</v>
      </c>
      <c r="N5623">
        <f>_xlfn.NUMBERVALUE(CompilDonnées[[#This Row],[FarmID]]&amp;CompilDonnées[[#This Row],[ModuleNumber]]&amp;CompilDonnées[[#This Row],[PlantationDate]])</f>
        <v>100345965</v>
      </c>
      <c r="O5623" t="str">
        <f>CompilDonnées[[#This Row],[FarmID]]&amp;CompilDonnées[[#This Row],[ModuleNumber]]</f>
        <v>1003</v>
      </c>
      <c r="P5623" t="str">
        <f>CompilDonnées[[#This Row],[Ref_Module]]&amp;CompilDonnées[[#This Row],[HarvestingDate]]</f>
        <v>100346008</v>
      </c>
    </row>
    <row r="5624" spans="1:16">
      <c r="A5624" s="5">
        <v>45965</v>
      </c>
      <c r="B5624">
        <v>98</v>
      </c>
      <c r="C5624" t="s">
        <v>79</v>
      </c>
      <c r="D5624">
        <v>2</v>
      </c>
      <c r="E5624">
        <v>100</v>
      </c>
      <c r="F5624" t="s">
        <v>1</v>
      </c>
      <c r="G5624" s="6">
        <v>46008</v>
      </c>
      <c r="H5624">
        <v>43</v>
      </c>
      <c r="I5624">
        <f>ROUND(CompilDonnées[[#This Row],[CultureDuration_days]]/7,0)</f>
        <v>6</v>
      </c>
      <c r="J5624">
        <v>1743</v>
      </c>
      <c r="K5624" t="str">
        <f>_xlfn.CONCAT(WEEKNUM(CompilDonnées[[#This Row],[PlantationDate]]), " ", YEAR(CompilDonnées[[#This Row],[PlantationDate]]))</f>
        <v>45 2025</v>
      </c>
      <c r="L5624" t="str">
        <f>CONCATENATE(MONTH(CompilDonnées[[#This Row],[PlantationDate]])," ", YEAR(CompilDonnées[[#This Row],[PlantationDate]]))</f>
        <v>11 2025</v>
      </c>
      <c r="M5624" t="str">
        <f>CONCATENATE(MONTH(CompilDonnées[[#This Row],[HarvestingDate]])," ", YEAR(CompilDonnées[[#This Row],[HarvestingDate]]))</f>
        <v>12 2025</v>
      </c>
      <c r="N5624">
        <f>_xlfn.NUMBERVALUE(CompilDonnées[[#This Row],[FarmID]]&amp;CompilDonnées[[#This Row],[ModuleNumber]]&amp;CompilDonnées[[#This Row],[PlantationDate]])</f>
        <v>98245965</v>
      </c>
      <c r="O5624" t="str">
        <f>CompilDonnées[[#This Row],[FarmID]]&amp;CompilDonnées[[#This Row],[ModuleNumber]]</f>
        <v>982</v>
      </c>
      <c r="P5624" t="str">
        <f>CompilDonnées[[#This Row],[Ref_Module]]&amp;CompilDonnées[[#This Row],[HarvestingDate]]</f>
        <v>98246008</v>
      </c>
    </row>
    <row r="5625" spans="1:16">
      <c r="A5625" s="5">
        <v>45965</v>
      </c>
      <c r="B5625">
        <v>109</v>
      </c>
      <c r="C5625" t="s">
        <v>2</v>
      </c>
      <c r="D5625">
        <v>3</v>
      </c>
      <c r="E5625">
        <v>100</v>
      </c>
      <c r="F5625" t="s">
        <v>1</v>
      </c>
      <c r="G5625" s="6">
        <v>46008</v>
      </c>
      <c r="H5625">
        <v>43</v>
      </c>
      <c r="I5625">
        <f>ROUND(CompilDonnées[[#This Row],[CultureDuration_days]]/7,0)</f>
        <v>6</v>
      </c>
      <c r="J5625">
        <v>3223</v>
      </c>
      <c r="K5625" t="str">
        <f>_xlfn.CONCAT(WEEKNUM(CompilDonnées[[#This Row],[PlantationDate]]), " ", YEAR(CompilDonnées[[#This Row],[PlantationDate]]))</f>
        <v>45 2025</v>
      </c>
      <c r="L5625" t="str">
        <f>CONCATENATE(MONTH(CompilDonnées[[#This Row],[PlantationDate]])," ", YEAR(CompilDonnées[[#This Row],[PlantationDate]]))</f>
        <v>11 2025</v>
      </c>
      <c r="M5625" t="str">
        <f>CONCATENATE(MONTH(CompilDonnées[[#This Row],[HarvestingDate]])," ", YEAR(CompilDonnées[[#This Row],[HarvestingDate]]))</f>
        <v>12 2025</v>
      </c>
      <c r="N5625">
        <f>_xlfn.NUMBERVALUE(CompilDonnées[[#This Row],[FarmID]]&amp;CompilDonnées[[#This Row],[ModuleNumber]]&amp;CompilDonnées[[#This Row],[PlantationDate]])</f>
        <v>109345965</v>
      </c>
      <c r="O5625" t="str">
        <f>CompilDonnées[[#This Row],[FarmID]]&amp;CompilDonnées[[#This Row],[ModuleNumber]]</f>
        <v>1093</v>
      </c>
      <c r="P5625" t="str">
        <f>CompilDonnées[[#This Row],[Ref_Module]]&amp;CompilDonnées[[#This Row],[HarvestingDate]]</f>
        <v>109346008</v>
      </c>
    </row>
    <row r="5626" spans="1:16">
      <c r="A5626" s="5">
        <v>45965</v>
      </c>
      <c r="B5626">
        <v>108</v>
      </c>
      <c r="C5626" t="s">
        <v>58</v>
      </c>
      <c r="D5626">
        <v>3</v>
      </c>
      <c r="E5626">
        <v>100</v>
      </c>
      <c r="F5626" t="s">
        <v>1</v>
      </c>
      <c r="G5626" s="6">
        <v>46008</v>
      </c>
      <c r="H5626">
        <v>43</v>
      </c>
      <c r="I5626">
        <f>ROUND(CompilDonnées[[#This Row],[CultureDuration_days]]/7,0)</f>
        <v>6</v>
      </c>
      <c r="J5626">
        <v>2542</v>
      </c>
      <c r="K5626" t="str">
        <f>_xlfn.CONCAT(WEEKNUM(CompilDonnées[[#This Row],[PlantationDate]]), " ", YEAR(CompilDonnées[[#This Row],[PlantationDate]]))</f>
        <v>45 2025</v>
      </c>
      <c r="L5626" t="str">
        <f>CONCATENATE(MONTH(CompilDonnées[[#This Row],[PlantationDate]])," ", YEAR(CompilDonnées[[#This Row],[PlantationDate]]))</f>
        <v>11 2025</v>
      </c>
      <c r="M5626" t="str">
        <f>CONCATENATE(MONTH(CompilDonnées[[#This Row],[HarvestingDate]])," ", YEAR(CompilDonnées[[#This Row],[HarvestingDate]]))</f>
        <v>12 2025</v>
      </c>
      <c r="N5626">
        <f>_xlfn.NUMBERVALUE(CompilDonnées[[#This Row],[FarmID]]&amp;CompilDonnées[[#This Row],[ModuleNumber]]&amp;CompilDonnées[[#This Row],[PlantationDate]])</f>
        <v>108345965</v>
      </c>
      <c r="O5626" t="str">
        <f>CompilDonnées[[#This Row],[FarmID]]&amp;CompilDonnées[[#This Row],[ModuleNumber]]</f>
        <v>1083</v>
      </c>
      <c r="P5626" t="str">
        <f>CompilDonnées[[#This Row],[Ref_Module]]&amp;CompilDonnées[[#This Row],[HarvestingDate]]</f>
        <v>108346008</v>
      </c>
    </row>
    <row r="5627" spans="1:16">
      <c r="A5627" s="5">
        <v>45965</v>
      </c>
      <c r="B5627">
        <v>105</v>
      </c>
      <c r="C5627" t="s">
        <v>12</v>
      </c>
      <c r="D5627">
        <v>6</v>
      </c>
      <c r="E5627">
        <v>100</v>
      </c>
      <c r="F5627" t="s">
        <v>1</v>
      </c>
      <c r="G5627" s="6">
        <v>46008</v>
      </c>
      <c r="H5627">
        <v>43</v>
      </c>
      <c r="I5627">
        <f>ROUND(CompilDonnées[[#This Row],[CultureDuration_days]]/7,0)</f>
        <v>6</v>
      </c>
      <c r="J5627">
        <v>2309</v>
      </c>
      <c r="K5627" t="str">
        <f>_xlfn.CONCAT(WEEKNUM(CompilDonnées[[#This Row],[PlantationDate]]), " ", YEAR(CompilDonnées[[#This Row],[PlantationDate]]))</f>
        <v>45 2025</v>
      </c>
      <c r="L5627" t="str">
        <f>CONCATENATE(MONTH(CompilDonnées[[#This Row],[PlantationDate]])," ", YEAR(CompilDonnées[[#This Row],[PlantationDate]]))</f>
        <v>11 2025</v>
      </c>
      <c r="M5627" t="str">
        <f>CONCATENATE(MONTH(CompilDonnées[[#This Row],[HarvestingDate]])," ", YEAR(CompilDonnées[[#This Row],[HarvestingDate]]))</f>
        <v>12 2025</v>
      </c>
      <c r="N5627">
        <f>_xlfn.NUMBERVALUE(CompilDonnées[[#This Row],[FarmID]]&amp;CompilDonnées[[#This Row],[ModuleNumber]]&amp;CompilDonnées[[#This Row],[PlantationDate]])</f>
        <v>105645965</v>
      </c>
      <c r="O5627" t="str">
        <f>CompilDonnées[[#This Row],[FarmID]]&amp;CompilDonnées[[#This Row],[ModuleNumber]]</f>
        <v>1056</v>
      </c>
      <c r="P5627" t="str">
        <f>CompilDonnées[[#This Row],[Ref_Module]]&amp;CompilDonnées[[#This Row],[HarvestingDate]]</f>
        <v>105646008</v>
      </c>
    </row>
    <row r="5628" spans="1:16">
      <c r="A5628" s="5">
        <v>45965</v>
      </c>
      <c r="B5628">
        <v>104</v>
      </c>
      <c r="C5628" t="s">
        <v>91</v>
      </c>
      <c r="D5628">
        <v>1</v>
      </c>
      <c r="E5628">
        <v>100</v>
      </c>
      <c r="F5628" t="s">
        <v>1</v>
      </c>
      <c r="G5628" s="6">
        <v>46008</v>
      </c>
      <c r="H5628">
        <v>43</v>
      </c>
      <c r="I5628">
        <f>ROUND(CompilDonnées[[#This Row],[CultureDuration_days]]/7,0)</f>
        <v>6</v>
      </c>
      <c r="J5628">
        <v>1383</v>
      </c>
      <c r="K5628" t="str">
        <f>_xlfn.CONCAT(WEEKNUM(CompilDonnées[[#This Row],[PlantationDate]]), " ", YEAR(CompilDonnées[[#This Row],[PlantationDate]]))</f>
        <v>45 2025</v>
      </c>
      <c r="L5628" t="str">
        <f>CONCATENATE(MONTH(CompilDonnées[[#This Row],[PlantationDate]])," ", YEAR(CompilDonnées[[#This Row],[PlantationDate]]))</f>
        <v>11 2025</v>
      </c>
      <c r="M5628" t="str">
        <f>CONCATENATE(MONTH(CompilDonnées[[#This Row],[HarvestingDate]])," ", YEAR(CompilDonnées[[#This Row],[HarvestingDate]]))</f>
        <v>12 2025</v>
      </c>
      <c r="N5628">
        <f>_xlfn.NUMBERVALUE(CompilDonnées[[#This Row],[FarmID]]&amp;CompilDonnées[[#This Row],[ModuleNumber]]&amp;CompilDonnées[[#This Row],[PlantationDate]])</f>
        <v>104145965</v>
      </c>
      <c r="O5628" t="str">
        <f>CompilDonnées[[#This Row],[FarmID]]&amp;CompilDonnées[[#This Row],[ModuleNumber]]</f>
        <v>1041</v>
      </c>
      <c r="P5628" t="str">
        <f>CompilDonnées[[#This Row],[Ref_Module]]&amp;CompilDonnées[[#This Row],[HarvestingDate]]</f>
        <v>104146008</v>
      </c>
    </row>
    <row r="5629" spans="1:16">
      <c r="A5629" s="5">
        <v>45965</v>
      </c>
      <c r="B5629">
        <v>121</v>
      </c>
      <c r="C5629" t="s">
        <v>3</v>
      </c>
      <c r="D5629">
        <v>4</v>
      </c>
      <c r="E5629">
        <v>67</v>
      </c>
      <c r="F5629" t="s">
        <v>1</v>
      </c>
      <c r="G5629" s="6">
        <v>46006</v>
      </c>
      <c r="H5629">
        <v>41</v>
      </c>
      <c r="I5629">
        <f>ROUND(CompilDonnées[[#This Row],[CultureDuration_days]]/7,0)</f>
        <v>6</v>
      </c>
      <c r="J5629">
        <v>2055</v>
      </c>
      <c r="K5629" t="str">
        <f>_xlfn.CONCAT(WEEKNUM(CompilDonnées[[#This Row],[PlantationDate]]), " ", YEAR(CompilDonnées[[#This Row],[PlantationDate]]))</f>
        <v>45 2025</v>
      </c>
      <c r="L5629" t="str">
        <f>CONCATENATE(MONTH(CompilDonnées[[#This Row],[PlantationDate]])," ", YEAR(CompilDonnées[[#This Row],[PlantationDate]]))</f>
        <v>11 2025</v>
      </c>
      <c r="M5629" t="str">
        <f>CONCATENATE(MONTH(CompilDonnées[[#This Row],[HarvestingDate]])," ", YEAR(CompilDonnées[[#This Row],[HarvestingDate]]))</f>
        <v>12 2025</v>
      </c>
      <c r="N5629">
        <f>_xlfn.NUMBERVALUE(CompilDonnées[[#This Row],[FarmID]]&amp;CompilDonnées[[#This Row],[ModuleNumber]]&amp;CompilDonnées[[#This Row],[PlantationDate]])</f>
        <v>121445965</v>
      </c>
      <c r="O5629" t="str">
        <f>CompilDonnées[[#This Row],[FarmID]]&amp;CompilDonnées[[#This Row],[ModuleNumber]]</f>
        <v>1214</v>
      </c>
      <c r="P5629" t="str">
        <f>CompilDonnées[[#This Row],[Ref_Module]]&amp;CompilDonnées[[#This Row],[HarvestingDate]]</f>
        <v>121446006</v>
      </c>
    </row>
    <row r="5630" spans="1:16">
      <c r="A5630" s="5">
        <v>45965</v>
      </c>
      <c r="B5630">
        <v>121</v>
      </c>
      <c r="C5630" t="s">
        <v>3</v>
      </c>
      <c r="D5630">
        <v>5</v>
      </c>
      <c r="E5630">
        <v>68</v>
      </c>
      <c r="F5630" t="s">
        <v>1</v>
      </c>
      <c r="G5630" s="6">
        <v>46007</v>
      </c>
      <c r="H5630">
        <v>42</v>
      </c>
      <c r="I5630">
        <f>ROUND(CompilDonnées[[#This Row],[CultureDuration_days]]/7,0)</f>
        <v>6</v>
      </c>
      <c r="J5630">
        <v>1390</v>
      </c>
      <c r="K5630" t="str">
        <f>_xlfn.CONCAT(WEEKNUM(CompilDonnées[[#This Row],[PlantationDate]]), " ", YEAR(CompilDonnées[[#This Row],[PlantationDate]]))</f>
        <v>45 2025</v>
      </c>
      <c r="L5630" t="str">
        <f>CONCATENATE(MONTH(CompilDonnées[[#This Row],[PlantationDate]])," ", YEAR(CompilDonnées[[#This Row],[PlantationDate]]))</f>
        <v>11 2025</v>
      </c>
      <c r="M5630" t="str">
        <f>CONCATENATE(MONTH(CompilDonnées[[#This Row],[HarvestingDate]])," ", YEAR(CompilDonnées[[#This Row],[HarvestingDate]]))</f>
        <v>12 2025</v>
      </c>
      <c r="N5630">
        <f>_xlfn.NUMBERVALUE(CompilDonnées[[#This Row],[FarmID]]&amp;CompilDonnées[[#This Row],[ModuleNumber]]&amp;CompilDonnées[[#This Row],[PlantationDate]])</f>
        <v>121545965</v>
      </c>
      <c r="O5630" t="str">
        <f>CompilDonnées[[#This Row],[FarmID]]&amp;CompilDonnées[[#This Row],[ModuleNumber]]</f>
        <v>1215</v>
      </c>
      <c r="P5630" t="str">
        <f>CompilDonnées[[#This Row],[Ref_Module]]&amp;CompilDonnées[[#This Row],[HarvestingDate]]</f>
        <v>121546007</v>
      </c>
    </row>
    <row r="5631" spans="1:16">
      <c r="A5631" s="5">
        <v>45965</v>
      </c>
      <c r="B5631">
        <v>121</v>
      </c>
      <c r="C5631" t="s">
        <v>3</v>
      </c>
      <c r="D5631">
        <v>6</v>
      </c>
      <c r="E5631">
        <v>68</v>
      </c>
      <c r="F5631" t="s">
        <v>1</v>
      </c>
      <c r="G5631" s="6">
        <v>46007</v>
      </c>
      <c r="H5631">
        <v>42</v>
      </c>
      <c r="I5631">
        <f>ROUND(CompilDonnées[[#This Row],[CultureDuration_days]]/7,0)</f>
        <v>6</v>
      </c>
      <c r="J5631">
        <v>2010</v>
      </c>
      <c r="K5631" t="str">
        <f>_xlfn.CONCAT(WEEKNUM(CompilDonnées[[#This Row],[PlantationDate]]), " ", YEAR(CompilDonnées[[#This Row],[PlantationDate]]))</f>
        <v>45 2025</v>
      </c>
      <c r="L5631" t="str">
        <f>CONCATENATE(MONTH(CompilDonnées[[#This Row],[PlantationDate]])," ", YEAR(CompilDonnées[[#This Row],[PlantationDate]]))</f>
        <v>11 2025</v>
      </c>
      <c r="M5631" t="str">
        <f>CONCATENATE(MONTH(CompilDonnées[[#This Row],[HarvestingDate]])," ", YEAR(CompilDonnées[[#This Row],[HarvestingDate]]))</f>
        <v>12 2025</v>
      </c>
      <c r="N5631">
        <f>_xlfn.NUMBERVALUE(CompilDonnées[[#This Row],[FarmID]]&amp;CompilDonnées[[#This Row],[ModuleNumber]]&amp;CompilDonnées[[#This Row],[PlantationDate]])</f>
        <v>121645965</v>
      </c>
      <c r="O5631" t="str">
        <f>CompilDonnées[[#This Row],[FarmID]]&amp;CompilDonnées[[#This Row],[ModuleNumber]]</f>
        <v>1216</v>
      </c>
      <c r="P5631" t="str">
        <f>CompilDonnées[[#This Row],[Ref_Module]]&amp;CompilDonnées[[#This Row],[HarvestingDate]]</f>
        <v>121646007</v>
      </c>
    </row>
    <row r="5632" spans="1:16">
      <c r="A5632" s="5">
        <v>45966</v>
      </c>
      <c r="B5632">
        <v>88</v>
      </c>
      <c r="C5632" t="s">
        <v>94</v>
      </c>
      <c r="D5632">
        <v>2</v>
      </c>
      <c r="E5632">
        <v>100</v>
      </c>
      <c r="F5632" t="s">
        <v>1</v>
      </c>
      <c r="G5632" s="6">
        <v>46008</v>
      </c>
      <c r="H5632">
        <v>42</v>
      </c>
      <c r="I5632">
        <f>ROUND(CompilDonnées[[#This Row],[CultureDuration_days]]/7,0)</f>
        <v>6</v>
      </c>
      <c r="J5632">
        <v>5031</v>
      </c>
      <c r="K5632" t="str">
        <f>_xlfn.CONCAT(WEEKNUM(CompilDonnées[[#This Row],[PlantationDate]]), " ", YEAR(CompilDonnées[[#This Row],[PlantationDate]]))</f>
        <v>45 2025</v>
      </c>
      <c r="L5632" t="str">
        <f>CONCATENATE(MONTH(CompilDonnées[[#This Row],[PlantationDate]])," ", YEAR(CompilDonnées[[#This Row],[PlantationDate]]))</f>
        <v>11 2025</v>
      </c>
      <c r="M5632" t="str">
        <f>CONCATENATE(MONTH(CompilDonnées[[#This Row],[HarvestingDate]])," ", YEAR(CompilDonnées[[#This Row],[HarvestingDate]]))</f>
        <v>12 2025</v>
      </c>
      <c r="N5632">
        <f>_xlfn.NUMBERVALUE(CompilDonnées[[#This Row],[FarmID]]&amp;CompilDonnées[[#This Row],[ModuleNumber]]&amp;CompilDonnées[[#This Row],[PlantationDate]])</f>
        <v>88245966</v>
      </c>
      <c r="O5632" t="str">
        <f>CompilDonnées[[#This Row],[FarmID]]&amp;CompilDonnées[[#This Row],[ModuleNumber]]</f>
        <v>882</v>
      </c>
      <c r="P5632" t="str">
        <f>CompilDonnées[[#This Row],[Ref_Module]]&amp;CompilDonnées[[#This Row],[HarvestingDate]]</f>
        <v>88246008</v>
      </c>
    </row>
    <row r="5633" spans="1:16">
      <c r="A5633" s="5">
        <v>45966</v>
      </c>
      <c r="B5633">
        <v>87</v>
      </c>
      <c r="C5633" t="s">
        <v>38</v>
      </c>
      <c r="D5633">
        <v>3</v>
      </c>
      <c r="E5633">
        <v>100</v>
      </c>
      <c r="F5633" t="s">
        <v>1</v>
      </c>
      <c r="G5633" s="6">
        <v>46007</v>
      </c>
      <c r="H5633">
        <v>41</v>
      </c>
      <c r="I5633">
        <f>ROUND(CompilDonnées[[#This Row],[CultureDuration_days]]/7,0)</f>
        <v>6</v>
      </c>
      <c r="J5633">
        <v>2436</v>
      </c>
      <c r="K5633" t="str">
        <f>_xlfn.CONCAT(WEEKNUM(CompilDonnées[[#This Row],[PlantationDate]]), " ", YEAR(CompilDonnées[[#This Row],[PlantationDate]]))</f>
        <v>45 2025</v>
      </c>
      <c r="L5633" t="str">
        <f>CONCATENATE(MONTH(CompilDonnées[[#This Row],[PlantationDate]])," ", YEAR(CompilDonnées[[#This Row],[PlantationDate]]))</f>
        <v>11 2025</v>
      </c>
      <c r="M5633" t="str">
        <f>CONCATENATE(MONTH(CompilDonnées[[#This Row],[HarvestingDate]])," ", YEAR(CompilDonnées[[#This Row],[HarvestingDate]]))</f>
        <v>12 2025</v>
      </c>
      <c r="N5633">
        <f>_xlfn.NUMBERVALUE(CompilDonnées[[#This Row],[FarmID]]&amp;CompilDonnées[[#This Row],[ModuleNumber]]&amp;CompilDonnées[[#This Row],[PlantationDate]])</f>
        <v>87345966</v>
      </c>
      <c r="O5633" t="str">
        <f>CompilDonnées[[#This Row],[FarmID]]&amp;CompilDonnées[[#This Row],[ModuleNumber]]</f>
        <v>873</v>
      </c>
      <c r="P5633" t="str">
        <f>CompilDonnées[[#This Row],[Ref_Module]]&amp;CompilDonnées[[#This Row],[HarvestingDate]]</f>
        <v>87346007</v>
      </c>
    </row>
    <row r="5634" spans="1:16">
      <c r="A5634" s="5">
        <v>45966</v>
      </c>
      <c r="B5634">
        <v>85</v>
      </c>
      <c r="C5634" t="s">
        <v>56</v>
      </c>
      <c r="D5634">
        <v>5</v>
      </c>
      <c r="E5634">
        <v>100</v>
      </c>
      <c r="F5634" t="s">
        <v>1</v>
      </c>
      <c r="G5634" s="6">
        <v>46007</v>
      </c>
      <c r="H5634">
        <v>41</v>
      </c>
      <c r="I5634">
        <f>ROUND(CompilDonnées[[#This Row],[CultureDuration_days]]/7,0)</f>
        <v>6</v>
      </c>
      <c r="J5634">
        <v>1515</v>
      </c>
      <c r="K5634" t="str">
        <f>_xlfn.CONCAT(WEEKNUM(CompilDonnées[[#This Row],[PlantationDate]]), " ", YEAR(CompilDonnées[[#This Row],[PlantationDate]]))</f>
        <v>45 2025</v>
      </c>
      <c r="L5634" t="str">
        <f>CONCATENATE(MONTH(CompilDonnées[[#This Row],[PlantationDate]])," ", YEAR(CompilDonnées[[#This Row],[PlantationDate]]))</f>
        <v>11 2025</v>
      </c>
      <c r="M5634" t="str">
        <f>CONCATENATE(MONTH(CompilDonnées[[#This Row],[HarvestingDate]])," ", YEAR(CompilDonnées[[#This Row],[HarvestingDate]]))</f>
        <v>12 2025</v>
      </c>
      <c r="N5634">
        <f>_xlfn.NUMBERVALUE(CompilDonnées[[#This Row],[FarmID]]&amp;CompilDonnées[[#This Row],[ModuleNumber]]&amp;CompilDonnées[[#This Row],[PlantationDate]])</f>
        <v>85545966</v>
      </c>
      <c r="O5634" t="str">
        <f>CompilDonnées[[#This Row],[FarmID]]&amp;CompilDonnées[[#This Row],[ModuleNumber]]</f>
        <v>855</v>
      </c>
      <c r="P5634" t="str">
        <f>CompilDonnées[[#This Row],[Ref_Module]]&amp;CompilDonnées[[#This Row],[HarvestingDate]]</f>
        <v>85546007</v>
      </c>
    </row>
    <row r="5635" spans="1:16">
      <c r="A5635" s="5">
        <v>45966</v>
      </c>
      <c r="B5635">
        <v>85</v>
      </c>
      <c r="C5635" t="s">
        <v>56</v>
      </c>
      <c r="D5635">
        <v>1</v>
      </c>
      <c r="E5635">
        <v>100</v>
      </c>
      <c r="F5635" t="s">
        <v>1</v>
      </c>
      <c r="G5635" s="6">
        <v>46007</v>
      </c>
      <c r="H5635">
        <v>41</v>
      </c>
      <c r="I5635">
        <f>ROUND(CompilDonnées[[#This Row],[CultureDuration_days]]/7,0)</f>
        <v>6</v>
      </c>
      <c r="J5635">
        <v>2070</v>
      </c>
      <c r="K5635" t="str">
        <f>_xlfn.CONCAT(WEEKNUM(CompilDonnées[[#This Row],[PlantationDate]]), " ", YEAR(CompilDonnées[[#This Row],[PlantationDate]]))</f>
        <v>45 2025</v>
      </c>
      <c r="L5635" t="str">
        <f>CONCATENATE(MONTH(CompilDonnées[[#This Row],[PlantationDate]])," ", YEAR(CompilDonnées[[#This Row],[PlantationDate]]))</f>
        <v>11 2025</v>
      </c>
      <c r="M5635" t="str">
        <f>CONCATENATE(MONTH(CompilDonnées[[#This Row],[HarvestingDate]])," ", YEAR(CompilDonnées[[#This Row],[HarvestingDate]]))</f>
        <v>12 2025</v>
      </c>
      <c r="N5635">
        <f>_xlfn.NUMBERVALUE(CompilDonnées[[#This Row],[FarmID]]&amp;CompilDonnées[[#This Row],[ModuleNumber]]&amp;CompilDonnées[[#This Row],[PlantationDate]])</f>
        <v>85145966</v>
      </c>
      <c r="O5635" t="str">
        <f>CompilDonnées[[#This Row],[FarmID]]&amp;CompilDonnées[[#This Row],[ModuleNumber]]</f>
        <v>851</v>
      </c>
      <c r="P5635" t="str">
        <f>CompilDonnées[[#This Row],[Ref_Module]]&amp;CompilDonnées[[#This Row],[HarvestingDate]]</f>
        <v>85146007</v>
      </c>
    </row>
    <row r="5636" spans="1:16">
      <c r="A5636" s="5">
        <v>45966</v>
      </c>
      <c r="B5636">
        <v>94</v>
      </c>
      <c r="C5636" t="s">
        <v>40</v>
      </c>
      <c r="D5636">
        <v>3</v>
      </c>
      <c r="E5636">
        <v>100</v>
      </c>
      <c r="F5636" t="s">
        <v>1</v>
      </c>
      <c r="G5636" s="6">
        <v>46007</v>
      </c>
      <c r="H5636">
        <v>41</v>
      </c>
      <c r="I5636">
        <f>ROUND(CompilDonnées[[#This Row],[CultureDuration_days]]/7,0)</f>
        <v>6</v>
      </c>
      <c r="J5636">
        <v>3372</v>
      </c>
      <c r="K5636" t="str">
        <f>_xlfn.CONCAT(WEEKNUM(CompilDonnées[[#This Row],[PlantationDate]]), " ", YEAR(CompilDonnées[[#This Row],[PlantationDate]]))</f>
        <v>45 2025</v>
      </c>
      <c r="L5636" t="str">
        <f>CONCATENATE(MONTH(CompilDonnées[[#This Row],[PlantationDate]])," ", YEAR(CompilDonnées[[#This Row],[PlantationDate]]))</f>
        <v>11 2025</v>
      </c>
      <c r="M5636" t="str">
        <f>CONCATENATE(MONTH(CompilDonnées[[#This Row],[HarvestingDate]])," ", YEAR(CompilDonnées[[#This Row],[HarvestingDate]]))</f>
        <v>12 2025</v>
      </c>
      <c r="N5636">
        <f>_xlfn.NUMBERVALUE(CompilDonnées[[#This Row],[FarmID]]&amp;CompilDonnées[[#This Row],[ModuleNumber]]&amp;CompilDonnées[[#This Row],[PlantationDate]])</f>
        <v>94345966</v>
      </c>
      <c r="O5636" t="str">
        <f>CompilDonnées[[#This Row],[FarmID]]&amp;CompilDonnées[[#This Row],[ModuleNumber]]</f>
        <v>943</v>
      </c>
      <c r="P5636" t="str">
        <f>CompilDonnées[[#This Row],[Ref_Module]]&amp;CompilDonnées[[#This Row],[HarvestingDate]]</f>
        <v>94346007</v>
      </c>
    </row>
    <row r="5637" spans="1:16">
      <c r="A5637" s="5">
        <v>45966</v>
      </c>
      <c r="B5637">
        <v>100</v>
      </c>
      <c r="C5637" t="s">
        <v>84</v>
      </c>
      <c r="D5637">
        <v>4</v>
      </c>
      <c r="E5637">
        <v>100</v>
      </c>
      <c r="F5637" t="s">
        <v>1</v>
      </c>
      <c r="G5637" s="6">
        <v>46008</v>
      </c>
      <c r="H5637">
        <v>42</v>
      </c>
      <c r="I5637">
        <f>ROUND(CompilDonnées[[#This Row],[CultureDuration_days]]/7,0)</f>
        <v>6</v>
      </c>
      <c r="J5637">
        <v>2078</v>
      </c>
      <c r="K5637" t="str">
        <f>_xlfn.CONCAT(WEEKNUM(CompilDonnées[[#This Row],[PlantationDate]]), " ", YEAR(CompilDonnées[[#This Row],[PlantationDate]]))</f>
        <v>45 2025</v>
      </c>
      <c r="L5637" t="str">
        <f>CONCATENATE(MONTH(CompilDonnées[[#This Row],[PlantationDate]])," ", YEAR(CompilDonnées[[#This Row],[PlantationDate]]))</f>
        <v>11 2025</v>
      </c>
      <c r="M5637" t="str">
        <f>CONCATENATE(MONTH(CompilDonnées[[#This Row],[HarvestingDate]])," ", YEAR(CompilDonnées[[#This Row],[HarvestingDate]]))</f>
        <v>12 2025</v>
      </c>
      <c r="N5637">
        <f>_xlfn.NUMBERVALUE(CompilDonnées[[#This Row],[FarmID]]&amp;CompilDonnées[[#This Row],[ModuleNumber]]&amp;CompilDonnées[[#This Row],[PlantationDate]])</f>
        <v>100445966</v>
      </c>
      <c r="O5637" t="str">
        <f>CompilDonnées[[#This Row],[FarmID]]&amp;CompilDonnées[[#This Row],[ModuleNumber]]</f>
        <v>1004</v>
      </c>
      <c r="P5637" t="str">
        <f>CompilDonnées[[#This Row],[Ref_Module]]&amp;CompilDonnées[[#This Row],[HarvestingDate]]</f>
        <v>100446008</v>
      </c>
    </row>
    <row r="5638" spans="1:16">
      <c r="A5638" s="5">
        <v>45966</v>
      </c>
      <c r="B5638">
        <v>96</v>
      </c>
      <c r="C5638" t="s">
        <v>125</v>
      </c>
      <c r="D5638">
        <v>3</v>
      </c>
      <c r="E5638">
        <v>100</v>
      </c>
      <c r="F5638" t="s">
        <v>1</v>
      </c>
      <c r="G5638" s="6">
        <v>46007</v>
      </c>
      <c r="H5638">
        <v>41</v>
      </c>
      <c r="I5638">
        <f>ROUND(CompilDonnées[[#This Row],[CultureDuration_days]]/7,0)</f>
        <v>6</v>
      </c>
      <c r="J5638">
        <v>1802</v>
      </c>
      <c r="K5638" t="str">
        <f>_xlfn.CONCAT(WEEKNUM(CompilDonnées[[#This Row],[PlantationDate]]), " ", YEAR(CompilDonnées[[#This Row],[PlantationDate]]))</f>
        <v>45 2025</v>
      </c>
      <c r="L5638" t="str">
        <f>CONCATENATE(MONTH(CompilDonnées[[#This Row],[PlantationDate]])," ", YEAR(CompilDonnées[[#This Row],[PlantationDate]]))</f>
        <v>11 2025</v>
      </c>
      <c r="M5638" t="str">
        <f>CONCATENATE(MONTH(CompilDonnées[[#This Row],[HarvestingDate]])," ", YEAR(CompilDonnées[[#This Row],[HarvestingDate]]))</f>
        <v>12 2025</v>
      </c>
      <c r="N5638">
        <f>_xlfn.NUMBERVALUE(CompilDonnées[[#This Row],[FarmID]]&amp;CompilDonnées[[#This Row],[ModuleNumber]]&amp;CompilDonnées[[#This Row],[PlantationDate]])</f>
        <v>96345966</v>
      </c>
      <c r="O5638" t="str">
        <f>CompilDonnées[[#This Row],[FarmID]]&amp;CompilDonnées[[#This Row],[ModuleNumber]]</f>
        <v>963</v>
      </c>
      <c r="P5638" t="str">
        <f>CompilDonnées[[#This Row],[Ref_Module]]&amp;CompilDonnées[[#This Row],[HarvestingDate]]</f>
        <v>96346007</v>
      </c>
    </row>
    <row r="5639" spans="1:16">
      <c r="A5639" s="5">
        <v>45966</v>
      </c>
      <c r="B5639">
        <v>95</v>
      </c>
      <c r="C5639" t="s">
        <v>90</v>
      </c>
      <c r="D5639">
        <v>6</v>
      </c>
      <c r="E5639">
        <v>100</v>
      </c>
      <c r="F5639" t="s">
        <v>1</v>
      </c>
      <c r="G5639" s="6">
        <v>46007</v>
      </c>
      <c r="H5639">
        <v>41</v>
      </c>
      <c r="I5639">
        <f>ROUND(CompilDonnées[[#This Row],[CultureDuration_days]]/7,0)</f>
        <v>6</v>
      </c>
      <c r="J5639">
        <v>2245</v>
      </c>
      <c r="K5639" t="str">
        <f>_xlfn.CONCAT(WEEKNUM(CompilDonnées[[#This Row],[PlantationDate]]), " ", YEAR(CompilDonnées[[#This Row],[PlantationDate]]))</f>
        <v>45 2025</v>
      </c>
      <c r="L5639" t="str">
        <f>CONCATENATE(MONTH(CompilDonnées[[#This Row],[PlantationDate]])," ", YEAR(CompilDonnées[[#This Row],[PlantationDate]]))</f>
        <v>11 2025</v>
      </c>
      <c r="M5639" t="str">
        <f>CONCATENATE(MONTH(CompilDonnées[[#This Row],[HarvestingDate]])," ", YEAR(CompilDonnées[[#This Row],[HarvestingDate]]))</f>
        <v>12 2025</v>
      </c>
      <c r="N5639">
        <f>_xlfn.NUMBERVALUE(CompilDonnées[[#This Row],[FarmID]]&amp;CompilDonnées[[#This Row],[ModuleNumber]]&amp;CompilDonnées[[#This Row],[PlantationDate]])</f>
        <v>95645966</v>
      </c>
      <c r="O5639" t="str">
        <f>CompilDonnées[[#This Row],[FarmID]]&amp;CompilDonnées[[#This Row],[ModuleNumber]]</f>
        <v>956</v>
      </c>
      <c r="P5639" t="str">
        <f>CompilDonnées[[#This Row],[Ref_Module]]&amp;CompilDonnées[[#This Row],[HarvestingDate]]</f>
        <v>95646007</v>
      </c>
    </row>
    <row r="5640" spans="1:16">
      <c r="A5640" s="5">
        <v>45966</v>
      </c>
      <c r="B5640">
        <v>69</v>
      </c>
      <c r="C5640" t="s">
        <v>102</v>
      </c>
      <c r="D5640">
        <v>1</v>
      </c>
      <c r="E5640">
        <v>100</v>
      </c>
      <c r="F5640" t="s">
        <v>1</v>
      </c>
      <c r="G5640" s="6">
        <v>46007</v>
      </c>
      <c r="H5640">
        <v>41</v>
      </c>
      <c r="I5640">
        <f>ROUND(CompilDonnées[[#This Row],[CultureDuration_days]]/7,0)</f>
        <v>6</v>
      </c>
      <c r="J5640">
        <v>2084</v>
      </c>
      <c r="K5640" t="str">
        <f>_xlfn.CONCAT(WEEKNUM(CompilDonnées[[#This Row],[PlantationDate]]), " ", YEAR(CompilDonnées[[#This Row],[PlantationDate]]))</f>
        <v>45 2025</v>
      </c>
      <c r="L5640" t="str">
        <f>CONCATENATE(MONTH(CompilDonnées[[#This Row],[PlantationDate]])," ", YEAR(CompilDonnées[[#This Row],[PlantationDate]]))</f>
        <v>11 2025</v>
      </c>
      <c r="M5640" t="str">
        <f>CONCATENATE(MONTH(CompilDonnées[[#This Row],[HarvestingDate]])," ", YEAR(CompilDonnées[[#This Row],[HarvestingDate]]))</f>
        <v>12 2025</v>
      </c>
      <c r="N5640">
        <f>_xlfn.NUMBERVALUE(CompilDonnées[[#This Row],[FarmID]]&amp;CompilDonnées[[#This Row],[ModuleNumber]]&amp;CompilDonnées[[#This Row],[PlantationDate]])</f>
        <v>69145966</v>
      </c>
      <c r="O5640" t="str">
        <f>CompilDonnées[[#This Row],[FarmID]]&amp;CompilDonnées[[#This Row],[ModuleNumber]]</f>
        <v>691</v>
      </c>
      <c r="P5640" t="str">
        <f>CompilDonnées[[#This Row],[Ref_Module]]&amp;CompilDonnées[[#This Row],[HarvestingDate]]</f>
        <v>69146007</v>
      </c>
    </row>
    <row r="5641" spans="1:16">
      <c r="A5641" s="5">
        <v>45966</v>
      </c>
      <c r="B5641">
        <v>81</v>
      </c>
      <c r="C5641" t="s">
        <v>30</v>
      </c>
      <c r="D5641">
        <v>6</v>
      </c>
      <c r="E5641">
        <v>100</v>
      </c>
      <c r="F5641" t="s">
        <v>1</v>
      </c>
      <c r="G5641" s="6">
        <v>46008</v>
      </c>
      <c r="H5641">
        <v>42</v>
      </c>
      <c r="I5641">
        <f>ROUND(CompilDonnées[[#This Row],[CultureDuration_days]]/7,0)</f>
        <v>6</v>
      </c>
      <c r="J5641">
        <v>3795</v>
      </c>
      <c r="K5641" t="str">
        <f>_xlfn.CONCAT(WEEKNUM(CompilDonnées[[#This Row],[PlantationDate]]), " ", YEAR(CompilDonnées[[#This Row],[PlantationDate]]))</f>
        <v>45 2025</v>
      </c>
      <c r="L5641" t="str">
        <f>CONCATENATE(MONTH(CompilDonnées[[#This Row],[PlantationDate]])," ", YEAR(CompilDonnées[[#This Row],[PlantationDate]]))</f>
        <v>11 2025</v>
      </c>
      <c r="M5641" t="str">
        <f>CONCATENATE(MONTH(CompilDonnées[[#This Row],[HarvestingDate]])," ", YEAR(CompilDonnées[[#This Row],[HarvestingDate]]))</f>
        <v>12 2025</v>
      </c>
      <c r="N5641">
        <f>_xlfn.NUMBERVALUE(CompilDonnées[[#This Row],[FarmID]]&amp;CompilDonnées[[#This Row],[ModuleNumber]]&amp;CompilDonnées[[#This Row],[PlantationDate]])</f>
        <v>81645966</v>
      </c>
      <c r="O5641" t="str">
        <f>CompilDonnées[[#This Row],[FarmID]]&amp;CompilDonnées[[#This Row],[ModuleNumber]]</f>
        <v>816</v>
      </c>
      <c r="P5641" t="str">
        <f>CompilDonnées[[#This Row],[Ref_Module]]&amp;CompilDonnées[[#This Row],[HarvestingDate]]</f>
        <v>81646008</v>
      </c>
    </row>
    <row r="5642" spans="1:16">
      <c r="A5642" s="5">
        <v>45966</v>
      </c>
      <c r="B5642">
        <v>82</v>
      </c>
      <c r="C5642" t="s">
        <v>17</v>
      </c>
      <c r="D5642">
        <v>3</v>
      </c>
      <c r="E5642">
        <v>100</v>
      </c>
      <c r="F5642" t="s">
        <v>1</v>
      </c>
      <c r="G5642" s="6">
        <v>46008</v>
      </c>
      <c r="H5642">
        <v>42</v>
      </c>
      <c r="I5642">
        <f>ROUND(CompilDonnées[[#This Row],[CultureDuration_days]]/7,0)</f>
        <v>6</v>
      </c>
      <c r="J5642">
        <v>3275</v>
      </c>
      <c r="K5642" t="str">
        <f>_xlfn.CONCAT(WEEKNUM(CompilDonnées[[#This Row],[PlantationDate]]), " ", YEAR(CompilDonnées[[#This Row],[PlantationDate]]))</f>
        <v>45 2025</v>
      </c>
      <c r="L5642" t="str">
        <f>CONCATENATE(MONTH(CompilDonnées[[#This Row],[PlantationDate]])," ", YEAR(CompilDonnées[[#This Row],[PlantationDate]]))</f>
        <v>11 2025</v>
      </c>
      <c r="M5642" t="str">
        <f>CONCATENATE(MONTH(CompilDonnées[[#This Row],[HarvestingDate]])," ", YEAR(CompilDonnées[[#This Row],[HarvestingDate]]))</f>
        <v>12 2025</v>
      </c>
      <c r="N5642">
        <f>_xlfn.NUMBERVALUE(CompilDonnées[[#This Row],[FarmID]]&amp;CompilDonnées[[#This Row],[ModuleNumber]]&amp;CompilDonnées[[#This Row],[PlantationDate]])</f>
        <v>82345966</v>
      </c>
      <c r="O5642" t="str">
        <f>CompilDonnées[[#This Row],[FarmID]]&amp;CompilDonnées[[#This Row],[ModuleNumber]]</f>
        <v>823</v>
      </c>
      <c r="P5642" t="str">
        <f>CompilDonnées[[#This Row],[Ref_Module]]&amp;CompilDonnées[[#This Row],[HarvestingDate]]</f>
        <v>82346008</v>
      </c>
    </row>
    <row r="5643" spans="1:16">
      <c r="A5643" s="5">
        <v>45966</v>
      </c>
      <c r="B5643">
        <v>67</v>
      </c>
      <c r="C5643" t="s">
        <v>28</v>
      </c>
      <c r="D5643">
        <v>1</v>
      </c>
      <c r="E5643">
        <v>100</v>
      </c>
      <c r="F5643" t="s">
        <v>1</v>
      </c>
      <c r="G5643" s="6">
        <v>46007</v>
      </c>
      <c r="H5643">
        <v>41</v>
      </c>
      <c r="I5643">
        <f>ROUND(CompilDonnées[[#This Row],[CultureDuration_days]]/7,0)</f>
        <v>6</v>
      </c>
      <c r="J5643">
        <v>2566</v>
      </c>
      <c r="K5643" t="str">
        <f>_xlfn.CONCAT(WEEKNUM(CompilDonnées[[#This Row],[PlantationDate]]), " ", YEAR(CompilDonnées[[#This Row],[PlantationDate]]))</f>
        <v>45 2025</v>
      </c>
      <c r="L5643" t="str">
        <f>CONCATENATE(MONTH(CompilDonnées[[#This Row],[PlantationDate]])," ", YEAR(CompilDonnées[[#This Row],[PlantationDate]]))</f>
        <v>11 2025</v>
      </c>
      <c r="M5643" t="str">
        <f>CONCATENATE(MONTH(CompilDonnées[[#This Row],[HarvestingDate]])," ", YEAR(CompilDonnées[[#This Row],[HarvestingDate]]))</f>
        <v>12 2025</v>
      </c>
      <c r="N5643">
        <f>_xlfn.NUMBERVALUE(CompilDonnées[[#This Row],[FarmID]]&amp;CompilDonnées[[#This Row],[ModuleNumber]]&amp;CompilDonnées[[#This Row],[PlantationDate]])</f>
        <v>67145966</v>
      </c>
      <c r="O5643" t="str">
        <f>CompilDonnées[[#This Row],[FarmID]]&amp;CompilDonnées[[#This Row],[ModuleNumber]]</f>
        <v>671</v>
      </c>
      <c r="P5643" t="str">
        <f>CompilDonnées[[#This Row],[Ref_Module]]&amp;CompilDonnées[[#This Row],[HarvestingDate]]</f>
        <v>67146007</v>
      </c>
    </row>
    <row r="5644" spans="1:16">
      <c r="A5644" s="5">
        <v>45966</v>
      </c>
      <c r="B5644">
        <v>64</v>
      </c>
      <c r="C5644" t="s">
        <v>47</v>
      </c>
      <c r="D5644">
        <v>4</v>
      </c>
      <c r="E5644">
        <v>100</v>
      </c>
      <c r="F5644" t="s">
        <v>1</v>
      </c>
      <c r="G5644" s="6">
        <v>46006</v>
      </c>
      <c r="H5644">
        <v>40</v>
      </c>
      <c r="I5644">
        <f>ROUND(CompilDonnées[[#This Row],[CultureDuration_days]]/7,0)</f>
        <v>6</v>
      </c>
      <c r="J5644">
        <v>1866</v>
      </c>
      <c r="K5644" t="str">
        <f>_xlfn.CONCAT(WEEKNUM(CompilDonnées[[#This Row],[PlantationDate]]), " ", YEAR(CompilDonnées[[#This Row],[PlantationDate]]))</f>
        <v>45 2025</v>
      </c>
      <c r="L5644" t="str">
        <f>CONCATENATE(MONTH(CompilDonnées[[#This Row],[PlantationDate]])," ", YEAR(CompilDonnées[[#This Row],[PlantationDate]]))</f>
        <v>11 2025</v>
      </c>
      <c r="M5644" t="str">
        <f>CONCATENATE(MONTH(CompilDonnées[[#This Row],[HarvestingDate]])," ", YEAR(CompilDonnées[[#This Row],[HarvestingDate]]))</f>
        <v>12 2025</v>
      </c>
      <c r="N5644">
        <f>_xlfn.NUMBERVALUE(CompilDonnées[[#This Row],[FarmID]]&amp;CompilDonnées[[#This Row],[ModuleNumber]]&amp;CompilDonnées[[#This Row],[PlantationDate]])</f>
        <v>64445966</v>
      </c>
      <c r="O5644" t="str">
        <f>CompilDonnées[[#This Row],[FarmID]]&amp;CompilDonnées[[#This Row],[ModuleNumber]]</f>
        <v>644</v>
      </c>
      <c r="P5644" t="str">
        <f>CompilDonnées[[#This Row],[Ref_Module]]&amp;CompilDonnées[[#This Row],[HarvestingDate]]</f>
        <v>64446006</v>
      </c>
    </row>
    <row r="5645" spans="1:16">
      <c r="A5645" s="5">
        <v>45966</v>
      </c>
      <c r="B5645">
        <v>66</v>
      </c>
      <c r="C5645" t="s">
        <v>48</v>
      </c>
      <c r="D5645">
        <v>1</v>
      </c>
      <c r="E5645">
        <v>100</v>
      </c>
      <c r="F5645" t="s">
        <v>1</v>
      </c>
      <c r="G5645" s="6">
        <v>46007</v>
      </c>
      <c r="H5645">
        <v>41</v>
      </c>
      <c r="I5645">
        <f>ROUND(CompilDonnées[[#This Row],[CultureDuration_days]]/7,0)</f>
        <v>6</v>
      </c>
      <c r="J5645">
        <v>2100</v>
      </c>
      <c r="K5645" t="str">
        <f>_xlfn.CONCAT(WEEKNUM(CompilDonnées[[#This Row],[PlantationDate]]), " ", YEAR(CompilDonnées[[#This Row],[PlantationDate]]))</f>
        <v>45 2025</v>
      </c>
      <c r="L5645" t="str">
        <f>CONCATENATE(MONTH(CompilDonnées[[#This Row],[PlantationDate]])," ", YEAR(CompilDonnées[[#This Row],[PlantationDate]]))</f>
        <v>11 2025</v>
      </c>
      <c r="M5645" t="str">
        <f>CONCATENATE(MONTH(CompilDonnées[[#This Row],[HarvestingDate]])," ", YEAR(CompilDonnées[[#This Row],[HarvestingDate]]))</f>
        <v>12 2025</v>
      </c>
      <c r="N5645">
        <f>_xlfn.NUMBERVALUE(CompilDonnées[[#This Row],[FarmID]]&amp;CompilDonnées[[#This Row],[ModuleNumber]]&amp;CompilDonnées[[#This Row],[PlantationDate]])</f>
        <v>66145966</v>
      </c>
      <c r="O5645" t="str">
        <f>CompilDonnées[[#This Row],[FarmID]]&amp;CompilDonnées[[#This Row],[ModuleNumber]]</f>
        <v>661</v>
      </c>
      <c r="P5645" t="str">
        <f>CompilDonnées[[#This Row],[Ref_Module]]&amp;CompilDonnées[[#This Row],[HarvestingDate]]</f>
        <v>66146007</v>
      </c>
    </row>
    <row r="5646" spans="1:16">
      <c r="A5646" s="5">
        <v>45966</v>
      </c>
      <c r="B5646">
        <v>59</v>
      </c>
      <c r="C5646" t="s">
        <v>64</v>
      </c>
      <c r="D5646">
        <v>4</v>
      </c>
      <c r="E5646">
        <v>100</v>
      </c>
      <c r="F5646" t="s">
        <v>1</v>
      </c>
      <c r="G5646" s="6">
        <v>46007</v>
      </c>
      <c r="H5646">
        <v>41</v>
      </c>
      <c r="I5646">
        <f>ROUND(CompilDonnées[[#This Row],[CultureDuration_days]]/7,0)</f>
        <v>6</v>
      </c>
      <c r="J5646">
        <v>4400</v>
      </c>
      <c r="K5646" t="str">
        <f>_xlfn.CONCAT(WEEKNUM(CompilDonnées[[#This Row],[PlantationDate]]), " ", YEAR(CompilDonnées[[#This Row],[PlantationDate]]))</f>
        <v>45 2025</v>
      </c>
      <c r="L5646" t="str">
        <f>CONCATENATE(MONTH(CompilDonnées[[#This Row],[PlantationDate]])," ", YEAR(CompilDonnées[[#This Row],[PlantationDate]]))</f>
        <v>11 2025</v>
      </c>
      <c r="M5646" t="str">
        <f>CONCATENATE(MONTH(CompilDonnées[[#This Row],[HarvestingDate]])," ", YEAR(CompilDonnées[[#This Row],[HarvestingDate]]))</f>
        <v>12 2025</v>
      </c>
      <c r="N5646">
        <f>_xlfn.NUMBERVALUE(CompilDonnées[[#This Row],[FarmID]]&amp;CompilDonnées[[#This Row],[ModuleNumber]]&amp;CompilDonnées[[#This Row],[PlantationDate]])</f>
        <v>59445966</v>
      </c>
      <c r="O5646" t="str">
        <f>CompilDonnées[[#This Row],[FarmID]]&amp;CompilDonnées[[#This Row],[ModuleNumber]]</f>
        <v>594</v>
      </c>
      <c r="P5646" t="str">
        <f>CompilDonnées[[#This Row],[Ref_Module]]&amp;CompilDonnées[[#This Row],[HarvestingDate]]</f>
        <v>59446007</v>
      </c>
    </row>
    <row r="5647" spans="1:16">
      <c r="A5647" s="5">
        <v>45966</v>
      </c>
      <c r="B5647">
        <v>57</v>
      </c>
      <c r="C5647" t="s">
        <v>46</v>
      </c>
      <c r="D5647">
        <v>4</v>
      </c>
      <c r="E5647">
        <v>100</v>
      </c>
      <c r="F5647" t="s">
        <v>1</v>
      </c>
      <c r="G5647" s="6">
        <v>46006</v>
      </c>
      <c r="H5647">
        <v>40</v>
      </c>
      <c r="I5647">
        <f>ROUND(CompilDonnées[[#This Row],[CultureDuration_days]]/7,0)</f>
        <v>6</v>
      </c>
      <c r="J5647">
        <v>2257</v>
      </c>
      <c r="K5647" t="str">
        <f>_xlfn.CONCAT(WEEKNUM(CompilDonnées[[#This Row],[PlantationDate]]), " ", YEAR(CompilDonnées[[#This Row],[PlantationDate]]))</f>
        <v>45 2025</v>
      </c>
      <c r="L5647" t="str">
        <f>CONCATENATE(MONTH(CompilDonnées[[#This Row],[PlantationDate]])," ", YEAR(CompilDonnées[[#This Row],[PlantationDate]]))</f>
        <v>11 2025</v>
      </c>
      <c r="M5647" t="str">
        <f>CONCATENATE(MONTH(CompilDonnées[[#This Row],[HarvestingDate]])," ", YEAR(CompilDonnées[[#This Row],[HarvestingDate]]))</f>
        <v>12 2025</v>
      </c>
      <c r="N5647">
        <f>_xlfn.NUMBERVALUE(CompilDonnées[[#This Row],[FarmID]]&amp;CompilDonnées[[#This Row],[ModuleNumber]]&amp;CompilDonnées[[#This Row],[PlantationDate]])</f>
        <v>57445966</v>
      </c>
      <c r="O5647" t="str">
        <f>CompilDonnées[[#This Row],[FarmID]]&amp;CompilDonnées[[#This Row],[ModuleNumber]]</f>
        <v>574</v>
      </c>
      <c r="P5647" t="str">
        <f>CompilDonnées[[#This Row],[Ref_Module]]&amp;CompilDonnées[[#This Row],[HarvestingDate]]</f>
        <v>57446006</v>
      </c>
    </row>
    <row r="5648" spans="1:16">
      <c r="A5648" s="5">
        <v>45966</v>
      </c>
      <c r="B5648">
        <v>49</v>
      </c>
      <c r="C5648" t="s">
        <v>110</v>
      </c>
      <c r="D5648">
        <v>4</v>
      </c>
      <c r="E5648">
        <v>100</v>
      </c>
      <c r="F5648" t="s">
        <v>1</v>
      </c>
      <c r="G5648" s="6">
        <v>46006</v>
      </c>
      <c r="H5648">
        <v>40</v>
      </c>
      <c r="I5648">
        <f>ROUND(CompilDonnées[[#This Row],[CultureDuration_days]]/7,0)</f>
        <v>6</v>
      </c>
      <c r="J5648">
        <v>1839</v>
      </c>
      <c r="K5648" t="str">
        <f>_xlfn.CONCAT(WEEKNUM(CompilDonnées[[#This Row],[PlantationDate]]), " ", YEAR(CompilDonnées[[#This Row],[PlantationDate]]))</f>
        <v>45 2025</v>
      </c>
      <c r="L5648" t="str">
        <f>CONCATENATE(MONTH(CompilDonnées[[#This Row],[PlantationDate]])," ", YEAR(CompilDonnées[[#This Row],[PlantationDate]]))</f>
        <v>11 2025</v>
      </c>
      <c r="M5648" t="str">
        <f>CONCATENATE(MONTH(CompilDonnées[[#This Row],[HarvestingDate]])," ", YEAR(CompilDonnées[[#This Row],[HarvestingDate]]))</f>
        <v>12 2025</v>
      </c>
      <c r="N5648">
        <f>_xlfn.NUMBERVALUE(CompilDonnées[[#This Row],[FarmID]]&amp;CompilDonnées[[#This Row],[ModuleNumber]]&amp;CompilDonnées[[#This Row],[PlantationDate]])</f>
        <v>49445966</v>
      </c>
      <c r="O5648" t="str">
        <f>CompilDonnées[[#This Row],[FarmID]]&amp;CompilDonnées[[#This Row],[ModuleNumber]]</f>
        <v>494</v>
      </c>
      <c r="P5648" t="str">
        <f>CompilDonnées[[#This Row],[Ref_Module]]&amp;CompilDonnées[[#This Row],[HarvestingDate]]</f>
        <v>49446006</v>
      </c>
    </row>
    <row r="5649" spans="1:16">
      <c r="A5649" s="5">
        <v>45966</v>
      </c>
      <c r="B5649">
        <v>55</v>
      </c>
      <c r="C5649" t="s">
        <v>60</v>
      </c>
      <c r="D5649">
        <v>5</v>
      </c>
      <c r="E5649">
        <v>100</v>
      </c>
      <c r="F5649" t="s">
        <v>1</v>
      </c>
      <c r="G5649" s="6">
        <v>46006</v>
      </c>
      <c r="H5649">
        <v>40</v>
      </c>
      <c r="I5649">
        <f>ROUND(CompilDonnées[[#This Row],[CultureDuration_days]]/7,0)</f>
        <v>6</v>
      </c>
      <c r="J5649">
        <v>1984</v>
      </c>
      <c r="K5649" t="str">
        <f>_xlfn.CONCAT(WEEKNUM(CompilDonnées[[#This Row],[PlantationDate]]), " ", YEAR(CompilDonnées[[#This Row],[PlantationDate]]))</f>
        <v>45 2025</v>
      </c>
      <c r="L5649" t="str">
        <f>CONCATENATE(MONTH(CompilDonnées[[#This Row],[PlantationDate]])," ", YEAR(CompilDonnées[[#This Row],[PlantationDate]]))</f>
        <v>11 2025</v>
      </c>
      <c r="M5649" t="str">
        <f>CONCATENATE(MONTH(CompilDonnées[[#This Row],[HarvestingDate]])," ", YEAR(CompilDonnées[[#This Row],[HarvestingDate]]))</f>
        <v>12 2025</v>
      </c>
      <c r="N5649">
        <f>_xlfn.NUMBERVALUE(CompilDonnées[[#This Row],[FarmID]]&amp;CompilDonnées[[#This Row],[ModuleNumber]]&amp;CompilDonnées[[#This Row],[PlantationDate]])</f>
        <v>55545966</v>
      </c>
      <c r="O5649" t="str">
        <f>CompilDonnées[[#This Row],[FarmID]]&amp;CompilDonnées[[#This Row],[ModuleNumber]]</f>
        <v>555</v>
      </c>
      <c r="P5649" t="str">
        <f>CompilDonnées[[#This Row],[Ref_Module]]&amp;CompilDonnées[[#This Row],[HarvestingDate]]</f>
        <v>55546006</v>
      </c>
    </row>
    <row r="5650" spans="1:16">
      <c r="A5650" s="5">
        <v>45967</v>
      </c>
      <c r="B5650">
        <v>95</v>
      </c>
      <c r="C5650" t="s">
        <v>90</v>
      </c>
      <c r="D5650">
        <v>5</v>
      </c>
      <c r="E5650">
        <v>100</v>
      </c>
      <c r="F5650" t="s">
        <v>1</v>
      </c>
      <c r="G5650" s="6">
        <v>46007</v>
      </c>
      <c r="H5650">
        <v>40</v>
      </c>
      <c r="I5650">
        <f>ROUND(CompilDonnées[[#This Row],[CultureDuration_days]]/7,0)</f>
        <v>6</v>
      </c>
      <c r="J5650">
        <v>2231</v>
      </c>
      <c r="K5650" t="str">
        <f>_xlfn.CONCAT(WEEKNUM(CompilDonnées[[#This Row],[PlantationDate]]), " ", YEAR(CompilDonnées[[#This Row],[PlantationDate]]))</f>
        <v>45 2025</v>
      </c>
      <c r="L5650" t="str">
        <f>CONCATENATE(MONTH(CompilDonnées[[#This Row],[PlantationDate]])," ", YEAR(CompilDonnées[[#This Row],[PlantationDate]]))</f>
        <v>11 2025</v>
      </c>
      <c r="M5650" t="str">
        <f>CONCATENATE(MONTH(CompilDonnées[[#This Row],[HarvestingDate]])," ", YEAR(CompilDonnées[[#This Row],[HarvestingDate]]))</f>
        <v>12 2025</v>
      </c>
      <c r="N5650">
        <f>_xlfn.NUMBERVALUE(CompilDonnées[[#This Row],[FarmID]]&amp;CompilDonnées[[#This Row],[ModuleNumber]]&amp;CompilDonnées[[#This Row],[PlantationDate]])</f>
        <v>95545967</v>
      </c>
      <c r="O5650" t="str">
        <f>CompilDonnées[[#This Row],[FarmID]]&amp;CompilDonnées[[#This Row],[ModuleNumber]]</f>
        <v>955</v>
      </c>
      <c r="P5650" t="str">
        <f>CompilDonnées[[#This Row],[Ref_Module]]&amp;CompilDonnées[[#This Row],[HarvestingDate]]</f>
        <v>95546007</v>
      </c>
    </row>
    <row r="5651" spans="1:16">
      <c r="A5651" s="5">
        <v>45967</v>
      </c>
      <c r="B5651">
        <v>52</v>
      </c>
      <c r="C5651" t="s">
        <v>88</v>
      </c>
      <c r="D5651">
        <v>3</v>
      </c>
      <c r="E5651">
        <v>100</v>
      </c>
      <c r="F5651" t="s">
        <v>1</v>
      </c>
      <c r="G5651" s="6">
        <v>46006</v>
      </c>
      <c r="H5651">
        <v>39</v>
      </c>
      <c r="I5651">
        <f>ROUND(CompilDonnées[[#This Row],[CultureDuration_days]]/7,0)</f>
        <v>6</v>
      </c>
      <c r="J5651">
        <v>3578</v>
      </c>
      <c r="K5651" t="str">
        <f>_xlfn.CONCAT(WEEKNUM(CompilDonnées[[#This Row],[PlantationDate]]), " ", YEAR(CompilDonnées[[#This Row],[PlantationDate]]))</f>
        <v>45 2025</v>
      </c>
      <c r="L5651" t="str">
        <f>CONCATENATE(MONTH(CompilDonnées[[#This Row],[PlantationDate]])," ", YEAR(CompilDonnées[[#This Row],[PlantationDate]]))</f>
        <v>11 2025</v>
      </c>
      <c r="M5651" t="str">
        <f>CONCATENATE(MONTH(CompilDonnées[[#This Row],[HarvestingDate]])," ", YEAR(CompilDonnées[[#This Row],[HarvestingDate]]))</f>
        <v>12 2025</v>
      </c>
      <c r="N5651">
        <f>_xlfn.NUMBERVALUE(CompilDonnées[[#This Row],[FarmID]]&amp;CompilDonnées[[#This Row],[ModuleNumber]]&amp;CompilDonnées[[#This Row],[PlantationDate]])</f>
        <v>52345967</v>
      </c>
      <c r="O5651" t="str">
        <f>CompilDonnées[[#This Row],[FarmID]]&amp;CompilDonnées[[#This Row],[ModuleNumber]]</f>
        <v>523</v>
      </c>
      <c r="P5651" t="str">
        <f>CompilDonnées[[#This Row],[Ref_Module]]&amp;CompilDonnées[[#This Row],[HarvestingDate]]</f>
        <v>52346006</v>
      </c>
    </row>
    <row r="5652" spans="1:16">
      <c r="A5652" s="5">
        <v>45967</v>
      </c>
      <c r="B5652">
        <v>52</v>
      </c>
      <c r="C5652" t="s">
        <v>88</v>
      </c>
      <c r="D5652">
        <v>4</v>
      </c>
      <c r="E5652">
        <v>100</v>
      </c>
      <c r="F5652" t="s">
        <v>1</v>
      </c>
      <c r="G5652" s="6">
        <v>46006</v>
      </c>
      <c r="H5652">
        <v>39</v>
      </c>
      <c r="I5652">
        <f>ROUND(CompilDonnées[[#This Row],[CultureDuration_days]]/7,0)</f>
        <v>6</v>
      </c>
      <c r="J5652">
        <v>3611</v>
      </c>
      <c r="K5652" t="str">
        <f>_xlfn.CONCAT(WEEKNUM(CompilDonnées[[#This Row],[PlantationDate]]), " ", YEAR(CompilDonnées[[#This Row],[PlantationDate]]))</f>
        <v>45 2025</v>
      </c>
      <c r="L5652" t="str">
        <f>CONCATENATE(MONTH(CompilDonnées[[#This Row],[PlantationDate]])," ", YEAR(CompilDonnées[[#This Row],[PlantationDate]]))</f>
        <v>11 2025</v>
      </c>
      <c r="M5652" t="str">
        <f>CONCATENATE(MONTH(CompilDonnées[[#This Row],[HarvestingDate]])," ", YEAR(CompilDonnées[[#This Row],[HarvestingDate]]))</f>
        <v>12 2025</v>
      </c>
      <c r="N5652">
        <f>_xlfn.NUMBERVALUE(CompilDonnées[[#This Row],[FarmID]]&amp;CompilDonnées[[#This Row],[ModuleNumber]]&amp;CompilDonnées[[#This Row],[PlantationDate]])</f>
        <v>52445967</v>
      </c>
      <c r="O5652" t="str">
        <f>CompilDonnées[[#This Row],[FarmID]]&amp;CompilDonnées[[#This Row],[ModuleNumber]]</f>
        <v>524</v>
      </c>
      <c r="P5652" t="str">
        <f>CompilDonnées[[#This Row],[Ref_Module]]&amp;CompilDonnées[[#This Row],[HarvestingDate]]</f>
        <v>52446006</v>
      </c>
    </row>
    <row r="5653" spans="1:16">
      <c r="A5653" s="5">
        <v>45967</v>
      </c>
      <c r="B5653">
        <v>73</v>
      </c>
      <c r="C5653" t="s">
        <v>20</v>
      </c>
      <c r="D5653">
        <v>6</v>
      </c>
      <c r="E5653">
        <v>100</v>
      </c>
      <c r="F5653" t="s">
        <v>1</v>
      </c>
      <c r="G5653" s="6">
        <v>46007</v>
      </c>
      <c r="H5653">
        <v>40</v>
      </c>
      <c r="I5653">
        <f>ROUND(CompilDonnées[[#This Row],[CultureDuration_days]]/7,0)</f>
        <v>6</v>
      </c>
      <c r="J5653">
        <v>1814</v>
      </c>
      <c r="K5653" t="str">
        <f>_xlfn.CONCAT(WEEKNUM(CompilDonnées[[#This Row],[PlantationDate]]), " ", YEAR(CompilDonnées[[#This Row],[PlantationDate]]))</f>
        <v>45 2025</v>
      </c>
      <c r="L5653" t="str">
        <f>CONCATENATE(MONTH(CompilDonnées[[#This Row],[PlantationDate]])," ", YEAR(CompilDonnées[[#This Row],[PlantationDate]]))</f>
        <v>11 2025</v>
      </c>
      <c r="M5653" t="str">
        <f>CONCATENATE(MONTH(CompilDonnées[[#This Row],[HarvestingDate]])," ", YEAR(CompilDonnées[[#This Row],[HarvestingDate]]))</f>
        <v>12 2025</v>
      </c>
      <c r="N5653">
        <f>_xlfn.NUMBERVALUE(CompilDonnées[[#This Row],[FarmID]]&amp;CompilDonnées[[#This Row],[ModuleNumber]]&amp;CompilDonnées[[#This Row],[PlantationDate]])</f>
        <v>73645967</v>
      </c>
      <c r="O5653" t="str">
        <f>CompilDonnées[[#This Row],[FarmID]]&amp;CompilDonnées[[#This Row],[ModuleNumber]]</f>
        <v>736</v>
      </c>
      <c r="P5653" t="str">
        <f>CompilDonnées[[#This Row],[Ref_Module]]&amp;CompilDonnées[[#This Row],[HarvestingDate]]</f>
        <v>73646007</v>
      </c>
    </row>
    <row r="5654" spans="1:16">
      <c r="A5654" s="5">
        <v>45967</v>
      </c>
      <c r="B5654">
        <v>126</v>
      </c>
      <c r="C5654" t="s">
        <v>52</v>
      </c>
      <c r="D5654">
        <v>5</v>
      </c>
      <c r="E5654">
        <v>100</v>
      </c>
      <c r="F5654" t="s">
        <v>1</v>
      </c>
      <c r="G5654" s="6">
        <v>46003</v>
      </c>
      <c r="H5654">
        <v>36</v>
      </c>
      <c r="I5654">
        <f>ROUND(CompilDonnées[[#This Row],[CultureDuration_days]]/7,0)</f>
        <v>5</v>
      </c>
      <c r="J5654">
        <v>3762</v>
      </c>
      <c r="K5654" t="str">
        <f>_xlfn.CONCAT(WEEKNUM(CompilDonnées[[#This Row],[PlantationDate]]), " ", YEAR(CompilDonnées[[#This Row],[PlantationDate]]))</f>
        <v>45 2025</v>
      </c>
      <c r="L5654" t="str">
        <f>CONCATENATE(MONTH(CompilDonnées[[#This Row],[PlantationDate]])," ", YEAR(CompilDonnées[[#This Row],[PlantationDate]]))</f>
        <v>11 2025</v>
      </c>
      <c r="M5654" t="str">
        <f>CONCATENATE(MONTH(CompilDonnées[[#This Row],[HarvestingDate]])," ", YEAR(CompilDonnées[[#This Row],[HarvestingDate]]))</f>
        <v>12 2025</v>
      </c>
      <c r="N5654">
        <f>_xlfn.NUMBERVALUE(CompilDonnées[[#This Row],[FarmID]]&amp;CompilDonnées[[#This Row],[ModuleNumber]]&amp;CompilDonnées[[#This Row],[PlantationDate]])</f>
        <v>126545967</v>
      </c>
      <c r="O5654" t="str">
        <f>CompilDonnées[[#This Row],[FarmID]]&amp;CompilDonnées[[#This Row],[ModuleNumber]]</f>
        <v>1265</v>
      </c>
      <c r="P5654" t="str">
        <f>CompilDonnées[[#This Row],[Ref_Module]]&amp;CompilDonnées[[#This Row],[HarvestingDate]]</f>
        <v>126546003</v>
      </c>
    </row>
    <row r="5655" spans="1:16">
      <c r="A5655" s="5">
        <v>45967</v>
      </c>
      <c r="B5655">
        <v>46</v>
      </c>
      <c r="C5655" t="s">
        <v>8</v>
      </c>
      <c r="D5655">
        <v>1</v>
      </c>
      <c r="E5655">
        <v>100</v>
      </c>
      <c r="F5655" t="s">
        <v>1</v>
      </c>
      <c r="G5655" s="6">
        <v>45994</v>
      </c>
      <c r="H5655">
        <v>27</v>
      </c>
      <c r="I5655">
        <f>ROUND(CompilDonnées[[#This Row],[CultureDuration_days]]/7,0)</f>
        <v>4</v>
      </c>
      <c r="J5655">
        <v>360</v>
      </c>
      <c r="K5655" t="str">
        <f>_xlfn.CONCAT(WEEKNUM(CompilDonnées[[#This Row],[PlantationDate]]), " ", YEAR(CompilDonnées[[#This Row],[PlantationDate]]))</f>
        <v>45 2025</v>
      </c>
      <c r="L5655" t="str">
        <f>CONCATENATE(MONTH(CompilDonnées[[#This Row],[PlantationDate]])," ", YEAR(CompilDonnées[[#This Row],[PlantationDate]]))</f>
        <v>11 2025</v>
      </c>
      <c r="M5655" t="str">
        <f>CONCATENATE(MONTH(CompilDonnées[[#This Row],[HarvestingDate]])," ", YEAR(CompilDonnées[[#This Row],[HarvestingDate]]))</f>
        <v>12 2025</v>
      </c>
      <c r="N5655">
        <f>_xlfn.NUMBERVALUE(CompilDonnées[[#This Row],[FarmID]]&amp;CompilDonnées[[#This Row],[ModuleNumber]]&amp;CompilDonnées[[#This Row],[PlantationDate]])</f>
        <v>46145967</v>
      </c>
      <c r="O5655" t="str">
        <f>CompilDonnées[[#This Row],[FarmID]]&amp;CompilDonnées[[#This Row],[ModuleNumber]]</f>
        <v>461</v>
      </c>
      <c r="P5655" t="str">
        <f>CompilDonnées[[#This Row],[Ref_Module]]&amp;CompilDonnées[[#This Row],[HarvestingDate]]</f>
        <v>46145994</v>
      </c>
    </row>
    <row r="5656" spans="1:16">
      <c r="A5656" s="5">
        <v>45967</v>
      </c>
      <c r="B5656">
        <v>1</v>
      </c>
      <c r="C5656" t="s">
        <v>111</v>
      </c>
      <c r="D5656">
        <v>1</v>
      </c>
      <c r="E5656">
        <v>100</v>
      </c>
      <c r="F5656" t="s">
        <v>1</v>
      </c>
      <c r="G5656" s="6">
        <v>46006</v>
      </c>
      <c r="H5656">
        <v>39</v>
      </c>
      <c r="I5656">
        <f>ROUND(CompilDonnées[[#This Row],[CultureDuration_days]]/7,0)</f>
        <v>6</v>
      </c>
      <c r="J5656">
        <v>2152</v>
      </c>
      <c r="K5656" t="str">
        <f>_xlfn.CONCAT(WEEKNUM(CompilDonnées[[#This Row],[PlantationDate]]), " ", YEAR(CompilDonnées[[#This Row],[PlantationDate]]))</f>
        <v>45 2025</v>
      </c>
      <c r="L5656" t="str">
        <f>CONCATENATE(MONTH(CompilDonnées[[#This Row],[PlantationDate]])," ", YEAR(CompilDonnées[[#This Row],[PlantationDate]]))</f>
        <v>11 2025</v>
      </c>
      <c r="M5656" t="str">
        <f>CONCATENATE(MONTH(CompilDonnées[[#This Row],[HarvestingDate]])," ", YEAR(CompilDonnées[[#This Row],[HarvestingDate]]))</f>
        <v>12 2025</v>
      </c>
      <c r="N5656">
        <f>_xlfn.NUMBERVALUE(CompilDonnées[[#This Row],[FarmID]]&amp;CompilDonnées[[#This Row],[ModuleNumber]]&amp;CompilDonnées[[#This Row],[PlantationDate]])</f>
        <v>1145967</v>
      </c>
      <c r="O5656" t="str">
        <f>CompilDonnées[[#This Row],[FarmID]]&amp;CompilDonnées[[#This Row],[ModuleNumber]]</f>
        <v>11</v>
      </c>
      <c r="P5656" t="str">
        <f>CompilDonnées[[#This Row],[Ref_Module]]&amp;CompilDonnées[[#This Row],[HarvestingDate]]</f>
        <v>1146006</v>
      </c>
    </row>
    <row r="5657" spans="1:16">
      <c r="A5657" s="5">
        <v>45967</v>
      </c>
      <c r="B5657">
        <v>47</v>
      </c>
      <c r="C5657" t="s">
        <v>104</v>
      </c>
      <c r="D5657">
        <v>2</v>
      </c>
      <c r="E5657">
        <v>100</v>
      </c>
      <c r="F5657" t="s">
        <v>1</v>
      </c>
      <c r="G5657" s="6">
        <v>45994</v>
      </c>
      <c r="H5657">
        <v>27</v>
      </c>
      <c r="I5657">
        <f>ROUND(CompilDonnées[[#This Row],[CultureDuration_days]]/7,0)</f>
        <v>4</v>
      </c>
      <c r="J5657">
        <v>1886</v>
      </c>
      <c r="K5657" t="str">
        <f>_xlfn.CONCAT(WEEKNUM(CompilDonnées[[#This Row],[PlantationDate]]), " ", YEAR(CompilDonnées[[#This Row],[PlantationDate]]))</f>
        <v>45 2025</v>
      </c>
      <c r="L5657" t="str">
        <f>CONCATENATE(MONTH(CompilDonnées[[#This Row],[PlantationDate]])," ", YEAR(CompilDonnées[[#This Row],[PlantationDate]]))</f>
        <v>11 2025</v>
      </c>
      <c r="M5657" t="str">
        <f>CONCATENATE(MONTH(CompilDonnées[[#This Row],[HarvestingDate]])," ", YEAR(CompilDonnées[[#This Row],[HarvestingDate]]))</f>
        <v>12 2025</v>
      </c>
      <c r="N5657">
        <f>_xlfn.NUMBERVALUE(CompilDonnées[[#This Row],[FarmID]]&amp;CompilDonnées[[#This Row],[ModuleNumber]]&amp;CompilDonnées[[#This Row],[PlantationDate]])</f>
        <v>47245967</v>
      </c>
      <c r="O5657" t="str">
        <f>CompilDonnées[[#This Row],[FarmID]]&amp;CompilDonnées[[#This Row],[ModuleNumber]]</f>
        <v>472</v>
      </c>
      <c r="P5657" t="str">
        <f>CompilDonnées[[#This Row],[Ref_Module]]&amp;CompilDonnées[[#This Row],[HarvestingDate]]</f>
        <v>47245994</v>
      </c>
    </row>
    <row r="5658" spans="1:16">
      <c r="A5658" s="5">
        <v>45967</v>
      </c>
      <c r="B5658">
        <v>7</v>
      </c>
      <c r="C5658" t="s">
        <v>50</v>
      </c>
      <c r="D5658">
        <v>2</v>
      </c>
      <c r="E5658">
        <v>100</v>
      </c>
      <c r="F5658" t="s">
        <v>1</v>
      </c>
      <c r="G5658" s="6">
        <v>46003</v>
      </c>
      <c r="H5658">
        <v>36</v>
      </c>
      <c r="I5658">
        <f>ROUND(CompilDonnées[[#This Row],[CultureDuration_days]]/7,0)</f>
        <v>5</v>
      </c>
      <c r="J5658">
        <v>600</v>
      </c>
      <c r="K5658" t="str">
        <f>_xlfn.CONCAT(WEEKNUM(CompilDonnées[[#This Row],[PlantationDate]]), " ", YEAR(CompilDonnées[[#This Row],[PlantationDate]]))</f>
        <v>45 2025</v>
      </c>
      <c r="L5658" t="str">
        <f>CONCATENATE(MONTH(CompilDonnées[[#This Row],[PlantationDate]])," ", YEAR(CompilDonnées[[#This Row],[PlantationDate]]))</f>
        <v>11 2025</v>
      </c>
      <c r="M5658" t="str">
        <f>CONCATENATE(MONTH(CompilDonnées[[#This Row],[HarvestingDate]])," ", YEAR(CompilDonnées[[#This Row],[HarvestingDate]]))</f>
        <v>12 2025</v>
      </c>
      <c r="N5658">
        <f>_xlfn.NUMBERVALUE(CompilDonnées[[#This Row],[FarmID]]&amp;CompilDonnées[[#This Row],[ModuleNumber]]&amp;CompilDonnées[[#This Row],[PlantationDate]])</f>
        <v>7245967</v>
      </c>
      <c r="O5658" t="str">
        <f>CompilDonnées[[#This Row],[FarmID]]&amp;CompilDonnées[[#This Row],[ModuleNumber]]</f>
        <v>72</v>
      </c>
      <c r="P5658" t="str">
        <f>CompilDonnées[[#This Row],[Ref_Module]]&amp;CompilDonnées[[#This Row],[HarvestingDate]]</f>
        <v>7246003</v>
      </c>
    </row>
    <row r="5659" spans="1:16">
      <c r="A5659" s="5">
        <v>45967</v>
      </c>
      <c r="B5659">
        <v>41</v>
      </c>
      <c r="C5659" t="s">
        <v>70</v>
      </c>
      <c r="D5659">
        <v>6</v>
      </c>
      <c r="E5659">
        <v>100</v>
      </c>
      <c r="F5659" t="s">
        <v>1</v>
      </c>
      <c r="G5659" s="6">
        <v>45994</v>
      </c>
      <c r="H5659">
        <v>27</v>
      </c>
      <c r="I5659">
        <f>ROUND(CompilDonnées[[#This Row],[CultureDuration_days]]/7,0)</f>
        <v>4</v>
      </c>
      <c r="J5659">
        <v>1451</v>
      </c>
      <c r="K5659" t="str">
        <f>_xlfn.CONCAT(WEEKNUM(CompilDonnées[[#This Row],[PlantationDate]]), " ", YEAR(CompilDonnées[[#This Row],[PlantationDate]]))</f>
        <v>45 2025</v>
      </c>
      <c r="L5659" t="str">
        <f>CONCATENATE(MONTH(CompilDonnées[[#This Row],[PlantationDate]])," ", YEAR(CompilDonnées[[#This Row],[PlantationDate]]))</f>
        <v>11 2025</v>
      </c>
      <c r="M5659" t="str">
        <f>CONCATENATE(MONTH(CompilDonnées[[#This Row],[HarvestingDate]])," ", YEAR(CompilDonnées[[#This Row],[HarvestingDate]]))</f>
        <v>12 2025</v>
      </c>
      <c r="N5659">
        <f>_xlfn.NUMBERVALUE(CompilDonnées[[#This Row],[FarmID]]&amp;CompilDonnées[[#This Row],[ModuleNumber]]&amp;CompilDonnées[[#This Row],[PlantationDate]])</f>
        <v>41645967</v>
      </c>
      <c r="O5659" t="str">
        <f>CompilDonnées[[#This Row],[FarmID]]&amp;CompilDonnées[[#This Row],[ModuleNumber]]</f>
        <v>416</v>
      </c>
      <c r="P5659" t="str">
        <f>CompilDonnées[[#This Row],[Ref_Module]]&amp;CompilDonnées[[#This Row],[HarvestingDate]]</f>
        <v>41645994</v>
      </c>
    </row>
    <row r="5660" spans="1:16">
      <c r="A5660" s="5">
        <v>45967</v>
      </c>
      <c r="B5660">
        <v>42</v>
      </c>
      <c r="C5660" t="s">
        <v>119</v>
      </c>
      <c r="D5660">
        <v>5</v>
      </c>
      <c r="E5660">
        <v>100</v>
      </c>
      <c r="F5660" t="s">
        <v>1</v>
      </c>
      <c r="G5660" s="6">
        <v>46006</v>
      </c>
      <c r="H5660">
        <v>39</v>
      </c>
      <c r="I5660">
        <f>ROUND(CompilDonnées[[#This Row],[CultureDuration_days]]/7,0)</f>
        <v>6</v>
      </c>
      <c r="J5660">
        <v>1862</v>
      </c>
      <c r="K5660" t="str">
        <f>_xlfn.CONCAT(WEEKNUM(CompilDonnées[[#This Row],[PlantationDate]]), " ", YEAR(CompilDonnées[[#This Row],[PlantationDate]]))</f>
        <v>45 2025</v>
      </c>
      <c r="L5660" t="str">
        <f>CONCATENATE(MONTH(CompilDonnées[[#This Row],[PlantationDate]])," ", YEAR(CompilDonnées[[#This Row],[PlantationDate]]))</f>
        <v>11 2025</v>
      </c>
      <c r="M5660" t="str">
        <f>CONCATENATE(MONTH(CompilDonnées[[#This Row],[HarvestingDate]])," ", YEAR(CompilDonnées[[#This Row],[HarvestingDate]]))</f>
        <v>12 2025</v>
      </c>
      <c r="N5660">
        <f>_xlfn.NUMBERVALUE(CompilDonnées[[#This Row],[FarmID]]&amp;CompilDonnées[[#This Row],[ModuleNumber]]&amp;CompilDonnées[[#This Row],[PlantationDate]])</f>
        <v>42545967</v>
      </c>
      <c r="O5660" t="str">
        <f>CompilDonnées[[#This Row],[FarmID]]&amp;CompilDonnées[[#This Row],[ModuleNumber]]</f>
        <v>425</v>
      </c>
      <c r="P5660" t="str">
        <f>CompilDonnées[[#This Row],[Ref_Module]]&amp;CompilDonnées[[#This Row],[HarvestingDate]]</f>
        <v>42546006</v>
      </c>
    </row>
    <row r="5661" spans="1:16">
      <c r="A5661" s="5">
        <v>45972</v>
      </c>
      <c r="B5661">
        <v>26</v>
      </c>
      <c r="C5661" t="s">
        <v>97</v>
      </c>
      <c r="D5661">
        <v>1</v>
      </c>
      <c r="E5661">
        <v>100</v>
      </c>
      <c r="F5661" t="s">
        <v>1</v>
      </c>
      <c r="G5661" s="6">
        <v>46002</v>
      </c>
      <c r="H5661">
        <v>30</v>
      </c>
      <c r="I5661">
        <f>ROUND(CompilDonnées[[#This Row],[CultureDuration_days]]/7,0)</f>
        <v>4</v>
      </c>
      <c r="J5661">
        <v>700</v>
      </c>
      <c r="K5661" t="str">
        <f>_xlfn.CONCAT(WEEKNUM(CompilDonnées[[#This Row],[PlantationDate]]), " ", YEAR(CompilDonnées[[#This Row],[PlantationDate]]))</f>
        <v>46 2025</v>
      </c>
      <c r="L5661" t="str">
        <f>CONCATENATE(MONTH(CompilDonnées[[#This Row],[PlantationDate]])," ", YEAR(CompilDonnées[[#This Row],[PlantationDate]]))</f>
        <v>11 2025</v>
      </c>
      <c r="M5661" t="str">
        <f>CONCATENATE(MONTH(CompilDonnées[[#This Row],[HarvestingDate]])," ", YEAR(CompilDonnées[[#This Row],[HarvestingDate]]))</f>
        <v>12 2025</v>
      </c>
      <c r="N5661">
        <f>_xlfn.NUMBERVALUE(CompilDonnées[[#This Row],[FarmID]]&amp;CompilDonnées[[#This Row],[ModuleNumber]]&amp;CompilDonnées[[#This Row],[PlantationDate]])</f>
        <v>26145972</v>
      </c>
      <c r="O5661" t="str">
        <f>CompilDonnées[[#This Row],[FarmID]]&amp;CompilDonnées[[#This Row],[ModuleNumber]]</f>
        <v>261</v>
      </c>
      <c r="P5661" t="str">
        <f>CompilDonnées[[#This Row],[Ref_Module]]&amp;CompilDonnées[[#This Row],[HarvestingDate]]</f>
        <v>26146002</v>
      </c>
    </row>
    <row r="5662" spans="1:16">
      <c r="A5662" s="5">
        <v>45972</v>
      </c>
      <c r="B5662">
        <v>46</v>
      </c>
      <c r="C5662" t="s">
        <v>8</v>
      </c>
      <c r="D5662">
        <v>2</v>
      </c>
      <c r="E5662">
        <v>100</v>
      </c>
      <c r="F5662" t="s">
        <v>1</v>
      </c>
      <c r="G5662" s="6">
        <v>45994</v>
      </c>
      <c r="H5662">
        <v>22</v>
      </c>
      <c r="I5662">
        <f>ROUND(CompilDonnées[[#This Row],[CultureDuration_days]]/7,0)</f>
        <v>3</v>
      </c>
      <c r="J5662">
        <v>380</v>
      </c>
      <c r="K5662" t="str">
        <f>_xlfn.CONCAT(WEEKNUM(CompilDonnées[[#This Row],[PlantationDate]]), " ", YEAR(CompilDonnées[[#This Row],[PlantationDate]]))</f>
        <v>46 2025</v>
      </c>
      <c r="L5662" t="str">
        <f>CONCATENATE(MONTH(CompilDonnées[[#This Row],[PlantationDate]])," ", YEAR(CompilDonnées[[#This Row],[PlantationDate]]))</f>
        <v>11 2025</v>
      </c>
      <c r="M5662" t="str">
        <f>CONCATENATE(MONTH(CompilDonnées[[#This Row],[HarvestingDate]])," ", YEAR(CompilDonnées[[#This Row],[HarvestingDate]]))</f>
        <v>12 2025</v>
      </c>
      <c r="N5662">
        <f>_xlfn.NUMBERVALUE(CompilDonnées[[#This Row],[FarmID]]&amp;CompilDonnées[[#This Row],[ModuleNumber]]&amp;CompilDonnées[[#This Row],[PlantationDate]])</f>
        <v>46245972</v>
      </c>
      <c r="O5662" t="str">
        <f>CompilDonnées[[#This Row],[FarmID]]&amp;CompilDonnées[[#This Row],[ModuleNumber]]</f>
        <v>462</v>
      </c>
      <c r="P5662" t="str">
        <f>CompilDonnées[[#This Row],[Ref_Module]]&amp;CompilDonnées[[#This Row],[HarvestingDate]]</f>
        <v>46245994</v>
      </c>
    </row>
    <row r="5663" spans="1:16">
      <c r="A5663" s="5">
        <v>45972</v>
      </c>
      <c r="B5663">
        <v>46</v>
      </c>
      <c r="C5663" t="s">
        <v>8</v>
      </c>
      <c r="D5663">
        <v>4</v>
      </c>
      <c r="E5663">
        <v>100</v>
      </c>
      <c r="F5663" t="s">
        <v>1</v>
      </c>
      <c r="G5663" s="6">
        <v>45994</v>
      </c>
      <c r="H5663">
        <v>22</v>
      </c>
      <c r="I5663">
        <f>ROUND(CompilDonnées[[#This Row],[CultureDuration_days]]/7,0)</f>
        <v>3</v>
      </c>
      <c r="J5663">
        <v>320</v>
      </c>
      <c r="K5663" t="str">
        <f>_xlfn.CONCAT(WEEKNUM(CompilDonnées[[#This Row],[PlantationDate]]), " ", YEAR(CompilDonnées[[#This Row],[PlantationDate]]))</f>
        <v>46 2025</v>
      </c>
      <c r="L5663" t="str">
        <f>CONCATENATE(MONTH(CompilDonnées[[#This Row],[PlantationDate]])," ", YEAR(CompilDonnées[[#This Row],[PlantationDate]]))</f>
        <v>11 2025</v>
      </c>
      <c r="M5663" t="str">
        <f>CONCATENATE(MONTH(CompilDonnées[[#This Row],[HarvestingDate]])," ", YEAR(CompilDonnées[[#This Row],[HarvestingDate]]))</f>
        <v>12 2025</v>
      </c>
      <c r="N5663">
        <f>_xlfn.NUMBERVALUE(CompilDonnées[[#This Row],[FarmID]]&amp;CompilDonnées[[#This Row],[ModuleNumber]]&amp;CompilDonnées[[#This Row],[PlantationDate]])</f>
        <v>46445972</v>
      </c>
      <c r="O5663" t="str">
        <f>CompilDonnées[[#This Row],[FarmID]]&amp;CompilDonnées[[#This Row],[ModuleNumber]]</f>
        <v>464</v>
      </c>
      <c r="P5663" t="str">
        <f>CompilDonnées[[#This Row],[Ref_Module]]&amp;CompilDonnées[[#This Row],[HarvestingDate]]</f>
        <v>46445994</v>
      </c>
    </row>
    <row r="5664" spans="1:16">
      <c r="A5664" s="5">
        <v>45973</v>
      </c>
      <c r="B5664">
        <v>68</v>
      </c>
      <c r="C5664" t="s">
        <v>89</v>
      </c>
      <c r="D5664">
        <v>1</v>
      </c>
      <c r="E5664">
        <v>100</v>
      </c>
      <c r="F5664" t="s">
        <v>1</v>
      </c>
      <c r="G5664" s="6">
        <v>46007</v>
      </c>
      <c r="H5664">
        <v>34</v>
      </c>
      <c r="I5664">
        <f>ROUND(CompilDonnées[[#This Row],[CultureDuration_days]]/7,0)</f>
        <v>5</v>
      </c>
      <c r="J5664">
        <v>2568</v>
      </c>
      <c r="K5664" t="str">
        <f>_xlfn.CONCAT(WEEKNUM(CompilDonnées[[#This Row],[PlantationDate]]), " ", YEAR(CompilDonnées[[#This Row],[PlantationDate]]))</f>
        <v>46 2025</v>
      </c>
      <c r="L5664" t="str">
        <f>CONCATENATE(MONTH(CompilDonnées[[#This Row],[PlantationDate]])," ", YEAR(CompilDonnées[[#This Row],[PlantationDate]]))</f>
        <v>11 2025</v>
      </c>
      <c r="M5664" t="str">
        <f>CONCATENATE(MONTH(CompilDonnées[[#This Row],[HarvestingDate]])," ", YEAR(CompilDonnées[[#This Row],[HarvestingDate]]))</f>
        <v>12 2025</v>
      </c>
      <c r="N5664">
        <f>_xlfn.NUMBERVALUE(CompilDonnées[[#This Row],[FarmID]]&amp;CompilDonnées[[#This Row],[ModuleNumber]]&amp;CompilDonnées[[#This Row],[PlantationDate]])</f>
        <v>68145973</v>
      </c>
      <c r="O5664" t="str">
        <f>CompilDonnées[[#This Row],[FarmID]]&amp;CompilDonnées[[#This Row],[ModuleNumber]]</f>
        <v>681</v>
      </c>
      <c r="P5664" t="str">
        <f>CompilDonnées[[#This Row],[Ref_Module]]&amp;CompilDonnées[[#This Row],[HarvestingDate]]</f>
        <v>68146007</v>
      </c>
    </row>
    <row r="5665" spans="1:16">
      <c r="A5665" s="5">
        <v>45973</v>
      </c>
      <c r="B5665">
        <v>47</v>
      </c>
      <c r="C5665" t="s">
        <v>104</v>
      </c>
      <c r="D5665">
        <v>5</v>
      </c>
      <c r="E5665">
        <v>100</v>
      </c>
      <c r="F5665" t="s">
        <v>1</v>
      </c>
      <c r="G5665" s="6">
        <v>45995</v>
      </c>
      <c r="H5665">
        <v>22</v>
      </c>
      <c r="I5665">
        <f>ROUND(CompilDonnées[[#This Row],[CultureDuration_days]]/7,0)</f>
        <v>3</v>
      </c>
      <c r="J5665">
        <v>70</v>
      </c>
      <c r="K5665" t="str">
        <f>_xlfn.CONCAT(WEEKNUM(CompilDonnées[[#This Row],[PlantationDate]]), " ", YEAR(CompilDonnées[[#This Row],[PlantationDate]]))</f>
        <v>46 2025</v>
      </c>
      <c r="L5665" t="str">
        <f>CONCATENATE(MONTH(CompilDonnées[[#This Row],[PlantationDate]])," ", YEAR(CompilDonnées[[#This Row],[PlantationDate]]))</f>
        <v>11 2025</v>
      </c>
      <c r="M5665" t="str">
        <f>CONCATENATE(MONTH(CompilDonnées[[#This Row],[HarvestingDate]])," ", YEAR(CompilDonnées[[#This Row],[HarvestingDate]]))</f>
        <v>12 2025</v>
      </c>
      <c r="N5665">
        <f>_xlfn.NUMBERVALUE(CompilDonnées[[#This Row],[FarmID]]&amp;CompilDonnées[[#This Row],[ModuleNumber]]&amp;CompilDonnées[[#This Row],[PlantationDate]])</f>
        <v>47545973</v>
      </c>
      <c r="O5665" t="str">
        <f>CompilDonnées[[#This Row],[FarmID]]&amp;CompilDonnées[[#This Row],[ModuleNumber]]</f>
        <v>475</v>
      </c>
      <c r="P5665" t="str">
        <f>CompilDonnées[[#This Row],[Ref_Module]]&amp;CompilDonnées[[#This Row],[HarvestingDate]]</f>
        <v>47545995</v>
      </c>
    </row>
    <row r="5666" spans="1:16">
      <c r="A5666" s="5">
        <v>45973</v>
      </c>
      <c r="B5666">
        <v>26</v>
      </c>
      <c r="C5666" t="s">
        <v>97</v>
      </c>
      <c r="D5666">
        <v>2</v>
      </c>
      <c r="E5666">
        <v>100</v>
      </c>
      <c r="F5666" t="s">
        <v>1</v>
      </c>
      <c r="G5666" s="6">
        <v>46002</v>
      </c>
      <c r="H5666">
        <v>29</v>
      </c>
      <c r="I5666">
        <f>ROUND(CompilDonnées[[#This Row],[CultureDuration_days]]/7,0)</f>
        <v>4</v>
      </c>
      <c r="J5666">
        <v>650</v>
      </c>
      <c r="K5666" t="str">
        <f>_xlfn.CONCAT(WEEKNUM(CompilDonnées[[#This Row],[PlantationDate]]), " ", YEAR(CompilDonnées[[#This Row],[PlantationDate]]))</f>
        <v>46 2025</v>
      </c>
      <c r="L5666" t="str">
        <f>CONCATENATE(MONTH(CompilDonnées[[#This Row],[PlantationDate]])," ", YEAR(CompilDonnées[[#This Row],[PlantationDate]]))</f>
        <v>11 2025</v>
      </c>
      <c r="M5666" t="str">
        <f>CONCATENATE(MONTH(CompilDonnées[[#This Row],[HarvestingDate]])," ", YEAR(CompilDonnées[[#This Row],[HarvestingDate]]))</f>
        <v>12 2025</v>
      </c>
      <c r="N5666">
        <f>_xlfn.NUMBERVALUE(CompilDonnées[[#This Row],[FarmID]]&amp;CompilDonnées[[#This Row],[ModuleNumber]]&amp;CompilDonnées[[#This Row],[PlantationDate]])</f>
        <v>26245973</v>
      </c>
      <c r="O5666" t="str">
        <f>CompilDonnées[[#This Row],[FarmID]]&amp;CompilDonnées[[#This Row],[ModuleNumber]]</f>
        <v>262</v>
      </c>
      <c r="P5666" t="str">
        <f>CompilDonnées[[#This Row],[Ref_Module]]&amp;CompilDonnées[[#This Row],[HarvestingDate]]</f>
        <v>26246002</v>
      </c>
    </row>
    <row r="5667" spans="1:16">
      <c r="A5667" s="5">
        <v>45974</v>
      </c>
      <c r="B5667">
        <v>47</v>
      </c>
      <c r="C5667" t="s">
        <v>104</v>
      </c>
      <c r="D5667">
        <v>6</v>
      </c>
      <c r="E5667">
        <v>100</v>
      </c>
      <c r="F5667" t="s">
        <v>1</v>
      </c>
      <c r="G5667" s="6">
        <v>45995</v>
      </c>
      <c r="H5667">
        <v>21</v>
      </c>
      <c r="I5667">
        <f>ROUND(CompilDonnées[[#This Row],[CultureDuration_days]]/7,0)</f>
        <v>3</v>
      </c>
      <c r="J5667">
        <v>130</v>
      </c>
      <c r="K5667" t="str">
        <f>_xlfn.CONCAT(WEEKNUM(CompilDonnées[[#This Row],[PlantationDate]]), " ", YEAR(CompilDonnées[[#This Row],[PlantationDate]]))</f>
        <v>46 2025</v>
      </c>
      <c r="L5667" t="str">
        <f>CONCATENATE(MONTH(CompilDonnées[[#This Row],[PlantationDate]])," ", YEAR(CompilDonnées[[#This Row],[PlantationDate]]))</f>
        <v>11 2025</v>
      </c>
      <c r="M5667" t="str">
        <f>CONCATENATE(MONTH(CompilDonnées[[#This Row],[HarvestingDate]])," ", YEAR(CompilDonnées[[#This Row],[HarvestingDate]]))</f>
        <v>12 2025</v>
      </c>
      <c r="N5667">
        <f>_xlfn.NUMBERVALUE(CompilDonnées[[#This Row],[FarmID]]&amp;CompilDonnées[[#This Row],[ModuleNumber]]&amp;CompilDonnées[[#This Row],[PlantationDate]])</f>
        <v>47645974</v>
      </c>
      <c r="O5667" t="str">
        <f>CompilDonnées[[#This Row],[FarmID]]&amp;CompilDonnées[[#This Row],[ModuleNumber]]</f>
        <v>476</v>
      </c>
      <c r="P5667" t="str">
        <f>CompilDonnées[[#This Row],[Ref_Module]]&amp;CompilDonnées[[#This Row],[HarvestingDate]]</f>
        <v>47645995</v>
      </c>
    </row>
    <row r="5668" spans="1:16">
      <c r="A5668" s="5">
        <v>45974</v>
      </c>
      <c r="B5668">
        <v>68</v>
      </c>
      <c r="C5668" t="s">
        <v>89</v>
      </c>
      <c r="D5668">
        <v>2</v>
      </c>
      <c r="E5668">
        <v>100</v>
      </c>
      <c r="F5668" t="s">
        <v>1</v>
      </c>
      <c r="G5668" s="6">
        <v>46007</v>
      </c>
      <c r="H5668">
        <v>33</v>
      </c>
      <c r="I5668">
        <f>ROUND(CompilDonnées[[#This Row],[CultureDuration_days]]/7,0)</f>
        <v>5</v>
      </c>
      <c r="J5668">
        <v>2883</v>
      </c>
      <c r="K5668" t="str">
        <f>_xlfn.CONCAT(WEEKNUM(CompilDonnées[[#This Row],[PlantationDate]]), " ", YEAR(CompilDonnées[[#This Row],[PlantationDate]]))</f>
        <v>46 2025</v>
      </c>
      <c r="L5668" t="str">
        <f>CONCATENATE(MONTH(CompilDonnées[[#This Row],[PlantationDate]])," ", YEAR(CompilDonnées[[#This Row],[PlantationDate]]))</f>
        <v>11 2025</v>
      </c>
      <c r="M5668" t="str">
        <f>CONCATENATE(MONTH(CompilDonnées[[#This Row],[HarvestingDate]])," ", YEAR(CompilDonnées[[#This Row],[HarvestingDate]]))</f>
        <v>12 2025</v>
      </c>
      <c r="N5668">
        <f>_xlfn.NUMBERVALUE(CompilDonnées[[#This Row],[FarmID]]&amp;CompilDonnées[[#This Row],[ModuleNumber]]&amp;CompilDonnées[[#This Row],[PlantationDate]])</f>
        <v>68245974</v>
      </c>
      <c r="O5668" t="str">
        <f>CompilDonnées[[#This Row],[FarmID]]&amp;CompilDonnées[[#This Row],[ModuleNumber]]</f>
        <v>682</v>
      </c>
      <c r="P5668" t="str">
        <f>CompilDonnées[[#This Row],[Ref_Module]]&amp;CompilDonnées[[#This Row],[HarvestingDate]]</f>
        <v>68246007</v>
      </c>
    </row>
    <row r="5669" spans="1:16">
      <c r="A5669" s="5">
        <v>45980</v>
      </c>
      <c r="B5669">
        <v>26</v>
      </c>
      <c r="C5669" t="s">
        <v>97</v>
      </c>
      <c r="D5669">
        <v>3</v>
      </c>
      <c r="E5669">
        <v>100</v>
      </c>
      <c r="F5669" t="s">
        <v>1</v>
      </c>
      <c r="G5669" s="6">
        <v>46002</v>
      </c>
      <c r="H5669">
        <v>22</v>
      </c>
      <c r="I5669">
        <f>ROUND(CompilDonnées[[#This Row],[CultureDuration_days]]/7,0)</f>
        <v>3</v>
      </c>
      <c r="J5669">
        <v>650</v>
      </c>
      <c r="K5669" t="str">
        <f>_xlfn.CONCAT(WEEKNUM(CompilDonnées[[#This Row],[PlantationDate]]), " ", YEAR(CompilDonnées[[#This Row],[PlantationDate]]))</f>
        <v>47 2025</v>
      </c>
      <c r="L5669" t="str">
        <f>CONCATENATE(MONTH(CompilDonnées[[#This Row],[PlantationDate]])," ", YEAR(CompilDonnées[[#This Row],[PlantationDate]]))</f>
        <v>11 2025</v>
      </c>
      <c r="M5669" t="str">
        <f>CONCATENATE(MONTH(CompilDonnées[[#This Row],[HarvestingDate]])," ", YEAR(CompilDonnées[[#This Row],[HarvestingDate]]))</f>
        <v>12 2025</v>
      </c>
      <c r="N5669">
        <f>_xlfn.NUMBERVALUE(CompilDonnées[[#This Row],[FarmID]]&amp;CompilDonnées[[#This Row],[ModuleNumber]]&amp;CompilDonnées[[#This Row],[PlantationDate]])</f>
        <v>26345980</v>
      </c>
      <c r="O5669" t="str">
        <f>CompilDonnées[[#This Row],[FarmID]]&amp;CompilDonnées[[#This Row],[ModuleNumber]]</f>
        <v>263</v>
      </c>
      <c r="P5669" t="str">
        <f>CompilDonnées[[#This Row],[Ref_Module]]&amp;CompilDonnées[[#This Row],[HarvestingDate]]</f>
        <v>26346002</v>
      </c>
    </row>
  </sheetData>
  <conditionalFormatting sqref="N2:N5669">
    <cfRule type="duplicateValues" dxfId="3" priority="69"/>
    <cfRule type="duplicateValues" dxfId="2" priority="70"/>
    <cfRule type="duplicateValues" dxfId="1" priority="71"/>
    <cfRule type="duplicateValues" dxfId="0" priority="72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Copie base donnée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Ravo RANDRIAMAROSON</dc:creator>
  <cp:lastModifiedBy>simon oiry</cp:lastModifiedBy>
  <dcterms:created xsi:type="dcterms:W3CDTF">2025-12-18T10:21:29Z</dcterms:created>
  <dcterms:modified xsi:type="dcterms:W3CDTF">2025-12-22T09:05:41Z</dcterms:modified>
</cp:coreProperties>
</file>